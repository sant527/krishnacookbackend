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0.xml.rels" ContentType="application/vnd.openxmlformats-package.relationships+xml"/>
  <Override PartName="/xl/worksheets/_rels/sheet1.xml.rels" ContentType="application/vnd.openxmlformats-package.relationships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7" sheetId="1" state="visible" r:id="rId2"/>
    <sheet name="recipe_ingred_list" sheetId="2" state="visible" r:id="rId3"/>
    <sheet name="recipedetails" sheetId="3" state="visible" r:id="rId4"/>
    <sheet name="database_recipe_positinos" sheetId="4" state="visible" r:id="rId5"/>
    <sheet name="not entered" sheetId="5" state="visible" r:id="rId6"/>
    <sheet name="ingredient" sheetId="6" state="visible" r:id="rId7"/>
    <sheet name="ingredientcopy" sheetId="7" state="visible" r:id="rId8"/>
    <sheet name="Index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Menu" sheetId="19" state="visible" r:id="rId20"/>
    <sheet name="Sheet14" sheetId="20" state="visible" r:id="rId21"/>
    <sheet name="ingredients" sheetId="21" state="visible" r:id="rId22"/>
    <sheet name="recipes" sheetId="22" state="visible" r:id="rId23"/>
    <sheet name="typeofingredients" sheetId="23" state="visible" r:id="rId24"/>
    <sheet name="S Unit" sheetId="24" state="visible" r:id="rId25"/>
    <sheet name="Mrecipeingredient" sheetId="25" state="visible" r:id="rId26"/>
    <sheet name="Sheet20" sheetId="26" state="visible" r:id="rId27"/>
    <sheet name="Recipes_ingredients_1" sheetId="27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<sst xmlns="http://schemas.openxmlformats.org/spreadsheetml/2006/main" count="41877" uniqueCount="9577">
  <si>
    <r>
      <rPr>
        <b val="true"/>
        <sz val="11"/>
        <color rgb="FFFF0000"/>
        <rFont val="Calibri"/>
        <family val="2"/>
      </rPr>
      <t xml:space="preserve">BF</t>
    </r>
    <r>
      <rPr>
        <sz val="11"/>
        <color rgb="FF000000"/>
        <rFont val="Calibri"/>
        <family val="2"/>
      </rPr>
      <t xml:space="preserve"> Varai Khichdi, Potato Salli, </t>
    </r>
    <r>
      <rPr>
        <b val="true"/>
        <sz val="11"/>
        <color rgb="FFFF0000"/>
        <rFont val="Calibri"/>
        <family val="2"/>
      </rPr>
      <t xml:space="preserve">Lunch</t>
    </r>
    <r>
      <rPr>
        <sz val="11"/>
        <color rgb="FF000000"/>
        <rFont val="Calibri"/>
        <family val="2"/>
      </rPr>
      <t xml:space="preserve">Varai Pulav,Soup,Alu Flower gravy,Potato chips, kakdi singdana salad</t>
    </r>
  </si>
  <si>
    <t xml:space="preserve">Varai Khichdi</t>
  </si>
  <si>
    <t xml:space="preserve">Ingredients</t>
  </si>
  <si>
    <t xml:space="preserve">Std Qty</t>
  </si>
  <si>
    <t xml:space="preserve">Unit</t>
  </si>
  <si>
    <t xml:space="preserve">Req Qty </t>
  </si>
  <si>
    <t xml:space="preserve">Varai rice</t>
  </si>
  <si>
    <t xml:space="preserve">kg</t>
  </si>
  <si>
    <t xml:space="preserve">Bhopla</t>
  </si>
  <si>
    <t xml:space="preserve">Dudhi</t>
  </si>
  <si>
    <t xml:space="preserve">Alu</t>
  </si>
  <si>
    <t xml:space="preserve">Gajar</t>
  </si>
  <si>
    <t xml:space="preserve">Groundnut Oil</t>
  </si>
  <si>
    <t xml:space="preserve">ltr</t>
  </si>
  <si>
    <t xml:space="preserve">Jeera</t>
  </si>
  <si>
    <t xml:space="preserve">Hari mirchi split in 2</t>
  </si>
  <si>
    <t xml:space="preserve">Madrasi Mirchi</t>
  </si>
  <si>
    <t xml:space="preserve">Kadi Patta</t>
  </si>
  <si>
    <t xml:space="preserve">Adrak paste</t>
  </si>
  <si>
    <t xml:space="preserve">Kashmiri Michi Pwd</t>
  </si>
  <si>
    <t xml:space="preserve">cup</t>
  </si>
  <si>
    <t xml:space="preserve">Tomato</t>
  </si>
  <si>
    <t xml:space="preserve">Ghee</t>
  </si>
  <si>
    <t xml:space="preserve">Dhania patta</t>
  </si>
  <si>
    <t xml:space="preserve">bkt</t>
  </si>
  <si>
    <t xml:space="preserve">Jeera pwd</t>
  </si>
  <si>
    <t xml:space="preserve">YIELD</t>
  </si>
  <si>
    <t xml:space="preserve">tub</t>
  </si>
  <si>
    <t xml:space="preserve">Potato Salli</t>
  </si>
  <si>
    <t xml:space="preserve">Salli</t>
  </si>
  <si>
    <t xml:space="preserve">Black Pepper Pwd</t>
  </si>
  <si>
    <t xml:space="preserve">Black Salt</t>
  </si>
  <si>
    <t xml:space="preserve">Salt</t>
  </si>
  <si>
    <t xml:space="preserve">Oil for frying </t>
  </si>
  <si>
    <t xml:space="preserve">Expected Yield</t>
  </si>
  <si>
    <t xml:space="preserve">Varai Pulav</t>
  </si>
  <si>
    <t xml:space="preserve">Groundnut oil for tadka</t>
  </si>
  <si>
    <t xml:space="preserve">Tejpatta</t>
  </si>
  <si>
    <t xml:space="preserve">kadi patta</t>
  </si>
  <si>
    <t xml:space="preserve">Cabbage</t>
  </si>
  <si>
    <t xml:space="preserve">Capsicum</t>
  </si>
  <si>
    <t xml:space="preserve">Everest Pulav Masala</t>
  </si>
  <si>
    <t xml:space="preserve">2 x Vol of Varai</t>
  </si>
  <si>
    <t xml:space="preserve">Hot water</t>
  </si>
  <si>
    <t xml:space="preserve">sugar</t>
  </si>
  <si>
    <t xml:space="preserve">DGP</t>
  </si>
  <si>
    <t xml:space="preserve">Yield</t>
  </si>
  <si>
    <t xml:space="preserve">Tub</t>
  </si>
  <si>
    <t xml:space="preserve">Ekadasi soup</t>
  </si>
  <si>
    <t xml:space="preserve">vol</t>
  </si>
  <si>
    <t xml:space="preserve">Boiled water</t>
  </si>
  <si>
    <t xml:space="preserve">Boiled vegetables puree</t>
  </si>
  <si>
    <t xml:space="preserve">EVOO / butter</t>
  </si>
  <si>
    <t xml:space="preserve">EVOO on Top</t>
  </si>
  <si>
    <t xml:space="preserve">Black Pepper pwd</t>
  </si>
  <si>
    <t xml:space="preserve">Basil Leaves</t>
  </si>
  <si>
    <t xml:space="preserve">Basil Leaves chopped by VOL</t>
  </si>
  <si>
    <t xml:space="preserve">Brown sugar (bluebird)</t>
  </si>
  <si>
    <t xml:space="preserve">Lemon Juice</t>
  </si>
  <si>
    <t xml:space="preserve">Recipe Yeild</t>
  </si>
  <si>
    <t xml:space="preserve">EKADASHI ALU FLOWER GRAVY</t>
  </si>
  <si>
    <t xml:space="preserve">Kg</t>
  </si>
  <si>
    <t xml:space="preserve">(1/2 inch cube steamed)</t>
  </si>
  <si>
    <t xml:space="preserve">Flower</t>
  </si>
  <si>
    <t xml:space="preserve">(florets after cutting)</t>
  </si>
  <si>
    <t xml:space="preserve">(deep fried)</t>
  </si>
  <si>
    <t xml:space="preserve">Tomato puree</t>
  </si>
  <si>
    <t xml:space="preserve">Tomato puree Vol</t>
  </si>
  <si>
    <t xml:space="preserve">Cup</t>
  </si>
  <si>
    <t xml:space="preserve">Hari Mirchi split in 2</t>
  </si>
  <si>
    <t xml:space="preserve">Dhania Pwd</t>
  </si>
  <si>
    <t xml:space="preserve">Salt </t>
  </si>
  <si>
    <t xml:space="preserve">Everest pulao masala</t>
  </si>
  <si>
    <t xml:space="preserve">Kashmiri Mirchi Pwd</t>
  </si>
  <si>
    <t xml:space="preserve">Kaju paste</t>
  </si>
  <si>
    <t xml:space="preserve">Dhania Patta</t>
  </si>
  <si>
    <t xml:space="preserve">litre</t>
  </si>
  <si>
    <t xml:space="preserve">Oil for frying</t>
  </si>
  <si>
    <t xml:space="preserve">Kakdi singdana salad</t>
  </si>
  <si>
    <t xml:space="preserve">trial </t>
  </si>
  <si>
    <t xml:space="preserve">Boiled singdana</t>
  </si>
  <si>
    <t xml:space="preserve">Kakdi chopped</t>
  </si>
  <si>
    <t xml:space="preserve">tomato chopped</t>
  </si>
  <si>
    <t xml:space="preserve">Hari mirchi fine chopped</t>
  </si>
  <si>
    <t xml:space="preserve">changes by RVP</t>
  </si>
  <si>
    <t xml:space="preserve">Rocket leaves</t>
  </si>
  <si>
    <t xml:space="preserve">EVOO</t>
  </si>
  <si>
    <t xml:space="preserve">1/2' cut, boil</t>
  </si>
  <si>
    <t xml:space="preserve">Boiled alu</t>
  </si>
  <si>
    <t xml:space="preserve">kg </t>
  </si>
  <si>
    <r>
      <rPr>
        <b val="true"/>
        <sz val="12"/>
        <color rgb="FFFF0000"/>
        <rFont val="Calibri"/>
        <family val="2"/>
      </rPr>
      <t xml:space="preserve">Coal</t>
    </r>
    <r>
      <rPr>
        <sz val="12"/>
        <color rgb="FFFF0000"/>
        <rFont val="Calibri"/>
        <family val="2"/>
      </rPr>
      <t xml:space="preserve"> for smoke flavor</t>
    </r>
  </si>
  <si>
    <t xml:space="preserve">Potato chips</t>
  </si>
  <si>
    <t xml:space="preserve">oil for frying</t>
  </si>
  <si>
    <t xml:space="preserve">Potato Chips</t>
  </si>
  <si>
    <t xml:space="preserve">black pepper pwd</t>
  </si>
  <si>
    <t xml:space="preserve">black salt pwd</t>
  </si>
  <si>
    <t xml:space="preserve">salt</t>
  </si>
  <si>
    <t xml:space="preserve">Recipe Name</t>
  </si>
  <si>
    <t xml:space="preserve">S.No</t>
  </si>
  <si>
    <t xml:space="preserve">Ingredient</t>
  </si>
  <si>
    <t xml:space="preserve">Liter</t>
  </si>
  <si>
    <t xml:space="preserve">varai-khichdi</t>
  </si>
  <si>
    <t xml:space="preserve">adrak</t>
  </si>
  <si>
    <t xml:space="preserve">Kilo Gram</t>
  </si>
  <si>
    <t xml:space="preserve">EKADASI KHICHDI NON-SPICY</t>
  </si>
  <si>
    <t xml:space="preserve">ekadasi-khichdi-non-spicy</t>
  </si>
  <si>
    <t xml:space="preserve">ajinomoto</t>
  </si>
  <si>
    <t xml:space="preserve">pcs</t>
  </si>
  <si>
    <t xml:space="preserve">Pieces</t>
  </si>
  <si>
    <t xml:space="preserve">gm</t>
  </si>
  <si>
    <t xml:space="preserve">ALU CHURCHURY</t>
  </si>
  <si>
    <t xml:space="preserve">alu-churchury</t>
  </si>
  <si>
    <t xml:space="preserve">akha dhaniya</t>
  </si>
  <si>
    <t xml:space="preserve">Tub 35 Lt</t>
  </si>
  <si>
    <t xml:space="preserve">Alu Jeera</t>
  </si>
  <si>
    <t xml:space="preserve">alu-jeera</t>
  </si>
  <si>
    <t xml:space="preserve">akha methi</t>
  </si>
  <si>
    <t xml:space="preserve">cup 200 ml</t>
  </si>
  <si>
    <t xml:space="preserve">Alu Kala Chana Chat</t>
  </si>
  <si>
    <t xml:space="preserve">alu-kala-chana-chat</t>
  </si>
  <si>
    <t xml:space="preserve">akha moong</t>
  </si>
  <si>
    <t xml:space="preserve">ALU PARATHA</t>
  </si>
  <si>
    <t xml:space="preserve">alu-paratha</t>
  </si>
  <si>
    <t xml:space="preserve">akkha madrasi mirchi</t>
  </si>
  <si>
    <t xml:space="preserve">Barley / Ragi / Regira Malt</t>
  </si>
  <si>
    <t xml:space="preserve">barley-ragi-regira-malt</t>
  </si>
  <si>
    <t xml:space="preserve">almonds</t>
  </si>
  <si>
    <t xml:space="preserve">bndl</t>
  </si>
  <si>
    <t xml:space="preserve">Beans Tahini Sauce</t>
  </si>
  <si>
    <t xml:space="preserve">beans-tahini-sauce</t>
  </si>
  <si>
    <t xml:space="preserve">alu</t>
  </si>
  <si>
    <t xml:space="preserve">mutthi</t>
  </si>
  <si>
    <t xml:space="preserve">Bhopla KM</t>
  </si>
  <si>
    <t xml:space="preserve">bhopla-km</t>
  </si>
  <si>
    <t xml:space="preserve">ambahaldi</t>
  </si>
  <si>
    <t xml:space="preserve">tsp</t>
  </si>
  <si>
    <t xml:space="preserve">Biryani Dum Layer</t>
  </si>
  <si>
    <t xml:space="preserve">biryani-dum-layer</t>
  </si>
  <si>
    <t xml:space="preserve">amchur</t>
  </si>
  <si>
    <t xml:space="preserve">pkt</t>
  </si>
  <si>
    <t xml:space="preserve">Boondi raita</t>
  </si>
  <si>
    <t xml:space="preserve">boondi-raita</t>
  </si>
  <si>
    <t xml:space="preserve">amla churna</t>
  </si>
  <si>
    <t xml:space="preserve">ml</t>
  </si>
  <si>
    <t xml:space="preserve">Brokoli Sautee</t>
  </si>
  <si>
    <t xml:space="preserve">brokoli-sautee</t>
  </si>
  <si>
    <t xml:space="preserve">amul butter</t>
  </si>
  <si>
    <t xml:space="preserve">tin</t>
  </si>
  <si>
    <t xml:space="preserve">Chole Krsna Balaram</t>
  </si>
  <si>
    <t xml:space="preserve">chole-krsna-balaram</t>
  </si>
  <si>
    <t xml:space="preserve">amul fresh cream</t>
  </si>
  <si>
    <t xml:space="preserve">Coconut Chutney</t>
  </si>
  <si>
    <t xml:space="preserve">coconut-chutney</t>
  </si>
  <si>
    <t xml:space="preserve">annapoorna sambar masala</t>
  </si>
  <si>
    <t xml:space="preserve">Dahi  Rice</t>
  </si>
  <si>
    <t xml:space="preserve">dahi-rice</t>
  </si>
  <si>
    <t xml:space="preserve">apple green colour</t>
  </si>
  <si>
    <t xml:space="preserve">Dahi Baingan</t>
  </si>
  <si>
    <t xml:space="preserve">dahi-baingan</t>
  </si>
  <si>
    <t xml:space="preserve">baby corn</t>
  </si>
  <si>
    <t xml:space="preserve">Dahi Bhindi</t>
  </si>
  <si>
    <t xml:space="preserve">dahi-bhindi</t>
  </si>
  <si>
    <t xml:space="preserve">badi sauf</t>
  </si>
  <si>
    <t xml:space="preserve">Dahi Patol</t>
  </si>
  <si>
    <t xml:space="preserve">dahi-patol</t>
  </si>
  <si>
    <t xml:space="preserve">badsah pulav masala</t>
  </si>
  <si>
    <t xml:space="preserve">DHOKLA</t>
  </si>
  <si>
    <t xml:space="preserve">dhokla</t>
  </si>
  <si>
    <t xml:space="preserve">badshah pav bhaji masala</t>
  </si>
  <si>
    <t xml:space="preserve">Dosa Bhaji Dry</t>
  </si>
  <si>
    <t xml:space="preserve">dosa-bhaji-dry</t>
  </si>
  <si>
    <t xml:space="preserve">badshah rajwadi garam masala</t>
  </si>
  <si>
    <t xml:space="preserve">Dwadashi / Spicy Khichadi</t>
  </si>
  <si>
    <t xml:space="preserve">dwadashi-spicy-khichadi</t>
  </si>
  <si>
    <t xml:space="preserve">baingan</t>
  </si>
  <si>
    <t xml:space="preserve">EKADASHI CHUTNEY</t>
  </si>
  <si>
    <t xml:space="preserve">ekadashi-chutney</t>
  </si>
  <si>
    <t xml:space="preserve">banana</t>
  </si>
  <si>
    <t xml:space="preserve">EKADASHI KHICHDI  SPICY</t>
  </si>
  <si>
    <t xml:space="preserve">ekadashi-khichdi-spicy</t>
  </si>
  <si>
    <t xml:space="preserve">barley</t>
  </si>
  <si>
    <t xml:space="preserve">EKADASHI UPMA</t>
  </si>
  <si>
    <t xml:space="preserve">ekadashi-upma</t>
  </si>
  <si>
    <t xml:space="preserve">basil leaves</t>
  </si>
  <si>
    <t xml:space="preserve">FENNEL TEA</t>
  </si>
  <si>
    <t xml:space="preserve">fennel-tea</t>
  </si>
  <si>
    <t xml:space="preserve">basmati rice</t>
  </si>
  <si>
    <t xml:space="preserve">Gauranga fried  Rice</t>
  </si>
  <si>
    <t xml:space="preserve">gauranga-fried-rice</t>
  </si>
  <si>
    <t xml:space="preserve">batter yield</t>
  </si>
  <si>
    <t xml:space="preserve">GINGER LEMON TEA</t>
  </si>
  <si>
    <t xml:space="preserve">ginger-lemon-tea</t>
  </si>
  <si>
    <t xml:space="preserve">beans</t>
  </si>
  <si>
    <t xml:space="preserve">green chutney -Dhokla AND MUMBAI  BHEL</t>
  </si>
  <si>
    <t xml:space="preserve">green-chutney-dhokla-and-mumbai-bhel</t>
  </si>
  <si>
    <t xml:space="preserve">besan</t>
  </si>
  <si>
    <t xml:space="preserve">Green curry</t>
  </si>
  <si>
    <t xml:space="preserve">green-curry</t>
  </si>
  <si>
    <t xml:space="preserve">bhindi</t>
  </si>
  <si>
    <t xml:space="preserve">Herbal Tea</t>
  </si>
  <si>
    <t xml:space="preserve">herbal-tea</t>
  </si>
  <si>
    <t xml:space="preserve">bhopla</t>
  </si>
  <si>
    <t xml:space="preserve">Idli</t>
  </si>
  <si>
    <t xml:space="preserve">idli</t>
  </si>
  <si>
    <t xml:space="preserve">black pepper</t>
  </si>
  <si>
    <t xml:space="preserve">Italian Salad</t>
  </si>
  <si>
    <t xml:space="preserve">italian-salad</t>
  </si>
  <si>
    <t xml:space="preserve">black salt</t>
  </si>
  <si>
    <t xml:space="preserve">Jackfruit gravy</t>
  </si>
  <si>
    <t xml:space="preserve">jackfruit-gravy</t>
  </si>
  <si>
    <t xml:space="preserve">black til</t>
  </si>
  <si>
    <t xml:space="preserve">Jeera Rice</t>
  </si>
  <si>
    <t xml:space="preserve">jeera-rice</t>
  </si>
  <si>
    <t xml:space="preserve">boondi</t>
  </si>
  <si>
    <t xml:space="preserve">JP Khichadi</t>
  </si>
  <si>
    <t xml:space="preserve">jp-khichadi</t>
  </si>
  <si>
    <t xml:space="preserve">bread improver</t>
  </si>
  <si>
    <t xml:space="preserve">Kerela Round</t>
  </si>
  <si>
    <t xml:space="preserve">kerela-round</t>
  </si>
  <si>
    <t xml:space="preserve">broccoli</t>
  </si>
  <si>
    <t xml:space="preserve">Khichadi</t>
  </si>
  <si>
    <t xml:space="preserve">khichadi</t>
  </si>
  <si>
    <t xml:space="preserve">brown sugar</t>
  </si>
  <si>
    <t xml:space="preserve">KOKAM</t>
  </si>
  <si>
    <t xml:space="preserve">kokam</t>
  </si>
  <si>
    <t xml:space="preserve">butter</t>
  </si>
  <si>
    <t xml:space="preserve">Kothimbit wadi</t>
  </si>
  <si>
    <t xml:space="preserve">kothimbit-wadi</t>
  </si>
  <si>
    <t xml:space="preserve">cabbage</t>
  </si>
  <si>
    <t xml:space="preserve">KURMURA SPICY</t>
  </si>
  <si>
    <t xml:space="preserve">kurmura-spicy</t>
  </si>
  <si>
    <t xml:space="preserve">cabbage (desi)</t>
  </si>
  <si>
    <t xml:space="preserve">Lapsi</t>
  </si>
  <si>
    <t xml:space="preserve">lapsi</t>
  </si>
  <si>
    <t xml:space="preserve">calcium</t>
  </si>
  <si>
    <t xml:space="preserve">Lemon Grass</t>
  </si>
  <si>
    <t xml:space="preserve">lemon-grass</t>
  </si>
  <si>
    <t xml:space="preserve">capsicum</t>
  </si>
  <si>
    <t xml:space="preserve">LEMON JUICE</t>
  </si>
  <si>
    <t xml:space="preserve">lemon-juice</t>
  </si>
  <si>
    <t xml:space="preserve">carrot</t>
  </si>
  <si>
    <t xml:space="preserve">Lemon Rice</t>
  </si>
  <si>
    <t xml:space="preserve">lemon-rice</t>
  </si>
  <si>
    <t xml:space="preserve">cauli flower</t>
  </si>
  <si>
    <t xml:space="preserve">Matar Ki Dal</t>
  </si>
  <si>
    <t xml:space="preserve">matar-ki-dal</t>
  </si>
  <si>
    <t xml:space="preserve">celery stick</t>
  </si>
  <si>
    <t xml:space="preserve">Minestrone soup</t>
  </si>
  <si>
    <t xml:space="preserve">minestrone-soup</t>
  </si>
  <si>
    <t xml:space="preserve">chana dal</t>
  </si>
  <si>
    <t xml:space="preserve">Mix Veg Poha</t>
  </si>
  <si>
    <t xml:space="preserve">mix-veg-poha</t>
  </si>
  <si>
    <t xml:space="preserve">chat masala</t>
  </si>
  <si>
    <t xml:space="preserve">Moong Dal Dossa</t>
  </si>
  <si>
    <t xml:space="preserve">moong-dal-dossa</t>
  </si>
  <si>
    <t xml:space="preserve">chaunce</t>
  </si>
  <si>
    <t xml:space="preserve">MUMBAI BHEL</t>
  </si>
  <si>
    <t xml:space="preserve">mumbai-bhel</t>
  </si>
  <si>
    <t xml:space="preserve">chedder cheese</t>
  </si>
  <si>
    <t xml:space="preserve">Nithai Rice</t>
  </si>
  <si>
    <t xml:space="preserve">nithai-rice</t>
  </si>
  <si>
    <t xml:space="preserve">cherry tomato</t>
  </si>
  <si>
    <t xml:space="preserve">NITYANAND ITALIAN FRIED RICE</t>
  </si>
  <si>
    <t xml:space="preserve">nityanand-italian-fried-rice</t>
  </si>
  <si>
    <t xml:space="preserve">chilka moong dal</t>
  </si>
  <si>
    <t xml:space="preserve">Noodles</t>
  </si>
  <si>
    <t xml:space="preserve">noodles</t>
  </si>
  <si>
    <t xml:space="preserve">chilly sauce</t>
  </si>
  <si>
    <t xml:space="preserve">Panchratna Dry</t>
  </si>
  <si>
    <t xml:space="preserve">panchratna-dry</t>
  </si>
  <si>
    <t xml:space="preserve">chole</t>
  </si>
  <si>
    <t xml:space="preserve">PANNA</t>
  </si>
  <si>
    <t xml:space="preserve">panna</t>
  </si>
  <si>
    <t xml:space="preserve">coconut</t>
  </si>
  <si>
    <t xml:space="preserve">PATLA POHA</t>
  </si>
  <si>
    <t xml:space="preserve">patla-poha</t>
  </si>
  <si>
    <t xml:space="preserve">coconut oil</t>
  </si>
  <si>
    <t xml:space="preserve">Patol White Gravy</t>
  </si>
  <si>
    <t xml:space="preserve">patol-white-gravy</t>
  </si>
  <si>
    <t xml:space="preserve">corn</t>
  </si>
  <si>
    <t xml:space="preserve">PAV</t>
  </si>
  <si>
    <t xml:space="preserve">pav</t>
  </si>
  <si>
    <t xml:space="preserve">corn flour</t>
  </si>
  <si>
    <t xml:space="preserve">PAV - HERBAL TEA</t>
  </si>
  <si>
    <t xml:space="preserve">pav-herbal-tea</t>
  </si>
  <si>
    <t xml:space="preserve">dagad ful</t>
  </si>
  <si>
    <t xml:space="preserve">Pav Bhaji</t>
  </si>
  <si>
    <t xml:space="preserve">pav-bhaji</t>
  </si>
  <si>
    <t xml:space="preserve">dahi</t>
  </si>
  <si>
    <t xml:space="preserve">Pav Bhaji Bhaji</t>
  </si>
  <si>
    <t xml:space="preserve">pav-bhaji-bhaji</t>
  </si>
  <si>
    <t xml:space="preserve">dal</t>
  </si>
  <si>
    <t xml:space="preserve">Pongal</t>
  </si>
  <si>
    <t xml:space="preserve">pongal</t>
  </si>
  <si>
    <t xml:space="preserve">dalchini</t>
  </si>
  <si>
    <t xml:space="preserve">Pudina Lemon Juice</t>
  </si>
  <si>
    <t xml:space="preserve">pudina-lemon-juice</t>
  </si>
  <si>
    <t xml:space="preserve">daliya</t>
  </si>
  <si>
    <t xml:space="preserve">RAJGIRA  MALT FOR EKADASHI</t>
  </si>
  <si>
    <t xml:space="preserve">rajgira-malt-for-ekadashi</t>
  </si>
  <si>
    <t xml:space="preserve">damodar p garam masala</t>
  </si>
  <si>
    <t xml:space="preserve">RASAM</t>
  </si>
  <si>
    <t xml:space="preserve">rasam</t>
  </si>
  <si>
    <t xml:space="preserve">dates</t>
  </si>
  <si>
    <t xml:space="preserve">RED CHUTNEY</t>
  </si>
  <si>
    <t xml:space="preserve">red-chutney</t>
  </si>
  <si>
    <t xml:space="preserve">dhania</t>
  </si>
  <si>
    <t xml:space="preserve">Red Sak Badi</t>
  </si>
  <si>
    <t xml:space="preserve">red-sak-badi</t>
  </si>
  <si>
    <t xml:space="preserve">dhaniya patta</t>
  </si>
  <si>
    <t xml:space="preserve">Rice Sevai</t>
  </si>
  <si>
    <t xml:space="preserve">rice-sevai</t>
  </si>
  <si>
    <t xml:space="preserve">dhaniya powder</t>
  </si>
  <si>
    <t xml:space="preserve">ROSE  LEMON SABJA</t>
  </si>
  <si>
    <t xml:space="preserve">rose-lemon-sabja</t>
  </si>
  <si>
    <t xml:space="preserve">drum stick</t>
  </si>
  <si>
    <t xml:space="preserve">Sambar</t>
  </si>
  <si>
    <t xml:space="preserve">sambar</t>
  </si>
  <si>
    <t xml:space="preserve">dudhi</t>
  </si>
  <si>
    <t xml:space="preserve">SAMBAR GP</t>
  </si>
  <si>
    <t xml:space="preserve">sambar-gp</t>
  </si>
  <si>
    <t xml:space="preserve">elaichi</t>
  </si>
  <si>
    <t xml:space="preserve">Sauted Vegetables</t>
  </si>
  <si>
    <t xml:space="preserve">sauted-vegetables</t>
  </si>
  <si>
    <t xml:space="preserve">elaichi powder</t>
  </si>
  <si>
    <t xml:space="preserve">Schezwan sauce</t>
  </si>
  <si>
    <t xml:space="preserve">schezwan-sauce</t>
  </si>
  <si>
    <t xml:space="preserve">everest chat masala</t>
  </si>
  <si>
    <t xml:space="preserve">Spicy Potato</t>
  </si>
  <si>
    <t xml:space="preserve">spicy-potato</t>
  </si>
  <si>
    <t xml:space="preserve">everest chole masala</t>
  </si>
  <si>
    <t xml:space="preserve">Sushila Bhel</t>
  </si>
  <si>
    <t xml:space="preserve">sushila-bhel</t>
  </si>
  <si>
    <t xml:space="preserve">everest pulav masala</t>
  </si>
  <si>
    <t xml:space="preserve">SWEET CORN BOILD BHUTTA</t>
  </si>
  <si>
    <t xml:space="preserve">sweet-corn-boild-bhutta</t>
  </si>
  <si>
    <t xml:space="preserve">everest shahi briyani masala</t>
  </si>
  <si>
    <t xml:space="preserve">Sweet Corn Italia</t>
  </si>
  <si>
    <t xml:space="preserve">sweet-corn-italia</t>
  </si>
  <si>
    <t xml:space="preserve">evoo</t>
  </si>
  <si>
    <t xml:space="preserve">Sweet Corn Soup</t>
  </si>
  <si>
    <t xml:space="preserve">sweet-corn-soup</t>
  </si>
  <si>
    <t xml:space="preserve">fennel bulb</t>
  </si>
  <si>
    <t xml:space="preserve">Tahini paste</t>
  </si>
  <si>
    <t xml:space="preserve">tahini-paste</t>
  </si>
  <si>
    <t xml:space="preserve">flower</t>
  </si>
  <si>
    <t xml:space="preserve">Tamrind Rice</t>
  </si>
  <si>
    <t xml:space="preserve">tamrind-rice</t>
  </si>
  <si>
    <t xml:space="preserve">gajar</t>
  </si>
  <si>
    <t xml:space="preserve">TOMATO  CHUTNEY FOR NOODLES</t>
  </si>
  <si>
    <t xml:space="preserve">tomato-chutney-for-noodles</t>
  </si>
  <si>
    <t xml:space="preserve">garam masala</t>
  </si>
  <si>
    <t xml:space="preserve">Tomato Chutni</t>
  </si>
  <si>
    <t xml:space="preserve">tomato-chutni</t>
  </si>
  <si>
    <t xml:space="preserve">ghee</t>
  </si>
  <si>
    <t xml:space="preserve">Udapi Poha</t>
  </si>
  <si>
    <t xml:space="preserve">udapi-poha</t>
  </si>
  <si>
    <t xml:space="preserve">goda masala</t>
  </si>
  <si>
    <t xml:space="preserve">Upma</t>
  </si>
  <si>
    <t xml:space="preserve">upma</t>
  </si>
  <si>
    <t xml:space="preserve">gound nut oil</t>
  </si>
  <si>
    <t xml:space="preserve">Usal Pav</t>
  </si>
  <si>
    <t xml:space="preserve">usal-pav</t>
  </si>
  <si>
    <t xml:space="preserve">green capsicum</t>
  </si>
  <si>
    <t xml:space="preserve">Varai Kheer</t>
  </si>
  <si>
    <t xml:space="preserve">varai-kheer</t>
  </si>
  <si>
    <t xml:space="preserve">green chilli sauce</t>
  </si>
  <si>
    <t xml:space="preserve">varai-pulav</t>
  </si>
  <si>
    <t xml:space="preserve">green elaichi</t>
  </si>
  <si>
    <t xml:space="preserve">Variyali</t>
  </si>
  <si>
    <t xml:space="preserve">variyali</t>
  </si>
  <si>
    <t xml:space="preserve">green mung</t>
  </si>
  <si>
    <t xml:space="preserve">Vermicllly</t>
  </si>
  <si>
    <t xml:space="preserve">vermicllly</t>
  </si>
  <si>
    <t xml:space="preserve">green peas</t>
  </si>
  <si>
    <t xml:space="preserve">Watana Usal</t>
  </si>
  <si>
    <t xml:space="preserve">watana-usal</t>
  </si>
  <si>
    <t xml:space="preserve">ground nut oil</t>
  </si>
  <si>
    <t xml:space="preserve">Alu Flower Gravy (Ekadashi)</t>
  </si>
  <si>
    <t xml:space="preserve">alu-flower-gravy-ekadashi</t>
  </si>
  <si>
    <t xml:space="preserve">gud</t>
  </si>
  <si>
    <t xml:space="preserve">ekadasi-soup</t>
  </si>
  <si>
    <t xml:space="preserve">haldi</t>
  </si>
  <si>
    <t xml:space="preserve">kakdi-singdana-salad</t>
  </si>
  <si>
    <t xml:space="preserve">hansraj chole masala</t>
  </si>
  <si>
    <t xml:space="preserve">potato-chips</t>
  </si>
  <si>
    <t xml:space="preserve">hari mirchi</t>
  </si>
  <si>
    <t xml:space="preserve">potato-salli</t>
  </si>
  <si>
    <t xml:space="preserve">herbal tea powder</t>
  </si>
  <si>
    <t xml:space="preserve">Varai Pulav2</t>
  </si>
  <si>
    <t xml:space="preserve">varai-pulav2</t>
  </si>
  <si>
    <t xml:space="preserve">hing</t>
  </si>
  <si>
    <t xml:space="preserve">honey</t>
  </si>
  <si>
    <t xml:space="preserve">hot water</t>
  </si>
  <si>
    <t xml:space="preserve">imli</t>
  </si>
  <si>
    <t xml:space="preserve">jackfruit</t>
  </si>
  <si>
    <t xml:space="preserve">jada poha</t>
  </si>
  <si>
    <t xml:space="preserve">jaiwantri</t>
  </si>
  <si>
    <t xml:space="preserve">jeera</t>
  </si>
  <si>
    <t xml:space="preserve">jeera powder</t>
  </si>
  <si>
    <t xml:space="preserve">kaccha aam</t>
  </si>
  <si>
    <t xml:space="preserve">kafir lemon leaves</t>
  </si>
  <si>
    <t xml:space="preserve">kaju</t>
  </si>
  <si>
    <t xml:space="preserve">kaju half</t>
  </si>
  <si>
    <t xml:space="preserve">kaju kani</t>
  </si>
  <si>
    <t xml:space="preserve">kaju tukada</t>
  </si>
  <si>
    <t xml:space="preserve">kakdi</t>
  </si>
  <si>
    <t xml:space="preserve">kala chana</t>
  </si>
  <si>
    <t xml:space="preserve">kalimiri</t>
  </si>
  <si>
    <t xml:space="preserve">kalo jeera</t>
  </si>
  <si>
    <t xml:space="preserve">kapol chat masala</t>
  </si>
  <si>
    <t xml:space="preserve">karela</t>
  </si>
  <si>
    <t xml:space="preserve">kashmiri chilly powder</t>
  </si>
  <si>
    <t xml:space="preserve">kasuri methi</t>
  </si>
  <si>
    <t xml:space="preserve">khajur</t>
  </si>
  <si>
    <t xml:space="preserve">khane ka soda</t>
  </si>
  <si>
    <t xml:space="preserve">khas khas</t>
  </si>
  <si>
    <t xml:space="preserve">khichadi rice</t>
  </si>
  <si>
    <t xml:space="preserve">kismis</t>
  </si>
  <si>
    <t xml:space="preserve">kokam juice</t>
  </si>
  <si>
    <t xml:space="preserve">kubal usal masala</t>
  </si>
  <si>
    <t xml:space="preserve">kurmura</t>
  </si>
  <si>
    <t xml:space="preserve">lavang</t>
  </si>
  <si>
    <t xml:space="preserve">lemon</t>
  </si>
  <si>
    <t xml:space="preserve">lemon grass</t>
  </si>
  <si>
    <t xml:space="preserve">lemon yellow colour</t>
  </si>
  <si>
    <t xml:space="preserve">lemongrass stalks</t>
  </si>
  <si>
    <t xml:space="preserve">lettuce</t>
  </si>
  <si>
    <t xml:space="preserve">madrasi mirchi akkaha</t>
  </si>
  <si>
    <t xml:space="preserve">madrasi mirchi powder</t>
  </si>
  <si>
    <t xml:space="preserve">magaj</t>
  </si>
  <si>
    <t xml:space="preserve">maggi coconut milk powder</t>
  </si>
  <si>
    <t xml:space="preserve">maggi seasoning</t>
  </si>
  <si>
    <t xml:space="preserve">maida</t>
  </si>
  <si>
    <t xml:space="preserve">matar</t>
  </si>
  <si>
    <t xml:space="preserve">matar ki dal</t>
  </si>
  <si>
    <t xml:space="preserve">mawa</t>
  </si>
  <si>
    <t xml:space="preserve">mdh garam masala</t>
  </si>
  <si>
    <t xml:space="preserve">methi</t>
  </si>
  <si>
    <t xml:space="preserve">milk</t>
  </si>
  <si>
    <t xml:space="preserve">moong badi</t>
  </si>
  <si>
    <t xml:space="preserve">moong dal</t>
  </si>
  <si>
    <t xml:space="preserve">mtr rasam masala</t>
  </si>
  <si>
    <t xml:space="preserve">mugi</t>
  </si>
  <si>
    <t xml:space="preserve">nimbu fool</t>
  </si>
  <si>
    <t xml:space="preserve">orange red colour</t>
  </si>
  <si>
    <t xml:space="preserve">palak</t>
  </si>
  <si>
    <t xml:space="preserve">pandi mirchi</t>
  </si>
  <si>
    <t xml:space="preserve">panir</t>
  </si>
  <si>
    <t xml:space="preserve">parsley</t>
  </si>
  <si>
    <t xml:space="preserve">patala poha</t>
  </si>
  <si>
    <t xml:space="preserve">patol</t>
  </si>
  <si>
    <t xml:space="preserve">pav bhaji masala</t>
  </si>
  <si>
    <t xml:space="preserve">posto</t>
  </si>
  <si>
    <t xml:space="preserve">pudina</t>
  </si>
  <si>
    <t xml:space="preserve">pudina leaves</t>
  </si>
  <si>
    <t xml:space="preserve">rai</t>
  </si>
  <si>
    <t xml:space="preserve">rai oil</t>
  </si>
  <si>
    <t xml:space="preserve">rajgira atta</t>
  </si>
  <si>
    <t xml:space="preserve">rajma</t>
  </si>
  <si>
    <t xml:space="preserve">red capsicum</t>
  </si>
  <si>
    <t xml:space="preserve">red sak</t>
  </si>
  <si>
    <t xml:space="preserve">rice</t>
  </si>
  <si>
    <t xml:space="preserve">rice flour</t>
  </si>
  <si>
    <t xml:space="preserve">rice sevai</t>
  </si>
  <si>
    <t xml:space="preserve">rose merry</t>
  </si>
  <si>
    <t xml:space="preserve">rose water</t>
  </si>
  <si>
    <t xml:space="preserve">sabja</t>
  </si>
  <si>
    <t xml:space="preserve">safed watana</t>
  </si>
  <si>
    <t xml:space="preserve">sam soya sauce</t>
  </si>
  <si>
    <t xml:space="preserve">sauf</t>
  </si>
  <si>
    <t xml:space="preserve">sev</t>
  </si>
  <si>
    <t xml:space="preserve">shahi jeera</t>
  </si>
  <si>
    <t xml:space="preserve">shakti sambar powder</t>
  </si>
  <si>
    <t xml:space="preserve">singdana</t>
  </si>
  <si>
    <t xml:space="preserve">soonth</t>
  </si>
  <si>
    <t xml:space="preserve">soya sauce</t>
  </si>
  <si>
    <t xml:space="preserve">starfal</t>
  </si>
  <si>
    <t xml:space="preserve">sweet corn</t>
  </si>
  <si>
    <t xml:space="preserve">tahini paste</t>
  </si>
  <si>
    <t xml:space="preserve">tamrind</t>
  </si>
  <si>
    <t xml:space="preserve">tej patta</t>
  </si>
  <si>
    <t xml:space="preserve">thai ginger</t>
  </si>
  <si>
    <t xml:space="preserve">thyme</t>
  </si>
  <si>
    <t xml:space="preserve">til oil</t>
  </si>
  <si>
    <t xml:space="preserve">tomato</t>
  </si>
  <si>
    <t xml:space="preserve">tomato sauce</t>
  </si>
  <si>
    <t xml:space="preserve">tulsi tomato sauce</t>
  </si>
  <si>
    <t xml:space="preserve">tur dal</t>
  </si>
  <si>
    <t xml:space="preserve">urad dal</t>
  </si>
  <si>
    <t xml:space="preserve">varai</t>
  </si>
  <si>
    <t xml:space="preserve">vermicilly</t>
  </si>
  <si>
    <t xml:space="preserve">watana</t>
  </si>
  <si>
    <t xml:space="preserve">wheat flour</t>
  </si>
  <si>
    <t xml:space="preserve">white pepper powder</t>
  </si>
  <si>
    <t xml:space="preserve">white til</t>
  </si>
  <si>
    <t xml:space="preserve">whole wheat flour</t>
  </si>
  <si>
    <t xml:space="preserve">yeast</t>
  </si>
  <si>
    <t xml:space="preserve">yellow capsicum</t>
  </si>
  <si>
    <t xml:space="preserve">zucchini</t>
  </si>
  <si>
    <t xml:space="preserve">chok</t>
  </si>
  <si>
    <t xml:space="preserve">tadka</t>
  </si>
  <si>
    <t xml:space="preserve">VEGETABLE STOCK</t>
  </si>
  <si>
    <t xml:space="preserve">water</t>
  </si>
  <si>
    <t xml:space="preserve">salli</t>
  </si>
  <si>
    <t xml:space="preserve">rocket leaves</t>
  </si>
  <si>
    <t xml:space="preserve">coal</t>
  </si>
  <si>
    <t xml:space="preserve">potato chips</t>
  </si>
  <si>
    <t xml:space="preserve">masala for bhel sabji</t>
  </si>
  <si>
    <t xml:space="preserve">masala for 6 kg batch</t>
  </si>
  <si>
    <t xml:space="preserve">mass_unit</t>
  </si>
  <si>
    <t xml:space="preserve">volume_unit</t>
  </si>
  <si>
    <t xml:space="preserve">pieces_unit</t>
  </si>
  <si>
    <t xml:space="preserve">a = Client().post('/recipes/varai-khichdi/detail/', {'recipe' : '1', 'ingredient' : '201', 'name' : 'Varai rice', 'mass_unit' : '2', 'mass_quantity' : '3.42', 'volume_unit' : '', 'volume_quantity' : '0', 'pieces_unit' : '', 'pieces_quantity' : '0', 'cooking_notes' : ''}).status_code; print('%s :: %s :: %s :: %s :: %s' %(a,7,'Varai rice','varai','Varai Khichdi'))</t>
  </si>
  <si>
    <t xml:space="preserve">tub35</t>
  </si>
  <si>
    <t xml:space="preserve">cup200</t>
  </si>
  <si>
    <t xml:space="preserve">from django.test import Client</t>
  </si>
  <si>
    <t xml:space="preserve">Checking</t>
  </si>
  <si>
    <t xml:space="preserve">recipe</t>
  </si>
  <si>
    <t xml:space="preserve">Name</t>
  </si>
  <si>
    <t xml:space="preserve">mass_quantity</t>
  </si>
  <si>
    <t xml:space="preserve">volume_quantity</t>
  </si>
  <si>
    <t xml:space="preserve">pieces_quantity</t>
  </si>
  <si>
    <t xml:space="preserve">Cooking instructions</t>
  </si>
  <si>
    <t xml:space="preserve">code</t>
  </si>
  <si>
    <t xml:space="preserve">Ground nut Oil</t>
  </si>
  <si>
    <t xml:space="preserve">Hari mirchi</t>
  </si>
  <si>
    <t xml:space="preserve">Adrak</t>
  </si>
  <si>
    <t xml:space="preserve">Kashmiri Mirchi Powder</t>
  </si>
  <si>
    <t xml:space="preserve">Brown sugar</t>
  </si>
  <si>
    <t xml:space="preserve">Lemon</t>
  </si>
  <si>
    <t xml:space="preserve">Kaju</t>
  </si>
  <si>
    <t xml:space="preserve">Kakdi</t>
  </si>
  <si>
    <t xml:space="preserve">Coal</t>
  </si>
  <si>
    <t xml:space="preserve">black pepper powder</t>
  </si>
  <si>
    <t xml:space="preserve">black salt powder</t>
  </si>
  <si>
    <t xml:space="preserve">Alu </t>
  </si>
  <si>
    <t xml:space="preserve">0.5" boiled</t>
  </si>
  <si>
    <t xml:space="preserve">fine chopped</t>
  </si>
  <si>
    <t xml:space="preserve">Coconuts</t>
  </si>
  <si>
    <t xml:space="preserve">grated</t>
  </si>
  <si>
    <t xml:space="preserve">Imli</t>
  </si>
  <si>
    <t xml:space="preserve">Kashmiri mirchi</t>
  </si>
  <si>
    <t xml:space="preserve">Madrasi mirchi</t>
  </si>
  <si>
    <t xml:space="preserve">Akha dhaniya</t>
  </si>
  <si>
    <t xml:space="preserve">Grountnut Oil</t>
  </si>
  <si>
    <t xml:space="preserve">boiled,mashed</t>
  </si>
  <si>
    <t xml:space="preserve">steam puree</t>
  </si>
  <si>
    <t xml:space="preserve">Safed watana or</t>
  </si>
  <si>
    <t xml:space="preserve">Green peas</t>
  </si>
  <si>
    <t xml:space="preserve">Flower </t>
  </si>
  <si>
    <t xml:space="preserve">grated,saute</t>
  </si>
  <si>
    <t xml:space="preserve">fine chopped,saute</t>
  </si>
  <si>
    <t xml:space="preserve">Oil</t>
  </si>
  <si>
    <t xml:space="preserve">Kashmiri powder</t>
  </si>
  <si>
    <t xml:space="preserve">Badshah pav bhaji masala</t>
  </si>
  <si>
    <t xml:space="preserve">Butter</t>
  </si>
  <si>
    <t xml:space="preserve">Lemon juice</t>
  </si>
  <si>
    <t xml:space="preserve">Yield </t>
  </si>
  <si>
    <t xml:space="preserve">Jackfruit </t>
  </si>
  <si>
    <t xml:space="preserve">cut,boiled,fried</t>
  </si>
  <si>
    <t xml:space="preserve">boiled paste</t>
  </si>
  <si>
    <t xml:space="preserve">Hing</t>
  </si>
  <si>
    <t xml:space="preserve">Green chilly</t>
  </si>
  <si>
    <t xml:space="preserve">Haldi</t>
  </si>
  <si>
    <t xml:space="preserve">Safed watana</t>
  </si>
  <si>
    <t xml:space="preserve">boiled</t>
  </si>
  <si>
    <t xml:space="preserve">0.5" cube</t>
  </si>
  <si>
    <t xml:space="preserve">Dhania powder</t>
  </si>
  <si>
    <t xml:space="preserve">Jeera powder</t>
  </si>
  <si>
    <t xml:space="preserve">Rai</t>
  </si>
  <si>
    <t xml:space="preserve">Sugar</t>
  </si>
  <si>
    <t xml:space="preserve">grated,roasted</t>
  </si>
  <si>
    <t xml:space="preserve">Kubal usal masala</t>
  </si>
  <si>
    <t xml:space="preserve">Goda masala</t>
  </si>
  <si>
    <t xml:space="preserve">Rice</t>
  </si>
  <si>
    <t xml:space="preserve">Chilka moong dal</t>
  </si>
  <si>
    <t xml:space="preserve">Chana dal</t>
  </si>
  <si>
    <t xml:space="preserve">Water</t>
  </si>
  <si>
    <t xml:space="preserve">Kismis</t>
  </si>
  <si>
    <t xml:space="preserve">Dahi</t>
  </si>
  <si>
    <t xml:space="preserve">Roasted chilly powder</t>
  </si>
  <si>
    <t xml:space="preserve">Roasted jeera powder</t>
  </si>
  <si>
    <t xml:space="preserve">Soonth</t>
  </si>
  <si>
    <t xml:space="preserve">Chaunce</t>
  </si>
  <si>
    <t xml:space="preserve">Rai tel</t>
  </si>
  <si>
    <t xml:space="preserve">Kadipatta</t>
  </si>
  <si>
    <t xml:space="preserve">Bhindi</t>
  </si>
  <si>
    <t xml:space="preserve">cut 1",deep fried</t>
  </si>
  <si>
    <t xml:space="preserve">Bharta baingan</t>
  </si>
  <si>
    <t xml:space="preserve">cut long,deep fried</t>
  </si>
  <si>
    <t xml:space="preserve">Yileld </t>
  </si>
  <si>
    <t xml:space="preserve">Patol</t>
  </si>
  <si>
    <t xml:space="preserve">Kala chana</t>
  </si>
  <si>
    <t xml:space="preserve">julienne</t>
  </si>
  <si>
    <t xml:space="preserve">0.5" steam</t>
  </si>
  <si>
    <t xml:space="preserve">Red chilli powder</t>
  </si>
  <si>
    <t xml:space="preserve">Everest chole masala</t>
  </si>
  <si>
    <t xml:space="preserve">Black salt</t>
  </si>
  <si>
    <t xml:space="preserve">Everest chat masala</t>
  </si>
  <si>
    <t xml:space="preserve">Akha moong</t>
  </si>
  <si>
    <t xml:space="preserve">0.5" cut</t>
  </si>
  <si>
    <t xml:space="preserve">1" cube</t>
  </si>
  <si>
    <t xml:space="preserve">Methi</t>
  </si>
  <si>
    <t xml:space="preserve">Badisaunf</t>
  </si>
  <si>
    <t xml:space="preserve">Damodar P garam masala</t>
  </si>
  <si>
    <t xml:space="preserve">Amchur</t>
  </si>
  <si>
    <t xml:space="preserve">Udad dal</t>
  </si>
  <si>
    <t xml:space="preserve">split in 2</t>
  </si>
  <si>
    <t xml:space="preserve">MTR Rasam powder</t>
  </si>
  <si>
    <t xml:space="preserve">Chole</t>
  </si>
  <si>
    <t xml:space="preserve">Hansraj chole masala</t>
  </si>
  <si>
    <t xml:space="preserve">Amla churna (optional)</t>
  </si>
  <si>
    <t xml:space="preserve">Posto</t>
  </si>
  <si>
    <t xml:space="preserve">sauteed</t>
  </si>
  <si>
    <t xml:space="preserve">boiled,peeled,cut</t>
  </si>
  <si>
    <t xml:space="preserve">Brokoli </t>
  </si>
  <si>
    <t xml:space="preserve">steamed</t>
  </si>
  <si>
    <t xml:space="preserve">Black pepper powder</t>
  </si>
  <si>
    <t xml:space="preserve">Basil leaves</t>
  </si>
  <si>
    <t xml:space="preserve">chopped</t>
  </si>
  <si>
    <t xml:space="preserve">Karela</t>
  </si>
  <si>
    <t xml:space="preserve">round slices,salt squeezed</t>
  </si>
  <si>
    <t xml:space="preserve">Gud</t>
  </si>
  <si>
    <t xml:space="preserve">Red sak</t>
  </si>
  <si>
    <t xml:space="preserve">Kalo jeera</t>
  </si>
  <si>
    <t xml:space="preserve">Badi</t>
  </si>
  <si>
    <t xml:space="preserve">Sweet corn (boiled)</t>
  </si>
  <si>
    <t xml:space="preserve">(small size corn preferred)</t>
  </si>
  <si>
    <t xml:space="preserve">Red capsicum </t>
  </si>
  <si>
    <t xml:space="preserve">(small square sauteed)</t>
  </si>
  <si>
    <t xml:space="preserve">Green capsicum</t>
  </si>
  <si>
    <t xml:space="preserve">Coconut (grated, medium jaali)</t>
  </si>
  <si>
    <t xml:space="preserve">Boiled milk</t>
  </si>
  <si>
    <t xml:space="preserve">Boiled Kaju paste</t>
  </si>
  <si>
    <t xml:space="preserve">Black pepper pwd</t>
  </si>
  <si>
    <t xml:space="preserve">Brown sugar (bluebird) or</t>
  </si>
  <si>
    <t xml:space="preserve">Boiled corn water</t>
  </si>
  <si>
    <t xml:space="preserve">Corn flour</t>
  </si>
  <si>
    <t xml:space="preserve">Lettuce (cut big size)</t>
  </si>
  <si>
    <t xml:space="preserve">Mix lemon juice &amp; olive oil before adding to salad</t>
  </si>
  <si>
    <t xml:space="preserve">Gajar (grated)</t>
  </si>
  <si>
    <t xml:space="preserve">Cherry tomato (cut half)</t>
  </si>
  <si>
    <t xml:space="preserve">Roasted Almonds (cut 1-4)</t>
  </si>
  <si>
    <t xml:space="preserve">salt for roasting almonds</t>
  </si>
  <si>
    <t xml:space="preserve">Ghee </t>
  </si>
  <si>
    <t xml:space="preserve">Kaju half</t>
  </si>
  <si>
    <t xml:space="preserve">Matar ki dal</t>
  </si>
  <si>
    <t xml:space="preserve">Red chilli pwd</t>
  </si>
  <si>
    <t xml:space="preserve">Tadka</t>
  </si>
  <si>
    <t xml:space="preserve">Hing </t>
  </si>
  <si>
    <t xml:space="preserve">Kadi patta</t>
  </si>
  <si>
    <t xml:space="preserve">Dhania Patta </t>
  </si>
  <si>
    <t xml:space="preserve">Dhania pwd</t>
  </si>
  <si>
    <t xml:space="preserve">Everest Pulav masala</t>
  </si>
  <si>
    <t xml:space="preserve">Beans</t>
  </si>
  <si>
    <t xml:space="preserve">Butter (Makhan)/ EVOO</t>
  </si>
  <si>
    <t xml:space="preserve">Hing (Asafoetida)</t>
  </si>
  <si>
    <t xml:space="preserve">Salt (Namak)</t>
  </si>
  <si>
    <t xml:space="preserve">Chopped 1/2''</t>
  </si>
  <si>
    <t xml:space="preserve">Tahini paste</t>
  </si>
  <si>
    <t xml:space="preserve">White Till ( Dry Roast light)</t>
  </si>
  <si>
    <t xml:space="preserve">Black pepper  </t>
  </si>
  <si>
    <t xml:space="preserve">Sugar </t>
  </si>
  <si>
    <t xml:space="preserve">Water </t>
  </si>
  <si>
    <t xml:space="preserve">Besan</t>
  </si>
  <si>
    <t xml:space="preserve">Boondi</t>
  </si>
  <si>
    <t xml:space="preserve">Roasted mirchi powder</t>
  </si>
  <si>
    <t xml:space="preserve">Pudina</t>
  </si>
  <si>
    <t xml:space="preserve">Dhaniya patta</t>
  </si>
  <si>
    <t xml:space="preserve">Rice (small fine grain)</t>
  </si>
  <si>
    <t xml:space="preserve">Groundnut Oil / Til Oil</t>
  </si>
  <si>
    <t xml:space="preserve">Rai </t>
  </si>
  <si>
    <t xml:space="preserve">Kadi patta </t>
  </si>
  <si>
    <t xml:space="preserve">Ambahaldi</t>
  </si>
  <si>
    <t xml:space="preserve">Kafir lemon leaves</t>
  </si>
  <si>
    <t xml:space="preserve">Turdal</t>
  </si>
  <si>
    <t xml:space="preserve">Drum Stick</t>
  </si>
  <si>
    <t xml:space="preserve">potatoes</t>
  </si>
  <si>
    <t xml:space="preserve">Annapoorna Sambar pwd</t>
  </si>
  <si>
    <t xml:space="preserve">Shakti Sambar pwd</t>
  </si>
  <si>
    <t xml:space="preserve">Coconut</t>
  </si>
  <si>
    <t xml:space="preserve">Jaggery </t>
  </si>
  <si>
    <t xml:space="preserve">Moong dal</t>
  </si>
  <si>
    <t xml:space="preserve">Khichdi Rice</t>
  </si>
  <si>
    <t xml:space="preserve">Akha Methi</t>
  </si>
  <si>
    <t xml:space="preserve">Hari Mirchi fine chopped</t>
  </si>
  <si>
    <t xml:space="preserve">Batter yield</t>
  </si>
  <si>
    <t xml:space="preserve">Medium Size yeild</t>
  </si>
  <si>
    <t xml:space="preserve">Til oil</t>
  </si>
  <si>
    <t xml:space="preserve">Pandi mirchi</t>
  </si>
  <si>
    <t xml:space="preserve">WET MASALA</t>
  </si>
  <si>
    <t xml:space="preserve">Lemongrass stalks</t>
  </si>
  <si>
    <t xml:space="preserve">Thai ginger</t>
  </si>
  <si>
    <t xml:space="preserve">Hari Mirchi paste</t>
  </si>
  <si>
    <t xml:space="preserve">WET MASALA VOLUME</t>
  </si>
  <si>
    <t xml:space="preserve">Palak paste</t>
  </si>
  <si>
    <t xml:space="preserve">Ajinomoto</t>
  </si>
  <si>
    <t xml:space="preserve">Green capsicum paste</t>
  </si>
  <si>
    <t xml:space="preserve">Broccoli</t>
  </si>
  <si>
    <t xml:space="preserve">Zucchini</t>
  </si>
  <si>
    <t xml:space="preserve">Red capsicum</t>
  </si>
  <si>
    <t xml:space="preserve">Yellow capsicum</t>
  </si>
  <si>
    <t xml:space="preserve">Maggi coconut milk powder</t>
  </si>
  <si>
    <t xml:space="preserve">Maggi seasoning</t>
  </si>
  <si>
    <t xml:space="preserve">Basil leaves chopped</t>
  </si>
  <si>
    <t xml:space="preserve">tubs</t>
  </si>
  <si>
    <t xml:space="preserve">SAM Soya Sauce</t>
  </si>
  <si>
    <t xml:space="preserve">Green chilli sauce</t>
  </si>
  <si>
    <t xml:space="preserve">Red Capsicum</t>
  </si>
  <si>
    <t xml:space="preserve">Yellow Capsicum </t>
  </si>
  <si>
    <t xml:space="preserve">Green Capsicum </t>
  </si>
  <si>
    <t xml:space="preserve">Baby Corn</t>
  </si>
  <si>
    <t xml:space="preserve">EVOO / Butter </t>
  </si>
  <si>
    <t xml:space="preserve">Rajma </t>
  </si>
  <si>
    <t xml:space="preserve">Capsicum </t>
  </si>
  <si>
    <t xml:space="preserve">Parsley</t>
  </si>
  <si>
    <t xml:space="preserve">Chopped Celery Stick</t>
  </si>
  <si>
    <t xml:space="preserve">Thyme</t>
  </si>
  <si>
    <t xml:space="preserve">Rose merry</t>
  </si>
  <si>
    <t xml:space="preserve">VEGETABLE STOCK  YIELD</t>
  </si>
  <si>
    <t xml:space="preserve">Fennel Bulb</t>
  </si>
  <si>
    <t xml:space="preserve">Blue bird Brown sugar (bluebird)</t>
  </si>
  <si>
    <t xml:space="preserve">EVOO TOP</t>
  </si>
  <si>
    <t xml:space="preserve">Babycorn deep fried</t>
  </si>
  <si>
    <t xml:space="preserve">Red capsicum sauted</t>
  </si>
  <si>
    <t xml:space="preserve">Yellow capsicum sauted</t>
  </si>
  <si>
    <t xml:space="preserve">Green capsicum sauted</t>
  </si>
  <si>
    <t xml:space="preserve">Broccoli steamed</t>
  </si>
  <si>
    <t xml:space="preserve">Zucchini sauted</t>
  </si>
  <si>
    <t xml:space="preserve">Basil chopped</t>
  </si>
  <si>
    <t xml:space="preserve">Panir deep fried</t>
  </si>
  <si>
    <t xml:space="preserve">Tulsi Tomato sauce </t>
  </si>
  <si>
    <t xml:space="preserve">Soya Sauce</t>
  </si>
  <si>
    <t xml:space="preserve">Butter/EVOO</t>
  </si>
  <si>
    <t xml:space="preserve">Groundnut Oil (Singdana Tel)</t>
  </si>
  <si>
    <t xml:space="preserve">Adrak (Ginger)</t>
  </si>
  <si>
    <t xml:space="preserve">Celery Stick</t>
  </si>
  <si>
    <t xml:space="preserve">Cabbage (Desi)</t>
  </si>
  <si>
    <t xml:space="preserve">Chilly Sauce</t>
  </si>
  <si>
    <t xml:space="preserve">Tomato Sauce</t>
  </si>
  <si>
    <t xml:space="preserve">Kashmiri Mirchi</t>
  </si>
  <si>
    <t xml:space="preserve">White Pepper Powder</t>
  </si>
  <si>
    <t xml:space="preserve">Sugar (Chini)</t>
  </si>
  <si>
    <t xml:space="preserve">Dhaniya</t>
  </si>
  <si>
    <t xml:space="preserve">Besan (Chickpea Flour)</t>
  </si>
  <si>
    <t xml:space="preserve">Rice Flour</t>
  </si>
  <si>
    <t xml:space="preserve">Adrak Paste</t>
  </si>
  <si>
    <t xml:space="preserve">Dhania Powder (Coriander Pdr)</t>
  </si>
  <si>
    <t xml:space="preserve">Zeera Powder (Cumin Pdr)</t>
  </si>
  <si>
    <t xml:space="preserve">Haldi (Turmeric Pdr)</t>
  </si>
  <si>
    <t xml:space="preserve">Lal Mirchi Powder (Red Chilli Pdr)</t>
  </si>
  <si>
    <t xml:space="preserve">Zeera (Cumin Seeds)</t>
  </si>
  <si>
    <t xml:space="preserve">Dhania Patta (Coriander Leaves)</t>
  </si>
  <si>
    <t xml:space="preserve">Chat Masala</t>
  </si>
  <si>
    <t xml:space="preserve">Shahi Jeera</t>
  </si>
  <si>
    <t xml:space="preserve">Starfal</t>
  </si>
  <si>
    <t xml:space="preserve">Dagad Ful</t>
  </si>
  <si>
    <t xml:space="preserve">Dalchini</t>
  </si>
  <si>
    <t xml:space="preserve">Lavang</t>
  </si>
  <si>
    <t xml:space="preserve">Kalimiri</t>
  </si>
  <si>
    <t xml:space="preserve">Tej Patta</t>
  </si>
  <si>
    <t xml:space="preserve">Masala Elaichi</t>
  </si>
  <si>
    <t xml:space="preserve">Green Elaichi</t>
  </si>
  <si>
    <t xml:space="preserve">Jaiwantri</t>
  </si>
  <si>
    <t xml:space="preserve">Kasuri Methi</t>
  </si>
  <si>
    <t xml:space="preserve">Kasmiri Mirchi</t>
  </si>
  <si>
    <t xml:space="preserve">Dhaniya Powder</t>
  </si>
  <si>
    <t xml:space="preserve">Haldi Powder</t>
  </si>
  <si>
    <t xml:space="preserve">Hing Powder</t>
  </si>
  <si>
    <t xml:space="preserve">Badshah Rajwadi Garam Masala</t>
  </si>
  <si>
    <t xml:space="preserve">Everest Chole Masala</t>
  </si>
  <si>
    <t xml:space="preserve">Everest Shahi Briyani Masala</t>
  </si>
  <si>
    <t xml:space="preserve">Kapol Chat Masala</t>
  </si>
  <si>
    <t xml:space="preserve">Black Salt Powder</t>
  </si>
  <si>
    <t xml:space="preserve">Tata salt</t>
  </si>
  <si>
    <t xml:space="preserve">Kaju Kani</t>
  </si>
  <si>
    <t xml:space="preserve">Magaj</t>
  </si>
  <si>
    <t xml:space="preserve">White Teel</t>
  </si>
  <si>
    <t xml:space="preserve">Khas Khas</t>
  </si>
  <si>
    <t xml:space="preserve">Orange Red Colour</t>
  </si>
  <si>
    <t xml:space="preserve">Lemon Yellow Colour</t>
  </si>
  <si>
    <t xml:space="preserve">Apple Green Colour</t>
  </si>
  <si>
    <t xml:space="preserve">Basmati Rice</t>
  </si>
  <si>
    <t xml:space="preserve">Tomato 1</t>
  </si>
  <si>
    <t xml:space="preserve">Tomato 2</t>
  </si>
  <si>
    <t xml:space="preserve">Mirchi</t>
  </si>
  <si>
    <t xml:space="preserve">Dhaniyapatta</t>
  </si>
  <si>
    <t xml:space="preserve">Cauli Flower</t>
  </si>
  <si>
    <t xml:space="preserve">Carrot</t>
  </si>
  <si>
    <t xml:space="preserve">Green Peas</t>
  </si>
  <si>
    <t xml:space="preserve">Potato</t>
  </si>
  <si>
    <t xml:space="preserve">Simla</t>
  </si>
  <si>
    <t xml:space="preserve">Item no2</t>
  </si>
  <si>
    <t xml:space="preserve">Mawa</t>
  </si>
  <si>
    <t xml:space="preserve">Amul Butter</t>
  </si>
  <si>
    <t xml:space="preserve">Amul Fresh Cream</t>
  </si>
  <si>
    <t xml:space="preserve">Curd</t>
  </si>
  <si>
    <t xml:space="preserve">Item no3</t>
  </si>
  <si>
    <t xml:space="preserve">Chedder cheese</t>
  </si>
  <si>
    <t xml:space="preserve">beans( optional when rate is low)</t>
  </si>
  <si>
    <t xml:space="preserve">green chilly</t>
  </si>
  <si>
    <t xml:space="preserve">ginger</t>
  </si>
  <si>
    <t xml:space="preserve">kadipatta</t>
  </si>
  <si>
    <t xml:space="preserve">Jada Poha   </t>
  </si>
  <si>
    <t xml:space="preserve">oil(groundnut)</t>
  </si>
  <si>
    <t xml:space="preserve">akkha singdana</t>
  </si>
  <si>
    <t xml:space="preserve">madrasi chili powder</t>
  </si>
  <si>
    <t xml:space="preserve">Upma      </t>
  </si>
  <si>
    <t xml:space="preserve">kashmiri chili powder</t>
  </si>
  <si>
    <t xml:space="preserve">Vermicilly </t>
  </si>
  <si>
    <t xml:space="preserve">Ginger</t>
  </si>
  <si>
    <t xml:space="preserve">kchidi Rice </t>
  </si>
  <si>
    <t xml:space="preserve">moong Daal  </t>
  </si>
  <si>
    <t xml:space="preserve">Ghee      </t>
  </si>
  <si>
    <t xml:space="preserve">black pepper akkha</t>
  </si>
  <si>
    <t xml:space="preserve">banana(elaichi)</t>
  </si>
  <si>
    <t xml:space="preserve">Patala Poha</t>
  </si>
  <si>
    <t xml:space="preserve">melt gud in hot </t>
  </si>
  <si>
    <t xml:space="preserve">ghee,add coconut,</t>
  </si>
  <si>
    <t xml:space="preserve">poha,til,honey,elichi</t>
  </si>
  <si>
    <t xml:space="preserve">jaggary</t>
  </si>
  <si>
    <t xml:space="preserve">powdre.add banana </t>
  </si>
  <si>
    <t xml:space="preserve">at end.(roast til</t>
  </si>
  <si>
    <t xml:space="preserve">before adding)</t>
  </si>
  <si>
    <t xml:space="preserve">kashmiri chili powdre</t>
  </si>
  <si>
    <t xml:space="preserve">madrasi chili akkha</t>
  </si>
  <si>
    <t xml:space="preserve">6 kg cookd noodles= 1 dabba=50 people</t>
  </si>
  <si>
    <t xml:space="preserve">capcicum</t>
  </si>
  <si>
    <t xml:space="preserve">fresh tomato sauce(boil tomato,pury and roast in khadi fro 20 min)</t>
  </si>
  <si>
    <t xml:space="preserve">add all masala,lemon juice in choke after sabji is cooked</t>
  </si>
  <si>
    <t xml:space="preserve">green chili ( chopp )</t>
  </si>
  <si>
    <t xml:space="preserve">adrak (grate in morning)</t>
  </si>
  <si>
    <t xml:space="preserve">lemon juice</t>
  </si>
  <si>
    <t xml:space="preserve">fresh tomato sauce</t>
  </si>
  <si>
    <t xml:space="preserve">salt </t>
  </si>
  <si>
    <t xml:space="preserve">tomato(med jali)</t>
  </si>
  <si>
    <t xml:space="preserve">lemon </t>
  </si>
  <si>
    <t xml:space="preserve">(cookr fire stop aftr 1 citi)</t>
  </si>
  <si>
    <t xml:space="preserve">oil</t>
  </si>
  <si>
    <t xml:space="preserve">tejpatta</t>
  </si>
  <si>
    <t xml:space="preserve">dhania powder</t>
  </si>
  <si>
    <t xml:space="preserve">kashmiri mirchi powder</t>
  </si>
  <si>
    <t xml:space="preserve">kubal usam masala</t>
  </si>
  <si>
    <t xml:space="preserve">RICE</t>
  </si>
  <si>
    <t xml:space="preserve">add salt in dough only in winter or cold rainy season-to increase heat and fermentation; dont use salt in summer or hot rainy season</t>
  </si>
  <si>
    <t xml:space="preserve">potato</t>
  </si>
  <si>
    <t xml:space="preserve">MTR masala</t>
  </si>
  <si>
    <t xml:space="preserve">anapoorna sambar ms</t>
  </si>
  <si>
    <t xml:space="preserve">ghee/oil</t>
  </si>
  <si>
    <t xml:space="preserve">salt (IF TATA THEN 1.5 cup)</t>
  </si>
  <si>
    <t xml:space="preserve">green chily(long cut)</t>
  </si>
  <si>
    <t xml:space="preserve">oil(ground nut)</t>
  </si>
  <si>
    <t xml:space="preserve">varai rice</t>
  </si>
  <si>
    <t xml:space="preserve">water(10 times)</t>
  </si>
  <si>
    <t xml:space="preserve">adrak paste</t>
  </si>
  <si>
    <t xml:space="preserve">green chily</t>
  </si>
  <si>
    <t xml:space="preserve">kashmiri chily pwder</t>
  </si>
  <si>
    <t xml:space="preserve">akkha madrasi mirch</t>
  </si>
  <si>
    <t xml:space="preserve">OIL</t>
  </si>
  <si>
    <t xml:space="preserve">kakdi/green peas/beans</t>
  </si>
  <si>
    <t xml:space="preserve">KURMURA</t>
  </si>
  <si>
    <t xml:space="preserve">MDH garam masala</t>
  </si>
  <si>
    <t xml:space="preserve">daliya (roasted chana dal)</t>
  </si>
  <si>
    <t xml:space="preserve">PUDINA LEAVES</t>
  </si>
  <si>
    <t xml:space="preserve">regular salt</t>
  </si>
  <si>
    <t xml:space="preserve">BARLEY/RAGI/RAJGIRA</t>
  </si>
  <si>
    <t xml:space="preserve">COCONUT</t>
  </si>
  <si>
    <t xml:space="preserve">green chili</t>
  </si>
  <si>
    <t xml:space="preserve">green chili choppd</t>
  </si>
  <si>
    <t xml:space="preserve">water( for dough of besan)</t>
  </si>
  <si>
    <t xml:space="preserve">water for stem</t>
  </si>
  <si>
    <t xml:space="preserve">barik besan flour</t>
  </si>
  <si>
    <t xml:space="preserve">citric acid( NIMBU FOOL)</t>
  </si>
  <si>
    <t xml:space="preserve"> khane ka soda</t>
  </si>
  <si>
    <t xml:space="preserve">dalia</t>
  </si>
  <si>
    <t xml:space="preserve">when u take  this chutney for </t>
  </si>
  <si>
    <t xml:space="preserve">mumbai bhel add 50 gm chilli</t>
  </si>
  <si>
    <t xml:space="preserve">chili (only for Bhel)</t>
  </si>
  <si>
    <t xml:space="preserve">green chilly long cut</t>
  </si>
  <si>
    <t xml:space="preserve">jeera </t>
  </si>
  <si>
    <t xml:space="preserve">green chili chopped</t>
  </si>
  <si>
    <t xml:space="preserve">greeen chilly long cut</t>
  </si>
  <si>
    <t xml:space="preserve">1 DAY BEFORE</t>
  </si>
  <si>
    <t xml:space="preserve">in oil roast ALL  kurmura,singdana</t>
  </si>
  <si>
    <t xml:space="preserve">,daliya,green chili(1 ltr)</t>
  </si>
  <si>
    <t xml:space="preserve">with haldi,kashmiri chili pwd</t>
  </si>
  <si>
    <t xml:space="preserve">nxt morning add other item</t>
  </si>
  <si>
    <t xml:space="preserve">KURMURA </t>
  </si>
  <si>
    <t xml:space="preserve">madrasi chilli powder</t>
  </si>
  <si>
    <t xml:space="preserve">haldi powder</t>
  </si>
  <si>
    <t xml:space="preserve">akkha madrasi mirh dry </t>
  </si>
  <si>
    <t xml:space="preserve"> singdana</t>
  </si>
  <si>
    <t xml:space="preserve">daliya </t>
  </si>
  <si>
    <t xml:space="preserve">MASALA FOR BHEL SABJI</t>
  </si>
  <si>
    <t xml:space="preserve">note -sabji  given in nxt coloumn are for 25 kg rice,</t>
  </si>
  <si>
    <t xml:space="preserve">green chili </t>
  </si>
  <si>
    <t xml:space="preserve">and masala and grains given in other </t>
  </si>
  <si>
    <t xml:space="preserve">coloumn are for 6.25 kg  and 4.25 kg rice</t>
  </si>
  <si>
    <t xml:space="preserve">oil 1.5 ltr for 6.25 kg batch</t>
  </si>
  <si>
    <t xml:space="preserve">in 4.25 kg rice batch add 0.8 cup salt</t>
  </si>
  <si>
    <t xml:space="preserve">in 1 kadhai sabji add 1 cup salt ( this sabji is for 2 batches of rice </t>
  </si>
  <si>
    <t xml:space="preserve">of 4.25 kg each)</t>
  </si>
  <si>
    <t xml:space="preserve">kashmiri chilly PWD</t>
  </si>
  <si>
    <t xml:space="preserve">WATER CALCUL</t>
  </si>
  <si>
    <t xml:space="preserve">1 tub-30 ltr </t>
  </si>
  <si>
    <t xml:space="preserve">(below line) THIS </t>
  </si>
  <si>
    <t xml:space="preserve">TYPE WE USE MOSTLY</t>
  </si>
  <si>
    <t xml:space="preserve">1 tub-35 ltr( go </t>
  </si>
  <si>
    <t xml:space="preserve">above line -till </t>
  </si>
  <si>
    <t xml:space="preserve">tub is full)</t>
  </si>
  <si>
    <t xml:space="preserve">1 tub</t>
  </si>
  <si>
    <t xml:space="preserve">veg-doubl of grains</t>
  </si>
  <si>
    <t xml:space="preserve">VARAI</t>
  </si>
  <si>
    <t xml:space="preserve">green chily (long cut)</t>
  </si>
  <si>
    <t xml:space="preserve">ground nut akkha</t>
  </si>
  <si>
    <t xml:space="preserve">daliya roasted</t>
  </si>
  <si>
    <t xml:space="preserve">oil (ground nut)</t>
  </si>
  <si>
    <t xml:space="preserve">tomato -pulvarize w/o jali</t>
  </si>
  <si>
    <t xml:space="preserve">dhania patta</t>
  </si>
  <si>
    <t xml:space="preserve">MTR rasam masala</t>
  </si>
  <si>
    <t xml:space="preserve">akkha madrasi/kashmiri mirch</t>
  </si>
  <si>
    <t xml:space="preserve">ginger paste</t>
  </si>
  <si>
    <t xml:space="preserve">black pepper AKKHA</t>
  </si>
  <si>
    <t xml:space="preserve">DALCHINI</t>
  </si>
  <si>
    <t xml:space="preserve">kacca Aam</t>
  </si>
  <si>
    <t xml:space="preserve">herbal tea</t>
  </si>
  <si>
    <t xml:space="preserve">ROSE WATER</t>
  </si>
  <si>
    <t xml:space="preserve">LEMON</t>
  </si>
  <si>
    <t xml:space="preserve">SABJA</t>
  </si>
  <si>
    <t xml:space="preserve">MUTTHI</t>
  </si>
  <si>
    <t xml:space="preserve">SUGAR</t>
  </si>
  <si>
    <t xml:space="preserve">kashmiri powder</t>
  </si>
  <si>
    <t xml:space="preserve">tejpat</t>
  </si>
  <si>
    <t xml:space="preserve">madrsi pw</t>
  </si>
  <si>
    <t xml:space="preserve">1st boil dates,jaggary,imli </t>
  </si>
  <si>
    <t xml:space="preserve">and then grind and put in chok</t>
  </si>
  <si>
    <t xml:space="preserve">madrsi mirchi  pw</t>
  </si>
  <si>
    <t xml:space="preserve">ADRAK</t>
  </si>
  <si>
    <t xml:space="preserve">TEJPATTA</t>
  </si>
  <si>
    <t xml:space="preserve">SAUF</t>
  </si>
  <si>
    <t xml:space="preserve">CHOK-oil-mirchi paste-adrak grated-capcicum-pav bhaji masala( half)-</t>
  </si>
  <si>
    <t xml:space="preserve">tomato pury( boiled)-pav bjahi masal half-kashmiri mirchi pwd-</t>
  </si>
  <si>
    <t xml:space="preserve">Cauli flower</t>
  </si>
  <si>
    <t xml:space="preserve">salt-remaining pav bjahi masala-smashed alu-</t>
  </si>
  <si>
    <t xml:space="preserve">Adrak </t>
  </si>
  <si>
    <t xml:space="preserve">ALU-peel alu-boil it-smash it in chapti atta making machine </t>
  </si>
  <si>
    <t xml:space="preserve">Hot Water</t>
  </si>
  <si>
    <t xml:space="preserve">with some water</t>
  </si>
  <si>
    <t xml:space="preserve">Green mirchi paste</t>
  </si>
  <si>
    <t xml:space="preserve">PEAS-boil-smash in pulverizer w/o jali</t>
  </si>
  <si>
    <t xml:space="preserve">dhaniya patta </t>
  </si>
  <si>
    <t xml:space="preserve">flower -grate in indian cut machine-saute in oil</t>
  </si>
  <si>
    <t xml:space="preserve">Kashmiri Mirchi powder</t>
  </si>
  <si>
    <t xml:space="preserve">Pav Bhaji Masala</t>
  </si>
  <si>
    <t xml:space="preserve">SWEET CORN ( GRAINS)</t>
  </si>
  <si>
    <t xml:space="preserve">FRESH BASIL LEAVES</t>
  </si>
  <si>
    <t xml:space="preserve">TOMATO</t>
  </si>
  <si>
    <t xml:space="preserve">GREEN CHILLI ( CHOPPED)</t>
  </si>
  <si>
    <t xml:space="preserve">BLACK PEPPER</t>
  </si>
  <si>
    <t xml:space="preserve">HING</t>
  </si>
  <si>
    <t xml:space="preserve">GROUND NUT OIL</t>
  </si>
  <si>
    <t xml:space="preserve">SOYA SAUCE</t>
  </si>
  <si>
    <t xml:space="preserve">SALT</t>
  </si>
  <si>
    <t xml:space="preserve">"1757"</t>
  </si>
  <si>
    <t xml:space="preserve">"Varai rice"</t>
  </si>
  <si>
    <t xml:space="preserve">"varai-khichdi-varai"</t>
  </si>
  <si>
    <t xml:space="preserve">"2017-05-23 06:59:44.813819"</t>
  </si>
  <si>
    <t xml:space="preserve">"2017-05-23 06:59:44.813859"</t>
  </si>
  <si>
    <t xml:space="preserve">"201"</t>
  </si>
  <si>
    <t xml:space="preserve">"1"</t>
  </si>
  <si>
    <t xml:space="preserve">""</t>
  </si>
  <si>
    <t xml:space="preserve">"3.42"</t>
  </si>
  <si>
    <t xml:space="preserve">"2"</t>
  </si>
  <si>
    <t xml:space="preserve">"0"</t>
  </si>
  <si>
    <t xml:space="preserve">"3"</t>
  </si>
  <si>
    <t xml:space="preserve">"kg"</t>
  </si>
  <si>
    <t xml:space="preserve">"1758"</t>
  </si>
  <si>
    <t xml:space="preserve">"Bhopla"</t>
  </si>
  <si>
    <t xml:space="preserve">"varai-khichdi-bhopla"</t>
  </si>
  <si>
    <t xml:space="preserve">"2017-05-23 06:59:45.170117"</t>
  </si>
  <si>
    <t xml:space="preserve">"2017-05-23 06:59:45.170156"</t>
  </si>
  <si>
    <t xml:space="preserve">"30"</t>
  </si>
  <si>
    <t xml:space="preserve">"2.917"</t>
  </si>
  <si>
    <t xml:space="preserve">"1759"</t>
  </si>
  <si>
    <t xml:space="preserve">"Dudhi"</t>
  </si>
  <si>
    <t xml:space="preserve">"varai-khichdi-dudhi"</t>
  </si>
  <si>
    <t xml:space="preserve">"2017-05-23 06:59:45.270656"</t>
  </si>
  <si>
    <t xml:space="preserve">"2017-05-23 06:59:45.270713"</t>
  </si>
  <si>
    <t xml:space="preserve">"69"</t>
  </si>
  <si>
    <t xml:space="preserve">"1760"</t>
  </si>
  <si>
    <t xml:space="preserve">"Alu"</t>
  </si>
  <si>
    <t xml:space="preserve">"varai-khichdi-alu"</t>
  </si>
  <si>
    <t xml:space="preserve">"2017-05-23 06:59:45.395484"</t>
  </si>
  <si>
    <t xml:space="preserve">"2017-05-23 06:59:45.395522"</t>
  </si>
  <si>
    <t xml:space="preserve">"8"</t>
  </si>
  <si>
    <t xml:space="preserve">"1.25"</t>
  </si>
  <si>
    <t xml:space="preserve">"1761"</t>
  </si>
  <si>
    <t xml:space="preserve">"Gajar"</t>
  </si>
  <si>
    <t xml:space="preserve">"varai-khichdi-gajar"</t>
  </si>
  <si>
    <t xml:space="preserve">"2017-05-23 06:59:45.524903"</t>
  </si>
  <si>
    <t xml:space="preserve">"2017-05-23 06:59:45.524945"</t>
  </si>
  <si>
    <t xml:space="preserve">"79"</t>
  </si>
  <si>
    <t xml:space="preserve">"1762"</t>
  </si>
  <si>
    <t xml:space="preserve">"Groundnut Oil"</t>
  </si>
  <si>
    <t xml:space="preserve">"varai-khichdi-ground-nut-oil"</t>
  </si>
  <si>
    <t xml:space="preserve">"2017-05-23 06:59:45.662732"</t>
  </si>
  <si>
    <t xml:space="preserve">"2017-05-23 06:59:45.662770"</t>
  </si>
  <si>
    <t xml:space="preserve">"89"</t>
  </si>
  <si>
    <t xml:space="preserve">"1763"</t>
  </si>
  <si>
    <t xml:space="preserve">"Jeera"</t>
  </si>
  <si>
    <t xml:space="preserve">"varai-khichdi-jeera"</t>
  </si>
  <si>
    <t xml:space="preserve">"2017-05-23 06:59:45.788590"</t>
  </si>
  <si>
    <t xml:space="preserve">"2017-05-23 06:59:45.788630"</t>
  </si>
  <si>
    <t xml:space="preserve">"102"</t>
  </si>
  <si>
    <t xml:space="preserve">"0.167"</t>
  </si>
  <si>
    <t xml:space="preserve">"1764"</t>
  </si>
  <si>
    <t xml:space="preserve">"Hari mirchi split in 2"</t>
  </si>
  <si>
    <t xml:space="preserve">"varai-khichdi-hari-mirchi"</t>
  </si>
  <si>
    <t xml:space="preserve">"2017-05-23 06:59:45.918483"</t>
  </si>
  <si>
    <t xml:space="preserve">"2017-05-23 06:59:45.918536"</t>
  </si>
  <si>
    <t xml:space="preserve">"93"</t>
  </si>
  <si>
    <t xml:space="preserve">"1765"</t>
  </si>
  <si>
    <t xml:space="preserve">"Madrasi Mirchi"</t>
  </si>
  <si>
    <t xml:space="preserve">"varai-khichdi-madrasi-mirchi-powder"</t>
  </si>
  <si>
    <t xml:space="preserve">"2017-05-23 06:59:46.084946"</t>
  </si>
  <si>
    <t xml:space="preserve">"2017-05-23 06:59:46.084988"</t>
  </si>
  <si>
    <t xml:space="preserve">"135"</t>
  </si>
  <si>
    <t xml:space="preserve">"1766"</t>
  </si>
  <si>
    <t xml:space="preserve">"Kadi Patta"</t>
  </si>
  <si>
    <t xml:space="preserve">"varai-khichdi-kadi-patta"</t>
  </si>
  <si>
    <t xml:space="preserve">"2017-05-23 06:59:46.255054"</t>
  </si>
  <si>
    <t xml:space="preserve">"2017-05-23 06:59:46.255205"</t>
  </si>
  <si>
    <t xml:space="preserve">"105"</t>
  </si>
  <si>
    <t xml:space="preserve">"1767"</t>
  </si>
  <si>
    <t xml:space="preserve">"Adrak paste"</t>
  </si>
  <si>
    <t xml:space="preserve">"varai-khichdi-adrak"</t>
  </si>
  <si>
    <t xml:space="preserve">"2017-05-23 06:59:46.390692"</t>
  </si>
  <si>
    <t xml:space="preserve">"2017-05-23 06:59:46.390728"</t>
  </si>
  <si>
    <t xml:space="preserve">"0.208"</t>
  </si>
  <si>
    <t xml:space="preserve">"1768"</t>
  </si>
  <si>
    <t xml:space="preserve">"Kashmiri Mirchi Powder"</t>
  </si>
  <si>
    <t xml:space="preserve">"varai-khichdi-kashmiri-chilly-powder"</t>
  </si>
  <si>
    <t xml:space="preserve">"2017-05-23 06:59:46.521973"</t>
  </si>
  <si>
    <t xml:space="preserve">"2017-05-23 06:59:46.522017"</t>
  </si>
  <si>
    <t xml:space="preserve">"117"</t>
  </si>
  <si>
    <t xml:space="preserve">"5"</t>
  </si>
  <si>
    <t xml:space="preserve">"1769"</t>
  </si>
  <si>
    <t xml:space="preserve">"Tomato"</t>
  </si>
  <si>
    <t xml:space="preserve">"varai-khichdi-tomato"</t>
  </si>
  <si>
    <t xml:space="preserve">"2017-05-23 06:59:46.655900"</t>
  </si>
  <si>
    <t xml:space="preserve">"2017-05-23 06:59:46.655939"</t>
  </si>
  <si>
    <t xml:space="preserve">"195"</t>
  </si>
  <si>
    <t xml:space="preserve">"1770"</t>
  </si>
  <si>
    <t xml:space="preserve">"Ghee"</t>
  </si>
  <si>
    <t xml:space="preserve">"varai-khichdi-ghee"</t>
  </si>
  <si>
    <t xml:space="preserve">"2017-05-23 06:59:46.755313"</t>
  </si>
  <si>
    <t xml:space="preserve">"2017-05-23 06:59:46.755354"</t>
  </si>
  <si>
    <t xml:space="preserve">"81"</t>
  </si>
  <si>
    <t xml:space="preserve">"0.5"</t>
  </si>
  <si>
    <t xml:space="preserve">"1771"</t>
  </si>
  <si>
    <t xml:space="preserve">"Dhania patta"</t>
  </si>
  <si>
    <t xml:space="preserve">"varai-khichdi-dhaniya-patta"</t>
  </si>
  <si>
    <t xml:space="preserve">"2017-05-23 06:59:46.890178"</t>
  </si>
  <si>
    <t xml:space="preserve">"2017-05-23 06:59:46.890230"</t>
  </si>
  <si>
    <t xml:space="preserve">"66"</t>
  </si>
  <si>
    <t xml:space="preserve">"0.1"</t>
  </si>
  <si>
    <t xml:space="preserve">"6"</t>
  </si>
  <si>
    <t xml:space="preserve">"1772"</t>
  </si>
  <si>
    <t xml:space="preserve">"Jeera pwd"</t>
  </si>
  <si>
    <t xml:space="preserve">"varai-khichdi-jeera-powder"</t>
  </si>
  <si>
    <t xml:space="preserve">"2017-05-23 06:59:47.000718"</t>
  </si>
  <si>
    <t xml:space="preserve">"2017-05-23 06:59:47.000758"</t>
  </si>
  <si>
    <t xml:space="preserve">"103"</t>
  </si>
  <si>
    <t xml:space="preserve">"0.083"</t>
  </si>
  <si>
    <t xml:space="preserve">"1773"</t>
  </si>
  <si>
    <t xml:space="preserve">"Salli"</t>
  </si>
  <si>
    <t xml:space="preserve">"potato-salli-salli"</t>
  </si>
  <si>
    <t xml:space="preserve">"2017-05-23 06:59:47.140144"</t>
  </si>
  <si>
    <t xml:space="preserve">"2017-05-23 06:59:47.140185"</t>
  </si>
  <si>
    <t xml:space="preserve">"215"</t>
  </si>
  <si>
    <t xml:space="preserve">"94"</t>
  </si>
  <si>
    <t xml:space="preserve">"4"</t>
  </si>
  <si>
    <t xml:space="preserve">"1774"</t>
  </si>
  <si>
    <t xml:space="preserve">"Black Pepper Pwd"</t>
  </si>
  <si>
    <t xml:space="preserve">"potato-salli-black-pepper"</t>
  </si>
  <si>
    <t xml:space="preserve">"2017-05-23 06:59:47.240710"</t>
  </si>
  <si>
    <t xml:space="preserve">"2017-05-23 06:59:47.240746"</t>
  </si>
  <si>
    <t xml:space="preserve">"31"</t>
  </si>
  <si>
    <t xml:space="preserve">"1775"</t>
  </si>
  <si>
    <t xml:space="preserve">"Black Salt"</t>
  </si>
  <si>
    <t xml:space="preserve">"potato-salli-black-salt"</t>
  </si>
  <si>
    <t xml:space="preserve">"2017-05-23 06:59:47.378731"</t>
  </si>
  <si>
    <t xml:space="preserve">"2017-05-23 06:59:47.378770"</t>
  </si>
  <si>
    <t xml:space="preserve">"32"</t>
  </si>
  <si>
    <t xml:space="preserve">"1776"</t>
  </si>
  <si>
    <t xml:space="preserve">"Salt"</t>
  </si>
  <si>
    <t xml:space="preserve">"potato-salli-salt"</t>
  </si>
  <si>
    <t xml:space="preserve">"2017-05-23 06:59:47.520797"</t>
  </si>
  <si>
    <t xml:space="preserve">"2017-05-23 06:59:47.520839"</t>
  </si>
  <si>
    <t xml:space="preserve">"177"</t>
  </si>
  <si>
    <t xml:space="preserve">"1777"</t>
  </si>
  <si>
    <t xml:space="preserve">"Oil for frying"</t>
  </si>
  <si>
    <t xml:space="preserve">"potato-salli-gound-nut-oil"</t>
  </si>
  <si>
    <t xml:space="preserve">"2017-05-23 06:59:47.664606"</t>
  </si>
  <si>
    <t xml:space="preserve">"2017-05-23 06:59:47.664665"</t>
  </si>
  <si>
    <t xml:space="preserve">"83"</t>
  </si>
  <si>
    <t xml:space="preserve">"1778"</t>
  </si>
  <si>
    <t xml:space="preserve">"varai-pulav2-varai"</t>
  </si>
  <si>
    <t xml:space="preserve">"2017-05-23 06:59:47.820846"</t>
  </si>
  <si>
    <t xml:space="preserve">"2017-05-23 06:59:47.820922"</t>
  </si>
  <si>
    <t xml:space="preserve">"96"</t>
  </si>
  <si>
    <t xml:space="preserve">"1779"</t>
  </si>
  <si>
    <t xml:space="preserve">"Groundnut oil for tadka"</t>
  </si>
  <si>
    <t xml:space="preserve">"varai-pulav2-ground-nut-oil"</t>
  </si>
  <si>
    <t xml:space="preserve">"2017-05-23 06:59:47.953699"</t>
  </si>
  <si>
    <t xml:space="preserve">"2017-05-23 06:59:47.953742"</t>
  </si>
  <si>
    <t xml:space="preserve">"10"</t>
  </si>
  <si>
    <t xml:space="preserve">"1780"</t>
  </si>
  <si>
    <t xml:space="preserve">"Tejpatta"</t>
  </si>
  <si>
    <t xml:space="preserve">"varai-pulav2-tej-patta"</t>
  </si>
  <si>
    <t xml:space="preserve">"2017-05-23 06:59:48.094815"</t>
  </si>
  <si>
    <t xml:space="preserve">"2017-05-23 06:59:48.094938"</t>
  </si>
  <si>
    <t xml:space="preserve">"191"</t>
  </si>
  <si>
    <t xml:space="preserve">"1781"</t>
  </si>
  <si>
    <t xml:space="preserve">"varai-pulav2-jeera"</t>
  </si>
  <si>
    <t xml:space="preserve">"2017-05-23 06:59:48.219428"</t>
  </si>
  <si>
    <t xml:space="preserve">"2017-05-23 06:59:48.219478"</t>
  </si>
  <si>
    <t xml:space="preserve">"0.75"</t>
  </si>
  <si>
    <t xml:space="preserve">"1782"</t>
  </si>
  <si>
    <t xml:space="preserve">"kadi patta"</t>
  </si>
  <si>
    <t xml:space="preserve">"varai-pulav2-kadi-patta"</t>
  </si>
  <si>
    <t xml:space="preserve">"2017-05-23 06:59:48.330233"</t>
  </si>
  <si>
    <t xml:space="preserve">"2017-05-23 06:59:48.330280"</t>
  </si>
  <si>
    <t xml:space="preserve">"1783"</t>
  </si>
  <si>
    <t xml:space="preserve">"varai-pulav2-gajar"</t>
  </si>
  <si>
    <t xml:space="preserve">"2017-05-23 06:59:48.463959"</t>
  </si>
  <si>
    <t xml:space="preserve">"2017-05-23 06:59:48.463998"</t>
  </si>
  <si>
    <t xml:space="preserve">"1784"</t>
  </si>
  <si>
    <t xml:space="preserve">"Cabbage"</t>
  </si>
  <si>
    <t xml:space="preserve">"varai-pulav2-cabbage"</t>
  </si>
  <si>
    <t xml:space="preserve">"2017-05-23 06:59:48.609328"</t>
  </si>
  <si>
    <t xml:space="preserve">"2017-05-23 06:59:48.609375"</t>
  </si>
  <si>
    <t xml:space="preserve">"39"</t>
  </si>
  <si>
    <t xml:space="preserve">"12"</t>
  </si>
  <si>
    <t xml:space="preserve">"1785"</t>
  </si>
  <si>
    <t xml:space="preserve">"Capsicum"</t>
  </si>
  <si>
    <t xml:space="preserve">"varai-pulav2-capsicum"</t>
  </si>
  <si>
    <t xml:space="preserve">"2017-05-23 06:59:48.751934"</t>
  </si>
  <si>
    <t xml:space="preserve">"2017-05-23 06:59:48.751988"</t>
  </si>
  <si>
    <t xml:space="preserve">"42"</t>
  </si>
  <si>
    <t xml:space="preserve">"3.5"</t>
  </si>
  <si>
    <t xml:space="preserve">"1786"</t>
  </si>
  <si>
    <t xml:space="preserve">"varai-pulav2-salt"</t>
  </si>
  <si>
    <t xml:space="preserve">"2017-05-23 06:59:48.891795"</t>
  </si>
  <si>
    <t xml:space="preserve">"2017-05-23 06:59:48.891841"</t>
  </si>
  <si>
    <t xml:space="preserve">"1787"</t>
  </si>
  <si>
    <t xml:space="preserve">"Everest Pulav Masala"</t>
  </si>
  <si>
    <t xml:space="preserve">"varai-pulav2-everest-pulav-masala"</t>
  </si>
  <si>
    <t xml:space="preserve">"2017-05-23 06:59:49.021080"</t>
  </si>
  <si>
    <t xml:space="preserve">"2017-05-23 06:59:49.021118"</t>
  </si>
  <si>
    <t xml:space="preserve">"74"</t>
  </si>
  <si>
    <t xml:space="preserve">"1788"</t>
  </si>
  <si>
    <t xml:space="preserve">"Hot water"</t>
  </si>
  <si>
    <t xml:space="preserve">"varai-pulav2-hot-water"</t>
  </si>
  <si>
    <t xml:space="preserve">"2017-05-23 06:59:49.172921"</t>
  </si>
  <si>
    <t xml:space="preserve">"2017-05-23 06:59:49.172961"</t>
  </si>
  <si>
    <t xml:space="preserve">"97"</t>
  </si>
  <si>
    <t xml:space="preserve">"2 x Vol of Varai"</t>
  </si>
  <si>
    <t xml:space="preserve">"60"</t>
  </si>
  <si>
    <t xml:space="preserve">"1789"</t>
  </si>
  <si>
    <t xml:space="preserve">"sugar"</t>
  </si>
  <si>
    <t xml:space="preserve">"varai-pulav2-sugar"</t>
  </si>
  <si>
    <t xml:space="preserve">"2017-05-23 06:59:49.490328"</t>
  </si>
  <si>
    <t xml:space="preserve">"2017-05-23 06:59:49.490365"</t>
  </si>
  <si>
    <t xml:space="preserve">"187"</t>
  </si>
  <si>
    <t xml:space="preserve">"1790"</t>
  </si>
  <si>
    <t xml:space="preserve">"ekadasi-soup-tomato"</t>
  </si>
  <si>
    <t xml:space="preserve">"2017-05-23 06:59:49.639679"</t>
  </si>
  <si>
    <t xml:space="preserve">"2017-05-23 06:59:49.639721"</t>
  </si>
  <si>
    <t xml:space="preserve">"91"</t>
  </si>
  <si>
    <t xml:space="preserve">"7.5"</t>
  </si>
  <si>
    <t xml:space="preserve">"1791"</t>
  </si>
  <si>
    <t xml:space="preserve">"ekadasi-soup-bhopla"</t>
  </si>
  <si>
    <t xml:space="preserve">"2017-05-23 06:59:49.807713"</t>
  </si>
  <si>
    <t xml:space="preserve">"2017-05-23 06:59:49.807754"</t>
  </si>
  <si>
    <t xml:space="preserve">"15"</t>
  </si>
  <si>
    <t xml:space="preserve">"1792"</t>
  </si>
  <si>
    <t xml:space="preserve">"ekadasi-soup-alu"</t>
  </si>
  <si>
    <t xml:space="preserve">"2017-05-23 06:59:49.958083"</t>
  </si>
  <si>
    <t xml:space="preserve">"2017-05-23 06:59:49.958127"</t>
  </si>
  <si>
    <t xml:space="preserve">"1793"</t>
  </si>
  <si>
    <t xml:space="preserve">"ekadasi-soup-gajar"</t>
  </si>
  <si>
    <t xml:space="preserve">"2017-05-23 06:59:50.090711"</t>
  </si>
  <si>
    <t xml:space="preserve">"2017-05-23 06:59:50.090753"</t>
  </si>
  <si>
    <t xml:space="preserve">"4.98"</t>
  </si>
  <si>
    <t xml:space="preserve">"1794"</t>
  </si>
  <si>
    <t xml:space="preserve">"Boiled water"</t>
  </si>
  <si>
    <t xml:space="preserve">"ekadasi-soup-water"</t>
  </si>
  <si>
    <t xml:space="preserve">"2017-05-23 06:59:50.228061"</t>
  </si>
  <si>
    <t xml:space="preserve">"2017-05-23 06:59:50.228105"</t>
  </si>
  <si>
    <t xml:space="preserve">"214"</t>
  </si>
  <si>
    <t xml:space="preserve">"1795"</t>
  </si>
  <si>
    <t xml:space="preserve">"Boiled vegetables puree"</t>
  </si>
  <si>
    <t xml:space="preserve">"ekadasi-soup-boiled-vegetables-puree"</t>
  </si>
  <si>
    <t xml:space="preserve">"2017-05-23 06:59:50.361619"</t>
  </si>
  <si>
    <t xml:space="preserve">"2017-05-23 06:59:50.361660"</t>
  </si>
  <si>
    <t xml:space="preserve">"217"</t>
  </si>
  <si>
    <t xml:space="preserve">"1796"</t>
  </si>
  <si>
    <t xml:space="preserve">"EVOO / butter"</t>
  </si>
  <si>
    <t xml:space="preserve">"ekadasi-soup-evoo"</t>
  </si>
  <si>
    <t xml:space="preserve">"2017-05-23 06:59:50.461823"</t>
  </si>
  <si>
    <t xml:space="preserve">"2017-05-23 06:59:50.461862"</t>
  </si>
  <si>
    <t xml:space="preserve">"76"</t>
  </si>
  <si>
    <t xml:space="preserve">"1.5"</t>
  </si>
  <si>
    <t xml:space="preserve">"1797"</t>
  </si>
  <si>
    <t xml:space="preserve">"EVOO on Top"</t>
  </si>
  <si>
    <t xml:space="preserve">"ekadasi-soup-evoo-1796"</t>
  </si>
  <si>
    <t xml:space="preserve">"2017-05-23 06:59:50.596115"</t>
  </si>
  <si>
    <t xml:space="preserve">"2017-05-23 06:59:50.596151"</t>
  </si>
  <si>
    <t xml:space="preserve">"1798"</t>
  </si>
  <si>
    <t xml:space="preserve">"Black Pepper pwd"</t>
  </si>
  <si>
    <t xml:space="preserve">"ekadasi-soup-black-pepper"</t>
  </si>
  <si>
    <t xml:space="preserve">"2017-05-23 06:59:50.694513"</t>
  </si>
  <si>
    <t xml:space="preserve">"2017-05-23 06:59:50.694554"</t>
  </si>
  <si>
    <t xml:space="preserve">"0.498"</t>
  </si>
  <si>
    <t xml:space="preserve">"1799"</t>
  </si>
  <si>
    <t xml:space="preserve">"Basil Leaves"</t>
  </si>
  <si>
    <t xml:space="preserve">"ekadasi-soup-basil-leaves"</t>
  </si>
  <si>
    <t xml:space="preserve">"2017-05-23 06:59:50.794403"</t>
  </si>
  <si>
    <t xml:space="preserve">"2017-05-23 06:59:50.794448"</t>
  </si>
  <si>
    <t xml:space="preserve">"24"</t>
  </si>
  <si>
    <t xml:space="preserve">"0.4"</t>
  </si>
  <si>
    <t xml:space="preserve">"1800"</t>
  </si>
  <si>
    <t xml:space="preserve">"Brown sugar (bluebird)"</t>
  </si>
  <si>
    <t xml:space="preserve">"ekadasi-soup-brown-sugar"</t>
  </si>
  <si>
    <t xml:space="preserve">"2017-05-23 06:59:50.893677"</t>
  </si>
  <si>
    <t xml:space="preserve">"2017-05-23 06:59:50.893724"</t>
  </si>
  <si>
    <t xml:space="preserve">"37"</t>
  </si>
  <si>
    <t xml:space="preserve">"1801"</t>
  </si>
  <si>
    <t xml:space="preserve">"ekadasi-soup-salt"</t>
  </si>
  <si>
    <t xml:space="preserve">"2017-05-23 06:59:51.061224"</t>
  </si>
  <si>
    <t xml:space="preserve">"2017-05-23 06:59:51.061262"</t>
  </si>
  <si>
    <t xml:space="preserve">"2.988"</t>
  </si>
  <si>
    <t xml:space="preserve">"1802"</t>
  </si>
  <si>
    <t xml:space="preserve">"Lemon Juice"</t>
  </si>
  <si>
    <t xml:space="preserve">"ekadasi-soup-lemon"</t>
  </si>
  <si>
    <t xml:space="preserve">"2017-05-23 06:59:51.226717"</t>
  </si>
  <si>
    <t xml:space="preserve">"2017-05-23 06:59:51.226785"</t>
  </si>
  <si>
    <t xml:space="preserve">"129"</t>
  </si>
  <si>
    <t xml:space="preserve">"1803"</t>
  </si>
  <si>
    <t xml:space="preserve">"alu-flower-gravy-ekadashi-alu"</t>
  </si>
  <si>
    <t xml:space="preserve">"2017-05-23 06:59:51.377090"</t>
  </si>
  <si>
    <t xml:space="preserve">"2017-05-23 06:59:51.377125"</t>
  </si>
  <si>
    <t xml:space="preserve">"90"</t>
  </si>
  <si>
    <t xml:space="preserve">"(1/2 inch cube steamed)"</t>
  </si>
  <si>
    <t xml:space="preserve">"11.667"</t>
  </si>
  <si>
    <t xml:space="preserve">"1804"</t>
  </si>
  <si>
    <t xml:space="preserve">"Flower"</t>
  </si>
  <si>
    <t xml:space="preserve">"alu-flower-gravy-ekadashi-flower"</t>
  </si>
  <si>
    <t xml:space="preserve">"2017-05-23 06:59:51.515597"</t>
  </si>
  <si>
    <t xml:space="preserve">"2017-05-23 06:59:51.515639"</t>
  </si>
  <si>
    <t xml:space="preserve">"78"</t>
  </si>
  <si>
    <t xml:space="preserve">"(florets after cutting)"</t>
  </si>
  <si>
    <t xml:space="preserve">"29.167"</t>
  </si>
  <si>
    <t xml:space="preserve">"35"</t>
  </si>
  <si>
    <t xml:space="preserve">"1805"</t>
  </si>
  <si>
    <t xml:space="preserve">"alu-flower-gravy-ekadashi-flower-1804"</t>
  </si>
  <si>
    <t xml:space="preserve">"2017-05-23 06:59:51.671473"</t>
  </si>
  <si>
    <t xml:space="preserve">"2017-05-23 06:59:51.671508"</t>
  </si>
  <si>
    <t xml:space="preserve">"(deep fried)"</t>
  </si>
  <si>
    <t xml:space="preserve">"1806"</t>
  </si>
  <si>
    <t xml:space="preserve">"Tomato puree"</t>
  </si>
  <si>
    <t xml:space="preserve">"alu-flower-gravy-ekadashi-tomato"</t>
  </si>
  <si>
    <t xml:space="preserve">"2017-05-23 06:59:51.816677"</t>
  </si>
  <si>
    <t xml:space="preserve">"2017-05-23 06:59:51.816716"</t>
  </si>
  <si>
    <t xml:space="preserve">"14.583"</t>
  </si>
  <si>
    <t xml:space="preserve">"1807"</t>
  </si>
  <si>
    <t xml:space="preserve">"alu-flower-gravy-ekadashi-ghee"</t>
  </si>
  <si>
    <t xml:space="preserve">"2017-05-23 06:59:51.958967"</t>
  </si>
  <si>
    <t xml:space="preserve">"2017-05-23 06:59:51.959029"</t>
  </si>
  <si>
    <t xml:space="preserve">"0.875"</t>
  </si>
  <si>
    <t xml:space="preserve">"1808"</t>
  </si>
  <si>
    <t xml:space="preserve">"alu-flower-gravy-ekadashi-jeera"</t>
  </si>
  <si>
    <t xml:space="preserve">"2017-05-23 06:59:52.104704"</t>
  </si>
  <si>
    <t xml:space="preserve">"2017-05-23 06:59:52.104748"</t>
  </si>
  <si>
    <t xml:space="preserve">"1809"</t>
  </si>
  <si>
    <t xml:space="preserve">"Hari Mirchi split in 2"</t>
  </si>
  <si>
    <t xml:space="preserve">"alu-flower-gravy-ekadashi-hari-mirchi"</t>
  </si>
  <si>
    <t xml:space="preserve">"2017-05-23 06:59:52.257521"</t>
  </si>
  <si>
    <t xml:space="preserve">"2017-05-23 06:59:52.257634"</t>
  </si>
  <si>
    <t xml:space="preserve">"1.167"</t>
  </si>
  <si>
    <t xml:space="preserve">"1810"</t>
  </si>
  <si>
    <t xml:space="preserve">"alu-flower-gravy-ekadashi-adrak"</t>
  </si>
  <si>
    <t xml:space="preserve">"2017-05-23 06:59:52.405856"</t>
  </si>
  <si>
    <t xml:space="preserve">"2017-05-23 06:59:52.405911"</t>
  </si>
  <si>
    <t xml:space="preserve">"0.438"</t>
  </si>
  <si>
    <t xml:space="preserve">"1811"</t>
  </si>
  <si>
    <t xml:space="preserve">"alu-flower-gravy-ekadashi-jeera-powder"</t>
  </si>
  <si>
    <t xml:space="preserve">"2017-05-23 06:59:52.541806"</t>
  </si>
  <si>
    <t xml:space="preserve">"2017-05-23 06:59:52.541875"</t>
  </si>
  <si>
    <t xml:space="preserve">"1812"</t>
  </si>
  <si>
    <t xml:space="preserve">"Dhania Pwd"</t>
  </si>
  <si>
    <t xml:space="preserve">"alu-flower-gravy-ekadashi-dhaniya-powder"</t>
  </si>
  <si>
    <t xml:space="preserve">"2017-05-23 06:59:52.669431"</t>
  </si>
  <si>
    <t xml:space="preserve">"2017-05-23 06:59:52.669472"</t>
  </si>
  <si>
    <t xml:space="preserve">"67"</t>
  </si>
  <si>
    <t xml:space="preserve">"1.75"</t>
  </si>
  <si>
    <t xml:space="preserve">"1813"</t>
  </si>
  <si>
    <t xml:space="preserve">"alu-flower-gravy-ekadashi-salt"</t>
  </si>
  <si>
    <t xml:space="preserve">"2017-05-23 06:59:52.836057"</t>
  </si>
  <si>
    <t xml:space="preserve">"2017-05-23 06:59:52.836095"</t>
  </si>
  <si>
    <t xml:space="preserve">"1.313"</t>
  </si>
  <si>
    <t xml:space="preserve">"1814"</t>
  </si>
  <si>
    <t xml:space="preserve">"Everest pulao masala"</t>
  </si>
  <si>
    <t xml:space="preserve">"alu-flower-gravy-ekadashi-everest-pulav-masala"</t>
  </si>
  <si>
    <t xml:space="preserve">"2017-05-23 06:59:52.968326"</t>
  </si>
  <si>
    <t xml:space="preserve">"2017-05-23 06:59:52.968372"</t>
  </si>
  <si>
    <t xml:space="preserve">"1815"</t>
  </si>
  <si>
    <t xml:space="preserve">"alu-flower-gravy-ekadashi-kashmiri-chilly-powder"</t>
  </si>
  <si>
    <t xml:space="preserve">"2017-05-23 06:59:53.104313"</t>
  </si>
  <si>
    <t xml:space="preserve">"2017-05-23 06:59:53.104351"</t>
  </si>
  <si>
    <t xml:space="preserve">"0.35"</t>
  </si>
  <si>
    <t xml:space="preserve">"1816"</t>
  </si>
  <si>
    <t xml:space="preserve">"Kaju paste"</t>
  </si>
  <si>
    <t xml:space="preserve">"alu-flower-gravy-ekadashi-kaju"</t>
  </si>
  <si>
    <t xml:space="preserve">"2017-05-23 06:59:53.252974"</t>
  </si>
  <si>
    <t xml:space="preserve">"2017-05-23 06:59:53.253019"</t>
  </si>
  <si>
    <t xml:space="preserve">"107"</t>
  </si>
  <si>
    <t xml:space="preserve">"0.583"</t>
  </si>
  <si>
    <t xml:space="preserve">"1817"</t>
  </si>
  <si>
    <t xml:space="preserve">"alu-flower-gravy-ekadashi-brown-sugar"</t>
  </si>
  <si>
    <t xml:space="preserve">"2017-05-23 06:59:53.379089"</t>
  </si>
  <si>
    <t xml:space="preserve">"2017-05-23 06:59:53.379141"</t>
  </si>
  <si>
    <t xml:space="preserve">"0.425"</t>
  </si>
  <si>
    <t xml:space="preserve">"1818"</t>
  </si>
  <si>
    <t xml:space="preserve">"Dhania Patta"</t>
  </si>
  <si>
    <t xml:space="preserve">"alu-flower-gravy-ekadashi-dhaniya-patta"</t>
  </si>
  <si>
    <t xml:space="preserve">"2017-05-23 06:59:53.513020"</t>
  </si>
  <si>
    <t xml:space="preserve">"2017-05-23 06:59:53.513061"</t>
  </si>
  <si>
    <t xml:space="preserve">"1819"</t>
  </si>
  <si>
    <t xml:space="preserve">"alu-flower-gravy-ekadashi-gound-nut-oil"</t>
  </si>
  <si>
    <t xml:space="preserve">"2017-05-23 06:59:53.629476"</t>
  </si>
  <si>
    <t xml:space="preserve">"2017-05-23 06:59:53.629528"</t>
  </si>
  <si>
    <t xml:space="preserve">"1820"</t>
  </si>
  <si>
    <t xml:space="preserve">"Boiled singdana"</t>
  </si>
  <si>
    <t xml:space="preserve">"kakdi-singdana-salad-singdana"</t>
  </si>
  <si>
    <t xml:space="preserve">"2017-05-23 06:59:53.767582"</t>
  </si>
  <si>
    <t xml:space="preserve">"2017-05-23 06:59:53.767626"</t>
  </si>
  <si>
    <t xml:space="preserve">"183"</t>
  </si>
  <si>
    <t xml:space="preserve">"92"</t>
  </si>
  <si>
    <t xml:space="preserve">"1821"</t>
  </si>
  <si>
    <t xml:space="preserve">"Kakdi chopped"</t>
  </si>
  <si>
    <t xml:space="preserve">"kakdi-singdana-salad-kakdi"</t>
  </si>
  <si>
    <t xml:space="preserve">"2017-05-23 06:59:53.888926"</t>
  </si>
  <si>
    <t xml:space="preserve">"2017-05-23 06:59:53.888988"</t>
  </si>
  <si>
    <t xml:space="preserve">"111"</t>
  </si>
  <si>
    <t xml:space="preserve">"1822"</t>
  </si>
  <si>
    <t xml:space="preserve">"tomato chopped"</t>
  </si>
  <si>
    <t xml:space="preserve">"kakdi-singdana-salad-tomato"</t>
  </si>
  <si>
    <t xml:space="preserve">"2017-05-23 06:59:53.979845"</t>
  </si>
  <si>
    <t xml:space="preserve">"2017-05-23 06:59:53.979911"</t>
  </si>
  <si>
    <t xml:space="preserve">"1823"</t>
  </si>
  <si>
    <t xml:space="preserve">"Hari mirchi fine chopped"</t>
  </si>
  <si>
    <t xml:space="preserve">"kakdi-singdana-salad-hari-mirchi"</t>
  </si>
  <si>
    <t xml:space="preserve">"2017-05-23 06:59:54.091639"</t>
  </si>
  <si>
    <t xml:space="preserve">"2017-05-23 06:59:54.091769"</t>
  </si>
  <si>
    <t xml:space="preserve">"1824"</t>
  </si>
  <si>
    <t xml:space="preserve">"kakdi-singdana-salad-salt"</t>
  </si>
  <si>
    <t xml:space="preserve">"2017-05-23 06:59:54.196796"</t>
  </si>
  <si>
    <t xml:space="preserve">"2017-05-23 06:59:54.196837"</t>
  </si>
  <si>
    <t xml:space="preserve">"1825"</t>
  </si>
  <si>
    <t xml:space="preserve">"kakdi-singdana-salad-dhaniya-patta"</t>
  </si>
  <si>
    <t xml:space="preserve">"2017-05-23 06:59:54.310793"</t>
  </si>
  <si>
    <t xml:space="preserve">"2017-05-23 06:59:54.310851"</t>
  </si>
  <si>
    <t xml:space="preserve">"1826"</t>
  </si>
  <si>
    <t xml:space="preserve">"Rocket leaves"</t>
  </si>
  <si>
    <t xml:space="preserve">"kakdi-singdana-salad-rocket-leaves"</t>
  </si>
  <si>
    <t xml:space="preserve">"2017-05-23 06:59:54.428404"</t>
  </si>
  <si>
    <t xml:space="preserve">"2017-05-23 06:59:54.428440"</t>
  </si>
  <si>
    <t xml:space="preserve">"218"</t>
  </si>
  <si>
    <t xml:space="preserve">"2.5"</t>
  </si>
  <si>
    <t xml:space="preserve">"1827"</t>
  </si>
  <si>
    <t xml:space="preserve">"EVOO"</t>
  </si>
  <si>
    <t xml:space="preserve">"kakdi-singdana-salad-evoo"</t>
  </si>
  <si>
    <t xml:space="preserve">"2017-05-23 06:59:54.555343"</t>
  </si>
  <si>
    <t xml:space="preserve">"2017-05-23 06:59:54.555383"</t>
  </si>
  <si>
    <t xml:space="preserve">"1828"</t>
  </si>
  <si>
    <t xml:space="preserve">"Boiled alu"</t>
  </si>
  <si>
    <t xml:space="preserve">"kakdi-singdana-salad-alu"</t>
  </si>
  <si>
    <t xml:space="preserve">"2017-05-23 06:59:54.698651"</t>
  </si>
  <si>
    <t xml:space="preserve">"2017-05-23 06:59:54.698694"</t>
  </si>
  <si>
    <t xml:space="preserve">"1829"</t>
  </si>
  <si>
    <t xml:space="preserve">"Coal for smoke flavor"</t>
  </si>
  <si>
    <t xml:space="preserve">"kakdi-singdana-salad-coal"</t>
  </si>
  <si>
    <t xml:space="preserve">"2017-05-23 06:59:54.827940"</t>
  </si>
  <si>
    <t xml:space="preserve">"2017-05-23 06:59:54.827977"</t>
  </si>
  <si>
    <t xml:space="preserve">"219"</t>
  </si>
  <si>
    <t xml:space="preserve">"1830"</t>
  </si>
  <si>
    <t xml:space="preserve">"oil for frying"</t>
  </si>
  <si>
    <t xml:space="preserve">"potato-chips-gound-nut-oil"</t>
  </si>
  <si>
    <t xml:space="preserve">"2017-05-23 06:59:54.994554"</t>
  </si>
  <si>
    <t xml:space="preserve">"2017-05-23 06:59:54.994590"</t>
  </si>
  <si>
    <t xml:space="preserve">"1831"</t>
  </si>
  <si>
    <t xml:space="preserve">"Potato Chips"</t>
  </si>
  <si>
    <t xml:space="preserve">"potato-chips-potato-chips"</t>
  </si>
  <si>
    <t xml:space="preserve">"2017-05-23 06:59:55.134685"</t>
  </si>
  <si>
    <t xml:space="preserve">"2017-05-23 06:59:55.134724"</t>
  </si>
  <si>
    <t xml:space="preserve">"220"</t>
  </si>
  <si>
    <t xml:space="preserve">"1832"</t>
  </si>
  <si>
    <t xml:space="preserve">"black pepper powder"</t>
  </si>
  <si>
    <t xml:space="preserve">"potato-chips-black-pepper"</t>
  </si>
  <si>
    <t xml:space="preserve">"2017-05-23 06:59:55.282032"</t>
  </si>
  <si>
    <t xml:space="preserve">"2017-05-23 06:59:55.282068"</t>
  </si>
  <si>
    <t xml:space="preserve">"1833"</t>
  </si>
  <si>
    <t xml:space="preserve">"black salt powder"</t>
  </si>
  <si>
    <t xml:space="preserve">"potato-chips-black-salt"</t>
  </si>
  <si>
    <t xml:space="preserve">"2017-05-23 06:59:55.420460"</t>
  </si>
  <si>
    <t xml:space="preserve">"2017-05-23 06:59:55.420506"</t>
  </si>
  <si>
    <t xml:space="preserve">"1834"</t>
  </si>
  <si>
    <t xml:space="preserve">"salt"</t>
  </si>
  <si>
    <t xml:space="preserve">"potato-chips-salt"</t>
  </si>
  <si>
    <t xml:space="preserve">"2017-05-23 06:59:55.570396"</t>
  </si>
  <si>
    <t xml:space="preserve">"2017-05-23 06:59:55.570432"</t>
  </si>
  <si>
    <t xml:space="preserve">"1835"</t>
  </si>
  <si>
    <t xml:space="preserve">"spicy-potato-alu"</t>
  </si>
  <si>
    <t xml:space="preserve">"2017-05-23 06:59:55.708781"</t>
  </si>
  <si>
    <t xml:space="preserve">"2017-05-23 06:59:55.708847"</t>
  </si>
  <si>
    <t xml:space="preserve">"73"</t>
  </si>
  <si>
    <t xml:space="preserve">"0.5"" boiled"</t>
  </si>
  <si>
    <t xml:space="preserve">"1836"</t>
  </si>
  <si>
    <t xml:space="preserve">"spicy-potato-cabbage"</t>
  </si>
  <si>
    <t xml:space="preserve">"2017-05-23 06:59:55.853790"</t>
  </si>
  <si>
    <t xml:space="preserve">"2017-05-23 06:59:55.853830"</t>
  </si>
  <si>
    <t xml:space="preserve">"fine chopped"</t>
  </si>
  <si>
    <t xml:space="preserve">"1837"</t>
  </si>
  <si>
    <t xml:space="preserve">"spicy-potato-capsicum"</t>
  </si>
  <si>
    <t xml:space="preserve">"2017-05-23 06:59:55.999222"</t>
  </si>
  <si>
    <t xml:space="preserve">"2017-05-23 06:59:55.999262"</t>
  </si>
  <si>
    <t xml:space="preserve">"1838"</t>
  </si>
  <si>
    <t xml:space="preserve">"Coconuts"</t>
  </si>
  <si>
    <t xml:space="preserve">"spicy-potato-coconut"</t>
  </si>
  <si>
    <t xml:space="preserve">"2017-05-23 06:59:56.141547"</t>
  </si>
  <si>
    <t xml:space="preserve">"2017-05-23 06:59:56.141629"</t>
  </si>
  <si>
    <t xml:space="preserve">"54"</t>
  </si>
  <si>
    <t xml:space="preserve">"grated"</t>
  </si>
  <si>
    <t xml:space="preserve">"16"</t>
  </si>
  <si>
    <t xml:space="preserve">"1839"</t>
  </si>
  <si>
    <t xml:space="preserve">"Imli"</t>
  </si>
  <si>
    <t xml:space="preserve">"spicy-potato-imli"</t>
  </si>
  <si>
    <t xml:space="preserve">"2017-05-23 06:59:56.282306"</t>
  </si>
  <si>
    <t xml:space="preserve">"2017-05-23 06:59:56.282375"</t>
  </si>
  <si>
    <t xml:space="preserve">"98"</t>
  </si>
  <si>
    <t xml:space="preserve">"1840"</t>
  </si>
  <si>
    <t xml:space="preserve">"Kashmiri mirchi"</t>
  </si>
  <si>
    <t xml:space="preserve">"spicy-potato-kashmiri-chilly-powder"</t>
  </si>
  <si>
    <t xml:space="preserve">"2017-05-23 06:59:56.418373"</t>
  </si>
  <si>
    <t xml:space="preserve">"2017-05-23 06:59:56.418433"</t>
  </si>
  <si>
    <t xml:space="preserve">"500"</t>
  </si>
  <si>
    <t xml:space="preserve">"7"</t>
  </si>
  <si>
    <t xml:space="preserve">"1841"</t>
  </si>
  <si>
    <t xml:space="preserve">"Madrasi mirchi"</t>
  </si>
  <si>
    <t xml:space="preserve">"spicy-potato-madrasi-mirchi-powder"</t>
  </si>
  <si>
    <t xml:space="preserve">"2017-05-23 06:59:56.542985"</t>
  </si>
  <si>
    <t xml:space="preserve">"2017-05-23 06:59:56.543030"</t>
  </si>
  <si>
    <t xml:space="preserve">"120"</t>
  </si>
  <si>
    <t xml:space="preserve">"1842"</t>
  </si>
  <si>
    <t xml:space="preserve">"Akha dhaniya"</t>
  </si>
  <si>
    <t xml:space="preserve">"spicy-potato-akha-dhaniya"</t>
  </si>
  <si>
    <t xml:space="preserve">"2017-05-23 06:59:56.681687"</t>
  </si>
  <si>
    <t xml:space="preserve">"2017-05-23 06:59:56.681724"</t>
  </si>
  <si>
    <t xml:space="preserve">"1843"</t>
  </si>
  <si>
    <t xml:space="preserve">"spicy-potato-salt"</t>
  </si>
  <si>
    <t xml:space="preserve">"2017-05-23 06:59:56.816434"</t>
  </si>
  <si>
    <t xml:space="preserve">"2017-05-23 06:59:56.816594"</t>
  </si>
  <si>
    <t xml:space="preserve">"1844"</t>
  </si>
  <si>
    <t xml:space="preserve">"Grountnut Oil"</t>
  </si>
  <si>
    <t xml:space="preserve">"spicy-potato-ground-nut-oil"</t>
  </si>
  <si>
    <t xml:space="preserve">"2017-05-23 06:59:56.951175"</t>
  </si>
  <si>
    <t xml:space="preserve">"2017-05-23 06:59:56.951246"</t>
  </si>
  <si>
    <t xml:space="preserve">"1845"</t>
  </si>
  <si>
    <t xml:space="preserve">"spicy-potato-hot-water"</t>
  </si>
  <si>
    <t xml:space="preserve">"2017-05-23 06:59:57.100087"</t>
  </si>
  <si>
    <t xml:space="preserve">"2017-05-23 06:59:57.100127"</t>
  </si>
  <si>
    <t xml:space="preserve">"1846"</t>
  </si>
  <si>
    <t xml:space="preserve">"pav-bhaji-bhaji-alu"</t>
  </si>
  <si>
    <t xml:space="preserve">"2017-05-23 06:59:57.236099"</t>
  </si>
  <si>
    <t xml:space="preserve">"2017-05-23 06:59:57.236146"</t>
  </si>
  <si>
    <t xml:space="preserve">"boiled,mashed"</t>
  </si>
  <si>
    <t xml:space="preserve">"1847"</t>
  </si>
  <si>
    <t xml:space="preserve">"pav-bhaji-bhaji-tomato"</t>
  </si>
  <si>
    <t xml:space="preserve">"2017-05-23 06:59:57.382045"</t>
  </si>
  <si>
    <t xml:space="preserve">"2017-05-23 06:59:57.382159"</t>
  </si>
  <si>
    <t xml:space="preserve">"steam puree"</t>
  </si>
  <si>
    <t xml:space="preserve">"1848"</t>
  </si>
  <si>
    <t xml:space="preserve">"Safed watana or"</t>
  </si>
  <si>
    <t xml:space="preserve">"pav-bhaji-bhaji-safed-watana"</t>
  </si>
  <si>
    <t xml:space="preserve">"2017-05-23 06:59:57.520689"</t>
  </si>
  <si>
    <t xml:space="preserve">"2017-05-23 06:59:57.520727"</t>
  </si>
  <si>
    <t xml:space="preserve">"176"</t>
  </si>
  <si>
    <t xml:space="preserve">"1849"</t>
  </si>
  <si>
    <t xml:space="preserve">"Green peas"</t>
  </si>
  <si>
    <t xml:space="preserve">"pav-bhaji-bhaji-green-peas"</t>
  </si>
  <si>
    <t xml:space="preserve">"2017-05-23 06:59:57.671522"</t>
  </si>
  <si>
    <t xml:space="preserve">"2017-05-23 06:59:57.671608"</t>
  </si>
  <si>
    <t xml:space="preserve">"88"</t>
  </si>
  <si>
    <t xml:space="preserve">"1850"</t>
  </si>
  <si>
    <t xml:space="preserve">"pav-bhaji-bhaji-flower"</t>
  </si>
  <si>
    <t xml:space="preserve">"2017-05-23 06:59:57.808130"</t>
  </si>
  <si>
    <t xml:space="preserve">"2017-05-23 06:59:57.808168"</t>
  </si>
  <si>
    <t xml:space="preserve">"grated,saute"</t>
  </si>
  <si>
    <t xml:space="preserve">"1851"</t>
  </si>
  <si>
    <t xml:space="preserve">"pav-bhaji-bhaji-capsicum"</t>
  </si>
  <si>
    <t xml:space="preserve">"2017-05-23 06:59:57.943504"</t>
  </si>
  <si>
    <t xml:space="preserve">"2017-05-23 06:59:57.943541"</t>
  </si>
  <si>
    <t xml:space="preserve">"fine chopped,saute"</t>
  </si>
  <si>
    <t xml:space="preserve">"1852"</t>
  </si>
  <si>
    <t xml:space="preserve">"Oil"</t>
  </si>
  <si>
    <t xml:space="preserve">"pav-bhaji-bhaji-gound-nut-oil"</t>
  </si>
  <si>
    <t xml:space="preserve">"2017-05-23 06:59:58.075919"</t>
  </si>
  <si>
    <t xml:space="preserve">"2017-05-23 06:59:58.075997"</t>
  </si>
  <si>
    <t xml:space="preserve">"1853"</t>
  </si>
  <si>
    <t xml:space="preserve">"pav-bhaji-bhaji-adrak"</t>
  </si>
  <si>
    <t xml:space="preserve">"2017-05-23 06:59:58.205344"</t>
  </si>
  <si>
    <t xml:space="preserve">"2017-05-23 06:59:58.205385"</t>
  </si>
  <si>
    <t xml:space="preserve">"1854"</t>
  </si>
  <si>
    <t xml:space="preserve">"Kashmiri powder"</t>
  </si>
  <si>
    <t xml:space="preserve">"pav-bhaji-bhaji-kashmiri-chilly-powder"</t>
  </si>
  <si>
    <t xml:space="preserve">"2017-05-23 06:59:58.354062"</t>
  </si>
  <si>
    <t xml:space="preserve">"2017-05-23 06:59:58.354098"</t>
  </si>
  <si>
    <t xml:space="preserve">"1855"</t>
  </si>
  <si>
    <t xml:space="preserve">"Badshah pav bhaji masala"</t>
  </si>
  <si>
    <t xml:space="preserve">"pav-bhaji-bhaji-badshah-pav-bhaji-masala"</t>
  </si>
  <si>
    <t xml:space="preserve">"2017-05-23 06:59:58.499942"</t>
  </si>
  <si>
    <t xml:space="preserve">"2017-05-23 06:59:58.499978"</t>
  </si>
  <si>
    <t xml:space="preserve">"19"</t>
  </si>
  <si>
    <t xml:space="preserve">"1.6"</t>
  </si>
  <si>
    <t xml:space="preserve">"1856"</t>
  </si>
  <si>
    <t xml:space="preserve">"pav-bhaji-bhaji-salt"</t>
  </si>
  <si>
    <t xml:space="preserve">"2017-05-23 06:59:58.626266"</t>
  </si>
  <si>
    <t xml:space="preserve">"2017-05-23 06:59:58.626340"</t>
  </si>
  <si>
    <t xml:space="preserve">"4.5"</t>
  </si>
  <si>
    <t xml:space="preserve">"1857"</t>
  </si>
  <si>
    <t xml:space="preserve">"pav-bhaji-bhaji-hot-water"</t>
  </si>
  <si>
    <t xml:space="preserve">"2017-05-23 06:59:58.752224"</t>
  </si>
  <si>
    <t xml:space="preserve">"2017-05-23 06:59:58.752262"</t>
  </si>
  <si>
    <t xml:space="preserve">"1858"</t>
  </si>
  <si>
    <t xml:space="preserve">"Butter"</t>
  </si>
  <si>
    <t xml:space="preserve">"pav-bhaji-bhaji-butter"</t>
  </si>
  <si>
    <t xml:space="preserve">"2017-05-23 06:59:58.881129"</t>
  </si>
  <si>
    <t xml:space="preserve">"2017-05-23 06:59:58.881175"</t>
  </si>
  <si>
    <t xml:space="preserve">"38"</t>
  </si>
  <si>
    <t xml:space="preserve">"1859"</t>
  </si>
  <si>
    <t xml:space="preserve">"Lemon juice"</t>
  </si>
  <si>
    <t xml:space="preserve">"pav-bhaji-bhaji-lemon"</t>
  </si>
  <si>
    <t xml:space="preserve">"2017-05-23 06:59:59.007266"</t>
  </si>
  <si>
    <t xml:space="preserve">"2017-05-23 06:59:59.007306"</t>
  </si>
  <si>
    <t xml:space="preserve">"1860"</t>
  </si>
  <si>
    <t xml:space="preserve">"Jackfruit"</t>
  </si>
  <si>
    <t xml:space="preserve">"jackfruit-gravy-jackfruit"</t>
  </si>
  <si>
    <t xml:space="preserve">"2017-05-23 06:59:59.114860"</t>
  </si>
  <si>
    <t xml:space="preserve">"2017-05-23 06:59:59.114920"</t>
  </si>
  <si>
    <t xml:space="preserve">"99"</t>
  </si>
  <si>
    <t xml:space="preserve">"33"</t>
  </si>
  <si>
    <t xml:space="preserve">"cut,boiled,fried"</t>
  </si>
  <si>
    <t xml:space="preserve">"1861"</t>
  </si>
  <si>
    <t xml:space="preserve">"jackfruit-gravy-tomato"</t>
  </si>
  <si>
    <t xml:space="preserve">"2017-05-23 06:59:59.235828"</t>
  </si>
  <si>
    <t xml:space="preserve">"2017-05-23 06:59:59.235872"</t>
  </si>
  <si>
    <t xml:space="preserve">"1862"</t>
  </si>
  <si>
    <t xml:space="preserve">"jackfruit-gravy-kaju"</t>
  </si>
  <si>
    <t xml:space="preserve">"2017-05-23 06:59:59.330994"</t>
  </si>
  <si>
    <t xml:space="preserve">"2017-05-23 06:59:59.331032"</t>
  </si>
  <si>
    <t xml:space="preserve">"boiled paste"</t>
  </si>
  <si>
    <t xml:space="preserve">"1863"</t>
  </si>
  <si>
    <t xml:space="preserve">"jackfruit-gravy-gound-nut-oil"</t>
  </si>
  <si>
    <t xml:space="preserve">"2017-05-23 06:59:59.447075"</t>
  </si>
  <si>
    <t xml:space="preserve">"2017-05-23 06:59:59.447122"</t>
  </si>
  <si>
    <t xml:space="preserve">"1864"</t>
  </si>
  <si>
    <t xml:space="preserve">"jackfruit-gravy-jeera"</t>
  </si>
  <si>
    <t xml:space="preserve">"2017-05-23 06:59:59.580207"</t>
  </si>
  <si>
    <t xml:space="preserve">"2017-05-23 06:59:59.580258"</t>
  </si>
  <si>
    <t xml:space="preserve">"1865"</t>
  </si>
  <si>
    <t xml:space="preserve">"Hing"</t>
  </si>
  <si>
    <t xml:space="preserve">"jackfruit-gravy-hing"</t>
  </si>
  <si>
    <t xml:space="preserve">"2017-05-23 06:59:59.688598"</t>
  </si>
  <si>
    <t xml:space="preserve">"2017-05-23 06:59:59.688657"</t>
  </si>
  <si>
    <t xml:space="preserve">"95"</t>
  </si>
  <si>
    <t xml:space="preserve">"1866"</t>
  </si>
  <si>
    <t xml:space="preserve">"Green chilly"</t>
  </si>
  <si>
    <t xml:space="preserve">"jackfruit-gravy-hari-mirchi"</t>
  </si>
  <si>
    <t xml:space="preserve">"2017-05-23 06:59:59.830511"</t>
  </si>
  <si>
    <t xml:space="preserve">"2017-05-23 06:59:59.830546"</t>
  </si>
  <si>
    <t xml:space="preserve">"1867"</t>
  </si>
  <si>
    <t xml:space="preserve">"jackfruit-gravy-adrak"</t>
  </si>
  <si>
    <t xml:space="preserve">"2017-05-23 06:59:59.957493"</t>
  </si>
  <si>
    <t xml:space="preserve">"2017-05-23 06:59:59.957539"</t>
  </si>
  <si>
    <t xml:space="preserve">"1868"</t>
  </si>
  <si>
    <t xml:space="preserve">"Haldi"</t>
  </si>
  <si>
    <t xml:space="preserve">"jackfruit-gravy-haldi"</t>
  </si>
  <si>
    <t xml:space="preserve">"2017-05-23 07:00:00.054845"</t>
  </si>
  <si>
    <t xml:space="preserve">"2017-05-23 07:00:00.054932"</t>
  </si>
  <si>
    <t xml:space="preserve">"1869"</t>
  </si>
  <si>
    <t xml:space="preserve">"jackfruit-gravy-kashmiri-chilly-powder"</t>
  </si>
  <si>
    <t xml:space="preserve">"2017-05-23 07:00:00.160726"</t>
  </si>
  <si>
    <t xml:space="preserve">"2017-05-23 07:00:00.160791"</t>
  </si>
  <si>
    <t xml:space="preserve">"1870"</t>
  </si>
  <si>
    <t xml:space="preserve">"jackfruit-gravy-everest-pulav-masala"</t>
  </si>
  <si>
    <t xml:space="preserve">"2017-05-23 07:00:00.289030"</t>
  </si>
  <si>
    <t xml:space="preserve">"2017-05-23 07:00:00.289139"</t>
  </si>
  <si>
    <t xml:space="preserve">"1871"</t>
  </si>
  <si>
    <t xml:space="preserve">"jackfruit-gravy-hot-water"</t>
  </si>
  <si>
    <t xml:space="preserve">"2017-05-23 07:00:00.414890"</t>
  </si>
  <si>
    <t xml:space="preserve">"2017-05-23 07:00:00.414953"</t>
  </si>
  <si>
    <t xml:space="preserve">"1872"</t>
  </si>
  <si>
    <t xml:space="preserve">"jackfruit-gravy-salt"</t>
  </si>
  <si>
    <t xml:space="preserve">"2017-05-23 07:00:00.545067"</t>
  </si>
  <si>
    <t xml:space="preserve">"2017-05-23 07:00:00.545114"</t>
  </si>
  <si>
    <t xml:space="preserve">"1.8"</t>
  </si>
  <si>
    <t xml:space="preserve">"1873"</t>
  </si>
  <si>
    <t xml:space="preserve">"Safed watana"</t>
  </si>
  <si>
    <t xml:space="preserve">"watana-usal-safed-watana"</t>
  </si>
  <si>
    <t xml:space="preserve">"2017-05-23 07:00:00.658348"</t>
  </si>
  <si>
    <t xml:space="preserve">"2017-05-23 07:00:00.658405"</t>
  </si>
  <si>
    <t xml:space="preserve">"boiled"</t>
  </si>
  <si>
    <t xml:space="preserve">"9"</t>
  </si>
  <si>
    <t xml:space="preserve">"1874"</t>
  </si>
  <si>
    <t xml:space="preserve">"watana-usal-tomato"</t>
  </si>
  <si>
    <t xml:space="preserve">"2017-05-23 07:00:00.797646"</t>
  </si>
  <si>
    <t xml:space="preserve">"2017-05-23 07:00:00.797737"</t>
  </si>
  <si>
    <t xml:space="preserve">"0.5"" cube"</t>
  </si>
  <si>
    <t xml:space="preserve">"1875"</t>
  </si>
  <si>
    <t xml:space="preserve">"watana-usal-haldi"</t>
  </si>
  <si>
    <t xml:space="preserve">"2017-05-23 07:00:00.911467"</t>
  </si>
  <si>
    <t xml:space="preserve">"2017-05-23 07:00:00.911517"</t>
  </si>
  <si>
    <t xml:space="preserve">"1876"</t>
  </si>
  <si>
    <t xml:space="preserve">"Dhania powder"</t>
  </si>
  <si>
    <t xml:space="preserve">"watana-usal-dhaniya-powder"</t>
  </si>
  <si>
    <t xml:space="preserve">"2017-05-23 07:00:01.001244"</t>
  </si>
  <si>
    <t xml:space="preserve">"2017-05-23 07:00:01.001284"</t>
  </si>
  <si>
    <t xml:space="preserve">"1877"</t>
  </si>
  <si>
    <t xml:space="preserve">"Jeera powder"</t>
  </si>
  <si>
    <t xml:space="preserve">"watana-usal-jeera-powder"</t>
  </si>
  <si>
    <t xml:space="preserve">"2017-05-23 07:00:01.101633"</t>
  </si>
  <si>
    <t xml:space="preserve">"2017-05-23 07:00:01.101671"</t>
  </si>
  <si>
    <t xml:space="preserve">"1878"</t>
  </si>
  <si>
    <t xml:space="preserve">"watana-usal-hing"</t>
  </si>
  <si>
    <t xml:space="preserve">"2017-05-23 07:00:01.219617"</t>
  </si>
  <si>
    <t xml:space="preserve">"2017-05-23 07:00:01.219744"</t>
  </si>
  <si>
    <t xml:space="preserve">"1879"</t>
  </si>
  <si>
    <t xml:space="preserve">"watana-usal-tej-patta"</t>
  </si>
  <si>
    <t xml:space="preserve">"2017-05-23 07:00:01.354808"</t>
  </si>
  <si>
    <t xml:space="preserve">"2017-05-23 07:00:01.354882"</t>
  </si>
  <si>
    <t xml:space="preserve">"1880"</t>
  </si>
  <si>
    <t xml:space="preserve">"watana-usal-salt"</t>
  </si>
  <si>
    <t xml:space="preserve">"2017-05-23 07:00:01.456655"</t>
  </si>
  <si>
    <t xml:space="preserve">"2017-05-23 07:00:01.456691"</t>
  </si>
  <si>
    <t xml:space="preserve">"1881"</t>
  </si>
  <si>
    <t xml:space="preserve">"watana-usal-gound-nut-oil"</t>
  </si>
  <si>
    <t xml:space="preserve">"2017-05-23 07:00:01.583969"</t>
  </si>
  <si>
    <t xml:space="preserve">"2017-05-23 07:00:01.584027"</t>
  </si>
  <si>
    <t xml:space="preserve">"1882"</t>
  </si>
  <si>
    <t xml:space="preserve">"Rai"</t>
  </si>
  <si>
    <t xml:space="preserve">"watana-usal-rai"</t>
  </si>
  <si>
    <t xml:space="preserve">"2017-05-23 07:00:01.722406"</t>
  </si>
  <si>
    <t xml:space="preserve">"2017-05-23 07:00:01.722447"</t>
  </si>
  <si>
    <t xml:space="preserve">"164"</t>
  </si>
  <si>
    <t xml:space="preserve">"1883"</t>
  </si>
  <si>
    <t xml:space="preserve">"watana-usal-jeera"</t>
  </si>
  <si>
    <t xml:space="preserve">"2017-05-23 07:00:01.855543"</t>
  </si>
  <si>
    <t xml:space="preserve">"2017-05-23 07:00:01.855585"</t>
  </si>
  <si>
    <t xml:space="preserve">"1884"</t>
  </si>
  <si>
    <t xml:space="preserve">"watana-usal-adrak"</t>
  </si>
  <si>
    <t xml:space="preserve">"2017-05-23 07:00:01.964638"</t>
  </si>
  <si>
    <t xml:space="preserve">"2017-05-23 07:00:01.964686"</t>
  </si>
  <si>
    <t xml:space="preserve">"1885"</t>
  </si>
  <si>
    <t xml:space="preserve">"watana-usal-kashmiri-chilly-powder"</t>
  </si>
  <si>
    <t xml:space="preserve">"2017-05-23 07:00:02.090328"</t>
  </si>
  <si>
    <t xml:space="preserve">"2017-05-23 07:00:02.090374"</t>
  </si>
  <si>
    <t xml:space="preserve">"1886"</t>
  </si>
  <si>
    <t xml:space="preserve">"Sugar"</t>
  </si>
  <si>
    <t xml:space="preserve">"watana-usal-sugar"</t>
  </si>
  <si>
    <t xml:space="preserve">"2017-05-23 07:00:02.202076"</t>
  </si>
  <si>
    <t xml:space="preserve">"2017-05-23 07:00:02.202174"</t>
  </si>
  <si>
    <t xml:space="preserve">"1887"</t>
  </si>
  <si>
    <t xml:space="preserve">"watana-usal-coconut"</t>
  </si>
  <si>
    <t xml:space="preserve">"2017-05-23 07:00:02.329777"</t>
  </si>
  <si>
    <t xml:space="preserve">"2017-05-23 07:00:02.329893"</t>
  </si>
  <si>
    <t xml:space="preserve">"grated,roasted"</t>
  </si>
  <si>
    <t xml:space="preserve">"1888"</t>
  </si>
  <si>
    <t xml:space="preserve">"Kubal usal masala"</t>
  </si>
  <si>
    <t xml:space="preserve">"watana-usal-kubal-usal-masala"</t>
  </si>
  <si>
    <t xml:space="preserve">"2017-05-23 07:00:02.454213"</t>
  </si>
  <si>
    <t xml:space="preserve">"2017-05-23 07:00:02.454288"</t>
  </si>
  <si>
    <t xml:space="preserve">"125"</t>
  </si>
  <si>
    <t xml:space="preserve">"1889"</t>
  </si>
  <si>
    <t xml:space="preserve">"Goda masala"</t>
  </si>
  <si>
    <t xml:space="preserve">"watana-usal-goda-masala"</t>
  </si>
  <si>
    <t xml:space="preserve">"2017-05-23 07:00:02.554254"</t>
  </si>
  <si>
    <t xml:space="preserve">"2017-05-23 07:00:02.554297"</t>
  </si>
  <si>
    <t xml:space="preserve">"82"</t>
  </si>
  <si>
    <t xml:space="preserve">"2.25"</t>
  </si>
  <si>
    <t xml:space="preserve">"1890"</t>
  </si>
  <si>
    <t xml:space="preserve">"watana-usal-lemon"</t>
  </si>
  <si>
    <t xml:space="preserve">"2017-05-23 07:00:02.659162"</t>
  </si>
  <si>
    <t xml:space="preserve">"2017-05-23 07:00:02.659201"</t>
  </si>
  <si>
    <t xml:space="preserve">"1891"</t>
  </si>
  <si>
    <t xml:space="preserve">"Rice"</t>
  </si>
  <si>
    <t xml:space="preserve">"jp-khichadi-rice"</t>
  </si>
  <si>
    <t xml:space="preserve">"2017-05-23 07:00:02.764711"</t>
  </si>
  <si>
    <t xml:space="preserve">"2017-05-23 07:00:02.764775"</t>
  </si>
  <si>
    <t xml:space="preserve">"170"</t>
  </si>
  <si>
    <t xml:space="preserve">"1892"</t>
  </si>
  <si>
    <t xml:space="preserve">"Chilka moong dal"</t>
  </si>
  <si>
    <t xml:space="preserve">"jp-khichadi-chilka-moong-dal"</t>
  </si>
  <si>
    <t xml:space="preserve">"2017-05-23 07:00:02.864916"</t>
  </si>
  <si>
    <t xml:space="preserve">"2017-05-23 07:00:02.864958"</t>
  </si>
  <si>
    <t xml:space="preserve">"51"</t>
  </si>
  <si>
    <t xml:space="preserve">"1893"</t>
  </si>
  <si>
    <t xml:space="preserve">"Chana dal"</t>
  </si>
  <si>
    <t xml:space="preserve">"jp-khichadi-chana-dal"</t>
  </si>
  <si>
    <t xml:space="preserve">"2017-05-23 07:00:03.008516"</t>
  </si>
  <si>
    <t xml:space="preserve">"2017-05-23 07:00:03.008578"</t>
  </si>
  <si>
    <t xml:space="preserve">"46"</t>
  </si>
  <si>
    <t xml:space="preserve">"1894"</t>
  </si>
  <si>
    <t xml:space="preserve">"jp-khichadi-ghee"</t>
  </si>
  <si>
    <t xml:space="preserve">"2017-05-23 07:00:03.119938"</t>
  </si>
  <si>
    <t xml:space="preserve">"2017-05-23 07:00:03.119979"</t>
  </si>
  <si>
    <t xml:space="preserve">"1895"</t>
  </si>
  <si>
    <t xml:space="preserve">"jp-khichadi-adrak"</t>
  </si>
  <si>
    <t xml:space="preserve">"2017-05-23 07:00:03.209492"</t>
  </si>
  <si>
    <t xml:space="preserve">"2017-05-23 07:00:03.209530"</t>
  </si>
  <si>
    <t xml:space="preserve">"1896"</t>
  </si>
  <si>
    <t xml:space="preserve">"Water"</t>
  </si>
  <si>
    <t xml:space="preserve">"jp-khichadi-water"</t>
  </si>
  <si>
    <t xml:space="preserve">"2017-05-23 07:00:03.312238"</t>
  </si>
  <si>
    <t xml:space="preserve">"2017-05-23 07:00:03.312285"</t>
  </si>
  <si>
    <t xml:space="preserve">"20"</t>
  </si>
  <si>
    <t xml:space="preserve">"1897"</t>
  </si>
  <si>
    <t xml:space="preserve">"jp-khichadi-coconut"</t>
  </si>
  <si>
    <t xml:space="preserve">"2017-05-23 07:00:03.430488"</t>
  </si>
  <si>
    <t xml:space="preserve">"2017-05-23 07:00:03.430528"</t>
  </si>
  <si>
    <t xml:space="preserve">"1898"</t>
  </si>
  <si>
    <t xml:space="preserve">"jp-khichadi-sugar"</t>
  </si>
  <si>
    <t xml:space="preserve">"2017-05-23 07:00:03.541508"</t>
  </si>
  <si>
    <t xml:space="preserve">"2017-05-23 07:00:03.541576"</t>
  </si>
  <si>
    <t xml:space="preserve">"1899"</t>
  </si>
  <si>
    <t xml:space="preserve">"Kismis"</t>
  </si>
  <si>
    <t xml:space="preserve">"jp-khichadi-kismis"</t>
  </si>
  <si>
    <t xml:space="preserve">"2017-05-23 07:00:03.662262"</t>
  </si>
  <si>
    <t xml:space="preserve">"2017-05-23 07:00:03.662331"</t>
  </si>
  <si>
    <t xml:space="preserve">"123"</t>
  </si>
  <si>
    <t xml:space="preserve">"1900"</t>
  </si>
  <si>
    <t xml:space="preserve">"jp-khichadi-jeera"</t>
  </si>
  <si>
    <t xml:space="preserve">"2017-05-23 07:00:03.781843"</t>
  </si>
  <si>
    <t xml:space="preserve">"2017-05-23 07:00:03.781918"</t>
  </si>
  <si>
    <t xml:space="preserve">"1901"</t>
  </si>
  <si>
    <t xml:space="preserve">"jp-khichadi-salt"</t>
  </si>
  <si>
    <t xml:space="preserve">"2017-05-23 07:00:03.900536"</t>
  </si>
  <si>
    <t xml:space="preserve">"2017-05-23 07:00:03.900575"</t>
  </si>
  <si>
    <t xml:space="preserve">"1902"</t>
  </si>
  <si>
    <t xml:space="preserve">"Dahi"</t>
  </si>
  <si>
    <t xml:space="preserve">"dahi-bhindi-dahi"</t>
  </si>
  <si>
    <t xml:space="preserve">"2017-05-23 07:00:04.020019"</t>
  </si>
  <si>
    <t xml:space="preserve">"2017-05-23 07:00:04.020286"</t>
  </si>
  <si>
    <t xml:space="preserve">"59"</t>
  </si>
  <si>
    <t xml:space="preserve">"17"</t>
  </si>
  <si>
    <t xml:space="preserve">"1903"</t>
  </si>
  <si>
    <t xml:space="preserve">"dahi-bhindi-salt"</t>
  </si>
  <si>
    <t xml:space="preserve">"2017-05-23 07:00:04.140804"</t>
  </si>
  <si>
    <t xml:space="preserve">"2017-05-23 07:00:04.140844"</t>
  </si>
  <si>
    <t xml:space="preserve">"1904"</t>
  </si>
  <si>
    <t xml:space="preserve">"dahi-bhindi-sugar"</t>
  </si>
  <si>
    <t xml:space="preserve">"2017-05-23 07:00:04.306647"</t>
  </si>
  <si>
    <t xml:space="preserve">"2017-05-23 07:00:04.306703"</t>
  </si>
  <si>
    <t xml:space="preserve">"1905"</t>
  </si>
  <si>
    <t xml:space="preserve">"Roasted chilly powder"</t>
  </si>
  <si>
    <t xml:space="preserve">"dahi-bhindi-madrasi-mirchi-akkaha"</t>
  </si>
  <si>
    <t xml:space="preserve">"2017-05-23 07:00:04.462143"</t>
  </si>
  <si>
    <t xml:space="preserve">"2017-05-23 07:00:04.462204"</t>
  </si>
  <si>
    <t xml:space="preserve">"134"</t>
  </si>
  <si>
    <t xml:space="preserve">"1906"</t>
  </si>
  <si>
    <t xml:space="preserve">"Roasted jeera powder"</t>
  </si>
  <si>
    <t xml:space="preserve">"dahi-bhindi-jeera"</t>
  </si>
  <si>
    <t xml:space="preserve">"2017-05-23 07:00:04.606634"</t>
  </si>
  <si>
    <t xml:space="preserve">"2017-05-23 07:00:04.606675"</t>
  </si>
  <si>
    <t xml:space="preserve">"1907"</t>
  </si>
  <si>
    <t xml:space="preserve">"Soonth"</t>
  </si>
  <si>
    <t xml:space="preserve">"dahi-bhindi-soonth"</t>
  </si>
  <si>
    <t xml:space="preserve">"2017-05-23 07:00:04.728126"</t>
  </si>
  <si>
    <t xml:space="preserve">"2017-05-23 07:00:04.728178"</t>
  </si>
  <si>
    <t xml:space="preserve">"184"</t>
  </si>
  <si>
    <t xml:space="preserve">"1908"</t>
  </si>
  <si>
    <t xml:space="preserve">"Chaunce"</t>
  </si>
  <si>
    <t xml:space="preserve">"dahi-bhindi-chaunce"</t>
  </si>
  <si>
    <t xml:space="preserve">"2017-05-23 07:00:04.859786"</t>
  </si>
  <si>
    <t xml:space="preserve">"2017-05-23 07:00:04.859853"</t>
  </si>
  <si>
    <t xml:space="preserve">"48"</t>
  </si>
  <si>
    <t xml:space="preserve">"1909"</t>
  </si>
  <si>
    <t xml:space="preserve">"Rai tel"</t>
  </si>
  <si>
    <t xml:space="preserve">"dahi-bhindi-rai-oil"</t>
  </si>
  <si>
    <t xml:space="preserve">"2017-05-23 07:00:04.991746"</t>
  </si>
  <si>
    <t xml:space="preserve">"2017-05-23 07:00:04.991852"</t>
  </si>
  <si>
    <t xml:space="preserve">"165"</t>
  </si>
  <si>
    <t xml:space="preserve">"1910"</t>
  </si>
  <si>
    <t xml:space="preserve">"dahi-bhindi-rai"</t>
  </si>
  <si>
    <t xml:space="preserve">"2017-05-23 07:00:05.106029"</t>
  </si>
  <si>
    <t xml:space="preserve">"2017-05-23 07:00:05.106070"</t>
  </si>
  <si>
    <t xml:space="preserve">"1911"</t>
  </si>
  <si>
    <t xml:space="preserve">"dahi-bhindi-hing"</t>
  </si>
  <si>
    <t xml:space="preserve">"2017-05-23 07:00:05.225733"</t>
  </si>
  <si>
    <t xml:space="preserve">"2017-05-23 07:00:05.225925"</t>
  </si>
  <si>
    <t xml:space="preserve">"0.25"</t>
  </si>
  <si>
    <t xml:space="preserve">"1912"</t>
  </si>
  <si>
    <t xml:space="preserve">"Kadipatta"</t>
  </si>
  <si>
    <t xml:space="preserve">"dahi-bhindi-kadi-patta"</t>
  </si>
  <si>
    <t xml:space="preserve">"2017-05-23 07:00:05.371313"</t>
  </si>
  <si>
    <t xml:space="preserve">"2017-05-23 07:00:05.371355"</t>
  </si>
  <si>
    <t xml:space="preserve">"1913"</t>
  </si>
  <si>
    <t xml:space="preserve">"dahi-bhindi-adrak"</t>
  </si>
  <si>
    <t xml:space="preserve">"2017-05-23 07:00:05.507131"</t>
  </si>
  <si>
    <t xml:space="preserve">"2017-05-23 07:00:05.507195"</t>
  </si>
  <si>
    <t xml:space="preserve">"1914"</t>
  </si>
  <si>
    <t xml:space="preserve">"Bhindi"</t>
  </si>
  <si>
    <t xml:space="preserve">"dahi-bhindi-bhindi"</t>
  </si>
  <si>
    <t xml:space="preserve">"2017-05-23 07:00:05.637942"</t>
  </si>
  <si>
    <t xml:space="preserve">"2017-05-23 07:00:05.637986"</t>
  </si>
  <si>
    <t xml:space="preserve">"29"</t>
  </si>
  <si>
    <t xml:space="preserve">"cut 1"",deep fried"</t>
  </si>
  <si>
    <t xml:space="preserve">"25"</t>
  </si>
  <si>
    <t xml:space="preserve">"1915"</t>
  </si>
  <si>
    <t xml:space="preserve">"dahi-baingan-dahi"</t>
  </si>
  <si>
    <t xml:space="preserve">"2017-05-23 07:00:05.771721"</t>
  </si>
  <si>
    <t xml:space="preserve">"2017-05-23 07:00:05.771761"</t>
  </si>
  <si>
    <t xml:space="preserve">"1916"</t>
  </si>
  <si>
    <t xml:space="preserve">"dahi-baingan-salt"</t>
  </si>
  <si>
    <t xml:space="preserve">"2017-05-23 07:00:05.907462"</t>
  </si>
  <si>
    <t xml:space="preserve">"2017-05-23 07:00:05.907500"</t>
  </si>
  <si>
    <t xml:space="preserve">"1917"</t>
  </si>
  <si>
    <t xml:space="preserve">"dahi-baingan-sugar"</t>
  </si>
  <si>
    <t xml:space="preserve">"2017-05-23 07:00:06.005341"</t>
  </si>
  <si>
    <t xml:space="preserve">"2017-05-23 07:00:06.005380"</t>
  </si>
  <si>
    <t xml:space="preserve">"1918"</t>
  </si>
  <si>
    <t xml:space="preserve">"dahi-baingan-madrasi-mirchi-akkaha"</t>
  </si>
  <si>
    <t xml:space="preserve">"2017-05-23 07:00:06.131792"</t>
  </si>
  <si>
    <t xml:space="preserve">"2017-05-23 07:00:06.131836"</t>
  </si>
  <si>
    <t xml:space="preserve">"1919"</t>
  </si>
  <si>
    <t xml:space="preserve">"dahi-baingan-jeera"</t>
  </si>
  <si>
    <t xml:space="preserve">"2017-05-23 07:00:06.248361"</t>
  </si>
  <si>
    <t xml:space="preserve">"2017-05-23 07:00:06.248415"</t>
  </si>
  <si>
    <t xml:space="preserve">"1920"</t>
  </si>
  <si>
    <t xml:space="preserve">"dahi-baingan-soonth"</t>
  </si>
  <si>
    <t xml:space="preserve">"2017-05-23 07:00:06.381817"</t>
  </si>
  <si>
    <t xml:space="preserve">"2017-05-23 07:00:06.381858"</t>
  </si>
  <si>
    <t xml:space="preserve">"1921"</t>
  </si>
  <si>
    <t xml:space="preserve">"dahi-baingan-chaunce"</t>
  </si>
  <si>
    <t xml:space="preserve">"2017-05-23 07:00:06.506350"</t>
  </si>
  <si>
    <t xml:space="preserve">"2017-05-23 07:00:06.506388"</t>
  </si>
  <si>
    <t xml:space="preserve">"1922"</t>
  </si>
  <si>
    <t xml:space="preserve">"dahi-baingan-rai-oil"</t>
  </si>
  <si>
    <t xml:space="preserve">"2017-05-23 07:00:06.638068"</t>
  </si>
  <si>
    <t xml:space="preserve">"2017-05-23 07:00:06.638107"</t>
  </si>
  <si>
    <t xml:space="preserve">"1923"</t>
  </si>
  <si>
    <t xml:space="preserve">"dahi-baingan-rai"</t>
  </si>
  <si>
    <t xml:space="preserve">"2017-05-23 07:00:06.818507"</t>
  </si>
  <si>
    <t xml:space="preserve">"2017-05-23 07:00:06.818550"</t>
  </si>
  <si>
    <t xml:space="preserve">"1924"</t>
  </si>
  <si>
    <t xml:space="preserve">"dahi-baingan-hing"</t>
  </si>
  <si>
    <t xml:space="preserve">"2017-05-23 07:00:06.954841"</t>
  </si>
  <si>
    <t xml:space="preserve">"2017-05-23 07:00:06.954895"</t>
  </si>
  <si>
    <t xml:space="preserve">"1925"</t>
  </si>
  <si>
    <t xml:space="preserve">"dahi-baingan-kadi-patta"</t>
  </si>
  <si>
    <t xml:space="preserve">"2017-05-23 07:00:07.052297"</t>
  </si>
  <si>
    <t xml:space="preserve">"2017-05-23 07:00:07.052340"</t>
  </si>
  <si>
    <t xml:space="preserve">"1926"</t>
  </si>
  <si>
    <t xml:space="preserve">"dahi-baingan-adrak"</t>
  </si>
  <si>
    <t xml:space="preserve">"2017-05-23 07:00:07.185737"</t>
  </si>
  <si>
    <t xml:space="preserve">"2017-05-23 07:00:07.185777"</t>
  </si>
  <si>
    <t xml:space="preserve">"1927"</t>
  </si>
  <si>
    <t xml:space="preserve">"Bharta baingan"</t>
  </si>
  <si>
    <t xml:space="preserve">"dahi-baingan-baingan"</t>
  </si>
  <si>
    <t xml:space="preserve">"2017-05-23 07:00:07.291498"</t>
  </si>
  <si>
    <t xml:space="preserve">"2017-05-23 07:00:07.291538"</t>
  </si>
  <si>
    <t xml:space="preserve">"21"</t>
  </si>
  <si>
    <t xml:space="preserve">"cut long,deep fried"</t>
  </si>
  <si>
    <t xml:space="preserve">"1928"</t>
  </si>
  <si>
    <t xml:space="preserve">"dahi-patol-dahi"</t>
  </si>
  <si>
    <t xml:space="preserve">"2017-05-23 07:00:07.394850"</t>
  </si>
  <si>
    <t xml:space="preserve">"2017-05-23 07:00:07.394931"</t>
  </si>
  <si>
    <t xml:space="preserve">"18"</t>
  </si>
  <si>
    <t xml:space="preserve">"1929"</t>
  </si>
  <si>
    <t xml:space="preserve">"dahi-patol-salt"</t>
  </si>
  <si>
    <t xml:space="preserve">"2017-05-23 07:00:07.531854"</t>
  </si>
  <si>
    <t xml:space="preserve">"2017-05-23 07:00:07.531893"</t>
  </si>
  <si>
    <t xml:space="preserve">"1930"</t>
  </si>
  <si>
    <t xml:space="preserve">"dahi-patol-sugar"</t>
  </si>
  <si>
    <t xml:space="preserve">"2017-05-23 07:00:07.639023"</t>
  </si>
  <si>
    <t xml:space="preserve">"2017-05-23 07:00:07.639065"</t>
  </si>
  <si>
    <t xml:space="preserve">"1931"</t>
  </si>
  <si>
    <t xml:space="preserve">"dahi-patol-madrasi-mirchi-akkaha"</t>
  </si>
  <si>
    <t xml:space="preserve">"2017-05-23 07:00:07.769213"</t>
  </si>
  <si>
    <t xml:space="preserve">"2017-05-23 07:00:07.769336"</t>
  </si>
  <si>
    <t xml:space="preserve">"1932"</t>
  </si>
  <si>
    <t xml:space="preserve">"dahi-patol-jeera"</t>
  </si>
  <si>
    <t xml:space="preserve">"2017-05-23 07:00:07.885439"</t>
  </si>
  <si>
    <t xml:space="preserve">"2017-05-23 07:00:07.885477"</t>
  </si>
  <si>
    <t xml:space="preserve">"1933"</t>
  </si>
  <si>
    <t xml:space="preserve">"dahi-patol-soonth"</t>
  </si>
  <si>
    <t xml:space="preserve">"2017-05-23 07:00:07.997056"</t>
  </si>
  <si>
    <t xml:space="preserve">"2017-05-23 07:00:07.997093"</t>
  </si>
  <si>
    <t xml:space="preserve">"1934"</t>
  </si>
  <si>
    <t xml:space="preserve">"dahi-patol-chaunce"</t>
  </si>
  <si>
    <t xml:space="preserve">"2017-05-23 07:00:08.093905"</t>
  </si>
  <si>
    <t xml:space="preserve">"2017-05-23 07:00:08.093955"</t>
  </si>
  <si>
    <t xml:space="preserve">"1935"</t>
  </si>
  <si>
    <t xml:space="preserve">"dahi-patol-rai-oil"</t>
  </si>
  <si>
    <t xml:space="preserve">"2017-05-23 07:00:08.220335"</t>
  </si>
  <si>
    <t xml:space="preserve">"2017-05-23 07:00:08.220392"</t>
  </si>
  <si>
    <t xml:space="preserve">"1936"</t>
  </si>
  <si>
    <t xml:space="preserve">"dahi-patol-rai"</t>
  </si>
  <si>
    <t xml:space="preserve">"2017-05-23 07:00:08.324884"</t>
  </si>
  <si>
    <t xml:space="preserve">"2017-05-23 07:00:08.324921"</t>
  </si>
  <si>
    <t xml:space="preserve">"1937"</t>
  </si>
  <si>
    <t xml:space="preserve">"dahi-patol-hing"</t>
  </si>
  <si>
    <t xml:space="preserve">"2017-05-23 07:00:08.429927"</t>
  </si>
  <si>
    <t xml:space="preserve">"2017-05-23 07:00:08.429967"</t>
  </si>
  <si>
    <t xml:space="preserve">"1938"</t>
  </si>
  <si>
    <t xml:space="preserve">"dahi-patol-kadi-patta"</t>
  </si>
  <si>
    <t xml:space="preserve">"2017-05-23 07:00:08.538415"</t>
  </si>
  <si>
    <t xml:space="preserve">"2017-05-23 07:00:08.538525"</t>
  </si>
  <si>
    <t xml:space="preserve">"1939"</t>
  </si>
  <si>
    <t xml:space="preserve">"dahi-patol-adrak"</t>
  </si>
  <si>
    <t xml:space="preserve">"2017-05-23 07:00:08.674874"</t>
  </si>
  <si>
    <t xml:space="preserve">"2017-05-23 07:00:08.674913"</t>
  </si>
  <si>
    <t xml:space="preserve">"1940"</t>
  </si>
  <si>
    <t xml:space="preserve">"Patol"</t>
  </si>
  <si>
    <t xml:space="preserve">"dahi-patol-patol"</t>
  </si>
  <si>
    <t xml:space="preserve">"2017-05-23 07:00:08.775592"</t>
  </si>
  <si>
    <t xml:space="preserve">"2017-05-23 07:00:08.775641"</t>
  </si>
  <si>
    <t xml:space="preserve">"158"</t>
  </si>
  <si>
    <t xml:space="preserve">"1941"</t>
  </si>
  <si>
    <t xml:space="preserve">"Kala chana"</t>
  </si>
  <si>
    <t xml:space="preserve">"alu-kala-chana-chat-kala-chana"</t>
  </si>
  <si>
    <t xml:space="preserve">"2017-05-23 07:00:08.897260"</t>
  </si>
  <si>
    <t xml:space="preserve">"2017-05-23 07:00:08.897303"</t>
  </si>
  <si>
    <t xml:space="preserve">"112"</t>
  </si>
  <si>
    <t xml:space="preserve">"1942"</t>
  </si>
  <si>
    <t xml:space="preserve">"alu-kala-chana-chat-cabbage"</t>
  </si>
  <si>
    <t xml:space="preserve">"2017-05-23 07:00:09.008816"</t>
  </si>
  <si>
    <t xml:space="preserve">"2017-05-23 07:00:09.008857"</t>
  </si>
  <si>
    <t xml:space="preserve">"julienne"</t>
  </si>
  <si>
    <t xml:space="preserve">"1943"</t>
  </si>
  <si>
    <t xml:space="preserve">"alu-kala-chana-chat-alu"</t>
  </si>
  <si>
    <t xml:space="preserve">"2017-05-23 07:00:09.141924"</t>
  </si>
  <si>
    <t xml:space="preserve">"2017-05-23 07:00:09.141964"</t>
  </si>
  <si>
    <t xml:space="preserve">"0.5"" steam"</t>
  </si>
  <si>
    <t xml:space="preserve">"1944"</t>
  </si>
  <si>
    <t xml:space="preserve">"alu-kala-chana-chat-tomato"</t>
  </si>
  <si>
    <t xml:space="preserve">"2017-05-23 07:00:09.255821"</t>
  </si>
  <si>
    <t xml:space="preserve">"2017-05-23 07:00:09.256020"</t>
  </si>
  <si>
    <t xml:space="preserve">"1945"</t>
  </si>
  <si>
    <t xml:space="preserve">"alu-kala-chana-chat-gound-nut-oil"</t>
  </si>
  <si>
    <t xml:space="preserve">"2017-05-23 07:00:09.389040"</t>
  </si>
  <si>
    <t xml:space="preserve">"2017-05-23 07:00:09.389079"</t>
  </si>
  <si>
    <t xml:space="preserve">"1946"</t>
  </si>
  <si>
    <t xml:space="preserve">"alu-kala-chana-chat-hing"</t>
  </si>
  <si>
    <t xml:space="preserve">"2017-05-23 07:00:09.521687"</t>
  </si>
  <si>
    <t xml:space="preserve">"2017-05-23 07:00:09.521737"</t>
  </si>
  <si>
    <t xml:space="preserve">"0.3"</t>
  </si>
  <si>
    <t xml:space="preserve">"1947"</t>
  </si>
  <si>
    <t xml:space="preserve">"Hari mirchi"</t>
  </si>
  <si>
    <t xml:space="preserve">"alu-kala-chana-chat-hari-mirchi"</t>
  </si>
  <si>
    <t xml:space="preserve">"2017-05-23 07:00:09.654454"</t>
  </si>
  <si>
    <t xml:space="preserve">"2017-05-23 07:00:09.654500"</t>
  </si>
  <si>
    <t xml:space="preserve">"1948"</t>
  </si>
  <si>
    <t xml:space="preserve">"alu-kala-chana-chat-adrak"</t>
  </si>
  <si>
    <t xml:space="preserve">"2017-05-23 07:00:09.776451"</t>
  </si>
  <si>
    <t xml:space="preserve">"2017-05-23 07:00:09.776492"</t>
  </si>
  <si>
    <t xml:space="preserve">"1949"</t>
  </si>
  <si>
    <t xml:space="preserve">"alu-kala-chana-chat-jeera-powder"</t>
  </si>
  <si>
    <t xml:space="preserve">"2017-05-23 07:00:09.899534"</t>
  </si>
  <si>
    <t xml:space="preserve">"2017-05-23 07:00:09.899573"</t>
  </si>
  <si>
    <t xml:space="preserve">"1950"</t>
  </si>
  <si>
    <t xml:space="preserve">"alu-kala-chana-chat-dhaniya-powder"</t>
  </si>
  <si>
    <t xml:space="preserve">"2017-05-23 07:00:10.033298"</t>
  </si>
  <si>
    <t xml:space="preserve">"2017-05-23 07:00:10.033335"</t>
  </si>
  <si>
    <t xml:space="preserve">"1951"</t>
  </si>
  <si>
    <t xml:space="preserve">"Red chilli powder"</t>
  </si>
  <si>
    <t xml:space="preserve">"alu-kala-chana-chat-madrasi-mirchi-powder"</t>
  </si>
  <si>
    <t xml:space="preserve">"2017-05-23 07:00:10.173858"</t>
  </si>
  <si>
    <t xml:space="preserve">"2017-05-23 07:00:10.173902"</t>
  </si>
  <si>
    <t xml:space="preserve">"1952"</t>
  </si>
  <si>
    <t xml:space="preserve">"Everest chole masala"</t>
  </si>
  <si>
    <t xml:space="preserve">"alu-kala-chana-chat-everest-chole-masala"</t>
  </si>
  <si>
    <t xml:space="preserve">"2017-05-23 07:00:10.293023"</t>
  </si>
  <si>
    <t xml:space="preserve">"2017-05-23 07:00:10.293076"</t>
  </si>
  <si>
    <t xml:space="preserve">"1953"</t>
  </si>
  <si>
    <t xml:space="preserve">"alu-kala-chana-chat-haldi"</t>
  </si>
  <si>
    <t xml:space="preserve">"2017-05-23 07:00:10.386416"</t>
  </si>
  <si>
    <t xml:space="preserve">"2017-05-23 07:00:10.386466"</t>
  </si>
  <si>
    <t xml:space="preserve">"0.6"</t>
  </si>
  <si>
    <t xml:space="preserve">"1954"</t>
  </si>
  <si>
    <t xml:space="preserve">"alu-kala-chana-chat-kashmiri-chilly-powder"</t>
  </si>
  <si>
    <t xml:space="preserve">"2017-05-23 07:00:10.484792"</t>
  </si>
  <si>
    <t xml:space="preserve">"2017-05-23 07:00:10.484835"</t>
  </si>
  <si>
    <t xml:space="preserve">"1955"</t>
  </si>
  <si>
    <t xml:space="preserve">"alu-kala-chana-chat-salt"</t>
  </si>
  <si>
    <t xml:space="preserve">"2017-05-23 07:00:10.583738"</t>
  </si>
  <si>
    <t xml:space="preserve">"2017-05-23 07:00:10.583777"</t>
  </si>
  <si>
    <t xml:space="preserve">"1956"</t>
  </si>
  <si>
    <t xml:space="preserve">"Black salt"</t>
  </si>
  <si>
    <t xml:space="preserve">"alu-kala-chana-chat-black-salt"</t>
  </si>
  <si>
    <t xml:space="preserve">"2017-05-23 07:00:10.687095"</t>
  </si>
  <si>
    <t xml:space="preserve">"2017-05-23 07:00:10.687138"</t>
  </si>
  <si>
    <t xml:space="preserve">"1957"</t>
  </si>
  <si>
    <t xml:space="preserve">"Everest chat masala"</t>
  </si>
  <si>
    <t xml:space="preserve">"alu-kala-chana-chat-everest-chat-masala"</t>
  </si>
  <si>
    <t xml:space="preserve">"2017-05-23 07:00:10.804382"</t>
  </si>
  <si>
    <t xml:space="preserve">"2017-05-23 07:00:10.804438"</t>
  </si>
  <si>
    <t xml:space="preserve">"72"</t>
  </si>
  <si>
    <t xml:space="preserve">"1958"</t>
  </si>
  <si>
    <t xml:space="preserve">"alu-kala-chana-chat-lemon"</t>
  </si>
  <si>
    <t xml:space="preserve">"2017-05-23 07:00:10.940830"</t>
  </si>
  <si>
    <t xml:space="preserve">"2017-05-23 07:00:10.940868"</t>
  </si>
  <si>
    <t xml:space="preserve">"1959"</t>
  </si>
  <si>
    <t xml:space="preserve">"Akha moong"</t>
  </si>
  <si>
    <t xml:space="preserve">"panchratna-dry-akha-moong"</t>
  </si>
  <si>
    <t xml:space="preserve">"2017-05-23 07:00:11.058958"</t>
  </si>
  <si>
    <t xml:space="preserve">"2017-05-23 07:00:11.059075"</t>
  </si>
  <si>
    <t xml:space="preserve">"53"</t>
  </si>
  <si>
    <t xml:space="preserve">"1960"</t>
  </si>
  <si>
    <t xml:space="preserve">"panchratna-dry-safed-watana"</t>
  </si>
  <si>
    <t xml:space="preserve">"2017-05-23 07:00:11.201150"</t>
  </si>
  <si>
    <t xml:space="preserve">"2017-05-23 07:00:11.201186"</t>
  </si>
  <si>
    <t xml:space="preserve">"1961"</t>
  </si>
  <si>
    <t xml:space="preserve">"panchratna-dry-kala-chana"</t>
  </si>
  <si>
    <t xml:space="preserve">"2017-05-23 07:00:11.345620"</t>
  </si>
  <si>
    <t xml:space="preserve">"2017-05-23 07:00:11.345655"</t>
  </si>
  <si>
    <t xml:space="preserve">"1962"</t>
  </si>
  <si>
    <t xml:space="preserve">"panchratna-dry-alu"</t>
  </si>
  <si>
    <t xml:space="preserve">"2017-05-23 07:00:11.462865"</t>
  </si>
  <si>
    <t xml:space="preserve">"2017-05-23 07:00:11.462907"</t>
  </si>
  <si>
    <t xml:space="preserve">"1963"</t>
  </si>
  <si>
    <t xml:space="preserve">"panchratna-dry-tomato"</t>
  </si>
  <si>
    <t xml:space="preserve">"2017-05-23 07:00:11.618208"</t>
  </si>
  <si>
    <t xml:space="preserve">"2017-05-23 07:00:11.618250"</t>
  </si>
  <si>
    <t xml:space="preserve">"0.5"" cut"</t>
  </si>
  <si>
    <t xml:space="preserve">"1964"</t>
  </si>
  <si>
    <t xml:space="preserve">"panchratna-dry-gound-nut-oil"</t>
  </si>
  <si>
    <t xml:space="preserve">"2017-05-23 07:00:11.769366"</t>
  </si>
  <si>
    <t xml:space="preserve">"2017-05-23 07:00:11.769406"</t>
  </si>
  <si>
    <t xml:space="preserve">"1965"</t>
  </si>
  <si>
    <t xml:space="preserve">"panchratna-dry-hing"</t>
  </si>
  <si>
    <t xml:space="preserve">"2017-05-23 07:00:11.906967"</t>
  </si>
  <si>
    <t xml:space="preserve">"2017-05-23 07:00:11.907009"</t>
  </si>
  <si>
    <t xml:space="preserve">"1966"</t>
  </si>
  <si>
    <t xml:space="preserve">"panchratna-dry-hari-mirchi"</t>
  </si>
  <si>
    <t xml:space="preserve">"2017-05-23 07:00:12.056169"</t>
  </si>
  <si>
    <t xml:space="preserve">"2017-05-23 07:00:12.056207"</t>
  </si>
  <si>
    <t xml:space="preserve">"1967"</t>
  </si>
  <si>
    <t xml:space="preserve">"panchratna-dry-adrak"</t>
  </si>
  <si>
    <t xml:space="preserve">"2017-05-23 07:00:12.178931"</t>
  </si>
  <si>
    <t xml:space="preserve">"2017-05-23 07:00:12.178967"</t>
  </si>
  <si>
    <t xml:space="preserve">"1968"</t>
  </si>
  <si>
    <t xml:space="preserve">"panchratna-dry-jeera-powder"</t>
  </si>
  <si>
    <t xml:space="preserve">"2017-05-23 07:00:12.271239"</t>
  </si>
  <si>
    <t xml:space="preserve">"2017-05-23 07:00:12.271283"</t>
  </si>
  <si>
    <t xml:space="preserve">"1969"</t>
  </si>
  <si>
    <t xml:space="preserve">"panchratna-dry-dhaniya-powder"</t>
  </si>
  <si>
    <t xml:space="preserve">"2017-05-23 07:00:12.405510"</t>
  </si>
  <si>
    <t xml:space="preserve">"2017-05-23 07:00:12.405550"</t>
  </si>
  <si>
    <t xml:space="preserve">"1970"</t>
  </si>
  <si>
    <t xml:space="preserve">"panchratna-dry-madrasi-mirchi-powder"</t>
  </si>
  <si>
    <t xml:space="preserve">"2017-05-23 07:00:12.516905"</t>
  </si>
  <si>
    <t xml:space="preserve">"2017-05-23 07:00:12.516947"</t>
  </si>
  <si>
    <t xml:space="preserve">"1971"</t>
  </si>
  <si>
    <t xml:space="preserve">"panchratna-dry-haldi"</t>
  </si>
  <si>
    <t xml:space="preserve">"2017-05-23 07:00:12.639147"</t>
  </si>
  <si>
    <t xml:space="preserve">"2017-05-23 07:00:12.639190"</t>
  </si>
  <si>
    <t xml:space="preserve">"1972"</t>
  </si>
  <si>
    <t xml:space="preserve">"panchratna-dry-kashmiri-chilly-powder"</t>
  </si>
  <si>
    <t xml:space="preserve">"2017-05-23 07:00:12.791545"</t>
  </si>
  <si>
    <t xml:space="preserve">"2017-05-23 07:00:12.791588"</t>
  </si>
  <si>
    <t xml:space="preserve">"1973"</t>
  </si>
  <si>
    <t xml:space="preserve">"panchratna-dry-salt"</t>
  </si>
  <si>
    <t xml:space="preserve">"2017-05-23 07:00:12.904587"</t>
  </si>
  <si>
    <t xml:space="preserve">"2017-05-23 07:00:12.904629"</t>
  </si>
  <si>
    <t xml:space="preserve">"1974"</t>
  </si>
  <si>
    <t xml:space="preserve">"panchratna-dry-black-salt"</t>
  </si>
  <si>
    <t xml:space="preserve">"2017-05-23 07:00:13.040315"</t>
  </si>
  <si>
    <t xml:space="preserve">"2017-05-23 07:00:13.040352"</t>
  </si>
  <si>
    <t xml:space="preserve">"1975"</t>
  </si>
  <si>
    <t xml:space="preserve">"panchratna-dry-everest-chat-masala"</t>
  </si>
  <si>
    <t xml:space="preserve">"2017-05-23 07:00:13.179470"</t>
  </si>
  <si>
    <t xml:space="preserve">"2017-05-23 07:00:13.179524"</t>
  </si>
  <si>
    <t xml:space="preserve">"1976"</t>
  </si>
  <si>
    <t xml:space="preserve">"panchratna-dry-lemon"</t>
  </si>
  <si>
    <t xml:space="preserve">"2017-05-23 07:00:13.333938"</t>
  </si>
  <si>
    <t xml:space="preserve">"2017-05-23 07:00:13.333974"</t>
  </si>
  <si>
    <t xml:space="preserve">"1977"</t>
  </si>
  <si>
    <t xml:space="preserve">"bhopla-km-bhopla"</t>
  </si>
  <si>
    <t xml:space="preserve">"2017-05-23 07:00:13.450588"</t>
  </si>
  <si>
    <t xml:space="preserve">"2017-05-23 07:00:13.450626"</t>
  </si>
  <si>
    <t xml:space="preserve">"1"" cube"</t>
  </si>
  <si>
    <t xml:space="preserve">"22"</t>
  </si>
  <si>
    <t xml:space="preserve">"1978"</t>
  </si>
  <si>
    <t xml:space="preserve">"bhopla-km-rai-oil"</t>
  </si>
  <si>
    <t xml:space="preserve">"2017-05-23 07:00:13.583069"</t>
  </si>
  <si>
    <t xml:space="preserve">"2017-05-23 07:00:13.583108"</t>
  </si>
  <si>
    <t xml:space="preserve">"1979"</t>
  </si>
  <si>
    <t xml:space="preserve">"Methi"</t>
  </si>
  <si>
    <t xml:space="preserve">"bhopla-km-methi"</t>
  </si>
  <si>
    <t xml:space="preserve">"2017-05-23 07:00:13.721802"</t>
  </si>
  <si>
    <t xml:space="preserve">"2017-05-23 07:00:13.721838"</t>
  </si>
  <si>
    <t xml:space="preserve">"144"</t>
  </si>
  <si>
    <t xml:space="preserve">"1980"</t>
  </si>
  <si>
    <t xml:space="preserve">"bhopla-km-jeera"</t>
  </si>
  <si>
    <t xml:space="preserve">"2017-05-23 07:00:13.820138"</t>
  </si>
  <si>
    <t xml:space="preserve">"2017-05-23 07:00:13.820174"</t>
  </si>
  <si>
    <t xml:space="preserve">"1981"</t>
  </si>
  <si>
    <t xml:space="preserve">"Badisaunf"</t>
  </si>
  <si>
    <t xml:space="preserve">"bhopla-km-badi-sauf"</t>
  </si>
  <si>
    <t xml:space="preserve">"2017-05-23 07:00:13.936607"</t>
  </si>
  <si>
    <t xml:space="preserve">"2017-05-23 07:00:13.936648"</t>
  </si>
  <si>
    <t xml:space="preserve">"1982"</t>
  </si>
  <si>
    <t xml:space="preserve">"bhopla-km-haldi"</t>
  </si>
  <si>
    <t xml:space="preserve">"2017-05-23 07:00:14.037357"</t>
  </si>
  <si>
    <t xml:space="preserve">"2017-05-23 07:00:14.037395"</t>
  </si>
  <si>
    <t xml:space="preserve">"1983"</t>
  </si>
  <si>
    <t xml:space="preserve">"bhopla-km-dhaniya-powder"</t>
  </si>
  <si>
    <t xml:space="preserve">"2017-05-23 07:00:14.139271"</t>
  </si>
  <si>
    <t xml:space="preserve">"2017-05-23 07:00:14.139320"</t>
  </si>
  <si>
    <t xml:space="preserve">"1984"</t>
  </si>
  <si>
    <t xml:space="preserve">"bhopla-km-madrasi-mirchi-powder"</t>
  </si>
  <si>
    <t xml:space="preserve">"2017-05-23 07:00:14.251306"</t>
  </si>
  <si>
    <t xml:space="preserve">"2017-05-23 07:00:14.251343"</t>
  </si>
  <si>
    <t xml:space="preserve">"1985"</t>
  </si>
  <si>
    <t xml:space="preserve">"Damodar P garam masala"</t>
  </si>
  <si>
    <t xml:space="preserve">"bhopla-km-damodar-p-garam-masala"</t>
  </si>
  <si>
    <t xml:space="preserve">"2017-05-23 07:00:14.351478"</t>
  </si>
  <si>
    <t xml:space="preserve">"2017-05-23 07:00:14.351516"</t>
  </si>
  <si>
    <t xml:space="preserve">"63"</t>
  </si>
  <si>
    <t xml:space="preserve">"1986"</t>
  </si>
  <si>
    <t xml:space="preserve">"bhopla-km-everest-pulav-masala"</t>
  </si>
  <si>
    <t xml:space="preserve">"2017-05-23 07:00:14.467172"</t>
  </si>
  <si>
    <t xml:space="preserve">"2017-05-23 07:00:14.467273"</t>
  </si>
  <si>
    <t xml:space="preserve">"0.7"</t>
  </si>
  <si>
    <t xml:space="preserve">"1987"</t>
  </si>
  <si>
    <t xml:space="preserve">"bhopla-km-sugar"</t>
  </si>
  <si>
    <t xml:space="preserve">"2017-05-23 07:00:14.564651"</t>
  </si>
  <si>
    <t xml:space="preserve">"2017-05-23 07:00:14.564692"</t>
  </si>
  <si>
    <t xml:space="preserve">"1988"</t>
  </si>
  <si>
    <t xml:space="preserve">"Amchur"</t>
  </si>
  <si>
    <t xml:space="preserve">"bhopla-km-amchur"</t>
  </si>
  <si>
    <t xml:space="preserve">"2017-05-23 07:00:14.669545"</t>
  </si>
  <si>
    <t xml:space="preserve">"2017-05-23 07:00:14.669585"</t>
  </si>
  <si>
    <t xml:space="preserve">"0.8"</t>
  </si>
  <si>
    <t xml:space="preserve">"1989"</t>
  </si>
  <si>
    <t xml:space="preserve">"bhopla-km-salt"</t>
  </si>
  <si>
    <t xml:space="preserve">"2017-05-23 07:00:14.789868"</t>
  </si>
  <si>
    <t xml:space="preserve">"2017-05-23 07:00:14.789968"</t>
  </si>
  <si>
    <t xml:space="preserve">"1990"</t>
  </si>
  <si>
    <t xml:space="preserve">"dosa-bhaji-dry-alu"</t>
  </si>
  <si>
    <t xml:space="preserve">"2017-05-23 07:00:14.885680"</t>
  </si>
  <si>
    <t xml:space="preserve">"2017-05-23 07:00:14.885717"</t>
  </si>
  <si>
    <t xml:space="preserve">"40"</t>
  </si>
  <si>
    <t xml:space="preserve">"1991"</t>
  </si>
  <si>
    <t xml:space="preserve">"dosa-bhaji-dry-cabbage"</t>
  </si>
  <si>
    <t xml:space="preserve">"2017-05-23 07:00:15.012547"</t>
  </si>
  <si>
    <t xml:space="preserve">"2017-05-23 07:00:15.012611"</t>
  </si>
  <si>
    <t xml:space="preserve">"1992"</t>
  </si>
  <si>
    <t xml:space="preserve">"dosa-bhaji-dry-capsicum"</t>
  </si>
  <si>
    <t xml:space="preserve">"2017-05-23 07:00:15.103987"</t>
  </si>
  <si>
    <t xml:space="preserve">"2017-05-23 07:00:15.104025"</t>
  </si>
  <si>
    <t xml:space="preserve">"1993"</t>
  </si>
  <si>
    <t xml:space="preserve">"dosa-bhaji-dry-tomato"</t>
  </si>
  <si>
    <t xml:space="preserve">"2017-05-23 07:00:15.215310"</t>
  </si>
  <si>
    <t xml:space="preserve">"2017-05-23 07:00:15.215350"</t>
  </si>
  <si>
    <t xml:space="preserve">"1994"</t>
  </si>
  <si>
    <t xml:space="preserve">"dosa-bhaji-dry-green-peas"</t>
  </si>
  <si>
    <t xml:space="preserve">"2017-05-23 07:00:15.337961"</t>
  </si>
  <si>
    <t xml:space="preserve">"2017-05-23 07:00:15.338000"</t>
  </si>
  <si>
    <t xml:space="preserve">"1995"</t>
  </si>
  <si>
    <t xml:space="preserve">"dosa-bhaji-dry-gound-nut-oil"</t>
  </si>
  <si>
    <t xml:space="preserve">"2017-05-23 07:00:15.455626"</t>
  </si>
  <si>
    <t xml:space="preserve">"2017-05-23 07:00:15.455712"</t>
  </si>
  <si>
    <t xml:space="preserve">"1996"</t>
  </si>
  <si>
    <t xml:space="preserve">"dosa-bhaji-dry-rai"</t>
  </si>
  <si>
    <t xml:space="preserve">"2017-05-23 07:00:15.612229"</t>
  </si>
  <si>
    <t xml:space="preserve">"2017-05-23 07:00:15.612266"</t>
  </si>
  <si>
    <t xml:space="preserve">"1997"</t>
  </si>
  <si>
    <t xml:space="preserve">"Udad dal"</t>
  </si>
  <si>
    <t xml:space="preserve">"dosa-bhaji-dry-urad-dal"</t>
  </si>
  <si>
    <t xml:space="preserve">"2017-05-23 07:00:15.741522"</t>
  </si>
  <si>
    <t xml:space="preserve">"2017-05-23 07:00:15.741568"</t>
  </si>
  <si>
    <t xml:space="preserve">"200"</t>
  </si>
  <si>
    <t xml:space="preserve">"1998"</t>
  </si>
  <si>
    <t xml:space="preserve">"dosa-bhaji-dry-chana-dal"</t>
  </si>
  <si>
    <t xml:space="preserve">"2017-05-23 07:00:15.865486"</t>
  </si>
  <si>
    <t xml:space="preserve">"2017-05-23 07:00:15.865550"</t>
  </si>
  <si>
    <t xml:space="preserve">"1999"</t>
  </si>
  <si>
    <t xml:space="preserve">"dosa-bhaji-dry-hing"</t>
  </si>
  <si>
    <t xml:space="preserve">"2017-05-23 07:00:15.998043"</t>
  </si>
  <si>
    <t xml:space="preserve">"2017-05-23 07:00:15.998083"</t>
  </si>
  <si>
    <t xml:space="preserve">"2000"</t>
  </si>
  <si>
    <t xml:space="preserve">"dosa-bhaji-dry-hari-mirchi"</t>
  </si>
  <si>
    <t xml:space="preserve">"2017-05-23 07:00:16.157729"</t>
  </si>
  <si>
    <t xml:space="preserve">"2017-05-23 07:00:16.157772"</t>
  </si>
  <si>
    <t xml:space="preserve">"split in 2"</t>
  </si>
  <si>
    <t xml:space="preserve">"2001"</t>
  </si>
  <si>
    <t xml:space="preserve">"dosa-bhaji-dry-kadi-patta"</t>
  </si>
  <si>
    <t xml:space="preserve">"2017-05-23 07:00:16.301614"</t>
  </si>
  <si>
    <t xml:space="preserve">"2017-05-23 07:00:16.301675"</t>
  </si>
  <si>
    <t xml:space="preserve">"2002"</t>
  </si>
  <si>
    <t xml:space="preserve">"dosa-bhaji-dry-haldi"</t>
  </si>
  <si>
    <t xml:space="preserve">"2017-05-23 07:00:16.452082"</t>
  </si>
  <si>
    <t xml:space="preserve">"2017-05-23 07:00:16.452121"</t>
  </si>
  <si>
    <t xml:space="preserve">"2003"</t>
  </si>
  <si>
    <t xml:space="preserve">"MTR Rasam powder"</t>
  </si>
  <si>
    <t xml:space="preserve">"dosa-bhaji-dry-mtr-rasam-masala"</t>
  </si>
  <si>
    <t xml:space="preserve">"2017-05-23 07:00:16.581975"</t>
  </si>
  <si>
    <t xml:space="preserve">"2017-05-23 07:00:16.582014"</t>
  </si>
  <si>
    <t xml:space="preserve">"148"</t>
  </si>
  <si>
    <t xml:space="preserve">"2004"</t>
  </si>
  <si>
    <t xml:space="preserve">"dosa-bhaji-dry-salt"</t>
  </si>
  <si>
    <t xml:space="preserve">"2017-05-23 07:00:16.723639"</t>
  </si>
  <si>
    <t xml:space="preserve">"2017-05-23 07:00:16.723682"</t>
  </si>
  <si>
    <t xml:space="preserve">"2005"</t>
  </si>
  <si>
    <t xml:space="preserve">"Chole"</t>
  </si>
  <si>
    <t xml:space="preserve">"chole-krsna-balaram-chole"</t>
  </si>
  <si>
    <t xml:space="preserve">"2017-05-23 07:00:16.868382"</t>
  </si>
  <si>
    <t xml:space="preserve">"2017-05-23 07:00:16.868423"</t>
  </si>
  <si>
    <t xml:space="preserve">"13"</t>
  </si>
  <si>
    <t xml:space="preserve">"11"</t>
  </si>
  <si>
    <t xml:space="preserve">"2006"</t>
  </si>
  <si>
    <t xml:space="preserve">"chole-krsna-balaram-tomato"</t>
  </si>
  <si>
    <t xml:space="preserve">"2017-05-23 07:00:17.002401"</t>
  </si>
  <si>
    <t xml:space="preserve">"2017-05-23 07:00:17.002440"</t>
  </si>
  <si>
    <t xml:space="preserve">"5.5"</t>
  </si>
  <si>
    <t xml:space="preserve">"2007"</t>
  </si>
  <si>
    <t xml:space="preserve">"Hansraj chole masala"</t>
  </si>
  <si>
    <t xml:space="preserve">"chole-krsna-balaram-hansraj-chole-masala"</t>
  </si>
  <si>
    <t xml:space="preserve">"2017-05-23 07:00:17.146606"</t>
  </si>
  <si>
    <t xml:space="preserve">"2017-05-23 07:00:17.146681"</t>
  </si>
  <si>
    <t xml:space="preserve">"2008"</t>
  </si>
  <si>
    <t xml:space="preserve">"chole-krsna-balaram-salt"</t>
  </si>
  <si>
    <t xml:space="preserve">"2017-05-23 07:00:17.290474"</t>
  </si>
  <si>
    <t xml:space="preserve">"2017-05-23 07:00:17.290544"</t>
  </si>
  <si>
    <t xml:space="preserve">"2009"</t>
  </si>
  <si>
    <t xml:space="preserve">"Amla churna (optional)"</t>
  </si>
  <si>
    <t xml:space="preserve">"chole-krsna-balaram-amla-churna"</t>
  </si>
  <si>
    <t xml:space="preserve">"2017-05-23 07:00:17.427171"</t>
  </si>
  <si>
    <t xml:space="preserve">"2017-05-23 07:00:17.427214"</t>
  </si>
  <si>
    <t xml:space="preserve">"2010"</t>
  </si>
  <si>
    <t xml:space="preserve">"patol-white-gravy-rai-oil"</t>
  </si>
  <si>
    <t xml:space="preserve">"2017-05-23 07:00:17.555348"</t>
  </si>
  <si>
    <t xml:space="preserve">"2017-05-23 07:00:17.555392"</t>
  </si>
  <si>
    <t xml:space="preserve">"56"</t>
  </si>
  <si>
    <t xml:space="preserve">"2011"</t>
  </si>
  <si>
    <t xml:space="preserve">"patol-white-gravy-jeera"</t>
  </si>
  <si>
    <t xml:space="preserve">"2017-05-23 07:00:17.702274"</t>
  </si>
  <si>
    <t xml:space="preserve">"2017-05-23 07:00:17.702319"</t>
  </si>
  <si>
    <t xml:space="preserve">"2012"</t>
  </si>
  <si>
    <t xml:space="preserve">"patol-white-gravy-hari-mirchi"</t>
  </si>
  <si>
    <t xml:space="preserve">"2017-05-23 07:00:17.837070"</t>
  </si>
  <si>
    <t xml:space="preserve">"2017-05-23 07:00:17.837108"</t>
  </si>
  <si>
    <t xml:space="preserve">"100"</t>
  </si>
  <si>
    <t xml:space="preserve">"2013"</t>
  </si>
  <si>
    <t xml:space="preserve">"patol-white-gravy-haldi"</t>
  </si>
  <si>
    <t xml:space="preserve">"2017-05-23 07:00:17.970462"</t>
  </si>
  <si>
    <t xml:space="preserve">"2017-05-23 07:00:17.970507"</t>
  </si>
  <si>
    <t xml:space="preserve">"2014"</t>
  </si>
  <si>
    <t xml:space="preserve">"Kaju"</t>
  </si>
  <si>
    <t xml:space="preserve">"patol-white-gravy-kaju"</t>
  </si>
  <si>
    <t xml:space="preserve">"2017-05-23 07:00:18.107010"</t>
  </si>
  <si>
    <t xml:space="preserve">"2017-05-23 07:00:18.107049"</t>
  </si>
  <si>
    <t xml:space="preserve">"2015"</t>
  </si>
  <si>
    <t xml:space="preserve">"Posto"</t>
  </si>
  <si>
    <t xml:space="preserve">"patol-white-gravy-posto"</t>
  </si>
  <si>
    <t xml:space="preserve">"2017-05-23 07:00:18.232276"</t>
  </si>
  <si>
    <t xml:space="preserve">"2017-05-23 07:00:18.232335"</t>
  </si>
  <si>
    <t xml:space="preserve">"161"</t>
  </si>
  <si>
    <t xml:space="preserve">"2016"</t>
  </si>
  <si>
    <t xml:space="preserve">"patol-white-gravy-everest-pulav-masala"</t>
  </si>
  <si>
    <t xml:space="preserve">"2017-05-23 07:00:18.389140"</t>
  </si>
  <si>
    <t xml:space="preserve">"2017-05-23 07:00:18.389179"</t>
  </si>
  <si>
    <t xml:space="preserve">"2017"</t>
  </si>
  <si>
    <t xml:space="preserve">"patol-white-gravy-sugar"</t>
  </si>
  <si>
    <t xml:space="preserve">"2017-05-23 07:00:18.525397"</t>
  </si>
  <si>
    <t xml:space="preserve">"2017-05-23 07:00:18.525438"</t>
  </si>
  <si>
    <t xml:space="preserve">"2018"</t>
  </si>
  <si>
    <t xml:space="preserve">"patol-white-gravy-patol"</t>
  </si>
  <si>
    <t xml:space="preserve">"2017-05-23 07:00:18.667809"</t>
  </si>
  <si>
    <t xml:space="preserve">"2017-05-23 07:00:18.667861"</t>
  </si>
  <si>
    <t xml:space="preserve">"sauteed"</t>
  </si>
  <si>
    <t xml:space="preserve">"2019"</t>
  </si>
  <si>
    <t xml:space="preserve">"patol-white-gravy-hot-water"</t>
  </si>
  <si>
    <t xml:space="preserve">"2017-05-23 07:00:18.798307"</t>
  </si>
  <si>
    <t xml:space="preserve">"2017-05-23 07:00:18.798348"</t>
  </si>
  <si>
    <t xml:space="preserve">"2020"</t>
  </si>
  <si>
    <t xml:space="preserve">"patol-white-gravy-tej-patta"</t>
  </si>
  <si>
    <t xml:space="preserve">"2017-05-23 07:00:18.936196"</t>
  </si>
  <si>
    <t xml:space="preserve">"2017-05-23 07:00:18.936231"</t>
  </si>
  <si>
    <t xml:space="preserve">"2021"</t>
  </si>
  <si>
    <t xml:space="preserve">"patol-white-gravy-salt"</t>
  </si>
  <si>
    <t xml:space="preserve">"2017-05-23 07:00:19.079556"</t>
  </si>
  <si>
    <t xml:space="preserve">"2017-05-23 07:00:19.079626"</t>
  </si>
  <si>
    <t xml:space="preserve">"2022"</t>
  </si>
  <si>
    <t xml:space="preserve">"alu-jeera-alu"</t>
  </si>
  <si>
    <t xml:space="preserve">"2017-05-23 07:00:19.245153"</t>
  </si>
  <si>
    <t xml:space="preserve">"2017-05-23 07:00:19.245286"</t>
  </si>
  <si>
    <t xml:space="preserve">"boiled,peeled,cut"</t>
  </si>
  <si>
    <t xml:space="preserve">"2023"</t>
  </si>
  <si>
    <t xml:space="preserve">"alu-jeera-gound-nut-oil"</t>
  </si>
  <si>
    <t xml:space="preserve">"2017-05-23 07:00:19.389848"</t>
  </si>
  <si>
    <t xml:space="preserve">"2017-05-23 07:00:19.389905"</t>
  </si>
  <si>
    <t xml:space="preserve">"2024"</t>
  </si>
  <si>
    <t xml:space="preserve">"alu-jeera-jeera"</t>
  </si>
  <si>
    <t xml:space="preserve">"2017-05-23 07:00:19.530662"</t>
  </si>
  <si>
    <t xml:space="preserve">"2017-05-23 07:00:19.530704"</t>
  </si>
  <si>
    <t xml:space="preserve">"2025"</t>
  </si>
  <si>
    <t xml:space="preserve">"alu-jeera-hing"</t>
  </si>
  <si>
    <t xml:space="preserve">"2017-05-23 07:00:19.670868"</t>
  </si>
  <si>
    <t xml:space="preserve">"2017-05-23 07:00:19.670904"</t>
  </si>
  <si>
    <t xml:space="preserve">"2026"</t>
  </si>
  <si>
    <t xml:space="preserve">"alu-jeera-hari-mirchi"</t>
  </si>
  <si>
    <t xml:space="preserve">"2017-05-23 07:00:19.796918"</t>
  </si>
  <si>
    <t xml:space="preserve">"2017-05-23 07:00:19.796960"</t>
  </si>
  <si>
    <t xml:space="preserve">"2027"</t>
  </si>
  <si>
    <t xml:space="preserve">"alu-jeera-kashmiri-chilly-powder"</t>
  </si>
  <si>
    <t xml:space="preserve">"2017-05-23 07:00:19.941447"</t>
  </si>
  <si>
    <t xml:space="preserve">"2017-05-23 07:00:19.941489"</t>
  </si>
  <si>
    <t xml:space="preserve">"2028"</t>
  </si>
  <si>
    <t xml:space="preserve">"alu-jeera-madrasi-mirchi-powder"</t>
  </si>
  <si>
    <t xml:space="preserve">"2017-05-23 07:00:20.095444"</t>
  </si>
  <si>
    <t xml:space="preserve">"2017-05-23 07:00:20.095486"</t>
  </si>
  <si>
    <t xml:space="preserve">"2029"</t>
  </si>
  <si>
    <t xml:space="preserve">"alu-jeera-salt"</t>
  </si>
  <si>
    <t xml:space="preserve">"2017-05-23 07:00:20.226980"</t>
  </si>
  <si>
    <t xml:space="preserve">"2017-05-23 07:00:20.227024"</t>
  </si>
  <si>
    <t xml:space="preserve">"2030"</t>
  </si>
  <si>
    <t xml:space="preserve">"alu-jeera-dhaniya-powder"</t>
  </si>
  <si>
    <t xml:space="preserve">"2017-05-23 07:00:20.346567"</t>
  </si>
  <si>
    <t xml:space="preserve">"2017-05-23 07:00:20.346608"</t>
  </si>
  <si>
    <t xml:space="preserve">"2031"</t>
  </si>
  <si>
    <t xml:space="preserve">"alu-jeera-jeera-2024"</t>
  </si>
  <si>
    <t xml:space="preserve">"2017-05-23 07:00:20.488239"</t>
  </si>
  <si>
    <t xml:space="preserve">"2017-05-23 07:00:20.488304"</t>
  </si>
  <si>
    <t xml:space="preserve">"2032"</t>
  </si>
  <si>
    <t xml:space="preserve">"alu-jeera-lemon"</t>
  </si>
  <si>
    <t xml:space="preserve">"2017-05-23 07:00:20.615631"</t>
  </si>
  <si>
    <t xml:space="preserve">"2017-05-23 07:00:20.615676"</t>
  </si>
  <si>
    <t xml:space="preserve">"2033"</t>
  </si>
  <si>
    <t xml:space="preserve">"alu-jeera-dhaniya-patta"</t>
  </si>
  <si>
    <t xml:space="preserve">"2017-05-23 07:00:20.733325"</t>
  </si>
  <si>
    <t xml:space="preserve">"2017-05-23 07:00:20.733362"</t>
  </si>
  <si>
    <t xml:space="preserve">"2034"</t>
  </si>
  <si>
    <t xml:space="preserve">"Brokoli"</t>
  </si>
  <si>
    <t xml:space="preserve">"brokoli-sautee-broccoli"</t>
  </si>
  <si>
    <t xml:space="preserve">"2017-05-23 07:00:20.883633"</t>
  </si>
  <si>
    <t xml:space="preserve">"2017-05-23 07:00:20.883672"</t>
  </si>
  <si>
    <t xml:space="preserve">"36"</t>
  </si>
  <si>
    <t xml:space="preserve">"steamed"</t>
  </si>
  <si>
    <t xml:space="preserve">"2035"</t>
  </si>
  <si>
    <t xml:space="preserve">"brokoli-sautee-broccoli-2034"</t>
  </si>
  <si>
    <t xml:space="preserve">"2017-05-23 07:00:21.017112"</t>
  </si>
  <si>
    <t xml:space="preserve">"2017-05-23 07:00:21.017173"</t>
  </si>
  <si>
    <t xml:space="preserve">"2036"</t>
  </si>
  <si>
    <t xml:space="preserve">"brokoli-sautee-evoo"</t>
  </si>
  <si>
    <t xml:space="preserve">"2017-05-23 07:00:21.140358"</t>
  </si>
  <si>
    <t xml:space="preserve">"2017-05-23 07:00:21.140397"</t>
  </si>
  <si>
    <t xml:space="preserve">"2037"</t>
  </si>
  <si>
    <t xml:space="preserve">"Black pepper powder"</t>
  </si>
  <si>
    <t xml:space="preserve">"brokoli-sautee-black-pepper"</t>
  </si>
  <si>
    <t xml:space="preserve">"2017-05-23 07:00:21.237316"</t>
  </si>
  <si>
    <t xml:space="preserve">"2017-05-23 07:00:21.237358"</t>
  </si>
  <si>
    <t xml:space="preserve">"2038"</t>
  </si>
  <si>
    <t xml:space="preserve">"brokoli-sautee-hing"</t>
  </si>
  <si>
    <t xml:space="preserve">"2017-05-23 07:00:21.388121"</t>
  </si>
  <si>
    <t xml:space="preserve">"2017-05-23 07:00:21.388158"</t>
  </si>
  <si>
    <t xml:space="preserve">"2039"</t>
  </si>
  <si>
    <t xml:space="preserve">"brokoli-sautee-salt"</t>
  </si>
  <si>
    <t xml:space="preserve">"2017-05-23 07:00:21.542671"</t>
  </si>
  <si>
    <t xml:space="preserve">"2017-05-23 07:00:21.542707"</t>
  </si>
  <si>
    <t xml:space="preserve">"2040"</t>
  </si>
  <si>
    <t xml:space="preserve">"brokoli-sautee-black-salt"</t>
  </si>
  <si>
    <t xml:space="preserve">"2017-05-23 07:00:21.658818"</t>
  </si>
  <si>
    <t xml:space="preserve">"2017-05-23 07:00:21.658858"</t>
  </si>
  <si>
    <t xml:space="preserve">"2041"</t>
  </si>
  <si>
    <t xml:space="preserve">"Basil leaves"</t>
  </si>
  <si>
    <t xml:space="preserve">"brokoli-sautee-basil-leaves"</t>
  </si>
  <si>
    <t xml:space="preserve">"2017-05-23 07:00:21.769229"</t>
  </si>
  <si>
    <t xml:space="preserve">"2017-05-23 07:00:21.769292"</t>
  </si>
  <si>
    <t xml:space="preserve">"chopped"</t>
  </si>
  <si>
    <t xml:space="preserve">"2042"</t>
  </si>
  <si>
    <t xml:space="preserve">"Karela"</t>
  </si>
  <si>
    <t xml:space="preserve">"kerela-round-karela"</t>
  </si>
  <si>
    <t xml:space="preserve">"2017-05-23 07:00:21.902495"</t>
  </si>
  <si>
    <t xml:space="preserve">"2017-05-23 07:00:21.902531"</t>
  </si>
  <si>
    <t xml:space="preserve">"116"</t>
  </si>
  <si>
    <t xml:space="preserve">"round slices,salt squeezed"</t>
  </si>
  <si>
    <t xml:space="preserve">"2043"</t>
  </si>
  <si>
    <t xml:space="preserve">"kerela-round-karela-2042"</t>
  </si>
  <si>
    <t xml:space="preserve">"2017-05-23 07:00:22.037813"</t>
  </si>
  <si>
    <t xml:space="preserve">"2017-05-23 07:00:22.037849"</t>
  </si>
  <si>
    <t xml:space="preserve">"2044"</t>
  </si>
  <si>
    <t xml:space="preserve">"kerela-round-gound-nut-oil"</t>
  </si>
  <si>
    <t xml:space="preserve">"2017-05-23 07:00:22.175438"</t>
  </si>
  <si>
    <t xml:space="preserve">"2017-05-23 07:00:22.175475"</t>
  </si>
  <si>
    <t xml:space="preserve">"2045"</t>
  </si>
  <si>
    <t xml:space="preserve">"kerela-round-jeera"</t>
  </si>
  <si>
    <t xml:space="preserve">"2017-05-23 07:00:22.315181"</t>
  </si>
  <si>
    <t xml:space="preserve">"2017-05-23 07:00:22.315223"</t>
  </si>
  <si>
    <t xml:space="preserve">"2046"</t>
  </si>
  <si>
    <t xml:space="preserve">"kerela-round-hari-mirchi"</t>
  </si>
  <si>
    <t xml:space="preserve">"2017-05-23 07:00:22.446302"</t>
  </si>
  <si>
    <t xml:space="preserve">"2017-05-23 07:00:22.446350"</t>
  </si>
  <si>
    <t xml:space="preserve">"2047"</t>
  </si>
  <si>
    <t xml:space="preserve">"kerela-round-haldi"</t>
  </si>
  <si>
    <t xml:space="preserve">"2017-05-23 07:00:22.568641"</t>
  </si>
  <si>
    <t xml:space="preserve">"2017-05-23 07:00:22.568683"</t>
  </si>
  <si>
    <t xml:space="preserve">"2048"</t>
  </si>
  <si>
    <t xml:space="preserve">"kerela-round-dhaniya-powder"</t>
  </si>
  <si>
    <t xml:space="preserve">"2017-05-23 07:00:22.651988"</t>
  </si>
  <si>
    <t xml:space="preserve">"2017-05-23 07:00:22.652024"</t>
  </si>
  <si>
    <t xml:space="preserve">"2049"</t>
  </si>
  <si>
    <t xml:space="preserve">"kerela-round-salt"</t>
  </si>
  <si>
    <t xml:space="preserve">"2017-05-23 07:00:22.764979"</t>
  </si>
  <si>
    <t xml:space="preserve">"2017-05-23 07:00:22.765046"</t>
  </si>
  <si>
    <t xml:space="preserve">"2050"</t>
  </si>
  <si>
    <t xml:space="preserve">"Gud"</t>
  </si>
  <si>
    <t xml:space="preserve">"kerela-round-gud"</t>
  </si>
  <si>
    <t xml:space="preserve">"2017-05-23 07:00:22.909659"</t>
  </si>
  <si>
    <t xml:space="preserve">"2017-05-23 07:00:22.909716"</t>
  </si>
  <si>
    <t xml:space="preserve">"250"</t>
  </si>
  <si>
    <t xml:space="preserve">"2051"</t>
  </si>
  <si>
    <t xml:space="preserve">"kerela-round-amchur"</t>
  </si>
  <si>
    <t xml:space="preserve">"2017-05-23 07:00:23.077126"</t>
  </si>
  <si>
    <t xml:space="preserve">"2017-05-23 07:00:23.077173"</t>
  </si>
  <si>
    <t xml:space="preserve">"2052"</t>
  </si>
  <si>
    <t xml:space="preserve">"Red sak"</t>
  </si>
  <si>
    <t xml:space="preserve">"red-sak-badi-red-sak"</t>
  </si>
  <si>
    <t xml:space="preserve">"2017-05-23 07:00:23.209676"</t>
  </si>
  <si>
    <t xml:space="preserve">"2017-05-23 07:00:23.209831"</t>
  </si>
  <si>
    <t xml:space="preserve">"169"</t>
  </si>
  <si>
    <t xml:space="preserve">"2053"</t>
  </si>
  <si>
    <t xml:space="preserve">"red-sak-badi-red-sak-2052"</t>
  </si>
  <si>
    <t xml:space="preserve">"2017-05-23 07:00:23.312323"</t>
  </si>
  <si>
    <t xml:space="preserve">"2017-05-23 07:00:23.312357"</t>
  </si>
  <si>
    <t xml:space="preserve">"2054"</t>
  </si>
  <si>
    <t xml:space="preserve">"red-sak-badi-rai-oil"</t>
  </si>
  <si>
    <t xml:space="preserve">"2017-05-23 07:00:23.467866"</t>
  </si>
  <si>
    <t xml:space="preserve">"2017-05-23 07:00:23.467904"</t>
  </si>
  <si>
    <t xml:space="preserve">"2055"</t>
  </si>
  <si>
    <t xml:space="preserve">"Kalo jeera"</t>
  </si>
  <si>
    <t xml:space="preserve">"red-sak-badi-kalo-jeera"</t>
  </si>
  <si>
    <t xml:space="preserve">"2017-05-23 07:00:23.599674"</t>
  </si>
  <si>
    <t xml:space="preserve">"2017-05-23 07:00:23.599717"</t>
  </si>
  <si>
    <t xml:space="preserve">"114"</t>
  </si>
  <si>
    <t xml:space="preserve">"2056"</t>
  </si>
  <si>
    <t xml:space="preserve">"red-sak-badi-tej-patta"</t>
  </si>
  <si>
    <t xml:space="preserve">"2017-05-23 07:00:23.724514"</t>
  </si>
  <si>
    <t xml:space="preserve">"2017-05-23 07:00:23.724552"</t>
  </si>
  <si>
    <t xml:space="preserve">"2057"</t>
  </si>
  <si>
    <t xml:space="preserve">"red-sak-badi-adrak"</t>
  </si>
  <si>
    <t xml:space="preserve">"2017-05-23 07:01:52.858716"</t>
  </si>
  <si>
    <t xml:space="preserve">"2017-05-23 07:01:52.858753"</t>
  </si>
  <si>
    <t xml:space="preserve">"2058"</t>
  </si>
  <si>
    <t xml:space="preserve">"red-sak-badi-hari-mirchi"</t>
  </si>
  <si>
    <t xml:space="preserve">"2017-05-23 07:01:53.727227"</t>
  </si>
  <si>
    <t xml:space="preserve">"2017-05-23 07:01:53.727271"</t>
  </si>
  <si>
    <t xml:space="preserve">"2059"</t>
  </si>
  <si>
    <t xml:space="preserve">"red-sak-badi-salt"</t>
  </si>
  <si>
    <t xml:space="preserve">"2017-05-23 07:01:53.943200"</t>
  </si>
  <si>
    <t xml:space="preserve">"2017-05-23 07:01:53.943257"</t>
  </si>
  <si>
    <t xml:space="preserve">"2060"</t>
  </si>
  <si>
    <t xml:space="preserve">"red-sak-badi-haldi"</t>
  </si>
  <si>
    <t xml:space="preserve">"2017-05-23 07:01:54.135886"</t>
  </si>
  <si>
    <t xml:space="preserve">"2017-05-23 07:01:54.135933"</t>
  </si>
  <si>
    <t xml:space="preserve">"2061"</t>
  </si>
  <si>
    <t xml:space="preserve">"Badi"</t>
  </si>
  <si>
    <t xml:space="preserve">"red-sak-badi-moong-badi"</t>
  </si>
  <si>
    <t xml:space="preserve">"2017-05-23 07:01:54.410930"</t>
  </si>
  <si>
    <t xml:space="preserve">"2017-05-23 07:01:54.410977"</t>
  </si>
  <si>
    <t xml:space="preserve">"146"</t>
  </si>
  <si>
    <t xml:space="preserve">"2062"</t>
  </si>
  <si>
    <t xml:space="preserve">"varai-pulav-varai"</t>
  </si>
  <si>
    <t xml:space="preserve">"2017-05-23 07:01:54.635885"</t>
  </si>
  <si>
    <t xml:space="preserve">"2017-05-23 07:01:54.635924"</t>
  </si>
  <si>
    <t xml:space="preserve">"86"</t>
  </si>
  <si>
    <t xml:space="preserve">"2063"</t>
  </si>
  <si>
    <t xml:space="preserve">"varai-pulav-ground-nut-oil"</t>
  </si>
  <si>
    <t xml:space="preserve">"2017-05-23 07:01:54.761251"</t>
  </si>
  <si>
    <t xml:space="preserve">"2017-05-23 07:01:54.761288"</t>
  </si>
  <si>
    <t xml:space="preserve">"2064"</t>
  </si>
  <si>
    <t xml:space="preserve">"varai-pulav-tej-patta"</t>
  </si>
  <si>
    <t xml:space="preserve">"2017-05-23 07:01:54.896695"</t>
  </si>
  <si>
    <t xml:space="preserve">"2017-05-23 07:01:54.896734"</t>
  </si>
  <si>
    <t xml:space="preserve">"2065"</t>
  </si>
  <si>
    <t xml:space="preserve">"varai-pulav-jeera"</t>
  </si>
  <si>
    <t xml:space="preserve">"2017-05-23 07:01:55.040473"</t>
  </si>
  <si>
    <t xml:space="preserve">"2017-05-23 07:01:55.040512"</t>
  </si>
  <si>
    <t xml:space="preserve">"2066"</t>
  </si>
  <si>
    <t xml:space="preserve">"varai-pulav-kadi-patta"</t>
  </si>
  <si>
    <t xml:space="preserve">"2017-05-23 07:01:55.173666"</t>
  </si>
  <si>
    <t xml:space="preserve">"2017-05-23 07:01:55.173705"</t>
  </si>
  <si>
    <t xml:space="preserve">"2067"</t>
  </si>
  <si>
    <t xml:space="preserve">"varai-pulav-gajar"</t>
  </si>
  <si>
    <t xml:space="preserve">"2017-05-23 07:01:55.310799"</t>
  </si>
  <si>
    <t xml:space="preserve">"2017-05-23 07:01:55.310836"</t>
  </si>
  <si>
    <t xml:space="preserve">"2068"</t>
  </si>
  <si>
    <t xml:space="preserve">"varai-pulav-cabbage"</t>
  </si>
  <si>
    <t xml:space="preserve">"2017-05-23 07:01:55.467033"</t>
  </si>
  <si>
    <t xml:space="preserve">"2017-05-23 07:01:55.467069"</t>
  </si>
  <si>
    <t xml:space="preserve">"2069"</t>
  </si>
  <si>
    <t xml:space="preserve">"varai-pulav-capsicum"</t>
  </si>
  <si>
    <t xml:space="preserve">"2017-05-23 07:01:55.616245"</t>
  </si>
  <si>
    <t xml:space="preserve">"2017-05-23 07:01:55.616306"</t>
  </si>
  <si>
    <t xml:space="preserve">"2070"</t>
  </si>
  <si>
    <t xml:space="preserve">"varai-pulav-flower"</t>
  </si>
  <si>
    <t xml:space="preserve">"2017-05-23 07:01:55.770398"</t>
  </si>
  <si>
    <t xml:space="preserve">"2017-05-23 07:01:55.770464"</t>
  </si>
  <si>
    <t xml:space="preserve">"2071"</t>
  </si>
  <si>
    <t xml:space="preserve">"varai-pulav-salt"</t>
  </si>
  <si>
    <t xml:space="preserve">"2017-05-23 07:01:55.915819"</t>
  </si>
  <si>
    <t xml:space="preserve">"2017-05-23 07:01:55.915880"</t>
  </si>
  <si>
    <t xml:space="preserve">"2072"</t>
  </si>
  <si>
    <t xml:space="preserve">"varai-pulav-everest-pulav-masala"</t>
  </si>
  <si>
    <t xml:space="preserve">"2017-05-23 07:01:56.069424"</t>
  </si>
  <si>
    <t xml:space="preserve">"2017-05-23 07:01:56.069576"</t>
  </si>
  <si>
    <t xml:space="preserve">"2073"</t>
  </si>
  <si>
    <t xml:space="preserve">"varai-pulav-hot-water"</t>
  </si>
  <si>
    <t xml:space="preserve">"2017-05-23 07:01:56.213130"</t>
  </si>
  <si>
    <t xml:space="preserve">"2017-05-23 07:01:56.213195"</t>
  </si>
  <si>
    <t xml:space="preserve">"2074"</t>
  </si>
  <si>
    <t xml:space="preserve">"varai-pulav-sugar"</t>
  </si>
  <si>
    <t xml:space="preserve">"2017-05-23 07:01:56.354925"</t>
  </si>
  <si>
    <t xml:space="preserve">"2017-05-23 07:01:56.354961"</t>
  </si>
  <si>
    <t xml:space="preserve">"2075"</t>
  </si>
  <si>
    <t xml:space="preserve">"Sweet corn (boiled)"</t>
  </si>
  <si>
    <t xml:space="preserve">"sweet-corn-italia-sweet-corn"</t>
  </si>
  <si>
    <t xml:space="preserve">"2017-05-23 07:01:56.498691"</t>
  </si>
  <si>
    <t xml:space="preserve">"2017-05-23 07:01:56.498727"</t>
  </si>
  <si>
    <t xml:space="preserve">"188"</t>
  </si>
  <si>
    <t xml:space="preserve">"(small size corn preferred)"</t>
  </si>
  <si>
    <t xml:space="preserve">"11.9"</t>
  </si>
  <si>
    <t xml:space="preserve">"2076"</t>
  </si>
  <si>
    <t xml:space="preserve">"Red capsicum"</t>
  </si>
  <si>
    <t xml:space="preserve">"sweet-corn-italia-red-capsicum"</t>
  </si>
  <si>
    <t xml:space="preserve">"2017-05-23 07:01:56.656166"</t>
  </si>
  <si>
    <t xml:space="preserve">"2017-05-23 07:01:56.656225"</t>
  </si>
  <si>
    <t xml:space="preserve">"168"</t>
  </si>
  <si>
    <t xml:space="preserve">"(small square sauteed)"</t>
  </si>
  <si>
    <t xml:space="preserve">"2077"</t>
  </si>
  <si>
    <t xml:space="preserve">"Green capsicum"</t>
  </si>
  <si>
    <t xml:space="preserve">"sweet-corn-italia-green-capsicum"</t>
  </si>
  <si>
    <t xml:space="preserve">"2017-05-23 07:01:56.825956"</t>
  </si>
  <si>
    <t xml:space="preserve">"2017-05-23 07:01:56.826019"</t>
  </si>
  <si>
    <t xml:space="preserve">"84"</t>
  </si>
  <si>
    <t xml:space="preserve">"2078"</t>
  </si>
  <si>
    <t xml:space="preserve">"Coconut (grated, medium jaali)"</t>
  </si>
  <si>
    <t xml:space="preserve">"sweet-corn-italia-coconut"</t>
  </si>
  <si>
    <t xml:space="preserve">"2017-05-23 07:01:56.970163"</t>
  </si>
  <si>
    <t xml:space="preserve">"2017-05-23 07:01:56.970211"</t>
  </si>
  <si>
    <t xml:space="preserve">"2079"</t>
  </si>
  <si>
    <t xml:space="preserve">"Boiled milk"</t>
  </si>
  <si>
    <t xml:space="preserve">"sweet-corn-italia-milk"</t>
  </si>
  <si>
    <t xml:space="preserve">"2017-05-23 07:01:57.125420"</t>
  </si>
  <si>
    <t xml:space="preserve">"2017-05-23 07:01:57.125462"</t>
  </si>
  <si>
    <t xml:space="preserve">"145"</t>
  </si>
  <si>
    <t xml:space="preserve">"11.55"</t>
  </si>
  <si>
    <t xml:space="preserve">"2080"</t>
  </si>
  <si>
    <t xml:space="preserve">"Boiled Kaju paste"</t>
  </si>
  <si>
    <t xml:space="preserve">"sweet-corn-italia-kaju"</t>
  </si>
  <si>
    <t xml:space="preserve">"2017-05-23 07:01:57.256933"</t>
  </si>
  <si>
    <t xml:space="preserve">"2017-05-23 07:01:57.256975"</t>
  </si>
  <si>
    <t xml:space="preserve">"0.91"</t>
  </si>
  <si>
    <t xml:space="preserve">"2081"</t>
  </si>
  <si>
    <t xml:space="preserve">"sweet-corn-italia-butter"</t>
  </si>
  <si>
    <t xml:space="preserve">"2017-05-23 07:01:57.397074"</t>
  </si>
  <si>
    <t xml:space="preserve">"2017-05-23 07:01:57.397117"</t>
  </si>
  <si>
    <t xml:space="preserve">"1.05"</t>
  </si>
  <si>
    <t xml:space="preserve">"2082"</t>
  </si>
  <si>
    <t xml:space="preserve">"sweet-corn-italia-hing"</t>
  </si>
  <si>
    <t xml:space="preserve">"2017-05-23 07:01:57.513862"</t>
  </si>
  <si>
    <t xml:space="preserve">"2017-05-23 07:01:57.513903"</t>
  </si>
  <si>
    <t xml:space="preserve">"2083"</t>
  </si>
  <si>
    <t xml:space="preserve">"sweet-corn-italia-hari-mirchi"</t>
  </si>
  <si>
    <t xml:space="preserve">"2017-05-23 07:01:57.613187"</t>
  </si>
  <si>
    <t xml:space="preserve">"2017-05-23 07:01:57.613249"</t>
  </si>
  <si>
    <t xml:space="preserve">"2084"</t>
  </si>
  <si>
    <t xml:space="preserve">"Black pepper pwd"</t>
  </si>
  <si>
    <t xml:space="preserve">"sweet-corn-italia-black-pepper"</t>
  </si>
  <si>
    <t xml:space="preserve">"2017-05-23 07:01:57.757953"</t>
  </si>
  <si>
    <t xml:space="preserve">"2017-05-23 07:01:57.757994"</t>
  </si>
  <si>
    <t xml:space="preserve">"2085"</t>
  </si>
  <si>
    <t xml:space="preserve">"Brown sugar (bluebird) or"</t>
  </si>
  <si>
    <t xml:space="preserve">"sweet-corn-italia-brown-sugar"</t>
  </si>
  <si>
    <t xml:space="preserve">"2017-05-23 07:01:57.902332"</t>
  </si>
  <si>
    <t xml:space="preserve">"2017-05-23 07:01:57.902370"</t>
  </si>
  <si>
    <t xml:space="preserve">"3.85"</t>
  </si>
  <si>
    <t xml:space="preserve">"2086"</t>
  </si>
  <si>
    <t xml:space="preserve">"sweet-corn-italia-brown-sugar-2085"</t>
  </si>
  <si>
    <t xml:space="preserve">"2017-05-23 07:01:58.052880"</t>
  </si>
  <si>
    <t xml:space="preserve">"2017-05-23 07:01:58.052952"</t>
  </si>
  <si>
    <t xml:space="preserve">"2087"</t>
  </si>
  <si>
    <t xml:space="preserve">"sweet-corn-italia-basil-leaves"</t>
  </si>
  <si>
    <t xml:space="preserve">"2017-05-23 07:01:58.190440"</t>
  </si>
  <si>
    <t xml:space="preserve">"2017-05-23 07:01:58.190481"</t>
  </si>
  <si>
    <t xml:space="preserve">"2.45"</t>
  </si>
  <si>
    <t xml:space="preserve">"2088"</t>
  </si>
  <si>
    <t xml:space="preserve">"Boiled corn water"</t>
  </si>
  <si>
    <t xml:space="preserve">"sweet-corn-italia-corn"</t>
  </si>
  <si>
    <t xml:space="preserve">"2017-05-23 07:01:58.341221"</t>
  </si>
  <si>
    <t xml:space="preserve">"2017-05-23 07:01:58.341256"</t>
  </si>
  <si>
    <t xml:space="preserve">"2089"</t>
  </si>
  <si>
    <t xml:space="preserve">"Corn flour"</t>
  </si>
  <si>
    <t xml:space="preserve">"sweet-corn-italia-corn-flour"</t>
  </si>
  <si>
    <t xml:space="preserve">"2017-05-23 07:01:58.495743"</t>
  </si>
  <si>
    <t xml:space="preserve">"2017-05-23 07:01:58.495780"</t>
  </si>
  <si>
    <t xml:space="preserve">"57"</t>
  </si>
  <si>
    <t xml:space="preserve">"2090"</t>
  </si>
  <si>
    <t xml:space="preserve">"sweet-corn-italia-evoo"</t>
  </si>
  <si>
    <t xml:space="preserve">"2017-05-23 07:01:58.633673"</t>
  </si>
  <si>
    <t xml:space="preserve">"2017-05-23 07:01:58.633719"</t>
  </si>
  <si>
    <t xml:space="preserve">"2091"</t>
  </si>
  <si>
    <t xml:space="preserve">"sweet-corn-italia-salt"</t>
  </si>
  <si>
    <t xml:space="preserve">"2017-05-23 07:01:58.781960"</t>
  </si>
  <si>
    <t xml:space="preserve">"2017-05-23 07:01:58.782002"</t>
  </si>
  <si>
    <t xml:space="preserve">"1.4"</t>
  </si>
  <si>
    <t xml:space="preserve">"2092"</t>
  </si>
  <si>
    <t xml:space="preserve">"Lettuce (cut big size)"</t>
  </si>
  <si>
    <t xml:space="preserve">"italian-salad-lettuce"</t>
  </si>
  <si>
    <t xml:space="preserve">"2017-05-23 07:01:58.922397"</t>
  </si>
  <si>
    <t xml:space="preserve">"2017-05-23 07:01:58.922454"</t>
  </si>
  <si>
    <t xml:space="preserve">"133"</t>
  </si>
  <si>
    <t xml:space="preserve">"Mix lemon juice &amp; olive oil before adding to salad"</t>
  </si>
  <si>
    <t xml:space="preserve">"2093"</t>
  </si>
  <si>
    <t xml:space="preserve">"Gajar (grated)"</t>
  </si>
  <si>
    <t xml:space="preserve">"italian-salad-gajar"</t>
  </si>
  <si>
    <t xml:space="preserve">"2017-05-23 07:01:59.082539"</t>
  </si>
  <si>
    <t xml:space="preserve">"2017-05-23 07:01:59.082589"</t>
  </si>
  <si>
    <t xml:space="preserve">"2.333"</t>
  </si>
  <si>
    <t xml:space="preserve">"3.267"</t>
  </si>
  <si>
    <t xml:space="preserve">"2094"</t>
  </si>
  <si>
    <t xml:space="preserve">"Cherry tomato (cut half)"</t>
  </si>
  <si>
    <t xml:space="preserve">"italian-salad-cherry-tomato"</t>
  </si>
  <si>
    <t xml:space="preserve">"2017-05-23 07:01:59.244824"</t>
  </si>
  <si>
    <t xml:space="preserve">"2017-05-23 07:01:59.244863"</t>
  </si>
  <si>
    <t xml:space="preserve">"50"</t>
  </si>
  <si>
    <t xml:space="preserve">"4.667"</t>
  </si>
  <si>
    <t xml:space="preserve">"2095"</t>
  </si>
  <si>
    <t xml:space="preserve">"Roasted Almonds (cut 1-4)"</t>
  </si>
  <si>
    <t xml:space="preserve">"italian-salad-almonds"</t>
  </si>
  <si>
    <t xml:space="preserve">"2017-05-23 07:01:59.379222"</t>
  </si>
  <si>
    <t xml:space="preserve">"2017-05-23 07:01:59.379272"</t>
  </si>
  <si>
    <t xml:space="preserve">"2096"</t>
  </si>
  <si>
    <t xml:space="preserve">"italian-salad-evoo"</t>
  </si>
  <si>
    <t xml:space="preserve">"2017-05-23 07:01:59.516720"</t>
  </si>
  <si>
    <t xml:space="preserve">"2017-05-23 07:01:59.516760"</t>
  </si>
  <si>
    <t xml:space="preserve">"2097"</t>
  </si>
  <si>
    <t xml:space="preserve">"italian-salad-lemon"</t>
  </si>
  <si>
    <t xml:space="preserve">"2017-05-23 07:01:59.638093"</t>
  </si>
  <si>
    <t xml:space="preserve">"2017-05-23 07:01:59.638146"</t>
  </si>
  <si>
    <t xml:space="preserve">"2098"</t>
  </si>
  <si>
    <t xml:space="preserve">"salt for roasting almonds"</t>
  </si>
  <si>
    <t xml:space="preserve">"italian-salad-salt"</t>
  </si>
  <si>
    <t xml:space="preserve">"2017-05-23 07:01:59.743747"</t>
  </si>
  <si>
    <t xml:space="preserve">"2017-05-23 07:01:59.743783"</t>
  </si>
  <si>
    <t xml:space="preserve">"2099"</t>
  </si>
  <si>
    <t xml:space="preserve">"jeera-rice-rice"</t>
  </si>
  <si>
    <t xml:space="preserve">"2017-05-23 07:01:59.867868"</t>
  </si>
  <si>
    <t xml:space="preserve">"2017-05-23 07:01:59.867907"</t>
  </si>
  <si>
    <t xml:space="preserve">"34"</t>
  </si>
  <si>
    <t xml:space="preserve">"2100"</t>
  </si>
  <si>
    <t xml:space="preserve">"jeera-rice-ghee"</t>
  </si>
  <si>
    <t xml:space="preserve">"2017-05-23 07:01:59.970891"</t>
  </si>
  <si>
    <t xml:space="preserve">"2017-05-23 07:01:59.970968"</t>
  </si>
  <si>
    <t xml:space="preserve">"2101"</t>
  </si>
  <si>
    <t xml:space="preserve">"jeera-rice-jeera"</t>
  </si>
  <si>
    <t xml:space="preserve">"2017-05-23 07:02:00.082993"</t>
  </si>
  <si>
    <t xml:space="preserve">"2017-05-23 07:02:00.083042"</t>
  </si>
  <si>
    <t xml:space="preserve">"2102"</t>
  </si>
  <si>
    <t xml:space="preserve">"Kaju half"</t>
  </si>
  <si>
    <t xml:space="preserve">"jeera-rice-kaju-half"</t>
  </si>
  <si>
    <t xml:space="preserve">"2017-05-23 07:02:00.209581"</t>
  </si>
  <si>
    <t xml:space="preserve">"2017-05-23 07:02:00.209618"</t>
  </si>
  <si>
    <t xml:space="preserve">"108"</t>
  </si>
  <si>
    <t xml:space="preserve">"2103"</t>
  </si>
  <si>
    <t xml:space="preserve">"jeera-rice-hari-mirchi"</t>
  </si>
  <si>
    <t xml:space="preserve">"2017-05-23 07:02:00.351055"</t>
  </si>
  <si>
    <t xml:space="preserve">"2017-05-23 07:02:00.351094"</t>
  </si>
  <si>
    <t xml:space="preserve">"2104"</t>
  </si>
  <si>
    <t xml:space="preserve">"jeera-rice-dhaniya-patta"</t>
  </si>
  <si>
    <t xml:space="preserve">"2017-05-23 07:02:00.505564"</t>
  </si>
  <si>
    <t xml:space="preserve">"2017-05-23 07:02:00.505602"</t>
  </si>
  <si>
    <t xml:space="preserve">"2105"</t>
  </si>
  <si>
    <t xml:space="preserve">"jeera-rice-salt"</t>
  </si>
  <si>
    <t xml:space="preserve">"2017-05-23 07:02:00.660761"</t>
  </si>
  <si>
    <t xml:space="preserve">"2017-05-23 07:02:00.660803"</t>
  </si>
  <si>
    <t xml:space="preserve">"2106"</t>
  </si>
  <si>
    <t xml:space="preserve">"Matar ki dal"</t>
  </si>
  <si>
    <t xml:space="preserve">"matar-ki-dal-matar-ki-dal"</t>
  </si>
  <si>
    <t xml:space="preserve">"2017-05-23 07:02:00.790292"</t>
  </si>
  <si>
    <t xml:space="preserve">"2017-05-23 07:02:00.790333"</t>
  </si>
  <si>
    <t xml:space="preserve">"141"</t>
  </si>
  <si>
    <t xml:space="preserve">"45"</t>
  </si>
  <si>
    <t xml:space="preserve">"6.3"</t>
  </si>
  <si>
    <t xml:space="preserve">"2107"</t>
  </si>
  <si>
    <t xml:space="preserve">"matar-ki-dal-ghee"</t>
  </si>
  <si>
    <t xml:space="preserve">"2017-05-23 07:02:00.926112"</t>
  </si>
  <si>
    <t xml:space="preserve">"2017-05-23 07:02:00.926148"</t>
  </si>
  <si>
    <t xml:space="preserve">"2108"</t>
  </si>
  <si>
    <t xml:space="preserve">"matar-ki-dal-jeera"</t>
  </si>
  <si>
    <t xml:space="preserve">"2017-05-23 07:02:01.054166"</t>
  </si>
  <si>
    <t xml:space="preserve">"2017-05-23 07:02:01.054216"</t>
  </si>
  <si>
    <t xml:space="preserve">"2109"</t>
  </si>
  <si>
    <t xml:space="preserve">"matar-ki-dal-hari-mirchi"</t>
  </si>
  <si>
    <t xml:space="preserve">"2017-05-23 07:02:01.207254"</t>
  </si>
  <si>
    <t xml:space="preserve">"2017-05-23 07:02:01.207461"</t>
  </si>
  <si>
    <t xml:space="preserve">"2110"</t>
  </si>
  <si>
    <t xml:space="preserve">"matar-ki-dal-adrak"</t>
  </si>
  <si>
    <t xml:space="preserve">"2017-05-23 07:02:01.364429"</t>
  </si>
  <si>
    <t xml:space="preserve">"2017-05-23 07:02:01.364469"</t>
  </si>
  <si>
    <t xml:space="preserve">"2111"</t>
  </si>
  <si>
    <t xml:space="preserve">"matar-ki-dal-tomato"</t>
  </si>
  <si>
    <t xml:space="preserve">"2017-05-23 07:02:01.521389"</t>
  </si>
  <si>
    <t xml:space="preserve">"2017-05-23 07:02:01.521431"</t>
  </si>
  <si>
    <t xml:space="preserve">"2112"</t>
  </si>
  <si>
    <t xml:space="preserve">"Red chilli pwd"</t>
  </si>
  <si>
    <t xml:space="preserve">"matar-ki-dal-madrasi-mirchi-powder"</t>
  </si>
  <si>
    <t xml:space="preserve">"2017-05-23 07:02:01.648789"</t>
  </si>
  <si>
    <t xml:space="preserve">"2017-05-23 07:02:01.648836"</t>
  </si>
  <si>
    <t xml:space="preserve">"0.16"</t>
  </si>
  <si>
    <t xml:space="preserve">"2113"</t>
  </si>
  <si>
    <t xml:space="preserve">"matar-ki-dal-haldi"</t>
  </si>
  <si>
    <t xml:space="preserve">"2017-05-23 07:02:01.750963"</t>
  </si>
  <si>
    <t xml:space="preserve">"2017-05-23 07:02:01.751079"</t>
  </si>
  <si>
    <t xml:space="preserve">"0.56"</t>
  </si>
  <si>
    <t xml:space="preserve">"2114"</t>
  </si>
  <si>
    <t xml:space="preserve">"matar-ki-dal-salt"</t>
  </si>
  <si>
    <t xml:space="preserve">"2017-05-23 07:02:01.897873"</t>
  </si>
  <si>
    <t xml:space="preserve">"2017-05-23 07:02:01.897915"</t>
  </si>
  <si>
    <t xml:space="preserve">"2115"</t>
  </si>
  <si>
    <t xml:space="preserve">"Tadka"</t>
  </si>
  <si>
    <t xml:space="preserve">"matar-ki-dal-tadka"</t>
  </si>
  <si>
    <t xml:space="preserve">"2017-05-23 07:02:02.045014"</t>
  </si>
  <si>
    <t xml:space="preserve">"2017-05-23 07:02:02.045051"</t>
  </si>
  <si>
    <t xml:space="preserve">"212"</t>
  </si>
  <si>
    <t xml:space="preserve">"2116"</t>
  </si>
  <si>
    <t xml:space="preserve">"matar-ki-dal-ghee-2107"</t>
  </si>
  <si>
    <t xml:space="preserve">"2017-05-23 07:02:02.196700"</t>
  </si>
  <si>
    <t xml:space="preserve">"2017-05-23 07:02:02.196736"</t>
  </si>
  <si>
    <t xml:space="preserve">"2117"</t>
  </si>
  <si>
    <t xml:space="preserve">"matar-ki-dal-rai"</t>
  </si>
  <si>
    <t xml:space="preserve">"2017-05-23 07:02:02.349192"</t>
  </si>
  <si>
    <t xml:space="preserve">"2017-05-23 07:02:02.349229"</t>
  </si>
  <si>
    <t xml:space="preserve">"2118"</t>
  </si>
  <si>
    <t xml:space="preserve">"matar-ki-dal-madrasi-mirchi-powder-2112"</t>
  </si>
  <si>
    <t xml:space="preserve">"2017-05-23 07:02:02.487080"</t>
  </si>
  <si>
    <t xml:space="preserve">"2017-05-23 07:02:02.487116"</t>
  </si>
  <si>
    <t xml:space="preserve">"2119"</t>
  </si>
  <si>
    <t xml:space="preserve">"matar-ki-dal-hing"</t>
  </si>
  <si>
    <t xml:space="preserve">"2017-05-23 07:02:02.618200"</t>
  </si>
  <si>
    <t xml:space="preserve">"2017-05-23 07:02:02.618246"</t>
  </si>
  <si>
    <t xml:space="preserve">"2120"</t>
  </si>
  <si>
    <t xml:space="preserve">"Kadi patta"</t>
  </si>
  <si>
    <t xml:space="preserve">"matar-ki-dal-kadi-patta"</t>
  </si>
  <si>
    <t xml:space="preserve">"2017-05-23 07:02:02.765876"</t>
  </si>
  <si>
    <t xml:space="preserve">"2017-05-23 07:02:02.765935"</t>
  </si>
  <si>
    <t xml:space="preserve">"2121"</t>
  </si>
  <si>
    <t xml:space="preserve">"matar-ki-dal-dhaniya-patta"</t>
  </si>
  <si>
    <t xml:space="preserve">"2017-05-23 07:02:02.906538"</t>
  </si>
  <si>
    <t xml:space="preserve">"2017-05-23 07:02:02.906605"</t>
  </si>
  <si>
    <t xml:space="preserve">"2122"</t>
  </si>
  <si>
    <t xml:space="preserve">"matar-ki-dal-jeera-powder"</t>
  </si>
  <si>
    <t xml:space="preserve">"2017-05-23 07:02:03.011172"</t>
  </si>
  <si>
    <t xml:space="preserve">"2017-05-23 07:02:03.011214"</t>
  </si>
  <si>
    <t xml:space="preserve">"1.2"</t>
  </si>
  <si>
    <t xml:space="preserve">"2123"</t>
  </si>
  <si>
    <t xml:space="preserve">"Dhania pwd"</t>
  </si>
  <si>
    <t xml:space="preserve">"matar-ki-dal-dhaniya-powder"</t>
  </si>
  <si>
    <t xml:space="preserve">"2017-05-23 07:02:03.155939"</t>
  </si>
  <si>
    <t xml:space="preserve">"2017-05-23 07:02:03.155996"</t>
  </si>
  <si>
    <t xml:space="preserve">"2124"</t>
  </si>
  <si>
    <t xml:space="preserve">"Everest Pulav masala"</t>
  </si>
  <si>
    <t xml:space="preserve">"matar-ki-dal-everest-pulav-masala"</t>
  </si>
  <si>
    <t xml:space="preserve">"2017-05-23 07:02:03.289791"</t>
  </si>
  <si>
    <t xml:space="preserve">"2017-05-23 07:02:03.289833"</t>
  </si>
  <si>
    <t xml:space="preserve">"2125"</t>
  </si>
  <si>
    <t xml:space="preserve">"matar-ki-dal-lemon"</t>
  </si>
  <si>
    <t xml:space="preserve">"2017-05-23 07:02:03.428614"</t>
  </si>
  <si>
    <t xml:space="preserve">"2017-05-23 07:02:03.428654"</t>
  </si>
  <si>
    <t xml:space="preserve">"2126"</t>
  </si>
  <si>
    <t xml:space="preserve">"Beans"</t>
  </si>
  <si>
    <t xml:space="preserve">"beans-tahini-sauce-beans"</t>
  </si>
  <si>
    <t xml:space="preserve">"2017-05-23 07:02:03.576920"</t>
  </si>
  <si>
    <t xml:space="preserve">"2017-05-23 07:02:03.576956"</t>
  </si>
  <si>
    <t xml:space="preserve">"27"</t>
  </si>
  <si>
    <t xml:space="preserve">"43"</t>
  </si>
  <si>
    <t xml:space="preserve">"2127"</t>
  </si>
  <si>
    <t xml:space="preserve">"beans-tahini-sauce-basil-leaves"</t>
  </si>
  <si>
    <t xml:space="preserve">"2017-05-23 07:02:03.717765"</t>
  </si>
  <si>
    <t xml:space="preserve">"2017-05-23 07:02:03.717803"</t>
  </si>
  <si>
    <t xml:space="preserve">"2128"</t>
  </si>
  <si>
    <t xml:space="preserve">"beans-tahini-sauce-black-pepper"</t>
  </si>
  <si>
    <t xml:space="preserve">"2017-05-23 07:02:03.868886"</t>
  </si>
  <si>
    <t xml:space="preserve">"2017-05-23 07:02:03.868922"</t>
  </si>
  <si>
    <t xml:space="preserve">"2129"</t>
  </si>
  <si>
    <t xml:space="preserve">"beans-tahini-sauce-black-salt"</t>
  </si>
  <si>
    <t xml:space="preserve">"2017-05-23 07:02:04.010693"</t>
  </si>
  <si>
    <t xml:space="preserve">"2017-05-23 07:02:04.010729"</t>
  </si>
  <si>
    <t xml:space="preserve">"2130"</t>
  </si>
  <si>
    <t xml:space="preserve">"Butter (Makhan)/ EVOO"</t>
  </si>
  <si>
    <t xml:space="preserve">"beans-tahini-sauce-butter"</t>
  </si>
  <si>
    <t xml:space="preserve">"2017-05-23 07:02:04.156753"</t>
  </si>
  <si>
    <t xml:space="preserve">"2017-05-23 07:02:04.156824"</t>
  </si>
  <si>
    <t xml:space="preserve">"2131"</t>
  </si>
  <si>
    <t xml:space="preserve">"Hing (Asafoetida)"</t>
  </si>
  <si>
    <t xml:space="preserve">"beans-tahini-sauce-hing"</t>
  </si>
  <si>
    <t xml:space="preserve">"2017-05-23 07:02:04.282902"</t>
  </si>
  <si>
    <t xml:space="preserve">"2017-05-23 07:02:04.282969"</t>
  </si>
  <si>
    <t xml:space="preserve">"2132"</t>
  </si>
  <si>
    <t xml:space="preserve">"Salt (Namak)"</t>
  </si>
  <si>
    <t xml:space="preserve">"beans-tahini-sauce-salt"</t>
  </si>
  <si>
    <t xml:space="preserve">"2017-05-23 07:02:04.421029"</t>
  </si>
  <si>
    <t xml:space="preserve">"2017-05-23 07:02:04.421074"</t>
  </si>
  <si>
    <t xml:space="preserve">"2133"</t>
  </si>
  <si>
    <t xml:space="preserve">"beans-tahini-sauce-tomato"</t>
  </si>
  <si>
    <t xml:space="preserve">"2017-05-23 07:02:04.526196"</t>
  </si>
  <si>
    <t xml:space="preserve">"2017-05-23 07:02:04.526243"</t>
  </si>
  <si>
    <t xml:space="preserve">"Chopped 1/2"</t>
  </si>
  <si>
    <t xml:space="preserve">"2134"</t>
  </si>
  <si>
    <t xml:space="preserve">"Tahini paste"</t>
  </si>
  <si>
    <t xml:space="preserve">"beans-tahini-sauce-tahini-paste"</t>
  </si>
  <si>
    <t xml:space="preserve">"2017-05-23 07:02:04.676042"</t>
  </si>
  <si>
    <t xml:space="preserve">"2017-05-23 07:02:04.676078"</t>
  </si>
  <si>
    <t xml:space="preserve">"189"</t>
  </si>
  <si>
    <t xml:space="preserve">"2135"</t>
  </si>
  <si>
    <t xml:space="preserve">"tahini-paste-evoo"</t>
  </si>
  <si>
    <t xml:space="preserve">"2017-05-23 07:02:04.813251"</t>
  </si>
  <si>
    <t xml:space="preserve">"2017-05-23 07:02:04.813287"</t>
  </si>
  <si>
    <t xml:space="preserve">"2136"</t>
  </si>
  <si>
    <t xml:space="preserve">"White Till ( Dry Roast light)"</t>
  </si>
  <si>
    <t xml:space="preserve">"tahini-paste-white-til"</t>
  </si>
  <si>
    <t xml:space="preserve">"2017-05-23 07:02:04.936628"</t>
  </si>
  <si>
    <t xml:space="preserve">"2017-05-23 07:02:04.936670"</t>
  </si>
  <si>
    <t xml:space="preserve">"206"</t>
  </si>
  <si>
    <t xml:space="preserve">"2137"</t>
  </si>
  <si>
    <t xml:space="preserve">"tahini-paste-hing"</t>
  </si>
  <si>
    <t xml:space="preserve">"2017-05-23 07:02:05.071794"</t>
  </si>
  <si>
    <t xml:space="preserve">"2017-05-23 07:02:05.071855"</t>
  </si>
  <si>
    <t xml:space="preserve">"0.2"</t>
  </si>
  <si>
    <t xml:space="preserve">"2138"</t>
  </si>
  <si>
    <t xml:space="preserve">"Black pepper"</t>
  </si>
  <si>
    <t xml:space="preserve">"tahini-paste-black-pepper"</t>
  </si>
  <si>
    <t xml:space="preserve">"2017-05-23 07:02:05.211338"</t>
  </si>
  <si>
    <t xml:space="preserve">"2017-05-23 07:02:05.211407"</t>
  </si>
  <si>
    <t xml:space="preserve">"2139"</t>
  </si>
  <si>
    <t xml:space="preserve">"tahini-paste-sugar"</t>
  </si>
  <si>
    <t xml:space="preserve">"2017-05-23 07:02:05.336890"</t>
  </si>
  <si>
    <t xml:space="preserve">"2017-05-23 07:02:05.336929"</t>
  </si>
  <si>
    <t xml:space="preserve">"2140"</t>
  </si>
  <si>
    <t xml:space="preserve">"tahini-paste-water"</t>
  </si>
  <si>
    <t xml:space="preserve">"2017-05-23 07:02:05.476621"</t>
  </si>
  <si>
    <t xml:space="preserve">"2017-05-23 07:02:05.476696"</t>
  </si>
  <si>
    <t xml:space="preserve">"2141"</t>
  </si>
  <si>
    <t xml:space="preserve">"Besan"</t>
  </si>
  <si>
    <t xml:space="preserve">"boondi-raita-besan"</t>
  </si>
  <si>
    <t xml:space="preserve">"2017-05-23 07:02:05.614788"</t>
  </si>
  <si>
    <t xml:space="preserve">"2017-05-23 07:02:05.614826"</t>
  </si>
  <si>
    <t xml:space="preserve">"28"</t>
  </si>
  <si>
    <t xml:space="preserve">"2142"</t>
  </si>
  <si>
    <t xml:space="preserve">"Boondi"</t>
  </si>
  <si>
    <t xml:space="preserve">"boondi-raita-boondi"</t>
  </si>
  <si>
    <t xml:space="preserve">"2017-05-23 07:02:05.735367"</t>
  </si>
  <si>
    <t xml:space="preserve">"2017-05-23 07:02:05.735434"</t>
  </si>
  <si>
    <t xml:space="preserve">"2143"</t>
  </si>
  <si>
    <t xml:space="preserve">"boondi-raita-jeera"</t>
  </si>
  <si>
    <t xml:space="preserve">"2017-05-23 07:02:05.849416"</t>
  </si>
  <si>
    <t xml:space="preserve">"2017-05-23 07:02:05.849455"</t>
  </si>
  <si>
    <t xml:space="preserve">"2144"</t>
  </si>
  <si>
    <t xml:space="preserve">"Roasted mirchi powder"</t>
  </si>
  <si>
    <t xml:space="preserve">"boondi-raita-madrasi-mirchi-akkaha"</t>
  </si>
  <si>
    <t xml:space="preserve">"2017-05-23 07:02:05.991261"</t>
  </si>
  <si>
    <t xml:space="preserve">"2017-05-23 07:02:05.991299"</t>
  </si>
  <si>
    <t xml:space="preserve">"2145"</t>
  </si>
  <si>
    <t xml:space="preserve">"boondi-raita-salt"</t>
  </si>
  <si>
    <t xml:space="preserve">"2017-05-23 07:02:06.124615"</t>
  </si>
  <si>
    <t xml:space="preserve">"2017-05-23 07:02:06.124653"</t>
  </si>
  <si>
    <t xml:space="preserve">"2146"</t>
  </si>
  <si>
    <t xml:space="preserve">"boondi-raita-sugar"</t>
  </si>
  <si>
    <t xml:space="preserve">"2017-05-23 07:02:06.274271"</t>
  </si>
  <si>
    <t xml:space="preserve">"2017-05-23 07:02:06.274319"</t>
  </si>
  <si>
    <t xml:space="preserve">"2147"</t>
  </si>
  <si>
    <t xml:space="preserve">"Pudina"</t>
  </si>
  <si>
    <t xml:space="preserve">"boondi-raita-pudina"</t>
  </si>
  <si>
    <t xml:space="preserve">"2017-05-23 07:02:06.423338"</t>
  </si>
  <si>
    <t xml:space="preserve">"2017-05-23 07:02:06.423401"</t>
  </si>
  <si>
    <t xml:space="preserve">"162"</t>
  </si>
  <si>
    <t xml:space="preserve">"2148"</t>
  </si>
  <si>
    <t xml:space="preserve">"Dhaniya patta"</t>
  </si>
  <si>
    <t xml:space="preserve">"boondi-raita-dhaniya-patta"</t>
  </si>
  <si>
    <t xml:space="preserve">"2017-05-23 07:02:06.546200"</t>
  </si>
  <si>
    <t xml:space="preserve">"2017-05-23 07:02:06.546239"</t>
  </si>
  <si>
    <t xml:space="preserve">"2149"</t>
  </si>
  <si>
    <t xml:space="preserve">"boondi-raita-dahi"</t>
  </si>
  <si>
    <t xml:space="preserve">"2017-05-23 07:02:06.652326"</t>
  </si>
  <si>
    <t xml:space="preserve">"2017-05-23 07:02:06.652400"</t>
  </si>
  <si>
    <t xml:space="preserve">"2150"</t>
  </si>
  <si>
    <t xml:space="preserve">"boondi-raita-water"</t>
  </si>
  <si>
    <t xml:space="preserve">"2017-05-23 07:02:06.756274"</t>
  </si>
  <si>
    <t xml:space="preserve">"2017-05-23 07:02:06.756316"</t>
  </si>
  <si>
    <t xml:space="preserve">"2151"</t>
  </si>
  <si>
    <t xml:space="preserve">"boondi-raita-gound-nut-oil"</t>
  </si>
  <si>
    <t xml:space="preserve">"2017-05-23 07:02:06.855854"</t>
  </si>
  <si>
    <t xml:space="preserve">"2017-05-23 07:02:06.855896"</t>
  </si>
  <si>
    <t xml:space="preserve">"2152"</t>
  </si>
  <si>
    <t xml:space="preserve">"Rice (small fine grain)"</t>
  </si>
  <si>
    <t xml:space="preserve">"dahi-rice-rice"</t>
  </si>
  <si>
    <t xml:space="preserve">"2017-05-23 07:02:07.011066"</t>
  </si>
  <si>
    <t xml:space="preserve">"2017-05-23 07:02:07.011113"</t>
  </si>
  <si>
    <t xml:space="preserve">"2153"</t>
  </si>
  <si>
    <t xml:space="preserve">"dahi-rice-dahi"</t>
  </si>
  <si>
    <t xml:space="preserve">"2017-05-23 07:02:07.156539"</t>
  </si>
  <si>
    <t xml:space="preserve">"2017-05-23 07:02:07.156577"</t>
  </si>
  <si>
    <t xml:space="preserve">"2154"</t>
  </si>
  <si>
    <t xml:space="preserve">"dahi-rice-water"</t>
  </si>
  <si>
    <t xml:space="preserve">"2017-05-23 07:02:07.312385"</t>
  </si>
  <si>
    <t xml:space="preserve">"2017-05-23 07:02:07.312425"</t>
  </si>
  <si>
    <t xml:space="preserve">"2155"</t>
  </si>
  <si>
    <t xml:space="preserve">"dahi-rice-tadka"</t>
  </si>
  <si>
    <t xml:space="preserve">"2017-05-23 07:02:07.465222"</t>
  </si>
  <si>
    <t xml:space="preserve">"2017-05-23 07:02:07.465307"</t>
  </si>
  <si>
    <t xml:space="preserve">"2156"</t>
  </si>
  <si>
    <t xml:space="preserve">"Groundnut Oil / Til Oil"</t>
  </si>
  <si>
    <t xml:space="preserve">"dahi-rice-ground-nut-oil"</t>
  </si>
  <si>
    <t xml:space="preserve">"2017-05-23 07:02:07.600340"</t>
  </si>
  <si>
    <t xml:space="preserve">"2017-05-23 07:02:07.600379"</t>
  </si>
  <si>
    <t xml:space="preserve">"2157"</t>
  </si>
  <si>
    <t xml:space="preserve">"dahi-rice-rai"</t>
  </si>
  <si>
    <t xml:space="preserve">"2017-05-23 07:02:07.743477"</t>
  </si>
  <si>
    <t xml:space="preserve">"2017-05-23 07:02:07.743520"</t>
  </si>
  <si>
    <t xml:space="preserve">"2158"</t>
  </si>
  <si>
    <t xml:space="preserve">"dahi-rice-kadi-patta"</t>
  </si>
  <si>
    <t xml:space="preserve">"2017-05-23 07:02:07.888072"</t>
  </si>
  <si>
    <t xml:space="preserve">"2017-05-23 07:02:07.888111"</t>
  </si>
  <si>
    <t xml:space="preserve">"2159"</t>
  </si>
  <si>
    <t xml:space="preserve">"dahi-rice-hari-mirchi"</t>
  </si>
  <si>
    <t xml:space="preserve">"2017-05-23 07:02:08.031332"</t>
  </si>
  <si>
    <t xml:space="preserve">"2017-05-23 07:02:08.031376"</t>
  </si>
  <si>
    <t xml:space="preserve">"2160"</t>
  </si>
  <si>
    <t xml:space="preserve">"dahi-rice-salt"</t>
  </si>
  <si>
    <t xml:space="preserve">"2017-05-23 07:02:08.165320"</t>
  </si>
  <si>
    <t xml:space="preserve">"2017-05-23 07:02:08.165362"</t>
  </si>
  <si>
    <t xml:space="preserve">"2161"</t>
  </si>
  <si>
    <t xml:space="preserve">"dahi-rice-dhaniya-patta"</t>
  </si>
  <si>
    <t xml:space="preserve">"2017-05-23 07:02:08.311679"</t>
  </si>
  <si>
    <t xml:space="preserve">"2017-05-23 07:02:08.311717"</t>
  </si>
  <si>
    <t xml:space="preserve">"2162"</t>
  </si>
  <si>
    <t xml:space="preserve">"Ambahaldi"</t>
  </si>
  <si>
    <t xml:space="preserve">"dahi-rice-ambahaldi"</t>
  </si>
  <si>
    <t xml:space="preserve">"2017-05-23 07:02:08.444418"</t>
  </si>
  <si>
    <t xml:space="preserve">"2017-05-23 07:02:08.444462"</t>
  </si>
  <si>
    <t xml:space="preserve">"2163"</t>
  </si>
  <si>
    <t xml:space="preserve">"Kafir lemon leaves"</t>
  </si>
  <si>
    <t xml:space="preserve">"dahi-rice-kafir-lemon-leaves"</t>
  </si>
  <si>
    <t xml:space="preserve">"2017-05-23 07:02:08.575840"</t>
  </si>
  <si>
    <t xml:space="preserve">"2017-05-23 07:02:08.575879"</t>
  </si>
  <si>
    <t xml:space="preserve">"106"</t>
  </si>
  <si>
    <t xml:space="preserve">"2164"</t>
  </si>
  <si>
    <t xml:space="preserve">"Turdal"</t>
  </si>
  <si>
    <t xml:space="preserve">"sambar-gp-tur-dal"</t>
  </si>
  <si>
    <t xml:space="preserve">"2017-05-23 07:02:08.713876"</t>
  </si>
  <si>
    <t xml:space="preserve">"2017-05-23 07:02:08.713913"</t>
  </si>
  <si>
    <t xml:space="preserve">"198"</t>
  </si>
  <si>
    <t xml:space="preserve">"70"</t>
  </si>
  <si>
    <t xml:space="preserve">"4.643"</t>
  </si>
  <si>
    <t xml:space="preserve">"2165"</t>
  </si>
  <si>
    <t xml:space="preserve">"imli"</t>
  </si>
  <si>
    <t xml:space="preserve">"sambar-gp-imli"</t>
  </si>
  <si>
    <t xml:space="preserve">"2017-05-23 07:02:08.821771"</t>
  </si>
  <si>
    <t xml:space="preserve">"2017-05-23 07:02:08.821808"</t>
  </si>
  <si>
    <t xml:space="preserve">"0.714"</t>
  </si>
  <si>
    <t xml:space="preserve">"2166"</t>
  </si>
  <si>
    <t xml:space="preserve">"sambar-gp-haldi"</t>
  </si>
  <si>
    <t xml:space="preserve">"2017-05-23 07:02:08.971617"</t>
  </si>
  <si>
    <t xml:space="preserve">"2017-05-23 07:02:08.971652"</t>
  </si>
  <si>
    <t xml:space="preserve">"1.429"</t>
  </si>
  <si>
    <t xml:space="preserve">"2167"</t>
  </si>
  <si>
    <t xml:space="preserve">"sambar-gp-hing"</t>
  </si>
  <si>
    <t xml:space="preserve">"2017-05-23 07:02:09.100363"</t>
  </si>
  <si>
    <t xml:space="preserve">"2017-05-23 07:02:09.100404"</t>
  </si>
  <si>
    <t xml:space="preserve">"1.071"</t>
  </si>
  <si>
    <t xml:space="preserve">"2168"</t>
  </si>
  <si>
    <t xml:space="preserve">"Drum Stick"</t>
  </si>
  <si>
    <t xml:space="preserve">"sambar-gp-drum-stick"</t>
  </si>
  <si>
    <t xml:space="preserve">"2017-05-23 07:02:09.241453"</t>
  </si>
  <si>
    <t xml:space="preserve">"2017-05-23 07:02:09.241499"</t>
  </si>
  <si>
    <t xml:space="preserve">"68"</t>
  </si>
  <si>
    <t xml:space="preserve">"1.786"</t>
  </si>
  <si>
    <t xml:space="preserve">"2169"</t>
  </si>
  <si>
    <t xml:space="preserve">"sambar-gp-bhopla"</t>
  </si>
  <si>
    <t xml:space="preserve">"2017-05-23 07:02:09.388189"</t>
  </si>
  <si>
    <t xml:space="preserve">"2017-05-23 07:02:09.388226"</t>
  </si>
  <si>
    <t xml:space="preserve">"2.857"</t>
  </si>
  <si>
    <t xml:space="preserve">"2170"</t>
  </si>
  <si>
    <t xml:space="preserve">"sambar-gp-capsicum"</t>
  </si>
  <si>
    <t xml:space="preserve">"2017-05-23 07:02:09.541264"</t>
  </si>
  <si>
    <t xml:space="preserve">"2017-05-23 07:02:09.541310"</t>
  </si>
  <si>
    <t xml:space="preserve">"2.143"</t>
  </si>
  <si>
    <t xml:space="preserve">"2171"</t>
  </si>
  <si>
    <t xml:space="preserve">"potatoes"</t>
  </si>
  <si>
    <t xml:space="preserve">"sambar-gp-alu"</t>
  </si>
  <si>
    <t xml:space="preserve">"2017-05-23 07:02:09.667676"</t>
  </si>
  <si>
    <t xml:space="preserve">"2017-05-23 07:02:09.667735"</t>
  </si>
  <si>
    <t xml:space="preserve">"2172"</t>
  </si>
  <si>
    <t xml:space="preserve">"sambar-gp-bhindi"</t>
  </si>
  <si>
    <t xml:space="preserve">"2017-05-23 07:02:09.792180"</t>
  </si>
  <si>
    <t xml:space="preserve">"2017-05-23 07:02:09.792225"</t>
  </si>
  <si>
    <t xml:space="preserve">"2173"</t>
  </si>
  <si>
    <t xml:space="preserve">"sambar-gp-mtr-rasam-masala"</t>
  </si>
  <si>
    <t xml:space="preserve">"2017-05-23 07:02:09.944678"</t>
  </si>
  <si>
    <t xml:space="preserve">"2017-05-23 07:02:09.944746"</t>
  </si>
  <si>
    <t xml:space="preserve">"2174"</t>
  </si>
  <si>
    <t xml:space="preserve">"Annapoorna Sambar pwd"</t>
  </si>
  <si>
    <t xml:space="preserve">"sambar-gp-annapoorna-sambar-masala"</t>
  </si>
  <si>
    <t xml:space="preserve">"2017-05-23 07:02:10.045024"</t>
  </si>
  <si>
    <t xml:space="preserve">"2017-05-23 07:02:10.045065"</t>
  </si>
  <si>
    <t xml:space="preserve">"14"</t>
  </si>
  <si>
    <t xml:space="preserve">"2175"</t>
  </si>
  <si>
    <t xml:space="preserve">"Shakti Sambar pwd"</t>
  </si>
  <si>
    <t xml:space="preserve">"sambar-gp-shakti-sambar-powder"</t>
  </si>
  <si>
    <t xml:space="preserve">"2017-05-23 07:02:10.148985"</t>
  </si>
  <si>
    <t xml:space="preserve">"2017-05-23 07:02:10.149033"</t>
  </si>
  <si>
    <t xml:space="preserve">"182"</t>
  </si>
  <si>
    <t xml:space="preserve">"2176"</t>
  </si>
  <si>
    <t xml:space="preserve">"Coconut"</t>
  </si>
  <si>
    <t xml:space="preserve">"sambar-gp-coconut"</t>
  </si>
  <si>
    <t xml:space="preserve">"2017-05-23 07:02:10.313019"</t>
  </si>
  <si>
    <t xml:space="preserve">"2017-05-23 07:02:10.313056"</t>
  </si>
  <si>
    <t xml:space="preserve">"14.286"</t>
  </si>
  <si>
    <t xml:space="preserve">"2177"</t>
  </si>
  <si>
    <t xml:space="preserve">"Jaggery"</t>
  </si>
  <si>
    <t xml:space="preserve">"sambar-gp-gud"</t>
  </si>
  <si>
    <t xml:space="preserve">"2017-05-23 07:02:10.439729"</t>
  </si>
  <si>
    <t xml:space="preserve">"2017-05-23 07:02:10.439776"</t>
  </si>
  <si>
    <t xml:space="preserve">"428.571"</t>
  </si>
  <si>
    <t xml:space="preserve">"2178"</t>
  </si>
  <si>
    <t xml:space="preserve">"chaunce"</t>
  </si>
  <si>
    <t xml:space="preserve">"sambar-gp-chaunce"</t>
  </si>
  <si>
    <t xml:space="preserve">"2017-05-23 07:02:10.573565"</t>
  </si>
  <si>
    <t xml:space="preserve">"2017-05-23 07:02:10.573605"</t>
  </si>
  <si>
    <t xml:space="preserve">"2179"</t>
  </si>
  <si>
    <t xml:space="preserve">"sambar-gp-ghee"</t>
  </si>
  <si>
    <t xml:space="preserve">"2017-05-23 07:02:10.706869"</t>
  </si>
  <si>
    <t xml:space="preserve">"2017-05-23 07:02:10.706909"</t>
  </si>
  <si>
    <t xml:space="preserve">"2180"</t>
  </si>
  <si>
    <t xml:space="preserve">"sambar-gp-rai"</t>
  </si>
  <si>
    <t xml:space="preserve">"2017-05-23 07:02:10.840427"</t>
  </si>
  <si>
    <t xml:space="preserve">"2017-05-23 07:02:10.840465"</t>
  </si>
  <si>
    <t xml:space="preserve">"0.893"</t>
  </si>
  <si>
    <t xml:space="preserve">"2181"</t>
  </si>
  <si>
    <t xml:space="preserve">"sambar-gp-kadi-patta"</t>
  </si>
  <si>
    <t xml:space="preserve">"2017-05-23 07:02:10.994702"</t>
  </si>
  <si>
    <t xml:space="preserve">"2017-05-23 07:02:10.994742"</t>
  </si>
  <si>
    <t xml:space="preserve">"2182"</t>
  </si>
  <si>
    <t xml:space="preserve">"Moong dal"</t>
  </si>
  <si>
    <t xml:space="preserve">"moong-dal-dossa-moong-dal"</t>
  </si>
  <si>
    <t xml:space="preserve">"2017-05-23 07:02:11.150467"</t>
  </si>
  <si>
    <t xml:space="preserve">"2017-05-23 07:02:11.150511"</t>
  </si>
  <si>
    <t xml:space="preserve">"147"</t>
  </si>
  <si>
    <t xml:space="preserve">"2183"</t>
  </si>
  <si>
    <t xml:space="preserve">"Khichdi Rice"</t>
  </si>
  <si>
    <t xml:space="preserve">"moong-dal-dossa-khichadi-rice"</t>
  </si>
  <si>
    <t xml:space="preserve">"2017-05-23 07:02:11.313396"</t>
  </si>
  <si>
    <t xml:space="preserve">"2017-05-23 07:02:11.313434"</t>
  </si>
  <si>
    <t xml:space="preserve">"122"</t>
  </si>
  <si>
    <t xml:space="preserve">"2184"</t>
  </si>
  <si>
    <t xml:space="preserve">"Akha Methi"</t>
  </si>
  <si>
    <t xml:space="preserve">"moong-dal-dossa-akha-methi"</t>
  </si>
  <si>
    <t xml:space="preserve">"2017-05-23 07:02:11.460558"</t>
  </si>
  <si>
    <t xml:space="preserve">"2017-05-23 07:02:11.460610"</t>
  </si>
  <si>
    <t xml:space="preserve">"2185"</t>
  </si>
  <si>
    <t xml:space="preserve">"moong-dal-dossa-hing"</t>
  </si>
  <si>
    <t xml:space="preserve">"2017-05-23 07:02:11.593832"</t>
  </si>
  <si>
    <t xml:space="preserve">"2017-05-23 07:02:11.593873"</t>
  </si>
  <si>
    <t xml:space="preserve">"2186"</t>
  </si>
  <si>
    <t xml:space="preserve">"moong-dal-dossa-capsicum"</t>
  </si>
  <si>
    <t xml:space="preserve">"2017-05-23 07:02:11.741823"</t>
  </si>
  <si>
    <t xml:space="preserve">"2017-05-23 07:02:11.741861"</t>
  </si>
  <si>
    <t xml:space="preserve">"400"</t>
  </si>
  <si>
    <t xml:space="preserve">"2187"</t>
  </si>
  <si>
    <t xml:space="preserve">"moong-dal-dossa-tomato"</t>
  </si>
  <si>
    <t xml:space="preserve">"2017-05-23 07:02:11.890711"</t>
  </si>
  <si>
    <t xml:space="preserve">"2017-05-23 07:02:11.890748"</t>
  </si>
  <si>
    <t xml:space="preserve">"2188"</t>
  </si>
  <si>
    <t xml:space="preserve">"Hari Mirchi fine chopped"</t>
  </si>
  <si>
    <t xml:space="preserve">"moong-dal-dossa-hari-mirchi"</t>
  </si>
  <si>
    <t xml:space="preserve">"2017-05-23 07:02:12.035310"</t>
  </si>
  <si>
    <t xml:space="preserve">"2017-05-23 07:02:12.035378"</t>
  </si>
  <si>
    <t xml:space="preserve">"2189"</t>
  </si>
  <si>
    <t xml:space="preserve">"moong-dal-dossa-adrak"</t>
  </si>
  <si>
    <t xml:space="preserve">"2017-05-23 07:02:12.178086"</t>
  </si>
  <si>
    <t xml:space="preserve">"2017-05-23 07:02:12.178143"</t>
  </si>
  <si>
    <t xml:space="preserve">"150"</t>
  </si>
  <si>
    <t xml:space="preserve">"2190"</t>
  </si>
  <si>
    <t xml:space="preserve">"moong-dal-dossa-salt"</t>
  </si>
  <si>
    <t xml:space="preserve">"2017-05-23 07:02:12.321112"</t>
  </si>
  <si>
    <t xml:space="preserve">"2017-05-23 07:02:12.321150"</t>
  </si>
  <si>
    <t xml:space="preserve">"2191"</t>
  </si>
  <si>
    <t xml:space="preserve">"moong-dal-dossa-kadi-patta"</t>
  </si>
  <si>
    <t xml:space="preserve">"2017-05-23 07:02:12.453129"</t>
  </si>
  <si>
    <t xml:space="preserve">"2017-05-23 07:02:12.453168"</t>
  </si>
  <si>
    <t xml:space="preserve">"2192"</t>
  </si>
  <si>
    <t xml:space="preserve">"moong-dal-dossa-pudina"</t>
  </si>
  <si>
    <t xml:space="preserve">"2017-05-23 07:02:12.592168"</t>
  </si>
  <si>
    <t xml:space="preserve">"2017-05-23 07:02:12.592219"</t>
  </si>
  <si>
    <t xml:space="preserve">"2193"</t>
  </si>
  <si>
    <t xml:space="preserve">"moong-dal-dossa-dhaniya-powder"</t>
  </si>
  <si>
    <t xml:space="preserve">"2017-05-23 07:02:12.736520"</t>
  </si>
  <si>
    <t xml:space="preserve">"2017-05-23 07:02:12.736560"</t>
  </si>
  <si>
    <t xml:space="preserve">"2194"</t>
  </si>
  <si>
    <t xml:space="preserve">"moong-dal-dossa-black-pepper"</t>
  </si>
  <si>
    <t xml:space="preserve">"2017-05-23 07:02:12.851742"</t>
  </si>
  <si>
    <t xml:space="preserve">"2017-05-23 07:02:12.851786"</t>
  </si>
  <si>
    <t xml:space="preserve">"2195"</t>
  </si>
  <si>
    <t xml:space="preserve">"Batter yield"</t>
  </si>
  <si>
    <t xml:space="preserve">"moong-dal-dossa-batter-yield"</t>
  </si>
  <si>
    <t xml:space="preserve">"2017-05-23 07:02:12.995897"</t>
  </si>
  <si>
    <t xml:space="preserve">"2017-05-23 07:02:12.995935"</t>
  </si>
  <si>
    <t xml:space="preserve">"26"</t>
  </si>
  <si>
    <t xml:space="preserve">"2196"</t>
  </si>
  <si>
    <t xml:space="preserve">"moong-dal-dossa-batter-yield-2195"</t>
  </si>
  <si>
    <t xml:space="preserve">"2017-05-23 07:02:13.145513"</t>
  </si>
  <si>
    <t xml:space="preserve">"2017-05-23 07:02:13.145551"</t>
  </si>
  <si>
    <t xml:space="preserve">"2197"</t>
  </si>
  <si>
    <t xml:space="preserve">"Til oil"</t>
  </si>
  <si>
    <t xml:space="preserve">"tomato-chutni-til-oil"</t>
  </si>
  <si>
    <t xml:space="preserve">"2017-05-23 07:02:13.274271"</t>
  </si>
  <si>
    <t xml:space="preserve">"2017-05-23 07:02:13.274309"</t>
  </si>
  <si>
    <t xml:space="preserve">"194"</t>
  </si>
  <si>
    <t xml:space="preserve">"2198"</t>
  </si>
  <si>
    <t xml:space="preserve">"tomato-chutni-hing"</t>
  </si>
  <si>
    <t xml:space="preserve">"2017-05-23 07:02:13.417540"</t>
  </si>
  <si>
    <t xml:space="preserve">"2017-05-23 07:02:13.417580"</t>
  </si>
  <si>
    <t xml:space="preserve">"2199"</t>
  </si>
  <si>
    <t xml:space="preserve">"Pandi mirchi"</t>
  </si>
  <si>
    <t xml:space="preserve">"tomato-chutni-pandi-mirchi"</t>
  </si>
  <si>
    <t xml:space="preserve">"2017-05-23 07:02:13.523212"</t>
  </si>
  <si>
    <t xml:space="preserve">"2017-05-23 07:02:13.523252"</t>
  </si>
  <si>
    <t xml:space="preserve">"154"</t>
  </si>
  <si>
    <t xml:space="preserve">"0.04"</t>
  </si>
  <si>
    <t xml:space="preserve">"2200"</t>
  </si>
  <si>
    <t xml:space="preserve">"tomato-chutni-kashmiri-chilly-powder"</t>
  </si>
  <si>
    <t xml:space="preserve">"2017-05-23 07:02:13.656057"</t>
  </si>
  <si>
    <t xml:space="preserve">"2017-05-23 07:02:13.656099"</t>
  </si>
  <si>
    <t xml:space="preserve">"0.02"</t>
  </si>
  <si>
    <t xml:space="preserve">"2201"</t>
  </si>
  <si>
    <t xml:space="preserve">"tomato-chutni-pudina"</t>
  </si>
  <si>
    <t xml:space="preserve">"2017-05-23 07:02:13.804432"</t>
  </si>
  <si>
    <t xml:space="preserve">"2017-05-23 07:02:13.804469"</t>
  </si>
  <si>
    <t xml:space="preserve">"2202"</t>
  </si>
  <si>
    <t xml:space="preserve">"tomato-chutni-tomato"</t>
  </si>
  <si>
    <t xml:space="preserve">"2017-05-23 07:02:13.949743"</t>
  </si>
  <si>
    <t xml:space="preserve">"2017-05-23 07:02:13.949780"</t>
  </si>
  <si>
    <t xml:space="preserve">"2203"</t>
  </si>
  <si>
    <t xml:space="preserve">"tomato-chutni-salt"</t>
  </si>
  <si>
    <t xml:space="preserve">"2017-05-23 07:02:14.087217"</t>
  </si>
  <si>
    <t xml:space="preserve">"2017-05-23 07:02:14.087274"</t>
  </si>
  <si>
    <t xml:space="preserve">"2204"</t>
  </si>
  <si>
    <t xml:space="preserve">"tomato-chutni-chaunce"</t>
  </si>
  <si>
    <t xml:space="preserve">"2017-05-23 07:02:14.255372"</t>
  </si>
  <si>
    <t xml:space="preserve">"2017-05-23 07:02:14.255414"</t>
  </si>
  <si>
    <t xml:space="preserve">"2205"</t>
  </si>
  <si>
    <t xml:space="preserve">"tomato-chutni-til-oil-2197"</t>
  </si>
  <si>
    <t xml:space="preserve">"2017-05-23 07:02:14.409236"</t>
  </si>
  <si>
    <t xml:space="preserve">"2017-05-23 07:02:14.409277"</t>
  </si>
  <si>
    <t xml:space="preserve">"2206"</t>
  </si>
  <si>
    <t xml:space="preserve">"tomato-chutni-rai"</t>
  </si>
  <si>
    <t xml:space="preserve">"2017-05-23 07:02:14.554901"</t>
  </si>
  <si>
    <t xml:space="preserve">"2017-05-23 07:02:14.554943"</t>
  </si>
  <si>
    <t xml:space="preserve">"2207"</t>
  </si>
  <si>
    <t xml:space="preserve">"tomato-chutni-jeera"</t>
  </si>
  <si>
    <t xml:space="preserve">"2017-05-23 07:02:14.714414"</t>
  </si>
  <si>
    <t xml:space="preserve">"2017-05-23 07:02:14.714451"</t>
  </si>
  <si>
    <t xml:space="preserve">"2208"</t>
  </si>
  <si>
    <t xml:space="preserve">"tomato-chutni-kadi-patta"</t>
  </si>
  <si>
    <t xml:space="preserve">"2017-05-23 07:02:14.861208"</t>
  </si>
  <si>
    <t xml:space="preserve">"2017-05-23 07:02:14.861259"</t>
  </si>
  <si>
    <t xml:space="preserve">"2209"</t>
  </si>
  <si>
    <t xml:space="preserve">"Lemongrass stalks"</t>
  </si>
  <si>
    <t xml:space="preserve">"green-curry-lemongrass-stalks"</t>
  </si>
  <si>
    <t xml:space="preserve">"2017-05-23 07:02:14.998953"</t>
  </si>
  <si>
    <t xml:space="preserve">"2017-05-23 07:02:14.998992"</t>
  </si>
  <si>
    <t xml:space="preserve">"132"</t>
  </si>
  <si>
    <t xml:space="preserve">"2210"</t>
  </si>
  <si>
    <t xml:space="preserve">"Thai ginger"</t>
  </si>
  <si>
    <t xml:space="preserve">"green-curry-thai-ginger"</t>
  </si>
  <si>
    <t xml:space="preserve">"2017-05-23 07:02:15.131802"</t>
  </si>
  <si>
    <t xml:space="preserve">"2017-05-23 07:02:15.131843"</t>
  </si>
  <si>
    <t xml:space="preserve">"192"</t>
  </si>
  <si>
    <t xml:space="preserve">"2211"</t>
  </si>
  <si>
    <t xml:space="preserve">"green-curry-akha-dhaniya"</t>
  </si>
  <si>
    <t xml:space="preserve">"2017-05-23 07:02:15.275527"</t>
  </si>
  <si>
    <t xml:space="preserve">"2017-05-23 07:02:15.275571"</t>
  </si>
  <si>
    <t xml:space="preserve">"2212"</t>
  </si>
  <si>
    <t xml:space="preserve">"green-curry-kafir-lemon-leaves"</t>
  </si>
  <si>
    <t xml:space="preserve">"2017-05-23 07:02:15.419923"</t>
  </si>
  <si>
    <t xml:space="preserve">"2017-05-23 07:02:15.419973"</t>
  </si>
  <si>
    <t xml:space="preserve">"600"</t>
  </si>
  <si>
    <t xml:space="preserve">"2213"</t>
  </si>
  <si>
    <t xml:space="preserve">"Hari Mirchi paste"</t>
  </si>
  <si>
    <t xml:space="preserve">"green-curry-hari-mirchi"</t>
  </si>
  <si>
    <t xml:space="preserve">"2017-05-23 07:02:15.531077"</t>
  </si>
  <si>
    <t xml:space="preserve">"2017-05-23 07:02:15.531127"</t>
  </si>
  <si>
    <t xml:space="preserve">"2214"</t>
  </si>
  <si>
    <t xml:space="preserve">"Palak paste"</t>
  </si>
  <si>
    <t xml:space="preserve">"green-curry-palak"</t>
  </si>
  <si>
    <t xml:space="preserve">"2017-05-23 07:02:15.654341"</t>
  </si>
  <si>
    <t xml:space="preserve">"2017-05-23 07:02:15.654379"</t>
  </si>
  <si>
    <t xml:space="preserve">"153"</t>
  </si>
  <si>
    <t xml:space="preserve">"2215"</t>
  </si>
  <si>
    <t xml:space="preserve">"Ajinomoto"</t>
  </si>
  <si>
    <t xml:space="preserve">"green-curry-ajinomoto"</t>
  </si>
  <si>
    <t xml:space="preserve">"2017-05-23 07:02:15.811181"</t>
  </si>
  <si>
    <t xml:space="preserve">"2017-05-23 07:02:15.811219"</t>
  </si>
  <si>
    <t xml:space="preserve">"2216"</t>
  </si>
  <si>
    <t xml:space="preserve">"Green capsicum paste"</t>
  </si>
  <si>
    <t xml:space="preserve">"green-curry-green-capsicum"</t>
  </si>
  <si>
    <t xml:space="preserve">"2017-05-23 07:02:15.942304"</t>
  </si>
  <si>
    <t xml:space="preserve">"2017-05-23 07:02:15.942345"</t>
  </si>
  <si>
    <t xml:space="preserve">"2217"</t>
  </si>
  <si>
    <t xml:space="preserve">"green-curry-butter"</t>
  </si>
  <si>
    <t xml:space="preserve">"2017-05-23 07:02:16.060916"</t>
  </si>
  <si>
    <t xml:space="preserve">"2017-05-23 07:02:16.061006"</t>
  </si>
  <si>
    <t xml:space="preserve">"2218"</t>
  </si>
  <si>
    <t xml:space="preserve">"Broccoli"</t>
  </si>
  <si>
    <t xml:space="preserve">"green-curry-broccoli"</t>
  </si>
  <si>
    <t xml:space="preserve">"2017-05-23 07:02:16.207291"</t>
  </si>
  <si>
    <t xml:space="preserve">"2017-05-23 07:02:16.207331"</t>
  </si>
  <si>
    <t xml:space="preserve">"2219"</t>
  </si>
  <si>
    <t xml:space="preserve">"Zucchini"</t>
  </si>
  <si>
    <t xml:space="preserve">"green-curry-zucchini"</t>
  </si>
  <si>
    <t xml:space="preserve">"2017-05-23 07:02:16.366244"</t>
  </si>
  <si>
    <t xml:space="preserve">"2017-05-23 07:02:16.366281"</t>
  </si>
  <si>
    <t xml:space="preserve">"210"</t>
  </si>
  <si>
    <t xml:space="preserve">"2220"</t>
  </si>
  <si>
    <t xml:space="preserve">"green-curry-red-capsicum"</t>
  </si>
  <si>
    <t xml:space="preserve">"2017-05-23 07:02:16.507105"</t>
  </si>
  <si>
    <t xml:space="preserve">"2017-05-23 07:02:16.507147"</t>
  </si>
  <si>
    <t xml:space="preserve">"2221"</t>
  </si>
  <si>
    <t xml:space="preserve">"Yellow capsicum"</t>
  </si>
  <si>
    <t xml:space="preserve">"green-curry-yellow-capsicum"</t>
  </si>
  <si>
    <t xml:space="preserve">"2017-05-23 07:02:16.618225"</t>
  </si>
  <si>
    <t xml:space="preserve">"2017-05-23 07:02:16.618266"</t>
  </si>
  <si>
    <t xml:space="preserve">"209"</t>
  </si>
  <si>
    <t xml:space="preserve">"2222"</t>
  </si>
  <si>
    <t xml:space="preserve">"green-curry-hot-water"</t>
  </si>
  <si>
    <t xml:space="preserve">"2017-05-23 07:02:16.741833"</t>
  </si>
  <si>
    <t xml:space="preserve">"2017-05-23 07:02:16.741870"</t>
  </si>
  <si>
    <t xml:space="preserve">"300"</t>
  </si>
  <si>
    <t xml:space="preserve">"2223"</t>
  </si>
  <si>
    <t xml:space="preserve">"Maggi coconut milk powder"</t>
  </si>
  <si>
    <t xml:space="preserve">"green-curry-maggi-coconut-milk-powder"</t>
  </si>
  <si>
    <t xml:space="preserve">"2017-05-23 07:02:16.871487"</t>
  </si>
  <si>
    <t xml:space="preserve">"2017-05-23 07:02:16.871535"</t>
  </si>
  <si>
    <t xml:space="preserve">"137"</t>
  </si>
  <si>
    <t xml:space="preserve">"80"</t>
  </si>
  <si>
    <t xml:space="preserve">"2224"</t>
  </si>
  <si>
    <t xml:space="preserve">"Maggi seasoning"</t>
  </si>
  <si>
    <t xml:space="preserve">"green-curry-maggi-seasoning"</t>
  </si>
  <si>
    <t xml:space="preserve">"2017-05-23 07:02:17.018051"</t>
  </si>
  <si>
    <t xml:space="preserve">"2017-05-23 07:02:17.018091"</t>
  </si>
  <si>
    <t xml:space="preserve">"138"</t>
  </si>
  <si>
    <t xml:space="preserve">"2225"</t>
  </si>
  <si>
    <t xml:space="preserve">"corn flour"</t>
  </si>
  <si>
    <t xml:space="preserve">"green-curry-corn-flour"</t>
  </si>
  <si>
    <t xml:space="preserve">"2017-05-23 07:02:17.128389"</t>
  </si>
  <si>
    <t xml:space="preserve">"2017-05-23 07:02:17.128450"</t>
  </si>
  <si>
    <t xml:space="preserve">"2226"</t>
  </si>
  <si>
    <t xml:space="preserve">"Basil leaves chopped"</t>
  </si>
  <si>
    <t xml:space="preserve">"green-curry-basil-leaves"</t>
  </si>
  <si>
    <t xml:space="preserve">"2017-05-23 07:02:17.261927"</t>
  </si>
  <si>
    <t xml:space="preserve">"2017-05-23 07:02:17.261968"</t>
  </si>
  <si>
    <t xml:space="preserve">"2227"</t>
  </si>
  <si>
    <t xml:space="preserve">"nithai-rice-rice"</t>
  </si>
  <si>
    <t xml:space="preserve">"2017-05-23 07:02:17.391627"</t>
  </si>
  <si>
    <t xml:space="preserve">"2017-05-23 07:02:17.391680"</t>
  </si>
  <si>
    <t xml:space="preserve">"2228"</t>
  </si>
  <si>
    <t xml:space="preserve">"nithai-rice-salt"</t>
  </si>
  <si>
    <t xml:space="preserve">"2017-05-23 07:02:17.495818"</t>
  </si>
  <si>
    <t xml:space="preserve">"2017-05-23 07:02:17.495855"</t>
  </si>
  <si>
    <t xml:space="preserve">"2.3"</t>
  </si>
  <si>
    <t xml:space="preserve">"2229"</t>
  </si>
  <si>
    <t xml:space="preserve">"SAM Soya Sauce"</t>
  </si>
  <si>
    <t xml:space="preserve">"nithai-rice-sam-soya-sauce"</t>
  </si>
  <si>
    <t xml:space="preserve">"2017-05-23 07:02:17.627748"</t>
  </si>
  <si>
    <t xml:space="preserve">"2017-05-23 07:02:17.627815"</t>
  </si>
  <si>
    <t xml:space="preserve">"178"</t>
  </si>
  <si>
    <t xml:space="preserve">"2230"</t>
  </si>
  <si>
    <t xml:space="preserve">"nithai-rice-maggi-seasoning"</t>
  </si>
  <si>
    <t xml:space="preserve">"2017-05-23 07:02:17.772286"</t>
  </si>
  <si>
    <t xml:space="preserve">"2017-05-23 07:02:17.772327"</t>
  </si>
  <si>
    <t xml:space="preserve">"2231"</t>
  </si>
  <si>
    <t xml:space="preserve">"Green chilli sauce"</t>
  </si>
  <si>
    <t xml:space="preserve">"nithai-rice-green-chilli-sauce"</t>
  </si>
  <si>
    <t xml:space="preserve">"2017-05-23 07:02:17.895924"</t>
  </si>
  <si>
    <t xml:space="preserve">"2017-05-23 07:02:17.895978"</t>
  </si>
  <si>
    <t xml:space="preserve">"85"</t>
  </si>
  <si>
    <t xml:space="preserve">"2232"</t>
  </si>
  <si>
    <t xml:space="preserve">"nithai-rice-black-pepper"</t>
  </si>
  <si>
    <t xml:space="preserve">"2017-05-23 07:02:18.006769"</t>
  </si>
  <si>
    <t xml:space="preserve">"2017-05-23 07:02:18.006808"</t>
  </si>
  <si>
    <t xml:space="preserve">"2233"</t>
  </si>
  <si>
    <t xml:space="preserve">"Red Capsicum"</t>
  </si>
  <si>
    <t xml:space="preserve">"nithai-rice-red-capsicum"</t>
  </si>
  <si>
    <t xml:space="preserve">"2017-05-23 07:02:18.132235"</t>
  </si>
  <si>
    <t xml:space="preserve">"2017-05-23 07:02:18.132272"</t>
  </si>
  <si>
    <t xml:space="preserve">"2234"</t>
  </si>
  <si>
    <t xml:space="preserve">"Yellow Capsicum"</t>
  </si>
  <si>
    <t xml:space="preserve">"nithai-rice-yellow-capsicum"</t>
  </si>
  <si>
    <t xml:space="preserve">"2017-05-23 07:02:18.271445"</t>
  </si>
  <si>
    <t xml:space="preserve">"2017-05-23 07:02:18.271493"</t>
  </si>
  <si>
    <t xml:space="preserve">"2235"</t>
  </si>
  <si>
    <t xml:space="preserve">"Green Capsicum"</t>
  </si>
  <si>
    <t xml:space="preserve">"nithai-rice-green-capsicum"</t>
  </si>
  <si>
    <t xml:space="preserve">"2017-05-23 07:02:18.427055"</t>
  </si>
  <si>
    <t xml:space="preserve">"2017-05-23 07:02:18.427097"</t>
  </si>
  <si>
    <t xml:space="preserve">"2236"</t>
  </si>
  <si>
    <t xml:space="preserve">"nithai-rice-beans"</t>
  </si>
  <si>
    <t xml:space="preserve">"2017-05-23 07:02:18.571140"</t>
  </si>
  <si>
    <t xml:space="preserve">"2017-05-23 07:02:18.571192"</t>
  </si>
  <si>
    <t xml:space="preserve">"2237"</t>
  </si>
  <si>
    <t xml:space="preserve">"Baby Corn"</t>
  </si>
  <si>
    <t xml:space="preserve">"nithai-rice-baby-corn"</t>
  </si>
  <si>
    <t xml:space="preserve">"2017-05-23 07:02:18.704552"</t>
  </si>
  <si>
    <t xml:space="preserve">"2017-05-23 07:02:18.704592"</t>
  </si>
  <si>
    <t xml:space="preserve">"2238"</t>
  </si>
  <si>
    <t xml:space="preserve">"EVOO / Butter"</t>
  </si>
  <si>
    <t xml:space="preserve">"nithai-rice-evoo"</t>
  </si>
  <si>
    <t xml:space="preserve">"2017-05-23 07:02:18.847313"</t>
  </si>
  <si>
    <t xml:space="preserve">"2017-05-23 07:02:18.847352"</t>
  </si>
  <si>
    <t xml:space="preserve">"2239"</t>
  </si>
  <si>
    <t xml:space="preserve">"nithai-rice-basil-leaves"</t>
  </si>
  <si>
    <t xml:space="preserve">"2017-05-23 07:02:18.982942"</t>
  </si>
  <si>
    <t xml:space="preserve">"2017-05-23 07:02:18.982981"</t>
  </si>
  <si>
    <t xml:space="preserve">"2240"</t>
  </si>
  <si>
    <t xml:space="preserve">"Rajma"</t>
  </si>
  <si>
    <t xml:space="preserve">"minestrone-soup-rajma"</t>
  </si>
  <si>
    <t xml:space="preserve">"2017-05-23 07:02:19.114881"</t>
  </si>
  <si>
    <t xml:space="preserve">"2017-05-23 07:02:19.114923"</t>
  </si>
  <si>
    <t xml:space="preserve">"167"</t>
  </si>
  <si>
    <t xml:space="preserve">"1.667"</t>
  </si>
  <si>
    <t xml:space="preserve">"2241"</t>
  </si>
  <si>
    <t xml:space="preserve">"minestrone-soup-beans"</t>
  </si>
  <si>
    <t xml:space="preserve">"2017-05-23 07:02:19.256354"</t>
  </si>
  <si>
    <t xml:space="preserve">"2017-05-23 07:02:19.256422"</t>
  </si>
  <si>
    <t xml:space="preserve">"2242"</t>
  </si>
  <si>
    <t xml:space="preserve">"minestrone-soup-gajar"</t>
  </si>
  <si>
    <t xml:space="preserve">"2017-05-23 07:02:19.370375"</t>
  </si>
  <si>
    <t xml:space="preserve">"2017-05-23 07:02:19.370414"</t>
  </si>
  <si>
    <t xml:space="preserve">"1.333"</t>
  </si>
  <si>
    <t xml:space="preserve">"2243"</t>
  </si>
  <si>
    <t xml:space="preserve">"minestrone-soup-capsicum"</t>
  </si>
  <si>
    <t xml:space="preserve">"2017-05-23 07:02:19.475564"</t>
  </si>
  <si>
    <t xml:space="preserve">"2017-05-23 07:02:19.475600"</t>
  </si>
  <si>
    <t xml:space="preserve">"2244"</t>
  </si>
  <si>
    <t xml:space="preserve">"minestrone-soup-zucchini"</t>
  </si>
  <si>
    <t xml:space="preserve">"2017-05-23 07:02:19.584811"</t>
  </si>
  <si>
    <t xml:space="preserve">"2017-05-23 07:02:19.584850"</t>
  </si>
  <si>
    <t xml:space="preserve">"2245"</t>
  </si>
  <si>
    <t xml:space="preserve">"minestrone-soup-tomato"</t>
  </si>
  <si>
    <t xml:space="preserve">"2017-05-23 07:02:19.707366"</t>
  </si>
  <si>
    <t xml:space="preserve">"2017-05-23 07:02:19.707402"</t>
  </si>
  <si>
    <t xml:space="preserve">"2246"</t>
  </si>
  <si>
    <t xml:space="preserve">"minestrone-soup-basil-leaves"</t>
  </si>
  <si>
    <t xml:space="preserve">"2017-05-23 07:02:19.842853"</t>
  </si>
  <si>
    <t xml:space="preserve">"2017-05-23 07:02:19.842893"</t>
  </si>
  <si>
    <t xml:space="preserve">"2247"</t>
  </si>
  <si>
    <t xml:space="preserve">"VEGETABLE STOCK"</t>
  </si>
  <si>
    <t xml:space="preserve">"minestrone-soup-vegetable-stock"</t>
  </si>
  <si>
    <t xml:space="preserve">"2017-05-23 07:02:19.953029"</t>
  </si>
  <si>
    <t xml:space="preserve">"2017-05-23 07:02:19.953064"</t>
  </si>
  <si>
    <t xml:space="preserve">"213"</t>
  </si>
  <si>
    <t xml:space="preserve">"2248"</t>
  </si>
  <si>
    <t xml:space="preserve">"Parsley"</t>
  </si>
  <si>
    <t xml:space="preserve">"minestrone-soup-parsley"</t>
  </si>
  <si>
    <t xml:space="preserve">"2017-05-23 07:02:20.099938"</t>
  </si>
  <si>
    <t xml:space="preserve">"2017-05-23 07:02:20.099980"</t>
  </si>
  <si>
    <t xml:space="preserve">"156"</t>
  </si>
  <si>
    <t xml:space="preserve">"2249"</t>
  </si>
  <si>
    <t xml:space="preserve">"Chopped Celery Stick"</t>
  </si>
  <si>
    <t xml:space="preserve">"minestrone-soup-celery-stick"</t>
  </si>
  <si>
    <t xml:space="preserve">"2017-05-23 07:02:20.246146"</t>
  </si>
  <si>
    <t xml:space="preserve">"2017-05-23 07:02:20.246182"</t>
  </si>
  <si>
    <t xml:space="preserve">"2250"</t>
  </si>
  <si>
    <t xml:space="preserve">"Thyme"</t>
  </si>
  <si>
    <t xml:space="preserve">"minestrone-soup-thyme"</t>
  </si>
  <si>
    <t xml:space="preserve">"2017-05-23 07:02:20.379510"</t>
  </si>
  <si>
    <t xml:space="preserve">"2017-05-23 07:02:20.379549"</t>
  </si>
  <si>
    <t xml:space="preserve">"193"</t>
  </si>
  <si>
    <t xml:space="preserve">"2251"</t>
  </si>
  <si>
    <t xml:space="preserve">"Rose merry"</t>
  </si>
  <si>
    <t xml:space="preserve">"minestrone-soup-rose-merry"</t>
  </si>
  <si>
    <t xml:space="preserve">"2017-05-23 07:02:20.501289"</t>
  </si>
  <si>
    <t xml:space="preserve">"2017-05-23 07:02:20.501333"</t>
  </si>
  <si>
    <t xml:space="preserve">"173"</t>
  </si>
  <si>
    <t xml:space="preserve">"2252"</t>
  </si>
  <si>
    <t xml:space="preserve">"minestrone-soup-gajar-2242"</t>
  </si>
  <si>
    <t xml:space="preserve">"2017-05-23 07:02:20.625871"</t>
  </si>
  <si>
    <t xml:space="preserve">"2017-05-23 07:02:20.625906"</t>
  </si>
  <si>
    <t xml:space="preserve">"2253"</t>
  </si>
  <si>
    <t xml:space="preserve">"minestrone-soup-salt"</t>
  </si>
  <si>
    <t xml:space="preserve">"2017-05-23 07:02:20.734280"</t>
  </si>
  <si>
    <t xml:space="preserve">"2017-05-23 07:02:20.734326"</t>
  </si>
  <si>
    <t xml:space="preserve">"2254"</t>
  </si>
  <si>
    <t xml:space="preserve">"minestrone-soup-evoo"</t>
  </si>
  <si>
    <t xml:space="preserve">"2017-05-23 07:02:20.889149"</t>
  </si>
  <si>
    <t xml:space="preserve">"2017-05-23 07:02:20.889191"</t>
  </si>
  <si>
    <t xml:space="preserve">"2255"</t>
  </si>
  <si>
    <t xml:space="preserve">"minestrone-soup-hing"</t>
  </si>
  <si>
    <t xml:space="preserve">"2017-05-23 07:02:21.033685"</t>
  </si>
  <si>
    <t xml:space="preserve">"2017-05-23 07:02:21.033737"</t>
  </si>
  <si>
    <t xml:space="preserve">"2256"</t>
  </si>
  <si>
    <t xml:space="preserve">"minestrone-soup-black-pepper"</t>
  </si>
  <si>
    <t xml:space="preserve">"2017-05-23 07:02:21.183341"</t>
  </si>
  <si>
    <t xml:space="preserve">"2017-05-23 07:02:21.183377"</t>
  </si>
  <si>
    <t xml:space="preserve">"2257"</t>
  </si>
  <si>
    <t xml:space="preserve">"minestrone-soup-celery-stick-2249"</t>
  </si>
  <si>
    <t xml:space="preserve">"2017-05-23 07:02:21.326238"</t>
  </si>
  <si>
    <t xml:space="preserve">"2017-05-23 07:02:21.326920"</t>
  </si>
  <si>
    <t xml:space="preserve">"2258"</t>
  </si>
  <si>
    <t xml:space="preserve">"Fennel Bulb"</t>
  </si>
  <si>
    <t xml:space="preserve">"minestrone-soup-fennel-bulb"</t>
  </si>
  <si>
    <t xml:space="preserve">"2017-05-23 07:02:21.466787"</t>
  </si>
  <si>
    <t xml:space="preserve">"2017-05-23 07:02:21.466828"</t>
  </si>
  <si>
    <t xml:space="preserve">"77"</t>
  </si>
  <si>
    <t xml:space="preserve">"2259"</t>
  </si>
  <si>
    <t xml:space="preserve">"Blue bird Brown sugar (bluebird)"</t>
  </si>
  <si>
    <t xml:space="preserve">"minestrone-soup-brown-sugar"</t>
  </si>
  <si>
    <t xml:space="preserve">"2017-05-23 07:02:21.618635"</t>
  </si>
  <si>
    <t xml:space="preserve">"2017-05-23 07:02:21.618688"</t>
  </si>
  <si>
    <t xml:space="preserve">"2260"</t>
  </si>
  <si>
    <t xml:space="preserve">"EVOO TOP"</t>
  </si>
  <si>
    <t xml:space="preserve">"minestrone-soup-evoo-2254"</t>
  </si>
  <si>
    <t xml:space="preserve">"2017-05-23 07:02:21.767601"</t>
  </si>
  <si>
    <t xml:space="preserve">"2017-05-23 07:02:21.767637"</t>
  </si>
  <si>
    <t xml:space="preserve">"2261"</t>
  </si>
  <si>
    <t xml:space="preserve">"Babycorn deep fried"</t>
  </si>
  <si>
    <t xml:space="preserve">"sauted-vegetables-baby-corn"</t>
  </si>
  <si>
    <t xml:space="preserve">"2017-05-23 07:02:21.910882"</t>
  </si>
  <si>
    <t xml:space="preserve">"2017-05-23 07:02:21.910923"</t>
  </si>
  <si>
    <t xml:space="preserve">"71"</t>
  </si>
  <si>
    <t xml:space="preserve">"4.375"</t>
  </si>
  <si>
    <t xml:space="preserve">"2262"</t>
  </si>
  <si>
    <t xml:space="preserve">"Red capsicum sauted"</t>
  </si>
  <si>
    <t xml:space="preserve">"sauted-vegetables-red-capsicum"</t>
  </si>
  <si>
    <t xml:space="preserve">"2017-05-23 07:02:22.043044"</t>
  </si>
  <si>
    <t xml:space="preserve">"2017-05-23 07:02:22.043096"</t>
  </si>
  <si>
    <t xml:space="preserve">"2263"</t>
  </si>
  <si>
    <t xml:space="preserve">"Yellow capsicum sauted"</t>
  </si>
  <si>
    <t xml:space="preserve">"sauted-vegetables-yellow-capsicum"</t>
  </si>
  <si>
    <t xml:space="preserve">"2017-05-23 07:02:22.187873"</t>
  </si>
  <si>
    <t xml:space="preserve">"2017-05-23 07:02:22.187936"</t>
  </si>
  <si>
    <t xml:space="preserve">"2264"</t>
  </si>
  <si>
    <t xml:space="preserve">"Green capsicum sauted"</t>
  </si>
  <si>
    <t xml:space="preserve">"sauted-vegetables-green-capsicum"</t>
  </si>
  <si>
    <t xml:space="preserve">"2017-05-23 07:02:22.321608"</t>
  </si>
  <si>
    <t xml:space="preserve">"2017-05-23 07:02:22.321648"</t>
  </si>
  <si>
    <t xml:space="preserve">"2265"</t>
  </si>
  <si>
    <t xml:space="preserve">"Broccoli steamed"</t>
  </si>
  <si>
    <t xml:space="preserve">"sauted-vegetables-broccoli"</t>
  </si>
  <si>
    <t xml:space="preserve">"2017-05-23 07:02:22.422015"</t>
  </si>
  <si>
    <t xml:space="preserve">"2017-05-23 07:02:22.422067"</t>
  </si>
  <si>
    <t xml:space="preserve">"8.75"</t>
  </si>
  <si>
    <t xml:space="preserve">"13.125"</t>
  </si>
  <si>
    <t xml:space="preserve">"2266"</t>
  </si>
  <si>
    <t xml:space="preserve">"sauted-vegetables-zucchini"</t>
  </si>
  <si>
    <t xml:space="preserve">"2017-05-23 07:02:22.543125"</t>
  </si>
  <si>
    <t xml:space="preserve">"2017-05-23 07:02:22.543166"</t>
  </si>
  <si>
    <t xml:space="preserve">"2267"</t>
  </si>
  <si>
    <t xml:space="preserve">"Zucchini sauted"</t>
  </si>
  <si>
    <t xml:space="preserve">"sauted-vegetables-zucchini-2266"</t>
  </si>
  <si>
    <t xml:space="preserve">"2017-05-23 07:02:22.677570"</t>
  </si>
  <si>
    <t xml:space="preserve">"2017-05-23 07:02:22.677607"</t>
  </si>
  <si>
    <t xml:space="preserve">"6.125"</t>
  </si>
  <si>
    <t xml:space="preserve">"2268"</t>
  </si>
  <si>
    <t xml:space="preserve">"Basil chopped"</t>
  </si>
  <si>
    <t xml:space="preserve">"sauted-vegetables-basil-leaves"</t>
  </si>
  <si>
    <t xml:space="preserve">"2017-05-23 07:02:22.811287"</t>
  </si>
  <si>
    <t xml:space="preserve">"2017-05-23 07:02:22.811325"</t>
  </si>
  <si>
    <t xml:space="preserve">"2269"</t>
  </si>
  <si>
    <t xml:space="preserve">"Panir deep fried"</t>
  </si>
  <si>
    <t xml:space="preserve">"sauted-vegetables-panir"</t>
  </si>
  <si>
    <t xml:space="preserve">"2017-05-23 07:02:22.953063"</t>
  </si>
  <si>
    <t xml:space="preserve">"2017-05-23 07:02:22.953108"</t>
  </si>
  <si>
    <t xml:space="preserve">"155"</t>
  </si>
  <si>
    <t xml:space="preserve">"2270"</t>
  </si>
  <si>
    <t xml:space="preserve">"Tulsi Tomato sauce"</t>
  </si>
  <si>
    <t xml:space="preserve">"sauted-vegetables-tulsi-tomato-sauce"</t>
  </si>
  <si>
    <t xml:space="preserve">"2017-05-23 07:02:23.088689"</t>
  </si>
  <si>
    <t xml:space="preserve">"2017-05-23 07:02:23.088727"</t>
  </si>
  <si>
    <t xml:space="preserve">"197"</t>
  </si>
  <si>
    <t xml:space="preserve">"2271"</t>
  </si>
  <si>
    <t xml:space="preserve">"sauted-vegetables-green-chilli-sauce"</t>
  </si>
  <si>
    <t xml:space="preserve">"2017-05-23 07:02:23.232100"</t>
  </si>
  <si>
    <t xml:space="preserve">"2017-05-23 07:02:23.232138"</t>
  </si>
  <si>
    <t xml:space="preserve">"2272"</t>
  </si>
  <si>
    <t xml:space="preserve">"Soya Sauce"</t>
  </si>
  <si>
    <t xml:space="preserve">"sauted-vegetables-soya-sauce"</t>
  </si>
  <si>
    <t xml:space="preserve">"2017-05-23 07:02:23.366827"</t>
  </si>
  <si>
    <t xml:space="preserve">"2017-05-23 07:02:23.366866"</t>
  </si>
  <si>
    <t xml:space="preserve">"185"</t>
  </si>
  <si>
    <t xml:space="preserve">"2273"</t>
  </si>
  <si>
    <t xml:space="preserve">"Butter/EVOO"</t>
  </si>
  <si>
    <t xml:space="preserve">"sauted-vegetables-butter"</t>
  </si>
  <si>
    <t xml:space="preserve">"2017-05-23 07:02:23.665249"</t>
  </si>
  <si>
    <t xml:space="preserve">"2017-05-23 07:02:23.665294"</t>
  </si>
  <si>
    <t xml:space="preserve">"0.525"</t>
  </si>
  <si>
    <t xml:space="preserve">"2274"</t>
  </si>
  <si>
    <t xml:space="preserve">"sauted-vegetables-black-pepper"</t>
  </si>
  <si>
    <t xml:space="preserve">"2017-05-23 07:02:23.829143"</t>
  </si>
  <si>
    <t xml:space="preserve">"2017-05-23 07:02:23.829181"</t>
  </si>
  <si>
    <t xml:space="preserve">"2275"</t>
  </si>
  <si>
    <t xml:space="preserve">"sauted-vegetables-hing"</t>
  </si>
  <si>
    <t xml:space="preserve">"2017-05-23 07:02:23.967157"</t>
  </si>
  <si>
    <t xml:space="preserve">"2017-05-23 07:02:23.967193"</t>
  </si>
  <si>
    <t xml:space="preserve">"2276"</t>
  </si>
  <si>
    <t xml:space="preserve">"sauted-vegetables-salt"</t>
  </si>
  <si>
    <t xml:space="preserve">"2017-05-23 07:02:24.118347"</t>
  </si>
  <si>
    <t xml:space="preserve">"2017-05-23 07:02:24.118394"</t>
  </si>
  <si>
    <t xml:space="preserve">"2277"</t>
  </si>
  <si>
    <t xml:space="preserve">"sauted-vegetables-gound-nut-oil"</t>
  </si>
  <si>
    <t xml:space="preserve">"2017-05-23 07:02:24.252509"</t>
  </si>
  <si>
    <t xml:space="preserve">"2017-05-23 07:02:24.252549"</t>
  </si>
  <si>
    <t xml:space="preserve">"2278"</t>
  </si>
  <si>
    <t xml:space="preserve">"Groundnut Oil (Singdana Tel)"</t>
  </si>
  <si>
    <t xml:space="preserve">"schezwan-sauce-ground-nut-oil"</t>
  </si>
  <si>
    <t xml:space="preserve">"2017-05-23 07:02:24.389789"</t>
  </si>
  <si>
    <t xml:space="preserve">"2017-05-23 07:02:24.389835"</t>
  </si>
  <si>
    <t xml:space="preserve">"2279"</t>
  </si>
  <si>
    <t xml:space="preserve">"Adrak (Ginger)"</t>
  </si>
  <si>
    <t xml:space="preserve">"schezwan-sauce-adrak"</t>
  </si>
  <si>
    <t xml:space="preserve">"2017-05-23 07:02:24.550902"</t>
  </si>
  <si>
    <t xml:space="preserve">"2017-05-23 07:02:24.551594"</t>
  </si>
  <si>
    <t xml:space="preserve">"2280"</t>
  </si>
  <si>
    <t xml:space="preserve">"Celery Stick"</t>
  </si>
  <si>
    <t xml:space="preserve">"schezwan-sauce-celery-stick"</t>
  </si>
  <si>
    <t xml:space="preserve">"2017-05-23 07:02:24.691538"</t>
  </si>
  <si>
    <t xml:space="preserve">"2017-05-23 07:02:24.691618"</t>
  </si>
  <si>
    <t xml:space="preserve">"2281"</t>
  </si>
  <si>
    <t xml:space="preserve">"schezwan-sauce-hari-mirchi"</t>
  </si>
  <si>
    <t xml:space="preserve">"2017-05-23 07:02:24.840198"</t>
  </si>
  <si>
    <t xml:space="preserve">"2017-05-23 07:02:24.840237"</t>
  </si>
  <si>
    <t xml:space="preserve">"2282"</t>
  </si>
  <si>
    <t xml:space="preserve">"Cabbage (Desi)"</t>
  </si>
  <si>
    <t xml:space="preserve">"schezwan-sauce-cabbage-desi"</t>
  </si>
  <si>
    <t xml:space="preserve">"2017-05-23 07:02:24.955767"</t>
  </si>
  <si>
    <t xml:space="preserve">"2017-05-23 07:02:24.955803"</t>
  </si>
  <si>
    <t xml:space="preserve">"2283"</t>
  </si>
  <si>
    <t xml:space="preserve">"Chilly Sauce"</t>
  </si>
  <si>
    <t xml:space="preserve">"schezwan-sauce-chilly-sauce"</t>
  </si>
  <si>
    <t xml:space="preserve">"2017-05-23 07:02:25.080685"</t>
  </si>
  <si>
    <t xml:space="preserve">"2017-05-23 07:02:25.080755"</t>
  </si>
  <si>
    <t xml:space="preserve">"52"</t>
  </si>
  <si>
    <t xml:space="preserve">"2284"</t>
  </si>
  <si>
    <t xml:space="preserve">"Tomato Sauce"</t>
  </si>
  <si>
    <t xml:space="preserve">"schezwan-sauce-tomato"</t>
  </si>
  <si>
    <t xml:space="preserve">"2017-05-23 07:02:25.228155"</t>
  </si>
  <si>
    <t xml:space="preserve">"2017-05-23 07:02:25.228196"</t>
  </si>
  <si>
    <t xml:space="preserve">"2285"</t>
  </si>
  <si>
    <t xml:space="preserve">"Kashmiri Mirchi"</t>
  </si>
  <si>
    <t xml:space="preserve">"schezwan-sauce-kashmiri-chilly-powder"</t>
  </si>
  <si>
    <t xml:space="preserve">"2017-05-23 07:02:25.380584"</t>
  </si>
  <si>
    <t xml:space="preserve">"2017-05-23 07:02:25.380665"</t>
  </si>
  <si>
    <t xml:space="preserve">"2286"</t>
  </si>
  <si>
    <t xml:space="preserve">"White Pepper Powder"</t>
  </si>
  <si>
    <t xml:space="preserve">"schezwan-sauce-white-pepper-powder"</t>
  </si>
  <si>
    <t xml:space="preserve">"2017-05-23 07:02:25.539094"</t>
  </si>
  <si>
    <t xml:space="preserve">"2017-05-23 07:02:25.539133"</t>
  </si>
  <si>
    <t xml:space="preserve">"205"</t>
  </si>
  <si>
    <t xml:space="preserve">"2287"</t>
  </si>
  <si>
    <t xml:space="preserve">"schezwan-sauce-salt"</t>
  </si>
  <si>
    <t xml:space="preserve">"2017-05-23 07:02:25.683810"</t>
  </si>
  <si>
    <t xml:space="preserve">"2017-05-23 07:02:25.683848"</t>
  </si>
  <si>
    <t xml:space="preserve">"2288"</t>
  </si>
  <si>
    <t xml:space="preserve">"Sugar (Chini)"</t>
  </si>
  <si>
    <t xml:space="preserve">"schezwan-sauce-sugar"</t>
  </si>
  <si>
    <t xml:space="preserve">"2017-05-23 07:02:25.827216"</t>
  </si>
  <si>
    <t xml:space="preserve">"2017-05-23 07:02:25.827257"</t>
  </si>
  <si>
    <t xml:space="preserve">"2289"</t>
  </si>
  <si>
    <t xml:space="preserve">"Dhaniya"</t>
  </si>
  <si>
    <t xml:space="preserve">"kothimbit-wadi-dhaniya-powder"</t>
  </si>
  <si>
    <t xml:space="preserve">"2017-05-23 07:02:25.973466"</t>
  </si>
  <si>
    <t xml:space="preserve">"2017-05-23 07:02:25.973505"</t>
  </si>
  <si>
    <t xml:space="preserve">"2290"</t>
  </si>
  <si>
    <t xml:space="preserve">"Besan (Chickpea Flour)"</t>
  </si>
  <si>
    <t xml:space="preserve">"kothimbit-wadi-besan"</t>
  </si>
  <si>
    <t xml:space="preserve">"2017-05-23 07:02:26.106010"</t>
  </si>
  <si>
    <t xml:space="preserve">"2017-05-23 07:02:26.106048"</t>
  </si>
  <si>
    <t xml:space="preserve">"2291"</t>
  </si>
  <si>
    <t xml:space="preserve">"Rice Flour"</t>
  </si>
  <si>
    <t xml:space="preserve">"kothimbit-wadi-rice-flour"</t>
  </si>
  <si>
    <t xml:space="preserve">"2017-05-23 07:02:26.237312"</t>
  </si>
  <si>
    <t xml:space="preserve">"2017-05-23 07:02:26.237367"</t>
  </si>
  <si>
    <t xml:space="preserve">"171"</t>
  </si>
  <si>
    <t xml:space="preserve">"2292"</t>
  </si>
  <si>
    <t xml:space="preserve">"kothimbit-wadi-water"</t>
  </si>
  <si>
    <t xml:space="preserve">"2017-05-23 07:02:26.377327"</t>
  </si>
  <si>
    <t xml:space="preserve">"2017-05-23 07:02:26.377370"</t>
  </si>
  <si>
    <t xml:space="preserve">"2293"</t>
  </si>
  <si>
    <t xml:space="preserve">"kothimbit-wadi-hari-mirchi"</t>
  </si>
  <si>
    <t xml:space="preserve">"2017-05-23 07:02:26.506494"</t>
  </si>
  <si>
    <t xml:space="preserve">"2017-05-23 07:02:26.506533"</t>
  </si>
  <si>
    <t xml:space="preserve">"2294"</t>
  </si>
  <si>
    <t xml:space="preserve">"Adrak Paste"</t>
  </si>
  <si>
    <t xml:space="preserve">"kothimbit-wadi-adrak"</t>
  </si>
  <si>
    <t xml:space="preserve">"2017-05-23 07:02:26.659445"</t>
  </si>
  <si>
    <t xml:space="preserve">"2017-05-23 07:02:26.659488"</t>
  </si>
  <si>
    <t xml:space="preserve">"2295"</t>
  </si>
  <si>
    <t xml:space="preserve">"Dhania Powder (Coriander Pdr)"</t>
  </si>
  <si>
    <t xml:space="preserve">"kothimbit-wadi-dhaniya-powder-2289"</t>
  </si>
  <si>
    <t xml:space="preserve">"2017-05-23 07:02:26.822773"</t>
  </si>
  <si>
    <t xml:space="preserve">"2017-05-23 07:02:26.822808"</t>
  </si>
  <si>
    <t xml:space="preserve">"2296"</t>
  </si>
  <si>
    <t xml:space="preserve">"Zeera Powder (Cumin Pdr)"</t>
  </si>
  <si>
    <t xml:space="preserve">"kothimbit-wadi-jeera-powder"</t>
  </si>
  <si>
    <t xml:space="preserve">"2017-05-23 07:02:26.947818"</t>
  </si>
  <si>
    <t xml:space="preserve">"2017-05-23 07:02:26.947858"</t>
  </si>
  <si>
    <t xml:space="preserve">"2297"</t>
  </si>
  <si>
    <t xml:space="preserve">"Haldi (Turmeric Pdr)"</t>
  </si>
  <si>
    <t xml:space="preserve">"kothimbit-wadi-haldi"</t>
  </si>
  <si>
    <t xml:space="preserve">"2017-05-23 07:02:27.094562"</t>
  </si>
  <si>
    <t xml:space="preserve">"2017-05-23 07:02:27.094623"</t>
  </si>
  <si>
    <t xml:space="preserve">"2298"</t>
  </si>
  <si>
    <t xml:space="preserve">"Lal Mirchi Powder (Red Chilli Pdr)"</t>
  </si>
  <si>
    <t xml:space="preserve">"kothimbit-wadi-madrasi-mirchi-powder"</t>
  </si>
  <si>
    <t xml:space="preserve">"2017-05-23 07:02:27.227231"</t>
  </si>
  <si>
    <t xml:space="preserve">"2017-05-23 07:02:27.227271"</t>
  </si>
  <si>
    <t xml:space="preserve">"2299"</t>
  </si>
  <si>
    <t xml:space="preserve">"kothimbit-wadi-salt"</t>
  </si>
  <si>
    <t xml:space="preserve">"2017-05-23 07:02:27.374139"</t>
  </si>
  <si>
    <t xml:space="preserve">"2017-05-23 07:02:27.374174"</t>
  </si>
  <si>
    <t xml:space="preserve">"2300"</t>
  </si>
  <si>
    <t xml:space="preserve">"kothimbit-wadi-chaunce"</t>
  </si>
  <si>
    <t xml:space="preserve">"2017-05-23 07:02:27.513490"</t>
  </si>
  <si>
    <t xml:space="preserve">"2017-05-23 07:02:27.513553"</t>
  </si>
  <si>
    <t xml:space="preserve">"2301"</t>
  </si>
  <si>
    <t xml:space="preserve">"kothimbit-wadi-ground-nut-oil"</t>
  </si>
  <si>
    <t xml:space="preserve">"2017-05-23 07:02:27.647618"</t>
  </si>
  <si>
    <t xml:space="preserve">"2017-05-23 07:02:27.647656"</t>
  </si>
  <si>
    <t xml:space="preserve">"2302"</t>
  </si>
  <si>
    <t xml:space="preserve">"Zeera (Cumin Seeds)"</t>
  </si>
  <si>
    <t xml:space="preserve">"kothimbit-wadi-jeera"</t>
  </si>
  <si>
    <t xml:space="preserve">"2017-05-23 07:02:27.789617"</t>
  </si>
  <si>
    <t xml:space="preserve">"2017-05-23 07:02:27.789681"</t>
  </si>
  <si>
    <t xml:space="preserve">"2303"</t>
  </si>
  <si>
    <t xml:space="preserve">"kothimbit-wadi-hing"</t>
  </si>
  <si>
    <t xml:space="preserve">"2017-05-23 07:02:27.940913"</t>
  </si>
  <si>
    <t xml:space="preserve">"2017-05-23 07:02:27.940950"</t>
  </si>
  <si>
    <t xml:space="preserve">"2304"</t>
  </si>
  <si>
    <t xml:space="preserve">"Dhania Patta (Coriander Leaves)"</t>
  </si>
  <si>
    <t xml:space="preserve">"kothimbit-wadi-dhaniya-patta"</t>
  </si>
  <si>
    <t xml:space="preserve">"2017-05-23 07:02:28.093788"</t>
  </si>
  <si>
    <t xml:space="preserve">"2017-05-23 07:02:28.093851"</t>
  </si>
  <si>
    <t xml:space="preserve">"2305"</t>
  </si>
  <si>
    <t xml:space="preserve">"Chat Masala"</t>
  </si>
  <si>
    <t xml:space="preserve">"kothimbit-wadi-chat-masala"</t>
  </si>
  <si>
    <t xml:space="preserve">"2017-05-23 07:02:28.215463"</t>
  </si>
  <si>
    <t xml:space="preserve">"2017-05-23 07:02:28.215501"</t>
  </si>
  <si>
    <t xml:space="preserve">"47"</t>
  </si>
  <si>
    <t xml:space="preserve">"2306"</t>
  </si>
  <si>
    <t xml:space="preserve">"Shahi Jeera"</t>
  </si>
  <si>
    <t xml:space="preserve">"biryani-dum-layer-shahi-jeera"</t>
  </si>
  <si>
    <t xml:space="preserve">"2017-05-23 07:02:28.324298"</t>
  </si>
  <si>
    <t xml:space="preserve">"2017-05-23 07:02:28.324338"</t>
  </si>
  <si>
    <t xml:space="preserve">"181"</t>
  </si>
  <si>
    <t xml:space="preserve">"2307"</t>
  </si>
  <si>
    <t xml:space="preserve">"Starfal"</t>
  </si>
  <si>
    <t xml:space="preserve">"biryani-dum-layer-starfal"</t>
  </si>
  <si>
    <t xml:space="preserve">"2017-05-23 07:02:28.446676"</t>
  </si>
  <si>
    <t xml:space="preserve">"2017-05-23 07:02:28.446717"</t>
  </si>
  <si>
    <t xml:space="preserve">"186"</t>
  </si>
  <si>
    <t xml:space="preserve">"2308"</t>
  </si>
  <si>
    <t xml:space="preserve">"Dagad Ful"</t>
  </si>
  <si>
    <t xml:space="preserve">"biryani-dum-layer-dagad-ful"</t>
  </si>
  <si>
    <t xml:space="preserve">"2017-05-23 07:02:28.601830"</t>
  </si>
  <si>
    <t xml:space="preserve">"2017-05-23 07:02:28.601870"</t>
  </si>
  <si>
    <t xml:space="preserve">"58"</t>
  </si>
  <si>
    <t xml:space="preserve">"2309"</t>
  </si>
  <si>
    <t xml:space="preserve">"Dalchini"</t>
  </si>
  <si>
    <t xml:space="preserve">"biryani-dum-layer-dalchini"</t>
  </si>
  <si>
    <t xml:space="preserve">"2017-05-23 07:02:28.734324"</t>
  </si>
  <si>
    <t xml:space="preserve">"2017-05-23 07:02:28.734366"</t>
  </si>
  <si>
    <t xml:space="preserve">"61"</t>
  </si>
  <si>
    <t xml:space="preserve">"2310"</t>
  </si>
  <si>
    <t xml:space="preserve">"Lavang"</t>
  </si>
  <si>
    <t xml:space="preserve">"biryani-dum-layer-lavang"</t>
  </si>
  <si>
    <t xml:space="preserve">"2017-05-23 07:02:28.871926"</t>
  </si>
  <si>
    <t xml:space="preserve">"2017-05-23 07:02:28.871965"</t>
  </si>
  <si>
    <t xml:space="preserve">"128"</t>
  </si>
  <si>
    <t xml:space="preserve">"2311"</t>
  </si>
  <si>
    <t xml:space="preserve">"Kalimiri"</t>
  </si>
  <si>
    <t xml:space="preserve">"biryani-dum-layer-kalimiri"</t>
  </si>
  <si>
    <t xml:space="preserve">"2017-05-23 07:02:29.000929"</t>
  </si>
  <si>
    <t xml:space="preserve">"2017-05-23 07:02:29.000969"</t>
  </si>
  <si>
    <t xml:space="preserve">"113"</t>
  </si>
  <si>
    <t xml:space="preserve">"2312"</t>
  </si>
  <si>
    <t xml:space="preserve">"Tej Patta"</t>
  </si>
  <si>
    <t xml:space="preserve">"biryani-dum-layer-tej-patta"</t>
  </si>
  <si>
    <t xml:space="preserve">"2017-05-23 07:02:29.134445"</t>
  </si>
  <si>
    <t xml:space="preserve">"2017-05-23 07:02:29.134485"</t>
  </si>
  <si>
    <t xml:space="preserve">"2313"</t>
  </si>
  <si>
    <t xml:space="preserve">"Masala Elaichi"</t>
  </si>
  <si>
    <t xml:space="preserve">"biryani-dum-layer-elaichi"</t>
  </si>
  <si>
    <t xml:space="preserve">"2017-05-23 07:02:29.256033"</t>
  </si>
  <si>
    <t xml:space="preserve">"2017-05-23 07:02:29.256077"</t>
  </si>
  <si>
    <t xml:space="preserve">"2314"</t>
  </si>
  <si>
    <t xml:space="preserve">"Green Elaichi"</t>
  </si>
  <si>
    <t xml:space="preserve">"biryani-dum-layer-green-elaichi"</t>
  </si>
  <si>
    <t xml:space="preserve">"2017-05-23 07:02:29.389450"</t>
  </si>
  <si>
    <t xml:space="preserve">"2017-05-23 07:02:29.389494"</t>
  </si>
  <si>
    <t xml:space="preserve">"2315"</t>
  </si>
  <si>
    <t xml:space="preserve">"Jaiwantri"</t>
  </si>
  <si>
    <t xml:space="preserve">"biryani-dum-layer-jaiwantri"</t>
  </si>
  <si>
    <t xml:space="preserve">"2017-05-23 07:02:29.522093"</t>
  </si>
  <si>
    <t xml:space="preserve">"2017-05-23 07:02:29.522134"</t>
  </si>
  <si>
    <t xml:space="preserve">"101"</t>
  </si>
  <si>
    <t xml:space="preserve">"2316"</t>
  </si>
  <si>
    <t xml:space="preserve">"biryani-dum-layer-jeera"</t>
  </si>
  <si>
    <t xml:space="preserve">"2017-05-23 07:02:29.611995"</t>
  </si>
  <si>
    <t xml:space="preserve">"2017-05-23 07:02:29.612033"</t>
  </si>
  <si>
    <t xml:space="preserve">"2317"</t>
  </si>
  <si>
    <t xml:space="preserve">"Kasuri Methi"</t>
  </si>
  <si>
    <t xml:space="preserve">"biryani-dum-layer-kasuri-methi"</t>
  </si>
  <si>
    <t xml:space="preserve">"2017-05-23 07:02:29.718250"</t>
  </si>
  <si>
    <t xml:space="preserve">"2017-05-23 07:02:29.718293"</t>
  </si>
  <si>
    <t xml:space="preserve">"118"</t>
  </si>
  <si>
    <t xml:space="preserve">"2318"</t>
  </si>
  <si>
    <t xml:space="preserve">"Kasmiri Mirchi"</t>
  </si>
  <si>
    <t xml:space="preserve">"biryani-dum-layer-kashmiri-chilly-powder"</t>
  </si>
  <si>
    <t xml:space="preserve">"2017-05-23 07:02:29.872493"</t>
  </si>
  <si>
    <t xml:space="preserve">"2017-05-23 07:02:29.872561"</t>
  </si>
  <si>
    <t xml:space="preserve">"2319"</t>
  </si>
  <si>
    <t xml:space="preserve">"Dhaniya Powder"</t>
  </si>
  <si>
    <t xml:space="preserve">"biryani-dum-layer-dhaniya-powder"</t>
  </si>
  <si>
    <t xml:space="preserve">"2017-05-23 07:02:30.017026"</t>
  </si>
  <si>
    <t xml:space="preserve">"2017-05-23 07:02:30.017076"</t>
  </si>
  <si>
    <t xml:space="preserve">"2320"</t>
  </si>
  <si>
    <t xml:space="preserve">"Haldi Powder"</t>
  </si>
  <si>
    <t xml:space="preserve">"biryani-dum-layer-haldi"</t>
  </si>
  <si>
    <t xml:space="preserve">"2017-05-23 07:02:30.165714"</t>
  </si>
  <si>
    <t xml:space="preserve">"2017-05-23 07:02:30.165757"</t>
  </si>
  <si>
    <t xml:space="preserve">"2321"</t>
  </si>
  <si>
    <t xml:space="preserve">"Hing Powder"</t>
  </si>
  <si>
    <t xml:space="preserve">"biryani-dum-layer-hing"</t>
  </si>
  <si>
    <t xml:space="preserve">"2017-05-23 07:02:30.293175"</t>
  </si>
  <si>
    <t xml:space="preserve">"2017-05-23 07:02:30.293239"</t>
  </si>
  <si>
    <t xml:space="preserve">"2322"</t>
  </si>
  <si>
    <t xml:space="preserve">"biryani-dum-layer-kashmiri-chilly-powder-2318"</t>
  </si>
  <si>
    <t xml:space="preserve">"2017-05-23 07:02:30.429278"</t>
  </si>
  <si>
    <t xml:space="preserve">"2017-05-23 07:02:30.429356"</t>
  </si>
  <si>
    <t xml:space="preserve">"2323"</t>
  </si>
  <si>
    <t xml:space="preserve">"Badshah Rajwadi Garam Masala"</t>
  </si>
  <si>
    <t xml:space="preserve">"biryani-dum-layer-badshah-rajwadi-garam-masala"</t>
  </si>
  <si>
    <t xml:space="preserve">"2017-05-23 07:02:30.528319"</t>
  </si>
  <si>
    <t xml:space="preserve">"2017-05-23 07:02:30.528393"</t>
  </si>
  <si>
    <t xml:space="preserve">"2324"</t>
  </si>
  <si>
    <t xml:space="preserve">"Everest Chole Masala"</t>
  </si>
  <si>
    <t xml:space="preserve">"biryani-dum-layer-everest-chole-masala"</t>
  </si>
  <si>
    <t xml:space="preserve">"2017-05-23 07:02:30.688019"</t>
  </si>
  <si>
    <t xml:space="preserve">"2017-05-23 07:02:30.688060"</t>
  </si>
  <si>
    <t xml:space="preserve">"2325"</t>
  </si>
  <si>
    <t xml:space="preserve">"Everest Shahi Briyani Masala"</t>
  </si>
  <si>
    <t xml:space="preserve">"biryani-dum-layer-everest-shahi-briyani-masala"</t>
  </si>
  <si>
    <t xml:space="preserve">"2017-05-23 07:02:30.822413"</t>
  </si>
  <si>
    <t xml:space="preserve">"2017-05-23 07:02:30.822451"</t>
  </si>
  <si>
    <t xml:space="preserve">"75"</t>
  </si>
  <si>
    <t xml:space="preserve">"2326"</t>
  </si>
  <si>
    <t xml:space="preserve">"Kapol Chat Masala"</t>
  </si>
  <si>
    <t xml:space="preserve">"biryani-dum-layer-kapol-chat-masala"</t>
  </si>
  <si>
    <t xml:space="preserve">"2017-05-23 07:02:30.964117"</t>
  </si>
  <si>
    <t xml:space="preserve">"2017-05-23 07:02:30.964162"</t>
  </si>
  <si>
    <t xml:space="preserve">"115"</t>
  </si>
  <si>
    <t xml:space="preserve">"2327"</t>
  </si>
  <si>
    <t xml:space="preserve">"Black Salt Powder"</t>
  </si>
  <si>
    <t xml:space="preserve">"biryani-dum-layer-black-salt"</t>
  </si>
  <si>
    <t xml:space="preserve">"2017-05-23 07:02:31.113871"</t>
  </si>
  <si>
    <t xml:space="preserve">"2017-05-23 07:02:31.113918"</t>
  </si>
  <si>
    <t xml:space="preserve">"2328"</t>
  </si>
  <si>
    <t xml:space="preserve">"Tata salt"</t>
  </si>
  <si>
    <t xml:space="preserve">"biryani-dum-layer-salt"</t>
  </si>
  <si>
    <t xml:space="preserve">"2017-05-23 07:02:31.259090"</t>
  </si>
  <si>
    <t xml:space="preserve">"2017-05-23 07:02:31.259127"</t>
  </si>
  <si>
    <t xml:space="preserve">"2329"</t>
  </si>
  <si>
    <t xml:space="preserve">"Kaju Kani"</t>
  </si>
  <si>
    <t xml:space="preserve">"biryani-dum-layer-kaju-kani"</t>
  </si>
  <si>
    <t xml:space="preserve">"2017-05-23 07:02:31.402351"</t>
  </si>
  <si>
    <t xml:space="preserve">"2017-05-23 07:02:31.402388"</t>
  </si>
  <si>
    <t xml:space="preserve">"109"</t>
  </si>
  <si>
    <t xml:space="preserve">"2330"</t>
  </si>
  <si>
    <t xml:space="preserve">"Magaj"</t>
  </si>
  <si>
    <t xml:space="preserve">"biryani-dum-layer-magaj"</t>
  </si>
  <si>
    <t xml:space="preserve">"2017-05-23 07:02:31.530452"</t>
  </si>
  <si>
    <t xml:space="preserve">"2017-05-23 07:02:31.530490"</t>
  </si>
  <si>
    <t xml:space="preserve">"136"</t>
  </si>
  <si>
    <t xml:space="preserve">"2331"</t>
  </si>
  <si>
    <t xml:space="preserve">"White Teel"</t>
  </si>
  <si>
    <t xml:space="preserve">"biryani-dum-layer-white-til"</t>
  </si>
  <si>
    <t xml:space="preserve">"2017-05-23 07:02:31.641447"</t>
  </si>
  <si>
    <t xml:space="preserve">"2017-05-23 07:02:31.641485"</t>
  </si>
  <si>
    <t xml:space="preserve">"2332"</t>
  </si>
  <si>
    <t xml:space="preserve">"Khas Khas"</t>
  </si>
  <si>
    <t xml:space="preserve">"biryani-dum-layer-khas-khas"</t>
  </si>
  <si>
    <t xml:space="preserve">"2017-05-23 07:02:31.788222"</t>
  </si>
  <si>
    <t xml:space="preserve">"2017-05-23 07:02:31.788286"</t>
  </si>
  <si>
    <t xml:space="preserve">"121"</t>
  </si>
  <si>
    <t xml:space="preserve">"2333"</t>
  </si>
  <si>
    <t xml:space="preserve">"biryani-dum-layer-ghee"</t>
  </si>
  <si>
    <t xml:space="preserve">"2017-05-23 07:02:31.922941"</t>
  </si>
  <si>
    <t xml:space="preserve">"2017-05-23 07:02:31.922978"</t>
  </si>
  <si>
    <t xml:space="preserve">"2334"</t>
  </si>
  <si>
    <t xml:space="preserve">"biryani-dum-layer-gound-nut-oil"</t>
  </si>
  <si>
    <t xml:space="preserve">"2017-05-23 07:02:32.051370"</t>
  </si>
  <si>
    <t xml:space="preserve">"2017-05-23 07:02:32.051411"</t>
  </si>
  <si>
    <t xml:space="preserve">"2335"</t>
  </si>
  <si>
    <t xml:space="preserve">"Orange Red Colour"</t>
  </si>
  <si>
    <t xml:space="preserve">"biryani-dum-layer-orange-red-colour"</t>
  </si>
  <si>
    <t xml:space="preserve">"2017-05-23 07:02:32.204179"</t>
  </si>
  <si>
    <t xml:space="preserve">"2017-05-23 07:02:32.204310"</t>
  </si>
  <si>
    <t xml:space="preserve">"152"</t>
  </si>
  <si>
    <t xml:space="preserve">"2336"</t>
  </si>
  <si>
    <t xml:space="preserve">"Lemon Yellow Colour"</t>
  </si>
  <si>
    <t xml:space="preserve">"biryani-dum-layer-lemon-yellow-colour"</t>
  </si>
  <si>
    <t xml:space="preserve">"2017-05-23 07:02:32.317163"</t>
  </si>
  <si>
    <t xml:space="preserve">"2017-05-23 07:02:32.317214"</t>
  </si>
  <si>
    <t xml:space="preserve">"131"</t>
  </si>
  <si>
    <t xml:space="preserve">"2337"</t>
  </si>
  <si>
    <t xml:space="preserve">"Apple Green Colour"</t>
  </si>
  <si>
    <t xml:space="preserve">"biryani-dum-layer-apple-green-colour"</t>
  </si>
  <si>
    <t xml:space="preserve">"2017-05-23 07:02:32.456947"</t>
  </si>
  <si>
    <t xml:space="preserve">"2017-05-23 07:02:32.456984"</t>
  </si>
  <si>
    <t xml:space="preserve">"2338"</t>
  </si>
  <si>
    <t xml:space="preserve">"Basmati Rice"</t>
  </si>
  <si>
    <t xml:space="preserve">"biryani-dum-layer-basmati-rice"</t>
  </si>
  <si>
    <t xml:space="preserve">"2017-05-23 07:02:32.593521"</t>
  </si>
  <si>
    <t xml:space="preserve">"2017-05-23 07:02:32.593603"</t>
  </si>
  <si>
    <t xml:space="preserve">"2339"</t>
  </si>
  <si>
    <t xml:space="preserve">"Tomato 1"</t>
  </si>
  <si>
    <t xml:space="preserve">"biryani-dum-layer-tomato"</t>
  </si>
  <si>
    <t xml:space="preserve">"2017-05-23 07:02:32.722078"</t>
  </si>
  <si>
    <t xml:space="preserve">"2017-05-23 07:02:32.722119"</t>
  </si>
  <si>
    <t xml:space="preserve">"2340"</t>
  </si>
  <si>
    <t xml:space="preserve">"Tomato 2"</t>
  </si>
  <si>
    <t xml:space="preserve">"biryani-dum-layer-tomato-2339"</t>
  </si>
  <si>
    <t xml:space="preserve">"2017-05-23 07:02:32.871234"</t>
  </si>
  <si>
    <t xml:space="preserve">"2017-05-23 07:02:32.871286"</t>
  </si>
  <si>
    <t xml:space="preserve">"2341"</t>
  </si>
  <si>
    <t xml:space="preserve">"Adrak"</t>
  </si>
  <si>
    <t xml:space="preserve">"biryani-dum-layer-adrak"</t>
  </si>
  <si>
    <t xml:space="preserve">"2017-05-23 07:02:32.996208"</t>
  </si>
  <si>
    <t xml:space="preserve">"2017-05-23 07:02:32.996246"</t>
  </si>
  <si>
    <t xml:space="preserve">"2342"</t>
  </si>
  <si>
    <t xml:space="preserve">"Mirchi"</t>
  </si>
  <si>
    <t xml:space="preserve">"biryani-dum-layer-hari-mirchi"</t>
  </si>
  <si>
    <t xml:space="preserve">"2017-05-23 07:02:33.136479"</t>
  </si>
  <si>
    <t xml:space="preserve">"2017-05-23 07:02:33.136519"</t>
  </si>
  <si>
    <t xml:space="preserve">"2343"</t>
  </si>
  <si>
    <t xml:space="preserve">"biryani-dum-layer-kadi-patta"</t>
  </si>
  <si>
    <t xml:space="preserve">"2017-05-23 07:02:33.277451"</t>
  </si>
  <si>
    <t xml:space="preserve">"2017-05-23 07:02:33.277502"</t>
  </si>
  <si>
    <t xml:space="preserve">"2344"</t>
  </si>
  <si>
    <t xml:space="preserve">"Dhaniyapatta"</t>
  </si>
  <si>
    <t xml:space="preserve">"biryani-dum-layer-dhaniya-patta"</t>
  </si>
  <si>
    <t xml:space="preserve">"2017-05-23 07:02:33.450341"</t>
  </si>
  <si>
    <t xml:space="preserve">"2017-05-23 07:02:33.450380"</t>
  </si>
  <si>
    <t xml:space="preserve">"2345"</t>
  </si>
  <si>
    <t xml:space="preserve">"biryani-dum-layer-pudina"</t>
  </si>
  <si>
    <t xml:space="preserve">"2017-05-23 07:02:33.591224"</t>
  </si>
  <si>
    <t xml:space="preserve">"2017-05-23 07:02:33.591261"</t>
  </si>
  <si>
    <t xml:space="preserve">"2346"</t>
  </si>
  <si>
    <t xml:space="preserve">"biryani-dum-layer-beans"</t>
  </si>
  <si>
    <t xml:space="preserve">"2017-05-23 07:02:33.732656"</t>
  </si>
  <si>
    <t xml:space="preserve">"2017-05-23 07:02:33.732693"</t>
  </si>
  <si>
    <t xml:space="preserve">"2347"</t>
  </si>
  <si>
    <t xml:space="preserve">"Cauli Flower"</t>
  </si>
  <si>
    <t xml:space="preserve">"biryani-dum-layer-cauli-flower"</t>
  </si>
  <si>
    <t xml:space="preserve">"2017-05-23 07:02:33.948223"</t>
  </si>
  <si>
    <t xml:space="preserve">"2017-05-23 07:02:33.948265"</t>
  </si>
  <si>
    <t xml:space="preserve">"44"</t>
  </si>
  <si>
    <t xml:space="preserve">"2348"</t>
  </si>
  <si>
    <t xml:space="preserve">"biryani-dum-layer-cabbage"</t>
  </si>
  <si>
    <t xml:space="preserve">"2017-05-23 07:02:34.096455"</t>
  </si>
  <si>
    <t xml:space="preserve">"2017-05-23 07:02:34.096495"</t>
  </si>
  <si>
    <t xml:space="preserve">"2349"</t>
  </si>
  <si>
    <t xml:space="preserve">"Carrot"</t>
  </si>
  <si>
    <t xml:space="preserve">"biryani-dum-layer-carrot"</t>
  </si>
  <si>
    <t xml:space="preserve">"2017-05-23 07:02:34.225997"</t>
  </si>
  <si>
    <t xml:space="preserve">"2017-05-23 07:02:34.226038"</t>
  </si>
  <si>
    <t xml:space="preserve">"2350"</t>
  </si>
  <si>
    <t xml:space="preserve">"Green Peas"</t>
  </si>
  <si>
    <t xml:space="preserve">"biryani-dum-layer-green-peas"</t>
  </si>
  <si>
    <t xml:space="preserve">"2017-05-23 07:02:34.369578"</t>
  </si>
  <si>
    <t xml:space="preserve">"2017-05-23 07:02:34.369632"</t>
  </si>
  <si>
    <t xml:space="preserve">"2351"</t>
  </si>
  <si>
    <t xml:space="preserve">"Potato"</t>
  </si>
  <si>
    <t xml:space="preserve">"biryani-dum-layer-alu"</t>
  </si>
  <si>
    <t xml:space="preserve">"2017-05-23 07:02:34.502832"</t>
  </si>
  <si>
    <t xml:space="preserve">"2017-05-23 07:02:34.502875"</t>
  </si>
  <si>
    <t xml:space="preserve">"2352"</t>
  </si>
  <si>
    <t xml:space="preserve">"Simla"</t>
  </si>
  <si>
    <t xml:space="preserve">"biryani-dum-layer-capsicum"</t>
  </si>
  <si>
    <t xml:space="preserve">"2017-05-23 07:02:34.635644"</t>
  </si>
  <si>
    <t xml:space="preserve">"2017-05-23 07:02:34.635691"</t>
  </si>
  <si>
    <t xml:space="preserve">"2353"</t>
  </si>
  <si>
    <t xml:space="preserve">"Mawa"</t>
  </si>
  <si>
    <t xml:space="preserve">"biryani-dum-layer-mawa"</t>
  </si>
  <si>
    <t xml:space="preserve">"2017-05-23 07:02:34.736807"</t>
  </si>
  <si>
    <t xml:space="preserve">"2017-05-23 07:02:34.736846"</t>
  </si>
  <si>
    <t xml:space="preserve">"142"</t>
  </si>
  <si>
    <t xml:space="preserve">"2354"</t>
  </si>
  <si>
    <t xml:space="preserve">"Amul Butter"</t>
  </si>
  <si>
    <t xml:space="preserve">"biryani-dum-layer-amul-butter"</t>
  </si>
  <si>
    <t xml:space="preserve">"2017-05-23 07:02:34.891445"</t>
  </si>
  <si>
    <t xml:space="preserve">"2017-05-23 07:02:34.891489"</t>
  </si>
  <si>
    <t xml:space="preserve">"2355"</t>
  </si>
  <si>
    <t xml:space="preserve">"Amul Fresh Cream"</t>
  </si>
  <si>
    <t xml:space="preserve">"biryani-dum-layer-amul-fresh-cream"</t>
  </si>
  <si>
    <t xml:space="preserve">"2017-05-23 07:02:35.031470"</t>
  </si>
  <si>
    <t xml:space="preserve">"2017-05-23 07:02:35.031509"</t>
  </si>
  <si>
    <t xml:space="preserve">"2356"</t>
  </si>
  <si>
    <t xml:space="preserve">"Curd"</t>
  </si>
  <si>
    <t xml:space="preserve">"biryani-dum-layer-dahi"</t>
  </si>
  <si>
    <t xml:space="preserve">"2017-05-23 07:02:35.199630"</t>
  </si>
  <si>
    <t xml:space="preserve">"2017-05-23 07:02:35.199671"</t>
  </si>
  <si>
    <t xml:space="preserve">"2357"</t>
  </si>
  <si>
    <t xml:space="preserve">"biryani-dum-layer-mawa-2353"</t>
  </si>
  <si>
    <t xml:space="preserve">"2017-05-23 07:02:35.363995"</t>
  </si>
  <si>
    <t xml:space="preserve">"2017-05-23 07:02:35.364051"</t>
  </si>
  <si>
    <t xml:space="preserve">"2358"</t>
  </si>
  <si>
    <t xml:space="preserve">"biryani-dum-layer-amul-butter-2354"</t>
  </si>
  <si>
    <t xml:space="preserve">"2017-05-23 07:04:11.901414"</t>
  </si>
  <si>
    <t xml:space="preserve">"2017-05-23 07:04:11.901450"</t>
  </si>
  <si>
    <t xml:space="preserve">"2359"</t>
  </si>
  <si>
    <t xml:space="preserve">"biryani-dum-layer-amul-fresh-cream-2355"</t>
  </si>
  <si>
    <t xml:space="preserve">"2017-05-23 07:04:12.362840"</t>
  </si>
  <si>
    <t xml:space="preserve">"2017-05-23 07:04:12.362885"</t>
  </si>
  <si>
    <t xml:space="preserve">"2360"</t>
  </si>
  <si>
    <t xml:space="preserve">"Chedder cheese"</t>
  </si>
  <si>
    <t xml:space="preserve">"biryani-dum-layer-chedder-cheese"</t>
  </si>
  <si>
    <t xml:space="preserve">"2017-05-23 07:04:12.514069"</t>
  </si>
  <si>
    <t xml:space="preserve">"2017-05-23 07:04:12.514173"</t>
  </si>
  <si>
    <t xml:space="preserve">"49"</t>
  </si>
  <si>
    <t xml:space="preserve">"2361"</t>
  </si>
  <si>
    <t xml:space="preserve">"biryani-dum-layer-dahi-2356"</t>
  </si>
  <si>
    <t xml:space="preserve">"2017-05-23 07:04:12.651168"</t>
  </si>
  <si>
    <t xml:space="preserve">"2017-05-23 07:04:12.651213"</t>
  </si>
  <si>
    <t xml:space="preserve">"2362"</t>
  </si>
  <si>
    <t xml:space="preserve">"mix-veg-poha-gajar"</t>
  </si>
  <si>
    <t xml:space="preserve">"2017-05-23 07:04:12.793626"</t>
  </si>
  <si>
    <t xml:space="preserve">"2017-05-23 07:04:12.793662"</t>
  </si>
  <si>
    <t xml:space="preserve">"2363"</t>
  </si>
  <si>
    <t xml:space="preserve">"beans( optional when rate is low)"</t>
  </si>
  <si>
    <t xml:space="preserve">"mix-veg-poha-beans"</t>
  </si>
  <si>
    <t xml:space="preserve">"2017-05-23 07:04:12.975763"</t>
  </si>
  <si>
    <t xml:space="preserve">"2017-05-23 07:04:12.975800"</t>
  </si>
  <si>
    <t xml:space="preserve">"2364"</t>
  </si>
  <si>
    <t xml:space="preserve">"mix-veg-poha-green-peas"</t>
  </si>
  <si>
    <t xml:space="preserve">"2017-05-23 07:04:13.101674"</t>
  </si>
  <si>
    <t xml:space="preserve">"2017-05-23 07:04:13.101714"</t>
  </si>
  <si>
    <t xml:space="preserve">"2365"</t>
  </si>
  <si>
    <t xml:space="preserve">"mix-veg-poha-alu"</t>
  </si>
  <si>
    <t xml:space="preserve">"2017-05-23 07:04:13.250810"</t>
  </si>
  <si>
    <t xml:space="preserve">"2017-05-23 07:04:13.250853"</t>
  </si>
  <si>
    <t xml:space="preserve">"2366"</t>
  </si>
  <si>
    <t xml:space="preserve">"green chilly"</t>
  </si>
  <si>
    <t xml:space="preserve">"mix-veg-poha-hari-mirchi"</t>
  </si>
  <si>
    <t xml:space="preserve">"2017-05-23 07:04:13.393021"</t>
  </si>
  <si>
    <t xml:space="preserve">"2017-05-23 07:04:13.393057"</t>
  </si>
  <si>
    <t xml:space="preserve">"2367"</t>
  </si>
  <si>
    <t xml:space="preserve">"mix-veg-poha-dhaniya-patta"</t>
  </si>
  <si>
    <t xml:space="preserve">"2017-05-23 07:04:13.533026"</t>
  </si>
  <si>
    <t xml:space="preserve">"2017-05-23 07:04:13.533064"</t>
  </si>
  <si>
    <t xml:space="preserve">"2368"</t>
  </si>
  <si>
    <t xml:space="preserve">"ginger"</t>
  </si>
  <si>
    <t xml:space="preserve">"mix-veg-poha-adrak"</t>
  </si>
  <si>
    <t xml:space="preserve">"2017-05-23 07:04:13.684094"</t>
  </si>
  <si>
    <t xml:space="preserve">"2017-05-23 07:04:13.684141"</t>
  </si>
  <si>
    <t xml:space="preserve">"2369"</t>
  </si>
  <si>
    <t xml:space="preserve">"kadipatta"</t>
  </si>
  <si>
    <t xml:space="preserve">"mix-veg-poha-kadi-patta"</t>
  </si>
  <si>
    <t xml:space="preserve">"2017-05-23 07:04:13.853921"</t>
  </si>
  <si>
    <t xml:space="preserve">"2017-05-23 07:04:13.853972"</t>
  </si>
  <si>
    <t xml:space="preserve">"2370"</t>
  </si>
  <si>
    <t xml:space="preserve">"Jada Poha"</t>
  </si>
  <si>
    <t xml:space="preserve">"mix-veg-poha-jada-poha"</t>
  </si>
  <si>
    <t xml:space="preserve">"2017-05-23 07:04:13.986568"</t>
  </si>
  <si>
    <t xml:space="preserve">"2017-05-23 07:04:13.986629"</t>
  </si>
  <si>
    <t xml:space="preserve">"2371"</t>
  </si>
  <si>
    <t xml:space="preserve">"oil(groundnut)"</t>
  </si>
  <si>
    <t xml:space="preserve">"mix-veg-poha-gound-nut-oil"</t>
  </si>
  <si>
    <t xml:space="preserve">"2017-05-23 07:04:14.131248"</t>
  </si>
  <si>
    <t xml:space="preserve">"2017-05-23 07:04:14.131303"</t>
  </si>
  <si>
    <t xml:space="preserve">"2372"</t>
  </si>
  <si>
    <t xml:space="preserve">"mix-veg-poha-rai"</t>
  </si>
  <si>
    <t xml:space="preserve">"2017-05-23 07:04:14.275077"</t>
  </si>
  <si>
    <t xml:space="preserve">"2017-05-23 07:04:14.275134"</t>
  </si>
  <si>
    <t xml:space="preserve">"2373"</t>
  </si>
  <si>
    <t xml:space="preserve">"mix-veg-poha-jeera"</t>
  </si>
  <si>
    <t xml:space="preserve">"2017-05-23 07:04:14.419039"</t>
  </si>
  <si>
    <t xml:space="preserve">"2017-05-23 07:04:14.419086"</t>
  </si>
  <si>
    <t xml:space="preserve">"2374"</t>
  </si>
  <si>
    <t xml:space="preserve">"akkha singdana"</t>
  </si>
  <si>
    <t xml:space="preserve">"mix-veg-poha-singdana"</t>
  </si>
  <si>
    <t xml:space="preserve">"2017-05-23 07:04:14.551825"</t>
  </si>
  <si>
    <t xml:space="preserve">"2017-05-23 07:04:14.551864"</t>
  </si>
  <si>
    <t xml:space="preserve">"2375"</t>
  </si>
  <si>
    <t xml:space="preserve">"haldi"</t>
  </si>
  <si>
    <t xml:space="preserve">"mix-veg-poha-haldi"</t>
  </si>
  <si>
    <t xml:space="preserve">"2017-05-23 07:04:14.674655"</t>
  </si>
  <si>
    <t xml:space="preserve">"2017-05-23 07:04:14.674705"</t>
  </si>
  <si>
    <t xml:space="preserve">"2376"</t>
  </si>
  <si>
    <t xml:space="preserve">"madrasi chili powder"</t>
  </si>
  <si>
    <t xml:space="preserve">"mix-veg-poha-madrasi-mirchi-powder"</t>
  </si>
  <si>
    <t xml:space="preserve">"2017-05-23 07:04:14.837201"</t>
  </si>
  <si>
    <t xml:space="preserve">"2017-05-23 07:04:14.837243"</t>
  </si>
  <si>
    <t xml:space="preserve">"2377"</t>
  </si>
  <si>
    <t xml:space="preserve">"hing"</t>
  </si>
  <si>
    <t xml:space="preserve">"mix-veg-poha-hing"</t>
  </si>
  <si>
    <t xml:space="preserve">"2017-05-23 07:04:14.962682"</t>
  </si>
  <si>
    <t xml:space="preserve">"2017-05-23 07:04:14.962750"</t>
  </si>
  <si>
    <t xml:space="preserve">"2378"</t>
  </si>
  <si>
    <t xml:space="preserve">"mix-veg-poha-salt"</t>
  </si>
  <si>
    <t xml:space="preserve">"2017-05-23 07:04:15.099943"</t>
  </si>
  <si>
    <t xml:space="preserve">"2017-05-23 07:04:15.099983"</t>
  </si>
  <si>
    <t xml:space="preserve">"2379"</t>
  </si>
  <si>
    <t xml:space="preserve">"upma-gajar"</t>
  </si>
  <si>
    <t xml:space="preserve">"2017-05-23 07:04:15.230806"</t>
  </si>
  <si>
    <t xml:space="preserve">"2017-05-23 07:04:15.230844"</t>
  </si>
  <si>
    <t xml:space="preserve">"2380"</t>
  </si>
  <si>
    <t xml:space="preserve">"upma-beans"</t>
  </si>
  <si>
    <t xml:space="preserve">"2017-05-23 07:04:15.355575"</t>
  </si>
  <si>
    <t xml:space="preserve">"2017-05-23 07:04:15.355611"</t>
  </si>
  <si>
    <t xml:space="preserve">"2381"</t>
  </si>
  <si>
    <t xml:space="preserve">"upma-green-peas"</t>
  </si>
  <si>
    <t xml:space="preserve">"2017-05-23 07:04:15.505294"</t>
  </si>
  <si>
    <t xml:space="preserve">"2017-05-23 07:04:15.505392"</t>
  </si>
  <si>
    <t xml:space="preserve">"2382"</t>
  </si>
  <si>
    <t xml:space="preserve">"upma-hari-mirchi"</t>
  </si>
  <si>
    <t xml:space="preserve">"2017-05-23 07:04:15.654613"</t>
  </si>
  <si>
    <t xml:space="preserve">"2017-05-23 07:04:15.654651"</t>
  </si>
  <si>
    <t xml:space="preserve">"2383"</t>
  </si>
  <si>
    <t xml:space="preserve">"upma-dhaniya-patta"</t>
  </si>
  <si>
    <t xml:space="preserve">"2017-05-23 07:04:15.802814"</t>
  </si>
  <si>
    <t xml:space="preserve">"2017-05-23 07:04:15.802880"</t>
  </si>
  <si>
    <t xml:space="preserve">"2384"</t>
  </si>
  <si>
    <t xml:space="preserve">"upma-adrak"</t>
  </si>
  <si>
    <t xml:space="preserve">"2017-05-23 07:04:15.970864"</t>
  </si>
  <si>
    <t xml:space="preserve">"2017-05-23 07:04:15.970930"</t>
  </si>
  <si>
    <t xml:space="preserve">"2385"</t>
  </si>
  <si>
    <t xml:space="preserve">"upma-kadi-patta"</t>
  </si>
  <si>
    <t xml:space="preserve">"2017-05-23 07:04:16.112709"</t>
  </si>
  <si>
    <t xml:space="preserve">"2017-05-23 07:04:16.112753"</t>
  </si>
  <si>
    <t xml:space="preserve">"2386"</t>
  </si>
  <si>
    <t xml:space="preserve">"hot water"</t>
  </si>
  <si>
    <t xml:space="preserve">"upma-hot-water"</t>
  </si>
  <si>
    <t xml:space="preserve">"2017-05-23 07:04:16.261522"</t>
  </si>
  <si>
    <t xml:space="preserve">"2017-05-23 07:04:16.261563"</t>
  </si>
  <si>
    <t xml:space="preserve">"2387"</t>
  </si>
  <si>
    <t xml:space="preserve">"Upma"</t>
  </si>
  <si>
    <t xml:space="preserve">"upma-upma"</t>
  </si>
  <si>
    <t xml:space="preserve">"2017-05-23 07:04:16.408957"</t>
  </si>
  <si>
    <t xml:space="preserve">"2017-05-23 07:04:16.409019"</t>
  </si>
  <si>
    <t xml:space="preserve">"199"</t>
  </si>
  <si>
    <t xml:space="preserve">"2388"</t>
  </si>
  <si>
    <t xml:space="preserve">"upma-gound-nut-oil"</t>
  </si>
  <si>
    <t xml:space="preserve">"2017-05-23 07:04:16.545297"</t>
  </si>
  <si>
    <t xml:space="preserve">"2017-05-23 07:04:16.545344"</t>
  </si>
  <si>
    <t xml:space="preserve">"2389"</t>
  </si>
  <si>
    <t xml:space="preserve">"upma-rai"</t>
  </si>
  <si>
    <t xml:space="preserve">"2017-05-23 07:04:16.687264"</t>
  </si>
  <si>
    <t xml:space="preserve">"2017-05-23 07:04:16.687303"</t>
  </si>
  <si>
    <t xml:space="preserve">"2390"</t>
  </si>
  <si>
    <t xml:space="preserve">"chana dal"</t>
  </si>
  <si>
    <t xml:space="preserve">"upma-chana-dal"</t>
  </si>
  <si>
    <t xml:space="preserve">"2017-05-23 07:04:16.881774"</t>
  </si>
  <si>
    <t xml:space="preserve">"2017-05-23 07:04:16.881834"</t>
  </si>
  <si>
    <t xml:space="preserve">"2391"</t>
  </si>
  <si>
    <t xml:space="preserve">"urad dal"</t>
  </si>
  <si>
    <t xml:space="preserve">"upma-urad-dal"</t>
  </si>
  <si>
    <t xml:space="preserve">"2017-05-23 07:04:17.018277"</t>
  </si>
  <si>
    <t xml:space="preserve">"2017-05-23 07:04:17.018323"</t>
  </si>
  <si>
    <t xml:space="preserve">"2392"</t>
  </si>
  <si>
    <t xml:space="preserve">"upma-haldi"</t>
  </si>
  <si>
    <t xml:space="preserve">"2017-05-23 07:04:17.130715"</t>
  </si>
  <si>
    <t xml:space="preserve">"2017-05-23 07:04:17.130782"</t>
  </si>
  <si>
    <t xml:space="preserve">"2393"</t>
  </si>
  <si>
    <t xml:space="preserve">"kashmiri chili powder"</t>
  </si>
  <si>
    <t xml:space="preserve">"upma-kashmiri-chilly-powder"</t>
  </si>
  <si>
    <t xml:space="preserve">"2017-05-23 07:04:17.276763"</t>
  </si>
  <si>
    <t xml:space="preserve">"2017-05-23 07:04:17.276810"</t>
  </si>
  <si>
    <t xml:space="preserve">"2394"</t>
  </si>
  <si>
    <t xml:space="preserve">"upma-hing"</t>
  </si>
  <si>
    <t xml:space="preserve">"2017-05-23 07:04:17.416664"</t>
  </si>
  <si>
    <t xml:space="preserve">"2017-05-23 07:04:17.416703"</t>
  </si>
  <si>
    <t xml:space="preserve">"2395"</t>
  </si>
  <si>
    <t xml:space="preserve">"upma-salt"</t>
  </si>
  <si>
    <t xml:space="preserve">"2017-05-23 07:04:17.549144"</t>
  </si>
  <si>
    <t xml:space="preserve">"2017-05-23 07:04:17.549185"</t>
  </si>
  <si>
    <t xml:space="preserve">"2396"</t>
  </si>
  <si>
    <t xml:space="preserve">"gajar"</t>
  </si>
  <si>
    <t xml:space="preserve">"vermicllly-gajar"</t>
  </si>
  <si>
    <t xml:space="preserve">"2017-05-23 07:04:17.686883"</t>
  </si>
  <si>
    <t xml:space="preserve">"2017-05-23 07:04:17.686918"</t>
  </si>
  <si>
    <t xml:space="preserve">"2397"</t>
  </si>
  <si>
    <t xml:space="preserve">"vermicllly-beans"</t>
  </si>
  <si>
    <t xml:space="preserve">"2017-05-23 07:04:17.815331"</t>
  </si>
  <si>
    <t xml:space="preserve">"2017-05-23 07:04:17.815400"</t>
  </si>
  <si>
    <t xml:space="preserve">"2398"</t>
  </si>
  <si>
    <t xml:space="preserve">"vermicllly-green-peas"</t>
  </si>
  <si>
    <t xml:space="preserve">"2017-05-23 07:04:17.958608"</t>
  </si>
  <si>
    <t xml:space="preserve">"2017-05-23 07:04:17.958649"</t>
  </si>
  <si>
    <t xml:space="preserve">"2399"</t>
  </si>
  <si>
    <t xml:space="preserve">"vermicllly-hari-mirchi"</t>
  </si>
  <si>
    <t xml:space="preserve">"2017-05-23 07:04:18.098454"</t>
  </si>
  <si>
    <t xml:space="preserve">"2017-05-23 07:04:18.098497"</t>
  </si>
  <si>
    <t xml:space="preserve">"2400"</t>
  </si>
  <si>
    <t xml:space="preserve">"vermicllly-dhaniya-patta"</t>
  </si>
  <si>
    <t xml:space="preserve">"2017-05-23 07:04:18.235312"</t>
  </si>
  <si>
    <t xml:space="preserve">"2017-05-23 07:04:18.235356"</t>
  </si>
  <si>
    <t xml:space="preserve">"2401"</t>
  </si>
  <si>
    <t xml:space="preserve">"vermicllly-adrak"</t>
  </si>
  <si>
    <t xml:space="preserve">"2017-05-23 07:04:18.401860"</t>
  </si>
  <si>
    <t xml:space="preserve">"2017-05-23 07:04:18.401901"</t>
  </si>
  <si>
    <t xml:space="preserve">"2402"</t>
  </si>
  <si>
    <t xml:space="preserve">"vermicllly-kadi-patta"</t>
  </si>
  <si>
    <t xml:space="preserve">"2017-05-23 07:04:18.540734"</t>
  </si>
  <si>
    <t xml:space="preserve">"2017-05-23 07:04:18.540775"</t>
  </si>
  <si>
    <t xml:space="preserve">"2403"</t>
  </si>
  <si>
    <t xml:space="preserve">"vermicllly-hot-water"</t>
  </si>
  <si>
    <t xml:space="preserve">"2017-05-23 07:04:18.674905"</t>
  </si>
  <si>
    <t xml:space="preserve">"2017-05-23 07:04:18.674980"</t>
  </si>
  <si>
    <t xml:space="preserve">"2404"</t>
  </si>
  <si>
    <t xml:space="preserve">"Vermicilly"</t>
  </si>
  <si>
    <t xml:space="preserve">"vermicllly-vermicilly"</t>
  </si>
  <si>
    <t xml:space="preserve">"2017-05-23 07:04:18.808359"</t>
  </si>
  <si>
    <t xml:space="preserve">"2017-05-23 07:04:18.808403"</t>
  </si>
  <si>
    <t xml:space="preserve">"202"</t>
  </si>
  <si>
    <t xml:space="preserve">"2405"</t>
  </si>
  <si>
    <t xml:space="preserve">"vermicllly-gound-nut-oil"</t>
  </si>
  <si>
    <t xml:space="preserve">"2017-05-23 07:04:18.950287"</t>
  </si>
  <si>
    <t xml:space="preserve">"2017-05-23 07:04:18.950323"</t>
  </si>
  <si>
    <t xml:space="preserve">"2406"</t>
  </si>
  <si>
    <t xml:space="preserve">"vermicllly-rai"</t>
  </si>
  <si>
    <t xml:space="preserve">"2017-05-23 07:04:19.102723"</t>
  </si>
  <si>
    <t xml:space="preserve">"2017-05-23 07:04:19.102762"</t>
  </si>
  <si>
    <t xml:space="preserve">"2407"</t>
  </si>
  <si>
    <t xml:space="preserve">"vermicllly-chana-dal"</t>
  </si>
  <si>
    <t xml:space="preserve">"2017-05-23 07:04:19.252759"</t>
  </si>
  <si>
    <t xml:space="preserve">"2017-05-23 07:04:19.252802"</t>
  </si>
  <si>
    <t xml:space="preserve">"2408"</t>
  </si>
  <si>
    <t xml:space="preserve">"vermicllly-urad-dal"</t>
  </si>
  <si>
    <t xml:space="preserve">"2017-05-23 07:04:19.389448"</t>
  </si>
  <si>
    <t xml:space="preserve">"2017-05-23 07:04:19.389489"</t>
  </si>
  <si>
    <t xml:space="preserve">"2409"</t>
  </si>
  <si>
    <t xml:space="preserve">"vermicllly-haldi"</t>
  </si>
  <si>
    <t xml:space="preserve">"2017-05-23 07:04:19.486239"</t>
  </si>
  <si>
    <t xml:space="preserve">"2017-05-23 07:04:19.486312"</t>
  </si>
  <si>
    <t xml:space="preserve">"2410"</t>
  </si>
  <si>
    <t xml:space="preserve">"vermicllly-kashmiri-chilly-powder"</t>
  </si>
  <si>
    <t xml:space="preserve">"2017-05-23 07:04:19.585247"</t>
  </si>
  <si>
    <t xml:space="preserve">"2017-05-23 07:04:19.585287"</t>
  </si>
  <si>
    <t xml:space="preserve">"2411"</t>
  </si>
  <si>
    <t xml:space="preserve">"vermicllly-hing"</t>
  </si>
  <si>
    <t xml:space="preserve">"2017-05-23 07:04:19.734875"</t>
  </si>
  <si>
    <t xml:space="preserve">"2017-05-23 07:04:19.734949"</t>
  </si>
  <si>
    <t xml:space="preserve">"2412"</t>
  </si>
  <si>
    <t xml:space="preserve">"pav bhaji masala"</t>
  </si>
  <si>
    <t xml:space="preserve">"vermicllly-pav-bhaji-masala"</t>
  </si>
  <si>
    <t xml:space="preserve">"2017-05-23 07:04:19.874913"</t>
  </si>
  <si>
    <t xml:space="preserve">"2017-05-23 07:04:19.874964"</t>
  </si>
  <si>
    <t xml:space="preserve">"160"</t>
  </si>
  <si>
    <t xml:space="preserve">"2413"</t>
  </si>
  <si>
    <t xml:space="preserve">"vermicllly-salt"</t>
  </si>
  <si>
    <t xml:space="preserve">"2017-05-23 07:04:20.023355"</t>
  </si>
  <si>
    <t xml:space="preserve">"2017-05-23 07:04:20.023399"</t>
  </si>
  <si>
    <t xml:space="preserve">"2414"</t>
  </si>
  <si>
    <t xml:space="preserve">"coconut"</t>
  </si>
  <si>
    <t xml:space="preserve">"pongal-coconut"</t>
  </si>
  <si>
    <t xml:space="preserve">"2017-05-23 07:04:20.154864"</t>
  </si>
  <si>
    <t xml:space="preserve">"2017-05-23 07:04:20.154904"</t>
  </si>
  <si>
    <t xml:space="preserve">"2415"</t>
  </si>
  <si>
    <t xml:space="preserve">"pongal-kadi-patta"</t>
  </si>
  <si>
    <t xml:space="preserve">"2017-05-23 07:04:20.296027"</t>
  </si>
  <si>
    <t xml:space="preserve">"2017-05-23 07:04:20.296066"</t>
  </si>
  <si>
    <t xml:space="preserve">"2416"</t>
  </si>
  <si>
    <t xml:space="preserve">"Ginger"</t>
  </si>
  <si>
    <t xml:space="preserve">"pongal-adrak"</t>
  </si>
  <si>
    <t xml:space="preserve">"2017-05-23 07:04:20.444027"</t>
  </si>
  <si>
    <t xml:space="preserve">"2017-05-23 07:04:20.444065"</t>
  </si>
  <si>
    <t xml:space="preserve">"2417"</t>
  </si>
  <si>
    <t xml:space="preserve">"kchidi Rice"</t>
  </si>
  <si>
    <t xml:space="preserve">"pongal-khichadi-rice"</t>
  </si>
  <si>
    <t xml:space="preserve">"2017-05-23 07:04:20.587424"</t>
  </si>
  <si>
    <t xml:space="preserve">"2017-05-23 07:04:20.587472"</t>
  </si>
  <si>
    <t xml:space="preserve">"2418"</t>
  </si>
  <si>
    <t xml:space="preserve">"moong Daal"</t>
  </si>
  <si>
    <t xml:space="preserve">"pongal-moong-dal"</t>
  </si>
  <si>
    <t xml:space="preserve">"2017-05-23 07:04:20.733239"</t>
  </si>
  <si>
    <t xml:space="preserve">"2017-05-23 07:04:20.733278"</t>
  </si>
  <si>
    <t xml:space="preserve">"2419"</t>
  </si>
  <si>
    <t xml:space="preserve">"pongal-ghee"</t>
  </si>
  <si>
    <t xml:space="preserve">"2017-05-23 07:04:20.877123"</t>
  </si>
  <si>
    <t xml:space="preserve">"2017-05-23 07:04:20.877161"</t>
  </si>
  <si>
    <t xml:space="preserve">"2420"</t>
  </si>
  <si>
    <t xml:space="preserve">"pongal-gound-nut-oil"</t>
  </si>
  <si>
    <t xml:space="preserve">"2017-05-23 07:04:21.010043"</t>
  </si>
  <si>
    <t xml:space="preserve">"2017-05-23 07:04:21.010093"</t>
  </si>
  <si>
    <t xml:space="preserve">"2421"</t>
  </si>
  <si>
    <t xml:space="preserve">"jeera"</t>
  </si>
  <si>
    <t xml:space="preserve">"pongal-jeera"</t>
  </si>
  <si>
    <t xml:space="preserve">"2017-05-23 07:04:21.173834"</t>
  </si>
  <si>
    <t xml:space="preserve">"2017-05-23 07:04:21.173874"</t>
  </si>
  <si>
    <t xml:space="preserve">"2422"</t>
  </si>
  <si>
    <t xml:space="preserve">"pongal-hing"</t>
  </si>
  <si>
    <t xml:space="preserve">"2017-05-23 07:04:21.319500"</t>
  </si>
  <si>
    <t xml:space="preserve">"2017-05-23 07:04:21.319541"</t>
  </si>
  <si>
    <t xml:space="preserve">"2423"</t>
  </si>
  <si>
    <t xml:space="preserve">"kaju"</t>
  </si>
  <si>
    <t xml:space="preserve">"pongal-kaju"</t>
  </si>
  <si>
    <t xml:space="preserve">"2017-05-23 07:04:21.463758"</t>
  </si>
  <si>
    <t xml:space="preserve">"2017-05-23 07:04:21.463800"</t>
  </si>
  <si>
    <t xml:space="preserve">"2424"</t>
  </si>
  <si>
    <t xml:space="preserve">"black pepper akkha"</t>
  </si>
  <si>
    <t xml:space="preserve">"pongal-black-pepper"</t>
  </si>
  <si>
    <t xml:space="preserve">"2017-05-23 07:04:21.607785"</t>
  </si>
  <si>
    <t xml:space="preserve">"2017-05-23 07:04:21.607863"</t>
  </si>
  <si>
    <t xml:space="preserve">"2425"</t>
  </si>
  <si>
    <t xml:space="preserve">"pongal-salt"</t>
  </si>
  <si>
    <t xml:space="preserve">"2017-05-23 07:04:21.752673"</t>
  </si>
  <si>
    <t xml:space="preserve">"2017-05-23 07:04:21.752723"</t>
  </si>
  <si>
    <t xml:space="preserve">"2426"</t>
  </si>
  <si>
    <t xml:space="preserve">"udapi-poha-coconut"</t>
  </si>
  <si>
    <t xml:space="preserve">"2017-05-23 07:04:21.884905"</t>
  </si>
  <si>
    <t xml:space="preserve">"2017-05-23 07:04:21.884949"</t>
  </si>
  <si>
    <t xml:space="preserve">"2427"</t>
  </si>
  <si>
    <t xml:space="preserve">"banana(elaichi)"</t>
  </si>
  <si>
    <t xml:space="preserve">"udapi-poha-banana"</t>
  </si>
  <si>
    <t xml:space="preserve">"2017-05-23 07:04:22.029771"</t>
  </si>
  <si>
    <t xml:space="preserve">"2017-05-23 07:04:22.029811"</t>
  </si>
  <si>
    <t xml:space="preserve">"2428"</t>
  </si>
  <si>
    <t xml:space="preserve">"Patala Poha"</t>
  </si>
  <si>
    <t xml:space="preserve">"udapi-poha-patala-poha"</t>
  </si>
  <si>
    <t xml:space="preserve">"2017-05-23 07:04:22.195805"</t>
  </si>
  <si>
    <t xml:space="preserve">"2017-05-23 07:04:22.195856"</t>
  </si>
  <si>
    <t xml:space="preserve">"157"</t>
  </si>
  <si>
    <t xml:space="preserve">"2429"</t>
  </si>
  <si>
    <t xml:space="preserve">"black til"</t>
  </si>
  <si>
    <t xml:space="preserve">"udapi-poha-black-til"</t>
  </si>
  <si>
    <t xml:space="preserve">"2017-05-23 07:04:22.360913"</t>
  </si>
  <si>
    <t xml:space="preserve">"2017-05-23 07:04:22.360965"</t>
  </si>
  <si>
    <t xml:space="preserve">"melt gud in hot"</t>
  </si>
  <si>
    <t xml:space="preserve">"2430"</t>
  </si>
  <si>
    <t xml:space="preserve">"white til"</t>
  </si>
  <si>
    <t xml:space="preserve">"udapi-poha-white-til"</t>
  </si>
  <si>
    <t xml:space="preserve">"2017-05-23 07:04:22.523954"</t>
  </si>
  <si>
    <t xml:space="preserve">"2017-05-23 07:04:22.523998"</t>
  </si>
  <si>
    <t xml:space="preserve">"ghee,add coconut,"</t>
  </si>
  <si>
    <t xml:space="preserve">"2431"</t>
  </si>
  <si>
    <t xml:space="preserve">"ghee"</t>
  </si>
  <si>
    <t xml:space="preserve">"udapi-poha-ghee"</t>
  </si>
  <si>
    <t xml:space="preserve">"2017-05-23 07:04:22.655715"</t>
  </si>
  <si>
    <t xml:space="preserve">"2017-05-23 07:04:22.655754"</t>
  </si>
  <si>
    <t xml:space="preserve">"poha,til,honey,elichi"</t>
  </si>
  <si>
    <t xml:space="preserve">"2432"</t>
  </si>
  <si>
    <t xml:space="preserve">"jaggary"</t>
  </si>
  <si>
    <t xml:space="preserve">"udapi-poha-gud"</t>
  </si>
  <si>
    <t xml:space="preserve">"2017-05-23 07:04:22.802420"</t>
  </si>
  <si>
    <t xml:space="preserve">"2017-05-23 07:04:22.802477"</t>
  </si>
  <si>
    <t xml:space="preserve">"powdre.add banana"</t>
  </si>
  <si>
    <t xml:space="preserve">"2433"</t>
  </si>
  <si>
    <t xml:space="preserve">"honey"</t>
  </si>
  <si>
    <t xml:space="preserve">"udapi-poha-honey"</t>
  </si>
  <si>
    <t xml:space="preserve">"2017-05-23 07:04:22.932304"</t>
  </si>
  <si>
    <t xml:space="preserve">"2017-05-23 07:04:22.932342"</t>
  </si>
  <si>
    <t xml:space="preserve">"at end.(roast til"</t>
  </si>
  <si>
    <t xml:space="preserve">"2434"</t>
  </si>
  <si>
    <t xml:space="preserve">"elaichi powder"</t>
  </si>
  <si>
    <t xml:space="preserve">"udapi-poha-elaichi-powder"</t>
  </si>
  <si>
    <t xml:space="preserve">"2017-05-23 07:04:23.063145"</t>
  </si>
  <si>
    <t xml:space="preserve">"2017-05-23 07:04:23.063185"</t>
  </si>
  <si>
    <t xml:space="preserve">"before adding)"</t>
  </si>
  <si>
    <t xml:space="preserve">"2435"</t>
  </si>
  <si>
    <t xml:space="preserve">"lapsi-gajar"</t>
  </si>
  <si>
    <t xml:space="preserve">"2017-05-23 07:04:23.205728"</t>
  </si>
  <si>
    <t xml:space="preserve">"2017-05-23 07:04:23.205772"</t>
  </si>
  <si>
    <t xml:space="preserve">"41"</t>
  </si>
  <si>
    <t xml:space="preserve">"2436"</t>
  </si>
  <si>
    <t xml:space="preserve">"lapsi-beans"</t>
  </si>
  <si>
    <t xml:space="preserve">"2017-05-23 07:04:23.328496"</t>
  </si>
  <si>
    <t xml:space="preserve">"2017-05-23 07:04:23.328533"</t>
  </si>
  <si>
    <t xml:space="preserve">"2437"</t>
  </si>
  <si>
    <t xml:space="preserve">"lapsi-green-peas"</t>
  </si>
  <si>
    <t xml:space="preserve">"2017-05-23 07:04:23.444819"</t>
  </si>
  <si>
    <t xml:space="preserve">"2017-05-23 07:04:23.444883"</t>
  </si>
  <si>
    <t xml:space="preserve">"2438"</t>
  </si>
  <si>
    <t xml:space="preserve">"lapsi-alu"</t>
  </si>
  <si>
    <t xml:space="preserve">"2017-05-23 07:04:23.610369"</t>
  </si>
  <si>
    <t xml:space="preserve">"2017-05-23 07:04:23.610407"</t>
  </si>
  <si>
    <t xml:space="preserve">"2439"</t>
  </si>
  <si>
    <t xml:space="preserve">"lapsi-tomato"</t>
  </si>
  <si>
    <t xml:space="preserve">"2017-05-23 07:04:23.751007"</t>
  </si>
  <si>
    <t xml:space="preserve">"2017-05-23 07:04:23.751045"</t>
  </si>
  <si>
    <t xml:space="preserve">"2440"</t>
  </si>
  <si>
    <t xml:space="preserve">"lapsi-hari-mirchi"</t>
  </si>
  <si>
    <t xml:space="preserve">"2017-05-23 07:04:23.893462"</t>
  </si>
  <si>
    <t xml:space="preserve">"2017-05-23 07:04:23.893534"</t>
  </si>
  <si>
    <t xml:space="preserve">"2441"</t>
  </si>
  <si>
    <t xml:space="preserve">"lapsi-dhaniya-patta"</t>
  </si>
  <si>
    <t xml:space="preserve">"2017-05-23 07:04:24.054831"</t>
  </si>
  <si>
    <t xml:space="preserve">"2017-05-23 07:04:24.054891"</t>
  </si>
  <si>
    <t xml:space="preserve">"2442"</t>
  </si>
  <si>
    <t xml:space="preserve">"lapsi-adrak"</t>
  </si>
  <si>
    <t xml:space="preserve">"2017-05-23 07:04:24.212611"</t>
  </si>
  <si>
    <t xml:space="preserve">"2017-05-23 07:04:24.212694"</t>
  </si>
  <si>
    <t xml:space="preserve">"2443"</t>
  </si>
  <si>
    <t xml:space="preserve">"lapsi-kadi-patta"</t>
  </si>
  <si>
    <t xml:space="preserve">"2017-05-23 07:04:24.360427"</t>
  </si>
  <si>
    <t xml:space="preserve">"2017-05-23 07:04:24.360465"</t>
  </si>
  <si>
    <t xml:space="preserve">"2444"</t>
  </si>
  <si>
    <t xml:space="preserve">"lapsi-hot-water"</t>
  </si>
  <si>
    <t xml:space="preserve">"2017-05-23 07:04:24.504076"</t>
  </si>
  <si>
    <t xml:space="preserve">"2017-05-23 07:04:24.504117"</t>
  </si>
  <si>
    <t xml:space="preserve">"2445"</t>
  </si>
  <si>
    <t xml:space="preserve">"Lapsi"</t>
  </si>
  <si>
    <t xml:space="preserve">"lapsi-lapsi"</t>
  </si>
  <si>
    <t xml:space="preserve">"2017-05-23 07:04:24.642398"</t>
  </si>
  <si>
    <t xml:space="preserve">"2017-05-23 07:04:24.642435"</t>
  </si>
  <si>
    <t xml:space="preserve">"127"</t>
  </si>
  <si>
    <t xml:space="preserve">"2446"</t>
  </si>
  <si>
    <t xml:space="preserve">"lapsi-gound-nut-oil"</t>
  </si>
  <si>
    <t xml:space="preserve">"2017-05-23 07:04:24.803602"</t>
  </si>
  <si>
    <t xml:space="preserve">"2017-05-23 07:04:24.803641"</t>
  </si>
  <si>
    <t xml:space="preserve">"2447"</t>
  </si>
  <si>
    <t xml:space="preserve">"lapsi-rai"</t>
  </si>
  <si>
    <t xml:space="preserve">"2017-05-23 07:04:24.947036"</t>
  </si>
  <si>
    <t xml:space="preserve">"2017-05-23 07:04:24.947086"</t>
  </si>
  <si>
    <t xml:space="preserve">"2448"</t>
  </si>
  <si>
    <t xml:space="preserve">"lapsi-jeera"</t>
  </si>
  <si>
    <t xml:space="preserve">"2017-05-23 07:04:25.095490"</t>
  </si>
  <si>
    <t xml:space="preserve">"2017-05-23 07:04:25.095527"</t>
  </si>
  <si>
    <t xml:space="preserve">"2449"</t>
  </si>
  <si>
    <t xml:space="preserve">"badsah pulav masala"</t>
  </si>
  <si>
    <t xml:space="preserve">"lapsi-badsah-pulav-masala"</t>
  </si>
  <si>
    <t xml:space="preserve">"2017-05-23 07:04:25.236146"</t>
  </si>
  <si>
    <t xml:space="preserve">"2017-05-23 07:04:25.236188"</t>
  </si>
  <si>
    <t xml:space="preserve">"2450"</t>
  </si>
  <si>
    <t xml:space="preserve">"lapsi-haldi"</t>
  </si>
  <si>
    <t xml:space="preserve">"2017-05-23 07:04:25.384912"</t>
  </si>
  <si>
    <t xml:space="preserve">"2017-05-23 07:04:25.384949"</t>
  </si>
  <si>
    <t xml:space="preserve">"2451"</t>
  </si>
  <si>
    <t xml:space="preserve">"kashmiri chili powdre"</t>
  </si>
  <si>
    <t xml:space="preserve">"lapsi-kashmiri-chilly-powder"</t>
  </si>
  <si>
    <t xml:space="preserve">"2017-05-23 07:04:25.520607"</t>
  </si>
  <si>
    <t xml:space="preserve">"2017-05-23 07:04:25.520685"</t>
  </si>
  <si>
    <t xml:space="preserve">"2452"</t>
  </si>
  <si>
    <t xml:space="preserve">"madrasi chili akkha"</t>
  </si>
  <si>
    <t xml:space="preserve">"lapsi-madrasi-mirchi-akkaha"</t>
  </si>
  <si>
    <t xml:space="preserve">"2017-05-23 07:04:25.646284"</t>
  </si>
  <si>
    <t xml:space="preserve">"2017-05-23 07:04:25.646336"</t>
  </si>
  <si>
    <t xml:space="preserve">"2453"</t>
  </si>
  <si>
    <t xml:space="preserve">"lapsi-hing"</t>
  </si>
  <si>
    <t xml:space="preserve">"2017-05-23 07:04:25.779586"</t>
  </si>
  <si>
    <t xml:space="preserve">"2017-05-23 07:04:25.779628"</t>
  </si>
  <si>
    <t xml:space="preserve">"2454"</t>
  </si>
  <si>
    <t xml:space="preserve">"lapsi-salt"</t>
  </si>
  <si>
    <t xml:space="preserve">"2017-05-23 07:04:25.927890"</t>
  </si>
  <si>
    <t xml:space="preserve">"2017-05-23 07:04:25.927927"</t>
  </si>
  <si>
    <t xml:space="preserve">"2455"</t>
  </si>
  <si>
    <t xml:space="preserve">"cabbage"</t>
  </si>
  <si>
    <t xml:space="preserve">"noodles-cabbage"</t>
  </si>
  <si>
    <t xml:space="preserve">"2017-05-23 07:04:26.059359"</t>
  </si>
  <si>
    <t xml:space="preserve">"2017-05-23 07:04:26.059398"</t>
  </si>
  <si>
    <t xml:space="preserve">"6 kg cookd noodles= 1 dabba=50 people"</t>
  </si>
  <si>
    <t xml:space="preserve">"2456"</t>
  </si>
  <si>
    <t xml:space="preserve">"capcicum"</t>
  </si>
  <si>
    <t xml:space="preserve">"noodles-capsicum"</t>
  </si>
  <si>
    <t xml:space="preserve">"2017-05-23 07:04:26.201445"</t>
  </si>
  <si>
    <t xml:space="preserve">"2017-05-23 07:04:26.201483"</t>
  </si>
  <si>
    <t xml:space="preserve">"fresh tomato sauce(boil tomato,pury and roast in khadi fro 20 min)"</t>
  </si>
  <si>
    <t xml:space="preserve">"2457"</t>
  </si>
  <si>
    <t xml:space="preserve">"noodles-gajar"</t>
  </si>
  <si>
    <t xml:space="preserve">"2017-05-23 07:04:26.338400"</t>
  </si>
  <si>
    <t xml:space="preserve">"2017-05-23 07:04:26.338437"</t>
  </si>
  <si>
    <t xml:space="preserve">"add all masala,lemon juice in choke after sabji is cooked"</t>
  </si>
  <si>
    <t xml:space="preserve">"2458"</t>
  </si>
  <si>
    <t xml:space="preserve">"beans"</t>
  </si>
  <si>
    <t xml:space="preserve">"noodles-beans"</t>
  </si>
  <si>
    <t xml:space="preserve">"2017-05-23 07:04:26.467976"</t>
  </si>
  <si>
    <t xml:space="preserve">"2017-05-23 07:04:26.468015"</t>
  </si>
  <si>
    <t xml:space="preserve">"2459"</t>
  </si>
  <si>
    <t xml:space="preserve">"green chili ( chopp )"</t>
  </si>
  <si>
    <t xml:space="preserve">"noodles-hari-mirchi"</t>
  </si>
  <si>
    <t xml:space="preserve">"2017-05-23 07:04:26.611984"</t>
  </si>
  <si>
    <t xml:space="preserve">"2017-05-23 07:04:26.612026"</t>
  </si>
  <si>
    <t xml:space="preserve">"2460"</t>
  </si>
  <si>
    <t xml:space="preserve">"adrak (grate in morning)"</t>
  </si>
  <si>
    <t xml:space="preserve">"noodles-adrak"</t>
  </si>
  <si>
    <t xml:space="preserve">"2017-05-23 07:04:26.739380"</t>
  </si>
  <si>
    <t xml:space="preserve">"2017-05-23 07:04:26.739436"</t>
  </si>
  <si>
    <t xml:space="preserve">"2461"</t>
  </si>
  <si>
    <t xml:space="preserve">"lemon juice"</t>
  </si>
  <si>
    <t xml:space="preserve">"noodles-lemon"</t>
  </si>
  <si>
    <t xml:space="preserve">"2017-05-23 07:04:26.844324"</t>
  </si>
  <si>
    <t xml:space="preserve">"2017-05-23 07:04:26.844370"</t>
  </si>
  <si>
    <t xml:space="preserve">"2462"</t>
  </si>
  <si>
    <t xml:space="preserve">"tomato"</t>
  </si>
  <si>
    <t xml:space="preserve">"noodles-tomato"</t>
  </si>
  <si>
    <t xml:space="preserve">"2017-05-23 07:04:26.988151"</t>
  </si>
  <si>
    <t xml:space="preserve">"2017-05-23 07:04:26.988196"</t>
  </si>
  <si>
    <t xml:space="preserve">"2463"</t>
  </si>
  <si>
    <t xml:space="preserve">"masala for 6 kg batch"</t>
  </si>
  <si>
    <t xml:space="preserve">"noodles-masala-for-6-kg-batch"</t>
  </si>
  <si>
    <t xml:space="preserve">"2017-05-23 07:04:27.128435"</t>
  </si>
  <si>
    <t xml:space="preserve">"2017-05-23 07:04:27.128472"</t>
  </si>
  <si>
    <t xml:space="preserve">"222"</t>
  </si>
  <si>
    <t xml:space="preserve">"2464"</t>
  </si>
  <si>
    <t xml:space="preserve">"fresh tomato sauce"</t>
  </si>
  <si>
    <t xml:space="preserve">"noodles-tomato-sauce"</t>
  </si>
  <si>
    <t xml:space="preserve">"2017-05-23 07:04:27.266010"</t>
  </si>
  <si>
    <t xml:space="preserve">"2017-05-23 07:04:27.266067"</t>
  </si>
  <si>
    <t xml:space="preserve">"196"</t>
  </si>
  <si>
    <t xml:space="preserve">"2465"</t>
  </si>
  <si>
    <t xml:space="preserve">"soya sauce"</t>
  </si>
  <si>
    <t xml:space="preserve">"noodles-soya-sauce"</t>
  </si>
  <si>
    <t xml:space="preserve">"2017-05-23 07:04:27.399556"</t>
  </si>
  <si>
    <t xml:space="preserve">"2017-05-23 07:04:27.399597"</t>
  </si>
  <si>
    <t xml:space="preserve">"2466"</t>
  </si>
  <si>
    <t xml:space="preserve">"noodles"</t>
  </si>
  <si>
    <t xml:space="preserve">"noodles-noodles"</t>
  </si>
  <si>
    <t xml:space="preserve">"2017-05-23 07:04:27.550033"</t>
  </si>
  <si>
    <t xml:space="preserve">"2017-05-23 07:04:27.550071"</t>
  </si>
  <si>
    <t xml:space="preserve">"151"</t>
  </si>
  <si>
    <t xml:space="preserve">"2467"</t>
  </si>
  <si>
    <t xml:space="preserve">"ground nut oil"</t>
  </si>
  <si>
    <t xml:space="preserve">"noodles-ground-nut-oil"</t>
  </si>
  <si>
    <t xml:space="preserve">"2017-05-23 07:04:27.698993"</t>
  </si>
  <si>
    <t xml:space="preserve">"2017-05-23 07:04:27.699035"</t>
  </si>
  <si>
    <t xml:space="preserve">"2468"</t>
  </si>
  <si>
    <t xml:space="preserve">"white pepper powder"</t>
  </si>
  <si>
    <t xml:space="preserve">"noodles-white-pepper-powder"</t>
  </si>
  <si>
    <t xml:space="preserve">"2017-05-23 07:04:27.854267"</t>
  </si>
  <si>
    <t xml:space="preserve">"2017-05-23 07:04:27.854308"</t>
  </si>
  <si>
    <t xml:space="preserve">"2469"</t>
  </si>
  <si>
    <t xml:space="preserve">"noodles-salt"</t>
  </si>
  <si>
    <t xml:space="preserve">"2017-05-23 07:04:28.000317"</t>
  </si>
  <si>
    <t xml:space="preserve">"2017-05-23 07:04:28.000355"</t>
  </si>
  <si>
    <t xml:space="preserve">"2470"</t>
  </si>
  <si>
    <t xml:space="preserve">"noodles-black-pepper"</t>
  </si>
  <si>
    <t xml:space="preserve">"2017-05-23 07:04:28.149685"</t>
  </si>
  <si>
    <t xml:space="preserve">"2017-05-23 07:04:28.149728"</t>
  </si>
  <si>
    <t xml:space="preserve">"2471"</t>
  </si>
  <si>
    <t xml:space="preserve">"brown sugar"</t>
  </si>
  <si>
    <t xml:space="preserve">"noodles-brown-sugar"</t>
  </si>
  <si>
    <t xml:space="preserve">"2017-05-23 07:04:28.280155"</t>
  </si>
  <si>
    <t xml:space="preserve">"2017-05-23 07:04:28.280192"</t>
  </si>
  <si>
    <t xml:space="preserve">"2472"</t>
  </si>
  <si>
    <t xml:space="preserve">"tomato(med jali)"</t>
  </si>
  <si>
    <t xml:space="preserve">"usal-pav-tomato"</t>
  </si>
  <si>
    <t xml:space="preserve">"2017-05-23 07:04:28.421808"</t>
  </si>
  <si>
    <t xml:space="preserve">"2017-05-23 07:04:28.421846"</t>
  </si>
  <si>
    <t xml:space="preserve">"2473"</t>
  </si>
  <si>
    <t xml:space="preserve">"usal-pav-coconut"</t>
  </si>
  <si>
    <t xml:space="preserve">"2017-05-23 07:04:28.565808"</t>
  </si>
  <si>
    <t xml:space="preserve">"2017-05-23 07:04:28.565846"</t>
  </si>
  <si>
    <t xml:space="preserve">"2474"</t>
  </si>
  <si>
    <t xml:space="preserve">"lemon"</t>
  </si>
  <si>
    <t xml:space="preserve">"usal-pav-lemon"</t>
  </si>
  <si>
    <t xml:space="preserve">"2017-05-23 07:04:28.715031"</t>
  </si>
  <si>
    <t xml:space="preserve">"2017-05-23 07:04:28.715068"</t>
  </si>
  <si>
    <t xml:space="preserve">"2475"</t>
  </si>
  <si>
    <t xml:space="preserve">"oil"</t>
  </si>
  <si>
    <t xml:space="preserve">"usal-pav-gound-nut-oil"</t>
  </si>
  <si>
    <t xml:space="preserve">"2017-05-23 07:04:28.841390"</t>
  </si>
  <si>
    <t xml:space="preserve">"2017-05-23 07:04:28.841432"</t>
  </si>
  <si>
    <t xml:space="preserve">"2476"</t>
  </si>
  <si>
    <t xml:space="preserve">"tejpatta"</t>
  </si>
  <si>
    <t xml:space="preserve">"usal-pav-tej-patta"</t>
  </si>
  <si>
    <t xml:space="preserve">"2017-05-23 07:04:28.986824"</t>
  </si>
  <si>
    <t xml:space="preserve">"2017-05-23 07:04:28.986862"</t>
  </si>
  <si>
    <t xml:space="preserve">"2477"</t>
  </si>
  <si>
    <t xml:space="preserve">"rai"</t>
  </si>
  <si>
    <t xml:space="preserve">"usal-pav-rai"</t>
  </si>
  <si>
    <t xml:space="preserve">"2017-05-23 07:04:29.128689"</t>
  </si>
  <si>
    <t xml:space="preserve">"2017-05-23 07:04:29.128731"</t>
  </si>
  <si>
    <t xml:space="preserve">"2478"</t>
  </si>
  <si>
    <t xml:space="preserve">"usal-pav-jeera"</t>
  </si>
  <si>
    <t xml:space="preserve">"2017-05-23 07:04:29.270803"</t>
  </si>
  <si>
    <t xml:space="preserve">"2017-05-23 07:04:29.270846"</t>
  </si>
  <si>
    <t xml:space="preserve">"2479"</t>
  </si>
  <si>
    <t xml:space="preserve">"usal-pav-hing"</t>
  </si>
  <si>
    <t xml:space="preserve">"2017-05-23 07:04:29.402107"</t>
  </si>
  <si>
    <t xml:space="preserve">"2017-05-23 07:04:29.402152"</t>
  </si>
  <si>
    <t xml:space="preserve">"2480"</t>
  </si>
  <si>
    <t xml:space="preserve">"adrak"</t>
  </si>
  <si>
    <t xml:space="preserve">"usal-pav-adrak"</t>
  </si>
  <si>
    <t xml:space="preserve">"2017-05-23 07:04:29.544078"</t>
  </si>
  <si>
    <t xml:space="preserve">"2017-05-23 07:04:29.544142"</t>
  </si>
  <si>
    <t xml:space="preserve">"2481"</t>
  </si>
  <si>
    <t xml:space="preserve">"usal-pav-haldi"</t>
  </si>
  <si>
    <t xml:space="preserve">"2017-05-23 07:04:29.674113"</t>
  </si>
  <si>
    <t xml:space="preserve">"2017-05-23 07:04:29.674153"</t>
  </si>
  <si>
    <t xml:space="preserve">"2482"</t>
  </si>
  <si>
    <t xml:space="preserve">"dhania powder"</t>
  </si>
  <si>
    <t xml:space="preserve">"usal-pav-dhaniya-powder"</t>
  </si>
  <si>
    <t xml:space="preserve">"2017-05-23 07:04:29.819613"</t>
  </si>
  <si>
    <t xml:space="preserve">"2017-05-23 07:04:29.819649"</t>
  </si>
  <si>
    <t xml:space="preserve">"2483"</t>
  </si>
  <si>
    <t xml:space="preserve">"jeera powder"</t>
  </si>
  <si>
    <t xml:space="preserve">"usal-pav-jeera-powder"</t>
  </si>
  <si>
    <t xml:space="preserve">"2017-05-23 07:04:29.973391"</t>
  </si>
  <si>
    <t xml:space="preserve">"2017-05-23 07:04:29.973431"</t>
  </si>
  <si>
    <t xml:space="preserve">"2484"</t>
  </si>
  <si>
    <t xml:space="preserve">"kashmiri mirchi powder"</t>
  </si>
  <si>
    <t xml:space="preserve">"usal-pav-kashmiri-chilly-powder"</t>
  </si>
  <si>
    <t xml:space="preserve">"2017-05-23 07:04:30.111359"</t>
  </si>
  <si>
    <t xml:space="preserve">"2017-05-23 07:04:30.111397"</t>
  </si>
  <si>
    <t xml:space="preserve">"2485"</t>
  </si>
  <si>
    <t xml:space="preserve">"kubal usam masala"</t>
  </si>
  <si>
    <t xml:space="preserve">"usal-pav-kubal-usal-masala"</t>
  </si>
  <si>
    <t xml:space="preserve">"2017-05-23 07:04:30.244203"</t>
  </si>
  <si>
    <t xml:space="preserve">"2017-05-23 07:04:30.244248"</t>
  </si>
  <si>
    <t xml:space="preserve">"2486"</t>
  </si>
  <si>
    <t xml:space="preserve">"usal-pav-sugar"</t>
  </si>
  <si>
    <t xml:space="preserve">"2017-05-23 07:04:30.380387"</t>
  </si>
  <si>
    <t xml:space="preserve">"2017-05-23 07:04:30.380427"</t>
  </si>
  <si>
    <t xml:space="preserve">"2487"</t>
  </si>
  <si>
    <t xml:space="preserve">"usal-pav-salt"</t>
  </si>
  <si>
    <t xml:space="preserve">"2017-05-23 07:04:30.528943"</t>
  </si>
  <si>
    <t xml:space="preserve">"2017-05-23 07:04:30.528992"</t>
  </si>
  <si>
    <t xml:space="preserve">"2488"</t>
  </si>
  <si>
    <t xml:space="preserve">"RICE"</t>
  </si>
  <si>
    <t xml:space="preserve">"idli-rice"</t>
  </si>
  <si>
    <t xml:space="preserve">"2017-05-23 07:04:30.672766"</t>
  </si>
  <si>
    <t xml:space="preserve">"2017-05-23 07:04:30.672805"</t>
  </si>
  <si>
    <t xml:space="preserve">"24.75"</t>
  </si>
  <si>
    <t xml:space="preserve">"2489"</t>
  </si>
  <si>
    <t xml:space="preserve">"idli-urad-dal"</t>
  </si>
  <si>
    <t xml:space="preserve">"2017-05-23 07:04:30.821676"</t>
  </si>
  <si>
    <t xml:space="preserve">"2017-05-23 07:04:30.821711"</t>
  </si>
  <si>
    <t xml:space="preserve">"add salt in dough only in winter or cold rainy season-to increase heat and fermentation; dont use salt in summer or hot rainy season"</t>
  </si>
  <si>
    <t xml:space="preserve">"2490"</t>
  </si>
  <si>
    <t xml:space="preserve">"idli-salt"</t>
  </si>
  <si>
    <t xml:space="preserve">"2017-05-23 07:04:30.960922"</t>
  </si>
  <si>
    <t xml:space="preserve">"2017-05-23 07:04:30.960962"</t>
  </si>
  <si>
    <t xml:space="preserve">"2491"</t>
  </si>
  <si>
    <t xml:space="preserve">"sambar-coconut"</t>
  </si>
  <si>
    <t xml:space="preserve">"2017-05-23 07:04:31.105352"</t>
  </si>
  <si>
    <t xml:space="preserve">"2017-05-23 07:04:31.105391"</t>
  </si>
  <si>
    <t xml:space="preserve">"2492"</t>
  </si>
  <si>
    <t xml:space="preserve">"drum stick"</t>
  </si>
  <si>
    <t xml:space="preserve">"sambar-drum-stick"</t>
  </si>
  <si>
    <t xml:space="preserve">"2017-05-23 07:04:31.249368"</t>
  </si>
  <si>
    <t xml:space="preserve">"2017-05-23 07:04:31.249413"</t>
  </si>
  <si>
    <t xml:space="preserve">"2493"</t>
  </si>
  <si>
    <t xml:space="preserve">"mugi"</t>
  </si>
  <si>
    <t xml:space="preserve">"sambar-mugi"</t>
  </si>
  <si>
    <t xml:space="preserve">"2017-05-23 07:04:31.395164"</t>
  </si>
  <si>
    <t xml:space="preserve">"2017-05-23 07:04:31.395202"</t>
  </si>
  <si>
    <t xml:space="preserve">"149"</t>
  </si>
  <si>
    <t xml:space="preserve">"2494"</t>
  </si>
  <si>
    <t xml:space="preserve">"bhopla"</t>
  </si>
  <si>
    <t xml:space="preserve">"sambar-bhopla"</t>
  </si>
  <si>
    <t xml:space="preserve">"2017-05-23 07:04:31.550040"</t>
  </si>
  <si>
    <t xml:space="preserve">"2017-05-23 07:04:31.550104"</t>
  </si>
  <si>
    <t xml:space="preserve">"2495"</t>
  </si>
  <si>
    <t xml:space="preserve">"potato"</t>
  </si>
  <si>
    <t xml:space="preserve">"sambar-alu"</t>
  </si>
  <si>
    <t xml:space="preserve">"2017-05-23 07:04:31.705911"</t>
  </si>
  <si>
    <t xml:space="preserve">"2017-05-23 07:04:31.705968"</t>
  </si>
  <si>
    <t xml:space="preserve">"2496"</t>
  </si>
  <si>
    <t xml:space="preserve">"sambar-kadi-patta"</t>
  </si>
  <si>
    <t xml:space="preserve">"2017-05-23 07:04:31.830263"</t>
  </si>
  <si>
    <t xml:space="preserve">"2017-05-23 07:04:31.830318"</t>
  </si>
  <si>
    <t xml:space="preserve">"2497"</t>
  </si>
  <si>
    <t xml:space="preserve">"sambar-tomato"</t>
  </si>
  <si>
    <t xml:space="preserve">"2017-05-23 07:04:31.958896"</t>
  </si>
  <si>
    <t xml:space="preserve">"2017-05-23 07:04:31.958937"</t>
  </si>
  <si>
    <t xml:space="preserve">"2498"</t>
  </si>
  <si>
    <t xml:space="preserve">"tur dal"</t>
  </si>
  <si>
    <t xml:space="preserve">"sambar-tur-dal"</t>
  </si>
  <si>
    <t xml:space="preserve">"2017-05-23 07:04:32.099691"</t>
  </si>
  <si>
    <t xml:space="preserve">"2017-05-23 07:04:32.099729"</t>
  </si>
  <si>
    <t xml:space="preserve">"2499"</t>
  </si>
  <si>
    <t xml:space="preserve">"sambar-imli"</t>
  </si>
  <si>
    <t xml:space="preserve">"2017-05-23 07:04:32.241676"</t>
  </si>
  <si>
    <t xml:space="preserve">"2017-05-23 07:04:32.241714"</t>
  </si>
  <si>
    <t xml:space="preserve">"2500"</t>
  </si>
  <si>
    <t xml:space="preserve">"sambar-haldi"</t>
  </si>
  <si>
    <t xml:space="preserve">"2017-05-23 07:04:32.387399"</t>
  </si>
  <si>
    <t xml:space="preserve">"2017-05-23 07:04:32.387450"</t>
  </si>
  <si>
    <t xml:space="preserve">"2501"</t>
  </si>
  <si>
    <t xml:space="preserve">"sambar-hing"</t>
  </si>
  <si>
    <t xml:space="preserve">"2017-05-23 07:04:32.535859"</t>
  </si>
  <si>
    <t xml:space="preserve">"2017-05-23 07:04:32.535936"</t>
  </si>
  <si>
    <t xml:space="preserve">"2502"</t>
  </si>
  <si>
    <t xml:space="preserve">"sambar-gud"</t>
  </si>
  <si>
    <t xml:space="preserve">"2017-05-23 07:04:32.669917"</t>
  </si>
  <si>
    <t xml:space="preserve">"2017-05-23 07:04:32.669955"</t>
  </si>
  <si>
    <t xml:space="preserve">"2503"</t>
  </si>
  <si>
    <t xml:space="preserve">"sambar-rai"</t>
  </si>
  <si>
    <t xml:space="preserve">"2017-05-23 07:04:32.802985"</t>
  </si>
  <si>
    <t xml:space="preserve">"2017-05-23 07:04:32.803024"</t>
  </si>
  <si>
    <t xml:space="preserve">"2504"</t>
  </si>
  <si>
    <t xml:space="preserve">"MTR masala"</t>
  </si>
  <si>
    <t xml:space="preserve">"sambar-mtr-rasam-masala"</t>
  </si>
  <si>
    <t xml:space="preserve">"2017-05-23 07:04:32.935619"</t>
  </si>
  <si>
    <t xml:space="preserve">"2017-05-23 07:04:32.935658"</t>
  </si>
  <si>
    <t xml:space="preserve">"2505"</t>
  </si>
  <si>
    <t xml:space="preserve">"anapoorna sambar ms"</t>
  </si>
  <si>
    <t xml:space="preserve">"sambar-annapoorna-sambar-masala"</t>
  </si>
  <si>
    <t xml:space="preserve">"2017-05-23 07:04:33.072768"</t>
  </si>
  <si>
    <t xml:space="preserve">"2017-05-23 07:04:33.072829"</t>
  </si>
  <si>
    <t xml:space="preserve">"2506"</t>
  </si>
  <si>
    <t xml:space="preserve">"ghee/oil"</t>
  </si>
  <si>
    <t xml:space="preserve">"sambar-ghee"</t>
  </si>
  <si>
    <t xml:space="preserve">"2017-05-23 07:04:33.202142"</t>
  </si>
  <si>
    <t xml:space="preserve">"2017-05-23 07:04:33.202182"</t>
  </si>
  <si>
    <t xml:space="preserve">"2507"</t>
  </si>
  <si>
    <t xml:space="preserve">"salt (IF TATA THEN 1.5 cup)"</t>
  </si>
  <si>
    <t xml:space="preserve">"sambar-salt"</t>
  </si>
  <si>
    <t xml:space="preserve">"2017-05-23 07:04:33.343772"</t>
  </si>
  <si>
    <t xml:space="preserve">"2017-05-23 07:04:33.343838"</t>
  </si>
  <si>
    <t xml:space="preserve">"2508"</t>
  </si>
  <si>
    <t xml:space="preserve">"lemon-rice-lemon"</t>
  </si>
  <si>
    <t xml:space="preserve">"2017-05-23 07:04:33.479469"</t>
  </si>
  <si>
    <t xml:space="preserve">"2017-05-23 07:04:33.479508"</t>
  </si>
  <si>
    <t xml:space="preserve">"2509"</t>
  </si>
  <si>
    <t xml:space="preserve">"lemon-rice-kadi-patta"</t>
  </si>
  <si>
    <t xml:space="preserve">"2017-05-23 07:04:33.623247"</t>
  </si>
  <si>
    <t xml:space="preserve">"2017-05-23 07:04:33.623288"</t>
  </si>
  <si>
    <t xml:space="preserve">"2510"</t>
  </si>
  <si>
    <t xml:space="preserve">"dhaniya patta"</t>
  </si>
  <si>
    <t xml:space="preserve">"lemon-rice-dhaniya-patta"</t>
  </si>
  <si>
    <t xml:space="preserve">"2017-05-23 07:04:33.767550"</t>
  </si>
  <si>
    <t xml:space="preserve">"2017-05-23 07:04:33.767590"</t>
  </si>
  <si>
    <t xml:space="preserve">"2511"</t>
  </si>
  <si>
    <t xml:space="preserve">"green chily(long cut)"</t>
  </si>
  <si>
    <t xml:space="preserve">"lemon-rice-hari-mirchi"</t>
  </si>
  <si>
    <t xml:space="preserve">"2017-05-23 07:04:33.889816"</t>
  </si>
  <si>
    <t xml:space="preserve">"2017-05-23 07:04:33.889854"</t>
  </si>
  <si>
    <t xml:space="preserve">"2512"</t>
  </si>
  <si>
    <t xml:space="preserve">"lemon-rice-adrak"</t>
  </si>
  <si>
    <t xml:space="preserve">"2017-05-23 07:04:34.022228"</t>
  </si>
  <si>
    <t xml:space="preserve">"2017-05-23 07:04:34.022263"</t>
  </si>
  <si>
    <t xml:space="preserve">"2513"</t>
  </si>
  <si>
    <t xml:space="preserve">"lemon-rice-rice"</t>
  </si>
  <si>
    <t xml:space="preserve">"2017-05-23 07:04:34.121897"</t>
  </si>
  <si>
    <t xml:space="preserve">"2017-05-23 07:04:34.121949"</t>
  </si>
  <si>
    <t xml:space="preserve">"2514"</t>
  </si>
  <si>
    <t xml:space="preserve">"lemon-rice-rai"</t>
  </si>
  <si>
    <t xml:space="preserve">"2017-05-23 07:04:34.240537"</t>
  </si>
  <si>
    <t xml:space="preserve">"2017-05-23 07:04:34.240607"</t>
  </si>
  <si>
    <t xml:space="preserve">"2515"</t>
  </si>
  <si>
    <t xml:space="preserve">"lemon-rice-urad-dal"</t>
  </si>
  <si>
    <t xml:space="preserve">"2017-05-23 07:04:34.371335"</t>
  </si>
  <si>
    <t xml:space="preserve">"2017-05-23 07:04:34.371380"</t>
  </si>
  <si>
    <t xml:space="preserve">"2516"</t>
  </si>
  <si>
    <t xml:space="preserve">"lemon-rice-chana-dal"</t>
  </si>
  <si>
    <t xml:space="preserve">"2017-05-23 07:04:34.502604"</t>
  </si>
  <si>
    <t xml:space="preserve">"2017-05-23 07:04:34.502676"</t>
  </si>
  <si>
    <t xml:space="preserve">"2517"</t>
  </si>
  <si>
    <t xml:space="preserve">"lemon-rice-hing"</t>
  </si>
  <si>
    <t xml:space="preserve">"2017-05-23 07:04:34.637126"</t>
  </si>
  <si>
    <t xml:space="preserve">"2017-05-23 07:04:34.637162"</t>
  </si>
  <si>
    <t xml:space="preserve">"2518"</t>
  </si>
  <si>
    <t xml:space="preserve">"lemon-rice-haldi"</t>
  </si>
  <si>
    <t xml:space="preserve">"2017-05-23 07:04:34.749438"</t>
  </si>
  <si>
    <t xml:space="preserve">"2017-05-23 07:04:34.749484"</t>
  </si>
  <si>
    <t xml:space="preserve">"2519"</t>
  </si>
  <si>
    <t xml:space="preserve">"oil(ground nut)"</t>
  </si>
  <si>
    <t xml:space="preserve">"lemon-rice-gound-nut-oil"</t>
  </si>
  <si>
    <t xml:space="preserve">"2017-05-23 07:04:34.877392"</t>
  </si>
  <si>
    <t xml:space="preserve">"2017-05-23 07:04:34.877431"</t>
  </si>
  <si>
    <t xml:space="preserve">"2520"</t>
  </si>
  <si>
    <t xml:space="preserve">"singdana"</t>
  </si>
  <si>
    <t xml:space="preserve">"lemon-rice-singdana"</t>
  </si>
  <si>
    <t xml:space="preserve">"2017-05-23 07:04:35.010731"</t>
  </si>
  <si>
    <t xml:space="preserve">"2017-05-23 07:04:35.010770"</t>
  </si>
  <si>
    <t xml:space="preserve">"2521"</t>
  </si>
  <si>
    <t xml:space="preserve">"lemon-rice-salt"</t>
  </si>
  <si>
    <t xml:space="preserve">"2017-05-23 07:04:35.143610"</t>
  </si>
  <si>
    <t xml:space="preserve">"2017-05-23 07:04:35.143648"</t>
  </si>
  <si>
    <t xml:space="preserve">"2522"</t>
  </si>
  <si>
    <t xml:space="preserve">"tamrind"</t>
  </si>
  <si>
    <t xml:space="preserve">"tamrind-rice-tamrind"</t>
  </si>
  <si>
    <t xml:space="preserve">"2017-05-23 07:04:35.276643"</t>
  </si>
  <si>
    <t xml:space="preserve">"2017-05-23 07:04:35.276683"</t>
  </si>
  <si>
    <t xml:space="preserve">"190"</t>
  </si>
  <si>
    <t xml:space="preserve">"2523"</t>
  </si>
  <si>
    <t xml:space="preserve">"tamrind-rice-kadi-patta"</t>
  </si>
  <si>
    <t xml:space="preserve">"2017-05-23 07:04:35.442883"</t>
  </si>
  <si>
    <t xml:space="preserve">"2017-05-23 07:04:35.442923"</t>
  </si>
  <si>
    <t xml:space="preserve">"2524"</t>
  </si>
  <si>
    <t xml:space="preserve">"tamrind-rice-dhaniya-patta"</t>
  </si>
  <si>
    <t xml:space="preserve">"2017-05-23 07:04:35.598112"</t>
  </si>
  <si>
    <t xml:space="preserve">"2017-05-23 07:04:35.598153"</t>
  </si>
  <si>
    <t xml:space="preserve">"2525"</t>
  </si>
  <si>
    <t xml:space="preserve">"tamrind-rice-hari-mirchi"</t>
  </si>
  <si>
    <t xml:space="preserve">"2017-05-23 07:04:35.753372"</t>
  </si>
  <si>
    <t xml:space="preserve">"2017-05-23 07:04:35.753413"</t>
  </si>
  <si>
    <t xml:space="preserve">"2526"</t>
  </si>
  <si>
    <t xml:space="preserve">"tamrind-rice-rice"</t>
  </si>
  <si>
    <t xml:space="preserve">"2017-05-23 07:04:35.897118"</t>
  </si>
  <si>
    <t xml:space="preserve">"2017-05-23 07:04:35.897164"</t>
  </si>
  <si>
    <t xml:space="preserve">"2527"</t>
  </si>
  <si>
    <t xml:space="preserve">"tamrind-rice-rai"</t>
  </si>
  <si>
    <t xml:space="preserve">"2017-05-23 07:04:36.044158"</t>
  </si>
  <si>
    <t xml:space="preserve">"2017-05-23 07:04:36.044196"</t>
  </si>
  <si>
    <t xml:space="preserve">"2528"</t>
  </si>
  <si>
    <t xml:space="preserve">"tamrind-rice-urad-dal"</t>
  </si>
  <si>
    <t xml:space="preserve">"2017-05-23 07:04:36.181433"</t>
  </si>
  <si>
    <t xml:space="preserve">"2017-05-23 07:04:36.181470"</t>
  </si>
  <si>
    <t xml:space="preserve">"2529"</t>
  </si>
  <si>
    <t xml:space="preserve">"tamrind-rice-chana-dal"</t>
  </si>
  <si>
    <t xml:space="preserve">"2017-05-23 07:04:36.318974"</t>
  </si>
  <si>
    <t xml:space="preserve">"2017-05-23 07:04:36.319022"</t>
  </si>
  <si>
    <t xml:space="preserve">"2530"</t>
  </si>
  <si>
    <t xml:space="preserve">"tamrind-rice-hing"</t>
  </si>
  <si>
    <t xml:space="preserve">"2017-05-23 07:04:36.473705"</t>
  </si>
  <si>
    <t xml:space="preserve">"2017-05-23 07:04:36.473744"</t>
  </si>
  <si>
    <t xml:space="preserve">"2531"</t>
  </si>
  <si>
    <t xml:space="preserve">"tamrind-rice-haldi"</t>
  </si>
  <si>
    <t xml:space="preserve">"2017-05-23 07:04:36.616834"</t>
  </si>
  <si>
    <t xml:space="preserve">"2017-05-23 07:04:36.616876"</t>
  </si>
  <si>
    <t xml:space="preserve">"2532"</t>
  </si>
  <si>
    <t xml:space="preserve">"tamrind-rice-gound-nut-oil"</t>
  </si>
  <si>
    <t xml:space="preserve">"2017-05-23 07:04:36.740732"</t>
  </si>
  <si>
    <t xml:space="preserve">"2017-05-23 07:04:36.740774"</t>
  </si>
  <si>
    <t xml:space="preserve">"2533"</t>
  </si>
  <si>
    <t xml:space="preserve">"tamrind-rice-singdana"</t>
  </si>
  <si>
    <t xml:space="preserve">"2017-05-23 07:04:36.874295"</t>
  </si>
  <si>
    <t xml:space="preserve">"2017-05-23 07:04:36.874334"</t>
  </si>
  <si>
    <t xml:space="preserve">"2534"</t>
  </si>
  <si>
    <t xml:space="preserve">"tamrind-rice-salt"</t>
  </si>
  <si>
    <t xml:space="preserve">"2017-05-23 07:04:37.018071"</t>
  </si>
  <si>
    <t xml:space="preserve">"2017-05-23 07:04:37.018112"</t>
  </si>
  <si>
    <t xml:space="preserve">"6.5"</t>
  </si>
  <si>
    <t xml:space="preserve">"2535"</t>
  </si>
  <si>
    <t xml:space="preserve">"tamrind-rice-gud"</t>
  </si>
  <si>
    <t xml:space="preserve">"2017-05-23 07:04:37.145707"</t>
  </si>
  <si>
    <t xml:space="preserve">"2017-05-23 07:04:37.145744"</t>
  </si>
  <si>
    <t xml:space="preserve">"2536"</t>
  </si>
  <si>
    <t xml:space="preserve">"milk"</t>
  </si>
  <si>
    <t xml:space="preserve">"varai-kheer-milk"</t>
  </si>
  <si>
    <t xml:space="preserve">"2017-05-23 07:04:37.311446"</t>
  </si>
  <si>
    <t xml:space="preserve">"2017-05-23 07:04:37.311485"</t>
  </si>
  <si>
    <t xml:space="preserve">"2537"</t>
  </si>
  <si>
    <t xml:space="preserve">"khajur"</t>
  </si>
  <si>
    <t xml:space="preserve">"varai-kheer-khajur"</t>
  </si>
  <si>
    <t xml:space="preserve">"2017-05-23 07:04:37.439767"</t>
  </si>
  <si>
    <t xml:space="preserve">"2017-05-23 07:04:37.439807"</t>
  </si>
  <si>
    <t xml:space="preserve">"119"</t>
  </si>
  <si>
    <t xml:space="preserve">"2538"</t>
  </si>
  <si>
    <t xml:space="preserve">"kaju tukada"</t>
  </si>
  <si>
    <t xml:space="preserve">"varai-kheer-kaju-tukada"</t>
  </si>
  <si>
    <t xml:space="preserve">"2017-05-23 07:04:37.587437"</t>
  </si>
  <si>
    <t xml:space="preserve">"2017-05-23 07:04:37.587484"</t>
  </si>
  <si>
    <t xml:space="preserve">"110"</t>
  </si>
  <si>
    <t xml:space="preserve">"2539"</t>
  </si>
  <si>
    <t xml:space="preserve">"varai rice"</t>
  </si>
  <si>
    <t xml:space="preserve">"varai-kheer-varai"</t>
  </si>
  <si>
    <t xml:space="preserve">"2017-05-23 07:04:37.719817"</t>
  </si>
  <si>
    <t xml:space="preserve">"2017-05-23 07:04:37.719855"</t>
  </si>
  <si>
    <t xml:space="preserve">"2540"</t>
  </si>
  <si>
    <t xml:space="preserve">"varai-kheer-sugar"</t>
  </si>
  <si>
    <t xml:space="preserve">"2017-05-23 07:04:37.871074"</t>
  </si>
  <si>
    <t xml:space="preserve">"2017-05-23 07:04:37.871111"</t>
  </si>
  <si>
    <t xml:space="preserve">"2541"</t>
  </si>
  <si>
    <t xml:space="preserve">"dudhi"</t>
  </si>
  <si>
    <t xml:space="preserve">"khichadi-dudhi"</t>
  </si>
  <si>
    <t xml:space="preserve">"2017-05-23 07:04:37.999572"</t>
  </si>
  <si>
    <t xml:space="preserve">"2017-05-23 07:04:37.999613"</t>
  </si>
  <si>
    <t xml:space="preserve">"2542"</t>
  </si>
  <si>
    <t xml:space="preserve">"khichadi-bhopla"</t>
  </si>
  <si>
    <t xml:space="preserve">"2017-05-23 07:04:38.100590"</t>
  </si>
  <si>
    <t xml:space="preserve">"2017-05-23 07:04:38.100630"</t>
  </si>
  <si>
    <t xml:space="preserve">"2543"</t>
  </si>
  <si>
    <t xml:space="preserve">"water(10 times)"</t>
  </si>
  <si>
    <t xml:space="preserve">"khichadi-water"</t>
  </si>
  <si>
    <t xml:space="preserve">"2017-05-23 07:04:38.213033"</t>
  </si>
  <si>
    <t xml:space="preserve">"2017-05-23 07:04:38.213104"</t>
  </si>
  <si>
    <t xml:space="preserve">"2544"</t>
  </si>
  <si>
    <t xml:space="preserve">"khichadi-kadi-patta"</t>
  </si>
  <si>
    <t xml:space="preserve">"2017-05-23 07:04:38.360609"</t>
  </si>
  <si>
    <t xml:space="preserve">"2017-05-23 07:04:38.360651"</t>
  </si>
  <si>
    <t xml:space="preserve">"2545"</t>
  </si>
  <si>
    <t xml:space="preserve">"khichadi-dhaniya-patta"</t>
  </si>
  <si>
    <t xml:space="preserve">"2017-05-23 07:04:38.511447"</t>
  </si>
  <si>
    <t xml:space="preserve">"2017-05-23 07:04:38.511482"</t>
  </si>
  <si>
    <t xml:space="preserve">"2546"</t>
  </si>
  <si>
    <t xml:space="preserve">"adrak paste"</t>
  </si>
  <si>
    <t xml:space="preserve">"khichadi-adrak"</t>
  </si>
  <si>
    <t xml:space="preserve">"2017-05-23 07:04:38.660059"</t>
  </si>
  <si>
    <t xml:space="preserve">"2017-05-23 07:04:38.660099"</t>
  </si>
  <si>
    <t xml:space="preserve">"2547"</t>
  </si>
  <si>
    <t xml:space="preserve">"rice"</t>
  </si>
  <si>
    <t xml:space="preserve">"khichadi-rice"</t>
  </si>
  <si>
    <t xml:space="preserve">"2017-05-23 07:04:38.799788"</t>
  </si>
  <si>
    <t xml:space="preserve">"2017-05-23 07:04:38.799828"</t>
  </si>
  <si>
    <t xml:space="preserve">"2548"</t>
  </si>
  <si>
    <t xml:space="preserve">"dal"</t>
  </si>
  <si>
    <t xml:space="preserve">"khichadi-dal"</t>
  </si>
  <si>
    <t xml:space="preserve">"2017-05-23 07:04:38.948291"</t>
  </si>
  <si>
    <t xml:space="preserve">"2017-05-23 07:04:38.948357"</t>
  </si>
  <si>
    <t xml:space="preserve">"2549"</t>
  </si>
  <si>
    <t xml:space="preserve">"khichadi-salt"</t>
  </si>
  <si>
    <t xml:space="preserve">"2017-05-23 07:04:39.099486"</t>
  </si>
  <si>
    <t xml:space="preserve">"2017-05-23 07:04:39.099527"</t>
  </si>
  <si>
    <t xml:space="preserve">"2550"</t>
  </si>
  <si>
    <t xml:space="preserve">"khichadi-haldi"</t>
  </si>
  <si>
    <t xml:space="preserve">"2017-05-23 07:04:39.258891"</t>
  </si>
  <si>
    <t xml:space="preserve">"2017-05-23 07:04:39.258934"</t>
  </si>
  <si>
    <t xml:space="preserve">"2551"</t>
  </si>
  <si>
    <t xml:space="preserve">"khichadi-rai"</t>
  </si>
  <si>
    <t xml:space="preserve">"2017-05-23 07:04:39.418733"</t>
  </si>
  <si>
    <t xml:space="preserve">"2017-05-23 07:04:39.418770"</t>
  </si>
  <si>
    <t xml:space="preserve">"2552"</t>
  </si>
  <si>
    <t xml:space="preserve">"khichadi-jeera"</t>
  </si>
  <si>
    <t xml:space="preserve">"2017-05-23 07:04:39.536451"</t>
  </si>
  <si>
    <t xml:space="preserve">"2017-05-23 07:04:39.536519"</t>
  </si>
  <si>
    <t xml:space="preserve">"2553"</t>
  </si>
  <si>
    <t xml:space="preserve">"khichadi-hing"</t>
  </si>
  <si>
    <t xml:space="preserve">"2017-05-23 07:04:39.681149"</t>
  </si>
  <si>
    <t xml:space="preserve">"2017-05-23 07:04:39.681187"</t>
  </si>
  <si>
    <t xml:space="preserve">"2554"</t>
  </si>
  <si>
    <t xml:space="preserve">"khichadi-ghee"</t>
  </si>
  <si>
    <t xml:space="preserve">"2017-05-23 07:04:39.807587"</t>
  </si>
  <si>
    <t xml:space="preserve">"2017-05-23 07:04:39.807627"</t>
  </si>
  <si>
    <t xml:space="preserve">"2555"</t>
  </si>
  <si>
    <t xml:space="preserve">"dwadashi-spicy-khichadi-tomato"</t>
  </si>
  <si>
    <t xml:space="preserve">"2017-05-23 07:04:39.946739"</t>
  </si>
  <si>
    <t xml:space="preserve">"2017-05-23 07:04:39.946786"</t>
  </si>
  <si>
    <t xml:space="preserve">"2556"</t>
  </si>
  <si>
    <t xml:space="preserve">"dwadashi-spicy-khichadi-beans"</t>
  </si>
  <si>
    <t xml:space="preserve">"2017-05-23 07:04:40.089354"</t>
  </si>
  <si>
    <t xml:space="preserve">"2017-05-23 07:04:40.089412"</t>
  </si>
  <si>
    <t xml:space="preserve">"2557"</t>
  </si>
  <si>
    <t xml:space="preserve">"dwadashi-spicy-khichadi-gajar"</t>
  </si>
  <si>
    <t xml:space="preserve">"2017-05-23 07:04:40.213030"</t>
  </si>
  <si>
    <t xml:space="preserve">"2017-05-23 07:04:40.213070"</t>
  </si>
  <si>
    <t xml:space="preserve">"2558"</t>
  </si>
  <si>
    <t xml:space="preserve">"green peas"</t>
  </si>
  <si>
    <t xml:space="preserve">"dwadashi-spicy-khichadi-green-peas"</t>
  </si>
  <si>
    <t xml:space="preserve">"2017-05-23 07:04:40.313437"</t>
  </si>
  <si>
    <t xml:space="preserve">"2017-05-23 07:04:40.313476"</t>
  </si>
  <si>
    <t xml:space="preserve">"2559"</t>
  </si>
  <si>
    <t xml:space="preserve">"dwadashi-spicy-khichadi-dudhi"</t>
  </si>
  <si>
    <t xml:space="preserve">"2017-05-23 07:04:40.418689"</t>
  </si>
  <si>
    <t xml:space="preserve">"2017-05-23 07:04:40.418733"</t>
  </si>
  <si>
    <t xml:space="preserve">"2560"</t>
  </si>
  <si>
    <t xml:space="preserve">"dwadashi-spicy-khichadi-bhopla"</t>
  </si>
  <si>
    <t xml:space="preserve">"2017-05-23 07:04:40.569614"</t>
  </si>
  <si>
    <t xml:space="preserve">"2017-05-23 07:04:40.569653"</t>
  </si>
  <si>
    <t xml:space="preserve">"2561"</t>
  </si>
  <si>
    <t xml:space="preserve">"flower"</t>
  </si>
  <si>
    <t xml:space="preserve">"dwadashi-spicy-khichadi-flower"</t>
  </si>
  <si>
    <t xml:space="preserve">"2017-05-23 07:04:40.701331"</t>
  </si>
  <si>
    <t xml:space="preserve">"2017-05-23 07:04:40.701373"</t>
  </si>
  <si>
    <t xml:space="preserve">"2562"</t>
  </si>
  <si>
    <t xml:space="preserve">"dwadashi-spicy-khichadi-water"</t>
  </si>
  <si>
    <t xml:space="preserve">"2017-05-23 07:04:40.848384"</t>
  </si>
  <si>
    <t xml:space="preserve">"2017-05-23 07:04:40.848422"</t>
  </si>
  <si>
    <t xml:space="preserve">"2563"</t>
  </si>
  <si>
    <t xml:space="preserve">"dwadashi-spicy-khichadi-kadi-patta"</t>
  </si>
  <si>
    <t xml:space="preserve">"2017-05-23 07:04:40.978731"</t>
  </si>
  <si>
    <t xml:space="preserve">"2017-05-23 07:04:40.978771"</t>
  </si>
  <si>
    <t xml:space="preserve">"2564"</t>
  </si>
  <si>
    <t xml:space="preserve">"dwadashi-spicy-khichadi-dhaniya-patta"</t>
  </si>
  <si>
    <t xml:space="preserve">"2017-05-23 07:04:41.111660"</t>
  </si>
  <si>
    <t xml:space="preserve">"2017-05-23 07:04:41.111701"</t>
  </si>
  <si>
    <t xml:space="preserve">"2565"</t>
  </si>
  <si>
    <t xml:space="preserve">"dwadashi-spicy-khichadi-adrak"</t>
  </si>
  <si>
    <t xml:space="preserve">"2017-05-23 07:04:41.222951"</t>
  </si>
  <si>
    <t xml:space="preserve">"2017-05-23 07:04:41.222988"</t>
  </si>
  <si>
    <t xml:space="preserve">"2566"</t>
  </si>
  <si>
    <t xml:space="preserve">"green chily"</t>
  </si>
  <si>
    <t xml:space="preserve">"dwadashi-spicy-khichadi-hari-mirchi"</t>
  </si>
  <si>
    <t xml:space="preserve">"2017-05-23 07:04:41.388939"</t>
  </si>
  <si>
    <t xml:space="preserve">"2017-05-23 07:04:41.388984"</t>
  </si>
  <si>
    <t xml:space="preserve">"2567"</t>
  </si>
  <si>
    <t xml:space="preserve">"dwadashi-spicy-khichadi-rice"</t>
  </si>
  <si>
    <t xml:space="preserve">"2017-05-23 07:04:41.522458"</t>
  </si>
  <si>
    <t xml:space="preserve">"2017-05-23 07:04:41.522498"</t>
  </si>
  <si>
    <t xml:space="preserve">"2568"</t>
  </si>
  <si>
    <t xml:space="preserve">"dwadashi-spicy-khichadi-dal"</t>
  </si>
  <si>
    <t xml:space="preserve">"2017-05-23 07:04:41.655434"</t>
  </si>
  <si>
    <t xml:space="preserve">"2017-05-23 07:04:41.655476"</t>
  </si>
  <si>
    <t xml:space="preserve">"2569"</t>
  </si>
  <si>
    <t xml:space="preserve">"dwadashi-spicy-khichadi-salt"</t>
  </si>
  <si>
    <t xml:space="preserve">"2017-05-23 07:04:41.788758"</t>
  </si>
  <si>
    <t xml:space="preserve">"2017-05-23 07:04:41.788797"</t>
  </si>
  <si>
    <t xml:space="preserve">"2570"</t>
  </si>
  <si>
    <t xml:space="preserve">"dwadashi-spicy-khichadi-haldi"</t>
  </si>
  <si>
    <t xml:space="preserve">"2017-05-23 07:04:41.893777"</t>
  </si>
  <si>
    <t xml:space="preserve">"2017-05-23 07:04:41.893817"</t>
  </si>
  <si>
    <t xml:space="preserve">"2571"</t>
  </si>
  <si>
    <t xml:space="preserve">"dwadashi-spicy-khichadi-rai"</t>
  </si>
  <si>
    <t xml:space="preserve">"2017-05-23 07:04:42.031780"</t>
  </si>
  <si>
    <t xml:space="preserve">"2017-05-23 07:04:42.031816"</t>
  </si>
  <si>
    <t xml:space="preserve">"2572"</t>
  </si>
  <si>
    <t xml:space="preserve">"dwadashi-spicy-khichadi-jeera"</t>
  </si>
  <si>
    <t xml:space="preserve">"2017-05-23 07:04:42.164390"</t>
  </si>
  <si>
    <t xml:space="preserve">"2017-05-23 07:04:42.164426"</t>
  </si>
  <si>
    <t xml:space="preserve">"2573"</t>
  </si>
  <si>
    <t xml:space="preserve">"dwadashi-spicy-khichadi-hing"</t>
  </si>
  <si>
    <t xml:space="preserve">"2017-05-23 07:04:42.300386"</t>
  </si>
  <si>
    <t xml:space="preserve">"2017-05-23 07:04:42.300422"</t>
  </si>
  <si>
    <t xml:space="preserve">"2574"</t>
  </si>
  <si>
    <t xml:space="preserve">"dhaniya powder"</t>
  </si>
  <si>
    <t xml:space="preserve">"dwadashi-spicy-khichadi-dhaniya-powder"</t>
  </si>
  <si>
    <t xml:space="preserve">"2017-05-23 07:04:42.432358"</t>
  </si>
  <si>
    <t xml:space="preserve">"2017-05-23 07:04:42.432399"</t>
  </si>
  <si>
    <t xml:space="preserve">"2575"</t>
  </si>
  <si>
    <t xml:space="preserve">"dwadashi-spicy-khichadi-jeera-powder"</t>
  </si>
  <si>
    <t xml:space="preserve">"2017-05-23 07:04:42.560994"</t>
  </si>
  <si>
    <t xml:space="preserve">"2017-05-23 07:04:42.561032"</t>
  </si>
  <si>
    <t xml:space="preserve">"2576"</t>
  </si>
  <si>
    <t xml:space="preserve">"kashmiri chily pwder"</t>
  </si>
  <si>
    <t xml:space="preserve">"dwadashi-spicy-khichadi-kashmiri-chilly-powder"</t>
  </si>
  <si>
    <t xml:space="preserve">"2017-05-23 07:04:42.781330"</t>
  </si>
  <si>
    <t xml:space="preserve">"2017-05-23 07:04:42.781378"</t>
  </si>
  <si>
    <t xml:space="preserve">"2577"</t>
  </si>
  <si>
    <t xml:space="preserve">"dwadashi-spicy-khichadi-madrasi-mirchi-powder"</t>
  </si>
  <si>
    <t xml:space="preserve">"2017-05-23 07:04:42.947644"</t>
  </si>
  <si>
    <t xml:space="preserve">"2017-05-23 07:04:42.947680"</t>
  </si>
  <si>
    <t xml:space="preserve">"2578"</t>
  </si>
  <si>
    <t xml:space="preserve">"akkha madrasi mirch"</t>
  </si>
  <si>
    <t xml:space="preserve">"dwadashi-spicy-khichadi-akkha-madrasi-mirchi"</t>
  </si>
  <si>
    <t xml:space="preserve">"2017-05-23 07:04:43.093617"</t>
  </si>
  <si>
    <t xml:space="preserve">"2017-05-23 07:04:43.093661"</t>
  </si>
  <si>
    <t xml:space="preserve">"2579"</t>
  </si>
  <si>
    <t xml:space="preserve">"OIL"</t>
  </si>
  <si>
    <t xml:space="preserve">"dwadashi-spicy-khichadi-gound-nut-oil"</t>
  </si>
  <si>
    <t xml:space="preserve">"2017-05-23 07:04:43.252388"</t>
  </si>
  <si>
    <t xml:space="preserve">"2017-05-23 07:04:43.252430"</t>
  </si>
  <si>
    <t xml:space="preserve">"2580"</t>
  </si>
  <si>
    <t xml:space="preserve">"dwadashi-spicy-khichadi-sugar"</t>
  </si>
  <si>
    <t xml:space="preserve">"2017-05-23 07:04:43.385199"</t>
  </si>
  <si>
    <t xml:space="preserve">"2017-05-23 07:04:43.385262"</t>
  </si>
  <si>
    <t xml:space="preserve">"2581"</t>
  </si>
  <si>
    <t xml:space="preserve">"rice-sevai-gajar"</t>
  </si>
  <si>
    <t xml:space="preserve">"2017-05-23 07:04:43.518959"</t>
  </si>
  <si>
    <t xml:space="preserve">"2017-05-23 07:04:43.519001"</t>
  </si>
  <si>
    <t xml:space="preserve">"2582"</t>
  </si>
  <si>
    <t xml:space="preserve">"rice-sevai-beans"</t>
  </si>
  <si>
    <t xml:space="preserve">"2017-05-23 07:04:43.661515"</t>
  </si>
  <si>
    <t xml:space="preserve">"2017-05-23 07:04:43.661553"</t>
  </si>
  <si>
    <t xml:space="preserve">"2583"</t>
  </si>
  <si>
    <t xml:space="preserve">"rice-sevai-green-peas"</t>
  </si>
  <si>
    <t xml:space="preserve">"2017-05-23 07:04:43.796053"</t>
  </si>
  <si>
    <t xml:space="preserve">"2017-05-23 07:04:43.796107"</t>
  </si>
  <si>
    <t xml:space="preserve">"2584"</t>
  </si>
  <si>
    <t xml:space="preserve">"rice-sevai-hari-mirchi"</t>
  </si>
  <si>
    <t xml:space="preserve">"2017-05-23 07:04:43.935309"</t>
  </si>
  <si>
    <t xml:space="preserve">"2017-05-23 07:04:43.935350"</t>
  </si>
  <si>
    <t xml:space="preserve">"2585"</t>
  </si>
  <si>
    <t xml:space="preserve">"rice-sevai-dhaniya-patta"</t>
  </si>
  <si>
    <t xml:space="preserve">"2017-05-23 07:04:44.076771"</t>
  </si>
  <si>
    <t xml:space="preserve">"2017-05-23 07:04:44.076816"</t>
  </si>
  <si>
    <t xml:space="preserve">"2586"</t>
  </si>
  <si>
    <t xml:space="preserve">"rice-sevai-adrak"</t>
  </si>
  <si>
    <t xml:space="preserve">"2017-05-23 07:04:44.173788"</t>
  </si>
  <si>
    <t xml:space="preserve">"2017-05-23 07:04:44.173827"</t>
  </si>
  <si>
    <t xml:space="preserve">"2587"</t>
  </si>
  <si>
    <t xml:space="preserve">"rice-sevai-kadi-patta"</t>
  </si>
  <si>
    <t xml:space="preserve">"2017-05-23 07:04:44.316539"</t>
  </si>
  <si>
    <t xml:space="preserve">"2017-05-23 07:04:44.316579"</t>
  </si>
  <si>
    <t xml:space="preserve">"2588"</t>
  </si>
  <si>
    <t xml:space="preserve">"Rice Sevai"</t>
  </si>
  <si>
    <t xml:space="preserve">"rice-sevai-rice-sevai"</t>
  </si>
  <si>
    <t xml:space="preserve">"2017-05-23 07:04:44.451076"</t>
  </si>
  <si>
    <t xml:space="preserve">"2017-05-23 07:04:44.451115"</t>
  </si>
  <si>
    <t xml:space="preserve">"172"</t>
  </si>
  <si>
    <t xml:space="preserve">"2589"</t>
  </si>
  <si>
    <t xml:space="preserve">"rice-sevai-gound-nut-oil"</t>
  </si>
  <si>
    <t xml:space="preserve">"2017-05-23 07:04:44.583983"</t>
  </si>
  <si>
    <t xml:space="preserve">"2017-05-23 07:04:44.584023"</t>
  </si>
  <si>
    <t xml:space="preserve">"2590"</t>
  </si>
  <si>
    <t xml:space="preserve">"rice-sevai-rai"</t>
  </si>
  <si>
    <t xml:space="preserve">"2017-05-23 07:04:44.726555"</t>
  </si>
  <si>
    <t xml:space="preserve">"2017-05-23 07:04:44.726648"</t>
  </si>
  <si>
    <t xml:space="preserve">"2591"</t>
  </si>
  <si>
    <t xml:space="preserve">"rice-sevai-chana-dal"</t>
  </si>
  <si>
    <t xml:space="preserve">"2017-05-23 07:04:44.868887"</t>
  </si>
  <si>
    <t xml:space="preserve">"2017-05-23 07:04:44.868927"</t>
  </si>
  <si>
    <t xml:space="preserve">"2592"</t>
  </si>
  <si>
    <t xml:space="preserve">"rice-sevai-urad-dal"</t>
  </si>
  <si>
    <t xml:space="preserve">"2017-05-23 07:04:45.016447"</t>
  </si>
  <si>
    <t xml:space="preserve">"2017-05-23 07:04:45.016499"</t>
  </si>
  <si>
    <t xml:space="preserve">"2593"</t>
  </si>
  <si>
    <t xml:space="preserve">"rice-sevai-haldi"</t>
  </si>
  <si>
    <t xml:space="preserve">"2017-05-23 07:04:45.160454"</t>
  </si>
  <si>
    <t xml:space="preserve">"2017-05-23 07:04:45.160530"</t>
  </si>
  <si>
    <t xml:space="preserve">"2594"</t>
  </si>
  <si>
    <t xml:space="preserve">"rice-sevai-kashmiri-chilly-powder"</t>
  </si>
  <si>
    <t xml:space="preserve">"2017-05-23 07:04:45.305969"</t>
  </si>
  <si>
    <t xml:space="preserve">"2017-05-23 07:04:45.306007"</t>
  </si>
  <si>
    <t xml:space="preserve">"2595"</t>
  </si>
  <si>
    <t xml:space="preserve">"rice-sevai-hing"</t>
  </si>
  <si>
    <t xml:space="preserve">"2017-05-23 07:04:45.434870"</t>
  </si>
  <si>
    <t xml:space="preserve">"2017-05-23 07:04:45.434911"</t>
  </si>
  <si>
    <t xml:space="preserve">"2596"</t>
  </si>
  <si>
    <t xml:space="preserve">"rice-sevai-salt"</t>
  </si>
  <si>
    <t xml:space="preserve">"2017-05-23 07:04:45.527266"</t>
  </si>
  <si>
    <t xml:space="preserve">"2017-05-23 07:04:45.527314"</t>
  </si>
  <si>
    <t xml:space="preserve">"2597"</t>
  </si>
  <si>
    <t xml:space="preserve">"kakdi/green peas/beans"</t>
  </si>
  <si>
    <t xml:space="preserve">"sushila-bhel-kakdi"</t>
  </si>
  <si>
    <t xml:space="preserve">"2017-05-23 07:04:45.644044"</t>
  </si>
  <si>
    <t xml:space="preserve">"2017-05-23 07:04:45.644081"</t>
  </si>
  <si>
    <t xml:space="preserve">"2598"</t>
  </si>
  <si>
    <t xml:space="preserve">"green mung"</t>
  </si>
  <si>
    <t xml:space="preserve">"sushila-bhel-green-mung"</t>
  </si>
  <si>
    <t xml:space="preserve">"2017-05-23 07:04:45.773177"</t>
  </si>
  <si>
    <t xml:space="preserve">"2017-05-23 07:04:45.773215"</t>
  </si>
  <si>
    <t xml:space="preserve">"87"</t>
  </si>
  <si>
    <t xml:space="preserve">"2599"</t>
  </si>
  <si>
    <t xml:space="preserve">"sushila-bhel-hari-mirchi"</t>
  </si>
  <si>
    <t xml:space="preserve">"2017-05-23 07:04:45.904518"</t>
  </si>
  <si>
    <t xml:space="preserve">"2017-05-23 07:04:45.904559"</t>
  </si>
  <si>
    <t xml:space="preserve">"2600"</t>
  </si>
  <si>
    <t xml:space="preserve">"sushila-bhel-tomato"</t>
  </si>
  <si>
    <t xml:space="preserve">"2017-05-23 07:04:46.049857"</t>
  </si>
  <si>
    <t xml:space="preserve">"2017-05-23 07:04:46.049901"</t>
  </si>
  <si>
    <t xml:space="preserve">"2601"</t>
  </si>
  <si>
    <t xml:space="preserve">"sushila-bhel-alu"</t>
  </si>
  <si>
    <t xml:space="preserve">"2017-05-23 07:04:46.175967"</t>
  </si>
  <si>
    <t xml:space="preserve">"2017-05-23 07:04:46.176022"</t>
  </si>
  <si>
    <t xml:space="preserve">"2602"</t>
  </si>
  <si>
    <t xml:space="preserve">"sushila-bhel-dhaniya-patta"</t>
  </si>
  <si>
    <t xml:space="preserve">"2017-05-23 07:04:46.320706"</t>
  </si>
  <si>
    <t xml:space="preserve">"2017-05-23 07:04:46.320745"</t>
  </si>
  <si>
    <t xml:space="preserve">"2603"</t>
  </si>
  <si>
    <t xml:space="preserve">"sushila-bhel-adrak"</t>
  </si>
  <si>
    <t xml:space="preserve">"2017-05-23 07:04:46.469912"</t>
  </si>
  <si>
    <t xml:space="preserve">"2017-05-23 07:04:46.469954"</t>
  </si>
  <si>
    <t xml:space="preserve">"2604"</t>
  </si>
  <si>
    <t xml:space="preserve">"sushila-bhel-kadi-patta"</t>
  </si>
  <si>
    <t xml:space="preserve">"2017-05-23 07:04:46.603324"</t>
  </si>
  <si>
    <t xml:space="preserve">"2017-05-23 07:04:46.603366"</t>
  </si>
  <si>
    <t xml:space="preserve">"2605"</t>
  </si>
  <si>
    <t xml:space="preserve">"KURMURA"</t>
  </si>
  <si>
    <t xml:space="preserve">"sushila-bhel-kurmura"</t>
  </si>
  <si>
    <t xml:space="preserve">"2017-05-23 07:04:46.743145"</t>
  </si>
  <si>
    <t xml:space="preserve">"2017-05-23 07:04:46.743181"</t>
  </si>
  <si>
    <t xml:space="preserve">"126"</t>
  </si>
  <si>
    <t xml:space="preserve">"2606"</t>
  </si>
  <si>
    <t xml:space="preserve">"sushila-bhel-gound-nut-oil"</t>
  </si>
  <si>
    <t xml:space="preserve">"2017-05-23 07:04:46.907243"</t>
  </si>
  <si>
    <t xml:space="preserve">"2017-05-23 07:04:46.907280"</t>
  </si>
  <si>
    <t xml:space="preserve">"2607"</t>
  </si>
  <si>
    <t xml:space="preserve">"sushila-bhel-rai"</t>
  </si>
  <si>
    <t xml:space="preserve">"2017-05-23 07:04:47.036371"</t>
  </si>
  <si>
    <t xml:space="preserve">"2017-05-23 07:04:47.036432"</t>
  </si>
  <si>
    <t xml:space="preserve">"2608"</t>
  </si>
  <si>
    <t xml:space="preserve">"sushila-bhel-jeera"</t>
  </si>
  <si>
    <t xml:space="preserve">"2017-05-23 07:04:47.190735"</t>
  </si>
  <si>
    <t xml:space="preserve">"2017-05-23 07:04:47.190779"</t>
  </si>
  <si>
    <t xml:space="preserve">"2609"</t>
  </si>
  <si>
    <t xml:space="preserve">"sushila-bhel-singdana"</t>
  </si>
  <si>
    <t xml:space="preserve">"2017-05-23 07:04:47.346639"</t>
  </si>
  <si>
    <t xml:space="preserve">"2017-05-23 07:04:47.346680"</t>
  </si>
  <si>
    <t xml:space="preserve">"2610"</t>
  </si>
  <si>
    <t xml:space="preserve">"sushila-bhel-haldi"</t>
  </si>
  <si>
    <t xml:space="preserve">"2017-05-23 07:04:47.502586"</t>
  </si>
  <si>
    <t xml:space="preserve">"2017-05-23 07:04:47.502657"</t>
  </si>
  <si>
    <t xml:space="preserve">"2611"</t>
  </si>
  <si>
    <t xml:space="preserve">"sushila-bhel-madrasi-mirchi-powder"</t>
  </si>
  <si>
    <t xml:space="preserve">"2017-05-23 07:04:47.646047"</t>
  </si>
  <si>
    <t xml:space="preserve">"2017-05-23 07:04:47.646087"</t>
  </si>
  <si>
    <t xml:space="preserve">"2612"</t>
  </si>
  <si>
    <t xml:space="preserve">"sushila-bhel-hing"</t>
  </si>
  <si>
    <t xml:space="preserve">"2017-05-23 07:04:47.789821"</t>
  </si>
  <si>
    <t xml:space="preserve">"2017-05-23 07:04:47.789868"</t>
  </si>
  <si>
    <t xml:space="preserve">"2613"</t>
  </si>
  <si>
    <t xml:space="preserve">"sushila-bhel-salt"</t>
  </si>
  <si>
    <t xml:space="preserve">"2017-05-23 07:04:47.934589"</t>
  </si>
  <si>
    <t xml:space="preserve">"2017-05-23 07:04:47.934629"</t>
  </si>
  <si>
    <t xml:space="preserve">"2614"</t>
  </si>
  <si>
    <t xml:space="preserve">"MDH garam masala"</t>
  </si>
  <si>
    <t xml:space="preserve">"sushila-bhel-mdh-garam-masala"</t>
  </si>
  <si>
    <t xml:space="preserve">"2017-05-23 07:04:48.062172"</t>
  </si>
  <si>
    <t xml:space="preserve">"2017-05-23 07:04:48.062211"</t>
  </si>
  <si>
    <t xml:space="preserve">"143"</t>
  </si>
  <si>
    <t xml:space="preserve">"2615"</t>
  </si>
  <si>
    <t xml:space="preserve">"sushila-bhel-sugar"</t>
  </si>
  <si>
    <t xml:space="preserve">"2017-05-23 07:04:48.157239"</t>
  </si>
  <si>
    <t xml:space="preserve">"2017-05-23 07:04:48.157282"</t>
  </si>
  <si>
    <t xml:space="preserve">"2616"</t>
  </si>
  <si>
    <t xml:space="preserve">"sushila-bhel-kashmiri-chilly-powder"</t>
  </si>
  <si>
    <t xml:space="preserve">"2017-05-23 07:04:48.301326"</t>
  </si>
  <si>
    <t xml:space="preserve">"2017-05-23 07:04:48.301368"</t>
  </si>
  <si>
    <t xml:space="preserve">"2617"</t>
  </si>
  <si>
    <t xml:space="preserve">"sushila-bhel-salt-2613"</t>
  </si>
  <si>
    <t xml:space="preserve">"2017-05-23 07:04:48.456937"</t>
  </si>
  <si>
    <t xml:space="preserve">"2017-05-23 07:04:48.456979"</t>
  </si>
  <si>
    <t xml:space="preserve">"2618"</t>
  </si>
  <si>
    <t xml:space="preserve">"daliya (roasted chana dal)"</t>
  </si>
  <si>
    <t xml:space="preserve">"sushila-bhel-daliya"</t>
  </si>
  <si>
    <t xml:space="preserve">"2017-05-23 07:04:48.607931"</t>
  </si>
  <si>
    <t xml:space="preserve">"2017-05-23 07:04:48.607972"</t>
  </si>
  <si>
    <t xml:space="preserve">"62"</t>
  </si>
  <si>
    <t xml:space="preserve">"2619"</t>
  </si>
  <si>
    <t xml:space="preserve">"LEMON JUICE"</t>
  </si>
  <si>
    <t xml:space="preserve">"pudina-lemon-juice-lemon"</t>
  </si>
  <si>
    <t xml:space="preserve">"2017-05-23 07:04:48.748655"</t>
  </si>
  <si>
    <t xml:space="preserve">"2017-05-23 07:04:48.748694"</t>
  </si>
  <si>
    <t xml:space="preserve">"2620"</t>
  </si>
  <si>
    <t xml:space="preserve">"water"</t>
  </si>
  <si>
    <t xml:space="preserve">"pudina-lemon-juice-water"</t>
  </si>
  <si>
    <t xml:space="preserve">"2017-05-23 07:04:48.901296"</t>
  </si>
  <si>
    <t xml:space="preserve">"2017-05-23 07:04:48.901334"</t>
  </si>
  <si>
    <t xml:space="preserve">"2621"</t>
  </si>
  <si>
    <t xml:space="preserve">"PUDINA LEAVES"</t>
  </si>
  <si>
    <t xml:space="preserve">"pudina-lemon-juice-pudina-leaves"</t>
  </si>
  <si>
    <t xml:space="preserve">"2017-05-23 07:04:49.046995"</t>
  </si>
  <si>
    <t xml:space="preserve">"2017-05-23 07:04:49.047033"</t>
  </si>
  <si>
    <t xml:space="preserve">"163"</t>
  </si>
  <si>
    <t xml:space="preserve">"2622"</t>
  </si>
  <si>
    <t xml:space="preserve">"regular salt"</t>
  </si>
  <si>
    <t xml:space="preserve">"pudina-lemon-juice-salt"</t>
  </si>
  <si>
    <t xml:space="preserve">"2017-05-23 07:04:49.188889"</t>
  </si>
  <si>
    <t xml:space="preserve">"2017-05-23 07:04:49.188935"</t>
  </si>
  <si>
    <t xml:space="preserve">"2623"</t>
  </si>
  <si>
    <t xml:space="preserve">"black salt"</t>
  </si>
  <si>
    <t xml:space="preserve">"pudina-lemon-juice-black-salt"</t>
  </si>
  <si>
    <t xml:space="preserve">"2017-05-23 07:04:49.315721"</t>
  </si>
  <si>
    <t xml:space="preserve">"2017-05-23 07:04:49.315761"</t>
  </si>
  <si>
    <t xml:space="preserve">"2624"</t>
  </si>
  <si>
    <t xml:space="preserve">"pudina-lemon-juice-sugar"</t>
  </si>
  <si>
    <t xml:space="preserve">"2017-05-23 07:04:49.455138"</t>
  </si>
  <si>
    <t xml:space="preserve">"2017-05-23 07:04:49.455180"</t>
  </si>
  <si>
    <t xml:space="preserve">"2625"</t>
  </si>
  <si>
    <t xml:space="preserve">"badi sauf"</t>
  </si>
  <si>
    <t xml:space="preserve">"variyali-badi-sauf"</t>
  </si>
  <si>
    <t xml:space="preserve">"2017-05-23 07:04:49.601759"</t>
  </si>
  <si>
    <t xml:space="preserve">"2017-05-23 07:04:49.601824"</t>
  </si>
  <si>
    <t xml:space="preserve">"2626"</t>
  </si>
  <si>
    <t xml:space="preserve">"variyali-water"</t>
  </si>
  <si>
    <t xml:space="preserve">"2017-05-23 07:04:49.747068"</t>
  </si>
  <si>
    <t xml:space="preserve">"2017-05-23 07:04:49.747110"</t>
  </si>
  <si>
    <t xml:space="preserve">"2627"</t>
  </si>
  <si>
    <t xml:space="preserve">"variyali-sugar"</t>
  </si>
  <si>
    <t xml:space="preserve">"2017-05-23 07:04:49.919043"</t>
  </si>
  <si>
    <t xml:space="preserve">"2017-05-23 07:04:49.919105"</t>
  </si>
  <si>
    <t xml:space="preserve">"2628"</t>
  </si>
  <si>
    <t xml:space="preserve">"sweet corn"</t>
  </si>
  <si>
    <t xml:space="preserve">"sweet-corn-soup-sweet-corn"</t>
  </si>
  <si>
    <t xml:space="preserve">"2017-05-23 07:04:50.069584"</t>
  </si>
  <si>
    <t xml:space="preserve">"2017-05-23 07:04:50.069639"</t>
  </si>
  <si>
    <t xml:space="preserve">"2629"</t>
  </si>
  <si>
    <t xml:space="preserve">"sweet-corn-soup-hot-water"</t>
  </si>
  <si>
    <t xml:space="preserve">"2017-05-23 07:04:50.217665"</t>
  </si>
  <si>
    <t xml:space="preserve">"2017-05-23 07:04:50.217743"</t>
  </si>
  <si>
    <t xml:space="preserve">"2630"</t>
  </si>
  <si>
    <t xml:space="preserve">"sweet-corn-soup-black-salt"</t>
  </si>
  <si>
    <t xml:space="preserve">"2017-05-23 07:04:50.358176"</t>
  </si>
  <si>
    <t xml:space="preserve">"2017-05-23 07:04:50.358214"</t>
  </si>
  <si>
    <t xml:space="preserve">"2631"</t>
  </si>
  <si>
    <t xml:space="preserve">"sweet-corn-soup-corn-flour"</t>
  </si>
  <si>
    <t xml:space="preserve">"2017-05-23 07:04:50.502094"</t>
  </si>
  <si>
    <t xml:space="preserve">"2017-05-23 07:04:50.502159"</t>
  </si>
  <si>
    <t xml:space="preserve">"2632"</t>
  </si>
  <si>
    <t xml:space="preserve">"herbal-tea-milk"</t>
  </si>
  <si>
    <t xml:space="preserve">"2017-05-23 07:04:50.671051"</t>
  </si>
  <si>
    <t xml:space="preserve">"2017-05-23 07:04:50.671092"</t>
  </si>
  <si>
    <t xml:space="preserve">"2633"</t>
  </si>
  <si>
    <t xml:space="preserve">"herbal-tea-water"</t>
  </si>
  <si>
    <t xml:space="preserve">"2017-05-23 07:04:50.828882"</t>
  </si>
  <si>
    <t xml:space="preserve">"2017-05-23 07:04:50.828941"</t>
  </si>
  <si>
    <t xml:space="preserve">"2634"</t>
  </si>
  <si>
    <t xml:space="preserve">"herbal tea powder"</t>
  </si>
  <si>
    <t xml:space="preserve">"herbal-tea-herbal-tea-powder"</t>
  </si>
  <si>
    <t xml:space="preserve">"2017-05-23 07:04:50.975553"</t>
  </si>
  <si>
    <t xml:space="preserve">"2017-05-23 07:04:50.975591"</t>
  </si>
  <si>
    <t xml:space="preserve">"2635"</t>
  </si>
  <si>
    <t xml:space="preserve">"herbal-tea-sugar"</t>
  </si>
  <si>
    <t xml:space="preserve">"2017-05-23 07:04:51.148766"</t>
  </si>
  <si>
    <t xml:space="preserve">"2017-05-23 07:04:51.148811"</t>
  </si>
  <si>
    <t xml:space="preserve">"2636"</t>
  </si>
  <si>
    <t xml:space="preserve">"herbal-tea-elaichi-powder"</t>
  </si>
  <si>
    <t xml:space="preserve">"2017-05-23 07:04:51.271110"</t>
  </si>
  <si>
    <t xml:space="preserve">"2017-05-23 07:04:51.271170"</t>
  </si>
  <si>
    <t xml:space="preserve">"2637"</t>
  </si>
  <si>
    <t xml:space="preserve">"barley-ragi-regira-malt-water"</t>
  </si>
  <si>
    <t xml:space="preserve">"2017-05-23 07:04:51.387914"</t>
  </si>
  <si>
    <t xml:space="preserve">"2017-05-23 07:04:51.387952"</t>
  </si>
  <si>
    <t xml:space="preserve">"2638"</t>
  </si>
  <si>
    <t xml:space="preserve">"BARLEY/RAGI/RAJGIRA"</t>
  </si>
  <si>
    <t xml:space="preserve">"barley-ragi-regira-malt-barley"</t>
  </si>
  <si>
    <t xml:space="preserve">"2017-05-23 07:04:51.519256"</t>
  </si>
  <si>
    <t xml:space="preserve">"2017-05-23 07:04:51.519321"</t>
  </si>
  <si>
    <t xml:space="preserve">"23"</t>
  </si>
  <si>
    <t xml:space="preserve">"2639"</t>
  </si>
  <si>
    <t xml:space="preserve">"barley-ragi-regira-malt-gud"</t>
  </si>
  <si>
    <t xml:space="preserve">"2017-05-23 07:04:51.663223"</t>
  </si>
  <si>
    <t xml:space="preserve">"2017-05-23 07:04:51.663263"</t>
  </si>
  <si>
    <t xml:space="preserve">"2640"</t>
  </si>
  <si>
    <t xml:space="preserve">"dates"</t>
  </si>
  <si>
    <t xml:space="preserve">"barley-ragi-regira-malt-dates"</t>
  </si>
  <si>
    <t xml:space="preserve">"2017-05-23 07:04:51.818505"</t>
  </si>
  <si>
    <t xml:space="preserve">"2017-05-23 07:04:51.818543"</t>
  </si>
  <si>
    <t xml:space="preserve">"64"</t>
  </si>
  <si>
    <t xml:space="preserve">"2641"</t>
  </si>
  <si>
    <t xml:space="preserve">"barley-ragi-regira-malt-elaichi-powder"</t>
  </si>
  <si>
    <t xml:space="preserve">"2017-05-23 07:04:51.972681"</t>
  </si>
  <si>
    <t xml:space="preserve">"2017-05-23 07:04:51.972722"</t>
  </si>
  <si>
    <t xml:space="preserve">"2642"</t>
  </si>
  <si>
    <t xml:space="preserve">"lemon grass"</t>
  </si>
  <si>
    <t xml:space="preserve">"lemon-grass-lemon-grass"</t>
  </si>
  <si>
    <t xml:space="preserve">"2017-05-23 07:04:52.099988"</t>
  </si>
  <si>
    <t xml:space="preserve">"2017-05-23 07:04:52.100026"</t>
  </si>
  <si>
    <t xml:space="preserve">"130"</t>
  </si>
  <si>
    <t xml:space="preserve">"2643"</t>
  </si>
  <si>
    <t xml:space="preserve">"lemon-grass-lemon"</t>
  </si>
  <si>
    <t xml:space="preserve">"2017-05-23 07:04:52.246762"</t>
  </si>
  <si>
    <t xml:space="preserve">"2017-05-23 07:04:52.246808"</t>
  </si>
  <si>
    <t xml:space="preserve">"2644"</t>
  </si>
  <si>
    <t xml:space="preserve">"lemon-grass-adrak"</t>
  </si>
  <si>
    <t xml:space="preserve">"2017-05-23 07:04:52.402742"</t>
  </si>
  <si>
    <t xml:space="preserve">"2017-05-23 07:04:52.402807"</t>
  </si>
  <si>
    <t xml:space="preserve">"2645"</t>
  </si>
  <si>
    <t xml:space="preserve">"lemon-grass-sugar"</t>
  </si>
  <si>
    <t xml:space="preserve">"2017-05-23 07:04:52.540421"</t>
  </si>
  <si>
    <t xml:space="preserve">"2017-05-23 07:04:52.540462"</t>
  </si>
  <si>
    <t xml:space="preserve">"2646"</t>
  </si>
  <si>
    <t xml:space="preserve">"COCONUT"</t>
  </si>
  <si>
    <t xml:space="preserve">"coconut-chutney-coconut"</t>
  </si>
  <si>
    <t xml:space="preserve">"2017-05-23 07:04:52.683691"</t>
  </si>
  <si>
    <t xml:space="preserve">"2017-05-23 07:04:52.683729"</t>
  </si>
  <si>
    <t xml:space="preserve">"2647"</t>
  </si>
  <si>
    <t xml:space="preserve">"green chili"</t>
  </si>
  <si>
    <t xml:space="preserve">"coconut-chutney-hari-mirchi"</t>
  </si>
  <si>
    <t xml:space="preserve">"2017-05-23 07:04:52.840731"</t>
  </si>
  <si>
    <t xml:space="preserve">"2017-05-23 07:04:52.840771"</t>
  </si>
  <si>
    <t xml:space="preserve">"2648"</t>
  </si>
  <si>
    <t xml:space="preserve">"coconut-chutney-dhaniya-patta"</t>
  </si>
  <si>
    <t xml:space="preserve">"2017-05-23 07:04:52.971830"</t>
  </si>
  <si>
    <t xml:space="preserve">"2017-05-23 07:04:52.971881"</t>
  </si>
  <si>
    <t xml:space="preserve">"2649"</t>
  </si>
  <si>
    <t xml:space="preserve">"daliya"</t>
  </si>
  <si>
    <t xml:space="preserve">"coconut-chutney-daliya"</t>
  </si>
  <si>
    <t xml:space="preserve">"2017-05-23 07:04:53.074561"</t>
  </si>
  <si>
    <t xml:space="preserve">"2017-05-23 07:04:53.074617"</t>
  </si>
  <si>
    <t xml:space="preserve">"2650"</t>
  </si>
  <si>
    <t xml:space="preserve">"coconut-chutney-salt"</t>
  </si>
  <si>
    <t xml:space="preserve">"2017-05-23 07:04:53.216981"</t>
  </si>
  <si>
    <t xml:space="preserve">"2017-05-23 07:04:53.217053"</t>
  </si>
  <si>
    <t xml:space="preserve">"2651"</t>
  </si>
  <si>
    <t xml:space="preserve">"coconut-chutney-tamrind"</t>
  </si>
  <si>
    <t xml:space="preserve">"2017-05-23 07:04:53.316718"</t>
  </si>
  <si>
    <t xml:space="preserve">"2017-05-23 07:04:53.316763"</t>
  </si>
  <si>
    <t xml:space="preserve">"2652"</t>
  </si>
  <si>
    <t xml:space="preserve">"coconut oil"</t>
  </si>
  <si>
    <t xml:space="preserve">"coconut-chutney-coconut-oil"</t>
  </si>
  <si>
    <t xml:space="preserve">"2017-05-23 07:04:53.451028"</t>
  </si>
  <si>
    <t xml:space="preserve">"2017-05-23 07:04:53.451067"</t>
  </si>
  <si>
    <t xml:space="preserve">"55"</t>
  </si>
  <si>
    <t xml:space="preserve">"2653"</t>
  </si>
  <si>
    <t xml:space="preserve">"coconut-chutney-chana-dal"</t>
  </si>
  <si>
    <t xml:space="preserve">"2017-05-23 07:04:53.583119"</t>
  </si>
  <si>
    <t xml:space="preserve">"2017-05-23 07:04:53.583160"</t>
  </si>
  <si>
    <t xml:space="preserve">"2654"</t>
  </si>
  <si>
    <t xml:space="preserve">"coconut-chutney-urad-dal"</t>
  </si>
  <si>
    <t xml:space="preserve">"2017-05-23 07:04:53.737950"</t>
  </si>
  <si>
    <t xml:space="preserve">"2017-05-23 07:04:53.737990"</t>
  </si>
  <si>
    <t xml:space="preserve">"2655"</t>
  </si>
  <si>
    <t xml:space="preserve">"madrasi mirchi akkaha"</t>
  </si>
  <si>
    <t xml:space="preserve">"coconut-chutney-madrasi-mirchi-akkaha"</t>
  </si>
  <si>
    <t xml:space="preserve">"2017-05-23 07:04:53.893835"</t>
  </si>
  <si>
    <t xml:space="preserve">"2017-05-23 07:04:53.893873"</t>
  </si>
  <si>
    <t xml:space="preserve">"2656"</t>
  </si>
  <si>
    <t xml:space="preserve">"alu-paratha-alu"</t>
  </si>
  <si>
    <t xml:space="preserve">"2017-05-23 07:04:54.031207"</t>
  </si>
  <si>
    <t xml:space="preserve">"2017-05-23 07:04:54.031244"</t>
  </si>
  <si>
    <t xml:space="preserve">"2657"</t>
  </si>
  <si>
    <t xml:space="preserve">"green chili choppd"</t>
  </si>
  <si>
    <t xml:space="preserve">"alu-paratha-hari-mirchi"</t>
  </si>
  <si>
    <t xml:space="preserve">"2017-05-23 07:04:54.193005"</t>
  </si>
  <si>
    <t xml:space="preserve">"2017-05-23 07:04:54.193047"</t>
  </si>
  <si>
    <t xml:space="preserve">"2658"</t>
  </si>
  <si>
    <t xml:space="preserve">"alu-paratha-dhaniya-patta"</t>
  </si>
  <si>
    <t xml:space="preserve">"2017-05-23 07:04:54.348900"</t>
  </si>
  <si>
    <t xml:space="preserve">"2017-05-23 07:04:54.348939"</t>
  </si>
  <si>
    <t xml:space="preserve">"2659"</t>
  </si>
  <si>
    <t xml:space="preserve">"alu-paratha-adrak"</t>
  </si>
  <si>
    <t xml:space="preserve">"2017-05-23 07:05:48.225765"</t>
  </si>
  <si>
    <t xml:space="preserve">"2017-05-23 07:05:48.225802"</t>
  </si>
  <si>
    <t xml:space="preserve">"2660"</t>
  </si>
  <si>
    <t xml:space="preserve">"wheat flour"</t>
  </si>
  <si>
    <t xml:space="preserve">"alu-paratha-wheat-flour"</t>
  </si>
  <si>
    <t xml:space="preserve">"2017-05-23 07:05:48.468745"</t>
  </si>
  <si>
    <t xml:space="preserve">"2017-05-23 07:05:48.468810"</t>
  </si>
  <si>
    <t xml:space="preserve">"204"</t>
  </si>
  <si>
    <t xml:space="preserve">"2661"</t>
  </si>
  <si>
    <t xml:space="preserve">"dhokla-coconut"</t>
  </si>
  <si>
    <t xml:space="preserve">"2017-05-23 07:05:48.607031"</t>
  </si>
  <si>
    <t xml:space="preserve">"2017-05-23 07:05:48.607072"</t>
  </si>
  <si>
    <t xml:space="preserve">"2662"</t>
  </si>
  <si>
    <t xml:space="preserve">"dhokla-dhaniya-patta"</t>
  </si>
  <si>
    <t xml:space="preserve">"2017-05-23 07:05:48.748025"</t>
  </si>
  <si>
    <t xml:space="preserve">"2017-05-23 07:05:48.748071"</t>
  </si>
  <si>
    <t xml:space="preserve">"2663"</t>
  </si>
  <si>
    <t xml:space="preserve">"water( for dough of besan)"</t>
  </si>
  <si>
    <t xml:space="preserve">"dhokla-water"</t>
  </si>
  <si>
    <t xml:space="preserve">"2017-05-23 07:05:48.853120"</t>
  </si>
  <si>
    <t xml:space="preserve">"2017-05-23 07:05:48.853191"</t>
  </si>
  <si>
    <t xml:space="preserve">"2664"</t>
  </si>
  <si>
    <t xml:space="preserve">"water for stem"</t>
  </si>
  <si>
    <t xml:space="preserve">"dhokla-water-2663"</t>
  </si>
  <si>
    <t xml:space="preserve">"2017-05-23 07:05:48.990040"</t>
  </si>
  <si>
    <t xml:space="preserve">"2017-05-23 07:05:48.990076"</t>
  </si>
  <si>
    <t xml:space="preserve">"2665"</t>
  </si>
  <si>
    <t xml:space="preserve">"barik besan flour"</t>
  </si>
  <si>
    <t xml:space="preserve">"dhokla-besan"</t>
  </si>
  <si>
    <t xml:space="preserve">"2017-05-23 07:05:49.159922"</t>
  </si>
  <si>
    <t xml:space="preserve">"2017-05-23 07:05:49.159958"</t>
  </si>
  <si>
    <t xml:space="preserve">"2666"</t>
  </si>
  <si>
    <t xml:space="preserve">"dhokla-ground-nut-oil"</t>
  </si>
  <si>
    <t xml:space="preserve">"2017-05-23 07:05:49.311120"</t>
  </si>
  <si>
    <t xml:space="preserve">"2017-05-23 07:05:49.311158"</t>
  </si>
  <si>
    <t xml:space="preserve">"2667"</t>
  </si>
  <si>
    <t xml:space="preserve">"dhokla-sugar"</t>
  </si>
  <si>
    <t xml:space="preserve">"2017-05-23 07:05:49.447538"</t>
  </si>
  <si>
    <t xml:space="preserve">"2017-05-23 07:05:49.447579"</t>
  </si>
  <si>
    <t xml:space="preserve">"2668"</t>
  </si>
  <si>
    <t xml:space="preserve">"citric acid( NIMBU FOOL)"</t>
  </si>
  <si>
    <t xml:space="preserve">"dhokla-nimbu-fool"</t>
  </si>
  <si>
    <t xml:space="preserve">"2017-05-23 07:05:49.577283"</t>
  </si>
  <si>
    <t xml:space="preserve">"2017-05-23 07:05:49.577323"</t>
  </si>
  <si>
    <t xml:space="preserve">"2669"</t>
  </si>
  <si>
    <t xml:space="preserve">"dhokla-salt"</t>
  </si>
  <si>
    <t xml:space="preserve">"2017-05-23 07:05:49.677496"</t>
  </si>
  <si>
    <t xml:space="preserve">"2017-05-23 07:05:49.677535"</t>
  </si>
  <si>
    <t xml:space="preserve">"2670"</t>
  </si>
  <si>
    <t xml:space="preserve">"dhokla-haldi"</t>
  </si>
  <si>
    <t xml:space="preserve">"2017-05-23 07:05:49.775527"</t>
  </si>
  <si>
    <t xml:space="preserve">"2017-05-23 07:05:49.775598"</t>
  </si>
  <si>
    <t xml:space="preserve">"2671"</t>
  </si>
  <si>
    <t xml:space="preserve">"khane ka soda"</t>
  </si>
  <si>
    <t xml:space="preserve">"dhokla-khane-ka-soda"</t>
  </si>
  <si>
    <t xml:space="preserve">"2017-05-23 07:05:49.886864"</t>
  </si>
  <si>
    <t xml:space="preserve">"2017-05-23 07:05:49.886911"</t>
  </si>
  <si>
    <t xml:space="preserve">"2672"</t>
  </si>
  <si>
    <t xml:space="preserve">"sauf"</t>
  </si>
  <si>
    <t xml:space="preserve">"dhokla-sauf"</t>
  </si>
  <si>
    <t xml:space="preserve">"2017-05-23 07:05:50.008130"</t>
  </si>
  <si>
    <t xml:space="preserve">"2017-05-23 07:05:50.008171"</t>
  </si>
  <si>
    <t xml:space="preserve">"179"</t>
  </si>
  <si>
    <t xml:space="preserve">"2673"</t>
  </si>
  <si>
    <t xml:space="preserve">"dhokla-rai"</t>
  </si>
  <si>
    <t xml:space="preserve">"2017-05-23 07:05:50.147421"</t>
  </si>
  <si>
    <t xml:space="preserve">"2017-05-23 07:05:50.147458"</t>
  </si>
  <si>
    <t xml:space="preserve">"2674"</t>
  </si>
  <si>
    <t xml:space="preserve">"dhokla-gound-nut-oil"</t>
  </si>
  <si>
    <t xml:space="preserve">"2017-05-23 07:05:50.273239"</t>
  </si>
  <si>
    <t xml:space="preserve">"2017-05-23 07:05:50.273279"</t>
  </si>
  <si>
    <t xml:space="preserve">"2675"</t>
  </si>
  <si>
    <t xml:space="preserve">"dhokla-sugar-2667"</t>
  </si>
  <si>
    <t xml:space="preserve">"2017-05-23 07:05:50.413482"</t>
  </si>
  <si>
    <t xml:space="preserve">"2017-05-23 07:05:50.413518"</t>
  </si>
  <si>
    <t xml:space="preserve">"2676"</t>
  </si>
  <si>
    <t xml:space="preserve">"dhokla-water-2663-2664"</t>
  </si>
  <si>
    <t xml:space="preserve">"2017-05-23 07:05:50.577637"</t>
  </si>
  <si>
    <t xml:space="preserve">"2017-05-23 07:05:50.577671"</t>
  </si>
  <si>
    <t xml:space="preserve">"2677"</t>
  </si>
  <si>
    <t xml:space="preserve">"green-chutney-dhokla-and-mumbai-bhel-dhaniya-patta"</t>
  </si>
  <si>
    <t xml:space="preserve">"2017-05-23 07:05:50.712899"</t>
  </si>
  <si>
    <t xml:space="preserve">"2017-05-23 07:05:50.712935"</t>
  </si>
  <si>
    <t xml:space="preserve">"2678"</t>
  </si>
  <si>
    <t xml:space="preserve">"dalia"</t>
  </si>
  <si>
    <t xml:space="preserve">"green-chutney-dhokla-and-mumbai-bhel-daliya"</t>
  </si>
  <si>
    <t xml:space="preserve">"2017-05-23 07:05:50.840998"</t>
  </si>
  <si>
    <t xml:space="preserve">"2017-05-23 07:05:50.841046"</t>
  </si>
  <si>
    <t xml:space="preserve">"when u take  this chutney for"</t>
  </si>
  <si>
    <t xml:space="preserve">"2679"</t>
  </si>
  <si>
    <t xml:space="preserve">"pudina leaves"</t>
  </si>
  <si>
    <t xml:space="preserve">"green-chutney-dhokla-and-mumbai-bhel-pudina-leaves"</t>
  </si>
  <si>
    <t xml:space="preserve">"2017-05-23 07:05:50.984404"</t>
  </si>
  <si>
    <t xml:space="preserve">"2017-05-23 07:05:50.984448"</t>
  </si>
  <si>
    <t xml:space="preserve">"mumbai bhel add 50 gm chilli"</t>
  </si>
  <si>
    <t xml:space="preserve">"2680"</t>
  </si>
  <si>
    <t xml:space="preserve">"green-chutney-dhokla-and-mumbai-bhel-lemon"</t>
  </si>
  <si>
    <t xml:space="preserve">"2017-05-23 07:05:51.131019"</t>
  </si>
  <si>
    <t xml:space="preserve">"2017-05-23 07:05:51.131056"</t>
  </si>
  <si>
    <t xml:space="preserve">"2681"</t>
  </si>
  <si>
    <t xml:space="preserve">"green-chutney-dhokla-and-mumbai-bhel-salt"</t>
  </si>
  <si>
    <t xml:space="preserve">"2017-05-23 07:05:51.261979"</t>
  </si>
  <si>
    <t xml:space="preserve">"2017-05-23 07:05:51.262038"</t>
  </si>
  <si>
    <t xml:space="preserve">"2682"</t>
  </si>
  <si>
    <t xml:space="preserve">"chili (only for Bhel)"</t>
  </si>
  <si>
    <t xml:space="preserve">"green-chutney-dhokla-and-mumbai-bhel-hari-mirchi"</t>
  </si>
  <si>
    <t xml:space="preserve">"2017-05-23 07:05:51.411183"</t>
  </si>
  <si>
    <t xml:space="preserve">"2017-05-23 07:05:51.411222"</t>
  </si>
  <si>
    <t xml:space="preserve">"2683"</t>
  </si>
  <si>
    <t xml:space="preserve">"matar"</t>
  </si>
  <si>
    <t xml:space="preserve">"patla-poha-matar"</t>
  </si>
  <si>
    <t xml:space="preserve">"2017-05-23 07:05:51.550588"</t>
  </si>
  <si>
    <t xml:space="preserve">"2017-05-23 07:05:51.550642"</t>
  </si>
  <si>
    <t xml:space="preserve">"140"</t>
  </si>
  <si>
    <t xml:space="preserve">"2684"</t>
  </si>
  <si>
    <t xml:space="preserve">"patla-poha-gajar"</t>
  </si>
  <si>
    <t xml:space="preserve">"2017-05-23 07:05:51.684515"</t>
  </si>
  <si>
    <t xml:space="preserve">"2017-05-23 07:05:51.684551"</t>
  </si>
  <si>
    <t xml:space="preserve">"2685"</t>
  </si>
  <si>
    <t xml:space="preserve">"kakdi"</t>
  </si>
  <si>
    <t xml:space="preserve">"patla-poha-kakdi"</t>
  </si>
  <si>
    <t xml:space="preserve">"2017-05-23 07:05:51.805980"</t>
  </si>
  <si>
    <t xml:space="preserve">"2017-05-23 07:05:51.806029"</t>
  </si>
  <si>
    <t xml:space="preserve">"2686"</t>
  </si>
  <si>
    <t xml:space="preserve">"patla-poha-tomato"</t>
  </si>
  <si>
    <t xml:space="preserve">"2017-05-23 07:05:51.921185"</t>
  </si>
  <si>
    <t xml:space="preserve">"2017-05-23 07:05:51.921244"</t>
  </si>
  <si>
    <t xml:space="preserve">"2687"</t>
  </si>
  <si>
    <t xml:space="preserve">"patla-poha-coconut"</t>
  </si>
  <si>
    <t xml:space="preserve">"2017-05-23 07:05:52.054831"</t>
  </si>
  <si>
    <t xml:space="preserve">"2017-05-23 07:05:52.054869"</t>
  </si>
  <si>
    <t xml:space="preserve">"2688"</t>
  </si>
  <si>
    <t xml:space="preserve">"patla-poha-dhaniya-patta"</t>
  </si>
  <si>
    <t xml:space="preserve">"2017-05-23 07:05:52.189972"</t>
  </si>
  <si>
    <t xml:space="preserve">"2017-05-23 07:05:52.190022"</t>
  </si>
  <si>
    <t xml:space="preserve">"2689"</t>
  </si>
  <si>
    <t xml:space="preserve">"green chilly long cut"</t>
  </si>
  <si>
    <t xml:space="preserve">"patla-poha-hari-mirchi"</t>
  </si>
  <si>
    <t xml:space="preserve">"2017-05-23 07:05:52.328609"</t>
  </si>
  <si>
    <t xml:space="preserve">"2017-05-23 07:05:52.328647"</t>
  </si>
  <si>
    <t xml:space="preserve">"2690"</t>
  </si>
  <si>
    <t xml:space="preserve">"patla-poha-kadi-patta"</t>
  </si>
  <si>
    <t xml:space="preserve">"2017-05-23 07:05:52.471365"</t>
  </si>
  <si>
    <t xml:space="preserve">"2017-05-23 07:05:52.471412"</t>
  </si>
  <si>
    <t xml:space="preserve">"2691"</t>
  </si>
  <si>
    <t xml:space="preserve">"patala poha"</t>
  </si>
  <si>
    <t xml:space="preserve">"patla-poha-patala-poha"</t>
  </si>
  <si>
    <t xml:space="preserve">"2017-05-23 07:05:52.623372"</t>
  </si>
  <si>
    <t xml:space="preserve">"2017-05-23 07:05:52.623415"</t>
  </si>
  <si>
    <t xml:space="preserve">"2692"</t>
  </si>
  <si>
    <t xml:space="preserve">"patla-poha-sugar"</t>
  </si>
  <si>
    <t xml:space="preserve">"2017-05-23 07:05:52.780852"</t>
  </si>
  <si>
    <t xml:space="preserve">"2017-05-23 07:05:52.780894"</t>
  </si>
  <si>
    <t xml:space="preserve">"2693"</t>
  </si>
  <si>
    <t xml:space="preserve">"patla-poha-salt"</t>
  </si>
  <si>
    <t xml:space="preserve">"2017-05-23 07:05:52.927310"</t>
  </si>
  <si>
    <t xml:space="preserve">"2017-05-23 07:05:52.927352"</t>
  </si>
  <si>
    <t xml:space="preserve">"2694"</t>
  </si>
  <si>
    <t xml:space="preserve">"patla-poha-singdana"</t>
  </si>
  <si>
    <t xml:space="preserve">"2017-05-23 07:05:53.082339"</t>
  </si>
  <si>
    <t xml:space="preserve">"2017-05-23 07:05:53.082405"</t>
  </si>
  <si>
    <t xml:space="preserve">"2695"</t>
  </si>
  <si>
    <t xml:space="preserve">"patla-poha-ground-nut-oil"</t>
  </si>
  <si>
    <t xml:space="preserve">"2017-05-23 07:05:53.225970"</t>
  </si>
  <si>
    <t xml:space="preserve">"2017-05-23 07:05:53.226024"</t>
  </si>
  <si>
    <t xml:space="preserve">"2696"</t>
  </si>
  <si>
    <t xml:space="preserve">"patla-poha-rai"</t>
  </si>
  <si>
    <t xml:space="preserve">"2017-05-23 07:05:53.377627"</t>
  </si>
  <si>
    <t xml:space="preserve">"2017-05-23 07:05:53.377671"</t>
  </si>
  <si>
    <t xml:space="preserve">"2697"</t>
  </si>
  <si>
    <t xml:space="preserve">"patla-poha-jeera"</t>
  </si>
  <si>
    <t xml:space="preserve">"2017-05-23 07:05:53.541645"</t>
  </si>
  <si>
    <t xml:space="preserve">"2017-05-23 07:05:53.541682"</t>
  </si>
  <si>
    <t xml:space="preserve">"2698"</t>
  </si>
  <si>
    <t xml:space="preserve">"patla-poha-haldi"</t>
  </si>
  <si>
    <t xml:space="preserve">"2017-05-23 07:05:53.710548"</t>
  </si>
  <si>
    <t xml:space="preserve">"2017-05-23 07:05:53.710601"</t>
  </si>
  <si>
    <t xml:space="preserve">"2699"</t>
  </si>
  <si>
    <t xml:space="preserve">"green chili chopped"</t>
  </si>
  <si>
    <t xml:space="preserve">"mumbai-bhel-hari-mirchi"</t>
  </si>
  <si>
    <t xml:space="preserve">"2017-05-23 07:05:53.852345"</t>
  </si>
  <si>
    <t xml:space="preserve">"2017-05-23 07:05:53.852381"</t>
  </si>
  <si>
    <t xml:space="preserve">"2700"</t>
  </si>
  <si>
    <t xml:space="preserve">"greeen chilly long cut"</t>
  </si>
  <si>
    <t xml:space="preserve">"mumbai-bhel-hari-mirchi-2699"</t>
  </si>
  <si>
    <t xml:space="preserve">"2017-05-23 07:05:54.000634"</t>
  </si>
  <si>
    <t xml:space="preserve">"2017-05-23 07:05:54.000674"</t>
  </si>
  <si>
    <t xml:space="preserve">"1 DAY BEFORE"</t>
  </si>
  <si>
    <t xml:space="preserve">"2701"</t>
  </si>
  <si>
    <t xml:space="preserve">"mumbai-bhel-lemon"</t>
  </si>
  <si>
    <t xml:space="preserve">"2017-05-23 07:05:54.157528"</t>
  </si>
  <si>
    <t xml:space="preserve">"2017-05-23 07:05:54.157588"</t>
  </si>
  <si>
    <t xml:space="preserve">"in oil roast ALL  kurmura,singdana"</t>
  </si>
  <si>
    <t xml:space="preserve">"2702"</t>
  </si>
  <si>
    <t xml:space="preserve">"sev"</t>
  </si>
  <si>
    <t xml:space="preserve">"mumbai-bhel-sev"</t>
  </si>
  <si>
    <t xml:space="preserve">"2017-05-23 07:05:54.296534"</t>
  </si>
  <si>
    <t xml:space="preserve">"2017-05-23 07:05:54.296570"</t>
  </si>
  <si>
    <t xml:space="preserve">"180"</t>
  </si>
  <si>
    <t xml:space="preserve">",daliya,green chili(1 ltr)"</t>
  </si>
  <si>
    <t xml:space="preserve">"2703"</t>
  </si>
  <si>
    <t xml:space="preserve">"mumbai-bhel-tomato"</t>
  </si>
  <si>
    <t xml:space="preserve">"2017-05-23 07:05:54.397853"</t>
  </si>
  <si>
    <t xml:space="preserve">"2017-05-23 07:05:54.397920"</t>
  </si>
  <si>
    <t xml:space="preserve">"with haldi,kashmiri chili pwd"</t>
  </si>
  <si>
    <t xml:space="preserve">"2704"</t>
  </si>
  <si>
    <t xml:space="preserve">"mumbai-bhel-alu"</t>
  </si>
  <si>
    <t xml:space="preserve">"2017-05-23 07:05:54.497659"</t>
  </si>
  <si>
    <t xml:space="preserve">"2017-05-23 07:05:54.497703"</t>
  </si>
  <si>
    <t xml:space="preserve">"nxt morning add other item"</t>
  </si>
  <si>
    <t xml:space="preserve">"2705"</t>
  </si>
  <si>
    <t xml:space="preserve">"mumbai-bhel-kakdi"</t>
  </si>
  <si>
    <t xml:space="preserve">"2017-05-23 07:05:54.605151"</t>
  </si>
  <si>
    <t xml:space="preserve">"2017-05-23 07:05:54.605196"</t>
  </si>
  <si>
    <t xml:space="preserve">"2706"</t>
  </si>
  <si>
    <t xml:space="preserve">"mumbai-bhel-dhaniya-patta"</t>
  </si>
  <si>
    <t xml:space="preserve">"2017-05-23 07:05:54.746810"</t>
  </si>
  <si>
    <t xml:space="preserve">"2017-05-23 07:05:54.746848"</t>
  </si>
  <si>
    <t xml:space="preserve">"2707"</t>
  </si>
  <si>
    <t xml:space="preserve">"mumbai-bhel-kadi-patta"</t>
  </si>
  <si>
    <t xml:space="preserve">"2017-05-23 07:05:54.891773"</t>
  </si>
  <si>
    <t xml:space="preserve">"2017-05-23 07:05:54.891811"</t>
  </si>
  <si>
    <t xml:space="preserve">"2708"</t>
  </si>
  <si>
    <t xml:space="preserve">"mumbai-bhel-kurmura"</t>
  </si>
  <si>
    <t xml:space="preserve">"2017-05-23 07:05:55.022930"</t>
  </si>
  <si>
    <t xml:space="preserve">"2017-05-23 07:05:55.022996"</t>
  </si>
  <si>
    <t xml:space="preserve">"2709"</t>
  </si>
  <si>
    <t xml:space="preserve">"mumbai-bhel-salt"</t>
  </si>
  <si>
    <t xml:space="preserve">"2017-05-23 07:05:55.157493"</t>
  </si>
  <si>
    <t xml:space="preserve">"2017-05-23 07:05:55.157535"</t>
  </si>
  <si>
    <t xml:space="preserve">"2710"</t>
  </si>
  <si>
    <t xml:space="preserve">"madrasi chilli powder"</t>
  </si>
  <si>
    <t xml:space="preserve">"mumbai-bhel-madrasi-mirchi-powder"</t>
  </si>
  <si>
    <t xml:space="preserve">"2017-05-23 07:05:55.289161"</t>
  </si>
  <si>
    <t xml:space="preserve">"2017-05-23 07:05:55.289215"</t>
  </si>
  <si>
    <t xml:space="preserve">"2711"</t>
  </si>
  <si>
    <t xml:space="preserve">"haldi powder"</t>
  </si>
  <si>
    <t xml:space="preserve">"mumbai-bhel-haldi"</t>
  </si>
  <si>
    <t xml:space="preserve">"2017-05-23 07:05:55.430417"</t>
  </si>
  <si>
    <t xml:space="preserve">"2017-05-23 07:05:55.430454"</t>
  </si>
  <si>
    <t xml:space="preserve">"2712"</t>
  </si>
  <si>
    <t xml:space="preserve">"mumbai-bhel-rai"</t>
  </si>
  <si>
    <t xml:space="preserve">"2017-05-23 07:05:55.567621"</t>
  </si>
  <si>
    <t xml:space="preserve">"2017-05-23 07:05:55.567659"</t>
  </si>
  <si>
    <t xml:space="preserve">"2713"</t>
  </si>
  <si>
    <t xml:space="preserve">"mumbai-bhel-jeera"</t>
  </si>
  <si>
    <t xml:space="preserve">"2017-05-23 07:05:55.706184"</t>
  </si>
  <si>
    <t xml:space="preserve">"2017-05-23 07:05:55.706221"</t>
  </si>
  <si>
    <t xml:space="preserve">"2714"</t>
  </si>
  <si>
    <t xml:space="preserve">"akkha madrasi mirh dry"</t>
  </si>
  <si>
    <t xml:space="preserve">"mumbai-bhel-akkha-madrasi-mirchi"</t>
  </si>
  <si>
    <t xml:space="preserve">"2017-05-23 07:05:55.807581"</t>
  </si>
  <si>
    <t xml:space="preserve">"2017-05-23 07:05:55.807623"</t>
  </si>
  <si>
    <t xml:space="preserve">"2715"</t>
  </si>
  <si>
    <t xml:space="preserve">"mumbai-bhel-gound-nut-oil"</t>
  </si>
  <si>
    <t xml:space="preserve">"2017-05-23 07:05:55.939441"</t>
  </si>
  <si>
    <t xml:space="preserve">"2017-05-23 07:05:55.939478"</t>
  </si>
  <si>
    <t xml:space="preserve">"2716"</t>
  </si>
  <si>
    <t xml:space="preserve">"mumbai-bhel-singdana"</t>
  </si>
  <si>
    <t xml:space="preserve">"2017-05-23 07:05:56.041132"</t>
  </si>
  <si>
    <t xml:space="preserve">"2017-05-23 07:05:56.041229"</t>
  </si>
  <si>
    <t xml:space="preserve">"2717"</t>
  </si>
  <si>
    <t xml:space="preserve">"mumbai-bhel-daliya"</t>
  </si>
  <si>
    <t xml:space="preserve">"2017-05-23 07:05:56.182698"</t>
  </si>
  <si>
    <t xml:space="preserve">"2017-05-23 07:05:56.182735"</t>
  </si>
  <si>
    <t xml:space="preserve">"2718"</t>
  </si>
  <si>
    <t xml:space="preserve">"MASALA FOR BHEL SABJI"</t>
  </si>
  <si>
    <t xml:space="preserve">"mumbai-bhel-masala-for-bhel-sabji"</t>
  </si>
  <si>
    <t xml:space="preserve">"2017-05-23 07:05:56.282508"</t>
  </si>
  <si>
    <t xml:space="preserve">"2017-05-23 07:05:56.282548"</t>
  </si>
  <si>
    <t xml:space="preserve">"221"</t>
  </si>
  <si>
    <t xml:space="preserve">"2719"</t>
  </si>
  <si>
    <t xml:space="preserve">"chat masala"</t>
  </si>
  <si>
    <t xml:space="preserve">"mumbai-bhel-chat-masala"</t>
  </si>
  <si>
    <t xml:space="preserve">"2017-05-23 07:05:56.445786"</t>
  </si>
  <si>
    <t xml:space="preserve">"2017-05-23 07:05:56.445825"</t>
  </si>
  <si>
    <t xml:space="preserve">"2720"</t>
  </si>
  <si>
    <t xml:space="preserve">"mumbai-bhel-salt-2709"</t>
  </si>
  <si>
    <t xml:space="preserve">"2017-05-23 07:05:56.577764"</t>
  </si>
  <si>
    <t xml:space="preserve">"2017-05-23 07:05:56.577799"</t>
  </si>
  <si>
    <t xml:space="preserve">"2721"</t>
  </si>
  <si>
    <t xml:space="preserve">"mumbai-bhel-black-salt"</t>
  </si>
  <si>
    <t xml:space="preserve">"2017-05-23 07:05:56.727234"</t>
  </si>
  <si>
    <t xml:space="preserve">"2017-05-23 07:05:56.727276"</t>
  </si>
  <si>
    <t xml:space="preserve">"2722"</t>
  </si>
  <si>
    <t xml:space="preserve">"gauranga-fried-rice-gajar"</t>
  </si>
  <si>
    <t xml:space="preserve">"2017-05-23 07:05:56.847180"</t>
  </si>
  <si>
    <t xml:space="preserve">"2017-05-23 07:05:56.847218"</t>
  </si>
  <si>
    <t xml:space="preserve">"2723"</t>
  </si>
  <si>
    <t xml:space="preserve">"gauranga-fried-rice-beans"</t>
  </si>
  <si>
    <t xml:space="preserve">"2017-05-23 07:05:56.968966"</t>
  </si>
  <si>
    <t xml:space="preserve">"2017-05-23 07:05:56.969008"</t>
  </si>
  <si>
    <t xml:space="preserve">"2724"</t>
  </si>
  <si>
    <t xml:space="preserve">"gauranga-fried-rice-green-peas"</t>
  </si>
  <si>
    <t xml:space="preserve">"2017-05-23 07:05:57.123992"</t>
  </si>
  <si>
    <t xml:space="preserve">"2017-05-23 07:05:57.124036"</t>
  </si>
  <si>
    <t xml:space="preserve">"note -sabji  given in nxt coloumn are for 25 kg rice,"</t>
  </si>
  <si>
    <t xml:space="preserve">"2725"</t>
  </si>
  <si>
    <t xml:space="preserve">"gauranga-fried-rice-hari-mirchi"</t>
  </si>
  <si>
    <t xml:space="preserve">"2017-05-23 07:05:57.285165"</t>
  </si>
  <si>
    <t xml:space="preserve">"2017-05-23 07:05:57.285200"</t>
  </si>
  <si>
    <t xml:space="preserve">"and masala and grains given in other"</t>
  </si>
  <si>
    <t xml:space="preserve">"2726"</t>
  </si>
  <si>
    <t xml:space="preserve">"gauranga-fried-rice-adrak"</t>
  </si>
  <si>
    <t xml:space="preserve">"2017-05-23 07:05:57.412439"</t>
  </si>
  <si>
    <t xml:space="preserve">"2017-05-23 07:05:57.412490"</t>
  </si>
  <si>
    <t xml:space="preserve">"coloumn are for 6.25 kg  and 4.25 kg rice"</t>
  </si>
  <si>
    <t xml:space="preserve">"2727"</t>
  </si>
  <si>
    <t xml:space="preserve">"gauranga-fried-rice-kadi-patta"</t>
  </si>
  <si>
    <t xml:space="preserve">"2017-05-23 07:05:57.519362"</t>
  </si>
  <si>
    <t xml:space="preserve">"2017-05-23 07:05:57.519410"</t>
  </si>
  <si>
    <t xml:space="preserve">"2728"</t>
  </si>
  <si>
    <t xml:space="preserve">"gauranga-fried-rice-tomato"</t>
  </si>
  <si>
    <t xml:space="preserve">"2017-05-23 07:05:57.653062"</t>
  </si>
  <si>
    <t xml:space="preserve">"2017-05-23 07:05:57.653101"</t>
  </si>
  <si>
    <t xml:space="preserve">"2729"</t>
  </si>
  <si>
    <t xml:space="preserve">"gauranga-fried-rice-dhaniya-patta"</t>
  </si>
  <si>
    <t xml:space="preserve">"2017-05-23 07:05:57.784655"</t>
  </si>
  <si>
    <t xml:space="preserve">"2017-05-23 07:05:57.784697"</t>
  </si>
  <si>
    <t xml:space="preserve">"2730"</t>
  </si>
  <si>
    <t xml:space="preserve">"oil 1.5 ltr for 6.25 kg batch"</t>
  </si>
  <si>
    <t xml:space="preserve">"gauranga-fried-rice-gound-nut-oil"</t>
  </si>
  <si>
    <t xml:space="preserve">"2017-05-23 07:05:57.918474"</t>
  </si>
  <si>
    <t xml:space="preserve">"2017-05-23 07:05:57.918521"</t>
  </si>
  <si>
    <t xml:space="preserve">"in 4.25 kg rice batch add 0.8 cup salt"</t>
  </si>
  <si>
    <t xml:space="preserve">"2731"</t>
  </si>
  <si>
    <t xml:space="preserve">"gauranga-fried-rice-rice"</t>
  </si>
  <si>
    <t xml:space="preserve">"2017-05-23 07:05:58.052924"</t>
  </si>
  <si>
    <t xml:space="preserve">"2017-05-23 07:05:58.052963"</t>
  </si>
  <si>
    <t xml:space="preserve">"in 1 kadhai sabji add 1 cup salt ( this sabji is for 2 batches of rice"</t>
  </si>
  <si>
    <t xml:space="preserve">"6.25"</t>
  </si>
  <si>
    <t xml:space="preserve">"2732"</t>
  </si>
  <si>
    <t xml:space="preserve">"gauranga-fried-rice-haldi"</t>
  </si>
  <si>
    <t xml:space="preserve">"2017-05-23 07:05:58.195962"</t>
  </si>
  <si>
    <t xml:space="preserve">"2017-05-23 07:05:58.196015"</t>
  </si>
  <si>
    <t xml:space="preserve">"of 4.25 kg each)"</t>
  </si>
  <si>
    <t xml:space="preserve">"2733"</t>
  </si>
  <si>
    <t xml:space="preserve">"gauranga-fried-rice-rai"</t>
  </si>
  <si>
    <t xml:space="preserve">"2017-05-23 07:05:58.329113"</t>
  </si>
  <si>
    <t xml:space="preserve">"2017-05-23 07:05:58.329162"</t>
  </si>
  <si>
    <t xml:space="preserve">"2734"</t>
  </si>
  <si>
    <t xml:space="preserve">"gauranga-fried-rice-jeera"</t>
  </si>
  <si>
    <t xml:space="preserve">"2017-05-23 07:05:58.473211"</t>
  </si>
  <si>
    <t xml:space="preserve">"2017-05-23 07:05:58.473257"</t>
  </si>
  <si>
    <t xml:space="preserve">"2735"</t>
  </si>
  <si>
    <t xml:space="preserve">"kashmiri chilly PWD"</t>
  </si>
  <si>
    <t xml:space="preserve">"gauranga-fried-rice-kashmiri-chilly-powder"</t>
  </si>
  <si>
    <t xml:space="preserve">"2017-05-23 07:05:58.613535"</t>
  </si>
  <si>
    <t xml:space="preserve">"2017-05-23 07:05:58.613605"</t>
  </si>
  <si>
    <t xml:space="preserve">"2736"</t>
  </si>
  <si>
    <t xml:space="preserve">"gauranga-fried-rice-hing"</t>
  </si>
  <si>
    <t xml:space="preserve">"2017-05-23 07:05:58.773366"</t>
  </si>
  <si>
    <t xml:space="preserve">"2017-05-23 07:05:58.773407"</t>
  </si>
  <si>
    <t xml:space="preserve">"2737"</t>
  </si>
  <si>
    <t xml:space="preserve">"gauranga-fried-rice-salt"</t>
  </si>
  <si>
    <t xml:space="preserve">"2017-05-23 07:05:58.899201"</t>
  </si>
  <si>
    <t xml:space="preserve">"2017-05-23 07:05:58.899242"</t>
  </si>
  <si>
    <t xml:space="preserve">"1.7"</t>
  </si>
  <si>
    <t xml:space="preserve">"2738"</t>
  </si>
  <si>
    <t xml:space="preserve">"gauranga-fried-rice-rice-2731"</t>
  </si>
  <si>
    <t xml:space="preserve">"2017-05-23 07:05:59.051716"</t>
  </si>
  <si>
    <t xml:space="preserve">"2017-05-23 07:05:59.051753"</t>
  </si>
  <si>
    <t xml:space="preserve">"4.25"</t>
  </si>
  <si>
    <t xml:space="preserve">"2739"</t>
  </si>
  <si>
    <t xml:space="preserve">"gauranga-fried-rice-haldi-2732"</t>
  </si>
  <si>
    <t xml:space="preserve">"2017-05-23 07:05:59.209788"</t>
  </si>
  <si>
    <t xml:space="preserve">"2017-05-23 07:05:59.209823"</t>
  </si>
  <si>
    <t xml:space="preserve">"2740"</t>
  </si>
  <si>
    <t xml:space="preserve">"gauranga-fried-rice-rai-2733"</t>
  </si>
  <si>
    <t xml:space="preserve">"2017-05-23 07:05:59.340272"</t>
  </si>
  <si>
    <t xml:space="preserve">"2017-05-23 07:05:59.340307"</t>
  </si>
  <si>
    <t xml:space="preserve">"2741"</t>
  </si>
  <si>
    <t xml:space="preserve">"gauranga-fried-rice-jeera-2734"</t>
  </si>
  <si>
    <t xml:space="preserve">"2017-05-23 07:05:59.484614"</t>
  </si>
  <si>
    <t xml:space="preserve">"2017-05-23 07:05:59.484650"</t>
  </si>
  <si>
    <t xml:space="preserve">"2742"</t>
  </si>
  <si>
    <t xml:space="preserve">"gauranga-fried-rice-kashmiri-chilly-powder-2735"</t>
  </si>
  <si>
    <t xml:space="preserve">"2017-05-23 07:05:59.622746"</t>
  </si>
  <si>
    <t xml:space="preserve">"2017-05-23 07:05:59.622781"</t>
  </si>
  <si>
    <t xml:space="preserve">"2743"</t>
  </si>
  <si>
    <t xml:space="preserve">"gauranga-fried-rice-hing-2736"</t>
  </si>
  <si>
    <t xml:space="preserve">"2017-05-23 07:05:59.766517"</t>
  </si>
  <si>
    <t xml:space="preserve">"2017-05-23 07:05:59.766554"</t>
  </si>
  <si>
    <t xml:space="preserve">"2744"</t>
  </si>
  <si>
    <t xml:space="preserve">"gauranga-fried-rice-salt-2737"</t>
  </si>
  <si>
    <t xml:space="preserve">"2017-05-23 07:05:59.910793"</t>
  </si>
  <si>
    <t xml:space="preserve">"2017-05-23 07:05:59.910827"</t>
  </si>
  <si>
    <t xml:space="preserve">"2745"</t>
  </si>
  <si>
    <t xml:space="preserve">"ekadashi-upma-gajar"</t>
  </si>
  <si>
    <t xml:space="preserve">"2017-05-23 07:06:00.054393"</t>
  </si>
  <si>
    <t xml:space="preserve">"2017-05-23 07:06:00.054429"</t>
  </si>
  <si>
    <t xml:space="preserve">"2746"</t>
  </si>
  <si>
    <t xml:space="preserve">"ekadashi-upma-hari-mirchi"</t>
  </si>
  <si>
    <t xml:space="preserve">"2017-05-23 07:06:00.204232"</t>
  </si>
  <si>
    <t xml:space="preserve">"2017-05-23 07:06:00.204276"</t>
  </si>
  <si>
    <t xml:space="preserve">"2747"</t>
  </si>
  <si>
    <t xml:space="preserve">"ekadashi-upma-dhaniya-patta"</t>
  </si>
  <si>
    <t xml:space="preserve">"2017-05-23 07:06:00.348116"</t>
  </si>
  <si>
    <t xml:space="preserve">"2017-05-23 07:06:00.348157"</t>
  </si>
  <si>
    <t xml:space="preserve">"WATER CALCUL"</t>
  </si>
  <si>
    <t xml:space="preserve">"2748"</t>
  </si>
  <si>
    <t xml:space="preserve">"ekadashi-upma-adrak"</t>
  </si>
  <si>
    <t xml:space="preserve">"2017-05-23 07:06:00.492240"</t>
  </si>
  <si>
    <t xml:space="preserve">"2017-05-23 07:06:00.492293"</t>
  </si>
  <si>
    <t xml:space="preserve">"1 tub-30 ltr"</t>
  </si>
  <si>
    <t xml:space="preserve">"2749"</t>
  </si>
  <si>
    <t xml:space="preserve">"ekadashi-upma-kadi-patta"</t>
  </si>
  <si>
    <t xml:space="preserve">"2017-05-23 07:06:00.650704"</t>
  </si>
  <si>
    <t xml:space="preserve">"2017-05-23 07:06:00.650741"</t>
  </si>
  <si>
    <t xml:space="preserve">"(below line) THIS"</t>
  </si>
  <si>
    <t xml:space="preserve">"2750"</t>
  </si>
  <si>
    <t xml:space="preserve">"ekadashi-upma-hot-water"</t>
  </si>
  <si>
    <t xml:space="preserve">"2017-05-23 07:06:00.791418"</t>
  </si>
  <si>
    <t xml:space="preserve">"2017-05-23 07:06:00.791485"</t>
  </si>
  <si>
    <t xml:space="preserve">"TYPE WE USE MOSTLY"</t>
  </si>
  <si>
    <t xml:space="preserve">"2751"</t>
  </si>
  <si>
    <t xml:space="preserve">"varai"</t>
  </si>
  <si>
    <t xml:space="preserve">"ekadashi-upma-varai"</t>
  </si>
  <si>
    <t xml:space="preserve">"2017-05-23 07:06:00.926149"</t>
  </si>
  <si>
    <t xml:space="preserve">"2017-05-23 07:06:00.926191"</t>
  </si>
  <si>
    <t xml:space="preserve">"above line -till"</t>
  </si>
  <si>
    <t xml:space="preserve">"2752"</t>
  </si>
  <si>
    <t xml:space="preserve">"ekadashi-upma-gound-nut-oil"</t>
  </si>
  <si>
    <t xml:space="preserve">"2017-05-23 07:06:01.061140"</t>
  </si>
  <si>
    <t xml:space="preserve">"2017-05-23 07:06:01.061190"</t>
  </si>
  <si>
    <t xml:space="preserve">"tub is full)"</t>
  </si>
  <si>
    <t xml:space="preserve">"2753"</t>
  </si>
  <si>
    <t xml:space="preserve">"ekadashi-upma-kashmiri-chilly-powder"</t>
  </si>
  <si>
    <t xml:space="preserve">"2017-05-23 07:06:01.165243"</t>
  </si>
  <si>
    <t xml:space="preserve">"2017-05-23 07:06:01.165284"</t>
  </si>
  <si>
    <t xml:space="preserve">"2754"</t>
  </si>
  <si>
    <t xml:space="preserve">"ekadashi-upma-salt"</t>
  </si>
  <si>
    <t xml:space="preserve">"2017-05-23 07:06:01.268487"</t>
  </si>
  <si>
    <t xml:space="preserve">"2017-05-23 07:06:01.268531"</t>
  </si>
  <si>
    <t xml:space="preserve">"2755"</t>
  </si>
  <si>
    <t xml:space="preserve">"everest pulav masala"</t>
  </si>
  <si>
    <t xml:space="preserve">"ekadashi-upma-everest-pulav-masala"</t>
  </si>
  <si>
    <t xml:space="preserve">"2017-05-23 07:06:01.362342"</t>
  </si>
  <si>
    <t xml:space="preserve">"2017-05-23 07:06:01.362379"</t>
  </si>
  <si>
    <t xml:space="preserve">"2756"</t>
  </si>
  <si>
    <t xml:space="preserve">"ekadashi-upma-jeera"</t>
  </si>
  <si>
    <t xml:space="preserve">"2017-05-23 07:06:01.474468"</t>
  </si>
  <si>
    <t xml:space="preserve">"2017-05-23 07:06:01.474505"</t>
  </si>
  <si>
    <t xml:space="preserve">"2757"</t>
  </si>
  <si>
    <t xml:space="preserve">"ekadasi-khichdi-non-spicy-dudhi"</t>
  </si>
  <si>
    <t xml:space="preserve">"2017-05-23 07:06:01.568852"</t>
  </si>
  <si>
    <t xml:space="preserve">"2017-05-23 07:06:01.568894"</t>
  </si>
  <si>
    <t xml:space="preserve">"1 tub"</t>
  </si>
  <si>
    <t xml:space="preserve">"2758"</t>
  </si>
  <si>
    <t xml:space="preserve">"ekadasi-khichdi-non-spicy-bhopla"</t>
  </si>
  <si>
    <t xml:space="preserve">"2017-05-23 07:06:01.689698"</t>
  </si>
  <si>
    <t xml:space="preserve">"2017-05-23 07:06:01.689737"</t>
  </si>
  <si>
    <t xml:space="preserve">"veg-doubl of grains"</t>
  </si>
  <si>
    <t xml:space="preserve">"2759"</t>
  </si>
  <si>
    <t xml:space="preserve">"ekadasi-khichdi-non-spicy-water"</t>
  </si>
  <si>
    <t xml:space="preserve">"2017-05-23 07:06:01.844722"</t>
  </si>
  <si>
    <t xml:space="preserve">"2017-05-23 07:06:01.844810"</t>
  </si>
  <si>
    <t xml:space="preserve">"2760"</t>
  </si>
  <si>
    <t xml:space="preserve">"ekadasi-khichdi-non-spicy-kadi-patta"</t>
  </si>
  <si>
    <t xml:space="preserve">"2017-05-23 07:06:01.990174"</t>
  </si>
  <si>
    <t xml:space="preserve">"2017-05-23 07:06:01.990216"</t>
  </si>
  <si>
    <t xml:space="preserve">"2761"</t>
  </si>
  <si>
    <t xml:space="preserve">"ekadasi-khichdi-non-spicy-dhaniya-patta"</t>
  </si>
  <si>
    <t xml:space="preserve">"2017-05-23 07:06:02.096679"</t>
  </si>
  <si>
    <t xml:space="preserve">"2017-05-23 07:06:02.096722"</t>
  </si>
  <si>
    <t xml:space="preserve">"2762"</t>
  </si>
  <si>
    <t xml:space="preserve">"ekadasi-khichdi-non-spicy-adrak"</t>
  </si>
  <si>
    <t xml:space="preserve">"2017-05-23 07:06:02.197112"</t>
  </si>
  <si>
    <t xml:space="preserve">"2017-05-23 07:06:02.197154"</t>
  </si>
  <si>
    <t xml:space="preserve">"2763"</t>
  </si>
  <si>
    <t xml:space="preserve">"VARAI"</t>
  </si>
  <si>
    <t xml:space="preserve">"ekadasi-khichdi-non-spicy-varai"</t>
  </si>
  <si>
    <t xml:space="preserve">"2017-05-23 07:06:02.311159"</t>
  </si>
  <si>
    <t xml:space="preserve">"2017-05-23 07:06:02.311198"</t>
  </si>
  <si>
    <t xml:space="preserve">"2764"</t>
  </si>
  <si>
    <t xml:space="preserve">"ekadasi-khichdi-non-spicy-salt"</t>
  </si>
  <si>
    <t xml:space="preserve">"2017-05-23 07:06:02.443641"</t>
  </si>
  <si>
    <t xml:space="preserve">"2017-05-23 07:06:02.443681"</t>
  </si>
  <si>
    <t xml:space="preserve">"2765"</t>
  </si>
  <si>
    <t xml:space="preserve">"ekadasi-khichdi-non-spicy-jeera"</t>
  </si>
  <si>
    <t xml:space="preserve">"2017-05-23 07:06:02.574393"</t>
  </si>
  <si>
    <t xml:space="preserve">"2017-05-23 07:06:02.574432"</t>
  </si>
  <si>
    <t xml:space="preserve">"2766"</t>
  </si>
  <si>
    <t xml:space="preserve">"ekadasi-khichdi-non-spicy-ghee"</t>
  </si>
  <si>
    <t xml:space="preserve">"2017-05-23 07:06:02.711324"</t>
  </si>
  <si>
    <t xml:space="preserve">"2017-05-23 07:06:02.711372"</t>
  </si>
  <si>
    <t xml:space="preserve">"2767"</t>
  </si>
  <si>
    <t xml:space="preserve">"ekadashi-khichdi-spicy-tomato"</t>
  </si>
  <si>
    <t xml:space="preserve">"2017-05-23 07:06:02.826587"</t>
  </si>
  <si>
    <t xml:space="preserve">"2017-05-23 07:06:02.826629"</t>
  </si>
  <si>
    <t xml:space="preserve">"2768"</t>
  </si>
  <si>
    <t xml:space="preserve">"ekadashi-khichdi-spicy-gajar"</t>
  </si>
  <si>
    <t xml:space="preserve">"2017-05-23 07:06:02.922917"</t>
  </si>
  <si>
    <t xml:space="preserve">"2017-05-23 07:06:02.922959"</t>
  </si>
  <si>
    <t xml:space="preserve">"2769"</t>
  </si>
  <si>
    <t xml:space="preserve">"ekadashi-khichdi-spicy-dudhi"</t>
  </si>
  <si>
    <t xml:space="preserve">"2017-05-23 07:06:03.027741"</t>
  </si>
  <si>
    <t xml:space="preserve">"2017-05-23 07:06:03.027804"</t>
  </si>
  <si>
    <t xml:space="preserve">"2770"</t>
  </si>
  <si>
    <t xml:space="preserve">"ekadashi-khichdi-spicy-bhopla"</t>
  </si>
  <si>
    <t xml:space="preserve">"2017-05-23 07:06:03.180563"</t>
  </si>
  <si>
    <t xml:space="preserve">"2017-05-23 07:06:03.180603"</t>
  </si>
  <si>
    <t xml:space="preserve">"2771"</t>
  </si>
  <si>
    <t xml:space="preserve">"ekadashi-khichdi-spicy-water"</t>
  </si>
  <si>
    <t xml:space="preserve">"2017-05-23 07:06:03.331627"</t>
  </si>
  <si>
    <t xml:space="preserve">"2017-05-23 07:06:03.331688"</t>
  </si>
  <si>
    <t xml:space="preserve">"2772"</t>
  </si>
  <si>
    <t xml:space="preserve">"ekadashi-khichdi-spicy-kadi-patta"</t>
  </si>
  <si>
    <t xml:space="preserve">"2017-05-23 07:06:03.491879"</t>
  </si>
  <si>
    <t xml:space="preserve">"2017-05-23 07:06:03.491935"</t>
  </si>
  <si>
    <t xml:space="preserve">"2773"</t>
  </si>
  <si>
    <t xml:space="preserve">"ekadashi-khichdi-spicy-dhaniya-patta"</t>
  </si>
  <si>
    <t xml:space="preserve">"2017-05-23 07:06:03.631596"</t>
  </si>
  <si>
    <t xml:space="preserve">"2017-05-23 07:06:03.631643"</t>
  </si>
  <si>
    <t xml:space="preserve">"2774"</t>
  </si>
  <si>
    <t xml:space="preserve">"ekadashi-khichdi-spicy-adrak"</t>
  </si>
  <si>
    <t xml:space="preserve">"2017-05-23 07:06:03.769497"</t>
  </si>
  <si>
    <t xml:space="preserve">"2017-05-23 07:06:03.769538"</t>
  </si>
  <si>
    <t xml:space="preserve">"2775"</t>
  </si>
  <si>
    <t xml:space="preserve">"ekadashi-khichdi-spicy-hari-mirchi"</t>
  </si>
  <si>
    <t xml:space="preserve">"2017-05-23 07:06:03.864795"</t>
  </si>
  <si>
    <t xml:space="preserve">"2017-05-23 07:06:03.864858"</t>
  </si>
  <si>
    <t xml:space="preserve">"2776"</t>
  </si>
  <si>
    <t xml:space="preserve">"ekadashi-khichdi-spicy-varai"</t>
  </si>
  <si>
    <t xml:space="preserve">"2017-05-23 07:06:04.015987"</t>
  </si>
  <si>
    <t xml:space="preserve">"2017-05-23 07:06:04.016023"</t>
  </si>
  <si>
    <t xml:space="preserve">"2777"</t>
  </si>
  <si>
    <t xml:space="preserve">"ekadashi-khichdi-spicy-salt"</t>
  </si>
  <si>
    <t xml:space="preserve">"2017-05-23 07:06:04.152654"</t>
  </si>
  <si>
    <t xml:space="preserve">"2017-05-23 07:06:04.152701"</t>
  </si>
  <si>
    <t xml:space="preserve">"2778"</t>
  </si>
  <si>
    <t xml:space="preserve">"ekadashi-khichdi-spicy-jeera"</t>
  </si>
  <si>
    <t xml:space="preserve">"2017-05-23 07:06:04.292490"</t>
  </si>
  <si>
    <t xml:space="preserve">"2017-05-23 07:06:04.292526"</t>
  </si>
  <si>
    <t xml:space="preserve">"2779"</t>
  </si>
  <si>
    <t xml:space="preserve">"ekadashi-khichdi-spicy-dhaniya-powder"</t>
  </si>
  <si>
    <t xml:space="preserve">"2017-05-23 07:06:04.432735"</t>
  </si>
  <si>
    <t xml:space="preserve">"2017-05-23 07:06:04.432773"</t>
  </si>
  <si>
    <t xml:space="preserve">"2780"</t>
  </si>
  <si>
    <t xml:space="preserve">"ekadashi-khichdi-spicy-jeera-powder"</t>
  </si>
  <si>
    <t xml:space="preserve">"2017-05-23 07:06:04.564306"</t>
  </si>
  <si>
    <t xml:space="preserve">"2017-05-23 07:06:04.564369"</t>
  </si>
  <si>
    <t xml:space="preserve">"2781"</t>
  </si>
  <si>
    <t xml:space="preserve">"ekadashi-khichdi-spicy-kashmiri-chilly-powder"</t>
  </si>
  <si>
    <t xml:space="preserve">"2017-05-23 07:06:04.697412"</t>
  </si>
  <si>
    <t xml:space="preserve">"2017-05-23 07:06:04.697454"</t>
  </si>
  <si>
    <t xml:space="preserve">"2782"</t>
  </si>
  <si>
    <t xml:space="preserve">"ekadashi-khichdi-spicy-madrasi-mirchi-powder"</t>
  </si>
  <si>
    <t xml:space="preserve">"2017-05-23 07:06:04.838587"</t>
  </si>
  <si>
    <t xml:space="preserve">"2017-05-23 07:06:04.838670"</t>
  </si>
  <si>
    <t xml:space="preserve">"2783"</t>
  </si>
  <si>
    <t xml:space="preserve">"ekadashi-khichdi-spicy-akkha-madrasi-mirchi"</t>
  </si>
  <si>
    <t xml:space="preserve">"2017-05-23 07:06:04.974998"</t>
  </si>
  <si>
    <t xml:space="preserve">"2017-05-23 07:06:04.975038"</t>
  </si>
  <si>
    <t xml:space="preserve">"2784"</t>
  </si>
  <si>
    <t xml:space="preserve">"ekadashi-khichdi-spicy-gound-nut-oil"</t>
  </si>
  <si>
    <t xml:space="preserve">"2017-05-23 07:06:05.119781"</t>
  </si>
  <si>
    <t xml:space="preserve">"2017-05-23 07:06:05.119820"</t>
  </si>
  <si>
    <t xml:space="preserve">"2785"</t>
  </si>
  <si>
    <t xml:space="preserve">"ekadashi-khichdi-spicy-sugar"</t>
  </si>
  <si>
    <t xml:space="preserve">"2017-05-23 07:06:05.258612"</t>
  </si>
  <si>
    <t xml:space="preserve">"2017-05-23 07:06:05.258649"</t>
  </si>
  <si>
    <t xml:space="preserve">"2786"</t>
  </si>
  <si>
    <t xml:space="preserve">"green chily (long cut)"</t>
  </si>
  <si>
    <t xml:space="preserve">"kurmura-spicy-hari-mirchi"</t>
  </si>
  <si>
    <t xml:space="preserve">"2017-05-23 07:06:05.413360"</t>
  </si>
  <si>
    <t xml:space="preserve">"2017-05-23 07:06:05.413399"</t>
  </si>
  <si>
    <t xml:space="preserve">"2787"</t>
  </si>
  <si>
    <t xml:space="preserve">"kurmura-spicy-kadi-patta"</t>
  </si>
  <si>
    <t xml:space="preserve">"2017-05-23 07:06:05.551702"</t>
  </si>
  <si>
    <t xml:space="preserve">"2017-05-23 07:06:05.551768"</t>
  </si>
  <si>
    <t xml:space="preserve">"2788"</t>
  </si>
  <si>
    <t xml:space="preserve">"kurmura"</t>
  </si>
  <si>
    <t xml:space="preserve">"kurmura-spicy-kurmura"</t>
  </si>
  <si>
    <t xml:space="preserve">"2017-05-23 07:06:05.707210"</t>
  </si>
  <si>
    <t xml:space="preserve">"2017-05-23 07:06:05.707253"</t>
  </si>
  <si>
    <t xml:space="preserve">"2789"</t>
  </si>
  <si>
    <t xml:space="preserve">"ground nut akkha"</t>
  </si>
  <si>
    <t xml:space="preserve">"kurmura-spicy-singdana"</t>
  </si>
  <si>
    <t xml:space="preserve">"2017-05-23 07:06:05.856743"</t>
  </si>
  <si>
    <t xml:space="preserve">"2017-05-23 07:06:05.856779"</t>
  </si>
  <si>
    <t xml:space="preserve">"2790"</t>
  </si>
  <si>
    <t xml:space="preserve">"daliya roasted"</t>
  </si>
  <si>
    <t xml:space="preserve">"kurmura-spicy-daliya"</t>
  </si>
  <si>
    <t xml:space="preserve">"2017-05-23 07:06:06.004911"</t>
  </si>
  <si>
    <t xml:space="preserve">"2017-05-23 07:06:06.004946"</t>
  </si>
  <si>
    <t xml:space="preserve">"2791"</t>
  </si>
  <si>
    <t xml:space="preserve">"kurmura-spicy-ground-nut-oil"</t>
  </si>
  <si>
    <t xml:space="preserve">"2017-05-23 07:06:06.122681"</t>
  </si>
  <si>
    <t xml:space="preserve">"2017-05-23 07:06:06.122718"</t>
  </si>
  <si>
    <t xml:space="preserve">"2792"</t>
  </si>
  <si>
    <t xml:space="preserve">"kurmura-spicy-salt"</t>
  </si>
  <si>
    <t xml:space="preserve">"2017-05-23 07:06:06.253253"</t>
  </si>
  <si>
    <t xml:space="preserve">"2017-05-23 07:06:06.253291"</t>
  </si>
  <si>
    <t xml:space="preserve">"2793"</t>
  </si>
  <si>
    <t xml:space="preserve">"kurmura-spicy-akkha-madrasi-mirchi"</t>
  </si>
  <si>
    <t xml:space="preserve">"2017-05-23 07:06:06.387581"</t>
  </si>
  <si>
    <t xml:space="preserve">"2017-05-23 07:06:06.387627"</t>
  </si>
  <si>
    <t xml:space="preserve">"2794"</t>
  </si>
  <si>
    <t xml:space="preserve">"sweet-corn-boild-bhutta-sweet-corn"</t>
  </si>
  <si>
    <t xml:space="preserve">"2017-05-23 07:06:06.520736"</t>
  </si>
  <si>
    <t xml:space="preserve">"2017-05-23 07:06:06.520782"</t>
  </si>
  <si>
    <t xml:space="preserve">"2795"</t>
  </si>
  <si>
    <t xml:space="preserve">"sweet-corn-boild-bhutta-black-salt"</t>
  </si>
  <si>
    <t xml:space="preserve">"2017-05-23 07:06:06.621014"</t>
  </si>
  <si>
    <t xml:space="preserve">"2017-05-23 07:06:06.621053"</t>
  </si>
  <si>
    <t xml:space="preserve">"2796"</t>
  </si>
  <si>
    <t xml:space="preserve">"alu-churchury-alu"</t>
  </si>
  <si>
    <t xml:space="preserve">"2017-05-24 10:09:10.028227"</t>
  </si>
  <si>
    <t xml:space="preserve">"2017-05-23 07:06:06.720424"</t>
  </si>
  <si>
    <t xml:space="preserve">"2797"</t>
  </si>
  <si>
    <t xml:space="preserve">"alu-churchury-dhaniya-patta"</t>
  </si>
  <si>
    <t xml:space="preserve">"2017-05-23 07:06:06.861149"</t>
  </si>
  <si>
    <t xml:space="preserve">"2017-05-23 07:06:06.861190"</t>
  </si>
  <si>
    <t xml:space="preserve">"2798"</t>
  </si>
  <si>
    <t xml:space="preserve">"alu-churchury-rai"</t>
  </si>
  <si>
    <t xml:space="preserve">"2017-05-23 07:06:07.016670"</t>
  </si>
  <si>
    <t xml:space="preserve">"2017-05-23 07:06:07.016709"</t>
  </si>
  <si>
    <t xml:space="preserve">"2799"</t>
  </si>
  <si>
    <t xml:space="preserve">"alu-churchury-hing"</t>
  </si>
  <si>
    <t xml:space="preserve">"2017-05-23 07:06:07.148892"</t>
  </si>
  <si>
    <t xml:space="preserve">"2017-05-23 07:06:07.148928"</t>
  </si>
  <si>
    <t xml:space="preserve">"2800"</t>
  </si>
  <si>
    <t xml:space="preserve">"alu-churchury-haldi"</t>
  </si>
  <si>
    <t xml:space="preserve">"2017-05-23 07:06:07.283234"</t>
  </si>
  <si>
    <t xml:space="preserve">"2017-05-23 07:06:07.283276"</t>
  </si>
  <si>
    <t xml:space="preserve">"2801"</t>
  </si>
  <si>
    <t xml:space="preserve">"alu-churchury-madrasi-mirchi-powder"</t>
  </si>
  <si>
    <t xml:space="preserve">"2017-05-23 07:06:07.427584"</t>
  </si>
  <si>
    <t xml:space="preserve">"2017-05-23 07:06:07.427625"</t>
  </si>
  <si>
    <t xml:space="preserve">"2802"</t>
  </si>
  <si>
    <t xml:space="preserve">"kashmiri chilly powder"</t>
  </si>
  <si>
    <t xml:space="preserve">"alu-churchury-kashmiri-chilly-powder"</t>
  </si>
  <si>
    <t xml:space="preserve">"2017-05-23 07:06:07.561038"</t>
  </si>
  <si>
    <t xml:space="preserve">"2017-05-23 07:06:07.561076"</t>
  </si>
  <si>
    <t xml:space="preserve">"2803"</t>
  </si>
  <si>
    <t xml:space="preserve">"oil (ground nut)"</t>
  </si>
  <si>
    <t xml:space="preserve">"alu-churchury-gound-nut-oil"</t>
  </si>
  <si>
    <t xml:space="preserve">"2017-05-23 07:06:07.701126"</t>
  </si>
  <si>
    <t xml:space="preserve">"2017-05-23 07:06:07.701166"</t>
  </si>
  <si>
    <t xml:space="preserve">"2804"</t>
  </si>
  <si>
    <t xml:space="preserve">"alu-churchury-salt"</t>
  </si>
  <si>
    <t xml:space="preserve">"2017-05-23 07:06:07.848611"</t>
  </si>
  <si>
    <t xml:space="preserve">"2017-05-23 07:06:07.848656"</t>
  </si>
  <si>
    <t xml:space="preserve">"2805"</t>
  </si>
  <si>
    <t xml:space="preserve">"whole wheat flour"</t>
  </si>
  <si>
    <t xml:space="preserve">"pav-whole-wheat-flour"</t>
  </si>
  <si>
    <t xml:space="preserve">"2017-05-23 07:06:08.014861"</t>
  </si>
  <si>
    <t xml:space="preserve">"2017-05-23 07:06:08.014902"</t>
  </si>
  <si>
    <t xml:space="preserve">"207"</t>
  </si>
  <si>
    <t xml:space="preserve">"2806"</t>
  </si>
  <si>
    <t xml:space="preserve">"maida"</t>
  </si>
  <si>
    <t xml:space="preserve">"pav-maida"</t>
  </si>
  <si>
    <t xml:space="preserve">"2017-05-23 07:06:08.165247"</t>
  </si>
  <si>
    <t xml:space="preserve">"2017-05-23 07:06:08.165283"</t>
  </si>
  <si>
    <t xml:space="preserve">"139"</t>
  </si>
  <si>
    <t xml:space="preserve">"2807"</t>
  </si>
  <si>
    <t xml:space="preserve">"bread improver"</t>
  </si>
  <si>
    <t xml:space="preserve">"pav-bread-improver"</t>
  </si>
  <si>
    <t xml:space="preserve">"2017-05-23 07:06:08.281117"</t>
  </si>
  <si>
    <t xml:space="preserve">"2017-05-23 07:06:08.281159"</t>
  </si>
  <si>
    <t xml:space="preserve">"2808"</t>
  </si>
  <si>
    <t xml:space="preserve">"calcium"</t>
  </si>
  <si>
    <t xml:space="preserve">"pav-calcium"</t>
  </si>
  <si>
    <t xml:space="preserve">"2017-05-23 07:06:08.410281"</t>
  </si>
  <si>
    <t xml:space="preserve">"2017-05-23 07:06:08.410318"</t>
  </si>
  <si>
    <t xml:space="preserve">"2809"</t>
  </si>
  <si>
    <t xml:space="preserve">"yeast"</t>
  </si>
  <si>
    <t xml:space="preserve">"pav-yeast"</t>
  </si>
  <si>
    <t xml:space="preserve">"2017-05-23 07:06:08.548244"</t>
  </si>
  <si>
    <t xml:space="preserve">"2017-05-23 07:06:08.548283"</t>
  </si>
  <si>
    <t xml:space="preserve">"208"</t>
  </si>
  <si>
    <t xml:space="preserve">"2810"</t>
  </si>
  <si>
    <t xml:space="preserve">"pav-sugar"</t>
  </si>
  <si>
    <t xml:space="preserve">"2017-05-23 07:06:08.680775"</t>
  </si>
  <si>
    <t xml:space="preserve">"2017-05-23 07:06:08.680817"</t>
  </si>
  <si>
    <t xml:space="preserve">"2811"</t>
  </si>
  <si>
    <t xml:space="preserve">"pav-ground-nut-oil"</t>
  </si>
  <si>
    <t xml:space="preserve">"2017-05-23 07:06:08.817578"</t>
  </si>
  <si>
    <t xml:space="preserve">"2017-05-23 07:06:08.817643"</t>
  </si>
  <si>
    <t xml:space="preserve">"2812"</t>
  </si>
  <si>
    <t xml:space="preserve">"pav-salt"</t>
  </si>
  <si>
    <t xml:space="preserve">"2017-05-23 07:06:08.938759"</t>
  </si>
  <si>
    <t xml:space="preserve">"2017-05-23 07:06:08.938798"</t>
  </si>
  <si>
    <t xml:space="preserve">"2813"</t>
  </si>
  <si>
    <t xml:space="preserve">"pav-water"</t>
  </si>
  <si>
    <t xml:space="preserve">"2017-05-23 07:06:09.089869"</t>
  </si>
  <si>
    <t xml:space="preserve">"2017-05-23 07:06:09.089911"</t>
  </si>
  <si>
    <t xml:space="preserve">"2814"</t>
  </si>
  <si>
    <t xml:space="preserve">"tomato -pulvarize w/o jali"</t>
  </si>
  <si>
    <t xml:space="preserve">"rasam-tomato"</t>
  </si>
  <si>
    <t xml:space="preserve">"2017-05-23 07:06:09.213029"</t>
  </si>
  <si>
    <t xml:space="preserve">"2017-05-23 07:06:09.213076"</t>
  </si>
  <si>
    <t xml:space="preserve">"2815"</t>
  </si>
  <si>
    <t xml:space="preserve">"dhania patta"</t>
  </si>
  <si>
    <t xml:space="preserve">"rasam-dhaniya-patta"</t>
  </si>
  <si>
    <t xml:space="preserve">"2017-05-23 07:06:09.324364"</t>
  </si>
  <si>
    <t xml:space="preserve">"2017-05-23 07:06:09.324404"</t>
  </si>
  <si>
    <t xml:space="preserve">"2816"</t>
  </si>
  <si>
    <t xml:space="preserve">"rasam-kadi-patta"</t>
  </si>
  <si>
    <t xml:space="preserve">"2017-05-23 07:06:09.461229"</t>
  </si>
  <si>
    <t xml:space="preserve">"2017-05-23 07:06:09.461266"</t>
  </si>
  <si>
    <t xml:space="preserve">"2817"</t>
  </si>
  <si>
    <t xml:space="preserve">"rasam-tur-dal"</t>
  </si>
  <si>
    <t xml:space="preserve">"2017-05-23 07:06:09.606066"</t>
  </si>
  <si>
    <t xml:space="preserve">"2017-05-23 07:06:09.606106"</t>
  </si>
  <si>
    <t xml:space="preserve">"2818"</t>
  </si>
  <si>
    <t xml:space="preserve">"rasam-imli"</t>
  </si>
  <si>
    <t xml:space="preserve">"2017-05-23 07:06:09.740306"</t>
  </si>
  <si>
    <t xml:space="preserve">"2017-05-23 07:06:09.740344"</t>
  </si>
  <si>
    <t xml:space="preserve">"2819"</t>
  </si>
  <si>
    <t xml:space="preserve">"rasam-haldi"</t>
  </si>
  <si>
    <t xml:space="preserve">"2017-05-23 07:06:09.871646"</t>
  </si>
  <si>
    <t xml:space="preserve">"2017-05-23 07:06:09.871686"</t>
  </si>
  <si>
    <t xml:space="preserve">"2820"</t>
  </si>
  <si>
    <t xml:space="preserve">"rasam-hing"</t>
  </si>
  <si>
    <t xml:space="preserve">"2017-05-23 07:06:10.000674"</t>
  </si>
  <si>
    <t xml:space="preserve">"2017-05-23 07:06:10.000716"</t>
  </si>
  <si>
    <t xml:space="preserve">"2821"</t>
  </si>
  <si>
    <t xml:space="preserve">"MTR rasam masala"</t>
  </si>
  <si>
    <t xml:space="preserve">"rasam-mtr-rasam-masala"</t>
  </si>
  <si>
    <t xml:space="preserve">"2017-05-23 07:06:10.122447"</t>
  </si>
  <si>
    <t xml:space="preserve">"2017-05-23 07:06:10.122487"</t>
  </si>
  <si>
    <t xml:space="preserve">"2822"</t>
  </si>
  <si>
    <t xml:space="preserve">"rasam-salt"</t>
  </si>
  <si>
    <t xml:space="preserve">"2017-05-23 07:06:10.262014"</t>
  </si>
  <si>
    <t xml:space="preserve">"2017-05-23 07:06:10.262051"</t>
  </si>
  <si>
    <t xml:space="preserve">"2823"</t>
  </si>
  <si>
    <t xml:space="preserve">"gud"</t>
  </si>
  <si>
    <t xml:space="preserve">"rasam-gud"</t>
  </si>
  <si>
    <t xml:space="preserve">"2017-05-23 07:06:10.400372"</t>
  </si>
  <si>
    <t xml:space="preserve">"2017-05-23 07:06:10.400411"</t>
  </si>
  <si>
    <t xml:space="preserve">"2824"</t>
  </si>
  <si>
    <t xml:space="preserve">"rasam-ground-nut-oil"</t>
  </si>
  <si>
    <t xml:space="preserve">"2017-05-23 07:06:10.532316"</t>
  </si>
  <si>
    <t xml:space="preserve">"2017-05-23 07:06:10.532388"</t>
  </si>
  <si>
    <t xml:space="preserve">"2825"</t>
  </si>
  <si>
    <t xml:space="preserve">"rasam-rai"</t>
  </si>
  <si>
    <t xml:space="preserve">"2017-05-23 07:06:10.668001"</t>
  </si>
  <si>
    <t xml:space="preserve">"2017-05-23 07:06:10.668039"</t>
  </si>
  <si>
    <t xml:space="preserve">"2826"</t>
  </si>
  <si>
    <t xml:space="preserve">"ekadashi-chutney-coconut"</t>
  </si>
  <si>
    <t xml:space="preserve">"2017-05-23 07:06:10.805526"</t>
  </si>
  <si>
    <t xml:space="preserve">"2017-05-23 07:06:10.805563"</t>
  </si>
  <si>
    <t xml:space="preserve">"2827"</t>
  </si>
  <si>
    <t xml:space="preserve">"pudina"</t>
  </si>
  <si>
    <t xml:space="preserve">"ekadashi-chutney-pudina"</t>
  </si>
  <si>
    <t xml:space="preserve">"2017-05-23 07:06:10.954922"</t>
  </si>
  <si>
    <t xml:space="preserve">"2017-05-23 07:06:10.954960"</t>
  </si>
  <si>
    <t xml:space="preserve">"2828"</t>
  </si>
  <si>
    <t xml:space="preserve">"ekadashi-chutney-lemon"</t>
  </si>
  <si>
    <t xml:space="preserve">"2017-05-23 07:06:11.090713"</t>
  </si>
  <si>
    <t xml:space="preserve">"2017-05-23 07:06:11.090755"</t>
  </si>
  <si>
    <t xml:space="preserve">"2829"</t>
  </si>
  <si>
    <t xml:space="preserve">"ekadashi-chutney-dhaniya-patta"</t>
  </si>
  <si>
    <t xml:space="preserve">"2017-05-23 07:06:11.220713"</t>
  </si>
  <si>
    <t xml:space="preserve">"2017-05-23 07:06:11.220751"</t>
  </si>
  <si>
    <t xml:space="preserve">"2830"</t>
  </si>
  <si>
    <t xml:space="preserve">"ekadashi-chutney-adrak"</t>
  </si>
  <si>
    <t xml:space="preserve">"2017-05-23 07:06:11.348954"</t>
  </si>
  <si>
    <t xml:space="preserve">"2017-05-23 07:06:11.348989"</t>
  </si>
  <si>
    <t xml:space="preserve">"2831"</t>
  </si>
  <si>
    <t xml:space="preserve">"ekadashi-chutney-kadi-patta"</t>
  </si>
  <si>
    <t xml:space="preserve">"2017-05-23 07:06:11.487161"</t>
  </si>
  <si>
    <t xml:space="preserve">"2017-05-23 07:06:11.487203"</t>
  </si>
  <si>
    <t xml:space="preserve">"2832"</t>
  </si>
  <si>
    <t xml:space="preserve">"ekadashi-chutney-coconut-oil"</t>
  </si>
  <si>
    <t xml:space="preserve">"2017-05-23 07:06:11.619927"</t>
  </si>
  <si>
    <t xml:space="preserve">"2017-05-23 07:06:11.619970"</t>
  </si>
  <si>
    <t xml:space="preserve">"2833"</t>
  </si>
  <si>
    <t xml:space="preserve">"ekadashi-chutney-jeera"</t>
  </si>
  <si>
    <t xml:space="preserve">"2017-05-23 07:06:11.744754"</t>
  </si>
  <si>
    <t xml:space="preserve">"2017-05-23 07:06:11.744792"</t>
  </si>
  <si>
    <t xml:space="preserve">"2834"</t>
  </si>
  <si>
    <t xml:space="preserve">"akkha madrasi/kashmiri mirch"</t>
  </si>
  <si>
    <t xml:space="preserve">"ekadashi-chutney-akkha-madrasi-mirchi"</t>
  </si>
  <si>
    <t xml:space="preserve">"2017-05-23 07:06:11.841990"</t>
  </si>
  <si>
    <t xml:space="preserve">"2017-05-23 07:06:11.842038"</t>
  </si>
  <si>
    <t xml:space="preserve">"2835"</t>
  </si>
  <si>
    <t xml:space="preserve">"rajgira-malt-for-ekadashi-water"</t>
  </si>
  <si>
    <t xml:space="preserve">"2017-05-23 07:06:11.980527"</t>
  </si>
  <si>
    <t xml:space="preserve">"2017-05-23 07:06:11.980577"</t>
  </si>
  <si>
    <t xml:space="preserve">"2836"</t>
  </si>
  <si>
    <t xml:space="preserve">"rajgira atta"</t>
  </si>
  <si>
    <t xml:space="preserve">"rajgira-malt-for-ekadashi-rajgira-atta"</t>
  </si>
  <si>
    <t xml:space="preserve">"2017-05-23 07:06:12.111053"</t>
  </si>
  <si>
    <t xml:space="preserve">"2017-05-23 07:06:12.111096"</t>
  </si>
  <si>
    <t xml:space="preserve">"166"</t>
  </si>
  <si>
    <t xml:space="preserve">"2837"</t>
  </si>
  <si>
    <t xml:space="preserve">"rajgira-malt-for-ekadashi-gud"</t>
  </si>
  <si>
    <t xml:space="preserve">"2017-05-23 07:06:12.248398"</t>
  </si>
  <si>
    <t xml:space="preserve">"2017-05-23 07:06:12.248465"</t>
  </si>
  <si>
    <t xml:space="preserve">"2838"</t>
  </si>
  <si>
    <t xml:space="preserve">"lemon-juice-lemon"</t>
  </si>
  <si>
    <t xml:space="preserve">"2017-05-23 07:06:12.366006"</t>
  </si>
  <si>
    <t xml:space="preserve">"2017-05-23 07:06:12.366051"</t>
  </si>
  <si>
    <t xml:space="preserve">"2839"</t>
  </si>
  <si>
    <t xml:space="preserve">"lemon-juice-water"</t>
  </si>
  <si>
    <t xml:space="preserve">"2017-05-23 07:06:12.470256"</t>
  </si>
  <si>
    <t xml:space="preserve">"2017-05-23 07:06:12.470326"</t>
  </si>
  <si>
    <t xml:space="preserve">"2840"</t>
  </si>
  <si>
    <t xml:space="preserve">"lemon-juice-sugar"</t>
  </si>
  <si>
    <t xml:space="preserve">"2017-05-23 07:06:12.573019"</t>
  </si>
  <si>
    <t xml:space="preserve">"2017-05-23 07:06:12.573082"</t>
  </si>
  <si>
    <t xml:space="preserve">"2841"</t>
  </si>
  <si>
    <t xml:space="preserve">"lemon-juice-black-salt"</t>
  </si>
  <si>
    <t xml:space="preserve">"2017-05-23 07:06:12.714658"</t>
  </si>
  <si>
    <t xml:space="preserve">"2017-05-23 07:06:12.714720"</t>
  </si>
  <si>
    <t xml:space="preserve">"2842"</t>
  </si>
  <si>
    <t xml:space="preserve">"lemon-juice-salt"</t>
  </si>
  <si>
    <t xml:space="preserve">"2017-05-23 07:06:12.856292"</t>
  </si>
  <si>
    <t xml:space="preserve">"2017-05-23 07:06:12.856331"</t>
  </si>
  <si>
    <t xml:space="preserve">"2843"</t>
  </si>
  <si>
    <t xml:space="preserve">"ginger paste"</t>
  </si>
  <si>
    <t xml:space="preserve">"ginger-lemon-tea-adrak"</t>
  </si>
  <si>
    <t xml:space="preserve">"2017-05-23 07:06:13.005717"</t>
  </si>
  <si>
    <t xml:space="preserve">"2017-05-23 07:06:13.005767"</t>
  </si>
  <si>
    <t xml:space="preserve">"2844"</t>
  </si>
  <si>
    <t xml:space="preserve">"ginger-lemon-tea-gud"</t>
  </si>
  <si>
    <t xml:space="preserve">"2017-05-23 07:06:13.162037"</t>
  </si>
  <si>
    <t xml:space="preserve">"2017-05-23 07:06:13.162085"</t>
  </si>
  <si>
    <t xml:space="preserve">"2845"</t>
  </si>
  <si>
    <t xml:space="preserve">"ginger-lemon-tea-lemon"</t>
  </si>
  <si>
    <t xml:space="preserve">"2017-05-23 07:06:13.319355"</t>
  </si>
  <si>
    <t xml:space="preserve">"2017-05-23 07:06:13.319396"</t>
  </si>
  <si>
    <t xml:space="preserve">"2846"</t>
  </si>
  <si>
    <t xml:space="preserve">"ginger-lemon-tea-water"</t>
  </si>
  <si>
    <t xml:space="preserve">"2017-05-23 07:06:13.454559"</t>
  </si>
  <si>
    <t xml:space="preserve">"2017-05-23 07:06:13.454603"</t>
  </si>
  <si>
    <t xml:space="preserve">"2847"</t>
  </si>
  <si>
    <t xml:space="preserve">"black pepper AKKHA"</t>
  </si>
  <si>
    <t xml:space="preserve">"ginger-lemon-tea-black-pepper"</t>
  </si>
  <si>
    <t xml:space="preserve">"2017-05-23 07:06:13.590580"</t>
  </si>
  <si>
    <t xml:space="preserve">"2017-05-23 07:06:13.590618"</t>
  </si>
  <si>
    <t xml:space="preserve">"0.15"</t>
  </si>
  <si>
    <t xml:space="preserve">"2848"</t>
  </si>
  <si>
    <t xml:space="preserve">"tej patta"</t>
  </si>
  <si>
    <t xml:space="preserve">"ginger-lemon-tea-tej-patta"</t>
  </si>
  <si>
    <t xml:space="preserve">"2017-05-23 07:06:13.722108"</t>
  </si>
  <si>
    <t xml:space="preserve">"2017-05-23 07:06:13.722149"</t>
  </si>
  <si>
    <t xml:space="preserve">"2849"</t>
  </si>
  <si>
    <t xml:space="preserve">"DALCHINI"</t>
  </si>
  <si>
    <t xml:space="preserve">"ginger-lemon-tea-dalchini"</t>
  </si>
  <si>
    <t xml:space="preserve">"2017-05-23 07:06:13.843981"</t>
  </si>
  <si>
    <t xml:space="preserve">"2017-05-23 07:06:13.844017"</t>
  </si>
  <si>
    <t xml:space="preserve">"2850"</t>
  </si>
  <si>
    <t xml:space="preserve">"kacca Aam"</t>
  </si>
  <si>
    <t xml:space="preserve">"panna-kaccha-aam"</t>
  </si>
  <si>
    <t xml:space="preserve">"2017-05-23 07:06:13.983569"</t>
  </si>
  <si>
    <t xml:space="preserve">"2017-05-23 07:06:13.983623"</t>
  </si>
  <si>
    <t xml:space="preserve">"104"</t>
  </si>
  <si>
    <t xml:space="preserve">"2851"</t>
  </si>
  <si>
    <t xml:space="preserve">"panna-pudina"</t>
  </si>
  <si>
    <t xml:space="preserve">"2017-05-23 07:06:14.116782"</t>
  </si>
  <si>
    <t xml:space="preserve">"2017-05-23 07:06:14.116820"</t>
  </si>
  <si>
    <t xml:space="preserve">"2852"</t>
  </si>
  <si>
    <t xml:space="preserve">"panna-water"</t>
  </si>
  <si>
    <t xml:space="preserve">"2017-05-23 07:06:14.258879"</t>
  </si>
  <si>
    <t xml:space="preserve">"2017-05-23 07:06:14.258928"</t>
  </si>
  <si>
    <t xml:space="preserve">"2853"</t>
  </si>
  <si>
    <t xml:space="preserve">"panna-sugar"</t>
  </si>
  <si>
    <t xml:space="preserve">"2017-05-23 07:06:14.401841"</t>
  </si>
  <si>
    <t xml:space="preserve">"2017-05-23 07:06:14.401898"</t>
  </si>
  <si>
    <t xml:space="preserve">"2854"</t>
  </si>
  <si>
    <t xml:space="preserve">"panna-black-salt"</t>
  </si>
  <si>
    <t xml:space="preserve">"2017-05-23 07:06:14.519608"</t>
  </si>
  <si>
    <t xml:space="preserve">"2017-05-23 07:06:14.519654"</t>
  </si>
  <si>
    <t xml:space="preserve">"2855"</t>
  </si>
  <si>
    <t xml:space="preserve">"kokam juice"</t>
  </si>
  <si>
    <t xml:space="preserve">"kokam-kokam-juice"</t>
  </si>
  <si>
    <t xml:space="preserve">"2017-05-23 07:06:14.667899"</t>
  </si>
  <si>
    <t xml:space="preserve">"2017-05-23 07:06:14.667944"</t>
  </si>
  <si>
    <t xml:space="preserve">"124"</t>
  </si>
  <si>
    <t xml:space="preserve">"2856"</t>
  </si>
  <si>
    <t xml:space="preserve">"kokam-water"</t>
  </si>
  <si>
    <t xml:space="preserve">"2017-05-23 07:06:14.818832"</t>
  </si>
  <si>
    <t xml:space="preserve">"2017-05-23 07:06:14.818870"</t>
  </si>
  <si>
    <t xml:space="preserve">"2857"</t>
  </si>
  <si>
    <t xml:space="preserve">"kokam-sugar"</t>
  </si>
  <si>
    <t xml:space="preserve">"2017-05-23 07:06:14.950477"</t>
  </si>
  <si>
    <t xml:space="preserve">"2017-05-23 07:06:14.950516"</t>
  </si>
  <si>
    <t xml:space="preserve">"2858"</t>
  </si>
  <si>
    <t xml:space="preserve">"kokam-black-salt"</t>
  </si>
  <si>
    <t xml:space="preserve">"2017-05-23 07:06:15.093391"</t>
  </si>
  <si>
    <t xml:space="preserve">"2017-05-23 07:06:15.093435"</t>
  </si>
  <si>
    <t xml:space="preserve">"2859"</t>
  </si>
  <si>
    <t xml:space="preserve">"kokam-jeera-powder"</t>
  </si>
  <si>
    <t xml:space="preserve">"2017-05-23 07:06:15.228336"</t>
  </si>
  <si>
    <t xml:space="preserve">"2017-05-23 07:06:15.228375"</t>
  </si>
  <si>
    <t xml:space="preserve">"2860"</t>
  </si>
  <si>
    <t xml:space="preserve">"PAV"</t>
  </si>
  <si>
    <t xml:space="preserve">"pav-herbal-tea-pav"</t>
  </si>
  <si>
    <t xml:space="preserve">"2017-05-23 07:06:15.342159"</t>
  </si>
  <si>
    <t xml:space="preserve">"2017-05-23 07:06:15.342196"</t>
  </si>
  <si>
    <t xml:space="preserve">"159"</t>
  </si>
  <si>
    <t xml:space="preserve">"2861"</t>
  </si>
  <si>
    <t xml:space="preserve">"herbal tea"</t>
  </si>
  <si>
    <t xml:space="preserve">"pav-bhaji-herbal-tea-powder"</t>
  </si>
  <si>
    <t xml:space="preserve">"2017-05-23 07:06:15.486264"</t>
  </si>
  <si>
    <t xml:space="preserve">"2017-05-23 07:06:15.486336"</t>
  </si>
  <si>
    <t xml:space="preserve">"2862"</t>
  </si>
  <si>
    <t xml:space="preserve">"ROSE WATER"</t>
  </si>
  <si>
    <t xml:space="preserve">"rose-lemon-sabja-rose-water"</t>
  </si>
  <si>
    <t xml:space="preserve">"2017-05-23 07:06:15.630445"</t>
  </si>
  <si>
    <t xml:space="preserve">"2017-05-23 07:06:15.630490"</t>
  </si>
  <si>
    <t xml:space="preserve">"174"</t>
  </si>
  <si>
    <t xml:space="preserve">"2863"</t>
  </si>
  <si>
    <t xml:space="preserve">"LEMON"</t>
  </si>
  <si>
    <t xml:space="preserve">"rose-lemon-sabja-lemon"</t>
  </si>
  <si>
    <t xml:space="preserve">"2017-05-23 07:06:15.763063"</t>
  </si>
  <si>
    <t xml:space="preserve">"2017-05-23 07:06:15.763101"</t>
  </si>
  <si>
    <t xml:space="preserve">"2864"</t>
  </si>
  <si>
    <t xml:space="preserve">"SABJA"</t>
  </si>
  <si>
    <t xml:space="preserve">"rose-lemon-sabja-sabja"</t>
  </si>
  <si>
    <t xml:space="preserve">"2017-05-23 07:06:15.870169"</t>
  </si>
  <si>
    <t xml:space="preserve">"2017-05-23 07:06:15.870207"</t>
  </si>
  <si>
    <t xml:space="preserve">"175"</t>
  </si>
  <si>
    <t xml:space="preserve">"2865"</t>
  </si>
  <si>
    <t xml:space="preserve">"SUGAR"</t>
  </si>
  <si>
    <t xml:space="preserve">"rose-lemon-sabja-sugar"</t>
  </si>
  <si>
    <t xml:space="preserve">"2017-05-23 07:06:16.013930"</t>
  </si>
  <si>
    <t xml:space="preserve">"2017-05-23 07:06:16.013971"</t>
  </si>
  <si>
    <t xml:space="preserve">"2866"</t>
  </si>
  <si>
    <t xml:space="preserve">"tomato-chutney-for-noodles-tomato"</t>
  </si>
  <si>
    <t xml:space="preserve">"2017-05-23 07:06:16.150517"</t>
  </si>
  <si>
    <t xml:space="preserve">"2017-05-23 07:06:16.150555"</t>
  </si>
  <si>
    <t xml:space="preserve">"2867"</t>
  </si>
  <si>
    <t xml:space="preserve">"tomato-chutney-for-noodles-gound-nut-oil"</t>
  </si>
  <si>
    <t xml:space="preserve">"2017-05-23 07:06:16.295952"</t>
  </si>
  <si>
    <t xml:space="preserve">"2017-05-23 07:06:16.295994"</t>
  </si>
  <si>
    <t xml:space="preserve">"2868"</t>
  </si>
  <si>
    <t xml:space="preserve">"tomato-chutney-for-noodles-hing"</t>
  </si>
  <si>
    <t xml:space="preserve">"2017-05-23 07:06:16.446649"</t>
  </si>
  <si>
    <t xml:space="preserve">"2017-05-23 07:06:16.446691"</t>
  </si>
  <si>
    <t xml:space="preserve">"2869"</t>
  </si>
  <si>
    <t xml:space="preserve">"kashmiri powder"</t>
  </si>
  <si>
    <t xml:space="preserve">"tomato-chutney-for-noodles-kashmiri-chilly-powder"</t>
  </si>
  <si>
    <t xml:space="preserve">"2017-05-23 07:06:16.610495"</t>
  </si>
  <si>
    <t xml:space="preserve">"2017-05-23 07:06:16.610531"</t>
  </si>
  <si>
    <t xml:space="preserve">"2870"</t>
  </si>
  <si>
    <t xml:space="preserve">"tomato-chutney-for-noodles-sugar"</t>
  </si>
  <si>
    <t xml:space="preserve">"2017-05-23 07:06:16.739428"</t>
  </si>
  <si>
    <t xml:space="preserve">"2017-05-23 07:06:16.739467"</t>
  </si>
  <si>
    <t xml:space="preserve">"2871"</t>
  </si>
  <si>
    <t xml:space="preserve">"tomato-chutney-for-noodles-sauf"</t>
  </si>
  <si>
    <t xml:space="preserve">"2017-05-23 07:06:16.879189"</t>
  </si>
  <si>
    <t xml:space="preserve">"2017-05-23 07:06:16.879235"</t>
  </si>
  <si>
    <t xml:space="preserve">"2872"</t>
  </si>
  <si>
    <t xml:space="preserve">"tejpat"</t>
  </si>
  <si>
    <t xml:space="preserve">"tomato-chutney-for-noodles-tej-patta"</t>
  </si>
  <si>
    <t xml:space="preserve">"2017-05-23 07:06:17.017221"</t>
  </si>
  <si>
    <t xml:space="preserve">"2017-05-23 07:06:17.017259"</t>
  </si>
  <si>
    <t xml:space="preserve">"2873"</t>
  </si>
  <si>
    <t xml:space="preserve">"tomato-chutney-for-noodles-salt"</t>
  </si>
  <si>
    <t xml:space="preserve">"2017-05-23 07:06:17.165768"</t>
  </si>
  <si>
    <t xml:space="preserve">"2017-05-23 07:06:17.165803"</t>
  </si>
  <si>
    <t xml:space="preserve">"2874"</t>
  </si>
  <si>
    <t xml:space="preserve">"madrsi pw"</t>
  </si>
  <si>
    <t xml:space="preserve">"tomato-chutney-for-noodles-madrasi-mirchi-powder"</t>
  </si>
  <si>
    <t xml:space="preserve">"2017-05-23 07:06:17.314190"</t>
  </si>
  <si>
    <t xml:space="preserve">"2017-05-23 07:06:17.314282"</t>
  </si>
  <si>
    <t xml:space="preserve">"2875"</t>
  </si>
  <si>
    <t xml:space="preserve">"red-chutney-dates"</t>
  </si>
  <si>
    <t xml:space="preserve">"2017-05-23 07:06:17.457463"</t>
  </si>
  <si>
    <t xml:space="preserve">"2017-05-23 07:06:17.457502"</t>
  </si>
  <si>
    <t xml:space="preserve">"65"</t>
  </si>
  <si>
    <t xml:space="preserve">"1st boil dates,jaggary,imli"</t>
  </si>
  <si>
    <t xml:space="preserve">"2876"</t>
  </si>
  <si>
    <t xml:space="preserve">"red-chutney-gud"</t>
  </si>
  <si>
    <t xml:space="preserve">"2017-05-23 07:06:17.589181"</t>
  </si>
  <si>
    <t xml:space="preserve">"2017-05-23 07:06:17.589244"</t>
  </si>
  <si>
    <t xml:space="preserve">"and then grind and put in chok"</t>
  </si>
  <si>
    <t xml:space="preserve">"2877"</t>
  </si>
  <si>
    <t xml:space="preserve">"red-chutney-imli"</t>
  </si>
  <si>
    <t xml:space="preserve">"2017-05-23 07:06:17.733672"</t>
  </si>
  <si>
    <t xml:space="preserve">"2017-05-23 07:06:17.733711"</t>
  </si>
  <si>
    <t xml:space="preserve">"2878"</t>
  </si>
  <si>
    <t xml:space="preserve">"chok"</t>
  </si>
  <si>
    <t xml:space="preserve">"red-chutney-chok"</t>
  </si>
  <si>
    <t xml:space="preserve">"2017-05-23 07:06:17.877775"</t>
  </si>
  <si>
    <t xml:space="preserve">"2017-05-23 07:06:17.877827"</t>
  </si>
  <si>
    <t xml:space="preserve">"211"</t>
  </si>
  <si>
    <t xml:space="preserve">"2879"</t>
  </si>
  <si>
    <t xml:space="preserve">"red-chutney-gound-nut-oil"</t>
  </si>
  <si>
    <t xml:space="preserve">"2017-05-23 07:06:18.027924"</t>
  </si>
  <si>
    <t xml:space="preserve">"2017-05-23 07:06:18.027960"</t>
  </si>
  <si>
    <t xml:space="preserve">"2880"</t>
  </si>
  <si>
    <t xml:space="preserve">"red-chutney-hing"</t>
  </si>
  <si>
    <t xml:space="preserve">"2017-05-23 07:06:18.177115"</t>
  </si>
  <si>
    <t xml:space="preserve">"2017-05-23 07:06:18.177163"</t>
  </si>
  <si>
    <t xml:space="preserve">"2881"</t>
  </si>
  <si>
    <t xml:space="preserve">"red-chutney-kashmiri-chilly-powder"</t>
  </si>
  <si>
    <t xml:space="preserve">"2017-05-23 07:06:18.322089"</t>
  </si>
  <si>
    <t xml:space="preserve">"2017-05-23 07:06:18.322128"</t>
  </si>
  <si>
    <t xml:space="preserve">"2882"</t>
  </si>
  <si>
    <t xml:space="preserve">"red-chutney-sugar"</t>
  </si>
  <si>
    <t xml:space="preserve">"2017-05-23 07:06:18.474974"</t>
  </si>
  <si>
    <t xml:space="preserve">"2017-05-23 07:06:18.475014"</t>
  </si>
  <si>
    <t xml:space="preserve">"2883"</t>
  </si>
  <si>
    <t xml:space="preserve">"red-chutney-sauf"</t>
  </si>
  <si>
    <t xml:space="preserve">"2017-05-23 07:06:18.615590"</t>
  </si>
  <si>
    <t xml:space="preserve">"2017-05-23 07:06:18.615628"</t>
  </si>
  <si>
    <t xml:space="preserve">"2884"</t>
  </si>
  <si>
    <t xml:space="preserve">"red-chutney-tej-patta"</t>
  </si>
  <si>
    <t xml:space="preserve">"2017-05-23 07:06:18.761395"</t>
  </si>
  <si>
    <t xml:space="preserve">"2017-05-23 07:06:18.761450"</t>
  </si>
  <si>
    <t xml:space="preserve">"2885"</t>
  </si>
  <si>
    <t xml:space="preserve">"red-chutney-salt"</t>
  </si>
  <si>
    <t xml:space="preserve">"2017-05-23 07:06:18.898477"</t>
  </si>
  <si>
    <t xml:space="preserve">"2017-05-23 07:06:18.898518"</t>
  </si>
  <si>
    <t xml:space="preserve">"2886"</t>
  </si>
  <si>
    <t xml:space="preserve">"madrsi mirchi  pw"</t>
  </si>
  <si>
    <t xml:space="preserve">"red-chutney-madrasi-mirchi-powder"</t>
  </si>
  <si>
    <t xml:space="preserve">"2017-05-23 07:06:19.211406"</t>
  </si>
  <si>
    <t xml:space="preserve">"2017-05-23 07:06:19.211473"</t>
  </si>
  <si>
    <t xml:space="preserve">"2887"</t>
  </si>
  <si>
    <t xml:space="preserve">"red-chutney-dhaniya-powder"</t>
  </si>
  <si>
    <t xml:space="preserve">"2017-05-23 07:06:19.379533"</t>
  </si>
  <si>
    <t xml:space="preserve">"2017-05-23 07:06:19.379571"</t>
  </si>
  <si>
    <t xml:space="preserve">"2888"</t>
  </si>
  <si>
    <t xml:space="preserve">"red-chutney-jeera-powder"</t>
  </si>
  <si>
    <t xml:space="preserve">"2017-05-23 07:06:19.507909"</t>
  </si>
  <si>
    <t xml:space="preserve">"2017-05-23 07:06:19.507949"</t>
  </si>
  <si>
    <t xml:space="preserve">"2889"</t>
  </si>
  <si>
    <t xml:space="preserve">"garam masala"</t>
  </si>
  <si>
    <t xml:space="preserve">"red-chutney-garam-masala"</t>
  </si>
  <si>
    <t xml:space="preserve">"2017-05-23 07:06:19.648817"</t>
  </si>
  <si>
    <t xml:space="preserve">"2017-05-23 07:06:19.648875"</t>
  </si>
  <si>
    <t xml:space="preserve">"2890"</t>
  </si>
  <si>
    <t xml:space="preserve">"fennel-tea-lemon"</t>
  </si>
  <si>
    <t xml:space="preserve">"2017-05-23 07:06:19.787237"</t>
  </si>
  <si>
    <t xml:space="preserve">"2017-05-23 07:06:19.787275"</t>
  </si>
  <si>
    <t xml:space="preserve">"2891"</t>
  </si>
  <si>
    <t xml:space="preserve">"ADRAK"</t>
  </si>
  <si>
    <t xml:space="preserve">"fennel-tea-adrak"</t>
  </si>
  <si>
    <t xml:space="preserve">"2017-05-23 07:06:19.940685"</t>
  </si>
  <si>
    <t xml:space="preserve">"2017-05-23 07:06:19.940826"</t>
  </si>
  <si>
    <t xml:space="preserve">"2892"</t>
  </si>
  <si>
    <t xml:space="preserve">"fennel-tea-dalchini"</t>
  </si>
  <si>
    <t xml:space="preserve">"2017-05-23 07:06:20.099323"</t>
  </si>
  <si>
    <t xml:space="preserve">"2017-05-23 07:06:20.099360"</t>
  </si>
  <si>
    <t xml:space="preserve">"2893"</t>
  </si>
  <si>
    <t xml:space="preserve">"TEJPATTA"</t>
  </si>
  <si>
    <t xml:space="preserve">"fennel-tea-tej-patta"</t>
  </si>
  <si>
    <t xml:space="preserve">"2017-05-23 07:06:20.239276"</t>
  </si>
  <si>
    <t xml:space="preserve">"2017-05-23 07:06:20.239314"</t>
  </si>
  <si>
    <t xml:space="preserve">"2894"</t>
  </si>
  <si>
    <t xml:space="preserve">"SAUF"</t>
  </si>
  <si>
    <t xml:space="preserve">"fennel-tea-sauf"</t>
  </si>
  <si>
    <t xml:space="preserve">"2017-05-23 07:06:20.366286"</t>
  </si>
  <si>
    <t xml:space="preserve">"2017-05-23 07:06:20.366324"</t>
  </si>
  <si>
    <t xml:space="preserve">"350"</t>
  </si>
  <si>
    <t xml:space="preserve">"2895"</t>
  </si>
  <si>
    <t xml:space="preserve">"fennel-tea-sugar"</t>
  </si>
  <si>
    <t xml:space="preserve">"2017-05-23 07:06:20.477995"</t>
  </si>
  <si>
    <t xml:space="preserve">"2017-05-23 07:06:20.478036"</t>
  </si>
  <si>
    <t xml:space="preserve">"2896"</t>
  </si>
  <si>
    <t xml:space="preserve">"pav-bhaji-alu"</t>
  </si>
  <si>
    <t xml:space="preserve">"2017-05-23 07:06:20.633067"</t>
  </si>
  <si>
    <t xml:space="preserve">"2017-05-23 07:06:20.633119"</t>
  </si>
  <si>
    <t xml:space="preserve">"2897"</t>
  </si>
  <si>
    <t xml:space="preserve">"pav-bhaji-green-peas"</t>
  </si>
  <si>
    <t xml:space="preserve">"2017-05-23 07:06:20.772042"</t>
  </si>
  <si>
    <t xml:space="preserve">"2017-05-23 07:06:20.772083"</t>
  </si>
  <si>
    <t xml:space="preserve">"CHOK-oil-mirchi paste-adrak grated-capcicum-pav bhaji masala( half)-"</t>
  </si>
  <si>
    <t xml:space="preserve">"2898"</t>
  </si>
  <si>
    <t xml:space="preserve">"pav-bhaji-capsicum"</t>
  </si>
  <si>
    <t xml:space="preserve">"2017-05-23 07:06:20.905742"</t>
  </si>
  <si>
    <t xml:space="preserve">"2017-05-23 07:06:20.905783"</t>
  </si>
  <si>
    <t xml:space="preserve">"tomato pury( boiled)-pav bjahi masal half-kashmiri mirchi pwd-"</t>
  </si>
  <si>
    <t xml:space="preserve">"2899"</t>
  </si>
  <si>
    <t xml:space="preserve">"Cauli flower"</t>
  </si>
  <si>
    <t xml:space="preserve">"pav-bhaji-cauli-flower"</t>
  </si>
  <si>
    <t xml:space="preserve">"2017-05-23 07:06:21.047577"</t>
  </si>
  <si>
    <t xml:space="preserve">"2017-05-23 07:06:21.047641"</t>
  </si>
  <si>
    <t xml:space="preserve">"salt-remaining pav bjahi masala-smashed alu-"</t>
  </si>
  <si>
    <t xml:space="preserve">"2900"</t>
  </si>
  <si>
    <t xml:space="preserve">"pav-bhaji-tomato"</t>
  </si>
  <si>
    <t xml:space="preserve">"2017-05-23 07:06:21.199915"</t>
  </si>
  <si>
    <t xml:space="preserve">"2017-05-23 07:06:21.199968"</t>
  </si>
  <si>
    <t xml:space="preserve">"2901"</t>
  </si>
  <si>
    <t xml:space="preserve">"pav-bhaji-adrak"</t>
  </si>
  <si>
    <t xml:space="preserve">"2017-05-23 07:06:21.340033"</t>
  </si>
  <si>
    <t xml:space="preserve">"2017-05-23 07:06:21.340070"</t>
  </si>
  <si>
    <t xml:space="preserve">"ALU-peel alu-boil it-smash it in chapti atta making machine"</t>
  </si>
  <si>
    <t xml:space="preserve">"2902"</t>
  </si>
  <si>
    <t xml:space="preserve">"Hot Water"</t>
  </si>
  <si>
    <t xml:space="preserve">"pav-bhaji-hot-water"</t>
  </si>
  <si>
    <t xml:space="preserve">"2017-05-23 07:06:21.441748"</t>
  </si>
  <si>
    <t xml:space="preserve">"2017-05-23 07:06:21.441786"</t>
  </si>
  <si>
    <t xml:space="preserve">"with some water"</t>
  </si>
  <si>
    <t xml:space="preserve">"2903"</t>
  </si>
  <si>
    <t xml:space="preserve">"Green mirchi paste"</t>
  </si>
  <si>
    <t xml:space="preserve">"pav-bhaji-hari-mirchi"</t>
  </si>
  <si>
    <t xml:space="preserve">"2017-05-23 07:06:21.575881"</t>
  </si>
  <si>
    <t xml:space="preserve">"2017-05-23 07:06:21.575975"</t>
  </si>
  <si>
    <t xml:space="preserve">"PEAS-boil-smash in pulverizer w/o jali"</t>
  </si>
  <si>
    <t xml:space="preserve">"2904"</t>
  </si>
  <si>
    <t xml:space="preserve">"pav-bhaji-lemon"</t>
  </si>
  <si>
    <t xml:space="preserve">"2017-05-23 07:06:21.705045"</t>
  </si>
  <si>
    <t xml:space="preserve">"2017-05-23 07:06:21.705084"</t>
  </si>
  <si>
    <t xml:space="preserve">"2905"</t>
  </si>
  <si>
    <t xml:space="preserve">"pav-bhaji-dhaniya-patta"</t>
  </si>
  <si>
    <t xml:space="preserve">"2017-05-23 07:06:21.855963"</t>
  </si>
  <si>
    <t xml:space="preserve">"2017-05-23 07:06:21.855999"</t>
  </si>
  <si>
    <t xml:space="preserve">"flower -grate in indian cut machine-saute in oil"</t>
  </si>
  <si>
    <t xml:space="preserve">"2906"</t>
  </si>
  <si>
    <t xml:space="preserve">"pav-bhaji-ghee"</t>
  </si>
  <si>
    <t xml:space="preserve">"2017-05-23 07:06:21.976774"</t>
  </si>
  <si>
    <t xml:space="preserve">"2017-05-23 07:06:21.976811"</t>
  </si>
  <si>
    <t xml:space="preserve">"2907"</t>
  </si>
  <si>
    <t xml:space="preserve">"Kashmiri Mirchi powder"</t>
  </si>
  <si>
    <t xml:space="preserve">"pav-bhaji-kashmiri-chilly-powder"</t>
  </si>
  <si>
    <t xml:space="preserve">"2017-05-23 07:06:22.086061"</t>
  </si>
  <si>
    <t xml:space="preserve">"2017-05-23 07:06:22.086107"</t>
  </si>
  <si>
    <t xml:space="preserve">"2908"</t>
  </si>
  <si>
    <t xml:space="preserve">"Pav Bhaji Masala"</t>
  </si>
  <si>
    <t xml:space="preserve">"pav-bhaji-pav-bhaji-masala"</t>
  </si>
  <si>
    <t xml:space="preserve">"2017-05-23 07:06:22.220566"</t>
  </si>
  <si>
    <t xml:space="preserve">"2017-05-23 07:06:22.220622"</t>
  </si>
  <si>
    <t xml:space="preserve">"2909"</t>
  </si>
  <si>
    <t xml:space="preserve">"pav-bhaji-salt"</t>
  </si>
  <si>
    <t xml:space="preserve">"2017-05-23 07:06:22.355536"</t>
  </si>
  <si>
    <t xml:space="preserve">"2017-05-23 07:06:22.355572"</t>
  </si>
  <si>
    <t xml:space="preserve">"2910"</t>
  </si>
  <si>
    <t xml:space="preserve">"pav-bhaji-butter"</t>
  </si>
  <si>
    <t xml:space="preserve">"2017-05-23 07:06:22.448659"</t>
  </si>
  <si>
    <t xml:space="preserve">"2017-05-23 07:06:22.448696"</t>
  </si>
  <si>
    <t xml:space="preserve">"2911"</t>
  </si>
  <si>
    <t xml:space="preserve">"nityanand-italian-fried-rice-rice"</t>
  </si>
  <si>
    <t xml:space="preserve">"2017-05-23 07:06:22.592125"</t>
  </si>
  <si>
    <t xml:space="preserve">"2017-05-23 07:06:22.592172"</t>
  </si>
  <si>
    <t xml:space="preserve">"2912"</t>
  </si>
  <si>
    <t xml:space="preserve">"nityanand-italian-fried-rice-zucchini"</t>
  </si>
  <si>
    <t xml:space="preserve">"2017-05-23 07:06:22.728457"</t>
  </si>
  <si>
    <t xml:space="preserve">"2017-05-23 07:06:22.728495"</t>
  </si>
  <si>
    <t xml:space="preserve">"2913"</t>
  </si>
  <si>
    <t xml:space="preserve">"SWEET CORN ( GRAINS)"</t>
  </si>
  <si>
    <t xml:space="preserve">"nityanand-italian-fried-rice-sweet-corn"</t>
  </si>
  <si>
    <t xml:space="preserve">"2017-05-23 07:06:22.864247"</t>
  </si>
  <si>
    <t xml:space="preserve">"2017-05-23 07:06:22.864284"</t>
  </si>
  <si>
    <t xml:space="preserve">"2914"</t>
  </si>
  <si>
    <t xml:space="preserve">"FRESH BASIL LEAVES"</t>
  </si>
  <si>
    <t xml:space="preserve">"nityanand-italian-fried-rice-basil-leaves"</t>
  </si>
  <si>
    <t xml:space="preserve">"2017-05-23 07:06:22.992649"</t>
  </si>
  <si>
    <t xml:space="preserve">"2017-05-23 07:06:22.992697"</t>
  </si>
  <si>
    <t xml:space="preserve">"2915"</t>
  </si>
  <si>
    <t xml:space="preserve">"TOMATO"</t>
  </si>
  <si>
    <t xml:space="preserve">"nityanand-italian-fried-rice-tomato"</t>
  </si>
  <si>
    <t xml:space="preserve">"2017-05-23 07:06:23.131182"</t>
  </si>
  <si>
    <t xml:space="preserve">"2017-05-23 07:06:23.131218"</t>
  </si>
  <si>
    <t xml:space="preserve">"2916"</t>
  </si>
  <si>
    <t xml:space="preserve">"GREEN CHILLI ( CHOPPED)"</t>
  </si>
  <si>
    <t xml:space="preserve">"nityanand-italian-fried-rice-hari-mirchi"</t>
  </si>
  <si>
    <t xml:space="preserve">"2017-05-23 07:06:23.267873"</t>
  </si>
  <si>
    <t xml:space="preserve">"2017-05-23 07:06:23.267916"</t>
  </si>
  <si>
    <t xml:space="preserve">"2917"</t>
  </si>
  <si>
    <t xml:space="preserve">"BLACK PEPPER"</t>
  </si>
  <si>
    <t xml:space="preserve">"nityanand-italian-fried-rice-black-pepper"</t>
  </si>
  <si>
    <t xml:space="preserve">"2017-05-23 07:06:23.358085"</t>
  </si>
  <si>
    <t xml:space="preserve">"2017-05-23 07:06:23.358124"</t>
  </si>
  <si>
    <t xml:space="preserve">"2918"</t>
  </si>
  <si>
    <t xml:space="preserve">"HING"</t>
  </si>
  <si>
    <t xml:space="preserve">"nityanand-italian-fried-rice-hing"</t>
  </si>
  <si>
    <t xml:space="preserve">"2017-05-23 07:06:23.569090"</t>
  </si>
  <si>
    <t xml:space="preserve">"2017-05-23 07:06:23.569135"</t>
  </si>
  <si>
    <t xml:space="preserve">"2919"</t>
  </si>
  <si>
    <t xml:space="preserve">"GROUND NUT OIL"</t>
  </si>
  <si>
    <t xml:space="preserve">"nityanand-italian-fried-rice-ground-nut-oil"</t>
  </si>
  <si>
    <t xml:space="preserve">"2017-05-23 07:06:23.734940"</t>
  </si>
  <si>
    <t xml:space="preserve">"2017-05-23 07:06:23.734983"</t>
  </si>
  <si>
    <t xml:space="preserve">"2920"</t>
  </si>
  <si>
    <t xml:space="preserve">"SOYA SAUCE"</t>
  </si>
  <si>
    <t xml:space="preserve">"nityanand-italian-fried-rice-soya-sauce"</t>
  </si>
  <si>
    <t xml:space="preserve">"2017-05-23 07:06:23.866441"</t>
  </si>
  <si>
    <t xml:space="preserve">"2017-05-23 07:06:23.866486"</t>
  </si>
  <si>
    <t xml:space="preserve">"2921"</t>
  </si>
  <si>
    <t xml:space="preserve">"SALT"</t>
  </si>
  <si>
    <t xml:space="preserve">"nityanand-italian-fried-rice-salt"</t>
  </si>
  <si>
    <t xml:space="preserve">"2017-05-23 07:06:23.983447"</t>
  </si>
  <si>
    <t xml:space="preserve">"2017-05-23 07:06:23.983489"</t>
  </si>
  <si>
    <t xml:space="preserve">a = Client().post('/recipes/varai-khichdi/detail/', {'recipe' : '1', 'ingredient' : '30', 'name' : 'Bhopla', 'mass_unit' : '2', 'mass_quantity' : '2.917', 'volume_unit' : '', 'volume_quantity' : '0', 'pieces_unit' : '', 'pieces_quantity' : '0', 'cooking_notes' : ''}).status_code; print('%s :: %s :: %s :: %s :: %s' %(a,8,'Bhopla','bhopla','Varai Khichdi'))</t>
  </si>
  <si>
    <t xml:space="preserve">a = Client().post('/recipes/varai-khichdi/detail/', {'recipe' : '1', 'ingredient' : '69', 'name' : 'Dudhi', 'mass_unit' : '2', 'mass_quantity' : '2.917', 'volume_unit' : '', 'volume_quantity' : '0', 'pieces_unit' : '', 'pieces_quantity' : '0', 'cooking_notes' : ''}).status_code; print('%s :: %s :: %s :: %s :: %s' %(a,9,'Dudhi','dudhi','Varai Khichdi'))</t>
  </si>
  <si>
    <t xml:space="preserve">a = Client().post('/recipes/varai-khichdi/detail/', {'recipe' : '1', 'ingredient' : '8', 'name' : 'Alu', 'mass_unit' : '2', 'mass_quantity' : '1.25', 'volume_unit' : '', 'volume_quantity' : '0', 'pieces_unit' : '', 'pieces_quantity' : '0', 'cooking_notes' : ''}).status_code; print('%s :: %s :: %s :: %s :: %s' %(a,10,'Alu','alu','Varai Khichdi'))</t>
  </si>
  <si>
    <t xml:space="preserve">a = Client().post('/recipes/varai-khichdi/detail/', {'recipe' : '1', 'ingredient' : '79', 'name' : 'Gajar', 'mass_unit' : '2', 'mass_quantity' : '1.25', 'volume_unit' : '', 'volume_quantity' : '0', 'pieces_unit' : '', 'pieces_quantity' : '0', 'cooking_notes' : ''}).status_code; print('%s :: %s :: %s :: %s :: %s' %(a,11,'Gajar','gajar','Varai Khichdi'))</t>
  </si>
  <si>
    <t xml:space="preserve">a = Client().post('/recipes/varai-khichdi/detail/', {'recipe' : '1', 'ingredient' : '89', 'name' : 'Groundnut Oil', 'mass_unit' : '', 'mass_quantity' : '0', 'volume_unit' : '1', 'volume_quantity' : '1', 'pieces_unit' : '', 'pieces_quantity' : '0', 'cooking_notes' : ''}).status_code; print('%s :: %s :: %s :: %s :: %s' %(a,12,'Groundnut Oil','ground nut oil','Varai Khichdi'))</t>
  </si>
  <si>
    <t xml:space="preserve">a = Client().post('/recipes/varai-khichdi/detail/', {'recipe' : '1', 'ingredient' : '102', 'name' : 'Jeera', 'mass_unit' : '', 'mass_quantity' : '0', 'volume_unit' : '1', 'volume_quantity' : '0.167', 'pieces_unit' : '', 'pieces_quantity' : '0', 'cooking_notes' : ''}).status_code; print('%s :: %s :: %s :: %s :: %s' %(a,13,'Jeera','jeera','Varai Khichdi'))</t>
  </si>
  <si>
    <t xml:space="preserve">a = Client().post('/recipes/varai-khichdi/detail/', {'recipe' : '1', 'ingredient' : '93', 'name' : 'Hari mirchi split in 2', 'mass_unit' : '', 'mass_quantity' : '0', 'volume_unit' : '1', 'volume_quantity' : '0.167', 'pieces_unit' : '', 'pieces_quantity' : '0', 'cooking_notes' : ''}).status_code; print('%s :: %s :: %s :: %s :: %s' %(a,14,'Hari mirchi split in 2','hari mirchi','Varai Khichdi'))</t>
  </si>
  <si>
    <t xml:space="preserve">a = Client().post('/recipes/varai-khichdi/detail/', {'recipe' : '1', 'ingredient' : '135', 'name' : 'Madrasi Mirchi', 'mass_unit' : '', 'mass_quantity' : '0', 'volume_unit' : '1', 'volume_quantity' : '0.167', 'pieces_unit' : '', 'pieces_quantity' : '0', 'cooking_notes' : ''}).status_code; print('%s :: %s :: %s :: %s :: %s' %(a,15,'Madrasi Mirchi','madrasi mirchi powder','Varai Khichdi'))</t>
  </si>
  <si>
    <t xml:space="preserve">a = Client().post('/recipes/varai-khichdi/detail/', {'recipe' : '1', 'ingredient' : '105', 'name' : 'Kadi Patta', 'mass_unit' : '', 'mass_quantity' : '0', 'volume_unit' : '1', 'volume_quantity' : '1', 'pieces_unit' : '', 'pieces_quantity' : '0', 'cooking_notes' : ''}).status_code; print('%s :: %s :: %s :: %s :: %s' %(a,16,'Kadi Patta','kadi patta','Varai Khichdi'))</t>
  </si>
  <si>
    <t xml:space="preserve">a = Client().post('/recipes/varai-khichdi/detail/', {'recipe' : '1', 'ingredient' : '1', 'name' : 'Adrak paste', 'mass_unit' : '', 'mass_quantity' : '0', 'volume_unit' : '1', 'volume_quantity' : '0.208', 'pieces_unit' : '', 'pieces_quantity' : '0', 'cooking_notes' : ''}).status_code; print('%s :: %s :: %s :: %s :: %s' %(a,17,'Adrak paste','adrak','Varai Khichdi'))</t>
  </si>
  <si>
    <t xml:space="preserve">a = Client().post('/recipes/varai-khichdi/detail/', {'recipe' : '1', 'ingredient' : '117', 'name' : 'Kashmiri Mirchi Powder', 'mass_unit' : '', 'mass_quantity' : '0', 'volume_unit' : '5', 'volume_quantity' : '0.208', 'pieces_unit' : '', 'pieces_quantity' : '0', 'cooking_notes' : ''}).status_code; print('%s :: %s :: %s :: %s :: %s' %(a,18,'Kashmiri Mirchi Powder','kashmiri chilly powder','Varai Khichdi'))</t>
  </si>
  <si>
    <t xml:space="preserve">a = Client().post('/recipes/varai-khichdi/detail/', {'recipe' : '1', 'ingredient' : '195', 'name' : 'Tomato', 'mass_unit' : '2', 'mass_quantity' : '3', 'volume_unit' : '', 'volume_quantity' : '0', 'pieces_unit' : '', 'pieces_quantity' : '0', 'cooking_notes' : ''}).status_code; print('%s :: %s :: %s :: %s :: %s' %(a,19,'Tomato','tomato','Varai Khichdi'))</t>
  </si>
  <si>
    <t xml:space="preserve">a = Client().post('/recipes/varai-khichdi/detail/', {'recipe' : '1', 'ingredient' : '81', 'name' : 'Ghee', 'mass_unit' : '', 'mass_quantity' : '0', 'volume_unit' : '1', 'volume_quantity' : '0.5', 'pieces_unit' : '', 'pieces_quantity' : '0', 'cooking_notes' : ''}).status_code; print('%s :: %s :: %s :: %s :: %s' %(a,20,'Ghee','ghee','Varai Khichdi'))</t>
  </si>
  <si>
    <t xml:space="preserve">a = Client().post('/recipes/varai-khichdi/detail/', {'recipe' : '1', 'ingredient' : '66', 'name' : 'Dhania patta', 'mass_unit' : '', 'mass_quantity' : '0', 'volume_unit' : '6', 'volume_quantity' : '0.1', 'pieces_unit' : '', 'pieces_quantity' : '0', 'cooking_notes' : ''}).status_code; print('%s :: %s :: %s :: %s :: %s' %(a,21,'Dhania patta','dhaniya patta','Varai Khichdi'))</t>
  </si>
  <si>
    <t xml:space="preserve">a = Client().post('/recipes/varai-khichdi/detail/', {'recipe' : '1', 'ingredient' : '103', 'name' : 'Jeera pwd', 'mass_unit' : '', 'mass_quantity' : '0', 'volume_unit' : '1', 'volume_quantity' : '0.083', 'pieces_unit' : '', 'pieces_quantity' : '0', 'cooking_notes' : ''}).status_code; print('%s :: %s :: %s :: %s :: %s' %(a,22,'Jeera pwd','jeera powder','Varai Khichdi'))</t>
  </si>
  <si>
    <t xml:space="preserve">a = Client().post('/recipes/potato-salli/detail/', {'recipe' : '94', 'ingredient' : '215', 'name' : 'Salli', 'mass_unit' : '2', 'mass_quantity' : '4', 'volume_unit' : '', 'volume_quantity' : '0', 'pieces_unit' : '', 'pieces_quantity' : '0', 'cooking_notes' : ''}).status_code; print('%s :: %s :: %s :: %s :: %s' %(a,25,'Salli','salli','Potato Salli'))</t>
  </si>
  <si>
    <t xml:space="preserve">a = Client().post('/recipes/potato-salli/detail/', {'recipe' : '94', 'ingredient' : '31', 'name' : 'Black Pepper Pwd', 'mass_unit' : '', 'mass_quantity' : '0', 'volume_unit' : '5', 'volume_quantity' : '0.5', 'pieces_unit' : '', 'pieces_quantity' : '0', 'cooking_notes' : ''}).status_code; print('%s :: %s :: %s :: %s :: %s' %(a,26,'Black Pepper Pwd','black pepper','Potato Salli'))</t>
  </si>
  <si>
    <t xml:space="preserve">a = Client().post('/recipes/potato-salli/detail/', {'recipe' : '94', 'ingredient' : '32', 'name' : 'Black Salt', 'mass_unit' : '', 'mass_quantity' : '0', 'volume_unit' : '5', 'volume_quantity' : '0.5', 'pieces_unit' : '', 'pieces_quantity' : '0', 'cooking_notes' : ''}).status_code; print('%s :: %s :: %s :: %s :: %s' %(a,27,'Black Salt','black salt','Potato Salli'))</t>
  </si>
  <si>
    <t xml:space="preserve">a = Client().post('/recipes/potato-salli/detail/', {'recipe' : '94', 'ingredient' : '177', 'name' : 'Salt', 'mass_unit' : '', 'mass_quantity' : '0', 'volume_unit' : '5', 'volume_quantity' : '0.5', 'pieces_unit' : '', 'pieces_quantity' : '0', 'cooking_notes' : ''}).status_code; print('%s :: %s :: %s :: %s :: %s' %(a,28,'Salt','salt','Potato Salli'))</t>
  </si>
  <si>
    <t xml:space="preserve">a = Client().post('/recipes/potato-salli/detail/', {'recipe' : '94', 'ingredient' : '83', 'name' : 'Oil for frying ', 'mass_unit' : '', 'mass_quantity' : '0', 'volume_unit' : '1', 'volume_quantity' : '0', 'pieces_unit' : '', 'pieces_quantity' : '0', 'cooking_notes' : ''}).status_code; print('%s :: %s :: %s :: %s :: %s' %(a,29,'Oil for frying ','gound nut oil','Potato Salli'))</t>
  </si>
  <si>
    <t xml:space="preserve">a = Client().post('/recipes/varai-pulav2/detail/', {'recipe' : '96', 'ingredient' : '201', 'name' : 'Varai rice', 'mass_unit' : '2', 'mass_quantity' : '30', 'volume_unit' : '', 'volume_quantity' : '0', 'pieces_unit' : '', 'pieces_quantity' : '0', 'cooking_notes' : ''}).status_code; print('%s :: %s :: %s :: %s :: %s' %(a,32,'Varai rice','varai','Varai Pulav2'))</t>
  </si>
  <si>
    <t xml:space="preserve">a = Client().post('/recipes/varai-pulav2/detail/', {'recipe' : '96', 'ingredient' : '89', 'name' : 'Groundnut oil for tadka', 'mass_unit' : '', 'mass_quantity' : '0', 'volume_unit' : '1', 'volume_quantity' : '10', 'pieces_unit' : '', 'pieces_quantity' : '0', 'cooking_notes' : ''}).status_code; print('%s :: %s :: %s :: %s :: %s' %(a,33,'Groundnut oil for tadka','ground nut oil','Varai Pulav2'))</t>
  </si>
  <si>
    <t xml:space="preserve">a = Client().post('/recipes/varai-pulav2/detail/', {'recipe' : '96', 'ingredient' : '191', 'name' : 'Tejpatta', 'mass_unit' : '', 'mass_quantity' : '0', 'volume_unit' : '1', 'volume_quantity' : '1', 'pieces_unit' : '', 'pieces_quantity' : '0', 'cooking_notes' : ''}).status_code; print('%s :: %s :: %s :: %s :: %s' %(a,34,'Tejpatta','tej patta','Varai Pulav2'))</t>
  </si>
  <si>
    <t xml:space="preserve">a = Client().post('/recipes/varai-pulav2/detail/', {'recipe' : '96', 'ingredient' : '102', 'name' : 'Jeera', 'mass_unit' : '', 'mass_quantity' : '0', 'volume_unit' : '1', 'volume_quantity' : '0.75', 'pieces_unit' : '', 'pieces_quantity' : '0', 'cooking_notes' : ''}).status_code; print('%s :: %s :: %s :: %s :: %s' %(a,35,'Jeera','jeera','Varai Pulav2'))</t>
  </si>
  <si>
    <t xml:space="preserve">a = Client().post('/recipes/varai-pulav2/detail/', {'recipe' : '96', 'ingredient' : '105', 'name' : 'kadi patta', 'mass_unit' : '', 'mass_quantity' : '0', 'volume_unit' : '1', 'volume_quantity' : '2', 'pieces_unit' : '', 'pieces_quantity' : '0', 'cooking_notes' : ''}).status_code; print('%s :: %s :: %s :: %s :: %s' %(a,36,'kadi patta','kadi patta','Varai Pulav2'))</t>
  </si>
  <si>
    <t xml:space="preserve">a = Client().post('/recipes/varai-pulav2/detail/', {'recipe' : '96', 'ingredient' : '79', 'name' : 'Gajar', 'mass_unit' : '2', 'mass_quantity' : '4', 'volume_unit' : '1', 'volume_quantity' : '5', 'pieces_unit' : '', 'pieces_quantity' : '0', 'cooking_notes' : ''}).status_code; print('%s :: %s :: %s :: %s :: %s' %(a,37,'Gajar','gajar','Varai Pulav2'))</t>
  </si>
  <si>
    <t xml:space="preserve">a = Client().post('/recipes/varai-pulav2/detail/', {'recipe' : '96', 'ingredient' : '39', 'name' : 'Cabbage', 'mass_unit' : '2', 'mass_quantity' : '12', 'volume_unit' : '1', 'volume_quantity' : '30', 'pieces_unit' : '', 'pieces_quantity' : '0', 'cooking_notes' : ''}).status_code; print('%s :: %s :: %s :: %s :: %s' %(a,38,'Cabbage','cabbage','Varai Pulav2'))</t>
  </si>
  <si>
    <t xml:space="preserve">a = Client().post('/recipes/varai-pulav2/detail/', {'recipe' : '96', 'ingredient' : '42', 'name' : 'Capsicum', 'mass_unit' : '2', 'mass_quantity' : '3.5', 'volume_unit' : '1', 'volume_quantity' : '5', 'pieces_unit' : '', 'pieces_quantity' : '0', 'cooking_notes' : ''}).status_code; print('%s :: %s :: %s :: %s :: %s' %(a,39,'Capsicum','capsicum','Varai Pulav2'))</t>
  </si>
  <si>
    <t xml:space="preserve">a = Client().post('/recipes/varai-pulav2/detail/', {'recipe' : '96', 'ingredient' : '177', 'name' : 'Salt', 'mass_unit' : '', 'mass_quantity' : '0', 'volume_unit' : '5', 'volume_quantity' : '4', 'pieces_unit' : '', 'pieces_quantity' : '0', 'cooking_notes' : ''}).status_code; print('%s :: %s :: %s :: %s :: %s' %(a,40,'Salt','salt','Varai Pulav2'))</t>
  </si>
  <si>
    <t xml:space="preserve">a = Client().post('/recipes/varai-pulav2/detail/', {'recipe' : '96', 'ingredient' : '74', 'name' : 'Everest Pulav Masala', 'mass_unit' : '', 'mass_quantity' : '0', 'volume_unit' : '5', 'volume_quantity' : '2', 'pieces_unit' : '', 'pieces_quantity' : '0', 'cooking_notes' : ''}).status_code; print('%s :: %s :: %s :: %s :: %s' %(a,41,'Everest Pulav Masala','everest pulav masala','Varai Pulav2'))</t>
  </si>
  <si>
    <t xml:space="preserve">a = Client().post('/recipes/varai-pulav2/detail/', {'recipe' : '96', 'ingredient' : '97', 'name' : 'Hot water', 'mass_unit' : '', 'mass_quantity' : '0', 'volume_unit' : '1', 'volume_quantity' : '60', 'pieces_unit' : '', 'pieces_quantity' : '0', 'cooking_notes' : '2 x Vol of Varai'}).status_code; print('%s :: %s :: %s :: %s :: %s' %(a,42,'Hot water','hot water','Varai Pulav2'))</t>
  </si>
  <si>
    <t xml:space="preserve">a = Client().post('/recipes/varai-pulav2/detail/', {'recipe' : '96', 'ingredient' : '187', 'name' : 'sugar', 'mass_unit' : '', 'mass_quantity' : '0', 'volume_unit' : '5', 'volume_quantity' : '4', 'pieces_unit' : '', 'pieces_quantity' : '0', 'cooking_notes' : ''}).status_code; print('%s :: %s :: %s :: %s :: %s' %(a,43,'sugar','sugar','Varai Pulav2'))</t>
  </si>
  <si>
    <t xml:space="preserve">a = Client().post('/recipes/ekadasi-soup/detail/', {'recipe' : '91', 'ingredient' : '195', 'name' : 'Tomato', 'mass_unit' : '2', 'mass_quantity' : '7.5', 'volume_unit' : '', 'volume_quantity' : '0', 'pieces_unit' : '', 'pieces_quantity' : '0', 'cooking_notes' : ''}).status_code; print('%s :: %s :: %s :: %s :: %s' %(a,46,'Tomato','tomato','Ekadasi soup'))</t>
  </si>
  <si>
    <t xml:space="preserve">a = Client().post('/recipes/ekadasi-soup/detail/', {'recipe' : '91', 'ingredient' : '30', 'name' : 'Bhopla', 'mass_unit' : '2', 'mass_quantity' : '15', 'volume_unit' : '', 'volume_quantity' : '0', 'pieces_unit' : '', 'pieces_quantity' : '0', 'cooking_notes' : ''}).status_code; print('%s :: %s :: %s :: %s :: %s' %(a,47,'Bhopla','bhopla','Ekadasi soup'))</t>
  </si>
  <si>
    <t xml:space="preserve">a = Client().post('/recipes/ekadasi-soup/detail/', {'recipe' : '91', 'ingredient' : '8', 'name' : 'Alu', 'mass_unit' : '2', 'mass_quantity' : '7.5', 'volume_unit' : '', 'volume_quantity' : '0', 'pieces_unit' : '', 'pieces_quantity' : '0', 'cooking_notes' : ''}).status_code; print('%s :: %s :: %s :: %s :: %s' %(a,48,'Alu','alu','Ekadasi soup'))</t>
  </si>
  <si>
    <t xml:space="preserve">a = Client().post('/recipes/ekadasi-soup/detail/', {'recipe' : '91', 'ingredient' : '79', 'name' : 'Gajar', 'mass_unit' : '2', 'mass_quantity' : '4.98', 'volume_unit' : '', 'volume_quantity' : '0', 'pieces_unit' : '', 'pieces_quantity' : '0', 'cooking_notes' : ''}).status_code; print('%s :: %s :: %s :: %s :: %s' %(a,49,'Gajar','gajar','Ekadasi soup'))</t>
  </si>
  <si>
    <t xml:space="preserve">a = Client().post('/recipes/ekadasi-soup/detail/', {'recipe' : '91', 'ingredient' : '214', 'name' : 'Boiled water', 'mass_unit' : '', 'mass_quantity' : '0', 'volume_unit' : '', 'volume_quantity' : '0', 'pieces_unit' : '', 'pieces_quantity' : '0', 'cooking_notes' : ''}).status_code; print('%s :: %s :: %s :: %s :: %s' %(a,50,'Boiled water','water','Ekadasi soup'))</t>
  </si>
  <si>
    <t xml:space="preserve">a = Client().post('/recipes/ekadasi-soup/detail/', {'recipe' : '91', 'ingredient' : '217', 'name' : 'Boiled vegetables puree', 'mass_unit' : '', 'mass_quantity' : '0', 'volume_unit' : '1', 'volume_quantity' : '60', 'pieces_unit' : '', 'pieces_quantity' : '0', 'cooking_notes' : ''}).status_code; print('%s :: %s :: %s :: %s :: %s' %(a,51,'Boiled vegetables puree','boiled vegetables puree','Ekadasi soup'))</t>
  </si>
  <si>
    <t xml:space="preserve">a = Client().post('/recipes/ekadasi-soup/detail/', {'recipe' : '91', 'ingredient' : '76', 'name' : 'EVOO / butter', 'mass_unit' : '', 'mass_quantity' : '0', 'volume_unit' : '1', 'volume_quantity' : '1.5', 'pieces_unit' : '', 'pieces_quantity' : '0', 'cooking_notes' : ''}).status_code; print('%s :: %s :: %s :: %s :: %s' %(a,52,'EVOO / butter','EVOO','Ekadasi soup'))</t>
  </si>
  <si>
    <t xml:space="preserve">a = Client().post('/recipes/ekadasi-soup/detail/', {'recipe' : '91', 'ingredient' : '76', 'name' : 'EVOO on Top', 'mass_unit' : '', 'mass_quantity' : '0', 'volume_unit' : '1', 'volume_quantity' : '1', 'pieces_unit' : '', 'pieces_quantity' : '0', 'cooking_notes' : ''}).status_code; print('%s :: %s :: %s :: %s :: %s' %(a,53,'EVOO on Top','EVOO','Ekadasi soup'))</t>
  </si>
  <si>
    <t xml:space="preserve">a = Client().post('/recipes/ekadasi-soup/detail/', {'recipe' : '91', 'ingredient' : '31', 'name' : 'Black Pepper pwd', 'mass_unit' : '', 'mass_quantity' : '0', 'volume_unit' : '5', 'volume_quantity' : '0.498', 'pieces_unit' : '', 'pieces_quantity' : '0', 'cooking_notes' : ''}).status_code; print('%s :: %s :: %s :: %s :: %s' %(a,54,'Black Pepper pwd','black pepper','Ekadasi soup'))</t>
  </si>
  <si>
    <t xml:space="preserve">a = Client().post('/recipes/ekadasi-soup/detail/', {'recipe' : '91', 'ingredient' : '24', 'name' : 'Basil Leaves', 'mass_unit' : '2', 'mass_quantity' : '1', 'volume_unit' : '6', 'volume_quantity' : '0.4', 'pieces_unit' : '', 'pieces_quantity' : '0', 'cooking_notes' : ''}).status_code; print('%s :: %s :: %s :: %s :: %s' %(a,55,'Basil Leaves','basil leaves','Ekadasi soup'))</t>
  </si>
  <si>
    <t xml:space="preserve">a = Client().post('/recipes/ekadasi-soup/detail/', {'recipe' : '91', 'ingredient' : '37', 'name' : 'Brown sugar (bluebird)', 'mass_unit' : '2', 'mass_quantity' : '0.5', 'volume_unit' : '', 'volume_quantity' : '0', 'pieces_unit' : '', 'pieces_quantity' : '0', 'cooking_notes' : ''}).status_code; print('%s :: %s :: %s :: %s :: %s' %(a,56,'Brown sugar (bluebird)','brown sugar','Ekadasi soup'))</t>
  </si>
  <si>
    <t xml:space="preserve">a = Client().post('/recipes/ekadasi-soup/detail/', {'recipe' : '91', 'ingredient' : '177', 'name' : 'Salt', 'mass_unit' : '', 'mass_quantity' : '0', 'volume_unit' : '5', 'volume_quantity' : '2.988', 'pieces_unit' : '', 'pieces_quantity' : '0', 'cooking_notes' : ''}).status_code; print('%s :: %s :: %s :: %s :: %s' %(a,57,'Salt','salt','Ekadasi soup'))</t>
  </si>
  <si>
    <t xml:space="preserve">a = Client().post('/recipes/ekadasi-soup/detail/', {'recipe' : '91', 'ingredient' : '129', 'name' : 'Lemon Juice', 'mass_unit' : '', 'mass_quantity' : '0', 'volume_unit' : '5', 'volume_quantity' : '0.5', 'pieces_unit' : '', 'pieces_quantity' : '0', 'cooking_notes' : ''}).status_code; print('%s :: %s :: %s :: %s :: %s' %(a,58,'Lemon Juice','lemon','Ekadasi soup'))</t>
  </si>
  <si>
    <t xml:space="preserve">a = Client().post('/recipes/alu-flower-gravy-ekadashi/detail/', {'recipe' : '90', 'ingredient' : '8', 'name' : 'Alu', 'mass_unit' : '2', 'mass_quantity' : '11.667', 'volume_unit' : '', 'volume_quantity' : '0', 'pieces_unit' : '', 'pieces_quantity' : '0', 'cooking_notes' : '(1/2 inch cube steamed)'}).status_code; print('%s :: %s :: %s :: %s :: %s' %(a,62,'Alu','alu','Alu Flower Gravy (Ekadashi)'))</t>
  </si>
  <si>
    <t xml:space="preserve">a = Client().post('/recipes/alu-flower-gravy-ekadashi/detail/', {'recipe' : '90', 'ingredient' : '78', 'name' : 'Flower', 'mass_unit' : '2', 'mass_quantity' : '29.167', 'volume_unit' : '1', 'volume_quantity' : '35', 'pieces_unit' : '', 'pieces_quantity' : '0', 'cooking_notes' : '(florets after cutting)'}).status_code; print('%s :: %s :: %s :: %s :: %s' %(a,63,'Flower','flower','Alu Flower Gravy (Ekadashi)'))</t>
  </si>
  <si>
    <t xml:space="preserve">a = Client().post('/recipes/alu-flower-gravy-ekadashi/detail/', {'recipe' : '90', 'ingredient' : '78', 'name' : 'Flower', 'mass_unit' : '', 'mass_quantity' : '0', 'volume_unit' : '1', 'volume_quantity' : '11.667', 'pieces_unit' : '', 'pieces_quantity' : '0', 'cooking_notes' : '(deep fried)'}).status_code; print('%s :: %s :: %s :: %s :: %s' %(a,64,'Flower','flower','Alu Flower Gravy (Ekadashi)'))</t>
  </si>
  <si>
    <t xml:space="preserve">a = Client().post('/recipes/alu-flower-gravy-ekadashi/detail/', {'recipe' : '90', 'ingredient' : '195', 'name' : 'Tomato puree', 'mass_unit' : '2', 'mass_quantity' : '14.583', 'volume_unit' : '', 'volume_quantity' : '0', 'pieces_unit' : '', 'pieces_quantity' : '0', 'cooking_notes' : ''}).status_code; print('%s :: %s :: %s :: %s :: %s' %(a,65,'Tomato puree','tomato','Alu Flower Gravy (Ekadashi)'))</t>
  </si>
  <si>
    <t xml:space="preserve">a = Client().post('/recipes/alu-flower-gravy-ekadashi/detail/', {'recipe' : '90', 'ingredient' : '81', 'name' : 'Ghee', 'mass_unit' : '', 'mass_quantity' : '0', 'volume_unit' : '1', 'volume_quantity' : '0.875', 'pieces_unit' : '', 'pieces_quantity' : '0', 'cooking_notes' : ''}).status_code; print('%s :: %s :: %s :: %s :: %s' %(a,66,'Ghee','ghee','Alu Flower Gravy (Ekadashi)'))</t>
  </si>
  <si>
    <t xml:space="preserve">a = Client().post('/recipes/alu-flower-gravy-ekadashi/detail/', {'recipe' : '90', 'ingredient' : '102', 'name' : 'Jeera', 'mass_unit' : '', 'mass_quantity' : '0', 'volume_unit' : '5', 'volume_quantity' : '0.875', 'pieces_unit' : '', 'pieces_quantity' : '0', 'cooking_notes' : ''}).status_code; print('%s :: %s :: %s :: %s :: %s' %(a,67,'Jeera','jeera','Alu Flower Gravy (Ekadashi)'))</t>
  </si>
  <si>
    <t xml:space="preserve">a = Client().post('/recipes/alu-flower-gravy-ekadashi/detail/', {'recipe' : '90', 'ingredient' : '93', 'name' : 'Hari Mirchi split in 2', 'mass_unit' : '', 'mass_quantity' : '0', 'volume_unit' : '5', 'volume_quantity' : '1.167', 'pieces_unit' : '', 'pieces_quantity' : '0', 'cooking_notes' : ''}).status_code; print('%s :: %s :: %s :: %s :: %s' %(a,68,'Hari Mirchi split in 2','hari mirchi','Alu Flower Gravy (Ekadashi)'))</t>
  </si>
  <si>
    <t xml:space="preserve">a = Client().post('/recipes/alu-flower-gravy-ekadashi/detail/', {'recipe' : '90', 'ingredient' : '1', 'name' : 'Adrak paste', 'mass_unit' : '', 'mass_quantity' : '0', 'volume_unit' : '1', 'volume_quantity' : '0.438', 'pieces_unit' : '', 'pieces_quantity' : '0', 'cooking_notes' : ''}).status_code; print('%s :: %s :: %s :: %s :: %s' %(a,69,'Adrak paste','adrak','Alu Flower Gravy (Ekadashi)'))</t>
  </si>
  <si>
    <t xml:space="preserve">a = Client().post('/recipes/alu-flower-gravy-ekadashi/detail/', {'recipe' : '90', 'ingredient' : '103', 'name' : 'Jeera pwd', 'mass_unit' : '', 'mass_quantity' : '0', 'volume_unit' : '5', 'volume_quantity' : '0.875', 'pieces_unit' : '', 'pieces_quantity' : '0', 'cooking_notes' : ''}).status_code; print('%s :: %s :: %s :: %s :: %s' %(a,70,'Jeera pwd','jeera powder','Alu Flower Gravy (Ekadashi)'))</t>
  </si>
  <si>
    <t xml:space="preserve">a = Client().post('/recipes/alu-flower-gravy-ekadashi/detail/', {'recipe' : '90', 'ingredient' : '67', 'name' : 'Dhania Pwd', 'mass_unit' : '', 'mass_quantity' : '0', 'volume_unit' : '5', 'volume_quantity' : '1.75', 'pieces_unit' : '', 'pieces_quantity' : '0', 'cooking_notes' : ''}).status_code; print('%s :: %s :: %s :: %s :: %s' %(a,71,'Dhania Pwd','dhaniya powder','Alu Flower Gravy (Ekadashi)'))</t>
  </si>
  <si>
    <t xml:space="preserve">a = Client().post('/recipes/alu-flower-gravy-ekadashi/detail/', {'recipe' : '90', 'ingredient' : '177', 'name' : 'Salt ', 'mass_unit' : '', 'mass_quantity' : '0', 'volume_unit' : '5', 'volume_quantity' : '1.313', 'pieces_unit' : '', 'pieces_quantity' : '0', 'cooking_notes' : ''}).status_code; print('%s :: %s :: %s :: %s :: %s' %(a,72,'Salt ','salt','Alu Flower Gravy (Ekadashi)'))</t>
  </si>
  <si>
    <t xml:space="preserve">a = Client().post('/recipes/alu-flower-gravy-ekadashi/detail/', {'recipe' : '90', 'ingredient' : '74', 'name' : 'Everest pulao masala', 'mass_unit' : '', 'mass_quantity' : '0', 'volume_unit' : '5', 'volume_quantity' : '1.75', 'pieces_unit' : '', 'pieces_quantity' : '0', 'cooking_notes' : ''}).status_code; print('%s :: %s :: %s :: %s :: %s' %(a,73,'Everest pulao masala','everest pulav masala','Alu Flower Gravy (Ekadashi)'))</t>
  </si>
  <si>
    <t xml:space="preserve">a = Client().post('/recipes/alu-flower-gravy-ekadashi/detail/', {'recipe' : '90', 'ingredient' : '117', 'name' : 'Kashmiri Mirchi Powder', 'mass_unit' : '', 'mass_quantity' : '0', 'volume_unit' : '1', 'volume_quantity' : '0.35', 'pieces_unit' : '', 'pieces_quantity' : '0', 'cooking_notes' : ''}).status_code; print('%s :: %s :: %s :: %s :: %s' %(a,74,'Kashmiri Mirchi Powder','kashmiri chilly powder','Alu Flower Gravy (Ekadashi)'))</t>
  </si>
  <si>
    <t xml:space="preserve">a = Client().post('/recipes/alu-flower-gravy-ekadashi/detail/', {'recipe' : '90', 'ingredient' : '107', 'name' : 'Kaju paste', 'mass_unit' : '2', 'mass_quantity' : '0.583', 'volume_unit' : '', 'volume_quantity' : '0', 'pieces_unit' : '', 'pieces_quantity' : '0', 'cooking_notes' : ''}).status_code; print('%s :: %s :: %s :: %s :: %s' %(a,75,'Kaju paste','kaju','Alu Flower Gravy (Ekadashi)'))</t>
  </si>
  <si>
    <t xml:space="preserve">a = Client().post('/recipes/alu-flower-gravy-ekadashi/detail/', {'recipe' : '90', 'ingredient' : '37', 'name' : 'Brown sugar (bluebird)', 'mass_unit' : '2', 'mass_quantity' : '0.425', 'volume_unit' : '1', 'volume_quantity' : '0.583', 'pieces_unit' : '', 'pieces_quantity' : '0', 'cooking_notes' : ''}).status_code; print('%s :: %s :: %s :: %s :: %s' %(a,76,'Brown sugar (bluebird)','brown sugar','Alu Flower Gravy (Ekadashi)'))</t>
  </si>
  <si>
    <t xml:space="preserve">a = Client().post('/recipes/alu-flower-gravy-ekadashi/detail/', {'recipe' : '90', 'ingredient' : '66', 'name' : 'Dhania Patta', 'mass_unit' : '', 'mass_quantity' : '0', 'volume_unit' : '1', 'volume_quantity' : '0.583', 'pieces_unit' : '', 'pieces_quantity' : '0', 'cooking_notes' : ''}).status_code; print('%s :: %s :: %s :: %s :: %s' %(a,77,'Dhania Patta','dhaniya patta','Alu Flower Gravy (Ekadashi)'))</t>
  </si>
  <si>
    <t xml:space="preserve">a = Client().post('/recipes/alu-flower-gravy-ekadashi/detail/', {'recipe' : '90', 'ingredient' : '83', 'name' : 'Oil for frying', 'mass_unit' : '', 'mass_quantity' : '0', 'volume_unit' : '2', 'volume_quantity' : '0', 'pieces_unit' : '', 'pieces_quantity' : '0', 'cooking_notes' : ''}).status_code; print('%s :: %s :: %s :: %s :: %s' %(a,78,'Oil for frying','gound nut oil','Alu Flower Gravy (Ekadashi)'))</t>
  </si>
  <si>
    <t xml:space="preserve">a = Client().post('/recipes/kakdi-singdana-salad/detail/', {'recipe' : '92', 'ingredient' : '183', 'name' : 'Boiled singdana', 'mass_unit' : '2', 'mass_quantity' : '8', 'volume_unit' : '', 'volume_quantity' : '0', 'pieces_unit' : '', 'pieces_quantity' : '0', 'cooking_notes' : ''}).status_code; print('%s :: %s :: %s :: %s :: %s' %(a,82,'Boiled singdana','singdana','Kakdi singdana salad'))</t>
  </si>
  <si>
    <t xml:space="preserve">a = Client().post('/recipes/kakdi-singdana-salad/detail/', {'recipe' : '92', 'ingredient' : '111', 'name' : 'Kakdi chopped', 'mass_unit' : '2', 'mass_quantity' : '10', 'volume_unit' : '', 'volume_quantity' : '0', 'pieces_unit' : '', 'pieces_quantity' : '0', 'cooking_notes' : ''}).status_code; print('%s :: %s :: %s :: %s :: %s' %(a,83,'Kakdi chopped','kakdi','Kakdi singdana salad'))</t>
  </si>
  <si>
    <t xml:space="preserve">a = Client().post('/recipes/kakdi-singdana-salad/detail/', {'recipe' : '92', 'ingredient' : '195', 'name' : 'tomato chopped', 'mass_unit' : '2', 'mass_quantity' : '10', 'volume_unit' : '', 'volume_quantity' : '0', 'pieces_unit' : '', 'pieces_quantity' : '0', 'cooking_notes' : ''}).status_code; print('%s :: %s :: %s :: %s :: %s' %(a,84,'tomato chopped','tomato','Kakdi singdana salad'))</t>
  </si>
  <si>
    <t xml:space="preserve">a = Client().post('/recipes/kakdi-singdana-salad/detail/', {'recipe' : '92', 'ingredient' : '93', 'name' : 'Hari mirchi fine chopped', 'mass_unit' : '', 'mass_quantity' : '0', 'volume_unit' : '5', 'volume_quantity' : '3', 'pieces_unit' : '', 'pieces_quantity' : '0', 'cooking_notes' : ''}).status_code; print('%s :: %s :: %s :: %s :: %s' %(a,85,'Hari mirchi fine chopped','hari mirchi','Kakdi singdana salad'))</t>
  </si>
  <si>
    <t xml:space="preserve">a = Client().post('/recipes/kakdi-singdana-salad/detail/', {'recipe' : '92', 'ingredient' : '177', 'name' : 'Salt', 'mass_unit' : '', 'mass_quantity' : '0', 'volume_unit' : '5', 'volume_quantity' : '2', 'pieces_unit' : '', 'pieces_quantity' : '0', 'cooking_notes' : ''}).status_code; print('%s :: %s :: %s :: %s :: %s' %(a,86,'Salt','salt','Kakdi singdana salad'))</t>
  </si>
  <si>
    <t xml:space="preserve">a = Client().post('/recipes/kakdi-singdana-salad/detail/', {'recipe' : '92', 'ingredient' : '66', 'name' : 'Dhania patta', 'mass_unit' : '', 'mass_quantity' : '0', 'volume_unit' : '1', 'volume_quantity' : '2', 'pieces_unit' : '', 'pieces_quantity' : '0', 'cooking_notes' : ''}).status_code; print('%s :: %s :: %s :: %s :: %s' %(a,87,'Dhania patta','dhaniya patta','Kakdi singdana salad'))</t>
  </si>
  <si>
    <t xml:space="preserve">a = Client().post('/recipes/kakdi-singdana-salad/detail/', {'recipe' : '92', 'ingredient' : '218', 'name' : 'Rocket leaves', 'mass_unit' : '2', 'mass_quantity' : '2.5', 'volume_unit' : '', 'volume_quantity' : '0', 'pieces_unit' : '', 'pieces_quantity' : '0', 'cooking_notes' : ''}).status_code; print('%s :: %s :: %s :: %s :: %s' %(a,88,'Rocket leaves','rocket leaves','Kakdi singdana salad'))</t>
  </si>
  <si>
    <t xml:space="preserve">a = Client().post('/recipes/kakdi-singdana-salad/detail/', {'recipe' : '92', 'ingredient' : '76', 'name' : 'EVOO', 'mass_unit' : '', 'mass_quantity' : '0', 'volume_unit' : '1', 'volume_quantity' : '1', 'pieces_unit' : '', 'pieces_quantity' : '0', 'cooking_notes' : ''}).status_code; print('%s :: %s :: %s :: %s :: %s' %(a,89,'EVOO','evoo','Kakdi singdana salad'))</t>
  </si>
  <si>
    <t xml:space="preserve">a = Client().post('/recipes/kakdi-singdana-salad/detail/', {'recipe' : '92', 'ingredient' : '8', 'name' : 'Boiled alu', 'mass_unit' : '', 'mass_quantity' : '5', 'volume_unit' : '', 'volume_quantity' : '0', 'pieces_unit' : '', 'pieces_quantity' : '0', 'cooking_notes' : ''}).status_code; print('%s :: %s :: %s :: %s :: %s' %(a,90,'Boiled alu','alu','Kakdi singdana salad'))</t>
  </si>
  <si>
    <t xml:space="preserve">a = Client().post('/recipes/kakdi-singdana-salad/detail/', {'recipe' : '92', 'ingredient' : '219', 'name' : 'Coal for smoke flavor', 'mass_unit' : '2', 'mass_quantity' : '0.5', 'volume_unit' : '', 'volume_quantity' : '0', 'pieces_unit' : '', 'pieces_quantity' : '0', 'cooking_notes' : ''}).status_code; print('%s :: %s :: %s :: %s :: %s' %(a,93,'Coal for smoke flavor','coal','Kakdi singdana salad'))</t>
  </si>
  <si>
    <t xml:space="preserve">a = Client().post('/recipes/potato-chips/detail/', {'recipe' : '93', 'ingredient' : '83', 'name' : 'oil for frying', 'mass_unit' : '2', 'mass_quantity' : '0', 'volume_unit' : '', 'volume_quantity' : '0', 'pieces_unit' : '', 'pieces_quantity' : '0', 'cooking_notes' : ''}).status_code; print('%s :: %s :: %s :: %s :: %s' %(a,95,'oil for frying','gound nut oil','Potato chips'))</t>
  </si>
  <si>
    <t xml:space="preserve">a = Client().post('/recipes/potato-chips/detail/', {'recipe' : '93', 'ingredient' : '220', 'name' : 'Potato Chips', 'mass_unit' : '2', 'mass_quantity' : '4', 'volume_unit' : '', 'volume_quantity' : '0', 'pieces_unit' : '', 'pieces_quantity' : '0', 'cooking_notes' : ''}).status_code; print('%s :: %s :: %s :: %s :: %s' %(a,96,'Potato Chips','potato chips','Potato chips'))</t>
  </si>
  <si>
    <t xml:space="preserve">a = Client().post('/recipes/potato-chips/detail/', {'recipe' : '93', 'ingredient' : '31', 'name' : 'black pepper powder', 'mass_unit' : '', 'mass_quantity' : '0', 'volume_unit' : '5', 'volume_quantity' : '0.5', 'pieces_unit' : '', 'pieces_quantity' : '0', 'cooking_notes' : ''}).status_code; print('%s :: %s :: %s :: %s :: %s' %(a,97,'black pepper powder','black pepper','Potato chips'))</t>
  </si>
  <si>
    <t xml:space="preserve">a = Client().post('/recipes/potato-chips/detail/', {'recipe' : '93', 'ingredient' : '32', 'name' : 'black salt powder', 'mass_unit' : '', 'mass_quantity' : '0', 'volume_unit' : '5', 'volume_quantity' : '0.5', 'pieces_unit' : '', 'pieces_quantity' : '0', 'cooking_notes' : ''}).status_code; print('%s :: %s :: %s :: %s :: %s' %(a,98,'black salt powder','black salt','Potato chips'))</t>
  </si>
  <si>
    <t xml:space="preserve">a = Client().post('/recipes/potato-chips/detail/', {'recipe' : '93', 'ingredient' : '177', 'name' : 'salt', 'mass_unit' : '', 'mass_quantity' : '0', 'volume_unit' : '5', 'volume_quantity' : '0.5', 'pieces_unit' : '', 'pieces_quantity' : '0', 'cooking_notes' : ''}).status_code; print('%s :: %s :: %s :: %s :: %s' %(a,99,'salt','salt','Potato chips'))</t>
  </si>
  <si>
    <t xml:space="preserve">a = Client().post('/recipes/spicy-potato/detail/', {'recipe' : '73', 'ingredient' : '8', 'name' : 'Alu ', 'mass_unit' : '2', 'mass_quantity' : '32', 'volume_unit' : '', 'volume_quantity' : '0', 'pieces_unit' : '', 'pieces_quantity' : '0', 'cooking_notes' : '0.5" boiled'}).status_code; print('%s :: %s :: %s :: %s :: %s' %(a,103,'Alu ','alu','Spicy Potato'))</t>
  </si>
  <si>
    <t xml:space="preserve">a = Client().post('/recipes/spicy-potato/detail/', {'recipe' : '73', 'ingredient' : '39', 'name' : 'Cabbage', 'mass_unit' : '2', 'mass_quantity' : '3', 'volume_unit' : '', 'volume_quantity' : '0', 'pieces_unit' : '', 'pieces_quantity' : '0', 'cooking_notes' : 'fine chopped'}).status_code; print('%s :: %s :: %s :: %s :: %s' %(a,104,'Cabbage','cabbage','Spicy Potato'))</t>
  </si>
  <si>
    <t xml:space="preserve">a = Client().post('/recipes/spicy-potato/detail/', {'recipe' : '73', 'ingredient' : '42', 'name' : 'Capsicum', 'mass_unit' : '2', 'mass_quantity' : '1.5', 'volume_unit' : '', 'volume_quantity' : '0', 'pieces_unit' : '', 'pieces_quantity' : '0', 'cooking_notes' : 'fine chopped'}).status_code; print('%s :: %s :: %s :: %s :: %s' %(a,105,'Capsicum','capsicum','Spicy Potato'))</t>
  </si>
  <si>
    <t xml:space="preserve">a = Client().post('/recipes/spicy-potato/detail/', {'recipe' : '73', 'ingredient' : '54', 'name' : 'Coconuts', 'mass_unit' : '', 'mass_quantity' : '0', 'volume_unit' : '', 'volume_quantity' : '0', 'pieces_unit' : '3', 'pieces_quantity' : '16', 'cooking_notes' : 'grated'}).status_code; print('%s :: %s :: %s :: %s :: %s' %(a,106,'Coconuts','coconut','Spicy Potato'))</t>
  </si>
  <si>
    <t xml:space="preserve">a = Client().post('/recipes/spicy-potato/detail/', {'recipe' : '73', 'ingredient' : '98', 'name' : 'Imli', 'mass_unit' : '2', 'mass_quantity' : '0.75', 'volume_unit' : '', 'volume_quantity' : '0', 'pieces_unit' : '', 'pieces_quantity' : '0', 'cooking_notes' : ''}).status_code; print('%s :: %s :: %s :: %s :: %s' %(a,107,'Imli','imli','Spicy Potato'))</t>
  </si>
  <si>
    <t xml:space="preserve">a = Client().post('/recipes/spicy-potato/detail/', {'recipe' : '73', 'ingredient' : '117', 'name' : 'Kashmiri mirchi', 'mass_unit' : '7', 'mass_quantity' : '500', 'volume_unit' : '', 'volume_quantity' : '0', 'pieces_unit' : '', 'pieces_quantity' : '0', 'cooking_notes' : ''}).status_code; print('%s :: %s :: %s :: %s :: %s' %(a,108,'Kashmiri mirchi','kashmiri chilly powder','Spicy Potato'))</t>
  </si>
  <si>
    <t xml:space="preserve">a = Client().post('/recipes/spicy-potato/detail/', {'recipe' : '73', 'ingredient' : '135', 'name' : 'Madrasi mirchi', 'mass_unit' : '7', 'mass_quantity' : '120', 'volume_unit' : '', 'volume_quantity' : '0', 'pieces_unit' : '', 'pieces_quantity' : '0', 'cooking_notes' : ''}).status_code; print('%s :: %s :: %s :: %s :: %s' %(a,109,'Madrasi mirchi','madrasi mirchi powder','Spicy Potato'))</t>
  </si>
  <si>
    <t xml:space="preserve">a = Client().post('/recipes/spicy-potato/detail/', {'recipe' : '73', 'ingredient' : '3', 'name' : 'Akha dhaniya', 'mass_unit' : '', 'mass_quantity' : '0', 'volume_unit' : '5', 'volume_quantity' : '8', 'pieces_unit' : '', 'pieces_quantity' : '0', 'cooking_notes' : ''}).status_code; print('%s :: %s :: %s :: %s :: %s' %(a,110,'Akha dhaniya','akha dhaniya','Spicy Potato'))</t>
  </si>
  <si>
    <t xml:space="preserve">a = Client().post('/recipes/spicy-potato/detail/', {'recipe' : '73', 'ingredient' : '177', 'name' : 'Salt', 'mass_unit' : '', 'mass_quantity' : '0', 'volume_unit' : '5', 'volume_quantity' : '4', 'pieces_unit' : '', 'pieces_quantity' : '0', 'cooking_notes' : ''}).status_code; print('%s :: %s :: %s :: %s :: %s' %(a,111,'Salt','salt','Spicy Potato'))</t>
  </si>
  <si>
    <t xml:space="preserve">a = Client().post('/recipes/spicy-potato/detail/', {'recipe' : '73', 'ingredient' : '89', 'name' : 'Grountnut Oil', 'mass_unit' : '', 'mass_quantity' : '0', 'volume_unit' : '1', 'volume_quantity' : '2', 'pieces_unit' : '', 'pieces_quantity' : '0', 'cooking_notes' : ''}).status_code; print('%s :: %s :: %s :: %s :: %s' %(a,112,'Grountnut Oil','ground nut oil','Spicy Potato'))</t>
  </si>
  <si>
    <t xml:space="preserve">a = Client().post('/recipes/spicy-potato/detail/', {'recipe' : '73', 'ingredient' : '97', 'name' : 'Hot water', 'mass_unit' : '', 'mass_quantity' : '0', 'volume_unit' : '1', 'volume_quantity' : '10', 'pieces_unit' : '', 'pieces_quantity' : '0', 'cooking_notes' : ''}).status_code; print('%s :: %s :: %s :: %s :: %s' %(a,113,'Hot water','hot water','Spicy Potato'))</t>
  </si>
  <si>
    <t xml:space="preserve">a = Client().post('/recipes/pav-bhaji-bhaji/detail/', {'recipe' : '60', 'ingredient' : '8', 'name' : 'Alu', 'mass_unit' : '2', 'mass_quantity' : '35', 'volume_unit' : '', 'volume_quantity' : '0', 'pieces_unit' : '', 'pieces_quantity' : '0', 'cooking_notes' : 'boiled,mashed'}).status_code; print('%s :: %s :: %s :: %s :: %s' %(a,116,'Alu','alu','Pav Bhaji Bhaji'))</t>
  </si>
  <si>
    <t xml:space="preserve">a = Client().post('/recipes/pav-bhaji-bhaji/detail/', {'recipe' : '60', 'ingredient' : '195', 'name' : 'Tomato', 'mass_unit' : '2', 'mass_quantity' : '30', 'volume_unit' : '', 'volume_quantity' : '0', 'pieces_unit' : '', 'pieces_quantity' : '0', 'cooking_notes' : 'steam puree'}).status_code; print('%s :: %s :: %s :: %s :: %s' %(a,117,'Tomato','tomato','Pav Bhaji Bhaji'))</t>
  </si>
  <si>
    <t xml:space="preserve">a = Client().post('/recipes/pav-bhaji-bhaji/detail/', {'recipe' : '60', 'ingredient' : '176', 'name' : 'Safed watana or', 'mass_unit' : '2', 'mass_quantity' : '3', 'volume_unit' : '', 'volume_quantity' : '0', 'pieces_unit' : '', 'pieces_quantity' : '0', 'cooking_notes' : 'boiled,mashed'}).status_code; print('%s :: %s :: %s :: %s :: %s' %(a,118,'Safed watana or','safed watana','Pav Bhaji Bhaji'))</t>
  </si>
  <si>
    <t xml:space="preserve">a = Client().post('/recipes/pav-bhaji-bhaji/detail/', {'recipe' : '60', 'ingredient' : '88', 'name' : 'Green peas', 'mass_unit' : '2', 'mass_quantity' : '7', 'volume_unit' : '', 'volume_quantity' : '0', 'pieces_unit' : '', 'pieces_quantity' : '0', 'cooking_notes' : 'boiled,mashed'}).status_code; print('%s :: %s :: %s :: %s :: %s' %(a,119,'Green peas','green peas','Pav Bhaji Bhaji'))</t>
  </si>
  <si>
    <t xml:space="preserve">a = Client().post('/recipes/pav-bhaji-bhaji/detail/', {'recipe' : '60', 'ingredient' : '78', 'name' : 'Flower ', 'mass_unit' : '', 'mass_quantity' : '0', 'volume_unit' : '1', 'volume_quantity' : '4', 'pieces_unit' : '', 'pieces_quantity' : '0', 'cooking_notes' : 'grated,saute'}).status_code; print('%s :: %s :: %s :: %s :: %s' %(a,120,'Flower ','flower','Pav Bhaji Bhaji'))</t>
  </si>
  <si>
    <t xml:space="preserve">a = Client().post('/recipes/pav-bhaji-bhaji/detail/', {'recipe' : '60', 'ingredient' : '42', 'name' : 'Capsicum', 'mass_unit' : '2', 'mass_quantity' : '7', 'volume_unit' : '', 'volume_quantity' : '0', 'pieces_unit' : '', 'pieces_quantity' : '0', 'cooking_notes' : 'fine chopped,saute'}).status_code; print('%s :: %s :: %s :: %s :: %s' %(a,121,'Capsicum','capsicum','Pav Bhaji Bhaji'))</t>
  </si>
  <si>
    <t xml:space="preserve">a = Client().post('/recipes/pav-bhaji-bhaji/detail/', {'recipe' : '60', 'ingredient' : '83', 'name' : 'Oil', 'mass_unit' : '1', 'mass_quantity' : '2.5', 'volume_unit' : '', 'volume_quantity' : '0', 'pieces_unit' : '', 'pieces_quantity' : '0', 'cooking_notes' : ''}).status_code; print('%s :: %s :: %s :: %s :: %s' %(a,122,'Oil','gound nut oil','Pav Bhaji Bhaji'))</t>
  </si>
  <si>
    <t xml:space="preserve">a = Client().post('/recipes/pav-bhaji-bhaji/detail/', {'recipe' : '60', 'ingredient' : '1', 'name' : 'Adrak paste', 'mass_unit' : '', 'mass_quantity' : '0', 'volume_unit' : '1', 'volume_quantity' : '1', 'pieces_unit' : '', 'pieces_quantity' : '0', 'cooking_notes' : ''}).status_code; print('%s :: %s :: %s :: %s :: %s' %(a,123,'Adrak paste','adrak','Pav Bhaji Bhaji'))</t>
  </si>
  <si>
    <t xml:space="preserve">a = Client().post('/recipes/pav-bhaji-bhaji/detail/', {'recipe' : '60', 'ingredient' : '117', 'name' : 'Kashmiri powder', 'mass_unit' : '', 'mass_quantity' : '0', 'volume_unit' : '5', 'volume_quantity' : '3', 'pieces_unit' : '', 'pieces_quantity' : '0', 'cooking_notes' : ''}).status_code; print('%s :: %s :: %s :: %s :: %s' %(a,124,'Kashmiri powder','kashmiri chilly powder','Pav Bhaji Bhaji'))</t>
  </si>
  <si>
    <t xml:space="preserve">a = Client().post('/recipes/pav-bhaji-bhaji/detail/', {'recipe' : '60', 'ingredient' : '19', 'name' : 'Badshah pav bhaji masala', 'mass_unit' : '', 'mass_quantity' : '0', 'volume_unit' : '1', 'volume_quantity' : '1.6', 'pieces_unit' : '', 'pieces_quantity' : '0', 'cooking_notes' : ''}).status_code; print('%s :: %s :: %s :: %s :: %s' %(a,125,'Badshah pav bhaji masala','badshah pav bhaji masala','Pav Bhaji Bhaji'))</t>
  </si>
  <si>
    <t xml:space="preserve">a = Client().post('/recipes/pav-bhaji-bhaji/detail/', {'recipe' : '60', 'ingredient' : '177', 'name' : 'Salt', 'mass_unit' : '', 'mass_quantity' : '0', 'volume_unit' : '5', 'volume_quantity' : '4.5', 'pieces_unit' : '', 'pieces_quantity' : '0', 'cooking_notes' : ''}).status_code; print('%s :: %s :: %s :: %s :: %s' %(a,126,'Salt','salt','Pav Bhaji Bhaji'))</t>
  </si>
  <si>
    <t xml:space="preserve">a = Client().post('/recipes/pav-bhaji-bhaji/detail/', {'recipe' : '60', 'ingredient' : '97', 'name' : 'Hot water', 'mass_unit' : '', 'mass_quantity' : '0', 'volume_unit' : '1', 'volume_quantity' : '15', 'pieces_unit' : '', 'pieces_quantity' : '0', 'cooking_notes' : ''}).status_code; print('%s :: %s :: %s :: %s :: %s' %(a,127,'Hot water','hot water','Pav Bhaji Bhaji'))</t>
  </si>
  <si>
    <t xml:space="preserve">a = Client().post('/recipes/pav-bhaji-bhaji/detail/', {'recipe' : '60', 'ingredient' : '38', 'name' : 'Butter', 'mass_unit' : '', 'mass_quantity' : '0', 'volume_unit' : '1', 'volume_quantity' : '3', 'pieces_unit' : '', 'pieces_quantity' : '0', 'cooking_notes' : ''}).status_code; print('%s :: %s :: %s :: %s :: %s' %(a,128,'Butter','butter','Pav Bhaji Bhaji'))</t>
  </si>
  <si>
    <t xml:space="preserve">a = Client().post('/recipes/pav-bhaji-bhaji/detail/', {'recipe' : '60', 'ingredient' : '129', 'name' : 'Lemon juice', 'mass_unit' : '', 'mass_quantity' : '0', 'volume_unit' : '5', 'volume_quantity' : '3', 'pieces_unit' : '', 'pieces_quantity' : '0', 'cooking_notes' : ''}).status_code; print('%s :: %s :: %s :: %s :: %s' %(a,129,'Lemon juice','lemon','Pav Bhaji Bhaji'))</t>
  </si>
  <si>
    <t xml:space="preserve">a = Client().post('/recipes/jackfruit-gravy/detail/', {'recipe' : '33', 'ingredient' : '99', 'name' : 'Jackfruit ', 'mass_unit' : '2', 'mass_quantity' : '30', 'volume_unit' : '', 'volume_quantity' : '0', 'pieces_unit' : '', 'pieces_quantity' : '0', 'cooking_notes' : 'cut,boiled,fried'}).status_code; print('%s :: %s :: %s :: %s :: %s' %(a,133,'Jackfruit ','jackfruit','Jackfruit gravy'))</t>
  </si>
  <si>
    <t xml:space="preserve">a = Client().post('/recipes/jackfruit-gravy/detail/', {'recipe' : '33', 'ingredient' : '195', 'name' : 'Tomato', 'mass_unit' : '2', 'mass_quantity' : '10', 'volume_unit' : '', 'volume_quantity' : '0', 'pieces_unit' : '', 'pieces_quantity' : '0', 'cooking_notes' : 'steam puree'}).status_code; print('%s :: %s :: %s :: %s :: %s' %(a,134,'Tomato','tomato','Jackfruit gravy'))</t>
  </si>
  <si>
    <t xml:space="preserve">a = Client().post('/recipes/jackfruit-gravy/detail/', {'recipe' : '33', 'ingredient' : '107', 'name' : 'Kaju paste', 'mass_unit' : '2', 'mass_quantity' : '1', 'volume_unit' : '', 'volume_quantity' : '0', 'pieces_unit' : '', 'pieces_quantity' : '0', 'cooking_notes' : 'boiled paste'}).status_code; print('%s :: %s :: %s :: %s :: %s' %(a,135,'Kaju paste','kaju','Jackfruit gravy'))</t>
  </si>
  <si>
    <t xml:space="preserve">a = Client().post('/recipes/jackfruit-gravy/detail/', {'recipe' : '33', 'ingredient' : '83', 'name' : 'Oil', 'mass_unit' : '', 'mass_quantity' : '0', 'volume_unit' : '1', 'volume_quantity' : '1.5', 'pieces_unit' : '', 'pieces_quantity' : '0', 'cooking_notes' : ''}).status_code; print('%s :: %s :: %s :: %s :: %s' %(a,136,'Oil','gound nut oil','Jackfruit gravy'))</t>
  </si>
  <si>
    <t xml:space="preserve">a = Client().post('/recipes/jackfruit-gravy/detail/', {'recipe' : '33', 'ingredient' : '102', 'name' : 'Jeera', 'mass_unit' : '', 'mass_quantity' : '0', 'volume_unit' : '5', 'volume_quantity' : '1', 'pieces_unit' : '', 'pieces_quantity' : '0', 'cooking_notes' : ''}).status_code; print('%s :: %s :: %s :: %s :: %s' %(a,137,'Jeera','jeera','Jackfruit gravy'))</t>
  </si>
  <si>
    <t xml:space="preserve">a = Client().post('/recipes/jackfruit-gravy/detail/', {'recipe' : '33', 'ingredient' : '95', 'name' : 'Hing', 'mass_unit' : '', 'mass_quantity' : '0', 'volume_unit' : '5', 'volume_quantity' : '0.4', 'pieces_unit' : '', 'pieces_quantity' : '0', 'cooking_notes' : ''}).status_code; print('%s :: %s :: %s :: %s :: %s' %(a,138,'Hing','hing','Jackfruit gravy'))</t>
  </si>
  <si>
    <t xml:space="preserve">a = Client().post('/recipes/jackfruit-gravy/detail/', {'recipe' : '33', 'ingredient' : '93', 'name' : 'Green chilly', 'mass_unit' : '', 'mass_quantity' : '0', 'volume_unit' : '5', 'volume_quantity' : '1', 'pieces_unit' : '', 'pieces_quantity' : '0', 'cooking_notes' : ''}).status_code; print('%s :: %s :: %s :: %s :: %s' %(a,139,'Green chilly','hari mirchi','Jackfruit gravy'))</t>
  </si>
  <si>
    <t xml:space="preserve">a = Client().post('/recipes/jackfruit-gravy/detail/', {'recipe' : '33', 'ingredient' : '1', 'name' : 'Adrak paste', 'mass_unit' : '', 'mass_quantity' : '0', 'volume_unit' : '1', 'volume_quantity' : '0.5', 'pieces_unit' : '', 'pieces_quantity' : '0', 'cooking_notes' : ''}).status_code; print('%s :: %s :: %s :: %s :: %s' %(a,140,'Adrak paste','adrak','Jackfruit gravy'))</t>
  </si>
  <si>
    <t xml:space="preserve">a = Client().post('/recipes/jackfruit-gravy/detail/', {'recipe' : '33', 'ingredient' : '91', 'name' : 'Haldi', 'mass_unit' : '', 'mass_quantity' : '0', 'volume_unit' : '5', 'volume_quantity' : '1', 'pieces_unit' : '', 'pieces_quantity' : '0', 'cooking_notes' : ''}).status_code; print('%s :: %s :: %s :: %s :: %s' %(a,141,'Haldi','haldi','Jackfruit gravy'))</t>
  </si>
  <si>
    <t xml:space="preserve">a = Client().post('/recipes/jackfruit-gravy/detail/', {'recipe' : '33', 'ingredient' : '117', 'name' : 'Kashmiri powder', 'mass_unit' : '', 'mass_quantity' : '0', 'volume_unit' : '5', 'volume_quantity' : '1.5', 'pieces_unit' : '', 'pieces_quantity' : '0', 'cooking_notes' : ''}).status_code; print('%s :: %s :: %s :: %s :: %s' %(a,142,'Kashmiri powder','kashmiri chilly powder','Jackfruit gravy'))</t>
  </si>
  <si>
    <t xml:space="preserve">a = Client().post('/recipes/jackfruit-gravy/detail/', {'recipe' : '33', 'ingredient' : '74', 'name' : 'Everest pulao masala', 'mass_unit' : '', 'mass_quantity' : '0', 'volume_unit' : '5', 'volume_quantity' : '2', 'pieces_unit' : '', 'pieces_quantity' : '0', 'cooking_notes' : ''}).status_code; print('%s :: %s :: %s :: %s :: %s' %(a,143,'Everest pulao masala','everest pulav masala','Jackfruit gravy'))</t>
  </si>
  <si>
    <t xml:space="preserve">a = Client().post('/recipes/jackfruit-gravy/detail/', {'recipe' : '33', 'ingredient' : '97', 'name' : 'Hot water', 'mass_unit' : '', 'mass_quantity' : '0', 'volume_unit' : '1', 'volume_quantity' : '10', 'pieces_unit' : '', 'pieces_quantity' : '0', 'cooking_notes' : ''}).status_code; print('%s :: %s :: %s :: %s :: %s' %(a,144,'Hot water','hot water','Jackfruit gravy'))</t>
  </si>
  <si>
    <t xml:space="preserve">a = Client().post('/recipes/jackfruit-gravy/detail/', {'recipe' : '33', 'ingredient' : '177', 'name' : 'Salt', 'mass_unit' : '', 'mass_quantity' : '0', 'volume_unit' : '5', 'volume_quantity' : '1.8', 'pieces_unit' : '', 'pieces_quantity' : '0', 'cooking_notes' : ''}).status_code; print('%s :: %s :: %s :: %s :: %s' %(a,145,'Salt','salt','Jackfruit gravy'))</t>
  </si>
  <si>
    <t xml:space="preserve">a = Client().post('/recipes/watana-usal/detail/', {'recipe' : '89', 'ingredient' : '176', 'name' : 'Safed watana', 'mass_unit' : '2', 'mass_quantity' : '9', 'volume_unit' : '', 'volume_quantity' : '0', 'pieces_unit' : '', 'pieces_quantity' : '0', 'cooking_notes' : 'boiled'}).status_code; print('%s :: %s :: %s :: %s :: %s' %(a,148,'Safed watana','safed watana','Watana Usal'))</t>
  </si>
  <si>
    <t xml:space="preserve">a = Client().post('/recipes/watana-usal/detail/', {'recipe' : '89', 'ingredient' : '195', 'name' : 'Tomato', 'mass_unit' : '2', 'mass_quantity' : '5', 'volume_unit' : '', 'volume_quantity' : '0', 'pieces_unit' : '', 'pieces_quantity' : '0', 'cooking_notes' : '0.5" cube'}).status_code; print('%s :: %s :: %s :: %s :: %s' %(a,149,'Tomato','tomato','Watana Usal'))</t>
  </si>
  <si>
    <t xml:space="preserve">a = Client().post('/recipes/watana-usal/detail/', {'recipe' : '89', 'ingredient' : '91', 'name' : 'Haldi', 'mass_unit' : '', 'mass_quantity' : '0', 'volume_unit' : '5', 'volume_quantity' : '1', 'pieces_unit' : '', 'pieces_quantity' : '0', 'cooking_notes' : ''}).status_code; print('%s :: %s :: %s :: %s :: %s' %(a,150,'Haldi','haldi','Watana Usal'))</t>
  </si>
  <si>
    <t xml:space="preserve">a = Client().post('/recipes/watana-usal/detail/', {'recipe' : '89', 'ingredient' : '67', 'name' : 'Dhania powder', 'mass_unit' : '', 'mass_quantity' : '0', 'volume_unit' : '5', 'volume_quantity' : '1.5', 'pieces_unit' : '', 'pieces_quantity' : '0', 'cooking_notes' : ''}).status_code; print('%s :: %s :: %s :: %s :: %s' %(a,151,'Dhania powder','dhaniya powder','Watana Usal'))</t>
  </si>
  <si>
    <t xml:space="preserve">a = Client().post('/recipes/watana-usal/detail/', {'recipe' : '89', 'ingredient' : '103', 'name' : 'Jeera powder', 'mass_unit' : '', 'mass_quantity' : '0', 'volume_unit' : '5', 'volume_quantity' : '0.5', 'pieces_unit' : '', 'pieces_quantity' : '0', 'cooking_notes' : ''}).status_code; print('%s :: %s :: %s :: %s :: %s' %(a,152,'Jeera powder','jeera powder','Watana Usal'))</t>
  </si>
  <si>
    <t xml:space="preserve">a = Client().post('/recipes/watana-usal/detail/', {'recipe' : '89', 'ingredient' : '95', 'name' : 'Hing', 'mass_unit' : '', 'mass_quantity' : '0', 'volume_unit' : '5', 'volume_quantity' : '0.5', 'pieces_unit' : '', 'pieces_quantity' : '0', 'cooking_notes' : ''}).status_code; print('%s :: %s :: %s :: %s :: %s' %(a,153,'Hing','hing','Watana Usal'))</t>
  </si>
  <si>
    <t xml:space="preserve">a = Client().post('/recipes/watana-usal/detail/', {'recipe' : '89', 'ingredient' : '191', 'name' : 'Tejpatta', 'mass_unit' : '', 'mass_quantity' : '0', 'volume_unit' : '5', 'volume_quantity' : '1', 'pieces_unit' : '', 'pieces_quantity' : '0', 'cooking_notes' : ''}).status_code; print('%s :: %s :: %s :: %s :: %s' %(a,154,'Tejpatta','tej patta','Watana Usal'))</t>
  </si>
  <si>
    <t xml:space="preserve">a = Client().post('/recipes/watana-usal/detail/', {'recipe' : '89', 'ingredient' : '177', 'name' : 'Salt', 'mass_unit' : '', 'mass_quantity' : '0', 'volume_unit' : '5', 'volume_quantity' : '3', 'pieces_unit' : '', 'pieces_quantity' : '0', 'cooking_notes' : ''}).status_code; print('%s :: %s :: %s :: %s :: %s' %(a,155,'Salt','salt','Watana Usal'))</t>
  </si>
  <si>
    <t xml:space="preserve">a = Client().post('/recipes/watana-usal/detail/', {'recipe' : '89', 'ingredient' : '83', 'name' : 'Oil', 'mass_unit' : '', 'mass_quantity' : '0', 'volume_unit' : '1', 'volume_quantity' : '1.5', 'pieces_unit' : '', 'pieces_quantity' : '0', 'cooking_notes' : ''}).status_code; print('%s :: %s :: %s :: %s :: %s' %(a,156,'Oil','gound nut oil','Watana Usal'))</t>
  </si>
  <si>
    <t xml:space="preserve">a = Client().post('/recipes/watana-usal/detail/', {'recipe' : '89', 'ingredient' : '164', 'name' : 'Rai', 'mass_unit' : '', 'mass_quantity' : '0', 'volume_unit' : '5', 'volume_quantity' : '0.5', 'pieces_unit' : '', 'pieces_quantity' : '0', 'cooking_notes' : ''}).status_code; print('%s :: %s :: %s :: %s :: %s' %(a,157,'Rai','rai','Watana Usal'))</t>
  </si>
  <si>
    <t xml:space="preserve">a = Client().post('/recipes/watana-usal/detail/', {'recipe' : '89', 'ingredient' : '102', 'name' : 'Jeera', 'mass_unit' : '', 'mass_quantity' : '0', 'volume_unit' : '5', 'volume_quantity' : '0.75', 'pieces_unit' : '', 'pieces_quantity' : '0', 'cooking_notes' : ''}).status_code; print('%s :: %s :: %s :: %s :: %s' %(a,158,'Jeera','jeera','Watana Usal'))</t>
  </si>
  <si>
    <t xml:space="preserve">a = Client().post('/recipes/watana-usal/detail/', {'recipe' : '89', 'ingredient' : '1', 'name' : 'Adrak paste', 'mass_unit' : '', 'mass_quantity' : '0', 'volume_unit' : '1', 'volume_quantity' : '0.5', 'pieces_unit' : '', 'pieces_quantity' : '0', 'cooking_notes' : ''}).status_code; print('%s :: %s :: %s :: %s :: %s' %(a,159,'Adrak paste','adrak','Watana Usal'))</t>
  </si>
  <si>
    <t xml:space="preserve">a = Client().post('/recipes/watana-usal/detail/', {'recipe' : '89', 'ingredient' : '117', 'name' : 'Kashmiri powder', 'mass_unit' : '', 'mass_quantity' : '0', 'volume_unit' : '5', 'volume_quantity' : '1', 'pieces_unit' : '', 'pieces_quantity' : '0', 'cooking_notes' : ''}).status_code; print('%s :: %s :: %s :: %s :: %s' %(a,160,'Kashmiri powder','kashmiri chilly powder','Watana Usal'))</t>
  </si>
  <si>
    <t xml:space="preserve">a = Client().post('/recipes/watana-usal/detail/', {'recipe' : '89', 'ingredient' : '187', 'name' : 'Sugar', 'mass_unit' : '', 'mass_quantity' : '0', 'volume_unit' : '5', 'volume_quantity' : '1', 'pieces_unit' : '', 'pieces_quantity' : '0', 'cooking_notes' : ''}).status_code; print('%s :: %s :: %s :: %s :: %s' %(a,161,'Sugar','sugar','Watana Usal'))</t>
  </si>
  <si>
    <t xml:space="preserve">a = Client().post('/recipes/watana-usal/detail/', {'recipe' : '89', 'ingredient' : '54', 'name' : 'Coconuts', 'mass_unit' : '', 'mass_quantity' : '0', 'volume_unit' : '', 'volume_quantity' : '0', 'pieces_unit' : '3', 'pieces_quantity' : '6', 'cooking_notes' : 'grated,roasted'}).status_code; print('%s :: %s :: %s :: %s :: %s' %(a,162,'Coconuts','coconut','Watana Usal'))</t>
  </si>
  <si>
    <t xml:space="preserve">a = Client().post('/recipes/watana-usal/detail/', {'recipe' : '89', 'ingredient' : '125', 'name' : 'Kubal usal masala', 'mass_unit' : '', 'mass_quantity' : '0', 'volume_unit' : '5', 'volume_quantity' : '1.25', 'pieces_unit' : '', 'pieces_quantity' : '0', 'cooking_notes' : ''}).status_code; print('%s :: %s :: %s :: %s :: %s' %(a,163,'Kubal usal masala','kubal usal masala','Watana Usal'))</t>
  </si>
  <si>
    <t xml:space="preserve">a = Client().post('/recipes/watana-usal/detail/', {'recipe' : '89', 'ingredient' : '82', 'name' : 'Goda masala', 'mass_unit' : '', 'mass_quantity' : '0', 'volume_unit' : '5', 'volume_quantity' : '2.25', 'pieces_unit' : '', 'pieces_quantity' : '0', 'cooking_notes' : ''}).status_code; print('%s :: %s :: %s :: %s :: %s' %(a,164,'Goda masala','goda masala','Watana Usal'))</t>
  </si>
  <si>
    <t xml:space="preserve">a = Client().post('/recipes/watana-usal/detail/', {'recipe' : '89', 'ingredient' : '129', 'name' : 'Lemon juice', 'mass_unit' : '', 'mass_quantity' : '0', 'volume_unit' : '5', 'volume_quantity' : '2', 'pieces_unit' : '', 'pieces_quantity' : '0', 'cooking_notes' : ''}).status_code; print('%s :: %s :: %s :: %s :: %s' %(a,165,'Lemon juice','lemon','Watana Usal'))</t>
  </si>
  <si>
    <t xml:space="preserve">a = Client().post('/recipes/jp-khichadi/detail/', {'recipe' : '35', 'ingredient' : '170', 'name' : 'Rice', 'mass_unit' : '2', 'mass_quantity' : '5', 'volume_unit' : '', 'volume_quantity' : '0', 'pieces_unit' : '', 'pieces_quantity' : '0', 'cooking_notes' : ''}).status_code; print('%s :: %s :: %s :: %s :: %s' %(a,168,'Rice','rice','JP Khichadi'))</t>
  </si>
  <si>
    <t xml:space="preserve">a = Client().post('/recipes/jp-khichadi/detail/', {'recipe' : '35', 'ingredient' : '51', 'name' : 'Chilka moong dal', 'mass_unit' : '2', 'mass_quantity' : '1', 'volume_unit' : '', 'volume_quantity' : '0', 'pieces_unit' : '', 'pieces_quantity' : '0', 'cooking_notes' : ''}).status_code; print('%s :: %s :: %s :: %s :: %s' %(a,169,'Chilka moong dal','chilka moong dal','JP Khichadi'))</t>
  </si>
  <si>
    <t xml:space="preserve">a = Client().post('/recipes/jp-khichadi/detail/', {'recipe' : '35', 'ingredient' : '46', 'name' : 'Chana dal', 'mass_unit' : '2', 'mass_quantity' : '0.5', 'volume_unit' : '', 'volume_quantity' : '0', 'pieces_unit' : '', 'pieces_quantity' : '0', 'cooking_notes' : ''}).status_code; print('%s :: %s :: %s :: %s :: %s' %(a,170,'Chana dal','chana dal','JP Khichadi'))</t>
  </si>
  <si>
    <t xml:space="preserve">a = Client().post('/recipes/jp-khichadi/detail/', {'recipe' : '35', 'ingredient' : '81', 'name' : 'Ghee', 'mass_unit' : '2', 'mass_quantity' : '1', 'volume_unit' : '', 'volume_quantity' : '0', 'pieces_unit' : '', 'pieces_quantity' : '0', 'cooking_notes' : ''}).status_code; print('%s :: %s :: %s :: %s :: %s' %(a,171,'Ghee','ghee','JP Khichadi'))</t>
  </si>
  <si>
    <t xml:space="preserve">a = Client().post('/recipes/jp-khichadi/detail/', {'recipe' : '35', 'ingredient' : '1', 'name' : 'Adrak paste', 'mass_unit' : '', 'mass_quantity' : '0', 'volume_unit' : '5', 'volume_quantity' : '1', 'pieces_unit' : '', 'pieces_quantity' : '0', 'cooking_notes' : ''}).status_code; print('%s :: %s :: %s :: %s :: %s' %(a,172,'Adrak paste','adrak','JP Khichadi'))</t>
  </si>
  <si>
    <t xml:space="preserve">a = Client().post('/recipes/jp-khichadi/detail/', {'recipe' : '35', 'ingredient' : '214', 'name' : 'Water', 'mass_unit' : '', 'mass_quantity' : '0', 'volume_unit' : '1', 'volume_quantity' : '20', 'pieces_unit' : '', 'pieces_quantity' : '0', 'cooking_notes' : ''}).status_code; print('%s :: %s :: %s :: %s :: %s' %(a,173,'Water','water','JP Khichadi'))</t>
  </si>
  <si>
    <t xml:space="preserve">a = Client().post('/recipes/jp-khichadi/detail/', {'recipe' : '35', 'ingredient' : '54', 'name' : 'Coconuts', 'mass_unit' : '', 'mass_quantity' : '0', 'volume_unit' : '3', 'volume_quantity' : '4', 'pieces_unit' : '', 'pieces_quantity' : '0', 'cooking_notes' : ''}).status_code; print('%s :: %s :: %s :: %s :: %s' %(a,174,'Coconuts','coconut','JP Khichadi'))</t>
  </si>
  <si>
    <t xml:space="preserve">a = Client().post('/recipes/jp-khichadi/detail/', {'recipe' : '35', 'ingredient' : '187', 'name' : 'Sugar', 'mass_unit' : '', 'mass_quantity' : '0', 'volume_unit' : '5', 'volume_quantity' : '1', 'pieces_unit' : '', 'pieces_quantity' : '0', 'cooking_notes' : ''}).status_code; print('%s :: %s :: %s :: %s :: %s' %(a,175,'Sugar','sugar','JP Khichadi'))</t>
  </si>
  <si>
    <t xml:space="preserve">a = Client().post('/recipes/jp-khichadi/detail/', {'recipe' : '35', 'ingredient' : '123', 'name' : 'Kismis', 'mass_unit' : '', 'mass_quantity' : '0', 'volume_unit' : '1', 'volume_quantity' : '1', 'pieces_unit' : '', 'pieces_quantity' : '0', 'cooking_notes' : ''}).status_code; print('%s :: %s :: %s :: %s :: %s' %(a,176,'Kismis','kismis','JP Khichadi'))</t>
  </si>
  <si>
    <t xml:space="preserve">a = Client().post('/recipes/jp-khichadi/detail/', {'recipe' : '35', 'ingredient' : '102', 'name' : 'Jeera', 'mass_unit' : '', 'mass_quantity' : '0', 'volume_unit' : '5', 'volume_quantity' : '0.75', 'pieces_unit' : '', 'pieces_quantity' : '0', 'cooking_notes' : ''}).status_code; print('%s :: %s :: %s :: %s :: %s' %(a,177,'Jeera','jeera','JP Khichadi'))</t>
  </si>
  <si>
    <t xml:space="preserve">a = Client().post('/recipes/jp-khichadi/detail/', {'recipe' : '35', 'ingredient' : '177', 'name' : 'Salt', 'mass_unit' : '', 'mass_quantity' : '0', 'volume_unit' : '5', 'volume_quantity' : '1', 'pieces_unit' : '', 'pieces_quantity' : '0', 'cooking_notes' : ''}).status_code; print('%s :: %s :: %s :: %s :: %s' %(a,178,'Salt','salt','JP Khichadi'))</t>
  </si>
  <si>
    <t xml:space="preserve">a = Client().post('/recipes/dahi-bhindi/detail/', {'recipe' : '17', 'ingredient' : '59', 'name' : 'Dahi', 'mass_unit' : '', 'mass_quantity' : '0', 'volume_unit' : '1', 'volume_quantity' : '20', 'pieces_unit' : '', 'pieces_quantity' : '0', 'cooking_notes' : ''}).status_code; print('%s :: %s :: %s :: %s :: %s' %(a,180,'Dahi','dahi','Dahi Bhindi'))</t>
  </si>
  <si>
    <t xml:space="preserve">a = Client().post('/recipes/dahi-bhindi/detail/', {'recipe' : '17', 'ingredient' : '177', 'name' : 'Salt', 'mass_unit' : '', 'mass_quantity' : '0', 'volume_unit' : '5', 'volume_quantity' : '1.25', 'pieces_unit' : '', 'pieces_quantity' : '0', 'cooking_notes' : ''}).status_code; print('%s :: %s :: %s :: %s :: %s' %(a,181,'Salt','salt','Dahi Bhindi'))</t>
  </si>
  <si>
    <t xml:space="preserve">a = Client().post('/recipes/dahi-bhindi/detail/', {'recipe' : '17', 'ingredient' : '187', 'name' : 'Sugar', 'mass_unit' : '', 'mass_quantity' : '0', 'volume_unit' : '5', 'volume_quantity' : '3', 'pieces_unit' : '', 'pieces_quantity' : '0', 'cooking_notes' : ''}).status_code; print('%s :: %s :: %s :: %s :: %s' %(a,182,'Sugar','sugar','Dahi Bhindi'))</t>
  </si>
  <si>
    <t xml:space="preserve">a = Client().post('/recipes/dahi-bhindi/detail/', {'recipe' : '17', 'ingredient' : '134', 'name' : 'Roasted chilly powder', 'mass_unit' : '', 'mass_quantity' : '0', 'volume_unit' : '5', 'volume_quantity' : '0.4', 'pieces_unit' : '', 'pieces_quantity' : '0', 'cooking_notes' : ''}).status_code; print('%s :: %s :: %s :: %s :: %s' %(a,183,'Roasted chilly powder','madrasi mirchi akkaha','Dahi Bhindi'))</t>
  </si>
  <si>
    <t xml:space="preserve">a = Client().post('/recipes/dahi-bhindi/detail/', {'recipe' : '17', 'ingredient' : '102', 'name' : 'Roasted jeera powder', 'mass_unit' : '', 'mass_quantity' : '0', 'volume_unit' : '5', 'volume_quantity' : '2.5', 'pieces_unit' : '', 'pieces_quantity' : '0', 'cooking_notes' : ''}).status_code; print('%s :: %s :: %s :: %s :: %s' %(a,184,'Roasted jeera powder','jeera','Dahi Bhindi'))</t>
  </si>
  <si>
    <t xml:space="preserve">a = Client().post('/recipes/dahi-bhindi/detail/', {'recipe' : '17', 'ingredient' : '184', 'name' : 'Soonth', 'mass_unit' : '', 'mass_quantity' : '0', 'volume_unit' : '5', 'volume_quantity' : '0.4', 'pieces_unit' : '', 'pieces_quantity' : '0', 'cooking_notes' : ''}).status_code; print('%s :: %s :: %s :: %s :: %s' %(a,185,'Soonth','soonth','Dahi Bhindi'))</t>
  </si>
  <si>
    <t xml:space="preserve">a = Client().post('/recipes/dahi-bhindi/detail/', {'recipe' : '17', 'ingredient' : '48', 'name' : 'Chaunce', 'mass_unit' : '', 'mass_quantity' : '0', 'volume_unit' : '', 'volume_quantity' : '0', 'pieces_unit' : '', 'pieces_quantity' : '0', 'cooking_notes' : ''}).status_code; print('%s :: %s :: %s :: %s :: %s' %(a,186,'Chaunce','chaunce','Dahi Bhindi'))</t>
  </si>
  <si>
    <t xml:space="preserve">a = Client().post('/recipes/dahi-bhindi/detail/', {'recipe' : '17', 'ingredient' : '165', 'name' : 'Rai tel', 'mass_unit' : '', 'mass_quantity' : '0', 'volume_unit' : '1', 'volume_quantity' : '1.25', 'pieces_unit' : '', 'pieces_quantity' : '0', 'cooking_notes' : ''}).status_code; print('%s :: %s :: %s :: %s :: %s' %(a,187,'Rai tel','rai oil','Dahi Bhindi'))</t>
  </si>
  <si>
    <t xml:space="preserve">a = Client().post('/recipes/dahi-bhindi/detail/', {'recipe' : '17', 'ingredient' : '164', 'name' : 'Rai', 'mass_unit' : '', 'mass_quantity' : '0', 'volume_unit' : '5', 'volume_quantity' : '0.5', 'pieces_unit' : '', 'pieces_quantity' : '0', 'cooking_notes' : ''}).status_code; print('%s :: %s :: %s :: %s :: %s' %(a,188,'Rai','rai','Dahi Bhindi'))</t>
  </si>
  <si>
    <t xml:space="preserve">a = Client().post('/recipes/dahi-bhindi/detail/', {'recipe' : '17', 'ingredient' : '95', 'name' : 'Hing', 'mass_unit' : '', 'mass_quantity' : '0', 'volume_unit' : '5', 'volume_quantity' : '0.25', 'pieces_unit' : '', 'pieces_quantity' : '0', 'cooking_notes' : ''}).status_code; print('%s :: %s :: %s :: %s :: %s' %(a,189,'Hing','hing','Dahi Bhindi'))</t>
  </si>
  <si>
    <t xml:space="preserve">a = Client().post('/recipes/dahi-bhindi/detail/', {'recipe' : '17', 'ingredient' : '105', 'name' : 'Kadipatta', 'mass_unit' : '', 'mass_quantity' : '0', 'volume_unit' : '5', 'volume_quantity' : '2', 'pieces_unit' : '', 'pieces_quantity' : '0', 'cooking_notes' : ''}).status_code; print('%s :: %s :: %s :: %s :: %s' %(a,190,'Kadipatta','kadi patta','Dahi Bhindi'))</t>
  </si>
  <si>
    <t xml:space="preserve">a = Client().post('/recipes/dahi-bhindi/detail/', {'recipe' : '17', 'ingredient' : '1', 'name' : 'Adrak paste', 'mass_unit' : '', 'mass_quantity' : '0', 'volume_unit' : '5', 'volume_quantity' : '2', 'pieces_unit' : '', 'pieces_quantity' : '0', 'cooking_notes' : ''}).status_code; print('%s :: %s :: %s :: %s :: %s' %(a,191,'Adrak paste','adrak','Dahi Bhindi'))</t>
  </si>
  <si>
    <t xml:space="preserve">a = Client().post('/recipes/dahi-bhindi/detail/', {'recipe' : '17', 'ingredient' : '29', 'name' : 'Bhindi', 'mass_unit' : '2', 'mass_quantity' : '25', 'volume_unit' : '', 'volume_quantity' : '0', 'pieces_unit' : '', 'pieces_quantity' : '0', 'cooking_notes' : 'cut 1",deep fried'}).status_code; print('%s :: %s :: %s :: %s :: %s' %(a,192,'Bhindi','bhindi','Dahi Bhindi'))</t>
  </si>
  <si>
    <t xml:space="preserve">a = Client().post('/recipes/dahi-baingan/detail/', {'recipe' : '16', 'ingredient' : '59', 'name' : 'Dahi', 'mass_unit' : '', 'mass_quantity' : '0', 'volume_unit' : '1', 'volume_quantity' : '20', 'pieces_unit' : '', 'pieces_quantity' : '0', 'cooking_notes' : ''}).status_code; print('%s :: %s :: %s :: %s :: %s' %(a,195,'Dahi','dahi','Dahi Baingan'))</t>
  </si>
  <si>
    <t xml:space="preserve">a = Client().post('/recipes/dahi-baingan/detail/', {'recipe' : '16', 'ingredient' : '177', 'name' : 'Salt', 'mass_unit' : '', 'mass_quantity' : '0', 'volume_unit' : '5', 'volume_quantity' : '1.25', 'pieces_unit' : '', 'pieces_quantity' : '0', 'cooking_notes' : ''}).status_code; print('%s :: %s :: %s :: %s :: %s' %(a,196,'Salt','salt','Dahi Baingan'))</t>
  </si>
  <si>
    <t xml:space="preserve">a = Client().post('/recipes/dahi-baingan/detail/', {'recipe' : '16', 'ingredient' : '187', 'name' : 'Sugar', 'mass_unit' : '', 'mass_quantity' : '0', 'volume_unit' : '5', 'volume_quantity' : '3', 'pieces_unit' : '', 'pieces_quantity' : '0', 'cooking_notes' : ''}).status_code; print('%s :: %s :: %s :: %s :: %s' %(a,197,'Sugar','sugar','Dahi Baingan'))</t>
  </si>
  <si>
    <t xml:space="preserve">a = Client().post('/recipes/dahi-baingan/detail/', {'recipe' : '16', 'ingredient' : '134', 'name' : 'Roasted chilly powder', 'mass_unit' : '', 'mass_quantity' : '0', 'volume_unit' : '5', 'volume_quantity' : '0.4', 'pieces_unit' : '', 'pieces_quantity' : '0', 'cooking_notes' : ''}).status_code; print('%s :: %s :: %s :: %s :: %s' %(a,198,'Roasted chilly powder','madrasi mirchi akkaha','Dahi Baingan'))</t>
  </si>
  <si>
    <t xml:space="preserve">a = Client().post('/recipes/dahi-baingan/detail/', {'recipe' : '16', 'ingredient' : '102', 'name' : 'Roasted jeera powder', 'mass_unit' : '', 'mass_quantity' : '0', 'volume_unit' : '5', 'volume_quantity' : '2.5', 'pieces_unit' : '', 'pieces_quantity' : '0', 'cooking_notes' : ''}).status_code; print('%s :: %s :: %s :: %s :: %s' %(a,199,'Roasted jeera powder','jeera','Dahi Baingan'))</t>
  </si>
  <si>
    <t xml:space="preserve">a = Client().post('/recipes/dahi-baingan/detail/', {'recipe' : '16', 'ingredient' : '184', 'name' : 'Soonth', 'mass_unit' : '', 'mass_quantity' : '0', 'volume_unit' : '5', 'volume_quantity' : '0.4', 'pieces_unit' : '', 'pieces_quantity' : '0', 'cooking_notes' : ''}).status_code; print('%s :: %s :: %s :: %s :: %s' %(a,200,'Soonth','soonth','Dahi Baingan'))</t>
  </si>
  <si>
    <t xml:space="preserve">a = Client().post('/recipes/dahi-baingan/detail/', {'recipe' : '16', 'ingredient' : '48', 'name' : 'Chaunce', 'mass_unit' : '', 'mass_quantity' : '0', 'volume_unit' : '', 'volume_quantity' : '0', 'pieces_unit' : '', 'pieces_quantity' : '0', 'cooking_notes' : ''}).status_code; print('%s :: %s :: %s :: %s :: %s' %(a,201,'Chaunce','chaunce','Dahi Baingan'))</t>
  </si>
  <si>
    <t xml:space="preserve">a = Client().post('/recipes/dahi-baingan/detail/', {'recipe' : '16', 'ingredient' : '165', 'name' : 'Rai tel', 'mass_unit' : '', 'mass_quantity' : '0', 'volume_unit' : '1', 'volume_quantity' : '1.25', 'pieces_unit' : '', 'pieces_quantity' : '0', 'cooking_notes' : ''}).status_code; print('%s :: %s :: %s :: %s :: %s' %(a,202,'Rai tel','rai oil','Dahi Baingan'))</t>
  </si>
  <si>
    <t xml:space="preserve">a = Client().post('/recipes/dahi-baingan/detail/', {'recipe' : '16', 'ingredient' : '164', 'name' : 'Rai', 'mass_unit' : '', 'mass_quantity' : '0', 'volume_unit' : '5', 'volume_quantity' : '0.5', 'pieces_unit' : '', 'pieces_quantity' : '0', 'cooking_notes' : ''}).status_code; print('%s :: %s :: %s :: %s :: %s' %(a,203,'Rai','rai','Dahi Baingan'))</t>
  </si>
  <si>
    <t xml:space="preserve">a = Client().post('/recipes/dahi-baingan/detail/', {'recipe' : '16', 'ingredient' : '95', 'name' : 'Hing', 'mass_unit' : '', 'mass_quantity' : '0', 'volume_unit' : '5', 'volume_quantity' : '0.25', 'pieces_unit' : '', 'pieces_quantity' : '0', 'cooking_notes' : ''}).status_code; print('%s :: %s :: %s :: %s :: %s' %(a,204,'Hing','hing','Dahi Baingan'))</t>
  </si>
  <si>
    <t xml:space="preserve">a = Client().post('/recipes/dahi-baingan/detail/', {'recipe' : '16', 'ingredient' : '105', 'name' : 'Kadipatta', 'mass_unit' : '', 'mass_quantity' : '0', 'volume_unit' : '5', 'volume_quantity' : '2', 'pieces_unit' : '', 'pieces_quantity' : '0', 'cooking_notes' : ''}).status_code; print('%s :: %s :: %s :: %s :: %s' %(a,205,'Kadipatta','kadi patta','Dahi Baingan'))</t>
  </si>
  <si>
    <t xml:space="preserve">a = Client().post('/recipes/dahi-baingan/detail/', {'recipe' : '16', 'ingredient' : '1', 'name' : 'Adrak paste', 'mass_unit' : '', 'mass_quantity' : '0', 'volume_unit' : '5', 'volume_quantity' : '2', 'pieces_unit' : '', 'pieces_quantity' : '0', 'cooking_notes' : ''}).status_code; print('%s :: %s :: %s :: %s :: %s' %(a,206,'Adrak paste','adrak','Dahi Baingan'))</t>
  </si>
  <si>
    <t xml:space="preserve">a = Client().post('/recipes/dahi-baingan/detail/', {'recipe' : '16', 'ingredient' : '21', 'name' : 'Bharta baingan', 'mass_unit' : '2', 'mass_quantity' : '35', 'volume_unit' : '', 'volume_quantity' : '0', 'pieces_unit' : '', 'pieces_quantity' : '0', 'cooking_notes' : 'cut long,deep fried'}).status_code; print('%s :: %s :: %s :: %s :: %s' %(a,207,'Bharta baingan','baingan','Dahi Baingan'))</t>
  </si>
  <si>
    <t xml:space="preserve">a = Client().post('/recipes/dahi-patol/detail/', {'recipe' : '18', 'ingredient' : '59', 'name' : 'Dahi', 'mass_unit' : '', 'mass_quantity' : '0', 'volume_unit' : '1', 'volume_quantity' : '20', 'pieces_unit' : '', 'pieces_quantity' : '0', 'cooking_notes' : ''}).status_code; print('%s :: %s :: %s :: %s :: %s' %(a,210,'Dahi','dahi','Dahi Patol'))</t>
  </si>
  <si>
    <t xml:space="preserve">a = Client().post('/recipes/dahi-patol/detail/', {'recipe' : '18', 'ingredient' : '177', 'name' : 'Salt', 'mass_unit' : '', 'mass_quantity' : '0', 'volume_unit' : '5', 'volume_quantity' : '1.25', 'pieces_unit' : '', 'pieces_quantity' : '0', 'cooking_notes' : ''}).status_code; print('%s :: %s :: %s :: %s :: %s' %(a,211,'Salt','salt','Dahi Patol'))</t>
  </si>
  <si>
    <t xml:space="preserve">a = Client().post('/recipes/dahi-patol/detail/', {'recipe' : '18', 'ingredient' : '187', 'name' : 'Sugar', 'mass_unit' : '', 'mass_quantity' : '0', 'volume_unit' : '5', 'volume_quantity' : '3', 'pieces_unit' : '', 'pieces_quantity' : '0', 'cooking_notes' : ''}).status_code; print('%s :: %s :: %s :: %s :: %s' %(a,212,'Sugar','sugar','Dahi Patol'))</t>
  </si>
  <si>
    <t xml:space="preserve">a = Client().post('/recipes/dahi-patol/detail/', {'recipe' : '18', 'ingredient' : '134', 'name' : 'Roasted chilly powder', 'mass_unit' : '', 'mass_quantity' : '0', 'volume_unit' : '5', 'volume_quantity' : '0.4', 'pieces_unit' : '', 'pieces_quantity' : '0', 'cooking_notes' : ''}).status_code; print('%s :: %s :: %s :: %s :: %s' %(a,213,'Roasted chilly powder','madrasi mirchi akkaha','Dahi Patol'))</t>
  </si>
  <si>
    <t xml:space="preserve">a = Client().post('/recipes/dahi-patol/detail/', {'recipe' : '18', 'ingredient' : '102', 'name' : 'Roasted jeera powder', 'mass_unit' : '', 'mass_quantity' : '0', 'volume_unit' : '5', 'volume_quantity' : '2.5', 'pieces_unit' : '', 'pieces_quantity' : '0', 'cooking_notes' : ''}).status_code; print('%s :: %s :: %s :: %s :: %s' %(a,214,'Roasted jeera powder','jeera','Dahi Patol'))</t>
  </si>
  <si>
    <t xml:space="preserve">a = Client().post('/recipes/dahi-patol/detail/', {'recipe' : '18', 'ingredient' : '184', 'name' : 'Soonth', 'mass_unit' : '', 'mass_quantity' : '0', 'volume_unit' : '5', 'volume_quantity' : '0.4', 'pieces_unit' : '', 'pieces_quantity' : '0', 'cooking_notes' : ''}).status_code; print('%s :: %s :: %s :: %s :: %s' %(a,215,'Soonth','soonth','Dahi Patol'))</t>
  </si>
  <si>
    <t xml:space="preserve">a = Client().post('/recipes/dahi-patol/detail/', {'recipe' : '18', 'ingredient' : '48', 'name' : 'Chaunce', 'mass_unit' : '', 'mass_quantity' : '0', 'volume_unit' : '', 'volume_quantity' : '0', 'pieces_unit' : '', 'pieces_quantity' : '0', 'cooking_notes' : ''}).status_code; print('%s :: %s :: %s :: %s :: %s' %(a,216,'Chaunce','chaunce','Dahi Patol'))</t>
  </si>
  <si>
    <t xml:space="preserve">a = Client().post('/recipes/dahi-patol/detail/', {'recipe' : '18', 'ingredient' : '165', 'name' : 'Rai tel', 'mass_unit' : '', 'mass_quantity' : '0', 'volume_unit' : '1', 'volume_quantity' : '1.25', 'pieces_unit' : '', 'pieces_quantity' : '0', 'cooking_notes' : ''}).status_code; print('%s :: %s :: %s :: %s :: %s' %(a,217,'Rai tel','rai oil','Dahi Patol'))</t>
  </si>
  <si>
    <t xml:space="preserve">a = Client().post('/recipes/dahi-patol/detail/', {'recipe' : '18', 'ingredient' : '164', 'name' : 'Rai', 'mass_unit' : '', 'mass_quantity' : '0', 'volume_unit' : '5', 'volume_quantity' : '0.5', 'pieces_unit' : '', 'pieces_quantity' : '0', 'cooking_notes' : ''}).status_code; print('%s :: %s :: %s :: %s :: %s' %(a,218,'Rai','rai','Dahi Patol'))</t>
  </si>
  <si>
    <t xml:space="preserve">a = Client().post('/recipes/dahi-patol/detail/', {'recipe' : '18', 'ingredient' : '95', 'name' : 'Hing', 'mass_unit' : '', 'mass_quantity' : '0', 'volume_unit' : '5', 'volume_quantity' : '0.25', 'pieces_unit' : '', 'pieces_quantity' : '0', 'cooking_notes' : ''}).status_code; print('%s :: %s :: %s :: %s :: %s' %(a,219,'Hing','hing','Dahi Patol'))</t>
  </si>
  <si>
    <t xml:space="preserve">a = Client().post('/recipes/dahi-patol/detail/', {'recipe' : '18', 'ingredient' : '105', 'name' : 'Kadipatta', 'mass_unit' : '', 'mass_quantity' : '0', 'volume_unit' : '5', 'volume_quantity' : '2', 'pieces_unit' : '', 'pieces_quantity' : '0', 'cooking_notes' : ''}).status_code; print('%s :: %s :: %s :: %s :: %s' %(a,220,'Kadipatta','kadi patta','Dahi Patol'))</t>
  </si>
  <si>
    <t xml:space="preserve">a = Client().post('/recipes/dahi-patol/detail/', {'recipe' : '18', 'ingredient' : '1', 'name' : 'Adrak paste', 'mass_unit' : '', 'mass_quantity' : '0', 'volume_unit' : '5', 'volume_quantity' : '2', 'pieces_unit' : '', 'pieces_quantity' : '0', 'cooking_notes' : ''}).status_code; print('%s :: %s :: %s :: %s :: %s' %(a,221,'Adrak paste','adrak','Dahi Patol'))</t>
  </si>
  <si>
    <t xml:space="preserve">a = Client().post('/recipes/dahi-patol/detail/', {'recipe' : '18', 'ingredient' : '158', 'name' : 'Patol', 'mass_unit' : '2', 'mass_quantity' : '25', 'volume_unit' : '', 'volume_quantity' : '0', 'pieces_unit' : '', 'pieces_quantity' : '0', 'cooking_notes' : 'cut long,deep fried'}).status_code; print('%s :: %s :: %s :: %s :: %s' %(a,222,'Patol','patol','Dahi Patol'))</t>
  </si>
  <si>
    <t xml:space="preserve">a = Client().post('/recipes/alu-kala-chana-chat/detail/', {'recipe' : '5', 'ingredient' : '112', 'name' : 'Kala chana', 'mass_unit' : '2', 'mass_quantity' : '6', 'volume_unit' : '', 'volume_quantity' : '0', 'pieces_unit' : '', 'pieces_quantity' : '0', 'cooking_notes' : 'boiled'}).status_code; print('%s :: %s :: %s :: %s :: %s' %(a,225,'Kala chana','kala chana','Alu Kala Chana Chat'))</t>
  </si>
  <si>
    <t xml:space="preserve">a = Client().post('/recipes/alu-kala-chana-chat/detail/', {'recipe' : '5', 'ingredient' : '39', 'name' : 'Cabbage', 'mass_unit' : '2', 'mass_quantity' : '2', 'volume_unit' : '', 'volume_quantity' : '0', 'pieces_unit' : '', 'pieces_quantity' : '0', 'cooking_notes' : 'julienne'}).status_code; print('%s :: %s :: %s :: %s :: %s' %(a,226,'Cabbage','cabbage','Alu Kala Chana Chat'))</t>
  </si>
  <si>
    <t xml:space="preserve">a = Client().post('/recipes/alu-kala-chana-chat/detail/', {'recipe' : '5', 'ingredient' : '8', 'name' : 'Alu', 'mass_unit' : '2', 'mass_quantity' : '9', 'volume_unit' : '', 'volume_quantity' : '0', 'pieces_unit' : '', 'pieces_quantity' : '0', 'cooking_notes' : '0.5" steam'}).status_code; print('%s :: %s :: %s :: %s :: %s' %(a,227,'Alu','alu','Alu Kala Chana Chat'))</t>
  </si>
  <si>
    <t xml:space="preserve">a = Client().post('/recipes/alu-kala-chana-chat/detail/', {'recipe' : '5', 'ingredient' : '195', 'name' : 'Tomato', 'mass_unit' : '2', 'mass_quantity' : '6', 'volume_unit' : '', 'volume_quantity' : '0', 'pieces_unit' : '', 'pieces_quantity' : '0', 'cooking_notes' : '0.5" cube'}).status_code; print('%s :: %s :: %s :: %s :: %s' %(a,228,'Tomato','tomato','Alu Kala Chana Chat'))</t>
  </si>
  <si>
    <t xml:space="preserve">a = Client().post('/recipes/alu-kala-chana-chat/detail/', {'recipe' : '5', 'ingredient' : '83', 'name' : 'Oil', 'mass_unit' : '', 'mass_quantity' : '0', 'volume_unit' : '1', 'volume_quantity' : '1', 'pieces_unit' : '', 'pieces_quantity' : '0', 'cooking_notes' : ''}).status_code; print('%s :: %s :: %s :: %s :: %s' %(a,229,'Oil','gound nut oil','Alu Kala Chana Chat'))</t>
  </si>
  <si>
    <t xml:space="preserve">a = Client().post('/recipes/alu-kala-chana-chat/detail/', {'recipe' : '5', 'ingredient' : '95', 'name' : 'Hing', 'mass_unit' : '', 'mass_quantity' : '0', 'volume_unit' : '5', 'volume_quantity' : '0.3', 'pieces_unit' : '', 'pieces_quantity' : '0', 'cooking_notes' : ''}).status_code; print('%s :: %s :: %s :: %s :: %s' %(a,230,'Hing','hing','Alu Kala Chana Chat'))</t>
  </si>
  <si>
    <t xml:space="preserve">a = Client().post('/recipes/alu-kala-chana-chat/detail/', {'recipe' : '5', 'ingredient' : '93', 'name' : 'Hari mirchi', 'mass_unit' : '', 'mass_quantity' : '0', 'volume_unit' : '5', 'volume_quantity' : '1', 'pieces_unit' : '', 'pieces_quantity' : '0', 'cooking_notes' : 'fine chopped'}).status_code; print('%s :: %s :: %s :: %s :: %s' %(a,231,'Hari mirchi','hari mirchi','Alu Kala Chana Chat'))</t>
  </si>
  <si>
    <t xml:space="preserve">a = Client().post('/recipes/alu-kala-chana-chat/detail/', {'recipe' : '5', 'ingredient' : '1', 'name' : 'Adrak paste', 'mass_unit' : '', 'mass_quantity' : '0', 'volume_unit' : '1', 'volume_quantity' : '0.5', 'pieces_unit' : '', 'pieces_quantity' : '0', 'cooking_notes' : ''}).status_code; print('%s :: %s :: %s :: %s :: %s' %(a,232,'Adrak paste','adrak','Alu Kala Chana Chat'))</t>
  </si>
  <si>
    <t xml:space="preserve">a = Client().post('/recipes/alu-kala-chana-chat/detail/', {'recipe' : '5', 'ingredient' : '103', 'name' : 'Jeera powder', 'mass_unit' : '', 'mass_quantity' : '0', 'volume_unit' : '5', 'volume_quantity' : '0.75', 'pieces_unit' : '', 'pieces_quantity' : '0', 'cooking_notes' : ''}).status_code; print('%s :: %s :: %s :: %s :: %s' %(a,233,'Jeera powder','jeera powder','Alu Kala Chana Chat'))</t>
  </si>
  <si>
    <t xml:space="preserve">a = Client().post('/recipes/alu-kala-chana-chat/detail/', {'recipe' : '5', 'ingredient' : '67', 'name' : 'Dhania powder', 'mass_unit' : '', 'mass_quantity' : '0', 'volume_unit' : '5', 'volume_quantity' : '1', 'pieces_unit' : '', 'pieces_quantity' : '0', 'cooking_notes' : ''}).status_code; print('%s :: %s :: %s :: %s :: %s' %(a,234,'Dhania powder','dhaniya powder','Alu Kala Chana Chat'))</t>
  </si>
  <si>
    <t xml:space="preserve">a = Client().post('/recipes/alu-kala-chana-chat/detail/', {'recipe' : '5', 'ingredient' : '135', 'name' : 'Red chilli powder', 'mass_unit' : '', 'mass_quantity' : '0', 'volume_unit' : '5', 'volume_quantity' : '0.5', 'pieces_unit' : '', 'pieces_quantity' : '0', 'cooking_notes' : ''}).status_code; print('%s :: %s :: %s :: %s :: %s' %(a,235,'Red chilli powder','madrasi mirchi powder','Alu Kala Chana Chat'))</t>
  </si>
  <si>
    <t xml:space="preserve">a = Client().post('/recipes/alu-kala-chana-chat/detail/', {'recipe' : '5', 'ingredient' : '73', 'name' : 'Everest chole masala', 'mass_unit' : '', 'mass_quantity' : '0', 'volume_unit' : '5', 'volume_quantity' : '2', 'pieces_unit' : '', 'pieces_quantity' : '0', 'cooking_notes' : ''}).status_code; print('%s :: %s :: %s :: %s :: %s' %(a,236,'Everest chole masala','everest chole masala','Alu Kala Chana Chat'))</t>
  </si>
  <si>
    <t xml:space="preserve">a = Client().post('/recipes/alu-kala-chana-chat/detail/', {'recipe' : '5', 'ingredient' : '91', 'name' : 'Haldi', 'mass_unit' : '', 'mass_quantity' : '0', 'volume_unit' : '5', 'volume_quantity' : '0.6', 'pieces_unit' : '', 'pieces_quantity' : '0', 'cooking_notes' : ''}).status_code; print('%s :: %s :: %s :: %s :: %s' %(a,237,'Haldi','haldi','Alu Kala Chana Chat'))</t>
  </si>
  <si>
    <t xml:space="preserve">a = Client().post('/recipes/alu-kala-chana-chat/detail/', {'recipe' : '5', 'ingredient' : '117', 'name' : 'Kashmiri powder', 'mass_unit' : '', 'mass_quantity' : '0', 'volume_unit' : '5', 'volume_quantity' : '0.75', 'pieces_unit' : '', 'pieces_quantity' : '0', 'cooking_notes' : ''}).status_code; print('%s :: %s :: %s :: %s :: %s' %(a,238,'Kashmiri powder','kashmiri chilly powder','Alu Kala Chana Chat'))</t>
  </si>
  <si>
    <t xml:space="preserve">a = Client().post('/recipes/alu-kala-chana-chat/detail/', {'recipe' : '5', 'ingredient' : '177', 'name' : 'Salt', 'mass_unit' : '', 'mass_quantity' : '0', 'volume_unit' : '5', 'volume_quantity' : '1', 'pieces_unit' : '', 'pieces_quantity' : '0', 'cooking_notes' : ''}).status_code; print('%s :: %s :: %s :: %s :: %s' %(a,239,'Salt','salt','Alu Kala Chana Chat'))</t>
  </si>
  <si>
    <t xml:space="preserve">a = Client().post('/recipes/alu-kala-chana-chat/detail/', {'recipe' : '5', 'ingredient' : '32', 'name' : 'Black salt', 'mass_unit' : '', 'mass_quantity' : '0', 'volume_unit' : '5', 'volume_quantity' : '0.5', 'pieces_unit' : '', 'pieces_quantity' : '0', 'cooking_notes' : ''}).status_code; print('%s :: %s :: %s :: %s :: %s' %(a,240,'Black salt','black salt','Alu Kala Chana Chat'))</t>
  </si>
  <si>
    <t xml:space="preserve">a = Client().post('/recipes/alu-kala-chana-chat/detail/', {'recipe' : '5', 'ingredient' : '72', 'name' : 'Everest chat masala', 'mass_unit' : '', 'mass_quantity' : '0', 'volume_unit' : '5', 'volume_quantity' : '2', 'pieces_unit' : '', 'pieces_quantity' : '0', 'cooking_notes' : ''}).status_code; print('%s :: %s :: %s :: %s :: %s' %(a,241,'Everest chat masala','everest chat masala','Alu Kala Chana Chat'))</t>
  </si>
  <si>
    <t xml:space="preserve">a = Client().post('/recipes/alu-kala-chana-chat/detail/', {'recipe' : '5', 'ingredient' : '129', 'name' : 'Lemon juice', 'mass_unit' : '', 'mass_quantity' : '0', 'volume_unit' : '5', 'volume_quantity' : '2.5', 'pieces_unit' : '', 'pieces_quantity' : '0', 'cooking_notes' : ''}).status_code; print('%s :: %s :: %s :: %s :: %s' %(a,242,'Lemon juice','lemon','Alu Kala Chana Chat'))</t>
  </si>
  <si>
    <t xml:space="preserve">a = Client().post('/recipes/panchratna-dry/detail/', {'recipe' : '53', 'ingredient' : '5', 'name' : 'Akha moong', 'mass_unit' : '2', 'mass_quantity' : '2', 'volume_unit' : '', 'volume_quantity' : '0', 'pieces_unit' : '', 'pieces_quantity' : '0', 'cooking_notes' : 'boiled'}).status_code; print('%s :: %s :: %s :: %s :: %s' %(a,245,'Akha moong','akha moong','Panchratna Dry'))</t>
  </si>
  <si>
    <t xml:space="preserve">a = Client().post('/recipes/panchratna-dry/detail/', {'recipe' : '53', 'ingredient' : '176', 'name' : 'Safed watana', 'mass_unit' : '2', 'mass_quantity' : '2', 'volume_unit' : '', 'volume_quantity' : '0', 'pieces_unit' : '', 'pieces_quantity' : '0', 'cooking_notes' : 'boiled'}).status_code; print('%s :: %s :: %s :: %s :: %s' %(a,246,'Safed watana','safed watana','Panchratna Dry'))</t>
  </si>
  <si>
    <t xml:space="preserve">a = Client().post('/recipes/panchratna-dry/detail/', {'recipe' : '53', 'ingredient' : '112', 'name' : 'Kala chana', 'mass_unit' : '2', 'mass_quantity' : '2', 'volume_unit' : '', 'volume_quantity' : '0', 'pieces_unit' : '', 'pieces_quantity' : '0', 'cooking_notes' : 'boiled'}).status_code; print('%s :: %s :: %s :: %s :: %s' %(a,247,'Kala chana','kala chana','Panchratna Dry'))</t>
  </si>
  <si>
    <t xml:space="preserve">a = Client().post('/recipes/panchratna-dry/detail/', {'recipe' : '53', 'ingredient' : '8', 'name' : 'Alu', 'mass_unit' : '2', 'mass_quantity' : '4', 'volume_unit' : '', 'volume_quantity' : '0', 'pieces_unit' : '', 'pieces_quantity' : '0', 'cooking_notes' : '0.5" boiled'}).status_code; print('%s :: %s :: %s :: %s :: %s' %(a,248,'Alu','alu','Panchratna Dry'))</t>
  </si>
  <si>
    <t xml:space="preserve">a = Client().post('/recipes/panchratna-dry/detail/', {'recipe' : '53', 'ingredient' : '195', 'name' : 'Tomato', 'mass_unit' : '2', 'mass_quantity' : '4', 'volume_unit' : '', 'volume_quantity' : '0', 'pieces_unit' : '', 'pieces_quantity' : '0', 'cooking_notes' : '0.5" cut'}).status_code; print('%s :: %s :: %s :: %s :: %s' %(a,249,'Tomato','tomato','Panchratna Dry'))</t>
  </si>
  <si>
    <t xml:space="preserve">a = Client().post('/recipes/panchratna-dry/detail/', {'recipe' : '53', 'ingredient' : '83', 'name' : 'Oil', 'mass_unit' : '1', 'mass_quantity' : '1', 'volume_unit' : '', 'volume_quantity' : '0', 'pieces_unit' : '', 'pieces_quantity' : '0', 'cooking_notes' : ''}).status_code; print('%s :: %s :: %s :: %s :: %s' %(a,250,'Oil','gound nut oil','Panchratna Dry'))</t>
  </si>
  <si>
    <t xml:space="preserve">a = Client().post('/recipes/panchratna-dry/detail/', {'recipe' : '53', 'ingredient' : '95', 'name' : 'Hing', 'mass_unit' : '5', 'mass_quantity' : '0.3', 'volume_unit' : '', 'volume_quantity' : '0', 'pieces_unit' : '', 'pieces_quantity' : '0', 'cooking_notes' : ''}).status_code; print('%s :: %s :: %s :: %s :: %s' %(a,251,'Hing','hing','Panchratna Dry'))</t>
  </si>
  <si>
    <t xml:space="preserve">a = Client().post('/recipes/panchratna-dry/detail/', {'recipe' : '53', 'ingredient' : '93', 'name' : 'Hari mirchi', 'mass_unit' : '5', 'mass_quantity' : '1', 'volume_unit' : '', 'volume_quantity' : '0', 'pieces_unit' : '', 'pieces_quantity' : '0', 'cooking_notes' : 'fine chopped'}).status_code; print('%s :: %s :: %s :: %s :: %s' %(a,252,'Hari mirchi','hari mirchi','Panchratna Dry'))</t>
  </si>
  <si>
    <t xml:space="preserve">a = Client().post('/recipes/panchratna-dry/detail/', {'recipe' : '53', 'ingredient' : '1', 'name' : 'Adrak paste', 'mass_unit' : '1', 'mass_quantity' : '0.5', 'volume_unit' : '', 'volume_quantity' : '0', 'pieces_unit' : '', 'pieces_quantity' : '0', 'cooking_notes' : ''}).status_code; print('%s :: %s :: %s :: %s :: %s' %(a,253,'Adrak paste','adrak','Panchratna Dry'))</t>
  </si>
  <si>
    <t xml:space="preserve">a = Client().post('/recipes/panchratna-dry/detail/', {'recipe' : '53', 'ingredient' : '103', 'name' : 'Jeera powder', 'mass_unit' : '5', 'mass_quantity' : '0.75', 'volume_unit' : '', 'volume_quantity' : '0', 'pieces_unit' : '', 'pieces_quantity' : '0', 'cooking_notes' : ''}).status_code; print('%s :: %s :: %s :: %s :: %s' %(a,254,'Jeera powder','jeera powder','Panchratna Dry'))</t>
  </si>
  <si>
    <t xml:space="preserve">a = Client().post('/recipes/panchratna-dry/detail/', {'recipe' : '53', 'ingredient' : '67', 'name' : 'Dhania powder', 'mass_unit' : '5', 'mass_quantity' : '1', 'volume_unit' : '', 'volume_quantity' : '0', 'pieces_unit' : '', 'pieces_quantity' : '0', 'cooking_notes' : ''}).status_code; print('%s :: %s :: %s :: %s :: %s' %(a,255,'Dhania powder','dhaniya powder','Panchratna Dry'))</t>
  </si>
  <si>
    <t xml:space="preserve">a = Client().post('/recipes/panchratna-dry/detail/', {'recipe' : '53', 'ingredient' : '135', 'name' : 'Red chilli powder', 'mass_unit' : '5', 'mass_quantity' : '0.5', 'volume_unit' : '', 'volume_quantity' : '0', 'pieces_unit' : '', 'pieces_quantity' : '0', 'cooking_notes' : ''}).status_code; print('%s :: %s :: %s :: %s :: %s' %(a,256,'Red chilli powder','madrasi mirchi powder','Panchratna Dry'))</t>
  </si>
  <si>
    <t xml:space="preserve">a = Client().post('/recipes/panchratna-dry/detail/', {'recipe' : '53', 'ingredient' : '91', 'name' : 'Haldi', 'mass_unit' : '5', 'mass_quantity' : '0.6', 'volume_unit' : '', 'volume_quantity' : '0', 'pieces_unit' : '', 'pieces_quantity' : '0', 'cooking_notes' : ''}).status_code; print('%s :: %s :: %s :: %s :: %s' %(a,257,'Haldi','haldi','Panchratna Dry'))</t>
  </si>
  <si>
    <t xml:space="preserve">a = Client().post('/recipes/panchratna-dry/detail/', {'recipe' : '53', 'ingredient' : '117', 'name' : 'Kashmiri powder', 'mass_unit' : '5', 'mass_quantity' : '0.75', 'volume_unit' : '', 'volume_quantity' : '0', 'pieces_unit' : '', 'pieces_quantity' : '0', 'cooking_notes' : ''}).status_code; print('%s :: %s :: %s :: %s :: %s' %(a,258,'Kashmiri powder','kashmiri chilly powder','Panchratna Dry'))</t>
  </si>
  <si>
    <t xml:space="preserve">a = Client().post('/recipes/panchratna-dry/detail/', {'recipe' : '53', 'ingredient' : '177', 'name' : 'Salt', 'mass_unit' : '5', 'mass_quantity' : '1', 'volume_unit' : '', 'volume_quantity' : '0', 'pieces_unit' : '', 'pieces_quantity' : '0', 'cooking_notes' : ''}).status_code; print('%s :: %s :: %s :: %s :: %s' %(a,259,'Salt','salt','Panchratna Dry'))</t>
  </si>
  <si>
    <t xml:space="preserve">a = Client().post('/recipes/panchratna-dry/detail/', {'recipe' : '53', 'ingredient' : '32', 'name' : 'Black salt', 'mass_unit' : '5', 'mass_quantity' : '0.5', 'volume_unit' : '', 'volume_quantity' : '0', 'pieces_unit' : '', 'pieces_quantity' : '0', 'cooking_notes' : ''}).status_code; print('%s :: %s :: %s :: %s :: %s' %(a,260,'Black salt','black salt','Panchratna Dry'))</t>
  </si>
  <si>
    <t xml:space="preserve">a = Client().post('/recipes/panchratna-dry/detail/', {'recipe' : '53', 'ingredient' : '72', 'name' : 'Everest chat masala', 'mass_unit' : '5', 'mass_quantity' : '2', 'volume_unit' : '', 'volume_quantity' : '0', 'pieces_unit' : '', 'pieces_quantity' : '0', 'cooking_notes' : ''}).status_code; print('%s :: %s :: %s :: %s :: %s' %(a,261,'Everest chat masala','everest chat masala','Panchratna Dry'))</t>
  </si>
  <si>
    <t xml:space="preserve">a = Client().post('/recipes/panchratna-dry/detail/', {'recipe' : '53', 'ingredient' : '129', 'name' : 'Lemon juice', 'mass_unit' : '5', 'mass_quantity' : '2.5', 'volume_unit' : '', 'volume_quantity' : '0', 'pieces_unit' : '', 'pieces_quantity' : '0', 'cooking_notes' : ''}).status_code; print('%s :: %s :: %s :: %s :: %s' %(a,262,'Lemon juice','lemon','Panchratna Dry'))</t>
  </si>
  <si>
    <t xml:space="preserve">a = Client().post('/recipes/bhopla-km/detail/', {'recipe' : '9', 'ingredient' : '30', 'name' : 'Bhopla', 'mass_unit' : '2', 'mass_quantity' : '22', 'volume_unit' : '', 'volume_quantity' : '0', 'pieces_unit' : '', 'pieces_quantity' : '0', 'cooking_notes' : '1" cube'}).status_code; print('%s :: %s :: %s :: %s :: %s' %(a,265,'Bhopla','bhopla','Bhopla KM'))</t>
  </si>
  <si>
    <t xml:space="preserve">a = Client().post('/recipes/bhopla-km/detail/', {'recipe' : '9', 'ingredient' : '165', 'name' : 'Rai tel', 'mass_unit' : '', 'mass_quantity' : '0', 'volume_unit' : '1', 'volume_quantity' : '1.25', 'pieces_unit' : '', 'pieces_quantity' : '0', 'cooking_notes' : ''}).status_code; print('%s :: %s :: %s :: %s :: %s' %(a,266,'Rai tel','rai oil','Bhopla KM'))</t>
  </si>
  <si>
    <t xml:space="preserve">a = Client().post('/recipes/bhopla-km/detail/', {'recipe' : '9', 'ingredient' : '144', 'name' : 'Methi', 'mass_unit' : '', 'mass_quantity' : '0', 'volume_unit' : '5', 'volume_quantity' : '0.5', 'pieces_unit' : '', 'pieces_quantity' : '0', 'cooking_notes' : ''}).status_code; print('%s :: %s :: %s :: %s :: %s' %(a,267,'Methi','methi','Bhopla KM'))</t>
  </si>
  <si>
    <t xml:space="preserve">a = Client().post('/recipes/bhopla-km/detail/', {'recipe' : '9', 'ingredient' : '102', 'name' : 'Jeera', 'mass_unit' : '', 'mass_quantity' : '0', 'volume_unit' : '5', 'volume_quantity' : '0.5', 'pieces_unit' : '', 'pieces_quantity' : '0', 'cooking_notes' : ''}).status_code; print('%s :: %s :: %s :: %s :: %s' %(a,268,'Jeera','jeera','Bhopla KM'))</t>
  </si>
  <si>
    <t xml:space="preserve">a = Client().post('/recipes/bhopla-km/detail/', {'recipe' : '9', 'ingredient' : '17', 'name' : 'Badisaunf', 'mass_unit' : '', 'mass_quantity' : '0', 'volume_unit' : '5', 'volume_quantity' : '0.5', 'pieces_unit' : '', 'pieces_quantity' : '0', 'cooking_notes' : ''}).status_code; print('%s :: %s :: %s :: %s :: %s' %(a,269,'Badisaunf','badi sauf','Bhopla KM'))</t>
  </si>
  <si>
    <t xml:space="preserve">a = Client().post('/recipes/bhopla-km/detail/', {'recipe' : '9', 'ingredient' : '91', 'name' : 'Haldi', 'mass_unit' : '', 'mass_quantity' : '0', 'volume_unit' : '5', 'volume_quantity' : '0.4', 'pieces_unit' : '', 'pieces_quantity' : '0', 'cooking_notes' : ''}).status_code; print('%s :: %s :: %s :: %s :: %s' %(a,270,'Haldi','haldi','Bhopla KM'))</t>
  </si>
  <si>
    <t xml:space="preserve">a = Client().post('/recipes/bhopla-km/detail/', {'recipe' : '9', 'ingredient' : '67', 'name' : 'Dhania powder', 'mass_unit' : '', 'mass_quantity' : '0', 'volume_unit' : '5', 'volume_quantity' : '1', 'pieces_unit' : '', 'pieces_quantity' : '0', 'cooking_notes' : ''}).status_code; print('%s :: %s :: %s :: %s :: %s' %(a,271,'Dhania powder','dhaniya powder','Bhopla KM'))</t>
  </si>
  <si>
    <t xml:space="preserve">a = Client().post('/recipes/bhopla-km/detail/', {'recipe' : '9', 'ingredient' : '135', 'name' : 'Red chilli powder', 'mass_unit' : '', 'mass_quantity' : '0', 'volume_unit' : '5', 'volume_quantity' : '0.5', 'pieces_unit' : '', 'pieces_quantity' : '0', 'cooking_notes' : ''}).status_code; print('%s :: %s :: %s :: %s :: %s' %(a,272,'Red chilli powder','madrasi mirchi powder','Bhopla KM'))</t>
  </si>
  <si>
    <t xml:space="preserve">a = Client().post('/recipes/bhopla-km/detail/', {'recipe' : '9', 'ingredient' : '63', 'name' : 'Damodar P garam masala', 'mass_unit' : '', 'mass_quantity' : '0', 'volume_unit' : '5', 'volume_quantity' : '0.35', 'pieces_unit' : '', 'pieces_quantity' : '0', 'cooking_notes' : ''}).status_code; print('%s :: %s :: %s :: %s :: %s' %(a,273,'Damodar P garam masala','damodar p garam masala','Bhopla KM'))</t>
  </si>
  <si>
    <t xml:space="preserve">a = Client().post('/recipes/bhopla-km/detail/', {'recipe' : '9', 'ingredient' : '74', 'name' : 'Everest pulao masala', 'mass_unit' : '', 'mass_quantity' : '0', 'volume_unit' : '5', 'volume_quantity' : '0.7', 'pieces_unit' : '', 'pieces_quantity' : '0', 'cooking_notes' : ''}).status_code; print('%s :: %s :: %s :: %s :: %s' %(a,274,'Everest pulao masala','everest pulav masala','Bhopla KM'))</t>
  </si>
  <si>
    <t xml:space="preserve">a = Client().post('/recipes/bhopla-km/detail/', {'recipe' : '9', 'ingredient' : '187', 'name' : 'Sugar', 'mass_unit' : '', 'mass_quantity' : '0', 'volume_unit' : '1', 'volume_quantity' : '0.6', 'pieces_unit' : '', 'pieces_quantity' : '0', 'cooking_notes' : ''}).status_code; print('%s :: %s :: %s :: %s :: %s' %(a,275,'Sugar','sugar','Bhopla KM'))</t>
  </si>
  <si>
    <t xml:space="preserve">a = Client().post('/recipes/bhopla-km/detail/', {'recipe' : '9', 'ingredient' : '10', 'name' : 'Amchur', 'mass_unit' : '', 'mass_quantity' : '0', 'volume_unit' : '5', 'volume_quantity' : '0.8', 'pieces_unit' : '', 'pieces_quantity' : '0', 'cooking_notes' : ''}).status_code; print('%s :: %s :: %s :: %s :: %s' %(a,276,'Amchur','amchur','Bhopla KM'))</t>
  </si>
  <si>
    <t xml:space="preserve">a = Client().post('/recipes/bhopla-km/detail/', {'recipe' : '9', 'ingredient' : '177', 'name' : 'Salt', 'mass_unit' : '', 'mass_quantity' : '0', 'volume_unit' : '5', 'volume_quantity' : '1', 'pieces_unit' : '', 'pieces_quantity' : '0', 'cooking_notes' : ''}).status_code; print('%s :: %s :: %s :: %s :: %s' %(a,277,'Salt','salt','Bhopla KM'))</t>
  </si>
  <si>
    <t xml:space="preserve">a = Client().post('/recipes/dosa-bhaji-dry/detail/', {'recipe' : '20', 'ingredient' : '8', 'name' : 'Alu', 'mass_unit' : '2', 'mass_quantity' : '40', 'volume_unit' : '', 'volume_quantity' : '0', 'pieces_unit' : '', 'pieces_quantity' : '0', 'cooking_notes' : 'boiled,mashed'}).status_code; print('%s :: %s :: %s :: %s :: %s' %(a,280,'Alu','alu','Dosa Bhaji Dry'))</t>
  </si>
  <si>
    <t xml:space="preserve">a = Client().post('/recipes/dosa-bhaji-dry/detail/', {'recipe' : '20', 'ingredient' : '39', 'name' : 'Cabbage', 'mass_unit' : '2', 'mass_quantity' : '4', 'volume_unit' : '', 'volume_quantity' : '0', 'pieces_unit' : '', 'pieces_quantity' : '0', 'cooking_notes' : 'julienne'}).status_code; print('%s :: %s :: %s :: %s :: %s' %(a,281,'Cabbage','cabbage','Dosa Bhaji Dry'))</t>
  </si>
  <si>
    <t xml:space="preserve">a = Client().post('/recipes/dosa-bhaji-dry/detail/', {'recipe' : '20', 'ingredient' : '42', 'name' : 'Capsicum', 'mass_unit' : '2', 'mass_quantity' : '4', 'volume_unit' : '', 'volume_quantity' : '0', 'pieces_unit' : '', 'pieces_quantity' : '0', 'cooking_notes' : 'julienne'}).status_code; print('%s :: %s :: %s :: %s :: %s' %(a,282,'Capsicum','capsicum','Dosa Bhaji Dry'))</t>
  </si>
  <si>
    <t xml:space="preserve">a = Client().post('/recipes/dosa-bhaji-dry/detail/', {'recipe' : '20', 'ingredient' : '195', 'name' : 'Tomato', 'mass_unit' : '2', 'mass_quantity' : '4', 'volume_unit' : '', 'volume_quantity' : '0', 'pieces_unit' : '', 'pieces_quantity' : '0', 'cooking_notes' : '0.5" cube'}).status_code; print('%s :: %s :: %s :: %s :: %s' %(a,283,'Tomato','tomato','Dosa Bhaji Dry'))</t>
  </si>
  <si>
    <t xml:space="preserve">a = Client().post('/recipes/dosa-bhaji-dry/detail/', {'recipe' : '20', 'ingredient' : '88', 'name' : 'Green peas', 'mass_unit' : '2', 'mass_quantity' : '2', 'volume_unit' : '', 'volume_quantity' : '0', 'pieces_unit' : '', 'pieces_quantity' : '0', 'cooking_notes' : ''}).status_code; print('%s :: %s :: %s :: %s :: %s' %(a,284,'Green peas','green peas','Dosa Bhaji Dry'))</t>
  </si>
  <si>
    <t xml:space="preserve">a = Client().post('/recipes/dosa-bhaji-dry/detail/', {'recipe' : '20', 'ingredient' : '83', 'name' : 'Oil', 'mass_unit' : '', 'mass_quantity' : '0', 'volume_unit' : '1', 'volume_quantity' : '2', 'pieces_unit' : '', 'pieces_quantity' : '0', 'cooking_notes' : ''}).status_code; print('%s :: %s :: %s :: %s :: %s' %(a,285,'Oil','gound nut oil','Dosa Bhaji Dry'))</t>
  </si>
  <si>
    <t xml:space="preserve">a = Client().post('/recipes/dosa-bhaji-dry/detail/', {'recipe' : '20', 'ingredient' : '164', 'name' : 'Rai', 'mass_unit' : '', 'mass_quantity' : '0', 'volume_unit' : '5', 'volume_quantity' : '1', 'pieces_unit' : '', 'pieces_quantity' : '0', 'cooking_notes' : ''}).status_code; print('%s :: %s :: %s :: %s :: %s' %(a,286,'Rai','rai','Dosa Bhaji Dry'))</t>
  </si>
  <si>
    <t xml:space="preserve">a = Client().post('/recipes/dosa-bhaji-dry/detail/', {'recipe' : '20', 'ingredient' : '200', 'name' : 'Udad dal', 'mass_unit' : '', 'mass_quantity' : '0', 'volume_unit' : '5', 'volume_quantity' : '2', 'pieces_unit' : '', 'pieces_quantity' : '0', 'cooking_notes' : ''}).status_code; print('%s :: %s :: %s :: %s :: %s' %(a,287,'Udad dal','urad dal','Dosa Bhaji Dry'))</t>
  </si>
  <si>
    <t xml:space="preserve">a = Client().post('/recipes/dosa-bhaji-dry/detail/', {'recipe' : '20', 'ingredient' : '46', 'name' : 'Chana dal', 'mass_unit' : '', 'mass_quantity' : '0', 'volume_unit' : '5', 'volume_quantity' : '2', 'pieces_unit' : '', 'pieces_quantity' : '0', 'cooking_notes' : ''}).status_code; print('%s :: %s :: %s :: %s :: %s' %(a,288,'Chana dal','chana dal','Dosa Bhaji Dry'))</t>
  </si>
  <si>
    <t xml:space="preserve">a = Client().post('/recipes/dosa-bhaji-dry/detail/', {'recipe' : '20', 'ingredient' : '95', 'name' : 'Hing', 'mass_unit' : '', 'mass_quantity' : '0', 'volume_unit' : '5', 'volume_quantity' : '0.5', 'pieces_unit' : '', 'pieces_quantity' : '0', 'cooking_notes' : ''}).status_code; print('%s :: %s :: %s :: %s :: %s' %(a,289,'Hing','hing','Dosa Bhaji Dry'))</t>
  </si>
  <si>
    <t xml:space="preserve">a = Client().post('/recipes/dosa-bhaji-dry/detail/', {'recipe' : '20', 'ingredient' : '93', 'name' : 'Hari mirchi', 'mass_unit' : '', 'mass_quantity' : '0', 'volume_unit' : '5', 'volume_quantity' : '2', 'pieces_unit' : '', 'pieces_quantity' : '0', 'cooking_notes' : 'split in 2'}).status_code; print('%s :: %s :: %s :: %s :: %s' %(a,290,'Hari mirchi','hari mirchi','Dosa Bhaji Dry'))</t>
  </si>
  <si>
    <t xml:space="preserve">a = Client().post('/recipes/dosa-bhaji-dry/detail/', {'recipe' : '20', 'ingredient' : '105', 'name' : 'Kadipatta', 'mass_unit' : '', 'mass_quantity' : '0', 'volume_unit' : '1', 'volume_quantity' : '2', 'pieces_unit' : '', 'pieces_quantity' : '0', 'cooking_notes' : ''}).status_code; print('%s :: %s :: %s :: %s :: %s' %(a,291,'Kadipatta','kadi patta','Dosa Bhaji Dry'))</t>
  </si>
  <si>
    <t xml:space="preserve">a = Client().post('/recipes/dosa-bhaji-dry/detail/', {'recipe' : '20', 'ingredient' : '91', 'name' : 'Haldi', 'mass_unit' : '', 'mass_quantity' : '0', 'volume_unit' : '5', 'volume_quantity' : '1', 'pieces_unit' : '', 'pieces_quantity' : '0', 'cooking_notes' : ''}).status_code; print('%s :: %s :: %s :: %s :: %s' %(a,292,'Haldi','haldi','Dosa Bhaji Dry'))</t>
  </si>
  <si>
    <t xml:space="preserve">a = Client().post('/recipes/dosa-bhaji-dry/detail/', {'recipe' : '20', 'ingredient' : '148', 'name' : 'MTR Rasam powder', 'mass_unit' : '', 'mass_quantity' : '0', 'volume_unit' : '5', 'volume_quantity' : '2', 'pieces_unit' : '', 'pieces_quantity' : '0', 'cooking_notes' : ''}).status_code; print('%s :: %s :: %s :: %s :: %s' %(a,293,'MTR Rasam powder','mtr rasam masala','Dosa Bhaji Dry'))</t>
  </si>
  <si>
    <t xml:space="preserve">a = Client().post('/recipes/dosa-bhaji-dry/detail/', {'recipe' : '20', 'ingredient' : '177', 'name' : 'Salt', 'mass_unit' : '', 'mass_quantity' : '0', 'volume_unit' : '5', 'volume_quantity' : '2.5', 'pieces_unit' : '', 'pieces_quantity' : '0', 'cooking_notes' : ''}).status_code; print('%s :: %s :: %s :: %s :: %s' %(a,294,'Salt','salt','Dosa Bhaji Dry'))</t>
  </si>
  <si>
    <t xml:space="preserve">a = Client().post('/recipes/chole-krsna-balaram/detail/', {'recipe' : '13', 'ingredient' : '53', 'name' : 'Chole', 'mass_unit' : '2', 'mass_quantity' : '11', 'volume_unit' : '', 'volume_quantity' : '0', 'pieces_unit' : '', 'pieces_quantity' : '0', 'cooking_notes' : ''}).status_code; print('%s :: %s :: %s :: %s :: %s' %(a,297,'Chole','chole','Chole Krsna Balaram'))</t>
  </si>
  <si>
    <t xml:space="preserve">a = Client().post('/recipes/chole-krsna-balaram/detail/', {'recipe' : '13', 'ingredient' : '195', 'name' : 'Tomato', 'mass_unit' : '2', 'mass_quantity' : '5.5', 'volume_unit' : '', 'volume_quantity' : '0', 'pieces_unit' : '', 'pieces_quantity' : '0', 'cooking_notes' : '0.5" cube'}).status_code; print('%s :: %s :: %s :: %s :: %s' %(a,298,'Tomato','tomato','Chole Krsna Balaram'))</t>
  </si>
  <si>
    <t xml:space="preserve">a = Client().post('/recipes/chole-krsna-balaram/detail/', {'recipe' : '13', 'ingredient' : '92', 'name' : 'Hansraj chole masala', 'mass_unit' : '', 'mass_quantity' : '0', 'volume_unit' : '5', 'volume_quantity' : '6', 'pieces_unit' : '', 'pieces_quantity' : '0', 'cooking_notes' : ''}).status_code; print('%s :: %s :: %s :: %s :: %s' %(a,299,'Hansraj chole masala','hansraj chole masala','Chole Krsna Balaram'))</t>
  </si>
  <si>
    <t xml:space="preserve">a = Client().post('/recipes/chole-krsna-balaram/detail/', {'recipe' : '13', 'ingredient' : '177', 'name' : 'Salt', 'mass_unit' : '', 'mass_quantity' : '0', 'volume_unit' : '5', 'volume_quantity' : '0.3', 'pieces_unit' : '', 'pieces_quantity' : '0', 'cooking_notes' : ''}).status_code; print('%s :: %s :: %s :: %s :: %s' %(a,300,'Salt','salt','Chole Krsna Balaram'))</t>
  </si>
  <si>
    <t xml:space="preserve">a = Client().post('/recipes/chole-krsna-balaram/detail/', {'recipe' : '13', 'ingredient' : '11', 'name' : 'Amla churna (optional)', 'mass_unit' : '', 'mass_quantity' : '0', 'volume_unit' : '5', 'volume_quantity' : '2', 'pieces_unit' : '', 'pieces_quantity' : '0', 'cooking_notes' : ''}).status_code; print('%s :: %s :: %s :: %s :: %s' %(a,301,'Amla churna (optional)','amla churna','Chole Krsna Balaram'))</t>
  </si>
  <si>
    <t xml:space="preserve">a = Client().post('/recipes/patol-white-gravy/detail/', {'recipe' : '56', 'ingredient' : '165', 'name' : 'Rai tel', 'mass_unit' : '', 'mass_quantity' : '0', 'volume_unit' : '1', 'volume_quantity' : '1', 'pieces_unit' : '', 'pieces_quantity' : '0', 'cooking_notes' : ''}).status_code; print('%s :: %s :: %s :: %s :: %s' %(a,304,'Rai tel','rai oil','Patol White Gravy'))</t>
  </si>
  <si>
    <t xml:space="preserve">a = Client().post('/recipes/patol-white-gravy/detail/', {'recipe' : '56', 'ingredient' : '102', 'name' : 'Jeera', 'mass_unit' : '', 'mass_quantity' : '0', 'volume_unit' : '5', 'volume_quantity' : '0.6', 'pieces_unit' : '', 'pieces_quantity' : '0', 'cooking_notes' : ''}).status_code; print('%s :: %s :: %s :: %s :: %s' %(a,305,'Jeera','jeera','Patol White Gravy'))</t>
  </si>
  <si>
    <t xml:space="preserve">a = Client().post('/recipes/patol-white-gravy/detail/', {'recipe' : '56', 'ingredient' : '93', 'name' : 'Hari mirchi', 'mass_unit' : '', 'mass_quantity' : '0', 'volume_unit' : '7', 'volume_quantity' : '100', 'pieces_unit' : '', 'pieces_quantity' : '0', 'cooking_notes' : ''}).status_code; print('%s :: %s :: %s :: %s :: %s' %(a,306,'Hari mirchi','hari mirchi','Patol White Gravy'))</t>
  </si>
  <si>
    <t xml:space="preserve">a = Client().post('/recipes/patol-white-gravy/detail/', {'recipe' : '56', 'ingredient' : '91', 'name' : 'Haldi', 'mass_unit' : '', 'mass_quantity' : '0', 'volume_unit' : '5', 'volume_quantity' : '0.75', 'pieces_unit' : '', 'pieces_quantity' : '0', 'cooking_notes' : ''}).status_code; print('%s :: %s :: %s :: %s :: %s' %(a,307,'Haldi','haldi','Patol White Gravy'))</t>
  </si>
  <si>
    <t xml:space="preserve">a = Client().post('/recipes/patol-white-gravy/detail/', {'recipe' : '56', 'ingredient' : '107', 'name' : 'Kaju', 'mass_unit' : '2', 'mass_quantity' : '0.5', 'volume_unit' : '', 'volume_quantity' : '0', 'pieces_unit' : '', 'pieces_quantity' : '0', 'cooking_notes' : ''}).status_code; print('%s :: %s :: %s :: %s :: %s' %(a,308,'Kaju','kaju','Patol White Gravy'))</t>
  </si>
  <si>
    <t xml:space="preserve">a = Client().post('/recipes/patol-white-gravy/detail/', {'recipe' : '56', 'ingredient' : '161', 'name' : 'Posto', 'mass_unit' : '2', 'mass_quantity' : '0.75', 'volume_unit' : '', 'volume_quantity' : '0', 'pieces_unit' : '', 'pieces_quantity' : '0', 'cooking_notes' : ''}).status_code; print('%s :: %s :: %s :: %s :: %s' %(a,309,'Posto','posto','Patol White Gravy'))</t>
  </si>
  <si>
    <t xml:space="preserve">a = Client().post('/recipes/patol-white-gravy/detail/', {'recipe' : '56', 'ingredient' : '74', 'name' : 'Everest pulao masala', 'mass_unit' : '', 'mass_quantity' : '0', 'volume_unit' : '5', 'volume_quantity' : '1.5', 'pieces_unit' : '', 'pieces_quantity' : '0', 'cooking_notes' : ''}).status_code; print('%s :: %s :: %s :: %s :: %s' %(a,310,'Everest pulao masala','everest pulav masala','Patol White Gravy'))</t>
  </si>
  <si>
    <t xml:space="preserve">a = Client().post('/recipes/patol-white-gravy/detail/', {'recipe' : '56', 'ingredient' : '187', 'name' : 'Sugar', 'mass_unit' : '', 'mass_quantity' : '0', 'volume_unit' : '5', 'volume_quantity' : '2.5', 'pieces_unit' : '', 'pieces_quantity' : '0', 'cooking_notes' : ''}).status_code; print('%s :: %s :: %s :: %s :: %s' %(a,311,'Sugar','sugar','Patol White Gravy'))</t>
  </si>
  <si>
    <t xml:space="preserve">a = Client().post('/recipes/patol-white-gravy/detail/', {'recipe' : '56', 'ingredient' : '158', 'name' : 'Patol', 'mass_unit' : '2', 'mass_quantity' : '25', 'volume_unit' : '', 'volume_quantity' : '0', 'pieces_unit' : '', 'pieces_quantity' : '0', 'cooking_notes' : 'sauteed'}).status_code; print('%s :: %s :: %s :: %s :: %s' %(a,312,'Patol','patol','Patol White Gravy'))</t>
  </si>
  <si>
    <t xml:space="preserve">a = Client().post('/recipes/patol-white-gravy/detail/', {'recipe' : '56', 'ingredient' : '97', 'name' : 'Hot water', 'mass_unit' : '', 'mass_quantity' : '0', 'volume_unit' : '1', 'volume_quantity' : '10', 'pieces_unit' : '', 'pieces_quantity' : '0', 'cooking_notes' : ''}).status_code; print('%s :: %s :: %s :: %s :: %s' %(a,313,'Hot water','hot water','Patol White Gravy'))</t>
  </si>
  <si>
    <t xml:space="preserve">a = Client().post('/recipes/patol-white-gravy/detail/', {'recipe' : '56', 'ingredient' : '191', 'name' : 'Tejpatta', 'mass_unit' : '', 'mass_quantity' : '0', 'volume_unit' : '5', 'volume_quantity' : '1', 'pieces_unit' : '', 'pieces_quantity' : '0', 'cooking_notes' : ''}).status_code; print('%s :: %s :: %s :: %s :: %s' %(a,314,'Tejpatta','tej patta','Patol White Gravy'))</t>
  </si>
  <si>
    <t xml:space="preserve">a = Client().post('/recipes/patol-white-gravy/detail/', {'recipe' : '56', 'ingredient' : '177', 'name' : 'Salt', 'mass_unit' : '', 'mass_quantity' : '0', 'volume_unit' : '5', 'volume_quantity' : '2', 'pieces_unit' : '', 'pieces_quantity' : '0', 'cooking_notes' : ''}).status_code; print('%s :: %s :: %s :: %s :: %s' %(a,315,'Salt','salt','Patol White Gravy'))</t>
  </si>
  <si>
    <t xml:space="preserve">a = Client().post('/recipes/alu-jeera/detail/', {'recipe' : '4', 'ingredient' : '8', 'name' : 'Alu', 'mass_unit' : '2', 'mass_quantity' : '15', 'volume_unit' : '', 'volume_quantity' : '0', 'pieces_unit' : '', 'pieces_quantity' : '0', 'cooking_notes' : 'boiled,peeled,cut'}).status_code; print('%s :: %s :: %s :: %s :: %s' %(a,318,'Alu','alu','Alu Jeera'))</t>
  </si>
  <si>
    <t xml:space="preserve">a = Client().post('/recipes/alu-jeera/detail/', {'recipe' : '4', 'ingredient' : '83', 'name' : 'Oil', 'mass_unit' : '', 'mass_quantity' : '0', 'volume_unit' : '1', 'volume_quantity' : '1.5', 'pieces_unit' : '', 'pieces_quantity' : '0', 'cooking_notes' : ''}).status_code; print('%s :: %s :: %s :: %s :: %s' %(a,319,'Oil','gound nut oil','Alu Jeera'))</t>
  </si>
  <si>
    <t xml:space="preserve">a = Client().post('/recipes/alu-jeera/detail/', {'recipe' : '4', 'ingredient' : '102', 'name' : 'Jeera', 'mass_unit' : '', 'mass_quantity' : '0', 'volume_unit' : '5', 'volume_quantity' : '1', 'pieces_unit' : '', 'pieces_quantity' : '0', 'cooking_notes' : ''}).status_code; print('%s :: %s :: %s :: %s :: %s' %(a,320,'Jeera','jeera','Alu Jeera'))</t>
  </si>
  <si>
    <t xml:space="preserve">a = Client().post('/recipes/alu-jeera/detail/', {'recipe' : '4', 'ingredient' : '95', 'name' : 'Hing', 'mass_unit' : '', 'mass_quantity' : '0', 'volume_unit' : '5', 'volume_quantity' : '0.25', 'pieces_unit' : '', 'pieces_quantity' : '0', 'cooking_notes' : ''}).status_code; print('%s :: %s :: %s :: %s :: %s' %(a,321,'Hing','hing','Alu Jeera'))</t>
  </si>
  <si>
    <t xml:space="preserve">a = Client().post('/recipes/alu-jeera/detail/', {'recipe' : '4', 'ingredient' : '93', 'name' : 'Hari mirchi', 'mass_unit' : '', 'mass_quantity' : '0', 'volume_unit' : '5', 'volume_quantity' : '2', 'pieces_unit' : '', 'pieces_quantity' : '0', 'cooking_notes' : 'fine chopped'}).status_code; print('%s :: %s :: %s :: %s :: %s' %(a,322,'Hari mirchi','hari mirchi','Alu Jeera'))</t>
  </si>
  <si>
    <t xml:space="preserve">a = Client().post('/recipes/alu-jeera/detail/', {'recipe' : '4', 'ingredient' : '117', 'name' : 'Kashmiri powder', 'mass_unit' : '', 'mass_quantity' : '0', 'volume_unit' : '5', 'volume_quantity' : '0.3', 'pieces_unit' : '', 'pieces_quantity' : '0', 'cooking_notes' : ''}).status_code; print('%s :: %s :: %s :: %s :: %s' %(a,323,'Kashmiri powder','kashmiri chilly powder','Alu Jeera'))</t>
  </si>
  <si>
    <t xml:space="preserve">a = Client().post('/recipes/alu-jeera/detail/', {'recipe' : '4', 'ingredient' : '135', 'name' : 'Red chilli powder', 'mass_unit' : '', 'mass_quantity' : '0', 'volume_unit' : '5', 'volume_quantity' : '0.3', 'pieces_unit' : '', 'pieces_quantity' : '0', 'cooking_notes' : ''}).status_code; print('%s :: %s :: %s :: %s :: %s' %(a,324,'Red chilli powder','madrasi mirchi powder','Alu Jeera'))</t>
  </si>
  <si>
    <t xml:space="preserve">a = Client().post('/recipes/alu-jeera/detail/', {'recipe' : '4', 'ingredient' : '177', 'name' : 'Salt', 'mass_unit' : '', 'mass_quantity' : '0', 'volume_unit' : '5', 'volume_quantity' : '1.25', 'pieces_unit' : '', 'pieces_quantity' : '0', 'cooking_notes' : ''}).status_code; print('%s :: %s :: %s :: %s :: %s' %(a,325,'Salt','salt','Alu Jeera'))</t>
  </si>
  <si>
    <t xml:space="preserve">a = Client().post('/recipes/alu-jeera/detail/', {'recipe' : '4', 'ingredient' : '67', 'name' : 'Dhania powder', 'mass_unit' : '', 'mass_quantity' : '0', 'volume_unit' : '5', 'volume_quantity' : '0.75', 'pieces_unit' : '', 'pieces_quantity' : '0', 'cooking_notes' : ''}).status_code; print('%s :: %s :: %s :: %s :: %s' %(a,326,'Dhania powder','dhaniya powder','Alu Jeera'))</t>
  </si>
  <si>
    <t xml:space="preserve">a = Client().post('/recipes/alu-jeera/detail/', {'recipe' : '4', 'ingredient' : '102', 'name' : 'Roasted jeera powder', 'mass_unit' : '', 'mass_quantity' : '0', 'volume_unit' : '5', 'volume_quantity' : '0.4', 'pieces_unit' : '', 'pieces_quantity' : '0', 'cooking_notes' : ''}).status_code; print('%s :: %s :: %s :: %s :: %s' %(a,327,'Roasted jeera powder','jeera','Alu Jeera'))</t>
  </si>
  <si>
    <t xml:space="preserve">a = Client().post('/recipes/alu-jeera/detail/', {'recipe' : '4', 'ingredient' : '129', 'name' : 'Lemon juice', 'mass_unit' : '', 'mass_quantity' : '0', 'volume_unit' : '5', 'volume_quantity' : '1.5', 'pieces_unit' : '', 'pieces_quantity' : '0', 'cooking_notes' : ''}).status_code; print('%s :: %s :: %s :: %s :: %s' %(a,328,'Lemon juice','lemon','Alu Jeera'))</t>
  </si>
  <si>
    <t xml:space="preserve">a = Client().post('/recipes/alu-jeera/detail/', {'recipe' : '4', 'ingredient' : '66', 'name' : 'Dhania patta', 'mass_unit' : '', 'mass_quantity' : '0', 'volume_unit' : '1', 'volume_quantity' : '2', 'pieces_unit' : '', 'pieces_quantity' : '0', 'cooking_notes' : ''}).status_code; print('%s :: %s :: %s :: %s :: %s' %(a,329,'Dhania patta','dhaniya patta','Alu Jeera'))</t>
  </si>
  <si>
    <t xml:space="preserve">a = Client().post('/recipes/brokoli-sautee/detail/', {'recipe' : '12', 'ingredient' : '36', 'name' : 'Brokoli ', 'mass_unit' : '2', 'mass_quantity' : '18', 'volume_unit' : '', 'volume_quantity' : '0', 'pieces_unit' : '', 'pieces_quantity' : '0', 'cooking_notes' : 'steamed'}).status_code; print('%s :: %s :: %s :: %s :: %s' %(a,332,'Brokoli ','broccoli','Brokoli Sautee'))</t>
  </si>
  <si>
    <t xml:space="preserve">a = Client().post('/recipes/brokoli-sautee/detail/', {'recipe' : '12', 'ingredient' : '36', 'name' : 'Brokoli ', 'mass_unit' : '', 'mass_quantity' : '0', 'volume_unit' : '1', 'volume_quantity' : '18', 'pieces_unit' : '', 'pieces_quantity' : '0', 'cooking_notes' : ''}).status_code; print('%s :: %s :: %s :: %s :: %s' %(a,333,'Brokoli ','broccoli','Brokoli Sautee'))</t>
  </si>
  <si>
    <t xml:space="preserve">a = Client().post('/recipes/brokoli-sautee/detail/', {'recipe' : '12', 'ingredient' : '76', 'name' : 'EVOO', 'mass_unit' : '', 'mass_quantity' : '0', 'volume_unit' : '1', 'volume_quantity' : '0.5', 'pieces_unit' : '', 'pieces_quantity' : '0', 'cooking_notes' : ''}).status_code; print('%s :: %s :: %s :: %s :: %s' %(a,334,'EVOO','evoo','Brokoli Sautee'))</t>
  </si>
  <si>
    <t xml:space="preserve">a = Client().post('/recipes/brokoli-sautee/detail/', {'recipe' : '12', 'ingredient' : '31', 'name' : 'Black pepper powder', 'mass_unit' : '', 'mass_quantity' : '0', 'volume_unit' : '5', 'volume_quantity' : '0.5', 'pieces_unit' : '', 'pieces_quantity' : '0', 'cooking_notes' : ''}).status_code; print('%s :: %s :: %s :: %s :: %s' %(a,335,'Black pepper powder','black pepper','Brokoli Sautee'))</t>
  </si>
  <si>
    <t xml:space="preserve">a = Client().post('/recipes/brokoli-sautee/detail/', {'recipe' : '12', 'ingredient' : '95', 'name' : 'Hing', 'mass_unit' : '', 'mass_quantity' : '0', 'volume_unit' : '5', 'volume_quantity' : '0.25', 'pieces_unit' : '', 'pieces_quantity' : '0', 'cooking_notes' : ''}).status_code; print('%s :: %s :: %s :: %s :: %s' %(a,336,'Hing','hing','Brokoli Sautee'))</t>
  </si>
  <si>
    <t xml:space="preserve">a = Client().post('/recipes/brokoli-sautee/detail/', {'recipe' : '12', 'ingredient' : '177', 'name' : 'Salt', 'mass_unit' : '', 'mass_quantity' : '0', 'volume_unit' : '5', 'volume_quantity' : '0.5', 'pieces_unit' : '', 'pieces_quantity' : '0', 'cooking_notes' : ''}).status_code; print('%s :: %s :: %s :: %s :: %s' %(a,337,'Salt','salt','Brokoli Sautee'))</t>
  </si>
  <si>
    <t xml:space="preserve">a = Client().post('/recipes/brokoli-sautee/detail/', {'recipe' : '12', 'ingredient' : '32', 'name' : 'Black salt', 'mass_unit' : '', 'mass_quantity' : '0', 'volume_unit' : '5', 'volume_quantity' : '0.3', 'pieces_unit' : '', 'pieces_quantity' : '0', 'cooking_notes' : ''}).status_code; print('%s :: %s :: %s :: %s :: %s' %(a,338,'Black salt','black salt','Brokoli Sautee'))</t>
  </si>
  <si>
    <t xml:space="preserve">a = Client().post('/recipes/brokoli-sautee/detail/', {'recipe' : '12', 'ingredient' : '24', 'name' : 'Basil leaves', 'mass_unit' : '', 'mass_quantity' : '0', 'volume_unit' : '1', 'volume_quantity' : '1', 'pieces_unit' : '', 'pieces_quantity' : '0', 'cooking_notes' : 'chopped'}).status_code; print('%s :: %s :: %s :: %s :: %s' %(a,339,'Basil leaves','basil leaves','Brokoli Sautee'))</t>
  </si>
  <si>
    <t xml:space="preserve">a = Client().post('/recipes/kerela-round/detail/', {'recipe' : '36', 'ingredient' : '116', 'name' : 'Karela', 'mass_unit' : '2', 'mass_quantity' : '10', 'volume_unit' : '', 'volume_quantity' : '0', 'pieces_unit' : '', 'pieces_quantity' : '0', 'cooking_notes' : 'round slices,salt squeezed'}).status_code; print('%s :: %s :: %s :: %s :: %s' %(a,342,'Karela','karela','Kerela Round'))</t>
  </si>
  <si>
    <t xml:space="preserve">a = Client().post('/recipes/kerela-round/detail/', {'recipe' : '36', 'ingredient' : '116', 'name' : 'Karela', 'mass_unit' : '', 'mass_quantity' : '0', 'volume_unit' : '1', 'volume_quantity' : '10', 'pieces_unit' : '', 'pieces_quantity' : '0', 'cooking_notes' : ''}).status_code; print('%s :: %s :: %s :: %s :: %s' %(a,343,'Karela','karela','Kerela Round'))</t>
  </si>
  <si>
    <t xml:space="preserve">a = Client().post('/recipes/kerela-round/detail/', {'recipe' : '36', 'ingredient' : '83', 'name' : 'Oil', 'mass_unit' : '2', 'mass_quantity' : '1.5', 'volume_unit' : '', 'volume_quantity' : '0', 'pieces_unit' : '', 'pieces_quantity' : '0', 'cooking_notes' : ''}).status_code; print('%s :: %s :: %s :: %s :: %s' %(a,344,'Oil','gound nut oil','Kerela Round'))</t>
  </si>
  <si>
    <t xml:space="preserve">a = Client().post('/recipes/kerela-round/detail/', {'recipe' : '36', 'ingredient' : '102', 'name' : 'Jeera', 'mass_unit' : '', 'mass_quantity' : '0', 'volume_unit' : '5', 'volume_quantity' : '0.3', 'pieces_unit' : '', 'pieces_quantity' : '0', 'cooking_notes' : ''}).status_code; print('%s :: %s :: %s :: %s :: %s' %(a,345,'Jeera','jeera','Kerela Round'))</t>
  </si>
  <si>
    <t xml:space="preserve">a = Client().post('/recipes/kerela-round/detail/', {'recipe' : '36', 'ingredient' : '93', 'name' : 'Hari mirchi', 'mass_unit' : '', 'mass_quantity' : '0', 'volume_unit' : '5', 'volume_quantity' : '1', 'pieces_unit' : '', 'pieces_quantity' : '0', 'cooking_notes' : 'fine chopped'}).status_code; print('%s :: %s :: %s :: %s :: %s' %(a,346,'Hari mirchi','hari mirchi','Kerela Round'))</t>
  </si>
  <si>
    <t xml:space="preserve">a = Client().post('/recipes/kerela-round/detail/', {'recipe' : '36', 'ingredient' : '91', 'name' : 'Haldi', 'mass_unit' : '', 'mass_quantity' : '0', 'volume_unit' : '5', 'volume_quantity' : '0.3', 'pieces_unit' : '', 'pieces_quantity' : '0', 'cooking_notes' : ''}).status_code; print('%s :: %s :: %s :: %s :: %s' %(a,347,'Haldi','haldi','Kerela Round'))</t>
  </si>
  <si>
    <t xml:space="preserve">a = Client().post('/recipes/kerela-round/detail/', {'recipe' : '36', 'ingredient' : '67', 'name' : 'Dhania powder', 'mass_unit' : '', 'mass_quantity' : '0', 'volume_unit' : '5', 'volume_quantity' : '0.75', 'pieces_unit' : '', 'pieces_quantity' : '0', 'cooking_notes' : ''}).status_code; print('%s :: %s :: %s :: %s :: %s' %(a,348,'Dhania powder','dhaniya powder','Kerela Round'))</t>
  </si>
  <si>
    <t xml:space="preserve">a = Client().post('/recipes/kerela-round/detail/', {'recipe' : '36', 'ingredient' : '177', 'name' : 'Salt', 'mass_unit' : '', 'mass_quantity' : '0', 'volume_unit' : '5', 'volume_quantity' : '0.5', 'pieces_unit' : '', 'pieces_quantity' : '0', 'cooking_notes' : ''}).status_code; print('%s :: %s :: %s :: %s :: %s' %(a,349,'Salt','salt','Kerela Round'))</t>
  </si>
  <si>
    <t xml:space="preserve">a = Client().post('/recipes/kerela-round/detail/', {'recipe' : '36', 'ingredient' : '90', 'name' : 'Gud', 'mass_unit' : '7', 'mass_quantity' : '250', 'volume_unit' : '', 'volume_quantity' : '0', 'pieces_unit' : '', 'pieces_quantity' : '0', 'cooking_notes' : ''}).status_code; print('%s :: %s :: %s :: %s :: %s' %(a,350,'Gud','gud','Kerela Round'))</t>
  </si>
  <si>
    <t xml:space="preserve">a = Client().post('/recipes/kerela-round/detail/', {'recipe' : '36', 'ingredient' : '10', 'name' : 'Amchur', 'mass_unit' : '', 'mass_quantity' : '0', 'volume_unit' : '5', 'volume_quantity' : '0.5', 'pieces_unit' : '', 'pieces_quantity' : '0', 'cooking_notes' : ''}).status_code; print('%s :: %s :: %s :: %s :: %s' %(a,351,'Amchur','amchur','Kerela Round'))</t>
  </si>
  <si>
    <t xml:space="preserve">a = Client().post('/recipes/red-sak-badi/detail/', {'recipe' : '66', 'ingredient' : '169', 'name' : 'Red sak', 'mass_unit' : '', 'mass_quantity' : '0', 'volume_unit' : '', 'volume_quantity' : '0', 'pieces_unit' : '', 'pieces_quantity' : '40', 'cooking_notes' : 'chopped'}).status_code; print('%s :: %s :: %s :: %s :: %s' %(a,354,'Red sak','red sak','Red Sak Badi'))</t>
  </si>
  <si>
    <t xml:space="preserve">a = Client().post('/recipes/red-sak-badi/detail/', {'recipe' : '66', 'ingredient' : '169', 'name' : 'Red sak', 'mass_unit' : '', 'mass_quantity' : '0', 'volume_unit' : '1', 'volume_quantity' : '40', 'pieces_unit' : '', 'pieces_quantity' : '0', 'cooking_notes' : ''}).status_code; print('%s :: %s :: %s :: %s :: %s' %(a,355,'Red sak','red sak','Red Sak Badi'))</t>
  </si>
  <si>
    <t xml:space="preserve">a = Client().post('/recipes/red-sak-badi/detail/', {'recipe' : '66', 'ingredient' : '165', 'name' : 'Rai tel', 'mass_unit' : '', 'mass_quantity' : '0', 'volume_unit' : '1', 'volume_quantity' : '1.25', 'pieces_unit' : '', 'pieces_quantity' : '0', 'cooking_notes' : ''}).status_code; print('%s :: %s :: %s :: %s :: %s' %(a,356,'Rai tel','rai oil','Red Sak Badi'))</t>
  </si>
  <si>
    <t xml:space="preserve">a = Client().post('/recipes/red-sak-badi/detail/', {'recipe' : '66', 'ingredient' : '114', 'name' : 'Kalo jeera', 'mass_unit' : '', 'mass_quantity' : '0', 'volume_unit' : '5', 'volume_quantity' : '0.8', 'pieces_unit' : '', 'pieces_quantity' : '0', 'cooking_notes' : ''}).status_code; print('%s :: %s :: %s :: %s :: %s' %(a,357,'Kalo jeera','kalo jeera','Red Sak Badi'))</t>
  </si>
  <si>
    <t xml:space="preserve">a = Client().post('/recipes/red-sak-badi/detail/', {'recipe' : '66', 'ingredient' : '191', 'name' : 'Tejpatta', 'mass_unit' : '', 'mass_quantity' : '0', 'volume_unit' : '5', 'volume_quantity' : '1', 'pieces_unit' : '', 'pieces_quantity' : '0', 'cooking_notes' : ''}).status_code; print('%s :: %s :: %s :: %s :: %s' %(a,358,'Tejpatta','tej patta','Red Sak Badi'))</t>
  </si>
  <si>
    <t xml:space="preserve">a = Client().post('/recipes/red-sak-badi/detail/', {'recipe' : '66', 'ingredient' : '1', 'name' : 'Adrak paste', 'mass_unit' : '', 'mass_quantity' : '0', 'volume_unit' : '1', 'volume_quantity' : '0.5', 'pieces_unit' : '', 'pieces_quantity' : '0', 'cooking_notes' : ''}).status_code; print('%s :: %s :: %s :: %s :: %s' %(a,359,'Adrak paste','adrak','Red Sak Badi'))</t>
  </si>
  <si>
    <t xml:space="preserve">a = Client().post('/recipes/red-sak-badi/detail/', {'recipe' : '66', 'ingredient' : '93', 'name' : 'Hari mirchi', 'mass_unit' : '', 'mass_quantity' : '0', 'volume_unit' : '5', 'volume_quantity' : '2', 'pieces_unit' : '', 'pieces_quantity' : '0', 'cooking_notes' : 'fine chopped'}).status_code; print('%s :: %s :: %s :: %s :: %s' %(a,360,'Hari mirchi','hari mirchi','Red Sak Badi'))</t>
  </si>
  <si>
    <t xml:space="preserve">a = Client().post('/recipes/red-sak-badi/detail/', {'recipe' : '66', 'ingredient' : '177', 'name' : 'Salt', 'mass_unit' : '', 'mass_quantity' : '0', 'volume_unit' : '5', 'volume_quantity' : '0.8', 'pieces_unit' : '', 'pieces_quantity' : '0', 'cooking_notes' : ''}).status_code; print('%s :: %s :: %s :: %s :: %s' %(a,361,'Salt','salt','Red Sak Badi'))</t>
  </si>
  <si>
    <t xml:space="preserve">a = Client().post('/recipes/red-sak-badi/detail/', {'recipe' : '66', 'ingredient' : '91', 'name' : 'Haldi', 'mass_unit' : '', 'mass_quantity' : '0', 'volume_unit' : '5', 'volume_quantity' : '0.5', 'pieces_unit' : '', 'pieces_quantity' : '0', 'cooking_notes' : ''}).status_code; print('%s :: %s :: %s :: %s :: %s' %(a,362,'Haldi','haldi','Red Sak Badi'))</t>
  </si>
  <si>
    <t xml:space="preserve">a = Client().post('/recipes/red-sak-badi/detail/', {'recipe' : '66', 'ingredient' : '146', 'name' : 'Badi', 'mass_unit' : '', 'mass_quantity' : '0', 'volume_unit' : '1', 'volume_quantity' : '0.75', 'pieces_unit' : '', 'pieces_quantity' : '0', 'cooking_notes' : ''}).status_code; print('%s :: %s :: %s :: %s :: %s' %(a,363,'Badi','Moong badi','Red Sak Badi'))</t>
  </si>
  <si>
    <t xml:space="preserve">a = Client().post('/recipes/varai-pulav/detail/', {'recipe' : '86', 'ingredient' : '201', 'name' : 'Varai rice', 'mass_unit' : '2', 'mass_quantity' : '30', 'volume_unit' : '', 'volume_quantity' : '0', 'pieces_unit' : '', 'pieces_quantity' : '0', 'cooking_notes' : ''}).status_code; print('%s :: %s :: %s :: %s :: %s' %(a,368,'Varai rice','varai','Varai Pulav'))</t>
  </si>
  <si>
    <t xml:space="preserve">a = Client().post('/recipes/varai-pulav/detail/', {'recipe' : '86', 'ingredient' : '89', 'name' : 'Groundnut oil for tadka', 'mass_unit' : '', 'mass_quantity' : '0', 'volume_unit' : '1', 'volume_quantity' : '10', 'pieces_unit' : '', 'pieces_quantity' : '0', 'cooking_notes' : ''}).status_code; print('%s :: %s :: %s :: %s :: %s' %(a,369,'Groundnut oil for tadka','ground nut oil','Varai Pulav'))</t>
  </si>
  <si>
    <t xml:space="preserve">a = Client().post('/recipes/varai-pulav/detail/', {'recipe' : '86', 'ingredient' : '191', 'name' : 'Tejpatta', 'mass_unit' : '', 'mass_quantity' : '0', 'volume_unit' : '1', 'volume_quantity' : '1', 'pieces_unit' : '', 'pieces_quantity' : '0', 'cooking_notes' : ''}).status_code; print('%s :: %s :: %s :: %s :: %s' %(a,370,'Tejpatta','tej patta','Varai Pulav'))</t>
  </si>
  <si>
    <t xml:space="preserve">a = Client().post('/recipes/varai-pulav/detail/', {'recipe' : '86', 'ingredient' : '102', 'name' : 'Jeera', 'mass_unit' : '', 'mass_quantity' : '0', 'volume_unit' : '1', 'volume_quantity' : '0.75', 'pieces_unit' : '', 'pieces_quantity' : '0', 'cooking_notes' : ''}).status_code; print('%s :: %s :: %s :: %s :: %s' %(a,371,'Jeera','jeera','Varai Pulav'))</t>
  </si>
  <si>
    <t xml:space="preserve">a = Client().post('/recipes/varai-pulav/detail/', {'recipe' : '86', 'ingredient' : '105', 'name' : 'kadi patta', 'mass_unit' : '', 'mass_quantity' : '0', 'volume_unit' : '1', 'volume_quantity' : '2', 'pieces_unit' : '', 'pieces_quantity' : '0', 'cooking_notes' : ''}).status_code; print('%s :: %s :: %s :: %s :: %s' %(a,372,'kadi patta','kadi patta','Varai Pulav'))</t>
  </si>
  <si>
    <t xml:space="preserve">a = Client().post('/recipes/varai-pulav/detail/', {'recipe' : '86', 'ingredient' : '79', 'name' : 'Gajar', 'mass_unit' : '2', 'mass_quantity' : '4', 'volume_unit' : '1', 'volume_quantity' : '5', 'pieces_unit' : '', 'pieces_quantity' : '0', 'cooking_notes' : ''}).status_code; print('%s :: %s :: %s :: %s :: %s' %(a,373,'Gajar','gajar','Varai Pulav'))</t>
  </si>
  <si>
    <t xml:space="preserve">a = Client().post('/recipes/varai-pulav/detail/', {'recipe' : '86', 'ingredient' : '39', 'name' : 'Cabbage', 'mass_unit' : '2', 'mass_quantity' : '12', 'volume_unit' : '1', 'volume_quantity' : '30', 'pieces_unit' : '', 'pieces_quantity' : '0', 'cooking_notes' : ''}).status_code; print('%s :: %s :: %s :: %s :: %s' %(a,375,'Cabbage','cabbage','Varai Pulav'))</t>
  </si>
  <si>
    <t xml:space="preserve">a = Client().post('/recipes/varai-pulav/detail/', {'recipe' : '86', 'ingredient' : '42', 'name' : 'Capsicum', 'mass_unit' : '2', 'mass_quantity' : '3.5', 'volume_unit' : '1', 'volume_quantity' : '5', 'pieces_unit' : '', 'pieces_quantity' : '0', 'cooking_notes' : ''}).status_code; print('%s :: %s :: %s :: %s :: %s' %(a,377,'Capsicum','capsicum','Varai Pulav'))</t>
  </si>
  <si>
    <t xml:space="preserve">a = Client().post('/recipes/varai-pulav/detail/', {'recipe' : '86', 'ingredient' : '78', 'name' : 'Flower', 'mass_unit' : '2', 'mass_quantity' : '20', 'volume_unit' : '', 'volume_quantity' : '0', 'pieces_unit' : '', 'pieces_quantity' : '0', 'cooking_notes' : ''}).status_code; print('%s :: %s :: %s :: %s :: %s' %(a,379,'Flower','flower','Varai Pulav'))</t>
  </si>
  <si>
    <t xml:space="preserve">a = Client().post('/recipes/varai-pulav/detail/', {'recipe' : '86', 'ingredient' : '177', 'name' : 'Salt', 'mass_unit' : '', 'mass_quantity' : '0', 'volume_unit' : '5', 'volume_quantity' : '4', 'pieces_unit' : '', 'pieces_quantity' : '0', 'cooking_notes' : ''}).status_code; print('%s :: %s :: %s :: %s :: %s' %(a,380,'Salt','salt','Varai Pulav'))</t>
  </si>
  <si>
    <t xml:space="preserve">a = Client().post('/recipes/varai-pulav/detail/', {'recipe' : '86', 'ingredient' : '74', 'name' : 'Everest Pulav Masala', 'mass_unit' : '', 'mass_quantity' : '0', 'volume_unit' : '5', 'volume_quantity' : '2', 'pieces_unit' : '', 'pieces_quantity' : '0', 'cooking_notes' : ''}).status_code; print('%s :: %s :: %s :: %s :: %s' %(a,381,'Everest Pulav Masala','everest pulav masala','Varai Pulav'))</t>
  </si>
  <si>
    <t xml:space="preserve">a = Client().post('/recipes/varai-pulav/detail/', {'recipe' : '86', 'ingredient' : '97', 'name' : 'Hot water', 'mass_unit' : '', 'mass_quantity' : '0', 'volume_unit' : '1', 'volume_quantity' : '60', 'pieces_unit' : '', 'pieces_quantity' : '0', 'cooking_notes' : ''}).status_code; print('%s :: %s :: %s :: %s :: %s' %(a,382,'Hot water','hot water','Varai Pulav'))</t>
  </si>
  <si>
    <t xml:space="preserve">a = Client().post('/recipes/varai-pulav/detail/', {'recipe' : '86', 'ingredient' : '187', 'name' : 'sugar', 'mass_unit' : '', 'mass_quantity' : '0', 'volume_unit' : '5', 'volume_quantity' : '4', 'pieces_unit' : '', 'pieces_quantity' : '0', 'cooking_notes' : ''}).status_code; print('%s :: %s :: %s :: %s :: %s' %(a,383,'sugar','sugar','Varai Pulav'))</t>
  </si>
  <si>
    <t xml:space="preserve">a = Client().post('/recipes/sweet-corn-italia/detail/', {'recipe' : '76', 'ingredient' : '188', 'name' : 'Sweet corn (boiled)', 'mass_unit' : '2', 'mass_quantity' : '11.9', 'volume_unit' : '', 'volume_quantity' : '0', 'pieces_unit' : '', 'pieces_quantity' : '0', 'cooking_notes' : '(small size corn preferred)'}).status_code; print('%s :: %s :: %s :: %s :: %s' %(a,387,'Sweet corn (boiled)','sweet corn','Sweet Corn Italia'))</t>
  </si>
  <si>
    <t xml:space="preserve">a = Client().post('/recipes/sweet-corn-italia/detail/', {'recipe' : '76', 'ingredient' : '168', 'name' : 'Red capsicum ', 'mass_unit' : '2', 'mass_quantity' : '3.5', 'volume_unit' : '', 'volume_quantity' : '0', 'pieces_unit' : '', 'pieces_quantity' : '0', 'cooking_notes' : '(small square sauteed)'}).status_code; print('%s :: %s :: %s :: %s :: %s' %(a,388,'Red capsicum ','red capsicum','Sweet Corn Italia'))</t>
  </si>
  <si>
    <t xml:space="preserve">a = Client().post('/recipes/sweet-corn-italia/detail/', {'recipe' : '76', 'ingredient' : '84', 'name' : 'Green capsicum', 'mass_unit' : '2', 'mass_quantity' : '3.5', 'volume_unit' : '', 'volume_quantity' : '0', 'pieces_unit' : '', 'pieces_quantity' : '0', 'cooking_notes' : '(small square sauteed)'}).status_code; print('%s :: %s :: %s :: %s :: %s' %(a,389,'Green capsicum','green capsicum','Sweet Corn Italia'))</t>
  </si>
  <si>
    <t xml:space="preserve">a = Client().post('/recipes/sweet-corn-italia/detail/', {'recipe' : '76', 'ingredient' : '54', 'name' : 'Coconut (grated, medium jaali)', 'mass_unit' : '', 'mass_quantity' : '0', 'volume_unit' : '', 'volume_quantity' : '0', 'pieces_unit' : '3', 'pieces_quantity' : '7', 'cooking_notes' : ''}).status_code; print('%s :: %s :: %s :: %s :: %s' %(a,391,'Coconut (grated, medium jaali)','coconut','Sweet Corn Italia'))</t>
  </si>
  <si>
    <t xml:space="preserve">a = Client().post('/recipes/sweet-corn-italia/detail/', {'recipe' : '76', 'ingredient' : '145', 'name' : 'Boiled milk', 'mass_unit' : '', 'mass_quantity' : '0', 'volume_unit' : '1', 'volume_quantity' : '11.55', 'pieces_unit' : '', 'pieces_quantity' : '0', 'cooking_notes' : ''}).status_code; print('%s :: %s :: %s :: %s :: %s' %(a,392,'Boiled milk','milk','Sweet Corn Italia'))</t>
  </si>
  <si>
    <t xml:space="preserve">a = Client().post('/recipes/sweet-corn-italia/detail/', {'recipe' : '76', 'ingredient' : '107', 'name' : 'Boiled Kaju paste', 'mass_unit' : '2', 'mass_quantity' : '0.91', 'volume_unit' : '', 'volume_quantity' : '0', 'pieces_unit' : '', 'pieces_quantity' : '0', 'cooking_notes' : ''}).status_code; print('%s :: %s :: %s :: %s :: %s' %(a,393,'Boiled Kaju paste','kaju','Sweet Corn Italia'))</t>
  </si>
  <si>
    <t xml:space="preserve">a = Client().post('/recipes/sweet-corn-italia/detail/', {'recipe' : '76', 'ingredient' : '38', 'name' : 'Butter', 'mass_unit' : '', 'mass_quantity' : '0', 'volume_unit' : '1', 'volume_quantity' : '1.05', 'pieces_unit' : '', 'pieces_quantity' : '0', 'cooking_notes' : ''}).status_code; print('%s :: %s :: %s :: %s :: %s' %(a,394,'Butter','butter','Sweet Corn Italia'))</t>
  </si>
  <si>
    <t xml:space="preserve">a = Client().post('/recipes/sweet-corn-italia/detail/', {'recipe' : '76', 'ingredient' : '95', 'name' : 'Hing', 'mass_unit' : '', 'mass_quantity' : '0', 'volume_unit' : '5', 'volume_quantity' : '0.35', 'pieces_unit' : '', 'pieces_quantity' : '0', 'cooking_notes' : ''}).status_code; print('%s :: %s :: %s :: %s :: %s' %(a,395,'Hing','hing','Sweet Corn Italia'))</t>
  </si>
  <si>
    <t xml:space="preserve">a = Client().post('/recipes/sweet-corn-italia/detail/', {'recipe' : '76', 'ingredient' : '93', 'name' : 'Hari mirchi split in 2', 'mass_unit' : '', 'mass_quantity' : '0', 'volume_unit' : '5', 'volume_quantity' : '1.05', 'pieces_unit' : '', 'pieces_quantity' : '0', 'cooking_notes' : ''}).status_code; print('%s :: %s :: %s :: %s :: %s' %(a,396,'Hari mirchi split in 2','hari mirchi','Sweet Corn Italia'))</t>
  </si>
  <si>
    <t xml:space="preserve">a = Client().post('/recipes/sweet-corn-italia/detail/', {'recipe' : '76', 'ingredient' : '31', 'name' : 'Black pepper pwd', 'mass_unit' : '', 'mass_quantity' : '0', 'volume_unit' : '5', 'volume_quantity' : '0.7', 'pieces_unit' : '', 'pieces_quantity' : '0', 'cooking_notes' : ''}).status_code; print('%s :: %s :: %s :: %s :: %s' %(a,397,'Black pepper pwd','black pepper','Sweet Corn Italia'))</t>
  </si>
  <si>
    <t xml:space="preserve">a = Client().post('/recipes/sweet-corn-italia/detail/', {'recipe' : '76', 'ingredient' : '37', 'name' : 'Brown sugar (bluebird) or', 'mass_unit' : '', 'mass_quantity' : '0', 'volume_unit' : '5', 'volume_quantity' : '3.85', 'pieces_unit' : '', 'pieces_quantity' : '0', 'cooking_notes' : ''}).status_code; print('%s :: %s :: %s :: %s :: %s' %(a,398,'Brown sugar (bluebird) or','brown sugar','Sweet Corn Italia'))</t>
  </si>
  <si>
    <t xml:space="preserve">a = Client().post('/recipes/sweet-corn-italia/detail/', {'recipe' : '76', 'ingredient' : '37', 'name' : 'Brown sugar (bluebird)', 'mass_unit' : '2', 'mass_quantity' : '0.6', 'volume_unit' : '', 'volume_quantity' : '0', 'pieces_unit' : '', 'pieces_quantity' : '0', 'cooking_notes' : ''}).status_code; print('%s :: %s :: %s :: %s :: %s' %(a,399,'Brown sugar (bluebird)','brown sugar','Sweet Corn Italia'))</t>
  </si>
  <si>
    <t xml:space="preserve">a = Client().post('/recipes/sweet-corn-italia/detail/', {'recipe' : '76', 'ingredient' : '24', 'name' : 'Basil leaves', 'mass_unit' : '', 'mass_quantity' : '0', 'volume_unit' : '1', 'volume_quantity' : '2.45', 'pieces_unit' : '', 'pieces_quantity' : '0', 'cooking_notes' : ''}).status_code; print('%s :: %s :: %s :: %s :: %s' %(a,400,'Basil leaves','basil leaves','Sweet Corn Italia'))</t>
  </si>
  <si>
    <t xml:space="preserve">a = Client().post('/recipes/sweet-corn-italia/detail/', {'recipe' : '76', 'ingredient' : '56', 'name' : 'Boiled corn water', 'mass_unit' : '', 'mass_quantity' : '0', 'volume_unit' : '1', 'volume_quantity' : '0.7', 'pieces_unit' : '', 'pieces_quantity' : '0', 'cooking_notes' : ''}).status_code; print('%s :: %s :: %s :: %s :: %s' %(a,401,'Boiled corn water','corn','Sweet Corn Italia'))</t>
  </si>
  <si>
    <t xml:space="preserve">a = Client().post('/recipes/sweet-corn-italia/detail/', {'recipe' : '76', 'ingredient' : '57', 'name' : 'Corn flour', 'mass_unit' : '', 'mass_quantity' : '0', 'volume_unit' : '5', 'volume_quantity' : '1.75', 'pieces_unit' : '', 'pieces_quantity' : '0', 'cooking_notes' : ''}).status_code; print('%s :: %s :: %s :: %s :: %s' %(a,402,'Corn flour','corn flour','Sweet Corn Italia'))</t>
  </si>
  <si>
    <t xml:space="preserve">a = Client().post('/recipes/sweet-corn-italia/detail/', {'recipe' : '76', 'ingredient' : '76', 'name' : 'EVOO', 'mass_unit' : '', 'mass_quantity' : '0', 'volume_unit' : '1', 'volume_quantity' : '0.7', 'pieces_unit' : '', 'pieces_quantity' : '0', 'cooking_notes' : ''}).status_code; print('%s :: %s :: %s :: %s :: %s' %(a,403,'EVOO','evoo','Sweet Corn Italia'))</t>
  </si>
  <si>
    <t xml:space="preserve">a = Client().post('/recipes/sweet-corn-italia/detail/', {'recipe' : '76', 'ingredient' : '177', 'name' : 'Salt', 'mass_unit' : '', 'mass_quantity' : '0', 'volume_unit' : '5', 'volume_quantity' : '1.4', 'pieces_unit' : '', 'pieces_quantity' : '0', 'cooking_notes' : ''}).status_code; print('%s :: %s :: %s :: %s :: %s' %(a,404,'Salt','salt','Sweet Corn Italia'))</t>
  </si>
  <si>
    <t xml:space="preserve">a = Client().post('/recipes/italian-salad/detail/', {'recipe' : '32', 'ingredient' : '133', 'name' : 'Lettuce (cut big size)', 'mass_unit' : '2', 'mass_quantity' : '7', 'volume_unit' : '1', 'volume_quantity' : '35', 'pieces_unit' : '', 'pieces_quantity' : '0', 'cooking_notes' : 'Mix lemon juice &amp; olive oil before adding to salad'}).status_code; print('%s :: %s :: %s :: %s :: %s' %(a,409,'Lettuce (cut big size)','lettuce','Italian Salad'))</t>
  </si>
  <si>
    <t xml:space="preserve">a = Client().post('/recipes/italian-salad/detail/', {'recipe' : '32', 'ingredient' : '79', 'name' : 'Gajar (grated)', 'mass_unit' : '2', 'mass_quantity' : '2.333', 'volume_unit' : '1', 'volume_quantity' : '3.267', 'pieces_unit' : '', 'pieces_quantity' : '0', 'cooking_notes' : ''}).status_code; print('%s :: %s :: %s :: %s :: %s' %(a,411,'Gajar (grated)','gajar','Italian Salad'))</t>
  </si>
  <si>
    <t xml:space="preserve">a = Client().post('/recipes/italian-salad/detail/', {'recipe' : '32', 'ingredient' : '50', 'name' : 'Cherry tomato (cut half)', 'mass_unit' : '2', 'mass_quantity' : '3.5', 'volume_unit' : '1', 'volume_quantity' : '4.667', 'pieces_unit' : '', 'pieces_quantity' : '0', 'cooking_notes' : ''}).status_code; print('%s :: %s :: %s :: %s :: %s' %(a,413,'Cherry tomato (cut half)','cherry tomato','Italian Salad'))</t>
  </si>
  <si>
    <t xml:space="preserve">a = Client().post('/recipes/italian-salad/detail/', {'recipe' : '32', 'ingredient' : '7', 'name' : 'Roasted Almonds (cut 1-4)', 'mass_unit' : '', 'mass_quantity' : '0', 'volume_unit' : '1', 'volume_quantity' : '2.333', 'pieces_unit' : '', 'pieces_quantity' : '0', 'cooking_notes' : ''}).status_code; print('%s :: %s :: %s :: %s :: %s' %(a,415,'Roasted Almonds (cut 1-4)','almonds','Italian Salad'))</t>
  </si>
  <si>
    <t xml:space="preserve">a = Client().post('/recipes/italian-salad/detail/', {'recipe' : '32', 'ingredient' : '76', 'name' : 'EVOO', 'mass_unit' : '', 'mass_quantity' : '0', 'volume_unit' : '1', 'volume_quantity' : '1.167', 'pieces_unit' : '', 'pieces_quantity' : '0', 'cooking_notes' : ''}).status_code; print('%s :: %s :: %s :: %s :: %s' %(a,416,'EVOO','evoo','Italian Salad'))</t>
  </si>
  <si>
    <t xml:space="preserve">a = Client().post('/recipes/italian-salad/detail/', {'recipe' : '32', 'ingredient' : '129', 'name' : 'Lemon juice', 'mass_unit' : '', 'mass_quantity' : '0', 'volume_unit' : '5', 'volume_quantity' : '1', 'pieces_unit' : '', 'pieces_quantity' : '0', 'cooking_notes' : ''}).status_code; print('%s :: %s :: %s :: %s :: %s' %(a,417,'Lemon juice','lemon','Italian Salad'))</t>
  </si>
  <si>
    <t xml:space="preserve">a = Client().post('/recipes/italian-salad/detail/', {'recipe' : '32', 'ingredient' : '177', 'name' : 'salt for roasting almonds', 'mass_unit' : '', 'mass_quantity' : '0', 'volume_unit' : '5', 'volume_quantity' : '0.5', 'pieces_unit' : '', 'pieces_quantity' : '0', 'cooking_notes' : ''}).status_code; print('%s :: %s :: %s :: %s :: %s' %(a,420,'salt for roasting almonds','salt','Italian Salad'))</t>
  </si>
  <si>
    <t xml:space="preserve">a = Client().post('/recipes/jeera-rice/detail/', {'recipe' : '34', 'ingredient' : '170', 'name' : 'Rice', 'mass_unit' : '2', 'mass_quantity' : '25', 'volume_unit' : '', 'volume_quantity' : '0', 'pieces_unit' : '', 'pieces_quantity' : '0', 'cooking_notes' : ''}).status_code; print('%s :: %s :: %s :: %s :: %s' %(a,424,'Rice','rice','Jeera Rice'))</t>
  </si>
  <si>
    <t xml:space="preserve">a = Client().post('/recipes/jeera-rice/detail/', {'recipe' : '34', 'ingredient' : '81', 'name' : 'Ghee ', 'mass_unit' : '', 'mass_quantity' : '0', 'volume_unit' : '1', 'volume_quantity' : '4', 'pieces_unit' : '', 'pieces_quantity' : '0', 'cooking_notes' : ''}).status_code; print('%s :: %s :: %s :: %s :: %s' %(a,425,'Ghee ','ghee','Jeera Rice'))</t>
  </si>
  <si>
    <t xml:space="preserve">a = Client().post('/recipes/jeera-rice/detail/', {'recipe' : '34', 'ingredient' : '102', 'name' : 'Jeera', 'mass_unit' : '', 'mass_quantity' : '0', 'volume_unit' : '1', 'volume_quantity' : '2', 'pieces_unit' : '', 'pieces_quantity' : '0', 'cooking_notes' : ''}).status_code; print('%s :: %s :: %s :: %s :: %s' %(a,426,'Jeera','jeera','Jeera Rice'))</t>
  </si>
  <si>
    <t xml:space="preserve">a = Client().post('/recipes/jeera-rice/detail/', {'recipe' : '34', 'ingredient' : '108', 'name' : 'Kaju half', 'mass_unit' : '', 'mass_quantity' : '0', 'volume_unit' : '1', 'volume_quantity' : '5', 'pieces_unit' : '', 'pieces_quantity' : '0', 'cooking_notes' : ''}).status_code; print('%s :: %s :: %s :: %s :: %s' %(a,427,'Kaju half','kaju half','Jeera Rice'))</t>
  </si>
  <si>
    <t xml:space="preserve">a = Client().post('/recipes/jeera-rice/detail/', {'recipe' : '34', 'ingredient' : '93', 'name' : 'Hari Mirchi split in 2', 'mass_unit' : '', 'mass_quantity' : '0', 'volume_unit' : '1', 'volume_quantity' : '1', 'pieces_unit' : '', 'pieces_quantity' : '0', 'cooking_notes' : ''}).status_code; print('%s :: %s :: %s :: %s :: %s' %(a,428,'Hari Mirchi split in 2','hari mirchi','Jeera Rice'))</t>
  </si>
  <si>
    <t xml:space="preserve">a = Client().post('/recipes/jeera-rice/detail/', {'recipe' : '34', 'ingredient' : '66', 'name' : 'Dhania Patta', 'mass_unit' : '', 'mass_quantity' : '0', 'volume_unit' : '1', 'volume_quantity' : '10', 'pieces_unit' : '', 'pieces_quantity' : '0', 'cooking_notes' : ''}).status_code; print('%s :: %s :: %s :: %s :: %s' %(a,429,'Dhania Patta','dhaniya patta','Jeera Rice'))</t>
  </si>
  <si>
    <t xml:space="preserve">a = Client().post('/recipes/jeera-rice/detail/', {'recipe' : '34', 'ingredient' : '177', 'name' : 'Salt', 'mass_unit' : '', 'mass_quantity' : '0', 'volume_unit' : '5', 'volume_quantity' : '5', 'pieces_unit' : '', 'pieces_quantity' : '0', 'cooking_notes' : ''}).status_code; print('%s :: %s :: %s :: %s :: %s' %(a,430,'Salt','salt','Jeera Rice'))</t>
  </si>
  <si>
    <t xml:space="preserve">a = Client().post('/recipes/matar-ki-dal/detail/', {'recipe' : '45', 'ingredient' : '141', 'name' : 'Matar ki dal', 'mass_unit' : '2', 'mass_quantity' : '6.3', 'volume_unit' : '', 'volume_quantity' : '0', 'pieces_unit' : '', 'pieces_quantity' : '0', 'cooking_notes' : ''}).status_code; print('%s :: %s :: %s :: %s :: %s' %(a,434,'Matar ki dal','matar ki dal','Matar Ki Dal'))</t>
  </si>
  <si>
    <t xml:space="preserve">a = Client().post('/recipes/matar-ki-dal/detail/', {'recipe' : '45', 'ingredient' : '81', 'name' : 'Ghee', 'mass_unit' : '', 'mass_quantity' : '0', 'volume_unit' : '1', 'volume_quantity' : '1', 'pieces_unit' : '', 'pieces_quantity' : '0', 'cooking_notes' : ''}).status_code; print('%s :: %s :: %s :: %s :: %s' %(a,435,'Ghee','ghee','Matar Ki Dal'))</t>
  </si>
  <si>
    <t xml:space="preserve">a = Client().post('/recipes/matar-ki-dal/detail/', {'recipe' : '45', 'ingredient' : '102', 'name' : 'Jeera', 'mass_unit' : '', 'mass_quantity' : '0', 'volume_unit' : '5', 'volume_quantity' : '0.6', 'pieces_unit' : '', 'pieces_quantity' : '0', 'cooking_notes' : ''}).status_code; print('%s :: %s :: %s :: %s :: %s' %(a,436,'Jeera','jeera','Matar Ki Dal'))</t>
  </si>
  <si>
    <t xml:space="preserve">a = Client().post('/recipes/matar-ki-dal/detail/', {'recipe' : '45', 'ingredient' : '93', 'name' : 'Hari mirchi split in 2', 'mass_unit' : '', 'mass_quantity' : '0', 'volume_unit' : '5', 'volume_quantity' : '0.8', 'pieces_unit' : '', 'pieces_quantity' : '0', 'cooking_notes' : ''}).status_code; print('%s :: %s :: %s :: %s :: %s' %(a,437,'Hari mirchi split in 2','hari mirchi','Matar Ki Dal'))</t>
  </si>
  <si>
    <t xml:space="preserve">a = Client().post('/recipes/matar-ki-dal/detail/', {'recipe' : '45', 'ingredient' : '1', 'name' : 'Adrak paste', 'mass_unit' : '', 'mass_quantity' : '0', 'volume_unit' : '1', 'volume_quantity' : '0.4', 'pieces_unit' : '', 'pieces_quantity' : '0', 'cooking_notes' : ''}).status_code; print('%s :: %s :: %s :: %s :: %s' %(a,438,'Adrak paste','adrak','Matar Ki Dal'))</t>
  </si>
  <si>
    <t xml:space="preserve">a = Client().post('/recipes/matar-ki-dal/detail/', {'recipe' : '45', 'ingredient' : '195', 'name' : 'Tomato', 'mass_unit' : '2', 'mass_quantity' : '4', 'volume_unit' : '', 'volume_quantity' : '0', 'pieces_unit' : '', 'pieces_quantity' : '0', 'cooking_notes' : ''}).status_code; print('%s :: %s :: %s :: %s :: %s' %(a,439,'Tomato','tomato','Matar Ki Dal'))</t>
  </si>
  <si>
    <t xml:space="preserve">a = Client().post('/recipes/matar-ki-dal/detail/', {'recipe' : '45', 'ingredient' : '135', 'name' : 'Red chilli pwd', 'mass_unit' : '', 'mass_quantity' : '0', 'volume_unit' : '5', 'volume_quantity' : '0.16', 'pieces_unit' : '', 'pieces_quantity' : '0', 'cooking_notes' : ''}).status_code; print('%s :: %s :: %s :: %s :: %s' %(a,440,'Red chilli pwd','madrasi mirchi powder','Matar Ki Dal'))</t>
  </si>
  <si>
    <t xml:space="preserve">a = Client().post('/recipes/matar-ki-dal/detail/', {'recipe' : '45', 'ingredient' : '91', 'name' : 'Haldi', 'mass_unit' : '', 'mass_quantity' : '0', 'volume_unit' : '5', 'volume_quantity' : '0.56', 'pieces_unit' : '', 'pieces_quantity' : '0', 'cooking_notes' : ''}).status_code; print('%s :: %s :: %s :: %s :: %s' %(a,441,'Haldi','haldi','Matar Ki Dal'))</t>
  </si>
  <si>
    <t xml:space="preserve">a = Client().post('/recipes/matar-ki-dal/detail/', {'recipe' : '45', 'ingredient' : '177', 'name' : 'Salt ', 'mass_unit' : '', 'mass_quantity' : '0', 'volume_unit' : '5', 'volume_quantity' : '0.8', 'pieces_unit' : '', 'pieces_quantity' : '0', 'cooking_notes' : ''}).status_code; print('%s :: %s :: %s :: %s :: %s' %(a,442,'Salt ','salt','Matar Ki Dal'))</t>
  </si>
  <si>
    <t xml:space="preserve">a = Client().post('/recipes/matar-ki-dal/detail/', {'recipe' : '45', 'ingredient' : '212', 'name' : 'Tadka', 'mass_unit' : '2', 'mass_quantity' : '0', 'volume_unit' : '', 'volume_quantity' : '0', 'pieces_unit' : '', 'pieces_quantity' : '0', 'cooking_notes' : ''}).status_code; print('%s :: %s :: %s :: %s :: %s' %(a,443,'Tadka','tadka','Matar Ki Dal'))</t>
  </si>
  <si>
    <t xml:space="preserve">a = Client().post('/recipes/matar-ki-dal/detail/', {'recipe' : '45', 'ingredient' : '81', 'name' : 'Ghee ', 'mass_unit' : '', 'mass_quantity' : '0', 'volume_unit' : '1', 'volume_quantity' : '0.5', 'pieces_unit' : '', 'pieces_quantity' : '0', 'cooking_notes' : ''}).status_code; print('%s :: %s :: %s :: %s :: %s' %(a,444,'Ghee ','ghee','Matar Ki Dal'))</t>
  </si>
  <si>
    <t xml:space="preserve">a = Client().post('/recipes/matar-ki-dal/detail/', {'recipe' : '45', 'ingredient' : '164', 'name' : 'Rai', 'mass_unit' : '', 'mass_quantity' : '0', 'volume_unit' : '5', 'volume_quantity' : '0.8', 'pieces_unit' : '', 'pieces_quantity' : '0', 'cooking_notes' : ''}).status_code; print('%s :: %s :: %s :: %s :: %s' %(a,445,'Rai','rai','Matar Ki Dal'))</t>
  </si>
  <si>
    <t xml:space="preserve">a = Client().post('/recipes/matar-ki-dal/detail/', {'recipe' : '45', 'ingredient' : '135', 'name' : 'Madrasi Mirchi', 'mass_unit' : '', 'mass_quantity' : '0', 'volume_unit' : '5', 'volume_quantity' : '0.8', 'pieces_unit' : '', 'pieces_quantity' : '0', 'cooking_notes' : ''}).status_code; print('%s :: %s :: %s :: %s :: %s' %(a,446,'Madrasi Mirchi','madrasi mirchi powder','Matar Ki Dal'))</t>
  </si>
  <si>
    <t xml:space="preserve">a = Client().post('/recipes/matar-ki-dal/detail/', {'recipe' : '45', 'ingredient' : '95', 'name' : 'Hing ', 'mass_unit' : '', 'mass_quantity' : '0', 'volume_unit' : '5', 'volume_quantity' : '0.4', 'pieces_unit' : '', 'pieces_quantity' : '0', 'cooking_notes' : ''}).status_code; print('%s :: %s :: %s :: %s :: %s' %(a,447,'Hing ','hing','Matar Ki Dal'))</t>
  </si>
  <si>
    <t xml:space="preserve">a = Client().post('/recipes/matar-ki-dal/detail/', {'recipe' : '45', 'ingredient' : '105', 'name' : 'Kadi patta', 'mass_unit' : '', 'mass_quantity' : '0', 'volume_unit' : '1', 'volume_quantity' : '0.8', 'pieces_unit' : '', 'pieces_quantity' : '0', 'cooking_notes' : ''}).status_code; print('%s :: %s :: %s :: %s :: %s' %(a,448,'Kadi patta','kadi patta','Matar Ki Dal'))</t>
  </si>
  <si>
    <t xml:space="preserve">a = Client().post('/recipes/matar-ki-dal/detail/', {'recipe' : '45', 'ingredient' : '66', 'name' : 'Dhania Patta ', 'mass_unit' : '', 'mass_quantity' : '0', 'volume_unit' : '1', 'volume_quantity' : '0.8', 'pieces_unit' : '', 'pieces_quantity' : '0', 'cooking_notes' : ''}).status_code; print('%s :: %s :: %s :: %s :: %s' %(a,449,'Dhania Patta ','dhaniya patta','Matar Ki Dal'))</t>
  </si>
  <si>
    <t xml:space="preserve">a = Client().post('/recipes/matar-ki-dal/detail/', {'recipe' : '45', 'ingredient' : '103', 'name' : 'Jeera pwd', 'mass_unit' : '', 'mass_quantity' : '0', 'volume_unit' : '5', 'volume_quantity' : '1.2', 'pieces_unit' : '', 'pieces_quantity' : '0', 'cooking_notes' : ''}).status_code; print('%s :: %s :: %s :: %s :: %s' %(a,450,'Jeera pwd','jeera powder','Matar Ki Dal'))</t>
  </si>
  <si>
    <t xml:space="preserve">a = Client().post('/recipes/matar-ki-dal/detail/', {'recipe' : '45', 'ingredient' : '67', 'name' : 'Dhania pwd', 'mass_unit' : '', 'mass_quantity' : '0', 'volume_unit' : '5', 'volume_quantity' : '1.2', 'pieces_unit' : '', 'pieces_quantity' : '0', 'cooking_notes' : ''}).status_code; print('%s :: %s :: %s :: %s :: %s' %(a,451,'Dhania pwd','dhaniya powder','Matar Ki Dal'))</t>
  </si>
  <si>
    <t xml:space="preserve">a = Client().post('/recipes/matar-ki-dal/detail/', {'recipe' : '45', 'ingredient' : '74', 'name' : 'Everest Pulav masala', 'mass_unit' : '', 'mass_quantity' : '0', 'volume_unit' : '5', 'volume_quantity' : '1', 'pieces_unit' : '', 'pieces_quantity' : '0', 'cooking_notes' : ''}).status_code; print('%s :: %s :: %s :: %s :: %s' %(a,452,'Everest Pulav masala','everest pulav masala','Matar Ki Dal'))</t>
  </si>
  <si>
    <t xml:space="preserve">a = Client().post('/recipes/matar-ki-dal/detail/', {'recipe' : '45', 'ingredient' : '129', 'name' : 'Lemon juice', 'mass_unit' : '', 'mass_quantity' : '0', 'volume_unit' : '5', 'volume_quantity' : '0.75', 'pieces_unit' : '', 'pieces_quantity' : '0', 'cooking_notes' : ''}).status_code; print('%s :: %s :: %s :: %s :: %s' %(a,453,'Lemon juice','lemon','Matar Ki Dal'))</t>
  </si>
  <si>
    <t xml:space="preserve">a = Client().post('/recipes/beans-tahini-sauce/detail/', {'recipe' : '8', 'ingredient' : '27', 'name' : 'Beans', 'mass_unit' : '2', 'mass_quantity' : '25', 'volume_unit' : '1', 'volume_quantity' : '43', 'pieces_unit' : '', 'pieces_quantity' : '0', 'cooking_notes' : ''}).status_code; print('%s :: %s :: %s :: %s :: %s' %(a,458,'Beans','beans','Beans Tahini Sauce'))</t>
  </si>
  <si>
    <t xml:space="preserve">a = Client().post('/recipes/beans-tahini-sauce/detail/', {'recipe' : '8', 'ingredient' : '24', 'name' : 'Basil leaves', 'mass_unit' : '2', 'mass_quantity' : '1', 'volume_unit' : '', 'volume_quantity' : '0', 'pieces_unit' : '', 'pieces_quantity' : '0', 'cooking_notes' : ''}).status_code; print('%s :: %s :: %s :: %s :: %s' %(a,461,'Basil leaves','basil leaves','Beans Tahini Sauce'))</t>
  </si>
  <si>
    <t xml:space="preserve">a = Client().post('/recipes/beans-tahini-sauce/detail/', {'recipe' : '8', 'ingredient' : '31', 'name' : 'Black Pepper pwd', 'mass_unit' : '', 'mass_quantity' : '0', 'volume_unit' : '5', 'volume_quantity' : '0.8', 'pieces_unit' : '', 'pieces_quantity' : '0', 'cooking_notes' : ''}).status_code; print('%s :: %s :: %s :: %s :: %s' %(a,462,'Black Pepper pwd','black pepper','Beans Tahini Sauce'))</t>
  </si>
  <si>
    <t xml:space="preserve">a = Client().post('/recipes/beans-tahini-sauce/detail/', {'recipe' : '8', 'ingredient' : '32', 'name' : 'Black Salt', 'mass_unit' : '', 'mass_quantity' : '0', 'volume_unit' : '5', 'volume_quantity' : '0.5', 'pieces_unit' : '', 'pieces_quantity' : '0', 'cooking_notes' : ''}).status_code; print('%s :: %s :: %s :: %s :: %s' %(a,463,'Black Salt','black salt','Beans Tahini Sauce'))</t>
  </si>
  <si>
    <t xml:space="preserve">a = Client().post('/recipes/beans-tahini-sauce/detail/', {'recipe' : '8', 'ingredient' : '38', 'name' : 'Butter (Makhan)/ EVOO', 'mass_unit' : '', 'mass_quantity' : '0', 'volume_unit' : '1', 'volume_quantity' : '0.5', 'pieces_unit' : '', 'pieces_quantity' : '0', 'cooking_notes' : ''}).status_code; print('%s :: %s :: %s :: %s :: %s' %(a,464,'Butter (Makhan)/ EVOO','butter','Beans Tahini Sauce'))</t>
  </si>
  <si>
    <t xml:space="preserve">a = Client().post('/recipes/beans-tahini-sauce/detail/', {'recipe' : '8', 'ingredient' : '95', 'name' : 'Hing (Asafoetida)', 'mass_unit' : '', 'mass_quantity' : '0', 'volume_unit' : '5', 'volume_quantity' : '0.5', 'pieces_unit' : '', 'pieces_quantity' : '0', 'cooking_notes' : ''}).status_code; print('%s :: %s :: %s :: %s :: %s' %(a,465,'Hing (Asafoetida)','hing','Beans Tahini Sauce'))</t>
  </si>
  <si>
    <t xml:space="preserve">a = Client().post('/recipes/beans-tahini-sauce/detail/', {'recipe' : '8', 'ingredient' : '177', 'name' : 'Salt (Namak)', 'mass_unit' : '', 'mass_quantity' : '0', 'volume_unit' : '5', 'volume_quantity' : '1', 'pieces_unit' : '', 'pieces_quantity' : '0', 'cooking_notes' : ''}).status_code; print('%s :: %s :: %s :: %s :: %s' %(a,466,'Salt (Namak)','salt','Beans Tahini Sauce'))</t>
  </si>
  <si>
    <t xml:space="preserve">a = Client().post('/recipes/beans-tahini-sauce/detail/', {'recipe' : '8', 'ingredient' : '195', 'name' : 'Tomato', 'mass_unit' : '2', 'mass_quantity' : '3', 'volume_unit' : '', 'volume_quantity' : '0', 'pieces_unit' : '', 'pieces_quantity' : '0', 'cooking_notes' : 'Chopped 1/2'''}).status_code; print('%s :: %s :: %s :: %s :: %s' %(a,467,'Tomato','tomato','Beans Tahini Sauce'))</t>
  </si>
  <si>
    <t xml:space="preserve">a = Client().post('/recipes/beans-tahini-sauce/detail/', {'recipe' : '8', 'ingredient' : '189', 'name' : 'Tahini paste', 'mass_unit' : '', 'mass_quantity' : '0', 'volume_unit' : '1', 'volume_quantity' : '2', 'pieces_unit' : '', 'pieces_quantity' : '0', 'cooking_notes' : ''}).status_code; print('%s :: %s :: %s :: %s :: %s' %(a,468,'Tahini paste','tahini paste','Beans Tahini Sauce'))</t>
  </si>
  <si>
    <t xml:space="preserve">a = Client().post('/recipes/tahini-paste/detail/', {'recipe' : '78', 'ingredient' : '76', 'name' : 'EVOO', 'mass_unit' : '', 'mass_quantity' : '0', 'volume_unit' : '1', 'volume_quantity' : '1', 'pieces_unit' : '', 'pieces_quantity' : '0', 'cooking_notes' : ''}).status_code; print('%s :: %s :: %s :: %s :: %s' %(a,473,'EVOO','evoo','Tahini paste'))</t>
  </si>
  <si>
    <t xml:space="preserve">a = Client().post('/recipes/tahini-paste/detail/', {'recipe' : '78', 'ingredient' : '206', 'name' : 'White Till ( Dry Roast light)', 'mass_unit' : '', 'mass_quantity' : '0', 'volume_unit' : '1', 'volume_quantity' : '2', 'pieces_unit' : '', 'pieces_quantity' : '0', 'cooking_notes' : ''}).status_code; print('%s :: %s :: %s :: %s :: %s' %(a,474,'White Till ( Dry Roast light)','white til','Tahini paste'))</t>
  </si>
  <si>
    <t xml:space="preserve">a = Client().post('/recipes/tahini-paste/detail/', {'recipe' : '78', 'ingredient' : '95', 'name' : 'Hing ', 'mass_unit' : '', 'mass_quantity' : '0', 'volume_unit' : '5', 'volume_quantity' : '0.2', 'pieces_unit' : '', 'pieces_quantity' : '0', 'cooking_notes' : ''}).status_code; print('%s :: %s :: %s :: %s :: %s' %(a,475,'Hing ','hing','Tahini paste'))</t>
  </si>
  <si>
    <t xml:space="preserve">a = Client().post('/recipes/tahini-paste/detail/', {'recipe' : '78', 'ingredient' : '31', 'name' : 'Black pepper  ', 'mass_unit' : '', 'mass_quantity' : '0', 'volume_unit' : '5', 'volume_quantity' : '0.5', 'pieces_unit' : '', 'pieces_quantity' : '0', 'cooking_notes' : ''}).status_code; print('%s :: %s :: %s :: %s :: %s' %(a,476,'Black pepper  ','black pepper','Tahini paste'))</t>
  </si>
  <si>
    <t xml:space="preserve">a = Client().post('/recipes/tahini-paste/detail/', {'recipe' : '78', 'ingredient' : '187', 'name' : 'Sugar ', 'mass_unit' : '', 'mass_quantity' : '0', 'volume_unit' : '5', 'volume_quantity' : '0.5', 'pieces_unit' : '', 'pieces_quantity' : '0', 'cooking_notes' : ''}).status_code; print('%s :: %s :: %s :: %s :: %s' %(a,477,'Sugar ','sugar','Tahini paste'))</t>
  </si>
  <si>
    <t xml:space="preserve">a = Client().post('/recipes/tahini-paste/detail/', {'recipe' : '78', 'ingredient' : '214', 'name' : 'Water ', 'mass_unit' : '', 'mass_quantity' : '0', 'volume_unit' : '1', 'volume_quantity' : '2', 'pieces_unit' : '', 'pieces_quantity' : '0', 'cooking_notes' : ''}).status_code; print('%s :: %s :: %s :: %s :: %s' %(a,478,'Water ','water','Tahini paste'))</t>
  </si>
  <si>
    <t xml:space="preserve">a = Client().post('/recipes/boondi-raita/detail/', {'recipe' : '11', 'ingredient' : '28', 'name' : 'Besan', 'mass_unit' : '2', 'mass_quantity' : '2', 'volume_unit' : '', 'volume_quantity' : '0', 'pieces_unit' : '', 'pieces_quantity' : '0', 'cooking_notes' : ''}).status_code; print('%s :: %s :: %s :: %s :: %s' %(a,482,'Besan','besan','Boondi raita'))</t>
  </si>
  <si>
    <t xml:space="preserve">a = Client().post('/recipes/boondi-raita/detail/', {'recipe' : '11', 'ingredient' : '34', 'name' : 'Boondi', 'mass_unit' : '', 'mass_quantity' : '0', 'volume_unit' : '1', 'volume_quantity' : '8', 'pieces_unit' : '', 'pieces_quantity' : '0', 'cooking_notes' : ''}).status_code; print('%s :: %s :: %s :: %s :: %s' %(a,483,'Boondi','boondi','Boondi raita'))</t>
  </si>
  <si>
    <t xml:space="preserve">a = Client().post('/recipes/boondi-raita/detail/', {'recipe' : '11', 'ingredient' : '102', 'name' : 'Roasted jeera powder', 'mass_unit' : '', 'mass_quantity' : '0', 'volume_unit' : '5', 'volume_quantity' : '2.5', 'pieces_unit' : '', 'pieces_quantity' : '0', 'cooking_notes' : ''}).status_code; print('%s :: %s :: %s :: %s :: %s' %(a,484,'Roasted jeera powder','jeera','Boondi raita'))</t>
  </si>
  <si>
    <t xml:space="preserve">a = Client().post('/recipes/boondi-raita/detail/', {'recipe' : '11', 'ingredient' : '134', 'name' : 'Roasted mirchi powder', 'mass_unit' : '', 'mass_quantity' : '0', 'volume_unit' : '5', 'volume_quantity' : '0.5', 'pieces_unit' : '', 'pieces_quantity' : '0', 'cooking_notes' : ''}).status_code; print('%s :: %s :: %s :: %s :: %s' %(a,485,'Roasted mirchi powder','madrasi mirchi akkaha','Boondi raita'))</t>
  </si>
  <si>
    <t xml:space="preserve">a = Client().post('/recipes/boondi-raita/detail/', {'recipe' : '11', 'ingredient' : '177', 'name' : 'Salt', 'mass_unit' : '', 'mass_quantity' : '0', 'volume_unit' : '5', 'volume_quantity' : '1.75', 'pieces_unit' : '', 'pieces_quantity' : '0', 'cooking_notes' : ''}).status_code; print('%s :: %s :: %s :: %s :: %s' %(a,486,'Salt','salt','Boondi raita'))</t>
  </si>
  <si>
    <t xml:space="preserve">a = Client().post('/recipes/boondi-raita/detail/', {'recipe' : '11', 'ingredient' : '187', 'name' : 'Sugar', 'mass_unit' : '', 'mass_quantity' : '0', 'volume_unit' : '5', 'volume_quantity' : '3', 'pieces_unit' : '', 'pieces_quantity' : '0', 'cooking_notes' : ''}).status_code; print('%s :: %s :: %s :: %s :: %s' %(a,487,'Sugar','sugar','Boondi raita'))</t>
  </si>
  <si>
    <t xml:space="preserve">a = Client().post('/recipes/boondi-raita/detail/', {'recipe' : '11', 'ingredient' : '162', 'name' : 'Pudina', 'mass_unit' : '', 'mass_quantity' : '0', 'volume_unit' : '1', 'volume_quantity' : '1.5', 'pieces_unit' : '', 'pieces_quantity' : '0', 'cooking_notes' : ''}).status_code; print('%s :: %s :: %s :: %s :: %s' %(a,488,'Pudina','pudina','Boondi raita'))</t>
  </si>
  <si>
    <t xml:space="preserve">a = Client().post('/recipes/boondi-raita/detail/', {'recipe' : '11', 'ingredient' : '66', 'name' : 'Dhaniya patta', 'mass_unit' : '', 'mass_quantity' : '0', 'volume_unit' : '1', 'volume_quantity' : '1', 'pieces_unit' : '', 'pieces_quantity' : '0', 'cooking_notes' : ''}).status_code; print('%s :: %s :: %s :: %s :: %s' %(a,489,'Dhaniya patta','dhaniya patta','Boondi raita'))</t>
  </si>
  <si>
    <t xml:space="preserve">a = Client().post('/recipes/boondi-raita/detail/', {'recipe' : '11', 'ingredient' : '59', 'name' : 'Dahi', 'mass_unit' : '', 'mass_quantity' : '0', 'volume_unit' : '1', 'volume_quantity' : '20', 'pieces_unit' : '', 'pieces_quantity' : '0', 'cooking_notes' : ''}).status_code; print('%s :: %s :: %s :: %s :: %s' %(a,490,'Dahi','dahi','Boondi raita'))</t>
  </si>
  <si>
    <t xml:space="preserve">a = Client().post('/recipes/boondi-raita/detail/', {'recipe' : '11', 'ingredient' : '214', 'name' : 'Water', 'mass_unit' : '', 'mass_quantity' : '0', 'volume_unit' : '1', 'volume_quantity' : '5', 'pieces_unit' : '', 'pieces_quantity' : '0', 'cooking_notes' : ''}).status_code; print('%s :: %s :: %s :: %s :: %s' %(a,491,'Water','water','Boondi raita'))</t>
  </si>
  <si>
    <t xml:space="preserve">a = Client().post('/recipes/dahi-rice/detail/', {'recipe' : '15', 'ingredient' : '170', 'name' : 'Rice (small fine grain)', 'mass_unit' : '2', 'mass_quantity' : '4', 'volume_unit' : '', 'volume_quantity' : '0', 'pieces_unit' : '', 'pieces_quantity' : '0', 'cooking_notes' : ''}).status_code; print('%s :: %s :: %s :: %s :: %s' %(a,497,'Rice (small fine grain)','rice','Dahi  Rice'))</t>
  </si>
  <si>
    <t xml:space="preserve">a = Client().post('/recipes/dahi-rice/detail/', {'recipe' : '15', 'ingredient' : '59', 'name' : 'Dahi', 'mass_unit' : '2', 'mass_quantity' : '10', 'volume_unit' : '', 'volume_quantity' : '0', 'pieces_unit' : '', 'pieces_quantity' : '0', 'cooking_notes' : ''}).status_code; print('%s :: %s :: %s :: %s :: %s' %(a,498,'Dahi','dahi','Dahi  Rice'))</t>
  </si>
  <si>
    <t xml:space="preserve">a = Client().post('/recipes/dahi-rice/detail/', {'recipe' : '15', 'ingredient' : '214', 'name' : 'Water', 'mass_unit' : '', 'mass_quantity' : '0', 'volume_unit' : '1', 'volume_quantity' : '2', 'pieces_unit' : '', 'pieces_quantity' : '0', 'cooking_notes' : ''}).status_code; print('%s :: %s :: %s :: %s :: %s' %(a,499,'Water','water','Dahi  Rice'))</t>
  </si>
  <si>
    <t xml:space="preserve">a = Client().post('/recipes/dahi-rice/detail/', {'recipe' : '15', 'ingredient' : '212', 'name' : 'Tadka', 'mass_unit' : '', 'mass_quantity' : '0', 'volume_unit' : '', 'volume_quantity' : '0', 'pieces_unit' : '', 'pieces_quantity' : '0', 'cooking_notes' : ''}).status_code; print('%s :: %s :: %s :: %s :: %s' %(a,500,'Tadka','tadka','Dahi  Rice'))</t>
  </si>
  <si>
    <t xml:space="preserve">a = Client().post('/recipes/dahi-rice/detail/', {'recipe' : '15', 'ingredient' : '89', 'name' : 'Groundnut Oil / Til Oil', 'mass_unit' : '', 'mass_quantity' : '0', 'volume_unit' : '1', 'volume_quantity' : '0.5', 'pieces_unit' : '', 'pieces_quantity' : '0', 'cooking_notes' : ''}).status_code; print('%s :: %s :: %s :: %s :: %s' %(a,501,'Groundnut Oil / Til Oil','ground nut oil','Dahi  Rice'))</t>
  </si>
  <si>
    <t xml:space="preserve">a = Client().post('/recipes/dahi-rice/detail/', {'recipe' : '15', 'ingredient' : '164', 'name' : 'Rai ', 'mass_unit' : '', 'mass_quantity' : '0', 'volume_unit' : '5', 'volume_quantity' : '0.5', 'pieces_unit' : '', 'pieces_quantity' : '0', 'cooking_notes' : ''}).status_code; print('%s :: %s :: %s :: %s :: %s' %(a,502,'Rai ','rai','Dahi  Rice'))</t>
  </si>
  <si>
    <t xml:space="preserve">a = Client().post('/recipes/dahi-rice/detail/', {'recipe' : '15', 'ingredient' : '105', 'name' : 'Kadi patta ', 'mass_unit' : '', 'mass_quantity' : '0', 'volume_unit' : '1', 'volume_quantity' : '0.5', 'pieces_unit' : '', 'pieces_quantity' : '0', 'cooking_notes' : ''}).status_code; print('%s :: %s :: %s :: %s :: %s' %(a,503,'Kadi patta ','kadi patta','Dahi  Rice'))</t>
  </si>
  <si>
    <t xml:space="preserve">a = Client().post('/recipes/dahi-rice/detail/', {'recipe' : '15', 'ingredient' : '93', 'name' : 'Hari mirchi fine chopped', 'mass_unit' : '', 'mass_quantity' : '0', 'volume_unit' : '5', 'volume_quantity' : '0.5', 'pieces_unit' : '', 'pieces_quantity' : '0', 'cooking_notes' : ''}).status_code; print('%s :: %s :: %s :: %s :: %s' %(a,504,'Hari mirchi fine chopped','hari mirchi','Dahi  Rice'))</t>
  </si>
  <si>
    <t xml:space="preserve">a = Client().post('/recipes/dahi-rice/detail/', {'recipe' : '15', 'ingredient' : '177', 'name' : 'Salt', 'mass_unit' : '', 'mass_quantity' : '0', 'volume_unit' : '5', 'volume_quantity' : '1', 'pieces_unit' : '', 'pieces_quantity' : '0', 'cooking_notes' : ''}).status_code; print('%s :: %s :: %s :: %s :: %s' %(a,505,'Salt','salt','Dahi  Rice'))</t>
  </si>
  <si>
    <t xml:space="preserve">a = Client().post('/recipes/dahi-rice/detail/', {'recipe' : '15', 'ingredient' : '66', 'name' : 'Dhania Patta ', 'mass_unit' : '', 'mass_quantity' : '0', 'volume_unit' : '1', 'volume_quantity' : '1', 'pieces_unit' : '', 'pieces_quantity' : '0', 'cooking_notes' : ''}).status_code; print('%s :: %s :: %s :: %s :: %s' %(a,506,'Dhania Patta ','dhaniya patta','Dahi  Rice'))</t>
  </si>
  <si>
    <t xml:space="preserve">a = Client().post('/recipes/dahi-rice/detail/', {'recipe' : '15', 'ingredient' : '9', 'name' : 'Ambahaldi', 'mass_unit' : '2', 'mass_quantity' : '0.5', 'volume_unit' : '', 'volume_quantity' : '0', 'pieces_unit' : '', 'pieces_quantity' : '0', 'cooking_notes' : ''}).status_code; print('%s :: %s :: %s :: %s :: %s' %(a,507,'Ambahaldi','ambahaldi','Dahi  Rice'))</t>
  </si>
  <si>
    <t xml:space="preserve">a = Client().post('/recipes/dahi-rice/detail/', {'recipe' : '15', 'ingredient' : '106', 'name' : 'Kafir lemon leaves', 'mass_unit' : '', 'mass_quantity' : '0', 'volume_unit' : '', 'volume_quantity' : '0', 'pieces_unit' : '3', 'pieces_quantity' : '15', 'cooking_notes' : ''}).status_code; print('%s :: %s :: %s :: %s :: %s' %(a,508,'Kafir lemon leaves','kafir lemon leaves','Dahi  Rice'))</t>
  </si>
  <si>
    <t xml:space="preserve">a = Client().post('/recipes/sambar-gp/detail/', {'recipe' : '70', 'ingredient' : '198', 'name' : 'Turdal', 'mass_unit' : '2', 'mass_quantity' : '4.643', 'volume_unit' : '', 'volume_quantity' : '0', 'pieces_unit' : '', 'pieces_quantity' : '0', 'cooking_notes' : ''}).status_code; print('%s :: %s :: %s :: %s :: %s' %(a,513,'Turdal','tur dal','SAMBAR GP'))</t>
  </si>
  <si>
    <t xml:space="preserve">a = Client().post('/recipes/sambar-gp/detail/', {'recipe' : '70', 'ingredient' : '98', 'name' : 'imli', 'mass_unit' : '2', 'mass_quantity' : '0.714', 'volume_unit' : '', 'volume_quantity' : '0', 'pieces_unit' : '', 'pieces_quantity' : '0', 'cooking_notes' : ''}).status_code; print('%s :: %s :: %s :: %s :: %s' %(a,514,'imli','imli','SAMBAR GP'))</t>
  </si>
  <si>
    <t xml:space="preserve">a = Client().post('/recipes/sambar-gp/detail/', {'recipe' : '70', 'ingredient' : '91', 'name' : 'Haldi', 'mass_unit' : '', 'mass_quantity' : '0', 'volume_unit' : '5', 'volume_quantity' : '1.429', 'pieces_unit' : '', 'pieces_quantity' : '0', 'cooking_notes' : ''}).status_code; print('%s :: %s :: %s :: %s :: %s' %(a,515,'Haldi','haldi','SAMBAR GP'))</t>
  </si>
  <si>
    <t xml:space="preserve">a = Client().post('/recipes/sambar-gp/detail/', {'recipe' : '70', 'ingredient' : '95', 'name' : 'Hing', 'mass_unit' : '', 'mass_quantity' : '0', 'volume_unit' : '5', 'volume_quantity' : '1.071', 'pieces_unit' : '', 'pieces_quantity' : '0', 'cooking_notes' : ''}).status_code; print('%s :: %s :: %s :: %s :: %s' %(a,516,'Hing','hing','SAMBAR GP'))</t>
  </si>
  <si>
    <t xml:space="preserve">a = Client().post('/recipes/sambar-gp/detail/', {'recipe' : '70', 'ingredient' : '68', 'name' : 'Drum Stick', 'mass_unit' : '2', 'mass_quantity' : '1.786', 'volume_unit' : '', 'volume_quantity' : '0', 'pieces_unit' : '', 'pieces_quantity' : '0', 'cooking_notes' : ''}).status_code; print('%s :: %s :: %s :: %s :: %s' %(a,517,'Drum Stick','drum stick','SAMBAR GP'))</t>
  </si>
  <si>
    <t xml:space="preserve">a = Client().post('/recipes/sambar-gp/detail/', {'recipe' : '70', 'ingredient' : '30', 'name' : 'Bhopla', 'mass_unit' : '2', 'mass_quantity' : '2.857', 'volume_unit' : '', 'volume_quantity' : '0', 'pieces_unit' : '', 'pieces_quantity' : '0', 'cooking_notes' : ''}).status_code; print('%s :: %s :: %s :: %s :: %s' %(a,518,'Bhopla','bhopla','SAMBAR GP'))</t>
  </si>
  <si>
    <t xml:space="preserve">a = Client().post('/recipes/sambar-gp/detail/', {'recipe' : '70', 'ingredient' : '42', 'name' : 'Capsicum', 'mass_unit' : '2', 'mass_quantity' : '2.143', 'volume_unit' : '', 'volume_quantity' : '0', 'pieces_unit' : '', 'pieces_quantity' : '0', 'cooking_notes' : ''}).status_code; print('%s :: %s :: %s :: %s :: %s' %(a,519,'Capsicum','capsicum','SAMBAR GP'))</t>
  </si>
  <si>
    <t xml:space="preserve">a = Client().post('/recipes/sambar-gp/detail/', {'recipe' : '70', 'ingredient' : '8', 'name' : 'potatoes', 'mass_unit' : '2', 'mass_quantity' : '1.071', 'volume_unit' : '', 'volume_quantity' : '0', 'pieces_unit' : '', 'pieces_quantity' : '0', 'cooking_notes' : ''}).status_code; print('%s :: %s :: %s :: %s :: %s' %(a,520,'potatoes','alu','SAMBAR GP'))</t>
  </si>
  <si>
    <t xml:space="preserve">a = Client().post('/recipes/sambar-gp/detail/', {'recipe' : '70', 'ingredient' : '29', 'name' : 'Bhindi', 'mass_unit' : '2', 'mass_quantity' : '2.143', 'volume_unit' : '', 'volume_quantity' : '0', 'pieces_unit' : '', 'pieces_quantity' : '0', 'cooking_notes' : ''}).status_code; print('%s :: %s :: %s :: %s :: %s' %(a,521,'Bhindi','bhindi','SAMBAR GP'))</t>
  </si>
  <si>
    <t xml:space="preserve">a = Client().post('/recipes/sambar-gp/detail/', {'recipe' : '70', 'ingredient' : '148', 'name' : 'MTR Rasam powder', 'mass_unit' : '', 'mass_quantity' : '0', 'volume_unit' : '5', 'volume_quantity' : '1.071', 'pieces_unit' : '', 'pieces_quantity' : '0', 'cooking_notes' : ''}).status_code; print('%s :: %s :: %s :: %s :: %s' %(a,522,'MTR Rasam powder','mtr rasam masala','SAMBAR GP'))</t>
  </si>
  <si>
    <t xml:space="preserve">a = Client().post('/recipes/sambar-gp/detail/', {'recipe' : '70', 'ingredient' : '14', 'name' : 'Annapoorna Sambar pwd', 'mass_unit' : '', 'mass_quantity' : '0', 'volume_unit' : '5', 'volume_quantity' : '1.071', 'pieces_unit' : '', 'pieces_quantity' : '0', 'cooking_notes' : ''}).status_code; print('%s :: %s :: %s :: %s :: %s' %(a,523,'Annapoorna Sambar pwd','annapoorna sambar masala','SAMBAR GP'))</t>
  </si>
  <si>
    <t xml:space="preserve">a = Client().post('/recipes/sambar-gp/detail/', {'recipe' : '70', 'ingredient' : '182', 'name' : 'Shakti Sambar pwd', 'mass_unit' : '', 'mass_quantity' : '0', 'volume_unit' : '1', 'volume_quantity' : '0.714', 'pieces_unit' : '', 'pieces_quantity' : '0', 'cooking_notes' : ''}).status_code; print('%s :: %s :: %s :: %s :: %s' %(a,524,'Shakti Sambar pwd','shakti sambar powder','SAMBAR GP'))</t>
  </si>
  <si>
    <t xml:space="preserve">a = Client().post('/recipes/sambar-gp/detail/', {'recipe' : '70', 'ingredient' : '54', 'name' : 'Coconut', 'mass_unit' : '', 'mass_quantity' : '0', 'volume_unit' : '', 'volume_quantity' : '0', 'pieces_unit' : '3', 'pieces_quantity' : '14.286', 'cooking_notes' : ''}).status_code; print('%s :: %s :: %s :: %s :: %s' %(a,525,'Coconut','coconut','SAMBAR GP'))</t>
  </si>
  <si>
    <t xml:space="preserve">a = Client().post('/recipes/sambar-gp/detail/', {'recipe' : '70', 'ingredient' : '90', 'name' : 'Jaggery ', 'mass_unit' : '7', 'mass_quantity' : '428.571', 'volume_unit' : '', 'volume_quantity' : '0', 'pieces_unit' : '', 'pieces_quantity' : '0', 'cooking_notes' : ''}).status_code; print('%s :: %s :: %s :: %s :: %s' %(a,526,'Jaggery ','gud','SAMBAR GP'))</t>
  </si>
  <si>
    <t xml:space="preserve">a = Client().post('/recipes/sambar-gp/detail/', {'recipe' : '70', 'ingredient' : '48', 'name' : 'chaunce', 'mass_unit' : '', 'mass_quantity' : '0', 'volume_unit' : '', 'volume_quantity' : '0', 'pieces_unit' : '', 'pieces_quantity' : '0', 'cooking_notes' : ''}).status_code; print('%s :: %s :: %s :: %s :: %s' %(a,527,'chaunce','chaunce','SAMBAR GP'))</t>
  </si>
  <si>
    <t xml:space="preserve">a = Client().post('/recipes/sambar-gp/detail/', {'recipe' : '70', 'ingredient' : '81', 'name' : 'Ghee ', 'mass_unit' : '', 'mass_quantity' : '0', 'volume_unit' : '1', 'volume_quantity' : '1.071', 'pieces_unit' : '', 'pieces_quantity' : '0', 'cooking_notes' : ''}).status_code; print('%s :: %s :: %s :: %s :: %s' %(a,528,'Ghee ','ghee','SAMBAR GP'))</t>
  </si>
  <si>
    <t xml:space="preserve">a = Client().post('/recipes/sambar-gp/detail/', {'recipe' : '70', 'ingredient' : '164', 'name' : 'Rai ', 'mass_unit' : '', 'mass_quantity' : '0', 'volume_unit' : '5', 'volume_quantity' : '0.893', 'pieces_unit' : '', 'pieces_quantity' : '0', 'cooking_notes' : ''}).status_code; print('%s :: %s :: %s :: %s :: %s' %(a,529,'Rai ','rai','SAMBAR GP'))</t>
  </si>
  <si>
    <t xml:space="preserve">a = Client().post('/recipes/sambar-gp/detail/', {'recipe' : '70', 'ingredient' : '105', 'name' : 'Kadi patta ', 'mass_unit' : '', 'mass_quantity' : '0', 'volume_unit' : '1', 'volume_quantity' : '2', 'pieces_unit' : '', 'pieces_quantity' : '0', 'cooking_notes' : ''}).status_code; print('%s :: %s :: %s :: %s :: %s' %(a,530,'Kadi patta ','kadi patta','SAMBAR GP'))</t>
  </si>
  <si>
    <t xml:space="preserve">a = Client().post('/recipes/moong-dal-dossa/detail/', {'recipe' : '48', 'ingredient' : '147', 'name' : 'Moong dal', 'mass_unit' : '2', 'mass_quantity' : '2.5', 'volume_unit' : '', 'volume_quantity' : '0', 'pieces_unit' : '', 'pieces_quantity' : '0', 'cooking_notes' : ''}).status_code; print('%s :: %s :: %s :: %s :: %s' %(a,535,'Moong dal','moong dal','Moong Dal Dossa'))</t>
  </si>
  <si>
    <t xml:space="preserve">a = Client().post('/recipes/moong-dal-dossa/detail/', {'recipe' : '48', 'ingredient' : '122', 'name' : 'Khichdi Rice', 'mass_unit' : '2', 'mass_quantity' : '0.5', 'volume_unit' : '', 'volume_quantity' : '0', 'pieces_unit' : '', 'pieces_quantity' : '0', 'cooking_notes' : ''}).status_code; print('%s :: %s :: %s :: %s :: %s' %(a,536,'Khichdi Rice','khichadi rice','Moong Dal Dossa'))</t>
  </si>
  <si>
    <t xml:space="preserve">a = Client().post('/recipes/moong-dal-dossa/detail/', {'recipe' : '48', 'ingredient' : '4', 'name' : 'Akha Methi', 'mass_unit' : '7', 'mass_quantity' : '25', 'volume_unit' : '', 'volume_quantity' : '0', 'pieces_unit' : '', 'pieces_quantity' : '0', 'cooking_notes' : ''}).status_code; print('%s :: %s :: %s :: %s :: %s' %(a,537,'Akha Methi','akha methi','Moong Dal Dossa'))</t>
  </si>
  <si>
    <t xml:space="preserve">a = Client().post('/recipes/moong-dal-dossa/detail/', {'recipe' : '48', 'ingredient' : '95', 'name' : 'Hing', 'mass_unit' : '', 'mass_quantity' : '0', 'volume_unit' : '5', 'volume_quantity' : '0.25', 'pieces_unit' : '', 'pieces_quantity' : '0', 'cooking_notes' : ''}).status_code; print('%s :: %s :: %s :: %s :: %s' %(a,538,'Hing','hing','Moong Dal Dossa'))</t>
  </si>
  <si>
    <t xml:space="preserve">a = Client().post('/recipes/moong-dal-dossa/detail/', {'recipe' : '48', 'ingredient' : '42', 'name' : 'Capsicum', 'mass_unit' : '7', 'mass_quantity' : '400', 'volume_unit' : '', 'volume_quantity' : '0', 'pieces_unit' : '', 'pieces_quantity' : '0', 'cooking_notes' : ''}).status_code; print('%s :: %s :: %s :: %s :: %s' %(a,539,'Capsicum','capsicum','Moong Dal Dossa'))</t>
  </si>
  <si>
    <t xml:space="preserve">a = Client().post('/recipes/moong-dal-dossa/detail/', {'recipe' : '48', 'ingredient' : '195', 'name' : 'Tomato', 'mass_unit' : '7', 'mass_quantity' : '400', 'volume_unit' : '', 'volume_quantity' : '0', 'pieces_unit' : '', 'pieces_quantity' : '0', 'cooking_notes' : ''}).status_code; print('%s :: %s :: %s :: %s :: %s' %(a,540,'Tomato','tomato','Moong Dal Dossa'))</t>
  </si>
  <si>
    <t xml:space="preserve">a = Client().post('/recipes/moong-dal-dossa/detail/', {'recipe' : '48', 'ingredient' : '93', 'name' : 'Hari Mirchi fine chopped', 'mass_unit' : '7', 'mass_quantity' : '100', 'volume_unit' : '', 'volume_quantity' : '0', 'pieces_unit' : '', 'pieces_quantity' : '0', 'cooking_notes' : ''}).status_code; print('%s :: %s :: %s :: %s :: %s' %(a,541,'Hari Mirchi fine chopped','hari mirchi','Moong Dal Dossa'))</t>
  </si>
  <si>
    <t xml:space="preserve">a = Client().post('/recipes/moong-dal-dossa/detail/', {'recipe' : '48', 'ingredient' : '1', 'name' : 'Adrak paste', 'mass_unit' : '7', 'mass_quantity' : '150', 'volume_unit' : '', 'volume_quantity' : '0', 'pieces_unit' : '', 'pieces_quantity' : '0', 'cooking_notes' : ''}).status_code; print('%s :: %s :: %s :: %s :: %s' %(a,542,'Adrak paste','adrak','Moong Dal Dossa'))</t>
  </si>
  <si>
    <t xml:space="preserve">a = Client().post('/recipes/moong-dal-dossa/detail/', {'recipe' : '48', 'ingredient' : '177', 'name' : 'Salt', 'mass_unit' : '', 'mass_quantity' : '0', 'volume_unit' : '5', 'volume_quantity' : '0.4', 'pieces_unit' : '', 'pieces_quantity' : '0', 'cooking_notes' : ''}).status_code; print('%s :: %s :: %s :: %s :: %s' %(a,543,'Salt','salt','Moong Dal Dossa'))</t>
  </si>
  <si>
    <t xml:space="preserve">a = Client().post('/recipes/moong-dal-dossa/detail/', {'recipe' : '48', 'ingredient' : '105', 'name' : 'Kadi patta', 'mass_unit' : '', 'mass_quantity' : '0', 'volume_unit' : '1', 'volume_quantity' : '1', 'pieces_unit' : '', 'pieces_quantity' : '0', 'cooking_notes' : ''}).status_code; print('%s :: %s :: %s :: %s :: %s' %(a,544,'Kadi patta','kadi patta','Moong Dal Dossa'))</t>
  </si>
  <si>
    <t xml:space="preserve">a = Client().post('/recipes/moong-dal-dossa/detail/', {'recipe' : '48', 'ingredient' : '162', 'name' : 'Pudina', 'mass_unit' : '', 'mass_quantity' : '0', 'volume_unit' : '', 'volume_quantity' : '2', 'pieces_unit' : '', 'pieces_quantity' : '0', 'cooking_notes' : ''}).status_code; print('%s :: %s :: %s :: %s :: %s' %(a,545,'Pudina','pudina','Moong Dal Dossa'))</t>
  </si>
  <si>
    <t xml:space="preserve">a = Client().post('/recipes/moong-dal-dossa/detail/', {'recipe' : '48', 'ingredient' : '67', 'name' : 'Dhania powder', 'mass_unit' : '', 'mass_quantity' : '0', 'volume_unit' : '1', 'volume_quantity' : '2', 'pieces_unit' : '', 'pieces_quantity' : '0', 'cooking_notes' : ''}).status_code; print('%s :: %s :: %s :: %s :: %s' %(a,546,'Dhania powder','dhaniya powder','Moong Dal Dossa'))</t>
  </si>
  <si>
    <t xml:space="preserve">a = Client().post('/recipes/moong-dal-dossa/detail/', {'recipe' : '48', 'ingredient' : '31', 'name' : 'Black pepper pwd', 'mass_unit' : '', 'mass_quantity' : '0', 'volume_unit' : '5', 'volume_quantity' : '0.5', 'pieces_unit' : '', 'pieces_quantity' : '0', 'cooking_notes' : ''}).status_code; print('%s :: %s :: %s :: %s :: %s' %(a,547,'Black pepper pwd','black pepper','Moong Dal Dossa'))</t>
  </si>
  <si>
    <t xml:space="preserve">a = Client().post('/recipes/moong-dal-dossa/detail/', {'recipe' : '48', 'ingredient' : '26', 'name' : 'Batter yield', 'mass_unit' : '', 'mass_quantity' : '0', 'volume_unit' : '1', 'volume_quantity' : '11', 'pieces_unit' : '', 'pieces_quantity' : '0', 'cooking_notes' : ''}).status_code; print('%s :: %s :: %s :: %s :: %s' %(a,548,'Batter yield','batter yield','Moong Dal Dossa'))</t>
  </si>
  <si>
    <t xml:space="preserve">a = Client().post('/recipes/moong-dal-dossa/detail/', {'recipe' : '48', 'ingredient' : '26', 'name' : 'Batter yield', 'mass_unit' : '', 'mass_quantity' : '0', 'volume_unit' : '4', 'volume_quantity' : '0.3', 'pieces_unit' : '', 'pieces_quantity' : '0', 'cooking_notes' : ''}).status_code; print('%s :: %s :: %s :: %s :: %s' %(a,549,'Batter yield','batter yield','Moong Dal Dossa'))</t>
  </si>
  <si>
    <t xml:space="preserve">a = Client().post('/recipes/tomato-chutni/detail/', {'recipe' : '81', 'ingredient' : '194', 'name' : 'Til oil', 'mass_unit' : '', 'mass_quantity' : '0', 'volume_unit' : '1', 'volume_quantity' : '0.2', 'pieces_unit' : '', 'pieces_quantity' : '0', 'cooking_notes' : ''}).status_code; print('%s :: %s :: %s :: %s :: %s' %(a,553,'Til oil','til oil','Tomato Chutni'))</t>
  </si>
  <si>
    <t xml:space="preserve">a = Client().post('/recipes/tomato-chutni/detail/', {'recipe' : '81', 'ingredient' : '95', 'name' : 'Hing', 'mass_unit' : '', 'mass_quantity' : '0', 'volume_unit' : '5', 'volume_quantity' : '0.2', 'pieces_unit' : '', 'pieces_quantity' : '0', 'cooking_notes' : ''}).status_code; print('%s :: %s :: %s :: %s :: %s' %(a,554,'Hing','hing','Tomato Chutni'))</t>
  </si>
  <si>
    <t xml:space="preserve">a = Client().post('/recipes/tomato-chutni/detail/', {'recipe' : '81', 'ingredient' : '154', 'name' : 'Pandi mirchi', 'mass_unit' : '2', 'mass_quantity' : '0.04', 'volume_unit' : '', 'volume_quantity' : '0', 'pieces_unit' : '', 'pieces_quantity' : '0', 'cooking_notes' : ''}).status_code; print('%s :: %s :: %s :: %s :: %s' %(a,555,'Pandi mirchi','pandi mirchi','Tomato Chutni'))</t>
  </si>
  <si>
    <t xml:space="preserve">a = Client().post('/recipes/tomato-chutni/detail/', {'recipe' : '81', 'ingredient' : '117', 'name' : 'Kashmiri mirchi', 'mass_unit' : '2', 'mass_quantity' : '0.02', 'volume_unit' : '', 'volume_quantity' : '0', 'pieces_unit' : '', 'pieces_quantity' : '0', 'cooking_notes' : ''}).status_code; print('%s :: %s :: %s :: %s :: %s' %(a,556,'Kashmiri mirchi','kashmiri chilly powder','Tomato Chutni'))</t>
  </si>
  <si>
    <t xml:space="preserve">a = Client().post('/recipes/tomato-chutni/detail/', {'recipe' : '81', 'ingredient' : '162', 'name' : 'Pudina', 'mass_unit' : '', 'mass_quantity' : '0', 'volume_unit' : '1', 'volume_quantity' : '3.5', 'pieces_unit' : '', 'pieces_quantity' : '0', 'cooking_notes' : ''}).status_code; print('%s :: %s :: %s :: %s :: %s' %(a,557,'Pudina','pudina','Tomato Chutni'))</t>
  </si>
  <si>
    <t xml:space="preserve">a = Client().post('/recipes/tomato-chutni/detail/', {'recipe' : '81', 'ingredient' : '195', 'name' : 'Tomato', 'mass_unit' : '2', 'mass_quantity' : '5', 'volume_unit' : '', 'volume_quantity' : '0', 'pieces_unit' : '', 'pieces_quantity' : '0', 'cooking_notes' : ''}).status_code; print('%s :: %s :: %s :: %s :: %s' %(a,558,'Tomato','tomato','Tomato Chutni'))</t>
  </si>
  <si>
    <t xml:space="preserve">a = Client().post('/recipes/tomato-chutni/detail/', {'recipe' : '81', 'ingredient' : '177', 'name' : 'Salt', 'mass_unit' : '', 'mass_quantity' : '0', 'volume_unit' : '5', 'volume_quantity' : '0.6', 'pieces_unit' : '', 'pieces_quantity' : '0', 'cooking_notes' : ''}).status_code; print('%s :: %s :: %s :: %s :: %s' %(a,559,'Salt','salt','Tomato Chutni'))</t>
  </si>
  <si>
    <t xml:space="preserve">a = Client().post('/recipes/tomato-chutni/detail/', {'recipe' : '81', 'ingredient' : '48', 'name' : 'Chaunce', 'mass_unit' : '', 'mass_quantity' : '0', 'volume_unit' : '', 'volume_quantity' : '0', 'pieces_unit' : '', 'pieces_quantity' : '0', 'cooking_notes' : ''}).status_code; print('%s :: %s :: %s :: %s :: %s' %(a,560,'Chaunce','chaunce','Tomato Chutni'))</t>
  </si>
  <si>
    <t xml:space="preserve">a = Client().post('/recipes/tomato-chutni/detail/', {'recipe' : '81', 'ingredient' : '194', 'name' : 'Til oil', 'mass_unit' : '', 'mass_quantity' : '0', 'volume_unit' : '1', 'volume_quantity' : '0.1', 'pieces_unit' : '', 'pieces_quantity' : '0', 'cooking_notes' : ''}).status_code; print('%s :: %s :: %s :: %s :: %s' %(a,561,'Til oil','til oil','Tomato Chutni'))</t>
  </si>
  <si>
    <t xml:space="preserve">a = Client().post('/recipes/tomato-chutni/detail/', {'recipe' : '81', 'ingredient' : '164', 'name' : 'Rai', 'mass_unit' : '', 'mass_quantity' : '0', 'volume_unit' : '5', 'volume_quantity' : '0.2', 'pieces_unit' : '', 'pieces_quantity' : '0', 'cooking_notes' : ''}).status_code; print('%s :: %s :: %s :: %s :: %s' %(a,562,'Rai','rai','Tomato Chutni'))</t>
  </si>
  <si>
    <t xml:space="preserve">a = Client().post('/recipes/tomato-chutni/detail/', {'recipe' : '81', 'ingredient' : '102', 'name' : 'Jeera', 'mass_unit' : '', 'mass_quantity' : '0', 'volume_unit' : '5', 'volume_quantity' : '0.2', 'pieces_unit' : '', 'pieces_quantity' : '0', 'cooking_notes' : ''}).status_code; print('%s :: %s :: %s :: %s :: %s' %(a,563,'Jeera','jeera','Tomato Chutni'))</t>
  </si>
  <si>
    <t xml:space="preserve">a = Client().post('/recipes/tomato-chutni/detail/', {'recipe' : '81', 'ingredient' : '105', 'name' : 'Kadipatta', 'mass_unit' : '', 'mass_quantity' : '0', 'volume_unit' : '5', 'volume_quantity' : '2', 'pieces_unit' : '', 'pieces_quantity' : '0', 'cooking_notes' : ''}).status_code; print('%s :: %s :: %s :: %s :: %s' %(a,564,'Kadipatta','kadi patta','Tomato Chutni'))</t>
  </si>
  <si>
    <t xml:space="preserve">a = Client().post('/recipes/green-curry/detail/', {'recipe' : '29', 'ingredient' : '132', 'name' : 'Lemongrass stalks', 'mass_unit' : '2', 'mass_quantity' : '10', 'volume_unit' : '', 'volume_quantity' : '0', 'pieces_unit' : '', 'pieces_quantity' : '0', 'cooking_notes' : ''}).status_code; print('%s :: %s :: %s :: %s :: %s' %(a,571,'Lemongrass stalks','lemongrass stalks','Green curry'))</t>
  </si>
  <si>
    <t xml:space="preserve">a = Client().post('/recipes/green-curry/detail/', {'recipe' : '29', 'ingredient' : '192', 'name' : 'Thai ginger', 'mass_unit' : '', 'mass_quantity' : '0', 'volume_unit' : '1', 'volume_quantity' : '6', 'pieces_unit' : '', 'pieces_quantity' : '0', 'cooking_notes' : ''}).status_code; print('%s :: %s :: %s :: %s :: %s' %(a,572,'Thai ginger','thai ginger','Green curry'))</t>
  </si>
  <si>
    <t xml:space="preserve">a = Client().post('/recipes/green-curry/detail/', {'recipe' : '29', 'ingredient' : '3', 'name' : 'Akha dhaniya', 'mass_unit' : '', 'mass_quantity' : '0', 'volume_unit' : '1', 'volume_quantity' : '3', 'pieces_unit' : '', 'pieces_quantity' : '0', 'cooking_notes' : ''}).status_code; print('%s :: %s :: %s :: %s :: %s' %(a,573,'Akha dhaniya','akha dhaniya','Green curry'))</t>
  </si>
  <si>
    <t xml:space="preserve">a = Client().post('/recipes/green-curry/detail/', {'recipe' : '29', 'ingredient' : '106', 'name' : 'Kafir lemon leaves', 'mass_unit' : '', 'mass_quantity' : '0', 'volume_unit' : '', 'volume_quantity' : '0', 'pieces_unit' : '3', 'pieces_quantity' : '600', 'cooking_notes' : ''}).status_code; print('%s :: %s :: %s :: %s :: %s' %(a,574,'Kafir lemon leaves','kafir lemon leaves','Green curry'))</t>
  </si>
  <si>
    <t xml:space="preserve">a = Client().post('/recipes/green-curry/detail/', {'recipe' : '29', 'ingredient' : '93', 'name' : 'Hari Mirchi paste', 'mass_unit' : '', 'mass_quantity' : '0', 'volume_unit' : '1', 'volume_quantity' : '3', 'pieces_unit' : '', 'pieces_quantity' : '0', 'cooking_notes' : ''}).status_code; print('%s :: %s :: %s :: %s :: %s' %(a,575,'Hari Mirchi paste','hari mirchi','Green curry'))</t>
  </si>
  <si>
    <t xml:space="preserve">a = Client().post('/recipes/green-curry/detail/', {'recipe' : '29', 'ingredient' : '153', 'name' : 'Palak paste', 'mass_unit' : '', 'mass_quantity' : '0', 'volume_unit' : '1', 'volume_quantity' : '40', 'pieces_unit' : '', 'pieces_quantity' : '0', 'cooking_notes' : ''}).status_code; print('%s :: %s :: %s :: %s :: %s' %(a,577,'Palak paste','palak','Green curry'))</t>
  </si>
  <si>
    <t xml:space="preserve">a = Client().post('/recipes/green-curry/detail/', {'recipe' : '29', 'ingredient' : '2', 'name' : 'Ajinomoto', 'mass_unit' : '', 'mass_quantity' : '0', 'volume_unit' : '1', 'volume_quantity' : '3', 'pieces_unit' : '', 'pieces_quantity' : '0', 'cooking_notes' : ''}).status_code; print('%s :: %s :: %s :: %s :: %s' %(a,578,'Ajinomoto','ajinomoto','Green curry'))</t>
  </si>
  <si>
    <t xml:space="preserve">a = Client().post('/recipes/green-curry/detail/', {'recipe' : '29', 'ingredient' : '84', 'name' : 'Green capsicum paste', 'mass_unit' : '', 'mass_quantity' : '0', 'volume_unit' : '1', 'volume_quantity' : '20', 'pieces_unit' : '', 'pieces_quantity' : '0', 'cooking_notes' : ''}).status_code; print('%s :: %s :: %s :: %s :: %s' %(a,579,'Green capsicum paste','green capsicum','Green curry'))</t>
  </si>
  <si>
    <t xml:space="preserve">a = Client().post('/recipes/green-curry/detail/', {'recipe' : '29', 'ingredient' : '38', 'name' : 'Butter', 'mass_unit' : '2', 'mass_quantity' : '15', 'volume_unit' : '', 'volume_quantity' : '0', 'pieces_unit' : '', 'pieces_quantity' : '0', 'cooking_notes' : ''}).status_code; print('%s :: %s :: %s :: %s :: %s' %(a,580,'Butter','butter','Green curry'))</t>
  </si>
  <si>
    <t xml:space="preserve">a = Client().post('/recipes/green-curry/detail/', {'recipe' : '29', 'ingredient' : '36', 'name' : 'Broccoli', 'mass_unit' : '2', 'mass_quantity' : '100', 'volume_unit' : '', 'volume_quantity' : '0', 'pieces_unit' : '', 'pieces_quantity' : '0', 'cooking_notes' : ''}).status_code; print('%s :: %s :: %s :: %s :: %s' %(a,581,'Broccoli','broccoli','Green curry'))</t>
  </si>
  <si>
    <t xml:space="preserve">a = Client().post('/recipes/green-curry/detail/', {'recipe' : '29', 'ingredient' : '210', 'name' : 'Zucchini', 'mass_unit' : '2', 'mass_quantity' : '50', 'volume_unit' : '', 'volume_quantity' : '0', 'pieces_unit' : '', 'pieces_quantity' : '0', 'cooking_notes' : ''}).status_code; print('%s :: %s :: %s :: %s :: %s' %(a,582,'Zucchini','zucchini','Green curry'))</t>
  </si>
  <si>
    <t xml:space="preserve">a = Client().post('/recipes/green-curry/detail/', {'recipe' : '29', 'ingredient' : '168', 'name' : 'Red capsicum', 'mass_unit' : '2', 'mass_quantity' : '60', 'volume_unit' : '', 'volume_quantity' : '0', 'pieces_unit' : '', 'pieces_quantity' : '0', 'cooking_notes' : ''}).status_code; print('%s :: %s :: %s :: %s :: %s' %(a,583,'Red capsicum','red capsicum','Green curry'))</t>
  </si>
  <si>
    <t xml:space="preserve">a = Client().post('/recipes/green-curry/detail/', {'recipe' : '29', 'ingredient' : '209', 'name' : 'Yellow capsicum', 'mass_unit' : '2', 'mass_quantity' : '60', 'volume_unit' : '', 'volume_quantity' : '0', 'pieces_unit' : '', 'pieces_quantity' : '0', 'cooking_notes' : ''}).status_code; print('%s :: %s :: %s :: %s :: %s' %(a,584,'Yellow capsicum','yellow capsicum','Green curry'))</t>
  </si>
  <si>
    <t xml:space="preserve">a = Client().post('/recipes/green-curry/detail/', {'recipe' : '29', 'ingredient' : '97', 'name' : 'Hot water', 'mass_unit' : '', 'mass_quantity' : '0', 'volume_unit' : '1', 'volume_quantity' : '300', 'pieces_unit' : '', 'pieces_quantity' : '0', 'cooking_notes' : ''}).status_code; print('%s :: %s :: %s :: %s :: %s' %(a,586,'Hot water','hot water','Green curry'))</t>
  </si>
  <si>
    <t xml:space="preserve">a = Client().post('/recipes/green-curry/detail/', {'recipe' : '29', 'ingredient' : '137', 'name' : 'Maggi coconut milk powder', 'mass_unit' : '', 'mass_quantity' : '0', 'volume_unit' : '1', 'volume_quantity' : '80', 'pieces_unit' : '', 'pieces_quantity' : '0', 'cooking_notes' : ''}).status_code; print('%s :: %s :: %s :: %s :: %s' %(a,587,'Maggi coconut milk powder','maggi coconut milk powder','Green curry'))</t>
  </si>
  <si>
    <t xml:space="preserve">a = Client().post('/recipes/green-curry/detail/', {'recipe' : '29', 'ingredient' : '138', 'name' : 'Maggi seasoning', 'mass_unit' : '', 'mass_quantity' : '0', 'volume_unit' : '5', 'volume_quantity' : '6', 'pieces_unit' : '', 'pieces_quantity' : '0', 'cooking_notes' : ''}).status_code; print('%s :: %s :: %s :: %s :: %s' %(a,588,'Maggi seasoning','maggi seasoning','Green curry'))</t>
  </si>
  <si>
    <t xml:space="preserve">a = Client().post('/recipes/green-curry/detail/', {'recipe' : '29', 'ingredient' : '57', 'name' : 'corn flour', 'mass_unit' : '', 'mass_quantity' : '0', 'volume_unit' : '1', 'volume_quantity' : '4', 'pieces_unit' : '', 'pieces_quantity' : '0', 'cooking_notes' : ''}).status_code; print('%s :: %s :: %s :: %s :: %s' %(a,589,'corn flour','corn flour','Green curry'))</t>
  </si>
  <si>
    <t xml:space="preserve">a = Client().post('/recipes/green-curry/detail/', {'recipe' : '29', 'ingredient' : '24', 'name' : 'Basil leaves chopped', 'mass_unit' : '', 'mass_quantity' : '0', 'volume_unit' : '1', 'volume_quantity' : '40', 'pieces_unit' : '', 'pieces_quantity' : '0', 'cooking_notes' : ''}).status_code; print('%s :: %s :: %s :: %s :: %s' %(a,590,'Basil leaves chopped','basil leaves','Green curry'))</t>
  </si>
  <si>
    <t xml:space="preserve">a = Client().post('/recipes/nithai-rice/detail/', {'recipe' : '50', 'ingredient' : '170', 'name' : 'Rice', 'mass_unit' : '2', 'mass_quantity' : '10', 'volume_unit' : '', 'volume_quantity' : '0', 'pieces_unit' : '', 'pieces_quantity' : '0', 'cooking_notes' : ''}).status_code; print('%s :: %s :: %s :: %s :: %s' %(a,594,'Rice','rice','Nithai Rice'))</t>
  </si>
  <si>
    <t xml:space="preserve">a = Client().post('/recipes/nithai-rice/detail/', {'recipe' : '50', 'ingredient' : '177', 'name' : 'Salt', 'mass_unit' : '', 'mass_quantity' : '0', 'volume_unit' : '5', 'volume_quantity' : '2.3', 'pieces_unit' : '', 'pieces_quantity' : '0', 'cooking_notes' : ''}).status_code; print('%s :: %s :: %s :: %s :: %s' %(a,595,'Salt','salt','Nithai Rice'))</t>
  </si>
  <si>
    <t xml:space="preserve">a = Client().post('/recipes/nithai-rice/detail/', {'recipe' : '50', 'ingredient' : '178', 'name' : 'SAM Soya Sauce', 'mass_unit' : '', 'mass_quantity' : '0', 'volume_unit' : '1', 'volume_quantity' : '1', 'pieces_unit' : '', 'pieces_quantity' : '0', 'cooking_notes' : ''}).status_code; print('%s :: %s :: %s :: %s :: %s' %(a,596,'SAM Soya Sauce','sam soya sauce','Nithai Rice'))</t>
  </si>
  <si>
    <t xml:space="preserve">a = Client().post('/recipes/nithai-rice/detail/', {'recipe' : '50', 'ingredient' : '138', 'name' : 'Maggi seasoning', 'mass_unit' : '', 'mass_quantity' : '0', 'volume_unit' : '5', 'volume_quantity' : '1', 'pieces_unit' : '', 'pieces_quantity' : '0', 'cooking_notes' : ''}).status_code; print('%s :: %s :: %s :: %s :: %s' %(a,597,'Maggi seasoning','maggi seasoning','Nithai Rice'))</t>
  </si>
  <si>
    <t xml:space="preserve">a = Client().post('/recipes/nithai-rice/detail/', {'recipe' : '50', 'ingredient' : '85', 'name' : 'Green chilli sauce', 'mass_unit' : '', 'mass_quantity' : '0', 'volume_unit' : '1', 'volume_quantity' : '1', 'pieces_unit' : '', 'pieces_quantity' : '0', 'cooking_notes' : ''}).status_code; print('%s :: %s :: %s :: %s :: %s' %(a,598,'Green chilli sauce','green chilli sauce','Nithai Rice'))</t>
  </si>
  <si>
    <t xml:space="preserve">a = Client().post('/recipes/nithai-rice/detail/', {'recipe' : '50', 'ingredient' : '31', 'name' : 'Black Pepper pwd', 'mass_unit' : '', 'mass_quantity' : '0', 'volume_unit' : '5', 'volume_quantity' : '1.5', 'pieces_unit' : '', 'pieces_quantity' : '0', 'cooking_notes' : ''}).status_code; print('%s :: %s :: %s :: %s :: %s' %(a,599,'Black Pepper pwd','black pepper','Nithai Rice'))</t>
  </si>
  <si>
    <t xml:space="preserve">a = Client().post('/recipes/nithai-rice/detail/', {'recipe' : '50', 'ingredient' : '168', 'name' : 'Red Capsicum', 'mass_unit' : '2', 'mass_quantity' : '3', 'volume_unit' : '1', 'volume_quantity' : '3.5', 'pieces_unit' : '', 'pieces_quantity' : '0', 'cooking_notes' : ''}).status_code; print('%s :: %s :: %s :: %s :: %s' %(a,600,'Red Capsicum','red capsicum','Nithai Rice'))</t>
  </si>
  <si>
    <t xml:space="preserve">a = Client().post('/recipes/nithai-rice/detail/', {'recipe' : '50', 'ingredient' : '209', 'name' : 'Yellow Capsicum ', 'mass_unit' : '2', 'mass_quantity' : '2.5', 'volume_unit' : '1', 'volume_quantity' : '3', 'pieces_unit' : '', 'pieces_quantity' : '0', 'cooking_notes' : ''}).status_code; print('%s :: %s :: %s :: %s :: %s' %(a,602,'Yellow Capsicum ','yellow capsicum','Nithai Rice'))</t>
  </si>
  <si>
    <t xml:space="preserve">a = Client().post('/recipes/nithai-rice/detail/', {'recipe' : '50', 'ingredient' : '84', 'name' : 'Green Capsicum ', 'mass_unit' : '2', 'mass_quantity' : '2.5', 'volume_unit' : '1', 'volume_quantity' : '3.5', 'pieces_unit' : '', 'pieces_quantity' : '0', 'cooking_notes' : ''}).status_code; print('%s :: %s :: %s :: %s :: %s' %(a,604,'Green Capsicum ','green capsicum','Nithai Rice'))</t>
  </si>
  <si>
    <t xml:space="preserve">a = Client().post('/recipes/nithai-rice/detail/', {'recipe' : '50', 'ingredient' : '27', 'name' : 'Beans', 'mass_unit' : '2', 'mass_quantity' : '2', 'volume_unit' : '1', 'volume_quantity' : '3', 'pieces_unit' : '', 'pieces_quantity' : '0', 'cooking_notes' : ''}).status_code; print('%s :: %s :: %s :: %s :: %s' %(a,606,'Beans','beans','Nithai Rice'))</t>
  </si>
  <si>
    <t xml:space="preserve">a = Client().post('/recipes/nithai-rice/detail/', {'recipe' : '50', 'ingredient' : '16', 'name' : 'Baby Corn', 'mass_unit' : '2', 'mass_quantity' : '2', 'volume_unit' : '1', 'volume_quantity' : '3', 'pieces_unit' : '', 'pieces_quantity' : '0', 'cooking_notes' : ''}).status_code; print('%s :: %s :: %s :: %s :: %s' %(a,608,'Baby Corn','baby corn','Nithai Rice'))</t>
  </si>
  <si>
    <t xml:space="preserve">a = Client().post('/recipes/nithai-rice/detail/', {'recipe' : '50', 'ingredient' : '76', 'name' : 'EVOO / Butter ', 'mass_unit' : '', 'mass_quantity' : '0', 'volume_unit' : '1', 'volume_quantity' : '1.5', 'pieces_unit' : '', 'pieces_quantity' : '0', 'cooking_notes' : ''}).status_code; print('%s :: %s :: %s :: %s :: %s' %(a,610,'EVOO / Butter ','evoo','Nithai Rice'))</t>
  </si>
  <si>
    <t xml:space="preserve">a = Client().post('/recipes/nithai-rice/detail/', {'recipe' : '50', 'ingredient' : '24', 'name' : 'Basil Leaves', 'mass_unit' : '2', 'mass_quantity' : '0.5', 'volume_unit' : '', 'volume_quantity' : '0', 'pieces_unit' : '', 'pieces_quantity' : '0', 'cooking_notes' : ''}).status_code; print('%s :: %s :: %s :: %s :: %s' %(a,611,'Basil Leaves','basil leaves','Nithai Rice'))</t>
  </si>
  <si>
    <t xml:space="preserve">a = Client().post('/recipes/minestrone-soup/detail/', {'recipe' : '46', 'ingredient' : '167', 'name' : 'Rajma ', 'mass_unit' : '2', 'mass_quantity' : '1.667', 'volume_unit' : '', 'volume_quantity' : '0', 'pieces_unit' : '', 'pieces_quantity' : '0', 'cooking_notes' : ''}).status_code; print('%s :: %s :: %s :: %s :: %s' %(a,614,'Rajma ','rajma','Minestrone soup'))</t>
  </si>
  <si>
    <t xml:space="preserve">a = Client().post('/recipes/minestrone-soup/detail/', {'recipe' : '46', 'ingredient' : '27', 'name' : 'Beans', 'mass_unit' : '2', 'mass_quantity' : '2', 'volume_unit' : '', 'volume_quantity' : '0', 'pieces_unit' : '', 'pieces_quantity' : '0', 'cooking_notes' : ''}).status_code; print('%s :: %s :: %s :: %s :: %s' %(a,615,'Beans','beans','Minestrone soup'))</t>
  </si>
  <si>
    <t xml:space="preserve">a = Client().post('/recipes/minestrone-soup/detail/', {'recipe' : '46', 'ingredient' : '79', 'name' : 'Gajar', 'mass_unit' : '2', 'mass_quantity' : '1.333', 'volume_unit' : '', 'volume_quantity' : '0', 'pieces_unit' : '', 'pieces_quantity' : '0', 'cooking_notes' : ''}).status_code; print('%s :: %s :: %s :: %s :: %s' %(a,616,'Gajar','gajar','Minestrone soup'))</t>
  </si>
  <si>
    <t xml:space="preserve">a = Client().post('/recipes/minestrone-soup/detail/', {'recipe' : '46', 'ingredient' : '42', 'name' : 'Capsicum ', 'mass_unit' : '2', 'mass_quantity' : '1.333', 'volume_unit' : '', 'volume_quantity' : '0', 'pieces_unit' : '', 'pieces_quantity' : '0', 'cooking_notes' : ''}).status_code; print('%s :: %s :: %s :: %s :: %s' %(a,617,'Capsicum ','capsicum','Minestrone soup'))</t>
  </si>
  <si>
    <t xml:space="preserve">a = Client().post('/recipes/minestrone-soup/detail/', {'recipe' : '46', 'ingredient' : '210', 'name' : 'Zucchini', 'mass_unit' : '2', 'mass_quantity' : '2', 'volume_unit' : '', 'volume_quantity' : '0', 'pieces_unit' : '', 'pieces_quantity' : '0', 'cooking_notes' : ''}).status_code; print('%s :: %s :: %s :: %s :: %s' %(a,618,'Zucchini','zucchini','Minestrone soup'))</t>
  </si>
  <si>
    <t xml:space="preserve">a = Client().post('/recipes/minestrone-soup/detail/', {'recipe' : '46', 'ingredient' : '195', 'name' : 'Tomato', 'mass_unit' : '2', 'mass_quantity' : '10', 'volume_unit' : '', 'volume_quantity' : '0', 'pieces_unit' : '', 'pieces_quantity' : '0', 'cooking_notes' : ''}).status_code; print('%s :: %s :: %s :: %s :: %s' %(a,619,'Tomato','tomato','Minestrone soup'))</t>
  </si>
  <si>
    <t xml:space="preserve">a = Client().post('/recipes/minestrone-soup/detail/', {'recipe' : '46', 'ingredient' : '24', 'name' : 'Basil Leaves', 'mass_unit' : '2', 'mass_quantity' : '0.5', 'volume_unit' : '', 'volume_quantity' : '0', 'pieces_unit' : '', 'pieces_quantity' : '0', 'cooking_notes' : ''}).status_code; print('%s :: %s :: %s :: %s :: %s' %(a,620,'Basil Leaves','basil leaves','Minestrone soup'))</t>
  </si>
  <si>
    <t xml:space="preserve">a = Client().post('/recipes/minestrone-soup/detail/', {'recipe' : '46', 'ingredient' : '213', 'name' : 'VEGETABLE STOCK', 'mass_unit' : '', 'mass_quantity' : '0', 'volume_unit' : '', 'volume_quantity' : '0', 'pieces_unit' : '', 'pieces_quantity' : '0', 'cooking_notes' : ''}).status_code; print('%s :: %s :: %s :: %s :: %s' %(a,621,'VEGETABLE STOCK','VEGETABLE STOCK','Minestrone soup'))</t>
  </si>
  <si>
    <t xml:space="preserve">a = Client().post('/recipes/minestrone-soup/detail/', {'recipe' : '46', 'ingredient' : '156', 'name' : 'Parsley', 'mass_unit' : '7', 'mass_quantity' : '150', 'volume_unit' : '', 'volume_quantity' : '0', 'pieces_unit' : '', 'pieces_quantity' : '0', 'cooking_notes' : ''}).status_code; print('%s :: %s :: %s :: %s :: %s' %(a,622,'Parsley','parsley','Minestrone soup'))</t>
  </si>
  <si>
    <t xml:space="preserve">a = Client().post('/recipes/minestrone-soup/detail/', {'recipe' : '46', 'ingredient' : '45', 'name' : 'Chopped Celery Stick', 'mass_unit' : '', 'mass_quantity' : '0', 'volume_unit' : '1', 'volume_quantity' : '0.5', 'pieces_unit' : '', 'pieces_quantity' : '0', 'cooking_notes' : ''}).status_code; print('%s :: %s :: %s :: %s :: %s' %(a,623,'Chopped Celery Stick','celery stick','Minestrone soup'))</t>
  </si>
  <si>
    <t xml:space="preserve">a = Client().post('/recipes/minestrone-soup/detail/', {'recipe' : '46', 'ingredient' : '193', 'name' : 'Thyme', 'mass_unit' : '', 'mass_quantity' : '0', 'volume_unit' : '5', 'volume_quantity' : '1', 'pieces_unit' : '', 'pieces_quantity' : '0', 'cooking_notes' : ''}).status_code; print('%s :: %s :: %s :: %s :: %s' %(a,624,'Thyme','thyme','Minestrone soup'))</t>
  </si>
  <si>
    <t xml:space="preserve">a = Client().post('/recipes/minestrone-soup/detail/', {'recipe' : '46', 'ingredient' : '173', 'name' : 'Rose merry', 'mass_unit' : '', 'mass_quantity' : '0', 'volume_unit' : '5', 'volume_quantity' : '3', 'pieces_unit' : '', 'pieces_quantity' : '0', 'cooking_notes' : ''}).status_code; print('%s :: %s :: %s :: %s :: %s' %(a,625,'Rose merry','rose merry','Minestrone soup'))</t>
  </si>
  <si>
    <t xml:space="preserve">a = Client().post('/recipes/minestrone-soup/detail/', {'recipe' : '46', 'ingredient' : '79', 'name' : 'Gajar', 'mass_unit' : '2', 'mass_quantity' : '1', 'volume_unit' : '', 'volume_quantity' : '0', 'pieces_unit' : '', 'pieces_quantity' : '0', 'cooking_notes' : ''}).status_code; print('%s :: %s :: %s :: %s :: %s' %(a,626,'Gajar','gajar','Minestrone soup'))</t>
  </si>
  <si>
    <t xml:space="preserve">a = Client().post('/recipes/minestrone-soup/detail/', {'recipe' : '46', 'ingredient' : '177', 'name' : 'Salt ', 'mass_unit' : '', 'mass_quantity' : '0', 'volume_unit' : '5', 'volume_quantity' : '1', 'pieces_unit' : '', 'pieces_quantity' : '0', 'cooking_notes' : ''}).status_code; print('%s :: %s :: %s :: %s :: %s' %(a,628,'Salt ','salt','Minestrone soup'))</t>
  </si>
  <si>
    <t xml:space="preserve">a = Client().post('/recipes/minestrone-soup/detail/', {'recipe' : '46', 'ingredient' : '76', 'name' : 'EVOO', 'mass_unit' : '', 'mass_quantity' : '0', 'volume_unit' : '1', 'volume_quantity' : '1', 'pieces_unit' : '', 'pieces_quantity' : '0', 'cooking_notes' : ''}).status_code; print('%s :: %s :: %s :: %s :: %s' %(a,629,'EVOO','evoo','Minestrone soup'))</t>
  </si>
  <si>
    <t xml:space="preserve">a = Client().post('/recipes/minestrone-soup/detail/', {'recipe' : '46', 'ingredient' : '95', 'name' : 'Hing ', 'mass_unit' : '', 'mass_quantity' : '0', 'volume_unit' : '5', 'volume_quantity' : '0.7', 'pieces_unit' : '', 'pieces_quantity' : '0', 'cooking_notes' : ''}).status_code; print('%s :: %s :: %s :: %s :: %s' %(a,630,'Hing ','hing','Minestrone soup'))</t>
  </si>
  <si>
    <t xml:space="preserve">a = Client().post('/recipes/minestrone-soup/detail/', {'recipe' : '46', 'ingredient' : '31', 'name' : 'Black Pepper Pwd', 'mass_unit' : '', 'mass_quantity' : '0', 'volume_unit' : '5', 'volume_quantity' : '0.7', 'pieces_unit' : '', 'pieces_quantity' : '0', 'cooking_notes' : ''}).status_code; print('%s :: %s :: %s :: %s :: %s' %(a,631,'Black Pepper Pwd','black pepper','Minestrone soup'))</t>
  </si>
  <si>
    <t xml:space="preserve">a = Client().post('/recipes/minestrone-soup/detail/', {'recipe' : '46', 'ingredient' : '45', 'name' : 'Chopped Celery Stick', 'mass_unit' : '', 'mass_quantity' : '0', 'volume_unit' : '1', 'volume_quantity' : '1', 'pieces_unit' : '', 'pieces_quantity' : '0', 'cooking_notes' : ''}).status_code; print('%s :: %s :: %s :: %s :: %s' %(a,632,'Chopped Celery Stick','celery stick','Minestrone soup'))</t>
  </si>
  <si>
    <t xml:space="preserve">a = Client().post('/recipes/minestrone-soup/detail/', {'recipe' : '46', 'ingredient' : '77', 'name' : 'Fennel Bulb', 'mass_unit' : '', 'mass_quantity' : '0', 'volume_unit' : '', 'volume_quantity' : '0', 'pieces_unit' : '3', 'pieces_quantity' : '1', 'cooking_notes' : ''}).status_code; print('%s :: %s :: %s :: %s :: %s' %(a,633,'Fennel Bulb','fennel bulb','Minestrone soup'))</t>
  </si>
  <si>
    <t xml:space="preserve">a = Client().post('/recipes/minestrone-soup/detail/', {'recipe' : '46', 'ingredient' : '37', 'name' : 'Blue bird Brown sugar (bluebird)', 'mass_unit' : '2', 'mass_quantity' : '0.5', 'volume_unit' : '', 'volume_quantity' : '0', 'pieces_unit' : '', 'pieces_quantity' : '0', 'cooking_notes' : ''}).status_code; print('%s :: %s :: %s :: %s :: %s' %(a,634,'Blue bird Brown sugar (bluebird)','brown sugar','Minestrone soup'))</t>
  </si>
  <si>
    <t xml:space="preserve">a = Client().post('/recipes/minestrone-soup/detail/', {'recipe' : '46', 'ingredient' : '76', 'name' : 'EVOO TOP', 'mass_unit' : '', 'mass_quantity' : '0', 'volume_unit' : '1', 'volume_quantity' : '0.5', 'pieces_unit' : '', 'pieces_quantity' : '0', 'cooking_notes' : ''}).status_code; print('%s :: %s :: %s :: %s :: %s' %(a,635,'EVOO TOP','evoo','Minestrone soup'))</t>
  </si>
  <si>
    <t xml:space="preserve">a = Client().post('/recipes/sauted-vegetables/detail/', {'recipe' : '71', 'ingredient' : '16', 'name' : 'Babycorn deep fried', 'mass_unit' : '2', 'mass_quantity' : '4.375', 'volume_unit' : '1', 'volume_quantity' : '3.5', 'pieces_unit' : '', 'pieces_quantity' : '0', 'cooking_notes' : ''}).status_code; print('%s :: %s :: %s :: %s :: %s' %(a,641,'Babycorn deep fried','baby corn','Sauted Vegetables'))</t>
  </si>
  <si>
    <t xml:space="preserve">a = Client().post('/recipes/sauted-vegetables/detail/', {'recipe' : '71', 'ingredient' : '168', 'name' : 'Red capsicum sauted', 'mass_unit' : '2', 'mass_quantity' : '7', 'volume_unit' : '1', 'volume_quantity' : '3.5', 'pieces_unit' : '', 'pieces_quantity' : '0', 'cooking_notes' : ''}).status_code; print('%s :: %s :: %s :: %s :: %s' %(a,643,'Red capsicum sauted','red capsicum','Sauted Vegetables'))</t>
  </si>
  <si>
    <t xml:space="preserve">a = Client().post('/recipes/sauted-vegetables/detail/', {'recipe' : '71', 'ingredient' : '209', 'name' : 'Yellow capsicum sauted', 'mass_unit' : '', 'mass_quantity' : '0', 'volume_unit' : '1', 'volume_quantity' : '3.5', 'pieces_unit' : '', 'pieces_quantity' : '0', 'cooking_notes' : ''}).status_code; print('%s :: %s :: %s :: %s :: %s' %(a,645,'Yellow capsicum sauted','yellow capsicum','Sauted Vegetables'))</t>
  </si>
  <si>
    <t xml:space="preserve">a = Client().post('/recipes/sauted-vegetables/detail/', {'recipe' : '71', 'ingredient' : '84', 'name' : 'Green capsicum sauted', 'mass_unit' : '2', 'mass_quantity' : '7', 'volume_unit' : '1', 'volume_quantity' : '3.5', 'pieces_unit' : '', 'pieces_quantity' : '0', 'cooking_notes' : ''}).status_code; print('%s :: %s :: %s :: %s :: %s' %(a,647,'Green capsicum sauted','green capsicum','Sauted Vegetables'))</t>
  </si>
  <si>
    <t xml:space="preserve">a = Client().post('/recipes/sauted-vegetables/detail/', {'recipe' : '71', 'ingredient' : '36', 'name' : 'Broccoli steamed', 'mass_unit' : '2', 'mass_quantity' : '8.75', 'volume_unit' : '1', 'volume_quantity' : '13.125', 'pieces_unit' : '', 'pieces_quantity' : '0', 'cooking_notes' : ''}).status_code; print('%s :: %s :: %s :: %s :: %s' %(a,649,'Broccoli steamed','broccoli','Sauted Vegetables'))</t>
  </si>
  <si>
    <t xml:space="preserve">a = Client().post('/recipes/sauted-vegetables/detail/', {'recipe' : '71', 'ingredient' : '210', 'name' : 'Zucchini', 'mass_unit' : '', 'mass_quantity' : '0', 'volume_unit' : '', 'volume_quantity' : '0', 'pieces_unit' : '', 'pieces_quantity' : '0', 'cooking_notes' : ''}).status_code; print('%s :: %s :: %s :: %s :: %s' %(a,650,'Zucchini','zucchini','Sauted Vegetables'))</t>
  </si>
  <si>
    <t xml:space="preserve">a = Client().post('/recipes/sauted-vegetables/detail/', {'recipe' : '71', 'ingredient' : '210', 'name' : 'Zucchini sauted', 'mass_unit' : '2', 'mass_quantity' : '6.125', 'volume_unit' : '1', 'volume_quantity' : '3.5', 'pieces_unit' : '', 'pieces_quantity' : '0', 'cooking_notes' : ''}).status_code; print('%s :: %s :: %s :: %s :: %s' %(a,651,'Zucchini sauted','zucchini','Sauted Vegetables'))</t>
  </si>
  <si>
    <t xml:space="preserve">a = Client().post('/recipes/sauted-vegetables/detail/', {'recipe' : '71', 'ingredient' : '24', 'name' : 'Basil chopped', 'mass_unit' : '2', 'mass_quantity' : '0.438', 'volume_unit' : '1', 'volume_quantity' : '3.5', 'pieces_unit' : '', 'pieces_quantity' : '0', 'cooking_notes' : ''}).status_code; print('%s :: %s :: %s :: %s :: %s' %(a,653,'Basil chopped','basil leaves','Sauted Vegetables'))</t>
  </si>
  <si>
    <t xml:space="preserve">a = Client().post('/recipes/sauted-vegetables/detail/', {'recipe' : '71', 'ingredient' : '155', 'name' : 'Panir deep fried', 'mass_unit' : '2', 'mass_quantity' : '5', 'volume_unit' : '1', 'volume_quantity' : '5', 'pieces_unit' : '', 'pieces_quantity' : '0', 'cooking_notes' : ''}).status_code; print('%s :: %s :: %s :: %s :: %s' %(a,655,'Panir deep fried','panir','Sauted Vegetables'))</t>
  </si>
  <si>
    <t xml:space="preserve">a = Client().post('/recipes/sauted-vegetables/detail/', {'recipe' : '71', 'ingredient' : '197', 'name' : 'Tulsi Tomato sauce ', 'mass_unit' : '', 'mass_quantity' : '0', 'volume_unit' : '1', 'volume_quantity' : '3.5', 'pieces_unit' : '', 'pieces_quantity' : '0', 'cooking_notes' : ''}).status_code; print('%s :: %s :: %s :: %s :: %s' %(a,656,'Tulsi Tomato sauce ','tulsi tomato sauce','Sauted Vegetables'))</t>
  </si>
  <si>
    <t xml:space="preserve">a = Client().post('/recipes/sauted-vegetables/detail/', {'recipe' : '71', 'ingredient' : '85', 'name' : 'Green chilli sauce', 'mass_unit' : '', 'mass_quantity' : '0', 'volume_unit' : '1', 'volume_quantity' : '1', 'pieces_unit' : '', 'pieces_quantity' : '0', 'cooking_notes' : ''}).status_code; print('%s :: %s :: %s :: %s :: %s' %(a,657,'Green chilli sauce','green chilli sauce','Sauted Vegetables'))</t>
  </si>
  <si>
    <t xml:space="preserve">a = Client().post('/recipes/sauted-vegetables/detail/', {'recipe' : '71', 'ingredient' : '185', 'name' : 'Soya Sauce', 'mass_unit' : '', 'mass_quantity' : '0', 'volume_unit' : '1', 'volume_quantity' : '0.5', 'pieces_unit' : '', 'pieces_quantity' : '0', 'cooking_notes' : ''}).status_code; print('%s :: %s :: %s :: %s :: %s' %(a,658,'Soya Sauce','soya sauce','Sauted Vegetables'))</t>
  </si>
  <si>
    <t xml:space="preserve">a = Client().post('/recipes/sauted-vegetables/detail/', {'recipe' : '71', 'ingredient' : '38', 'name' : 'Butter/EVOO', 'mass_unit' : '', 'mass_quantity' : '0', 'volume_unit' : '1', 'volume_quantity' : '0.525', 'pieces_unit' : '', 'pieces_quantity' : '0', 'cooking_notes' : ''}).status_code; print('%s :: %s :: %s :: %s :: %s' %(a,659,'Butter/EVOO','butter','Sauted Vegetables'))</t>
  </si>
  <si>
    <t xml:space="preserve">a = Client().post('/recipes/sauted-vegetables/detail/', {'recipe' : '71', 'ingredient' : '31', 'name' : 'Black pepper powder', 'mass_unit' : '', 'mass_quantity' : '0', 'volume_unit' : '5', 'volume_quantity' : '0.7', 'pieces_unit' : '', 'pieces_quantity' : '0', 'cooking_notes' : ''}).status_code; print('%s :: %s :: %s :: %s :: %s' %(a,660,'Black pepper powder','black pepper','Sauted Vegetables'))</t>
  </si>
  <si>
    <t xml:space="preserve">a = Client().post('/recipes/sauted-vegetables/detail/', {'recipe' : '71', 'ingredient' : '95', 'name' : 'Hing', 'mass_unit' : '', 'mass_quantity' : '0', 'volume_unit' : '5', 'volume_quantity' : '0.525', 'pieces_unit' : '', 'pieces_quantity' : '0', 'cooking_notes' : ''}).status_code; print('%s :: %s :: %s :: %s :: %s' %(a,661,'Hing','hing','Sauted Vegetables'))</t>
  </si>
  <si>
    <t xml:space="preserve">a = Client().post('/recipes/sauted-vegetables/detail/', {'recipe' : '71', 'ingredient' : '177', 'name' : 'Salt', 'mass_unit' : '', 'mass_quantity' : '0', 'volume_unit' : '5', 'volume_quantity' : '1.75', 'pieces_unit' : '', 'pieces_quantity' : '0', 'cooking_notes' : ''}).status_code; print('%s :: %s :: %s :: %s :: %s' %(a,662,'Salt','salt','Sauted Vegetables'))</t>
  </si>
  <si>
    <t xml:space="preserve">a = Client().post('/recipes/sauted-vegetables/detail/', {'recipe' : '71', 'ingredient' : '83', 'name' : 'oil for frying', 'mass_unit' : '', 'mass_quantity' : '0', 'volume_unit' : '', 'volume_quantity' : '0', 'pieces_unit' : '', 'pieces_quantity' : '0', 'cooking_notes' : ''}).status_code; print('%s :: %s :: %s :: %s :: %s' %(a,665,'oil for frying','gound nut oil','Sauted Vegetables'))</t>
  </si>
  <si>
    <t xml:space="preserve">a = Client().post('/recipes/schezwan-sauce/detail/', {'recipe' : '72', 'ingredient' : '89', 'name' : 'Groundnut Oil (Singdana Tel)', 'mass_unit' : '', 'mass_quantity' : '0', 'volume_unit' : '1', 'volume_quantity' : '2', 'pieces_unit' : '', 'pieces_quantity' : '0', 'cooking_notes' : ''}).status_code; print('%s :: %s :: %s :: %s :: %s' %(a,669,'Groundnut Oil (Singdana Tel)','ground nut oil','Schezwan sauce'))</t>
  </si>
  <si>
    <t xml:space="preserve">a = Client().post('/recipes/schezwan-sauce/detail/', {'recipe' : '72', 'ingredient' : '1', 'name' : 'Adrak (Ginger)', 'mass_unit' : '', 'mass_quantity' : '0', 'volume_unit' : '1', 'volume_quantity' : '1.5', 'pieces_unit' : '', 'pieces_quantity' : '0', 'cooking_notes' : ''}).status_code; print('%s :: %s :: %s :: %s :: %s' %(a,670,'Adrak (Ginger)','adrak','Schezwan sauce'))</t>
  </si>
  <si>
    <t xml:space="preserve">a = Client().post('/recipes/schezwan-sauce/detail/', {'recipe' : '72', 'ingredient' : '45', 'name' : 'Celery Stick', 'mass_unit' : '', 'mass_quantity' : '0', 'volume_unit' : '1', 'volume_quantity' : '3', 'pieces_unit' : '', 'pieces_quantity' : '0', 'cooking_notes' : ''}).status_code; print('%s :: %s :: %s :: %s :: %s' %(a,671,'Celery Stick','celery stick','Schezwan sauce'))</t>
  </si>
  <si>
    <t xml:space="preserve">a = Client().post('/recipes/schezwan-sauce/detail/', {'recipe' : '72', 'ingredient' : '93', 'name' : 'Green chilly', 'mass_unit' : '', 'mass_quantity' : '0', 'volume_unit' : '1', 'volume_quantity' : '1', 'pieces_unit' : '', 'pieces_quantity' : '0', 'cooking_notes' : ''}).status_code; print('%s :: %s :: %s :: %s :: %s' %(a,672,'Green chilly','hari mirchi','Schezwan sauce'))</t>
  </si>
  <si>
    <t xml:space="preserve">a = Client().post('/recipes/schezwan-sauce/detail/', {'recipe' : '72', 'ingredient' : '40', 'name' : 'Cabbage (Desi)', 'mass_unit' : '', 'mass_quantity' : '0', 'volume_unit' : '1', 'volume_quantity' : '1.5', 'pieces_unit' : '', 'pieces_quantity' : '0', 'cooking_notes' : ''}).status_code; print('%s :: %s :: %s :: %s :: %s' %(a,673,'Cabbage (Desi)','cabbage (desi)','Schezwan sauce'))</t>
  </si>
  <si>
    <t xml:space="preserve">a = Client().post('/recipes/schezwan-sauce/detail/', {'recipe' : '72', 'ingredient' : '52', 'name' : 'Chilly Sauce', 'mass_unit' : '', 'mass_quantity' : '0', 'volume_unit' : '1', 'volume_quantity' : '2', 'pieces_unit' : '', 'pieces_quantity' : '0', 'cooking_notes' : ''}).status_code; print('%s :: %s :: %s :: %s :: %s' %(a,674,'Chilly Sauce','chilly sauce','Schezwan sauce'))</t>
  </si>
  <si>
    <t xml:space="preserve">a = Client().post('/recipes/schezwan-sauce/detail/', {'recipe' : '72', 'ingredient' : '195', 'name' : 'Tomato Sauce', 'mass_unit' : '', 'mass_quantity' : '0', 'volume_unit' : '1', 'volume_quantity' : '1', 'pieces_unit' : '', 'pieces_quantity' : '0', 'cooking_notes' : ''}).status_code; print('%s :: %s :: %s :: %s :: %s' %(a,675,'Tomato Sauce','tomato','Schezwan sauce'))</t>
  </si>
  <si>
    <t xml:space="preserve">a = Client().post('/recipes/schezwan-sauce/detail/', {'recipe' : '72', 'ingredient' : '117', 'name' : 'Kashmiri Mirchi', 'mass_unit' : '7', 'mass_quantity' : '400', 'volume_unit' : '', 'volume_quantity' : '0', 'pieces_unit' : '', 'pieces_quantity' : '0', 'cooking_notes' : ''}).status_code; print('%s :: %s :: %s :: %s :: %s' %(a,676,'Kashmiri Mirchi','kashmiri chilly powder','Schezwan sauce'))</t>
  </si>
  <si>
    <t xml:space="preserve">a = Client().post('/recipes/schezwan-sauce/detail/', {'recipe' : '72', 'ingredient' : '205', 'name' : 'White Pepper Powder', 'mass_unit' : '', 'mass_quantity' : '0', 'volume_unit' : '5', 'volume_quantity' : '0.5', 'pieces_unit' : '', 'pieces_quantity' : '0', 'cooking_notes' : ''}).status_code; print('%s :: %s :: %s :: %s :: %s' %(a,677,'White Pepper Powder','white pepper powder','Schezwan sauce'))</t>
  </si>
  <si>
    <t xml:space="preserve">a = Client().post('/recipes/schezwan-sauce/detail/', {'recipe' : '72', 'ingredient' : '177', 'name' : 'Salt (Namak)', 'mass_unit' : '', 'mass_quantity' : '0', 'volume_unit' : '5', 'volume_quantity' : '0.3', 'pieces_unit' : '', 'pieces_quantity' : '0', 'cooking_notes' : ''}).status_code; print('%s :: %s :: %s :: %s :: %s' %(a,678,'Salt (Namak)','salt','Schezwan sauce'))</t>
  </si>
  <si>
    <t xml:space="preserve">a = Client().post('/recipes/schezwan-sauce/detail/', {'recipe' : '72', 'ingredient' : '187', 'name' : 'Sugar (Chini)', 'mass_unit' : '', 'mass_quantity' : '0', 'volume_unit' : '5', 'volume_quantity' : '1', 'pieces_unit' : '', 'pieces_quantity' : '0', 'cooking_notes' : ''}).status_code; print('%s :: %s :: %s :: %s :: %s' %(a,679,'Sugar (Chini)','sugar','Schezwan sauce'))</t>
  </si>
  <si>
    <t xml:space="preserve">a = Client().post('/recipes/kothimbit-wadi/detail/', {'recipe' : '39', 'ingredient' : '67', 'name' : 'Dhaniya', 'mass_unit' : '', 'mass_quantity' : '0', 'volume_unit' : '', 'volume_quantity' : '0', 'pieces_unit' : '8', 'pieces_quantity' : '25', 'cooking_notes' : ''}).status_code; print('%s :: %s :: %s :: %s :: %s' %(a,684,'Dhaniya','dhaniya powder','Kothimbit wadi'))</t>
  </si>
  <si>
    <t xml:space="preserve">a = Client().post('/recipes/kothimbit-wadi/detail/', {'recipe' : '39', 'ingredient' : '28', 'name' : 'Besan (Chickpea Flour)', 'mass_unit' : '', 'mass_quantity' : '0', 'volume_unit' : '1', 'volume_quantity' : '10', 'pieces_unit' : '', 'pieces_quantity' : '0', 'cooking_notes' : ''}).status_code; print('%s :: %s :: %s :: %s :: %s' %(a,685,'Besan (Chickpea Flour)','besan','Kothimbit wadi'))</t>
  </si>
  <si>
    <t xml:space="preserve">a = Client().post('/recipes/kothimbit-wadi/detail/', {'recipe' : '39', 'ingredient' : '171', 'name' : 'Rice Flour', 'mass_unit' : '', 'mass_quantity' : '0', 'volume_unit' : '1', 'volume_quantity' : '0.5', 'pieces_unit' : '', 'pieces_quantity' : '0', 'cooking_notes' : ''}).status_code; print('%s :: %s :: %s :: %s :: %s' %(a,686,'Rice Flour','rice flour','Kothimbit wadi'))</t>
  </si>
  <si>
    <t xml:space="preserve">a = Client().post('/recipes/kothimbit-wadi/detail/', {'recipe' : '39', 'ingredient' : '214', 'name' : 'Water', 'mass_unit' : '', 'mass_quantity' : '0', 'volume_unit' : '1', 'volume_quantity' : '10', 'pieces_unit' : '', 'pieces_quantity' : '0', 'cooking_notes' : ''}).status_code; print('%s :: %s :: %s :: %s :: %s' %(a,687,'Water','water','Kothimbit wadi'))</t>
  </si>
  <si>
    <t xml:space="preserve">a = Client().post('/recipes/kothimbit-wadi/detail/', {'recipe' : '39', 'ingredient' : '93', 'name' : 'Green chilly', 'mass_unit' : '', 'mass_quantity' : '0', 'volume_unit' : '1', 'volume_quantity' : '0.5', 'pieces_unit' : '', 'pieces_quantity' : '0', 'cooking_notes' : ''}).status_code; print('%s :: %s :: %s :: %s :: %s' %(a,688,'Green chilly','hari mirchi','Kothimbit wadi'))</t>
  </si>
  <si>
    <t xml:space="preserve">a = Client().post('/recipes/kothimbit-wadi/detail/', {'recipe' : '39', 'ingredient' : '1', 'name' : 'Adrak Paste', 'mass_unit' : '', 'mass_quantity' : '0', 'volume_unit' : '1', 'volume_quantity' : '0.5', 'pieces_unit' : '', 'pieces_quantity' : '0', 'cooking_notes' : ''}).status_code; print('%s :: %s :: %s :: %s :: %s' %(a,689,'Adrak Paste','adrak','Kothimbit wadi'))</t>
  </si>
  <si>
    <t xml:space="preserve">a = Client().post('/recipes/kothimbit-wadi/detail/', {'recipe' : '39', 'ingredient' : '67', 'name' : 'Dhania Powder (Coriander Pdr)', 'mass_unit' : '', 'mass_quantity' : '0', 'volume_unit' : '12', 'volume_quantity' : '300', 'pieces_unit' : '', 'pieces_quantity' : '0', 'cooking_notes' : ''}).status_code; print('%s :: %s :: %s :: %s :: %s' %(a,690,'Dhania Powder (Coriander Pdr)','dhaniya powder','Kothimbit wadi'))</t>
  </si>
  <si>
    <t xml:space="preserve">a = Client().post('/recipes/kothimbit-wadi/detail/', {'recipe' : '39', 'ingredient' : '103', 'name' : 'Zeera Powder (Cumin Pdr)', 'mass_unit' : '', 'mass_quantity' : '0', 'volume_unit' : '12', 'volume_quantity' : '300', 'pieces_unit' : '', 'pieces_quantity' : '0', 'cooking_notes' : ''}).status_code; print('%s :: %s :: %s :: %s :: %s' %(a,691,'Zeera Powder (Cumin Pdr)','jeera powder','Kothimbit wadi'))</t>
  </si>
  <si>
    <t xml:space="preserve">a = Client().post('/recipes/kothimbit-wadi/detail/', {'recipe' : '39', 'ingredient' : '91', 'name' : 'Haldi (Turmeric Pdr)', 'mass_unit' : '', 'mass_quantity' : '0', 'volume_unit' : '12', 'volume_quantity' : '300', 'pieces_unit' : '', 'pieces_quantity' : '0', 'cooking_notes' : ''}).status_code; print('%s :: %s :: %s :: %s :: %s' %(a,692,'Haldi (Turmeric Pdr)','haldi','Kothimbit wadi'))</t>
  </si>
  <si>
    <t xml:space="preserve">a = Client().post('/recipes/kothimbit-wadi/detail/', {'recipe' : '39', 'ingredient' : '135', 'name' : 'Lal Mirchi Powder (Red Chilli Pdr)', 'mass_unit' : '', 'mass_quantity' : '0', 'volume_unit' : '12', 'volume_quantity' : '250', 'pieces_unit' : '', 'pieces_quantity' : '0', 'cooking_notes' : ''}).status_code; print('%s :: %s :: %s :: %s :: %s' %(a,693,'Lal Mirchi Powder (Red Chilli Pdr)','madrasi mirchi powder','Kothimbit wadi'))</t>
  </si>
  <si>
    <t xml:space="preserve">a = Client().post('/recipes/kothimbit-wadi/detail/', {'recipe' : '39', 'ingredient' : '177', 'name' : 'Salt (Namak)', 'mass_unit' : '', 'mass_quantity' : '0', 'volume_unit' : '5', 'volume_quantity' : '1.5', 'pieces_unit' : '', 'pieces_quantity' : '0', 'cooking_notes' : ''}).status_code; print('%s :: %s :: %s :: %s :: %s' %(a,694,'Salt (Namak)','salt','Kothimbit wadi'))</t>
  </si>
  <si>
    <t xml:space="preserve">a = Client().post('/recipes/kothimbit-wadi/detail/', {'recipe' : '39', 'ingredient' : '48', 'name' : 'Chaunce', 'mass_unit' : '', 'mass_quantity' : '0', 'volume_unit' : '', 'volume_quantity' : '0', 'pieces_unit' : '', 'pieces_quantity' : '0', 'cooking_notes' : ''}).status_code; print('%s :: %s :: %s :: %s :: %s' %(a,695,'Chaunce','chaunce','Kothimbit wadi'))</t>
  </si>
  <si>
    <t xml:space="preserve">a = Client().post('/recipes/kothimbit-wadi/detail/', {'recipe' : '39', 'ingredient' : '89', 'name' : 'Groundnut Oil (Singdana Tel)', 'mass_unit' : '', 'mass_quantity' : '0', 'volume_unit' : '1', 'volume_quantity' : '1.5', 'pieces_unit' : '', 'pieces_quantity' : '0', 'cooking_notes' : ''}).status_code; print('%s :: %s :: %s :: %s :: %s' %(a,696,'Groundnut Oil (Singdana Tel)','ground nut oil','Kothimbit wadi'))</t>
  </si>
  <si>
    <t xml:space="preserve">a = Client().post('/recipes/kothimbit-wadi/detail/', {'recipe' : '39', 'ingredient' : '102', 'name' : 'Zeera (Cumin Seeds)', 'mass_unit' : '', 'mass_quantity' : '0', 'volume_unit' : '5', 'volume_quantity' : '1.5', 'pieces_unit' : '', 'pieces_quantity' : '0', 'cooking_notes' : ''}).status_code; print('%s :: %s :: %s :: %s :: %s' %(a,697,'Zeera (Cumin Seeds)','jeera','Kothimbit wadi'))</t>
  </si>
  <si>
    <t xml:space="preserve">a = Client().post('/recipes/kothimbit-wadi/detail/', {'recipe' : '39', 'ingredient' : '95', 'name' : 'Hing (Asafoetida)', 'mass_unit' : '', 'mass_quantity' : '0', 'volume_unit' : '5', 'volume_quantity' : '0.75', 'pieces_unit' : '', 'pieces_quantity' : '0', 'cooking_notes' : ''}).status_code; print('%s :: %s :: %s :: %s :: %s' %(a,698,'Hing (Asafoetida)','hing','Kothimbit wadi'))</t>
  </si>
  <si>
    <t xml:space="preserve">a = Client().post('/recipes/kothimbit-wadi/detail/', {'recipe' : '39', 'ingredient' : '66', 'name' : 'Dhania Patta (Coriander Leaves)', 'mass_unit' : '', 'mass_quantity' : '0', 'volume_unit' : '', 'volume_quantity' : '0', 'pieces_unit' : '', 'pieces_quantity' : '0', 'cooking_notes' : ''}).status_code; print('%s :: %s :: %s :: %s :: %s' %(a,699,'Dhania Patta (Coriander Leaves)','dhaniya patta','Kothimbit wadi'))</t>
  </si>
  <si>
    <t xml:space="preserve">a = Client().post('/recipes/kothimbit-wadi/detail/', {'recipe' : '39', 'ingredient' : '47', 'name' : 'Chat Masala', 'mass_unit' : '', 'mass_quantity' : '0', 'volume_unit' : '5', 'volume_quantity' : '1', 'pieces_unit' : '', 'pieces_quantity' : '0', 'cooking_notes' : ''}).status_code; print('%s :: %s :: %s :: %s :: %s' %(a,700,'Chat Masala','chat masala','Kothimbit wadi'))</t>
  </si>
  <si>
    <t xml:space="preserve">a = Client().post('/recipes/biryani-dum-layer/detail/', {'recipe' : '10', 'ingredient' : '181', 'name' : 'Shahi Jeera', 'mass_unit' : '', 'mass_quantity' : '5', 'volume_unit' : '', 'volume_quantity' : '0', 'pieces_unit' : '', 'pieces_quantity' : '0', 'cooking_notes' : ''}).status_code; print('%s :: %s :: %s :: %s :: %s' %(a,704,'Shahi Jeera','shahi jeera','Biryani Dum Layer'))</t>
  </si>
  <si>
    <t xml:space="preserve">a = Client().post('/recipes/biryani-dum-layer/detail/', {'recipe' : '10', 'ingredient' : '186', 'name' : 'Starfal', 'mass_unit' : '', 'mass_quantity' : '20', 'volume_unit' : '', 'volume_quantity' : '0', 'pieces_unit' : '', 'pieces_quantity' : '0', 'cooking_notes' : ''}).status_code; print('%s :: %s :: %s :: %s :: %s' %(a,705,'Starfal','starfal','Biryani Dum Layer'))</t>
  </si>
  <si>
    <t xml:space="preserve">a = Client().post('/recipes/biryani-dum-layer/detail/', {'recipe' : '10', 'ingredient' : '58', 'name' : 'Dagad Ful', 'mass_unit' : '', 'mass_quantity' : '10', 'volume_unit' : '', 'volume_quantity' : '0', 'pieces_unit' : '', 'pieces_quantity' : '0', 'cooking_notes' : ''}).status_code; print('%s :: %s :: %s :: %s :: %s' %(a,706,'Dagad Ful','dagad ful','Biryani Dum Layer'))</t>
  </si>
  <si>
    <t xml:space="preserve">a = Client().post('/recipes/biryani-dum-layer/detail/', {'recipe' : '10', 'ingredient' : '61', 'name' : 'Dalchini', 'mass_unit' : '', 'mass_quantity' : '3', 'volume_unit' : '', 'volume_quantity' : '0', 'pieces_unit' : '', 'pieces_quantity' : '0', 'cooking_notes' : ''}).status_code; print('%s :: %s :: %s :: %s :: %s' %(a,707,'Dalchini','dalchini','Biryani Dum Layer'))</t>
  </si>
  <si>
    <t xml:space="preserve">a = Client().post('/recipes/biryani-dum-layer/detail/', {'recipe' : '10', 'ingredient' : '128', 'name' : 'Lavang', 'mass_unit' : '', 'mass_quantity' : '20', 'volume_unit' : '', 'volume_quantity' : '0', 'pieces_unit' : '', 'pieces_quantity' : '0', 'cooking_notes' : ''}).status_code; print('%s :: %s :: %s :: %s :: %s' %(a,708,'Lavang','lavang','Biryani Dum Layer'))</t>
  </si>
  <si>
    <t xml:space="preserve">a = Client().post('/recipes/biryani-dum-layer/detail/', {'recipe' : '10', 'ingredient' : '113', 'name' : 'Kalimiri', 'mass_unit' : '', 'mass_quantity' : '20', 'volume_unit' : '', 'volume_quantity' : '0', 'pieces_unit' : '', 'pieces_quantity' : '0', 'cooking_notes' : ''}).status_code; print('%s :: %s :: %s :: %s :: %s' %(a,709,'Kalimiri','kalimiri','Biryani Dum Layer'))</t>
  </si>
  <si>
    <t xml:space="preserve">a = Client().post('/recipes/biryani-dum-layer/detail/', {'recipe' : '10', 'ingredient' : '191', 'name' : 'Tej Patta', 'mass_unit' : '', 'mass_quantity' : '20', 'volume_unit' : '', 'volume_quantity' : '0', 'pieces_unit' : '', 'pieces_quantity' : '0', 'cooking_notes' : ''}).status_code; print('%s :: %s :: %s :: %s :: %s' %(a,710,'Tej Patta','tej patta','Biryani Dum Layer'))</t>
  </si>
  <si>
    <t xml:space="preserve">a = Client().post('/recipes/biryani-dum-layer/detail/', {'recipe' : '10', 'ingredient' : '70', 'name' : 'Masala Elaichi', 'mass_unit' : '', 'mass_quantity' : '20', 'volume_unit' : '', 'volume_quantity' : '0', 'pieces_unit' : '', 'pieces_quantity' : '0', 'cooking_notes' : ''}).status_code; print('%s :: %s :: %s :: %s :: %s' %(a,711,'Masala Elaichi','elaichi','Biryani Dum Layer'))</t>
  </si>
  <si>
    <t xml:space="preserve">a = Client().post('/recipes/biryani-dum-layer/detail/', {'recipe' : '10', 'ingredient' : '86', 'name' : 'Green Elaichi', 'mass_unit' : '', 'mass_quantity' : '20', 'volume_unit' : '', 'volume_quantity' : '0', 'pieces_unit' : '', 'pieces_quantity' : '0', 'cooking_notes' : ''}).status_code; print('%s :: %s :: %s :: %s :: %s' %(a,712,'Green Elaichi','green elaichi','Biryani Dum Layer'))</t>
  </si>
  <si>
    <t xml:space="preserve">a = Client().post('/recipes/biryani-dum-layer/detail/', {'recipe' : '10', 'ingredient' : '101', 'name' : 'Jaiwantri', 'mass_unit' : '', 'mass_quantity' : '20', 'volume_unit' : '', 'volume_quantity' : '0', 'pieces_unit' : '', 'pieces_quantity' : '0', 'cooking_notes' : ''}).status_code; print('%s :: %s :: %s :: %s :: %s' %(a,713,'Jaiwantri','jaiwantri','Biryani Dum Layer'))</t>
  </si>
  <si>
    <t xml:space="preserve">a = Client().post('/recipes/biryani-dum-layer/detail/', {'recipe' : '10', 'ingredient' : '102', 'name' : 'Jeera', 'mass_unit' : '', 'mass_quantity' : '20', 'volume_unit' : '', 'volume_quantity' : '0', 'pieces_unit' : '', 'pieces_quantity' : '0', 'cooking_notes' : ''}).status_code; print('%s :: %s :: %s :: %s :: %s' %(a,714,'Jeera','jeera','Biryani Dum Layer'))</t>
  </si>
  <si>
    <t xml:space="preserve">a = Client().post('/recipes/biryani-dum-layer/detail/', {'recipe' : '10', 'ingredient' : '118', 'name' : 'Kasuri Methi', 'mass_unit' : '', 'mass_quantity' : '20', 'volume_unit' : '', 'volume_quantity' : '0', 'pieces_unit' : '', 'pieces_quantity' : '0', 'cooking_notes' : ''}).status_code; print('%s :: %s :: %s :: %s :: %s' %(a,715,'Kasuri Methi','kasuri methi','Biryani Dum Layer'))</t>
  </si>
  <si>
    <t xml:space="preserve">a = Client().post('/recipes/biryani-dum-layer/detail/', {'recipe' : '10', 'ingredient' : '117', 'name' : 'Kasmiri Mirchi', 'mass_unit' : '', 'mass_quantity' : '50', 'volume_unit' : '', 'volume_quantity' : '0', 'pieces_unit' : '', 'pieces_quantity' : '0', 'cooking_notes' : ''}).status_code; print('%s :: %s :: %s :: %s :: %s' %(a,716,'Kasmiri Mirchi','kashmiri chilly powder','Biryani Dum Layer'))</t>
  </si>
  <si>
    <t xml:space="preserve">a = Client().post('/recipes/biryani-dum-layer/detail/', {'recipe' : '10', 'ingredient' : '67', 'name' : 'Dhaniya Powder', 'mass_unit' : '', 'mass_quantity' : '50', 'volume_unit' : '', 'volume_quantity' : '0', 'pieces_unit' : '', 'pieces_quantity' : '0', 'cooking_notes' : ''}).status_code; print('%s :: %s :: %s :: %s :: %s' %(a,718,'Dhaniya Powder','dhaniya powder','Biryani Dum Layer'))</t>
  </si>
  <si>
    <t xml:space="preserve">a = Client().post('/recipes/biryani-dum-layer/detail/', {'recipe' : '10', 'ingredient' : '91', 'name' : 'Haldi Powder', 'mass_unit' : '', 'mass_quantity' : '50', 'volume_unit' : '', 'volume_quantity' : '0', 'pieces_unit' : '', 'pieces_quantity' : '0', 'cooking_notes' : ''}).status_code; print('%s :: %s :: %s :: %s :: %s' %(a,719,'Haldi Powder','haldi','Biryani Dum Layer'))</t>
  </si>
  <si>
    <t xml:space="preserve">a = Client().post('/recipes/biryani-dum-layer/detail/', {'recipe' : '10', 'ingredient' : '95', 'name' : 'Hing Powder', 'mass_unit' : '', 'mass_quantity' : '20', 'volume_unit' : '', 'volume_quantity' : '0', 'pieces_unit' : '', 'pieces_quantity' : '0', 'cooking_notes' : ''}).status_code; print('%s :: %s :: %s :: %s :: %s' %(a,720,'Hing Powder','hing','Biryani Dum Layer'))</t>
  </si>
  <si>
    <t xml:space="preserve">a = Client().post('/recipes/biryani-dum-layer/detail/', {'recipe' : '10', 'ingredient' : '117', 'name' : 'Kashmiri Mirchi Powder', 'mass_unit' : '', 'mass_quantity' : '50', 'volume_unit' : '', 'volume_quantity' : '0', 'pieces_unit' : '', 'pieces_quantity' : '0', 'cooking_notes' : ''}).status_code; print('%s :: %s :: %s :: %s :: %s' %(a,721,'Kashmiri Mirchi Powder','kashmiri chilly powder','Biryani Dum Layer'))</t>
  </si>
  <si>
    <t xml:space="preserve">a = Client().post('/recipes/biryani-dum-layer/detail/', {'recipe' : '10', 'ingredient' : '20', 'name' : 'Badshah Rajwadi Garam Masala', 'mass_unit' : '', 'mass_quantity' : '40', 'volume_unit' : '', 'volume_quantity' : '0', 'pieces_unit' : '', 'pieces_quantity' : '0', 'cooking_notes' : ''}).status_code; print('%s :: %s :: %s :: %s :: %s' %(a,722,'Badshah Rajwadi Garam Masala','badshah rajwadi garam masala','Biryani Dum Layer'))</t>
  </si>
  <si>
    <t xml:space="preserve">a = Client().post('/recipes/biryani-dum-layer/detail/', {'recipe' : '10', 'ingredient' : '73', 'name' : 'Everest Chole Masala', 'mass_unit' : '', 'mass_quantity' : '40', 'volume_unit' : '', 'volume_quantity' : '0', 'pieces_unit' : '', 'pieces_quantity' : '0', 'cooking_notes' : ''}).status_code; print('%s :: %s :: %s :: %s :: %s' %(a,723,'Everest Chole Masala','everest chole masala','Biryani Dum Layer'))</t>
  </si>
  <si>
    <t xml:space="preserve">a = Client().post('/recipes/biryani-dum-layer/detail/', {'recipe' : '10', 'ingredient' : '75', 'name' : 'Everest Shahi Briyani Masala', 'mass_unit' : '', 'mass_quantity' : '40', 'volume_unit' : '', 'volume_quantity' : '0', 'pieces_unit' : '', 'pieces_quantity' : '0', 'cooking_notes' : ''}).status_code; print('%s :: %s :: %s :: %s :: %s' %(a,724,'Everest Shahi Briyani Masala','everest shahi briyani masala','Biryani Dum Layer'))</t>
  </si>
  <si>
    <t xml:space="preserve">a = Client().post('/recipes/biryani-dum-layer/detail/', {'recipe' : '10', 'ingredient' : '115', 'name' : 'Kapol Chat Masala', 'mass_unit' : '', 'mass_quantity' : '80', 'volume_unit' : '', 'volume_quantity' : '0', 'pieces_unit' : '', 'pieces_quantity' : '0', 'cooking_notes' : ''}).status_code; print('%s :: %s :: %s :: %s :: %s' %(a,725,'Kapol Chat Masala','kapol chat masala','Biryani Dum Layer'))</t>
  </si>
  <si>
    <t xml:space="preserve">a = Client().post('/recipes/biryani-dum-layer/detail/', {'recipe' : '10', 'ingredient' : '32', 'name' : 'Black Salt Powder', 'mass_unit' : '', 'mass_quantity' : '100', 'volume_unit' : '', 'volume_quantity' : '0', 'pieces_unit' : '', 'pieces_quantity' : '0', 'cooking_notes' : ''}).status_code; print('%s :: %s :: %s :: %s :: %s' %(a,726,'Black Salt Powder','black salt','Biryani Dum Layer'))</t>
  </si>
  <si>
    <t xml:space="preserve">a = Client().post('/recipes/biryani-dum-layer/detail/', {'recipe' : '10', 'ingredient' : '177', 'name' : 'Tata salt', 'mass_unit' : '2', 'mass_quantity' : '0.4', 'volume_unit' : '', 'volume_quantity' : '0', 'pieces_unit' : '', 'pieces_quantity' : '0', 'cooking_notes' : ''}).status_code; print('%s :: %s :: %s :: %s :: %s' %(a,727,'Tata salt','salt','Biryani Dum Layer'))</t>
  </si>
  <si>
    <t xml:space="preserve">a = Client().post('/recipes/biryani-dum-layer/detail/', {'recipe' : '10', 'ingredient' : '109', 'name' : 'Kaju Kani', 'mass_unit' : '2', 'mass_quantity' : '0.2', 'volume_unit' : '', 'volume_quantity' : '0', 'pieces_unit' : '', 'pieces_quantity' : '0', 'cooking_notes' : ''}).status_code; print('%s :: %s :: %s :: %s :: %s' %(a,728,'Kaju Kani','kaju kani','Biryani Dum Layer'))</t>
  </si>
  <si>
    <t xml:space="preserve">a = Client().post('/recipes/biryani-dum-layer/detail/', {'recipe' : '10', 'ingredient' : '136', 'name' : 'Magaj', 'mass_unit' : '2', 'mass_quantity' : '0.2', 'volume_unit' : '', 'volume_quantity' : '0', 'pieces_unit' : '', 'pieces_quantity' : '0', 'cooking_notes' : ''}).status_code; print('%s :: %s :: %s :: %s :: %s' %(a,729,'Magaj','magaj','Biryani Dum Layer'))</t>
  </si>
  <si>
    <t xml:space="preserve">a = Client().post('/recipes/biryani-dum-layer/detail/', {'recipe' : '10', 'ingredient' : '206', 'name' : 'White Teel', 'mass_unit' : '', 'mass_quantity' : '100', 'volume_unit' : '', 'volume_quantity' : '0', 'pieces_unit' : '', 'pieces_quantity' : '0', 'cooking_notes' : ''}).status_code; print('%s :: %s :: %s :: %s :: %s' %(a,730,'White Teel','white til','Biryani Dum Layer'))</t>
  </si>
  <si>
    <t xml:space="preserve">a = Client().post('/recipes/biryani-dum-layer/detail/', {'recipe' : '10', 'ingredient' : '121', 'name' : 'Khas Khas', 'mass_unit' : '', 'mass_quantity' : '20', 'volume_unit' : '', 'volume_quantity' : '0', 'pieces_unit' : '', 'pieces_quantity' : '0', 'cooking_notes' : ''}).status_code; print('%s :: %s :: %s :: %s :: %s' %(a,731,'Khas Khas','khas khas','Biryani Dum Layer'))</t>
  </si>
  <si>
    <t xml:space="preserve">a = Client().post('/recipes/biryani-dum-layer/detail/', {'recipe' : '10', 'ingredient' : '81', 'name' : 'Ghee', 'mass_unit' : '2', 'mass_quantity' : '2', 'volume_unit' : '', 'volume_quantity' : '0', 'pieces_unit' : '', 'pieces_quantity' : '0', 'cooking_notes' : ''}).status_code; print('%s :: %s :: %s :: %s :: %s' %(a,732,'Ghee','ghee','Biryani Dum Layer'))</t>
  </si>
  <si>
    <t xml:space="preserve">a = Client().post('/recipes/biryani-dum-layer/detail/', {'recipe' : '10', 'ingredient' : '83', 'name' : 'Oil', 'mass_unit' : '2', 'mass_quantity' : '1', 'volume_unit' : '', 'volume_quantity' : '0', 'pieces_unit' : '', 'pieces_quantity' : '0', 'cooking_notes' : ''}).status_code; print('%s :: %s :: %s :: %s :: %s' %(a,733,'Oil','gound nut oil','Biryani Dum Layer'))</t>
  </si>
  <si>
    <t xml:space="preserve">a = Client().post('/recipes/biryani-dum-layer/detail/', {'recipe' : '10', 'ingredient' : '152', 'name' : 'Orange Red Colour', 'mass_unit' : '', 'mass_quantity' : '0', 'volume_unit' : '13', 'volume_quantity' : '0.2', 'pieces_unit' : '', 'pieces_quantity' : '0', 'cooking_notes' : ''}).status_code; print('%s :: %s :: %s :: %s :: %s' %(a,734,'Orange Red Colour','orange red colour','Biryani Dum Layer'))</t>
  </si>
  <si>
    <t xml:space="preserve">a = Client().post('/recipes/biryani-dum-layer/detail/', {'recipe' : '10', 'ingredient' : '131', 'name' : 'Lemon Yellow Colour', 'mass_unit' : '', 'mass_quantity' : '0', 'volume_unit' : '13', 'volume_quantity' : '0.2', 'pieces_unit' : '', 'pieces_quantity' : '0', 'cooking_notes' : ''}).status_code; print('%s :: %s :: %s :: %s :: %s' %(a,735,'Lemon Yellow Colour','lemon yellow colour','Biryani Dum Layer'))</t>
  </si>
  <si>
    <t xml:space="preserve">a = Client().post('/recipes/biryani-dum-layer/detail/', {'recipe' : '10', 'ingredient' : '15', 'name' : 'Apple Green Colour', 'mass_unit' : '', 'mass_quantity' : '0', 'volume_unit' : '13', 'volume_quantity' : '0.2', 'pieces_unit' : '', 'pieces_quantity' : '0', 'cooking_notes' : ''}).status_code; print('%s :: %s :: %s :: %s :: %s' %(a,736,'Apple Green Colour','apple green colour','Biryani Dum Layer'))</t>
  </si>
  <si>
    <t xml:space="preserve">a = Client().post('/recipes/biryani-dum-layer/detail/', {'recipe' : '10', 'ingredient' : '25', 'name' : 'Basmati Rice', 'mass_unit' : '2', 'mass_quantity' : '5', 'volume_unit' : '', 'volume_quantity' : '0', 'pieces_unit' : '', 'pieces_quantity' : '0', 'cooking_notes' : ''}).status_code; print('%s :: %s :: %s :: %s :: %s' %(a,737,'Basmati Rice','basmati rice','Biryani Dum Layer'))</t>
  </si>
  <si>
    <t xml:space="preserve">a = Client().post('/recipes/biryani-dum-layer/detail/', {'recipe' : '10', 'ingredient' : '195', 'name' : 'Tomato 1', 'mass_unit' : '2', 'mass_quantity' : '3', 'volume_unit' : '', 'volume_quantity' : '0', 'pieces_unit' : '', 'pieces_quantity' : '0', 'cooking_notes' : ''}).status_code; print('%s :: %s :: %s :: %s :: %s' %(a,738,'Tomato 1','tomato','Biryani Dum Layer'))</t>
  </si>
  <si>
    <t xml:space="preserve">a = Client().post('/recipes/biryani-dum-layer/detail/', {'recipe' : '10', 'ingredient' : '195', 'name' : 'Tomato 2', 'mass_unit' : '2', 'mass_quantity' : '0.6', 'volume_unit' : '', 'volume_quantity' : '0', 'pieces_unit' : '', 'pieces_quantity' : '0', 'cooking_notes' : ''}).status_code; print('%s :: %s :: %s :: %s :: %s' %(a,739,'Tomato 2','tomato','Biryani Dum Layer'))</t>
  </si>
  <si>
    <t xml:space="preserve">a = Client().post('/recipes/biryani-dum-layer/detail/', {'recipe' : '10', 'ingredient' : '1', 'name' : 'Adrak', 'mass_unit' : '7', 'mass_quantity' : '100', 'volume_unit' : '', 'volume_quantity' : '0', 'pieces_unit' : '', 'pieces_quantity' : '0', 'cooking_notes' : ''}).status_code; print('%s :: %s :: %s :: %s :: %s' %(a,740,'Adrak','adrak','Biryani Dum Layer'))</t>
  </si>
  <si>
    <t xml:space="preserve">a = Client().post('/recipes/biryani-dum-layer/detail/', {'recipe' : '10', 'ingredient' : '93', 'name' : 'Mirchi', 'mass_unit' : '7', 'mass_quantity' : '100', 'volume_unit' : '', 'volume_quantity' : '0', 'pieces_unit' : '', 'pieces_quantity' : '0', 'cooking_notes' : ''}).status_code; print('%s :: %s :: %s :: %s :: %s' %(a,741,'Mirchi','hari mirchi','Biryani Dum Layer'))</t>
  </si>
  <si>
    <t xml:space="preserve">a = Client().post('/recipes/biryani-dum-layer/detail/', {'recipe' : '10', 'ingredient' : '105', 'name' : 'Kadipatta', 'mass_unit' : '', 'mass_quantity' : '0', 'volume_unit' : '', 'volume_quantity' : '0', 'pieces_unit' : '', 'pieces_quantity' : '0', 'cooking_notes' : ''}).status_code; print('%s :: %s :: %s :: %s :: %s' %(a,742,'Kadipatta','kadi patta','Biryani Dum Layer'))</t>
  </si>
  <si>
    <t xml:space="preserve">a = Client().post('/recipes/biryani-dum-layer/detail/', {'recipe' : '10', 'ingredient' : '66', 'name' : 'Dhaniyapatta', 'mass_unit' : '', 'mass_quantity' : '0', 'volume_unit' : '', 'volume_quantity' : '0', 'pieces_unit' : '8', 'pieces_quantity' : '10', 'cooking_notes' : ''}).status_code; print('%s :: %s :: %s :: %s :: %s' %(a,743,'Dhaniyapatta','dhaniya patta','Biryani Dum Layer'))</t>
  </si>
  <si>
    <t xml:space="preserve">a = Client().post('/recipes/biryani-dum-layer/detail/', {'recipe' : '10', 'ingredient' : '162', 'name' : 'Pudina', 'mass_unit' : '', 'mass_quantity' : '0', 'volume_unit' : '', 'volume_quantity' : '0', 'pieces_unit' : '8', 'pieces_quantity' : '10', 'cooking_notes' : ''}).status_code; print('%s :: %s :: %s :: %s :: %s' %(a,744,'Pudina','pudina','Biryani Dum Layer'))</t>
  </si>
  <si>
    <t xml:space="preserve">a = Client().post('/recipes/biryani-dum-layer/detail/', {'recipe' : '10', 'ingredient' : '27', 'name' : 'Beans', 'mass_unit' : '2', 'mass_quantity' : '0.5', 'volume_unit' : '', 'volume_quantity' : '0', 'pieces_unit' : '', 'pieces_quantity' : '0', 'cooking_notes' : ''}).status_code; print('%s :: %s :: %s :: %s :: %s' %(a,745,'Beans','beans','Biryani Dum Layer'))</t>
  </si>
  <si>
    <t xml:space="preserve">a = Client().post('/recipes/biryani-dum-layer/detail/', {'recipe' : '10', 'ingredient' : '44', 'name' : 'Cauli Flower', 'mass_unit' : '2', 'mass_quantity' : '1.4', 'volume_unit' : '', 'volume_quantity' : '0', 'pieces_unit' : '', 'pieces_quantity' : '0', 'cooking_notes' : ''}).status_code; print('%s :: %s :: %s :: %s :: %s' %(a,746,'Cauli Flower','cauli flower','Biryani Dum Layer'))</t>
  </si>
  <si>
    <t xml:space="preserve">a = Client().post('/recipes/biryani-dum-layer/detail/', {'recipe' : '10', 'ingredient' : '39', 'name' : 'Cabbage', 'mass_unit' : '2', 'mass_quantity' : '0.6', 'volume_unit' : '', 'volume_quantity' : '0', 'pieces_unit' : '', 'pieces_quantity' : '0', 'cooking_notes' : ''}).status_code; print('%s :: %s :: %s :: %s :: %s' %(a,747,'Cabbage','cabbage','Biryani Dum Layer'))</t>
  </si>
  <si>
    <t xml:space="preserve">a = Client().post('/recipes/biryani-dum-layer/detail/', {'recipe' : '10', 'ingredient' : '43', 'name' : 'Carrot', 'mass_unit' : '2', 'mass_quantity' : '0.5', 'volume_unit' : '', 'volume_quantity' : '0', 'pieces_unit' : '', 'pieces_quantity' : '0', 'cooking_notes' : ''}).status_code; print('%s :: %s :: %s :: %s :: %s' %(a,748,'Carrot','carrot','Biryani Dum Layer'))</t>
  </si>
  <si>
    <t xml:space="preserve">a = Client().post('/recipes/biryani-dum-layer/detail/', {'recipe' : '10', 'ingredient' : '88', 'name' : 'Green Peas', 'mass_unit' : '2', 'mass_quantity' : '0.6', 'volume_unit' : '', 'volume_quantity' : '0', 'pieces_unit' : '', 'pieces_quantity' : '0', 'cooking_notes' : ''}).status_code; print('%s :: %s :: %s :: %s :: %s' %(a,749,'Green Peas','green peas','Biryani Dum Layer'))</t>
  </si>
  <si>
    <t xml:space="preserve">a = Client().post('/recipes/biryani-dum-layer/detail/', {'recipe' : '10', 'ingredient' : '8', 'name' : 'Potato', 'mass_unit' : '2', 'mass_quantity' : '1.4', 'volume_unit' : '', 'volume_quantity' : '0', 'pieces_unit' : '', 'pieces_quantity' : '0', 'cooking_notes' : ''}).status_code; print('%s :: %s :: %s :: %s :: %s' %(a,750,'Potato','alu','Biryani Dum Layer'))</t>
  </si>
  <si>
    <t xml:space="preserve">a = Client().post('/recipes/biryani-dum-layer/detail/', {'recipe' : '10', 'ingredient' : '42', 'name' : 'Simla', 'mass_unit' : '2', 'mass_quantity' : '0.6', 'volume_unit' : '', 'volume_quantity' : '0', 'pieces_unit' : '', 'pieces_quantity' : '0', 'cooking_notes' : ''}).status_code; print('%s :: %s :: %s :: %s :: %s' %(a,751,'Simla','capsicum','Biryani Dum Layer'))</t>
  </si>
  <si>
    <t xml:space="preserve">a = Client().post('/recipes/biryani-dum-layer/detail/', {'recipe' : '10', 'ingredient' : '142', 'name' : 'Mawa', 'mass_unit' : '7', 'mass_quantity' : '100', 'volume_unit' : '', 'volume_quantity' : '0', 'pieces_unit' : '', 'pieces_quantity' : '0', 'cooking_notes' : ''}).status_code; print('%s :: %s :: %s :: %s :: %s' %(a,753,'Mawa','mawa','Biryani Dum Layer'))</t>
  </si>
  <si>
    <t xml:space="preserve">a = Client().post('/recipes/biryani-dum-layer/detail/', {'recipe' : '10', 'ingredient' : '12', 'name' : 'Amul Butter', 'mass_unit' : '2', 'mass_quantity' : '0.5', 'volume_unit' : '', 'volume_quantity' : '0', 'pieces_unit' : '', 'pieces_quantity' : '0', 'cooking_notes' : ''}).status_code; print('%s :: %s :: %s :: %s :: %s' %(a,754,'Amul Butter','amul butter','Biryani Dum Layer'))</t>
  </si>
  <si>
    <t xml:space="preserve">a = Client().post('/recipes/biryani-dum-layer/detail/', {'recipe' : '10', 'ingredient' : '13', 'name' : 'Amul Fresh Cream', 'mass_unit' : '', 'mass_quantity' : '0', 'volume_unit' : '1', 'volume_quantity' : '1', 'pieces_unit' : '', 'pieces_quantity' : '0', 'cooking_notes' : ''}).status_code; print('%s :: %s :: %s :: %s :: %s' %(a,755,'Amul Fresh Cream','amul fresh cream','Biryani Dum Layer'))</t>
  </si>
  <si>
    <t xml:space="preserve">a = Client().post('/recipes/biryani-dum-layer/detail/', {'recipe' : '10', 'ingredient' : '59', 'name' : 'Curd', 'mass_unit' : '', 'mass_quantity' : '0', 'volume_unit' : '1', 'volume_quantity' : '2', 'pieces_unit' : '', 'pieces_quantity' : '0', 'cooking_notes' : ''}).status_code; print('%s :: %s :: %s :: %s :: %s' %(a,756,'Curd','dahi','Biryani Dum Layer'))</t>
  </si>
  <si>
    <t xml:space="preserve">a = Client().post('/recipes/biryani-dum-layer/detail/', {'recipe' : '10', 'ingredient' : '142', 'name' : 'Mawa', 'mass_unit' : '7', 'mass_quantity' : '100', 'volume_unit' : '', 'volume_quantity' : '0', 'pieces_unit' : '', 'pieces_quantity' : '0', 'cooking_notes' : ''}).status_code; print('%s :: %s :: %s :: %s :: %s' %(a,758,'Mawa','mawa','Biryani Dum Layer'))</t>
  </si>
  <si>
    <t xml:space="preserve">a = Client().post('/recipes/biryani-dum-layer/detail/', {'recipe' : '10', 'ingredient' : '12', 'name' : 'Amul Butter', 'mass_unit' : '2', 'mass_quantity' : '0.5', 'volume_unit' : '', 'volume_quantity' : '0', 'pieces_unit' : '', 'pieces_quantity' : '0', 'cooking_notes' : ''}).status_code; print('%s :: %s :: %s :: %s :: %s' %(a,759,'Amul Butter','amul butter','Biryani Dum Layer'))</t>
  </si>
  <si>
    <t xml:space="preserve">a = Client().post('/recipes/biryani-dum-layer/detail/', {'recipe' : '10', 'ingredient' : '13', 'name' : 'Amul Fresh Cream', 'mass_unit' : '', 'mass_quantity' : '0', 'volume_unit' : '1', 'volume_quantity' : '0.2', 'pieces_unit' : '', 'pieces_quantity' : '0', 'cooking_notes' : ''}).status_code; print('%s :: %s :: %s :: %s :: %s' %(a,760,'Amul Fresh Cream','amul fresh cream','Biryani Dum Layer'))</t>
  </si>
  <si>
    <t xml:space="preserve">a = Client().post('/recipes/biryani-dum-layer/detail/', {'recipe' : '10', 'ingredient' : '49', 'name' : 'Chedder cheese', 'mass_unit' : '2', 'mass_quantity' : '1', 'volume_unit' : '', 'volume_quantity' : '0', 'pieces_unit' : '', 'pieces_quantity' : '0', 'cooking_notes' : ''}).status_code; print('%s :: %s :: %s :: %s :: %s' %(a,761,'Chedder cheese','chedder cheese','Biryani Dum Layer'))</t>
  </si>
  <si>
    <t xml:space="preserve">a = Client().post('/recipes/biryani-dum-layer/detail/', {'recipe' : '10', 'ingredient' : '59', 'name' : 'Curd', 'mass_unit' : '2', 'mass_quantity' : '0.6', 'volume_unit' : '', 'volume_quantity' : '0', 'pieces_unit' : '', 'pieces_quantity' : '0', 'cooking_notes' : ''}).status_code; print('%s :: %s :: %s :: %s :: %s' %(a,762,'Curd','dahi','Biryani Dum Layer'))</t>
  </si>
  <si>
    <t xml:space="preserve">a = Client().post('/recipes/mix-veg-poha/detail/', {'recipe' : '47', 'ingredient' : '79', 'name' : 'Gajar', 'mass_unit' : '2', 'mass_quantity' : '6', 'volume_unit' : '', 'volume_quantity' : '0', 'pieces_unit' : '', 'pieces_quantity' : '0', 'cooking_notes' : ''}).status_code; print('%s :: %s :: %s :: %s :: %s' %(a,765,'Gajar','gajar','Mix Veg Poha'))</t>
  </si>
  <si>
    <t xml:space="preserve">a = Client().post('/recipes/mix-veg-poha/detail/', {'recipe' : '47', 'ingredient' : '27', 'name' : 'beans( optional when rate is low)', 'mass_unit' : '2', 'mass_quantity' : '5', 'volume_unit' : '', 'volume_quantity' : '0', 'pieces_unit' : '', 'pieces_quantity' : '0', 'cooking_notes' : ''}).status_code; print('%s :: %s :: %s :: %s :: %s' %(a,766,'beans( optional when rate is low)','beans','Mix Veg Poha'))</t>
  </si>
  <si>
    <t xml:space="preserve">a = Client().post('/recipes/mix-veg-poha/detail/', {'recipe' : '47', 'ingredient' : '88', 'name' : 'Green Peas', 'mass_unit' : '2', 'mass_quantity' : '6', 'volume_unit' : '', 'volume_quantity' : '0', 'pieces_unit' : '', 'pieces_quantity' : '0', 'cooking_notes' : ''}).status_code; print('%s :: %s :: %s :: %s :: %s' %(a,767,'Green Peas','green peas','Mix Veg Poha'))</t>
  </si>
  <si>
    <t xml:space="preserve">a = Client().post('/recipes/mix-veg-poha/detail/', {'recipe' : '47', 'ingredient' : '8', 'name' : 'Alu', 'mass_unit' : '2', 'mass_quantity' : '5', 'volume_unit' : '', 'volume_quantity' : '0', 'pieces_unit' : '', 'pieces_quantity' : '0', 'cooking_notes' : ''}).status_code; print('%s :: %s :: %s :: %s :: %s' %(a,768,'Alu','alu','Mix Veg Poha'))</t>
  </si>
  <si>
    <t xml:space="preserve">a = Client().post('/recipes/mix-veg-poha/detail/', {'recipe' : '47', 'ingredient' : '93', 'name' : 'green chilly', 'mass_unit' : '', 'mass_quantity' : '0', 'volume_unit' : '1', 'volume_quantity' : '1', 'pieces_unit' : '', 'pieces_quantity' : '0', 'cooking_notes' : ''}).status_code; print('%s :: %s :: %s :: %s :: %s' %(a,769,'green chilly','hari mirchi','Mix Veg Poha'))</t>
  </si>
  <si>
    <t xml:space="preserve">a = Client().post('/recipes/mix-veg-poha/detail/', {'recipe' : '47', 'ingredient' : '66', 'name' : 'Dhania patta', 'mass_unit' : '', 'mass_quantity' : '0', 'volume_unit' : '1', 'volume_quantity' : '3', 'pieces_unit' : '', 'pieces_quantity' : '0', 'cooking_notes' : ''}).status_code; print('%s :: %s :: %s :: %s :: %s' %(a,770,'Dhania patta','dhaniya patta','Mix Veg Poha'))</t>
  </si>
  <si>
    <t xml:space="preserve">a = Client().post('/recipes/mix-veg-poha/detail/', {'recipe' : '47', 'ingredient' : '1', 'name' : 'ginger', 'mass_unit' : '', 'mass_quantity' : '0', 'volume_unit' : '1', 'volume_quantity' : '1', 'pieces_unit' : '', 'pieces_quantity' : '0', 'cooking_notes' : ''}).status_code; print('%s :: %s :: %s :: %s :: %s' %(a,771,'ginger','adrak','Mix Veg Poha'))</t>
  </si>
  <si>
    <t xml:space="preserve">a = Client().post('/recipes/mix-veg-poha/detail/', {'recipe' : '47', 'ingredient' : '105', 'name' : 'kadipatta', 'mass_unit' : '', 'mass_quantity' : '0', 'volume_unit' : '1', 'volume_quantity' : '2', 'pieces_unit' : '', 'pieces_quantity' : '0', 'cooking_notes' : ''}).status_code; print('%s :: %s :: %s :: %s :: %s' %(a,772,'kadipatta','kadi patta','Mix Veg Poha'))</t>
  </si>
  <si>
    <t xml:space="preserve">a = Client().post('/recipes/mix-veg-poha/detail/', {'recipe' : '47', 'ingredient' : '100', 'name' : 'Jada Poha   ', 'mass_unit' : '2', 'mass_quantity' : '25', 'volume_unit' : '', 'volume_quantity' : '0', 'pieces_unit' : '', 'pieces_quantity' : '0', 'cooking_notes' : ''}).status_code; print('%s :: %s :: %s :: %s :: %s' %(a,773,'Jada Poha   ','jada poha','Mix Veg Poha'))</t>
  </si>
  <si>
    <t xml:space="preserve">a = Client().post('/recipes/mix-veg-poha/detail/', {'recipe' : '47', 'ingredient' : '83', 'name' : 'oil(groundnut)', 'mass_unit' : '', 'mass_quantity' : '0', 'volume_unit' : '1', 'volume_quantity' : '7.5', 'pieces_unit' : '', 'pieces_quantity' : '0', 'cooking_notes' : ''}).status_code; print('%s :: %s :: %s :: %s :: %s' %(a,774,'oil(groundnut)','gound nut oil','Mix Veg Poha'))</t>
  </si>
  <si>
    <t xml:space="preserve">a = Client().post('/recipes/mix-veg-poha/detail/', {'recipe' : '47', 'ingredient' : '164', 'name' : 'Rai', 'mass_unit' : '', 'mass_quantity' : '0', 'volume_unit' : '5', 'volume_quantity' : '2', 'pieces_unit' : '', 'pieces_quantity' : '0', 'cooking_notes' : ''}).status_code; print('%s :: %s :: %s :: %s :: %s' %(a,775,'Rai','rai','Mix Veg Poha'))</t>
  </si>
  <si>
    <t xml:space="preserve">a = Client().post('/recipes/mix-veg-poha/detail/', {'recipe' : '47', 'ingredient' : '102', 'name' : 'Jeera', 'mass_unit' : '', 'mass_quantity' : '0', 'volume_unit' : '5', 'volume_quantity' : '2', 'pieces_unit' : '', 'pieces_quantity' : '0', 'cooking_notes' : ''}).status_code; print('%s :: %s :: %s :: %s :: %s' %(a,776,'Jeera','jeera','Mix Veg Poha'))</t>
  </si>
  <si>
    <t xml:space="preserve">a = Client().post('/recipes/mix-veg-poha/detail/', {'recipe' : '47', 'ingredient' : '183', 'name' : 'akkha singdana', 'mass_unit' : '2', 'mass_quantity' : '3', 'volume_unit' : '', 'volume_quantity' : '0', 'pieces_unit' : '', 'pieces_quantity' : '0', 'cooking_notes' : ''}).status_code; print('%s :: %s :: %s :: %s :: %s' %(a,777,'akkha singdana','singdana','Mix Veg Poha'))</t>
  </si>
  <si>
    <t xml:space="preserve">a = Client().post('/recipes/mix-veg-poha/detail/', {'recipe' : '47', 'ingredient' : '91', 'name' : 'haldi', 'mass_unit' : '', 'mass_quantity' : '0', 'volume_unit' : '5', 'volume_quantity' : '1.5', 'pieces_unit' : '', 'pieces_quantity' : '0', 'cooking_notes' : ''}).status_code; print('%s :: %s :: %s :: %s :: %s' %(a,778,'haldi','haldi','Mix Veg Poha'))</t>
  </si>
  <si>
    <t xml:space="preserve">a = Client().post('/recipes/mix-veg-poha/detail/', {'recipe' : '47', 'ingredient' : '135', 'name' : 'madrasi chili powder', 'mass_unit' : '', 'mass_quantity' : '0', 'volume_unit' : '5', 'volume_quantity' : '1', 'pieces_unit' : '', 'pieces_quantity' : '0', 'cooking_notes' : ''}).status_code; print('%s :: %s :: %s :: %s :: %s' %(a,779,'madrasi chili powder','madrasi mirchi powder','Mix Veg Poha'))</t>
  </si>
  <si>
    <t xml:space="preserve">a = Client().post('/recipes/mix-veg-poha/detail/', {'recipe' : '47', 'ingredient' : '95', 'name' : 'hing', 'mass_unit' : '', 'mass_quantity' : '0', 'volume_unit' : '5', 'volume_quantity' : '0.75', 'pieces_unit' : '', 'pieces_quantity' : '0', 'cooking_notes' : ''}).status_code; print('%s :: %s :: %s :: %s :: %s' %(a,780,'hing','hing','Mix Veg Poha'))</t>
  </si>
  <si>
    <t xml:space="preserve">a = Client().post('/recipes/mix-veg-poha/detail/', {'recipe' : '47', 'ingredient' : '177', 'name' : 'salt', 'mass_unit' : '', 'mass_quantity' : '0', 'volume_unit' : '5', 'volume_quantity' : '0.5', 'pieces_unit' : '', 'pieces_quantity' : '0', 'cooking_notes' : ''}).status_code; print('%s :: %s :: %s :: %s :: %s' %(a,781,'salt','salt','Mix Veg Poha'))</t>
  </si>
  <si>
    <t xml:space="preserve">a = Client().post('/recipes/upma/detail/', {'recipe' : '83', 'ingredient' : '79', 'name' : 'Gajar', 'mass_unit' : '2', 'mass_quantity' : '6', 'volume_unit' : '', 'volume_quantity' : '0', 'pieces_unit' : '', 'pieces_quantity' : '0', 'cooking_notes' : ''}).status_code; print('%s :: %s :: %s :: %s :: %s' %(a,783,'Gajar','gajar','Upma'))</t>
  </si>
  <si>
    <t xml:space="preserve">a = Client().post('/recipes/upma/detail/', {'recipe' : '83', 'ingredient' : '27', 'name' : 'beans( optional when rate is low)', 'mass_unit' : '2', 'mass_quantity' : '5', 'volume_unit' : '', 'volume_quantity' : '0', 'pieces_unit' : '', 'pieces_quantity' : '0', 'cooking_notes' : ''}).status_code; print('%s :: %s :: %s :: %s :: %s' %(a,784,'beans( optional when rate is low)','beans','Upma'))</t>
  </si>
  <si>
    <t xml:space="preserve">a = Client().post('/recipes/upma/detail/', {'recipe' : '83', 'ingredient' : '88', 'name' : 'Green Peas', 'mass_unit' : '2', 'mass_quantity' : '6', 'volume_unit' : '', 'volume_quantity' : '0', 'pieces_unit' : '', 'pieces_quantity' : '0', 'cooking_notes' : ''}).status_code; print('%s :: %s :: %s :: %s :: %s' %(a,785,'Green Peas','green peas','Upma'))</t>
  </si>
  <si>
    <t xml:space="preserve">a = Client().post('/recipes/upma/detail/', {'recipe' : '83', 'ingredient' : '93', 'name' : 'green chilly', 'mass_unit' : '', 'mass_quantity' : '0', 'volume_unit' : '1', 'volume_quantity' : '1', 'pieces_unit' : '', 'pieces_quantity' : '0', 'cooking_notes' : ''}).status_code; print('%s :: %s :: %s :: %s :: %s' %(a,786,'green chilly','hari mirchi','Upma'))</t>
  </si>
  <si>
    <t xml:space="preserve">a = Client().post('/recipes/upma/detail/', {'recipe' : '83', 'ingredient' : '66', 'name' : 'Dhania patta', 'mass_unit' : '', 'mass_quantity' : '0', 'volume_unit' : '1', 'volume_quantity' : '3', 'pieces_unit' : '', 'pieces_quantity' : '0', 'cooking_notes' : ''}).status_code; print('%s :: %s :: %s :: %s :: %s' %(a,787,'Dhania patta','dhaniya patta','Upma'))</t>
  </si>
  <si>
    <t xml:space="preserve">a = Client().post('/recipes/upma/detail/', {'recipe' : '83', 'ingredient' : '1', 'name' : 'ginger', 'mass_unit' : '', 'mass_quantity' : '0', 'volume_unit' : '1', 'volume_quantity' : '0.5', 'pieces_unit' : '', 'pieces_quantity' : '0', 'cooking_notes' : ''}).status_code; print('%s :: %s :: %s :: %s :: %s' %(a,788,'ginger','adrak','Upma'))</t>
  </si>
  <si>
    <t xml:space="preserve">a = Client().post('/recipes/upma/detail/', {'recipe' : '83', 'ingredient' : '105', 'name' : 'kadipatta', 'mass_unit' : '', 'mass_quantity' : '0', 'volume_unit' : '1', 'volume_quantity' : '2', 'pieces_unit' : '', 'pieces_quantity' : '0', 'cooking_notes' : ''}).status_code; print('%s :: %s :: %s :: %s :: %s' %(a,789,'kadipatta','kadi patta','Upma'))</t>
  </si>
  <si>
    <t xml:space="preserve">a = Client().post('/recipes/upma/detail/', {'recipe' : '83', 'ingredient' : '97', 'name' : 'hot water', 'mass_unit' : '', 'mass_quantity' : '0', 'volume_unit' : '1', 'volume_quantity' : '75', 'pieces_unit' : '', 'pieces_quantity' : '0', 'cooking_notes' : ''}).status_code; print('%s :: %s :: %s :: %s :: %s' %(a,790,'hot water','hot water','Upma'))</t>
  </si>
  <si>
    <t xml:space="preserve">a = Client().post('/recipes/upma/detail/', {'recipe' : '83', 'ingredient' : '199', 'name' : 'Upma      ', 'mass_unit' : '2', 'mass_quantity' : '25', 'volume_unit' : '', 'volume_quantity' : '0', 'pieces_unit' : '', 'pieces_quantity' : '0', 'cooking_notes' : ''}).status_code; print('%s :: %s :: %s :: %s :: %s' %(a,791,'Upma      ','upma','Upma'))</t>
  </si>
  <si>
    <t xml:space="preserve">a = Client().post('/recipes/upma/detail/', {'recipe' : '83', 'ingredient' : '83', 'name' : 'oil(groundnut)', 'mass_unit' : '', 'mass_quantity' : '0', 'volume_unit' : '1', 'volume_quantity' : '7', 'pieces_unit' : '', 'pieces_quantity' : '0', 'cooking_notes' : ''}).status_code; print('%s :: %s :: %s :: %s :: %s' %(a,792,'oil(groundnut)','gound nut oil','Upma'))</t>
  </si>
  <si>
    <t xml:space="preserve">a = Client().post('/recipes/upma/detail/', {'recipe' : '83', 'ingredient' : '164', 'name' : 'Rai', 'mass_unit' : '', 'mass_quantity' : '0', 'volume_unit' : '5', 'volume_quantity' : '2', 'pieces_unit' : '', 'pieces_quantity' : '0', 'cooking_notes' : ''}).status_code; print('%s :: %s :: %s :: %s :: %s' %(a,793,'Rai','rai','Upma'))</t>
  </si>
  <si>
    <t xml:space="preserve">a = Client().post('/recipes/upma/detail/', {'recipe' : '83', 'ingredient' : '46', 'name' : 'chana dal', 'mass_unit' : '', 'mass_quantity' : '0', 'volume_unit' : '1', 'volume_quantity' : '1', 'pieces_unit' : '', 'pieces_quantity' : '0', 'cooking_notes' : ''}).status_code; print('%s :: %s :: %s :: %s :: %s' %(a,794,'chana dal','chana dal','Upma'))</t>
  </si>
  <si>
    <t xml:space="preserve">a = Client().post('/recipes/upma/detail/', {'recipe' : '83', 'ingredient' : '200', 'name' : 'urad dal', 'mass_unit' : '', 'mass_quantity' : '0', 'volume_unit' : '1', 'volume_quantity' : '1', 'pieces_unit' : '', 'pieces_quantity' : '0', 'cooking_notes' : ''}).status_code; print('%s :: %s :: %s :: %s :: %s' %(a,795,'urad dal','urad dal','Upma'))</t>
  </si>
  <si>
    <t xml:space="preserve">a = Client().post('/recipes/upma/detail/', {'recipe' : '83', 'ingredient' : '91', 'name' : 'haldi', 'mass_unit' : '', 'mass_quantity' : '0', 'volume_unit' : '5', 'volume_quantity' : '1', 'pieces_unit' : '', 'pieces_quantity' : '0', 'cooking_notes' : ''}).status_code; print('%s :: %s :: %s :: %s :: %s' %(a,796,'haldi','haldi','Upma'))</t>
  </si>
  <si>
    <t xml:space="preserve">a = Client().post('/recipes/upma/detail/', {'recipe' : '83', 'ingredient' : '117', 'name' : 'kashmiri chili powder', 'mass_unit' : '', 'mass_quantity' : '0', 'volume_unit' : '5', 'volume_quantity' : '0.5', 'pieces_unit' : '', 'pieces_quantity' : '0', 'cooking_notes' : ''}).status_code; print('%s :: %s :: %s :: %s :: %s' %(a,797,'kashmiri chili powder','kashmiri chilly powder','Upma'))</t>
  </si>
  <si>
    <t xml:space="preserve">a = Client().post('/recipes/upma/detail/', {'recipe' : '83', 'ingredient' : '95', 'name' : 'hing', 'mass_unit' : '', 'mass_quantity' : '0', 'volume_unit' : '5', 'volume_quantity' : '0.5', 'pieces_unit' : '', 'pieces_quantity' : '0', 'cooking_notes' : ''}).status_code; print('%s :: %s :: %s :: %s :: %s' %(a,798,'hing','hing','Upma'))</t>
  </si>
  <si>
    <t xml:space="preserve">a = Client().post('/recipes/upma/detail/', {'recipe' : '83', 'ingredient' : '177', 'name' : 'salt', 'mass_unit' : '', 'mass_quantity' : '0', 'volume_unit' : '5', 'volume_quantity' : '7', 'pieces_unit' : '', 'pieces_quantity' : '0', 'cooking_notes' : ''}).status_code; print('%s :: %s :: %s :: %s :: %s' %(a,799,'salt','salt','Upma'))</t>
  </si>
  <si>
    <t xml:space="preserve">a = Client().post('/recipes/vermicllly/detail/', {'recipe' : '88', 'ingredient' : '79', 'name' : 'gajar', 'mass_unit' : '2', 'mass_quantity' : '6', 'volume_unit' : '', 'volume_quantity' : '0', 'pieces_unit' : '', 'pieces_quantity' : '0', 'cooking_notes' : ''}).status_code; print('%s :: %s :: %s :: %s :: %s' %(a,801,'gajar','gajar','Vermicllly'))</t>
  </si>
  <si>
    <t xml:space="preserve">a = Client().post('/recipes/vermicllly/detail/', {'recipe' : '88', 'ingredient' : '27', 'name' : 'beans( optional when rate is low)', 'mass_unit' : '2', 'mass_quantity' : '5', 'volume_unit' : '', 'volume_quantity' : '0', 'pieces_unit' : '', 'pieces_quantity' : '0', 'cooking_notes' : ''}).status_code; print('%s :: %s :: %s :: %s :: %s' %(a,802,'beans( optional when rate is low)','beans','Vermicllly'))</t>
  </si>
  <si>
    <t xml:space="preserve">a = Client().post('/recipes/vermicllly/detail/', {'recipe' : '88', 'ingredient' : '88', 'name' : 'Green Peas', 'mass_unit' : '2', 'mass_quantity' : '6', 'volume_unit' : '', 'volume_quantity' : '0', 'pieces_unit' : '', 'pieces_quantity' : '0', 'cooking_notes' : ''}).status_code; print('%s :: %s :: %s :: %s :: %s' %(a,803,'Green Peas','green peas','Vermicllly'))</t>
  </si>
  <si>
    <t xml:space="preserve">a = Client().post('/recipes/vermicllly/detail/', {'recipe' : '88', 'ingredient' : '93', 'name' : 'green chilly', 'mass_unit' : '', 'mass_quantity' : '0', 'volume_unit' : '1', 'volume_quantity' : '1', 'pieces_unit' : '', 'pieces_quantity' : '0', 'cooking_notes' : ''}).status_code; print('%s :: %s :: %s :: %s :: %s' %(a,804,'green chilly','hari mirchi','Vermicllly'))</t>
  </si>
  <si>
    <t xml:space="preserve">a = Client().post('/recipes/vermicllly/detail/', {'recipe' : '88', 'ingredient' : '66', 'name' : 'Dhania patta', 'mass_unit' : '', 'mass_quantity' : '0', 'volume_unit' : '1', 'volume_quantity' : '3', 'pieces_unit' : '', 'pieces_quantity' : '0', 'cooking_notes' : ''}).status_code; print('%s :: %s :: %s :: %s :: %s' %(a,805,'Dhania patta','dhaniya patta','Vermicllly'))</t>
  </si>
  <si>
    <t xml:space="preserve">a = Client().post('/recipes/vermicllly/detail/', {'recipe' : '88', 'ingredient' : '1', 'name' : 'ginger', 'mass_unit' : '', 'mass_quantity' : '0', 'volume_unit' : '1', 'volume_quantity' : '0.5', 'pieces_unit' : '', 'pieces_quantity' : '0', 'cooking_notes' : ''}).status_code; print('%s :: %s :: %s :: %s :: %s' %(a,806,'ginger','adrak','Vermicllly'))</t>
  </si>
  <si>
    <t xml:space="preserve">a = Client().post('/recipes/vermicllly/detail/', {'recipe' : '88', 'ingredient' : '105', 'name' : 'kadipatta', 'mass_unit' : '', 'mass_quantity' : '0', 'volume_unit' : '1', 'volume_quantity' : '2', 'pieces_unit' : '', 'pieces_quantity' : '0', 'cooking_notes' : ''}).status_code; print('%s :: %s :: %s :: %s :: %s' %(a,807,'kadipatta','kadi patta','Vermicllly'))</t>
  </si>
  <si>
    <t xml:space="preserve">a = Client().post('/recipes/vermicllly/detail/', {'recipe' : '88', 'ingredient' : '97', 'name' : 'hot water', 'mass_unit' : '', 'mass_quantity' : '0', 'volume_unit' : '1', 'volume_quantity' : '60', 'pieces_unit' : '', 'pieces_quantity' : '0', 'cooking_notes' : ''}).status_code; print('%s :: %s :: %s :: %s :: %s' %(a,808,'hot water','hot water','Vermicllly'))</t>
  </si>
  <si>
    <t xml:space="preserve">a = Client().post('/recipes/vermicllly/detail/', {'recipe' : '88', 'ingredient' : '202', 'name' : 'Vermicilly ', 'mass_unit' : '2', 'mass_quantity' : '25', 'volume_unit' : '', 'volume_quantity' : '0', 'pieces_unit' : '', 'pieces_quantity' : '0', 'cooking_notes' : ''}).status_code; print('%s :: %s :: %s :: %s :: %s' %(a,809,'Vermicilly ','vermicilly','Vermicllly'))</t>
  </si>
  <si>
    <t xml:space="preserve">a = Client().post('/recipes/vermicllly/detail/', {'recipe' : '88', 'ingredient' : '83', 'name' : 'oil(groundnut)', 'mass_unit' : '', 'mass_quantity' : '0', 'volume_unit' : '1', 'volume_quantity' : '4.5', 'pieces_unit' : '', 'pieces_quantity' : '0', 'cooking_notes' : ''}).status_code; print('%s :: %s :: %s :: %s :: %s' %(a,810,'oil(groundnut)','gound nut oil','Vermicllly'))</t>
  </si>
  <si>
    <t xml:space="preserve">a = Client().post('/recipes/vermicllly/detail/', {'recipe' : '88', 'ingredient' : '164', 'name' : 'Rai', 'mass_unit' : '', 'mass_quantity' : '0', 'volume_unit' : '5', 'volume_quantity' : '2', 'pieces_unit' : '', 'pieces_quantity' : '0', 'cooking_notes' : ''}).status_code; print('%s :: %s :: %s :: %s :: %s' %(a,811,'Rai','rai','Vermicllly'))</t>
  </si>
  <si>
    <t xml:space="preserve">a = Client().post('/recipes/vermicllly/detail/', {'recipe' : '88', 'ingredient' : '46', 'name' : 'chana dal', 'mass_unit' : '', 'mass_quantity' : '0', 'volume_unit' : '1', 'volume_quantity' : '1', 'pieces_unit' : '', 'pieces_quantity' : '0', 'cooking_notes' : ''}).status_code; print('%s :: %s :: %s :: %s :: %s' %(a,812,'chana dal','chana dal','Vermicllly'))</t>
  </si>
  <si>
    <t xml:space="preserve">a = Client().post('/recipes/vermicllly/detail/', {'recipe' : '88', 'ingredient' : '200', 'name' : 'urad dal', 'mass_unit' : '', 'mass_quantity' : '0', 'volume_unit' : '1', 'volume_quantity' : '1', 'pieces_unit' : '', 'pieces_quantity' : '0', 'cooking_notes' : ''}).status_code; print('%s :: %s :: %s :: %s :: %s' %(a,813,'urad dal','urad dal','Vermicllly'))</t>
  </si>
  <si>
    <t xml:space="preserve">a = Client().post('/recipes/vermicllly/detail/', {'recipe' : '88', 'ingredient' : '91', 'name' : 'haldi', 'mass_unit' : '', 'mass_quantity' : '0', 'volume_unit' : '5', 'volume_quantity' : '1', 'pieces_unit' : '', 'pieces_quantity' : '0', 'cooking_notes' : ''}).status_code; print('%s :: %s :: %s :: %s :: %s' %(a,814,'haldi','haldi','Vermicllly'))</t>
  </si>
  <si>
    <t xml:space="preserve">a = Client().post('/recipes/vermicllly/detail/', {'recipe' : '88', 'ingredient' : '117', 'name' : 'kashmiri chili powder', 'mass_unit' : '', 'mass_quantity' : '0', 'volume_unit' : '5', 'volume_quantity' : '0.5', 'pieces_unit' : '', 'pieces_quantity' : '0', 'cooking_notes' : ''}).status_code; print('%s :: %s :: %s :: %s :: %s' %(a,815,'kashmiri chili powder','kashmiri chilly powder','Vermicllly'))</t>
  </si>
  <si>
    <t xml:space="preserve">a = Client().post('/recipes/vermicllly/detail/', {'recipe' : '88', 'ingredient' : '95', 'name' : 'hing', 'mass_unit' : '', 'mass_quantity' : '0', 'volume_unit' : '5', 'volume_quantity' : '0.5', 'pieces_unit' : '', 'pieces_quantity' : '0', 'cooking_notes' : ''}).status_code; print('%s :: %s :: %s :: %s :: %s' %(a,816,'hing','hing','Vermicllly'))</t>
  </si>
  <si>
    <t xml:space="preserve">a = Client().post('/recipes/vermicllly/detail/', {'recipe' : '88', 'ingredient' : '160', 'name' : 'pav bhaji masala', 'mass_unit' : '', 'mass_quantity' : '0', 'volume_unit' : '1', 'volume_quantity' : '0.5', 'pieces_unit' : '', 'pieces_quantity' : '0', 'cooking_notes' : ''}).status_code; print('%s :: %s :: %s :: %s :: %s' %(a,817,'pav bhaji masala','pav bhaji masala','Vermicllly'))</t>
  </si>
  <si>
    <t xml:space="preserve">a = Client().post('/recipes/vermicllly/detail/', {'recipe' : '88', 'ingredient' : '177', 'name' : 'salt', 'mass_unit' : '', 'mass_quantity' : '0', 'volume_unit' : '5', 'volume_quantity' : '6', 'pieces_unit' : '', 'pieces_quantity' : '0', 'cooking_notes' : ''}).status_code; print('%s :: %s :: %s :: %s :: %s' %(a,818,'salt','salt','Vermicllly'))</t>
  </si>
  <si>
    <t xml:space="preserve">a = Client().post('/recipes/pongal/detail/', {'recipe' : '61', 'ingredient' : '54', 'name' : 'coconut', 'mass_unit' : '', 'mass_quantity' : '0', 'volume_unit' : '', 'volume_quantity' : '0', 'pieces_unit' : '3', 'pieces_quantity' : '8', 'cooking_notes' : ''}).status_code; print('%s :: %s :: %s :: %s :: %s' %(a,820,'coconut','coconut','Pongal'))</t>
  </si>
  <si>
    <t xml:space="preserve">a = Client().post('/recipes/pongal/detail/', {'recipe' : '61', 'ingredient' : '105', 'name' : 'kadipatta', 'mass_unit' : '', 'mass_quantity' : '0', 'volume_unit' : '1', 'volume_quantity' : '1', 'pieces_unit' : '', 'pieces_quantity' : '0', 'cooking_notes' : ''}).status_code; print('%s :: %s :: %s :: %s :: %s' %(a,821,'kadipatta','kadi patta','Pongal'))</t>
  </si>
  <si>
    <t xml:space="preserve">a = Client().post('/recipes/pongal/detail/', {'recipe' : '61', 'ingredient' : '1', 'name' : 'Ginger', 'mass_unit' : '', 'mass_quantity' : '0', 'volume_unit' : '1', 'volume_quantity' : '0.5', 'pieces_unit' : '', 'pieces_quantity' : '0', 'cooking_notes' : ''}).status_code; print('%s :: %s :: %s :: %s :: %s' %(a,822,'Ginger','adrak','Pongal'))</t>
  </si>
  <si>
    <t xml:space="preserve">a = Client().post('/recipes/pongal/detail/', {'recipe' : '61', 'ingredient' : '122', 'name' : 'kchidi Rice ', 'mass_unit' : '2', 'mass_quantity' : '14', 'volume_unit' : '', 'volume_quantity' : '0', 'pieces_unit' : '', 'pieces_quantity' : '0', 'cooking_notes' : ''}).status_code; print('%s :: %s :: %s :: %s :: %s' %(a,823,'kchidi Rice ','khichadi rice','Pongal'))</t>
  </si>
  <si>
    <t xml:space="preserve">a = Client().post('/recipes/pongal/detail/', {'recipe' : '61', 'ingredient' : '147', 'name' : 'moong Daal  ', 'mass_unit' : '2', 'mass_quantity' : '7', 'volume_unit' : '', 'volume_quantity' : '0', 'pieces_unit' : '', 'pieces_quantity' : '0', 'cooking_notes' : ''}).status_code; print('%s :: %s :: %s :: %s :: %s' %(a,824,'moong Daal  ','moong dal','Pongal'))</t>
  </si>
  <si>
    <t xml:space="preserve">a = Client().post('/recipes/pongal/detail/', {'recipe' : '61', 'ingredient' : '81', 'name' : 'Ghee      ', 'mass_unit' : '', 'mass_quantity' : '0', 'volume_unit' : '1', 'volume_quantity' : '2', 'pieces_unit' : '', 'pieces_quantity' : '0', 'cooking_notes' : ''}).status_code; print('%s :: %s :: %s :: %s :: %s' %(a,825,'Ghee      ','ghee','Pongal'))</t>
  </si>
  <si>
    <t xml:space="preserve">a = Client().post('/recipes/pongal/detail/', {'recipe' : '61', 'ingredient' : '83', 'name' : 'oil(groundnut)', 'mass_unit' : '', 'mass_quantity' : '0', 'volume_unit' : '1', 'volume_quantity' : '2.5', 'pieces_unit' : '', 'pieces_quantity' : '0', 'cooking_notes' : ''}).status_code; print('%s :: %s :: %s :: %s :: %s' %(a,826,'oil(groundnut)','gound nut oil','Pongal'))</t>
  </si>
  <si>
    <t xml:space="preserve">a = Client().post('/recipes/pongal/detail/', {'recipe' : '61', 'ingredient' : '102', 'name' : 'jeera', 'mass_unit' : '', 'mass_quantity' : '0', 'volume_unit' : '5', 'volume_quantity' : '2', 'pieces_unit' : '', 'pieces_quantity' : '0', 'cooking_notes' : ''}).status_code; print('%s :: %s :: %s :: %s :: %s' %(a,827,'jeera','jeera','Pongal'))</t>
  </si>
  <si>
    <t xml:space="preserve">a = Client().post('/recipes/pongal/detail/', {'recipe' : '61', 'ingredient' : '95', 'name' : 'hing', 'mass_unit' : '', 'mass_quantity' : '0', 'volume_unit' : '5', 'volume_quantity' : '0.5', 'pieces_unit' : '', 'pieces_quantity' : '0', 'cooking_notes' : ''}).status_code; print('%s :: %s :: %s :: %s :: %s' %(a,828,'hing','hing','Pongal'))</t>
  </si>
  <si>
    <t xml:space="preserve">a = Client().post('/recipes/pongal/detail/', {'recipe' : '61', 'ingredient' : '107', 'name' : 'kaju', 'mass_unit' : '7', 'mass_quantity' : '500', 'volume_unit' : '', 'volume_quantity' : '0', 'pieces_unit' : '', 'pieces_quantity' : '0', 'cooking_notes' : ''}).status_code; print('%s :: %s :: %s :: %s :: %s' %(a,829,'kaju','kaju','Pongal'))</t>
  </si>
  <si>
    <t xml:space="preserve">a = Client().post('/recipes/pongal/detail/', {'recipe' : '61', 'ingredient' : '31', 'name' : 'black pepper akkha', 'mass_unit' : '', 'mass_quantity' : '0', 'volume_unit' : '5', 'volume_quantity' : '1', 'pieces_unit' : '', 'pieces_quantity' : '0', 'cooking_notes' : ''}).status_code; print('%s :: %s :: %s :: %s :: %s' %(a,830,'black pepper akkha','black pepper','Pongal'))</t>
  </si>
  <si>
    <t xml:space="preserve">a = Client().post('/recipes/pongal/detail/', {'recipe' : '61', 'ingredient' : '177', 'name' : 'salt', 'mass_unit' : '', 'mass_quantity' : '0', 'volume_unit' : '5', 'volume_quantity' : '5', 'pieces_unit' : '', 'pieces_quantity' : '0', 'cooking_notes' : ''}).status_code; print('%s :: %s :: %s :: %s :: %s' %(a,831,'salt','salt','Pongal'))</t>
  </si>
  <si>
    <t xml:space="preserve">a = Client().post('/recipes/udapi-poha/detail/', {'recipe' : '82', 'ingredient' : '54', 'name' : 'coconut', 'mass_unit' : '', 'mass_quantity' : '0', 'volume_unit' : '', 'volume_quantity' : '0', 'pieces_unit' : '3', 'pieces_quantity' : '45', 'cooking_notes' : ''}).status_code; print('%s :: %s :: %s :: %s :: %s' %(a,833,'coconut','coconut','Udapi Poha'))</t>
  </si>
  <si>
    <t xml:space="preserve">a = Client().post('/recipes/udapi-poha/detail/', {'recipe' : '82', 'ingredient' : '22', 'name' : 'banana(elaichi)', 'mass_unit' : '', 'mass_quantity' : '0', 'volume_unit' : '', 'volume_quantity' : '0', 'pieces_unit' : '3', 'pieces_quantity' : '75', 'cooking_notes' : ''}).status_code; print('%s :: %s :: %s :: %s :: %s' %(a,834,'banana(elaichi)','banana','Udapi Poha'))</t>
  </si>
  <si>
    <t xml:space="preserve">a = Client().post('/recipes/udapi-poha/detail/', {'recipe' : '82', 'ingredient' : '157', 'name' : 'Patala Poha', 'mass_unit' : '2', 'mass_quantity' : '25', 'volume_unit' : '', 'volume_quantity' : '0', 'pieces_unit' : '', 'pieces_quantity' : '0', 'cooking_notes' : ''}).status_code; print('%s :: %s :: %s :: %s :: %s' %(a,835,'Patala Poha','patala poha','Udapi Poha'))</t>
  </si>
  <si>
    <t xml:space="preserve">a = Client().post('/recipes/udapi-poha/detail/', {'recipe' : '82', 'ingredient' : '33', 'name' : 'black til', 'mass_unit' : '', 'mass_quantity' : '0', 'volume_unit' : '1', 'volume_quantity' : '1', 'pieces_unit' : '', 'pieces_quantity' : '0', 'cooking_notes' : 'melt gud in hot '}).status_code; print('%s :: %s :: %s :: %s :: %s' %(a,836,'black til','black til','Udapi Poha'))</t>
  </si>
  <si>
    <t xml:space="preserve">a = Client().post('/recipes/udapi-poha/detail/', {'recipe' : '82', 'ingredient' : '206', 'name' : 'white til', 'mass_unit' : '', 'mass_quantity' : '0', 'volume_unit' : '1', 'volume_quantity' : '1', 'pieces_unit' : '', 'pieces_quantity' : '0', 'cooking_notes' : 'ghee,add coconut,'}).status_code; print('%s :: %s :: %s :: %s :: %s' %(a,837,'white til','white til','Udapi Poha'))</t>
  </si>
  <si>
    <t xml:space="preserve">a = Client().post('/recipes/udapi-poha/detail/', {'recipe' : '82', 'ingredient' : '81', 'name' : 'ghee', 'mass_unit' : '', 'mass_quantity' : '0', 'volume_unit' : '1', 'volume_quantity' : '1', 'pieces_unit' : '', 'pieces_quantity' : '0', 'cooking_notes' : 'poha,til,honey,elichi'}).status_code; print('%s :: %s :: %s :: %s :: %s' %(a,838,'ghee','ghee','Udapi Poha'))</t>
  </si>
  <si>
    <t xml:space="preserve">a = Client().post('/recipes/udapi-poha/detail/', {'recipe' : '82', 'ingredient' : '90', 'name' : 'jaggary', 'mass_unit' : '2', 'mass_quantity' : '15', 'volume_unit' : '', 'volume_quantity' : '0', 'pieces_unit' : '', 'pieces_quantity' : '0', 'cooking_notes' : 'powdre.add banana '}).status_code; print('%s :: %s :: %s :: %s :: %s' %(a,839,'jaggary','gud','Udapi Poha'))</t>
  </si>
  <si>
    <t xml:space="preserve">a = Client().post('/recipes/udapi-poha/detail/', {'recipe' : '82', 'ingredient' : '96', 'name' : 'honey', 'mass_unit' : '7', 'mass_quantity' : '500', 'volume_unit' : '', 'volume_quantity' : '0', 'pieces_unit' : '', 'pieces_quantity' : '0', 'cooking_notes' : 'at end.(roast til'}).status_code; print('%s :: %s :: %s :: %s :: %s' %(a,840,'honey','honey','Udapi Poha'))</t>
  </si>
  <si>
    <t xml:space="preserve">a = Client().post('/recipes/udapi-poha/detail/', {'recipe' : '82', 'ingredient' : '71', 'name' : 'elaichi powder', 'mass_unit' : '', 'mass_quantity' : '0', 'volume_unit' : '5', 'volume_quantity' : '1.5', 'pieces_unit' : '', 'pieces_quantity' : '0', 'cooking_notes' : 'before adding)'}).status_code; print('%s :: %s :: %s :: %s :: %s' %(a,841,'elaichi powder','elaichi powder','Udapi Poha'))</t>
  </si>
  <si>
    <t xml:space="preserve">a = Client().post('/recipes/lapsi/detail/', {'recipe' : '41', 'ingredient' : '79', 'name' : 'Gajar', 'mass_unit' : '2', 'mass_quantity' : '6', 'volume_unit' : '', 'volume_quantity' : '0', 'pieces_unit' : '', 'pieces_quantity' : '0', 'cooking_notes' : ''}).status_code; print('%s :: %s :: %s :: %s :: %s' %(a,843,'Gajar','gajar','Lapsi'))</t>
  </si>
  <si>
    <t xml:space="preserve">a = Client().post('/recipes/lapsi/detail/', {'recipe' : '41', 'ingredient' : '27', 'name' : 'beans( optional when rate is low)', 'mass_unit' : '2', 'mass_quantity' : '5', 'volume_unit' : '', 'volume_quantity' : '0', 'pieces_unit' : '', 'pieces_quantity' : '0', 'cooking_notes' : ''}).status_code; print('%s :: %s :: %s :: %s :: %s' %(a,844,'beans( optional when rate is low)','beans','Lapsi'))</t>
  </si>
  <si>
    <t xml:space="preserve">a = Client().post('/recipes/lapsi/detail/', {'recipe' : '41', 'ingredient' : '88', 'name' : 'Green Peas', 'mass_unit' : '2', 'mass_quantity' : '6', 'volume_unit' : '', 'volume_quantity' : '0', 'pieces_unit' : '', 'pieces_quantity' : '0', 'cooking_notes' : ''}).status_code; print('%s :: %s :: %s :: %s :: %s' %(a,845,'Green Peas','green peas','Lapsi'))</t>
  </si>
  <si>
    <t xml:space="preserve">a = Client().post('/recipes/lapsi/detail/', {'recipe' : '41', 'ingredient' : '8', 'name' : 'Alu', 'mass_unit' : '2', 'mass_quantity' : '5', 'volume_unit' : '', 'volume_quantity' : '0', 'pieces_unit' : '', 'pieces_quantity' : '0', 'cooking_notes' : ''}).status_code; print('%s :: %s :: %s :: %s :: %s' %(a,846,'Alu','alu','Lapsi'))</t>
  </si>
  <si>
    <t xml:space="preserve">a = Client().post('/recipes/lapsi/detail/', {'recipe' : '41', 'ingredient' : '195', 'name' : 'Tomato', 'mass_unit' : '2', 'mass_quantity' : '5', 'volume_unit' : '', 'volume_quantity' : '0', 'pieces_unit' : '', 'pieces_quantity' : '0', 'cooking_notes' : ''}).status_code; print('%s :: %s :: %s :: %s :: %s' %(a,847,'Tomato','tomato','Lapsi'))</t>
  </si>
  <si>
    <t xml:space="preserve">a = Client().post('/recipes/lapsi/detail/', {'recipe' : '41', 'ingredient' : '93', 'name' : 'green chilly', 'mass_unit' : '', 'mass_quantity' : '0', 'volume_unit' : '1', 'volume_quantity' : '1', 'pieces_unit' : '', 'pieces_quantity' : '0', 'cooking_notes' : ''}).status_code; print('%s :: %s :: %s :: %s :: %s' %(a,848,'green chilly','hari mirchi','Lapsi'))</t>
  </si>
  <si>
    <t xml:space="preserve">a = Client().post('/recipes/lapsi/detail/', {'recipe' : '41', 'ingredient' : '66', 'name' : 'Dhania patta', 'mass_unit' : '', 'mass_quantity' : '0', 'volume_unit' : '1', 'volume_quantity' : '3', 'pieces_unit' : '', 'pieces_quantity' : '0', 'cooking_notes' : ''}).status_code; print('%s :: %s :: %s :: %s :: %s' %(a,849,'Dhania patta','dhaniya patta','Lapsi'))</t>
  </si>
  <si>
    <t xml:space="preserve">a = Client().post('/recipes/lapsi/detail/', {'recipe' : '41', 'ingredient' : '1', 'name' : 'ginger', 'mass_unit' : '', 'mass_quantity' : '0', 'volume_unit' : '1', 'volume_quantity' : '0.5', 'pieces_unit' : '', 'pieces_quantity' : '0', 'cooking_notes' : ''}).status_code; print('%s :: %s :: %s :: %s :: %s' %(a,850,'ginger','adrak','Lapsi'))</t>
  </si>
  <si>
    <t xml:space="preserve">a = Client().post('/recipes/lapsi/detail/', {'recipe' : '41', 'ingredient' : '105', 'name' : 'kadipatta', 'mass_unit' : '', 'mass_quantity' : '0', 'volume_unit' : '1', 'volume_quantity' : '1', 'pieces_unit' : '', 'pieces_quantity' : '0', 'cooking_notes' : ''}).status_code; print('%s :: %s :: %s :: %s :: %s' %(a,851,'kadipatta','kadi patta','Lapsi'))</t>
  </si>
  <si>
    <t xml:space="preserve">a = Client().post('/recipes/lapsi/detail/', {'recipe' : '41', 'ingredient' : '97', 'name' : 'hot water', 'mass_unit' : '', 'mass_quantity' : '0', 'volume_unit' : '1', 'volume_quantity' : '80', 'pieces_unit' : '', 'pieces_quantity' : '0', 'cooking_notes' : ''}).status_code; print('%s :: %s :: %s :: %s :: %s' %(a,852,'hot water','hot water','Lapsi'))</t>
  </si>
  <si>
    <t xml:space="preserve">a = Client().post('/recipes/lapsi/detail/', {'recipe' : '41', 'ingredient' : '127', 'name' : 'Lapsi', 'mass_unit' : '2', 'mass_quantity' : '25', 'volume_unit' : '', 'volume_quantity' : '0', 'pieces_unit' : '', 'pieces_quantity' : '0', 'cooking_notes' : ''}).status_code; print('%s :: %s :: %s :: %s :: %s' %(a,853,'Lapsi','lapsi','Lapsi'))</t>
  </si>
  <si>
    <t xml:space="preserve">a = Client().post('/recipes/lapsi/detail/', {'recipe' : '41', 'ingredient' : '83', 'name' : 'oil(groundnut)', 'mass_unit' : '', 'mass_quantity' : '0', 'volume_unit' : '1', 'volume_quantity' : '5', 'pieces_unit' : '', 'pieces_quantity' : '0', 'cooking_notes' : ''}).status_code; print('%s :: %s :: %s :: %s :: %s' %(a,854,'oil(groundnut)','gound nut oil','Lapsi'))</t>
  </si>
  <si>
    <t xml:space="preserve">a = Client().post('/recipes/lapsi/detail/', {'recipe' : '41', 'ingredient' : '164', 'name' : 'Rai', 'mass_unit' : '', 'mass_quantity' : '0', 'volume_unit' : '5', 'volume_quantity' : '2', 'pieces_unit' : '', 'pieces_quantity' : '0', 'cooking_notes' : ''}).status_code; print('%s :: %s :: %s :: %s :: %s' %(a,855,'Rai','rai','Lapsi'))</t>
  </si>
  <si>
    <t xml:space="preserve">a = Client().post('/recipes/lapsi/detail/', {'recipe' : '41', 'ingredient' : '102', 'name' : 'Jeera', 'mass_unit' : '', 'mass_quantity' : '0', 'volume_unit' : '5', 'volume_quantity' : '2', 'pieces_unit' : '', 'pieces_quantity' : '0', 'cooking_notes' : ''}).status_code; print('%s :: %s :: %s :: %s :: %s' %(a,856,'Jeera','jeera','Lapsi'))</t>
  </si>
  <si>
    <t xml:space="preserve">a = Client().post('/recipes/lapsi/detail/', {'recipe' : '41', 'ingredient' : '18', 'name' : 'badsah pulav masala', 'mass_unit' : '', 'mass_quantity' : '0', 'volume_unit' : '5', 'volume_quantity' : '2.5', 'pieces_unit' : '', 'pieces_quantity' : '0', 'cooking_notes' : ''}).status_code; print('%s :: %s :: %s :: %s :: %s' %(a,857,'badsah pulav masala','badsah pulav masala','Lapsi'))</t>
  </si>
  <si>
    <t xml:space="preserve">a = Client().post('/recipes/lapsi/detail/', {'recipe' : '41', 'ingredient' : '91', 'name' : 'haldi', 'mass_unit' : '', 'mass_quantity' : '0', 'volume_unit' : '5', 'volume_quantity' : '1', 'pieces_unit' : '', 'pieces_quantity' : '0', 'cooking_notes' : ''}).status_code; print('%s :: %s :: %s :: %s :: %s' %(a,858,'haldi','haldi','Lapsi'))</t>
  </si>
  <si>
    <t xml:space="preserve">a = Client().post('/recipes/lapsi/detail/', {'recipe' : '41', 'ingredient' : '117', 'name' : 'kashmiri chili powdre', 'mass_unit' : '', 'mass_quantity' : '0', 'volume_unit' : '5', 'volume_quantity' : '0.5', 'pieces_unit' : '', 'pieces_quantity' : '0', 'cooking_notes' : ''}).status_code; print('%s :: %s :: %s :: %s :: %s' %(a,859,'kashmiri chili powdre','kashmiri chilly powder','Lapsi'))</t>
  </si>
  <si>
    <t xml:space="preserve">a = Client().post('/recipes/lapsi/detail/', {'recipe' : '41', 'ingredient' : '134', 'name' : 'madrasi chili akkha', 'mass_unit' : '', 'mass_quantity' : '0', 'volume_unit' : '1', 'volume_quantity' : '0.5', 'pieces_unit' : '', 'pieces_quantity' : '0', 'cooking_notes' : ''}).status_code; print('%s :: %s :: %s :: %s :: %s' %(a,860,'madrasi chili akkha','madrasi mirchi akkaha','Lapsi'))</t>
  </si>
  <si>
    <t xml:space="preserve">a = Client().post('/recipes/lapsi/detail/', {'recipe' : '41', 'ingredient' : '95', 'name' : 'hing', 'mass_unit' : '', 'mass_quantity' : '0', 'volume_unit' : '5', 'volume_quantity' : '0.5', 'pieces_unit' : '', 'pieces_quantity' : '0', 'cooking_notes' : ''}).status_code; print('%s :: %s :: %s :: %s :: %s' %(a,861,'hing','hing','Lapsi'))</t>
  </si>
  <si>
    <t xml:space="preserve">a = Client().post('/recipes/lapsi/detail/', {'recipe' : '41', 'ingredient' : '177', 'name' : 'salt', 'mass_unit' : '', 'mass_quantity' : '0', 'volume_unit' : '5', 'volume_quantity' : '0.5', 'pieces_unit' : '', 'pieces_quantity' : '0', 'cooking_notes' : ''}).status_code; print('%s :: %s :: %s :: %s :: %s' %(a,862,'salt','salt','Lapsi'))</t>
  </si>
  <si>
    <t xml:space="preserve">a = Client().post('/recipes/noodles/detail/', {'recipe' : '52', 'ingredient' : '39', 'name' : 'cabbage', 'mass_unit' : '2', 'mass_quantity' : '5', 'volume_unit' : '', 'volume_quantity' : '0', 'pieces_unit' : '', 'pieces_quantity' : '0', 'cooking_notes' : '6 kg cookd noodles= 1 dabba=50 people'}).status_code; print('%s :: %s :: %s :: %s :: %s' %(a,864,'cabbage','cabbage','Noodles'))</t>
  </si>
  <si>
    <t xml:space="preserve">a = Client().post('/recipes/noodles/detail/', {'recipe' : '52', 'ingredient' : '42', 'name' : 'capcicum', 'mass_unit' : '2', 'mass_quantity' : '5', 'volume_unit' : '', 'volume_quantity' : '0', 'pieces_unit' : '', 'pieces_quantity' : '0', 'cooking_notes' : 'fresh tomato sauce(boil tomato,pury and roast in khadi fro 20 min)'}).status_code; print('%s :: %s :: %s :: %s :: %s' %(a,865,'capcicum','capsicum','Noodles'))</t>
  </si>
  <si>
    <t xml:space="preserve">a = Client().post('/recipes/noodles/detail/', {'recipe' : '52', 'ingredient' : '79', 'name' : 'gajar', 'mass_unit' : '2', 'mass_quantity' : '5', 'volume_unit' : '', 'volume_quantity' : '0', 'pieces_unit' : '', 'pieces_quantity' : '0', 'cooking_notes' : 'add all masala,lemon juice in choke after sabji is cooked'}).status_code; print('%s :: %s :: %s :: %s :: %s' %(a,866,'gajar','gajar','Noodles'))</t>
  </si>
  <si>
    <t xml:space="preserve">a = Client().post('/recipes/noodles/detail/', {'recipe' : '52', 'ingredient' : '27', 'name' : 'beans', 'mass_unit' : '2', 'mass_quantity' : '5', 'volume_unit' : '', 'volume_quantity' : '0', 'pieces_unit' : '', 'pieces_quantity' : '0', 'cooking_notes' : ''}).status_code; print('%s :: %s :: %s :: %s :: %s' %(a,867,'beans','beans','Noodles'))</t>
  </si>
  <si>
    <t xml:space="preserve">a = Client().post('/recipes/noodles/detail/', {'recipe' : '52', 'ingredient' : '93', 'name' : 'green chili ( chopp )', 'mass_unit' : '', 'mass_quantity' : '0', 'volume_unit' : '1', 'volume_quantity' : '1.25', 'pieces_unit' : '', 'pieces_quantity' : '0', 'cooking_notes' : ''}).status_code; print('%s :: %s :: %s :: %s :: %s' %(a,868,'green chili ( chopp )','hari mirchi','Noodles'))</t>
  </si>
  <si>
    <t xml:space="preserve">a = Client().post('/recipes/noodles/detail/', {'recipe' : '52', 'ingredient' : '1', 'name' : 'adrak (grate in morning)', 'mass_unit' : '', 'mass_quantity' : '0', 'volume_unit' : '1', 'volume_quantity' : '2', 'pieces_unit' : '', 'pieces_quantity' : '0', 'cooking_notes' : ''}).status_code; print('%s :: %s :: %s :: %s :: %s' %(a,869,'adrak (grate in morning)','adrak','Noodles'))</t>
  </si>
  <si>
    <t xml:space="preserve">a = Client().post('/recipes/noodles/detail/', {'recipe' : '52', 'ingredient' : '129', 'name' : 'lemon juice', 'mass_unit' : '', 'mass_quantity' : '0', 'volume_unit' : '5', 'volume_quantity' : '2', 'pieces_unit' : '', 'pieces_quantity' : '0', 'cooking_notes' : ''}).status_code; print('%s :: %s :: %s :: %s :: %s' %(a,870,'lemon juice','lemon','Noodles'))</t>
  </si>
  <si>
    <t xml:space="preserve">a = Client().post('/recipes/noodles/detail/', {'recipe' : '52', 'ingredient' : '195', 'name' : 'tomato', 'mass_unit' : '2', 'mass_quantity' : '15', 'volume_unit' : '', 'volume_quantity' : '0', 'pieces_unit' : '', 'pieces_quantity' : '0', 'cooking_notes' : ''}).status_code; print('%s :: %s :: %s :: %s :: %s' %(a,871,'tomato','tomato','Noodles'))</t>
  </si>
  <si>
    <t xml:space="preserve">a = Client().post('/recipes/noodles/detail/', {'recipe' : '52', 'ingredient' : '196', 'name' : 'fresh tomato sauce', 'mass_unit' : '2', 'mass_quantity' : '6', 'volume_unit' : '5', 'volume_quantity' : '1', 'pieces_unit' : '', 'pieces_quantity' : '0', 'cooking_notes' : ''}).status_code; print('%s :: %s :: %s :: %s :: %s' %(a,873,'fresh tomato sauce','tomato sauce','Noodles'))</t>
  </si>
  <si>
    <t xml:space="preserve">a = Client().post('/recipes/noodles/detail/', {'recipe' : '52', 'ingredient' : '185', 'name' : 'soya sauce', 'mass_unit' : '2', 'mass_quantity' : '6', 'volume_unit' : '', 'volume_quantity' : '0', 'pieces_unit' : '', 'pieces_quantity' : '0', 'cooking_notes' : ''}).status_code; print('%s :: %s :: %s :: %s :: %s' %(a,874,'soya sauce','soya sauce','Noodles'))</t>
  </si>
  <si>
    <t xml:space="preserve">a = Client().post('/recipes/noodles/detail/', {'recipe' : '52', 'ingredient' : '151', 'name' : 'noodles', 'mass_unit' : '', 'mass_quantity' : '0', 'volume_unit' : '1', 'volume_quantity' : '1.25', 'pieces_unit' : '', 'pieces_quantity' : '0', 'cooking_notes' : ''}).status_code; print('%s :: %s :: %s :: %s :: %s' %(a,875,'noodles','noodles','Noodles'))</t>
  </si>
  <si>
    <t xml:space="preserve">a = Client().post('/recipes/noodles/detail/', {'recipe' : '52', 'ingredient' : '89', 'name' : 'ground nut oil', 'mass_unit' : '2', 'mass_quantity' : '6', 'volume_unit' : '1', 'volume_quantity' : '0.5', 'pieces_unit' : '', 'pieces_quantity' : '0', 'cooking_notes' : ''}).status_code; print('%s :: %s :: %s :: %s :: %s' %(a,876,'ground nut oil','ground nut oil','Noodles'))</t>
  </si>
  <si>
    <t xml:space="preserve">a = Client().post('/recipes/noodles/detail/', {'recipe' : '52', 'ingredient' : '205', 'name' : 'white pepper powder', 'mass_unit' : '', 'mass_quantity' : '0', 'volume_unit' : '5', 'volume_quantity' : '1.5', 'pieces_unit' : '', 'pieces_quantity' : '0', 'cooking_notes' : ''}).status_code; print('%s :: %s :: %s :: %s :: %s' %(a,877,'white pepper powder','white pepper powder','Noodles'))</t>
  </si>
  <si>
    <t xml:space="preserve">a = Client().post('/recipes/noodles/detail/', {'recipe' : '52', 'ingredient' : '177', 'name' : 'salt ', 'mass_unit' : '', 'mass_quantity' : '0', 'volume_unit' : '5', 'volume_quantity' : '0.2', 'pieces_unit' : '', 'pieces_quantity' : '0', 'cooking_notes' : ''}).status_code; print('%s :: %s :: %s :: %s :: %s' %(a,878,'salt ','salt','Noodles'))</t>
  </si>
  <si>
    <t xml:space="preserve">a = Client().post('/recipes/noodles/detail/', {'recipe' : '52', 'ingredient' : '31', 'name' : 'black pepper powder', 'mass_unit' : '', 'mass_quantity' : '0', 'volume_unit' : '5', 'volume_quantity' : '1', 'pieces_unit' : '', 'pieces_quantity' : '0', 'cooking_notes' : ''}).status_code; print('%s :: %s :: %s :: %s :: %s' %(a,879,'black pepper powder','black pepper','Noodles'))</t>
  </si>
  <si>
    <t xml:space="preserve">a = Client().post('/recipes/noodles/detail/', {'recipe' : '52', 'ingredient' : '37', 'name' : 'brown sugar', 'mass_unit' : '', 'mass_quantity' : '0', 'volume_unit' : '', 'volume_quantity' : '0', 'pieces_unit' : '', 'pieces_quantity' : '0', 'cooking_notes' : ''}).status_code; print('%s :: %s :: %s :: %s :: %s' %(a,880,'brown sugar','brown sugar','Noodles'))</t>
  </si>
  <si>
    <t xml:space="preserve">a = Client().post('/recipes/usal-pav/detail/', {'recipe' : '84', 'ingredient' : '195', 'name' : 'tomato(med jali)', 'mass_unit' : '2', 'mass_quantity' : '7', 'volume_unit' : '', 'volume_quantity' : '0', 'pieces_unit' : '', 'pieces_quantity' : '0', 'cooking_notes' : ''}).status_code; print('%s :: %s :: %s :: %s :: %s' %(a,882,'tomato(med jali)','tomato','Usal Pav'))</t>
  </si>
  <si>
    <t xml:space="preserve">a = Client().post('/recipes/usal-pav/detail/', {'recipe' : '84', 'ingredient' : '54', 'name' : 'coconut', 'mass_unit' : '', 'mass_quantity' : '0', 'volume_unit' : '', 'volume_quantity' : '0', 'pieces_unit' : '3', 'pieces_quantity' : '8', 'cooking_notes' : ''}).status_code; print('%s :: %s :: %s :: %s :: %s' %(a,883,'coconut','coconut','Usal Pav'))</t>
  </si>
  <si>
    <t xml:space="preserve">a = Client().post('/recipes/usal-pav/detail/', {'recipe' : '84', 'ingredient' : '129', 'name' : 'lemon ', 'mass_unit' : '', 'mass_quantity' : '0', 'volume_unit' : '', 'volume_quantity' : '0', 'pieces_unit' : '3', 'pieces_quantity' : '20', 'cooking_notes' : ''}).status_code; print('%s :: %s :: %s :: %s :: %s' %(a,884,'lemon ','lemon','Usal Pav'))</t>
  </si>
  <si>
    <t xml:space="preserve">a = Client().post('/recipes/usal-pav/detail/', {'recipe' : '84', 'ingredient' : '203', 'name' : 'watana(cookr fire stop aftr', 'mass_unit' : '2', 'mass_quantity' : '10', 'volume_unit' : '', 'volume_quantity' : '0', 'pieces_unit' : '', 'pieces_quantity' : '0', 'cooking_notes' : ''}).status_code; print('%s :: %s :: %s :: %s :: %s' %(a,885,'watana(cookr fire stop aftr','watana','Usal Pav'))</t>
  </si>
  <si>
    <t xml:space="preserve">a = Client().post('/recipes/usal-pav/detail/', {'recipe' : '84', 'ingredient' : '83', 'name' : 'oil', 'mass_unit' : '', 'mass_quantity' : '0', 'volume_unit' : '1', 'volume_quantity' : '2', 'pieces_unit' : '', 'pieces_quantity' : '0', 'cooking_notes' : ''}).status_code; print('%s :: %s :: %s :: %s :: %s' %(a,887,'oil','gound nut oil','Usal Pav'))</t>
  </si>
  <si>
    <t xml:space="preserve">a = Client().post('/recipes/usal-pav/detail/', {'recipe' : '84', 'ingredient' : '191', 'name' : 'tejpatta', 'mass_unit' : '', 'mass_quantity' : '0', 'volume_unit' : '5', 'volume_quantity' : '2', 'pieces_unit' : '', 'pieces_quantity' : '0', 'cooking_notes' : ''}).status_code; print('%s :: %s :: %s :: %s :: %s' %(a,888,'tejpatta','tej patta','Usal Pav'))</t>
  </si>
  <si>
    <t xml:space="preserve">a = Client().post('/recipes/usal-pav/detail/', {'recipe' : '84', 'ingredient' : '164', 'name' : 'rai', 'mass_unit' : '', 'mass_quantity' : '0', 'volume_unit' : '1', 'volume_quantity' : '0.75', 'pieces_unit' : '', 'pieces_quantity' : '0', 'cooking_notes' : ''}).status_code; print('%s :: %s :: %s :: %s :: %s' %(a,889,'rai','rai','Usal Pav'))</t>
  </si>
  <si>
    <t xml:space="preserve">a = Client().post('/recipes/usal-pav/detail/', {'recipe' : '84', 'ingredient' : '102', 'name' : 'jeera', 'mass_unit' : '', 'mass_quantity' : '0', 'volume_unit' : '1', 'volume_quantity' : '1', 'pieces_unit' : '', 'pieces_quantity' : '0', 'cooking_notes' : ''}).status_code; print('%s :: %s :: %s :: %s :: %s' %(a,890,'jeera','jeera','Usal Pav'))</t>
  </si>
  <si>
    <t xml:space="preserve">a = Client().post('/recipes/usal-pav/detail/', {'recipe' : '84', 'ingredient' : '95', 'name' : 'hing', 'mass_unit' : '', 'mass_quantity' : '0', 'volume_unit' : '5', 'volume_quantity' : '0.75', 'pieces_unit' : '', 'pieces_quantity' : '0', 'cooking_notes' : ''}).status_code; print('%s :: %s :: %s :: %s :: %s' %(a,891,'hing','hing','Usal Pav'))</t>
  </si>
  <si>
    <t xml:space="preserve">a = Client().post('/recipes/usal-pav/detail/', {'recipe' : '84', 'ingredient' : '1', 'name' : 'adrak', 'mass_unit' : '', 'mass_quantity' : '0', 'volume_unit' : '1', 'volume_quantity' : '0.75', 'pieces_unit' : '', 'pieces_quantity' : '0', 'cooking_notes' : ''}).status_code; print('%s :: %s :: %s :: %s :: %s' %(a,892,'adrak','adrak','Usal Pav'))</t>
  </si>
  <si>
    <t xml:space="preserve">a = Client().post('/recipes/usal-pav/detail/', {'recipe' : '84', 'ingredient' : '91', 'name' : 'haldi', 'mass_unit' : '', 'mass_quantity' : '0', 'volume_unit' : '5', 'volume_quantity' : '1.5', 'pieces_unit' : '', 'pieces_quantity' : '0', 'cooking_notes' : ''}).status_code; print('%s :: %s :: %s :: %s :: %s' %(a,893,'haldi','haldi','Usal Pav'))</t>
  </si>
  <si>
    <t xml:space="preserve">a = Client().post('/recipes/usal-pav/detail/', {'recipe' : '84', 'ingredient' : '67', 'name' : 'dhania powder', 'mass_unit' : '', 'mass_quantity' : '0', 'volume_unit' : '5', 'volume_quantity' : '2', 'pieces_unit' : '', 'pieces_quantity' : '0', 'cooking_notes' : ''}).status_code; print('%s :: %s :: %s :: %s :: %s' %(a,894,'dhania powder','dhaniya powder','Usal Pav'))</t>
  </si>
  <si>
    <t xml:space="preserve">a = Client().post('/recipes/usal-pav/detail/', {'recipe' : '84', 'ingredient' : '103', 'name' : 'jeera powder', 'mass_unit' : '', 'mass_quantity' : '0', 'volume_unit' : '5', 'volume_quantity' : '0.75', 'pieces_unit' : '', 'pieces_quantity' : '0', 'cooking_notes' : ''}).status_code; print('%s :: %s :: %s :: %s :: %s' %(a,895,'jeera powder','jeera powder','Usal Pav'))</t>
  </si>
  <si>
    <t xml:space="preserve">a = Client().post('/recipes/usal-pav/detail/', {'recipe' : '84', 'ingredient' : '117', 'name' : 'kashmiri mirchi powder', 'mass_unit' : '', 'mass_quantity' : '0', 'volume_unit' : '', 'volume_quantity' : '1', 'pieces_unit' : '', 'pieces_quantity' : '0', 'cooking_notes' : ''}).status_code; print('%s :: %s :: %s :: %s :: %s' %(a,896,'kashmiri mirchi powder','kashmiri chilly powder','Usal Pav'))</t>
  </si>
  <si>
    <t xml:space="preserve">a = Client().post('/recipes/usal-pav/detail/', {'recipe' : '84', 'ingredient' : '125', 'name' : 'kubal usam masala', 'mass_unit' : '', 'mass_quantity' : '0', 'volume_unit' : '1', 'volume_quantity' : '1', 'pieces_unit' : '', 'pieces_quantity' : '0', 'cooking_notes' : ''}).status_code; print('%s :: %s :: %s :: %s :: %s' %(a,897,'kubal usam masala','kubal usal masala','Usal Pav'))</t>
  </si>
  <si>
    <t xml:space="preserve">a = Client().post('/recipes/usal-pav/detail/', {'recipe' : '84', 'ingredient' : '187', 'name' : 'sugar', 'mass_unit' : '', 'mass_quantity' : '0', 'volume_unit' : '5', 'volume_quantity' : '1.5', 'pieces_unit' : '', 'pieces_quantity' : '0', 'cooking_notes' : ''}).status_code; print('%s :: %s :: %s :: %s :: %s' %(a,898,'sugar','sugar','Usal Pav'))</t>
  </si>
  <si>
    <t xml:space="preserve">a = Client().post('/recipes/usal-pav/detail/', {'recipe' : '84', 'ingredient' : '177', 'name' : 'salt', 'mass_unit' : '', 'mass_quantity' : '0', 'volume_unit' : '5', 'volume_quantity' : '6', 'pieces_unit' : '', 'pieces_quantity' : '0', 'cooking_notes' : ''}).status_code; print('%s :: %s :: %s :: %s :: %s' %(a,899,'salt','salt','Usal Pav'))</t>
  </si>
  <si>
    <t xml:space="preserve">a = Client().post('/recipes/idli/detail/', {'recipe' : '31', 'ingredient' : '170', 'name' : 'RICE', 'mass_unit' : '2', 'mass_quantity' : '24.75', 'volume_unit' : '', 'volume_quantity' : '0', 'pieces_unit' : '', 'pieces_quantity' : '0', 'cooking_notes' : ''}).status_code; print('%s :: %s :: %s :: %s :: %s' %(a,901,'RICE','rice','Idli'))</t>
  </si>
  <si>
    <t xml:space="preserve">a = Client().post('/recipes/idli/detail/', {'recipe' : '31', 'ingredient' : '200', 'name' : 'urad dal', 'mass_unit' : '2', 'mass_quantity' : '4.5', 'volume_unit' : '', 'volume_quantity' : '0', 'pieces_unit' : '', 'pieces_quantity' : '0', 'cooking_notes' : 'add salt in dough only in winter '}).status_code; print('%s :: %s :: %s :: %s :: %s' %(a,902,'urad dal','urad dal','Idli'))</t>
  </si>
  <si>
    <t xml:space="preserve">a = Client().post('/recipes/idli/detail/', {'recipe' : '31', 'ingredient' : '177', 'name' : 'salt', 'mass_unit' : '7', 'mass_quantity' : '500', 'volume_unit' : '', 'volume_quantity' : '0', 'pieces_unit' : '', 'pieces_quantity' : '0', 'cooking_notes' : 'or cold rainy season-to increase heat and fermentation'}).status_code; print('%s :: %s :: %s :: %s :: %s' %(a,903,'salt','salt','Idli'))</t>
  </si>
  <si>
    <t xml:space="preserve">a = Client().post('/recipes/sambar/detail/', {'recipe' : '69', 'ingredient' : '54', 'name' : 'coconut', 'mass_unit' : '2', 'mass_quantity' : '6', 'volume_unit' : '', 'volume_quantity' : '0', 'pieces_unit' : '', 'pieces_quantity' : '0', 'cooking_notes' : ''}).status_code; print('%s :: %s :: %s :: %s :: %s' %(a,905,'coconut','coconut','Sambar'))</t>
  </si>
  <si>
    <t xml:space="preserve">a = Client().post('/recipes/sambar/detail/', {'recipe' : '69', 'ingredient' : '68', 'name' : 'drum stick', 'mass_unit' : '2', 'mass_quantity' : '2', 'volume_unit' : '', 'volume_quantity' : '0', 'pieces_unit' : '', 'pieces_quantity' : '0', 'cooking_notes' : ''}).status_code; print('%s :: %s :: %s :: %s :: %s' %(a,906,'drum stick','drum stick','Sambar'))</t>
  </si>
  <si>
    <t xml:space="preserve">a = Client().post('/recipes/sambar/detail/', {'recipe' : '69', 'ingredient' : '149', 'name' : 'mugi', 'mass_unit' : '2', 'mass_quantity' : '2', 'volume_unit' : '', 'volume_quantity' : '0', 'pieces_unit' : '', 'pieces_quantity' : '0', 'cooking_notes' : ''}).status_code; print('%s :: %s :: %s :: %s :: %s' %(a,907,'mugi','mugi','Sambar'))</t>
  </si>
  <si>
    <t xml:space="preserve">a = Client().post('/recipes/sambar/detail/', {'recipe' : '69', 'ingredient' : '30', 'name' : 'bhopla', 'mass_unit' : '2', 'mass_quantity' : '3', 'volume_unit' : '', 'volume_quantity' : '0', 'pieces_unit' : '', 'pieces_quantity' : '0', 'cooking_notes' : ''}).status_code; print('%s :: %s :: %s :: %s :: %s' %(a,908,'bhopla','bhopla','Sambar'))</t>
  </si>
  <si>
    <t xml:space="preserve">a = Client().post('/recipes/sambar/detail/', {'recipe' : '69', 'ingredient' : '8', 'name' : 'potato', 'mass_unit' : '2', 'mass_quantity' : '2', 'volume_unit' : '', 'volume_quantity' : '0', 'pieces_unit' : '', 'pieces_quantity' : '0', 'cooking_notes' : ''}).status_code; print('%s :: %s :: %s :: %s :: %s' %(a,909,'potato','alu','Sambar'))</t>
  </si>
  <si>
    <t xml:space="preserve">a = Client().post('/recipes/sambar/detail/', {'recipe' : '69', 'ingredient' : '105', 'name' : 'kadipatta', 'mass_unit' : '', 'mass_quantity' : '0', 'volume_unit' : '1', 'volume_quantity' : '1', 'pieces_unit' : '', 'pieces_quantity' : '0', 'cooking_notes' : ''}).status_code; print('%s :: %s :: %s :: %s :: %s' %(a,910,'kadipatta','kadi patta','Sambar'))</t>
  </si>
  <si>
    <t xml:space="preserve">a = Client().post('/recipes/sambar/detail/', {'recipe' : '69', 'ingredient' : '195', 'name' : 'tomato', 'mass_unit' : '2', 'mass_quantity' : '2', 'volume_unit' : '', 'volume_quantity' : '0', 'pieces_unit' : '', 'pieces_quantity' : '0', 'cooking_notes' : ''}).status_code; print('%s :: %s :: %s :: %s :: %s' %(a,911,'tomato','tomato','Sambar'))</t>
  </si>
  <si>
    <t xml:space="preserve">a = Client().post('/recipes/sambar/detail/', {'recipe' : '69', 'ingredient' : '198', 'name' : 'tur dal', 'mass_unit' : '2', 'mass_quantity' : '2', 'volume_unit' : '', 'volume_quantity' : '0', 'pieces_unit' : '', 'pieces_quantity' : '0', 'cooking_notes' : ''}).status_code; print('%s :: %s :: %s :: %s :: %s' %(a,912,'tur dal','tur dal','Sambar'))</t>
  </si>
  <si>
    <t xml:space="preserve">a = Client().post('/recipes/sambar/detail/', {'recipe' : '69', 'ingredient' : '98', 'name' : 'imli', 'mass_unit' : '7', 'mass_quantity' : '300', 'volume_unit' : '', 'volume_quantity' : '0', 'pieces_unit' : '', 'pieces_quantity' : '0', 'cooking_notes' : ''}).status_code; print('%s :: %s :: %s :: %s :: %s' %(a,913,'imli','imli','Sambar'))</t>
  </si>
  <si>
    <t xml:space="preserve">a = Client().post('/recipes/sambar/detail/', {'recipe' : '69', 'ingredient' : '91', 'name' : 'haldi', 'mass_unit' : '', 'mass_quantity' : '0', 'volume_unit' : '5', 'volume_quantity' : '0.5', 'pieces_unit' : '', 'pieces_quantity' : '0', 'cooking_notes' : ''}).status_code; print('%s :: %s :: %s :: %s :: %s' %(a,914,'haldi','haldi','Sambar'))</t>
  </si>
  <si>
    <t xml:space="preserve">a = Client().post('/recipes/sambar/detail/', {'recipe' : '69', 'ingredient' : '95', 'name' : 'hing', 'mass_unit' : '', 'mass_quantity' : '0', 'volume_unit' : '5', 'volume_quantity' : '0.25', 'pieces_unit' : '', 'pieces_quantity' : '0', 'cooking_notes' : ''}).status_code; print('%s :: %s :: %s :: %s :: %s' %(a,915,'hing','hing','Sambar'))</t>
  </si>
  <si>
    <t xml:space="preserve">a = Client().post('/recipes/sambar/detail/', {'recipe' : '69', 'ingredient' : '90', 'name' : 'jaggary', 'mass_unit' : '7', 'mass_quantity' : '250', 'volume_unit' : '', 'volume_quantity' : '0', 'pieces_unit' : '', 'pieces_quantity' : '0', 'cooking_notes' : ''}).status_code; print('%s :: %s :: %s :: %s :: %s' %(a,916,'jaggary','gud','Sambar'))</t>
  </si>
  <si>
    <t xml:space="preserve">a = Client().post('/recipes/sambar/detail/', {'recipe' : '69', 'ingredient' : '164', 'name' : 'rai', 'mass_unit' : '', 'mass_quantity' : '0', 'volume_unit' : '5', 'volume_quantity' : '0.5', 'pieces_unit' : '', 'pieces_quantity' : '0', 'cooking_notes' : ''}).status_code; print('%s :: %s :: %s :: %s :: %s' %(a,917,'rai','rai','Sambar'))</t>
  </si>
  <si>
    <t xml:space="preserve">a = Client().post('/recipes/sambar/detail/', {'recipe' : '69', 'ingredient' : '148', 'name' : 'MTR masala', 'mass_unit' : '', 'mass_quantity' : '0', 'volume_unit' : '5', 'volume_quantity' : '1.5', 'pieces_unit' : '', 'pieces_quantity' : '0', 'cooking_notes' : ''}).status_code; print('%s :: %s :: %s :: %s :: %s' %(a,918,'MTR masala','mtr rasam masala','Sambar'))</t>
  </si>
  <si>
    <t xml:space="preserve">a = Client().post('/recipes/sambar/detail/', {'recipe' : '69', 'ingredient' : '14', 'name' : 'anapoorna sambar ms', 'mass_unit' : '', 'mass_quantity' : '0', 'volume_unit' : '5', 'volume_quantity' : '1', 'pieces_unit' : '', 'pieces_quantity' : '0', 'cooking_notes' : ''}).status_code; print('%s :: %s :: %s :: %s :: %s' %(a,919,'anapoorna sambar ms','annapoorna sambar masala','Sambar'))</t>
  </si>
  <si>
    <t xml:space="preserve">a = Client().post('/recipes/sambar/detail/', {'recipe' : '69', 'ingredient' : '81', 'name' : 'ghee/oil', 'mass_unit' : '', 'mass_quantity' : '0', 'volume_unit' : '5', 'volume_quantity' : '0.5', 'pieces_unit' : '', 'pieces_quantity' : '0', 'cooking_notes' : ''}).status_code; print('%s :: %s :: %s :: %s :: %s' %(a,920,'ghee/oil','ghee','Sambar'))</t>
  </si>
  <si>
    <t xml:space="preserve">a = Client().post('/recipes/sambar/detail/', {'recipe' : '69', 'ingredient' : '177', 'name' : 'salt (IF TATA THEN 1.5 cup)', 'mass_unit' : '', 'mass_quantity' : '0', 'volume_unit' : '5', 'volume_quantity' : '1.8', 'pieces_unit' : '', 'pieces_quantity' : '0', 'cooking_notes' : ''}).status_code; print('%s :: %s :: %s :: %s :: %s' %(a,921,'salt (IF TATA THEN 1.5 cup)','salt','Sambar'))</t>
  </si>
  <si>
    <t xml:space="preserve">a = Client().post('/recipes/lemon-rice/detail/', {'recipe' : '44', 'ingredient' : '129', 'name' : 'lemon juice', 'mass_unit' : '', 'mass_quantity' : '0', 'volume_unit' : '1', 'volume_quantity' : '2.5', 'pieces_unit' : '', 'pieces_quantity' : '0', 'cooking_notes' : ''}).status_code; print('%s :: %s :: %s :: %s :: %s' %(a,923,'lemon juice','lemon','Lemon Rice'))</t>
  </si>
  <si>
    <t xml:space="preserve">a = Client().post('/recipes/lemon-rice/detail/', {'recipe' : '44', 'ingredient' : '105', 'name' : 'kadi patta', 'mass_unit' : '', 'mass_quantity' : '0', 'volume_unit' : '1', 'volume_quantity' : '2', 'pieces_unit' : '', 'pieces_quantity' : '0', 'cooking_notes' : ''}).status_code; print('%s :: %s :: %s :: %s :: %s' %(a,924,'kadi patta','kadi patta','Lemon Rice'))</t>
  </si>
  <si>
    <t xml:space="preserve">a = Client().post('/recipes/lemon-rice/detail/', {'recipe' : '44', 'ingredient' : '66', 'name' : 'dhaniya patta', 'mass_unit' : '', 'mass_quantity' : '0', 'volume_unit' : '1', 'volume_quantity' : '5', 'pieces_unit' : '', 'pieces_quantity' : '0', 'cooking_notes' : ''}).status_code; print('%s :: %s :: %s :: %s :: %s' %(a,925,'dhaniya patta','dhaniya patta','Lemon Rice'))</t>
  </si>
  <si>
    <t xml:space="preserve">a = Client().post('/recipes/lemon-rice/detail/', {'recipe' : '44', 'ingredient' : '93', 'name' : 'green chily(long cut)', 'mass_unit' : '', 'mass_quantity' : '0', 'volume_unit' : '1', 'volume_quantity' : '4', 'pieces_unit' : '', 'pieces_quantity' : '0', 'cooking_notes' : ''}).status_code; print('%s :: %s :: %s :: %s :: %s' %(a,926,'green chily(long cut)','hari mirchi','Lemon Rice'))</t>
  </si>
  <si>
    <t xml:space="preserve">a = Client().post('/recipes/lemon-rice/detail/', {'recipe' : '44', 'ingredient' : '1', 'name' : 'adrak', 'mass_unit' : '', 'mass_quantity' : '0', 'volume_unit' : '1', 'volume_quantity' : '0.5', 'pieces_unit' : '', 'pieces_quantity' : '0', 'cooking_notes' : ''}).status_code; print('%s :: %s :: %s :: %s :: %s' %(a,927,'adrak','adrak','Lemon Rice'))</t>
  </si>
  <si>
    <t xml:space="preserve">a = Client().post('/recipes/lemon-rice/detail/', {'recipe' : '44', 'ingredient' : '170', 'name' : 'Rice', 'mass_unit' : '2', 'mass_quantity' : '25', 'volume_unit' : '', 'volume_quantity' : '0', 'pieces_unit' : '', 'pieces_quantity' : '0', 'cooking_notes' : ''}).status_code; print('%s :: %s :: %s :: %s :: %s' %(a,928,'Rice','rice','Lemon Rice'))</t>
  </si>
  <si>
    <t xml:space="preserve">a = Client().post('/recipes/lemon-rice/detail/', {'recipe' : '44', 'ingredient' : '164', 'name' : 'rai', 'mass_unit' : '', 'mass_quantity' : '0', 'volume_unit' : '5', 'volume_quantity' : '2', 'pieces_unit' : '', 'pieces_quantity' : '0', 'cooking_notes' : ''}).status_code; print('%s :: %s :: %s :: %s :: %s' %(a,929,'rai','rai','Lemon Rice'))</t>
  </si>
  <si>
    <t xml:space="preserve">a = Client().post('/recipes/lemon-rice/detail/', {'recipe' : '44', 'ingredient' : '200', 'name' : 'urad dal', 'mass_unit' : '', 'mass_quantity' : '0', 'volume_unit' : '1', 'volume_quantity' : '1', 'pieces_unit' : '', 'pieces_quantity' : '0', 'cooking_notes' : ''}).status_code; print('%s :: %s :: %s :: %s :: %s' %(a,930,'urad dal','urad dal','Lemon Rice'))</t>
  </si>
  <si>
    <t xml:space="preserve">a = Client().post('/recipes/lemon-rice/detail/', {'recipe' : '44', 'ingredient' : '46', 'name' : 'chana dal', 'mass_unit' : '', 'mass_quantity' : '0', 'volume_unit' : '1', 'volume_quantity' : '1', 'pieces_unit' : '', 'pieces_quantity' : '0', 'cooking_notes' : ''}).status_code; print('%s :: %s :: %s :: %s :: %s' %(a,931,'chana dal','chana dal','Lemon Rice'))</t>
  </si>
  <si>
    <t xml:space="preserve">a = Client().post('/recipes/lemon-rice/detail/', {'recipe' : '44', 'ingredient' : '95', 'name' : 'hing', 'mass_unit' : '', 'mass_quantity' : '0', 'volume_unit' : '5', 'volume_quantity' : '0.5', 'pieces_unit' : '', 'pieces_quantity' : '0', 'cooking_notes' : ''}).status_code; print('%s :: %s :: %s :: %s :: %s' %(a,932,'hing','hing','Lemon Rice'))</t>
  </si>
  <si>
    <t xml:space="preserve">a = Client().post('/recipes/lemon-rice/detail/', {'recipe' : '44', 'ingredient' : '91', 'name' : 'haldi', 'mass_unit' : '', 'mass_quantity' : '0', 'volume_unit' : '5', 'volume_quantity' : '1.5', 'pieces_unit' : '', 'pieces_quantity' : '0', 'cooking_notes' : ''}).status_code; print('%s :: %s :: %s :: %s :: %s' %(a,933,'haldi','haldi','Lemon Rice'))</t>
  </si>
  <si>
    <t xml:space="preserve">a = Client().post('/recipes/lemon-rice/detail/', {'recipe' : '44', 'ingredient' : '83', 'name' : 'oil(ground nut)', 'mass_unit' : '', 'mass_quantity' : '0', 'volume_unit' : '1', 'volume_quantity' : '5', 'pieces_unit' : '', 'pieces_quantity' : '0', 'cooking_notes' : ''}).status_code; print('%s :: %s :: %s :: %s :: %s' %(a,934,'oil(ground nut)','gound nut oil','Lemon Rice'))</t>
  </si>
  <si>
    <t xml:space="preserve">a = Client().post('/recipes/lemon-rice/detail/', {'recipe' : '44', 'ingredient' : '183', 'name' : 'singdana', 'mass_unit' : '2', 'mass_quantity' : '4', 'volume_unit' : '', 'volume_quantity' : '0', 'pieces_unit' : '', 'pieces_quantity' : '0', 'cooking_notes' : ''}).status_code; print('%s :: %s :: %s :: %s :: %s' %(a,935,'singdana','singdana','Lemon Rice'))</t>
  </si>
  <si>
    <t xml:space="preserve">a = Client().post('/recipes/lemon-rice/detail/', {'recipe' : '44', 'ingredient' : '177', 'name' : 'salt', 'mass_unit' : '', 'mass_quantity' : '0', 'volume_unit' : '5', 'volume_quantity' : '7.5', 'pieces_unit' : '', 'pieces_quantity' : '0', 'cooking_notes' : ''}).status_code; print('%s :: %s :: %s :: %s :: %s' %(a,936,'salt','salt','Lemon Rice'))</t>
  </si>
  <si>
    <t xml:space="preserve">a = Client().post('/recipes/tamrind-rice/detail/', {'recipe' : '79', 'ingredient' : '190', 'name' : 'tamrind', 'mass_unit' : '2', 'mass_quantity' : '2', 'volume_unit' : '', 'volume_quantity' : '0', 'pieces_unit' : '', 'pieces_quantity' : '0', 'cooking_notes' : ''}).status_code; print('%s :: %s :: %s :: %s :: %s' %(a,938,'tamrind','tamrind','Tamrind Rice'))</t>
  </si>
  <si>
    <t xml:space="preserve">a = Client().post('/recipes/tamrind-rice/detail/', {'recipe' : '79', 'ingredient' : '105', 'name' : 'kadi patta', 'mass_unit' : '', 'mass_quantity' : '0', 'volume_unit' : '1', 'volume_quantity' : '2', 'pieces_unit' : '', 'pieces_quantity' : '0', 'cooking_notes' : ''}).status_code; print('%s :: %s :: %s :: %s :: %s' %(a,939,'kadi patta','kadi patta','Tamrind Rice'))</t>
  </si>
  <si>
    <t xml:space="preserve">a = Client().post('/recipes/tamrind-rice/detail/', {'recipe' : '79', 'ingredient' : '66', 'name' : 'dhaniya patta', 'mass_unit' : '', 'mass_quantity' : '0', 'volume_unit' : '1', 'volume_quantity' : '5', 'pieces_unit' : '', 'pieces_quantity' : '0', 'cooking_notes' : ''}).status_code; print('%s :: %s :: %s :: %s :: %s' %(a,940,'dhaniya patta','dhaniya patta','Tamrind Rice'))</t>
  </si>
  <si>
    <t xml:space="preserve">a = Client().post('/recipes/tamrind-rice/detail/', {'recipe' : '79', 'ingredient' : '93', 'name' : 'green chily(long cut)', 'mass_unit' : '', 'mass_quantity' : '0', 'volume_unit' : '1', 'volume_quantity' : '1', 'pieces_unit' : '', 'pieces_quantity' : '0', 'cooking_notes' : ''}).status_code; print('%s :: %s :: %s :: %s :: %s' %(a,941,'green chily(long cut)','hari mirchi','Tamrind Rice'))</t>
  </si>
  <si>
    <t xml:space="preserve">a = Client().post('/recipes/tamrind-rice/detail/', {'recipe' : '79', 'ingredient' : '170', 'name' : 'Rice', 'mass_unit' : '2', 'mass_quantity' : '25', 'volume_unit' : '', 'volume_quantity' : '0', 'pieces_unit' : '', 'pieces_quantity' : '0', 'cooking_notes' : ''}).status_code; print('%s :: %s :: %s :: %s :: %s' %(a,942,'Rice','rice','Tamrind Rice'))</t>
  </si>
  <si>
    <t xml:space="preserve">a = Client().post('/recipes/tamrind-rice/detail/', {'recipe' : '79', 'ingredient' : '164', 'name' : 'rai', 'mass_unit' : '', 'mass_quantity' : '0', 'volume_unit' : '5', 'volume_quantity' : '2', 'pieces_unit' : '', 'pieces_quantity' : '0', 'cooking_notes' : ''}).status_code; print('%s :: %s :: %s :: %s :: %s' %(a,943,'rai','rai','Tamrind Rice'))</t>
  </si>
  <si>
    <t xml:space="preserve">a = Client().post('/recipes/tamrind-rice/detail/', {'recipe' : '79', 'ingredient' : '200', 'name' : 'urad dal', 'mass_unit' : '', 'mass_quantity' : '0', 'volume_unit' : '1', 'volume_quantity' : '1', 'pieces_unit' : '', 'pieces_quantity' : '0', 'cooking_notes' : ''}).status_code; print('%s :: %s :: %s :: %s :: %s' %(a,944,'urad dal','urad dal','Tamrind Rice'))</t>
  </si>
  <si>
    <t xml:space="preserve">a = Client().post('/recipes/tamrind-rice/detail/', {'recipe' : '79', 'ingredient' : '46', 'name' : 'chana dal', 'mass_unit' : '', 'mass_quantity' : '0', 'volume_unit' : '1', 'volume_quantity' : '1', 'pieces_unit' : '', 'pieces_quantity' : '0', 'cooking_notes' : ''}).status_code; print('%s :: %s :: %s :: %s :: %s' %(a,945,'chana dal','chana dal','Tamrind Rice'))</t>
  </si>
  <si>
    <t xml:space="preserve">a = Client().post('/recipes/tamrind-rice/detail/', {'recipe' : '79', 'ingredient' : '95', 'name' : 'hing', 'mass_unit' : '', 'mass_quantity' : '0', 'volume_unit' : '5', 'volume_quantity' : '1', 'pieces_unit' : '', 'pieces_quantity' : '0', 'cooking_notes' : ''}).status_code; print('%s :: %s :: %s :: %s :: %s' %(a,946,'hing','hing','Tamrind Rice'))</t>
  </si>
  <si>
    <t xml:space="preserve">a = Client().post('/recipes/tamrind-rice/detail/', {'recipe' : '79', 'ingredient' : '91', 'name' : 'haldi', 'mass_unit' : '', 'mass_quantity' : '0', 'volume_unit' : '5', 'volume_quantity' : '1.5', 'pieces_unit' : '', 'pieces_quantity' : '0', 'cooking_notes' : ''}).status_code; print('%s :: %s :: %s :: %s :: %s' %(a,947,'haldi','haldi','Tamrind Rice'))</t>
  </si>
  <si>
    <t xml:space="preserve">a = Client().post('/recipes/tamrind-rice/detail/', {'recipe' : '79', 'ingredient' : '83', 'name' : 'oil(ground nut)', 'mass_unit' : '', 'mass_quantity' : '0', 'volume_unit' : '1', 'volume_quantity' : '5', 'pieces_unit' : '', 'pieces_quantity' : '0', 'cooking_notes' : ''}).status_code; print('%s :: %s :: %s :: %s :: %s' %(a,948,'oil(ground nut)','gound nut oil','Tamrind Rice'))</t>
  </si>
  <si>
    <t xml:space="preserve">a = Client().post('/recipes/tamrind-rice/detail/', {'recipe' : '79', 'ingredient' : '183', 'name' : 'singdana', 'mass_unit' : '2', 'mass_quantity' : '4', 'volume_unit' : '', 'volume_quantity' : '0', 'pieces_unit' : '', 'pieces_quantity' : '0', 'cooking_notes' : ''}).status_code; print('%s :: %s :: %s :: %s :: %s' %(a,949,'singdana','singdana','Tamrind Rice'))</t>
  </si>
  <si>
    <t xml:space="preserve">a = Client().post('/recipes/tamrind-rice/detail/', {'recipe' : '79', 'ingredient' : '177', 'name' : 'salt', 'mass_unit' : '', 'mass_quantity' : '0', 'volume_unit' : '5', 'volume_quantity' : '6.5', 'pieces_unit' : '', 'pieces_quantity' : '0', 'cooking_notes' : ''}).status_code; print('%s :: %s :: %s :: %s :: %s' %(a,950,'salt','salt','Tamrind Rice'))</t>
  </si>
  <si>
    <t xml:space="preserve">a = Client().post('/recipes/tamrind-rice/detail/', {'recipe' : '79', 'ingredient' : '90', 'name' : 'jaggary', 'mass_unit' : '2', 'mass_quantity' : '1', 'volume_unit' : '', 'volume_quantity' : '0', 'pieces_unit' : '', 'pieces_quantity' : '0', 'cooking_notes' : ''}).status_code; print('%s :: %s :: %s :: %s :: %s' %(a,951,'jaggary','gud','Tamrind Rice'))</t>
  </si>
  <si>
    <t xml:space="preserve">a = Client().post('/recipes/varai-kheer/detail/', {'recipe' : '85', 'ingredient' : '145', 'name' : 'milk', 'mass_unit' : '', 'mass_quantity' : '0', 'volume_unit' : '1', 'volume_quantity' : '60', 'pieces_unit' : '', 'pieces_quantity' : '0', 'cooking_notes' : ''}).status_code; print('%s :: %s :: %s :: %s :: %s' %(a,953,'milk','milk','Varai Kheer'))</t>
  </si>
  <si>
    <t xml:space="preserve">a = Client().post('/recipes/varai-kheer/detail/', {'recipe' : '85', 'ingredient' : '119', 'name' : 'khajur', 'mass_unit' : '2', 'mass_quantity' : '2', 'volume_unit' : '', 'volume_quantity' : '0', 'pieces_unit' : '', 'pieces_quantity' : '0', 'cooking_notes' : ''}).status_code; print('%s :: %s :: %s :: %s :: %s' %(a,954,'khajur','khajur','Varai Kheer'))</t>
  </si>
  <si>
    <t xml:space="preserve">a = Client().post('/recipes/varai-kheer/detail/', {'recipe' : '85', 'ingredient' : '110', 'name' : 'kaju tukada', 'mass_unit' : '7', 'mass_quantity' : '500', 'volume_unit' : '', 'volume_quantity' : '0', 'pieces_unit' : '', 'pieces_quantity' : '0', 'cooking_notes' : ''}).status_code; print('%s :: %s :: %s :: %s :: %s' %(a,955,'kaju tukada','kaju tukada','Varai Kheer'))</t>
  </si>
  <si>
    <t xml:space="preserve">a = Client().post('/recipes/varai-kheer/detail/', {'recipe' : '85', 'ingredient' : '201', 'name' : 'varai rice', 'mass_unit' : '2', 'mass_quantity' : '7', 'volume_unit' : '', 'volume_quantity' : '0', 'pieces_unit' : '', 'pieces_quantity' : '0', 'cooking_notes' : ''}).status_code; print('%s :: %s :: %s :: %s :: %s' %(a,956,'varai rice','varai','Varai Kheer'))</t>
  </si>
  <si>
    <t xml:space="preserve">a = Client().post('/recipes/varai-kheer/detail/', {'recipe' : '85', 'ingredient' : '187', 'name' : 'sugar', 'mass_unit' : '2', 'mass_quantity' : '5', 'volume_unit' : '', 'volume_quantity' : '0', 'pieces_unit' : '', 'pieces_quantity' : '0', 'cooking_notes' : ''}).status_code; print('%s :: %s :: %s :: %s :: %s' %(a,957,'sugar','sugar','Varai Kheer'))</t>
  </si>
  <si>
    <t xml:space="preserve">a = Client().post('/recipes/khichadi/detail/', {'recipe' : '37', 'ingredient' : '69', 'name' : 'dudhi', 'mass_unit' : '2', 'mass_quantity' : '4', 'volume_unit' : '', 'volume_quantity' : '0', 'pieces_unit' : '', 'pieces_quantity' : '0', 'cooking_notes' : ''}).status_code; print('%s :: %s :: %s :: %s :: %s' %(a,959,'dudhi','dudhi','Khichadi'))</t>
  </si>
  <si>
    <t xml:space="preserve">a = Client().post('/recipes/khichadi/detail/', {'recipe' : '37', 'ingredient' : '30', 'name' : 'bhopla', 'mass_unit' : '2', 'mass_quantity' : '4', 'volume_unit' : '', 'volume_quantity' : '0', 'pieces_unit' : '', 'pieces_quantity' : '0', 'cooking_notes' : ''}).status_code; print('%s :: %s :: %s :: %s :: %s' %(a,960,'bhopla','bhopla','Khichadi'))</t>
  </si>
  <si>
    <t xml:space="preserve">a = Client().post('/recipes/khichadi/detail/', {'recipe' : '37', 'ingredient' : '214', 'name' : 'water(10 times)', 'mass_unit' : '', 'mass_quantity' : '0', 'volume_unit' : '1', 'volume_quantity' : '20', 'pieces_unit' : '', 'pieces_quantity' : '0', 'cooking_notes' : ''}).status_code; print('%s :: %s :: %s :: %s :: %s' %(a,961,'water(10 times)','water','Khichadi'))</t>
  </si>
  <si>
    <t xml:space="preserve">a = Client().post('/recipes/khichadi/detail/', {'recipe' : '37', 'ingredient' : '105', 'name' : 'kadipatta', 'mass_unit' : '', 'mass_quantity' : '0', 'volume_unit' : '5', 'volume_quantity' : '1', 'pieces_unit' : '', 'pieces_quantity' : '0', 'cooking_notes' : ''}).status_code; print('%s :: %s :: %s :: %s :: %s' %(a,962,'kadipatta','kadi patta','Khichadi'))</t>
  </si>
  <si>
    <t xml:space="preserve">a = Client().post('/recipes/khichadi/detail/', {'recipe' : '37', 'ingredient' : '66', 'name' : 'dhaniya patta', 'mass_unit' : '', 'mass_quantity' : '0', 'volume_unit' : '1', 'volume_quantity' : '0.5', 'pieces_unit' : '', 'pieces_quantity' : '0', 'cooking_notes' : ''}).status_code; print('%s :: %s :: %s :: %s :: %s' %(a,963,'dhaniya patta','dhaniya patta','Khichadi'))</t>
  </si>
  <si>
    <t xml:space="preserve">a = Client().post('/recipes/khichadi/detail/', {'recipe' : '37', 'ingredient' : '1', 'name' : 'adrak paste', 'mass_unit' : '', 'mass_quantity' : '0', 'volume_unit' : '5', 'volume_quantity' : '1', 'pieces_unit' : '', 'pieces_quantity' : '0', 'cooking_notes' : ''}).status_code; print('%s :: %s :: %s :: %s :: %s' %(a,964,'adrak paste','adrak','Khichadi'))</t>
  </si>
  <si>
    <t xml:space="preserve">a = Client().post('/recipes/khichadi/detail/', {'recipe' : '37', 'ingredient' : '170', 'name' : 'rice', 'mass_unit' : '2', 'mass_quantity' : '2', 'volume_unit' : '', 'volume_quantity' : '0', 'pieces_unit' : '', 'pieces_quantity' : '0', 'cooking_notes' : ''}).status_code; print('%s :: %s :: %s :: %s :: %s' %(a,965,'rice','rice','Khichadi'))</t>
  </si>
  <si>
    <t xml:space="preserve">a = Client().post('/recipes/khichadi/detail/', {'recipe' : '37', 'ingredient' : '60', 'name' : 'dal', 'mass_unit' : '2', 'mass_quantity' : '2', 'volume_unit' : '', 'volume_quantity' : '0', 'pieces_unit' : '', 'pieces_quantity' : '0', 'cooking_notes' : ''}).status_code; print('%s :: %s :: %s :: %s :: %s' %(a,966,'dal','dal','Khichadi'))</t>
  </si>
  <si>
    <t xml:space="preserve">a = Client().post('/recipes/khichadi/detail/', {'recipe' : '37', 'ingredient' : '177', 'name' : 'salt', 'mass_unit' : '', 'mass_quantity' : '0', 'volume_unit' : '5', 'volume_quantity' : '1.25', 'pieces_unit' : '', 'pieces_quantity' : '0', 'cooking_notes' : ''}).status_code; print('%s :: %s :: %s :: %s :: %s' %(a,967,'salt','salt','Khichadi'))</t>
  </si>
  <si>
    <t xml:space="preserve">a = Client().post('/recipes/khichadi/detail/', {'recipe' : '37', 'ingredient' : '91', 'name' : 'haldi', 'mass_unit' : '', 'mass_quantity' : '0', 'volume_unit' : '5', 'volume_quantity' : '0.25', 'pieces_unit' : '', 'pieces_quantity' : '0', 'cooking_notes' : ''}).status_code; print('%s :: %s :: %s :: %s :: %s' %(a,968,'haldi','haldi','Khichadi'))</t>
  </si>
  <si>
    <t xml:space="preserve">a = Client().post('/recipes/khichadi/detail/', {'recipe' : '37', 'ingredient' : '164', 'name' : 'rai', 'mass_unit' : '', 'mass_quantity' : '0', 'volume_unit' : '5', 'volume_quantity' : '0.3', 'pieces_unit' : '', 'pieces_quantity' : '0', 'cooking_notes' : ''}).status_code; print('%s :: %s :: %s :: %s :: %s' %(a,969,'rai','rai','Khichadi'))</t>
  </si>
  <si>
    <t xml:space="preserve">a = Client().post('/recipes/khichadi/detail/', {'recipe' : '37', 'ingredient' : '102', 'name' : 'jeera', 'mass_unit' : '', 'mass_quantity' : '0', 'volume_unit' : '5', 'volume_quantity' : '0.4', 'pieces_unit' : '', 'pieces_quantity' : '0', 'cooking_notes' : ''}).status_code; print('%s :: %s :: %s :: %s :: %s' %(a,970,'jeera','jeera','Khichadi'))</t>
  </si>
  <si>
    <t xml:space="preserve">a = Client().post('/recipes/khichadi/detail/', {'recipe' : '37', 'ingredient' : '95', 'name' : 'hing', 'mass_unit' : '', 'mass_quantity' : '0', 'volume_unit' : '5', 'volume_quantity' : '0.1', 'pieces_unit' : '', 'pieces_quantity' : '0', 'cooking_notes' : ''}).status_code; print('%s :: %s :: %s :: %s :: %s' %(a,971,'hing','hing','Khichadi'))</t>
  </si>
  <si>
    <t xml:space="preserve">a = Client().post('/recipes/khichadi/detail/', {'recipe' : '37', 'ingredient' : '81', 'name' : 'ghee', 'mass_unit' : '', 'mass_quantity' : '0', 'volume_unit' : '12', 'volume_quantity' : '300', 'pieces_unit' : '', 'pieces_quantity' : '0', 'cooking_notes' : ''}).status_code; print('%s :: %s :: %s :: %s :: %s' %(a,972,'ghee','ghee','Khichadi'))</t>
  </si>
  <si>
    <t xml:space="preserve">a = Client().post('/recipes/dwadashi-spicy-khichadi/detail/', {'recipe' : '21', 'ingredient' : '195', 'name' : 'tomato', 'mass_unit' : '2', 'mass_quantity' : '3', 'volume_unit' : '', 'volume_quantity' : '0', 'pieces_unit' : '', 'pieces_quantity' : '0', 'cooking_notes' : ''}).status_code; print('%s :: %s :: %s :: %s :: %s' %(a,974,'tomato','tomato','Dwadashi / Spicy Khichadi'))</t>
  </si>
  <si>
    <t xml:space="preserve">a = Client().post('/recipes/dwadashi-spicy-khichadi/detail/', {'recipe' : '21', 'ingredient' : '27', 'name' : 'beans', 'mass_unit' : '2', 'mass_quantity' : '1', 'volume_unit' : '', 'volume_quantity' : '0', 'pieces_unit' : '', 'pieces_quantity' : '0', 'cooking_notes' : ''}).status_code; print('%s :: %s :: %s :: %s :: %s' %(a,975,'beans','beans','Dwadashi / Spicy Khichadi'))</t>
  </si>
  <si>
    <t xml:space="preserve">a = Client().post('/recipes/dwadashi-spicy-khichadi/detail/', {'recipe' : '21', 'ingredient' : '79', 'name' : 'gajar', 'mass_unit' : '2', 'mass_quantity' : '1', 'volume_unit' : '', 'volume_quantity' : '0', 'pieces_unit' : '', 'pieces_quantity' : '0', 'cooking_notes' : ''}).status_code; print('%s :: %s :: %s :: %s :: %s' %(a,976,'gajar','gajar','Dwadashi / Spicy Khichadi'))</t>
  </si>
  <si>
    <t xml:space="preserve">a = Client().post('/recipes/dwadashi-spicy-khichadi/detail/', {'recipe' : '21', 'ingredient' : '88', 'name' : 'green peas', 'mass_unit' : '2', 'mass_quantity' : '1', 'volume_unit' : '', 'volume_quantity' : '0', 'pieces_unit' : '', 'pieces_quantity' : '0', 'cooking_notes' : ''}).status_code; print('%s :: %s :: %s :: %s :: %s' %(a,977,'green peas','green peas','Dwadashi / Spicy Khichadi'))</t>
  </si>
  <si>
    <t xml:space="preserve">a = Client().post('/recipes/dwadashi-spicy-khichadi/detail/', {'recipe' : '21', 'ingredient' : '69', 'name' : 'dudhi', 'mass_unit' : '2', 'mass_quantity' : '2', 'volume_unit' : '', 'volume_quantity' : '0', 'pieces_unit' : '', 'pieces_quantity' : '0', 'cooking_notes' : ''}).status_code; print('%s :: %s :: %s :: %s :: %s' %(a,978,'dudhi','dudhi','Dwadashi / Spicy Khichadi'))</t>
  </si>
  <si>
    <t xml:space="preserve">a = Client().post('/recipes/dwadashi-spicy-khichadi/detail/', {'recipe' : '21', 'ingredient' : '30', 'name' : 'bhopla', 'mass_unit' : '2', 'mass_quantity' : '2', 'volume_unit' : '', 'volume_quantity' : '0', 'pieces_unit' : '', 'pieces_quantity' : '0', 'cooking_notes' : ''}).status_code; print('%s :: %s :: %s :: %s :: %s' %(a,979,'bhopla','bhopla','Dwadashi / Spicy Khichadi'))</t>
  </si>
  <si>
    <t xml:space="preserve">a = Client().post('/recipes/dwadashi-spicy-khichadi/detail/', {'recipe' : '21', 'ingredient' : '78', 'name' : 'flower', 'mass_unit' : '2', 'mass_quantity' : '4', 'volume_unit' : '', 'volume_quantity' : '0', 'pieces_unit' : '', 'pieces_quantity' : '0', 'cooking_notes' : ''}).status_code; print('%s :: %s :: %s :: %s :: %s' %(a,980,'flower','flower','Dwadashi / Spicy Khichadi'))</t>
  </si>
  <si>
    <t xml:space="preserve">a = Client().post('/recipes/dwadashi-spicy-khichadi/detail/', {'recipe' : '21', 'ingredient' : '214', 'name' : 'water(10 times)', 'mass_unit' : '', 'mass_quantity' : '0', 'volume_unit' : '1', 'volume_quantity' : '20', 'pieces_unit' : '', 'pieces_quantity' : '0', 'cooking_notes' : ''}).status_code; print('%s :: %s :: %s :: %s :: %s' %(a,981,'water(10 times)','water','Dwadashi / Spicy Khichadi'))</t>
  </si>
  <si>
    <t xml:space="preserve">a = Client().post('/recipes/dwadashi-spicy-khichadi/detail/', {'recipe' : '21', 'ingredient' : '105', 'name' : 'kadipatta', 'mass_unit' : '', 'mass_quantity' : '0', 'volume_unit' : '5', 'volume_quantity' : '2', 'pieces_unit' : '', 'pieces_quantity' : '0', 'cooking_notes' : ''}).status_code; print('%s :: %s :: %s :: %s :: %s' %(a,982,'kadipatta','kadi patta','Dwadashi / Spicy Khichadi'))</t>
  </si>
  <si>
    <t xml:space="preserve">a = Client().post('/recipes/dwadashi-spicy-khichadi/detail/', {'recipe' : '21', 'ingredient' : '66', 'name' : 'dhaniya patta', 'mass_unit' : '', 'mass_quantity' : '0', 'volume_unit' : '1', 'volume_quantity' : '0.5', 'pieces_unit' : '', 'pieces_quantity' : '0', 'cooking_notes' : ''}).status_code; print('%s :: %s :: %s :: %s :: %s' %(a,983,'dhaniya patta','dhaniya patta','Dwadashi / Spicy Khichadi'))</t>
  </si>
  <si>
    <t xml:space="preserve">a = Client().post('/recipes/dwadashi-spicy-khichadi/detail/', {'recipe' : '21', 'ingredient' : '1', 'name' : 'adrak paste', 'mass_unit' : '', 'mass_quantity' : '0', 'volume_unit' : '5', 'volume_quantity' : '1', 'pieces_unit' : '', 'pieces_quantity' : '0', 'cooking_notes' : ''}).status_code; print('%s :: %s :: %s :: %s :: %s' %(a,984,'adrak paste','adrak','Dwadashi / Spicy Khichadi'))</t>
  </si>
  <si>
    <t xml:space="preserve">a = Client().post('/recipes/dwadashi-spicy-khichadi/detail/', {'recipe' : '21', 'ingredient' : '93', 'name' : 'green chily', 'mass_unit' : '', 'mass_quantity' : '0', 'volume_unit' : '5', 'volume_quantity' : '1', 'pieces_unit' : '', 'pieces_quantity' : '0', 'cooking_notes' : ''}).status_code; print('%s :: %s :: %s :: %s :: %s' %(a,985,'green chily','hari mirchi','Dwadashi / Spicy Khichadi'))</t>
  </si>
  <si>
    <t xml:space="preserve">a = Client().post('/recipes/dwadashi-spicy-khichadi/detail/', {'recipe' : '21', 'ingredient' : '177', 'name' : 'salt', 'mass_unit' : '', 'mass_quantity' : '0', 'volume_unit' : '5', 'volume_quantity' : '1.5', 'pieces_unit' : '', 'pieces_quantity' : '0', 'cooking_notes' : ''}).status_code; print('%s :: %s :: %s :: %s :: %s' %(a,988,'salt','salt','Dwadashi / Spicy Khichadi'))</t>
  </si>
  <si>
    <t xml:space="preserve">a = Client().post('/recipes/dwadashi-spicy-khichadi/detail/', {'recipe' : '21', 'ingredient' : '91', 'name' : 'haldi', 'mass_unit' : '', 'mass_quantity' : '0', 'volume_unit' : '5', 'volume_quantity' : '0.2', 'pieces_unit' : '', 'pieces_quantity' : '0', 'cooking_notes' : ''}).status_code; print('%s :: %s :: %s :: %s :: %s' %(a,989,'haldi','haldi','Dwadashi / Spicy Khichadi'))</t>
  </si>
  <si>
    <t xml:space="preserve">a = Client().post('/recipes/dwadashi-spicy-khichadi/detail/', {'recipe' : '21', 'ingredient' : '164', 'name' : 'rai', 'mass_unit' : '', 'mass_quantity' : '0', 'volume_unit' : '5', 'volume_quantity' : '0.25', 'pieces_unit' : '', 'pieces_quantity' : '0', 'cooking_notes' : ''}).status_code; print('%s :: %s :: %s :: %s :: %s' %(a,990,'rai','rai','Dwadashi / Spicy Khichadi'))</t>
  </si>
  <si>
    <t xml:space="preserve">a = Client().post('/recipes/dwadashi-spicy-khichadi/detail/', {'recipe' : '21', 'ingredient' : '102', 'name' : 'jeera', 'mass_unit' : '', 'mass_quantity' : '0', 'volume_unit' : '5', 'volume_quantity' : '0.4', 'pieces_unit' : '', 'pieces_quantity' : '0', 'cooking_notes' : ''}).status_code; print('%s :: %s :: %s :: %s :: %s' %(a,991,'jeera','jeera','Dwadashi / Spicy Khichadi'))</t>
  </si>
  <si>
    <t xml:space="preserve">a = Client().post('/recipes/dwadashi-spicy-khichadi/detail/', {'recipe' : '21', 'ingredient' : '95', 'name' : 'hing', 'mass_unit' : '', 'mass_quantity' : '0', 'volume_unit' : '5', 'volume_quantity' : '0.1', 'pieces_unit' : '', 'pieces_quantity' : '0', 'cooking_notes' : ''}).status_code; print('%s :: %s :: %s :: %s :: %s' %(a,992,'hing','hing','Dwadashi / Spicy Khichadi'))</t>
  </si>
  <si>
    <t xml:space="preserve">a = Client().post('/recipes/dwadashi-spicy-khichadi/detail/', {'recipe' : '21', 'ingredient' : '67', 'name' : 'dhaniya powder', 'mass_unit' : '', 'mass_quantity' : '0', 'volume_unit' : '5', 'volume_quantity' : '0.7', 'pieces_unit' : '', 'pieces_quantity' : '0', 'cooking_notes' : ''}).status_code; print('%s :: %s :: %s :: %s :: %s' %(a,993,'dhaniya powder','dhaniya powder','Dwadashi / Spicy Khichadi'))</t>
  </si>
  <si>
    <t xml:space="preserve">a = Client().post('/recipes/dwadashi-spicy-khichadi/detail/', {'recipe' : '21', 'ingredient' : '103', 'name' : 'jeera powder', 'mass_unit' : '', 'mass_quantity' : '0', 'volume_unit' : '5', 'volume_quantity' : '0.7', 'pieces_unit' : '', 'pieces_quantity' : '0', 'cooking_notes' : ''}).status_code; print('%s :: %s :: %s :: %s :: %s' %(a,994,'jeera powder','jeera powder','Dwadashi / Spicy Khichadi'))</t>
  </si>
  <si>
    <t xml:space="preserve">a = Client().post('/recipes/dwadashi-spicy-khichadi/detail/', {'recipe' : '21', 'ingredient' : '117', 'name' : 'kashmiri chily pwder', 'mass_unit' : '', 'mass_quantity' : '0', 'volume_unit' : '5', 'volume_quantity' : '0.4', 'pieces_unit' : '', 'pieces_quantity' : '0', 'cooking_notes' : ''}).status_code; print('%s :: %s :: %s :: %s :: %s' %(a,995,'kashmiri chily pwder','kashmiri chilly powder','Dwadashi / Spicy Khichadi'))</t>
  </si>
  <si>
    <t xml:space="preserve">a = Client().post('/recipes/dwadashi-spicy-khichadi/detail/', {'recipe' : '21', 'ingredient' : '135', 'name' : 'madrasi chili powder', 'mass_unit' : '', 'mass_quantity' : '0', 'volume_unit' : '5', 'volume_quantity' : '0.3', 'pieces_unit' : '', 'pieces_quantity' : '0', 'cooking_notes' : ''}).status_code; print('%s :: %s :: %s :: %s :: %s' %(a,996,'madrasi chili powder','madrasi mirchi powder','Dwadashi / Spicy Khichadi'))</t>
  </si>
  <si>
    <t xml:space="preserve">a = Client().post('/recipes/dwadashi-spicy-khichadi/detail/', {'recipe' : '21', 'ingredient' : '6', 'name' : 'akkha madrasi mirch', 'mass_unit' : '', 'mass_quantity' : '0', 'volume_unit' : '5', 'volume_quantity' : '1', 'pieces_unit' : '', 'pieces_quantity' : '0', 'cooking_notes' : ''}).status_code; print('%s :: %s :: %s :: %s :: %s' %(a,997,'akkha madrasi mirch','akkha madrasi mirchi','Dwadashi / Spicy Khichadi'))</t>
  </si>
  <si>
    <t xml:space="preserve">a = Client().post('/recipes/dwadashi-spicy-khichadi/detail/', {'recipe' : '21', 'ingredient' : '83', 'name' : 'OIL', 'mass_unit' : '', 'mass_quantity' : '0', 'volume_unit' : '12', 'volume_quantity' : '500', 'pieces_unit' : '', 'pieces_quantity' : '0', 'cooking_notes' : ''}).status_code; print('%s :: %s :: %s :: %s :: %s' %(a,998,'OIL','gound nut oil','Dwadashi / Spicy Khichadi'))</t>
  </si>
  <si>
    <t xml:space="preserve">a = Client().post('/recipes/dwadashi-spicy-khichadi/detail/', {'recipe' : '21', 'ingredient' : '187', 'name' : 'sugar', 'mass_unit' : '', 'mass_quantity' : '0', 'volume_unit' : '5', 'volume_quantity' : '1', 'pieces_unit' : '', 'pieces_quantity' : '0', 'cooking_notes' : ''}).status_code; print('%s :: %s :: %s :: %s :: %s' %(a,999,'sugar','sugar','Dwadashi / Spicy Khichadi'))</t>
  </si>
  <si>
    <t xml:space="preserve">a = Client().post('/recipes/rice-sevai/detail/', {'recipe' : '67', 'ingredient' : '93', 'name' : 'green chilly', 'mass_unit' : '', 'mass_quantity' : '0', 'volume_unit' : '1', 'volume_quantity' : '1', 'pieces_unit' : '', 'pieces_quantity' : '0', 'cooking_notes' : ''}).status_code; print('%s :: %s :: %s :: %s :: %s' %(a,1004,'green chilly','hari mirchi','Rice Sevai'))</t>
  </si>
  <si>
    <t xml:space="preserve">a = Client().post('/recipes/rice-sevai/detail/', {'recipe' : '67', 'ingredient' : '66', 'name' : 'Dhania patta', 'mass_unit' : '', 'mass_quantity' : '0', 'volume_unit' : '1', 'volume_quantity' : '3', 'pieces_unit' : '', 'pieces_quantity' : '0', 'cooking_notes' : ''}).status_code; print('%s :: %s :: %s :: %s :: %s' %(a,1005,'Dhania patta','dhaniya patta','Rice Sevai'))</t>
  </si>
  <si>
    <t xml:space="preserve">a = Client().post('/recipes/rice-sevai/detail/', {'recipe' : '67', 'ingredient' : '1', 'name' : 'ginger', 'mass_unit' : '', 'mass_quantity' : '0', 'volume_unit' : '1', 'volume_quantity' : '0.5', 'pieces_unit' : '', 'pieces_quantity' : '0', 'cooking_notes' : ''}).status_code; print('%s :: %s :: %s :: %s :: %s' %(a,1006,'ginger','adrak','Rice Sevai'))</t>
  </si>
  <si>
    <t xml:space="preserve">a = Client().post('/recipes/rice-sevai/detail/', {'recipe' : '67', 'ingredient' : '105', 'name' : 'kadipatta', 'mass_unit' : '', 'mass_quantity' : '0', 'volume_unit' : '1', 'volume_quantity' : '2', 'pieces_unit' : '', 'pieces_quantity' : '0', 'cooking_notes' : ''}).status_code; print('%s :: %s :: %s :: %s :: %s' %(a,1007,'kadipatta','kadi patta','Rice Sevai'))</t>
  </si>
  <si>
    <t xml:space="preserve">a = Client().post('/recipes/rice-sevai/detail/', {'recipe' : '67', 'ingredient' : '172', 'name' : 'Rice Sevai', 'mass_unit' : '2', 'mass_quantity' : '25', 'volume_unit' : '', 'volume_quantity' : '0', 'pieces_unit' : '', 'pieces_quantity' : '0', 'cooking_notes' : ''}).status_code; print('%s :: %s :: %s :: %s :: %s' %(a,1008,'Rice Sevai','rice sevai','Rice Sevai'))</t>
  </si>
  <si>
    <t xml:space="preserve">a = Client().post('/recipes/rice-sevai/detail/', {'recipe' : '67', 'ingredient' : '83', 'name' : 'oil(groundnut)', 'mass_unit' : '', 'mass_quantity' : '0', 'volume_unit' : '1', 'volume_quantity' : '4.5', 'pieces_unit' : '', 'pieces_quantity' : '0', 'cooking_notes' : ''}).status_code; print('%s :: %s :: %s :: %s :: %s' %(a,1009,'oil(groundnut)','gound nut oil','Rice Sevai'))</t>
  </si>
  <si>
    <t xml:space="preserve">a = Client().post('/recipes/rice-sevai/detail/', {'recipe' : '67', 'ingredient' : '164', 'name' : 'Rai', 'mass_unit' : '', 'mass_quantity' : '0', 'volume_unit' : '5', 'volume_quantity' : '2', 'pieces_unit' : '', 'pieces_quantity' : '0', 'cooking_notes' : ''}).status_code; print('%s :: %s :: %s :: %s :: %s' %(a,1010,'Rai','rai','Rice Sevai'))</t>
  </si>
  <si>
    <t xml:space="preserve">a = Client().post('/recipes/rice-sevai/detail/', {'recipe' : '67', 'ingredient' : '46', 'name' : 'chana dal', 'mass_unit' : '', 'mass_quantity' : '0', 'volume_unit' : '1', 'volume_quantity' : '1', 'pieces_unit' : '', 'pieces_quantity' : '0', 'cooking_notes' : ''}).status_code; print('%s :: %s :: %s :: %s :: %s' %(a,1011,'chana dal','chana dal','Rice Sevai'))</t>
  </si>
  <si>
    <t xml:space="preserve">a = Client().post('/recipes/rice-sevai/detail/', {'recipe' : '67', 'ingredient' : '200', 'name' : 'urad dal', 'mass_unit' : '', 'mass_quantity' : '0', 'volume_unit' : '1', 'volume_quantity' : '1', 'pieces_unit' : '', 'pieces_quantity' : '0', 'cooking_notes' : ''}).status_code; print('%s :: %s :: %s :: %s :: %s' %(a,1012,'urad dal','urad dal','Rice Sevai'))</t>
  </si>
  <si>
    <t xml:space="preserve">a = Client().post('/recipes/rice-sevai/detail/', {'recipe' : '67', 'ingredient' : '91', 'name' : 'haldi', 'mass_unit' : '', 'mass_quantity' : '0', 'volume_unit' : '5', 'volume_quantity' : '1', 'pieces_unit' : '', 'pieces_quantity' : '0', 'cooking_notes' : ''}).status_code; print('%s :: %s :: %s :: %s :: %s' %(a,1013,'haldi','haldi','Rice Sevai'))</t>
  </si>
  <si>
    <t xml:space="preserve">a = Client().post('/recipes/rice-sevai/detail/', {'recipe' : '67', 'ingredient' : '117', 'name' : 'kashmiri chili powder', 'mass_unit' : '', 'mass_quantity' : '0', 'volume_unit' : '5', 'volume_quantity' : '0.5', 'pieces_unit' : '', 'pieces_quantity' : '0', 'cooking_notes' : ''}).status_code; print('%s :: %s :: %s :: %s :: %s' %(a,1014,'kashmiri chili powder','kashmiri chilly powder','Rice Sevai'))</t>
  </si>
  <si>
    <t xml:space="preserve">a = Client().post('/recipes/rice-sevai/detail/', {'recipe' : '67', 'ingredient' : '95', 'name' : 'hing', 'mass_unit' : '', 'mass_quantity' : '0', 'volume_unit' : '5', 'volume_quantity' : '0.5', 'pieces_unit' : '', 'pieces_quantity' : '0', 'cooking_notes' : ''}).status_code; print('%s :: %s :: %s :: %s :: %s' %(a,1015,'hing','hing','Rice Sevai'))</t>
  </si>
  <si>
    <t xml:space="preserve">a = Client().post('/recipes/rice-sevai/detail/', {'recipe' : '67', 'ingredient' : '177', 'name' : 'salt', 'mass_unit' : '', 'mass_quantity' : '0', 'volume_unit' : '5', 'volume_quantity' : '6', 'pieces_unit' : '', 'pieces_quantity' : '0', 'cooking_notes' : ''}).status_code; print('%s :: %s :: %s :: %s :: %s' %(a,1016,'salt','salt','Rice Sevai'))</t>
  </si>
  <si>
    <t xml:space="preserve">a = Client().post('/recipes/sushila-bhel/detail/', {'recipe' : '74', 'ingredient' : '111', 'name' : 'kakdi/green peas/beans', 'mass_unit' : '2', 'mass_quantity' : '10', 'volume_unit' : '', 'volume_quantity' : '0', 'pieces_unit' : '', 'pieces_quantity' : '0', 'cooking_notes' : ''}).status_code; print('%s :: %s :: %s :: %s :: %s' %(a,1018,'kakdi/green peas/beans','kakdi','Sushila Bhel'))</t>
  </si>
  <si>
    <t xml:space="preserve">a = Client().post('/recipes/sushila-bhel/detail/', {'recipe' : '74', 'ingredient' : '87', 'name' : 'green mung', 'mass_unit' : '2', 'mass_quantity' : '6', 'volume_unit' : '', 'volume_quantity' : '0', 'pieces_unit' : '', 'pieces_quantity' : '0', 'cooking_notes' : ''}).status_code; print('%s :: %s :: %s :: %s :: %s' %(a,1019,'green mung','green mung','Sushila Bhel'))</t>
  </si>
  <si>
    <t xml:space="preserve">a = Client().post('/recipes/sushila-bhel/detail/', {'recipe' : '74', 'ingredient' : '93', 'name' : 'green chily', 'mass_unit' : '', 'mass_quantity' : '0', 'volume_unit' : '1', 'volume_quantity' : '1', 'pieces_unit' : '', 'pieces_quantity' : '0', 'cooking_notes' : ''}).status_code; print('%s :: %s :: %s :: %s :: %s' %(a,1020,'green chily','hari mirchi','Sushila Bhel'))</t>
  </si>
  <si>
    <t xml:space="preserve">a = Client().post('/recipes/sushila-bhel/detail/', {'recipe' : '74', 'ingredient' : '195', 'name' : 'tomato', 'mass_unit' : '2', 'mass_quantity' : '6', 'volume_unit' : '', 'volume_quantity' : '0', 'pieces_unit' : '', 'pieces_quantity' : '0', 'cooking_notes' : ''}).status_code; print('%s :: %s :: %s :: %s :: %s' %(a,1021,'tomato','tomato','Sushila Bhel'))</t>
  </si>
  <si>
    <t xml:space="preserve">a = Client().post('/recipes/sushila-bhel/detail/', {'recipe' : '74', 'ingredient' : '8', 'name' : 'potato', 'mass_unit' : '2', 'mass_quantity' : '7', 'volume_unit' : '', 'volume_quantity' : '0', 'pieces_unit' : '', 'pieces_quantity' : '0', 'cooking_notes' : ''}).status_code; print('%s :: %s :: %s :: %s :: %s' %(a,1022,'potato','alu','Sushila Bhel'))</t>
  </si>
  <si>
    <t xml:space="preserve">a = Client().post('/recipes/sushila-bhel/detail/', {'recipe' : '74', 'ingredient' : '66', 'name' : 'dhaniya patta', 'mass_unit' : '', 'mass_quantity' : '0', 'volume_unit' : '1', 'volume_quantity' : '4', 'pieces_unit' : '', 'pieces_quantity' : '0', 'cooking_notes' : ''}).status_code; print('%s :: %s :: %s :: %s :: %s' %(a,1023,'dhaniya patta','dhaniya patta','Sushila Bhel'))</t>
  </si>
  <si>
    <t xml:space="preserve">a = Client().post('/recipes/sushila-bhel/detail/', {'recipe' : '74', 'ingredient' : '1', 'name' : 'adrak', 'mass_unit' : '', 'mass_quantity' : '0', 'volume_unit' : '1', 'volume_quantity' : '1', 'pieces_unit' : '', 'pieces_quantity' : '0', 'cooking_notes' : ''}).status_code; print('%s :: %s :: %s :: %s :: %s' %(a,1024,'adrak','adrak','Sushila Bhel'))</t>
  </si>
  <si>
    <t xml:space="preserve">a = Client().post('/recipes/sushila-bhel/detail/', {'recipe' : '74', 'ingredient' : '105', 'name' : 'kadi patta', 'mass_unit' : '', 'mass_quantity' : '0', 'volume_unit' : '1', 'volume_quantity' : '1', 'pieces_unit' : '', 'pieces_quantity' : '0', 'cooking_notes' : ''}).status_code; print('%s :: %s :: %s :: %s :: %s' %(a,1025,'kadi patta','kadi patta','Sushila Bhel'))</t>
  </si>
  <si>
    <t xml:space="preserve">a = Client().post('/recipes/sushila-bhel/detail/', {'recipe' : '74', 'ingredient' : '126', 'name' : 'KURMURA', 'mass_unit' : '2', 'mass_quantity' : '20', 'volume_unit' : '', 'volume_quantity' : '0', 'pieces_unit' : '', 'pieces_quantity' : '0', 'cooking_notes' : ''}).status_code; print('%s :: %s :: %s :: %s :: %s' %(a,1026,'KURMURA','kurmura','Sushila Bhel'))</t>
  </si>
  <si>
    <t xml:space="preserve">a = Client().post('/recipes/sushila-bhel/detail/', {'recipe' : '74', 'ingredient' : '83', 'name' : 'oil(groundnut)', 'mass_unit' : '', 'mass_quantity' : '0', 'volume_unit' : '1', 'volume_quantity' : '7', 'pieces_unit' : '', 'pieces_quantity' : '0', 'cooking_notes' : ''}).status_code; print('%s :: %s :: %s :: %s :: %s' %(a,1027,'oil(groundnut)','gound nut oil','Sushila Bhel'))</t>
  </si>
  <si>
    <t xml:space="preserve">a = Client().post('/recipes/sushila-bhel/detail/', {'recipe' : '74', 'ingredient' : '164', 'name' : 'Rai', 'mass_unit' : '', 'mass_quantity' : '0', 'volume_unit' : '5', 'volume_quantity' : '2', 'pieces_unit' : '', 'pieces_quantity' : '0', 'cooking_notes' : ''}).status_code; print('%s :: %s :: %s :: %s :: %s' %(a,1028,'Rai','rai','Sushila Bhel'))</t>
  </si>
  <si>
    <t xml:space="preserve">a = Client().post('/recipes/sushila-bhel/detail/', {'recipe' : '74', 'ingredient' : '102', 'name' : 'Jeera', 'mass_unit' : '', 'mass_quantity' : '0', 'volume_unit' : '5', 'volume_quantity' : '2', 'pieces_unit' : '', 'pieces_quantity' : '0', 'cooking_notes' : ''}).status_code; print('%s :: %s :: %s :: %s :: %s' %(a,1029,'Jeera','jeera','Sushila Bhel'))</t>
  </si>
  <si>
    <t xml:space="preserve">a = Client().post('/recipes/sushila-bhel/detail/', {'recipe' : '74', 'ingredient' : '183', 'name' : 'akkha singdana', 'mass_unit' : '2', 'mass_quantity' : '3', 'volume_unit' : '', 'volume_quantity' : '0', 'pieces_unit' : '', 'pieces_quantity' : '0', 'cooking_notes' : ''}).status_code; print('%s :: %s :: %s :: %s :: %s' %(a,1030,'akkha singdana','singdana','Sushila Bhel'))</t>
  </si>
  <si>
    <t xml:space="preserve">a = Client().post('/recipes/sushila-bhel/detail/', {'recipe' : '74', 'ingredient' : '91', 'name' : 'haldi', 'mass_unit' : '', 'mass_quantity' : '0', 'volume_unit' : '5', 'volume_quantity' : '1.5', 'pieces_unit' : '', 'pieces_quantity' : '0', 'cooking_notes' : ''}).status_code; print('%s :: %s :: %s :: %s :: %s' %(a,1031,'haldi','haldi','Sushila Bhel'))</t>
  </si>
  <si>
    <t xml:space="preserve">a = Client().post('/recipes/sushila-bhel/detail/', {'recipe' : '74', 'ingredient' : '135', 'name' : 'madrasi chili powder', 'mass_unit' : '', 'mass_quantity' : '0', 'volume_unit' : '5', 'volume_quantity' : '1', 'pieces_unit' : '', 'pieces_quantity' : '0', 'cooking_notes' : ''}).status_code; print('%s :: %s :: %s :: %s :: %s' %(a,1032,'madrasi chili powder','madrasi mirchi powder','Sushila Bhel'))</t>
  </si>
  <si>
    <t xml:space="preserve">a = Client().post('/recipes/sushila-bhel/detail/', {'recipe' : '74', 'ingredient' : '95', 'name' : 'hing', 'mass_unit' : '', 'mass_quantity' : '0', 'volume_unit' : '5', 'volume_quantity' : '0.75', 'pieces_unit' : '', 'pieces_quantity' : '0', 'cooking_notes' : ''}).status_code; print('%s :: %s :: %s :: %s :: %s' %(a,1033,'hing','hing','Sushila Bhel'))</t>
  </si>
  <si>
    <t xml:space="preserve">a = Client().post('/recipes/sushila-bhel/detail/', {'recipe' : '74', 'ingredient' : '177', 'name' : 'salt', 'mass_unit' : '', 'mass_quantity' : '0', 'volume_unit' : '5', 'volume_quantity' : '6.5', 'pieces_unit' : '', 'pieces_quantity' : '0', 'cooking_notes' : ''}).status_code; print('%s :: %s :: %s :: %s :: %s' %(a,1034,'salt','salt','Sushila Bhel'))</t>
  </si>
  <si>
    <t xml:space="preserve">a = Client().post('/recipes/sushila-bhel/detail/', {'recipe' : '74', 'ingredient' : '143', 'name' : 'MDH garam masala', 'mass_unit' : '', 'mass_quantity' : '0', 'volume_unit' : '', 'volume_quantity' : '0', 'pieces_unit' : '11', 'pieces_quantity' : '2', 'cooking_notes' : ''}).status_code; print('%s :: %s :: %s :: %s :: %s' %(a,1035,'MDH garam masala','mdh garam masala','Sushila Bhel'))</t>
  </si>
  <si>
    <t xml:space="preserve">a = Client().post('/recipes/sushila-bhel/detail/', {'recipe' : '74', 'ingredient' : '187', 'name' : 'sugar', 'mass_unit' : '', 'mass_quantity' : '0', 'volume_unit' : '1', 'volume_quantity' : '1', 'pieces_unit' : '', 'pieces_quantity' : '0', 'cooking_notes' : ''}).status_code; print('%s :: %s :: %s :: %s :: %s' %(a,1036,'sugar','sugar','Sushila Bhel'))</t>
  </si>
  <si>
    <t xml:space="preserve">a = Client().post('/recipes/sushila-bhel/detail/', {'recipe' : '74', 'ingredient' : '117', 'name' : 'kashmiri chili powder', 'mass_unit' : '', 'mass_quantity' : '0', 'volume_unit' : '5', 'volume_quantity' : '1', 'pieces_unit' : '', 'pieces_quantity' : '0', 'cooking_notes' : ''}).status_code; print('%s :: %s :: %s :: %s :: %s' %(a,1037,'kashmiri chili powder','kashmiri chilly powder','Sushila Bhel'))</t>
  </si>
  <si>
    <t xml:space="preserve">a = Client().post('/recipes/sushila-bhel/detail/', {'recipe' : '74', 'ingredient' : '177', 'name' : 'salt', 'mass_unit' : '', 'mass_quantity' : '0', 'volume_unit' : '5', 'volume_quantity' : '6', 'pieces_unit' : '', 'pieces_quantity' : '0', 'cooking_notes' : ''}).status_code; print('%s :: %s :: %s :: %s :: %s' %(a,1038,'salt','salt','Sushila Bhel'))</t>
  </si>
  <si>
    <t xml:space="preserve">a = Client().post('/recipes/sushila-bhel/detail/', {'recipe' : '74', 'ingredient' : '62', 'name' : 'daliya (roasted chana dal)', 'mass_unit' : '2', 'mass_quantity' : '3', 'volume_unit' : '', 'volume_quantity' : '0', 'pieces_unit' : '', 'pieces_quantity' : '0', 'cooking_notes' : ''}).status_code; print('%s :: %s :: %s :: %s :: %s' %(a,1039,'daliya (roasted chana dal)','daliya','Sushila Bhel'))</t>
  </si>
  <si>
    <t xml:space="preserve">a = Client().post('/recipes/pudina-lemon-juice/detail/', {'recipe' : '62', 'ingredient' : '129', 'name' : 'LEMON JUICE', 'mass_unit' : '', 'mass_quantity' : '0', 'volume_unit' : '1', 'volume_quantity' : '1', 'pieces_unit' : '', 'pieces_quantity' : '0', 'cooking_notes' : ''}).status_code; print('%s :: %s :: %s :: %s :: %s' %(a,1041,'LEMON JUICE','lemon','Pudina Lemon Juice'))</t>
  </si>
  <si>
    <t xml:space="preserve">a = Client().post('/recipes/pudina-lemon-juice/detail/', {'recipe' : '62', 'ingredient' : '214', 'name' : 'water', 'mass_unit' : '', 'mass_quantity' : '0', 'volume_unit' : '1', 'volume_quantity' : '30', 'pieces_unit' : '', 'pieces_quantity' : '0', 'cooking_notes' : ''}).status_code; print('%s :: %s :: %s :: %s :: %s' %(a,1042,'water','water','Pudina Lemon Juice'))</t>
  </si>
  <si>
    <t xml:space="preserve">a = Client().post('/recipes/pudina-lemon-juice/detail/', {'recipe' : '62', 'ingredient' : '163', 'name' : 'PUDINA LEAVES', 'mass_unit' : '', 'mass_quantity' : '0', 'volume_unit' : '1', 'volume_quantity' : '7', 'pieces_unit' : '', 'pieces_quantity' : '0', 'cooking_notes' : ''}).status_code; print('%s :: %s :: %s :: %s :: %s' %(a,1043,'PUDINA LEAVES','pudina leaves','Pudina Lemon Juice'))</t>
  </si>
  <si>
    <t xml:space="preserve">a = Client().post('/recipes/pudina-lemon-juice/detail/', {'recipe' : '62', 'ingredient' : '177', 'name' : 'regular salt', 'mass_unit' : '', 'mass_quantity' : '0', 'volume_unit' : '5', 'volume_quantity' : '0.5', 'pieces_unit' : '', 'pieces_quantity' : '0', 'cooking_notes' : ''}).status_code; print('%s :: %s :: %s :: %s :: %s' %(a,1044,'regular salt','salt','Pudina Lemon Juice'))</t>
  </si>
  <si>
    <t xml:space="preserve">a = Client().post('/recipes/pudina-lemon-juice/detail/', {'recipe' : '62', 'ingredient' : '32', 'name' : 'black salt', 'mass_unit' : '', 'mass_quantity' : '0', 'volume_unit' : '5', 'volume_quantity' : '0.5', 'pieces_unit' : '', 'pieces_quantity' : '0', 'cooking_notes' : ''}).status_code; print('%s :: %s :: %s :: %s :: %s' %(a,1045,'black salt','black salt','Pudina Lemon Juice'))</t>
  </si>
  <si>
    <t xml:space="preserve">a = Client().post('/recipes/pudina-lemon-juice/detail/', {'recipe' : '62', 'ingredient' : '187', 'name' : 'sugar', 'mass_unit' : '2', 'mass_quantity' : '3.5', 'volume_unit' : '', 'volume_quantity' : '0', 'pieces_unit' : '', 'pieces_quantity' : '0', 'cooking_notes' : ''}).status_code; print('%s :: %s :: %s :: %s :: %s' %(a,1046,'sugar','sugar','Pudina Lemon Juice'))</t>
  </si>
  <si>
    <t xml:space="preserve">a = Client().post('/recipes/variyali/detail/', {'recipe' : '87', 'ingredient' : '17', 'name' : 'badi sauf', 'mass_unit' : '2', 'mass_quantity' : '1', 'volume_unit' : '', 'volume_quantity' : '0', 'pieces_unit' : '', 'pieces_quantity' : '0', 'cooking_notes' : ''}).status_code; print('%s :: %s :: %s :: %s :: %s' %(a,1048,'badi sauf','badi sauf','Variyali'))</t>
  </si>
  <si>
    <t xml:space="preserve">a = Client().post('/recipes/variyali/detail/', {'recipe' : '87', 'ingredient' : '214', 'name' : 'water', 'mass_unit' : '', 'mass_quantity' : '0', 'volume_unit' : '1', 'volume_quantity' : '35', 'pieces_unit' : '', 'pieces_quantity' : '0', 'cooking_notes' : ''}).status_code; print('%s :: %s :: %s :: %s :: %s' %(a,1049,'water','water','Variyali'))</t>
  </si>
  <si>
    <t xml:space="preserve">a = Client().post('/recipes/variyali/detail/', {'recipe' : '87', 'ingredient' : '187', 'name' : 'sugar', 'mass_unit' : '2', 'mass_quantity' : '3', 'volume_unit' : '', 'volume_quantity' : '0', 'pieces_unit' : '', 'pieces_quantity' : '0', 'cooking_notes' : ''}).status_code; print('%s :: %s :: %s :: %s :: %s' %(a,1050,'sugar','sugar','Variyali'))</t>
  </si>
  <si>
    <t xml:space="preserve">a = Client().post('/recipes/sweet-corn-soup/detail/', {'recipe' : '77', 'ingredient' : '188', 'name' : 'sweet corn', 'mass_unit' : '2', 'mass_quantity' : '3.5', 'volume_unit' : '', 'volume_quantity' : '0', 'pieces_unit' : '', 'pieces_quantity' : '0', 'cooking_notes' : ''}).status_code; print('%s :: %s :: %s :: %s :: %s' %(a,1052,'sweet corn','sweet corn','Sweet Corn Soup'))</t>
  </si>
  <si>
    <t xml:space="preserve">a = Client().post('/recipes/sweet-corn-soup/detail/', {'recipe' : '77', 'ingredient' : '97', 'name' : 'hot water', 'mass_unit' : '', 'mass_quantity' : '0', 'volume_unit' : '1', 'volume_quantity' : '30', 'pieces_unit' : '', 'pieces_quantity' : '0', 'cooking_notes' : ''}).status_code; print('%s :: %s :: %s :: %s :: %s' %(a,1053,'hot water','hot water','Sweet Corn Soup'))</t>
  </si>
  <si>
    <t xml:space="preserve">a = Client().post('/recipes/herbal-tea/detail/', {'recipe' : '30', 'ingredient' : '145', 'name' : 'milk', 'mass_unit' : '', 'mass_quantity' : '0', 'volume_unit' : '1', 'volume_quantity' : '50', 'pieces_unit' : '', 'pieces_quantity' : '0', 'cooking_notes' : ''}).status_code; print('%s :: %s :: %s :: %s :: %s' %(a,1057,'milk','milk','Herbal Tea'))</t>
  </si>
  <si>
    <t xml:space="preserve">a = Client().post('/recipes/herbal-tea/detail/', {'recipe' : '30', 'ingredient' : '214', 'name' : 'water', 'mass_unit' : '', 'mass_quantity' : '0', 'volume_unit' : '1', 'volume_quantity' : '10', 'pieces_unit' : '', 'pieces_quantity' : '0', 'cooking_notes' : ''}).status_code; print('%s :: %s :: %s :: %s :: %s' %(a,1058,'water','water','Herbal Tea'))</t>
  </si>
  <si>
    <t xml:space="preserve">a = Client().post('/recipes/herbal-tea/detail/', {'recipe' : '30', 'ingredient' : '94', 'name' : 'herbal tea powder', 'mass_unit' : '7', 'mass_quantity' : '400', 'volume_unit' : '', 'volume_quantity' : '0', 'pieces_unit' : '', 'pieces_quantity' : '0', 'cooking_notes' : ''}).status_code; print('%s :: %s :: %s :: %s :: %s' %(a,1059,'herbal tea powder','herbal tea powder','Herbal Tea'))</t>
  </si>
  <si>
    <t xml:space="preserve">a = Client().post('/recipes/herbal-tea/detail/', {'recipe' : '30', 'ingredient' : '187', 'name' : 'sugar', 'mass_unit' : '2', 'mass_quantity' : '5.5', 'volume_unit' : '', 'volume_quantity' : '0', 'pieces_unit' : '', 'pieces_quantity' : '0', 'cooking_notes' : ''}).status_code; print('%s :: %s :: %s :: %s :: %s' %(a,1060,'sugar','sugar','Herbal Tea'))</t>
  </si>
  <si>
    <t xml:space="preserve">a = Client().post('/recipes/herbal-tea/detail/', {'recipe' : '30', 'ingredient' : '71', 'name' : 'elaichi powder', 'mass_unit' : '', 'mass_quantity' : '0', 'volume_unit' : '5', 'volume_quantity' : '0.25', 'pieces_unit' : '', 'pieces_quantity' : '0', 'cooking_notes' : ''}).status_code; print('%s :: %s :: %s :: %s :: %s' %(a,1061,'elaichi powder','elaichi powder','Herbal Tea'))</t>
  </si>
  <si>
    <t xml:space="preserve">a = Client().post('/recipes/barley-ragi-regira-malt/detail/', {'recipe' : '7', 'ingredient' : '214', 'name' : 'water', 'mass_unit' : '', 'mass_quantity' : '0', 'volume_unit' : '1', 'volume_quantity' : '30', 'pieces_unit' : '', 'pieces_quantity' : '0', 'cooking_notes' : ''}).status_code; print('%s :: %s :: %s :: %s :: %s' %(a,1063,'water','water','Barley / Ragi / Regira Malt'))</t>
  </si>
  <si>
    <t xml:space="preserve">a = Client().post('/recipes/barley-ragi-regira-malt/detail/', {'recipe' : '7', 'ingredient' : '23', 'name' : 'BARLEY/RAGI/RAJGIRA', 'mass_unit' : '2', 'mass_quantity' : '1', 'volume_unit' : '', 'volume_quantity' : '0', 'pieces_unit' : '', 'pieces_quantity' : '0', 'cooking_notes' : ''}).status_code; print('%s :: %s :: %s :: %s :: %s' %(a,1064,'BARLEY/RAGI/RAJGIRA','barley','Barley / Ragi / Regira Malt'))</t>
  </si>
  <si>
    <t xml:space="preserve">a = Client().post('/recipes/barley-ragi-regira-malt/detail/', {'recipe' : '7', 'ingredient' : '90', 'name' : 'jaggary', 'mass_unit' : '2', 'mass_quantity' : '4.5', 'volume_unit' : '', 'volume_quantity' : '0', 'pieces_unit' : '', 'pieces_quantity' : '0', 'cooking_notes' : ''}).status_code; print('%s :: %s :: %s :: %s :: %s' %(a,1065,'jaggary','gud','Barley / Ragi / Regira Malt'))</t>
  </si>
  <si>
    <t xml:space="preserve">a = Client().post('/recipes/barley-ragi-regira-malt/detail/', {'recipe' : '7', 'ingredient' : '64', 'name' : 'dates', 'mass_unit' : '2', 'mass_quantity' : '1', 'volume_unit' : '', 'volume_quantity' : '0', 'pieces_unit' : '', 'pieces_quantity' : '0', 'cooking_notes' : ''}).status_code; print('%s :: %s :: %s :: %s :: %s' %(a,1066,'dates','dates','Barley / Ragi / Regira Malt'))</t>
  </si>
  <si>
    <t xml:space="preserve">a = Client().post('/recipes/barley-ragi-regira-malt/detail/', {'recipe' : '7', 'ingredient' : '71', 'name' : 'elaichi powder', 'mass_unit' : '', 'mass_quantity' : '0', 'volume_unit' : '5', 'volume_quantity' : '0.25', 'pieces_unit' : '', 'pieces_quantity' : '0', 'cooking_notes' : ''}).status_code; print('%s :: %s :: %s :: %s :: %s' %(a,1067,'elaichi powder','elaichi powder','Barley / Ragi / Regira Malt'))</t>
  </si>
  <si>
    <t xml:space="preserve">a = Client().post('/recipes/lemon-grass/detail/', {'recipe' : '42', 'ingredient' : '130', 'name' : 'lemon grass', 'mass_unit' : '2', 'mass_quantity' : '3', 'volume_unit' : '', 'volume_quantity' : '0', 'pieces_unit' : '', 'pieces_quantity' : '0', 'cooking_notes' : ''}).status_code; print('%s :: %s :: %s :: %s :: %s' %(a,1069,'lemon grass','lemon grass','Lemon Grass'))</t>
  </si>
  <si>
    <t xml:space="preserve">a = Client().post('/recipes/lemon-grass/detail/', {'recipe' : '42', 'ingredient' : '129', 'name' : 'lemon juice', 'mass_unit' : '', 'mass_quantity' : '0', 'volume_unit' : '5', 'volume_quantity' : '3', 'pieces_unit' : '', 'pieces_quantity' : '0', 'cooking_notes' : ''}).status_code; print('%s :: %s :: %s :: %s :: %s' %(a,1070,'lemon juice','lemon','Lemon Grass'))</t>
  </si>
  <si>
    <t xml:space="preserve">a = Client().post('/recipes/lemon-grass/detail/', {'recipe' : '42', 'ingredient' : '1', 'name' : 'ginger', 'mass_unit' : '', 'mass_quantity' : '0', 'volume_unit' : '5', 'volume_quantity' : '2', 'pieces_unit' : '', 'pieces_quantity' : '0', 'cooking_notes' : ''}).status_code; print('%s :: %s :: %s :: %s :: %s' %(a,1071,'ginger','adrak','Lemon Grass'))</t>
  </si>
  <si>
    <t xml:space="preserve">a = Client().post('/recipes/lemon-grass/detail/', {'recipe' : '42', 'ingredient' : '187', 'name' : 'sugar', 'mass_unit' : '2', 'mass_quantity' : '3', 'volume_unit' : '', 'volume_quantity' : '0', 'pieces_unit' : '', 'pieces_quantity' : '0', 'cooking_notes' : ''}).status_code; print('%s :: %s :: %s :: %s :: %s' %(a,1072,'sugar','sugar','Lemon Grass'))</t>
  </si>
  <si>
    <t xml:space="preserve">a = Client().post('/recipes/coconut-chutney/detail/', {'recipe' : '14', 'ingredient' : '54', 'name' : 'COCONUT', 'mass_unit' : '', 'mass_quantity' : '0', 'volume_unit' : '', 'volume_quantity' : '0', 'pieces_unit' : '3', 'pieces_quantity' : '12', 'cooking_notes' : ''}).status_code; print('%s :: %s :: %s :: %s :: %s' %(a,1074,'COCONUT','coconut','Coconut Chutney'))</t>
  </si>
  <si>
    <t xml:space="preserve">a = Client().post('/recipes/coconut-chutney/detail/', {'recipe' : '14', 'ingredient' : '62', 'name' : 'daliya', 'mass_unit' : '2', 'mass_quantity' : '1.5', 'volume_unit' : '', 'volume_quantity' : '0', 'pieces_unit' : '', 'pieces_quantity' : '0', 'cooking_notes' : ''}).status_code; print('%s :: %s :: %s :: %s :: %s' %(a,1077,'daliya','daliya','Coconut Chutney'))</t>
  </si>
  <si>
    <t xml:space="preserve">a = Client().post('/recipes/coconut-chutney/detail/', {'recipe' : '14', 'ingredient' : '190', 'name' : 'tamrind', 'mass_unit' : '7', 'mass_quantity' : '50', 'volume_unit' : '', 'volume_quantity' : '0', 'pieces_unit' : '', 'pieces_quantity' : '0', 'cooking_notes' : ''}).status_code; print('%s :: %s :: %s :: %s :: %s' %(a,1079,'tamrind','tamrind','Coconut Chutney'))</t>
  </si>
  <si>
    <t xml:space="preserve">a = Client().post('/recipes/coconut-chutney/detail/', {'recipe' : '14', 'ingredient' : '55', 'name' : 'coconut oil', 'mass_unit' : '', 'mass_quantity' : '0', 'volume_unit' : '12', 'volume_quantity' : '200', 'pieces_unit' : '', 'pieces_quantity' : '0', 'cooking_notes' : ''}).status_code; print('%s :: %s :: %s :: %s :: %s' %(a,1080,'coconut oil','coconut oil','Coconut Chutney'))</t>
  </si>
  <si>
    <t xml:space="preserve">a = Client().post('/recipes/coconut-chutney/detail/', {'recipe' : '14', 'ingredient' : '46', 'name' : 'chana dal', 'mass_unit' : '', 'mass_quantity' : '0', 'volume_unit' : '5', 'volume_quantity' : '0.7', 'pieces_unit' : '', 'pieces_quantity' : '0', 'cooking_notes' : ''}).status_code; print('%s :: %s :: %s :: %s :: %s' %(a,1081,'chana dal','chana dal','Coconut Chutney'))</t>
  </si>
  <si>
    <t xml:space="preserve">a = Client().post('/recipes/coconut-chutney/detail/', {'recipe' : '14', 'ingredient' : '200', 'name' : 'urad dal', 'mass_unit' : '', 'mass_quantity' : '0', 'volume_unit' : '5', 'volume_quantity' : '0.7', 'pieces_unit' : '', 'pieces_quantity' : '0', 'cooking_notes' : ''}).status_code; print('%s :: %s :: %s :: %s :: %s' %(a,1082,'urad dal','urad dal','Coconut Chutney'))</t>
  </si>
  <si>
    <t xml:space="preserve">a = Client().post('/recipes/coconut-chutney/detail/', {'recipe' : '14', 'ingredient' : '134', 'name' : 'madrasi mirchi akkaha', 'mass_unit' : '', 'mass_quantity' : '0', 'volume_unit' : '5', 'volume_quantity' : '1', 'pieces_unit' : '', 'pieces_quantity' : '0', 'cooking_notes' : ''}).status_code; print('%s :: %s :: %s :: %s :: %s' %(a,1083,'madrasi mirchi akkaha','madrasi mirchi akkaha','Coconut Chutney'))</t>
  </si>
  <si>
    <t xml:space="preserve">a = Client().post('/recipes/alu-paratha/detail/', {'recipe' : '6', 'ingredient' : '8', 'name' : 'potato', 'mass_unit' : '2', 'mass_quantity' : '40', 'volume_unit' : '', 'volume_quantity' : '0', 'pieces_unit' : '', 'pieces_quantity' : '0', 'cooking_notes' : ''}).status_code; print('%s :: %s :: %s :: %s :: %s' %(a,1089,'potato','alu','ALU PARATHA'))</t>
  </si>
  <si>
    <t xml:space="preserve">a = Client().post('/recipes/alu-paratha/detail/', {'recipe' : '6', 'ingredient' : '93', 'name' : 'green chili choppd', 'mass_unit' : '', 'mass_quantity' : '0', 'volume_unit' : '1', 'volume_quantity' : '1', 'pieces_unit' : '', 'pieces_quantity' : '0', 'cooking_notes' : ''}).status_code; print('%s :: %s :: %s :: %s :: %s' %(a,1090,'green chili choppd','hari mirchi','ALU PARATHA'))</t>
  </si>
  <si>
    <t xml:space="preserve">a = Client().post('/recipes/alu-paratha/detail/', {'recipe' : '6', 'ingredient' : '66', 'name' : 'dhaniya patta', 'mass_unit' : '', 'mass_quantity' : '0', 'volume_unit' : '1', 'volume_quantity' : '5', 'pieces_unit' : '', 'pieces_quantity' : '0', 'cooking_notes' : ''}).status_code; print('%s :: %s :: %s :: %s :: %s' %(a,1091,'dhaniya patta','dhaniya patta','ALU PARATHA'))</t>
  </si>
  <si>
    <t xml:space="preserve">a = Client().post('/recipes/alu-paratha/detail/', {'recipe' : '6', 'ingredient' : '1', 'name' : 'adrak paste', 'mass_unit' : '', 'mass_quantity' : '0', 'volume_unit' : '1', 'volume_quantity' : '1', 'pieces_unit' : '', 'pieces_quantity' : '0', 'cooking_notes' : ''}).status_code; print('%s :: %s :: %s :: %s :: %s' %(a,1092,'adrak paste','adrak','ALU PARATHA'))</t>
  </si>
  <si>
    <t xml:space="preserve">a = Client().post('/recipes/alu-paratha/detail/', {'recipe' : '6', 'ingredient' : '204', 'name' : 'wheat flour', 'mass_unit' : '2', 'mass_quantity' : '15', 'volume_unit' : '', 'volume_quantity' : '0', 'pieces_unit' : '', 'pieces_quantity' : '0', 'cooking_notes' : ''}).status_code; print('%s :: %s :: %s :: %s :: %s' %(a,1093,'wheat flour','wheat flour','ALU PARATHA'))</t>
  </si>
  <si>
    <t xml:space="preserve">a = Client().post('/recipes/dhokla/detail/', {'recipe' : '19', 'ingredient' : '54', 'name' : 'coconut', 'mass_unit' : '', 'mass_quantity' : '0', 'volume_unit' : '', 'volume_quantity' : '0', 'pieces_unit' : '3', 'pieces_quantity' : '5', 'cooking_notes' : ''}).status_code; print('%s :: %s :: %s :: %s :: %s' %(a,1096,'coconut','coconut','DHOKLA'))</t>
  </si>
  <si>
    <t xml:space="preserve">a = Client().post('/recipes/dhokla/detail/', {'recipe' : '19', 'ingredient' : '66', 'name' : 'dhaniya patta', 'mass_unit' : '', 'mass_quantity' : '0', 'volume_unit' : '1', 'volume_quantity' : '4', 'pieces_unit' : '', 'pieces_quantity' : '0', 'cooking_notes' : ''}).status_code; print('%s :: %s :: %s :: %s :: %s' %(a,1097,'dhaniya patta','dhaniya patta','DHOKLA'))</t>
  </si>
  <si>
    <t xml:space="preserve">a = Client().post('/recipes/dhokla/detail/', {'recipe' : '19', 'ingredient' : '214', 'name' : 'water( for dough of besan)', 'mass_unit' : '', 'mass_quantity' : '0', 'volume_unit' : '1', 'volume_quantity' : '2', 'pieces_unit' : '', 'pieces_quantity' : '0', 'cooking_notes' : ''}).status_code; print('%s :: %s :: %s :: %s :: %s' %(a,1098,'water( for dough of besan)','water','DHOKLA'))</t>
  </si>
  <si>
    <t xml:space="preserve">a = Client().post('/recipes/dhokla/detail/', {'recipe' : '19', 'ingredient' : '214', 'name' : 'water for stem', 'mass_unit' : '', 'mass_quantity' : '0', 'volume_unit' : '1', 'volume_quantity' : '20', 'pieces_unit' : '', 'pieces_quantity' : '0', 'cooking_notes' : ''}).status_code; print('%s :: %s :: %s :: %s :: %s' %(a,1099,'water for stem','water','DHOKLA'))</t>
  </si>
  <si>
    <t xml:space="preserve">a = Client().post('/recipes/dhokla/detail/', {'recipe' : '19', 'ingredient' : '28', 'name' : 'barik besan flour', 'mass_unit' : '2', 'mass_quantity' : '1.75', 'volume_unit' : '', 'volume_quantity' : '0', 'pieces_unit' : '3', 'pieces_quantity' : '120', 'cooking_notes' : ''}).status_code; print('%s :: %s :: %s :: %s :: %s' %(a,1100,'barik besan flour','besan','DHOKLA'))</t>
  </si>
  <si>
    <t xml:space="preserve">a = Client().post('/recipes/dhokla/detail/', {'recipe' : '19', 'ingredient' : '89', 'name' : 'ground nut oil', 'mass_unit' : '', 'mass_quantity' : '0', 'volume_unit' : '12', 'volume_quantity' : '200', 'pieces_unit' : '', 'pieces_quantity' : '0', 'cooking_notes' : ''}).status_code; print('%s :: %s :: %s :: %s :: %s' %(a,1101,'ground nut oil','ground nut oil','DHOKLA'))</t>
  </si>
  <si>
    <t xml:space="preserve">a = Client().post('/recipes/dhokla/detail/', {'recipe' : '19', 'ingredient' : '187', 'name' : 'sugar', 'mass_unit' : '7', 'mass_quantity' : '250', 'volume_unit' : '', 'volume_quantity' : '0', 'pieces_unit' : '', 'pieces_quantity' : '0', 'cooking_notes' : ''}).status_code; print('%s :: %s :: %s :: %s :: %s' %(a,1102,'sugar','sugar','DHOKLA'))</t>
  </si>
  <si>
    <t xml:space="preserve">a = Client().post('/recipes/dhokla/detail/', {'recipe' : '19', 'ingredient' : '150', 'name' : 'citric acid( NIMBU FOOL)', 'mass_unit' : '7', 'mass_quantity' : '50', 'volume_unit' : '', 'volume_quantity' : '0', 'pieces_unit' : '', 'pieces_quantity' : '0', 'cooking_notes' : ''}).status_code; print('%s :: %s :: %s :: %s :: %s' %(a,1103,'citric acid( NIMBU FOOL)','nimbu fool','DHOKLA'))</t>
  </si>
  <si>
    <t xml:space="preserve">a = Client().post('/recipes/dhokla/detail/', {'recipe' : '19', 'ingredient' : '177', 'name' : 'salt', 'mass_unit' : '7', 'mass_quantity' : '50', 'volume_unit' : '', 'volume_quantity' : '0', 'pieces_unit' : '', 'pieces_quantity' : '0', 'cooking_notes' : ''}).status_code; print('%s :: %s :: %s :: %s :: %s' %(a,1104,'salt','salt','DHOKLA'))</t>
  </si>
  <si>
    <t xml:space="preserve">a = Client().post('/recipes/dhokla/detail/', {'recipe' : '19', 'ingredient' : '91', 'name' : 'haldi', 'mass_unit' : '', 'mass_quantity' : '0', 'volume_unit' : '10', 'volume_quantity' : '1', 'pieces_unit' : '', 'pieces_quantity' : '0', 'cooking_notes' : ''}).status_code; print('%s :: %s :: %s :: %s :: %s' %(a,1105,'haldi','haldi','DHOKLA'))</t>
  </si>
  <si>
    <t xml:space="preserve">a = Client().post('/recipes/dhokla/detail/', {'recipe' : '19', 'ingredient' : '120', 'name' : ' khane ka soda', 'mass_unit' : '', 'mass_quantity' : '0', 'volume_unit' : '10', 'volume_quantity' : '3', 'pieces_unit' : '', 'pieces_quantity' : '0', 'cooking_notes' : ''}).status_code; print('%s :: %s :: %s :: %s :: %s' %(a,1106,' khane ka soda','khane ka soda','DHOKLA'))</t>
  </si>
  <si>
    <t xml:space="preserve">a = Client().post('/recipes/dhokla/detail/', {'recipe' : '19', 'ingredient' : '179', 'name' : 'sauf', 'mass_unit' : '', 'mass_quantity' : '0', 'volume_unit' : '5', 'volume_quantity' : '0.5', 'pieces_unit' : '', 'pieces_quantity' : '0', 'cooking_notes' : ''}).status_code; print('%s :: %s :: %s :: %s :: %s' %(a,1107,'sauf','sauf','DHOKLA'))</t>
  </si>
  <si>
    <t xml:space="preserve">a = Client().post('/recipes/dhokla/detail/', {'recipe' : '19', 'ingredient' : '164', 'name' : 'rai', 'mass_unit' : '', 'mass_quantity' : '0', 'volume_unit' : '5', 'volume_quantity' : '0.5', 'pieces_unit' : '', 'pieces_quantity' : '0', 'cooking_notes' : ''}).status_code; print('%s :: %s :: %s :: %s :: %s' %(a,1108,'rai','rai','DHOKLA'))</t>
  </si>
  <si>
    <t xml:space="preserve">a = Client().post('/recipes/dhokla/detail/', {'recipe' : '19', 'ingredient' : '83', 'name' : 'oil', 'mass_unit' : '', 'mass_quantity' : '0', 'volume_unit' : '12', 'volume_quantity' : '200', 'pieces_unit' : '', 'pieces_quantity' : '0', 'cooking_notes' : ''}).status_code; print('%s :: %s :: %s :: %s :: %s' %(a,1109,'oil','gound nut oil','DHOKLA'))</t>
  </si>
  <si>
    <t xml:space="preserve">a = Client().post('/recipes/dhokla/detail/', {'recipe' : '19', 'ingredient' : '187', 'name' : 'sugar', 'mass_unit' : '7', 'mass_quantity' : '500', 'volume_unit' : '', 'volume_quantity' : '0', 'pieces_unit' : '', 'pieces_quantity' : '0', 'cooking_notes' : ''}).status_code; print('%s :: %s :: %s :: %s :: %s' %(a,1110,'sugar','sugar','DHOKLA'))</t>
  </si>
  <si>
    <t xml:space="preserve">a = Client().post('/recipes/dhokla/detail/', {'recipe' : '19', 'ingredient' : '214', 'name' : 'water', 'mass_unit' : '', 'mass_quantity' : '0', 'volume_unit' : '1', 'volume_quantity' : '3', 'pieces_unit' : '', 'pieces_quantity' : '0', 'cooking_notes' : ''}).status_code; print('%s :: %s :: %s :: %s :: %s' %(a,1111,'water','water','DHOKLA'))</t>
  </si>
  <si>
    <t xml:space="preserve">a = Client().post('/recipes/green-chutney-dhokla-and-mumbai-bhel/detail/', {'recipe' : '28', 'ingredient' : '66', 'name' : 'dhaniya patta', 'mass_unit' : '', 'mass_quantity' : '0', 'volume_unit' : '', 'volume_quantity' : '0', 'pieces_unit' : '', 'pieces_quantity' : '8', 'cooking_notes' : ''}).status_code; print('%s :: %s :: %s :: %s :: %s' %(a,1113,'dhaniya patta','dhaniya patta','green chutney -Dhokla AND MUMBAI  BHEL'))</t>
  </si>
  <si>
    <t xml:space="preserve">a = Client().post('/recipes/green-chutney-dhokla-and-mumbai-bhel/detail/', {'recipe' : '28', 'ingredient' : '62', 'name' : 'dalia', 'mass_unit' : '', 'mass_quantity' : '250', 'volume_unit' : '', 'volume_quantity' : '0', 'pieces_unit' : '', 'pieces_quantity' : '0', 'cooking_notes' : 'when u take  this chutney for '}).status_code; print('%s :: %s :: %s :: %s :: %s' %(a,1114,'dalia','daliya','green chutney -Dhokla AND MUMBAI  BHEL'))</t>
  </si>
  <si>
    <t xml:space="preserve">a = Client().post('/recipes/green-chutney-dhokla-and-mumbai-bhel/detail/', {'recipe' : '28', 'ingredient' : '163', 'name' : 'pudina leaves', 'mass_unit' : '', 'mass_quantity' : '0', 'volume_unit' : '', 'volume_quantity' : '0', 'pieces_unit' : '', 'pieces_quantity' : '2', 'cooking_notes' : 'mumbai bhel add 50 gm chilli'}).status_code; print('%s :: %s :: %s :: %s :: %s' %(a,1115,'pudina leaves','pudina leaves','green chutney -Dhokla AND MUMBAI  BHEL'))</t>
  </si>
  <si>
    <t xml:space="preserve">a = Client().post('/recipes/green-chutney-dhokla-and-mumbai-bhel/detail/', {'recipe' : '28', 'ingredient' : '129', 'name' : 'lemon juice', 'mass_unit' : '', 'mass_quantity' : '0', 'volume_unit' : '5', 'volume_quantity' : '0.5', 'pieces_unit' : '', 'pieces_quantity' : '0', 'cooking_notes' : ''}).status_code; print('%s :: %s :: %s :: %s :: %s' %(a,1116,'lemon juice','lemon','green chutney -Dhokla AND MUMBAI  BHEL'))</t>
  </si>
  <si>
    <t xml:space="preserve">a = Client().post('/recipes/green-chutney-dhokla-and-mumbai-bhel/detail/', {'recipe' : '28', 'ingredient' : '177', 'name' : 'salt', 'mass_unit' : '', 'mass_quantity' : '0', 'volume_unit' : '5', 'volume_quantity' : '0.5', 'pieces_unit' : '', 'pieces_quantity' : '0', 'cooking_notes' : ''}).status_code; print('%s :: %s :: %s :: %s :: %s' %(a,1117,'salt','salt','green chutney -Dhokla AND MUMBAI  BHEL'))</t>
  </si>
  <si>
    <t xml:space="preserve">a = Client().post('/recipes/green-chutney-dhokla-and-mumbai-bhel/detail/', {'recipe' : '28', 'ingredient' : '93', 'name' : 'chili (only for Bhel)', 'mass_unit' : '7', 'mass_quantity' : '50', 'volume_unit' : '', 'volume_quantity' : '0', 'pieces_unit' : '', 'pieces_quantity' : '0', 'cooking_notes' : ''}).status_code; print('%s :: %s :: %s :: %s :: %s' %(a,1118,'chili (only for Bhel)','hari mirchi','green chutney -Dhokla AND MUMBAI  BHEL'))</t>
  </si>
  <si>
    <t xml:space="preserve">a = Client().post('/recipes/patla-poha/detail/', {'recipe' : '55', 'ingredient' : '140', 'name' : 'matar', 'mass_unit' : '2', 'mass_quantity' : '5', 'volume_unit' : '', 'volume_quantity' : '0', 'pieces_unit' : '', 'pieces_quantity' : '0', 'cooking_notes' : ''}).status_code; print('%s :: %s :: %s :: %s :: %s' %(a,1120,'matar','matar','PATLA POHA'))</t>
  </si>
  <si>
    <t xml:space="preserve">a = Client().post('/recipes/patla-poha/detail/', {'recipe' : '55', 'ingredient' : '79', 'name' : 'gajar', 'mass_unit' : '2', 'mass_quantity' : '10', 'volume_unit' : '', 'volume_quantity' : '0', 'pieces_unit' : '', 'pieces_quantity' : '0', 'cooking_notes' : ''}).status_code; print('%s :: %s :: %s :: %s :: %s' %(a,1121,'gajar','gajar','PATLA POHA'))</t>
  </si>
  <si>
    <t xml:space="preserve">a = Client().post('/recipes/patla-poha/detail/', {'recipe' : '55', 'ingredient' : '111', 'name' : 'kakdi', 'mass_unit' : '2', 'mass_quantity' : '15', 'volume_unit' : '', 'volume_quantity' : '0', 'pieces_unit' : '', 'pieces_quantity' : '0', 'cooking_notes' : ''}).status_code; print('%s :: %s :: %s :: %s :: %s' %(a,1122,'kakdi','kakdi','PATLA POHA'))</t>
  </si>
  <si>
    <t xml:space="preserve">a = Client().post('/recipes/patla-poha/detail/', {'recipe' : '55', 'ingredient' : '195', 'name' : 'tomato', 'mass_unit' : '2', 'mass_quantity' : '8', 'volume_unit' : '', 'volume_quantity' : '0', 'pieces_unit' : '', 'pieces_quantity' : '0', 'cooking_notes' : ''}).status_code; print('%s :: %s :: %s :: %s :: %s' %(a,1123,'tomato','tomato','PATLA POHA'))</t>
  </si>
  <si>
    <t xml:space="preserve">a = Client().post('/recipes/patla-poha/detail/', {'recipe' : '55', 'ingredient' : '54', 'name' : 'coconut', 'mass_unit' : '', 'mass_quantity' : '0', 'volume_unit' : '', 'volume_quantity' : '0', 'pieces_unit' : '', 'pieces_quantity' : '0', 'cooking_notes' : 'pcs'}).status_code; print('%s :: %s :: %s :: %s :: %s' %(a,1124,'coconut','coconut','PATLA POHA'))</t>
  </si>
  <si>
    <t xml:space="preserve">a = Client().post('/recipes/patla-poha/detail/', {'recipe' : '55', 'ingredient' : '66', 'name' : 'dhaniya patta', 'mass_unit' : '', 'mass_quantity' : '0', 'volume_unit' : '1', 'volume_quantity' : '3', 'pieces_unit' : '', 'pieces_quantity' : '0', 'cooking_notes' : ''}).status_code; print('%s :: %s :: %s :: %s :: %s' %(a,1125,'dhaniya patta','dhaniya patta','PATLA POHA'))</t>
  </si>
  <si>
    <t xml:space="preserve">a = Client().post('/recipes/patla-poha/detail/', {'recipe' : '55', 'ingredient' : '93', 'name' : 'green chilly long cut', 'mass_unit' : '', 'mass_quantity' : '0', 'volume_unit' : '1', 'volume_quantity' : '1', 'pieces_unit' : '', 'pieces_quantity' : '0', 'cooking_notes' : ''}).status_code; print('%s :: %s :: %s :: %s :: %s' %(a,1126,'green chilly long cut','hari mirchi','PATLA POHA'))</t>
  </si>
  <si>
    <t xml:space="preserve">a = Client().post('/recipes/patla-poha/detail/', {'recipe' : '55', 'ingredient' : '105', 'name' : 'kadipatta', 'mass_unit' : '', 'mass_quantity' : '0', 'volume_unit' : '1', 'volume_quantity' : '1', 'pieces_unit' : '', 'pieces_quantity' : '0', 'cooking_notes' : ''}).status_code; print('%s :: %s :: %s :: %s :: %s' %(a,1127,'kadipatta','kadi patta','PATLA POHA'))</t>
  </si>
  <si>
    <t xml:space="preserve">a = Client().post('/recipes/patla-poha/detail/', {'recipe' : '55', 'ingredient' : '157', 'name' : 'patala poha', 'mass_unit' : '', 'mass_quantity' : '25', 'volume_unit' : '', 'volume_quantity' : '0', 'pieces_unit' : '', 'pieces_quantity' : '0', 'cooking_notes' : ''}).status_code; print('%s :: %s :: %s :: %s :: %s' %(a,1128,'patala poha','patala poha','PATLA POHA'))</t>
  </si>
  <si>
    <t xml:space="preserve">a = Client().post('/recipes/patla-poha/detail/', {'recipe' : '55', 'ingredient' : '187', 'name' : 'sugar', 'mass_unit' : '', 'mass_quantity' : '2', 'volume_unit' : '', 'volume_quantity' : '0', 'pieces_unit' : '', 'pieces_quantity' : '0', 'cooking_notes' : ''}).status_code; print('%s :: %s :: %s :: %s :: %s' %(a,1129,'sugar','sugar','PATLA POHA'))</t>
  </si>
  <si>
    <t xml:space="preserve">a = Client().post('/recipes/patla-poha/detail/', {'recipe' : '55', 'ingredient' : '177', 'name' : 'salt', 'mass_unit' : '', 'mass_quantity' : '0', 'volume_unit' : '5', 'volume_quantity' : '5', 'pieces_unit' : '', 'pieces_quantity' : '0', 'cooking_notes' : ''}).status_code; print('%s :: %s :: %s :: %s :: %s' %(a,1130,'salt','salt','PATLA POHA'))</t>
  </si>
  <si>
    <t xml:space="preserve">a = Client().post('/recipes/patla-poha/detail/', {'recipe' : '55', 'ingredient' : '183', 'name' : 'singdana', 'mass_unit' : '2', 'mass_quantity' : '3', 'volume_unit' : '', 'volume_quantity' : '0', 'pieces_unit' : '', 'pieces_quantity' : '0', 'cooking_notes' : ''}).status_code; print('%s :: %s :: %s :: %s :: %s' %(a,1131,'singdana','singdana','PATLA POHA'))</t>
  </si>
  <si>
    <t xml:space="preserve">a = Client().post('/recipes/patla-poha/detail/', {'recipe' : '55', 'ingredient' : '89', 'name' : 'ground nut oil', 'mass_unit' : '', 'mass_quantity' : '0', 'volume_unit' : '1', 'volume_quantity' : '5', 'pieces_unit' : '', 'pieces_quantity' : '0', 'cooking_notes' : ''}).status_code; print('%s :: %s :: %s :: %s :: %s' %(a,1132,'ground nut oil','ground nut oil','PATLA POHA'))</t>
  </si>
  <si>
    <t xml:space="preserve">a = Client().post('/recipes/patla-poha/detail/', {'recipe' : '55', 'ingredient' : '164', 'name' : 'rai', 'mass_unit' : '', 'mass_quantity' : '0', 'volume_unit' : '5', 'volume_quantity' : '2', 'pieces_unit' : '', 'pieces_quantity' : '0', 'cooking_notes' : ''}).status_code; print('%s :: %s :: %s :: %s :: %s' %(a,1133,'rai','rai','PATLA POHA'))</t>
  </si>
  <si>
    <t xml:space="preserve">a = Client().post('/recipes/patla-poha/detail/', {'recipe' : '55', 'ingredient' : '102', 'name' : 'jeera ', 'mass_unit' : '', 'mass_quantity' : '0', 'volume_unit' : '5', 'volume_quantity' : '2', 'pieces_unit' : '', 'pieces_quantity' : '0', 'cooking_notes' : ''}).status_code; print('%s :: %s :: %s :: %s :: %s' %(a,1134,'jeera ','jeera','PATLA POHA'))</t>
  </si>
  <si>
    <t xml:space="preserve">a = Client().post('/recipes/patla-poha/detail/', {'recipe' : '55', 'ingredient' : '91', 'name' : 'haldi', 'mass_unit' : '', 'mass_quantity' : '0', 'volume_unit' : '5', 'volume_quantity' : '1.5', 'pieces_unit' : '', 'pieces_quantity' : '0', 'cooking_notes' : ''}).status_code; print('%s :: %s :: %s :: %s :: %s' %(a,1135,'haldi','haldi','PATLA POHA'))</t>
  </si>
  <si>
    <t xml:space="preserve">a = Client().post('/recipes/mumbai-bhel/detail/', {'recipe' : '49', 'ingredient' : '93', 'name' : 'green chili chopped', 'mass_unit' : '', 'mass_quantity' : '0', 'volume_unit' : '1', 'volume_quantity' : '1', 'pieces_unit' : '', 'pieces_quantity' : '0', 'cooking_notes' : ''}).status_code; print('%s :: %s :: %s :: %s :: %s' %(a,1140,'green chili chopped','hari mirchi','MUMBAI BHEL'))</t>
  </si>
  <si>
    <t xml:space="preserve">a = Client().post('/recipes/mumbai-bhel/detail/', {'recipe' : '49', 'ingredient' : '93', 'name' : 'greeen chilly long cut', 'mass_unit' : '', 'mass_quantity' : '0', 'volume_unit' : '1', 'volume_quantity' : '2', 'pieces_unit' : '', 'pieces_quantity' : '0', 'cooking_notes' : '1 DAY BEFORE'}).status_code; print('%s :: %s :: %s :: %s :: %s' %(a,1141,'greeen chilly long cut','hari mirchi','MUMBAI BHEL'))</t>
  </si>
  <si>
    <t xml:space="preserve">a = Client().post('/recipes/mumbai-bhel/detail/', {'recipe' : '49', 'ingredient' : '129', 'name' : 'lemon juice', 'mass_unit' : '', 'mass_quantity' : '0', 'volume_unit' : '1', 'volume_quantity' : '1', 'pieces_unit' : '', 'pieces_quantity' : '0', 'cooking_notes' : 'in oil roast ALL  kurmura,singdana'}).status_code; print('%s :: %s :: %s :: %s :: %s' %(a,1142,'lemon juice','lemon','MUMBAI BHEL'))</t>
  </si>
  <si>
    <t xml:space="preserve">a = Client().post('/recipes/mumbai-bhel/detail/', {'recipe' : '49', 'ingredient' : '180', 'name' : 'sev', 'mass_unit' : '2', 'mass_quantity' : '6', 'volume_unit' : '', 'volume_quantity' : '0', 'pieces_unit' : '', 'pieces_quantity' : '0', 'cooking_notes' : ',daliya,green chili(1 ltr)'}).status_code; print('%s :: %s :: %s :: %s :: %s' %(a,1143,'sev','sev','MUMBAI BHEL'))</t>
  </si>
  <si>
    <t xml:space="preserve">a = Client().post('/recipes/mumbai-bhel/detail/', {'recipe' : '49', 'ingredient' : '195', 'name' : 'tomato', 'mass_unit' : '2', 'mass_quantity' : '10', 'volume_unit' : '', 'volume_quantity' : '0', 'pieces_unit' : '', 'pieces_quantity' : '0', 'cooking_notes' : 'with haldi,kashmiri chili pwd'}).status_code; print('%s :: %s :: %s :: %s :: %s' %(a,1144,'tomato','tomato','MUMBAI BHEL'))</t>
  </si>
  <si>
    <t xml:space="preserve">a = Client().post('/recipes/mumbai-bhel/detail/', {'recipe' : '49', 'ingredient' : '8', 'name' : 'potato', 'mass_unit' : '2', 'mass_quantity' : '10', 'volume_unit' : '', 'volume_quantity' : '0', 'pieces_unit' : '', 'pieces_quantity' : '0', 'cooking_notes' : 'nxt morning add other item'}).status_code; print('%s :: %s :: %s :: %s :: %s' %(a,1145,'potato','alu','MUMBAI BHEL'))</t>
  </si>
  <si>
    <t xml:space="preserve">a = Client().post('/recipes/mumbai-bhel/detail/', {'recipe' : '49', 'ingredient' : '111', 'name' : 'kakdi', 'mass_unit' : '2', 'mass_quantity' : '10', 'volume_unit' : '', 'volume_quantity' : '0', 'pieces_unit' : '', 'pieces_quantity' : '0', 'cooking_notes' : ''}).status_code; print('%s :: %s :: %s :: %s :: %s' %(a,1146,'kakdi','kakdi','MUMBAI BHEL'))</t>
  </si>
  <si>
    <t xml:space="preserve">a = Client().post('/recipes/mumbai-bhel/detail/', {'recipe' : '49', 'ingredient' : '66', 'name' : 'dhaniya patta', 'mass_unit' : '', 'mass_quantity' : '0', 'volume_unit' : '1', 'volume_quantity' : '4', 'pieces_unit' : '', 'pieces_quantity' : '0', 'cooking_notes' : ''}).status_code; print('%s :: %s :: %s :: %s :: %s' %(a,1147,'dhaniya patta','dhaniya patta','MUMBAI BHEL'))</t>
  </si>
  <si>
    <t xml:space="preserve">a = Client().post('/recipes/mumbai-bhel/detail/', {'recipe' : '49', 'ingredient' : '105', 'name' : 'kadipatta', 'mass_unit' : '', 'mass_quantity' : '0', 'volume_unit' : '1', 'volume_quantity' : '2', 'pieces_unit' : '', 'pieces_quantity' : '0', 'cooking_notes' : ''}).status_code; print('%s :: %s :: %s :: %s :: %s' %(a,1148,'kadipatta','kadi patta','MUMBAI BHEL'))</t>
  </si>
  <si>
    <t xml:space="preserve">a = Client().post('/recipes/mumbai-bhel/detail/', {'recipe' : '49', 'ingredient' : '126', 'name' : 'KURMURA ', 'mass_unit' : '2', 'mass_quantity' : '20', 'volume_unit' : '', 'volume_quantity' : '0', 'pieces_unit' : '', 'pieces_quantity' : '0', 'cooking_notes' : ''}).status_code; print('%s :: %s :: %s :: %s :: %s' %(a,1149,'KURMURA ','kurmura','MUMBAI BHEL'))</t>
  </si>
  <si>
    <t xml:space="preserve">a = Client().post('/recipes/mumbai-bhel/detail/', {'recipe' : '49', 'ingredient' : '177', 'name' : 'salt', 'mass_unit' : '', 'mass_quantity' : '0', 'volume_unit' : '5', 'volume_quantity' : '2', 'pieces_unit' : '', 'pieces_quantity' : '0', 'cooking_notes' : ''}).status_code; print('%s :: %s :: %s :: %s :: %s' %(a,1150,'salt','salt','MUMBAI BHEL'))</t>
  </si>
  <si>
    <t xml:space="preserve">a = Client().post('/recipes/mumbai-bhel/detail/', {'recipe' : '49', 'ingredient' : '135', 'name' : 'madrasi chilli powder', 'mass_unit' : '', 'mass_quantity' : '0', 'volume_unit' : '5', 'volume_quantity' : '2.5', 'pieces_unit' : '', 'pieces_quantity' : '0', 'cooking_notes' : ''}).status_code; print('%s :: %s :: %s :: %s :: %s' %(a,1151,'madrasi chilli powder','madrasi mirchi powder','MUMBAI BHEL'))</t>
  </si>
  <si>
    <t xml:space="preserve">a = Client().post('/recipes/mumbai-bhel/detail/', {'recipe' : '49', 'ingredient' : '91', 'name' : 'haldi powder', 'mass_unit' : '', 'mass_quantity' : '0', 'volume_unit' : '5', 'volume_quantity' : '2.5', 'pieces_unit' : '', 'pieces_quantity' : '0', 'cooking_notes' : ''}).status_code; print('%s :: %s :: %s :: %s :: %s' %(a,1152,'haldi powder','haldi','MUMBAI BHEL'))</t>
  </si>
  <si>
    <t xml:space="preserve">a = Client().post('/recipes/mumbai-bhel/detail/', {'recipe' : '49', 'ingredient' : '164', 'name' : 'rai', 'mass_unit' : '', 'mass_quantity' : '0', 'volume_unit' : '5', 'volume_quantity' : '1', 'pieces_unit' : '', 'pieces_quantity' : '0', 'cooking_notes' : ''}).status_code; print('%s :: %s :: %s :: %s :: %s' %(a,1153,'rai','rai','MUMBAI BHEL'))</t>
  </si>
  <si>
    <t xml:space="preserve">a = Client().post('/recipes/mumbai-bhel/detail/', {'recipe' : '49', 'ingredient' : '102', 'name' : 'jeera', 'mass_unit' : '', 'mass_quantity' : '0', 'volume_unit' : '5', 'volume_quantity' : '2', 'pieces_unit' : '', 'pieces_quantity' : '0', 'cooking_notes' : ''}).status_code; print('%s :: %s :: %s :: %s :: %s' %(a,1154,'jeera','jeera','MUMBAI BHEL'))</t>
  </si>
  <si>
    <t xml:space="preserve">a = Client().post('/recipes/mumbai-bhel/detail/', {'recipe' : '49', 'ingredient' : '6', 'name' : 'akkha madrasi mirh dry ', 'mass_unit' : '', 'mass_quantity' : '0', 'volume_unit' : '1', 'volume_quantity' : '1', 'pieces_unit' : '', 'pieces_quantity' : '0', 'cooking_notes' : ''}).status_code; print('%s :: %s :: %s :: %s :: %s' %(a,1155,'akkha madrasi mirh dry ','akkha madrasi mirchi','MUMBAI BHEL'))</t>
  </si>
  <si>
    <t xml:space="preserve">a = Client().post('/recipes/mumbai-bhel/detail/', {'recipe' : '49', 'ingredient' : '83', 'name' : 'oil', 'mass_unit' : '', 'mass_quantity' : '0', 'volume_unit' : '1', 'volume_quantity' : '5', 'pieces_unit' : '', 'pieces_quantity' : '0', 'cooking_notes' : ''}).status_code; print('%s :: %s :: %s :: %s :: %s' %(a,1156,'oil','gound nut oil','MUMBAI BHEL'))</t>
  </si>
  <si>
    <t xml:space="preserve">a = Client().post('/recipes/mumbai-bhel/detail/', {'recipe' : '49', 'ingredient' : '183', 'name' : ' singdana', 'mass_unit' : '2', 'mass_quantity' : '4', 'volume_unit' : '', 'volume_quantity' : '0', 'pieces_unit' : '', 'pieces_quantity' : '0', 'cooking_notes' : ''}).status_code; print('%s :: %s :: %s :: %s :: %s' %(a,1157,' singdana','singdana','MUMBAI BHEL'))</t>
  </si>
  <si>
    <t xml:space="preserve">a = Client().post('/recipes/mumbai-bhel/detail/', {'recipe' : '49', 'ingredient' : '62', 'name' : 'daliya ', 'mass_unit' : '2', 'mass_quantity' : '2', 'volume_unit' : '', 'volume_quantity' : '0', 'pieces_unit' : '', 'pieces_quantity' : '0', 'cooking_notes' : ''}).status_code; print('%s :: %s :: %s :: %s :: %s' %(a,1158,'daliya ','daliya','MUMBAI BHEL'))</t>
  </si>
  <si>
    <t xml:space="preserve">a = Client().post('/recipes/mumbai-bhel/detail/', {'recipe' : '49', 'ingredient' : '47', 'name' : 'chat masala', 'mass_unit' : '', 'mass_quantity' : '0', 'volume_unit' : '5', 'volume_quantity' : '2', 'pieces_unit' : '', 'pieces_quantity' : '0', 'cooking_notes' : ''}).status_code; print('%s :: %s :: %s :: %s :: %s' %(a,1160,'chat masala','chat masala','MUMBAI BHEL'))</t>
  </si>
  <si>
    <t xml:space="preserve">a = Client().post('/recipes/mumbai-bhel/detail/', {'recipe' : '49', 'ingredient' : '177', 'name' : 'regular salt', 'mass_unit' : '', 'mass_quantity' : '0', 'volume_unit' : '5', 'volume_quantity' : '0.5', 'pieces_unit' : '', 'pieces_quantity' : '0', 'cooking_notes' : ''}).status_code; print('%s :: %s :: %s :: %s :: %s' %(a,1161,'regular salt','salt','MUMBAI BHEL'))</t>
  </si>
  <si>
    <t xml:space="preserve">a = Client().post('/recipes/mumbai-bhel/detail/', {'recipe' : '49', 'ingredient' : '32', 'name' : 'black salt', 'mass_unit' : '', 'mass_quantity' : '0', 'volume_unit' : '5', 'volume_quantity' : '1', 'pieces_unit' : '', 'pieces_quantity' : '0', 'cooking_notes' : ''}).status_code; print('%s :: %s :: %s :: %s :: %s' %(a,1162,'black salt','black salt','MUMBAI BHEL'))</t>
  </si>
  <si>
    <t xml:space="preserve">a = Client().post('/recipes/gauranga-fried-rice/detail/', {'recipe' : '26', 'ingredient' : '79', 'name' : 'gajar', 'mass_unit' : '2', 'mass_quantity' : '6', 'volume_unit' : '', 'volume_quantity' : '0', 'pieces_unit' : '', 'pieces_quantity' : '0', 'cooking_notes' : ''}).status_code; print('%s :: %s :: %s :: %s :: %s' %(a,1165,'gajar','gajar','Gauranga fried  Rice'))</t>
  </si>
  <si>
    <t xml:space="preserve">a = Client().post('/recipes/gauranga-fried-rice/detail/', {'recipe' : '26', 'ingredient' : '27', 'name' : 'Beans', 'mass_unit' : '2', 'mass_quantity' : '6', 'volume_unit' : '', 'volume_quantity' : '0', 'pieces_unit' : '', 'pieces_quantity' : '0', 'cooking_notes' : ''}).status_code; print('%s :: %s :: %s :: %s :: %s' %(a,1166,'Beans','beans','Gauranga fried  Rice'))</t>
  </si>
  <si>
    <t xml:space="preserve">a = Client().post('/recipes/gauranga-fried-rice/detail/', {'recipe' : '26', 'ingredient' : '88', 'name' : 'Green peas', 'mass_unit' : '2', 'mass_quantity' : '6', 'volume_unit' : '', 'volume_quantity' : '0', 'pieces_unit' : '', 'pieces_quantity' : '0', 'cooking_notes' : 'note -sabji  given in nxt coloumn are for 25 kg rice,'}).status_code; print('%s :: %s :: %s :: %s :: %s' %(a,1167,'Green peas','green peas','Gauranga fried  Rice'))</t>
  </si>
  <si>
    <t xml:space="preserve">a = Client().post('/recipes/gauranga-fried-rice/detail/', {'recipe' : '26', 'ingredient' : '93', 'name' : 'green chili ', 'mass_unit' : '', 'mass_quantity' : '0', 'volume_unit' : '1', 'volume_quantity' : '2', 'pieces_unit' : '', 'pieces_quantity' : '0', 'cooking_notes' : 'and masala and grains given in other '}).status_code; print('%s :: %s :: %s :: %s :: %s' %(a,1168,'green chili ','hari mirchi','Gauranga fried  Rice'))</t>
  </si>
  <si>
    <t xml:space="preserve">a = Client().post('/recipes/gauranga-fried-rice/detail/', {'recipe' : '26', 'ingredient' : '1', 'name' : 'adrak', 'mass_unit' : '', 'mass_quantity' : '0', 'volume_unit' : '1', 'volume_quantity' : '2', 'pieces_unit' : '', 'pieces_quantity' : '0', 'cooking_notes' : 'coloumn are for 6.25 kg  and 4.25 kg rice'}).status_code; print('%s :: %s :: %s :: %s :: %s' %(a,1169,'adrak','adrak','Gauranga fried  Rice'))</t>
  </si>
  <si>
    <t xml:space="preserve">a = Client().post('/recipes/gauranga-fried-rice/detail/', {'recipe' : '26', 'ingredient' : '105', 'name' : 'kadipatta', 'mass_unit' : '', 'mass_quantity' : '0', 'volume_unit' : '1', 'volume_quantity' : '2', 'pieces_unit' : '', 'pieces_quantity' : '0', 'cooking_notes' : ''}).status_code; print('%s :: %s :: %s :: %s :: %s' %(a,1170,'kadipatta','kadi patta','Gauranga fried  Rice'))</t>
  </si>
  <si>
    <t xml:space="preserve">a = Client().post('/recipes/gauranga-fried-rice/detail/', {'recipe' : '26', 'ingredient' : '195', 'name' : 'tomato', 'mass_unit' : '2', 'mass_quantity' : '6', 'volume_unit' : '', 'volume_quantity' : '0', 'pieces_unit' : '', 'pieces_quantity' : '0', 'cooking_notes' : ''}).status_code; print('%s :: %s :: %s :: %s :: %s' %(a,1171,'tomato','tomato','Gauranga fried  Rice'))</t>
  </si>
  <si>
    <t xml:space="preserve">a = Client().post('/recipes/gauranga-fried-rice/detail/', {'recipe' : '26', 'ingredient' : '66', 'name' : 'dhaniya patta', 'mass_unit' : '', 'mass_quantity' : '0', 'volume_unit' : '1', 'volume_quantity' : '5', 'pieces_unit' : '', 'pieces_quantity' : '0', 'cooking_notes' : ''}).status_code; print('%s :: %s :: %s :: %s :: %s' %(a,1172,'dhaniya patta','dhaniya patta','Gauranga fried  Rice'))</t>
  </si>
  <si>
    <t xml:space="preserve">a = Client().post('/recipes/gauranga-fried-rice/detail/', {'recipe' : '26', 'ingredient' : '83', 'name' : 'oil 1.5 ltr for 6.25 kg batch', 'mass_unit' : '', 'mass_quantity' : '0', 'volume_unit' : '1', 'volume_quantity' : '1.5', 'pieces_unit' : '', 'pieces_quantity' : '0', 'cooking_notes' : 'in 4.25 kg rice batch add 0.8 cup salt'}).status_code; print('%s :: %s :: %s :: %s :: %s' %(a,1173,'oil 1.5 ltr for 6.25 kg batch','gound nut oil','Gauranga fried  Rice'))</t>
  </si>
  <si>
    <t xml:space="preserve">a = Client().post('/recipes/gauranga-fried-rice/detail/', {'recipe' : '26', 'ingredient' : '170', 'name' : 'rice', 'mass_unit' : '2', 'mass_quantity' : '6.25', 'volume_unit' : '', 'volume_quantity' : '0', 'pieces_unit' : '', 'pieces_quantity' : '0', 'cooking_notes' : 'in 1 kadhai sabji add 1 cup salt ( this sabji is for 2 batches of rice '}).status_code; print('%s :: %s :: %s :: %s :: %s' %(a,1174,'rice','rice','Gauranga fried  Rice'))</t>
  </si>
  <si>
    <t xml:space="preserve">a = Client().post('/recipes/gauranga-fried-rice/detail/', {'recipe' : '26', 'ingredient' : '91', 'name' : 'haldi', 'mass_unit' : '', 'mass_quantity' : '0', 'volume_unit' : '5', 'volume_quantity' : '0.5', 'pieces_unit' : '', 'pieces_quantity' : '0', 'cooking_notes' : 'of 4.25 kg each)'}).status_code; print('%s :: %s :: %s :: %s :: %s' %(a,1175,'haldi','haldi','Gauranga fried  Rice'))</t>
  </si>
  <si>
    <t xml:space="preserve">a = Client().post('/recipes/gauranga-fried-rice/detail/', {'recipe' : '26', 'ingredient' : '164', 'name' : 'rai', 'mass_unit' : '', 'mass_quantity' : '0', 'volume_unit' : '5', 'volume_quantity' : '0.4', 'pieces_unit' : '', 'pieces_quantity' : '0', 'cooking_notes' : ''}).status_code; print('%s :: %s :: %s :: %s :: %s' %(a,1176,'rai','rai','Gauranga fried  Rice'))</t>
  </si>
  <si>
    <t xml:space="preserve">a = Client().post('/recipes/gauranga-fried-rice/detail/', {'recipe' : '26', 'ingredient' : '102', 'name' : 'jeera', 'mass_unit' : '', 'mass_quantity' : '0', 'volume_unit' : '5', 'volume_quantity' : '0.4', 'pieces_unit' : '', 'pieces_quantity' : '0', 'cooking_notes' : ''}).status_code; print('%s :: %s :: %s :: %s :: %s' %(a,1177,'jeera','jeera','Gauranga fried  Rice'))</t>
  </si>
  <si>
    <t xml:space="preserve">a = Client().post('/recipes/gauranga-fried-rice/detail/', {'recipe' : '26', 'ingredient' : '117', 'name' : 'kashmiri chilly PWD', 'mass_unit' : '', 'mass_quantity' : '0', 'volume_unit' : '5', 'volume_quantity' : '0.6', 'pieces_unit' : '', 'pieces_quantity' : '0', 'cooking_notes' : ''}).status_code; print('%s :: %s :: %s :: %s :: %s' %(a,1178,'kashmiri chilly PWD','kashmiri chilly powder','Gauranga fried  Rice'))</t>
  </si>
  <si>
    <t xml:space="preserve">a = Client().post('/recipes/gauranga-fried-rice/detail/', {'recipe' : '26', 'ingredient' : '95', 'name' : 'hing', 'mass_unit' : '', 'mass_quantity' : '0', 'volume_unit' : '5', 'volume_quantity' : '0.3', 'pieces_unit' : '', 'pieces_quantity' : '0', 'cooking_notes' : ''}).status_code; print('%s :: %s :: %s :: %s :: %s' %(a,1179,'hing','hing','Gauranga fried  Rice'))</t>
  </si>
  <si>
    <t xml:space="preserve">a = Client().post('/recipes/gauranga-fried-rice/detail/', {'recipe' : '26', 'ingredient' : '177', 'name' : 'salt', 'mass_unit' : '', 'mass_quantity' : '0', 'volume_unit' : '5', 'volume_quantity' : '1.7', 'pieces_unit' : '', 'pieces_quantity' : '0', 'cooking_notes' : ''}).status_code; print('%s :: %s :: %s :: %s :: %s' %(a,1180,'salt','salt','Gauranga fried  Rice'))</t>
  </si>
  <si>
    <t xml:space="preserve">a = Client().post('/recipes/gauranga-fried-rice/detail/', {'recipe' : '26', 'ingredient' : '170', 'name' : 'rice', 'mass_unit' : '2', 'mass_quantity' : '4.25', 'volume_unit' : '', 'volume_quantity' : '0', 'pieces_unit' : '', 'pieces_quantity' : '0', 'cooking_notes' : ''}).status_code; print('%s :: %s :: %s :: %s :: %s' %(a,1181,'rice','rice','Gauranga fried  Rice'))</t>
  </si>
  <si>
    <t xml:space="preserve">a = Client().post('/recipes/gauranga-fried-rice/detail/', {'recipe' : '26', 'ingredient' : '91', 'name' : 'haldi', 'mass_unit' : '', 'mass_quantity' : '0', 'volume_unit' : '5', 'volume_quantity' : '0.3', 'pieces_unit' : '', 'pieces_quantity' : '0', 'cooking_notes' : ''}).status_code; print('%s :: %s :: %s :: %s :: %s' %(a,1182,'haldi','haldi','Gauranga fried  Rice'))</t>
  </si>
  <si>
    <t xml:space="preserve">a = Client().post('/recipes/gauranga-fried-rice/detail/', {'recipe' : '26', 'ingredient' : '164', 'name' : 'rai', 'mass_unit' : '', 'mass_quantity' : '0', 'volume_unit' : '5', 'volume_quantity' : '0.3', 'pieces_unit' : '', 'pieces_quantity' : '0', 'cooking_notes' : ''}).status_code; print('%s :: %s :: %s :: %s :: %s' %(a,1183,'rai','rai','Gauranga fried  Rice'))</t>
  </si>
  <si>
    <t xml:space="preserve">a = Client().post('/recipes/gauranga-fried-rice/detail/', {'recipe' : '26', 'ingredient' : '102', 'name' : 'jeera', 'mass_unit' : '', 'mass_quantity' : '0', 'volume_unit' : '5', 'volume_quantity' : '0.3', 'pieces_unit' : '', 'pieces_quantity' : '0', 'cooking_notes' : ''}).status_code; print('%s :: %s :: %s :: %s :: %s' %(a,1184,'jeera','jeera','Gauranga fried  Rice'))</t>
  </si>
  <si>
    <t xml:space="preserve">a = Client().post('/recipes/gauranga-fried-rice/detail/', {'recipe' : '26', 'ingredient' : '117', 'name' : 'kashmiri chilly PWD', 'mass_unit' : '', 'mass_quantity' : '0', 'volume_unit' : '5', 'volume_quantity' : '0.3', 'pieces_unit' : '', 'pieces_quantity' : '0', 'cooking_notes' : ''}).status_code; print('%s :: %s :: %s :: %s :: %s' %(a,1185,'kashmiri chilly PWD','kashmiri chilly powder','Gauranga fried  Rice'))</t>
  </si>
  <si>
    <t xml:space="preserve">a = Client().post('/recipes/gauranga-fried-rice/detail/', {'recipe' : '26', 'ingredient' : '95', 'name' : 'hing', 'mass_unit' : '', 'mass_quantity' : '0', 'volume_unit' : '5', 'volume_quantity' : '0.2', 'pieces_unit' : '', 'pieces_quantity' : '0', 'cooking_notes' : ''}).status_code; print('%s :: %s :: %s :: %s :: %s' %(a,1186,'hing','hing','Gauranga fried  Rice'))</t>
  </si>
  <si>
    <t xml:space="preserve">a = Client().post('/recipes/gauranga-fried-rice/detail/', {'recipe' : '26', 'ingredient' : '177', 'name' : 'salt', 'mass_unit' : '', 'mass_quantity' : '0', 'volume_unit' : '5', 'volume_quantity' : '1.2', 'pieces_unit' : '', 'pieces_quantity' : '0', 'cooking_notes' : ''}).status_code; print('%s :: %s :: %s :: %s :: %s' %(a,1187,'salt','salt','Gauranga fried  Rice'))</t>
  </si>
  <si>
    <t xml:space="preserve">a = Client().post('/recipes/ekadashi-upma/detail/', {'recipe' : '24', 'ingredient' : '79', 'name' : 'Gajar', 'mass_unit' : '2', 'mass_quantity' : '6', 'volume_unit' : '', 'volume_quantity' : '0', 'pieces_unit' : '', 'pieces_quantity' : '0', 'cooking_notes' : ''}).status_code; print('%s :: %s :: %s :: %s :: %s' %(a,1189,'Gajar','gajar','EKADASHI UPMA'))</t>
  </si>
  <si>
    <t xml:space="preserve">a = Client().post('/recipes/ekadashi-upma/detail/', {'recipe' : '24', 'ingredient' : '93', 'name' : 'green chilly', 'mass_unit' : '', 'mass_quantity' : '0', 'volume_unit' : '1', 'volume_quantity' : '1', 'pieces_unit' : '', 'pieces_quantity' : '0', 'cooking_notes' : ''}).status_code; print('%s :: %s :: %s :: %s :: %s' %(a,1190,'green chilly','hari mirchi','EKADASHI UPMA'))</t>
  </si>
  <si>
    <t xml:space="preserve">a = Client().post('/recipes/ekadashi-upma/detail/', {'recipe' : '24', 'ingredient' : '66', 'name' : 'Dhania patta', 'mass_unit' : '', 'mass_quantity' : '0', 'volume_unit' : '1', 'volume_quantity' : '3', 'pieces_unit' : '', 'pieces_quantity' : '0', 'cooking_notes' : 'WATER CALCUL'}).status_code; print('%s :: %s :: %s :: %s :: %s' %(a,1191,'Dhania patta','dhaniya patta','EKADASHI UPMA'))</t>
  </si>
  <si>
    <t xml:space="preserve">a = Client().post('/recipes/ekadashi-upma/detail/', {'recipe' : '24', 'ingredient' : '1', 'name' : 'ginger', 'mass_unit' : '', 'mass_quantity' : '0', 'volume_unit' : '1', 'volume_quantity' : '0.5', 'pieces_unit' : '', 'pieces_quantity' : '0', 'cooking_notes' : '1 tub-30 ltr '}).status_code; print('%s :: %s :: %s :: %s :: %s' %(a,1192,'ginger','adrak','EKADASHI UPMA'))</t>
  </si>
  <si>
    <t xml:space="preserve">a = Client().post('/recipes/ekadashi-upma/detail/', {'recipe' : '24', 'ingredient' : '105', 'name' : 'kadipatta', 'mass_unit' : '', 'mass_quantity' : '0', 'volume_unit' : '1', 'volume_quantity' : '2', 'pieces_unit' : '', 'pieces_quantity' : '0', 'cooking_notes' : '(below line) THIS '}).status_code; print('%s :: %s :: %s :: %s :: %s' %(a,1193,'kadipatta','kadi patta','EKADASHI UPMA'))</t>
  </si>
  <si>
    <t xml:space="preserve">a = Client().post('/recipes/ekadashi-upma/detail/', {'recipe' : '24', 'ingredient' : '97', 'name' : 'hot water', 'mass_unit' : '', 'mass_quantity' : '0', 'volume_unit' : '1', 'volume_quantity' : '60', 'pieces_unit' : '', 'pieces_quantity' : '0', 'cooking_notes' : 'TYPE WE USE MOSTLY'}).status_code; print('%s :: %s :: %s :: %s :: %s' %(a,1194,'hot water','hot water','EKADASHI UPMA'))</t>
  </si>
  <si>
    <t xml:space="preserve">a = Client().post('/recipes/ekadashi-upma/detail/', {'recipe' : '24', 'ingredient' : '201', 'name' : 'varai', 'mass_unit' : '2', 'mass_quantity' : '25', 'volume_unit' : '', 'volume_quantity' : '0', 'pieces_unit' : '', 'pieces_quantity' : '0', 'cooking_notes' : 'above line -till '}).status_code; print('%s :: %s :: %s :: %s :: %s' %(a,1196,'varai','varai','EKADASHI UPMA'))</t>
  </si>
  <si>
    <t xml:space="preserve">a = Client().post('/recipes/ekadashi-upma/detail/', {'recipe' : '24', 'ingredient' : '83', 'name' : 'oil(groundnut)', 'mass_unit' : '', 'mass_quantity' : '0', 'volume_unit' : '1', 'volume_quantity' : '7', 'pieces_unit' : '', 'pieces_quantity' : '0', 'cooking_notes' : 'tub is full)'}).status_code; print('%s :: %s :: %s :: %s :: %s' %(a,1197,'oil(groundnut)','gound nut oil','EKADASHI UPMA'))</t>
  </si>
  <si>
    <t xml:space="preserve">a = Client().post('/recipes/ekadashi-upma/detail/', {'recipe' : '24', 'ingredient' : '117', 'name' : 'kashmiri chili powder', 'mass_unit' : '', 'mass_quantity' : '0', 'volume_unit' : '5', 'volume_quantity' : '0.5', 'pieces_unit' : '', 'pieces_quantity' : '0', 'cooking_notes' : ''}).status_code; print('%s :: %s :: %s :: %s :: %s' %(a,1198,'kashmiri chili powder','kashmiri chilly powder','EKADASHI UPMA'))</t>
  </si>
  <si>
    <t xml:space="preserve">a = Client().post('/recipes/ekadashi-upma/detail/', {'recipe' : '24', 'ingredient' : '177', 'name' : 'salt', 'mass_unit' : '', 'mass_quantity' : '0', 'volume_unit' : '5', 'volume_quantity' : '6', 'pieces_unit' : '', 'pieces_quantity' : '0', 'cooking_notes' : ''}).status_code; print('%s :: %s :: %s :: %s :: %s' %(a,1199,'salt','salt','EKADASHI UPMA'))</t>
  </si>
  <si>
    <t xml:space="preserve">a = Client().post('/recipes/ekadashi-upma/detail/', {'recipe' : '24', 'ingredient' : '74', 'name' : 'everest pulav masala', 'mass_unit' : '', 'mass_quantity' : '0', 'volume_unit' : '5', 'volume_quantity' : '1.5', 'pieces_unit' : '', 'pieces_quantity' : '0', 'cooking_notes' : ''}).status_code; print('%s :: %s :: %s :: %s :: %s' %(a,1200,'everest pulav masala','everest pulav masala','EKADASHI UPMA'))</t>
  </si>
  <si>
    <t xml:space="preserve">a = Client().post('/recipes/ekadashi-upma/detail/', {'recipe' : '24', 'ingredient' : '102', 'name' : 'jeera', 'mass_unit' : '', 'mass_quantity' : '0', 'volume_unit' : '5', 'volume_quantity' : '2', 'pieces_unit' : '', 'pieces_quantity' : '0', 'cooking_notes' : ''}).status_code; print('%s :: %s :: %s :: %s :: %s' %(a,1201,'jeera','jeera','EKADASHI UPMA'))</t>
  </si>
  <si>
    <t xml:space="preserve">a = Client().post('/recipes/ekadasi-khichdi-non-spicy/detail/', {'recipe' : '2', 'ingredient' : '69', 'name' : 'dudhi', 'mass_unit' : '2', 'mass_quantity' : '4', 'volume_unit' : '', 'volume_quantity' : '0', 'pieces_unit' : '', 'pieces_quantity' : '0', 'cooking_notes' : '1 tub'}).status_code; print('%s :: %s :: %s :: %s :: %s' %(a,1203,'dudhi','dudhi','EKADASI KHICHDI NON-SPICY'))</t>
  </si>
  <si>
    <t xml:space="preserve">a = Client().post('/recipes/ekadasi-khichdi-non-spicy/detail/', {'recipe' : '2', 'ingredient' : '30', 'name' : 'bhopla', 'mass_unit' : '2', 'mass_quantity' : '4', 'volume_unit' : '', 'volume_quantity' : '0', 'pieces_unit' : '', 'pieces_quantity' : '0', 'cooking_notes' : 'veg-doubl of grains'}).status_code; print('%s :: %s :: %s :: %s :: %s' %(a,1204,'bhopla','bhopla','EKADASI KHICHDI NON-SPICY'))</t>
  </si>
  <si>
    <t xml:space="preserve">a = Client().post('/recipes/ekadasi-khichdi-non-spicy/detail/', {'recipe' : '2', 'ingredient' : '214', 'name' : 'water(10 times)', 'mass_unit' : '', 'mass_quantity' : '0', 'volume_unit' : '1', 'volume_quantity' : '20', 'pieces_unit' : '', 'pieces_quantity' : '0', 'cooking_notes' : ''}).status_code; print('%s :: %s :: %s :: %s :: %s' %(a,1205,'water(10 times)','water','EKADASI KHICHDI NON-SPICY'))</t>
  </si>
  <si>
    <t xml:space="preserve">a = Client().post('/recipes/ekadasi-khichdi-non-spicy/detail/', {'recipe' : '2', 'ingredient' : '105', 'name' : 'kadipatta', 'mass_unit' : '', 'mass_quantity' : '0', 'volume_unit' : '5', 'volume_quantity' : '1', 'pieces_unit' : '', 'pieces_quantity' : '0', 'cooking_notes' : ''}).status_code; print('%s :: %s :: %s :: %s :: %s' %(a,1206,'kadipatta','kadi patta','EKADASI KHICHDI NON-SPICY'))</t>
  </si>
  <si>
    <t xml:space="preserve">a = Client().post('/recipes/ekadasi-khichdi-non-spicy/detail/', {'recipe' : '2', 'ingredient' : '66', 'name' : 'dhaniya patta', 'mass_unit' : '', 'mass_quantity' : '0', 'volume_unit' : '1', 'volume_quantity' : '0.5', 'pieces_unit' : '', 'pieces_quantity' : '0', 'cooking_notes' : ''}).status_code; print('%s :: %s :: %s :: %s :: %s' %(a,1207,'dhaniya patta','dhaniya patta','EKADASI KHICHDI NON-SPICY'))</t>
  </si>
  <si>
    <t xml:space="preserve">a = Client().post('/recipes/ekadasi-khichdi-non-spicy/detail/', {'recipe' : '2', 'ingredient' : '1', 'name' : 'adrak paste', 'mass_unit' : '', 'mass_quantity' : '0', 'volume_unit' : '5', 'volume_quantity' : '1', 'pieces_unit' : '', 'pieces_quantity' : '0', 'cooking_notes' : ''}).status_code; print('%s :: %s :: %s :: %s :: %s' %(a,1208,'adrak paste','adrak','EKADASI KHICHDI NON-SPICY'))</t>
  </si>
  <si>
    <t xml:space="preserve">a = Client().post('/recipes/ekadasi-khichdi-non-spicy/detail/', {'recipe' : '2', 'ingredient' : '201', 'name' : 'VARAI', 'mass_unit' : '2', 'mass_quantity' : '3.5', 'volume_unit' : '', 'volume_quantity' : '0', 'pieces_unit' : '', 'pieces_quantity' : '0', 'cooking_notes' : ''}).status_code; print('%s :: %s :: %s :: %s :: %s' %(a,1209,'VARAI','varai','EKADASI KHICHDI NON-SPICY'))</t>
  </si>
  <si>
    <t xml:space="preserve">a = Client().post('/recipes/ekadasi-khichdi-non-spicy/detail/', {'recipe' : '2', 'ingredient' : '177', 'name' : 'salt', 'mass_unit' : '', 'mass_quantity' : '0', 'volume_unit' : '5', 'volume_quantity' : '1.25', 'pieces_unit' : '', 'pieces_quantity' : '0', 'cooking_notes' : ''}).status_code; print('%s :: %s :: %s :: %s :: %s' %(a,1210,'salt','salt','EKADASI KHICHDI NON-SPICY'))</t>
  </si>
  <si>
    <t xml:space="preserve">a = Client().post('/recipes/ekadasi-khichdi-non-spicy/detail/', {'recipe' : '2', 'ingredient' : '102', 'name' : 'jeera', 'mass_unit' : '', 'mass_quantity' : '0', 'volume_unit' : '5', 'volume_quantity' : '0.4', 'pieces_unit' : '', 'pieces_quantity' : '0', 'cooking_notes' : ''}).status_code; print('%s :: %s :: %s :: %s :: %s' %(a,1211,'jeera','jeera','EKADASI KHICHDI NON-SPICY'))</t>
  </si>
  <si>
    <t xml:space="preserve">a = Client().post('/recipes/ekadasi-khichdi-non-spicy/detail/', {'recipe' : '2', 'ingredient' : '81', 'name' : 'ghee', 'mass_unit' : '', 'mass_quantity' : '0', 'volume_unit' : '12', 'volume_quantity' : '300', 'pieces_unit' : '', 'pieces_quantity' : '0', 'cooking_notes' : ''}).status_code; print('%s :: %s :: %s :: %s :: %s' %(a,1212,'ghee','ghee','EKADASI KHICHDI NON-SPICY'))</t>
  </si>
  <si>
    <t xml:space="preserve">a = Client().post('/recipes/ekadashi-khichdi-spicy/detail/', {'recipe' : '23', 'ingredient' : '195', 'name' : 'tomato', 'mass_unit' : '2', 'mass_quantity' : '3', 'volume_unit' : '', 'volume_quantity' : '0', 'pieces_unit' : '', 'pieces_quantity' : '0', 'cooking_notes' : ''}).status_code; print('%s :: %s :: %s :: %s :: %s' %(a,1215,'tomato','tomato','EKADASHI KHICHDI  SPICY'))</t>
  </si>
  <si>
    <t xml:space="preserve">a = Client().post('/recipes/ekadashi-khichdi-spicy/detail/', {'recipe' : '23', 'ingredient' : '79', 'name' : 'gajar', 'mass_unit' : '2', 'mass_quantity' : '1', 'volume_unit' : '', 'volume_quantity' : '0', 'pieces_unit' : '', 'pieces_quantity' : '0', 'cooking_notes' : ''}).status_code; print('%s :: %s :: %s :: %s :: %s' %(a,1216,'gajar','gajar','EKADASHI KHICHDI  SPICY'))</t>
  </si>
  <si>
    <t xml:space="preserve">a = Client().post('/recipes/ekadashi-khichdi-spicy/detail/', {'recipe' : '23', 'ingredient' : '69', 'name' : 'dudhi', 'mass_unit' : '2', 'mass_quantity' : '2', 'volume_unit' : '', 'volume_quantity' : '0', 'pieces_unit' : '', 'pieces_quantity' : '0', 'cooking_notes' : ''}).status_code; print('%s :: %s :: %s :: %s :: %s' %(a,1217,'dudhi','dudhi','EKADASHI KHICHDI  SPICY'))</t>
  </si>
  <si>
    <t xml:space="preserve">a = Client().post('/recipes/ekadashi-khichdi-spicy/detail/', {'recipe' : '23', 'ingredient' : '30', 'name' : 'bhopla', 'mass_unit' : '2', 'mass_quantity' : '2', 'volume_unit' : '', 'volume_quantity' : '0', 'pieces_unit' : '', 'pieces_quantity' : '0', 'cooking_notes' : ''}).status_code; print('%s :: %s :: %s :: %s :: %s' %(a,1218,'bhopla','bhopla','EKADASHI KHICHDI  SPICY'))</t>
  </si>
  <si>
    <t xml:space="preserve">a = Client().post('/recipes/ekadashi-khichdi-spicy/detail/', {'recipe' : '23', 'ingredient' : '214', 'name' : 'water(10 times)', 'mass_unit' : '', 'mass_quantity' : '0', 'volume_unit' : '1', 'volume_quantity' : '20', 'pieces_unit' : '', 'pieces_quantity' : '0', 'cooking_notes' : ''}).status_code; print('%s :: %s :: %s :: %s :: %s' %(a,1219,'water(10 times)','water','EKADASHI KHICHDI  SPICY'))</t>
  </si>
  <si>
    <t xml:space="preserve">a = Client().post('/recipes/ekadashi-khichdi-spicy/detail/', {'recipe' : '23', 'ingredient' : '105', 'name' : 'kadipatta', 'mass_unit' : '', 'mass_quantity' : '0', 'volume_unit' : '5', 'volume_quantity' : '2', 'pieces_unit' : '', 'pieces_quantity' : '0', 'cooking_notes' : ''}).status_code; print('%s :: %s :: %s :: %s :: %s' %(a,1220,'kadipatta','kadi patta','EKADASHI KHICHDI  SPICY'))</t>
  </si>
  <si>
    <t xml:space="preserve">a = Client().post('/recipes/ekadashi-khichdi-spicy/detail/', {'recipe' : '23', 'ingredient' : '66', 'name' : 'dhaniya patta', 'mass_unit' : '', 'mass_quantity' : '0', 'volume_unit' : '1', 'volume_quantity' : '0.5', 'pieces_unit' : '', 'pieces_quantity' : '0', 'cooking_notes' : ''}).status_code; print('%s :: %s :: %s :: %s :: %s' %(a,1221,'dhaniya patta','dhaniya patta','EKADASHI KHICHDI  SPICY'))</t>
  </si>
  <si>
    <t xml:space="preserve">a = Client().post('/recipes/ekadashi-khichdi-spicy/detail/', {'recipe' : '23', 'ingredient' : '1', 'name' : 'adrak paste', 'mass_unit' : '', 'mass_quantity' : '0', 'volume_unit' : '5', 'volume_quantity' : '1', 'pieces_unit' : '', 'pieces_quantity' : '0', 'cooking_notes' : ''}).status_code; print('%s :: %s :: %s :: %s :: %s' %(a,1222,'adrak paste','adrak','EKADASHI KHICHDI  SPICY'))</t>
  </si>
  <si>
    <t xml:space="preserve">a = Client().post('/recipes/ekadashi-khichdi-spicy/detail/', {'recipe' : '23', 'ingredient' : '93', 'name' : 'green chily', 'mass_unit' : '', 'mass_quantity' : '0', 'volume_unit' : '5', 'volume_quantity' : '0.5', 'pieces_unit' : '', 'pieces_quantity' : '0', 'cooking_notes' : ''}).status_code; print('%s :: %s :: %s :: %s :: %s' %(a,1223,'green chily','hari mirchi','EKADASHI KHICHDI  SPICY'))</t>
  </si>
  <si>
    <t xml:space="preserve">a = Client().post('/recipes/ekadashi-khichdi-spicy/detail/', {'recipe' : '23', 'ingredient' : '201', 'name' : 'VARAI', 'mass_unit' : '2', 'mass_quantity' : '3.5', 'volume_unit' : '', 'volume_quantity' : '0', 'pieces_unit' : '', 'pieces_quantity' : '0', 'cooking_notes' : ''}).status_code; print('%s :: %s :: %s :: %s :: %s' %(a,1224,'VARAI','varai','EKADASHI KHICHDI  SPICY'))</t>
  </si>
  <si>
    <t xml:space="preserve">a = Client().post('/recipes/ekadashi-khichdi-spicy/detail/', {'recipe' : '23', 'ingredient' : '177', 'name' : 'salt', 'mass_unit' : '', 'mass_quantity' : '0', 'volume_unit' : '5', 'volume_quantity' : '1.5', 'pieces_unit' : '', 'pieces_quantity' : '0', 'cooking_notes' : ''}).status_code; print('%s :: %s :: %s :: %s :: %s' %(a,1225,'salt','salt','EKADASHI KHICHDI  SPICY'))</t>
  </si>
  <si>
    <t xml:space="preserve">a = Client().post('/recipes/ekadashi-khichdi-spicy/detail/', {'recipe' : '23', 'ingredient' : '102', 'name' : 'jeera', 'mass_unit' : '', 'mass_quantity' : '0', 'volume_unit' : '5', 'volume_quantity' : '0.4', 'pieces_unit' : '', 'pieces_quantity' : '0', 'cooking_notes' : ''}).status_code; print('%s :: %s :: %s :: %s :: %s' %(a,1226,'jeera','jeera','EKADASHI KHICHDI  SPICY'))</t>
  </si>
  <si>
    <t xml:space="preserve">a = Client().post('/recipes/ekadashi-khichdi-spicy/detail/', {'recipe' : '23', 'ingredient' : '67', 'name' : 'dhaniya powder', 'mass_unit' : '', 'mass_quantity' : '0', 'volume_unit' : '5', 'volume_quantity' : '0.5', 'pieces_unit' : '', 'pieces_quantity' : '0', 'cooking_notes' : ''}).status_code; print('%s :: %s :: %s :: %s :: %s' %(a,1227,'dhaniya powder','dhaniya powder','EKADASHI KHICHDI  SPICY'))</t>
  </si>
  <si>
    <t xml:space="preserve">a = Client().post('/recipes/ekadashi-khichdi-spicy/detail/', {'recipe' : '23', 'ingredient' : '103', 'name' : 'jeera powder', 'mass_unit' : '', 'mass_quantity' : '0', 'volume_unit' : '5', 'volume_quantity' : '0.5', 'pieces_unit' : '', 'pieces_quantity' : '0', 'cooking_notes' : ''}).status_code; print('%s :: %s :: %s :: %s :: %s' %(a,1228,'jeera powder','jeera powder','EKADASHI KHICHDI  SPICY'))</t>
  </si>
  <si>
    <t xml:space="preserve">a = Client().post('/recipes/ekadashi-khichdi-spicy/detail/', {'recipe' : '23', 'ingredient' : '117', 'name' : 'kashmiri chily pwder', 'mass_unit' : '', 'mass_quantity' : '0', 'volume_unit' : '5', 'volume_quantity' : '0.4', 'pieces_unit' : '', 'pieces_quantity' : '0', 'cooking_notes' : ''}).status_code; print('%s :: %s :: %s :: %s :: %s' %(a,1229,'kashmiri chily pwder','kashmiri chilly powder','EKADASHI KHICHDI  SPICY'))</t>
  </si>
  <si>
    <t xml:space="preserve">a = Client().post('/recipes/ekadashi-khichdi-spicy/detail/', {'recipe' : '23', 'ingredient' : '135', 'name' : 'madrasi chili powder', 'mass_unit' : '', 'mass_quantity' : '0', 'volume_unit' : '5', 'volume_quantity' : '0.3', 'pieces_unit' : '', 'pieces_quantity' : '0', 'cooking_notes' : ''}).status_code; print('%s :: %s :: %s :: %s :: %s' %(a,1230,'madrasi chili powder','madrasi mirchi powder','EKADASHI KHICHDI  SPICY'))</t>
  </si>
  <si>
    <t xml:space="preserve">a = Client().post('/recipes/ekadashi-khichdi-spicy/detail/', {'recipe' : '23', 'ingredient' : '6', 'name' : 'akkha madrasi mirch', 'mass_unit' : '', 'mass_quantity' : '0', 'volume_unit' : '5', 'volume_quantity' : '1', 'pieces_unit' : '', 'pieces_quantity' : '0', 'cooking_notes' : ''}).status_code; print('%s :: %s :: %s :: %s :: %s' %(a,1231,'akkha madrasi mirch','akkha madrasi mirchi','EKADASHI KHICHDI  SPICY'))</t>
  </si>
  <si>
    <t xml:space="preserve">a = Client().post('/recipes/ekadashi-khichdi-spicy/detail/', {'recipe' : '23', 'ingredient' : '83', 'name' : 'oil', 'mass_unit' : '', 'mass_quantity' : '0', 'volume_unit' : '12', 'volume_quantity' : '500', 'pieces_unit' : '', 'pieces_quantity' : '0', 'cooking_notes' : ''}).status_code; print('%s :: %s :: %s :: %s :: %s' %(a,1232,'oil','gound nut oil','EKADASHI KHICHDI  SPICY'))</t>
  </si>
  <si>
    <t xml:space="preserve">a = Client().post('/recipes/kurmura-spicy/detail/', {'recipe' : '40', 'ingredient' : '93', 'name' : 'green chily (long cut)', 'mass_unit' : '', 'mass_quantity' : '0', 'volume_unit' : '1', 'volume_quantity' : '1', 'pieces_unit' : '', 'pieces_quantity' : '0', 'cooking_notes' : ''}).status_code; print('%s :: %s :: %s :: %s :: %s' %(a,1235,'green chily (long cut)','hari mirchi','KURMURA SPICY'))</t>
  </si>
  <si>
    <t xml:space="preserve">a = Client().post('/recipes/kurmura-spicy/detail/', {'recipe' : '40', 'ingredient' : '105', 'name' : 'kadi patta', 'mass_unit' : '', 'mass_quantity' : '0', 'volume_unit' : '1', 'volume_quantity' : '1', 'pieces_unit' : '', 'pieces_quantity' : '0', 'cooking_notes' : ''}).status_code; print('%s :: %s :: %s :: %s :: %s' %(a,1236,'kadi patta','kadi patta','KURMURA SPICY'))</t>
  </si>
  <si>
    <t xml:space="preserve">a = Client().post('/recipes/kurmura-spicy/detail/', {'recipe' : '40', 'ingredient' : '126', 'name' : 'kurmura', 'mass_unit' : '2', 'mass_quantity' : '10', 'volume_unit' : '', 'volume_quantity' : '0', 'pieces_unit' : '', 'pieces_quantity' : '0', 'cooking_notes' : ''}).status_code; print('%s :: %s :: %s :: %s :: %s' %(a,1237,'kurmura','kurmura','KURMURA SPICY'))</t>
  </si>
  <si>
    <t xml:space="preserve">a = Client().post('/recipes/kurmura-spicy/detail/', {'recipe' : '40', 'ingredient' : '183', 'name' : 'ground nut akkha', 'mass_unit' : '2', 'mass_quantity' : '2', 'volume_unit' : '', 'volume_quantity' : '0', 'pieces_unit' : '', 'pieces_quantity' : '0', 'cooking_notes' : ''}).status_code; print('%s :: %s :: %s :: %s :: %s' %(a,1238,'ground nut akkha','singdana','KURMURA SPICY'))</t>
  </si>
  <si>
    <t xml:space="preserve">a = Client().post('/recipes/kurmura-spicy/detail/', {'recipe' : '40', 'ingredient' : '62', 'name' : 'daliya roasted', 'mass_unit' : '2', 'mass_quantity' : '1.5', 'volume_unit' : '', 'volume_quantity' : '0', 'pieces_unit' : '', 'pieces_quantity' : '0', 'cooking_notes' : ''}).status_code; print('%s :: %s :: %s :: %s :: %s' %(a,1239,'daliya roasted','daliya','KURMURA SPICY'))</t>
  </si>
  <si>
    <t xml:space="preserve">a = Client().post('/recipes/kurmura-spicy/detail/', {'recipe' : '40', 'ingredient' : '89', 'name' : 'ground nut oil', 'mass_unit' : '', 'mass_quantity' : '0', 'volume_unit' : '1', 'volume_quantity' : '0.5', 'pieces_unit' : '', 'pieces_quantity' : '0', 'cooking_notes' : ''}).status_code; print('%s :: %s :: %s :: %s :: %s' %(a,1240,'ground nut oil','ground nut oil','KURMURA SPICY'))</t>
  </si>
  <si>
    <t xml:space="preserve">a = Client().post('/recipes/kurmura-spicy/detail/', {'recipe' : '40', 'ingredient' : '177', 'name' : 'salt', 'mass_unit' : '', 'mass_quantity' : '0', 'volume_unit' : '5', 'volume_quantity' : '1', 'pieces_unit' : '', 'pieces_quantity' : '0', 'cooking_notes' : ''}).status_code; print('%s :: %s :: %s :: %s :: %s' %(a,1241,'salt','salt','KURMURA SPICY'))</t>
  </si>
  <si>
    <t xml:space="preserve">a = Client().post('/recipes/kurmura-spicy/detail/', {'recipe' : '40', 'ingredient' : '6', 'name' : 'akkha madrasi mirch', 'mass_unit' : '', 'mass_quantity' : '0', 'volume_unit' : '1', 'volume_quantity' : '1', 'pieces_unit' : '', 'pieces_quantity' : '0', 'cooking_notes' : ''}).status_code; print('%s :: %s :: %s :: %s :: %s' %(a,1242,'akkha madrasi mirch','akkha madrasi mirchi','KURMURA SPICY'))</t>
  </si>
  <si>
    <t xml:space="preserve">a = Client().post('/recipes/sweet-corn-boild-bhutta/detail/', {'recipe' : '75', 'ingredient' : '188', 'name' : 'sweet corn', 'mass_unit' : '', 'mass_quantity' : '0', 'volume_unit' : '', 'volume_quantity' : '0', 'pieces_unit' : '3', 'pieces_quantity' : '80', 'cooking_notes' : ''}).status_code; print('%s :: %s :: %s :: %s :: %s' %(a,1244,'sweet corn','sweet corn','SWEET CORN BOILD BHUTTA'))</t>
  </si>
  <si>
    <t xml:space="preserve">a = Client().post('/recipes/sweet-corn-boild-bhutta/detail/', {'recipe' : '75', 'ingredient' : '32', 'name' : 'black salt', 'mass_unit' : '', 'mass_quantity' : '0', 'volume_unit' : '5', 'volume_quantity' : '0.5', 'pieces_unit' : '', 'pieces_quantity' : '0', 'cooking_notes' : ''}).status_code; print('%s :: %s :: %s :: %s :: %s' %(a,1245,'black salt','black salt','SWEET CORN BOILD BHUTTA'))</t>
  </si>
  <si>
    <t xml:space="preserve">a = Client().post('/recipes/alu-churchury/detail/', {'recipe' : '3', 'ingredient' : '8', 'name' : 'potato', 'mass_unit' : '2', 'mass_quantity' : '12', 'volume_unit' : '', 'volume_quantity' : '0', 'pieces_unit' : '', 'pieces_quantity' : '0', 'cooking_notes' : ''}).status_code; print('%s :: %s :: %s :: %s :: %s' %(a,1247,'potato','alu','ALU CHURCHURY'))</t>
  </si>
  <si>
    <t xml:space="preserve">a = Client().post('/recipes/alu-churchury/detail/', {'recipe' : '3', 'ingredient' : '66', 'name' : 'dhaniya patta', 'mass_unit' : '', 'mass_quantity' : '0', 'volume_unit' : '1', 'volume_quantity' : '0.5', 'pieces_unit' : '', 'pieces_quantity' : '0', 'cooking_notes' : ''}).status_code; print('%s :: %s :: %s :: %s :: %s' %(a,1248,'dhaniya patta','dhaniya patta','ALU CHURCHURY'))</t>
  </si>
  <si>
    <t xml:space="preserve">a = Client().post('/recipes/alu-churchury/detail/', {'recipe' : '3', 'ingredient' : '164', 'name' : 'rai', 'mass_unit' : '', 'mass_quantity' : '0', 'volume_unit' : '5', 'volume_quantity' : '0.5', 'pieces_unit' : '', 'pieces_quantity' : '0', 'cooking_notes' : ''}).status_code; print('%s :: %s :: %s :: %s :: %s' %(a,1249,'rai','rai','ALU CHURCHURY'))</t>
  </si>
  <si>
    <t xml:space="preserve">a = Client().post('/recipes/alu-churchury/detail/', {'recipe' : '3', 'ingredient' : '95', 'name' : 'hing', 'mass_unit' : '', 'mass_quantity' : '0', 'volume_unit' : '5', 'volume_quantity' : '0.25', 'pieces_unit' : '', 'pieces_quantity' : '0', 'cooking_notes' : ''}).status_code; print('%s :: %s :: %s :: %s :: %s' %(a,1250,'hing','hing','ALU CHURCHURY'))</t>
  </si>
  <si>
    <t xml:space="preserve">a = Client().post('/recipes/alu-churchury/detail/', {'recipe' : '3', 'ingredient' : '91', 'name' : 'haldi', 'mass_unit' : '', 'mass_quantity' : '0', 'volume_unit' : '5', 'volume_quantity' : '0.5', 'pieces_unit' : '', 'pieces_quantity' : '0', 'cooking_notes' : ''}).status_code; print('%s :: %s :: %s :: %s :: %s' %(a,1251,'haldi','haldi','ALU CHURCHURY'))</t>
  </si>
  <si>
    <t xml:space="preserve">a = Client().post('/recipes/alu-churchury/detail/', {'recipe' : '3', 'ingredient' : '135', 'name' : 'madrasi chilli powder', 'mass_unit' : '', 'mass_quantity' : '0', 'volume_unit' : '5', 'volume_quantity' : '0.5', 'pieces_unit' : '', 'pieces_quantity' : '0', 'cooking_notes' : ''}).status_code; print('%s :: %s :: %s :: %s :: %s' %(a,1252,'madrasi chilli powder','madrasi mirchi powder','ALU CHURCHURY'))</t>
  </si>
  <si>
    <t xml:space="preserve">a = Client().post('/recipes/alu-churchury/detail/', {'recipe' : '3', 'ingredient' : '117', 'name' : 'kashmiri chilly powder', 'mass_unit' : '', 'mass_quantity' : '0', 'volume_unit' : '5', 'volume_quantity' : '0.5', 'pieces_unit' : '', 'pieces_quantity' : '0', 'cooking_notes' : ''}).status_code; print('%s :: %s :: %s :: %s :: %s' %(a,1253,'kashmiri chilly powder','kashmiri chilly powder','ALU CHURCHURY'))</t>
  </si>
  <si>
    <t xml:space="preserve">a = Client().post('/recipes/alu-churchury/detail/', {'recipe' : '3', 'ingredient' : '83', 'name' : 'oil (ground nut)', 'mass_unit' : '', 'mass_quantity' : '0', 'volume_unit' : '1', 'volume_quantity' : '1.5', 'pieces_unit' : '', 'pieces_quantity' : '0', 'cooking_notes' : ''}).status_code; print('%s :: %s :: %s :: %s :: %s' %(a,1254,'oil (ground nut)','gound nut oil','ALU CHURCHURY'))</t>
  </si>
  <si>
    <t xml:space="preserve">a = Client().post('/recipes/alu-churchury/detail/', {'recipe' : '3', 'ingredient' : '177', 'name' : 'salt', 'mass_unit' : '', 'mass_quantity' : '0', 'volume_unit' : '5', 'volume_quantity' : '0.8', 'pieces_unit' : '', 'pieces_quantity' : '0', 'cooking_notes' : ''}).status_code; print('%s :: %s :: %s :: %s :: %s' %(a,1255,'salt','salt','ALU CHURCHURY'))</t>
  </si>
  <si>
    <t xml:space="preserve">a = Client().post('/recipes/pav/detail/', {'recipe' : '57', 'ingredient' : '207', 'name' : 'whole wheat flour', 'mass_unit' : '2', 'mass_quantity' : '3', 'volume_unit' : '', 'volume_quantity' : '0', 'pieces_unit' : '', 'pieces_quantity' : '0', 'cooking_notes' : ''}).status_code; print('%s :: %s :: %s :: %s :: %s' %(a,1257,'whole wheat flour','whole wheat flour','PAV'))</t>
  </si>
  <si>
    <t xml:space="preserve">a = Client().post('/recipes/pav/detail/', {'recipe' : '57', 'ingredient' : '139', 'name' : 'maida', 'mass_unit' : '2', 'mass_quantity' : '2', 'volume_unit' : '', 'volume_quantity' : '0', 'pieces_unit' : '', 'pieces_quantity' : '0', 'cooking_notes' : ''}).status_code; print('%s :: %s :: %s :: %s :: %s' %(a,1258,'maida','maida','PAV'))</t>
  </si>
  <si>
    <t xml:space="preserve">a = Client().post('/recipes/pav/detail/', {'recipe' : '57', 'ingredient' : '35', 'name' : 'bread improver', 'mass_unit' : '7', 'mass_quantity' : '12', 'volume_unit' : '', 'volume_quantity' : '0', 'pieces_unit' : '', 'pieces_quantity' : '0', 'cooking_notes' : ''}).status_code; print('%s :: %s :: %s :: %s :: %s' %(a,1259,'bread improver','bread improver','PAV'))</t>
  </si>
  <si>
    <t xml:space="preserve">a = Client().post('/recipes/pav/detail/', {'recipe' : '57', 'ingredient' : '41', 'name' : 'calcium', 'mass_unit' : '7', 'mass_quantity' : '12', 'volume_unit' : '', 'volume_quantity' : '0', 'pieces_unit' : '', 'pieces_quantity' : '0', 'cooking_notes' : ''}).status_code; print('%s :: %s :: %s :: %s :: %s' %(a,1260,'calcium','calcium','PAV'))</t>
  </si>
  <si>
    <t xml:space="preserve">a = Client().post('/recipes/pav/detail/', {'recipe' : '57', 'ingredient' : '208', 'name' : 'yeast', 'mass_unit' : '7', 'mass_quantity' : '36', 'volume_unit' : '', 'volume_quantity' : '0', 'pieces_unit' : '', 'pieces_quantity' : '0', 'cooking_notes' : ''}).status_code; print('%s :: %s :: %s :: %s :: %s' %(a,1261,'yeast','yeast','PAV'))</t>
  </si>
  <si>
    <t xml:space="preserve">a = Client().post('/recipes/pav/detail/', {'recipe' : '57', 'ingredient' : '187', 'name' : 'sugar', 'mass_unit' : '7', 'mass_quantity' : '125', 'volume_unit' : '', 'volume_quantity' : '0', 'pieces_unit' : '', 'pieces_quantity' : '0', 'cooking_notes' : ''}).status_code; print('%s :: %s :: %s :: %s :: %s' %(a,1262,'sugar','sugar','PAV'))</t>
  </si>
  <si>
    <t xml:space="preserve">a = Client().post('/recipes/pav/detail/', {'recipe' : '57', 'ingredient' : '89', 'name' : 'ground nut oil', 'mass_unit' : '', 'mass_quantity' : '0', 'volume_unit' : '5', 'volume_quantity' : '1', 'pieces_unit' : '', 'pieces_quantity' : '0', 'cooking_notes' : ''}).status_code; print('%s :: %s :: %s :: %s :: %s' %(a,1263,'ground nut oil','ground nut oil','PAV'))</t>
  </si>
  <si>
    <t xml:space="preserve">a = Client().post('/recipes/pav/detail/', {'recipe' : '57', 'ingredient' : '177', 'name' : 'salt', 'mass_unit' : '', 'mass_quantity' : '0', 'volume_unit' : '5', 'volume_quantity' : '0.7', 'pieces_unit' : '', 'pieces_quantity' : '0', 'cooking_notes' : ''}).status_code; print('%s :: %s :: %s :: %s :: %s' %(a,1264,'salt','salt','PAV'))</t>
  </si>
  <si>
    <t xml:space="preserve">a = Client().post('/recipes/rasam/detail/', {'recipe' : '64', 'ingredient' : '195', 'name' : 'tomato -pulvarize w/o jali', 'mass_unit' : '2', 'mass_quantity' : '3.5', 'volume_unit' : '', 'volume_quantity' : '0', 'pieces_unit' : '', 'pieces_quantity' : '0', 'cooking_notes' : ''}).status_code; print('%s :: %s :: %s :: %s :: %s' %(a,1267,'tomato -pulvarize w/o jali','tomato','RASAM'))</t>
  </si>
  <si>
    <t xml:space="preserve">a = Client().post('/recipes/rasam/detail/', {'recipe' : '64', 'ingredient' : '66', 'name' : 'dhania patta', 'mass_unit' : '', 'mass_quantity' : '0', 'volume_unit' : '1', 'volume_quantity' : '1', 'pieces_unit' : '', 'pieces_quantity' : '0', 'cooking_notes' : ''}).status_code; print('%s :: %s :: %s :: %s :: %s' %(a,1268,'dhania patta','dhaniya patta','RASAM'))</t>
  </si>
  <si>
    <t xml:space="preserve">a = Client().post('/recipes/rasam/detail/', {'recipe' : '64', 'ingredient' : '105', 'name' : 'kadipatta', 'mass_unit' : '', 'mass_quantity' : '0', 'volume_unit' : '1', 'volume_quantity' : '1', 'pieces_unit' : '', 'pieces_quantity' : '0', 'cooking_notes' : ''}).status_code; print('%s :: %s :: %s :: %s :: %s' %(a,1269,'kadipatta','kadi patta','RASAM'))</t>
  </si>
  <si>
    <t xml:space="preserve">a = Client().post('/recipes/rasam/detail/', {'recipe' : '64', 'ingredient' : '198', 'name' : 'tur dal', 'mass_unit' : '2', 'mass_quantity' : '1', 'volume_unit' : '', 'volume_quantity' : '0', 'pieces_unit' : '', 'pieces_quantity' : '0', 'cooking_notes' : ''}).status_code; print('%s :: %s :: %s :: %s :: %s' %(a,1270,'tur dal','tur dal','RASAM'))</t>
  </si>
  <si>
    <t xml:space="preserve">a = Client().post('/recipes/rasam/detail/', {'recipe' : '64', 'ingredient' : '98', 'name' : 'imli', 'mass_unit' : '7', 'mass_quantity' : '200', 'volume_unit' : '', 'volume_quantity' : '0', 'pieces_unit' : '', 'pieces_quantity' : '0', 'cooking_notes' : ''}).status_code; print('%s :: %s :: %s :: %s :: %s' %(a,1271,'imli','imli','RASAM'))</t>
  </si>
  <si>
    <t xml:space="preserve">a = Client().post('/recipes/rasam/detail/', {'recipe' : '64', 'ingredient' : '91', 'name' : 'haldi', 'mass_unit' : '', 'mass_quantity' : '0', 'volume_unit' : '5', 'volume_quantity' : '0.5', 'pieces_unit' : '', 'pieces_quantity' : '0', 'cooking_notes' : ''}).status_code; print('%s :: %s :: %s :: %s :: %s' %(a,1272,'haldi','haldi','RASAM'))</t>
  </si>
  <si>
    <t xml:space="preserve">a = Client().post('/recipes/rasam/detail/', {'recipe' : '64', 'ingredient' : '95', 'name' : 'hing', 'mass_unit' : '', 'mass_quantity' : '0', 'volume_unit' : '5', 'volume_quantity' : '0.25', 'pieces_unit' : '', 'pieces_quantity' : '0', 'cooking_notes' : ''}).status_code; print('%s :: %s :: %s :: %s :: %s' %(a,1273,'hing','hing','RASAM'))</t>
  </si>
  <si>
    <t xml:space="preserve">a = Client().post('/recipes/rasam/detail/', {'recipe' : '64', 'ingredient' : '148', 'name' : 'MTR rasam masala', 'mass_unit' : '', 'mass_quantity' : '0', 'volume_unit' : '5', 'volume_quantity' : '1.5', 'pieces_unit' : '', 'pieces_quantity' : '0', 'cooking_notes' : ''}).status_code; print('%s :: %s :: %s :: %s :: %s' %(a,1274,'MTR rasam masala','mtr rasam masala','RASAM'))</t>
  </si>
  <si>
    <t xml:space="preserve">a = Client().post('/recipes/rasam/detail/', {'recipe' : '64', 'ingredient' : '177', 'name' : 'salt', 'mass_unit' : '', 'mass_quantity' : '0', 'volume_unit' : '5', 'volume_quantity' : '1.7', 'pieces_unit' : '', 'pieces_quantity' : '0', 'cooking_notes' : ''}).status_code; print('%s :: %s :: %s :: %s :: %s' %(a,1275,'salt','salt','RASAM'))</t>
  </si>
  <si>
    <t xml:space="preserve">a = Client().post('/recipes/rasam/detail/', {'recipe' : '64', 'ingredient' : '90', 'name' : 'gud', 'mass_unit' : '7', 'mass_quantity' : '300', 'volume_unit' : '', 'volume_quantity' : '0', 'pieces_unit' : '', 'pieces_quantity' : '0', 'cooking_notes' : ''}).status_code; print('%s :: %s :: %s :: %s :: %s' %(a,1276,'gud','gud','RASAM'))</t>
  </si>
  <si>
    <t xml:space="preserve">a = Client().post('/recipes/rasam/detail/', {'recipe' : '64', 'ingredient' : '89', 'name' : 'ground nut oil', 'mass_unit' : '', 'mass_quantity' : '0', 'volume_unit' : '1', 'volume_quantity' : '0.5', 'pieces_unit' : '', 'pieces_quantity' : '0', 'cooking_notes' : ''}).status_code; print('%s :: %s :: %s :: %s :: %s' %(a,1277,'ground nut oil','ground nut oil','RASAM'))</t>
  </si>
  <si>
    <t xml:space="preserve">a = Client().post('/recipes/rasam/detail/', {'recipe' : '64', 'ingredient' : '164', 'name' : 'rai', 'mass_unit' : '', 'mass_quantity' : '0', 'volume_unit' : '5', 'volume_quantity' : '0.75', 'pieces_unit' : '', 'pieces_quantity' : '0', 'cooking_notes' : ''}).status_code; print('%s :: %s :: %s :: %s :: %s' %(a,1278,'rai','rai','RASAM'))</t>
  </si>
  <si>
    <t xml:space="preserve">a = Client().post('/recipes/ekadashi-chutney/detail/', {'recipe' : '22', 'ingredient' : '54', 'name' : 'coconut', 'mass_unit' : '', 'mass_quantity' : '0', 'volume_unit' : '', 'volume_quantity' : '0', 'pieces_unit' : '3', 'pieces_quantity' : '7', 'cooking_notes' : ''}).status_code; print('%s :: %s :: %s :: %s :: %s' %(a,1280,'coconut','coconut','EKADASHI CHUTNEY'))</t>
  </si>
  <si>
    <t xml:space="preserve">a = Client().post('/recipes/ekadashi-chutney/detail/', {'recipe' : '22', 'ingredient' : '162', 'name' : 'pudina', 'mass_unit' : '', 'mass_quantity' : '0', 'volume_unit' : '', 'volume_quantity' : '0', 'pieces_unit' : '', 'pieces_quantity' : '2', 'cooking_notes' : ''}).status_code; print('%s :: %s :: %s :: %s :: %s' %(a,1281,'pudina','pudina','EKADASHI CHUTNEY'))</t>
  </si>
  <si>
    <t xml:space="preserve">a = Client().post('/recipes/ekadashi-chutney/detail/', {'recipe' : '22', 'ingredient' : '129', 'name' : 'lemon juice', 'mass_unit' : '', 'mass_quantity' : '0', 'volume_unit' : '5', 'volume_quantity' : '1', 'pieces_unit' : '', 'pieces_quantity' : '0', 'cooking_notes' : ''}).status_code; print('%s :: %s :: %s :: %s :: %s' %(a,1282,'lemon juice','lemon','EKADASHI CHUTNEY'))</t>
  </si>
  <si>
    <t xml:space="preserve">a = Client().post('/recipes/ekadashi-chutney/detail/', {'recipe' : '22', 'ingredient' : '66', 'name' : 'dhaniya patta', 'mass_unit' : '', 'mass_quantity' : '0', 'volume_unit' : '', 'volume_quantity' : '0', 'pieces_unit' : '', 'pieces_quantity' : '1', 'cooking_notes' : ''}).status_code; print('%s :: %s :: %s :: %s :: %s' %(a,1283,'dhaniya patta','dhaniya patta','EKADASHI CHUTNEY'))</t>
  </si>
  <si>
    <t xml:space="preserve">a = Client().post('/recipes/ekadashi-chutney/detail/', {'recipe' : '22', 'ingredient' : '1', 'name' : 'adrak paste', 'mass_unit' : '', 'mass_quantity' : '0', 'volume_unit' : '5', 'volume_quantity' : '1', 'pieces_unit' : '', 'pieces_quantity' : '0', 'cooking_notes' : ''}).status_code; print('%s :: %s :: %s :: %s :: %s' %(a,1284,'adrak paste','adrak','EKADASHI CHUTNEY'))</t>
  </si>
  <si>
    <t xml:space="preserve">a = Client().post('/recipes/ekadashi-chutney/detail/', {'recipe' : '22', 'ingredient' : '105', 'name' : 'kadipatta', 'mass_unit' : '', 'mass_quantity' : '0', 'volume_unit' : '5', 'volume_quantity' : '1', 'pieces_unit' : '', 'pieces_quantity' : '0', 'cooking_notes' : ''}).status_code; print('%s :: %s :: %s :: %s :: %s' %(a,1285,'kadipatta','kadi patta','EKADASHI CHUTNEY'))</t>
  </si>
  <si>
    <t xml:space="preserve">a = Client().post('/recipes/ekadashi-chutney/detail/', {'recipe' : '22', 'ingredient' : '55', 'name' : 'coconut oil', 'mass_unit' : '', 'mass_quantity' : '0', 'volume_unit' : '12', 'volume_quantity' : '250', 'pieces_unit' : '', 'pieces_quantity' : '0', 'cooking_notes' : ''}).status_code; print('%s :: %s :: %s :: %s :: %s' %(a,1286,'coconut oil','coconut oil','EKADASHI CHUTNEY'))</t>
  </si>
  <si>
    <t xml:space="preserve">a = Client().post('/recipes/ekadashi-chutney/detail/', {'recipe' : '22', 'ingredient' : '102', 'name' : 'jeera', 'mass_unit' : '', 'mass_quantity' : '0', 'volume_unit' : '5', 'volume_quantity' : '0.5', 'pieces_unit' : '', 'pieces_quantity' : '0', 'cooking_notes' : ''}).status_code; print('%s :: %s :: %s :: %s :: %s' %(a,1287,'jeera','jeera','EKADASHI CHUTNEY'))</t>
  </si>
  <si>
    <t xml:space="preserve">a = Client().post('/recipes/ekadashi-chutney/detail/', {'recipe' : '22', 'ingredient' : '6', 'name' : 'akkha madrasi/kashmiri mirch', 'mass_unit' : '', 'mass_quantity' : '0', 'volume_unit' : '5', 'volume_quantity' : '1', 'pieces_unit' : '', 'pieces_quantity' : '0', 'cooking_notes' : ''}).status_code; print('%s :: %s :: %s :: %s :: %s' %(a,1288,'akkha madrasi/kashmiri mirch','akkha madrasi mirchi','EKADASHI CHUTNEY'))</t>
  </si>
  <si>
    <t xml:space="preserve">a = Client().post('/recipes/rajgira-malt-for-ekadashi/detail/', {'recipe' : '63', 'ingredient' : '214', 'name' : 'water', 'mass_unit' : '', 'mass_quantity' : '0', 'volume_unit' : '1', 'volume_quantity' : '60', 'pieces_unit' : '', 'pieces_quantity' : '0', 'cooking_notes' : ''}).status_code; print('%s :: %s :: %s :: %s :: %s' %(a,1290,'water','water','RAJGIRA  MALT FOR EKADASHI'))</t>
  </si>
  <si>
    <t xml:space="preserve">a = Client().post('/recipes/rajgira-malt-for-ekadashi/detail/', {'recipe' : '63', 'ingredient' : '166', 'name' : 'rajgira atta', 'mass_unit' : '2', 'mass_quantity' : '2', 'volume_unit' : '', 'volume_quantity' : '0', 'pieces_unit' : '', 'pieces_quantity' : '0', 'cooking_notes' : ''}).status_code; print('%s :: %s :: %s :: %s :: %s' %(a,1291,'rajgira atta','rajgira atta','RAJGIRA  MALT FOR EKADASHI'))</t>
  </si>
  <si>
    <t xml:space="preserve">a = Client().post('/recipes/rajgira-malt-for-ekadashi/detail/', {'recipe' : '63', 'ingredient' : '90', 'name' : 'jaggary', 'mass_unit' : '2', 'mass_quantity' : '7', 'volume_unit' : '', 'volume_quantity' : '0', 'pieces_unit' : '', 'pieces_quantity' : '0', 'cooking_notes' : ''}).status_code; print('%s :: %s :: %s :: %s :: %s' %(a,1292,'jaggary','gud','RAJGIRA  MALT FOR EKADASHI'))</t>
  </si>
  <si>
    <t xml:space="preserve">a = Client().post('/recipes/lemon-juice/detail/', {'recipe' : '43', 'ingredient' : '129', 'name' : 'lemon juice', 'mass_unit' : '', 'mass_quantity' : '0', 'volume_unit' : '1', 'volume_quantity' : '1', 'pieces_unit' : '', 'pieces_quantity' : '0', 'cooking_notes' : ''}).status_code; print('%s :: %s :: %s :: %s :: %s' %(a,1294,'lemon juice','lemon','LEMON JUICE'))</t>
  </si>
  <si>
    <t xml:space="preserve">a = Client().post('/recipes/lemon-juice/detail/', {'recipe' : '43', 'ingredient' : '214', 'name' : 'water', 'mass_unit' : '', 'mass_quantity' : '0', 'volume_unit' : '1', 'volume_quantity' : '35', 'pieces_unit' : '', 'pieces_quantity' : '0', 'cooking_notes' : ''}).status_code; print('%s :: %s :: %s :: %s :: %s' %(a,1295,'water','water','LEMON JUICE'))</t>
  </si>
  <si>
    <t xml:space="preserve">a = Client().post('/recipes/lemon-juice/detail/', {'recipe' : '43', 'ingredient' : '187', 'name' : 'sugar', 'mass_unit' : '2', 'mass_quantity' : '3', 'volume_unit' : '', 'volume_quantity' : '0', 'pieces_unit' : '', 'pieces_quantity' : '0', 'cooking_notes' : ''}).status_code; print('%s :: %s :: %s :: %s :: %s' %(a,1296,'sugar','sugar','LEMON JUICE'))</t>
  </si>
  <si>
    <t xml:space="preserve">a = Client().post('/recipes/lemon-juice/detail/', {'recipe' : '43', 'ingredient' : '32', 'name' : 'black salt', 'mass_unit' : '', 'mass_quantity' : '0', 'volume_unit' : '5', 'volume_quantity' : '0.5', 'pieces_unit' : '', 'pieces_quantity' : '0', 'cooking_notes' : ''}).status_code; print('%s :: %s :: %s :: %s :: %s' %(a,1297,'black salt','black salt','LEMON JUICE'))</t>
  </si>
  <si>
    <t xml:space="preserve">a = Client().post('/recipes/lemon-juice/detail/', {'recipe' : '43', 'ingredient' : '177', 'name' : 'regular salt', 'mass_unit' : '', 'mass_quantity' : '0', 'volume_unit' : '5', 'volume_quantity' : '0.5', 'pieces_unit' : '', 'pieces_quantity' : '0', 'cooking_notes' : ''}).status_code; print('%s :: %s :: %s :: %s :: %s' %(a,1298,'regular salt','salt','LEMON JUICE'))</t>
  </si>
  <si>
    <t xml:space="preserve">a = Client().post('/recipes/ginger-lemon-tea/detail/', {'recipe' : '27', 'ingredient' : '1', 'name' : 'ginger paste', 'mass_unit' : '', 'mass_quantity' : '0', 'volume_unit' : '1', 'volume_quantity' : '1', 'pieces_unit' : '', 'pieces_quantity' : '0', 'cooking_notes' : ''}).status_code; print('%s :: %s :: %s :: %s :: %s' %(a,1300,'ginger paste','adrak','GINGER LEMON TEA'))</t>
  </si>
  <si>
    <t xml:space="preserve">a = Client().post('/recipes/ginger-lemon-tea/detail/', {'recipe' : '27', 'ingredient' : '90', 'name' : 'jaggary', 'mass_unit' : '2', 'mass_quantity' : '4', 'volume_unit' : '', 'volume_quantity' : '0', 'pieces_unit' : '', 'pieces_quantity' : '0', 'cooking_notes' : ''}).status_code; print('%s :: %s :: %s :: %s :: %s' %(a,1301,'jaggary','gud','GINGER LEMON TEA'))</t>
  </si>
  <si>
    <t xml:space="preserve">a = Client().post('/recipes/ginger-lemon-tea/detail/', {'recipe' : '27', 'ingredient' : '129', 'name' : 'lemon juice', 'mass_unit' : '', 'mass_quantity' : '0', 'volume_unit' : '5', 'volume_quantity' : '1.5', 'pieces_unit' : '', 'pieces_quantity' : '0', 'cooking_notes' : ''}).status_code; print('%s :: %s :: %s :: %s :: %s' %(a,1302,'lemon juice','lemon','GINGER LEMON TEA'))</t>
  </si>
  <si>
    <t xml:space="preserve">a = Client().post('/recipes/ginger-lemon-tea/detail/', {'recipe' : '27', 'ingredient' : '214', 'name' : 'water', 'mass_unit' : '', 'mass_quantity' : '0', 'volume_unit' : '1', 'volume_quantity' : '35', 'pieces_unit' : '', 'pieces_quantity' : '0', 'cooking_notes' : ''}).status_code; print('%s :: %s :: %s :: %s :: %s' %(a,1303,'water','water','GINGER LEMON TEA'))</t>
  </si>
  <si>
    <t xml:space="preserve">a = Client().post('/recipes/ginger-lemon-tea/detail/', {'recipe' : '27', 'ingredient' : '31', 'name' : 'black pepper AKKHA', 'mass_unit' : '', 'mass_quantity' : '0', 'volume_unit' : '5', 'volume_quantity' : '0.15', 'pieces_unit' : '', 'pieces_quantity' : '0', 'cooking_notes' : ''}).status_code; print('%s :: %s :: %s :: %s :: %s' %(a,1304,'black pepper AKKHA','black pepper','GINGER LEMON TEA'))</t>
  </si>
  <si>
    <t xml:space="preserve">a = Client().post('/recipes/ginger-lemon-tea/detail/', {'recipe' : '27', 'ingredient' : '191', 'name' : 'tej patta', 'mass_unit' : '', 'mass_quantity' : '0', 'volume_unit' : '1', 'volume_quantity' : '0.5', 'pieces_unit' : '', 'pieces_quantity' : '0', 'cooking_notes' : ''}).status_code; print('%s :: %s :: %s :: %s :: %s' %(a,1305,'tej patta','tej patta','GINGER LEMON TEA'))</t>
  </si>
  <si>
    <t xml:space="preserve">a = Client().post('/recipes/ginger-lemon-tea/detail/', {'recipe' : '27', 'ingredient' : '61', 'name' : 'DALCHINI', 'mass_unit' : '', 'mass_quantity' : '0', 'volume_unit' : '5', 'volume_quantity' : '0.15', 'pieces_unit' : '', 'pieces_quantity' : '0', 'cooking_notes' : ''}).status_code; print('%s :: %s :: %s :: %s :: %s' %(a,1306,'DALCHINI','dalchini','GINGER LEMON TEA'))</t>
  </si>
  <si>
    <t xml:space="preserve">a = Client().post('/recipes/panna/detail/', {'recipe' : '54', 'ingredient' : '104', 'name' : 'kacca Aam', 'mass_unit' : '2', 'mass_quantity' : '4', 'volume_unit' : '', 'volume_quantity' : '0', 'pieces_unit' : '', 'pieces_quantity' : '0', 'cooking_notes' : ''}).status_code; print('%s :: %s :: %s :: %s :: %s' %(a,1308,'kacca Aam','kaccha aam','PANNA'))</t>
  </si>
  <si>
    <t xml:space="preserve">a = Client().post('/recipes/panna/detail/', {'recipe' : '54', 'ingredient' : '162', 'name' : 'pudina', 'mass_unit' : '', 'mass_quantity' : '0', 'volume_unit' : '5', 'volume_quantity' : '2', 'pieces_unit' : '', 'pieces_quantity' : '0', 'cooking_notes' : ''}).status_code; print('%s :: %s :: %s :: %s :: %s' %(a,1309,'pudina','pudina','PANNA'))</t>
  </si>
  <si>
    <t xml:space="preserve">a = Client().post('/recipes/panna/detail/', {'recipe' : '54', 'ingredient' : '214', 'name' : 'water', 'mass_unit' : '', 'mass_quantity' : '0', 'volume_unit' : '1', 'volume_quantity' : '35', 'pieces_unit' : '', 'pieces_quantity' : '0', 'cooking_notes' : ''}).status_code; print('%s :: %s :: %s :: %s :: %s' %(a,1310,'water','water','PANNA'))</t>
  </si>
  <si>
    <t xml:space="preserve">a = Client().post('/recipes/panna/detail/', {'recipe' : '54', 'ingredient' : '187', 'name' : 'sugar', 'mass_unit' : '2', 'mass_quantity' : '4', 'volume_unit' : '', 'volume_quantity' : '0', 'pieces_unit' : '', 'pieces_quantity' : '0', 'cooking_notes' : ''}).status_code; print('%s :: %s :: %s :: %s :: %s' %(a,1311,'sugar','sugar','PANNA'))</t>
  </si>
  <si>
    <t xml:space="preserve">a = Client().post('/recipes/panna/detail/', {'recipe' : '54', 'ingredient' : '32', 'name' : 'black salt', 'mass_unit' : '', 'mass_quantity' : '0', 'volume_unit' : '5', 'volume_quantity' : '0.5', 'pieces_unit' : '', 'pieces_quantity' : '0', 'cooking_notes' : ''}).status_code; print('%s :: %s :: %s :: %s :: %s' %(a,1312,'black salt','black salt','PANNA'))</t>
  </si>
  <si>
    <t xml:space="preserve">a = Client().post('/recipes/kokam/detail/', {'recipe' : '38', 'ingredient' : '124', 'name' : 'kokam juice', 'mass_unit' : '', 'mass_quantity' : '0', 'volume_unit' : '1', 'volume_quantity' : '0.5', 'pieces_unit' : '', 'pieces_quantity' : '0', 'cooking_notes' : ''}).status_code; print('%s :: %s :: %s :: %s :: %s' %(a,1314,'kokam juice','kokam juice','KOKAM'))</t>
  </si>
  <si>
    <t xml:space="preserve">a = Client().post('/recipes/kokam/detail/', {'recipe' : '38', 'ingredient' : '214', 'name' : 'water', 'mass_unit' : '', 'mass_quantity' : '0', 'volume_unit' : '1', 'volume_quantity' : '35', 'pieces_unit' : '', 'pieces_quantity' : '0', 'cooking_notes' : ''}).status_code; print('%s :: %s :: %s :: %s :: %s' %(a,1315,'water','water','KOKAM'))</t>
  </si>
  <si>
    <t xml:space="preserve">a = Client().post('/recipes/kokam/detail/', {'recipe' : '38', 'ingredient' : '187', 'name' : 'sugar', 'mass_unit' : '2', 'mass_quantity' : '3', 'volume_unit' : '', 'volume_quantity' : '0', 'pieces_unit' : '', 'pieces_quantity' : '0', 'cooking_notes' : ''}).status_code; print('%s :: %s :: %s :: %s :: %s' %(a,1316,'sugar','sugar','KOKAM'))</t>
  </si>
  <si>
    <t xml:space="preserve">a = Client().post('/recipes/kokam/detail/', {'recipe' : '38', 'ingredient' : '32', 'name' : 'black salt', 'mass_unit' : '', 'mass_quantity' : '0', 'volume_unit' : '5', 'volume_quantity' : '0.75', 'pieces_unit' : '', 'pieces_quantity' : '0', 'cooking_notes' : ''}).status_code; print('%s :: %s :: %s :: %s :: %s' %(a,1317,'black salt','black salt','KOKAM'))</t>
  </si>
  <si>
    <t xml:space="preserve">a = Client().post('/recipes/kokam/detail/', {'recipe' : '38', 'ingredient' : '103', 'name' : 'jeera powder', 'mass_unit' : '', 'mass_quantity' : '0', 'volume_unit' : '5', 'volume_quantity' : '0.5', 'pieces_unit' : '', 'pieces_quantity' : '0', 'cooking_notes' : ''}).status_code; print('%s :: %s :: %s :: %s :: %s' %(a,1318,'jeera powder','jeera powder','KOKAM'))</t>
  </si>
  <si>
    <t xml:space="preserve">a = Client().post('/recipes/pav-herbal-tea/detail/', {'recipe' : '58', 'ingredient' : '159', 'name' : 'PAV', 'mass_unit' : '', 'mass_quantity' : '0', 'volume_unit' : '', 'volume_quantity' : '0', 'pieces_unit' : '3', 'pieces_quantity' : '400', 'cooking_notes' : ''}).status_code; print('%s :: %s :: %s :: %s :: %s' %(a,1320,'PAV','pav','PAV - HERBAL TEA'))</t>
  </si>
  <si>
    <t xml:space="preserve">a = Client().post('/recipes/pav-bhaji/detail/', {'recipe' : '59', 'ingredient' : '94', 'name' : 'herbal tea', 'mass_unit' : '', 'mass_quantity' : '0', 'volume_unit' : '1', 'volume_quantity' : '60', 'pieces_unit' : '', 'pieces_quantity' : '0', 'cooking_notes' : ''}).status_code; print('%s :: %s :: %s :: %s :: %s' %(a,1321,'herbal tea','herbal tea powder','Pav Bhaji'))</t>
  </si>
  <si>
    <t xml:space="preserve">a = Client().post('/recipes/rose-lemon-sabja/detail/', {'recipe' : '68', 'ingredient' : '174', 'name' : 'ROSE WATER', 'mass_unit' : '', 'mass_quantity' : '0', 'volume_unit' : '1', 'volume_quantity' : '3', 'pieces_unit' : '', 'pieces_quantity' : '0', 'cooking_notes' : ''}).status_code; print('%s :: %s :: %s :: %s :: %s' %(a,1323,'ROSE WATER','rose water','ROSE  LEMON SABJA'))</t>
  </si>
  <si>
    <t xml:space="preserve">a = Client().post('/recipes/rose-lemon-sabja/detail/', {'recipe' : '68', 'ingredient' : '129', 'name' : 'LEMON', 'mass_unit' : '', 'mass_quantity' : '0', 'volume_unit' : '5', 'volume_quantity' : '1', 'pieces_unit' : '', 'pieces_quantity' : '0', 'cooking_notes' : ''}).status_code; print('%s :: %s :: %s :: %s :: %s' %(a,1324,'LEMON','lemon','ROSE  LEMON SABJA'))</t>
  </si>
  <si>
    <t xml:space="preserve">a = Client().post('/recipes/rose-lemon-sabja/detail/', {'recipe' : '68', 'ingredient' : '175', 'name' : 'SABJA', 'mass_unit' : '', 'mass_quantity' : '0', 'volume_unit' : '9', 'volume_quantity' : '1', 'pieces_unit' : '', 'pieces_quantity' : '0', 'cooking_notes' : ''}).status_code; print('%s :: %s :: %s :: %s :: %s' %(a,1325,'SABJA','sabja','ROSE  LEMON SABJA'))</t>
  </si>
  <si>
    <t xml:space="preserve">a = Client().post('/recipes/rose-lemon-sabja/detail/', {'recipe' : '68', 'ingredient' : '187', 'name' : 'SUGAR', 'mass_unit' : '2', 'mass_quantity' : '2', 'volume_unit' : '', 'volume_quantity' : '0', 'pieces_unit' : '', 'pieces_quantity' : '0', 'cooking_notes' : ''}).status_code; print('%s :: %s :: %s :: %s :: %s' %(a,1326,'SUGAR','sugar','ROSE  LEMON SABJA'))</t>
  </si>
  <si>
    <t xml:space="preserve">a = Client().post('/recipes/tomato-chutney-for-noodles/detail/', {'recipe' : '80', 'ingredient' : '195', 'name' : 'tomato', 'mass_unit' : '2', 'mass_quantity' : '12', 'volume_unit' : '', 'volume_quantity' : '0', 'pieces_unit' : '', 'pieces_quantity' : '0', 'cooking_notes' : ''}).status_code; print('%s :: %s :: %s :: %s :: %s' %(a,1328,'tomato','tomato','TOMATO  CHUTNEY FOR NOODLES'))</t>
  </si>
  <si>
    <t xml:space="preserve">a = Client().post('/recipes/tomato-chutney-for-noodles/detail/', {'recipe' : '80', 'ingredient' : '83', 'name' : 'oil', 'mass_unit' : '', 'mass_quantity' : '0', 'volume_unit' : '12', 'volume_quantity' : '200', 'pieces_unit' : '', 'pieces_quantity' : '0', 'cooking_notes' : ''}).status_code; print('%s :: %s :: %s :: %s :: %s' %(a,1329,'oil','gound nut oil','TOMATO  CHUTNEY FOR NOODLES'))</t>
  </si>
  <si>
    <t xml:space="preserve">a = Client().post('/recipes/tomato-chutney-for-noodles/detail/', {'recipe' : '80', 'ingredient' : '95', 'name' : 'hing', 'mass_unit' : '', 'mass_quantity' : '0', 'volume_unit' : '5', 'volume_quantity' : '0.1', 'pieces_unit' : '', 'pieces_quantity' : '0', 'cooking_notes' : ''}).status_code; print('%s :: %s :: %s :: %s :: %s' %(a,1330,'hing','hing','TOMATO  CHUTNEY FOR NOODLES'))</t>
  </si>
  <si>
    <t xml:space="preserve">a = Client().post('/recipes/tomato-chutney-for-noodles/detail/', {'recipe' : '80', 'ingredient' : '117', 'name' : 'kashmiri powder', 'mass_unit' : '', 'mass_quantity' : '0', 'volume_unit' : '5', 'volume_quantity' : '0.5', 'pieces_unit' : '', 'pieces_quantity' : '0', 'cooking_notes' : ''}).status_code; print('%s :: %s :: %s :: %s :: %s' %(a,1331,'kashmiri powder','kashmiri chilly powder','TOMATO  CHUTNEY FOR NOODLES'))</t>
  </si>
  <si>
    <t xml:space="preserve">a = Client().post('/recipes/tomato-chutney-for-noodles/detail/', {'recipe' : '80', 'ingredient' : '187', 'name' : 'sugar', 'mass_unit' : '2', 'mass_quantity' : '2', 'volume_unit' : '', 'volume_quantity' : '0', 'pieces_unit' : '', 'pieces_quantity' : '0', 'cooking_notes' : ''}).status_code; print('%s :: %s :: %s :: %s :: %s' %(a,1332,'sugar','sugar','TOMATO  CHUTNEY FOR NOODLES'))</t>
  </si>
  <si>
    <t xml:space="preserve">a = Client().post('/recipes/tomato-chutney-for-noodles/detail/', {'recipe' : '80', 'ingredient' : '179', 'name' : 'sauf', 'mass_unit' : '', 'mass_quantity' : '0', 'volume_unit' : '5', 'volume_quantity' : '0.5', 'pieces_unit' : '', 'pieces_quantity' : '0', 'cooking_notes' : ''}).status_code; print('%s :: %s :: %s :: %s :: %s' %(a,1333,'sauf','sauf','TOMATO  CHUTNEY FOR NOODLES'))</t>
  </si>
  <si>
    <t xml:space="preserve">a = Client().post('/recipes/tomato-chutney-for-noodles/detail/', {'recipe' : '80', 'ingredient' : '191', 'name' : 'tejpat', 'mass_unit' : '', 'mass_quantity' : '0', 'volume_unit' : '5', 'volume_quantity' : '1', 'pieces_unit' : '', 'pieces_quantity' : '0', 'cooking_notes' : ''}).status_code; print('%s :: %s :: %s :: %s :: %s' %(a,1334,'tejpat','tej patta','TOMATO  CHUTNEY FOR NOODLES'))</t>
  </si>
  <si>
    <t xml:space="preserve">a = Client().post('/recipes/tomato-chutney-for-noodles/detail/', {'recipe' : '80', 'ingredient' : '177', 'name' : 'salt', 'mass_unit' : '', 'mass_quantity' : '0', 'volume_unit' : '5', 'volume_quantity' : '0.7', 'pieces_unit' : '', 'pieces_quantity' : '0', 'cooking_notes' : ''}).status_code; print('%s :: %s :: %s :: %s :: %s' %(a,1335,'salt','salt','TOMATO  CHUTNEY FOR NOODLES'))</t>
  </si>
  <si>
    <t xml:space="preserve">a = Client().post('/recipes/tomato-chutney-for-noodles/detail/', {'recipe' : '80', 'ingredient' : '135', 'name' : 'madrsi pw', 'mass_unit' : '', 'mass_quantity' : '0', 'volume_unit' : '5', 'volume_quantity' : '0.5', 'pieces_unit' : '', 'pieces_quantity' : '0', 'cooking_notes' : ''}).status_code; print('%s :: %s :: %s :: %s :: %s' %(a,1336,'madrsi pw','madrasi mirchi powder','TOMATO  CHUTNEY FOR NOODLES'))</t>
  </si>
  <si>
    <t xml:space="preserve">a = Client().post('/recipes/red-chutney/detail/', {'recipe' : '65', 'ingredient' : '64', 'name' : 'dates', 'mass_unit' : '2', 'mass_quantity' : '2', 'volume_unit' : '', 'volume_quantity' : '0', 'pieces_unit' : '', 'pieces_quantity' : '0', 'cooking_notes' : '1st boil dates,jaggary,imli '}).status_code; print('%s :: %s :: %s :: %s :: %s' %(a,1338,'dates','dates','RED CHUTNEY'))</t>
  </si>
  <si>
    <t xml:space="preserve">a = Client().post('/recipes/red-chutney/detail/', {'recipe' : '65', 'ingredient' : '90', 'name' : 'jaggary', 'mass_unit' : '2', 'mass_quantity' : '2', 'volume_unit' : '', 'volume_quantity' : '0', 'pieces_unit' : '', 'pieces_quantity' : '0', 'cooking_notes' : 'and then grind and put in chok'}).status_code; print('%s :: %s :: %s :: %s :: %s' %(a,1339,'jaggary','gud','RED CHUTNEY'))</t>
  </si>
  <si>
    <t xml:space="preserve">a = Client().post('/recipes/red-chutney/detail/', {'recipe' : '65', 'ingredient' : '98', 'name' : 'imli', 'mass_unit' : '7', 'mass_quantity' : '500', 'volume_unit' : '', 'volume_quantity' : '0', 'pieces_unit' : '', 'pieces_quantity' : '0', 'cooking_notes' : ''}).status_code; print('%s :: %s :: %s :: %s :: %s' %(a,1340,'imli','imli','RED CHUTNEY'))</t>
  </si>
  <si>
    <t xml:space="preserve">a = Client().post('/recipes/red-chutney/detail/', {'recipe' : '65', 'ingredient' : '211', 'name' : 'chok', 'mass_unit' : '', 'mass_quantity' : '0', 'volume_unit' : '', 'volume_quantity' : '0', 'pieces_unit' : '', 'pieces_quantity' : '0', 'cooking_notes' : ''}).status_code; print('%s :: %s :: %s :: %s :: %s' %(a,1341,'chok','chok','RED CHUTNEY'))</t>
  </si>
  <si>
    <t xml:space="preserve">a = Client().post('/recipes/red-chutney/detail/', {'recipe' : '65', 'ingredient' : '83', 'name' : 'oil', 'mass_unit' : '', 'mass_quantity' : '0', 'volume_unit' : '12', 'volume_quantity' : '200', 'pieces_unit' : '', 'pieces_quantity' : '0', 'cooking_notes' : ''}).status_code; print('%s :: %s :: %s :: %s :: %s' %(a,1342,'oil','gound nut oil','RED CHUTNEY'))</t>
  </si>
  <si>
    <t xml:space="preserve">a = Client().post('/recipes/red-chutney/detail/', {'recipe' : '65', 'ingredient' : '95', 'name' : 'hing', 'mass_unit' : '', 'mass_quantity' : '0', 'volume_unit' : '5', 'volume_quantity' : '0.1', 'pieces_unit' : '', 'pieces_quantity' : '0', 'cooking_notes' : ''}).status_code; print('%s :: %s :: %s :: %s :: %s' %(a,1343,'hing','hing','RED CHUTNEY'))</t>
  </si>
  <si>
    <t xml:space="preserve">a = Client().post('/recipes/red-chutney/detail/', {'recipe' : '65', 'ingredient' : '117', 'name' : 'kashmiri powder', 'mass_unit' : '', 'mass_quantity' : '0', 'volume_unit' : '', 'volume_quantity' : '0.5', 'pieces_unit' : '', 'pieces_quantity' : '0', 'cooking_notes' : ''}).status_code; print('%s :: %s :: %s :: %s :: %s' %(a,1344,'kashmiri powder','kashmiri chilly powder','RED CHUTNEY'))</t>
  </si>
  <si>
    <t xml:space="preserve">a = Client().post('/recipes/red-chutney/detail/', {'recipe' : '65', 'ingredient' : '187', 'name' : 'sugar', 'mass_unit' : '2', 'mass_quantity' : '2', 'volume_unit' : '', 'volume_quantity' : '0', 'pieces_unit' : '', 'pieces_quantity' : '0', 'cooking_notes' : ''}).status_code; print('%s :: %s :: %s :: %s :: %s' %(a,1345,'sugar','sugar','RED CHUTNEY'))</t>
  </si>
  <si>
    <t xml:space="preserve">a = Client().post('/recipes/red-chutney/detail/', {'recipe' : '65', 'ingredient' : '179', 'name' : 'sauf', 'mass_unit' : '', 'mass_quantity' : '0', 'volume_unit' : '5', 'volume_quantity' : '0.5', 'pieces_unit' : '', 'pieces_quantity' : '0', 'cooking_notes' : ''}).status_code; print('%s :: %s :: %s :: %s :: %s' %(a,1346,'sauf','sauf','RED CHUTNEY'))</t>
  </si>
  <si>
    <t xml:space="preserve">a = Client().post('/recipes/red-chutney/detail/', {'recipe' : '65', 'ingredient' : '191', 'name' : 'tejpat', 'mass_unit' : '', 'mass_quantity' : '0', 'volume_unit' : '5', 'volume_quantity' : '1', 'pieces_unit' : '', 'pieces_quantity' : '0', 'cooking_notes' : ''}).status_code; print('%s :: %s :: %s :: %s :: %s' %(a,1347,'tejpat','tej patta','RED CHUTNEY'))</t>
  </si>
  <si>
    <t xml:space="preserve">a = Client().post('/recipes/red-chutney/detail/', {'recipe' : '65', 'ingredient' : '177', 'name' : 'salt', 'mass_unit' : '', 'mass_quantity' : '0', 'volume_unit' : '5', 'volume_quantity' : '0.7', 'pieces_unit' : '', 'pieces_quantity' : '0', 'cooking_notes' : ''}).status_code; print('%s :: %s :: %s :: %s :: %s' %(a,1348,'salt','salt','RED CHUTNEY'))</t>
  </si>
  <si>
    <t xml:space="preserve">a = Client().post('/recipes/red-chutney/detail/', {'recipe' : '65', 'ingredient' : '135', 'name' : 'madrsi mirchi  pw', 'mass_unit' : '', 'mass_quantity' : '0', 'volume_unit' : '5', 'volume_quantity' : '0.5', 'pieces_unit' : '', 'pieces_quantity' : '0', 'cooking_notes' : ''}).status_code; print('%s :: %s :: %s :: %s :: %s' %(a,1349,'madrsi mirchi  pw','madrasi mirchi powder','RED CHUTNEY'))</t>
  </si>
  <si>
    <t xml:space="preserve">a = Client().post('/recipes/red-chutney/detail/', {'recipe' : '65', 'ingredient' : '67', 'name' : 'dhaniya powder', 'mass_unit' : '', 'mass_quantity' : '0', 'volume_unit' : '', 'volume_quantity' : '0', 'pieces_unit' : '', 'pieces_quantity' : '0', 'cooking_notes' : ''}).status_code; print('%s :: %s :: %s :: %s :: %s' %(a,1350,'dhaniya powder','dhaniya powder','RED CHUTNEY'))</t>
  </si>
  <si>
    <t xml:space="preserve">a = Client().post('/recipes/red-chutney/detail/', {'recipe' : '65', 'ingredient' : '103', 'name' : 'jeera powder', 'mass_unit' : '', 'mass_quantity' : '0', 'volume_unit' : '', 'volume_quantity' : '0', 'pieces_unit' : '', 'pieces_quantity' : '0', 'cooking_notes' : ''}).status_code; print('%s :: %s :: %s :: %s :: %s' %(a,1351,'jeera powder','jeera powder','RED CHUTNEY'))</t>
  </si>
  <si>
    <t xml:space="preserve">a = Client().post('/recipes/red-chutney/detail/', {'recipe' : '65', 'ingredient' : '80', 'name' : 'garam masala', 'mass_unit' : '', 'mass_quantity' : '0', 'volume_unit' : '', 'volume_quantity' : '0', 'pieces_unit' : '', 'pieces_quantity' : '0', 'cooking_notes' : ''}).status_code; print('%s :: %s :: %s :: %s :: %s' %(a,1352,'garam masala','garam masala','RED CHUTNEY'))</t>
  </si>
  <si>
    <t xml:space="preserve">a = Client().post('/recipes/fennel-tea/detail/', {'recipe' : '25', 'ingredient' : '129', 'name' : 'LEMON JUICE', 'mass_unit' : '', 'mass_quantity' : '0', 'volume_unit' : '5', 'volume_quantity' : '2.5', 'pieces_unit' : '', 'pieces_quantity' : '0', 'cooking_notes' : ''}).status_code; print('%s :: %s :: %s :: %s :: %s' %(a,1354,'LEMON JUICE','lemon','FENNEL TEA'))</t>
  </si>
  <si>
    <t xml:space="preserve">a = Client().post('/recipes/fennel-tea/detail/', {'recipe' : '25', 'ingredient' : '1', 'name' : 'ADRAK', 'mass_unit' : '', 'mass_quantity' : '0', 'volume_unit' : '1', 'volume_quantity' : '0.5', 'pieces_unit' : '', 'pieces_quantity' : '0', 'cooking_notes' : ''}).status_code; print('%s :: %s :: %s :: %s :: %s' %(a,1355,'ADRAK','adrak','FENNEL TEA'))</t>
  </si>
  <si>
    <t xml:space="preserve">a = Client().post('/recipes/fennel-tea/detail/', {'recipe' : '25', 'ingredient' : '61', 'name' : 'DALCHINI', 'mass_unit' : '', 'mass_quantity' : '0', 'volume_unit' : '5', 'volume_quantity' : '2', 'pieces_unit' : '', 'pieces_quantity' : '0', 'cooking_notes' : ''}).status_code; print('%s :: %s :: %s :: %s :: %s' %(a,1356,'DALCHINI','dalchini','FENNEL TEA'))</t>
  </si>
  <si>
    <t xml:space="preserve">a = Client().post('/recipes/fennel-tea/detail/', {'recipe' : '25', 'ingredient' : '191', 'name' : 'TEJPATTA', 'mass_unit' : '', 'mass_quantity' : '0', 'volume_unit' : '5', 'volume_quantity' : '2', 'pieces_unit' : '', 'pieces_quantity' : '0', 'cooking_notes' : ''}).status_code; print('%s :: %s :: %s :: %s :: %s' %(a,1357,'TEJPATTA','tej patta','FENNEL TEA'))</t>
  </si>
  <si>
    <t xml:space="preserve">a = Client().post('/recipes/fennel-tea/detail/', {'recipe' : '25', 'ingredient' : '179', 'name' : 'SAUF', 'mass_unit' : '7', 'mass_quantity' : '350', 'volume_unit' : '', 'volume_quantity' : '0', 'pieces_unit' : '', 'pieces_quantity' : '0', 'cooking_notes' : ''}).status_code; print('%s :: %s :: %s :: %s :: %s' %(a,1358,'SAUF','sauf','FENNEL TEA'))</t>
  </si>
  <si>
    <t xml:space="preserve">a = Client().post('/recipes/fennel-tea/detail/', {'recipe' : '25', 'ingredient' : '187', 'name' : 'SUGAR', 'mass_unit' : '2', 'mass_quantity' : '3.5', 'volume_unit' : '', 'volume_quantity' : '0', 'pieces_unit' : '', 'pieces_quantity' : '0', 'cooking_notes' : ''}).status_code; print('%s :: %s :: %s :: %s :: %s' %(a,1359,'SUGAR','sugar','FENNEL TEA'))</t>
  </si>
  <si>
    <t xml:space="preserve">a = Client().post('/recipes/pav-bhaji/detail/', {'recipe' : '59', 'ingredient' : '8', 'name' : 'potatoes', 'mass_unit' : '2', 'mass_quantity' : '30', 'volume_unit' : '', 'volume_quantity' : '0', 'pieces_unit' : '', 'pieces_quantity' : '0', 'cooking_notes' : ''}).status_code; print('%s :: %s :: %s :: %s :: %s' %(a,1361,'potatoes','alu','Pav Bhaji'))</t>
  </si>
  <si>
    <t xml:space="preserve">a = Client().post('/recipes/pav-bhaji/detail/', {'recipe' : '59', 'ingredient' : '88', 'name' : 'Green Peas', 'mass_unit' : '2', 'mass_quantity' : '8', 'volume_unit' : '', 'volume_quantity' : '0', 'pieces_unit' : '', 'pieces_quantity' : '0', 'cooking_notes' : 'CHOK-oil-mirchi paste-adrak grated-capcicum-pav bhaji masala( half)-'}).status_code; print('%s :: %s :: %s :: %s :: %s' %(a,1362,'Green Peas','green peas','Pav Bhaji'))</t>
  </si>
  <si>
    <t xml:space="preserve">a = Client().post('/recipes/pav-bhaji/detail/', {'recipe' : '59', 'ingredient' : '42', 'name' : 'Capsicum ', 'mass_unit' : '2', 'mass_quantity' : '6', 'volume_unit' : '', 'volume_quantity' : '0', 'pieces_unit' : '', 'pieces_quantity' : '0', 'cooking_notes' : 'tomato pury( boiled)-pav bjahi masal half-kashmiri mirchi pwd-'}).status_code; print('%s :: %s :: %s :: %s :: %s' %(a,1363,'Capsicum ','capsicum','Pav Bhaji'))</t>
  </si>
  <si>
    <t xml:space="preserve">a = Client().post('/recipes/pav-bhaji/detail/', {'recipe' : '59', 'ingredient' : '44', 'name' : 'Cauli flower', 'mass_unit' : '2', 'mass_quantity' : '6', 'volume_unit' : '', 'volume_quantity' : '0', 'pieces_unit' : '', 'pieces_quantity' : '0', 'cooking_notes' : 'salt-remaining pav bjahi masala-smashed alu-'}).status_code; print('%s :: %s :: %s :: %s :: %s' %(a,1364,'Cauli flower','cauli flower','Pav Bhaji'))</t>
  </si>
  <si>
    <t xml:space="preserve">a = Client().post('/recipes/pav-bhaji/detail/', {'recipe' : '59', 'ingredient' : '195', 'name' : 'Tomato', 'mass_unit' : '2', 'mass_quantity' : '20', 'volume_unit' : '', 'volume_quantity' : '0', 'pieces_unit' : '', 'pieces_quantity' : '0', 'cooking_notes' : ''}).status_code; print('%s :: %s :: %s :: %s :: %s' %(a,1365,'Tomato','tomato','Pav Bhaji'))</t>
  </si>
  <si>
    <t xml:space="preserve">a = Client().post('/recipes/pav-bhaji/detail/', {'recipe' : '59', 'ingredient' : '1', 'name' : 'Adrak ', 'mass_unit' : '', 'mass_quantity' : '0', 'volume_unit' : '1', 'volume_quantity' : '1', 'pieces_unit' : '', 'pieces_quantity' : '0', 'cooking_notes' : 'ALU-peel alu-boil it-smash it in chapti atta making machine '}).status_code; print('%s :: %s :: %s :: %s :: %s' %(a,1366,'Adrak ','adrak','Pav Bhaji'))</t>
  </si>
  <si>
    <t xml:space="preserve">a = Client().post('/recipes/pav-bhaji/detail/', {'recipe' : '59', 'ingredient' : '97', 'name' : 'Hot Water', 'mass_unit' : '', 'mass_quantity' : '0', 'volume_unit' : '1', 'volume_quantity' : '16', 'pieces_unit' : '', 'pieces_quantity' : '0', 'cooking_notes' : 'with some water'}).status_code; print('%s :: %s :: %s :: %s :: %s' %(a,1367,'Hot Water','hot water','Pav Bhaji'))</t>
  </si>
  <si>
    <t xml:space="preserve">a = Client().post('/recipes/pav-bhaji/detail/', {'recipe' : '59', 'ingredient' : '93', 'name' : 'Green mirchi paste', 'mass_unit' : '', 'mass_quantity' : '0', 'volume_unit' : '5', 'volume_quantity' : '0.2', 'pieces_unit' : '', 'pieces_quantity' : '0', 'cooking_notes' : 'PEAS-boil-smash in pulverizer w/o jali'}).status_code; print('%s :: %s :: %s :: %s :: %s' %(a,1368,'Green mirchi paste','hari mirchi','Pav Bhaji'))</t>
  </si>
  <si>
    <t xml:space="preserve">a = Client().post('/recipes/pav-bhaji/detail/', {'recipe' : '59', 'ingredient' : '129', 'name' : 'LEMON JUICE', 'mass_unit' : '', 'mass_quantity' : '0', 'volume_unit' : '1', 'volume_quantity' : '0.5', 'pieces_unit' : '', 'pieces_quantity' : '0', 'cooking_notes' : ''}).status_code; print('%s :: %s :: %s :: %s :: %s' %(a,1369,'LEMON JUICE','lemon','Pav Bhaji'))</t>
  </si>
  <si>
    <t xml:space="preserve">a = Client().post('/recipes/pav-bhaji/detail/', {'recipe' : '59', 'ingredient' : '66', 'name' : 'dhaniya patta ', 'mass_unit' : '', 'mass_quantity' : '0', 'volume_unit' : '1', 'volume_quantity' : '2', 'pieces_unit' : '', 'pieces_quantity' : '0', 'cooking_notes' : 'flower -grate in indian cut machine-saute in oil'}).status_code; print('%s :: %s :: %s :: %s :: %s' %(a,1370,'dhaniya patta ','dhaniya patta','Pav Bhaji'))</t>
  </si>
  <si>
    <t xml:space="preserve">a = Client().post('/recipes/pav-bhaji/detail/', {'recipe' : '59', 'ingredient' : '81', 'name' : 'Ghee ', 'mass_unit' : '', 'mass_quantity' : '0', 'volume_unit' : '1', 'volume_quantity' : '2', 'pieces_unit' : '', 'pieces_quantity' : '0', 'cooking_notes' : ''}).status_code; print('%s :: %s :: %s :: %s :: %s' %(a,1371,'Ghee ','ghee','Pav Bhaji'))</t>
  </si>
  <si>
    <t xml:space="preserve">a = Client().post('/recipes/pav-bhaji/detail/', {'recipe' : '59', 'ingredient' : '117', 'name' : 'Kashmiri Mirchi powder', 'mass_unit' : '7', 'mass_quantity' : '200', 'volume_unit' : '', 'volume_quantity' : '0', 'pieces_unit' : '', 'pieces_quantity' : '0', 'cooking_notes' : ''}).status_code; print('%s :: %s :: %s :: %s :: %s' %(a,1372,'Kashmiri Mirchi powder','kashmiri chilly powder','Pav Bhaji'))</t>
  </si>
  <si>
    <t xml:space="preserve">a = Client().post('/recipes/pav-bhaji/detail/', {'recipe' : '59', 'ingredient' : '160', 'name' : 'Pav Bhaji Masala', 'mass_unit' : '', 'mass_quantity' : '0', 'volume_unit' : '1', 'volume_quantity' : '1', 'pieces_unit' : '', 'pieces_quantity' : '0', 'cooking_notes' : ''}).status_code; print('%s :: %s :: %s :: %s :: %s' %(a,1373,'Pav Bhaji Masala','pav bhaji masala','Pav Bhaji'))</t>
  </si>
  <si>
    <t xml:space="preserve">a = Client().post('/recipes/pav-bhaji/detail/', {'recipe' : '59', 'ingredient' : '177', 'name' : 'Salt (Namak)', 'mass_unit' : '', 'mass_quantity' : '0', 'volume_unit' : '5', 'volume_quantity' : '3', 'pieces_unit' : '', 'pieces_quantity' : '0', 'cooking_notes' : ''}).status_code; print('%s :: %s :: %s :: %s :: %s' %(a,1374,'Salt (Namak)','salt','Pav Bhaji'))</t>
  </si>
  <si>
    <t xml:space="preserve">a = Client().post('/recipes/pav-bhaji/detail/', {'recipe' : '59', 'ingredient' : '38', 'name' : 'Butter', 'mass_unit' : '2', 'mass_quantity' : '2', 'volume_unit' : '', 'volume_quantity' : '0', 'pieces_unit' : '', 'pieces_quantity' : '0', 'cooking_notes' : ''}).status_code; print('%s :: %s :: %s :: %s :: %s' %(a,1375,'Butter','butter','Pav Bhaji'))</t>
  </si>
  <si>
    <t xml:space="preserve">a = Client().post('/recipes/nityanand-italian-fried-rice/detail/', {'recipe' : '51', 'ingredient' : '170', 'name' : 'RICE', 'mass_unit' : '2', 'mass_quantity' : '25', 'volume_unit' : '', 'volume_quantity' : '0', 'pieces_unit' : '', 'pieces_quantity' : '0', 'cooking_notes' : ''}).status_code; print('%s :: %s :: %s :: %s :: %s' %(a,1377,'RICE','rice','NITYANAND ITALIAN FRIED RICE'))</t>
  </si>
  <si>
    <t xml:space="preserve">a = Client().post('/recipes/nityanand-italian-fried-rice/detail/', {'recipe' : '51', 'ingredient' : '210', 'name' : 'Zucchini', 'mass_unit' : '2', 'mass_quantity' : '10', 'volume_unit' : '', 'volume_quantity' : '0', 'pieces_unit' : '', 'pieces_quantity' : '0', 'cooking_notes' : ''}).status_code; print('%s :: %s :: %s :: %s :: %s' %(a,1378,'Zucchini','zucchini','NITYANAND ITALIAN FRIED RICE'))</t>
  </si>
  <si>
    <t xml:space="preserve">a = Client().post('/recipes/nityanand-italian-fried-rice/detail/', {'recipe' : '51', 'ingredient' : '188', 'name' : 'SWEET CORN ( GRAINS)', 'mass_unit' : '2', 'mass_quantity' : '8', 'volume_unit' : '', 'volume_quantity' : '0', 'pieces_unit' : '', 'pieces_quantity' : '0', 'cooking_notes' : ''}).status_code; print('%s :: %s :: %s :: %s :: %s' %(a,1379,'SWEET CORN ( GRAINS)','sweet corn','NITYANAND ITALIAN FRIED RICE'))</t>
  </si>
  <si>
    <t xml:space="preserve">a = Client().post('/recipes/nityanand-italian-fried-rice/detail/', {'recipe' : '51', 'ingredient' : '24', 'name' : 'FRESH BASIL LEAVES', 'mass_unit' : '2', 'mass_quantity' : '1.5', 'volume_unit' : '', 'volume_quantity' : '0', 'pieces_unit' : '', 'pieces_quantity' : '0', 'cooking_notes' : ''}).status_code; print('%s :: %s :: %s :: %s :: %s' %(a,1380,'FRESH BASIL LEAVES','basil leaves','NITYANAND ITALIAN FRIED RICE'))</t>
  </si>
  <si>
    <t xml:space="preserve">a = Client().post('/recipes/nityanand-italian-fried-rice/detail/', {'recipe' : '51', 'ingredient' : '195', 'name' : 'TOMATO', 'mass_unit' : '2', 'mass_quantity' : '15', 'volume_unit' : '', 'volume_quantity' : '0', 'pieces_unit' : '', 'pieces_quantity' : '0', 'cooking_notes' : ''}).status_code; print('%s :: %s :: %s :: %s :: %s' %(a,1381,'TOMATO','tomato','NITYANAND ITALIAN FRIED RICE'))</t>
  </si>
  <si>
    <t xml:space="preserve">a = Client().post('/recipes/nityanand-italian-fried-rice/detail/', {'recipe' : '51', 'ingredient' : '93', 'name' : 'GREEN CHILLI ( CHOPPED)', 'mass_unit' : '', 'mass_quantity' : '0', 'volume_unit' : '1', 'volume_quantity' : '0.5', 'pieces_unit' : '', 'pieces_quantity' : '0', 'cooking_notes' : ''}).status_code; print('%s :: %s :: %s :: %s :: %s' %(a,1382,'GREEN CHILLI ( CHOPPED)','hari mirchi','NITYANAND ITALIAN FRIED RICE'))</t>
  </si>
  <si>
    <t xml:space="preserve">a = Client().post('/recipes/nityanand-italian-fried-rice/detail/', {'recipe' : '51', 'ingredient' : '31', 'name' : 'BLACK PEPPER', 'mass_unit' : '', 'mass_quantity' : '0', 'volume_unit' : '5', 'volume_quantity' : '0.3', 'pieces_unit' : '', 'pieces_quantity' : '0', 'cooking_notes' : ''}).status_code; print('%s :: %s :: %s :: %s :: %s' %(a,1383,'BLACK PEPPER','black pepper','NITYANAND ITALIAN FRIED RICE'))</t>
  </si>
  <si>
    <t xml:space="preserve">a = Client().post('/recipes/nityanand-italian-fried-rice/detail/', {'recipe' : '51', 'ingredient' : '95', 'name' : 'HING', 'mass_unit' : '', 'mass_quantity' : '0', 'volume_unit' : '5', 'volume_quantity' : '0.2', 'pieces_unit' : '', 'pieces_quantity' : '0', 'cooking_notes' : ''}).status_code; print('%s :: %s :: %s :: %s :: %s' %(a,1384,'HING','hing','NITYANAND ITALIAN FRIED RICE'))</t>
  </si>
  <si>
    <t xml:space="preserve">a = Client().post('/recipes/nityanand-italian-fried-rice/detail/', {'recipe' : '51', 'ingredient' : '89', 'name' : 'GROUND NUT OIL', 'mass_unit' : '', 'mass_quantity' : '0', 'volume_unit' : '5', 'volume_quantity' : '1', 'pieces_unit' : '', 'pieces_quantity' : '0', 'cooking_notes' : ''}).status_code; print('%s :: %s :: %s :: %s :: %s' %(a,1385,'GROUND NUT OIL','ground nut oil','NITYANAND ITALIAN FRIED RICE'))</t>
  </si>
  <si>
    <t xml:space="preserve">a = Client().post('/recipes/nityanand-italian-fried-rice/detail/', {'recipe' : '51', 'ingredient' : '185', 'name' : 'SOYA SAUCE', 'mass_unit' : '', 'mass_quantity' : '0', 'volume_unit' : '5', 'volume_quantity' : '1', 'pieces_unit' : '', 'pieces_quantity' : '0', 'cooking_notes' : ''}).status_code; print('%s :: %s :: %s :: %s :: %s' %(a,1386,'SOYA SAUCE','soya sauce','NITYANAND ITALIAN FRIED RICE'))</t>
  </si>
  <si>
    <t xml:space="preserve">a = Client().post('/recipes/nityanand-italian-fried-rice/detail/', {'recipe' : '51', 'ingredient' : '177', 'name' : 'SALT', 'mass_unit' : '', 'mass_quantity' : '0', 'volume_unit' : '5', 'volume_quantity' : '1.5', 'pieces_unit' : '', 'pieces_quantity' : '0', 'cooking_notes' : ''}).status_code; print('%s :: %s :: %s :: %s :: %s' %(a,1387,'SALT','salt','NITYANAND ITALIAN FRIED RICE'))</t>
  </si>
  <si>
    <t xml:space="preserve"> Oil for frying </t>
  </si>
  <si>
    <t xml:space="preserve"> gound nut oil </t>
  </si>
  <si>
    <t xml:space="preserve"> Alu Flower Gravy (Ekadashi)</t>
  </si>
  <si>
    <t xml:space="preserve"> Oil </t>
  </si>
  <si>
    <t xml:space="preserve"> Pav Bhaji Bhaji</t>
  </si>
  <si>
    <t xml:space="preserve"> Coconuts </t>
  </si>
  <si>
    <t xml:space="preserve"> coconut </t>
  </si>
  <si>
    <t xml:space="preserve"> JP Khichadi</t>
  </si>
  <si>
    <t xml:space="preserve"> Panchratna Dry</t>
  </si>
  <si>
    <t xml:space="preserve"> Hing </t>
  </si>
  <si>
    <t xml:space="preserve"> hing </t>
  </si>
  <si>
    <t xml:space="preserve"> Hari mirchi </t>
  </si>
  <si>
    <t xml:space="preserve"> hari mirchi </t>
  </si>
  <si>
    <t xml:space="preserve"> Adrak paste </t>
  </si>
  <si>
    <t xml:space="preserve"> adrak </t>
  </si>
  <si>
    <t xml:space="preserve"> Jeera powder </t>
  </si>
  <si>
    <t xml:space="preserve"> jeera powder </t>
  </si>
  <si>
    <t xml:space="preserve"> Dhania powder </t>
  </si>
  <si>
    <t xml:space="preserve"> dhaniya powder </t>
  </si>
  <si>
    <t xml:space="preserve"> Red chilli powder </t>
  </si>
  <si>
    <t xml:space="preserve"> madrasi mirchi powder </t>
  </si>
  <si>
    <t xml:space="preserve"> Haldi </t>
  </si>
  <si>
    <t xml:space="preserve"> haldi </t>
  </si>
  <si>
    <t xml:space="preserve"> Kashmiri powder </t>
  </si>
  <si>
    <t xml:space="preserve"> kashmiri chilly powder </t>
  </si>
  <si>
    <t xml:space="preserve"> Salt </t>
  </si>
  <si>
    <t xml:space="preserve"> salt </t>
  </si>
  <si>
    <t xml:space="preserve"> Black salt </t>
  </si>
  <si>
    <t xml:space="preserve"> black salt </t>
  </si>
  <si>
    <t xml:space="preserve"> Everest chat masala </t>
  </si>
  <si>
    <t xml:space="preserve"> everest chat masala </t>
  </si>
  <si>
    <t xml:space="preserve"> Lemon juice </t>
  </si>
  <si>
    <t xml:space="preserve"> lemon </t>
  </si>
  <si>
    <t xml:space="preserve"> Patol White Gravy</t>
  </si>
  <si>
    <t xml:space="preserve">kg,ltr,pcs</t>
  </si>
  <si>
    <t xml:space="preserve">unit</t>
  </si>
  <si>
    <t xml:space="preserve">rate</t>
  </si>
  <si>
    <t xml:space="preserve">density (kg/ltr)</t>
  </si>
  <si>
    <t xml:space="preserve">1 citi)</t>
  </si>
  <si>
    <t xml:space="preserve">250 gm</t>
  </si>
  <si>
    <t xml:space="preserve">Baby Corn VOL</t>
  </si>
  <si>
    <t xml:space="preserve">Babycorn</t>
  </si>
  <si>
    <t xml:space="preserve">Moong badi</t>
  </si>
  <si>
    <t xml:space="preserve">Basil</t>
  </si>
  <si>
    <t xml:space="preserve">Beans VOL </t>
  </si>
  <si>
    <t xml:space="preserve">Dhania</t>
  </si>
  <si>
    <t xml:space="preserve">dhaniya</t>
  </si>
  <si>
    <t xml:space="preserve">Green Capsicum VOL </t>
  </si>
  <si>
    <t xml:space="preserve">lettuce by volume</t>
  </si>
  <si>
    <t xml:space="preserve">Panir</t>
  </si>
  <si>
    <t xml:space="preserve">Raw Beans VOL</t>
  </si>
  <si>
    <t xml:space="preserve">Red Capsicum VOL</t>
  </si>
  <si>
    <t xml:space="preserve">salt (IF TATA THEN 1.5 CUP)</t>
  </si>
  <si>
    <t xml:space="preserve">Steamed Beans VOL</t>
  </si>
  <si>
    <t xml:space="preserve">watana(cookr fire stop aftr</t>
  </si>
  <si>
    <t xml:space="preserve">Yellow Capsicum VOL </t>
  </si>
  <si>
    <t xml:space="preserve">boiled vegetables puree</t>
  </si>
  <si>
    <t xml:space="preserve">coconuts</t>
  </si>
  <si>
    <t xml:space="preserve">kashmiri mirchi</t>
  </si>
  <si>
    <t xml:space="preserve">madrasi mirchi</t>
  </si>
  <si>
    <t xml:space="preserve">grountnut oil</t>
  </si>
  <si>
    <t xml:space="preserve">yield</t>
  </si>
  <si>
    <t xml:space="preserve">safed watana or</t>
  </si>
  <si>
    <t xml:space="preserve">kaju paste</t>
  </si>
  <si>
    <t xml:space="preserve">everest pulao masala</t>
  </si>
  <si>
    <t xml:space="preserve">roasted chilly powder</t>
  </si>
  <si>
    <t xml:space="preserve">roasted jeera powder</t>
  </si>
  <si>
    <t xml:space="preserve">rai tel</t>
  </si>
  <si>
    <t xml:space="preserve">bharta baingan</t>
  </si>
  <si>
    <t xml:space="preserve">yileld</t>
  </si>
  <si>
    <t xml:space="preserve">red chilli powder</t>
  </si>
  <si>
    <t xml:space="preserve">badisaunf</t>
  </si>
  <si>
    <t xml:space="preserve">udad dal</t>
  </si>
  <si>
    <t xml:space="preserve">mtr rasam powder</t>
  </si>
  <si>
    <t xml:space="preserve">amla churna (optional)</t>
  </si>
  <si>
    <t xml:space="preserve">brokoli</t>
  </si>
  <si>
    <t xml:space="preserve">badi</t>
  </si>
  <si>
    <t xml:space="preserve">groundnut oil for tadka</t>
  </si>
  <si>
    <t xml:space="preserve">sweet corn (boiled)</t>
  </si>
  <si>
    <t xml:space="preserve">coconut (grated, medium jaali)</t>
  </si>
  <si>
    <t xml:space="preserve">boiled milk</t>
  </si>
  <si>
    <t xml:space="preserve">boiled kaju paste</t>
  </si>
  <si>
    <t xml:space="preserve">hari mirchi split in 2</t>
  </si>
  <si>
    <t xml:space="preserve">brown sugar (bluebird) or</t>
  </si>
  <si>
    <t xml:space="preserve">brown sugar (bluebird)</t>
  </si>
  <si>
    <t xml:space="preserve">boiled corn water</t>
  </si>
  <si>
    <t xml:space="preserve">lettuce (cut big size)</t>
  </si>
  <si>
    <t xml:space="preserve">gajar (grated)</t>
  </si>
  <si>
    <t xml:space="preserve">by volume</t>
  </si>
  <si>
    <t xml:space="preserve">cherry tomato (cut half)</t>
  </si>
  <si>
    <t xml:space="preserve">roasted almonds (cut 1-4)</t>
  </si>
  <si>
    <t xml:space="preserve">red chilli pwd</t>
  </si>
  <si>
    <t xml:space="preserve">jeera pwd</t>
  </si>
  <si>
    <t xml:space="preserve">dhania pwd</t>
  </si>
  <si>
    <t xml:space="preserve">ingredients</t>
  </si>
  <si>
    <t xml:space="preserve">raw beans vol</t>
  </si>
  <si>
    <t xml:space="preserve">steamed beans vol</t>
  </si>
  <si>
    <t xml:space="preserve">butter (makhan)/ evoo</t>
  </si>
  <si>
    <t xml:space="preserve">hing (asafoetida)</t>
  </si>
  <si>
    <t xml:space="preserve">salt (namak)</t>
  </si>
  <si>
    <t xml:space="preserve">white till ( dry roast light)</t>
  </si>
  <si>
    <t xml:space="preserve">black pepper  </t>
  </si>
  <si>
    <t xml:space="preserve">roasted mirchi powder</t>
  </si>
  <si>
    <t xml:space="preserve">rice (small fine grain)</t>
  </si>
  <si>
    <t xml:space="preserve">groundnut oil / til oil</t>
  </si>
  <si>
    <t xml:space="preserve">hari mirchi fine chopped</t>
  </si>
  <si>
    <t xml:space="preserve">turdal</t>
  </si>
  <si>
    <t xml:space="preserve">annapoorna sambar pwd</t>
  </si>
  <si>
    <t xml:space="preserve">shakti sambar pwd</t>
  </si>
  <si>
    <t xml:space="preserve">jaggery</t>
  </si>
  <si>
    <t xml:space="preserve">khichdi rice</t>
  </si>
  <si>
    <t xml:space="preserve">medium size yeild</t>
  </si>
  <si>
    <t xml:space="preserve">wet masala</t>
  </si>
  <si>
    <t xml:space="preserve">hari mirchi paste</t>
  </si>
  <si>
    <t xml:space="preserve">wet masala volume</t>
  </si>
  <si>
    <t xml:space="preserve">palak paste</t>
  </si>
  <si>
    <t xml:space="preserve">green capsicum paste</t>
  </si>
  <si>
    <t xml:space="preserve">basil leaves chopped</t>
  </si>
  <si>
    <t xml:space="preserve">red capsicum vol</t>
  </si>
  <si>
    <t xml:space="preserve">yellow capsicum vol</t>
  </si>
  <si>
    <t xml:space="preserve">green capsicum vol</t>
  </si>
  <si>
    <t xml:space="preserve">beans vol</t>
  </si>
  <si>
    <t xml:space="preserve">baby corn vol</t>
  </si>
  <si>
    <t xml:space="preserve">evoo / butter</t>
  </si>
  <si>
    <t xml:space="preserve">vegetable stock</t>
  </si>
  <si>
    <t xml:space="preserve">chopped celery stick</t>
  </si>
  <si>
    <t xml:space="preserve">vegetable stock  yield</t>
  </si>
  <si>
    <t xml:space="preserve">blue bird brown sugar (bluebird)</t>
  </si>
  <si>
    <t xml:space="preserve">evoo top</t>
  </si>
  <si>
    <t xml:space="preserve">babycorn</t>
  </si>
  <si>
    <t xml:space="preserve">babycorn deep fried</t>
  </si>
  <si>
    <t xml:space="preserve">red capsicum sauted</t>
  </si>
  <si>
    <t xml:space="preserve">yellow capsicum sauted</t>
  </si>
  <si>
    <t xml:space="preserve">green capsicum sauted</t>
  </si>
  <si>
    <t xml:space="preserve">broccoli steamed</t>
  </si>
  <si>
    <t xml:space="preserve">zucchini sauted</t>
  </si>
  <si>
    <t xml:space="preserve">basil</t>
  </si>
  <si>
    <t xml:space="preserve">basil chopped</t>
  </si>
  <si>
    <t xml:space="preserve">panir deep fried</t>
  </si>
  <si>
    <t xml:space="preserve">butter/evoo</t>
  </si>
  <si>
    <t xml:space="preserve">groundnut oil (singdana tel)</t>
  </si>
  <si>
    <t xml:space="preserve">adrak (ginger)</t>
  </si>
  <si>
    <t xml:space="preserve">sugar (chini)</t>
  </si>
  <si>
    <t xml:space="preserve">besan (chickpea flour)</t>
  </si>
  <si>
    <t xml:space="preserve">dhania powder (coriander pdr)</t>
  </si>
  <si>
    <t xml:space="preserve">zeera powder (cumin pdr)</t>
  </si>
  <si>
    <t xml:space="preserve">haldi (turmeric pdr)</t>
  </si>
  <si>
    <t xml:space="preserve">lal mirchi powder (red chilli pdr)</t>
  </si>
  <si>
    <t xml:space="preserve">zeera (cumin seeds)</t>
  </si>
  <si>
    <t xml:space="preserve">dhania patta (coriander leaves)</t>
  </si>
  <si>
    <t xml:space="preserve">masala elaichi</t>
  </si>
  <si>
    <t xml:space="preserve">kasmiri mirchi</t>
  </si>
  <si>
    <t xml:space="preserve">hing powder</t>
  </si>
  <si>
    <t xml:space="preserve">tata salt</t>
  </si>
  <si>
    <t xml:space="preserve">white teel</t>
  </si>
  <si>
    <t xml:space="preserve">tomato 1</t>
  </si>
  <si>
    <t xml:space="preserve">tomato 2</t>
  </si>
  <si>
    <t xml:space="preserve">mirchi</t>
  </si>
  <si>
    <t xml:space="preserve">dhaniyapatta</t>
  </si>
  <si>
    <t xml:space="preserve">simla</t>
  </si>
  <si>
    <t xml:space="preserve">item no2</t>
  </si>
  <si>
    <t xml:space="preserve">curd</t>
  </si>
  <si>
    <t xml:space="preserve">item no3</t>
  </si>
  <si>
    <t xml:space="preserve">kchidi rice</t>
  </si>
  <si>
    <t xml:space="preserve">moong daal</t>
  </si>
  <si>
    <t xml:space="preserve">mtr masala</t>
  </si>
  <si>
    <t xml:space="preserve">salt (if tata then 1.5 cup)</t>
  </si>
  <si>
    <t xml:space="preserve">barley/ragi/rajgira</t>
  </si>
  <si>
    <t xml:space="preserve">citric acid( nimbu fool)</t>
  </si>
  <si>
    <t xml:space="preserve">chili (only for bhel)</t>
  </si>
  <si>
    <t xml:space="preserve">akkha madrasi mirh dry</t>
  </si>
  <si>
    <t xml:space="preserve">kashmiri chilly pwd</t>
  </si>
  <si>
    <t xml:space="preserve">kacca aam</t>
  </si>
  <si>
    <t xml:space="preserve">green mirchi paste</t>
  </si>
  <si>
    <t xml:space="preserve">sweet corn ( grains)</t>
  </si>
  <si>
    <t xml:space="preserve">fresh basil leaves</t>
  </si>
  <si>
    <t xml:space="preserve">green chilli ( chopped)</t>
  </si>
  <si>
    <t xml:space="preserve">DRY SABZI </t>
  </si>
  <si>
    <t xml:space="preserve">DALS</t>
  </si>
  <si>
    <t xml:space="preserve">WET SABZI</t>
  </si>
  <si>
    <t xml:space="preserve">Rice Items </t>
  </si>
  <si>
    <t xml:space="preserve">Snacks/ Tiffin</t>
  </si>
  <si>
    <t xml:space="preserve">Drinks</t>
  </si>
  <si>
    <t xml:space="preserve">Bakery </t>
  </si>
  <si>
    <t xml:space="preserve">Desserts/ Sweets</t>
  </si>
  <si>
    <t xml:space="preserve">Raita</t>
  </si>
  <si>
    <t xml:space="preserve">Patol White Gravy </t>
  </si>
  <si>
    <r>
      <rPr>
        <sz val="12"/>
        <color rgb="FFFF0000"/>
        <rFont val="Calibri"/>
        <family val="2"/>
      </rPr>
      <t xml:space="preserve">BF </t>
    </r>
    <r>
      <rPr>
        <sz val="12"/>
        <color rgb="FF000000"/>
        <rFont val="Calibri"/>
        <family val="2"/>
      </rPr>
      <t xml:space="preserve">Mix Veg Poha, Ginger tea,  </t>
    </r>
    <r>
      <rPr>
        <sz val="12"/>
        <color rgb="FFFF0000"/>
        <rFont val="Calibri"/>
        <family val="2"/>
      </rPr>
      <t xml:space="preserve">LUNCH</t>
    </r>
    <r>
      <rPr>
        <sz val="12"/>
        <color rgb="FF000000"/>
        <rFont val="Calibri"/>
        <family val="2"/>
      </rPr>
      <t xml:space="preserve">Broccoli  pulav,Turdal Tadka,Sweet corn milk coconut gravy,Veg Kadhai with panir,</t>
    </r>
  </si>
  <si>
    <t xml:space="preserve">Poha </t>
  </si>
  <si>
    <t xml:space="preserve">Matar</t>
  </si>
  <si>
    <t xml:space="preserve">Groundnut Oil </t>
  </si>
  <si>
    <t xml:space="preserve">Madrasi Mirchi </t>
  </si>
  <si>
    <t xml:space="preserve">Haldi </t>
  </si>
  <si>
    <t xml:space="preserve">Ginger Tea</t>
  </si>
  <si>
    <t xml:space="preserve">Jaggery</t>
  </si>
  <si>
    <t xml:space="preserve">Back to Menu</t>
  </si>
  <si>
    <t xml:space="preserve">Broccoli pulav</t>
  </si>
  <si>
    <r>
      <rPr>
        <b val="true"/>
        <sz val="11"/>
        <color rgb="FF000000"/>
        <rFont val="Calibri"/>
        <family val="2"/>
      </rPr>
      <t xml:space="preserve">*</t>
    </r>
    <r>
      <rPr>
        <sz val="11"/>
        <color rgb="FF000000"/>
        <rFont val="Calibri"/>
        <family val="2"/>
      </rPr>
      <t xml:space="preserve">EVOO</t>
    </r>
  </si>
  <si>
    <t xml:space="preserve">Ltr</t>
  </si>
  <si>
    <t xml:space="preserve">* Henceforth Extra Virgin Olive Oil</t>
  </si>
  <si>
    <t xml:space="preserve">Walnut  </t>
  </si>
  <si>
    <t xml:space="preserve">Badshah Biryani Masala</t>
  </si>
  <si>
    <t xml:space="preserve">Celery  leaves(chopped )</t>
  </si>
  <si>
    <t xml:space="preserve">Celery  stick (chopped )</t>
  </si>
  <si>
    <t xml:space="preserve">Butter paper</t>
  </si>
  <si>
    <t xml:space="preserve">Turdal Tadka</t>
  </si>
  <si>
    <t xml:space="preserve">Tur Dal</t>
  </si>
  <si>
    <t xml:space="preserve">*For Purchase dept  note :- kept 1.5ltr/tub but we will consume less</t>
  </si>
  <si>
    <t xml:space="preserve">?</t>
  </si>
  <si>
    <t xml:space="preserve">( or wheat flour, atta )</t>
  </si>
  <si>
    <t xml:space="preserve">(roast in tadka before coconut)</t>
  </si>
  <si>
    <t xml:space="preserve">Parsley by volume or</t>
  </si>
  <si>
    <t xml:space="preserve">Parsley by weight</t>
  </si>
  <si>
    <t xml:space="preserve">oil for sautee</t>
  </si>
  <si>
    <t xml:space="preserve">VEG KADHAI </t>
  </si>
  <si>
    <t xml:space="preserve">Alu (1/2 inch deep fry)</t>
  </si>
  <si>
    <t xml:space="preserve">Flower (deep fry florets)</t>
  </si>
  <si>
    <t xml:space="preserve">Matar (steam)</t>
  </si>
  <si>
    <t xml:space="preserve">Capsicum (medium square saute)</t>
  </si>
  <si>
    <t xml:space="preserve">Panir (1/2 inch cube, raw)</t>
  </si>
  <si>
    <t xml:space="preserve">Tomato (1/2 inch handcut)</t>
  </si>
  <si>
    <t xml:space="preserve">Kasuri methi</t>
  </si>
  <si>
    <t xml:space="preserve">KADHAI MASALA</t>
  </si>
  <si>
    <t xml:space="preserve">tub </t>
  </si>
  <si>
    <t xml:space="preserve">ITALIAN SALAD</t>
  </si>
  <si>
    <r>
      <rPr>
        <b val="true"/>
        <sz val="11"/>
        <color rgb="FFFF0000"/>
        <rFont val="Calibri"/>
        <family val="2"/>
      </rPr>
      <t xml:space="preserve">BF </t>
    </r>
    <r>
      <rPr>
        <sz val="11"/>
        <color rgb="FF000000"/>
        <rFont val="Calibri"/>
        <family val="2"/>
      </rPr>
      <t xml:space="preserve">Upma,Rasam </t>
    </r>
    <r>
      <rPr>
        <b val="true"/>
        <sz val="11"/>
        <color rgb="FFFF0000"/>
        <rFont val="Calibri"/>
        <family val="2"/>
      </rPr>
      <t xml:space="preserve">LUNCH</t>
    </r>
    <r>
      <rPr>
        <sz val="11"/>
        <color rgb="FF000000"/>
        <rFont val="Calibri"/>
        <family val="2"/>
      </rPr>
      <t xml:space="preserve"> Jeera Rice, Rajma, Veg Kofta, Beans Tahin, Boondi Raita </t>
    </r>
  </si>
  <si>
    <t xml:space="preserve">Rava</t>
  </si>
  <si>
    <t xml:space="preserve">Chana Dal</t>
  </si>
  <si>
    <t xml:space="preserve">Rasam</t>
  </si>
  <si>
    <t xml:space="preserve">Kokam</t>
  </si>
  <si>
    <t xml:space="preserve">MTR Rasam Masala(Packet 200gm)</t>
  </si>
  <si>
    <t xml:space="preserve">rrd edited</t>
  </si>
  <si>
    <t xml:space="preserve">KOFTA GRAVY edited</t>
  </si>
  <si>
    <t xml:space="preserve">Ghee 1 for gravy</t>
  </si>
  <si>
    <t xml:space="preserve">Ghee 2 for roasting Kasuri methi</t>
  </si>
  <si>
    <t xml:space="preserve">Kashmiri mirchi powder</t>
  </si>
  <si>
    <t xml:space="preserve">Tomato puree by vol</t>
  </si>
  <si>
    <t xml:space="preserve">Brown sugar (bluebird) by weight</t>
  </si>
  <si>
    <t xml:space="preserve">Kaju cream</t>
  </si>
  <si>
    <t xml:space="preserve">kaju cream by volume</t>
  </si>
  <si>
    <t xml:space="preserve">liters</t>
  </si>
  <si>
    <t xml:space="preserve">Or Cream</t>
  </si>
  <si>
    <t xml:space="preserve">Gravy YIELD </t>
  </si>
  <si>
    <t xml:space="preserve">Kofta balls</t>
  </si>
  <si>
    <t xml:space="preserve">balls</t>
  </si>
  <si>
    <t xml:space="preserve">Recipe yield</t>
  </si>
  <si>
    <t xml:space="preserve">KOFTA BALLS</t>
  </si>
  <si>
    <t xml:space="preserve">Cabbage ( 3/4 inch Machine cut )</t>
  </si>
  <si>
    <t xml:space="preserve">;;'</t>
  </si>
  <si>
    <t xml:space="preserve">Beans (fine chopped)</t>
  </si>
  <si>
    <t xml:space="preserve">Alu (grated)</t>
  </si>
  <si>
    <t xml:space="preserve">After adding salt and squeezing</t>
  </si>
  <si>
    <t xml:space="preserve">YIELD </t>
  </si>
  <si>
    <t xml:space="preserve">KOFTA BALLS ONE BATCH</t>
  </si>
  <si>
    <t xml:space="preserve">Squeezed Vegetables</t>
  </si>
  <si>
    <t xml:space="preserve">Red chilly powder</t>
  </si>
  <si>
    <t xml:space="preserve">Green chilly chopped</t>
  </si>
  <si>
    <t xml:space="preserve">Baking Soda</t>
  </si>
  <si>
    <t xml:space="preserve">tbsp</t>
  </si>
  <si>
    <t xml:space="preserve">Besil leaves</t>
  </si>
  <si>
    <t xml:space="preserve">RRD edited</t>
  </si>
  <si>
    <t xml:space="preserve">Req</t>
  </si>
  <si>
    <t xml:space="preserve">BOONDI RAITA</t>
  </si>
  <si>
    <r>
      <rPr>
        <b val="true"/>
        <sz val="11"/>
        <color rgb="FFFF0000"/>
        <rFont val="Calibri"/>
        <family val="2"/>
      </rPr>
      <t xml:space="preserve">BF</t>
    </r>
    <r>
      <rPr>
        <sz val="11"/>
        <color rgb="FF000000"/>
        <rFont val="Calibri"/>
        <family val="2"/>
      </rPr>
      <t xml:space="preserve"> Mumbai Bhel, Lemon Grass tea. </t>
    </r>
    <r>
      <rPr>
        <b val="true"/>
        <sz val="11"/>
        <color rgb="FFFF0000"/>
        <rFont val="Calibri"/>
        <family val="2"/>
      </rPr>
      <t xml:space="preserve">LUNCH </t>
    </r>
    <r>
      <rPr>
        <sz val="11"/>
        <color rgb="FF000000"/>
        <rFont val="Calibri"/>
        <family val="2"/>
      </rPr>
      <t xml:space="preserve">Curd Rice, Sambar, Dosa Bhaji Wet, Chwali SI, Moonga dal, Uttapa, Tomato Pudina chutani,Nei Payasam</t>
    </r>
  </si>
  <si>
    <t xml:space="preserve">MUMBAI BHELPURI</t>
  </si>
  <si>
    <t xml:space="preserve">DRY MIXTURE</t>
  </si>
  <si>
    <t xml:space="preserve">Kurmura</t>
  </si>
  <si>
    <t xml:space="preserve">goni</t>
  </si>
  <si>
    <t xml:space="preserve">big pkts</t>
  </si>
  <si>
    <t xml:space="preserve">Everest Chat Masala</t>
  </si>
  <si>
    <t xml:space="preserve">Singdana</t>
  </si>
  <si>
    <t xml:space="preserve">Dalia</t>
  </si>
  <si>
    <t xml:space="preserve">(both fried)</t>
  </si>
  <si>
    <t xml:space="preserve">to be replaced by sev </t>
  </si>
  <si>
    <t xml:space="preserve">Papdi</t>
  </si>
  <si>
    <t xml:space="preserve">Sev</t>
  </si>
  <si>
    <t xml:space="preserve">WET MIXTURE</t>
  </si>
  <si>
    <t xml:space="preserve">(0.25mm cut)</t>
  </si>
  <si>
    <t xml:space="preserve">(1/2inch machine cut)</t>
  </si>
  <si>
    <t xml:space="preserve">Kairi grated</t>
  </si>
  <si>
    <t xml:space="preserve">Boiled Alu (1/2 inch)</t>
  </si>
  <si>
    <t xml:space="preserve">Big pkt</t>
  </si>
  <si>
    <t xml:space="preserve">CHUTNI MIXTURE</t>
  </si>
  <si>
    <t xml:space="preserve">RED CHUTNI</t>
  </si>
  <si>
    <t xml:space="preserve">GREEN CHUTNI</t>
  </si>
  <si>
    <t xml:space="preserve">bundles</t>
  </si>
  <si>
    <t xml:space="preserve">bucket</t>
  </si>
  <si>
    <t xml:space="preserve">This much was served to 1200 boys alongwith Pav Bhaji</t>
  </si>
  <si>
    <t xml:space="preserve">Thus it will suffice around 800 devotees in yatra</t>
  </si>
  <si>
    <t xml:space="preserve">Red chutni quantity to be doubled</t>
  </si>
  <si>
    <t xml:space="preserve">Red chutni was sour. Jaggery to be increased</t>
  </si>
  <si>
    <t xml:space="preserve">Green chutni was mild. Green chilly to be increased</t>
  </si>
  <si>
    <t xml:space="preserve">Lemon grass tea</t>
  </si>
  <si>
    <t xml:space="preserve">Lemon Grass chopped</t>
  </si>
  <si>
    <t xml:space="preserve">Dosa Bhaji Wet</t>
  </si>
  <si>
    <t xml:space="preserve">Alu boiled</t>
  </si>
  <si>
    <t xml:space="preserve">Mashed alu Volume</t>
  </si>
  <si>
    <t xml:space="preserve">Cut  Gajar Volume</t>
  </si>
  <si>
    <t xml:space="preserve">Cut capsicum Volume</t>
  </si>
  <si>
    <t xml:space="preserve">Raw Matar Volume</t>
  </si>
  <si>
    <t xml:space="preserve">1/2'' </t>
  </si>
  <si>
    <t xml:space="preserve">Tomato ( chopped )</t>
  </si>
  <si>
    <t xml:space="preserve">Tomato VOL</t>
  </si>
  <si>
    <t xml:space="preserve">Badsah sambar masala</t>
  </si>
  <si>
    <t xml:space="preserve">Red Chilli Pwd</t>
  </si>
  <si>
    <t xml:space="preserve">CABBAGE S.I.</t>
  </si>
  <si>
    <t xml:space="preserve">Quantity</t>
  </si>
  <si>
    <t xml:space="preserve">Cabbage VOL</t>
  </si>
  <si>
    <t xml:space="preserve">litres</t>
  </si>
  <si>
    <t xml:space="preserve">Groundnut oil</t>
  </si>
  <si>
    <t xml:space="preserve">liter</t>
  </si>
  <si>
    <t xml:space="preserve">DAL WADA</t>
  </si>
  <si>
    <t xml:space="preserve">Khichdi rice</t>
  </si>
  <si>
    <t xml:space="preserve">Black pepper</t>
  </si>
  <si>
    <t xml:space="preserve">Nai Payasam Recipe</t>
  </si>
  <si>
    <t xml:space="preserve">Ingridents</t>
  </si>
  <si>
    <t xml:space="preserve">Elaichi</t>
  </si>
  <si>
    <t xml:space="preserve">Jaiphal</t>
  </si>
  <si>
    <t xml:space="preserve">pieces</t>
  </si>
  <si>
    <t xml:space="preserve">camphor</t>
  </si>
  <si>
    <t xml:space="preserve">TBS</t>
  </si>
  <si>
    <r>
      <rPr>
        <sz val="11"/>
        <color rgb="FFFF0000"/>
        <rFont val="Calibri"/>
        <family val="2"/>
      </rPr>
      <t xml:space="preserve">BF</t>
    </r>
    <r>
      <rPr>
        <sz val="11"/>
        <color rgb="FF000000"/>
        <rFont val="Calibri"/>
        <family val="2"/>
      </rPr>
      <t xml:space="preserve"> Mix Veg Poha, Ginger tea. </t>
    </r>
    <r>
      <rPr>
        <sz val="11"/>
        <color rgb="FFFF0000"/>
        <rFont val="Calibri"/>
        <family val="2"/>
      </rPr>
      <t xml:space="preserve">LUNCH</t>
    </r>
    <r>
      <rPr>
        <sz val="11"/>
        <color rgb="FF000000"/>
        <rFont val="Calibri"/>
        <family val="2"/>
      </rPr>
      <t xml:space="preserve"> Nithai Rice, Minestrone Soup, Green Curry,Sauted Veg, Dry Fruit Custard</t>
    </r>
  </si>
  <si>
    <t xml:space="preserve">Nitai Rice</t>
  </si>
  <si>
    <t xml:space="preserve">SAUTED VEGETABLES</t>
  </si>
  <si>
    <t xml:space="preserve">( after deep frying )</t>
  </si>
  <si>
    <t xml:space="preserve">( sauted )</t>
  </si>
  <si>
    <t xml:space="preserve">( steamed )</t>
  </si>
  <si>
    <t xml:space="preserve">( chopped )</t>
  </si>
  <si>
    <t xml:space="preserve">( deep fried )</t>
  </si>
  <si>
    <r>
      <rPr>
        <b val="true"/>
        <sz val="11"/>
        <color rgb="FFFF0000"/>
        <rFont val="Calibri"/>
        <family val="2"/>
      </rPr>
      <t xml:space="preserve">BF</t>
    </r>
    <r>
      <rPr>
        <sz val="11"/>
        <color rgb="FF000000"/>
        <rFont val="Calibri"/>
        <family val="2"/>
      </rPr>
      <t xml:space="preserve">  Upma, Ragi Malt</t>
    </r>
    <r>
      <rPr>
        <b val="true"/>
        <sz val="11"/>
        <color rgb="FFFF0000"/>
        <rFont val="Calibri"/>
        <family val="2"/>
      </rPr>
      <t xml:space="preserve">,Lunch</t>
    </r>
    <r>
      <rPr>
        <sz val="11"/>
        <color rgb="FF000000"/>
        <rFont val="Calibri"/>
        <family val="2"/>
      </rPr>
      <t xml:space="preserve"> Veg Pulav, Kadi,Italian Potatoes,Veg Pahadi,Ragi Papad</t>
    </r>
  </si>
  <si>
    <t xml:space="preserve">Badshah Biryani/Pulao Masala</t>
  </si>
  <si>
    <t xml:space="preserve">yeild</t>
  </si>
  <si>
    <t xml:space="preserve">Ragi Malt</t>
  </si>
  <si>
    <t xml:space="preserve">Ragi</t>
  </si>
  <si>
    <t xml:space="preserve">Khajur</t>
  </si>
  <si>
    <t xml:space="preserve">Elaichi Pdr</t>
  </si>
  <si>
    <t xml:space="preserve">Ghee (optional for roasting)</t>
  </si>
  <si>
    <t xml:space="preserve">Veg Pulav</t>
  </si>
  <si>
    <t xml:space="preserve">Half Cashew</t>
  </si>
  <si>
    <t xml:space="preserve">Whole Spices</t>
  </si>
  <si>
    <t xml:space="preserve">Star Phal</t>
  </si>
  <si>
    <t xml:space="preserve">Dalcini</t>
  </si>
  <si>
    <t xml:space="preserve">Black Elaichi</t>
  </si>
  <si>
    <t xml:space="preserve">Badsah Biryani/Pulav Masala</t>
  </si>
  <si>
    <t xml:space="preserve">`</t>
  </si>
  <si>
    <t xml:space="preserve">Kadi</t>
  </si>
  <si>
    <t xml:space="preserve">Dahi </t>
  </si>
  <si>
    <t xml:space="preserve">Italian Potatoes</t>
  </si>
  <si>
    <t xml:space="preserve">Butter / EVOO</t>
  </si>
  <si>
    <t xml:space="preserve">Tomato Puree</t>
  </si>
  <si>
    <t xml:space="preserve">Tomato Puree VOL</t>
  </si>
  <si>
    <t xml:space="preserve">Dum alu</t>
  </si>
  <si>
    <t xml:space="preserve">Steamed Dum Alu VOL</t>
  </si>
  <si>
    <t xml:space="preserve">Palak</t>
  </si>
  <si>
    <t xml:space="preserve">Chopped Palak VOL</t>
  </si>
  <si>
    <t xml:space="preserve">Boiled Alu water</t>
  </si>
  <si>
    <t xml:space="preserve">Everest Pulao Masala</t>
  </si>
  <si>
    <t xml:space="preserve">fresh lemon Juice </t>
  </si>
  <si>
    <t xml:space="preserve">Chopped basil VOL</t>
  </si>
  <si>
    <t xml:space="preserve">Veg Pahadi</t>
  </si>
  <si>
    <t xml:space="preserve">Total Subzi</t>
  </si>
  <si>
    <t xml:space="preserve">Palak in weight (no roots)</t>
  </si>
  <si>
    <t xml:space="preserve">Palak puree VOL</t>
  </si>
  <si>
    <t xml:space="preserve">Tomato Puree Vol</t>
  </si>
  <si>
    <t xml:space="preserve">Jeera Pwd</t>
  </si>
  <si>
    <t xml:space="preserve">Hari mirchi Paste</t>
  </si>
  <si>
    <t xml:space="preserve">Ahimsa Cream</t>
  </si>
  <si>
    <t xml:space="preserve">or Kaju cream</t>
  </si>
  <si>
    <t xml:space="preserve">Nimbuphool ( panir making )</t>
  </si>
  <si>
    <t xml:space="preserve">Ragi papad</t>
  </si>
  <si>
    <r>
      <rPr>
        <b val="true"/>
        <sz val="12"/>
        <color rgb="FFFF0000"/>
        <rFont val="Calibri"/>
        <family val="2"/>
      </rPr>
      <t xml:space="preserve">BF</t>
    </r>
    <r>
      <rPr>
        <sz val="12"/>
        <color rgb="FF000000"/>
        <rFont val="Calibri"/>
        <family val="2"/>
      </rPr>
      <t xml:space="preserve"> Sushila, Ginger Tea. </t>
    </r>
    <r>
      <rPr>
        <sz val="12"/>
        <color rgb="FFFF0000"/>
        <rFont val="Calibri"/>
        <family val="2"/>
      </rPr>
      <t xml:space="preserve">LUNCH </t>
    </r>
    <r>
      <rPr>
        <sz val="12"/>
        <color rgb="FF000000"/>
        <rFont val="Calibri"/>
        <family val="2"/>
      </rPr>
      <t xml:space="preserve">Peas Pulav, Moong Dal, Chole KB, Alu Gobi Sukha</t>
    </r>
  </si>
  <si>
    <t xml:space="preserve">Peas Pulao</t>
  </si>
  <si>
    <t xml:space="preserve">Moongdal</t>
  </si>
  <si>
    <t xml:space="preserve">Chole KB</t>
  </si>
  <si>
    <t xml:space="preserve">Amritsari chole Masala</t>
  </si>
  <si>
    <t xml:space="preserve">Divya Amla churna</t>
  </si>
  <si>
    <t xml:space="preserve">Ghee on Top</t>
  </si>
  <si>
    <t xml:space="preserve">EKADASI ALU FLOWER GRAVY</t>
  </si>
  <si>
    <t xml:space="preserve">Subzis</t>
  </si>
  <si>
    <t xml:space="preserve">MDH Garam Masala</t>
  </si>
  <si>
    <t xml:space="preserve">Amchur Pwd</t>
  </si>
  <si>
    <t xml:space="preserve">bkt </t>
  </si>
  <si>
    <t xml:space="preserve">Item Name</t>
  </si>
  <si>
    <t xml:space="preserve">Required Quantity</t>
  </si>
  <si>
    <t xml:space="preserve">Dalia (rosted chana dal)</t>
  </si>
  <si>
    <t xml:space="preserve">Groundnut </t>
  </si>
  <si>
    <t xml:space="preserve">Adrak (Ginger</t>
  </si>
  <si>
    <t xml:space="preserve">Akha Mung Dal</t>
  </si>
  <si>
    <t xml:space="preserve">Cabbage </t>
  </si>
  <si>
    <t xml:space="preserve">ltrs</t>
  </si>
  <si>
    <t xml:space="preserve">Dhania Powder </t>
  </si>
  <si>
    <t xml:space="preserve">Nimbu juice</t>
  </si>
  <si>
    <t xml:space="preserve">Kurmura (Puffed Rice)</t>
  </si>
  <si>
    <t xml:space="preserve">40 Tubs</t>
  </si>
  <si>
    <r>
      <rPr>
        <b val="true"/>
        <sz val="12"/>
        <color rgb="FFFF0000"/>
        <rFont val="Calibri"/>
        <family val="2"/>
      </rPr>
      <t xml:space="preserve">BF</t>
    </r>
    <r>
      <rPr>
        <sz val="12"/>
        <color rgb="FF000000"/>
        <rFont val="Calibri"/>
        <family val="2"/>
      </rPr>
      <t xml:space="preserve"> Upma, Rasam. </t>
    </r>
    <r>
      <rPr>
        <b val="true"/>
        <sz val="12"/>
        <color rgb="FFFF0000"/>
        <rFont val="Calibri"/>
        <family val="2"/>
      </rPr>
      <t xml:space="preserve">LUNCH</t>
    </r>
    <r>
      <rPr>
        <sz val="12"/>
        <color rgb="FF000000"/>
        <rFont val="Calibri"/>
        <family val="2"/>
      </rPr>
      <t xml:space="preserve"> Jeera Rice, Akha moong Dal Makhani, Malai Kofta, Mix Veg Macroni, Kachauri Chutney, Gulabjamun</t>
    </r>
  </si>
  <si>
    <t xml:space="preserve">MTR Rasam Masala</t>
  </si>
  <si>
    <r>
      <rPr>
        <sz val="11"/>
        <rFont val="Calibri"/>
        <family val="2"/>
      </rPr>
      <t xml:space="preserve">packet </t>
    </r>
    <r>
      <rPr>
        <sz val="9"/>
        <rFont val="Calibri"/>
        <family val="2"/>
      </rPr>
      <t xml:space="preserve">(200gm)</t>
    </r>
  </si>
  <si>
    <t xml:space="preserve">Akkha moong dal Makhni</t>
  </si>
  <si>
    <t xml:space="preserve">Akha Moong Dal</t>
  </si>
  <si>
    <t xml:space="preserve">Rajma</t>
  </si>
  <si>
    <t xml:space="preserve">Tomato Puree (Raw)</t>
  </si>
  <si>
    <t xml:space="preserve">DhaniaPatta</t>
  </si>
  <si>
    <t xml:space="preserve">Mix Veg Macaroni</t>
  </si>
  <si>
    <t xml:space="preserve">Macaroni</t>
  </si>
  <si>
    <t xml:space="preserve">Soya sauce</t>
  </si>
  <si>
    <t xml:space="preserve">Tomato sauce</t>
  </si>
  <si>
    <t xml:space="preserve">Chilly sauce</t>
  </si>
  <si>
    <t xml:space="preserve">White pepper pwd</t>
  </si>
  <si>
    <t xml:space="preserve">Adrak fine chopped</t>
  </si>
  <si>
    <t xml:space="preserve">KOFTA BALLS - 1 batch</t>
  </si>
  <si>
    <t xml:space="preserve">Total</t>
  </si>
  <si>
    <t xml:space="preserve">Corn Flour</t>
  </si>
  <si>
    <t xml:space="preserve">Total Kofta Balls</t>
  </si>
  <si>
    <t xml:space="preserve">Balls</t>
  </si>
  <si>
    <t xml:space="preserve">GRAVY</t>
  </si>
  <si>
    <t xml:space="preserve">Whole Hot Spices</t>
  </si>
  <si>
    <t xml:space="preserve">Kashmiri Chilli Pwd</t>
  </si>
  <si>
    <t xml:space="preserve">Puries &amp; Pastes</t>
  </si>
  <si>
    <t xml:space="preserve">cream</t>
  </si>
  <si>
    <t xml:space="preserve">Kachauri chutney</t>
  </si>
  <si>
    <t xml:space="preserve">Hot Gulab   Jamun</t>
  </si>
  <si>
    <t xml:space="preserve">Biryani 2</t>
  </si>
  <si>
    <t xml:space="preserve">Add the Vegetables</t>
  </si>
  <si>
    <t xml:space="preserve">Hot spices</t>
  </si>
  <si>
    <t xml:space="preserve">(lavang,kali elaichi,hara elaichi,tejpatta,starphal)</t>
  </si>
  <si>
    <t xml:space="preserve">Turdal KM 2</t>
  </si>
  <si>
    <t xml:space="preserve">Ambula</t>
  </si>
  <si>
    <t xml:space="preserve">ambahaldi </t>
  </si>
  <si>
    <t xml:space="preserve">PANIR MAKHANWALA</t>
  </si>
  <si>
    <t xml:space="preserve">if cream is available then b</t>
  </si>
  <si>
    <t xml:space="preserve">Nimbuphool </t>
  </si>
  <si>
    <t xml:space="preserve">Cream</t>
  </si>
  <si>
    <t xml:space="preserve">Ghee / butter</t>
  </si>
  <si>
    <t xml:space="preserve">Butter / ghee</t>
  </si>
  <si>
    <t xml:space="preserve">KAKADI GAJAR RAITA</t>
  </si>
  <si>
    <t xml:space="preserve">Kakdi ( grated )</t>
  </si>
  <si>
    <t xml:space="preserve">Pudina chopped</t>
  </si>
  <si>
    <t xml:space="preserve">Expected - 4000 pcs</t>
  </si>
  <si>
    <t xml:space="preserve">Ragda Pattis</t>
  </si>
  <si>
    <t xml:space="preserve">Per batch Breakups</t>
  </si>
  <si>
    <t xml:space="preserve">Mashed Potatos</t>
  </si>
  <si>
    <t xml:space="preserve">To be verified</t>
  </si>
  <si>
    <t xml:space="preserve">cups</t>
  </si>
  <si>
    <t xml:space="preserve">Pattice Yield</t>
  </si>
  <si>
    <t xml:space="preserve">number</t>
  </si>
  <si>
    <t xml:space="preserve">Ragda</t>
  </si>
  <si>
    <t xml:space="preserve">Safed Vatana</t>
  </si>
  <si>
    <t xml:space="preserve">White salt</t>
  </si>
  <si>
    <t xml:space="preserve">Garam Masala (Damodar P)</t>
  </si>
  <si>
    <t xml:space="preserve">Chat Masala (Everest)</t>
  </si>
  <si>
    <t xml:space="preserve">Ragda Yeild</t>
  </si>
  <si>
    <t xml:space="preserve">Green Chutney</t>
  </si>
  <si>
    <t xml:space="preserve">Ground in Ragada Machine.</t>
  </si>
  <si>
    <t xml:space="preserve">Green Chilly (Hot ones)</t>
  </si>
  <si>
    <t xml:space="preserve">Dhania by weight</t>
  </si>
  <si>
    <t xml:space="preserve">Dhania by volume</t>
  </si>
  <si>
    <t xml:space="preserve">Pudina by weight</t>
  </si>
  <si>
    <t xml:space="preserve">Pudina by volume </t>
  </si>
  <si>
    <t xml:space="preserve">Salt (No Sugar to be added)</t>
  </si>
  <si>
    <t xml:space="preserve">Green Chutney Yield</t>
  </si>
  <si>
    <t xml:space="preserve">Red Chutney</t>
  </si>
  <si>
    <t xml:space="preserve">Soak and boil together. Cool and grind.</t>
  </si>
  <si>
    <t xml:space="preserve">Dates</t>
  </si>
  <si>
    <t xml:space="preserve">Jeera Powder</t>
  </si>
  <si>
    <t xml:space="preserve">Red Chili Powder</t>
  </si>
  <si>
    <t xml:space="preserve">Redf Chutney yield</t>
  </si>
  <si>
    <t xml:space="preserve">Sev -Besan</t>
  </si>
  <si>
    <t xml:space="preserve">Sev Yield</t>
  </si>
  <si>
    <t xml:space="preserve">Oil For Frying Sev</t>
  </si>
  <si>
    <t xml:space="preserve">Salt for Sev</t>
  </si>
  <si>
    <t xml:space="preserve">Every  dhaniya bundle is 300-350 gm without tail ( after cutting )</t>
  </si>
  <si>
    <t xml:space="preserve">Every  pudina bundle is 200 gm without tail ( after cutting )</t>
  </si>
  <si>
    <t xml:space="preserve">PLs redo once</t>
  </si>
  <si>
    <t xml:space="preserve">The green chutni yield was twice than expected as we made it first time by weighing the dhaniya </t>
  </si>
  <si>
    <t xml:space="preserve">more</t>
  </si>
  <si>
    <t xml:space="preserve">and pudina bundles. We need to confirm the yield once again by making it by weighing bundles</t>
  </si>
  <si>
    <t xml:space="preserve">Pattis were only 1750 in 100 kg, whereas 2250 were expected due to larger size of pattis</t>
  </si>
  <si>
    <t xml:space="preserve">Kala Jamun</t>
  </si>
  <si>
    <t xml:space="preserve">R  Qty</t>
  </si>
  <si>
    <t xml:space="preserve">Ragi powder</t>
  </si>
  <si>
    <t xml:space="preserve">CHANADAL DUDHI</t>
  </si>
  <si>
    <t xml:space="preserve">R Qty</t>
  </si>
  <si>
    <t xml:space="preserve">Roasted Jeera Powder</t>
  </si>
  <si>
    <t xml:space="preserve">Alu Matar</t>
  </si>
  <si>
    <t xml:space="preserve">Boiled alu with water</t>
  </si>
  <si>
    <t xml:space="preserve">Boiled matar with water</t>
  </si>
  <si>
    <t xml:space="preserve">Ajwain</t>
  </si>
  <si>
    <t xml:space="preserve">MDH Garam masala</t>
  </si>
  <si>
    <t xml:space="preserve">Cabbage Pakoda</t>
  </si>
  <si>
    <t xml:space="preserve">Cabbage Pakoda (we can mix in batches of 500 pakodas)</t>
  </si>
  <si>
    <t xml:space="preserve">Yield (Big Size)</t>
  </si>
  <si>
    <t xml:space="preserve">nos.</t>
  </si>
  <si>
    <t xml:space="preserve">Yield (medium Size)</t>
  </si>
  <si>
    <t xml:space="preserve">Cabbage, finely shredded</t>
  </si>
  <si>
    <t xml:space="preserve">Hari mirchi paste</t>
  </si>
  <si>
    <t xml:space="preserve">Dhaniya Patta, finely chopped</t>
  </si>
  <si>
    <t xml:space="preserve">L</t>
  </si>
  <si>
    <t xml:space="preserve">Garam masala, MDH</t>
  </si>
  <si>
    <t xml:space="preserve">Red chilli Pwd</t>
  </si>
  <si>
    <t xml:space="preserve">Everest chat Masala</t>
  </si>
  <si>
    <t xml:space="preserve">Poha Coarse Flour</t>
  </si>
  <si>
    <t xml:space="preserve">Macroni Pasta In Mayapur style</t>
  </si>
  <si>
    <t xml:space="preserve">Macroni</t>
  </si>
  <si>
    <t xml:space="preserve">Black Pepper</t>
  </si>
  <si>
    <t xml:space="preserve">Dry Basil</t>
  </si>
  <si>
    <t xml:space="preserve">Fresh Basil leaves</t>
  </si>
  <si>
    <t xml:space="preserve">Yeild</t>
  </si>
  <si>
    <t xml:space="preserve">Sweet corn soup</t>
  </si>
  <si>
    <t xml:space="preserve">Sweet Corn</t>
  </si>
  <si>
    <t xml:space="preserve">Milk</t>
  </si>
  <si>
    <t xml:space="preserve">Cornflour</t>
  </si>
  <si>
    <t xml:space="preserve">Rosemerry</t>
  </si>
  <si>
    <t xml:space="preserve">WANGI BHAT</t>
  </si>
  <si>
    <t xml:space="preserve">For Gojju:</t>
  </si>
  <si>
    <t xml:space="preserve">For Rice: Water</t>
  </si>
  <si>
    <t xml:space="preserve">Baingan</t>
  </si>
  <si>
    <t xml:space="preserve">CHAUNCE</t>
  </si>
  <si>
    <t xml:space="preserve">Ground nuts</t>
  </si>
  <si>
    <t xml:space="preserve">Dried khopri</t>
  </si>
  <si>
    <t xml:space="preserve">1/2 pcs</t>
  </si>
  <si>
    <t xml:space="preserve">Melkote Rasam Masala</t>
  </si>
  <si>
    <t xml:space="preserve">METHI SAMBAR</t>
  </si>
  <si>
    <t xml:space="preserve">Methi in Volume</t>
  </si>
  <si>
    <t xml:space="preserve">Tomato (1/2 inch machine cut)</t>
  </si>
  <si>
    <t xml:space="preserve">Melkote rasam masala</t>
  </si>
  <si>
    <t xml:space="preserve">or Annapoorna Sambar pwd</t>
  </si>
  <si>
    <t xml:space="preserve">Coconuts (optional)</t>
  </si>
  <si>
    <t xml:space="preserve">Avial</t>
  </si>
  <si>
    <t xml:space="preserve">Suran</t>
  </si>
  <si>
    <t xml:space="preserve">White Bhopla</t>
  </si>
  <si>
    <t xml:space="preserve">Chawli/ Beans</t>
  </si>
  <si>
    <t xml:space="preserve">Kaccha kela</t>
  </si>
  <si>
    <t xml:space="preserve">Coconut Paste</t>
  </si>
  <si>
    <t xml:space="preserve">Coconut Oil</t>
  </si>
  <si>
    <t xml:space="preserve">ALU TWIST</t>
  </si>
  <si>
    <t xml:space="preserve">Boiled Alu</t>
  </si>
  <si>
    <t xml:space="preserve">Kartik  Malgapodi</t>
  </si>
  <si>
    <t xml:space="preserve">Moong dal Uttapa</t>
  </si>
  <si>
    <t xml:space="preserve">Soak Moong dal rice</t>
  </si>
  <si>
    <t xml:space="preserve">Grind with other ingredients.</t>
  </si>
  <si>
    <t xml:space="preserve">Hari Mirchi</t>
  </si>
  <si>
    <t xml:space="preserve">Make chillas</t>
  </si>
  <si>
    <t xml:space="preserve">Batter Yield</t>
  </si>
  <si>
    <t xml:space="preserve">TOMATO PURUPU CHUTNI</t>
  </si>
  <si>
    <t xml:space="preserve">DATE</t>
  </si>
  <si>
    <t xml:space="preserve">DAY</t>
  </si>
  <si>
    <t xml:space="preserve">Festivals</t>
  </si>
  <si>
    <t xml:space="preserve">Breakfast </t>
  </si>
  <si>
    <t xml:space="preserve">Spiced Rice</t>
  </si>
  <si>
    <t xml:space="preserve">DAL</t>
  </si>
  <si>
    <t xml:space="preserve">Subzi 1</t>
  </si>
  <si>
    <t xml:space="preserve">Subzi 2</t>
  </si>
  <si>
    <t xml:space="preserve">Other</t>
  </si>
  <si>
    <t xml:space="preserve">Farsan</t>
  </si>
  <si>
    <t xml:space="preserve">Salad</t>
  </si>
  <si>
    <t xml:space="preserve">Sweet</t>
  </si>
  <si>
    <t xml:space="preserve">Sat</t>
  </si>
  <si>
    <t xml:space="preserve">Pre Yatra Day EKADASI</t>
  </si>
  <si>
    <t xml:space="preserve">Varai Khichdi, Potato Salli,lemongrass tea</t>
  </si>
  <si>
    <t xml:space="preserve">Soup</t>
  </si>
  <si>
    <t xml:space="preserve">Alu flower gravy</t>
  </si>
  <si>
    <t xml:space="preserve">Kakdi Singdana salad</t>
  </si>
  <si>
    <t xml:space="preserve">Varai kheer/Singada burfi</t>
  </si>
  <si>
    <t xml:space="preserve">Sun</t>
  </si>
  <si>
    <t xml:space="preserve">Parana time 5.45-9.30AM</t>
  </si>
  <si>
    <t xml:space="preserve">Mix Veg Poha, Ginger tea</t>
  </si>
  <si>
    <t xml:space="preserve">Broccoli  pulav</t>
  </si>
  <si>
    <t xml:space="preserve">Sweet corn milk coconut gravy</t>
  </si>
  <si>
    <t xml:space="preserve">Veg Kadhai with panir</t>
  </si>
  <si>
    <t xml:space="preserve">Lettuce Cherry tomato Salad</t>
  </si>
  <si>
    <t xml:space="preserve">Motichoor Laddu</t>
  </si>
  <si>
    <t xml:space="preserve">Mon</t>
  </si>
  <si>
    <t xml:space="preserve">Upma, Rasam</t>
  </si>
  <si>
    <t xml:space="preserve">Jeera rice</t>
  </si>
  <si>
    <t xml:space="preserve">Veg Kofta</t>
  </si>
  <si>
    <t xml:space="preserve">Malpua</t>
  </si>
  <si>
    <t xml:space="preserve">Tue</t>
  </si>
  <si>
    <t xml:space="preserve">Mumbai bhel, Lemongrass tea</t>
  </si>
  <si>
    <t xml:space="preserve">Curd rice</t>
  </si>
  <si>
    <t xml:space="preserve">Sambar GP</t>
  </si>
  <si>
    <t xml:space="preserve">Dosa Bhaji wet</t>
  </si>
  <si>
    <t xml:space="preserve">Cabbage SI</t>
  </si>
  <si>
    <t xml:space="preserve">Moong dal uttappa</t>
  </si>
  <si>
    <t xml:space="preserve">Tomato Pudina chutni</t>
  </si>
  <si>
    <t xml:space="preserve">Dal wada</t>
  </si>
  <si>
    <t xml:space="preserve">Nei Payasam</t>
  </si>
  <si>
    <t xml:space="preserve">Wed</t>
  </si>
  <si>
    <t xml:space="preserve">DEEPAWALI</t>
  </si>
  <si>
    <t xml:space="preserve">Nithai rice</t>
  </si>
  <si>
    <t xml:space="preserve">Nithai Green curry</t>
  </si>
  <si>
    <t xml:space="preserve">Sauted Vegetables with panir</t>
  </si>
  <si>
    <t xml:space="preserve">Dry fruit custard</t>
  </si>
  <si>
    <t xml:space="preserve">Thurs</t>
  </si>
  <si>
    <t xml:space="preserve">GOVARDHAN PUJA / SHIFTING DAY</t>
  </si>
  <si>
    <t xml:space="preserve">Dalia Upma, Ragi Malt</t>
  </si>
  <si>
    <t xml:space="preserve">Mysore Pak</t>
  </si>
  <si>
    <t xml:space="preserve">Fri</t>
  </si>
  <si>
    <t xml:space="preserve">Sushila, Ginger tea</t>
  </si>
  <si>
    <t xml:space="preserve">Peas Pulav</t>
  </si>
  <si>
    <t xml:space="preserve">Alu Gobi Sukha</t>
  </si>
  <si>
    <t xml:space="preserve">Sonpapdi</t>
  </si>
  <si>
    <t xml:space="preserve">Akha Mung Dal Makhni</t>
  </si>
  <si>
    <t xml:space="preserve">Malai Kofta</t>
  </si>
  <si>
    <t xml:space="preserve">Gajar Halwa</t>
  </si>
  <si>
    <t xml:space="preserve">PRABHUPADA DISAPP DAY</t>
  </si>
  <si>
    <t xml:space="preserve">Veg Biryani</t>
  </si>
  <si>
    <t xml:space="preserve">Turdal Ambula</t>
  </si>
  <si>
    <t xml:space="preserve">Panir makhanwala</t>
  </si>
  <si>
    <t xml:space="preserve">Kakdi Gajar raita</t>
  </si>
  <si>
    <t xml:space="preserve">ANNAKUTA</t>
  </si>
  <si>
    <t xml:space="preserve">Chanadal Dudhi</t>
  </si>
  <si>
    <t xml:space="preserve">Gud Lapsi/Atta Halwa</t>
  </si>
  <si>
    <t xml:space="preserve">Pasta, Sweet corn soup</t>
  </si>
  <si>
    <t xml:space="preserve">Vangi Bhat</t>
  </si>
  <si>
    <t xml:space="preserve">Methi Sambar</t>
  </si>
  <si>
    <t xml:space="preserve">Alu twist</t>
  </si>
  <si>
    <t xml:space="preserve">Tomato purupu chutni</t>
  </si>
  <si>
    <t xml:space="preserve">Papad</t>
  </si>
  <si>
    <t xml:space="preserve">Chocolate phirni/Vermi kheer</t>
  </si>
  <si>
    <t xml:space="preserve">name</t>
  </si>
  <si>
    <t xml:space="preserve">munit</t>
  </si>
  <si>
    <t xml:space="preserve">lt</t>
  </si>
  <si>
    <t xml:space="preserve">Kashmiri Michi pwd</t>
  </si>
  <si>
    <t xml:space="preserve">density_kg_per_lt</t>
  </si>
  <si>
    <t xml:space="preserve">density_kg_per_pcs</t>
  </si>
  <si>
    <t xml:space="preserve">density_pcs_per_lt</t>
  </si>
  <si>
    <t xml:space="preserve">typeofingredient</t>
  </si>
  <si>
    <t xml:space="preserve"> EKADASI KHICHDI NON-SPICY </t>
  </si>
  <si>
    <t xml:space="preserve">EKADASHI UPMA </t>
  </si>
  <si>
    <t xml:space="preserve">FENNEL TEA </t>
  </si>
  <si>
    <t xml:space="preserve">Gauranga fried  Rice </t>
  </si>
  <si>
    <t xml:space="preserve">Idli </t>
  </si>
  <si>
    <t xml:space="preserve">MUMBAI BHEL </t>
  </si>
  <si>
    <t xml:space="preserve">PAV - HERBAL TEA </t>
  </si>
  <si>
    <t xml:space="preserve">Pav Bhaji </t>
  </si>
  <si>
    <t xml:space="preserve">RED CHUTNEY </t>
  </si>
  <si>
    <t xml:space="preserve">Sushila Bhel </t>
  </si>
  <si>
    <t xml:space="preserve">Vegetable</t>
  </si>
  <si>
    <t xml:space="preserve">vegetable</t>
  </si>
  <si>
    <t xml:space="preserve">Spices</t>
  </si>
  <si>
    <t xml:space="preserve">spices</t>
  </si>
  <si>
    <t xml:space="preserve">Dairy</t>
  </si>
  <si>
    <t xml:space="preserve">dairy</t>
  </si>
  <si>
    <t xml:space="preserve">Oils</t>
  </si>
  <si>
    <t xml:space="preserve">oils</t>
  </si>
  <si>
    <t xml:space="preserve">Dryfruits</t>
  </si>
  <si>
    <t xml:space="preserve">dryfruits</t>
  </si>
  <si>
    <t xml:space="preserve">Pulses</t>
  </si>
  <si>
    <t xml:space="preserve">pulses</t>
  </si>
  <si>
    <t xml:space="preserve">Grains</t>
  </si>
  <si>
    <t xml:space="preserve">grains</t>
  </si>
  <si>
    <t xml:space="preserve">RecipeIngredientMeasurements</t>
  </si>
  <si>
    <t xml:space="preserve"> from django.test import Client</t>
  </si>
  <si>
    <t xml:space="preserve">slug</t>
  </si>
  <si>
    <t xml:space="preserve">formtype</t>
  </si>
  <si>
    <t xml:space="preserve">volume_Liters</t>
  </si>
  <si>
    <t xml:space="preserve">mass_KiloGrams</t>
  </si>
  <si>
    <t xml:space="preserve">pieces_Numbers</t>
  </si>
  <si>
    <t xml:space="preserve">Tub35</t>
  </si>
  <si>
    <t xml:space="preserve">Mliter = RecipeIngredientMeasurements.objects.get(slug=”lt”)</t>
  </si>
  <si>
    <t xml:space="preserve">Mkilogram =RecipeIngredientMeasurements.objects.get(slug=”kg”)</t>
  </si>
  <si>
    <t xml:space="preserve">Mpcs = RecipeIngredientMeasurements.objects.get(slug=”pcs”)</t>
  </si>
  <si>
    <t xml:space="preserve">Mtub35 = RecipeIngredientMeasurements.objects.get(slug=”Tub25”)</t>
  </si>
  <si>
    <t xml:space="preserve">quantity</t>
  </si>
  <si>
    <t xml:space="preserve">Cup 200 ml</t>
  </si>
  <si>
    <t xml:space="preserve">SingleMeasurements</t>
  </si>
  <si>
    <t xml:space="preserve">Single Measurements</t>
  </si>
  <si>
    <t xml:space="preserve">Kilogram</t>
  </si>
  <si>
    <t xml:space="preserve">Sname = SingleMeasurements.objects.get(slug=”lt”)</t>
  </si>
  <si>
    <t xml:space="preserve">Sliter = SingleMeasurements.objects.get(slug=”kg”)</t>
  </si>
  <si>
    <t xml:space="preserve">Skilogram = SingleMeasurements.objects.get(slug=”pcs”)</t>
  </si>
  <si>
    <t xml:space="preserve">Scup200 = SingleMeasurements.objects.get(slug=”cup200”)</t>
  </si>
  <si>
    <t xml:space="preserve">id</t>
  </si>
  <si>
    <t xml:space="preserve">url</t>
  </si>
  <si>
    <t xml:space="preserve">Name of ingredient</t>
  </si>
  <si>
    <t xml:space="preserve">ingredient</t>
  </si>
  <si>
    <t xml:space="preserve">mass qty</t>
  </si>
  <si>
    <t xml:space="preserve">mass unit</t>
  </si>
  <si>
    <t xml:space="preserve">m unit id</t>
  </si>
  <si>
    <t xml:space="preserve">vol qty</t>
  </si>
  <si>
    <t xml:space="preserve">vol unit</t>
  </si>
  <si>
    <t xml:space="preserve">vol unit id</t>
  </si>
  <si>
    <t xml:space="preserve">pcs qty</t>
  </si>
  <si>
    <t xml:space="preserve">pcs unit</t>
  </si>
  <si>
    <t xml:space="preserve">pcs unit id</t>
  </si>
  <si>
    <t xml:space="preserve">comments</t>
  </si>
  <si>
    <t xml:space="preserve">S.NO</t>
  </si>
  <si>
    <t xml:space="preserve">/recipes/varai-khichdi/detail/</t>
  </si>
  <si>
    <t xml:space="preserve">a = Client().post('/recipes/varai-khichdi/detail/', {'recipe' : '1', 'ingredient' : '201', 'name' : 'Varai rice', 'mass_unit' : '2', 'mass_quantity' : '3.42', 'volume_unit' : '1', 'volume_quantity' : '0', 'pieces_unit' : '3', 'pieces_quantity' : '0', 'cooking_notes' : ''}).status_code; print('%s :: %s :: %s :: %s :: %s' %(a,7,'Varai rice','varai','Varai Khichdi'))</t>
  </si>
  <si>
    <t xml:space="preserve">a = Client().post('/recipes/varai-khichdi/detail/', {'recipe' : '1', 'ingredient' : '30', 'name' : 'Bhopla', 'mass_unit' : '2', 'mass_quantity' : '2.917', 'volume_unit' : '1', 'volume_quantity' : '0', 'pieces_unit' : '3', 'pieces_quantity' : '0', 'cooking_notes' : ''}).status_code; print('%s :: %s :: %s :: %s :: %s' %(a,8,'Bhopla','bhopla','Varai Khichdi'))</t>
  </si>
  <si>
    <t xml:space="preserve">a = Client().post('/recipes/varai-khichdi/detail/', {'recipe' : '1', 'ingredient' : '69', 'name' : 'Dudhi', 'mass_unit' : '2', 'mass_quantity' : '2.917', 'volume_unit' : '1', 'volume_quantity' : '0', 'pieces_unit' : '3', 'pieces_quantity' : '0', 'cooking_notes' : ''}).status_code; print('%s :: %s :: %s :: %s :: %s' %(a,9,'Dudhi','dudhi','Varai Khichdi'))</t>
  </si>
  <si>
    <t xml:space="preserve">a = Client().post('/recipes/varai-khichdi/detail/', {'recipe' : '1', 'ingredient' : '8', 'name' : 'Alu', 'mass_unit' : '2', 'mass_quantity' : '1.25', 'volume_unit' : '1', 'volume_quantity' : '0', 'pieces_unit' : '3', 'pieces_quantity' : '0', 'cooking_notes' : ''}).status_code; print('%s :: %s :: %s :: %s :: %s' %(a,10,'Alu','alu','Varai Khichdi'))</t>
  </si>
  <si>
    <t xml:space="preserve">a = Client().post('/recipes/varai-khichdi/detail/', {'recipe' : '1', 'ingredient' : '79', 'name' : 'Gajar', 'mass_unit' : '2', 'mass_quantity' : '1.25', 'volume_unit' : '1', 'volume_quantity' : '0', 'pieces_unit' : '3', 'pieces_quantity' : '0', 'cooking_notes' : ''}).status_code; print('%s :: %s :: %s :: %s :: %s' %(a,11,'Gajar','gajar','Varai Khichdi'))</t>
  </si>
  <si>
    <t xml:space="preserve">a = Client().post('/recipes/varai-khichdi/detail/', {'recipe' : '1', 'ingredient' : '89', 'name' : 'Groundnut Oil', 'mass_unit' : '2', 'mass_quantity' : '0', 'volume_unit' : '1', 'volume_quantity' : '1', 'pieces_unit' : '3', 'pieces_quantity' : '0', 'cooking_notes' : ''}).status_code; print('%s :: %s :: %s :: %s :: %s' %(a,12,'Groundnut Oil','ground nut oil','Varai Khichdi'))</t>
  </si>
  <si>
    <t xml:space="preserve">a = Client().post('/recipes/varai-khichdi/detail/', {'recipe' : '1', 'ingredient' : '102', 'name' : 'Jeera', 'mass_unit' : '2', 'mass_quantity' : '0', 'volume_unit' : '1', 'volume_quantity' : '0.167', 'pieces_unit' : '3', 'pieces_quantity' : '0', 'cooking_notes' : ''}).status_code; print('%s :: %s :: %s :: %s :: %s' %(a,13,'Jeera','jeera','Varai Khichdi'))</t>
  </si>
  <si>
    <t xml:space="preserve">a = Client().post('/recipes/varai-khichdi/detail/', {'recipe' : '1', 'ingredient' : '93', 'name' : 'Hari mirchi split in 2', 'mass_unit' : '2', 'mass_quantity' : '0', 'volume_unit' : '1', 'volume_quantity' : '0.167', 'pieces_unit' : '3', 'pieces_quantity' : '0', 'cooking_notes' : ''}).status_code; print('%s :: %s :: %s :: %s :: %s' %(a,14,'Hari mirchi split in 2','hari mirchi','Varai Khichdi'))</t>
  </si>
  <si>
    <t xml:space="preserve">a = Client().post('/recipes/varai-khichdi/detail/', {'recipe' : '1', 'ingredient' : '135', 'name' : 'Madrasi Mirchi', 'mass_unit' : '2', 'mass_quantity' : '0', 'volume_unit' : '1', 'volume_quantity' : '0.167', 'pieces_unit' : '3', 'pieces_quantity' : '0', 'cooking_notes' : ''}).status_code; print('%s :: %s :: %s :: %s :: %s' %(a,15,'Madrasi Mirchi','madrasi mirchi powder','Varai Khichdi'))</t>
  </si>
  <si>
    <t xml:space="preserve">a = Client().post('/recipes/varai-khichdi/detail/', {'recipe' : '1', 'ingredient' : '105', 'name' : 'Kadi Patta', 'mass_unit' : '2', 'mass_quantity' : '0', 'volume_unit' : '1', 'volume_quantity' : '1', 'pieces_unit' : '3', 'pieces_quantity' : '0', 'cooking_notes' : ''}).status_code; print('%s :: %s :: %s :: %s :: %s' %(a,16,'Kadi Patta','kadi patta','Varai Khichdi'))</t>
  </si>
  <si>
    <t xml:space="preserve">a = Client().post('/recipes/varai-khichdi/detail/', {'recipe' : '1', 'ingredient' : '1', 'name' : 'Adrak paste', 'mass_unit' : '2', 'mass_quantity' : '0', 'volume_unit' : '1', 'volume_quantity' : '0.208', 'pieces_unit' : '3', 'pieces_quantity' : '0', 'cooking_notes' : ''}).status_code; print('%s :: %s :: %s :: %s :: %s' %(a,17,'Adrak paste','adrak','Varai Khichdi'))</t>
  </si>
  <si>
    <t xml:space="preserve">a = Client().post('/recipes/varai-khichdi/detail/', {'recipe' : '1', 'ingredient' : '117', 'name' : 'Kashmiri Mirchi Powder', 'mass_unit' : '2', 'mass_quantity' : '0', 'volume_unit' : '5', 'volume_quantity' : '0.208', 'pieces_unit' : '3', 'pieces_quantity' : '0', 'cooking_notes' : ''}).status_code; print('%s :: %s :: %s :: %s :: %s' %(a,18,'Kashmiri Mirchi Powder','kashmiri chilly powder','Varai Khichdi'))</t>
  </si>
  <si>
    <t xml:space="preserve">a = Client().post('/recipes/varai-khichdi/detail/', {'recipe' : '1', 'ingredient' : '195', 'name' : 'Tomato', 'mass_unit' : '2', 'mass_quantity' : '3', 'volume_unit' : '1', 'volume_quantity' : '0', 'pieces_unit' : '3', 'pieces_quantity' : '0', 'cooking_notes' : ''}).status_code; print('%s :: %s :: %s :: %s :: %s' %(a,19,'Tomato','tomato','Varai Khichdi'))</t>
  </si>
  <si>
    <t xml:space="preserve">a = Client().post('/recipes/varai-khichdi/detail/', {'recipe' : '1', 'ingredient' : '81', 'name' : 'Ghee', 'mass_unit' : '2', 'mass_quantity' : '0', 'volume_unit' : '1', 'volume_quantity' : '0.5', 'pieces_unit' : '3', 'pieces_quantity' : '0', 'cooking_notes' : ''}).status_code; print('%s :: %s :: %s :: %s :: %s' %(a,20,'Ghee','ghee','Varai Khichdi'))</t>
  </si>
  <si>
    <t xml:space="preserve">a = Client().post('/recipes/varai-khichdi/detail/', {'recipe' : '1', 'ingredient' : '66', 'name' : 'Dhania patta', 'mass_unit' : '2', 'mass_quantity' : '0', 'volume_unit' : '6', 'volume_quantity' : '0.1', 'pieces_unit' : '3', 'pieces_quantity' : '0', 'cooking_notes' : ''}).status_code; print('%s :: %s :: %s :: %s :: %s' %(a,21,'Dhania patta','dhaniya patta','Varai Khichdi'))</t>
  </si>
  <si>
    <t xml:space="preserve">a = Client().post('/recipes/varai-khichdi/detail/', {'recipe' : '1', 'ingredient' : '103', 'name' : 'Jeera pwd', 'mass_unit' : '2', 'mass_quantity' : '0', 'volume_unit' : '1', 'volume_quantity' : '0.083', 'pieces_unit' : '3', 'pieces_quantity' : '0', 'cooking_notes' : ''}).status_code; print('%s :: %s :: %s :: %s :: %s' %(a,22,'Jeera pwd','jeera powder','Varai Khichdi'))</t>
  </si>
  <si>
    <t xml:space="preserve">/recipes/potato-salli/detail/</t>
  </si>
  <si>
    <t xml:space="preserve">a = Client().post('/recipes/potato-salli/detail/', {'recipe' : '94', 'ingredient' : '215', 'name' : 'Salli', 'mass_unit' : '2', 'mass_quantity' : '4', 'volume_unit' : '1', 'volume_quantity' : '0', 'pieces_unit' : '3', 'pieces_quantity' : '0', 'cooking_notes' : ''}).status_code; print('%s :: %s :: %s :: %s :: %s' %(a,25,'Salli','salli','Potato Salli'))</t>
  </si>
  <si>
    <t xml:space="preserve">a = Client().post('/recipes/potato-salli/detail/', {'recipe' : '94', 'ingredient' : '31', 'name' : 'Black Pepper Pwd', 'mass_unit' : '2', 'mass_quantity' : '0', 'volume_unit' : '5', 'volume_quantity' : '0.5', 'pieces_unit' : '3', 'pieces_quantity' : '0', 'cooking_notes' : ''}).status_code; print('%s :: %s :: %s :: %s :: %s' %(a,26,'Black Pepper Pwd','black pepper','Potato Salli'))</t>
  </si>
  <si>
    <t xml:space="preserve">a = Client().post('/recipes/potato-salli/detail/', {'recipe' : '94', 'ingredient' : '32', 'name' : 'Black Salt', 'mass_unit' : '2', 'mass_quantity' : '0', 'volume_unit' : '5', 'volume_quantity' : '0.5', 'pieces_unit' : '3', 'pieces_quantity' : '0', 'cooking_notes' : ''}).status_code; print('%s :: %s :: %s :: %s :: %s' %(a,27,'Black Salt','black salt','Potato Salli'))</t>
  </si>
  <si>
    <t xml:space="preserve">a = Client().post('/recipes/potato-salli/detail/', {'recipe' : '94', 'ingredient' : '177', 'name' : 'Salt', 'mass_unit' : '2', 'mass_quantity' : '0', 'volume_unit' : '5', 'volume_quantity' : '0.5', 'pieces_unit' : '3', 'pieces_quantity' : '0', 'cooking_notes' : ''}).status_code; print('%s :: %s :: %s :: %s :: %s' %(a,28,'Salt','salt','Potato Salli'))</t>
  </si>
  <si>
    <t xml:space="preserve">a = Client().post('/recipes/potato-salli/detail/', {'recipe' : '94', 'ingredient' : '83', 'name' : 'Oil for frying ', 'mass_unit' : '2', 'mass_quantity' : '0', 'volume_unit' : '1', 'volume_quantity' : '0', 'pieces_unit' : '3', 'pieces_quantity' : '0', 'cooking_notes' : ''}).status_code; print('%s :: %s :: %s :: %s :: %s' %(a,29,'Oil for frying ','gound nut oil','Potato Salli'))</t>
  </si>
  <si>
    <t xml:space="preserve">/recipes/varai-pulav2/detail/</t>
  </si>
  <si>
    <t xml:space="preserve">a = Client().post('/recipes/varai-pulav2/detail/', {'recipe' : '96', 'ingredient' : '201', 'name' : 'Varai rice', 'mass_unit' : '2', 'mass_quantity' : '30', 'volume_unit' : '1', 'volume_quantity' : '0', 'pieces_unit' : '3', 'pieces_quantity' : '0', 'cooking_notes' : ''}).status_code; print('%s :: %s :: %s :: %s :: %s' %(a,32,'Varai rice','varai','Varai Pulav2'))</t>
  </si>
  <si>
    <t xml:space="preserve">a = Client().post('/recipes/varai-pulav2/detail/', {'recipe' : '96', 'ingredient' : '89', 'name' : 'Groundnut oil for tadka', 'mass_unit' : '2', 'mass_quantity' : '0', 'volume_unit' : '1', 'volume_quantity' : '10', 'pieces_unit' : '3', 'pieces_quantity' : '0', 'cooking_notes' : ''}).status_code; print('%s :: %s :: %s :: %s :: %s' %(a,33,'Groundnut oil for tadka','ground nut oil','Varai Pulav2'))</t>
  </si>
  <si>
    <t xml:space="preserve">a = Client().post('/recipes/varai-pulav2/detail/', {'recipe' : '96', 'ingredient' : '191', 'name' : 'Tejpatta', 'mass_unit' : '2', 'mass_quantity' : '0', 'volume_unit' : '1', 'volume_quantity' : '1', 'pieces_unit' : '3', 'pieces_quantity' : '0', 'cooking_notes' : ''}).status_code; print('%s :: %s :: %s :: %s :: %s' %(a,34,'Tejpatta','tej patta','Varai Pulav2'))</t>
  </si>
  <si>
    <t xml:space="preserve">a = Client().post('/recipes/varai-pulav2/detail/', {'recipe' : '96', 'ingredient' : '102', 'name' : 'Jeera', 'mass_unit' : '2', 'mass_quantity' : '0', 'volume_unit' : '1', 'volume_quantity' : '0.75', 'pieces_unit' : '3', 'pieces_quantity' : '0', 'cooking_notes' : ''}).status_code; print('%s :: %s :: %s :: %s :: %s' %(a,35,'Jeera','jeera','Varai Pulav2'))</t>
  </si>
  <si>
    <t xml:space="preserve">a = Client().post('/recipes/varai-pulav2/detail/', {'recipe' : '96', 'ingredient' : '105', 'name' : 'kadi patta', 'mass_unit' : '2', 'mass_quantity' : '0', 'volume_unit' : '1', 'volume_quantity' : '2', 'pieces_unit' : '3', 'pieces_quantity' : '0', 'cooking_notes' : ''}).status_code; print('%s :: %s :: %s :: %s :: %s' %(a,36,'kadi patta','kadi patta','Varai Pulav2'))</t>
  </si>
  <si>
    <t xml:space="preserve">a = Client().post('/recipes/varai-pulav2/detail/', {'recipe' : '96', 'ingredient' : '79', 'name' : 'Gajar', 'mass_unit' : '2', 'mass_quantity' : '4', 'volume_unit' : '1', 'volume_quantity' : '5', 'pieces_unit' : '3', 'pieces_quantity' : '0', 'cooking_notes' : ''}).status_code; print('%s :: %s :: %s :: %s :: %s' %(a,37,'Gajar','gajar','Varai Pulav2'))</t>
  </si>
  <si>
    <t xml:space="preserve">a = Client().post('/recipes/varai-pulav2/detail/', {'recipe' : '96', 'ingredient' : '39', 'name' : 'Cabbage', 'mass_unit' : '2', 'mass_quantity' : '12', 'volume_unit' : '1', 'volume_quantity' : '30', 'pieces_unit' : '3', 'pieces_quantity' : '0', 'cooking_notes' : ''}).status_code; print('%s :: %s :: %s :: %s :: %s' %(a,38,'Cabbage','cabbage','Varai Pulav2'))</t>
  </si>
  <si>
    <t xml:space="preserve">a = Client().post('/recipes/varai-pulav2/detail/', {'recipe' : '96', 'ingredient' : '42', 'name' : 'Capsicum', 'mass_unit' : '2', 'mass_quantity' : '3.5', 'volume_unit' : '1', 'volume_quantity' : '5', 'pieces_unit' : '3', 'pieces_quantity' : '0', 'cooking_notes' : ''}).status_code; print('%s :: %s :: %s :: %s :: %s' %(a,39,'Capsicum','capsicum','Varai Pulav2'))</t>
  </si>
  <si>
    <t xml:space="preserve">a = Client().post('/recipes/varai-pulav2/detail/', {'recipe' : '96', 'ingredient' : '177', 'name' : 'Salt', 'mass_unit' : '2', 'mass_quantity' : '0', 'volume_unit' : '5', 'volume_quantity' : '4', 'pieces_unit' : '3', 'pieces_quantity' : '0', 'cooking_notes' : ''}).status_code; print('%s :: %s :: %s :: %s :: %s' %(a,40,'Salt','salt','Varai Pulav2'))</t>
  </si>
  <si>
    <t xml:space="preserve">a = Client().post('/recipes/varai-pulav2/detail/', {'recipe' : '96', 'ingredient' : '74', 'name' : 'Everest Pulav Masala', 'mass_unit' : '2', 'mass_quantity' : '0', 'volume_unit' : '5', 'volume_quantity' : '2', 'pieces_unit' : '3', 'pieces_quantity' : '0', 'cooking_notes' : ''}).status_code; print('%s :: %s :: %s :: %s :: %s' %(a,41,'Everest Pulav Masala','everest pulav masala','Varai Pulav2'))</t>
  </si>
  <si>
    <t xml:space="preserve">a = Client().post('/recipes/varai-pulav2/detail/', {'recipe' : '96', 'ingredient' : '97', 'name' : 'Hot water', 'mass_unit' : '2', 'mass_quantity' : '0', 'volume_unit' : '1', 'volume_quantity' : '60', 'pieces_unit' : '3', 'pieces_quantity' : '0', 'cooking_notes' : '2 x Vol of Varai'}).status_code; print('%s :: %s :: %s :: %s :: %s' %(a,42,'Hot water','hot water','Varai Pulav2'))</t>
  </si>
  <si>
    <t xml:space="preserve">a = Client().post('/recipes/varai-pulav2/detail/', {'recipe' : '96', 'ingredient' : '187', 'name' : 'sugar', 'mass_unit' : '2', 'mass_quantity' : '0', 'volume_unit' : '5', 'volume_quantity' : '4', 'pieces_unit' : '3', 'pieces_quantity' : '0', 'cooking_notes' : ''}).status_code; print('%s :: %s :: %s :: %s :: %s' %(a,43,'sugar','sugar','Varai Pulav2'))</t>
  </si>
  <si>
    <t xml:space="preserve">/recipes/ekadasi-soup/detail/</t>
  </si>
  <si>
    <t xml:space="preserve">a = Client().post('/recipes/ekadasi-soup/detail/', {'recipe' : '91', 'ingredient' : '195', 'name' : 'Tomato', 'mass_unit' : '2', 'mass_quantity' : '7.5', 'volume_unit' : '1', 'volume_quantity' : '0', 'pieces_unit' : '3', 'pieces_quantity' : '0', 'cooking_notes' : ''}).status_code; print('%s :: %s :: %s :: %s :: %s' %(a,46,'Tomato','tomato','Ekadasi soup'))</t>
  </si>
  <si>
    <t xml:space="preserve">a = Client().post('/recipes/ekadasi-soup/detail/', {'recipe' : '91', 'ingredient' : '30', 'name' : 'Bhopla', 'mass_unit' : '2', 'mass_quantity' : '15', 'volume_unit' : '1', 'volume_quantity' : '0', 'pieces_unit' : '3', 'pieces_quantity' : '0', 'cooking_notes' : ''}).status_code; print('%s :: %s :: %s :: %s :: %s' %(a,47,'Bhopla','bhopla','Ekadasi soup'))</t>
  </si>
  <si>
    <t xml:space="preserve">a = Client().post('/recipes/ekadasi-soup/detail/', {'recipe' : '91', 'ingredient' : '8', 'name' : 'Alu', 'mass_unit' : '2', 'mass_quantity' : '7.5', 'volume_unit' : '1', 'volume_quantity' : '0', 'pieces_unit' : '3', 'pieces_quantity' : '0', 'cooking_notes' : ''}).status_code; print('%s :: %s :: %s :: %s :: %s' %(a,48,'Alu','alu','Ekadasi soup'))</t>
  </si>
  <si>
    <t xml:space="preserve">a = Client().post('/recipes/ekadasi-soup/detail/', {'recipe' : '91', 'ingredient' : '79', 'name' : 'Gajar', 'mass_unit' : '2', 'mass_quantity' : '4.98', 'volume_unit' : '1', 'volume_quantity' : '0', 'pieces_unit' : '3', 'pieces_quantity' : '0', 'cooking_notes' : ''}).status_code; print('%s :: %s :: %s :: %s :: %s' %(a,49,'Gajar','gajar','Ekadasi soup'))</t>
  </si>
  <si>
    <t xml:space="preserve">a = Client().post('/recipes/ekadasi-soup/detail/', {'recipe' : '91', 'ingredient' : '214', 'name' : 'Boiled water', 'mass_unit' : '2', 'mass_quantity' : '0', 'volume_unit' : '1', 'volume_quantity' : '0', 'pieces_unit' : '3', 'pieces_quantity' : '0', 'cooking_notes' : ''}).status_code; print('%s :: %s :: %s :: %s :: %s' %(a,50,'Boiled water','water','Ekadasi soup'))</t>
  </si>
  <si>
    <t xml:space="preserve">a = Client().post('/recipes/ekadasi-soup/detail/', {'recipe' : '91', 'ingredient' : '217', 'name' : 'Boiled vegetables puree', 'mass_unit' : '2', 'mass_quantity' : '0', 'volume_unit' : '1', 'volume_quantity' : '60', 'pieces_unit' : '3', 'pieces_quantity' : '0', 'cooking_notes' : ''}).status_code; print('%s :: %s :: %s :: %s :: %s' %(a,51,'Boiled vegetables puree','boiled vegetables puree','Ekadasi soup'))</t>
  </si>
  <si>
    <t xml:space="preserve">a = Client().post('/recipes/ekadasi-soup/detail/', {'recipe' : '91', 'ingredient' : '76', 'name' : 'EVOO / butter', 'mass_unit' : '2', 'mass_quantity' : '0', 'volume_unit' : '1', 'volume_quantity' : '1.5', 'pieces_unit' : '3', 'pieces_quantity' : '0', 'cooking_notes' : ''}).status_code; print('%s :: %s :: %s :: %s :: %s' %(a,52,'EVOO / butter','EVOO','Ekadasi soup'))</t>
  </si>
  <si>
    <t xml:space="preserve">a = Client().post('/recipes/ekadasi-soup/detail/', {'recipe' : '91', 'ingredient' : '76', 'name' : 'EVOO on Top', 'mass_unit' : '2', 'mass_quantity' : '0', 'volume_unit' : '1', 'volume_quantity' : '1', 'pieces_unit' : '3', 'pieces_quantity' : '0', 'cooking_notes' : ''}).status_code; print('%s :: %s :: %s :: %s :: %s' %(a,53,'EVOO on Top','EVOO','Ekadasi soup'))</t>
  </si>
  <si>
    <t xml:space="preserve">a = Client().post('/recipes/ekadasi-soup/detail/', {'recipe' : '91', 'ingredient' : '31', 'name' : 'Black Pepper pwd', 'mass_unit' : '2', 'mass_quantity' : '0', 'volume_unit' : '5', 'volume_quantity' : '0.498', 'pieces_unit' : '3', 'pieces_quantity' : '0', 'cooking_notes' : ''}).status_code; print('%s :: %s :: %s :: %s :: %s' %(a,54,'Black Pepper pwd','black pepper','Ekadasi soup'))</t>
  </si>
  <si>
    <t xml:space="preserve">a = Client().post('/recipes/ekadasi-soup/detail/', {'recipe' : '91', 'ingredient' : '24', 'name' : 'Basil Leaves', 'mass_unit' : '2', 'mass_quantity' : '1', 'volume_unit' : '6', 'volume_quantity' : '0.4', 'pieces_unit' : '3', 'pieces_quantity' : '0', 'cooking_notes' : ''}).status_code; print('%s :: %s :: %s :: %s :: %s' %(a,55,'Basil Leaves','basil leaves','Ekadasi soup'))</t>
  </si>
  <si>
    <t xml:space="preserve">a = Client().post('/recipes/ekadasi-soup/detail/', {'recipe' : '91', 'ingredient' : '37', 'name' : 'Brown sugar (bluebird)', 'mass_unit' : '2', 'mass_quantity' : '0.5', 'volume_unit' : '1', 'volume_quantity' : '0', 'pieces_unit' : '3', 'pieces_quantity' : '0', 'cooking_notes' : ''}).status_code; print('%s :: %s :: %s :: %s :: %s' %(a,56,'Brown sugar (bluebird)','brown sugar','Ekadasi soup'))</t>
  </si>
  <si>
    <t xml:space="preserve">a = Client().post('/recipes/ekadasi-soup/detail/', {'recipe' : '91', 'ingredient' : '177', 'name' : 'Salt', 'mass_unit' : '2', 'mass_quantity' : '0', 'volume_unit' : '5', 'volume_quantity' : '2.988', 'pieces_unit' : '3', 'pieces_quantity' : '0', 'cooking_notes' : ''}).status_code; print('%s :: %s :: %s :: %s :: %s' %(a,57,'Salt','salt','Ekadasi soup'))</t>
  </si>
  <si>
    <t xml:space="preserve">a = Client().post('/recipes/ekadasi-soup/detail/', {'recipe' : '91', 'ingredient' : '129', 'name' : 'Lemon Juice', 'mass_unit' : '2', 'mass_quantity' : '0', 'volume_unit' : '5', 'volume_quantity' : '0.5', 'pieces_unit' : '3', 'pieces_quantity' : '0', 'cooking_notes' : ''}).status_code; print('%s :: %s :: %s :: %s :: %s' %(a,58,'Lemon Juice','lemon','Ekadasi soup'))</t>
  </si>
  <si>
    <t xml:space="preserve">/recipes/alu-flower-gravy-ekadashi/detail/</t>
  </si>
  <si>
    <t xml:space="preserve">a = Client().post('/recipes/alu-flower-gravy-ekadashi/detail/', {'recipe' : '90', 'ingredient' : '8', 'name' : 'Alu', 'mass_unit' : '2', 'mass_quantity' : '11.667', 'volume_unit' : '1', 'volume_quantity' : '0', 'pieces_unit' : '3', 'pieces_quantity' : '0', 'cooking_notes' : '(1/2 inch cube steamed)'}).status_code; print('%s :: %s :: %s :: %s :: %s' %(a,62,'Alu','alu','Alu Flower Gravy (Ekadashi)'))</t>
  </si>
  <si>
    <t xml:space="preserve">a = Client().post('/recipes/alu-flower-gravy-ekadashi/detail/', {'recipe' : '90', 'ingredient' : '78', 'name' : 'Flower', 'mass_unit' : '2', 'mass_quantity' : '29.167', 'volume_unit' : '1', 'volume_quantity' : '35', 'pieces_unit' : '3', 'pieces_quantity' : '0', 'cooking_notes' : '(florets after cutting)'}).status_code; print('%s :: %s :: %s :: %s :: %s' %(a,63,'Flower','flower','Alu Flower Gravy (Ekadashi)'))</t>
  </si>
  <si>
    <t xml:space="preserve">a = Client().post('/recipes/alu-flower-gravy-ekadashi/detail/', {'recipe' : '90', 'ingredient' : '78', 'name' : 'Flower', 'mass_unit' : '2', 'mass_quantity' : '0', 'volume_unit' : '1', 'volume_quantity' : '11.667', 'pieces_unit' : '3', 'pieces_quantity' : '0', 'cooking_notes' : '(deep fried)'}).status_code; print('%s :: %s :: %s :: %s :: %s' %(a,64,'Flower','flower','Alu Flower Gravy (Ekadashi)'))</t>
  </si>
  <si>
    <t xml:space="preserve">a = Client().post('/recipes/alu-flower-gravy-ekadashi/detail/', {'recipe' : '90', 'ingredient' : '195', 'name' : 'Tomato puree', 'mass_unit' : '2', 'mass_quantity' : '14.583', 'volume_unit' : '1', 'volume_quantity' : '0', 'pieces_unit' : '3', 'pieces_quantity' : '0', 'cooking_notes' : ''}).status_code; print('%s :: %s :: %s :: %s :: %s' %(a,65,'Tomato puree','tomato','Alu Flower Gravy (Ekadashi)'))</t>
  </si>
  <si>
    <t xml:space="preserve">a = Client().post('/recipes/alu-flower-gravy-ekadashi/detail/', {'recipe' : '90', 'ingredient' : '81', 'name' : 'Ghee', 'mass_unit' : '2', 'mass_quantity' : '0', 'volume_unit' : '1', 'volume_quantity' : '0.875', 'pieces_unit' : '3', 'pieces_quantity' : '0', 'cooking_notes' : ''}).status_code; print('%s :: %s :: %s :: %s :: %s' %(a,66,'Ghee','ghee','Alu Flower Gravy (Ekadashi)'))</t>
  </si>
  <si>
    <t xml:space="preserve">a = Client().post('/recipes/alu-flower-gravy-ekadashi/detail/', {'recipe' : '90', 'ingredient' : '102', 'name' : 'Jeera', 'mass_unit' : '2', 'mass_quantity' : '0', 'volume_unit' : '5', 'volume_quantity' : '0.875', 'pieces_unit' : '3', 'pieces_quantity' : '0', 'cooking_notes' : ''}).status_code; print('%s :: %s :: %s :: %s :: %s' %(a,67,'Jeera','jeera','Alu Flower Gravy (Ekadashi)'))</t>
  </si>
  <si>
    <t xml:space="preserve">a = Client().post('/recipes/alu-flower-gravy-ekadashi/detail/', {'recipe' : '90', 'ingredient' : '93', 'name' : 'Hari Mirchi split in 2', 'mass_unit' : '2', 'mass_quantity' : '0', 'volume_unit' : '5', 'volume_quantity' : '1.167', 'pieces_unit' : '3', 'pieces_quantity' : '0', 'cooking_notes' : ''}).status_code; print('%s :: %s :: %s :: %s :: %s' %(a,68,'Hari Mirchi split in 2','hari mirchi','Alu Flower Gravy (Ekadashi)'))</t>
  </si>
  <si>
    <t xml:space="preserve">a = Client().post('/recipes/alu-flower-gravy-ekadashi/detail/', {'recipe' : '90', 'ingredient' : '1', 'name' : 'Adrak paste', 'mass_unit' : '2', 'mass_quantity' : '0', 'volume_unit' : '1', 'volume_quantity' : '0.438', 'pieces_unit' : '3', 'pieces_quantity' : '0', 'cooking_notes' : ''}).status_code; print('%s :: %s :: %s :: %s :: %s' %(a,69,'Adrak paste','adrak','Alu Flower Gravy (Ekadashi)'))</t>
  </si>
  <si>
    <t xml:space="preserve">a = Client().post('/recipes/alu-flower-gravy-ekadashi/detail/', {'recipe' : '90', 'ingredient' : '103', 'name' : 'Jeera pwd', 'mass_unit' : '2', 'mass_quantity' : '0', 'volume_unit' : '5', 'volume_quantity' : '0.875', 'pieces_unit' : '3', 'pieces_quantity' : '0', 'cooking_notes' : ''}).status_code; print('%s :: %s :: %s :: %s :: %s' %(a,70,'Jeera pwd','jeera powder','Alu Flower Gravy (Ekadashi)'))</t>
  </si>
  <si>
    <t xml:space="preserve">a = Client().post('/recipes/alu-flower-gravy-ekadashi/detail/', {'recipe' : '90', 'ingredient' : '67', 'name' : 'Dhania Pwd', 'mass_unit' : '2', 'mass_quantity' : '0', 'volume_unit' : '5', 'volume_quantity' : '1.75', 'pieces_unit' : '3', 'pieces_quantity' : '0', 'cooking_notes' : ''}).status_code; print('%s :: %s :: %s :: %s :: %s' %(a,71,'Dhania Pwd','dhaniya powder','Alu Flower Gravy (Ekadashi)'))</t>
  </si>
  <si>
    <t xml:space="preserve">a = Client().post('/recipes/alu-flower-gravy-ekadashi/detail/', {'recipe' : '90', 'ingredient' : '177', 'name' : 'Salt ', 'mass_unit' : '2', 'mass_quantity' : '0', 'volume_unit' : '5', 'volume_quantity' : '1.313', 'pieces_unit' : '3', 'pieces_quantity' : '0', 'cooking_notes' : ''}).status_code; print('%s :: %s :: %s :: %s :: %s' %(a,72,'Salt ','salt','Alu Flower Gravy (Ekadashi)'))</t>
  </si>
  <si>
    <t xml:space="preserve">a = Client().post('/recipes/alu-flower-gravy-ekadashi/detail/', {'recipe' : '90', 'ingredient' : '74', 'name' : 'Everest pulao masala', 'mass_unit' : '2', 'mass_quantity' : '0', 'volume_unit' : '5', 'volume_quantity' : '1.75', 'pieces_unit' : '3', 'pieces_quantity' : '0', 'cooking_notes' : ''}).status_code; print('%s :: %s :: %s :: %s :: %s' %(a,73,'Everest pulao masala','everest pulav masala','Alu Flower Gravy (Ekadashi)'))</t>
  </si>
  <si>
    <t xml:space="preserve">a = Client().post('/recipes/alu-flower-gravy-ekadashi/detail/', {'recipe' : '90', 'ingredient' : '117', 'name' : 'Kashmiri Mirchi Powder', 'mass_unit' : '2', 'mass_quantity' : '0', 'volume_unit' : '1', 'volume_quantity' : '0.35', 'pieces_unit' : '3', 'pieces_quantity' : '0', 'cooking_notes' : ''}).status_code; print('%s :: %s :: %s :: %s :: %s' %(a,74,'Kashmiri Mirchi Powder','kashmiri chilly powder','Alu Flower Gravy (Ekadashi)'))</t>
  </si>
  <si>
    <t xml:space="preserve">a = Client().post('/recipes/alu-flower-gravy-ekadashi/detail/', {'recipe' : '90', 'ingredient' : '107', 'name' : 'Kaju paste', 'mass_unit' : '2', 'mass_quantity' : '0.583', 'volume_unit' : '1', 'volume_quantity' : '0', 'pieces_unit' : '3', 'pieces_quantity' : '0', 'cooking_notes' : ''}).status_code; print('%s :: %s :: %s :: %s :: %s' %(a,75,'Kaju paste','kaju','Alu Flower Gravy (Ekadashi)'))</t>
  </si>
  <si>
    <t xml:space="preserve">a = Client().post('/recipes/alu-flower-gravy-ekadashi/detail/', {'recipe' : '90', 'ingredient' : '37', 'name' : 'Brown sugar (bluebird)', 'mass_unit' : '2', 'mass_quantity' : '0.425', 'volume_unit' : '1', 'volume_quantity' : '0.583', 'pieces_unit' : '3', 'pieces_quantity' : '0', 'cooking_notes' : ''}).status_code; print('%s :: %s :: %s :: %s :: %s' %(a,76,'Brown sugar (bluebird)','brown sugar','Alu Flower Gravy (Ekadashi)'))</t>
  </si>
  <si>
    <t xml:space="preserve">a = Client().post('/recipes/alu-flower-gravy-ekadashi/detail/', {'recipe' : '90', 'ingredient' : '66', 'name' : 'Dhania Patta', 'mass_unit' : '2', 'mass_quantity' : '0', 'volume_unit' : '1', 'volume_quantity' : '0.583', 'pieces_unit' : '3', 'pieces_quantity' : '0', 'cooking_notes' : ''}).status_code; print('%s :: %s :: %s :: %s :: %s' %(a,77,'Dhania Patta','dhaniya patta','Alu Flower Gravy (Ekadashi)'))</t>
  </si>
  <si>
    <t xml:space="preserve">a = Client().post('/recipes/alu-flower-gravy-ekadashi/detail/', {'recipe' : '90', 'ingredient' : '83', 'name' : 'Oil for frying', 'mass_unit' : '2', 'mass_quantity' : '0', 'volume_unit' : '1', 'volume_quantity' : '0', 'pieces_unit' : '3', 'pieces_quantity' : '0', 'cooking_notes' : ''}).status_code; print('%s :: %s :: %s :: %s :: %s' %(a,78,'Oil for frying','gound nut oil','Alu Flower Gravy (Ekadashi)'))</t>
  </si>
  <si>
    <t xml:space="preserve">/recipes/kakdi-singdana-salad/detail/</t>
  </si>
  <si>
    <t xml:space="preserve">a = Client().post('/recipes/kakdi-singdana-salad/detail/', {'recipe' : '92', 'ingredient' : '183', 'name' : 'Boiled singdana', 'mass_unit' : '2', 'mass_quantity' : '8', 'volume_unit' : '1', 'volume_quantity' : '0', 'pieces_unit' : '3', 'pieces_quantity' : '0', 'cooking_notes' : ''}).status_code; print('%s :: %s :: %s :: %s :: %s' %(a,82,'Boiled singdana','singdana','Kakdi singdana salad'))</t>
  </si>
  <si>
    <t xml:space="preserve">a = Client().post('/recipes/kakdi-singdana-salad/detail/', {'recipe' : '92', 'ingredient' : '111', 'name' : 'Kakdi chopped', 'mass_unit' : '2', 'mass_quantity' : '10', 'volume_unit' : '1', 'volume_quantity' : '0', 'pieces_unit' : '3', 'pieces_quantity' : '0', 'cooking_notes' : ''}).status_code; print('%s :: %s :: %s :: %s :: %s' %(a,83,'Kakdi chopped','kakdi','Kakdi singdana salad'))</t>
  </si>
  <si>
    <t xml:space="preserve">a = Client().post('/recipes/kakdi-singdana-salad/detail/', {'recipe' : '92', 'ingredient' : '195', 'name' : 'tomato chopped', 'mass_unit' : '2', 'mass_quantity' : '10', 'volume_unit' : '1', 'volume_quantity' : '0', 'pieces_unit' : '3', 'pieces_quantity' : '0', 'cooking_notes' : ''}).status_code; print('%s :: %s :: %s :: %s :: %s' %(a,84,'tomato chopped','tomato','Kakdi singdana salad'))</t>
  </si>
  <si>
    <t xml:space="preserve">a = Client().post('/recipes/kakdi-singdana-salad/detail/', {'recipe' : '92', 'ingredient' : '93', 'name' : 'Hari mirchi fine chopped', 'mass_unit' : '2', 'mass_quantity' : '0', 'volume_unit' : '5', 'volume_quantity' : '3', 'pieces_unit' : '3', 'pieces_quantity' : '0', 'cooking_notes' : ''}).status_code; print('%s :: %s :: %s :: %s :: %s' %(a,85,'Hari mirchi fine chopped','hari mirchi','Kakdi singdana salad'))</t>
  </si>
  <si>
    <t xml:space="preserve">a = Client().post('/recipes/kakdi-singdana-salad/detail/', {'recipe' : '92', 'ingredient' : '177', 'name' : 'Salt', 'mass_unit' : '2', 'mass_quantity' : '0', 'volume_unit' : '5', 'volume_quantity' : '2', 'pieces_unit' : '3', 'pieces_quantity' : '0', 'cooking_notes' : ''}).status_code; print('%s :: %s :: %s :: %s :: %s' %(a,86,'Salt','salt','Kakdi singdana salad'))</t>
  </si>
  <si>
    <t xml:space="preserve">a = Client().post('/recipes/kakdi-singdana-salad/detail/', {'recipe' : '92', 'ingredient' : '66', 'name' : 'Dhania patta', 'mass_unit' : '2', 'mass_quantity' : '0', 'volume_unit' : '1', 'volume_quantity' : '2', 'pieces_unit' : '3', 'pieces_quantity' : '0', 'cooking_notes' : ''}).status_code; print('%s :: %s :: %s :: %s :: %s' %(a,87,'Dhania patta','dhaniya patta','Kakdi singdana salad'))</t>
  </si>
  <si>
    <t xml:space="preserve">a = Client().post('/recipes/kakdi-singdana-salad/detail/', {'recipe' : '92', 'ingredient' : '218', 'name' : 'Rocket leaves', 'mass_unit' : '2', 'mass_quantity' : '2.5', 'volume_unit' : '1', 'volume_quantity' : '0', 'pieces_unit' : '3', 'pieces_quantity' : '0', 'cooking_notes' : ''}).status_code; print('%s :: %s :: %s :: %s :: %s' %(a,88,'Rocket leaves','rocket leaves','Kakdi singdana salad'))</t>
  </si>
  <si>
    <t xml:space="preserve">a = Client().post('/recipes/kakdi-singdana-salad/detail/', {'recipe' : '92', 'ingredient' : '76', 'name' : 'EVOO', 'mass_unit' : '2', 'mass_quantity' : '0', 'volume_unit' : '1', 'volume_quantity' : '1', 'pieces_unit' : '3', 'pieces_quantity' : '0', 'cooking_notes' : ''}).status_code; print('%s :: %s :: %s :: %s :: %s' %(a,89,'EVOO','evoo','Kakdi singdana salad'))</t>
  </si>
  <si>
    <t xml:space="preserve">a = Client().post('/recipes/kakdi-singdana-salad/detail/', {'recipe' : '92', 'ingredient' : '8', 'name' : 'Boiled alu', 'mass_unit' : '2', 'mass_quantity' : '5', 'volume_unit' : '1', 'volume_quantity' : '0', 'pieces_unit' : '3', 'pieces_quantity' : '0', 'cooking_notes' : ''}).status_code; print('%s :: %s :: %s :: %s :: %s' %(a,90,'Boiled alu','alu','Kakdi singdana salad'))</t>
  </si>
  <si>
    <t xml:space="preserve">Coal for smoke flavor</t>
  </si>
  <si>
    <t xml:space="preserve">a = Client().post('/recipes/kakdi-singdana-salad/detail/', {'recipe' : '92', 'ingredient' : '219', 'name' : 'Coal for smoke flavor', 'mass_unit' : '2', 'mass_quantity' : '0.5', 'volume_unit' : '1', 'volume_quantity' : '0', 'pieces_unit' : '3', 'pieces_quantity' : '0', 'cooking_notes' : ''}).status_code; print('%s :: %s :: %s :: %s :: %s' %(a,93,'Coal for smoke flavor','coal','Kakdi singdana salad'))</t>
  </si>
  <si>
    <t xml:space="preserve">/recipes/potato-chips/detail/</t>
  </si>
  <si>
    <t xml:space="preserve">a = Client().post('/recipes/potato-chips/detail/', {'recipe' : '93', 'ingredient' : '83', 'name' : 'oil for frying', 'mass_unit' : '2', 'mass_quantity' : '0', 'volume_unit' : '1', 'volume_quantity' : '0', 'pieces_unit' : '3', 'pieces_quantity' : '0', 'cooking_notes' : ''}).status_code; print('%s :: %s :: %s :: %s :: %s' %(a,95,'oil for frying','gound nut oil','Potato chips'))</t>
  </si>
  <si>
    <t xml:space="preserve">a = Client().post('/recipes/potato-chips/detail/', {'recipe' : '93', 'ingredient' : '220', 'name' : 'Potato Chips', 'mass_unit' : '2', 'mass_quantity' : '4', 'volume_unit' : '1', 'volume_quantity' : '0', 'pieces_unit' : '3', 'pieces_quantity' : '0', 'cooking_notes' : ''}).status_code; print('%s :: %s :: %s :: %s :: %s' %(a,96,'Potato Chips','potato chips','Potato chips'))</t>
  </si>
  <si>
    <t xml:space="preserve">a = Client().post('/recipes/potato-chips/detail/', {'recipe' : '93', 'ingredient' : '31', 'name' : 'black pepper powder', 'mass_unit' : '2', 'mass_quantity' : '0', 'volume_unit' : '5', 'volume_quantity' : '0.5', 'pieces_unit' : '3', 'pieces_quantity' : '0', 'cooking_notes' : ''}).status_code; print('%s :: %s :: %s :: %s :: %s' %(a,97,'black pepper powder','black pepper','Potato chips'))</t>
  </si>
  <si>
    <t xml:space="preserve">a = Client().post('/recipes/potato-chips/detail/', {'recipe' : '93', 'ingredient' : '32', 'name' : 'black salt powder', 'mass_unit' : '2', 'mass_quantity' : '0', 'volume_unit' : '5', 'volume_quantity' : '0.5', 'pieces_unit' : '3', 'pieces_quantity' : '0', 'cooking_notes' : ''}).status_code; print('%s :: %s :: %s :: %s :: %s' %(a,98,'black salt powder','black salt','Potato chips'))</t>
  </si>
  <si>
    <t xml:space="preserve">a = Client().post('/recipes/potato-chips/detail/', {'recipe' : '93', 'ingredient' : '177', 'name' : 'salt', 'mass_unit' : '2', 'mass_quantity' : '0', 'volume_unit' : '5', 'volume_quantity' : '0.5', 'pieces_unit' : '3', 'pieces_quantity' : '0', 'cooking_notes' : ''}).status_code; print('%s :: %s :: %s :: %s :: %s' %(a,99,'salt','salt','Potato chips'))</t>
  </si>
  <si>
    <t xml:space="preserve">/recipes/spicy-potato/detail/</t>
  </si>
  <si>
    <t xml:space="preserve">a = Client().post('/recipes/spicy-potato/detail/', {'recipe' : '73', 'ingredient' : '8', 'name' : 'Alu ', 'mass_unit' : '2', 'mass_quantity' : '32', 'volume_unit' : '1', 'volume_quantity' : '0', 'pieces_unit' : '3', 'pieces_quantity' : '0', 'cooking_notes' : '0.5" boiled'}).status_code; print('%s :: %s :: %s :: %s :: %s' %(a,103,'Alu ','alu','Spicy Potato'))</t>
  </si>
  <si>
    <t xml:space="preserve">a = Client().post('/recipes/spicy-potato/detail/', {'recipe' : '73', 'ingredient' : '39', 'name' : 'Cabbage', 'mass_unit' : '2', 'mass_quantity' : '3', 'volume_unit' : '1', 'volume_quantity' : '0', 'pieces_unit' : '3', 'pieces_quantity' : '0', 'cooking_notes' : 'fine chopped'}).status_code; print('%s :: %s :: %s :: %s :: %s' %(a,104,'Cabbage','cabbage','Spicy Potato'))</t>
  </si>
  <si>
    <t xml:space="preserve">a = Client().post('/recipes/spicy-potato/detail/', {'recipe' : '73', 'ingredient' : '42', 'name' : 'Capsicum', 'mass_unit' : '2', 'mass_quantity' : '1.5', 'volume_unit' : '1', 'volume_quantity' : '0', 'pieces_unit' : '3', 'pieces_quantity' : '0', 'cooking_notes' : 'fine chopped'}).status_code; print('%s :: %s :: %s :: %s :: %s' %(a,105,'Capsicum','capsicum','Spicy Potato'))</t>
  </si>
  <si>
    <t xml:space="preserve">a = Client().post('/recipes/spicy-potato/detail/', {'recipe' : '73', 'ingredient' : '54', 'name' : 'Coconuts', 'mass_unit' : '2', 'mass_quantity' : '0', 'volume_unit' : '1', 'volume_quantity' : '0', 'pieces_unit' : '3', 'pieces_quantity' : '16', 'cooking_notes' : 'grated'}).status_code; print('%s :: %s :: %s :: %s :: %s' %(a,106,'Coconuts','coconut','Spicy Potato'))</t>
  </si>
  <si>
    <t xml:space="preserve">a = Client().post('/recipes/spicy-potato/detail/', {'recipe' : '73', 'ingredient' : '98', 'name' : 'Imli', 'mass_unit' : '2', 'mass_quantity' : '0.75', 'volume_unit' : '1', 'volume_quantity' : '0', 'pieces_unit' : '3', 'pieces_quantity' : '0', 'cooking_notes' : ''}).status_code; print('%s :: %s :: %s :: %s :: %s' %(a,107,'Imli','imli','Spicy Potato'))</t>
  </si>
  <si>
    <t xml:space="preserve">a = Client().post('/recipes/spicy-potato/detail/', {'recipe' : '73', 'ingredient' : '117', 'name' : 'Kashmiri mirchi', 'mass_unit' : '7', 'mass_quantity' : '500', 'volume_unit' : '1', 'volume_quantity' : '0', 'pieces_unit' : '3', 'pieces_quantity' : '0', 'cooking_notes' : ''}).status_code; print('%s :: %s :: %s :: %s :: %s' %(a,108,'Kashmiri mirchi','kashmiri chilly powder','Spicy Potato'))</t>
  </si>
  <si>
    <t xml:space="preserve">a = Client().post('/recipes/spicy-potato/detail/', {'recipe' : '73', 'ingredient' : '135', 'name' : 'Madrasi mirchi', 'mass_unit' : '7', 'mass_quantity' : '120', 'volume_unit' : '1', 'volume_quantity' : '0', 'pieces_unit' : '3', 'pieces_quantity' : '0', 'cooking_notes' : ''}).status_code; print('%s :: %s :: %s :: %s :: %s' %(a,109,'Madrasi mirchi','madrasi mirchi powder','Spicy Potato'))</t>
  </si>
  <si>
    <t xml:space="preserve">a = Client().post('/recipes/spicy-potato/detail/', {'recipe' : '73', 'ingredient' : '3', 'name' : 'Akha dhaniya', 'mass_unit' : '2', 'mass_quantity' : '0', 'volume_unit' : '5', 'volume_quantity' : '8', 'pieces_unit' : '3', 'pieces_quantity' : '0', 'cooking_notes' : ''}).status_code; print('%s :: %s :: %s :: %s :: %s' %(a,110,'Akha dhaniya','akha dhaniya','Spicy Potato'))</t>
  </si>
  <si>
    <t xml:space="preserve">a = Client().post('/recipes/spicy-potato/detail/', {'recipe' : '73', 'ingredient' : '177', 'name' : 'Salt', 'mass_unit' : '2', 'mass_quantity' : '0', 'volume_unit' : '5', 'volume_quantity' : '4', 'pieces_unit' : '3', 'pieces_quantity' : '0', 'cooking_notes' : ''}).status_code; print('%s :: %s :: %s :: %s :: %s' %(a,111,'Salt','salt','Spicy Potato'))</t>
  </si>
  <si>
    <t xml:space="preserve">a = Client().post('/recipes/spicy-potato/detail/', {'recipe' : '73', 'ingredient' : '89', 'name' : 'Grountnut Oil', 'mass_unit' : '2', 'mass_quantity' : '0', 'volume_unit' : '1', 'volume_quantity' : '2', 'pieces_unit' : '3', 'pieces_quantity' : '0', 'cooking_notes' : ''}).status_code; print('%s :: %s :: %s :: %s :: %s' %(a,112,'Grountnut Oil','ground nut oil','Spicy Potato'))</t>
  </si>
  <si>
    <t xml:space="preserve">a = Client().post('/recipes/spicy-potato/detail/', {'recipe' : '73', 'ingredient' : '97', 'name' : 'Hot water', 'mass_unit' : '2', 'mass_quantity' : '0', 'volume_unit' : '1', 'volume_quantity' : '10', 'pieces_unit' : '3', 'pieces_quantity' : '0', 'cooking_notes' : ''}).status_code; print('%s :: %s :: %s :: %s :: %s' %(a,113,'Hot water','hot water','Spicy Potato'))</t>
  </si>
  <si>
    <t xml:space="preserve">/recipes/pav-bhaji-bhaji/detail/</t>
  </si>
  <si>
    <t xml:space="preserve">a = Client().post('/recipes/pav-bhaji-bhaji/detail/', {'recipe' : '60', 'ingredient' : '8', 'name' : 'Alu', 'mass_unit' : '2', 'mass_quantity' : '35', 'volume_unit' : '1', 'volume_quantity' : '0', 'pieces_unit' : '3', 'pieces_quantity' : '0', 'cooking_notes' : 'boiled,mashed'}).status_code; print('%s :: %s :: %s :: %s :: %s' %(a,116,'Alu','alu','Pav Bhaji Bhaji'))</t>
  </si>
  <si>
    <t xml:space="preserve">a = Client().post('/recipes/pav-bhaji-bhaji/detail/', {'recipe' : '60', 'ingredient' : '195', 'name' : 'Tomato', 'mass_unit' : '2', 'mass_quantity' : '30', 'volume_unit' : '1', 'volume_quantity' : '0', 'pieces_unit' : '3', 'pieces_quantity' : '0', 'cooking_notes' : 'steam puree'}).status_code; print('%s :: %s :: %s :: %s :: %s' %(a,117,'Tomato','tomato','Pav Bhaji Bhaji'))</t>
  </si>
  <si>
    <t xml:space="preserve">a = Client().post('/recipes/pav-bhaji-bhaji/detail/', {'recipe' : '60', 'ingredient' : '176', 'name' : 'Safed watana or', 'mass_unit' : '2', 'mass_quantity' : '3', 'volume_unit' : '1', 'volume_quantity' : '0', 'pieces_unit' : '3', 'pieces_quantity' : '0', 'cooking_notes' : 'boiled,mashed'}).status_code; print('%s :: %s :: %s :: %s :: %s' %(a,118,'Safed watana or','safed watana','Pav Bhaji Bhaji'))</t>
  </si>
  <si>
    <t xml:space="preserve">a = Client().post('/recipes/pav-bhaji-bhaji/detail/', {'recipe' : '60', 'ingredient' : '88', 'name' : 'Green peas', 'mass_unit' : '2', 'mass_quantity' : '7', 'volume_unit' : '1', 'volume_quantity' : '0', 'pieces_unit' : '3', 'pieces_quantity' : '0', 'cooking_notes' : 'boiled,mashed'}).status_code; print('%s :: %s :: %s :: %s :: %s' %(a,119,'Green peas','green peas','Pav Bhaji Bhaji'))</t>
  </si>
  <si>
    <t xml:space="preserve">a = Client().post('/recipes/pav-bhaji-bhaji/detail/', {'recipe' : '60', 'ingredient' : '78', 'name' : 'Flower ', 'mass_unit' : '2', 'mass_quantity' : '0', 'volume_unit' : '1', 'volume_quantity' : '4', 'pieces_unit' : '3', 'pieces_quantity' : '0', 'cooking_notes' : 'grated,saute'}).status_code; print('%s :: %s :: %s :: %s :: %s' %(a,120,'Flower ','flower','Pav Bhaji Bhaji'))</t>
  </si>
  <si>
    <t xml:space="preserve">a = Client().post('/recipes/pav-bhaji-bhaji/detail/', {'recipe' : '60', 'ingredient' : '42', 'name' : 'Capsicum', 'mass_unit' : '2', 'mass_quantity' : '7', 'volume_unit' : '1', 'volume_quantity' : '0', 'pieces_unit' : '3', 'pieces_quantity' : '0', 'cooking_notes' : 'fine chopped,saute'}).status_code; print('%s :: %s :: %s :: %s :: %s' %(a,121,'Capsicum','capsicum','Pav Bhaji Bhaji'))</t>
  </si>
  <si>
    <t xml:space="preserve">a = Client().post('/recipes/pav-bhaji-bhaji/detail/', {'recipe' : '60', 'ingredient' : '83', 'name' : 'Oil', 'mass_unit' : '2', 'mass_quantity' : '0', 'volume_unit' : '1', 'volume_quantity' : '2.5', 'pieces_unit' : '3', 'pieces_quantity' : '0', 'cooking_notes' : ''}).status_code; print('%s :: %s :: %s :: %s :: %s' %(a,122,'Oil','gound nut oil','Pav Bhaji Bhaji'))</t>
  </si>
  <si>
    <t xml:space="preserve">a = Client().post('/recipes/pav-bhaji-bhaji/detail/', {'recipe' : '60', 'ingredient' : '1', 'name' : 'Adrak paste', 'mass_unit' : '2', 'mass_quantity' : '0', 'volume_unit' : '1', 'volume_quantity' : '1', 'pieces_unit' : '3', 'pieces_quantity' : '0', 'cooking_notes' : ''}).status_code; print('%s :: %s :: %s :: %s :: %s' %(a,123,'Adrak paste','adrak','Pav Bhaji Bhaji'))</t>
  </si>
  <si>
    <t xml:space="preserve">a = Client().post('/recipes/pav-bhaji-bhaji/detail/', {'recipe' : '60', 'ingredient' : '117', 'name' : 'Kashmiri powder', 'mass_unit' : '2', 'mass_quantity' : '0', 'volume_unit' : '5', 'volume_quantity' : '3', 'pieces_unit' : '3', 'pieces_quantity' : '0', 'cooking_notes' : ''}).status_code; print('%s :: %s :: %s :: %s :: %s' %(a,124,'Kashmiri powder','kashmiri chilly powder','Pav Bhaji Bhaji'))</t>
  </si>
  <si>
    <t xml:space="preserve">a = Client().post('/recipes/pav-bhaji-bhaji/detail/', {'recipe' : '60', 'ingredient' : '19', 'name' : 'Badshah pav bhaji masala', 'mass_unit' : '2', 'mass_quantity' : '0', 'volume_unit' : '1', 'volume_quantity' : '1.6', 'pieces_unit' : '3', 'pieces_quantity' : '0', 'cooking_notes' : ''}).status_code; print('%s :: %s :: %s :: %s :: %s' %(a,125,'Badshah pav bhaji masala','badshah pav bhaji masala','Pav Bhaji Bhaji'))</t>
  </si>
  <si>
    <t xml:space="preserve">a = Client().post('/recipes/pav-bhaji-bhaji/detail/', {'recipe' : '60', 'ingredient' : '177', 'name' : 'Salt', 'mass_unit' : '2', 'mass_quantity' : '0', 'volume_unit' : '5', 'volume_quantity' : '4.5', 'pieces_unit' : '3', 'pieces_quantity' : '0', 'cooking_notes' : ''}).status_code; print('%s :: %s :: %s :: %s :: %s' %(a,126,'Salt','salt','Pav Bhaji Bhaji'))</t>
  </si>
  <si>
    <t xml:space="preserve">a = Client().post('/recipes/pav-bhaji-bhaji/detail/', {'recipe' : '60', 'ingredient' : '97', 'name' : 'Hot water', 'mass_unit' : '2', 'mass_quantity' : '0', 'volume_unit' : '1', 'volume_quantity' : '15', 'pieces_unit' : '3', 'pieces_quantity' : '0', 'cooking_notes' : ''}).status_code; print('%s :: %s :: %s :: %s :: %s' %(a,127,'Hot water','hot water','Pav Bhaji Bhaji'))</t>
  </si>
  <si>
    <t xml:space="preserve">a = Client().post('/recipes/pav-bhaji-bhaji/detail/', {'recipe' : '60', 'ingredient' : '38', 'name' : 'Butter', 'mass_unit' : '2', 'mass_quantity' : '0', 'volume_unit' : '1', 'volume_quantity' : '3', 'pieces_unit' : '3', 'pieces_quantity' : '0', 'cooking_notes' : ''}).status_code; print('%s :: %s :: %s :: %s :: %s' %(a,128,'Butter','butter','Pav Bhaji Bhaji'))</t>
  </si>
  <si>
    <t xml:space="preserve">a = Client().post('/recipes/pav-bhaji-bhaji/detail/', {'recipe' : '60', 'ingredient' : '129', 'name' : 'Lemon juice', 'mass_unit' : '2', 'mass_quantity' : '0', 'volume_unit' : '5', 'volume_quantity' : '3', 'pieces_unit' : '3', 'pieces_quantity' : '0', 'cooking_notes' : ''}).status_code; print('%s :: %s :: %s :: %s :: %s' %(a,129,'Lemon juice','lemon','Pav Bhaji Bhaji'))</t>
  </si>
  <si>
    <t xml:space="preserve">/recipes/jackfruit-gravy/detail/</t>
  </si>
  <si>
    <t xml:space="preserve">a = Client().post('/recipes/jackfruit-gravy/detail/', {'recipe' : '33', 'ingredient' : '99', 'name' : 'Jackfruit ', 'mass_unit' : '2', 'mass_quantity' : '30', 'volume_unit' : '1', 'volume_quantity' : '0', 'pieces_unit' : '3', 'pieces_quantity' : '0', 'cooking_notes' : 'cut,boiled,fried'}).status_code; print('%s :: %s :: %s :: %s :: %s' %(a,133,'Jackfruit ','jackfruit','Jackfruit gravy'))</t>
  </si>
  <si>
    <t xml:space="preserve">a = Client().post('/recipes/jackfruit-gravy/detail/', {'recipe' : '33', 'ingredient' : '195', 'name' : 'Tomato', 'mass_unit' : '2', 'mass_quantity' : '10', 'volume_unit' : '1', 'volume_quantity' : '0', 'pieces_unit' : '3', 'pieces_quantity' : '0', 'cooking_notes' : 'steam puree'}).status_code; print('%s :: %s :: %s :: %s :: %s' %(a,134,'Tomato','tomato','Jackfruit gravy'))</t>
  </si>
  <si>
    <t xml:space="preserve">a = Client().post('/recipes/jackfruit-gravy/detail/', {'recipe' : '33', 'ingredient' : '107', 'name' : 'Kaju paste', 'mass_unit' : '2', 'mass_quantity' : '1', 'volume_unit' : '1', 'volume_quantity' : '0', 'pieces_unit' : '3', 'pieces_quantity' : '0', 'cooking_notes' : 'boiled paste'}).status_code; print('%s :: %s :: %s :: %s :: %s' %(a,135,'Kaju paste','kaju','Jackfruit gravy'))</t>
  </si>
  <si>
    <t xml:space="preserve">a = Client().post('/recipes/jackfruit-gravy/detail/', {'recipe' : '33', 'ingredient' : '83', 'name' : 'Oil', 'mass_unit' : '2', 'mass_quantity' : '0', 'volume_unit' : '1', 'volume_quantity' : '1.5', 'pieces_unit' : '3', 'pieces_quantity' : '0', 'cooking_notes' : ''}).status_code; print('%s :: %s :: %s :: %s :: %s' %(a,136,'Oil','gound nut oil','Jackfruit gravy'))</t>
  </si>
  <si>
    <t xml:space="preserve">a = Client().post('/recipes/jackfruit-gravy/detail/', {'recipe' : '33', 'ingredient' : '102', 'name' : 'Jeera', 'mass_unit' : '2', 'mass_quantity' : '0', 'volume_unit' : '5', 'volume_quantity' : '1', 'pieces_unit' : '3', 'pieces_quantity' : '0', 'cooking_notes' : ''}).status_code; print('%s :: %s :: %s :: %s :: %s' %(a,137,'Jeera','jeera','Jackfruit gravy'))</t>
  </si>
  <si>
    <t xml:space="preserve">a = Client().post('/recipes/jackfruit-gravy/detail/', {'recipe' : '33', 'ingredient' : '95', 'name' : 'Hing', 'mass_unit' : '2', 'mass_quantity' : '0', 'volume_unit' : '5', 'volume_quantity' : '0.4', 'pieces_unit' : '3', 'pieces_quantity' : '0', 'cooking_notes' : ''}).status_code; print('%s :: %s :: %s :: %s :: %s' %(a,138,'Hing','hing','Jackfruit gravy'))</t>
  </si>
  <si>
    <t xml:space="preserve">a = Client().post('/recipes/jackfruit-gravy/detail/', {'recipe' : '33', 'ingredient' : '93', 'name' : 'Green chilly', 'mass_unit' : '2', 'mass_quantity' : '0', 'volume_unit' : '5', 'volume_quantity' : '1', 'pieces_unit' : '3', 'pieces_quantity' : '0', 'cooking_notes' : ''}).status_code; print('%s :: %s :: %s :: %s :: %s' %(a,139,'Green chilly','hari mirchi','Jackfruit gravy'))</t>
  </si>
  <si>
    <t xml:space="preserve">a = Client().post('/recipes/jackfruit-gravy/detail/', {'recipe' : '33', 'ingredient' : '1', 'name' : 'Adrak paste', 'mass_unit' : '2', 'mass_quantity' : '0', 'volume_unit' : '1', 'volume_quantity' : '0.5', 'pieces_unit' : '3', 'pieces_quantity' : '0', 'cooking_notes' : ''}).status_code; print('%s :: %s :: %s :: %s :: %s' %(a,140,'Adrak paste','adrak','Jackfruit gravy'))</t>
  </si>
  <si>
    <t xml:space="preserve">a = Client().post('/recipes/jackfruit-gravy/detail/', {'recipe' : '33', 'ingredient' : '91', 'name' : 'Haldi', 'mass_unit' : '2', 'mass_quantity' : '0', 'volume_unit' : '5', 'volume_quantity' : '1', 'pieces_unit' : '3', 'pieces_quantity' : '0', 'cooking_notes' : ''}).status_code; print('%s :: %s :: %s :: %s :: %s' %(a,141,'Haldi','haldi','Jackfruit gravy'))</t>
  </si>
  <si>
    <t xml:space="preserve">a = Client().post('/recipes/jackfruit-gravy/detail/', {'recipe' : '33', 'ingredient' : '117', 'name' : 'Kashmiri powder', 'mass_unit' : '2', 'mass_quantity' : '0', 'volume_unit' : '5', 'volume_quantity' : '1.5', 'pieces_unit' : '3', 'pieces_quantity' : '0', 'cooking_notes' : ''}).status_code; print('%s :: %s :: %s :: %s :: %s' %(a,142,'Kashmiri powder','kashmiri chilly powder','Jackfruit gravy'))</t>
  </si>
  <si>
    <t xml:space="preserve">a = Client().post('/recipes/jackfruit-gravy/detail/', {'recipe' : '33', 'ingredient' : '74', 'name' : 'Everest pulao masala', 'mass_unit' : '2', 'mass_quantity' : '0', 'volume_unit' : '5', 'volume_quantity' : '2', 'pieces_unit' : '3', 'pieces_quantity' : '0', 'cooking_notes' : ''}).status_code; print('%s :: %s :: %s :: %s :: %s' %(a,143,'Everest pulao masala','everest pulav masala','Jackfruit gravy'))</t>
  </si>
  <si>
    <t xml:space="preserve">a = Client().post('/recipes/jackfruit-gravy/detail/', {'recipe' : '33', 'ingredient' : '97', 'name' : 'Hot water', 'mass_unit' : '2', 'mass_quantity' : '0', 'volume_unit' : '1', 'volume_quantity' : '10', 'pieces_unit' : '3', 'pieces_quantity' : '0', 'cooking_notes' : ''}).status_code; print('%s :: %s :: %s :: %s :: %s' %(a,144,'Hot water','hot water','Jackfruit gravy'))</t>
  </si>
  <si>
    <t xml:space="preserve">a = Client().post('/recipes/jackfruit-gravy/detail/', {'recipe' : '33', 'ingredient' : '177', 'name' : 'Salt', 'mass_unit' : '2', 'mass_quantity' : '0', 'volume_unit' : '5', 'volume_quantity' : '1.8', 'pieces_unit' : '3', 'pieces_quantity' : '0', 'cooking_notes' : ''}).status_code; print('%s :: %s :: %s :: %s :: %s' %(a,145,'Salt','salt','Jackfruit gravy'))</t>
  </si>
  <si>
    <t xml:space="preserve">/recipes/watana-usal/detail/</t>
  </si>
  <si>
    <t xml:space="preserve">a = Client().post('/recipes/watana-usal/detail/', {'recipe' : '89', 'ingredient' : '176', 'name' : 'Safed watana', 'mass_unit' : '2', 'mass_quantity' : '9', 'volume_unit' : '1', 'volume_quantity' : '0', 'pieces_unit' : '3', 'pieces_quantity' : '0', 'cooking_notes' : 'boiled'}).status_code; print('%s :: %s :: %s :: %s :: %s' %(a,148,'Safed watana','safed watana','Watana Usal'))</t>
  </si>
  <si>
    <t xml:space="preserve">a = Client().post('/recipes/watana-usal/detail/', {'recipe' : '89', 'ingredient' : '195', 'name' : 'Tomato', 'mass_unit' : '2', 'mass_quantity' : '5', 'volume_unit' : '1', 'volume_quantity' : '0', 'pieces_unit' : '3', 'pieces_quantity' : '0', 'cooking_notes' : '0.5" cube'}).status_code; print('%s :: %s :: %s :: %s :: %s' %(a,149,'Tomato','tomato','Watana Usal'))</t>
  </si>
  <si>
    <t xml:space="preserve">a = Client().post('/recipes/watana-usal/detail/', {'recipe' : '89', 'ingredient' : '91', 'name' : 'Haldi', 'mass_unit' : '2', 'mass_quantity' : '0', 'volume_unit' : '5', 'volume_quantity' : '1', 'pieces_unit' : '3', 'pieces_quantity' : '0', 'cooking_notes' : ''}).status_code; print('%s :: %s :: %s :: %s :: %s' %(a,150,'Haldi','haldi','Watana Usal'))</t>
  </si>
  <si>
    <t xml:space="preserve">a = Client().post('/recipes/watana-usal/detail/', {'recipe' : '89', 'ingredient' : '67', 'name' : 'Dhania powder', 'mass_unit' : '2', 'mass_quantity' : '0', 'volume_unit' : '5', 'volume_quantity' : '1.5', 'pieces_unit' : '3', 'pieces_quantity' : '0', 'cooking_notes' : ''}).status_code; print('%s :: %s :: %s :: %s :: %s' %(a,151,'Dhania powder','dhaniya powder','Watana Usal'))</t>
  </si>
  <si>
    <t xml:space="preserve">a = Client().post('/recipes/watana-usal/detail/', {'recipe' : '89', 'ingredient' : '103', 'name' : 'Jeera powder', 'mass_unit' : '2', 'mass_quantity' : '0', 'volume_unit' : '5', 'volume_quantity' : '0.5', 'pieces_unit' : '3', 'pieces_quantity' : '0', 'cooking_notes' : ''}).status_code; print('%s :: %s :: %s :: %s :: %s' %(a,152,'Jeera powder','jeera powder','Watana Usal'))</t>
  </si>
  <si>
    <t xml:space="preserve">a = Client().post('/recipes/watana-usal/detail/', {'recipe' : '89', 'ingredient' : '95', 'name' : 'Hing', 'mass_unit' : '2', 'mass_quantity' : '0', 'volume_unit' : '5', 'volume_quantity' : '0.5', 'pieces_unit' : '3', 'pieces_quantity' : '0', 'cooking_notes' : ''}).status_code; print('%s :: %s :: %s :: %s :: %s' %(a,153,'Hing','hing','Watana Usal'))</t>
  </si>
  <si>
    <t xml:space="preserve">a = Client().post('/recipes/watana-usal/detail/', {'recipe' : '89', 'ingredient' : '191', 'name' : 'Tejpatta', 'mass_unit' : '2', 'mass_quantity' : '0', 'volume_unit' : '5', 'volume_quantity' : '1', 'pieces_unit' : '3', 'pieces_quantity' : '0', 'cooking_notes' : ''}).status_code; print('%s :: %s :: %s :: %s :: %s' %(a,154,'Tejpatta','tej patta','Watana Usal'))</t>
  </si>
  <si>
    <t xml:space="preserve">a = Client().post('/recipes/watana-usal/detail/', {'recipe' : '89', 'ingredient' : '177', 'name' : 'Salt', 'mass_unit' : '2', 'mass_quantity' : '0', 'volume_unit' : '5', 'volume_quantity' : '3', 'pieces_unit' : '3', 'pieces_quantity' : '0', 'cooking_notes' : ''}).status_code; print('%s :: %s :: %s :: %s :: %s' %(a,155,'Salt','salt','Watana Usal'))</t>
  </si>
  <si>
    <t xml:space="preserve">a = Client().post('/recipes/watana-usal/detail/', {'recipe' : '89', 'ingredient' : '83', 'name' : 'Oil', 'mass_unit' : '2', 'mass_quantity' : '0', 'volume_unit' : '1', 'volume_quantity' : '1.5', 'pieces_unit' : '3', 'pieces_quantity' : '0', 'cooking_notes' : ''}).status_code; print('%s :: %s :: %s :: %s :: %s' %(a,156,'Oil','gound nut oil','Watana Usal'))</t>
  </si>
  <si>
    <t xml:space="preserve">a = Client().post('/recipes/watana-usal/detail/', {'recipe' : '89', 'ingredient' : '164', 'name' : 'Rai', 'mass_unit' : '2', 'mass_quantity' : '0', 'volume_unit' : '5', 'volume_quantity' : '0.5', 'pieces_unit' : '3', 'pieces_quantity' : '0', 'cooking_notes' : ''}).status_code; print('%s :: %s :: %s :: %s :: %s' %(a,157,'Rai','rai','Watana Usal'))</t>
  </si>
  <si>
    <t xml:space="preserve">a = Client().post('/recipes/watana-usal/detail/', {'recipe' : '89', 'ingredient' : '102', 'name' : 'Jeera', 'mass_unit' : '2', 'mass_quantity' : '0', 'volume_unit' : '5', 'volume_quantity' : '0.75', 'pieces_unit' : '3', 'pieces_quantity' : '0', 'cooking_notes' : ''}).status_code; print('%s :: %s :: %s :: %s :: %s' %(a,158,'Jeera','jeera','Watana Usal'))</t>
  </si>
  <si>
    <t xml:space="preserve">a = Client().post('/recipes/watana-usal/detail/', {'recipe' : '89', 'ingredient' : '1', 'name' : 'Adrak paste', 'mass_unit' : '2', 'mass_quantity' : '0', 'volume_unit' : '1', 'volume_quantity' : '0.5', 'pieces_unit' : '3', 'pieces_quantity' : '0', 'cooking_notes' : ''}).status_code; print('%s :: %s :: %s :: %s :: %s' %(a,159,'Adrak paste','adrak','Watana Usal'))</t>
  </si>
  <si>
    <t xml:space="preserve">a = Client().post('/recipes/watana-usal/detail/', {'recipe' : '89', 'ingredient' : '117', 'name' : 'Kashmiri powder', 'mass_unit' : '2', 'mass_quantity' : '0', 'volume_unit' : '5', 'volume_quantity' : '1', 'pieces_unit' : '3', 'pieces_quantity' : '0', 'cooking_notes' : ''}).status_code; print('%s :: %s :: %s :: %s :: %s' %(a,160,'Kashmiri powder','kashmiri chilly powder','Watana Usal'))</t>
  </si>
  <si>
    <t xml:space="preserve">a = Client().post('/recipes/watana-usal/detail/', {'recipe' : '89', 'ingredient' : '187', 'name' : 'Sugar', 'mass_unit' : '2', 'mass_quantity' : '0', 'volume_unit' : '5', 'volume_quantity' : '1', 'pieces_unit' : '3', 'pieces_quantity' : '0', 'cooking_notes' : ''}).status_code; print('%s :: %s :: %s :: %s :: %s' %(a,161,'Sugar','sugar','Watana Usal'))</t>
  </si>
  <si>
    <t xml:space="preserve">a = Client().post('/recipes/watana-usal/detail/', {'recipe' : '89', 'ingredient' : '54', 'name' : 'Coconuts', 'mass_unit' : '2', 'mass_quantity' : '0', 'volume_unit' : '1', 'volume_quantity' : '0', 'pieces_unit' : '3', 'pieces_quantity' : '6', 'cooking_notes' : 'grated,roasted'}).status_code; print('%s :: %s :: %s :: %s :: %s' %(a,162,'Coconuts','coconut','Watana Usal'))</t>
  </si>
  <si>
    <t xml:space="preserve">a = Client().post('/recipes/watana-usal/detail/', {'recipe' : '89', 'ingredient' : '125', 'name' : 'Kubal usal masala', 'mass_unit' : '2', 'mass_quantity' : '0', 'volume_unit' : '5', 'volume_quantity' : '1.25', 'pieces_unit' : '3', 'pieces_quantity' : '0', 'cooking_notes' : ''}).status_code; print('%s :: %s :: %s :: %s :: %s' %(a,163,'Kubal usal masala','kubal usal masala','Watana Usal'))</t>
  </si>
  <si>
    <t xml:space="preserve">a = Client().post('/recipes/watana-usal/detail/', {'recipe' : '89', 'ingredient' : '82', 'name' : 'Goda masala', 'mass_unit' : '2', 'mass_quantity' : '0', 'volume_unit' : '5', 'volume_quantity' : '2.25', 'pieces_unit' : '3', 'pieces_quantity' : '0', 'cooking_notes' : ''}).status_code; print('%s :: %s :: %s :: %s :: %s' %(a,164,'Goda masala','goda masala','Watana Usal'))</t>
  </si>
  <si>
    <t xml:space="preserve">a = Client().post('/recipes/watana-usal/detail/', {'recipe' : '89', 'ingredient' : '129', 'name' : 'Lemon juice', 'mass_unit' : '2', 'mass_quantity' : '0', 'volume_unit' : '5', 'volume_quantity' : '2', 'pieces_unit' : '3', 'pieces_quantity' : '0', 'cooking_notes' : ''}).status_code; print('%s :: %s :: %s :: %s :: %s' %(a,165,'Lemon juice','lemon','Watana Usal'))</t>
  </si>
  <si>
    <t xml:space="preserve">/recipes/jp-khichadi/detail/</t>
  </si>
  <si>
    <t xml:space="preserve">a = Client().post('/recipes/jp-khichadi/detail/', {'recipe' : '35', 'ingredient' : '170', 'name' : 'Rice', 'mass_unit' : '2', 'mass_quantity' : '5', 'volume_unit' : '1', 'volume_quantity' : '0', 'pieces_unit' : '3', 'pieces_quantity' : '0', 'cooking_notes' : ''}).status_code; print('%s :: %s :: %s :: %s :: %s' %(a,168,'Rice','rice','JP Khichadi'))</t>
  </si>
  <si>
    <t xml:space="preserve">a = Client().post('/recipes/jp-khichadi/detail/', {'recipe' : '35', 'ingredient' : '51', 'name' : 'Chilka moong dal', 'mass_unit' : '2', 'mass_quantity' : '1', 'volume_unit' : '1', 'volume_quantity' : '0', 'pieces_unit' : '3', 'pieces_quantity' : '0', 'cooking_notes' : ''}).status_code; print('%s :: %s :: %s :: %s :: %s' %(a,169,'Chilka moong dal','chilka moong dal','JP Khichadi'))</t>
  </si>
  <si>
    <t xml:space="preserve">a = Client().post('/recipes/jp-khichadi/detail/', {'recipe' : '35', 'ingredient' : '46', 'name' : 'Chana dal', 'mass_unit' : '2', 'mass_quantity' : '0.5', 'volume_unit' : '1', 'volume_quantity' : '0', 'pieces_unit' : '3', 'pieces_quantity' : '0', 'cooking_notes' : ''}).status_code; print('%s :: %s :: %s :: %s :: %s' %(a,170,'Chana dal','chana dal','JP Khichadi'))</t>
  </si>
  <si>
    <t xml:space="preserve">a = Client().post('/recipes/jp-khichadi/detail/', {'recipe' : '35', 'ingredient' : '81', 'name' : 'Ghee', 'mass_unit' : '2', 'mass_quantity' : '1', 'volume_unit' : '1', 'volume_quantity' : '0', 'pieces_unit' : '3', 'pieces_quantity' : '0', 'cooking_notes' : ''}).status_code; print('%s :: %s :: %s :: %s :: %s' %(a,171,'Ghee','ghee','JP Khichadi'))</t>
  </si>
  <si>
    <t xml:space="preserve">a = Client().post('/recipes/jp-khichadi/detail/', {'recipe' : '35', 'ingredient' : '1', 'name' : 'Adrak paste', 'mass_unit' : '2', 'mass_quantity' : '0', 'volume_unit' : '5', 'volume_quantity' : '1', 'pieces_unit' : '3', 'pieces_quantity' : '0', 'cooking_notes' : ''}).status_code; print('%s :: %s :: %s :: %s :: %s' %(a,172,'Adrak paste','adrak','JP Khichadi'))</t>
  </si>
  <si>
    <t xml:space="preserve">a = Client().post('/recipes/jp-khichadi/detail/', {'recipe' : '35', 'ingredient' : '214', 'name' : 'Water', 'mass_unit' : '2', 'mass_quantity' : '0', 'volume_unit' : '1', 'volume_quantity' : '20', 'pieces_unit' : '3', 'pieces_quantity' : '0', 'cooking_notes' : ''}).status_code; print('%s :: %s :: %s :: %s :: %s' %(a,173,'Water','water','JP Khichadi'))</t>
  </si>
  <si>
    <t xml:space="preserve">a = Client().post('/recipes/jp-khichadi/detail/', {'recipe' : '35', 'ingredient' : '54', 'name' : 'Coconuts', 'mass_unit' : '2', 'mass_quantity' : '0', 'volume_unit' : '1', 'volume_quantity' : '0', 'pieces_unit' : '3', 'pieces_quantity' : '4', 'cooking_notes' : ''}).status_code; print('%s :: %s :: %s :: %s :: %s' %(a,174,'Coconuts','coconut','JP Khichadi'))</t>
  </si>
  <si>
    <t xml:space="preserve">a = Client().post('/recipes/jp-khichadi/detail/', {'recipe' : '35', 'ingredient' : '187', 'name' : 'Sugar', 'mass_unit' : '2', 'mass_quantity' : '0', 'volume_unit' : '5', 'volume_quantity' : '1', 'pieces_unit' : '3', 'pieces_quantity' : '0', 'cooking_notes' : ''}).status_code; print('%s :: %s :: %s :: %s :: %s' %(a,175,'Sugar','sugar','JP Khichadi'))</t>
  </si>
  <si>
    <t xml:space="preserve">a = Client().post('/recipes/jp-khichadi/detail/', {'recipe' : '35', 'ingredient' : '123', 'name' : 'Kismis', 'mass_unit' : '2', 'mass_quantity' : '0', 'volume_unit' : '1', 'volume_quantity' : '1', 'pieces_unit' : '3', 'pieces_quantity' : '0', 'cooking_notes' : ''}).status_code; print('%s :: %s :: %s :: %s :: %s' %(a,176,'Kismis','kismis','JP Khichadi'))</t>
  </si>
  <si>
    <t xml:space="preserve">a = Client().post('/recipes/jp-khichadi/detail/', {'recipe' : '35', 'ingredient' : '102', 'name' : 'Jeera', 'mass_unit' : '2', 'mass_quantity' : '0', 'volume_unit' : '5', 'volume_quantity' : '0.75', 'pieces_unit' : '3', 'pieces_quantity' : '0', 'cooking_notes' : ''}).status_code; print('%s :: %s :: %s :: %s :: %s' %(a,177,'Jeera','jeera','JP Khichadi'))</t>
  </si>
  <si>
    <t xml:space="preserve">a = Client().post('/recipes/jp-khichadi/detail/', {'recipe' : '35', 'ingredient' : '177', 'name' : 'Salt', 'mass_unit' : '2', 'mass_quantity' : '0', 'volume_unit' : '5', 'volume_quantity' : '1', 'pieces_unit' : '3', 'pieces_quantity' : '0', 'cooking_notes' : ''}).status_code; print('%s :: %s :: %s :: %s :: %s' %(a,178,'Salt','salt','JP Khichadi'))</t>
  </si>
  <si>
    <t xml:space="preserve">/recipes/dahi-bhindi/detail/</t>
  </si>
  <si>
    <t xml:space="preserve">a = Client().post('/recipes/dahi-bhindi/detail/', {'recipe' : '17', 'ingredient' : '59', 'name' : 'Dahi', 'mass_unit' : '2', 'mass_quantity' : '0', 'volume_unit' : '1', 'volume_quantity' : '20', 'pieces_unit' : '3', 'pieces_quantity' : '0', 'cooking_notes' : ''}).status_code; print('%s :: %s :: %s :: %s :: %s' %(a,180,'Dahi','dahi','Dahi Bhindi'))</t>
  </si>
  <si>
    <t xml:space="preserve">a = Client().post('/recipes/dahi-bhindi/detail/', {'recipe' : '17', 'ingredient' : '177', 'name' : 'Salt', 'mass_unit' : '2', 'mass_quantity' : '0', 'volume_unit' : '5', 'volume_quantity' : '1.25', 'pieces_unit' : '3', 'pieces_quantity' : '0', 'cooking_notes' : ''}).status_code; print('%s :: %s :: %s :: %s :: %s' %(a,181,'Salt','salt','Dahi Bhindi'))</t>
  </si>
  <si>
    <t xml:space="preserve">a = Client().post('/recipes/dahi-bhindi/detail/', {'recipe' : '17', 'ingredient' : '187', 'name' : 'Sugar', 'mass_unit' : '2', 'mass_quantity' : '0', 'volume_unit' : '5', 'volume_quantity' : '3', 'pieces_unit' : '3', 'pieces_quantity' : '0', 'cooking_notes' : ''}).status_code; print('%s :: %s :: %s :: %s :: %s' %(a,182,'Sugar','sugar','Dahi Bhindi'))</t>
  </si>
  <si>
    <t xml:space="preserve">a = Client().post('/recipes/dahi-bhindi/detail/', {'recipe' : '17', 'ingredient' : '134', 'name' : 'Roasted chilly powder', 'mass_unit' : '2', 'mass_quantity' : '0', 'volume_unit' : '5', 'volume_quantity' : '0.4', 'pieces_unit' : '3', 'pieces_quantity' : '0', 'cooking_notes' : ''}).status_code; print('%s :: %s :: %s :: %s :: %s' %(a,183,'Roasted chilly powder','madrasi mirchi akkaha','Dahi Bhindi'))</t>
  </si>
  <si>
    <t xml:space="preserve">a = Client().post('/recipes/dahi-bhindi/detail/', {'recipe' : '17', 'ingredient' : '102', 'name' : 'Roasted jeera powder', 'mass_unit' : '2', 'mass_quantity' : '0', 'volume_unit' : '5', 'volume_quantity' : '2.5', 'pieces_unit' : '3', 'pieces_quantity' : '0', 'cooking_notes' : ''}).status_code; print('%s :: %s :: %s :: %s :: %s' %(a,184,'Roasted jeera powder','jeera','Dahi Bhindi'))</t>
  </si>
  <si>
    <t xml:space="preserve">a = Client().post('/recipes/dahi-bhindi/detail/', {'recipe' : '17', 'ingredient' : '184', 'name' : 'Soonth', 'mass_unit' : '2', 'mass_quantity' : '0', 'volume_unit' : '5', 'volume_quantity' : '0.4', 'pieces_unit' : '3', 'pieces_quantity' : '0', 'cooking_notes' : ''}).status_code; print('%s :: %s :: %s :: %s :: %s' %(a,185,'Soonth','soonth','Dahi Bhindi'))</t>
  </si>
  <si>
    <t xml:space="preserve">a = Client().post('/recipes/dahi-bhindi/detail/', {'recipe' : '17', 'ingredient' : '48', 'name' : 'Chaunce', 'mass_unit' : '2', 'mass_quantity' : '0', 'volume_unit' : '1', 'volume_quantity' : '0', 'pieces_unit' : '3', 'pieces_quantity' : '0', 'cooking_notes' : ''}).status_code; print('%s :: %s :: %s :: %s :: %s' %(a,186,'Chaunce','chaunce','Dahi Bhindi'))</t>
  </si>
  <si>
    <t xml:space="preserve">a = Client().post('/recipes/dahi-bhindi/detail/', {'recipe' : '17', 'ingredient' : '165', 'name' : 'Rai tel', 'mass_unit' : '2', 'mass_quantity' : '0', 'volume_unit' : '1', 'volume_quantity' : '1.25', 'pieces_unit' : '3', 'pieces_quantity' : '0', 'cooking_notes' : ''}).status_code; print('%s :: %s :: %s :: %s :: %s' %(a,187,'Rai tel','rai oil','Dahi Bhindi'))</t>
  </si>
  <si>
    <t xml:space="preserve">a = Client().post('/recipes/dahi-bhindi/detail/', {'recipe' : '17', 'ingredient' : '164', 'name' : 'Rai', 'mass_unit' : '2', 'mass_quantity' : '0', 'volume_unit' : '5', 'volume_quantity' : '0.5', 'pieces_unit' : '3', 'pieces_quantity' : '0', 'cooking_notes' : ''}).status_code; print('%s :: %s :: %s :: %s :: %s' %(a,188,'Rai','rai','Dahi Bhindi'))</t>
  </si>
  <si>
    <t xml:space="preserve">a = Client().post('/recipes/dahi-bhindi/detail/', {'recipe' : '17', 'ingredient' : '95', 'name' : 'Hing', 'mass_unit' : '2', 'mass_quantity' : '0', 'volume_unit' : '5', 'volume_quantity' : '0.25', 'pieces_unit' : '3', 'pieces_quantity' : '0', 'cooking_notes' : ''}).status_code; print('%s :: %s :: %s :: %s :: %s' %(a,189,'Hing','hing','Dahi Bhindi'))</t>
  </si>
  <si>
    <t xml:space="preserve">a = Client().post('/recipes/dahi-bhindi/detail/', {'recipe' : '17', 'ingredient' : '105', 'name' : 'Kadipatta', 'mass_unit' : '2', 'mass_quantity' : '0', 'volume_unit' : '5', 'volume_quantity' : '2', 'pieces_unit' : '3', 'pieces_quantity' : '0', 'cooking_notes' : ''}).status_code; print('%s :: %s :: %s :: %s :: %s' %(a,190,'Kadipatta','kadi patta','Dahi Bhindi'))</t>
  </si>
  <si>
    <t xml:space="preserve">a = Client().post('/recipes/dahi-bhindi/detail/', {'recipe' : '17', 'ingredient' : '1', 'name' : 'Adrak paste', 'mass_unit' : '2', 'mass_quantity' : '0', 'volume_unit' : '5', 'volume_quantity' : '2', 'pieces_unit' : '3', 'pieces_quantity' : '0', 'cooking_notes' : ''}).status_code; print('%s :: %s :: %s :: %s :: %s' %(a,191,'Adrak paste','adrak','Dahi Bhindi'))</t>
  </si>
  <si>
    <t xml:space="preserve">a = Client().post('/recipes/dahi-bhindi/detail/', {'recipe' : '17', 'ingredient' : '29', 'name' : 'Bhindi', 'mass_unit' : '2', 'mass_quantity' : '25', 'volume_unit' : '1', 'volume_quantity' : '0', 'pieces_unit' : '3', 'pieces_quantity' : '0', 'cooking_notes' : 'cut 1",deep fried'}).status_code; print('%s :: %s :: %s :: %s :: %s' %(a,192,'Bhindi','bhindi','Dahi Bhindi'))</t>
  </si>
  <si>
    <t xml:space="preserve">/recipes/dahi-baingan/detail/</t>
  </si>
  <si>
    <t xml:space="preserve">a = Client().post('/recipes/dahi-baingan/detail/', {'recipe' : '16', 'ingredient' : '59', 'name' : 'Dahi', 'mass_unit' : '2', 'mass_quantity' : '0', 'volume_unit' : '1', 'volume_quantity' : '20', 'pieces_unit' : '3', 'pieces_quantity' : '0', 'cooking_notes' : ''}).status_code; print('%s :: %s :: %s :: %s :: %s' %(a,195,'Dahi','dahi','Dahi Baingan'))</t>
  </si>
  <si>
    <t xml:space="preserve">a = Client().post('/recipes/dahi-baingan/detail/', {'recipe' : '16', 'ingredient' : '177', 'name' : 'Salt', 'mass_unit' : '2', 'mass_quantity' : '0', 'volume_unit' : '5', 'volume_quantity' : '1.25', 'pieces_unit' : '3', 'pieces_quantity' : '0', 'cooking_notes' : ''}).status_code; print('%s :: %s :: %s :: %s :: %s' %(a,196,'Salt','salt','Dahi Baingan'))</t>
  </si>
  <si>
    <t xml:space="preserve">a = Client().post('/recipes/dahi-baingan/detail/', {'recipe' : '16', 'ingredient' : '187', 'name' : 'Sugar', 'mass_unit' : '2', 'mass_quantity' : '0', 'volume_unit' : '5', 'volume_quantity' : '3', 'pieces_unit' : '3', 'pieces_quantity' : '0', 'cooking_notes' : ''}).status_code; print('%s :: %s :: %s :: %s :: %s' %(a,197,'Sugar','sugar','Dahi Baingan'))</t>
  </si>
  <si>
    <t xml:space="preserve">a = Client().post('/recipes/dahi-baingan/detail/', {'recipe' : '16', 'ingredient' : '134', 'name' : 'Roasted chilly powder', 'mass_unit' : '2', 'mass_quantity' : '0', 'volume_unit' : '5', 'volume_quantity' : '0.4', 'pieces_unit' : '3', 'pieces_quantity' : '0', 'cooking_notes' : ''}).status_code; print('%s :: %s :: %s :: %s :: %s' %(a,198,'Roasted chilly powder','madrasi mirchi akkaha','Dahi Baingan'))</t>
  </si>
  <si>
    <t xml:space="preserve">a = Client().post('/recipes/dahi-baingan/detail/', {'recipe' : '16', 'ingredient' : '102', 'name' : 'Roasted jeera powder', 'mass_unit' : '2', 'mass_quantity' : '0', 'volume_unit' : '5', 'volume_quantity' : '2.5', 'pieces_unit' : '3', 'pieces_quantity' : '0', 'cooking_notes' : ''}).status_code; print('%s :: %s :: %s :: %s :: %s' %(a,199,'Roasted jeera powder','jeera','Dahi Baingan'))</t>
  </si>
  <si>
    <t xml:space="preserve">a = Client().post('/recipes/dahi-baingan/detail/', {'recipe' : '16', 'ingredient' : '184', 'name' : 'Soonth', 'mass_unit' : '2', 'mass_quantity' : '0', 'volume_unit' : '5', 'volume_quantity' : '0.4', 'pieces_unit' : '3', 'pieces_quantity' : '0', 'cooking_notes' : ''}).status_code; print('%s :: %s :: %s :: %s :: %s' %(a,200,'Soonth','soonth','Dahi Baingan'))</t>
  </si>
  <si>
    <t xml:space="preserve">a = Client().post('/recipes/dahi-baingan/detail/', {'recipe' : '16', 'ingredient' : '48', 'name' : 'Chaunce', 'mass_unit' : '2', 'mass_quantity' : '0', 'volume_unit' : '1', 'volume_quantity' : '0', 'pieces_unit' : '3', 'pieces_quantity' : '0', 'cooking_notes' : ''}).status_code; print('%s :: %s :: %s :: %s :: %s' %(a,201,'Chaunce','chaunce','Dahi Baingan'))</t>
  </si>
  <si>
    <t xml:space="preserve">a = Client().post('/recipes/dahi-baingan/detail/', {'recipe' : '16', 'ingredient' : '165', 'name' : 'Rai tel', 'mass_unit' : '2', 'mass_quantity' : '0', 'volume_unit' : '1', 'volume_quantity' : '1.25', 'pieces_unit' : '3', 'pieces_quantity' : '0', 'cooking_notes' : ''}).status_code; print('%s :: %s :: %s :: %s :: %s' %(a,202,'Rai tel','rai oil','Dahi Baingan'))</t>
  </si>
  <si>
    <t xml:space="preserve">a = Client().post('/recipes/dahi-baingan/detail/', {'recipe' : '16', 'ingredient' : '164', 'name' : 'Rai', 'mass_unit' : '2', 'mass_quantity' : '0', 'volume_unit' : '5', 'volume_quantity' : '0.5', 'pieces_unit' : '3', 'pieces_quantity' : '0', 'cooking_notes' : ''}).status_code; print('%s :: %s :: %s :: %s :: %s' %(a,203,'Rai','rai','Dahi Baingan'))</t>
  </si>
  <si>
    <t xml:space="preserve">a = Client().post('/recipes/dahi-baingan/detail/', {'recipe' : '16', 'ingredient' : '95', 'name' : 'Hing', 'mass_unit' : '2', 'mass_quantity' : '0', 'volume_unit' : '5', 'volume_quantity' : '0.25', 'pieces_unit' : '3', 'pieces_quantity' : '0', 'cooking_notes' : ''}).status_code; print('%s :: %s :: %s :: %s :: %s' %(a,204,'Hing','hing','Dahi Baingan'))</t>
  </si>
  <si>
    <t xml:space="preserve">a = Client().post('/recipes/dahi-baingan/detail/', {'recipe' : '16', 'ingredient' : '105', 'name' : 'Kadipatta', 'mass_unit' : '2', 'mass_quantity' : '0', 'volume_unit' : '5', 'volume_quantity' : '2', 'pieces_unit' : '3', 'pieces_quantity' : '0', 'cooking_notes' : ''}).status_code; print('%s :: %s :: %s :: %s :: %s' %(a,205,'Kadipatta','kadi patta','Dahi Baingan'))</t>
  </si>
  <si>
    <t xml:space="preserve">a = Client().post('/recipes/dahi-baingan/detail/', {'recipe' : '16', 'ingredient' : '1', 'name' : 'Adrak paste', 'mass_unit' : '2', 'mass_quantity' : '0', 'volume_unit' : '5', 'volume_quantity' : '2', 'pieces_unit' : '3', 'pieces_quantity' : '0', 'cooking_notes' : ''}).status_code; print('%s :: %s :: %s :: %s :: %s' %(a,206,'Adrak paste','adrak','Dahi Baingan'))</t>
  </si>
  <si>
    <t xml:space="preserve">a = Client().post('/recipes/dahi-baingan/detail/', {'recipe' : '16', 'ingredient' : '21', 'name' : 'Bharta baingan', 'mass_unit' : '2', 'mass_quantity' : '35', 'volume_unit' : '1', 'volume_quantity' : '0', 'pieces_unit' : '3', 'pieces_quantity' : '0', 'cooking_notes' : 'cut long,deep fried'}).status_code; print('%s :: %s :: %s :: %s :: %s' %(a,207,'Bharta baingan','baingan','Dahi Baingan'))</t>
  </si>
  <si>
    <t xml:space="preserve">/recipes/dahi-patol/detail/</t>
  </si>
  <si>
    <t xml:space="preserve">a = Client().post('/recipes/dahi-patol/detail/', {'recipe' : '18', 'ingredient' : '59', 'name' : 'Dahi', 'mass_unit' : '2', 'mass_quantity' : '0', 'volume_unit' : '1', 'volume_quantity' : '20', 'pieces_unit' : '3', 'pieces_quantity' : '0', 'cooking_notes' : ''}).status_code; print('%s :: %s :: %s :: %s :: %s' %(a,210,'Dahi','dahi','Dahi Patol'))</t>
  </si>
  <si>
    <t xml:space="preserve">a = Client().post('/recipes/dahi-patol/detail/', {'recipe' : '18', 'ingredient' : '177', 'name' : 'Salt', 'mass_unit' : '2', 'mass_quantity' : '0', 'volume_unit' : '5', 'volume_quantity' : '1.25', 'pieces_unit' : '3', 'pieces_quantity' : '0', 'cooking_notes' : ''}).status_code; print('%s :: %s :: %s :: %s :: %s' %(a,211,'Salt','salt','Dahi Patol'))</t>
  </si>
  <si>
    <t xml:space="preserve">a = Client().post('/recipes/dahi-patol/detail/', {'recipe' : '18', 'ingredient' : '187', 'name' : 'Sugar', 'mass_unit' : '2', 'mass_quantity' : '0', 'volume_unit' : '5', 'volume_quantity' : '3', 'pieces_unit' : '3', 'pieces_quantity' : '0', 'cooking_notes' : ''}).status_code; print('%s :: %s :: %s :: %s :: %s' %(a,212,'Sugar','sugar','Dahi Patol'))</t>
  </si>
  <si>
    <t xml:space="preserve">a = Client().post('/recipes/dahi-patol/detail/', {'recipe' : '18', 'ingredient' : '134', 'name' : 'Roasted chilly powder', 'mass_unit' : '2', 'mass_quantity' : '0', 'volume_unit' : '5', 'volume_quantity' : '0.4', 'pieces_unit' : '3', 'pieces_quantity' : '0', 'cooking_notes' : ''}).status_code; print('%s :: %s :: %s :: %s :: %s' %(a,213,'Roasted chilly powder','madrasi mirchi akkaha','Dahi Patol'))</t>
  </si>
  <si>
    <t xml:space="preserve">a = Client().post('/recipes/dahi-patol/detail/', {'recipe' : '18', 'ingredient' : '102', 'name' : 'Roasted jeera powder', 'mass_unit' : '2', 'mass_quantity' : '0', 'volume_unit' : '5', 'volume_quantity' : '2.5', 'pieces_unit' : '3', 'pieces_quantity' : '0', 'cooking_notes' : ''}).status_code; print('%s :: %s :: %s :: %s :: %s' %(a,214,'Roasted jeera powder','jeera','Dahi Patol'))</t>
  </si>
  <si>
    <t xml:space="preserve">a = Client().post('/recipes/dahi-patol/detail/', {'recipe' : '18', 'ingredient' : '184', 'name' : 'Soonth', 'mass_unit' : '2', 'mass_quantity' : '0', 'volume_unit' : '5', 'volume_quantity' : '0.4', 'pieces_unit' : '3', 'pieces_quantity' : '0', 'cooking_notes' : ''}).status_code; print('%s :: %s :: %s :: %s :: %s' %(a,215,'Soonth','soonth','Dahi Patol'))</t>
  </si>
  <si>
    <t xml:space="preserve">a = Client().post('/recipes/dahi-patol/detail/', {'recipe' : '18', 'ingredient' : '48', 'name' : 'Chaunce', 'mass_unit' : '2', 'mass_quantity' : '0', 'volume_unit' : '1', 'volume_quantity' : '0', 'pieces_unit' : '3', 'pieces_quantity' : '0', 'cooking_notes' : ''}).status_code; print('%s :: %s :: %s :: %s :: %s' %(a,216,'Chaunce','chaunce','Dahi Patol'))</t>
  </si>
  <si>
    <t xml:space="preserve">a = Client().post('/recipes/dahi-patol/detail/', {'recipe' : '18', 'ingredient' : '165', 'name' : 'Rai tel', 'mass_unit' : '2', 'mass_quantity' : '0', 'volume_unit' : '1', 'volume_quantity' : '1.25', 'pieces_unit' : '3', 'pieces_quantity' : '0', 'cooking_notes' : ''}).status_code; print('%s :: %s :: %s :: %s :: %s' %(a,217,'Rai tel','rai oil','Dahi Patol'))</t>
  </si>
  <si>
    <t xml:space="preserve">a = Client().post('/recipes/dahi-patol/detail/', {'recipe' : '18', 'ingredient' : '164', 'name' : 'Rai', 'mass_unit' : '2', 'mass_quantity' : '0', 'volume_unit' : '5', 'volume_quantity' : '0.5', 'pieces_unit' : '3', 'pieces_quantity' : '0', 'cooking_notes' : ''}).status_code; print('%s :: %s :: %s :: %s :: %s' %(a,218,'Rai','rai','Dahi Patol'))</t>
  </si>
  <si>
    <t xml:space="preserve">a = Client().post('/recipes/dahi-patol/detail/', {'recipe' : '18', 'ingredient' : '95', 'name' : 'Hing', 'mass_unit' : '2', 'mass_quantity' : '0', 'volume_unit' : '5', 'volume_quantity' : '0.25', 'pieces_unit' : '3', 'pieces_quantity' : '0', 'cooking_notes' : ''}).status_code; print('%s :: %s :: %s :: %s :: %s' %(a,219,'Hing','hing','Dahi Patol'))</t>
  </si>
  <si>
    <t xml:space="preserve">a = Client().post('/recipes/dahi-patol/detail/', {'recipe' : '18', 'ingredient' : '105', 'name' : 'Kadipatta', 'mass_unit' : '2', 'mass_quantity' : '0', 'volume_unit' : '5', 'volume_quantity' : '2', 'pieces_unit' : '3', 'pieces_quantity' : '0', 'cooking_notes' : ''}).status_code; print('%s :: %s :: %s :: %s :: %s' %(a,220,'Kadipatta','kadi patta','Dahi Patol'))</t>
  </si>
  <si>
    <t xml:space="preserve">a = Client().post('/recipes/dahi-patol/detail/', {'recipe' : '18', 'ingredient' : '1', 'name' : 'Adrak paste', 'mass_unit' : '2', 'mass_quantity' : '0', 'volume_unit' : '5', 'volume_quantity' : '2', 'pieces_unit' : '3', 'pieces_quantity' : '0', 'cooking_notes' : ''}).status_code; print('%s :: %s :: %s :: %s :: %s' %(a,221,'Adrak paste','adrak','Dahi Patol'))</t>
  </si>
  <si>
    <t xml:space="preserve">a = Client().post('/recipes/dahi-patol/detail/', {'recipe' : '18', 'ingredient' : '158', 'name' : 'Patol', 'mass_unit' : '2', 'mass_quantity' : '25', 'volume_unit' : '1', 'volume_quantity' : '0', 'pieces_unit' : '3', 'pieces_quantity' : '0', 'cooking_notes' : 'cut long,deep fried'}).status_code; print('%s :: %s :: %s :: %s :: %s' %(a,222,'Patol','patol','Dahi Patol'))</t>
  </si>
  <si>
    <t xml:space="preserve">/recipes/alu-kala-chana-chat/detail/</t>
  </si>
  <si>
    <t xml:space="preserve">a = Client().post('/recipes/alu-kala-chana-chat/detail/', {'recipe' : '5', 'ingredient' : '112', 'name' : 'Kala chana', 'mass_unit' : '2', 'mass_quantity' : '6', 'volume_unit' : '1', 'volume_quantity' : '0', 'pieces_unit' : '3', 'pieces_quantity' : '0', 'cooking_notes' : 'boiled'}).status_code; print('%s :: %s :: %s :: %s :: %s' %(a,225,'Kala chana','kala chana','Alu Kala Chana Chat'))</t>
  </si>
  <si>
    <t xml:space="preserve">a = Client().post('/recipes/alu-kala-chana-chat/detail/', {'recipe' : '5', 'ingredient' : '39', 'name' : 'Cabbage', 'mass_unit' : '2', 'mass_quantity' : '2', 'volume_unit' : '1', 'volume_quantity' : '0', 'pieces_unit' : '3', 'pieces_quantity' : '0', 'cooking_notes' : 'julienne'}).status_code; print('%s :: %s :: %s :: %s :: %s' %(a,226,'Cabbage','cabbage','Alu Kala Chana Chat'))</t>
  </si>
  <si>
    <t xml:space="preserve">a = Client().post('/recipes/alu-kala-chana-chat/detail/', {'recipe' : '5', 'ingredient' : '8', 'name' : 'Alu', 'mass_unit' : '2', 'mass_quantity' : '9', 'volume_unit' : '1', 'volume_quantity' : '0', 'pieces_unit' : '3', 'pieces_quantity' : '0', 'cooking_notes' : '0.5" steam'}).status_code; print('%s :: %s :: %s :: %s :: %s' %(a,227,'Alu','alu','Alu Kala Chana Chat'))</t>
  </si>
  <si>
    <t xml:space="preserve">a = Client().post('/recipes/alu-kala-chana-chat/detail/', {'recipe' : '5', 'ingredient' : '195', 'name' : 'Tomato', 'mass_unit' : '2', 'mass_quantity' : '6', 'volume_unit' : '1', 'volume_quantity' : '0', 'pieces_unit' : '3', 'pieces_quantity' : '0', 'cooking_notes' : '0.5" cube'}).status_code; print('%s :: %s :: %s :: %s :: %s' %(a,228,'Tomato','tomato','Alu Kala Chana Chat'))</t>
  </si>
  <si>
    <t xml:space="preserve">a = Client().post('/recipes/alu-kala-chana-chat/detail/', {'recipe' : '5', 'ingredient' : '83', 'name' : 'Oil', 'mass_unit' : '2', 'mass_quantity' : '0', 'volume_unit' : '1', 'volume_quantity' : '1', 'pieces_unit' : '3', 'pieces_quantity' : '0', 'cooking_notes' : ''}).status_code; print('%s :: %s :: %s :: %s :: %s' %(a,229,'Oil','gound nut oil','Alu Kala Chana Chat'))</t>
  </si>
  <si>
    <t xml:space="preserve">a = Client().post('/recipes/alu-kala-chana-chat/detail/', {'recipe' : '5', 'ingredient' : '95', 'name' : 'Hing', 'mass_unit' : '2', 'mass_quantity' : '0', 'volume_unit' : '5', 'volume_quantity' : '0.3', 'pieces_unit' : '3', 'pieces_quantity' : '0', 'cooking_notes' : ''}).status_code; print('%s :: %s :: %s :: %s :: %s' %(a,230,'Hing','hing','Alu Kala Chana Chat'))</t>
  </si>
  <si>
    <t xml:space="preserve">a = Client().post('/recipes/alu-kala-chana-chat/detail/', {'recipe' : '5', 'ingredient' : '93', 'name' : 'Hari mirchi', 'mass_unit' : '2', 'mass_quantity' : '0', 'volume_unit' : '5', 'volume_quantity' : '1', 'pieces_unit' : '3', 'pieces_quantity' : '0', 'cooking_notes' : 'fine chopped'}).status_code; print('%s :: %s :: %s :: %s :: %s' %(a,231,'Hari mirchi','hari mirchi','Alu Kala Chana Chat'))</t>
  </si>
  <si>
    <t xml:space="preserve">a = Client().post('/recipes/alu-kala-chana-chat/detail/', {'recipe' : '5', 'ingredient' : '1', 'name' : 'Adrak paste', 'mass_unit' : '2', 'mass_quantity' : '0', 'volume_unit' : '1', 'volume_quantity' : '0.5', 'pieces_unit' : '3', 'pieces_quantity' : '0', 'cooking_notes' : ''}).status_code; print('%s :: %s :: %s :: %s :: %s' %(a,232,'Adrak paste','adrak','Alu Kala Chana Chat'))</t>
  </si>
  <si>
    <t xml:space="preserve">a = Client().post('/recipes/alu-kala-chana-chat/detail/', {'recipe' : '5', 'ingredient' : '103', 'name' : 'Jeera powder', 'mass_unit' : '2', 'mass_quantity' : '0', 'volume_unit' : '5', 'volume_quantity' : '0.75', 'pieces_unit' : '3', 'pieces_quantity' : '0', 'cooking_notes' : ''}).status_code; print('%s :: %s :: %s :: %s :: %s' %(a,233,'Jeera powder','jeera powder','Alu Kala Chana Chat'))</t>
  </si>
  <si>
    <t xml:space="preserve">a = Client().post('/recipes/alu-kala-chana-chat/detail/', {'recipe' : '5', 'ingredient' : '67', 'name' : 'Dhania powder', 'mass_unit' : '2', 'mass_quantity' : '0', 'volume_unit' : '5', 'volume_quantity' : '1', 'pieces_unit' : '3', 'pieces_quantity' : '0', 'cooking_notes' : ''}).status_code; print('%s :: %s :: %s :: %s :: %s' %(a,234,'Dhania powder','dhaniya powder','Alu Kala Chana Chat'))</t>
  </si>
  <si>
    <t xml:space="preserve">a = Client().post('/recipes/alu-kala-chana-chat/detail/', {'recipe' : '5', 'ingredient' : '135', 'name' : 'Red chilli powder', 'mass_unit' : '2', 'mass_quantity' : '0', 'volume_unit' : '5', 'volume_quantity' : '0.5', 'pieces_unit' : '3', 'pieces_quantity' : '0', 'cooking_notes' : ''}).status_code; print('%s :: %s :: %s :: %s :: %s' %(a,235,'Red chilli powder','madrasi mirchi powder','Alu Kala Chana Chat'))</t>
  </si>
  <si>
    <t xml:space="preserve">a = Client().post('/recipes/alu-kala-chana-chat/detail/', {'recipe' : '5', 'ingredient' : '73', 'name' : 'Everest chole masala', 'mass_unit' : '2', 'mass_quantity' : '0', 'volume_unit' : '5', 'volume_quantity' : '2', 'pieces_unit' : '3', 'pieces_quantity' : '0', 'cooking_notes' : ''}).status_code; print('%s :: %s :: %s :: %s :: %s' %(a,236,'Everest chole masala','everest chole masala','Alu Kala Chana Chat'))</t>
  </si>
  <si>
    <t xml:space="preserve">a = Client().post('/recipes/alu-kala-chana-chat/detail/', {'recipe' : '5', 'ingredient' : '91', 'name' : 'Haldi', 'mass_unit' : '2', 'mass_quantity' : '0', 'volume_unit' : '5', 'volume_quantity' : '0.6', 'pieces_unit' : '3', 'pieces_quantity' : '0', 'cooking_notes' : ''}).status_code; print('%s :: %s :: %s :: %s :: %s' %(a,237,'Haldi','haldi','Alu Kala Chana Chat'))</t>
  </si>
  <si>
    <t xml:space="preserve">a = Client().post('/recipes/alu-kala-chana-chat/detail/', {'recipe' : '5', 'ingredient' : '117', 'name' : 'Kashmiri powder', 'mass_unit' : '2', 'mass_quantity' : '0', 'volume_unit' : '5', 'volume_quantity' : '0.75', 'pieces_unit' : '3', 'pieces_quantity' : '0', 'cooking_notes' : ''}).status_code; print('%s :: %s :: %s :: %s :: %s' %(a,238,'Kashmiri powder','kashmiri chilly powder','Alu Kala Chana Chat'))</t>
  </si>
  <si>
    <t xml:space="preserve">a = Client().post('/recipes/alu-kala-chana-chat/detail/', {'recipe' : '5', 'ingredient' : '177', 'name' : 'Salt', 'mass_unit' : '2', 'mass_quantity' : '0', 'volume_unit' : '5', 'volume_quantity' : '1', 'pieces_unit' : '3', 'pieces_quantity' : '0', 'cooking_notes' : ''}).status_code; print('%s :: %s :: %s :: %s :: %s' %(a,239,'Salt','salt','Alu Kala Chana Chat'))</t>
  </si>
  <si>
    <t xml:space="preserve">a = Client().post('/recipes/alu-kala-chana-chat/detail/', {'recipe' : '5', 'ingredient' : '32', 'name' : 'Black salt', 'mass_unit' : '2', 'mass_quantity' : '0', 'volume_unit' : '5', 'volume_quantity' : '0.5', 'pieces_unit' : '3', 'pieces_quantity' : '0', 'cooking_notes' : ''}).status_code; print('%s :: %s :: %s :: %s :: %s' %(a,240,'Black salt','black salt','Alu Kala Chana Chat'))</t>
  </si>
  <si>
    <t xml:space="preserve">a = Client().post('/recipes/alu-kala-chana-chat/detail/', {'recipe' : '5', 'ingredient' : '72', 'name' : 'Everest chat masala', 'mass_unit' : '2', 'mass_quantity' : '0', 'volume_unit' : '5', 'volume_quantity' : '2', 'pieces_unit' : '3', 'pieces_quantity' : '0', 'cooking_notes' : ''}).status_code; print('%s :: %s :: %s :: %s :: %s' %(a,241,'Everest chat masala','everest chat masala','Alu Kala Chana Chat'))</t>
  </si>
  <si>
    <t xml:space="preserve">a = Client().post('/recipes/alu-kala-chana-chat/detail/', {'recipe' : '5', 'ingredient' : '129', 'name' : 'Lemon juice', 'mass_unit' : '2', 'mass_quantity' : '0', 'volume_unit' : '5', 'volume_quantity' : '2.5', 'pieces_unit' : '3', 'pieces_quantity' : '0', 'cooking_notes' : ''}).status_code; print('%s :: %s :: %s :: %s :: %s' %(a,242,'Lemon juice','lemon','Alu Kala Chana Chat'))</t>
  </si>
  <si>
    <t xml:space="preserve">/recipes/panchratna-dry/detail/</t>
  </si>
  <si>
    <t xml:space="preserve">a = Client().post('/recipes/panchratna-dry/detail/', {'recipe' : '53', 'ingredient' : '5', 'name' : 'Akha moong', 'mass_unit' : '2', 'mass_quantity' : '2', 'volume_unit' : '1', 'volume_quantity' : '0', 'pieces_unit' : '3', 'pieces_quantity' : '0', 'cooking_notes' : 'boiled'}).status_code; print('%s :: %s :: %s :: %s :: %s' %(a,245,'Akha moong','akha moong','Panchratna Dry'))</t>
  </si>
  <si>
    <t xml:space="preserve">a = Client().post('/recipes/panchratna-dry/detail/', {'recipe' : '53', 'ingredient' : '176', 'name' : 'Safed watana', 'mass_unit' : '2', 'mass_quantity' : '2', 'volume_unit' : '1', 'volume_quantity' : '0', 'pieces_unit' : '3', 'pieces_quantity' : '0', 'cooking_notes' : 'boiled'}).status_code; print('%s :: %s :: %s :: %s :: %s' %(a,246,'Safed watana','safed watana','Panchratna Dry'))</t>
  </si>
  <si>
    <t xml:space="preserve">a = Client().post('/recipes/panchratna-dry/detail/', {'recipe' : '53', 'ingredient' : '112', 'name' : 'Kala chana', 'mass_unit' : '2', 'mass_quantity' : '2', 'volume_unit' : '1', 'volume_quantity' : '0', 'pieces_unit' : '3', 'pieces_quantity' : '0', 'cooking_notes' : 'boiled'}).status_code; print('%s :: %s :: %s :: %s :: %s' %(a,247,'Kala chana','kala chana','Panchratna Dry'))</t>
  </si>
  <si>
    <t xml:space="preserve">a = Client().post('/recipes/panchratna-dry/detail/', {'recipe' : '53', 'ingredient' : '8', 'name' : 'Alu', 'mass_unit' : '2', 'mass_quantity' : '4', 'volume_unit' : '1', 'volume_quantity' : '0', 'pieces_unit' : '3', 'pieces_quantity' : '0', 'cooking_notes' : '0.5" boiled'}).status_code; print('%s :: %s :: %s :: %s :: %s' %(a,248,'Alu','alu','Panchratna Dry'))</t>
  </si>
  <si>
    <t xml:space="preserve">a = Client().post('/recipes/panchratna-dry/detail/', {'recipe' : '53', 'ingredient' : '195', 'name' : 'Tomato', 'mass_unit' : '2', 'mass_quantity' : '4', 'volume_unit' : '1', 'volume_quantity' : '0', 'pieces_unit' : '3', 'pieces_quantity' : '0', 'cooking_notes' : '0.5" cut'}).status_code; print('%s :: %s :: %s :: %s :: %s' %(a,249,'Tomato','tomato','Panchratna Dry'))</t>
  </si>
  <si>
    <t xml:space="preserve">a = Client().post('/recipes/panchratna-dry/detail/', {'recipe' : '53', 'ingredient' : '83', 'name' : 'Oil', 'mass_unit' : '2', 'mass_quantity' : '0', 'volume_unit' : '1', 'volume_quantity' : '1', 'pieces_unit' : '3', 'pieces_quantity' : '0', 'cooking_notes' : ''}).status_code; print('%s :: %s :: %s :: %s :: %s' %(a,250,'Oil','gound nut oil','Panchratna Dry'))</t>
  </si>
  <si>
    <t xml:space="preserve">a = Client().post('/recipes/panchratna-dry/detail/', {'recipe' : '53', 'ingredient' : '95', 'name' : 'Hing', 'mass_unit' : '2', 'mass_quantity' : '0', 'volume_unit' : '5', 'volume_quantity' : '0.3', 'pieces_unit' : '3', 'pieces_quantity' : '0', 'cooking_notes' : ''}).status_code; print('%s :: %s :: %s :: %s :: %s' %(a,251,'Hing','hing','Panchratna Dry'))</t>
  </si>
  <si>
    <t xml:space="preserve">a = Client().post('/recipes/panchratna-dry/detail/', {'recipe' : '53', 'ingredient' : '93', 'name' : 'Hari mirchi', 'mass_unit' : '2', 'mass_quantity' : '0', 'volume_unit' : '5', 'volume_quantity' : '1', 'pieces_unit' : '3', 'pieces_quantity' : '0', 'cooking_notes' : 'fine chopped'}).status_code; print('%s :: %s :: %s :: %s :: %s' %(a,252,'Hari mirchi','hari mirchi','Panchratna Dry'))</t>
  </si>
  <si>
    <t xml:space="preserve">a = Client().post('/recipes/panchratna-dry/detail/', {'recipe' : '53', 'ingredient' : '1', 'name' : 'Adrak paste', 'mass_unit' : '2', 'mass_quantity' : '0', 'volume_unit' : '1', 'volume_quantity' : '0.5', 'pieces_unit' : '3', 'pieces_quantity' : '0', 'cooking_notes' : ''}).status_code; print('%s :: %s :: %s :: %s :: %s' %(a,253,'Adrak paste','adrak','Panchratna Dry'))</t>
  </si>
  <si>
    <t xml:space="preserve">a = Client().post('/recipes/panchratna-dry/detail/', {'recipe' : '53', 'ingredient' : '103', 'name' : 'Jeera powder', 'mass_unit' : '2', 'mass_quantity' : '0', 'volume_unit' : '5', 'volume_quantity' : '0.75', 'pieces_unit' : '3', 'pieces_quantity' : '0', 'cooking_notes' : ''}).status_code; print('%s :: %s :: %s :: %s :: %s' %(a,254,'Jeera powder','jeera powder','Panchratna Dry'))</t>
  </si>
  <si>
    <t xml:space="preserve">a = Client().post('/recipes/panchratna-dry/detail/', {'recipe' : '53', 'ingredient' : '67', 'name' : 'Dhania powder', 'mass_unit' : '2', 'mass_quantity' : '0', 'volume_unit' : '5', 'volume_quantity' : '1', 'pieces_unit' : '3', 'pieces_quantity' : '0', 'cooking_notes' : ''}).status_code; print('%s :: %s :: %s :: %s :: %s' %(a,255,'Dhania powder','dhaniya powder','Panchratna Dry'))</t>
  </si>
  <si>
    <t xml:space="preserve">a = Client().post('/recipes/panchratna-dry/detail/', {'recipe' : '53', 'ingredient' : '135', 'name' : 'Red chilli powder', 'mass_unit' : '2', 'mass_quantity' : '0', 'volume_unit' : '5', 'volume_quantity' : '0.5', 'pieces_unit' : '3', 'pieces_quantity' : '0', 'cooking_notes' : ''}).status_code; print('%s :: %s :: %s :: %s :: %s' %(a,256,'Red chilli powder','madrasi mirchi powder','Panchratna Dry'))</t>
  </si>
  <si>
    <t xml:space="preserve">a = Client().post('/recipes/panchratna-dry/detail/', {'recipe' : '53', 'ingredient' : '91', 'name' : 'Haldi', 'mass_unit' : '2', 'mass_quantity' : '0', 'volume_unit' : '5', 'volume_quantity' : '0.6', 'pieces_unit' : '3', 'pieces_quantity' : '0', 'cooking_notes' : ''}).status_code; print('%s :: %s :: %s :: %s :: %s' %(a,257,'Haldi','haldi','Panchratna Dry'))</t>
  </si>
  <si>
    <t xml:space="preserve">a = Client().post('/recipes/panchratna-dry/detail/', {'recipe' : '53', 'ingredient' : '117', 'name' : 'Kashmiri powder', 'mass_unit' : '2', 'mass_quantity' : '0', 'volume_unit' : '5', 'volume_quantity' : '0.75', 'pieces_unit' : '3', 'pieces_quantity' : '0', 'cooking_notes' : ''}).status_code; print('%s :: %s :: %s :: %s :: %s' %(a,258,'Kashmiri powder','kashmiri chilly powder','Panchratna Dry'))</t>
  </si>
  <si>
    <t xml:space="preserve">a = Client().post('/recipes/panchratna-dry/detail/', {'recipe' : '53', 'ingredient' : '177', 'name' : 'Salt', 'mass_unit' : '2', 'mass_quantity' : '0', 'volume_unit' : '5', 'volume_quantity' : '1', 'pieces_unit' : '3', 'pieces_quantity' : '0', 'cooking_notes' : ''}).status_code; print('%s :: %s :: %s :: %s :: %s' %(a,259,'Salt','salt','Panchratna Dry'))</t>
  </si>
  <si>
    <t xml:space="preserve">a = Client().post('/recipes/panchratna-dry/detail/', {'recipe' : '53', 'ingredient' : '32', 'name' : 'Black salt', 'mass_unit' : '2', 'mass_quantity' : '0', 'volume_unit' : '5', 'volume_quantity' : '0.5', 'pieces_unit' : '3', 'pieces_quantity' : '0', 'cooking_notes' : ''}).status_code; print('%s :: %s :: %s :: %s :: %s' %(a,260,'Black salt','black salt','Panchratna Dry'))</t>
  </si>
  <si>
    <t xml:space="preserve">a = Client().post('/recipes/panchratna-dry/detail/', {'recipe' : '53', 'ingredient' : '72', 'name' : 'Everest chat masala', 'mass_unit' : '2', 'mass_quantity' : '0', 'volume_unit' : '5', 'volume_quantity' : '2', 'pieces_unit' : '3', 'pieces_quantity' : '0', 'cooking_notes' : ''}).status_code; print('%s :: %s :: %s :: %s :: %s' %(a,261,'Everest chat masala','everest chat masala','Panchratna Dry'))</t>
  </si>
  <si>
    <t xml:space="preserve">a = Client().post('/recipes/panchratna-dry/detail/', {'recipe' : '53', 'ingredient' : '129', 'name' : 'Lemon juice', 'mass_unit' : '2', 'mass_quantity' : '0', 'volume_unit' : '5', 'volume_quantity' : '2.5', 'pieces_unit' : '3', 'pieces_quantity' : '0', 'cooking_notes' : ''}).status_code; print('%s :: %s :: %s :: %s :: %s' %(a,262,'Lemon juice','lemon','Panchratna Dry'))</t>
  </si>
  <si>
    <t xml:space="preserve">/recipes/bhopla-km/detail/</t>
  </si>
  <si>
    <t xml:space="preserve">a = Client().post('/recipes/bhopla-km/detail/', {'recipe' : '9', 'ingredient' : '30', 'name' : 'Bhopla', 'mass_unit' : '2', 'mass_quantity' : '22', 'volume_unit' : '1', 'volume_quantity' : '0', 'pieces_unit' : '3', 'pieces_quantity' : '0', 'cooking_notes' : '1" cube'}).status_code; print('%s :: %s :: %s :: %s :: %s' %(a,265,'Bhopla','bhopla','Bhopla KM'))</t>
  </si>
  <si>
    <t xml:space="preserve">a = Client().post('/recipes/bhopla-km/detail/', {'recipe' : '9', 'ingredient' : '165', 'name' : 'Rai tel', 'mass_unit' : '2', 'mass_quantity' : '0', 'volume_unit' : '1', 'volume_quantity' : '1.25', 'pieces_unit' : '3', 'pieces_quantity' : '0', 'cooking_notes' : ''}).status_code; print('%s :: %s :: %s :: %s :: %s' %(a,266,'Rai tel','rai oil','Bhopla KM'))</t>
  </si>
  <si>
    <t xml:space="preserve">a = Client().post('/recipes/bhopla-km/detail/', {'recipe' : '9', 'ingredient' : '144', 'name' : 'Methi', 'mass_unit' : '2', 'mass_quantity' : '0', 'volume_unit' : '5', 'volume_quantity' : '0.5', 'pieces_unit' : '3', 'pieces_quantity' : '0', 'cooking_notes' : ''}).status_code; print('%s :: %s :: %s :: %s :: %s' %(a,267,'Methi','methi','Bhopla KM'))</t>
  </si>
  <si>
    <t xml:space="preserve">a = Client().post('/recipes/bhopla-km/detail/', {'recipe' : '9', 'ingredient' : '102', 'name' : 'Jeera', 'mass_unit' : '2', 'mass_quantity' : '0', 'volume_unit' : '5', 'volume_quantity' : '0.5', 'pieces_unit' : '3', 'pieces_quantity' : '0', 'cooking_notes' : ''}).status_code; print('%s :: %s :: %s :: %s :: %s' %(a,268,'Jeera','jeera','Bhopla KM'))</t>
  </si>
  <si>
    <t xml:space="preserve">a = Client().post('/recipes/bhopla-km/detail/', {'recipe' : '9', 'ingredient' : '17', 'name' : 'Badisaunf', 'mass_unit' : '2', 'mass_quantity' : '0', 'volume_unit' : '5', 'volume_quantity' : '0.5', 'pieces_unit' : '3', 'pieces_quantity' : '0', 'cooking_notes' : ''}).status_code; print('%s :: %s :: %s :: %s :: %s' %(a,269,'Badisaunf','badi sauf','Bhopla KM'))</t>
  </si>
  <si>
    <t xml:space="preserve">a = Client().post('/recipes/bhopla-km/detail/', {'recipe' : '9', 'ingredient' : '91', 'name' : 'Haldi', 'mass_unit' : '2', 'mass_quantity' : '0', 'volume_unit' : '5', 'volume_quantity' : '0.4', 'pieces_unit' : '3', 'pieces_quantity' : '0', 'cooking_notes' : ''}).status_code; print('%s :: %s :: %s :: %s :: %s' %(a,270,'Haldi','haldi','Bhopla KM'))</t>
  </si>
  <si>
    <t xml:space="preserve">a = Client().post('/recipes/bhopla-km/detail/', {'recipe' : '9', 'ingredient' : '67', 'name' : 'Dhania powder', 'mass_unit' : '2', 'mass_quantity' : '0', 'volume_unit' : '5', 'volume_quantity' : '1', 'pieces_unit' : '3', 'pieces_quantity' : '0', 'cooking_notes' : ''}).status_code; print('%s :: %s :: %s :: %s :: %s' %(a,271,'Dhania powder','dhaniya powder','Bhopla KM'))</t>
  </si>
  <si>
    <t xml:space="preserve">a = Client().post('/recipes/bhopla-km/detail/', {'recipe' : '9', 'ingredient' : '135', 'name' : 'Red chilli powder', 'mass_unit' : '2', 'mass_quantity' : '0', 'volume_unit' : '5', 'volume_quantity' : '0.5', 'pieces_unit' : '3', 'pieces_quantity' : '0', 'cooking_notes' : ''}).status_code; print('%s :: %s :: %s :: %s :: %s' %(a,272,'Red chilli powder','madrasi mirchi powder','Bhopla KM'))</t>
  </si>
  <si>
    <t xml:space="preserve">a = Client().post('/recipes/bhopla-km/detail/', {'recipe' : '9', 'ingredient' : '63', 'name' : 'Damodar P garam masala', 'mass_unit' : '2', 'mass_quantity' : '0', 'volume_unit' : '5', 'volume_quantity' : '0.35', 'pieces_unit' : '3', 'pieces_quantity' : '0', 'cooking_notes' : ''}).status_code; print('%s :: %s :: %s :: %s :: %s' %(a,273,'Damodar P garam masala','damodar p garam masala','Bhopla KM'))</t>
  </si>
  <si>
    <t xml:space="preserve">a = Client().post('/recipes/bhopla-km/detail/', {'recipe' : '9', 'ingredient' : '74', 'name' : 'Everest pulao masala', 'mass_unit' : '2', 'mass_quantity' : '0', 'volume_unit' : '5', 'volume_quantity' : '0.7', 'pieces_unit' : '3', 'pieces_quantity' : '0', 'cooking_notes' : ''}).status_code; print('%s :: %s :: %s :: %s :: %s' %(a,274,'Everest pulao masala','everest pulav masala','Bhopla KM'))</t>
  </si>
  <si>
    <t xml:space="preserve">a = Client().post('/recipes/bhopla-km/detail/', {'recipe' : '9', 'ingredient' : '187', 'name' : 'Sugar', 'mass_unit' : '2', 'mass_quantity' : '0', 'volume_unit' : '1', 'volume_quantity' : '0.6', 'pieces_unit' : '3', 'pieces_quantity' : '0', 'cooking_notes' : ''}).status_code; print('%s :: %s :: %s :: %s :: %s' %(a,275,'Sugar','sugar','Bhopla KM'))</t>
  </si>
  <si>
    <t xml:space="preserve">a = Client().post('/recipes/bhopla-km/detail/', {'recipe' : '9', 'ingredient' : '10', 'name' : 'Amchur', 'mass_unit' : '2', 'mass_quantity' : '0', 'volume_unit' : '5', 'volume_quantity' : '0.8', 'pieces_unit' : '3', 'pieces_quantity' : '0', 'cooking_notes' : ''}).status_code; print('%s :: %s :: %s :: %s :: %s' %(a,276,'Amchur','amchur','Bhopla KM'))</t>
  </si>
  <si>
    <t xml:space="preserve">a = Client().post('/recipes/bhopla-km/detail/', {'recipe' : '9', 'ingredient' : '177', 'name' : 'Salt', 'mass_unit' : '2', 'mass_quantity' : '0', 'volume_unit' : '5', 'volume_quantity' : '1', 'pieces_unit' : '3', 'pieces_quantity' : '0', 'cooking_notes' : ''}).status_code; print('%s :: %s :: %s :: %s :: %s' %(a,277,'Salt','salt','Bhopla KM'))</t>
  </si>
  <si>
    <t xml:space="preserve">/recipes/dosa-bhaji-dry/detail/</t>
  </si>
  <si>
    <t xml:space="preserve">a = Client().post('/recipes/dosa-bhaji-dry/detail/', {'recipe' : '20', 'ingredient' : '8', 'name' : 'Alu', 'mass_unit' : '2', 'mass_quantity' : '40', 'volume_unit' : '1', 'volume_quantity' : '0', 'pieces_unit' : '3', 'pieces_quantity' : '0', 'cooking_notes' : 'boiled,mashed'}).status_code; print('%s :: %s :: %s :: %s :: %s' %(a,280,'Alu','alu','Dosa Bhaji Dry'))</t>
  </si>
  <si>
    <t xml:space="preserve">a = Client().post('/recipes/dosa-bhaji-dry/detail/', {'recipe' : '20', 'ingredient' : '39', 'name' : 'Cabbage', 'mass_unit' : '2', 'mass_quantity' : '4', 'volume_unit' : '1', 'volume_quantity' : '0', 'pieces_unit' : '3', 'pieces_quantity' : '0', 'cooking_notes' : 'julienne'}).status_code; print('%s :: %s :: %s :: %s :: %s' %(a,281,'Cabbage','cabbage','Dosa Bhaji Dry'))</t>
  </si>
  <si>
    <t xml:space="preserve">a = Client().post('/recipes/dosa-bhaji-dry/detail/', {'recipe' : '20', 'ingredient' : '42', 'name' : 'Capsicum', 'mass_unit' : '2', 'mass_quantity' : '4', 'volume_unit' : '1', 'volume_quantity' : '0', 'pieces_unit' : '3', 'pieces_quantity' : '0', 'cooking_notes' : 'julienne'}).status_code; print('%s :: %s :: %s :: %s :: %s' %(a,282,'Capsicum','capsicum','Dosa Bhaji Dry'))</t>
  </si>
  <si>
    <t xml:space="preserve">a = Client().post('/recipes/dosa-bhaji-dry/detail/', {'recipe' : '20', 'ingredient' : '195', 'name' : 'Tomato', 'mass_unit' : '2', 'mass_quantity' : '4', 'volume_unit' : '1', 'volume_quantity' : '0', 'pieces_unit' : '3', 'pieces_quantity' : '0', 'cooking_notes' : '0.5" cube'}).status_code; print('%s :: %s :: %s :: %s :: %s' %(a,283,'Tomato','tomato','Dosa Bhaji Dry'))</t>
  </si>
  <si>
    <t xml:space="preserve">a = Client().post('/recipes/dosa-bhaji-dry/detail/', {'recipe' : '20', 'ingredient' : '88', 'name' : 'Green peas', 'mass_unit' : '2', 'mass_quantity' : '2', 'volume_unit' : '1', 'volume_quantity' : '0', 'pieces_unit' : '3', 'pieces_quantity' : '0', 'cooking_notes' : ''}).status_code; print('%s :: %s :: %s :: %s :: %s' %(a,284,'Green peas','green peas','Dosa Bhaji Dry'))</t>
  </si>
  <si>
    <t xml:space="preserve">a = Client().post('/recipes/dosa-bhaji-dry/detail/', {'recipe' : '20', 'ingredient' : '83', 'name' : 'Oil', 'mass_unit' : '2', 'mass_quantity' : '0', 'volume_unit' : '1', 'volume_quantity' : '2', 'pieces_unit' : '3', 'pieces_quantity' : '0', 'cooking_notes' : ''}).status_code; print('%s :: %s :: %s :: %s :: %s' %(a,285,'Oil','gound nut oil','Dosa Bhaji Dry'))</t>
  </si>
  <si>
    <t xml:space="preserve">a = Client().post('/recipes/dosa-bhaji-dry/detail/', {'recipe' : '20', 'ingredient' : '164', 'name' : 'Rai', 'mass_unit' : '2', 'mass_quantity' : '0', 'volume_unit' : '5', 'volume_quantity' : '1', 'pieces_unit' : '3', 'pieces_quantity' : '0', 'cooking_notes' : ''}).status_code; print('%s :: %s :: %s :: %s :: %s' %(a,286,'Rai','rai','Dosa Bhaji Dry'))</t>
  </si>
  <si>
    <t xml:space="preserve">a = Client().post('/recipes/dosa-bhaji-dry/detail/', {'recipe' : '20', 'ingredient' : '200', 'name' : 'Udad dal', 'mass_unit' : '2', 'mass_quantity' : '0', 'volume_unit' : '5', 'volume_quantity' : '2', 'pieces_unit' : '3', 'pieces_quantity' : '0', 'cooking_notes' : ''}).status_code; print('%s :: %s :: %s :: %s :: %s' %(a,287,'Udad dal','urad dal','Dosa Bhaji Dry'))</t>
  </si>
  <si>
    <t xml:space="preserve">a = Client().post('/recipes/dosa-bhaji-dry/detail/', {'recipe' : '20', 'ingredient' : '46', 'name' : 'Chana dal', 'mass_unit' : '2', 'mass_quantity' : '0', 'volume_unit' : '5', 'volume_quantity' : '2', 'pieces_unit' : '3', 'pieces_quantity' : '0', 'cooking_notes' : ''}).status_code; print('%s :: %s :: %s :: %s :: %s' %(a,288,'Chana dal','chana dal','Dosa Bhaji Dry'))</t>
  </si>
  <si>
    <t xml:space="preserve">a = Client().post('/recipes/dosa-bhaji-dry/detail/', {'recipe' : '20', 'ingredient' : '95', 'name' : 'Hing', 'mass_unit' : '2', 'mass_quantity' : '0', 'volume_unit' : '5', 'volume_quantity' : '0.5', 'pieces_unit' : '3', 'pieces_quantity' : '0', 'cooking_notes' : ''}).status_code; print('%s :: %s :: %s :: %s :: %s' %(a,289,'Hing','hing','Dosa Bhaji Dry'))</t>
  </si>
  <si>
    <t xml:space="preserve">a = Client().post('/recipes/dosa-bhaji-dry/detail/', {'recipe' : '20', 'ingredient' : '93', 'name' : 'Hari mirchi', 'mass_unit' : '2', 'mass_quantity' : '0', 'volume_unit' : '5', 'volume_quantity' : '2', 'pieces_unit' : '3', 'pieces_quantity' : '0', 'cooking_notes' : 'split in 2'}).status_code; print('%s :: %s :: %s :: %s :: %s' %(a,290,'Hari mirchi','hari mirchi','Dosa Bhaji Dry'))</t>
  </si>
  <si>
    <t xml:space="preserve">a = Client().post('/recipes/dosa-bhaji-dry/detail/', {'recipe' : '20', 'ingredient' : '105', 'name' : 'Kadipatta', 'mass_unit' : '2', 'mass_quantity' : '0', 'volume_unit' : '1', 'volume_quantity' : '2', 'pieces_unit' : '3', 'pieces_quantity' : '0', 'cooking_notes' : ''}).status_code; print('%s :: %s :: %s :: %s :: %s' %(a,291,'Kadipatta','kadi patta','Dosa Bhaji Dry'))</t>
  </si>
  <si>
    <t xml:space="preserve">a = Client().post('/recipes/dosa-bhaji-dry/detail/', {'recipe' : '20', 'ingredient' : '91', 'name' : 'Haldi', 'mass_unit' : '2', 'mass_quantity' : '0', 'volume_unit' : '5', 'volume_quantity' : '1', 'pieces_unit' : '3', 'pieces_quantity' : '0', 'cooking_notes' : ''}).status_code; print('%s :: %s :: %s :: %s :: %s' %(a,292,'Haldi','haldi','Dosa Bhaji Dry'))</t>
  </si>
  <si>
    <t xml:space="preserve">a = Client().post('/recipes/dosa-bhaji-dry/detail/', {'recipe' : '20', 'ingredient' : '148', 'name' : 'MTR Rasam powder', 'mass_unit' : '2', 'mass_quantity' : '0', 'volume_unit' : '5', 'volume_quantity' : '2', 'pieces_unit' : '3', 'pieces_quantity' : '0', 'cooking_notes' : ''}).status_code; print('%s :: %s :: %s :: %s :: %s' %(a,293,'MTR Rasam powder','mtr rasam masala','Dosa Bhaji Dry'))</t>
  </si>
  <si>
    <t xml:space="preserve">a = Client().post('/recipes/dosa-bhaji-dry/detail/', {'recipe' : '20', 'ingredient' : '177', 'name' : 'Salt', 'mass_unit' : '2', 'mass_quantity' : '0', 'volume_unit' : '5', 'volume_quantity' : '2.5', 'pieces_unit' : '3', 'pieces_quantity' : '0', 'cooking_notes' : ''}).status_code; print('%s :: %s :: %s :: %s :: %s' %(a,294,'Salt','salt','Dosa Bhaji Dry'))</t>
  </si>
  <si>
    <t xml:space="preserve">/recipes/chole-krsna-balaram/detail/</t>
  </si>
  <si>
    <t xml:space="preserve">a = Client().post('/recipes/chole-krsna-balaram/detail/', {'recipe' : '13', 'ingredient' : '53', 'name' : 'Chole', 'mass_unit' : '2', 'mass_quantity' : '11', 'volume_unit' : '1', 'volume_quantity' : '0', 'pieces_unit' : '3', 'pieces_quantity' : '0', 'cooking_notes' : ''}).status_code; print('%s :: %s :: %s :: %s :: %s' %(a,297,'Chole','chole','Chole Krsna Balaram'))</t>
  </si>
  <si>
    <t xml:space="preserve">a = Client().post('/recipes/chole-krsna-balaram/detail/', {'recipe' : '13', 'ingredient' : '195', 'name' : 'Tomato', 'mass_unit' : '2', 'mass_quantity' : '5.5', 'volume_unit' : '1', 'volume_quantity' : '0', 'pieces_unit' : '3', 'pieces_quantity' : '0', 'cooking_notes' : '0.5" cube'}).status_code; print('%s :: %s :: %s :: %s :: %s' %(a,298,'Tomato','tomato','Chole Krsna Balaram'))</t>
  </si>
  <si>
    <t xml:space="preserve">a = Client().post('/recipes/chole-krsna-balaram/detail/', {'recipe' : '13', 'ingredient' : '92', 'name' : 'Hansraj chole masala', 'mass_unit' : '2', 'mass_quantity' : '0', 'volume_unit' : '5', 'volume_quantity' : '6', 'pieces_unit' : '3', 'pieces_quantity' : '0', 'cooking_notes' : ''}).status_code; print('%s :: %s :: %s :: %s :: %s' %(a,299,'Hansraj chole masala','hansraj chole masala','Chole Krsna Balaram'))</t>
  </si>
  <si>
    <t xml:space="preserve">a = Client().post('/recipes/chole-krsna-balaram/detail/', {'recipe' : '13', 'ingredient' : '177', 'name' : 'Salt', 'mass_unit' : '2', 'mass_quantity' : '0', 'volume_unit' : '5', 'volume_quantity' : '0.3', 'pieces_unit' : '3', 'pieces_quantity' : '0', 'cooking_notes' : ''}).status_code; print('%s :: %s :: %s :: %s :: %s' %(a,300,'Salt','salt','Chole Krsna Balaram'))</t>
  </si>
  <si>
    <t xml:space="preserve">a = Client().post('/recipes/chole-krsna-balaram/detail/', {'recipe' : '13', 'ingredient' : '11', 'name' : 'Amla churna (optional)', 'mass_unit' : '2', 'mass_quantity' : '0', 'volume_unit' : '5', 'volume_quantity' : '2', 'pieces_unit' : '3', 'pieces_quantity' : '0', 'cooking_notes' : ''}).status_code; print('%s :: %s :: %s :: %s :: %s' %(a,301,'Amla churna (optional)','amla churna','Chole Krsna Balaram'))</t>
  </si>
  <si>
    <t xml:space="preserve">/recipes/patol-white-gravy/detail/</t>
  </si>
  <si>
    <t xml:space="preserve">a = Client().post('/recipes/patol-white-gravy/detail/', {'recipe' : '56', 'ingredient' : '165', 'name' : 'Rai tel', 'mass_unit' : '2', 'mass_quantity' : '0', 'volume_unit' : '1', 'volume_quantity' : '1', 'pieces_unit' : '3', 'pieces_quantity' : '0', 'cooking_notes' : ''}).status_code; print('%s :: %s :: %s :: %s :: %s' %(a,304,'Rai tel','rai oil','Patol White Gravy'))</t>
  </si>
  <si>
    <t xml:space="preserve">a = Client().post('/recipes/patol-white-gravy/detail/', {'recipe' : '56', 'ingredient' : '102', 'name' : 'Jeera', 'mass_unit' : '2', 'mass_quantity' : '0', 'volume_unit' : '5', 'volume_quantity' : '0.6', 'pieces_unit' : '3', 'pieces_quantity' : '0', 'cooking_notes' : ''}).status_code; print('%s :: %s :: %s :: %s :: %s' %(a,305,'Jeera','jeera','Patol White Gravy'))</t>
  </si>
  <si>
    <t xml:space="preserve">a = Client().post('/recipes/patol-white-gravy/detail/', {'recipe' : '56', 'ingredient' : '93', 'name' : 'Hari mirchi', 'mass_unit' : '7', 'mass_quantity' : '100', 'volume_unit' : '1', 'volume_quantity' : '0', 'pieces_unit' : '3', 'pieces_quantity' : '0', 'cooking_notes' : ''}).status_code; print('%s :: %s :: %s :: %s :: %s' %(a,306,'Hari mirchi','hari mirchi','Patol White Gravy'))</t>
  </si>
  <si>
    <t xml:space="preserve">a = Client().post('/recipes/patol-white-gravy/detail/', {'recipe' : '56', 'ingredient' : '91', 'name' : 'Haldi', 'mass_unit' : '2', 'mass_quantity' : '0', 'volume_unit' : '5', 'volume_quantity' : '0.75', 'pieces_unit' : '3', 'pieces_quantity' : '0', 'cooking_notes' : ''}).status_code; print('%s :: %s :: %s :: %s :: %s' %(a,307,'Haldi','haldi','Patol White Gravy'))</t>
  </si>
  <si>
    <t xml:space="preserve">a = Client().post('/recipes/patol-white-gravy/detail/', {'recipe' : '56', 'ingredient' : '107', 'name' : 'Kaju', 'mass_unit' : '2', 'mass_quantity' : '0.5', 'volume_unit' : '1', 'volume_quantity' : '0', 'pieces_unit' : '3', 'pieces_quantity' : '0', 'cooking_notes' : ''}).status_code; print('%s :: %s :: %s :: %s :: %s' %(a,308,'Kaju','kaju','Patol White Gravy'))</t>
  </si>
  <si>
    <t xml:space="preserve">a = Client().post('/recipes/patol-white-gravy/detail/', {'recipe' : '56', 'ingredient' : '161', 'name' : 'Posto', 'mass_unit' : '2', 'mass_quantity' : '0.75', 'volume_unit' : '1', 'volume_quantity' : '0', 'pieces_unit' : '3', 'pieces_quantity' : '0', 'cooking_notes' : ''}).status_code; print('%s :: %s :: %s :: %s :: %s' %(a,309,'Posto','posto','Patol White Gravy'))</t>
  </si>
  <si>
    <t xml:space="preserve">a = Client().post('/recipes/patol-white-gravy/detail/', {'recipe' : '56', 'ingredient' : '74', 'name' : 'Everest pulao masala', 'mass_unit' : '2', 'mass_quantity' : '0', 'volume_unit' : '5', 'volume_quantity' : '1.5', 'pieces_unit' : '3', 'pieces_quantity' : '0', 'cooking_notes' : ''}).status_code; print('%s :: %s :: %s :: %s :: %s' %(a,310,'Everest pulao masala','everest pulav masala','Patol White Gravy'))</t>
  </si>
  <si>
    <t xml:space="preserve">a = Client().post('/recipes/patol-white-gravy/detail/', {'recipe' : '56', 'ingredient' : '187', 'name' : 'Sugar', 'mass_unit' : '2', 'mass_quantity' : '0', 'volume_unit' : '5', 'volume_quantity' : '2.5', 'pieces_unit' : '3', 'pieces_quantity' : '0', 'cooking_notes' : ''}).status_code; print('%s :: %s :: %s :: %s :: %s' %(a,311,'Sugar','sugar','Patol White Gravy'))</t>
  </si>
  <si>
    <t xml:space="preserve">a = Client().post('/recipes/patol-white-gravy/detail/', {'recipe' : '56', 'ingredient' : '158', 'name' : 'Patol', 'mass_unit' : '2', 'mass_quantity' : '25', 'volume_unit' : '1', 'volume_quantity' : '0', 'pieces_unit' : '3', 'pieces_quantity' : '0', 'cooking_notes' : 'sauteed'}).status_code; print('%s :: %s :: %s :: %s :: %s' %(a,312,'Patol','patol','Patol White Gravy'))</t>
  </si>
  <si>
    <t xml:space="preserve">a = Client().post('/recipes/patol-white-gravy/detail/', {'recipe' : '56', 'ingredient' : '97', 'name' : 'Hot water', 'mass_unit' : '2', 'mass_quantity' : '0', 'volume_unit' : '1', 'volume_quantity' : '10', 'pieces_unit' : '3', 'pieces_quantity' : '0', 'cooking_notes' : ''}).status_code; print('%s :: %s :: %s :: %s :: %s' %(a,313,'Hot water','hot water','Patol White Gravy'))</t>
  </si>
  <si>
    <t xml:space="preserve">a = Client().post('/recipes/patol-white-gravy/detail/', {'recipe' : '56', 'ingredient' : '191', 'name' : 'Tejpatta', 'mass_unit' : '2', 'mass_quantity' : '0', 'volume_unit' : '5', 'volume_quantity' : '1', 'pieces_unit' : '3', 'pieces_quantity' : '0', 'cooking_notes' : ''}).status_code; print('%s :: %s :: %s :: %s :: %s' %(a,314,'Tejpatta','tej patta','Patol White Gravy'))</t>
  </si>
  <si>
    <t xml:space="preserve">a = Client().post('/recipes/patol-white-gravy/detail/', {'recipe' : '56', 'ingredient' : '177', 'name' : 'Salt', 'mass_unit' : '2', 'mass_quantity' : '0', 'volume_unit' : '5', 'volume_quantity' : '2', 'pieces_unit' : '3', 'pieces_quantity' : '0', 'cooking_notes' : ''}).status_code; print('%s :: %s :: %s :: %s :: %s' %(a,315,'Salt','salt','Patol White Gravy'))</t>
  </si>
  <si>
    <t xml:space="preserve">/recipes/alu-jeera/detail/</t>
  </si>
  <si>
    <t xml:space="preserve">a = Client().post('/recipes/alu-jeera/detail/', {'recipe' : '4', 'ingredient' : '8', 'name' : 'Alu', 'mass_unit' : '2', 'mass_quantity' : '15', 'volume_unit' : '1', 'volume_quantity' : '0', 'pieces_unit' : '3', 'pieces_quantity' : '0', 'cooking_notes' : 'boiled,peeled,cut'}).status_code; print('%s :: %s :: %s :: %s :: %s' %(a,318,'Alu','alu','Alu Jeera'))</t>
  </si>
  <si>
    <t xml:space="preserve">a = Client().post('/recipes/alu-jeera/detail/', {'recipe' : '4', 'ingredient' : '83', 'name' : 'Oil', 'mass_unit' : '2', 'mass_quantity' : '0', 'volume_unit' : '1', 'volume_quantity' : '1.5', 'pieces_unit' : '3', 'pieces_quantity' : '0', 'cooking_notes' : ''}).status_code; print('%s :: %s :: %s :: %s :: %s' %(a,319,'Oil','gound nut oil','Alu Jeera'))</t>
  </si>
  <si>
    <t xml:space="preserve">a = Client().post('/recipes/alu-jeera/detail/', {'recipe' : '4', 'ingredient' : '102', 'name' : 'Jeera', 'mass_unit' : '2', 'mass_quantity' : '0', 'volume_unit' : '5', 'volume_quantity' : '1', 'pieces_unit' : '3', 'pieces_quantity' : '0', 'cooking_notes' : ''}).status_code; print('%s :: %s :: %s :: %s :: %s' %(a,320,'Jeera','jeera','Alu Jeera'))</t>
  </si>
  <si>
    <t xml:space="preserve">a = Client().post('/recipes/alu-jeera/detail/', {'recipe' : '4', 'ingredient' : '95', 'name' : 'Hing', 'mass_unit' : '2', 'mass_quantity' : '0', 'volume_unit' : '5', 'volume_quantity' : '0.25', 'pieces_unit' : '3', 'pieces_quantity' : '0', 'cooking_notes' : ''}).status_code; print('%s :: %s :: %s :: %s :: %s' %(a,321,'Hing','hing','Alu Jeera'))</t>
  </si>
  <si>
    <t xml:space="preserve">a = Client().post('/recipes/alu-jeera/detail/', {'recipe' : '4', 'ingredient' : '93', 'name' : 'Hari mirchi', 'mass_unit' : '2', 'mass_quantity' : '0', 'volume_unit' : '5', 'volume_quantity' : '2', 'pieces_unit' : '3', 'pieces_quantity' : '0', 'cooking_notes' : 'fine chopped'}).status_code; print('%s :: %s :: %s :: %s :: %s' %(a,322,'Hari mirchi','hari mirchi','Alu Jeera'))</t>
  </si>
  <si>
    <t xml:space="preserve">a = Client().post('/recipes/alu-jeera/detail/', {'recipe' : '4', 'ingredient' : '117', 'name' : 'Kashmiri powder', 'mass_unit' : '2', 'mass_quantity' : '0', 'volume_unit' : '5', 'volume_quantity' : '0.3', 'pieces_unit' : '3', 'pieces_quantity' : '0', 'cooking_notes' : ''}).status_code; print('%s :: %s :: %s :: %s :: %s' %(a,323,'Kashmiri powder','kashmiri chilly powder','Alu Jeera'))</t>
  </si>
  <si>
    <t xml:space="preserve">a = Client().post('/recipes/alu-jeera/detail/', {'recipe' : '4', 'ingredient' : '135', 'name' : 'Red chilli powder', 'mass_unit' : '2', 'mass_quantity' : '0', 'volume_unit' : '5', 'volume_quantity' : '0.3', 'pieces_unit' : '3', 'pieces_quantity' : '0', 'cooking_notes' : ''}).status_code; print('%s :: %s :: %s :: %s :: %s' %(a,324,'Red chilli powder','madrasi mirchi powder','Alu Jeera'))</t>
  </si>
  <si>
    <t xml:space="preserve">a = Client().post('/recipes/alu-jeera/detail/', {'recipe' : '4', 'ingredient' : '177', 'name' : 'Salt', 'mass_unit' : '2', 'mass_quantity' : '0', 'volume_unit' : '5', 'volume_quantity' : '1.25', 'pieces_unit' : '3', 'pieces_quantity' : '0', 'cooking_notes' : ''}).status_code; print('%s :: %s :: %s :: %s :: %s' %(a,325,'Salt','salt','Alu Jeera'))</t>
  </si>
  <si>
    <t xml:space="preserve">a = Client().post('/recipes/alu-jeera/detail/', {'recipe' : '4', 'ingredient' : '67', 'name' : 'Dhania powder', 'mass_unit' : '2', 'mass_quantity' : '0', 'volume_unit' : '5', 'volume_quantity' : '0.75', 'pieces_unit' : '3', 'pieces_quantity' : '0', 'cooking_notes' : ''}).status_code; print('%s :: %s :: %s :: %s :: %s' %(a,326,'Dhania powder','dhaniya powder','Alu Jeera'))</t>
  </si>
  <si>
    <t xml:space="preserve">a = Client().post('/recipes/alu-jeera/detail/', {'recipe' : '4', 'ingredient' : '102', 'name' : 'Roasted jeera powder', 'mass_unit' : '2', 'mass_quantity' : '0', 'volume_unit' : '5', 'volume_quantity' : '0.4', 'pieces_unit' : '3', 'pieces_quantity' : '0', 'cooking_notes' : ''}).status_code; print('%s :: %s :: %s :: %s :: %s' %(a,327,'Roasted jeera powder','jeera','Alu Jeera'))</t>
  </si>
  <si>
    <t xml:space="preserve">a = Client().post('/recipes/alu-jeera/detail/', {'recipe' : '4', 'ingredient' : '129', 'name' : 'Lemon juice', 'mass_unit' : '2', 'mass_quantity' : '0', 'volume_unit' : '5', 'volume_quantity' : '1.5', 'pieces_unit' : '3', 'pieces_quantity' : '0', 'cooking_notes' : ''}).status_code; print('%s :: %s :: %s :: %s :: %s' %(a,328,'Lemon juice','lemon','Alu Jeera'))</t>
  </si>
  <si>
    <t xml:space="preserve">a = Client().post('/recipes/alu-jeera/detail/', {'recipe' : '4', 'ingredient' : '66', 'name' : 'Dhania patta', 'mass_unit' : '2', 'mass_quantity' : '0', 'volume_unit' : '1', 'volume_quantity' : '2', 'pieces_unit' : '3', 'pieces_quantity' : '0', 'cooking_notes' : ''}).status_code; print('%s :: %s :: %s :: %s :: %s' %(a,329,'Dhania patta','dhaniya patta','Alu Jeera'))</t>
  </si>
  <si>
    <t xml:space="preserve">/recipes/brokoli-sautee/detail/</t>
  </si>
  <si>
    <t xml:space="preserve">a = Client().post('/recipes/brokoli-sautee/detail/', {'recipe' : '12', 'ingredient' : '36', 'name' : 'Brokoli ', 'mass_unit' : '2', 'mass_quantity' : '18', 'volume_unit' : '1', 'volume_quantity' : '0', 'pieces_unit' : '3', 'pieces_quantity' : '0', 'cooking_notes' : 'steamed'}).status_code; print('%s :: %s :: %s :: %s :: %s' %(a,332,'Brokoli ','broccoli','Brokoli Sautee'))</t>
  </si>
  <si>
    <t xml:space="preserve">a = Client().post('/recipes/brokoli-sautee/detail/', {'recipe' : '12', 'ingredient' : '36', 'name' : 'Brokoli ', 'mass_unit' : '2', 'mass_quantity' : '0', 'volume_unit' : '1', 'volume_quantity' : '18', 'pieces_unit' : '3', 'pieces_quantity' : '0', 'cooking_notes' : ''}).status_code; print('%s :: %s :: %s :: %s :: %s' %(a,333,'Brokoli ','broccoli','Brokoli Sautee'))</t>
  </si>
  <si>
    <t xml:space="preserve">a = Client().post('/recipes/brokoli-sautee/detail/', {'recipe' : '12', 'ingredient' : '76', 'name' : 'EVOO', 'mass_unit' : '2', 'mass_quantity' : '0', 'volume_unit' : '1', 'volume_quantity' : '0.5', 'pieces_unit' : '3', 'pieces_quantity' : '0', 'cooking_notes' : ''}).status_code; print('%s :: %s :: %s :: %s :: %s' %(a,334,'EVOO','evoo','Brokoli Sautee'))</t>
  </si>
  <si>
    <t xml:space="preserve">a = Client().post('/recipes/brokoli-sautee/detail/', {'recipe' : '12', 'ingredient' : '31', 'name' : 'Black pepper powder', 'mass_unit' : '2', 'mass_quantity' : '0', 'volume_unit' : '5', 'volume_quantity' : '0.5', 'pieces_unit' : '3', 'pieces_quantity' : '0', 'cooking_notes' : ''}).status_code; print('%s :: %s :: %s :: %s :: %s' %(a,335,'Black pepper powder','black pepper','Brokoli Sautee'))</t>
  </si>
  <si>
    <t xml:space="preserve">a = Client().post('/recipes/brokoli-sautee/detail/', {'recipe' : '12', 'ingredient' : '95', 'name' : 'Hing', 'mass_unit' : '2', 'mass_quantity' : '0', 'volume_unit' : '5', 'volume_quantity' : '0.25', 'pieces_unit' : '3', 'pieces_quantity' : '0', 'cooking_notes' : ''}).status_code; print('%s :: %s :: %s :: %s :: %s' %(a,336,'Hing','hing','Brokoli Sautee'))</t>
  </si>
  <si>
    <t xml:space="preserve">a = Client().post('/recipes/brokoli-sautee/detail/', {'recipe' : '12', 'ingredient' : '177', 'name' : 'Salt', 'mass_unit' : '2', 'mass_quantity' : '0', 'volume_unit' : '5', 'volume_quantity' : '0.5', 'pieces_unit' : '3', 'pieces_quantity' : '0', 'cooking_notes' : ''}).status_code; print('%s :: %s :: %s :: %s :: %s' %(a,337,'Salt','salt','Brokoli Sautee'))</t>
  </si>
  <si>
    <t xml:space="preserve">a = Client().post('/recipes/brokoli-sautee/detail/', {'recipe' : '12', 'ingredient' : '32', 'name' : 'Black salt', 'mass_unit' : '2', 'mass_quantity' : '0', 'volume_unit' : '5', 'volume_quantity' : '0.3', 'pieces_unit' : '3', 'pieces_quantity' : '0', 'cooking_notes' : ''}).status_code; print('%s :: %s :: %s :: %s :: %s' %(a,338,'Black salt','black salt','Brokoli Sautee'))</t>
  </si>
  <si>
    <t xml:space="preserve">a = Client().post('/recipes/brokoli-sautee/detail/', {'recipe' : '12', 'ingredient' : '24', 'name' : 'Basil leaves', 'mass_unit' : '2', 'mass_quantity' : '0', 'volume_unit' : '1', 'volume_quantity' : '1', 'pieces_unit' : '3', 'pieces_quantity' : '0', 'cooking_notes' : 'chopped'}).status_code; print('%s :: %s :: %s :: %s :: %s' %(a,339,'Basil leaves','basil leaves','Brokoli Sautee'))</t>
  </si>
  <si>
    <t xml:space="preserve">/recipes/kerela-round/detail/</t>
  </si>
  <si>
    <t xml:space="preserve">a = Client().post('/recipes/kerela-round/detail/', {'recipe' : '36', 'ingredient' : '116', 'name' : 'Karela', 'mass_unit' : '2', 'mass_quantity' : '10', 'volume_unit' : '1', 'volume_quantity' : '0', 'pieces_unit' : '3', 'pieces_quantity' : '0', 'cooking_notes' : 'round slices,salt squeezed'}).status_code; print('%s :: %s :: %s :: %s :: %s' %(a,342,'Karela','karela','Kerela Round'))</t>
  </si>
  <si>
    <t xml:space="preserve">a = Client().post('/recipes/kerela-round/detail/', {'recipe' : '36', 'ingredient' : '116', 'name' : 'Karela', 'mass_unit' : '2', 'mass_quantity' : '0', 'volume_unit' : '1', 'volume_quantity' : '10', 'pieces_unit' : '3', 'pieces_quantity' : '0', 'cooking_notes' : ''}).status_code; print('%s :: %s :: %s :: %s :: %s' %(a,343,'Karela','karela','Kerela Round'))</t>
  </si>
  <si>
    <t xml:space="preserve">a = Client().post('/recipes/kerela-round/detail/', {'recipe' : '36', 'ingredient' : '83', 'name' : 'Oil', 'mass_unit' : '2', 'mass_quantity' : '1.5', 'volume_unit' : '1', 'volume_quantity' : '0', 'pieces_unit' : '3', 'pieces_quantity' : '0', 'cooking_notes' : ''}).status_code; print('%s :: %s :: %s :: %s :: %s' %(a,344,'Oil','gound nut oil','Kerela Round'))</t>
  </si>
  <si>
    <t xml:space="preserve">a = Client().post('/recipes/kerela-round/detail/', {'recipe' : '36', 'ingredient' : '102', 'name' : 'Jeera', 'mass_unit' : '2', 'mass_quantity' : '0', 'volume_unit' : '5', 'volume_quantity' : '0.3', 'pieces_unit' : '3', 'pieces_quantity' : '0', 'cooking_notes' : ''}).status_code; print('%s :: %s :: %s :: %s :: %s' %(a,345,'Jeera','jeera','Kerela Round'))</t>
  </si>
  <si>
    <t xml:space="preserve">a = Client().post('/recipes/kerela-round/detail/', {'recipe' : '36', 'ingredient' : '93', 'name' : 'Hari mirchi', 'mass_unit' : '2', 'mass_quantity' : '0', 'volume_unit' : '5', 'volume_quantity' : '1', 'pieces_unit' : '3', 'pieces_quantity' : '0', 'cooking_notes' : 'fine chopped'}).status_code; print('%s :: %s :: %s :: %s :: %s' %(a,346,'Hari mirchi','hari mirchi','Kerela Round'))</t>
  </si>
  <si>
    <t xml:space="preserve">a = Client().post('/recipes/kerela-round/detail/', {'recipe' : '36', 'ingredient' : '91', 'name' : 'Haldi', 'mass_unit' : '2', 'mass_quantity' : '0', 'volume_unit' : '5', 'volume_quantity' : '0.3', 'pieces_unit' : '3', 'pieces_quantity' : '0', 'cooking_notes' : ''}).status_code; print('%s :: %s :: %s :: %s :: %s' %(a,347,'Haldi','haldi','Kerela Round'))</t>
  </si>
  <si>
    <t xml:space="preserve">a = Client().post('/recipes/kerela-round/detail/', {'recipe' : '36', 'ingredient' : '67', 'name' : 'Dhania powder', 'mass_unit' : '2', 'mass_quantity' : '0', 'volume_unit' : '5', 'volume_quantity' : '0.75', 'pieces_unit' : '3', 'pieces_quantity' : '0', 'cooking_notes' : ''}).status_code; print('%s :: %s :: %s :: %s :: %s' %(a,348,'Dhania powder','dhaniya powder','Kerela Round'))</t>
  </si>
  <si>
    <t xml:space="preserve">a = Client().post('/recipes/kerela-round/detail/', {'recipe' : '36', 'ingredient' : '177', 'name' : 'Salt', 'mass_unit' : '2', 'mass_quantity' : '0', 'volume_unit' : '5', 'volume_quantity' : '0.5', 'pieces_unit' : '3', 'pieces_quantity' : '0', 'cooking_notes' : ''}).status_code; print('%s :: %s :: %s :: %s :: %s' %(a,349,'Salt','salt','Kerela Round'))</t>
  </si>
  <si>
    <t xml:space="preserve">a = Client().post('/recipes/kerela-round/detail/', {'recipe' : '36', 'ingredient' : '90', 'name' : 'Gud', 'mass_unit' : '7', 'mass_quantity' : '250', 'volume_unit' : '1', 'volume_quantity' : '0', 'pieces_unit' : '3', 'pieces_quantity' : '0', 'cooking_notes' : ''}).status_code; print('%s :: %s :: %s :: %s :: %s' %(a,350,'Gud','gud','Kerela Round'))</t>
  </si>
  <si>
    <t xml:space="preserve">a = Client().post('/recipes/kerela-round/detail/', {'recipe' : '36', 'ingredient' : '10', 'name' : 'Amchur', 'mass_unit' : '2', 'mass_quantity' : '0', 'volume_unit' : '5', 'volume_quantity' : '0.5', 'pieces_unit' : '3', 'pieces_quantity' : '0', 'cooking_notes' : ''}).status_code; print('%s :: %s :: %s :: %s :: %s' %(a,351,'Amchur','amchur','Kerela Round'))</t>
  </si>
  <si>
    <t xml:space="preserve">/recipes/red-sak-badi/detail/</t>
  </si>
  <si>
    <t xml:space="preserve">a = Client().post('/recipes/red-sak-badi/detail/', {'recipe' : '66', 'ingredient' : '169', 'name' : 'Red sak', 'mass_unit' : '2', 'mass_quantity' : '0', 'volume_unit' : '1', 'volume_quantity' : '0', 'pieces_unit' : '8', 'pieces_quantity' : '40', 'cooking_notes' : 'chopped'}).status_code; print('%s :: %s :: %s :: %s :: %s' %(a,354,'Red sak','red sak','Red Sak Badi'))</t>
  </si>
  <si>
    <t xml:space="preserve">a = Client().post('/recipes/red-sak-badi/detail/', {'recipe' : '66', 'ingredient' : '169', 'name' : 'Red sak', 'mass_unit' : '2', 'mass_quantity' : '0', 'volume_unit' : '1', 'volume_quantity' : '40', 'pieces_unit' : '3', 'pieces_quantity' : '0', 'cooking_notes' : ''}).status_code; print('%s :: %s :: %s :: %s :: %s' %(a,355,'Red sak','red sak','Red Sak Badi'))</t>
  </si>
  <si>
    <t xml:space="preserve">a = Client().post('/recipes/red-sak-badi/detail/', {'recipe' : '66', 'ingredient' : '165', 'name' : 'Rai tel', 'mass_unit' : '2', 'mass_quantity' : '0', 'volume_unit' : '1', 'volume_quantity' : '1.25', 'pieces_unit' : '3', 'pieces_quantity' : '0', 'cooking_notes' : ''}).status_code; print('%s :: %s :: %s :: %s :: %s' %(a,356,'Rai tel','rai oil','Red Sak Badi'))</t>
  </si>
  <si>
    <t xml:space="preserve">a = Client().post('/recipes/red-sak-badi/detail/', {'recipe' : '66', 'ingredient' : '114', 'name' : 'Kalo jeera', 'mass_unit' : '2', 'mass_quantity' : '0', 'volume_unit' : '5', 'volume_quantity' : '0.8', 'pieces_unit' : '3', 'pieces_quantity' : '0', 'cooking_notes' : ''}).status_code; print('%s :: %s :: %s :: %s :: %s' %(a,357,'Kalo jeera','kalo jeera','Red Sak Badi'))</t>
  </si>
  <si>
    <t xml:space="preserve">a = Client().post('/recipes/red-sak-badi/detail/', {'recipe' : '66', 'ingredient' : '191', 'name' : 'Tejpatta', 'mass_unit' : '2', 'mass_quantity' : '0', 'volume_unit' : '5', 'volume_quantity' : '1', 'pieces_unit' : '3', 'pieces_quantity' : '0', 'cooking_notes' : ''}).status_code; print('%s :: %s :: %s :: %s :: %s' %(a,358,'Tejpatta','tej patta','Red Sak Badi'))</t>
  </si>
  <si>
    <t xml:space="preserve">a = Client().post('/recipes/red-sak-badi/detail/', {'recipe' : '66', 'ingredient' : '1', 'name' : 'Adrak paste', 'mass_unit' : '2', 'mass_quantity' : '0', 'volume_unit' : '1', 'volume_quantity' : '0.5', 'pieces_unit' : '3', 'pieces_quantity' : '0', 'cooking_notes' : ''}).status_code; print('%s :: %s :: %s :: %s :: %s' %(a,359,'Adrak paste','adrak','Red Sak Badi'))</t>
  </si>
  <si>
    <t xml:space="preserve">a = Client().post('/recipes/red-sak-badi/detail/', {'recipe' : '66', 'ingredient' : '93', 'name' : 'Hari mirchi', 'mass_unit' : '2', 'mass_quantity' : '0', 'volume_unit' : '5', 'volume_quantity' : '2', 'pieces_unit' : '3', 'pieces_quantity' : '0', 'cooking_notes' : 'fine chopped'}).status_code; print('%s :: %s :: %s :: %s :: %s' %(a,360,'Hari mirchi','hari mirchi','Red Sak Badi'))</t>
  </si>
  <si>
    <t xml:space="preserve">a = Client().post('/recipes/red-sak-badi/detail/', {'recipe' : '66', 'ingredient' : '177', 'name' : 'Salt', 'mass_unit' : '2', 'mass_quantity' : '0', 'volume_unit' : '5', 'volume_quantity' : '0.8', 'pieces_unit' : '3', 'pieces_quantity' : '0', 'cooking_notes' : ''}).status_code; print('%s :: %s :: %s :: %s :: %s' %(a,361,'Salt','salt','Red Sak Badi'))</t>
  </si>
  <si>
    <t xml:space="preserve">a = Client().post('/recipes/red-sak-badi/detail/', {'recipe' : '66', 'ingredient' : '91', 'name' : 'Haldi', 'mass_unit' : '2', 'mass_quantity' : '0', 'volume_unit' : '5', 'volume_quantity' : '0.5', 'pieces_unit' : '3', 'pieces_quantity' : '0', 'cooking_notes' : ''}).status_code; print('%s :: %s :: %s :: %s :: %s' %(a,362,'Haldi','haldi','Red Sak Badi'))</t>
  </si>
  <si>
    <t xml:space="preserve">a = Client().post('/recipes/red-sak-badi/detail/', {'recipe' : '66', 'ingredient' : '146', 'name' : 'Badi', 'mass_unit' : '2', 'mass_quantity' : '0', 'volume_unit' : '1', 'volume_quantity' : '0.75', 'pieces_unit' : '3', 'pieces_quantity' : '0', 'cooking_notes' : ''}).status_code; print('%s :: %s :: %s :: %s :: %s' %(a,363,'Badi','Moong badi','Red Sak Badi'))</t>
  </si>
  <si>
    <t xml:space="preserve">/recipes/varai-pulav/detail/</t>
  </si>
  <si>
    <t xml:space="preserve">a = Client().post('/recipes/varai-pulav/detail/', {'recipe' : '86', 'ingredient' : '201', 'name' : 'Varai rice', 'mass_unit' : '2', 'mass_quantity' : '30', 'volume_unit' : '1', 'volume_quantity' : '0', 'pieces_unit' : '3', 'pieces_quantity' : '0', 'cooking_notes' : ''}).status_code; print('%s :: %s :: %s :: %s :: %s' %(a,368,'Varai rice','varai','Varai Pulav'))</t>
  </si>
  <si>
    <t xml:space="preserve">a = Client().post('/recipes/varai-pulav/detail/', {'recipe' : '86', 'ingredient' : '89', 'name' : 'Groundnut oil for tadka', 'mass_unit' : '2', 'mass_quantity' : '0', 'volume_unit' : '1', 'volume_quantity' : '10', 'pieces_unit' : '3', 'pieces_quantity' : '0', 'cooking_notes' : ''}).status_code; print('%s :: %s :: %s :: %s :: %s' %(a,369,'Groundnut oil for tadka','ground nut oil','Varai Pulav'))</t>
  </si>
  <si>
    <t xml:space="preserve">a = Client().post('/recipes/varai-pulav/detail/', {'recipe' : '86', 'ingredient' : '191', 'name' : 'Tejpatta', 'mass_unit' : '2', 'mass_quantity' : '0', 'volume_unit' : '1', 'volume_quantity' : '1', 'pieces_unit' : '3', 'pieces_quantity' : '0', 'cooking_notes' : ''}).status_code; print('%s :: %s :: %s :: %s :: %s' %(a,370,'Tejpatta','tej patta','Varai Pulav'))</t>
  </si>
  <si>
    <t xml:space="preserve">a = Client().post('/recipes/varai-pulav/detail/', {'recipe' : '86', 'ingredient' : '102', 'name' : 'Jeera', 'mass_unit' : '2', 'mass_quantity' : '0', 'volume_unit' : '1', 'volume_quantity' : '0.75', 'pieces_unit' : '3', 'pieces_quantity' : '0', 'cooking_notes' : ''}).status_code; print('%s :: %s :: %s :: %s :: %s' %(a,371,'Jeera','jeera','Varai Pulav'))</t>
  </si>
  <si>
    <t xml:space="preserve">a = Client().post('/recipes/varai-pulav/detail/', {'recipe' : '86', 'ingredient' : '105', 'name' : 'kadi patta', 'mass_unit' : '2', 'mass_quantity' : '0', 'volume_unit' : '1', 'volume_quantity' : '2', 'pieces_unit' : '3', 'pieces_quantity' : '0', 'cooking_notes' : ''}).status_code; print('%s :: %s :: %s :: %s :: %s' %(a,372,'kadi patta','kadi patta','Varai Pulav'))</t>
  </si>
  <si>
    <t xml:space="preserve">a = Client().post('/recipes/varai-pulav/detail/', {'recipe' : '86', 'ingredient' : '79', 'name' : 'Gajar', 'mass_unit' : '2', 'mass_quantity' : '4', 'volume_unit' : '1', 'volume_quantity' : '5', 'pieces_unit' : '3', 'pieces_quantity' : '0', 'cooking_notes' : ''}).status_code; print('%s :: %s :: %s :: %s :: %s' %(a,373,'Gajar','gajar','Varai Pulav'))</t>
  </si>
  <si>
    <t xml:space="preserve">a = Client().post('/recipes/varai-pulav/detail/', {'recipe' : '86', 'ingredient' : '39', 'name' : 'Cabbage', 'mass_unit' : '2', 'mass_quantity' : '12', 'volume_unit' : '1', 'volume_quantity' : '30', 'pieces_unit' : '3', 'pieces_quantity' : '0', 'cooking_notes' : ''}).status_code; print('%s :: %s :: %s :: %s :: %s' %(a,375,'Cabbage','cabbage','Varai Pulav'))</t>
  </si>
  <si>
    <t xml:space="preserve">a = Client().post('/recipes/varai-pulav/detail/', {'recipe' : '86', 'ingredient' : '42', 'name' : 'Capsicum', 'mass_unit' : '2', 'mass_quantity' : '3.5', 'volume_unit' : '1', 'volume_quantity' : '5', 'pieces_unit' : '3', 'pieces_quantity' : '0', 'cooking_notes' : ''}).status_code; print('%s :: %s :: %s :: %s :: %s' %(a,377,'Capsicum','capsicum','Varai Pulav'))</t>
  </si>
  <si>
    <t xml:space="preserve">a = Client().post('/recipes/varai-pulav/detail/', {'recipe' : '86', 'ingredient' : '78', 'name' : 'Flower', 'mass_unit' : '2', 'mass_quantity' : '20', 'volume_unit' : '1', 'volume_quantity' : '0', 'pieces_unit' : '3', 'pieces_quantity' : '0', 'cooking_notes' : ''}).status_code; print('%s :: %s :: %s :: %s :: %s' %(a,379,'Flower','flower','Varai Pulav'))</t>
  </si>
  <si>
    <t xml:space="preserve">a = Client().post('/recipes/varai-pulav/detail/', {'recipe' : '86', 'ingredient' : '177', 'name' : 'Salt', 'mass_unit' : '2', 'mass_quantity' : '0', 'volume_unit' : '5', 'volume_quantity' : '4', 'pieces_unit' : '3', 'pieces_quantity' : '0', 'cooking_notes' : ''}).status_code; print('%s :: %s :: %s :: %s :: %s' %(a,380,'Salt','salt','Varai Pulav'))</t>
  </si>
  <si>
    <t xml:space="preserve">a = Client().post('/recipes/varai-pulav/detail/', {'recipe' : '86', 'ingredient' : '74', 'name' : 'Everest Pulav Masala', 'mass_unit' : '2', 'mass_quantity' : '0', 'volume_unit' : '5', 'volume_quantity' : '2', 'pieces_unit' : '3', 'pieces_quantity' : '0', 'cooking_notes' : ''}).status_code; print('%s :: %s :: %s :: %s :: %s' %(a,381,'Everest Pulav Masala','everest pulav masala','Varai Pulav'))</t>
  </si>
  <si>
    <t xml:space="preserve">a = Client().post('/recipes/varai-pulav/detail/', {'recipe' : '86', 'ingredient' : '97', 'name' : 'Hot water', 'mass_unit' : '2', 'mass_quantity' : '0', 'volume_unit' : '1', 'volume_quantity' : '60', 'pieces_unit' : '3', 'pieces_quantity' : '0', 'cooking_notes' : ''}).status_code; print('%s :: %s :: %s :: %s :: %s' %(a,382,'Hot water','hot water','Varai Pulav'))</t>
  </si>
  <si>
    <t xml:space="preserve">a = Client().post('/recipes/varai-pulav/detail/', {'recipe' : '86', 'ingredient' : '187', 'name' : 'sugar', 'mass_unit' : '2', 'mass_quantity' : '0', 'volume_unit' : '5', 'volume_quantity' : '4', 'pieces_unit' : '3', 'pieces_quantity' : '0', 'cooking_notes' : ''}).status_code; print('%s :: %s :: %s :: %s :: %s' %(a,383,'sugar','sugar','Varai Pulav'))</t>
  </si>
  <si>
    <t xml:space="preserve">/recipes/sweet-corn-italia/detail/</t>
  </si>
  <si>
    <t xml:space="preserve">a = Client().post('/recipes/sweet-corn-italia/detail/', {'recipe' : '76', 'ingredient' : '188', 'name' : 'Sweet corn (boiled)', 'mass_unit' : '2', 'mass_quantity' : '11.9', 'volume_unit' : '1', 'volume_quantity' : '0', 'pieces_unit' : '3', 'pieces_quantity' : '0', 'cooking_notes' : '(small size corn preferred)'}).status_code; print('%s :: %s :: %s :: %s :: %s' %(a,387,'Sweet corn (boiled)','sweet corn','Sweet Corn Italia'))</t>
  </si>
  <si>
    <t xml:space="preserve">a = Client().post('/recipes/sweet-corn-italia/detail/', {'recipe' : '76', 'ingredient' : '168', 'name' : 'Red capsicum ', 'mass_unit' : '2', 'mass_quantity' : '3.5', 'volume_unit' : '1', 'volume_quantity' : '0', 'pieces_unit' : '3', 'pieces_quantity' : '0', 'cooking_notes' : '(small square sauteed)'}).status_code; print('%s :: %s :: %s :: %s :: %s' %(a,388,'Red capsicum ','red capsicum','Sweet Corn Italia'))</t>
  </si>
  <si>
    <t xml:space="preserve">a = Client().post('/recipes/sweet-corn-italia/detail/', {'recipe' : '76', 'ingredient' : '84', 'name' : 'Green capsicum', 'mass_unit' : '2', 'mass_quantity' : '3.5', 'volume_unit' : '1', 'volume_quantity' : '0', 'pieces_unit' : '3', 'pieces_quantity' : '0', 'cooking_notes' : '(small square sauteed)'}).status_code; print('%s :: %s :: %s :: %s :: %s' %(a,389,'Green capsicum','green capsicum','Sweet Corn Italia'))</t>
  </si>
  <si>
    <t xml:space="preserve">a = Client().post('/recipes/sweet-corn-italia/detail/', {'recipe' : '76', 'ingredient' : '54', 'name' : 'Coconut (grated, medium jaali)', 'mass_unit' : '2', 'mass_quantity' : '0', 'volume_unit' : '1', 'volume_quantity' : '0', 'pieces_unit' : '3', 'pieces_quantity' : '7', 'cooking_notes' : ''}).status_code; print('%s :: %s :: %s :: %s :: %s' %(a,391,'Coconut (grated, medium jaali)','coconut','Sweet Corn Italia'))</t>
  </si>
  <si>
    <t xml:space="preserve">a = Client().post('/recipes/sweet-corn-italia/detail/', {'recipe' : '76', 'ingredient' : '145', 'name' : 'Boiled milk', 'mass_unit' : '2', 'mass_quantity' : '0', 'volume_unit' : '1', 'volume_quantity' : '11.55', 'pieces_unit' : '3', 'pieces_quantity' : '0', 'cooking_notes' : ''}).status_code; print('%s :: %s :: %s :: %s :: %s' %(a,392,'Boiled milk','milk','Sweet Corn Italia'))</t>
  </si>
  <si>
    <t xml:space="preserve">a = Client().post('/recipes/sweet-corn-italia/detail/', {'recipe' : '76', 'ingredient' : '107', 'name' : 'Boiled Kaju paste', 'mass_unit' : '2', 'mass_quantity' : '0.91', 'volume_unit' : '1', 'volume_quantity' : '0', 'pieces_unit' : '3', 'pieces_quantity' : '0', 'cooking_notes' : ''}).status_code; print('%s :: %s :: %s :: %s :: %s' %(a,393,'Boiled Kaju paste','kaju','Sweet Corn Italia'))</t>
  </si>
  <si>
    <t xml:space="preserve">a = Client().post('/recipes/sweet-corn-italia/detail/', {'recipe' : '76', 'ingredient' : '38', 'name' : 'Butter', 'mass_unit' : '2', 'mass_quantity' : '0', 'volume_unit' : '1', 'volume_quantity' : '1.05', 'pieces_unit' : '3', 'pieces_quantity' : '0', 'cooking_notes' : ''}).status_code; print('%s :: %s :: %s :: %s :: %s' %(a,394,'Butter','butter','Sweet Corn Italia'))</t>
  </si>
  <si>
    <t xml:space="preserve">a = Client().post('/recipes/sweet-corn-italia/detail/', {'recipe' : '76', 'ingredient' : '95', 'name' : 'Hing', 'mass_unit' : '2', 'mass_quantity' : '0', 'volume_unit' : '5', 'volume_quantity' : '0.35', 'pieces_unit' : '3', 'pieces_quantity' : '0', 'cooking_notes' : ''}).status_code; print('%s :: %s :: %s :: %s :: %s' %(a,395,'Hing','hing','Sweet Corn Italia'))</t>
  </si>
  <si>
    <t xml:space="preserve">a = Client().post('/recipes/sweet-corn-italia/detail/', {'recipe' : '76', 'ingredient' : '93', 'name' : 'Hari mirchi split in 2', 'mass_unit' : '2', 'mass_quantity' : '0', 'volume_unit' : '5', 'volume_quantity' : '1.05', 'pieces_unit' : '3', 'pieces_quantity' : '0', 'cooking_notes' : ''}).status_code; print('%s :: %s :: %s :: %s :: %s' %(a,396,'Hari mirchi split in 2','hari mirchi','Sweet Corn Italia'))</t>
  </si>
  <si>
    <t xml:space="preserve">a = Client().post('/recipes/sweet-corn-italia/detail/', {'recipe' : '76', 'ingredient' : '31', 'name' : 'Black pepper pwd', 'mass_unit' : '2', 'mass_quantity' : '0', 'volume_unit' : '5', 'volume_quantity' : '0.7', 'pieces_unit' : '3', 'pieces_quantity' : '0', 'cooking_notes' : ''}).status_code; print('%s :: %s :: %s :: %s :: %s' %(a,397,'Black pepper pwd','black pepper','Sweet Corn Italia'))</t>
  </si>
  <si>
    <t xml:space="preserve">a = Client().post('/recipes/sweet-corn-italia/detail/', {'recipe' : '76', 'ingredient' : '37', 'name' : 'Brown sugar (bluebird) or', 'mass_unit' : '2', 'mass_quantity' : '0', 'volume_unit' : '5', 'volume_quantity' : '3.85', 'pieces_unit' : '3', 'pieces_quantity' : '0', 'cooking_notes' : ''}).status_code; print('%s :: %s :: %s :: %s :: %s' %(a,398,'Brown sugar (bluebird) or','brown sugar','Sweet Corn Italia'))</t>
  </si>
  <si>
    <t xml:space="preserve">a = Client().post('/recipes/sweet-corn-italia/detail/', {'recipe' : '76', 'ingredient' : '37', 'name' : 'Brown sugar (bluebird)', 'mass_unit' : '2', 'mass_quantity' : '0.6', 'volume_unit' : '1', 'volume_quantity' : '0', 'pieces_unit' : '3', 'pieces_quantity' : '0', 'cooking_notes' : ''}).status_code; print('%s :: %s :: %s :: %s :: %s' %(a,399,'Brown sugar (bluebird)','brown sugar','Sweet Corn Italia'))</t>
  </si>
  <si>
    <t xml:space="preserve">a = Client().post('/recipes/sweet-corn-italia/detail/', {'recipe' : '76', 'ingredient' : '24', 'name' : 'Basil leaves', 'mass_unit' : '2', 'mass_quantity' : '0', 'volume_unit' : '1', 'volume_quantity' : '2.45', 'pieces_unit' : '3', 'pieces_quantity' : '0', 'cooking_notes' : ''}).status_code; print('%s :: %s :: %s :: %s :: %s' %(a,400,'Basil leaves','basil leaves','Sweet Corn Italia'))</t>
  </si>
  <si>
    <t xml:space="preserve">a = Client().post('/recipes/sweet-corn-italia/detail/', {'recipe' : '76', 'ingredient' : '56', 'name' : 'Boiled corn water', 'mass_unit' : '2', 'mass_quantity' : '0', 'volume_unit' : '1', 'volume_quantity' : '0.7', 'pieces_unit' : '3', 'pieces_quantity' : '0', 'cooking_notes' : ''}).status_code; print('%s :: %s :: %s :: %s :: %s' %(a,401,'Boiled corn water','corn','Sweet Corn Italia'))</t>
  </si>
  <si>
    <t xml:space="preserve">a = Client().post('/recipes/sweet-corn-italia/detail/', {'recipe' : '76', 'ingredient' : '57', 'name' : 'Corn flour', 'mass_unit' : '2', 'mass_quantity' : '0', 'volume_unit' : '5', 'volume_quantity' : '1.75', 'pieces_unit' : '3', 'pieces_quantity' : '0', 'cooking_notes' : ''}).status_code; print('%s :: %s :: %s :: %s :: %s' %(a,402,'Corn flour','corn flour','Sweet Corn Italia'))</t>
  </si>
  <si>
    <t xml:space="preserve">a = Client().post('/recipes/sweet-corn-italia/detail/', {'recipe' : '76', 'ingredient' : '76', 'name' : 'EVOO', 'mass_unit' : '2', 'mass_quantity' : '0', 'volume_unit' : '1', 'volume_quantity' : '0.7', 'pieces_unit' : '3', 'pieces_quantity' : '0', 'cooking_notes' : ''}).status_code; print('%s :: %s :: %s :: %s :: %s' %(a,403,'EVOO','evoo','Sweet Corn Italia'))</t>
  </si>
  <si>
    <t xml:space="preserve">a = Client().post('/recipes/sweet-corn-italia/detail/', {'recipe' : '76', 'ingredient' : '177', 'name' : 'Salt', 'mass_unit' : '2', 'mass_quantity' : '0', 'volume_unit' : '5', 'volume_quantity' : '1.4', 'pieces_unit' : '3', 'pieces_quantity' : '0', 'cooking_notes' : ''}).status_code; print('%s :: %s :: %s :: %s :: %s' %(a,404,'Salt','salt','Sweet Corn Italia'))</t>
  </si>
  <si>
    <t xml:space="preserve">/recipes/italian-salad/detail/</t>
  </si>
  <si>
    <t xml:space="preserve">a = Client().post('/recipes/italian-salad/detail/', {'recipe' : '32', 'ingredient' : '133', 'name' : 'Lettuce (cut big size)', 'mass_unit' : '2', 'mass_quantity' : '7', 'volume_unit' : '1', 'volume_quantity' : '35', 'pieces_unit' : '3', 'pieces_quantity' : '0', 'cooking_notes' : 'Mix lemon juice &amp; olive oil before adding to salad'}).status_code; print('%s :: %s :: %s :: %s :: %s' %(a,409,'Lettuce (cut big size)','lettuce','Italian Salad'))</t>
  </si>
  <si>
    <t xml:space="preserve">a = Client().post('/recipes/italian-salad/detail/', {'recipe' : '32', 'ingredient' : '79', 'name' : 'Gajar (grated)', 'mass_unit' : '2', 'mass_quantity' : '2.333', 'volume_unit' : '1', 'volume_quantity' : '3.267', 'pieces_unit' : '3', 'pieces_quantity' : '0', 'cooking_notes' : ''}).status_code; print('%s :: %s :: %s :: %s :: %s' %(a,411,'Gajar (grated)','gajar','Italian Salad'))</t>
  </si>
  <si>
    <t xml:space="preserve">a = Client().post('/recipes/italian-salad/detail/', {'recipe' : '32', 'ingredient' : '50', 'name' : 'Cherry tomato (cut half)', 'mass_unit' : '2', 'mass_quantity' : '3.5', 'volume_unit' : '1', 'volume_quantity' : '4.667', 'pieces_unit' : '3', 'pieces_quantity' : '0', 'cooking_notes' : ''}).status_code; print('%s :: %s :: %s :: %s :: %s' %(a,413,'Cherry tomato (cut half)','cherry tomato','Italian Salad'))</t>
  </si>
  <si>
    <t xml:space="preserve">a = Client().post('/recipes/italian-salad/detail/', {'recipe' : '32', 'ingredient' : '7', 'name' : 'Roasted Almonds (cut 1-4)', 'mass_unit' : '2', 'mass_quantity' : '0', 'volume_unit' : '1', 'volume_quantity' : '2.333', 'pieces_unit' : '3', 'pieces_quantity' : '0', 'cooking_notes' : ''}).status_code; print('%s :: %s :: %s :: %s :: %s' %(a,415,'Roasted Almonds (cut 1-4)','almonds','Italian Salad'))</t>
  </si>
  <si>
    <t xml:space="preserve">a = Client().post('/recipes/italian-salad/detail/', {'recipe' : '32', 'ingredient' : '76', 'name' : 'EVOO', 'mass_unit' : '2', 'mass_quantity' : '0', 'volume_unit' : '1', 'volume_quantity' : '1.167', 'pieces_unit' : '3', 'pieces_quantity' : '0', 'cooking_notes' : ''}).status_code; print('%s :: %s :: %s :: %s :: %s' %(a,416,'EVOO','evoo','Italian Salad'))</t>
  </si>
  <si>
    <t xml:space="preserve">a = Client().post('/recipes/italian-salad/detail/', {'recipe' : '32', 'ingredient' : '129', 'name' : 'Lemon juice', 'mass_unit' : '2', 'mass_quantity' : '0', 'volume_unit' : '5', 'volume_quantity' : '1', 'pieces_unit' : '3', 'pieces_quantity' : '0', 'cooking_notes' : ''}).status_code; print('%s :: %s :: %s :: %s :: %s' %(a,417,'Lemon juice','lemon','Italian Salad'))</t>
  </si>
  <si>
    <t xml:space="preserve">a = Client().post('/recipes/italian-salad/detail/', {'recipe' : '32', 'ingredient' : '177', 'name' : 'salt for roasting almonds', 'mass_unit' : '2', 'mass_quantity' : '0', 'volume_unit' : '5', 'volume_quantity' : '0.5', 'pieces_unit' : '3', 'pieces_quantity' : '0', 'cooking_notes' : ''}).status_code; print('%s :: %s :: %s :: %s :: %s' %(a,420,'salt for roasting almonds','salt','Italian Salad'))</t>
  </si>
  <si>
    <t xml:space="preserve">/recipes/jeera-rice/detail/</t>
  </si>
  <si>
    <t xml:space="preserve">a = Client().post('/recipes/jeera-rice/detail/', {'recipe' : '34', 'ingredient' : '170', 'name' : 'Rice', 'mass_unit' : '2', 'mass_quantity' : '25', 'volume_unit' : '1', 'volume_quantity' : '0', 'pieces_unit' : '3', 'pieces_quantity' : '0', 'cooking_notes' : ''}).status_code; print('%s :: %s :: %s :: %s :: %s' %(a,424,'Rice','rice','Jeera Rice'))</t>
  </si>
  <si>
    <t xml:space="preserve">a = Client().post('/recipes/jeera-rice/detail/', {'recipe' : '34', 'ingredient' : '81', 'name' : 'Ghee ', 'mass_unit' : '2', 'mass_quantity' : '0', 'volume_unit' : '1', 'volume_quantity' : '4', 'pieces_unit' : '3', 'pieces_quantity' : '0', 'cooking_notes' : ''}).status_code; print('%s :: %s :: %s :: %s :: %s' %(a,425,'Ghee ','ghee','Jeera Rice'))</t>
  </si>
  <si>
    <t xml:space="preserve">a = Client().post('/recipes/jeera-rice/detail/', {'recipe' : '34', 'ingredient' : '102', 'name' : 'Jeera', 'mass_unit' : '2', 'mass_quantity' : '0', 'volume_unit' : '1', 'volume_quantity' : '2', 'pieces_unit' : '3', 'pieces_quantity' : '0', 'cooking_notes' : ''}).status_code; print('%s :: %s :: %s :: %s :: %s' %(a,426,'Jeera','jeera','Jeera Rice'))</t>
  </si>
  <si>
    <t xml:space="preserve">a = Client().post('/recipes/jeera-rice/detail/', {'recipe' : '34', 'ingredient' : '108', 'name' : 'Kaju half', 'mass_unit' : '2', 'mass_quantity' : '0', 'volume_unit' : '1', 'volume_quantity' : '5', 'pieces_unit' : '3', 'pieces_quantity' : '0', 'cooking_notes' : ''}).status_code; print('%s :: %s :: %s :: %s :: %s' %(a,427,'Kaju half','kaju half','Jeera Rice'))</t>
  </si>
  <si>
    <t xml:space="preserve">a = Client().post('/recipes/jeera-rice/detail/', {'recipe' : '34', 'ingredient' : '93', 'name' : 'Hari Mirchi split in 2', 'mass_unit' : '2', 'mass_quantity' : '0', 'volume_unit' : '1', 'volume_quantity' : '1', 'pieces_unit' : '3', 'pieces_quantity' : '0', 'cooking_notes' : ''}).status_code; print('%s :: %s :: %s :: %s :: %s' %(a,428,'Hari Mirchi split in 2','hari mirchi','Jeera Rice'))</t>
  </si>
  <si>
    <t xml:space="preserve">a = Client().post('/recipes/jeera-rice/detail/', {'recipe' : '34', 'ingredient' : '66', 'name' : 'Dhania Patta', 'mass_unit' : '2', 'mass_quantity' : '0', 'volume_unit' : '1', 'volume_quantity' : '10', 'pieces_unit' : '3', 'pieces_quantity' : '0', 'cooking_notes' : ''}).status_code; print('%s :: %s :: %s :: %s :: %s' %(a,429,'Dhania Patta','dhaniya patta','Jeera Rice'))</t>
  </si>
  <si>
    <t xml:space="preserve">a = Client().post('/recipes/jeera-rice/detail/', {'recipe' : '34', 'ingredient' : '177', 'name' : 'Salt', 'mass_unit' : '2', 'mass_quantity' : '0', 'volume_unit' : '5', 'volume_quantity' : '5', 'pieces_unit' : '3', 'pieces_quantity' : '0', 'cooking_notes' : ''}).status_code; print('%s :: %s :: %s :: %s :: %s' %(a,430,'Salt','salt','Jeera Rice'))</t>
  </si>
  <si>
    <t xml:space="preserve">/recipes/matar-ki-dal/detail/</t>
  </si>
  <si>
    <t xml:space="preserve">a = Client().post('/recipes/matar-ki-dal/detail/', {'recipe' : '45', 'ingredient' : '141', 'name' : 'Matar ki dal', 'mass_unit' : '2', 'mass_quantity' : '6.3', 'volume_unit' : '1', 'volume_quantity' : '0', 'pieces_unit' : '3', 'pieces_quantity' : '0', 'cooking_notes' : ''}).status_code; print('%s :: %s :: %s :: %s :: %s' %(a,434,'Matar ki dal','matar ki dal','Matar Ki Dal'))</t>
  </si>
  <si>
    <t xml:space="preserve">a = Client().post('/recipes/matar-ki-dal/detail/', {'recipe' : '45', 'ingredient' : '81', 'name' : 'Ghee', 'mass_unit' : '2', 'mass_quantity' : '0', 'volume_unit' : '1', 'volume_quantity' : '1', 'pieces_unit' : '3', 'pieces_quantity' : '0', 'cooking_notes' : ''}).status_code; print('%s :: %s :: %s :: %s :: %s' %(a,435,'Ghee','ghee','Matar Ki Dal'))</t>
  </si>
  <si>
    <t xml:space="preserve">a = Client().post('/recipes/matar-ki-dal/detail/', {'recipe' : '45', 'ingredient' : '102', 'name' : 'Jeera', 'mass_unit' : '2', 'mass_quantity' : '0', 'volume_unit' : '5', 'volume_quantity' : '0.6', 'pieces_unit' : '3', 'pieces_quantity' : '0', 'cooking_notes' : ''}).status_code; print('%s :: %s :: %s :: %s :: %s' %(a,436,'Jeera','jeera','Matar Ki Dal'))</t>
  </si>
  <si>
    <t xml:space="preserve">a = Client().post('/recipes/matar-ki-dal/detail/', {'recipe' : '45', 'ingredient' : '93', 'name' : 'Hari mirchi split in 2', 'mass_unit' : '2', 'mass_quantity' : '0', 'volume_unit' : '5', 'volume_quantity' : '0.8', 'pieces_unit' : '3', 'pieces_quantity' : '0', 'cooking_notes' : ''}).status_code; print('%s :: %s :: %s :: %s :: %s' %(a,437,'Hari mirchi split in 2','hari mirchi','Matar Ki Dal'))</t>
  </si>
  <si>
    <t xml:space="preserve">a = Client().post('/recipes/matar-ki-dal/detail/', {'recipe' : '45', 'ingredient' : '1', 'name' : 'Adrak paste', 'mass_unit' : '2', 'mass_quantity' : '0', 'volume_unit' : '1', 'volume_quantity' : '0.4', 'pieces_unit' : '3', 'pieces_quantity' : '0', 'cooking_notes' : ''}).status_code; print('%s :: %s :: %s :: %s :: %s' %(a,438,'Adrak paste','adrak','Matar Ki Dal'))</t>
  </si>
  <si>
    <t xml:space="preserve">a = Client().post('/recipes/matar-ki-dal/detail/', {'recipe' : '45', 'ingredient' : '195', 'name' : 'Tomato', 'mass_unit' : '2', 'mass_quantity' : '4', 'volume_unit' : '1', 'volume_quantity' : '0', 'pieces_unit' : '3', 'pieces_quantity' : '0', 'cooking_notes' : ''}).status_code; print('%s :: %s :: %s :: %s :: %s' %(a,439,'Tomato','tomato','Matar Ki Dal'))</t>
  </si>
  <si>
    <t xml:space="preserve">a = Client().post('/recipes/matar-ki-dal/detail/', {'recipe' : '45', 'ingredient' : '135', 'name' : 'Red chilli pwd', 'mass_unit' : '2', 'mass_quantity' : '0', 'volume_unit' : '5', 'volume_quantity' : '0.16', 'pieces_unit' : '3', 'pieces_quantity' : '0', 'cooking_notes' : ''}).status_code; print('%s :: %s :: %s :: %s :: %s' %(a,440,'Red chilli pwd','madrasi mirchi powder','Matar Ki Dal'))</t>
  </si>
  <si>
    <t xml:space="preserve">a = Client().post('/recipes/matar-ki-dal/detail/', {'recipe' : '45', 'ingredient' : '91', 'name' : 'Haldi', 'mass_unit' : '2', 'mass_quantity' : '0', 'volume_unit' : '5', 'volume_quantity' : '0.56', 'pieces_unit' : '3', 'pieces_quantity' : '0', 'cooking_notes' : ''}).status_code; print('%s :: %s :: %s :: %s :: %s' %(a,441,'Haldi','haldi','Matar Ki Dal'))</t>
  </si>
  <si>
    <t xml:space="preserve">a = Client().post('/recipes/matar-ki-dal/detail/', {'recipe' : '45', 'ingredient' : '177', 'name' : 'Salt ', 'mass_unit' : '2', 'mass_quantity' : '0', 'volume_unit' : '5', 'volume_quantity' : '0.8', 'pieces_unit' : '3', 'pieces_quantity' : '0', 'cooking_notes' : ''}).status_code; print('%s :: %s :: %s :: %s :: %s' %(a,442,'Salt ','salt','Matar Ki Dal'))</t>
  </si>
  <si>
    <t xml:space="preserve">a = Client().post('/recipes/matar-ki-dal/detail/', {'recipe' : '45', 'ingredient' : '212', 'name' : 'Tadka', 'mass_unit' : '2', 'mass_quantity' : '0', 'volume_unit' : '1', 'volume_quantity' : '0', 'pieces_unit' : '3', 'pieces_quantity' : '0', 'cooking_notes' : ''}).status_code; print('%s :: %s :: %s :: %s :: %s' %(a,443,'Tadka','tadka','Matar Ki Dal'))</t>
  </si>
  <si>
    <t xml:space="preserve">a = Client().post('/recipes/matar-ki-dal/detail/', {'recipe' : '45', 'ingredient' : '81', 'name' : 'Ghee ', 'mass_unit' : '2', 'mass_quantity' : '0', 'volume_unit' : '1', 'volume_quantity' : '0.5', 'pieces_unit' : '3', 'pieces_quantity' : '0', 'cooking_notes' : ''}).status_code; print('%s :: %s :: %s :: %s :: %s' %(a,444,'Ghee ','ghee','Matar Ki Dal'))</t>
  </si>
  <si>
    <t xml:space="preserve">a = Client().post('/recipes/matar-ki-dal/detail/', {'recipe' : '45', 'ingredient' : '164', 'name' : 'Rai', 'mass_unit' : '2', 'mass_quantity' : '0', 'volume_unit' : '5', 'volume_quantity' : '0.8', 'pieces_unit' : '3', 'pieces_quantity' : '0', 'cooking_notes' : ''}).status_code; print('%s :: %s :: %s :: %s :: %s' %(a,445,'Rai','rai','Matar Ki Dal'))</t>
  </si>
  <si>
    <t xml:space="preserve">a = Client().post('/recipes/matar-ki-dal/detail/', {'recipe' : '45', 'ingredient' : '135', 'name' : 'Madrasi Mirchi', 'mass_unit' : '2', 'mass_quantity' : '0', 'volume_unit' : '5', 'volume_quantity' : '0.8', 'pieces_unit' : '3', 'pieces_quantity' : '0', 'cooking_notes' : ''}).status_code; print('%s :: %s :: %s :: %s :: %s' %(a,446,'Madrasi Mirchi','madrasi mirchi powder','Matar Ki Dal'))</t>
  </si>
  <si>
    <t xml:space="preserve">a = Client().post('/recipes/matar-ki-dal/detail/', {'recipe' : '45', 'ingredient' : '95', 'name' : 'Hing ', 'mass_unit' : '2', 'mass_quantity' : '0', 'volume_unit' : '5', 'volume_quantity' : '0.4', 'pieces_unit' : '3', 'pieces_quantity' : '0', 'cooking_notes' : ''}).status_code; print('%s :: %s :: %s :: %s :: %s' %(a,447,'Hing ','hing','Matar Ki Dal'))</t>
  </si>
  <si>
    <t xml:space="preserve">a = Client().post('/recipes/matar-ki-dal/detail/', {'recipe' : '45', 'ingredient' : '105', 'name' : 'Kadi patta', 'mass_unit' : '2', 'mass_quantity' : '0', 'volume_unit' : '1', 'volume_quantity' : '0.8', 'pieces_unit' : '3', 'pieces_quantity' : '0', 'cooking_notes' : ''}).status_code; print('%s :: %s :: %s :: %s :: %s' %(a,448,'Kadi patta','kadi patta','Matar Ki Dal'))</t>
  </si>
  <si>
    <t xml:space="preserve">a = Client().post('/recipes/matar-ki-dal/detail/', {'recipe' : '45', 'ingredient' : '66', 'name' : 'Dhania Patta ', 'mass_unit' : '2', 'mass_quantity' : '0', 'volume_unit' : '1', 'volume_quantity' : '0.8', 'pieces_unit' : '3', 'pieces_quantity' : '0', 'cooking_notes' : ''}).status_code; print('%s :: %s :: %s :: %s :: %s' %(a,449,'Dhania Patta ','dhaniya patta','Matar Ki Dal'))</t>
  </si>
  <si>
    <t xml:space="preserve">a = Client().post('/recipes/matar-ki-dal/detail/', {'recipe' : '45', 'ingredient' : '103', 'name' : 'Jeera pwd', 'mass_unit' : '2', 'mass_quantity' : '0', 'volume_unit' : '5', 'volume_quantity' : '1.2', 'pieces_unit' : '3', 'pieces_quantity' : '0', 'cooking_notes' : ''}).status_code; print('%s :: %s :: %s :: %s :: %s' %(a,450,'Jeera pwd','jeera powder','Matar Ki Dal'))</t>
  </si>
  <si>
    <t xml:space="preserve">a = Client().post('/recipes/matar-ki-dal/detail/', {'recipe' : '45', 'ingredient' : '67', 'name' : 'Dhania pwd', 'mass_unit' : '2', 'mass_quantity' : '0', 'volume_unit' : '5', 'volume_quantity' : '1.2', 'pieces_unit' : '3', 'pieces_quantity' : '0', 'cooking_notes' : ''}).status_code; print('%s :: %s :: %s :: %s :: %s' %(a,451,'Dhania pwd','dhaniya powder','Matar Ki Dal'))</t>
  </si>
  <si>
    <t xml:space="preserve">a = Client().post('/recipes/matar-ki-dal/detail/', {'recipe' : '45', 'ingredient' : '74', 'name' : 'Everest Pulav masala', 'mass_unit' : '2', 'mass_quantity' : '0', 'volume_unit' : '5', 'volume_quantity' : '1', 'pieces_unit' : '3', 'pieces_quantity' : '0', 'cooking_notes' : ''}).status_code; print('%s :: %s :: %s :: %s :: %s' %(a,452,'Everest Pulav masala','everest pulav masala','Matar Ki Dal'))</t>
  </si>
  <si>
    <t xml:space="preserve">a = Client().post('/recipes/matar-ki-dal/detail/', {'recipe' : '45', 'ingredient' : '129', 'name' : 'Lemon juice', 'mass_unit' : '2', 'mass_quantity' : '0', 'volume_unit' : '5', 'volume_quantity' : '0.75', 'pieces_unit' : '3', 'pieces_quantity' : '0', 'cooking_notes' : ''}).status_code; print('%s :: %s :: %s :: %s :: %s' %(a,453,'Lemon juice','lemon','Matar Ki Dal'))</t>
  </si>
  <si>
    <t xml:space="preserve">/recipes/beans-tahini-sauce/detail/</t>
  </si>
  <si>
    <t xml:space="preserve">a = Client().post('/recipes/beans-tahini-sauce/detail/', {'recipe' : '8', 'ingredient' : '27', 'name' : 'Beans', 'mass_unit' : '2', 'mass_quantity' : '25', 'volume_unit' : '1', 'volume_quantity' : '43', 'pieces_unit' : '3', 'pieces_quantity' : '0', 'cooking_notes' : ''}).status_code; print('%s :: %s :: %s :: %s :: %s' %(a,458,'Beans','beans','Beans Tahini Sauce'))</t>
  </si>
  <si>
    <t xml:space="preserve">a = Client().post('/recipes/beans-tahini-sauce/detail/', {'recipe' : '8', 'ingredient' : '24', 'name' : 'Basil leaves', 'mass_unit' : '2', 'mass_quantity' : '1', 'volume_unit' : '1', 'volume_quantity' : '0', 'pieces_unit' : '3', 'pieces_quantity' : '0', 'cooking_notes' : ''}).status_code; print('%s :: %s :: %s :: %s :: %s' %(a,461,'Basil leaves','basil leaves','Beans Tahini Sauce'))</t>
  </si>
  <si>
    <t xml:space="preserve">a = Client().post('/recipes/beans-tahini-sauce/detail/', {'recipe' : '8', 'ingredient' : '31', 'name' : 'Black Pepper pwd', 'mass_unit' : '2', 'mass_quantity' : '0', 'volume_unit' : '5', 'volume_quantity' : '0.8', 'pieces_unit' : '3', 'pieces_quantity' : '0', 'cooking_notes' : ''}).status_code; print('%s :: %s :: %s :: %s :: %s' %(a,462,'Black Pepper pwd','black pepper','Beans Tahini Sauce'))</t>
  </si>
  <si>
    <t xml:space="preserve">a = Client().post('/recipes/beans-tahini-sauce/detail/', {'recipe' : '8', 'ingredient' : '32', 'name' : 'Black Salt', 'mass_unit' : '2', 'mass_quantity' : '0', 'volume_unit' : '5', 'volume_quantity' : '0.5', 'pieces_unit' : '3', 'pieces_quantity' : '0', 'cooking_notes' : ''}).status_code; print('%s :: %s :: %s :: %s :: %s' %(a,463,'Black Salt','black salt','Beans Tahini Sauce'))</t>
  </si>
  <si>
    <t xml:space="preserve">a = Client().post('/recipes/beans-tahini-sauce/detail/', {'recipe' : '8', 'ingredient' : '38', 'name' : 'Butter (Makhan)/ EVOO', 'mass_unit' : '2', 'mass_quantity' : '0', 'volume_unit' : '1', 'volume_quantity' : '0.5', 'pieces_unit' : '3', 'pieces_quantity' : '0', 'cooking_notes' : ''}).status_code; print('%s :: %s :: %s :: %s :: %s' %(a,464,'Butter (Makhan)/ EVOO','butter','Beans Tahini Sauce'))</t>
  </si>
  <si>
    <t xml:space="preserve">a = Client().post('/recipes/beans-tahini-sauce/detail/', {'recipe' : '8', 'ingredient' : '95', 'name' : 'Hing (Asafoetida)', 'mass_unit' : '2', 'mass_quantity' : '0', 'volume_unit' : '5', 'volume_quantity' : '0.5', 'pieces_unit' : '3', 'pieces_quantity' : '0', 'cooking_notes' : ''}).status_code; print('%s :: %s :: %s :: %s :: %s' %(a,465,'Hing (Asafoetida)','hing','Beans Tahini Sauce'))</t>
  </si>
  <si>
    <t xml:space="preserve">a = Client().post('/recipes/beans-tahini-sauce/detail/', {'recipe' : '8', 'ingredient' : '177', 'name' : 'Salt (Namak)', 'mass_unit' : '2', 'mass_quantity' : '0', 'volume_unit' : '5', 'volume_quantity' : '1', 'pieces_unit' : '3', 'pieces_quantity' : '0', 'cooking_notes' : ''}).status_code; print('%s :: %s :: %s :: %s :: %s' %(a,466,'Salt (Namak)','salt','Beans Tahini Sauce'))</t>
  </si>
  <si>
    <t xml:space="preserve">a = Client().post('/recipes/beans-tahini-sauce/detail/', {'recipe' : '8', 'ingredient' : '195', 'name' : 'Tomato', 'mass_unit' : '2', 'mass_quantity' : '3', 'volume_unit' : '1', 'volume_quantity' : '0', 'pieces_unit' : '3', 'pieces_quantity' : '0', 'cooking_notes' : 'Chopped 1/2'''}).status_code; print('%s :: %s :: %s :: %s :: %s' %(a,467,'Tomato','tomato','Beans Tahini Sauce'))</t>
  </si>
  <si>
    <t xml:space="preserve">a = Client().post('/recipes/beans-tahini-sauce/detail/', {'recipe' : '8', 'ingredient' : '189', 'name' : 'Tahini paste', 'mass_unit' : '2', 'mass_quantity' : '0', 'volume_unit' : '1', 'volume_quantity' : '2', 'pieces_unit' : '3', 'pieces_quantity' : '0', 'cooking_notes' : ''}).status_code; print('%s :: %s :: %s :: %s :: %s' %(a,468,'Tahini paste','tahini paste','Beans Tahini Sauce'))</t>
  </si>
  <si>
    <t xml:space="preserve">/recipes/tahini-paste/detail/</t>
  </si>
  <si>
    <t xml:space="preserve">a = Client().post('/recipes/tahini-paste/detail/', {'recipe' : '78', 'ingredient' : '76', 'name' : 'EVOO', 'mass_unit' : '2', 'mass_quantity' : '0', 'volume_unit' : '1', 'volume_quantity' : '1', 'pieces_unit' : '3', 'pieces_quantity' : '0', 'cooking_notes' : ''}).status_code; print('%s :: %s :: %s :: %s :: %s' %(a,473,'EVOO','evoo','Tahini paste'))</t>
  </si>
  <si>
    <t xml:space="preserve">a = Client().post('/recipes/tahini-paste/detail/', {'recipe' : '78', 'ingredient' : '206', 'name' : 'White Till ( Dry Roast light)', 'mass_unit' : '2', 'mass_quantity' : '0', 'volume_unit' : '1', 'volume_quantity' : '2', 'pieces_unit' : '3', 'pieces_quantity' : '0', 'cooking_notes' : ''}).status_code; print('%s :: %s :: %s :: %s :: %s' %(a,474,'White Till ( Dry Roast light)','white til','Tahini paste'))</t>
  </si>
  <si>
    <t xml:space="preserve">a = Client().post('/recipes/tahini-paste/detail/', {'recipe' : '78', 'ingredient' : '95', 'name' : 'Hing ', 'mass_unit' : '2', 'mass_quantity' : '0', 'volume_unit' : '5', 'volume_quantity' : '0.2', 'pieces_unit' : '3', 'pieces_quantity' : '0', 'cooking_notes' : ''}).status_code; print('%s :: %s :: %s :: %s :: %s' %(a,475,'Hing ','hing','Tahini paste'))</t>
  </si>
  <si>
    <t xml:space="preserve">a = Client().post('/recipes/tahini-paste/detail/', {'recipe' : '78', 'ingredient' : '31', 'name' : 'Black pepper  ', 'mass_unit' : '2', 'mass_quantity' : '0', 'volume_unit' : '5', 'volume_quantity' : '0.5', 'pieces_unit' : '3', 'pieces_quantity' : '0', 'cooking_notes' : ''}).status_code; print('%s :: %s :: %s :: %s :: %s' %(a,476,'Black pepper  ','black pepper','Tahini paste'))</t>
  </si>
  <si>
    <t xml:space="preserve">a = Client().post('/recipes/tahini-paste/detail/', {'recipe' : '78', 'ingredient' : '187', 'name' : 'Sugar ', 'mass_unit' : '2', 'mass_quantity' : '0', 'volume_unit' : '5', 'volume_quantity' : '0.5', 'pieces_unit' : '3', 'pieces_quantity' : '0', 'cooking_notes' : ''}).status_code; print('%s :: %s :: %s :: %s :: %s' %(a,477,'Sugar ','sugar','Tahini paste'))</t>
  </si>
  <si>
    <t xml:space="preserve">a = Client().post('/recipes/tahini-paste/detail/', {'recipe' : '78', 'ingredient' : '214', 'name' : 'Water ', 'mass_unit' : '2', 'mass_quantity' : '0', 'volume_unit' : '1', 'volume_quantity' : '2', 'pieces_unit' : '3', 'pieces_quantity' : '0', 'cooking_notes' : ''}).status_code; print('%s :: %s :: %s :: %s :: %s' %(a,478,'Water ','water','Tahini paste'))</t>
  </si>
  <si>
    <t xml:space="preserve">/recipes/boondi-raita/detail/</t>
  </si>
  <si>
    <t xml:space="preserve">a = Client().post('/recipes/boondi-raita/detail/', {'recipe' : '11', 'ingredient' : '28', 'name' : 'Besan', 'mass_unit' : '2', 'mass_quantity' : '2', 'volume_unit' : '1', 'volume_quantity' : '0', 'pieces_unit' : '3', 'pieces_quantity' : '0', 'cooking_notes' : ''}).status_code; print('%s :: %s :: %s :: %s :: %s' %(a,482,'Besan','besan','Boondi raita'))</t>
  </si>
  <si>
    <t xml:space="preserve">a = Client().post('/recipes/boondi-raita/detail/', {'recipe' : '11', 'ingredient' : '34', 'name' : 'Boondi', 'mass_unit' : '2', 'mass_quantity' : '0', 'volume_unit' : '1', 'volume_quantity' : '8', 'pieces_unit' : '3', 'pieces_quantity' : '0', 'cooking_notes' : ''}).status_code; print('%s :: %s :: %s :: %s :: %s' %(a,483,'Boondi','boondi','Boondi raita'))</t>
  </si>
  <si>
    <t xml:space="preserve">a = Client().post('/recipes/boondi-raita/detail/', {'recipe' : '11', 'ingredient' : '102', 'name' : 'Roasted jeera powder', 'mass_unit' : '2', 'mass_quantity' : '0', 'volume_unit' : '5', 'volume_quantity' : '2.5', 'pieces_unit' : '3', 'pieces_quantity' : '0', 'cooking_notes' : ''}).status_code; print('%s :: %s :: %s :: %s :: %s' %(a,484,'Roasted jeera powder','jeera','Boondi raita'))</t>
  </si>
  <si>
    <t xml:space="preserve">a = Client().post('/recipes/boondi-raita/detail/', {'recipe' : '11', 'ingredient' : '134', 'name' : 'Roasted mirchi powder', 'mass_unit' : '2', 'mass_quantity' : '0', 'volume_unit' : '5', 'volume_quantity' : '0.5', 'pieces_unit' : '3', 'pieces_quantity' : '0', 'cooking_notes' : ''}).status_code; print('%s :: %s :: %s :: %s :: %s' %(a,485,'Roasted mirchi powder','madrasi mirchi akkaha','Boondi raita'))</t>
  </si>
  <si>
    <t xml:space="preserve">a = Client().post('/recipes/boondi-raita/detail/', {'recipe' : '11', 'ingredient' : '177', 'name' : 'Salt', 'mass_unit' : '2', 'mass_quantity' : '0', 'volume_unit' : '5', 'volume_quantity' : '1.75', 'pieces_unit' : '3', 'pieces_quantity' : '0', 'cooking_notes' : ''}).status_code; print('%s :: %s :: %s :: %s :: %s' %(a,486,'Salt','salt','Boondi raita'))</t>
  </si>
  <si>
    <t xml:space="preserve">a = Client().post('/recipes/boondi-raita/detail/', {'recipe' : '11', 'ingredient' : '187', 'name' : 'Sugar', 'mass_unit' : '2', 'mass_quantity' : '0', 'volume_unit' : '5', 'volume_quantity' : '3', 'pieces_unit' : '3', 'pieces_quantity' : '0', 'cooking_notes' : ''}).status_code; print('%s :: %s :: %s :: %s :: %s' %(a,487,'Sugar','sugar','Boondi raita'))</t>
  </si>
  <si>
    <t xml:space="preserve">a = Client().post('/recipes/boondi-raita/detail/', {'recipe' : '11', 'ingredient' : '162', 'name' : 'Pudina', 'mass_unit' : '2', 'mass_quantity' : '0', 'volume_unit' : '1', 'volume_quantity' : '1.5', 'pieces_unit' : '3', 'pieces_quantity' : '0', 'cooking_notes' : ''}).status_code; print('%s :: %s :: %s :: %s :: %s' %(a,488,'Pudina','pudina','Boondi raita'))</t>
  </si>
  <si>
    <t xml:space="preserve">a = Client().post('/recipes/boondi-raita/detail/', {'recipe' : '11', 'ingredient' : '66', 'name' : 'Dhaniya patta', 'mass_unit' : '2', 'mass_quantity' : '0', 'volume_unit' : '1', 'volume_quantity' : '1', 'pieces_unit' : '3', 'pieces_quantity' : '0', 'cooking_notes' : ''}).status_code; print('%s :: %s :: %s :: %s :: %s' %(a,489,'Dhaniya patta','dhaniya patta','Boondi raita'))</t>
  </si>
  <si>
    <t xml:space="preserve">a = Client().post('/recipes/boondi-raita/detail/', {'recipe' : '11', 'ingredient' : '59', 'name' : 'Dahi', 'mass_unit' : '2', 'mass_quantity' : '0', 'volume_unit' : '1', 'volume_quantity' : '20', 'pieces_unit' : '3', 'pieces_quantity' : '0', 'cooking_notes' : ''}).status_code; print('%s :: %s :: %s :: %s :: %s' %(a,490,'Dahi','dahi','Boondi raita'))</t>
  </si>
  <si>
    <t xml:space="preserve">a = Client().post('/recipes/boondi-raita/detail/', {'recipe' : '11', 'ingredient' : '214', 'name' : 'Water', 'mass_unit' : '2', 'mass_quantity' : '0', 'volume_unit' : '1', 'volume_quantity' : '5', 'pieces_unit' : '3', 'pieces_quantity' : '0', 'cooking_notes' : ''}).status_code; print('%s :: %s :: %s :: %s :: %s' %(a,491,'Water','water','Boondi raita'))</t>
  </si>
  <si>
    <t xml:space="preserve">a = Client().post('/recipes/boondi-raita/detail/', {'recipe' : '11', 'ingredient' : '83', 'name' : 'oil for frying', 'mass_unit' : '2', 'mass_quantity' : '0', 'volume_unit' : '1', 'volume_quantity' : '0', 'pieces_unit' : '3', 'pieces_quantity' : '0', 'cooking_notes' : ''}).status_code; print('%s :: %s :: %s :: %s :: %s' %(a,494,'oil for frying','gound nut oil','Boondi raita'))</t>
  </si>
  <si>
    <t xml:space="preserve">/recipes/dahi-rice/detail/</t>
  </si>
  <si>
    <t xml:space="preserve">a = Client().post('/recipes/dahi-rice/detail/', {'recipe' : '15', 'ingredient' : '170', 'name' : 'Rice (small fine grain)', 'mass_unit' : '2', 'mass_quantity' : '4', 'volume_unit' : '1', 'volume_quantity' : '0', 'pieces_unit' : '3', 'pieces_quantity' : '0', 'cooking_notes' : ''}).status_code; print('%s :: %s :: %s :: %s :: %s' %(a,497,'Rice (small fine grain)','rice','Dahi  Rice'))</t>
  </si>
  <si>
    <t xml:space="preserve">a = Client().post('/recipes/dahi-rice/detail/', {'recipe' : '15', 'ingredient' : '59', 'name' : 'Dahi', 'mass_unit' : '2', 'mass_quantity' : '10', 'volume_unit' : '1', 'volume_quantity' : '0', 'pieces_unit' : '3', 'pieces_quantity' : '0', 'cooking_notes' : ''}).status_code; print('%s :: %s :: %s :: %s :: %s' %(a,498,'Dahi','dahi','Dahi  Rice'))</t>
  </si>
  <si>
    <t xml:space="preserve">a = Client().post('/recipes/dahi-rice/detail/', {'recipe' : '15', 'ingredient' : '214', 'name' : 'Water', 'mass_unit' : '2', 'mass_quantity' : '0', 'volume_unit' : '1', 'volume_quantity' : '2', 'pieces_unit' : '3', 'pieces_quantity' : '0', 'cooking_notes' : ''}).status_code; print('%s :: %s :: %s :: %s :: %s' %(a,499,'Water','water','Dahi  Rice'))</t>
  </si>
  <si>
    <t xml:space="preserve">a = Client().post('/recipes/dahi-rice/detail/', {'recipe' : '15', 'ingredient' : '212', 'name' : 'Tadka', 'mass_unit' : '2', 'mass_quantity' : '0', 'volume_unit' : '1', 'volume_quantity' : '0', 'pieces_unit' : '3', 'pieces_quantity' : '0', 'cooking_notes' : ''}).status_code; print('%s :: %s :: %s :: %s :: %s' %(a,500,'Tadka','tadka','Dahi  Rice'))</t>
  </si>
  <si>
    <t xml:space="preserve">a = Client().post('/recipes/dahi-rice/detail/', {'recipe' : '15', 'ingredient' : '89', 'name' : 'Groundnut Oil / Til Oil', 'mass_unit' : '2', 'mass_quantity' : '0', 'volume_unit' : '1', 'volume_quantity' : '0.5', 'pieces_unit' : '3', 'pieces_quantity' : '0', 'cooking_notes' : ''}).status_code; print('%s :: %s :: %s :: %s :: %s' %(a,501,'Groundnut Oil / Til Oil','ground nut oil','Dahi  Rice'))</t>
  </si>
  <si>
    <t xml:space="preserve">a = Client().post('/recipes/dahi-rice/detail/', {'recipe' : '15', 'ingredient' : '164', 'name' : 'Rai ', 'mass_unit' : '2', 'mass_quantity' : '0', 'volume_unit' : '5', 'volume_quantity' : '0.5', 'pieces_unit' : '3', 'pieces_quantity' : '0', 'cooking_notes' : ''}).status_code; print('%s :: %s :: %s :: %s :: %s' %(a,502,'Rai ','rai','Dahi  Rice'))</t>
  </si>
  <si>
    <t xml:space="preserve">a = Client().post('/recipes/dahi-rice/detail/', {'recipe' : '15', 'ingredient' : '105', 'name' : 'Kadi patta ', 'mass_unit' : '2', 'mass_quantity' : '0', 'volume_unit' : '1', 'volume_quantity' : '0.5', 'pieces_unit' : '3', 'pieces_quantity' : '0', 'cooking_notes' : ''}).status_code; print('%s :: %s :: %s :: %s :: %s' %(a,503,'Kadi patta ','kadi patta','Dahi  Rice'))</t>
  </si>
  <si>
    <t xml:space="preserve">a = Client().post('/recipes/dahi-rice/detail/', {'recipe' : '15', 'ingredient' : '93', 'name' : 'Hari mirchi fine chopped', 'mass_unit' : '2', 'mass_quantity' : '0', 'volume_unit' : '5', 'volume_quantity' : '0.5', 'pieces_unit' : '3', 'pieces_quantity' : '0', 'cooking_notes' : ''}).status_code; print('%s :: %s :: %s :: %s :: %s' %(a,504,'Hari mirchi fine chopped','hari mirchi','Dahi  Rice'))</t>
  </si>
  <si>
    <t xml:space="preserve">a = Client().post('/recipes/dahi-rice/detail/', {'recipe' : '15', 'ingredient' : '177', 'name' : 'Salt', 'mass_unit' : '2', 'mass_quantity' : '0', 'volume_unit' : '5', 'volume_quantity' : '1', 'pieces_unit' : '3', 'pieces_quantity' : '0', 'cooking_notes' : ''}).status_code; print('%s :: %s :: %s :: %s :: %s' %(a,505,'Salt','salt','Dahi  Rice'))</t>
  </si>
  <si>
    <t xml:space="preserve">a = Client().post('/recipes/dahi-rice/detail/', {'recipe' : '15', 'ingredient' : '66', 'name' : 'Dhania Patta ', 'mass_unit' : '2', 'mass_quantity' : '0', 'volume_unit' : '1', 'volume_quantity' : '1', 'pieces_unit' : '3', 'pieces_quantity' : '0', 'cooking_notes' : ''}).status_code; print('%s :: %s :: %s :: %s :: %s' %(a,506,'Dhania Patta ','dhaniya patta','Dahi  Rice'))</t>
  </si>
  <si>
    <t xml:space="preserve">a = Client().post('/recipes/dahi-rice/detail/', {'recipe' : '15', 'ingredient' : '9', 'name' : 'Ambahaldi', 'mass_unit' : '2', 'mass_quantity' : '0.5', 'volume_unit' : '1', 'volume_quantity' : '0', 'pieces_unit' : '3', 'pieces_quantity' : '0', 'cooking_notes' : ''}).status_code; print('%s :: %s :: %s :: %s :: %s' %(a,507,'Ambahaldi','ambahaldi','Dahi  Rice'))</t>
  </si>
  <si>
    <t xml:space="preserve">a = Client().post('/recipes/dahi-rice/detail/', {'recipe' : '15', 'ingredient' : '106', 'name' : 'Kafir lemon leaves', 'mass_unit' : '2', 'mass_quantity' : '0', 'volume_unit' : '1', 'volume_quantity' : '0', 'pieces_unit' : '3', 'pieces_quantity' : '15', 'cooking_notes' : ''}).status_code; print('%s :: %s :: %s :: %s :: %s' %(a,508,'Kafir lemon leaves','kafir lemon leaves','Dahi  Rice'))</t>
  </si>
  <si>
    <t xml:space="preserve">/recipes/sambar-gp/detail/</t>
  </si>
  <si>
    <t xml:space="preserve">a = Client().post('/recipes/sambar-gp/detail/', {'recipe' : '70', 'ingredient' : '198', 'name' : 'Turdal', 'mass_unit' : '2', 'mass_quantity' : '4.643', 'volume_unit' : '1', 'volume_quantity' : '0', 'pieces_unit' : '3', 'pieces_quantity' : '0', 'cooking_notes' : ''}).status_code; print('%s :: %s :: %s :: %s :: %s' %(a,513,'Turdal','tur dal','SAMBAR GP'))</t>
  </si>
  <si>
    <t xml:space="preserve">a = Client().post('/recipes/sambar-gp/detail/', {'recipe' : '70', 'ingredient' : '98', 'name' : 'imli', 'mass_unit' : '2', 'mass_quantity' : '0.714', 'volume_unit' : '1', 'volume_quantity' : '0', 'pieces_unit' : '3', 'pieces_quantity' : '0', 'cooking_notes' : ''}).status_code; print('%s :: %s :: %s :: %s :: %s' %(a,514,'imli','imli','SAMBAR GP'))</t>
  </si>
  <si>
    <t xml:space="preserve">a = Client().post('/recipes/sambar-gp/detail/', {'recipe' : '70', 'ingredient' : '91', 'name' : 'Haldi', 'mass_unit' : '2', 'mass_quantity' : '0', 'volume_unit' : '5', 'volume_quantity' : '1.429', 'pieces_unit' : '3', 'pieces_quantity' : '0', 'cooking_notes' : ''}).status_code; print('%s :: %s :: %s :: %s :: %s' %(a,515,'Haldi','haldi','SAMBAR GP'))</t>
  </si>
  <si>
    <t xml:space="preserve">a = Client().post('/recipes/sambar-gp/detail/', {'recipe' : '70', 'ingredient' : '95', 'name' : 'Hing', 'mass_unit' : '2', 'mass_quantity' : '0', 'volume_unit' : '5', 'volume_quantity' : '1.071', 'pieces_unit' : '3', 'pieces_quantity' : '0', 'cooking_notes' : ''}).status_code; print('%s :: %s :: %s :: %s :: %s' %(a,516,'Hing','hing','SAMBAR GP'))</t>
  </si>
  <si>
    <t xml:space="preserve">a = Client().post('/recipes/sambar-gp/detail/', {'recipe' : '70', 'ingredient' : '68', 'name' : 'Drum Stick', 'mass_unit' : '2', 'mass_quantity' : '1.786', 'volume_unit' : '1', 'volume_quantity' : '0', 'pieces_unit' : '3', 'pieces_quantity' : '0', 'cooking_notes' : ''}).status_code; print('%s :: %s :: %s :: %s :: %s' %(a,517,'Drum Stick','drum stick','SAMBAR GP'))</t>
  </si>
  <si>
    <t xml:space="preserve">a = Client().post('/recipes/sambar-gp/detail/', {'recipe' : '70', 'ingredient' : '30', 'name' : 'Bhopla', 'mass_unit' : '2', 'mass_quantity' : '2.857', 'volume_unit' : '1', 'volume_quantity' : '0', 'pieces_unit' : '3', 'pieces_quantity' : '0', 'cooking_notes' : ''}).status_code; print('%s :: %s :: %s :: %s :: %s' %(a,518,'Bhopla','bhopla','SAMBAR GP'))</t>
  </si>
  <si>
    <t xml:space="preserve">a = Client().post('/recipes/sambar-gp/detail/', {'recipe' : '70', 'ingredient' : '42', 'name' : 'Capsicum', 'mass_unit' : '2', 'mass_quantity' : '2.143', 'volume_unit' : '1', 'volume_quantity' : '0', 'pieces_unit' : '3', 'pieces_quantity' : '0', 'cooking_notes' : ''}).status_code; print('%s :: %s :: %s :: %s :: %s' %(a,519,'Capsicum','capsicum','SAMBAR GP'))</t>
  </si>
  <si>
    <t xml:space="preserve">a = Client().post('/recipes/sambar-gp/detail/', {'recipe' : '70', 'ingredient' : '8', 'name' : 'potatoes', 'mass_unit' : '2', 'mass_quantity' : '1.071', 'volume_unit' : '1', 'volume_quantity' : '0', 'pieces_unit' : '3', 'pieces_quantity' : '0', 'cooking_notes' : ''}).status_code; print('%s :: %s :: %s :: %s :: %s' %(a,520,'potatoes','alu','SAMBAR GP'))</t>
  </si>
  <si>
    <t xml:space="preserve">a = Client().post('/recipes/sambar-gp/detail/', {'recipe' : '70', 'ingredient' : '29', 'name' : 'Bhindi', 'mass_unit' : '2', 'mass_quantity' : '2.143', 'volume_unit' : '1', 'volume_quantity' : '0', 'pieces_unit' : '3', 'pieces_quantity' : '0', 'cooking_notes' : ''}).status_code; print('%s :: %s :: %s :: %s :: %s' %(a,521,'Bhindi','bhindi','SAMBAR GP'))</t>
  </si>
  <si>
    <t xml:space="preserve">a = Client().post('/recipes/sambar-gp/detail/', {'recipe' : '70', 'ingredient' : '148', 'name' : 'MTR Rasam powder', 'mass_unit' : '2', 'mass_quantity' : '0', 'volume_unit' : '5', 'volume_quantity' : '1.071', 'pieces_unit' : '3', 'pieces_quantity' : '0', 'cooking_notes' : ''}).status_code; print('%s :: %s :: %s :: %s :: %s' %(a,522,'MTR Rasam powder','mtr rasam masala','SAMBAR GP'))</t>
  </si>
  <si>
    <t xml:space="preserve">a = Client().post('/recipes/sambar-gp/detail/', {'recipe' : '70', 'ingredient' : '14', 'name' : 'Annapoorna Sambar pwd', 'mass_unit' : '2', 'mass_quantity' : '0', 'volume_unit' : '5', 'volume_quantity' : '1.071', 'pieces_unit' : '3', 'pieces_quantity' : '0', 'cooking_notes' : ''}).status_code; print('%s :: %s :: %s :: %s :: %s' %(a,523,'Annapoorna Sambar pwd','annapoorna sambar masala','SAMBAR GP'))</t>
  </si>
  <si>
    <t xml:space="preserve">a = Client().post('/recipes/sambar-gp/detail/', {'recipe' : '70', 'ingredient' : '182', 'name' : 'Shakti Sambar pwd', 'mass_unit' : '2', 'mass_quantity' : '0', 'volume_unit' : '1', 'volume_quantity' : '0.714', 'pieces_unit' : '3', 'pieces_quantity' : '0', 'cooking_notes' : ''}).status_code; print('%s :: %s :: %s :: %s :: %s' %(a,524,'Shakti Sambar pwd','shakti sambar powder','SAMBAR GP'))</t>
  </si>
  <si>
    <t xml:space="preserve">a = Client().post('/recipes/sambar-gp/detail/', {'recipe' : '70', 'ingredient' : '54', 'name' : 'Coconut', 'mass_unit' : '2', 'mass_quantity' : '0', 'volume_unit' : '1', 'volume_quantity' : '0', 'pieces_unit' : '3', 'pieces_quantity' : '14.286', 'cooking_notes' : ''}).status_code; print('%s :: %s :: %s :: %s :: %s' %(a,525,'Coconut','coconut','SAMBAR GP'))</t>
  </si>
  <si>
    <t xml:space="preserve">a = Client().post('/recipes/sambar-gp/detail/', {'recipe' : '70', 'ingredient' : '90', 'name' : 'Jaggery ', 'mass_unit' : '7', 'mass_quantity' : '428.571', 'volume_unit' : '1', 'volume_quantity' : '0', 'pieces_unit' : '3', 'pieces_quantity' : '0', 'cooking_notes' : ''}).status_code; print('%s :: %s :: %s :: %s :: %s' %(a,526,'Jaggery ','gud','SAMBAR GP'))</t>
  </si>
  <si>
    <t xml:space="preserve">a = Client().post('/recipes/sambar-gp/detail/', {'recipe' : '70', 'ingredient' : '48', 'name' : 'chaunce', 'mass_unit' : '2', 'mass_quantity' : '0', 'volume_unit' : '1', 'volume_quantity' : '0', 'pieces_unit' : '3', 'pieces_quantity' : '0', 'cooking_notes' : ''}).status_code; print('%s :: %s :: %s :: %s :: %s' %(a,527,'chaunce','chaunce','SAMBAR GP'))</t>
  </si>
  <si>
    <t xml:space="preserve">a = Client().post('/recipes/sambar-gp/detail/', {'recipe' : '70', 'ingredient' : '81', 'name' : 'Ghee ', 'mass_unit' : '2', 'mass_quantity' : '0', 'volume_unit' : '1', 'volume_quantity' : '1.071', 'pieces_unit' : '3', 'pieces_quantity' : '0', 'cooking_notes' : ''}).status_code; print('%s :: %s :: %s :: %s :: %s' %(a,528,'Ghee ','ghee','SAMBAR GP'))</t>
  </si>
  <si>
    <t xml:space="preserve">a = Client().post('/recipes/sambar-gp/detail/', {'recipe' : '70', 'ingredient' : '164', 'name' : 'Rai ', 'mass_unit' : '2', 'mass_quantity' : '0', 'volume_unit' : '5', 'volume_quantity' : '0.893', 'pieces_unit' : '3', 'pieces_quantity' : '0', 'cooking_notes' : ''}).status_code; print('%s :: %s :: %s :: %s :: %s' %(a,529,'Rai ','rai','SAMBAR GP'))</t>
  </si>
  <si>
    <t xml:space="preserve">a = Client().post('/recipes/sambar-gp/detail/', {'recipe' : '70', 'ingredient' : '105', 'name' : 'Kadi patta ', 'mass_unit' : '2', 'mass_quantity' : '0', 'volume_unit' : '1', 'volume_quantity' : '2', 'pieces_unit' : '3', 'pieces_quantity' : '0', 'cooking_notes' : ''}).status_code; print('%s :: %s :: %s :: %s :: %s' %(a,530,'Kadi patta ','kadi patta','SAMBAR GP'))</t>
  </si>
  <si>
    <t xml:space="preserve">/recipes/moong-dal-dossa/detail/</t>
  </si>
  <si>
    <t xml:space="preserve">a = Client().post('/recipes/moong-dal-dossa/detail/', {'recipe' : '48', 'ingredient' : '147', 'name' : 'Moong dal', 'mass_unit' : '2', 'mass_quantity' : '2.5', 'volume_unit' : '1', 'volume_quantity' : '0', 'pieces_unit' : '3', 'pieces_quantity' : '0', 'cooking_notes' : ''}).status_code; print('%s :: %s :: %s :: %s :: %s' %(a,535,'Moong dal','moong dal','Moong Dal Dossa'))</t>
  </si>
  <si>
    <t xml:space="preserve">a = Client().post('/recipes/moong-dal-dossa/detail/', {'recipe' : '48', 'ingredient' : '122', 'name' : 'Khichdi Rice', 'mass_unit' : '2', 'mass_quantity' : '0.5', 'volume_unit' : '1', 'volume_quantity' : '0', 'pieces_unit' : '3', 'pieces_quantity' : '0', 'cooking_notes' : ''}).status_code; print('%s :: %s :: %s :: %s :: %s' %(a,536,'Khichdi Rice','khichadi rice','Moong Dal Dossa'))</t>
  </si>
  <si>
    <t xml:space="preserve">a = Client().post('/recipes/moong-dal-dossa/detail/', {'recipe' : '48', 'ingredient' : '4', 'name' : 'Akha Methi', 'mass_unit' : '7', 'mass_quantity' : '25', 'volume_unit' : '1', 'volume_quantity' : '0', 'pieces_unit' : '3', 'pieces_quantity' : '0', 'cooking_notes' : ''}).status_code; print('%s :: %s :: %s :: %s :: %s' %(a,537,'Akha Methi','akha methi','Moong Dal Dossa'))</t>
  </si>
  <si>
    <t xml:space="preserve">a = Client().post('/recipes/moong-dal-dossa/detail/', {'recipe' : '48', 'ingredient' : '95', 'name' : 'Hing', 'mass_unit' : '2', 'mass_quantity' : '0', 'volume_unit' : '5', 'volume_quantity' : '0.25', 'pieces_unit' : '3', 'pieces_quantity' : '0', 'cooking_notes' : ''}).status_code; print('%s :: %s :: %s :: %s :: %s' %(a,538,'Hing','hing','Moong Dal Dossa'))</t>
  </si>
  <si>
    <t xml:space="preserve">a = Client().post('/recipes/moong-dal-dossa/detail/', {'recipe' : '48', 'ingredient' : '42', 'name' : 'Capsicum', 'mass_unit' : '7', 'mass_quantity' : '400', 'volume_unit' : '1', 'volume_quantity' : '0', 'pieces_unit' : '3', 'pieces_quantity' : '0', 'cooking_notes' : ''}).status_code; print('%s :: %s :: %s :: %s :: %s' %(a,539,'Capsicum','capsicum','Moong Dal Dossa'))</t>
  </si>
  <si>
    <t xml:space="preserve">a = Client().post('/recipes/moong-dal-dossa/detail/', {'recipe' : '48', 'ingredient' : '195', 'name' : 'Tomato', 'mass_unit' : '7', 'mass_quantity' : '400', 'volume_unit' : '1', 'volume_quantity' : '0', 'pieces_unit' : '3', 'pieces_quantity' : '0', 'cooking_notes' : ''}).status_code; print('%s :: %s :: %s :: %s :: %s' %(a,540,'Tomato','tomato','Moong Dal Dossa'))</t>
  </si>
  <si>
    <t xml:space="preserve">a = Client().post('/recipes/moong-dal-dossa/detail/', {'recipe' : '48', 'ingredient' : '93', 'name' : 'Hari Mirchi fine chopped', 'mass_unit' : '7', 'mass_quantity' : '100', 'volume_unit' : '1', 'volume_quantity' : '0', 'pieces_unit' : '3', 'pieces_quantity' : '0', 'cooking_notes' : ''}).status_code; print('%s :: %s :: %s :: %s :: %s' %(a,541,'Hari Mirchi fine chopped','hari mirchi','Moong Dal Dossa'))</t>
  </si>
  <si>
    <t xml:space="preserve">a = Client().post('/recipes/moong-dal-dossa/detail/', {'recipe' : '48', 'ingredient' : '1', 'name' : 'Adrak paste', 'mass_unit' : '7', 'mass_quantity' : '150', 'volume_unit' : '1', 'volume_quantity' : '0', 'pieces_unit' : '3', 'pieces_quantity' : '0', 'cooking_notes' : ''}).status_code; print('%s :: %s :: %s :: %s :: %s' %(a,542,'Adrak paste','adrak','Moong Dal Dossa'))</t>
  </si>
  <si>
    <t xml:space="preserve">a = Client().post('/recipes/moong-dal-dossa/detail/', {'recipe' : '48', 'ingredient' : '177', 'name' : 'Salt', 'mass_unit' : '2', 'mass_quantity' : '0', 'volume_unit' : '5', 'volume_quantity' : '0.4', 'pieces_unit' : '3', 'pieces_quantity' : '0', 'cooking_notes' : ''}).status_code; print('%s :: %s :: %s :: %s :: %s' %(a,543,'Salt','salt','Moong Dal Dossa'))</t>
  </si>
  <si>
    <t xml:space="preserve">a = Client().post('/recipes/moong-dal-dossa/detail/', {'recipe' : '48', 'ingredient' : '105', 'name' : 'Kadi patta', 'mass_unit' : '2', 'mass_quantity' : '0', 'volume_unit' : '1', 'volume_quantity' : '1', 'pieces_unit' : '3', 'pieces_quantity' : '0', 'cooking_notes' : ''}).status_code; print('%s :: %s :: %s :: %s :: %s' %(a,544,'Kadi patta','kadi patta','Moong Dal Dossa'))</t>
  </si>
  <si>
    <t xml:space="preserve">a = Client().post('/recipes/moong-dal-dossa/detail/', {'recipe' : '48', 'ingredient' : '162', 'name' : 'Pudina', 'mass_unit' : '2', 'mass_quantity' : '0', 'volume_unit' : '1', 'volume_quantity' : '2', 'pieces_unit' : '3', 'pieces_quantity' : '0', 'cooking_notes' : ''}).status_code; print('%s :: %s :: %s :: %s :: %s' %(a,545,'Pudina','pudina','Moong Dal Dossa'))</t>
  </si>
  <si>
    <t xml:space="preserve">a = Client().post('/recipes/moong-dal-dossa/detail/', {'recipe' : '48', 'ingredient' : '67', 'name' : 'Dhania powder', 'mass_unit' : '2', 'mass_quantity' : '0', 'volume_unit' : '1', 'volume_quantity' : '2', 'pieces_unit' : '3', 'pieces_quantity' : '0', 'cooking_notes' : ''}).status_code; print('%s :: %s :: %s :: %s :: %s' %(a,546,'Dhania powder','dhaniya powder','Moong Dal Dossa'))</t>
  </si>
  <si>
    <t xml:space="preserve">a = Client().post('/recipes/moong-dal-dossa/detail/', {'recipe' : '48', 'ingredient' : '31', 'name' : 'Black pepper pwd', 'mass_unit' : '2', 'mass_quantity' : '0', 'volume_unit' : '5', 'volume_quantity' : '0.5', 'pieces_unit' : '3', 'pieces_quantity' : '0', 'cooking_notes' : ''}).status_code; print('%s :: %s :: %s :: %s :: %s' %(a,547,'Black pepper pwd','black pepper','Moong Dal Dossa'))</t>
  </si>
  <si>
    <t xml:space="preserve">a = Client().post('/recipes/moong-dal-dossa/detail/', {'recipe' : '48', 'ingredient' : '26', 'name' : 'Batter yield', 'mass_unit' : '2', 'mass_quantity' : '0', 'volume_unit' : '1', 'volume_quantity' : '11', 'pieces_unit' : '3', 'pieces_quantity' : '0', 'cooking_notes' : ''}).status_code; print('%s :: %s :: %s :: %s :: %s' %(a,548,'Batter yield','batter yield','Moong Dal Dossa'))</t>
  </si>
  <si>
    <t xml:space="preserve">a = Client().post('/recipes/moong-dal-dossa/detail/', {'recipe' : '48', 'ingredient' : '26', 'name' : 'Batter yield', 'mass_unit' : '2', 'mass_quantity' : '0', 'volume_unit' : '4', 'volume_quantity' : '0.3', 'pieces_unit' : '3', 'pieces_quantity' : '0', 'cooking_notes' : ''}).status_code; print('%s :: %s :: %s :: %s :: %s' %(a,549,'Batter yield','batter yield','Moong Dal Dossa'))</t>
  </si>
  <si>
    <t xml:space="preserve">/recipes/tomato-chutni/detail/</t>
  </si>
  <si>
    <t xml:space="preserve">a = Client().post('/recipes/tomato-chutni/detail/', {'recipe' : '81', 'ingredient' : '194', 'name' : 'Til oil', 'mass_unit' : '2', 'mass_quantity' : '0', 'volume_unit' : '1', 'volume_quantity' : '0.2', 'pieces_unit' : '3', 'pieces_quantity' : '0', 'cooking_notes' : ''}).status_code; print('%s :: %s :: %s :: %s :: %s' %(a,553,'Til oil','til oil','Tomato Chutni'))</t>
  </si>
  <si>
    <t xml:space="preserve">a = Client().post('/recipes/tomato-chutni/detail/', {'recipe' : '81', 'ingredient' : '95', 'name' : 'Hing', 'mass_unit' : '2', 'mass_quantity' : '0', 'volume_unit' : '5', 'volume_quantity' : '0.2', 'pieces_unit' : '3', 'pieces_quantity' : '0', 'cooking_notes' : ''}).status_code; print('%s :: %s :: %s :: %s :: %s' %(a,554,'Hing','hing','Tomato Chutni'))</t>
  </si>
  <si>
    <t xml:space="preserve">a = Client().post('/recipes/tomato-chutni/detail/', {'recipe' : '81', 'ingredient' : '154', 'name' : 'Pandi mirchi', 'mass_unit' : '2', 'mass_quantity' : '0.04', 'volume_unit' : '1', 'volume_quantity' : '0', 'pieces_unit' : '3', 'pieces_quantity' : '0', 'cooking_notes' : ''}).status_code; print('%s :: %s :: %s :: %s :: %s' %(a,555,'Pandi mirchi','pandi mirchi','Tomato Chutni'))</t>
  </si>
  <si>
    <t xml:space="preserve">a = Client().post('/recipes/tomato-chutni/detail/', {'recipe' : '81', 'ingredient' : '117', 'name' : 'Kashmiri mirchi', 'mass_unit' : '2', 'mass_quantity' : '0.02', 'volume_unit' : '1', 'volume_quantity' : '0', 'pieces_unit' : '3', 'pieces_quantity' : '0', 'cooking_notes' : ''}).status_code; print('%s :: %s :: %s :: %s :: %s' %(a,556,'Kashmiri mirchi','kashmiri chilly powder','Tomato Chutni'))</t>
  </si>
  <si>
    <t xml:space="preserve">a = Client().post('/recipes/tomato-chutni/detail/', {'recipe' : '81', 'ingredient' : '162', 'name' : 'Pudina', 'mass_unit' : '2', 'mass_quantity' : '0', 'volume_unit' : '1', 'volume_quantity' : '3.5', 'pieces_unit' : '3', 'pieces_quantity' : '0', 'cooking_notes' : ''}).status_code; print('%s :: %s :: %s :: %s :: %s' %(a,557,'Pudina','pudina','Tomato Chutni'))</t>
  </si>
  <si>
    <t xml:space="preserve">a = Client().post('/recipes/tomato-chutni/detail/', {'recipe' : '81', 'ingredient' : '195', 'name' : 'Tomato', 'mass_unit' : '2', 'mass_quantity' : '5', 'volume_unit' : '1', 'volume_quantity' : '0', 'pieces_unit' : '3', 'pieces_quantity' : '0', 'cooking_notes' : ''}).status_code; print('%s :: %s :: %s :: %s :: %s' %(a,558,'Tomato','tomato','Tomato Chutni'))</t>
  </si>
  <si>
    <t xml:space="preserve">a = Client().post('/recipes/tomato-chutni/detail/', {'recipe' : '81', 'ingredient' : '177', 'name' : 'Salt', 'mass_unit' : '2', 'mass_quantity' : '0', 'volume_unit' : '5', 'volume_quantity' : '0.6', 'pieces_unit' : '3', 'pieces_quantity' : '0', 'cooking_notes' : ''}).status_code; print('%s :: %s :: %s :: %s :: %s' %(a,559,'Salt','salt','Tomato Chutni'))</t>
  </si>
  <si>
    <t xml:space="preserve">a = Client().post('/recipes/tomato-chutni/detail/', {'recipe' : '81', 'ingredient' : '48', 'name' : 'Chaunce', 'mass_unit' : '2', 'mass_quantity' : '0', 'volume_unit' : '1', 'volume_quantity' : '0', 'pieces_unit' : '3', 'pieces_quantity' : '0', 'cooking_notes' : ''}).status_code; print('%s :: %s :: %s :: %s :: %s' %(a,560,'Chaunce','chaunce','Tomato Chutni'))</t>
  </si>
  <si>
    <t xml:space="preserve">a = Client().post('/recipes/tomato-chutni/detail/', {'recipe' : '81', 'ingredient' : '194', 'name' : 'Til oil', 'mass_unit' : '2', 'mass_quantity' : '0', 'volume_unit' : '1', 'volume_quantity' : '0.1', 'pieces_unit' : '3', 'pieces_quantity' : '0', 'cooking_notes' : ''}).status_code; print('%s :: %s :: %s :: %s :: %s' %(a,561,'Til oil','til oil','Tomato Chutni'))</t>
  </si>
  <si>
    <t xml:space="preserve">a = Client().post('/recipes/tomato-chutni/detail/', {'recipe' : '81', 'ingredient' : '164', 'name' : 'Rai', 'mass_unit' : '2', 'mass_quantity' : '0', 'volume_unit' : '5', 'volume_quantity' : '0.2', 'pieces_unit' : '3', 'pieces_quantity' : '0', 'cooking_notes' : ''}).status_code; print('%s :: %s :: %s :: %s :: %s' %(a,562,'Rai','rai','Tomato Chutni'))</t>
  </si>
  <si>
    <t xml:space="preserve">a = Client().post('/recipes/tomato-chutni/detail/', {'recipe' : '81', 'ingredient' : '102', 'name' : 'Jeera', 'mass_unit' : '2', 'mass_quantity' : '0', 'volume_unit' : '5', 'volume_quantity' : '0.2', 'pieces_unit' : '3', 'pieces_quantity' : '0', 'cooking_notes' : ''}).status_code; print('%s :: %s :: %s :: %s :: %s' %(a,563,'Jeera','jeera','Tomato Chutni'))</t>
  </si>
  <si>
    <t xml:space="preserve">a = Client().post('/recipes/tomato-chutni/detail/', {'recipe' : '81', 'ingredient' : '105', 'name' : 'Kadipatta', 'mass_unit' : '2', 'mass_quantity' : '0', 'volume_unit' : '5', 'volume_quantity' : '2', 'pieces_unit' : '3', 'pieces_quantity' : '0', 'cooking_notes' : ''}).status_code; print('%s :: %s :: %s :: %s :: %s' %(a,564,'Kadipatta','kadi patta','Tomato Chutni'))</t>
  </si>
  <si>
    <t xml:space="preserve">/recipes/green-curry/detail/</t>
  </si>
  <si>
    <t xml:space="preserve">a = Client().post('/recipes/green-curry/detail/', {'recipe' : '29', 'ingredient' : '132', 'name' : 'Lemongrass stalks', 'mass_unit' : '2', 'mass_quantity' : '10', 'volume_unit' : '1', 'volume_quantity' : '0', 'pieces_unit' : '3', 'pieces_quantity' : '0', 'cooking_notes' : ''}).status_code; print('%s :: %s :: %s :: %s :: %s' %(a,571,'Lemongrass stalks','lemongrass stalks','Green curry'))</t>
  </si>
  <si>
    <t xml:space="preserve">a = Client().post('/recipes/green-curry/detail/', {'recipe' : '29', 'ingredient' : '192', 'name' : 'Thai ginger', 'mass_unit' : '2', 'mass_quantity' : '0', 'volume_unit' : '1', 'volume_quantity' : '6', 'pieces_unit' : '3', 'pieces_quantity' : '0', 'cooking_notes' : ''}).status_code; print('%s :: %s :: %s :: %s :: %s' %(a,572,'Thai ginger','thai ginger','Green curry'))</t>
  </si>
  <si>
    <t xml:space="preserve">a = Client().post('/recipes/green-curry/detail/', {'recipe' : '29', 'ingredient' : '3', 'name' : 'Akha dhaniya', 'mass_unit' : '2', 'mass_quantity' : '0', 'volume_unit' : '1', 'volume_quantity' : '3', 'pieces_unit' : '3', 'pieces_quantity' : '0', 'cooking_notes' : ''}).status_code; print('%s :: %s :: %s :: %s :: %s' %(a,573,'Akha dhaniya','akha dhaniya','Green curry'))</t>
  </si>
  <si>
    <t xml:space="preserve">a = Client().post('/recipes/green-curry/detail/', {'recipe' : '29', 'ingredient' : '106', 'name' : 'Kafir lemon leaves', 'mass_unit' : '2', 'mass_quantity' : '0', 'volume_unit' : '1', 'volume_quantity' : '0', 'pieces_unit' : '3', 'pieces_quantity' : '600', 'cooking_notes' : ''}).status_code; print('%s :: %s :: %s :: %s :: %s' %(a,574,'Kafir lemon leaves','kafir lemon leaves','Green curry'))</t>
  </si>
  <si>
    <t xml:space="preserve">a = Client().post('/recipes/green-curry/detail/', {'recipe' : '29', 'ingredient' : '93', 'name' : 'Hari Mirchi paste', 'mass_unit' : '2', 'mass_quantity' : '0', 'volume_unit' : '1', 'volume_quantity' : '3', 'pieces_unit' : '3', 'pieces_quantity' : '0', 'cooking_notes' : ''}).status_code; print('%s :: %s :: %s :: %s :: %s' %(a,575,'Hari Mirchi paste','hari mirchi','Green curry'))</t>
  </si>
  <si>
    <t xml:space="preserve">a = Client().post('/recipes/green-curry/detail/', {'recipe' : '29', 'ingredient' : '153', 'name' : 'Palak paste', 'mass_unit' : '2', 'mass_quantity' : '0', 'volume_unit' : '1', 'volume_quantity' : '40', 'pieces_unit' : '3', 'pieces_quantity' : '0', 'cooking_notes' : ''}).status_code; print('%s :: %s :: %s :: %s :: %s' %(a,577,'Palak paste','palak','Green curry'))</t>
  </si>
  <si>
    <t xml:space="preserve">a = Client().post('/recipes/green-curry/detail/', {'recipe' : '29', 'ingredient' : '2', 'name' : 'Ajinomoto', 'mass_unit' : '2', 'mass_quantity' : '0', 'volume_unit' : '1', 'volume_quantity' : '3', 'pieces_unit' : '3', 'pieces_quantity' : '0', 'cooking_notes' : ''}).status_code; print('%s :: %s :: %s :: %s :: %s' %(a,578,'Ajinomoto','ajinomoto','Green curry'))</t>
  </si>
  <si>
    <t xml:space="preserve">a = Client().post('/recipes/green-curry/detail/', {'recipe' : '29', 'ingredient' : '84', 'name' : 'Green capsicum paste', 'mass_unit' : '2', 'mass_quantity' : '0', 'volume_unit' : '1', 'volume_quantity' : '20', 'pieces_unit' : '3', 'pieces_quantity' : '0', 'cooking_notes' : ''}).status_code; print('%s :: %s :: %s :: %s :: %s' %(a,579,'Green capsicum paste','green capsicum','Green curry'))</t>
  </si>
  <si>
    <t xml:space="preserve">a = Client().post('/recipes/green-curry/detail/', {'recipe' : '29', 'ingredient' : '38', 'name' : 'Butter', 'mass_unit' : '2', 'mass_quantity' : '15', 'volume_unit' : '1', 'volume_quantity' : '0', 'pieces_unit' : '3', 'pieces_quantity' : '0', 'cooking_notes' : ''}).status_code; print('%s :: %s :: %s :: %s :: %s' %(a,580,'Butter','butter','Green curry'))</t>
  </si>
  <si>
    <t xml:space="preserve">a = Client().post('/recipes/green-curry/detail/', {'recipe' : '29', 'ingredient' : '36', 'name' : 'Broccoli', 'mass_unit' : '2', 'mass_quantity' : '100', 'volume_unit' : '1', 'volume_quantity' : '0', 'pieces_unit' : '3', 'pieces_quantity' : '0', 'cooking_notes' : ''}).status_code; print('%s :: %s :: %s :: %s :: %s' %(a,581,'Broccoli','broccoli','Green curry'))</t>
  </si>
  <si>
    <t xml:space="preserve">a = Client().post('/recipes/green-curry/detail/', {'recipe' : '29', 'ingredient' : '210', 'name' : 'Zucchini', 'mass_unit' : '2', 'mass_quantity' : '50', 'volume_unit' : '1', 'volume_quantity' : '0', 'pieces_unit' : '3', 'pieces_quantity' : '0', 'cooking_notes' : ''}).status_code; print('%s :: %s :: %s :: %s :: %s' %(a,582,'Zucchini','zucchini','Green curry'))</t>
  </si>
  <si>
    <t xml:space="preserve">a = Client().post('/recipes/green-curry/detail/', {'recipe' : '29', 'ingredient' : '168', 'name' : 'Red capsicum', 'mass_unit' : '2', 'mass_quantity' : '60', 'volume_unit' : '1', 'volume_quantity' : '0', 'pieces_unit' : '3', 'pieces_quantity' : '0', 'cooking_notes' : ''}).status_code; print('%s :: %s :: %s :: %s :: %s' %(a,583,'Red capsicum','red capsicum','Green curry'))</t>
  </si>
  <si>
    <t xml:space="preserve">a = Client().post('/recipes/green-curry/detail/', {'recipe' : '29', 'ingredient' : '209', 'name' : 'Yellow capsicum', 'mass_unit' : '2', 'mass_quantity' : '60', 'volume_unit' : '1', 'volume_quantity' : '0', 'pieces_unit' : '3', 'pieces_quantity' : '0', 'cooking_notes' : ''}).status_code; print('%s :: %s :: %s :: %s :: %s' %(a,584,'Yellow capsicum','yellow capsicum','Green curry'))</t>
  </si>
  <si>
    <t xml:space="preserve">a = Client().post('/recipes/green-curry/detail/', {'recipe' : '29', 'ingredient' : '97', 'name' : 'Hot water', 'mass_unit' : '2', 'mass_quantity' : '0', 'volume_unit' : '1', 'volume_quantity' : '300', 'pieces_unit' : '3', 'pieces_quantity' : '0', 'cooking_notes' : ''}).status_code; print('%s :: %s :: %s :: %s :: %s' %(a,586,'Hot water','hot water','Green curry'))</t>
  </si>
  <si>
    <t xml:space="preserve">a = Client().post('/recipes/green-curry/detail/', {'recipe' : '29', 'ingredient' : '137', 'name' : 'Maggi coconut milk powder', 'mass_unit' : '2', 'mass_quantity' : '0', 'volume_unit' : '1', 'volume_quantity' : '80', 'pieces_unit' : '3', 'pieces_quantity' : '0', 'cooking_notes' : ''}).status_code; print('%s :: %s :: %s :: %s :: %s' %(a,587,'Maggi coconut milk powder','maggi coconut milk powder','Green curry'))</t>
  </si>
  <si>
    <t xml:space="preserve">a = Client().post('/recipes/green-curry/detail/', {'recipe' : '29', 'ingredient' : '138', 'name' : 'Maggi seasoning', 'mass_unit' : '2', 'mass_quantity' : '0', 'volume_unit' : '5', 'volume_quantity' : '6', 'pieces_unit' : '3', 'pieces_quantity' : '0', 'cooking_notes' : ''}).status_code; print('%s :: %s :: %s :: %s :: %s' %(a,588,'Maggi seasoning','maggi seasoning','Green curry'))</t>
  </si>
  <si>
    <t xml:space="preserve">a = Client().post('/recipes/green-curry/detail/', {'recipe' : '29', 'ingredient' : '57', 'name' : 'corn flour', 'mass_unit' : '2', 'mass_quantity' : '0', 'volume_unit' : '1', 'volume_quantity' : '4', 'pieces_unit' : '3', 'pieces_quantity' : '0', 'cooking_notes' : ''}).status_code; print('%s :: %s :: %s :: %s :: %s' %(a,589,'corn flour','corn flour','Green curry'))</t>
  </si>
  <si>
    <t xml:space="preserve">a = Client().post('/recipes/green-curry/detail/', {'recipe' : '29', 'ingredient' : '24', 'name' : 'Basil leaves chopped', 'mass_unit' : '2', 'mass_quantity' : '0', 'volume_unit' : '1', 'volume_quantity' : '40', 'pieces_unit' : '3', 'pieces_quantity' : '0', 'cooking_notes' : ''}).status_code; print('%s :: %s :: %s :: %s :: %s' %(a,590,'Basil leaves chopped','basil leaves','Green curry'))</t>
  </si>
  <si>
    <t xml:space="preserve">/recipes/nithai-rice/detail/</t>
  </si>
  <si>
    <t xml:space="preserve">a = Client().post('/recipes/nithai-rice/detail/', {'recipe' : '50', 'ingredient' : '170', 'name' : 'Rice', 'mass_unit' : '2', 'mass_quantity' : '10', 'volume_unit' : '1', 'volume_quantity' : '0', 'pieces_unit' : '3', 'pieces_quantity' : '0', 'cooking_notes' : ''}).status_code; print('%s :: %s :: %s :: %s :: %s' %(a,594,'Rice','rice','Nithai Rice'))</t>
  </si>
  <si>
    <t xml:space="preserve">a = Client().post('/recipes/nithai-rice/detail/', {'recipe' : '50', 'ingredient' : '177', 'name' : 'Salt', 'mass_unit' : '2', 'mass_quantity' : '0', 'volume_unit' : '5', 'volume_quantity' : '2.3', 'pieces_unit' : '3', 'pieces_quantity' : '0', 'cooking_notes' : ''}).status_code; print('%s :: %s :: %s :: %s :: %s' %(a,595,'Salt','salt','Nithai Rice'))</t>
  </si>
  <si>
    <t xml:space="preserve">a = Client().post('/recipes/nithai-rice/detail/', {'recipe' : '50', 'ingredient' : '178', 'name' : 'SAM Soya Sauce', 'mass_unit' : '2', 'mass_quantity' : '0', 'volume_unit' : '1', 'volume_quantity' : '1', 'pieces_unit' : '3', 'pieces_quantity' : '0', 'cooking_notes' : ''}).status_code; print('%s :: %s :: %s :: %s :: %s' %(a,596,'SAM Soya Sauce','sam soya sauce','Nithai Rice'))</t>
  </si>
  <si>
    <t xml:space="preserve">a = Client().post('/recipes/nithai-rice/detail/', {'recipe' : '50', 'ingredient' : '138', 'name' : 'Maggi seasoning', 'mass_unit' : '2', 'mass_quantity' : '0', 'volume_unit' : '5', 'volume_quantity' : '1', 'pieces_unit' : '3', 'pieces_quantity' : '0', 'cooking_notes' : ''}).status_code; print('%s :: %s :: %s :: %s :: %s' %(a,597,'Maggi seasoning','maggi seasoning','Nithai Rice'))</t>
  </si>
  <si>
    <t xml:space="preserve">a = Client().post('/recipes/nithai-rice/detail/', {'recipe' : '50', 'ingredient' : '85', 'name' : 'Green chilli sauce', 'mass_unit' : '2', 'mass_quantity' : '0', 'volume_unit' : '1', 'volume_quantity' : '1', 'pieces_unit' : '3', 'pieces_quantity' : '0', 'cooking_notes' : ''}).status_code; print('%s :: %s :: %s :: %s :: %s' %(a,598,'Green chilli sauce','green chilli sauce','Nithai Rice'))</t>
  </si>
  <si>
    <t xml:space="preserve">a = Client().post('/recipes/nithai-rice/detail/', {'recipe' : '50', 'ingredient' : '31', 'name' : 'Black Pepper pwd', 'mass_unit' : '2', 'mass_quantity' : '0', 'volume_unit' : '5', 'volume_quantity' : '1.5', 'pieces_unit' : '3', 'pieces_quantity' : '0', 'cooking_notes' : ''}).status_code; print('%s :: %s :: %s :: %s :: %s' %(a,599,'Black Pepper pwd','black pepper','Nithai Rice'))</t>
  </si>
  <si>
    <t xml:space="preserve">a = Client().post('/recipes/nithai-rice/detail/', {'recipe' : '50', 'ingredient' : '168', 'name' : 'Red Capsicum', 'mass_unit' : '2', 'mass_quantity' : '3', 'volume_unit' : '1', 'volume_quantity' : '3.5', 'pieces_unit' : '3', 'pieces_quantity' : '0', 'cooking_notes' : ''}).status_code; print('%s :: %s :: %s :: %s :: %s' %(a,600,'Red Capsicum','red capsicum','Nithai Rice'))</t>
  </si>
  <si>
    <t xml:space="preserve">a = Client().post('/recipes/nithai-rice/detail/', {'recipe' : '50', 'ingredient' : '209', 'name' : 'Yellow Capsicum ', 'mass_unit' : '2', 'mass_quantity' : '2.5', 'volume_unit' : '1', 'volume_quantity' : '3', 'pieces_unit' : '3', 'pieces_quantity' : '0', 'cooking_notes' : ''}).status_code; print('%s :: %s :: %s :: %s :: %s' %(a,602,'Yellow Capsicum ','yellow capsicum','Nithai Rice'))</t>
  </si>
  <si>
    <t xml:space="preserve">a = Client().post('/recipes/nithai-rice/detail/', {'recipe' : '50', 'ingredient' : '84', 'name' : 'Green Capsicum ', 'mass_unit' : '2', 'mass_quantity' : '2.5', 'volume_unit' : '1', 'volume_quantity' : '3.5', 'pieces_unit' : '3', 'pieces_quantity' : '0', 'cooking_notes' : ''}).status_code; print('%s :: %s :: %s :: %s :: %s' %(a,604,'Green Capsicum ','green capsicum','Nithai Rice'))</t>
  </si>
  <si>
    <t xml:space="preserve">a = Client().post('/recipes/nithai-rice/detail/', {'recipe' : '50', 'ingredient' : '27', 'name' : 'Beans', 'mass_unit' : '2', 'mass_quantity' : '2', 'volume_unit' : '1', 'volume_quantity' : '3', 'pieces_unit' : '3', 'pieces_quantity' : '0', 'cooking_notes' : ''}).status_code; print('%s :: %s :: %s :: %s :: %s' %(a,606,'Beans','beans','Nithai Rice'))</t>
  </si>
  <si>
    <t xml:space="preserve">a = Client().post('/recipes/nithai-rice/detail/', {'recipe' : '50', 'ingredient' : '16', 'name' : 'Baby Corn', 'mass_unit' : '2', 'mass_quantity' : '2', 'volume_unit' : '1', 'volume_quantity' : '3', 'pieces_unit' : '3', 'pieces_quantity' : '0', 'cooking_notes' : ''}).status_code; print('%s :: %s :: %s :: %s :: %s' %(a,608,'Baby Corn','baby corn','Nithai Rice'))</t>
  </si>
  <si>
    <t xml:space="preserve">a = Client().post('/recipes/nithai-rice/detail/', {'recipe' : '50', 'ingredient' : '76', 'name' : 'EVOO / Butter ', 'mass_unit' : '2', 'mass_quantity' : '0', 'volume_unit' : '1', 'volume_quantity' : '1.5', 'pieces_unit' : '3', 'pieces_quantity' : '0', 'cooking_notes' : ''}).status_code; print('%s :: %s :: %s :: %s :: %s' %(a,610,'EVOO / Butter ','evoo','Nithai Rice'))</t>
  </si>
  <si>
    <t xml:space="preserve">a = Client().post('/recipes/nithai-rice/detail/', {'recipe' : '50', 'ingredient' : '24', 'name' : 'Basil Leaves', 'mass_unit' : '2', 'mass_quantity' : '0.5', 'volume_unit' : '1', 'volume_quantity' : '0', 'pieces_unit' : '3', 'pieces_quantity' : '0', 'cooking_notes' : ''}).status_code; print('%s :: %s :: %s :: %s :: %s' %(a,611,'Basil Leaves','basil leaves','Nithai Rice'))</t>
  </si>
  <si>
    <t xml:space="preserve">/recipes/minestrone-soup/detail/</t>
  </si>
  <si>
    <t xml:space="preserve">a = Client().post('/recipes/minestrone-soup/detail/', {'recipe' : '46', 'ingredient' : '167', 'name' : 'Rajma ', 'mass_unit' : '2', 'mass_quantity' : '1.667', 'volume_unit' : '1', 'volume_quantity' : '0', 'pieces_unit' : '3', 'pieces_quantity' : '0', 'cooking_notes' : ''}).status_code; print('%s :: %s :: %s :: %s :: %s' %(a,614,'Rajma ','rajma','Minestrone soup'))</t>
  </si>
  <si>
    <t xml:space="preserve">a = Client().post('/recipes/minestrone-soup/detail/', {'recipe' : '46', 'ingredient' : '27', 'name' : 'Beans', 'mass_unit' : '2', 'mass_quantity' : '2', 'volume_unit' : '1', 'volume_quantity' : '0', 'pieces_unit' : '3', 'pieces_quantity' : '0', 'cooking_notes' : ''}).status_code; print('%s :: %s :: %s :: %s :: %s' %(a,615,'Beans','beans','Minestrone soup'))</t>
  </si>
  <si>
    <t xml:space="preserve">a = Client().post('/recipes/minestrone-soup/detail/', {'recipe' : '46', 'ingredient' : '79', 'name' : 'Gajar', 'mass_unit' : '2', 'mass_quantity' : '1.333', 'volume_unit' : '1', 'volume_quantity' : '0', 'pieces_unit' : '3', 'pieces_quantity' : '0', 'cooking_notes' : ''}).status_code; print('%s :: %s :: %s :: %s :: %s' %(a,616,'Gajar','gajar','Minestrone soup'))</t>
  </si>
  <si>
    <t xml:space="preserve">a = Client().post('/recipes/minestrone-soup/detail/', {'recipe' : '46', 'ingredient' : '42', 'name' : 'Capsicum ', 'mass_unit' : '2', 'mass_quantity' : '1.333', 'volume_unit' : '1', 'volume_quantity' : '0', 'pieces_unit' : '3', 'pieces_quantity' : '0', 'cooking_notes' : ''}).status_code; print('%s :: %s :: %s :: %s :: %s' %(a,617,'Capsicum ','capsicum','Minestrone soup'))</t>
  </si>
  <si>
    <t xml:space="preserve">a = Client().post('/recipes/minestrone-soup/detail/', {'recipe' : '46', 'ingredient' : '210', 'name' : 'Zucchini', 'mass_unit' : '2', 'mass_quantity' : '2', 'volume_unit' : '1', 'volume_quantity' : '0', 'pieces_unit' : '3', 'pieces_quantity' : '0', 'cooking_notes' : ''}).status_code; print('%s :: %s :: %s :: %s :: %s' %(a,618,'Zucchini','zucchini','Minestrone soup'))</t>
  </si>
  <si>
    <t xml:space="preserve">a = Client().post('/recipes/minestrone-soup/detail/', {'recipe' : '46', 'ingredient' : '195', 'name' : 'Tomato', 'mass_unit' : '2', 'mass_quantity' : '10', 'volume_unit' : '1', 'volume_quantity' : '0', 'pieces_unit' : '3', 'pieces_quantity' : '0', 'cooking_notes' : ''}).status_code; print('%s :: %s :: %s :: %s :: %s' %(a,619,'Tomato','tomato','Minestrone soup'))</t>
  </si>
  <si>
    <t xml:space="preserve">a = Client().post('/recipes/minestrone-soup/detail/', {'recipe' : '46', 'ingredient' : '24', 'name' : 'Basil Leaves', 'mass_unit' : '2', 'mass_quantity' : '0.5', 'volume_unit' : '1', 'volume_quantity' : '0', 'pieces_unit' : '3', 'pieces_quantity' : '0', 'cooking_notes' : ''}).status_code; print('%s :: %s :: %s :: %s :: %s' %(a,620,'Basil Leaves','basil leaves','Minestrone soup'))</t>
  </si>
  <si>
    <t xml:space="preserve">a = Client().post('/recipes/minestrone-soup/detail/', {'recipe' : '46', 'ingredient' : '213', 'name' : 'VEGETABLE STOCK', 'mass_unit' : '2', 'mass_quantity' : '0', 'volume_unit' : '1', 'volume_quantity' : '0', 'pieces_unit' : '3', 'pieces_quantity' : '0', 'cooking_notes' : ''}).status_code; print('%s :: %s :: %s :: %s :: %s' %(a,621,'VEGETABLE STOCK','VEGETABLE STOCK','Minestrone soup'))</t>
  </si>
  <si>
    <t xml:space="preserve">a = Client().post('/recipes/minestrone-soup/detail/', {'recipe' : '46', 'ingredient' : '156', 'name' : 'Parsley', 'mass_unit' : '7', 'mass_quantity' : '150', 'volume_unit' : '1', 'volume_quantity' : '0', 'pieces_unit' : '3', 'pieces_quantity' : '0', 'cooking_notes' : ''}).status_code; print('%s :: %s :: %s :: %s :: %s' %(a,622,'Parsley','parsley','Minestrone soup'))</t>
  </si>
  <si>
    <t xml:space="preserve">a = Client().post('/recipes/minestrone-soup/detail/', {'recipe' : '46', 'ingredient' : '45', 'name' : 'Chopped Celery Stick', 'mass_unit' : '2', 'mass_quantity' : '0', 'volume_unit' : '1', 'volume_quantity' : '0.5', 'pieces_unit' : '3', 'pieces_quantity' : '0', 'cooking_notes' : ''}).status_code; print('%s :: %s :: %s :: %s :: %s' %(a,623,'Chopped Celery Stick','celery stick','Minestrone soup'))</t>
  </si>
  <si>
    <t xml:space="preserve">a = Client().post('/recipes/minestrone-soup/detail/', {'recipe' : '46', 'ingredient' : '193', 'name' : 'Thyme', 'mass_unit' : '2', 'mass_quantity' : '0', 'volume_unit' : '5', 'volume_quantity' : '1', 'pieces_unit' : '3', 'pieces_quantity' : '0', 'cooking_notes' : ''}).status_code; print('%s :: %s :: %s :: %s :: %s' %(a,624,'Thyme','thyme','Minestrone soup'))</t>
  </si>
  <si>
    <t xml:space="preserve">a = Client().post('/recipes/minestrone-soup/detail/', {'recipe' : '46', 'ingredient' : '173', 'name' : 'Rose merry', 'mass_unit' : '2', 'mass_quantity' : '0', 'volume_unit' : '5', 'volume_quantity' : '3', 'pieces_unit' : '3', 'pieces_quantity' : '0', 'cooking_notes' : ''}).status_code; print('%s :: %s :: %s :: %s :: %s' %(a,625,'Rose merry','rose merry','Minestrone soup'))</t>
  </si>
  <si>
    <t xml:space="preserve">a = Client().post('/recipes/minestrone-soup/detail/', {'recipe' : '46', 'ingredient' : '79', 'name' : 'Gajar', 'mass_unit' : '2', 'mass_quantity' : '1', 'volume_unit' : '1', 'volume_quantity' : '0', 'pieces_unit' : '3', 'pieces_quantity' : '0', 'cooking_notes' : ''}).status_code; print('%s :: %s :: %s :: %s :: %s' %(a,626,'Gajar','gajar','Minestrone soup'))</t>
  </si>
  <si>
    <t xml:space="preserve">a = Client().post('/recipes/minestrone-soup/detail/', {'recipe' : '46', 'ingredient' : '177', 'name' : 'Salt ', 'mass_unit' : '2', 'mass_quantity' : '0', 'volume_unit' : '5', 'volume_quantity' : '1', 'pieces_unit' : '3', 'pieces_quantity' : '0', 'cooking_notes' : ''}).status_code; print('%s :: %s :: %s :: %s :: %s' %(a,628,'Salt ','salt','Minestrone soup'))</t>
  </si>
  <si>
    <t xml:space="preserve">a = Client().post('/recipes/minestrone-soup/detail/', {'recipe' : '46', 'ingredient' : '76', 'name' : 'EVOO', 'mass_unit' : '2', 'mass_quantity' : '0', 'volume_unit' : '1', 'volume_quantity' : '1', 'pieces_unit' : '3', 'pieces_quantity' : '0', 'cooking_notes' : ''}).status_code; print('%s :: %s :: %s :: %s :: %s' %(a,629,'EVOO','evoo','Minestrone soup'))</t>
  </si>
  <si>
    <t xml:space="preserve">a = Client().post('/recipes/minestrone-soup/detail/', {'recipe' : '46', 'ingredient' : '95', 'name' : 'Hing ', 'mass_unit' : '2', 'mass_quantity' : '0', 'volume_unit' : '5', 'volume_quantity' : '0.7', 'pieces_unit' : '3', 'pieces_quantity' : '0', 'cooking_notes' : ''}).status_code; print('%s :: %s :: %s :: %s :: %s' %(a,630,'Hing ','hing','Minestrone soup'))</t>
  </si>
  <si>
    <t xml:space="preserve">a = Client().post('/recipes/minestrone-soup/detail/', {'recipe' : '46', 'ingredient' : '31', 'name' : 'Black Pepper Pwd', 'mass_unit' : '2', 'mass_quantity' : '0', 'volume_unit' : '5', 'volume_quantity' : '0.7', 'pieces_unit' : '3', 'pieces_quantity' : '0', 'cooking_notes' : ''}).status_code; print('%s :: %s :: %s :: %s :: %s' %(a,631,'Black Pepper Pwd','black pepper','Minestrone soup'))</t>
  </si>
  <si>
    <t xml:space="preserve">a = Client().post('/recipes/minestrone-soup/detail/', {'recipe' : '46', 'ingredient' : '45', 'name' : 'Chopped Celery Stick', 'mass_unit' : '2', 'mass_quantity' : '0', 'volume_unit' : '1', 'volume_quantity' : '1', 'pieces_unit' : '3', 'pieces_quantity' : '0', 'cooking_notes' : ''}).status_code; print('%s :: %s :: %s :: %s :: %s' %(a,632,'Chopped Celery Stick','celery stick','Minestrone soup'))</t>
  </si>
  <si>
    <t xml:space="preserve">a = Client().post('/recipes/minestrone-soup/detail/', {'recipe' : '46', 'ingredient' : '77', 'name' : 'Fennel Bulb', 'mass_unit' : '2', 'mass_quantity' : '0', 'volume_unit' : '1', 'volume_quantity' : '0', 'pieces_unit' : '3', 'pieces_quantity' : '1', 'cooking_notes' : ''}).status_code; print('%s :: %s :: %s :: %s :: %s' %(a,633,'Fennel Bulb','fennel bulb','Minestrone soup'))</t>
  </si>
  <si>
    <t xml:space="preserve">a = Client().post('/recipes/minestrone-soup/detail/', {'recipe' : '46', 'ingredient' : '37', 'name' : 'Blue bird Brown sugar (bluebird)', 'mass_unit' : '2', 'mass_quantity' : '0.5', 'volume_unit' : '1', 'volume_quantity' : '0', 'pieces_unit' : '3', 'pieces_quantity' : '0', 'cooking_notes' : ''}).status_code; print('%s :: %s :: %s :: %s :: %s' %(a,634,'Blue bird Brown sugar (bluebird)','brown sugar','Minestrone soup'))</t>
  </si>
  <si>
    <t xml:space="preserve">a = Client().post('/recipes/minestrone-soup/detail/', {'recipe' : '46', 'ingredient' : '76', 'name' : 'EVOO TOP', 'mass_unit' : '2', 'mass_quantity' : '0', 'volume_unit' : '1', 'volume_quantity' : '0.5', 'pieces_unit' : '3', 'pieces_quantity' : '0', 'cooking_notes' : ''}).status_code; print('%s :: %s :: %s :: %s :: %s' %(a,635,'EVOO TOP','evoo','Minestrone soup'))</t>
  </si>
  <si>
    <t xml:space="preserve">/recipes/sauted-vegetables/detail/</t>
  </si>
  <si>
    <t xml:space="preserve">a = Client().post('/recipes/sauted-vegetables/detail/', {'recipe' : '71', 'ingredient' : '16', 'name' : 'Babycorn deep fried', 'mass_unit' : '2', 'mass_quantity' : '4.375', 'volume_unit' : '1', 'volume_quantity' : '3.5', 'pieces_unit' : '3', 'pieces_quantity' : '0', 'cooking_notes' : ''}).status_code; print('%s :: %s :: %s :: %s :: %s' %(a,641,'Babycorn deep fried','baby corn','Sauted Vegetables'))</t>
  </si>
  <si>
    <t xml:space="preserve">a = Client().post('/recipes/sauted-vegetables/detail/', {'recipe' : '71', 'ingredient' : '168', 'name' : 'Red capsicum sauted', 'mass_unit' : '2', 'mass_quantity' : '7', 'volume_unit' : '1', 'volume_quantity' : '3.5', 'pieces_unit' : '3', 'pieces_quantity' : '0', 'cooking_notes' : ''}).status_code; print('%s :: %s :: %s :: %s :: %s' %(a,643,'Red capsicum sauted','red capsicum','Sauted Vegetables'))</t>
  </si>
  <si>
    <t xml:space="preserve">a = Client().post('/recipes/sauted-vegetables/detail/', {'recipe' : '71', 'ingredient' : '209', 'name' : 'Yellow capsicum sauted', 'mass_unit' : '2', 'mass_quantity' : '0', 'volume_unit' : '1', 'volume_quantity' : '3.5', 'pieces_unit' : '3', 'pieces_quantity' : '0', 'cooking_notes' : ''}).status_code; print('%s :: %s :: %s :: %s :: %s' %(a,645,'Yellow capsicum sauted','yellow capsicum','Sauted Vegetables'))</t>
  </si>
  <si>
    <t xml:space="preserve">a = Client().post('/recipes/sauted-vegetables/detail/', {'recipe' : '71', 'ingredient' : '84', 'name' : 'Green capsicum sauted', 'mass_unit' : '2', 'mass_quantity' : '7', 'volume_unit' : '1', 'volume_quantity' : '3.5', 'pieces_unit' : '3', 'pieces_quantity' : '0', 'cooking_notes' : ''}).status_code; print('%s :: %s :: %s :: %s :: %s' %(a,647,'Green capsicum sauted','green capsicum','Sauted Vegetables'))</t>
  </si>
  <si>
    <t xml:space="preserve">a = Client().post('/recipes/sauted-vegetables/detail/', {'recipe' : '71', 'ingredient' : '36', 'name' : 'Broccoli steamed', 'mass_unit' : '2', 'mass_quantity' : '8.75', 'volume_unit' : '1', 'volume_quantity' : '13.125', 'pieces_unit' : '3', 'pieces_quantity' : '0', 'cooking_notes' : ''}).status_code; print('%s :: %s :: %s :: %s :: %s' %(a,649,'Broccoli steamed','broccoli','Sauted Vegetables'))</t>
  </si>
  <si>
    <t xml:space="preserve">a = Client().post('/recipes/sauted-vegetables/detail/', {'recipe' : '71', 'ingredient' : '210', 'name' : 'Zucchini', 'mass_unit' : '2', 'mass_quantity' : '0', 'volume_unit' : '1', 'volume_quantity' : '0', 'pieces_unit' : '3', 'pieces_quantity' : '0', 'cooking_notes' : ''}).status_code; print('%s :: %s :: %s :: %s :: %s' %(a,650,'Zucchini','zucchini','Sauted Vegetables'))</t>
  </si>
  <si>
    <t xml:space="preserve">a = Client().post('/recipes/sauted-vegetables/detail/', {'recipe' : '71', 'ingredient' : '210', 'name' : 'Zucchini sauted', 'mass_unit' : '2', 'mass_quantity' : '6.125', 'volume_unit' : '1', 'volume_quantity' : '3.5', 'pieces_unit' : '3', 'pieces_quantity' : '0', 'cooking_notes' : ''}).status_code; print('%s :: %s :: %s :: %s :: %s' %(a,651,'Zucchini sauted','zucchini','Sauted Vegetables'))</t>
  </si>
  <si>
    <t xml:space="preserve">a = Client().post('/recipes/sauted-vegetables/detail/', {'recipe' : '71', 'ingredient' : '24', 'name' : 'Basil chopped', 'mass_unit' : '2', 'mass_quantity' : '0.438', 'volume_unit' : '1', 'volume_quantity' : '3.5', 'pieces_unit' : '3', 'pieces_quantity' : '0', 'cooking_notes' : ''}).status_code; print('%s :: %s :: %s :: %s :: %s' %(a,653,'Basil chopped','basil leaves','Sauted Vegetables'))</t>
  </si>
  <si>
    <t xml:space="preserve">a = Client().post('/recipes/sauted-vegetables/detail/', {'recipe' : '71', 'ingredient' : '155', 'name' : 'Panir deep fried', 'mass_unit' : '2', 'mass_quantity' : '5', 'volume_unit' : '1', 'volume_quantity' : '5', 'pieces_unit' : '3', 'pieces_quantity' : '0', 'cooking_notes' : ''}).status_code; print('%s :: %s :: %s :: %s :: %s' %(a,655,'Panir deep fried','panir','Sauted Vegetables'))</t>
  </si>
  <si>
    <t xml:space="preserve">a = Client().post('/recipes/sauted-vegetables/detail/', {'recipe' : '71', 'ingredient' : '197', 'name' : 'Tulsi Tomato sauce ', 'mass_unit' : '2', 'mass_quantity' : '0', 'volume_unit' : '1', 'volume_quantity' : '3.5', 'pieces_unit' : '3', 'pieces_quantity' : '0', 'cooking_notes' : ''}).status_code; print('%s :: %s :: %s :: %s :: %s' %(a,656,'Tulsi Tomato sauce ','tulsi tomato sauce','Sauted Vegetables'))</t>
  </si>
  <si>
    <t xml:space="preserve">a = Client().post('/recipes/sauted-vegetables/detail/', {'recipe' : '71', 'ingredient' : '85', 'name' : 'Green chilli sauce', 'mass_unit' : '2', 'mass_quantity' : '0', 'volume_unit' : '1', 'volume_quantity' : '1', 'pieces_unit' : '3', 'pieces_quantity' : '0', 'cooking_notes' : ''}).status_code; print('%s :: %s :: %s :: %s :: %s' %(a,657,'Green chilli sauce','green chilli sauce','Sauted Vegetables'))</t>
  </si>
  <si>
    <t xml:space="preserve">a = Client().post('/recipes/sauted-vegetables/detail/', {'recipe' : '71', 'ingredient' : '185', 'name' : 'Soya Sauce', 'mass_unit' : '2', 'mass_quantity' : '0', 'volume_unit' : '1', 'volume_quantity' : '0.5', 'pieces_unit' : '3', 'pieces_quantity' : '0', 'cooking_notes' : ''}).status_code; print('%s :: %s :: %s :: %s :: %s' %(a,658,'Soya Sauce','soya sauce','Sauted Vegetables'))</t>
  </si>
  <si>
    <t xml:space="preserve">a = Client().post('/recipes/sauted-vegetables/detail/', {'recipe' : '71', 'ingredient' : '38', 'name' : 'Butter/EVOO', 'mass_unit' : '2', 'mass_quantity' : '0', 'volume_unit' : '1', 'volume_quantity' : '0.525', 'pieces_unit' : '3', 'pieces_quantity' : '0', 'cooking_notes' : ''}).status_code; print('%s :: %s :: %s :: %s :: %s' %(a,659,'Butter/EVOO','butter','Sauted Vegetables'))</t>
  </si>
  <si>
    <t xml:space="preserve">a = Client().post('/recipes/sauted-vegetables/detail/', {'recipe' : '71', 'ingredient' : '31', 'name' : 'Black pepper powder', 'mass_unit' : '2', 'mass_quantity' : '0', 'volume_unit' : '5', 'volume_quantity' : '0.7', 'pieces_unit' : '3', 'pieces_quantity' : '0', 'cooking_notes' : ''}).status_code; print('%s :: %s :: %s :: %s :: %s' %(a,660,'Black pepper powder','black pepper','Sauted Vegetables'))</t>
  </si>
  <si>
    <t xml:space="preserve">a = Client().post('/recipes/sauted-vegetables/detail/', {'recipe' : '71', 'ingredient' : '95', 'name' : 'Hing', 'mass_unit' : '2', 'mass_quantity' : '0', 'volume_unit' : '5', 'volume_quantity' : '0.525', 'pieces_unit' : '3', 'pieces_quantity' : '0', 'cooking_notes' : ''}).status_code; print('%s :: %s :: %s :: %s :: %s' %(a,661,'Hing','hing','Sauted Vegetables'))</t>
  </si>
  <si>
    <t xml:space="preserve">a = Client().post('/recipes/sauted-vegetables/detail/', {'recipe' : '71', 'ingredient' : '177', 'name' : 'Salt', 'mass_unit' : '2', 'mass_quantity' : '0', 'volume_unit' : '5', 'volume_quantity' : '1.75', 'pieces_unit' : '3', 'pieces_quantity' : '0', 'cooking_notes' : ''}).status_code; print('%s :: %s :: %s :: %s :: %s' %(a,662,'Salt','salt','Sauted Vegetables'))</t>
  </si>
  <si>
    <t xml:space="preserve">a = Client().post('/recipes/sauted-vegetables/detail/', {'recipe' : '71', 'ingredient' : '83', 'name' : 'oil for frying', 'mass_unit' : '2', 'mass_quantity' : '0', 'volume_unit' : '1', 'volume_quantity' : '0', 'pieces_unit' : '3', 'pieces_quantity' : '0', 'cooking_notes' : ''}).status_code; print('%s :: %s :: %s :: %s :: %s' %(a,665,'oil for frying','gound nut oil','Sauted Vegetables'))</t>
  </si>
  <si>
    <t xml:space="preserve">/recipes/schezwan-sauce/detail/</t>
  </si>
  <si>
    <t xml:space="preserve">a = Client().post('/recipes/schezwan-sauce/detail/', {'recipe' : '72', 'ingredient' : '89', 'name' : 'Groundnut Oil (Singdana Tel)', 'mass_unit' : '2', 'mass_quantity' : '0', 'volume_unit' : '1', 'volume_quantity' : '2', 'pieces_unit' : '3', 'pieces_quantity' : '0', 'cooking_notes' : ''}).status_code; print('%s :: %s :: %s :: %s :: %s' %(a,669,'Groundnut Oil (Singdana Tel)','ground nut oil','Schezwan sauce'))</t>
  </si>
  <si>
    <t xml:space="preserve">a = Client().post('/recipes/schezwan-sauce/detail/', {'recipe' : '72', 'ingredient' : '1', 'name' : 'Adrak (Ginger)', 'mass_unit' : '2', 'mass_quantity' : '0', 'volume_unit' : '1', 'volume_quantity' : '1.5', 'pieces_unit' : '3', 'pieces_quantity' : '0', 'cooking_notes' : ''}).status_code; print('%s :: %s :: %s :: %s :: %s' %(a,670,'Adrak (Ginger)','adrak','Schezwan sauce'))</t>
  </si>
  <si>
    <t xml:space="preserve">a = Client().post('/recipes/schezwan-sauce/detail/', {'recipe' : '72', 'ingredient' : '45', 'name' : 'Celery Stick', 'mass_unit' : '2', 'mass_quantity' : '0', 'volume_unit' : '1', 'volume_quantity' : '3', 'pieces_unit' : '3', 'pieces_quantity' : '0', 'cooking_notes' : ''}).status_code; print('%s :: %s :: %s :: %s :: %s' %(a,671,'Celery Stick','celery stick','Schezwan sauce'))</t>
  </si>
  <si>
    <t xml:space="preserve">a = Client().post('/recipes/schezwan-sauce/detail/', {'recipe' : '72', 'ingredient' : '93', 'name' : 'Green chilly', 'mass_unit' : '2', 'mass_quantity' : '0', 'volume_unit' : '1', 'volume_quantity' : '1', 'pieces_unit' : '3', 'pieces_quantity' : '0', 'cooking_notes' : ''}).status_code; print('%s :: %s :: %s :: %s :: %s' %(a,672,'Green chilly','hari mirchi','Schezwan sauce'))</t>
  </si>
  <si>
    <t xml:space="preserve">a = Client().post('/recipes/schezwan-sauce/detail/', {'recipe' : '72', 'ingredient' : '40', 'name' : 'Cabbage (Desi)', 'mass_unit' : '2', 'mass_quantity' : '0', 'volume_unit' : '1', 'volume_quantity' : '1.5', 'pieces_unit' : '3', 'pieces_quantity' : '0', 'cooking_notes' : ''}).status_code; print('%s :: %s :: %s :: %s :: %s' %(a,673,'Cabbage (Desi)','cabbage (desi)','Schezwan sauce'))</t>
  </si>
  <si>
    <t xml:space="preserve">a = Client().post('/recipes/schezwan-sauce/detail/', {'recipe' : '72', 'ingredient' : '52', 'name' : 'Chilly Sauce', 'mass_unit' : '2', 'mass_quantity' : '0', 'volume_unit' : '1', 'volume_quantity' : '2', 'pieces_unit' : '3', 'pieces_quantity' : '0', 'cooking_notes' : ''}).status_code; print('%s :: %s :: %s :: %s :: %s' %(a,674,'Chilly Sauce','chilly sauce','Schezwan sauce'))</t>
  </si>
  <si>
    <t xml:space="preserve">a = Client().post('/recipes/schezwan-sauce/detail/', {'recipe' : '72', 'ingredient' : '195', 'name' : 'Tomato Sauce', 'mass_unit' : '2', 'mass_quantity' : '0', 'volume_unit' : '1', 'volume_quantity' : '1', 'pieces_unit' : '3', 'pieces_quantity' : '0', 'cooking_notes' : ''}).status_code; print('%s :: %s :: %s :: %s :: %s' %(a,675,'Tomato Sauce','tomato','Schezwan sauce'))</t>
  </si>
  <si>
    <t xml:space="preserve">a = Client().post('/recipes/schezwan-sauce/detail/', {'recipe' : '72', 'ingredient' : '117', 'name' : 'Kashmiri Mirchi', 'mass_unit' : '7', 'mass_quantity' : '400', 'volume_unit' : '1', 'volume_quantity' : '0', 'pieces_unit' : '3', 'pieces_quantity' : '0', 'cooking_notes' : ''}).status_code; print('%s :: %s :: %s :: %s :: %s' %(a,676,'Kashmiri Mirchi','kashmiri chilly powder','Schezwan sauce'))</t>
  </si>
  <si>
    <t xml:space="preserve">a = Client().post('/recipes/schezwan-sauce/detail/', {'recipe' : '72', 'ingredient' : '205', 'name' : 'White Pepper Powder', 'mass_unit' : '2', 'mass_quantity' : '0', 'volume_unit' : '5', 'volume_quantity' : '0.5', 'pieces_unit' : '3', 'pieces_quantity' : '0', 'cooking_notes' : ''}).status_code; print('%s :: %s :: %s :: %s :: %s' %(a,677,'White Pepper Powder','white pepper powder','Schezwan sauce'))</t>
  </si>
  <si>
    <t xml:space="preserve">a = Client().post('/recipes/schezwan-sauce/detail/', {'recipe' : '72', 'ingredient' : '177', 'name' : 'Salt (Namak)', 'mass_unit' : '2', 'mass_quantity' : '0', 'volume_unit' : '5', 'volume_quantity' : '0.3', 'pieces_unit' : '3', 'pieces_quantity' : '0', 'cooking_notes' : ''}).status_code; print('%s :: %s :: %s :: %s :: %s' %(a,678,'Salt (Namak)','salt','Schezwan sauce'))</t>
  </si>
  <si>
    <t xml:space="preserve">a = Client().post('/recipes/schezwan-sauce/detail/', {'recipe' : '72', 'ingredient' : '187', 'name' : 'Sugar (Chini)', 'mass_unit' : '2', 'mass_quantity' : '0', 'volume_unit' : '5', 'volume_quantity' : '1', 'pieces_unit' : '3', 'pieces_quantity' : '0', 'cooking_notes' : ''}).status_code; print('%s :: %s :: %s :: %s :: %s' %(a,679,'Sugar (Chini)','sugar','Schezwan sauce'))</t>
  </si>
  <si>
    <t xml:space="preserve">/recipes/kothimbit-wadi/detail/</t>
  </si>
  <si>
    <t xml:space="preserve">a = Client().post('/recipes/kothimbit-wadi/detail/', {'recipe' : '39', 'ingredient' : '67', 'name' : 'Dhaniya', 'mass_unit' : '2', 'mass_quantity' : '0', 'volume_unit' : '1', 'volume_quantity' : '0', 'pieces_unit' : '8', 'pieces_quantity' : '25', 'cooking_notes' : ''}).status_code; print('%s :: %s :: %s :: %s :: %s' %(a,684,'Dhaniya','dhaniya powder','Kothimbit wadi'))</t>
  </si>
  <si>
    <t xml:space="preserve">a = Client().post('/recipes/kothimbit-wadi/detail/', {'recipe' : '39', 'ingredient' : '28', 'name' : 'Besan (Chickpea Flour)', 'mass_unit' : '2', 'mass_quantity' : '0', 'volume_unit' : '1', 'volume_quantity' : '10', 'pieces_unit' : '3', 'pieces_quantity' : '0', 'cooking_notes' : ''}).status_code; print('%s :: %s :: %s :: %s :: %s' %(a,685,'Besan (Chickpea Flour)','besan','Kothimbit wadi'))</t>
  </si>
  <si>
    <t xml:space="preserve">a = Client().post('/recipes/kothimbit-wadi/detail/', {'recipe' : '39', 'ingredient' : '171', 'name' : 'Rice Flour', 'mass_unit' : '2', 'mass_quantity' : '0', 'volume_unit' : '1', 'volume_quantity' : '0.5', 'pieces_unit' : '3', 'pieces_quantity' : '0', 'cooking_notes' : ''}).status_code; print('%s :: %s :: %s :: %s :: %s' %(a,686,'Rice Flour','rice flour','Kothimbit wadi'))</t>
  </si>
  <si>
    <t xml:space="preserve">a = Client().post('/recipes/kothimbit-wadi/detail/', {'recipe' : '39', 'ingredient' : '214', 'name' : 'Water', 'mass_unit' : '2', 'mass_quantity' : '0', 'volume_unit' : '1', 'volume_quantity' : '10', 'pieces_unit' : '3', 'pieces_quantity' : '0', 'cooking_notes' : ''}).status_code; print('%s :: %s :: %s :: %s :: %s' %(a,687,'Water','water','Kothimbit wadi'))</t>
  </si>
  <si>
    <t xml:space="preserve">a = Client().post('/recipes/kothimbit-wadi/detail/', {'recipe' : '39', 'ingredient' : '93', 'name' : 'Green chilly', 'mass_unit' : '2', 'mass_quantity' : '0', 'volume_unit' : '1', 'volume_quantity' : '0.5', 'pieces_unit' : '3', 'pieces_quantity' : '0', 'cooking_notes' : ''}).status_code; print('%s :: %s :: %s :: %s :: %s' %(a,688,'Green chilly','hari mirchi','Kothimbit wadi'))</t>
  </si>
  <si>
    <t xml:space="preserve">a = Client().post('/recipes/kothimbit-wadi/detail/', {'recipe' : '39', 'ingredient' : '1', 'name' : 'Adrak Paste', 'mass_unit' : '2', 'mass_quantity' : '0', 'volume_unit' : '1', 'volume_quantity' : '0.5', 'pieces_unit' : '3', 'pieces_quantity' : '0', 'cooking_notes' : ''}).status_code; print('%s :: %s :: %s :: %s :: %s' %(a,689,'Adrak Paste','adrak','Kothimbit wadi'))</t>
  </si>
  <si>
    <t xml:space="preserve">a = Client().post('/recipes/kothimbit-wadi/detail/', {'recipe' : '39', 'ingredient' : '67', 'name' : 'Dhania Powder (Coriander Pdr)', 'mass_unit' : '2', 'mass_quantity' : '0', 'volume_unit' : '12', 'volume_quantity' : '300', 'pieces_unit' : '3', 'pieces_quantity' : '0', 'cooking_notes' : ''}).status_code; print('%s :: %s :: %s :: %s :: %s' %(a,690,'Dhania Powder (Coriander Pdr)','dhaniya powder','Kothimbit wadi'))</t>
  </si>
  <si>
    <t xml:space="preserve">a = Client().post('/recipes/kothimbit-wadi/detail/', {'recipe' : '39', 'ingredient' : '103', 'name' : 'Zeera Powder (Cumin Pdr)', 'mass_unit' : '2', 'mass_quantity' : '0', 'volume_unit' : '12', 'volume_quantity' : '300', 'pieces_unit' : '3', 'pieces_quantity' : '0', 'cooking_notes' : ''}).status_code; print('%s :: %s :: %s :: %s :: %s' %(a,691,'Zeera Powder (Cumin Pdr)','jeera powder','Kothimbit wadi'))</t>
  </si>
  <si>
    <t xml:space="preserve">a = Client().post('/recipes/kothimbit-wadi/detail/', {'recipe' : '39', 'ingredient' : '91', 'name' : 'Haldi (Turmeric Pdr)', 'mass_unit' : '2', 'mass_quantity' : '0', 'volume_unit' : '12', 'volume_quantity' : '300', 'pieces_unit' : '3', 'pieces_quantity' : '0', 'cooking_notes' : ''}).status_code; print('%s :: %s :: %s :: %s :: %s' %(a,692,'Haldi (Turmeric Pdr)','haldi','Kothimbit wadi'))</t>
  </si>
  <si>
    <t xml:space="preserve">a = Client().post('/recipes/kothimbit-wadi/detail/', {'recipe' : '39', 'ingredient' : '135', 'name' : 'Lal Mirchi Powder (Red Chilli Pdr)', 'mass_unit' : '2', 'mass_quantity' : '0', 'volume_unit' : '12', 'volume_quantity' : '250', 'pieces_unit' : '3', 'pieces_quantity' : '0', 'cooking_notes' : ''}).status_code; print('%s :: %s :: %s :: %s :: %s' %(a,693,'Lal Mirchi Powder (Red Chilli Pdr)','madrasi mirchi powder','Kothimbit wadi'))</t>
  </si>
  <si>
    <t xml:space="preserve">a = Client().post('/recipes/kothimbit-wadi/detail/', {'recipe' : '39', 'ingredient' : '177', 'name' : 'Salt (Namak)', 'mass_unit' : '2', 'mass_quantity' : '0', 'volume_unit' : '5', 'volume_quantity' : '1.5', 'pieces_unit' : '3', 'pieces_quantity' : '0', 'cooking_notes' : ''}).status_code; print('%s :: %s :: %s :: %s :: %s' %(a,694,'Salt (Namak)','salt','Kothimbit wadi'))</t>
  </si>
  <si>
    <t xml:space="preserve">a = Client().post('/recipes/kothimbit-wadi/detail/', {'recipe' : '39', 'ingredient' : '48', 'name' : 'Chaunce', 'mass_unit' : '2', 'mass_quantity' : '0', 'volume_unit' : '1', 'volume_quantity' : '0', 'pieces_unit' : '3', 'pieces_quantity' : '0', 'cooking_notes' : ''}).status_code; print('%s :: %s :: %s :: %s :: %s' %(a,695,'Chaunce','chaunce','Kothimbit wadi'))</t>
  </si>
  <si>
    <t xml:space="preserve">a = Client().post('/recipes/kothimbit-wadi/detail/', {'recipe' : '39', 'ingredient' : '89', 'name' : 'Groundnut Oil (Singdana Tel)', 'mass_unit' : '2', 'mass_quantity' : '0', 'volume_unit' : '1', 'volume_quantity' : '1.5', 'pieces_unit' : '3', 'pieces_quantity' : '0', 'cooking_notes' : ''}).status_code; print('%s :: %s :: %s :: %s :: %s' %(a,696,'Groundnut Oil (Singdana Tel)','ground nut oil','Kothimbit wadi'))</t>
  </si>
  <si>
    <t xml:space="preserve">a = Client().post('/recipes/kothimbit-wadi/detail/', {'recipe' : '39', 'ingredient' : '102', 'name' : 'Zeera (Cumin Seeds)', 'mass_unit' : '2', 'mass_quantity' : '0', 'volume_unit' : '5', 'volume_quantity' : '1.5', 'pieces_unit' : '3', 'pieces_quantity' : '0', 'cooking_notes' : ''}).status_code; print('%s :: %s :: %s :: %s :: %s' %(a,697,'Zeera (Cumin Seeds)','jeera','Kothimbit wadi'))</t>
  </si>
  <si>
    <t xml:space="preserve">a = Client().post('/recipes/kothimbit-wadi/detail/', {'recipe' : '39', 'ingredient' : '95', 'name' : 'Hing (Asafoetida)', 'mass_unit' : '2', 'mass_quantity' : '0', 'volume_unit' : '5', 'volume_quantity' : '0.75', 'pieces_unit' : '3', 'pieces_quantity' : '0', 'cooking_notes' : ''}).status_code; print('%s :: %s :: %s :: %s :: %s' %(a,698,'Hing (Asafoetida)','hing','Kothimbit wadi'))</t>
  </si>
  <si>
    <t xml:space="preserve">a = Client().post('/recipes/kothimbit-wadi/detail/', {'recipe' : '39', 'ingredient' : '66', 'name' : 'Dhania Patta (Coriander Leaves)', 'mass_unit' : '2', 'mass_quantity' : '0', 'volume_unit' : '1', 'volume_quantity' : '0', 'pieces_unit' : '3', 'pieces_quantity' : '0', 'cooking_notes' : ''}).status_code; print('%s :: %s :: %s :: %s :: %s' %(a,699,'Dhania Patta (Coriander Leaves)','dhaniya patta','Kothimbit wadi'))</t>
  </si>
  <si>
    <t xml:space="preserve">a = Client().post('/recipes/kothimbit-wadi/detail/', {'recipe' : '39', 'ingredient' : '47', 'name' : 'Chat Masala', 'mass_unit' : '2', 'mass_quantity' : '0', 'volume_unit' : '5', 'volume_quantity' : '1', 'pieces_unit' : '3', 'pieces_quantity' : '0', 'cooking_notes' : ''}).status_code; print('%s :: %s :: %s :: %s :: %s' %(a,700,'Chat Masala','chat masala','Kothimbit wadi'))</t>
  </si>
  <si>
    <t xml:space="preserve">/recipes/biryani-dum-layer/detail/</t>
  </si>
  <si>
    <t xml:space="preserve">a = Client().post('/recipes/biryani-dum-layer/detail/', {'recipe' : '10', 'ingredient' : '181', 'name' : 'Shahi Jeera', 'mass_unit' : '7', 'mass_quantity' : '5', 'volume_unit' : '1', 'volume_quantity' : '0', 'pieces_unit' : '3', 'pieces_quantity' : '0', 'cooking_notes' : ''}).status_code; print('%s :: %s :: %s :: %s :: %s' %(a,704,'Shahi Jeera','shahi jeera','Biryani Dum Layer'))</t>
  </si>
  <si>
    <t xml:space="preserve">a = Client().post('/recipes/biryani-dum-layer/detail/', {'recipe' : '10', 'ingredient' : '186', 'name' : 'Starfal', 'mass_unit' : '7', 'mass_quantity' : '20', 'volume_unit' : '1', 'volume_quantity' : '0', 'pieces_unit' : '3', 'pieces_quantity' : '0', 'cooking_notes' : ''}).status_code; print('%s :: %s :: %s :: %s :: %s' %(a,705,'Starfal','starfal','Biryani Dum Layer'))</t>
  </si>
  <si>
    <t xml:space="preserve">a = Client().post('/recipes/biryani-dum-layer/detail/', {'recipe' : '10', 'ingredient' : '58', 'name' : 'Dagad Ful', 'mass_unit' : '7', 'mass_quantity' : '10', 'volume_unit' : '1', 'volume_quantity' : '0', 'pieces_unit' : '3', 'pieces_quantity' : '0', 'cooking_notes' : ''}).status_code; print('%s :: %s :: %s :: %s :: %s' %(a,706,'Dagad Ful','dagad ful','Biryani Dum Layer'))</t>
  </si>
  <si>
    <t xml:space="preserve">a = Client().post('/recipes/biryani-dum-layer/detail/', {'recipe' : '10', 'ingredient' : '61', 'name' : 'Dalchini', 'mass_unit' : '7', 'mass_quantity' : '3', 'volume_unit' : '1', 'volume_quantity' : '0', 'pieces_unit' : '3', 'pieces_quantity' : '0', 'cooking_notes' : ''}).status_code; print('%s :: %s :: %s :: %s :: %s' %(a,707,'Dalchini','dalchini','Biryani Dum Layer'))</t>
  </si>
  <si>
    <t xml:space="preserve">a = Client().post('/recipes/biryani-dum-layer/detail/', {'recipe' : '10', 'ingredient' : '128', 'name' : 'Lavang', 'mass_unit' : '7', 'mass_quantity' : '20', 'volume_unit' : '1', 'volume_quantity' : '0', 'pieces_unit' : '3', 'pieces_quantity' : '0', 'cooking_notes' : ''}).status_code; print('%s :: %s :: %s :: %s :: %s' %(a,708,'Lavang','lavang','Biryani Dum Layer'))</t>
  </si>
  <si>
    <t xml:space="preserve">a = Client().post('/recipes/biryani-dum-layer/detail/', {'recipe' : '10', 'ingredient' : '113', 'name' : 'Kalimiri', 'mass_unit' : '7', 'mass_quantity' : '20', 'volume_unit' : '1', 'volume_quantity' : '0', 'pieces_unit' : '3', 'pieces_quantity' : '0', 'cooking_notes' : ''}).status_code; print('%s :: %s :: %s :: %s :: %s' %(a,709,'Kalimiri','kalimiri','Biryani Dum Layer'))</t>
  </si>
  <si>
    <t xml:space="preserve">a = Client().post('/recipes/biryani-dum-layer/detail/', {'recipe' : '10', 'ingredient' : '191', 'name' : 'Tej Patta', 'mass_unit' : '7', 'mass_quantity' : '20', 'volume_unit' : '1', 'volume_quantity' : '0', 'pieces_unit' : '3', 'pieces_quantity' : '0', 'cooking_notes' : ''}).status_code; print('%s :: %s :: %s :: %s :: %s' %(a,710,'Tej Patta','tej patta','Biryani Dum Layer'))</t>
  </si>
  <si>
    <t xml:space="preserve">a = Client().post('/recipes/biryani-dum-layer/detail/', {'recipe' : '10', 'ingredient' : '70', 'name' : 'Masala Elaichi', 'mass_unit' : '7', 'mass_quantity' : '20', 'volume_unit' : '1', 'volume_quantity' : '0', 'pieces_unit' : '3', 'pieces_quantity' : '0', 'cooking_notes' : ''}).status_code; print('%s :: %s :: %s :: %s :: %s' %(a,711,'Masala Elaichi','elaichi','Biryani Dum Layer'))</t>
  </si>
  <si>
    <t xml:space="preserve">a = Client().post('/recipes/biryani-dum-layer/detail/', {'recipe' : '10', 'ingredient' : '86', 'name' : 'Green Elaichi', 'mass_unit' : '7', 'mass_quantity' : '20', 'volume_unit' : '1', 'volume_quantity' : '0', 'pieces_unit' : '3', 'pieces_quantity' : '0', 'cooking_notes' : ''}).status_code; print('%s :: %s :: %s :: %s :: %s' %(a,712,'Green Elaichi','green elaichi','Biryani Dum Layer'))</t>
  </si>
  <si>
    <t xml:space="preserve">a = Client().post('/recipes/biryani-dum-layer/detail/', {'recipe' : '10', 'ingredient' : '101', 'name' : 'Jaiwantri', 'mass_unit' : '7', 'mass_quantity' : '20', 'volume_unit' : '1', 'volume_quantity' : '0', 'pieces_unit' : '3', 'pieces_quantity' : '0', 'cooking_notes' : ''}).status_code; print('%s :: %s :: %s :: %s :: %s' %(a,713,'Jaiwantri','jaiwantri','Biryani Dum Layer'))</t>
  </si>
  <si>
    <t xml:space="preserve">a = Client().post('/recipes/biryani-dum-layer/detail/', {'recipe' : '10', 'ingredient' : '102', 'name' : 'Jeera', 'mass_unit' : '7', 'mass_quantity' : '20', 'volume_unit' : '1', 'volume_quantity' : '0', 'pieces_unit' : '3', 'pieces_quantity' : '0', 'cooking_notes' : ''}).status_code; print('%s :: %s :: %s :: %s :: %s' %(a,714,'Jeera','jeera','Biryani Dum Layer'))</t>
  </si>
  <si>
    <t xml:space="preserve">a = Client().post('/recipes/biryani-dum-layer/detail/', {'recipe' : '10', 'ingredient' : '118', 'name' : 'Kasuri Methi', 'mass_unit' : '7', 'mass_quantity' : '20', 'volume_unit' : '1', 'volume_quantity' : '0', 'pieces_unit' : '3', 'pieces_quantity' : '0', 'cooking_notes' : ''}).status_code; print('%s :: %s :: %s :: %s :: %s' %(a,715,'Kasuri Methi','kasuri methi','Biryani Dum Layer'))</t>
  </si>
  <si>
    <t xml:space="preserve">a = Client().post('/recipes/biryani-dum-layer/detail/', {'recipe' : '10', 'ingredient' : '117', 'name' : 'Kasmiri Mirchi', 'mass_unit' : '7', 'mass_quantity' : '50', 'volume_unit' : '1', 'volume_quantity' : '0', 'pieces_unit' : '3', 'pieces_quantity' : '0', 'cooking_notes' : ''}).status_code; print('%s :: %s :: %s :: %s :: %s' %(a,716,'Kasmiri Mirchi','kashmiri chilly powder','Biryani Dum Layer'))</t>
  </si>
  <si>
    <t xml:space="preserve">a = Client().post('/recipes/biryani-dum-layer/detail/', {'recipe' : '10', 'ingredient' : '67', 'name' : 'Dhaniya Powder', 'mass_unit' : '7', 'mass_quantity' : '50', 'volume_unit' : '1', 'volume_quantity' : '0', 'pieces_unit' : '3', 'pieces_quantity' : '0', 'cooking_notes' : ''}).status_code; print('%s :: %s :: %s :: %s :: %s' %(a,718,'Dhaniya Powder','dhaniya powder','Biryani Dum Layer'))</t>
  </si>
  <si>
    <t xml:space="preserve">a = Client().post('/recipes/biryani-dum-layer/detail/', {'recipe' : '10', 'ingredient' : '91', 'name' : 'Haldi Powder', 'mass_unit' : '7', 'mass_quantity' : '50', 'volume_unit' : '1', 'volume_quantity' : '0', 'pieces_unit' : '3', 'pieces_quantity' : '0', 'cooking_notes' : ''}).status_code; print('%s :: %s :: %s :: %s :: %s' %(a,719,'Haldi Powder','haldi','Biryani Dum Layer'))</t>
  </si>
  <si>
    <t xml:space="preserve">a = Client().post('/recipes/biryani-dum-layer/detail/', {'recipe' : '10', 'ingredient' : '95', 'name' : 'Hing Powder', 'mass_unit' : '7', 'mass_quantity' : '20', 'volume_unit' : '1', 'volume_quantity' : '0', 'pieces_unit' : '3', 'pieces_quantity' : '0', 'cooking_notes' : ''}).status_code; print('%s :: %s :: %s :: %s :: %s' %(a,720,'Hing Powder','hing','Biryani Dum Layer'))</t>
  </si>
  <si>
    <t xml:space="preserve">a = Client().post('/recipes/biryani-dum-layer/detail/', {'recipe' : '10', 'ingredient' : '117', 'name' : 'Kashmiri Mirchi Powder', 'mass_unit' : '7', 'mass_quantity' : '50', 'volume_unit' : '1', 'volume_quantity' : '0', 'pieces_unit' : '3', 'pieces_quantity' : '0', 'cooking_notes' : ''}).status_code; print('%s :: %s :: %s :: %s :: %s' %(a,721,'Kashmiri Mirchi Powder','kashmiri chilly powder','Biryani Dum Layer'))</t>
  </si>
  <si>
    <t xml:space="preserve">a = Client().post('/recipes/biryani-dum-layer/detail/', {'recipe' : '10', 'ingredient' : '20', 'name' : 'Badshah Rajwadi Garam Masala', 'mass_unit' : '7', 'mass_quantity' : '40', 'volume_unit' : '1', 'volume_quantity' : '0', 'pieces_unit' : '3', 'pieces_quantity' : '0', 'cooking_notes' : ''}).status_code; print('%s :: %s :: %s :: %s :: %s' %(a,722,'Badshah Rajwadi Garam Masala','badshah rajwadi garam masala','Biryani Dum Layer'))</t>
  </si>
  <si>
    <t xml:space="preserve">a = Client().post('/recipes/biryani-dum-layer/detail/', {'recipe' : '10', 'ingredient' : '73', 'name' : 'Everest Chole Masala', 'mass_unit' : '7', 'mass_quantity' : '40', 'volume_unit' : '1', 'volume_quantity' : '0', 'pieces_unit' : '3', 'pieces_quantity' : '0', 'cooking_notes' : ''}).status_code; print('%s :: %s :: %s :: %s :: %s' %(a,723,'Everest Chole Masala','everest chole masala','Biryani Dum Layer'))</t>
  </si>
  <si>
    <t xml:space="preserve">a = Client().post('/recipes/biryani-dum-layer/detail/', {'recipe' : '10', 'ingredient' : '75', 'name' : 'Everest Shahi Briyani Masala', 'mass_unit' : '7', 'mass_quantity' : '40', 'volume_unit' : '1', 'volume_quantity' : '0', 'pieces_unit' : '3', 'pieces_quantity' : '0', 'cooking_notes' : ''}).status_code; print('%s :: %s :: %s :: %s :: %s' %(a,724,'Everest Shahi Briyani Masala','everest shahi briyani masala','Biryani Dum Layer'))</t>
  </si>
  <si>
    <t xml:space="preserve">a = Client().post('/recipes/biryani-dum-layer/detail/', {'recipe' : '10', 'ingredient' : '115', 'name' : 'Kapol Chat Masala', 'mass_unit' : '7', 'mass_quantity' : '80', 'volume_unit' : '1', 'volume_quantity' : '0', 'pieces_unit' : '3', 'pieces_quantity' : '0', 'cooking_notes' : ''}).status_code; print('%s :: %s :: %s :: %s :: %s' %(a,725,'Kapol Chat Masala','kapol chat masala','Biryani Dum Layer'))</t>
  </si>
  <si>
    <t xml:space="preserve">a = Client().post('/recipes/biryani-dum-layer/detail/', {'recipe' : '10', 'ingredient' : '32', 'name' : 'Black Salt Powder', 'mass_unit' : '7', 'mass_quantity' : '100', 'volume_unit' : '1', 'volume_quantity' : '0', 'pieces_unit' : '3', 'pieces_quantity' : '0', 'cooking_notes' : ''}).status_code; print('%s :: %s :: %s :: %s :: %s' %(a,726,'Black Salt Powder','black salt','Biryani Dum Layer'))</t>
  </si>
  <si>
    <t xml:space="preserve">a = Client().post('/recipes/biryani-dum-layer/detail/', {'recipe' : '10', 'ingredient' : '177', 'name' : 'Tata salt', 'mass_unit' : '2', 'mass_quantity' : '0.4', 'volume_unit' : '1', 'volume_quantity' : '0', 'pieces_unit' : '3', 'pieces_quantity' : '0', 'cooking_notes' : ''}).status_code; print('%s :: %s :: %s :: %s :: %s' %(a,727,'Tata salt','salt','Biryani Dum Layer'))</t>
  </si>
  <si>
    <t xml:space="preserve">a = Client().post('/recipes/biryani-dum-layer/detail/', {'recipe' : '10', 'ingredient' : '109', 'name' : 'Kaju Kani', 'mass_unit' : '2', 'mass_quantity' : '0.2', 'volume_unit' : '1', 'volume_quantity' : '0', 'pieces_unit' : '3', 'pieces_quantity' : '0', 'cooking_notes' : ''}).status_code; print('%s :: %s :: %s :: %s :: %s' %(a,728,'Kaju Kani','kaju kani','Biryani Dum Layer'))</t>
  </si>
  <si>
    <t xml:space="preserve">a = Client().post('/recipes/biryani-dum-layer/detail/', {'recipe' : '10', 'ingredient' : '136', 'name' : 'Magaj', 'mass_unit' : '2', 'mass_quantity' : '0.2', 'volume_unit' : '1', 'volume_quantity' : '0', 'pieces_unit' : '3', 'pieces_quantity' : '0', 'cooking_notes' : ''}).status_code; print('%s :: %s :: %s :: %s :: %s' %(a,729,'Magaj','magaj','Biryani Dum Layer'))</t>
  </si>
  <si>
    <t xml:space="preserve">a = Client().post('/recipes/biryani-dum-layer/detail/', {'recipe' : '10', 'ingredient' : '206', 'name' : 'White Teel', 'mass_unit' : '7', 'mass_quantity' : '100', 'volume_unit' : '1', 'volume_quantity' : '0', 'pieces_unit' : '3', 'pieces_quantity' : '0', 'cooking_notes' : ''}).status_code; print('%s :: %s :: %s :: %s :: %s' %(a,730,'White Teel','white til','Biryani Dum Layer'))</t>
  </si>
  <si>
    <t xml:space="preserve">a = Client().post('/recipes/biryani-dum-layer/detail/', {'recipe' : '10', 'ingredient' : '121', 'name' : 'Khas Khas', 'mass_unit' : '7', 'mass_quantity' : '20', 'volume_unit' : '1', 'volume_quantity' : '0', 'pieces_unit' : '3', 'pieces_quantity' : '0', 'cooking_notes' : ''}).status_code; print('%s :: %s :: %s :: %s :: %s' %(a,731,'Khas Khas','khas khas','Biryani Dum Layer'))</t>
  </si>
  <si>
    <t xml:space="preserve">a = Client().post('/recipes/biryani-dum-layer/detail/', {'recipe' : '10', 'ingredient' : '81', 'name' : 'Ghee', 'mass_unit' : '2', 'mass_quantity' : '2', 'volume_unit' : '1', 'volume_quantity' : '0', 'pieces_unit' : '3', 'pieces_quantity' : '0', 'cooking_notes' : ''}).status_code; print('%s :: %s :: %s :: %s :: %s' %(a,732,'Ghee','ghee','Biryani Dum Layer'))</t>
  </si>
  <si>
    <t xml:space="preserve">a = Client().post('/recipes/biryani-dum-layer/detail/', {'recipe' : '10', 'ingredient' : '83', 'name' : 'Oil', 'mass_unit' : '2', 'mass_quantity' : '1', 'volume_unit' : '1', 'volume_quantity' : '0', 'pieces_unit' : '3', 'pieces_quantity' : '0', 'cooking_notes' : ''}).status_code; print('%s :: %s :: %s :: %s :: %s' %(a,733,'Oil','gound nut oil','Biryani Dum Layer'))</t>
  </si>
  <si>
    <t xml:space="preserve">a = Client().post('/recipes/biryani-dum-layer/detail/', {'recipe' : '10', 'ingredient' : '152', 'name' : 'Orange Red Colour', 'mass_unit' : '2', 'mass_quantity' : '0', 'volume_unit' : '13', 'volume_quantity' : '0.2', 'pieces_unit' : '3', 'pieces_quantity' : '0', 'cooking_notes' : ''}).status_code; print('%s :: %s :: %s :: %s :: %s' %(a,734,'Orange Red Colour','orange red colour','Biryani Dum Layer'))</t>
  </si>
  <si>
    <t xml:space="preserve">a = Client().post('/recipes/biryani-dum-layer/detail/', {'recipe' : '10', 'ingredient' : '131', 'name' : 'Lemon Yellow Colour', 'mass_unit' : '2', 'mass_quantity' : '0', 'volume_unit' : '13', 'volume_quantity' : '0.2', 'pieces_unit' : '3', 'pieces_quantity' : '0', 'cooking_notes' : ''}).status_code; print('%s :: %s :: %s :: %s :: %s' %(a,735,'Lemon Yellow Colour','lemon yellow colour','Biryani Dum Layer'))</t>
  </si>
  <si>
    <t xml:space="preserve">a = Client().post('/recipes/biryani-dum-layer/detail/', {'recipe' : '10', 'ingredient' : '15', 'name' : 'Apple Green Colour', 'mass_unit' : '2', 'mass_quantity' : '0', 'volume_unit' : '13', 'volume_quantity' : '0.2', 'pieces_unit' : '3', 'pieces_quantity' : '0', 'cooking_notes' : ''}).status_code; print('%s :: %s :: %s :: %s :: %s' %(a,736,'Apple Green Colour','apple green colour','Biryani Dum Layer'))</t>
  </si>
  <si>
    <t xml:space="preserve">a = Client().post('/recipes/biryani-dum-layer/detail/', {'recipe' : '10', 'ingredient' : '25', 'name' : 'Basmati Rice', 'mass_unit' : '2', 'mass_quantity' : '5', 'volume_unit' : '1', 'volume_quantity' : '0', 'pieces_unit' : '3', 'pieces_quantity' : '0', 'cooking_notes' : ''}).status_code; print('%s :: %s :: %s :: %s :: %s' %(a,737,'Basmati Rice','basmati rice','Biryani Dum Layer'))</t>
  </si>
  <si>
    <t xml:space="preserve">a = Client().post('/recipes/biryani-dum-layer/detail/', {'recipe' : '10', 'ingredient' : '195', 'name' : 'Tomato 1', 'mass_unit' : '2', 'mass_quantity' : '3', 'volume_unit' : '1', 'volume_quantity' : '0', 'pieces_unit' : '3', 'pieces_quantity' : '0', 'cooking_notes' : ''}).status_code; print('%s :: %s :: %s :: %s :: %s' %(a,738,'Tomato 1','tomato','Biryani Dum Layer'))</t>
  </si>
  <si>
    <t xml:space="preserve">a = Client().post('/recipes/biryani-dum-layer/detail/', {'recipe' : '10', 'ingredient' : '195', 'name' : 'Tomato 2', 'mass_unit' : '2', 'mass_quantity' : '0.6', 'volume_unit' : '1', 'volume_quantity' : '0', 'pieces_unit' : '3', 'pieces_quantity' : '0', 'cooking_notes' : ''}).status_code; print('%s :: %s :: %s :: %s :: %s' %(a,739,'Tomato 2','tomato','Biryani Dum Layer'))</t>
  </si>
  <si>
    <t xml:space="preserve">a = Client().post('/recipes/biryani-dum-layer/detail/', {'recipe' : '10', 'ingredient' : '1', 'name' : 'Adrak', 'mass_unit' : '7', 'mass_quantity' : '100', 'volume_unit' : '1', 'volume_quantity' : '0', 'pieces_unit' : '3', 'pieces_quantity' : '0', 'cooking_notes' : ''}).status_code; print('%s :: %s :: %s :: %s :: %s' %(a,740,'Adrak','adrak','Biryani Dum Layer'))</t>
  </si>
  <si>
    <t xml:space="preserve">a = Client().post('/recipes/biryani-dum-layer/detail/', {'recipe' : '10', 'ingredient' : '93', 'name' : 'Mirchi', 'mass_unit' : '7', 'mass_quantity' : '100', 'volume_unit' : '1', 'volume_quantity' : '0', 'pieces_unit' : '3', 'pieces_quantity' : '0', 'cooking_notes' : ''}).status_code; print('%s :: %s :: %s :: %s :: %s' %(a,741,'Mirchi','hari mirchi','Biryani Dum Layer'))</t>
  </si>
  <si>
    <t xml:space="preserve">a = Client().post('/recipes/biryani-dum-layer/detail/', {'recipe' : '10', 'ingredient' : '105', 'name' : 'Kadipatta', 'mass_unit' : '2', 'mass_quantity' : '0', 'volume_unit' : '1', 'volume_quantity' : '0', 'pieces_unit' : '3', 'pieces_quantity' : '0', 'cooking_notes' : ''}).status_code; print('%s :: %s :: %s :: %s :: %s' %(a,742,'Kadipatta','kadi patta','Biryani Dum Layer'))</t>
  </si>
  <si>
    <t xml:space="preserve">a = Client().post('/recipes/biryani-dum-layer/detail/', {'recipe' : '10', 'ingredient' : '66', 'name' : 'Dhaniyapatta', 'mass_unit' : '2', 'mass_quantity' : '0', 'volume_unit' : '1', 'volume_quantity' : '0', 'pieces_unit' : '8', 'pieces_quantity' : '10', 'cooking_notes' : ''}).status_code; print('%s :: %s :: %s :: %s :: %s' %(a,743,'Dhaniyapatta','dhaniya patta','Biryani Dum Layer'))</t>
  </si>
  <si>
    <t xml:space="preserve">a = Client().post('/recipes/biryani-dum-layer/detail/', {'recipe' : '10', 'ingredient' : '162', 'name' : 'Pudina', 'mass_unit' : '2', 'mass_quantity' : '0', 'volume_unit' : '1', 'volume_quantity' : '0', 'pieces_unit' : '8', 'pieces_quantity' : '10', 'cooking_notes' : ''}).status_code; print('%s :: %s :: %s :: %s :: %s' %(a,744,'Pudina','pudina','Biryani Dum Layer'))</t>
  </si>
  <si>
    <t xml:space="preserve">a = Client().post('/recipes/biryani-dum-layer/detail/', {'recipe' : '10', 'ingredient' : '27', 'name' : 'Beans', 'mass_unit' : '2', 'mass_quantity' : '0.5', 'volume_unit' : '1', 'volume_quantity' : '0', 'pieces_unit' : '3', 'pieces_quantity' : '0', 'cooking_notes' : ''}).status_code; print('%s :: %s :: %s :: %s :: %s' %(a,745,'Beans','beans','Biryani Dum Layer'))</t>
  </si>
  <si>
    <t xml:space="preserve">a = Client().post('/recipes/biryani-dum-layer/detail/', {'recipe' : '10', 'ingredient' : '44', 'name' : 'Cauli Flower', 'mass_unit' : '2', 'mass_quantity' : '1.4', 'volume_unit' : '1', 'volume_quantity' : '0', 'pieces_unit' : '3', 'pieces_quantity' : '0', 'cooking_notes' : ''}).status_code; print('%s :: %s :: %s :: %s :: %s' %(a,746,'Cauli Flower','cauli flower','Biryani Dum Layer'))</t>
  </si>
  <si>
    <t xml:space="preserve">a = Client().post('/recipes/biryani-dum-layer/detail/', {'recipe' : '10', 'ingredient' : '39', 'name' : 'Cabbage', 'mass_unit' : '2', 'mass_quantity' : '0.6', 'volume_unit' : '1', 'volume_quantity' : '0', 'pieces_unit' : '3', 'pieces_quantity' : '0', 'cooking_notes' : ''}).status_code; print('%s :: %s :: %s :: %s :: %s' %(a,747,'Cabbage','cabbage','Biryani Dum Layer'))</t>
  </si>
  <si>
    <t xml:space="preserve">a = Client().post('/recipes/biryani-dum-layer/detail/', {'recipe' : '10', 'ingredient' : '43', 'name' : 'Carrot', 'mass_unit' : '2', 'mass_quantity' : '0.5', 'volume_unit' : '1', 'volume_quantity' : '0', 'pieces_unit' : '3', 'pieces_quantity' : '0', 'cooking_notes' : ''}).status_code; print('%s :: %s :: %s :: %s :: %s' %(a,748,'Carrot','carrot','Biryani Dum Layer'))</t>
  </si>
  <si>
    <t xml:space="preserve">a = Client().post('/recipes/biryani-dum-layer/detail/', {'recipe' : '10', 'ingredient' : '88', 'name' : 'Green Peas', 'mass_unit' : '2', 'mass_quantity' : '0.6', 'volume_unit' : '1', 'volume_quantity' : '0', 'pieces_unit' : '3', 'pieces_quantity' : '0', 'cooking_notes' : ''}).status_code; print('%s :: %s :: %s :: %s :: %s' %(a,749,'Green Peas','green peas','Biryani Dum Layer'))</t>
  </si>
  <si>
    <t xml:space="preserve">a = Client().post('/recipes/biryani-dum-layer/detail/', {'recipe' : '10', 'ingredient' : '8', 'name' : 'Potato', 'mass_unit' : '2', 'mass_quantity' : '1.4', 'volume_unit' : '1', 'volume_quantity' : '0', 'pieces_unit' : '3', 'pieces_quantity' : '0', 'cooking_notes' : ''}).status_code; print('%s :: %s :: %s :: %s :: %s' %(a,750,'Potato','alu','Biryani Dum Layer'))</t>
  </si>
  <si>
    <t xml:space="preserve">a = Client().post('/recipes/biryani-dum-layer/detail/', {'recipe' : '10', 'ingredient' : '42', 'name' : 'Simla', 'mass_unit' : '2', 'mass_quantity' : '0.6', 'volume_unit' : '1', 'volume_quantity' : '0', 'pieces_unit' : '3', 'pieces_quantity' : '0', 'cooking_notes' : ''}).status_code; print('%s :: %s :: %s :: %s :: %s' %(a,751,'Simla','capsicum','Biryani Dum Layer'))</t>
  </si>
  <si>
    <t xml:space="preserve">a = Client().post('/recipes/biryani-dum-layer/detail/', {'recipe' : '10', 'ingredient' : '142', 'name' : 'Mawa', 'mass_unit' : '7', 'mass_quantity' : '100', 'volume_unit' : '1', 'volume_quantity' : '0', 'pieces_unit' : '3', 'pieces_quantity' : '0', 'cooking_notes' : ''}).status_code; print('%s :: %s :: %s :: %s :: %s' %(a,753,'Mawa','mawa','Biryani Dum Layer'))</t>
  </si>
  <si>
    <t xml:space="preserve">a = Client().post('/recipes/biryani-dum-layer/detail/', {'recipe' : '10', 'ingredient' : '12', 'name' : 'Amul Butter', 'mass_unit' : '2', 'mass_quantity' : '0.5', 'volume_unit' : '1', 'volume_quantity' : '0', 'pieces_unit' : '3', 'pieces_quantity' : '0', 'cooking_notes' : ''}).status_code; print('%s :: %s :: %s :: %s :: %s' %(a,754,'Amul Butter','amul butter','Biryani Dum Layer'))</t>
  </si>
  <si>
    <t xml:space="preserve">a = Client().post('/recipes/biryani-dum-layer/detail/', {'recipe' : '10', 'ingredient' : '13', 'name' : 'Amul Fresh Cream', 'mass_unit' : '2', 'mass_quantity' : '0', 'volume_unit' : '1', 'volume_quantity' : '1', 'pieces_unit' : '3', 'pieces_quantity' : '0', 'cooking_notes' : ''}).status_code; print('%s :: %s :: %s :: %s :: %s' %(a,755,'Amul Fresh Cream','amul fresh cream','Biryani Dum Layer'))</t>
  </si>
  <si>
    <t xml:space="preserve">a = Client().post('/recipes/biryani-dum-layer/detail/', {'recipe' : '10', 'ingredient' : '59', 'name' : 'Curd', 'mass_unit' : '2', 'mass_quantity' : '0', 'volume_unit' : '1', 'volume_quantity' : '2', 'pieces_unit' : '3', 'pieces_quantity' : '0', 'cooking_notes' : ''}).status_code; print('%s :: %s :: %s :: %s :: %s' %(a,756,'Curd','dahi','Biryani Dum Layer'))</t>
  </si>
  <si>
    <t xml:space="preserve">a = Client().post('/recipes/biryani-dum-layer/detail/', {'recipe' : '10', 'ingredient' : '142', 'name' : 'Mawa', 'mass_unit' : '7', 'mass_quantity' : '100', 'volume_unit' : '1', 'volume_quantity' : '0', 'pieces_unit' : '3', 'pieces_quantity' : '0', 'cooking_notes' : ''}).status_code; print('%s :: %s :: %s :: %s :: %s' %(a,758,'Mawa','mawa','Biryani Dum Layer'))</t>
  </si>
  <si>
    <t xml:space="preserve">a = Client().post('/recipes/biryani-dum-layer/detail/', {'recipe' : '10', 'ingredient' : '12', 'name' : 'Amul Butter', 'mass_unit' : '2', 'mass_quantity' : '0.5', 'volume_unit' : '1', 'volume_quantity' : '0', 'pieces_unit' : '3', 'pieces_quantity' : '0', 'cooking_notes' : ''}).status_code; print('%s :: %s :: %s :: %s :: %s' %(a,759,'Amul Butter','amul butter','Biryani Dum Layer'))</t>
  </si>
  <si>
    <t xml:space="preserve">a = Client().post('/recipes/biryani-dum-layer/detail/', {'recipe' : '10', 'ingredient' : '13', 'name' : 'Amul Fresh Cream', 'mass_unit' : '2', 'mass_quantity' : '0', 'volume_unit' : '1', 'volume_quantity' : '0.2', 'pieces_unit' : '3', 'pieces_quantity' : '0', 'cooking_notes' : ''}).status_code; print('%s :: %s :: %s :: %s :: %s' %(a,760,'Amul Fresh Cream','amul fresh cream','Biryani Dum Layer'))</t>
  </si>
  <si>
    <t xml:space="preserve">a = Client().post('/recipes/biryani-dum-layer/detail/', {'recipe' : '10', 'ingredient' : '49', 'name' : 'Chedder cheese', 'mass_unit' : '2', 'mass_quantity' : '1', 'volume_unit' : '1', 'volume_quantity' : '0', 'pieces_unit' : '3', 'pieces_quantity' : '0', 'cooking_notes' : ''}).status_code; print('%s :: %s :: %s :: %s :: %s' %(a,761,'Chedder cheese','chedder cheese','Biryani Dum Layer'))</t>
  </si>
  <si>
    <t xml:space="preserve">a = Client().post('/recipes/biryani-dum-layer/detail/', {'recipe' : '10', 'ingredient' : '59', 'name' : 'Curd', 'mass_unit' : '2', 'mass_quantity' : '0.6', 'volume_unit' : '1', 'volume_quantity' : '0', 'pieces_unit' : '3', 'pieces_quantity' : '0', 'cooking_notes' : ''}).status_code; print('%s :: %s :: %s :: %s :: %s' %(a,762,'Curd','dahi','Biryani Dum Layer'))</t>
  </si>
  <si>
    <t xml:space="preserve">/recipes/mix-veg-poha/detail/</t>
  </si>
  <si>
    <t xml:space="preserve">a = Client().post('/recipes/mix-veg-poha/detail/', {'recipe' : '47', 'ingredient' : '79', 'name' : 'Gajar', 'mass_unit' : '2', 'mass_quantity' : '6', 'volume_unit' : '1', 'volume_quantity' : '0', 'pieces_unit' : '3', 'pieces_quantity' : '0', 'cooking_notes' : ''}).status_code; print('%s :: %s :: %s :: %s :: %s' %(a,765,'Gajar','gajar','Mix Veg Poha'))</t>
  </si>
  <si>
    <t xml:space="preserve">a = Client().post('/recipes/mix-veg-poha/detail/', {'recipe' : '47', 'ingredient' : '27', 'name' : 'beans( optional when rate is low)', 'mass_unit' : '2', 'mass_quantity' : '5', 'volume_unit' : '1', 'volume_quantity' : '0', 'pieces_unit' : '3', 'pieces_quantity' : '0', 'cooking_notes' : ''}).status_code; print('%s :: %s :: %s :: %s :: %s' %(a,766,'beans( optional when rate is low)','beans','Mix Veg Poha'))</t>
  </si>
  <si>
    <t xml:space="preserve">a = Client().post('/recipes/mix-veg-poha/detail/', {'recipe' : '47', 'ingredient' : '88', 'name' : 'Green Peas', 'mass_unit' : '2', 'mass_quantity' : '6', 'volume_unit' : '1', 'volume_quantity' : '0', 'pieces_unit' : '3', 'pieces_quantity' : '0', 'cooking_notes' : ''}).status_code; print('%s :: %s :: %s :: %s :: %s' %(a,767,'Green Peas','green peas','Mix Veg Poha'))</t>
  </si>
  <si>
    <t xml:space="preserve">a = Client().post('/recipes/mix-veg-poha/detail/', {'recipe' : '47', 'ingredient' : '8', 'name' : 'Alu', 'mass_unit' : '2', 'mass_quantity' : '5', 'volume_unit' : '1', 'volume_quantity' : '0', 'pieces_unit' : '3', 'pieces_quantity' : '0', 'cooking_notes' : ''}).status_code; print('%s :: %s :: %s :: %s :: %s' %(a,768,'Alu','alu','Mix Veg Poha'))</t>
  </si>
  <si>
    <t xml:space="preserve">a = Client().post('/recipes/mix-veg-poha/detail/', {'recipe' : '47', 'ingredient' : '93', 'name' : 'green chilly', 'mass_unit' : '2', 'mass_quantity' : '0', 'volume_unit' : '1', 'volume_quantity' : '1', 'pieces_unit' : '3', 'pieces_quantity' : '0', 'cooking_notes' : ''}).status_code; print('%s :: %s :: %s :: %s :: %s' %(a,769,'green chilly','hari mirchi','Mix Veg Poha'))</t>
  </si>
  <si>
    <t xml:space="preserve">a = Client().post('/recipes/mix-veg-poha/detail/', {'recipe' : '47', 'ingredient' : '66', 'name' : 'Dhania patta', 'mass_unit' : '2', 'mass_quantity' : '0', 'volume_unit' : '1', 'volume_quantity' : '3', 'pieces_unit' : '3', 'pieces_quantity' : '0', 'cooking_notes' : ''}).status_code; print('%s :: %s :: %s :: %s :: %s' %(a,770,'Dhania patta','dhaniya patta','Mix Veg Poha'))</t>
  </si>
  <si>
    <t xml:space="preserve">a = Client().post('/recipes/mix-veg-poha/detail/', {'recipe' : '47', 'ingredient' : '1', 'name' : 'ginger', 'mass_unit' : '2', 'mass_quantity' : '0', 'volume_unit' : '1', 'volume_quantity' : '1', 'pieces_unit' : '3', 'pieces_quantity' : '0', 'cooking_notes' : ''}).status_code; print('%s :: %s :: %s :: %s :: %s' %(a,771,'ginger','adrak','Mix Veg Poha'))</t>
  </si>
  <si>
    <t xml:space="preserve">a = Client().post('/recipes/mix-veg-poha/detail/', {'recipe' : '47', 'ingredient' : '105', 'name' : 'kadipatta', 'mass_unit' : '2', 'mass_quantity' : '0', 'volume_unit' : '1', 'volume_quantity' : '2', 'pieces_unit' : '3', 'pieces_quantity' : '0', 'cooking_notes' : ''}).status_code; print('%s :: %s :: %s :: %s :: %s' %(a,772,'kadipatta','kadi patta','Mix Veg Poha'))</t>
  </si>
  <si>
    <t xml:space="preserve">a = Client().post('/recipes/mix-veg-poha/detail/', {'recipe' : '47', 'ingredient' : '100', 'name' : 'Jada Poha   ', 'mass_unit' : '2', 'mass_quantity' : '25', 'volume_unit' : '1', 'volume_quantity' : '0', 'pieces_unit' : '3', 'pieces_quantity' : '0', 'cooking_notes' : ''}).status_code; print('%s :: %s :: %s :: %s :: %s' %(a,773,'Jada Poha   ','jada poha','Mix Veg Poha'))</t>
  </si>
  <si>
    <t xml:space="preserve">a = Client().post('/recipes/mix-veg-poha/detail/', {'recipe' : '47', 'ingredient' : '83', 'name' : 'oil(groundnut)', 'mass_unit' : '2', 'mass_quantity' : '0', 'volume_unit' : '1', 'volume_quantity' : '7.5', 'pieces_unit' : '3', 'pieces_quantity' : '0', 'cooking_notes' : ''}).status_code; print('%s :: %s :: %s :: %s :: %s' %(a,774,'oil(groundnut)','gound nut oil','Mix Veg Poha'))</t>
  </si>
  <si>
    <t xml:space="preserve">a = Client().post('/recipes/mix-veg-poha/detail/', {'recipe' : '47', 'ingredient' : '164', 'name' : 'Rai', 'mass_unit' : '2', 'mass_quantity' : '0', 'volume_unit' : '5', 'volume_quantity' : '2', 'pieces_unit' : '3', 'pieces_quantity' : '0', 'cooking_notes' : ''}).status_code; print('%s :: %s :: %s :: %s :: %s' %(a,775,'Rai','rai','Mix Veg Poha'))</t>
  </si>
  <si>
    <t xml:space="preserve">a = Client().post('/recipes/mix-veg-poha/detail/', {'recipe' : '47', 'ingredient' : '102', 'name' : 'Jeera', 'mass_unit' : '2', 'mass_quantity' : '0', 'volume_unit' : '5', 'volume_quantity' : '2', 'pieces_unit' : '3', 'pieces_quantity' : '0', 'cooking_notes' : ''}).status_code; print('%s :: %s :: %s :: %s :: %s' %(a,776,'Jeera','jeera','Mix Veg Poha'))</t>
  </si>
  <si>
    <t xml:space="preserve">a = Client().post('/recipes/mix-veg-poha/detail/', {'recipe' : '47', 'ingredient' : '183', 'name' : 'akkha singdana', 'mass_unit' : '2', 'mass_quantity' : '3', 'volume_unit' : '1', 'volume_quantity' : '0', 'pieces_unit' : '3', 'pieces_quantity' : '0', 'cooking_notes' : ''}).status_code; print('%s :: %s :: %s :: %s :: %s' %(a,777,'akkha singdana','singdana','Mix Veg Poha'))</t>
  </si>
  <si>
    <t xml:space="preserve">a = Client().post('/recipes/mix-veg-poha/detail/', {'recipe' : '47', 'ingredient' : '91', 'name' : 'haldi', 'mass_unit' : '2', 'mass_quantity' : '0', 'volume_unit' : '5', 'volume_quantity' : '1.5', 'pieces_unit' : '3', 'pieces_quantity' : '0', 'cooking_notes' : ''}).status_code; print('%s :: %s :: %s :: %s :: %s' %(a,778,'haldi','haldi','Mix Veg Poha'))</t>
  </si>
  <si>
    <t xml:space="preserve">a = Client().post('/recipes/mix-veg-poha/detail/', {'recipe' : '47', 'ingredient' : '135', 'name' : 'madrasi chili powder', 'mass_unit' : '2', 'mass_quantity' : '0', 'volume_unit' : '5', 'volume_quantity' : '1', 'pieces_unit' : '3', 'pieces_quantity' : '0', 'cooking_notes' : ''}).status_code; print('%s :: %s :: %s :: %s :: %s' %(a,779,'madrasi chili powder','madrasi mirchi powder','Mix Veg Poha'))</t>
  </si>
  <si>
    <t xml:space="preserve">a = Client().post('/recipes/mix-veg-poha/detail/', {'recipe' : '47', 'ingredient' : '95', 'name' : 'hing', 'mass_unit' : '2', 'mass_quantity' : '0', 'volume_unit' : '5', 'volume_quantity' : '0.75', 'pieces_unit' : '3', 'pieces_quantity' : '0', 'cooking_notes' : ''}).status_code; print('%s :: %s :: %s :: %s :: %s' %(a,780,'hing','hing','Mix Veg Poha'))</t>
  </si>
  <si>
    <t xml:space="preserve">a = Client().post('/recipes/mix-veg-poha/detail/', {'recipe' : '47', 'ingredient' : '177', 'name' : 'salt', 'mass_unit' : '2', 'mass_quantity' : '0', 'volume_unit' : '5', 'volume_quantity' : '0.5', 'pieces_unit' : '3', 'pieces_quantity' : '0', 'cooking_notes' : ''}).status_code; print('%s :: %s :: %s :: %s :: %s' %(a,781,'salt','salt','Mix Veg Poha'))</t>
  </si>
  <si>
    <t xml:space="preserve">/recipes/upma/detail/</t>
  </si>
  <si>
    <t xml:space="preserve">a = Client().post('/recipes/upma/detail/', {'recipe' : '83', 'ingredient' : '79', 'name' : 'Gajar', 'mass_unit' : '2', 'mass_quantity' : '6', 'volume_unit' : '1', 'volume_quantity' : '0', 'pieces_unit' : '3', 'pieces_quantity' : '0', 'cooking_notes' : ''}).status_code; print('%s :: %s :: %s :: %s :: %s' %(a,783,'Gajar','gajar','Upma'))</t>
  </si>
  <si>
    <t xml:space="preserve">a = Client().post('/recipes/upma/detail/', {'recipe' : '83', 'ingredient' : '27', 'name' : 'beans( optional when rate is low)', 'mass_unit' : '2', 'mass_quantity' : '5', 'volume_unit' : '1', 'volume_quantity' : '0', 'pieces_unit' : '3', 'pieces_quantity' : '0', 'cooking_notes' : ''}).status_code; print('%s :: %s :: %s :: %s :: %s' %(a,784,'beans( optional when rate is low)','beans','Upma'))</t>
  </si>
  <si>
    <t xml:space="preserve">a = Client().post('/recipes/upma/detail/', {'recipe' : '83', 'ingredient' : '88', 'name' : 'Green Peas', 'mass_unit' : '2', 'mass_quantity' : '6', 'volume_unit' : '1', 'volume_quantity' : '0', 'pieces_unit' : '3', 'pieces_quantity' : '0', 'cooking_notes' : ''}).status_code; print('%s :: %s :: %s :: %s :: %s' %(a,785,'Green Peas','green peas','Upma'))</t>
  </si>
  <si>
    <t xml:space="preserve">a = Client().post('/recipes/upma/detail/', {'recipe' : '83', 'ingredient' : '93', 'name' : 'green chilly', 'mass_unit' : '2', 'mass_quantity' : '0', 'volume_unit' : '1', 'volume_quantity' : '1', 'pieces_unit' : '3', 'pieces_quantity' : '0', 'cooking_notes' : ''}).status_code; print('%s :: %s :: %s :: %s :: %s' %(a,786,'green chilly','hari mirchi','Upma'))</t>
  </si>
  <si>
    <t xml:space="preserve">a = Client().post('/recipes/upma/detail/', {'recipe' : '83', 'ingredient' : '66', 'name' : 'Dhania patta', 'mass_unit' : '2', 'mass_quantity' : '0', 'volume_unit' : '1', 'volume_quantity' : '3', 'pieces_unit' : '3', 'pieces_quantity' : '0', 'cooking_notes' : ''}).status_code; print('%s :: %s :: %s :: %s :: %s' %(a,787,'Dhania patta','dhaniya patta','Upma'))</t>
  </si>
  <si>
    <t xml:space="preserve">a = Client().post('/recipes/upma/detail/', {'recipe' : '83', 'ingredient' : '1', 'name' : 'ginger', 'mass_unit' : '2', 'mass_quantity' : '0', 'volume_unit' : '1', 'volume_quantity' : '0.5', 'pieces_unit' : '3', 'pieces_quantity' : '0', 'cooking_notes' : ''}).status_code; print('%s :: %s :: %s :: %s :: %s' %(a,788,'ginger','adrak','Upma'))</t>
  </si>
  <si>
    <t xml:space="preserve">a = Client().post('/recipes/upma/detail/', {'recipe' : '83', 'ingredient' : '105', 'name' : 'kadipatta', 'mass_unit' : '2', 'mass_quantity' : '0', 'volume_unit' : '1', 'volume_quantity' : '2', 'pieces_unit' : '3', 'pieces_quantity' : '0', 'cooking_notes' : ''}).status_code; print('%s :: %s :: %s :: %s :: %s' %(a,789,'kadipatta','kadi patta','Upma'))</t>
  </si>
  <si>
    <t xml:space="preserve">a = Client().post('/recipes/upma/detail/', {'recipe' : '83', 'ingredient' : '97', 'name' : 'hot water', 'mass_unit' : '2', 'mass_quantity' : '0', 'volume_unit' : '1', 'volume_quantity' : '75', 'pieces_unit' : '3', 'pieces_quantity' : '0', 'cooking_notes' : ''}).status_code; print('%s :: %s :: %s :: %s :: %s' %(a,790,'hot water','hot water','Upma'))</t>
  </si>
  <si>
    <t xml:space="preserve">a = Client().post('/recipes/upma/detail/', {'recipe' : '83', 'ingredient' : '199', 'name' : 'Upma      ', 'mass_unit' : '2', 'mass_quantity' : '25', 'volume_unit' : '1', 'volume_quantity' : '0', 'pieces_unit' : '3', 'pieces_quantity' : '0', 'cooking_notes' : ''}).status_code; print('%s :: %s :: %s :: %s :: %s' %(a,791,'Upma      ','upma','Upma'))</t>
  </si>
  <si>
    <t xml:space="preserve">a = Client().post('/recipes/upma/detail/', {'recipe' : '83', 'ingredient' : '83', 'name' : 'oil(groundnut)', 'mass_unit' : '2', 'mass_quantity' : '0', 'volume_unit' : '1', 'volume_quantity' : '7', 'pieces_unit' : '3', 'pieces_quantity' : '0', 'cooking_notes' : ''}).status_code; print('%s :: %s :: %s :: %s :: %s' %(a,792,'oil(groundnut)','gound nut oil','Upma'))</t>
  </si>
  <si>
    <t xml:space="preserve">a = Client().post('/recipes/upma/detail/', {'recipe' : '83', 'ingredient' : '164', 'name' : 'Rai', 'mass_unit' : '2', 'mass_quantity' : '0', 'volume_unit' : '5', 'volume_quantity' : '2', 'pieces_unit' : '3', 'pieces_quantity' : '0', 'cooking_notes' : ''}).status_code; print('%s :: %s :: %s :: %s :: %s' %(a,793,'Rai','rai','Upma'))</t>
  </si>
  <si>
    <t xml:space="preserve">a = Client().post('/recipes/upma/detail/', {'recipe' : '83', 'ingredient' : '46', 'name' : 'chana dal', 'mass_unit' : '2', 'mass_quantity' : '0', 'volume_unit' : '1', 'volume_quantity' : '1', 'pieces_unit' : '3', 'pieces_quantity' : '0', 'cooking_notes' : ''}).status_code; print('%s :: %s :: %s :: %s :: %s' %(a,794,'chana dal','chana dal','Upma'))</t>
  </si>
  <si>
    <t xml:space="preserve">a = Client().post('/recipes/upma/detail/', {'recipe' : '83', 'ingredient' : '200', 'name' : 'urad dal', 'mass_unit' : '2', 'mass_quantity' : '0', 'volume_unit' : '1', 'volume_quantity' : '1', 'pieces_unit' : '3', 'pieces_quantity' : '0', 'cooking_notes' : ''}).status_code; print('%s :: %s :: %s :: %s :: %s' %(a,795,'urad dal','urad dal','Upma'))</t>
  </si>
  <si>
    <t xml:space="preserve">a = Client().post('/recipes/upma/detail/', {'recipe' : '83', 'ingredient' : '91', 'name' : 'haldi', 'mass_unit' : '2', 'mass_quantity' : '0', 'volume_unit' : '5', 'volume_quantity' : '1', 'pieces_unit' : '3', 'pieces_quantity' : '0', 'cooking_notes' : ''}).status_code; print('%s :: %s :: %s :: %s :: %s' %(a,796,'haldi','haldi','Upma'))</t>
  </si>
  <si>
    <t xml:space="preserve">a = Client().post('/recipes/upma/detail/', {'recipe' : '83', 'ingredient' : '117', 'name' : 'kashmiri chili powder', 'mass_unit' : '2', 'mass_quantity' : '0', 'volume_unit' : '5', 'volume_quantity' : '0.5', 'pieces_unit' : '3', 'pieces_quantity' : '0', 'cooking_notes' : ''}).status_code; print('%s :: %s :: %s :: %s :: %s' %(a,797,'kashmiri chili powder','kashmiri chilly powder','Upma'))</t>
  </si>
  <si>
    <t xml:space="preserve">a = Client().post('/recipes/upma/detail/', {'recipe' : '83', 'ingredient' : '95', 'name' : 'hing', 'mass_unit' : '2', 'mass_quantity' : '0', 'volume_unit' : '5', 'volume_quantity' : '0.5', 'pieces_unit' : '3', 'pieces_quantity' : '0', 'cooking_notes' : ''}).status_code; print('%s :: %s :: %s :: %s :: %s' %(a,798,'hing','hing','Upma'))</t>
  </si>
  <si>
    <t xml:space="preserve">a = Client().post('/recipes/upma/detail/', {'recipe' : '83', 'ingredient' : '177', 'name' : 'salt', 'mass_unit' : '2', 'mass_quantity' : '0', 'volume_unit' : '5', 'volume_quantity' : '7', 'pieces_unit' : '3', 'pieces_quantity' : '0', 'cooking_notes' : ''}).status_code; print('%s :: %s :: %s :: %s :: %s' %(a,799,'salt','salt','Upma'))</t>
  </si>
  <si>
    <t xml:space="preserve">/recipes/vermicllly/detail/</t>
  </si>
  <si>
    <t xml:space="preserve">a = Client().post('/recipes/vermicllly/detail/', {'recipe' : '88', 'ingredient' : '79', 'name' : 'gajar', 'mass_unit' : '2', 'mass_quantity' : '6', 'volume_unit' : '1', 'volume_quantity' : '0', 'pieces_unit' : '3', 'pieces_quantity' : '0', 'cooking_notes' : ''}).status_code; print('%s :: %s :: %s :: %s :: %s' %(a,801,'gajar','gajar','Vermicllly'))</t>
  </si>
  <si>
    <t xml:space="preserve">a = Client().post('/recipes/vermicllly/detail/', {'recipe' : '88', 'ingredient' : '27', 'name' : 'beans( optional when rate is low)', 'mass_unit' : '2', 'mass_quantity' : '5', 'volume_unit' : '1', 'volume_quantity' : '0', 'pieces_unit' : '3', 'pieces_quantity' : '0', 'cooking_notes' : ''}).status_code; print('%s :: %s :: %s :: %s :: %s' %(a,802,'beans( optional when rate is low)','beans','Vermicllly'))</t>
  </si>
  <si>
    <t xml:space="preserve">a = Client().post('/recipes/vermicllly/detail/', {'recipe' : '88', 'ingredient' : '88', 'name' : 'Green Peas', 'mass_unit' : '2', 'mass_quantity' : '6', 'volume_unit' : '1', 'volume_quantity' : '0', 'pieces_unit' : '3', 'pieces_quantity' : '0', 'cooking_notes' : ''}).status_code; print('%s :: %s :: %s :: %s :: %s' %(a,803,'Green Peas','green peas','Vermicllly'))</t>
  </si>
  <si>
    <t xml:space="preserve">a = Client().post('/recipes/vermicllly/detail/', {'recipe' : '88', 'ingredient' : '93', 'name' : 'green chilly', 'mass_unit' : '2', 'mass_quantity' : '0', 'volume_unit' : '1', 'volume_quantity' : '1', 'pieces_unit' : '3', 'pieces_quantity' : '0', 'cooking_notes' : ''}).status_code; print('%s :: %s :: %s :: %s :: %s' %(a,804,'green chilly','hari mirchi','Vermicllly'))</t>
  </si>
  <si>
    <t xml:space="preserve">a = Client().post('/recipes/vermicllly/detail/', {'recipe' : '88', 'ingredient' : '66', 'name' : 'Dhania patta', 'mass_unit' : '2', 'mass_quantity' : '0', 'volume_unit' : '1', 'volume_quantity' : '3', 'pieces_unit' : '3', 'pieces_quantity' : '0', 'cooking_notes' : ''}).status_code; print('%s :: %s :: %s :: %s :: %s' %(a,805,'Dhania patta','dhaniya patta','Vermicllly'))</t>
  </si>
  <si>
    <t xml:space="preserve">a = Client().post('/recipes/vermicllly/detail/', {'recipe' : '88', 'ingredient' : '1', 'name' : 'ginger', 'mass_unit' : '2', 'mass_quantity' : '0', 'volume_unit' : '1', 'volume_quantity' : '0.5', 'pieces_unit' : '3', 'pieces_quantity' : '0', 'cooking_notes' : ''}).status_code; print('%s :: %s :: %s :: %s :: %s' %(a,806,'ginger','adrak','Vermicllly'))</t>
  </si>
  <si>
    <t xml:space="preserve">a = Client().post('/recipes/vermicllly/detail/', {'recipe' : '88', 'ingredient' : '105', 'name' : 'kadipatta', 'mass_unit' : '2', 'mass_quantity' : '0', 'volume_unit' : '1', 'volume_quantity' : '2', 'pieces_unit' : '3', 'pieces_quantity' : '0', 'cooking_notes' : ''}).status_code; print('%s :: %s :: %s :: %s :: %s' %(a,807,'kadipatta','kadi patta','Vermicllly'))</t>
  </si>
  <si>
    <t xml:space="preserve">a = Client().post('/recipes/vermicllly/detail/', {'recipe' : '88', 'ingredient' : '97', 'name' : 'hot water', 'mass_unit' : '2', 'mass_quantity' : '0', 'volume_unit' : '1', 'volume_quantity' : '60', 'pieces_unit' : '3', 'pieces_quantity' : '0', 'cooking_notes' : ''}).status_code; print('%s :: %s :: %s :: %s :: %s' %(a,808,'hot water','hot water','Vermicllly'))</t>
  </si>
  <si>
    <t xml:space="preserve">a = Client().post('/recipes/vermicllly/detail/', {'recipe' : '88', 'ingredient' : '202', 'name' : 'Vermicilly ', 'mass_unit' : '2', 'mass_quantity' : '25', 'volume_unit' : '1', 'volume_quantity' : '0', 'pieces_unit' : '3', 'pieces_quantity' : '0', 'cooking_notes' : ''}).status_code; print('%s :: %s :: %s :: %s :: %s' %(a,809,'Vermicilly ','vermicilly','Vermicllly'))</t>
  </si>
  <si>
    <t xml:space="preserve">a = Client().post('/recipes/vermicllly/detail/', {'recipe' : '88', 'ingredient' : '83', 'name' : 'oil(groundnut)', 'mass_unit' : '2', 'mass_quantity' : '0', 'volume_unit' : '1', 'volume_quantity' : '4.5', 'pieces_unit' : '3', 'pieces_quantity' : '0', 'cooking_notes' : ''}).status_code; print('%s :: %s :: %s :: %s :: %s' %(a,810,'oil(groundnut)','gound nut oil','Vermicllly'))</t>
  </si>
  <si>
    <t xml:space="preserve">a = Client().post('/recipes/vermicllly/detail/', {'recipe' : '88', 'ingredient' : '164', 'name' : 'Rai', 'mass_unit' : '2', 'mass_quantity' : '0', 'volume_unit' : '5', 'volume_quantity' : '2', 'pieces_unit' : '3', 'pieces_quantity' : '0', 'cooking_notes' : ''}).status_code; print('%s :: %s :: %s :: %s :: %s' %(a,811,'Rai','rai','Vermicllly'))</t>
  </si>
  <si>
    <t xml:space="preserve">a = Client().post('/recipes/vermicllly/detail/', {'recipe' : '88', 'ingredient' : '46', 'name' : 'chana dal', 'mass_unit' : '2', 'mass_quantity' : '0', 'volume_unit' : '1', 'volume_quantity' : '1', 'pieces_unit' : '3', 'pieces_quantity' : '0', 'cooking_notes' : ''}).status_code; print('%s :: %s :: %s :: %s :: %s' %(a,812,'chana dal','chana dal','Vermicllly'))</t>
  </si>
  <si>
    <t xml:space="preserve">a = Client().post('/recipes/vermicllly/detail/', {'recipe' : '88', 'ingredient' : '200', 'name' : 'urad dal', 'mass_unit' : '2', 'mass_quantity' : '0', 'volume_unit' : '1', 'volume_quantity' : '1', 'pieces_unit' : '3', 'pieces_quantity' : '0', 'cooking_notes' : ''}).status_code; print('%s :: %s :: %s :: %s :: %s' %(a,813,'urad dal','urad dal','Vermicllly'))</t>
  </si>
  <si>
    <t xml:space="preserve">a = Client().post('/recipes/vermicllly/detail/', {'recipe' : '88', 'ingredient' : '91', 'name' : 'haldi', 'mass_unit' : '2', 'mass_quantity' : '0', 'volume_unit' : '5', 'volume_quantity' : '1', 'pieces_unit' : '3', 'pieces_quantity' : '0', 'cooking_notes' : ''}).status_code; print('%s :: %s :: %s :: %s :: %s' %(a,814,'haldi','haldi','Vermicllly'))</t>
  </si>
  <si>
    <t xml:space="preserve">a = Client().post('/recipes/vermicllly/detail/', {'recipe' : '88', 'ingredient' : '117', 'name' : 'kashmiri chili powder', 'mass_unit' : '2', 'mass_quantity' : '0', 'volume_unit' : '5', 'volume_quantity' : '0.5', 'pieces_unit' : '3', 'pieces_quantity' : '0', 'cooking_notes' : ''}).status_code; print('%s :: %s :: %s :: %s :: %s' %(a,815,'kashmiri chili powder','kashmiri chilly powder','Vermicllly'))</t>
  </si>
  <si>
    <t xml:space="preserve">a = Client().post('/recipes/vermicllly/detail/', {'recipe' : '88', 'ingredient' : '95', 'name' : 'hing', 'mass_unit' : '2', 'mass_quantity' : '0', 'volume_unit' : '5', 'volume_quantity' : '0.5', 'pieces_unit' : '3', 'pieces_quantity' : '0', 'cooking_notes' : ''}).status_code; print('%s :: %s :: %s :: %s :: %s' %(a,816,'hing','hing','Vermicllly'))</t>
  </si>
  <si>
    <t xml:space="preserve">a = Client().post('/recipes/vermicllly/detail/', {'recipe' : '88', 'ingredient' : '160', 'name' : 'pav bhaji masala', 'mass_unit' : '2', 'mass_quantity' : '0', 'volume_unit' : '1', 'volume_quantity' : '0.5', 'pieces_unit' : '3', 'pieces_quantity' : '0', 'cooking_notes' : ''}).status_code; print('%s :: %s :: %s :: %s :: %s' %(a,817,'pav bhaji masala','pav bhaji masala','Vermicllly'))</t>
  </si>
  <si>
    <t xml:space="preserve">a = Client().post('/recipes/vermicllly/detail/', {'recipe' : '88', 'ingredient' : '177', 'name' : 'salt', 'mass_unit' : '2', 'mass_quantity' : '0', 'volume_unit' : '5', 'volume_quantity' : '6', 'pieces_unit' : '3', 'pieces_quantity' : '0', 'cooking_notes' : ''}).status_code; print('%s :: %s :: %s :: %s :: %s' %(a,818,'salt','salt','Vermicllly'))</t>
  </si>
  <si>
    <t xml:space="preserve">/recipes/pongal/detail/</t>
  </si>
  <si>
    <t xml:space="preserve">a = Client().post('/recipes/pongal/detail/', {'recipe' : '61', 'ingredient' : '54', 'name' : 'coconut', 'mass_unit' : '2', 'mass_quantity' : '0', 'volume_unit' : '1', 'volume_quantity' : '0', 'pieces_unit' : '3', 'pieces_quantity' : '8', 'cooking_notes' : ''}).status_code; print('%s :: %s :: %s :: %s :: %s' %(a,820,'coconut','coconut','Pongal'))</t>
  </si>
  <si>
    <t xml:space="preserve">a = Client().post('/recipes/pongal/detail/', {'recipe' : '61', 'ingredient' : '105', 'name' : 'kadipatta', 'mass_unit' : '2', 'mass_quantity' : '0', 'volume_unit' : '1', 'volume_quantity' : '1', 'pieces_unit' : '3', 'pieces_quantity' : '0', 'cooking_notes' : ''}).status_code; print('%s :: %s :: %s :: %s :: %s' %(a,821,'kadipatta','kadi patta','Pongal'))</t>
  </si>
  <si>
    <t xml:space="preserve">a = Client().post('/recipes/pongal/detail/', {'recipe' : '61', 'ingredient' : '1', 'name' : 'Ginger', 'mass_unit' : '2', 'mass_quantity' : '0', 'volume_unit' : '1', 'volume_quantity' : '0.5', 'pieces_unit' : '3', 'pieces_quantity' : '0', 'cooking_notes' : ''}).status_code; print('%s :: %s :: %s :: %s :: %s' %(a,822,'Ginger','adrak','Pongal'))</t>
  </si>
  <si>
    <t xml:space="preserve">a = Client().post('/recipes/pongal/detail/', {'recipe' : '61', 'ingredient' : '122', 'name' : 'kchidi Rice ', 'mass_unit' : '2', 'mass_quantity' : '14', 'volume_unit' : '1', 'volume_quantity' : '0', 'pieces_unit' : '3', 'pieces_quantity' : '0', 'cooking_notes' : ''}).status_code; print('%s :: %s :: %s :: %s :: %s' %(a,823,'kchidi Rice ','khichadi rice','Pongal'))</t>
  </si>
  <si>
    <t xml:space="preserve">a = Client().post('/recipes/pongal/detail/', {'recipe' : '61', 'ingredient' : '147', 'name' : 'moong Daal  ', 'mass_unit' : '2', 'mass_quantity' : '7', 'volume_unit' : '1', 'volume_quantity' : '0', 'pieces_unit' : '3', 'pieces_quantity' : '0', 'cooking_notes' : ''}).status_code; print('%s :: %s :: %s :: %s :: %s' %(a,824,'moong Daal  ','moong dal','Pongal'))</t>
  </si>
  <si>
    <t xml:space="preserve">a = Client().post('/recipes/pongal/detail/', {'recipe' : '61', 'ingredient' : '81', 'name' : 'Ghee      ', 'mass_unit' : '2', 'mass_quantity' : '0', 'volume_unit' : '1', 'volume_quantity' : '2', 'pieces_unit' : '3', 'pieces_quantity' : '0', 'cooking_notes' : ''}).status_code; print('%s :: %s :: %s :: %s :: %s' %(a,825,'Ghee      ','ghee','Pongal'))</t>
  </si>
  <si>
    <t xml:space="preserve">a = Client().post('/recipes/pongal/detail/', {'recipe' : '61', 'ingredient' : '83', 'name' : 'oil(groundnut)', 'mass_unit' : '2', 'mass_quantity' : '0', 'volume_unit' : '1', 'volume_quantity' : '2.5', 'pieces_unit' : '3', 'pieces_quantity' : '0', 'cooking_notes' : ''}).status_code; print('%s :: %s :: %s :: %s :: %s' %(a,826,'oil(groundnut)','gound nut oil','Pongal'))</t>
  </si>
  <si>
    <t xml:space="preserve">a = Client().post('/recipes/pongal/detail/', {'recipe' : '61', 'ingredient' : '102', 'name' : 'jeera', 'mass_unit' : '2', 'mass_quantity' : '0', 'volume_unit' : '5', 'volume_quantity' : '2', 'pieces_unit' : '3', 'pieces_quantity' : '0', 'cooking_notes' : ''}).status_code; print('%s :: %s :: %s :: %s :: %s' %(a,827,'jeera','jeera','Pongal'))</t>
  </si>
  <si>
    <t xml:space="preserve">a = Client().post('/recipes/pongal/detail/', {'recipe' : '61', 'ingredient' : '95', 'name' : 'hing', 'mass_unit' : '2', 'mass_quantity' : '0', 'volume_unit' : '5', 'volume_quantity' : '0.5', 'pieces_unit' : '3', 'pieces_quantity' : '0', 'cooking_notes' : ''}).status_code; print('%s :: %s :: %s :: %s :: %s' %(a,828,'hing','hing','Pongal'))</t>
  </si>
  <si>
    <t xml:space="preserve">a = Client().post('/recipes/pongal/detail/', {'recipe' : '61', 'ingredient' : '107', 'name' : 'kaju', 'mass_unit' : '7', 'mass_quantity' : '500', 'volume_unit' : '1', 'volume_quantity' : '0', 'pieces_unit' : '3', 'pieces_quantity' : '0', 'cooking_notes' : ''}).status_code; print('%s :: %s :: %s :: %s :: %s' %(a,829,'kaju','kaju','Pongal'))</t>
  </si>
  <si>
    <t xml:space="preserve">a = Client().post('/recipes/pongal/detail/', {'recipe' : '61', 'ingredient' : '31', 'name' : 'black pepper akkha', 'mass_unit' : '2', 'mass_quantity' : '0', 'volume_unit' : '5', 'volume_quantity' : '1', 'pieces_unit' : '3', 'pieces_quantity' : '0', 'cooking_notes' : ''}).status_code; print('%s :: %s :: %s :: %s :: %s' %(a,830,'black pepper akkha','black pepper','Pongal'))</t>
  </si>
  <si>
    <t xml:space="preserve">a = Client().post('/recipes/pongal/detail/', {'recipe' : '61', 'ingredient' : '177', 'name' : 'salt', 'mass_unit' : '2', 'mass_quantity' : '0', 'volume_unit' : '5', 'volume_quantity' : '5', 'pieces_unit' : '3', 'pieces_quantity' : '0', 'cooking_notes' : ''}).status_code; print('%s :: %s :: %s :: %s :: %s' %(a,831,'salt','salt','Pongal'))</t>
  </si>
  <si>
    <t xml:space="preserve">/recipes/udapi-poha/detail/</t>
  </si>
  <si>
    <t xml:space="preserve">a = Client().post('/recipes/udapi-poha/detail/', {'recipe' : '82', 'ingredient' : '54', 'name' : 'coconut', 'mass_unit' : '2', 'mass_quantity' : '0', 'volume_unit' : '1', 'volume_quantity' : '0', 'pieces_unit' : '3', 'pieces_quantity' : '45', 'cooking_notes' : ''}).status_code; print('%s :: %s :: %s :: %s :: %s' %(a,833,'coconut','coconut','Udapi Poha'))</t>
  </si>
  <si>
    <t xml:space="preserve">a = Client().post('/recipes/udapi-poha/detail/', {'recipe' : '82', 'ingredient' : '22', 'name' : 'banana(elaichi)', 'mass_unit' : '2', 'mass_quantity' : '0', 'volume_unit' : '1', 'volume_quantity' : '0', 'pieces_unit' : '3', 'pieces_quantity' : '75', 'cooking_notes' : ''}).status_code; print('%s :: %s :: %s :: %s :: %s' %(a,834,'banana(elaichi)','banana','Udapi Poha'))</t>
  </si>
  <si>
    <t xml:space="preserve">a = Client().post('/recipes/udapi-poha/detail/', {'recipe' : '82', 'ingredient' : '157', 'name' : 'Patala Poha', 'mass_unit' : '2', 'mass_quantity' : '25', 'volume_unit' : '1', 'volume_quantity' : '0', 'pieces_unit' : '3', 'pieces_quantity' : '0', 'cooking_notes' : ''}).status_code; print('%s :: %s :: %s :: %s :: %s' %(a,835,'Patala Poha','patala poha','Udapi Poha'))</t>
  </si>
  <si>
    <t xml:space="preserve">a = Client().post('/recipes/udapi-poha/detail/', {'recipe' : '82', 'ingredient' : '33', 'name' : 'black til', 'mass_unit' : '2', 'mass_quantity' : '0', 'volume_unit' : '1', 'volume_quantity' : '1', 'pieces_unit' : '3', 'pieces_quantity' : '0', 'cooking_notes' : 'melt gud in hot '}).status_code; print('%s :: %s :: %s :: %s :: %s' %(a,836,'black til','black til','Udapi Poha'))</t>
  </si>
  <si>
    <t xml:space="preserve">a = Client().post('/recipes/udapi-poha/detail/', {'recipe' : '82', 'ingredient' : '206', 'name' : 'white til', 'mass_unit' : '2', 'mass_quantity' : '0', 'volume_unit' : '1', 'volume_quantity' : '1', 'pieces_unit' : '3', 'pieces_quantity' : '0', 'cooking_notes' : 'ghee,add coconut,'}).status_code; print('%s :: %s :: %s :: %s :: %s' %(a,837,'white til','white til','Udapi Poha'))</t>
  </si>
  <si>
    <t xml:space="preserve">a = Client().post('/recipes/udapi-poha/detail/', {'recipe' : '82', 'ingredient' : '81', 'name' : 'ghee', 'mass_unit' : '2', 'mass_quantity' : '0', 'volume_unit' : '1', 'volume_quantity' : '1', 'pieces_unit' : '3', 'pieces_quantity' : '0', 'cooking_notes' : 'poha,til,honey,elichi'}).status_code; print('%s :: %s :: %s :: %s :: %s' %(a,838,'ghee','ghee','Udapi Poha'))</t>
  </si>
  <si>
    <t xml:space="preserve">a = Client().post('/recipes/udapi-poha/detail/', {'recipe' : '82', 'ingredient' : '90', 'name' : 'jaggary', 'mass_unit' : '2', 'mass_quantity' : '15', 'volume_unit' : '1', 'volume_quantity' : '0', 'pieces_unit' : '3', 'pieces_quantity' : '0', 'cooking_notes' : 'powdre.add banana '}).status_code; print('%s :: %s :: %s :: %s :: %s' %(a,839,'jaggary','gud','Udapi Poha'))</t>
  </si>
  <si>
    <t xml:space="preserve">a = Client().post('/recipes/udapi-poha/detail/', {'recipe' : '82', 'ingredient' : '96', 'name' : 'honey', 'mass_unit' : '7', 'mass_quantity' : '500', 'volume_unit' : '1', 'volume_quantity' : '0', 'pieces_unit' : '3', 'pieces_quantity' : '0', 'cooking_notes' : 'at end.(roast til'}).status_code; print('%s :: %s :: %s :: %s :: %s' %(a,840,'honey','honey','Udapi Poha'))</t>
  </si>
  <si>
    <t xml:space="preserve">a = Client().post('/recipes/udapi-poha/detail/', {'recipe' : '82', 'ingredient' : '71', 'name' : 'elaichi powder', 'mass_unit' : '2', 'mass_quantity' : '0', 'volume_unit' : '5', 'volume_quantity' : '1.5', 'pieces_unit' : '3', 'pieces_quantity' : '0', 'cooking_notes' : 'before adding)'}).status_code; print('%s :: %s :: %s :: %s :: %s' %(a,841,'elaichi powder','elaichi powder','Udapi Poha'))</t>
  </si>
  <si>
    <t xml:space="preserve">/recipes/lapsi/detail/</t>
  </si>
  <si>
    <t xml:space="preserve">a = Client().post('/recipes/lapsi/detail/', {'recipe' : '41', 'ingredient' : '79', 'name' : 'Gajar', 'mass_unit' : '2', 'mass_quantity' : '6', 'volume_unit' : '1', 'volume_quantity' : '0', 'pieces_unit' : '3', 'pieces_quantity' : '0', 'cooking_notes' : ''}).status_code; print('%s :: %s :: %s :: %s :: %s' %(a,843,'Gajar','gajar','Lapsi'))</t>
  </si>
  <si>
    <t xml:space="preserve">a = Client().post('/recipes/lapsi/detail/', {'recipe' : '41', 'ingredient' : '27', 'name' : 'beans( optional when rate is low)', 'mass_unit' : '2', 'mass_quantity' : '5', 'volume_unit' : '1', 'volume_quantity' : '0', 'pieces_unit' : '3', 'pieces_quantity' : '0', 'cooking_notes' : ''}).status_code; print('%s :: %s :: %s :: %s :: %s' %(a,844,'beans( optional when rate is low)','beans','Lapsi'))</t>
  </si>
  <si>
    <t xml:space="preserve">a = Client().post('/recipes/lapsi/detail/', {'recipe' : '41', 'ingredient' : '88', 'name' : 'Green Peas', 'mass_unit' : '2', 'mass_quantity' : '6', 'volume_unit' : '1', 'volume_quantity' : '0', 'pieces_unit' : '3', 'pieces_quantity' : '0', 'cooking_notes' : ''}).status_code; print('%s :: %s :: %s :: %s :: %s' %(a,845,'Green Peas','green peas','Lapsi'))</t>
  </si>
  <si>
    <t xml:space="preserve">a = Client().post('/recipes/lapsi/detail/', {'recipe' : '41', 'ingredient' : '8', 'name' : 'Alu', 'mass_unit' : '2', 'mass_quantity' : '5', 'volume_unit' : '1', 'volume_quantity' : '0', 'pieces_unit' : '3', 'pieces_quantity' : '0', 'cooking_notes' : ''}).status_code; print('%s :: %s :: %s :: %s :: %s' %(a,846,'Alu','alu','Lapsi'))</t>
  </si>
  <si>
    <t xml:space="preserve">a = Client().post('/recipes/lapsi/detail/', {'recipe' : '41', 'ingredient' : '195', 'name' : 'Tomato', 'mass_unit' : '2', 'mass_quantity' : '5', 'volume_unit' : '1', 'volume_quantity' : '0', 'pieces_unit' : '3', 'pieces_quantity' : '0', 'cooking_notes' : ''}).status_code; print('%s :: %s :: %s :: %s :: %s' %(a,847,'Tomato','tomato','Lapsi'))</t>
  </si>
  <si>
    <t xml:space="preserve">a = Client().post('/recipes/lapsi/detail/', {'recipe' : '41', 'ingredient' : '93', 'name' : 'green chilly', 'mass_unit' : '2', 'mass_quantity' : '0', 'volume_unit' : '1', 'volume_quantity' : '1', 'pieces_unit' : '3', 'pieces_quantity' : '0', 'cooking_notes' : ''}).status_code; print('%s :: %s :: %s :: %s :: %s' %(a,848,'green chilly','hari mirchi','Lapsi'))</t>
  </si>
  <si>
    <t xml:space="preserve">a = Client().post('/recipes/lapsi/detail/', {'recipe' : '41', 'ingredient' : '66', 'name' : 'Dhania patta', 'mass_unit' : '2', 'mass_quantity' : '0', 'volume_unit' : '1', 'volume_quantity' : '3', 'pieces_unit' : '3', 'pieces_quantity' : '0', 'cooking_notes' : ''}).status_code; print('%s :: %s :: %s :: %s :: %s' %(a,849,'Dhania patta','dhaniya patta','Lapsi'))</t>
  </si>
  <si>
    <t xml:space="preserve">a = Client().post('/recipes/lapsi/detail/', {'recipe' : '41', 'ingredient' : '1', 'name' : 'ginger', 'mass_unit' : '2', 'mass_quantity' : '0', 'volume_unit' : '1', 'volume_quantity' : '0.5', 'pieces_unit' : '3', 'pieces_quantity' : '0', 'cooking_notes' : ''}).status_code; print('%s :: %s :: %s :: %s :: %s' %(a,850,'ginger','adrak','Lapsi'))</t>
  </si>
  <si>
    <t xml:space="preserve">a = Client().post('/recipes/lapsi/detail/', {'recipe' : '41', 'ingredient' : '105', 'name' : 'kadipatta', 'mass_unit' : '2', 'mass_quantity' : '0', 'volume_unit' : '1', 'volume_quantity' : '1', 'pieces_unit' : '3', 'pieces_quantity' : '0', 'cooking_notes' : ''}).status_code; print('%s :: %s :: %s :: %s :: %s' %(a,851,'kadipatta','kadi patta','Lapsi'))</t>
  </si>
  <si>
    <t xml:space="preserve">a = Client().post('/recipes/lapsi/detail/', {'recipe' : '41', 'ingredient' : '97', 'name' : 'hot water', 'mass_unit' : '2', 'mass_quantity' : '0', 'volume_unit' : '1', 'volume_quantity' : '80', 'pieces_unit' : '3', 'pieces_quantity' : '0', 'cooking_notes' : ''}).status_code; print('%s :: %s :: %s :: %s :: %s' %(a,852,'hot water','hot water','Lapsi'))</t>
  </si>
  <si>
    <t xml:space="preserve">a = Client().post('/recipes/lapsi/detail/', {'recipe' : '41', 'ingredient' : '127', 'name' : 'Lapsi', 'mass_unit' : '2', 'mass_quantity' : '25', 'volume_unit' : '1', 'volume_quantity' : '0', 'pieces_unit' : '3', 'pieces_quantity' : '0', 'cooking_notes' : ''}).status_code; print('%s :: %s :: %s :: %s :: %s' %(a,853,'Lapsi','lapsi','Lapsi'))</t>
  </si>
  <si>
    <t xml:space="preserve">a = Client().post('/recipes/lapsi/detail/', {'recipe' : '41', 'ingredient' : '83', 'name' : 'oil(groundnut)', 'mass_unit' : '2', 'mass_quantity' : '0', 'volume_unit' : '1', 'volume_quantity' : '5', 'pieces_unit' : '3', 'pieces_quantity' : '0', 'cooking_notes' : ''}).status_code; print('%s :: %s :: %s :: %s :: %s' %(a,854,'oil(groundnut)','gound nut oil','Lapsi'))</t>
  </si>
  <si>
    <t xml:space="preserve">a = Client().post('/recipes/lapsi/detail/', {'recipe' : '41', 'ingredient' : '164', 'name' : 'Rai', 'mass_unit' : '2', 'mass_quantity' : '0', 'volume_unit' : '5', 'volume_quantity' : '2', 'pieces_unit' : '3', 'pieces_quantity' : '0', 'cooking_notes' : ''}).status_code; print('%s :: %s :: %s :: %s :: %s' %(a,855,'Rai','rai','Lapsi'))</t>
  </si>
  <si>
    <t xml:space="preserve">a = Client().post('/recipes/lapsi/detail/', {'recipe' : '41', 'ingredient' : '102', 'name' : 'Jeera', 'mass_unit' : '2', 'mass_quantity' : '0', 'volume_unit' : '5', 'volume_quantity' : '2', 'pieces_unit' : '3', 'pieces_quantity' : '0', 'cooking_notes' : ''}).status_code; print('%s :: %s :: %s :: %s :: %s' %(a,856,'Jeera','jeera','Lapsi'))</t>
  </si>
  <si>
    <t xml:space="preserve">a = Client().post('/recipes/lapsi/detail/', {'recipe' : '41', 'ingredient' : '18', 'name' : 'badsah pulav masala', 'mass_unit' : '2', 'mass_quantity' : '0', 'volume_unit' : '5', 'volume_quantity' : '2.5', 'pieces_unit' : '3', 'pieces_quantity' : '0', 'cooking_notes' : ''}).status_code; print('%s :: %s :: %s :: %s :: %s' %(a,857,'badsah pulav masala','badsah pulav masala','Lapsi'))</t>
  </si>
  <si>
    <t xml:space="preserve">a = Client().post('/recipes/lapsi/detail/', {'recipe' : '41', 'ingredient' : '91', 'name' : 'haldi', 'mass_unit' : '2', 'mass_quantity' : '0', 'volume_unit' : '5', 'volume_quantity' : '1', 'pieces_unit' : '3', 'pieces_quantity' : '0', 'cooking_notes' : ''}).status_code; print('%s :: %s :: %s :: %s :: %s' %(a,858,'haldi','haldi','Lapsi'))</t>
  </si>
  <si>
    <t xml:space="preserve">a = Client().post('/recipes/lapsi/detail/', {'recipe' : '41', 'ingredient' : '117', 'name' : 'kashmiri chili powdre', 'mass_unit' : '2', 'mass_quantity' : '0', 'volume_unit' : '5', 'volume_quantity' : '0.5', 'pieces_unit' : '3', 'pieces_quantity' : '0', 'cooking_notes' : ''}).status_code; print('%s :: %s :: %s :: %s :: %s' %(a,859,'kashmiri chili powdre','kashmiri chilly powder','Lapsi'))</t>
  </si>
  <si>
    <t xml:space="preserve">a = Client().post('/recipes/lapsi/detail/', {'recipe' : '41', 'ingredient' : '134', 'name' : 'madrasi chili akkha', 'mass_unit' : '2', 'mass_quantity' : '0', 'volume_unit' : '1', 'volume_quantity' : '0.5', 'pieces_unit' : '3', 'pieces_quantity' : '0', 'cooking_notes' : ''}).status_code; print('%s :: %s :: %s :: %s :: %s' %(a,860,'madrasi chili akkha','madrasi mirchi akkaha','Lapsi'))</t>
  </si>
  <si>
    <t xml:space="preserve">a = Client().post('/recipes/lapsi/detail/', {'recipe' : '41', 'ingredient' : '95', 'name' : 'hing', 'mass_unit' : '2', 'mass_quantity' : '0', 'volume_unit' : '5', 'volume_quantity' : '0.5', 'pieces_unit' : '3', 'pieces_quantity' : '0', 'cooking_notes' : ''}).status_code; print('%s :: %s :: %s :: %s :: %s' %(a,861,'hing','hing','Lapsi'))</t>
  </si>
  <si>
    <t xml:space="preserve">a = Client().post('/recipes/lapsi/detail/', {'recipe' : '41', 'ingredient' : '177', 'name' : 'salt', 'mass_unit' : '2', 'mass_quantity' : '0', 'volume_unit' : '5', 'volume_quantity' : '0.5', 'pieces_unit' : '3', 'pieces_quantity' : '0', 'cooking_notes' : ''}).status_code; print('%s :: %s :: %s :: %s :: %s' %(a,862,'salt','salt','Lapsi'))</t>
  </si>
  <si>
    <t xml:space="preserve">/recipes/noodles/detail/</t>
  </si>
  <si>
    <t xml:space="preserve">a = Client().post('/recipes/noodles/detail/', {'recipe' : '52', 'ingredient' : '39', 'name' : 'cabbage', 'mass_unit' : '2', 'mass_quantity' : '5', 'volume_unit' : '1', 'volume_quantity' : '0', 'pieces_unit' : '3', 'pieces_quantity' : '0', 'cooking_notes' : '6 kg cookd noodles= 1 dabba=50 people'}).status_code; print('%s :: %s :: %s :: %s :: %s' %(a,864,'cabbage','cabbage','Noodles'))</t>
  </si>
  <si>
    <t xml:space="preserve">a = Client().post('/recipes/noodles/detail/', {'recipe' : '52', 'ingredient' : '42', 'name' : 'capcicum', 'mass_unit' : '2', 'mass_quantity' : '5', 'volume_unit' : '1', 'volume_quantity' : '0', 'pieces_unit' : '3', 'pieces_quantity' : '0', 'cooking_notes' : 'fresh tomato sauce(boil tomato,pury and roast in khadi fro 20 min)'}).status_code; print('%s :: %s :: %s :: %s :: %s' %(a,865,'capcicum','capsicum','Noodles'))</t>
  </si>
  <si>
    <t xml:space="preserve">a = Client().post('/recipes/noodles/detail/', {'recipe' : '52', 'ingredient' : '79', 'name' : 'gajar', 'mass_unit' : '2', 'mass_quantity' : '5', 'volume_unit' : '1', 'volume_quantity' : '0', 'pieces_unit' : '3', 'pieces_quantity' : '0', 'cooking_notes' : 'add all masala,lemon juice in choke after sabji is cooked'}).status_code; print('%s :: %s :: %s :: %s :: %s' %(a,866,'gajar','gajar','Noodles'))</t>
  </si>
  <si>
    <t xml:space="preserve">a = Client().post('/recipes/noodles/detail/', {'recipe' : '52', 'ingredient' : '27', 'name' : 'beans', 'mass_unit' : '2', 'mass_quantity' : '5', 'volume_unit' : '1', 'volume_quantity' : '0', 'pieces_unit' : '3', 'pieces_quantity' : '0', 'cooking_notes' : ''}).status_code; print('%s :: %s :: %s :: %s :: %s' %(a,867,'beans','beans','Noodles'))</t>
  </si>
  <si>
    <t xml:space="preserve">a = Client().post('/recipes/noodles/detail/', {'recipe' : '52', 'ingredient' : '93', 'name' : 'green chili ( chopp )', 'mass_unit' : '2', 'mass_quantity' : '0', 'volume_unit' : '1', 'volume_quantity' : '1.25', 'pieces_unit' : '3', 'pieces_quantity' : '0', 'cooking_notes' : ''}).status_code; print('%s :: %s :: %s :: %s :: %s' %(a,868,'green chili ( chopp )','hari mirchi','Noodles'))</t>
  </si>
  <si>
    <t xml:space="preserve">a = Client().post('/recipes/noodles/detail/', {'recipe' : '52', 'ingredient' : '1', 'name' : 'adrak (grate in morning)', 'mass_unit' : '2', 'mass_quantity' : '0', 'volume_unit' : '1', 'volume_quantity' : '2', 'pieces_unit' : '3', 'pieces_quantity' : '0', 'cooking_notes' : ''}).status_code; print('%s :: %s :: %s :: %s :: %s' %(a,869,'adrak (grate in morning)','adrak','Noodles'))</t>
  </si>
  <si>
    <t xml:space="preserve">a = Client().post('/recipes/noodles/detail/', {'recipe' : '52', 'ingredient' : '129', 'name' : 'lemon juice', 'mass_unit' : '2', 'mass_quantity' : '0', 'volume_unit' : '5', 'volume_quantity' : '2', 'pieces_unit' : '3', 'pieces_quantity' : '0', 'cooking_notes' : ''}).status_code; print('%s :: %s :: %s :: %s :: %s' %(a,870,'lemon juice','lemon','Noodles'))</t>
  </si>
  <si>
    <t xml:space="preserve">a = Client().post('/recipes/noodles/detail/', {'recipe' : '52', 'ingredient' : '195', 'name' : 'tomato', 'mass_unit' : '2', 'mass_quantity' : '15', 'volume_unit' : '1', 'volume_quantity' : '0', 'pieces_unit' : '3', 'pieces_quantity' : '0', 'cooking_notes' : ''}).status_code; print('%s :: %s :: %s :: %s :: %s' %(a,871,'tomato','tomato','Noodles'))</t>
  </si>
  <si>
    <t xml:space="preserve">a = Client().post('/recipes/noodles/detail/', {'recipe' : '52', 'ingredient' : '222', 'name' : 'masala for 6 kg batch', 'mass_unit' : '2', 'mass_quantity' : '6', 'volume_unit' : '1', 'volume_quantity' : '1.5', 'pieces_unit' : '3', 'pieces_quantity' : '0', 'cooking_notes' : ''}).status_code; print('%s :: %s :: %s :: %s :: %s' %(a,872,'masala for 6 kg batch','masala for 6 kg batch','Noodles'))</t>
  </si>
  <si>
    <t xml:space="preserve">a = Client().post('/recipes/noodles/detail/', {'recipe' : '52', 'ingredient' : '196', 'name' : 'fresh tomato sauce', 'mass_unit' : '2', 'mass_quantity' : '6', 'volume_unit' : '5', 'volume_quantity' : '1', 'pieces_unit' : '3', 'pieces_quantity' : '0', 'cooking_notes' : ''}).status_code; print('%s :: %s :: %s :: %s :: %s' %(a,873,'fresh tomato sauce','tomato sauce','Noodles'))</t>
  </si>
  <si>
    <t xml:space="preserve">a = Client().post('/recipes/noodles/detail/', {'recipe' : '52', 'ingredient' : '185', 'name' : 'soya sauce', 'mass_unit' : '2', 'mass_quantity' : '6', 'volume_unit' : '1', 'volume_quantity' : '0', 'pieces_unit' : '3', 'pieces_quantity' : '0', 'cooking_notes' : ''}).status_code; print('%s :: %s :: %s :: %s :: %s' %(a,874,'soya sauce','soya sauce','Noodles'))</t>
  </si>
  <si>
    <t xml:space="preserve">a = Client().post('/recipes/noodles/detail/', {'recipe' : '52', 'ingredient' : '151', 'name' : 'noodles', 'mass_unit' : '2', 'mass_quantity' : '0', 'volume_unit' : '1', 'volume_quantity' : '1.25', 'pieces_unit' : '3', 'pieces_quantity' : '0', 'cooking_notes' : ''}).status_code; print('%s :: %s :: %s :: %s :: %s' %(a,875,'noodles','noodles','Noodles'))</t>
  </si>
  <si>
    <t xml:space="preserve">a = Client().post('/recipes/noodles/detail/', {'recipe' : '52', 'ingredient' : '89', 'name' : 'ground nut oil', 'mass_unit' : '2', 'mass_quantity' : '6', 'volume_unit' : '1', 'volume_quantity' : '0.5', 'pieces_unit' : '3', 'pieces_quantity' : '0', 'cooking_notes' : ''}).status_code; print('%s :: %s :: %s :: %s :: %s' %(a,876,'ground nut oil','ground nut oil','Noodles'))</t>
  </si>
  <si>
    <t xml:space="preserve">a = Client().post('/recipes/noodles/detail/', {'recipe' : '52', 'ingredient' : '205', 'name' : 'white pepper powder', 'mass_unit' : '2', 'mass_quantity' : '0', 'volume_unit' : '5', 'volume_quantity' : '1.5', 'pieces_unit' : '3', 'pieces_quantity' : '0', 'cooking_notes' : ''}).status_code; print('%s :: %s :: %s :: %s :: %s' %(a,877,'white pepper powder','white pepper powder','Noodles'))</t>
  </si>
  <si>
    <t xml:space="preserve">a = Client().post('/recipes/noodles/detail/', {'recipe' : '52', 'ingredient' : '177', 'name' : 'salt ', 'mass_unit' : '2', 'mass_quantity' : '0', 'volume_unit' : '5', 'volume_quantity' : '0.2', 'pieces_unit' : '3', 'pieces_quantity' : '0', 'cooking_notes' : ''}).status_code; print('%s :: %s :: %s :: %s :: %s' %(a,878,'salt ','salt','Noodles'))</t>
  </si>
  <si>
    <t xml:space="preserve">a = Client().post('/recipes/noodles/detail/', {'recipe' : '52', 'ingredient' : '31', 'name' : 'black pepper powder', 'mass_unit' : '2', 'mass_quantity' : '0', 'volume_unit' : '5', 'volume_quantity' : '1', 'pieces_unit' : '3', 'pieces_quantity' : '0', 'cooking_notes' : ''}).status_code; print('%s :: %s :: %s :: %s :: %s' %(a,879,'black pepper powder','black pepper','Noodles'))</t>
  </si>
  <si>
    <t xml:space="preserve">a = Client().post('/recipes/noodles/detail/', {'recipe' : '52', 'ingredient' : '37', 'name' : 'brown sugar', 'mass_unit' : '2', 'mass_quantity' : '0', 'volume_unit' : '1', 'volume_quantity' : '0', 'pieces_unit' : '3', 'pieces_quantity' : '0', 'cooking_notes' : ''}).status_code; print('%s :: %s :: %s :: %s :: %s' %(a,880,'brown sugar','brown sugar','Noodles'))</t>
  </si>
  <si>
    <t xml:space="preserve">/recipes/usal-pav/detail/</t>
  </si>
  <si>
    <t xml:space="preserve">a = Client().post('/recipes/usal-pav/detail/', {'recipe' : '84', 'ingredient' : '195', 'name' : 'tomato(med jali)', 'mass_unit' : '2', 'mass_quantity' : '7', 'volume_unit' : '1', 'volume_quantity' : '0', 'pieces_unit' : '3', 'pieces_quantity' : '0', 'cooking_notes' : ''}).status_code; print('%s :: %s :: %s :: %s :: %s' %(a,882,'tomato(med jali)','tomato','Usal Pav'))</t>
  </si>
  <si>
    <t xml:space="preserve">a = Client().post('/recipes/usal-pav/detail/', {'recipe' : '84', 'ingredient' : '54', 'name' : 'coconut', 'mass_unit' : '2', 'mass_quantity' : '0', 'volume_unit' : '1', 'volume_quantity' : '0', 'pieces_unit' : '3', 'pieces_quantity' : '8', 'cooking_notes' : ''}).status_code; print('%s :: %s :: %s :: %s :: %s' %(a,883,'coconut','coconut','Usal Pav'))</t>
  </si>
  <si>
    <t xml:space="preserve">a = Client().post('/recipes/usal-pav/detail/', {'recipe' : '84', 'ingredient' : '129', 'name' : 'lemon ', 'mass_unit' : '2', 'mass_quantity' : '0', 'volume_unit' : '1', 'volume_quantity' : '0', 'pieces_unit' : '3', 'pieces_quantity' : '20', 'cooking_notes' : ''}).status_code; print('%s :: %s :: %s :: %s :: %s' %(a,884,'lemon ','lemon','Usal Pav'))</t>
  </si>
  <si>
    <t xml:space="preserve">a = Client().post('/recipes/usal-pav/detail/', {'recipe' : '84', 'ingredient' : '83', 'name' : 'oil', 'mass_unit' : '2', 'mass_quantity' : '0', 'volume_unit' : '1', 'volume_quantity' : '2', 'pieces_unit' : '3', 'pieces_quantity' : '0', 'cooking_notes' : ''}).status_code; print('%s :: %s :: %s :: %s :: %s' %(a,887,'oil','gound nut oil','Usal Pav'))</t>
  </si>
  <si>
    <t xml:space="preserve">a = Client().post('/recipes/usal-pav/detail/', {'recipe' : '84', 'ingredient' : '191', 'name' : 'tejpatta', 'mass_unit' : '2', 'mass_quantity' : '0', 'volume_unit' : '5', 'volume_quantity' : '2', 'pieces_unit' : '3', 'pieces_quantity' : '0', 'cooking_notes' : ''}).status_code; print('%s :: %s :: %s :: %s :: %s' %(a,888,'tejpatta','tej patta','Usal Pav'))</t>
  </si>
  <si>
    <t xml:space="preserve">a = Client().post('/recipes/usal-pav/detail/', {'recipe' : '84', 'ingredient' : '164', 'name' : 'rai', 'mass_unit' : '2', 'mass_quantity' : '0', 'volume_unit' : '1', 'volume_quantity' : '0.75', 'pieces_unit' : '3', 'pieces_quantity' : '0', 'cooking_notes' : ''}).status_code; print('%s :: %s :: %s :: %s :: %s' %(a,889,'rai','rai','Usal Pav'))</t>
  </si>
  <si>
    <t xml:space="preserve">a = Client().post('/recipes/usal-pav/detail/', {'recipe' : '84', 'ingredient' : '102', 'name' : 'jeera', 'mass_unit' : '2', 'mass_quantity' : '0', 'volume_unit' : '1', 'volume_quantity' : '1', 'pieces_unit' : '3', 'pieces_quantity' : '0', 'cooking_notes' : ''}).status_code; print('%s :: %s :: %s :: %s :: %s' %(a,890,'jeera','jeera','Usal Pav'))</t>
  </si>
  <si>
    <t xml:space="preserve">a = Client().post('/recipes/usal-pav/detail/', {'recipe' : '84', 'ingredient' : '95', 'name' : 'hing', 'mass_unit' : '2', 'mass_quantity' : '0', 'volume_unit' : '5', 'volume_quantity' : '0.75', 'pieces_unit' : '3', 'pieces_quantity' : '0', 'cooking_notes' : ''}).status_code; print('%s :: %s :: %s :: %s :: %s' %(a,891,'hing','hing','Usal Pav'))</t>
  </si>
  <si>
    <t xml:space="preserve">a = Client().post('/recipes/usal-pav/detail/', {'recipe' : '84', 'ingredient' : '1', 'name' : 'adrak', 'mass_unit' : '2', 'mass_quantity' : '0', 'volume_unit' : '1', 'volume_quantity' : '0.75', 'pieces_unit' : '3', 'pieces_quantity' : '0', 'cooking_notes' : ''}).status_code; print('%s :: %s :: %s :: %s :: %s' %(a,892,'adrak','adrak','Usal Pav'))</t>
  </si>
  <si>
    <t xml:space="preserve">a = Client().post('/recipes/usal-pav/detail/', {'recipe' : '84', 'ingredient' : '91', 'name' : 'haldi', 'mass_unit' : '2', 'mass_quantity' : '0', 'volume_unit' : '5', 'volume_quantity' : '1.5', 'pieces_unit' : '3', 'pieces_quantity' : '0', 'cooking_notes' : ''}).status_code; print('%s :: %s :: %s :: %s :: %s' %(a,893,'haldi','haldi','Usal Pav'))</t>
  </si>
  <si>
    <t xml:space="preserve">a = Client().post('/recipes/usal-pav/detail/', {'recipe' : '84', 'ingredient' : '67', 'name' : 'dhania powder', 'mass_unit' : '2', 'mass_quantity' : '0', 'volume_unit' : '5', 'volume_quantity' : '2', 'pieces_unit' : '3', 'pieces_quantity' : '0', 'cooking_notes' : ''}).status_code; print('%s :: %s :: %s :: %s :: %s' %(a,894,'dhania powder','dhaniya powder','Usal Pav'))</t>
  </si>
  <si>
    <t xml:space="preserve">a = Client().post('/recipes/usal-pav/detail/', {'recipe' : '84', 'ingredient' : '103', 'name' : 'jeera powder', 'mass_unit' : '2', 'mass_quantity' : '0', 'volume_unit' : '5', 'volume_quantity' : '0.75', 'pieces_unit' : '3', 'pieces_quantity' : '0', 'cooking_notes' : ''}).status_code; print('%s :: %s :: %s :: %s :: %s' %(a,895,'jeera powder','jeera powder','Usal Pav'))</t>
  </si>
  <si>
    <t xml:space="preserve">a = Client().post('/recipes/usal-pav/detail/', {'recipe' : '84', 'ingredient' : '117', 'name' : 'kashmiri mirchi powder', 'mass_unit' : '2', 'mass_quantity' : '0', 'volume_unit' : '5', 'volume_quantity' : '1', 'pieces_unit' : '3', 'pieces_quantity' : '0', 'cooking_notes' : ''}).status_code; print('%s :: %s :: %s :: %s :: %s' %(a,896,'kashmiri mirchi powder','kashmiri chilly powder','Usal Pav'))</t>
  </si>
  <si>
    <t xml:space="preserve">a = Client().post('/recipes/usal-pav/detail/', {'recipe' : '84', 'ingredient' : '125', 'name' : 'kubal usam masala', 'mass_unit' : '2', 'mass_quantity' : '0', 'volume_unit' : '1', 'volume_quantity' : '1', 'pieces_unit' : '3', 'pieces_quantity' : '0', 'cooking_notes' : ''}).status_code; print('%s :: %s :: %s :: %s :: %s' %(a,897,'kubal usam masala','kubal usal masala','Usal Pav'))</t>
  </si>
  <si>
    <t xml:space="preserve">a = Client().post('/recipes/usal-pav/detail/', {'recipe' : '84', 'ingredient' : '187', 'name' : 'sugar', 'mass_unit' : '2', 'mass_quantity' : '0', 'volume_unit' : '5', 'volume_quantity' : '1.5', 'pieces_unit' : '3', 'pieces_quantity' : '0', 'cooking_notes' : ''}).status_code; print('%s :: %s :: %s :: %s :: %s' %(a,898,'sugar','sugar','Usal Pav'))</t>
  </si>
  <si>
    <t xml:space="preserve">a = Client().post('/recipes/usal-pav/detail/', {'recipe' : '84', 'ingredient' : '177', 'name' : 'salt', 'mass_unit' : '2', 'mass_quantity' : '0', 'volume_unit' : '5', 'volume_quantity' : '6', 'pieces_unit' : '3', 'pieces_quantity' : '0', 'cooking_notes' : ''}).status_code; print('%s :: %s :: %s :: %s :: %s' %(a,899,'salt','salt','Usal Pav'))</t>
  </si>
  <si>
    <t xml:space="preserve">/recipes/idli/detail/</t>
  </si>
  <si>
    <t xml:space="preserve">a = Client().post('/recipes/idli/detail/', {'recipe' : '31', 'ingredient' : '170', 'name' : 'RICE', 'mass_unit' : '2', 'mass_quantity' : '24.75', 'volume_unit' : '1', 'volume_quantity' : '0', 'pieces_unit' : '3', 'pieces_quantity' : '0', 'cooking_notes' : ''}).status_code; print('%s :: %s :: %s :: %s :: %s' %(a,901,'RICE','rice','Idli'))</t>
  </si>
  <si>
    <t xml:space="preserve">a = Client().post('/recipes/idli/detail/', {'recipe' : '31', 'ingredient' : '200', 'name' : 'urad dal', 'mass_unit' : '2', 'mass_quantity' : '4.5', 'volume_unit' : '1', 'volume_quantity' : '0', 'pieces_unit' : '3', 'pieces_quantity' : '0', 'cooking_notes' : 'add salt in dough only in winter or cold rainy season-to increase heat and fermentation; dont use salt in summer or hot rainy season'}).status_code; print('%s :: %s :: %s :: %s :: %s' %(a,902,'urad dal','urad dal','Idli'))</t>
  </si>
  <si>
    <t xml:space="preserve">a = Client().post('/recipes/idli/detail/', {'recipe' : '31', 'ingredient' : '177', 'name' : 'salt', 'mass_unit' : '7', 'mass_quantity' : '500', 'volume_unit' : '1', 'volume_quantity' : '0', 'pieces_unit' : '3', 'pieces_quantity' : '0', 'cooking_notes' : ''}).status_code; print('%s :: %s :: %s :: %s :: %s' %(a,903,'salt','salt','Idli'))</t>
  </si>
  <si>
    <t xml:space="preserve">/recipes/sambar/detail/</t>
  </si>
  <si>
    <t xml:space="preserve">a = Client().post('/recipes/sambar/detail/', {'recipe' : '69', 'ingredient' : '54', 'name' : 'coconut', 'mass_unit' : '2', 'mass_quantity' : '6', 'volume_unit' : '1', 'volume_quantity' : '0', 'pieces_unit' : '3', 'pieces_quantity' : '0', 'cooking_notes' : ''}).status_code; print('%s :: %s :: %s :: %s :: %s' %(a,905,'coconut','coconut','Sambar'))</t>
  </si>
  <si>
    <t xml:space="preserve">a = Client().post('/recipes/sambar/detail/', {'recipe' : '69', 'ingredient' : '68', 'name' : 'drum stick', 'mass_unit' : '2', 'mass_quantity' : '2', 'volume_unit' : '1', 'volume_quantity' : '0', 'pieces_unit' : '3', 'pieces_quantity' : '0', 'cooking_notes' : ''}).status_code; print('%s :: %s :: %s :: %s :: %s' %(a,906,'drum stick','drum stick','Sambar'))</t>
  </si>
  <si>
    <t xml:space="preserve">a = Client().post('/recipes/sambar/detail/', {'recipe' : '69', 'ingredient' : '149', 'name' : 'mugi', 'mass_unit' : '2', 'mass_quantity' : '2', 'volume_unit' : '1', 'volume_quantity' : '0', 'pieces_unit' : '3', 'pieces_quantity' : '0', 'cooking_notes' : ''}).status_code; print('%s :: %s :: %s :: %s :: %s' %(a,907,'mugi','mugi','Sambar'))</t>
  </si>
  <si>
    <t xml:space="preserve">a = Client().post('/recipes/sambar/detail/', {'recipe' : '69', 'ingredient' : '30', 'name' : 'bhopla', 'mass_unit' : '2', 'mass_quantity' : '3', 'volume_unit' : '1', 'volume_quantity' : '0', 'pieces_unit' : '3', 'pieces_quantity' : '0', 'cooking_notes' : ''}).status_code; print('%s :: %s :: %s :: %s :: %s' %(a,908,'bhopla','bhopla','Sambar'))</t>
  </si>
  <si>
    <t xml:space="preserve">a = Client().post('/recipes/sambar/detail/', {'recipe' : '69', 'ingredient' : '8', 'name' : 'potato', 'mass_unit' : '2', 'mass_quantity' : '2', 'volume_unit' : '1', 'volume_quantity' : '0', 'pieces_unit' : '3', 'pieces_quantity' : '0', 'cooking_notes' : ''}).status_code; print('%s :: %s :: %s :: %s :: %s' %(a,909,'potato','alu','Sambar'))</t>
  </si>
  <si>
    <t xml:space="preserve">a = Client().post('/recipes/sambar/detail/', {'recipe' : '69', 'ingredient' : '105', 'name' : 'kadipatta', 'mass_unit' : '2', 'mass_quantity' : '0', 'volume_unit' : '1', 'volume_quantity' : '1', 'pieces_unit' : '3', 'pieces_quantity' : '0', 'cooking_notes' : ''}).status_code; print('%s :: %s :: %s :: %s :: %s' %(a,910,'kadipatta','kadi patta','Sambar'))</t>
  </si>
  <si>
    <t xml:space="preserve">a = Client().post('/recipes/sambar/detail/', {'recipe' : '69', 'ingredient' : '195', 'name' : 'tomato', 'mass_unit' : '2', 'mass_quantity' : '2', 'volume_unit' : '1', 'volume_quantity' : '0', 'pieces_unit' : '3', 'pieces_quantity' : '0', 'cooking_notes' : ''}).status_code; print('%s :: %s :: %s :: %s :: %s' %(a,911,'tomato','tomato','Sambar'))</t>
  </si>
  <si>
    <t xml:space="preserve">a = Client().post('/recipes/sambar/detail/', {'recipe' : '69', 'ingredient' : '198', 'name' : 'tur dal', 'mass_unit' : '2', 'mass_quantity' : '2', 'volume_unit' : '1', 'volume_quantity' : '0', 'pieces_unit' : '3', 'pieces_quantity' : '0', 'cooking_notes' : ''}).status_code; print('%s :: %s :: %s :: %s :: %s' %(a,912,'tur dal','tur dal','Sambar'))</t>
  </si>
  <si>
    <t xml:space="preserve">a = Client().post('/recipes/sambar/detail/', {'recipe' : '69', 'ingredient' : '98', 'name' : 'imli', 'mass_unit' : '7', 'mass_quantity' : '300', 'volume_unit' : '1', 'volume_quantity' : '0', 'pieces_unit' : '3', 'pieces_quantity' : '0', 'cooking_notes' : ''}).status_code; print('%s :: %s :: %s :: %s :: %s' %(a,913,'imli','imli','Sambar'))</t>
  </si>
  <si>
    <t xml:space="preserve">a = Client().post('/recipes/sambar/detail/', {'recipe' : '69', 'ingredient' : '91', 'name' : 'haldi', 'mass_unit' : '2', 'mass_quantity' : '0', 'volume_unit' : '5', 'volume_quantity' : '0.5', 'pieces_unit' : '3', 'pieces_quantity' : '0', 'cooking_notes' : ''}).status_code; print('%s :: %s :: %s :: %s :: %s' %(a,914,'haldi','haldi','Sambar'))</t>
  </si>
  <si>
    <t xml:space="preserve">a = Client().post('/recipes/sambar/detail/', {'recipe' : '69', 'ingredient' : '95', 'name' : 'hing', 'mass_unit' : '2', 'mass_quantity' : '0', 'volume_unit' : '5', 'volume_quantity' : '0.25', 'pieces_unit' : '3', 'pieces_quantity' : '0', 'cooking_notes' : ''}).status_code; print('%s :: %s :: %s :: %s :: %s' %(a,915,'hing','hing','Sambar'))</t>
  </si>
  <si>
    <t xml:space="preserve">a = Client().post('/recipes/sambar/detail/', {'recipe' : '69', 'ingredient' : '90', 'name' : 'jaggary', 'mass_unit' : '7', 'mass_quantity' : '250', 'volume_unit' : '1', 'volume_quantity' : '0', 'pieces_unit' : '3', 'pieces_quantity' : '0', 'cooking_notes' : ''}).status_code; print('%s :: %s :: %s :: %s :: %s' %(a,916,'jaggary','gud','Sambar'))</t>
  </si>
  <si>
    <t xml:space="preserve">a = Client().post('/recipes/sambar/detail/', {'recipe' : '69', 'ingredient' : '164', 'name' : 'rai', 'mass_unit' : '2', 'mass_quantity' : '0', 'volume_unit' : '5', 'volume_quantity' : '0.5', 'pieces_unit' : '3', 'pieces_quantity' : '0', 'cooking_notes' : ''}).status_code; print('%s :: %s :: %s :: %s :: %s' %(a,917,'rai','rai','Sambar'))</t>
  </si>
  <si>
    <t xml:space="preserve">a = Client().post('/recipes/sambar/detail/', {'recipe' : '69', 'ingredient' : '148', 'name' : 'MTR masala', 'mass_unit' : '2', 'mass_quantity' : '0', 'volume_unit' : '5', 'volume_quantity' : '1.5', 'pieces_unit' : '3', 'pieces_quantity' : '0', 'cooking_notes' : ''}).status_code; print('%s :: %s :: %s :: %s :: %s' %(a,918,'MTR masala','mtr rasam masala','Sambar'))</t>
  </si>
  <si>
    <t xml:space="preserve">a = Client().post('/recipes/sambar/detail/', {'recipe' : '69', 'ingredient' : '14', 'name' : 'anapoorna sambar ms', 'mass_unit' : '2', 'mass_quantity' : '0', 'volume_unit' : '5', 'volume_quantity' : '1', 'pieces_unit' : '3', 'pieces_quantity' : '0', 'cooking_notes' : ''}).status_code; print('%s :: %s :: %s :: %s :: %s' %(a,919,'anapoorna sambar ms','annapoorna sambar masala','Sambar'))</t>
  </si>
  <si>
    <t xml:space="preserve">a = Client().post('/recipes/sambar/detail/', {'recipe' : '69', 'ingredient' : '81', 'name' : 'ghee/oil', 'mass_unit' : '2', 'mass_quantity' : '0', 'volume_unit' : '5', 'volume_quantity' : '0.5', 'pieces_unit' : '3', 'pieces_quantity' : '0', 'cooking_notes' : ''}).status_code; print('%s :: %s :: %s :: %s :: %s' %(a,920,'ghee/oil','ghee','Sambar'))</t>
  </si>
  <si>
    <t xml:space="preserve">a = Client().post('/recipes/sambar/detail/', {'recipe' : '69', 'ingredient' : '177', 'name' : 'salt (IF TATA THEN 1.5 cup)', 'mass_unit' : '2', 'mass_quantity' : '0', 'volume_unit' : '5', 'volume_quantity' : '1.8', 'pieces_unit' : '3', 'pieces_quantity' : '0', 'cooking_notes' : ''}).status_code; print('%s :: %s :: %s :: %s :: %s' %(a,921,'salt (IF TATA THEN 1.5 cup)','salt','Sambar'))</t>
  </si>
  <si>
    <t xml:space="preserve">/recipes/lemon-rice/detail/</t>
  </si>
  <si>
    <t xml:space="preserve">a = Client().post('/recipes/lemon-rice/detail/', {'recipe' : '44', 'ingredient' : '129', 'name' : 'lemon juice', 'mass_unit' : '2', 'mass_quantity' : '0', 'volume_unit' : '1', 'volume_quantity' : '2.5', 'pieces_unit' : '3', 'pieces_quantity' : '0', 'cooking_notes' : ''}).status_code; print('%s :: %s :: %s :: %s :: %s' %(a,923,'lemon juice','lemon','Lemon Rice'))</t>
  </si>
  <si>
    <t xml:space="preserve">a = Client().post('/recipes/lemon-rice/detail/', {'recipe' : '44', 'ingredient' : '105', 'name' : 'kadi patta', 'mass_unit' : '2', 'mass_quantity' : '0', 'volume_unit' : '1', 'volume_quantity' : '2', 'pieces_unit' : '3', 'pieces_quantity' : '0', 'cooking_notes' : ''}).status_code; print('%s :: %s :: %s :: %s :: %s' %(a,924,'kadi patta','kadi patta','Lemon Rice'))</t>
  </si>
  <si>
    <t xml:space="preserve">a = Client().post('/recipes/lemon-rice/detail/', {'recipe' : '44', 'ingredient' : '66', 'name' : 'dhaniya patta', 'mass_unit' : '2', 'mass_quantity' : '0', 'volume_unit' : '1', 'volume_quantity' : '5', 'pieces_unit' : '3', 'pieces_quantity' : '0', 'cooking_notes' : ''}).status_code; print('%s :: %s :: %s :: %s :: %s' %(a,925,'dhaniya patta','dhaniya patta','Lemon Rice'))</t>
  </si>
  <si>
    <t xml:space="preserve">a = Client().post('/recipes/lemon-rice/detail/', {'recipe' : '44', 'ingredient' : '93', 'name' : 'green chily(long cut)', 'mass_unit' : '2', 'mass_quantity' : '0', 'volume_unit' : '1', 'volume_quantity' : '4', 'pieces_unit' : '3', 'pieces_quantity' : '0', 'cooking_notes' : ''}).status_code; print('%s :: %s :: %s :: %s :: %s' %(a,926,'green chily(long cut)','hari mirchi','Lemon Rice'))</t>
  </si>
  <si>
    <t xml:space="preserve">a = Client().post('/recipes/lemon-rice/detail/', {'recipe' : '44', 'ingredient' : '1', 'name' : 'adrak', 'mass_unit' : '2', 'mass_quantity' : '0', 'volume_unit' : '1', 'volume_quantity' : '0.5', 'pieces_unit' : '3', 'pieces_quantity' : '0', 'cooking_notes' : ''}).status_code; print('%s :: %s :: %s :: %s :: %s' %(a,927,'adrak','adrak','Lemon Rice'))</t>
  </si>
  <si>
    <t xml:space="preserve">a = Client().post('/recipes/lemon-rice/detail/', {'recipe' : '44', 'ingredient' : '170', 'name' : 'Rice', 'mass_unit' : '2', 'mass_quantity' : '25', 'volume_unit' : '1', 'volume_quantity' : '0', 'pieces_unit' : '3', 'pieces_quantity' : '0', 'cooking_notes' : ''}).status_code; print('%s :: %s :: %s :: %s :: %s' %(a,928,'Rice','rice','Lemon Rice'))</t>
  </si>
  <si>
    <t xml:space="preserve">a = Client().post('/recipes/lemon-rice/detail/', {'recipe' : '44', 'ingredient' : '164', 'name' : 'rai', 'mass_unit' : '2', 'mass_quantity' : '0', 'volume_unit' : '5', 'volume_quantity' : '2', 'pieces_unit' : '3', 'pieces_quantity' : '0', 'cooking_notes' : ''}).status_code; print('%s :: %s :: %s :: %s :: %s' %(a,929,'rai','rai','Lemon Rice'))</t>
  </si>
  <si>
    <t xml:space="preserve">a = Client().post('/recipes/lemon-rice/detail/', {'recipe' : '44', 'ingredient' : '200', 'name' : 'urad dal', 'mass_unit' : '2', 'mass_quantity' : '0', 'volume_unit' : '1', 'volume_quantity' : '1', 'pieces_unit' : '3', 'pieces_quantity' : '0', 'cooking_notes' : ''}).status_code; print('%s :: %s :: %s :: %s :: %s' %(a,930,'urad dal','urad dal','Lemon Rice'))</t>
  </si>
  <si>
    <t xml:space="preserve">a = Client().post('/recipes/lemon-rice/detail/', {'recipe' : '44', 'ingredient' : '46', 'name' : 'chana dal', 'mass_unit' : '2', 'mass_quantity' : '0', 'volume_unit' : '1', 'volume_quantity' : '1', 'pieces_unit' : '3', 'pieces_quantity' : '0', 'cooking_notes' : ''}).status_code; print('%s :: %s :: %s :: %s :: %s' %(a,931,'chana dal','chana dal','Lemon Rice'))</t>
  </si>
  <si>
    <t xml:space="preserve">a = Client().post('/recipes/lemon-rice/detail/', {'recipe' : '44', 'ingredient' : '95', 'name' : 'hing', 'mass_unit' : '2', 'mass_quantity' : '0', 'volume_unit' : '5', 'volume_quantity' : '0.5', 'pieces_unit' : '3', 'pieces_quantity' : '0', 'cooking_notes' : ''}).status_code; print('%s :: %s :: %s :: %s :: %s' %(a,932,'hing','hing','Lemon Rice'))</t>
  </si>
  <si>
    <t xml:space="preserve">a = Client().post('/recipes/lemon-rice/detail/', {'recipe' : '44', 'ingredient' : '91', 'name' : 'haldi', 'mass_unit' : '2', 'mass_quantity' : '0', 'volume_unit' : '5', 'volume_quantity' : '1.5', 'pieces_unit' : '3', 'pieces_quantity' : '0', 'cooking_notes' : ''}).status_code; print('%s :: %s :: %s :: %s :: %s' %(a,933,'haldi','haldi','Lemon Rice'))</t>
  </si>
  <si>
    <t xml:space="preserve">a = Client().post('/recipes/lemon-rice/detail/', {'recipe' : '44', 'ingredient' : '83', 'name' : 'oil(ground nut)', 'mass_unit' : '2', 'mass_quantity' : '0', 'volume_unit' : '1', 'volume_quantity' : '5', 'pieces_unit' : '3', 'pieces_quantity' : '0', 'cooking_notes' : ''}).status_code; print('%s :: %s :: %s :: %s :: %s' %(a,934,'oil(ground nut)','gound nut oil','Lemon Rice'))</t>
  </si>
  <si>
    <t xml:space="preserve">a = Client().post('/recipes/lemon-rice/detail/', {'recipe' : '44', 'ingredient' : '183', 'name' : 'singdana', 'mass_unit' : '2', 'mass_quantity' : '4', 'volume_unit' : '1', 'volume_quantity' : '0', 'pieces_unit' : '3', 'pieces_quantity' : '0', 'cooking_notes' : ''}).status_code; print('%s :: %s :: %s :: %s :: %s' %(a,935,'singdana','singdana','Lemon Rice'))</t>
  </si>
  <si>
    <t xml:space="preserve">a = Client().post('/recipes/lemon-rice/detail/', {'recipe' : '44', 'ingredient' : '177', 'name' : 'salt', 'mass_unit' : '2', 'mass_quantity' : '0', 'volume_unit' : '5', 'volume_quantity' : '7.5', 'pieces_unit' : '3', 'pieces_quantity' : '0', 'cooking_notes' : ''}).status_code; print('%s :: %s :: %s :: %s :: %s' %(a,936,'salt','salt','Lemon Rice'))</t>
  </si>
  <si>
    <t xml:space="preserve">/recipes/tamrind-rice/detail/</t>
  </si>
  <si>
    <t xml:space="preserve">a = Client().post('/recipes/tamrind-rice/detail/', {'recipe' : '79', 'ingredient' : '190', 'name' : 'tamrind', 'mass_unit' : '2', 'mass_quantity' : '2', 'volume_unit' : '1', 'volume_quantity' : '0', 'pieces_unit' : '3', 'pieces_quantity' : '0', 'cooking_notes' : ''}).status_code; print('%s :: %s :: %s :: %s :: %s' %(a,938,'tamrind','tamrind','Tamrind Rice'))</t>
  </si>
  <si>
    <t xml:space="preserve">a = Client().post('/recipes/tamrind-rice/detail/', {'recipe' : '79', 'ingredient' : '105', 'name' : 'kadi patta', 'mass_unit' : '2', 'mass_quantity' : '0', 'volume_unit' : '1', 'volume_quantity' : '2', 'pieces_unit' : '3', 'pieces_quantity' : '0', 'cooking_notes' : ''}).status_code; print('%s :: %s :: %s :: %s :: %s' %(a,939,'kadi patta','kadi patta','Tamrind Rice'))</t>
  </si>
  <si>
    <t xml:space="preserve">a = Client().post('/recipes/tamrind-rice/detail/', {'recipe' : '79', 'ingredient' : '66', 'name' : 'dhaniya patta', 'mass_unit' : '2', 'mass_quantity' : '0', 'volume_unit' : '1', 'volume_quantity' : '5', 'pieces_unit' : '3', 'pieces_quantity' : '0', 'cooking_notes' : ''}).status_code; print('%s :: %s :: %s :: %s :: %s' %(a,940,'dhaniya patta','dhaniya patta','Tamrind Rice'))</t>
  </si>
  <si>
    <t xml:space="preserve">a = Client().post('/recipes/tamrind-rice/detail/', {'recipe' : '79', 'ingredient' : '93', 'name' : 'green chily(long cut)', 'mass_unit' : '2', 'mass_quantity' : '0', 'volume_unit' : '1', 'volume_quantity' : '1', 'pieces_unit' : '3', 'pieces_quantity' : '0', 'cooking_notes' : ''}).status_code; print('%s :: %s :: %s :: %s :: %s' %(a,941,'green chily(long cut)','hari mirchi','Tamrind Rice'))</t>
  </si>
  <si>
    <t xml:space="preserve">a = Client().post('/recipes/tamrind-rice/detail/', {'recipe' : '79', 'ingredient' : '170', 'name' : 'Rice', 'mass_unit' : '2', 'mass_quantity' : '25', 'volume_unit' : '1', 'volume_quantity' : '0', 'pieces_unit' : '3', 'pieces_quantity' : '0', 'cooking_notes' : ''}).status_code; print('%s :: %s :: %s :: %s :: %s' %(a,942,'Rice','rice','Tamrind Rice'))</t>
  </si>
  <si>
    <t xml:space="preserve">a = Client().post('/recipes/tamrind-rice/detail/', {'recipe' : '79', 'ingredient' : '164', 'name' : 'rai', 'mass_unit' : '2', 'mass_quantity' : '0', 'volume_unit' : '5', 'volume_quantity' : '2', 'pieces_unit' : '3', 'pieces_quantity' : '0', 'cooking_notes' : ''}).status_code; print('%s :: %s :: %s :: %s :: %s' %(a,943,'rai','rai','Tamrind Rice'))</t>
  </si>
  <si>
    <t xml:space="preserve">a = Client().post('/recipes/tamrind-rice/detail/', {'recipe' : '79', 'ingredient' : '200', 'name' : 'urad dal', 'mass_unit' : '2', 'mass_quantity' : '0', 'volume_unit' : '1', 'volume_quantity' : '1', 'pieces_unit' : '3', 'pieces_quantity' : '0', 'cooking_notes' : ''}).status_code; print('%s :: %s :: %s :: %s :: %s' %(a,944,'urad dal','urad dal','Tamrind Rice'))</t>
  </si>
  <si>
    <t xml:space="preserve">a = Client().post('/recipes/tamrind-rice/detail/', {'recipe' : '79', 'ingredient' : '46', 'name' : 'chana dal', 'mass_unit' : '2', 'mass_quantity' : '0', 'volume_unit' : '1', 'volume_quantity' : '1', 'pieces_unit' : '3', 'pieces_quantity' : '0', 'cooking_notes' : ''}).status_code; print('%s :: %s :: %s :: %s :: %s' %(a,945,'chana dal','chana dal','Tamrind Rice'))</t>
  </si>
  <si>
    <t xml:space="preserve">a = Client().post('/recipes/tamrind-rice/detail/', {'recipe' : '79', 'ingredient' : '95', 'name' : 'hing', 'mass_unit' : '2', 'mass_quantity' : '0', 'volume_unit' : '5', 'volume_quantity' : '1', 'pieces_unit' : '3', 'pieces_quantity' : '0', 'cooking_notes' : ''}).status_code; print('%s :: %s :: %s :: %s :: %s' %(a,946,'hing','hing','Tamrind Rice'))</t>
  </si>
  <si>
    <t xml:space="preserve">a = Client().post('/recipes/tamrind-rice/detail/', {'recipe' : '79', 'ingredient' : '91', 'name' : 'haldi', 'mass_unit' : '2', 'mass_quantity' : '0', 'volume_unit' : '5', 'volume_quantity' : '1.5', 'pieces_unit' : '3', 'pieces_quantity' : '0', 'cooking_notes' : ''}).status_code; print('%s :: %s :: %s :: %s :: %s' %(a,947,'haldi','haldi','Tamrind Rice'))</t>
  </si>
  <si>
    <t xml:space="preserve">a = Client().post('/recipes/tamrind-rice/detail/', {'recipe' : '79', 'ingredient' : '83', 'name' : 'oil(ground nut)', 'mass_unit' : '2', 'mass_quantity' : '0', 'volume_unit' : '1', 'volume_quantity' : '5', 'pieces_unit' : '3', 'pieces_quantity' : '0', 'cooking_notes' : ''}).status_code; print('%s :: %s :: %s :: %s :: %s' %(a,948,'oil(ground nut)','gound nut oil','Tamrind Rice'))</t>
  </si>
  <si>
    <t xml:space="preserve">a = Client().post('/recipes/tamrind-rice/detail/', {'recipe' : '79', 'ingredient' : '183', 'name' : 'singdana', 'mass_unit' : '2', 'mass_quantity' : '4', 'volume_unit' : '1', 'volume_quantity' : '0', 'pieces_unit' : '3', 'pieces_quantity' : '0', 'cooking_notes' : ''}).status_code; print('%s :: %s :: %s :: %s :: %s' %(a,949,'singdana','singdana','Tamrind Rice'))</t>
  </si>
  <si>
    <t xml:space="preserve">a = Client().post('/recipes/tamrind-rice/detail/', {'recipe' : '79', 'ingredient' : '177', 'name' : 'salt', 'mass_unit' : '2', 'mass_quantity' : '0', 'volume_unit' : '5', 'volume_quantity' : '6.5', 'pieces_unit' : '3', 'pieces_quantity' : '0', 'cooking_notes' : ''}).status_code; print('%s :: %s :: %s :: %s :: %s' %(a,950,'salt','salt','Tamrind Rice'))</t>
  </si>
  <si>
    <t xml:space="preserve">a = Client().post('/recipes/tamrind-rice/detail/', {'recipe' : '79', 'ingredient' : '90', 'name' : 'jaggary', 'mass_unit' : '2', 'mass_quantity' : '1', 'volume_unit' : '1', 'volume_quantity' : '0', 'pieces_unit' : '3', 'pieces_quantity' : '0', 'cooking_notes' : ''}).status_code; print('%s :: %s :: %s :: %s :: %s' %(a,951,'jaggary','gud','Tamrind Rice'))</t>
  </si>
  <si>
    <t xml:space="preserve">/recipes/varai-kheer/detail/</t>
  </si>
  <si>
    <t xml:space="preserve">a = Client().post('/recipes/varai-kheer/detail/', {'recipe' : '85', 'ingredient' : '145', 'name' : 'milk', 'mass_unit' : '2', 'mass_quantity' : '0', 'volume_unit' : '1', 'volume_quantity' : '60', 'pieces_unit' : '3', 'pieces_quantity' : '0', 'cooking_notes' : ''}).status_code; print('%s :: %s :: %s :: %s :: %s' %(a,953,'milk','milk','Varai Kheer'))</t>
  </si>
  <si>
    <t xml:space="preserve">a = Client().post('/recipes/varai-kheer/detail/', {'recipe' : '85', 'ingredient' : '119', 'name' : 'khajur', 'mass_unit' : '2', 'mass_quantity' : '2', 'volume_unit' : '1', 'volume_quantity' : '0', 'pieces_unit' : '3', 'pieces_quantity' : '0', 'cooking_notes' : ''}).status_code; print('%s :: %s :: %s :: %s :: %s' %(a,954,'khajur','khajur','Varai Kheer'))</t>
  </si>
  <si>
    <t xml:space="preserve">a = Client().post('/recipes/varai-kheer/detail/', {'recipe' : '85', 'ingredient' : '110', 'name' : 'kaju tukada', 'mass_unit' : '7', 'mass_quantity' : '500', 'volume_unit' : '1', 'volume_quantity' : '0', 'pieces_unit' : '3', 'pieces_quantity' : '0', 'cooking_notes' : ''}).status_code; print('%s :: %s :: %s :: %s :: %s' %(a,955,'kaju tukada','kaju tukada','Varai Kheer'))</t>
  </si>
  <si>
    <t xml:space="preserve">a = Client().post('/recipes/varai-kheer/detail/', {'recipe' : '85', 'ingredient' : '201', 'name' : 'varai rice', 'mass_unit' : '2', 'mass_quantity' : '7', 'volume_unit' : '1', 'volume_quantity' : '0', 'pieces_unit' : '3', 'pieces_quantity' : '0', 'cooking_notes' : ''}).status_code; print('%s :: %s :: %s :: %s :: %s' %(a,956,'varai rice','varai','Varai Kheer'))</t>
  </si>
  <si>
    <t xml:space="preserve">a = Client().post('/recipes/varai-kheer/detail/', {'recipe' : '85', 'ingredient' : '187', 'name' : 'sugar', 'mass_unit' : '2', 'mass_quantity' : '5', 'volume_unit' : '1', 'volume_quantity' : '0', 'pieces_unit' : '3', 'pieces_quantity' : '0', 'cooking_notes' : ''}).status_code; print('%s :: %s :: %s :: %s :: %s' %(a,957,'sugar','sugar','Varai Kheer'))</t>
  </si>
  <si>
    <t xml:space="preserve">/recipes/khichadi/detail/</t>
  </si>
  <si>
    <t xml:space="preserve">a = Client().post('/recipes/khichadi/detail/', {'recipe' : '37', 'ingredient' : '69', 'name' : 'dudhi', 'mass_unit' : '2', 'mass_quantity' : '4', 'volume_unit' : '1', 'volume_quantity' : '0', 'pieces_unit' : '3', 'pieces_quantity' : '0', 'cooking_notes' : ''}).status_code; print('%s :: %s :: %s :: %s :: %s' %(a,959,'dudhi','dudhi','Khichadi'))</t>
  </si>
  <si>
    <t xml:space="preserve">a = Client().post('/recipes/khichadi/detail/', {'recipe' : '37', 'ingredient' : '30', 'name' : 'bhopla', 'mass_unit' : '2', 'mass_quantity' : '4', 'volume_unit' : '1', 'volume_quantity' : '0', 'pieces_unit' : '3', 'pieces_quantity' : '0', 'cooking_notes' : ''}).status_code; print('%s :: %s :: %s :: %s :: %s' %(a,960,'bhopla','bhopla','Khichadi'))</t>
  </si>
  <si>
    <t xml:space="preserve">a = Client().post('/recipes/khichadi/detail/', {'recipe' : '37', 'ingredient' : '214', 'name' : 'water(10 times)', 'mass_unit' : '2', 'mass_quantity' : '0', 'volume_unit' : '1', 'volume_quantity' : '20', 'pieces_unit' : '3', 'pieces_quantity' : '0', 'cooking_notes' : ''}).status_code; print('%s :: %s :: %s :: %s :: %s' %(a,961,'water(10 times)','water','Khichadi'))</t>
  </si>
  <si>
    <t xml:space="preserve">a = Client().post('/recipes/khichadi/detail/', {'recipe' : '37', 'ingredient' : '105', 'name' : 'kadipatta', 'mass_unit' : '2', 'mass_quantity' : '0', 'volume_unit' : '5', 'volume_quantity' : '1', 'pieces_unit' : '3', 'pieces_quantity' : '0', 'cooking_notes' : ''}).status_code; print('%s :: %s :: %s :: %s :: %s' %(a,962,'kadipatta','kadi patta','Khichadi'))</t>
  </si>
  <si>
    <t xml:space="preserve">a = Client().post('/recipes/khichadi/detail/', {'recipe' : '37', 'ingredient' : '66', 'name' : 'dhaniya patta', 'mass_unit' : '2', 'mass_quantity' : '0', 'volume_unit' : '1', 'volume_quantity' : '0.5', 'pieces_unit' : '3', 'pieces_quantity' : '0', 'cooking_notes' : ''}).status_code; print('%s :: %s :: %s :: %s :: %s' %(a,963,'dhaniya patta','dhaniya patta','Khichadi'))</t>
  </si>
  <si>
    <t xml:space="preserve">a = Client().post('/recipes/khichadi/detail/', {'recipe' : '37', 'ingredient' : '1', 'name' : 'adrak paste', 'mass_unit' : '2', 'mass_quantity' : '0', 'volume_unit' : '5', 'volume_quantity' : '1', 'pieces_unit' : '3', 'pieces_quantity' : '0', 'cooking_notes' : ''}).status_code; print('%s :: %s :: %s :: %s :: %s' %(a,964,'adrak paste','adrak','Khichadi'))</t>
  </si>
  <si>
    <t xml:space="preserve">a = Client().post('/recipes/khichadi/detail/', {'recipe' : '37', 'ingredient' : '170', 'name' : 'rice', 'mass_unit' : '2', 'mass_quantity' : '2', 'volume_unit' : '1', 'volume_quantity' : '0', 'pieces_unit' : '3', 'pieces_quantity' : '0', 'cooking_notes' : ''}).status_code; print('%s :: %s :: %s :: %s :: %s' %(a,965,'rice','rice','Khichadi'))</t>
  </si>
  <si>
    <t xml:space="preserve">a = Client().post('/recipes/khichadi/detail/', {'recipe' : '37', 'ingredient' : '60', 'name' : 'dal', 'mass_unit' : '2', 'mass_quantity' : '2', 'volume_unit' : '1', 'volume_quantity' : '0', 'pieces_unit' : '3', 'pieces_quantity' : '0', 'cooking_notes' : ''}).status_code; print('%s :: %s :: %s :: %s :: %s' %(a,966,'dal','dal','Khichadi'))</t>
  </si>
  <si>
    <t xml:space="preserve">a = Client().post('/recipes/khichadi/detail/', {'recipe' : '37', 'ingredient' : '177', 'name' : 'salt', 'mass_unit' : '2', 'mass_quantity' : '0', 'volume_unit' : '5', 'volume_quantity' : '1.25', 'pieces_unit' : '3', 'pieces_quantity' : '0', 'cooking_notes' : ''}).status_code; print('%s :: %s :: %s :: %s :: %s' %(a,967,'salt','salt','Khichadi'))</t>
  </si>
  <si>
    <t xml:space="preserve">a = Client().post('/recipes/khichadi/detail/', {'recipe' : '37', 'ingredient' : '91', 'name' : 'haldi', 'mass_unit' : '2', 'mass_quantity' : '0', 'volume_unit' : '5', 'volume_quantity' : '0.25', 'pieces_unit' : '3', 'pieces_quantity' : '0', 'cooking_notes' : ''}).status_code; print('%s :: %s :: %s :: %s :: %s' %(a,968,'haldi','haldi','Khichadi'))</t>
  </si>
  <si>
    <t xml:space="preserve">a = Client().post('/recipes/khichadi/detail/', {'recipe' : '37', 'ingredient' : '164', 'name' : 'rai', 'mass_unit' : '2', 'mass_quantity' : '0', 'volume_unit' : '5', 'volume_quantity' : '0.3', 'pieces_unit' : '3', 'pieces_quantity' : '0', 'cooking_notes' : ''}).status_code; print('%s :: %s :: %s :: %s :: %s' %(a,969,'rai','rai','Khichadi'))</t>
  </si>
  <si>
    <t xml:space="preserve">a = Client().post('/recipes/khichadi/detail/', {'recipe' : '37', 'ingredient' : '102', 'name' : 'jeera', 'mass_unit' : '2', 'mass_quantity' : '0', 'volume_unit' : '5', 'volume_quantity' : '0.4', 'pieces_unit' : '3', 'pieces_quantity' : '0', 'cooking_notes' : ''}).status_code; print('%s :: %s :: %s :: %s :: %s' %(a,970,'jeera','jeera','Khichadi'))</t>
  </si>
  <si>
    <t xml:space="preserve">a = Client().post('/recipes/khichadi/detail/', {'recipe' : '37', 'ingredient' : '95', 'name' : 'hing', 'mass_unit' : '2', 'mass_quantity' : '0', 'volume_unit' : '5', 'volume_quantity' : '0.1', 'pieces_unit' : '3', 'pieces_quantity' : '0', 'cooking_notes' : ''}).status_code; print('%s :: %s :: %s :: %s :: %s' %(a,971,'hing','hing','Khichadi'))</t>
  </si>
  <si>
    <t xml:space="preserve">a = Client().post('/recipes/khichadi/detail/', {'recipe' : '37', 'ingredient' : '81', 'name' : 'ghee', 'mass_unit' : '2', 'mass_quantity' : '0', 'volume_unit' : '12', 'volume_quantity' : '300', 'pieces_unit' : '3', 'pieces_quantity' : '0', 'cooking_notes' : ''}).status_code; print('%s :: %s :: %s :: %s :: %s' %(a,972,'ghee','ghee','Khichadi'))</t>
  </si>
  <si>
    <t xml:space="preserve">/recipes/dwadashi-spicy-khichadi/detail/</t>
  </si>
  <si>
    <t xml:space="preserve">a = Client().post('/recipes/dwadashi-spicy-khichadi/detail/', {'recipe' : '21', 'ingredient' : '195', 'name' : 'tomato', 'mass_unit' : '2', 'mass_quantity' : '3', 'volume_unit' : '1', 'volume_quantity' : '0', 'pieces_unit' : '3', 'pieces_quantity' : '0', 'cooking_notes' : ''}).status_code; print('%s :: %s :: %s :: %s :: %s' %(a,974,'tomato','tomato','Dwadashi / Spicy Khichadi'))</t>
  </si>
  <si>
    <t xml:space="preserve">a = Client().post('/recipes/dwadashi-spicy-khichadi/detail/', {'recipe' : '21', 'ingredient' : '27', 'name' : 'beans', 'mass_unit' : '2', 'mass_quantity' : '1', 'volume_unit' : '1', 'volume_quantity' : '0', 'pieces_unit' : '3', 'pieces_quantity' : '0', 'cooking_notes' : ''}).status_code; print('%s :: %s :: %s :: %s :: %s' %(a,975,'beans','beans','Dwadashi / Spicy Khichadi'))</t>
  </si>
  <si>
    <t xml:space="preserve">a = Client().post('/recipes/dwadashi-spicy-khichadi/detail/', {'recipe' : '21', 'ingredient' : '79', 'name' : 'gajar', 'mass_unit' : '2', 'mass_quantity' : '1', 'volume_unit' : '1', 'volume_quantity' : '0', 'pieces_unit' : '3', 'pieces_quantity' : '0', 'cooking_notes' : ''}).status_code; print('%s :: %s :: %s :: %s :: %s' %(a,976,'gajar','gajar','Dwadashi / Spicy Khichadi'))</t>
  </si>
  <si>
    <t xml:space="preserve">a = Client().post('/recipes/dwadashi-spicy-khichadi/detail/', {'recipe' : '21', 'ingredient' : '88', 'name' : 'green peas', 'mass_unit' : '2', 'mass_quantity' : '1', 'volume_unit' : '1', 'volume_quantity' : '0', 'pieces_unit' : '3', 'pieces_quantity' : '0', 'cooking_notes' : ''}).status_code; print('%s :: %s :: %s :: %s :: %s' %(a,977,'green peas','green peas','Dwadashi / Spicy Khichadi'))</t>
  </si>
  <si>
    <t xml:space="preserve">a = Client().post('/recipes/dwadashi-spicy-khichadi/detail/', {'recipe' : '21', 'ingredient' : '69', 'name' : 'dudhi', 'mass_unit' : '2', 'mass_quantity' : '2', 'volume_unit' : '1', 'volume_quantity' : '0', 'pieces_unit' : '3', 'pieces_quantity' : '0', 'cooking_notes' : ''}).status_code; print('%s :: %s :: %s :: %s :: %s' %(a,978,'dudhi','dudhi','Dwadashi / Spicy Khichadi'))</t>
  </si>
  <si>
    <t xml:space="preserve">a = Client().post('/recipes/dwadashi-spicy-khichadi/detail/', {'recipe' : '21', 'ingredient' : '30', 'name' : 'bhopla', 'mass_unit' : '2', 'mass_quantity' : '2', 'volume_unit' : '1', 'volume_quantity' : '0', 'pieces_unit' : '3', 'pieces_quantity' : '0', 'cooking_notes' : ''}).status_code; print('%s :: %s :: %s :: %s :: %s' %(a,979,'bhopla','bhopla','Dwadashi / Spicy Khichadi'))</t>
  </si>
  <si>
    <t xml:space="preserve">a = Client().post('/recipes/dwadashi-spicy-khichadi/detail/', {'recipe' : '21', 'ingredient' : '78', 'name' : 'flower', 'mass_unit' : '2', 'mass_quantity' : '4', 'volume_unit' : '1', 'volume_quantity' : '0', 'pieces_unit' : '3', 'pieces_quantity' : '0', 'cooking_notes' : ''}).status_code; print('%s :: %s :: %s :: %s :: %s' %(a,980,'flower','flower','Dwadashi / Spicy Khichadi'))</t>
  </si>
  <si>
    <t xml:space="preserve">a = Client().post('/recipes/dwadashi-spicy-khichadi/detail/', {'recipe' : '21', 'ingredient' : '214', 'name' : 'water(10 times)', 'mass_unit' : '2', 'mass_quantity' : '0', 'volume_unit' : '1', 'volume_quantity' : '20', 'pieces_unit' : '3', 'pieces_quantity' : '0', 'cooking_notes' : ''}).status_code; print('%s :: %s :: %s :: %s :: %s' %(a,981,'water(10 times)','water','Dwadashi / Spicy Khichadi'))</t>
  </si>
  <si>
    <t xml:space="preserve">a = Client().post('/recipes/dwadashi-spicy-khichadi/detail/', {'recipe' : '21', 'ingredient' : '105', 'name' : 'kadipatta', 'mass_unit' : '2', 'mass_quantity' : '0', 'volume_unit' : '5', 'volume_quantity' : '2', 'pieces_unit' : '3', 'pieces_quantity' : '0', 'cooking_notes' : ''}).status_code; print('%s :: %s :: %s :: %s :: %s' %(a,982,'kadipatta','kadi patta','Dwadashi / Spicy Khichadi'))</t>
  </si>
  <si>
    <t xml:space="preserve">a = Client().post('/recipes/dwadashi-spicy-khichadi/detail/', {'recipe' : '21', 'ingredient' : '66', 'name' : 'dhaniya patta', 'mass_unit' : '2', 'mass_quantity' : '0', 'volume_unit' : '1', 'volume_quantity' : '0.5', 'pieces_unit' : '3', 'pieces_quantity' : '0', 'cooking_notes' : ''}).status_code; print('%s :: %s :: %s :: %s :: %s' %(a,983,'dhaniya patta','dhaniya patta','Dwadashi / Spicy Khichadi'))</t>
  </si>
  <si>
    <t xml:space="preserve">a = Client().post('/recipes/dwadashi-spicy-khichadi/detail/', {'recipe' : '21', 'ingredient' : '1', 'name' : 'adrak paste', 'mass_unit' : '2', 'mass_quantity' : '0', 'volume_unit' : '5', 'volume_quantity' : '1', 'pieces_unit' : '3', 'pieces_quantity' : '0', 'cooking_notes' : ''}).status_code; print('%s :: %s :: %s :: %s :: %s' %(a,984,'adrak paste','adrak','Dwadashi / Spicy Khichadi'))</t>
  </si>
  <si>
    <t xml:space="preserve">a = Client().post('/recipes/dwadashi-spicy-khichadi/detail/', {'recipe' : '21', 'ingredient' : '93', 'name' : 'green chily', 'mass_unit' : '2', 'mass_quantity' : '0', 'volume_unit' : '5', 'volume_quantity' : '1', 'pieces_unit' : '3', 'pieces_quantity' : '0', 'cooking_notes' : ''}).status_code; print('%s :: %s :: %s :: %s :: %s' %(a,985,'green chily','hari mirchi','Dwadashi / Spicy Khichadi'))</t>
  </si>
  <si>
    <t xml:space="preserve">a = Client().post('/recipes/dwadashi-spicy-khichadi/detail/', {'recipe' : '21', 'ingredient' : '170', 'name' : 'rice', 'mass_unit' : '2', 'mass_quantity' : '2', 'volume_unit' : '1', 'volume_quantity' : '0', 'pieces_unit' : '3', 'pieces_quantity' : '0', 'cooking_notes' : ''}).status_code; print('%s :: %s :: %s :: %s :: %s' %(a,986,'rice','rice','Dwadashi / Spicy Khichadi'))</t>
  </si>
  <si>
    <t xml:space="preserve">a = Client().post('/recipes/dwadashi-spicy-khichadi/detail/', {'recipe' : '21', 'ingredient' : '60', 'name' : 'dal', 'mass_unit' : '2', 'mass_quantity' : '2', 'volume_unit' : '1', 'volume_quantity' : '0', 'pieces_unit' : '3', 'pieces_quantity' : '0', 'cooking_notes' : ''}).status_code; print('%s :: %s :: %s :: %s :: %s' %(a,987,'dal','dal','Dwadashi / Spicy Khichadi'))</t>
  </si>
  <si>
    <t xml:space="preserve">a = Client().post('/recipes/dwadashi-spicy-khichadi/detail/', {'recipe' : '21', 'ingredient' : '177', 'name' : 'salt', 'mass_unit' : '2', 'mass_quantity' : '0', 'volume_unit' : '5', 'volume_quantity' : '1.5', 'pieces_unit' : '3', 'pieces_quantity' : '0', 'cooking_notes' : ''}).status_code; print('%s :: %s :: %s :: %s :: %s' %(a,988,'salt','salt','Dwadashi / Spicy Khichadi'))</t>
  </si>
  <si>
    <t xml:space="preserve">a = Client().post('/recipes/dwadashi-spicy-khichadi/detail/', {'recipe' : '21', 'ingredient' : '91', 'name' : 'haldi', 'mass_unit' : '2', 'mass_quantity' : '0', 'volume_unit' : '5', 'volume_quantity' : '0.2', 'pieces_unit' : '3', 'pieces_quantity' : '0', 'cooking_notes' : ''}).status_code; print('%s :: %s :: %s :: %s :: %s' %(a,989,'haldi','haldi','Dwadashi / Spicy Khichadi'))</t>
  </si>
  <si>
    <t xml:space="preserve">a = Client().post('/recipes/dwadashi-spicy-khichadi/detail/', {'recipe' : '21', 'ingredient' : '164', 'name' : 'rai', 'mass_unit' : '2', 'mass_quantity' : '0', 'volume_unit' : '5', 'volume_quantity' : '0.25', 'pieces_unit' : '3', 'pieces_quantity' : '0', 'cooking_notes' : ''}).status_code; print('%s :: %s :: %s :: %s :: %s' %(a,990,'rai','rai','Dwadashi / Spicy Khichadi'))</t>
  </si>
  <si>
    <t xml:space="preserve">a = Client().post('/recipes/dwadashi-spicy-khichadi/detail/', {'recipe' : '21', 'ingredient' : '102', 'name' : 'jeera', 'mass_unit' : '2', 'mass_quantity' : '0', 'volume_unit' : '5', 'volume_quantity' : '0.4', 'pieces_unit' : '3', 'pieces_quantity' : '0', 'cooking_notes' : ''}).status_code; print('%s :: %s :: %s :: %s :: %s' %(a,991,'jeera','jeera','Dwadashi / Spicy Khichadi'))</t>
  </si>
  <si>
    <t xml:space="preserve">a = Client().post('/recipes/dwadashi-spicy-khichadi/detail/', {'recipe' : '21', 'ingredient' : '95', 'name' : 'hing', 'mass_unit' : '2', 'mass_quantity' : '0', 'volume_unit' : '5', 'volume_quantity' : '0.1', 'pieces_unit' : '3', 'pieces_quantity' : '0', 'cooking_notes' : ''}).status_code; print('%s :: %s :: %s :: %s :: %s' %(a,992,'hing','hing','Dwadashi / Spicy Khichadi'))</t>
  </si>
  <si>
    <t xml:space="preserve">a = Client().post('/recipes/dwadashi-spicy-khichadi/detail/', {'recipe' : '21', 'ingredient' : '67', 'name' : 'dhaniya powder', 'mass_unit' : '2', 'mass_quantity' : '0', 'volume_unit' : '5', 'volume_quantity' : '0.7', 'pieces_unit' : '3', 'pieces_quantity' : '0', 'cooking_notes' : ''}).status_code; print('%s :: %s :: %s :: %s :: %s' %(a,993,'dhaniya powder','dhaniya powder','Dwadashi / Spicy Khichadi'))</t>
  </si>
  <si>
    <t xml:space="preserve">a = Client().post('/recipes/dwadashi-spicy-khichadi/detail/', {'recipe' : '21', 'ingredient' : '103', 'name' : 'jeera powder', 'mass_unit' : '2', 'mass_quantity' : '0', 'volume_unit' : '5', 'volume_quantity' : '0.7', 'pieces_unit' : '3', 'pieces_quantity' : '0', 'cooking_notes' : ''}).status_code; print('%s :: %s :: %s :: %s :: %s' %(a,994,'jeera powder','jeera powder','Dwadashi / Spicy Khichadi'))</t>
  </si>
  <si>
    <t xml:space="preserve">a = Client().post('/recipes/dwadashi-spicy-khichadi/detail/', {'recipe' : '21', 'ingredient' : '117', 'name' : 'kashmiri chily pwder', 'mass_unit' : '2', 'mass_quantity' : '0', 'volume_unit' : '5', 'volume_quantity' : '0.4', 'pieces_unit' : '3', 'pieces_quantity' : '0', 'cooking_notes' : ''}).status_code; print('%s :: %s :: %s :: %s :: %s' %(a,995,'kashmiri chily pwder','kashmiri chilly powder','Dwadashi / Spicy Khichadi'))</t>
  </si>
  <si>
    <t xml:space="preserve">a = Client().post('/recipes/dwadashi-spicy-khichadi/detail/', {'recipe' : '21', 'ingredient' : '135', 'name' : 'madrasi chili powder', 'mass_unit' : '2', 'mass_quantity' : '0', 'volume_unit' : '5', 'volume_quantity' : '0.3', 'pieces_unit' : '3', 'pieces_quantity' : '0', 'cooking_notes' : ''}).status_code; print('%s :: %s :: %s :: %s :: %s' %(a,996,'madrasi chili powder','madrasi mirchi powder','Dwadashi / Spicy Khichadi'))</t>
  </si>
  <si>
    <t xml:space="preserve">a = Client().post('/recipes/dwadashi-spicy-khichadi/detail/', {'recipe' : '21', 'ingredient' : '6', 'name' : 'akkha madrasi mirch', 'mass_unit' : '2', 'mass_quantity' : '0', 'volume_unit' : '5', 'volume_quantity' : '1', 'pieces_unit' : '3', 'pieces_quantity' : '0', 'cooking_notes' : ''}).status_code; print('%s :: %s :: %s :: %s :: %s' %(a,997,'akkha madrasi mirch','akkha madrasi mirchi','Dwadashi / Spicy Khichadi'))</t>
  </si>
  <si>
    <t xml:space="preserve">a = Client().post('/recipes/dwadashi-spicy-khichadi/detail/', {'recipe' : '21', 'ingredient' : '83', 'name' : 'OIL', 'mass_unit' : '2', 'mass_quantity' : '0', 'volume_unit' : '12', 'volume_quantity' : '500', 'pieces_unit' : '3', 'pieces_quantity' : '0', 'cooking_notes' : ''}).status_code; print('%s :: %s :: %s :: %s :: %s' %(a,998,'OIL','gound nut oil','Dwadashi / Spicy Khichadi'))</t>
  </si>
  <si>
    <t xml:space="preserve">a = Client().post('/recipes/dwadashi-spicy-khichadi/detail/', {'recipe' : '21', 'ingredient' : '187', 'name' : 'sugar', 'mass_unit' : '2', 'mass_quantity' : '0', 'volume_unit' : '5', 'volume_quantity' : '1', 'pieces_unit' : '3', 'pieces_quantity' : '0', 'cooking_notes' : ''}).status_code; print('%s :: %s :: %s :: %s :: %s' %(a,999,'sugar','sugar','Dwadashi / Spicy Khichadi'))</t>
  </si>
  <si>
    <t xml:space="preserve">/recipes/rice-sevai/detail/</t>
  </si>
  <si>
    <t xml:space="preserve">a = Client().post('/recipes/rice-sevai/detail/', {'recipe' : '67', 'ingredient' : '79', 'name' : 'Gajar', 'mass_unit' : '2', 'mass_quantity' : '6', 'volume_unit' : '1', 'volume_quantity' : '0', 'pieces_unit' : '3', 'pieces_quantity' : '0', 'cooking_notes' : ''}).status_code; print('%s :: %s :: %s :: %s :: %s' %(a,1001,'Gajar','gajar','Rice Sevai'))</t>
  </si>
  <si>
    <t xml:space="preserve">a = Client().post('/recipes/rice-sevai/detail/', {'recipe' : '67', 'ingredient' : '27', 'name' : 'beans', 'mass_unit' : '2', 'mass_quantity' : '5', 'volume_unit' : '1', 'volume_quantity' : '0', 'pieces_unit' : '3', 'pieces_quantity' : '0', 'cooking_notes' : ''}).status_code; print('%s :: %s :: %s :: %s :: %s' %(a,1002,'beans','beans','Rice Sevai'))</t>
  </si>
  <si>
    <t xml:space="preserve">a = Client().post('/recipes/rice-sevai/detail/', {'recipe' : '67', 'ingredient' : '88', 'name' : 'Green Peas', 'mass_unit' : '2', 'mass_quantity' : '6', 'volume_unit' : '1', 'volume_quantity' : '0', 'pieces_unit' : '3', 'pieces_quantity' : '0', 'cooking_notes' : ''}).status_code; print('%s :: %s :: %s :: %s :: %s' %(a,1003,'Green Peas','green peas','Rice Sevai'))</t>
  </si>
  <si>
    <t xml:space="preserve">a = Client().post('/recipes/rice-sevai/detail/', {'recipe' : '67', 'ingredient' : '93', 'name' : 'green chilly', 'mass_unit' : '2', 'mass_quantity' : '0', 'volume_unit' : '1', 'volume_quantity' : '1', 'pieces_unit' : '3', 'pieces_quantity' : '0', 'cooking_notes' : ''}).status_code; print('%s :: %s :: %s :: %s :: %s' %(a,1004,'green chilly','hari mirchi','Rice Sevai'))</t>
  </si>
  <si>
    <t xml:space="preserve">a = Client().post('/recipes/rice-sevai/detail/', {'recipe' : '67', 'ingredient' : '66', 'name' : 'Dhania patta', 'mass_unit' : '2', 'mass_quantity' : '0', 'volume_unit' : '1', 'volume_quantity' : '3', 'pieces_unit' : '3', 'pieces_quantity' : '0', 'cooking_notes' : ''}).status_code; print('%s :: %s :: %s :: %s :: %s' %(a,1005,'Dhania patta','dhaniya patta','Rice Sevai'))</t>
  </si>
  <si>
    <t xml:space="preserve">a = Client().post('/recipes/rice-sevai/detail/', {'recipe' : '67', 'ingredient' : '1', 'name' : 'ginger', 'mass_unit' : '2', 'mass_quantity' : '0', 'volume_unit' : '1', 'volume_quantity' : '0.5', 'pieces_unit' : '3', 'pieces_quantity' : '0', 'cooking_notes' : ''}).status_code; print('%s :: %s :: %s :: %s :: %s' %(a,1006,'ginger','adrak','Rice Sevai'))</t>
  </si>
  <si>
    <t xml:space="preserve">a = Client().post('/recipes/rice-sevai/detail/', {'recipe' : '67', 'ingredient' : '105', 'name' : 'kadipatta', 'mass_unit' : '2', 'mass_quantity' : '0', 'volume_unit' : '1', 'volume_quantity' : '2', 'pieces_unit' : '3', 'pieces_quantity' : '0', 'cooking_notes' : ''}).status_code; print('%s :: %s :: %s :: %s :: %s' %(a,1007,'kadipatta','kadi patta','Rice Sevai'))</t>
  </si>
  <si>
    <t xml:space="preserve">a = Client().post('/recipes/rice-sevai/detail/', {'recipe' : '67', 'ingredient' : '172', 'name' : 'Rice Sevai', 'mass_unit' : '2', 'mass_quantity' : '25', 'volume_unit' : '1', 'volume_quantity' : '0', 'pieces_unit' : '3', 'pieces_quantity' : '0', 'cooking_notes' : ''}).status_code; print('%s :: %s :: %s :: %s :: %s' %(a,1008,'Rice Sevai','rice sevai','Rice Sevai'))</t>
  </si>
  <si>
    <t xml:space="preserve">a = Client().post('/recipes/rice-sevai/detail/', {'recipe' : '67', 'ingredient' : '83', 'name' : 'oil(groundnut)', 'mass_unit' : '2', 'mass_quantity' : '0', 'volume_unit' : '1', 'volume_quantity' : '4.5', 'pieces_unit' : '3', 'pieces_quantity' : '0', 'cooking_notes' : ''}).status_code; print('%s :: %s :: %s :: %s :: %s' %(a,1009,'oil(groundnut)','gound nut oil','Rice Sevai'))</t>
  </si>
  <si>
    <t xml:space="preserve">a = Client().post('/recipes/rice-sevai/detail/', {'recipe' : '67', 'ingredient' : '164', 'name' : 'Rai', 'mass_unit' : '2', 'mass_quantity' : '0', 'volume_unit' : '5', 'volume_quantity' : '2', 'pieces_unit' : '3', 'pieces_quantity' : '0', 'cooking_notes' : ''}).status_code; print('%s :: %s :: %s :: %s :: %s' %(a,1010,'Rai','rai','Rice Sevai'))</t>
  </si>
  <si>
    <t xml:space="preserve">a = Client().post('/recipes/rice-sevai/detail/', {'recipe' : '67', 'ingredient' : '46', 'name' : 'chana dal', 'mass_unit' : '2', 'mass_quantity' : '0', 'volume_unit' : '1', 'volume_quantity' : '1', 'pieces_unit' : '3', 'pieces_quantity' : '0', 'cooking_notes' : ''}).status_code; print('%s :: %s :: %s :: %s :: %s' %(a,1011,'chana dal','chana dal','Rice Sevai'))</t>
  </si>
  <si>
    <t xml:space="preserve">a = Client().post('/recipes/rice-sevai/detail/', {'recipe' : '67', 'ingredient' : '200', 'name' : 'urad dal', 'mass_unit' : '2', 'mass_quantity' : '0', 'volume_unit' : '1', 'volume_quantity' : '1', 'pieces_unit' : '3', 'pieces_quantity' : '0', 'cooking_notes' : ''}).status_code; print('%s :: %s :: %s :: %s :: %s' %(a,1012,'urad dal','urad dal','Rice Sevai'))</t>
  </si>
  <si>
    <t xml:space="preserve">a = Client().post('/recipes/rice-sevai/detail/', {'recipe' : '67', 'ingredient' : '91', 'name' : 'haldi', 'mass_unit' : '2', 'mass_quantity' : '0', 'volume_unit' : '5', 'volume_quantity' : '1', 'pieces_unit' : '3', 'pieces_quantity' : '0', 'cooking_notes' : ''}).status_code; print('%s :: %s :: %s :: %s :: %s' %(a,1013,'haldi','haldi','Rice Sevai'))</t>
  </si>
  <si>
    <t xml:space="preserve">a = Client().post('/recipes/rice-sevai/detail/', {'recipe' : '67', 'ingredient' : '117', 'name' : 'kashmiri chili powder', 'mass_unit' : '2', 'mass_quantity' : '0', 'volume_unit' : '5', 'volume_quantity' : '0.5', 'pieces_unit' : '3', 'pieces_quantity' : '0', 'cooking_notes' : ''}).status_code; print('%s :: %s :: %s :: %s :: %s' %(a,1014,'kashmiri chili powder','kashmiri chilly powder','Rice Sevai'))</t>
  </si>
  <si>
    <t xml:space="preserve">a = Client().post('/recipes/rice-sevai/detail/', {'recipe' : '67', 'ingredient' : '95', 'name' : 'hing', 'mass_unit' : '2', 'mass_quantity' : '0', 'volume_unit' : '5', 'volume_quantity' : '0.5', 'pieces_unit' : '3', 'pieces_quantity' : '0', 'cooking_notes' : ''}).status_code; print('%s :: %s :: %s :: %s :: %s' %(a,1015,'hing','hing','Rice Sevai'))</t>
  </si>
  <si>
    <t xml:space="preserve">a = Client().post('/recipes/rice-sevai/detail/', {'recipe' : '67', 'ingredient' : '177', 'name' : 'salt', 'mass_unit' : '2', 'mass_quantity' : '0', 'volume_unit' : '5', 'volume_quantity' : '6', 'pieces_unit' : '3', 'pieces_quantity' : '0', 'cooking_notes' : ''}).status_code; print('%s :: %s :: %s :: %s :: %s' %(a,1016,'salt','salt','Rice Sevai'))</t>
  </si>
  <si>
    <t xml:space="preserve">/recipes/sushila-bhel/detail/</t>
  </si>
  <si>
    <t xml:space="preserve">a = Client().post('/recipes/sushila-bhel/detail/', {'recipe' : '74', 'ingredient' : '111', 'name' : 'kakdi/green peas/beans', 'mass_unit' : '2', 'mass_quantity' : '10', 'volume_unit' : '1', 'volume_quantity' : '0', 'pieces_unit' : '3', 'pieces_quantity' : '0', 'cooking_notes' : ''}).status_code; print('%s :: %s :: %s :: %s :: %s' %(a,1018,'kakdi/green peas/beans','kakdi','Sushila Bhel'))</t>
  </si>
  <si>
    <t xml:space="preserve">a = Client().post('/recipes/sushila-bhel/detail/', {'recipe' : '74', 'ingredient' : '87', 'name' : 'green mung', 'mass_unit' : '2', 'mass_quantity' : '6', 'volume_unit' : '1', 'volume_quantity' : '0', 'pieces_unit' : '3', 'pieces_quantity' : '0', 'cooking_notes' : ''}).status_code; print('%s :: %s :: %s :: %s :: %s' %(a,1019,'green mung','green mung','Sushila Bhel'))</t>
  </si>
  <si>
    <t xml:space="preserve">a = Client().post('/recipes/sushila-bhel/detail/', {'recipe' : '74', 'ingredient' : '93', 'name' : 'green chily', 'mass_unit' : '2', 'mass_quantity' : '0', 'volume_unit' : '1', 'volume_quantity' : '1', 'pieces_unit' : '3', 'pieces_quantity' : '0', 'cooking_notes' : ''}).status_code; print('%s :: %s :: %s :: %s :: %s' %(a,1020,'green chily','hari mirchi','Sushila Bhel'))</t>
  </si>
  <si>
    <t xml:space="preserve">a = Client().post('/recipes/sushila-bhel/detail/', {'recipe' : '74', 'ingredient' : '195', 'name' : 'tomato', 'mass_unit' : '2', 'mass_quantity' : '6', 'volume_unit' : '1', 'volume_quantity' : '0', 'pieces_unit' : '3', 'pieces_quantity' : '0', 'cooking_notes' : ''}).status_code; print('%s :: %s :: %s :: %s :: %s' %(a,1021,'tomato','tomato','Sushila Bhel'))</t>
  </si>
  <si>
    <t xml:space="preserve">a = Client().post('/recipes/sushila-bhel/detail/', {'recipe' : '74', 'ingredient' : '8', 'name' : 'potato', 'mass_unit' : '2', 'mass_quantity' : '7', 'volume_unit' : '1', 'volume_quantity' : '0', 'pieces_unit' : '3', 'pieces_quantity' : '0', 'cooking_notes' : ''}).status_code; print('%s :: %s :: %s :: %s :: %s' %(a,1022,'potato','alu','Sushila Bhel'))</t>
  </si>
  <si>
    <t xml:space="preserve">a = Client().post('/recipes/sushila-bhel/detail/', {'recipe' : '74', 'ingredient' : '66', 'name' : 'dhaniya patta', 'mass_unit' : '2', 'mass_quantity' : '0', 'volume_unit' : '1', 'volume_quantity' : '4', 'pieces_unit' : '3', 'pieces_quantity' : '0', 'cooking_notes' : ''}).status_code; print('%s :: %s :: %s :: %s :: %s' %(a,1023,'dhaniya patta','dhaniya patta','Sushila Bhel'))</t>
  </si>
  <si>
    <t xml:space="preserve">a = Client().post('/recipes/sushila-bhel/detail/', {'recipe' : '74', 'ingredient' : '1', 'name' : 'adrak', 'mass_unit' : '2', 'mass_quantity' : '0', 'volume_unit' : '1', 'volume_quantity' : '1', 'pieces_unit' : '3', 'pieces_quantity' : '0', 'cooking_notes' : ''}).status_code; print('%s :: %s :: %s :: %s :: %s' %(a,1024,'adrak','adrak','Sushila Bhel'))</t>
  </si>
  <si>
    <t xml:space="preserve">a = Client().post('/recipes/sushila-bhel/detail/', {'recipe' : '74', 'ingredient' : '105', 'name' : 'kadi patta', 'mass_unit' : '2', 'mass_quantity' : '0', 'volume_unit' : '1', 'volume_quantity' : '1', 'pieces_unit' : '3', 'pieces_quantity' : '0', 'cooking_notes' : ''}).status_code; print('%s :: %s :: %s :: %s :: %s' %(a,1025,'kadi patta','kadi patta','Sushila Bhel'))</t>
  </si>
  <si>
    <t xml:space="preserve">a = Client().post('/recipes/sushila-bhel/detail/', {'recipe' : '74', 'ingredient' : '126', 'name' : 'KURMURA', 'mass_unit' : '2', 'mass_quantity' : '20', 'volume_unit' : '1', 'volume_quantity' : '0', 'pieces_unit' : '3', 'pieces_quantity' : '0', 'cooking_notes' : ''}).status_code; print('%s :: %s :: %s :: %s :: %s' %(a,1026,'KURMURA','kurmura','Sushila Bhel'))</t>
  </si>
  <si>
    <t xml:space="preserve">a = Client().post('/recipes/sushila-bhel/detail/', {'recipe' : '74', 'ingredient' : '83', 'name' : 'oil(groundnut)', 'mass_unit' : '2', 'mass_quantity' : '0', 'volume_unit' : '1', 'volume_quantity' : '7', 'pieces_unit' : '3', 'pieces_quantity' : '0', 'cooking_notes' : ''}).status_code; print('%s :: %s :: %s :: %s :: %s' %(a,1027,'oil(groundnut)','gound nut oil','Sushila Bhel'))</t>
  </si>
  <si>
    <t xml:space="preserve">a = Client().post('/recipes/sushila-bhel/detail/', {'recipe' : '74', 'ingredient' : '164', 'name' : 'Rai', 'mass_unit' : '2', 'mass_quantity' : '0', 'volume_unit' : '5', 'volume_quantity' : '2', 'pieces_unit' : '3', 'pieces_quantity' : '0', 'cooking_notes' : ''}).status_code; print('%s :: %s :: %s :: %s :: %s' %(a,1028,'Rai','rai','Sushila Bhel'))</t>
  </si>
  <si>
    <t xml:space="preserve">a = Client().post('/recipes/sushila-bhel/detail/', {'recipe' : '74', 'ingredient' : '102', 'name' : 'Jeera', 'mass_unit' : '2', 'mass_quantity' : '0', 'volume_unit' : '5', 'volume_quantity' : '2', 'pieces_unit' : '3', 'pieces_quantity' : '0', 'cooking_notes' : ''}).status_code; print('%s :: %s :: %s :: %s :: %s' %(a,1029,'Jeera','jeera','Sushila Bhel'))</t>
  </si>
  <si>
    <t xml:space="preserve">a = Client().post('/recipes/sushila-bhel/detail/', {'recipe' : '74', 'ingredient' : '183', 'name' : 'akkha singdana', 'mass_unit' : '2', 'mass_quantity' : '3', 'volume_unit' : '1', 'volume_quantity' : '0', 'pieces_unit' : '3', 'pieces_quantity' : '0', 'cooking_notes' : ''}).status_code; print('%s :: %s :: %s :: %s :: %s' %(a,1030,'akkha singdana','singdana','Sushila Bhel'))</t>
  </si>
  <si>
    <t xml:space="preserve">a = Client().post('/recipes/sushila-bhel/detail/', {'recipe' : '74', 'ingredient' : '91', 'name' : 'haldi', 'mass_unit' : '2', 'mass_quantity' : '0', 'volume_unit' : '5', 'volume_quantity' : '1.5', 'pieces_unit' : '3', 'pieces_quantity' : '0', 'cooking_notes' : ''}).status_code; print('%s :: %s :: %s :: %s :: %s' %(a,1031,'haldi','haldi','Sushila Bhel'))</t>
  </si>
  <si>
    <t xml:space="preserve">a = Client().post('/recipes/sushila-bhel/detail/', {'recipe' : '74', 'ingredient' : '135', 'name' : 'madrasi chili powder', 'mass_unit' : '2', 'mass_quantity' : '0', 'volume_unit' : '5', 'volume_quantity' : '1', 'pieces_unit' : '3', 'pieces_quantity' : '0', 'cooking_notes' : ''}).status_code; print('%s :: %s :: %s :: %s :: %s' %(a,1032,'madrasi chili powder','madrasi mirchi powder','Sushila Bhel'))</t>
  </si>
  <si>
    <t xml:space="preserve">a = Client().post('/recipes/sushila-bhel/detail/', {'recipe' : '74', 'ingredient' : '95', 'name' : 'hing', 'mass_unit' : '2', 'mass_quantity' : '0', 'volume_unit' : '5', 'volume_quantity' : '0.75', 'pieces_unit' : '3', 'pieces_quantity' : '0', 'cooking_notes' : ''}).status_code; print('%s :: %s :: %s :: %s :: %s' %(a,1033,'hing','hing','Sushila Bhel'))</t>
  </si>
  <si>
    <t xml:space="preserve">a = Client().post('/recipes/sushila-bhel/detail/', {'recipe' : '74', 'ingredient' : '177', 'name' : 'salt', 'mass_unit' : '2', 'mass_quantity' : '0', 'volume_unit' : '5', 'volume_quantity' : '6.5', 'pieces_unit' : '3', 'pieces_quantity' : '0', 'cooking_notes' : ''}).status_code; print('%s :: %s :: %s :: %s :: %s' %(a,1034,'salt','salt','Sushila Bhel'))</t>
  </si>
  <si>
    <t xml:space="preserve">a = Client().post('/recipes/sushila-bhel/detail/', {'recipe' : '74', 'ingredient' : '143', 'name' : 'MDH garam masala', 'mass_unit' : '2', 'mass_quantity' : '0', 'volume_unit' : '1', 'volume_quantity' : '0', 'pieces_unit' : '11', 'pieces_quantity' : '2', 'cooking_notes' : ''}).status_code; print('%s :: %s :: %s :: %s :: %s' %(a,1035,'MDH garam masala','mdh garam masala','Sushila Bhel'))</t>
  </si>
  <si>
    <t xml:space="preserve">a = Client().post('/recipes/sushila-bhel/detail/', {'recipe' : '74', 'ingredient' : '187', 'name' : 'sugar', 'mass_unit' : '2', 'mass_quantity' : '0', 'volume_unit' : '1', 'volume_quantity' : '1', 'pieces_unit' : '3', 'pieces_quantity' : '0', 'cooking_notes' : ''}).status_code; print('%s :: %s :: %s :: %s :: %s' %(a,1036,'sugar','sugar','Sushila Bhel'))</t>
  </si>
  <si>
    <t xml:space="preserve">a = Client().post('/recipes/sushila-bhel/detail/', {'recipe' : '74', 'ingredient' : '117', 'name' : 'kashmiri chili powder', 'mass_unit' : '2', 'mass_quantity' : '0', 'volume_unit' : '5', 'volume_quantity' : '1', 'pieces_unit' : '3', 'pieces_quantity' : '0', 'cooking_notes' : ''}).status_code; print('%s :: %s :: %s :: %s :: %s' %(a,1037,'kashmiri chili powder','kashmiri chilly powder','Sushila Bhel'))</t>
  </si>
  <si>
    <t xml:space="preserve">a = Client().post('/recipes/sushila-bhel/detail/', {'recipe' : '74', 'ingredient' : '177', 'name' : 'salt', 'mass_unit' : '2', 'mass_quantity' : '0', 'volume_unit' : '5', 'volume_quantity' : '6', 'pieces_unit' : '3', 'pieces_quantity' : '0', 'cooking_notes' : ''}).status_code; print('%s :: %s :: %s :: %s :: %s' %(a,1038,'salt','salt','Sushila Bhel'))</t>
  </si>
  <si>
    <t xml:space="preserve">a = Client().post('/recipes/sushila-bhel/detail/', {'recipe' : '74', 'ingredient' : '62', 'name' : 'daliya (roasted chana dal)', 'mass_unit' : '2', 'mass_quantity' : '3', 'volume_unit' : '1', 'volume_quantity' : '0', 'pieces_unit' : '3', 'pieces_quantity' : '0', 'cooking_notes' : ''}).status_code; print('%s :: %s :: %s :: %s :: %s' %(a,1039,'daliya (roasted chana dal)','daliya','Sushila Bhel'))</t>
  </si>
  <si>
    <t xml:space="preserve">/recipes/pudina-lemon-juice/detail/</t>
  </si>
  <si>
    <t xml:space="preserve">a = Client().post('/recipes/pudina-lemon-juice/detail/', {'recipe' : '62', 'ingredient' : '129', 'name' : 'LEMON JUICE', 'mass_unit' : '2', 'mass_quantity' : '0', 'volume_unit' : '1', 'volume_quantity' : '1', 'pieces_unit' : '3', 'pieces_quantity' : '0', 'cooking_notes' : ''}).status_code; print('%s :: %s :: %s :: %s :: %s' %(a,1041,'LEMON JUICE','lemon','Pudina Lemon Juice'))</t>
  </si>
  <si>
    <t xml:space="preserve">a = Client().post('/recipes/pudina-lemon-juice/detail/', {'recipe' : '62', 'ingredient' : '214', 'name' : 'water', 'mass_unit' : '2', 'mass_quantity' : '0', 'volume_unit' : '1', 'volume_quantity' : '30', 'pieces_unit' : '3', 'pieces_quantity' : '0', 'cooking_notes' : ''}).status_code; print('%s :: %s :: %s :: %s :: %s' %(a,1042,'water','water','Pudina Lemon Juice'))</t>
  </si>
  <si>
    <t xml:space="preserve">a = Client().post('/recipes/pudina-lemon-juice/detail/', {'recipe' : '62', 'ingredient' : '163', 'name' : 'PUDINA LEAVES', 'mass_unit' : '2', 'mass_quantity' : '0', 'volume_unit' : '1', 'volume_quantity' : '7', 'pieces_unit' : '3', 'pieces_quantity' : '0', 'cooking_notes' : ''}).status_code; print('%s :: %s :: %s :: %s :: %s' %(a,1043,'PUDINA LEAVES','pudina leaves','Pudina Lemon Juice'))</t>
  </si>
  <si>
    <t xml:space="preserve">a = Client().post('/recipes/pudina-lemon-juice/detail/', {'recipe' : '62', 'ingredient' : '177', 'name' : 'regular salt', 'mass_unit' : '2', 'mass_quantity' : '0', 'volume_unit' : '5', 'volume_quantity' : '0.5', 'pieces_unit' : '3', 'pieces_quantity' : '0', 'cooking_notes' : ''}).status_code; print('%s :: %s :: %s :: %s :: %s' %(a,1044,'regular salt','salt','Pudina Lemon Juice'))</t>
  </si>
  <si>
    <t xml:space="preserve">a = Client().post('/recipes/pudina-lemon-juice/detail/', {'recipe' : '62', 'ingredient' : '32', 'name' : 'black salt', 'mass_unit' : '2', 'mass_quantity' : '0', 'volume_unit' : '5', 'volume_quantity' : '0.5', 'pieces_unit' : '3', 'pieces_quantity' : '0', 'cooking_notes' : ''}).status_code; print('%s :: %s :: %s :: %s :: %s' %(a,1045,'black salt','black salt','Pudina Lemon Juice'))</t>
  </si>
  <si>
    <t xml:space="preserve">a = Client().post('/recipes/pudina-lemon-juice/detail/', {'recipe' : '62', 'ingredient' : '187', 'name' : 'sugar', 'mass_unit' : '2', 'mass_quantity' : '3.5', 'volume_unit' : '1', 'volume_quantity' : '0', 'pieces_unit' : '3', 'pieces_quantity' : '0', 'cooking_notes' : ''}).status_code; print('%s :: %s :: %s :: %s :: %s' %(a,1046,'sugar','sugar','Pudina Lemon Juice'))</t>
  </si>
  <si>
    <t xml:space="preserve">/recipes/variyali/detail/</t>
  </si>
  <si>
    <t xml:space="preserve">a = Client().post('/recipes/variyali/detail/', {'recipe' : '87', 'ingredient' : '17', 'name' : 'badi sauf', 'mass_unit' : '2', 'mass_quantity' : '1', 'volume_unit' : '1', 'volume_quantity' : '0', 'pieces_unit' : '3', 'pieces_quantity' : '0', 'cooking_notes' : ''}).status_code; print('%s :: %s :: %s :: %s :: %s' %(a,1048,'badi sauf','badi sauf','Variyali'))</t>
  </si>
  <si>
    <t xml:space="preserve">a = Client().post('/recipes/variyali/detail/', {'recipe' : '87', 'ingredient' : '214', 'name' : 'water', 'mass_unit' : '2', 'mass_quantity' : '0', 'volume_unit' : '1', 'volume_quantity' : '35', 'pieces_unit' : '3', 'pieces_quantity' : '0', 'cooking_notes' : ''}).status_code; print('%s :: %s :: %s :: %s :: %s' %(a,1049,'water','water','Variyali'))</t>
  </si>
  <si>
    <t xml:space="preserve">a = Client().post('/recipes/variyali/detail/', {'recipe' : '87', 'ingredient' : '187', 'name' : 'sugar', 'mass_unit' : '2', 'mass_quantity' : '3', 'volume_unit' : '1', 'volume_quantity' : '0', 'pieces_unit' : '3', 'pieces_quantity' : '0', 'cooking_notes' : ''}).status_code; print('%s :: %s :: %s :: %s :: %s' %(a,1050,'sugar','sugar','Variyali'))</t>
  </si>
  <si>
    <t xml:space="preserve">/recipes/sweet-corn-soup/detail/</t>
  </si>
  <si>
    <t xml:space="preserve">a = Client().post('/recipes/sweet-corn-soup/detail/', {'recipe' : '77', 'ingredient' : '188', 'name' : 'sweet corn', 'mass_unit' : '2', 'mass_quantity' : '3.5', 'volume_unit' : '1', 'volume_quantity' : '0', 'pieces_unit' : '3', 'pieces_quantity' : '0', 'cooking_notes' : ''}).status_code; print('%s :: %s :: %s :: %s :: %s' %(a,1052,'sweet corn','sweet corn','Sweet Corn Soup'))</t>
  </si>
  <si>
    <t xml:space="preserve">a = Client().post('/recipes/sweet-corn-soup/detail/', {'recipe' : '77', 'ingredient' : '97', 'name' : 'hot water', 'mass_unit' : '2', 'mass_quantity' : '0', 'volume_unit' : '1', 'volume_quantity' : '30', 'pieces_unit' : '3', 'pieces_quantity' : '0', 'cooking_notes' : ''}).status_code; print('%s :: %s :: %s :: %s :: %s' %(a,1053,'hot water','hot water','Sweet Corn Soup'))</t>
  </si>
  <si>
    <t xml:space="preserve">a = Client().post('/recipes/sweet-corn-soup/detail/', {'recipe' : '77', 'ingredient' : '32', 'name' : 'black salt', 'mass_unit' : '2', 'mass_quantity' : '0', 'volume_unit' : '1', 'volume_quantity' : '0', 'pieces_unit' : '3', 'pieces_quantity' : '0', 'cooking_notes' : ''}).status_code; print('%s :: %s :: %s :: %s :: %s' %(a,1054,'black salt','black salt','Sweet Corn Soup'))</t>
  </si>
  <si>
    <t xml:space="preserve">a = Client().post('/recipes/sweet-corn-soup/detail/', {'recipe' : '77', 'ingredient' : '57', 'name' : 'corn flour', 'mass_unit' : '2', 'mass_quantity' : '0', 'volume_unit' : '1', 'volume_quantity' : '0', 'pieces_unit' : '3', 'pieces_quantity' : '0', 'cooking_notes' : ''}).status_code; print('%s :: %s :: %s :: %s :: %s' %(a,1055,'corn flour','corn flour','Sweet Corn Soup'))</t>
  </si>
  <si>
    <t xml:space="preserve">/recipes/herbal-tea/detail/</t>
  </si>
  <si>
    <t xml:space="preserve">a = Client().post('/recipes/herbal-tea/detail/', {'recipe' : '30', 'ingredient' : '145', 'name' : 'milk', 'mass_unit' : '2', 'mass_quantity' : '0', 'volume_unit' : '1', 'volume_quantity' : '50', 'pieces_unit' : '3', 'pieces_quantity' : '0', 'cooking_notes' : ''}).status_code; print('%s :: %s :: %s :: %s :: %s' %(a,1057,'milk','milk','Herbal Tea'))</t>
  </si>
  <si>
    <t xml:space="preserve">a = Client().post('/recipes/herbal-tea/detail/', {'recipe' : '30', 'ingredient' : '214', 'name' : 'water', 'mass_unit' : '2', 'mass_quantity' : '0', 'volume_unit' : '1', 'volume_quantity' : '10', 'pieces_unit' : '3', 'pieces_quantity' : '0', 'cooking_notes' : ''}).status_code; print('%s :: %s :: %s :: %s :: %s' %(a,1058,'water','water','Herbal Tea'))</t>
  </si>
  <si>
    <t xml:space="preserve">a = Client().post('/recipes/herbal-tea/detail/', {'recipe' : '30', 'ingredient' : '94', 'name' : 'herbal tea powder', 'mass_unit' : '7', 'mass_quantity' : '400', 'volume_unit' : '1', 'volume_quantity' : '0', 'pieces_unit' : '3', 'pieces_quantity' : '0', 'cooking_notes' : ''}).status_code; print('%s :: %s :: %s :: %s :: %s' %(a,1059,'herbal tea powder','herbal tea powder','Herbal Tea'))</t>
  </si>
  <si>
    <t xml:space="preserve">a = Client().post('/recipes/herbal-tea/detail/', {'recipe' : '30', 'ingredient' : '187', 'name' : 'sugar', 'mass_unit' : '2', 'mass_quantity' : '5.5', 'volume_unit' : '1', 'volume_quantity' : '0', 'pieces_unit' : '3', 'pieces_quantity' : '0', 'cooking_notes' : ''}).status_code; print('%s :: %s :: %s :: %s :: %s' %(a,1060,'sugar','sugar','Herbal Tea'))</t>
  </si>
  <si>
    <t xml:space="preserve">a = Client().post('/recipes/herbal-tea/detail/', {'recipe' : '30', 'ingredient' : '71', 'name' : 'elaichi powder', 'mass_unit' : '2', 'mass_quantity' : '0', 'volume_unit' : '5', 'volume_quantity' : '0.25', 'pieces_unit' : '3', 'pieces_quantity' : '0', 'cooking_notes' : ''}).status_code; print('%s :: %s :: %s :: %s :: %s' %(a,1061,'elaichi powder','elaichi powder','Herbal Tea'))</t>
  </si>
  <si>
    <t xml:space="preserve">/recipes/barley-ragi-regira-malt/detail/</t>
  </si>
  <si>
    <t xml:space="preserve">a = Client().post('/recipes/barley-ragi-regira-malt/detail/', {'recipe' : '7', 'ingredient' : '214', 'name' : 'water', 'mass_unit' : '2', 'mass_quantity' : '0', 'volume_unit' : '1', 'volume_quantity' : '30', 'pieces_unit' : '3', 'pieces_quantity' : '0', 'cooking_notes' : ''}).status_code; print('%s :: %s :: %s :: %s :: %s' %(a,1063,'water','water','Barley / Ragi / Regira Malt'))</t>
  </si>
  <si>
    <t xml:space="preserve">a = Client().post('/recipes/barley-ragi-regira-malt/detail/', {'recipe' : '7', 'ingredient' : '23', 'name' : 'BARLEY/RAGI/RAJGIRA', 'mass_unit' : '2', 'mass_quantity' : '1', 'volume_unit' : '1', 'volume_quantity' : '0', 'pieces_unit' : '3', 'pieces_quantity' : '0', 'cooking_notes' : ''}).status_code; print('%s :: %s :: %s :: %s :: %s' %(a,1064,'BARLEY/RAGI/RAJGIRA','barley','Barley / Ragi / Regira Malt'))</t>
  </si>
  <si>
    <t xml:space="preserve">a = Client().post('/recipes/barley-ragi-regira-malt/detail/', {'recipe' : '7', 'ingredient' : '90', 'name' : 'jaggary', 'mass_unit' : '2', 'mass_quantity' : '4.5', 'volume_unit' : '1', 'volume_quantity' : '0', 'pieces_unit' : '3', 'pieces_quantity' : '0', 'cooking_notes' : ''}).status_code; print('%s :: %s :: %s :: %s :: %s' %(a,1065,'jaggary','gud','Barley / Ragi / Regira Malt'))</t>
  </si>
  <si>
    <t xml:space="preserve">a = Client().post('/recipes/barley-ragi-regira-malt/detail/', {'recipe' : '7', 'ingredient' : '64', 'name' : 'dates', 'mass_unit' : '2', 'mass_quantity' : '1', 'volume_unit' : '1', 'volume_quantity' : '0', 'pieces_unit' : '3', 'pieces_quantity' : '0', 'cooking_notes' : ''}).status_code; print('%s :: %s :: %s :: %s :: %s' %(a,1066,'dates','dates','Barley / Ragi / Regira Malt'))</t>
  </si>
  <si>
    <t xml:space="preserve">a = Client().post('/recipes/barley-ragi-regira-malt/detail/', {'recipe' : '7', 'ingredient' : '71', 'name' : 'elaichi powder', 'mass_unit' : '2', 'mass_quantity' : '0', 'volume_unit' : '5', 'volume_quantity' : '0.25', 'pieces_unit' : '3', 'pieces_quantity' : '0', 'cooking_notes' : ''}).status_code; print('%s :: %s :: %s :: %s :: %s' %(a,1067,'elaichi powder','elaichi powder','Barley / Ragi / Regira Malt'))</t>
  </si>
  <si>
    <t xml:space="preserve">/recipes/lemon-grass/detail/</t>
  </si>
  <si>
    <t xml:space="preserve">a = Client().post('/recipes/lemon-grass/detail/', {'recipe' : '42', 'ingredient' : '130', 'name' : 'lemon grass', 'mass_unit' : '2', 'mass_quantity' : '3', 'volume_unit' : '1', 'volume_quantity' : '0', 'pieces_unit' : '3', 'pieces_quantity' : '0', 'cooking_notes' : ''}).status_code; print('%s :: %s :: %s :: %s :: %s' %(a,1069,'lemon grass','lemon grass','Lemon Grass'))</t>
  </si>
  <si>
    <t xml:space="preserve">a = Client().post('/recipes/lemon-grass/detail/', {'recipe' : '42', 'ingredient' : '129', 'name' : 'lemon juice', 'mass_unit' : '2', 'mass_quantity' : '0', 'volume_unit' : '5', 'volume_quantity' : '3', 'pieces_unit' : '3', 'pieces_quantity' : '0', 'cooking_notes' : ''}).status_code; print('%s :: %s :: %s :: %s :: %s' %(a,1070,'lemon juice','lemon','Lemon Grass'))</t>
  </si>
  <si>
    <t xml:space="preserve">a = Client().post('/recipes/lemon-grass/detail/', {'recipe' : '42', 'ingredient' : '1', 'name' : 'ginger', 'mass_unit' : '2', 'mass_quantity' : '0', 'volume_unit' : '5', 'volume_quantity' : '2', 'pieces_unit' : '3', 'pieces_quantity' : '0', 'cooking_notes' : ''}).status_code; print('%s :: %s :: %s :: %s :: %s' %(a,1071,'ginger','adrak','Lemon Grass'))</t>
  </si>
  <si>
    <t xml:space="preserve">a = Client().post('/recipes/lemon-grass/detail/', {'recipe' : '42', 'ingredient' : '187', 'name' : 'sugar', 'mass_unit' : '2', 'mass_quantity' : '3', 'volume_unit' : '1', 'volume_quantity' : '0', 'pieces_unit' : '3', 'pieces_quantity' : '0', 'cooking_notes' : ''}).status_code; print('%s :: %s :: %s :: %s :: %s' %(a,1072,'sugar','sugar','Lemon Grass'))</t>
  </si>
  <si>
    <t xml:space="preserve">/recipes/coconut-chutney/detail/</t>
  </si>
  <si>
    <t xml:space="preserve">a = Client().post('/recipes/coconut-chutney/detail/', {'recipe' : '14', 'ingredient' : '54', 'name' : 'COCONUT', 'mass_unit' : '2', 'mass_quantity' : '0', 'volume_unit' : '1', 'volume_quantity' : '0', 'pieces_unit' : '3', 'pieces_quantity' : '12', 'cooking_notes' : ''}).status_code; print('%s :: %s :: %s :: %s :: %s' %(a,1074,'COCONUT','coconut','Coconut Chutney'))</t>
  </si>
  <si>
    <t xml:space="preserve">a = Client().post('/recipes/coconut-chutney/detail/', {'recipe' : '14', 'ingredient' : '93', 'name' : 'green chili', 'mass_unit' : '2', 'mass_quantity' : '0', 'volume_unit' : '1', 'volume_quantity' : '0.3', 'pieces_unit' : '3', 'pieces_quantity' : '0', 'cooking_notes' : ''}).status_code; print('%s :: %s :: %s :: %s :: %s' %(a,1075,'green chili','hari mirchi','Coconut Chutney'))</t>
  </si>
  <si>
    <t xml:space="preserve">a = Client().post('/recipes/coconut-chutney/detail/', {'recipe' : '14', 'ingredient' : '66', 'name' : 'dhaniya patta', 'mass_unit' : '2', 'mass_quantity' : '0', 'volume_unit' : '1', 'volume_quantity' : '1', 'pieces_unit' : '3', 'pieces_quantity' : '0', 'cooking_notes' : ''}).status_code; print('%s :: %s :: %s :: %s :: %s' %(a,1076,'dhaniya patta','dhaniya patta','Coconut Chutney'))</t>
  </si>
  <si>
    <t xml:space="preserve">a = Client().post('/recipes/coconut-chutney/detail/', {'recipe' : '14', 'ingredient' : '62', 'name' : 'daliya', 'mass_unit' : '2', 'mass_quantity' : '1.5', 'volume_unit' : '1', 'volume_quantity' : '0', 'pieces_unit' : '3', 'pieces_quantity' : '0', 'cooking_notes' : ''}).status_code; print('%s :: %s :: %s :: %s :: %s' %(a,1077,'daliya','daliya','Coconut Chutney'))</t>
  </si>
  <si>
    <t xml:space="preserve">a = Client().post('/recipes/coconut-chutney/detail/', {'recipe' : '14', 'ingredient' : '177', 'name' : 'salt', 'mass_unit' : '2', 'mass_quantity' : '0', 'volume_unit' : '5', 'volume_quantity' : '0.75', 'pieces_unit' : '3', 'pieces_quantity' : '0', 'cooking_notes' : ''}).status_code; print('%s :: %s :: %s :: %s :: %s' %(a,1078,'salt','salt','Coconut Chutney'))</t>
  </si>
  <si>
    <t xml:space="preserve">a = Client().post('/recipes/coconut-chutney/detail/', {'recipe' : '14', 'ingredient' : '190', 'name' : 'tamrind', 'mass_unit' : '7', 'mass_quantity' : '50', 'volume_unit' : '1', 'volume_quantity' : '0', 'pieces_unit' : '3', 'pieces_quantity' : '0', 'cooking_notes' : ''}).status_code; print('%s :: %s :: %s :: %s :: %s' %(a,1079,'tamrind','tamrind','Coconut Chutney'))</t>
  </si>
  <si>
    <t xml:space="preserve">a = Client().post('/recipes/coconut-chutney/detail/', {'recipe' : '14', 'ingredient' : '55', 'name' : 'coconut oil', 'mass_unit' : '2', 'mass_quantity' : '0', 'volume_unit' : '12', 'volume_quantity' : '200', 'pieces_unit' : '3', 'pieces_quantity' : '0', 'cooking_notes' : ''}).status_code; print('%s :: %s :: %s :: %s :: %s' %(a,1080,'coconut oil','coconut oil','Coconut Chutney'))</t>
  </si>
  <si>
    <t xml:space="preserve">a = Client().post('/recipes/coconut-chutney/detail/', {'recipe' : '14', 'ingredient' : '46', 'name' : 'chana dal', 'mass_unit' : '2', 'mass_quantity' : '0', 'volume_unit' : '5', 'volume_quantity' : '0.7', 'pieces_unit' : '3', 'pieces_quantity' : '0', 'cooking_notes' : ''}).status_code; print('%s :: %s :: %s :: %s :: %s' %(a,1081,'chana dal','chana dal','Coconut Chutney'))</t>
  </si>
  <si>
    <t xml:space="preserve">a = Client().post('/recipes/coconut-chutney/detail/', {'recipe' : '14', 'ingredient' : '200', 'name' : 'urad dal', 'mass_unit' : '2', 'mass_quantity' : '0', 'volume_unit' : '5', 'volume_quantity' : '0.7', 'pieces_unit' : '3', 'pieces_quantity' : '0', 'cooking_notes' : ''}).status_code; print('%s :: %s :: %s :: %s :: %s' %(a,1082,'urad dal','urad dal','Coconut Chutney'))</t>
  </si>
  <si>
    <t xml:space="preserve">a = Client().post('/recipes/coconut-chutney/detail/', {'recipe' : '14', 'ingredient' : '134', 'name' : 'madrasi mirchi akkaha', 'mass_unit' : '2', 'mass_quantity' : '0', 'volume_unit' : '5', 'volume_quantity' : '1', 'pieces_unit' : '3', 'pieces_quantity' : '0', 'cooking_notes' : ''}).status_code; print('%s :: %s :: %s :: %s :: %s' %(a,1083,'madrasi mirchi akkaha','madrasi mirchi akkaha','Coconut Chutney'))</t>
  </si>
  <si>
    <t xml:space="preserve">/recipes/alu-paratha/detail/</t>
  </si>
  <si>
    <t xml:space="preserve">a = Client().post('/recipes/alu-paratha/detail/', {'recipe' : '6', 'ingredient' : '8', 'name' : 'potato', 'mass_unit' : '2', 'mass_quantity' : '40', 'volume_unit' : '1', 'volume_quantity' : '0', 'pieces_unit' : '3', 'pieces_quantity' : '0', 'cooking_notes' : ''}).status_code; print('%s :: %s :: %s :: %s :: %s' %(a,1089,'potato','alu','ALU PARATHA'))</t>
  </si>
  <si>
    <t xml:space="preserve">a = Client().post('/recipes/alu-paratha/detail/', {'recipe' : '6', 'ingredient' : '93', 'name' : 'green chili choppd', 'mass_unit' : '2', 'mass_quantity' : '0', 'volume_unit' : '1', 'volume_quantity' : '1', 'pieces_unit' : '3', 'pieces_quantity' : '0', 'cooking_notes' : ''}).status_code; print('%s :: %s :: %s :: %s :: %s' %(a,1090,'green chili choppd','hari mirchi','ALU PARATHA'))</t>
  </si>
  <si>
    <t xml:space="preserve">a = Client().post('/recipes/alu-paratha/detail/', {'recipe' : '6', 'ingredient' : '66', 'name' : 'dhaniya patta', 'mass_unit' : '2', 'mass_quantity' : '0', 'volume_unit' : '1', 'volume_quantity' : '5', 'pieces_unit' : '3', 'pieces_quantity' : '0', 'cooking_notes' : ''}).status_code; print('%s :: %s :: %s :: %s :: %s' %(a,1091,'dhaniya patta','dhaniya patta','ALU PARATHA'))</t>
  </si>
  <si>
    <t xml:space="preserve">a = Client().post('/recipes/alu-paratha/detail/', {'recipe' : '6', 'ingredient' : '1', 'name' : 'adrak paste', 'mass_unit' : '2', 'mass_quantity' : '0', 'volume_unit' : '1', 'volume_quantity' : '1', 'pieces_unit' : '3', 'pieces_quantity' : '0', 'cooking_notes' : ''}).status_code; print('%s :: %s :: %s :: %s :: %s' %(a,1092,'adrak paste','adrak','ALU PARATHA'))</t>
  </si>
  <si>
    <t xml:space="preserve">a = Client().post('/recipes/alu-paratha/detail/', {'recipe' : '6', 'ingredient' : '204', 'name' : 'wheat flour', 'mass_unit' : '2', 'mass_quantity' : '15', 'volume_unit' : '1', 'volume_quantity' : '0', 'pieces_unit' : '3', 'pieces_quantity' : '0', 'cooking_notes' : ''}).status_code; print('%s :: %s :: %s :: %s :: %s' %(a,1093,'wheat flour','wheat flour','ALU PARATHA'))</t>
  </si>
  <si>
    <t xml:space="preserve">/recipes/dhokla/detail/</t>
  </si>
  <si>
    <t xml:space="preserve">a = Client().post('/recipes/dhokla/detail/', {'recipe' : '19', 'ingredient' : '54', 'name' : 'coconut', 'mass_unit' : '2', 'mass_quantity' : '0', 'volume_unit' : '1', 'volume_quantity' : '0', 'pieces_unit' : '3', 'pieces_quantity' : '5', 'cooking_notes' : ''}).status_code; print('%s :: %s :: %s :: %s :: %s' %(a,1096,'coconut','coconut','DHOKLA'))</t>
  </si>
  <si>
    <t xml:space="preserve">a = Client().post('/recipes/dhokla/detail/', {'recipe' : '19', 'ingredient' : '66', 'name' : 'dhaniya patta', 'mass_unit' : '2', 'mass_quantity' : '0', 'volume_unit' : '1', 'volume_quantity' : '4', 'pieces_unit' : '3', 'pieces_quantity' : '0', 'cooking_notes' : ''}).status_code; print('%s :: %s :: %s :: %s :: %s' %(a,1097,'dhaniya patta','dhaniya patta','DHOKLA'))</t>
  </si>
  <si>
    <t xml:space="preserve">a = Client().post('/recipes/dhokla/detail/', {'recipe' : '19', 'ingredient' : '214', 'name' : 'water( for dough of besan)', 'mass_unit' : '2', 'mass_quantity' : '0', 'volume_unit' : '1', 'volume_quantity' : '2', 'pieces_unit' : '3', 'pieces_quantity' : '0', 'cooking_notes' : ''}).status_code; print('%s :: %s :: %s :: %s :: %s' %(a,1098,'water( for dough of besan)','water','DHOKLA'))</t>
  </si>
  <si>
    <t xml:space="preserve">a = Client().post('/recipes/dhokla/detail/', {'recipe' : '19', 'ingredient' : '214', 'name' : 'water for stem', 'mass_unit' : '2', 'mass_quantity' : '0', 'volume_unit' : '1', 'volume_quantity' : '20', 'pieces_unit' : '3', 'pieces_quantity' : '0', 'cooking_notes' : ''}).status_code; print('%s :: %s :: %s :: %s :: %s' %(a,1099,'water for stem','water','DHOKLA'))</t>
  </si>
  <si>
    <t xml:space="preserve">a = Client().post('/recipes/dhokla/detail/', {'recipe' : '19', 'ingredient' : '28', 'name' : 'barik besan flour', 'mass_unit' : '2', 'mass_quantity' : '1.75', 'volume_unit' : '1', 'volume_quantity' : '0', 'pieces_unit' : '3', 'pieces_quantity' : '120', 'cooking_notes' : ''}).status_code; print('%s :: %s :: %s :: %s :: %s' %(a,1100,'barik besan flour','besan','DHOKLA'))</t>
  </si>
  <si>
    <t xml:space="preserve">a = Client().post('/recipes/dhokla/detail/', {'recipe' : '19', 'ingredient' : '89', 'name' : 'ground nut oil', 'mass_unit' : '2', 'mass_quantity' : '0', 'volume_unit' : '12', 'volume_quantity' : '200', 'pieces_unit' : '3', 'pieces_quantity' : '0', 'cooking_notes' : ''}).status_code; print('%s :: %s :: %s :: %s :: %s' %(a,1101,'ground nut oil','ground nut oil','DHOKLA'))</t>
  </si>
  <si>
    <t xml:space="preserve">a = Client().post('/recipes/dhokla/detail/', {'recipe' : '19', 'ingredient' : '187', 'name' : 'sugar', 'mass_unit' : '7', 'mass_quantity' : '250', 'volume_unit' : '1', 'volume_quantity' : '0', 'pieces_unit' : '3', 'pieces_quantity' : '0', 'cooking_notes' : ''}).status_code; print('%s :: %s :: %s :: %s :: %s' %(a,1102,'sugar','sugar','DHOKLA'))</t>
  </si>
  <si>
    <t xml:space="preserve">a = Client().post('/recipes/dhokla/detail/', {'recipe' : '19', 'ingredient' : '150', 'name' : 'citric acid( NIMBU FOOL)', 'mass_unit' : '7', 'mass_quantity' : '50', 'volume_unit' : '1', 'volume_quantity' : '0', 'pieces_unit' : '3', 'pieces_quantity' : '0', 'cooking_notes' : ''}).status_code; print('%s :: %s :: %s :: %s :: %s' %(a,1103,'citric acid( NIMBU FOOL)','nimbu fool','DHOKLA'))</t>
  </si>
  <si>
    <t xml:space="preserve">a = Client().post('/recipes/dhokla/detail/', {'recipe' : '19', 'ingredient' : '177', 'name' : 'salt', 'mass_unit' : '7', 'mass_quantity' : '50', 'volume_unit' : '1', 'volume_quantity' : '0', 'pieces_unit' : '3', 'pieces_quantity' : '0', 'cooking_notes' : ''}).status_code; print('%s :: %s :: %s :: %s :: %s' %(a,1104,'salt','salt','DHOKLA'))</t>
  </si>
  <si>
    <t xml:space="preserve">a = Client().post('/recipes/dhokla/detail/', {'recipe' : '19', 'ingredient' : '91', 'name' : 'haldi', 'mass_unit' : '2', 'mass_quantity' : '0', 'volume_unit' : '10', 'volume_quantity' : '1', 'pieces_unit' : '3', 'pieces_quantity' : '0', 'cooking_notes' : ''}).status_code; print('%s :: %s :: %s :: %s :: %s' %(a,1105,'haldi','haldi','DHOKLA'))</t>
  </si>
  <si>
    <t xml:space="preserve">a = Client().post('/recipes/dhokla/detail/', {'recipe' : '19', 'ingredient' : '120', 'name' : ' khane ka soda', 'mass_unit' : '2', 'mass_quantity' : '0', 'volume_unit' : '10', 'volume_quantity' : '3', 'pieces_unit' : '3', 'pieces_quantity' : '0', 'cooking_notes' : ''}).status_code; print('%s :: %s :: %s :: %s :: %s' %(a,1106,' khane ka soda','khane ka soda','DHOKLA'))</t>
  </si>
  <si>
    <t xml:space="preserve">a = Client().post('/recipes/dhokla/detail/', {'recipe' : '19', 'ingredient' : '179', 'name' : 'sauf', 'mass_unit' : '2', 'mass_quantity' : '0', 'volume_unit' : '5', 'volume_quantity' : '0.5', 'pieces_unit' : '3', 'pieces_quantity' : '0', 'cooking_notes' : ''}).status_code; print('%s :: %s :: %s :: %s :: %s' %(a,1107,'sauf','sauf','DHOKLA'))</t>
  </si>
  <si>
    <t xml:space="preserve">a = Client().post('/recipes/dhokla/detail/', {'recipe' : '19', 'ingredient' : '164', 'name' : 'rai', 'mass_unit' : '2', 'mass_quantity' : '0', 'volume_unit' : '5', 'volume_quantity' : '0.5', 'pieces_unit' : '3', 'pieces_quantity' : '0', 'cooking_notes' : ''}).status_code; print('%s :: %s :: %s :: %s :: %s' %(a,1108,'rai','rai','DHOKLA'))</t>
  </si>
  <si>
    <t xml:space="preserve">a = Client().post('/recipes/dhokla/detail/', {'recipe' : '19', 'ingredient' : '83', 'name' : 'oil', 'mass_unit' : '2', 'mass_quantity' : '0', 'volume_unit' : '12', 'volume_quantity' : '200', 'pieces_unit' : '3', 'pieces_quantity' : '0', 'cooking_notes' : ''}).status_code; print('%s :: %s :: %s :: %s :: %s' %(a,1109,'oil','gound nut oil','DHOKLA'))</t>
  </si>
  <si>
    <t xml:space="preserve">a = Client().post('/recipes/dhokla/detail/', {'recipe' : '19', 'ingredient' : '187', 'name' : 'sugar', 'mass_unit' : '7', 'mass_quantity' : '500', 'volume_unit' : '1', 'volume_quantity' : '0', 'pieces_unit' : '3', 'pieces_quantity' : '0', 'cooking_notes' : ''}).status_code; print('%s :: %s :: %s :: %s :: %s' %(a,1110,'sugar','sugar','DHOKLA'))</t>
  </si>
  <si>
    <t xml:space="preserve">a = Client().post('/recipes/dhokla/detail/', {'recipe' : '19', 'ingredient' : '214', 'name' : 'water', 'mass_unit' : '2', 'mass_quantity' : '0', 'volume_unit' : '1', 'volume_quantity' : '3', 'pieces_unit' : '3', 'pieces_quantity' : '0', 'cooking_notes' : ''}).status_code; print('%s :: %s :: %s :: %s :: %s' %(a,1111,'water','water','DHOKLA'))</t>
  </si>
  <si>
    <t xml:space="preserve">/recipes/green-chutney-dhokla-and-mumbai-bhel/detail/</t>
  </si>
  <si>
    <t xml:space="preserve">a = Client().post('/recipes/green-chutney-dhokla-and-mumbai-bhel/detail/', {'recipe' : '28', 'ingredient' : '66', 'name' : 'dhaniya patta', 'mass_unit' : '2', 'mass_quantity' : '0', 'volume_unit' : '1', 'volume_quantity' : '0', 'pieces_unit' : '8', 'pieces_quantity' : '8', 'cooking_notes' : ''}).status_code; print('%s :: %s :: %s :: %s :: %s' %(a,1113,'dhaniya patta','dhaniya patta','green chutney -Dhokla AND MUMBAI  BHEL'))</t>
  </si>
  <si>
    <t xml:space="preserve">a = Client().post('/recipes/green-chutney-dhokla-and-mumbai-bhel/detail/', {'recipe' : '28', 'ingredient' : '62', 'name' : 'dalia', 'mass_unit' : '2', 'mass_quantity' : '250', 'volume_unit' : '1', 'volume_quantity' : '0', 'pieces_unit' : '3', 'pieces_quantity' : '0', 'cooking_notes' : 'when u take  this chutney for '}).status_code; print('%s :: %s :: %s :: %s :: %s' %(a,1114,'dalia','daliya','green chutney -Dhokla AND MUMBAI  BHEL'))</t>
  </si>
  <si>
    <t xml:space="preserve">a = Client().post('/recipes/green-chutney-dhokla-and-mumbai-bhel/detail/', {'recipe' : '28', 'ingredient' : '163', 'name' : 'pudina leaves', 'mass_unit' : '2', 'mass_quantity' : '0', 'volume_unit' : '1', 'volume_quantity' : '0', 'pieces_unit' : '8', 'pieces_quantity' : '2', 'cooking_notes' : 'mumbai bhel add 50 gm chilli'}).status_code; print('%s :: %s :: %s :: %s :: %s' %(a,1115,'pudina leaves','pudina leaves','green chutney -Dhokla AND MUMBAI  BHEL'))</t>
  </si>
  <si>
    <t xml:space="preserve">a = Client().post('/recipes/green-chutney-dhokla-and-mumbai-bhel/detail/', {'recipe' : '28', 'ingredient' : '129', 'name' : 'lemon juice', 'mass_unit' : '2', 'mass_quantity' : '0', 'volume_unit' : '5', 'volume_quantity' : '0.5', 'pieces_unit' : '3', 'pieces_quantity' : '0', 'cooking_notes' : ''}).status_code; print('%s :: %s :: %s :: %s :: %s' %(a,1116,'lemon juice','lemon','green chutney -Dhokla AND MUMBAI  BHEL'))</t>
  </si>
  <si>
    <t xml:space="preserve">a = Client().post('/recipes/green-chutney-dhokla-and-mumbai-bhel/detail/', {'recipe' : '28', 'ingredient' : '177', 'name' : 'salt', 'mass_unit' : '2', 'mass_quantity' : '0', 'volume_unit' : '5', 'volume_quantity' : '0.5', 'pieces_unit' : '3', 'pieces_quantity' : '0', 'cooking_notes' : ''}).status_code; print('%s :: %s :: %s :: %s :: %s' %(a,1117,'salt','salt','green chutney -Dhokla AND MUMBAI  BHEL'))</t>
  </si>
  <si>
    <t xml:space="preserve">a = Client().post('/recipes/green-chutney-dhokla-and-mumbai-bhel/detail/', {'recipe' : '28', 'ingredient' : '93', 'name' : 'chili (only for Bhel)', 'mass_unit' : '7', 'mass_quantity' : '50', 'volume_unit' : '1', 'volume_quantity' : '0', 'pieces_unit' : '3', 'pieces_quantity' : '0', 'cooking_notes' : ''}).status_code; print('%s :: %s :: %s :: %s :: %s' %(a,1118,'chili (only for Bhel)','hari mirchi','green chutney -Dhokla AND MUMBAI  BHEL'))</t>
  </si>
  <si>
    <t xml:space="preserve">/recipes/patla-poha/detail/</t>
  </si>
  <si>
    <t xml:space="preserve">a = Client().post('/recipes/patla-poha/detail/', {'recipe' : '55', 'ingredient' : '140', 'name' : 'matar', 'mass_unit' : '2', 'mass_quantity' : '5', 'volume_unit' : '1', 'volume_quantity' : '0', 'pieces_unit' : '3', 'pieces_quantity' : '0', 'cooking_notes' : ''}).status_code; print('%s :: %s :: %s :: %s :: %s' %(a,1120,'matar','matar','PATLA POHA'))</t>
  </si>
  <si>
    <t xml:space="preserve">a = Client().post('/recipes/patla-poha/detail/', {'recipe' : '55', 'ingredient' : '79', 'name' : 'gajar', 'mass_unit' : '2', 'mass_quantity' : '10', 'volume_unit' : '1', 'volume_quantity' : '0', 'pieces_unit' : '3', 'pieces_quantity' : '0', 'cooking_notes' : ''}).status_code; print('%s :: %s :: %s :: %s :: %s' %(a,1121,'gajar','gajar','PATLA POHA'))</t>
  </si>
  <si>
    <t xml:space="preserve">a = Client().post('/recipes/patla-poha/detail/', {'recipe' : '55', 'ingredient' : '111', 'name' : 'kakdi', 'mass_unit' : '2', 'mass_quantity' : '15', 'volume_unit' : '1', 'volume_quantity' : '0', 'pieces_unit' : '3', 'pieces_quantity' : '0', 'cooking_notes' : ''}).status_code; print('%s :: %s :: %s :: %s :: %s' %(a,1122,'kakdi','kakdi','PATLA POHA'))</t>
  </si>
  <si>
    <t xml:space="preserve">a = Client().post('/recipes/patla-poha/detail/', {'recipe' : '55', 'ingredient' : '195', 'name' : 'tomato', 'mass_unit' : '2', 'mass_quantity' : '8', 'volume_unit' : '1', 'volume_quantity' : '0', 'pieces_unit' : '3', 'pieces_quantity' : '0', 'cooking_notes' : ''}).status_code; print('%s :: %s :: %s :: %s :: %s' %(a,1123,'tomato','tomato','PATLA POHA'))</t>
  </si>
  <si>
    <t xml:space="preserve">a = Client().post('/recipes/patla-poha/detail/', {'recipe' : '55', 'ingredient' : '54', 'name' : 'coconut', 'mass_unit' : '2', 'mass_quantity' : '0', 'volume_unit' : '1', 'volume_quantity' : '0', 'pieces_unit' : '3', 'pieces_quantity' : '10', 'cooking_notes' : ''}).status_code; print('%s :: %s :: %s :: %s :: %s' %(a,1124,'coconut','coconut','PATLA POHA'))</t>
  </si>
  <si>
    <t xml:space="preserve">a = Client().post('/recipes/patla-poha/detail/', {'recipe' : '55', 'ingredient' : '66', 'name' : 'dhaniya patta', 'mass_unit' : '2', 'mass_quantity' : '0', 'volume_unit' : '1', 'volume_quantity' : '3', 'pieces_unit' : '3', 'pieces_quantity' : '0', 'cooking_notes' : ''}).status_code; print('%s :: %s :: %s :: %s :: %s' %(a,1125,'dhaniya patta','dhaniya patta','PATLA POHA'))</t>
  </si>
  <si>
    <t xml:space="preserve">a = Client().post('/recipes/patla-poha/detail/', {'recipe' : '55', 'ingredient' : '93', 'name' : 'green chilly long cut', 'mass_unit' : '2', 'mass_quantity' : '0', 'volume_unit' : '1', 'volume_quantity' : '1', 'pieces_unit' : '3', 'pieces_quantity' : '0', 'cooking_notes' : ''}).status_code; print('%s :: %s :: %s :: %s :: %s' %(a,1126,'green chilly long cut','hari mirchi','PATLA POHA'))</t>
  </si>
  <si>
    <t xml:space="preserve">a = Client().post('/recipes/patla-poha/detail/', {'recipe' : '55', 'ingredient' : '105', 'name' : 'kadipatta', 'mass_unit' : '2', 'mass_quantity' : '0', 'volume_unit' : '1', 'volume_quantity' : '1', 'pieces_unit' : '3', 'pieces_quantity' : '0', 'cooking_notes' : ''}).status_code; print('%s :: %s :: %s :: %s :: %s' %(a,1127,'kadipatta','kadi patta','PATLA POHA'))</t>
  </si>
  <si>
    <t xml:space="preserve">a = Client().post('/recipes/patla-poha/detail/', {'recipe' : '55', 'ingredient' : '157', 'name' : 'patala poha', 'mass_unit' : '2', 'mass_quantity' : '25', 'volume_unit' : '1', 'volume_quantity' : '0', 'pieces_unit' : '3', 'pieces_quantity' : '0', 'cooking_notes' : ''}).status_code; print('%s :: %s :: %s :: %s :: %s' %(a,1128,'patala poha','patala poha','PATLA POHA'))</t>
  </si>
  <si>
    <t xml:space="preserve">a = Client().post('/recipes/patla-poha/detail/', {'recipe' : '55', 'ingredient' : '187', 'name' : 'sugar', 'mass_unit' : '2', 'mass_quantity' : '2', 'volume_unit' : '1', 'volume_quantity' : '0', 'pieces_unit' : '3', 'pieces_quantity' : '0', 'cooking_notes' : ''}).status_code; print('%s :: %s :: %s :: %s :: %s' %(a,1129,'sugar','sugar','PATLA POHA'))</t>
  </si>
  <si>
    <t xml:space="preserve">a = Client().post('/recipes/patla-poha/detail/', {'recipe' : '55', 'ingredient' : '177', 'name' : 'salt', 'mass_unit' : '2', 'mass_quantity' : '0', 'volume_unit' : '5', 'volume_quantity' : '5', 'pieces_unit' : '3', 'pieces_quantity' : '0', 'cooking_notes' : ''}).status_code; print('%s :: %s :: %s :: %s :: %s' %(a,1130,'salt','salt','PATLA POHA'))</t>
  </si>
  <si>
    <t xml:space="preserve">a = Client().post('/recipes/patla-poha/detail/', {'recipe' : '55', 'ingredient' : '183', 'name' : 'singdana', 'mass_unit' : '2', 'mass_quantity' : '3', 'volume_unit' : '1', 'volume_quantity' : '0', 'pieces_unit' : '3', 'pieces_quantity' : '0', 'cooking_notes' : ''}).status_code; print('%s :: %s :: %s :: %s :: %s' %(a,1131,'singdana','singdana','PATLA POHA'))</t>
  </si>
  <si>
    <t xml:space="preserve">a = Client().post('/recipes/patla-poha/detail/', {'recipe' : '55', 'ingredient' : '89', 'name' : 'ground nut oil', 'mass_unit' : '2', 'mass_quantity' : '0', 'volume_unit' : '1', 'volume_quantity' : '5', 'pieces_unit' : '3', 'pieces_quantity' : '0', 'cooking_notes' : ''}).status_code; print('%s :: %s :: %s :: %s :: %s' %(a,1132,'ground nut oil','ground nut oil','PATLA POHA'))</t>
  </si>
  <si>
    <t xml:space="preserve">a = Client().post('/recipes/patla-poha/detail/', {'recipe' : '55', 'ingredient' : '164', 'name' : 'rai', 'mass_unit' : '2', 'mass_quantity' : '0', 'volume_unit' : '5', 'volume_quantity' : '2', 'pieces_unit' : '3', 'pieces_quantity' : '0', 'cooking_notes' : ''}).status_code; print('%s :: %s :: %s :: %s :: %s' %(a,1133,'rai','rai','PATLA POHA'))</t>
  </si>
  <si>
    <t xml:space="preserve">a = Client().post('/recipes/patla-poha/detail/', {'recipe' : '55', 'ingredient' : '102', 'name' : 'jeera ', 'mass_unit' : '2', 'mass_quantity' : '0', 'volume_unit' : '5', 'volume_quantity' : '2', 'pieces_unit' : '3', 'pieces_quantity' : '0', 'cooking_notes' : ''}).status_code; print('%s :: %s :: %s :: %s :: %s' %(a,1134,'jeera ','jeera','PATLA POHA'))</t>
  </si>
  <si>
    <t xml:space="preserve">a = Client().post('/recipes/patla-poha/detail/', {'recipe' : '55', 'ingredient' : '91', 'name' : 'haldi', 'mass_unit' : '2', 'mass_quantity' : '0', 'volume_unit' : '5', 'volume_quantity' : '1.5', 'pieces_unit' : '3', 'pieces_quantity' : '0', 'cooking_notes' : ''}).status_code; print('%s :: %s :: %s :: %s :: %s' %(a,1135,'haldi','haldi','PATLA POHA'))</t>
  </si>
  <si>
    <t xml:space="preserve">/recipes/mumbai-bhel/detail/</t>
  </si>
  <si>
    <t xml:space="preserve">a = Client().post('/recipes/mumbai-bhel/detail/', {'recipe' : '49', 'ingredient' : '93', 'name' : 'green chili chopped', 'mass_unit' : '2', 'mass_quantity' : '0', 'volume_unit' : '1', 'volume_quantity' : '1', 'pieces_unit' : '3', 'pieces_quantity' : '0', 'cooking_notes' : ''}).status_code; print('%s :: %s :: %s :: %s :: %s' %(a,1140,'green chili chopped','hari mirchi','MUMBAI BHEL'))</t>
  </si>
  <si>
    <t xml:space="preserve">a = Client().post('/recipes/mumbai-bhel/detail/', {'recipe' : '49', 'ingredient' : '93', 'name' : 'greeen chilly long cut', 'mass_unit' : '2', 'mass_quantity' : '0', 'volume_unit' : '1', 'volume_quantity' : '2', 'pieces_unit' : '3', 'pieces_quantity' : '0', 'cooking_notes' : '1 DAY BEFORE'}).status_code; print('%s :: %s :: %s :: %s :: %s' %(a,1141,'greeen chilly long cut','hari mirchi','MUMBAI BHEL'))</t>
  </si>
  <si>
    <t xml:space="preserve">a = Client().post('/recipes/mumbai-bhel/detail/', {'recipe' : '49', 'ingredient' : '129', 'name' : 'lemon juice', 'mass_unit' : '2', 'mass_quantity' : '0', 'volume_unit' : '1', 'volume_quantity' : '1', 'pieces_unit' : '3', 'pieces_quantity' : '0', 'cooking_notes' : 'in oil roast ALL  kurmura,singdana'}).status_code; print('%s :: %s :: %s :: %s :: %s' %(a,1142,'lemon juice','lemon','MUMBAI BHEL'))</t>
  </si>
  <si>
    <t xml:space="preserve">a = Client().post('/recipes/mumbai-bhel/detail/', {'recipe' : '49', 'ingredient' : '180', 'name' : 'sev', 'mass_unit' : '2', 'mass_quantity' : '6', 'volume_unit' : '1', 'volume_quantity' : '0', 'pieces_unit' : '3', 'pieces_quantity' : '0', 'cooking_notes' : ',daliya,green chili(1 ltr)'}).status_code; print('%s :: %s :: %s :: %s :: %s' %(a,1143,'sev','sev','MUMBAI BHEL'))</t>
  </si>
  <si>
    <t xml:space="preserve">a = Client().post('/recipes/mumbai-bhel/detail/', {'recipe' : '49', 'ingredient' : '195', 'name' : 'tomato', 'mass_unit' : '2', 'mass_quantity' : '10', 'volume_unit' : '1', 'volume_quantity' : '0', 'pieces_unit' : '3', 'pieces_quantity' : '0', 'cooking_notes' : 'with haldi,kashmiri chili pwd'}).status_code; print('%s :: %s :: %s :: %s :: %s' %(a,1144,'tomato','tomato','MUMBAI BHEL'))</t>
  </si>
  <si>
    <t xml:space="preserve">a = Client().post('/recipes/mumbai-bhel/detail/', {'recipe' : '49', 'ingredient' : '8', 'name' : 'potato', 'mass_unit' : '2', 'mass_quantity' : '10', 'volume_unit' : '1', 'volume_quantity' : '0', 'pieces_unit' : '3', 'pieces_quantity' : '0', 'cooking_notes' : 'nxt morning add other item'}).status_code; print('%s :: %s :: %s :: %s :: %s' %(a,1145,'potato','alu','MUMBAI BHEL'))</t>
  </si>
  <si>
    <t xml:space="preserve">a = Client().post('/recipes/mumbai-bhel/detail/', {'recipe' : '49', 'ingredient' : '111', 'name' : 'kakdi', 'mass_unit' : '2', 'mass_quantity' : '10', 'volume_unit' : '1', 'volume_quantity' : '0', 'pieces_unit' : '3', 'pieces_quantity' : '0', 'cooking_notes' : ''}).status_code; print('%s :: %s :: %s :: %s :: %s' %(a,1146,'kakdi','kakdi','MUMBAI BHEL'))</t>
  </si>
  <si>
    <t xml:space="preserve">a = Client().post('/recipes/mumbai-bhel/detail/', {'recipe' : '49', 'ingredient' : '66', 'name' : 'dhaniya patta', 'mass_unit' : '2', 'mass_quantity' : '0', 'volume_unit' : '1', 'volume_quantity' : '4', 'pieces_unit' : '3', 'pieces_quantity' : '0', 'cooking_notes' : ''}).status_code; print('%s :: %s :: %s :: %s :: %s' %(a,1147,'dhaniya patta','dhaniya patta','MUMBAI BHEL'))</t>
  </si>
  <si>
    <t xml:space="preserve">a = Client().post('/recipes/mumbai-bhel/detail/', {'recipe' : '49', 'ingredient' : '105', 'name' : 'kadipatta', 'mass_unit' : '2', 'mass_quantity' : '0', 'volume_unit' : '1', 'volume_quantity' : '2', 'pieces_unit' : '3', 'pieces_quantity' : '0', 'cooking_notes' : ''}).status_code; print('%s :: %s :: %s :: %s :: %s' %(a,1148,'kadipatta','kadi patta','MUMBAI BHEL'))</t>
  </si>
  <si>
    <t xml:space="preserve">a = Client().post('/recipes/mumbai-bhel/detail/', {'recipe' : '49', 'ingredient' : '126', 'name' : 'KURMURA ', 'mass_unit' : '2', 'mass_quantity' : '20', 'volume_unit' : '1', 'volume_quantity' : '0', 'pieces_unit' : '3', 'pieces_quantity' : '0', 'cooking_notes' : ''}).status_code; print('%s :: %s :: %s :: %s :: %s' %(a,1149,'KURMURA ','kurmura','MUMBAI BHEL'))</t>
  </si>
  <si>
    <t xml:space="preserve">a = Client().post('/recipes/mumbai-bhel/detail/', {'recipe' : '49', 'ingredient' : '177', 'name' : 'salt', 'mass_unit' : '2', 'mass_quantity' : '0', 'volume_unit' : '5', 'volume_quantity' : '2', 'pieces_unit' : '3', 'pieces_quantity' : '0', 'cooking_notes' : ''}).status_code; print('%s :: %s :: %s :: %s :: %s' %(a,1150,'salt','salt','MUMBAI BHEL'))</t>
  </si>
  <si>
    <t xml:space="preserve">a = Client().post('/recipes/mumbai-bhel/detail/', {'recipe' : '49', 'ingredient' : '135', 'name' : 'madrasi chilli powder', 'mass_unit' : '2', 'mass_quantity' : '0', 'volume_unit' : '5', 'volume_quantity' : '2.5', 'pieces_unit' : '3', 'pieces_quantity' : '0', 'cooking_notes' : ''}).status_code; print('%s :: %s :: %s :: %s :: %s' %(a,1151,'madrasi chilli powder','madrasi mirchi powder','MUMBAI BHEL'))</t>
  </si>
  <si>
    <t xml:space="preserve">a = Client().post('/recipes/mumbai-bhel/detail/', {'recipe' : '49', 'ingredient' : '91', 'name' : 'haldi powder', 'mass_unit' : '2', 'mass_quantity' : '0', 'volume_unit' : '5', 'volume_quantity' : '2.5', 'pieces_unit' : '3', 'pieces_quantity' : '0', 'cooking_notes' : ''}).status_code; print('%s :: %s :: %s :: %s :: %s' %(a,1152,'haldi powder','haldi','MUMBAI BHEL'))</t>
  </si>
  <si>
    <t xml:space="preserve">a = Client().post('/recipes/mumbai-bhel/detail/', {'recipe' : '49', 'ingredient' : '164', 'name' : 'rai', 'mass_unit' : '2', 'mass_quantity' : '0', 'volume_unit' : '5', 'volume_quantity' : '1', 'pieces_unit' : '3', 'pieces_quantity' : '0', 'cooking_notes' : ''}).status_code; print('%s :: %s :: %s :: %s :: %s' %(a,1153,'rai','rai','MUMBAI BHEL'))</t>
  </si>
  <si>
    <t xml:space="preserve">a = Client().post('/recipes/mumbai-bhel/detail/', {'recipe' : '49', 'ingredient' : '102', 'name' : 'jeera', 'mass_unit' : '2', 'mass_quantity' : '0', 'volume_unit' : '5', 'volume_quantity' : '2', 'pieces_unit' : '3', 'pieces_quantity' : '0', 'cooking_notes' : ''}).status_code; print('%s :: %s :: %s :: %s :: %s' %(a,1154,'jeera','jeera','MUMBAI BHEL'))</t>
  </si>
  <si>
    <t xml:space="preserve">a = Client().post('/recipes/mumbai-bhel/detail/', {'recipe' : '49', 'ingredient' : '6', 'name' : 'akkha madrasi mirh dry ', 'mass_unit' : '2', 'mass_quantity' : '0', 'volume_unit' : '1', 'volume_quantity' : '1', 'pieces_unit' : '3', 'pieces_quantity' : '0', 'cooking_notes' : ''}).status_code; print('%s :: %s :: %s :: %s :: %s' %(a,1155,'akkha madrasi mirh dry ','akkha madrasi mirchi','MUMBAI BHEL'))</t>
  </si>
  <si>
    <t xml:space="preserve">a = Client().post('/recipes/mumbai-bhel/detail/', {'recipe' : '49', 'ingredient' : '83', 'name' : 'oil', 'mass_unit' : '2', 'mass_quantity' : '0', 'volume_unit' : '1', 'volume_quantity' : '5', 'pieces_unit' : '3', 'pieces_quantity' : '0', 'cooking_notes' : ''}).status_code; print('%s :: %s :: %s :: %s :: %s' %(a,1156,'oil','gound nut oil','MUMBAI BHEL'))</t>
  </si>
  <si>
    <t xml:space="preserve">a = Client().post('/recipes/mumbai-bhel/detail/', {'recipe' : '49', 'ingredient' : '183', 'name' : ' singdana', 'mass_unit' : '2', 'mass_quantity' : '4', 'volume_unit' : '1', 'volume_quantity' : '0', 'pieces_unit' : '3', 'pieces_quantity' : '0', 'cooking_notes' : ''}).status_code; print('%s :: %s :: %s :: %s :: %s' %(a,1157,' singdana','singdana','MUMBAI BHEL'))</t>
  </si>
  <si>
    <t xml:space="preserve">a = Client().post('/recipes/mumbai-bhel/detail/', {'recipe' : '49', 'ingredient' : '62', 'name' : 'daliya ', 'mass_unit' : '2', 'mass_quantity' : '2', 'volume_unit' : '1', 'volume_quantity' : '0', 'pieces_unit' : '3', 'pieces_quantity' : '0', 'cooking_notes' : ''}).status_code; print('%s :: %s :: %s :: %s :: %s' %(a,1158,'daliya ','daliya','MUMBAI BHEL'))</t>
  </si>
  <si>
    <t xml:space="preserve">a = Client().post('/recipes/mumbai-bhel/detail/', {'recipe' : '49', 'ingredient' : '221', 'name' : 'MASALA FOR BHEL SABJI', 'mass_unit' : '2', 'mass_quantity' : '0', 'volume_unit' : '1', 'volume_quantity' : '0', 'pieces_unit' : '3', 'pieces_quantity' : '0', 'cooking_notes' : ''}).status_code; print('%s :: %s :: %s :: %s :: %s' %(a,1159,'MASALA FOR BHEL SABJI','masala for bhel sabji','MUMBAI BHEL'))</t>
  </si>
  <si>
    <t xml:space="preserve">a = Client().post('/recipes/mumbai-bhel/detail/', {'recipe' : '49', 'ingredient' : '47', 'name' : 'chat masala', 'mass_unit' : '2', 'mass_quantity' : '0', 'volume_unit' : '5', 'volume_quantity' : '2', 'pieces_unit' : '3', 'pieces_quantity' : '0', 'cooking_notes' : ''}).status_code; print('%s :: %s :: %s :: %s :: %s' %(a,1160,'chat masala','chat masala','MUMBAI BHEL'))</t>
  </si>
  <si>
    <t xml:space="preserve">a = Client().post('/recipes/mumbai-bhel/detail/', {'recipe' : '49', 'ingredient' : '177', 'name' : 'regular salt', 'mass_unit' : '2', 'mass_quantity' : '0', 'volume_unit' : '5', 'volume_quantity' : '0.5', 'pieces_unit' : '3', 'pieces_quantity' : '0', 'cooking_notes' : ''}).status_code; print('%s :: %s :: %s :: %s :: %s' %(a,1161,'regular salt','salt','MUMBAI BHEL'))</t>
  </si>
  <si>
    <t xml:space="preserve">a = Client().post('/recipes/mumbai-bhel/detail/', {'recipe' : '49', 'ingredient' : '32', 'name' : 'black salt', 'mass_unit' : '2', 'mass_quantity' : '0', 'volume_unit' : '5', 'volume_quantity' : '1', 'pieces_unit' : '3', 'pieces_quantity' : '0', 'cooking_notes' : ''}).status_code; print('%s :: %s :: %s :: %s :: %s' %(a,1162,'black salt','black salt','MUMBAI BHEL'))</t>
  </si>
  <si>
    <t xml:space="preserve">/recipes/gauranga-fried-rice/detail/</t>
  </si>
  <si>
    <t xml:space="preserve">a = Client().post('/recipes/gauranga-fried-rice/detail/', {'recipe' : '26', 'ingredient' : '79', 'name' : 'gajar', 'mass_unit' : '2', 'mass_quantity' : '6', 'volume_unit' : '1', 'volume_quantity' : '0', 'pieces_unit' : '3', 'pieces_quantity' : '0', 'cooking_notes' : ''}).status_code; print('%s :: %s :: %s :: %s :: %s' %(a,1165,'gajar','gajar','Gauranga fried  Rice'))</t>
  </si>
  <si>
    <t xml:space="preserve">a = Client().post('/recipes/gauranga-fried-rice/detail/', {'recipe' : '26', 'ingredient' : '27', 'name' : 'Beans', 'mass_unit' : '2', 'mass_quantity' : '6', 'volume_unit' : '1', 'volume_quantity' : '0', 'pieces_unit' : '3', 'pieces_quantity' : '0', 'cooking_notes' : ''}).status_code; print('%s :: %s :: %s :: %s :: %s' %(a,1166,'Beans','beans','Gauranga fried  Rice'))</t>
  </si>
  <si>
    <t xml:space="preserve">a = Client().post('/recipes/gauranga-fried-rice/detail/', {'recipe' : '26', 'ingredient' : '88', 'name' : 'Green peas', 'mass_unit' : '2', 'mass_quantity' : '6', 'volume_unit' : '1', 'volume_quantity' : '0', 'pieces_unit' : '3', 'pieces_quantity' : '0', 'cooking_notes' : 'note -sabji  given in nxt coloumn are for 25 kg rice,'}).status_code; print('%s :: %s :: %s :: %s :: %s' %(a,1167,'Green peas','green peas','Gauranga fried  Rice'))</t>
  </si>
  <si>
    <t xml:space="preserve">a = Client().post('/recipes/gauranga-fried-rice/detail/', {'recipe' : '26', 'ingredient' : '93', 'name' : 'green chili ', 'mass_unit' : '2', 'mass_quantity' : '0', 'volume_unit' : '1', 'volume_quantity' : '2', 'pieces_unit' : '3', 'pieces_quantity' : '0', 'cooking_notes' : 'and masala and grains given in other '}).status_code; print('%s :: %s :: %s :: %s :: %s' %(a,1168,'green chili ','hari mirchi','Gauranga fried  Rice'))</t>
  </si>
  <si>
    <t xml:space="preserve">a = Client().post('/recipes/gauranga-fried-rice/detail/', {'recipe' : '26', 'ingredient' : '1', 'name' : 'adrak', 'mass_unit' : '2', 'mass_quantity' : '0', 'volume_unit' : '1', 'volume_quantity' : '2', 'pieces_unit' : '3', 'pieces_quantity' : '0', 'cooking_notes' : 'coloumn are for 6.25 kg  and 4.25 kg rice'}).status_code; print('%s :: %s :: %s :: %s :: %s' %(a,1169,'adrak','adrak','Gauranga fried  Rice'))</t>
  </si>
  <si>
    <t xml:space="preserve">a = Client().post('/recipes/gauranga-fried-rice/detail/', {'recipe' : '26', 'ingredient' : '105', 'name' : 'kadipatta', 'mass_unit' : '2', 'mass_quantity' : '0', 'volume_unit' : '1', 'volume_quantity' : '2', 'pieces_unit' : '3', 'pieces_quantity' : '0', 'cooking_notes' : ''}).status_code; print('%s :: %s :: %s :: %s :: %s' %(a,1170,'kadipatta','kadi patta','Gauranga fried  Rice'))</t>
  </si>
  <si>
    <t xml:space="preserve">a = Client().post('/recipes/gauranga-fried-rice/detail/', {'recipe' : '26', 'ingredient' : '195', 'name' : 'tomato', 'mass_unit' : '2', 'mass_quantity' : '6', 'volume_unit' : '1', 'volume_quantity' : '0', 'pieces_unit' : '3', 'pieces_quantity' : '0', 'cooking_notes' : ''}).status_code; print('%s :: %s :: %s :: %s :: %s' %(a,1171,'tomato','tomato','Gauranga fried  Rice'))</t>
  </si>
  <si>
    <t xml:space="preserve">a = Client().post('/recipes/gauranga-fried-rice/detail/', {'recipe' : '26', 'ingredient' : '66', 'name' : 'dhaniya patta', 'mass_unit' : '2', 'mass_quantity' : '0', 'volume_unit' : '1', 'volume_quantity' : '5', 'pieces_unit' : '3', 'pieces_quantity' : '0', 'cooking_notes' : ''}).status_code; print('%s :: %s :: %s :: %s :: %s' %(a,1172,'dhaniya patta','dhaniya patta','Gauranga fried  Rice'))</t>
  </si>
  <si>
    <t xml:space="preserve">a = Client().post('/recipes/gauranga-fried-rice/detail/', {'recipe' : '26', 'ingredient' : '83', 'name' : 'oil 1.5 ltr for 6.25 kg batch', 'mass_unit' : '2', 'mass_quantity' : '0', 'volume_unit' : '1', 'volume_quantity' : '1.5', 'pieces_unit' : '3', 'pieces_quantity' : '0', 'cooking_notes' : 'in 4.25 kg rice batch add 0.8 cup salt'}).status_code; print('%s :: %s :: %s :: %s :: %s' %(a,1173,'oil 1.5 ltr for 6.25 kg batch','gound nut oil','Gauranga fried  Rice'))</t>
  </si>
  <si>
    <t xml:space="preserve">a = Client().post('/recipes/gauranga-fried-rice/detail/', {'recipe' : '26', 'ingredient' : '170', 'name' : 'rice', 'mass_unit' : '2', 'mass_quantity' : '6.25', 'volume_unit' : '1', 'volume_quantity' : '0', 'pieces_unit' : '3', 'pieces_quantity' : '0', 'cooking_notes' : 'in 1 kadhai sabji add 1 cup salt ( this sabji is for 2 batches of rice '}).status_code; print('%s :: %s :: %s :: %s :: %s' %(a,1174,'rice','rice','Gauranga fried  Rice'))</t>
  </si>
  <si>
    <t xml:space="preserve">a = Client().post('/recipes/gauranga-fried-rice/detail/', {'recipe' : '26', 'ingredient' : '91', 'name' : 'haldi', 'mass_unit' : '2', 'mass_quantity' : '0', 'volume_unit' : '5', 'volume_quantity' : '0.5', 'pieces_unit' : '3', 'pieces_quantity' : '0', 'cooking_notes' : 'of 4.25 kg each)'}).status_code; print('%s :: %s :: %s :: %s :: %s' %(a,1175,'haldi','haldi','Gauranga fried  Rice'))</t>
  </si>
  <si>
    <t xml:space="preserve">a = Client().post('/recipes/gauranga-fried-rice/detail/', {'recipe' : '26', 'ingredient' : '164', 'name' : 'rai', 'mass_unit' : '2', 'mass_quantity' : '0', 'volume_unit' : '5', 'volume_quantity' : '0.4', 'pieces_unit' : '3', 'pieces_quantity' : '0', 'cooking_notes' : ''}).status_code; print('%s :: %s :: %s :: %s :: %s' %(a,1176,'rai','rai','Gauranga fried  Rice'))</t>
  </si>
  <si>
    <t xml:space="preserve">a = Client().post('/recipes/gauranga-fried-rice/detail/', {'recipe' : '26', 'ingredient' : '102', 'name' : 'jeera', 'mass_unit' : '2', 'mass_quantity' : '0', 'volume_unit' : '5', 'volume_quantity' : '0.4', 'pieces_unit' : '3', 'pieces_quantity' : '0', 'cooking_notes' : ''}).status_code; print('%s :: %s :: %s :: %s :: %s' %(a,1177,'jeera','jeera','Gauranga fried  Rice'))</t>
  </si>
  <si>
    <t xml:space="preserve">a = Client().post('/recipes/gauranga-fried-rice/detail/', {'recipe' : '26', 'ingredient' : '117', 'name' : 'kashmiri chilly PWD', 'mass_unit' : '2', 'mass_quantity' : '0', 'volume_unit' : '5', 'volume_quantity' : '0.6', 'pieces_unit' : '3', 'pieces_quantity' : '0', 'cooking_notes' : ''}).status_code; print('%s :: %s :: %s :: %s :: %s' %(a,1178,'kashmiri chilly PWD','kashmiri chilly powder','Gauranga fried  Rice'))</t>
  </si>
  <si>
    <t xml:space="preserve">a = Client().post('/recipes/gauranga-fried-rice/detail/', {'recipe' : '26', 'ingredient' : '95', 'name' : 'hing', 'mass_unit' : '2', 'mass_quantity' : '0', 'volume_unit' : '5', 'volume_quantity' : '0.3', 'pieces_unit' : '3', 'pieces_quantity' : '0', 'cooking_notes' : ''}).status_code; print('%s :: %s :: %s :: %s :: %s' %(a,1179,'hing','hing','Gauranga fried  Rice'))</t>
  </si>
  <si>
    <t xml:space="preserve">a = Client().post('/recipes/gauranga-fried-rice/detail/', {'recipe' : '26', 'ingredient' : '177', 'name' : 'salt', 'mass_unit' : '2', 'mass_quantity' : '0', 'volume_unit' : '5', 'volume_quantity' : '1.7', 'pieces_unit' : '3', 'pieces_quantity' : '0', 'cooking_notes' : ''}).status_code; print('%s :: %s :: %s :: %s :: %s' %(a,1180,'salt','salt','Gauranga fried  Rice'))</t>
  </si>
  <si>
    <t xml:space="preserve">a = Client().post('/recipes/gauranga-fried-rice/detail/', {'recipe' : '26', 'ingredient' : '170', 'name' : 'rice', 'mass_unit' : '2', 'mass_quantity' : '4.25', 'volume_unit' : '1', 'volume_quantity' : '0', 'pieces_unit' : '3', 'pieces_quantity' : '0', 'cooking_notes' : ''}).status_code; print('%s :: %s :: %s :: %s :: %s' %(a,1181,'rice','rice','Gauranga fried  Rice'))</t>
  </si>
  <si>
    <t xml:space="preserve">a = Client().post('/recipes/gauranga-fried-rice/detail/', {'recipe' : '26', 'ingredient' : '91', 'name' : 'haldi', 'mass_unit' : '2', 'mass_quantity' : '0', 'volume_unit' : '5', 'volume_quantity' : '0.3', 'pieces_unit' : '3', 'pieces_quantity' : '0', 'cooking_notes' : ''}).status_code; print('%s :: %s :: %s :: %s :: %s' %(a,1182,'haldi','haldi','Gauranga fried  Rice'))</t>
  </si>
  <si>
    <t xml:space="preserve">a = Client().post('/recipes/gauranga-fried-rice/detail/', {'recipe' : '26', 'ingredient' : '164', 'name' : 'rai', 'mass_unit' : '2', 'mass_quantity' : '0', 'volume_unit' : '5', 'volume_quantity' : '0.3', 'pieces_unit' : '3', 'pieces_quantity' : '0', 'cooking_notes' : ''}).status_code; print('%s :: %s :: %s :: %s :: %s' %(a,1183,'rai','rai','Gauranga fried  Rice'))</t>
  </si>
  <si>
    <t xml:space="preserve">a = Client().post('/recipes/gauranga-fried-rice/detail/', {'recipe' : '26', 'ingredient' : '102', 'name' : 'jeera', 'mass_unit' : '2', 'mass_quantity' : '0', 'volume_unit' : '5', 'volume_quantity' : '0.3', 'pieces_unit' : '3', 'pieces_quantity' : '0', 'cooking_notes' : ''}).status_code; print('%s :: %s :: %s :: %s :: %s' %(a,1184,'jeera','jeera','Gauranga fried  Rice'))</t>
  </si>
  <si>
    <t xml:space="preserve">a = Client().post('/recipes/gauranga-fried-rice/detail/', {'recipe' : '26', 'ingredient' : '117', 'name' : 'kashmiri chilly PWD', 'mass_unit' : '2', 'mass_quantity' : '0', 'volume_unit' : '5', 'volume_quantity' : '0.3', 'pieces_unit' : '3', 'pieces_quantity' : '0', 'cooking_notes' : ''}).status_code; print('%s :: %s :: %s :: %s :: %s' %(a,1185,'kashmiri chilly PWD','kashmiri chilly powder','Gauranga fried  Rice'))</t>
  </si>
  <si>
    <t xml:space="preserve">a = Client().post('/recipes/gauranga-fried-rice/detail/', {'recipe' : '26', 'ingredient' : '95', 'name' : 'hing', 'mass_unit' : '2', 'mass_quantity' : '0', 'volume_unit' : '5', 'volume_quantity' : '0.2', 'pieces_unit' : '3', 'pieces_quantity' : '0', 'cooking_notes' : ''}).status_code; print('%s :: %s :: %s :: %s :: %s' %(a,1186,'hing','hing','Gauranga fried  Rice'))</t>
  </si>
  <si>
    <t xml:space="preserve">a = Client().post('/recipes/gauranga-fried-rice/detail/', {'recipe' : '26', 'ingredient' : '177', 'name' : 'salt', 'mass_unit' : '2', 'mass_quantity' : '0', 'volume_unit' : '5', 'volume_quantity' : '1.2', 'pieces_unit' : '3', 'pieces_quantity' : '0', 'cooking_notes' : ''}).status_code; print('%s :: %s :: %s :: %s :: %s' %(a,1187,'salt','salt','Gauranga fried  Rice'))</t>
  </si>
  <si>
    <t xml:space="preserve">/recipes/ekadashi-upma/detail/</t>
  </si>
  <si>
    <t xml:space="preserve">a = Client().post('/recipes/ekadashi-upma/detail/', {'recipe' : '24', 'ingredient' : '79', 'name' : 'Gajar', 'mass_unit' : '2', 'mass_quantity' : '6', 'volume_unit' : '1', 'volume_quantity' : '0', 'pieces_unit' : '3', 'pieces_quantity' : '0', 'cooking_notes' : ''}).status_code; print('%s :: %s :: %s :: %s :: %s' %(a,1189,'Gajar','gajar','EKADASHI UPMA'))</t>
  </si>
  <si>
    <t xml:space="preserve">a = Client().post('/recipes/ekadashi-upma/detail/', {'recipe' : '24', 'ingredient' : '93', 'name' : 'green chilly', 'mass_unit' : '2', 'mass_quantity' : '0', 'volume_unit' : '1', 'volume_quantity' : '1', 'pieces_unit' : '3', 'pieces_quantity' : '0', 'cooking_notes' : ''}).status_code; print('%s :: %s :: %s :: %s :: %s' %(a,1190,'green chilly','hari mirchi','EKADASHI UPMA'))</t>
  </si>
  <si>
    <t xml:space="preserve">a = Client().post('/recipes/ekadashi-upma/detail/', {'recipe' : '24', 'ingredient' : '66', 'name' : 'Dhania patta', 'mass_unit' : '2', 'mass_quantity' : '0', 'volume_unit' : '1', 'volume_quantity' : '3', 'pieces_unit' : '3', 'pieces_quantity' : '0', 'cooking_notes' : 'WATER CALCUL'}).status_code; print('%s :: %s :: %s :: %s :: %s' %(a,1191,'Dhania patta','dhaniya patta','EKADASHI UPMA'))</t>
  </si>
  <si>
    <t xml:space="preserve">a = Client().post('/recipes/ekadashi-upma/detail/', {'recipe' : '24', 'ingredient' : '1', 'name' : 'ginger', 'mass_unit' : '2', 'mass_quantity' : '0', 'volume_unit' : '1', 'volume_quantity' : '0.5', 'pieces_unit' : '3', 'pieces_quantity' : '0', 'cooking_notes' : '1 tub-30 ltr '}).status_code; print('%s :: %s :: %s :: %s :: %s' %(a,1192,'ginger','adrak','EKADASHI UPMA'))</t>
  </si>
  <si>
    <t xml:space="preserve">a = Client().post('/recipes/ekadashi-upma/detail/', {'recipe' : '24', 'ingredient' : '105', 'name' : 'kadipatta', 'mass_unit' : '2', 'mass_quantity' : '0', 'volume_unit' : '1', 'volume_quantity' : '2', 'pieces_unit' : '3', 'pieces_quantity' : '0', 'cooking_notes' : '(below line) THIS '}).status_code; print('%s :: %s :: %s :: %s :: %s' %(a,1193,'kadipatta','kadi patta','EKADASHI UPMA'))</t>
  </si>
  <si>
    <t xml:space="preserve">a = Client().post('/recipes/ekadashi-upma/detail/', {'recipe' : '24', 'ingredient' : '97', 'name' : 'hot water', 'mass_unit' : '2', 'mass_quantity' : '0', 'volume_unit' : '1', 'volume_quantity' : '60', 'pieces_unit' : '3', 'pieces_quantity' : '0', 'cooking_notes' : 'TYPE WE USE MOSTLY'}).status_code; print('%s :: %s :: %s :: %s :: %s' %(a,1194,'hot water','hot water','EKADASHI UPMA'))</t>
  </si>
  <si>
    <t xml:space="preserve">a = Client().post('/recipes/ekadashi-upma/detail/', {'recipe' : '24', 'ingredient' : '201', 'name' : 'varai', 'mass_unit' : '2', 'mass_quantity' : '25', 'volume_unit' : '1', 'volume_quantity' : '0', 'pieces_unit' : '3', 'pieces_quantity' : '0', 'cooking_notes' : 'above line -till '}).status_code; print('%s :: %s :: %s :: %s :: %s' %(a,1196,'varai','varai','EKADASHI UPMA'))</t>
  </si>
  <si>
    <t xml:space="preserve">a = Client().post('/recipes/ekadashi-upma/detail/', {'recipe' : '24', 'ingredient' : '83', 'name' : 'oil(groundnut)', 'mass_unit' : '2', 'mass_quantity' : '0', 'volume_unit' : '1', 'volume_quantity' : '7', 'pieces_unit' : '3', 'pieces_quantity' : '0', 'cooking_notes' : 'tub is full)'}).status_code; print('%s :: %s :: %s :: %s :: %s' %(a,1197,'oil(groundnut)','gound nut oil','EKADASHI UPMA'))</t>
  </si>
  <si>
    <t xml:space="preserve">a = Client().post('/recipes/ekadashi-upma/detail/', {'recipe' : '24', 'ingredient' : '117', 'name' : 'kashmiri chili powder', 'mass_unit' : '2', 'mass_quantity' : '0', 'volume_unit' : '5', 'volume_quantity' : '0.5', 'pieces_unit' : '3', 'pieces_quantity' : '0', 'cooking_notes' : ''}).status_code; print('%s :: %s :: %s :: %s :: %s' %(a,1198,'kashmiri chili powder','kashmiri chilly powder','EKADASHI UPMA'))</t>
  </si>
  <si>
    <t xml:space="preserve">a = Client().post('/recipes/ekadashi-upma/detail/', {'recipe' : '24', 'ingredient' : '177', 'name' : 'salt', 'mass_unit' : '2', 'mass_quantity' : '0', 'volume_unit' : '5', 'volume_quantity' : '6', 'pieces_unit' : '3', 'pieces_quantity' : '0', 'cooking_notes' : ''}).status_code; print('%s :: %s :: %s :: %s :: %s' %(a,1199,'salt','salt','EKADASHI UPMA'))</t>
  </si>
  <si>
    <t xml:space="preserve">a = Client().post('/recipes/ekadashi-upma/detail/', {'recipe' : '24', 'ingredient' : '74', 'name' : 'everest pulav masala', 'mass_unit' : '2', 'mass_quantity' : '0', 'volume_unit' : '5', 'volume_quantity' : '1.5', 'pieces_unit' : '3', 'pieces_quantity' : '0', 'cooking_notes' : ''}).status_code; print('%s :: %s :: %s :: %s :: %s' %(a,1200,'everest pulav masala','everest pulav masala','EKADASHI UPMA'))</t>
  </si>
  <si>
    <t xml:space="preserve">a = Client().post('/recipes/ekadashi-upma/detail/', {'recipe' : '24', 'ingredient' : '102', 'name' : 'jeera', 'mass_unit' : '2', 'mass_quantity' : '0', 'volume_unit' : '5', 'volume_quantity' : '2', 'pieces_unit' : '3', 'pieces_quantity' : '0', 'cooking_notes' : ''}).status_code; print('%s :: %s :: %s :: %s :: %s' %(a,1201,'jeera','jeera','EKADASHI UPMA'))</t>
  </si>
  <si>
    <t xml:space="preserve">/recipes/ekadasi-khichdi-non-spicy/detail/</t>
  </si>
  <si>
    <t xml:space="preserve">a = Client().post('/recipes/ekadasi-khichdi-non-spicy/detail/', {'recipe' : '2', 'ingredient' : '69', 'name' : 'dudhi', 'mass_unit' : '2', 'mass_quantity' : '4', 'volume_unit' : '1', 'volume_quantity' : '0', 'pieces_unit' : '3', 'pieces_quantity' : '0', 'cooking_notes' : '1 tub'}).status_code; print('%s :: %s :: %s :: %s :: %s' %(a,1203,'dudhi','dudhi','EKADASI KHICHDI NON-SPICY'))</t>
  </si>
  <si>
    <t xml:space="preserve">a = Client().post('/recipes/ekadasi-khichdi-non-spicy/detail/', {'recipe' : '2', 'ingredient' : '30', 'name' : 'bhopla', 'mass_unit' : '2', 'mass_quantity' : '4', 'volume_unit' : '1', 'volume_quantity' : '0', 'pieces_unit' : '3', 'pieces_quantity' : '0', 'cooking_notes' : 'veg-doubl of grains'}).status_code; print('%s :: %s :: %s :: %s :: %s' %(a,1204,'bhopla','bhopla','EKADASI KHICHDI NON-SPICY'))</t>
  </si>
  <si>
    <t xml:space="preserve">a = Client().post('/recipes/ekadasi-khichdi-non-spicy/detail/', {'recipe' : '2', 'ingredient' : '214', 'name' : 'water(10 times)', 'mass_unit' : '2', 'mass_quantity' : '0', 'volume_unit' : '1', 'volume_quantity' : '20', 'pieces_unit' : '3', 'pieces_quantity' : '0', 'cooking_notes' : ''}).status_code; print('%s :: %s :: %s :: %s :: %s' %(a,1205,'water(10 times)','water','EKADASI KHICHDI NON-SPICY'))</t>
  </si>
  <si>
    <t xml:space="preserve">a = Client().post('/recipes/ekadasi-khichdi-non-spicy/detail/', {'recipe' : '2', 'ingredient' : '105', 'name' : 'kadipatta', 'mass_unit' : '2', 'mass_quantity' : '0', 'volume_unit' : '5', 'volume_quantity' : '1', 'pieces_unit' : '3', 'pieces_quantity' : '0', 'cooking_notes' : ''}).status_code; print('%s :: %s :: %s :: %s :: %s' %(a,1206,'kadipatta','kadi patta','EKADASI KHICHDI NON-SPICY'))</t>
  </si>
  <si>
    <t xml:space="preserve">a = Client().post('/recipes/ekadasi-khichdi-non-spicy/detail/', {'recipe' : '2', 'ingredient' : '66', 'name' : 'dhaniya patta', 'mass_unit' : '2', 'mass_quantity' : '0', 'volume_unit' : '1', 'volume_quantity' : '0.5', 'pieces_unit' : '3', 'pieces_quantity' : '0', 'cooking_notes' : ''}).status_code; print('%s :: %s :: %s :: %s :: %s' %(a,1207,'dhaniya patta','dhaniya patta','EKADASI KHICHDI NON-SPICY'))</t>
  </si>
  <si>
    <t xml:space="preserve">a = Client().post('/recipes/ekadasi-khichdi-non-spicy/detail/', {'recipe' : '2', 'ingredient' : '1', 'name' : 'adrak paste', 'mass_unit' : '2', 'mass_quantity' : '0', 'volume_unit' : '5', 'volume_quantity' : '1', 'pieces_unit' : '3', 'pieces_quantity' : '0', 'cooking_notes' : ''}).status_code; print('%s :: %s :: %s :: %s :: %s' %(a,1208,'adrak paste','adrak','EKADASI KHICHDI NON-SPICY'))</t>
  </si>
  <si>
    <t xml:space="preserve">a = Client().post('/recipes/ekadasi-khichdi-non-spicy/detail/', {'recipe' : '2', 'ingredient' : '201', 'name' : 'VARAI', 'mass_unit' : '2', 'mass_quantity' : '3.5', 'volume_unit' : '1', 'volume_quantity' : '0', 'pieces_unit' : '3', 'pieces_quantity' : '0', 'cooking_notes' : ''}).status_code; print('%s :: %s :: %s :: %s :: %s' %(a,1209,'VARAI','varai','EKADASI KHICHDI NON-SPICY'))</t>
  </si>
  <si>
    <t xml:space="preserve">a = Client().post('/recipes/ekadasi-khichdi-non-spicy/detail/', {'recipe' : '2', 'ingredient' : '177', 'name' : 'salt', 'mass_unit' : '2', 'mass_quantity' : '0', 'volume_unit' : '5', 'volume_quantity' : '1.25', 'pieces_unit' : '3', 'pieces_quantity' : '0', 'cooking_notes' : ''}).status_code; print('%s :: %s :: %s :: %s :: %s' %(a,1210,'salt','salt','EKADASI KHICHDI NON-SPICY'))</t>
  </si>
  <si>
    <t xml:space="preserve">a = Client().post('/recipes/ekadasi-khichdi-non-spicy/detail/', {'recipe' : '2', 'ingredient' : '102', 'name' : 'jeera', 'mass_unit' : '2', 'mass_quantity' : '0', 'volume_unit' : '5', 'volume_quantity' : '0.4', 'pieces_unit' : '3', 'pieces_quantity' : '0', 'cooking_notes' : ''}).status_code; print('%s :: %s :: %s :: %s :: %s' %(a,1211,'jeera','jeera','EKADASI KHICHDI NON-SPICY'))</t>
  </si>
  <si>
    <t xml:space="preserve">a = Client().post('/recipes/ekadasi-khichdi-non-spicy/detail/', {'recipe' : '2', 'ingredient' : '81', 'name' : 'ghee', 'mass_unit' : '2', 'mass_quantity' : '0', 'volume_unit' : '12', 'volume_quantity' : '300', 'pieces_unit' : '3', 'pieces_quantity' : '0', 'cooking_notes' : ''}).status_code; print('%s :: %s :: %s :: %s :: %s' %(a,1212,'ghee','ghee','EKADASI KHICHDI NON-SPICY'))</t>
  </si>
  <si>
    <t xml:space="preserve">/recipes/ekadashi-khichdi-spicy/detail/</t>
  </si>
  <si>
    <t xml:space="preserve">a = Client().post('/recipes/ekadashi-khichdi-spicy/detail/', {'recipe' : '23', 'ingredient' : '195', 'name' : 'tomato', 'mass_unit' : '2', 'mass_quantity' : '3', 'volume_unit' : '1', 'volume_quantity' : '0', 'pieces_unit' : '3', 'pieces_quantity' : '0', 'cooking_notes' : ''}).status_code; print('%s :: %s :: %s :: %s :: %s' %(a,1215,'tomato','tomato','EKADASHI KHICHDI  SPICY'))</t>
  </si>
  <si>
    <t xml:space="preserve">a = Client().post('/recipes/ekadashi-khichdi-spicy/detail/', {'recipe' : '23', 'ingredient' : '79', 'name' : 'gajar', 'mass_unit' : '2', 'mass_quantity' : '1', 'volume_unit' : '1', 'volume_quantity' : '0', 'pieces_unit' : '3', 'pieces_quantity' : '0', 'cooking_notes' : ''}).status_code; print('%s :: %s :: %s :: %s :: %s' %(a,1216,'gajar','gajar','EKADASHI KHICHDI  SPICY'))</t>
  </si>
  <si>
    <t xml:space="preserve">a = Client().post('/recipes/ekadashi-khichdi-spicy/detail/', {'recipe' : '23', 'ingredient' : '69', 'name' : 'dudhi', 'mass_unit' : '2', 'mass_quantity' : '2', 'volume_unit' : '1', 'volume_quantity' : '0', 'pieces_unit' : '3', 'pieces_quantity' : '0', 'cooking_notes' : ''}).status_code; print('%s :: %s :: %s :: %s :: %s' %(a,1217,'dudhi','dudhi','EKADASHI KHICHDI  SPICY'))</t>
  </si>
  <si>
    <t xml:space="preserve">a = Client().post('/recipes/ekadashi-khichdi-spicy/detail/', {'recipe' : '23', 'ingredient' : '30', 'name' : 'bhopla', 'mass_unit' : '2', 'mass_quantity' : '2', 'volume_unit' : '1', 'volume_quantity' : '0', 'pieces_unit' : '3', 'pieces_quantity' : '0', 'cooking_notes' : ''}).status_code; print('%s :: %s :: %s :: %s :: %s' %(a,1218,'bhopla','bhopla','EKADASHI KHICHDI  SPICY'))</t>
  </si>
  <si>
    <t xml:space="preserve">a = Client().post('/recipes/ekadashi-khichdi-spicy/detail/', {'recipe' : '23', 'ingredient' : '214', 'name' : 'water(10 times)', 'mass_unit' : '2', 'mass_quantity' : '0', 'volume_unit' : '1', 'volume_quantity' : '20', 'pieces_unit' : '3', 'pieces_quantity' : '0', 'cooking_notes' : ''}).status_code; print('%s :: %s :: %s :: %s :: %s' %(a,1219,'water(10 times)','water','EKADASHI KHICHDI  SPICY'))</t>
  </si>
  <si>
    <t xml:space="preserve">a = Client().post('/recipes/ekadashi-khichdi-spicy/detail/', {'recipe' : '23', 'ingredient' : '105', 'name' : 'kadipatta', 'mass_unit' : '2', 'mass_quantity' : '0', 'volume_unit' : '5', 'volume_quantity' : '2', 'pieces_unit' : '3', 'pieces_quantity' : '0', 'cooking_notes' : ''}).status_code; print('%s :: %s :: %s :: %s :: %s' %(a,1220,'kadipatta','kadi patta','EKADASHI KHICHDI  SPICY'))</t>
  </si>
  <si>
    <t xml:space="preserve">a = Client().post('/recipes/ekadashi-khichdi-spicy/detail/', {'recipe' : '23', 'ingredient' : '66', 'name' : 'dhaniya patta', 'mass_unit' : '2', 'mass_quantity' : '0', 'volume_unit' : '1', 'volume_quantity' : '0.5', 'pieces_unit' : '3', 'pieces_quantity' : '0', 'cooking_notes' : ''}).status_code; print('%s :: %s :: %s :: %s :: %s' %(a,1221,'dhaniya patta','dhaniya patta','EKADASHI KHICHDI  SPICY'))</t>
  </si>
  <si>
    <t xml:space="preserve">a = Client().post('/recipes/ekadashi-khichdi-spicy/detail/', {'recipe' : '23', 'ingredient' : '1', 'name' : 'adrak paste', 'mass_unit' : '2', 'mass_quantity' : '0', 'volume_unit' : '5', 'volume_quantity' : '1', 'pieces_unit' : '3', 'pieces_quantity' : '0', 'cooking_notes' : ''}).status_code; print('%s :: %s :: %s :: %s :: %s' %(a,1222,'adrak paste','adrak','EKADASHI KHICHDI  SPICY'))</t>
  </si>
  <si>
    <t xml:space="preserve">a = Client().post('/recipes/ekadashi-khichdi-spicy/detail/', {'recipe' : '23', 'ingredient' : '93', 'name' : 'green chily', 'mass_unit' : '2', 'mass_quantity' : '0', 'volume_unit' : '5', 'volume_quantity' : '0.5', 'pieces_unit' : '3', 'pieces_quantity' : '0', 'cooking_notes' : ''}).status_code; print('%s :: %s :: %s :: %s :: %s' %(a,1223,'green chily','hari mirchi','EKADASHI KHICHDI  SPICY'))</t>
  </si>
  <si>
    <t xml:space="preserve">a = Client().post('/recipes/ekadashi-khichdi-spicy/detail/', {'recipe' : '23', 'ingredient' : '201', 'name' : 'VARAI', 'mass_unit' : '2', 'mass_quantity' : '3.5', 'volume_unit' : '1', 'volume_quantity' : '0', 'pieces_unit' : '3', 'pieces_quantity' : '0', 'cooking_notes' : ''}).status_code; print('%s :: %s :: %s :: %s :: %s' %(a,1224,'VARAI','varai','EKADASHI KHICHDI  SPICY'))</t>
  </si>
  <si>
    <t xml:space="preserve">a = Client().post('/recipes/ekadashi-khichdi-spicy/detail/', {'recipe' : '23', 'ingredient' : '177', 'name' : 'salt', 'mass_unit' : '2', 'mass_quantity' : '0', 'volume_unit' : '5', 'volume_quantity' : '1.5', 'pieces_unit' : '3', 'pieces_quantity' : '0', 'cooking_notes' : ''}).status_code; print('%s :: %s :: %s :: %s :: %s' %(a,1225,'salt','salt','EKADASHI KHICHDI  SPICY'))</t>
  </si>
  <si>
    <t xml:space="preserve">a = Client().post('/recipes/ekadashi-khichdi-spicy/detail/', {'recipe' : '23', 'ingredient' : '102', 'name' : 'jeera', 'mass_unit' : '2', 'mass_quantity' : '0', 'volume_unit' : '5', 'volume_quantity' : '0.4', 'pieces_unit' : '3', 'pieces_quantity' : '0', 'cooking_notes' : ''}).status_code; print('%s :: %s :: %s :: %s :: %s' %(a,1226,'jeera','jeera','EKADASHI KHICHDI  SPICY'))</t>
  </si>
  <si>
    <t xml:space="preserve">a = Client().post('/recipes/ekadashi-khichdi-spicy/detail/', {'recipe' : '23', 'ingredient' : '67', 'name' : 'dhaniya powder', 'mass_unit' : '2', 'mass_quantity' : '0', 'volume_unit' : '5', 'volume_quantity' : '0.5', 'pieces_unit' : '3', 'pieces_quantity' : '0', 'cooking_notes' : ''}).status_code; print('%s :: %s :: %s :: %s :: %s' %(a,1227,'dhaniya powder','dhaniya powder','EKADASHI KHICHDI  SPICY'))</t>
  </si>
  <si>
    <t xml:space="preserve">a = Client().post('/recipes/ekadashi-khichdi-spicy/detail/', {'recipe' : '23', 'ingredient' : '103', 'name' : 'jeera powder', 'mass_unit' : '2', 'mass_quantity' : '0', 'volume_unit' : '5', 'volume_quantity' : '0.5', 'pieces_unit' : '3', 'pieces_quantity' : '0', 'cooking_notes' : ''}).status_code; print('%s :: %s :: %s :: %s :: %s' %(a,1228,'jeera powder','jeera powder','EKADASHI KHICHDI  SPICY'))</t>
  </si>
  <si>
    <t xml:space="preserve">a = Client().post('/recipes/ekadashi-khichdi-spicy/detail/', {'recipe' : '23', 'ingredient' : '117', 'name' : 'kashmiri chily pwder', 'mass_unit' : '2', 'mass_quantity' : '0', 'volume_unit' : '5', 'volume_quantity' : '0.4', 'pieces_unit' : '3', 'pieces_quantity' : '0', 'cooking_notes' : ''}).status_code; print('%s :: %s :: %s :: %s :: %s' %(a,1229,'kashmiri chily pwder','kashmiri chilly powder','EKADASHI KHICHDI  SPICY'))</t>
  </si>
  <si>
    <t xml:space="preserve">a = Client().post('/recipes/ekadashi-khichdi-spicy/detail/', {'recipe' : '23', 'ingredient' : '135', 'name' : 'madrasi chili powder', 'mass_unit' : '2', 'mass_quantity' : '0', 'volume_unit' : '5', 'volume_quantity' : '0.3', 'pieces_unit' : '3', 'pieces_quantity' : '0', 'cooking_notes' : ''}).status_code; print('%s :: %s :: %s :: %s :: %s' %(a,1230,'madrasi chili powder','madrasi mirchi powder','EKADASHI KHICHDI  SPICY'))</t>
  </si>
  <si>
    <t xml:space="preserve">a = Client().post('/recipes/ekadashi-khichdi-spicy/detail/', {'recipe' : '23', 'ingredient' : '6', 'name' : 'akkha madrasi mirch', 'mass_unit' : '2', 'mass_quantity' : '0', 'volume_unit' : '5', 'volume_quantity' : '1', 'pieces_unit' : '3', 'pieces_quantity' : '0', 'cooking_notes' : ''}).status_code; print('%s :: %s :: %s :: %s :: %s' %(a,1231,'akkha madrasi mirch','akkha madrasi mirchi','EKADASHI KHICHDI  SPICY'))</t>
  </si>
  <si>
    <t xml:space="preserve">a = Client().post('/recipes/ekadashi-khichdi-spicy/detail/', {'recipe' : '23', 'ingredient' : '83', 'name' : 'oil', 'mass_unit' : '2', 'mass_quantity' : '0', 'volume_unit' : '12', 'volume_quantity' : '500', 'pieces_unit' : '3', 'pieces_quantity' : '0', 'cooking_notes' : ''}).status_code; print('%s :: %s :: %s :: %s :: %s' %(a,1232,'oil','gound nut oil','EKADASHI KHICHDI  SPICY'))</t>
  </si>
  <si>
    <t xml:space="preserve">a = Client().post('/recipes/ekadashi-khichdi-spicy/detail/', {'recipe' : '23', 'ingredient' : '187', 'name' : 'sugar', 'mass_unit' : '2', 'mass_quantity' : '0', 'volume_unit' : '5', 'volume_quantity' : '1', 'pieces_unit' : '3', 'pieces_quantity' : '0', 'cooking_notes' : ''}).status_code; print('%s :: %s :: %s :: %s :: %s' %(a,1233,'sugar','sugar','EKADASHI KHICHDI  SPICY'))</t>
  </si>
  <si>
    <t xml:space="preserve">/recipes/kurmura-spicy/detail/</t>
  </si>
  <si>
    <t xml:space="preserve">a = Client().post('/recipes/kurmura-spicy/detail/', {'recipe' : '40', 'ingredient' : '93', 'name' : 'green chily (long cut)', 'mass_unit' : '2', 'mass_quantity' : '0', 'volume_unit' : '1', 'volume_quantity' : '1', 'pieces_unit' : '3', 'pieces_quantity' : '0', 'cooking_notes' : ''}).status_code; print('%s :: %s :: %s :: %s :: %s' %(a,1235,'green chily (long cut)','hari mirchi','KURMURA SPICY'))</t>
  </si>
  <si>
    <t xml:space="preserve">a = Client().post('/recipes/kurmura-spicy/detail/', {'recipe' : '40', 'ingredient' : '105', 'name' : 'kadi patta', 'mass_unit' : '2', 'mass_quantity' : '0', 'volume_unit' : '1', 'volume_quantity' : '1', 'pieces_unit' : '3', 'pieces_quantity' : '0', 'cooking_notes' : ''}).status_code; print('%s :: %s :: %s :: %s :: %s' %(a,1236,'kadi patta','kadi patta','KURMURA SPICY'))</t>
  </si>
  <si>
    <t xml:space="preserve">a = Client().post('/recipes/kurmura-spicy/detail/', {'recipe' : '40', 'ingredient' : '126', 'name' : 'kurmura', 'mass_unit' : '2', 'mass_quantity' : '10', 'volume_unit' : '1', 'volume_quantity' : '0', 'pieces_unit' : '3', 'pieces_quantity' : '0', 'cooking_notes' : ''}).status_code; print('%s :: %s :: %s :: %s :: %s' %(a,1237,'kurmura','kurmura','KURMURA SPICY'))</t>
  </si>
  <si>
    <t xml:space="preserve">a = Client().post('/recipes/kurmura-spicy/detail/', {'recipe' : '40', 'ingredient' : '183', 'name' : 'ground nut akkha', 'mass_unit' : '2', 'mass_quantity' : '2', 'volume_unit' : '1', 'volume_quantity' : '0', 'pieces_unit' : '3', 'pieces_quantity' : '0', 'cooking_notes' : ''}).status_code; print('%s :: %s :: %s :: %s :: %s' %(a,1238,'ground nut akkha','singdana','KURMURA SPICY'))</t>
  </si>
  <si>
    <t xml:space="preserve">a = Client().post('/recipes/kurmura-spicy/detail/', {'recipe' : '40', 'ingredient' : '62', 'name' : 'daliya roasted', 'mass_unit' : '2', 'mass_quantity' : '1.5', 'volume_unit' : '1', 'volume_quantity' : '0', 'pieces_unit' : '3', 'pieces_quantity' : '0', 'cooking_notes' : ''}).status_code; print('%s :: %s :: %s :: %s :: %s' %(a,1239,'daliya roasted','daliya','KURMURA SPICY'))</t>
  </si>
  <si>
    <t xml:space="preserve">a = Client().post('/recipes/kurmura-spicy/detail/', {'recipe' : '40', 'ingredient' : '89', 'name' : 'ground nut oil', 'mass_unit' : '2', 'mass_quantity' : '0', 'volume_unit' : '1', 'volume_quantity' : '0.5', 'pieces_unit' : '3', 'pieces_quantity' : '0', 'cooking_notes' : ''}).status_code; print('%s :: %s :: %s :: %s :: %s' %(a,1240,'ground nut oil','ground nut oil','KURMURA SPICY'))</t>
  </si>
  <si>
    <t xml:space="preserve">a = Client().post('/recipes/kurmura-spicy/detail/', {'recipe' : '40', 'ingredient' : '177', 'name' : 'salt', 'mass_unit' : '2', 'mass_quantity' : '0', 'volume_unit' : '5', 'volume_quantity' : '1', 'pieces_unit' : '3', 'pieces_quantity' : '0', 'cooking_notes' : ''}).status_code; print('%s :: %s :: %s :: %s :: %s' %(a,1241,'salt','salt','KURMURA SPICY'))</t>
  </si>
  <si>
    <t xml:space="preserve">a = Client().post('/recipes/kurmura-spicy/detail/', {'recipe' : '40', 'ingredient' : '6', 'name' : 'akkha madrasi mirch', 'mass_unit' : '2', 'mass_quantity' : '0', 'volume_unit' : '1', 'volume_quantity' : '1', 'pieces_unit' : '3', 'pieces_quantity' : '0', 'cooking_notes' : ''}).status_code; print('%s :: %s :: %s :: %s :: %s' %(a,1242,'akkha madrasi mirch','akkha madrasi mirchi','KURMURA SPICY'))</t>
  </si>
  <si>
    <t xml:space="preserve">/recipes/sweet-corn-boild-bhutta/detail/</t>
  </si>
  <si>
    <t xml:space="preserve">a = Client().post('/recipes/sweet-corn-boild-bhutta/detail/', {'recipe' : '75', 'ingredient' : '188', 'name' : 'sweet corn', 'mass_unit' : '2', 'mass_quantity' : '0', 'volume_unit' : '1', 'volume_quantity' : '0', 'pieces_unit' : '3', 'pieces_quantity' : '80', 'cooking_notes' : ''}).status_code; print('%s :: %s :: %s :: %s :: %s' %(a,1244,'sweet corn','sweet corn','SWEET CORN BOILD BHUTTA'))</t>
  </si>
  <si>
    <t xml:space="preserve">a = Client().post('/recipes/sweet-corn-boild-bhutta/detail/', {'recipe' : '75', 'ingredient' : '32', 'name' : 'black salt', 'mass_unit' : '2', 'mass_quantity' : '0', 'volume_unit' : '5', 'volume_quantity' : '0.5', 'pieces_unit' : '3', 'pieces_quantity' : '0', 'cooking_notes' : ''}).status_code; print('%s :: %s :: %s :: %s :: %s' %(a,1245,'black salt','black salt','SWEET CORN BOILD BHUTTA'))</t>
  </si>
  <si>
    <t xml:space="preserve">/recipes/alu-churchury/detail/</t>
  </si>
  <si>
    <t xml:space="preserve">a = Client().post('/recipes/alu-churchury/detail/', {'recipe' : '3', 'ingredient' : '8', 'name' : 'potato', 'mass_unit' : '2', 'mass_quantity' : '12', 'volume_unit' : '1', 'volume_quantity' : '0', 'pieces_unit' : '3', 'pieces_quantity' : '0', 'cooking_notes' : ''}).status_code; print('%s :: %s :: %s :: %s :: %s' %(a,1247,'potato','alu','ALU CHURCHURY'))</t>
  </si>
  <si>
    <t xml:space="preserve">a = Client().post('/recipes/alu-churchury/detail/', {'recipe' : '3', 'ingredient' : '66', 'name' : 'dhaniya patta', 'mass_unit' : '2', 'mass_quantity' : '0', 'volume_unit' : '1', 'volume_quantity' : '0.5', 'pieces_unit' : '3', 'pieces_quantity' : '0', 'cooking_notes' : ''}).status_code; print('%s :: %s :: %s :: %s :: %s' %(a,1248,'dhaniya patta','dhaniya patta','ALU CHURCHURY'))</t>
  </si>
  <si>
    <t xml:space="preserve">a = Client().post('/recipes/alu-churchury/detail/', {'recipe' : '3', 'ingredient' : '164', 'name' : 'rai', 'mass_unit' : '2', 'mass_quantity' : '0', 'volume_unit' : '5', 'volume_quantity' : '0.5', 'pieces_unit' : '3', 'pieces_quantity' : '0', 'cooking_notes' : ''}).status_code; print('%s :: %s :: %s :: %s :: %s' %(a,1249,'rai','rai','ALU CHURCHURY'))</t>
  </si>
  <si>
    <t xml:space="preserve">a = Client().post('/recipes/alu-churchury/detail/', {'recipe' : '3', 'ingredient' : '95', 'name' : 'hing', 'mass_unit' : '2', 'mass_quantity' : '0', 'volume_unit' : '5', 'volume_quantity' : '0.25', 'pieces_unit' : '3', 'pieces_quantity' : '0', 'cooking_notes' : ''}).status_code; print('%s :: %s :: %s :: %s :: %s' %(a,1250,'hing','hing','ALU CHURCHURY'))</t>
  </si>
  <si>
    <t xml:space="preserve">a = Client().post('/recipes/alu-churchury/detail/', {'recipe' : '3', 'ingredient' : '91', 'name' : 'haldi', 'mass_unit' : '2', 'mass_quantity' : '0', 'volume_unit' : '5', 'volume_quantity' : '0.5', 'pieces_unit' : '3', 'pieces_quantity' : '0', 'cooking_notes' : ''}).status_code; print('%s :: %s :: %s :: %s :: %s' %(a,1251,'haldi','haldi','ALU CHURCHURY'))</t>
  </si>
  <si>
    <t xml:space="preserve">a = Client().post('/recipes/alu-churchury/detail/', {'recipe' : '3', 'ingredient' : '135', 'name' : 'madrasi chilli powder', 'mass_unit' : '2', 'mass_quantity' : '0', 'volume_unit' : '5', 'volume_quantity' : '0.5', 'pieces_unit' : '3', 'pieces_quantity' : '0', 'cooking_notes' : ''}).status_code; print('%s :: %s :: %s :: %s :: %s' %(a,1252,'madrasi chilli powder','madrasi mirchi powder','ALU CHURCHURY'))</t>
  </si>
  <si>
    <t xml:space="preserve">a = Client().post('/recipes/alu-churchury/detail/', {'recipe' : '3', 'ingredient' : '117', 'name' : 'kashmiri chilly powder', 'mass_unit' : '2', 'mass_quantity' : '0', 'volume_unit' : '5', 'volume_quantity' : '0.5', 'pieces_unit' : '3', 'pieces_quantity' : '0', 'cooking_notes' : ''}).status_code; print('%s :: %s :: %s :: %s :: %s' %(a,1253,'kashmiri chilly powder','kashmiri chilly powder','ALU CHURCHURY'))</t>
  </si>
  <si>
    <t xml:space="preserve">a = Client().post('/recipes/alu-churchury/detail/', {'recipe' : '3', 'ingredient' : '83', 'name' : 'oil (ground nut)', 'mass_unit' : '2', 'mass_quantity' : '0', 'volume_unit' : '1', 'volume_quantity' : '1.5', 'pieces_unit' : '3', 'pieces_quantity' : '0', 'cooking_notes' : ''}).status_code; print('%s :: %s :: %s :: %s :: %s' %(a,1254,'oil (ground nut)','gound nut oil','ALU CHURCHURY'))</t>
  </si>
  <si>
    <t xml:space="preserve">a = Client().post('/recipes/alu-churchury/detail/', {'recipe' : '3', 'ingredient' : '177', 'name' : 'salt', 'mass_unit' : '2', 'mass_quantity' : '0', 'volume_unit' : '5', 'volume_quantity' : '0.8', 'pieces_unit' : '3', 'pieces_quantity' : '0', 'cooking_notes' : ''}).status_code; print('%s :: %s :: %s :: %s :: %s' %(a,1255,'salt','salt','ALU CHURCHURY'))</t>
  </si>
  <si>
    <t xml:space="preserve">/recipes/pav/detail/</t>
  </si>
  <si>
    <t xml:space="preserve">a = Client().post('/recipes/pav/detail/', {'recipe' : '57', 'ingredient' : '207', 'name' : 'whole wheat flour', 'mass_unit' : '2', 'mass_quantity' : '3', 'volume_unit' : '1', 'volume_quantity' : '0', 'pieces_unit' : '3', 'pieces_quantity' : '0', 'cooking_notes' : ''}).status_code; print('%s :: %s :: %s :: %s :: %s' %(a,1257,'whole wheat flour','whole wheat flour','PAV'))</t>
  </si>
  <si>
    <t xml:space="preserve">a = Client().post('/recipes/pav/detail/', {'recipe' : '57', 'ingredient' : '139', 'name' : 'maida', 'mass_unit' : '2', 'mass_quantity' : '2', 'volume_unit' : '1', 'volume_quantity' : '0', 'pieces_unit' : '3', 'pieces_quantity' : '0', 'cooking_notes' : ''}).status_code; print('%s :: %s :: %s :: %s :: %s' %(a,1258,'maida','maida','PAV'))</t>
  </si>
  <si>
    <t xml:space="preserve">a = Client().post('/recipes/pav/detail/', {'recipe' : '57', 'ingredient' : '35', 'name' : 'bread improver', 'mass_unit' : '7', 'mass_quantity' : '12', 'volume_unit' : '1', 'volume_quantity' : '0', 'pieces_unit' : '3', 'pieces_quantity' : '0', 'cooking_notes' : ''}).status_code; print('%s :: %s :: %s :: %s :: %s' %(a,1259,'bread improver','bread improver','PAV'))</t>
  </si>
  <si>
    <t xml:space="preserve">a = Client().post('/recipes/pav/detail/', {'recipe' : '57', 'ingredient' : '41', 'name' : 'calcium', 'mass_unit' : '7', 'mass_quantity' : '12', 'volume_unit' : '1', 'volume_quantity' : '0', 'pieces_unit' : '3', 'pieces_quantity' : '0', 'cooking_notes' : ''}).status_code; print('%s :: %s :: %s :: %s :: %s' %(a,1260,'calcium','calcium','PAV'))</t>
  </si>
  <si>
    <t xml:space="preserve">a = Client().post('/recipes/pav/detail/', {'recipe' : '57', 'ingredient' : '208', 'name' : 'yeast', 'mass_unit' : '7', 'mass_quantity' : '36', 'volume_unit' : '1', 'volume_quantity' : '0', 'pieces_unit' : '3', 'pieces_quantity' : '0', 'cooking_notes' : ''}).status_code; print('%s :: %s :: %s :: %s :: %s' %(a,1261,'yeast','yeast','PAV'))</t>
  </si>
  <si>
    <t xml:space="preserve">a = Client().post('/recipes/pav/detail/', {'recipe' : '57', 'ingredient' : '187', 'name' : 'sugar', 'mass_unit' : '7', 'mass_quantity' : '125', 'volume_unit' : '1', 'volume_quantity' : '0', 'pieces_unit' : '3', 'pieces_quantity' : '0', 'cooking_notes' : ''}).status_code; print('%s :: %s :: %s :: %s :: %s' %(a,1262,'sugar','sugar','PAV'))</t>
  </si>
  <si>
    <t xml:space="preserve">a = Client().post('/recipes/pav/detail/', {'recipe' : '57', 'ingredient' : '89', 'name' : 'ground nut oil', 'mass_unit' : '2', 'mass_quantity' : '0', 'volume_unit' : '5', 'volume_quantity' : '1', 'pieces_unit' : '3', 'pieces_quantity' : '0', 'cooking_notes' : ''}).status_code; print('%s :: %s :: %s :: %s :: %s' %(a,1263,'ground nut oil','ground nut oil','PAV'))</t>
  </si>
  <si>
    <t xml:space="preserve">a = Client().post('/recipes/pav/detail/', {'recipe' : '57', 'ingredient' : '177', 'name' : 'salt', 'mass_unit' : '2', 'mass_quantity' : '0', 'volume_unit' : '5', 'volume_quantity' : '0.7', 'pieces_unit' : '3', 'pieces_quantity' : '0', 'cooking_notes' : ''}).status_code; print('%s :: %s :: %s :: %s :: %s' %(a,1264,'salt','salt','PAV'))</t>
  </si>
  <si>
    <t xml:space="preserve">a = Client().post('/recipes/pav/detail/', {'recipe' : '57', 'ingredient' : '214', 'name' : 'water', 'mass_unit' : '2', 'mass_quantity' : '0', 'volume_unit' : '1', 'volume_quantity' : '3.5', 'pieces_unit' : '3', 'pieces_quantity' : '0', 'cooking_notes' : ''}).status_code; print('%s :: %s :: %s :: %s :: %s' %(a,1265,'water','water','PAV'))</t>
  </si>
  <si>
    <t xml:space="preserve">/recipes/rasam/detail/</t>
  </si>
  <si>
    <t xml:space="preserve">a = Client().post('/recipes/rasam/detail/', {'recipe' : '64', 'ingredient' : '195', 'name' : 'tomato -pulvarize w/o jali', 'mass_unit' : '2', 'mass_quantity' : '3.5', 'volume_unit' : '1', 'volume_quantity' : '0', 'pieces_unit' : '3', 'pieces_quantity' : '0', 'cooking_notes' : ''}).status_code; print('%s :: %s :: %s :: %s :: %s' %(a,1267,'tomato -pulvarize w/o jali','tomato','RASAM'))</t>
  </si>
  <si>
    <t xml:space="preserve">a = Client().post('/recipes/rasam/detail/', {'recipe' : '64', 'ingredient' : '66', 'name' : 'dhania patta', 'mass_unit' : '2', 'mass_quantity' : '0', 'volume_unit' : '1', 'volume_quantity' : '1', 'pieces_unit' : '3', 'pieces_quantity' : '0', 'cooking_notes' : ''}).status_code; print('%s :: %s :: %s :: %s :: %s' %(a,1268,'dhania patta','dhaniya patta','RASAM'))</t>
  </si>
  <si>
    <t xml:space="preserve">a = Client().post('/recipes/rasam/detail/', {'recipe' : '64', 'ingredient' : '105', 'name' : 'kadipatta', 'mass_unit' : '2', 'mass_quantity' : '0', 'volume_unit' : '1', 'volume_quantity' : '1', 'pieces_unit' : '3', 'pieces_quantity' : '0', 'cooking_notes' : ''}).status_code; print('%s :: %s :: %s :: %s :: %s' %(a,1269,'kadipatta','kadi patta','RASAM'))</t>
  </si>
  <si>
    <t xml:space="preserve">a = Client().post('/recipes/rasam/detail/', {'recipe' : '64', 'ingredient' : '198', 'name' : 'tur dal', 'mass_unit' : '2', 'mass_quantity' : '1', 'volume_unit' : '1', 'volume_quantity' : '0', 'pieces_unit' : '3', 'pieces_quantity' : '0', 'cooking_notes' : ''}).status_code; print('%s :: %s :: %s :: %s :: %s' %(a,1270,'tur dal','tur dal','RASAM'))</t>
  </si>
  <si>
    <t xml:space="preserve">a = Client().post('/recipes/rasam/detail/', {'recipe' : '64', 'ingredient' : '98', 'name' : 'imli', 'mass_unit' : '7', 'mass_quantity' : '200', 'volume_unit' : '1', 'volume_quantity' : '0', 'pieces_unit' : '3', 'pieces_quantity' : '0', 'cooking_notes' : ''}).status_code; print('%s :: %s :: %s :: %s :: %s' %(a,1271,'imli','imli','RASAM'))</t>
  </si>
  <si>
    <t xml:space="preserve">a = Client().post('/recipes/rasam/detail/', {'recipe' : '64', 'ingredient' : '91', 'name' : 'haldi', 'mass_unit' : '2', 'mass_quantity' : '0', 'volume_unit' : '5', 'volume_quantity' : '0.5', 'pieces_unit' : '3', 'pieces_quantity' : '0', 'cooking_notes' : ''}).status_code; print('%s :: %s :: %s :: %s :: %s' %(a,1272,'haldi','haldi','RASAM'))</t>
  </si>
  <si>
    <t xml:space="preserve">a = Client().post('/recipes/rasam/detail/', {'recipe' : '64', 'ingredient' : '95', 'name' : 'hing', 'mass_unit' : '2', 'mass_quantity' : '0', 'volume_unit' : '5', 'volume_quantity' : '0.25', 'pieces_unit' : '3', 'pieces_quantity' : '0', 'cooking_notes' : ''}).status_code; print('%s :: %s :: %s :: %s :: %s' %(a,1273,'hing','hing','RASAM'))</t>
  </si>
  <si>
    <t xml:space="preserve">a = Client().post('/recipes/rasam/detail/', {'recipe' : '64', 'ingredient' : '148', 'name' : 'MTR rasam masala', 'mass_unit' : '2', 'mass_quantity' : '0', 'volume_unit' : '5', 'volume_quantity' : '1.5', 'pieces_unit' : '3', 'pieces_quantity' : '0', 'cooking_notes' : ''}).status_code; print('%s :: %s :: %s :: %s :: %s' %(a,1274,'MTR rasam masala','mtr rasam masala','RASAM'))</t>
  </si>
  <si>
    <t xml:space="preserve">a = Client().post('/recipes/rasam/detail/', {'recipe' : '64', 'ingredient' : '177', 'name' : 'salt', 'mass_unit' : '2', 'mass_quantity' : '0', 'volume_unit' : '5', 'volume_quantity' : '1.7', 'pieces_unit' : '3', 'pieces_quantity' : '0', 'cooking_notes' : ''}).status_code; print('%s :: %s :: %s :: %s :: %s' %(a,1275,'salt','salt','RASAM'))</t>
  </si>
  <si>
    <t xml:space="preserve">a = Client().post('/recipes/rasam/detail/', {'recipe' : '64', 'ingredient' : '90', 'name' : 'gud', 'mass_unit' : '7', 'mass_quantity' : '300', 'volume_unit' : '1', 'volume_quantity' : '0', 'pieces_unit' : '3', 'pieces_quantity' : '0', 'cooking_notes' : ''}).status_code; print('%s :: %s :: %s :: %s :: %s' %(a,1276,'gud','gud','RASAM'))</t>
  </si>
  <si>
    <t xml:space="preserve">a = Client().post('/recipes/rasam/detail/', {'recipe' : '64', 'ingredient' : '89', 'name' : 'ground nut oil', 'mass_unit' : '2', 'mass_quantity' : '0', 'volume_unit' : '1', 'volume_quantity' : '0.5', 'pieces_unit' : '3', 'pieces_quantity' : '0', 'cooking_notes' : ''}).status_code; print('%s :: %s :: %s :: %s :: %s' %(a,1277,'ground nut oil','ground nut oil','RASAM'))</t>
  </si>
  <si>
    <t xml:space="preserve">a = Client().post('/recipes/rasam/detail/', {'recipe' : '64', 'ingredient' : '164', 'name' : 'rai', 'mass_unit' : '2', 'mass_quantity' : '0', 'volume_unit' : '5', 'volume_quantity' : '0.75', 'pieces_unit' : '3', 'pieces_quantity' : '0', 'cooking_notes' : ''}).status_code; print('%s :: %s :: %s :: %s :: %s' %(a,1278,'rai','rai','RASAM'))</t>
  </si>
  <si>
    <t xml:space="preserve">/recipes/ekadashi-chutney/detail/</t>
  </si>
  <si>
    <t xml:space="preserve">a = Client().post('/recipes/ekadashi-chutney/detail/', {'recipe' : '22', 'ingredient' : '54', 'name' : 'coconut', 'mass_unit' : '2', 'mass_quantity' : '0', 'volume_unit' : '1', 'volume_quantity' : '0', 'pieces_unit' : '3', 'pieces_quantity' : '7', 'cooking_notes' : ''}).status_code; print('%s :: %s :: %s :: %s :: %s' %(a,1280,'coconut','coconut','EKADASHI CHUTNEY'))</t>
  </si>
  <si>
    <t xml:space="preserve">a = Client().post('/recipes/ekadashi-chutney/detail/', {'recipe' : '22', 'ingredient' : '162', 'name' : 'pudina', 'mass_unit' : '2', 'mass_quantity' : '0', 'volume_unit' : '1', 'volume_quantity' : '0', 'pieces_unit' : '8', 'pieces_quantity' : '2', 'cooking_notes' : ''}).status_code; print('%s :: %s :: %s :: %s :: %s' %(a,1281,'pudina','pudina','EKADASHI CHUTNEY'))</t>
  </si>
  <si>
    <t xml:space="preserve">a = Client().post('/recipes/ekadashi-chutney/detail/', {'recipe' : '22', 'ingredient' : '129', 'name' : 'lemon juice', 'mass_unit' : '2', 'mass_quantity' : '0', 'volume_unit' : '5', 'volume_quantity' : '1', 'pieces_unit' : '3', 'pieces_quantity' : '0', 'cooking_notes' : ''}).status_code; print('%s :: %s :: %s :: %s :: %s' %(a,1282,'lemon juice','lemon','EKADASHI CHUTNEY'))</t>
  </si>
  <si>
    <t xml:space="preserve">a = Client().post('/recipes/ekadashi-chutney/detail/', {'recipe' : '22', 'ingredient' : '66', 'name' : 'dhaniya patta', 'mass_unit' : '2', 'mass_quantity' : '0', 'volume_unit' : '1', 'volume_quantity' : '0', 'pieces_unit' : '8', 'pieces_quantity' : '1', 'cooking_notes' : ''}).status_code; print('%s :: %s :: %s :: %s :: %s' %(a,1283,'dhaniya patta','dhaniya patta','EKADASHI CHUTNEY'))</t>
  </si>
  <si>
    <t xml:space="preserve">a = Client().post('/recipes/ekadashi-chutney/detail/', {'recipe' : '22', 'ingredient' : '1', 'name' : 'adrak paste', 'mass_unit' : '2', 'mass_quantity' : '0', 'volume_unit' : '5', 'volume_quantity' : '1', 'pieces_unit' : '3', 'pieces_quantity' : '0', 'cooking_notes' : ''}).status_code; print('%s :: %s :: %s :: %s :: %s' %(a,1284,'adrak paste','adrak','EKADASHI CHUTNEY'))</t>
  </si>
  <si>
    <t xml:space="preserve">a = Client().post('/recipes/ekadashi-chutney/detail/', {'recipe' : '22', 'ingredient' : '105', 'name' : 'kadipatta', 'mass_unit' : '2', 'mass_quantity' : '0', 'volume_unit' : '5', 'volume_quantity' : '1', 'pieces_unit' : '3', 'pieces_quantity' : '0', 'cooking_notes' : ''}).status_code; print('%s :: %s :: %s :: %s :: %s' %(a,1285,'kadipatta','kadi patta','EKADASHI CHUTNEY'))</t>
  </si>
  <si>
    <t xml:space="preserve">a = Client().post('/recipes/ekadashi-chutney/detail/', {'recipe' : '22', 'ingredient' : '55', 'name' : 'coconut oil', 'mass_unit' : '2', 'mass_quantity' : '0', 'volume_unit' : '12', 'volume_quantity' : '250', 'pieces_unit' : '3', 'pieces_quantity' : '0', 'cooking_notes' : ''}).status_code; print('%s :: %s :: %s :: %s :: %s' %(a,1286,'coconut oil','coconut oil','EKADASHI CHUTNEY'))</t>
  </si>
  <si>
    <t xml:space="preserve">a = Client().post('/recipes/ekadashi-chutney/detail/', {'recipe' : '22', 'ingredient' : '102', 'name' : 'jeera', 'mass_unit' : '2', 'mass_quantity' : '0', 'volume_unit' : '5', 'volume_quantity' : '0.5', 'pieces_unit' : '3', 'pieces_quantity' : '0', 'cooking_notes' : ''}).status_code; print('%s :: %s :: %s :: %s :: %s' %(a,1287,'jeera','jeera','EKADASHI CHUTNEY'))</t>
  </si>
  <si>
    <t xml:space="preserve">a = Client().post('/recipes/ekadashi-chutney/detail/', {'recipe' : '22', 'ingredient' : '6', 'name' : 'akkha madrasi/kashmiri mirch', 'mass_unit' : '2', 'mass_quantity' : '0', 'volume_unit' : '5', 'volume_quantity' : '1', 'pieces_unit' : '3', 'pieces_quantity' : '0', 'cooking_notes' : ''}).status_code; print('%s :: %s :: %s :: %s :: %s' %(a,1288,'akkha madrasi/kashmiri mirch','akkha madrasi mirchi','EKADASHI CHUTNEY'))</t>
  </si>
  <si>
    <t xml:space="preserve">/recipes/rajgira-malt-for-ekadashi/detail/</t>
  </si>
  <si>
    <t xml:space="preserve">a = Client().post('/recipes/rajgira-malt-for-ekadashi/detail/', {'recipe' : '63', 'ingredient' : '214', 'name' : 'water', 'mass_unit' : '2', 'mass_quantity' : '0', 'volume_unit' : '1', 'volume_quantity' : '60', 'pieces_unit' : '3', 'pieces_quantity' : '0', 'cooking_notes' : ''}).status_code; print('%s :: %s :: %s :: %s :: %s' %(a,1290,'water','water','RAJGIRA  MALT FOR EKADASHI'))</t>
  </si>
  <si>
    <t xml:space="preserve">a = Client().post('/recipes/rajgira-malt-for-ekadashi/detail/', {'recipe' : '63', 'ingredient' : '166', 'name' : 'rajgira atta', 'mass_unit' : '2', 'mass_quantity' : '2', 'volume_unit' : '1', 'volume_quantity' : '0', 'pieces_unit' : '3', 'pieces_quantity' : '0', 'cooking_notes' : ''}).status_code; print('%s :: %s :: %s :: %s :: %s' %(a,1291,'rajgira atta','rajgira atta','RAJGIRA  MALT FOR EKADASHI'))</t>
  </si>
  <si>
    <t xml:space="preserve">a = Client().post('/recipes/rajgira-malt-for-ekadashi/detail/', {'recipe' : '63', 'ingredient' : '90', 'name' : 'jaggary', 'mass_unit' : '2', 'mass_quantity' : '7', 'volume_unit' : '1', 'volume_quantity' : '0', 'pieces_unit' : '3', 'pieces_quantity' : '0', 'cooking_notes' : ''}).status_code; print('%s :: %s :: %s :: %s :: %s' %(a,1292,'jaggary','gud','RAJGIRA  MALT FOR EKADASHI'))</t>
  </si>
  <si>
    <t xml:space="preserve">/recipes/lemon-juice/detail/</t>
  </si>
  <si>
    <t xml:space="preserve">a = Client().post('/recipes/lemon-juice/detail/', {'recipe' : '43', 'ingredient' : '129', 'name' : 'lemon juice', 'mass_unit' : '2', 'mass_quantity' : '0', 'volume_unit' : '1', 'volume_quantity' : '1', 'pieces_unit' : '3', 'pieces_quantity' : '0', 'cooking_notes' : ''}).status_code; print('%s :: %s :: %s :: %s :: %s' %(a,1294,'lemon juice','lemon','LEMON JUICE'))</t>
  </si>
  <si>
    <t xml:space="preserve">a = Client().post('/recipes/lemon-juice/detail/', {'recipe' : '43', 'ingredient' : '214', 'name' : 'water', 'mass_unit' : '2', 'mass_quantity' : '0', 'volume_unit' : '1', 'volume_quantity' : '35', 'pieces_unit' : '3', 'pieces_quantity' : '0', 'cooking_notes' : ''}).status_code; print('%s :: %s :: %s :: %s :: %s' %(a,1295,'water','water','LEMON JUICE'))</t>
  </si>
  <si>
    <t xml:space="preserve">a = Client().post('/recipes/lemon-juice/detail/', {'recipe' : '43', 'ingredient' : '187', 'name' : 'sugar', 'mass_unit' : '2', 'mass_quantity' : '3', 'volume_unit' : '1', 'volume_quantity' : '0', 'pieces_unit' : '3', 'pieces_quantity' : '0', 'cooking_notes' : ''}).status_code; print('%s :: %s :: %s :: %s :: %s' %(a,1296,'sugar','sugar','LEMON JUICE'))</t>
  </si>
  <si>
    <t xml:space="preserve">a = Client().post('/recipes/lemon-juice/detail/', {'recipe' : '43', 'ingredient' : '32', 'name' : 'black salt', 'mass_unit' : '2', 'mass_quantity' : '0', 'volume_unit' : '5', 'volume_quantity' : '0.5', 'pieces_unit' : '3', 'pieces_quantity' : '0', 'cooking_notes' : ''}).status_code; print('%s :: %s :: %s :: %s :: %s' %(a,1297,'black salt','black salt','LEMON JUICE'))</t>
  </si>
  <si>
    <t xml:space="preserve">a = Client().post('/recipes/lemon-juice/detail/', {'recipe' : '43', 'ingredient' : '177', 'name' : 'regular salt', 'mass_unit' : '2', 'mass_quantity' : '0', 'volume_unit' : '5', 'volume_quantity' : '0.5', 'pieces_unit' : '3', 'pieces_quantity' : '0', 'cooking_notes' : ''}).status_code; print('%s :: %s :: %s :: %s :: %s' %(a,1298,'regular salt','salt','LEMON JUICE'))</t>
  </si>
  <si>
    <t xml:space="preserve">/recipes/ginger-lemon-tea/detail/</t>
  </si>
  <si>
    <t xml:space="preserve">a = Client().post('/recipes/ginger-lemon-tea/detail/', {'recipe' : '27', 'ingredient' : '1', 'name' : 'ginger paste', 'mass_unit' : '2', 'mass_quantity' : '0', 'volume_unit' : '1', 'volume_quantity' : '1', 'pieces_unit' : '3', 'pieces_quantity' : '0', 'cooking_notes' : ''}).status_code; print('%s :: %s :: %s :: %s :: %s' %(a,1300,'ginger paste','adrak','GINGER LEMON TEA'))</t>
  </si>
  <si>
    <t xml:space="preserve">a = Client().post('/recipes/ginger-lemon-tea/detail/', {'recipe' : '27', 'ingredient' : '90', 'name' : 'jaggary', 'mass_unit' : '2', 'mass_quantity' : '4', 'volume_unit' : '1', 'volume_quantity' : '0', 'pieces_unit' : '3', 'pieces_quantity' : '0', 'cooking_notes' : ''}).status_code; print('%s :: %s :: %s :: %s :: %s' %(a,1301,'jaggary','gud','GINGER LEMON TEA'))</t>
  </si>
  <si>
    <t xml:space="preserve">a = Client().post('/recipes/ginger-lemon-tea/detail/', {'recipe' : '27', 'ingredient' : '129', 'name' : 'lemon juice', 'mass_unit' : '2', 'mass_quantity' : '0', 'volume_unit' : '5', 'volume_quantity' : '1.5', 'pieces_unit' : '3', 'pieces_quantity' : '0', 'cooking_notes' : ''}).status_code; print('%s :: %s :: %s :: %s :: %s' %(a,1302,'lemon juice','lemon','GINGER LEMON TEA'))</t>
  </si>
  <si>
    <t xml:space="preserve">a = Client().post('/recipes/ginger-lemon-tea/detail/', {'recipe' : '27', 'ingredient' : '214', 'name' : 'water', 'mass_unit' : '2', 'mass_quantity' : '0', 'volume_unit' : '1', 'volume_quantity' : '35', 'pieces_unit' : '3', 'pieces_quantity' : '0', 'cooking_notes' : ''}).status_code; print('%s :: %s :: %s :: %s :: %s' %(a,1303,'water','water','GINGER LEMON TEA'))</t>
  </si>
  <si>
    <t xml:space="preserve">a = Client().post('/recipes/ginger-lemon-tea/detail/', {'recipe' : '27', 'ingredient' : '31', 'name' : 'black pepper AKKHA', 'mass_unit' : '2', 'mass_quantity' : '0', 'volume_unit' : '5', 'volume_quantity' : '0.15', 'pieces_unit' : '3', 'pieces_quantity' : '0', 'cooking_notes' : ''}).status_code; print('%s :: %s :: %s :: %s :: %s' %(a,1304,'black pepper AKKHA','black pepper','GINGER LEMON TEA'))</t>
  </si>
  <si>
    <t xml:space="preserve">a = Client().post('/recipes/ginger-lemon-tea/detail/', {'recipe' : '27', 'ingredient' : '191', 'name' : 'tej patta', 'mass_unit' : '2', 'mass_quantity' : '0', 'volume_unit' : '1', 'volume_quantity' : '0.5', 'pieces_unit' : '3', 'pieces_quantity' : '0', 'cooking_notes' : ''}).status_code; print('%s :: %s :: %s :: %s :: %s' %(a,1305,'tej patta','tej patta','GINGER LEMON TEA'))</t>
  </si>
  <si>
    <t xml:space="preserve">a = Client().post('/recipes/ginger-lemon-tea/detail/', {'recipe' : '27', 'ingredient' : '61', 'name' : 'DALCHINI', 'mass_unit' : '2', 'mass_quantity' : '0', 'volume_unit' : '5', 'volume_quantity' : '0.15', 'pieces_unit' : '3', 'pieces_quantity' : '0', 'cooking_notes' : ''}).status_code; print('%s :: %s :: %s :: %s :: %s' %(a,1306,'DALCHINI','dalchini','GINGER LEMON TEA'))</t>
  </si>
  <si>
    <t xml:space="preserve">/recipes/panna/detail/</t>
  </si>
  <si>
    <t xml:space="preserve">a = Client().post('/recipes/panna/detail/', {'recipe' : '54', 'ingredient' : '104', 'name' : 'kacca Aam', 'mass_unit' : '2', 'mass_quantity' : '4', 'volume_unit' : '1', 'volume_quantity' : '0', 'pieces_unit' : '3', 'pieces_quantity' : '0', 'cooking_notes' : ''}).status_code; print('%s :: %s :: %s :: %s :: %s' %(a,1308,'kacca Aam','kaccha aam','PANNA'))</t>
  </si>
  <si>
    <t xml:space="preserve">a = Client().post('/recipes/panna/detail/', {'recipe' : '54', 'ingredient' : '162', 'name' : 'pudina', 'mass_unit' : '2', 'mass_quantity' : '0', 'volume_unit' : '5', 'volume_quantity' : '2', 'pieces_unit' : '3', 'pieces_quantity' : '0', 'cooking_notes' : ''}).status_code; print('%s :: %s :: %s :: %s :: %s' %(a,1309,'pudina','pudina','PANNA'))</t>
  </si>
  <si>
    <t xml:space="preserve">a = Client().post('/recipes/panna/detail/', {'recipe' : '54', 'ingredient' : '214', 'name' : 'water', 'mass_unit' : '2', 'mass_quantity' : '0', 'volume_unit' : '1', 'volume_quantity' : '35', 'pieces_unit' : '3', 'pieces_quantity' : '0', 'cooking_notes' : ''}).status_code; print('%s :: %s :: %s :: %s :: %s' %(a,1310,'water','water','PANNA'))</t>
  </si>
  <si>
    <t xml:space="preserve">a = Client().post('/recipes/panna/detail/', {'recipe' : '54', 'ingredient' : '187', 'name' : 'sugar', 'mass_unit' : '2', 'mass_quantity' : '4', 'volume_unit' : '1', 'volume_quantity' : '0', 'pieces_unit' : '3', 'pieces_quantity' : '0', 'cooking_notes' : ''}).status_code; print('%s :: %s :: %s :: %s :: %s' %(a,1311,'sugar','sugar','PANNA'))</t>
  </si>
  <si>
    <t xml:space="preserve">a = Client().post('/recipes/panna/detail/', {'recipe' : '54', 'ingredient' : '32', 'name' : 'black salt', 'mass_unit' : '2', 'mass_quantity' : '0', 'volume_unit' : '5', 'volume_quantity' : '0.5', 'pieces_unit' : '3', 'pieces_quantity' : '0', 'cooking_notes' : ''}).status_code; print('%s :: %s :: %s :: %s :: %s' %(a,1312,'black salt','black salt','PANNA'))</t>
  </si>
  <si>
    <t xml:space="preserve">/recipes/kokam/detail/</t>
  </si>
  <si>
    <t xml:space="preserve">a = Client().post('/recipes/kokam/detail/', {'recipe' : '38', 'ingredient' : '124', 'name' : 'kokam juice', 'mass_unit' : '2', 'mass_quantity' : '0', 'volume_unit' : '1', 'volume_quantity' : '0.5', 'pieces_unit' : '3', 'pieces_quantity' : '0', 'cooking_notes' : ''}).status_code; print('%s :: %s :: %s :: %s :: %s' %(a,1314,'kokam juice','kokam juice','KOKAM'))</t>
  </si>
  <si>
    <t xml:space="preserve">a = Client().post('/recipes/kokam/detail/', {'recipe' : '38', 'ingredient' : '214', 'name' : 'water', 'mass_unit' : '2', 'mass_quantity' : '0', 'volume_unit' : '1', 'volume_quantity' : '35', 'pieces_unit' : '3', 'pieces_quantity' : '0', 'cooking_notes' : ''}).status_code; print('%s :: %s :: %s :: %s :: %s' %(a,1315,'water','water','KOKAM'))</t>
  </si>
  <si>
    <t xml:space="preserve">a = Client().post('/recipes/kokam/detail/', {'recipe' : '38', 'ingredient' : '187', 'name' : 'sugar', 'mass_unit' : '2', 'mass_quantity' : '3', 'volume_unit' : '1', 'volume_quantity' : '0', 'pieces_unit' : '3', 'pieces_quantity' : '0', 'cooking_notes' : ''}).status_code; print('%s :: %s :: %s :: %s :: %s' %(a,1316,'sugar','sugar','KOKAM'))</t>
  </si>
  <si>
    <t xml:space="preserve">a = Client().post('/recipes/kokam/detail/', {'recipe' : '38', 'ingredient' : '32', 'name' : 'black salt', 'mass_unit' : '2', 'mass_quantity' : '0', 'volume_unit' : '5', 'volume_quantity' : '0.75', 'pieces_unit' : '3', 'pieces_quantity' : '0', 'cooking_notes' : ''}).status_code; print('%s :: %s :: %s :: %s :: %s' %(a,1317,'black salt','black salt','KOKAM'))</t>
  </si>
  <si>
    <t xml:space="preserve">a = Client().post('/recipes/kokam/detail/', {'recipe' : '38', 'ingredient' : '103', 'name' : 'jeera powder', 'mass_unit' : '2', 'mass_quantity' : '0', 'volume_unit' : '5', 'volume_quantity' : '0.5', 'pieces_unit' : '3', 'pieces_quantity' : '0', 'cooking_notes' : ''}).status_code; print('%s :: %s :: %s :: %s :: %s' %(a,1318,'jeera powder','jeera powder','KOKAM'))</t>
  </si>
  <si>
    <t xml:space="preserve">/recipes/pav-herbal-tea/detail/</t>
  </si>
  <si>
    <t xml:space="preserve">a = Client().post('/recipes/pav-herbal-tea/detail/', {'recipe' : '58', 'ingredient' : '159', 'name' : 'PAV', 'mass_unit' : '2', 'mass_quantity' : '0', 'volume_unit' : '1', 'volume_quantity' : '0', 'pieces_unit' : '3', 'pieces_quantity' : '400', 'cooking_notes' : ''}).status_code; print('%s :: %s :: %s :: %s :: %s' %(a,1320,'PAV','pav','PAV - HERBAL TEA'))</t>
  </si>
  <si>
    <t xml:space="preserve">/recipes/pav-bhaji/detail/</t>
  </si>
  <si>
    <t xml:space="preserve">a = Client().post('/recipes/pav-bhaji/detail/', {'recipe' : '59', 'ingredient' : '94', 'name' : 'herbal tea', 'mass_unit' : '2', 'mass_quantity' : '0', 'volume_unit' : '1', 'volume_quantity' : '60', 'pieces_unit' : '3', 'pieces_quantity' : '0', 'cooking_notes' : ''}).status_code; print('%s :: %s :: %s :: %s :: %s' %(a,1321,'herbal tea','herbal tea powder','Pav Bhaji'))</t>
  </si>
  <si>
    <t xml:space="preserve">/recipes/rose-lemon-sabja/detail/</t>
  </si>
  <si>
    <t xml:space="preserve">a = Client().post('/recipes/rose-lemon-sabja/detail/', {'recipe' : '68', 'ingredient' : '174', 'name' : 'ROSE WATER', 'mass_unit' : '2', 'mass_quantity' : '0', 'volume_unit' : '1', 'volume_quantity' : '3', 'pieces_unit' : '3', 'pieces_quantity' : '0', 'cooking_notes' : ''}).status_code; print('%s :: %s :: %s :: %s :: %s' %(a,1323,'ROSE WATER','rose water','ROSE  LEMON SABJA'))</t>
  </si>
  <si>
    <t xml:space="preserve">a = Client().post('/recipes/rose-lemon-sabja/detail/', {'recipe' : '68', 'ingredient' : '129', 'name' : 'LEMON', 'mass_unit' : '2', 'mass_quantity' : '0', 'volume_unit' : '5', 'volume_quantity' : '1', 'pieces_unit' : '3', 'pieces_quantity' : '0', 'cooking_notes' : ''}).status_code; print('%s :: %s :: %s :: %s :: %s' %(a,1324,'LEMON','lemon','ROSE  LEMON SABJA'))</t>
  </si>
  <si>
    <t xml:space="preserve">a = Client().post('/recipes/rose-lemon-sabja/detail/', {'recipe' : '68', 'ingredient' : '175', 'name' : 'SABJA', 'mass_unit' : '2', 'mass_quantity' : '0', 'volume_unit' : '9', 'volume_quantity' : '1', 'pieces_unit' : '3', 'pieces_quantity' : '0', 'cooking_notes' : ''}).status_code; print('%s :: %s :: %s :: %s :: %s' %(a,1325,'SABJA','sabja','ROSE  LEMON SABJA'))</t>
  </si>
  <si>
    <t xml:space="preserve">a = Client().post('/recipes/rose-lemon-sabja/detail/', {'recipe' : '68', 'ingredient' : '187', 'name' : 'SUGAR', 'mass_unit' : '2', 'mass_quantity' : '2', 'volume_unit' : '1', 'volume_quantity' : '0', 'pieces_unit' : '3', 'pieces_quantity' : '0', 'cooking_notes' : ''}).status_code; print('%s :: %s :: %s :: %s :: %s' %(a,1326,'SUGAR','sugar','ROSE  LEMON SABJA'))</t>
  </si>
  <si>
    <t xml:space="preserve">/recipes/tomato-chutney-for-noodles/detail/</t>
  </si>
  <si>
    <t xml:space="preserve">a = Client().post('/recipes/tomato-chutney-for-noodles/detail/', {'recipe' : '80', 'ingredient' : '195', 'name' : 'tomato', 'mass_unit' : '2', 'mass_quantity' : '12', 'volume_unit' : '1', 'volume_quantity' : '0', 'pieces_unit' : '3', 'pieces_quantity' : '0', 'cooking_notes' : ''}).status_code; print('%s :: %s :: %s :: %s :: %s' %(a,1328,'tomato','tomato','TOMATO  CHUTNEY FOR NOODLES'))</t>
  </si>
  <si>
    <t xml:space="preserve">a = Client().post('/recipes/tomato-chutney-for-noodles/detail/', {'recipe' : '80', 'ingredient' : '83', 'name' : 'oil', 'mass_unit' : '2', 'mass_quantity' : '0', 'volume_unit' : '12', 'volume_quantity' : '200', 'pieces_unit' : '3', 'pieces_quantity' : '0', 'cooking_notes' : ''}).status_code; print('%s :: %s :: %s :: %s :: %s' %(a,1329,'oil','gound nut oil','TOMATO  CHUTNEY FOR NOODLES'))</t>
  </si>
  <si>
    <t xml:space="preserve">a = Client().post('/recipes/tomato-chutney-for-noodles/detail/', {'recipe' : '80', 'ingredient' : '95', 'name' : 'hing', 'mass_unit' : '2', 'mass_quantity' : '0', 'volume_unit' : '5', 'volume_quantity' : '0.1', 'pieces_unit' : '3', 'pieces_quantity' : '0', 'cooking_notes' : ''}).status_code; print('%s :: %s :: %s :: %s :: %s' %(a,1330,'hing','hing','TOMATO  CHUTNEY FOR NOODLES'))</t>
  </si>
  <si>
    <t xml:space="preserve">a = Client().post('/recipes/tomato-chutney-for-noodles/detail/', {'recipe' : '80', 'ingredient' : '117', 'name' : 'kashmiri powder', 'mass_unit' : '2', 'mass_quantity' : '0', 'volume_unit' : '5', 'volume_quantity' : '0.5', 'pieces_unit' : '3', 'pieces_quantity' : '0', 'cooking_notes' : ''}).status_code; print('%s :: %s :: %s :: %s :: %s' %(a,1331,'kashmiri powder','kashmiri chilly powder','TOMATO  CHUTNEY FOR NOODLES'))</t>
  </si>
  <si>
    <t xml:space="preserve">a = Client().post('/recipes/tomato-chutney-for-noodles/detail/', {'recipe' : '80', 'ingredient' : '187', 'name' : 'sugar', 'mass_unit' : '2', 'mass_quantity' : '2', 'volume_unit' : '1', 'volume_quantity' : '0', 'pieces_unit' : '3', 'pieces_quantity' : '0', 'cooking_notes' : ''}).status_code; print('%s :: %s :: %s :: %s :: %s' %(a,1332,'sugar','sugar','TOMATO  CHUTNEY FOR NOODLES'))</t>
  </si>
  <si>
    <t xml:space="preserve">a = Client().post('/recipes/tomato-chutney-for-noodles/detail/', {'recipe' : '80', 'ingredient' : '179', 'name' : 'sauf', 'mass_unit' : '2', 'mass_quantity' : '0', 'volume_unit' : '5', 'volume_quantity' : '0.5', 'pieces_unit' : '3', 'pieces_quantity' : '0', 'cooking_notes' : ''}).status_code; print('%s :: %s :: %s :: %s :: %s' %(a,1333,'sauf','sauf','TOMATO  CHUTNEY FOR NOODLES'))</t>
  </si>
  <si>
    <t xml:space="preserve">a = Client().post('/recipes/tomato-chutney-for-noodles/detail/', {'recipe' : '80', 'ingredient' : '191', 'name' : 'tejpat', 'mass_unit' : '2', 'mass_quantity' : '0', 'volume_unit' : '5', 'volume_quantity' : '1', 'pieces_unit' : '3', 'pieces_quantity' : '0', 'cooking_notes' : ''}).status_code; print('%s :: %s :: %s :: %s :: %s' %(a,1334,'tejpat','tej patta','TOMATO  CHUTNEY FOR NOODLES'))</t>
  </si>
  <si>
    <t xml:space="preserve">a = Client().post('/recipes/tomato-chutney-for-noodles/detail/', {'recipe' : '80', 'ingredient' : '177', 'name' : 'salt', 'mass_unit' : '2', 'mass_quantity' : '0', 'volume_unit' : '5', 'volume_quantity' : '0.7', 'pieces_unit' : '3', 'pieces_quantity' : '0', 'cooking_notes' : ''}).status_code; print('%s :: %s :: %s :: %s :: %s' %(a,1335,'salt','salt','TOMATO  CHUTNEY FOR NOODLES'))</t>
  </si>
  <si>
    <t xml:space="preserve">a = Client().post('/recipes/tomato-chutney-for-noodles/detail/', {'recipe' : '80', 'ingredient' : '135', 'name' : 'madrsi pw', 'mass_unit' : '2', 'mass_quantity' : '0', 'volume_unit' : '5', 'volume_quantity' : '0.5', 'pieces_unit' : '3', 'pieces_quantity' : '0', 'cooking_notes' : ''}).status_code; print('%s :: %s :: %s :: %s :: %s' %(a,1336,'madrsi pw','madrasi mirchi powder','TOMATO  CHUTNEY FOR NOODLES'))</t>
  </si>
  <si>
    <t xml:space="preserve">/recipes/red-chutney/detail/</t>
  </si>
  <si>
    <t xml:space="preserve">a = Client().post('/recipes/red-chutney/detail/', {'recipe' : '65', 'ingredient' : '64', 'name' : 'dates', 'mass_unit' : '2', 'mass_quantity' : '2', 'volume_unit' : '1', 'volume_quantity' : '0', 'pieces_unit' : '3', 'pieces_quantity' : '0', 'cooking_notes' : '1st boil dates,jaggary,imli '}).status_code; print('%s :: %s :: %s :: %s :: %s' %(a,1338,'dates','dates','RED CHUTNEY'))</t>
  </si>
  <si>
    <t xml:space="preserve">a = Client().post('/recipes/red-chutney/detail/', {'recipe' : '65', 'ingredient' : '90', 'name' : 'jaggary', 'mass_unit' : '2', 'mass_quantity' : '2', 'volume_unit' : '1', 'volume_quantity' : '0', 'pieces_unit' : '3', 'pieces_quantity' : '0', 'cooking_notes' : 'and then grind and put in chok'}).status_code; print('%s :: %s :: %s :: %s :: %s' %(a,1339,'jaggary','gud','RED CHUTNEY'))</t>
  </si>
  <si>
    <t xml:space="preserve">a = Client().post('/recipes/red-chutney/detail/', {'recipe' : '65', 'ingredient' : '98', 'name' : 'imli', 'mass_unit' : '7', 'mass_quantity' : '500', 'volume_unit' : '1', 'volume_quantity' : '0', 'pieces_unit' : '3', 'pieces_quantity' : '0', 'cooking_notes' : ''}).status_code; print('%s :: %s :: %s :: %s :: %s' %(a,1340,'imli','imli','RED CHUTNEY'))</t>
  </si>
  <si>
    <t xml:space="preserve">a = Client().post('/recipes/red-chutney/detail/', {'recipe' : '65', 'ingredient' : '211', 'name' : 'chok', 'mass_unit' : '2', 'mass_quantity' : '0', 'volume_unit' : '1', 'volume_quantity' : '0', 'pieces_unit' : '3', 'pieces_quantity' : '0', 'cooking_notes' : ''}).status_code; print('%s :: %s :: %s :: %s :: %s' %(a,1341,'chok','chok','RED CHUTNEY'))</t>
  </si>
  <si>
    <t xml:space="preserve">a = Client().post('/recipes/red-chutney/detail/', {'recipe' : '65', 'ingredient' : '83', 'name' : 'oil', 'mass_unit' : '2', 'mass_quantity' : '0', 'volume_unit' : '12', 'volume_quantity' : '200', 'pieces_unit' : '3', 'pieces_quantity' : '0', 'cooking_notes' : ''}).status_code; print('%s :: %s :: %s :: %s :: %s' %(a,1342,'oil','gound nut oil','RED CHUTNEY'))</t>
  </si>
  <si>
    <t xml:space="preserve">a = Client().post('/recipes/red-chutney/detail/', {'recipe' : '65', 'ingredient' : '95', 'name' : 'hing', 'mass_unit' : '2', 'mass_quantity' : '0', 'volume_unit' : '5', 'volume_quantity' : '0.1', 'pieces_unit' : '3', 'pieces_quantity' : '0', 'cooking_notes' : ''}).status_code; print('%s :: %s :: %s :: %s :: %s' %(a,1343,'hing','hing','RED CHUTNEY'))</t>
  </si>
  <si>
    <t xml:space="preserve">a = Client().post('/recipes/red-chutney/detail/', {'recipe' : '65', 'ingredient' : '117', 'name' : 'kashmiri powder', 'mass_unit' : '2', 'mass_quantity' : '0', 'volume_unit' : '1', 'volume_quantity' : '0.5', 'pieces_unit' : '3', 'pieces_quantity' : '0', 'cooking_notes' : ''}).status_code; print('%s :: %s :: %s :: %s :: %s' %(a,1344,'kashmiri powder','kashmiri chilly powder','RED CHUTNEY'))</t>
  </si>
  <si>
    <t xml:space="preserve">a = Client().post('/recipes/red-chutney/detail/', {'recipe' : '65', 'ingredient' : '187', 'name' : 'sugar', 'mass_unit' : '2', 'mass_quantity' : '2', 'volume_unit' : '1', 'volume_quantity' : '0', 'pieces_unit' : '3', 'pieces_quantity' : '0', 'cooking_notes' : ''}).status_code; print('%s :: %s :: %s :: %s :: %s' %(a,1345,'sugar','sugar','RED CHUTNEY'))</t>
  </si>
  <si>
    <t xml:space="preserve">a = Client().post('/recipes/red-chutney/detail/', {'recipe' : '65', 'ingredient' : '179', 'name' : 'sauf', 'mass_unit' : '2', 'mass_quantity' : '0', 'volume_unit' : '5', 'volume_quantity' : '0.5', 'pieces_unit' : '3', 'pieces_quantity' : '0', 'cooking_notes' : ''}).status_code; print('%s :: %s :: %s :: %s :: %s' %(a,1346,'sauf','sauf','RED CHUTNEY'))</t>
  </si>
  <si>
    <t xml:space="preserve">a = Client().post('/recipes/red-chutney/detail/', {'recipe' : '65', 'ingredient' : '191', 'name' : 'tejpat', 'mass_unit' : '2', 'mass_quantity' : '0', 'volume_unit' : '5', 'volume_quantity' : '1', 'pieces_unit' : '3', 'pieces_quantity' : '0', 'cooking_notes' : ''}).status_code; print('%s :: %s :: %s :: %s :: %s' %(a,1347,'tejpat','tej patta','RED CHUTNEY'))</t>
  </si>
  <si>
    <t xml:space="preserve">a = Client().post('/recipes/red-chutney/detail/', {'recipe' : '65', 'ingredient' : '177', 'name' : 'salt', 'mass_unit' : '2', 'mass_quantity' : '0', 'volume_unit' : '5', 'volume_quantity' : '0.7', 'pieces_unit' : '3', 'pieces_quantity' : '0', 'cooking_notes' : ''}).status_code; print('%s :: %s :: %s :: %s :: %s' %(a,1348,'salt','salt','RED CHUTNEY'))</t>
  </si>
  <si>
    <t xml:space="preserve">a = Client().post('/recipes/red-chutney/detail/', {'recipe' : '65', 'ingredient' : '135', 'name' : 'madrsi mirchi  pw', 'mass_unit' : '2', 'mass_quantity' : '0', 'volume_unit' : '5', 'volume_quantity' : '0.5', 'pieces_unit' : '3', 'pieces_quantity' : '0', 'cooking_notes' : ''}).status_code; print('%s :: %s :: %s :: %s :: %s' %(a,1349,'madrsi mirchi  pw','madrasi mirchi powder','RED CHUTNEY'))</t>
  </si>
  <si>
    <t xml:space="preserve">a = Client().post('/recipes/red-chutney/detail/', {'recipe' : '65', 'ingredient' : '67', 'name' : 'dhaniya powder', 'mass_unit' : '2', 'mass_quantity' : '0', 'volume_unit' : '1', 'volume_quantity' : '0', 'pieces_unit' : '3', 'pieces_quantity' : '0', 'cooking_notes' : ''}).status_code; print('%s :: %s :: %s :: %s :: %s' %(a,1350,'dhaniya powder','dhaniya powder','RED CHUTNEY'))</t>
  </si>
  <si>
    <t xml:space="preserve">a = Client().post('/recipes/red-chutney/detail/', {'recipe' : '65', 'ingredient' : '103', 'name' : 'jeera powder', 'mass_unit' : '2', 'mass_quantity' : '0', 'volume_unit' : '1', 'volume_quantity' : '0', 'pieces_unit' : '3', 'pieces_quantity' : '0', 'cooking_notes' : ''}).status_code; print('%s :: %s :: %s :: %s :: %s' %(a,1351,'jeera powder','jeera powder','RED CHUTNEY'))</t>
  </si>
  <si>
    <t xml:space="preserve">a = Client().post('/recipes/red-chutney/detail/', {'recipe' : '65', 'ingredient' : '80', 'name' : 'garam masala', 'mass_unit' : '2', 'mass_quantity' : '0', 'volume_unit' : '1', 'volume_quantity' : '0', 'pieces_unit' : '3', 'pieces_quantity' : '0', 'cooking_notes' : ''}).status_code; print('%s :: %s :: %s :: %s :: %s' %(a,1352,'garam masala','garam masala','RED CHUTNEY'))</t>
  </si>
  <si>
    <t xml:space="preserve">/recipes/fennel-tea/detail/</t>
  </si>
  <si>
    <t xml:space="preserve">a = Client().post('/recipes/fennel-tea/detail/', {'recipe' : '25', 'ingredient' : '129', 'name' : 'LEMON JUICE', 'mass_unit' : '2', 'mass_quantity' : '0', 'volume_unit' : '5', 'volume_quantity' : '2.5', 'pieces_unit' : '3', 'pieces_quantity' : '0', 'cooking_notes' : ''}).status_code; print('%s :: %s :: %s :: %s :: %s' %(a,1354,'LEMON JUICE','lemon','FENNEL TEA'))</t>
  </si>
  <si>
    <t xml:space="preserve">a = Client().post('/recipes/fennel-tea/detail/', {'recipe' : '25', 'ingredient' : '1', 'name' : 'ADRAK', 'mass_unit' : '2', 'mass_quantity' : '0', 'volume_unit' : '1', 'volume_quantity' : '0.5', 'pieces_unit' : '3', 'pieces_quantity' : '0', 'cooking_notes' : ''}).status_code; print('%s :: %s :: %s :: %s :: %s' %(a,1355,'ADRAK','adrak','FENNEL TEA'))</t>
  </si>
  <si>
    <t xml:space="preserve">a = Client().post('/recipes/fennel-tea/detail/', {'recipe' : '25', 'ingredient' : '61', 'name' : 'DALCHINI', 'mass_unit' : '2', 'mass_quantity' : '0', 'volume_unit' : '5', 'volume_quantity' : '2', 'pieces_unit' : '3', 'pieces_quantity' : '0', 'cooking_notes' : ''}).status_code; print('%s :: %s :: %s :: %s :: %s' %(a,1356,'DALCHINI','dalchini','FENNEL TEA'))</t>
  </si>
  <si>
    <t xml:space="preserve">a = Client().post('/recipes/fennel-tea/detail/', {'recipe' : '25', 'ingredient' : '191', 'name' : 'TEJPATTA', 'mass_unit' : '2', 'mass_quantity' : '0', 'volume_unit' : '5', 'volume_quantity' : '2', 'pieces_unit' : '3', 'pieces_quantity' : '0', 'cooking_notes' : ''}).status_code; print('%s :: %s :: %s :: %s :: %s' %(a,1357,'TEJPATTA','tej patta','FENNEL TEA'))</t>
  </si>
  <si>
    <t xml:space="preserve">a = Client().post('/recipes/fennel-tea/detail/', {'recipe' : '25', 'ingredient' : '179', 'name' : 'SAUF', 'mass_unit' : '7', 'mass_quantity' : '350', 'volume_unit' : '1', 'volume_quantity' : '0', 'pieces_unit' : '3', 'pieces_quantity' : '0', 'cooking_notes' : ''}).status_code; print('%s :: %s :: %s :: %s :: %s' %(a,1358,'SAUF','sauf','FENNEL TEA'))</t>
  </si>
  <si>
    <t xml:space="preserve">a = Client().post('/recipes/fennel-tea/detail/', {'recipe' : '25', 'ingredient' : '187', 'name' : 'SUGAR', 'mass_unit' : '2', 'mass_quantity' : '3.5', 'volume_unit' : '1', 'volume_quantity' : '0', 'pieces_unit' : '3', 'pieces_quantity' : '0', 'cooking_notes' : ''}).status_code; print('%s :: %s :: %s :: %s :: %s' %(a,1359,'SUGAR','sugar','FENNEL TEA'))</t>
  </si>
  <si>
    <t xml:space="preserve">a = Client().post('/recipes/pav-bhaji/detail/', {'recipe' : '59', 'ingredient' : '8', 'name' : 'potatoes', 'mass_unit' : '2', 'mass_quantity' : '30', 'volume_unit' : '1', 'volume_quantity' : '0', 'pieces_unit' : '3', 'pieces_quantity' : '0', 'cooking_notes' : ''}).status_code; print('%s :: %s :: %s :: %s :: %s' %(a,1361,'potatoes','alu','Pav Bhaji'))</t>
  </si>
  <si>
    <t xml:space="preserve">a = Client().post('/recipes/pav-bhaji/detail/', {'recipe' : '59', 'ingredient' : '88', 'name' : 'Green Peas', 'mass_unit' : '2', 'mass_quantity' : '8', 'volume_unit' : '1', 'volume_quantity' : '0', 'pieces_unit' : '3', 'pieces_quantity' : '0', 'cooking_notes' : 'CHOK-oil-mirchi paste-adrak grated-capcicum-pav bhaji masala( half)-'}).status_code; print('%s :: %s :: %s :: %s :: %s' %(a,1362,'Green Peas','green peas','Pav Bhaji'))</t>
  </si>
  <si>
    <t xml:space="preserve">a = Client().post('/recipes/pav-bhaji/detail/', {'recipe' : '59', 'ingredient' : '42', 'name' : 'Capsicum ', 'mass_unit' : '2', 'mass_quantity' : '6', 'volume_unit' : '1', 'volume_quantity' : '0', 'pieces_unit' : '3', 'pieces_quantity' : '0', 'cooking_notes' : 'tomato pury( boiled)-pav bjahi masal half-kashmiri mirchi pwd-'}).status_code; print('%s :: %s :: %s :: %s :: %s' %(a,1363,'Capsicum ','capsicum','Pav Bhaji'))</t>
  </si>
  <si>
    <t xml:space="preserve">a = Client().post('/recipes/pav-bhaji/detail/', {'recipe' : '59', 'ingredient' : '44', 'name' : 'Cauli flower', 'mass_unit' : '2', 'mass_quantity' : '6', 'volume_unit' : '1', 'volume_quantity' : '0', 'pieces_unit' : '3', 'pieces_quantity' : '0', 'cooking_notes' : 'salt-remaining pav bjahi masala-smashed alu-'}).status_code; print('%s :: %s :: %s :: %s :: %s' %(a,1364,'Cauli flower','cauli flower','Pav Bhaji'))</t>
  </si>
  <si>
    <t xml:space="preserve">a = Client().post('/recipes/pav-bhaji/detail/', {'recipe' : '59', 'ingredient' : '195', 'name' : 'Tomato', 'mass_unit' : '2', 'mass_quantity' : '20', 'volume_unit' : '1', 'volume_quantity' : '0', 'pieces_unit' : '3', 'pieces_quantity' : '0', 'cooking_notes' : ''}).status_code; print('%s :: %s :: %s :: %s :: %s' %(a,1365,'Tomato','tomato','Pav Bhaji'))</t>
  </si>
  <si>
    <t xml:space="preserve">a = Client().post('/recipes/pav-bhaji/detail/', {'recipe' : '59', 'ingredient' : '1', 'name' : 'Adrak ', 'mass_unit' : '2', 'mass_quantity' : '0', 'volume_unit' : '1', 'volume_quantity' : '1', 'pieces_unit' : '3', 'pieces_quantity' : '0', 'cooking_notes' : 'ALU-peel alu-boil it-smash it in chapti atta making machine '}).status_code; print('%s :: %s :: %s :: %s :: %s' %(a,1366,'Adrak ','adrak','Pav Bhaji'))</t>
  </si>
  <si>
    <t xml:space="preserve">a = Client().post('/recipes/pav-bhaji/detail/', {'recipe' : '59', 'ingredient' : '97', 'name' : 'Hot Water', 'mass_unit' : '2', 'mass_quantity' : '0', 'volume_unit' : '1', 'volume_quantity' : '16', 'pieces_unit' : '3', 'pieces_quantity' : '0', 'cooking_notes' : 'with some water'}).status_code; print('%s :: %s :: %s :: %s :: %s' %(a,1367,'Hot Water','hot water','Pav Bhaji'))</t>
  </si>
  <si>
    <t xml:space="preserve">a = Client().post('/recipes/pav-bhaji/detail/', {'recipe' : '59', 'ingredient' : '93', 'name' : 'Green mirchi paste', 'mass_unit' : '2', 'mass_quantity' : '0', 'volume_unit' : '5', 'volume_quantity' : '0.2', 'pieces_unit' : '3', 'pieces_quantity' : '0', 'cooking_notes' : 'PEAS-boil-smash in pulverizer w/o jali'}).status_code; print('%s :: %s :: %s :: %s :: %s' %(a,1368,'Green mirchi paste','hari mirchi','Pav Bhaji'))</t>
  </si>
  <si>
    <t xml:space="preserve">a = Client().post('/recipes/pav-bhaji/detail/', {'recipe' : '59', 'ingredient' : '129', 'name' : 'LEMON JUICE', 'mass_unit' : '2', 'mass_quantity' : '0', 'volume_unit' : '1', 'volume_quantity' : '0.5', 'pieces_unit' : '3', 'pieces_quantity' : '0', 'cooking_notes' : ''}).status_code; print('%s :: %s :: %s :: %s :: %s' %(a,1369,'LEMON JUICE','lemon','Pav Bhaji'))</t>
  </si>
  <si>
    <t xml:space="preserve">a = Client().post('/recipes/pav-bhaji/detail/', {'recipe' : '59', 'ingredient' : '66', 'name' : 'dhaniya patta ', 'mass_unit' : '2', 'mass_quantity' : '0', 'volume_unit' : '1', 'volume_quantity' : '2', 'pieces_unit' : '3', 'pieces_quantity' : '0', 'cooking_notes' : 'flower -grate in indian cut machine-saute in oil'}).status_code; print('%s :: %s :: %s :: %s :: %s' %(a,1370,'dhaniya patta ','dhaniya patta','Pav Bhaji'))</t>
  </si>
  <si>
    <t xml:space="preserve">a = Client().post('/recipes/pav-bhaji/detail/', {'recipe' : '59', 'ingredient' : '81', 'name' : 'Ghee ', 'mass_unit' : '2', 'mass_quantity' : '0', 'volume_unit' : '1', 'volume_quantity' : '2', 'pieces_unit' : '3', 'pieces_quantity' : '0', 'cooking_notes' : ''}).status_code; print('%s :: %s :: %s :: %s :: %s' %(a,1371,'Ghee ','ghee','Pav Bhaji'))</t>
  </si>
  <si>
    <t xml:space="preserve">a = Client().post('/recipes/pav-bhaji/detail/', {'recipe' : '59', 'ingredient' : '117', 'name' : 'Kashmiri Mirchi powder', 'mass_unit' : '7', 'mass_quantity' : '200', 'volume_unit' : '1', 'volume_quantity' : '0', 'pieces_unit' : '3', 'pieces_quantity' : '0', 'cooking_notes' : ''}).status_code; print('%s :: %s :: %s :: %s :: %s' %(a,1372,'Kashmiri Mirchi powder','kashmiri chilly powder','Pav Bhaji'))</t>
  </si>
  <si>
    <t xml:space="preserve">a = Client().post('/recipes/pav-bhaji/detail/', {'recipe' : '59', 'ingredient' : '160', 'name' : 'Pav Bhaji Masala', 'mass_unit' : '2', 'mass_quantity' : '0', 'volume_unit' : '1', 'volume_quantity' : '1', 'pieces_unit' : '3', 'pieces_quantity' : '0', 'cooking_notes' : ''}).status_code; print('%s :: %s :: %s :: %s :: %s' %(a,1373,'Pav Bhaji Masala','pav bhaji masala','Pav Bhaji'))</t>
  </si>
  <si>
    <t xml:space="preserve">a = Client().post('/recipes/pav-bhaji/detail/', {'recipe' : '59', 'ingredient' : '177', 'name' : 'Salt (Namak)', 'mass_unit' : '2', 'mass_quantity' : '0', 'volume_unit' : '5', 'volume_quantity' : '3', 'pieces_unit' : '3', 'pieces_quantity' : '0', 'cooking_notes' : ''}).status_code; print('%s :: %s :: %s :: %s :: %s' %(a,1374,'Salt (Namak)','salt','Pav Bhaji'))</t>
  </si>
  <si>
    <t xml:space="preserve">a = Client().post('/recipes/pav-bhaji/detail/', {'recipe' : '59', 'ingredient' : '38', 'name' : 'Butter', 'mass_unit' : '2', 'mass_quantity' : '2', 'volume_unit' : '1', 'volume_quantity' : '0', 'pieces_unit' : '3', 'pieces_quantity' : '0', 'cooking_notes' : ''}).status_code; print('%s :: %s :: %s :: %s :: %s' %(a,1375,'Butter','butter','Pav Bhaji'))</t>
  </si>
  <si>
    <t xml:space="preserve">/recipes/nityanand-italian-fried-rice/detail/</t>
  </si>
  <si>
    <t xml:space="preserve">a = Client().post('/recipes/nityanand-italian-fried-rice/detail/', {'recipe' : '51', 'ingredient' : '170', 'name' : 'RICE', 'mass_unit' : '2', 'mass_quantity' : '25', 'volume_unit' : '1', 'volume_quantity' : '0', 'pieces_unit' : '3', 'pieces_quantity' : '0', 'cooking_notes' : ''}).status_code; print('%s :: %s :: %s :: %s :: %s' %(a,1377,'RICE','rice','NITYANAND ITALIAN FRIED RICE'))</t>
  </si>
  <si>
    <t xml:space="preserve">a = Client().post('/recipes/nityanand-italian-fried-rice/detail/', {'recipe' : '51', 'ingredient' : '210', 'name' : 'Zucchini', 'mass_unit' : '2', 'mass_quantity' : '10', 'volume_unit' : '1', 'volume_quantity' : '0', 'pieces_unit' : '3', 'pieces_quantity' : '0', 'cooking_notes' : ''}).status_code; print('%s :: %s :: %s :: %s :: %s' %(a,1378,'Zucchini','zucchini','NITYANAND ITALIAN FRIED RICE'))</t>
  </si>
  <si>
    <t xml:space="preserve">a = Client().post('/recipes/nityanand-italian-fried-rice/detail/', {'recipe' : '51', 'ingredient' : '188', 'name' : 'SWEET CORN ( GRAINS)', 'mass_unit' : '2', 'mass_quantity' : '8', 'volume_unit' : '1', 'volume_quantity' : '0', 'pieces_unit' : '3', 'pieces_quantity' : '0', 'cooking_notes' : ''}).status_code; print('%s :: %s :: %s :: %s :: %s' %(a,1379,'SWEET CORN ( GRAINS)','sweet corn','NITYANAND ITALIAN FRIED RICE'))</t>
  </si>
  <si>
    <t xml:space="preserve">a = Client().post('/recipes/nityanand-italian-fried-rice/detail/', {'recipe' : '51', 'ingredient' : '24', 'name' : 'FRESH BASIL LEAVES', 'mass_unit' : '2', 'mass_quantity' : '1.5', 'volume_unit' : '1', 'volume_quantity' : '0', 'pieces_unit' : '3', 'pieces_quantity' : '0', 'cooking_notes' : ''}).status_code; print('%s :: %s :: %s :: %s :: %s' %(a,1380,'FRESH BASIL LEAVES','basil leaves','NITYANAND ITALIAN FRIED RICE'))</t>
  </si>
  <si>
    <t xml:space="preserve">a = Client().post('/recipes/nityanand-italian-fried-rice/detail/', {'recipe' : '51', 'ingredient' : '195', 'name' : 'TOMATO', 'mass_unit' : '2', 'mass_quantity' : '15', 'volume_unit' : '1', 'volume_quantity' : '0', 'pieces_unit' : '3', 'pieces_quantity' : '0', 'cooking_notes' : ''}).status_code; print('%s :: %s :: %s :: %s :: %s' %(a,1381,'TOMATO','tomato','NITYANAND ITALIAN FRIED RICE'))</t>
  </si>
  <si>
    <t xml:space="preserve">a = Client().post('/recipes/nityanand-italian-fried-rice/detail/', {'recipe' : '51', 'ingredient' : '93', 'name' : 'GREEN CHILLI ( CHOPPED)', 'mass_unit' : '2', 'mass_quantity' : '0', 'volume_unit' : '1', 'volume_quantity' : '0.5', 'pieces_unit' : '3', 'pieces_quantity' : '0', 'cooking_notes' : ''}).status_code; print('%s :: %s :: %s :: %s :: %s' %(a,1382,'GREEN CHILLI ( CHOPPED)','hari mirchi','NITYANAND ITALIAN FRIED RICE'))</t>
  </si>
  <si>
    <t xml:space="preserve">a = Client().post('/recipes/nityanand-italian-fried-rice/detail/', {'recipe' : '51', 'ingredient' : '31', 'name' : 'BLACK PEPPER', 'mass_unit' : '2', 'mass_quantity' : '0', 'volume_unit' : '5', 'volume_quantity' : '0.3', 'pieces_unit' : '3', 'pieces_quantity' : '0', 'cooking_notes' : ''}).status_code; print('%s :: %s :: %s :: %s :: %s' %(a,1383,'BLACK PEPPER','black pepper','NITYANAND ITALIAN FRIED RICE'))</t>
  </si>
  <si>
    <t xml:space="preserve">a = Client().post('/recipes/nityanand-italian-fried-rice/detail/', {'recipe' : '51', 'ingredient' : '95', 'name' : 'HING', 'mass_unit' : '2', 'mass_quantity' : '0', 'volume_unit' : '5', 'volume_quantity' : '0.2', 'pieces_unit' : '3', 'pieces_quantity' : '0', 'cooking_notes' : ''}).status_code; print('%s :: %s :: %s :: %s :: %s' %(a,1384,'HING','hing','NITYANAND ITALIAN FRIED RICE'))</t>
  </si>
  <si>
    <t xml:space="preserve">a = Client().post('/recipes/nityanand-italian-fried-rice/detail/', {'recipe' : '51', 'ingredient' : '89', 'name' : 'GROUND NUT OIL', 'mass_unit' : '2', 'mass_quantity' : '0', 'volume_unit' : '5', 'volume_quantity' : '1', 'pieces_unit' : '3', 'pieces_quantity' : '0', 'cooking_notes' : ''}).status_code; print('%s :: %s :: %s :: %s :: %s' %(a,1385,'GROUND NUT OIL','ground nut oil','NITYANAND ITALIAN FRIED RICE'))</t>
  </si>
  <si>
    <t xml:space="preserve">a = Client().post('/recipes/nityanand-italian-fried-rice/detail/', {'recipe' : '51', 'ingredient' : '185', 'name' : 'SOYA SAUCE', 'mass_unit' : '2', 'mass_quantity' : '0', 'volume_unit' : '5', 'volume_quantity' : '1', 'pieces_unit' : '3', 'pieces_quantity' : '0', 'cooking_notes' : ''}).status_code; print('%s :: %s :: %s :: %s :: %s' %(a,1386,'SOYA SAUCE','soya sauce','NITYANAND ITALIAN FRIED RICE'))</t>
  </si>
  <si>
    <t xml:space="preserve">a = Client().post('/recipes/nityanand-italian-fried-rice/detail/', {'recipe' : '51', 'ingredient' : '177', 'name' : 'SALT', 'mass_unit' : '2', 'mass_quantity' : '0', 'volume_unit' : '5', 'volume_quantity' : '1.5', 'pieces_unit' : '3', 'pieces_quantity' : '0', 'cooking_notes' : ''}).status_code; print('%s :: %s :: %s :: %s :: %s' %(a,1387,'SALT','salt','NITYANAND ITALIAN FRIED RICE'))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</si>
</sst>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"/>
    <numFmt numFmtId="167" formatCode="0"/>
    <numFmt numFmtId="168" formatCode="#,##0.0"/>
    <numFmt numFmtId="169" formatCode="MM/DD/YY\ HH:MM\ AM/PM"/>
  </numFmts>
  <fonts count="4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2"/>
    </font>
    <font>
      <b val="true"/>
      <sz val="12"/>
      <color rgb="FF000000"/>
      <name val="Calibri"/>
      <family val="2"/>
    </font>
    <font>
      <sz val="12"/>
      <color rgb="FF000000"/>
      <name val="Calibri"/>
      <family val="2"/>
    </font>
    <font>
      <b val="true"/>
      <sz val="12"/>
      <name val="Arial"/>
      <family val="2"/>
    </font>
    <font>
      <sz val="12"/>
      <name val="Calibri"/>
      <family val="2"/>
    </font>
    <font>
      <b val="true"/>
      <sz val="12"/>
      <name val="Calibri"/>
      <family val="2"/>
    </font>
    <font>
      <sz val="12"/>
      <color rgb="FFFF0000"/>
      <name val="Calibri"/>
      <family val="2"/>
    </font>
    <font>
      <b val="true"/>
      <sz val="11"/>
      <color rgb="FF000000"/>
      <name val="Calibri"/>
      <family val="2"/>
    </font>
    <font>
      <b val="true"/>
      <sz val="12"/>
      <color rgb="FFFF0000"/>
      <name val="Calibri"/>
      <family val="2"/>
    </font>
    <font>
      <sz val="11"/>
      <color rgb="FF000000"/>
      <name val="Calibri"/>
      <family val="0"/>
    </font>
    <font>
      <sz val="11"/>
      <color rgb="FFFFFFFF"/>
      <name val="Calibri"/>
      <family val="0"/>
    </font>
    <font>
      <sz val="11"/>
      <name val="Calibri"/>
      <family val="2"/>
    </font>
    <font>
      <b val="true"/>
      <sz val="11"/>
      <name val="Calibri"/>
      <family val="2"/>
    </font>
    <font>
      <b val="true"/>
      <sz val="10"/>
      <name val="Arial"/>
      <family val="2"/>
    </font>
    <font>
      <i val="true"/>
      <sz val="11"/>
      <color rgb="FF000000"/>
      <name val="Calibri"/>
      <family val="2"/>
    </font>
    <font>
      <sz val="11"/>
      <name val="Arial"/>
      <family val="2"/>
    </font>
    <font>
      <b val="true"/>
      <sz val="11"/>
      <name val="Arial"/>
      <family val="2"/>
    </font>
    <font>
      <sz val="10"/>
      <name val="Arial"/>
      <family val="2"/>
    </font>
    <font>
      <sz val="11"/>
      <color rgb="FFFF0000"/>
      <name val="Calibri"/>
      <family val="2"/>
    </font>
    <font>
      <u val="single"/>
      <sz val="11"/>
      <color rgb="FF0000FF"/>
      <name val="Calibri"/>
      <family val="2"/>
    </font>
    <font>
      <b val="true"/>
      <sz val="10"/>
      <color rgb="FFFF0000"/>
      <name val="Arial"/>
      <family val="2"/>
    </font>
    <font>
      <b val="true"/>
      <sz val="16"/>
      <color rgb="FF000000"/>
      <name val="Calibri"/>
      <family val="2"/>
    </font>
    <font>
      <b val="true"/>
      <sz val="14"/>
      <name val="Calibri"/>
      <family val="2"/>
    </font>
    <font>
      <b val="true"/>
      <sz val="14"/>
      <name val="Arial"/>
      <family val="2"/>
    </font>
    <font>
      <b val="true"/>
      <sz val="18"/>
      <color rgb="FF000000"/>
      <name val="Calibri"/>
      <family val="2"/>
    </font>
    <font>
      <b val="true"/>
      <sz val="20"/>
      <color rgb="FF000000"/>
      <name val="Calibri"/>
      <family val="2"/>
    </font>
    <font>
      <b val="true"/>
      <sz val="14"/>
      <color rgb="FF000000"/>
      <name val="Calibri"/>
      <family val="2"/>
    </font>
    <font>
      <sz val="10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color rgb="FF000000"/>
      <name val="Arial"/>
      <family val="2"/>
    </font>
    <font>
      <b val="true"/>
      <sz val="15"/>
      <name val="Times New Roman"/>
      <family val="1"/>
    </font>
    <font>
      <b val="true"/>
      <sz val="11"/>
      <name val="Times New Roman"/>
      <family val="1"/>
    </font>
    <font>
      <sz val="11"/>
      <name val="Times New Roman"/>
      <family val="1"/>
    </font>
    <font>
      <b val="true"/>
      <sz val="16"/>
      <name val="Arial"/>
      <family val="2"/>
    </font>
    <font>
      <sz val="9"/>
      <name val="Calibri"/>
      <family val="2"/>
    </font>
    <font>
      <sz val="14"/>
      <color rgb="FF000000"/>
      <name val="Calibri"/>
      <family val="2"/>
    </font>
    <font>
      <sz val="9"/>
      <color rgb="FF000000"/>
      <name val="Calibri"/>
      <family val="2"/>
    </font>
    <font>
      <b val="true"/>
      <sz val="11"/>
      <color rgb="FF222222"/>
      <name val="Calibri"/>
      <family val="2"/>
    </font>
    <font>
      <sz val="11"/>
      <color rgb="FF222222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66"/>
      </patternFill>
    </fill>
    <fill>
      <patternFill patternType="solid">
        <fgColor rgb="FF3333FF"/>
        <bgColor rgb="FF3366FF"/>
      </patternFill>
    </fill>
    <fill>
      <patternFill patternType="solid">
        <fgColor rgb="FFFF3333"/>
        <bgColor rgb="FFCC3300"/>
      </patternFill>
    </fill>
    <fill>
      <patternFill patternType="solid">
        <fgColor rgb="FF990066"/>
        <bgColor rgb="FF800080"/>
      </patternFill>
    </fill>
    <fill>
      <patternFill patternType="solid">
        <fgColor rgb="FFCC3300"/>
        <bgColor rgb="FFFF3333"/>
      </patternFill>
    </fill>
    <fill>
      <patternFill patternType="solid">
        <fgColor rgb="FFCC0000"/>
        <bgColor rgb="FFFF0000"/>
      </patternFill>
    </fill>
    <fill>
      <patternFill patternType="solid">
        <fgColor rgb="FF66FF66"/>
        <bgColor rgb="FF9BBB59"/>
      </patternFill>
    </fill>
    <fill>
      <patternFill patternType="solid">
        <fgColor rgb="FFFFFF66"/>
        <bgColor rgb="FFFFFF99"/>
      </patternFill>
    </fill>
    <fill>
      <patternFill patternType="solid">
        <fgColor rgb="FFFF3399"/>
        <bgColor rgb="FFFF3333"/>
      </patternFill>
    </fill>
    <fill>
      <patternFill patternType="solid">
        <fgColor rgb="FFFFFF99"/>
        <bgColor rgb="FFFFFF66"/>
      </patternFill>
    </fill>
    <fill>
      <patternFill patternType="solid">
        <fgColor rgb="FFFF99FF"/>
        <bgColor rgb="FFCC99FF"/>
      </patternFill>
    </fill>
    <fill>
      <patternFill patternType="solid">
        <fgColor rgb="FF4BACC6"/>
        <bgColor rgb="FF558ED5"/>
      </patternFill>
    </fill>
    <fill>
      <patternFill patternType="solid">
        <fgColor rgb="FF558ED5"/>
        <bgColor rgb="FF4BACC6"/>
      </patternFill>
    </fill>
    <fill>
      <patternFill patternType="solid">
        <fgColor rgb="FF9BBB59"/>
        <bgColor rgb="FF969696"/>
      </patternFill>
    </fill>
    <fill>
      <patternFill patternType="solid">
        <fgColor rgb="FFC3D69B"/>
        <bgColor rgb="FFCCCCCC"/>
      </patternFill>
    </fill>
    <fill>
      <patternFill patternType="solid">
        <fgColor rgb="FFEBF1DE"/>
        <bgColor rgb="FFDCE6F2"/>
      </patternFill>
    </fill>
    <fill>
      <patternFill patternType="solid">
        <fgColor rgb="FFFFFFFF"/>
        <bgColor rgb="FFEBF1DE"/>
      </patternFill>
    </fill>
    <fill>
      <patternFill patternType="solid">
        <fgColor rgb="FFDCE6F2"/>
        <bgColor rgb="FFEBF1DE"/>
      </patternFill>
    </fill>
    <fill>
      <patternFill patternType="solid">
        <fgColor rgb="FF953735"/>
        <bgColor rgb="FF99336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>
        <color rgb="FFCCCCCC"/>
      </left>
      <right style="thin"/>
      <top style="medium">
        <color rgb="FFCCCCCC"/>
      </top>
      <bottom style="thin"/>
      <diagonal/>
    </border>
    <border diagonalUp="false" diagonalDown="false">
      <left style="thin"/>
      <right style="thin"/>
      <top style="medium">
        <color rgb="FFCCCCCC"/>
      </top>
      <bottom style="thin"/>
      <diagonal/>
    </border>
    <border diagonalUp="false" diagonalDown="false">
      <left style="thin"/>
      <right style="medium">
        <color rgb="FFCCCCCC"/>
      </right>
      <top style="medium">
        <color rgb="FFCCCCCC"/>
      </top>
      <bottom style="thin"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medium">
        <color rgb="FFCCCCCC"/>
      </right>
      <top style="thin"/>
      <bottom style="thin"/>
      <diagonal/>
    </border>
    <border diagonalUp="false" diagonalDown="false">
      <left style="medium">
        <color rgb="FFCCCCCC"/>
      </left>
      <right style="thin"/>
      <top style="thin"/>
      <bottom style="medium">
        <color rgb="FFCCCCCC"/>
      </bottom>
      <diagonal/>
    </border>
    <border diagonalUp="false" diagonalDown="false">
      <left style="thin"/>
      <right style="thin"/>
      <top style="thin"/>
      <bottom style="medium">
        <color rgb="FFCCCCCC"/>
      </bottom>
      <diagonal/>
    </border>
    <border diagonalUp="false" diagonalDown="false">
      <left style="thin"/>
      <right style="medium">
        <color rgb="FFCCCCCC"/>
      </right>
      <top style="thin"/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6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9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1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1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2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1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2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1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3" fillId="14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15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18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1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1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1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3" fillId="18" borderId="1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30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3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32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2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7" fillId="1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7" fillId="1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7" fillId="1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1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7" fillId="1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1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14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3" fillId="1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1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1" fillId="1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1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1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18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2" fillId="18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2" fillId="18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2" fillId="1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18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2" fillId="1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2" fillId="1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2" fillId="1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18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2" fillId="18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2" fillId="18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2" fillId="1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1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4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7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3" fillId="17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18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3" fillId="17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66FF66"/>
      <rgbColor rgb="FF0000FF"/>
      <rgbColor rgb="FFFFFF00"/>
      <rgbColor rgb="FFFF3399"/>
      <rgbColor rgb="FF00FFFF"/>
      <rgbColor rgb="FFCC0000"/>
      <rgbColor rgb="FF008000"/>
      <rgbColor rgb="FF000080"/>
      <rgbColor rgb="FF808000"/>
      <rgbColor rgb="FF990066"/>
      <rgbColor rgb="FF008080"/>
      <rgbColor rgb="FFCCCCCC"/>
      <rgbColor rgb="FF808080"/>
      <rgbColor rgb="FF9999FF"/>
      <rgbColor rgb="FF953735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66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FF"/>
      <rgbColor rgb="FFCC99FF"/>
      <rgbColor rgb="FFC3D69B"/>
      <rgbColor rgb="FF3366FF"/>
      <rgbColor rgb="FF4BACC6"/>
      <rgbColor rgb="FF9BBB59"/>
      <rgbColor rgb="FFFFCC00"/>
      <rgbColor rgb="FFFF9900"/>
      <rgbColor rgb="FFFF3333"/>
      <rgbColor rgb="FF558ED5"/>
      <rgbColor rgb="FF969696"/>
      <rgbColor rgb="FF003366"/>
      <rgbColor rgb="FF339966"/>
      <rgbColor rgb="FF003300"/>
      <rgbColor rgb="FF333300"/>
      <rgbColor rgb="FFCC3300"/>
      <rgbColor rgb="FF993366"/>
      <rgbColor rgb="FF3333F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#&apos;Yatra Menu&apos;.A1"/><Relationship Id="rId2" Type="http://schemas.openxmlformats.org/officeDocument/2006/relationships/hyperlink" Target="#&apos;Yatra Menu&apos;.A1"/><Relationship Id="rId3" Type="http://schemas.openxmlformats.org/officeDocument/2006/relationships/hyperlink" Target="#&apos;Yatra Menu&apos;.A1"/><Relationship Id="rId4" Type="http://schemas.openxmlformats.org/officeDocument/2006/relationships/hyperlink" Target="#&apos;Yatra Menu&apos;.A1"/><Relationship Id="rId5" Type="http://schemas.openxmlformats.org/officeDocument/2006/relationships/hyperlink" Target="#&apos;Yatra Menu&apos;.A1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hyperlink" Target="#&apos;Yatra Menu&apos;.A1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12960</xdr:colOff>
      <xdr:row>21</xdr:row>
      <xdr:rowOff>47520</xdr:rowOff>
    </xdr:from>
    <xdr:to>
      <xdr:col>10</xdr:col>
      <xdr:colOff>444600</xdr:colOff>
      <xdr:row>23</xdr:row>
      <xdr:rowOff>22320</xdr:rowOff>
    </xdr:to>
    <xdr:sp>
      <xdr:nvSpPr>
        <xdr:cNvPr id="0" name="CustomShape 1">
          <a:hlinkClick r:id="rId1"/>
        </xdr:cNvPr>
        <xdr:cNvSpPr/>
      </xdr:nvSpPr>
      <xdr:spPr>
        <a:xfrm>
          <a:off x="9199440" y="4238280"/>
          <a:ext cx="431640" cy="37476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/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</a:rPr>
            <a:t>Back to Menu</a:t>
          </a:r>
          <a:endParaRPr b="0" lang="en-US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7</xdr:col>
      <xdr:colOff>106200</xdr:colOff>
      <xdr:row>93</xdr:row>
      <xdr:rowOff>0</xdr:rowOff>
    </xdr:from>
    <xdr:to>
      <xdr:col>8</xdr:col>
      <xdr:colOff>734400</xdr:colOff>
      <xdr:row>94</xdr:row>
      <xdr:rowOff>30960</xdr:rowOff>
    </xdr:to>
    <xdr:sp>
      <xdr:nvSpPr>
        <xdr:cNvPr id="1" name="CustomShape 1">
          <a:hlinkClick r:id="rId2"/>
        </xdr:cNvPr>
        <xdr:cNvSpPr/>
      </xdr:nvSpPr>
      <xdr:spPr>
        <a:xfrm>
          <a:off x="7367760" y="18545040"/>
          <a:ext cx="1039320" cy="23112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Back to Menu</a:t>
          </a:r>
          <a:endParaRPr b="0" lang="en-US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7</xdr:col>
      <xdr:colOff>1440</xdr:colOff>
      <xdr:row>107</xdr:row>
      <xdr:rowOff>131040</xdr:rowOff>
    </xdr:from>
    <xdr:to>
      <xdr:col>8</xdr:col>
      <xdr:colOff>725040</xdr:colOff>
      <xdr:row>110</xdr:row>
      <xdr:rowOff>191520</xdr:rowOff>
    </xdr:to>
    <xdr:sp>
      <xdr:nvSpPr>
        <xdr:cNvPr id="2" name="CustomShape 1">
          <a:hlinkClick r:id="rId3"/>
        </xdr:cNvPr>
        <xdr:cNvSpPr/>
      </xdr:nvSpPr>
      <xdr:spPr>
        <a:xfrm>
          <a:off x="7263000" y="21455280"/>
          <a:ext cx="1134720" cy="66060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Back to Menu</a:t>
          </a:r>
          <a:endParaRPr b="0" lang="en-US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7</xdr:col>
      <xdr:colOff>125280</xdr:colOff>
      <xdr:row>65</xdr:row>
      <xdr:rowOff>65160</xdr:rowOff>
    </xdr:from>
    <xdr:to>
      <xdr:col>8</xdr:col>
      <xdr:colOff>677520</xdr:colOff>
      <xdr:row>68</xdr:row>
      <xdr:rowOff>52200</xdr:rowOff>
    </xdr:to>
    <xdr:sp>
      <xdr:nvSpPr>
        <xdr:cNvPr id="3" name="CustomShape 1">
          <a:hlinkClick r:id="rId4"/>
        </xdr:cNvPr>
        <xdr:cNvSpPr/>
      </xdr:nvSpPr>
      <xdr:spPr>
        <a:xfrm>
          <a:off x="7386840" y="13038120"/>
          <a:ext cx="963360" cy="56808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back to menu</a:t>
          </a:r>
          <a:endParaRPr b="0" lang="en-US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13</xdr:col>
      <xdr:colOff>10800</xdr:colOff>
      <xdr:row>43</xdr:row>
      <xdr:rowOff>152640</xdr:rowOff>
    </xdr:from>
    <xdr:to>
      <xdr:col>14</xdr:col>
      <xdr:colOff>456840</xdr:colOff>
      <xdr:row>45</xdr:row>
      <xdr:rowOff>146520</xdr:rowOff>
    </xdr:to>
    <xdr:sp>
      <xdr:nvSpPr>
        <xdr:cNvPr id="4" name="CustomShape 1">
          <a:hlinkClick r:id="rId5"/>
        </xdr:cNvPr>
        <xdr:cNvSpPr/>
      </xdr:nvSpPr>
      <xdr:spPr>
        <a:xfrm>
          <a:off x="11467800" y="8744040"/>
          <a:ext cx="1203120" cy="39384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Back to Menu</a:t>
          </a:r>
          <a:endParaRPr b="0" lang="en-US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10800</xdr:colOff>
      <xdr:row>43</xdr:row>
      <xdr:rowOff>38160</xdr:rowOff>
    </xdr:from>
    <xdr:to>
      <xdr:col>14</xdr:col>
      <xdr:colOff>457560</xdr:colOff>
      <xdr:row>45</xdr:row>
      <xdr:rowOff>17280</xdr:rowOff>
    </xdr:to>
    <xdr:sp>
      <xdr:nvSpPr>
        <xdr:cNvPr id="5" name="CustomShape 1">
          <a:hlinkClick r:id="rId1"/>
        </xdr:cNvPr>
        <xdr:cNvSpPr/>
      </xdr:nvSpPr>
      <xdr:spPr>
        <a:xfrm>
          <a:off x="17097120" y="8629560"/>
          <a:ext cx="1258200" cy="37908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Back to Menu</a:t>
          </a:r>
          <a:endParaRPr b="0" lang="en-US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17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A30" activeCellId="0" sqref="A30"/>
    </sheetView>
  </sheetViews>
  <sheetFormatPr defaultRowHeight="15" outlineLevelRow="0" outlineLevelCol="0"/>
  <cols>
    <col collapsed="false" customWidth="true" hidden="false" outlineLevel="0" max="1" min="1" style="0" width="20.5"/>
    <col collapsed="false" customWidth="true" hidden="false" outlineLevel="0" max="2" min="2" style="1" width="26.87"/>
    <col collapsed="false" customWidth="true" hidden="false" outlineLevel="0" max="3" min="3" style="2" width="7.51"/>
    <col collapsed="false" customWidth="true" hidden="false" outlineLevel="0" max="4" min="4" style="3" width="4.88"/>
    <col collapsed="false" customWidth="true" hidden="false" outlineLevel="0" max="5" min="5" style="2" width="8.51"/>
    <col collapsed="false" customWidth="true" hidden="false" outlineLevel="0" max="6" min="6" style="4" width="4.88"/>
    <col collapsed="false" customWidth="true" hidden="false" outlineLevel="0" max="7" min="7" style="0" width="8.51"/>
    <col collapsed="false" customWidth="true" hidden="false" outlineLevel="0" max="8" min="8" style="0" width="4.62"/>
    <col collapsed="false" customWidth="true" hidden="false" outlineLevel="0" max="1025" min="9" style="0" width="8.51"/>
  </cols>
  <sheetData>
    <row r="1" customFormat="false" ht="15" hidden="false" customHeight="false" outlineLevel="0" collapsed="false">
      <c r="A1" s="5" t="s">
        <v>0</v>
      </c>
      <c r="B1" s="6"/>
      <c r="C1" s="7"/>
      <c r="D1" s="8"/>
      <c r="E1" s="7"/>
      <c r="F1" s="9"/>
      <c r="G1" s="5"/>
      <c r="H1" s="5"/>
      <c r="I1" s="5"/>
      <c r="J1" s="5"/>
    </row>
    <row r="2" customFormat="false" ht="15.75" hidden="false" customHeight="false" outlineLevel="0" collapsed="false">
      <c r="A2" s="10" t="s">
        <v>1</v>
      </c>
      <c r="B2" s="11" t="s">
        <v>2</v>
      </c>
      <c r="C2" s="12" t="s">
        <v>3</v>
      </c>
      <c r="D2" s="10" t="s">
        <v>4</v>
      </c>
      <c r="E2" s="12" t="s">
        <v>5</v>
      </c>
      <c r="F2" s="10" t="s">
        <v>4</v>
      </c>
      <c r="G2" s="13"/>
      <c r="H2" s="14"/>
      <c r="I2" s="14"/>
      <c r="J2" s="14"/>
      <c r="K2" s="14"/>
    </row>
    <row r="3" customFormat="false" ht="15.75" hidden="false" customHeight="false" outlineLevel="0" collapsed="false">
      <c r="A3" s="15"/>
      <c r="B3" s="16" t="s">
        <v>6</v>
      </c>
      <c r="C3" s="17" t="n">
        <v>3.41666666666667</v>
      </c>
      <c r="D3" s="17" t="s">
        <v>7</v>
      </c>
      <c r="E3" s="18" t="n">
        <f aca="false">C3*E$20/C$20</f>
        <v>34</v>
      </c>
      <c r="F3" s="17" t="s">
        <v>7</v>
      </c>
      <c r="G3" s="14"/>
      <c r="H3" s="14"/>
      <c r="I3" s="14"/>
      <c r="J3" s="14"/>
      <c r="K3" s="14"/>
    </row>
    <row r="4" customFormat="false" ht="15.75" hidden="false" customHeight="false" outlineLevel="0" collapsed="false">
      <c r="A4" s="13"/>
      <c r="B4" s="16" t="s">
        <v>8</v>
      </c>
      <c r="C4" s="17" t="n">
        <v>2.91666666666667</v>
      </c>
      <c r="D4" s="17" t="s">
        <v>7</v>
      </c>
      <c r="E4" s="18" t="n">
        <f aca="false">C4*E$20/C$20</f>
        <v>29</v>
      </c>
      <c r="F4" s="17" t="s">
        <v>7</v>
      </c>
      <c r="G4" s="14"/>
      <c r="H4" s="14"/>
      <c r="I4" s="14"/>
      <c r="J4" s="14"/>
      <c r="K4" s="14"/>
    </row>
    <row r="5" customFormat="false" ht="15.75" hidden="false" customHeight="false" outlineLevel="0" collapsed="false">
      <c r="A5" s="13"/>
      <c r="B5" s="11" t="s">
        <v>9</v>
      </c>
      <c r="C5" s="19" t="n">
        <v>2.91666666666667</v>
      </c>
      <c r="D5" s="12" t="s">
        <v>7</v>
      </c>
      <c r="E5" s="18" t="n">
        <f aca="false">C5*E$20/C$20</f>
        <v>29</v>
      </c>
      <c r="F5" s="12" t="s">
        <v>7</v>
      </c>
      <c r="G5" s="14"/>
      <c r="H5" s="14"/>
      <c r="I5" s="14"/>
      <c r="J5" s="14"/>
      <c r="K5" s="14"/>
    </row>
    <row r="6" customFormat="false" ht="15.75" hidden="false" customHeight="false" outlineLevel="0" collapsed="false">
      <c r="A6" s="13"/>
      <c r="B6" s="16" t="s">
        <v>10</v>
      </c>
      <c r="C6" s="17" t="n">
        <v>1.25</v>
      </c>
      <c r="D6" s="17" t="s">
        <v>7</v>
      </c>
      <c r="E6" s="18" t="n">
        <f aca="false">C6*E$20/C$20</f>
        <v>13</v>
      </c>
      <c r="F6" s="17" t="s">
        <v>7</v>
      </c>
      <c r="G6" s="14"/>
      <c r="H6" s="14"/>
      <c r="I6" s="14"/>
      <c r="J6" s="14"/>
      <c r="K6" s="14"/>
    </row>
    <row r="7" customFormat="false" ht="15.75" hidden="false" customHeight="false" outlineLevel="0" collapsed="false">
      <c r="A7" s="13"/>
      <c r="B7" s="16" t="s">
        <v>11</v>
      </c>
      <c r="C7" s="17" t="n">
        <v>1.25</v>
      </c>
      <c r="D7" s="17" t="s">
        <v>7</v>
      </c>
      <c r="E7" s="18" t="n">
        <f aca="false">C7*E$20/C$20</f>
        <v>13</v>
      </c>
      <c r="F7" s="17" t="s">
        <v>7</v>
      </c>
      <c r="G7" s="14"/>
      <c r="H7" s="14"/>
      <c r="I7" s="14"/>
      <c r="J7" s="14"/>
      <c r="K7" s="14"/>
    </row>
    <row r="8" customFormat="false" ht="15.75" hidden="false" customHeight="false" outlineLevel="0" collapsed="false">
      <c r="A8" s="13"/>
      <c r="B8" s="20" t="s">
        <v>12</v>
      </c>
      <c r="C8" s="21" t="n">
        <v>1</v>
      </c>
      <c r="D8" s="17" t="s">
        <v>13</v>
      </c>
      <c r="E8" s="18" t="n">
        <f aca="false">C8*E$20/C$20</f>
        <v>10</v>
      </c>
      <c r="F8" s="17" t="s">
        <v>13</v>
      </c>
      <c r="G8" s="14"/>
      <c r="H8" s="14"/>
      <c r="I8" s="14"/>
      <c r="J8" s="14"/>
      <c r="K8" s="14"/>
    </row>
    <row r="9" customFormat="false" ht="15.75" hidden="false" customHeight="false" outlineLevel="0" collapsed="false">
      <c r="A9" s="13"/>
      <c r="B9" s="16" t="s">
        <v>14</v>
      </c>
      <c r="C9" s="17" t="n">
        <v>0.166666666666667</v>
      </c>
      <c r="D9" s="17" t="s">
        <v>13</v>
      </c>
      <c r="E9" s="18" t="n">
        <f aca="false">C9*E$20/C$20</f>
        <v>2</v>
      </c>
      <c r="F9" s="17" t="s">
        <v>13</v>
      </c>
      <c r="G9" s="14"/>
      <c r="H9" s="14"/>
      <c r="I9" s="14"/>
      <c r="J9" s="14"/>
      <c r="K9" s="14"/>
    </row>
    <row r="10" customFormat="false" ht="15.75" hidden="false" customHeight="false" outlineLevel="0" collapsed="false">
      <c r="A10" s="13"/>
      <c r="B10" s="20" t="s">
        <v>15</v>
      </c>
      <c r="C10" s="17" t="n">
        <v>0.166666666666667</v>
      </c>
      <c r="D10" s="17" t="s">
        <v>13</v>
      </c>
      <c r="E10" s="18" t="n">
        <f aca="false">C10*E$20/C$20</f>
        <v>2</v>
      </c>
      <c r="F10" s="17" t="s">
        <v>13</v>
      </c>
      <c r="G10" s="14"/>
      <c r="H10" s="14"/>
      <c r="I10" s="14"/>
      <c r="J10" s="14"/>
      <c r="K10" s="14"/>
    </row>
    <row r="11" customFormat="false" ht="15.75" hidden="false" customHeight="false" outlineLevel="0" collapsed="false">
      <c r="A11" s="13"/>
      <c r="B11" s="22" t="s">
        <v>16</v>
      </c>
      <c r="C11" s="18" t="n">
        <v>0.166666666666667</v>
      </c>
      <c r="D11" s="18" t="s">
        <v>13</v>
      </c>
      <c r="E11" s="18" t="n">
        <f aca="false">C11*E$20/C$20</f>
        <v>2</v>
      </c>
      <c r="F11" s="18" t="s">
        <v>13</v>
      </c>
      <c r="G11" s="14"/>
      <c r="H11" s="14"/>
      <c r="I11" s="14"/>
      <c r="J11" s="14"/>
      <c r="K11" s="14"/>
    </row>
    <row r="12" customFormat="false" ht="15.75" hidden="false" customHeight="false" outlineLevel="0" collapsed="false">
      <c r="A12" s="13"/>
      <c r="B12" s="22" t="s">
        <v>17</v>
      </c>
      <c r="C12" s="21" t="n">
        <v>1</v>
      </c>
      <c r="D12" s="23" t="s">
        <v>13</v>
      </c>
      <c r="E12" s="18" t="n">
        <f aca="false">C12*E$20/C$20</f>
        <v>10</v>
      </c>
      <c r="F12" s="18" t="s">
        <v>13</v>
      </c>
      <c r="G12" s="14"/>
      <c r="H12" s="14"/>
      <c r="I12" s="14"/>
      <c r="J12" s="14"/>
      <c r="K12" s="14"/>
    </row>
    <row r="13" customFormat="false" ht="15.75" hidden="false" customHeight="false" outlineLevel="0" collapsed="false">
      <c r="A13" s="13"/>
      <c r="B13" s="20" t="s">
        <v>18</v>
      </c>
      <c r="C13" s="17" t="n">
        <v>0.208333333333333</v>
      </c>
      <c r="D13" s="17" t="s">
        <v>13</v>
      </c>
      <c r="E13" s="18" t="n">
        <f aca="false">C13*E$20/C$20</f>
        <v>2</v>
      </c>
      <c r="F13" s="17" t="s">
        <v>13</v>
      </c>
      <c r="G13" s="14"/>
      <c r="H13" s="14"/>
      <c r="I13" s="14"/>
      <c r="J13" s="14"/>
      <c r="K13" s="14"/>
    </row>
    <row r="14" customFormat="false" ht="15.75" hidden="false" customHeight="false" outlineLevel="0" collapsed="false">
      <c r="A14" s="13"/>
      <c r="B14" s="20" t="s">
        <v>19</v>
      </c>
      <c r="C14" s="17" t="n">
        <v>0.208333333333333</v>
      </c>
      <c r="D14" s="17" t="s">
        <v>20</v>
      </c>
      <c r="E14" s="18" t="n">
        <f aca="false">C14*E$20/C$20</f>
        <v>2</v>
      </c>
      <c r="F14" s="17" t="s">
        <v>20</v>
      </c>
      <c r="G14" s="14"/>
      <c r="H14" s="14"/>
      <c r="I14" s="14"/>
      <c r="J14" s="14"/>
      <c r="K14" s="14"/>
    </row>
    <row r="15" customFormat="false" ht="15.75" hidden="false" customHeight="false" outlineLevel="0" collapsed="false">
      <c r="A15" s="13"/>
      <c r="B15" s="20" t="s">
        <v>21</v>
      </c>
      <c r="C15" s="21" t="n">
        <v>3</v>
      </c>
      <c r="D15" s="17" t="s">
        <v>7</v>
      </c>
      <c r="E15" s="18" t="n">
        <f aca="false">C15*E$20/C$20</f>
        <v>30</v>
      </c>
      <c r="F15" s="17" t="s">
        <v>7</v>
      </c>
      <c r="G15" s="14"/>
      <c r="H15" s="14"/>
      <c r="I15" s="14"/>
      <c r="J15" s="14"/>
      <c r="K15" s="14"/>
    </row>
    <row r="16" customFormat="false" ht="15.75" hidden="false" customHeight="false" outlineLevel="0" collapsed="false">
      <c r="A16" s="13"/>
      <c r="B16" s="20" t="s">
        <v>22</v>
      </c>
      <c r="C16" s="21" t="n">
        <v>0.5</v>
      </c>
      <c r="D16" s="17" t="s">
        <v>13</v>
      </c>
      <c r="E16" s="18" t="n">
        <f aca="false">C16*E$20/C$20</f>
        <v>5</v>
      </c>
      <c r="F16" s="17" t="s">
        <v>13</v>
      </c>
      <c r="G16" s="14"/>
      <c r="H16" s="14"/>
      <c r="I16" s="14"/>
      <c r="J16" s="14"/>
      <c r="K16" s="14"/>
    </row>
    <row r="17" customFormat="false" ht="15.75" hidden="false" customHeight="false" outlineLevel="0" collapsed="false">
      <c r="A17" s="13"/>
      <c r="B17" s="20" t="s">
        <v>23</v>
      </c>
      <c r="C17" s="21" t="n">
        <v>0.1</v>
      </c>
      <c r="D17" s="17" t="s">
        <v>24</v>
      </c>
      <c r="E17" s="18" t="n">
        <f aca="false">C17*E$20/C$20</f>
        <v>1</v>
      </c>
      <c r="F17" s="17" t="s">
        <v>24</v>
      </c>
      <c r="G17" s="14"/>
      <c r="H17" s="14"/>
      <c r="I17" s="14"/>
      <c r="J17" s="14"/>
      <c r="K17" s="14"/>
    </row>
    <row r="18" customFormat="false" ht="15.75" hidden="false" customHeight="false" outlineLevel="0" collapsed="false">
      <c r="A18" s="13"/>
      <c r="B18" s="11" t="s">
        <v>25</v>
      </c>
      <c r="C18" s="19" t="n">
        <v>0.0833333333333333</v>
      </c>
      <c r="D18" s="12" t="s">
        <v>13</v>
      </c>
      <c r="E18" s="18" t="n">
        <f aca="false">C18*E$20/C$20</f>
        <v>1</v>
      </c>
      <c r="F18" s="12" t="s">
        <v>13</v>
      </c>
      <c r="G18" s="14"/>
      <c r="H18" s="14"/>
      <c r="I18" s="14"/>
      <c r="J18" s="14"/>
      <c r="K18" s="14"/>
    </row>
    <row r="19" customFormat="false" ht="15.75" hidden="false" customHeight="false" outlineLevel="0" collapsed="false">
      <c r="A19" s="13"/>
      <c r="B19" s="24" t="s">
        <v>26</v>
      </c>
      <c r="C19" s="25" t="n">
        <v>1</v>
      </c>
      <c r="D19" s="25" t="s">
        <v>27</v>
      </c>
      <c r="E19" s="18" t="n">
        <f aca="false">C19*E$20/C$20</f>
        <v>10</v>
      </c>
      <c r="F19" s="25" t="s">
        <v>27</v>
      </c>
      <c r="G19" s="14"/>
      <c r="H19" s="14"/>
      <c r="I19" s="14"/>
      <c r="J19" s="14"/>
      <c r="K19" s="14"/>
    </row>
    <row r="20" customFormat="false" ht="15.75" hidden="false" customHeight="false" outlineLevel="0" collapsed="false">
      <c r="A20" s="13"/>
      <c r="B20" s="24" t="s">
        <v>26</v>
      </c>
      <c r="C20" s="25" t="n">
        <v>35</v>
      </c>
      <c r="D20" s="25" t="s">
        <v>13</v>
      </c>
      <c r="E20" s="26" t="n">
        <f aca="false">35*10</f>
        <v>350</v>
      </c>
      <c r="F20" s="25" t="s">
        <v>13</v>
      </c>
      <c r="G20" s="14"/>
      <c r="H20" s="14"/>
      <c r="I20" s="14"/>
      <c r="J20" s="14"/>
      <c r="K20" s="14"/>
    </row>
    <row r="21" customFormat="false" ht="15.75" hidden="false" customHeight="false" outlineLevel="0" collapsed="false">
      <c r="A21" s="13"/>
      <c r="B21" s="22"/>
      <c r="C21" s="18"/>
      <c r="D21" s="27"/>
      <c r="E21" s="18"/>
      <c r="F21" s="13"/>
      <c r="G21" s="14"/>
      <c r="H21" s="14"/>
      <c r="I21" s="14"/>
      <c r="J21" s="14"/>
      <c r="K21" s="14"/>
    </row>
    <row r="22" customFormat="false" ht="15.75" hidden="false" customHeight="false" outlineLevel="0" collapsed="false">
      <c r="A22" s="14"/>
      <c r="B22" s="22"/>
      <c r="C22" s="18"/>
      <c r="D22" s="13"/>
      <c r="E22" s="28"/>
      <c r="F22" s="13"/>
      <c r="G22" s="14"/>
      <c r="H22" s="14"/>
      <c r="I22" s="14"/>
      <c r="J22" s="14"/>
      <c r="K22" s="13"/>
    </row>
    <row r="23" customFormat="false" ht="15.75" hidden="false" customHeight="false" outlineLevel="0" collapsed="false">
      <c r="A23" s="10" t="s">
        <v>28</v>
      </c>
      <c r="B23" s="22" t="s">
        <v>29</v>
      </c>
      <c r="C23" s="18" t="n">
        <v>4</v>
      </c>
      <c r="D23" s="13" t="s">
        <v>7</v>
      </c>
      <c r="E23" s="28" t="n">
        <f aca="false">C23*6.25</f>
        <v>25</v>
      </c>
      <c r="F23" s="13" t="s">
        <v>7</v>
      </c>
      <c r="G23" s="14"/>
      <c r="H23" s="14"/>
      <c r="I23" s="14"/>
      <c r="J23" s="14"/>
      <c r="K23" s="13"/>
    </row>
    <row r="24" customFormat="false" ht="15.75" hidden="false" customHeight="false" outlineLevel="0" collapsed="false">
      <c r="A24" s="14"/>
      <c r="B24" s="29" t="s">
        <v>30</v>
      </c>
      <c r="C24" s="30" t="n">
        <v>0.5</v>
      </c>
      <c r="D24" s="31" t="s">
        <v>20</v>
      </c>
      <c r="E24" s="28" t="n">
        <f aca="false">C24*6.25</f>
        <v>3.125</v>
      </c>
      <c r="F24" s="31" t="s">
        <v>20</v>
      </c>
      <c r="G24" s="14"/>
      <c r="H24" s="14"/>
      <c r="I24" s="14"/>
      <c r="J24" s="14"/>
      <c r="K24" s="20"/>
    </row>
    <row r="25" customFormat="false" ht="15.75" hidden="false" customHeight="false" outlineLevel="0" collapsed="false">
      <c r="A25" s="14"/>
      <c r="B25" s="29" t="s">
        <v>31</v>
      </c>
      <c r="C25" s="30" t="n">
        <v>0.5</v>
      </c>
      <c r="D25" s="31" t="s">
        <v>20</v>
      </c>
      <c r="E25" s="28" t="n">
        <f aca="false">C25*6.25</f>
        <v>3.125</v>
      </c>
      <c r="F25" s="31" t="s">
        <v>20</v>
      </c>
      <c r="G25" s="14"/>
      <c r="H25" s="14"/>
      <c r="I25" s="14"/>
      <c r="J25" s="14"/>
      <c r="K25" s="20"/>
    </row>
    <row r="26" customFormat="false" ht="15.75" hidden="false" customHeight="false" outlineLevel="0" collapsed="false">
      <c r="A26" s="14"/>
      <c r="B26" s="29" t="s">
        <v>32</v>
      </c>
      <c r="C26" s="30" t="n">
        <v>0.5</v>
      </c>
      <c r="D26" s="31" t="s">
        <v>20</v>
      </c>
      <c r="E26" s="28" t="n">
        <f aca="false">C26*6.25</f>
        <v>3.125</v>
      </c>
      <c r="F26" s="31" t="s">
        <v>20</v>
      </c>
      <c r="G26" s="14"/>
      <c r="H26" s="14"/>
      <c r="I26" s="14"/>
      <c r="J26" s="14"/>
      <c r="K26" s="20"/>
    </row>
    <row r="27" customFormat="false" ht="15.75" hidden="false" customHeight="false" outlineLevel="0" collapsed="false">
      <c r="A27" s="14"/>
      <c r="B27" s="32" t="s">
        <v>33</v>
      </c>
      <c r="C27" s="30"/>
      <c r="D27" s="33"/>
      <c r="E27" s="28" t="n">
        <f aca="false">C27*6.25</f>
        <v>0</v>
      </c>
      <c r="F27" s="33"/>
      <c r="G27" s="14"/>
      <c r="H27" s="14"/>
      <c r="I27" s="14"/>
      <c r="J27" s="14"/>
      <c r="K27" s="14"/>
    </row>
    <row r="28" customFormat="false" ht="15.75" hidden="false" customHeight="false" outlineLevel="0" collapsed="false">
      <c r="A28" s="14"/>
      <c r="B28" s="29" t="s">
        <v>34</v>
      </c>
      <c r="C28" s="30" t="n">
        <v>1</v>
      </c>
      <c r="D28" s="31" t="s">
        <v>27</v>
      </c>
      <c r="E28" s="28" t="n">
        <f aca="false">C28*6.25</f>
        <v>6.25</v>
      </c>
      <c r="F28" s="31" t="s">
        <v>27</v>
      </c>
      <c r="G28" s="14"/>
      <c r="H28" s="14"/>
      <c r="I28" s="14"/>
      <c r="J28" s="14"/>
      <c r="K28" s="14"/>
    </row>
    <row r="29" customFormat="false" ht="15.75" hidden="false" customHeight="false" outlineLevel="0" collapsed="false">
      <c r="A29" s="14"/>
      <c r="B29" s="20"/>
      <c r="C29" s="28"/>
      <c r="D29" s="34"/>
      <c r="E29" s="28"/>
      <c r="F29" s="35"/>
      <c r="G29" s="14"/>
      <c r="H29" s="14"/>
      <c r="I29" s="14"/>
      <c r="J29" s="14"/>
      <c r="K29" s="14"/>
    </row>
    <row r="30" customFormat="false" ht="15.75" hidden="false" customHeight="false" outlineLevel="0" collapsed="false">
      <c r="A30" s="13" t="s">
        <v>35</v>
      </c>
      <c r="B30" s="22" t="s">
        <v>2</v>
      </c>
      <c r="C30" s="18" t="s">
        <v>3</v>
      </c>
      <c r="D30" s="13" t="s">
        <v>4</v>
      </c>
      <c r="E30" s="18" t="s">
        <v>5</v>
      </c>
      <c r="F30" s="13" t="s">
        <v>4</v>
      </c>
      <c r="G30" s="13" t="s">
        <v>5</v>
      </c>
      <c r="H30" s="13" t="s">
        <v>4</v>
      </c>
      <c r="I30" s="14"/>
      <c r="J30" s="14"/>
      <c r="K30" s="14"/>
    </row>
    <row r="31" customFormat="false" ht="15.75" hidden="false" customHeight="false" outlineLevel="0" collapsed="false">
      <c r="A31" s="36"/>
      <c r="B31" s="20" t="s">
        <v>6</v>
      </c>
      <c r="C31" s="37" t="n">
        <v>30</v>
      </c>
      <c r="D31" s="28" t="s">
        <v>7</v>
      </c>
      <c r="E31" s="12" t="n">
        <f aca="false">C31/1.2</f>
        <v>25</v>
      </c>
      <c r="F31" s="28" t="s">
        <v>7</v>
      </c>
      <c r="G31" s="10" t="n">
        <f aca="false">E31*2</f>
        <v>50</v>
      </c>
      <c r="H31" s="28" t="s">
        <v>7</v>
      </c>
      <c r="I31" s="14"/>
      <c r="J31" s="14"/>
      <c r="K31" s="14"/>
    </row>
    <row r="32" customFormat="false" ht="15.75" hidden="false" customHeight="false" outlineLevel="0" collapsed="false">
      <c r="A32" s="14"/>
      <c r="B32" s="20" t="s">
        <v>36</v>
      </c>
      <c r="C32" s="30" t="n">
        <v>10</v>
      </c>
      <c r="D32" s="28" t="s">
        <v>13</v>
      </c>
      <c r="E32" s="18" t="n">
        <f aca="false">C32/1.2</f>
        <v>8.3</v>
      </c>
      <c r="F32" s="28" t="s">
        <v>13</v>
      </c>
      <c r="G32" s="13" t="n">
        <f aca="false">E32*2</f>
        <v>16.6</v>
      </c>
      <c r="H32" s="28" t="s">
        <v>13</v>
      </c>
      <c r="I32" s="14"/>
      <c r="J32" s="14"/>
      <c r="K32" s="14"/>
    </row>
    <row r="33" customFormat="false" ht="15.75" hidden="false" customHeight="false" outlineLevel="0" collapsed="false">
      <c r="A33" s="14"/>
      <c r="B33" s="20" t="s">
        <v>37</v>
      </c>
      <c r="C33" s="28" t="n">
        <v>1</v>
      </c>
      <c r="D33" s="28" t="s">
        <v>13</v>
      </c>
      <c r="E33" s="18" t="n">
        <f aca="false">C33/1.2</f>
        <v>0.8</v>
      </c>
      <c r="F33" s="28" t="s">
        <v>13</v>
      </c>
      <c r="G33" s="13" t="n">
        <f aca="false">E33*2</f>
        <v>1.6</v>
      </c>
      <c r="H33" s="28" t="s">
        <v>13</v>
      </c>
      <c r="I33" s="14"/>
      <c r="J33" s="14"/>
      <c r="K33" s="14"/>
    </row>
    <row r="34" customFormat="false" ht="15.75" hidden="false" customHeight="false" outlineLevel="0" collapsed="false">
      <c r="A34" s="14"/>
      <c r="B34" s="20" t="s">
        <v>14</v>
      </c>
      <c r="C34" s="28" t="n">
        <v>0.75</v>
      </c>
      <c r="D34" s="28" t="s">
        <v>13</v>
      </c>
      <c r="E34" s="18" t="n">
        <f aca="false">C34/1.2</f>
        <v>0.6</v>
      </c>
      <c r="F34" s="28" t="s">
        <v>13</v>
      </c>
      <c r="G34" s="13" t="n">
        <f aca="false">E34*2</f>
        <v>1.2</v>
      </c>
      <c r="H34" s="28" t="s">
        <v>13</v>
      </c>
      <c r="I34" s="14"/>
      <c r="J34" s="14"/>
      <c r="K34" s="14"/>
    </row>
    <row r="35" customFormat="false" ht="15.75" hidden="false" customHeight="false" outlineLevel="0" collapsed="false">
      <c r="A35" s="14"/>
      <c r="B35" s="20" t="s">
        <v>38</v>
      </c>
      <c r="C35" s="28" t="n">
        <v>2</v>
      </c>
      <c r="D35" s="28" t="s">
        <v>13</v>
      </c>
      <c r="E35" s="18" t="n">
        <f aca="false">C35/1.2</f>
        <v>1.7</v>
      </c>
      <c r="F35" s="28" t="s">
        <v>13</v>
      </c>
      <c r="G35" s="13" t="n">
        <f aca="false">E35*2</f>
        <v>3.4</v>
      </c>
      <c r="H35" s="28" t="s">
        <v>13</v>
      </c>
      <c r="I35" s="14"/>
      <c r="J35" s="14"/>
      <c r="K35" s="14"/>
    </row>
    <row r="36" customFormat="false" ht="15.75" hidden="false" customHeight="false" outlineLevel="0" collapsed="false">
      <c r="A36" s="14"/>
      <c r="B36" s="29" t="s">
        <v>11</v>
      </c>
      <c r="C36" s="30" t="n">
        <v>5</v>
      </c>
      <c r="D36" s="30" t="s">
        <v>13</v>
      </c>
      <c r="E36" s="23" t="n">
        <f aca="false">C36/1.2</f>
        <v>4.2</v>
      </c>
      <c r="F36" s="30" t="s">
        <v>13</v>
      </c>
      <c r="G36" s="38" t="n">
        <f aca="false">E36*2</f>
        <v>8.4</v>
      </c>
      <c r="H36" s="30" t="s">
        <v>13</v>
      </c>
      <c r="I36" s="14"/>
      <c r="J36" s="14"/>
      <c r="K36" s="14"/>
    </row>
    <row r="37" customFormat="false" ht="15.75" hidden="false" customHeight="false" outlineLevel="0" collapsed="false">
      <c r="A37" s="14"/>
      <c r="B37" s="29"/>
      <c r="C37" s="30" t="n">
        <v>4</v>
      </c>
      <c r="D37" s="30" t="s">
        <v>7</v>
      </c>
      <c r="E37" s="23" t="n">
        <f aca="false">C37/1.2</f>
        <v>3.3</v>
      </c>
      <c r="F37" s="30" t="s">
        <v>7</v>
      </c>
      <c r="G37" s="38" t="n">
        <f aca="false">E37*2</f>
        <v>6.6</v>
      </c>
      <c r="H37" s="30" t="s">
        <v>7</v>
      </c>
      <c r="I37" s="14"/>
      <c r="J37" s="14"/>
      <c r="K37" s="14"/>
    </row>
    <row r="38" customFormat="false" ht="15.75" hidden="false" customHeight="false" outlineLevel="0" collapsed="false">
      <c r="A38" s="14"/>
      <c r="B38" s="29" t="s">
        <v>39</v>
      </c>
      <c r="C38" s="30" t="n">
        <v>30</v>
      </c>
      <c r="D38" s="30" t="s">
        <v>13</v>
      </c>
      <c r="E38" s="23" t="n">
        <f aca="false">C38/1.2</f>
        <v>25</v>
      </c>
      <c r="F38" s="30" t="s">
        <v>13</v>
      </c>
      <c r="G38" s="38" t="n">
        <f aca="false">E38*2</f>
        <v>50</v>
      </c>
      <c r="H38" s="30" t="s">
        <v>13</v>
      </c>
      <c r="I38" s="14"/>
      <c r="J38" s="14"/>
      <c r="K38" s="14"/>
    </row>
    <row r="39" customFormat="false" ht="15.75" hidden="false" customHeight="false" outlineLevel="0" collapsed="false">
      <c r="A39" s="14"/>
      <c r="B39" s="29"/>
      <c r="C39" s="30" t="n">
        <v>12</v>
      </c>
      <c r="D39" s="30" t="s">
        <v>7</v>
      </c>
      <c r="E39" s="23" t="n">
        <f aca="false">C39/1.2</f>
        <v>10</v>
      </c>
      <c r="F39" s="30" t="s">
        <v>7</v>
      </c>
      <c r="G39" s="38" t="n">
        <f aca="false">E39*2</f>
        <v>20</v>
      </c>
      <c r="H39" s="30" t="s">
        <v>7</v>
      </c>
      <c r="I39" s="14"/>
      <c r="J39" s="14"/>
      <c r="K39" s="14"/>
    </row>
    <row r="40" customFormat="false" ht="15.75" hidden="false" customHeight="false" outlineLevel="0" collapsed="false">
      <c r="A40" s="14"/>
      <c r="B40" s="29" t="s">
        <v>40</v>
      </c>
      <c r="C40" s="30" t="n">
        <v>5</v>
      </c>
      <c r="D40" s="30" t="s">
        <v>13</v>
      </c>
      <c r="E40" s="23" t="n">
        <f aca="false">C40/1.2</f>
        <v>4.2</v>
      </c>
      <c r="F40" s="30" t="s">
        <v>13</v>
      </c>
      <c r="G40" s="38" t="n">
        <f aca="false">E40*2</f>
        <v>8.4</v>
      </c>
      <c r="H40" s="30" t="s">
        <v>13</v>
      </c>
      <c r="I40" s="14"/>
      <c r="J40" s="14"/>
      <c r="K40" s="14"/>
    </row>
    <row r="41" customFormat="false" ht="15.75" hidden="false" customHeight="false" outlineLevel="0" collapsed="false">
      <c r="A41" s="14"/>
      <c r="B41" s="29"/>
      <c r="C41" s="30" t="n">
        <v>3.5</v>
      </c>
      <c r="D41" s="30" t="s">
        <v>7</v>
      </c>
      <c r="E41" s="23" t="n">
        <f aca="false">C41/1.2</f>
        <v>2.9</v>
      </c>
      <c r="F41" s="30" t="s">
        <v>7</v>
      </c>
      <c r="G41" s="38" t="n">
        <f aca="false">E41*2</f>
        <v>5.8</v>
      </c>
      <c r="H41" s="30" t="s">
        <v>7</v>
      </c>
      <c r="I41" s="14"/>
      <c r="J41" s="14"/>
      <c r="K41" s="14"/>
    </row>
    <row r="42" customFormat="false" ht="15.75" hidden="false" customHeight="false" outlineLevel="0" collapsed="false">
      <c r="A42" s="14"/>
      <c r="B42" s="20" t="s">
        <v>32</v>
      </c>
      <c r="C42" s="28" t="n">
        <v>4</v>
      </c>
      <c r="D42" s="28" t="s">
        <v>20</v>
      </c>
      <c r="E42" s="18" t="n">
        <f aca="false">C42/1.2</f>
        <v>3.3</v>
      </c>
      <c r="F42" s="28" t="s">
        <v>20</v>
      </c>
      <c r="G42" s="13" t="n">
        <f aca="false">E42*2</f>
        <v>6.6</v>
      </c>
      <c r="H42" s="28" t="s">
        <v>20</v>
      </c>
      <c r="I42" s="14"/>
      <c r="J42" s="14"/>
      <c r="K42" s="14"/>
    </row>
    <row r="43" customFormat="false" ht="15.75" hidden="false" customHeight="false" outlineLevel="0" collapsed="false">
      <c r="A43" s="14"/>
      <c r="B43" s="20" t="s">
        <v>41</v>
      </c>
      <c r="C43" s="28" t="n">
        <v>2</v>
      </c>
      <c r="D43" s="28" t="s">
        <v>20</v>
      </c>
      <c r="E43" s="18" t="n">
        <f aca="false">C43/1.2</f>
        <v>1.7</v>
      </c>
      <c r="F43" s="28" t="s">
        <v>20</v>
      </c>
      <c r="G43" s="13" t="n">
        <f aca="false">E43*2</f>
        <v>3.4</v>
      </c>
      <c r="H43" s="28" t="s">
        <v>20</v>
      </c>
      <c r="I43" s="14"/>
      <c r="J43" s="14"/>
      <c r="K43" s="14"/>
    </row>
    <row r="44" customFormat="false" ht="15.75" hidden="false" customHeight="false" outlineLevel="0" collapsed="false">
      <c r="A44" s="39" t="s">
        <v>42</v>
      </c>
      <c r="B44" s="20" t="s">
        <v>43</v>
      </c>
      <c r="C44" s="28" t="n">
        <v>60</v>
      </c>
      <c r="D44" s="28" t="s">
        <v>13</v>
      </c>
      <c r="E44" s="18" t="n">
        <f aca="false">C44/1.2</f>
        <v>50</v>
      </c>
      <c r="F44" s="28" t="s">
        <v>13</v>
      </c>
      <c r="G44" s="13" t="n">
        <f aca="false">E44*2</f>
        <v>100</v>
      </c>
      <c r="H44" s="28" t="s">
        <v>13</v>
      </c>
      <c r="I44" s="14"/>
      <c r="J44" s="14"/>
      <c r="K44" s="14"/>
    </row>
    <row r="45" customFormat="false" ht="15.75" hidden="false" customHeight="false" outlineLevel="0" collapsed="false">
      <c r="A45" s="14"/>
      <c r="B45" s="20" t="s">
        <v>44</v>
      </c>
      <c r="C45" s="28" t="n">
        <v>4</v>
      </c>
      <c r="D45" s="28" t="s">
        <v>20</v>
      </c>
      <c r="E45" s="18" t="n">
        <f aca="false">C45/1.2</f>
        <v>3.3</v>
      </c>
      <c r="F45" s="28" t="s">
        <v>20</v>
      </c>
      <c r="G45" s="13" t="n">
        <f aca="false">E45*2</f>
        <v>6.6</v>
      </c>
      <c r="H45" s="28" t="s">
        <v>20</v>
      </c>
      <c r="I45" s="14"/>
      <c r="J45" s="14"/>
      <c r="K45" s="14"/>
      <c r="N45" s="1"/>
    </row>
    <row r="46" customFormat="false" ht="15.75" hidden="false" customHeight="false" outlineLevel="0" collapsed="false">
      <c r="A46" s="40" t="s">
        <v>45</v>
      </c>
      <c r="B46" s="29" t="s">
        <v>46</v>
      </c>
      <c r="C46" s="28" t="n">
        <v>3.5</v>
      </c>
      <c r="D46" s="28" t="s">
        <v>47</v>
      </c>
      <c r="E46" s="18" t="n">
        <f aca="false">C46/1.2</f>
        <v>2.9</v>
      </c>
      <c r="F46" s="28" t="s">
        <v>47</v>
      </c>
      <c r="G46" s="13" t="n">
        <f aca="false">E46*2</f>
        <v>5.8</v>
      </c>
      <c r="H46" s="28" t="s">
        <v>47</v>
      </c>
      <c r="I46" s="14"/>
      <c r="J46" s="14"/>
      <c r="K46" s="14"/>
      <c r="N46" s="1"/>
    </row>
    <row r="47" customFormat="false" ht="15.75" hidden="false" customHeight="false" outlineLevel="0" collapsed="false">
      <c r="A47" s="14"/>
      <c r="B47" s="20"/>
      <c r="C47" s="28"/>
      <c r="D47" s="34"/>
      <c r="E47" s="28"/>
      <c r="F47" s="35"/>
      <c r="G47" s="14"/>
      <c r="H47" s="14"/>
      <c r="I47" s="14"/>
      <c r="J47" s="14"/>
      <c r="K47" s="14"/>
    </row>
    <row r="48" customFormat="false" ht="15.75" hidden="false" customHeight="false" outlineLevel="0" collapsed="false">
      <c r="A48" s="14"/>
      <c r="B48" s="20"/>
      <c r="C48" s="28"/>
      <c r="D48" s="34"/>
      <c r="E48" s="28"/>
      <c r="F48" s="35"/>
      <c r="G48" s="14"/>
      <c r="H48" s="14"/>
      <c r="I48" s="14"/>
      <c r="J48" s="14"/>
      <c r="K48" s="14"/>
    </row>
    <row r="49" customFormat="false" ht="15.75" hidden="false" customHeight="false" outlineLevel="0" collapsed="false">
      <c r="A49" s="10" t="s">
        <v>48</v>
      </c>
      <c r="B49" s="11" t="s">
        <v>2</v>
      </c>
      <c r="C49" s="12" t="s">
        <v>3</v>
      </c>
      <c r="D49" s="10" t="s">
        <v>4</v>
      </c>
      <c r="E49" s="12" t="s">
        <v>5</v>
      </c>
      <c r="F49" s="10" t="s">
        <v>4</v>
      </c>
      <c r="G49" s="10" t="s">
        <v>5</v>
      </c>
      <c r="H49" s="10" t="s">
        <v>4</v>
      </c>
      <c r="I49" s="13"/>
      <c r="J49" s="14"/>
      <c r="K49" s="14"/>
    </row>
    <row r="50" customFormat="false" ht="15.75" hidden="false" customHeight="false" outlineLevel="0" collapsed="false">
      <c r="A50" s="36"/>
      <c r="B50" s="41" t="s">
        <v>21</v>
      </c>
      <c r="C50" s="21" t="n">
        <v>7.5</v>
      </c>
      <c r="D50" s="42" t="s">
        <v>7</v>
      </c>
      <c r="E50" s="21" t="n">
        <f aca="false">C50*E$69/C$69</f>
        <v>64.5</v>
      </c>
      <c r="F50" s="42" t="s">
        <v>7</v>
      </c>
      <c r="G50" s="43"/>
      <c r="H50" s="44"/>
      <c r="I50" s="14"/>
      <c r="J50" s="14"/>
      <c r="K50" s="14"/>
    </row>
    <row r="51" customFormat="false" ht="15.75" hidden="false" customHeight="false" outlineLevel="0" collapsed="false">
      <c r="A51" s="36"/>
      <c r="B51" s="43" t="s">
        <v>49</v>
      </c>
      <c r="C51" s="45"/>
      <c r="D51" s="46" t="s">
        <v>13</v>
      </c>
      <c r="E51" s="21"/>
      <c r="F51" s="42"/>
      <c r="G51" s="43"/>
      <c r="H51" s="44"/>
      <c r="I51" s="14"/>
      <c r="J51" s="14"/>
      <c r="K51" s="14"/>
    </row>
    <row r="52" customFormat="false" ht="15.75" hidden="false" customHeight="false" outlineLevel="0" collapsed="false">
      <c r="A52" s="47"/>
      <c r="B52" s="41" t="s">
        <v>8</v>
      </c>
      <c r="C52" s="21" t="n">
        <v>15</v>
      </c>
      <c r="D52" s="42" t="s">
        <v>7</v>
      </c>
      <c r="E52" s="21" t="n">
        <f aca="false">C52*E$69/C$69</f>
        <v>129.1</v>
      </c>
      <c r="F52" s="42" t="s">
        <v>7</v>
      </c>
      <c r="G52" s="43"/>
      <c r="H52" s="44"/>
      <c r="I52" s="14"/>
      <c r="J52" s="14"/>
      <c r="K52" s="14"/>
    </row>
    <row r="53" customFormat="false" ht="15.75" hidden="false" customHeight="false" outlineLevel="0" collapsed="false">
      <c r="A53" s="47"/>
      <c r="B53" s="43" t="s">
        <v>49</v>
      </c>
      <c r="C53" s="45"/>
      <c r="D53" s="46" t="s">
        <v>13</v>
      </c>
      <c r="E53" s="21"/>
      <c r="F53" s="42"/>
      <c r="G53" s="43"/>
      <c r="H53" s="44"/>
      <c r="I53" s="14"/>
      <c r="J53" s="14"/>
      <c r="K53" s="14"/>
    </row>
    <row r="54" customFormat="false" ht="15.75" hidden="false" customHeight="false" outlineLevel="0" collapsed="false">
      <c r="A54" s="47"/>
      <c r="B54" s="20" t="s">
        <v>10</v>
      </c>
      <c r="C54" s="21" t="n">
        <v>7.5</v>
      </c>
      <c r="D54" s="42" t="s">
        <v>7</v>
      </c>
      <c r="E54" s="21" t="n">
        <f aca="false">C54*E$69/C$69</f>
        <v>64.5</v>
      </c>
      <c r="F54" s="42" t="s">
        <v>7</v>
      </c>
      <c r="G54" s="43"/>
      <c r="H54" s="44"/>
      <c r="I54" s="14"/>
      <c r="J54" s="14"/>
      <c r="K54" s="14"/>
    </row>
    <row r="55" customFormat="false" ht="15.75" hidden="false" customHeight="false" outlineLevel="0" collapsed="false">
      <c r="A55" s="47"/>
      <c r="B55" s="48" t="s">
        <v>49</v>
      </c>
      <c r="C55" s="45"/>
      <c r="D55" s="46" t="s">
        <v>13</v>
      </c>
      <c r="E55" s="21"/>
      <c r="F55" s="42"/>
      <c r="G55" s="43"/>
      <c r="H55" s="44"/>
      <c r="I55" s="14"/>
      <c r="J55" s="14"/>
      <c r="K55" s="14"/>
    </row>
    <row r="56" customFormat="false" ht="15.75" hidden="false" customHeight="false" outlineLevel="0" collapsed="false">
      <c r="A56" s="47"/>
      <c r="B56" s="41" t="s">
        <v>11</v>
      </c>
      <c r="C56" s="21" t="n">
        <v>4.97959183673469</v>
      </c>
      <c r="D56" s="42" t="s">
        <v>7</v>
      </c>
      <c r="E56" s="21" t="n">
        <f aca="false">C56*E$69/C$69</f>
        <v>43</v>
      </c>
      <c r="F56" s="42" t="s">
        <v>7</v>
      </c>
      <c r="G56" s="16"/>
      <c r="H56" s="13"/>
      <c r="I56" s="14"/>
      <c r="J56" s="14"/>
      <c r="K56" s="14"/>
    </row>
    <row r="57" customFormat="false" ht="15.75" hidden="false" customHeight="false" outlineLevel="0" collapsed="false">
      <c r="A57" s="47"/>
      <c r="B57" s="43" t="s">
        <v>49</v>
      </c>
      <c r="C57" s="45"/>
      <c r="D57" s="46" t="s">
        <v>13</v>
      </c>
      <c r="E57" s="21"/>
      <c r="F57" s="42"/>
      <c r="G57" s="16"/>
      <c r="H57" s="13"/>
      <c r="I57" s="14"/>
      <c r="J57" s="14"/>
      <c r="K57" s="14"/>
    </row>
    <row r="58" customFormat="false" ht="15" hidden="false" customHeight="false" outlineLevel="0" collapsed="false">
      <c r="A58" s="47"/>
      <c r="B58" s="43" t="s">
        <v>50</v>
      </c>
      <c r="C58" s="45"/>
      <c r="D58" s="46" t="s">
        <v>13</v>
      </c>
      <c r="E58" s="21"/>
      <c r="F58" s="42"/>
      <c r="G58" s="16"/>
      <c r="H58" s="13"/>
      <c r="I58" s="14"/>
      <c r="J58" s="14"/>
      <c r="K58" s="14"/>
    </row>
    <row r="59" customFormat="false" ht="15" hidden="false" customHeight="false" outlineLevel="0" collapsed="false">
      <c r="A59" s="47"/>
      <c r="B59" s="43" t="s">
        <v>51</v>
      </c>
      <c r="C59" s="21" t="n">
        <v>60</v>
      </c>
      <c r="D59" s="46" t="s">
        <v>13</v>
      </c>
      <c r="E59" s="21"/>
      <c r="F59" s="46" t="s">
        <v>13</v>
      </c>
      <c r="G59" s="16"/>
      <c r="H59" s="13"/>
      <c r="I59" s="14"/>
      <c r="J59" s="14"/>
      <c r="K59" s="14"/>
    </row>
    <row r="60" customFormat="false" ht="15.75" hidden="false" customHeight="false" outlineLevel="0" collapsed="false">
      <c r="A60" s="20"/>
      <c r="B60" s="29" t="s">
        <v>52</v>
      </c>
      <c r="C60" s="23" t="n">
        <v>1.5</v>
      </c>
      <c r="D60" s="42" t="s">
        <v>13</v>
      </c>
      <c r="E60" s="21" t="n">
        <f aca="false">C60*E$69/C$69</f>
        <v>12.9</v>
      </c>
      <c r="F60" s="42" t="s">
        <v>13</v>
      </c>
      <c r="G60" s="22"/>
      <c r="H60" s="13"/>
      <c r="I60" s="14"/>
      <c r="J60" s="14"/>
      <c r="K60" s="14"/>
    </row>
    <row r="61" customFormat="false" ht="15.75" hidden="false" customHeight="false" outlineLevel="0" collapsed="false">
      <c r="A61" s="20"/>
      <c r="B61" s="29" t="s">
        <v>53</v>
      </c>
      <c r="C61" s="23" t="n">
        <v>1</v>
      </c>
      <c r="D61" s="42" t="s">
        <v>13</v>
      </c>
      <c r="E61" s="21" t="n">
        <f aca="false">C61*E$69/C$69</f>
        <v>8.6</v>
      </c>
      <c r="F61" s="42" t="s">
        <v>13</v>
      </c>
      <c r="G61" s="22"/>
      <c r="H61" s="13"/>
      <c r="I61" s="14"/>
      <c r="J61" s="14"/>
      <c r="K61" s="14"/>
    </row>
    <row r="62" customFormat="false" ht="15.75" hidden="false" customHeight="false" outlineLevel="0" collapsed="false">
      <c r="A62" s="47"/>
      <c r="B62" s="47" t="s">
        <v>54</v>
      </c>
      <c r="C62" s="17" t="n">
        <v>0.497959183673469</v>
      </c>
      <c r="D62" s="42" t="s">
        <v>20</v>
      </c>
      <c r="E62" s="21" t="n">
        <f aca="false">C62*E$69/C$69</f>
        <v>4.3</v>
      </c>
      <c r="F62" s="42" t="s">
        <v>20</v>
      </c>
      <c r="G62" s="16"/>
      <c r="H62" s="13"/>
      <c r="I62" s="14"/>
      <c r="J62" s="14"/>
      <c r="K62" s="14"/>
    </row>
    <row r="63" customFormat="false" ht="15.75" hidden="false" customHeight="false" outlineLevel="0" collapsed="false">
      <c r="A63" s="47"/>
      <c r="B63" s="47" t="s">
        <v>55</v>
      </c>
      <c r="C63" s="17" t="n">
        <v>1</v>
      </c>
      <c r="D63" s="42" t="s">
        <v>7</v>
      </c>
      <c r="E63" s="21" t="n">
        <f aca="false">C63*E$69/C$69</f>
        <v>8.6</v>
      </c>
      <c r="F63" s="42" t="s">
        <v>7</v>
      </c>
      <c r="G63" s="49"/>
      <c r="H63" s="44"/>
      <c r="I63" s="14"/>
      <c r="J63" s="14"/>
      <c r="K63" s="14"/>
    </row>
    <row r="64" customFormat="false" ht="15.75" hidden="false" customHeight="false" outlineLevel="0" collapsed="false">
      <c r="A64" s="47"/>
      <c r="B64" s="47" t="s">
        <v>56</v>
      </c>
      <c r="C64" s="28" t="n">
        <v>0.4</v>
      </c>
      <c r="D64" s="28" t="s">
        <v>24</v>
      </c>
      <c r="E64" s="21" t="n">
        <f aca="false">C64*E$69/C$69</f>
        <v>3.4</v>
      </c>
      <c r="F64" s="28" t="s">
        <v>24</v>
      </c>
      <c r="G64" s="16"/>
      <c r="H64" s="13"/>
      <c r="I64" s="14"/>
      <c r="J64" s="14"/>
      <c r="K64" s="14"/>
    </row>
    <row r="65" customFormat="false" ht="15.75" hidden="false" customHeight="false" outlineLevel="0" collapsed="false">
      <c r="A65" s="47"/>
      <c r="B65" s="47" t="s">
        <v>57</v>
      </c>
      <c r="C65" s="17" t="n">
        <v>0.5</v>
      </c>
      <c r="D65" s="42" t="s">
        <v>7</v>
      </c>
      <c r="E65" s="21" t="n">
        <f aca="false">C65*E$69/C$69</f>
        <v>4.3</v>
      </c>
      <c r="F65" s="42" t="s">
        <v>7</v>
      </c>
      <c r="G65" s="16"/>
      <c r="H65" s="13"/>
      <c r="I65" s="14"/>
      <c r="J65" s="14"/>
      <c r="K65" s="14"/>
    </row>
    <row r="66" customFormat="false" ht="15.75" hidden="false" customHeight="false" outlineLevel="0" collapsed="false">
      <c r="A66" s="47"/>
      <c r="B66" s="47" t="s">
        <v>32</v>
      </c>
      <c r="C66" s="17" t="n">
        <v>2.98775510204082</v>
      </c>
      <c r="D66" s="42" t="s">
        <v>20</v>
      </c>
      <c r="E66" s="21" t="n">
        <f aca="false">C66*E$69/C$69</f>
        <v>25.8</v>
      </c>
      <c r="F66" s="42" t="s">
        <v>20</v>
      </c>
      <c r="G66" s="16"/>
      <c r="H66" s="13"/>
      <c r="I66" s="14"/>
      <c r="J66" s="14"/>
      <c r="K66" s="14"/>
    </row>
    <row r="67" customFormat="false" ht="15" hidden="false" customHeight="false" outlineLevel="0" collapsed="false">
      <c r="A67" s="47"/>
      <c r="B67" s="47" t="s">
        <v>58</v>
      </c>
      <c r="C67" s="17" t="n">
        <v>0.5</v>
      </c>
      <c r="D67" s="42" t="s">
        <v>20</v>
      </c>
      <c r="E67" s="21" t="n">
        <f aca="false">C67*E$69/C$69</f>
        <v>4.3</v>
      </c>
      <c r="F67" s="42" t="s">
        <v>20</v>
      </c>
      <c r="G67" s="49"/>
      <c r="H67" s="44"/>
      <c r="I67" s="14"/>
      <c r="J67" s="14"/>
      <c r="K67" s="14"/>
    </row>
    <row r="68" customFormat="false" ht="15" hidden="false" customHeight="false" outlineLevel="0" collapsed="false">
      <c r="A68" s="20"/>
      <c r="B68" s="50" t="s">
        <v>59</v>
      </c>
      <c r="C68" s="12" t="n">
        <v>1.74285714285714</v>
      </c>
      <c r="D68" s="37" t="s">
        <v>27</v>
      </c>
      <c r="E68" s="21" t="n">
        <f aca="false">C68*E$69/C$69</f>
        <v>14.6</v>
      </c>
      <c r="F68" s="37" t="s">
        <v>27</v>
      </c>
      <c r="G68" s="22"/>
      <c r="H68" s="13"/>
      <c r="I68" s="14"/>
      <c r="J68" s="14"/>
      <c r="K68" s="14"/>
    </row>
    <row r="69" customFormat="false" ht="15.75" hidden="false" customHeight="false" outlineLevel="0" collapsed="false">
      <c r="A69" s="20"/>
      <c r="B69" s="50" t="s">
        <v>59</v>
      </c>
      <c r="C69" s="19" t="n">
        <v>61</v>
      </c>
      <c r="D69" s="37" t="s">
        <v>13</v>
      </c>
      <c r="E69" s="51" t="n">
        <v>525</v>
      </c>
      <c r="F69" s="37" t="s">
        <v>13</v>
      </c>
      <c r="G69" s="22"/>
      <c r="H69" s="13"/>
      <c r="I69" s="14"/>
      <c r="J69" s="14"/>
      <c r="K69" s="14"/>
    </row>
    <row r="70" customFormat="false" ht="15.75" hidden="false" customHeight="false" outlineLevel="0" collapsed="false">
      <c r="A70" s="14"/>
      <c r="B70" s="20"/>
      <c r="C70" s="28"/>
      <c r="D70" s="34"/>
      <c r="E70" s="28"/>
      <c r="F70" s="35"/>
      <c r="G70" s="14"/>
      <c r="H70" s="14"/>
      <c r="I70" s="14"/>
      <c r="J70" s="14"/>
      <c r="K70" s="14"/>
    </row>
    <row r="71" customFormat="false" ht="15.75" hidden="false" customHeight="false" outlineLevel="0" collapsed="false">
      <c r="A71" s="13"/>
      <c r="B71" s="22"/>
      <c r="C71" s="18"/>
      <c r="D71" s="13"/>
      <c r="E71" s="18"/>
      <c r="F71" s="13"/>
      <c r="G71" s="13"/>
      <c r="H71" s="14"/>
      <c r="I71" s="14"/>
      <c r="J71" s="14"/>
      <c r="K71" s="14"/>
    </row>
    <row r="72" customFormat="false" ht="15" hidden="false" customHeight="true" outlineLevel="0" collapsed="false">
      <c r="A72" s="52" t="s">
        <v>60</v>
      </c>
      <c r="B72" s="11" t="s">
        <v>2</v>
      </c>
      <c r="C72" s="12" t="s">
        <v>3</v>
      </c>
      <c r="D72" s="10" t="s">
        <v>4</v>
      </c>
      <c r="E72" s="12" t="s">
        <v>5</v>
      </c>
      <c r="F72" s="10" t="s">
        <v>4</v>
      </c>
      <c r="G72" s="13"/>
      <c r="H72" s="28"/>
      <c r="I72" s="14"/>
      <c r="J72" s="14"/>
      <c r="K72" s="14"/>
    </row>
    <row r="73" customFormat="false" ht="15.75" hidden="false" customHeight="false" outlineLevel="0" collapsed="false">
      <c r="A73" s="52"/>
      <c r="B73" s="22" t="s">
        <v>10</v>
      </c>
      <c r="C73" s="18" t="n">
        <v>11.6666666666667</v>
      </c>
      <c r="D73" s="13" t="s">
        <v>61</v>
      </c>
      <c r="E73" s="18" t="n">
        <f aca="false">C73*E$94/C$94</f>
        <v>188.9</v>
      </c>
      <c r="F73" s="13" t="s">
        <v>61</v>
      </c>
      <c r="G73" s="13"/>
      <c r="H73" s="28"/>
      <c r="I73" s="14"/>
      <c r="J73" s="14"/>
      <c r="K73" s="14"/>
    </row>
    <row r="74" customFormat="false" ht="15.75" hidden="false" customHeight="false" outlineLevel="0" collapsed="false">
      <c r="A74" s="20"/>
      <c r="B74" s="20" t="s">
        <v>62</v>
      </c>
      <c r="C74" s="18" t="n">
        <v>11.6666666666667</v>
      </c>
      <c r="D74" s="28" t="s">
        <v>13</v>
      </c>
      <c r="E74" s="18" t="n">
        <f aca="false">C74*E$94/C$94</f>
        <v>188.9</v>
      </c>
      <c r="F74" s="28" t="s">
        <v>13</v>
      </c>
      <c r="G74" s="28"/>
      <c r="H74" s="28"/>
      <c r="I74" s="14"/>
      <c r="J74" s="14"/>
      <c r="K74" s="14"/>
    </row>
    <row r="75" customFormat="false" ht="15.75" hidden="false" customHeight="false" outlineLevel="0" collapsed="false">
      <c r="A75" s="20"/>
      <c r="B75" s="50" t="s">
        <v>63</v>
      </c>
      <c r="C75" s="18" t="n">
        <v>29.1666666666667</v>
      </c>
      <c r="D75" s="28" t="s">
        <v>61</v>
      </c>
      <c r="E75" s="18" t="n">
        <f aca="false">C75*E$94/C$94</f>
        <v>471.4</v>
      </c>
      <c r="F75" s="28" t="s">
        <v>61</v>
      </c>
      <c r="G75" s="28"/>
      <c r="H75" s="28"/>
      <c r="I75" s="14"/>
      <c r="J75" s="14"/>
      <c r="K75" s="14"/>
    </row>
    <row r="76" customFormat="false" ht="15.75" hidden="false" customHeight="false" outlineLevel="0" collapsed="false">
      <c r="A76" s="20"/>
      <c r="B76" s="20" t="s">
        <v>64</v>
      </c>
      <c r="C76" s="18" t="n">
        <v>35</v>
      </c>
      <c r="D76" s="28" t="s">
        <v>13</v>
      </c>
      <c r="E76" s="18" t="n">
        <f aca="false">C76*E$94/C$94</f>
        <v>565</v>
      </c>
      <c r="F76" s="28" t="s">
        <v>13</v>
      </c>
      <c r="G76" s="28"/>
      <c r="H76" s="28"/>
      <c r="I76" s="14"/>
      <c r="J76" s="14"/>
      <c r="K76" s="14"/>
    </row>
    <row r="77" customFormat="false" ht="15.75" hidden="false" customHeight="false" outlineLevel="0" collapsed="false">
      <c r="A77" s="20"/>
      <c r="B77" s="20" t="s">
        <v>65</v>
      </c>
      <c r="C77" s="18" t="n">
        <v>11.6666666666667</v>
      </c>
      <c r="D77" s="28" t="s">
        <v>13</v>
      </c>
      <c r="E77" s="18" t="n">
        <f aca="false">C77*E$94/C$94</f>
        <v>188.9</v>
      </c>
      <c r="F77" s="28" t="s">
        <v>13</v>
      </c>
      <c r="G77" s="28"/>
      <c r="H77" s="28"/>
      <c r="I77" s="14"/>
      <c r="J77" s="14"/>
      <c r="K77" s="14"/>
    </row>
    <row r="78" customFormat="false" ht="15.75" hidden="false" customHeight="false" outlineLevel="0" collapsed="false">
      <c r="A78" s="20"/>
      <c r="B78" s="50" t="s">
        <v>66</v>
      </c>
      <c r="C78" s="18" t="n">
        <v>14.5833333333333</v>
      </c>
      <c r="D78" s="28" t="s">
        <v>61</v>
      </c>
      <c r="E78" s="18" t="n">
        <f aca="false">C78*E$94/C$94</f>
        <v>235.7</v>
      </c>
      <c r="F78" s="28" t="s">
        <v>61</v>
      </c>
      <c r="G78" s="28"/>
      <c r="H78" s="28"/>
      <c r="I78" s="14"/>
      <c r="J78" s="14"/>
      <c r="K78" s="14"/>
    </row>
    <row r="79" customFormat="false" ht="15.75" hidden="false" customHeight="false" outlineLevel="0" collapsed="false">
      <c r="A79" s="20"/>
      <c r="B79" s="48" t="s">
        <v>67</v>
      </c>
      <c r="C79" s="18"/>
      <c r="D79" s="53" t="s">
        <v>13</v>
      </c>
      <c r="E79" s="18"/>
      <c r="F79" s="28"/>
      <c r="G79" s="28"/>
      <c r="H79" s="28"/>
      <c r="I79" s="14"/>
      <c r="J79" s="14"/>
      <c r="K79" s="14"/>
    </row>
    <row r="80" customFormat="false" ht="15.75" hidden="false" customHeight="false" outlineLevel="0" collapsed="false">
      <c r="A80" s="20"/>
      <c r="B80" s="20" t="s">
        <v>22</v>
      </c>
      <c r="C80" s="18" t="n">
        <v>0.875</v>
      </c>
      <c r="D80" s="28" t="s">
        <v>13</v>
      </c>
      <c r="E80" s="18" t="n">
        <f aca="false">C80*E$94/C$94</f>
        <v>14.5</v>
      </c>
      <c r="F80" s="28" t="s">
        <v>13</v>
      </c>
      <c r="G80" s="28"/>
      <c r="H80" s="28"/>
      <c r="I80" s="14"/>
      <c r="J80" s="14"/>
      <c r="K80" s="14"/>
    </row>
    <row r="81" customFormat="false" ht="15.75" hidden="false" customHeight="false" outlineLevel="0" collapsed="false">
      <c r="A81" s="20"/>
      <c r="B81" s="20" t="s">
        <v>14</v>
      </c>
      <c r="C81" s="18" t="n">
        <v>0.875</v>
      </c>
      <c r="D81" s="28" t="s">
        <v>68</v>
      </c>
      <c r="E81" s="18" t="n">
        <f aca="false">C81*E$94/C$94</f>
        <v>14.5</v>
      </c>
      <c r="F81" s="28" t="s">
        <v>68</v>
      </c>
      <c r="G81" s="28"/>
      <c r="H81" s="28"/>
      <c r="I81" s="14"/>
      <c r="J81" s="14"/>
      <c r="K81" s="14"/>
    </row>
    <row r="82" customFormat="false" ht="15.75" hidden="false" customHeight="false" outlineLevel="0" collapsed="false">
      <c r="A82" s="20"/>
      <c r="B82" s="20" t="s">
        <v>69</v>
      </c>
      <c r="C82" s="18" t="n">
        <v>1.16666666666667</v>
      </c>
      <c r="D82" s="28" t="s">
        <v>68</v>
      </c>
      <c r="E82" s="18" t="n">
        <f aca="false">C82*E$94/C$94</f>
        <v>19.4</v>
      </c>
      <c r="F82" s="28" t="s">
        <v>68</v>
      </c>
      <c r="G82" s="28"/>
      <c r="H82" s="28"/>
      <c r="I82" s="14"/>
      <c r="J82" s="14"/>
      <c r="K82" s="14"/>
    </row>
    <row r="83" customFormat="false" ht="15.75" hidden="false" customHeight="false" outlineLevel="0" collapsed="false">
      <c r="A83" s="20"/>
      <c r="B83" s="20" t="s">
        <v>18</v>
      </c>
      <c r="C83" s="18" t="n">
        <v>0.4375</v>
      </c>
      <c r="D83" s="28" t="s">
        <v>13</v>
      </c>
      <c r="E83" s="18" t="n">
        <f aca="false">C83*E$94/C$94</f>
        <v>6.5</v>
      </c>
      <c r="F83" s="28" t="s">
        <v>13</v>
      </c>
      <c r="G83" s="28"/>
      <c r="H83" s="28"/>
      <c r="I83" s="14"/>
      <c r="J83" s="14"/>
      <c r="K83" s="14"/>
    </row>
    <row r="84" customFormat="false" ht="15.75" hidden="false" customHeight="false" outlineLevel="0" collapsed="false">
      <c r="A84" s="20"/>
      <c r="B84" s="20" t="s">
        <v>25</v>
      </c>
      <c r="C84" s="18" t="n">
        <v>0.875</v>
      </c>
      <c r="D84" s="28" t="s">
        <v>68</v>
      </c>
      <c r="E84" s="18" t="n">
        <f aca="false">C84*E$94/C$94</f>
        <v>14.5</v>
      </c>
      <c r="F84" s="28" t="s">
        <v>68</v>
      </c>
      <c r="G84" s="28"/>
      <c r="H84" s="28"/>
      <c r="I84" s="14"/>
      <c r="J84" s="14"/>
      <c r="K84" s="14"/>
    </row>
    <row r="85" customFormat="false" ht="15.75" hidden="false" customHeight="false" outlineLevel="0" collapsed="false">
      <c r="A85" s="20"/>
      <c r="B85" s="20" t="s">
        <v>70</v>
      </c>
      <c r="C85" s="18" t="n">
        <v>1.75</v>
      </c>
      <c r="D85" s="28" t="s">
        <v>68</v>
      </c>
      <c r="E85" s="18" t="n">
        <f aca="false">C85*E$94/C$94</f>
        <v>29.1</v>
      </c>
      <c r="F85" s="28" t="s">
        <v>68</v>
      </c>
      <c r="G85" s="28"/>
      <c r="H85" s="28"/>
      <c r="I85" s="14"/>
      <c r="J85" s="14"/>
      <c r="K85" s="14"/>
    </row>
    <row r="86" customFormat="false" ht="15.75" hidden="false" customHeight="false" outlineLevel="0" collapsed="false">
      <c r="A86" s="20"/>
      <c r="B86" s="20" t="s">
        <v>71</v>
      </c>
      <c r="C86" s="18" t="n">
        <v>1.3125</v>
      </c>
      <c r="D86" s="28" t="s">
        <v>68</v>
      </c>
      <c r="E86" s="18" t="n">
        <f aca="false">C86*E$94/C$94</f>
        <v>21</v>
      </c>
      <c r="F86" s="28" t="s">
        <v>68</v>
      </c>
      <c r="G86" s="28"/>
      <c r="H86" s="28"/>
      <c r="I86" s="14"/>
      <c r="J86" s="14"/>
      <c r="K86" s="14"/>
    </row>
    <row r="87" customFormat="false" ht="15.75" hidden="false" customHeight="false" outlineLevel="0" collapsed="false">
      <c r="A87" s="20"/>
      <c r="B87" s="20" t="s">
        <v>72</v>
      </c>
      <c r="C87" s="18" t="n">
        <v>1.75</v>
      </c>
      <c r="D87" s="28" t="s">
        <v>68</v>
      </c>
      <c r="E87" s="18" t="n">
        <f aca="false">C87*E$94/C$94</f>
        <v>29.1</v>
      </c>
      <c r="F87" s="28" t="s">
        <v>68</v>
      </c>
      <c r="G87" s="28"/>
      <c r="H87" s="28"/>
      <c r="I87" s="14"/>
      <c r="J87" s="14"/>
      <c r="K87" s="14"/>
    </row>
    <row r="88" customFormat="false" ht="15.75" hidden="false" customHeight="false" outlineLevel="0" collapsed="false">
      <c r="A88" s="20"/>
      <c r="B88" s="20" t="s">
        <v>73</v>
      </c>
      <c r="C88" s="18" t="n">
        <v>0.35</v>
      </c>
      <c r="D88" s="28" t="s">
        <v>13</v>
      </c>
      <c r="E88" s="18" t="n">
        <f aca="false">C88*E$94/C$94</f>
        <v>6.5</v>
      </c>
      <c r="F88" s="28" t="s">
        <v>13</v>
      </c>
      <c r="G88" s="53"/>
      <c r="H88" s="53"/>
      <c r="I88" s="14"/>
      <c r="J88" s="14"/>
      <c r="K88" s="14"/>
    </row>
    <row r="89" customFormat="false" ht="15.75" hidden="false" customHeight="false" outlineLevel="0" collapsed="false">
      <c r="A89" s="20"/>
      <c r="B89" s="20" t="s">
        <v>74</v>
      </c>
      <c r="C89" s="18" t="n">
        <v>0.583333333333333</v>
      </c>
      <c r="D89" s="28" t="s">
        <v>7</v>
      </c>
      <c r="E89" s="18" t="n">
        <f aca="false">C89*E$94/C$94</f>
        <v>9.7</v>
      </c>
      <c r="F89" s="28" t="s">
        <v>7</v>
      </c>
      <c r="G89" s="28"/>
      <c r="H89" s="28"/>
      <c r="I89" s="14"/>
      <c r="J89" s="14"/>
      <c r="K89" s="14"/>
    </row>
    <row r="90" customFormat="false" ht="15.75" hidden="false" customHeight="false" outlineLevel="0" collapsed="false">
      <c r="A90" s="20"/>
      <c r="B90" s="20" t="s">
        <v>57</v>
      </c>
      <c r="C90" s="18" t="n">
        <v>0.583333333333333</v>
      </c>
      <c r="D90" s="28" t="s">
        <v>13</v>
      </c>
      <c r="E90" s="18" t="n">
        <f aca="false">C90*E$94/C$94</f>
        <v>9.7</v>
      </c>
      <c r="F90" s="28" t="s">
        <v>13</v>
      </c>
      <c r="G90" s="28"/>
      <c r="H90" s="28"/>
      <c r="I90" s="14"/>
      <c r="J90" s="14"/>
      <c r="K90" s="14"/>
    </row>
    <row r="91" customFormat="false" ht="15.75" hidden="false" customHeight="false" outlineLevel="0" collapsed="false">
      <c r="A91" s="20"/>
      <c r="B91" s="48" t="s">
        <v>57</v>
      </c>
      <c r="C91" s="54" t="n">
        <v>0.425</v>
      </c>
      <c r="D91" s="53" t="s">
        <v>7</v>
      </c>
      <c r="E91" s="18" t="n">
        <f aca="false">C91*E$94/C$94</f>
        <v>6.5</v>
      </c>
      <c r="F91" s="28" t="s">
        <v>7</v>
      </c>
      <c r="G91" s="28"/>
      <c r="H91" s="28"/>
      <c r="I91" s="14"/>
      <c r="J91" s="14"/>
      <c r="K91" s="14"/>
    </row>
    <row r="92" customFormat="false" ht="15.75" hidden="false" customHeight="false" outlineLevel="0" collapsed="false">
      <c r="A92" s="20"/>
      <c r="B92" s="20" t="s">
        <v>75</v>
      </c>
      <c r="C92" s="18" t="n">
        <v>0.583333333333333</v>
      </c>
      <c r="D92" s="28" t="s">
        <v>76</v>
      </c>
      <c r="E92" s="18" t="n">
        <f aca="false">C92*E$94/C$94</f>
        <v>9.7</v>
      </c>
      <c r="F92" s="28" t="s">
        <v>76</v>
      </c>
      <c r="G92" s="28"/>
      <c r="H92" s="28"/>
      <c r="I92" s="14"/>
      <c r="J92" s="14"/>
      <c r="K92" s="14"/>
    </row>
    <row r="93" customFormat="false" ht="15.75" hidden="false" customHeight="false" outlineLevel="0" collapsed="false">
      <c r="A93" s="20"/>
      <c r="B93" s="50" t="s">
        <v>26</v>
      </c>
      <c r="C93" s="12" t="n">
        <v>0.991666666666667</v>
      </c>
      <c r="D93" s="37" t="s">
        <v>27</v>
      </c>
      <c r="E93" s="18" t="n">
        <f aca="false">C93*E$94/C$94</f>
        <v>16.1</v>
      </c>
      <c r="F93" s="37" t="s">
        <v>27</v>
      </c>
      <c r="G93" s="28"/>
      <c r="H93" s="28"/>
      <c r="I93" s="14"/>
      <c r="J93" s="14"/>
      <c r="K93" s="14"/>
    </row>
    <row r="94" customFormat="false" ht="15.75" hidden="false" customHeight="false" outlineLevel="0" collapsed="false">
      <c r="A94" s="20"/>
      <c r="B94" s="50" t="s">
        <v>26</v>
      </c>
      <c r="C94" s="12" t="n">
        <v>35</v>
      </c>
      <c r="D94" s="37" t="s">
        <v>13</v>
      </c>
      <c r="E94" s="51" t="n">
        <v>565</v>
      </c>
      <c r="F94" s="37" t="s">
        <v>13</v>
      </c>
      <c r="G94" s="28"/>
      <c r="H94" s="28"/>
      <c r="I94" s="14"/>
      <c r="J94" s="14"/>
      <c r="K94" s="14"/>
    </row>
    <row r="95" customFormat="false" ht="15.75" hidden="false" customHeight="false" outlineLevel="0" collapsed="false">
      <c r="A95" s="20"/>
      <c r="B95" s="20" t="s">
        <v>77</v>
      </c>
      <c r="C95" s="28"/>
      <c r="D95" s="34"/>
      <c r="E95" s="28"/>
      <c r="F95" s="35"/>
      <c r="G95" s="14"/>
      <c r="H95" s="14"/>
      <c r="I95" s="14"/>
      <c r="J95" s="14"/>
      <c r="K95" s="14"/>
    </row>
    <row r="96" customFormat="false" ht="15.75" hidden="false" customHeight="false" outlineLevel="0" collapsed="false">
      <c r="A96" s="14"/>
      <c r="B96" s="20"/>
      <c r="C96" s="28"/>
      <c r="D96" s="34"/>
      <c r="E96" s="28"/>
      <c r="F96" s="35"/>
      <c r="G96" s="14"/>
      <c r="H96" s="14"/>
      <c r="I96" s="14"/>
      <c r="J96" s="14"/>
      <c r="K96" s="14"/>
    </row>
    <row r="97" customFormat="false" ht="15.75" hidden="false" customHeight="false" outlineLevel="0" collapsed="false">
      <c r="A97" s="13"/>
      <c r="B97" s="22"/>
      <c r="C97" s="18"/>
      <c r="D97" s="13"/>
      <c r="E97" s="18"/>
      <c r="F97" s="13"/>
      <c r="G97" s="13"/>
      <c r="H97" s="13"/>
      <c r="I97" s="13"/>
      <c r="J97" s="14"/>
      <c r="K97" s="14"/>
    </row>
    <row r="98" customFormat="false" ht="15.6" hidden="false" customHeight="true" outlineLevel="0" collapsed="false">
      <c r="A98" s="52" t="s">
        <v>78</v>
      </c>
      <c r="B98" s="11" t="s">
        <v>2</v>
      </c>
      <c r="C98" s="12" t="s">
        <v>3</v>
      </c>
      <c r="D98" s="10" t="s">
        <v>4</v>
      </c>
      <c r="E98" s="12" t="s">
        <v>5</v>
      </c>
      <c r="F98" s="10" t="s">
        <v>4</v>
      </c>
      <c r="G98" s="13" t="s">
        <v>79</v>
      </c>
      <c r="H98" s="13"/>
      <c r="I98" s="13"/>
      <c r="J98" s="14"/>
      <c r="K98" s="14"/>
    </row>
    <row r="99" customFormat="false" ht="15.75" hidden="false" customHeight="false" outlineLevel="0" collapsed="false">
      <c r="A99" s="52"/>
      <c r="B99" s="20" t="s">
        <v>80</v>
      </c>
      <c r="C99" s="28" t="n">
        <v>8</v>
      </c>
      <c r="D99" s="28" t="s">
        <v>7</v>
      </c>
      <c r="E99" s="28" t="n">
        <f aca="false">C99*E$109/C$109</f>
        <v>42.2</v>
      </c>
      <c r="F99" s="28" t="s">
        <v>7</v>
      </c>
      <c r="G99" s="28"/>
      <c r="H99" s="28"/>
      <c r="I99" s="14"/>
      <c r="J99" s="14"/>
      <c r="K99" s="14"/>
    </row>
    <row r="100" customFormat="false" ht="15.75" hidden="false" customHeight="false" outlineLevel="0" collapsed="false">
      <c r="A100" s="20"/>
      <c r="B100" s="20" t="s">
        <v>81</v>
      </c>
      <c r="C100" s="28" t="n">
        <v>10</v>
      </c>
      <c r="D100" s="28" t="s">
        <v>61</v>
      </c>
      <c r="E100" s="28" t="n">
        <f aca="false">C100*E$109/C$109</f>
        <v>52.75</v>
      </c>
      <c r="F100" s="28" t="s">
        <v>61</v>
      </c>
      <c r="G100" s="28"/>
      <c r="H100" s="28"/>
      <c r="I100" s="14"/>
      <c r="J100" s="14"/>
      <c r="K100" s="14"/>
    </row>
    <row r="101" customFormat="false" ht="15.75" hidden="false" customHeight="false" outlineLevel="0" collapsed="false">
      <c r="A101" s="20"/>
      <c r="B101" s="20" t="s">
        <v>82</v>
      </c>
      <c r="C101" s="28" t="n">
        <v>10</v>
      </c>
      <c r="D101" s="28" t="s">
        <v>7</v>
      </c>
      <c r="E101" s="28" t="n">
        <f aca="false">C101*E$109/C$109</f>
        <v>52.75</v>
      </c>
      <c r="F101" s="28" t="s">
        <v>7</v>
      </c>
      <c r="G101" s="28"/>
      <c r="H101" s="28"/>
      <c r="I101" s="14"/>
      <c r="J101" s="14"/>
      <c r="K101" s="14"/>
    </row>
    <row r="102" customFormat="false" ht="15.75" hidden="false" customHeight="false" outlineLevel="0" collapsed="false">
      <c r="A102" s="20"/>
      <c r="B102" s="20" t="s">
        <v>83</v>
      </c>
      <c r="C102" s="28" t="n">
        <v>3</v>
      </c>
      <c r="D102" s="28" t="s">
        <v>20</v>
      </c>
      <c r="E102" s="28" t="n">
        <f aca="false">C102*E$109/C$109</f>
        <v>15.825</v>
      </c>
      <c r="F102" s="28" t="s">
        <v>20</v>
      </c>
      <c r="G102" s="28"/>
      <c r="H102" s="28"/>
      <c r="I102" s="14"/>
      <c r="J102" s="14"/>
      <c r="K102" s="14"/>
    </row>
    <row r="103" customFormat="false" ht="15.75" hidden="false" customHeight="false" outlineLevel="0" collapsed="false">
      <c r="A103" s="20"/>
      <c r="B103" s="20" t="s">
        <v>32</v>
      </c>
      <c r="C103" s="28" t="n">
        <v>2</v>
      </c>
      <c r="D103" s="28" t="s">
        <v>20</v>
      </c>
      <c r="E103" s="28" t="n">
        <f aca="false">C103*E$109/C$109</f>
        <v>10.55</v>
      </c>
      <c r="F103" s="28" t="s">
        <v>20</v>
      </c>
      <c r="G103" s="28"/>
      <c r="H103" s="28"/>
      <c r="I103" s="14"/>
      <c r="J103" s="14"/>
      <c r="K103" s="14"/>
    </row>
    <row r="104" customFormat="false" ht="15" hidden="false" customHeight="true" outlineLevel="0" collapsed="false">
      <c r="A104" s="20"/>
      <c r="B104" s="20" t="s">
        <v>23</v>
      </c>
      <c r="C104" s="28" t="n">
        <v>2</v>
      </c>
      <c r="D104" s="28" t="s">
        <v>13</v>
      </c>
      <c r="E104" s="28" t="n">
        <f aca="false">C104*E$109/C$109</f>
        <v>10.55</v>
      </c>
      <c r="F104" s="28" t="s">
        <v>13</v>
      </c>
      <c r="G104" s="28"/>
      <c r="H104" s="28"/>
      <c r="I104" s="14"/>
      <c r="J104" s="14"/>
      <c r="K104" s="14"/>
      <c r="M104" s="55" t="s">
        <v>84</v>
      </c>
      <c r="N104" s="55"/>
    </row>
    <row r="105" customFormat="false" ht="15" hidden="false" customHeight="true" outlineLevel="0" collapsed="false">
      <c r="A105" s="20"/>
      <c r="B105" s="20" t="s">
        <v>85</v>
      </c>
      <c r="C105" s="28" t="n">
        <v>2.5</v>
      </c>
      <c r="D105" s="28" t="s">
        <v>7</v>
      </c>
      <c r="E105" s="28" t="n">
        <f aca="false">C105*E$109/C$109</f>
        <v>13.1875</v>
      </c>
      <c r="F105" s="28" t="s">
        <v>7</v>
      </c>
      <c r="G105" s="28"/>
      <c r="H105" s="28"/>
      <c r="I105" s="43"/>
      <c r="J105" s="14"/>
      <c r="K105" s="14"/>
    </row>
    <row r="106" customFormat="false" ht="15.75" hidden="false" customHeight="false" outlineLevel="0" collapsed="false">
      <c r="A106" s="14"/>
      <c r="B106" s="20" t="s">
        <v>86</v>
      </c>
      <c r="C106" s="28" t="n">
        <v>1</v>
      </c>
      <c r="D106" s="28" t="s">
        <v>13</v>
      </c>
      <c r="E106" s="28" t="n">
        <f aca="false">C106*E$109/C$109</f>
        <v>5.275</v>
      </c>
      <c r="F106" s="28" t="s">
        <v>13</v>
      </c>
      <c r="G106" s="28"/>
      <c r="H106" s="28"/>
      <c r="I106" s="43"/>
      <c r="J106" s="14"/>
      <c r="K106" s="14"/>
    </row>
    <row r="107" customFormat="false" ht="15.75" hidden="false" customHeight="false" outlineLevel="0" collapsed="false">
      <c r="A107" s="14" t="s">
        <v>87</v>
      </c>
      <c r="B107" s="20" t="s">
        <v>88</v>
      </c>
      <c r="C107" s="28" t="n">
        <v>5</v>
      </c>
      <c r="D107" s="28" t="s">
        <v>89</v>
      </c>
      <c r="E107" s="28" t="n">
        <f aca="false">C107*E$109/C$109</f>
        <v>26.375</v>
      </c>
      <c r="F107" s="28" t="s">
        <v>89</v>
      </c>
      <c r="G107" s="28"/>
      <c r="H107" s="28"/>
      <c r="I107" s="43"/>
      <c r="J107" s="14"/>
      <c r="K107" s="14"/>
    </row>
    <row r="108" customFormat="false" ht="15.75" hidden="false" customHeight="false" outlineLevel="0" collapsed="false">
      <c r="A108" s="14"/>
      <c r="B108" s="20" t="s">
        <v>26</v>
      </c>
      <c r="C108" s="18" t="n">
        <v>1.14</v>
      </c>
      <c r="D108" s="28" t="s">
        <v>27</v>
      </c>
      <c r="E108" s="28" t="n">
        <f aca="false">C108*E$109/C$109</f>
        <v>5.8025</v>
      </c>
      <c r="F108" s="28" t="s">
        <v>27</v>
      </c>
      <c r="G108" s="28"/>
      <c r="H108" s="28"/>
      <c r="I108" s="43"/>
      <c r="J108" s="14"/>
      <c r="K108" s="14"/>
    </row>
    <row r="109" customFormat="false" ht="15.75" hidden="false" customHeight="false" outlineLevel="0" collapsed="false">
      <c r="A109" s="14"/>
      <c r="B109" s="20" t="s">
        <v>26</v>
      </c>
      <c r="C109" s="28" t="n">
        <v>40</v>
      </c>
      <c r="D109" s="28" t="s">
        <v>13</v>
      </c>
      <c r="E109" s="51" t="n">
        <v>211</v>
      </c>
      <c r="F109" s="28" t="s">
        <v>13</v>
      </c>
      <c r="G109" s="28"/>
      <c r="H109" s="28"/>
      <c r="I109" s="14"/>
      <c r="J109" s="14"/>
      <c r="K109" s="14"/>
    </row>
    <row r="110" customFormat="false" ht="15.75" hidden="false" customHeight="false" outlineLevel="0" collapsed="false">
      <c r="A110" s="14"/>
      <c r="B110" s="56" t="s">
        <v>90</v>
      </c>
      <c r="C110" s="53" t="n">
        <v>0.5</v>
      </c>
      <c r="D110" s="53" t="s">
        <v>61</v>
      </c>
      <c r="E110" s="28" t="n">
        <v>5</v>
      </c>
      <c r="F110" s="53" t="s">
        <v>7</v>
      </c>
      <c r="G110" s="28"/>
      <c r="H110" s="28"/>
      <c r="I110" s="14"/>
      <c r="J110" s="14"/>
      <c r="K110" s="14"/>
    </row>
    <row r="111" customFormat="false" ht="15.75" hidden="false" customHeight="false" outlineLevel="0" collapsed="false">
      <c r="A111" s="14"/>
      <c r="B111" s="20"/>
      <c r="C111" s="28"/>
      <c r="D111" s="28"/>
      <c r="E111" s="28"/>
      <c r="F111" s="28"/>
      <c r="G111" s="28"/>
      <c r="H111" s="28"/>
      <c r="I111" s="14"/>
      <c r="J111" s="14"/>
      <c r="K111" s="14"/>
    </row>
    <row r="112" customFormat="false" ht="15.75" hidden="false" customHeight="false" outlineLevel="0" collapsed="false">
      <c r="A112" s="10" t="s">
        <v>91</v>
      </c>
      <c r="B112" s="20" t="s">
        <v>92</v>
      </c>
      <c r="C112" s="28"/>
      <c r="D112" s="28"/>
      <c r="E112" s="28"/>
      <c r="F112" s="28"/>
      <c r="G112" s="28"/>
      <c r="H112" s="28"/>
      <c r="I112" s="14"/>
      <c r="J112" s="14"/>
      <c r="K112" s="14"/>
    </row>
    <row r="113" customFormat="false" ht="15.75" hidden="false" customHeight="false" outlineLevel="0" collapsed="false">
      <c r="A113" s="14"/>
      <c r="B113" s="29" t="s">
        <v>93</v>
      </c>
      <c r="C113" s="30" t="n">
        <v>4</v>
      </c>
      <c r="D113" s="30" t="s">
        <v>7</v>
      </c>
      <c r="E113" s="28" t="n">
        <f aca="false">C113*25</f>
        <v>100</v>
      </c>
      <c r="F113" s="30" t="s">
        <v>7</v>
      </c>
      <c r="G113" s="28"/>
      <c r="H113" s="28"/>
      <c r="I113" s="14"/>
      <c r="J113" s="14"/>
      <c r="K113" s="14"/>
    </row>
    <row r="114" customFormat="false" ht="15.75" hidden="false" customHeight="false" outlineLevel="0" collapsed="false">
      <c r="A114" s="14"/>
      <c r="B114" s="41" t="s">
        <v>94</v>
      </c>
      <c r="C114" s="30" t="n">
        <v>0.5</v>
      </c>
      <c r="D114" s="57" t="s">
        <v>20</v>
      </c>
      <c r="E114" s="28" t="n">
        <f aca="false">C114*25</f>
        <v>12.5</v>
      </c>
      <c r="F114" s="57" t="s">
        <v>20</v>
      </c>
      <c r="G114" s="14"/>
      <c r="H114" s="14"/>
      <c r="I114" s="14"/>
      <c r="J114" s="14"/>
      <c r="K114" s="14"/>
    </row>
    <row r="115" customFormat="false" ht="15.75" hidden="false" customHeight="false" outlineLevel="0" collapsed="false">
      <c r="A115" s="14"/>
      <c r="B115" s="29" t="s">
        <v>95</v>
      </c>
      <c r="C115" s="30" t="n">
        <v>0.5</v>
      </c>
      <c r="D115" s="33" t="s">
        <v>20</v>
      </c>
      <c r="E115" s="28" t="n">
        <f aca="false">C115*25</f>
        <v>12.5</v>
      </c>
      <c r="F115" s="33" t="s">
        <v>20</v>
      </c>
      <c r="G115" s="14"/>
      <c r="H115" s="14"/>
      <c r="I115" s="14"/>
      <c r="J115" s="14"/>
      <c r="K115" s="14"/>
    </row>
    <row r="116" customFormat="false" ht="15.75" hidden="false" customHeight="false" outlineLevel="0" collapsed="false">
      <c r="A116" s="14"/>
      <c r="B116" s="29" t="s">
        <v>96</v>
      </c>
      <c r="C116" s="30" t="n">
        <v>0.5</v>
      </c>
      <c r="D116" s="30" t="s">
        <v>20</v>
      </c>
      <c r="E116" s="28" t="n">
        <f aca="false">C116*25</f>
        <v>12.5</v>
      </c>
      <c r="F116" s="30" t="s">
        <v>20</v>
      </c>
      <c r="G116" s="14"/>
      <c r="H116" s="14"/>
      <c r="I116" s="14"/>
      <c r="J116" s="14"/>
      <c r="K116" s="14"/>
    </row>
    <row r="117" customFormat="false" ht="15.75" hidden="false" customHeight="false" outlineLevel="0" collapsed="false">
      <c r="A117" s="14"/>
      <c r="B117" s="29" t="s">
        <v>34</v>
      </c>
      <c r="C117" s="30" t="n">
        <v>1</v>
      </c>
      <c r="D117" s="30" t="s">
        <v>27</v>
      </c>
      <c r="E117" s="28" t="n">
        <f aca="false">C117*25</f>
        <v>25</v>
      </c>
      <c r="F117" s="30" t="s">
        <v>27</v>
      </c>
      <c r="G117" s="14"/>
      <c r="H117" s="14"/>
      <c r="I117" s="14"/>
      <c r="J117" s="14"/>
      <c r="K117" s="14"/>
    </row>
  </sheetData>
  <mergeCells count="3">
    <mergeCell ref="A72:A73"/>
    <mergeCell ref="A98:A99"/>
    <mergeCell ref="M104:N10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23"/>
  <sheetViews>
    <sheetView showFormulas="false" showGridLines="true" showRowColHeaders="true" showZeros="true" rightToLeft="false" tabSelected="false" showOutlineSymbols="true" defaultGridColor="true" view="normal" topLeftCell="C188" colorId="64" zoomScale="85" zoomScaleNormal="85" zoomScalePageLayoutView="100" workbookViewId="0">
      <selection pane="topLeft" activeCell="D219" activeCellId="0" sqref="D219"/>
    </sheetView>
  </sheetViews>
  <sheetFormatPr defaultRowHeight="13.8" outlineLevelRow="0" outlineLevelCol="0"/>
  <cols>
    <col collapsed="false" customWidth="true" hidden="false" outlineLevel="0" max="1" min="1" style="58" width="27"/>
    <col collapsed="false" customWidth="true" hidden="false" outlineLevel="0" max="2" min="2" style="58" width="7.75"/>
    <col collapsed="false" customWidth="true" hidden="false" outlineLevel="0" max="3" min="3" style="58" width="28.62"/>
    <col collapsed="false" customWidth="true" hidden="false" outlineLevel="0" max="4" min="4" style="59" width="20.13"/>
    <col collapsed="false" customWidth="true" hidden="false" outlineLevel="0" max="5" min="5" style="60" width="6.13"/>
    <col collapsed="false" customWidth="true" hidden="false" outlineLevel="0" max="6" min="6" style="61" width="5.75"/>
    <col collapsed="false" customWidth="true" hidden="false" outlineLevel="0" max="7" min="7" style="61" width="19.4"/>
    <col collapsed="false" customWidth="true" hidden="false" outlineLevel="0" max="8" min="8" style="61" width="5.75"/>
    <col collapsed="false" customWidth="true" hidden="false" outlineLevel="0" max="9" min="9" style="61" width="10.19"/>
    <col collapsed="false" customWidth="true" hidden="false" outlineLevel="0" max="1025" min="10" style="0" width="9.14"/>
  </cols>
  <sheetData>
    <row r="1" customFormat="false" ht="13.8" hidden="false" customHeight="false" outlineLevel="0" collapsed="false">
      <c r="A1" s="62" t="s">
        <v>97</v>
      </c>
      <c r="B1" s="62" t="s">
        <v>98</v>
      </c>
      <c r="C1" s="62"/>
      <c r="D1" s="63" t="s">
        <v>99</v>
      </c>
      <c r="E1" s="64" t="s">
        <v>98</v>
      </c>
      <c r="F1" s="62" t="s">
        <v>13</v>
      </c>
      <c r="G1" s="62" t="s">
        <v>100</v>
      </c>
      <c r="H1" s="62" t="n">
        <v>1</v>
      </c>
      <c r="I1" s="62"/>
    </row>
    <row r="2" customFormat="false" ht="13.8" hidden="false" customHeight="false" outlineLevel="0" collapsed="false">
      <c r="A2" s="65" t="s">
        <v>1</v>
      </c>
      <c r="B2" s="65" t="n">
        <v>1</v>
      </c>
      <c r="C2" s="58" t="s">
        <v>101</v>
      </c>
      <c r="D2" s="66" t="s">
        <v>102</v>
      </c>
      <c r="E2" s="67" t="n">
        <v>1</v>
      </c>
      <c r="F2" s="68" t="s">
        <v>7</v>
      </c>
      <c r="G2" s="68" t="s">
        <v>103</v>
      </c>
      <c r="H2" s="68" t="n">
        <v>2</v>
      </c>
      <c r="I2" s="68"/>
      <c r="J2" s="0" t="n">
        <v>2</v>
      </c>
      <c r="K2" s="68" t="s">
        <v>7</v>
      </c>
      <c r="L2" s="68" t="s">
        <v>103</v>
      </c>
      <c r="M2" s="68" t="n">
        <v>2</v>
      </c>
    </row>
    <row r="3" customFormat="false" ht="13.8" hidden="false" customHeight="false" outlineLevel="0" collapsed="false">
      <c r="A3" s="65" t="s">
        <v>104</v>
      </c>
      <c r="B3" s="65" t="n">
        <v>2</v>
      </c>
      <c r="C3" s="58" t="s">
        <v>105</v>
      </c>
      <c r="D3" s="66" t="s">
        <v>106</v>
      </c>
      <c r="E3" s="67" t="n">
        <v>2</v>
      </c>
      <c r="F3" s="68" t="s">
        <v>107</v>
      </c>
      <c r="G3" s="68" t="s">
        <v>108</v>
      </c>
      <c r="H3" s="68" t="n">
        <v>3</v>
      </c>
      <c r="I3" s="68"/>
      <c r="J3" s="0" t="n">
        <v>3</v>
      </c>
      <c r="K3" s="61" t="s">
        <v>109</v>
      </c>
      <c r="L3" s="61" t="s">
        <v>109</v>
      </c>
      <c r="M3" s="61" t="n">
        <v>7</v>
      </c>
    </row>
    <row r="4" customFormat="false" ht="13.8" hidden="false" customHeight="false" outlineLevel="0" collapsed="false">
      <c r="A4" s="65" t="s">
        <v>110</v>
      </c>
      <c r="B4" s="65" t="n">
        <v>3</v>
      </c>
      <c r="C4" s="58" t="s">
        <v>111</v>
      </c>
      <c r="D4" s="66" t="s">
        <v>112</v>
      </c>
      <c r="E4" s="67" t="n">
        <v>3</v>
      </c>
      <c r="F4" s="68" t="s">
        <v>27</v>
      </c>
      <c r="G4" s="68" t="s">
        <v>113</v>
      </c>
      <c r="H4" s="68" t="n">
        <v>4</v>
      </c>
      <c r="I4" s="68"/>
      <c r="J4" s="0" t="n">
        <v>4</v>
      </c>
      <c r="K4" s="0" t="n">
        <v>0</v>
      </c>
      <c r="L4" s="0" t="n">
        <v>0</v>
      </c>
      <c r="M4" s="0" t="n">
        <v>2</v>
      </c>
    </row>
    <row r="5" customFormat="false" ht="13.8" hidden="false" customHeight="false" outlineLevel="0" collapsed="false">
      <c r="A5" s="65" t="s">
        <v>114</v>
      </c>
      <c r="B5" s="65" t="n">
        <v>4</v>
      </c>
      <c r="C5" s="58" t="s">
        <v>115</v>
      </c>
      <c r="D5" s="66" t="s">
        <v>116</v>
      </c>
      <c r="E5" s="67" t="n">
        <v>4</v>
      </c>
      <c r="F5" s="68" t="s">
        <v>20</v>
      </c>
      <c r="G5" s="68" t="s">
        <v>117</v>
      </c>
      <c r="H5" s="68" t="n">
        <v>5</v>
      </c>
      <c r="I5" s="68"/>
      <c r="J5" s="0" t="n">
        <v>5</v>
      </c>
    </row>
    <row r="6" customFormat="false" ht="13.8" hidden="false" customHeight="false" outlineLevel="0" collapsed="false">
      <c r="A6" s="65" t="s">
        <v>118</v>
      </c>
      <c r="B6" s="65" t="n">
        <v>5</v>
      </c>
      <c r="C6" s="58" t="s">
        <v>119</v>
      </c>
      <c r="D6" s="66" t="s">
        <v>120</v>
      </c>
      <c r="E6" s="67" t="n">
        <v>5</v>
      </c>
      <c r="F6" s="68" t="s">
        <v>24</v>
      </c>
      <c r="G6" s="68" t="s">
        <v>24</v>
      </c>
      <c r="H6" s="61" t="n">
        <v>6</v>
      </c>
      <c r="J6" s="0" t="n">
        <v>6</v>
      </c>
    </row>
    <row r="7" customFormat="false" ht="13.8" hidden="false" customHeight="false" outlineLevel="0" collapsed="false">
      <c r="A7" s="65" t="s">
        <v>121</v>
      </c>
      <c r="B7" s="65" t="n">
        <v>6</v>
      </c>
      <c r="C7" s="58" t="s">
        <v>122</v>
      </c>
      <c r="D7" s="66" t="s">
        <v>123</v>
      </c>
      <c r="E7" s="67" t="n">
        <v>6</v>
      </c>
      <c r="F7" s="61" t="s">
        <v>109</v>
      </c>
      <c r="G7" s="61" t="s">
        <v>109</v>
      </c>
      <c r="H7" s="61" t="n">
        <v>7</v>
      </c>
      <c r="J7" s="0" t="n">
        <v>7</v>
      </c>
    </row>
    <row r="8" customFormat="false" ht="13.8" hidden="false" customHeight="false" outlineLevel="0" collapsed="false">
      <c r="A8" s="65" t="s">
        <v>124</v>
      </c>
      <c r="B8" s="65" t="n">
        <v>7</v>
      </c>
      <c r="C8" s="58" t="s">
        <v>125</v>
      </c>
      <c r="D8" s="66" t="s">
        <v>126</v>
      </c>
      <c r="E8" s="67" t="n">
        <v>7</v>
      </c>
      <c r="F8" s="61" t="s">
        <v>127</v>
      </c>
      <c r="G8" s="61" t="s">
        <v>127</v>
      </c>
      <c r="H8" s="61" t="n">
        <v>8</v>
      </c>
    </row>
    <row r="9" customFormat="false" ht="13.8" hidden="false" customHeight="false" outlineLevel="0" collapsed="false">
      <c r="A9" s="65" t="s">
        <v>128</v>
      </c>
      <c r="B9" s="65" t="n">
        <v>8</v>
      </c>
      <c r="C9" s="58" t="s">
        <v>129</v>
      </c>
      <c r="D9" s="66" t="s">
        <v>130</v>
      </c>
      <c r="E9" s="67" t="n">
        <v>8</v>
      </c>
      <c r="F9" s="61" t="s">
        <v>131</v>
      </c>
      <c r="G9" s="61" t="s">
        <v>131</v>
      </c>
      <c r="H9" s="61" t="n">
        <v>9</v>
      </c>
    </row>
    <row r="10" customFormat="false" ht="13.8" hidden="false" customHeight="false" outlineLevel="0" collapsed="false">
      <c r="A10" s="65" t="s">
        <v>132</v>
      </c>
      <c r="B10" s="65" t="n">
        <v>9</v>
      </c>
      <c r="C10" s="58" t="s">
        <v>133</v>
      </c>
      <c r="D10" s="66" t="s">
        <v>134</v>
      </c>
      <c r="E10" s="67" t="n">
        <v>9</v>
      </c>
      <c r="F10" s="61" t="s">
        <v>135</v>
      </c>
      <c r="G10" s="61" t="s">
        <v>135</v>
      </c>
      <c r="H10" s="61" t="n">
        <v>10</v>
      </c>
    </row>
    <row r="11" customFormat="false" ht="13.8" hidden="false" customHeight="false" outlineLevel="0" collapsed="false">
      <c r="A11" s="65" t="s">
        <v>136</v>
      </c>
      <c r="B11" s="65" t="n">
        <v>10</v>
      </c>
      <c r="C11" s="58" t="s">
        <v>137</v>
      </c>
      <c r="D11" s="66" t="s">
        <v>138</v>
      </c>
      <c r="E11" s="67" t="n">
        <v>10</v>
      </c>
      <c r="F11" s="61" t="s">
        <v>139</v>
      </c>
      <c r="G11" s="61" t="s">
        <v>139</v>
      </c>
      <c r="H11" s="61" t="n">
        <v>11</v>
      </c>
    </row>
    <row r="12" customFormat="false" ht="13.8" hidden="false" customHeight="false" outlineLevel="0" collapsed="false">
      <c r="A12" s="69" t="s">
        <v>140</v>
      </c>
      <c r="B12" s="69" t="n">
        <v>11</v>
      </c>
      <c r="C12" s="69" t="s">
        <v>141</v>
      </c>
      <c r="D12" s="70" t="s">
        <v>142</v>
      </c>
      <c r="E12" s="69" t="n">
        <v>11</v>
      </c>
      <c r="F12" s="69" t="s">
        <v>143</v>
      </c>
      <c r="G12" s="69" t="s">
        <v>143</v>
      </c>
      <c r="H12" s="69" t="n">
        <v>12</v>
      </c>
      <c r="I12" s="69"/>
    </row>
    <row r="13" customFormat="false" ht="13.8" hidden="false" customHeight="false" outlineLevel="0" collapsed="false">
      <c r="A13" s="65" t="s">
        <v>144</v>
      </c>
      <c r="B13" s="65" t="n">
        <v>12</v>
      </c>
      <c r="C13" s="58" t="s">
        <v>145</v>
      </c>
      <c r="D13" s="66" t="s">
        <v>146</v>
      </c>
      <c r="E13" s="67" t="n">
        <v>12</v>
      </c>
      <c r="F13" s="61" t="s">
        <v>147</v>
      </c>
      <c r="G13" s="61" t="s">
        <v>147</v>
      </c>
      <c r="H13" s="61" t="n">
        <v>13</v>
      </c>
    </row>
    <row r="14" customFormat="false" ht="13.8" hidden="false" customHeight="false" outlineLevel="0" collapsed="false">
      <c r="A14" s="65" t="s">
        <v>148</v>
      </c>
      <c r="B14" s="65" t="n">
        <v>13</v>
      </c>
      <c r="C14" s="58" t="s">
        <v>149</v>
      </c>
      <c r="D14" s="66" t="s">
        <v>150</v>
      </c>
      <c r="E14" s="67" t="n">
        <v>13</v>
      </c>
    </row>
    <row r="15" customFormat="false" ht="13.8" hidden="false" customHeight="false" outlineLevel="0" collapsed="false">
      <c r="A15" s="65" t="s">
        <v>151</v>
      </c>
      <c r="B15" s="65" t="n">
        <v>14</v>
      </c>
      <c r="C15" s="58" t="s">
        <v>152</v>
      </c>
      <c r="D15" s="66" t="s">
        <v>153</v>
      </c>
      <c r="E15" s="67" t="n">
        <v>14</v>
      </c>
    </row>
    <row r="16" customFormat="false" ht="13.8" hidden="false" customHeight="false" outlineLevel="0" collapsed="false">
      <c r="A16" s="65" t="s">
        <v>154</v>
      </c>
      <c r="B16" s="65" t="n">
        <v>15</v>
      </c>
      <c r="C16" s="58" t="s">
        <v>155</v>
      </c>
      <c r="D16" s="66" t="s">
        <v>156</v>
      </c>
      <c r="E16" s="67" t="n">
        <v>15</v>
      </c>
      <c r="J16" s="0" t="n">
        <v>16</v>
      </c>
      <c r="K16" s="68" t="s">
        <v>27</v>
      </c>
      <c r="L16" s="68" t="s">
        <v>113</v>
      </c>
      <c r="M16" s="68" t="n">
        <v>4</v>
      </c>
    </row>
    <row r="17" customFormat="false" ht="13.8" hidden="false" customHeight="false" outlineLevel="0" collapsed="false">
      <c r="A17" s="65" t="s">
        <v>157</v>
      </c>
      <c r="B17" s="65" t="n">
        <v>16</v>
      </c>
      <c r="C17" s="58" t="s">
        <v>158</v>
      </c>
      <c r="D17" s="66" t="s">
        <v>159</v>
      </c>
      <c r="E17" s="67" t="n">
        <v>16</v>
      </c>
      <c r="J17" s="0" t="n">
        <v>17</v>
      </c>
      <c r="K17" s="68" t="s">
        <v>20</v>
      </c>
      <c r="L17" s="68" t="s">
        <v>117</v>
      </c>
      <c r="M17" s="68" t="n">
        <v>5</v>
      </c>
    </row>
    <row r="18" customFormat="false" ht="13.8" hidden="false" customHeight="false" outlineLevel="0" collapsed="false">
      <c r="A18" s="69" t="s">
        <v>160</v>
      </c>
      <c r="B18" s="69" t="n">
        <v>17</v>
      </c>
      <c r="C18" s="69" t="s">
        <v>161</v>
      </c>
      <c r="D18" s="70" t="s">
        <v>162</v>
      </c>
      <c r="E18" s="69" t="n">
        <v>17</v>
      </c>
      <c r="F18" s="69"/>
      <c r="G18" s="69"/>
      <c r="H18" s="69"/>
      <c r="I18" s="69"/>
      <c r="J18" s="0" t="n">
        <v>18</v>
      </c>
      <c r="K18" s="68" t="s">
        <v>24</v>
      </c>
      <c r="L18" s="68" t="s">
        <v>24</v>
      </c>
      <c r="M18" s="61" t="n">
        <v>6</v>
      </c>
    </row>
    <row r="19" customFormat="false" ht="13.8" hidden="false" customHeight="false" outlineLevel="0" collapsed="false">
      <c r="A19" s="65" t="s">
        <v>163</v>
      </c>
      <c r="B19" s="65" t="n">
        <v>18</v>
      </c>
      <c r="C19" s="58" t="s">
        <v>164</v>
      </c>
      <c r="D19" s="66" t="s">
        <v>165</v>
      </c>
      <c r="E19" s="67" t="n">
        <v>18</v>
      </c>
      <c r="J19" s="0" t="n">
        <v>19</v>
      </c>
      <c r="K19" s="61" t="s">
        <v>131</v>
      </c>
      <c r="L19" s="61" t="s">
        <v>131</v>
      </c>
      <c r="M19" s="61" t="n">
        <v>9</v>
      </c>
    </row>
    <row r="20" customFormat="false" ht="13.8" hidden="false" customHeight="false" outlineLevel="0" collapsed="false">
      <c r="A20" s="65" t="s">
        <v>166</v>
      </c>
      <c r="B20" s="65" t="n">
        <v>19</v>
      </c>
      <c r="C20" s="58" t="s">
        <v>167</v>
      </c>
      <c r="D20" s="66" t="s">
        <v>168</v>
      </c>
      <c r="E20" s="67" t="n">
        <v>19</v>
      </c>
      <c r="J20" s="0" t="n">
        <v>20</v>
      </c>
      <c r="K20" s="61" t="s">
        <v>135</v>
      </c>
      <c r="L20" s="61" t="s">
        <v>135</v>
      </c>
      <c r="M20" s="61" t="n">
        <v>10</v>
      </c>
    </row>
    <row r="21" customFormat="false" ht="13.8" hidden="false" customHeight="false" outlineLevel="0" collapsed="false">
      <c r="A21" s="65" t="s">
        <v>169</v>
      </c>
      <c r="B21" s="65" t="n">
        <v>20</v>
      </c>
      <c r="C21" s="58" t="s">
        <v>170</v>
      </c>
      <c r="D21" s="66" t="s">
        <v>171</v>
      </c>
      <c r="E21" s="67" t="n">
        <v>20</v>
      </c>
      <c r="J21" s="0" t="n">
        <v>21</v>
      </c>
      <c r="K21" s="69" t="s">
        <v>143</v>
      </c>
      <c r="L21" s="69" t="s">
        <v>143</v>
      </c>
      <c r="M21" s="69" t="n">
        <v>12</v>
      </c>
    </row>
    <row r="22" customFormat="false" ht="13.8" hidden="false" customHeight="false" outlineLevel="0" collapsed="false">
      <c r="A22" s="65" t="s">
        <v>172</v>
      </c>
      <c r="B22" s="65" t="n">
        <v>21</v>
      </c>
      <c r="C22" s="58" t="s">
        <v>173</v>
      </c>
      <c r="D22" s="66" t="s">
        <v>174</v>
      </c>
      <c r="E22" s="67" t="n">
        <v>21</v>
      </c>
      <c r="J22" s="0" t="n">
        <v>22</v>
      </c>
      <c r="K22" s="61" t="s">
        <v>147</v>
      </c>
      <c r="L22" s="61" t="s">
        <v>147</v>
      </c>
      <c r="M22" s="61" t="n">
        <v>13</v>
      </c>
    </row>
    <row r="23" customFormat="false" ht="13.8" hidden="false" customHeight="false" outlineLevel="0" collapsed="false">
      <c r="A23" s="65" t="s">
        <v>175</v>
      </c>
      <c r="B23" s="65" t="n">
        <v>22</v>
      </c>
      <c r="C23" s="58" t="s">
        <v>176</v>
      </c>
      <c r="D23" s="66" t="s">
        <v>177</v>
      </c>
      <c r="E23" s="67" t="n">
        <v>22</v>
      </c>
      <c r="J23" s="0" t="n">
        <v>23</v>
      </c>
      <c r="K23" s="62" t="s">
        <v>13</v>
      </c>
      <c r="L23" s="62" t="s">
        <v>100</v>
      </c>
      <c r="M23" s="62" t="n">
        <v>1</v>
      </c>
    </row>
    <row r="24" customFormat="false" ht="13.8" hidden="false" customHeight="false" outlineLevel="0" collapsed="false">
      <c r="A24" s="65" t="s">
        <v>178</v>
      </c>
      <c r="B24" s="65" t="n">
        <v>23</v>
      </c>
      <c r="C24" s="58" t="s">
        <v>179</v>
      </c>
      <c r="D24" s="66" t="s">
        <v>180</v>
      </c>
      <c r="E24" s="67" t="n">
        <v>23</v>
      </c>
      <c r="J24" s="0" t="n">
        <v>24</v>
      </c>
      <c r="K24" s="0" t="n">
        <v>0</v>
      </c>
      <c r="L24" s="0" t="n">
        <v>0</v>
      </c>
      <c r="M24" s="0" t="n">
        <v>1</v>
      </c>
    </row>
    <row r="25" customFormat="false" ht="13.8" hidden="false" customHeight="false" outlineLevel="0" collapsed="false">
      <c r="A25" s="69" t="s">
        <v>181</v>
      </c>
      <c r="B25" s="69" t="n">
        <v>24</v>
      </c>
      <c r="C25" s="69" t="s">
        <v>182</v>
      </c>
      <c r="D25" s="70" t="s">
        <v>183</v>
      </c>
      <c r="E25" s="69" t="n">
        <v>24</v>
      </c>
      <c r="F25" s="69"/>
      <c r="G25" s="69"/>
      <c r="H25" s="69"/>
      <c r="I25" s="69"/>
      <c r="J25" s="0" t="n">
        <v>25</v>
      </c>
    </row>
    <row r="26" customFormat="false" ht="13.8" hidden="false" customHeight="false" outlineLevel="0" collapsed="false">
      <c r="A26" s="65" t="s">
        <v>184</v>
      </c>
      <c r="B26" s="65" t="n">
        <v>25</v>
      </c>
      <c r="C26" s="58" t="s">
        <v>185</v>
      </c>
      <c r="D26" s="66" t="s">
        <v>186</v>
      </c>
      <c r="E26" s="67" t="n">
        <v>25</v>
      </c>
    </row>
    <row r="27" customFormat="false" ht="13.8" hidden="false" customHeight="false" outlineLevel="0" collapsed="false">
      <c r="A27" s="65" t="s">
        <v>187</v>
      </c>
      <c r="B27" s="65" t="n">
        <v>26</v>
      </c>
      <c r="C27" s="58" t="s">
        <v>188</v>
      </c>
      <c r="D27" s="66" t="s">
        <v>189</v>
      </c>
      <c r="E27" s="67" t="n">
        <v>26</v>
      </c>
    </row>
    <row r="28" customFormat="false" ht="13.8" hidden="false" customHeight="false" outlineLevel="0" collapsed="false">
      <c r="A28" s="65" t="s">
        <v>190</v>
      </c>
      <c r="B28" s="65" t="n">
        <v>27</v>
      </c>
      <c r="C28" s="58" t="s">
        <v>191</v>
      </c>
      <c r="D28" s="66" t="s">
        <v>192</v>
      </c>
      <c r="E28" s="67" t="n">
        <v>27</v>
      </c>
    </row>
    <row r="29" customFormat="false" ht="13.8" hidden="false" customHeight="false" outlineLevel="0" collapsed="false">
      <c r="A29" s="69" t="s">
        <v>193</v>
      </c>
      <c r="B29" s="69" t="n">
        <v>28</v>
      </c>
      <c r="C29" s="69" t="s">
        <v>194</v>
      </c>
      <c r="D29" s="70" t="s">
        <v>195</v>
      </c>
      <c r="E29" s="69" t="n">
        <v>28</v>
      </c>
      <c r="F29" s="69"/>
      <c r="G29" s="69"/>
      <c r="H29" s="69"/>
      <c r="I29" s="69"/>
      <c r="J29" s="0" t="n">
        <v>29</v>
      </c>
      <c r="K29" s="61" t="s">
        <v>139</v>
      </c>
      <c r="L29" s="61" t="s">
        <v>139</v>
      </c>
      <c r="M29" s="61" t="n">
        <v>11</v>
      </c>
    </row>
    <row r="30" customFormat="false" ht="13.8" hidden="false" customHeight="false" outlineLevel="0" collapsed="false">
      <c r="A30" s="65" t="s">
        <v>196</v>
      </c>
      <c r="B30" s="65" t="n">
        <v>29</v>
      </c>
      <c r="C30" s="58" t="s">
        <v>197</v>
      </c>
      <c r="D30" s="66" t="s">
        <v>198</v>
      </c>
      <c r="E30" s="67" t="n">
        <v>29</v>
      </c>
      <c r="J30" s="0" t="n">
        <v>30</v>
      </c>
      <c r="K30" s="61" t="s">
        <v>127</v>
      </c>
      <c r="L30" s="61" t="s">
        <v>127</v>
      </c>
      <c r="M30" s="61" t="n">
        <v>8</v>
      </c>
    </row>
    <row r="31" customFormat="false" ht="13.8" hidden="false" customHeight="false" outlineLevel="0" collapsed="false">
      <c r="A31" s="65" t="s">
        <v>199</v>
      </c>
      <c r="B31" s="65" t="n">
        <v>30</v>
      </c>
      <c r="C31" s="58" t="s">
        <v>200</v>
      </c>
      <c r="D31" s="66" t="s">
        <v>201</v>
      </c>
      <c r="E31" s="67" t="n">
        <v>30</v>
      </c>
      <c r="J31" s="0" t="n">
        <v>31</v>
      </c>
      <c r="K31" s="68" t="s">
        <v>107</v>
      </c>
      <c r="L31" s="68" t="s">
        <v>108</v>
      </c>
      <c r="M31" s="68" t="n">
        <v>3</v>
      </c>
    </row>
    <row r="32" customFormat="false" ht="13.8" hidden="false" customHeight="false" outlineLevel="0" collapsed="false">
      <c r="A32" s="71" t="s">
        <v>202</v>
      </c>
      <c r="B32" s="71" t="n">
        <v>31</v>
      </c>
      <c r="C32" s="71" t="s">
        <v>203</v>
      </c>
      <c r="D32" s="72" t="s">
        <v>204</v>
      </c>
      <c r="E32" s="71" t="n">
        <v>31</v>
      </c>
      <c r="F32" s="71"/>
      <c r="G32" s="71"/>
      <c r="H32" s="71"/>
      <c r="I32" s="71"/>
      <c r="J32" s="0" t="n">
        <v>32</v>
      </c>
      <c r="K32" s="0" t="n">
        <v>0</v>
      </c>
      <c r="L32" s="0" t="n">
        <v>0</v>
      </c>
      <c r="M32" s="0" t="n">
        <v>3</v>
      </c>
    </row>
    <row r="33" customFormat="false" ht="13.8" hidden="false" customHeight="false" outlineLevel="0" collapsed="false">
      <c r="A33" s="71" t="s">
        <v>205</v>
      </c>
      <c r="B33" s="71" t="n">
        <v>32</v>
      </c>
      <c r="C33" s="71" t="s">
        <v>206</v>
      </c>
      <c r="D33" s="72" t="s">
        <v>207</v>
      </c>
      <c r="E33" s="71" t="n">
        <v>32</v>
      </c>
      <c r="F33" s="71"/>
      <c r="G33" s="71"/>
      <c r="H33" s="71"/>
      <c r="I33" s="71"/>
      <c r="J33" s="0" t="n">
        <v>33</v>
      </c>
    </row>
    <row r="34" customFormat="false" ht="13.8" hidden="false" customHeight="false" outlineLevel="0" collapsed="false">
      <c r="A34" s="71" t="s">
        <v>208</v>
      </c>
      <c r="B34" s="71" t="n">
        <v>33</v>
      </c>
      <c r="C34" s="71" t="s">
        <v>209</v>
      </c>
      <c r="D34" s="72" t="s">
        <v>210</v>
      </c>
      <c r="E34" s="71" t="n">
        <v>33</v>
      </c>
      <c r="F34" s="71"/>
      <c r="G34" s="71"/>
      <c r="H34" s="71"/>
      <c r="I34" s="71"/>
      <c r="J34" s="0" t="n">
        <v>34</v>
      </c>
    </row>
    <row r="35" customFormat="false" ht="13.8" hidden="false" customHeight="false" outlineLevel="0" collapsed="false">
      <c r="A35" s="71" t="s">
        <v>211</v>
      </c>
      <c r="B35" s="71" t="n">
        <v>34</v>
      </c>
      <c r="C35" s="71" t="s">
        <v>212</v>
      </c>
      <c r="D35" s="72" t="s">
        <v>213</v>
      </c>
      <c r="E35" s="71" t="n">
        <v>34</v>
      </c>
      <c r="F35" s="71"/>
      <c r="G35" s="71"/>
      <c r="H35" s="71"/>
      <c r="I35" s="71"/>
    </row>
    <row r="36" customFormat="false" ht="13.8" hidden="false" customHeight="false" outlineLevel="0" collapsed="false">
      <c r="A36" s="71" t="s">
        <v>214</v>
      </c>
      <c r="B36" s="71" t="n">
        <v>35</v>
      </c>
      <c r="C36" s="71" t="s">
        <v>215</v>
      </c>
      <c r="D36" s="72" t="s">
        <v>216</v>
      </c>
      <c r="E36" s="71" t="n">
        <v>35</v>
      </c>
      <c r="F36" s="71"/>
      <c r="G36" s="71"/>
      <c r="H36" s="71"/>
      <c r="I36" s="71"/>
    </row>
    <row r="37" customFormat="false" ht="13.8" hidden="false" customHeight="false" outlineLevel="0" collapsed="false">
      <c r="A37" s="71" t="s">
        <v>217</v>
      </c>
      <c r="B37" s="71" t="n">
        <v>36</v>
      </c>
      <c r="C37" s="71" t="s">
        <v>218</v>
      </c>
      <c r="D37" s="72" t="s">
        <v>219</v>
      </c>
      <c r="E37" s="71" t="n">
        <v>36</v>
      </c>
      <c r="F37" s="71"/>
      <c r="G37" s="71"/>
      <c r="H37" s="71"/>
      <c r="I37" s="71"/>
    </row>
    <row r="38" customFormat="false" ht="13.8" hidden="false" customHeight="false" outlineLevel="0" collapsed="false">
      <c r="A38" s="71" t="s">
        <v>220</v>
      </c>
      <c r="B38" s="71" t="n">
        <v>37</v>
      </c>
      <c r="C38" s="71" t="s">
        <v>221</v>
      </c>
      <c r="D38" s="72" t="s">
        <v>222</v>
      </c>
      <c r="E38" s="71" t="n">
        <v>37</v>
      </c>
      <c r="F38" s="71"/>
      <c r="G38" s="71"/>
      <c r="H38" s="71"/>
      <c r="I38" s="71"/>
    </row>
    <row r="39" customFormat="false" ht="13.8" hidden="false" customHeight="false" outlineLevel="0" collapsed="false">
      <c r="A39" s="71" t="s">
        <v>223</v>
      </c>
      <c r="B39" s="71" t="n">
        <v>38</v>
      </c>
      <c r="C39" s="71" t="s">
        <v>224</v>
      </c>
      <c r="D39" s="72" t="s">
        <v>225</v>
      </c>
      <c r="E39" s="71" t="n">
        <v>38</v>
      </c>
      <c r="F39" s="71"/>
      <c r="G39" s="71"/>
      <c r="H39" s="71"/>
      <c r="I39" s="71"/>
    </row>
    <row r="40" customFormat="false" ht="13.8" hidden="false" customHeight="false" outlineLevel="0" collapsed="false">
      <c r="A40" s="71" t="s">
        <v>226</v>
      </c>
      <c r="B40" s="71" t="n">
        <v>39</v>
      </c>
      <c r="C40" s="71" t="s">
        <v>227</v>
      </c>
      <c r="D40" s="72" t="s">
        <v>228</v>
      </c>
      <c r="E40" s="71" t="n">
        <v>39</v>
      </c>
      <c r="F40" s="71"/>
      <c r="G40" s="71"/>
      <c r="H40" s="71"/>
      <c r="I40" s="71"/>
    </row>
    <row r="41" customFormat="false" ht="13.8" hidden="false" customHeight="false" outlineLevel="0" collapsed="false">
      <c r="A41" s="71" t="s">
        <v>229</v>
      </c>
      <c r="B41" s="71" t="n">
        <v>40</v>
      </c>
      <c r="C41" s="71" t="s">
        <v>230</v>
      </c>
      <c r="D41" s="72" t="s">
        <v>231</v>
      </c>
      <c r="E41" s="71" t="n">
        <v>40</v>
      </c>
      <c r="F41" s="71"/>
      <c r="G41" s="71"/>
      <c r="H41" s="71"/>
      <c r="I41" s="71"/>
    </row>
    <row r="42" customFormat="false" ht="13.8" hidden="false" customHeight="false" outlineLevel="0" collapsed="false">
      <c r="A42" s="71" t="s">
        <v>232</v>
      </c>
      <c r="B42" s="71" t="n">
        <v>41</v>
      </c>
      <c r="C42" s="71" t="s">
        <v>233</v>
      </c>
      <c r="D42" s="72" t="s">
        <v>234</v>
      </c>
      <c r="E42" s="71" t="n">
        <v>41</v>
      </c>
      <c r="F42" s="71"/>
      <c r="G42" s="71"/>
      <c r="H42" s="71"/>
      <c r="I42" s="71"/>
    </row>
    <row r="43" customFormat="false" ht="13.8" hidden="false" customHeight="false" outlineLevel="0" collapsed="false">
      <c r="A43" s="71" t="s">
        <v>235</v>
      </c>
      <c r="B43" s="71" t="n">
        <v>42</v>
      </c>
      <c r="C43" s="71" t="s">
        <v>236</v>
      </c>
      <c r="D43" s="72" t="s">
        <v>237</v>
      </c>
      <c r="E43" s="71" t="n">
        <v>42</v>
      </c>
      <c r="F43" s="71"/>
      <c r="G43" s="71"/>
      <c r="H43" s="71"/>
      <c r="I43" s="71"/>
    </row>
    <row r="44" customFormat="false" ht="13.8" hidden="false" customHeight="false" outlineLevel="0" collapsed="false">
      <c r="A44" s="71" t="s">
        <v>238</v>
      </c>
      <c r="B44" s="71" t="n">
        <v>43</v>
      </c>
      <c r="C44" s="71" t="s">
        <v>239</v>
      </c>
      <c r="D44" s="72" t="s">
        <v>240</v>
      </c>
      <c r="E44" s="71" t="n">
        <v>43</v>
      </c>
      <c r="F44" s="71"/>
      <c r="G44" s="71"/>
      <c r="H44" s="71"/>
      <c r="I44" s="71"/>
    </row>
    <row r="45" customFormat="false" ht="13.8" hidden="false" customHeight="false" outlineLevel="0" collapsed="false">
      <c r="A45" s="65" t="s">
        <v>241</v>
      </c>
      <c r="B45" s="65" t="n">
        <v>44</v>
      </c>
      <c r="C45" s="58" t="s">
        <v>242</v>
      </c>
      <c r="D45" s="66" t="s">
        <v>243</v>
      </c>
      <c r="E45" s="67" t="n">
        <v>44</v>
      </c>
    </row>
    <row r="46" customFormat="false" ht="13.8" hidden="false" customHeight="false" outlineLevel="0" collapsed="false">
      <c r="A46" s="65" t="s">
        <v>244</v>
      </c>
      <c r="B46" s="65" t="n">
        <v>45</v>
      </c>
      <c r="C46" s="58" t="s">
        <v>245</v>
      </c>
      <c r="D46" s="66" t="s">
        <v>246</v>
      </c>
      <c r="E46" s="67" t="n">
        <v>45</v>
      </c>
    </row>
    <row r="47" customFormat="false" ht="13.8" hidden="false" customHeight="false" outlineLevel="0" collapsed="false">
      <c r="A47" s="65" t="s">
        <v>247</v>
      </c>
      <c r="B47" s="65" t="n">
        <v>46</v>
      </c>
      <c r="C47" s="58" t="s">
        <v>248</v>
      </c>
      <c r="D47" s="66" t="s">
        <v>249</v>
      </c>
      <c r="E47" s="67" t="n">
        <v>46</v>
      </c>
    </row>
    <row r="48" customFormat="false" ht="13.8" hidden="false" customHeight="false" outlineLevel="0" collapsed="false">
      <c r="A48" s="65" t="s">
        <v>250</v>
      </c>
      <c r="B48" s="65" t="n">
        <v>47</v>
      </c>
      <c r="C48" s="58" t="s">
        <v>251</v>
      </c>
      <c r="D48" s="66" t="s">
        <v>252</v>
      </c>
      <c r="E48" s="67" t="n">
        <v>47</v>
      </c>
    </row>
    <row r="49" customFormat="false" ht="13.8" hidden="false" customHeight="false" outlineLevel="0" collapsed="false">
      <c r="A49" s="65" t="s">
        <v>253</v>
      </c>
      <c r="B49" s="65" t="n">
        <v>48</v>
      </c>
      <c r="C49" s="58" t="s">
        <v>254</v>
      </c>
      <c r="D49" s="66" t="s">
        <v>255</v>
      </c>
      <c r="E49" s="67" t="n">
        <v>48</v>
      </c>
    </row>
    <row r="50" customFormat="false" ht="13.8" hidden="false" customHeight="false" outlineLevel="0" collapsed="false">
      <c r="A50" s="69" t="s">
        <v>256</v>
      </c>
      <c r="B50" s="69" t="n">
        <v>49</v>
      </c>
      <c r="C50" s="69" t="s">
        <v>257</v>
      </c>
      <c r="D50" s="70" t="s">
        <v>258</v>
      </c>
      <c r="E50" s="69" t="n">
        <v>49</v>
      </c>
      <c r="F50" s="69"/>
      <c r="G50" s="69"/>
      <c r="H50" s="69"/>
      <c r="I50" s="69"/>
    </row>
    <row r="51" customFormat="false" ht="13.8" hidden="false" customHeight="false" outlineLevel="0" collapsed="false">
      <c r="A51" s="69" t="s">
        <v>259</v>
      </c>
      <c r="B51" s="69" t="n">
        <v>50</v>
      </c>
      <c r="C51" s="69" t="s">
        <v>260</v>
      </c>
      <c r="D51" s="70" t="s">
        <v>261</v>
      </c>
      <c r="E51" s="69" t="n">
        <v>50</v>
      </c>
      <c r="F51" s="69"/>
      <c r="G51" s="69"/>
      <c r="H51" s="69"/>
      <c r="I51" s="69"/>
    </row>
    <row r="52" customFormat="false" ht="13.8" hidden="false" customHeight="false" outlineLevel="0" collapsed="false">
      <c r="A52" s="69" t="s">
        <v>262</v>
      </c>
      <c r="B52" s="69" t="n">
        <v>51</v>
      </c>
      <c r="C52" s="69" t="s">
        <v>263</v>
      </c>
      <c r="D52" s="70" t="s">
        <v>264</v>
      </c>
      <c r="E52" s="69" t="n">
        <v>51</v>
      </c>
      <c r="F52" s="69"/>
      <c r="G52" s="69"/>
      <c r="H52" s="69"/>
      <c r="I52" s="69"/>
    </row>
    <row r="53" customFormat="false" ht="13.8" hidden="false" customHeight="false" outlineLevel="0" collapsed="false">
      <c r="A53" s="69" t="s">
        <v>265</v>
      </c>
      <c r="B53" s="69" t="n">
        <v>52</v>
      </c>
      <c r="C53" s="69" t="s">
        <v>266</v>
      </c>
      <c r="D53" s="70" t="s">
        <v>267</v>
      </c>
      <c r="E53" s="69" t="n">
        <v>52</v>
      </c>
      <c r="F53" s="69"/>
      <c r="G53" s="69"/>
      <c r="H53" s="69"/>
      <c r="I53" s="69"/>
    </row>
    <row r="54" customFormat="false" ht="13.8" hidden="false" customHeight="false" outlineLevel="0" collapsed="false">
      <c r="A54" s="65" t="s">
        <v>268</v>
      </c>
      <c r="B54" s="65" t="n">
        <v>53</v>
      </c>
      <c r="C54" s="58" t="s">
        <v>269</v>
      </c>
      <c r="D54" s="66" t="s">
        <v>270</v>
      </c>
      <c r="E54" s="67" t="n">
        <v>53</v>
      </c>
    </row>
    <row r="55" customFormat="false" ht="13.8" hidden="false" customHeight="false" outlineLevel="0" collapsed="false">
      <c r="A55" s="65" t="s">
        <v>271</v>
      </c>
      <c r="B55" s="65" t="n">
        <v>54</v>
      </c>
      <c r="C55" s="58" t="s">
        <v>272</v>
      </c>
      <c r="D55" s="66" t="s">
        <v>273</v>
      </c>
      <c r="E55" s="67" t="n">
        <v>54</v>
      </c>
    </row>
    <row r="56" customFormat="false" ht="13.8" hidden="false" customHeight="false" outlineLevel="0" collapsed="false">
      <c r="A56" s="65" t="s">
        <v>274</v>
      </c>
      <c r="B56" s="65" t="n">
        <v>55</v>
      </c>
      <c r="C56" s="58" t="s">
        <v>275</v>
      </c>
      <c r="D56" s="66" t="s">
        <v>276</v>
      </c>
      <c r="E56" s="67" t="n">
        <v>55</v>
      </c>
    </row>
    <row r="57" customFormat="false" ht="13.8" hidden="false" customHeight="false" outlineLevel="0" collapsed="false">
      <c r="A57" s="65" t="s">
        <v>277</v>
      </c>
      <c r="B57" s="65" t="n">
        <v>56</v>
      </c>
      <c r="C57" s="58" t="s">
        <v>278</v>
      </c>
      <c r="D57" s="66" t="s">
        <v>279</v>
      </c>
      <c r="E57" s="67" t="n">
        <v>56</v>
      </c>
    </row>
    <row r="58" customFormat="false" ht="13.8" hidden="false" customHeight="false" outlineLevel="0" collapsed="false">
      <c r="A58" s="65" t="s">
        <v>280</v>
      </c>
      <c r="B58" s="65" t="n">
        <v>57</v>
      </c>
      <c r="C58" s="58" t="s">
        <v>281</v>
      </c>
      <c r="D58" s="66" t="s">
        <v>282</v>
      </c>
      <c r="E58" s="67" t="n">
        <v>57</v>
      </c>
    </row>
    <row r="59" customFormat="false" ht="13.8" hidden="false" customHeight="false" outlineLevel="0" collapsed="false">
      <c r="A59" s="65" t="s">
        <v>283</v>
      </c>
      <c r="B59" s="65" t="n">
        <v>58</v>
      </c>
      <c r="C59" s="58" t="s">
        <v>284</v>
      </c>
      <c r="D59" s="66" t="s">
        <v>285</v>
      </c>
      <c r="E59" s="67" t="n">
        <v>58</v>
      </c>
    </row>
    <row r="60" customFormat="false" ht="13.8" hidden="false" customHeight="false" outlineLevel="0" collapsed="false">
      <c r="A60" s="65" t="s">
        <v>286</v>
      </c>
      <c r="B60" s="65" t="n">
        <v>59</v>
      </c>
      <c r="C60" s="58" t="s">
        <v>287</v>
      </c>
      <c r="D60" s="66" t="s">
        <v>288</v>
      </c>
      <c r="E60" s="67" t="n">
        <v>59</v>
      </c>
    </row>
    <row r="61" customFormat="false" ht="13.8" hidden="false" customHeight="false" outlineLevel="0" collapsed="false">
      <c r="A61" s="65" t="s">
        <v>289</v>
      </c>
      <c r="B61" s="65" t="n">
        <v>60</v>
      </c>
      <c r="C61" s="58" t="s">
        <v>290</v>
      </c>
      <c r="D61" s="66" t="s">
        <v>291</v>
      </c>
      <c r="E61" s="67" t="n">
        <v>60</v>
      </c>
    </row>
    <row r="62" customFormat="false" ht="13.8" hidden="false" customHeight="false" outlineLevel="0" collapsed="false">
      <c r="A62" s="71" t="s">
        <v>292</v>
      </c>
      <c r="B62" s="71" t="n">
        <v>61</v>
      </c>
      <c r="C62" s="71" t="s">
        <v>293</v>
      </c>
      <c r="D62" s="72" t="s">
        <v>294</v>
      </c>
      <c r="E62" s="71" t="n">
        <v>61</v>
      </c>
      <c r="F62" s="71"/>
      <c r="G62" s="71"/>
      <c r="H62" s="71"/>
      <c r="I62" s="71"/>
    </row>
    <row r="63" customFormat="false" ht="13.8" hidden="false" customHeight="false" outlineLevel="0" collapsed="false">
      <c r="A63" s="71" t="s">
        <v>295</v>
      </c>
      <c r="B63" s="71" t="n">
        <v>62</v>
      </c>
      <c r="C63" s="71" t="s">
        <v>296</v>
      </c>
      <c r="D63" s="72" t="s">
        <v>297</v>
      </c>
      <c r="E63" s="71" t="n">
        <v>62</v>
      </c>
      <c r="F63" s="71"/>
      <c r="G63" s="71"/>
      <c r="H63" s="71"/>
      <c r="I63" s="71"/>
    </row>
    <row r="64" customFormat="false" ht="13.8" hidden="false" customHeight="false" outlineLevel="0" collapsed="false">
      <c r="A64" s="71" t="s">
        <v>298</v>
      </c>
      <c r="B64" s="71" t="n">
        <v>63</v>
      </c>
      <c r="C64" s="71" t="s">
        <v>299</v>
      </c>
      <c r="D64" s="72" t="s">
        <v>300</v>
      </c>
      <c r="E64" s="71" t="n">
        <v>63</v>
      </c>
      <c r="F64" s="71"/>
      <c r="G64" s="71"/>
      <c r="H64" s="71"/>
      <c r="I64" s="71"/>
    </row>
    <row r="65" customFormat="false" ht="13.8" hidden="false" customHeight="false" outlineLevel="0" collapsed="false">
      <c r="A65" s="71" t="s">
        <v>301</v>
      </c>
      <c r="B65" s="71" t="n">
        <v>64</v>
      </c>
      <c r="C65" s="71" t="s">
        <v>302</v>
      </c>
      <c r="D65" s="72" t="s">
        <v>303</v>
      </c>
      <c r="E65" s="71" t="n">
        <v>64</v>
      </c>
      <c r="F65" s="71"/>
      <c r="G65" s="71"/>
      <c r="H65" s="71"/>
      <c r="I65" s="71"/>
    </row>
    <row r="66" customFormat="false" ht="13.8" hidden="false" customHeight="false" outlineLevel="0" collapsed="false">
      <c r="A66" s="71" t="s">
        <v>304</v>
      </c>
      <c r="B66" s="71" t="n">
        <v>65</v>
      </c>
      <c r="C66" s="71" t="s">
        <v>305</v>
      </c>
      <c r="D66" s="72" t="s">
        <v>306</v>
      </c>
      <c r="E66" s="71" t="n">
        <v>65</v>
      </c>
      <c r="F66" s="71"/>
      <c r="G66" s="71"/>
      <c r="H66" s="71"/>
      <c r="I66" s="71"/>
    </row>
    <row r="67" customFormat="false" ht="13.8" hidden="false" customHeight="false" outlineLevel="0" collapsed="false">
      <c r="A67" s="71" t="s">
        <v>307</v>
      </c>
      <c r="B67" s="71" t="n">
        <v>66</v>
      </c>
      <c r="C67" s="71" t="s">
        <v>308</v>
      </c>
      <c r="D67" s="72" t="s">
        <v>309</v>
      </c>
      <c r="E67" s="71" t="n">
        <v>66</v>
      </c>
      <c r="F67" s="71"/>
      <c r="G67" s="71"/>
      <c r="H67" s="71"/>
      <c r="I67" s="71"/>
    </row>
    <row r="68" customFormat="false" ht="13.8" hidden="false" customHeight="false" outlineLevel="0" collapsed="false">
      <c r="A68" s="71" t="s">
        <v>310</v>
      </c>
      <c r="B68" s="71" t="n">
        <v>67</v>
      </c>
      <c r="C68" s="71" t="s">
        <v>311</v>
      </c>
      <c r="D68" s="72" t="s">
        <v>312</v>
      </c>
      <c r="E68" s="71" t="n">
        <v>67</v>
      </c>
      <c r="F68" s="71"/>
      <c r="G68" s="71"/>
      <c r="H68" s="71"/>
      <c r="I68" s="71"/>
    </row>
    <row r="69" customFormat="false" ht="13.8" hidden="false" customHeight="false" outlineLevel="0" collapsed="false">
      <c r="A69" s="71" t="s">
        <v>313</v>
      </c>
      <c r="B69" s="71" t="n">
        <v>68</v>
      </c>
      <c r="C69" s="71" t="s">
        <v>314</v>
      </c>
      <c r="D69" s="72" t="s">
        <v>315</v>
      </c>
      <c r="E69" s="71" t="n">
        <v>68</v>
      </c>
      <c r="F69" s="71"/>
      <c r="G69" s="71"/>
      <c r="H69" s="71"/>
      <c r="I69" s="71"/>
    </row>
    <row r="70" customFormat="false" ht="13.8" hidden="false" customHeight="false" outlineLevel="0" collapsed="false">
      <c r="A70" s="71" t="s">
        <v>316</v>
      </c>
      <c r="B70" s="71" t="n">
        <v>69</v>
      </c>
      <c r="C70" s="71" t="s">
        <v>317</v>
      </c>
      <c r="D70" s="72" t="s">
        <v>318</v>
      </c>
      <c r="E70" s="71" t="n">
        <v>69</v>
      </c>
      <c r="F70" s="71"/>
      <c r="G70" s="71"/>
      <c r="H70" s="71"/>
      <c r="I70" s="71"/>
    </row>
    <row r="71" customFormat="false" ht="13.8" hidden="false" customHeight="false" outlineLevel="0" collapsed="false">
      <c r="A71" s="71" t="s">
        <v>319</v>
      </c>
      <c r="B71" s="71" t="n">
        <v>70</v>
      </c>
      <c r="C71" s="71" t="s">
        <v>320</v>
      </c>
      <c r="D71" s="72" t="s">
        <v>321</v>
      </c>
      <c r="E71" s="71" t="n">
        <v>70</v>
      </c>
      <c r="F71" s="71"/>
      <c r="G71" s="71"/>
      <c r="H71" s="71"/>
      <c r="I71" s="71"/>
    </row>
    <row r="72" customFormat="false" ht="13.8" hidden="false" customHeight="false" outlineLevel="0" collapsed="false">
      <c r="A72" s="71" t="s">
        <v>322</v>
      </c>
      <c r="B72" s="71" t="n">
        <v>71</v>
      </c>
      <c r="C72" s="71" t="s">
        <v>323</v>
      </c>
      <c r="D72" s="72" t="s">
        <v>324</v>
      </c>
      <c r="E72" s="71" t="n">
        <v>71</v>
      </c>
      <c r="F72" s="71"/>
      <c r="G72" s="71"/>
      <c r="H72" s="71"/>
      <c r="I72" s="71"/>
    </row>
    <row r="73" customFormat="false" ht="13.8" hidden="false" customHeight="false" outlineLevel="0" collapsed="false">
      <c r="A73" s="71" t="s">
        <v>325</v>
      </c>
      <c r="B73" s="71" t="n">
        <v>72</v>
      </c>
      <c r="C73" s="71" t="s">
        <v>326</v>
      </c>
      <c r="D73" s="72" t="s">
        <v>327</v>
      </c>
      <c r="E73" s="71" t="n">
        <v>72</v>
      </c>
      <c r="F73" s="71"/>
      <c r="G73" s="71"/>
      <c r="H73" s="71"/>
      <c r="I73" s="71"/>
    </row>
    <row r="74" customFormat="false" ht="13.8" hidden="false" customHeight="false" outlineLevel="0" collapsed="false">
      <c r="A74" s="71" t="s">
        <v>328</v>
      </c>
      <c r="B74" s="71" t="n">
        <v>73</v>
      </c>
      <c r="C74" s="71" t="s">
        <v>329</v>
      </c>
      <c r="D74" s="72" t="s">
        <v>330</v>
      </c>
      <c r="E74" s="71" t="n">
        <v>73</v>
      </c>
      <c r="F74" s="71"/>
      <c r="G74" s="71"/>
      <c r="H74" s="71"/>
      <c r="I74" s="71"/>
    </row>
    <row r="75" customFormat="false" ht="13.8" hidden="false" customHeight="false" outlineLevel="0" collapsed="false">
      <c r="A75" s="71" t="s">
        <v>331</v>
      </c>
      <c r="B75" s="71" t="n">
        <v>74</v>
      </c>
      <c r="C75" s="71" t="s">
        <v>332</v>
      </c>
      <c r="D75" s="72" t="s">
        <v>333</v>
      </c>
      <c r="E75" s="71" t="n">
        <v>74</v>
      </c>
      <c r="F75" s="71"/>
      <c r="G75" s="71"/>
      <c r="H75" s="71"/>
      <c r="I75" s="71"/>
    </row>
    <row r="76" customFormat="false" ht="13.8" hidden="false" customHeight="false" outlineLevel="0" collapsed="false">
      <c r="A76" s="71" t="s">
        <v>334</v>
      </c>
      <c r="B76" s="71" t="n">
        <v>75</v>
      </c>
      <c r="C76" s="71" t="s">
        <v>335</v>
      </c>
      <c r="D76" s="72" t="s">
        <v>336</v>
      </c>
      <c r="E76" s="71" t="n">
        <v>75</v>
      </c>
      <c r="F76" s="71"/>
      <c r="G76" s="71"/>
      <c r="H76" s="71"/>
      <c r="I76" s="71"/>
    </row>
    <row r="77" customFormat="false" ht="13.8" hidden="false" customHeight="false" outlineLevel="0" collapsed="false">
      <c r="A77" s="71" t="s">
        <v>337</v>
      </c>
      <c r="B77" s="71" t="n">
        <v>76</v>
      </c>
      <c r="C77" s="71" t="s">
        <v>338</v>
      </c>
      <c r="D77" s="72" t="s">
        <v>339</v>
      </c>
      <c r="E77" s="71" t="n">
        <v>76</v>
      </c>
      <c r="F77" s="71"/>
      <c r="G77" s="71"/>
      <c r="H77" s="71"/>
      <c r="I77" s="71"/>
    </row>
    <row r="78" customFormat="false" ht="13.8" hidden="false" customHeight="false" outlineLevel="0" collapsed="false">
      <c r="A78" s="71" t="s">
        <v>340</v>
      </c>
      <c r="B78" s="71" t="n">
        <v>77</v>
      </c>
      <c r="C78" s="71" t="s">
        <v>341</v>
      </c>
      <c r="D78" s="72" t="s">
        <v>342</v>
      </c>
      <c r="E78" s="71" t="n">
        <v>77</v>
      </c>
      <c r="F78" s="71"/>
      <c r="G78" s="71"/>
      <c r="H78" s="71"/>
      <c r="I78" s="71"/>
    </row>
    <row r="79" customFormat="false" ht="13.8" hidden="false" customHeight="false" outlineLevel="0" collapsed="false">
      <c r="A79" s="65" t="s">
        <v>343</v>
      </c>
      <c r="B79" s="65" t="n">
        <v>78</v>
      </c>
      <c r="C79" s="58" t="s">
        <v>344</v>
      </c>
      <c r="D79" s="66" t="s">
        <v>345</v>
      </c>
      <c r="E79" s="67" t="n">
        <v>78</v>
      </c>
    </row>
    <row r="80" customFormat="false" ht="13.8" hidden="false" customHeight="false" outlineLevel="0" collapsed="false">
      <c r="A80" s="65" t="s">
        <v>346</v>
      </c>
      <c r="B80" s="65" t="n">
        <v>79</v>
      </c>
      <c r="C80" s="58" t="s">
        <v>347</v>
      </c>
      <c r="D80" s="66" t="s">
        <v>348</v>
      </c>
      <c r="E80" s="67" t="n">
        <v>79</v>
      </c>
    </row>
    <row r="81" customFormat="false" ht="13.8" hidden="false" customHeight="false" outlineLevel="0" collapsed="false">
      <c r="A81" s="65" t="s">
        <v>349</v>
      </c>
      <c r="B81" s="65" t="n">
        <v>80</v>
      </c>
      <c r="C81" s="58" t="s">
        <v>350</v>
      </c>
      <c r="D81" s="66" t="s">
        <v>351</v>
      </c>
      <c r="E81" s="67" t="n">
        <v>80</v>
      </c>
    </row>
    <row r="82" customFormat="false" ht="13.8" hidden="false" customHeight="false" outlineLevel="0" collapsed="false">
      <c r="A82" s="71" t="s">
        <v>352</v>
      </c>
      <c r="B82" s="71" t="n">
        <v>81</v>
      </c>
      <c r="C82" s="71" t="s">
        <v>353</v>
      </c>
      <c r="D82" s="72" t="s">
        <v>354</v>
      </c>
      <c r="E82" s="71" t="n">
        <v>81</v>
      </c>
      <c r="F82" s="71"/>
      <c r="G82" s="71"/>
      <c r="H82" s="71"/>
      <c r="I82" s="71"/>
    </row>
    <row r="83" customFormat="false" ht="13.8" hidden="false" customHeight="false" outlineLevel="0" collapsed="false">
      <c r="A83" s="71" t="s">
        <v>355</v>
      </c>
      <c r="B83" s="71" t="n">
        <v>82</v>
      </c>
      <c r="C83" s="71" t="s">
        <v>356</v>
      </c>
      <c r="D83" s="72" t="s">
        <v>357</v>
      </c>
      <c r="E83" s="71" t="n">
        <v>82</v>
      </c>
      <c r="F83" s="71"/>
      <c r="G83" s="71"/>
      <c r="H83" s="71"/>
      <c r="I83" s="71"/>
    </row>
    <row r="84" customFormat="false" ht="13.8" hidden="false" customHeight="false" outlineLevel="0" collapsed="false">
      <c r="A84" s="71" t="s">
        <v>358</v>
      </c>
      <c r="B84" s="71" t="n">
        <v>83</v>
      </c>
      <c r="C84" s="71" t="s">
        <v>359</v>
      </c>
      <c r="D84" s="72" t="s">
        <v>360</v>
      </c>
      <c r="E84" s="71" t="n">
        <v>83</v>
      </c>
      <c r="F84" s="71"/>
      <c r="G84" s="71"/>
      <c r="H84" s="71"/>
      <c r="I84" s="71"/>
    </row>
    <row r="85" customFormat="false" ht="13.8" hidden="false" customHeight="false" outlineLevel="0" collapsed="false">
      <c r="A85" s="71" t="s">
        <v>361</v>
      </c>
      <c r="B85" s="71" t="n">
        <v>84</v>
      </c>
      <c r="C85" s="71" t="s">
        <v>362</v>
      </c>
      <c r="D85" s="72" t="s">
        <v>363</v>
      </c>
      <c r="E85" s="71" t="n">
        <v>84</v>
      </c>
      <c r="F85" s="71"/>
      <c r="G85" s="71"/>
      <c r="H85" s="71"/>
      <c r="I85" s="71"/>
    </row>
    <row r="86" customFormat="false" ht="13.8" hidden="false" customHeight="false" outlineLevel="0" collapsed="false">
      <c r="A86" s="71" t="s">
        <v>364</v>
      </c>
      <c r="B86" s="71" t="n">
        <v>85</v>
      </c>
      <c r="C86" s="71" t="s">
        <v>365</v>
      </c>
      <c r="D86" s="72" t="s">
        <v>366</v>
      </c>
      <c r="E86" s="71" t="n">
        <v>85</v>
      </c>
      <c r="F86" s="71"/>
      <c r="G86" s="71"/>
      <c r="H86" s="71"/>
      <c r="I86" s="71"/>
    </row>
    <row r="87" customFormat="false" ht="13.8" hidden="false" customHeight="false" outlineLevel="0" collapsed="false">
      <c r="A87" s="73" t="s">
        <v>35</v>
      </c>
      <c r="B87" s="73" t="n">
        <v>86</v>
      </c>
      <c r="C87" s="71" t="s">
        <v>367</v>
      </c>
      <c r="D87" s="72" t="s">
        <v>368</v>
      </c>
      <c r="E87" s="71" t="n">
        <v>86</v>
      </c>
      <c r="F87" s="71"/>
      <c r="G87" s="71"/>
      <c r="H87" s="71"/>
      <c r="I87" s="71"/>
    </row>
    <row r="88" customFormat="false" ht="13.8" hidden="false" customHeight="false" outlineLevel="0" collapsed="false">
      <c r="A88" s="71" t="s">
        <v>369</v>
      </c>
      <c r="B88" s="71" t="n">
        <v>87</v>
      </c>
      <c r="C88" s="71" t="s">
        <v>370</v>
      </c>
      <c r="D88" s="72" t="s">
        <v>371</v>
      </c>
      <c r="E88" s="71" t="n">
        <v>87</v>
      </c>
      <c r="F88" s="71"/>
      <c r="G88" s="71"/>
      <c r="H88" s="71"/>
      <c r="I88" s="71"/>
    </row>
    <row r="89" customFormat="false" ht="13.8" hidden="false" customHeight="false" outlineLevel="0" collapsed="false">
      <c r="A89" s="71" t="s">
        <v>372</v>
      </c>
      <c r="B89" s="71" t="n">
        <v>88</v>
      </c>
      <c r="C89" s="71" t="s">
        <v>373</v>
      </c>
      <c r="D89" s="72" t="s">
        <v>374</v>
      </c>
      <c r="E89" s="71" t="n">
        <v>88</v>
      </c>
      <c r="F89" s="71"/>
      <c r="G89" s="71"/>
      <c r="H89" s="71"/>
      <c r="I89" s="71"/>
    </row>
    <row r="90" customFormat="false" ht="13.8" hidden="false" customHeight="false" outlineLevel="0" collapsed="false">
      <c r="A90" s="71" t="s">
        <v>375</v>
      </c>
      <c r="B90" s="71" t="n">
        <v>89</v>
      </c>
      <c r="C90" s="71" t="s">
        <v>376</v>
      </c>
      <c r="D90" s="72" t="s">
        <v>377</v>
      </c>
      <c r="E90" s="71" t="n">
        <v>89</v>
      </c>
      <c r="F90" s="71"/>
      <c r="G90" s="71"/>
      <c r="H90" s="71"/>
      <c r="I90" s="71"/>
    </row>
    <row r="91" customFormat="false" ht="13.8" hidden="false" customHeight="false" outlineLevel="0" collapsed="false">
      <c r="A91" s="71" t="s">
        <v>378</v>
      </c>
      <c r="B91" s="71" t="n">
        <v>90</v>
      </c>
      <c r="C91" s="71" t="s">
        <v>379</v>
      </c>
      <c r="D91" s="72" t="s">
        <v>380</v>
      </c>
      <c r="E91" s="71" t="n">
        <v>90</v>
      </c>
      <c r="F91" s="71"/>
      <c r="G91" s="71"/>
      <c r="H91" s="71"/>
      <c r="I91" s="71"/>
    </row>
    <row r="92" customFormat="false" ht="13.8" hidden="false" customHeight="false" outlineLevel="0" collapsed="false">
      <c r="A92" s="71" t="s">
        <v>48</v>
      </c>
      <c r="B92" s="71" t="n">
        <v>91</v>
      </c>
      <c r="C92" s="71" t="s">
        <v>381</v>
      </c>
      <c r="D92" s="72" t="s">
        <v>382</v>
      </c>
      <c r="E92" s="71" t="n">
        <v>91</v>
      </c>
      <c r="F92" s="71"/>
      <c r="G92" s="71"/>
      <c r="H92" s="71"/>
      <c r="I92" s="71"/>
    </row>
    <row r="93" customFormat="false" ht="13.8" hidden="false" customHeight="false" outlineLevel="0" collapsed="false">
      <c r="A93" s="71" t="s">
        <v>78</v>
      </c>
      <c r="B93" s="71" t="n">
        <v>92</v>
      </c>
      <c r="C93" s="71" t="s">
        <v>383</v>
      </c>
      <c r="D93" s="72" t="s">
        <v>384</v>
      </c>
      <c r="E93" s="71" t="n">
        <v>92</v>
      </c>
      <c r="F93" s="71"/>
      <c r="G93" s="71"/>
      <c r="H93" s="71"/>
      <c r="I93" s="71"/>
    </row>
    <row r="94" customFormat="false" ht="13.8" hidden="false" customHeight="false" outlineLevel="0" collapsed="false">
      <c r="A94" s="58" t="s">
        <v>91</v>
      </c>
      <c r="B94" s="58" t="n">
        <v>93</v>
      </c>
      <c r="C94" s="58" t="s">
        <v>385</v>
      </c>
      <c r="D94" s="66" t="s">
        <v>386</v>
      </c>
      <c r="E94" s="67" t="n">
        <v>93</v>
      </c>
    </row>
    <row r="95" customFormat="false" ht="13.8" hidden="false" customHeight="false" outlineLevel="0" collapsed="false">
      <c r="A95" s="71" t="s">
        <v>28</v>
      </c>
      <c r="B95" s="71" t="n">
        <v>94</v>
      </c>
      <c r="C95" s="71" t="s">
        <v>387</v>
      </c>
      <c r="D95" s="72" t="s">
        <v>388</v>
      </c>
      <c r="E95" s="71" t="n">
        <v>94</v>
      </c>
      <c r="F95" s="71"/>
      <c r="G95" s="71"/>
      <c r="H95" s="71"/>
      <c r="I95" s="71"/>
    </row>
    <row r="96" customFormat="false" ht="13.8" hidden="false" customHeight="false" outlineLevel="0" collapsed="false">
      <c r="A96" s="71" t="s">
        <v>389</v>
      </c>
      <c r="B96" s="71" t="n">
        <v>96</v>
      </c>
      <c r="C96" s="71" t="s">
        <v>390</v>
      </c>
      <c r="D96" s="72" t="s">
        <v>391</v>
      </c>
      <c r="E96" s="71" t="n">
        <v>95</v>
      </c>
      <c r="F96" s="71"/>
      <c r="G96" s="71"/>
      <c r="H96" s="71"/>
      <c r="I96" s="71"/>
    </row>
    <row r="97" customFormat="false" ht="13.8" hidden="false" customHeight="false" outlineLevel="0" collapsed="false">
      <c r="A97" s="71"/>
      <c r="B97" s="71"/>
      <c r="C97" s="71"/>
      <c r="D97" s="72" t="s">
        <v>392</v>
      </c>
      <c r="E97" s="71" t="n">
        <v>96</v>
      </c>
      <c r="F97" s="71"/>
      <c r="G97" s="71"/>
      <c r="H97" s="71"/>
      <c r="I97" s="71"/>
    </row>
    <row r="98" customFormat="false" ht="13.8" hidden="false" customHeight="false" outlineLevel="0" collapsed="false">
      <c r="A98" s="71"/>
      <c r="B98" s="71"/>
      <c r="C98" s="71"/>
      <c r="D98" s="72" t="s">
        <v>393</v>
      </c>
      <c r="E98" s="71" t="n">
        <v>97</v>
      </c>
      <c r="F98" s="71"/>
      <c r="G98" s="71"/>
      <c r="H98" s="71"/>
      <c r="I98" s="71"/>
    </row>
    <row r="99" customFormat="false" ht="13.8" hidden="false" customHeight="false" outlineLevel="0" collapsed="false">
      <c r="A99" s="71"/>
      <c r="B99" s="71"/>
      <c r="C99" s="71"/>
      <c r="D99" s="72" t="s">
        <v>394</v>
      </c>
      <c r="E99" s="71" t="n">
        <v>98</v>
      </c>
      <c r="F99" s="71"/>
      <c r="G99" s="71"/>
      <c r="H99" s="71"/>
      <c r="I99" s="71"/>
    </row>
    <row r="100" customFormat="false" ht="13.8" hidden="false" customHeight="false" outlineLevel="0" collapsed="false">
      <c r="D100" s="66" t="s">
        <v>395</v>
      </c>
      <c r="E100" s="67" t="n">
        <v>99</v>
      </c>
    </row>
    <row r="101" customFormat="false" ht="13.8" hidden="false" customHeight="false" outlineLevel="0" collapsed="false">
      <c r="D101" s="66" t="s">
        <v>396</v>
      </c>
      <c r="E101" s="67" t="n">
        <v>100</v>
      </c>
    </row>
    <row r="102" customFormat="false" ht="13.8" hidden="false" customHeight="false" outlineLevel="0" collapsed="false">
      <c r="D102" s="66" t="s">
        <v>397</v>
      </c>
      <c r="E102" s="67" t="n">
        <v>101</v>
      </c>
    </row>
    <row r="103" customFormat="false" ht="13.8" hidden="false" customHeight="false" outlineLevel="0" collapsed="false">
      <c r="D103" s="66" t="s">
        <v>398</v>
      </c>
      <c r="E103" s="67" t="n">
        <v>102</v>
      </c>
    </row>
    <row r="104" customFormat="false" ht="13.8" hidden="false" customHeight="false" outlineLevel="0" collapsed="false">
      <c r="D104" s="66" t="s">
        <v>399</v>
      </c>
      <c r="E104" s="67" t="n">
        <v>103</v>
      </c>
    </row>
    <row r="105" customFormat="false" ht="13.8" hidden="false" customHeight="false" outlineLevel="0" collapsed="false">
      <c r="D105" s="66" t="s">
        <v>400</v>
      </c>
      <c r="E105" s="67" t="n">
        <v>104</v>
      </c>
    </row>
    <row r="106" customFormat="false" ht="13.8" hidden="false" customHeight="false" outlineLevel="0" collapsed="false">
      <c r="D106" s="66" t="s">
        <v>38</v>
      </c>
      <c r="E106" s="67" t="n">
        <v>105</v>
      </c>
    </row>
    <row r="107" customFormat="false" ht="13.8" hidden="false" customHeight="false" outlineLevel="0" collapsed="false">
      <c r="D107" s="66" t="s">
        <v>401</v>
      </c>
      <c r="E107" s="67" t="n">
        <v>106</v>
      </c>
    </row>
    <row r="108" customFormat="false" ht="13.8" hidden="false" customHeight="false" outlineLevel="0" collapsed="false">
      <c r="D108" s="66" t="s">
        <v>402</v>
      </c>
      <c r="E108" s="67" t="n">
        <v>107</v>
      </c>
    </row>
    <row r="109" customFormat="false" ht="13.8" hidden="false" customHeight="false" outlineLevel="0" collapsed="false">
      <c r="D109" s="66" t="s">
        <v>403</v>
      </c>
      <c r="E109" s="67" t="n">
        <v>108</v>
      </c>
    </row>
    <row r="110" customFormat="false" ht="13.8" hidden="false" customHeight="false" outlineLevel="0" collapsed="false">
      <c r="D110" s="66" t="s">
        <v>404</v>
      </c>
      <c r="E110" s="67" t="n">
        <v>109</v>
      </c>
    </row>
    <row r="111" customFormat="false" ht="13.8" hidden="false" customHeight="false" outlineLevel="0" collapsed="false">
      <c r="D111" s="66" t="s">
        <v>405</v>
      </c>
      <c r="E111" s="67" t="n">
        <v>110</v>
      </c>
    </row>
    <row r="112" customFormat="false" ht="13.8" hidden="false" customHeight="false" outlineLevel="0" collapsed="false">
      <c r="D112" s="66" t="s">
        <v>406</v>
      </c>
      <c r="E112" s="67" t="n">
        <v>111</v>
      </c>
    </row>
    <row r="113" customFormat="false" ht="13.8" hidden="false" customHeight="false" outlineLevel="0" collapsed="false">
      <c r="D113" s="66" t="s">
        <v>407</v>
      </c>
      <c r="E113" s="67" t="n">
        <v>112</v>
      </c>
    </row>
    <row r="114" customFormat="false" ht="13.8" hidden="false" customHeight="false" outlineLevel="0" collapsed="false">
      <c r="D114" s="66" t="s">
        <v>408</v>
      </c>
      <c r="E114" s="67" t="n">
        <v>113</v>
      </c>
    </row>
    <row r="115" customFormat="false" ht="13.8" hidden="false" customHeight="false" outlineLevel="0" collapsed="false">
      <c r="D115" s="66" t="s">
        <v>409</v>
      </c>
      <c r="E115" s="67" t="n">
        <v>114</v>
      </c>
    </row>
    <row r="116" customFormat="false" ht="13.8" hidden="false" customHeight="false" outlineLevel="0" collapsed="false">
      <c r="D116" s="66" t="s">
        <v>410</v>
      </c>
      <c r="E116" s="67" t="n">
        <v>115</v>
      </c>
    </row>
    <row r="117" customFormat="false" ht="13.8" hidden="false" customHeight="false" outlineLevel="0" collapsed="false">
      <c r="D117" s="66" t="s">
        <v>411</v>
      </c>
      <c r="E117" s="67" t="n">
        <v>116</v>
      </c>
    </row>
    <row r="118" customFormat="false" ht="13.8" hidden="false" customHeight="false" outlineLevel="0" collapsed="false">
      <c r="D118" s="66" t="s">
        <v>412</v>
      </c>
      <c r="E118" s="67" t="n">
        <v>117</v>
      </c>
    </row>
    <row r="119" customFormat="false" ht="13.8" hidden="false" customHeight="false" outlineLevel="0" collapsed="false">
      <c r="D119" s="66" t="s">
        <v>413</v>
      </c>
      <c r="E119" s="67" t="n">
        <v>118</v>
      </c>
    </row>
    <row r="120" customFormat="false" ht="13.8" hidden="false" customHeight="false" outlineLevel="0" collapsed="false">
      <c r="D120" s="66" t="s">
        <v>414</v>
      </c>
      <c r="E120" s="67" t="n">
        <v>119</v>
      </c>
    </row>
    <row r="121" customFormat="false" ht="13.8" hidden="false" customHeight="false" outlineLevel="0" collapsed="false">
      <c r="D121" s="66" t="s">
        <v>415</v>
      </c>
      <c r="E121" s="67" t="n">
        <v>120</v>
      </c>
    </row>
    <row r="122" customFormat="false" ht="13.8" hidden="false" customHeight="false" outlineLevel="0" collapsed="false">
      <c r="D122" s="66" t="s">
        <v>416</v>
      </c>
      <c r="E122" s="67" t="n">
        <v>121</v>
      </c>
    </row>
    <row r="123" customFormat="false" ht="13.8" hidden="false" customHeight="false" outlineLevel="0" collapsed="false">
      <c r="D123" s="66" t="s">
        <v>417</v>
      </c>
      <c r="E123" s="67" t="n">
        <v>122</v>
      </c>
    </row>
    <row r="124" customFormat="false" ht="13.8" hidden="false" customHeight="false" outlineLevel="0" collapsed="false">
      <c r="D124" s="66" t="s">
        <v>418</v>
      </c>
      <c r="E124" s="67" t="n">
        <v>123</v>
      </c>
    </row>
    <row r="125" customFormat="false" ht="13.8" hidden="false" customHeight="false" outlineLevel="0" collapsed="false">
      <c r="D125" s="66" t="s">
        <v>419</v>
      </c>
      <c r="E125" s="67" t="n">
        <v>124</v>
      </c>
    </row>
    <row r="126" customFormat="false" ht="13.8" hidden="false" customHeight="false" outlineLevel="0" collapsed="false">
      <c r="D126" s="66" t="s">
        <v>420</v>
      </c>
      <c r="E126" s="67" t="n">
        <v>125</v>
      </c>
    </row>
    <row r="127" customFormat="false" ht="13.8" hidden="false" customHeight="false" outlineLevel="0" collapsed="false">
      <c r="D127" s="66" t="s">
        <v>421</v>
      </c>
      <c r="E127" s="67" t="n">
        <v>126</v>
      </c>
    </row>
    <row r="128" customFormat="false" ht="13.8" hidden="false" customHeight="false" outlineLevel="0" collapsed="false">
      <c r="D128" s="66" t="s">
        <v>233</v>
      </c>
      <c r="E128" s="67" t="n">
        <v>127</v>
      </c>
    </row>
    <row r="129" customFormat="false" ht="13.8" hidden="false" customHeight="false" outlineLevel="0" collapsed="false">
      <c r="D129" s="66" t="s">
        <v>422</v>
      </c>
      <c r="E129" s="67" t="n">
        <v>128</v>
      </c>
    </row>
    <row r="130" customFormat="false" ht="13.8" hidden="false" customHeight="false" outlineLevel="0" collapsed="false">
      <c r="D130" s="66" t="s">
        <v>423</v>
      </c>
      <c r="E130" s="67" t="n">
        <v>129</v>
      </c>
    </row>
    <row r="131" customFormat="false" ht="13.8" hidden="false" customHeight="false" outlineLevel="0" collapsed="false">
      <c r="D131" s="66" t="s">
        <v>424</v>
      </c>
      <c r="E131" s="67" t="n">
        <v>130</v>
      </c>
    </row>
    <row r="132" customFormat="false" ht="13.8" hidden="false" customHeight="false" outlineLevel="0" collapsed="false">
      <c r="D132" s="66" t="s">
        <v>425</v>
      </c>
      <c r="E132" s="67" t="n">
        <v>131</v>
      </c>
    </row>
    <row r="133" customFormat="false" ht="13.8" hidden="false" customHeight="false" outlineLevel="0" collapsed="false">
      <c r="D133" s="66" t="s">
        <v>426</v>
      </c>
      <c r="E133" s="67" t="n">
        <v>132</v>
      </c>
    </row>
    <row r="134" customFormat="false" ht="13.8" hidden="false" customHeight="false" outlineLevel="0" collapsed="false">
      <c r="D134" s="66" t="s">
        <v>427</v>
      </c>
      <c r="E134" s="67" t="n">
        <v>133</v>
      </c>
    </row>
    <row r="135" customFormat="false" ht="13.8" hidden="false" customHeight="false" outlineLevel="0" collapsed="false">
      <c r="D135" s="66" t="s">
        <v>428</v>
      </c>
      <c r="E135" s="67" t="n">
        <v>134</v>
      </c>
    </row>
    <row r="136" customFormat="false" ht="13.8" hidden="false" customHeight="false" outlineLevel="0" collapsed="false">
      <c r="D136" s="66" t="s">
        <v>429</v>
      </c>
      <c r="E136" s="67" t="n">
        <v>135</v>
      </c>
    </row>
    <row r="137" customFormat="false" ht="13.8" hidden="false" customHeight="false" outlineLevel="0" collapsed="false">
      <c r="D137" s="66" t="s">
        <v>430</v>
      </c>
      <c r="E137" s="67" t="n">
        <v>136</v>
      </c>
    </row>
    <row r="138" customFormat="false" ht="13.8" hidden="false" customHeight="false" outlineLevel="0" collapsed="false">
      <c r="D138" s="66" t="s">
        <v>431</v>
      </c>
      <c r="E138" s="67" t="n">
        <v>137</v>
      </c>
    </row>
    <row r="139" customFormat="false" ht="13.8" hidden="false" customHeight="false" outlineLevel="0" collapsed="false">
      <c r="D139" s="66" t="s">
        <v>432</v>
      </c>
      <c r="E139" s="67" t="n">
        <v>138</v>
      </c>
    </row>
    <row r="140" customFormat="false" ht="13.8" hidden="false" customHeight="false" outlineLevel="0" collapsed="false">
      <c r="D140" s="66" t="s">
        <v>433</v>
      </c>
      <c r="E140" s="67" t="n">
        <v>139</v>
      </c>
    </row>
    <row r="141" customFormat="false" ht="13.8" hidden="false" customHeight="false" outlineLevel="0" collapsed="false">
      <c r="D141" s="66" t="s">
        <v>434</v>
      </c>
      <c r="E141" s="67" t="n">
        <v>140</v>
      </c>
    </row>
    <row r="142" customFormat="false" ht="13.8" hidden="false" customHeight="false" outlineLevel="0" collapsed="false">
      <c r="D142" s="66" t="s">
        <v>435</v>
      </c>
      <c r="E142" s="67" t="n">
        <v>141</v>
      </c>
    </row>
    <row r="143" customFormat="false" ht="13.8" hidden="false" customHeight="false" outlineLevel="0" collapsed="false">
      <c r="D143" s="66" t="s">
        <v>436</v>
      </c>
      <c r="E143" s="67" t="n">
        <v>142</v>
      </c>
    </row>
    <row r="144" customFormat="false" ht="13.8" hidden="false" customHeight="false" outlineLevel="0" collapsed="false">
      <c r="D144" s="66" t="s">
        <v>437</v>
      </c>
      <c r="E144" s="67" t="n">
        <v>143</v>
      </c>
    </row>
    <row r="145" customFormat="false" ht="13.8" hidden="false" customHeight="false" outlineLevel="0" collapsed="false">
      <c r="D145" s="66" t="s">
        <v>438</v>
      </c>
      <c r="E145" s="67" t="n">
        <v>144</v>
      </c>
    </row>
    <row r="146" customFormat="false" ht="13.8" hidden="false" customHeight="false" outlineLevel="0" collapsed="false">
      <c r="D146" s="66" t="s">
        <v>439</v>
      </c>
      <c r="E146" s="67" t="n">
        <v>145</v>
      </c>
    </row>
    <row r="147" customFormat="false" ht="13.8" hidden="false" customHeight="false" outlineLevel="0" collapsed="false">
      <c r="D147" s="66" t="s">
        <v>440</v>
      </c>
      <c r="E147" s="67" t="n">
        <v>146</v>
      </c>
    </row>
    <row r="148" customFormat="false" ht="13.8" hidden="false" customHeight="false" outlineLevel="0" collapsed="false">
      <c r="D148" s="66" t="s">
        <v>441</v>
      </c>
      <c r="E148" s="67" t="n">
        <v>147</v>
      </c>
    </row>
    <row r="149" customFormat="false" ht="13.8" hidden="false" customHeight="false" outlineLevel="0" collapsed="false">
      <c r="D149" s="66" t="s">
        <v>442</v>
      </c>
      <c r="E149" s="67" t="n">
        <v>148</v>
      </c>
    </row>
    <row r="150" customFormat="false" ht="13.8" hidden="false" customHeight="false" outlineLevel="0" collapsed="false">
      <c r="D150" s="66" t="s">
        <v>443</v>
      </c>
      <c r="E150" s="67" t="n">
        <v>149</v>
      </c>
    </row>
    <row r="151" customFormat="false" ht="13.8" hidden="false" customHeight="false" outlineLevel="0" collapsed="false">
      <c r="D151" s="66" t="s">
        <v>444</v>
      </c>
      <c r="E151" s="67" t="n">
        <v>150</v>
      </c>
    </row>
    <row r="152" customFormat="false" ht="13.8" hidden="false" customHeight="false" outlineLevel="0" collapsed="false">
      <c r="D152" s="66" t="s">
        <v>266</v>
      </c>
      <c r="E152" s="67" t="n">
        <v>151</v>
      </c>
    </row>
    <row r="153" customFormat="false" ht="13.8" hidden="false" customHeight="false" outlineLevel="0" collapsed="false">
      <c r="D153" s="66" t="s">
        <v>445</v>
      </c>
      <c r="E153" s="67" t="n">
        <v>152</v>
      </c>
    </row>
    <row r="154" customFormat="false" ht="13.8" hidden="false" customHeight="false" outlineLevel="0" collapsed="false">
      <c r="D154" s="66" t="s">
        <v>446</v>
      </c>
      <c r="E154" s="67" t="n">
        <v>153</v>
      </c>
    </row>
    <row r="155" customFormat="false" ht="13.8" hidden="false" customHeight="false" outlineLevel="0" collapsed="false">
      <c r="D155" s="66" t="s">
        <v>447</v>
      </c>
      <c r="E155" s="67" t="n">
        <v>154</v>
      </c>
    </row>
    <row r="156" customFormat="false" ht="13.8" hidden="false" customHeight="false" outlineLevel="0" collapsed="false">
      <c r="D156" s="66" t="s">
        <v>448</v>
      </c>
      <c r="E156" s="67" t="n">
        <v>155</v>
      </c>
    </row>
    <row r="157" customFormat="false" ht="13.8" hidden="false" customHeight="false" outlineLevel="0" collapsed="false">
      <c r="D157" s="66" t="s">
        <v>449</v>
      </c>
      <c r="E157" s="67" t="n">
        <v>156</v>
      </c>
    </row>
    <row r="158" customFormat="false" ht="13.8" hidden="false" customHeight="false" outlineLevel="0" collapsed="false">
      <c r="D158" s="66" t="s">
        <v>450</v>
      </c>
      <c r="E158" s="67" t="n">
        <v>157</v>
      </c>
    </row>
    <row r="159" customFormat="false" ht="13.8" hidden="false" customHeight="false" outlineLevel="0" collapsed="false">
      <c r="D159" s="66" t="s">
        <v>451</v>
      </c>
      <c r="E159" s="67" t="n">
        <v>158</v>
      </c>
    </row>
    <row r="160" customFormat="false" ht="13.8" hidden="false" customHeight="false" outlineLevel="0" collapsed="false">
      <c r="D160" s="66" t="s">
        <v>281</v>
      </c>
      <c r="E160" s="67" t="n">
        <v>159</v>
      </c>
    </row>
    <row r="161" customFormat="false" ht="13.8" hidden="false" customHeight="false" outlineLevel="0" collapsed="false">
      <c r="D161" s="66" t="s">
        <v>452</v>
      </c>
      <c r="E161" s="67" t="n">
        <v>160</v>
      </c>
    </row>
    <row r="162" customFormat="false" ht="13.8" hidden="false" customHeight="false" outlineLevel="0" collapsed="false">
      <c r="D162" s="66" t="s">
        <v>453</v>
      </c>
      <c r="E162" s="67" t="n">
        <v>161</v>
      </c>
    </row>
    <row r="163" customFormat="false" ht="13.8" hidden="false" customHeight="false" outlineLevel="0" collapsed="false">
      <c r="D163" s="66" t="s">
        <v>454</v>
      </c>
      <c r="E163" s="67" t="n">
        <v>162</v>
      </c>
    </row>
    <row r="164" customFormat="false" ht="13.8" hidden="false" customHeight="false" outlineLevel="0" collapsed="false">
      <c r="D164" s="66" t="s">
        <v>455</v>
      </c>
      <c r="E164" s="67" t="n">
        <v>163</v>
      </c>
    </row>
    <row r="165" customFormat="false" ht="13.8" hidden="false" customHeight="false" outlineLevel="0" collapsed="false">
      <c r="D165" s="66" t="s">
        <v>456</v>
      </c>
      <c r="E165" s="67" t="n">
        <v>164</v>
      </c>
    </row>
    <row r="166" customFormat="false" ht="13.8" hidden="false" customHeight="false" outlineLevel="0" collapsed="false">
      <c r="D166" s="66" t="s">
        <v>457</v>
      </c>
      <c r="E166" s="67" t="n">
        <v>165</v>
      </c>
    </row>
    <row r="167" customFormat="false" ht="13.8" hidden="false" customHeight="false" outlineLevel="0" collapsed="false">
      <c r="D167" s="66" t="s">
        <v>458</v>
      </c>
      <c r="E167" s="67" t="n">
        <v>166</v>
      </c>
    </row>
    <row r="168" customFormat="false" ht="13.8" hidden="false" customHeight="false" outlineLevel="0" collapsed="false">
      <c r="D168" s="66" t="s">
        <v>459</v>
      </c>
      <c r="E168" s="67" t="n">
        <v>167</v>
      </c>
    </row>
    <row r="169" customFormat="false" ht="13.8" hidden="false" customHeight="false" outlineLevel="0" collapsed="false">
      <c r="D169" s="66" t="s">
        <v>460</v>
      </c>
      <c r="E169" s="67" t="n">
        <v>168</v>
      </c>
    </row>
    <row r="170" customFormat="false" ht="13.8" hidden="false" customHeight="false" outlineLevel="0" collapsed="false">
      <c r="D170" s="66" t="s">
        <v>461</v>
      </c>
      <c r="E170" s="67" t="n">
        <v>169</v>
      </c>
    </row>
    <row r="171" customFormat="false" ht="13.8" hidden="false" customHeight="false" outlineLevel="0" collapsed="false">
      <c r="D171" s="66" t="s">
        <v>462</v>
      </c>
      <c r="E171" s="67" t="n">
        <v>170</v>
      </c>
    </row>
    <row r="172" customFormat="false" ht="13.8" hidden="false" customHeight="false" outlineLevel="0" collapsed="false">
      <c r="D172" s="66" t="s">
        <v>463</v>
      </c>
      <c r="E172" s="67" t="n">
        <v>171</v>
      </c>
    </row>
    <row r="173" customFormat="false" ht="13.8" hidden="false" customHeight="false" outlineLevel="0" collapsed="false">
      <c r="D173" s="66" t="s">
        <v>464</v>
      </c>
      <c r="E173" s="67" t="n">
        <v>172</v>
      </c>
    </row>
    <row r="174" customFormat="false" ht="13.8" hidden="false" customHeight="false" outlineLevel="0" collapsed="false">
      <c r="D174" s="66" t="s">
        <v>465</v>
      </c>
      <c r="E174" s="67" t="n">
        <v>173</v>
      </c>
    </row>
    <row r="175" customFormat="false" ht="13.8" hidden="false" customHeight="false" outlineLevel="0" collapsed="false">
      <c r="D175" s="66" t="s">
        <v>466</v>
      </c>
      <c r="E175" s="67" t="n">
        <v>174</v>
      </c>
    </row>
    <row r="176" customFormat="false" ht="13.8" hidden="false" customHeight="false" outlineLevel="0" collapsed="false">
      <c r="D176" s="66" t="s">
        <v>467</v>
      </c>
      <c r="E176" s="67" t="n">
        <v>175</v>
      </c>
    </row>
    <row r="177" customFormat="false" ht="13.8" hidden="false" customHeight="false" outlineLevel="0" collapsed="false">
      <c r="D177" s="66" t="s">
        <v>468</v>
      </c>
      <c r="E177" s="67" t="n">
        <v>176</v>
      </c>
    </row>
    <row r="178" customFormat="false" ht="13.8" hidden="false" customHeight="false" outlineLevel="0" collapsed="false">
      <c r="D178" s="66" t="s">
        <v>96</v>
      </c>
      <c r="E178" s="67" t="n">
        <v>177</v>
      </c>
    </row>
    <row r="179" customFormat="false" ht="13.8" hidden="false" customHeight="false" outlineLevel="0" collapsed="false">
      <c r="D179" s="66" t="s">
        <v>469</v>
      </c>
      <c r="E179" s="67" t="n">
        <v>178</v>
      </c>
    </row>
    <row r="180" customFormat="false" ht="13.8" hidden="false" customHeight="false" outlineLevel="0" collapsed="false">
      <c r="D180" s="66" t="s">
        <v>470</v>
      </c>
      <c r="E180" s="67" t="n">
        <v>179</v>
      </c>
    </row>
    <row r="181" customFormat="false" ht="13.8" hidden="false" customHeight="false" outlineLevel="0" collapsed="false">
      <c r="D181" s="66" t="s">
        <v>471</v>
      </c>
      <c r="E181" s="67" t="n">
        <v>180</v>
      </c>
    </row>
    <row r="182" customFormat="false" ht="13.8" hidden="false" customHeight="false" outlineLevel="0" collapsed="false">
      <c r="D182" s="66" t="s">
        <v>472</v>
      </c>
      <c r="E182" s="67" t="n">
        <v>181</v>
      </c>
    </row>
    <row r="183" customFormat="false" ht="13.8" hidden="false" customHeight="false" outlineLevel="0" collapsed="false">
      <c r="D183" s="66" t="s">
        <v>473</v>
      </c>
      <c r="E183" s="67" t="n">
        <v>182</v>
      </c>
    </row>
    <row r="184" customFormat="false" ht="13.8" hidden="false" customHeight="false" outlineLevel="0" collapsed="false">
      <c r="D184" s="66" t="s">
        <v>474</v>
      </c>
      <c r="E184" s="67" t="n">
        <v>183</v>
      </c>
    </row>
    <row r="185" customFormat="false" ht="13.8" hidden="false" customHeight="false" outlineLevel="0" collapsed="false">
      <c r="D185" s="66" t="s">
        <v>475</v>
      </c>
      <c r="E185" s="67" t="n">
        <v>184</v>
      </c>
    </row>
    <row r="186" customFormat="false" ht="13.8" hidden="false" customHeight="false" outlineLevel="0" collapsed="false">
      <c r="D186" s="66" t="s">
        <v>476</v>
      </c>
      <c r="E186" s="67" t="n">
        <v>185</v>
      </c>
    </row>
    <row r="187" customFormat="false" ht="13.8" hidden="false" customHeight="false" outlineLevel="0" collapsed="false">
      <c r="D187" s="66" t="s">
        <v>477</v>
      </c>
      <c r="E187" s="67" t="n">
        <v>186</v>
      </c>
    </row>
    <row r="188" customFormat="false" ht="13.8" hidden="false" customHeight="false" outlineLevel="0" collapsed="false">
      <c r="D188" s="66" t="s">
        <v>44</v>
      </c>
      <c r="E188" s="67" t="n">
        <v>187</v>
      </c>
    </row>
    <row r="189" customFormat="false" ht="13.8" hidden="false" customHeight="false" outlineLevel="0" collapsed="false">
      <c r="D189" s="66" t="s">
        <v>478</v>
      </c>
      <c r="E189" s="67" t="n">
        <v>188</v>
      </c>
    </row>
    <row r="190" customFormat="false" ht="13.8" hidden="false" customHeight="false" outlineLevel="0" collapsed="false">
      <c r="D190" s="66" t="s">
        <v>479</v>
      </c>
      <c r="E190" s="67" t="n">
        <v>189</v>
      </c>
    </row>
    <row r="191" customFormat="false" ht="13.8" hidden="false" customHeight="false" outlineLevel="0" collapsed="false">
      <c r="D191" s="66" t="s">
        <v>480</v>
      </c>
      <c r="E191" s="67" t="n">
        <v>190</v>
      </c>
    </row>
    <row r="192" customFormat="false" ht="13.8" hidden="false" customHeight="false" outlineLevel="0" collapsed="false">
      <c r="D192" s="66" t="s">
        <v>481</v>
      </c>
      <c r="E192" s="67" t="n">
        <v>191</v>
      </c>
    </row>
    <row r="193" customFormat="false" ht="13.8" hidden="false" customHeight="false" outlineLevel="0" collapsed="false">
      <c r="D193" s="66" t="s">
        <v>482</v>
      </c>
      <c r="E193" s="67" t="n">
        <v>192</v>
      </c>
    </row>
    <row r="194" customFormat="false" ht="13.8" hidden="false" customHeight="false" outlineLevel="0" collapsed="false">
      <c r="D194" s="66" t="s">
        <v>483</v>
      </c>
      <c r="E194" s="67" t="n">
        <v>193</v>
      </c>
    </row>
    <row r="195" customFormat="false" ht="13.8" hidden="false" customHeight="false" outlineLevel="0" collapsed="false">
      <c r="D195" s="66" t="s">
        <v>484</v>
      </c>
      <c r="E195" s="67" t="n">
        <v>194</v>
      </c>
    </row>
    <row r="196" customFormat="false" ht="13.8" hidden="false" customHeight="false" outlineLevel="0" collapsed="false">
      <c r="D196" s="66" t="s">
        <v>485</v>
      </c>
      <c r="E196" s="67" t="n">
        <v>195</v>
      </c>
    </row>
    <row r="197" customFormat="false" ht="13.8" hidden="false" customHeight="false" outlineLevel="0" collapsed="false">
      <c r="D197" s="66" t="s">
        <v>486</v>
      </c>
      <c r="E197" s="67" t="n">
        <v>196</v>
      </c>
    </row>
    <row r="198" customFormat="false" ht="13.8" hidden="false" customHeight="false" outlineLevel="0" collapsed="false">
      <c r="D198" s="66" t="s">
        <v>487</v>
      </c>
      <c r="E198" s="67" t="n">
        <v>197</v>
      </c>
    </row>
    <row r="199" customFormat="false" ht="13.8" hidden="false" customHeight="false" outlineLevel="0" collapsed="false">
      <c r="D199" s="66" t="s">
        <v>488</v>
      </c>
      <c r="E199" s="67" t="n">
        <v>198</v>
      </c>
    </row>
    <row r="200" customFormat="false" ht="13.8" hidden="false" customHeight="false" outlineLevel="0" collapsed="false">
      <c r="D200" s="66" t="s">
        <v>359</v>
      </c>
      <c r="E200" s="67" t="n">
        <v>199</v>
      </c>
    </row>
    <row r="201" customFormat="false" ht="13.8" hidden="false" customHeight="false" outlineLevel="0" collapsed="false">
      <c r="D201" s="66" t="s">
        <v>489</v>
      </c>
      <c r="E201" s="67" t="n">
        <v>200</v>
      </c>
    </row>
    <row r="202" customFormat="false" ht="13.8" hidden="false" customHeight="false" outlineLevel="0" collapsed="false">
      <c r="D202" s="66" t="s">
        <v>490</v>
      </c>
      <c r="E202" s="67" t="n">
        <v>201</v>
      </c>
    </row>
    <row r="203" customFormat="false" ht="13.8" hidden="false" customHeight="false" outlineLevel="0" collapsed="false">
      <c r="D203" s="74" t="s">
        <v>491</v>
      </c>
      <c r="E203" s="75" t="n">
        <v>202</v>
      </c>
    </row>
    <row r="204" customFormat="false" ht="13.8" hidden="false" customHeight="false" outlineLevel="0" collapsed="false">
      <c r="D204" s="59" t="s">
        <v>492</v>
      </c>
      <c r="E204" s="60" t="n">
        <v>203</v>
      </c>
    </row>
    <row r="205" customFormat="false" ht="13.8" hidden="false" customHeight="false" outlineLevel="0" collapsed="false">
      <c r="D205" s="59" t="s">
        <v>493</v>
      </c>
      <c r="E205" s="60" t="n">
        <v>204</v>
      </c>
    </row>
    <row r="206" customFormat="false" ht="13.8" hidden="false" customHeight="false" outlineLevel="0" collapsed="false">
      <c r="D206" s="59" t="s">
        <v>494</v>
      </c>
      <c r="E206" s="60" t="n">
        <v>205</v>
      </c>
    </row>
    <row r="207" customFormat="false" ht="13.8" hidden="false" customHeight="false" outlineLevel="0" collapsed="false">
      <c r="D207" s="76" t="s">
        <v>495</v>
      </c>
      <c r="E207" s="60" t="n">
        <v>206</v>
      </c>
    </row>
    <row r="208" customFormat="false" ht="13.8" hidden="false" customHeight="false" outlineLevel="0" collapsed="false">
      <c r="D208" s="76" t="s">
        <v>496</v>
      </c>
      <c r="E208" s="60" t="n">
        <v>207</v>
      </c>
    </row>
    <row r="209" customFormat="false" ht="15" hidden="false" customHeight="false" outlineLevel="0" collapsed="false">
      <c r="D209" s="43" t="s">
        <v>497</v>
      </c>
      <c r="E209" s="60" t="n">
        <v>208</v>
      </c>
    </row>
    <row r="210" customFormat="false" ht="14.95" hidden="false" customHeight="false" outlineLevel="0" collapsed="false">
      <c r="D210" s="59" t="s">
        <v>498</v>
      </c>
      <c r="E210" s="77" t="n">
        <v>209</v>
      </c>
    </row>
    <row r="211" customFormat="false" ht="13.8" hidden="false" customHeight="false" outlineLevel="0" collapsed="false">
      <c r="D211" s="59" t="s">
        <v>499</v>
      </c>
      <c r="E211" s="60" t="n">
        <v>210</v>
      </c>
    </row>
    <row r="212" customFormat="false" ht="13.8" hidden="false" customHeight="false" outlineLevel="0" collapsed="false">
      <c r="D212" s="59" t="s">
        <v>500</v>
      </c>
      <c r="E212" s="60" t="n">
        <v>211</v>
      </c>
    </row>
    <row r="213" customFormat="false" ht="13.8" hidden="false" customHeight="false" outlineLevel="0" collapsed="false">
      <c r="D213" s="59" t="s">
        <v>501</v>
      </c>
      <c r="E213" s="60" t="n">
        <v>212</v>
      </c>
    </row>
    <row r="214" customFormat="false" ht="13.8" hidden="false" customHeight="false" outlineLevel="0" collapsed="false">
      <c r="D214" s="59" t="s">
        <v>502</v>
      </c>
      <c r="E214" s="60" t="n">
        <v>213</v>
      </c>
    </row>
    <row r="215" customFormat="false" ht="13.8" hidden="false" customHeight="false" outlineLevel="0" collapsed="false">
      <c r="D215" s="59" t="s">
        <v>503</v>
      </c>
      <c r="E215" s="60" t="n">
        <v>214</v>
      </c>
    </row>
    <row r="216" customFormat="false" ht="13.8" hidden="false" customHeight="false" outlineLevel="0" collapsed="false">
      <c r="D216" s="59" t="s">
        <v>504</v>
      </c>
      <c r="E216" s="60" t="n">
        <v>215</v>
      </c>
    </row>
    <row r="217" customFormat="false" ht="13.8" hidden="false" customHeight="false" outlineLevel="0" collapsed="false">
      <c r="D217" s="59" t="s">
        <v>92</v>
      </c>
      <c r="E217" s="60" t="n">
        <v>216</v>
      </c>
    </row>
    <row r="218" customFormat="false" ht="13.8" hidden="false" customHeight="false" outlineLevel="0" collapsed="false">
      <c r="D218" s="59" t="s">
        <v>51</v>
      </c>
      <c r="E218" s="60" t="n">
        <v>217</v>
      </c>
    </row>
    <row r="219" customFormat="false" ht="13.8" hidden="false" customHeight="false" outlineLevel="0" collapsed="false">
      <c r="D219" s="59" t="s">
        <v>505</v>
      </c>
      <c r="E219" s="60" t="n">
        <v>218</v>
      </c>
    </row>
    <row r="220" customFormat="false" ht="13.8" hidden="false" customHeight="false" outlineLevel="0" collapsed="false">
      <c r="D220" s="59" t="s">
        <v>506</v>
      </c>
      <c r="E220" s="60" t="n">
        <v>219</v>
      </c>
    </row>
    <row r="221" customFormat="false" ht="15" hidden="false" customHeight="false" outlineLevel="0" collapsed="false">
      <c r="D221" s="78" t="s">
        <v>507</v>
      </c>
      <c r="E221" s="60" t="n">
        <v>220</v>
      </c>
    </row>
    <row r="222" customFormat="false" ht="13.8" hidden="false" customHeight="false" outlineLevel="0" collapsed="false">
      <c r="D222" s="59" t="s">
        <v>508</v>
      </c>
      <c r="E222" s="60" t="n">
        <v>221</v>
      </c>
    </row>
    <row r="223" customFormat="false" ht="13.8" hidden="false" customHeight="false" outlineLevel="0" collapsed="false">
      <c r="D223" s="79" t="s">
        <v>509</v>
      </c>
      <c r="E223" s="60" t="n">
        <v>222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445"/>
  <sheetViews>
    <sheetView showFormulas="false" showGridLines="true" showRowColHeaders="true" showZeros="true" rightToLeft="false" tabSelected="false" showOutlineSymbols="true" defaultGridColor="true" view="normal" topLeftCell="F1344" colorId="64" zoomScale="85" zoomScaleNormal="85" zoomScalePageLayoutView="100" workbookViewId="0">
      <selection pane="topLeft" activeCell="I1361" activeCellId="0" sqref="I1361"/>
    </sheetView>
  </sheetViews>
  <sheetFormatPr defaultRowHeight="13.8" outlineLevelRow="0" outlineLevelCol="0"/>
  <cols>
    <col collapsed="false" customWidth="true" hidden="false" outlineLevel="0" max="1" min="1" style="0" width="5.75"/>
    <col collapsed="false" customWidth="true" hidden="false" outlineLevel="0" max="6" min="2" style="0" width="10.19"/>
    <col collapsed="false" customWidth="true" hidden="false" outlineLevel="0" max="7" min="7" style="80" width="6.47"/>
    <col collapsed="false" customWidth="true" hidden="false" outlineLevel="0" max="8" min="8" style="81" width="20"/>
    <col collapsed="false" customWidth="true" hidden="false" outlineLevel="0" max="9" min="9" style="82" width="14.26"/>
    <col collapsed="false" customWidth="true" hidden="false" outlineLevel="0" max="10" min="10" style="83" width="27.49"/>
    <col collapsed="false" customWidth="true" hidden="false" outlineLevel="0" max="11" min="11" style="61" width="5.88"/>
    <col collapsed="false" customWidth="true" hidden="false" outlineLevel="0" max="12" min="12" style="61" width="9.51"/>
    <col collapsed="false" customWidth="true" hidden="false" outlineLevel="0" max="13" min="13" style="61" width="7.38"/>
    <col collapsed="false" customWidth="true" hidden="false" outlineLevel="0" max="14" min="14" style="61" width="6.25"/>
    <col collapsed="false" customWidth="true" hidden="false" outlineLevel="0" max="16" min="15" style="61" width="6.62"/>
    <col collapsed="false" customWidth="true" hidden="false" outlineLevel="0" max="17" min="17" style="84" width="28.25"/>
    <col collapsed="false" customWidth="true" hidden="false" outlineLevel="0" max="18" min="18" style="82" width="18.13"/>
    <col collapsed="false" customWidth="true" hidden="false" outlineLevel="0" max="20" min="19" style="81" width="9.13"/>
    <col collapsed="false" customWidth="true" hidden="false" outlineLevel="0" max="21" min="21" style="81" width="11.87"/>
    <col collapsed="false" customWidth="true" hidden="false" outlineLevel="0" max="22" min="22" style="81" width="14.26"/>
    <col collapsed="false" customWidth="true" hidden="false" outlineLevel="0" max="24" min="23" style="81" width="24"/>
    <col collapsed="false" customWidth="true" hidden="false" outlineLevel="0" max="25" min="25" style="81" width="17.62"/>
    <col collapsed="false" customWidth="true" hidden="false" outlineLevel="0" max="26" min="26" style="81" width="6.62"/>
    <col collapsed="false" customWidth="true" hidden="false" outlineLevel="0" max="27" min="27" style="61" width="20.14"/>
    <col collapsed="false" customWidth="true" hidden="false" outlineLevel="0" max="29" min="28" style="61" width="9.13"/>
    <col collapsed="false" customWidth="true" hidden="false" outlineLevel="0" max="30" min="30" style="61" width="7.57"/>
    <col collapsed="false" customWidth="true" hidden="false" outlineLevel="0" max="31" min="31" style="61" width="9.13"/>
    <col collapsed="false" customWidth="true" hidden="false" outlineLevel="0" max="32" min="32" style="61" width="12.12"/>
    <col collapsed="false" customWidth="true" hidden="false" outlineLevel="0" max="35" min="33" style="61" width="9.13"/>
    <col collapsed="false" customWidth="true" hidden="false" outlineLevel="0" max="36" min="36" style="61" width="25.38"/>
    <col collapsed="false" customWidth="true" hidden="false" outlineLevel="0" max="37" min="37" style="61" width="9.13"/>
    <col collapsed="false" customWidth="true" hidden="false" outlineLevel="0" max="38" min="38" style="61" width="18.32"/>
    <col collapsed="false" customWidth="true" hidden="false" outlineLevel="0" max="1023" min="39" style="81" width="9.13"/>
    <col collapsed="false" customWidth="true" hidden="false" outlineLevel="0" max="1025" min="1024" style="0" width="9.13"/>
  </cols>
  <sheetData>
    <row r="1" customFormat="false" ht="28.35" hidden="false" customHeight="false" outlineLevel="0" collapsed="false">
      <c r="G1" s="80" t="n">
        <v>1</v>
      </c>
      <c r="J1" s="85"/>
      <c r="K1" s="84"/>
      <c r="L1" s="86" t="s">
        <v>510</v>
      </c>
      <c r="M1" s="84"/>
      <c r="N1" s="84" t="s">
        <v>511</v>
      </c>
      <c r="O1" s="84"/>
      <c r="P1" s="84" t="s">
        <v>512</v>
      </c>
      <c r="R1" s="87"/>
      <c r="AB1" s="61" t="str">
        <f aca="false">"'"&amp;AA7&amp;"'"</f>
        <v>'3.42'</v>
      </c>
    </row>
    <row r="2" customFormat="false" ht="13.8" hidden="false" customHeight="false" outlineLevel="0" collapsed="false">
      <c r="G2" s="80" t="n">
        <v>2</v>
      </c>
      <c r="J2" s="85"/>
      <c r="L2" s="61" t="s">
        <v>7</v>
      </c>
      <c r="N2" s="61" t="s">
        <v>13</v>
      </c>
      <c r="P2" s="61" t="s">
        <v>107</v>
      </c>
      <c r="R2" s="87"/>
      <c r="AF2" s="61" t="s">
        <v>513</v>
      </c>
    </row>
    <row r="3" customFormat="false" ht="13.8" hidden="false" customHeight="false" outlineLevel="0" collapsed="false">
      <c r="G3" s="80" t="n">
        <v>3</v>
      </c>
      <c r="J3" s="85"/>
      <c r="N3" s="61" t="s">
        <v>514</v>
      </c>
      <c r="R3" s="87"/>
    </row>
    <row r="4" customFormat="false" ht="13.8" hidden="false" customHeight="false" outlineLevel="0" collapsed="false">
      <c r="G4" s="80" t="n">
        <v>4</v>
      </c>
      <c r="J4" s="85"/>
      <c r="N4" s="61" t="s">
        <v>515</v>
      </c>
      <c r="R4" s="87"/>
    </row>
    <row r="5" customFormat="false" ht="13.8" hidden="false" customHeight="false" outlineLevel="0" collapsed="false">
      <c r="G5" s="80" t="n">
        <v>5</v>
      </c>
      <c r="J5" s="85"/>
      <c r="R5" s="87"/>
      <c r="AM5" s="81" t="s">
        <v>516</v>
      </c>
    </row>
    <row r="6" customFormat="false" ht="41.75" hidden="false" customHeight="false" outlineLevel="0" collapsed="false">
      <c r="G6" s="80" t="n">
        <v>6</v>
      </c>
      <c r="H6" s="88" t="s">
        <v>517</v>
      </c>
      <c r="I6" s="89" t="s">
        <v>518</v>
      </c>
      <c r="J6" s="88" t="s">
        <v>519</v>
      </c>
      <c r="K6" s="90" t="s">
        <v>520</v>
      </c>
      <c r="L6" s="90" t="s">
        <v>510</v>
      </c>
      <c r="M6" s="90" t="s">
        <v>521</v>
      </c>
      <c r="N6" s="90" t="s">
        <v>511</v>
      </c>
      <c r="O6" s="90" t="s">
        <v>522</v>
      </c>
      <c r="P6" s="90" t="s">
        <v>512</v>
      </c>
      <c r="Q6" s="90" t="s">
        <v>523</v>
      </c>
      <c r="R6" s="82" t="e">
        <f aca="false">VLOOKUP(J6,ingredient!$N$4:$O$553,2,0)</f>
        <v>#N/A</v>
      </c>
      <c r="U6" s="89" t="s">
        <v>518</v>
      </c>
      <c r="V6" s="89"/>
      <c r="W6" s="89"/>
      <c r="X6" s="89" t="s">
        <v>519</v>
      </c>
      <c r="Y6" s="89" t="s">
        <v>99</v>
      </c>
      <c r="Z6" s="89"/>
      <c r="AA6" s="90" t="s">
        <v>520</v>
      </c>
      <c r="AB6" s="90" t="s">
        <v>510</v>
      </c>
      <c r="AC6" s="90" t="s">
        <v>524</v>
      </c>
      <c r="AD6" s="90" t="s">
        <v>521</v>
      </c>
      <c r="AE6" s="90" t="s">
        <v>511</v>
      </c>
      <c r="AF6" s="90" t="s">
        <v>524</v>
      </c>
      <c r="AG6" s="90" t="s">
        <v>522</v>
      </c>
      <c r="AH6" s="90" t="s">
        <v>512</v>
      </c>
      <c r="AI6" s="90" t="s">
        <v>524</v>
      </c>
      <c r="AJ6" s="91" t="s">
        <v>523</v>
      </c>
      <c r="AK6" s="91" t="n">
        <v>6</v>
      </c>
      <c r="AL6" s="91"/>
      <c r="AM6" s="81" t="s">
        <v>516</v>
      </c>
    </row>
    <row r="7" customFormat="false" ht="15" hidden="false" customHeight="false" outlineLevel="0" collapsed="false">
      <c r="G7" s="80" t="n">
        <v>7</v>
      </c>
      <c r="H7" s="92" t="s">
        <v>6</v>
      </c>
      <c r="I7" s="61" t="s">
        <v>1</v>
      </c>
      <c r="J7" s="16" t="s">
        <v>6</v>
      </c>
      <c r="K7" s="93" t="n">
        <v>3.42</v>
      </c>
      <c r="L7" s="93" t="s">
        <v>7</v>
      </c>
      <c r="R7" s="82" t="str">
        <f aca="false">VLOOKUP(J7,ingredient!$N$4:$O$553,2,0)</f>
        <v>varai</v>
      </c>
      <c r="U7" s="81" t="str">
        <f aca="false">I7</f>
        <v>Varai Khichdi</v>
      </c>
      <c r="V7" s="81" t="n">
        <f aca="false">VLOOKUP(U7,recipe_ingred_list!$A$2:$B$300,2,0)</f>
        <v>1</v>
      </c>
      <c r="W7" s="81" t="str">
        <f aca="false">"/recipes/"&amp;VLOOKUP(U7,recipe_ingred_list!$A$2:$C$300,3,0)&amp;"/detail/"</f>
        <v>/recipes/varai-khichdi/detail/</v>
      </c>
      <c r="X7" s="81" t="str">
        <f aca="false">J7</f>
        <v>Varai rice</v>
      </c>
      <c r="Y7" s="81" t="str">
        <f aca="false">R7</f>
        <v>varai</v>
      </c>
      <c r="Z7" s="94" t="n">
        <f aca="false">VLOOKUP(Y7,recipe_ingred_list!$D$2:$E$500,2,0)</f>
        <v>201</v>
      </c>
      <c r="AA7" s="61" t="n">
        <f aca="false">K7</f>
        <v>3.42</v>
      </c>
      <c r="AB7" s="61" t="str">
        <f aca="false">L7</f>
        <v>kg</v>
      </c>
      <c r="AC7" s="61" t="n">
        <f aca="false">VLOOKUP(AB7,recipe_ingred_list!$K$2:$M$7,3,0)</f>
        <v>2</v>
      </c>
      <c r="AD7" s="61" t="n">
        <f aca="false">M7</f>
        <v>0</v>
      </c>
      <c r="AE7" s="61" t="n">
        <f aca="false">N7</f>
        <v>0</v>
      </c>
      <c r="AF7" s="61" t="n">
        <f aca="false">VLOOKUP(AE7,recipe_ingred_list!$K$16:$M$25,3,0)</f>
        <v>1</v>
      </c>
      <c r="AG7" s="61" t="n">
        <f aca="false">O7</f>
        <v>0</v>
      </c>
      <c r="AH7" s="61" t="n">
        <f aca="false">P7</f>
        <v>0</v>
      </c>
      <c r="AI7" s="61" t="n">
        <f aca="false">VLOOKUP(AH7,recipe_ingred_list!$K$29:$M$34,3,0)</f>
        <v>3</v>
      </c>
      <c r="AJ7" s="61" t="str">
        <f aca="false">IF(Q7="","",Q7)</f>
        <v/>
      </c>
      <c r="AK7" s="61" t="n">
        <f aca="false">AK6+1</f>
        <v>7</v>
      </c>
      <c r="AL7" s="61" t="str">
        <f aca="false">Y7</f>
        <v>varai</v>
      </c>
      <c r="AM7" s="81" t="str">
        <f aca="false">"a = Client().post('"&amp;W7&amp;"', {'recipe' : '"&amp;V7&amp;"', 'ingredient' : '"&amp;Z7&amp;"', 'name' : '"&amp;X7&amp;"', 'mass_unit' : '"&amp;AC7&amp;"', 'mass_quantity' : '"&amp;ROUND(AA7,3)&amp;"', 'volume_unit' : '"&amp;AF7&amp;"', 'volume_quantity' : '"&amp;ROUND(AD7,3)&amp;"', 'pieces_unit' : '"&amp;AI7&amp;"', 'pieces_quantity' : '"&amp;ROUND(AG7,3)&amp;"', 'cooking_notes' : '"&amp;AJ7&amp;"'}).status_code; print('%s :: %s :: %s :: %s :: %s' %(a,"&amp;G7&amp;",'"&amp;X7&amp;"','"&amp;Y7&amp;"','"&amp;U7&amp;"'))"</f>
        <v>a = Client().post('/recipes/varai-khichdi/detail/', {'recipe' : '1', 'ingredient' : '201', 'name' : 'Varai rice', 'mass_unit' : '2', 'mass_quantity' : '3.42', 'volume_unit' : '1', 'volume_quantity' : '0', 'pieces_unit' : '3', 'pieces_quantity' : '0', 'cooking_notes' : ''}).status_code; print('%s :: %s :: %s :: %s :: %s' %(a,7,'Varai rice','varai','Varai Khichdi'))</v>
      </c>
    </row>
    <row r="8" customFormat="false" ht="15" hidden="false" customHeight="false" outlineLevel="0" collapsed="false">
      <c r="G8" s="80" t="n">
        <v>8</v>
      </c>
      <c r="H8" s="92" t="s">
        <v>8</v>
      </c>
      <c r="I8" s="61" t="s">
        <v>1</v>
      </c>
      <c r="J8" s="16" t="s">
        <v>8</v>
      </c>
      <c r="K8" s="93" t="n">
        <v>2.91666666666667</v>
      </c>
      <c r="L8" s="93" t="s">
        <v>7</v>
      </c>
      <c r="R8" s="82" t="str">
        <f aca="false">VLOOKUP(J8,ingredient!$N$4:$O$553,2,0)</f>
        <v>bhopla</v>
      </c>
      <c r="U8" s="81" t="str">
        <f aca="false">I8</f>
        <v>Varai Khichdi</v>
      </c>
      <c r="V8" s="81" t="n">
        <f aca="false">VLOOKUP(U8,recipe_ingred_list!$A$2:$B$300,2,0)</f>
        <v>1</v>
      </c>
      <c r="W8" s="81" t="str">
        <f aca="false">"/recipes/"&amp;VLOOKUP(U8,recipe_ingred_list!$A$2:$C$300,3,0)&amp;"/detail/"</f>
        <v>/recipes/varai-khichdi/detail/</v>
      </c>
      <c r="X8" s="81" t="str">
        <f aca="false">J8</f>
        <v>Bhopla</v>
      </c>
      <c r="Y8" s="81" t="str">
        <f aca="false">R8</f>
        <v>bhopla</v>
      </c>
      <c r="Z8" s="94" t="n">
        <f aca="false">VLOOKUP(Y8,recipe_ingred_list!$D$2:$E$500,2,0)</f>
        <v>30</v>
      </c>
      <c r="AA8" s="61" t="n">
        <f aca="false">K8</f>
        <v>2.91666666666667</v>
      </c>
      <c r="AB8" s="61" t="str">
        <f aca="false">L8</f>
        <v>kg</v>
      </c>
      <c r="AC8" s="61" t="n">
        <f aca="false">VLOOKUP(AB8,recipe_ingred_list!$K$2:$M$7,3,0)</f>
        <v>2</v>
      </c>
      <c r="AD8" s="61" t="n">
        <f aca="false">M8</f>
        <v>0</v>
      </c>
      <c r="AE8" s="61" t="n">
        <f aca="false">N8</f>
        <v>0</v>
      </c>
      <c r="AF8" s="61" t="n">
        <f aca="false">VLOOKUP(AE8,recipe_ingred_list!$K$16:$M$25,3,0)</f>
        <v>1</v>
      </c>
      <c r="AG8" s="61" t="n">
        <f aca="false">O8</f>
        <v>0</v>
      </c>
      <c r="AH8" s="61" t="n">
        <f aca="false">P8</f>
        <v>0</v>
      </c>
      <c r="AI8" s="61" t="n">
        <f aca="false">VLOOKUP(AH8,recipe_ingred_list!$K$29:$M$34,3,0)</f>
        <v>3</v>
      </c>
      <c r="AJ8" s="61" t="str">
        <f aca="false">IF(Q8="","",Q8)</f>
        <v/>
      </c>
      <c r="AK8" s="61" t="n">
        <f aca="false">AK7+1</f>
        <v>8</v>
      </c>
      <c r="AL8" s="61" t="str">
        <f aca="false">Y8</f>
        <v>bhopla</v>
      </c>
      <c r="AM8" s="81" t="str">
        <f aca="false">"a = Client().post('"&amp;W8&amp;"', {'recipe' : '"&amp;V8&amp;"', 'ingredient' : '"&amp;Z8&amp;"', 'name' : '"&amp;X8&amp;"', 'mass_unit' : '"&amp;AC8&amp;"', 'mass_quantity' : '"&amp;ROUND(AA8,3)&amp;"', 'volume_unit' : '"&amp;AF8&amp;"', 'volume_quantity' : '"&amp;ROUND(AD8,3)&amp;"', 'pieces_unit' : '"&amp;AI8&amp;"', 'pieces_quantity' : '"&amp;ROUND(AG8,3)&amp;"', 'cooking_notes' : '"&amp;AJ8&amp;"'}).status_code; print('%s :: %s :: %s :: %s :: %s' %(a,"&amp;G8&amp;",'"&amp;X8&amp;"','"&amp;Y8&amp;"','"&amp;U8&amp;"'))"</f>
        <v>a = Client().post('/recipes/varai-khichdi/detail/', {'recipe' : '1', 'ingredient' : '30', 'name' : 'Bhopla', 'mass_unit' : '2', 'mass_quantity' : '2.917', 'volume_unit' : '1', 'volume_quantity' : '0', 'pieces_unit' : '3', 'pieces_quantity' : '0', 'cooking_notes' : ''}).status_code; print('%s :: %s :: %s :: %s :: %s' %(a,8,'Bhopla','bhopla','Varai Khichdi'))</v>
      </c>
    </row>
    <row r="9" customFormat="false" ht="15" hidden="false" customHeight="false" outlineLevel="0" collapsed="false">
      <c r="G9" s="80" t="n">
        <v>9</v>
      </c>
      <c r="H9" s="95" t="s">
        <v>9</v>
      </c>
      <c r="I9" s="61" t="s">
        <v>1</v>
      </c>
      <c r="J9" s="11" t="s">
        <v>9</v>
      </c>
      <c r="K9" s="96" t="n">
        <v>2.91666666666667</v>
      </c>
      <c r="L9" s="96" t="s">
        <v>7</v>
      </c>
      <c r="R9" s="82" t="str">
        <f aca="false">VLOOKUP(J9,ingredient!$N$4:$O$553,2,0)</f>
        <v>dudhi</v>
      </c>
      <c r="U9" s="81" t="str">
        <f aca="false">I9</f>
        <v>Varai Khichdi</v>
      </c>
      <c r="V9" s="81" t="n">
        <f aca="false">VLOOKUP(U9,recipe_ingred_list!$A$2:$B$300,2,0)</f>
        <v>1</v>
      </c>
      <c r="W9" s="81" t="str">
        <f aca="false">"/recipes/"&amp;VLOOKUP(U9,recipe_ingred_list!$A$2:$C$300,3,0)&amp;"/detail/"</f>
        <v>/recipes/varai-khichdi/detail/</v>
      </c>
      <c r="X9" s="81" t="str">
        <f aca="false">J9</f>
        <v>Dudhi</v>
      </c>
      <c r="Y9" s="81" t="str">
        <f aca="false">R9</f>
        <v>dudhi</v>
      </c>
      <c r="Z9" s="94" t="n">
        <f aca="false">VLOOKUP(Y9,recipe_ingred_list!$D$2:$E$500,2,0)</f>
        <v>69</v>
      </c>
      <c r="AA9" s="61" t="n">
        <f aca="false">K9</f>
        <v>2.91666666666667</v>
      </c>
      <c r="AB9" s="61" t="str">
        <f aca="false">L9</f>
        <v>kg</v>
      </c>
      <c r="AC9" s="61" t="n">
        <f aca="false">VLOOKUP(AB9,recipe_ingred_list!$K$2:$M$7,3,0)</f>
        <v>2</v>
      </c>
      <c r="AD9" s="61" t="n">
        <f aca="false">M9</f>
        <v>0</v>
      </c>
      <c r="AE9" s="61" t="n">
        <f aca="false">N9</f>
        <v>0</v>
      </c>
      <c r="AF9" s="61" t="n">
        <f aca="false">VLOOKUP(AE9,recipe_ingred_list!$K$16:$M$25,3,0)</f>
        <v>1</v>
      </c>
      <c r="AG9" s="61" t="n">
        <f aca="false">O9</f>
        <v>0</v>
      </c>
      <c r="AH9" s="61" t="n">
        <f aca="false">P9</f>
        <v>0</v>
      </c>
      <c r="AI9" s="61" t="n">
        <f aca="false">VLOOKUP(AH9,recipe_ingred_list!$K$29:$M$34,3,0)</f>
        <v>3</v>
      </c>
      <c r="AJ9" s="61" t="str">
        <f aca="false">IF(Q9="","",Q9)</f>
        <v/>
      </c>
      <c r="AK9" s="61" t="n">
        <f aca="false">AK8+1</f>
        <v>9</v>
      </c>
      <c r="AL9" s="61" t="str">
        <f aca="false">Y9</f>
        <v>dudhi</v>
      </c>
      <c r="AM9" s="81" t="str">
        <f aca="false">"a = Client().post('"&amp;W9&amp;"', {'recipe' : '"&amp;V9&amp;"', 'ingredient' : '"&amp;Z9&amp;"', 'name' : '"&amp;X9&amp;"', 'mass_unit' : '"&amp;AC9&amp;"', 'mass_quantity' : '"&amp;ROUND(AA9,3)&amp;"', 'volume_unit' : '"&amp;AF9&amp;"', 'volume_quantity' : '"&amp;ROUND(AD9,3)&amp;"', 'pieces_unit' : '"&amp;AI9&amp;"', 'pieces_quantity' : '"&amp;ROUND(AG9,3)&amp;"', 'cooking_notes' : '"&amp;AJ9&amp;"'}).status_code; print('%s :: %s :: %s :: %s :: %s' %(a,"&amp;G9&amp;",'"&amp;X9&amp;"','"&amp;Y9&amp;"','"&amp;U9&amp;"'))"</f>
        <v>a = Client().post('/recipes/varai-khichdi/detail/', {'recipe' : '1', 'ingredient' : '69', 'name' : 'Dudhi', 'mass_unit' : '2', 'mass_quantity' : '2.917', 'volume_unit' : '1', 'volume_quantity' : '0', 'pieces_unit' : '3', 'pieces_quantity' : '0', 'cooking_notes' : ''}).status_code; print('%s :: %s :: %s :: %s :: %s' %(a,9,'Dudhi','dudhi','Varai Khichdi'))</v>
      </c>
    </row>
    <row r="10" customFormat="false" ht="15" hidden="false" customHeight="false" outlineLevel="0" collapsed="false">
      <c r="G10" s="80" t="n">
        <v>10</v>
      </c>
      <c r="H10" s="92" t="s">
        <v>10</v>
      </c>
      <c r="I10" s="61" t="s">
        <v>1</v>
      </c>
      <c r="J10" s="16" t="s">
        <v>10</v>
      </c>
      <c r="K10" s="93" t="n">
        <v>1.25</v>
      </c>
      <c r="L10" s="93" t="s">
        <v>7</v>
      </c>
      <c r="R10" s="82" t="str">
        <f aca="false">VLOOKUP(J10,ingredient!$N$4:$O$553,2,0)</f>
        <v>alu</v>
      </c>
      <c r="U10" s="81" t="str">
        <f aca="false">I10</f>
        <v>Varai Khichdi</v>
      </c>
      <c r="V10" s="81" t="n">
        <f aca="false">VLOOKUP(U10,recipe_ingred_list!$A$2:$B$300,2,0)</f>
        <v>1</v>
      </c>
      <c r="W10" s="81" t="str">
        <f aca="false">"/recipes/"&amp;VLOOKUP(U10,recipe_ingred_list!$A$2:$C$300,3,0)&amp;"/detail/"</f>
        <v>/recipes/varai-khichdi/detail/</v>
      </c>
      <c r="X10" s="81" t="str">
        <f aca="false">J10</f>
        <v>Alu</v>
      </c>
      <c r="Y10" s="81" t="str">
        <f aca="false">R10</f>
        <v>alu</v>
      </c>
      <c r="Z10" s="94" t="n">
        <f aca="false">VLOOKUP(Y10,recipe_ingred_list!$D$2:$E$500,2,0)</f>
        <v>8</v>
      </c>
      <c r="AA10" s="61" t="n">
        <f aca="false">K10</f>
        <v>1.25</v>
      </c>
      <c r="AB10" s="61" t="str">
        <f aca="false">L10</f>
        <v>kg</v>
      </c>
      <c r="AC10" s="61" t="n">
        <f aca="false">VLOOKUP(AB10,recipe_ingred_list!$K$2:$M$7,3,0)</f>
        <v>2</v>
      </c>
      <c r="AD10" s="61" t="n">
        <f aca="false">M10</f>
        <v>0</v>
      </c>
      <c r="AE10" s="61" t="n">
        <f aca="false">N10</f>
        <v>0</v>
      </c>
      <c r="AF10" s="61" t="n">
        <f aca="false">VLOOKUP(AE10,recipe_ingred_list!$K$16:$M$25,3,0)</f>
        <v>1</v>
      </c>
      <c r="AG10" s="61" t="n">
        <f aca="false">O10</f>
        <v>0</v>
      </c>
      <c r="AH10" s="61" t="n">
        <f aca="false">P10</f>
        <v>0</v>
      </c>
      <c r="AI10" s="61" t="n">
        <f aca="false">VLOOKUP(AH10,recipe_ingred_list!$K$29:$M$34,3,0)</f>
        <v>3</v>
      </c>
      <c r="AJ10" s="61" t="str">
        <f aca="false">IF(Q10="","",Q10)</f>
        <v/>
      </c>
      <c r="AK10" s="61" t="n">
        <f aca="false">AK9+1</f>
        <v>10</v>
      </c>
      <c r="AL10" s="61" t="str">
        <f aca="false">Y10</f>
        <v>alu</v>
      </c>
      <c r="AM10" s="81" t="str">
        <f aca="false">"a = Client().post('"&amp;W10&amp;"', {'recipe' : '"&amp;V10&amp;"', 'ingredient' : '"&amp;Z10&amp;"', 'name' : '"&amp;X10&amp;"', 'mass_unit' : '"&amp;AC10&amp;"', 'mass_quantity' : '"&amp;ROUND(AA10,3)&amp;"', 'volume_unit' : '"&amp;AF10&amp;"', 'volume_quantity' : '"&amp;ROUND(AD10,3)&amp;"', 'pieces_unit' : '"&amp;AI10&amp;"', 'pieces_quantity' : '"&amp;ROUND(AG10,3)&amp;"', 'cooking_notes' : '"&amp;AJ10&amp;"'}).status_code; print('%s :: %s :: %s :: %s :: %s' %(a,"&amp;G10&amp;",'"&amp;X10&amp;"','"&amp;Y10&amp;"','"&amp;U10&amp;"'))"</f>
        <v>a = Client().post('/recipes/varai-khichdi/detail/', {'recipe' : '1', 'ingredient' : '8', 'name' : 'Alu', 'mass_unit' : '2', 'mass_quantity' : '1.25', 'volume_unit' : '1', 'volume_quantity' : '0', 'pieces_unit' : '3', 'pieces_quantity' : '0', 'cooking_notes' : ''}).status_code; print('%s :: %s :: %s :: %s :: %s' %(a,10,'Alu','alu','Varai Khichdi'))</v>
      </c>
    </row>
    <row r="11" customFormat="false" ht="15" hidden="false" customHeight="false" outlineLevel="0" collapsed="false">
      <c r="G11" s="80" t="n">
        <v>11</v>
      </c>
      <c r="H11" s="92" t="s">
        <v>11</v>
      </c>
      <c r="I11" s="61" t="s">
        <v>1</v>
      </c>
      <c r="J11" s="16" t="s">
        <v>11</v>
      </c>
      <c r="K11" s="93" t="n">
        <v>1.25</v>
      </c>
      <c r="L11" s="93" t="s">
        <v>7</v>
      </c>
      <c r="R11" s="82" t="str">
        <f aca="false">VLOOKUP(J11,ingredient!$N$4:$O$553,2,0)</f>
        <v>gajar</v>
      </c>
      <c r="U11" s="81" t="str">
        <f aca="false">I11</f>
        <v>Varai Khichdi</v>
      </c>
      <c r="V11" s="81" t="n">
        <f aca="false">VLOOKUP(U11,recipe_ingred_list!$A$2:$B$300,2,0)</f>
        <v>1</v>
      </c>
      <c r="W11" s="81" t="str">
        <f aca="false">"/recipes/"&amp;VLOOKUP(U11,recipe_ingred_list!$A$2:$C$300,3,0)&amp;"/detail/"</f>
        <v>/recipes/varai-khichdi/detail/</v>
      </c>
      <c r="X11" s="81" t="str">
        <f aca="false">J11</f>
        <v>Gajar</v>
      </c>
      <c r="Y11" s="81" t="str">
        <f aca="false">R11</f>
        <v>gajar</v>
      </c>
      <c r="Z11" s="94" t="n">
        <f aca="false">VLOOKUP(Y11,recipe_ingred_list!$D$2:$E$500,2,0)</f>
        <v>79</v>
      </c>
      <c r="AA11" s="61" t="n">
        <f aca="false">K11</f>
        <v>1.25</v>
      </c>
      <c r="AB11" s="61" t="str">
        <f aca="false">L11</f>
        <v>kg</v>
      </c>
      <c r="AC11" s="61" t="n">
        <f aca="false">VLOOKUP(AB11,recipe_ingred_list!$K$2:$M$7,3,0)</f>
        <v>2</v>
      </c>
      <c r="AD11" s="61" t="n">
        <f aca="false">M11</f>
        <v>0</v>
      </c>
      <c r="AE11" s="61" t="n">
        <f aca="false">N11</f>
        <v>0</v>
      </c>
      <c r="AF11" s="61" t="n">
        <f aca="false">VLOOKUP(AE11,recipe_ingred_list!$K$16:$M$25,3,0)</f>
        <v>1</v>
      </c>
      <c r="AG11" s="61" t="n">
        <f aca="false">O11</f>
        <v>0</v>
      </c>
      <c r="AH11" s="61" t="n">
        <f aca="false">P11</f>
        <v>0</v>
      </c>
      <c r="AI11" s="61" t="n">
        <f aca="false">VLOOKUP(AH11,recipe_ingred_list!$K$29:$M$34,3,0)</f>
        <v>3</v>
      </c>
      <c r="AJ11" s="61" t="str">
        <f aca="false">IF(Q11="","",Q11)</f>
        <v/>
      </c>
      <c r="AK11" s="61" t="n">
        <f aca="false">AK10+1</f>
        <v>11</v>
      </c>
      <c r="AL11" s="61" t="str">
        <f aca="false">Y11</f>
        <v>gajar</v>
      </c>
      <c r="AM11" s="81" t="str">
        <f aca="false">"a = Client().post('"&amp;W11&amp;"', {'recipe' : '"&amp;V11&amp;"', 'ingredient' : '"&amp;Z11&amp;"', 'name' : '"&amp;X11&amp;"', 'mass_unit' : '"&amp;AC11&amp;"', 'mass_quantity' : '"&amp;ROUND(AA11,3)&amp;"', 'volume_unit' : '"&amp;AF11&amp;"', 'volume_quantity' : '"&amp;ROUND(AD11,3)&amp;"', 'pieces_unit' : '"&amp;AI11&amp;"', 'pieces_quantity' : '"&amp;ROUND(AG11,3)&amp;"', 'cooking_notes' : '"&amp;AJ11&amp;"'}).status_code; print('%s :: %s :: %s :: %s :: %s' %(a,"&amp;G11&amp;",'"&amp;X11&amp;"','"&amp;Y11&amp;"','"&amp;U11&amp;"'))"</f>
        <v>a = Client().post('/recipes/varai-khichdi/detail/', {'recipe' : '1', 'ingredient' : '79', 'name' : 'Gajar', 'mass_unit' : '2', 'mass_quantity' : '1.25', 'volume_unit' : '1', 'volume_quantity' : '0', 'pieces_unit' : '3', 'pieces_quantity' : '0', 'cooking_notes' : ''}).status_code; print('%s :: %s :: %s :: %s :: %s' %(a,11,'Gajar','gajar','Varai Khichdi'))</v>
      </c>
    </row>
    <row r="12" customFormat="false" ht="15" hidden="false" customHeight="false" outlineLevel="0" collapsed="false">
      <c r="G12" s="80" t="n">
        <v>12</v>
      </c>
      <c r="H12" s="92" t="s">
        <v>525</v>
      </c>
      <c r="I12" s="69" t="s">
        <v>1</v>
      </c>
      <c r="J12" s="20" t="s">
        <v>12</v>
      </c>
      <c r="K12" s="69"/>
      <c r="L12" s="69"/>
      <c r="M12" s="97" t="n">
        <v>1</v>
      </c>
      <c r="N12" s="93" t="s">
        <v>13</v>
      </c>
      <c r="O12" s="69"/>
      <c r="P12" s="69"/>
      <c r="R12" s="82" t="str">
        <f aca="false">VLOOKUP(J12,ingredient!$N$4:$O$553,2,0)</f>
        <v>ground nut oil</v>
      </c>
      <c r="U12" s="81" t="str">
        <f aca="false">I12</f>
        <v>Varai Khichdi</v>
      </c>
      <c r="V12" s="81" t="n">
        <f aca="false">VLOOKUP(U12,recipe_ingred_list!$A$2:$B$300,2,0)</f>
        <v>1</v>
      </c>
      <c r="W12" s="81" t="str">
        <f aca="false">"/recipes/"&amp;VLOOKUP(U12,recipe_ingred_list!$A$2:$C$300,3,0)&amp;"/detail/"</f>
        <v>/recipes/varai-khichdi/detail/</v>
      </c>
      <c r="X12" s="81" t="str">
        <f aca="false">J12</f>
        <v>Groundnut Oil</v>
      </c>
      <c r="Y12" s="81" t="str">
        <f aca="false">R12</f>
        <v>ground nut oil</v>
      </c>
      <c r="Z12" s="94" t="n">
        <f aca="false">VLOOKUP(Y12,recipe_ingred_list!$D$2:$E$500,2,0)</f>
        <v>89</v>
      </c>
      <c r="AA12" s="61" t="n">
        <f aca="false">K12</f>
        <v>0</v>
      </c>
      <c r="AB12" s="61" t="n">
        <f aca="false">L12</f>
        <v>0</v>
      </c>
      <c r="AC12" s="61" t="n">
        <f aca="false">VLOOKUP(AB12,recipe_ingred_list!$K$2:$M$7,3,0)</f>
        <v>2</v>
      </c>
      <c r="AD12" s="61" t="n">
        <f aca="false">M12</f>
        <v>1</v>
      </c>
      <c r="AE12" s="61" t="str">
        <f aca="false">N12</f>
        <v>ltr</v>
      </c>
      <c r="AF12" s="61" t="n">
        <f aca="false">VLOOKUP(AE12,recipe_ingred_list!$K$16:$M$25,3,0)</f>
        <v>1</v>
      </c>
      <c r="AG12" s="61" t="n">
        <f aca="false">O12</f>
        <v>0</v>
      </c>
      <c r="AH12" s="61" t="n">
        <f aca="false">P12</f>
        <v>0</v>
      </c>
      <c r="AI12" s="61" t="n">
        <f aca="false">VLOOKUP(AH12,recipe_ingred_list!$K$29:$M$34,3,0)</f>
        <v>3</v>
      </c>
      <c r="AJ12" s="61" t="str">
        <f aca="false">IF(Q12="","",Q12)</f>
        <v/>
      </c>
      <c r="AK12" s="61" t="n">
        <f aca="false">AK11+1</f>
        <v>12</v>
      </c>
      <c r="AL12" s="61" t="str">
        <f aca="false">Y12</f>
        <v>ground nut oil</v>
      </c>
      <c r="AM12" s="81" t="str">
        <f aca="false">"a = Client().post('"&amp;W12&amp;"', {'recipe' : '"&amp;V12&amp;"', 'ingredient' : '"&amp;Z12&amp;"', 'name' : '"&amp;X12&amp;"', 'mass_unit' : '"&amp;AC12&amp;"', 'mass_quantity' : '"&amp;ROUND(AA12,3)&amp;"', 'volume_unit' : '"&amp;AF12&amp;"', 'volume_quantity' : '"&amp;ROUND(AD12,3)&amp;"', 'pieces_unit' : '"&amp;AI12&amp;"', 'pieces_quantity' : '"&amp;ROUND(AG12,3)&amp;"', 'cooking_notes' : '"&amp;AJ12&amp;"'}).status_code; print('%s :: %s :: %s :: %s :: %s' %(a,"&amp;G12&amp;",'"&amp;X12&amp;"','"&amp;Y12&amp;"','"&amp;U12&amp;"'))"</f>
        <v>a = Client().post('/recipes/varai-khichdi/detail/', {'recipe' : '1', 'ingredient' : '89', 'name' : 'Groundnut Oil', 'mass_unit' : '2', 'mass_quantity' : '0', 'volume_unit' : '1', 'volume_quantity' : '1', 'pieces_unit' : '3', 'pieces_quantity' : '0', 'cooking_notes' : ''}).status_code; print('%s :: %s :: %s :: %s :: %s' %(a,12,'Groundnut Oil','ground nut oil','Varai Khichdi'))</v>
      </c>
    </row>
    <row r="13" customFormat="false" ht="15" hidden="false" customHeight="false" outlineLevel="0" collapsed="false">
      <c r="G13" s="80" t="n">
        <v>13</v>
      </c>
      <c r="H13" s="92" t="s">
        <v>14</v>
      </c>
      <c r="I13" s="61" t="s">
        <v>1</v>
      </c>
      <c r="J13" s="16" t="s">
        <v>14</v>
      </c>
      <c r="M13" s="93" t="n">
        <v>0.166666666666667</v>
      </c>
      <c r="N13" s="93" t="s">
        <v>13</v>
      </c>
      <c r="R13" s="82" t="str">
        <f aca="false">VLOOKUP(J13,ingredient!$N$4:$O$553,2,0)</f>
        <v>jeera</v>
      </c>
      <c r="U13" s="81" t="str">
        <f aca="false">I13</f>
        <v>Varai Khichdi</v>
      </c>
      <c r="V13" s="81" t="n">
        <f aca="false">VLOOKUP(U13,recipe_ingred_list!$A$2:$B$300,2,0)</f>
        <v>1</v>
      </c>
      <c r="W13" s="81" t="str">
        <f aca="false">"/recipes/"&amp;VLOOKUP(U13,recipe_ingred_list!$A$2:$C$300,3,0)&amp;"/detail/"</f>
        <v>/recipes/varai-khichdi/detail/</v>
      </c>
      <c r="X13" s="81" t="str">
        <f aca="false">J13</f>
        <v>Jeera</v>
      </c>
      <c r="Y13" s="81" t="str">
        <f aca="false">R13</f>
        <v>jeera</v>
      </c>
      <c r="Z13" s="94" t="n">
        <f aca="false">VLOOKUP(Y13,recipe_ingred_list!$D$2:$E$500,2,0)</f>
        <v>102</v>
      </c>
      <c r="AA13" s="61" t="n">
        <f aca="false">K13</f>
        <v>0</v>
      </c>
      <c r="AB13" s="61" t="n">
        <f aca="false">L13</f>
        <v>0</v>
      </c>
      <c r="AC13" s="61" t="n">
        <f aca="false">VLOOKUP(AB13,recipe_ingred_list!$K$2:$M$7,3,0)</f>
        <v>2</v>
      </c>
      <c r="AD13" s="61" t="n">
        <f aca="false">M13</f>
        <v>0.166666666666667</v>
      </c>
      <c r="AE13" s="61" t="str">
        <f aca="false">N13</f>
        <v>ltr</v>
      </c>
      <c r="AF13" s="61" t="n">
        <f aca="false">VLOOKUP(AE13,recipe_ingred_list!$K$16:$M$25,3,0)</f>
        <v>1</v>
      </c>
      <c r="AG13" s="61" t="n">
        <f aca="false">O13</f>
        <v>0</v>
      </c>
      <c r="AH13" s="61" t="n">
        <f aca="false">P13</f>
        <v>0</v>
      </c>
      <c r="AI13" s="61" t="n">
        <f aca="false">VLOOKUP(AH13,recipe_ingred_list!$K$29:$M$34,3,0)</f>
        <v>3</v>
      </c>
      <c r="AJ13" s="61" t="str">
        <f aca="false">IF(Q13="","",Q13)</f>
        <v/>
      </c>
      <c r="AK13" s="61" t="n">
        <f aca="false">AK12+1</f>
        <v>13</v>
      </c>
      <c r="AL13" s="61" t="str">
        <f aca="false">Y13</f>
        <v>jeera</v>
      </c>
      <c r="AM13" s="81" t="str">
        <f aca="false">"a = Client().post('"&amp;W13&amp;"', {'recipe' : '"&amp;V13&amp;"', 'ingredient' : '"&amp;Z13&amp;"', 'name' : '"&amp;X13&amp;"', 'mass_unit' : '"&amp;AC13&amp;"', 'mass_quantity' : '"&amp;ROUND(AA13,3)&amp;"', 'volume_unit' : '"&amp;AF13&amp;"', 'volume_quantity' : '"&amp;ROUND(AD13,3)&amp;"', 'pieces_unit' : '"&amp;AI13&amp;"', 'pieces_quantity' : '"&amp;ROUND(AG13,3)&amp;"', 'cooking_notes' : '"&amp;AJ13&amp;"'}).status_code; print('%s :: %s :: %s :: %s :: %s' %(a,"&amp;G13&amp;",'"&amp;X13&amp;"','"&amp;Y13&amp;"','"&amp;U13&amp;"'))"</f>
        <v>a = Client().post('/recipes/varai-khichdi/detail/', {'recipe' : '1', 'ingredient' : '102', 'name' : 'Jeera', 'mass_unit' : '2', 'mass_quantity' : '0', 'volume_unit' : '1', 'volume_quantity' : '0.167', 'pieces_unit' : '3', 'pieces_quantity' : '0', 'cooking_notes' : ''}).status_code; print('%s :: %s :: %s :: %s :: %s' %(a,13,'Jeera','jeera','Varai Khichdi'))</v>
      </c>
    </row>
    <row r="14" customFormat="false" ht="15" hidden="false" customHeight="false" outlineLevel="0" collapsed="false">
      <c r="G14" s="80" t="n">
        <v>14</v>
      </c>
      <c r="H14" s="92" t="s">
        <v>526</v>
      </c>
      <c r="I14" s="61" t="s">
        <v>1</v>
      </c>
      <c r="J14" s="20" t="s">
        <v>15</v>
      </c>
      <c r="M14" s="93" t="n">
        <v>0.166666666666667</v>
      </c>
      <c r="N14" s="93" t="s">
        <v>13</v>
      </c>
      <c r="R14" s="82" t="str">
        <f aca="false">VLOOKUP(J14,ingredient!$N$4:$O$553,2,0)</f>
        <v>hari mirchi</v>
      </c>
      <c r="U14" s="81" t="str">
        <f aca="false">I14</f>
        <v>Varai Khichdi</v>
      </c>
      <c r="V14" s="81" t="n">
        <f aca="false">VLOOKUP(U14,recipe_ingred_list!$A$2:$B$300,2,0)</f>
        <v>1</v>
      </c>
      <c r="W14" s="81" t="str">
        <f aca="false">"/recipes/"&amp;VLOOKUP(U14,recipe_ingred_list!$A$2:$C$300,3,0)&amp;"/detail/"</f>
        <v>/recipes/varai-khichdi/detail/</v>
      </c>
      <c r="X14" s="81" t="str">
        <f aca="false">J14</f>
        <v>Hari mirchi split in 2</v>
      </c>
      <c r="Y14" s="81" t="str">
        <f aca="false">R14</f>
        <v>hari mirchi</v>
      </c>
      <c r="Z14" s="94" t="n">
        <f aca="false">VLOOKUP(Y14,recipe_ingred_list!$D$2:$E$500,2,0)</f>
        <v>93</v>
      </c>
      <c r="AA14" s="61" t="n">
        <f aca="false">K14</f>
        <v>0</v>
      </c>
      <c r="AB14" s="61" t="n">
        <f aca="false">L14</f>
        <v>0</v>
      </c>
      <c r="AC14" s="61" t="n">
        <f aca="false">VLOOKUP(AB14,recipe_ingred_list!$K$2:$M$7,3,0)</f>
        <v>2</v>
      </c>
      <c r="AD14" s="61" t="n">
        <f aca="false">M14</f>
        <v>0.166666666666667</v>
      </c>
      <c r="AE14" s="61" t="str">
        <f aca="false">N14</f>
        <v>ltr</v>
      </c>
      <c r="AF14" s="61" t="n">
        <f aca="false">VLOOKUP(AE14,recipe_ingred_list!$K$16:$M$25,3,0)</f>
        <v>1</v>
      </c>
      <c r="AG14" s="61" t="n">
        <f aca="false">O14</f>
        <v>0</v>
      </c>
      <c r="AH14" s="61" t="n">
        <f aca="false">P14</f>
        <v>0</v>
      </c>
      <c r="AI14" s="61" t="n">
        <f aca="false">VLOOKUP(AH14,recipe_ingred_list!$K$29:$M$34,3,0)</f>
        <v>3</v>
      </c>
      <c r="AJ14" s="61" t="str">
        <f aca="false">IF(Q14="","",Q14)</f>
        <v/>
      </c>
      <c r="AK14" s="61" t="n">
        <f aca="false">AK13+1</f>
        <v>14</v>
      </c>
      <c r="AL14" s="61" t="str">
        <f aca="false">Y14</f>
        <v>hari mirchi</v>
      </c>
      <c r="AM14" s="81" t="str">
        <f aca="false">"a = Client().post('"&amp;W14&amp;"', {'recipe' : '"&amp;V14&amp;"', 'ingredient' : '"&amp;Z14&amp;"', 'name' : '"&amp;X14&amp;"', 'mass_unit' : '"&amp;AC14&amp;"', 'mass_quantity' : '"&amp;ROUND(AA14,3)&amp;"', 'volume_unit' : '"&amp;AF14&amp;"', 'volume_quantity' : '"&amp;ROUND(AD14,3)&amp;"', 'pieces_unit' : '"&amp;AI14&amp;"', 'pieces_quantity' : '"&amp;ROUND(AG14,3)&amp;"', 'cooking_notes' : '"&amp;AJ14&amp;"'}).status_code; print('%s :: %s :: %s :: %s :: %s' %(a,"&amp;G14&amp;",'"&amp;X14&amp;"','"&amp;Y14&amp;"','"&amp;U14&amp;"'))"</f>
        <v>a = Client().post('/recipes/varai-khichdi/detail/', {'recipe' : '1', 'ingredient' : '93', 'name' : 'Hari mirchi split in 2', 'mass_unit' : '2', 'mass_quantity' : '0', 'volume_unit' : '1', 'volume_quantity' : '0.167', 'pieces_unit' : '3', 'pieces_quantity' : '0', 'cooking_notes' : ''}).status_code; print('%s :: %s :: %s :: %s :: %s' %(a,14,'Hari mirchi split in 2','hari mirchi','Varai Khichdi'))</v>
      </c>
    </row>
    <row r="15" customFormat="false" ht="15" hidden="false" customHeight="false" outlineLevel="0" collapsed="false">
      <c r="G15" s="80" t="n">
        <v>15</v>
      </c>
      <c r="H15" s="92" t="s">
        <v>16</v>
      </c>
      <c r="I15" s="61" t="s">
        <v>1</v>
      </c>
      <c r="J15" s="22" t="s">
        <v>16</v>
      </c>
      <c r="M15" s="93" t="n">
        <v>0.166666666666667</v>
      </c>
      <c r="N15" s="93" t="s">
        <v>13</v>
      </c>
      <c r="R15" s="82" t="str">
        <f aca="false">VLOOKUP(J15,ingredient!$N$4:$O$553,2,0)</f>
        <v>madrasi mirchi powder</v>
      </c>
      <c r="U15" s="81" t="str">
        <f aca="false">I15</f>
        <v>Varai Khichdi</v>
      </c>
      <c r="V15" s="81" t="n">
        <f aca="false">VLOOKUP(U15,recipe_ingred_list!$A$2:$B$300,2,0)</f>
        <v>1</v>
      </c>
      <c r="W15" s="81" t="str">
        <f aca="false">"/recipes/"&amp;VLOOKUP(U15,recipe_ingred_list!$A$2:$C$300,3,0)&amp;"/detail/"</f>
        <v>/recipes/varai-khichdi/detail/</v>
      </c>
      <c r="X15" s="81" t="str">
        <f aca="false">J15</f>
        <v>Madrasi Mirchi</v>
      </c>
      <c r="Y15" s="81" t="str">
        <f aca="false">R15</f>
        <v>madrasi mirchi powder</v>
      </c>
      <c r="Z15" s="94" t="n">
        <f aca="false">VLOOKUP(Y15,recipe_ingred_list!$D$2:$E$500,2,0)</f>
        <v>135</v>
      </c>
      <c r="AA15" s="61" t="n">
        <f aca="false">K15</f>
        <v>0</v>
      </c>
      <c r="AB15" s="61" t="n">
        <f aca="false">L15</f>
        <v>0</v>
      </c>
      <c r="AC15" s="61" t="n">
        <f aca="false">VLOOKUP(AB15,recipe_ingred_list!$K$2:$M$7,3,0)</f>
        <v>2</v>
      </c>
      <c r="AD15" s="61" t="n">
        <f aca="false">M15</f>
        <v>0.166666666666667</v>
      </c>
      <c r="AE15" s="61" t="str">
        <f aca="false">N15</f>
        <v>ltr</v>
      </c>
      <c r="AF15" s="61" t="n">
        <f aca="false">VLOOKUP(AE15,recipe_ingred_list!$K$16:$M$25,3,0)</f>
        <v>1</v>
      </c>
      <c r="AG15" s="61" t="n">
        <f aca="false">O15</f>
        <v>0</v>
      </c>
      <c r="AH15" s="61" t="n">
        <f aca="false">P15</f>
        <v>0</v>
      </c>
      <c r="AI15" s="61" t="n">
        <f aca="false">VLOOKUP(AH15,recipe_ingred_list!$K$29:$M$34,3,0)</f>
        <v>3</v>
      </c>
      <c r="AJ15" s="61" t="str">
        <f aca="false">IF(Q15="","",Q15)</f>
        <v/>
      </c>
      <c r="AK15" s="61" t="n">
        <f aca="false">AK14+1</f>
        <v>15</v>
      </c>
      <c r="AL15" s="61" t="str">
        <f aca="false">Y15</f>
        <v>madrasi mirchi powder</v>
      </c>
      <c r="AM15" s="81" t="str">
        <f aca="false">"a = Client().post('"&amp;W15&amp;"', {'recipe' : '"&amp;V15&amp;"', 'ingredient' : '"&amp;Z15&amp;"', 'name' : '"&amp;X15&amp;"', 'mass_unit' : '"&amp;AC15&amp;"', 'mass_quantity' : '"&amp;ROUND(AA15,3)&amp;"', 'volume_unit' : '"&amp;AF15&amp;"', 'volume_quantity' : '"&amp;ROUND(AD15,3)&amp;"', 'pieces_unit' : '"&amp;AI15&amp;"', 'pieces_quantity' : '"&amp;ROUND(AG15,3)&amp;"', 'cooking_notes' : '"&amp;AJ15&amp;"'}).status_code; print('%s :: %s :: %s :: %s :: %s' %(a,"&amp;G15&amp;",'"&amp;X15&amp;"','"&amp;Y15&amp;"','"&amp;U15&amp;"'))"</f>
        <v>a = Client().post('/recipes/varai-khichdi/detail/', {'recipe' : '1', 'ingredient' : '135', 'name' : 'Madrasi Mirchi', 'mass_unit' : '2', 'mass_quantity' : '0', 'volume_unit' : '1', 'volume_quantity' : '0.167', 'pieces_unit' : '3', 'pieces_quantity' : '0', 'cooking_notes' : ''}).status_code; print('%s :: %s :: %s :: %s :: %s' %(a,15,'Madrasi Mirchi','madrasi mirchi powder','Varai Khichdi'))</v>
      </c>
    </row>
    <row r="16" customFormat="false" ht="15" hidden="false" customHeight="false" outlineLevel="0" collapsed="false">
      <c r="G16" s="80" t="n">
        <v>16</v>
      </c>
      <c r="H16" s="92" t="s">
        <v>17</v>
      </c>
      <c r="I16" s="61" t="s">
        <v>1</v>
      </c>
      <c r="J16" s="22" t="s">
        <v>17</v>
      </c>
      <c r="M16" s="97" t="n">
        <v>1</v>
      </c>
      <c r="N16" s="97" t="s">
        <v>13</v>
      </c>
      <c r="R16" s="82" t="str">
        <f aca="false">VLOOKUP(J16,ingredient!$N$4:$O$553,2,0)</f>
        <v>kadi patta</v>
      </c>
      <c r="U16" s="81" t="str">
        <f aca="false">I16</f>
        <v>Varai Khichdi</v>
      </c>
      <c r="V16" s="81" t="n">
        <f aca="false">VLOOKUP(U16,recipe_ingred_list!$A$2:$B$300,2,0)</f>
        <v>1</v>
      </c>
      <c r="W16" s="81" t="str">
        <f aca="false">"/recipes/"&amp;VLOOKUP(U16,recipe_ingred_list!$A$2:$C$300,3,0)&amp;"/detail/"</f>
        <v>/recipes/varai-khichdi/detail/</v>
      </c>
      <c r="X16" s="81" t="str">
        <f aca="false">J16</f>
        <v>Kadi Patta</v>
      </c>
      <c r="Y16" s="81" t="str">
        <f aca="false">R16</f>
        <v>kadi patta</v>
      </c>
      <c r="Z16" s="94" t="n">
        <f aca="false">VLOOKUP(Y16,recipe_ingred_list!$D$2:$E$500,2,0)</f>
        <v>105</v>
      </c>
      <c r="AA16" s="61" t="n">
        <f aca="false">K16</f>
        <v>0</v>
      </c>
      <c r="AB16" s="61" t="n">
        <f aca="false">L16</f>
        <v>0</v>
      </c>
      <c r="AC16" s="61" t="n">
        <f aca="false">VLOOKUP(AB16,recipe_ingred_list!$K$2:$M$7,3,0)</f>
        <v>2</v>
      </c>
      <c r="AD16" s="61" t="n">
        <f aca="false">M16</f>
        <v>1</v>
      </c>
      <c r="AE16" s="61" t="str">
        <f aca="false">N16</f>
        <v>ltr</v>
      </c>
      <c r="AF16" s="61" t="n">
        <f aca="false">VLOOKUP(AE16,recipe_ingred_list!$K$16:$M$25,3,0)</f>
        <v>1</v>
      </c>
      <c r="AG16" s="61" t="n">
        <f aca="false">O16</f>
        <v>0</v>
      </c>
      <c r="AH16" s="61" t="n">
        <f aca="false">P16</f>
        <v>0</v>
      </c>
      <c r="AI16" s="61" t="n">
        <f aca="false">VLOOKUP(AH16,recipe_ingred_list!$K$29:$M$34,3,0)</f>
        <v>3</v>
      </c>
      <c r="AJ16" s="61" t="str">
        <f aca="false">IF(Q16="","",Q16)</f>
        <v/>
      </c>
      <c r="AK16" s="61" t="n">
        <f aca="false">AK15+1</f>
        <v>16</v>
      </c>
      <c r="AL16" s="61" t="str">
        <f aca="false">Y16</f>
        <v>kadi patta</v>
      </c>
      <c r="AM16" s="81" t="str">
        <f aca="false">"a = Client().post('"&amp;W16&amp;"', {'recipe' : '"&amp;V16&amp;"', 'ingredient' : '"&amp;Z16&amp;"', 'name' : '"&amp;X16&amp;"', 'mass_unit' : '"&amp;AC16&amp;"', 'mass_quantity' : '"&amp;ROUND(AA16,3)&amp;"', 'volume_unit' : '"&amp;AF16&amp;"', 'volume_quantity' : '"&amp;ROUND(AD16,3)&amp;"', 'pieces_unit' : '"&amp;AI16&amp;"', 'pieces_quantity' : '"&amp;ROUND(AG16,3)&amp;"', 'cooking_notes' : '"&amp;AJ16&amp;"'}).status_code; print('%s :: %s :: %s :: %s :: %s' %(a,"&amp;G16&amp;",'"&amp;X16&amp;"','"&amp;Y16&amp;"','"&amp;U16&amp;"'))"</f>
        <v>a = Client().post('/recipes/varai-khichdi/detail/', {'recipe' : '1', 'ingredient' : '105', 'name' : 'Kadi Patta', 'mass_unit' : '2', 'mass_quantity' : '0', 'volume_unit' : '1', 'volume_quantity' : '1', 'pieces_unit' : '3', 'pieces_quantity' : '0', 'cooking_notes' : ''}).status_code; print('%s :: %s :: %s :: %s :: %s' %(a,16,'Kadi Patta','kadi patta','Varai Khichdi'))</v>
      </c>
    </row>
    <row r="17" customFormat="false" ht="15" hidden="false" customHeight="false" outlineLevel="0" collapsed="false">
      <c r="G17" s="80" t="n">
        <v>17</v>
      </c>
      <c r="H17" s="92" t="s">
        <v>527</v>
      </c>
      <c r="I17" s="61" t="s">
        <v>1</v>
      </c>
      <c r="J17" s="20" t="s">
        <v>18</v>
      </c>
      <c r="M17" s="93" t="n">
        <v>0.208333333333333</v>
      </c>
      <c r="N17" s="93" t="s">
        <v>13</v>
      </c>
      <c r="R17" s="82" t="str">
        <f aca="false">VLOOKUP(J17,ingredient!$N$4:$O$553,2,0)</f>
        <v>adrak</v>
      </c>
      <c r="U17" s="81" t="str">
        <f aca="false">I17</f>
        <v>Varai Khichdi</v>
      </c>
      <c r="V17" s="81" t="n">
        <f aca="false">VLOOKUP(U17,recipe_ingred_list!$A$2:$B$300,2,0)</f>
        <v>1</v>
      </c>
      <c r="W17" s="81" t="str">
        <f aca="false">"/recipes/"&amp;VLOOKUP(U17,recipe_ingred_list!$A$2:$C$300,3,0)&amp;"/detail/"</f>
        <v>/recipes/varai-khichdi/detail/</v>
      </c>
      <c r="X17" s="81" t="str">
        <f aca="false">J17</f>
        <v>Adrak paste</v>
      </c>
      <c r="Y17" s="81" t="str">
        <f aca="false">R17</f>
        <v>adrak</v>
      </c>
      <c r="Z17" s="94" t="n">
        <f aca="false">VLOOKUP(Y17,recipe_ingred_list!$D$2:$E$500,2,0)</f>
        <v>1</v>
      </c>
      <c r="AA17" s="61" t="n">
        <f aca="false">K17</f>
        <v>0</v>
      </c>
      <c r="AB17" s="61" t="n">
        <f aca="false">L17</f>
        <v>0</v>
      </c>
      <c r="AC17" s="61" t="n">
        <f aca="false">VLOOKUP(AB17,recipe_ingred_list!$K$2:$M$7,3,0)</f>
        <v>2</v>
      </c>
      <c r="AD17" s="61" t="n">
        <f aca="false">M17</f>
        <v>0.208333333333333</v>
      </c>
      <c r="AE17" s="61" t="str">
        <f aca="false">N17</f>
        <v>ltr</v>
      </c>
      <c r="AF17" s="61" t="n">
        <f aca="false">VLOOKUP(AE17,recipe_ingred_list!$K$16:$M$25,3,0)</f>
        <v>1</v>
      </c>
      <c r="AG17" s="61" t="n">
        <f aca="false">O17</f>
        <v>0</v>
      </c>
      <c r="AH17" s="61" t="n">
        <f aca="false">P17</f>
        <v>0</v>
      </c>
      <c r="AI17" s="61" t="n">
        <f aca="false">VLOOKUP(AH17,recipe_ingred_list!$K$29:$M$34,3,0)</f>
        <v>3</v>
      </c>
      <c r="AJ17" s="61" t="str">
        <f aca="false">IF(Q17="","",Q17)</f>
        <v/>
      </c>
      <c r="AK17" s="61" t="n">
        <f aca="false">AK16+1</f>
        <v>17</v>
      </c>
      <c r="AL17" s="61" t="str">
        <f aca="false">Y17</f>
        <v>adrak</v>
      </c>
      <c r="AM17" s="81" t="str">
        <f aca="false">"a = Client().post('"&amp;W17&amp;"', {'recipe' : '"&amp;V17&amp;"', 'ingredient' : '"&amp;Z17&amp;"', 'name' : '"&amp;X17&amp;"', 'mass_unit' : '"&amp;AC17&amp;"', 'mass_quantity' : '"&amp;ROUND(AA17,3)&amp;"', 'volume_unit' : '"&amp;AF17&amp;"', 'volume_quantity' : '"&amp;ROUND(AD17,3)&amp;"', 'pieces_unit' : '"&amp;AI17&amp;"', 'pieces_quantity' : '"&amp;ROUND(AG17,3)&amp;"', 'cooking_notes' : '"&amp;AJ17&amp;"'}).status_code; print('%s :: %s :: %s :: %s :: %s' %(a,"&amp;G17&amp;",'"&amp;X17&amp;"','"&amp;Y17&amp;"','"&amp;U17&amp;"'))"</f>
        <v>a = Client().post('/recipes/varai-khichdi/detail/', {'recipe' : '1', 'ingredient' : '1', 'name' : 'Adrak paste', 'mass_unit' : '2', 'mass_quantity' : '0', 'volume_unit' : '1', 'volume_quantity' : '0.208', 'pieces_unit' : '3', 'pieces_quantity' : '0', 'cooking_notes' : ''}).status_code; print('%s :: %s :: %s :: %s :: %s' %(a,17,'Adrak paste','adrak','Varai Khichdi'))</v>
      </c>
    </row>
    <row r="18" customFormat="false" ht="15" hidden="false" customHeight="false" outlineLevel="0" collapsed="false">
      <c r="G18" s="80" t="n">
        <v>18</v>
      </c>
      <c r="H18" s="92" t="s">
        <v>73</v>
      </c>
      <c r="I18" s="69" t="s">
        <v>1</v>
      </c>
      <c r="J18" s="20" t="s">
        <v>528</v>
      </c>
      <c r="K18" s="69"/>
      <c r="L18" s="69"/>
      <c r="M18" s="93" t="n">
        <v>0.208333333333333</v>
      </c>
      <c r="N18" s="93" t="s">
        <v>20</v>
      </c>
      <c r="O18" s="69"/>
      <c r="P18" s="69"/>
      <c r="R18" s="82" t="str">
        <f aca="false">VLOOKUP(J18,ingredient!$N$4:$O$553,2,0)</f>
        <v>kashmiri chilly powder</v>
      </c>
      <c r="U18" s="81" t="str">
        <f aca="false">I18</f>
        <v>Varai Khichdi</v>
      </c>
      <c r="V18" s="81" t="n">
        <f aca="false">VLOOKUP(U18,recipe_ingred_list!$A$2:$B$300,2,0)</f>
        <v>1</v>
      </c>
      <c r="W18" s="81" t="str">
        <f aca="false">"/recipes/"&amp;VLOOKUP(U18,recipe_ingred_list!$A$2:$C$300,3,0)&amp;"/detail/"</f>
        <v>/recipes/varai-khichdi/detail/</v>
      </c>
      <c r="X18" s="81" t="str">
        <f aca="false">J18</f>
        <v>Kashmiri Mirchi Powder</v>
      </c>
      <c r="Y18" s="81" t="str">
        <f aca="false">R18</f>
        <v>kashmiri chilly powder</v>
      </c>
      <c r="Z18" s="94" t="n">
        <f aca="false">VLOOKUP(Y18,recipe_ingred_list!$D$2:$E$500,2,0)</f>
        <v>117</v>
      </c>
      <c r="AA18" s="61" t="n">
        <f aca="false">K18</f>
        <v>0</v>
      </c>
      <c r="AB18" s="61" t="n">
        <f aca="false">L18</f>
        <v>0</v>
      </c>
      <c r="AC18" s="61" t="n">
        <f aca="false">VLOOKUP(AB18,recipe_ingred_list!$K$2:$M$7,3,0)</f>
        <v>2</v>
      </c>
      <c r="AD18" s="61" t="n">
        <f aca="false">M18</f>
        <v>0.208333333333333</v>
      </c>
      <c r="AE18" s="61" t="str">
        <f aca="false">N18</f>
        <v>cup</v>
      </c>
      <c r="AF18" s="61" t="n">
        <f aca="false">VLOOKUP(AE18,recipe_ingred_list!$K$16:$M$25,3,0)</f>
        <v>5</v>
      </c>
      <c r="AG18" s="61" t="n">
        <f aca="false">O18</f>
        <v>0</v>
      </c>
      <c r="AH18" s="61" t="n">
        <f aca="false">P18</f>
        <v>0</v>
      </c>
      <c r="AI18" s="61" t="n">
        <f aca="false">VLOOKUP(AH18,recipe_ingred_list!$K$29:$M$34,3,0)</f>
        <v>3</v>
      </c>
      <c r="AJ18" s="61" t="str">
        <f aca="false">IF(Q18="","",Q18)</f>
        <v/>
      </c>
      <c r="AK18" s="61" t="n">
        <f aca="false">AK17+1</f>
        <v>18</v>
      </c>
      <c r="AL18" s="61" t="str">
        <f aca="false">Y18</f>
        <v>kashmiri chilly powder</v>
      </c>
      <c r="AM18" s="81" t="str">
        <f aca="false">"a = Client().post('"&amp;W18&amp;"', {'recipe' : '"&amp;V18&amp;"', 'ingredient' : '"&amp;Z18&amp;"', 'name' : '"&amp;X18&amp;"', 'mass_unit' : '"&amp;AC18&amp;"', 'mass_quantity' : '"&amp;ROUND(AA18,3)&amp;"', 'volume_unit' : '"&amp;AF18&amp;"', 'volume_quantity' : '"&amp;ROUND(AD18,3)&amp;"', 'pieces_unit' : '"&amp;AI18&amp;"', 'pieces_quantity' : '"&amp;ROUND(AG18,3)&amp;"', 'cooking_notes' : '"&amp;AJ18&amp;"'}).status_code; print('%s :: %s :: %s :: %s :: %s' %(a,"&amp;G18&amp;",'"&amp;X18&amp;"','"&amp;Y18&amp;"','"&amp;U18&amp;"'))"</f>
        <v>a = Client().post('/recipes/varai-khichdi/detail/', {'recipe' : '1', 'ingredient' : '117', 'name' : 'Kashmiri Mirchi Powder', 'mass_unit' : '2', 'mass_quantity' : '0', 'volume_unit' : '5', 'volume_quantity' : '0.208', 'pieces_unit' : '3', 'pieces_quantity' : '0', 'cooking_notes' : ''}).status_code; print('%s :: %s :: %s :: %s :: %s' %(a,18,'Kashmiri Mirchi Powder','kashmiri chilly powder','Varai Khichdi'))</v>
      </c>
    </row>
    <row r="19" customFormat="false" ht="15" hidden="false" customHeight="false" outlineLevel="0" collapsed="false">
      <c r="G19" s="80" t="n">
        <v>19</v>
      </c>
      <c r="H19" s="92" t="s">
        <v>21</v>
      </c>
      <c r="I19" s="61" t="s">
        <v>1</v>
      </c>
      <c r="J19" s="20" t="s">
        <v>21</v>
      </c>
      <c r="K19" s="97" t="n">
        <v>3</v>
      </c>
      <c r="L19" s="93" t="s">
        <v>7</v>
      </c>
      <c r="R19" s="82" t="str">
        <f aca="false">VLOOKUP(J19,ingredient!$N$4:$O$553,2,0)</f>
        <v>tomato</v>
      </c>
      <c r="U19" s="81" t="str">
        <f aca="false">I19</f>
        <v>Varai Khichdi</v>
      </c>
      <c r="V19" s="81" t="n">
        <f aca="false">VLOOKUP(U19,recipe_ingred_list!$A$2:$B$300,2,0)</f>
        <v>1</v>
      </c>
      <c r="W19" s="81" t="str">
        <f aca="false">"/recipes/"&amp;VLOOKUP(U19,recipe_ingred_list!$A$2:$C$300,3,0)&amp;"/detail/"</f>
        <v>/recipes/varai-khichdi/detail/</v>
      </c>
      <c r="X19" s="81" t="str">
        <f aca="false">J19</f>
        <v>Tomato</v>
      </c>
      <c r="Y19" s="81" t="str">
        <f aca="false">R19</f>
        <v>tomato</v>
      </c>
      <c r="Z19" s="94" t="n">
        <f aca="false">VLOOKUP(Y19,recipe_ingred_list!$D$2:$E$500,2,0)</f>
        <v>195</v>
      </c>
      <c r="AA19" s="61" t="n">
        <f aca="false">K19</f>
        <v>3</v>
      </c>
      <c r="AB19" s="61" t="str">
        <f aca="false">L19</f>
        <v>kg</v>
      </c>
      <c r="AC19" s="61" t="n">
        <f aca="false">VLOOKUP(AB19,recipe_ingred_list!$K$2:$M$7,3,0)</f>
        <v>2</v>
      </c>
      <c r="AD19" s="61" t="n">
        <f aca="false">M19</f>
        <v>0</v>
      </c>
      <c r="AE19" s="61" t="n">
        <f aca="false">N19</f>
        <v>0</v>
      </c>
      <c r="AF19" s="61" t="n">
        <f aca="false">VLOOKUP(AE19,recipe_ingred_list!$K$16:$M$25,3,0)</f>
        <v>1</v>
      </c>
      <c r="AG19" s="61" t="n">
        <f aca="false">O19</f>
        <v>0</v>
      </c>
      <c r="AH19" s="61" t="n">
        <f aca="false">P19</f>
        <v>0</v>
      </c>
      <c r="AI19" s="61" t="n">
        <f aca="false">VLOOKUP(AH19,recipe_ingred_list!$K$29:$M$34,3,0)</f>
        <v>3</v>
      </c>
      <c r="AJ19" s="61" t="str">
        <f aca="false">IF(Q19="","",Q19)</f>
        <v/>
      </c>
      <c r="AK19" s="61" t="n">
        <f aca="false">AK18+1</f>
        <v>19</v>
      </c>
      <c r="AL19" s="61" t="str">
        <f aca="false">Y19</f>
        <v>tomato</v>
      </c>
      <c r="AM19" s="81" t="str">
        <f aca="false">"a = Client().post('"&amp;W19&amp;"', {'recipe' : '"&amp;V19&amp;"', 'ingredient' : '"&amp;Z19&amp;"', 'name' : '"&amp;X19&amp;"', 'mass_unit' : '"&amp;AC19&amp;"', 'mass_quantity' : '"&amp;ROUND(AA19,3)&amp;"', 'volume_unit' : '"&amp;AF19&amp;"', 'volume_quantity' : '"&amp;ROUND(AD19,3)&amp;"', 'pieces_unit' : '"&amp;AI19&amp;"', 'pieces_quantity' : '"&amp;ROUND(AG19,3)&amp;"', 'cooking_notes' : '"&amp;AJ19&amp;"'}).status_code; print('%s :: %s :: %s :: %s :: %s' %(a,"&amp;G19&amp;",'"&amp;X19&amp;"','"&amp;Y19&amp;"','"&amp;U19&amp;"'))"</f>
        <v>a = Client().post('/recipes/varai-khichdi/detail/', {'recipe' : '1', 'ingredient' : '195', 'name' : 'Tomato', 'mass_unit' : '2', 'mass_quantity' : '3', 'volume_unit' : '1', 'volume_quantity' : '0', 'pieces_unit' : '3', 'pieces_quantity' : '0', 'cooking_notes' : ''}).status_code; print('%s :: %s :: %s :: %s :: %s' %(a,19,'Tomato','tomato','Varai Khichdi'))</v>
      </c>
    </row>
    <row r="20" customFormat="false" ht="15" hidden="false" customHeight="false" outlineLevel="0" collapsed="false">
      <c r="G20" s="80" t="n">
        <v>20</v>
      </c>
      <c r="H20" s="92" t="s">
        <v>22</v>
      </c>
      <c r="I20" s="61" t="s">
        <v>1</v>
      </c>
      <c r="J20" s="20" t="s">
        <v>22</v>
      </c>
      <c r="M20" s="97" t="n">
        <v>0.5</v>
      </c>
      <c r="N20" s="93" t="s">
        <v>13</v>
      </c>
      <c r="R20" s="82" t="str">
        <f aca="false">VLOOKUP(J20,ingredient!$N$4:$O$553,2,0)</f>
        <v>ghee</v>
      </c>
      <c r="U20" s="81" t="str">
        <f aca="false">I20</f>
        <v>Varai Khichdi</v>
      </c>
      <c r="V20" s="81" t="n">
        <f aca="false">VLOOKUP(U20,recipe_ingred_list!$A$2:$B$300,2,0)</f>
        <v>1</v>
      </c>
      <c r="W20" s="81" t="str">
        <f aca="false">"/recipes/"&amp;VLOOKUP(U20,recipe_ingred_list!$A$2:$C$300,3,0)&amp;"/detail/"</f>
        <v>/recipes/varai-khichdi/detail/</v>
      </c>
      <c r="X20" s="81" t="str">
        <f aca="false">J20</f>
        <v>Ghee</v>
      </c>
      <c r="Y20" s="81" t="str">
        <f aca="false">R20</f>
        <v>ghee</v>
      </c>
      <c r="Z20" s="94" t="n">
        <f aca="false">VLOOKUP(Y20,recipe_ingred_list!$D$2:$E$500,2,0)</f>
        <v>81</v>
      </c>
      <c r="AA20" s="61" t="n">
        <f aca="false">K20</f>
        <v>0</v>
      </c>
      <c r="AB20" s="61" t="n">
        <f aca="false">L20</f>
        <v>0</v>
      </c>
      <c r="AC20" s="61" t="n">
        <f aca="false">VLOOKUP(AB20,recipe_ingred_list!$K$2:$M$7,3,0)</f>
        <v>2</v>
      </c>
      <c r="AD20" s="61" t="n">
        <f aca="false">M20</f>
        <v>0.5</v>
      </c>
      <c r="AE20" s="61" t="str">
        <f aca="false">N20</f>
        <v>ltr</v>
      </c>
      <c r="AF20" s="61" t="n">
        <f aca="false">VLOOKUP(AE20,recipe_ingred_list!$K$16:$M$25,3,0)</f>
        <v>1</v>
      </c>
      <c r="AG20" s="61" t="n">
        <f aca="false">O20</f>
        <v>0</v>
      </c>
      <c r="AH20" s="61" t="n">
        <f aca="false">P20</f>
        <v>0</v>
      </c>
      <c r="AI20" s="61" t="n">
        <f aca="false">VLOOKUP(AH20,recipe_ingred_list!$K$29:$M$34,3,0)</f>
        <v>3</v>
      </c>
      <c r="AJ20" s="61" t="str">
        <f aca="false">IF(Q20="","",Q20)</f>
        <v/>
      </c>
      <c r="AK20" s="61" t="n">
        <f aca="false">AK19+1</f>
        <v>20</v>
      </c>
      <c r="AL20" s="61" t="str">
        <f aca="false">Y20</f>
        <v>ghee</v>
      </c>
      <c r="AM20" s="81" t="str">
        <f aca="false">"a = Client().post('"&amp;W20&amp;"', {'recipe' : '"&amp;V20&amp;"', 'ingredient' : '"&amp;Z20&amp;"', 'name' : '"&amp;X20&amp;"', 'mass_unit' : '"&amp;AC20&amp;"', 'mass_quantity' : '"&amp;ROUND(AA20,3)&amp;"', 'volume_unit' : '"&amp;AF20&amp;"', 'volume_quantity' : '"&amp;ROUND(AD20,3)&amp;"', 'pieces_unit' : '"&amp;AI20&amp;"', 'pieces_quantity' : '"&amp;ROUND(AG20,3)&amp;"', 'cooking_notes' : '"&amp;AJ20&amp;"'}).status_code; print('%s :: %s :: %s :: %s :: %s' %(a,"&amp;G20&amp;",'"&amp;X20&amp;"','"&amp;Y20&amp;"','"&amp;U20&amp;"'))"</f>
        <v>a = Client().post('/recipes/varai-khichdi/detail/', {'recipe' : '1', 'ingredient' : '81', 'name' : 'Ghee', 'mass_unit' : '2', 'mass_quantity' : '0', 'volume_unit' : '1', 'volume_quantity' : '0.5', 'pieces_unit' : '3', 'pieces_quantity' : '0', 'cooking_notes' : ''}).status_code; print('%s :: %s :: %s :: %s :: %s' %(a,20,'Ghee','ghee','Varai Khichdi'))</v>
      </c>
    </row>
    <row r="21" customFormat="false" ht="15" hidden="false" customHeight="false" outlineLevel="0" collapsed="false">
      <c r="G21" s="80" t="n">
        <v>21</v>
      </c>
      <c r="H21" s="92" t="s">
        <v>23</v>
      </c>
      <c r="I21" s="61" t="s">
        <v>1</v>
      </c>
      <c r="J21" s="20" t="s">
        <v>23</v>
      </c>
      <c r="M21" s="97" t="n">
        <v>0.1</v>
      </c>
      <c r="N21" s="93" t="s">
        <v>24</v>
      </c>
      <c r="R21" s="82" t="str">
        <f aca="false">VLOOKUP(J21,ingredient!$N$4:$O$553,2,0)</f>
        <v>dhaniya patta</v>
      </c>
      <c r="U21" s="81" t="str">
        <f aca="false">I21</f>
        <v>Varai Khichdi</v>
      </c>
      <c r="V21" s="81" t="n">
        <f aca="false">VLOOKUP(U21,recipe_ingred_list!$A$2:$B$300,2,0)</f>
        <v>1</v>
      </c>
      <c r="W21" s="81" t="str">
        <f aca="false">"/recipes/"&amp;VLOOKUP(U21,recipe_ingred_list!$A$2:$C$300,3,0)&amp;"/detail/"</f>
        <v>/recipes/varai-khichdi/detail/</v>
      </c>
      <c r="X21" s="81" t="str">
        <f aca="false">J21</f>
        <v>Dhania patta</v>
      </c>
      <c r="Y21" s="81" t="str">
        <f aca="false">R21</f>
        <v>dhaniya patta</v>
      </c>
      <c r="Z21" s="94" t="n">
        <f aca="false">VLOOKUP(Y21,recipe_ingred_list!$D$2:$E$500,2,0)</f>
        <v>66</v>
      </c>
      <c r="AA21" s="61" t="n">
        <f aca="false">K21</f>
        <v>0</v>
      </c>
      <c r="AB21" s="61" t="n">
        <f aca="false">L21</f>
        <v>0</v>
      </c>
      <c r="AC21" s="61" t="n">
        <f aca="false">VLOOKUP(AB21,recipe_ingred_list!$K$2:$M$7,3,0)</f>
        <v>2</v>
      </c>
      <c r="AD21" s="61" t="n">
        <f aca="false">M21</f>
        <v>0.1</v>
      </c>
      <c r="AE21" s="61" t="str">
        <f aca="false">N21</f>
        <v>bkt</v>
      </c>
      <c r="AF21" s="61" t="n">
        <f aca="false">VLOOKUP(AE21,recipe_ingred_list!$K$16:$M$25,3,0)</f>
        <v>6</v>
      </c>
      <c r="AG21" s="61" t="n">
        <f aca="false">O21</f>
        <v>0</v>
      </c>
      <c r="AH21" s="61" t="n">
        <f aca="false">P21</f>
        <v>0</v>
      </c>
      <c r="AI21" s="61" t="n">
        <f aca="false">VLOOKUP(AH21,recipe_ingred_list!$K$29:$M$34,3,0)</f>
        <v>3</v>
      </c>
      <c r="AJ21" s="61" t="str">
        <f aca="false">IF(Q21="","",Q21)</f>
        <v/>
      </c>
      <c r="AK21" s="61" t="n">
        <f aca="false">AK20+1</f>
        <v>21</v>
      </c>
      <c r="AL21" s="61" t="str">
        <f aca="false">Y21</f>
        <v>dhaniya patta</v>
      </c>
      <c r="AM21" s="81" t="str">
        <f aca="false">"a = Client().post('"&amp;W21&amp;"', {'recipe' : '"&amp;V21&amp;"', 'ingredient' : '"&amp;Z21&amp;"', 'name' : '"&amp;X21&amp;"', 'mass_unit' : '"&amp;AC21&amp;"', 'mass_quantity' : '"&amp;ROUND(AA21,3)&amp;"', 'volume_unit' : '"&amp;AF21&amp;"', 'volume_quantity' : '"&amp;ROUND(AD21,3)&amp;"', 'pieces_unit' : '"&amp;AI21&amp;"', 'pieces_quantity' : '"&amp;ROUND(AG21,3)&amp;"', 'cooking_notes' : '"&amp;AJ21&amp;"'}).status_code; print('%s :: %s :: %s :: %s :: %s' %(a,"&amp;G21&amp;",'"&amp;X21&amp;"','"&amp;Y21&amp;"','"&amp;U21&amp;"'))"</f>
        <v>a = Client().post('/recipes/varai-khichdi/detail/', {'recipe' : '1', 'ingredient' : '66', 'name' : 'Dhania patta', 'mass_unit' : '2', 'mass_quantity' : '0', 'volume_unit' : '6', 'volume_quantity' : '0.1', 'pieces_unit' : '3', 'pieces_quantity' : '0', 'cooking_notes' : ''}).status_code; print('%s :: %s :: %s :: %s :: %s' %(a,21,'Dhania patta','dhaniya patta','Varai Khichdi'))</v>
      </c>
    </row>
    <row r="22" customFormat="false" ht="15" hidden="false" customHeight="false" outlineLevel="0" collapsed="false">
      <c r="G22" s="80" t="n">
        <v>22</v>
      </c>
      <c r="H22" s="95" t="s">
        <v>25</v>
      </c>
      <c r="I22" s="61" t="s">
        <v>1</v>
      </c>
      <c r="J22" s="11" t="s">
        <v>25</v>
      </c>
      <c r="M22" s="96" t="n">
        <v>0.0833333333333333</v>
      </c>
      <c r="N22" s="96" t="s">
        <v>13</v>
      </c>
      <c r="R22" s="82" t="str">
        <f aca="false">VLOOKUP(J22,ingredient!$N$4:$O$553,2,0)</f>
        <v>jeera powder</v>
      </c>
      <c r="U22" s="81" t="str">
        <f aca="false">I22</f>
        <v>Varai Khichdi</v>
      </c>
      <c r="V22" s="81" t="n">
        <f aca="false">VLOOKUP(U22,recipe_ingred_list!$A$2:$B$300,2,0)</f>
        <v>1</v>
      </c>
      <c r="W22" s="81" t="str">
        <f aca="false">"/recipes/"&amp;VLOOKUP(U22,recipe_ingred_list!$A$2:$C$300,3,0)&amp;"/detail/"</f>
        <v>/recipes/varai-khichdi/detail/</v>
      </c>
      <c r="X22" s="81" t="str">
        <f aca="false">J22</f>
        <v>Jeera pwd</v>
      </c>
      <c r="Y22" s="81" t="str">
        <f aca="false">R22</f>
        <v>jeera powder</v>
      </c>
      <c r="Z22" s="94" t="n">
        <f aca="false">VLOOKUP(Y22,recipe_ingred_list!$D$2:$E$500,2,0)</f>
        <v>103</v>
      </c>
      <c r="AA22" s="61" t="n">
        <f aca="false">K22</f>
        <v>0</v>
      </c>
      <c r="AB22" s="61" t="n">
        <f aca="false">L22</f>
        <v>0</v>
      </c>
      <c r="AC22" s="61" t="n">
        <f aca="false">VLOOKUP(AB22,recipe_ingred_list!$K$2:$M$7,3,0)</f>
        <v>2</v>
      </c>
      <c r="AD22" s="61" t="n">
        <f aca="false">M22</f>
        <v>0.0833333333333333</v>
      </c>
      <c r="AE22" s="61" t="str">
        <f aca="false">N22</f>
        <v>ltr</v>
      </c>
      <c r="AF22" s="61" t="n">
        <f aca="false">VLOOKUP(AE22,recipe_ingred_list!$K$16:$M$25,3,0)</f>
        <v>1</v>
      </c>
      <c r="AG22" s="61" t="n">
        <f aca="false">O22</f>
        <v>0</v>
      </c>
      <c r="AH22" s="61" t="n">
        <f aca="false">P22</f>
        <v>0</v>
      </c>
      <c r="AI22" s="61" t="n">
        <f aca="false">VLOOKUP(AH22,recipe_ingred_list!$K$29:$M$34,3,0)</f>
        <v>3</v>
      </c>
      <c r="AJ22" s="61" t="str">
        <f aca="false">IF(Q22="","",Q22)</f>
        <v/>
      </c>
      <c r="AK22" s="61" t="n">
        <f aca="false">AK21+1</f>
        <v>22</v>
      </c>
      <c r="AL22" s="61" t="str">
        <f aca="false">Y22</f>
        <v>jeera powder</v>
      </c>
      <c r="AM22" s="81" t="str">
        <f aca="false">"a = Client().post('"&amp;W22&amp;"', {'recipe' : '"&amp;V22&amp;"', 'ingredient' : '"&amp;Z22&amp;"', 'name' : '"&amp;X22&amp;"', 'mass_unit' : '"&amp;AC22&amp;"', 'mass_quantity' : '"&amp;ROUND(AA22,3)&amp;"', 'volume_unit' : '"&amp;AF22&amp;"', 'volume_quantity' : '"&amp;ROUND(AD22,3)&amp;"', 'pieces_unit' : '"&amp;AI22&amp;"', 'pieces_quantity' : '"&amp;ROUND(AG22,3)&amp;"', 'cooking_notes' : '"&amp;AJ22&amp;"'}).status_code; print('%s :: %s :: %s :: %s :: %s' %(a,"&amp;G22&amp;",'"&amp;X22&amp;"','"&amp;Y22&amp;"','"&amp;U22&amp;"'))"</f>
        <v>a = Client().post('/recipes/varai-khichdi/detail/', {'recipe' : '1', 'ingredient' : '103', 'name' : 'Jeera pwd', 'mass_unit' : '2', 'mass_quantity' : '0', 'volume_unit' : '1', 'volume_quantity' : '0.083', 'pieces_unit' : '3', 'pieces_quantity' : '0', 'cooking_notes' : ''}).status_code; print('%s :: %s :: %s :: %s :: %s' %(a,22,'Jeera pwd','jeera powder','Varai Khichdi'))</v>
      </c>
    </row>
    <row r="23" customFormat="false" ht="13.8" hidden="false" customHeight="false" outlineLevel="0" collapsed="false">
      <c r="G23" s="80" t="n">
        <v>23</v>
      </c>
      <c r="H23" s="98"/>
      <c r="I23" s="99"/>
      <c r="J23" s="79"/>
      <c r="K23" s="100"/>
      <c r="L23" s="100"/>
      <c r="M23" s="100"/>
      <c r="N23" s="100"/>
      <c r="O23" s="101"/>
      <c r="P23" s="100"/>
      <c r="Q23" s="102"/>
      <c r="R23" s="99" t="e">
        <f aca="false">VLOOKUP(J23,ingredient!$N$4:$O$553,2,0)</f>
        <v>#N/A</v>
      </c>
      <c r="S23" s="98"/>
      <c r="T23" s="98"/>
      <c r="U23" s="81" t="n">
        <f aca="false">I23</f>
        <v>0</v>
      </c>
      <c r="V23" s="81" t="e">
        <f aca="false">VLOOKUP(U23,recipe_ingred_list!$A$2:$B$300,2,0)</f>
        <v>#N/A</v>
      </c>
      <c r="W23" s="81" t="e">
        <f aca="false">"/recipes/"&amp;VLOOKUP(U23,recipe_ingred_list!$A$2:$C$300,3,0)&amp;"/detail/"</f>
        <v>#N/A</v>
      </c>
      <c r="X23" s="81" t="n">
        <f aca="false">J23</f>
        <v>0</v>
      </c>
      <c r="Y23" s="81" t="e">
        <f aca="false">R23</f>
        <v>#N/A</v>
      </c>
      <c r="Z23" s="94" t="e">
        <f aca="false">VLOOKUP(Y23,recipe_ingred_list!$D$2:$E$500,2,0)</f>
        <v>#N/A</v>
      </c>
      <c r="AA23" s="61" t="n">
        <f aca="false">K23</f>
        <v>0</v>
      </c>
      <c r="AB23" s="61" t="n">
        <f aca="false">L23</f>
        <v>0</v>
      </c>
      <c r="AC23" s="61" t="n">
        <f aca="false">VLOOKUP(AB23,recipe_ingred_list!$K$2:$M$7,3,0)</f>
        <v>2</v>
      </c>
      <c r="AD23" s="61" t="n">
        <f aca="false">M23</f>
        <v>0</v>
      </c>
      <c r="AE23" s="61" t="n">
        <f aca="false">N23</f>
        <v>0</v>
      </c>
      <c r="AF23" s="61" t="n">
        <f aca="false">VLOOKUP(AE23,recipe_ingred_list!$K$16:$M$25,3,0)</f>
        <v>1</v>
      </c>
      <c r="AG23" s="61" t="n">
        <f aca="false">O23</f>
        <v>0</v>
      </c>
      <c r="AH23" s="61" t="n">
        <f aca="false">P23</f>
        <v>0</v>
      </c>
      <c r="AI23" s="61" t="n">
        <f aca="false">VLOOKUP(AH23,recipe_ingred_list!$K$29:$M$34,3,0)</f>
        <v>3</v>
      </c>
      <c r="AJ23" s="61" t="str">
        <f aca="false">IF(Q23="","",Q23)</f>
        <v/>
      </c>
      <c r="AK23" s="61" t="n">
        <f aca="false">AK22+1</f>
        <v>23</v>
      </c>
      <c r="AL23" s="61" t="e">
        <f aca="false">Y23</f>
        <v>#N/A</v>
      </c>
      <c r="AM23" s="81" t="e">
        <f aca="false">"a = Client().post('"&amp;W23&amp;"', {'recipe' : '"&amp;V23&amp;"', 'ingredient' : '"&amp;Z23&amp;"', 'name' : '"&amp;X23&amp;"', 'mass_unit' : '"&amp;AC23&amp;"', 'mass_quantity' : '"&amp;ROUND(AA23,3)&amp;"', 'volume_unit' : '"&amp;AF23&amp;"', 'volume_quantity' : '"&amp;ROUND(AD23,3)&amp;"', 'pieces_unit' : '"&amp;AI23&amp;"', 'pieces_quantity' : '"&amp;ROUND(AG23,3)&amp;"', 'cooking_notes' : '"&amp;AJ23&amp;"'}).status_code; print('%s :: %s :: %s :: %s :: %s' %(a,"&amp;G23&amp;",'"&amp;X23&amp;"','"&amp;Y23&amp;"','"&amp;U23&amp;"'))"</f>
        <v>#N/A</v>
      </c>
    </row>
    <row r="24" customFormat="false" ht="41.75" hidden="false" customHeight="false" outlineLevel="0" collapsed="false">
      <c r="G24" s="80" t="n">
        <v>24</v>
      </c>
      <c r="H24" s="103" t="s">
        <v>517</v>
      </c>
      <c r="I24" s="104" t="s">
        <v>518</v>
      </c>
      <c r="J24" s="105" t="s">
        <v>519</v>
      </c>
      <c r="K24" s="106" t="s">
        <v>520</v>
      </c>
      <c r="L24" s="106" t="s">
        <v>510</v>
      </c>
      <c r="M24" s="106" t="s">
        <v>521</v>
      </c>
      <c r="N24" s="106" t="s">
        <v>511</v>
      </c>
      <c r="O24" s="106" t="s">
        <v>522</v>
      </c>
      <c r="P24" s="106" t="s">
        <v>512</v>
      </c>
      <c r="Q24" s="106" t="s">
        <v>523</v>
      </c>
      <c r="R24" s="99" t="e">
        <f aca="false">VLOOKUP(J24,ingredient!$N$4:$O$553,2,0)</f>
        <v>#N/A</v>
      </c>
      <c r="S24" s="98"/>
      <c r="T24" s="98"/>
      <c r="U24" s="81" t="str">
        <f aca="false">I24</f>
        <v>recipe</v>
      </c>
      <c r="V24" s="81" t="e">
        <f aca="false">VLOOKUP(U24,recipe_ingred_list!$A$2:$B$300,2,0)</f>
        <v>#N/A</v>
      </c>
      <c r="W24" s="81" t="e">
        <f aca="false">"/recipes/"&amp;VLOOKUP(U24,recipe_ingred_list!$A$2:$C$300,3,0)&amp;"/detail/"</f>
        <v>#N/A</v>
      </c>
      <c r="X24" s="81" t="str">
        <f aca="false">J24</f>
        <v>Name</v>
      </c>
      <c r="Y24" s="81" t="e">
        <f aca="false">R24</f>
        <v>#N/A</v>
      </c>
      <c r="Z24" s="94" t="e">
        <f aca="false">VLOOKUP(Y24,recipe_ingred_list!$D$2:$E$500,2,0)</f>
        <v>#N/A</v>
      </c>
      <c r="AA24" s="61" t="str">
        <f aca="false">K24</f>
        <v>mass_quantity</v>
      </c>
      <c r="AB24" s="61" t="str">
        <f aca="false">L24</f>
        <v>mass_unit</v>
      </c>
      <c r="AC24" s="61" t="e">
        <f aca="false">VLOOKUP(AB24,recipe_ingred_list!$K$2:$M$7,3,0)</f>
        <v>#N/A</v>
      </c>
      <c r="AD24" s="61" t="str">
        <f aca="false">M24</f>
        <v>volume_quantity</v>
      </c>
      <c r="AE24" s="61" t="str">
        <f aca="false">N24</f>
        <v>volume_unit</v>
      </c>
      <c r="AF24" s="61" t="e">
        <f aca="false">VLOOKUP(AE24,recipe_ingred_list!$K$16:$M$25,3,0)</f>
        <v>#N/A</v>
      </c>
      <c r="AG24" s="61" t="str">
        <f aca="false">O24</f>
        <v>pieces_quantity</v>
      </c>
      <c r="AH24" s="61" t="str">
        <f aca="false">P24</f>
        <v>pieces_unit</v>
      </c>
      <c r="AI24" s="61" t="e">
        <f aca="false">VLOOKUP(AH24,recipe_ingred_list!$K$29:$M$34,3,0)</f>
        <v>#N/A</v>
      </c>
      <c r="AJ24" s="61" t="str">
        <f aca="false">IF(Q24="","",Q24)</f>
        <v>Cooking instructions</v>
      </c>
      <c r="AK24" s="61" t="n">
        <f aca="false">AK23+1</f>
        <v>24</v>
      </c>
      <c r="AL24" s="61" t="e">
        <f aca="false">Y24</f>
        <v>#N/A</v>
      </c>
      <c r="AM24" s="81" t="e">
        <f aca="false">"a = Client().post('"&amp;W24&amp;"', {'recipe' : '"&amp;V24&amp;"', 'ingredient' : '"&amp;Z24&amp;"', 'name' : '"&amp;X24&amp;"', 'mass_unit' : '"&amp;AC24&amp;"', 'mass_quantity' : '"&amp;ROUND(AA24,3)&amp;"', 'volume_unit' : '"&amp;AF24&amp;"', 'volume_quantity' : '"&amp;ROUND(AD24,3)&amp;"', 'pieces_unit' : '"&amp;AI24&amp;"', 'pieces_quantity' : '"&amp;ROUND(AG24,3)&amp;"', 'cooking_notes' : '"&amp;AJ24&amp;"'}).status_code; print('%s :: %s :: %s :: %s :: %s' %(a,"&amp;G24&amp;",'"&amp;X24&amp;"','"&amp;Y24&amp;"','"&amp;U24&amp;"'))"</f>
        <v>#N/A</v>
      </c>
    </row>
    <row r="25" customFormat="false" ht="15" hidden="false" customHeight="false" outlineLevel="0" collapsed="false">
      <c r="G25" s="80" t="n">
        <v>25</v>
      </c>
      <c r="H25" s="92" t="s">
        <v>29</v>
      </c>
      <c r="I25" s="69" t="s">
        <v>28</v>
      </c>
      <c r="J25" s="22" t="s">
        <v>29</v>
      </c>
      <c r="K25" s="93" t="n">
        <v>4</v>
      </c>
      <c r="L25" s="93" t="s">
        <v>7</v>
      </c>
      <c r="M25" s="69"/>
      <c r="N25" s="69"/>
      <c r="O25" s="69"/>
      <c r="P25" s="69"/>
      <c r="R25" s="82" t="str">
        <f aca="false">VLOOKUP(J25,ingredient!$N$4:$O$553,2,0)</f>
        <v>salli</v>
      </c>
      <c r="U25" s="81" t="str">
        <f aca="false">I25</f>
        <v>Potato Salli</v>
      </c>
      <c r="V25" s="81" t="n">
        <f aca="false">VLOOKUP(U25,recipe_ingred_list!$A$2:$B$300,2,0)</f>
        <v>94</v>
      </c>
      <c r="W25" s="81" t="str">
        <f aca="false">"/recipes/"&amp;VLOOKUP(U25,recipe_ingred_list!$A$2:$C$300,3,0)&amp;"/detail/"</f>
        <v>/recipes/potato-salli/detail/</v>
      </c>
      <c r="X25" s="81" t="str">
        <f aca="false">J25</f>
        <v>Salli</v>
      </c>
      <c r="Y25" s="81" t="str">
        <f aca="false">R25</f>
        <v>salli</v>
      </c>
      <c r="Z25" s="94" t="n">
        <f aca="false">VLOOKUP(Y25,recipe_ingred_list!$D$2:$E$500,2,0)</f>
        <v>215</v>
      </c>
      <c r="AA25" s="61" t="n">
        <f aca="false">K25</f>
        <v>4</v>
      </c>
      <c r="AB25" s="61" t="str">
        <f aca="false">L25</f>
        <v>kg</v>
      </c>
      <c r="AC25" s="61" t="n">
        <f aca="false">VLOOKUP(AB25,recipe_ingred_list!$K$2:$M$7,3,0)</f>
        <v>2</v>
      </c>
      <c r="AD25" s="61" t="n">
        <f aca="false">M25</f>
        <v>0</v>
      </c>
      <c r="AE25" s="61" t="n">
        <f aca="false">N25</f>
        <v>0</v>
      </c>
      <c r="AF25" s="61" t="n">
        <f aca="false">VLOOKUP(AE25,recipe_ingred_list!$K$16:$M$25,3,0)</f>
        <v>1</v>
      </c>
      <c r="AG25" s="61" t="n">
        <f aca="false">O25</f>
        <v>0</v>
      </c>
      <c r="AH25" s="61" t="n">
        <f aca="false">P25</f>
        <v>0</v>
      </c>
      <c r="AI25" s="61" t="n">
        <f aca="false">VLOOKUP(AH25,recipe_ingred_list!$K$29:$M$34,3,0)</f>
        <v>3</v>
      </c>
      <c r="AJ25" s="61" t="str">
        <f aca="false">IF(Q25="","",Q25)</f>
        <v/>
      </c>
      <c r="AK25" s="61" t="n">
        <f aca="false">AK24+1</f>
        <v>25</v>
      </c>
      <c r="AL25" s="61" t="str">
        <f aca="false">Y25</f>
        <v>salli</v>
      </c>
      <c r="AM25" s="81" t="str">
        <f aca="false">"a = Client().post('"&amp;W25&amp;"', {'recipe' : '"&amp;V25&amp;"', 'ingredient' : '"&amp;Z25&amp;"', 'name' : '"&amp;X25&amp;"', 'mass_unit' : '"&amp;AC25&amp;"', 'mass_quantity' : '"&amp;ROUND(AA25,3)&amp;"', 'volume_unit' : '"&amp;AF25&amp;"', 'volume_quantity' : '"&amp;ROUND(AD25,3)&amp;"', 'pieces_unit' : '"&amp;AI25&amp;"', 'pieces_quantity' : '"&amp;ROUND(AG25,3)&amp;"', 'cooking_notes' : '"&amp;AJ25&amp;"'}).status_code; print('%s :: %s :: %s :: %s :: %s' %(a,"&amp;G25&amp;",'"&amp;X25&amp;"','"&amp;Y25&amp;"','"&amp;U25&amp;"'))"</f>
        <v>a = Client().post('/recipes/potato-salli/detail/', {'recipe' : '94', 'ingredient' : '215', 'name' : 'Salli', 'mass_unit' : '2', 'mass_quantity' : '4', 'volume_unit' : '1', 'volume_quantity' : '0', 'pieces_unit' : '3', 'pieces_quantity' : '0', 'cooking_notes' : ''}).status_code; print('%s :: %s :: %s :: %s :: %s' %(a,25,'Salli','salli','Potato Salli'))</v>
      </c>
    </row>
    <row r="26" customFormat="false" ht="15" hidden="false" customHeight="false" outlineLevel="0" collapsed="false">
      <c r="G26" s="80" t="n">
        <v>26</v>
      </c>
      <c r="H26" s="107" t="s">
        <v>30</v>
      </c>
      <c r="I26" s="61" t="s">
        <v>28</v>
      </c>
      <c r="J26" s="29" t="s">
        <v>30</v>
      </c>
      <c r="M26" s="97" t="n">
        <v>0.5</v>
      </c>
      <c r="N26" s="97" t="s">
        <v>20</v>
      </c>
      <c r="R26" s="82" t="str">
        <f aca="false">VLOOKUP(J26,ingredient!$N$4:$O$553,2,0)</f>
        <v>black pepper</v>
      </c>
      <c r="U26" s="81" t="str">
        <f aca="false">I26</f>
        <v>Potato Salli</v>
      </c>
      <c r="V26" s="81" t="n">
        <f aca="false">VLOOKUP(U26,recipe_ingred_list!$A$2:$B$300,2,0)</f>
        <v>94</v>
      </c>
      <c r="W26" s="81" t="str">
        <f aca="false">"/recipes/"&amp;VLOOKUP(U26,recipe_ingred_list!$A$2:$C$300,3,0)&amp;"/detail/"</f>
        <v>/recipes/potato-salli/detail/</v>
      </c>
      <c r="X26" s="81" t="str">
        <f aca="false">J26</f>
        <v>Black Pepper Pwd</v>
      </c>
      <c r="Y26" s="81" t="str">
        <f aca="false">R26</f>
        <v>black pepper</v>
      </c>
      <c r="Z26" s="94" t="n">
        <f aca="false">VLOOKUP(Y26,recipe_ingred_list!$D$2:$E$500,2,0)</f>
        <v>31</v>
      </c>
      <c r="AA26" s="61" t="n">
        <f aca="false">K26</f>
        <v>0</v>
      </c>
      <c r="AB26" s="61" t="n">
        <f aca="false">L26</f>
        <v>0</v>
      </c>
      <c r="AC26" s="61" t="n">
        <f aca="false">VLOOKUP(AB26,recipe_ingred_list!$K$2:$M$7,3,0)</f>
        <v>2</v>
      </c>
      <c r="AD26" s="61" t="n">
        <f aca="false">M26</f>
        <v>0.5</v>
      </c>
      <c r="AE26" s="61" t="str">
        <f aca="false">N26</f>
        <v>cup</v>
      </c>
      <c r="AF26" s="61" t="n">
        <f aca="false">VLOOKUP(AE26,recipe_ingred_list!$K$16:$M$25,3,0)</f>
        <v>5</v>
      </c>
      <c r="AG26" s="61" t="n">
        <f aca="false">O26</f>
        <v>0</v>
      </c>
      <c r="AH26" s="61" t="n">
        <f aca="false">P26</f>
        <v>0</v>
      </c>
      <c r="AI26" s="61" t="n">
        <f aca="false">VLOOKUP(AH26,recipe_ingred_list!$K$29:$M$34,3,0)</f>
        <v>3</v>
      </c>
      <c r="AJ26" s="61" t="str">
        <f aca="false">IF(Q26="","",Q26)</f>
        <v/>
      </c>
      <c r="AK26" s="61" t="n">
        <f aca="false">AK25+1</f>
        <v>26</v>
      </c>
      <c r="AL26" s="61" t="str">
        <f aca="false">Y26</f>
        <v>black pepper</v>
      </c>
      <c r="AM26" s="81" t="str">
        <f aca="false">"a = Client().post('"&amp;W26&amp;"', {'recipe' : '"&amp;V26&amp;"', 'ingredient' : '"&amp;Z26&amp;"', 'name' : '"&amp;X26&amp;"', 'mass_unit' : '"&amp;AC26&amp;"', 'mass_quantity' : '"&amp;ROUND(AA26,3)&amp;"', 'volume_unit' : '"&amp;AF26&amp;"', 'volume_quantity' : '"&amp;ROUND(AD26,3)&amp;"', 'pieces_unit' : '"&amp;AI26&amp;"', 'pieces_quantity' : '"&amp;ROUND(AG26,3)&amp;"', 'cooking_notes' : '"&amp;AJ26&amp;"'}).status_code; print('%s :: %s :: %s :: %s :: %s' %(a,"&amp;G26&amp;",'"&amp;X26&amp;"','"&amp;Y26&amp;"','"&amp;U26&amp;"'))"</f>
        <v>a = Client().post('/recipes/potato-salli/detail/', {'recipe' : '94', 'ingredient' : '31', 'name' : 'Black Pepper Pwd', 'mass_unit' : '2', 'mass_quantity' : '0', 'volume_unit' : '5', 'volume_quantity' : '0.5', 'pieces_unit' : '3', 'pieces_quantity' : '0', 'cooking_notes' : ''}).status_code; print('%s :: %s :: %s :: %s :: %s' %(a,26,'Black Pepper Pwd','black pepper','Potato Salli'))</v>
      </c>
    </row>
    <row r="27" customFormat="false" ht="15" hidden="false" customHeight="false" outlineLevel="0" collapsed="false">
      <c r="G27" s="80" t="n">
        <v>27</v>
      </c>
      <c r="H27" s="107" t="s">
        <v>31</v>
      </c>
      <c r="I27" s="61" t="s">
        <v>28</v>
      </c>
      <c r="J27" s="29" t="s">
        <v>31</v>
      </c>
      <c r="M27" s="97" t="n">
        <v>0.5</v>
      </c>
      <c r="N27" s="97" t="s">
        <v>20</v>
      </c>
      <c r="R27" s="82" t="str">
        <f aca="false">VLOOKUP(J27,ingredient!$N$4:$O$553,2,0)</f>
        <v>black salt</v>
      </c>
      <c r="U27" s="81" t="str">
        <f aca="false">I27</f>
        <v>Potato Salli</v>
      </c>
      <c r="V27" s="81" t="n">
        <f aca="false">VLOOKUP(U27,recipe_ingred_list!$A$2:$B$300,2,0)</f>
        <v>94</v>
      </c>
      <c r="W27" s="81" t="str">
        <f aca="false">"/recipes/"&amp;VLOOKUP(U27,recipe_ingred_list!$A$2:$C$300,3,0)&amp;"/detail/"</f>
        <v>/recipes/potato-salli/detail/</v>
      </c>
      <c r="X27" s="81" t="str">
        <f aca="false">J27</f>
        <v>Black Salt</v>
      </c>
      <c r="Y27" s="81" t="str">
        <f aca="false">R27</f>
        <v>black salt</v>
      </c>
      <c r="Z27" s="94" t="n">
        <f aca="false">VLOOKUP(Y27,recipe_ingred_list!$D$2:$E$500,2,0)</f>
        <v>32</v>
      </c>
      <c r="AA27" s="61" t="n">
        <f aca="false">K27</f>
        <v>0</v>
      </c>
      <c r="AB27" s="61" t="n">
        <f aca="false">L27</f>
        <v>0</v>
      </c>
      <c r="AC27" s="61" t="n">
        <f aca="false">VLOOKUP(AB27,recipe_ingred_list!$K$2:$M$7,3,0)</f>
        <v>2</v>
      </c>
      <c r="AD27" s="61" t="n">
        <f aca="false">M27</f>
        <v>0.5</v>
      </c>
      <c r="AE27" s="61" t="str">
        <f aca="false">N27</f>
        <v>cup</v>
      </c>
      <c r="AF27" s="61" t="n">
        <f aca="false">VLOOKUP(AE27,recipe_ingred_list!$K$16:$M$25,3,0)</f>
        <v>5</v>
      </c>
      <c r="AG27" s="61" t="n">
        <f aca="false">O27</f>
        <v>0</v>
      </c>
      <c r="AH27" s="61" t="n">
        <f aca="false">P27</f>
        <v>0</v>
      </c>
      <c r="AI27" s="61" t="n">
        <f aca="false">VLOOKUP(AH27,recipe_ingred_list!$K$29:$M$34,3,0)</f>
        <v>3</v>
      </c>
      <c r="AJ27" s="61" t="str">
        <f aca="false">IF(Q27="","",Q27)</f>
        <v/>
      </c>
      <c r="AK27" s="61" t="n">
        <f aca="false">AK26+1</f>
        <v>27</v>
      </c>
      <c r="AL27" s="61" t="str">
        <f aca="false">Y27</f>
        <v>black salt</v>
      </c>
      <c r="AM27" s="81" t="str">
        <f aca="false">"a = Client().post('"&amp;W27&amp;"', {'recipe' : '"&amp;V27&amp;"', 'ingredient' : '"&amp;Z27&amp;"', 'name' : '"&amp;X27&amp;"', 'mass_unit' : '"&amp;AC27&amp;"', 'mass_quantity' : '"&amp;ROUND(AA27,3)&amp;"', 'volume_unit' : '"&amp;AF27&amp;"', 'volume_quantity' : '"&amp;ROUND(AD27,3)&amp;"', 'pieces_unit' : '"&amp;AI27&amp;"', 'pieces_quantity' : '"&amp;ROUND(AG27,3)&amp;"', 'cooking_notes' : '"&amp;AJ27&amp;"'}).status_code; print('%s :: %s :: %s :: %s :: %s' %(a,"&amp;G27&amp;",'"&amp;X27&amp;"','"&amp;Y27&amp;"','"&amp;U27&amp;"'))"</f>
        <v>a = Client().post('/recipes/potato-salli/detail/', {'recipe' : '94', 'ingredient' : '32', 'name' : 'Black Salt', 'mass_unit' : '2', 'mass_quantity' : '0', 'volume_unit' : '5', 'volume_quantity' : '0.5', 'pieces_unit' : '3', 'pieces_quantity' : '0', 'cooking_notes' : ''}).status_code; print('%s :: %s :: %s :: %s :: %s' %(a,27,'Black Salt','black salt','Potato Salli'))</v>
      </c>
    </row>
    <row r="28" customFormat="false" ht="15" hidden="false" customHeight="false" outlineLevel="0" collapsed="false">
      <c r="G28" s="80" t="n">
        <v>28</v>
      </c>
      <c r="H28" s="107" t="s">
        <v>32</v>
      </c>
      <c r="I28" s="61" t="s">
        <v>28</v>
      </c>
      <c r="J28" s="29" t="s">
        <v>32</v>
      </c>
      <c r="M28" s="97" t="n">
        <v>0.5</v>
      </c>
      <c r="N28" s="97" t="s">
        <v>20</v>
      </c>
      <c r="R28" s="82" t="str">
        <f aca="false">VLOOKUP(J28,ingredient!$N$4:$O$553,2,0)</f>
        <v>salt</v>
      </c>
      <c r="U28" s="81" t="str">
        <f aca="false">I28</f>
        <v>Potato Salli</v>
      </c>
      <c r="V28" s="81" t="n">
        <f aca="false">VLOOKUP(U28,recipe_ingred_list!$A$2:$B$300,2,0)</f>
        <v>94</v>
      </c>
      <c r="W28" s="81" t="str">
        <f aca="false">"/recipes/"&amp;VLOOKUP(U28,recipe_ingred_list!$A$2:$C$300,3,0)&amp;"/detail/"</f>
        <v>/recipes/potato-salli/detail/</v>
      </c>
      <c r="X28" s="81" t="str">
        <f aca="false">J28</f>
        <v>Salt</v>
      </c>
      <c r="Y28" s="81" t="str">
        <f aca="false">R28</f>
        <v>salt</v>
      </c>
      <c r="Z28" s="94" t="n">
        <f aca="false">VLOOKUP(Y28,recipe_ingred_list!$D$2:$E$500,2,0)</f>
        <v>177</v>
      </c>
      <c r="AA28" s="61" t="n">
        <f aca="false">K28</f>
        <v>0</v>
      </c>
      <c r="AB28" s="61" t="n">
        <f aca="false">L28</f>
        <v>0</v>
      </c>
      <c r="AC28" s="61" t="n">
        <f aca="false">VLOOKUP(AB28,recipe_ingred_list!$K$2:$M$7,3,0)</f>
        <v>2</v>
      </c>
      <c r="AD28" s="61" t="n">
        <f aca="false">M28</f>
        <v>0.5</v>
      </c>
      <c r="AE28" s="61" t="str">
        <f aca="false">N28</f>
        <v>cup</v>
      </c>
      <c r="AF28" s="61" t="n">
        <f aca="false">VLOOKUP(AE28,recipe_ingred_list!$K$16:$M$25,3,0)</f>
        <v>5</v>
      </c>
      <c r="AG28" s="61" t="n">
        <f aca="false">O28</f>
        <v>0</v>
      </c>
      <c r="AH28" s="61" t="n">
        <f aca="false">P28</f>
        <v>0</v>
      </c>
      <c r="AI28" s="61" t="n">
        <f aca="false">VLOOKUP(AH28,recipe_ingred_list!$K$29:$M$34,3,0)</f>
        <v>3</v>
      </c>
      <c r="AJ28" s="61" t="str">
        <f aca="false">IF(Q28="","",Q28)</f>
        <v/>
      </c>
      <c r="AK28" s="61" t="n">
        <f aca="false">AK27+1</f>
        <v>28</v>
      </c>
      <c r="AL28" s="61" t="str">
        <f aca="false">Y28</f>
        <v>salt</v>
      </c>
      <c r="AM28" s="81" t="str">
        <f aca="false">"a = Client().post('"&amp;W28&amp;"', {'recipe' : '"&amp;V28&amp;"', 'ingredient' : '"&amp;Z28&amp;"', 'name' : '"&amp;X28&amp;"', 'mass_unit' : '"&amp;AC28&amp;"', 'mass_quantity' : '"&amp;ROUND(AA28,3)&amp;"', 'volume_unit' : '"&amp;AF28&amp;"', 'volume_quantity' : '"&amp;ROUND(AD28,3)&amp;"', 'pieces_unit' : '"&amp;AI28&amp;"', 'pieces_quantity' : '"&amp;ROUND(AG28,3)&amp;"', 'cooking_notes' : '"&amp;AJ28&amp;"'}).status_code; print('%s :: %s :: %s :: %s :: %s' %(a,"&amp;G28&amp;",'"&amp;X28&amp;"','"&amp;Y28&amp;"','"&amp;U28&amp;"'))"</f>
        <v>a = Client().post('/recipes/potato-salli/detail/', {'recipe' : '94', 'ingredient' : '177', 'name' : 'Salt', 'mass_unit' : '2', 'mass_quantity' : '0', 'volume_unit' : '5', 'volume_quantity' : '0.5', 'pieces_unit' : '3', 'pieces_quantity' : '0', 'cooking_notes' : ''}).status_code; print('%s :: %s :: %s :: %s :: %s' %(a,28,'Salt','salt','Potato Salli'))</v>
      </c>
    </row>
    <row r="29" customFormat="false" ht="15" hidden="false" customHeight="false" outlineLevel="0" collapsed="false">
      <c r="G29" s="80" t="n">
        <v>29</v>
      </c>
      <c r="H29" s="107" t="s">
        <v>77</v>
      </c>
      <c r="I29" s="69" t="s">
        <v>28</v>
      </c>
      <c r="J29" s="32" t="s">
        <v>33</v>
      </c>
      <c r="K29" s="0"/>
      <c r="L29" s="0"/>
      <c r="M29" s="97" t="n">
        <v>0</v>
      </c>
      <c r="N29" s="97" t="s">
        <v>13</v>
      </c>
      <c r="O29" s="69"/>
      <c r="P29" s="69"/>
      <c r="R29" s="82" t="str">
        <f aca="false">VLOOKUP(J29,ingredient!$N$4:$O$553,2,0)</f>
        <v>gound nut oil</v>
      </c>
      <c r="U29" s="81" t="str">
        <f aca="false">I29</f>
        <v>Potato Salli</v>
      </c>
      <c r="V29" s="81" t="n">
        <f aca="false">VLOOKUP(U29,recipe_ingred_list!$A$2:$B$300,2,0)</f>
        <v>94</v>
      </c>
      <c r="W29" s="81" t="str">
        <f aca="false">"/recipes/"&amp;VLOOKUP(U29,recipe_ingred_list!$A$2:$C$300,3,0)&amp;"/detail/"</f>
        <v>/recipes/potato-salli/detail/</v>
      </c>
      <c r="X29" s="81" t="str">
        <f aca="false">J29</f>
        <v>Oil for frying </v>
      </c>
      <c r="Y29" s="81" t="str">
        <f aca="false">R29</f>
        <v>gound nut oil</v>
      </c>
      <c r="Z29" s="94" t="n">
        <f aca="false">VLOOKUP(Y29,recipe_ingred_list!$D$2:$E$500,2,0)</f>
        <v>83</v>
      </c>
      <c r="AA29" s="61" t="n">
        <f aca="false">K29</f>
        <v>0</v>
      </c>
      <c r="AB29" s="61" t="n">
        <f aca="false">L29</f>
        <v>0</v>
      </c>
      <c r="AC29" s="61" t="n">
        <f aca="false">VLOOKUP(AB29,recipe_ingred_list!$K$2:$M$7,3,0)</f>
        <v>2</v>
      </c>
      <c r="AD29" s="61" t="n">
        <f aca="false">M29</f>
        <v>0</v>
      </c>
      <c r="AE29" s="61" t="str">
        <f aca="false">N29</f>
        <v>ltr</v>
      </c>
      <c r="AF29" s="61" t="n">
        <f aca="false">VLOOKUP(AE29,recipe_ingred_list!$K$16:$M$25,3,0)</f>
        <v>1</v>
      </c>
      <c r="AG29" s="61" t="n">
        <f aca="false">O29</f>
        <v>0</v>
      </c>
      <c r="AH29" s="61" t="n">
        <f aca="false">P29</f>
        <v>0</v>
      </c>
      <c r="AI29" s="61" t="n">
        <f aca="false">VLOOKUP(AH29,recipe_ingred_list!$K$29:$M$34,3,0)</f>
        <v>3</v>
      </c>
      <c r="AJ29" s="61" t="str">
        <f aca="false">IF(Q29="","",Q29)</f>
        <v/>
      </c>
      <c r="AK29" s="61" t="n">
        <f aca="false">AK28+1</f>
        <v>29</v>
      </c>
      <c r="AL29" s="61" t="str">
        <f aca="false">Y29</f>
        <v>gound nut oil</v>
      </c>
      <c r="AM29" s="81" t="str">
        <f aca="false">"a = Client().post('"&amp;W29&amp;"', {'recipe' : '"&amp;V29&amp;"', 'ingredient' : '"&amp;Z29&amp;"', 'name' : '"&amp;X29&amp;"', 'mass_unit' : '"&amp;AC29&amp;"', 'mass_quantity' : '"&amp;ROUND(AA29,3)&amp;"', 'volume_unit' : '"&amp;AF29&amp;"', 'volume_quantity' : '"&amp;ROUND(AD29,3)&amp;"', 'pieces_unit' : '"&amp;AI29&amp;"', 'pieces_quantity' : '"&amp;ROUND(AG29,3)&amp;"', 'cooking_notes' : '"&amp;AJ29&amp;"'}).status_code; print('%s :: %s :: %s :: %s :: %s' %(a,"&amp;G29&amp;",'"&amp;X29&amp;"','"&amp;Y29&amp;"','"&amp;U29&amp;"'))"</f>
        <v>a = Client().post('/recipes/potato-salli/detail/', {'recipe' : '94', 'ingredient' : '83', 'name' : 'Oil for frying ', 'mass_unit' : '2', 'mass_quantity' : '0', 'volume_unit' : '1', 'volume_quantity' : '0', 'pieces_unit' : '3', 'pieces_quantity' : '0', 'cooking_notes' : ''}).status_code; print('%s :: %s :: %s :: %s :: %s' %(a,29,'Oil for frying ','gound nut oil','Potato Salli'))</v>
      </c>
    </row>
    <row r="30" customFormat="false" ht="13.8" hidden="false" customHeight="false" outlineLevel="0" collapsed="false">
      <c r="G30" s="80" t="n">
        <v>30</v>
      </c>
      <c r="H30" s="98"/>
      <c r="I30" s="99"/>
      <c r="J30" s="79"/>
      <c r="K30" s="100"/>
      <c r="L30" s="100"/>
      <c r="M30" s="100"/>
      <c r="N30" s="100"/>
      <c r="O30" s="101"/>
      <c r="P30" s="100"/>
      <c r="Q30" s="102"/>
      <c r="R30" s="99" t="e">
        <f aca="false">VLOOKUP(J30,ingredient!$N$4:$O$553,2,0)</f>
        <v>#N/A</v>
      </c>
      <c r="S30" s="98"/>
      <c r="T30" s="98"/>
      <c r="U30" s="81" t="n">
        <f aca="false">I30</f>
        <v>0</v>
      </c>
      <c r="V30" s="81" t="e">
        <f aca="false">VLOOKUP(U30,recipe_ingred_list!$A$2:$B$300,2,0)</f>
        <v>#N/A</v>
      </c>
      <c r="W30" s="81" t="e">
        <f aca="false">"/recipes/"&amp;VLOOKUP(U30,recipe_ingred_list!$A$2:$C$300,3,0)&amp;"/detail/"</f>
        <v>#N/A</v>
      </c>
      <c r="X30" s="81" t="n">
        <f aca="false">J30</f>
        <v>0</v>
      </c>
      <c r="Y30" s="81" t="e">
        <f aca="false">R30</f>
        <v>#N/A</v>
      </c>
      <c r="Z30" s="94" t="e">
        <f aca="false">VLOOKUP(Y30,recipe_ingred_list!$D$2:$E$500,2,0)</f>
        <v>#N/A</v>
      </c>
      <c r="AA30" s="61" t="n">
        <f aca="false">K30</f>
        <v>0</v>
      </c>
      <c r="AB30" s="61" t="n">
        <f aca="false">L30</f>
        <v>0</v>
      </c>
      <c r="AC30" s="61" t="n">
        <f aca="false">VLOOKUP(AB30,recipe_ingred_list!$K$2:$M$7,3,0)</f>
        <v>2</v>
      </c>
      <c r="AD30" s="61" t="n">
        <f aca="false">M30</f>
        <v>0</v>
      </c>
      <c r="AE30" s="61" t="n">
        <f aca="false">N30</f>
        <v>0</v>
      </c>
      <c r="AF30" s="61" t="n">
        <f aca="false">VLOOKUP(AE30,recipe_ingred_list!$K$16:$M$25,3,0)</f>
        <v>1</v>
      </c>
      <c r="AG30" s="61" t="n">
        <f aca="false">O30</f>
        <v>0</v>
      </c>
      <c r="AH30" s="61" t="n">
        <f aca="false">P30</f>
        <v>0</v>
      </c>
      <c r="AI30" s="61" t="n">
        <f aca="false">VLOOKUP(AH30,recipe_ingred_list!$K$29:$M$34,3,0)</f>
        <v>3</v>
      </c>
      <c r="AJ30" s="61" t="str">
        <f aca="false">IF(Q30="","",Q30)</f>
        <v/>
      </c>
      <c r="AK30" s="61" t="n">
        <f aca="false">AK29+1</f>
        <v>30</v>
      </c>
      <c r="AL30" s="61" t="e">
        <f aca="false">Y30</f>
        <v>#N/A</v>
      </c>
      <c r="AM30" s="81" t="e">
        <f aca="false">"a = Client().post('"&amp;W30&amp;"', {'recipe' : '"&amp;V30&amp;"', 'ingredient' : '"&amp;Z30&amp;"', 'name' : '"&amp;X30&amp;"', 'mass_unit' : '"&amp;AC30&amp;"', 'mass_quantity' : '"&amp;ROUND(AA30,3)&amp;"', 'volume_unit' : '"&amp;AF30&amp;"', 'volume_quantity' : '"&amp;ROUND(AD30,3)&amp;"', 'pieces_unit' : '"&amp;AI30&amp;"', 'pieces_quantity' : '"&amp;ROUND(AG30,3)&amp;"', 'cooking_notes' : '"&amp;AJ30&amp;"'}).status_code; print('%s :: %s :: %s :: %s :: %s' %(a,"&amp;G30&amp;",'"&amp;X30&amp;"','"&amp;Y30&amp;"','"&amp;U30&amp;"'))"</f>
        <v>#N/A</v>
      </c>
    </row>
    <row r="31" customFormat="false" ht="41.75" hidden="false" customHeight="false" outlineLevel="0" collapsed="false">
      <c r="G31" s="80" t="n">
        <v>31</v>
      </c>
      <c r="H31" s="103" t="s">
        <v>517</v>
      </c>
      <c r="I31" s="104" t="s">
        <v>518</v>
      </c>
      <c r="J31" s="105" t="s">
        <v>519</v>
      </c>
      <c r="K31" s="106" t="s">
        <v>520</v>
      </c>
      <c r="L31" s="106" t="s">
        <v>510</v>
      </c>
      <c r="M31" s="106" t="s">
        <v>521</v>
      </c>
      <c r="N31" s="106" t="s">
        <v>511</v>
      </c>
      <c r="O31" s="106" t="s">
        <v>522</v>
      </c>
      <c r="P31" s="106" t="s">
        <v>512</v>
      </c>
      <c r="Q31" s="106" t="s">
        <v>523</v>
      </c>
      <c r="R31" s="99" t="e">
        <f aca="false">VLOOKUP(J31,ingredient!$N$4:$O$553,2,0)</f>
        <v>#N/A</v>
      </c>
      <c r="S31" s="98"/>
      <c r="T31" s="98"/>
      <c r="U31" s="81" t="str">
        <f aca="false">I31</f>
        <v>recipe</v>
      </c>
      <c r="V31" s="81" t="e">
        <f aca="false">VLOOKUP(U31,recipe_ingred_list!$A$2:$B$300,2,0)</f>
        <v>#N/A</v>
      </c>
      <c r="W31" s="81" t="e">
        <f aca="false">"/recipes/"&amp;VLOOKUP(U31,recipe_ingred_list!$A$2:$C$300,3,0)&amp;"/detail/"</f>
        <v>#N/A</v>
      </c>
      <c r="X31" s="81" t="str">
        <f aca="false">J31</f>
        <v>Name</v>
      </c>
      <c r="Y31" s="81" t="e">
        <f aca="false">R31</f>
        <v>#N/A</v>
      </c>
      <c r="Z31" s="94" t="e">
        <f aca="false">VLOOKUP(Y31,recipe_ingred_list!$D$2:$E$500,2,0)</f>
        <v>#N/A</v>
      </c>
      <c r="AA31" s="61" t="str">
        <f aca="false">K31</f>
        <v>mass_quantity</v>
      </c>
      <c r="AB31" s="61" t="str">
        <f aca="false">L31</f>
        <v>mass_unit</v>
      </c>
      <c r="AC31" s="61" t="e">
        <f aca="false">VLOOKUP(AB31,recipe_ingred_list!$K$2:$M$7,3,0)</f>
        <v>#N/A</v>
      </c>
      <c r="AD31" s="61" t="str">
        <f aca="false">M31</f>
        <v>volume_quantity</v>
      </c>
      <c r="AE31" s="61" t="str">
        <f aca="false">N31</f>
        <v>volume_unit</v>
      </c>
      <c r="AF31" s="61" t="e">
        <f aca="false">VLOOKUP(AE31,recipe_ingred_list!$K$16:$M$25,3,0)</f>
        <v>#N/A</v>
      </c>
      <c r="AG31" s="61" t="str">
        <f aca="false">O31</f>
        <v>pieces_quantity</v>
      </c>
      <c r="AH31" s="61" t="str">
        <f aca="false">P31</f>
        <v>pieces_unit</v>
      </c>
      <c r="AI31" s="61" t="e">
        <f aca="false">VLOOKUP(AH31,recipe_ingred_list!$K$29:$M$34,3,0)</f>
        <v>#N/A</v>
      </c>
      <c r="AJ31" s="61" t="str">
        <f aca="false">IF(Q31="","",Q31)</f>
        <v>Cooking instructions</v>
      </c>
      <c r="AK31" s="61" t="n">
        <f aca="false">AK30+1</f>
        <v>31</v>
      </c>
      <c r="AL31" s="61" t="e">
        <f aca="false">Y31</f>
        <v>#N/A</v>
      </c>
      <c r="AM31" s="81" t="e">
        <f aca="false">"a = Client().post('"&amp;W31&amp;"', {'recipe' : '"&amp;V31&amp;"', 'ingredient' : '"&amp;Z31&amp;"', 'name' : '"&amp;X31&amp;"', 'mass_unit' : '"&amp;AC31&amp;"', 'mass_quantity' : '"&amp;ROUND(AA31,3)&amp;"', 'volume_unit' : '"&amp;AF31&amp;"', 'volume_quantity' : '"&amp;ROUND(AD31,3)&amp;"', 'pieces_unit' : '"&amp;AI31&amp;"', 'pieces_quantity' : '"&amp;ROUND(AG31,3)&amp;"', 'cooking_notes' : '"&amp;AJ31&amp;"'}).status_code; print('%s :: %s :: %s :: %s :: %s' %(a,"&amp;G31&amp;",'"&amp;X31&amp;"','"&amp;Y31&amp;"','"&amp;U31&amp;"'))"</f>
        <v>#N/A</v>
      </c>
    </row>
    <row r="32" s="113" customFormat="true" ht="15" hidden="false" customHeight="false" outlineLevel="0" collapsed="false">
      <c r="A32" s="0"/>
      <c r="B32" s="0"/>
      <c r="C32" s="0"/>
      <c r="D32" s="0"/>
      <c r="E32" s="0"/>
      <c r="F32" s="0"/>
      <c r="G32" s="80" t="n">
        <v>32</v>
      </c>
      <c r="H32" s="108" t="s">
        <v>6</v>
      </c>
      <c r="I32" s="13" t="s">
        <v>389</v>
      </c>
      <c r="J32" s="20" t="s">
        <v>6</v>
      </c>
      <c r="K32" s="109" t="n">
        <v>30</v>
      </c>
      <c r="L32" s="110" t="s">
        <v>7</v>
      </c>
      <c r="M32" s="71"/>
      <c r="N32" s="71"/>
      <c r="O32" s="71"/>
      <c r="P32" s="71"/>
      <c r="Q32" s="111"/>
      <c r="R32" s="112" t="str">
        <f aca="false">VLOOKUP(J32,ingredient!$N$4:$O$553,2,0)</f>
        <v>varai</v>
      </c>
      <c r="U32" s="81" t="str">
        <f aca="false">I32</f>
        <v>Varai Pulav2</v>
      </c>
      <c r="V32" s="81" t="n">
        <f aca="false">VLOOKUP(U32,recipe_ingred_list!$A$2:$B$300,2,0)</f>
        <v>96</v>
      </c>
      <c r="W32" s="81" t="str">
        <f aca="false">"/recipes/"&amp;VLOOKUP(U32,recipe_ingred_list!$A$2:$C$300,3,0)&amp;"/detail/"</f>
        <v>/recipes/varai-pulav2/detail/</v>
      </c>
      <c r="X32" s="81" t="str">
        <f aca="false">J32</f>
        <v>Varai rice</v>
      </c>
      <c r="Y32" s="81" t="str">
        <f aca="false">R32</f>
        <v>varai</v>
      </c>
      <c r="Z32" s="94" t="n">
        <f aca="false">VLOOKUP(Y32,recipe_ingred_list!$D$2:$E$500,2,0)</f>
        <v>201</v>
      </c>
      <c r="AA32" s="61" t="n">
        <f aca="false">K32</f>
        <v>30</v>
      </c>
      <c r="AB32" s="61" t="str">
        <f aca="false">L32</f>
        <v>kg</v>
      </c>
      <c r="AC32" s="61" t="n">
        <f aca="false">VLOOKUP(AB32,recipe_ingred_list!$K$2:$M$7,3,0)</f>
        <v>2</v>
      </c>
      <c r="AD32" s="61" t="n">
        <f aca="false">M32</f>
        <v>0</v>
      </c>
      <c r="AE32" s="61" t="n">
        <f aca="false">N32</f>
        <v>0</v>
      </c>
      <c r="AF32" s="61" t="n">
        <f aca="false">VLOOKUP(AE32,recipe_ingred_list!$K$16:$M$25,3,0)</f>
        <v>1</v>
      </c>
      <c r="AG32" s="61" t="n">
        <f aca="false">O32</f>
        <v>0</v>
      </c>
      <c r="AH32" s="61" t="n">
        <f aca="false">P32</f>
        <v>0</v>
      </c>
      <c r="AI32" s="61" t="n">
        <f aca="false">VLOOKUP(AH32,recipe_ingred_list!$K$29:$M$34,3,0)</f>
        <v>3</v>
      </c>
      <c r="AJ32" s="61" t="str">
        <f aca="false">IF(Q32="","",Q32)</f>
        <v/>
      </c>
      <c r="AK32" s="61" t="n">
        <f aca="false">AK31+1</f>
        <v>32</v>
      </c>
      <c r="AL32" s="61" t="str">
        <f aca="false">Y32</f>
        <v>varai</v>
      </c>
      <c r="AM32" s="81" t="str">
        <f aca="false">"a = Client().post('"&amp;W32&amp;"', {'recipe' : '"&amp;V32&amp;"', 'ingredient' : '"&amp;Z32&amp;"', 'name' : '"&amp;X32&amp;"', 'mass_unit' : '"&amp;AC32&amp;"', 'mass_quantity' : '"&amp;ROUND(AA32,3)&amp;"', 'volume_unit' : '"&amp;AF32&amp;"', 'volume_quantity' : '"&amp;ROUND(AD32,3)&amp;"', 'pieces_unit' : '"&amp;AI32&amp;"', 'pieces_quantity' : '"&amp;ROUND(AG32,3)&amp;"', 'cooking_notes' : '"&amp;AJ32&amp;"'}).status_code; print('%s :: %s :: %s :: %s :: %s' %(a,"&amp;G32&amp;",'"&amp;X32&amp;"','"&amp;Y32&amp;"','"&amp;U32&amp;"'))"</f>
        <v>a = Client().post('/recipes/varai-pulav2/detail/', {'recipe' : '96', 'ingredient' : '201', 'name' : 'Varai rice', 'mass_unit' : '2', 'mass_quantity' : '30', 'volume_unit' : '1', 'volume_quantity' : '0', 'pieces_unit' : '3', 'pieces_quantity' : '0', 'cooking_notes' : ''}).status_code; print('%s :: %s :: %s :: %s :: %s' %(a,32,'Varai rice','varai','Varai Pulav2'))</v>
      </c>
      <c r="AMJ32" s="0"/>
    </row>
    <row r="33" s="113" customFormat="true" ht="15" hidden="false" customHeight="false" outlineLevel="0" collapsed="false">
      <c r="A33" s="0"/>
      <c r="B33" s="0"/>
      <c r="C33" s="0"/>
      <c r="D33" s="0"/>
      <c r="E33" s="0"/>
      <c r="F33" s="0"/>
      <c r="G33" s="80" t="n">
        <v>33</v>
      </c>
      <c r="H33" s="108" t="s">
        <v>12</v>
      </c>
      <c r="I33" s="13" t="s">
        <v>389</v>
      </c>
      <c r="J33" s="20" t="s">
        <v>36</v>
      </c>
      <c r="K33" s="71"/>
      <c r="L33" s="71"/>
      <c r="M33" s="114" t="n">
        <v>10</v>
      </c>
      <c r="N33" s="110" t="s">
        <v>13</v>
      </c>
      <c r="O33" s="71"/>
      <c r="P33" s="71"/>
      <c r="Q33" s="111"/>
      <c r="R33" s="112" t="str">
        <f aca="false">VLOOKUP(J33,ingredient!$N$4:$O$553,2,0)</f>
        <v>ground nut oil</v>
      </c>
      <c r="U33" s="81" t="str">
        <f aca="false">I33</f>
        <v>Varai Pulav2</v>
      </c>
      <c r="V33" s="81" t="n">
        <f aca="false">VLOOKUP(U33,recipe_ingred_list!$A$2:$B$300,2,0)</f>
        <v>96</v>
      </c>
      <c r="W33" s="81" t="str">
        <f aca="false">"/recipes/"&amp;VLOOKUP(U33,recipe_ingred_list!$A$2:$C$300,3,0)&amp;"/detail/"</f>
        <v>/recipes/varai-pulav2/detail/</v>
      </c>
      <c r="X33" s="81" t="str">
        <f aca="false">J33</f>
        <v>Groundnut oil for tadka</v>
      </c>
      <c r="Y33" s="81" t="str">
        <f aca="false">R33</f>
        <v>ground nut oil</v>
      </c>
      <c r="Z33" s="94" t="n">
        <f aca="false">VLOOKUP(Y33,recipe_ingred_list!$D$2:$E$500,2,0)</f>
        <v>89</v>
      </c>
      <c r="AA33" s="61" t="n">
        <f aca="false">K33</f>
        <v>0</v>
      </c>
      <c r="AB33" s="61" t="n">
        <f aca="false">L33</f>
        <v>0</v>
      </c>
      <c r="AC33" s="61" t="n">
        <f aca="false">VLOOKUP(AB33,recipe_ingred_list!$K$2:$M$7,3,0)</f>
        <v>2</v>
      </c>
      <c r="AD33" s="61" t="n">
        <f aca="false">M33</f>
        <v>10</v>
      </c>
      <c r="AE33" s="61" t="str">
        <f aca="false">N33</f>
        <v>ltr</v>
      </c>
      <c r="AF33" s="61" t="n">
        <f aca="false">VLOOKUP(AE33,recipe_ingred_list!$K$16:$M$25,3,0)</f>
        <v>1</v>
      </c>
      <c r="AG33" s="61" t="n">
        <f aca="false">O33</f>
        <v>0</v>
      </c>
      <c r="AH33" s="61" t="n">
        <f aca="false">P33</f>
        <v>0</v>
      </c>
      <c r="AI33" s="61" t="n">
        <f aca="false">VLOOKUP(AH33,recipe_ingred_list!$K$29:$M$34,3,0)</f>
        <v>3</v>
      </c>
      <c r="AJ33" s="61" t="str">
        <f aca="false">IF(Q33="","",Q33)</f>
        <v/>
      </c>
      <c r="AK33" s="61" t="n">
        <f aca="false">AK32+1</f>
        <v>33</v>
      </c>
      <c r="AL33" s="61" t="str">
        <f aca="false">Y33</f>
        <v>ground nut oil</v>
      </c>
      <c r="AM33" s="81" t="str">
        <f aca="false">"a = Client().post('"&amp;W33&amp;"', {'recipe' : '"&amp;V33&amp;"', 'ingredient' : '"&amp;Z33&amp;"', 'name' : '"&amp;X33&amp;"', 'mass_unit' : '"&amp;AC33&amp;"', 'mass_quantity' : '"&amp;ROUND(AA33,3)&amp;"', 'volume_unit' : '"&amp;AF33&amp;"', 'volume_quantity' : '"&amp;ROUND(AD33,3)&amp;"', 'pieces_unit' : '"&amp;AI33&amp;"', 'pieces_quantity' : '"&amp;ROUND(AG33,3)&amp;"', 'cooking_notes' : '"&amp;AJ33&amp;"'}).status_code; print('%s :: %s :: %s :: %s :: %s' %(a,"&amp;G33&amp;",'"&amp;X33&amp;"','"&amp;Y33&amp;"','"&amp;U33&amp;"'))"</f>
        <v>a = Client().post('/recipes/varai-pulav2/detail/', {'recipe' : '96', 'ingredient' : '89', 'name' : 'Groundnut oil for tadka', 'mass_unit' : '2', 'mass_quantity' : '0', 'volume_unit' : '1', 'volume_quantity' : '10', 'pieces_unit' : '3', 'pieces_quantity' : '0', 'cooking_notes' : ''}).status_code; print('%s :: %s :: %s :: %s :: %s' %(a,33,'Groundnut oil for tadka','ground nut oil','Varai Pulav2'))</v>
      </c>
      <c r="AMJ33" s="0"/>
    </row>
    <row r="34" s="113" customFormat="true" ht="15" hidden="false" customHeight="false" outlineLevel="0" collapsed="false">
      <c r="A34" s="0"/>
      <c r="B34" s="0"/>
      <c r="C34" s="0"/>
      <c r="D34" s="0"/>
      <c r="E34" s="0"/>
      <c r="F34" s="0"/>
      <c r="G34" s="80" t="n">
        <v>34</v>
      </c>
      <c r="H34" s="108" t="s">
        <v>37</v>
      </c>
      <c r="I34" s="13" t="s">
        <v>389</v>
      </c>
      <c r="J34" s="20" t="s">
        <v>37</v>
      </c>
      <c r="K34" s="71"/>
      <c r="L34" s="71"/>
      <c r="M34" s="110" t="n">
        <v>1</v>
      </c>
      <c r="N34" s="110" t="s">
        <v>13</v>
      </c>
      <c r="O34" s="71"/>
      <c r="P34" s="71"/>
      <c r="Q34" s="111"/>
      <c r="R34" s="112" t="str">
        <f aca="false">VLOOKUP(J34,ingredient!$N$4:$O$553,2,0)</f>
        <v>tej patta</v>
      </c>
      <c r="U34" s="81" t="str">
        <f aca="false">I34</f>
        <v>Varai Pulav2</v>
      </c>
      <c r="V34" s="81" t="n">
        <f aca="false">VLOOKUP(U34,recipe_ingred_list!$A$2:$B$300,2,0)</f>
        <v>96</v>
      </c>
      <c r="W34" s="81" t="str">
        <f aca="false">"/recipes/"&amp;VLOOKUP(U34,recipe_ingred_list!$A$2:$C$300,3,0)&amp;"/detail/"</f>
        <v>/recipes/varai-pulav2/detail/</v>
      </c>
      <c r="X34" s="81" t="str">
        <f aca="false">J34</f>
        <v>Tejpatta</v>
      </c>
      <c r="Y34" s="81" t="str">
        <f aca="false">R34</f>
        <v>tej patta</v>
      </c>
      <c r="Z34" s="94" t="n">
        <f aca="false">VLOOKUP(Y34,recipe_ingred_list!$D$2:$E$500,2,0)</f>
        <v>191</v>
      </c>
      <c r="AA34" s="61" t="n">
        <f aca="false">K34</f>
        <v>0</v>
      </c>
      <c r="AB34" s="61" t="n">
        <f aca="false">L34</f>
        <v>0</v>
      </c>
      <c r="AC34" s="61" t="n">
        <f aca="false">VLOOKUP(AB34,recipe_ingred_list!$K$2:$M$7,3,0)</f>
        <v>2</v>
      </c>
      <c r="AD34" s="61" t="n">
        <f aca="false">M34</f>
        <v>1</v>
      </c>
      <c r="AE34" s="61" t="str">
        <f aca="false">N34</f>
        <v>ltr</v>
      </c>
      <c r="AF34" s="61" t="n">
        <f aca="false">VLOOKUP(AE34,recipe_ingred_list!$K$16:$M$25,3,0)</f>
        <v>1</v>
      </c>
      <c r="AG34" s="61" t="n">
        <f aca="false">O34</f>
        <v>0</v>
      </c>
      <c r="AH34" s="61" t="n">
        <f aca="false">P34</f>
        <v>0</v>
      </c>
      <c r="AI34" s="61" t="n">
        <f aca="false">VLOOKUP(AH34,recipe_ingred_list!$K$29:$M$34,3,0)</f>
        <v>3</v>
      </c>
      <c r="AJ34" s="61" t="str">
        <f aca="false">IF(Q34="","",Q34)</f>
        <v/>
      </c>
      <c r="AK34" s="61" t="n">
        <f aca="false">AK33+1</f>
        <v>34</v>
      </c>
      <c r="AL34" s="61" t="str">
        <f aca="false">Y34</f>
        <v>tej patta</v>
      </c>
      <c r="AM34" s="81" t="str">
        <f aca="false">"a = Client().post('"&amp;W34&amp;"', {'recipe' : '"&amp;V34&amp;"', 'ingredient' : '"&amp;Z34&amp;"', 'name' : '"&amp;X34&amp;"', 'mass_unit' : '"&amp;AC34&amp;"', 'mass_quantity' : '"&amp;ROUND(AA34,3)&amp;"', 'volume_unit' : '"&amp;AF34&amp;"', 'volume_quantity' : '"&amp;ROUND(AD34,3)&amp;"', 'pieces_unit' : '"&amp;AI34&amp;"', 'pieces_quantity' : '"&amp;ROUND(AG34,3)&amp;"', 'cooking_notes' : '"&amp;AJ34&amp;"'}).status_code; print('%s :: %s :: %s :: %s :: %s' %(a,"&amp;G34&amp;",'"&amp;X34&amp;"','"&amp;Y34&amp;"','"&amp;U34&amp;"'))"</f>
        <v>a = Client().post('/recipes/varai-pulav2/detail/', {'recipe' : '96', 'ingredient' : '191', 'name' : 'Tejpatta', 'mass_unit' : '2', 'mass_quantity' : '0', 'volume_unit' : '1', 'volume_quantity' : '1', 'pieces_unit' : '3', 'pieces_quantity' : '0', 'cooking_notes' : ''}).status_code; print('%s :: %s :: %s :: %s :: %s' %(a,34,'Tejpatta','tej patta','Varai Pulav2'))</v>
      </c>
      <c r="AMJ34" s="0"/>
    </row>
    <row r="35" s="113" customFormat="true" ht="15" hidden="false" customHeight="false" outlineLevel="0" collapsed="false">
      <c r="A35" s="0"/>
      <c r="B35" s="0"/>
      <c r="C35" s="0"/>
      <c r="D35" s="0"/>
      <c r="E35" s="0"/>
      <c r="F35" s="0"/>
      <c r="G35" s="80" t="n">
        <v>35</v>
      </c>
      <c r="H35" s="108" t="s">
        <v>14</v>
      </c>
      <c r="I35" s="13" t="s">
        <v>389</v>
      </c>
      <c r="J35" s="20" t="s">
        <v>14</v>
      </c>
      <c r="K35" s="71"/>
      <c r="L35" s="71"/>
      <c r="M35" s="110" t="n">
        <v>0.75</v>
      </c>
      <c r="N35" s="110" t="s">
        <v>13</v>
      </c>
      <c r="O35" s="71"/>
      <c r="P35" s="71"/>
      <c r="Q35" s="111"/>
      <c r="R35" s="112" t="str">
        <f aca="false">VLOOKUP(J35,ingredient!$N$4:$O$553,2,0)</f>
        <v>jeera</v>
      </c>
      <c r="U35" s="81" t="str">
        <f aca="false">I35</f>
        <v>Varai Pulav2</v>
      </c>
      <c r="V35" s="81" t="n">
        <f aca="false">VLOOKUP(U35,recipe_ingred_list!$A$2:$B$300,2,0)</f>
        <v>96</v>
      </c>
      <c r="W35" s="81" t="str">
        <f aca="false">"/recipes/"&amp;VLOOKUP(U35,recipe_ingred_list!$A$2:$C$300,3,0)&amp;"/detail/"</f>
        <v>/recipes/varai-pulav2/detail/</v>
      </c>
      <c r="X35" s="81" t="str">
        <f aca="false">J35</f>
        <v>Jeera</v>
      </c>
      <c r="Y35" s="81" t="str">
        <f aca="false">R35</f>
        <v>jeera</v>
      </c>
      <c r="Z35" s="94" t="n">
        <f aca="false">VLOOKUP(Y35,recipe_ingred_list!$D$2:$E$500,2,0)</f>
        <v>102</v>
      </c>
      <c r="AA35" s="61" t="n">
        <f aca="false">K35</f>
        <v>0</v>
      </c>
      <c r="AB35" s="61" t="n">
        <f aca="false">L35</f>
        <v>0</v>
      </c>
      <c r="AC35" s="61" t="n">
        <f aca="false">VLOOKUP(AB35,recipe_ingred_list!$K$2:$M$7,3,0)</f>
        <v>2</v>
      </c>
      <c r="AD35" s="61" t="n">
        <f aca="false">M35</f>
        <v>0.75</v>
      </c>
      <c r="AE35" s="61" t="str">
        <f aca="false">N35</f>
        <v>ltr</v>
      </c>
      <c r="AF35" s="61" t="n">
        <f aca="false">VLOOKUP(AE35,recipe_ingred_list!$K$16:$M$25,3,0)</f>
        <v>1</v>
      </c>
      <c r="AG35" s="61" t="n">
        <f aca="false">O35</f>
        <v>0</v>
      </c>
      <c r="AH35" s="61" t="n">
        <f aca="false">P35</f>
        <v>0</v>
      </c>
      <c r="AI35" s="61" t="n">
        <f aca="false">VLOOKUP(AH35,recipe_ingred_list!$K$29:$M$34,3,0)</f>
        <v>3</v>
      </c>
      <c r="AJ35" s="61" t="str">
        <f aca="false">IF(Q35="","",Q35)</f>
        <v/>
      </c>
      <c r="AK35" s="61" t="n">
        <f aca="false">AK34+1</f>
        <v>35</v>
      </c>
      <c r="AL35" s="61" t="str">
        <f aca="false">Y35</f>
        <v>jeera</v>
      </c>
      <c r="AM35" s="81" t="str">
        <f aca="false">"a = Client().post('"&amp;W35&amp;"', {'recipe' : '"&amp;V35&amp;"', 'ingredient' : '"&amp;Z35&amp;"', 'name' : '"&amp;X35&amp;"', 'mass_unit' : '"&amp;AC35&amp;"', 'mass_quantity' : '"&amp;ROUND(AA35,3)&amp;"', 'volume_unit' : '"&amp;AF35&amp;"', 'volume_quantity' : '"&amp;ROUND(AD35,3)&amp;"', 'pieces_unit' : '"&amp;AI35&amp;"', 'pieces_quantity' : '"&amp;ROUND(AG35,3)&amp;"', 'cooking_notes' : '"&amp;AJ35&amp;"'}).status_code; print('%s :: %s :: %s :: %s :: %s' %(a,"&amp;G35&amp;",'"&amp;X35&amp;"','"&amp;Y35&amp;"','"&amp;U35&amp;"'))"</f>
        <v>a = Client().post('/recipes/varai-pulav2/detail/', {'recipe' : '96', 'ingredient' : '102', 'name' : 'Jeera', 'mass_unit' : '2', 'mass_quantity' : '0', 'volume_unit' : '1', 'volume_quantity' : '0.75', 'pieces_unit' : '3', 'pieces_quantity' : '0', 'cooking_notes' : ''}).status_code; print('%s :: %s :: %s :: %s :: %s' %(a,35,'Jeera','jeera','Varai Pulav2'))</v>
      </c>
      <c r="AMJ35" s="0"/>
    </row>
    <row r="36" s="113" customFormat="true" ht="15" hidden="false" customHeight="false" outlineLevel="0" collapsed="false">
      <c r="A36" s="0"/>
      <c r="B36" s="0"/>
      <c r="C36" s="0"/>
      <c r="D36" s="0"/>
      <c r="E36" s="0"/>
      <c r="F36" s="0"/>
      <c r="G36" s="80" t="n">
        <v>36</v>
      </c>
      <c r="H36" s="108" t="s">
        <v>38</v>
      </c>
      <c r="I36" s="13" t="s">
        <v>389</v>
      </c>
      <c r="J36" s="20" t="s">
        <v>38</v>
      </c>
      <c r="K36" s="71"/>
      <c r="L36" s="71"/>
      <c r="M36" s="110" t="n">
        <v>2</v>
      </c>
      <c r="N36" s="110" t="s">
        <v>13</v>
      </c>
      <c r="O36" s="71"/>
      <c r="P36" s="71"/>
      <c r="Q36" s="111"/>
      <c r="R36" s="112" t="str">
        <f aca="false">VLOOKUP(J36,ingredient!$N$4:$O$553,2,0)</f>
        <v>kadi patta</v>
      </c>
      <c r="U36" s="81" t="str">
        <f aca="false">I36</f>
        <v>Varai Pulav2</v>
      </c>
      <c r="V36" s="81" t="n">
        <f aca="false">VLOOKUP(U36,recipe_ingred_list!$A$2:$B$300,2,0)</f>
        <v>96</v>
      </c>
      <c r="W36" s="81" t="str">
        <f aca="false">"/recipes/"&amp;VLOOKUP(U36,recipe_ingred_list!$A$2:$C$300,3,0)&amp;"/detail/"</f>
        <v>/recipes/varai-pulav2/detail/</v>
      </c>
      <c r="X36" s="81" t="str">
        <f aca="false">J36</f>
        <v>kadi patta</v>
      </c>
      <c r="Y36" s="81" t="str">
        <f aca="false">R36</f>
        <v>kadi patta</v>
      </c>
      <c r="Z36" s="94" t="n">
        <f aca="false">VLOOKUP(Y36,recipe_ingred_list!$D$2:$E$500,2,0)</f>
        <v>105</v>
      </c>
      <c r="AA36" s="61" t="n">
        <f aca="false">K36</f>
        <v>0</v>
      </c>
      <c r="AB36" s="61" t="n">
        <f aca="false">L36</f>
        <v>0</v>
      </c>
      <c r="AC36" s="61" t="n">
        <f aca="false">VLOOKUP(AB36,recipe_ingred_list!$K$2:$M$7,3,0)</f>
        <v>2</v>
      </c>
      <c r="AD36" s="61" t="n">
        <f aca="false">M36</f>
        <v>2</v>
      </c>
      <c r="AE36" s="61" t="str">
        <f aca="false">N36</f>
        <v>ltr</v>
      </c>
      <c r="AF36" s="61" t="n">
        <f aca="false">VLOOKUP(AE36,recipe_ingred_list!$K$16:$M$25,3,0)</f>
        <v>1</v>
      </c>
      <c r="AG36" s="61" t="n">
        <f aca="false">O36</f>
        <v>0</v>
      </c>
      <c r="AH36" s="61" t="n">
        <f aca="false">P36</f>
        <v>0</v>
      </c>
      <c r="AI36" s="61" t="n">
        <f aca="false">VLOOKUP(AH36,recipe_ingred_list!$K$29:$M$34,3,0)</f>
        <v>3</v>
      </c>
      <c r="AJ36" s="61" t="str">
        <f aca="false">IF(Q36="","",Q36)</f>
        <v/>
      </c>
      <c r="AK36" s="61" t="n">
        <f aca="false">AK35+1</f>
        <v>36</v>
      </c>
      <c r="AL36" s="61" t="str">
        <f aca="false">Y36</f>
        <v>kadi patta</v>
      </c>
      <c r="AM36" s="81" t="str">
        <f aca="false">"a = Client().post('"&amp;W36&amp;"', {'recipe' : '"&amp;V36&amp;"', 'ingredient' : '"&amp;Z36&amp;"', 'name' : '"&amp;X36&amp;"', 'mass_unit' : '"&amp;AC36&amp;"', 'mass_quantity' : '"&amp;ROUND(AA36,3)&amp;"', 'volume_unit' : '"&amp;AF36&amp;"', 'volume_quantity' : '"&amp;ROUND(AD36,3)&amp;"', 'pieces_unit' : '"&amp;AI36&amp;"', 'pieces_quantity' : '"&amp;ROUND(AG36,3)&amp;"', 'cooking_notes' : '"&amp;AJ36&amp;"'}).status_code; print('%s :: %s :: %s :: %s :: %s' %(a,"&amp;G36&amp;",'"&amp;X36&amp;"','"&amp;Y36&amp;"','"&amp;U36&amp;"'))"</f>
        <v>a = Client().post('/recipes/varai-pulav2/detail/', {'recipe' : '96', 'ingredient' : '105', 'name' : 'kadi patta', 'mass_unit' : '2', 'mass_quantity' : '0', 'volume_unit' : '1', 'volume_quantity' : '2', 'pieces_unit' : '3', 'pieces_quantity' : '0', 'cooking_notes' : ''}).status_code; print('%s :: %s :: %s :: %s :: %s' %(a,36,'kadi patta','kadi patta','Varai Pulav2'))</v>
      </c>
      <c r="AMJ36" s="0"/>
    </row>
    <row r="37" s="113" customFormat="true" ht="15" hidden="false" customHeight="false" outlineLevel="0" collapsed="false">
      <c r="A37" s="0"/>
      <c r="B37" s="0"/>
      <c r="C37" s="0"/>
      <c r="D37" s="0"/>
      <c r="E37" s="0"/>
      <c r="F37" s="0"/>
      <c r="G37" s="80" t="n">
        <v>37</v>
      </c>
      <c r="H37" s="115" t="s">
        <v>11</v>
      </c>
      <c r="I37" s="13" t="s">
        <v>389</v>
      </c>
      <c r="J37" s="29" t="s">
        <v>11</v>
      </c>
      <c r="K37" s="114" t="n">
        <v>4</v>
      </c>
      <c r="L37" s="114" t="s">
        <v>7</v>
      </c>
      <c r="M37" s="114" t="n">
        <v>5</v>
      </c>
      <c r="N37" s="114" t="s">
        <v>13</v>
      </c>
      <c r="O37" s="71"/>
      <c r="P37" s="71"/>
      <c r="Q37" s="111"/>
      <c r="R37" s="112" t="str">
        <f aca="false">VLOOKUP(J37,ingredient!$N$4:$O$553,2,0)</f>
        <v>gajar</v>
      </c>
      <c r="U37" s="81" t="str">
        <f aca="false">I37</f>
        <v>Varai Pulav2</v>
      </c>
      <c r="V37" s="81" t="n">
        <f aca="false">VLOOKUP(U37,recipe_ingred_list!$A$2:$B$300,2,0)</f>
        <v>96</v>
      </c>
      <c r="W37" s="81" t="str">
        <f aca="false">"/recipes/"&amp;VLOOKUP(U37,recipe_ingred_list!$A$2:$C$300,3,0)&amp;"/detail/"</f>
        <v>/recipes/varai-pulav2/detail/</v>
      </c>
      <c r="X37" s="81" t="str">
        <f aca="false">J37</f>
        <v>Gajar</v>
      </c>
      <c r="Y37" s="81" t="str">
        <f aca="false">R37</f>
        <v>gajar</v>
      </c>
      <c r="Z37" s="94" t="n">
        <f aca="false">VLOOKUP(Y37,recipe_ingred_list!$D$2:$E$500,2,0)</f>
        <v>79</v>
      </c>
      <c r="AA37" s="61" t="n">
        <f aca="false">K37</f>
        <v>4</v>
      </c>
      <c r="AB37" s="61" t="str">
        <f aca="false">L37</f>
        <v>kg</v>
      </c>
      <c r="AC37" s="61" t="n">
        <f aca="false">VLOOKUP(AB37,recipe_ingred_list!$K$2:$M$7,3,0)</f>
        <v>2</v>
      </c>
      <c r="AD37" s="61" t="n">
        <f aca="false">M37</f>
        <v>5</v>
      </c>
      <c r="AE37" s="61" t="str">
        <f aca="false">N37</f>
        <v>ltr</v>
      </c>
      <c r="AF37" s="61" t="n">
        <f aca="false">VLOOKUP(AE37,recipe_ingred_list!$K$16:$M$25,3,0)</f>
        <v>1</v>
      </c>
      <c r="AG37" s="61" t="n">
        <f aca="false">O37</f>
        <v>0</v>
      </c>
      <c r="AH37" s="61" t="n">
        <f aca="false">P37</f>
        <v>0</v>
      </c>
      <c r="AI37" s="61" t="n">
        <f aca="false">VLOOKUP(AH37,recipe_ingred_list!$K$29:$M$34,3,0)</f>
        <v>3</v>
      </c>
      <c r="AJ37" s="61" t="str">
        <f aca="false">IF(Q37="","",Q37)</f>
        <v/>
      </c>
      <c r="AK37" s="61" t="n">
        <f aca="false">AK36+1</f>
        <v>37</v>
      </c>
      <c r="AL37" s="61" t="str">
        <f aca="false">Y37</f>
        <v>gajar</v>
      </c>
      <c r="AM37" s="81" t="str">
        <f aca="false">"a = Client().post('"&amp;W37&amp;"', {'recipe' : '"&amp;V37&amp;"', 'ingredient' : '"&amp;Z37&amp;"', 'name' : '"&amp;X37&amp;"', 'mass_unit' : '"&amp;AC37&amp;"', 'mass_quantity' : '"&amp;ROUND(AA37,3)&amp;"', 'volume_unit' : '"&amp;AF37&amp;"', 'volume_quantity' : '"&amp;ROUND(AD37,3)&amp;"', 'pieces_unit' : '"&amp;AI37&amp;"', 'pieces_quantity' : '"&amp;ROUND(AG37,3)&amp;"', 'cooking_notes' : '"&amp;AJ37&amp;"'}).status_code; print('%s :: %s :: %s :: %s :: %s' %(a,"&amp;G37&amp;",'"&amp;X37&amp;"','"&amp;Y37&amp;"','"&amp;U37&amp;"'))"</f>
        <v>a = Client().post('/recipes/varai-pulav2/detail/', {'recipe' : '96', 'ingredient' : '79', 'name' : 'Gajar', 'mass_unit' : '2', 'mass_quantity' : '4', 'volume_unit' : '1', 'volume_quantity' : '5', 'pieces_unit' : '3', 'pieces_quantity' : '0', 'cooking_notes' : ''}).status_code; print('%s :: %s :: %s :: %s :: %s' %(a,37,'Gajar','gajar','Varai Pulav2'))</v>
      </c>
      <c r="AMJ37" s="0"/>
    </row>
    <row r="38" s="113" customFormat="true" ht="15" hidden="false" customHeight="false" outlineLevel="0" collapsed="false">
      <c r="A38" s="0"/>
      <c r="B38" s="0"/>
      <c r="C38" s="0"/>
      <c r="D38" s="0"/>
      <c r="E38" s="0"/>
      <c r="F38" s="0"/>
      <c r="G38" s="80" t="n">
        <v>38</v>
      </c>
      <c r="H38" s="115" t="s">
        <v>39</v>
      </c>
      <c r="I38" s="13" t="s">
        <v>389</v>
      </c>
      <c r="J38" s="116" t="s">
        <v>39</v>
      </c>
      <c r="K38" s="114" t="n">
        <v>12</v>
      </c>
      <c r="L38" s="114" t="s">
        <v>7</v>
      </c>
      <c r="M38" s="114" t="n">
        <v>30</v>
      </c>
      <c r="N38" s="114" t="s">
        <v>13</v>
      </c>
      <c r="O38" s="71"/>
      <c r="P38" s="71"/>
      <c r="Q38" s="111"/>
      <c r="R38" s="112" t="str">
        <f aca="false">VLOOKUP(J38,ingredient!$N$4:$O$553,2,0)</f>
        <v>cabbage</v>
      </c>
      <c r="U38" s="81" t="str">
        <f aca="false">I38</f>
        <v>Varai Pulav2</v>
      </c>
      <c r="V38" s="81" t="n">
        <f aca="false">VLOOKUP(U38,recipe_ingred_list!$A$2:$B$300,2,0)</f>
        <v>96</v>
      </c>
      <c r="W38" s="81" t="str">
        <f aca="false">"/recipes/"&amp;VLOOKUP(U38,recipe_ingred_list!$A$2:$C$300,3,0)&amp;"/detail/"</f>
        <v>/recipes/varai-pulav2/detail/</v>
      </c>
      <c r="X38" s="81" t="str">
        <f aca="false">J38</f>
        <v>Cabbage</v>
      </c>
      <c r="Y38" s="81" t="str">
        <f aca="false">R38</f>
        <v>cabbage</v>
      </c>
      <c r="Z38" s="94" t="n">
        <f aca="false">VLOOKUP(Y38,recipe_ingred_list!$D$2:$E$500,2,0)</f>
        <v>39</v>
      </c>
      <c r="AA38" s="61" t="n">
        <f aca="false">K38</f>
        <v>12</v>
      </c>
      <c r="AB38" s="61" t="str">
        <f aca="false">L38</f>
        <v>kg</v>
      </c>
      <c r="AC38" s="61" t="n">
        <f aca="false">VLOOKUP(AB38,recipe_ingred_list!$K$2:$M$7,3,0)</f>
        <v>2</v>
      </c>
      <c r="AD38" s="61" t="n">
        <f aca="false">M38</f>
        <v>30</v>
      </c>
      <c r="AE38" s="61" t="str">
        <f aca="false">N38</f>
        <v>ltr</v>
      </c>
      <c r="AF38" s="61" t="n">
        <f aca="false">VLOOKUP(AE38,recipe_ingred_list!$K$16:$M$25,3,0)</f>
        <v>1</v>
      </c>
      <c r="AG38" s="61" t="n">
        <f aca="false">O38</f>
        <v>0</v>
      </c>
      <c r="AH38" s="61" t="n">
        <f aca="false">P38</f>
        <v>0</v>
      </c>
      <c r="AI38" s="61" t="n">
        <f aca="false">VLOOKUP(AH38,recipe_ingred_list!$K$29:$M$34,3,0)</f>
        <v>3</v>
      </c>
      <c r="AJ38" s="61" t="str">
        <f aca="false">IF(Q38="","",Q38)</f>
        <v/>
      </c>
      <c r="AK38" s="61" t="n">
        <f aca="false">AK37+1</f>
        <v>38</v>
      </c>
      <c r="AL38" s="61" t="str">
        <f aca="false">Y38</f>
        <v>cabbage</v>
      </c>
      <c r="AM38" s="81" t="str">
        <f aca="false">"a = Client().post('"&amp;W38&amp;"', {'recipe' : '"&amp;V38&amp;"', 'ingredient' : '"&amp;Z38&amp;"', 'name' : '"&amp;X38&amp;"', 'mass_unit' : '"&amp;AC38&amp;"', 'mass_quantity' : '"&amp;ROUND(AA38,3)&amp;"', 'volume_unit' : '"&amp;AF38&amp;"', 'volume_quantity' : '"&amp;ROUND(AD38,3)&amp;"', 'pieces_unit' : '"&amp;AI38&amp;"', 'pieces_quantity' : '"&amp;ROUND(AG38,3)&amp;"', 'cooking_notes' : '"&amp;AJ38&amp;"'}).status_code; print('%s :: %s :: %s :: %s :: %s' %(a,"&amp;G38&amp;",'"&amp;X38&amp;"','"&amp;Y38&amp;"','"&amp;U38&amp;"'))"</f>
        <v>a = Client().post('/recipes/varai-pulav2/detail/', {'recipe' : '96', 'ingredient' : '39', 'name' : 'Cabbage', 'mass_unit' : '2', 'mass_quantity' : '12', 'volume_unit' : '1', 'volume_quantity' : '30', 'pieces_unit' : '3', 'pieces_quantity' : '0', 'cooking_notes' : ''}).status_code; print('%s :: %s :: %s :: %s :: %s' %(a,38,'Cabbage','cabbage','Varai Pulav2'))</v>
      </c>
      <c r="AMJ38" s="0"/>
    </row>
    <row r="39" s="113" customFormat="true" ht="15" hidden="false" customHeight="false" outlineLevel="0" collapsed="false">
      <c r="A39" s="0"/>
      <c r="B39" s="0"/>
      <c r="C39" s="0"/>
      <c r="D39" s="0"/>
      <c r="E39" s="0"/>
      <c r="F39" s="0"/>
      <c r="G39" s="80" t="n">
        <v>39</v>
      </c>
      <c r="H39" s="115" t="s">
        <v>40</v>
      </c>
      <c r="I39" s="13" t="s">
        <v>389</v>
      </c>
      <c r="J39" s="116" t="s">
        <v>40</v>
      </c>
      <c r="K39" s="114" t="n">
        <v>3.5</v>
      </c>
      <c r="L39" s="114" t="s">
        <v>7</v>
      </c>
      <c r="M39" s="114" t="n">
        <v>5</v>
      </c>
      <c r="N39" s="114" t="s">
        <v>13</v>
      </c>
      <c r="O39" s="71"/>
      <c r="P39" s="71"/>
      <c r="Q39" s="111"/>
      <c r="R39" s="112" t="str">
        <f aca="false">VLOOKUP(J39,ingredient!$N$4:$O$553,2,0)</f>
        <v>capsicum</v>
      </c>
      <c r="U39" s="81" t="str">
        <f aca="false">I39</f>
        <v>Varai Pulav2</v>
      </c>
      <c r="V39" s="81" t="n">
        <f aca="false">VLOOKUP(U39,recipe_ingred_list!$A$2:$B$300,2,0)</f>
        <v>96</v>
      </c>
      <c r="W39" s="81" t="str">
        <f aca="false">"/recipes/"&amp;VLOOKUP(U39,recipe_ingred_list!$A$2:$C$300,3,0)&amp;"/detail/"</f>
        <v>/recipes/varai-pulav2/detail/</v>
      </c>
      <c r="X39" s="81" t="str">
        <f aca="false">J39</f>
        <v>Capsicum</v>
      </c>
      <c r="Y39" s="81" t="str">
        <f aca="false">R39</f>
        <v>capsicum</v>
      </c>
      <c r="Z39" s="94" t="n">
        <f aca="false">VLOOKUP(Y39,recipe_ingred_list!$D$2:$E$500,2,0)</f>
        <v>42</v>
      </c>
      <c r="AA39" s="61" t="n">
        <f aca="false">K39</f>
        <v>3.5</v>
      </c>
      <c r="AB39" s="61" t="str">
        <f aca="false">L39</f>
        <v>kg</v>
      </c>
      <c r="AC39" s="61" t="n">
        <f aca="false">VLOOKUP(AB39,recipe_ingred_list!$K$2:$M$7,3,0)</f>
        <v>2</v>
      </c>
      <c r="AD39" s="61" t="n">
        <f aca="false">M39</f>
        <v>5</v>
      </c>
      <c r="AE39" s="61" t="str">
        <f aca="false">N39</f>
        <v>ltr</v>
      </c>
      <c r="AF39" s="61" t="n">
        <f aca="false">VLOOKUP(AE39,recipe_ingred_list!$K$16:$M$25,3,0)</f>
        <v>1</v>
      </c>
      <c r="AG39" s="61" t="n">
        <f aca="false">O39</f>
        <v>0</v>
      </c>
      <c r="AH39" s="61" t="n">
        <f aca="false">P39</f>
        <v>0</v>
      </c>
      <c r="AI39" s="61" t="n">
        <f aca="false">VLOOKUP(AH39,recipe_ingred_list!$K$29:$M$34,3,0)</f>
        <v>3</v>
      </c>
      <c r="AJ39" s="61" t="str">
        <f aca="false">IF(Q39="","",Q39)</f>
        <v/>
      </c>
      <c r="AK39" s="61" t="n">
        <f aca="false">AK38+1</f>
        <v>39</v>
      </c>
      <c r="AL39" s="61" t="str">
        <f aca="false">Y39</f>
        <v>capsicum</v>
      </c>
      <c r="AM39" s="81" t="str">
        <f aca="false">"a = Client().post('"&amp;W39&amp;"', {'recipe' : '"&amp;V39&amp;"', 'ingredient' : '"&amp;Z39&amp;"', 'name' : '"&amp;X39&amp;"', 'mass_unit' : '"&amp;AC39&amp;"', 'mass_quantity' : '"&amp;ROUND(AA39,3)&amp;"', 'volume_unit' : '"&amp;AF39&amp;"', 'volume_quantity' : '"&amp;ROUND(AD39,3)&amp;"', 'pieces_unit' : '"&amp;AI39&amp;"', 'pieces_quantity' : '"&amp;ROUND(AG39,3)&amp;"', 'cooking_notes' : '"&amp;AJ39&amp;"'}).status_code; print('%s :: %s :: %s :: %s :: %s' %(a,"&amp;G39&amp;",'"&amp;X39&amp;"','"&amp;Y39&amp;"','"&amp;U39&amp;"'))"</f>
        <v>a = Client().post('/recipes/varai-pulav2/detail/', {'recipe' : '96', 'ingredient' : '42', 'name' : 'Capsicum', 'mass_unit' : '2', 'mass_quantity' : '3.5', 'volume_unit' : '1', 'volume_quantity' : '5', 'pieces_unit' : '3', 'pieces_quantity' : '0', 'cooking_notes' : ''}).status_code; print('%s :: %s :: %s :: %s :: %s' %(a,39,'Capsicum','capsicum','Varai Pulav2'))</v>
      </c>
      <c r="AMJ39" s="0"/>
    </row>
    <row r="40" s="113" customFormat="true" ht="15" hidden="false" customHeight="false" outlineLevel="0" collapsed="false">
      <c r="A40" s="0"/>
      <c r="B40" s="0"/>
      <c r="C40" s="0"/>
      <c r="D40" s="0"/>
      <c r="E40" s="0"/>
      <c r="F40" s="0"/>
      <c r="G40" s="80" t="n">
        <v>40</v>
      </c>
      <c r="H40" s="108" t="s">
        <v>32</v>
      </c>
      <c r="I40" s="13" t="s">
        <v>389</v>
      </c>
      <c r="J40" s="20" t="s">
        <v>32</v>
      </c>
      <c r="K40" s="71"/>
      <c r="L40" s="71"/>
      <c r="M40" s="110" t="n">
        <v>4</v>
      </c>
      <c r="N40" s="110" t="s">
        <v>20</v>
      </c>
      <c r="O40" s="71"/>
      <c r="P40" s="71"/>
      <c r="Q40" s="111"/>
      <c r="R40" s="112" t="str">
        <f aca="false">VLOOKUP(J40,ingredient!$N$4:$O$553,2,0)</f>
        <v>salt</v>
      </c>
      <c r="U40" s="81" t="str">
        <f aca="false">I40</f>
        <v>Varai Pulav2</v>
      </c>
      <c r="V40" s="81" t="n">
        <f aca="false">VLOOKUP(U40,recipe_ingred_list!$A$2:$B$300,2,0)</f>
        <v>96</v>
      </c>
      <c r="W40" s="81" t="str">
        <f aca="false">"/recipes/"&amp;VLOOKUP(U40,recipe_ingred_list!$A$2:$C$300,3,0)&amp;"/detail/"</f>
        <v>/recipes/varai-pulav2/detail/</v>
      </c>
      <c r="X40" s="81" t="str">
        <f aca="false">J40</f>
        <v>Salt</v>
      </c>
      <c r="Y40" s="81" t="str">
        <f aca="false">R40</f>
        <v>salt</v>
      </c>
      <c r="Z40" s="94" t="n">
        <f aca="false">VLOOKUP(Y40,recipe_ingred_list!$D$2:$E$500,2,0)</f>
        <v>177</v>
      </c>
      <c r="AA40" s="61" t="n">
        <f aca="false">K40</f>
        <v>0</v>
      </c>
      <c r="AB40" s="61" t="n">
        <f aca="false">L40</f>
        <v>0</v>
      </c>
      <c r="AC40" s="61" t="n">
        <f aca="false">VLOOKUP(AB40,recipe_ingred_list!$K$2:$M$7,3,0)</f>
        <v>2</v>
      </c>
      <c r="AD40" s="61" t="n">
        <f aca="false">M40</f>
        <v>4</v>
      </c>
      <c r="AE40" s="61" t="str">
        <f aca="false">N40</f>
        <v>cup</v>
      </c>
      <c r="AF40" s="61" t="n">
        <f aca="false">VLOOKUP(AE40,recipe_ingred_list!$K$16:$M$25,3,0)</f>
        <v>5</v>
      </c>
      <c r="AG40" s="61" t="n">
        <f aca="false">O40</f>
        <v>0</v>
      </c>
      <c r="AH40" s="61" t="n">
        <f aca="false">P40</f>
        <v>0</v>
      </c>
      <c r="AI40" s="61" t="n">
        <f aca="false">VLOOKUP(AH40,recipe_ingred_list!$K$29:$M$34,3,0)</f>
        <v>3</v>
      </c>
      <c r="AJ40" s="61" t="str">
        <f aca="false">IF(Q40="","",Q40)</f>
        <v/>
      </c>
      <c r="AK40" s="61" t="n">
        <f aca="false">AK39+1</f>
        <v>40</v>
      </c>
      <c r="AL40" s="61" t="str">
        <f aca="false">Y40</f>
        <v>salt</v>
      </c>
      <c r="AM40" s="81" t="str">
        <f aca="false">"a = Client().post('"&amp;W40&amp;"', {'recipe' : '"&amp;V40&amp;"', 'ingredient' : '"&amp;Z40&amp;"', 'name' : '"&amp;X40&amp;"', 'mass_unit' : '"&amp;AC40&amp;"', 'mass_quantity' : '"&amp;ROUND(AA40,3)&amp;"', 'volume_unit' : '"&amp;AF40&amp;"', 'volume_quantity' : '"&amp;ROUND(AD40,3)&amp;"', 'pieces_unit' : '"&amp;AI40&amp;"', 'pieces_quantity' : '"&amp;ROUND(AG40,3)&amp;"', 'cooking_notes' : '"&amp;AJ40&amp;"'}).status_code; print('%s :: %s :: %s :: %s :: %s' %(a,"&amp;G40&amp;",'"&amp;X40&amp;"','"&amp;Y40&amp;"','"&amp;U40&amp;"'))"</f>
        <v>a = Client().post('/recipes/varai-pulav2/detail/', {'recipe' : '96', 'ingredient' : '177', 'name' : 'Salt', 'mass_unit' : '2', 'mass_quantity' : '0', 'volume_unit' : '5', 'volume_quantity' : '4', 'pieces_unit' : '3', 'pieces_quantity' : '0', 'cooking_notes' : ''}).status_code; print('%s :: %s :: %s :: %s :: %s' %(a,40,'Salt','salt','Varai Pulav2'))</v>
      </c>
      <c r="AMJ40" s="0"/>
    </row>
    <row r="41" s="113" customFormat="true" ht="15" hidden="false" customHeight="false" outlineLevel="0" collapsed="false">
      <c r="A41" s="0"/>
      <c r="B41" s="0"/>
      <c r="C41" s="0"/>
      <c r="D41" s="0"/>
      <c r="E41" s="0"/>
      <c r="F41" s="0"/>
      <c r="G41" s="80" t="n">
        <v>41</v>
      </c>
      <c r="H41" s="108" t="s">
        <v>41</v>
      </c>
      <c r="I41" s="13" t="s">
        <v>389</v>
      </c>
      <c r="J41" s="20" t="s">
        <v>41</v>
      </c>
      <c r="K41" s="71"/>
      <c r="L41" s="71"/>
      <c r="M41" s="110" t="n">
        <v>2</v>
      </c>
      <c r="N41" s="110" t="s">
        <v>20</v>
      </c>
      <c r="O41" s="71"/>
      <c r="P41" s="71"/>
      <c r="Q41" s="111"/>
      <c r="R41" s="112" t="str">
        <f aca="false">VLOOKUP(J41,ingredient!$N$4:$O$553,2,0)</f>
        <v>everest pulav masala</v>
      </c>
      <c r="U41" s="81" t="str">
        <f aca="false">I41</f>
        <v>Varai Pulav2</v>
      </c>
      <c r="V41" s="81" t="n">
        <f aca="false">VLOOKUP(U41,recipe_ingred_list!$A$2:$B$300,2,0)</f>
        <v>96</v>
      </c>
      <c r="W41" s="81" t="str">
        <f aca="false">"/recipes/"&amp;VLOOKUP(U41,recipe_ingred_list!$A$2:$C$300,3,0)&amp;"/detail/"</f>
        <v>/recipes/varai-pulav2/detail/</v>
      </c>
      <c r="X41" s="81" t="str">
        <f aca="false">J41</f>
        <v>Everest Pulav Masala</v>
      </c>
      <c r="Y41" s="81" t="str">
        <f aca="false">R41</f>
        <v>everest pulav masala</v>
      </c>
      <c r="Z41" s="94" t="n">
        <f aca="false">VLOOKUP(Y41,recipe_ingred_list!$D$2:$E$500,2,0)</f>
        <v>74</v>
      </c>
      <c r="AA41" s="61" t="n">
        <f aca="false">K41</f>
        <v>0</v>
      </c>
      <c r="AB41" s="61" t="n">
        <f aca="false">L41</f>
        <v>0</v>
      </c>
      <c r="AC41" s="61" t="n">
        <f aca="false">VLOOKUP(AB41,recipe_ingred_list!$K$2:$M$7,3,0)</f>
        <v>2</v>
      </c>
      <c r="AD41" s="61" t="n">
        <f aca="false">M41</f>
        <v>2</v>
      </c>
      <c r="AE41" s="61" t="str">
        <f aca="false">N41</f>
        <v>cup</v>
      </c>
      <c r="AF41" s="61" t="n">
        <f aca="false">VLOOKUP(AE41,recipe_ingred_list!$K$16:$M$25,3,0)</f>
        <v>5</v>
      </c>
      <c r="AG41" s="61" t="n">
        <f aca="false">O41</f>
        <v>0</v>
      </c>
      <c r="AH41" s="61" t="n">
        <f aca="false">P41</f>
        <v>0</v>
      </c>
      <c r="AI41" s="61" t="n">
        <f aca="false">VLOOKUP(AH41,recipe_ingred_list!$K$29:$M$34,3,0)</f>
        <v>3</v>
      </c>
      <c r="AJ41" s="61" t="str">
        <f aca="false">IF(Q41="","",Q41)</f>
        <v/>
      </c>
      <c r="AK41" s="61" t="n">
        <f aca="false">AK40+1</f>
        <v>41</v>
      </c>
      <c r="AL41" s="61" t="str">
        <f aca="false">Y41</f>
        <v>everest pulav masala</v>
      </c>
      <c r="AM41" s="81" t="str">
        <f aca="false">"a = Client().post('"&amp;W41&amp;"', {'recipe' : '"&amp;V41&amp;"', 'ingredient' : '"&amp;Z41&amp;"', 'name' : '"&amp;X41&amp;"', 'mass_unit' : '"&amp;AC41&amp;"', 'mass_quantity' : '"&amp;ROUND(AA41,3)&amp;"', 'volume_unit' : '"&amp;AF41&amp;"', 'volume_quantity' : '"&amp;ROUND(AD41,3)&amp;"', 'pieces_unit' : '"&amp;AI41&amp;"', 'pieces_quantity' : '"&amp;ROUND(AG41,3)&amp;"', 'cooking_notes' : '"&amp;AJ41&amp;"'}).status_code; print('%s :: %s :: %s :: %s :: %s' %(a,"&amp;G41&amp;",'"&amp;X41&amp;"','"&amp;Y41&amp;"','"&amp;U41&amp;"'))"</f>
        <v>a = Client().post('/recipes/varai-pulav2/detail/', {'recipe' : '96', 'ingredient' : '74', 'name' : 'Everest Pulav Masala', 'mass_unit' : '2', 'mass_quantity' : '0', 'volume_unit' : '5', 'volume_quantity' : '2', 'pieces_unit' : '3', 'pieces_quantity' : '0', 'cooking_notes' : ''}).status_code; print('%s :: %s :: %s :: %s :: %s' %(a,41,'Everest Pulav Masala','everest pulav masala','Varai Pulav2'))</v>
      </c>
      <c r="AMJ41" s="0"/>
    </row>
    <row r="42" s="113" customFormat="true" ht="15.65" hidden="false" customHeight="false" outlineLevel="0" collapsed="false">
      <c r="A42" s="0"/>
      <c r="B42" s="0"/>
      <c r="C42" s="0"/>
      <c r="D42" s="0"/>
      <c r="E42" s="0"/>
      <c r="F42" s="0"/>
      <c r="G42" s="80" t="n">
        <v>42</v>
      </c>
      <c r="H42" s="108" t="s">
        <v>43</v>
      </c>
      <c r="I42" s="13" t="s">
        <v>389</v>
      </c>
      <c r="J42" s="20" t="s">
        <v>43</v>
      </c>
      <c r="K42" s="71"/>
      <c r="L42" s="71"/>
      <c r="M42" s="110" t="n">
        <v>60</v>
      </c>
      <c r="N42" s="110" t="s">
        <v>13</v>
      </c>
      <c r="O42" s="71"/>
      <c r="P42" s="71"/>
      <c r="Q42" s="117" t="s">
        <v>42</v>
      </c>
      <c r="R42" s="112" t="str">
        <f aca="false">VLOOKUP(J42,ingredient!$N$4:$O$553,2,0)</f>
        <v>hot water</v>
      </c>
      <c r="U42" s="81" t="str">
        <f aca="false">I42</f>
        <v>Varai Pulav2</v>
      </c>
      <c r="V42" s="81" t="n">
        <f aca="false">VLOOKUP(U42,recipe_ingred_list!$A$2:$B$300,2,0)</f>
        <v>96</v>
      </c>
      <c r="W42" s="81" t="str">
        <f aca="false">"/recipes/"&amp;VLOOKUP(U42,recipe_ingred_list!$A$2:$C$300,3,0)&amp;"/detail/"</f>
        <v>/recipes/varai-pulav2/detail/</v>
      </c>
      <c r="X42" s="81" t="str">
        <f aca="false">J42</f>
        <v>Hot water</v>
      </c>
      <c r="Y42" s="81" t="str">
        <f aca="false">R42</f>
        <v>hot water</v>
      </c>
      <c r="Z42" s="94" t="n">
        <f aca="false">VLOOKUP(Y42,recipe_ingred_list!$D$2:$E$500,2,0)</f>
        <v>97</v>
      </c>
      <c r="AA42" s="61" t="n">
        <f aca="false">K42</f>
        <v>0</v>
      </c>
      <c r="AB42" s="61" t="n">
        <f aca="false">L42</f>
        <v>0</v>
      </c>
      <c r="AC42" s="61" t="n">
        <f aca="false">VLOOKUP(AB42,recipe_ingred_list!$K$2:$M$7,3,0)</f>
        <v>2</v>
      </c>
      <c r="AD42" s="61" t="n">
        <f aca="false">M42</f>
        <v>60</v>
      </c>
      <c r="AE42" s="61" t="str">
        <f aca="false">N42</f>
        <v>ltr</v>
      </c>
      <c r="AF42" s="61" t="n">
        <f aca="false">VLOOKUP(AE42,recipe_ingred_list!$K$16:$M$25,3,0)</f>
        <v>1</v>
      </c>
      <c r="AG42" s="61" t="n">
        <f aca="false">O42</f>
        <v>0</v>
      </c>
      <c r="AH42" s="61" t="n">
        <f aca="false">P42</f>
        <v>0</v>
      </c>
      <c r="AI42" s="61" t="n">
        <f aca="false">VLOOKUP(AH42,recipe_ingred_list!$K$29:$M$34,3,0)</f>
        <v>3</v>
      </c>
      <c r="AJ42" s="61" t="str">
        <f aca="false">IF(Q42="","",Q42)</f>
        <v>2 x Vol of Varai</v>
      </c>
      <c r="AK42" s="61" t="n">
        <f aca="false">AK41+1</f>
        <v>42</v>
      </c>
      <c r="AL42" s="61" t="str">
        <f aca="false">Y42</f>
        <v>hot water</v>
      </c>
      <c r="AM42" s="81" t="str">
        <f aca="false">"a = Client().post('"&amp;W42&amp;"', {'recipe' : '"&amp;V42&amp;"', 'ingredient' : '"&amp;Z42&amp;"', 'name' : '"&amp;X42&amp;"', 'mass_unit' : '"&amp;AC42&amp;"', 'mass_quantity' : '"&amp;ROUND(AA42,3)&amp;"', 'volume_unit' : '"&amp;AF42&amp;"', 'volume_quantity' : '"&amp;ROUND(AD42,3)&amp;"', 'pieces_unit' : '"&amp;AI42&amp;"', 'pieces_quantity' : '"&amp;ROUND(AG42,3)&amp;"', 'cooking_notes' : '"&amp;AJ42&amp;"'}).status_code; print('%s :: %s :: %s :: %s :: %s' %(a,"&amp;G42&amp;",'"&amp;X42&amp;"','"&amp;Y42&amp;"','"&amp;U42&amp;"'))"</f>
        <v>a = Client().post('/recipes/varai-pulav2/detail/', {'recipe' : '96', 'ingredient' : '97', 'name' : 'Hot water', 'mass_unit' : '2', 'mass_quantity' : '0', 'volume_unit' : '1', 'volume_quantity' : '60', 'pieces_unit' : '3', 'pieces_quantity' : '0', 'cooking_notes' : '2 x Vol of Varai'}).status_code; print('%s :: %s :: %s :: %s :: %s' %(a,42,'Hot water','hot water','Varai Pulav2'))</v>
      </c>
      <c r="AMJ42" s="0"/>
    </row>
    <row r="43" s="113" customFormat="true" ht="15" hidden="false" customHeight="false" outlineLevel="0" collapsed="false">
      <c r="A43" s="0"/>
      <c r="B43" s="0"/>
      <c r="C43" s="0"/>
      <c r="D43" s="0"/>
      <c r="E43" s="0"/>
      <c r="F43" s="0"/>
      <c r="G43" s="80" t="n">
        <v>43</v>
      </c>
      <c r="I43" s="13" t="s">
        <v>389</v>
      </c>
      <c r="J43" s="20" t="s">
        <v>44</v>
      </c>
      <c r="K43" s="71"/>
      <c r="L43" s="71"/>
      <c r="M43" s="28" t="n">
        <v>4</v>
      </c>
      <c r="N43" s="28" t="s">
        <v>20</v>
      </c>
      <c r="O43" s="71"/>
      <c r="P43" s="71"/>
      <c r="Q43" s="111"/>
      <c r="R43" s="112" t="str">
        <f aca="false">VLOOKUP(J43,ingredient!$N$4:$O$553,2,0)</f>
        <v>sugar</v>
      </c>
      <c r="U43" s="81" t="str">
        <f aca="false">I43</f>
        <v>Varai Pulav2</v>
      </c>
      <c r="V43" s="81" t="n">
        <f aca="false">VLOOKUP(U43,recipe_ingred_list!$A$2:$B$300,2,0)</f>
        <v>96</v>
      </c>
      <c r="W43" s="81" t="str">
        <f aca="false">"/recipes/"&amp;VLOOKUP(U43,recipe_ingred_list!$A$2:$C$300,3,0)&amp;"/detail/"</f>
        <v>/recipes/varai-pulav2/detail/</v>
      </c>
      <c r="X43" s="81" t="str">
        <f aca="false">J43</f>
        <v>sugar</v>
      </c>
      <c r="Y43" s="81" t="str">
        <f aca="false">R43</f>
        <v>sugar</v>
      </c>
      <c r="Z43" s="94" t="n">
        <f aca="false">VLOOKUP(Y43,recipe_ingred_list!$D$2:$E$500,2,0)</f>
        <v>187</v>
      </c>
      <c r="AA43" s="61" t="n">
        <f aca="false">K43</f>
        <v>0</v>
      </c>
      <c r="AB43" s="61" t="n">
        <f aca="false">L43</f>
        <v>0</v>
      </c>
      <c r="AC43" s="61" t="n">
        <f aca="false">VLOOKUP(AB43,recipe_ingred_list!$K$2:$M$7,3,0)</f>
        <v>2</v>
      </c>
      <c r="AD43" s="61" t="n">
        <f aca="false">M43</f>
        <v>4</v>
      </c>
      <c r="AE43" s="61" t="str">
        <f aca="false">N43</f>
        <v>cup</v>
      </c>
      <c r="AF43" s="61" t="n">
        <f aca="false">VLOOKUP(AE43,recipe_ingred_list!$K$16:$M$25,3,0)</f>
        <v>5</v>
      </c>
      <c r="AG43" s="61" t="n">
        <f aca="false">O43</f>
        <v>0</v>
      </c>
      <c r="AH43" s="61" t="n">
        <f aca="false">P43</f>
        <v>0</v>
      </c>
      <c r="AI43" s="61" t="n">
        <f aca="false">VLOOKUP(AH43,recipe_ingred_list!$K$29:$M$34,3,0)</f>
        <v>3</v>
      </c>
      <c r="AJ43" s="61" t="str">
        <f aca="false">IF(Q43="","",Q43)</f>
        <v/>
      </c>
      <c r="AK43" s="61" t="n">
        <f aca="false">AK42+1</f>
        <v>43</v>
      </c>
      <c r="AL43" s="61" t="str">
        <f aca="false">Y43</f>
        <v>sugar</v>
      </c>
      <c r="AM43" s="81" t="str">
        <f aca="false">"a = Client().post('"&amp;W43&amp;"', {'recipe' : '"&amp;V43&amp;"', 'ingredient' : '"&amp;Z43&amp;"', 'name' : '"&amp;X43&amp;"', 'mass_unit' : '"&amp;AC43&amp;"', 'mass_quantity' : '"&amp;ROUND(AA43,3)&amp;"', 'volume_unit' : '"&amp;AF43&amp;"', 'volume_quantity' : '"&amp;ROUND(AD43,3)&amp;"', 'pieces_unit' : '"&amp;AI43&amp;"', 'pieces_quantity' : '"&amp;ROUND(AG43,3)&amp;"', 'cooking_notes' : '"&amp;AJ43&amp;"'}).status_code; print('%s :: %s :: %s :: %s :: %s' %(a,"&amp;G43&amp;",'"&amp;X43&amp;"','"&amp;Y43&amp;"','"&amp;U43&amp;"'))"</f>
        <v>a = Client().post('/recipes/varai-pulav2/detail/', {'recipe' : '96', 'ingredient' : '187', 'name' : 'sugar', 'mass_unit' : '2', 'mass_quantity' : '0', 'volume_unit' : '5', 'volume_quantity' : '4', 'pieces_unit' : '3', 'pieces_quantity' : '0', 'cooking_notes' : ''}).status_code; print('%s :: %s :: %s :: %s :: %s' %(a,43,'sugar','sugar','Varai Pulav2'))</v>
      </c>
      <c r="AMJ43" s="0"/>
    </row>
    <row r="44" s="113" customFormat="true" ht="13.8" hidden="false" customHeight="false" outlineLevel="0" collapsed="false">
      <c r="A44" s="0"/>
      <c r="B44" s="0"/>
      <c r="C44" s="0"/>
      <c r="D44" s="0"/>
      <c r="E44" s="0"/>
      <c r="F44" s="0"/>
      <c r="G44" s="80" t="n">
        <v>44</v>
      </c>
      <c r="I44" s="112"/>
      <c r="J44" s="118"/>
      <c r="K44" s="71"/>
      <c r="L44" s="71"/>
      <c r="M44" s="71"/>
      <c r="N44" s="71"/>
      <c r="O44" s="71"/>
      <c r="P44" s="71"/>
      <c r="Q44" s="111"/>
      <c r="R44" s="112" t="e">
        <f aca="false">VLOOKUP(J44,ingredient!$N$4:$O$553,2,0)</f>
        <v>#N/A</v>
      </c>
      <c r="U44" s="81" t="n">
        <f aca="false">I44</f>
        <v>0</v>
      </c>
      <c r="V44" s="81" t="e">
        <f aca="false">VLOOKUP(U44,recipe_ingred_list!$A$2:$B$300,2,0)</f>
        <v>#N/A</v>
      </c>
      <c r="W44" s="81" t="e">
        <f aca="false">"/recipes/"&amp;VLOOKUP(U44,recipe_ingred_list!$A$2:$C$300,3,0)&amp;"/detail/"</f>
        <v>#N/A</v>
      </c>
      <c r="X44" s="81" t="n">
        <f aca="false">J44</f>
        <v>0</v>
      </c>
      <c r="Y44" s="81" t="e">
        <f aca="false">R44</f>
        <v>#N/A</v>
      </c>
      <c r="Z44" s="94" t="e">
        <f aca="false">VLOOKUP(Y44,recipe_ingred_list!$D$2:$E$500,2,0)</f>
        <v>#N/A</v>
      </c>
      <c r="AA44" s="61" t="n">
        <f aca="false">K44</f>
        <v>0</v>
      </c>
      <c r="AB44" s="61" t="n">
        <f aca="false">L44</f>
        <v>0</v>
      </c>
      <c r="AC44" s="61" t="n">
        <f aca="false">VLOOKUP(AB44,recipe_ingred_list!$K$2:$M$7,3,0)</f>
        <v>2</v>
      </c>
      <c r="AD44" s="61" t="n">
        <f aca="false">M44</f>
        <v>0</v>
      </c>
      <c r="AE44" s="61" t="n">
        <f aca="false">N44</f>
        <v>0</v>
      </c>
      <c r="AF44" s="61" t="n">
        <f aca="false">VLOOKUP(AE44,recipe_ingred_list!$K$16:$M$25,3,0)</f>
        <v>1</v>
      </c>
      <c r="AG44" s="61" t="n">
        <f aca="false">O44</f>
        <v>0</v>
      </c>
      <c r="AH44" s="61" t="n">
        <f aca="false">P44</f>
        <v>0</v>
      </c>
      <c r="AI44" s="61" t="n">
        <f aca="false">VLOOKUP(AH44,recipe_ingred_list!$K$29:$M$34,3,0)</f>
        <v>3</v>
      </c>
      <c r="AJ44" s="61" t="str">
        <f aca="false">IF(Q44="","",Q44)</f>
        <v/>
      </c>
      <c r="AK44" s="61" t="n">
        <f aca="false">AK43+1</f>
        <v>44</v>
      </c>
      <c r="AL44" s="61" t="e">
        <f aca="false">Y44</f>
        <v>#N/A</v>
      </c>
      <c r="AM44" s="81" t="e">
        <f aca="false">"a = Client().post('"&amp;W44&amp;"', {'recipe' : '"&amp;V44&amp;"', 'ingredient' : '"&amp;Z44&amp;"', 'name' : '"&amp;X44&amp;"', 'mass_unit' : '"&amp;AC44&amp;"', 'mass_quantity' : '"&amp;ROUND(AA44,3)&amp;"', 'volume_unit' : '"&amp;AF44&amp;"', 'volume_quantity' : '"&amp;ROUND(AD44,3)&amp;"', 'pieces_unit' : '"&amp;AI44&amp;"', 'pieces_quantity' : '"&amp;ROUND(AG44,3)&amp;"', 'cooking_notes' : '"&amp;AJ44&amp;"'}).status_code; print('%s :: %s :: %s :: %s :: %s' %(a,"&amp;G44&amp;",'"&amp;X44&amp;"','"&amp;Y44&amp;"','"&amp;U44&amp;"'))"</f>
        <v>#N/A</v>
      </c>
      <c r="AMJ44" s="0"/>
    </row>
    <row r="45" customFormat="false" ht="41.75" hidden="false" customHeight="false" outlineLevel="0" collapsed="false">
      <c r="G45" s="80" t="n">
        <v>45</v>
      </c>
      <c r="H45" s="103" t="s">
        <v>517</v>
      </c>
      <c r="I45" s="104" t="s">
        <v>518</v>
      </c>
      <c r="J45" s="105" t="s">
        <v>519</v>
      </c>
      <c r="K45" s="106" t="s">
        <v>520</v>
      </c>
      <c r="L45" s="106" t="s">
        <v>510</v>
      </c>
      <c r="M45" s="106" t="s">
        <v>521</v>
      </c>
      <c r="N45" s="106" t="s">
        <v>511</v>
      </c>
      <c r="O45" s="106" t="s">
        <v>522</v>
      </c>
      <c r="P45" s="106" t="s">
        <v>512</v>
      </c>
      <c r="Q45" s="106" t="s">
        <v>523</v>
      </c>
      <c r="R45" s="99" t="e">
        <f aca="false">VLOOKUP(J45,ingredient!$N$4:$O$553,2,0)</f>
        <v>#N/A</v>
      </c>
      <c r="S45" s="98"/>
      <c r="T45" s="98"/>
      <c r="U45" s="81" t="str">
        <f aca="false">I45</f>
        <v>recipe</v>
      </c>
      <c r="V45" s="81" t="e">
        <f aca="false">VLOOKUP(U45,recipe_ingred_list!$A$2:$B$300,2,0)</f>
        <v>#N/A</v>
      </c>
      <c r="W45" s="81" t="e">
        <f aca="false">"/recipes/"&amp;VLOOKUP(U45,recipe_ingred_list!$A$2:$C$300,3,0)&amp;"/detail/"</f>
        <v>#N/A</v>
      </c>
      <c r="X45" s="81" t="str">
        <f aca="false">J45</f>
        <v>Name</v>
      </c>
      <c r="Y45" s="81" t="e">
        <f aca="false">R45</f>
        <v>#N/A</v>
      </c>
      <c r="Z45" s="94" t="e">
        <f aca="false">VLOOKUP(Y45,recipe_ingred_list!$D$2:$E$500,2,0)</f>
        <v>#N/A</v>
      </c>
      <c r="AA45" s="61" t="str">
        <f aca="false">K45</f>
        <v>mass_quantity</v>
      </c>
      <c r="AB45" s="61" t="str">
        <f aca="false">L45</f>
        <v>mass_unit</v>
      </c>
      <c r="AC45" s="61" t="e">
        <f aca="false">VLOOKUP(AB45,recipe_ingred_list!$K$2:$M$7,3,0)</f>
        <v>#N/A</v>
      </c>
      <c r="AD45" s="61" t="str">
        <f aca="false">M45</f>
        <v>volume_quantity</v>
      </c>
      <c r="AE45" s="61" t="str">
        <f aca="false">N45</f>
        <v>volume_unit</v>
      </c>
      <c r="AF45" s="61" t="e">
        <f aca="false">VLOOKUP(AE45,recipe_ingred_list!$K$16:$M$25,3,0)</f>
        <v>#N/A</v>
      </c>
      <c r="AG45" s="61" t="str">
        <f aca="false">O45</f>
        <v>pieces_quantity</v>
      </c>
      <c r="AH45" s="61" t="str">
        <f aca="false">P45</f>
        <v>pieces_unit</v>
      </c>
      <c r="AI45" s="61" t="e">
        <f aca="false">VLOOKUP(AH45,recipe_ingred_list!$K$29:$M$34,3,0)</f>
        <v>#N/A</v>
      </c>
      <c r="AJ45" s="61" t="str">
        <f aca="false">IF(Q45="","",Q45)</f>
        <v>Cooking instructions</v>
      </c>
      <c r="AK45" s="61" t="n">
        <f aca="false">AK44+1</f>
        <v>45</v>
      </c>
      <c r="AL45" s="61" t="e">
        <f aca="false">Y45</f>
        <v>#N/A</v>
      </c>
      <c r="AM45" s="81" t="e">
        <f aca="false">"a = Client().post('"&amp;W45&amp;"', {'recipe' : '"&amp;V45&amp;"', 'ingredient' : '"&amp;Z45&amp;"', 'name' : '"&amp;X45&amp;"', 'mass_unit' : '"&amp;AC45&amp;"', 'mass_quantity' : '"&amp;ROUND(AA45,3)&amp;"', 'volume_unit' : '"&amp;AF45&amp;"', 'volume_quantity' : '"&amp;ROUND(AD45,3)&amp;"', 'pieces_unit' : '"&amp;AI45&amp;"', 'pieces_quantity' : '"&amp;ROUND(AG45,3)&amp;"', 'cooking_notes' : '"&amp;AJ45&amp;"'}).status_code; print('%s :: %s :: %s :: %s :: %s' %(a,"&amp;G45&amp;",'"&amp;X45&amp;"','"&amp;Y45&amp;"','"&amp;U45&amp;"'))"</f>
        <v>#N/A</v>
      </c>
    </row>
    <row r="46" customFormat="false" ht="15" hidden="false" customHeight="false" outlineLevel="0" collapsed="false">
      <c r="G46" s="80" t="n">
        <v>46</v>
      </c>
      <c r="H46" s="107" t="s">
        <v>21</v>
      </c>
      <c r="I46" s="119" t="s">
        <v>48</v>
      </c>
      <c r="J46" s="120" t="s">
        <v>21</v>
      </c>
      <c r="K46" s="97" t="n">
        <v>7.5</v>
      </c>
      <c r="L46" s="93" t="s">
        <v>7</v>
      </c>
      <c r="R46" s="82" t="str">
        <f aca="false">VLOOKUP(J46,ingredient!$N$4:$O$553,2,0)</f>
        <v>tomato</v>
      </c>
      <c r="U46" s="81" t="str">
        <f aca="false">I46</f>
        <v>Ekadasi soup</v>
      </c>
      <c r="V46" s="81" t="n">
        <f aca="false">VLOOKUP(U46,recipe_ingred_list!$A$2:$B$300,2,0)</f>
        <v>91</v>
      </c>
      <c r="W46" s="81" t="str">
        <f aca="false">"/recipes/"&amp;VLOOKUP(U46,recipe_ingred_list!$A$2:$C$300,3,0)&amp;"/detail/"</f>
        <v>/recipes/ekadasi-soup/detail/</v>
      </c>
      <c r="X46" s="81" t="str">
        <f aca="false">J46</f>
        <v>Tomato</v>
      </c>
      <c r="Y46" s="81" t="str">
        <f aca="false">R46</f>
        <v>tomato</v>
      </c>
      <c r="Z46" s="94" t="n">
        <f aca="false">VLOOKUP(Y46,recipe_ingred_list!$D$2:$E$500,2,0)</f>
        <v>195</v>
      </c>
      <c r="AA46" s="61" t="n">
        <f aca="false">K46</f>
        <v>7.5</v>
      </c>
      <c r="AB46" s="61" t="str">
        <f aca="false">L46</f>
        <v>kg</v>
      </c>
      <c r="AC46" s="61" t="n">
        <f aca="false">VLOOKUP(AB46,recipe_ingred_list!$K$2:$M$7,3,0)</f>
        <v>2</v>
      </c>
      <c r="AD46" s="61" t="n">
        <f aca="false">M46</f>
        <v>0</v>
      </c>
      <c r="AE46" s="61" t="n">
        <f aca="false">N46</f>
        <v>0</v>
      </c>
      <c r="AF46" s="61" t="n">
        <f aca="false">VLOOKUP(AE46,recipe_ingred_list!$K$16:$M$25,3,0)</f>
        <v>1</v>
      </c>
      <c r="AG46" s="61" t="n">
        <f aca="false">O46</f>
        <v>0</v>
      </c>
      <c r="AH46" s="61" t="n">
        <f aca="false">P46</f>
        <v>0</v>
      </c>
      <c r="AI46" s="61" t="n">
        <f aca="false">VLOOKUP(AH46,recipe_ingred_list!$K$29:$M$34,3,0)</f>
        <v>3</v>
      </c>
      <c r="AJ46" s="61" t="str">
        <f aca="false">IF(Q46="","",Q46)</f>
        <v/>
      </c>
      <c r="AK46" s="61" t="n">
        <f aca="false">AK45+1</f>
        <v>46</v>
      </c>
      <c r="AL46" s="61" t="str">
        <f aca="false">Y46</f>
        <v>tomato</v>
      </c>
      <c r="AM46" s="81" t="str">
        <f aca="false">"a = Client().post('"&amp;W46&amp;"', {'recipe' : '"&amp;V46&amp;"', 'ingredient' : '"&amp;Z46&amp;"', 'name' : '"&amp;X46&amp;"', 'mass_unit' : '"&amp;AC46&amp;"', 'mass_quantity' : '"&amp;ROUND(AA46,3)&amp;"', 'volume_unit' : '"&amp;AF46&amp;"', 'volume_quantity' : '"&amp;ROUND(AD46,3)&amp;"', 'pieces_unit' : '"&amp;AI46&amp;"', 'pieces_quantity' : '"&amp;ROUND(AG46,3)&amp;"', 'cooking_notes' : '"&amp;AJ46&amp;"'}).status_code; print('%s :: %s :: %s :: %s :: %s' %(a,"&amp;G46&amp;",'"&amp;X46&amp;"','"&amp;Y46&amp;"','"&amp;U46&amp;"'))"</f>
        <v>a = Client().post('/recipes/ekadasi-soup/detail/', {'recipe' : '91', 'ingredient' : '195', 'name' : 'Tomato', 'mass_unit' : '2', 'mass_quantity' : '7.5', 'volume_unit' : '1', 'volume_quantity' : '0', 'pieces_unit' : '3', 'pieces_quantity' : '0', 'cooking_notes' : ''}).status_code; print('%s :: %s :: %s :: %s :: %s' %(a,46,'Tomato','tomato','Ekadasi soup'))</v>
      </c>
    </row>
    <row r="47" customFormat="false" ht="15" hidden="false" customHeight="false" outlineLevel="0" collapsed="false">
      <c r="G47" s="80" t="n">
        <v>47</v>
      </c>
      <c r="H47" s="107" t="s">
        <v>8</v>
      </c>
      <c r="I47" s="119" t="s">
        <v>48</v>
      </c>
      <c r="J47" s="120" t="s">
        <v>8</v>
      </c>
      <c r="K47" s="97" t="n">
        <v>15</v>
      </c>
      <c r="L47" s="93" t="s">
        <v>7</v>
      </c>
      <c r="R47" s="82" t="str">
        <f aca="false">VLOOKUP(J47,ingredient!$N$4:$O$553,2,0)</f>
        <v>bhopla</v>
      </c>
      <c r="U47" s="81" t="str">
        <f aca="false">I47</f>
        <v>Ekadasi soup</v>
      </c>
      <c r="V47" s="81" t="n">
        <f aca="false">VLOOKUP(U47,recipe_ingred_list!$A$2:$B$300,2,0)</f>
        <v>91</v>
      </c>
      <c r="W47" s="81" t="str">
        <f aca="false">"/recipes/"&amp;VLOOKUP(U47,recipe_ingred_list!$A$2:$C$300,3,0)&amp;"/detail/"</f>
        <v>/recipes/ekadasi-soup/detail/</v>
      </c>
      <c r="X47" s="81" t="str">
        <f aca="false">J47</f>
        <v>Bhopla</v>
      </c>
      <c r="Y47" s="81" t="str">
        <f aca="false">R47</f>
        <v>bhopla</v>
      </c>
      <c r="Z47" s="94" t="n">
        <f aca="false">VLOOKUP(Y47,recipe_ingred_list!$D$2:$E$500,2,0)</f>
        <v>30</v>
      </c>
      <c r="AA47" s="61" t="n">
        <f aca="false">K47</f>
        <v>15</v>
      </c>
      <c r="AB47" s="61" t="str">
        <f aca="false">L47</f>
        <v>kg</v>
      </c>
      <c r="AC47" s="61" t="n">
        <f aca="false">VLOOKUP(AB47,recipe_ingred_list!$K$2:$M$7,3,0)</f>
        <v>2</v>
      </c>
      <c r="AD47" s="61" t="n">
        <f aca="false">M47</f>
        <v>0</v>
      </c>
      <c r="AE47" s="61" t="n">
        <f aca="false">N47</f>
        <v>0</v>
      </c>
      <c r="AF47" s="61" t="n">
        <f aca="false">VLOOKUP(AE47,recipe_ingred_list!$K$16:$M$25,3,0)</f>
        <v>1</v>
      </c>
      <c r="AG47" s="61" t="n">
        <f aca="false">O47</f>
        <v>0</v>
      </c>
      <c r="AH47" s="61" t="n">
        <f aca="false">P47</f>
        <v>0</v>
      </c>
      <c r="AI47" s="61" t="n">
        <f aca="false">VLOOKUP(AH47,recipe_ingred_list!$K$29:$M$34,3,0)</f>
        <v>3</v>
      </c>
      <c r="AJ47" s="61" t="str">
        <f aca="false">IF(Q47="","",Q47)</f>
        <v/>
      </c>
      <c r="AK47" s="61" t="n">
        <f aca="false">AK46+1</f>
        <v>47</v>
      </c>
      <c r="AL47" s="61" t="str">
        <f aca="false">Y47</f>
        <v>bhopla</v>
      </c>
      <c r="AM47" s="81" t="str">
        <f aca="false">"a = Client().post('"&amp;W47&amp;"', {'recipe' : '"&amp;V47&amp;"', 'ingredient' : '"&amp;Z47&amp;"', 'name' : '"&amp;X47&amp;"', 'mass_unit' : '"&amp;AC47&amp;"', 'mass_quantity' : '"&amp;ROUND(AA47,3)&amp;"', 'volume_unit' : '"&amp;AF47&amp;"', 'volume_quantity' : '"&amp;ROUND(AD47,3)&amp;"', 'pieces_unit' : '"&amp;AI47&amp;"', 'pieces_quantity' : '"&amp;ROUND(AG47,3)&amp;"', 'cooking_notes' : '"&amp;AJ47&amp;"'}).status_code; print('%s :: %s :: %s :: %s :: %s' %(a,"&amp;G47&amp;",'"&amp;X47&amp;"','"&amp;Y47&amp;"','"&amp;U47&amp;"'))"</f>
        <v>a = Client().post('/recipes/ekadasi-soup/detail/', {'recipe' : '91', 'ingredient' : '30', 'name' : 'Bhopla', 'mass_unit' : '2', 'mass_quantity' : '15', 'volume_unit' : '1', 'volume_quantity' : '0', 'pieces_unit' : '3', 'pieces_quantity' : '0', 'cooking_notes' : ''}).status_code; print('%s :: %s :: %s :: %s :: %s' %(a,47,'Bhopla','bhopla','Ekadasi soup'))</v>
      </c>
    </row>
    <row r="48" customFormat="false" ht="15" hidden="false" customHeight="false" outlineLevel="0" collapsed="false">
      <c r="G48" s="80" t="n">
        <v>48</v>
      </c>
      <c r="H48" s="92" t="s">
        <v>10</v>
      </c>
      <c r="I48" s="119" t="s">
        <v>48</v>
      </c>
      <c r="J48" s="121" t="s">
        <v>10</v>
      </c>
      <c r="K48" s="97" t="n">
        <v>7.5</v>
      </c>
      <c r="L48" s="93" t="s">
        <v>7</v>
      </c>
      <c r="R48" s="82" t="str">
        <f aca="false">VLOOKUP(J48,ingredient!$N$4:$O$553,2,0)</f>
        <v>alu</v>
      </c>
      <c r="U48" s="81" t="str">
        <f aca="false">I48</f>
        <v>Ekadasi soup</v>
      </c>
      <c r="V48" s="81" t="n">
        <f aca="false">VLOOKUP(U48,recipe_ingred_list!$A$2:$B$300,2,0)</f>
        <v>91</v>
      </c>
      <c r="W48" s="81" t="str">
        <f aca="false">"/recipes/"&amp;VLOOKUP(U48,recipe_ingred_list!$A$2:$C$300,3,0)&amp;"/detail/"</f>
        <v>/recipes/ekadasi-soup/detail/</v>
      </c>
      <c r="X48" s="81" t="str">
        <f aca="false">J48</f>
        <v>Alu</v>
      </c>
      <c r="Y48" s="81" t="str">
        <f aca="false">R48</f>
        <v>alu</v>
      </c>
      <c r="Z48" s="94" t="n">
        <f aca="false">VLOOKUP(Y48,recipe_ingred_list!$D$2:$E$500,2,0)</f>
        <v>8</v>
      </c>
      <c r="AA48" s="61" t="n">
        <f aca="false">K48</f>
        <v>7.5</v>
      </c>
      <c r="AB48" s="61" t="str">
        <f aca="false">L48</f>
        <v>kg</v>
      </c>
      <c r="AC48" s="61" t="n">
        <f aca="false">VLOOKUP(AB48,recipe_ingred_list!$K$2:$M$7,3,0)</f>
        <v>2</v>
      </c>
      <c r="AD48" s="61" t="n">
        <f aca="false">M48</f>
        <v>0</v>
      </c>
      <c r="AE48" s="61" t="n">
        <f aca="false">N48</f>
        <v>0</v>
      </c>
      <c r="AF48" s="61" t="n">
        <f aca="false">VLOOKUP(AE48,recipe_ingred_list!$K$16:$M$25,3,0)</f>
        <v>1</v>
      </c>
      <c r="AG48" s="61" t="n">
        <f aca="false">O48</f>
        <v>0</v>
      </c>
      <c r="AH48" s="61" t="n">
        <f aca="false">P48</f>
        <v>0</v>
      </c>
      <c r="AI48" s="61" t="n">
        <f aca="false">VLOOKUP(AH48,recipe_ingred_list!$K$29:$M$34,3,0)</f>
        <v>3</v>
      </c>
      <c r="AJ48" s="61" t="str">
        <f aca="false">IF(Q48="","",Q48)</f>
        <v/>
      </c>
      <c r="AK48" s="61" t="n">
        <f aca="false">AK47+1</f>
        <v>48</v>
      </c>
      <c r="AL48" s="61" t="str">
        <f aca="false">Y48</f>
        <v>alu</v>
      </c>
      <c r="AM48" s="81" t="str">
        <f aca="false">"a = Client().post('"&amp;W48&amp;"', {'recipe' : '"&amp;V48&amp;"', 'ingredient' : '"&amp;Z48&amp;"', 'name' : '"&amp;X48&amp;"', 'mass_unit' : '"&amp;AC48&amp;"', 'mass_quantity' : '"&amp;ROUND(AA48,3)&amp;"', 'volume_unit' : '"&amp;AF48&amp;"', 'volume_quantity' : '"&amp;ROUND(AD48,3)&amp;"', 'pieces_unit' : '"&amp;AI48&amp;"', 'pieces_quantity' : '"&amp;ROUND(AG48,3)&amp;"', 'cooking_notes' : '"&amp;AJ48&amp;"'}).status_code; print('%s :: %s :: %s :: %s :: %s' %(a,"&amp;G48&amp;",'"&amp;X48&amp;"','"&amp;Y48&amp;"','"&amp;U48&amp;"'))"</f>
        <v>a = Client().post('/recipes/ekadasi-soup/detail/', {'recipe' : '91', 'ingredient' : '8', 'name' : 'Alu', 'mass_unit' : '2', 'mass_quantity' : '7.5', 'volume_unit' : '1', 'volume_quantity' : '0', 'pieces_unit' : '3', 'pieces_quantity' : '0', 'cooking_notes' : ''}).status_code; print('%s :: %s :: %s :: %s :: %s' %(a,48,'Alu','alu','Ekadasi soup'))</v>
      </c>
    </row>
    <row r="49" customFormat="false" ht="15" hidden="false" customHeight="false" outlineLevel="0" collapsed="false">
      <c r="G49" s="80" t="n">
        <v>49</v>
      </c>
      <c r="H49" s="107" t="s">
        <v>11</v>
      </c>
      <c r="I49" s="119" t="s">
        <v>48</v>
      </c>
      <c r="J49" s="120" t="s">
        <v>11</v>
      </c>
      <c r="K49" s="97" t="n">
        <v>4.97959183673469</v>
      </c>
      <c r="L49" s="93" t="s">
        <v>7</v>
      </c>
      <c r="R49" s="82" t="str">
        <f aca="false">VLOOKUP(J49,ingredient!$N$4:$O$553,2,0)</f>
        <v>gajar</v>
      </c>
      <c r="U49" s="81" t="str">
        <f aca="false">I49</f>
        <v>Ekadasi soup</v>
      </c>
      <c r="V49" s="81" t="n">
        <f aca="false">VLOOKUP(U49,recipe_ingred_list!$A$2:$B$300,2,0)</f>
        <v>91</v>
      </c>
      <c r="W49" s="81" t="str">
        <f aca="false">"/recipes/"&amp;VLOOKUP(U49,recipe_ingred_list!$A$2:$C$300,3,0)&amp;"/detail/"</f>
        <v>/recipes/ekadasi-soup/detail/</v>
      </c>
      <c r="X49" s="81" t="str">
        <f aca="false">J49</f>
        <v>Gajar</v>
      </c>
      <c r="Y49" s="81" t="str">
        <f aca="false">R49</f>
        <v>gajar</v>
      </c>
      <c r="Z49" s="94" t="n">
        <f aca="false">VLOOKUP(Y49,recipe_ingred_list!$D$2:$E$500,2,0)</f>
        <v>79</v>
      </c>
      <c r="AA49" s="61" t="n">
        <f aca="false">K49</f>
        <v>4.97959183673469</v>
      </c>
      <c r="AB49" s="61" t="str">
        <f aca="false">L49</f>
        <v>kg</v>
      </c>
      <c r="AC49" s="61" t="n">
        <f aca="false">VLOOKUP(AB49,recipe_ingred_list!$K$2:$M$7,3,0)</f>
        <v>2</v>
      </c>
      <c r="AD49" s="61" t="n">
        <f aca="false">M49</f>
        <v>0</v>
      </c>
      <c r="AE49" s="61" t="n">
        <f aca="false">N49</f>
        <v>0</v>
      </c>
      <c r="AF49" s="61" t="n">
        <f aca="false">VLOOKUP(AE49,recipe_ingred_list!$K$16:$M$25,3,0)</f>
        <v>1</v>
      </c>
      <c r="AG49" s="61" t="n">
        <f aca="false">O49</f>
        <v>0</v>
      </c>
      <c r="AH49" s="61" t="n">
        <f aca="false">P49</f>
        <v>0</v>
      </c>
      <c r="AI49" s="61" t="n">
        <f aca="false">VLOOKUP(AH49,recipe_ingred_list!$K$29:$M$34,3,0)</f>
        <v>3</v>
      </c>
      <c r="AJ49" s="61" t="str">
        <f aca="false">IF(Q49="","",Q49)</f>
        <v/>
      </c>
      <c r="AK49" s="61" t="n">
        <f aca="false">AK48+1</f>
        <v>49</v>
      </c>
      <c r="AL49" s="61" t="str">
        <f aca="false">Y49</f>
        <v>gajar</v>
      </c>
      <c r="AM49" s="81" t="str">
        <f aca="false">"a = Client().post('"&amp;W49&amp;"', {'recipe' : '"&amp;V49&amp;"', 'ingredient' : '"&amp;Z49&amp;"', 'name' : '"&amp;X49&amp;"', 'mass_unit' : '"&amp;AC49&amp;"', 'mass_quantity' : '"&amp;ROUND(AA49,3)&amp;"', 'volume_unit' : '"&amp;AF49&amp;"', 'volume_quantity' : '"&amp;ROUND(AD49,3)&amp;"', 'pieces_unit' : '"&amp;AI49&amp;"', 'pieces_quantity' : '"&amp;ROUND(AG49,3)&amp;"', 'cooking_notes' : '"&amp;AJ49&amp;"'}).status_code; print('%s :: %s :: %s :: %s :: %s' %(a,"&amp;G49&amp;",'"&amp;X49&amp;"','"&amp;Y49&amp;"','"&amp;U49&amp;"'))"</f>
        <v>a = Client().post('/recipes/ekadasi-soup/detail/', {'recipe' : '91', 'ingredient' : '79', 'name' : 'Gajar', 'mass_unit' : '2', 'mass_quantity' : '4.98', 'volume_unit' : '1', 'volume_quantity' : '0', 'pieces_unit' : '3', 'pieces_quantity' : '0', 'cooking_notes' : ''}).status_code; print('%s :: %s :: %s :: %s :: %s' %(a,49,'Gajar','gajar','Ekadasi soup'))</v>
      </c>
    </row>
    <row r="50" customFormat="false" ht="15" hidden="false" customHeight="false" outlineLevel="0" collapsed="false">
      <c r="G50" s="80" t="n">
        <v>50</v>
      </c>
      <c r="H50" s="122" t="s">
        <v>43</v>
      </c>
      <c r="I50" s="119" t="s">
        <v>48</v>
      </c>
      <c r="J50" s="43" t="s">
        <v>50</v>
      </c>
      <c r="K50" s="69"/>
      <c r="L50" s="69"/>
      <c r="M50" s="123"/>
      <c r="N50" s="123"/>
      <c r="O50" s="69"/>
      <c r="P50" s="69"/>
      <c r="R50" s="82" t="str">
        <f aca="false">VLOOKUP(J50,ingredient!$N$4:$O$553,2,0)</f>
        <v>water</v>
      </c>
      <c r="U50" s="81" t="str">
        <f aca="false">I50</f>
        <v>Ekadasi soup</v>
      </c>
      <c r="V50" s="81" t="n">
        <f aca="false">VLOOKUP(U50,recipe_ingred_list!$A$2:$B$300,2,0)</f>
        <v>91</v>
      </c>
      <c r="W50" s="81" t="str">
        <f aca="false">"/recipes/"&amp;VLOOKUP(U50,recipe_ingred_list!$A$2:$C$300,3,0)&amp;"/detail/"</f>
        <v>/recipes/ekadasi-soup/detail/</v>
      </c>
      <c r="X50" s="81" t="str">
        <f aca="false">J50</f>
        <v>Boiled water</v>
      </c>
      <c r="Y50" s="81" t="str">
        <f aca="false">R50</f>
        <v>water</v>
      </c>
      <c r="Z50" s="94" t="n">
        <f aca="false">VLOOKUP(Y50,recipe_ingred_list!$D$2:$E$500,2,0)</f>
        <v>214</v>
      </c>
      <c r="AA50" s="61" t="n">
        <f aca="false">K50</f>
        <v>0</v>
      </c>
      <c r="AB50" s="61" t="n">
        <f aca="false">L50</f>
        <v>0</v>
      </c>
      <c r="AC50" s="61" t="n">
        <f aca="false">VLOOKUP(AB50,recipe_ingred_list!$K$2:$M$7,3,0)</f>
        <v>2</v>
      </c>
      <c r="AD50" s="61" t="n">
        <f aca="false">M50</f>
        <v>0</v>
      </c>
      <c r="AE50" s="61" t="n">
        <f aca="false">N50</f>
        <v>0</v>
      </c>
      <c r="AF50" s="61" t="n">
        <f aca="false">VLOOKUP(AE50,recipe_ingred_list!$K$16:$M$25,3,0)</f>
        <v>1</v>
      </c>
      <c r="AG50" s="61" t="n">
        <f aca="false">O50</f>
        <v>0</v>
      </c>
      <c r="AH50" s="61" t="n">
        <f aca="false">P50</f>
        <v>0</v>
      </c>
      <c r="AI50" s="61" t="n">
        <f aca="false">VLOOKUP(AH50,recipe_ingred_list!$K$29:$M$34,3,0)</f>
        <v>3</v>
      </c>
      <c r="AJ50" s="61" t="str">
        <f aca="false">IF(Q50="","",Q50)</f>
        <v/>
      </c>
      <c r="AK50" s="61" t="n">
        <f aca="false">AK49+1</f>
        <v>50</v>
      </c>
      <c r="AL50" s="61" t="str">
        <f aca="false">Y50</f>
        <v>water</v>
      </c>
      <c r="AM50" s="81" t="str">
        <f aca="false">"a = Client().post('"&amp;W50&amp;"', {'recipe' : '"&amp;V50&amp;"', 'ingredient' : '"&amp;Z50&amp;"', 'name' : '"&amp;X50&amp;"', 'mass_unit' : '"&amp;AC50&amp;"', 'mass_quantity' : '"&amp;ROUND(AA50,3)&amp;"', 'volume_unit' : '"&amp;AF50&amp;"', 'volume_quantity' : '"&amp;ROUND(AD50,3)&amp;"', 'pieces_unit' : '"&amp;AI50&amp;"', 'pieces_quantity' : '"&amp;ROUND(AG50,3)&amp;"', 'cooking_notes' : '"&amp;AJ50&amp;"'}).status_code; print('%s :: %s :: %s :: %s :: %s' %(a,"&amp;G50&amp;",'"&amp;X50&amp;"','"&amp;Y50&amp;"','"&amp;U50&amp;"'))"</f>
        <v>a = Client().post('/recipes/ekadasi-soup/detail/', {'recipe' : '91', 'ingredient' : '214', 'name' : 'Boiled water', 'mass_unit' : '2', 'mass_quantity' : '0', 'volume_unit' : '1', 'volume_quantity' : '0', 'pieces_unit' : '3', 'pieces_quantity' : '0', 'cooking_notes' : ''}).status_code; print('%s :: %s :: %s :: %s :: %s' %(a,50,'Boiled water','water','Ekadasi soup'))</v>
      </c>
    </row>
    <row r="51" customFormat="false" ht="15" hidden="false" customHeight="false" outlineLevel="0" collapsed="false">
      <c r="G51" s="80" t="n">
        <v>51</v>
      </c>
      <c r="H51" s="122" t="s">
        <v>51</v>
      </c>
      <c r="I51" s="119" t="s">
        <v>48</v>
      </c>
      <c r="J51" s="43" t="s">
        <v>51</v>
      </c>
      <c r="K51" s="69"/>
      <c r="L51" s="69"/>
      <c r="M51" s="97" t="n">
        <v>60</v>
      </c>
      <c r="N51" s="123" t="s">
        <v>13</v>
      </c>
      <c r="O51" s="69"/>
      <c r="P51" s="69"/>
      <c r="R51" s="82" t="str">
        <f aca="false">VLOOKUP(J51,ingredient!$N$4:$O$553,2,0)</f>
        <v>boiled vegetables puree</v>
      </c>
      <c r="U51" s="81" t="str">
        <f aca="false">I51</f>
        <v>Ekadasi soup</v>
      </c>
      <c r="V51" s="81" t="n">
        <f aca="false">VLOOKUP(U51,recipe_ingred_list!$A$2:$B$300,2,0)</f>
        <v>91</v>
      </c>
      <c r="W51" s="81" t="str">
        <f aca="false">"/recipes/"&amp;VLOOKUP(U51,recipe_ingred_list!$A$2:$C$300,3,0)&amp;"/detail/"</f>
        <v>/recipes/ekadasi-soup/detail/</v>
      </c>
      <c r="X51" s="81" t="str">
        <f aca="false">J51</f>
        <v>Boiled vegetables puree</v>
      </c>
      <c r="Y51" s="81" t="str">
        <f aca="false">R51</f>
        <v>boiled vegetables puree</v>
      </c>
      <c r="Z51" s="94" t="n">
        <f aca="false">VLOOKUP(Y51,recipe_ingred_list!$D$2:$E$500,2,0)</f>
        <v>217</v>
      </c>
      <c r="AA51" s="61" t="n">
        <f aca="false">K51</f>
        <v>0</v>
      </c>
      <c r="AB51" s="61" t="n">
        <f aca="false">L51</f>
        <v>0</v>
      </c>
      <c r="AC51" s="61" t="n">
        <f aca="false">VLOOKUP(AB51,recipe_ingred_list!$K$2:$M$7,3,0)</f>
        <v>2</v>
      </c>
      <c r="AD51" s="61" t="n">
        <f aca="false">M51</f>
        <v>60</v>
      </c>
      <c r="AE51" s="61" t="str">
        <f aca="false">N51</f>
        <v>ltr</v>
      </c>
      <c r="AF51" s="61" t="n">
        <f aca="false">VLOOKUP(AE51,recipe_ingred_list!$K$16:$M$25,3,0)</f>
        <v>1</v>
      </c>
      <c r="AG51" s="61" t="n">
        <f aca="false">O51</f>
        <v>0</v>
      </c>
      <c r="AH51" s="61" t="n">
        <f aca="false">P51</f>
        <v>0</v>
      </c>
      <c r="AI51" s="61" t="n">
        <f aca="false">VLOOKUP(AH51,recipe_ingred_list!$K$29:$M$34,3,0)</f>
        <v>3</v>
      </c>
      <c r="AJ51" s="61" t="str">
        <f aca="false">IF(Q51="","",Q51)</f>
        <v/>
      </c>
      <c r="AK51" s="61" t="n">
        <f aca="false">AK50+1</f>
        <v>51</v>
      </c>
      <c r="AL51" s="61" t="str">
        <f aca="false">Y51</f>
        <v>boiled vegetables puree</v>
      </c>
      <c r="AM51" s="81" t="str">
        <f aca="false">"a = Client().post('"&amp;W51&amp;"', {'recipe' : '"&amp;V51&amp;"', 'ingredient' : '"&amp;Z51&amp;"', 'name' : '"&amp;X51&amp;"', 'mass_unit' : '"&amp;AC51&amp;"', 'mass_quantity' : '"&amp;ROUND(AA51,3)&amp;"', 'volume_unit' : '"&amp;AF51&amp;"', 'volume_quantity' : '"&amp;ROUND(AD51,3)&amp;"', 'pieces_unit' : '"&amp;AI51&amp;"', 'pieces_quantity' : '"&amp;ROUND(AG51,3)&amp;"', 'cooking_notes' : '"&amp;AJ51&amp;"'}).status_code; print('%s :: %s :: %s :: %s :: %s' %(a,"&amp;G51&amp;",'"&amp;X51&amp;"','"&amp;Y51&amp;"','"&amp;U51&amp;"'))"</f>
        <v>a = Client().post('/recipes/ekadasi-soup/detail/', {'recipe' : '91', 'ingredient' : '217', 'name' : 'Boiled vegetables puree', 'mass_unit' : '2', 'mass_quantity' : '0', 'volume_unit' : '1', 'volume_quantity' : '60', 'pieces_unit' : '3', 'pieces_quantity' : '0', 'cooking_notes' : ''}).status_code; print('%s :: %s :: %s :: %s :: %s' %(a,51,'Boiled vegetables puree','boiled vegetables puree','Ekadasi soup'))</v>
      </c>
    </row>
    <row r="52" customFormat="false" ht="15" hidden="false" customHeight="false" outlineLevel="0" collapsed="false">
      <c r="G52" s="80" t="n">
        <v>52</v>
      </c>
      <c r="H52" s="107" t="s">
        <v>86</v>
      </c>
      <c r="I52" s="119" t="s">
        <v>48</v>
      </c>
      <c r="J52" s="29" t="s">
        <v>52</v>
      </c>
      <c r="K52" s="69"/>
      <c r="L52" s="69"/>
      <c r="M52" s="97" t="n">
        <v>1.5</v>
      </c>
      <c r="N52" s="93" t="s">
        <v>13</v>
      </c>
      <c r="O52" s="69"/>
      <c r="P52" s="69"/>
      <c r="R52" s="82" t="str">
        <f aca="false">VLOOKUP(J52,ingredient!$N$4:$O$553,2,0)</f>
        <v>EVOO</v>
      </c>
      <c r="U52" s="81" t="str">
        <f aca="false">I52</f>
        <v>Ekadasi soup</v>
      </c>
      <c r="V52" s="81" t="n">
        <f aca="false">VLOOKUP(U52,recipe_ingred_list!$A$2:$B$300,2,0)</f>
        <v>91</v>
      </c>
      <c r="W52" s="81" t="str">
        <f aca="false">"/recipes/"&amp;VLOOKUP(U52,recipe_ingred_list!$A$2:$C$300,3,0)&amp;"/detail/"</f>
        <v>/recipes/ekadasi-soup/detail/</v>
      </c>
      <c r="X52" s="81" t="str">
        <f aca="false">J52</f>
        <v>EVOO / butter</v>
      </c>
      <c r="Y52" s="81" t="str">
        <f aca="false">R52</f>
        <v>EVOO</v>
      </c>
      <c r="Z52" s="94" t="n">
        <f aca="false">VLOOKUP(Y52,recipe_ingred_list!$D$2:$E$500,2,0)</f>
        <v>76</v>
      </c>
      <c r="AA52" s="61" t="n">
        <f aca="false">K52</f>
        <v>0</v>
      </c>
      <c r="AB52" s="61" t="n">
        <f aca="false">L52</f>
        <v>0</v>
      </c>
      <c r="AC52" s="61" t="n">
        <f aca="false">VLOOKUP(AB52,recipe_ingred_list!$K$2:$M$7,3,0)</f>
        <v>2</v>
      </c>
      <c r="AD52" s="61" t="n">
        <f aca="false">M52</f>
        <v>1.5</v>
      </c>
      <c r="AE52" s="61" t="str">
        <f aca="false">N52</f>
        <v>ltr</v>
      </c>
      <c r="AF52" s="61" t="n">
        <f aca="false">VLOOKUP(AE52,recipe_ingred_list!$K$16:$M$25,3,0)</f>
        <v>1</v>
      </c>
      <c r="AG52" s="61" t="n">
        <f aca="false">O52</f>
        <v>0</v>
      </c>
      <c r="AH52" s="61" t="n">
        <f aca="false">P52</f>
        <v>0</v>
      </c>
      <c r="AI52" s="61" t="n">
        <f aca="false">VLOOKUP(AH52,recipe_ingred_list!$K$29:$M$34,3,0)</f>
        <v>3</v>
      </c>
      <c r="AJ52" s="61" t="str">
        <f aca="false">IF(Q52="","",Q52)</f>
        <v/>
      </c>
      <c r="AK52" s="61" t="n">
        <f aca="false">AK51+1</f>
        <v>52</v>
      </c>
      <c r="AL52" s="61" t="str">
        <f aca="false">Y52</f>
        <v>EVOO</v>
      </c>
      <c r="AM52" s="81" t="str">
        <f aca="false">"a = Client().post('"&amp;W52&amp;"', {'recipe' : '"&amp;V52&amp;"', 'ingredient' : '"&amp;Z52&amp;"', 'name' : '"&amp;X52&amp;"', 'mass_unit' : '"&amp;AC52&amp;"', 'mass_quantity' : '"&amp;ROUND(AA52,3)&amp;"', 'volume_unit' : '"&amp;AF52&amp;"', 'volume_quantity' : '"&amp;ROUND(AD52,3)&amp;"', 'pieces_unit' : '"&amp;AI52&amp;"', 'pieces_quantity' : '"&amp;ROUND(AG52,3)&amp;"', 'cooking_notes' : '"&amp;AJ52&amp;"'}).status_code; print('%s :: %s :: %s :: %s :: %s' %(a,"&amp;G52&amp;",'"&amp;X52&amp;"','"&amp;Y52&amp;"','"&amp;U52&amp;"'))"</f>
        <v>a = Client().post('/recipes/ekadasi-soup/detail/', {'recipe' : '91', 'ingredient' : '76', 'name' : 'EVOO / butter', 'mass_unit' : '2', 'mass_quantity' : '0', 'volume_unit' : '1', 'volume_quantity' : '1.5', 'pieces_unit' : '3', 'pieces_quantity' : '0', 'cooking_notes' : ''}).status_code; print('%s :: %s :: %s :: %s :: %s' %(a,52,'EVOO / butter','EVOO','Ekadasi soup'))</v>
      </c>
    </row>
    <row r="53" customFormat="false" ht="15" hidden="false" customHeight="false" outlineLevel="0" collapsed="false">
      <c r="G53" s="80" t="n">
        <v>53</v>
      </c>
      <c r="H53" s="107" t="s">
        <v>86</v>
      </c>
      <c r="I53" s="119" t="s">
        <v>48</v>
      </c>
      <c r="J53" s="29" t="s">
        <v>53</v>
      </c>
      <c r="K53" s="69"/>
      <c r="L53" s="69"/>
      <c r="M53" s="97" t="n">
        <v>1</v>
      </c>
      <c r="N53" s="93" t="s">
        <v>13</v>
      </c>
      <c r="O53" s="69"/>
      <c r="P53" s="69"/>
      <c r="R53" s="82" t="str">
        <f aca="false">VLOOKUP(J53,ingredient!$N$4:$O$553,2,0)</f>
        <v>EVOO</v>
      </c>
      <c r="U53" s="81" t="str">
        <f aca="false">I53</f>
        <v>Ekadasi soup</v>
      </c>
      <c r="V53" s="81" t="n">
        <f aca="false">VLOOKUP(U53,recipe_ingred_list!$A$2:$B$300,2,0)</f>
        <v>91</v>
      </c>
      <c r="W53" s="81" t="str">
        <f aca="false">"/recipes/"&amp;VLOOKUP(U53,recipe_ingred_list!$A$2:$C$300,3,0)&amp;"/detail/"</f>
        <v>/recipes/ekadasi-soup/detail/</v>
      </c>
      <c r="X53" s="81" t="str">
        <f aca="false">J53</f>
        <v>EVOO on Top</v>
      </c>
      <c r="Y53" s="81" t="str">
        <f aca="false">R53</f>
        <v>EVOO</v>
      </c>
      <c r="Z53" s="94" t="n">
        <f aca="false">VLOOKUP(Y53,recipe_ingred_list!$D$2:$E$500,2,0)</f>
        <v>76</v>
      </c>
      <c r="AA53" s="61" t="n">
        <f aca="false">K53</f>
        <v>0</v>
      </c>
      <c r="AB53" s="61" t="n">
        <f aca="false">L53</f>
        <v>0</v>
      </c>
      <c r="AC53" s="61" t="n">
        <f aca="false">VLOOKUP(AB53,recipe_ingred_list!$K$2:$M$7,3,0)</f>
        <v>2</v>
      </c>
      <c r="AD53" s="61" t="n">
        <f aca="false">M53</f>
        <v>1</v>
      </c>
      <c r="AE53" s="61" t="str">
        <f aca="false">N53</f>
        <v>ltr</v>
      </c>
      <c r="AF53" s="61" t="n">
        <f aca="false">VLOOKUP(AE53,recipe_ingred_list!$K$16:$M$25,3,0)</f>
        <v>1</v>
      </c>
      <c r="AG53" s="61" t="n">
        <f aca="false">O53</f>
        <v>0</v>
      </c>
      <c r="AH53" s="61" t="n">
        <f aca="false">P53</f>
        <v>0</v>
      </c>
      <c r="AI53" s="61" t="n">
        <f aca="false">VLOOKUP(AH53,recipe_ingred_list!$K$29:$M$34,3,0)</f>
        <v>3</v>
      </c>
      <c r="AJ53" s="61" t="str">
        <f aca="false">IF(Q53="","",Q53)</f>
        <v/>
      </c>
      <c r="AK53" s="61" t="n">
        <f aca="false">AK52+1</f>
        <v>53</v>
      </c>
      <c r="AL53" s="61" t="str">
        <f aca="false">Y53</f>
        <v>EVOO</v>
      </c>
      <c r="AM53" s="81" t="str">
        <f aca="false">"a = Client().post('"&amp;W53&amp;"', {'recipe' : '"&amp;V53&amp;"', 'ingredient' : '"&amp;Z53&amp;"', 'name' : '"&amp;X53&amp;"', 'mass_unit' : '"&amp;AC53&amp;"', 'mass_quantity' : '"&amp;ROUND(AA53,3)&amp;"', 'volume_unit' : '"&amp;AF53&amp;"', 'volume_quantity' : '"&amp;ROUND(AD53,3)&amp;"', 'pieces_unit' : '"&amp;AI53&amp;"', 'pieces_quantity' : '"&amp;ROUND(AG53,3)&amp;"', 'cooking_notes' : '"&amp;AJ53&amp;"'}).status_code; print('%s :: %s :: %s :: %s :: %s' %(a,"&amp;G53&amp;",'"&amp;X53&amp;"','"&amp;Y53&amp;"','"&amp;U53&amp;"'))"</f>
        <v>a = Client().post('/recipes/ekadasi-soup/detail/', {'recipe' : '91', 'ingredient' : '76', 'name' : 'EVOO on Top', 'mass_unit' : '2', 'mass_quantity' : '0', 'volume_unit' : '1', 'volume_quantity' : '1', 'pieces_unit' : '3', 'pieces_quantity' : '0', 'cooking_notes' : ''}).status_code; print('%s :: %s :: %s :: %s :: %s' %(a,53,'EVOO on Top','EVOO','Ekadasi soup'))</v>
      </c>
    </row>
    <row r="54" customFormat="false" ht="15" hidden="false" customHeight="false" outlineLevel="0" collapsed="false">
      <c r="G54" s="80" t="n">
        <v>54</v>
      </c>
      <c r="H54" s="92" t="s">
        <v>54</v>
      </c>
      <c r="I54" s="119" t="s">
        <v>48</v>
      </c>
      <c r="J54" s="47" t="s">
        <v>54</v>
      </c>
      <c r="M54" s="93" t="n">
        <v>0.497959183673469</v>
      </c>
      <c r="N54" s="93" t="s">
        <v>20</v>
      </c>
      <c r="R54" s="82" t="str">
        <f aca="false">VLOOKUP(J54,ingredient!$N$4:$O$553,2,0)</f>
        <v>black pepper</v>
      </c>
      <c r="U54" s="81" t="str">
        <f aca="false">I54</f>
        <v>Ekadasi soup</v>
      </c>
      <c r="V54" s="81" t="n">
        <f aca="false">VLOOKUP(U54,recipe_ingred_list!$A$2:$B$300,2,0)</f>
        <v>91</v>
      </c>
      <c r="W54" s="81" t="str">
        <f aca="false">"/recipes/"&amp;VLOOKUP(U54,recipe_ingred_list!$A$2:$C$300,3,0)&amp;"/detail/"</f>
        <v>/recipes/ekadasi-soup/detail/</v>
      </c>
      <c r="X54" s="81" t="str">
        <f aca="false">J54</f>
        <v>Black Pepper pwd</v>
      </c>
      <c r="Y54" s="81" t="str">
        <f aca="false">R54</f>
        <v>black pepper</v>
      </c>
      <c r="Z54" s="94" t="n">
        <f aca="false">VLOOKUP(Y54,recipe_ingred_list!$D$2:$E$500,2,0)</f>
        <v>31</v>
      </c>
      <c r="AA54" s="61" t="n">
        <f aca="false">K54</f>
        <v>0</v>
      </c>
      <c r="AB54" s="61" t="n">
        <f aca="false">L54</f>
        <v>0</v>
      </c>
      <c r="AC54" s="61" t="n">
        <f aca="false">VLOOKUP(AB54,recipe_ingred_list!$K$2:$M$7,3,0)</f>
        <v>2</v>
      </c>
      <c r="AD54" s="61" t="n">
        <f aca="false">M54</f>
        <v>0.497959183673469</v>
      </c>
      <c r="AE54" s="61" t="str">
        <f aca="false">N54</f>
        <v>cup</v>
      </c>
      <c r="AF54" s="61" t="n">
        <f aca="false">VLOOKUP(AE54,recipe_ingred_list!$K$16:$M$25,3,0)</f>
        <v>5</v>
      </c>
      <c r="AG54" s="61" t="n">
        <f aca="false">O54</f>
        <v>0</v>
      </c>
      <c r="AH54" s="61" t="n">
        <f aca="false">P54</f>
        <v>0</v>
      </c>
      <c r="AI54" s="61" t="n">
        <f aca="false">VLOOKUP(AH54,recipe_ingred_list!$K$29:$M$34,3,0)</f>
        <v>3</v>
      </c>
      <c r="AJ54" s="61" t="str">
        <f aca="false">IF(Q54="","",Q54)</f>
        <v/>
      </c>
      <c r="AK54" s="61" t="n">
        <f aca="false">AK53+1</f>
        <v>54</v>
      </c>
      <c r="AL54" s="61" t="str">
        <f aca="false">Y54</f>
        <v>black pepper</v>
      </c>
      <c r="AM54" s="81" t="str">
        <f aca="false">"a = Client().post('"&amp;W54&amp;"', {'recipe' : '"&amp;V54&amp;"', 'ingredient' : '"&amp;Z54&amp;"', 'name' : '"&amp;X54&amp;"', 'mass_unit' : '"&amp;AC54&amp;"', 'mass_quantity' : '"&amp;ROUND(AA54,3)&amp;"', 'volume_unit' : '"&amp;AF54&amp;"', 'volume_quantity' : '"&amp;ROUND(AD54,3)&amp;"', 'pieces_unit' : '"&amp;AI54&amp;"', 'pieces_quantity' : '"&amp;ROUND(AG54,3)&amp;"', 'cooking_notes' : '"&amp;AJ54&amp;"'}).status_code; print('%s :: %s :: %s :: %s :: %s' %(a,"&amp;G54&amp;",'"&amp;X54&amp;"','"&amp;Y54&amp;"','"&amp;U54&amp;"'))"</f>
        <v>a = Client().post('/recipes/ekadasi-soup/detail/', {'recipe' : '91', 'ingredient' : '31', 'name' : 'Black Pepper pwd', 'mass_unit' : '2', 'mass_quantity' : '0', 'volume_unit' : '5', 'volume_quantity' : '0.498', 'pieces_unit' : '3', 'pieces_quantity' : '0', 'cooking_notes' : ''}).status_code; print('%s :: %s :: %s :: %s :: %s' %(a,54,'Black Pepper pwd','black pepper','Ekadasi soup'))</v>
      </c>
    </row>
    <row r="55" customFormat="false" ht="15" hidden="false" customHeight="false" outlineLevel="0" collapsed="false">
      <c r="G55" s="80" t="n">
        <v>55</v>
      </c>
      <c r="H55" s="92" t="s">
        <v>55</v>
      </c>
      <c r="I55" s="119" t="s">
        <v>48</v>
      </c>
      <c r="J55" s="47" t="s">
        <v>55</v>
      </c>
      <c r="K55" s="93" t="n">
        <v>1</v>
      </c>
      <c r="L55" s="93" t="s">
        <v>7</v>
      </c>
      <c r="M55" s="124" t="n">
        <v>0.4</v>
      </c>
      <c r="N55" s="124" t="s">
        <v>24</v>
      </c>
      <c r="R55" s="82" t="str">
        <f aca="false">VLOOKUP(J55,ingredient!$N$4:$O$553,2,0)</f>
        <v>basil leaves</v>
      </c>
      <c r="U55" s="81" t="str">
        <f aca="false">I55</f>
        <v>Ekadasi soup</v>
      </c>
      <c r="V55" s="81" t="n">
        <f aca="false">VLOOKUP(U55,recipe_ingred_list!$A$2:$B$300,2,0)</f>
        <v>91</v>
      </c>
      <c r="W55" s="81" t="str">
        <f aca="false">"/recipes/"&amp;VLOOKUP(U55,recipe_ingred_list!$A$2:$C$300,3,0)&amp;"/detail/"</f>
        <v>/recipes/ekadasi-soup/detail/</v>
      </c>
      <c r="X55" s="81" t="str">
        <f aca="false">J55</f>
        <v>Basil Leaves</v>
      </c>
      <c r="Y55" s="81" t="str">
        <f aca="false">R55</f>
        <v>basil leaves</v>
      </c>
      <c r="Z55" s="94" t="n">
        <f aca="false">VLOOKUP(Y55,recipe_ingred_list!$D$2:$E$500,2,0)</f>
        <v>24</v>
      </c>
      <c r="AA55" s="61" t="n">
        <f aca="false">K55</f>
        <v>1</v>
      </c>
      <c r="AB55" s="61" t="str">
        <f aca="false">L55</f>
        <v>kg</v>
      </c>
      <c r="AC55" s="61" t="n">
        <f aca="false">VLOOKUP(AB55,recipe_ingred_list!$K$2:$M$7,3,0)</f>
        <v>2</v>
      </c>
      <c r="AD55" s="61" t="n">
        <f aca="false">M55</f>
        <v>0.4</v>
      </c>
      <c r="AE55" s="61" t="str">
        <f aca="false">N55</f>
        <v>bkt</v>
      </c>
      <c r="AF55" s="61" t="n">
        <f aca="false">VLOOKUP(AE55,recipe_ingred_list!$K$16:$M$25,3,0)</f>
        <v>6</v>
      </c>
      <c r="AG55" s="61" t="n">
        <f aca="false">O55</f>
        <v>0</v>
      </c>
      <c r="AH55" s="61" t="n">
        <f aca="false">P55</f>
        <v>0</v>
      </c>
      <c r="AI55" s="61" t="n">
        <f aca="false">VLOOKUP(AH55,recipe_ingred_list!$K$29:$M$34,3,0)</f>
        <v>3</v>
      </c>
      <c r="AJ55" s="61" t="str">
        <f aca="false">IF(Q55="","",Q55)</f>
        <v/>
      </c>
      <c r="AK55" s="61" t="n">
        <f aca="false">AK54+1</f>
        <v>55</v>
      </c>
      <c r="AL55" s="61" t="str">
        <f aca="false">Y55</f>
        <v>basil leaves</v>
      </c>
      <c r="AM55" s="81" t="str">
        <f aca="false">"a = Client().post('"&amp;W55&amp;"', {'recipe' : '"&amp;V55&amp;"', 'ingredient' : '"&amp;Z55&amp;"', 'name' : '"&amp;X55&amp;"', 'mass_unit' : '"&amp;AC55&amp;"', 'mass_quantity' : '"&amp;ROUND(AA55,3)&amp;"', 'volume_unit' : '"&amp;AF55&amp;"', 'volume_quantity' : '"&amp;ROUND(AD55,3)&amp;"', 'pieces_unit' : '"&amp;AI55&amp;"', 'pieces_quantity' : '"&amp;ROUND(AG55,3)&amp;"', 'cooking_notes' : '"&amp;AJ55&amp;"'}).status_code; print('%s :: %s :: %s :: %s :: %s' %(a,"&amp;G55&amp;",'"&amp;X55&amp;"','"&amp;Y55&amp;"','"&amp;U55&amp;"'))"</f>
        <v>a = Client().post('/recipes/ekadasi-soup/detail/', {'recipe' : '91', 'ingredient' : '24', 'name' : 'Basil Leaves', 'mass_unit' : '2', 'mass_quantity' : '1', 'volume_unit' : '6', 'volume_quantity' : '0.4', 'pieces_unit' : '3', 'pieces_quantity' : '0', 'cooking_notes' : ''}).status_code; print('%s :: %s :: %s :: %s :: %s' %(a,55,'Basil Leaves','basil leaves','Ekadasi soup'))</v>
      </c>
    </row>
    <row r="56" customFormat="false" ht="15" hidden="false" customHeight="false" outlineLevel="0" collapsed="false">
      <c r="G56" s="80" t="n">
        <v>56</v>
      </c>
      <c r="H56" s="92" t="s">
        <v>529</v>
      </c>
      <c r="I56" s="119" t="s">
        <v>48</v>
      </c>
      <c r="J56" s="47" t="s">
        <v>57</v>
      </c>
      <c r="K56" s="93" t="n">
        <v>0.5</v>
      </c>
      <c r="L56" s="93" t="s">
        <v>7</v>
      </c>
      <c r="R56" s="82" t="str">
        <f aca="false">VLOOKUP(J56,ingredient!$N$4:$O$553,2,0)</f>
        <v>brown sugar</v>
      </c>
      <c r="U56" s="81" t="str">
        <f aca="false">I56</f>
        <v>Ekadasi soup</v>
      </c>
      <c r="V56" s="81" t="n">
        <f aca="false">VLOOKUP(U56,recipe_ingred_list!$A$2:$B$300,2,0)</f>
        <v>91</v>
      </c>
      <c r="W56" s="81" t="str">
        <f aca="false">"/recipes/"&amp;VLOOKUP(U56,recipe_ingred_list!$A$2:$C$300,3,0)&amp;"/detail/"</f>
        <v>/recipes/ekadasi-soup/detail/</v>
      </c>
      <c r="X56" s="81" t="str">
        <f aca="false">J56</f>
        <v>Brown sugar (bluebird)</v>
      </c>
      <c r="Y56" s="81" t="str">
        <f aca="false">R56</f>
        <v>brown sugar</v>
      </c>
      <c r="Z56" s="94" t="n">
        <f aca="false">VLOOKUP(Y56,recipe_ingred_list!$D$2:$E$500,2,0)</f>
        <v>37</v>
      </c>
      <c r="AA56" s="61" t="n">
        <f aca="false">K56</f>
        <v>0.5</v>
      </c>
      <c r="AB56" s="61" t="str">
        <f aca="false">L56</f>
        <v>kg</v>
      </c>
      <c r="AC56" s="61" t="n">
        <f aca="false">VLOOKUP(AB56,recipe_ingred_list!$K$2:$M$7,3,0)</f>
        <v>2</v>
      </c>
      <c r="AD56" s="61" t="n">
        <f aca="false">M56</f>
        <v>0</v>
      </c>
      <c r="AE56" s="61" t="n">
        <f aca="false">N56</f>
        <v>0</v>
      </c>
      <c r="AF56" s="61" t="n">
        <f aca="false">VLOOKUP(AE56,recipe_ingred_list!$K$16:$M$25,3,0)</f>
        <v>1</v>
      </c>
      <c r="AG56" s="61" t="n">
        <f aca="false">O56</f>
        <v>0</v>
      </c>
      <c r="AH56" s="61" t="n">
        <f aca="false">P56</f>
        <v>0</v>
      </c>
      <c r="AI56" s="61" t="n">
        <f aca="false">VLOOKUP(AH56,recipe_ingred_list!$K$29:$M$34,3,0)</f>
        <v>3</v>
      </c>
      <c r="AJ56" s="61" t="str">
        <f aca="false">IF(Q56="","",Q56)</f>
        <v/>
      </c>
      <c r="AK56" s="61" t="n">
        <f aca="false">AK55+1</f>
        <v>56</v>
      </c>
      <c r="AL56" s="61" t="str">
        <f aca="false">Y56</f>
        <v>brown sugar</v>
      </c>
      <c r="AM56" s="81" t="str">
        <f aca="false">"a = Client().post('"&amp;W56&amp;"', {'recipe' : '"&amp;V56&amp;"', 'ingredient' : '"&amp;Z56&amp;"', 'name' : '"&amp;X56&amp;"', 'mass_unit' : '"&amp;AC56&amp;"', 'mass_quantity' : '"&amp;ROUND(AA56,3)&amp;"', 'volume_unit' : '"&amp;AF56&amp;"', 'volume_quantity' : '"&amp;ROUND(AD56,3)&amp;"', 'pieces_unit' : '"&amp;AI56&amp;"', 'pieces_quantity' : '"&amp;ROUND(AG56,3)&amp;"', 'cooking_notes' : '"&amp;AJ56&amp;"'}).status_code; print('%s :: %s :: %s :: %s :: %s' %(a,"&amp;G56&amp;",'"&amp;X56&amp;"','"&amp;Y56&amp;"','"&amp;U56&amp;"'))"</f>
        <v>a = Client().post('/recipes/ekadasi-soup/detail/', {'recipe' : '91', 'ingredient' : '37', 'name' : 'Brown sugar (bluebird)', 'mass_unit' : '2', 'mass_quantity' : '0.5', 'volume_unit' : '1', 'volume_quantity' : '0', 'pieces_unit' : '3', 'pieces_quantity' : '0', 'cooking_notes' : ''}).status_code; print('%s :: %s :: %s :: %s :: %s' %(a,56,'Brown sugar (bluebird)','brown sugar','Ekadasi soup'))</v>
      </c>
    </row>
    <row r="57" customFormat="false" ht="15" hidden="false" customHeight="false" outlineLevel="0" collapsed="false">
      <c r="G57" s="80" t="n">
        <v>57</v>
      </c>
      <c r="H57" s="92" t="s">
        <v>32</v>
      </c>
      <c r="I57" s="119" t="s">
        <v>48</v>
      </c>
      <c r="J57" s="47" t="s">
        <v>32</v>
      </c>
      <c r="M57" s="93" t="n">
        <v>2.98775510204082</v>
      </c>
      <c r="N57" s="93" t="s">
        <v>20</v>
      </c>
      <c r="R57" s="82" t="str">
        <f aca="false">VLOOKUP(J57,ingredient!$N$4:$O$553,2,0)</f>
        <v>salt</v>
      </c>
      <c r="U57" s="81" t="str">
        <f aca="false">I57</f>
        <v>Ekadasi soup</v>
      </c>
      <c r="V57" s="81" t="n">
        <f aca="false">VLOOKUP(U57,recipe_ingred_list!$A$2:$B$300,2,0)</f>
        <v>91</v>
      </c>
      <c r="W57" s="81" t="str">
        <f aca="false">"/recipes/"&amp;VLOOKUP(U57,recipe_ingred_list!$A$2:$C$300,3,0)&amp;"/detail/"</f>
        <v>/recipes/ekadasi-soup/detail/</v>
      </c>
      <c r="X57" s="81" t="str">
        <f aca="false">J57</f>
        <v>Salt</v>
      </c>
      <c r="Y57" s="81" t="str">
        <f aca="false">R57</f>
        <v>salt</v>
      </c>
      <c r="Z57" s="94" t="n">
        <f aca="false">VLOOKUP(Y57,recipe_ingred_list!$D$2:$E$500,2,0)</f>
        <v>177</v>
      </c>
      <c r="AA57" s="61" t="n">
        <f aca="false">K57</f>
        <v>0</v>
      </c>
      <c r="AB57" s="61" t="n">
        <f aca="false">L57</f>
        <v>0</v>
      </c>
      <c r="AC57" s="61" t="n">
        <f aca="false">VLOOKUP(AB57,recipe_ingred_list!$K$2:$M$7,3,0)</f>
        <v>2</v>
      </c>
      <c r="AD57" s="61" t="n">
        <f aca="false">M57</f>
        <v>2.98775510204082</v>
      </c>
      <c r="AE57" s="61" t="str">
        <f aca="false">N57</f>
        <v>cup</v>
      </c>
      <c r="AF57" s="61" t="n">
        <f aca="false">VLOOKUP(AE57,recipe_ingred_list!$K$16:$M$25,3,0)</f>
        <v>5</v>
      </c>
      <c r="AG57" s="61" t="n">
        <f aca="false">O57</f>
        <v>0</v>
      </c>
      <c r="AH57" s="61" t="n">
        <f aca="false">P57</f>
        <v>0</v>
      </c>
      <c r="AI57" s="61" t="n">
        <f aca="false">VLOOKUP(AH57,recipe_ingred_list!$K$29:$M$34,3,0)</f>
        <v>3</v>
      </c>
      <c r="AJ57" s="61" t="str">
        <f aca="false">IF(Q57="","",Q57)</f>
        <v/>
      </c>
      <c r="AK57" s="61" t="n">
        <f aca="false">AK56+1</f>
        <v>57</v>
      </c>
      <c r="AL57" s="61" t="str">
        <f aca="false">Y57</f>
        <v>salt</v>
      </c>
      <c r="AM57" s="81" t="str">
        <f aca="false">"a = Client().post('"&amp;W57&amp;"', {'recipe' : '"&amp;V57&amp;"', 'ingredient' : '"&amp;Z57&amp;"', 'name' : '"&amp;X57&amp;"', 'mass_unit' : '"&amp;AC57&amp;"', 'mass_quantity' : '"&amp;ROUND(AA57,3)&amp;"', 'volume_unit' : '"&amp;AF57&amp;"', 'volume_quantity' : '"&amp;ROUND(AD57,3)&amp;"', 'pieces_unit' : '"&amp;AI57&amp;"', 'pieces_quantity' : '"&amp;ROUND(AG57,3)&amp;"', 'cooking_notes' : '"&amp;AJ57&amp;"'}).status_code; print('%s :: %s :: %s :: %s :: %s' %(a,"&amp;G57&amp;",'"&amp;X57&amp;"','"&amp;Y57&amp;"','"&amp;U57&amp;"'))"</f>
        <v>a = Client().post('/recipes/ekadasi-soup/detail/', {'recipe' : '91', 'ingredient' : '177', 'name' : 'Salt', 'mass_unit' : '2', 'mass_quantity' : '0', 'volume_unit' : '5', 'volume_quantity' : '2.988', 'pieces_unit' : '3', 'pieces_quantity' : '0', 'cooking_notes' : ''}).status_code; print('%s :: %s :: %s :: %s :: %s' %(a,57,'Salt','salt','Ekadasi soup'))</v>
      </c>
    </row>
    <row r="58" customFormat="false" ht="15" hidden="false" customHeight="false" outlineLevel="0" collapsed="false">
      <c r="G58" s="80" t="n">
        <v>58</v>
      </c>
      <c r="H58" s="92" t="s">
        <v>530</v>
      </c>
      <c r="I58" s="119" t="s">
        <v>48</v>
      </c>
      <c r="J58" s="47" t="s">
        <v>58</v>
      </c>
      <c r="M58" s="93" t="n">
        <v>0.5</v>
      </c>
      <c r="N58" s="93" t="s">
        <v>20</v>
      </c>
      <c r="R58" s="82" t="str">
        <f aca="false">VLOOKUP(J58,ingredient!$N$4:$O$553,2,0)</f>
        <v>lemon</v>
      </c>
      <c r="U58" s="81" t="str">
        <f aca="false">I58</f>
        <v>Ekadasi soup</v>
      </c>
      <c r="V58" s="81" t="n">
        <f aca="false">VLOOKUP(U58,recipe_ingred_list!$A$2:$B$300,2,0)</f>
        <v>91</v>
      </c>
      <c r="W58" s="81" t="str">
        <f aca="false">"/recipes/"&amp;VLOOKUP(U58,recipe_ingred_list!$A$2:$C$300,3,0)&amp;"/detail/"</f>
        <v>/recipes/ekadasi-soup/detail/</v>
      </c>
      <c r="X58" s="81" t="str">
        <f aca="false">J58</f>
        <v>Lemon Juice</v>
      </c>
      <c r="Y58" s="81" t="str">
        <f aca="false">R58</f>
        <v>lemon</v>
      </c>
      <c r="Z58" s="94" t="n">
        <f aca="false">VLOOKUP(Y58,recipe_ingred_list!$D$2:$E$500,2,0)</f>
        <v>129</v>
      </c>
      <c r="AA58" s="61" t="n">
        <f aca="false">K58</f>
        <v>0</v>
      </c>
      <c r="AB58" s="61" t="n">
        <f aca="false">L58</f>
        <v>0</v>
      </c>
      <c r="AC58" s="61" t="n">
        <f aca="false">VLOOKUP(AB58,recipe_ingred_list!$K$2:$M$7,3,0)</f>
        <v>2</v>
      </c>
      <c r="AD58" s="61" t="n">
        <f aca="false">M58</f>
        <v>0.5</v>
      </c>
      <c r="AE58" s="61" t="str">
        <f aca="false">N58</f>
        <v>cup</v>
      </c>
      <c r="AF58" s="61" t="n">
        <f aca="false">VLOOKUP(AE58,recipe_ingred_list!$K$16:$M$25,3,0)</f>
        <v>5</v>
      </c>
      <c r="AG58" s="61" t="n">
        <f aca="false">O58</f>
        <v>0</v>
      </c>
      <c r="AH58" s="61" t="n">
        <f aca="false">P58</f>
        <v>0</v>
      </c>
      <c r="AI58" s="61" t="n">
        <f aca="false">VLOOKUP(AH58,recipe_ingred_list!$K$29:$M$34,3,0)</f>
        <v>3</v>
      </c>
      <c r="AJ58" s="61" t="str">
        <f aca="false">IF(Q58="","",Q58)</f>
        <v/>
      </c>
      <c r="AK58" s="61" t="n">
        <f aca="false">AK57+1</f>
        <v>58</v>
      </c>
      <c r="AL58" s="61" t="str">
        <f aca="false">Y58</f>
        <v>lemon</v>
      </c>
      <c r="AM58" s="81" t="str">
        <f aca="false">"a = Client().post('"&amp;W58&amp;"', {'recipe' : '"&amp;V58&amp;"', 'ingredient' : '"&amp;Z58&amp;"', 'name' : '"&amp;X58&amp;"', 'mass_unit' : '"&amp;AC58&amp;"', 'mass_quantity' : '"&amp;ROUND(AA58,3)&amp;"', 'volume_unit' : '"&amp;AF58&amp;"', 'volume_quantity' : '"&amp;ROUND(AD58,3)&amp;"', 'pieces_unit' : '"&amp;AI58&amp;"', 'pieces_quantity' : '"&amp;ROUND(AG58,3)&amp;"', 'cooking_notes' : '"&amp;AJ58&amp;"'}).status_code; print('%s :: %s :: %s :: %s :: %s' %(a,"&amp;G58&amp;",'"&amp;X58&amp;"','"&amp;Y58&amp;"','"&amp;U58&amp;"'))"</f>
        <v>a = Client().post('/recipes/ekadasi-soup/detail/', {'recipe' : '91', 'ingredient' : '129', 'name' : 'Lemon Juice', 'mass_unit' : '2', 'mass_quantity' : '0', 'volume_unit' : '5', 'volume_quantity' : '0.5', 'pieces_unit' : '3', 'pieces_quantity' : '0', 'cooking_notes' : ''}).status_code; print('%s :: %s :: %s :: %s :: %s' %(a,58,'Lemon Juice','lemon','Ekadasi soup'))</v>
      </c>
    </row>
    <row r="59" customFormat="false" ht="13.8" hidden="false" customHeight="false" outlineLevel="0" collapsed="false">
      <c r="G59" s="80" t="n">
        <v>59</v>
      </c>
      <c r="H59" s="98"/>
      <c r="I59" s="99"/>
      <c r="J59" s="79"/>
      <c r="K59" s="100"/>
      <c r="L59" s="100"/>
      <c r="M59" s="100"/>
      <c r="N59" s="100"/>
      <c r="O59" s="101"/>
      <c r="P59" s="100"/>
      <c r="Q59" s="102"/>
      <c r="R59" s="99" t="e">
        <f aca="false">VLOOKUP(J59,ingredient!$N$4:$O$553,2,0)</f>
        <v>#N/A</v>
      </c>
      <c r="S59" s="98"/>
      <c r="T59" s="98"/>
      <c r="U59" s="81" t="n">
        <f aca="false">I59</f>
        <v>0</v>
      </c>
      <c r="V59" s="81" t="e">
        <f aca="false">VLOOKUP(U59,recipe_ingred_list!$A$2:$B$300,2,0)</f>
        <v>#N/A</v>
      </c>
      <c r="W59" s="81" t="e">
        <f aca="false">"/recipes/"&amp;VLOOKUP(U59,recipe_ingred_list!$A$2:$C$300,3,0)&amp;"/detail/"</f>
        <v>#N/A</v>
      </c>
      <c r="X59" s="81" t="n">
        <f aca="false">J59</f>
        <v>0</v>
      </c>
      <c r="Y59" s="81" t="e">
        <f aca="false">R59</f>
        <v>#N/A</v>
      </c>
      <c r="Z59" s="94" t="e">
        <f aca="false">VLOOKUP(Y59,recipe_ingred_list!$D$2:$E$500,2,0)</f>
        <v>#N/A</v>
      </c>
      <c r="AA59" s="61" t="n">
        <f aca="false">K59</f>
        <v>0</v>
      </c>
      <c r="AB59" s="61" t="n">
        <f aca="false">L59</f>
        <v>0</v>
      </c>
      <c r="AC59" s="61" t="n">
        <f aca="false">VLOOKUP(AB59,recipe_ingred_list!$K$2:$M$7,3,0)</f>
        <v>2</v>
      </c>
      <c r="AD59" s="61" t="n">
        <f aca="false">M59</f>
        <v>0</v>
      </c>
      <c r="AE59" s="61" t="n">
        <f aca="false">N59</f>
        <v>0</v>
      </c>
      <c r="AF59" s="61" t="n">
        <f aca="false">VLOOKUP(AE59,recipe_ingred_list!$K$16:$M$25,3,0)</f>
        <v>1</v>
      </c>
      <c r="AG59" s="61" t="n">
        <f aca="false">O59</f>
        <v>0</v>
      </c>
      <c r="AH59" s="61" t="n">
        <f aca="false">P59</f>
        <v>0</v>
      </c>
      <c r="AI59" s="61" t="n">
        <f aca="false">VLOOKUP(AH59,recipe_ingred_list!$K$29:$M$34,3,0)</f>
        <v>3</v>
      </c>
      <c r="AJ59" s="61" t="str">
        <f aca="false">IF(Q59="","",Q59)</f>
        <v/>
      </c>
      <c r="AK59" s="61" t="n">
        <f aca="false">AK58+1</f>
        <v>59</v>
      </c>
      <c r="AL59" s="61" t="e">
        <f aca="false">Y59</f>
        <v>#N/A</v>
      </c>
      <c r="AM59" s="81" t="e">
        <f aca="false">"a = Client().post('"&amp;W59&amp;"', {'recipe' : '"&amp;V59&amp;"', 'ingredient' : '"&amp;Z59&amp;"', 'name' : '"&amp;X59&amp;"', 'mass_unit' : '"&amp;AC59&amp;"', 'mass_quantity' : '"&amp;ROUND(AA59,3)&amp;"', 'volume_unit' : '"&amp;AF59&amp;"', 'volume_quantity' : '"&amp;ROUND(AD59,3)&amp;"', 'pieces_unit' : '"&amp;AI59&amp;"', 'pieces_quantity' : '"&amp;ROUND(AG59,3)&amp;"', 'cooking_notes' : '"&amp;AJ59&amp;"'}).status_code; print('%s :: %s :: %s :: %s :: %s' %(a,"&amp;G59&amp;",'"&amp;X59&amp;"','"&amp;Y59&amp;"','"&amp;U59&amp;"'))"</f>
        <v>#N/A</v>
      </c>
    </row>
    <row r="60" customFormat="false" ht="13.8" hidden="false" customHeight="false" outlineLevel="0" collapsed="false">
      <c r="G60" s="80" t="n">
        <v>60</v>
      </c>
      <c r="H60" s="98"/>
      <c r="I60" s="99"/>
      <c r="J60" s="79"/>
      <c r="K60" s="100"/>
      <c r="L60" s="100"/>
      <c r="M60" s="100"/>
      <c r="N60" s="100"/>
      <c r="O60" s="101"/>
      <c r="P60" s="100"/>
      <c r="Q60" s="102"/>
      <c r="R60" s="99" t="e">
        <f aca="false">VLOOKUP(J60,ingredient!$N$4:$O$553,2,0)</f>
        <v>#N/A</v>
      </c>
      <c r="S60" s="98"/>
      <c r="T60" s="98"/>
      <c r="U60" s="81" t="n">
        <f aca="false">I60</f>
        <v>0</v>
      </c>
      <c r="V60" s="81" t="e">
        <f aca="false">VLOOKUP(U60,recipe_ingred_list!$A$2:$B$300,2,0)</f>
        <v>#N/A</v>
      </c>
      <c r="W60" s="81" t="e">
        <f aca="false">"/recipes/"&amp;VLOOKUP(U60,recipe_ingred_list!$A$2:$C$300,3,0)&amp;"/detail/"</f>
        <v>#N/A</v>
      </c>
      <c r="X60" s="81" t="n">
        <f aca="false">J60</f>
        <v>0</v>
      </c>
      <c r="Y60" s="81" t="e">
        <f aca="false">R60</f>
        <v>#N/A</v>
      </c>
      <c r="Z60" s="94" t="e">
        <f aca="false">VLOOKUP(Y60,recipe_ingred_list!$D$2:$E$500,2,0)</f>
        <v>#N/A</v>
      </c>
      <c r="AA60" s="61" t="n">
        <f aca="false">K60</f>
        <v>0</v>
      </c>
      <c r="AB60" s="61" t="n">
        <f aca="false">L60</f>
        <v>0</v>
      </c>
      <c r="AC60" s="61" t="n">
        <f aca="false">VLOOKUP(AB60,recipe_ingred_list!$K$2:$M$7,3,0)</f>
        <v>2</v>
      </c>
      <c r="AD60" s="61" t="n">
        <f aca="false">M60</f>
        <v>0</v>
      </c>
      <c r="AE60" s="61" t="n">
        <f aca="false">N60</f>
        <v>0</v>
      </c>
      <c r="AF60" s="61" t="n">
        <f aca="false">VLOOKUP(AE60,recipe_ingred_list!$K$16:$M$25,3,0)</f>
        <v>1</v>
      </c>
      <c r="AG60" s="61" t="n">
        <f aca="false">O60</f>
        <v>0</v>
      </c>
      <c r="AH60" s="61" t="n">
        <f aca="false">P60</f>
        <v>0</v>
      </c>
      <c r="AI60" s="61" t="n">
        <f aca="false">VLOOKUP(AH60,recipe_ingred_list!$K$29:$M$34,3,0)</f>
        <v>3</v>
      </c>
      <c r="AJ60" s="61" t="str">
        <f aca="false">IF(Q60="","",Q60)</f>
        <v/>
      </c>
      <c r="AK60" s="61" t="n">
        <f aca="false">AK59+1</f>
        <v>60</v>
      </c>
      <c r="AL60" s="61" t="e">
        <f aca="false">Y60</f>
        <v>#N/A</v>
      </c>
      <c r="AM60" s="81" t="e">
        <f aca="false">"a = Client().post('"&amp;W60&amp;"', {'recipe' : '"&amp;V60&amp;"', 'ingredient' : '"&amp;Z60&amp;"', 'name' : '"&amp;X60&amp;"', 'mass_unit' : '"&amp;AC60&amp;"', 'mass_quantity' : '"&amp;ROUND(AA60,3)&amp;"', 'volume_unit' : '"&amp;AF60&amp;"', 'volume_quantity' : '"&amp;ROUND(AD60,3)&amp;"', 'pieces_unit' : '"&amp;AI60&amp;"', 'pieces_quantity' : '"&amp;ROUND(AG60,3)&amp;"', 'cooking_notes' : '"&amp;AJ60&amp;"'}).status_code; print('%s :: %s :: %s :: %s :: %s' %(a,"&amp;G60&amp;",'"&amp;X60&amp;"','"&amp;Y60&amp;"','"&amp;U60&amp;"'))"</f>
        <v>#N/A</v>
      </c>
    </row>
    <row r="61" customFormat="false" ht="13.8" hidden="false" customHeight="false" outlineLevel="0" collapsed="false">
      <c r="G61" s="80" t="n">
        <v>61</v>
      </c>
      <c r="H61" s="98"/>
      <c r="I61" s="99"/>
      <c r="J61" s="79"/>
      <c r="K61" s="100"/>
      <c r="L61" s="100"/>
      <c r="M61" s="100"/>
      <c r="N61" s="100"/>
      <c r="O61" s="101"/>
      <c r="P61" s="100"/>
      <c r="Q61" s="102"/>
      <c r="R61" s="99" t="e">
        <f aca="false">VLOOKUP(J61,ingredient!$N$4:$O$553,2,0)</f>
        <v>#N/A</v>
      </c>
      <c r="S61" s="98"/>
      <c r="T61" s="98"/>
      <c r="U61" s="81" t="n">
        <f aca="false">I61</f>
        <v>0</v>
      </c>
      <c r="V61" s="81" t="e">
        <f aca="false">VLOOKUP(U61,recipe_ingred_list!$A$2:$B$300,2,0)</f>
        <v>#N/A</v>
      </c>
      <c r="W61" s="81" t="e">
        <f aca="false">"/recipes/"&amp;VLOOKUP(U61,recipe_ingred_list!$A$2:$C$300,3,0)&amp;"/detail/"</f>
        <v>#N/A</v>
      </c>
      <c r="X61" s="81" t="n">
        <f aca="false">J61</f>
        <v>0</v>
      </c>
      <c r="Y61" s="81" t="e">
        <f aca="false">R61</f>
        <v>#N/A</v>
      </c>
      <c r="Z61" s="94" t="e">
        <f aca="false">VLOOKUP(Y61,recipe_ingred_list!$D$2:$E$500,2,0)</f>
        <v>#N/A</v>
      </c>
      <c r="AA61" s="61" t="n">
        <f aca="false">K61</f>
        <v>0</v>
      </c>
      <c r="AB61" s="61" t="n">
        <f aca="false">L61</f>
        <v>0</v>
      </c>
      <c r="AC61" s="61" t="n">
        <f aca="false">VLOOKUP(AB61,recipe_ingred_list!$K$2:$M$7,3,0)</f>
        <v>2</v>
      </c>
      <c r="AD61" s="61" t="n">
        <f aca="false">M61</f>
        <v>0</v>
      </c>
      <c r="AE61" s="61" t="n">
        <f aca="false">N61</f>
        <v>0</v>
      </c>
      <c r="AF61" s="61" t="n">
        <f aca="false">VLOOKUP(AE61,recipe_ingred_list!$K$16:$M$25,3,0)</f>
        <v>1</v>
      </c>
      <c r="AG61" s="61" t="n">
        <f aca="false">O61</f>
        <v>0</v>
      </c>
      <c r="AH61" s="61" t="n">
        <f aca="false">P61</f>
        <v>0</v>
      </c>
      <c r="AI61" s="61" t="n">
        <f aca="false">VLOOKUP(AH61,recipe_ingred_list!$K$29:$M$34,3,0)</f>
        <v>3</v>
      </c>
      <c r="AJ61" s="61" t="str">
        <f aca="false">IF(Q61="","",Q61)</f>
        <v/>
      </c>
      <c r="AK61" s="61" t="n">
        <f aca="false">AK60+1</f>
        <v>61</v>
      </c>
      <c r="AL61" s="61" t="e">
        <f aca="false">Y61</f>
        <v>#N/A</v>
      </c>
      <c r="AM61" s="81" t="e">
        <f aca="false">"a = Client().post('"&amp;W61&amp;"', {'recipe' : '"&amp;V61&amp;"', 'ingredient' : '"&amp;Z61&amp;"', 'name' : '"&amp;X61&amp;"', 'mass_unit' : '"&amp;AC61&amp;"', 'mass_quantity' : '"&amp;ROUND(AA61,3)&amp;"', 'volume_unit' : '"&amp;AF61&amp;"', 'volume_quantity' : '"&amp;ROUND(AD61,3)&amp;"', 'pieces_unit' : '"&amp;AI61&amp;"', 'pieces_quantity' : '"&amp;ROUND(AG61,3)&amp;"', 'cooking_notes' : '"&amp;AJ61&amp;"'}).status_code; print('%s :: %s :: %s :: %s :: %s' %(a,"&amp;G61&amp;",'"&amp;X61&amp;"','"&amp;Y61&amp;"','"&amp;U61&amp;"'))"</f>
        <v>#N/A</v>
      </c>
    </row>
    <row r="62" s="113" customFormat="true" ht="15.65" hidden="false" customHeight="false" outlineLevel="0" collapsed="false">
      <c r="A62" s="0"/>
      <c r="B62" s="0"/>
      <c r="C62" s="0"/>
      <c r="D62" s="0"/>
      <c r="E62" s="0"/>
      <c r="F62" s="0"/>
      <c r="G62" s="80" t="n">
        <v>62</v>
      </c>
      <c r="H62" s="125" t="s">
        <v>10</v>
      </c>
      <c r="I62" s="112" t="s">
        <v>378</v>
      </c>
      <c r="J62" s="125" t="s">
        <v>10</v>
      </c>
      <c r="K62" s="110" t="n">
        <v>11.6666666666667</v>
      </c>
      <c r="L62" s="110" t="s">
        <v>7</v>
      </c>
      <c r="M62" s="71"/>
      <c r="N62" s="71"/>
      <c r="O62" s="71"/>
      <c r="P62" s="71"/>
      <c r="Q62" s="126" t="s">
        <v>62</v>
      </c>
      <c r="R62" s="112" t="str">
        <f aca="false">VLOOKUP(J62,ingredient!$N$4:$O$553,2,0)</f>
        <v>alu</v>
      </c>
      <c r="U62" s="81" t="str">
        <f aca="false">I62</f>
        <v>Alu Flower Gravy (Ekadashi)</v>
      </c>
      <c r="V62" s="81" t="n">
        <f aca="false">VLOOKUP(U62,recipe_ingred_list!$A$2:$B$300,2,0)</f>
        <v>90</v>
      </c>
      <c r="W62" s="81" t="str">
        <f aca="false">"/recipes/"&amp;VLOOKUP(U62,recipe_ingred_list!$A$2:$C$300,3,0)&amp;"/detail/"</f>
        <v>/recipes/alu-flower-gravy-ekadashi/detail/</v>
      </c>
      <c r="X62" s="81" t="str">
        <f aca="false">J62</f>
        <v>Alu</v>
      </c>
      <c r="Y62" s="81" t="str">
        <f aca="false">R62</f>
        <v>alu</v>
      </c>
      <c r="Z62" s="94" t="n">
        <f aca="false">VLOOKUP(Y62,recipe_ingred_list!$D$2:$E$500,2,0)</f>
        <v>8</v>
      </c>
      <c r="AA62" s="61" t="n">
        <f aca="false">K62</f>
        <v>11.6666666666667</v>
      </c>
      <c r="AB62" s="61" t="str">
        <f aca="false">L62</f>
        <v>kg</v>
      </c>
      <c r="AC62" s="61" t="n">
        <f aca="false">VLOOKUP(AB62,recipe_ingred_list!$K$2:$M$7,3,0)</f>
        <v>2</v>
      </c>
      <c r="AD62" s="61" t="n">
        <f aca="false">M62</f>
        <v>0</v>
      </c>
      <c r="AE62" s="61" t="n">
        <f aca="false">N62</f>
        <v>0</v>
      </c>
      <c r="AF62" s="61" t="n">
        <f aca="false">VLOOKUP(AE62,recipe_ingred_list!$K$16:$M$25,3,0)</f>
        <v>1</v>
      </c>
      <c r="AG62" s="61" t="n">
        <f aca="false">O62</f>
        <v>0</v>
      </c>
      <c r="AH62" s="61" t="n">
        <f aca="false">P62</f>
        <v>0</v>
      </c>
      <c r="AI62" s="61" t="n">
        <f aca="false">VLOOKUP(AH62,recipe_ingred_list!$K$29:$M$34,3,0)</f>
        <v>3</v>
      </c>
      <c r="AJ62" s="61" t="str">
        <f aca="false">IF(Q62="","",Q62)</f>
        <v>(1/2 inch cube steamed)</v>
      </c>
      <c r="AK62" s="61" t="n">
        <f aca="false">AK61+1</f>
        <v>62</v>
      </c>
      <c r="AL62" s="61" t="str">
        <f aca="false">Y62</f>
        <v>alu</v>
      </c>
      <c r="AM62" s="81" t="str">
        <f aca="false">"a = Client().post('"&amp;W62&amp;"', {'recipe' : '"&amp;V62&amp;"', 'ingredient' : '"&amp;Z62&amp;"', 'name' : '"&amp;X62&amp;"', 'mass_unit' : '"&amp;AC62&amp;"', 'mass_quantity' : '"&amp;ROUND(AA62,3)&amp;"', 'volume_unit' : '"&amp;AF62&amp;"', 'volume_quantity' : '"&amp;ROUND(AD62,3)&amp;"', 'pieces_unit' : '"&amp;AI62&amp;"', 'pieces_quantity' : '"&amp;ROUND(AG62,3)&amp;"', 'cooking_notes' : '"&amp;AJ62&amp;"'}).status_code; print('%s :: %s :: %s :: %s :: %s' %(a,"&amp;G62&amp;",'"&amp;X62&amp;"','"&amp;Y62&amp;"','"&amp;U62&amp;"'))"</f>
        <v>a = Client().post('/recipes/alu-flower-gravy-ekadashi/detail/', {'recipe' : '90', 'ingredient' : '8', 'name' : 'Alu', 'mass_unit' : '2', 'mass_quantity' : '11.667', 'volume_unit' : '1', 'volume_quantity' : '0', 'pieces_unit' : '3', 'pieces_quantity' : '0', 'cooking_notes' : '(1/2 inch cube steamed)'}).status_code; print('%s :: %s :: %s :: %s :: %s' %(a,62,'Alu','alu','Alu Flower Gravy (Ekadashi)'))</v>
      </c>
      <c r="AMJ62" s="0"/>
    </row>
    <row r="63" s="113" customFormat="true" ht="15.65" hidden="false" customHeight="false" outlineLevel="0" collapsed="false">
      <c r="A63" s="0"/>
      <c r="B63" s="0"/>
      <c r="C63" s="0"/>
      <c r="D63" s="0"/>
      <c r="E63" s="0"/>
      <c r="F63" s="0"/>
      <c r="G63" s="80" t="n">
        <v>63</v>
      </c>
      <c r="H63" s="127" t="s">
        <v>63</v>
      </c>
      <c r="I63" s="112" t="s">
        <v>378</v>
      </c>
      <c r="J63" s="127" t="s">
        <v>63</v>
      </c>
      <c r="K63" s="110" t="n">
        <v>29.1666666666667</v>
      </c>
      <c r="L63" s="110" t="s">
        <v>7</v>
      </c>
      <c r="M63" s="110" t="n">
        <v>35</v>
      </c>
      <c r="N63" s="110" t="s">
        <v>13</v>
      </c>
      <c r="O63" s="71"/>
      <c r="P63" s="71"/>
      <c r="Q63" s="126" t="s">
        <v>64</v>
      </c>
      <c r="R63" s="112" t="str">
        <f aca="false">VLOOKUP(J63,ingredient!$N$4:$O$553,2,0)</f>
        <v>flower</v>
      </c>
      <c r="U63" s="81" t="str">
        <f aca="false">I63</f>
        <v>Alu Flower Gravy (Ekadashi)</v>
      </c>
      <c r="V63" s="81" t="n">
        <f aca="false">VLOOKUP(U63,recipe_ingred_list!$A$2:$B$300,2,0)</f>
        <v>90</v>
      </c>
      <c r="W63" s="81" t="str">
        <f aca="false">"/recipes/"&amp;VLOOKUP(U63,recipe_ingred_list!$A$2:$C$300,3,0)&amp;"/detail/"</f>
        <v>/recipes/alu-flower-gravy-ekadashi/detail/</v>
      </c>
      <c r="X63" s="81" t="str">
        <f aca="false">J63</f>
        <v>Flower</v>
      </c>
      <c r="Y63" s="81" t="str">
        <f aca="false">R63</f>
        <v>flower</v>
      </c>
      <c r="Z63" s="94" t="n">
        <f aca="false">VLOOKUP(Y63,recipe_ingred_list!$D$2:$E$500,2,0)</f>
        <v>78</v>
      </c>
      <c r="AA63" s="61" t="n">
        <f aca="false">K63</f>
        <v>29.1666666666667</v>
      </c>
      <c r="AB63" s="61" t="str">
        <f aca="false">L63</f>
        <v>kg</v>
      </c>
      <c r="AC63" s="61" t="n">
        <f aca="false">VLOOKUP(AB63,recipe_ingred_list!$K$2:$M$7,3,0)</f>
        <v>2</v>
      </c>
      <c r="AD63" s="61" t="n">
        <f aca="false">M63</f>
        <v>35</v>
      </c>
      <c r="AE63" s="61" t="str">
        <f aca="false">N63</f>
        <v>ltr</v>
      </c>
      <c r="AF63" s="61" t="n">
        <f aca="false">VLOOKUP(AE63,recipe_ingred_list!$K$16:$M$25,3,0)</f>
        <v>1</v>
      </c>
      <c r="AG63" s="61" t="n">
        <f aca="false">O63</f>
        <v>0</v>
      </c>
      <c r="AH63" s="61" t="n">
        <f aca="false">P63</f>
        <v>0</v>
      </c>
      <c r="AI63" s="61" t="n">
        <f aca="false">VLOOKUP(AH63,recipe_ingred_list!$K$29:$M$34,3,0)</f>
        <v>3</v>
      </c>
      <c r="AJ63" s="61" t="str">
        <f aca="false">IF(Q63="","",Q63)</f>
        <v>(florets after cutting)</v>
      </c>
      <c r="AK63" s="61" t="n">
        <f aca="false">AK62+1</f>
        <v>63</v>
      </c>
      <c r="AL63" s="61" t="str">
        <f aca="false">Y63</f>
        <v>flower</v>
      </c>
      <c r="AM63" s="81" t="str">
        <f aca="false">"a = Client().post('"&amp;W63&amp;"', {'recipe' : '"&amp;V63&amp;"', 'ingredient' : '"&amp;Z63&amp;"', 'name' : '"&amp;X63&amp;"', 'mass_unit' : '"&amp;AC63&amp;"', 'mass_quantity' : '"&amp;ROUND(AA63,3)&amp;"', 'volume_unit' : '"&amp;AF63&amp;"', 'volume_quantity' : '"&amp;ROUND(AD63,3)&amp;"', 'pieces_unit' : '"&amp;AI63&amp;"', 'pieces_quantity' : '"&amp;ROUND(AG63,3)&amp;"', 'cooking_notes' : '"&amp;AJ63&amp;"'}).status_code; print('%s :: %s :: %s :: %s :: %s' %(a,"&amp;G63&amp;",'"&amp;X63&amp;"','"&amp;Y63&amp;"','"&amp;U63&amp;"'))"</f>
        <v>a = Client().post('/recipes/alu-flower-gravy-ekadashi/detail/', {'recipe' : '90', 'ingredient' : '78', 'name' : 'Flower', 'mass_unit' : '2', 'mass_quantity' : '29.167', 'volume_unit' : '1', 'volume_quantity' : '35', 'pieces_unit' : '3', 'pieces_quantity' : '0', 'cooking_notes' : '(florets after cutting)'}).status_code; print('%s :: %s :: %s :: %s :: %s' %(a,63,'Flower','flower','Alu Flower Gravy (Ekadashi)'))</v>
      </c>
      <c r="AMJ63" s="0"/>
    </row>
    <row r="64" s="113" customFormat="true" ht="15.65" hidden="false" customHeight="false" outlineLevel="0" collapsed="false">
      <c r="A64" s="0"/>
      <c r="B64" s="0"/>
      <c r="C64" s="0"/>
      <c r="D64" s="0"/>
      <c r="E64" s="0"/>
      <c r="F64" s="0"/>
      <c r="G64" s="80" t="n">
        <v>64</v>
      </c>
      <c r="H64" s="125" t="s">
        <v>65</v>
      </c>
      <c r="I64" s="112" t="s">
        <v>378</v>
      </c>
      <c r="J64" s="127" t="s">
        <v>63</v>
      </c>
      <c r="K64" s="71"/>
      <c r="L64" s="71"/>
      <c r="M64" s="110" t="n">
        <v>11.6666666666667</v>
      </c>
      <c r="N64" s="110" t="s">
        <v>13</v>
      </c>
      <c r="O64" s="71"/>
      <c r="P64" s="71"/>
      <c r="Q64" s="126" t="s">
        <v>65</v>
      </c>
      <c r="R64" s="112" t="str">
        <f aca="false">VLOOKUP(J64,ingredient!$N$4:$O$553,2,0)</f>
        <v>flower</v>
      </c>
      <c r="U64" s="81" t="str">
        <f aca="false">I64</f>
        <v>Alu Flower Gravy (Ekadashi)</v>
      </c>
      <c r="V64" s="81" t="n">
        <f aca="false">VLOOKUP(U64,recipe_ingred_list!$A$2:$B$300,2,0)</f>
        <v>90</v>
      </c>
      <c r="W64" s="81" t="str">
        <f aca="false">"/recipes/"&amp;VLOOKUP(U64,recipe_ingred_list!$A$2:$C$300,3,0)&amp;"/detail/"</f>
        <v>/recipes/alu-flower-gravy-ekadashi/detail/</v>
      </c>
      <c r="X64" s="81" t="str">
        <f aca="false">J64</f>
        <v>Flower</v>
      </c>
      <c r="Y64" s="81" t="str">
        <f aca="false">R64</f>
        <v>flower</v>
      </c>
      <c r="Z64" s="94" t="n">
        <f aca="false">VLOOKUP(Y64,recipe_ingred_list!$D$2:$E$500,2,0)</f>
        <v>78</v>
      </c>
      <c r="AA64" s="61" t="n">
        <f aca="false">K64</f>
        <v>0</v>
      </c>
      <c r="AB64" s="61" t="n">
        <f aca="false">L64</f>
        <v>0</v>
      </c>
      <c r="AC64" s="61" t="n">
        <f aca="false">VLOOKUP(AB64,recipe_ingred_list!$K$2:$M$7,3,0)</f>
        <v>2</v>
      </c>
      <c r="AD64" s="61" t="n">
        <f aca="false">M64</f>
        <v>11.6666666666667</v>
      </c>
      <c r="AE64" s="61" t="str">
        <f aca="false">N64</f>
        <v>ltr</v>
      </c>
      <c r="AF64" s="61" t="n">
        <f aca="false">VLOOKUP(AE64,recipe_ingred_list!$K$16:$M$25,3,0)</f>
        <v>1</v>
      </c>
      <c r="AG64" s="61" t="n">
        <f aca="false">O64</f>
        <v>0</v>
      </c>
      <c r="AH64" s="61" t="n">
        <f aca="false">P64</f>
        <v>0</v>
      </c>
      <c r="AI64" s="61" t="n">
        <f aca="false">VLOOKUP(AH64,recipe_ingred_list!$K$29:$M$34,3,0)</f>
        <v>3</v>
      </c>
      <c r="AJ64" s="61" t="str">
        <f aca="false">IF(Q64="","",Q64)</f>
        <v>(deep fried)</v>
      </c>
      <c r="AK64" s="61" t="n">
        <f aca="false">AK63+1</f>
        <v>64</v>
      </c>
      <c r="AL64" s="61" t="str">
        <f aca="false">Y64</f>
        <v>flower</v>
      </c>
      <c r="AM64" s="81" t="str">
        <f aca="false">"a = Client().post('"&amp;W64&amp;"', {'recipe' : '"&amp;V64&amp;"', 'ingredient' : '"&amp;Z64&amp;"', 'name' : '"&amp;X64&amp;"', 'mass_unit' : '"&amp;AC64&amp;"', 'mass_quantity' : '"&amp;ROUND(AA64,3)&amp;"', 'volume_unit' : '"&amp;AF64&amp;"', 'volume_quantity' : '"&amp;ROUND(AD64,3)&amp;"', 'pieces_unit' : '"&amp;AI64&amp;"', 'pieces_quantity' : '"&amp;ROUND(AG64,3)&amp;"', 'cooking_notes' : '"&amp;AJ64&amp;"'}).status_code; print('%s :: %s :: %s :: %s :: %s' %(a,"&amp;G64&amp;",'"&amp;X64&amp;"','"&amp;Y64&amp;"','"&amp;U64&amp;"'))"</f>
        <v>a = Client().post('/recipes/alu-flower-gravy-ekadashi/detail/', {'recipe' : '90', 'ingredient' : '78', 'name' : 'Flower', 'mass_unit' : '2', 'mass_quantity' : '0', 'volume_unit' : '1', 'volume_quantity' : '11.667', 'pieces_unit' : '3', 'pieces_quantity' : '0', 'cooking_notes' : '(deep fried)'}).status_code; print('%s :: %s :: %s :: %s :: %s' %(a,64,'Flower','flower','Alu Flower Gravy (Ekadashi)'))</v>
      </c>
      <c r="AMJ64" s="0"/>
    </row>
    <row r="65" s="113" customFormat="true" ht="15" hidden="false" customHeight="false" outlineLevel="0" collapsed="false">
      <c r="A65" s="0"/>
      <c r="B65" s="0"/>
      <c r="C65" s="0"/>
      <c r="D65" s="0"/>
      <c r="E65" s="0"/>
      <c r="F65" s="0"/>
      <c r="G65" s="80" t="n">
        <v>65</v>
      </c>
      <c r="H65" s="127" t="s">
        <v>21</v>
      </c>
      <c r="I65" s="112" t="s">
        <v>378</v>
      </c>
      <c r="J65" s="127" t="s">
        <v>66</v>
      </c>
      <c r="K65" s="110" t="n">
        <v>14.5833333333333</v>
      </c>
      <c r="L65" s="110" t="s">
        <v>7</v>
      </c>
      <c r="M65" s="71"/>
      <c r="N65" s="71"/>
      <c r="O65" s="71"/>
      <c r="P65" s="71"/>
      <c r="Q65" s="111"/>
      <c r="R65" s="112" t="str">
        <f aca="false">VLOOKUP(J65,ingredient!$N$4:$O$553,2,0)</f>
        <v>tomato</v>
      </c>
      <c r="U65" s="81" t="str">
        <f aca="false">I65</f>
        <v>Alu Flower Gravy (Ekadashi)</v>
      </c>
      <c r="V65" s="81" t="n">
        <f aca="false">VLOOKUP(U65,recipe_ingred_list!$A$2:$B$300,2,0)</f>
        <v>90</v>
      </c>
      <c r="W65" s="81" t="str">
        <f aca="false">"/recipes/"&amp;VLOOKUP(U65,recipe_ingred_list!$A$2:$C$300,3,0)&amp;"/detail/"</f>
        <v>/recipes/alu-flower-gravy-ekadashi/detail/</v>
      </c>
      <c r="X65" s="81" t="str">
        <f aca="false">J65</f>
        <v>Tomato puree</v>
      </c>
      <c r="Y65" s="81" t="str">
        <f aca="false">R65</f>
        <v>tomato</v>
      </c>
      <c r="Z65" s="94" t="n">
        <f aca="false">VLOOKUP(Y65,recipe_ingred_list!$D$2:$E$500,2,0)</f>
        <v>195</v>
      </c>
      <c r="AA65" s="61" t="n">
        <f aca="false">K65</f>
        <v>14.5833333333333</v>
      </c>
      <c r="AB65" s="61" t="str">
        <f aca="false">L65</f>
        <v>kg</v>
      </c>
      <c r="AC65" s="61" t="n">
        <f aca="false">VLOOKUP(AB65,recipe_ingred_list!$K$2:$M$7,3,0)</f>
        <v>2</v>
      </c>
      <c r="AD65" s="61" t="n">
        <f aca="false">M65</f>
        <v>0</v>
      </c>
      <c r="AE65" s="61" t="n">
        <f aca="false">N65</f>
        <v>0</v>
      </c>
      <c r="AF65" s="61" t="n">
        <f aca="false">VLOOKUP(AE65,recipe_ingred_list!$K$16:$M$25,3,0)</f>
        <v>1</v>
      </c>
      <c r="AG65" s="61" t="n">
        <f aca="false">O65</f>
        <v>0</v>
      </c>
      <c r="AH65" s="61" t="n">
        <f aca="false">P65</f>
        <v>0</v>
      </c>
      <c r="AI65" s="61" t="n">
        <f aca="false">VLOOKUP(AH65,recipe_ingred_list!$K$29:$M$34,3,0)</f>
        <v>3</v>
      </c>
      <c r="AJ65" s="61" t="str">
        <f aca="false">IF(Q65="","",Q65)</f>
        <v/>
      </c>
      <c r="AK65" s="61" t="n">
        <f aca="false">AK64+1</f>
        <v>65</v>
      </c>
      <c r="AL65" s="61" t="str">
        <f aca="false">Y65</f>
        <v>tomato</v>
      </c>
      <c r="AM65" s="81" t="str">
        <f aca="false">"a = Client().post('"&amp;W65&amp;"', {'recipe' : '"&amp;V65&amp;"', 'ingredient' : '"&amp;Z65&amp;"', 'name' : '"&amp;X65&amp;"', 'mass_unit' : '"&amp;AC65&amp;"', 'mass_quantity' : '"&amp;ROUND(AA65,3)&amp;"', 'volume_unit' : '"&amp;AF65&amp;"', 'volume_quantity' : '"&amp;ROUND(AD65,3)&amp;"', 'pieces_unit' : '"&amp;AI65&amp;"', 'pieces_quantity' : '"&amp;ROUND(AG65,3)&amp;"', 'cooking_notes' : '"&amp;AJ65&amp;"'}).status_code; print('%s :: %s :: %s :: %s :: %s' %(a,"&amp;G65&amp;",'"&amp;X65&amp;"','"&amp;Y65&amp;"','"&amp;U65&amp;"'))"</f>
        <v>a = Client().post('/recipes/alu-flower-gravy-ekadashi/detail/', {'recipe' : '90', 'ingredient' : '195', 'name' : 'Tomato puree', 'mass_unit' : '2', 'mass_quantity' : '14.583', 'volume_unit' : '1', 'volume_quantity' : '0', 'pieces_unit' : '3', 'pieces_quantity' : '0', 'cooking_notes' : ''}).status_code; print('%s :: %s :: %s :: %s :: %s' %(a,65,'Tomato puree','tomato','Alu Flower Gravy (Ekadashi)'))</v>
      </c>
      <c r="AMJ65" s="0"/>
    </row>
    <row r="66" s="113" customFormat="true" ht="15" hidden="false" customHeight="false" outlineLevel="0" collapsed="false">
      <c r="A66" s="0"/>
      <c r="B66" s="0"/>
      <c r="C66" s="0"/>
      <c r="D66" s="0"/>
      <c r="E66" s="0"/>
      <c r="F66" s="0"/>
      <c r="G66" s="80" t="n">
        <v>66</v>
      </c>
      <c r="H66" s="125" t="s">
        <v>22</v>
      </c>
      <c r="I66" s="112" t="s">
        <v>378</v>
      </c>
      <c r="J66" s="128" t="s">
        <v>22</v>
      </c>
      <c r="K66" s="71"/>
      <c r="L66" s="71"/>
      <c r="M66" s="110" t="n">
        <v>0.875</v>
      </c>
      <c r="N66" s="110" t="s">
        <v>13</v>
      </c>
      <c r="O66" s="71"/>
      <c r="P66" s="71"/>
      <c r="Q66" s="111"/>
      <c r="R66" s="112" t="str">
        <f aca="false">VLOOKUP(J66,ingredient!$N$4:$O$553,2,0)</f>
        <v>ghee</v>
      </c>
      <c r="U66" s="81" t="str">
        <f aca="false">I66</f>
        <v>Alu Flower Gravy (Ekadashi)</v>
      </c>
      <c r="V66" s="81" t="n">
        <f aca="false">VLOOKUP(U66,recipe_ingred_list!$A$2:$B$300,2,0)</f>
        <v>90</v>
      </c>
      <c r="W66" s="81" t="str">
        <f aca="false">"/recipes/"&amp;VLOOKUP(U66,recipe_ingred_list!$A$2:$C$300,3,0)&amp;"/detail/"</f>
        <v>/recipes/alu-flower-gravy-ekadashi/detail/</v>
      </c>
      <c r="X66" s="81" t="str">
        <f aca="false">J66</f>
        <v>Ghee</v>
      </c>
      <c r="Y66" s="81" t="str">
        <f aca="false">R66</f>
        <v>ghee</v>
      </c>
      <c r="Z66" s="94" t="n">
        <f aca="false">VLOOKUP(Y66,recipe_ingred_list!$D$2:$E$500,2,0)</f>
        <v>81</v>
      </c>
      <c r="AA66" s="61" t="n">
        <f aca="false">K66</f>
        <v>0</v>
      </c>
      <c r="AB66" s="61" t="n">
        <f aca="false">L66</f>
        <v>0</v>
      </c>
      <c r="AC66" s="61" t="n">
        <f aca="false">VLOOKUP(AB66,recipe_ingred_list!$K$2:$M$7,3,0)</f>
        <v>2</v>
      </c>
      <c r="AD66" s="61" t="n">
        <f aca="false">M66</f>
        <v>0.875</v>
      </c>
      <c r="AE66" s="61" t="str">
        <f aca="false">N66</f>
        <v>ltr</v>
      </c>
      <c r="AF66" s="61" t="n">
        <f aca="false">VLOOKUP(AE66,recipe_ingred_list!$K$16:$M$25,3,0)</f>
        <v>1</v>
      </c>
      <c r="AG66" s="61" t="n">
        <f aca="false">O66</f>
        <v>0</v>
      </c>
      <c r="AH66" s="61" t="n">
        <f aca="false">P66</f>
        <v>0</v>
      </c>
      <c r="AI66" s="61" t="n">
        <f aca="false">VLOOKUP(AH66,recipe_ingred_list!$K$29:$M$34,3,0)</f>
        <v>3</v>
      </c>
      <c r="AJ66" s="61" t="str">
        <f aca="false">IF(Q66="","",Q66)</f>
        <v/>
      </c>
      <c r="AK66" s="61" t="n">
        <f aca="false">AK65+1</f>
        <v>66</v>
      </c>
      <c r="AL66" s="61" t="str">
        <f aca="false">Y66</f>
        <v>ghee</v>
      </c>
      <c r="AM66" s="81" t="str">
        <f aca="false">"a = Client().post('"&amp;W66&amp;"', {'recipe' : '"&amp;V66&amp;"', 'ingredient' : '"&amp;Z66&amp;"', 'name' : '"&amp;X66&amp;"', 'mass_unit' : '"&amp;AC66&amp;"', 'mass_quantity' : '"&amp;ROUND(AA66,3)&amp;"', 'volume_unit' : '"&amp;AF66&amp;"', 'volume_quantity' : '"&amp;ROUND(AD66,3)&amp;"', 'pieces_unit' : '"&amp;AI66&amp;"', 'pieces_quantity' : '"&amp;ROUND(AG66,3)&amp;"', 'cooking_notes' : '"&amp;AJ66&amp;"'}).status_code; print('%s :: %s :: %s :: %s :: %s' %(a,"&amp;G66&amp;",'"&amp;X66&amp;"','"&amp;Y66&amp;"','"&amp;U66&amp;"'))"</f>
        <v>a = Client().post('/recipes/alu-flower-gravy-ekadashi/detail/', {'recipe' : '90', 'ingredient' : '81', 'name' : 'Ghee', 'mass_unit' : '2', 'mass_quantity' : '0', 'volume_unit' : '1', 'volume_quantity' : '0.875', 'pieces_unit' : '3', 'pieces_quantity' : '0', 'cooking_notes' : ''}).status_code; print('%s :: %s :: %s :: %s :: %s' %(a,66,'Ghee','ghee','Alu Flower Gravy (Ekadashi)'))</v>
      </c>
      <c r="AMJ66" s="0"/>
    </row>
    <row r="67" s="113" customFormat="true" ht="15" hidden="false" customHeight="false" outlineLevel="0" collapsed="false">
      <c r="A67" s="0"/>
      <c r="B67" s="0"/>
      <c r="C67" s="0"/>
      <c r="D67" s="0"/>
      <c r="E67" s="0"/>
      <c r="F67" s="0"/>
      <c r="G67" s="80" t="n">
        <v>67</v>
      </c>
      <c r="H67" s="125" t="s">
        <v>14</v>
      </c>
      <c r="I67" s="112" t="s">
        <v>378</v>
      </c>
      <c r="J67" s="128" t="s">
        <v>14</v>
      </c>
      <c r="K67" s="71"/>
      <c r="L67" s="71"/>
      <c r="M67" s="110" t="n">
        <v>0.875</v>
      </c>
      <c r="N67" s="110" t="s">
        <v>20</v>
      </c>
      <c r="O67" s="71"/>
      <c r="P67" s="71"/>
      <c r="Q67" s="111"/>
      <c r="R67" s="112" t="str">
        <f aca="false">VLOOKUP(J67,ingredient!$N$4:$O$553,2,0)</f>
        <v>jeera</v>
      </c>
      <c r="U67" s="81" t="str">
        <f aca="false">I67</f>
        <v>Alu Flower Gravy (Ekadashi)</v>
      </c>
      <c r="V67" s="81" t="n">
        <f aca="false">VLOOKUP(U67,recipe_ingred_list!$A$2:$B$300,2,0)</f>
        <v>90</v>
      </c>
      <c r="W67" s="81" t="str">
        <f aca="false">"/recipes/"&amp;VLOOKUP(U67,recipe_ingred_list!$A$2:$C$300,3,0)&amp;"/detail/"</f>
        <v>/recipes/alu-flower-gravy-ekadashi/detail/</v>
      </c>
      <c r="X67" s="81" t="str">
        <f aca="false">J67</f>
        <v>Jeera</v>
      </c>
      <c r="Y67" s="81" t="str">
        <f aca="false">R67</f>
        <v>jeera</v>
      </c>
      <c r="Z67" s="94" t="n">
        <f aca="false">VLOOKUP(Y67,recipe_ingred_list!$D$2:$E$500,2,0)</f>
        <v>102</v>
      </c>
      <c r="AA67" s="61" t="n">
        <f aca="false">K67</f>
        <v>0</v>
      </c>
      <c r="AB67" s="61" t="n">
        <f aca="false">L67</f>
        <v>0</v>
      </c>
      <c r="AC67" s="61" t="n">
        <f aca="false">VLOOKUP(AB67,recipe_ingred_list!$K$2:$M$7,3,0)</f>
        <v>2</v>
      </c>
      <c r="AD67" s="61" t="n">
        <f aca="false">M67</f>
        <v>0.875</v>
      </c>
      <c r="AE67" s="61" t="str">
        <f aca="false">N67</f>
        <v>cup</v>
      </c>
      <c r="AF67" s="61" t="n">
        <f aca="false">VLOOKUP(AE67,recipe_ingred_list!$K$16:$M$25,3,0)</f>
        <v>5</v>
      </c>
      <c r="AG67" s="61" t="n">
        <f aca="false">O67</f>
        <v>0</v>
      </c>
      <c r="AH67" s="61" t="n">
        <f aca="false">P67</f>
        <v>0</v>
      </c>
      <c r="AI67" s="61" t="n">
        <f aca="false">VLOOKUP(AH67,recipe_ingred_list!$K$29:$M$34,3,0)</f>
        <v>3</v>
      </c>
      <c r="AJ67" s="61" t="str">
        <f aca="false">IF(Q67="","",Q67)</f>
        <v/>
      </c>
      <c r="AK67" s="61" t="n">
        <f aca="false">AK66+1</f>
        <v>67</v>
      </c>
      <c r="AL67" s="61" t="str">
        <f aca="false">Y67</f>
        <v>jeera</v>
      </c>
      <c r="AM67" s="81" t="str">
        <f aca="false">"a = Client().post('"&amp;W67&amp;"', {'recipe' : '"&amp;V67&amp;"', 'ingredient' : '"&amp;Z67&amp;"', 'name' : '"&amp;X67&amp;"', 'mass_unit' : '"&amp;AC67&amp;"', 'mass_quantity' : '"&amp;ROUND(AA67,3)&amp;"', 'volume_unit' : '"&amp;AF67&amp;"', 'volume_quantity' : '"&amp;ROUND(AD67,3)&amp;"', 'pieces_unit' : '"&amp;AI67&amp;"', 'pieces_quantity' : '"&amp;ROUND(AG67,3)&amp;"', 'cooking_notes' : '"&amp;AJ67&amp;"'}).status_code; print('%s :: %s :: %s :: %s :: %s' %(a,"&amp;G67&amp;",'"&amp;X67&amp;"','"&amp;Y67&amp;"','"&amp;U67&amp;"'))"</f>
        <v>a = Client().post('/recipes/alu-flower-gravy-ekadashi/detail/', {'recipe' : '90', 'ingredient' : '102', 'name' : 'Jeera', 'mass_unit' : '2', 'mass_quantity' : '0', 'volume_unit' : '5', 'volume_quantity' : '0.875', 'pieces_unit' : '3', 'pieces_quantity' : '0', 'cooking_notes' : ''}).status_code; print('%s :: %s :: %s :: %s :: %s' %(a,67,'Jeera','jeera','Alu Flower Gravy (Ekadashi)'))</v>
      </c>
      <c r="AMJ67" s="0"/>
    </row>
    <row r="68" s="113" customFormat="true" ht="15" hidden="false" customHeight="false" outlineLevel="0" collapsed="false">
      <c r="A68" s="0"/>
      <c r="B68" s="0"/>
      <c r="C68" s="0"/>
      <c r="D68" s="0"/>
      <c r="E68" s="0"/>
      <c r="F68" s="0"/>
      <c r="G68" s="80" t="n">
        <v>68</v>
      </c>
      <c r="H68" s="125" t="s">
        <v>526</v>
      </c>
      <c r="I68" s="112" t="s">
        <v>378</v>
      </c>
      <c r="J68" s="128" t="s">
        <v>69</v>
      </c>
      <c r="K68" s="71"/>
      <c r="L68" s="71"/>
      <c r="M68" s="110" t="n">
        <v>1.16666666666667</v>
      </c>
      <c r="N68" s="110" t="s">
        <v>20</v>
      </c>
      <c r="O68" s="71"/>
      <c r="P68" s="71"/>
      <c r="Q68" s="111"/>
      <c r="R68" s="112" t="str">
        <f aca="false">VLOOKUP(J68,ingredient!$N$4:$O$553,2,0)</f>
        <v>hari mirchi</v>
      </c>
      <c r="U68" s="81" t="str">
        <f aca="false">I68</f>
        <v>Alu Flower Gravy (Ekadashi)</v>
      </c>
      <c r="V68" s="81" t="n">
        <f aca="false">VLOOKUP(U68,recipe_ingred_list!$A$2:$B$300,2,0)</f>
        <v>90</v>
      </c>
      <c r="W68" s="81" t="str">
        <f aca="false">"/recipes/"&amp;VLOOKUP(U68,recipe_ingred_list!$A$2:$C$300,3,0)&amp;"/detail/"</f>
        <v>/recipes/alu-flower-gravy-ekadashi/detail/</v>
      </c>
      <c r="X68" s="81" t="str">
        <f aca="false">J68</f>
        <v>Hari Mirchi split in 2</v>
      </c>
      <c r="Y68" s="81" t="str">
        <f aca="false">R68</f>
        <v>hari mirchi</v>
      </c>
      <c r="Z68" s="94" t="n">
        <f aca="false">VLOOKUP(Y68,recipe_ingred_list!$D$2:$E$500,2,0)</f>
        <v>93</v>
      </c>
      <c r="AA68" s="61" t="n">
        <f aca="false">K68</f>
        <v>0</v>
      </c>
      <c r="AB68" s="61" t="n">
        <f aca="false">L68</f>
        <v>0</v>
      </c>
      <c r="AC68" s="61" t="n">
        <f aca="false">VLOOKUP(AB68,recipe_ingred_list!$K$2:$M$7,3,0)</f>
        <v>2</v>
      </c>
      <c r="AD68" s="61" t="n">
        <f aca="false">M68</f>
        <v>1.16666666666667</v>
      </c>
      <c r="AE68" s="61" t="str">
        <f aca="false">N68</f>
        <v>cup</v>
      </c>
      <c r="AF68" s="61" t="n">
        <f aca="false">VLOOKUP(AE68,recipe_ingred_list!$K$16:$M$25,3,0)</f>
        <v>5</v>
      </c>
      <c r="AG68" s="61" t="n">
        <f aca="false">O68</f>
        <v>0</v>
      </c>
      <c r="AH68" s="61" t="n">
        <f aca="false">P68</f>
        <v>0</v>
      </c>
      <c r="AI68" s="61" t="n">
        <f aca="false">VLOOKUP(AH68,recipe_ingred_list!$K$29:$M$34,3,0)</f>
        <v>3</v>
      </c>
      <c r="AJ68" s="61" t="str">
        <f aca="false">IF(Q68="","",Q68)</f>
        <v/>
      </c>
      <c r="AK68" s="61" t="n">
        <f aca="false">AK67+1</f>
        <v>68</v>
      </c>
      <c r="AL68" s="61" t="str">
        <f aca="false">Y68</f>
        <v>hari mirchi</v>
      </c>
      <c r="AM68" s="81" t="str">
        <f aca="false">"a = Client().post('"&amp;W68&amp;"', {'recipe' : '"&amp;V68&amp;"', 'ingredient' : '"&amp;Z68&amp;"', 'name' : '"&amp;X68&amp;"', 'mass_unit' : '"&amp;AC68&amp;"', 'mass_quantity' : '"&amp;ROUND(AA68,3)&amp;"', 'volume_unit' : '"&amp;AF68&amp;"', 'volume_quantity' : '"&amp;ROUND(AD68,3)&amp;"', 'pieces_unit' : '"&amp;AI68&amp;"', 'pieces_quantity' : '"&amp;ROUND(AG68,3)&amp;"', 'cooking_notes' : '"&amp;AJ68&amp;"'}).status_code; print('%s :: %s :: %s :: %s :: %s' %(a,"&amp;G68&amp;",'"&amp;X68&amp;"','"&amp;Y68&amp;"','"&amp;U68&amp;"'))"</f>
        <v>a = Client().post('/recipes/alu-flower-gravy-ekadashi/detail/', {'recipe' : '90', 'ingredient' : '93', 'name' : 'Hari Mirchi split in 2', 'mass_unit' : '2', 'mass_quantity' : '0', 'volume_unit' : '5', 'volume_quantity' : '1.167', 'pieces_unit' : '3', 'pieces_quantity' : '0', 'cooking_notes' : ''}).status_code; print('%s :: %s :: %s :: %s :: %s' %(a,68,'Hari Mirchi split in 2','hari mirchi','Alu Flower Gravy (Ekadashi)'))</v>
      </c>
      <c r="AMJ68" s="0"/>
    </row>
    <row r="69" s="113" customFormat="true" ht="15" hidden="false" customHeight="false" outlineLevel="0" collapsed="false">
      <c r="A69" s="0"/>
      <c r="B69" s="0"/>
      <c r="C69" s="0"/>
      <c r="D69" s="0"/>
      <c r="E69" s="0"/>
      <c r="F69" s="0"/>
      <c r="G69" s="80" t="n">
        <v>69</v>
      </c>
      <c r="H69" s="125" t="s">
        <v>527</v>
      </c>
      <c r="I69" s="112" t="s">
        <v>378</v>
      </c>
      <c r="J69" s="128" t="s">
        <v>18</v>
      </c>
      <c r="K69" s="71"/>
      <c r="L69" s="71"/>
      <c r="M69" s="110" t="n">
        <v>0.4375</v>
      </c>
      <c r="N69" s="110" t="s">
        <v>13</v>
      </c>
      <c r="O69" s="71"/>
      <c r="P69" s="71"/>
      <c r="Q69" s="111"/>
      <c r="R69" s="112" t="str">
        <f aca="false">VLOOKUP(J69,ingredient!$N$4:$O$553,2,0)</f>
        <v>adrak</v>
      </c>
      <c r="U69" s="81" t="str">
        <f aca="false">I69</f>
        <v>Alu Flower Gravy (Ekadashi)</v>
      </c>
      <c r="V69" s="81" t="n">
        <f aca="false">VLOOKUP(U69,recipe_ingred_list!$A$2:$B$300,2,0)</f>
        <v>90</v>
      </c>
      <c r="W69" s="81" t="str">
        <f aca="false">"/recipes/"&amp;VLOOKUP(U69,recipe_ingred_list!$A$2:$C$300,3,0)&amp;"/detail/"</f>
        <v>/recipes/alu-flower-gravy-ekadashi/detail/</v>
      </c>
      <c r="X69" s="81" t="str">
        <f aca="false">J69</f>
        <v>Adrak paste</v>
      </c>
      <c r="Y69" s="81" t="str">
        <f aca="false">R69</f>
        <v>adrak</v>
      </c>
      <c r="Z69" s="94" t="n">
        <f aca="false">VLOOKUP(Y69,recipe_ingred_list!$D$2:$E$500,2,0)</f>
        <v>1</v>
      </c>
      <c r="AA69" s="61" t="n">
        <f aca="false">K69</f>
        <v>0</v>
      </c>
      <c r="AB69" s="61" t="n">
        <f aca="false">L69</f>
        <v>0</v>
      </c>
      <c r="AC69" s="61" t="n">
        <f aca="false">VLOOKUP(AB69,recipe_ingred_list!$K$2:$M$7,3,0)</f>
        <v>2</v>
      </c>
      <c r="AD69" s="61" t="n">
        <f aca="false">M69</f>
        <v>0.4375</v>
      </c>
      <c r="AE69" s="61" t="str">
        <f aca="false">N69</f>
        <v>ltr</v>
      </c>
      <c r="AF69" s="61" t="n">
        <f aca="false">VLOOKUP(AE69,recipe_ingred_list!$K$16:$M$25,3,0)</f>
        <v>1</v>
      </c>
      <c r="AG69" s="61" t="n">
        <f aca="false">O69</f>
        <v>0</v>
      </c>
      <c r="AH69" s="61" t="n">
        <f aca="false">P69</f>
        <v>0</v>
      </c>
      <c r="AI69" s="61" t="n">
        <f aca="false">VLOOKUP(AH69,recipe_ingred_list!$K$29:$M$34,3,0)</f>
        <v>3</v>
      </c>
      <c r="AJ69" s="61" t="str">
        <f aca="false">IF(Q69="","",Q69)</f>
        <v/>
      </c>
      <c r="AK69" s="61" t="n">
        <f aca="false">AK68+1</f>
        <v>69</v>
      </c>
      <c r="AL69" s="61" t="str">
        <f aca="false">Y69</f>
        <v>adrak</v>
      </c>
      <c r="AM69" s="81" t="str">
        <f aca="false">"a = Client().post('"&amp;W69&amp;"', {'recipe' : '"&amp;V69&amp;"', 'ingredient' : '"&amp;Z69&amp;"', 'name' : '"&amp;X69&amp;"', 'mass_unit' : '"&amp;AC69&amp;"', 'mass_quantity' : '"&amp;ROUND(AA69,3)&amp;"', 'volume_unit' : '"&amp;AF69&amp;"', 'volume_quantity' : '"&amp;ROUND(AD69,3)&amp;"', 'pieces_unit' : '"&amp;AI69&amp;"', 'pieces_quantity' : '"&amp;ROUND(AG69,3)&amp;"', 'cooking_notes' : '"&amp;AJ69&amp;"'}).status_code; print('%s :: %s :: %s :: %s :: %s' %(a,"&amp;G69&amp;",'"&amp;X69&amp;"','"&amp;Y69&amp;"','"&amp;U69&amp;"'))"</f>
        <v>a = Client().post('/recipes/alu-flower-gravy-ekadashi/detail/', {'recipe' : '90', 'ingredient' : '1', 'name' : 'Adrak paste', 'mass_unit' : '2', 'mass_quantity' : '0', 'volume_unit' : '1', 'volume_quantity' : '0.438', 'pieces_unit' : '3', 'pieces_quantity' : '0', 'cooking_notes' : ''}).status_code; print('%s :: %s :: %s :: %s :: %s' %(a,69,'Adrak paste','adrak','Alu Flower Gravy (Ekadashi)'))</v>
      </c>
      <c r="AMJ69" s="0"/>
    </row>
    <row r="70" s="113" customFormat="true" ht="15" hidden="false" customHeight="false" outlineLevel="0" collapsed="false">
      <c r="A70" s="0"/>
      <c r="B70" s="0"/>
      <c r="C70" s="0"/>
      <c r="D70" s="0"/>
      <c r="E70" s="0"/>
      <c r="F70" s="0"/>
      <c r="G70" s="80" t="n">
        <v>70</v>
      </c>
      <c r="H70" s="125" t="s">
        <v>25</v>
      </c>
      <c r="I70" s="112" t="s">
        <v>378</v>
      </c>
      <c r="J70" s="128" t="s">
        <v>25</v>
      </c>
      <c r="K70" s="71"/>
      <c r="L70" s="71"/>
      <c r="M70" s="110" t="n">
        <v>0.875</v>
      </c>
      <c r="N70" s="110" t="s">
        <v>20</v>
      </c>
      <c r="O70" s="71"/>
      <c r="P70" s="71"/>
      <c r="Q70" s="111"/>
      <c r="R70" s="112" t="str">
        <f aca="false">VLOOKUP(J70,ingredient!$N$4:$O$553,2,0)</f>
        <v>jeera powder</v>
      </c>
      <c r="U70" s="81" t="str">
        <f aca="false">I70</f>
        <v>Alu Flower Gravy (Ekadashi)</v>
      </c>
      <c r="V70" s="81" t="n">
        <f aca="false">VLOOKUP(U70,recipe_ingred_list!$A$2:$B$300,2,0)</f>
        <v>90</v>
      </c>
      <c r="W70" s="81" t="str">
        <f aca="false">"/recipes/"&amp;VLOOKUP(U70,recipe_ingred_list!$A$2:$C$300,3,0)&amp;"/detail/"</f>
        <v>/recipes/alu-flower-gravy-ekadashi/detail/</v>
      </c>
      <c r="X70" s="81" t="str">
        <f aca="false">J70</f>
        <v>Jeera pwd</v>
      </c>
      <c r="Y70" s="81" t="str">
        <f aca="false">R70</f>
        <v>jeera powder</v>
      </c>
      <c r="Z70" s="94" t="n">
        <f aca="false">VLOOKUP(Y70,recipe_ingred_list!$D$2:$E$500,2,0)</f>
        <v>103</v>
      </c>
      <c r="AA70" s="61" t="n">
        <f aca="false">K70</f>
        <v>0</v>
      </c>
      <c r="AB70" s="61" t="n">
        <f aca="false">L70</f>
        <v>0</v>
      </c>
      <c r="AC70" s="61" t="n">
        <f aca="false">VLOOKUP(AB70,recipe_ingred_list!$K$2:$M$7,3,0)</f>
        <v>2</v>
      </c>
      <c r="AD70" s="61" t="n">
        <f aca="false">M70</f>
        <v>0.875</v>
      </c>
      <c r="AE70" s="61" t="str">
        <f aca="false">N70</f>
        <v>cup</v>
      </c>
      <c r="AF70" s="61" t="n">
        <f aca="false">VLOOKUP(AE70,recipe_ingred_list!$K$16:$M$25,3,0)</f>
        <v>5</v>
      </c>
      <c r="AG70" s="61" t="n">
        <f aca="false">O70</f>
        <v>0</v>
      </c>
      <c r="AH70" s="61" t="n">
        <f aca="false">P70</f>
        <v>0</v>
      </c>
      <c r="AI70" s="61" t="n">
        <f aca="false">VLOOKUP(AH70,recipe_ingred_list!$K$29:$M$34,3,0)</f>
        <v>3</v>
      </c>
      <c r="AJ70" s="61" t="str">
        <f aca="false">IF(Q70="","",Q70)</f>
        <v/>
      </c>
      <c r="AK70" s="61" t="n">
        <f aca="false">AK69+1</f>
        <v>70</v>
      </c>
      <c r="AL70" s="61" t="str">
        <f aca="false">Y70</f>
        <v>jeera powder</v>
      </c>
      <c r="AM70" s="81" t="str">
        <f aca="false">"a = Client().post('"&amp;W70&amp;"', {'recipe' : '"&amp;V70&amp;"', 'ingredient' : '"&amp;Z70&amp;"', 'name' : '"&amp;X70&amp;"', 'mass_unit' : '"&amp;AC70&amp;"', 'mass_quantity' : '"&amp;ROUND(AA70,3)&amp;"', 'volume_unit' : '"&amp;AF70&amp;"', 'volume_quantity' : '"&amp;ROUND(AD70,3)&amp;"', 'pieces_unit' : '"&amp;AI70&amp;"', 'pieces_quantity' : '"&amp;ROUND(AG70,3)&amp;"', 'cooking_notes' : '"&amp;AJ70&amp;"'}).status_code; print('%s :: %s :: %s :: %s :: %s' %(a,"&amp;G70&amp;",'"&amp;X70&amp;"','"&amp;Y70&amp;"','"&amp;U70&amp;"'))"</f>
        <v>a = Client().post('/recipes/alu-flower-gravy-ekadashi/detail/', {'recipe' : '90', 'ingredient' : '103', 'name' : 'Jeera pwd', 'mass_unit' : '2', 'mass_quantity' : '0', 'volume_unit' : '5', 'volume_quantity' : '0.875', 'pieces_unit' : '3', 'pieces_quantity' : '0', 'cooking_notes' : ''}).status_code; print('%s :: %s :: %s :: %s :: %s' %(a,70,'Jeera pwd','jeera powder','Alu Flower Gravy (Ekadashi)'))</v>
      </c>
      <c r="AMJ70" s="0"/>
    </row>
    <row r="71" s="113" customFormat="true" ht="15" hidden="false" customHeight="false" outlineLevel="0" collapsed="false">
      <c r="A71" s="0"/>
      <c r="B71" s="0"/>
      <c r="C71" s="0"/>
      <c r="D71" s="0"/>
      <c r="E71" s="0"/>
      <c r="F71" s="0"/>
      <c r="G71" s="80" t="n">
        <v>71</v>
      </c>
      <c r="H71" s="125" t="s">
        <v>70</v>
      </c>
      <c r="I71" s="112" t="s">
        <v>378</v>
      </c>
      <c r="J71" s="128" t="s">
        <v>70</v>
      </c>
      <c r="K71" s="71"/>
      <c r="L71" s="71"/>
      <c r="M71" s="110" t="n">
        <v>1.75</v>
      </c>
      <c r="N71" s="110" t="s">
        <v>20</v>
      </c>
      <c r="O71" s="71"/>
      <c r="P71" s="71"/>
      <c r="Q71" s="111"/>
      <c r="R71" s="112" t="str">
        <f aca="false">VLOOKUP(J71,ingredient!$N$4:$O$553,2,0)</f>
        <v>dhaniya powder</v>
      </c>
      <c r="U71" s="81" t="str">
        <f aca="false">I71</f>
        <v>Alu Flower Gravy (Ekadashi)</v>
      </c>
      <c r="V71" s="81" t="n">
        <f aca="false">VLOOKUP(U71,recipe_ingred_list!$A$2:$B$300,2,0)</f>
        <v>90</v>
      </c>
      <c r="W71" s="81" t="str">
        <f aca="false">"/recipes/"&amp;VLOOKUP(U71,recipe_ingred_list!$A$2:$C$300,3,0)&amp;"/detail/"</f>
        <v>/recipes/alu-flower-gravy-ekadashi/detail/</v>
      </c>
      <c r="X71" s="81" t="str">
        <f aca="false">J71</f>
        <v>Dhania Pwd</v>
      </c>
      <c r="Y71" s="81" t="str">
        <f aca="false">R71</f>
        <v>dhaniya powder</v>
      </c>
      <c r="Z71" s="94" t="n">
        <f aca="false">VLOOKUP(Y71,recipe_ingred_list!$D$2:$E$500,2,0)</f>
        <v>67</v>
      </c>
      <c r="AA71" s="61" t="n">
        <f aca="false">K71</f>
        <v>0</v>
      </c>
      <c r="AB71" s="61" t="n">
        <f aca="false">L71</f>
        <v>0</v>
      </c>
      <c r="AC71" s="61" t="n">
        <f aca="false">VLOOKUP(AB71,recipe_ingred_list!$K$2:$M$7,3,0)</f>
        <v>2</v>
      </c>
      <c r="AD71" s="61" t="n">
        <f aca="false">M71</f>
        <v>1.75</v>
      </c>
      <c r="AE71" s="61" t="str">
        <f aca="false">N71</f>
        <v>cup</v>
      </c>
      <c r="AF71" s="61" t="n">
        <f aca="false">VLOOKUP(AE71,recipe_ingred_list!$K$16:$M$25,3,0)</f>
        <v>5</v>
      </c>
      <c r="AG71" s="61" t="n">
        <f aca="false">O71</f>
        <v>0</v>
      </c>
      <c r="AH71" s="61" t="n">
        <f aca="false">P71</f>
        <v>0</v>
      </c>
      <c r="AI71" s="61" t="n">
        <f aca="false">VLOOKUP(AH71,recipe_ingred_list!$K$29:$M$34,3,0)</f>
        <v>3</v>
      </c>
      <c r="AJ71" s="61" t="str">
        <f aca="false">IF(Q71="","",Q71)</f>
        <v/>
      </c>
      <c r="AK71" s="61" t="n">
        <f aca="false">AK70+1</f>
        <v>71</v>
      </c>
      <c r="AL71" s="61" t="str">
        <f aca="false">Y71</f>
        <v>dhaniya powder</v>
      </c>
      <c r="AM71" s="81" t="str">
        <f aca="false">"a = Client().post('"&amp;W71&amp;"', {'recipe' : '"&amp;V71&amp;"', 'ingredient' : '"&amp;Z71&amp;"', 'name' : '"&amp;X71&amp;"', 'mass_unit' : '"&amp;AC71&amp;"', 'mass_quantity' : '"&amp;ROUND(AA71,3)&amp;"', 'volume_unit' : '"&amp;AF71&amp;"', 'volume_quantity' : '"&amp;ROUND(AD71,3)&amp;"', 'pieces_unit' : '"&amp;AI71&amp;"', 'pieces_quantity' : '"&amp;ROUND(AG71,3)&amp;"', 'cooking_notes' : '"&amp;AJ71&amp;"'}).status_code; print('%s :: %s :: %s :: %s :: %s' %(a,"&amp;G71&amp;",'"&amp;X71&amp;"','"&amp;Y71&amp;"','"&amp;U71&amp;"'))"</f>
        <v>a = Client().post('/recipes/alu-flower-gravy-ekadashi/detail/', {'recipe' : '90', 'ingredient' : '67', 'name' : 'Dhania Pwd', 'mass_unit' : '2', 'mass_quantity' : '0', 'volume_unit' : '5', 'volume_quantity' : '1.75', 'pieces_unit' : '3', 'pieces_quantity' : '0', 'cooking_notes' : ''}).status_code; print('%s :: %s :: %s :: %s :: %s' %(a,71,'Dhania Pwd','dhaniya powder','Alu Flower Gravy (Ekadashi)'))</v>
      </c>
      <c r="AMJ71" s="0"/>
    </row>
    <row r="72" s="113" customFormat="true" ht="15" hidden="false" customHeight="false" outlineLevel="0" collapsed="false">
      <c r="A72" s="0"/>
      <c r="B72" s="0"/>
      <c r="C72" s="0"/>
      <c r="D72" s="0"/>
      <c r="E72" s="0"/>
      <c r="F72" s="0"/>
      <c r="G72" s="80" t="n">
        <v>72</v>
      </c>
      <c r="H72" s="125" t="s">
        <v>32</v>
      </c>
      <c r="I72" s="112" t="s">
        <v>378</v>
      </c>
      <c r="J72" s="128" t="s">
        <v>71</v>
      </c>
      <c r="K72" s="71"/>
      <c r="L72" s="71"/>
      <c r="M72" s="110" t="n">
        <v>1.3125</v>
      </c>
      <c r="N72" s="110" t="s">
        <v>20</v>
      </c>
      <c r="O72" s="71"/>
      <c r="P72" s="71"/>
      <c r="Q72" s="111"/>
      <c r="R72" s="112" t="str">
        <f aca="false">VLOOKUP(J72,ingredient!$N$4:$O$553,2,0)</f>
        <v>salt</v>
      </c>
      <c r="U72" s="81" t="str">
        <f aca="false">I72</f>
        <v>Alu Flower Gravy (Ekadashi)</v>
      </c>
      <c r="V72" s="81" t="n">
        <f aca="false">VLOOKUP(U72,recipe_ingred_list!$A$2:$B$300,2,0)</f>
        <v>90</v>
      </c>
      <c r="W72" s="81" t="str">
        <f aca="false">"/recipes/"&amp;VLOOKUP(U72,recipe_ingred_list!$A$2:$C$300,3,0)&amp;"/detail/"</f>
        <v>/recipes/alu-flower-gravy-ekadashi/detail/</v>
      </c>
      <c r="X72" s="81" t="str">
        <f aca="false">J72</f>
        <v>Salt </v>
      </c>
      <c r="Y72" s="81" t="str">
        <f aca="false">R72</f>
        <v>salt</v>
      </c>
      <c r="Z72" s="94" t="n">
        <f aca="false">VLOOKUP(Y72,recipe_ingred_list!$D$2:$E$500,2,0)</f>
        <v>177</v>
      </c>
      <c r="AA72" s="61" t="n">
        <f aca="false">K72</f>
        <v>0</v>
      </c>
      <c r="AB72" s="61" t="n">
        <f aca="false">L72</f>
        <v>0</v>
      </c>
      <c r="AC72" s="61" t="n">
        <f aca="false">VLOOKUP(AB72,recipe_ingred_list!$K$2:$M$7,3,0)</f>
        <v>2</v>
      </c>
      <c r="AD72" s="61" t="n">
        <f aca="false">M72</f>
        <v>1.3125</v>
      </c>
      <c r="AE72" s="61" t="str">
        <f aca="false">N72</f>
        <v>cup</v>
      </c>
      <c r="AF72" s="61" t="n">
        <f aca="false">VLOOKUP(AE72,recipe_ingred_list!$K$16:$M$25,3,0)</f>
        <v>5</v>
      </c>
      <c r="AG72" s="61" t="n">
        <f aca="false">O72</f>
        <v>0</v>
      </c>
      <c r="AH72" s="61" t="n">
        <f aca="false">P72</f>
        <v>0</v>
      </c>
      <c r="AI72" s="61" t="n">
        <f aca="false">VLOOKUP(AH72,recipe_ingred_list!$K$29:$M$34,3,0)</f>
        <v>3</v>
      </c>
      <c r="AJ72" s="61" t="str">
        <f aca="false">IF(Q72="","",Q72)</f>
        <v/>
      </c>
      <c r="AK72" s="61" t="n">
        <f aca="false">AK71+1</f>
        <v>72</v>
      </c>
      <c r="AL72" s="61" t="str">
        <f aca="false">Y72</f>
        <v>salt</v>
      </c>
      <c r="AM72" s="81" t="str">
        <f aca="false">"a = Client().post('"&amp;W72&amp;"', {'recipe' : '"&amp;V72&amp;"', 'ingredient' : '"&amp;Z72&amp;"', 'name' : '"&amp;X72&amp;"', 'mass_unit' : '"&amp;AC72&amp;"', 'mass_quantity' : '"&amp;ROUND(AA72,3)&amp;"', 'volume_unit' : '"&amp;AF72&amp;"', 'volume_quantity' : '"&amp;ROUND(AD72,3)&amp;"', 'pieces_unit' : '"&amp;AI72&amp;"', 'pieces_quantity' : '"&amp;ROUND(AG72,3)&amp;"', 'cooking_notes' : '"&amp;AJ72&amp;"'}).status_code; print('%s :: %s :: %s :: %s :: %s' %(a,"&amp;G72&amp;",'"&amp;X72&amp;"','"&amp;Y72&amp;"','"&amp;U72&amp;"'))"</f>
        <v>a = Client().post('/recipes/alu-flower-gravy-ekadashi/detail/', {'recipe' : '90', 'ingredient' : '177', 'name' : 'Salt ', 'mass_unit' : '2', 'mass_quantity' : '0', 'volume_unit' : '5', 'volume_quantity' : '1.313', 'pieces_unit' : '3', 'pieces_quantity' : '0', 'cooking_notes' : ''}).status_code; print('%s :: %s :: %s :: %s :: %s' %(a,72,'Salt ','salt','Alu Flower Gravy (Ekadashi)'))</v>
      </c>
      <c r="AMJ72" s="0"/>
    </row>
    <row r="73" s="113" customFormat="true" ht="15" hidden="false" customHeight="false" outlineLevel="0" collapsed="false">
      <c r="A73" s="0"/>
      <c r="B73" s="0"/>
      <c r="C73" s="0"/>
      <c r="D73" s="0"/>
      <c r="E73" s="0"/>
      <c r="F73" s="0"/>
      <c r="G73" s="80" t="n">
        <v>73</v>
      </c>
      <c r="H73" s="125" t="s">
        <v>41</v>
      </c>
      <c r="I73" s="112" t="s">
        <v>378</v>
      </c>
      <c r="J73" s="128" t="s">
        <v>72</v>
      </c>
      <c r="K73" s="71"/>
      <c r="L73" s="71"/>
      <c r="M73" s="110" t="n">
        <v>1.75</v>
      </c>
      <c r="N73" s="110" t="s">
        <v>20</v>
      </c>
      <c r="O73" s="71"/>
      <c r="P73" s="71"/>
      <c r="Q73" s="111"/>
      <c r="R73" s="112" t="str">
        <f aca="false">VLOOKUP(J73,ingredient!$N$4:$O$553,2,0)</f>
        <v>everest pulav masala</v>
      </c>
      <c r="U73" s="81" t="str">
        <f aca="false">I73</f>
        <v>Alu Flower Gravy (Ekadashi)</v>
      </c>
      <c r="V73" s="81" t="n">
        <f aca="false">VLOOKUP(U73,recipe_ingred_list!$A$2:$B$300,2,0)</f>
        <v>90</v>
      </c>
      <c r="W73" s="81" t="str">
        <f aca="false">"/recipes/"&amp;VLOOKUP(U73,recipe_ingred_list!$A$2:$C$300,3,0)&amp;"/detail/"</f>
        <v>/recipes/alu-flower-gravy-ekadashi/detail/</v>
      </c>
      <c r="X73" s="81" t="str">
        <f aca="false">J73</f>
        <v>Everest pulao masala</v>
      </c>
      <c r="Y73" s="81" t="str">
        <f aca="false">R73</f>
        <v>everest pulav masala</v>
      </c>
      <c r="Z73" s="94" t="n">
        <f aca="false">VLOOKUP(Y73,recipe_ingred_list!$D$2:$E$500,2,0)</f>
        <v>74</v>
      </c>
      <c r="AA73" s="61" t="n">
        <f aca="false">K73</f>
        <v>0</v>
      </c>
      <c r="AB73" s="61" t="n">
        <f aca="false">L73</f>
        <v>0</v>
      </c>
      <c r="AC73" s="61" t="n">
        <f aca="false">VLOOKUP(AB73,recipe_ingred_list!$K$2:$M$7,3,0)</f>
        <v>2</v>
      </c>
      <c r="AD73" s="61" t="n">
        <f aca="false">M73</f>
        <v>1.75</v>
      </c>
      <c r="AE73" s="61" t="str">
        <f aca="false">N73</f>
        <v>cup</v>
      </c>
      <c r="AF73" s="61" t="n">
        <f aca="false">VLOOKUP(AE73,recipe_ingred_list!$K$16:$M$25,3,0)</f>
        <v>5</v>
      </c>
      <c r="AG73" s="61" t="n">
        <f aca="false">O73</f>
        <v>0</v>
      </c>
      <c r="AH73" s="61" t="n">
        <f aca="false">P73</f>
        <v>0</v>
      </c>
      <c r="AI73" s="61" t="n">
        <f aca="false">VLOOKUP(AH73,recipe_ingred_list!$K$29:$M$34,3,0)</f>
        <v>3</v>
      </c>
      <c r="AJ73" s="61" t="str">
        <f aca="false">IF(Q73="","",Q73)</f>
        <v/>
      </c>
      <c r="AK73" s="61" t="n">
        <f aca="false">AK72+1</f>
        <v>73</v>
      </c>
      <c r="AL73" s="61" t="str">
        <f aca="false">Y73</f>
        <v>everest pulav masala</v>
      </c>
      <c r="AM73" s="81" t="str">
        <f aca="false">"a = Client().post('"&amp;W73&amp;"', {'recipe' : '"&amp;V73&amp;"', 'ingredient' : '"&amp;Z73&amp;"', 'name' : '"&amp;X73&amp;"', 'mass_unit' : '"&amp;AC73&amp;"', 'mass_quantity' : '"&amp;ROUND(AA73,3)&amp;"', 'volume_unit' : '"&amp;AF73&amp;"', 'volume_quantity' : '"&amp;ROUND(AD73,3)&amp;"', 'pieces_unit' : '"&amp;AI73&amp;"', 'pieces_quantity' : '"&amp;ROUND(AG73,3)&amp;"', 'cooking_notes' : '"&amp;AJ73&amp;"'}).status_code; print('%s :: %s :: %s :: %s :: %s' %(a,"&amp;G73&amp;",'"&amp;X73&amp;"','"&amp;Y73&amp;"','"&amp;U73&amp;"'))"</f>
        <v>a = Client().post('/recipes/alu-flower-gravy-ekadashi/detail/', {'recipe' : '90', 'ingredient' : '74', 'name' : 'Everest pulao masala', 'mass_unit' : '2', 'mass_quantity' : '0', 'volume_unit' : '5', 'volume_quantity' : '1.75', 'pieces_unit' : '3', 'pieces_quantity' : '0', 'cooking_notes' : ''}).status_code; print('%s :: %s :: %s :: %s :: %s' %(a,73,'Everest pulao masala','everest pulav masala','Alu Flower Gravy (Ekadashi)'))</v>
      </c>
      <c r="AMJ73" s="0"/>
    </row>
    <row r="74" s="113" customFormat="true" ht="15" hidden="false" customHeight="false" outlineLevel="0" collapsed="false">
      <c r="A74" s="0"/>
      <c r="B74" s="0"/>
      <c r="C74" s="0"/>
      <c r="D74" s="0"/>
      <c r="E74" s="0"/>
      <c r="F74" s="0"/>
      <c r="G74" s="80" t="n">
        <v>74</v>
      </c>
      <c r="H74" s="125" t="s">
        <v>73</v>
      </c>
      <c r="I74" s="112" t="s">
        <v>378</v>
      </c>
      <c r="J74" s="128" t="s">
        <v>528</v>
      </c>
      <c r="K74" s="71"/>
      <c r="L74" s="71"/>
      <c r="M74" s="110" t="n">
        <v>0.35</v>
      </c>
      <c r="N74" s="110" t="s">
        <v>13</v>
      </c>
      <c r="O74" s="71"/>
      <c r="P74" s="71"/>
      <c r="Q74" s="111"/>
      <c r="R74" s="112" t="str">
        <f aca="false">VLOOKUP(J74,ingredient!$N$4:$O$553,2,0)</f>
        <v>kashmiri chilly powder</v>
      </c>
      <c r="U74" s="81" t="str">
        <f aca="false">I74</f>
        <v>Alu Flower Gravy (Ekadashi)</v>
      </c>
      <c r="V74" s="81" t="n">
        <f aca="false">VLOOKUP(U74,recipe_ingred_list!$A$2:$B$300,2,0)</f>
        <v>90</v>
      </c>
      <c r="W74" s="81" t="str">
        <f aca="false">"/recipes/"&amp;VLOOKUP(U74,recipe_ingred_list!$A$2:$C$300,3,0)&amp;"/detail/"</f>
        <v>/recipes/alu-flower-gravy-ekadashi/detail/</v>
      </c>
      <c r="X74" s="81" t="str">
        <f aca="false">J74</f>
        <v>Kashmiri Mirchi Powder</v>
      </c>
      <c r="Y74" s="81" t="str">
        <f aca="false">R74</f>
        <v>kashmiri chilly powder</v>
      </c>
      <c r="Z74" s="94" t="n">
        <f aca="false">VLOOKUP(Y74,recipe_ingred_list!$D$2:$E$500,2,0)</f>
        <v>117</v>
      </c>
      <c r="AA74" s="61" t="n">
        <f aca="false">K74</f>
        <v>0</v>
      </c>
      <c r="AB74" s="61" t="n">
        <f aca="false">L74</f>
        <v>0</v>
      </c>
      <c r="AC74" s="61" t="n">
        <f aca="false">VLOOKUP(AB74,recipe_ingred_list!$K$2:$M$7,3,0)</f>
        <v>2</v>
      </c>
      <c r="AD74" s="61" t="n">
        <f aca="false">M74</f>
        <v>0.35</v>
      </c>
      <c r="AE74" s="61" t="str">
        <f aca="false">N74</f>
        <v>ltr</v>
      </c>
      <c r="AF74" s="61" t="n">
        <f aca="false">VLOOKUP(AE74,recipe_ingred_list!$K$16:$M$25,3,0)</f>
        <v>1</v>
      </c>
      <c r="AG74" s="61" t="n">
        <f aca="false">O74</f>
        <v>0</v>
      </c>
      <c r="AH74" s="61" t="n">
        <f aca="false">P74</f>
        <v>0</v>
      </c>
      <c r="AI74" s="61" t="n">
        <f aca="false">VLOOKUP(AH74,recipe_ingred_list!$K$29:$M$34,3,0)</f>
        <v>3</v>
      </c>
      <c r="AJ74" s="61" t="str">
        <f aca="false">IF(Q74="","",Q74)</f>
        <v/>
      </c>
      <c r="AK74" s="61" t="n">
        <f aca="false">AK73+1</f>
        <v>74</v>
      </c>
      <c r="AL74" s="61" t="str">
        <f aca="false">Y74</f>
        <v>kashmiri chilly powder</v>
      </c>
      <c r="AM74" s="81" t="str">
        <f aca="false">"a = Client().post('"&amp;W74&amp;"', {'recipe' : '"&amp;V74&amp;"', 'ingredient' : '"&amp;Z74&amp;"', 'name' : '"&amp;X74&amp;"', 'mass_unit' : '"&amp;AC74&amp;"', 'mass_quantity' : '"&amp;ROUND(AA74,3)&amp;"', 'volume_unit' : '"&amp;AF74&amp;"', 'volume_quantity' : '"&amp;ROUND(AD74,3)&amp;"', 'pieces_unit' : '"&amp;AI74&amp;"', 'pieces_quantity' : '"&amp;ROUND(AG74,3)&amp;"', 'cooking_notes' : '"&amp;AJ74&amp;"'}).status_code; print('%s :: %s :: %s :: %s :: %s' %(a,"&amp;G74&amp;",'"&amp;X74&amp;"','"&amp;Y74&amp;"','"&amp;U74&amp;"'))"</f>
        <v>a = Client().post('/recipes/alu-flower-gravy-ekadashi/detail/', {'recipe' : '90', 'ingredient' : '117', 'name' : 'Kashmiri Mirchi Powder', 'mass_unit' : '2', 'mass_quantity' : '0', 'volume_unit' : '1', 'volume_quantity' : '0.35', 'pieces_unit' : '3', 'pieces_quantity' : '0', 'cooking_notes' : ''}).status_code; print('%s :: %s :: %s :: %s :: %s' %(a,74,'Kashmiri Mirchi Powder','kashmiri chilly powder','Alu Flower Gravy (Ekadashi)'))</v>
      </c>
      <c r="AMJ74" s="0"/>
    </row>
    <row r="75" s="113" customFormat="true" ht="15" hidden="false" customHeight="false" outlineLevel="0" collapsed="false">
      <c r="A75" s="0"/>
      <c r="B75" s="0"/>
      <c r="C75" s="0"/>
      <c r="D75" s="0"/>
      <c r="E75" s="0"/>
      <c r="F75" s="0"/>
      <c r="G75" s="80" t="n">
        <v>75</v>
      </c>
      <c r="H75" s="125" t="s">
        <v>531</v>
      </c>
      <c r="I75" s="112" t="s">
        <v>378</v>
      </c>
      <c r="J75" s="128" t="s">
        <v>74</v>
      </c>
      <c r="K75" s="110" t="n">
        <v>0.583333333333333</v>
      </c>
      <c r="L75" s="110" t="s">
        <v>7</v>
      </c>
      <c r="M75" s="71"/>
      <c r="N75" s="71"/>
      <c r="O75" s="71"/>
      <c r="P75" s="71"/>
      <c r="Q75" s="111"/>
      <c r="R75" s="112" t="str">
        <f aca="false">VLOOKUP(J75,ingredient!$N$4:$O$553,2,0)</f>
        <v>kaju</v>
      </c>
      <c r="U75" s="81" t="str">
        <f aca="false">I75</f>
        <v>Alu Flower Gravy (Ekadashi)</v>
      </c>
      <c r="V75" s="81" t="n">
        <f aca="false">VLOOKUP(U75,recipe_ingred_list!$A$2:$B$300,2,0)</f>
        <v>90</v>
      </c>
      <c r="W75" s="81" t="str">
        <f aca="false">"/recipes/"&amp;VLOOKUP(U75,recipe_ingred_list!$A$2:$C$300,3,0)&amp;"/detail/"</f>
        <v>/recipes/alu-flower-gravy-ekadashi/detail/</v>
      </c>
      <c r="X75" s="81" t="str">
        <f aca="false">J75</f>
        <v>Kaju paste</v>
      </c>
      <c r="Y75" s="81" t="str">
        <f aca="false">R75</f>
        <v>kaju</v>
      </c>
      <c r="Z75" s="94" t="n">
        <f aca="false">VLOOKUP(Y75,recipe_ingred_list!$D$2:$E$500,2,0)</f>
        <v>107</v>
      </c>
      <c r="AA75" s="61" t="n">
        <f aca="false">K75</f>
        <v>0.583333333333333</v>
      </c>
      <c r="AB75" s="61" t="str">
        <f aca="false">L75</f>
        <v>kg</v>
      </c>
      <c r="AC75" s="61" t="n">
        <f aca="false">VLOOKUP(AB75,recipe_ingred_list!$K$2:$M$7,3,0)</f>
        <v>2</v>
      </c>
      <c r="AD75" s="61" t="n">
        <f aca="false">M75</f>
        <v>0</v>
      </c>
      <c r="AE75" s="61" t="n">
        <f aca="false">N75</f>
        <v>0</v>
      </c>
      <c r="AF75" s="61" t="n">
        <f aca="false">VLOOKUP(AE75,recipe_ingred_list!$K$16:$M$25,3,0)</f>
        <v>1</v>
      </c>
      <c r="AG75" s="61" t="n">
        <f aca="false">O75</f>
        <v>0</v>
      </c>
      <c r="AH75" s="61" t="n">
        <f aca="false">P75</f>
        <v>0</v>
      </c>
      <c r="AI75" s="61" t="n">
        <f aca="false">VLOOKUP(AH75,recipe_ingred_list!$K$29:$M$34,3,0)</f>
        <v>3</v>
      </c>
      <c r="AJ75" s="61" t="str">
        <f aca="false">IF(Q75="","",Q75)</f>
        <v/>
      </c>
      <c r="AK75" s="61" t="n">
        <f aca="false">AK74+1</f>
        <v>75</v>
      </c>
      <c r="AL75" s="61" t="str">
        <f aca="false">Y75</f>
        <v>kaju</v>
      </c>
      <c r="AM75" s="81" t="str">
        <f aca="false">"a = Client().post('"&amp;W75&amp;"', {'recipe' : '"&amp;V75&amp;"', 'ingredient' : '"&amp;Z75&amp;"', 'name' : '"&amp;X75&amp;"', 'mass_unit' : '"&amp;AC75&amp;"', 'mass_quantity' : '"&amp;ROUND(AA75,3)&amp;"', 'volume_unit' : '"&amp;AF75&amp;"', 'volume_quantity' : '"&amp;ROUND(AD75,3)&amp;"', 'pieces_unit' : '"&amp;AI75&amp;"', 'pieces_quantity' : '"&amp;ROUND(AG75,3)&amp;"', 'cooking_notes' : '"&amp;AJ75&amp;"'}).status_code; print('%s :: %s :: %s :: %s :: %s' %(a,"&amp;G75&amp;",'"&amp;X75&amp;"','"&amp;Y75&amp;"','"&amp;U75&amp;"'))"</f>
        <v>a = Client().post('/recipes/alu-flower-gravy-ekadashi/detail/', {'recipe' : '90', 'ingredient' : '107', 'name' : 'Kaju paste', 'mass_unit' : '2', 'mass_quantity' : '0.583', 'volume_unit' : '1', 'volume_quantity' : '0', 'pieces_unit' : '3', 'pieces_quantity' : '0', 'cooking_notes' : ''}).status_code; print('%s :: %s :: %s :: %s :: %s' %(a,75,'Kaju paste','kaju','Alu Flower Gravy (Ekadashi)'))</v>
      </c>
      <c r="AMJ75" s="0"/>
    </row>
    <row r="76" s="113" customFormat="true" ht="15" hidden="false" customHeight="false" outlineLevel="0" collapsed="false">
      <c r="A76" s="0"/>
      <c r="B76" s="0"/>
      <c r="C76" s="0"/>
      <c r="D76" s="0"/>
      <c r="E76" s="0"/>
      <c r="F76" s="0"/>
      <c r="G76" s="80" t="n">
        <v>76</v>
      </c>
      <c r="H76" s="125" t="s">
        <v>529</v>
      </c>
      <c r="I76" s="112" t="s">
        <v>378</v>
      </c>
      <c r="J76" s="128" t="s">
        <v>57</v>
      </c>
      <c r="K76" s="129" t="n">
        <v>0.425</v>
      </c>
      <c r="L76" s="129" t="s">
        <v>7</v>
      </c>
      <c r="M76" s="110" t="n">
        <v>0.583333333333333</v>
      </c>
      <c r="N76" s="110" t="s">
        <v>13</v>
      </c>
      <c r="O76" s="71"/>
      <c r="P76" s="71"/>
      <c r="Q76" s="111"/>
      <c r="R76" s="112" t="str">
        <f aca="false">VLOOKUP(J76,ingredient!$N$4:$O$553,2,0)</f>
        <v>brown sugar</v>
      </c>
      <c r="U76" s="81" t="str">
        <f aca="false">I76</f>
        <v>Alu Flower Gravy (Ekadashi)</v>
      </c>
      <c r="V76" s="81" t="n">
        <f aca="false">VLOOKUP(U76,recipe_ingred_list!$A$2:$B$300,2,0)</f>
        <v>90</v>
      </c>
      <c r="W76" s="81" t="str">
        <f aca="false">"/recipes/"&amp;VLOOKUP(U76,recipe_ingred_list!$A$2:$C$300,3,0)&amp;"/detail/"</f>
        <v>/recipes/alu-flower-gravy-ekadashi/detail/</v>
      </c>
      <c r="X76" s="81" t="str">
        <f aca="false">J76</f>
        <v>Brown sugar (bluebird)</v>
      </c>
      <c r="Y76" s="81" t="str">
        <f aca="false">R76</f>
        <v>brown sugar</v>
      </c>
      <c r="Z76" s="94" t="n">
        <f aca="false">VLOOKUP(Y76,recipe_ingred_list!$D$2:$E$500,2,0)</f>
        <v>37</v>
      </c>
      <c r="AA76" s="61" t="n">
        <f aca="false">K76</f>
        <v>0.425</v>
      </c>
      <c r="AB76" s="61" t="str">
        <f aca="false">L76</f>
        <v>kg</v>
      </c>
      <c r="AC76" s="61" t="n">
        <f aca="false">VLOOKUP(AB76,recipe_ingred_list!$K$2:$M$7,3,0)</f>
        <v>2</v>
      </c>
      <c r="AD76" s="61" t="n">
        <f aca="false">M76</f>
        <v>0.583333333333333</v>
      </c>
      <c r="AE76" s="61" t="str">
        <f aca="false">N76</f>
        <v>ltr</v>
      </c>
      <c r="AF76" s="61" t="n">
        <f aca="false">VLOOKUP(AE76,recipe_ingred_list!$K$16:$M$25,3,0)</f>
        <v>1</v>
      </c>
      <c r="AG76" s="61" t="n">
        <f aca="false">O76</f>
        <v>0</v>
      </c>
      <c r="AH76" s="61" t="n">
        <f aca="false">P76</f>
        <v>0</v>
      </c>
      <c r="AI76" s="61" t="n">
        <f aca="false">VLOOKUP(AH76,recipe_ingred_list!$K$29:$M$34,3,0)</f>
        <v>3</v>
      </c>
      <c r="AJ76" s="61" t="str">
        <f aca="false">IF(Q76="","",Q76)</f>
        <v/>
      </c>
      <c r="AK76" s="61" t="n">
        <f aca="false">AK75+1</f>
        <v>76</v>
      </c>
      <c r="AL76" s="61" t="str">
        <f aca="false">Y76</f>
        <v>brown sugar</v>
      </c>
      <c r="AM76" s="81" t="str">
        <f aca="false">"a = Client().post('"&amp;W76&amp;"', {'recipe' : '"&amp;V76&amp;"', 'ingredient' : '"&amp;Z76&amp;"', 'name' : '"&amp;X76&amp;"', 'mass_unit' : '"&amp;AC76&amp;"', 'mass_quantity' : '"&amp;ROUND(AA76,3)&amp;"', 'volume_unit' : '"&amp;AF76&amp;"', 'volume_quantity' : '"&amp;ROUND(AD76,3)&amp;"', 'pieces_unit' : '"&amp;AI76&amp;"', 'pieces_quantity' : '"&amp;ROUND(AG76,3)&amp;"', 'cooking_notes' : '"&amp;AJ76&amp;"'}).status_code; print('%s :: %s :: %s :: %s :: %s' %(a,"&amp;G76&amp;",'"&amp;X76&amp;"','"&amp;Y76&amp;"','"&amp;U76&amp;"'))"</f>
        <v>a = Client().post('/recipes/alu-flower-gravy-ekadashi/detail/', {'recipe' : '90', 'ingredient' : '37', 'name' : 'Brown sugar (bluebird)', 'mass_unit' : '2', 'mass_quantity' : '0.425', 'volume_unit' : '1', 'volume_quantity' : '0.583', 'pieces_unit' : '3', 'pieces_quantity' : '0', 'cooking_notes' : ''}).status_code; print('%s :: %s :: %s :: %s :: %s' %(a,76,'Brown sugar (bluebird)','brown sugar','Alu Flower Gravy (Ekadashi)'))</v>
      </c>
      <c r="AMJ76" s="0"/>
    </row>
    <row r="77" s="113" customFormat="true" ht="15" hidden="false" customHeight="false" outlineLevel="0" collapsed="false">
      <c r="A77" s="0"/>
      <c r="B77" s="0"/>
      <c r="C77" s="0"/>
      <c r="D77" s="0"/>
      <c r="E77" s="0"/>
      <c r="F77" s="0"/>
      <c r="G77" s="80" t="n">
        <v>77</v>
      </c>
      <c r="H77" s="125" t="s">
        <v>75</v>
      </c>
      <c r="I77" s="112" t="s">
        <v>378</v>
      </c>
      <c r="J77" s="128" t="s">
        <v>75</v>
      </c>
      <c r="K77" s="71"/>
      <c r="L77" s="71"/>
      <c r="M77" s="110" t="n">
        <v>0.583333333333333</v>
      </c>
      <c r="N77" s="110" t="s">
        <v>13</v>
      </c>
      <c r="O77" s="71"/>
      <c r="P77" s="71"/>
      <c r="Q77" s="111"/>
      <c r="R77" s="112" t="str">
        <f aca="false">VLOOKUP(J77,ingredient!$N$4:$O$553,2,0)</f>
        <v>dhaniya patta</v>
      </c>
      <c r="U77" s="81" t="str">
        <f aca="false">I77</f>
        <v>Alu Flower Gravy (Ekadashi)</v>
      </c>
      <c r="V77" s="81" t="n">
        <f aca="false">VLOOKUP(U77,recipe_ingred_list!$A$2:$B$300,2,0)</f>
        <v>90</v>
      </c>
      <c r="W77" s="81" t="str">
        <f aca="false">"/recipes/"&amp;VLOOKUP(U77,recipe_ingred_list!$A$2:$C$300,3,0)&amp;"/detail/"</f>
        <v>/recipes/alu-flower-gravy-ekadashi/detail/</v>
      </c>
      <c r="X77" s="81" t="str">
        <f aca="false">J77</f>
        <v>Dhania Patta</v>
      </c>
      <c r="Y77" s="81" t="str">
        <f aca="false">R77</f>
        <v>dhaniya patta</v>
      </c>
      <c r="Z77" s="94" t="n">
        <f aca="false">VLOOKUP(Y77,recipe_ingred_list!$D$2:$E$500,2,0)</f>
        <v>66</v>
      </c>
      <c r="AA77" s="61" t="n">
        <f aca="false">K77</f>
        <v>0</v>
      </c>
      <c r="AB77" s="61" t="n">
        <f aca="false">L77</f>
        <v>0</v>
      </c>
      <c r="AC77" s="61" t="n">
        <f aca="false">VLOOKUP(AB77,recipe_ingred_list!$K$2:$M$7,3,0)</f>
        <v>2</v>
      </c>
      <c r="AD77" s="61" t="n">
        <f aca="false">M77</f>
        <v>0.583333333333333</v>
      </c>
      <c r="AE77" s="61" t="str">
        <f aca="false">N77</f>
        <v>ltr</v>
      </c>
      <c r="AF77" s="61" t="n">
        <f aca="false">VLOOKUP(AE77,recipe_ingred_list!$K$16:$M$25,3,0)</f>
        <v>1</v>
      </c>
      <c r="AG77" s="61" t="n">
        <f aca="false">O77</f>
        <v>0</v>
      </c>
      <c r="AH77" s="61" t="n">
        <f aca="false">P77</f>
        <v>0</v>
      </c>
      <c r="AI77" s="61" t="n">
        <f aca="false">VLOOKUP(AH77,recipe_ingred_list!$K$29:$M$34,3,0)</f>
        <v>3</v>
      </c>
      <c r="AJ77" s="61" t="str">
        <f aca="false">IF(Q77="","",Q77)</f>
        <v/>
      </c>
      <c r="AK77" s="61" t="n">
        <f aca="false">AK76+1</f>
        <v>77</v>
      </c>
      <c r="AL77" s="61" t="str">
        <f aca="false">Y77</f>
        <v>dhaniya patta</v>
      </c>
      <c r="AM77" s="81" t="str">
        <f aca="false">"a = Client().post('"&amp;W77&amp;"', {'recipe' : '"&amp;V77&amp;"', 'ingredient' : '"&amp;Z77&amp;"', 'name' : '"&amp;X77&amp;"', 'mass_unit' : '"&amp;AC77&amp;"', 'mass_quantity' : '"&amp;ROUND(AA77,3)&amp;"', 'volume_unit' : '"&amp;AF77&amp;"', 'volume_quantity' : '"&amp;ROUND(AD77,3)&amp;"', 'pieces_unit' : '"&amp;AI77&amp;"', 'pieces_quantity' : '"&amp;ROUND(AG77,3)&amp;"', 'cooking_notes' : '"&amp;AJ77&amp;"'}).status_code; print('%s :: %s :: %s :: %s :: %s' %(a,"&amp;G77&amp;",'"&amp;X77&amp;"','"&amp;Y77&amp;"','"&amp;U77&amp;"'))"</f>
        <v>a = Client().post('/recipes/alu-flower-gravy-ekadashi/detail/', {'recipe' : '90', 'ingredient' : '66', 'name' : 'Dhania Patta', 'mass_unit' : '2', 'mass_quantity' : '0', 'volume_unit' : '1', 'volume_quantity' : '0.583', 'pieces_unit' : '3', 'pieces_quantity' : '0', 'cooking_notes' : ''}).status_code; print('%s :: %s :: %s :: %s :: %s' %(a,77,'Dhania Patta','dhaniya patta','Alu Flower Gravy (Ekadashi)'))</v>
      </c>
      <c r="AMJ77" s="0"/>
    </row>
    <row r="78" s="113" customFormat="true" ht="15" hidden="false" customHeight="false" outlineLevel="0" collapsed="false">
      <c r="A78" s="0"/>
      <c r="B78" s="0"/>
      <c r="C78" s="0"/>
      <c r="D78" s="0"/>
      <c r="E78" s="0"/>
      <c r="F78" s="0"/>
      <c r="G78" s="80" t="n">
        <v>78</v>
      </c>
      <c r="H78" s="125" t="s">
        <v>77</v>
      </c>
      <c r="I78" s="112" t="s">
        <v>378</v>
      </c>
      <c r="J78" s="125" t="s">
        <v>77</v>
      </c>
      <c r="K78" s="71" t="n">
        <v>0</v>
      </c>
      <c r="L78" s="71" t="s">
        <v>7</v>
      </c>
      <c r="M78" s="0"/>
      <c r="N78" s="0"/>
      <c r="O78" s="71"/>
      <c r="P78" s="71"/>
      <c r="Q78" s="111"/>
      <c r="R78" s="112" t="str">
        <f aca="false">VLOOKUP(J78,ingredient!$N$4:$O$553,2,0)</f>
        <v>gound nut oil</v>
      </c>
      <c r="U78" s="81" t="str">
        <f aca="false">I78</f>
        <v>Alu Flower Gravy (Ekadashi)</v>
      </c>
      <c r="V78" s="81" t="n">
        <f aca="false">VLOOKUP(U78,recipe_ingred_list!$A$2:$B$300,2,0)</f>
        <v>90</v>
      </c>
      <c r="W78" s="81" t="str">
        <f aca="false">"/recipes/"&amp;VLOOKUP(U78,recipe_ingred_list!$A$2:$C$300,3,0)&amp;"/detail/"</f>
        <v>/recipes/alu-flower-gravy-ekadashi/detail/</v>
      </c>
      <c r="X78" s="81" t="str">
        <f aca="false">J78</f>
        <v>Oil for frying</v>
      </c>
      <c r="Y78" s="81" t="str">
        <f aca="false">R78</f>
        <v>gound nut oil</v>
      </c>
      <c r="Z78" s="94" t="n">
        <f aca="false">VLOOKUP(Y78,recipe_ingred_list!$D$2:$E$500,2,0)</f>
        <v>83</v>
      </c>
      <c r="AA78" s="61" t="n">
        <f aca="false">K78</f>
        <v>0</v>
      </c>
      <c r="AB78" s="61" t="str">
        <f aca="false">L78</f>
        <v>kg</v>
      </c>
      <c r="AC78" s="61" t="n">
        <f aca="false">VLOOKUP(AB78,recipe_ingred_list!$K$2:$M$7,3,0)</f>
        <v>2</v>
      </c>
      <c r="AD78" s="61" t="n">
        <f aca="false">M78</f>
        <v>0</v>
      </c>
      <c r="AE78" s="61" t="n">
        <f aca="false">N78</f>
        <v>0</v>
      </c>
      <c r="AF78" s="61" t="n">
        <f aca="false">VLOOKUP(AE78,recipe_ingred_list!$K$16:$M$25,3,0)</f>
        <v>1</v>
      </c>
      <c r="AG78" s="61" t="n">
        <f aca="false">O78</f>
        <v>0</v>
      </c>
      <c r="AH78" s="61" t="n">
        <f aca="false">P78</f>
        <v>0</v>
      </c>
      <c r="AI78" s="61" t="n">
        <f aca="false">VLOOKUP(AH78,recipe_ingred_list!$K$29:$M$34,3,0)</f>
        <v>3</v>
      </c>
      <c r="AJ78" s="61" t="str">
        <f aca="false">IF(Q78="","",Q78)</f>
        <v/>
      </c>
      <c r="AK78" s="61" t="n">
        <f aca="false">AK77+1</f>
        <v>78</v>
      </c>
      <c r="AL78" s="61" t="str">
        <f aca="false">Y78</f>
        <v>gound nut oil</v>
      </c>
      <c r="AM78" s="81" t="str">
        <f aca="false">"a = Client().post('"&amp;W78&amp;"', {'recipe' : '"&amp;V78&amp;"', 'ingredient' : '"&amp;Z78&amp;"', 'name' : '"&amp;X78&amp;"', 'mass_unit' : '"&amp;AC78&amp;"', 'mass_quantity' : '"&amp;ROUND(AA78,3)&amp;"', 'volume_unit' : '"&amp;AF78&amp;"', 'volume_quantity' : '"&amp;ROUND(AD78,3)&amp;"', 'pieces_unit' : '"&amp;AI78&amp;"', 'pieces_quantity' : '"&amp;ROUND(AG78,3)&amp;"', 'cooking_notes' : '"&amp;AJ78&amp;"'}).status_code; print('%s :: %s :: %s :: %s :: %s' %(a,"&amp;G78&amp;",'"&amp;X78&amp;"','"&amp;Y78&amp;"','"&amp;U78&amp;"'))"</f>
        <v>a = Client().post('/recipes/alu-flower-gravy-ekadashi/detail/', {'recipe' : '90', 'ingredient' : '83', 'name' : 'Oil for frying', 'mass_unit' : '2', 'mass_quantity' : '0', 'volume_unit' : '1', 'volume_quantity' : '0', 'pieces_unit' : '3', 'pieces_quantity' : '0', 'cooking_notes' : ''}).status_code; print('%s :: %s :: %s :: %s :: %s' %(a,78,'Oil for frying','gound nut oil','Alu Flower Gravy (Ekadashi)'))</v>
      </c>
      <c r="AMJ78" s="0"/>
    </row>
    <row r="79" customFormat="false" ht="13.8" hidden="false" customHeight="false" outlineLevel="0" collapsed="false">
      <c r="G79" s="80" t="n">
        <v>79</v>
      </c>
      <c r="H79" s="98"/>
      <c r="I79" s="99"/>
      <c r="J79" s="79"/>
      <c r="K79" s="100"/>
      <c r="L79" s="100"/>
      <c r="M79" s="100"/>
      <c r="N79" s="100"/>
      <c r="O79" s="101"/>
      <c r="P79" s="100"/>
      <c r="Q79" s="102"/>
      <c r="R79" s="99" t="e">
        <f aca="false">VLOOKUP(J79,ingredient!$N$4:$O$553,2,0)</f>
        <v>#N/A</v>
      </c>
      <c r="S79" s="98"/>
      <c r="T79" s="98"/>
      <c r="U79" s="81" t="n">
        <f aca="false">I79</f>
        <v>0</v>
      </c>
      <c r="V79" s="81" t="e">
        <f aca="false">VLOOKUP(U79,recipe_ingred_list!$A$2:$B$300,2,0)</f>
        <v>#N/A</v>
      </c>
      <c r="W79" s="81" t="e">
        <f aca="false">"/recipes/"&amp;VLOOKUP(U79,recipe_ingred_list!$A$2:$C$300,3,0)&amp;"/detail/"</f>
        <v>#N/A</v>
      </c>
      <c r="X79" s="81" t="n">
        <f aca="false">J79</f>
        <v>0</v>
      </c>
      <c r="Y79" s="81" t="e">
        <f aca="false">R79</f>
        <v>#N/A</v>
      </c>
      <c r="Z79" s="94" t="e">
        <f aca="false">VLOOKUP(Y79,recipe_ingred_list!$D$2:$E$500,2,0)</f>
        <v>#N/A</v>
      </c>
      <c r="AA79" s="61" t="n">
        <f aca="false">K79</f>
        <v>0</v>
      </c>
      <c r="AB79" s="61" t="n">
        <f aca="false">L79</f>
        <v>0</v>
      </c>
      <c r="AC79" s="61" t="n">
        <f aca="false">VLOOKUP(AB79,recipe_ingred_list!$K$2:$M$7,3,0)</f>
        <v>2</v>
      </c>
      <c r="AD79" s="61" t="n">
        <f aca="false">M79</f>
        <v>0</v>
      </c>
      <c r="AE79" s="61" t="n">
        <f aca="false">N79</f>
        <v>0</v>
      </c>
      <c r="AF79" s="61" t="n">
        <f aca="false">VLOOKUP(AE79,recipe_ingred_list!$K$16:$M$25,3,0)</f>
        <v>1</v>
      </c>
      <c r="AG79" s="61" t="n">
        <f aca="false">O79</f>
        <v>0</v>
      </c>
      <c r="AH79" s="61" t="n">
        <f aca="false">P79</f>
        <v>0</v>
      </c>
      <c r="AI79" s="61" t="n">
        <f aca="false">VLOOKUP(AH79,recipe_ingred_list!$K$29:$M$34,3,0)</f>
        <v>3</v>
      </c>
      <c r="AJ79" s="61" t="str">
        <f aca="false">IF(Q79="","",Q79)</f>
        <v/>
      </c>
      <c r="AK79" s="61" t="n">
        <f aca="false">AK78+1</f>
        <v>79</v>
      </c>
      <c r="AL79" s="61" t="e">
        <f aca="false">Y79</f>
        <v>#N/A</v>
      </c>
      <c r="AM79" s="81" t="e">
        <f aca="false">"a = Client().post('"&amp;W79&amp;"', {'recipe' : '"&amp;V79&amp;"', 'ingredient' : '"&amp;Z79&amp;"', 'name' : '"&amp;X79&amp;"', 'mass_unit' : '"&amp;AC79&amp;"', 'mass_quantity' : '"&amp;ROUND(AA79,3)&amp;"', 'volume_unit' : '"&amp;AF79&amp;"', 'volume_quantity' : '"&amp;ROUND(AD79,3)&amp;"', 'pieces_unit' : '"&amp;AI79&amp;"', 'pieces_quantity' : '"&amp;ROUND(AG79,3)&amp;"', 'cooking_notes' : '"&amp;AJ79&amp;"'}).status_code; print('%s :: %s :: %s :: %s :: %s' %(a,"&amp;G79&amp;",'"&amp;X79&amp;"','"&amp;Y79&amp;"','"&amp;U79&amp;"'))"</f>
        <v>#N/A</v>
      </c>
    </row>
    <row r="80" customFormat="false" ht="13.8" hidden="false" customHeight="false" outlineLevel="0" collapsed="false">
      <c r="G80" s="80" t="n">
        <v>80</v>
      </c>
      <c r="H80" s="98"/>
      <c r="I80" s="99"/>
      <c r="J80" s="79"/>
      <c r="K80" s="100"/>
      <c r="L80" s="100"/>
      <c r="M80" s="100"/>
      <c r="N80" s="100"/>
      <c r="O80" s="101"/>
      <c r="P80" s="100"/>
      <c r="Q80" s="102"/>
      <c r="R80" s="99" t="e">
        <f aca="false">VLOOKUP(J80,ingredient!$N$4:$O$553,2,0)</f>
        <v>#N/A</v>
      </c>
      <c r="S80" s="98"/>
      <c r="T80" s="98"/>
      <c r="U80" s="81" t="n">
        <f aca="false">I80</f>
        <v>0</v>
      </c>
      <c r="V80" s="81" t="e">
        <f aca="false">VLOOKUP(U80,recipe_ingred_list!$A$2:$B$300,2,0)</f>
        <v>#N/A</v>
      </c>
      <c r="W80" s="81" t="e">
        <f aca="false">"/recipes/"&amp;VLOOKUP(U80,recipe_ingred_list!$A$2:$C$300,3,0)&amp;"/detail/"</f>
        <v>#N/A</v>
      </c>
      <c r="X80" s="81" t="n">
        <f aca="false">J80</f>
        <v>0</v>
      </c>
      <c r="Y80" s="81" t="e">
        <f aca="false">R80</f>
        <v>#N/A</v>
      </c>
      <c r="Z80" s="94" t="e">
        <f aca="false">VLOOKUP(Y80,recipe_ingred_list!$D$2:$E$500,2,0)</f>
        <v>#N/A</v>
      </c>
      <c r="AA80" s="61" t="n">
        <f aca="false">K80</f>
        <v>0</v>
      </c>
      <c r="AB80" s="61" t="n">
        <f aca="false">L80</f>
        <v>0</v>
      </c>
      <c r="AC80" s="61" t="n">
        <f aca="false">VLOOKUP(AB80,recipe_ingred_list!$K$2:$M$7,3,0)</f>
        <v>2</v>
      </c>
      <c r="AD80" s="61" t="n">
        <f aca="false">M80</f>
        <v>0</v>
      </c>
      <c r="AE80" s="61" t="n">
        <f aca="false">N80</f>
        <v>0</v>
      </c>
      <c r="AF80" s="61" t="n">
        <f aca="false">VLOOKUP(AE80,recipe_ingred_list!$K$16:$M$25,3,0)</f>
        <v>1</v>
      </c>
      <c r="AG80" s="61" t="n">
        <f aca="false">O80</f>
        <v>0</v>
      </c>
      <c r="AH80" s="61" t="n">
        <f aca="false">P80</f>
        <v>0</v>
      </c>
      <c r="AI80" s="61" t="n">
        <f aca="false">VLOOKUP(AH80,recipe_ingred_list!$K$29:$M$34,3,0)</f>
        <v>3</v>
      </c>
      <c r="AJ80" s="61" t="str">
        <f aca="false">IF(Q80="","",Q80)</f>
        <v/>
      </c>
      <c r="AK80" s="61" t="n">
        <f aca="false">AK79+1</f>
        <v>80</v>
      </c>
      <c r="AL80" s="61" t="e">
        <f aca="false">Y80</f>
        <v>#N/A</v>
      </c>
      <c r="AM80" s="81" t="e">
        <f aca="false">"a = Client().post('"&amp;W80&amp;"', {'recipe' : '"&amp;V80&amp;"', 'ingredient' : '"&amp;Z80&amp;"', 'name' : '"&amp;X80&amp;"', 'mass_unit' : '"&amp;AC80&amp;"', 'mass_quantity' : '"&amp;ROUND(AA80,3)&amp;"', 'volume_unit' : '"&amp;AF80&amp;"', 'volume_quantity' : '"&amp;ROUND(AD80,3)&amp;"', 'pieces_unit' : '"&amp;AI80&amp;"', 'pieces_quantity' : '"&amp;ROUND(AG80,3)&amp;"', 'cooking_notes' : '"&amp;AJ80&amp;"'}).status_code; print('%s :: %s :: %s :: %s :: %s' %(a,"&amp;G80&amp;",'"&amp;X80&amp;"','"&amp;Y80&amp;"','"&amp;U80&amp;"'))"</f>
        <v>#N/A</v>
      </c>
    </row>
    <row r="81" customFormat="false" ht="15" hidden="false" customHeight="false" outlineLevel="0" collapsed="false">
      <c r="G81" s="80" t="n">
        <v>81</v>
      </c>
      <c r="H81" s="130" t="s">
        <v>2</v>
      </c>
      <c r="I81" s="99"/>
      <c r="J81" s="130" t="s">
        <v>2</v>
      </c>
      <c r="K81" s="131" t="s">
        <v>4</v>
      </c>
      <c r="L81" s="100"/>
      <c r="M81" s="100"/>
      <c r="N81" s="100"/>
      <c r="O81" s="101"/>
      <c r="P81" s="100"/>
      <c r="Q81" s="102"/>
      <c r="R81" s="99" t="e">
        <f aca="false">VLOOKUP(J81,ingredient!$N$4:$O$553,2,0)</f>
        <v>#N/A</v>
      </c>
      <c r="S81" s="98"/>
      <c r="T81" s="98"/>
      <c r="U81" s="81" t="n">
        <f aca="false">I81</f>
        <v>0</v>
      </c>
      <c r="V81" s="81" t="e">
        <f aca="false">VLOOKUP(U81,recipe_ingred_list!$A$2:$B$300,2,0)</f>
        <v>#N/A</v>
      </c>
      <c r="W81" s="81" t="e">
        <f aca="false">"/recipes/"&amp;VLOOKUP(U81,recipe_ingred_list!$A$2:$C$300,3,0)&amp;"/detail/"</f>
        <v>#N/A</v>
      </c>
      <c r="X81" s="81" t="str">
        <f aca="false">J81</f>
        <v>Ingredients</v>
      </c>
      <c r="Y81" s="81" t="e">
        <f aca="false">R81</f>
        <v>#N/A</v>
      </c>
      <c r="Z81" s="94" t="e">
        <f aca="false">VLOOKUP(Y81,recipe_ingred_list!$D$2:$E$500,2,0)</f>
        <v>#N/A</v>
      </c>
      <c r="AA81" s="61" t="str">
        <f aca="false">K81</f>
        <v>Unit</v>
      </c>
      <c r="AB81" s="61" t="n">
        <f aca="false">L81</f>
        <v>0</v>
      </c>
      <c r="AC81" s="61" t="n">
        <f aca="false">VLOOKUP(AB81,recipe_ingred_list!$K$2:$M$7,3,0)</f>
        <v>2</v>
      </c>
      <c r="AD81" s="61" t="n">
        <f aca="false">M81</f>
        <v>0</v>
      </c>
      <c r="AE81" s="61" t="n">
        <f aca="false">N81</f>
        <v>0</v>
      </c>
      <c r="AF81" s="61" t="n">
        <f aca="false">VLOOKUP(AE81,recipe_ingred_list!$K$16:$M$25,3,0)</f>
        <v>1</v>
      </c>
      <c r="AG81" s="61" t="n">
        <f aca="false">O81</f>
        <v>0</v>
      </c>
      <c r="AH81" s="61" t="n">
        <f aca="false">P81</f>
        <v>0</v>
      </c>
      <c r="AI81" s="61" t="n">
        <f aca="false">VLOOKUP(AH81,recipe_ingred_list!$K$29:$M$34,3,0)</f>
        <v>3</v>
      </c>
      <c r="AJ81" s="61" t="str">
        <f aca="false">IF(Q81="","",Q81)</f>
        <v/>
      </c>
      <c r="AK81" s="61" t="n">
        <f aca="false">AK80+1</f>
        <v>81</v>
      </c>
      <c r="AL81" s="61" t="e">
        <f aca="false">Y81</f>
        <v>#N/A</v>
      </c>
      <c r="AM81" s="81" t="e">
        <f aca="false">"a = Client().post('"&amp;W81&amp;"', {'recipe' : '"&amp;V81&amp;"', 'ingredient' : '"&amp;Z81&amp;"', 'name' : '"&amp;X81&amp;"', 'mass_unit' : '"&amp;AC81&amp;"', 'mass_quantity' : '"&amp;ROUND(AA81,3)&amp;"', 'volume_unit' : '"&amp;AF81&amp;"', 'volume_quantity' : '"&amp;ROUND(AD81,3)&amp;"', 'pieces_unit' : '"&amp;AI81&amp;"', 'pieces_quantity' : '"&amp;ROUND(AG81,3)&amp;"', 'cooking_notes' : '"&amp;AJ81&amp;"'}).status_code; print('%s :: %s :: %s :: %s :: %s' %(a,"&amp;G81&amp;",'"&amp;X81&amp;"','"&amp;Y81&amp;"','"&amp;U81&amp;"'))"</f>
        <v>#N/A</v>
      </c>
    </row>
    <row r="82" s="113" customFormat="true" ht="15" hidden="false" customHeight="false" outlineLevel="0" collapsed="false">
      <c r="A82" s="0"/>
      <c r="B82" s="0"/>
      <c r="C82" s="0"/>
      <c r="D82" s="0"/>
      <c r="E82" s="0"/>
      <c r="F82" s="0"/>
      <c r="G82" s="80" t="n">
        <v>82</v>
      </c>
      <c r="H82" s="125" t="s">
        <v>474</v>
      </c>
      <c r="I82" s="112" t="s">
        <v>78</v>
      </c>
      <c r="J82" s="128" t="s">
        <v>80</v>
      </c>
      <c r="K82" s="110" t="n">
        <v>8</v>
      </c>
      <c r="L82" s="110" t="s">
        <v>7</v>
      </c>
      <c r="M82" s="71"/>
      <c r="N82" s="71"/>
      <c r="O82" s="71"/>
      <c r="P82" s="71"/>
      <c r="Q82" s="111"/>
      <c r="R82" s="112" t="str">
        <f aca="false">VLOOKUP(J82,ingredient!$N$4:$O$553,2,0)</f>
        <v>singdana</v>
      </c>
      <c r="U82" s="81" t="str">
        <f aca="false">I82</f>
        <v>Kakdi singdana salad</v>
      </c>
      <c r="V82" s="81" t="n">
        <f aca="false">VLOOKUP(U82,recipe_ingred_list!$A$2:$B$300,2,0)</f>
        <v>92</v>
      </c>
      <c r="W82" s="81" t="str">
        <f aca="false">"/recipes/"&amp;VLOOKUP(U82,recipe_ingred_list!$A$2:$C$300,3,0)&amp;"/detail/"</f>
        <v>/recipes/kakdi-singdana-salad/detail/</v>
      </c>
      <c r="X82" s="81" t="str">
        <f aca="false">J82</f>
        <v>Boiled singdana</v>
      </c>
      <c r="Y82" s="81" t="str">
        <f aca="false">R82</f>
        <v>singdana</v>
      </c>
      <c r="Z82" s="94" t="n">
        <f aca="false">VLOOKUP(Y82,recipe_ingred_list!$D$2:$E$500,2,0)</f>
        <v>183</v>
      </c>
      <c r="AA82" s="61" t="n">
        <f aca="false">K82</f>
        <v>8</v>
      </c>
      <c r="AB82" s="61" t="str">
        <f aca="false">L82</f>
        <v>kg</v>
      </c>
      <c r="AC82" s="61" t="n">
        <f aca="false">VLOOKUP(AB82,recipe_ingred_list!$K$2:$M$7,3,0)</f>
        <v>2</v>
      </c>
      <c r="AD82" s="61" t="n">
        <f aca="false">M82</f>
        <v>0</v>
      </c>
      <c r="AE82" s="61" t="n">
        <f aca="false">N82</f>
        <v>0</v>
      </c>
      <c r="AF82" s="61" t="n">
        <f aca="false">VLOOKUP(AE82,recipe_ingred_list!$K$16:$M$25,3,0)</f>
        <v>1</v>
      </c>
      <c r="AG82" s="61" t="n">
        <f aca="false">O82</f>
        <v>0</v>
      </c>
      <c r="AH82" s="61" t="n">
        <f aca="false">P82</f>
        <v>0</v>
      </c>
      <c r="AI82" s="61" t="n">
        <f aca="false">VLOOKUP(AH82,recipe_ingred_list!$K$29:$M$34,3,0)</f>
        <v>3</v>
      </c>
      <c r="AJ82" s="61" t="str">
        <f aca="false">IF(Q82="","",Q82)</f>
        <v/>
      </c>
      <c r="AK82" s="61" t="n">
        <f aca="false">AK81+1</f>
        <v>82</v>
      </c>
      <c r="AL82" s="61" t="str">
        <f aca="false">Y82</f>
        <v>singdana</v>
      </c>
      <c r="AM82" s="81" t="str">
        <f aca="false">"a = Client().post('"&amp;W82&amp;"', {'recipe' : '"&amp;V82&amp;"', 'ingredient' : '"&amp;Z82&amp;"', 'name' : '"&amp;X82&amp;"', 'mass_unit' : '"&amp;AC82&amp;"', 'mass_quantity' : '"&amp;ROUND(AA82,3)&amp;"', 'volume_unit' : '"&amp;AF82&amp;"', 'volume_quantity' : '"&amp;ROUND(AD82,3)&amp;"', 'pieces_unit' : '"&amp;AI82&amp;"', 'pieces_quantity' : '"&amp;ROUND(AG82,3)&amp;"', 'cooking_notes' : '"&amp;AJ82&amp;"'}).status_code; print('%s :: %s :: %s :: %s :: %s' %(a,"&amp;G82&amp;",'"&amp;X82&amp;"','"&amp;Y82&amp;"','"&amp;U82&amp;"'))"</f>
        <v>a = Client().post('/recipes/kakdi-singdana-salad/detail/', {'recipe' : '92', 'ingredient' : '183', 'name' : 'Boiled singdana', 'mass_unit' : '2', 'mass_quantity' : '8', 'volume_unit' : '1', 'volume_quantity' : '0', 'pieces_unit' : '3', 'pieces_quantity' : '0', 'cooking_notes' : ''}).status_code; print('%s :: %s :: %s :: %s :: %s' %(a,82,'Boiled singdana','singdana','Kakdi singdana salad'))</v>
      </c>
      <c r="AMJ82" s="0"/>
    </row>
    <row r="83" s="113" customFormat="true" ht="15" hidden="false" customHeight="false" outlineLevel="0" collapsed="false">
      <c r="A83" s="0"/>
      <c r="B83" s="0"/>
      <c r="C83" s="0"/>
      <c r="D83" s="0"/>
      <c r="E83" s="0"/>
      <c r="F83" s="0"/>
      <c r="G83" s="80" t="n">
        <v>83</v>
      </c>
      <c r="H83" s="125" t="s">
        <v>532</v>
      </c>
      <c r="I83" s="112" t="s">
        <v>78</v>
      </c>
      <c r="J83" s="128" t="s">
        <v>81</v>
      </c>
      <c r="K83" s="110" t="n">
        <v>10</v>
      </c>
      <c r="L83" s="110" t="s">
        <v>7</v>
      </c>
      <c r="M83" s="71"/>
      <c r="N83" s="71"/>
      <c r="O83" s="71"/>
      <c r="P83" s="71"/>
      <c r="Q83" s="111"/>
      <c r="R83" s="112" t="str">
        <f aca="false">VLOOKUP(J83,ingredient!$N$4:$O$553,2,0)</f>
        <v>kakdi</v>
      </c>
      <c r="U83" s="81" t="str">
        <f aca="false">I83</f>
        <v>Kakdi singdana salad</v>
      </c>
      <c r="V83" s="81" t="n">
        <f aca="false">VLOOKUP(U83,recipe_ingred_list!$A$2:$B$300,2,0)</f>
        <v>92</v>
      </c>
      <c r="W83" s="81" t="str">
        <f aca="false">"/recipes/"&amp;VLOOKUP(U83,recipe_ingred_list!$A$2:$C$300,3,0)&amp;"/detail/"</f>
        <v>/recipes/kakdi-singdana-salad/detail/</v>
      </c>
      <c r="X83" s="81" t="str">
        <f aca="false">J83</f>
        <v>Kakdi chopped</v>
      </c>
      <c r="Y83" s="81" t="str">
        <f aca="false">R83</f>
        <v>kakdi</v>
      </c>
      <c r="Z83" s="94" t="n">
        <f aca="false">VLOOKUP(Y83,recipe_ingred_list!$D$2:$E$500,2,0)</f>
        <v>111</v>
      </c>
      <c r="AA83" s="61" t="n">
        <f aca="false">K83</f>
        <v>10</v>
      </c>
      <c r="AB83" s="61" t="str">
        <f aca="false">L83</f>
        <v>kg</v>
      </c>
      <c r="AC83" s="61" t="n">
        <f aca="false">VLOOKUP(AB83,recipe_ingred_list!$K$2:$M$7,3,0)</f>
        <v>2</v>
      </c>
      <c r="AD83" s="61" t="n">
        <f aca="false">M83</f>
        <v>0</v>
      </c>
      <c r="AE83" s="61" t="n">
        <f aca="false">N83</f>
        <v>0</v>
      </c>
      <c r="AF83" s="61" t="n">
        <f aca="false">VLOOKUP(AE83,recipe_ingred_list!$K$16:$M$25,3,0)</f>
        <v>1</v>
      </c>
      <c r="AG83" s="61" t="n">
        <f aca="false">O83</f>
        <v>0</v>
      </c>
      <c r="AH83" s="61" t="n">
        <f aca="false">P83</f>
        <v>0</v>
      </c>
      <c r="AI83" s="61" t="n">
        <f aca="false">VLOOKUP(AH83,recipe_ingred_list!$K$29:$M$34,3,0)</f>
        <v>3</v>
      </c>
      <c r="AJ83" s="61" t="str">
        <f aca="false">IF(Q83="","",Q83)</f>
        <v/>
      </c>
      <c r="AK83" s="61" t="n">
        <f aca="false">AK82+1</f>
        <v>83</v>
      </c>
      <c r="AL83" s="61" t="str">
        <f aca="false">Y83</f>
        <v>kakdi</v>
      </c>
      <c r="AM83" s="81" t="str">
        <f aca="false">"a = Client().post('"&amp;W83&amp;"', {'recipe' : '"&amp;V83&amp;"', 'ingredient' : '"&amp;Z83&amp;"', 'name' : '"&amp;X83&amp;"', 'mass_unit' : '"&amp;AC83&amp;"', 'mass_quantity' : '"&amp;ROUND(AA83,3)&amp;"', 'volume_unit' : '"&amp;AF83&amp;"', 'volume_quantity' : '"&amp;ROUND(AD83,3)&amp;"', 'pieces_unit' : '"&amp;AI83&amp;"', 'pieces_quantity' : '"&amp;ROUND(AG83,3)&amp;"', 'cooking_notes' : '"&amp;AJ83&amp;"'}).status_code; print('%s :: %s :: %s :: %s :: %s' %(a,"&amp;G83&amp;",'"&amp;X83&amp;"','"&amp;Y83&amp;"','"&amp;U83&amp;"'))"</f>
        <v>a = Client().post('/recipes/kakdi-singdana-salad/detail/', {'recipe' : '92', 'ingredient' : '111', 'name' : 'Kakdi chopped', 'mass_unit' : '2', 'mass_quantity' : '10', 'volume_unit' : '1', 'volume_quantity' : '0', 'pieces_unit' : '3', 'pieces_quantity' : '0', 'cooking_notes' : ''}).status_code; print('%s :: %s :: %s :: %s :: %s' %(a,83,'Kakdi chopped','kakdi','Kakdi singdana salad'))</v>
      </c>
      <c r="AMJ83" s="0"/>
    </row>
    <row r="84" s="113" customFormat="true" ht="15" hidden="false" customHeight="false" outlineLevel="0" collapsed="false">
      <c r="A84" s="0"/>
      <c r="B84" s="0"/>
      <c r="C84" s="0"/>
      <c r="D84" s="0"/>
      <c r="E84" s="0"/>
      <c r="F84" s="0"/>
      <c r="G84" s="80" t="n">
        <v>84</v>
      </c>
      <c r="H84" s="125" t="s">
        <v>21</v>
      </c>
      <c r="I84" s="112" t="s">
        <v>78</v>
      </c>
      <c r="J84" s="128" t="s">
        <v>82</v>
      </c>
      <c r="K84" s="110" t="n">
        <v>10</v>
      </c>
      <c r="L84" s="110" t="s">
        <v>7</v>
      </c>
      <c r="M84" s="71"/>
      <c r="N84" s="71"/>
      <c r="O84" s="71"/>
      <c r="P84" s="71"/>
      <c r="Q84" s="111"/>
      <c r="R84" s="112" t="str">
        <f aca="false">VLOOKUP(J84,ingredient!$N$4:$O$553,2,0)</f>
        <v>tomato</v>
      </c>
      <c r="U84" s="81" t="str">
        <f aca="false">I84</f>
        <v>Kakdi singdana salad</v>
      </c>
      <c r="V84" s="81" t="n">
        <f aca="false">VLOOKUP(U84,recipe_ingred_list!$A$2:$B$300,2,0)</f>
        <v>92</v>
      </c>
      <c r="W84" s="81" t="str">
        <f aca="false">"/recipes/"&amp;VLOOKUP(U84,recipe_ingred_list!$A$2:$C$300,3,0)&amp;"/detail/"</f>
        <v>/recipes/kakdi-singdana-salad/detail/</v>
      </c>
      <c r="X84" s="81" t="str">
        <f aca="false">J84</f>
        <v>tomato chopped</v>
      </c>
      <c r="Y84" s="81" t="str">
        <f aca="false">R84</f>
        <v>tomato</v>
      </c>
      <c r="Z84" s="94" t="n">
        <f aca="false">VLOOKUP(Y84,recipe_ingred_list!$D$2:$E$500,2,0)</f>
        <v>195</v>
      </c>
      <c r="AA84" s="61" t="n">
        <f aca="false">K84</f>
        <v>10</v>
      </c>
      <c r="AB84" s="61" t="str">
        <f aca="false">L84</f>
        <v>kg</v>
      </c>
      <c r="AC84" s="61" t="n">
        <f aca="false">VLOOKUP(AB84,recipe_ingred_list!$K$2:$M$7,3,0)</f>
        <v>2</v>
      </c>
      <c r="AD84" s="61" t="n">
        <f aca="false">M84</f>
        <v>0</v>
      </c>
      <c r="AE84" s="61" t="n">
        <f aca="false">N84</f>
        <v>0</v>
      </c>
      <c r="AF84" s="61" t="n">
        <f aca="false">VLOOKUP(AE84,recipe_ingred_list!$K$16:$M$25,3,0)</f>
        <v>1</v>
      </c>
      <c r="AG84" s="61" t="n">
        <f aca="false">O84</f>
        <v>0</v>
      </c>
      <c r="AH84" s="61" t="n">
        <f aca="false">P84</f>
        <v>0</v>
      </c>
      <c r="AI84" s="61" t="n">
        <f aca="false">VLOOKUP(AH84,recipe_ingred_list!$K$29:$M$34,3,0)</f>
        <v>3</v>
      </c>
      <c r="AJ84" s="61" t="str">
        <f aca="false">IF(Q84="","",Q84)</f>
        <v/>
      </c>
      <c r="AK84" s="61" t="n">
        <f aca="false">AK83+1</f>
        <v>84</v>
      </c>
      <c r="AL84" s="61" t="str">
        <f aca="false">Y84</f>
        <v>tomato</v>
      </c>
      <c r="AM84" s="81" t="str">
        <f aca="false">"a = Client().post('"&amp;W84&amp;"', {'recipe' : '"&amp;V84&amp;"', 'ingredient' : '"&amp;Z84&amp;"', 'name' : '"&amp;X84&amp;"', 'mass_unit' : '"&amp;AC84&amp;"', 'mass_quantity' : '"&amp;ROUND(AA84,3)&amp;"', 'volume_unit' : '"&amp;AF84&amp;"', 'volume_quantity' : '"&amp;ROUND(AD84,3)&amp;"', 'pieces_unit' : '"&amp;AI84&amp;"', 'pieces_quantity' : '"&amp;ROUND(AG84,3)&amp;"', 'cooking_notes' : '"&amp;AJ84&amp;"'}).status_code; print('%s :: %s :: %s :: %s :: %s' %(a,"&amp;G84&amp;",'"&amp;X84&amp;"','"&amp;Y84&amp;"','"&amp;U84&amp;"'))"</f>
        <v>a = Client().post('/recipes/kakdi-singdana-salad/detail/', {'recipe' : '92', 'ingredient' : '195', 'name' : 'tomato chopped', 'mass_unit' : '2', 'mass_quantity' : '10', 'volume_unit' : '1', 'volume_quantity' : '0', 'pieces_unit' : '3', 'pieces_quantity' : '0', 'cooking_notes' : ''}).status_code; print('%s :: %s :: %s :: %s :: %s' %(a,84,'tomato chopped','tomato','Kakdi singdana salad'))</v>
      </c>
      <c r="AMJ84" s="0"/>
    </row>
    <row r="85" s="113" customFormat="true" ht="15" hidden="false" customHeight="false" outlineLevel="0" collapsed="false">
      <c r="A85" s="0"/>
      <c r="B85" s="0"/>
      <c r="C85" s="0"/>
      <c r="D85" s="0"/>
      <c r="E85" s="0"/>
      <c r="F85" s="0"/>
      <c r="G85" s="80" t="n">
        <v>85</v>
      </c>
      <c r="H85" s="125" t="s">
        <v>526</v>
      </c>
      <c r="I85" s="112" t="s">
        <v>78</v>
      </c>
      <c r="J85" s="128" t="s">
        <v>83</v>
      </c>
      <c r="K85" s="71"/>
      <c r="L85" s="71"/>
      <c r="M85" s="110" t="n">
        <v>3</v>
      </c>
      <c r="N85" s="110" t="s">
        <v>20</v>
      </c>
      <c r="O85" s="71"/>
      <c r="P85" s="71"/>
      <c r="Q85" s="111"/>
      <c r="R85" s="112" t="str">
        <f aca="false">VLOOKUP(J85,ingredient!$N$4:$O$553,2,0)</f>
        <v>hari mirchi</v>
      </c>
      <c r="U85" s="81" t="str">
        <f aca="false">I85</f>
        <v>Kakdi singdana salad</v>
      </c>
      <c r="V85" s="81" t="n">
        <f aca="false">VLOOKUP(U85,recipe_ingred_list!$A$2:$B$300,2,0)</f>
        <v>92</v>
      </c>
      <c r="W85" s="81" t="str">
        <f aca="false">"/recipes/"&amp;VLOOKUP(U85,recipe_ingred_list!$A$2:$C$300,3,0)&amp;"/detail/"</f>
        <v>/recipes/kakdi-singdana-salad/detail/</v>
      </c>
      <c r="X85" s="81" t="str">
        <f aca="false">J85</f>
        <v>Hari mirchi fine chopped</v>
      </c>
      <c r="Y85" s="81" t="str">
        <f aca="false">R85</f>
        <v>hari mirchi</v>
      </c>
      <c r="Z85" s="94" t="n">
        <f aca="false">VLOOKUP(Y85,recipe_ingred_list!$D$2:$E$500,2,0)</f>
        <v>93</v>
      </c>
      <c r="AA85" s="61" t="n">
        <f aca="false">K85</f>
        <v>0</v>
      </c>
      <c r="AB85" s="61" t="n">
        <f aca="false">L85</f>
        <v>0</v>
      </c>
      <c r="AC85" s="61" t="n">
        <f aca="false">VLOOKUP(AB85,recipe_ingred_list!$K$2:$M$7,3,0)</f>
        <v>2</v>
      </c>
      <c r="AD85" s="61" t="n">
        <f aca="false">M85</f>
        <v>3</v>
      </c>
      <c r="AE85" s="61" t="str">
        <f aca="false">N85</f>
        <v>cup</v>
      </c>
      <c r="AF85" s="61" t="n">
        <f aca="false">VLOOKUP(AE85,recipe_ingred_list!$K$16:$M$25,3,0)</f>
        <v>5</v>
      </c>
      <c r="AG85" s="61" t="n">
        <f aca="false">O85</f>
        <v>0</v>
      </c>
      <c r="AH85" s="61" t="n">
        <f aca="false">P85</f>
        <v>0</v>
      </c>
      <c r="AI85" s="61" t="n">
        <f aca="false">VLOOKUP(AH85,recipe_ingred_list!$K$29:$M$34,3,0)</f>
        <v>3</v>
      </c>
      <c r="AJ85" s="61" t="str">
        <f aca="false">IF(Q85="","",Q85)</f>
        <v/>
      </c>
      <c r="AK85" s="61" t="n">
        <f aca="false">AK84+1</f>
        <v>85</v>
      </c>
      <c r="AL85" s="61" t="str">
        <f aca="false">Y85</f>
        <v>hari mirchi</v>
      </c>
      <c r="AM85" s="81" t="str">
        <f aca="false">"a = Client().post('"&amp;W85&amp;"', {'recipe' : '"&amp;V85&amp;"', 'ingredient' : '"&amp;Z85&amp;"', 'name' : '"&amp;X85&amp;"', 'mass_unit' : '"&amp;AC85&amp;"', 'mass_quantity' : '"&amp;ROUND(AA85,3)&amp;"', 'volume_unit' : '"&amp;AF85&amp;"', 'volume_quantity' : '"&amp;ROUND(AD85,3)&amp;"', 'pieces_unit' : '"&amp;AI85&amp;"', 'pieces_quantity' : '"&amp;ROUND(AG85,3)&amp;"', 'cooking_notes' : '"&amp;AJ85&amp;"'}).status_code; print('%s :: %s :: %s :: %s :: %s' %(a,"&amp;G85&amp;",'"&amp;X85&amp;"','"&amp;Y85&amp;"','"&amp;U85&amp;"'))"</f>
        <v>a = Client().post('/recipes/kakdi-singdana-salad/detail/', {'recipe' : '92', 'ingredient' : '93', 'name' : 'Hari mirchi fine chopped', 'mass_unit' : '2', 'mass_quantity' : '0', 'volume_unit' : '5', 'volume_quantity' : '3', 'pieces_unit' : '3', 'pieces_quantity' : '0', 'cooking_notes' : ''}).status_code; print('%s :: %s :: %s :: %s :: %s' %(a,85,'Hari mirchi fine chopped','hari mirchi','Kakdi singdana salad'))</v>
      </c>
      <c r="AMJ85" s="0"/>
    </row>
    <row r="86" s="113" customFormat="true" ht="15" hidden="false" customHeight="false" outlineLevel="0" collapsed="false">
      <c r="A86" s="0"/>
      <c r="B86" s="0"/>
      <c r="C86" s="0"/>
      <c r="D86" s="0"/>
      <c r="E86" s="0"/>
      <c r="F86" s="0"/>
      <c r="G86" s="80" t="n">
        <v>86</v>
      </c>
      <c r="H86" s="125" t="s">
        <v>32</v>
      </c>
      <c r="I86" s="112" t="s">
        <v>78</v>
      </c>
      <c r="J86" s="128" t="s">
        <v>32</v>
      </c>
      <c r="K86" s="71"/>
      <c r="L86" s="71"/>
      <c r="M86" s="110" t="n">
        <v>2</v>
      </c>
      <c r="N86" s="110" t="s">
        <v>20</v>
      </c>
      <c r="O86" s="71"/>
      <c r="P86" s="71"/>
      <c r="Q86" s="111"/>
      <c r="R86" s="112" t="str">
        <f aca="false">VLOOKUP(J86,ingredient!$N$4:$O$553,2,0)</f>
        <v>salt</v>
      </c>
      <c r="U86" s="81" t="str">
        <f aca="false">I86</f>
        <v>Kakdi singdana salad</v>
      </c>
      <c r="V86" s="81" t="n">
        <f aca="false">VLOOKUP(U86,recipe_ingred_list!$A$2:$B$300,2,0)</f>
        <v>92</v>
      </c>
      <c r="W86" s="81" t="str">
        <f aca="false">"/recipes/"&amp;VLOOKUP(U86,recipe_ingred_list!$A$2:$C$300,3,0)&amp;"/detail/"</f>
        <v>/recipes/kakdi-singdana-salad/detail/</v>
      </c>
      <c r="X86" s="81" t="str">
        <f aca="false">J86</f>
        <v>Salt</v>
      </c>
      <c r="Y86" s="81" t="str">
        <f aca="false">R86</f>
        <v>salt</v>
      </c>
      <c r="Z86" s="94" t="n">
        <f aca="false">VLOOKUP(Y86,recipe_ingred_list!$D$2:$E$500,2,0)</f>
        <v>177</v>
      </c>
      <c r="AA86" s="61" t="n">
        <f aca="false">K86</f>
        <v>0</v>
      </c>
      <c r="AB86" s="61" t="n">
        <f aca="false">L86</f>
        <v>0</v>
      </c>
      <c r="AC86" s="61" t="n">
        <f aca="false">VLOOKUP(AB86,recipe_ingred_list!$K$2:$M$7,3,0)</f>
        <v>2</v>
      </c>
      <c r="AD86" s="61" t="n">
        <f aca="false">M86</f>
        <v>2</v>
      </c>
      <c r="AE86" s="61" t="str">
        <f aca="false">N86</f>
        <v>cup</v>
      </c>
      <c r="AF86" s="61" t="n">
        <f aca="false">VLOOKUP(AE86,recipe_ingred_list!$K$16:$M$25,3,0)</f>
        <v>5</v>
      </c>
      <c r="AG86" s="61" t="n">
        <f aca="false">O86</f>
        <v>0</v>
      </c>
      <c r="AH86" s="61" t="n">
        <f aca="false">P86</f>
        <v>0</v>
      </c>
      <c r="AI86" s="61" t="n">
        <f aca="false">VLOOKUP(AH86,recipe_ingred_list!$K$29:$M$34,3,0)</f>
        <v>3</v>
      </c>
      <c r="AJ86" s="61" t="str">
        <f aca="false">IF(Q86="","",Q86)</f>
        <v/>
      </c>
      <c r="AK86" s="61" t="n">
        <f aca="false">AK85+1</f>
        <v>86</v>
      </c>
      <c r="AL86" s="61" t="str">
        <f aca="false">Y86</f>
        <v>salt</v>
      </c>
      <c r="AM86" s="81" t="str">
        <f aca="false">"a = Client().post('"&amp;W86&amp;"', {'recipe' : '"&amp;V86&amp;"', 'ingredient' : '"&amp;Z86&amp;"', 'name' : '"&amp;X86&amp;"', 'mass_unit' : '"&amp;AC86&amp;"', 'mass_quantity' : '"&amp;ROUND(AA86,3)&amp;"', 'volume_unit' : '"&amp;AF86&amp;"', 'volume_quantity' : '"&amp;ROUND(AD86,3)&amp;"', 'pieces_unit' : '"&amp;AI86&amp;"', 'pieces_quantity' : '"&amp;ROUND(AG86,3)&amp;"', 'cooking_notes' : '"&amp;AJ86&amp;"'}).status_code; print('%s :: %s :: %s :: %s :: %s' %(a,"&amp;G86&amp;",'"&amp;X86&amp;"','"&amp;Y86&amp;"','"&amp;U86&amp;"'))"</f>
        <v>a = Client().post('/recipes/kakdi-singdana-salad/detail/', {'recipe' : '92', 'ingredient' : '177', 'name' : 'Salt', 'mass_unit' : '2', 'mass_quantity' : '0', 'volume_unit' : '5', 'volume_quantity' : '2', 'pieces_unit' : '3', 'pieces_quantity' : '0', 'cooking_notes' : ''}).status_code; print('%s :: %s :: %s :: %s :: %s' %(a,86,'Salt','salt','Kakdi singdana salad'))</v>
      </c>
      <c r="AMJ86" s="0"/>
    </row>
    <row r="87" s="113" customFormat="true" ht="15" hidden="false" customHeight="false" outlineLevel="0" collapsed="false">
      <c r="A87" s="0"/>
      <c r="B87" s="0"/>
      <c r="C87" s="0"/>
      <c r="D87" s="0"/>
      <c r="E87" s="0"/>
      <c r="F87" s="0"/>
      <c r="G87" s="80" t="n">
        <v>87</v>
      </c>
      <c r="H87" s="125" t="s">
        <v>23</v>
      </c>
      <c r="I87" s="112" t="s">
        <v>78</v>
      </c>
      <c r="J87" s="128" t="s">
        <v>23</v>
      </c>
      <c r="K87" s="71"/>
      <c r="L87" s="71"/>
      <c r="M87" s="110" t="n">
        <v>2</v>
      </c>
      <c r="N87" s="110" t="s">
        <v>13</v>
      </c>
      <c r="O87" s="71"/>
      <c r="P87" s="71"/>
      <c r="Q87" s="111"/>
      <c r="R87" s="112" t="str">
        <f aca="false">VLOOKUP(J87,ingredient!$N$4:$O$553,2,0)</f>
        <v>dhaniya patta</v>
      </c>
      <c r="U87" s="81" t="str">
        <f aca="false">I87</f>
        <v>Kakdi singdana salad</v>
      </c>
      <c r="V87" s="81" t="n">
        <f aca="false">VLOOKUP(U87,recipe_ingred_list!$A$2:$B$300,2,0)</f>
        <v>92</v>
      </c>
      <c r="W87" s="81" t="str">
        <f aca="false">"/recipes/"&amp;VLOOKUP(U87,recipe_ingred_list!$A$2:$C$300,3,0)&amp;"/detail/"</f>
        <v>/recipes/kakdi-singdana-salad/detail/</v>
      </c>
      <c r="X87" s="81" t="str">
        <f aca="false">J87</f>
        <v>Dhania patta</v>
      </c>
      <c r="Y87" s="81" t="str">
        <f aca="false">R87</f>
        <v>dhaniya patta</v>
      </c>
      <c r="Z87" s="94" t="n">
        <f aca="false">VLOOKUP(Y87,recipe_ingred_list!$D$2:$E$500,2,0)</f>
        <v>66</v>
      </c>
      <c r="AA87" s="61" t="n">
        <f aca="false">K87</f>
        <v>0</v>
      </c>
      <c r="AB87" s="61" t="n">
        <f aca="false">L87</f>
        <v>0</v>
      </c>
      <c r="AC87" s="61" t="n">
        <f aca="false">VLOOKUP(AB87,recipe_ingred_list!$K$2:$M$7,3,0)</f>
        <v>2</v>
      </c>
      <c r="AD87" s="61" t="n">
        <f aca="false">M87</f>
        <v>2</v>
      </c>
      <c r="AE87" s="61" t="str">
        <f aca="false">N87</f>
        <v>ltr</v>
      </c>
      <c r="AF87" s="61" t="n">
        <f aca="false">VLOOKUP(AE87,recipe_ingred_list!$K$16:$M$25,3,0)</f>
        <v>1</v>
      </c>
      <c r="AG87" s="61" t="n">
        <f aca="false">O87</f>
        <v>0</v>
      </c>
      <c r="AH87" s="61" t="n">
        <f aca="false">P87</f>
        <v>0</v>
      </c>
      <c r="AI87" s="61" t="n">
        <f aca="false">VLOOKUP(AH87,recipe_ingred_list!$K$29:$M$34,3,0)</f>
        <v>3</v>
      </c>
      <c r="AJ87" s="61" t="str">
        <f aca="false">IF(Q87="","",Q87)</f>
        <v/>
      </c>
      <c r="AK87" s="61" t="n">
        <f aca="false">AK86+1</f>
        <v>87</v>
      </c>
      <c r="AL87" s="61" t="str">
        <f aca="false">Y87</f>
        <v>dhaniya patta</v>
      </c>
      <c r="AM87" s="81" t="str">
        <f aca="false">"a = Client().post('"&amp;W87&amp;"', {'recipe' : '"&amp;V87&amp;"', 'ingredient' : '"&amp;Z87&amp;"', 'name' : '"&amp;X87&amp;"', 'mass_unit' : '"&amp;AC87&amp;"', 'mass_quantity' : '"&amp;ROUND(AA87,3)&amp;"', 'volume_unit' : '"&amp;AF87&amp;"', 'volume_quantity' : '"&amp;ROUND(AD87,3)&amp;"', 'pieces_unit' : '"&amp;AI87&amp;"', 'pieces_quantity' : '"&amp;ROUND(AG87,3)&amp;"', 'cooking_notes' : '"&amp;AJ87&amp;"'}).status_code; print('%s :: %s :: %s :: %s :: %s' %(a,"&amp;G87&amp;",'"&amp;X87&amp;"','"&amp;Y87&amp;"','"&amp;U87&amp;"'))"</f>
        <v>a = Client().post('/recipes/kakdi-singdana-salad/detail/', {'recipe' : '92', 'ingredient' : '66', 'name' : 'Dhania patta', 'mass_unit' : '2', 'mass_quantity' : '0', 'volume_unit' : '1', 'volume_quantity' : '2', 'pieces_unit' : '3', 'pieces_quantity' : '0', 'cooking_notes' : ''}).status_code; print('%s :: %s :: %s :: %s :: %s' %(a,87,'Dhania patta','dhaniya patta','Kakdi singdana salad'))</v>
      </c>
      <c r="AMJ87" s="0"/>
    </row>
    <row r="88" s="113" customFormat="true" ht="15" hidden="false" customHeight="false" outlineLevel="0" collapsed="false">
      <c r="A88" s="0"/>
      <c r="B88" s="0"/>
      <c r="C88" s="0"/>
      <c r="D88" s="0"/>
      <c r="E88" s="0"/>
      <c r="F88" s="0"/>
      <c r="G88" s="80" t="n">
        <v>88</v>
      </c>
      <c r="H88" s="125" t="s">
        <v>85</v>
      </c>
      <c r="I88" s="112" t="s">
        <v>78</v>
      </c>
      <c r="J88" s="128" t="s">
        <v>85</v>
      </c>
      <c r="K88" s="110" t="n">
        <v>2.5</v>
      </c>
      <c r="L88" s="110" t="s">
        <v>7</v>
      </c>
      <c r="M88" s="71"/>
      <c r="N88" s="71"/>
      <c r="O88" s="71"/>
      <c r="P88" s="71"/>
      <c r="Q88" s="111"/>
      <c r="R88" s="112" t="str">
        <f aca="false">VLOOKUP(J88,ingredient!$N$4:$O$553,2,0)</f>
        <v>rocket leaves</v>
      </c>
      <c r="U88" s="81" t="str">
        <f aca="false">I88</f>
        <v>Kakdi singdana salad</v>
      </c>
      <c r="V88" s="81" t="n">
        <f aca="false">VLOOKUP(U88,recipe_ingred_list!$A$2:$B$300,2,0)</f>
        <v>92</v>
      </c>
      <c r="W88" s="81" t="str">
        <f aca="false">"/recipes/"&amp;VLOOKUP(U88,recipe_ingred_list!$A$2:$C$300,3,0)&amp;"/detail/"</f>
        <v>/recipes/kakdi-singdana-salad/detail/</v>
      </c>
      <c r="X88" s="81" t="str">
        <f aca="false">J88</f>
        <v>Rocket leaves</v>
      </c>
      <c r="Y88" s="81" t="str">
        <f aca="false">R88</f>
        <v>rocket leaves</v>
      </c>
      <c r="Z88" s="94" t="n">
        <f aca="false">VLOOKUP(Y88,recipe_ingred_list!$D$2:$E$500,2,0)</f>
        <v>218</v>
      </c>
      <c r="AA88" s="61" t="n">
        <f aca="false">K88</f>
        <v>2.5</v>
      </c>
      <c r="AB88" s="61" t="str">
        <f aca="false">L88</f>
        <v>kg</v>
      </c>
      <c r="AC88" s="61" t="n">
        <f aca="false">VLOOKUP(AB88,recipe_ingred_list!$K$2:$M$7,3,0)</f>
        <v>2</v>
      </c>
      <c r="AD88" s="61" t="n">
        <f aca="false">M88</f>
        <v>0</v>
      </c>
      <c r="AE88" s="61" t="n">
        <f aca="false">N88</f>
        <v>0</v>
      </c>
      <c r="AF88" s="61" t="n">
        <f aca="false">VLOOKUP(AE88,recipe_ingred_list!$K$16:$M$25,3,0)</f>
        <v>1</v>
      </c>
      <c r="AG88" s="61" t="n">
        <f aca="false">O88</f>
        <v>0</v>
      </c>
      <c r="AH88" s="61" t="n">
        <f aca="false">P88</f>
        <v>0</v>
      </c>
      <c r="AI88" s="61" t="n">
        <f aca="false">VLOOKUP(AH88,recipe_ingred_list!$K$29:$M$34,3,0)</f>
        <v>3</v>
      </c>
      <c r="AJ88" s="61" t="str">
        <f aca="false">IF(Q88="","",Q88)</f>
        <v/>
      </c>
      <c r="AK88" s="61" t="n">
        <f aca="false">AK87+1</f>
        <v>88</v>
      </c>
      <c r="AL88" s="61" t="str">
        <f aca="false">Y88</f>
        <v>rocket leaves</v>
      </c>
      <c r="AM88" s="81" t="str">
        <f aca="false">"a = Client().post('"&amp;W88&amp;"', {'recipe' : '"&amp;V88&amp;"', 'ingredient' : '"&amp;Z88&amp;"', 'name' : '"&amp;X88&amp;"', 'mass_unit' : '"&amp;AC88&amp;"', 'mass_quantity' : '"&amp;ROUND(AA88,3)&amp;"', 'volume_unit' : '"&amp;AF88&amp;"', 'volume_quantity' : '"&amp;ROUND(AD88,3)&amp;"', 'pieces_unit' : '"&amp;AI88&amp;"', 'pieces_quantity' : '"&amp;ROUND(AG88,3)&amp;"', 'cooking_notes' : '"&amp;AJ88&amp;"'}).status_code; print('%s :: %s :: %s :: %s :: %s' %(a,"&amp;G88&amp;",'"&amp;X88&amp;"','"&amp;Y88&amp;"','"&amp;U88&amp;"'))"</f>
        <v>a = Client().post('/recipes/kakdi-singdana-salad/detail/', {'recipe' : '92', 'ingredient' : '218', 'name' : 'Rocket leaves', 'mass_unit' : '2', 'mass_quantity' : '2.5', 'volume_unit' : '1', 'volume_quantity' : '0', 'pieces_unit' : '3', 'pieces_quantity' : '0', 'cooking_notes' : ''}).status_code; print('%s :: %s :: %s :: %s :: %s' %(a,88,'Rocket leaves','rocket leaves','Kakdi singdana salad'))</v>
      </c>
      <c r="AMJ88" s="0"/>
    </row>
    <row r="89" s="113" customFormat="true" ht="15" hidden="false" customHeight="false" outlineLevel="0" collapsed="false">
      <c r="A89" s="0"/>
      <c r="B89" s="0"/>
      <c r="C89" s="0"/>
      <c r="D89" s="0"/>
      <c r="E89" s="0"/>
      <c r="F89" s="0"/>
      <c r="G89" s="80" t="n">
        <v>89</v>
      </c>
      <c r="H89" s="125" t="s">
        <v>86</v>
      </c>
      <c r="I89" s="112" t="s">
        <v>78</v>
      </c>
      <c r="J89" s="128" t="s">
        <v>86</v>
      </c>
      <c r="K89" s="71"/>
      <c r="L89" s="71"/>
      <c r="M89" s="110" t="n">
        <v>1</v>
      </c>
      <c r="N89" s="110" t="s">
        <v>13</v>
      </c>
      <c r="O89" s="71"/>
      <c r="P89" s="71"/>
      <c r="Q89" s="111"/>
      <c r="R89" s="112" t="str">
        <f aca="false">VLOOKUP(J89,ingredient!$N$4:$O$553,2,0)</f>
        <v>evoo</v>
      </c>
      <c r="U89" s="81" t="str">
        <f aca="false">I89</f>
        <v>Kakdi singdana salad</v>
      </c>
      <c r="V89" s="81" t="n">
        <f aca="false">VLOOKUP(U89,recipe_ingred_list!$A$2:$B$300,2,0)</f>
        <v>92</v>
      </c>
      <c r="W89" s="81" t="str">
        <f aca="false">"/recipes/"&amp;VLOOKUP(U89,recipe_ingred_list!$A$2:$C$300,3,0)&amp;"/detail/"</f>
        <v>/recipes/kakdi-singdana-salad/detail/</v>
      </c>
      <c r="X89" s="81" t="str">
        <f aca="false">J89</f>
        <v>EVOO</v>
      </c>
      <c r="Y89" s="81" t="str">
        <f aca="false">R89</f>
        <v>evoo</v>
      </c>
      <c r="Z89" s="94" t="n">
        <f aca="false">VLOOKUP(Y89,recipe_ingred_list!$D$2:$E$500,2,0)</f>
        <v>76</v>
      </c>
      <c r="AA89" s="61" t="n">
        <f aca="false">K89</f>
        <v>0</v>
      </c>
      <c r="AB89" s="61" t="n">
        <f aca="false">L89</f>
        <v>0</v>
      </c>
      <c r="AC89" s="61" t="n">
        <f aca="false">VLOOKUP(AB89,recipe_ingred_list!$K$2:$M$7,3,0)</f>
        <v>2</v>
      </c>
      <c r="AD89" s="61" t="n">
        <f aca="false">M89</f>
        <v>1</v>
      </c>
      <c r="AE89" s="61" t="str">
        <f aca="false">N89</f>
        <v>ltr</v>
      </c>
      <c r="AF89" s="61" t="n">
        <f aca="false">VLOOKUP(AE89,recipe_ingred_list!$K$16:$M$25,3,0)</f>
        <v>1</v>
      </c>
      <c r="AG89" s="61" t="n">
        <f aca="false">O89</f>
        <v>0</v>
      </c>
      <c r="AH89" s="61" t="n">
        <f aca="false">P89</f>
        <v>0</v>
      </c>
      <c r="AI89" s="61" t="n">
        <f aca="false">VLOOKUP(AH89,recipe_ingred_list!$K$29:$M$34,3,0)</f>
        <v>3</v>
      </c>
      <c r="AJ89" s="61" t="str">
        <f aca="false">IF(Q89="","",Q89)</f>
        <v/>
      </c>
      <c r="AK89" s="61" t="n">
        <f aca="false">AK88+1</f>
        <v>89</v>
      </c>
      <c r="AL89" s="61" t="str">
        <f aca="false">Y89</f>
        <v>evoo</v>
      </c>
      <c r="AM89" s="81" t="str">
        <f aca="false">"a = Client().post('"&amp;W89&amp;"', {'recipe' : '"&amp;V89&amp;"', 'ingredient' : '"&amp;Z89&amp;"', 'name' : '"&amp;X89&amp;"', 'mass_unit' : '"&amp;AC89&amp;"', 'mass_quantity' : '"&amp;ROUND(AA89,3)&amp;"', 'volume_unit' : '"&amp;AF89&amp;"', 'volume_quantity' : '"&amp;ROUND(AD89,3)&amp;"', 'pieces_unit' : '"&amp;AI89&amp;"', 'pieces_quantity' : '"&amp;ROUND(AG89,3)&amp;"', 'cooking_notes' : '"&amp;AJ89&amp;"'}).status_code; print('%s :: %s :: %s :: %s :: %s' %(a,"&amp;G89&amp;",'"&amp;X89&amp;"','"&amp;Y89&amp;"','"&amp;U89&amp;"'))"</f>
        <v>a = Client().post('/recipes/kakdi-singdana-salad/detail/', {'recipe' : '92', 'ingredient' : '76', 'name' : 'EVOO', 'mass_unit' : '2', 'mass_quantity' : '0', 'volume_unit' : '1', 'volume_quantity' : '1', 'pieces_unit' : '3', 'pieces_quantity' : '0', 'cooking_notes' : ''}).status_code; print('%s :: %s :: %s :: %s :: %s' %(a,89,'EVOO','evoo','Kakdi singdana salad'))</v>
      </c>
      <c r="AMJ89" s="0"/>
    </row>
    <row r="90" s="113" customFormat="true" ht="15" hidden="false" customHeight="false" outlineLevel="0" collapsed="false">
      <c r="A90" s="0"/>
      <c r="B90" s="0"/>
      <c r="C90" s="0"/>
      <c r="D90" s="0"/>
      <c r="E90" s="0"/>
      <c r="F90" s="0"/>
      <c r="G90" s="80" t="n">
        <v>90</v>
      </c>
      <c r="H90" s="125" t="s">
        <v>130</v>
      </c>
      <c r="I90" s="112" t="s">
        <v>78</v>
      </c>
      <c r="J90" s="128" t="s">
        <v>88</v>
      </c>
      <c r="K90" s="110" t="n">
        <v>5</v>
      </c>
      <c r="L90" s="110" t="s">
        <v>7</v>
      </c>
      <c r="M90" s="71"/>
      <c r="N90" s="71"/>
      <c r="O90" s="71"/>
      <c r="P90" s="71"/>
      <c r="Q90" s="111"/>
      <c r="R90" s="112" t="str">
        <f aca="false">VLOOKUP(J90,ingredient!$N$4:$O$553,2,0)</f>
        <v>alu</v>
      </c>
      <c r="U90" s="81" t="str">
        <f aca="false">I90</f>
        <v>Kakdi singdana salad</v>
      </c>
      <c r="V90" s="81" t="n">
        <f aca="false">VLOOKUP(U90,recipe_ingred_list!$A$2:$B$300,2,0)</f>
        <v>92</v>
      </c>
      <c r="W90" s="81" t="str">
        <f aca="false">"/recipes/"&amp;VLOOKUP(U90,recipe_ingred_list!$A$2:$C$300,3,0)&amp;"/detail/"</f>
        <v>/recipes/kakdi-singdana-salad/detail/</v>
      </c>
      <c r="X90" s="81" t="str">
        <f aca="false">J90</f>
        <v>Boiled alu</v>
      </c>
      <c r="Y90" s="81" t="str">
        <f aca="false">R90</f>
        <v>alu</v>
      </c>
      <c r="Z90" s="94" t="n">
        <f aca="false">VLOOKUP(Y90,recipe_ingred_list!$D$2:$E$500,2,0)</f>
        <v>8</v>
      </c>
      <c r="AA90" s="61" t="n">
        <f aca="false">K90</f>
        <v>5</v>
      </c>
      <c r="AB90" s="61" t="str">
        <f aca="false">L90</f>
        <v>kg</v>
      </c>
      <c r="AC90" s="61" t="n">
        <f aca="false">VLOOKUP(AB90,recipe_ingred_list!$K$2:$M$7,3,0)</f>
        <v>2</v>
      </c>
      <c r="AD90" s="61" t="n">
        <f aca="false">M90</f>
        <v>0</v>
      </c>
      <c r="AE90" s="61" t="n">
        <f aca="false">N90</f>
        <v>0</v>
      </c>
      <c r="AF90" s="61" t="n">
        <f aca="false">VLOOKUP(AE90,recipe_ingred_list!$K$16:$M$25,3,0)</f>
        <v>1</v>
      </c>
      <c r="AG90" s="61" t="n">
        <f aca="false">O90</f>
        <v>0</v>
      </c>
      <c r="AH90" s="61" t="n">
        <f aca="false">P90</f>
        <v>0</v>
      </c>
      <c r="AI90" s="61" t="n">
        <f aca="false">VLOOKUP(AH90,recipe_ingred_list!$K$29:$M$34,3,0)</f>
        <v>3</v>
      </c>
      <c r="AJ90" s="61" t="str">
        <f aca="false">IF(Q90="","",Q90)</f>
        <v/>
      </c>
      <c r="AK90" s="61" t="n">
        <f aca="false">AK89+1</f>
        <v>90</v>
      </c>
      <c r="AL90" s="61" t="str">
        <f aca="false">Y90</f>
        <v>alu</v>
      </c>
      <c r="AM90" s="81" t="str">
        <f aca="false">"a = Client().post('"&amp;W90&amp;"', {'recipe' : '"&amp;V90&amp;"', 'ingredient' : '"&amp;Z90&amp;"', 'name' : '"&amp;X90&amp;"', 'mass_unit' : '"&amp;AC90&amp;"', 'mass_quantity' : '"&amp;ROUND(AA90,3)&amp;"', 'volume_unit' : '"&amp;AF90&amp;"', 'volume_quantity' : '"&amp;ROUND(AD90,3)&amp;"', 'pieces_unit' : '"&amp;AI90&amp;"', 'pieces_quantity' : '"&amp;ROUND(AG90,3)&amp;"', 'cooking_notes' : '"&amp;AJ90&amp;"'}).status_code; print('%s :: %s :: %s :: %s :: %s' %(a,"&amp;G90&amp;",'"&amp;X90&amp;"','"&amp;Y90&amp;"','"&amp;U90&amp;"'))"</f>
        <v>a = Client().post('/recipes/kakdi-singdana-salad/detail/', {'recipe' : '92', 'ingredient' : '8', 'name' : 'Boiled alu', 'mass_unit' : '2', 'mass_quantity' : '5', 'volume_unit' : '1', 'volume_quantity' : '0', 'pieces_unit' : '3', 'pieces_quantity' : '0', 'cooking_notes' : ''}).status_code; print('%s :: %s :: %s :: %s :: %s' %(a,90,'Boiled alu','alu','Kakdi singdana salad'))</v>
      </c>
      <c r="AMJ90" s="0"/>
    </row>
    <row r="91" s="113" customFormat="true" ht="15" hidden="false" customHeight="false" outlineLevel="0" collapsed="false">
      <c r="A91" s="0"/>
      <c r="B91" s="0"/>
      <c r="C91" s="0"/>
      <c r="D91" s="0"/>
      <c r="E91" s="0"/>
      <c r="F91" s="0"/>
      <c r="G91" s="80" t="n">
        <v>91</v>
      </c>
      <c r="H91" s="125" t="s">
        <v>26</v>
      </c>
      <c r="I91" s="112" t="s">
        <v>78</v>
      </c>
      <c r="J91" s="125" t="s">
        <v>26</v>
      </c>
      <c r="K91" s="71"/>
      <c r="L91" s="71"/>
      <c r="M91" s="110" t="n">
        <v>1.14</v>
      </c>
      <c r="N91" s="110" t="s">
        <v>27</v>
      </c>
      <c r="O91" s="71"/>
      <c r="P91" s="71"/>
      <c r="Q91" s="111"/>
      <c r="R91" s="112" t="e">
        <f aca="false">VLOOKUP(J91,ingredient!$N$4:$O$553,2,0)</f>
        <v>#N/A</v>
      </c>
      <c r="U91" s="81" t="str">
        <f aca="false">I91</f>
        <v>Kakdi singdana salad</v>
      </c>
      <c r="V91" s="81" t="n">
        <f aca="false">VLOOKUP(U91,recipe_ingred_list!$A$2:$B$300,2,0)</f>
        <v>92</v>
      </c>
      <c r="W91" s="81" t="str">
        <f aca="false">"/recipes/"&amp;VLOOKUP(U91,recipe_ingred_list!$A$2:$C$300,3,0)&amp;"/detail/"</f>
        <v>/recipes/kakdi-singdana-salad/detail/</v>
      </c>
      <c r="X91" s="81" t="str">
        <f aca="false">J91</f>
        <v>YIELD</v>
      </c>
      <c r="Y91" s="81" t="e">
        <f aca="false">R91</f>
        <v>#N/A</v>
      </c>
      <c r="Z91" s="94" t="e">
        <f aca="false">VLOOKUP(Y91,recipe_ingred_list!$D$2:$E$500,2,0)</f>
        <v>#N/A</v>
      </c>
      <c r="AA91" s="61" t="n">
        <f aca="false">K91</f>
        <v>0</v>
      </c>
      <c r="AB91" s="61" t="n">
        <f aca="false">L91</f>
        <v>0</v>
      </c>
      <c r="AC91" s="61" t="n">
        <f aca="false">VLOOKUP(AB91,recipe_ingred_list!$K$2:$M$7,3,0)</f>
        <v>2</v>
      </c>
      <c r="AD91" s="61" t="n">
        <f aca="false">M91</f>
        <v>1.14</v>
      </c>
      <c r="AE91" s="61" t="str">
        <f aca="false">N91</f>
        <v>tub</v>
      </c>
      <c r="AF91" s="61" t="n">
        <f aca="false">VLOOKUP(AE91,recipe_ingred_list!$K$16:$M$25,3,0)</f>
        <v>4</v>
      </c>
      <c r="AG91" s="61" t="n">
        <f aca="false">O91</f>
        <v>0</v>
      </c>
      <c r="AH91" s="61" t="n">
        <f aca="false">P91</f>
        <v>0</v>
      </c>
      <c r="AI91" s="61" t="n">
        <f aca="false">VLOOKUP(AH91,recipe_ingred_list!$K$29:$M$34,3,0)</f>
        <v>3</v>
      </c>
      <c r="AJ91" s="61" t="str">
        <f aca="false">IF(Q91="","",Q91)</f>
        <v/>
      </c>
      <c r="AK91" s="61" t="n">
        <f aca="false">AK90+1</f>
        <v>91</v>
      </c>
      <c r="AL91" s="61" t="e">
        <f aca="false">Y91</f>
        <v>#N/A</v>
      </c>
      <c r="AM91" s="81" t="e">
        <f aca="false">"a = Client().post('"&amp;W91&amp;"', {'recipe' : '"&amp;V91&amp;"', 'ingredient' : '"&amp;Z91&amp;"', 'name' : '"&amp;X91&amp;"', 'mass_unit' : '"&amp;AC91&amp;"', 'mass_quantity' : '"&amp;ROUND(AA91,3)&amp;"', 'volume_unit' : '"&amp;AF91&amp;"', 'volume_quantity' : '"&amp;ROUND(AD91,3)&amp;"', 'pieces_unit' : '"&amp;AI91&amp;"', 'pieces_quantity' : '"&amp;ROUND(AG91,3)&amp;"', 'cooking_notes' : '"&amp;AJ91&amp;"'}).status_code; print('%s :: %s :: %s :: %s :: %s' %(a,"&amp;G91&amp;",'"&amp;X91&amp;"','"&amp;Y91&amp;"','"&amp;U91&amp;"'))"</f>
        <v>#N/A</v>
      </c>
      <c r="AMJ91" s="0"/>
    </row>
    <row r="92" s="113" customFormat="true" ht="15" hidden="false" customHeight="false" outlineLevel="0" collapsed="false">
      <c r="A92" s="0"/>
      <c r="B92" s="0"/>
      <c r="C92" s="0"/>
      <c r="D92" s="0"/>
      <c r="E92" s="0"/>
      <c r="F92" s="0"/>
      <c r="G92" s="80" t="n">
        <v>92</v>
      </c>
      <c r="H92" s="125" t="s">
        <v>26</v>
      </c>
      <c r="I92" s="112" t="s">
        <v>78</v>
      </c>
      <c r="J92" s="125" t="s">
        <v>26</v>
      </c>
      <c r="K92" s="71"/>
      <c r="L92" s="71"/>
      <c r="M92" s="110" t="n">
        <v>40</v>
      </c>
      <c r="N92" s="110" t="s">
        <v>13</v>
      </c>
      <c r="O92" s="71"/>
      <c r="P92" s="71"/>
      <c r="Q92" s="111"/>
      <c r="R92" s="112" t="e">
        <f aca="false">VLOOKUP(J92,ingredient!$N$4:$O$553,2,0)</f>
        <v>#N/A</v>
      </c>
      <c r="U92" s="81" t="str">
        <f aca="false">I92</f>
        <v>Kakdi singdana salad</v>
      </c>
      <c r="V92" s="81" t="n">
        <f aca="false">VLOOKUP(U92,recipe_ingred_list!$A$2:$B$300,2,0)</f>
        <v>92</v>
      </c>
      <c r="W92" s="81" t="str">
        <f aca="false">"/recipes/"&amp;VLOOKUP(U92,recipe_ingred_list!$A$2:$C$300,3,0)&amp;"/detail/"</f>
        <v>/recipes/kakdi-singdana-salad/detail/</v>
      </c>
      <c r="X92" s="81" t="str">
        <f aca="false">J92</f>
        <v>YIELD</v>
      </c>
      <c r="Y92" s="81" t="e">
        <f aca="false">R92</f>
        <v>#N/A</v>
      </c>
      <c r="Z92" s="94" t="e">
        <f aca="false">VLOOKUP(Y92,recipe_ingred_list!$D$2:$E$500,2,0)</f>
        <v>#N/A</v>
      </c>
      <c r="AA92" s="61" t="n">
        <f aca="false">K92</f>
        <v>0</v>
      </c>
      <c r="AB92" s="61" t="n">
        <f aca="false">L92</f>
        <v>0</v>
      </c>
      <c r="AC92" s="61" t="n">
        <f aca="false">VLOOKUP(AB92,recipe_ingred_list!$K$2:$M$7,3,0)</f>
        <v>2</v>
      </c>
      <c r="AD92" s="61" t="n">
        <f aca="false">M92</f>
        <v>40</v>
      </c>
      <c r="AE92" s="61" t="str">
        <f aca="false">N92</f>
        <v>ltr</v>
      </c>
      <c r="AF92" s="61" t="n">
        <f aca="false">VLOOKUP(AE92,recipe_ingred_list!$K$16:$M$25,3,0)</f>
        <v>1</v>
      </c>
      <c r="AG92" s="61" t="n">
        <f aca="false">O92</f>
        <v>0</v>
      </c>
      <c r="AH92" s="61" t="n">
        <f aca="false">P92</f>
        <v>0</v>
      </c>
      <c r="AI92" s="61" t="n">
        <f aca="false">VLOOKUP(AH92,recipe_ingred_list!$K$29:$M$34,3,0)</f>
        <v>3</v>
      </c>
      <c r="AJ92" s="61" t="str">
        <f aca="false">IF(Q92="","",Q92)</f>
        <v/>
      </c>
      <c r="AK92" s="61" t="n">
        <f aca="false">AK91+1</f>
        <v>92</v>
      </c>
      <c r="AL92" s="61" t="e">
        <f aca="false">Y92</f>
        <v>#N/A</v>
      </c>
      <c r="AM92" s="81" t="e">
        <f aca="false">"a = Client().post('"&amp;W92&amp;"', {'recipe' : '"&amp;V92&amp;"', 'ingredient' : '"&amp;Z92&amp;"', 'name' : '"&amp;X92&amp;"', 'mass_unit' : '"&amp;AC92&amp;"', 'mass_quantity' : '"&amp;ROUND(AA92,3)&amp;"', 'volume_unit' : '"&amp;AF92&amp;"', 'volume_quantity' : '"&amp;ROUND(AD92,3)&amp;"', 'pieces_unit' : '"&amp;AI92&amp;"', 'pieces_quantity' : '"&amp;ROUND(AG92,3)&amp;"', 'cooking_notes' : '"&amp;AJ92&amp;"'}).status_code; print('%s :: %s :: %s :: %s :: %s' %(a,"&amp;G92&amp;",'"&amp;X92&amp;"','"&amp;Y92&amp;"','"&amp;U92&amp;"'))"</f>
        <v>#N/A</v>
      </c>
      <c r="AMJ92" s="0"/>
    </row>
    <row r="93" s="113" customFormat="true" ht="15.65" hidden="false" customHeight="false" outlineLevel="0" collapsed="false">
      <c r="A93" s="0"/>
      <c r="B93" s="0"/>
      <c r="C93" s="0"/>
      <c r="D93" s="0"/>
      <c r="E93" s="0"/>
      <c r="F93" s="0"/>
      <c r="G93" s="80" t="n">
        <v>93</v>
      </c>
      <c r="H93" s="132" t="s">
        <v>533</v>
      </c>
      <c r="I93" s="112" t="s">
        <v>78</v>
      </c>
      <c r="J93" s="132" t="s">
        <v>90</v>
      </c>
      <c r="K93" s="129" t="n">
        <v>0.5</v>
      </c>
      <c r="L93" s="129" t="s">
        <v>7</v>
      </c>
      <c r="M93" s="71"/>
      <c r="N93" s="71"/>
      <c r="O93" s="71"/>
      <c r="P93" s="71"/>
      <c r="Q93" s="111"/>
      <c r="R93" s="112" t="str">
        <f aca="false">VLOOKUP(J93,ingredient!$N$4:$O$553,2,0)</f>
        <v>coal</v>
      </c>
      <c r="U93" s="81" t="str">
        <f aca="false">I93</f>
        <v>Kakdi singdana salad</v>
      </c>
      <c r="V93" s="81" t="n">
        <f aca="false">VLOOKUP(U93,recipe_ingred_list!$A$2:$B$300,2,0)</f>
        <v>92</v>
      </c>
      <c r="W93" s="81" t="str">
        <f aca="false">"/recipes/"&amp;VLOOKUP(U93,recipe_ingred_list!$A$2:$C$300,3,0)&amp;"/detail/"</f>
        <v>/recipes/kakdi-singdana-salad/detail/</v>
      </c>
      <c r="X93" s="81" t="str">
        <f aca="false">J93</f>
        <v>Coal for smoke flavor</v>
      </c>
      <c r="Y93" s="81" t="str">
        <f aca="false">R93</f>
        <v>coal</v>
      </c>
      <c r="Z93" s="94" t="n">
        <f aca="false">VLOOKUP(Y93,recipe_ingred_list!$D$2:$E$500,2,0)</f>
        <v>219</v>
      </c>
      <c r="AA93" s="61" t="n">
        <f aca="false">K93</f>
        <v>0.5</v>
      </c>
      <c r="AB93" s="61" t="str">
        <f aca="false">L93</f>
        <v>kg</v>
      </c>
      <c r="AC93" s="61" t="n">
        <f aca="false">VLOOKUP(AB93,recipe_ingred_list!$K$2:$M$7,3,0)</f>
        <v>2</v>
      </c>
      <c r="AD93" s="61" t="n">
        <f aca="false">M93</f>
        <v>0</v>
      </c>
      <c r="AE93" s="61" t="n">
        <f aca="false">N93</f>
        <v>0</v>
      </c>
      <c r="AF93" s="61" t="n">
        <f aca="false">VLOOKUP(AE93,recipe_ingred_list!$K$16:$M$25,3,0)</f>
        <v>1</v>
      </c>
      <c r="AG93" s="61" t="n">
        <f aca="false">O93</f>
        <v>0</v>
      </c>
      <c r="AH93" s="61" t="n">
        <f aca="false">P93</f>
        <v>0</v>
      </c>
      <c r="AI93" s="61" t="n">
        <f aca="false">VLOOKUP(AH93,recipe_ingred_list!$K$29:$M$34,3,0)</f>
        <v>3</v>
      </c>
      <c r="AJ93" s="61" t="str">
        <f aca="false">IF(Q93="","",Q93)</f>
        <v/>
      </c>
      <c r="AK93" s="61" t="n">
        <f aca="false">AK92+1</f>
        <v>93</v>
      </c>
      <c r="AL93" s="61" t="str">
        <f aca="false">Y93</f>
        <v>coal</v>
      </c>
      <c r="AM93" s="81" t="str">
        <f aca="false">"a = Client().post('"&amp;W93&amp;"', {'recipe' : '"&amp;V93&amp;"', 'ingredient' : '"&amp;Z93&amp;"', 'name' : '"&amp;X93&amp;"', 'mass_unit' : '"&amp;AC93&amp;"', 'mass_quantity' : '"&amp;ROUND(AA93,3)&amp;"', 'volume_unit' : '"&amp;AF93&amp;"', 'volume_quantity' : '"&amp;ROUND(AD93,3)&amp;"', 'pieces_unit' : '"&amp;AI93&amp;"', 'pieces_quantity' : '"&amp;ROUND(AG93,3)&amp;"', 'cooking_notes' : '"&amp;AJ93&amp;"'}).status_code; print('%s :: %s :: %s :: %s :: %s' %(a,"&amp;G93&amp;",'"&amp;X93&amp;"','"&amp;Y93&amp;"','"&amp;U93&amp;"'))"</f>
        <v>a = Client().post('/recipes/kakdi-singdana-salad/detail/', {'recipe' : '92', 'ingredient' : '219', 'name' : 'Coal for smoke flavor', 'mass_unit' : '2', 'mass_quantity' : '0.5', 'volume_unit' : '1', 'volume_quantity' : '0', 'pieces_unit' : '3', 'pieces_quantity' : '0', 'cooking_notes' : ''}).status_code; print('%s :: %s :: %s :: %s :: %s' %(a,93,'Coal for smoke flavor','coal','Kakdi singdana salad'))</v>
      </c>
      <c r="AMJ93" s="0"/>
    </row>
    <row r="94" customFormat="false" ht="15" hidden="false" customHeight="false" outlineLevel="0" collapsed="false">
      <c r="G94" s="80" t="n">
        <v>94</v>
      </c>
      <c r="H94" s="133"/>
      <c r="I94" s="99"/>
      <c r="J94" s="133"/>
      <c r="K94" s="124"/>
      <c r="L94" s="124"/>
      <c r="M94" s="100"/>
      <c r="N94" s="100"/>
      <c r="O94" s="101"/>
      <c r="P94" s="100"/>
      <c r="Q94" s="102"/>
      <c r="R94" s="99" t="e">
        <f aca="false">VLOOKUP(J94,ingredient!$N$4:$O$553,2,0)</f>
        <v>#N/A</v>
      </c>
      <c r="S94" s="98"/>
      <c r="T94" s="98"/>
      <c r="U94" s="81" t="n">
        <f aca="false">I94</f>
        <v>0</v>
      </c>
      <c r="V94" s="81" t="e">
        <f aca="false">VLOOKUP(U94,recipe_ingred_list!$A$2:$B$300,2,0)</f>
        <v>#N/A</v>
      </c>
      <c r="W94" s="81" t="e">
        <f aca="false">"/recipes/"&amp;VLOOKUP(U94,recipe_ingred_list!$A$2:$C$300,3,0)&amp;"/detail/"</f>
        <v>#N/A</v>
      </c>
      <c r="X94" s="81" t="n">
        <f aca="false">J94</f>
        <v>0</v>
      </c>
      <c r="Y94" s="81" t="e">
        <f aca="false">R94</f>
        <v>#N/A</v>
      </c>
      <c r="Z94" s="94" t="e">
        <f aca="false">VLOOKUP(Y94,recipe_ingred_list!$D$2:$E$500,2,0)</f>
        <v>#N/A</v>
      </c>
      <c r="AA94" s="61" t="n">
        <f aca="false">K94</f>
        <v>0</v>
      </c>
      <c r="AB94" s="61" t="n">
        <f aca="false">L94</f>
        <v>0</v>
      </c>
      <c r="AC94" s="61" t="n">
        <f aca="false">VLOOKUP(AB94,recipe_ingred_list!$K$2:$M$7,3,0)</f>
        <v>2</v>
      </c>
      <c r="AD94" s="61" t="n">
        <f aca="false">M94</f>
        <v>0</v>
      </c>
      <c r="AE94" s="61" t="n">
        <f aca="false">N94</f>
        <v>0</v>
      </c>
      <c r="AF94" s="61" t="n">
        <f aca="false">VLOOKUP(AE94,recipe_ingred_list!$K$16:$M$25,3,0)</f>
        <v>1</v>
      </c>
      <c r="AG94" s="61" t="n">
        <f aca="false">O94</f>
        <v>0</v>
      </c>
      <c r="AH94" s="61" t="n">
        <f aca="false">P94</f>
        <v>0</v>
      </c>
      <c r="AI94" s="61" t="n">
        <f aca="false">VLOOKUP(AH94,recipe_ingred_list!$K$29:$M$34,3,0)</f>
        <v>3</v>
      </c>
      <c r="AJ94" s="61" t="str">
        <f aca="false">IF(Q94="","",Q94)</f>
        <v/>
      </c>
      <c r="AK94" s="61" t="n">
        <f aca="false">AK93+1</f>
        <v>94</v>
      </c>
      <c r="AL94" s="61" t="e">
        <f aca="false">Y94</f>
        <v>#N/A</v>
      </c>
      <c r="AM94" s="81" t="e">
        <f aca="false">"a = Client().post('"&amp;W94&amp;"', {'recipe' : '"&amp;V94&amp;"', 'ingredient' : '"&amp;Z94&amp;"', 'name' : '"&amp;X94&amp;"', 'mass_unit' : '"&amp;AC94&amp;"', 'mass_quantity' : '"&amp;ROUND(AA94,3)&amp;"', 'volume_unit' : '"&amp;AF94&amp;"', 'volume_quantity' : '"&amp;ROUND(AD94,3)&amp;"', 'pieces_unit' : '"&amp;AI94&amp;"', 'pieces_quantity' : '"&amp;ROUND(AG94,3)&amp;"', 'cooking_notes' : '"&amp;AJ94&amp;"'}).status_code; print('%s :: %s :: %s :: %s :: %s' %(a,"&amp;G94&amp;",'"&amp;X94&amp;"','"&amp;Y94&amp;"','"&amp;U94&amp;"'))"</f>
        <v>#N/A</v>
      </c>
    </row>
    <row r="95" s="113" customFormat="true" ht="15" hidden="false" customHeight="false" outlineLevel="0" collapsed="false">
      <c r="A95" s="0"/>
      <c r="B95" s="0"/>
      <c r="C95" s="0"/>
      <c r="D95" s="0"/>
      <c r="E95" s="0"/>
      <c r="F95" s="0"/>
      <c r="G95" s="80" t="n">
        <v>95</v>
      </c>
      <c r="H95" s="125" t="s">
        <v>92</v>
      </c>
      <c r="I95" s="134" t="s">
        <v>91</v>
      </c>
      <c r="J95" s="128" t="s">
        <v>92</v>
      </c>
      <c r="K95" s="110" t="n">
        <v>0</v>
      </c>
      <c r="L95" s="110" t="s">
        <v>7</v>
      </c>
      <c r="M95" s="71"/>
      <c r="N95" s="71"/>
      <c r="O95" s="71"/>
      <c r="P95" s="71"/>
      <c r="Q95" s="111"/>
      <c r="R95" s="112" t="str">
        <f aca="false">VLOOKUP(J95,ingredient!$N$4:$O$553,2,0)</f>
        <v>gound nut oil</v>
      </c>
      <c r="U95" s="81" t="str">
        <f aca="false">I95</f>
        <v>Potato chips</v>
      </c>
      <c r="V95" s="81" t="n">
        <f aca="false">VLOOKUP(U95,recipe_ingred_list!$A$2:$B$300,2,0)</f>
        <v>93</v>
      </c>
      <c r="W95" s="81" t="str">
        <f aca="false">"/recipes/"&amp;VLOOKUP(U95,recipe_ingred_list!$A$2:$C$300,3,0)&amp;"/detail/"</f>
        <v>/recipes/potato-chips/detail/</v>
      </c>
      <c r="X95" s="81" t="str">
        <f aca="false">J95</f>
        <v>oil for frying</v>
      </c>
      <c r="Y95" s="81" t="str">
        <f aca="false">R95</f>
        <v>gound nut oil</v>
      </c>
      <c r="Z95" s="94" t="n">
        <f aca="false">VLOOKUP(Y95,recipe_ingred_list!$D$2:$E$500,2,0)</f>
        <v>83</v>
      </c>
      <c r="AA95" s="61" t="n">
        <f aca="false">K95</f>
        <v>0</v>
      </c>
      <c r="AB95" s="61" t="str">
        <f aca="false">L95</f>
        <v>kg</v>
      </c>
      <c r="AC95" s="61" t="n">
        <f aca="false">VLOOKUP(AB95,recipe_ingred_list!$K$2:$M$7,3,0)</f>
        <v>2</v>
      </c>
      <c r="AD95" s="61" t="n">
        <f aca="false">M95</f>
        <v>0</v>
      </c>
      <c r="AE95" s="61" t="n">
        <f aca="false">N95</f>
        <v>0</v>
      </c>
      <c r="AF95" s="61" t="n">
        <f aca="false">VLOOKUP(AE95,recipe_ingred_list!$K$16:$M$25,3,0)</f>
        <v>1</v>
      </c>
      <c r="AG95" s="61" t="n">
        <f aca="false">O95</f>
        <v>0</v>
      </c>
      <c r="AH95" s="61" t="n">
        <f aca="false">P95</f>
        <v>0</v>
      </c>
      <c r="AI95" s="61" t="n">
        <f aca="false">VLOOKUP(AH95,recipe_ingred_list!$K$29:$M$34,3,0)</f>
        <v>3</v>
      </c>
      <c r="AJ95" s="61" t="str">
        <f aca="false">IF(Q95="","",Q95)</f>
        <v/>
      </c>
      <c r="AK95" s="61" t="n">
        <f aca="false">AK94+1</f>
        <v>95</v>
      </c>
      <c r="AL95" s="61" t="str">
        <f aca="false">Y95</f>
        <v>gound nut oil</v>
      </c>
      <c r="AM95" s="81" t="str">
        <f aca="false">"a = Client().post('"&amp;W95&amp;"', {'recipe' : '"&amp;V95&amp;"', 'ingredient' : '"&amp;Z95&amp;"', 'name' : '"&amp;X95&amp;"', 'mass_unit' : '"&amp;AC95&amp;"', 'mass_quantity' : '"&amp;ROUND(AA95,3)&amp;"', 'volume_unit' : '"&amp;AF95&amp;"', 'volume_quantity' : '"&amp;ROUND(AD95,3)&amp;"', 'pieces_unit' : '"&amp;AI95&amp;"', 'pieces_quantity' : '"&amp;ROUND(AG95,3)&amp;"', 'cooking_notes' : '"&amp;AJ95&amp;"'}).status_code; print('%s :: %s :: %s :: %s :: %s' %(a,"&amp;G95&amp;",'"&amp;X95&amp;"','"&amp;Y95&amp;"','"&amp;U95&amp;"'))"</f>
        <v>a = Client().post('/recipes/potato-chips/detail/', {'recipe' : '93', 'ingredient' : '83', 'name' : 'oil for frying', 'mass_unit' : '2', 'mass_quantity' : '0', 'volume_unit' : '1', 'volume_quantity' : '0', 'pieces_unit' : '3', 'pieces_quantity' : '0', 'cooking_notes' : ''}).status_code; print('%s :: %s :: %s :: %s :: %s' %(a,95,'oil for frying','gound nut oil','Potato chips'))</v>
      </c>
      <c r="AMJ95" s="0"/>
    </row>
    <row r="96" s="113" customFormat="true" ht="15" hidden="false" customHeight="false" outlineLevel="0" collapsed="false">
      <c r="A96" s="0"/>
      <c r="B96" s="0"/>
      <c r="C96" s="0"/>
      <c r="D96" s="0"/>
      <c r="E96" s="0"/>
      <c r="F96" s="0"/>
      <c r="G96" s="80" t="n">
        <v>96</v>
      </c>
      <c r="H96" s="116" t="s">
        <v>93</v>
      </c>
      <c r="I96" s="134" t="s">
        <v>91</v>
      </c>
      <c r="J96" s="78" t="s">
        <v>93</v>
      </c>
      <c r="K96" s="114" t="n">
        <v>4</v>
      </c>
      <c r="L96" s="114" t="s">
        <v>7</v>
      </c>
      <c r="M96" s="71"/>
      <c r="N96" s="71"/>
      <c r="O96" s="71"/>
      <c r="P96" s="71"/>
      <c r="Q96" s="111"/>
      <c r="R96" s="112" t="str">
        <f aca="false">VLOOKUP(J96,ingredient!$N$4:$O$553,2,0)</f>
        <v>potato chips</v>
      </c>
      <c r="U96" s="81" t="str">
        <f aca="false">I96</f>
        <v>Potato chips</v>
      </c>
      <c r="V96" s="81" t="n">
        <f aca="false">VLOOKUP(U96,recipe_ingred_list!$A$2:$B$300,2,0)</f>
        <v>93</v>
      </c>
      <c r="W96" s="81" t="str">
        <f aca="false">"/recipes/"&amp;VLOOKUP(U96,recipe_ingred_list!$A$2:$C$300,3,0)&amp;"/detail/"</f>
        <v>/recipes/potato-chips/detail/</v>
      </c>
      <c r="X96" s="81" t="str">
        <f aca="false">J96</f>
        <v>Potato Chips</v>
      </c>
      <c r="Y96" s="81" t="str">
        <f aca="false">R96</f>
        <v>potato chips</v>
      </c>
      <c r="Z96" s="94" t="n">
        <f aca="false">VLOOKUP(Y96,recipe_ingred_list!$D$2:$E$500,2,0)</f>
        <v>220</v>
      </c>
      <c r="AA96" s="61" t="n">
        <f aca="false">K96</f>
        <v>4</v>
      </c>
      <c r="AB96" s="61" t="str">
        <f aca="false">L96</f>
        <v>kg</v>
      </c>
      <c r="AC96" s="61" t="n">
        <f aca="false">VLOOKUP(AB96,recipe_ingred_list!$K$2:$M$7,3,0)</f>
        <v>2</v>
      </c>
      <c r="AD96" s="61" t="n">
        <f aca="false">M96</f>
        <v>0</v>
      </c>
      <c r="AE96" s="61" t="n">
        <f aca="false">N96</f>
        <v>0</v>
      </c>
      <c r="AF96" s="61" t="n">
        <f aca="false">VLOOKUP(AE96,recipe_ingred_list!$K$16:$M$25,3,0)</f>
        <v>1</v>
      </c>
      <c r="AG96" s="61" t="n">
        <f aca="false">O96</f>
        <v>0</v>
      </c>
      <c r="AH96" s="61" t="n">
        <f aca="false">P96</f>
        <v>0</v>
      </c>
      <c r="AI96" s="61" t="n">
        <f aca="false">VLOOKUP(AH96,recipe_ingred_list!$K$29:$M$34,3,0)</f>
        <v>3</v>
      </c>
      <c r="AJ96" s="61" t="str">
        <f aca="false">IF(Q96="","",Q96)</f>
        <v/>
      </c>
      <c r="AK96" s="61" t="n">
        <f aca="false">AK95+1</f>
        <v>96</v>
      </c>
      <c r="AL96" s="61" t="str">
        <f aca="false">Y96</f>
        <v>potato chips</v>
      </c>
      <c r="AM96" s="81" t="str">
        <f aca="false">"a = Client().post('"&amp;W96&amp;"', {'recipe' : '"&amp;V96&amp;"', 'ingredient' : '"&amp;Z96&amp;"', 'name' : '"&amp;X96&amp;"', 'mass_unit' : '"&amp;AC96&amp;"', 'mass_quantity' : '"&amp;ROUND(AA96,3)&amp;"', 'volume_unit' : '"&amp;AF96&amp;"', 'volume_quantity' : '"&amp;ROUND(AD96,3)&amp;"', 'pieces_unit' : '"&amp;AI96&amp;"', 'pieces_quantity' : '"&amp;ROUND(AG96,3)&amp;"', 'cooking_notes' : '"&amp;AJ96&amp;"'}).status_code; print('%s :: %s :: %s :: %s :: %s' %(a,"&amp;G96&amp;",'"&amp;X96&amp;"','"&amp;Y96&amp;"','"&amp;U96&amp;"'))"</f>
        <v>a = Client().post('/recipes/potato-chips/detail/', {'recipe' : '93', 'ingredient' : '220', 'name' : 'Potato Chips', 'mass_unit' : '2', 'mass_quantity' : '4', 'volume_unit' : '1', 'volume_quantity' : '0', 'pieces_unit' : '3', 'pieces_quantity' : '0', 'cooking_notes' : ''}).status_code; print('%s :: %s :: %s :: %s :: %s' %(a,96,'Potato Chips','potato chips','Potato chips'))</v>
      </c>
      <c r="AMJ96" s="0"/>
    </row>
    <row r="97" s="113" customFormat="true" ht="15" hidden="false" customHeight="false" outlineLevel="0" collapsed="false">
      <c r="A97" s="0"/>
      <c r="B97" s="0"/>
      <c r="C97" s="0"/>
      <c r="D97" s="0"/>
      <c r="E97" s="0"/>
      <c r="F97" s="0"/>
      <c r="G97" s="80" t="n">
        <v>97</v>
      </c>
      <c r="H97" s="116" t="s">
        <v>94</v>
      </c>
      <c r="I97" s="134" t="s">
        <v>91</v>
      </c>
      <c r="J97" s="135" t="s">
        <v>534</v>
      </c>
      <c r="K97" s="71"/>
      <c r="L97" s="71"/>
      <c r="M97" s="114" t="n">
        <v>0.5</v>
      </c>
      <c r="N97" s="114" t="s">
        <v>20</v>
      </c>
      <c r="O97" s="71"/>
      <c r="P97" s="71"/>
      <c r="Q97" s="111"/>
      <c r="R97" s="112" t="str">
        <f aca="false">VLOOKUP(J97,ingredient!$N$4:$O$553,2,0)</f>
        <v>black pepper</v>
      </c>
      <c r="U97" s="81" t="str">
        <f aca="false">I97</f>
        <v>Potato chips</v>
      </c>
      <c r="V97" s="81" t="n">
        <f aca="false">VLOOKUP(U97,recipe_ingred_list!$A$2:$B$300,2,0)</f>
        <v>93</v>
      </c>
      <c r="W97" s="81" t="str">
        <f aca="false">"/recipes/"&amp;VLOOKUP(U97,recipe_ingred_list!$A$2:$C$300,3,0)&amp;"/detail/"</f>
        <v>/recipes/potato-chips/detail/</v>
      </c>
      <c r="X97" s="81" t="str">
        <f aca="false">J97</f>
        <v>black pepper powder</v>
      </c>
      <c r="Y97" s="81" t="str">
        <f aca="false">R97</f>
        <v>black pepper</v>
      </c>
      <c r="Z97" s="94" t="n">
        <f aca="false">VLOOKUP(Y97,recipe_ingred_list!$D$2:$E$500,2,0)</f>
        <v>31</v>
      </c>
      <c r="AA97" s="61" t="n">
        <f aca="false">K97</f>
        <v>0</v>
      </c>
      <c r="AB97" s="61" t="n">
        <f aca="false">L97</f>
        <v>0</v>
      </c>
      <c r="AC97" s="61" t="n">
        <f aca="false">VLOOKUP(AB97,recipe_ingred_list!$K$2:$M$7,3,0)</f>
        <v>2</v>
      </c>
      <c r="AD97" s="61" t="n">
        <f aca="false">M97</f>
        <v>0.5</v>
      </c>
      <c r="AE97" s="61" t="str">
        <f aca="false">N97</f>
        <v>cup</v>
      </c>
      <c r="AF97" s="61" t="n">
        <f aca="false">VLOOKUP(AE97,recipe_ingred_list!$K$16:$M$25,3,0)</f>
        <v>5</v>
      </c>
      <c r="AG97" s="61" t="n">
        <f aca="false">O97</f>
        <v>0</v>
      </c>
      <c r="AH97" s="61" t="n">
        <f aca="false">P97</f>
        <v>0</v>
      </c>
      <c r="AI97" s="61" t="n">
        <f aca="false">VLOOKUP(AH97,recipe_ingred_list!$K$29:$M$34,3,0)</f>
        <v>3</v>
      </c>
      <c r="AJ97" s="61" t="str">
        <f aca="false">IF(Q97="","",Q97)</f>
        <v/>
      </c>
      <c r="AK97" s="61" t="n">
        <f aca="false">AK96+1</f>
        <v>97</v>
      </c>
      <c r="AL97" s="61" t="str">
        <f aca="false">Y97</f>
        <v>black pepper</v>
      </c>
      <c r="AM97" s="81" t="str">
        <f aca="false">"a = Client().post('"&amp;W97&amp;"', {'recipe' : '"&amp;V97&amp;"', 'ingredient' : '"&amp;Z97&amp;"', 'name' : '"&amp;X97&amp;"', 'mass_unit' : '"&amp;AC97&amp;"', 'mass_quantity' : '"&amp;ROUND(AA97,3)&amp;"', 'volume_unit' : '"&amp;AF97&amp;"', 'volume_quantity' : '"&amp;ROUND(AD97,3)&amp;"', 'pieces_unit' : '"&amp;AI97&amp;"', 'pieces_quantity' : '"&amp;ROUND(AG97,3)&amp;"', 'cooking_notes' : '"&amp;AJ97&amp;"'}).status_code; print('%s :: %s :: %s :: %s :: %s' %(a,"&amp;G97&amp;",'"&amp;X97&amp;"','"&amp;Y97&amp;"','"&amp;U97&amp;"'))"</f>
        <v>a = Client().post('/recipes/potato-chips/detail/', {'recipe' : '93', 'ingredient' : '31', 'name' : 'black pepper powder', 'mass_unit' : '2', 'mass_quantity' : '0', 'volume_unit' : '5', 'volume_quantity' : '0.5', 'pieces_unit' : '3', 'pieces_quantity' : '0', 'cooking_notes' : ''}).status_code; print('%s :: %s :: %s :: %s :: %s' %(a,97,'black pepper powder','black pepper','Potato chips'))</v>
      </c>
      <c r="AMJ97" s="0"/>
    </row>
    <row r="98" s="113" customFormat="true" ht="15" hidden="false" customHeight="false" outlineLevel="0" collapsed="false">
      <c r="A98" s="0"/>
      <c r="B98" s="0"/>
      <c r="C98" s="0"/>
      <c r="D98" s="0"/>
      <c r="E98" s="0"/>
      <c r="F98" s="0"/>
      <c r="G98" s="80" t="n">
        <v>98</v>
      </c>
      <c r="H98" s="116" t="s">
        <v>31</v>
      </c>
      <c r="I98" s="134" t="s">
        <v>91</v>
      </c>
      <c r="J98" s="78" t="s">
        <v>535</v>
      </c>
      <c r="K98" s="71"/>
      <c r="L98" s="71"/>
      <c r="M98" s="114" t="n">
        <v>0.5</v>
      </c>
      <c r="N98" s="114" t="s">
        <v>20</v>
      </c>
      <c r="O98" s="71"/>
      <c r="P98" s="71"/>
      <c r="Q98" s="111"/>
      <c r="R98" s="112" t="str">
        <f aca="false">VLOOKUP(J98,ingredient!$N$4:$O$553,2,0)</f>
        <v>black salt</v>
      </c>
      <c r="U98" s="81" t="str">
        <f aca="false">I98</f>
        <v>Potato chips</v>
      </c>
      <c r="V98" s="81" t="n">
        <f aca="false">VLOOKUP(U98,recipe_ingred_list!$A$2:$B$300,2,0)</f>
        <v>93</v>
      </c>
      <c r="W98" s="81" t="str">
        <f aca="false">"/recipes/"&amp;VLOOKUP(U98,recipe_ingred_list!$A$2:$C$300,3,0)&amp;"/detail/"</f>
        <v>/recipes/potato-chips/detail/</v>
      </c>
      <c r="X98" s="81" t="str">
        <f aca="false">J98</f>
        <v>black salt powder</v>
      </c>
      <c r="Y98" s="81" t="str">
        <f aca="false">R98</f>
        <v>black salt</v>
      </c>
      <c r="Z98" s="94" t="n">
        <f aca="false">VLOOKUP(Y98,recipe_ingred_list!$D$2:$E$500,2,0)</f>
        <v>32</v>
      </c>
      <c r="AA98" s="61" t="n">
        <f aca="false">K98</f>
        <v>0</v>
      </c>
      <c r="AB98" s="61" t="n">
        <f aca="false">L98</f>
        <v>0</v>
      </c>
      <c r="AC98" s="61" t="n">
        <f aca="false">VLOOKUP(AB98,recipe_ingred_list!$K$2:$M$7,3,0)</f>
        <v>2</v>
      </c>
      <c r="AD98" s="61" t="n">
        <f aca="false">M98</f>
        <v>0.5</v>
      </c>
      <c r="AE98" s="61" t="str">
        <f aca="false">N98</f>
        <v>cup</v>
      </c>
      <c r="AF98" s="61" t="n">
        <f aca="false">VLOOKUP(AE98,recipe_ingred_list!$K$16:$M$25,3,0)</f>
        <v>5</v>
      </c>
      <c r="AG98" s="61" t="n">
        <f aca="false">O98</f>
        <v>0</v>
      </c>
      <c r="AH98" s="61" t="n">
        <f aca="false">P98</f>
        <v>0</v>
      </c>
      <c r="AI98" s="61" t="n">
        <f aca="false">VLOOKUP(AH98,recipe_ingred_list!$K$29:$M$34,3,0)</f>
        <v>3</v>
      </c>
      <c r="AJ98" s="61" t="str">
        <f aca="false">IF(Q98="","",Q98)</f>
        <v/>
      </c>
      <c r="AK98" s="61" t="n">
        <f aca="false">AK97+1</f>
        <v>98</v>
      </c>
      <c r="AL98" s="61" t="str">
        <f aca="false">Y98</f>
        <v>black salt</v>
      </c>
      <c r="AM98" s="81" t="str">
        <f aca="false">"a = Client().post('"&amp;W98&amp;"', {'recipe' : '"&amp;V98&amp;"', 'ingredient' : '"&amp;Z98&amp;"', 'name' : '"&amp;X98&amp;"', 'mass_unit' : '"&amp;AC98&amp;"', 'mass_quantity' : '"&amp;ROUND(AA98,3)&amp;"', 'volume_unit' : '"&amp;AF98&amp;"', 'volume_quantity' : '"&amp;ROUND(AD98,3)&amp;"', 'pieces_unit' : '"&amp;AI98&amp;"', 'pieces_quantity' : '"&amp;ROUND(AG98,3)&amp;"', 'cooking_notes' : '"&amp;AJ98&amp;"'}).status_code; print('%s :: %s :: %s :: %s :: %s' %(a,"&amp;G98&amp;",'"&amp;X98&amp;"','"&amp;Y98&amp;"','"&amp;U98&amp;"'))"</f>
        <v>a = Client().post('/recipes/potato-chips/detail/', {'recipe' : '93', 'ingredient' : '32', 'name' : 'black salt powder', 'mass_unit' : '2', 'mass_quantity' : '0', 'volume_unit' : '5', 'volume_quantity' : '0.5', 'pieces_unit' : '3', 'pieces_quantity' : '0', 'cooking_notes' : ''}).status_code; print('%s :: %s :: %s :: %s :: %s' %(a,98,'black salt powder','black salt','Potato chips'))</v>
      </c>
      <c r="AMJ98" s="0"/>
    </row>
    <row r="99" s="113" customFormat="true" ht="15" hidden="false" customHeight="false" outlineLevel="0" collapsed="false">
      <c r="A99" s="0"/>
      <c r="B99" s="0"/>
      <c r="C99" s="0"/>
      <c r="D99" s="0"/>
      <c r="E99" s="0"/>
      <c r="F99" s="0"/>
      <c r="G99" s="80" t="n">
        <v>99</v>
      </c>
      <c r="H99" s="116" t="s">
        <v>96</v>
      </c>
      <c r="I99" s="134" t="s">
        <v>91</v>
      </c>
      <c r="J99" s="78" t="s">
        <v>96</v>
      </c>
      <c r="K99" s="71"/>
      <c r="L99" s="71"/>
      <c r="M99" s="114" t="n">
        <v>0.5</v>
      </c>
      <c r="N99" s="114" t="s">
        <v>20</v>
      </c>
      <c r="O99" s="71"/>
      <c r="P99" s="71"/>
      <c r="Q99" s="111"/>
      <c r="R99" s="112" t="str">
        <f aca="false">VLOOKUP(J99,ingredient!$N$4:$O$553,2,0)</f>
        <v>salt</v>
      </c>
      <c r="U99" s="81" t="str">
        <f aca="false">I99</f>
        <v>Potato chips</v>
      </c>
      <c r="V99" s="81" t="n">
        <f aca="false">VLOOKUP(U99,recipe_ingred_list!$A$2:$B$300,2,0)</f>
        <v>93</v>
      </c>
      <c r="W99" s="81" t="str">
        <f aca="false">"/recipes/"&amp;VLOOKUP(U99,recipe_ingred_list!$A$2:$C$300,3,0)&amp;"/detail/"</f>
        <v>/recipes/potato-chips/detail/</v>
      </c>
      <c r="X99" s="81" t="str">
        <f aca="false">J99</f>
        <v>salt</v>
      </c>
      <c r="Y99" s="81" t="str">
        <f aca="false">R99</f>
        <v>salt</v>
      </c>
      <c r="Z99" s="94" t="n">
        <f aca="false">VLOOKUP(Y99,recipe_ingred_list!$D$2:$E$500,2,0)</f>
        <v>177</v>
      </c>
      <c r="AA99" s="61" t="n">
        <f aca="false">K99</f>
        <v>0</v>
      </c>
      <c r="AB99" s="61" t="n">
        <f aca="false">L99</f>
        <v>0</v>
      </c>
      <c r="AC99" s="61" t="n">
        <f aca="false">VLOOKUP(AB99,recipe_ingred_list!$K$2:$M$7,3,0)</f>
        <v>2</v>
      </c>
      <c r="AD99" s="61" t="n">
        <f aca="false">M99</f>
        <v>0.5</v>
      </c>
      <c r="AE99" s="61" t="str">
        <f aca="false">N99</f>
        <v>cup</v>
      </c>
      <c r="AF99" s="61" t="n">
        <f aca="false">VLOOKUP(AE99,recipe_ingred_list!$K$16:$M$25,3,0)</f>
        <v>5</v>
      </c>
      <c r="AG99" s="61" t="n">
        <f aca="false">O99</f>
        <v>0</v>
      </c>
      <c r="AH99" s="61" t="n">
        <f aca="false">P99</f>
        <v>0</v>
      </c>
      <c r="AI99" s="61" t="n">
        <f aca="false">VLOOKUP(AH99,recipe_ingred_list!$K$29:$M$34,3,0)</f>
        <v>3</v>
      </c>
      <c r="AJ99" s="61" t="str">
        <f aca="false">IF(Q99="","",Q99)</f>
        <v/>
      </c>
      <c r="AK99" s="61" t="n">
        <f aca="false">AK98+1</f>
        <v>99</v>
      </c>
      <c r="AL99" s="61" t="str">
        <f aca="false">Y99</f>
        <v>salt</v>
      </c>
      <c r="AM99" s="81" t="str">
        <f aca="false">"a = Client().post('"&amp;W99&amp;"', {'recipe' : '"&amp;V99&amp;"', 'ingredient' : '"&amp;Z99&amp;"', 'name' : '"&amp;X99&amp;"', 'mass_unit' : '"&amp;AC99&amp;"', 'mass_quantity' : '"&amp;ROUND(AA99,3)&amp;"', 'volume_unit' : '"&amp;AF99&amp;"', 'volume_quantity' : '"&amp;ROUND(AD99,3)&amp;"', 'pieces_unit' : '"&amp;AI99&amp;"', 'pieces_quantity' : '"&amp;ROUND(AG99,3)&amp;"', 'cooking_notes' : '"&amp;AJ99&amp;"'}).status_code; print('%s :: %s :: %s :: %s :: %s' %(a,"&amp;G99&amp;",'"&amp;X99&amp;"','"&amp;Y99&amp;"','"&amp;U99&amp;"'))"</f>
        <v>a = Client().post('/recipes/potato-chips/detail/', {'recipe' : '93', 'ingredient' : '177', 'name' : 'salt', 'mass_unit' : '2', 'mass_quantity' : '0', 'volume_unit' : '5', 'volume_quantity' : '0.5', 'pieces_unit' : '3', 'pieces_quantity' : '0', 'cooking_notes' : ''}).status_code; print('%s :: %s :: %s :: %s :: %s' %(a,99,'salt','salt','Potato chips'))</v>
      </c>
      <c r="AMJ99" s="0"/>
    </row>
    <row r="100" customFormat="false" ht="15" hidden="false" customHeight="false" outlineLevel="0" collapsed="false">
      <c r="G100" s="80" t="n">
        <v>100</v>
      </c>
      <c r="H100" s="136" t="s">
        <v>34</v>
      </c>
      <c r="I100" s="99"/>
      <c r="J100" s="136" t="s">
        <v>34</v>
      </c>
      <c r="K100" s="100"/>
      <c r="L100" s="100"/>
      <c r="M100" s="137" t="n">
        <v>1</v>
      </c>
      <c r="N100" s="137" t="s">
        <v>27</v>
      </c>
      <c r="O100" s="101"/>
      <c r="P100" s="100"/>
      <c r="Q100" s="102"/>
      <c r="R100" s="99" t="e">
        <f aca="false">VLOOKUP(J100,ingredient!$N$4:$O$553,2,0)</f>
        <v>#N/A</v>
      </c>
      <c r="S100" s="98"/>
      <c r="T100" s="98"/>
      <c r="U100" s="81" t="n">
        <f aca="false">I100</f>
        <v>0</v>
      </c>
      <c r="V100" s="81" t="e">
        <f aca="false">VLOOKUP(U100,recipe_ingred_list!$A$2:$B$300,2,0)</f>
        <v>#N/A</v>
      </c>
      <c r="W100" s="81" t="e">
        <f aca="false">"/recipes/"&amp;VLOOKUP(U100,recipe_ingred_list!$A$2:$C$300,3,0)&amp;"/detail/"</f>
        <v>#N/A</v>
      </c>
      <c r="X100" s="81" t="str">
        <f aca="false">J100</f>
        <v>Expected Yield</v>
      </c>
      <c r="Y100" s="81" t="e">
        <f aca="false">R100</f>
        <v>#N/A</v>
      </c>
      <c r="Z100" s="94" t="e">
        <f aca="false">VLOOKUP(Y100,recipe_ingred_list!$D$2:$E$500,2,0)</f>
        <v>#N/A</v>
      </c>
      <c r="AA100" s="61" t="n">
        <f aca="false">K100</f>
        <v>0</v>
      </c>
      <c r="AB100" s="61" t="n">
        <f aca="false">L100</f>
        <v>0</v>
      </c>
      <c r="AC100" s="61" t="n">
        <f aca="false">VLOOKUP(AB100,recipe_ingred_list!$K$2:$M$7,3,0)</f>
        <v>2</v>
      </c>
      <c r="AD100" s="61" t="n">
        <f aca="false">M100</f>
        <v>1</v>
      </c>
      <c r="AE100" s="61" t="str">
        <f aca="false">N100</f>
        <v>tub</v>
      </c>
      <c r="AF100" s="61" t="n">
        <f aca="false">VLOOKUP(AE100,recipe_ingred_list!$K$16:$M$25,3,0)</f>
        <v>4</v>
      </c>
      <c r="AG100" s="61" t="n">
        <f aca="false">O100</f>
        <v>0</v>
      </c>
      <c r="AH100" s="61" t="n">
        <f aca="false">P100</f>
        <v>0</v>
      </c>
      <c r="AI100" s="61" t="n">
        <f aca="false">VLOOKUP(AH100,recipe_ingred_list!$K$29:$M$34,3,0)</f>
        <v>3</v>
      </c>
      <c r="AJ100" s="61" t="str">
        <f aca="false">IF(Q100="","",Q100)</f>
        <v/>
      </c>
      <c r="AK100" s="61" t="n">
        <f aca="false">AK99+1</f>
        <v>100</v>
      </c>
      <c r="AL100" s="61" t="e">
        <f aca="false">Y100</f>
        <v>#N/A</v>
      </c>
      <c r="AM100" s="81" t="e">
        <f aca="false">"a = Client().post('"&amp;W100&amp;"', {'recipe' : '"&amp;V100&amp;"', 'ingredient' : '"&amp;Z100&amp;"', 'name' : '"&amp;X100&amp;"', 'mass_unit' : '"&amp;AC100&amp;"', 'mass_quantity' : '"&amp;ROUND(AA100,3)&amp;"', 'volume_unit' : '"&amp;AF100&amp;"', 'volume_quantity' : '"&amp;ROUND(AD100,3)&amp;"', 'pieces_unit' : '"&amp;AI100&amp;"', 'pieces_quantity' : '"&amp;ROUND(AG100,3)&amp;"', 'cooking_notes' : '"&amp;AJ100&amp;"'}).status_code; print('%s :: %s :: %s :: %s :: %s' %(a,"&amp;G100&amp;",'"&amp;X100&amp;"','"&amp;Y100&amp;"','"&amp;U100&amp;"'))"</f>
        <v>#N/A</v>
      </c>
    </row>
    <row r="101" customFormat="false" ht="13.8" hidden="false" customHeight="false" outlineLevel="0" collapsed="false">
      <c r="G101" s="80" t="n">
        <v>101</v>
      </c>
      <c r="H101" s="98"/>
      <c r="I101" s="99"/>
      <c r="J101" s="79"/>
      <c r="K101" s="100"/>
      <c r="L101" s="100"/>
      <c r="M101" s="100"/>
      <c r="N101" s="100"/>
      <c r="O101" s="101"/>
      <c r="P101" s="100"/>
      <c r="Q101" s="102"/>
      <c r="R101" s="99" t="e">
        <f aca="false">VLOOKUP(J101,ingredient!$N$4:$O$553,2,0)</f>
        <v>#N/A</v>
      </c>
      <c r="S101" s="98"/>
      <c r="T101" s="98"/>
      <c r="U101" s="81" t="n">
        <f aca="false">I101</f>
        <v>0</v>
      </c>
      <c r="V101" s="81" t="e">
        <f aca="false">VLOOKUP(U101,recipe_ingred_list!$A$2:$B$300,2,0)</f>
        <v>#N/A</v>
      </c>
      <c r="W101" s="81" t="e">
        <f aca="false">"/recipes/"&amp;VLOOKUP(U101,recipe_ingred_list!$A$2:$C$300,3,0)&amp;"/detail/"</f>
        <v>#N/A</v>
      </c>
      <c r="X101" s="81" t="n">
        <f aca="false">J101</f>
        <v>0</v>
      </c>
      <c r="Y101" s="81" t="e">
        <f aca="false">R101</f>
        <v>#N/A</v>
      </c>
      <c r="Z101" s="94" t="e">
        <f aca="false">VLOOKUP(Y101,recipe_ingred_list!$D$2:$E$500,2,0)</f>
        <v>#N/A</v>
      </c>
      <c r="AA101" s="61" t="n">
        <f aca="false">K101</f>
        <v>0</v>
      </c>
      <c r="AB101" s="61" t="n">
        <f aca="false">L101</f>
        <v>0</v>
      </c>
      <c r="AC101" s="61" t="n">
        <f aca="false">VLOOKUP(AB101,recipe_ingred_list!$K$2:$M$7,3,0)</f>
        <v>2</v>
      </c>
      <c r="AD101" s="61" t="n">
        <f aca="false">M101</f>
        <v>0</v>
      </c>
      <c r="AE101" s="61" t="n">
        <f aca="false">N101</f>
        <v>0</v>
      </c>
      <c r="AF101" s="61" t="n">
        <f aca="false">VLOOKUP(AE101,recipe_ingred_list!$K$16:$M$25,3,0)</f>
        <v>1</v>
      </c>
      <c r="AG101" s="61" t="n">
        <f aca="false">O101</f>
        <v>0</v>
      </c>
      <c r="AH101" s="61" t="n">
        <f aca="false">P101</f>
        <v>0</v>
      </c>
      <c r="AI101" s="61" t="n">
        <f aca="false">VLOOKUP(AH101,recipe_ingred_list!$K$29:$M$34,3,0)</f>
        <v>3</v>
      </c>
      <c r="AJ101" s="61" t="str">
        <f aca="false">IF(Q101="","",Q101)</f>
        <v/>
      </c>
      <c r="AK101" s="61" t="n">
        <f aca="false">AK100+1</f>
        <v>101</v>
      </c>
      <c r="AL101" s="61" t="e">
        <f aca="false">Y101</f>
        <v>#N/A</v>
      </c>
      <c r="AM101" s="81" t="e">
        <f aca="false">"a = Client().post('"&amp;W101&amp;"', {'recipe' : '"&amp;V101&amp;"', 'ingredient' : '"&amp;Z101&amp;"', 'name' : '"&amp;X101&amp;"', 'mass_unit' : '"&amp;AC101&amp;"', 'mass_quantity' : '"&amp;ROUND(AA101,3)&amp;"', 'volume_unit' : '"&amp;AF101&amp;"', 'volume_quantity' : '"&amp;ROUND(AD101,3)&amp;"', 'pieces_unit' : '"&amp;AI101&amp;"', 'pieces_quantity' : '"&amp;ROUND(AG101,3)&amp;"', 'cooking_notes' : '"&amp;AJ101&amp;"'}).status_code; print('%s :: %s :: %s :: %s :: %s' %(a,"&amp;G101&amp;",'"&amp;X101&amp;"','"&amp;Y101&amp;"','"&amp;U101&amp;"'))"</f>
        <v>#N/A</v>
      </c>
    </row>
    <row r="102" customFormat="false" ht="13.8" hidden="false" customHeight="false" outlineLevel="0" collapsed="false">
      <c r="G102" s="80" t="n">
        <v>102</v>
      </c>
      <c r="H102" s="98"/>
      <c r="I102" s="99"/>
      <c r="J102" s="79"/>
      <c r="K102" s="100"/>
      <c r="L102" s="100"/>
      <c r="M102" s="100"/>
      <c r="N102" s="100"/>
      <c r="O102" s="101"/>
      <c r="P102" s="100"/>
      <c r="Q102" s="102"/>
      <c r="R102" s="99" t="e">
        <f aca="false">VLOOKUP(J102,ingredient!$N$4:$O$553,2,0)</f>
        <v>#N/A</v>
      </c>
      <c r="S102" s="98"/>
      <c r="T102" s="98"/>
      <c r="U102" s="81" t="n">
        <f aca="false">I102</f>
        <v>0</v>
      </c>
      <c r="V102" s="81" t="e">
        <f aca="false">VLOOKUP(U102,recipe_ingred_list!$A$2:$B$300,2,0)</f>
        <v>#N/A</v>
      </c>
      <c r="W102" s="81" t="e">
        <f aca="false">"/recipes/"&amp;VLOOKUP(U102,recipe_ingred_list!$A$2:$C$300,3,0)&amp;"/detail/"</f>
        <v>#N/A</v>
      </c>
      <c r="X102" s="81" t="n">
        <f aca="false">J102</f>
        <v>0</v>
      </c>
      <c r="Y102" s="81" t="e">
        <f aca="false">R102</f>
        <v>#N/A</v>
      </c>
      <c r="Z102" s="94" t="e">
        <f aca="false">VLOOKUP(Y102,recipe_ingred_list!$D$2:$E$500,2,0)</f>
        <v>#N/A</v>
      </c>
      <c r="AA102" s="61" t="n">
        <f aca="false">K102</f>
        <v>0</v>
      </c>
      <c r="AB102" s="61" t="n">
        <f aca="false">L102</f>
        <v>0</v>
      </c>
      <c r="AC102" s="61" t="n">
        <f aca="false">VLOOKUP(AB102,recipe_ingred_list!$K$2:$M$7,3,0)</f>
        <v>2</v>
      </c>
      <c r="AD102" s="61" t="n">
        <f aca="false">M102</f>
        <v>0</v>
      </c>
      <c r="AE102" s="61" t="n">
        <f aca="false">N102</f>
        <v>0</v>
      </c>
      <c r="AF102" s="61" t="n">
        <f aca="false">VLOOKUP(AE102,recipe_ingred_list!$K$16:$M$25,3,0)</f>
        <v>1</v>
      </c>
      <c r="AG102" s="61" t="n">
        <f aca="false">O102</f>
        <v>0</v>
      </c>
      <c r="AH102" s="61" t="n">
        <f aca="false">P102</f>
        <v>0</v>
      </c>
      <c r="AI102" s="61" t="n">
        <f aca="false">VLOOKUP(AH102,recipe_ingred_list!$K$29:$M$34,3,0)</f>
        <v>3</v>
      </c>
      <c r="AJ102" s="61" t="str">
        <f aca="false">IF(Q102="","",Q102)</f>
        <v/>
      </c>
      <c r="AK102" s="61" t="n">
        <f aca="false">AK101+1</f>
        <v>102</v>
      </c>
      <c r="AL102" s="61" t="e">
        <f aca="false">Y102</f>
        <v>#N/A</v>
      </c>
      <c r="AM102" s="81" t="e">
        <f aca="false">"a = Client().post('"&amp;W102&amp;"', {'recipe' : '"&amp;V102&amp;"', 'ingredient' : '"&amp;Z102&amp;"', 'name' : '"&amp;X102&amp;"', 'mass_unit' : '"&amp;AC102&amp;"', 'mass_quantity' : '"&amp;ROUND(AA102,3)&amp;"', 'volume_unit' : '"&amp;AF102&amp;"', 'volume_quantity' : '"&amp;ROUND(AD102,3)&amp;"', 'pieces_unit' : '"&amp;AI102&amp;"', 'pieces_quantity' : '"&amp;ROUND(AG102,3)&amp;"', 'cooking_notes' : '"&amp;AJ102&amp;"'}).status_code; print('%s :: %s :: %s :: %s :: %s' %(a,"&amp;G102&amp;",'"&amp;X102&amp;"','"&amp;Y102&amp;"','"&amp;U102&amp;"'))"</f>
        <v>#N/A</v>
      </c>
    </row>
    <row r="103" customFormat="false" ht="14.9" hidden="false" customHeight="false" outlineLevel="0" collapsed="false">
      <c r="G103" s="80" t="n">
        <v>103</v>
      </c>
      <c r="I103" s="82" t="s">
        <v>328</v>
      </c>
      <c r="J103" s="83" t="s">
        <v>536</v>
      </c>
      <c r="K103" s="61" t="n">
        <v>32</v>
      </c>
      <c r="L103" s="61" t="s">
        <v>7</v>
      </c>
      <c r="Q103" s="84" t="s">
        <v>537</v>
      </c>
      <c r="R103" s="82" t="str">
        <f aca="false">VLOOKUP(J103,ingredient!$N$4:$O$553,2,0)</f>
        <v>alu</v>
      </c>
      <c r="U103" s="81" t="str">
        <f aca="false">I103</f>
        <v>Spicy Potato</v>
      </c>
      <c r="V103" s="81" t="n">
        <f aca="false">VLOOKUP(U103,recipe_ingred_list!$A$2:$B$300,2,0)</f>
        <v>73</v>
      </c>
      <c r="W103" s="81" t="str">
        <f aca="false">"/recipes/"&amp;VLOOKUP(U103,recipe_ingred_list!$A$2:$C$300,3,0)&amp;"/detail/"</f>
        <v>/recipes/spicy-potato/detail/</v>
      </c>
      <c r="X103" s="81" t="str">
        <f aca="false">J103</f>
        <v>Alu </v>
      </c>
      <c r="Y103" s="81" t="str">
        <f aca="false">R103</f>
        <v>alu</v>
      </c>
      <c r="Z103" s="94" t="n">
        <f aca="false">VLOOKUP(Y103,recipe_ingred_list!$D$2:$E$500,2,0)</f>
        <v>8</v>
      </c>
      <c r="AA103" s="61" t="n">
        <f aca="false">K103</f>
        <v>32</v>
      </c>
      <c r="AB103" s="61" t="str">
        <f aca="false">L103</f>
        <v>kg</v>
      </c>
      <c r="AC103" s="61" t="n">
        <f aca="false">VLOOKUP(AB103,recipe_ingred_list!$K$2:$M$7,3,0)</f>
        <v>2</v>
      </c>
      <c r="AD103" s="61" t="n">
        <f aca="false">M103</f>
        <v>0</v>
      </c>
      <c r="AE103" s="61" t="n">
        <f aca="false">N103</f>
        <v>0</v>
      </c>
      <c r="AF103" s="61" t="n">
        <f aca="false">VLOOKUP(AE103,recipe_ingred_list!$K$16:$M$25,3,0)</f>
        <v>1</v>
      </c>
      <c r="AG103" s="61" t="n">
        <f aca="false">O103</f>
        <v>0</v>
      </c>
      <c r="AH103" s="61" t="n">
        <f aca="false">P103</f>
        <v>0</v>
      </c>
      <c r="AI103" s="61" t="n">
        <f aca="false">VLOOKUP(AH103,recipe_ingred_list!$K$29:$M$34,3,0)</f>
        <v>3</v>
      </c>
      <c r="AJ103" s="61" t="str">
        <f aca="false">IF(Q103="","",Q103)</f>
        <v>0.5" boiled</v>
      </c>
      <c r="AK103" s="61" t="n">
        <f aca="false">AK102+1</f>
        <v>103</v>
      </c>
      <c r="AL103" s="61" t="str">
        <f aca="false">Y103</f>
        <v>alu</v>
      </c>
      <c r="AM103" s="81" t="str">
        <f aca="false">"a = Client().post('"&amp;W103&amp;"', {'recipe' : '"&amp;V103&amp;"', 'ingredient' : '"&amp;Z103&amp;"', 'name' : '"&amp;X103&amp;"', 'mass_unit' : '"&amp;AC103&amp;"', 'mass_quantity' : '"&amp;ROUND(AA103,3)&amp;"', 'volume_unit' : '"&amp;AF103&amp;"', 'volume_quantity' : '"&amp;ROUND(AD103,3)&amp;"', 'pieces_unit' : '"&amp;AI103&amp;"', 'pieces_quantity' : '"&amp;ROUND(AG103,3)&amp;"', 'cooking_notes' : '"&amp;AJ103&amp;"'}).status_code; print('%s :: %s :: %s :: %s :: %s' %(a,"&amp;G103&amp;",'"&amp;X103&amp;"','"&amp;Y103&amp;"','"&amp;U103&amp;"'))"</f>
        <v>a = Client().post('/recipes/spicy-potato/detail/', {'recipe' : '73', 'ingredient' : '8', 'name' : 'Alu ', 'mass_unit' : '2', 'mass_quantity' : '32', 'volume_unit' : '1', 'volume_quantity' : '0', 'pieces_unit' : '3', 'pieces_quantity' : '0', 'cooking_notes' : '0.5" boiled'}).status_code; print('%s :: %s :: %s :: %s :: %s' %(a,103,'Alu ','alu','Spicy Potato'))</v>
      </c>
    </row>
    <row r="104" customFormat="false" ht="14.9" hidden="false" customHeight="false" outlineLevel="0" collapsed="false">
      <c r="G104" s="80" t="n">
        <v>104</v>
      </c>
      <c r="I104" s="82" t="s">
        <v>328</v>
      </c>
      <c r="J104" s="83" t="s">
        <v>39</v>
      </c>
      <c r="K104" s="61" t="n">
        <v>3</v>
      </c>
      <c r="L104" s="61" t="s">
        <v>7</v>
      </c>
      <c r="Q104" s="84" t="s">
        <v>538</v>
      </c>
      <c r="R104" s="82" t="str">
        <f aca="false">VLOOKUP(J104,ingredient!$N$4:$O$553,2,0)</f>
        <v>cabbage</v>
      </c>
      <c r="U104" s="81" t="str">
        <f aca="false">I104</f>
        <v>Spicy Potato</v>
      </c>
      <c r="V104" s="81" t="n">
        <f aca="false">VLOOKUP(U104,recipe_ingred_list!$A$2:$B$300,2,0)</f>
        <v>73</v>
      </c>
      <c r="W104" s="81" t="str">
        <f aca="false">"/recipes/"&amp;VLOOKUP(U104,recipe_ingred_list!$A$2:$C$300,3,0)&amp;"/detail/"</f>
        <v>/recipes/spicy-potato/detail/</v>
      </c>
      <c r="X104" s="81" t="str">
        <f aca="false">J104</f>
        <v>Cabbage</v>
      </c>
      <c r="Y104" s="81" t="str">
        <f aca="false">R104</f>
        <v>cabbage</v>
      </c>
      <c r="Z104" s="94" t="n">
        <f aca="false">VLOOKUP(Y104,recipe_ingred_list!$D$2:$E$500,2,0)</f>
        <v>39</v>
      </c>
      <c r="AA104" s="61" t="n">
        <f aca="false">K104</f>
        <v>3</v>
      </c>
      <c r="AB104" s="61" t="str">
        <f aca="false">L104</f>
        <v>kg</v>
      </c>
      <c r="AC104" s="61" t="n">
        <f aca="false">VLOOKUP(AB104,recipe_ingred_list!$K$2:$M$7,3,0)</f>
        <v>2</v>
      </c>
      <c r="AD104" s="61" t="n">
        <f aca="false">M104</f>
        <v>0</v>
      </c>
      <c r="AE104" s="61" t="n">
        <f aca="false">N104</f>
        <v>0</v>
      </c>
      <c r="AF104" s="61" t="n">
        <f aca="false">VLOOKUP(AE104,recipe_ingred_list!$K$16:$M$25,3,0)</f>
        <v>1</v>
      </c>
      <c r="AG104" s="61" t="n">
        <f aca="false">O104</f>
        <v>0</v>
      </c>
      <c r="AH104" s="61" t="n">
        <f aca="false">P104</f>
        <v>0</v>
      </c>
      <c r="AI104" s="61" t="n">
        <f aca="false">VLOOKUP(AH104,recipe_ingred_list!$K$29:$M$34,3,0)</f>
        <v>3</v>
      </c>
      <c r="AJ104" s="61" t="str">
        <f aca="false">IF(Q104="","",Q104)</f>
        <v>fine chopped</v>
      </c>
      <c r="AK104" s="61" t="n">
        <f aca="false">AK103+1</f>
        <v>104</v>
      </c>
      <c r="AL104" s="61" t="str">
        <f aca="false">Y104</f>
        <v>cabbage</v>
      </c>
      <c r="AM104" s="81" t="str">
        <f aca="false">"a = Client().post('"&amp;W104&amp;"', {'recipe' : '"&amp;V104&amp;"', 'ingredient' : '"&amp;Z104&amp;"', 'name' : '"&amp;X104&amp;"', 'mass_unit' : '"&amp;AC104&amp;"', 'mass_quantity' : '"&amp;ROUND(AA104,3)&amp;"', 'volume_unit' : '"&amp;AF104&amp;"', 'volume_quantity' : '"&amp;ROUND(AD104,3)&amp;"', 'pieces_unit' : '"&amp;AI104&amp;"', 'pieces_quantity' : '"&amp;ROUND(AG104,3)&amp;"', 'cooking_notes' : '"&amp;AJ104&amp;"'}).status_code; print('%s :: %s :: %s :: %s :: %s' %(a,"&amp;G104&amp;",'"&amp;X104&amp;"','"&amp;Y104&amp;"','"&amp;U104&amp;"'))"</f>
        <v>a = Client().post('/recipes/spicy-potato/detail/', {'recipe' : '73', 'ingredient' : '39', 'name' : 'Cabbage', 'mass_unit' : '2', 'mass_quantity' : '3', 'volume_unit' : '1', 'volume_quantity' : '0', 'pieces_unit' : '3', 'pieces_quantity' : '0', 'cooking_notes' : 'fine chopped'}).status_code; print('%s :: %s :: %s :: %s :: %s' %(a,104,'Cabbage','cabbage','Spicy Potato'))</v>
      </c>
    </row>
    <row r="105" customFormat="false" ht="14.9" hidden="false" customHeight="false" outlineLevel="0" collapsed="false">
      <c r="G105" s="80" t="n">
        <v>105</v>
      </c>
      <c r="I105" s="82" t="s">
        <v>328</v>
      </c>
      <c r="J105" s="83" t="s">
        <v>40</v>
      </c>
      <c r="K105" s="61" t="n">
        <v>1.5</v>
      </c>
      <c r="L105" s="61" t="s">
        <v>7</v>
      </c>
      <c r="Q105" s="84" t="s">
        <v>538</v>
      </c>
      <c r="R105" s="82" t="str">
        <f aca="false">VLOOKUP(J105,ingredient!$N$4:$O$553,2,0)</f>
        <v>capsicum</v>
      </c>
      <c r="U105" s="81" t="str">
        <f aca="false">I105</f>
        <v>Spicy Potato</v>
      </c>
      <c r="V105" s="81" t="n">
        <f aca="false">VLOOKUP(U105,recipe_ingred_list!$A$2:$B$300,2,0)</f>
        <v>73</v>
      </c>
      <c r="W105" s="81" t="str">
        <f aca="false">"/recipes/"&amp;VLOOKUP(U105,recipe_ingred_list!$A$2:$C$300,3,0)&amp;"/detail/"</f>
        <v>/recipes/spicy-potato/detail/</v>
      </c>
      <c r="X105" s="81" t="str">
        <f aca="false">J105</f>
        <v>Capsicum</v>
      </c>
      <c r="Y105" s="81" t="str">
        <f aca="false">R105</f>
        <v>capsicum</v>
      </c>
      <c r="Z105" s="94" t="n">
        <f aca="false">VLOOKUP(Y105,recipe_ingred_list!$D$2:$E$500,2,0)</f>
        <v>42</v>
      </c>
      <c r="AA105" s="61" t="n">
        <f aca="false">K105</f>
        <v>1.5</v>
      </c>
      <c r="AB105" s="61" t="str">
        <f aca="false">L105</f>
        <v>kg</v>
      </c>
      <c r="AC105" s="61" t="n">
        <f aca="false">VLOOKUP(AB105,recipe_ingred_list!$K$2:$M$7,3,0)</f>
        <v>2</v>
      </c>
      <c r="AD105" s="61" t="n">
        <f aca="false">M105</f>
        <v>0</v>
      </c>
      <c r="AE105" s="61" t="n">
        <f aca="false">N105</f>
        <v>0</v>
      </c>
      <c r="AF105" s="61" t="n">
        <f aca="false">VLOOKUP(AE105,recipe_ingred_list!$K$16:$M$25,3,0)</f>
        <v>1</v>
      </c>
      <c r="AG105" s="61" t="n">
        <f aca="false">O105</f>
        <v>0</v>
      </c>
      <c r="AH105" s="61" t="n">
        <f aca="false">P105</f>
        <v>0</v>
      </c>
      <c r="AI105" s="61" t="n">
        <f aca="false">VLOOKUP(AH105,recipe_ingred_list!$K$29:$M$34,3,0)</f>
        <v>3</v>
      </c>
      <c r="AJ105" s="61" t="str">
        <f aca="false">IF(Q105="","",Q105)</f>
        <v>fine chopped</v>
      </c>
      <c r="AK105" s="61" t="n">
        <f aca="false">AK104+1</f>
        <v>105</v>
      </c>
      <c r="AL105" s="61" t="str">
        <f aca="false">Y105</f>
        <v>capsicum</v>
      </c>
      <c r="AM105" s="81" t="str">
        <f aca="false">"a = Client().post('"&amp;W105&amp;"', {'recipe' : '"&amp;V105&amp;"', 'ingredient' : '"&amp;Z105&amp;"', 'name' : '"&amp;X105&amp;"', 'mass_unit' : '"&amp;AC105&amp;"', 'mass_quantity' : '"&amp;ROUND(AA105,3)&amp;"', 'volume_unit' : '"&amp;AF105&amp;"', 'volume_quantity' : '"&amp;ROUND(AD105,3)&amp;"', 'pieces_unit' : '"&amp;AI105&amp;"', 'pieces_quantity' : '"&amp;ROUND(AG105,3)&amp;"', 'cooking_notes' : '"&amp;AJ105&amp;"'}).status_code; print('%s :: %s :: %s :: %s :: %s' %(a,"&amp;G105&amp;",'"&amp;X105&amp;"','"&amp;Y105&amp;"','"&amp;U105&amp;"'))"</f>
        <v>a = Client().post('/recipes/spicy-potato/detail/', {'recipe' : '73', 'ingredient' : '42', 'name' : 'Capsicum', 'mass_unit' : '2', 'mass_quantity' : '1.5', 'volume_unit' : '1', 'volume_quantity' : '0', 'pieces_unit' : '3', 'pieces_quantity' : '0', 'cooking_notes' : 'fine chopped'}).status_code; print('%s :: %s :: %s :: %s :: %s' %(a,105,'Capsicum','capsicum','Spicy Potato'))</v>
      </c>
    </row>
    <row r="106" customFormat="false" ht="14.9" hidden="false" customHeight="false" outlineLevel="0" collapsed="false">
      <c r="G106" s="80" t="n">
        <v>106</v>
      </c>
      <c r="I106" s="82" t="s">
        <v>328</v>
      </c>
      <c r="J106" s="83" t="s">
        <v>539</v>
      </c>
      <c r="O106" s="61" t="n">
        <v>16</v>
      </c>
      <c r="P106" s="61" t="s">
        <v>107</v>
      </c>
      <c r="Q106" s="84" t="s">
        <v>540</v>
      </c>
      <c r="R106" s="82" t="str">
        <f aca="false">VLOOKUP(J106,ingredient!$N$4:$O$553,2,0)</f>
        <v>coconut</v>
      </c>
      <c r="U106" s="81" t="str">
        <f aca="false">I106</f>
        <v>Spicy Potato</v>
      </c>
      <c r="V106" s="81" t="n">
        <f aca="false">VLOOKUP(U106,recipe_ingred_list!$A$2:$B$300,2,0)</f>
        <v>73</v>
      </c>
      <c r="W106" s="81" t="str">
        <f aca="false">"/recipes/"&amp;VLOOKUP(U106,recipe_ingred_list!$A$2:$C$300,3,0)&amp;"/detail/"</f>
        <v>/recipes/spicy-potato/detail/</v>
      </c>
      <c r="X106" s="81" t="str">
        <f aca="false">J106</f>
        <v>Coconuts</v>
      </c>
      <c r="Y106" s="81" t="str">
        <f aca="false">R106</f>
        <v>coconut</v>
      </c>
      <c r="Z106" s="94" t="n">
        <f aca="false">VLOOKUP(Y106,recipe_ingred_list!$D$2:$E$500,2,0)</f>
        <v>54</v>
      </c>
      <c r="AA106" s="61" t="n">
        <f aca="false">K106</f>
        <v>0</v>
      </c>
      <c r="AB106" s="61" t="n">
        <f aca="false">L106</f>
        <v>0</v>
      </c>
      <c r="AC106" s="61" t="n">
        <f aca="false">VLOOKUP(AB106,recipe_ingred_list!$K$2:$M$7,3,0)</f>
        <v>2</v>
      </c>
      <c r="AD106" s="61" t="n">
        <f aca="false">M106</f>
        <v>0</v>
      </c>
      <c r="AE106" s="61" t="n">
        <f aca="false">N106</f>
        <v>0</v>
      </c>
      <c r="AF106" s="61" t="n">
        <f aca="false">VLOOKUP(AE106,recipe_ingred_list!$K$16:$M$25,3,0)</f>
        <v>1</v>
      </c>
      <c r="AG106" s="61" t="n">
        <f aca="false">O106</f>
        <v>16</v>
      </c>
      <c r="AH106" s="61" t="str">
        <f aca="false">P106</f>
        <v>pcs</v>
      </c>
      <c r="AI106" s="61" t="n">
        <f aca="false">VLOOKUP(AH106,recipe_ingred_list!$K$29:$M$34,3,0)</f>
        <v>3</v>
      </c>
      <c r="AJ106" s="61" t="str">
        <f aca="false">IF(Q106="","",Q106)</f>
        <v>grated</v>
      </c>
      <c r="AK106" s="61" t="n">
        <f aca="false">AK105+1</f>
        <v>106</v>
      </c>
      <c r="AL106" s="61" t="str">
        <f aca="false">Y106</f>
        <v>coconut</v>
      </c>
      <c r="AM106" s="81" t="str">
        <f aca="false">"a = Client().post('"&amp;W106&amp;"', {'recipe' : '"&amp;V106&amp;"', 'ingredient' : '"&amp;Z106&amp;"', 'name' : '"&amp;X106&amp;"', 'mass_unit' : '"&amp;AC106&amp;"', 'mass_quantity' : '"&amp;ROUND(AA106,3)&amp;"', 'volume_unit' : '"&amp;AF106&amp;"', 'volume_quantity' : '"&amp;ROUND(AD106,3)&amp;"', 'pieces_unit' : '"&amp;AI106&amp;"', 'pieces_quantity' : '"&amp;ROUND(AG106,3)&amp;"', 'cooking_notes' : '"&amp;AJ106&amp;"'}).status_code; print('%s :: %s :: %s :: %s :: %s' %(a,"&amp;G106&amp;",'"&amp;X106&amp;"','"&amp;Y106&amp;"','"&amp;U106&amp;"'))"</f>
        <v>a = Client().post('/recipes/spicy-potato/detail/', {'recipe' : '73', 'ingredient' : '54', 'name' : 'Coconuts', 'mass_unit' : '2', 'mass_quantity' : '0', 'volume_unit' : '1', 'volume_quantity' : '0', 'pieces_unit' : '3', 'pieces_quantity' : '16', 'cooking_notes' : 'grated'}).status_code; print('%s :: %s :: %s :: %s :: %s' %(a,106,'Coconuts','coconut','Spicy Potato'))</v>
      </c>
    </row>
    <row r="107" customFormat="false" ht="13.8" hidden="false" customHeight="false" outlineLevel="0" collapsed="false">
      <c r="G107" s="80" t="n">
        <v>107</v>
      </c>
      <c r="I107" s="82" t="s">
        <v>328</v>
      </c>
      <c r="J107" s="83" t="s">
        <v>541</v>
      </c>
      <c r="K107" s="61" t="n">
        <v>0.75</v>
      </c>
      <c r="L107" s="61" t="s">
        <v>7</v>
      </c>
      <c r="R107" s="82" t="str">
        <f aca="false">VLOOKUP(J107,ingredient!$N$4:$O$553,2,0)</f>
        <v>imli</v>
      </c>
      <c r="U107" s="81" t="str">
        <f aca="false">I107</f>
        <v>Spicy Potato</v>
      </c>
      <c r="V107" s="81" t="n">
        <f aca="false">VLOOKUP(U107,recipe_ingred_list!$A$2:$B$300,2,0)</f>
        <v>73</v>
      </c>
      <c r="W107" s="81" t="str">
        <f aca="false">"/recipes/"&amp;VLOOKUP(U107,recipe_ingred_list!$A$2:$C$300,3,0)&amp;"/detail/"</f>
        <v>/recipes/spicy-potato/detail/</v>
      </c>
      <c r="X107" s="81" t="str">
        <f aca="false">J107</f>
        <v>Imli</v>
      </c>
      <c r="Y107" s="81" t="str">
        <f aca="false">R107</f>
        <v>imli</v>
      </c>
      <c r="Z107" s="94" t="n">
        <f aca="false">VLOOKUP(Y107,recipe_ingred_list!$D$2:$E$500,2,0)</f>
        <v>98</v>
      </c>
      <c r="AA107" s="61" t="n">
        <f aca="false">K107</f>
        <v>0.75</v>
      </c>
      <c r="AB107" s="61" t="str">
        <f aca="false">L107</f>
        <v>kg</v>
      </c>
      <c r="AC107" s="61" t="n">
        <f aca="false">VLOOKUP(AB107,recipe_ingred_list!$K$2:$M$7,3,0)</f>
        <v>2</v>
      </c>
      <c r="AD107" s="61" t="n">
        <f aca="false">M107</f>
        <v>0</v>
      </c>
      <c r="AE107" s="61" t="n">
        <f aca="false">N107</f>
        <v>0</v>
      </c>
      <c r="AF107" s="61" t="n">
        <f aca="false">VLOOKUP(AE107,recipe_ingred_list!$K$16:$M$25,3,0)</f>
        <v>1</v>
      </c>
      <c r="AG107" s="61" t="n">
        <f aca="false">O107</f>
        <v>0</v>
      </c>
      <c r="AH107" s="61" t="n">
        <f aca="false">P107</f>
        <v>0</v>
      </c>
      <c r="AI107" s="61" t="n">
        <f aca="false">VLOOKUP(AH107,recipe_ingred_list!$K$29:$M$34,3,0)</f>
        <v>3</v>
      </c>
      <c r="AJ107" s="61" t="str">
        <f aca="false">IF(Q107="","",Q107)</f>
        <v/>
      </c>
      <c r="AK107" s="61" t="n">
        <f aca="false">AK106+1</f>
        <v>107</v>
      </c>
      <c r="AL107" s="61" t="str">
        <f aca="false">Y107</f>
        <v>imli</v>
      </c>
      <c r="AM107" s="81" t="str">
        <f aca="false">"a = Client().post('"&amp;W107&amp;"', {'recipe' : '"&amp;V107&amp;"', 'ingredient' : '"&amp;Z107&amp;"', 'name' : '"&amp;X107&amp;"', 'mass_unit' : '"&amp;AC107&amp;"', 'mass_quantity' : '"&amp;ROUND(AA107,3)&amp;"', 'volume_unit' : '"&amp;AF107&amp;"', 'volume_quantity' : '"&amp;ROUND(AD107,3)&amp;"', 'pieces_unit' : '"&amp;AI107&amp;"', 'pieces_quantity' : '"&amp;ROUND(AG107,3)&amp;"', 'cooking_notes' : '"&amp;AJ107&amp;"'}).status_code; print('%s :: %s :: %s :: %s :: %s' %(a,"&amp;G107&amp;",'"&amp;X107&amp;"','"&amp;Y107&amp;"','"&amp;U107&amp;"'))"</f>
        <v>a = Client().post('/recipes/spicy-potato/detail/', {'recipe' : '73', 'ingredient' : '98', 'name' : 'Imli', 'mass_unit' : '2', 'mass_quantity' : '0.75', 'volume_unit' : '1', 'volume_quantity' : '0', 'pieces_unit' : '3', 'pieces_quantity' : '0', 'cooking_notes' : ''}).status_code; print('%s :: %s :: %s :: %s :: %s' %(a,107,'Imli','imli','Spicy Potato'))</v>
      </c>
    </row>
    <row r="108" customFormat="false" ht="13.8" hidden="false" customHeight="false" outlineLevel="0" collapsed="false">
      <c r="G108" s="80" t="n">
        <v>108</v>
      </c>
      <c r="I108" s="82" t="s">
        <v>328</v>
      </c>
      <c r="J108" s="83" t="s">
        <v>542</v>
      </c>
      <c r="K108" s="61" t="n">
        <v>500</v>
      </c>
      <c r="L108" s="61" t="s">
        <v>109</v>
      </c>
      <c r="R108" s="82" t="str">
        <f aca="false">VLOOKUP(J108,ingredient!$N$4:$O$553,2,0)</f>
        <v>kashmiri chilly powder</v>
      </c>
      <c r="U108" s="81" t="str">
        <f aca="false">I108</f>
        <v>Spicy Potato</v>
      </c>
      <c r="V108" s="81" t="n">
        <f aca="false">VLOOKUP(U108,recipe_ingred_list!$A$2:$B$300,2,0)</f>
        <v>73</v>
      </c>
      <c r="W108" s="81" t="str">
        <f aca="false">"/recipes/"&amp;VLOOKUP(U108,recipe_ingred_list!$A$2:$C$300,3,0)&amp;"/detail/"</f>
        <v>/recipes/spicy-potato/detail/</v>
      </c>
      <c r="X108" s="81" t="str">
        <f aca="false">J108</f>
        <v>Kashmiri mirchi</v>
      </c>
      <c r="Y108" s="81" t="str">
        <f aca="false">R108</f>
        <v>kashmiri chilly powder</v>
      </c>
      <c r="Z108" s="94" t="n">
        <f aca="false">VLOOKUP(Y108,recipe_ingred_list!$D$2:$E$500,2,0)</f>
        <v>117</v>
      </c>
      <c r="AA108" s="61" t="n">
        <f aca="false">K108</f>
        <v>500</v>
      </c>
      <c r="AB108" s="61" t="str">
        <f aca="false">L108</f>
        <v>gm</v>
      </c>
      <c r="AC108" s="61" t="n">
        <f aca="false">VLOOKUP(AB108,recipe_ingred_list!$K$2:$M$7,3,0)</f>
        <v>7</v>
      </c>
      <c r="AD108" s="61" t="n">
        <f aca="false">M108</f>
        <v>0</v>
      </c>
      <c r="AE108" s="61" t="n">
        <f aca="false">N108</f>
        <v>0</v>
      </c>
      <c r="AF108" s="61" t="n">
        <f aca="false">VLOOKUP(AE108,recipe_ingred_list!$K$16:$M$25,3,0)</f>
        <v>1</v>
      </c>
      <c r="AG108" s="61" t="n">
        <f aca="false">O108</f>
        <v>0</v>
      </c>
      <c r="AH108" s="61" t="n">
        <f aca="false">P108</f>
        <v>0</v>
      </c>
      <c r="AI108" s="61" t="n">
        <f aca="false">VLOOKUP(AH108,recipe_ingred_list!$K$29:$M$34,3,0)</f>
        <v>3</v>
      </c>
      <c r="AJ108" s="61" t="str">
        <f aca="false">IF(Q108="","",Q108)</f>
        <v/>
      </c>
      <c r="AK108" s="61" t="n">
        <f aca="false">AK107+1</f>
        <v>108</v>
      </c>
      <c r="AL108" s="61" t="str">
        <f aca="false">Y108</f>
        <v>kashmiri chilly powder</v>
      </c>
      <c r="AM108" s="81" t="str">
        <f aca="false">"a = Client().post('"&amp;W108&amp;"', {'recipe' : '"&amp;V108&amp;"', 'ingredient' : '"&amp;Z108&amp;"', 'name' : '"&amp;X108&amp;"', 'mass_unit' : '"&amp;AC108&amp;"', 'mass_quantity' : '"&amp;ROUND(AA108,3)&amp;"', 'volume_unit' : '"&amp;AF108&amp;"', 'volume_quantity' : '"&amp;ROUND(AD108,3)&amp;"', 'pieces_unit' : '"&amp;AI108&amp;"', 'pieces_quantity' : '"&amp;ROUND(AG108,3)&amp;"', 'cooking_notes' : '"&amp;AJ108&amp;"'}).status_code; print('%s :: %s :: %s :: %s :: %s' %(a,"&amp;G108&amp;",'"&amp;X108&amp;"','"&amp;Y108&amp;"','"&amp;U108&amp;"'))"</f>
        <v>a = Client().post('/recipes/spicy-potato/detail/', {'recipe' : '73', 'ingredient' : '117', 'name' : 'Kashmiri mirchi', 'mass_unit' : '7', 'mass_quantity' : '500', 'volume_unit' : '1', 'volume_quantity' : '0', 'pieces_unit' : '3', 'pieces_quantity' : '0', 'cooking_notes' : ''}).status_code; print('%s :: %s :: %s :: %s :: %s' %(a,108,'Kashmiri mirchi','kashmiri chilly powder','Spicy Potato'))</v>
      </c>
    </row>
    <row r="109" customFormat="false" ht="13.8" hidden="false" customHeight="false" outlineLevel="0" collapsed="false">
      <c r="G109" s="80" t="n">
        <v>109</v>
      </c>
      <c r="I109" s="82" t="s">
        <v>328</v>
      </c>
      <c r="J109" s="83" t="s">
        <v>543</v>
      </c>
      <c r="K109" s="61" t="n">
        <v>120</v>
      </c>
      <c r="L109" s="61" t="s">
        <v>109</v>
      </c>
      <c r="R109" s="82" t="str">
        <f aca="false">VLOOKUP(J109,ingredient!$N$4:$O$553,2,0)</f>
        <v>madrasi mirchi powder</v>
      </c>
      <c r="U109" s="81" t="str">
        <f aca="false">I109</f>
        <v>Spicy Potato</v>
      </c>
      <c r="V109" s="81" t="n">
        <f aca="false">VLOOKUP(U109,recipe_ingred_list!$A$2:$B$300,2,0)</f>
        <v>73</v>
      </c>
      <c r="W109" s="81" t="str">
        <f aca="false">"/recipes/"&amp;VLOOKUP(U109,recipe_ingred_list!$A$2:$C$300,3,0)&amp;"/detail/"</f>
        <v>/recipes/spicy-potato/detail/</v>
      </c>
      <c r="X109" s="81" t="str">
        <f aca="false">J109</f>
        <v>Madrasi mirchi</v>
      </c>
      <c r="Y109" s="81" t="str">
        <f aca="false">R109</f>
        <v>madrasi mirchi powder</v>
      </c>
      <c r="Z109" s="94" t="n">
        <f aca="false">VLOOKUP(Y109,recipe_ingred_list!$D$2:$E$500,2,0)</f>
        <v>135</v>
      </c>
      <c r="AA109" s="61" t="n">
        <f aca="false">K109</f>
        <v>120</v>
      </c>
      <c r="AB109" s="61" t="str">
        <f aca="false">L109</f>
        <v>gm</v>
      </c>
      <c r="AC109" s="61" t="n">
        <f aca="false">VLOOKUP(AB109,recipe_ingred_list!$K$2:$M$7,3,0)</f>
        <v>7</v>
      </c>
      <c r="AD109" s="61" t="n">
        <f aca="false">M109</f>
        <v>0</v>
      </c>
      <c r="AE109" s="61" t="n">
        <f aca="false">N109</f>
        <v>0</v>
      </c>
      <c r="AF109" s="61" t="n">
        <f aca="false">VLOOKUP(AE109,recipe_ingred_list!$K$16:$M$25,3,0)</f>
        <v>1</v>
      </c>
      <c r="AG109" s="61" t="n">
        <f aca="false">O109</f>
        <v>0</v>
      </c>
      <c r="AH109" s="61" t="n">
        <f aca="false">P109</f>
        <v>0</v>
      </c>
      <c r="AI109" s="61" t="n">
        <f aca="false">VLOOKUP(AH109,recipe_ingred_list!$K$29:$M$34,3,0)</f>
        <v>3</v>
      </c>
      <c r="AJ109" s="61" t="str">
        <f aca="false">IF(Q109="","",Q109)</f>
        <v/>
      </c>
      <c r="AK109" s="61" t="n">
        <f aca="false">AK108+1</f>
        <v>109</v>
      </c>
      <c r="AL109" s="61" t="str">
        <f aca="false">Y109</f>
        <v>madrasi mirchi powder</v>
      </c>
      <c r="AM109" s="81" t="str">
        <f aca="false">"a = Client().post('"&amp;W109&amp;"', {'recipe' : '"&amp;V109&amp;"', 'ingredient' : '"&amp;Z109&amp;"', 'name' : '"&amp;X109&amp;"', 'mass_unit' : '"&amp;AC109&amp;"', 'mass_quantity' : '"&amp;ROUND(AA109,3)&amp;"', 'volume_unit' : '"&amp;AF109&amp;"', 'volume_quantity' : '"&amp;ROUND(AD109,3)&amp;"', 'pieces_unit' : '"&amp;AI109&amp;"', 'pieces_quantity' : '"&amp;ROUND(AG109,3)&amp;"', 'cooking_notes' : '"&amp;AJ109&amp;"'}).status_code; print('%s :: %s :: %s :: %s :: %s' %(a,"&amp;G109&amp;",'"&amp;X109&amp;"','"&amp;Y109&amp;"','"&amp;U109&amp;"'))"</f>
        <v>a = Client().post('/recipes/spicy-potato/detail/', {'recipe' : '73', 'ingredient' : '135', 'name' : 'Madrasi mirchi', 'mass_unit' : '7', 'mass_quantity' : '120', 'volume_unit' : '1', 'volume_quantity' : '0', 'pieces_unit' : '3', 'pieces_quantity' : '0', 'cooking_notes' : ''}).status_code; print('%s :: %s :: %s :: %s :: %s' %(a,109,'Madrasi mirchi','madrasi mirchi powder','Spicy Potato'))</v>
      </c>
    </row>
    <row r="110" customFormat="false" ht="13.8" hidden="false" customHeight="false" outlineLevel="0" collapsed="false">
      <c r="G110" s="80" t="n">
        <v>110</v>
      </c>
      <c r="I110" s="82" t="s">
        <v>328</v>
      </c>
      <c r="J110" s="83" t="s">
        <v>544</v>
      </c>
      <c r="M110" s="61" t="n">
        <v>8</v>
      </c>
      <c r="N110" s="61" t="s">
        <v>20</v>
      </c>
      <c r="R110" s="82" t="str">
        <f aca="false">VLOOKUP(J110,ingredient!$N$4:$O$553,2,0)</f>
        <v>akha dhaniya</v>
      </c>
      <c r="U110" s="81" t="str">
        <f aca="false">I110</f>
        <v>Spicy Potato</v>
      </c>
      <c r="V110" s="81" t="n">
        <f aca="false">VLOOKUP(U110,recipe_ingred_list!$A$2:$B$300,2,0)</f>
        <v>73</v>
      </c>
      <c r="W110" s="81" t="str">
        <f aca="false">"/recipes/"&amp;VLOOKUP(U110,recipe_ingred_list!$A$2:$C$300,3,0)&amp;"/detail/"</f>
        <v>/recipes/spicy-potato/detail/</v>
      </c>
      <c r="X110" s="81" t="str">
        <f aca="false">J110</f>
        <v>Akha dhaniya</v>
      </c>
      <c r="Y110" s="81" t="str">
        <f aca="false">R110</f>
        <v>akha dhaniya</v>
      </c>
      <c r="Z110" s="94" t="n">
        <f aca="false">VLOOKUP(Y110,recipe_ingred_list!$D$2:$E$500,2,0)</f>
        <v>3</v>
      </c>
      <c r="AA110" s="61" t="n">
        <f aca="false">K110</f>
        <v>0</v>
      </c>
      <c r="AB110" s="61" t="n">
        <f aca="false">L110</f>
        <v>0</v>
      </c>
      <c r="AC110" s="61" t="n">
        <f aca="false">VLOOKUP(AB110,recipe_ingred_list!$K$2:$M$7,3,0)</f>
        <v>2</v>
      </c>
      <c r="AD110" s="61" t="n">
        <f aca="false">M110</f>
        <v>8</v>
      </c>
      <c r="AE110" s="61" t="str">
        <f aca="false">N110</f>
        <v>cup</v>
      </c>
      <c r="AF110" s="61" t="n">
        <f aca="false">VLOOKUP(AE110,recipe_ingred_list!$K$16:$M$25,3,0)</f>
        <v>5</v>
      </c>
      <c r="AG110" s="61" t="n">
        <f aca="false">O110</f>
        <v>0</v>
      </c>
      <c r="AH110" s="61" t="n">
        <f aca="false">P110</f>
        <v>0</v>
      </c>
      <c r="AI110" s="61" t="n">
        <f aca="false">VLOOKUP(AH110,recipe_ingred_list!$K$29:$M$34,3,0)</f>
        <v>3</v>
      </c>
      <c r="AJ110" s="61" t="str">
        <f aca="false">IF(Q110="","",Q110)</f>
        <v/>
      </c>
      <c r="AK110" s="61" t="n">
        <f aca="false">AK109+1</f>
        <v>110</v>
      </c>
      <c r="AL110" s="61" t="str">
        <f aca="false">Y110</f>
        <v>akha dhaniya</v>
      </c>
      <c r="AM110" s="81" t="str">
        <f aca="false">"a = Client().post('"&amp;W110&amp;"', {'recipe' : '"&amp;V110&amp;"', 'ingredient' : '"&amp;Z110&amp;"', 'name' : '"&amp;X110&amp;"', 'mass_unit' : '"&amp;AC110&amp;"', 'mass_quantity' : '"&amp;ROUND(AA110,3)&amp;"', 'volume_unit' : '"&amp;AF110&amp;"', 'volume_quantity' : '"&amp;ROUND(AD110,3)&amp;"', 'pieces_unit' : '"&amp;AI110&amp;"', 'pieces_quantity' : '"&amp;ROUND(AG110,3)&amp;"', 'cooking_notes' : '"&amp;AJ110&amp;"'}).status_code; print('%s :: %s :: %s :: %s :: %s' %(a,"&amp;G110&amp;",'"&amp;X110&amp;"','"&amp;Y110&amp;"','"&amp;U110&amp;"'))"</f>
        <v>a = Client().post('/recipes/spicy-potato/detail/', {'recipe' : '73', 'ingredient' : '3', 'name' : 'Akha dhaniya', 'mass_unit' : '2', 'mass_quantity' : '0', 'volume_unit' : '5', 'volume_quantity' : '8', 'pieces_unit' : '3', 'pieces_quantity' : '0', 'cooking_notes' : ''}).status_code; print('%s :: %s :: %s :: %s :: %s' %(a,110,'Akha dhaniya','akha dhaniya','Spicy Potato'))</v>
      </c>
    </row>
    <row r="111" customFormat="false" ht="13.8" hidden="false" customHeight="false" outlineLevel="0" collapsed="false">
      <c r="G111" s="80" t="n">
        <v>111</v>
      </c>
      <c r="I111" s="82" t="s">
        <v>328</v>
      </c>
      <c r="J111" s="83" t="s">
        <v>32</v>
      </c>
      <c r="M111" s="61" t="n">
        <v>4</v>
      </c>
      <c r="N111" s="61" t="s">
        <v>20</v>
      </c>
      <c r="R111" s="82" t="str">
        <f aca="false">VLOOKUP(J111,ingredient!$N$4:$O$553,2,0)</f>
        <v>salt</v>
      </c>
      <c r="U111" s="81" t="str">
        <f aca="false">I111</f>
        <v>Spicy Potato</v>
      </c>
      <c r="V111" s="81" t="n">
        <f aca="false">VLOOKUP(U111,recipe_ingred_list!$A$2:$B$300,2,0)</f>
        <v>73</v>
      </c>
      <c r="W111" s="81" t="str">
        <f aca="false">"/recipes/"&amp;VLOOKUP(U111,recipe_ingred_list!$A$2:$C$300,3,0)&amp;"/detail/"</f>
        <v>/recipes/spicy-potato/detail/</v>
      </c>
      <c r="X111" s="81" t="str">
        <f aca="false">J111</f>
        <v>Salt</v>
      </c>
      <c r="Y111" s="81" t="str">
        <f aca="false">R111</f>
        <v>salt</v>
      </c>
      <c r="Z111" s="94" t="n">
        <f aca="false">VLOOKUP(Y111,recipe_ingred_list!$D$2:$E$500,2,0)</f>
        <v>177</v>
      </c>
      <c r="AA111" s="61" t="n">
        <f aca="false">K111</f>
        <v>0</v>
      </c>
      <c r="AB111" s="61" t="n">
        <f aca="false">L111</f>
        <v>0</v>
      </c>
      <c r="AC111" s="61" t="n">
        <f aca="false">VLOOKUP(AB111,recipe_ingred_list!$K$2:$M$7,3,0)</f>
        <v>2</v>
      </c>
      <c r="AD111" s="61" t="n">
        <f aca="false">M111</f>
        <v>4</v>
      </c>
      <c r="AE111" s="61" t="str">
        <f aca="false">N111</f>
        <v>cup</v>
      </c>
      <c r="AF111" s="61" t="n">
        <f aca="false">VLOOKUP(AE111,recipe_ingred_list!$K$16:$M$25,3,0)</f>
        <v>5</v>
      </c>
      <c r="AG111" s="61" t="n">
        <f aca="false">O111</f>
        <v>0</v>
      </c>
      <c r="AH111" s="61" t="n">
        <f aca="false">P111</f>
        <v>0</v>
      </c>
      <c r="AI111" s="61" t="n">
        <f aca="false">VLOOKUP(AH111,recipe_ingred_list!$K$29:$M$34,3,0)</f>
        <v>3</v>
      </c>
      <c r="AJ111" s="61" t="str">
        <f aca="false">IF(Q111="","",Q111)</f>
        <v/>
      </c>
      <c r="AK111" s="61" t="n">
        <f aca="false">AK110+1</f>
        <v>111</v>
      </c>
      <c r="AL111" s="61" t="str">
        <f aca="false">Y111</f>
        <v>salt</v>
      </c>
      <c r="AM111" s="81" t="str">
        <f aca="false">"a = Client().post('"&amp;W111&amp;"', {'recipe' : '"&amp;V111&amp;"', 'ingredient' : '"&amp;Z111&amp;"', 'name' : '"&amp;X111&amp;"', 'mass_unit' : '"&amp;AC111&amp;"', 'mass_quantity' : '"&amp;ROUND(AA111,3)&amp;"', 'volume_unit' : '"&amp;AF111&amp;"', 'volume_quantity' : '"&amp;ROUND(AD111,3)&amp;"', 'pieces_unit' : '"&amp;AI111&amp;"', 'pieces_quantity' : '"&amp;ROUND(AG111,3)&amp;"', 'cooking_notes' : '"&amp;AJ111&amp;"'}).status_code; print('%s :: %s :: %s :: %s :: %s' %(a,"&amp;G111&amp;",'"&amp;X111&amp;"','"&amp;Y111&amp;"','"&amp;U111&amp;"'))"</f>
        <v>a = Client().post('/recipes/spicy-potato/detail/', {'recipe' : '73', 'ingredient' : '177', 'name' : 'Salt', 'mass_unit' : '2', 'mass_quantity' : '0', 'volume_unit' : '5', 'volume_quantity' : '4', 'pieces_unit' : '3', 'pieces_quantity' : '0', 'cooking_notes' : ''}).status_code; print('%s :: %s :: %s :: %s :: %s' %(a,111,'Salt','salt','Spicy Potato'))</v>
      </c>
    </row>
    <row r="112" customFormat="false" ht="13.8" hidden="false" customHeight="false" outlineLevel="0" collapsed="false">
      <c r="G112" s="80" t="n">
        <v>112</v>
      </c>
      <c r="I112" s="82" t="s">
        <v>328</v>
      </c>
      <c r="J112" s="83" t="s">
        <v>545</v>
      </c>
      <c r="M112" s="61" t="n">
        <v>2</v>
      </c>
      <c r="N112" s="61" t="s">
        <v>13</v>
      </c>
      <c r="R112" s="82" t="str">
        <f aca="false">VLOOKUP(J112,ingredient!$N$4:$O$553,2,0)</f>
        <v>ground nut oil</v>
      </c>
      <c r="U112" s="81" t="str">
        <f aca="false">I112</f>
        <v>Spicy Potato</v>
      </c>
      <c r="V112" s="81" t="n">
        <f aca="false">VLOOKUP(U112,recipe_ingred_list!$A$2:$B$300,2,0)</f>
        <v>73</v>
      </c>
      <c r="W112" s="81" t="str">
        <f aca="false">"/recipes/"&amp;VLOOKUP(U112,recipe_ingred_list!$A$2:$C$300,3,0)&amp;"/detail/"</f>
        <v>/recipes/spicy-potato/detail/</v>
      </c>
      <c r="X112" s="81" t="str">
        <f aca="false">J112</f>
        <v>Grountnut Oil</v>
      </c>
      <c r="Y112" s="81" t="str">
        <f aca="false">R112</f>
        <v>ground nut oil</v>
      </c>
      <c r="Z112" s="94" t="n">
        <f aca="false">VLOOKUP(Y112,recipe_ingred_list!$D$2:$E$500,2,0)</f>
        <v>89</v>
      </c>
      <c r="AA112" s="61" t="n">
        <f aca="false">K112</f>
        <v>0</v>
      </c>
      <c r="AB112" s="61" t="n">
        <f aca="false">L112</f>
        <v>0</v>
      </c>
      <c r="AC112" s="61" t="n">
        <f aca="false">VLOOKUP(AB112,recipe_ingred_list!$K$2:$M$7,3,0)</f>
        <v>2</v>
      </c>
      <c r="AD112" s="61" t="n">
        <f aca="false">M112</f>
        <v>2</v>
      </c>
      <c r="AE112" s="61" t="str">
        <f aca="false">N112</f>
        <v>ltr</v>
      </c>
      <c r="AF112" s="61" t="n">
        <f aca="false">VLOOKUP(AE112,recipe_ingred_list!$K$16:$M$25,3,0)</f>
        <v>1</v>
      </c>
      <c r="AG112" s="61" t="n">
        <f aca="false">O112</f>
        <v>0</v>
      </c>
      <c r="AH112" s="61" t="n">
        <f aca="false">P112</f>
        <v>0</v>
      </c>
      <c r="AI112" s="61" t="n">
        <f aca="false">VLOOKUP(AH112,recipe_ingred_list!$K$29:$M$34,3,0)</f>
        <v>3</v>
      </c>
      <c r="AJ112" s="61" t="str">
        <f aca="false">IF(Q112="","",Q112)</f>
        <v/>
      </c>
      <c r="AK112" s="61" t="n">
        <f aca="false">AK111+1</f>
        <v>112</v>
      </c>
      <c r="AL112" s="61" t="str">
        <f aca="false">Y112</f>
        <v>ground nut oil</v>
      </c>
      <c r="AM112" s="81" t="str">
        <f aca="false">"a = Client().post('"&amp;W112&amp;"', {'recipe' : '"&amp;V112&amp;"', 'ingredient' : '"&amp;Z112&amp;"', 'name' : '"&amp;X112&amp;"', 'mass_unit' : '"&amp;AC112&amp;"', 'mass_quantity' : '"&amp;ROUND(AA112,3)&amp;"', 'volume_unit' : '"&amp;AF112&amp;"', 'volume_quantity' : '"&amp;ROUND(AD112,3)&amp;"', 'pieces_unit' : '"&amp;AI112&amp;"', 'pieces_quantity' : '"&amp;ROUND(AG112,3)&amp;"', 'cooking_notes' : '"&amp;AJ112&amp;"'}).status_code; print('%s :: %s :: %s :: %s :: %s' %(a,"&amp;G112&amp;",'"&amp;X112&amp;"','"&amp;Y112&amp;"','"&amp;U112&amp;"'))"</f>
        <v>a = Client().post('/recipes/spicy-potato/detail/', {'recipe' : '73', 'ingredient' : '89', 'name' : 'Grountnut Oil', 'mass_unit' : '2', 'mass_quantity' : '0', 'volume_unit' : '1', 'volume_quantity' : '2', 'pieces_unit' : '3', 'pieces_quantity' : '0', 'cooking_notes' : ''}).status_code; print('%s :: %s :: %s :: %s :: %s' %(a,112,'Grountnut Oil','ground nut oil','Spicy Potato'))</v>
      </c>
    </row>
    <row r="113" customFormat="false" ht="13.8" hidden="false" customHeight="false" outlineLevel="0" collapsed="false">
      <c r="G113" s="80" t="n">
        <v>113</v>
      </c>
      <c r="I113" s="82" t="s">
        <v>328</v>
      </c>
      <c r="J113" s="83" t="s">
        <v>43</v>
      </c>
      <c r="M113" s="61" t="n">
        <v>10</v>
      </c>
      <c r="N113" s="61" t="s">
        <v>13</v>
      </c>
      <c r="R113" s="82" t="str">
        <f aca="false">VLOOKUP(J113,ingredient!$N$4:$O$553,2,0)</f>
        <v>hot water</v>
      </c>
      <c r="U113" s="81" t="str">
        <f aca="false">I113</f>
        <v>Spicy Potato</v>
      </c>
      <c r="V113" s="81" t="n">
        <f aca="false">VLOOKUP(U113,recipe_ingred_list!$A$2:$B$300,2,0)</f>
        <v>73</v>
      </c>
      <c r="W113" s="81" t="str">
        <f aca="false">"/recipes/"&amp;VLOOKUP(U113,recipe_ingred_list!$A$2:$C$300,3,0)&amp;"/detail/"</f>
        <v>/recipes/spicy-potato/detail/</v>
      </c>
      <c r="X113" s="81" t="str">
        <f aca="false">J113</f>
        <v>Hot water</v>
      </c>
      <c r="Y113" s="81" t="str">
        <f aca="false">R113</f>
        <v>hot water</v>
      </c>
      <c r="Z113" s="94" t="n">
        <f aca="false">VLOOKUP(Y113,recipe_ingred_list!$D$2:$E$500,2,0)</f>
        <v>97</v>
      </c>
      <c r="AA113" s="61" t="n">
        <f aca="false">K113</f>
        <v>0</v>
      </c>
      <c r="AB113" s="61" t="n">
        <f aca="false">L113</f>
        <v>0</v>
      </c>
      <c r="AC113" s="61" t="n">
        <f aca="false">VLOOKUP(AB113,recipe_ingred_list!$K$2:$M$7,3,0)</f>
        <v>2</v>
      </c>
      <c r="AD113" s="61" t="n">
        <f aca="false">M113</f>
        <v>10</v>
      </c>
      <c r="AE113" s="61" t="str">
        <f aca="false">N113</f>
        <v>ltr</v>
      </c>
      <c r="AF113" s="61" t="n">
        <f aca="false">VLOOKUP(AE113,recipe_ingred_list!$K$16:$M$25,3,0)</f>
        <v>1</v>
      </c>
      <c r="AG113" s="61" t="n">
        <f aca="false">O113</f>
        <v>0</v>
      </c>
      <c r="AH113" s="61" t="n">
        <f aca="false">P113</f>
        <v>0</v>
      </c>
      <c r="AI113" s="61" t="n">
        <f aca="false">VLOOKUP(AH113,recipe_ingred_list!$K$29:$M$34,3,0)</f>
        <v>3</v>
      </c>
      <c r="AJ113" s="61" t="str">
        <f aca="false">IF(Q113="","",Q113)</f>
        <v/>
      </c>
      <c r="AK113" s="61" t="n">
        <f aca="false">AK112+1</f>
        <v>113</v>
      </c>
      <c r="AL113" s="61" t="str">
        <f aca="false">Y113</f>
        <v>hot water</v>
      </c>
      <c r="AM113" s="81" t="str">
        <f aca="false">"a = Client().post('"&amp;W113&amp;"', {'recipe' : '"&amp;V113&amp;"', 'ingredient' : '"&amp;Z113&amp;"', 'name' : '"&amp;X113&amp;"', 'mass_unit' : '"&amp;AC113&amp;"', 'mass_quantity' : '"&amp;ROUND(AA113,3)&amp;"', 'volume_unit' : '"&amp;AF113&amp;"', 'volume_quantity' : '"&amp;ROUND(AD113,3)&amp;"', 'pieces_unit' : '"&amp;AI113&amp;"', 'pieces_quantity' : '"&amp;ROUND(AG113,3)&amp;"', 'cooking_notes' : '"&amp;AJ113&amp;"'}).status_code; print('%s :: %s :: %s :: %s :: %s' %(a,"&amp;G113&amp;",'"&amp;X113&amp;"','"&amp;Y113&amp;"','"&amp;U113&amp;"'))"</f>
        <v>a = Client().post('/recipes/spicy-potato/detail/', {'recipe' : '73', 'ingredient' : '97', 'name' : 'Hot water', 'mass_unit' : '2', 'mass_quantity' : '0', 'volume_unit' : '1', 'volume_quantity' : '10', 'pieces_unit' : '3', 'pieces_quantity' : '0', 'cooking_notes' : ''}).status_code; print('%s :: %s :: %s :: %s :: %s' %(a,113,'Hot water','hot water','Spicy Potato'))</v>
      </c>
    </row>
    <row r="114" customFormat="false" ht="13.8" hidden="false" customHeight="false" outlineLevel="0" collapsed="false">
      <c r="G114" s="80" t="n">
        <v>114</v>
      </c>
      <c r="H114" s="98"/>
      <c r="I114" s="99" t="s">
        <v>328</v>
      </c>
      <c r="J114" s="79" t="s">
        <v>26</v>
      </c>
      <c r="K114" s="100"/>
      <c r="L114" s="100"/>
      <c r="M114" s="100" t="n">
        <v>60</v>
      </c>
      <c r="N114" s="100" t="s">
        <v>13</v>
      </c>
      <c r="O114" s="101"/>
      <c r="P114" s="100"/>
      <c r="Q114" s="102"/>
      <c r="R114" s="99" t="e">
        <f aca="false">VLOOKUP(J114,ingredient!$N$4:$O$553,2,0)</f>
        <v>#N/A</v>
      </c>
      <c r="S114" s="98"/>
      <c r="T114" s="98"/>
      <c r="U114" s="81" t="str">
        <f aca="false">I114</f>
        <v>Spicy Potato</v>
      </c>
      <c r="V114" s="81" t="n">
        <f aca="false">VLOOKUP(U114,recipe_ingred_list!$A$2:$B$300,2,0)</f>
        <v>73</v>
      </c>
      <c r="W114" s="81" t="str">
        <f aca="false">"/recipes/"&amp;VLOOKUP(U114,recipe_ingred_list!$A$2:$C$300,3,0)&amp;"/detail/"</f>
        <v>/recipes/spicy-potato/detail/</v>
      </c>
      <c r="X114" s="81" t="str">
        <f aca="false">J114</f>
        <v>YIELD</v>
      </c>
      <c r="Y114" s="81" t="e">
        <f aca="false">R114</f>
        <v>#N/A</v>
      </c>
      <c r="Z114" s="94" t="e">
        <f aca="false">VLOOKUP(Y114,recipe_ingred_list!$D$2:$E$500,2,0)</f>
        <v>#N/A</v>
      </c>
      <c r="AA114" s="61" t="n">
        <f aca="false">K114</f>
        <v>0</v>
      </c>
      <c r="AB114" s="61" t="n">
        <f aca="false">L114</f>
        <v>0</v>
      </c>
      <c r="AC114" s="61" t="n">
        <f aca="false">VLOOKUP(AB114,recipe_ingred_list!$K$2:$M$7,3,0)</f>
        <v>2</v>
      </c>
      <c r="AD114" s="61" t="n">
        <f aca="false">M114</f>
        <v>60</v>
      </c>
      <c r="AE114" s="61" t="str">
        <f aca="false">N114</f>
        <v>ltr</v>
      </c>
      <c r="AF114" s="61" t="n">
        <f aca="false">VLOOKUP(AE114,recipe_ingred_list!$K$16:$M$25,3,0)</f>
        <v>1</v>
      </c>
      <c r="AG114" s="61" t="n">
        <f aca="false">O114</f>
        <v>0</v>
      </c>
      <c r="AH114" s="61" t="n">
        <f aca="false">P114</f>
        <v>0</v>
      </c>
      <c r="AI114" s="61" t="n">
        <f aca="false">VLOOKUP(AH114,recipe_ingred_list!$K$29:$M$34,3,0)</f>
        <v>3</v>
      </c>
      <c r="AJ114" s="61" t="str">
        <f aca="false">IF(Q114="","",Q114)</f>
        <v/>
      </c>
      <c r="AK114" s="61" t="n">
        <f aca="false">AK113+1</f>
        <v>114</v>
      </c>
      <c r="AL114" s="61" t="e">
        <f aca="false">Y114</f>
        <v>#N/A</v>
      </c>
      <c r="AM114" s="81" t="e">
        <f aca="false">"a = Client().post('"&amp;W114&amp;"', {'recipe' : '"&amp;V114&amp;"', 'ingredient' : '"&amp;Z114&amp;"', 'name' : '"&amp;X114&amp;"', 'mass_unit' : '"&amp;AC114&amp;"', 'mass_quantity' : '"&amp;ROUND(AA114,3)&amp;"', 'volume_unit' : '"&amp;AF114&amp;"', 'volume_quantity' : '"&amp;ROUND(AD114,3)&amp;"', 'pieces_unit' : '"&amp;AI114&amp;"', 'pieces_quantity' : '"&amp;ROUND(AG114,3)&amp;"', 'cooking_notes' : '"&amp;AJ114&amp;"'}).status_code; print('%s :: %s :: %s :: %s :: %s' %(a,"&amp;G114&amp;",'"&amp;X114&amp;"','"&amp;Y114&amp;"','"&amp;U114&amp;"'))"</f>
        <v>#N/A</v>
      </c>
    </row>
    <row r="115" customFormat="false" ht="13.8" hidden="false" customHeight="false" outlineLevel="0" collapsed="false">
      <c r="G115" s="80" t="n">
        <v>115</v>
      </c>
      <c r="H115" s="98"/>
      <c r="I115" s="99"/>
      <c r="J115" s="79"/>
      <c r="K115" s="100"/>
      <c r="L115" s="100"/>
      <c r="M115" s="100"/>
      <c r="N115" s="100"/>
      <c r="O115" s="101"/>
      <c r="P115" s="100"/>
      <c r="Q115" s="102"/>
      <c r="R115" s="99" t="e">
        <f aca="false">VLOOKUP(J115,ingredient!$N$4:$O$553,2,0)</f>
        <v>#N/A</v>
      </c>
      <c r="S115" s="98"/>
      <c r="T115" s="98"/>
      <c r="U115" s="81" t="n">
        <f aca="false">I115</f>
        <v>0</v>
      </c>
      <c r="V115" s="81" t="e">
        <f aca="false">VLOOKUP(U115,recipe_ingred_list!$A$2:$B$300,2,0)</f>
        <v>#N/A</v>
      </c>
      <c r="W115" s="81" t="e">
        <f aca="false">"/recipes/"&amp;VLOOKUP(U115,recipe_ingred_list!$A$2:$C$300,3,0)&amp;"/detail/"</f>
        <v>#N/A</v>
      </c>
      <c r="X115" s="81" t="n">
        <f aca="false">J115</f>
        <v>0</v>
      </c>
      <c r="Y115" s="81" t="e">
        <f aca="false">R115</f>
        <v>#N/A</v>
      </c>
      <c r="Z115" s="94" t="e">
        <f aca="false">VLOOKUP(Y115,recipe_ingred_list!$D$2:$E$500,2,0)</f>
        <v>#N/A</v>
      </c>
      <c r="AA115" s="61" t="n">
        <f aca="false">K115</f>
        <v>0</v>
      </c>
      <c r="AB115" s="61" t="n">
        <f aca="false">L115</f>
        <v>0</v>
      </c>
      <c r="AC115" s="61" t="n">
        <f aca="false">VLOOKUP(AB115,recipe_ingred_list!$K$2:$M$7,3,0)</f>
        <v>2</v>
      </c>
      <c r="AD115" s="61" t="n">
        <f aca="false">M115</f>
        <v>0</v>
      </c>
      <c r="AE115" s="61" t="n">
        <f aca="false">N115</f>
        <v>0</v>
      </c>
      <c r="AF115" s="61" t="n">
        <f aca="false">VLOOKUP(AE115,recipe_ingred_list!$K$16:$M$25,3,0)</f>
        <v>1</v>
      </c>
      <c r="AG115" s="61" t="n">
        <f aca="false">O115</f>
        <v>0</v>
      </c>
      <c r="AH115" s="61" t="n">
        <f aca="false">P115</f>
        <v>0</v>
      </c>
      <c r="AI115" s="61" t="n">
        <f aca="false">VLOOKUP(AH115,recipe_ingred_list!$K$29:$M$34,3,0)</f>
        <v>3</v>
      </c>
      <c r="AJ115" s="61" t="str">
        <f aca="false">IF(Q115="","",Q115)</f>
        <v/>
      </c>
      <c r="AK115" s="61" t="n">
        <f aca="false">AK114+1</f>
        <v>115</v>
      </c>
      <c r="AL115" s="61" t="e">
        <f aca="false">Y115</f>
        <v>#N/A</v>
      </c>
      <c r="AM115" s="81" t="e">
        <f aca="false">"a = Client().post('"&amp;W115&amp;"', {'recipe' : '"&amp;V115&amp;"', 'ingredient' : '"&amp;Z115&amp;"', 'name' : '"&amp;X115&amp;"', 'mass_unit' : '"&amp;AC115&amp;"', 'mass_quantity' : '"&amp;ROUND(AA115,3)&amp;"', 'volume_unit' : '"&amp;AF115&amp;"', 'volume_quantity' : '"&amp;ROUND(AD115,3)&amp;"', 'pieces_unit' : '"&amp;AI115&amp;"', 'pieces_quantity' : '"&amp;ROUND(AG115,3)&amp;"', 'cooking_notes' : '"&amp;AJ115&amp;"'}).status_code; print('%s :: %s :: %s :: %s :: %s' %(a,"&amp;G115&amp;",'"&amp;X115&amp;"','"&amp;Y115&amp;"','"&amp;U115&amp;"'))"</f>
        <v>#N/A</v>
      </c>
    </row>
    <row r="116" customFormat="false" ht="14.9" hidden="false" customHeight="false" outlineLevel="0" collapsed="false">
      <c r="G116" s="80" t="n">
        <v>116</v>
      </c>
      <c r="I116" s="82" t="s">
        <v>289</v>
      </c>
      <c r="J116" s="83" t="s">
        <v>10</v>
      </c>
      <c r="K116" s="61" t="n">
        <v>35</v>
      </c>
      <c r="L116" s="61" t="s">
        <v>7</v>
      </c>
      <c r="Q116" s="84" t="s">
        <v>546</v>
      </c>
      <c r="R116" s="82" t="str">
        <f aca="false">VLOOKUP(J116,ingredient!$N$4:$O$553,2,0)</f>
        <v>alu</v>
      </c>
      <c r="U116" s="81" t="str">
        <f aca="false">I116</f>
        <v>Pav Bhaji Bhaji</v>
      </c>
      <c r="V116" s="81" t="n">
        <f aca="false">VLOOKUP(U116,recipe_ingred_list!$A$2:$B$300,2,0)</f>
        <v>60</v>
      </c>
      <c r="W116" s="81" t="str">
        <f aca="false">"/recipes/"&amp;VLOOKUP(U116,recipe_ingred_list!$A$2:$C$300,3,0)&amp;"/detail/"</f>
        <v>/recipes/pav-bhaji-bhaji/detail/</v>
      </c>
      <c r="X116" s="81" t="str">
        <f aca="false">J116</f>
        <v>Alu</v>
      </c>
      <c r="Y116" s="81" t="str">
        <f aca="false">R116</f>
        <v>alu</v>
      </c>
      <c r="Z116" s="94" t="n">
        <f aca="false">VLOOKUP(Y116,recipe_ingred_list!$D$2:$E$500,2,0)</f>
        <v>8</v>
      </c>
      <c r="AA116" s="61" t="n">
        <f aca="false">K116</f>
        <v>35</v>
      </c>
      <c r="AB116" s="61" t="str">
        <f aca="false">L116</f>
        <v>kg</v>
      </c>
      <c r="AC116" s="61" t="n">
        <f aca="false">VLOOKUP(AB116,recipe_ingred_list!$K$2:$M$7,3,0)</f>
        <v>2</v>
      </c>
      <c r="AD116" s="61" t="n">
        <f aca="false">M116</f>
        <v>0</v>
      </c>
      <c r="AE116" s="61" t="n">
        <f aca="false">N116</f>
        <v>0</v>
      </c>
      <c r="AF116" s="61" t="n">
        <f aca="false">VLOOKUP(AE116,recipe_ingred_list!$K$16:$M$25,3,0)</f>
        <v>1</v>
      </c>
      <c r="AG116" s="61" t="n">
        <f aca="false">O116</f>
        <v>0</v>
      </c>
      <c r="AH116" s="61" t="n">
        <f aca="false">P116</f>
        <v>0</v>
      </c>
      <c r="AI116" s="61" t="n">
        <f aca="false">VLOOKUP(AH116,recipe_ingred_list!$K$29:$M$34,3,0)</f>
        <v>3</v>
      </c>
      <c r="AJ116" s="61" t="str">
        <f aca="false">IF(Q116="","",Q116)</f>
        <v>boiled,mashed</v>
      </c>
      <c r="AK116" s="61" t="n">
        <f aca="false">AK115+1</f>
        <v>116</v>
      </c>
      <c r="AL116" s="61" t="str">
        <f aca="false">Y116</f>
        <v>alu</v>
      </c>
      <c r="AM116" s="81" t="str">
        <f aca="false">"a = Client().post('"&amp;W116&amp;"', {'recipe' : '"&amp;V116&amp;"', 'ingredient' : '"&amp;Z116&amp;"', 'name' : '"&amp;X116&amp;"', 'mass_unit' : '"&amp;AC116&amp;"', 'mass_quantity' : '"&amp;ROUND(AA116,3)&amp;"', 'volume_unit' : '"&amp;AF116&amp;"', 'volume_quantity' : '"&amp;ROUND(AD116,3)&amp;"', 'pieces_unit' : '"&amp;AI116&amp;"', 'pieces_quantity' : '"&amp;ROUND(AG116,3)&amp;"', 'cooking_notes' : '"&amp;AJ116&amp;"'}).status_code; print('%s :: %s :: %s :: %s :: %s' %(a,"&amp;G116&amp;",'"&amp;X116&amp;"','"&amp;Y116&amp;"','"&amp;U116&amp;"'))"</f>
        <v>a = Client().post('/recipes/pav-bhaji-bhaji/detail/', {'recipe' : '60', 'ingredient' : '8', 'name' : 'Alu', 'mass_unit' : '2', 'mass_quantity' : '35', 'volume_unit' : '1', 'volume_quantity' : '0', 'pieces_unit' : '3', 'pieces_quantity' : '0', 'cooking_notes' : 'boiled,mashed'}).status_code; print('%s :: %s :: %s :: %s :: %s' %(a,116,'Alu','alu','Pav Bhaji Bhaji'))</v>
      </c>
    </row>
    <row r="117" customFormat="false" ht="14.9" hidden="false" customHeight="false" outlineLevel="0" collapsed="false">
      <c r="G117" s="80" t="n">
        <v>117</v>
      </c>
      <c r="I117" s="82" t="s">
        <v>289</v>
      </c>
      <c r="J117" s="83" t="s">
        <v>21</v>
      </c>
      <c r="K117" s="61" t="n">
        <v>30</v>
      </c>
      <c r="L117" s="61" t="s">
        <v>7</v>
      </c>
      <c r="Q117" s="84" t="s">
        <v>547</v>
      </c>
      <c r="R117" s="82" t="str">
        <f aca="false">VLOOKUP(J117,ingredient!$N$4:$O$553,2,0)</f>
        <v>tomato</v>
      </c>
      <c r="U117" s="81" t="str">
        <f aca="false">I117</f>
        <v>Pav Bhaji Bhaji</v>
      </c>
      <c r="V117" s="81" t="n">
        <f aca="false">VLOOKUP(U117,recipe_ingred_list!$A$2:$B$300,2,0)</f>
        <v>60</v>
      </c>
      <c r="W117" s="81" t="str">
        <f aca="false">"/recipes/"&amp;VLOOKUP(U117,recipe_ingred_list!$A$2:$C$300,3,0)&amp;"/detail/"</f>
        <v>/recipes/pav-bhaji-bhaji/detail/</v>
      </c>
      <c r="X117" s="81" t="str">
        <f aca="false">J117</f>
        <v>Tomato</v>
      </c>
      <c r="Y117" s="81" t="str">
        <f aca="false">R117</f>
        <v>tomato</v>
      </c>
      <c r="Z117" s="94" t="n">
        <f aca="false">VLOOKUP(Y117,recipe_ingred_list!$D$2:$E$500,2,0)</f>
        <v>195</v>
      </c>
      <c r="AA117" s="61" t="n">
        <f aca="false">K117</f>
        <v>30</v>
      </c>
      <c r="AB117" s="61" t="str">
        <f aca="false">L117</f>
        <v>kg</v>
      </c>
      <c r="AC117" s="61" t="n">
        <f aca="false">VLOOKUP(AB117,recipe_ingred_list!$K$2:$M$7,3,0)</f>
        <v>2</v>
      </c>
      <c r="AD117" s="61" t="n">
        <f aca="false">M117</f>
        <v>0</v>
      </c>
      <c r="AE117" s="61" t="n">
        <f aca="false">N117</f>
        <v>0</v>
      </c>
      <c r="AF117" s="61" t="n">
        <f aca="false">VLOOKUP(AE117,recipe_ingred_list!$K$16:$M$25,3,0)</f>
        <v>1</v>
      </c>
      <c r="AG117" s="61" t="n">
        <f aca="false">O117</f>
        <v>0</v>
      </c>
      <c r="AH117" s="61" t="n">
        <f aca="false">P117</f>
        <v>0</v>
      </c>
      <c r="AI117" s="61" t="n">
        <f aca="false">VLOOKUP(AH117,recipe_ingred_list!$K$29:$M$34,3,0)</f>
        <v>3</v>
      </c>
      <c r="AJ117" s="61" t="str">
        <f aca="false">IF(Q117="","",Q117)</f>
        <v>steam puree</v>
      </c>
      <c r="AK117" s="61" t="n">
        <f aca="false">AK116+1</f>
        <v>117</v>
      </c>
      <c r="AL117" s="61" t="str">
        <f aca="false">Y117</f>
        <v>tomato</v>
      </c>
      <c r="AM117" s="81" t="str">
        <f aca="false">"a = Client().post('"&amp;W117&amp;"', {'recipe' : '"&amp;V117&amp;"', 'ingredient' : '"&amp;Z117&amp;"', 'name' : '"&amp;X117&amp;"', 'mass_unit' : '"&amp;AC117&amp;"', 'mass_quantity' : '"&amp;ROUND(AA117,3)&amp;"', 'volume_unit' : '"&amp;AF117&amp;"', 'volume_quantity' : '"&amp;ROUND(AD117,3)&amp;"', 'pieces_unit' : '"&amp;AI117&amp;"', 'pieces_quantity' : '"&amp;ROUND(AG117,3)&amp;"', 'cooking_notes' : '"&amp;AJ117&amp;"'}).status_code; print('%s :: %s :: %s :: %s :: %s' %(a,"&amp;G117&amp;",'"&amp;X117&amp;"','"&amp;Y117&amp;"','"&amp;U117&amp;"'))"</f>
        <v>a = Client().post('/recipes/pav-bhaji-bhaji/detail/', {'recipe' : '60', 'ingredient' : '195', 'name' : 'Tomato', 'mass_unit' : '2', 'mass_quantity' : '30', 'volume_unit' : '1', 'volume_quantity' : '0', 'pieces_unit' : '3', 'pieces_quantity' : '0', 'cooking_notes' : 'steam puree'}).status_code; print('%s :: %s :: %s :: %s :: %s' %(a,117,'Tomato','tomato','Pav Bhaji Bhaji'))</v>
      </c>
    </row>
    <row r="118" customFormat="false" ht="14.9" hidden="false" customHeight="false" outlineLevel="0" collapsed="false">
      <c r="G118" s="80" t="n">
        <v>118</v>
      </c>
      <c r="I118" s="82" t="s">
        <v>289</v>
      </c>
      <c r="J118" s="83" t="s">
        <v>548</v>
      </c>
      <c r="K118" s="61" t="n">
        <v>3</v>
      </c>
      <c r="L118" s="61" t="s">
        <v>7</v>
      </c>
      <c r="Q118" s="84" t="s">
        <v>546</v>
      </c>
      <c r="R118" s="82" t="str">
        <f aca="false">VLOOKUP(J118,ingredient!$N$4:$O$553,2,0)</f>
        <v>safed watana</v>
      </c>
      <c r="U118" s="81" t="str">
        <f aca="false">I118</f>
        <v>Pav Bhaji Bhaji</v>
      </c>
      <c r="V118" s="81" t="n">
        <f aca="false">VLOOKUP(U118,recipe_ingred_list!$A$2:$B$300,2,0)</f>
        <v>60</v>
      </c>
      <c r="W118" s="81" t="str">
        <f aca="false">"/recipes/"&amp;VLOOKUP(U118,recipe_ingred_list!$A$2:$C$300,3,0)&amp;"/detail/"</f>
        <v>/recipes/pav-bhaji-bhaji/detail/</v>
      </c>
      <c r="X118" s="81" t="str">
        <f aca="false">J118</f>
        <v>Safed watana or</v>
      </c>
      <c r="Y118" s="81" t="str">
        <f aca="false">R118</f>
        <v>safed watana</v>
      </c>
      <c r="Z118" s="94" t="n">
        <f aca="false">VLOOKUP(Y118,recipe_ingred_list!$D$2:$E$500,2,0)</f>
        <v>176</v>
      </c>
      <c r="AA118" s="61" t="n">
        <f aca="false">K118</f>
        <v>3</v>
      </c>
      <c r="AB118" s="61" t="str">
        <f aca="false">L118</f>
        <v>kg</v>
      </c>
      <c r="AC118" s="61" t="n">
        <f aca="false">VLOOKUP(AB118,recipe_ingred_list!$K$2:$M$7,3,0)</f>
        <v>2</v>
      </c>
      <c r="AD118" s="61" t="n">
        <f aca="false">M118</f>
        <v>0</v>
      </c>
      <c r="AE118" s="61" t="n">
        <f aca="false">N118</f>
        <v>0</v>
      </c>
      <c r="AF118" s="61" t="n">
        <f aca="false">VLOOKUP(AE118,recipe_ingred_list!$K$16:$M$25,3,0)</f>
        <v>1</v>
      </c>
      <c r="AG118" s="61" t="n">
        <f aca="false">O118</f>
        <v>0</v>
      </c>
      <c r="AH118" s="61" t="n">
        <f aca="false">P118</f>
        <v>0</v>
      </c>
      <c r="AI118" s="61" t="n">
        <f aca="false">VLOOKUP(AH118,recipe_ingred_list!$K$29:$M$34,3,0)</f>
        <v>3</v>
      </c>
      <c r="AJ118" s="61" t="str">
        <f aca="false">IF(Q118="","",Q118)</f>
        <v>boiled,mashed</v>
      </c>
      <c r="AK118" s="61" t="n">
        <f aca="false">AK117+1</f>
        <v>118</v>
      </c>
      <c r="AL118" s="61" t="str">
        <f aca="false">Y118</f>
        <v>safed watana</v>
      </c>
      <c r="AM118" s="81" t="str">
        <f aca="false">"a = Client().post('"&amp;W118&amp;"', {'recipe' : '"&amp;V118&amp;"', 'ingredient' : '"&amp;Z118&amp;"', 'name' : '"&amp;X118&amp;"', 'mass_unit' : '"&amp;AC118&amp;"', 'mass_quantity' : '"&amp;ROUND(AA118,3)&amp;"', 'volume_unit' : '"&amp;AF118&amp;"', 'volume_quantity' : '"&amp;ROUND(AD118,3)&amp;"', 'pieces_unit' : '"&amp;AI118&amp;"', 'pieces_quantity' : '"&amp;ROUND(AG118,3)&amp;"', 'cooking_notes' : '"&amp;AJ118&amp;"'}).status_code; print('%s :: %s :: %s :: %s :: %s' %(a,"&amp;G118&amp;",'"&amp;X118&amp;"','"&amp;Y118&amp;"','"&amp;U118&amp;"'))"</f>
        <v>a = Client().post('/recipes/pav-bhaji-bhaji/detail/', {'recipe' : '60', 'ingredient' : '176', 'name' : 'Safed watana or', 'mass_unit' : '2', 'mass_quantity' : '3', 'volume_unit' : '1', 'volume_quantity' : '0', 'pieces_unit' : '3', 'pieces_quantity' : '0', 'cooking_notes' : 'boiled,mashed'}).status_code; print('%s :: %s :: %s :: %s :: %s' %(a,118,'Safed watana or','safed watana','Pav Bhaji Bhaji'))</v>
      </c>
    </row>
    <row r="119" customFormat="false" ht="14.9" hidden="false" customHeight="false" outlineLevel="0" collapsed="false">
      <c r="G119" s="80" t="n">
        <v>119</v>
      </c>
      <c r="I119" s="82" t="s">
        <v>289</v>
      </c>
      <c r="J119" s="83" t="s">
        <v>549</v>
      </c>
      <c r="K119" s="61" t="n">
        <v>7</v>
      </c>
      <c r="L119" s="61" t="s">
        <v>7</v>
      </c>
      <c r="Q119" s="84" t="s">
        <v>546</v>
      </c>
      <c r="R119" s="82" t="str">
        <f aca="false">VLOOKUP(J119,ingredient!$N$4:$O$553,2,0)</f>
        <v>green peas</v>
      </c>
      <c r="U119" s="81" t="str">
        <f aca="false">I119</f>
        <v>Pav Bhaji Bhaji</v>
      </c>
      <c r="V119" s="81" t="n">
        <f aca="false">VLOOKUP(U119,recipe_ingred_list!$A$2:$B$300,2,0)</f>
        <v>60</v>
      </c>
      <c r="W119" s="81" t="str">
        <f aca="false">"/recipes/"&amp;VLOOKUP(U119,recipe_ingred_list!$A$2:$C$300,3,0)&amp;"/detail/"</f>
        <v>/recipes/pav-bhaji-bhaji/detail/</v>
      </c>
      <c r="X119" s="81" t="str">
        <f aca="false">J119</f>
        <v>Green peas</v>
      </c>
      <c r="Y119" s="81" t="str">
        <f aca="false">R119</f>
        <v>green peas</v>
      </c>
      <c r="Z119" s="94" t="n">
        <f aca="false">VLOOKUP(Y119,recipe_ingred_list!$D$2:$E$500,2,0)</f>
        <v>88</v>
      </c>
      <c r="AA119" s="61" t="n">
        <f aca="false">K119</f>
        <v>7</v>
      </c>
      <c r="AB119" s="61" t="str">
        <f aca="false">L119</f>
        <v>kg</v>
      </c>
      <c r="AC119" s="61" t="n">
        <f aca="false">VLOOKUP(AB119,recipe_ingred_list!$K$2:$M$7,3,0)</f>
        <v>2</v>
      </c>
      <c r="AD119" s="61" t="n">
        <f aca="false">M119</f>
        <v>0</v>
      </c>
      <c r="AE119" s="61" t="n">
        <f aca="false">N119</f>
        <v>0</v>
      </c>
      <c r="AF119" s="61" t="n">
        <f aca="false">VLOOKUP(AE119,recipe_ingred_list!$K$16:$M$25,3,0)</f>
        <v>1</v>
      </c>
      <c r="AG119" s="61" t="n">
        <f aca="false">O119</f>
        <v>0</v>
      </c>
      <c r="AH119" s="61" t="n">
        <f aca="false">P119</f>
        <v>0</v>
      </c>
      <c r="AI119" s="61" t="n">
        <f aca="false">VLOOKUP(AH119,recipe_ingred_list!$K$29:$M$34,3,0)</f>
        <v>3</v>
      </c>
      <c r="AJ119" s="61" t="str">
        <f aca="false">IF(Q119="","",Q119)</f>
        <v>boiled,mashed</v>
      </c>
      <c r="AK119" s="61" t="n">
        <f aca="false">AK118+1</f>
        <v>119</v>
      </c>
      <c r="AL119" s="61" t="str">
        <f aca="false">Y119</f>
        <v>green peas</v>
      </c>
      <c r="AM119" s="81" t="str">
        <f aca="false">"a = Client().post('"&amp;W119&amp;"', {'recipe' : '"&amp;V119&amp;"', 'ingredient' : '"&amp;Z119&amp;"', 'name' : '"&amp;X119&amp;"', 'mass_unit' : '"&amp;AC119&amp;"', 'mass_quantity' : '"&amp;ROUND(AA119,3)&amp;"', 'volume_unit' : '"&amp;AF119&amp;"', 'volume_quantity' : '"&amp;ROUND(AD119,3)&amp;"', 'pieces_unit' : '"&amp;AI119&amp;"', 'pieces_quantity' : '"&amp;ROUND(AG119,3)&amp;"', 'cooking_notes' : '"&amp;AJ119&amp;"'}).status_code; print('%s :: %s :: %s :: %s :: %s' %(a,"&amp;G119&amp;",'"&amp;X119&amp;"','"&amp;Y119&amp;"','"&amp;U119&amp;"'))"</f>
        <v>a = Client().post('/recipes/pav-bhaji-bhaji/detail/', {'recipe' : '60', 'ingredient' : '88', 'name' : 'Green peas', 'mass_unit' : '2', 'mass_quantity' : '7', 'volume_unit' : '1', 'volume_quantity' : '0', 'pieces_unit' : '3', 'pieces_quantity' : '0', 'cooking_notes' : 'boiled,mashed'}).status_code; print('%s :: %s :: %s :: %s :: %s' %(a,119,'Green peas','green peas','Pav Bhaji Bhaji'))</v>
      </c>
    </row>
    <row r="120" customFormat="false" ht="14.9" hidden="false" customHeight="false" outlineLevel="0" collapsed="false">
      <c r="G120" s="80" t="n">
        <v>120</v>
      </c>
      <c r="I120" s="82" t="s">
        <v>289</v>
      </c>
      <c r="J120" s="83" t="s">
        <v>550</v>
      </c>
      <c r="M120" s="61" t="n">
        <v>4</v>
      </c>
      <c r="N120" s="61" t="s">
        <v>13</v>
      </c>
      <c r="Q120" s="84" t="s">
        <v>551</v>
      </c>
      <c r="R120" s="82" t="str">
        <f aca="false">VLOOKUP(J120,ingredient!$N$4:$O$553,2,0)</f>
        <v>flower</v>
      </c>
      <c r="U120" s="81" t="str">
        <f aca="false">I120</f>
        <v>Pav Bhaji Bhaji</v>
      </c>
      <c r="V120" s="81" t="n">
        <f aca="false">VLOOKUP(U120,recipe_ingred_list!$A$2:$B$300,2,0)</f>
        <v>60</v>
      </c>
      <c r="W120" s="81" t="str">
        <f aca="false">"/recipes/"&amp;VLOOKUP(U120,recipe_ingred_list!$A$2:$C$300,3,0)&amp;"/detail/"</f>
        <v>/recipes/pav-bhaji-bhaji/detail/</v>
      </c>
      <c r="X120" s="81" t="str">
        <f aca="false">J120</f>
        <v>Flower </v>
      </c>
      <c r="Y120" s="81" t="str">
        <f aca="false">R120</f>
        <v>flower</v>
      </c>
      <c r="Z120" s="94" t="n">
        <f aca="false">VLOOKUP(Y120,recipe_ingred_list!$D$2:$E$500,2,0)</f>
        <v>78</v>
      </c>
      <c r="AA120" s="61" t="n">
        <f aca="false">K120</f>
        <v>0</v>
      </c>
      <c r="AB120" s="61" t="n">
        <f aca="false">L120</f>
        <v>0</v>
      </c>
      <c r="AC120" s="61" t="n">
        <f aca="false">VLOOKUP(AB120,recipe_ingred_list!$K$2:$M$7,3,0)</f>
        <v>2</v>
      </c>
      <c r="AD120" s="61" t="n">
        <f aca="false">M120</f>
        <v>4</v>
      </c>
      <c r="AE120" s="61" t="str">
        <f aca="false">N120</f>
        <v>ltr</v>
      </c>
      <c r="AF120" s="61" t="n">
        <f aca="false">VLOOKUP(AE120,recipe_ingred_list!$K$16:$M$25,3,0)</f>
        <v>1</v>
      </c>
      <c r="AG120" s="61" t="n">
        <f aca="false">O120</f>
        <v>0</v>
      </c>
      <c r="AH120" s="61" t="n">
        <f aca="false">P120</f>
        <v>0</v>
      </c>
      <c r="AI120" s="61" t="n">
        <f aca="false">VLOOKUP(AH120,recipe_ingred_list!$K$29:$M$34,3,0)</f>
        <v>3</v>
      </c>
      <c r="AJ120" s="61" t="str">
        <f aca="false">IF(Q120="","",Q120)</f>
        <v>grated,saute</v>
      </c>
      <c r="AK120" s="61" t="n">
        <f aca="false">AK119+1</f>
        <v>120</v>
      </c>
      <c r="AL120" s="61" t="str">
        <f aca="false">Y120</f>
        <v>flower</v>
      </c>
      <c r="AM120" s="81" t="str">
        <f aca="false">"a = Client().post('"&amp;W120&amp;"', {'recipe' : '"&amp;V120&amp;"', 'ingredient' : '"&amp;Z120&amp;"', 'name' : '"&amp;X120&amp;"', 'mass_unit' : '"&amp;AC120&amp;"', 'mass_quantity' : '"&amp;ROUND(AA120,3)&amp;"', 'volume_unit' : '"&amp;AF120&amp;"', 'volume_quantity' : '"&amp;ROUND(AD120,3)&amp;"', 'pieces_unit' : '"&amp;AI120&amp;"', 'pieces_quantity' : '"&amp;ROUND(AG120,3)&amp;"', 'cooking_notes' : '"&amp;AJ120&amp;"'}).status_code; print('%s :: %s :: %s :: %s :: %s' %(a,"&amp;G120&amp;",'"&amp;X120&amp;"','"&amp;Y120&amp;"','"&amp;U120&amp;"'))"</f>
        <v>a = Client().post('/recipes/pav-bhaji-bhaji/detail/', {'recipe' : '60', 'ingredient' : '78', 'name' : 'Flower ', 'mass_unit' : '2', 'mass_quantity' : '0', 'volume_unit' : '1', 'volume_quantity' : '4', 'pieces_unit' : '3', 'pieces_quantity' : '0', 'cooking_notes' : 'grated,saute'}).status_code; print('%s :: %s :: %s :: %s :: %s' %(a,120,'Flower ','flower','Pav Bhaji Bhaji'))</v>
      </c>
    </row>
    <row r="121" customFormat="false" ht="14.9" hidden="false" customHeight="false" outlineLevel="0" collapsed="false">
      <c r="G121" s="80" t="n">
        <v>121</v>
      </c>
      <c r="I121" s="82" t="s">
        <v>289</v>
      </c>
      <c r="J121" s="83" t="s">
        <v>40</v>
      </c>
      <c r="K121" s="61" t="n">
        <v>7</v>
      </c>
      <c r="L121" s="61" t="s">
        <v>7</v>
      </c>
      <c r="Q121" s="84" t="s">
        <v>552</v>
      </c>
      <c r="R121" s="82" t="str">
        <f aca="false">VLOOKUP(J121,ingredient!$N$4:$O$553,2,0)</f>
        <v>capsicum</v>
      </c>
      <c r="U121" s="81" t="str">
        <f aca="false">I121</f>
        <v>Pav Bhaji Bhaji</v>
      </c>
      <c r="V121" s="81" t="n">
        <f aca="false">VLOOKUP(U121,recipe_ingred_list!$A$2:$B$300,2,0)</f>
        <v>60</v>
      </c>
      <c r="W121" s="81" t="str">
        <f aca="false">"/recipes/"&amp;VLOOKUP(U121,recipe_ingred_list!$A$2:$C$300,3,0)&amp;"/detail/"</f>
        <v>/recipes/pav-bhaji-bhaji/detail/</v>
      </c>
      <c r="X121" s="81" t="str">
        <f aca="false">J121</f>
        <v>Capsicum</v>
      </c>
      <c r="Y121" s="81" t="str">
        <f aca="false">R121</f>
        <v>capsicum</v>
      </c>
      <c r="Z121" s="94" t="n">
        <f aca="false">VLOOKUP(Y121,recipe_ingred_list!$D$2:$E$500,2,0)</f>
        <v>42</v>
      </c>
      <c r="AA121" s="61" t="n">
        <f aca="false">K121</f>
        <v>7</v>
      </c>
      <c r="AB121" s="61" t="str">
        <f aca="false">L121</f>
        <v>kg</v>
      </c>
      <c r="AC121" s="61" t="n">
        <f aca="false">VLOOKUP(AB121,recipe_ingred_list!$K$2:$M$7,3,0)</f>
        <v>2</v>
      </c>
      <c r="AD121" s="61" t="n">
        <f aca="false">M121</f>
        <v>0</v>
      </c>
      <c r="AE121" s="61" t="n">
        <f aca="false">N121</f>
        <v>0</v>
      </c>
      <c r="AF121" s="61" t="n">
        <f aca="false">VLOOKUP(AE121,recipe_ingred_list!$K$16:$M$25,3,0)</f>
        <v>1</v>
      </c>
      <c r="AG121" s="61" t="n">
        <f aca="false">O121</f>
        <v>0</v>
      </c>
      <c r="AH121" s="61" t="n">
        <f aca="false">P121</f>
        <v>0</v>
      </c>
      <c r="AI121" s="61" t="n">
        <f aca="false">VLOOKUP(AH121,recipe_ingred_list!$K$29:$M$34,3,0)</f>
        <v>3</v>
      </c>
      <c r="AJ121" s="61" t="str">
        <f aca="false">IF(Q121="","",Q121)</f>
        <v>fine chopped,saute</v>
      </c>
      <c r="AK121" s="61" t="n">
        <f aca="false">AK120+1</f>
        <v>121</v>
      </c>
      <c r="AL121" s="61" t="str">
        <f aca="false">Y121</f>
        <v>capsicum</v>
      </c>
      <c r="AM121" s="81" t="str">
        <f aca="false">"a = Client().post('"&amp;W121&amp;"', {'recipe' : '"&amp;V121&amp;"', 'ingredient' : '"&amp;Z121&amp;"', 'name' : '"&amp;X121&amp;"', 'mass_unit' : '"&amp;AC121&amp;"', 'mass_quantity' : '"&amp;ROUND(AA121,3)&amp;"', 'volume_unit' : '"&amp;AF121&amp;"', 'volume_quantity' : '"&amp;ROUND(AD121,3)&amp;"', 'pieces_unit' : '"&amp;AI121&amp;"', 'pieces_quantity' : '"&amp;ROUND(AG121,3)&amp;"', 'cooking_notes' : '"&amp;AJ121&amp;"'}).status_code; print('%s :: %s :: %s :: %s :: %s' %(a,"&amp;G121&amp;",'"&amp;X121&amp;"','"&amp;Y121&amp;"','"&amp;U121&amp;"'))"</f>
        <v>a = Client().post('/recipes/pav-bhaji-bhaji/detail/', {'recipe' : '60', 'ingredient' : '42', 'name' : 'Capsicum', 'mass_unit' : '2', 'mass_quantity' : '7', 'volume_unit' : '1', 'volume_quantity' : '0', 'pieces_unit' : '3', 'pieces_quantity' : '0', 'cooking_notes' : 'fine chopped,saute'}).status_code; print('%s :: %s :: %s :: %s :: %s' %(a,121,'Capsicum','capsicum','Pav Bhaji Bhaji'))</v>
      </c>
    </row>
    <row r="122" customFormat="false" ht="13.8" hidden="false" customHeight="false" outlineLevel="0" collapsed="false">
      <c r="G122" s="80" t="n">
        <v>122</v>
      </c>
      <c r="I122" s="82" t="s">
        <v>289</v>
      </c>
      <c r="J122" s="83" t="s">
        <v>553</v>
      </c>
      <c r="M122" s="61" t="n">
        <v>2.5</v>
      </c>
      <c r="N122" s="61" t="s">
        <v>13</v>
      </c>
      <c r="R122" s="82" t="str">
        <f aca="false">VLOOKUP(J122,ingredient!$N$4:$O$553,2,0)</f>
        <v>gound nut oil</v>
      </c>
      <c r="U122" s="81" t="str">
        <f aca="false">I122</f>
        <v>Pav Bhaji Bhaji</v>
      </c>
      <c r="V122" s="81" t="n">
        <f aca="false">VLOOKUP(U122,recipe_ingred_list!$A$2:$B$300,2,0)</f>
        <v>60</v>
      </c>
      <c r="W122" s="81" t="str">
        <f aca="false">"/recipes/"&amp;VLOOKUP(U122,recipe_ingred_list!$A$2:$C$300,3,0)&amp;"/detail/"</f>
        <v>/recipes/pav-bhaji-bhaji/detail/</v>
      </c>
      <c r="X122" s="81" t="str">
        <f aca="false">J122</f>
        <v>Oil</v>
      </c>
      <c r="Y122" s="81" t="str">
        <f aca="false">R122</f>
        <v>gound nut oil</v>
      </c>
      <c r="Z122" s="94" t="n">
        <f aca="false">VLOOKUP(Y122,recipe_ingred_list!$D$2:$E$500,2,0)</f>
        <v>83</v>
      </c>
      <c r="AA122" s="61" t="n">
        <f aca="false">K122</f>
        <v>0</v>
      </c>
      <c r="AB122" s="61" t="n">
        <f aca="false">L122</f>
        <v>0</v>
      </c>
      <c r="AC122" s="61" t="n">
        <f aca="false">VLOOKUP(AB122,recipe_ingred_list!$K$2:$M$7,3,0)</f>
        <v>2</v>
      </c>
      <c r="AD122" s="61" t="n">
        <f aca="false">M122</f>
        <v>2.5</v>
      </c>
      <c r="AE122" s="61" t="str">
        <f aca="false">N122</f>
        <v>ltr</v>
      </c>
      <c r="AF122" s="61" t="n">
        <f aca="false">VLOOKUP(AE122,recipe_ingred_list!$K$16:$M$25,3,0)</f>
        <v>1</v>
      </c>
      <c r="AG122" s="61" t="n">
        <f aca="false">O122</f>
        <v>0</v>
      </c>
      <c r="AH122" s="61" t="n">
        <f aca="false">P122</f>
        <v>0</v>
      </c>
      <c r="AI122" s="61" t="n">
        <f aca="false">VLOOKUP(AH122,recipe_ingred_list!$K$29:$M$34,3,0)</f>
        <v>3</v>
      </c>
      <c r="AJ122" s="61" t="str">
        <f aca="false">IF(Q122="","",Q122)</f>
        <v/>
      </c>
      <c r="AK122" s="61" t="n">
        <f aca="false">AK121+1</f>
        <v>122</v>
      </c>
      <c r="AL122" s="61" t="str">
        <f aca="false">Y122</f>
        <v>gound nut oil</v>
      </c>
      <c r="AM122" s="81" t="str">
        <f aca="false">"a = Client().post('"&amp;W122&amp;"', {'recipe' : '"&amp;V122&amp;"', 'ingredient' : '"&amp;Z122&amp;"', 'name' : '"&amp;X122&amp;"', 'mass_unit' : '"&amp;AC122&amp;"', 'mass_quantity' : '"&amp;ROUND(AA122,3)&amp;"', 'volume_unit' : '"&amp;AF122&amp;"', 'volume_quantity' : '"&amp;ROUND(AD122,3)&amp;"', 'pieces_unit' : '"&amp;AI122&amp;"', 'pieces_quantity' : '"&amp;ROUND(AG122,3)&amp;"', 'cooking_notes' : '"&amp;AJ122&amp;"'}).status_code; print('%s :: %s :: %s :: %s :: %s' %(a,"&amp;G122&amp;",'"&amp;X122&amp;"','"&amp;Y122&amp;"','"&amp;U122&amp;"'))"</f>
        <v>a = Client().post('/recipes/pav-bhaji-bhaji/detail/', {'recipe' : '60', 'ingredient' : '83', 'name' : 'Oil', 'mass_unit' : '2', 'mass_quantity' : '0', 'volume_unit' : '1', 'volume_quantity' : '2.5', 'pieces_unit' : '3', 'pieces_quantity' : '0', 'cooking_notes' : ''}).status_code; print('%s :: %s :: %s :: %s :: %s' %(a,122,'Oil','gound nut oil','Pav Bhaji Bhaji'))</v>
      </c>
    </row>
    <row r="123" customFormat="false" ht="13.8" hidden="false" customHeight="false" outlineLevel="0" collapsed="false">
      <c r="G123" s="80" t="n">
        <v>123</v>
      </c>
      <c r="I123" s="82" t="s">
        <v>289</v>
      </c>
      <c r="J123" s="83" t="s">
        <v>18</v>
      </c>
      <c r="M123" s="61" t="n">
        <v>1</v>
      </c>
      <c r="N123" s="61" t="s">
        <v>13</v>
      </c>
      <c r="R123" s="82" t="str">
        <f aca="false">VLOOKUP(J123,ingredient!$N$4:$O$553,2,0)</f>
        <v>adrak</v>
      </c>
      <c r="U123" s="81" t="str">
        <f aca="false">I123</f>
        <v>Pav Bhaji Bhaji</v>
      </c>
      <c r="V123" s="81" t="n">
        <f aca="false">VLOOKUP(U123,recipe_ingred_list!$A$2:$B$300,2,0)</f>
        <v>60</v>
      </c>
      <c r="W123" s="81" t="str">
        <f aca="false">"/recipes/"&amp;VLOOKUP(U123,recipe_ingred_list!$A$2:$C$300,3,0)&amp;"/detail/"</f>
        <v>/recipes/pav-bhaji-bhaji/detail/</v>
      </c>
      <c r="X123" s="81" t="str">
        <f aca="false">J123</f>
        <v>Adrak paste</v>
      </c>
      <c r="Y123" s="81" t="str">
        <f aca="false">R123</f>
        <v>adrak</v>
      </c>
      <c r="Z123" s="94" t="n">
        <f aca="false">VLOOKUP(Y123,recipe_ingred_list!$D$2:$E$500,2,0)</f>
        <v>1</v>
      </c>
      <c r="AA123" s="61" t="n">
        <f aca="false">K123</f>
        <v>0</v>
      </c>
      <c r="AB123" s="61" t="n">
        <f aca="false">L123</f>
        <v>0</v>
      </c>
      <c r="AC123" s="61" t="n">
        <f aca="false">VLOOKUP(AB123,recipe_ingred_list!$K$2:$M$7,3,0)</f>
        <v>2</v>
      </c>
      <c r="AD123" s="61" t="n">
        <f aca="false">M123</f>
        <v>1</v>
      </c>
      <c r="AE123" s="61" t="str">
        <f aca="false">N123</f>
        <v>ltr</v>
      </c>
      <c r="AF123" s="61" t="n">
        <f aca="false">VLOOKUP(AE123,recipe_ingred_list!$K$16:$M$25,3,0)</f>
        <v>1</v>
      </c>
      <c r="AG123" s="61" t="n">
        <f aca="false">O123</f>
        <v>0</v>
      </c>
      <c r="AH123" s="61" t="n">
        <f aca="false">P123</f>
        <v>0</v>
      </c>
      <c r="AI123" s="61" t="n">
        <f aca="false">VLOOKUP(AH123,recipe_ingred_list!$K$29:$M$34,3,0)</f>
        <v>3</v>
      </c>
      <c r="AJ123" s="61" t="str">
        <f aca="false">IF(Q123="","",Q123)</f>
        <v/>
      </c>
      <c r="AK123" s="61" t="n">
        <f aca="false">AK122+1</f>
        <v>123</v>
      </c>
      <c r="AL123" s="61" t="str">
        <f aca="false">Y123</f>
        <v>adrak</v>
      </c>
      <c r="AM123" s="81" t="str">
        <f aca="false">"a = Client().post('"&amp;W123&amp;"', {'recipe' : '"&amp;V123&amp;"', 'ingredient' : '"&amp;Z123&amp;"', 'name' : '"&amp;X123&amp;"', 'mass_unit' : '"&amp;AC123&amp;"', 'mass_quantity' : '"&amp;ROUND(AA123,3)&amp;"', 'volume_unit' : '"&amp;AF123&amp;"', 'volume_quantity' : '"&amp;ROUND(AD123,3)&amp;"', 'pieces_unit' : '"&amp;AI123&amp;"', 'pieces_quantity' : '"&amp;ROUND(AG123,3)&amp;"', 'cooking_notes' : '"&amp;AJ123&amp;"'}).status_code; print('%s :: %s :: %s :: %s :: %s' %(a,"&amp;G123&amp;",'"&amp;X123&amp;"','"&amp;Y123&amp;"','"&amp;U123&amp;"'))"</f>
        <v>a = Client().post('/recipes/pav-bhaji-bhaji/detail/', {'recipe' : '60', 'ingredient' : '1', 'name' : 'Adrak paste', 'mass_unit' : '2', 'mass_quantity' : '0', 'volume_unit' : '1', 'volume_quantity' : '1', 'pieces_unit' : '3', 'pieces_quantity' : '0', 'cooking_notes' : ''}).status_code; print('%s :: %s :: %s :: %s :: %s' %(a,123,'Adrak paste','adrak','Pav Bhaji Bhaji'))</v>
      </c>
    </row>
    <row r="124" customFormat="false" ht="13.8" hidden="false" customHeight="false" outlineLevel="0" collapsed="false">
      <c r="G124" s="80" t="n">
        <v>124</v>
      </c>
      <c r="I124" s="82" t="s">
        <v>289</v>
      </c>
      <c r="J124" s="83" t="s">
        <v>554</v>
      </c>
      <c r="M124" s="61" t="n">
        <v>3</v>
      </c>
      <c r="N124" s="61" t="s">
        <v>20</v>
      </c>
      <c r="R124" s="82" t="str">
        <f aca="false">VLOOKUP(J124,ingredient!$N$4:$O$553,2,0)</f>
        <v>kashmiri chilly powder</v>
      </c>
      <c r="U124" s="81" t="str">
        <f aca="false">I124</f>
        <v>Pav Bhaji Bhaji</v>
      </c>
      <c r="V124" s="81" t="n">
        <f aca="false">VLOOKUP(U124,recipe_ingred_list!$A$2:$B$300,2,0)</f>
        <v>60</v>
      </c>
      <c r="W124" s="81" t="str">
        <f aca="false">"/recipes/"&amp;VLOOKUP(U124,recipe_ingred_list!$A$2:$C$300,3,0)&amp;"/detail/"</f>
        <v>/recipes/pav-bhaji-bhaji/detail/</v>
      </c>
      <c r="X124" s="81" t="str">
        <f aca="false">J124</f>
        <v>Kashmiri powder</v>
      </c>
      <c r="Y124" s="81" t="str">
        <f aca="false">R124</f>
        <v>kashmiri chilly powder</v>
      </c>
      <c r="Z124" s="94" t="n">
        <f aca="false">VLOOKUP(Y124,recipe_ingred_list!$D$2:$E$500,2,0)</f>
        <v>117</v>
      </c>
      <c r="AA124" s="61" t="n">
        <f aca="false">K124</f>
        <v>0</v>
      </c>
      <c r="AB124" s="61" t="n">
        <f aca="false">L124</f>
        <v>0</v>
      </c>
      <c r="AC124" s="61" t="n">
        <f aca="false">VLOOKUP(AB124,recipe_ingred_list!$K$2:$M$7,3,0)</f>
        <v>2</v>
      </c>
      <c r="AD124" s="61" t="n">
        <f aca="false">M124</f>
        <v>3</v>
      </c>
      <c r="AE124" s="61" t="str">
        <f aca="false">N124</f>
        <v>cup</v>
      </c>
      <c r="AF124" s="61" t="n">
        <f aca="false">VLOOKUP(AE124,recipe_ingred_list!$K$16:$M$25,3,0)</f>
        <v>5</v>
      </c>
      <c r="AG124" s="61" t="n">
        <f aca="false">O124</f>
        <v>0</v>
      </c>
      <c r="AH124" s="61" t="n">
        <f aca="false">P124</f>
        <v>0</v>
      </c>
      <c r="AI124" s="61" t="n">
        <f aca="false">VLOOKUP(AH124,recipe_ingred_list!$K$29:$M$34,3,0)</f>
        <v>3</v>
      </c>
      <c r="AJ124" s="61" t="str">
        <f aca="false">IF(Q124="","",Q124)</f>
        <v/>
      </c>
      <c r="AK124" s="61" t="n">
        <f aca="false">AK123+1</f>
        <v>124</v>
      </c>
      <c r="AL124" s="61" t="str">
        <f aca="false">Y124</f>
        <v>kashmiri chilly powder</v>
      </c>
      <c r="AM124" s="81" t="str">
        <f aca="false">"a = Client().post('"&amp;W124&amp;"', {'recipe' : '"&amp;V124&amp;"', 'ingredient' : '"&amp;Z124&amp;"', 'name' : '"&amp;X124&amp;"', 'mass_unit' : '"&amp;AC124&amp;"', 'mass_quantity' : '"&amp;ROUND(AA124,3)&amp;"', 'volume_unit' : '"&amp;AF124&amp;"', 'volume_quantity' : '"&amp;ROUND(AD124,3)&amp;"', 'pieces_unit' : '"&amp;AI124&amp;"', 'pieces_quantity' : '"&amp;ROUND(AG124,3)&amp;"', 'cooking_notes' : '"&amp;AJ124&amp;"'}).status_code; print('%s :: %s :: %s :: %s :: %s' %(a,"&amp;G124&amp;",'"&amp;X124&amp;"','"&amp;Y124&amp;"','"&amp;U124&amp;"'))"</f>
        <v>a = Client().post('/recipes/pav-bhaji-bhaji/detail/', {'recipe' : '60', 'ingredient' : '117', 'name' : 'Kashmiri powder', 'mass_unit' : '2', 'mass_quantity' : '0', 'volume_unit' : '5', 'volume_quantity' : '3', 'pieces_unit' : '3', 'pieces_quantity' : '0', 'cooking_notes' : ''}).status_code; print('%s :: %s :: %s :: %s :: %s' %(a,124,'Kashmiri powder','kashmiri chilly powder','Pav Bhaji Bhaji'))</v>
      </c>
    </row>
    <row r="125" customFormat="false" ht="13.8" hidden="false" customHeight="false" outlineLevel="0" collapsed="false">
      <c r="G125" s="80" t="n">
        <v>125</v>
      </c>
      <c r="I125" s="82" t="s">
        <v>289</v>
      </c>
      <c r="J125" s="83" t="s">
        <v>555</v>
      </c>
      <c r="M125" s="61" t="n">
        <v>1.6</v>
      </c>
      <c r="N125" s="61" t="s">
        <v>13</v>
      </c>
      <c r="R125" s="82" t="str">
        <f aca="false">VLOOKUP(J125,ingredient!$N$4:$O$553,2,0)</f>
        <v>badshah pav bhaji masala</v>
      </c>
      <c r="U125" s="81" t="str">
        <f aca="false">I125</f>
        <v>Pav Bhaji Bhaji</v>
      </c>
      <c r="V125" s="81" t="n">
        <f aca="false">VLOOKUP(U125,recipe_ingred_list!$A$2:$B$300,2,0)</f>
        <v>60</v>
      </c>
      <c r="W125" s="81" t="str">
        <f aca="false">"/recipes/"&amp;VLOOKUP(U125,recipe_ingred_list!$A$2:$C$300,3,0)&amp;"/detail/"</f>
        <v>/recipes/pav-bhaji-bhaji/detail/</v>
      </c>
      <c r="X125" s="81" t="str">
        <f aca="false">J125</f>
        <v>Badshah pav bhaji masala</v>
      </c>
      <c r="Y125" s="81" t="str">
        <f aca="false">R125</f>
        <v>badshah pav bhaji masala</v>
      </c>
      <c r="Z125" s="94" t="n">
        <f aca="false">VLOOKUP(Y125,recipe_ingred_list!$D$2:$E$500,2,0)</f>
        <v>19</v>
      </c>
      <c r="AA125" s="61" t="n">
        <f aca="false">K125</f>
        <v>0</v>
      </c>
      <c r="AB125" s="61" t="n">
        <f aca="false">L125</f>
        <v>0</v>
      </c>
      <c r="AC125" s="61" t="n">
        <f aca="false">VLOOKUP(AB125,recipe_ingred_list!$K$2:$M$7,3,0)</f>
        <v>2</v>
      </c>
      <c r="AD125" s="61" t="n">
        <f aca="false">M125</f>
        <v>1.6</v>
      </c>
      <c r="AE125" s="61" t="str">
        <f aca="false">N125</f>
        <v>ltr</v>
      </c>
      <c r="AF125" s="61" t="n">
        <f aca="false">VLOOKUP(AE125,recipe_ingred_list!$K$16:$M$25,3,0)</f>
        <v>1</v>
      </c>
      <c r="AG125" s="61" t="n">
        <f aca="false">O125</f>
        <v>0</v>
      </c>
      <c r="AH125" s="61" t="n">
        <f aca="false">P125</f>
        <v>0</v>
      </c>
      <c r="AI125" s="61" t="n">
        <f aca="false">VLOOKUP(AH125,recipe_ingred_list!$K$29:$M$34,3,0)</f>
        <v>3</v>
      </c>
      <c r="AJ125" s="61" t="str">
        <f aca="false">IF(Q125="","",Q125)</f>
        <v/>
      </c>
      <c r="AK125" s="61" t="n">
        <f aca="false">AK124+1</f>
        <v>125</v>
      </c>
      <c r="AL125" s="61" t="str">
        <f aca="false">Y125</f>
        <v>badshah pav bhaji masala</v>
      </c>
      <c r="AM125" s="81" t="str">
        <f aca="false">"a = Client().post('"&amp;W125&amp;"', {'recipe' : '"&amp;V125&amp;"', 'ingredient' : '"&amp;Z125&amp;"', 'name' : '"&amp;X125&amp;"', 'mass_unit' : '"&amp;AC125&amp;"', 'mass_quantity' : '"&amp;ROUND(AA125,3)&amp;"', 'volume_unit' : '"&amp;AF125&amp;"', 'volume_quantity' : '"&amp;ROUND(AD125,3)&amp;"', 'pieces_unit' : '"&amp;AI125&amp;"', 'pieces_quantity' : '"&amp;ROUND(AG125,3)&amp;"', 'cooking_notes' : '"&amp;AJ125&amp;"'}).status_code; print('%s :: %s :: %s :: %s :: %s' %(a,"&amp;G125&amp;",'"&amp;X125&amp;"','"&amp;Y125&amp;"','"&amp;U125&amp;"'))"</f>
        <v>a = Client().post('/recipes/pav-bhaji-bhaji/detail/', {'recipe' : '60', 'ingredient' : '19', 'name' : 'Badshah pav bhaji masala', 'mass_unit' : '2', 'mass_quantity' : '0', 'volume_unit' : '1', 'volume_quantity' : '1.6', 'pieces_unit' : '3', 'pieces_quantity' : '0', 'cooking_notes' : ''}).status_code; print('%s :: %s :: %s :: %s :: %s' %(a,125,'Badshah pav bhaji masala','badshah pav bhaji masala','Pav Bhaji Bhaji'))</v>
      </c>
    </row>
    <row r="126" customFormat="false" ht="13.8" hidden="false" customHeight="false" outlineLevel="0" collapsed="false">
      <c r="G126" s="80" t="n">
        <v>126</v>
      </c>
      <c r="I126" s="82" t="s">
        <v>289</v>
      </c>
      <c r="J126" s="83" t="s">
        <v>32</v>
      </c>
      <c r="M126" s="61" t="n">
        <v>4.5</v>
      </c>
      <c r="N126" s="61" t="s">
        <v>20</v>
      </c>
      <c r="R126" s="82" t="str">
        <f aca="false">VLOOKUP(J126,ingredient!$N$4:$O$553,2,0)</f>
        <v>salt</v>
      </c>
      <c r="U126" s="81" t="str">
        <f aca="false">I126</f>
        <v>Pav Bhaji Bhaji</v>
      </c>
      <c r="V126" s="81" t="n">
        <f aca="false">VLOOKUP(U126,recipe_ingred_list!$A$2:$B$300,2,0)</f>
        <v>60</v>
      </c>
      <c r="W126" s="81" t="str">
        <f aca="false">"/recipes/"&amp;VLOOKUP(U126,recipe_ingred_list!$A$2:$C$300,3,0)&amp;"/detail/"</f>
        <v>/recipes/pav-bhaji-bhaji/detail/</v>
      </c>
      <c r="X126" s="81" t="str">
        <f aca="false">J126</f>
        <v>Salt</v>
      </c>
      <c r="Y126" s="81" t="str">
        <f aca="false">R126</f>
        <v>salt</v>
      </c>
      <c r="Z126" s="94" t="n">
        <f aca="false">VLOOKUP(Y126,recipe_ingred_list!$D$2:$E$500,2,0)</f>
        <v>177</v>
      </c>
      <c r="AA126" s="61" t="n">
        <f aca="false">K126</f>
        <v>0</v>
      </c>
      <c r="AB126" s="61" t="n">
        <f aca="false">L126</f>
        <v>0</v>
      </c>
      <c r="AC126" s="61" t="n">
        <f aca="false">VLOOKUP(AB126,recipe_ingred_list!$K$2:$M$7,3,0)</f>
        <v>2</v>
      </c>
      <c r="AD126" s="61" t="n">
        <f aca="false">M126</f>
        <v>4.5</v>
      </c>
      <c r="AE126" s="61" t="str">
        <f aca="false">N126</f>
        <v>cup</v>
      </c>
      <c r="AF126" s="61" t="n">
        <f aca="false">VLOOKUP(AE126,recipe_ingred_list!$K$16:$M$25,3,0)</f>
        <v>5</v>
      </c>
      <c r="AG126" s="61" t="n">
        <f aca="false">O126</f>
        <v>0</v>
      </c>
      <c r="AH126" s="61" t="n">
        <f aca="false">P126</f>
        <v>0</v>
      </c>
      <c r="AI126" s="61" t="n">
        <f aca="false">VLOOKUP(AH126,recipe_ingred_list!$K$29:$M$34,3,0)</f>
        <v>3</v>
      </c>
      <c r="AJ126" s="61" t="str">
        <f aca="false">IF(Q126="","",Q126)</f>
        <v/>
      </c>
      <c r="AK126" s="61" t="n">
        <f aca="false">AK125+1</f>
        <v>126</v>
      </c>
      <c r="AL126" s="61" t="str">
        <f aca="false">Y126</f>
        <v>salt</v>
      </c>
      <c r="AM126" s="81" t="str">
        <f aca="false">"a = Client().post('"&amp;W126&amp;"', {'recipe' : '"&amp;V126&amp;"', 'ingredient' : '"&amp;Z126&amp;"', 'name' : '"&amp;X126&amp;"', 'mass_unit' : '"&amp;AC126&amp;"', 'mass_quantity' : '"&amp;ROUND(AA126,3)&amp;"', 'volume_unit' : '"&amp;AF126&amp;"', 'volume_quantity' : '"&amp;ROUND(AD126,3)&amp;"', 'pieces_unit' : '"&amp;AI126&amp;"', 'pieces_quantity' : '"&amp;ROUND(AG126,3)&amp;"', 'cooking_notes' : '"&amp;AJ126&amp;"'}).status_code; print('%s :: %s :: %s :: %s :: %s' %(a,"&amp;G126&amp;",'"&amp;X126&amp;"','"&amp;Y126&amp;"','"&amp;U126&amp;"'))"</f>
        <v>a = Client().post('/recipes/pav-bhaji-bhaji/detail/', {'recipe' : '60', 'ingredient' : '177', 'name' : 'Salt', 'mass_unit' : '2', 'mass_quantity' : '0', 'volume_unit' : '5', 'volume_quantity' : '4.5', 'pieces_unit' : '3', 'pieces_quantity' : '0', 'cooking_notes' : ''}).status_code; print('%s :: %s :: %s :: %s :: %s' %(a,126,'Salt','salt','Pav Bhaji Bhaji'))</v>
      </c>
    </row>
    <row r="127" customFormat="false" ht="13.8" hidden="false" customHeight="false" outlineLevel="0" collapsed="false">
      <c r="G127" s="80" t="n">
        <v>127</v>
      </c>
      <c r="I127" s="82" t="s">
        <v>289</v>
      </c>
      <c r="J127" s="83" t="s">
        <v>43</v>
      </c>
      <c r="M127" s="61" t="n">
        <v>15</v>
      </c>
      <c r="N127" s="61" t="s">
        <v>13</v>
      </c>
      <c r="R127" s="82" t="str">
        <f aca="false">VLOOKUP(J127,ingredient!$N$4:$O$553,2,0)</f>
        <v>hot water</v>
      </c>
      <c r="U127" s="81" t="str">
        <f aca="false">I127</f>
        <v>Pav Bhaji Bhaji</v>
      </c>
      <c r="V127" s="81" t="n">
        <f aca="false">VLOOKUP(U127,recipe_ingred_list!$A$2:$B$300,2,0)</f>
        <v>60</v>
      </c>
      <c r="W127" s="81" t="str">
        <f aca="false">"/recipes/"&amp;VLOOKUP(U127,recipe_ingred_list!$A$2:$C$300,3,0)&amp;"/detail/"</f>
        <v>/recipes/pav-bhaji-bhaji/detail/</v>
      </c>
      <c r="X127" s="81" t="str">
        <f aca="false">J127</f>
        <v>Hot water</v>
      </c>
      <c r="Y127" s="81" t="str">
        <f aca="false">R127</f>
        <v>hot water</v>
      </c>
      <c r="Z127" s="94" t="n">
        <f aca="false">VLOOKUP(Y127,recipe_ingred_list!$D$2:$E$500,2,0)</f>
        <v>97</v>
      </c>
      <c r="AA127" s="61" t="n">
        <f aca="false">K127</f>
        <v>0</v>
      </c>
      <c r="AB127" s="61" t="n">
        <f aca="false">L127</f>
        <v>0</v>
      </c>
      <c r="AC127" s="61" t="n">
        <f aca="false">VLOOKUP(AB127,recipe_ingred_list!$K$2:$M$7,3,0)</f>
        <v>2</v>
      </c>
      <c r="AD127" s="61" t="n">
        <f aca="false">M127</f>
        <v>15</v>
      </c>
      <c r="AE127" s="61" t="str">
        <f aca="false">N127</f>
        <v>ltr</v>
      </c>
      <c r="AF127" s="61" t="n">
        <f aca="false">VLOOKUP(AE127,recipe_ingred_list!$K$16:$M$25,3,0)</f>
        <v>1</v>
      </c>
      <c r="AG127" s="61" t="n">
        <f aca="false">O127</f>
        <v>0</v>
      </c>
      <c r="AH127" s="61" t="n">
        <f aca="false">P127</f>
        <v>0</v>
      </c>
      <c r="AI127" s="61" t="n">
        <f aca="false">VLOOKUP(AH127,recipe_ingred_list!$K$29:$M$34,3,0)</f>
        <v>3</v>
      </c>
      <c r="AJ127" s="61" t="str">
        <f aca="false">IF(Q127="","",Q127)</f>
        <v/>
      </c>
      <c r="AK127" s="61" t="n">
        <f aca="false">AK126+1</f>
        <v>127</v>
      </c>
      <c r="AL127" s="61" t="str">
        <f aca="false">Y127</f>
        <v>hot water</v>
      </c>
      <c r="AM127" s="81" t="str">
        <f aca="false">"a = Client().post('"&amp;W127&amp;"', {'recipe' : '"&amp;V127&amp;"', 'ingredient' : '"&amp;Z127&amp;"', 'name' : '"&amp;X127&amp;"', 'mass_unit' : '"&amp;AC127&amp;"', 'mass_quantity' : '"&amp;ROUND(AA127,3)&amp;"', 'volume_unit' : '"&amp;AF127&amp;"', 'volume_quantity' : '"&amp;ROUND(AD127,3)&amp;"', 'pieces_unit' : '"&amp;AI127&amp;"', 'pieces_quantity' : '"&amp;ROUND(AG127,3)&amp;"', 'cooking_notes' : '"&amp;AJ127&amp;"'}).status_code; print('%s :: %s :: %s :: %s :: %s' %(a,"&amp;G127&amp;",'"&amp;X127&amp;"','"&amp;Y127&amp;"','"&amp;U127&amp;"'))"</f>
        <v>a = Client().post('/recipes/pav-bhaji-bhaji/detail/', {'recipe' : '60', 'ingredient' : '97', 'name' : 'Hot water', 'mass_unit' : '2', 'mass_quantity' : '0', 'volume_unit' : '1', 'volume_quantity' : '15', 'pieces_unit' : '3', 'pieces_quantity' : '0', 'cooking_notes' : ''}).status_code; print('%s :: %s :: %s :: %s :: %s' %(a,127,'Hot water','hot water','Pav Bhaji Bhaji'))</v>
      </c>
    </row>
    <row r="128" customFormat="false" ht="13.8" hidden="false" customHeight="false" outlineLevel="0" collapsed="false">
      <c r="G128" s="80" t="n">
        <v>128</v>
      </c>
      <c r="I128" s="82" t="s">
        <v>289</v>
      </c>
      <c r="J128" s="83" t="s">
        <v>556</v>
      </c>
      <c r="M128" s="61" t="n">
        <v>3</v>
      </c>
      <c r="N128" s="61" t="s">
        <v>13</v>
      </c>
      <c r="R128" s="82" t="str">
        <f aca="false">VLOOKUP(J128,ingredient!$N$4:$O$553,2,0)</f>
        <v>butter</v>
      </c>
      <c r="U128" s="81" t="str">
        <f aca="false">I128</f>
        <v>Pav Bhaji Bhaji</v>
      </c>
      <c r="V128" s="81" t="n">
        <f aca="false">VLOOKUP(U128,recipe_ingred_list!$A$2:$B$300,2,0)</f>
        <v>60</v>
      </c>
      <c r="W128" s="81" t="str">
        <f aca="false">"/recipes/"&amp;VLOOKUP(U128,recipe_ingred_list!$A$2:$C$300,3,0)&amp;"/detail/"</f>
        <v>/recipes/pav-bhaji-bhaji/detail/</v>
      </c>
      <c r="X128" s="81" t="str">
        <f aca="false">J128</f>
        <v>Butter</v>
      </c>
      <c r="Y128" s="81" t="str">
        <f aca="false">R128</f>
        <v>butter</v>
      </c>
      <c r="Z128" s="94" t="n">
        <f aca="false">VLOOKUP(Y128,recipe_ingred_list!$D$2:$E$500,2,0)</f>
        <v>38</v>
      </c>
      <c r="AA128" s="61" t="n">
        <f aca="false">K128</f>
        <v>0</v>
      </c>
      <c r="AB128" s="61" t="n">
        <f aca="false">L128</f>
        <v>0</v>
      </c>
      <c r="AC128" s="61" t="n">
        <f aca="false">VLOOKUP(AB128,recipe_ingred_list!$K$2:$M$7,3,0)</f>
        <v>2</v>
      </c>
      <c r="AD128" s="61" t="n">
        <f aca="false">M128</f>
        <v>3</v>
      </c>
      <c r="AE128" s="61" t="str">
        <f aca="false">N128</f>
        <v>ltr</v>
      </c>
      <c r="AF128" s="61" t="n">
        <f aca="false">VLOOKUP(AE128,recipe_ingred_list!$K$16:$M$25,3,0)</f>
        <v>1</v>
      </c>
      <c r="AG128" s="61" t="n">
        <f aca="false">O128</f>
        <v>0</v>
      </c>
      <c r="AH128" s="61" t="n">
        <f aca="false">P128</f>
        <v>0</v>
      </c>
      <c r="AI128" s="61" t="n">
        <f aca="false">VLOOKUP(AH128,recipe_ingred_list!$K$29:$M$34,3,0)</f>
        <v>3</v>
      </c>
      <c r="AJ128" s="61" t="str">
        <f aca="false">IF(Q128="","",Q128)</f>
        <v/>
      </c>
      <c r="AK128" s="61" t="n">
        <f aca="false">AK127+1</f>
        <v>128</v>
      </c>
      <c r="AL128" s="61" t="str">
        <f aca="false">Y128</f>
        <v>butter</v>
      </c>
      <c r="AM128" s="81" t="str">
        <f aca="false">"a = Client().post('"&amp;W128&amp;"', {'recipe' : '"&amp;V128&amp;"', 'ingredient' : '"&amp;Z128&amp;"', 'name' : '"&amp;X128&amp;"', 'mass_unit' : '"&amp;AC128&amp;"', 'mass_quantity' : '"&amp;ROUND(AA128,3)&amp;"', 'volume_unit' : '"&amp;AF128&amp;"', 'volume_quantity' : '"&amp;ROUND(AD128,3)&amp;"', 'pieces_unit' : '"&amp;AI128&amp;"', 'pieces_quantity' : '"&amp;ROUND(AG128,3)&amp;"', 'cooking_notes' : '"&amp;AJ128&amp;"'}).status_code; print('%s :: %s :: %s :: %s :: %s' %(a,"&amp;G128&amp;",'"&amp;X128&amp;"','"&amp;Y128&amp;"','"&amp;U128&amp;"'))"</f>
        <v>a = Client().post('/recipes/pav-bhaji-bhaji/detail/', {'recipe' : '60', 'ingredient' : '38', 'name' : 'Butter', 'mass_unit' : '2', 'mass_quantity' : '0', 'volume_unit' : '1', 'volume_quantity' : '3', 'pieces_unit' : '3', 'pieces_quantity' : '0', 'cooking_notes' : ''}).status_code; print('%s :: %s :: %s :: %s :: %s' %(a,128,'Butter','butter','Pav Bhaji Bhaji'))</v>
      </c>
    </row>
    <row r="129" customFormat="false" ht="13.8" hidden="false" customHeight="false" outlineLevel="0" collapsed="false">
      <c r="G129" s="80" t="n">
        <v>129</v>
      </c>
      <c r="I129" s="82" t="s">
        <v>289</v>
      </c>
      <c r="J129" s="83" t="s">
        <v>557</v>
      </c>
      <c r="M129" s="61" t="n">
        <v>3</v>
      </c>
      <c r="N129" s="61" t="s">
        <v>20</v>
      </c>
      <c r="R129" s="82" t="str">
        <f aca="false">VLOOKUP(J129,ingredient!$N$4:$O$553,2,0)</f>
        <v>lemon</v>
      </c>
      <c r="U129" s="81" t="str">
        <f aca="false">I129</f>
        <v>Pav Bhaji Bhaji</v>
      </c>
      <c r="V129" s="81" t="n">
        <f aca="false">VLOOKUP(U129,recipe_ingred_list!$A$2:$B$300,2,0)</f>
        <v>60</v>
      </c>
      <c r="W129" s="81" t="str">
        <f aca="false">"/recipes/"&amp;VLOOKUP(U129,recipe_ingred_list!$A$2:$C$300,3,0)&amp;"/detail/"</f>
        <v>/recipes/pav-bhaji-bhaji/detail/</v>
      </c>
      <c r="X129" s="81" t="str">
        <f aca="false">J129</f>
        <v>Lemon juice</v>
      </c>
      <c r="Y129" s="81" t="str">
        <f aca="false">R129</f>
        <v>lemon</v>
      </c>
      <c r="Z129" s="94" t="n">
        <f aca="false">VLOOKUP(Y129,recipe_ingred_list!$D$2:$E$500,2,0)</f>
        <v>129</v>
      </c>
      <c r="AA129" s="61" t="n">
        <f aca="false">K129</f>
        <v>0</v>
      </c>
      <c r="AB129" s="61" t="n">
        <f aca="false">L129</f>
        <v>0</v>
      </c>
      <c r="AC129" s="61" t="n">
        <f aca="false">VLOOKUP(AB129,recipe_ingred_list!$K$2:$M$7,3,0)</f>
        <v>2</v>
      </c>
      <c r="AD129" s="61" t="n">
        <f aca="false">M129</f>
        <v>3</v>
      </c>
      <c r="AE129" s="61" t="str">
        <f aca="false">N129</f>
        <v>cup</v>
      </c>
      <c r="AF129" s="61" t="n">
        <f aca="false">VLOOKUP(AE129,recipe_ingred_list!$K$16:$M$25,3,0)</f>
        <v>5</v>
      </c>
      <c r="AG129" s="61" t="n">
        <f aca="false">O129</f>
        <v>0</v>
      </c>
      <c r="AH129" s="61" t="n">
        <f aca="false">P129</f>
        <v>0</v>
      </c>
      <c r="AI129" s="61" t="n">
        <f aca="false">VLOOKUP(AH129,recipe_ingred_list!$K$29:$M$34,3,0)</f>
        <v>3</v>
      </c>
      <c r="AJ129" s="61" t="str">
        <f aca="false">IF(Q129="","",Q129)</f>
        <v/>
      </c>
      <c r="AK129" s="61" t="n">
        <f aca="false">AK128+1</f>
        <v>129</v>
      </c>
      <c r="AL129" s="61" t="str">
        <f aca="false">Y129</f>
        <v>lemon</v>
      </c>
      <c r="AM129" s="81" t="str">
        <f aca="false">"a = Client().post('"&amp;W129&amp;"', {'recipe' : '"&amp;V129&amp;"', 'ingredient' : '"&amp;Z129&amp;"', 'name' : '"&amp;X129&amp;"', 'mass_unit' : '"&amp;AC129&amp;"', 'mass_quantity' : '"&amp;ROUND(AA129,3)&amp;"', 'volume_unit' : '"&amp;AF129&amp;"', 'volume_quantity' : '"&amp;ROUND(AD129,3)&amp;"', 'pieces_unit' : '"&amp;AI129&amp;"', 'pieces_quantity' : '"&amp;ROUND(AG129,3)&amp;"', 'cooking_notes' : '"&amp;AJ129&amp;"'}).status_code; print('%s :: %s :: %s :: %s :: %s' %(a,"&amp;G129&amp;",'"&amp;X129&amp;"','"&amp;Y129&amp;"','"&amp;U129&amp;"'))"</f>
        <v>a = Client().post('/recipes/pav-bhaji-bhaji/detail/', {'recipe' : '60', 'ingredient' : '129', 'name' : 'Lemon juice', 'mass_unit' : '2', 'mass_quantity' : '0', 'volume_unit' : '5', 'volume_quantity' : '3', 'pieces_unit' : '3', 'pieces_quantity' : '0', 'cooking_notes' : ''}).status_code; print('%s :: %s :: %s :: %s :: %s' %(a,129,'Lemon juice','lemon','Pav Bhaji Bhaji'))</v>
      </c>
    </row>
    <row r="130" customFormat="false" ht="13.8" hidden="false" customHeight="false" outlineLevel="0" collapsed="false">
      <c r="G130" s="80" t="n">
        <v>130</v>
      </c>
      <c r="H130" s="98"/>
      <c r="I130" s="99" t="s">
        <v>289</v>
      </c>
      <c r="J130" s="79" t="s">
        <v>558</v>
      </c>
      <c r="K130" s="100"/>
      <c r="L130" s="100"/>
      <c r="M130" s="100" t="n">
        <v>70</v>
      </c>
      <c r="N130" s="100" t="s">
        <v>13</v>
      </c>
      <c r="O130" s="101"/>
      <c r="P130" s="100"/>
      <c r="Q130" s="102"/>
      <c r="R130" s="99" t="e">
        <f aca="false">VLOOKUP(J130,ingredient!$N$4:$O$553,2,0)</f>
        <v>#N/A</v>
      </c>
      <c r="S130" s="98"/>
      <c r="T130" s="98"/>
      <c r="U130" s="81" t="str">
        <f aca="false">I130</f>
        <v>Pav Bhaji Bhaji</v>
      </c>
      <c r="V130" s="81" t="n">
        <f aca="false">VLOOKUP(U130,recipe_ingred_list!$A$2:$B$300,2,0)</f>
        <v>60</v>
      </c>
      <c r="W130" s="81" t="str">
        <f aca="false">"/recipes/"&amp;VLOOKUP(U130,recipe_ingred_list!$A$2:$C$300,3,0)&amp;"/detail/"</f>
        <v>/recipes/pav-bhaji-bhaji/detail/</v>
      </c>
      <c r="X130" s="81" t="str">
        <f aca="false">J130</f>
        <v>Yield </v>
      </c>
      <c r="Y130" s="81" t="e">
        <f aca="false">R130</f>
        <v>#N/A</v>
      </c>
      <c r="Z130" s="94" t="e">
        <f aca="false">VLOOKUP(Y130,recipe_ingred_list!$D$2:$E$500,2,0)</f>
        <v>#N/A</v>
      </c>
      <c r="AA130" s="61" t="n">
        <f aca="false">K130</f>
        <v>0</v>
      </c>
      <c r="AB130" s="61" t="n">
        <f aca="false">L130</f>
        <v>0</v>
      </c>
      <c r="AC130" s="61" t="n">
        <f aca="false">VLOOKUP(AB130,recipe_ingred_list!$K$2:$M$7,3,0)</f>
        <v>2</v>
      </c>
      <c r="AD130" s="61" t="n">
        <f aca="false">M130</f>
        <v>70</v>
      </c>
      <c r="AE130" s="61" t="str">
        <f aca="false">N130</f>
        <v>ltr</v>
      </c>
      <c r="AF130" s="61" t="n">
        <f aca="false">VLOOKUP(AE130,recipe_ingred_list!$K$16:$M$25,3,0)</f>
        <v>1</v>
      </c>
      <c r="AG130" s="61" t="n">
        <f aca="false">O130</f>
        <v>0</v>
      </c>
      <c r="AH130" s="61" t="n">
        <f aca="false">P130</f>
        <v>0</v>
      </c>
      <c r="AI130" s="61" t="n">
        <f aca="false">VLOOKUP(AH130,recipe_ingred_list!$K$29:$M$34,3,0)</f>
        <v>3</v>
      </c>
      <c r="AJ130" s="61" t="str">
        <f aca="false">IF(Q130="","",Q130)</f>
        <v/>
      </c>
      <c r="AK130" s="61" t="n">
        <f aca="false">AK129+1</f>
        <v>130</v>
      </c>
      <c r="AL130" s="61" t="e">
        <f aca="false">Y130</f>
        <v>#N/A</v>
      </c>
      <c r="AM130" s="81" t="e">
        <f aca="false">"a = Client().post('"&amp;W130&amp;"', {'recipe' : '"&amp;V130&amp;"', 'ingredient' : '"&amp;Z130&amp;"', 'name' : '"&amp;X130&amp;"', 'mass_unit' : '"&amp;AC130&amp;"', 'mass_quantity' : '"&amp;ROUND(AA130,3)&amp;"', 'volume_unit' : '"&amp;AF130&amp;"', 'volume_quantity' : '"&amp;ROUND(AD130,3)&amp;"', 'pieces_unit' : '"&amp;AI130&amp;"', 'pieces_quantity' : '"&amp;ROUND(AG130,3)&amp;"', 'cooking_notes' : '"&amp;AJ130&amp;"'}).status_code; print('%s :: %s :: %s :: %s :: %s' %(a,"&amp;G130&amp;",'"&amp;X130&amp;"','"&amp;Y130&amp;"','"&amp;U130&amp;"'))"</f>
        <v>#N/A</v>
      </c>
    </row>
    <row r="131" customFormat="false" ht="13.8" hidden="false" customHeight="false" outlineLevel="0" collapsed="false">
      <c r="G131" s="80" t="n">
        <v>131</v>
      </c>
      <c r="H131" s="98"/>
      <c r="I131" s="99"/>
      <c r="J131" s="79"/>
      <c r="K131" s="100"/>
      <c r="L131" s="100"/>
      <c r="M131" s="100"/>
      <c r="N131" s="100"/>
      <c r="O131" s="101"/>
      <c r="P131" s="100"/>
      <c r="Q131" s="102"/>
      <c r="R131" s="99" t="e">
        <f aca="false">VLOOKUP(J131,ingredient!$N$4:$O$553,2,0)</f>
        <v>#N/A</v>
      </c>
      <c r="S131" s="98"/>
      <c r="T131" s="98"/>
      <c r="U131" s="81" t="n">
        <f aca="false">I131</f>
        <v>0</v>
      </c>
      <c r="V131" s="81" t="e">
        <f aca="false">VLOOKUP(U131,recipe_ingred_list!$A$2:$B$300,2,0)</f>
        <v>#N/A</v>
      </c>
      <c r="W131" s="81" t="e">
        <f aca="false">"/recipes/"&amp;VLOOKUP(U131,recipe_ingred_list!$A$2:$C$300,3,0)&amp;"/detail/"</f>
        <v>#N/A</v>
      </c>
      <c r="X131" s="81" t="n">
        <f aca="false">J131</f>
        <v>0</v>
      </c>
      <c r="Y131" s="81" t="e">
        <f aca="false">R131</f>
        <v>#N/A</v>
      </c>
      <c r="Z131" s="94" t="e">
        <f aca="false">VLOOKUP(Y131,recipe_ingred_list!$D$2:$E$500,2,0)</f>
        <v>#N/A</v>
      </c>
      <c r="AA131" s="61" t="n">
        <f aca="false">K131</f>
        <v>0</v>
      </c>
      <c r="AB131" s="61" t="n">
        <f aca="false">L131</f>
        <v>0</v>
      </c>
      <c r="AC131" s="61" t="n">
        <f aca="false">VLOOKUP(AB131,recipe_ingred_list!$K$2:$M$7,3,0)</f>
        <v>2</v>
      </c>
      <c r="AD131" s="61" t="n">
        <f aca="false">M131</f>
        <v>0</v>
      </c>
      <c r="AE131" s="61" t="n">
        <f aca="false">N131</f>
        <v>0</v>
      </c>
      <c r="AF131" s="61" t="n">
        <f aca="false">VLOOKUP(AE131,recipe_ingred_list!$K$16:$M$25,3,0)</f>
        <v>1</v>
      </c>
      <c r="AG131" s="61" t="n">
        <f aca="false">O131</f>
        <v>0</v>
      </c>
      <c r="AH131" s="61" t="n">
        <f aca="false">P131</f>
        <v>0</v>
      </c>
      <c r="AI131" s="61" t="n">
        <f aca="false">VLOOKUP(AH131,recipe_ingred_list!$K$29:$M$34,3,0)</f>
        <v>3</v>
      </c>
      <c r="AJ131" s="61" t="str">
        <f aca="false">IF(Q131="","",Q131)</f>
        <v/>
      </c>
      <c r="AK131" s="61" t="n">
        <f aca="false">AK130+1</f>
        <v>131</v>
      </c>
      <c r="AL131" s="61" t="e">
        <f aca="false">Y131</f>
        <v>#N/A</v>
      </c>
      <c r="AM131" s="81" t="e">
        <f aca="false">"a = Client().post('"&amp;W131&amp;"', {'recipe' : '"&amp;V131&amp;"', 'ingredient' : '"&amp;Z131&amp;"', 'name' : '"&amp;X131&amp;"', 'mass_unit' : '"&amp;AC131&amp;"', 'mass_quantity' : '"&amp;ROUND(AA131,3)&amp;"', 'volume_unit' : '"&amp;AF131&amp;"', 'volume_quantity' : '"&amp;ROUND(AD131,3)&amp;"', 'pieces_unit' : '"&amp;AI131&amp;"', 'pieces_quantity' : '"&amp;ROUND(AG131,3)&amp;"', 'cooking_notes' : '"&amp;AJ131&amp;"'}).status_code; print('%s :: %s :: %s :: %s :: %s' %(a,"&amp;G131&amp;",'"&amp;X131&amp;"','"&amp;Y131&amp;"','"&amp;U131&amp;"'))"</f>
        <v>#N/A</v>
      </c>
    </row>
    <row r="132" customFormat="false" ht="13.8" hidden="false" customHeight="false" outlineLevel="0" collapsed="false">
      <c r="G132" s="80" t="n">
        <v>132</v>
      </c>
      <c r="H132" s="98"/>
      <c r="I132" s="99"/>
      <c r="J132" s="79"/>
      <c r="K132" s="100"/>
      <c r="L132" s="100"/>
      <c r="M132" s="100"/>
      <c r="N132" s="100"/>
      <c r="O132" s="101"/>
      <c r="P132" s="100"/>
      <c r="Q132" s="102"/>
      <c r="R132" s="99" t="e">
        <f aca="false">VLOOKUP(J132,ingredient!$N$4:$O$553,2,0)</f>
        <v>#N/A</v>
      </c>
      <c r="S132" s="98"/>
      <c r="T132" s="98"/>
      <c r="U132" s="81" t="n">
        <f aca="false">I132</f>
        <v>0</v>
      </c>
      <c r="V132" s="81" t="e">
        <f aca="false">VLOOKUP(U132,recipe_ingred_list!$A$2:$B$300,2,0)</f>
        <v>#N/A</v>
      </c>
      <c r="W132" s="81" t="e">
        <f aca="false">"/recipes/"&amp;VLOOKUP(U132,recipe_ingred_list!$A$2:$C$300,3,0)&amp;"/detail/"</f>
        <v>#N/A</v>
      </c>
      <c r="X132" s="81" t="n">
        <f aca="false">J132</f>
        <v>0</v>
      </c>
      <c r="Y132" s="81" t="e">
        <f aca="false">R132</f>
        <v>#N/A</v>
      </c>
      <c r="Z132" s="94" t="e">
        <f aca="false">VLOOKUP(Y132,recipe_ingred_list!$D$2:$E$500,2,0)</f>
        <v>#N/A</v>
      </c>
      <c r="AA132" s="61" t="n">
        <f aca="false">K132</f>
        <v>0</v>
      </c>
      <c r="AB132" s="61" t="n">
        <f aca="false">L132</f>
        <v>0</v>
      </c>
      <c r="AC132" s="61" t="n">
        <f aca="false">VLOOKUP(AB132,recipe_ingred_list!$K$2:$M$7,3,0)</f>
        <v>2</v>
      </c>
      <c r="AD132" s="61" t="n">
        <f aca="false">M132</f>
        <v>0</v>
      </c>
      <c r="AE132" s="61" t="n">
        <f aca="false">N132</f>
        <v>0</v>
      </c>
      <c r="AF132" s="61" t="n">
        <f aca="false">VLOOKUP(AE132,recipe_ingred_list!$K$16:$M$25,3,0)</f>
        <v>1</v>
      </c>
      <c r="AG132" s="61" t="n">
        <f aca="false">O132</f>
        <v>0</v>
      </c>
      <c r="AH132" s="61" t="n">
        <f aca="false">P132</f>
        <v>0</v>
      </c>
      <c r="AI132" s="61" t="n">
        <f aca="false">VLOOKUP(AH132,recipe_ingred_list!$K$29:$M$34,3,0)</f>
        <v>3</v>
      </c>
      <c r="AJ132" s="61" t="str">
        <f aca="false">IF(Q132="","",Q132)</f>
        <v/>
      </c>
      <c r="AK132" s="61" t="n">
        <f aca="false">AK131+1</f>
        <v>132</v>
      </c>
      <c r="AL132" s="61" t="e">
        <f aca="false">Y132</f>
        <v>#N/A</v>
      </c>
      <c r="AM132" s="81" t="e">
        <f aca="false">"a = Client().post('"&amp;W132&amp;"', {'recipe' : '"&amp;V132&amp;"', 'ingredient' : '"&amp;Z132&amp;"', 'name' : '"&amp;X132&amp;"', 'mass_unit' : '"&amp;AC132&amp;"', 'mass_quantity' : '"&amp;ROUND(AA132,3)&amp;"', 'volume_unit' : '"&amp;AF132&amp;"', 'volume_quantity' : '"&amp;ROUND(AD132,3)&amp;"', 'pieces_unit' : '"&amp;AI132&amp;"', 'pieces_quantity' : '"&amp;ROUND(AG132,3)&amp;"', 'cooking_notes' : '"&amp;AJ132&amp;"'}).status_code; print('%s :: %s :: %s :: %s :: %s' %(a,"&amp;G132&amp;",'"&amp;X132&amp;"','"&amp;Y132&amp;"','"&amp;U132&amp;"'))"</f>
        <v>#N/A</v>
      </c>
    </row>
    <row r="133" customFormat="false" ht="14.9" hidden="false" customHeight="false" outlineLevel="0" collapsed="false">
      <c r="G133" s="80" t="n">
        <v>133</v>
      </c>
      <c r="I133" s="82" t="s">
        <v>208</v>
      </c>
      <c r="J133" s="83" t="s">
        <v>559</v>
      </c>
      <c r="K133" s="61" t="n">
        <v>30</v>
      </c>
      <c r="L133" s="61" t="s">
        <v>7</v>
      </c>
      <c r="Q133" s="84" t="s">
        <v>560</v>
      </c>
      <c r="R133" s="82" t="str">
        <f aca="false">VLOOKUP(J133,ingredient!$N$4:$O$553,2,0)</f>
        <v>jackfruit</v>
      </c>
      <c r="U133" s="81" t="str">
        <f aca="false">I133</f>
        <v>Jackfruit gravy</v>
      </c>
      <c r="V133" s="81" t="n">
        <f aca="false">VLOOKUP(U133,recipe_ingred_list!$A$2:$B$300,2,0)</f>
        <v>33</v>
      </c>
      <c r="W133" s="81" t="str">
        <f aca="false">"/recipes/"&amp;VLOOKUP(U133,recipe_ingred_list!$A$2:$C$300,3,0)&amp;"/detail/"</f>
        <v>/recipes/jackfruit-gravy/detail/</v>
      </c>
      <c r="X133" s="81" t="str">
        <f aca="false">J133</f>
        <v>Jackfruit </v>
      </c>
      <c r="Y133" s="81" t="str">
        <f aca="false">R133</f>
        <v>jackfruit</v>
      </c>
      <c r="Z133" s="94" t="n">
        <f aca="false">VLOOKUP(Y133,recipe_ingred_list!$D$2:$E$500,2,0)</f>
        <v>99</v>
      </c>
      <c r="AA133" s="61" t="n">
        <f aca="false">K133</f>
        <v>30</v>
      </c>
      <c r="AB133" s="61" t="str">
        <f aca="false">L133</f>
        <v>kg</v>
      </c>
      <c r="AC133" s="61" t="n">
        <f aca="false">VLOOKUP(AB133,recipe_ingred_list!$K$2:$M$7,3,0)</f>
        <v>2</v>
      </c>
      <c r="AD133" s="61" t="n">
        <f aca="false">M133</f>
        <v>0</v>
      </c>
      <c r="AE133" s="61" t="n">
        <f aca="false">N133</f>
        <v>0</v>
      </c>
      <c r="AF133" s="61" t="n">
        <f aca="false">VLOOKUP(AE133,recipe_ingred_list!$K$16:$M$25,3,0)</f>
        <v>1</v>
      </c>
      <c r="AG133" s="61" t="n">
        <f aca="false">O133</f>
        <v>0</v>
      </c>
      <c r="AH133" s="61" t="n">
        <f aca="false">P133</f>
        <v>0</v>
      </c>
      <c r="AI133" s="61" t="n">
        <f aca="false">VLOOKUP(AH133,recipe_ingred_list!$K$29:$M$34,3,0)</f>
        <v>3</v>
      </c>
      <c r="AJ133" s="61" t="str">
        <f aca="false">IF(Q133="","",Q133)</f>
        <v>cut,boiled,fried</v>
      </c>
      <c r="AK133" s="61" t="n">
        <f aca="false">AK132+1</f>
        <v>133</v>
      </c>
      <c r="AL133" s="61" t="str">
        <f aca="false">Y133</f>
        <v>jackfruit</v>
      </c>
      <c r="AM133" s="81" t="str">
        <f aca="false">"a = Client().post('"&amp;W133&amp;"', {'recipe' : '"&amp;V133&amp;"', 'ingredient' : '"&amp;Z133&amp;"', 'name' : '"&amp;X133&amp;"', 'mass_unit' : '"&amp;AC133&amp;"', 'mass_quantity' : '"&amp;ROUND(AA133,3)&amp;"', 'volume_unit' : '"&amp;AF133&amp;"', 'volume_quantity' : '"&amp;ROUND(AD133,3)&amp;"', 'pieces_unit' : '"&amp;AI133&amp;"', 'pieces_quantity' : '"&amp;ROUND(AG133,3)&amp;"', 'cooking_notes' : '"&amp;AJ133&amp;"'}).status_code; print('%s :: %s :: %s :: %s :: %s' %(a,"&amp;G133&amp;",'"&amp;X133&amp;"','"&amp;Y133&amp;"','"&amp;U133&amp;"'))"</f>
        <v>a = Client().post('/recipes/jackfruit-gravy/detail/', {'recipe' : '33', 'ingredient' : '99', 'name' : 'Jackfruit ', 'mass_unit' : '2', 'mass_quantity' : '30', 'volume_unit' : '1', 'volume_quantity' : '0', 'pieces_unit' : '3', 'pieces_quantity' : '0', 'cooking_notes' : 'cut,boiled,fried'}).status_code; print('%s :: %s :: %s :: %s :: %s' %(a,133,'Jackfruit ','jackfruit','Jackfruit gravy'))</v>
      </c>
    </row>
    <row r="134" customFormat="false" ht="14.9" hidden="false" customHeight="false" outlineLevel="0" collapsed="false">
      <c r="G134" s="80" t="n">
        <v>134</v>
      </c>
      <c r="I134" s="82" t="s">
        <v>208</v>
      </c>
      <c r="J134" s="83" t="s">
        <v>21</v>
      </c>
      <c r="K134" s="61" t="n">
        <v>10</v>
      </c>
      <c r="L134" s="61" t="s">
        <v>7</v>
      </c>
      <c r="Q134" s="84" t="s">
        <v>547</v>
      </c>
      <c r="R134" s="82" t="str">
        <f aca="false">VLOOKUP(J134,ingredient!$N$4:$O$553,2,0)</f>
        <v>tomato</v>
      </c>
      <c r="U134" s="81" t="str">
        <f aca="false">I134</f>
        <v>Jackfruit gravy</v>
      </c>
      <c r="V134" s="81" t="n">
        <f aca="false">VLOOKUP(U134,recipe_ingred_list!$A$2:$B$300,2,0)</f>
        <v>33</v>
      </c>
      <c r="W134" s="81" t="str">
        <f aca="false">"/recipes/"&amp;VLOOKUP(U134,recipe_ingred_list!$A$2:$C$300,3,0)&amp;"/detail/"</f>
        <v>/recipes/jackfruit-gravy/detail/</v>
      </c>
      <c r="X134" s="81" t="str">
        <f aca="false">J134</f>
        <v>Tomato</v>
      </c>
      <c r="Y134" s="81" t="str">
        <f aca="false">R134</f>
        <v>tomato</v>
      </c>
      <c r="Z134" s="94" t="n">
        <f aca="false">VLOOKUP(Y134,recipe_ingred_list!$D$2:$E$500,2,0)</f>
        <v>195</v>
      </c>
      <c r="AA134" s="61" t="n">
        <f aca="false">K134</f>
        <v>10</v>
      </c>
      <c r="AB134" s="61" t="str">
        <f aca="false">L134</f>
        <v>kg</v>
      </c>
      <c r="AC134" s="61" t="n">
        <f aca="false">VLOOKUP(AB134,recipe_ingred_list!$K$2:$M$7,3,0)</f>
        <v>2</v>
      </c>
      <c r="AD134" s="61" t="n">
        <f aca="false">M134</f>
        <v>0</v>
      </c>
      <c r="AE134" s="61" t="n">
        <f aca="false">N134</f>
        <v>0</v>
      </c>
      <c r="AF134" s="61" t="n">
        <f aca="false">VLOOKUP(AE134,recipe_ingred_list!$K$16:$M$25,3,0)</f>
        <v>1</v>
      </c>
      <c r="AG134" s="61" t="n">
        <f aca="false">O134</f>
        <v>0</v>
      </c>
      <c r="AH134" s="61" t="n">
        <f aca="false">P134</f>
        <v>0</v>
      </c>
      <c r="AI134" s="61" t="n">
        <f aca="false">VLOOKUP(AH134,recipe_ingred_list!$K$29:$M$34,3,0)</f>
        <v>3</v>
      </c>
      <c r="AJ134" s="61" t="str">
        <f aca="false">IF(Q134="","",Q134)</f>
        <v>steam puree</v>
      </c>
      <c r="AK134" s="61" t="n">
        <f aca="false">AK133+1</f>
        <v>134</v>
      </c>
      <c r="AL134" s="61" t="str">
        <f aca="false">Y134</f>
        <v>tomato</v>
      </c>
      <c r="AM134" s="81" t="str">
        <f aca="false">"a = Client().post('"&amp;W134&amp;"', {'recipe' : '"&amp;V134&amp;"', 'ingredient' : '"&amp;Z134&amp;"', 'name' : '"&amp;X134&amp;"', 'mass_unit' : '"&amp;AC134&amp;"', 'mass_quantity' : '"&amp;ROUND(AA134,3)&amp;"', 'volume_unit' : '"&amp;AF134&amp;"', 'volume_quantity' : '"&amp;ROUND(AD134,3)&amp;"', 'pieces_unit' : '"&amp;AI134&amp;"', 'pieces_quantity' : '"&amp;ROUND(AG134,3)&amp;"', 'cooking_notes' : '"&amp;AJ134&amp;"'}).status_code; print('%s :: %s :: %s :: %s :: %s' %(a,"&amp;G134&amp;",'"&amp;X134&amp;"','"&amp;Y134&amp;"','"&amp;U134&amp;"'))"</f>
        <v>a = Client().post('/recipes/jackfruit-gravy/detail/', {'recipe' : '33', 'ingredient' : '195', 'name' : 'Tomato', 'mass_unit' : '2', 'mass_quantity' : '10', 'volume_unit' : '1', 'volume_quantity' : '0', 'pieces_unit' : '3', 'pieces_quantity' : '0', 'cooking_notes' : 'steam puree'}).status_code; print('%s :: %s :: %s :: %s :: %s' %(a,134,'Tomato','tomato','Jackfruit gravy'))</v>
      </c>
    </row>
    <row r="135" customFormat="false" ht="14.9" hidden="false" customHeight="false" outlineLevel="0" collapsed="false">
      <c r="G135" s="80" t="n">
        <v>135</v>
      </c>
      <c r="I135" s="82" t="s">
        <v>208</v>
      </c>
      <c r="J135" s="83" t="s">
        <v>74</v>
      </c>
      <c r="K135" s="61" t="n">
        <v>1</v>
      </c>
      <c r="L135" s="61" t="s">
        <v>7</v>
      </c>
      <c r="Q135" s="84" t="s">
        <v>561</v>
      </c>
      <c r="R135" s="82" t="str">
        <f aca="false">VLOOKUP(J135,ingredient!$N$4:$O$553,2,0)</f>
        <v>kaju</v>
      </c>
      <c r="U135" s="81" t="str">
        <f aca="false">I135</f>
        <v>Jackfruit gravy</v>
      </c>
      <c r="V135" s="81" t="n">
        <f aca="false">VLOOKUP(U135,recipe_ingred_list!$A$2:$B$300,2,0)</f>
        <v>33</v>
      </c>
      <c r="W135" s="81" t="str">
        <f aca="false">"/recipes/"&amp;VLOOKUP(U135,recipe_ingred_list!$A$2:$C$300,3,0)&amp;"/detail/"</f>
        <v>/recipes/jackfruit-gravy/detail/</v>
      </c>
      <c r="X135" s="81" t="str">
        <f aca="false">J135</f>
        <v>Kaju paste</v>
      </c>
      <c r="Y135" s="81" t="str">
        <f aca="false">R135</f>
        <v>kaju</v>
      </c>
      <c r="Z135" s="94" t="n">
        <f aca="false">VLOOKUP(Y135,recipe_ingred_list!$D$2:$E$500,2,0)</f>
        <v>107</v>
      </c>
      <c r="AA135" s="61" t="n">
        <f aca="false">K135</f>
        <v>1</v>
      </c>
      <c r="AB135" s="61" t="str">
        <f aca="false">L135</f>
        <v>kg</v>
      </c>
      <c r="AC135" s="61" t="n">
        <f aca="false">VLOOKUP(AB135,recipe_ingred_list!$K$2:$M$7,3,0)</f>
        <v>2</v>
      </c>
      <c r="AD135" s="61" t="n">
        <f aca="false">M135</f>
        <v>0</v>
      </c>
      <c r="AE135" s="61" t="n">
        <f aca="false">N135</f>
        <v>0</v>
      </c>
      <c r="AF135" s="61" t="n">
        <f aca="false">VLOOKUP(AE135,recipe_ingred_list!$K$16:$M$25,3,0)</f>
        <v>1</v>
      </c>
      <c r="AG135" s="61" t="n">
        <f aca="false">O135</f>
        <v>0</v>
      </c>
      <c r="AH135" s="61" t="n">
        <f aca="false">P135</f>
        <v>0</v>
      </c>
      <c r="AI135" s="61" t="n">
        <f aca="false">VLOOKUP(AH135,recipe_ingred_list!$K$29:$M$34,3,0)</f>
        <v>3</v>
      </c>
      <c r="AJ135" s="61" t="str">
        <f aca="false">IF(Q135="","",Q135)</f>
        <v>boiled paste</v>
      </c>
      <c r="AK135" s="61" t="n">
        <f aca="false">AK134+1</f>
        <v>135</v>
      </c>
      <c r="AL135" s="61" t="str">
        <f aca="false">Y135</f>
        <v>kaju</v>
      </c>
      <c r="AM135" s="81" t="str">
        <f aca="false">"a = Client().post('"&amp;W135&amp;"', {'recipe' : '"&amp;V135&amp;"', 'ingredient' : '"&amp;Z135&amp;"', 'name' : '"&amp;X135&amp;"', 'mass_unit' : '"&amp;AC135&amp;"', 'mass_quantity' : '"&amp;ROUND(AA135,3)&amp;"', 'volume_unit' : '"&amp;AF135&amp;"', 'volume_quantity' : '"&amp;ROUND(AD135,3)&amp;"', 'pieces_unit' : '"&amp;AI135&amp;"', 'pieces_quantity' : '"&amp;ROUND(AG135,3)&amp;"', 'cooking_notes' : '"&amp;AJ135&amp;"'}).status_code; print('%s :: %s :: %s :: %s :: %s' %(a,"&amp;G135&amp;",'"&amp;X135&amp;"','"&amp;Y135&amp;"','"&amp;U135&amp;"'))"</f>
        <v>a = Client().post('/recipes/jackfruit-gravy/detail/', {'recipe' : '33', 'ingredient' : '107', 'name' : 'Kaju paste', 'mass_unit' : '2', 'mass_quantity' : '1', 'volume_unit' : '1', 'volume_quantity' : '0', 'pieces_unit' : '3', 'pieces_quantity' : '0', 'cooking_notes' : 'boiled paste'}).status_code; print('%s :: %s :: %s :: %s :: %s' %(a,135,'Kaju paste','kaju','Jackfruit gravy'))</v>
      </c>
    </row>
    <row r="136" customFormat="false" ht="13.8" hidden="false" customHeight="false" outlineLevel="0" collapsed="false">
      <c r="G136" s="80" t="n">
        <v>136</v>
      </c>
      <c r="I136" s="82" t="s">
        <v>208</v>
      </c>
      <c r="J136" s="83" t="s">
        <v>553</v>
      </c>
      <c r="M136" s="61" t="n">
        <v>1.5</v>
      </c>
      <c r="N136" s="61" t="s">
        <v>13</v>
      </c>
      <c r="R136" s="82" t="str">
        <f aca="false">VLOOKUP(J136,ingredient!$N$4:$O$553,2,0)</f>
        <v>gound nut oil</v>
      </c>
      <c r="U136" s="81" t="str">
        <f aca="false">I136</f>
        <v>Jackfruit gravy</v>
      </c>
      <c r="V136" s="81" t="n">
        <f aca="false">VLOOKUP(U136,recipe_ingred_list!$A$2:$B$300,2,0)</f>
        <v>33</v>
      </c>
      <c r="W136" s="81" t="str">
        <f aca="false">"/recipes/"&amp;VLOOKUP(U136,recipe_ingred_list!$A$2:$C$300,3,0)&amp;"/detail/"</f>
        <v>/recipes/jackfruit-gravy/detail/</v>
      </c>
      <c r="X136" s="81" t="str">
        <f aca="false">J136</f>
        <v>Oil</v>
      </c>
      <c r="Y136" s="81" t="str">
        <f aca="false">R136</f>
        <v>gound nut oil</v>
      </c>
      <c r="Z136" s="94" t="n">
        <f aca="false">VLOOKUP(Y136,recipe_ingred_list!$D$2:$E$500,2,0)</f>
        <v>83</v>
      </c>
      <c r="AA136" s="61" t="n">
        <f aca="false">K136</f>
        <v>0</v>
      </c>
      <c r="AB136" s="61" t="n">
        <f aca="false">L136</f>
        <v>0</v>
      </c>
      <c r="AC136" s="61" t="n">
        <f aca="false">VLOOKUP(AB136,recipe_ingred_list!$K$2:$M$7,3,0)</f>
        <v>2</v>
      </c>
      <c r="AD136" s="61" t="n">
        <f aca="false">M136</f>
        <v>1.5</v>
      </c>
      <c r="AE136" s="61" t="str">
        <f aca="false">N136</f>
        <v>ltr</v>
      </c>
      <c r="AF136" s="61" t="n">
        <f aca="false">VLOOKUP(AE136,recipe_ingred_list!$K$16:$M$25,3,0)</f>
        <v>1</v>
      </c>
      <c r="AG136" s="61" t="n">
        <f aca="false">O136</f>
        <v>0</v>
      </c>
      <c r="AH136" s="61" t="n">
        <f aca="false">P136</f>
        <v>0</v>
      </c>
      <c r="AI136" s="61" t="n">
        <f aca="false">VLOOKUP(AH136,recipe_ingred_list!$K$29:$M$34,3,0)</f>
        <v>3</v>
      </c>
      <c r="AJ136" s="61" t="str">
        <f aca="false">IF(Q136="","",Q136)</f>
        <v/>
      </c>
      <c r="AK136" s="61" t="n">
        <f aca="false">AK135+1</f>
        <v>136</v>
      </c>
      <c r="AL136" s="61" t="str">
        <f aca="false">Y136</f>
        <v>gound nut oil</v>
      </c>
      <c r="AM136" s="81" t="str">
        <f aca="false">"a = Client().post('"&amp;W136&amp;"', {'recipe' : '"&amp;V136&amp;"', 'ingredient' : '"&amp;Z136&amp;"', 'name' : '"&amp;X136&amp;"', 'mass_unit' : '"&amp;AC136&amp;"', 'mass_quantity' : '"&amp;ROUND(AA136,3)&amp;"', 'volume_unit' : '"&amp;AF136&amp;"', 'volume_quantity' : '"&amp;ROUND(AD136,3)&amp;"', 'pieces_unit' : '"&amp;AI136&amp;"', 'pieces_quantity' : '"&amp;ROUND(AG136,3)&amp;"', 'cooking_notes' : '"&amp;AJ136&amp;"'}).status_code; print('%s :: %s :: %s :: %s :: %s' %(a,"&amp;G136&amp;",'"&amp;X136&amp;"','"&amp;Y136&amp;"','"&amp;U136&amp;"'))"</f>
        <v>a = Client().post('/recipes/jackfruit-gravy/detail/', {'recipe' : '33', 'ingredient' : '83', 'name' : 'Oil', 'mass_unit' : '2', 'mass_quantity' : '0', 'volume_unit' : '1', 'volume_quantity' : '1.5', 'pieces_unit' : '3', 'pieces_quantity' : '0', 'cooking_notes' : ''}).status_code; print('%s :: %s :: %s :: %s :: %s' %(a,136,'Oil','gound nut oil','Jackfruit gravy'))</v>
      </c>
    </row>
    <row r="137" customFormat="false" ht="13.8" hidden="false" customHeight="false" outlineLevel="0" collapsed="false">
      <c r="G137" s="80" t="n">
        <v>137</v>
      </c>
      <c r="I137" s="82" t="s">
        <v>208</v>
      </c>
      <c r="J137" s="83" t="s">
        <v>14</v>
      </c>
      <c r="M137" s="61" t="n">
        <v>1</v>
      </c>
      <c r="N137" s="61" t="s">
        <v>20</v>
      </c>
      <c r="R137" s="82" t="str">
        <f aca="false">VLOOKUP(J137,ingredient!$N$4:$O$553,2,0)</f>
        <v>jeera</v>
      </c>
      <c r="U137" s="81" t="str">
        <f aca="false">I137</f>
        <v>Jackfruit gravy</v>
      </c>
      <c r="V137" s="81" t="n">
        <f aca="false">VLOOKUP(U137,recipe_ingred_list!$A$2:$B$300,2,0)</f>
        <v>33</v>
      </c>
      <c r="W137" s="81" t="str">
        <f aca="false">"/recipes/"&amp;VLOOKUP(U137,recipe_ingred_list!$A$2:$C$300,3,0)&amp;"/detail/"</f>
        <v>/recipes/jackfruit-gravy/detail/</v>
      </c>
      <c r="X137" s="81" t="str">
        <f aca="false">J137</f>
        <v>Jeera</v>
      </c>
      <c r="Y137" s="81" t="str">
        <f aca="false">R137</f>
        <v>jeera</v>
      </c>
      <c r="Z137" s="94" t="n">
        <f aca="false">VLOOKUP(Y137,recipe_ingred_list!$D$2:$E$500,2,0)</f>
        <v>102</v>
      </c>
      <c r="AA137" s="61" t="n">
        <f aca="false">K137</f>
        <v>0</v>
      </c>
      <c r="AB137" s="61" t="n">
        <f aca="false">L137</f>
        <v>0</v>
      </c>
      <c r="AC137" s="61" t="n">
        <f aca="false">VLOOKUP(AB137,recipe_ingred_list!$K$2:$M$7,3,0)</f>
        <v>2</v>
      </c>
      <c r="AD137" s="61" t="n">
        <f aca="false">M137</f>
        <v>1</v>
      </c>
      <c r="AE137" s="61" t="str">
        <f aca="false">N137</f>
        <v>cup</v>
      </c>
      <c r="AF137" s="61" t="n">
        <f aca="false">VLOOKUP(AE137,recipe_ingred_list!$K$16:$M$25,3,0)</f>
        <v>5</v>
      </c>
      <c r="AG137" s="61" t="n">
        <f aca="false">O137</f>
        <v>0</v>
      </c>
      <c r="AH137" s="61" t="n">
        <f aca="false">P137</f>
        <v>0</v>
      </c>
      <c r="AI137" s="61" t="n">
        <f aca="false">VLOOKUP(AH137,recipe_ingred_list!$K$29:$M$34,3,0)</f>
        <v>3</v>
      </c>
      <c r="AJ137" s="61" t="str">
        <f aca="false">IF(Q137="","",Q137)</f>
        <v/>
      </c>
      <c r="AK137" s="61" t="n">
        <f aca="false">AK136+1</f>
        <v>137</v>
      </c>
      <c r="AL137" s="61" t="str">
        <f aca="false">Y137</f>
        <v>jeera</v>
      </c>
      <c r="AM137" s="81" t="str">
        <f aca="false">"a = Client().post('"&amp;W137&amp;"', {'recipe' : '"&amp;V137&amp;"', 'ingredient' : '"&amp;Z137&amp;"', 'name' : '"&amp;X137&amp;"', 'mass_unit' : '"&amp;AC137&amp;"', 'mass_quantity' : '"&amp;ROUND(AA137,3)&amp;"', 'volume_unit' : '"&amp;AF137&amp;"', 'volume_quantity' : '"&amp;ROUND(AD137,3)&amp;"', 'pieces_unit' : '"&amp;AI137&amp;"', 'pieces_quantity' : '"&amp;ROUND(AG137,3)&amp;"', 'cooking_notes' : '"&amp;AJ137&amp;"'}).status_code; print('%s :: %s :: %s :: %s :: %s' %(a,"&amp;G137&amp;",'"&amp;X137&amp;"','"&amp;Y137&amp;"','"&amp;U137&amp;"'))"</f>
        <v>a = Client().post('/recipes/jackfruit-gravy/detail/', {'recipe' : '33', 'ingredient' : '102', 'name' : 'Jeera', 'mass_unit' : '2', 'mass_quantity' : '0', 'volume_unit' : '5', 'volume_quantity' : '1', 'pieces_unit' : '3', 'pieces_quantity' : '0', 'cooking_notes' : ''}).status_code; print('%s :: %s :: %s :: %s :: %s' %(a,137,'Jeera','jeera','Jackfruit gravy'))</v>
      </c>
    </row>
    <row r="138" customFormat="false" ht="13.8" hidden="false" customHeight="false" outlineLevel="0" collapsed="false">
      <c r="G138" s="80" t="n">
        <v>138</v>
      </c>
      <c r="I138" s="82" t="s">
        <v>208</v>
      </c>
      <c r="J138" s="83" t="s">
        <v>562</v>
      </c>
      <c r="M138" s="61" t="n">
        <v>0.4</v>
      </c>
      <c r="N138" s="61" t="s">
        <v>20</v>
      </c>
      <c r="R138" s="82" t="str">
        <f aca="false">VLOOKUP(J138,ingredient!$N$4:$O$553,2,0)</f>
        <v>hing</v>
      </c>
      <c r="U138" s="81" t="str">
        <f aca="false">I138</f>
        <v>Jackfruit gravy</v>
      </c>
      <c r="V138" s="81" t="n">
        <f aca="false">VLOOKUP(U138,recipe_ingred_list!$A$2:$B$300,2,0)</f>
        <v>33</v>
      </c>
      <c r="W138" s="81" t="str">
        <f aca="false">"/recipes/"&amp;VLOOKUP(U138,recipe_ingred_list!$A$2:$C$300,3,0)&amp;"/detail/"</f>
        <v>/recipes/jackfruit-gravy/detail/</v>
      </c>
      <c r="X138" s="81" t="str">
        <f aca="false">J138</f>
        <v>Hing</v>
      </c>
      <c r="Y138" s="81" t="str">
        <f aca="false">R138</f>
        <v>hing</v>
      </c>
      <c r="Z138" s="94" t="n">
        <f aca="false">VLOOKUP(Y138,recipe_ingred_list!$D$2:$E$500,2,0)</f>
        <v>95</v>
      </c>
      <c r="AA138" s="61" t="n">
        <f aca="false">K138</f>
        <v>0</v>
      </c>
      <c r="AB138" s="61" t="n">
        <f aca="false">L138</f>
        <v>0</v>
      </c>
      <c r="AC138" s="61" t="n">
        <f aca="false">VLOOKUP(AB138,recipe_ingred_list!$K$2:$M$7,3,0)</f>
        <v>2</v>
      </c>
      <c r="AD138" s="61" t="n">
        <f aca="false">M138</f>
        <v>0.4</v>
      </c>
      <c r="AE138" s="61" t="str">
        <f aca="false">N138</f>
        <v>cup</v>
      </c>
      <c r="AF138" s="61" t="n">
        <f aca="false">VLOOKUP(AE138,recipe_ingred_list!$K$16:$M$25,3,0)</f>
        <v>5</v>
      </c>
      <c r="AG138" s="61" t="n">
        <f aca="false">O138</f>
        <v>0</v>
      </c>
      <c r="AH138" s="61" t="n">
        <f aca="false">P138</f>
        <v>0</v>
      </c>
      <c r="AI138" s="61" t="n">
        <f aca="false">VLOOKUP(AH138,recipe_ingred_list!$K$29:$M$34,3,0)</f>
        <v>3</v>
      </c>
      <c r="AJ138" s="61" t="str">
        <f aca="false">IF(Q138="","",Q138)</f>
        <v/>
      </c>
      <c r="AK138" s="61" t="n">
        <f aca="false">AK137+1</f>
        <v>138</v>
      </c>
      <c r="AL138" s="61" t="str">
        <f aca="false">Y138</f>
        <v>hing</v>
      </c>
      <c r="AM138" s="81" t="str">
        <f aca="false">"a = Client().post('"&amp;W138&amp;"', {'recipe' : '"&amp;V138&amp;"', 'ingredient' : '"&amp;Z138&amp;"', 'name' : '"&amp;X138&amp;"', 'mass_unit' : '"&amp;AC138&amp;"', 'mass_quantity' : '"&amp;ROUND(AA138,3)&amp;"', 'volume_unit' : '"&amp;AF138&amp;"', 'volume_quantity' : '"&amp;ROUND(AD138,3)&amp;"', 'pieces_unit' : '"&amp;AI138&amp;"', 'pieces_quantity' : '"&amp;ROUND(AG138,3)&amp;"', 'cooking_notes' : '"&amp;AJ138&amp;"'}).status_code; print('%s :: %s :: %s :: %s :: %s' %(a,"&amp;G138&amp;",'"&amp;X138&amp;"','"&amp;Y138&amp;"','"&amp;U138&amp;"'))"</f>
        <v>a = Client().post('/recipes/jackfruit-gravy/detail/', {'recipe' : '33', 'ingredient' : '95', 'name' : 'Hing', 'mass_unit' : '2', 'mass_quantity' : '0', 'volume_unit' : '5', 'volume_quantity' : '0.4', 'pieces_unit' : '3', 'pieces_quantity' : '0', 'cooking_notes' : ''}).status_code; print('%s :: %s :: %s :: %s :: %s' %(a,138,'Hing','hing','Jackfruit gravy'))</v>
      </c>
    </row>
    <row r="139" customFormat="false" ht="13.8" hidden="false" customHeight="false" outlineLevel="0" collapsed="false">
      <c r="G139" s="80" t="n">
        <v>139</v>
      </c>
      <c r="I139" s="82" t="s">
        <v>208</v>
      </c>
      <c r="J139" s="83" t="s">
        <v>563</v>
      </c>
      <c r="M139" s="61" t="n">
        <v>1</v>
      </c>
      <c r="N139" s="61" t="s">
        <v>20</v>
      </c>
      <c r="R139" s="82" t="str">
        <f aca="false">VLOOKUP(J139,ingredient!$N$4:$O$553,2,0)</f>
        <v>hari mirchi</v>
      </c>
      <c r="U139" s="81" t="str">
        <f aca="false">I139</f>
        <v>Jackfruit gravy</v>
      </c>
      <c r="V139" s="81" t="n">
        <f aca="false">VLOOKUP(U139,recipe_ingred_list!$A$2:$B$300,2,0)</f>
        <v>33</v>
      </c>
      <c r="W139" s="81" t="str">
        <f aca="false">"/recipes/"&amp;VLOOKUP(U139,recipe_ingred_list!$A$2:$C$300,3,0)&amp;"/detail/"</f>
        <v>/recipes/jackfruit-gravy/detail/</v>
      </c>
      <c r="X139" s="81" t="str">
        <f aca="false">J139</f>
        <v>Green chilly</v>
      </c>
      <c r="Y139" s="81" t="str">
        <f aca="false">R139</f>
        <v>hari mirchi</v>
      </c>
      <c r="Z139" s="94" t="n">
        <f aca="false">VLOOKUP(Y139,recipe_ingred_list!$D$2:$E$500,2,0)</f>
        <v>93</v>
      </c>
      <c r="AA139" s="61" t="n">
        <f aca="false">K139</f>
        <v>0</v>
      </c>
      <c r="AB139" s="61" t="n">
        <f aca="false">L139</f>
        <v>0</v>
      </c>
      <c r="AC139" s="61" t="n">
        <f aca="false">VLOOKUP(AB139,recipe_ingred_list!$K$2:$M$7,3,0)</f>
        <v>2</v>
      </c>
      <c r="AD139" s="61" t="n">
        <f aca="false">M139</f>
        <v>1</v>
      </c>
      <c r="AE139" s="61" t="str">
        <f aca="false">N139</f>
        <v>cup</v>
      </c>
      <c r="AF139" s="61" t="n">
        <f aca="false">VLOOKUP(AE139,recipe_ingred_list!$K$16:$M$25,3,0)</f>
        <v>5</v>
      </c>
      <c r="AG139" s="61" t="n">
        <f aca="false">O139</f>
        <v>0</v>
      </c>
      <c r="AH139" s="61" t="n">
        <f aca="false">P139</f>
        <v>0</v>
      </c>
      <c r="AI139" s="61" t="n">
        <f aca="false">VLOOKUP(AH139,recipe_ingred_list!$K$29:$M$34,3,0)</f>
        <v>3</v>
      </c>
      <c r="AJ139" s="61" t="str">
        <f aca="false">IF(Q139="","",Q139)</f>
        <v/>
      </c>
      <c r="AK139" s="61" t="n">
        <f aca="false">AK138+1</f>
        <v>139</v>
      </c>
      <c r="AL139" s="61" t="str">
        <f aca="false">Y139</f>
        <v>hari mirchi</v>
      </c>
      <c r="AM139" s="81" t="str">
        <f aca="false">"a = Client().post('"&amp;W139&amp;"', {'recipe' : '"&amp;V139&amp;"', 'ingredient' : '"&amp;Z139&amp;"', 'name' : '"&amp;X139&amp;"', 'mass_unit' : '"&amp;AC139&amp;"', 'mass_quantity' : '"&amp;ROUND(AA139,3)&amp;"', 'volume_unit' : '"&amp;AF139&amp;"', 'volume_quantity' : '"&amp;ROUND(AD139,3)&amp;"', 'pieces_unit' : '"&amp;AI139&amp;"', 'pieces_quantity' : '"&amp;ROUND(AG139,3)&amp;"', 'cooking_notes' : '"&amp;AJ139&amp;"'}).status_code; print('%s :: %s :: %s :: %s :: %s' %(a,"&amp;G139&amp;",'"&amp;X139&amp;"','"&amp;Y139&amp;"','"&amp;U139&amp;"'))"</f>
        <v>a = Client().post('/recipes/jackfruit-gravy/detail/', {'recipe' : '33', 'ingredient' : '93', 'name' : 'Green chilly', 'mass_unit' : '2', 'mass_quantity' : '0', 'volume_unit' : '5', 'volume_quantity' : '1', 'pieces_unit' : '3', 'pieces_quantity' : '0', 'cooking_notes' : ''}).status_code; print('%s :: %s :: %s :: %s :: %s' %(a,139,'Green chilly','hari mirchi','Jackfruit gravy'))</v>
      </c>
    </row>
    <row r="140" customFormat="false" ht="13.8" hidden="false" customHeight="false" outlineLevel="0" collapsed="false">
      <c r="G140" s="80" t="n">
        <v>140</v>
      </c>
      <c r="I140" s="82" t="s">
        <v>208</v>
      </c>
      <c r="J140" s="83" t="s">
        <v>18</v>
      </c>
      <c r="M140" s="61" t="n">
        <v>0.5</v>
      </c>
      <c r="N140" s="61" t="s">
        <v>13</v>
      </c>
      <c r="R140" s="82" t="str">
        <f aca="false">VLOOKUP(J140,ingredient!$N$4:$O$553,2,0)</f>
        <v>adrak</v>
      </c>
      <c r="U140" s="81" t="str">
        <f aca="false">I140</f>
        <v>Jackfruit gravy</v>
      </c>
      <c r="V140" s="81" t="n">
        <f aca="false">VLOOKUP(U140,recipe_ingred_list!$A$2:$B$300,2,0)</f>
        <v>33</v>
      </c>
      <c r="W140" s="81" t="str">
        <f aca="false">"/recipes/"&amp;VLOOKUP(U140,recipe_ingred_list!$A$2:$C$300,3,0)&amp;"/detail/"</f>
        <v>/recipes/jackfruit-gravy/detail/</v>
      </c>
      <c r="X140" s="81" t="str">
        <f aca="false">J140</f>
        <v>Adrak paste</v>
      </c>
      <c r="Y140" s="81" t="str">
        <f aca="false">R140</f>
        <v>adrak</v>
      </c>
      <c r="Z140" s="94" t="n">
        <f aca="false">VLOOKUP(Y140,recipe_ingred_list!$D$2:$E$500,2,0)</f>
        <v>1</v>
      </c>
      <c r="AA140" s="61" t="n">
        <f aca="false">K140</f>
        <v>0</v>
      </c>
      <c r="AB140" s="61" t="n">
        <f aca="false">L140</f>
        <v>0</v>
      </c>
      <c r="AC140" s="61" t="n">
        <f aca="false">VLOOKUP(AB140,recipe_ingred_list!$K$2:$M$7,3,0)</f>
        <v>2</v>
      </c>
      <c r="AD140" s="61" t="n">
        <f aca="false">M140</f>
        <v>0.5</v>
      </c>
      <c r="AE140" s="61" t="str">
        <f aca="false">N140</f>
        <v>ltr</v>
      </c>
      <c r="AF140" s="61" t="n">
        <f aca="false">VLOOKUP(AE140,recipe_ingred_list!$K$16:$M$25,3,0)</f>
        <v>1</v>
      </c>
      <c r="AG140" s="61" t="n">
        <f aca="false">O140</f>
        <v>0</v>
      </c>
      <c r="AH140" s="61" t="n">
        <f aca="false">P140</f>
        <v>0</v>
      </c>
      <c r="AI140" s="61" t="n">
        <f aca="false">VLOOKUP(AH140,recipe_ingred_list!$K$29:$M$34,3,0)</f>
        <v>3</v>
      </c>
      <c r="AJ140" s="61" t="str">
        <f aca="false">IF(Q140="","",Q140)</f>
        <v/>
      </c>
      <c r="AK140" s="61" t="n">
        <f aca="false">AK139+1</f>
        <v>140</v>
      </c>
      <c r="AL140" s="61" t="str">
        <f aca="false">Y140</f>
        <v>adrak</v>
      </c>
      <c r="AM140" s="81" t="str">
        <f aca="false">"a = Client().post('"&amp;W140&amp;"', {'recipe' : '"&amp;V140&amp;"', 'ingredient' : '"&amp;Z140&amp;"', 'name' : '"&amp;X140&amp;"', 'mass_unit' : '"&amp;AC140&amp;"', 'mass_quantity' : '"&amp;ROUND(AA140,3)&amp;"', 'volume_unit' : '"&amp;AF140&amp;"', 'volume_quantity' : '"&amp;ROUND(AD140,3)&amp;"', 'pieces_unit' : '"&amp;AI140&amp;"', 'pieces_quantity' : '"&amp;ROUND(AG140,3)&amp;"', 'cooking_notes' : '"&amp;AJ140&amp;"'}).status_code; print('%s :: %s :: %s :: %s :: %s' %(a,"&amp;G140&amp;",'"&amp;X140&amp;"','"&amp;Y140&amp;"','"&amp;U140&amp;"'))"</f>
        <v>a = Client().post('/recipes/jackfruit-gravy/detail/', {'recipe' : '33', 'ingredient' : '1', 'name' : 'Adrak paste', 'mass_unit' : '2', 'mass_quantity' : '0', 'volume_unit' : '1', 'volume_quantity' : '0.5', 'pieces_unit' : '3', 'pieces_quantity' : '0', 'cooking_notes' : ''}).status_code; print('%s :: %s :: %s :: %s :: %s' %(a,140,'Adrak paste','adrak','Jackfruit gravy'))</v>
      </c>
    </row>
    <row r="141" customFormat="false" ht="13.8" hidden="false" customHeight="false" outlineLevel="0" collapsed="false">
      <c r="G141" s="80" t="n">
        <v>141</v>
      </c>
      <c r="I141" s="82" t="s">
        <v>208</v>
      </c>
      <c r="J141" s="83" t="s">
        <v>564</v>
      </c>
      <c r="M141" s="61" t="n">
        <v>1</v>
      </c>
      <c r="N141" s="61" t="s">
        <v>20</v>
      </c>
      <c r="R141" s="82" t="str">
        <f aca="false">VLOOKUP(J141,ingredient!$N$4:$O$553,2,0)</f>
        <v>haldi</v>
      </c>
      <c r="U141" s="81" t="str">
        <f aca="false">I141</f>
        <v>Jackfruit gravy</v>
      </c>
      <c r="V141" s="81" t="n">
        <f aca="false">VLOOKUP(U141,recipe_ingred_list!$A$2:$B$300,2,0)</f>
        <v>33</v>
      </c>
      <c r="W141" s="81" t="str">
        <f aca="false">"/recipes/"&amp;VLOOKUP(U141,recipe_ingred_list!$A$2:$C$300,3,0)&amp;"/detail/"</f>
        <v>/recipes/jackfruit-gravy/detail/</v>
      </c>
      <c r="X141" s="81" t="str">
        <f aca="false">J141</f>
        <v>Haldi</v>
      </c>
      <c r="Y141" s="81" t="str">
        <f aca="false">R141</f>
        <v>haldi</v>
      </c>
      <c r="Z141" s="94" t="n">
        <f aca="false">VLOOKUP(Y141,recipe_ingred_list!$D$2:$E$500,2,0)</f>
        <v>91</v>
      </c>
      <c r="AA141" s="61" t="n">
        <f aca="false">K141</f>
        <v>0</v>
      </c>
      <c r="AB141" s="61" t="n">
        <f aca="false">L141</f>
        <v>0</v>
      </c>
      <c r="AC141" s="61" t="n">
        <f aca="false">VLOOKUP(AB141,recipe_ingred_list!$K$2:$M$7,3,0)</f>
        <v>2</v>
      </c>
      <c r="AD141" s="61" t="n">
        <f aca="false">M141</f>
        <v>1</v>
      </c>
      <c r="AE141" s="61" t="str">
        <f aca="false">N141</f>
        <v>cup</v>
      </c>
      <c r="AF141" s="61" t="n">
        <f aca="false">VLOOKUP(AE141,recipe_ingred_list!$K$16:$M$25,3,0)</f>
        <v>5</v>
      </c>
      <c r="AG141" s="61" t="n">
        <f aca="false">O141</f>
        <v>0</v>
      </c>
      <c r="AH141" s="61" t="n">
        <f aca="false">P141</f>
        <v>0</v>
      </c>
      <c r="AI141" s="61" t="n">
        <f aca="false">VLOOKUP(AH141,recipe_ingred_list!$K$29:$M$34,3,0)</f>
        <v>3</v>
      </c>
      <c r="AJ141" s="61" t="str">
        <f aca="false">IF(Q141="","",Q141)</f>
        <v/>
      </c>
      <c r="AK141" s="61" t="n">
        <f aca="false">AK140+1</f>
        <v>141</v>
      </c>
      <c r="AL141" s="61" t="str">
        <f aca="false">Y141</f>
        <v>haldi</v>
      </c>
      <c r="AM141" s="81" t="str">
        <f aca="false">"a = Client().post('"&amp;W141&amp;"', {'recipe' : '"&amp;V141&amp;"', 'ingredient' : '"&amp;Z141&amp;"', 'name' : '"&amp;X141&amp;"', 'mass_unit' : '"&amp;AC141&amp;"', 'mass_quantity' : '"&amp;ROUND(AA141,3)&amp;"', 'volume_unit' : '"&amp;AF141&amp;"', 'volume_quantity' : '"&amp;ROUND(AD141,3)&amp;"', 'pieces_unit' : '"&amp;AI141&amp;"', 'pieces_quantity' : '"&amp;ROUND(AG141,3)&amp;"', 'cooking_notes' : '"&amp;AJ141&amp;"'}).status_code; print('%s :: %s :: %s :: %s :: %s' %(a,"&amp;G141&amp;",'"&amp;X141&amp;"','"&amp;Y141&amp;"','"&amp;U141&amp;"'))"</f>
        <v>a = Client().post('/recipes/jackfruit-gravy/detail/', {'recipe' : '33', 'ingredient' : '91', 'name' : 'Haldi', 'mass_unit' : '2', 'mass_quantity' : '0', 'volume_unit' : '5', 'volume_quantity' : '1', 'pieces_unit' : '3', 'pieces_quantity' : '0', 'cooking_notes' : ''}).status_code; print('%s :: %s :: %s :: %s :: %s' %(a,141,'Haldi','haldi','Jackfruit gravy'))</v>
      </c>
    </row>
    <row r="142" customFormat="false" ht="13.8" hidden="false" customHeight="false" outlineLevel="0" collapsed="false">
      <c r="G142" s="80" t="n">
        <v>142</v>
      </c>
      <c r="I142" s="82" t="s">
        <v>208</v>
      </c>
      <c r="J142" s="83" t="s">
        <v>554</v>
      </c>
      <c r="M142" s="61" t="n">
        <v>1.5</v>
      </c>
      <c r="N142" s="61" t="s">
        <v>20</v>
      </c>
      <c r="R142" s="82" t="str">
        <f aca="false">VLOOKUP(J142,ingredient!$N$4:$O$553,2,0)</f>
        <v>kashmiri chilly powder</v>
      </c>
      <c r="U142" s="81" t="str">
        <f aca="false">I142</f>
        <v>Jackfruit gravy</v>
      </c>
      <c r="V142" s="81" t="n">
        <f aca="false">VLOOKUP(U142,recipe_ingred_list!$A$2:$B$300,2,0)</f>
        <v>33</v>
      </c>
      <c r="W142" s="81" t="str">
        <f aca="false">"/recipes/"&amp;VLOOKUP(U142,recipe_ingred_list!$A$2:$C$300,3,0)&amp;"/detail/"</f>
        <v>/recipes/jackfruit-gravy/detail/</v>
      </c>
      <c r="X142" s="81" t="str">
        <f aca="false">J142</f>
        <v>Kashmiri powder</v>
      </c>
      <c r="Y142" s="81" t="str">
        <f aca="false">R142</f>
        <v>kashmiri chilly powder</v>
      </c>
      <c r="Z142" s="94" t="n">
        <f aca="false">VLOOKUP(Y142,recipe_ingred_list!$D$2:$E$500,2,0)</f>
        <v>117</v>
      </c>
      <c r="AA142" s="61" t="n">
        <f aca="false">K142</f>
        <v>0</v>
      </c>
      <c r="AB142" s="61" t="n">
        <f aca="false">L142</f>
        <v>0</v>
      </c>
      <c r="AC142" s="61" t="n">
        <f aca="false">VLOOKUP(AB142,recipe_ingred_list!$K$2:$M$7,3,0)</f>
        <v>2</v>
      </c>
      <c r="AD142" s="61" t="n">
        <f aca="false">M142</f>
        <v>1.5</v>
      </c>
      <c r="AE142" s="61" t="str">
        <f aca="false">N142</f>
        <v>cup</v>
      </c>
      <c r="AF142" s="61" t="n">
        <f aca="false">VLOOKUP(AE142,recipe_ingred_list!$K$16:$M$25,3,0)</f>
        <v>5</v>
      </c>
      <c r="AG142" s="61" t="n">
        <f aca="false">O142</f>
        <v>0</v>
      </c>
      <c r="AH142" s="61" t="n">
        <f aca="false">P142</f>
        <v>0</v>
      </c>
      <c r="AI142" s="61" t="n">
        <f aca="false">VLOOKUP(AH142,recipe_ingred_list!$K$29:$M$34,3,0)</f>
        <v>3</v>
      </c>
      <c r="AJ142" s="61" t="str">
        <f aca="false">IF(Q142="","",Q142)</f>
        <v/>
      </c>
      <c r="AK142" s="61" t="n">
        <f aca="false">AK141+1</f>
        <v>142</v>
      </c>
      <c r="AL142" s="61" t="str">
        <f aca="false">Y142</f>
        <v>kashmiri chilly powder</v>
      </c>
      <c r="AM142" s="81" t="str">
        <f aca="false">"a = Client().post('"&amp;W142&amp;"', {'recipe' : '"&amp;V142&amp;"', 'ingredient' : '"&amp;Z142&amp;"', 'name' : '"&amp;X142&amp;"', 'mass_unit' : '"&amp;AC142&amp;"', 'mass_quantity' : '"&amp;ROUND(AA142,3)&amp;"', 'volume_unit' : '"&amp;AF142&amp;"', 'volume_quantity' : '"&amp;ROUND(AD142,3)&amp;"', 'pieces_unit' : '"&amp;AI142&amp;"', 'pieces_quantity' : '"&amp;ROUND(AG142,3)&amp;"', 'cooking_notes' : '"&amp;AJ142&amp;"'}).status_code; print('%s :: %s :: %s :: %s :: %s' %(a,"&amp;G142&amp;",'"&amp;X142&amp;"','"&amp;Y142&amp;"','"&amp;U142&amp;"'))"</f>
        <v>a = Client().post('/recipes/jackfruit-gravy/detail/', {'recipe' : '33', 'ingredient' : '117', 'name' : 'Kashmiri powder', 'mass_unit' : '2', 'mass_quantity' : '0', 'volume_unit' : '5', 'volume_quantity' : '1.5', 'pieces_unit' : '3', 'pieces_quantity' : '0', 'cooking_notes' : ''}).status_code; print('%s :: %s :: %s :: %s :: %s' %(a,142,'Kashmiri powder','kashmiri chilly powder','Jackfruit gravy'))</v>
      </c>
    </row>
    <row r="143" customFormat="false" ht="13.8" hidden="false" customHeight="false" outlineLevel="0" collapsed="false">
      <c r="G143" s="80" t="n">
        <v>143</v>
      </c>
      <c r="I143" s="82" t="s">
        <v>208</v>
      </c>
      <c r="J143" s="83" t="s">
        <v>72</v>
      </c>
      <c r="M143" s="61" t="n">
        <v>2</v>
      </c>
      <c r="N143" s="61" t="s">
        <v>20</v>
      </c>
      <c r="R143" s="82" t="str">
        <f aca="false">VLOOKUP(J143,ingredient!$N$4:$O$553,2,0)</f>
        <v>everest pulav masala</v>
      </c>
      <c r="U143" s="81" t="str">
        <f aca="false">I143</f>
        <v>Jackfruit gravy</v>
      </c>
      <c r="V143" s="81" t="n">
        <f aca="false">VLOOKUP(U143,recipe_ingred_list!$A$2:$B$300,2,0)</f>
        <v>33</v>
      </c>
      <c r="W143" s="81" t="str">
        <f aca="false">"/recipes/"&amp;VLOOKUP(U143,recipe_ingred_list!$A$2:$C$300,3,0)&amp;"/detail/"</f>
        <v>/recipes/jackfruit-gravy/detail/</v>
      </c>
      <c r="X143" s="81" t="str">
        <f aca="false">J143</f>
        <v>Everest pulao masala</v>
      </c>
      <c r="Y143" s="81" t="str">
        <f aca="false">R143</f>
        <v>everest pulav masala</v>
      </c>
      <c r="Z143" s="94" t="n">
        <f aca="false">VLOOKUP(Y143,recipe_ingred_list!$D$2:$E$500,2,0)</f>
        <v>74</v>
      </c>
      <c r="AA143" s="61" t="n">
        <f aca="false">K143</f>
        <v>0</v>
      </c>
      <c r="AB143" s="61" t="n">
        <f aca="false">L143</f>
        <v>0</v>
      </c>
      <c r="AC143" s="61" t="n">
        <f aca="false">VLOOKUP(AB143,recipe_ingred_list!$K$2:$M$7,3,0)</f>
        <v>2</v>
      </c>
      <c r="AD143" s="61" t="n">
        <f aca="false">M143</f>
        <v>2</v>
      </c>
      <c r="AE143" s="61" t="str">
        <f aca="false">N143</f>
        <v>cup</v>
      </c>
      <c r="AF143" s="61" t="n">
        <f aca="false">VLOOKUP(AE143,recipe_ingred_list!$K$16:$M$25,3,0)</f>
        <v>5</v>
      </c>
      <c r="AG143" s="61" t="n">
        <f aca="false">O143</f>
        <v>0</v>
      </c>
      <c r="AH143" s="61" t="n">
        <f aca="false">P143</f>
        <v>0</v>
      </c>
      <c r="AI143" s="61" t="n">
        <f aca="false">VLOOKUP(AH143,recipe_ingred_list!$K$29:$M$34,3,0)</f>
        <v>3</v>
      </c>
      <c r="AJ143" s="61" t="str">
        <f aca="false">IF(Q143="","",Q143)</f>
        <v/>
      </c>
      <c r="AK143" s="61" t="n">
        <f aca="false">AK142+1</f>
        <v>143</v>
      </c>
      <c r="AL143" s="61" t="str">
        <f aca="false">Y143</f>
        <v>everest pulav masala</v>
      </c>
      <c r="AM143" s="81" t="str">
        <f aca="false">"a = Client().post('"&amp;W143&amp;"', {'recipe' : '"&amp;V143&amp;"', 'ingredient' : '"&amp;Z143&amp;"', 'name' : '"&amp;X143&amp;"', 'mass_unit' : '"&amp;AC143&amp;"', 'mass_quantity' : '"&amp;ROUND(AA143,3)&amp;"', 'volume_unit' : '"&amp;AF143&amp;"', 'volume_quantity' : '"&amp;ROUND(AD143,3)&amp;"', 'pieces_unit' : '"&amp;AI143&amp;"', 'pieces_quantity' : '"&amp;ROUND(AG143,3)&amp;"', 'cooking_notes' : '"&amp;AJ143&amp;"'}).status_code; print('%s :: %s :: %s :: %s :: %s' %(a,"&amp;G143&amp;",'"&amp;X143&amp;"','"&amp;Y143&amp;"','"&amp;U143&amp;"'))"</f>
        <v>a = Client().post('/recipes/jackfruit-gravy/detail/', {'recipe' : '33', 'ingredient' : '74', 'name' : 'Everest pulao masala', 'mass_unit' : '2', 'mass_quantity' : '0', 'volume_unit' : '5', 'volume_quantity' : '2', 'pieces_unit' : '3', 'pieces_quantity' : '0', 'cooking_notes' : ''}).status_code; print('%s :: %s :: %s :: %s :: %s' %(a,143,'Everest pulao masala','everest pulav masala','Jackfruit gravy'))</v>
      </c>
    </row>
    <row r="144" customFormat="false" ht="13.8" hidden="false" customHeight="false" outlineLevel="0" collapsed="false">
      <c r="G144" s="80" t="n">
        <v>144</v>
      </c>
      <c r="I144" s="82" t="s">
        <v>208</v>
      </c>
      <c r="J144" s="83" t="s">
        <v>43</v>
      </c>
      <c r="M144" s="61" t="n">
        <v>10</v>
      </c>
      <c r="N144" s="61" t="s">
        <v>13</v>
      </c>
      <c r="R144" s="82" t="str">
        <f aca="false">VLOOKUP(J144,ingredient!$N$4:$O$553,2,0)</f>
        <v>hot water</v>
      </c>
      <c r="U144" s="81" t="str">
        <f aca="false">I144</f>
        <v>Jackfruit gravy</v>
      </c>
      <c r="V144" s="81" t="n">
        <f aca="false">VLOOKUP(U144,recipe_ingred_list!$A$2:$B$300,2,0)</f>
        <v>33</v>
      </c>
      <c r="W144" s="81" t="str">
        <f aca="false">"/recipes/"&amp;VLOOKUP(U144,recipe_ingred_list!$A$2:$C$300,3,0)&amp;"/detail/"</f>
        <v>/recipes/jackfruit-gravy/detail/</v>
      </c>
      <c r="X144" s="81" t="str">
        <f aca="false">J144</f>
        <v>Hot water</v>
      </c>
      <c r="Y144" s="81" t="str">
        <f aca="false">R144</f>
        <v>hot water</v>
      </c>
      <c r="Z144" s="94" t="n">
        <f aca="false">VLOOKUP(Y144,recipe_ingred_list!$D$2:$E$500,2,0)</f>
        <v>97</v>
      </c>
      <c r="AA144" s="61" t="n">
        <f aca="false">K144</f>
        <v>0</v>
      </c>
      <c r="AB144" s="61" t="n">
        <f aca="false">L144</f>
        <v>0</v>
      </c>
      <c r="AC144" s="61" t="n">
        <f aca="false">VLOOKUP(AB144,recipe_ingred_list!$K$2:$M$7,3,0)</f>
        <v>2</v>
      </c>
      <c r="AD144" s="61" t="n">
        <f aca="false">M144</f>
        <v>10</v>
      </c>
      <c r="AE144" s="61" t="str">
        <f aca="false">N144</f>
        <v>ltr</v>
      </c>
      <c r="AF144" s="61" t="n">
        <f aca="false">VLOOKUP(AE144,recipe_ingred_list!$K$16:$M$25,3,0)</f>
        <v>1</v>
      </c>
      <c r="AG144" s="61" t="n">
        <f aca="false">O144</f>
        <v>0</v>
      </c>
      <c r="AH144" s="61" t="n">
        <f aca="false">P144</f>
        <v>0</v>
      </c>
      <c r="AI144" s="61" t="n">
        <f aca="false">VLOOKUP(AH144,recipe_ingred_list!$K$29:$M$34,3,0)</f>
        <v>3</v>
      </c>
      <c r="AJ144" s="61" t="str">
        <f aca="false">IF(Q144="","",Q144)</f>
        <v/>
      </c>
      <c r="AK144" s="61" t="n">
        <f aca="false">AK143+1</f>
        <v>144</v>
      </c>
      <c r="AL144" s="61" t="str">
        <f aca="false">Y144</f>
        <v>hot water</v>
      </c>
      <c r="AM144" s="81" t="str">
        <f aca="false">"a = Client().post('"&amp;W144&amp;"', {'recipe' : '"&amp;V144&amp;"', 'ingredient' : '"&amp;Z144&amp;"', 'name' : '"&amp;X144&amp;"', 'mass_unit' : '"&amp;AC144&amp;"', 'mass_quantity' : '"&amp;ROUND(AA144,3)&amp;"', 'volume_unit' : '"&amp;AF144&amp;"', 'volume_quantity' : '"&amp;ROUND(AD144,3)&amp;"', 'pieces_unit' : '"&amp;AI144&amp;"', 'pieces_quantity' : '"&amp;ROUND(AG144,3)&amp;"', 'cooking_notes' : '"&amp;AJ144&amp;"'}).status_code; print('%s :: %s :: %s :: %s :: %s' %(a,"&amp;G144&amp;",'"&amp;X144&amp;"','"&amp;Y144&amp;"','"&amp;U144&amp;"'))"</f>
        <v>a = Client().post('/recipes/jackfruit-gravy/detail/', {'recipe' : '33', 'ingredient' : '97', 'name' : 'Hot water', 'mass_unit' : '2', 'mass_quantity' : '0', 'volume_unit' : '1', 'volume_quantity' : '10', 'pieces_unit' : '3', 'pieces_quantity' : '0', 'cooking_notes' : ''}).status_code; print('%s :: %s :: %s :: %s :: %s' %(a,144,'Hot water','hot water','Jackfruit gravy'))</v>
      </c>
    </row>
    <row r="145" customFormat="false" ht="13.8" hidden="false" customHeight="false" outlineLevel="0" collapsed="false">
      <c r="G145" s="80" t="n">
        <v>145</v>
      </c>
      <c r="I145" s="82" t="s">
        <v>208</v>
      </c>
      <c r="J145" s="83" t="s">
        <v>32</v>
      </c>
      <c r="M145" s="61" t="n">
        <v>1.8</v>
      </c>
      <c r="N145" s="61" t="s">
        <v>20</v>
      </c>
      <c r="R145" s="82" t="str">
        <f aca="false">VLOOKUP(J145,ingredient!$N$4:$O$553,2,0)</f>
        <v>salt</v>
      </c>
      <c r="U145" s="81" t="str">
        <f aca="false">I145</f>
        <v>Jackfruit gravy</v>
      </c>
      <c r="V145" s="81" t="n">
        <f aca="false">VLOOKUP(U145,recipe_ingred_list!$A$2:$B$300,2,0)</f>
        <v>33</v>
      </c>
      <c r="W145" s="81" t="str">
        <f aca="false">"/recipes/"&amp;VLOOKUP(U145,recipe_ingred_list!$A$2:$C$300,3,0)&amp;"/detail/"</f>
        <v>/recipes/jackfruit-gravy/detail/</v>
      </c>
      <c r="X145" s="81" t="str">
        <f aca="false">J145</f>
        <v>Salt</v>
      </c>
      <c r="Y145" s="81" t="str">
        <f aca="false">R145</f>
        <v>salt</v>
      </c>
      <c r="Z145" s="94" t="n">
        <f aca="false">VLOOKUP(Y145,recipe_ingred_list!$D$2:$E$500,2,0)</f>
        <v>177</v>
      </c>
      <c r="AA145" s="61" t="n">
        <f aca="false">K145</f>
        <v>0</v>
      </c>
      <c r="AB145" s="61" t="n">
        <f aca="false">L145</f>
        <v>0</v>
      </c>
      <c r="AC145" s="61" t="n">
        <f aca="false">VLOOKUP(AB145,recipe_ingred_list!$K$2:$M$7,3,0)</f>
        <v>2</v>
      </c>
      <c r="AD145" s="61" t="n">
        <f aca="false">M145</f>
        <v>1.8</v>
      </c>
      <c r="AE145" s="61" t="str">
        <f aca="false">N145</f>
        <v>cup</v>
      </c>
      <c r="AF145" s="61" t="n">
        <f aca="false">VLOOKUP(AE145,recipe_ingred_list!$K$16:$M$25,3,0)</f>
        <v>5</v>
      </c>
      <c r="AG145" s="61" t="n">
        <f aca="false">O145</f>
        <v>0</v>
      </c>
      <c r="AH145" s="61" t="n">
        <f aca="false">P145</f>
        <v>0</v>
      </c>
      <c r="AI145" s="61" t="n">
        <f aca="false">VLOOKUP(AH145,recipe_ingred_list!$K$29:$M$34,3,0)</f>
        <v>3</v>
      </c>
      <c r="AJ145" s="61" t="str">
        <f aca="false">IF(Q145="","",Q145)</f>
        <v/>
      </c>
      <c r="AK145" s="61" t="n">
        <f aca="false">AK144+1</f>
        <v>145</v>
      </c>
      <c r="AL145" s="61" t="str">
        <f aca="false">Y145</f>
        <v>salt</v>
      </c>
      <c r="AM145" s="81" t="str">
        <f aca="false">"a = Client().post('"&amp;W145&amp;"', {'recipe' : '"&amp;V145&amp;"', 'ingredient' : '"&amp;Z145&amp;"', 'name' : '"&amp;X145&amp;"', 'mass_unit' : '"&amp;AC145&amp;"', 'mass_quantity' : '"&amp;ROUND(AA145,3)&amp;"', 'volume_unit' : '"&amp;AF145&amp;"', 'volume_quantity' : '"&amp;ROUND(AD145,3)&amp;"', 'pieces_unit' : '"&amp;AI145&amp;"', 'pieces_quantity' : '"&amp;ROUND(AG145,3)&amp;"', 'cooking_notes' : '"&amp;AJ145&amp;"'}).status_code; print('%s :: %s :: %s :: %s :: %s' %(a,"&amp;G145&amp;",'"&amp;X145&amp;"','"&amp;Y145&amp;"','"&amp;U145&amp;"'))"</f>
        <v>a = Client().post('/recipes/jackfruit-gravy/detail/', {'recipe' : '33', 'ingredient' : '177', 'name' : 'Salt', 'mass_unit' : '2', 'mass_quantity' : '0', 'volume_unit' : '5', 'volume_quantity' : '1.8', 'pieces_unit' : '3', 'pieces_quantity' : '0', 'cooking_notes' : ''}).status_code; print('%s :: %s :: %s :: %s :: %s' %(a,145,'Salt','salt','Jackfruit gravy'))</v>
      </c>
    </row>
    <row r="146" customFormat="false" ht="13.8" hidden="false" customHeight="false" outlineLevel="0" collapsed="false">
      <c r="G146" s="80" t="n">
        <v>146</v>
      </c>
      <c r="H146" s="98"/>
      <c r="I146" s="99" t="s">
        <v>208</v>
      </c>
      <c r="J146" s="79" t="s">
        <v>558</v>
      </c>
      <c r="K146" s="100"/>
      <c r="L146" s="100"/>
      <c r="M146" s="100" t="n">
        <v>35</v>
      </c>
      <c r="N146" s="100" t="s">
        <v>13</v>
      </c>
      <c r="O146" s="101"/>
      <c r="P146" s="100"/>
      <c r="Q146" s="102"/>
      <c r="R146" s="99" t="e">
        <f aca="false">VLOOKUP(J146,ingredient!$N$4:$O$553,2,0)</f>
        <v>#N/A</v>
      </c>
      <c r="S146" s="98"/>
      <c r="T146" s="98"/>
      <c r="U146" s="81" t="str">
        <f aca="false">I146</f>
        <v>Jackfruit gravy</v>
      </c>
      <c r="V146" s="81" t="n">
        <f aca="false">VLOOKUP(U146,recipe_ingred_list!$A$2:$B$300,2,0)</f>
        <v>33</v>
      </c>
      <c r="W146" s="81" t="str">
        <f aca="false">"/recipes/"&amp;VLOOKUP(U146,recipe_ingred_list!$A$2:$C$300,3,0)&amp;"/detail/"</f>
        <v>/recipes/jackfruit-gravy/detail/</v>
      </c>
      <c r="X146" s="81" t="str">
        <f aca="false">J146</f>
        <v>Yield </v>
      </c>
      <c r="Y146" s="81" t="e">
        <f aca="false">R146</f>
        <v>#N/A</v>
      </c>
      <c r="Z146" s="94" t="e">
        <f aca="false">VLOOKUP(Y146,recipe_ingred_list!$D$2:$E$500,2,0)</f>
        <v>#N/A</v>
      </c>
      <c r="AA146" s="61" t="n">
        <f aca="false">K146</f>
        <v>0</v>
      </c>
      <c r="AB146" s="61" t="n">
        <f aca="false">L146</f>
        <v>0</v>
      </c>
      <c r="AC146" s="61" t="n">
        <f aca="false">VLOOKUP(AB146,recipe_ingred_list!$K$2:$M$7,3,0)</f>
        <v>2</v>
      </c>
      <c r="AD146" s="61" t="n">
        <f aca="false">M146</f>
        <v>35</v>
      </c>
      <c r="AE146" s="61" t="str">
        <f aca="false">N146</f>
        <v>ltr</v>
      </c>
      <c r="AF146" s="61" t="n">
        <f aca="false">VLOOKUP(AE146,recipe_ingred_list!$K$16:$M$25,3,0)</f>
        <v>1</v>
      </c>
      <c r="AG146" s="61" t="n">
        <f aca="false">O146</f>
        <v>0</v>
      </c>
      <c r="AH146" s="61" t="n">
        <f aca="false">P146</f>
        <v>0</v>
      </c>
      <c r="AI146" s="61" t="n">
        <f aca="false">VLOOKUP(AH146,recipe_ingred_list!$K$29:$M$34,3,0)</f>
        <v>3</v>
      </c>
      <c r="AJ146" s="61" t="str">
        <f aca="false">IF(Q146="","",Q146)</f>
        <v/>
      </c>
      <c r="AK146" s="61" t="n">
        <f aca="false">AK145+1</f>
        <v>146</v>
      </c>
      <c r="AL146" s="61" t="e">
        <f aca="false">Y146</f>
        <v>#N/A</v>
      </c>
      <c r="AM146" s="81" t="e">
        <f aca="false">"a = Client().post('"&amp;W146&amp;"', {'recipe' : '"&amp;V146&amp;"', 'ingredient' : '"&amp;Z146&amp;"', 'name' : '"&amp;X146&amp;"', 'mass_unit' : '"&amp;AC146&amp;"', 'mass_quantity' : '"&amp;ROUND(AA146,3)&amp;"', 'volume_unit' : '"&amp;AF146&amp;"', 'volume_quantity' : '"&amp;ROUND(AD146,3)&amp;"', 'pieces_unit' : '"&amp;AI146&amp;"', 'pieces_quantity' : '"&amp;ROUND(AG146,3)&amp;"', 'cooking_notes' : '"&amp;AJ146&amp;"'}).status_code; print('%s :: %s :: %s :: %s :: %s' %(a,"&amp;G146&amp;",'"&amp;X146&amp;"','"&amp;Y146&amp;"','"&amp;U146&amp;"'))"</f>
        <v>#N/A</v>
      </c>
    </row>
    <row r="147" customFormat="false" ht="13.8" hidden="false" customHeight="false" outlineLevel="0" collapsed="false">
      <c r="G147" s="80" t="n">
        <v>147</v>
      </c>
      <c r="H147" s="98"/>
      <c r="I147" s="99"/>
      <c r="J147" s="79"/>
      <c r="K147" s="100"/>
      <c r="L147" s="100"/>
      <c r="M147" s="100"/>
      <c r="N147" s="100"/>
      <c r="O147" s="101"/>
      <c r="P147" s="100"/>
      <c r="Q147" s="102"/>
      <c r="R147" s="99" t="e">
        <f aca="false">VLOOKUP(J147,ingredient!$N$4:$O$553,2,0)</f>
        <v>#N/A</v>
      </c>
      <c r="S147" s="98"/>
      <c r="T147" s="98"/>
      <c r="U147" s="81" t="n">
        <f aca="false">I147</f>
        <v>0</v>
      </c>
      <c r="V147" s="81" t="e">
        <f aca="false">VLOOKUP(U147,recipe_ingred_list!$A$2:$B$300,2,0)</f>
        <v>#N/A</v>
      </c>
      <c r="W147" s="81" t="e">
        <f aca="false">"/recipes/"&amp;VLOOKUP(U147,recipe_ingred_list!$A$2:$C$300,3,0)&amp;"/detail/"</f>
        <v>#N/A</v>
      </c>
      <c r="X147" s="81" t="n">
        <f aca="false">J147</f>
        <v>0</v>
      </c>
      <c r="Y147" s="81" t="e">
        <f aca="false">R147</f>
        <v>#N/A</v>
      </c>
      <c r="Z147" s="94" t="e">
        <f aca="false">VLOOKUP(Y147,recipe_ingred_list!$D$2:$E$500,2,0)</f>
        <v>#N/A</v>
      </c>
      <c r="AA147" s="61" t="n">
        <f aca="false">K147</f>
        <v>0</v>
      </c>
      <c r="AB147" s="61" t="n">
        <f aca="false">L147</f>
        <v>0</v>
      </c>
      <c r="AC147" s="61" t="n">
        <f aca="false">VLOOKUP(AB147,recipe_ingred_list!$K$2:$M$7,3,0)</f>
        <v>2</v>
      </c>
      <c r="AD147" s="61" t="n">
        <f aca="false">M147</f>
        <v>0</v>
      </c>
      <c r="AE147" s="61" t="n">
        <f aca="false">N147</f>
        <v>0</v>
      </c>
      <c r="AF147" s="61" t="n">
        <f aca="false">VLOOKUP(AE147,recipe_ingred_list!$K$16:$M$25,3,0)</f>
        <v>1</v>
      </c>
      <c r="AG147" s="61" t="n">
        <f aca="false">O147</f>
        <v>0</v>
      </c>
      <c r="AH147" s="61" t="n">
        <f aca="false">P147</f>
        <v>0</v>
      </c>
      <c r="AI147" s="61" t="n">
        <f aca="false">VLOOKUP(AH147,recipe_ingred_list!$K$29:$M$34,3,0)</f>
        <v>3</v>
      </c>
      <c r="AJ147" s="61" t="str">
        <f aca="false">IF(Q147="","",Q147)</f>
        <v/>
      </c>
      <c r="AK147" s="61" t="n">
        <f aca="false">AK146+1</f>
        <v>147</v>
      </c>
      <c r="AL147" s="61" t="e">
        <f aca="false">Y147</f>
        <v>#N/A</v>
      </c>
      <c r="AM147" s="81" t="e">
        <f aca="false">"a = Client().post('"&amp;W147&amp;"', {'recipe' : '"&amp;V147&amp;"', 'ingredient' : '"&amp;Z147&amp;"', 'name' : '"&amp;X147&amp;"', 'mass_unit' : '"&amp;AC147&amp;"', 'mass_quantity' : '"&amp;ROUND(AA147,3)&amp;"', 'volume_unit' : '"&amp;AF147&amp;"', 'volume_quantity' : '"&amp;ROUND(AD147,3)&amp;"', 'pieces_unit' : '"&amp;AI147&amp;"', 'pieces_quantity' : '"&amp;ROUND(AG147,3)&amp;"', 'cooking_notes' : '"&amp;AJ147&amp;"'}).status_code; print('%s :: %s :: %s :: %s :: %s' %(a,"&amp;G147&amp;",'"&amp;X147&amp;"','"&amp;Y147&amp;"','"&amp;U147&amp;"'))"</f>
        <v>#N/A</v>
      </c>
    </row>
    <row r="148" customFormat="false" ht="14.9" hidden="false" customHeight="false" outlineLevel="0" collapsed="false">
      <c r="G148" s="80" t="n">
        <v>148</v>
      </c>
      <c r="I148" s="82" t="s">
        <v>375</v>
      </c>
      <c r="J148" s="83" t="s">
        <v>565</v>
      </c>
      <c r="K148" s="61" t="n">
        <v>9</v>
      </c>
      <c r="L148" s="61" t="s">
        <v>7</v>
      </c>
      <c r="Q148" s="84" t="s">
        <v>566</v>
      </c>
      <c r="R148" s="82" t="str">
        <f aca="false">VLOOKUP(J148,ingredient!$N$4:$O$553,2,0)</f>
        <v>safed watana</v>
      </c>
      <c r="U148" s="81" t="str">
        <f aca="false">I148</f>
        <v>Watana Usal</v>
      </c>
      <c r="V148" s="81" t="n">
        <f aca="false">VLOOKUP(U148,recipe_ingred_list!$A$2:$B$300,2,0)</f>
        <v>89</v>
      </c>
      <c r="W148" s="81" t="str">
        <f aca="false">"/recipes/"&amp;VLOOKUP(U148,recipe_ingred_list!$A$2:$C$300,3,0)&amp;"/detail/"</f>
        <v>/recipes/watana-usal/detail/</v>
      </c>
      <c r="X148" s="81" t="str">
        <f aca="false">J148</f>
        <v>Safed watana</v>
      </c>
      <c r="Y148" s="81" t="str">
        <f aca="false">R148</f>
        <v>safed watana</v>
      </c>
      <c r="Z148" s="94" t="n">
        <f aca="false">VLOOKUP(Y148,recipe_ingred_list!$D$2:$E$500,2,0)</f>
        <v>176</v>
      </c>
      <c r="AA148" s="61" t="n">
        <f aca="false">K148</f>
        <v>9</v>
      </c>
      <c r="AB148" s="61" t="str">
        <f aca="false">L148</f>
        <v>kg</v>
      </c>
      <c r="AC148" s="61" t="n">
        <f aca="false">VLOOKUP(AB148,recipe_ingred_list!$K$2:$M$7,3,0)</f>
        <v>2</v>
      </c>
      <c r="AD148" s="61" t="n">
        <f aca="false">M148</f>
        <v>0</v>
      </c>
      <c r="AE148" s="61" t="n">
        <f aca="false">N148</f>
        <v>0</v>
      </c>
      <c r="AF148" s="61" t="n">
        <f aca="false">VLOOKUP(AE148,recipe_ingred_list!$K$16:$M$25,3,0)</f>
        <v>1</v>
      </c>
      <c r="AG148" s="61" t="n">
        <f aca="false">O148</f>
        <v>0</v>
      </c>
      <c r="AH148" s="61" t="n">
        <f aca="false">P148</f>
        <v>0</v>
      </c>
      <c r="AI148" s="61" t="n">
        <f aca="false">VLOOKUP(AH148,recipe_ingred_list!$K$29:$M$34,3,0)</f>
        <v>3</v>
      </c>
      <c r="AJ148" s="61" t="str">
        <f aca="false">IF(Q148="","",Q148)</f>
        <v>boiled</v>
      </c>
      <c r="AK148" s="61" t="n">
        <f aca="false">AK147+1</f>
        <v>148</v>
      </c>
      <c r="AL148" s="61" t="str">
        <f aca="false">Y148</f>
        <v>safed watana</v>
      </c>
      <c r="AM148" s="81" t="str">
        <f aca="false">"a = Client().post('"&amp;W148&amp;"', {'recipe' : '"&amp;V148&amp;"', 'ingredient' : '"&amp;Z148&amp;"', 'name' : '"&amp;X148&amp;"', 'mass_unit' : '"&amp;AC148&amp;"', 'mass_quantity' : '"&amp;ROUND(AA148,3)&amp;"', 'volume_unit' : '"&amp;AF148&amp;"', 'volume_quantity' : '"&amp;ROUND(AD148,3)&amp;"', 'pieces_unit' : '"&amp;AI148&amp;"', 'pieces_quantity' : '"&amp;ROUND(AG148,3)&amp;"', 'cooking_notes' : '"&amp;AJ148&amp;"'}).status_code; print('%s :: %s :: %s :: %s :: %s' %(a,"&amp;G148&amp;",'"&amp;X148&amp;"','"&amp;Y148&amp;"','"&amp;U148&amp;"'))"</f>
        <v>a = Client().post('/recipes/watana-usal/detail/', {'recipe' : '89', 'ingredient' : '176', 'name' : 'Safed watana', 'mass_unit' : '2', 'mass_quantity' : '9', 'volume_unit' : '1', 'volume_quantity' : '0', 'pieces_unit' : '3', 'pieces_quantity' : '0', 'cooking_notes' : 'boiled'}).status_code; print('%s :: %s :: %s :: %s :: %s' %(a,148,'Safed watana','safed watana','Watana Usal'))</v>
      </c>
    </row>
    <row r="149" customFormat="false" ht="14.9" hidden="false" customHeight="false" outlineLevel="0" collapsed="false">
      <c r="G149" s="80" t="n">
        <v>149</v>
      </c>
      <c r="I149" s="82" t="s">
        <v>375</v>
      </c>
      <c r="J149" s="83" t="s">
        <v>21</v>
      </c>
      <c r="K149" s="61" t="n">
        <v>5</v>
      </c>
      <c r="L149" s="61" t="s">
        <v>7</v>
      </c>
      <c r="Q149" s="84" t="s">
        <v>567</v>
      </c>
      <c r="R149" s="82" t="str">
        <f aca="false">VLOOKUP(J149,ingredient!$N$4:$O$553,2,0)</f>
        <v>tomato</v>
      </c>
      <c r="U149" s="81" t="str">
        <f aca="false">I149</f>
        <v>Watana Usal</v>
      </c>
      <c r="V149" s="81" t="n">
        <f aca="false">VLOOKUP(U149,recipe_ingred_list!$A$2:$B$300,2,0)</f>
        <v>89</v>
      </c>
      <c r="W149" s="81" t="str">
        <f aca="false">"/recipes/"&amp;VLOOKUP(U149,recipe_ingred_list!$A$2:$C$300,3,0)&amp;"/detail/"</f>
        <v>/recipes/watana-usal/detail/</v>
      </c>
      <c r="X149" s="81" t="str">
        <f aca="false">J149</f>
        <v>Tomato</v>
      </c>
      <c r="Y149" s="81" t="str">
        <f aca="false">R149</f>
        <v>tomato</v>
      </c>
      <c r="Z149" s="94" t="n">
        <f aca="false">VLOOKUP(Y149,recipe_ingred_list!$D$2:$E$500,2,0)</f>
        <v>195</v>
      </c>
      <c r="AA149" s="61" t="n">
        <f aca="false">K149</f>
        <v>5</v>
      </c>
      <c r="AB149" s="61" t="str">
        <f aca="false">L149</f>
        <v>kg</v>
      </c>
      <c r="AC149" s="61" t="n">
        <f aca="false">VLOOKUP(AB149,recipe_ingred_list!$K$2:$M$7,3,0)</f>
        <v>2</v>
      </c>
      <c r="AD149" s="61" t="n">
        <f aca="false">M149</f>
        <v>0</v>
      </c>
      <c r="AE149" s="61" t="n">
        <f aca="false">N149</f>
        <v>0</v>
      </c>
      <c r="AF149" s="61" t="n">
        <f aca="false">VLOOKUP(AE149,recipe_ingred_list!$K$16:$M$25,3,0)</f>
        <v>1</v>
      </c>
      <c r="AG149" s="61" t="n">
        <f aca="false">O149</f>
        <v>0</v>
      </c>
      <c r="AH149" s="61" t="n">
        <f aca="false">P149</f>
        <v>0</v>
      </c>
      <c r="AI149" s="61" t="n">
        <f aca="false">VLOOKUP(AH149,recipe_ingred_list!$K$29:$M$34,3,0)</f>
        <v>3</v>
      </c>
      <c r="AJ149" s="61" t="str">
        <f aca="false">IF(Q149="","",Q149)</f>
        <v>0.5" cube</v>
      </c>
      <c r="AK149" s="61" t="n">
        <f aca="false">AK148+1</f>
        <v>149</v>
      </c>
      <c r="AL149" s="61" t="str">
        <f aca="false">Y149</f>
        <v>tomato</v>
      </c>
      <c r="AM149" s="81" t="str">
        <f aca="false">"a = Client().post('"&amp;W149&amp;"', {'recipe' : '"&amp;V149&amp;"', 'ingredient' : '"&amp;Z149&amp;"', 'name' : '"&amp;X149&amp;"', 'mass_unit' : '"&amp;AC149&amp;"', 'mass_quantity' : '"&amp;ROUND(AA149,3)&amp;"', 'volume_unit' : '"&amp;AF149&amp;"', 'volume_quantity' : '"&amp;ROUND(AD149,3)&amp;"', 'pieces_unit' : '"&amp;AI149&amp;"', 'pieces_quantity' : '"&amp;ROUND(AG149,3)&amp;"', 'cooking_notes' : '"&amp;AJ149&amp;"'}).status_code; print('%s :: %s :: %s :: %s :: %s' %(a,"&amp;G149&amp;",'"&amp;X149&amp;"','"&amp;Y149&amp;"','"&amp;U149&amp;"'))"</f>
        <v>a = Client().post('/recipes/watana-usal/detail/', {'recipe' : '89', 'ingredient' : '195', 'name' : 'Tomato', 'mass_unit' : '2', 'mass_quantity' : '5', 'volume_unit' : '1', 'volume_quantity' : '0', 'pieces_unit' : '3', 'pieces_quantity' : '0', 'cooking_notes' : '0.5" cube'}).status_code; print('%s :: %s :: %s :: %s :: %s' %(a,149,'Tomato','tomato','Watana Usal'))</v>
      </c>
    </row>
    <row r="150" customFormat="false" ht="13.8" hidden="false" customHeight="false" outlineLevel="0" collapsed="false">
      <c r="G150" s="80" t="n">
        <v>150</v>
      </c>
      <c r="I150" s="82" t="s">
        <v>375</v>
      </c>
      <c r="J150" s="83" t="s">
        <v>564</v>
      </c>
      <c r="M150" s="61" t="n">
        <v>1</v>
      </c>
      <c r="N150" s="61" t="s">
        <v>20</v>
      </c>
      <c r="R150" s="82" t="str">
        <f aca="false">VLOOKUP(J150,ingredient!$N$4:$O$553,2,0)</f>
        <v>haldi</v>
      </c>
      <c r="U150" s="81" t="str">
        <f aca="false">I150</f>
        <v>Watana Usal</v>
      </c>
      <c r="V150" s="81" t="n">
        <f aca="false">VLOOKUP(U150,recipe_ingred_list!$A$2:$B$300,2,0)</f>
        <v>89</v>
      </c>
      <c r="W150" s="81" t="str">
        <f aca="false">"/recipes/"&amp;VLOOKUP(U150,recipe_ingred_list!$A$2:$C$300,3,0)&amp;"/detail/"</f>
        <v>/recipes/watana-usal/detail/</v>
      </c>
      <c r="X150" s="81" t="str">
        <f aca="false">J150</f>
        <v>Haldi</v>
      </c>
      <c r="Y150" s="81" t="str">
        <f aca="false">R150</f>
        <v>haldi</v>
      </c>
      <c r="Z150" s="94" t="n">
        <f aca="false">VLOOKUP(Y150,recipe_ingred_list!$D$2:$E$500,2,0)</f>
        <v>91</v>
      </c>
      <c r="AA150" s="61" t="n">
        <f aca="false">K150</f>
        <v>0</v>
      </c>
      <c r="AB150" s="61" t="n">
        <f aca="false">L150</f>
        <v>0</v>
      </c>
      <c r="AC150" s="61" t="n">
        <f aca="false">VLOOKUP(AB150,recipe_ingred_list!$K$2:$M$7,3,0)</f>
        <v>2</v>
      </c>
      <c r="AD150" s="61" t="n">
        <f aca="false">M150</f>
        <v>1</v>
      </c>
      <c r="AE150" s="61" t="str">
        <f aca="false">N150</f>
        <v>cup</v>
      </c>
      <c r="AF150" s="61" t="n">
        <f aca="false">VLOOKUP(AE150,recipe_ingred_list!$K$16:$M$25,3,0)</f>
        <v>5</v>
      </c>
      <c r="AG150" s="61" t="n">
        <f aca="false">O150</f>
        <v>0</v>
      </c>
      <c r="AH150" s="61" t="n">
        <f aca="false">P150</f>
        <v>0</v>
      </c>
      <c r="AI150" s="61" t="n">
        <f aca="false">VLOOKUP(AH150,recipe_ingred_list!$K$29:$M$34,3,0)</f>
        <v>3</v>
      </c>
      <c r="AJ150" s="61" t="str">
        <f aca="false">IF(Q150="","",Q150)</f>
        <v/>
      </c>
      <c r="AK150" s="61" t="n">
        <f aca="false">AK149+1</f>
        <v>150</v>
      </c>
      <c r="AL150" s="61" t="str">
        <f aca="false">Y150</f>
        <v>haldi</v>
      </c>
      <c r="AM150" s="81" t="str">
        <f aca="false">"a = Client().post('"&amp;W150&amp;"', {'recipe' : '"&amp;V150&amp;"', 'ingredient' : '"&amp;Z150&amp;"', 'name' : '"&amp;X150&amp;"', 'mass_unit' : '"&amp;AC150&amp;"', 'mass_quantity' : '"&amp;ROUND(AA150,3)&amp;"', 'volume_unit' : '"&amp;AF150&amp;"', 'volume_quantity' : '"&amp;ROUND(AD150,3)&amp;"', 'pieces_unit' : '"&amp;AI150&amp;"', 'pieces_quantity' : '"&amp;ROUND(AG150,3)&amp;"', 'cooking_notes' : '"&amp;AJ150&amp;"'}).status_code; print('%s :: %s :: %s :: %s :: %s' %(a,"&amp;G150&amp;",'"&amp;X150&amp;"','"&amp;Y150&amp;"','"&amp;U150&amp;"'))"</f>
        <v>a = Client().post('/recipes/watana-usal/detail/', {'recipe' : '89', 'ingredient' : '91', 'name' : 'Haldi', 'mass_unit' : '2', 'mass_quantity' : '0', 'volume_unit' : '5', 'volume_quantity' : '1', 'pieces_unit' : '3', 'pieces_quantity' : '0', 'cooking_notes' : ''}).status_code; print('%s :: %s :: %s :: %s :: %s' %(a,150,'Haldi','haldi','Watana Usal'))</v>
      </c>
    </row>
    <row r="151" customFormat="false" ht="13.8" hidden="false" customHeight="false" outlineLevel="0" collapsed="false">
      <c r="G151" s="80" t="n">
        <v>151</v>
      </c>
      <c r="I151" s="82" t="s">
        <v>375</v>
      </c>
      <c r="J151" s="83" t="s">
        <v>568</v>
      </c>
      <c r="M151" s="61" t="n">
        <v>1.5</v>
      </c>
      <c r="N151" s="61" t="s">
        <v>20</v>
      </c>
      <c r="R151" s="82" t="str">
        <f aca="false">VLOOKUP(J151,ingredient!$N$4:$O$553,2,0)</f>
        <v>dhaniya powder</v>
      </c>
      <c r="U151" s="81" t="str">
        <f aca="false">I151</f>
        <v>Watana Usal</v>
      </c>
      <c r="V151" s="81" t="n">
        <f aca="false">VLOOKUP(U151,recipe_ingred_list!$A$2:$B$300,2,0)</f>
        <v>89</v>
      </c>
      <c r="W151" s="81" t="str">
        <f aca="false">"/recipes/"&amp;VLOOKUP(U151,recipe_ingred_list!$A$2:$C$300,3,0)&amp;"/detail/"</f>
        <v>/recipes/watana-usal/detail/</v>
      </c>
      <c r="X151" s="81" t="str">
        <f aca="false">J151</f>
        <v>Dhania powder</v>
      </c>
      <c r="Y151" s="81" t="str">
        <f aca="false">R151</f>
        <v>dhaniya powder</v>
      </c>
      <c r="Z151" s="94" t="n">
        <f aca="false">VLOOKUP(Y151,recipe_ingred_list!$D$2:$E$500,2,0)</f>
        <v>67</v>
      </c>
      <c r="AA151" s="61" t="n">
        <f aca="false">K151</f>
        <v>0</v>
      </c>
      <c r="AB151" s="61" t="n">
        <f aca="false">L151</f>
        <v>0</v>
      </c>
      <c r="AC151" s="61" t="n">
        <f aca="false">VLOOKUP(AB151,recipe_ingred_list!$K$2:$M$7,3,0)</f>
        <v>2</v>
      </c>
      <c r="AD151" s="61" t="n">
        <f aca="false">M151</f>
        <v>1.5</v>
      </c>
      <c r="AE151" s="61" t="str">
        <f aca="false">N151</f>
        <v>cup</v>
      </c>
      <c r="AF151" s="61" t="n">
        <f aca="false">VLOOKUP(AE151,recipe_ingred_list!$K$16:$M$25,3,0)</f>
        <v>5</v>
      </c>
      <c r="AG151" s="61" t="n">
        <f aca="false">O151</f>
        <v>0</v>
      </c>
      <c r="AH151" s="61" t="n">
        <f aca="false">P151</f>
        <v>0</v>
      </c>
      <c r="AI151" s="61" t="n">
        <f aca="false">VLOOKUP(AH151,recipe_ingred_list!$K$29:$M$34,3,0)</f>
        <v>3</v>
      </c>
      <c r="AJ151" s="61" t="str">
        <f aca="false">IF(Q151="","",Q151)</f>
        <v/>
      </c>
      <c r="AK151" s="61" t="n">
        <f aca="false">AK150+1</f>
        <v>151</v>
      </c>
      <c r="AL151" s="61" t="str">
        <f aca="false">Y151</f>
        <v>dhaniya powder</v>
      </c>
      <c r="AM151" s="81" t="str">
        <f aca="false">"a = Client().post('"&amp;W151&amp;"', {'recipe' : '"&amp;V151&amp;"', 'ingredient' : '"&amp;Z151&amp;"', 'name' : '"&amp;X151&amp;"', 'mass_unit' : '"&amp;AC151&amp;"', 'mass_quantity' : '"&amp;ROUND(AA151,3)&amp;"', 'volume_unit' : '"&amp;AF151&amp;"', 'volume_quantity' : '"&amp;ROUND(AD151,3)&amp;"', 'pieces_unit' : '"&amp;AI151&amp;"', 'pieces_quantity' : '"&amp;ROUND(AG151,3)&amp;"', 'cooking_notes' : '"&amp;AJ151&amp;"'}).status_code; print('%s :: %s :: %s :: %s :: %s' %(a,"&amp;G151&amp;",'"&amp;X151&amp;"','"&amp;Y151&amp;"','"&amp;U151&amp;"'))"</f>
        <v>a = Client().post('/recipes/watana-usal/detail/', {'recipe' : '89', 'ingredient' : '67', 'name' : 'Dhania powder', 'mass_unit' : '2', 'mass_quantity' : '0', 'volume_unit' : '5', 'volume_quantity' : '1.5', 'pieces_unit' : '3', 'pieces_quantity' : '0', 'cooking_notes' : ''}).status_code; print('%s :: %s :: %s :: %s :: %s' %(a,151,'Dhania powder','dhaniya powder','Watana Usal'))</v>
      </c>
    </row>
    <row r="152" customFormat="false" ht="13.8" hidden="false" customHeight="false" outlineLevel="0" collapsed="false">
      <c r="G152" s="80" t="n">
        <v>152</v>
      </c>
      <c r="I152" s="82" t="s">
        <v>375</v>
      </c>
      <c r="J152" s="83" t="s">
        <v>569</v>
      </c>
      <c r="M152" s="61" t="n">
        <v>0.5</v>
      </c>
      <c r="N152" s="61" t="s">
        <v>20</v>
      </c>
      <c r="R152" s="82" t="str">
        <f aca="false">VLOOKUP(J152,ingredient!$N$4:$O$553,2,0)</f>
        <v>jeera powder</v>
      </c>
      <c r="U152" s="81" t="str">
        <f aca="false">I152</f>
        <v>Watana Usal</v>
      </c>
      <c r="V152" s="81" t="n">
        <f aca="false">VLOOKUP(U152,recipe_ingred_list!$A$2:$B$300,2,0)</f>
        <v>89</v>
      </c>
      <c r="W152" s="81" t="str">
        <f aca="false">"/recipes/"&amp;VLOOKUP(U152,recipe_ingred_list!$A$2:$C$300,3,0)&amp;"/detail/"</f>
        <v>/recipes/watana-usal/detail/</v>
      </c>
      <c r="X152" s="81" t="str">
        <f aca="false">J152</f>
        <v>Jeera powder</v>
      </c>
      <c r="Y152" s="81" t="str">
        <f aca="false">R152</f>
        <v>jeera powder</v>
      </c>
      <c r="Z152" s="94" t="n">
        <f aca="false">VLOOKUP(Y152,recipe_ingred_list!$D$2:$E$500,2,0)</f>
        <v>103</v>
      </c>
      <c r="AA152" s="61" t="n">
        <f aca="false">K152</f>
        <v>0</v>
      </c>
      <c r="AB152" s="61" t="n">
        <f aca="false">L152</f>
        <v>0</v>
      </c>
      <c r="AC152" s="61" t="n">
        <f aca="false">VLOOKUP(AB152,recipe_ingred_list!$K$2:$M$7,3,0)</f>
        <v>2</v>
      </c>
      <c r="AD152" s="61" t="n">
        <f aca="false">M152</f>
        <v>0.5</v>
      </c>
      <c r="AE152" s="61" t="str">
        <f aca="false">N152</f>
        <v>cup</v>
      </c>
      <c r="AF152" s="61" t="n">
        <f aca="false">VLOOKUP(AE152,recipe_ingred_list!$K$16:$M$25,3,0)</f>
        <v>5</v>
      </c>
      <c r="AG152" s="61" t="n">
        <f aca="false">O152</f>
        <v>0</v>
      </c>
      <c r="AH152" s="61" t="n">
        <f aca="false">P152</f>
        <v>0</v>
      </c>
      <c r="AI152" s="61" t="n">
        <f aca="false">VLOOKUP(AH152,recipe_ingred_list!$K$29:$M$34,3,0)</f>
        <v>3</v>
      </c>
      <c r="AJ152" s="61" t="str">
        <f aca="false">IF(Q152="","",Q152)</f>
        <v/>
      </c>
      <c r="AK152" s="61" t="n">
        <f aca="false">AK151+1</f>
        <v>152</v>
      </c>
      <c r="AL152" s="61" t="str">
        <f aca="false">Y152</f>
        <v>jeera powder</v>
      </c>
      <c r="AM152" s="81" t="str">
        <f aca="false">"a = Client().post('"&amp;W152&amp;"', {'recipe' : '"&amp;V152&amp;"', 'ingredient' : '"&amp;Z152&amp;"', 'name' : '"&amp;X152&amp;"', 'mass_unit' : '"&amp;AC152&amp;"', 'mass_quantity' : '"&amp;ROUND(AA152,3)&amp;"', 'volume_unit' : '"&amp;AF152&amp;"', 'volume_quantity' : '"&amp;ROUND(AD152,3)&amp;"', 'pieces_unit' : '"&amp;AI152&amp;"', 'pieces_quantity' : '"&amp;ROUND(AG152,3)&amp;"', 'cooking_notes' : '"&amp;AJ152&amp;"'}).status_code; print('%s :: %s :: %s :: %s :: %s' %(a,"&amp;G152&amp;",'"&amp;X152&amp;"','"&amp;Y152&amp;"','"&amp;U152&amp;"'))"</f>
        <v>a = Client().post('/recipes/watana-usal/detail/', {'recipe' : '89', 'ingredient' : '103', 'name' : 'Jeera powder', 'mass_unit' : '2', 'mass_quantity' : '0', 'volume_unit' : '5', 'volume_quantity' : '0.5', 'pieces_unit' : '3', 'pieces_quantity' : '0', 'cooking_notes' : ''}).status_code; print('%s :: %s :: %s :: %s :: %s' %(a,152,'Jeera powder','jeera powder','Watana Usal'))</v>
      </c>
    </row>
    <row r="153" customFormat="false" ht="13.8" hidden="false" customHeight="false" outlineLevel="0" collapsed="false">
      <c r="G153" s="80" t="n">
        <v>153</v>
      </c>
      <c r="I153" s="82" t="s">
        <v>375</v>
      </c>
      <c r="J153" s="83" t="s">
        <v>562</v>
      </c>
      <c r="M153" s="61" t="n">
        <v>0.5</v>
      </c>
      <c r="N153" s="61" t="s">
        <v>20</v>
      </c>
      <c r="R153" s="82" t="str">
        <f aca="false">VLOOKUP(J153,ingredient!$N$4:$O$553,2,0)</f>
        <v>hing</v>
      </c>
      <c r="U153" s="81" t="str">
        <f aca="false">I153</f>
        <v>Watana Usal</v>
      </c>
      <c r="V153" s="81" t="n">
        <f aca="false">VLOOKUP(U153,recipe_ingred_list!$A$2:$B$300,2,0)</f>
        <v>89</v>
      </c>
      <c r="W153" s="81" t="str">
        <f aca="false">"/recipes/"&amp;VLOOKUP(U153,recipe_ingred_list!$A$2:$C$300,3,0)&amp;"/detail/"</f>
        <v>/recipes/watana-usal/detail/</v>
      </c>
      <c r="X153" s="81" t="str">
        <f aca="false">J153</f>
        <v>Hing</v>
      </c>
      <c r="Y153" s="81" t="str">
        <f aca="false">R153</f>
        <v>hing</v>
      </c>
      <c r="Z153" s="94" t="n">
        <f aca="false">VLOOKUP(Y153,recipe_ingred_list!$D$2:$E$500,2,0)</f>
        <v>95</v>
      </c>
      <c r="AA153" s="61" t="n">
        <f aca="false">K153</f>
        <v>0</v>
      </c>
      <c r="AB153" s="61" t="n">
        <f aca="false">L153</f>
        <v>0</v>
      </c>
      <c r="AC153" s="61" t="n">
        <f aca="false">VLOOKUP(AB153,recipe_ingred_list!$K$2:$M$7,3,0)</f>
        <v>2</v>
      </c>
      <c r="AD153" s="61" t="n">
        <f aca="false">M153</f>
        <v>0.5</v>
      </c>
      <c r="AE153" s="61" t="str">
        <f aca="false">N153</f>
        <v>cup</v>
      </c>
      <c r="AF153" s="61" t="n">
        <f aca="false">VLOOKUP(AE153,recipe_ingred_list!$K$16:$M$25,3,0)</f>
        <v>5</v>
      </c>
      <c r="AG153" s="61" t="n">
        <f aca="false">O153</f>
        <v>0</v>
      </c>
      <c r="AH153" s="61" t="n">
        <f aca="false">P153</f>
        <v>0</v>
      </c>
      <c r="AI153" s="61" t="n">
        <f aca="false">VLOOKUP(AH153,recipe_ingred_list!$K$29:$M$34,3,0)</f>
        <v>3</v>
      </c>
      <c r="AJ153" s="61" t="str">
        <f aca="false">IF(Q153="","",Q153)</f>
        <v/>
      </c>
      <c r="AK153" s="61" t="n">
        <f aca="false">AK152+1</f>
        <v>153</v>
      </c>
      <c r="AL153" s="61" t="str">
        <f aca="false">Y153</f>
        <v>hing</v>
      </c>
      <c r="AM153" s="81" t="str">
        <f aca="false">"a = Client().post('"&amp;W153&amp;"', {'recipe' : '"&amp;V153&amp;"', 'ingredient' : '"&amp;Z153&amp;"', 'name' : '"&amp;X153&amp;"', 'mass_unit' : '"&amp;AC153&amp;"', 'mass_quantity' : '"&amp;ROUND(AA153,3)&amp;"', 'volume_unit' : '"&amp;AF153&amp;"', 'volume_quantity' : '"&amp;ROUND(AD153,3)&amp;"', 'pieces_unit' : '"&amp;AI153&amp;"', 'pieces_quantity' : '"&amp;ROUND(AG153,3)&amp;"', 'cooking_notes' : '"&amp;AJ153&amp;"'}).status_code; print('%s :: %s :: %s :: %s :: %s' %(a,"&amp;G153&amp;",'"&amp;X153&amp;"','"&amp;Y153&amp;"','"&amp;U153&amp;"'))"</f>
        <v>a = Client().post('/recipes/watana-usal/detail/', {'recipe' : '89', 'ingredient' : '95', 'name' : 'Hing', 'mass_unit' : '2', 'mass_quantity' : '0', 'volume_unit' : '5', 'volume_quantity' : '0.5', 'pieces_unit' : '3', 'pieces_quantity' : '0', 'cooking_notes' : ''}).status_code; print('%s :: %s :: %s :: %s :: %s' %(a,153,'Hing','hing','Watana Usal'))</v>
      </c>
    </row>
    <row r="154" customFormat="false" ht="13.8" hidden="false" customHeight="false" outlineLevel="0" collapsed="false">
      <c r="G154" s="80" t="n">
        <v>154</v>
      </c>
      <c r="I154" s="82" t="s">
        <v>375</v>
      </c>
      <c r="J154" s="83" t="s">
        <v>37</v>
      </c>
      <c r="M154" s="61" t="n">
        <v>1</v>
      </c>
      <c r="N154" s="61" t="s">
        <v>20</v>
      </c>
      <c r="R154" s="82" t="str">
        <f aca="false">VLOOKUP(J154,ingredient!$N$4:$O$553,2,0)</f>
        <v>tej patta</v>
      </c>
      <c r="U154" s="81" t="str">
        <f aca="false">I154</f>
        <v>Watana Usal</v>
      </c>
      <c r="V154" s="81" t="n">
        <f aca="false">VLOOKUP(U154,recipe_ingred_list!$A$2:$B$300,2,0)</f>
        <v>89</v>
      </c>
      <c r="W154" s="81" t="str">
        <f aca="false">"/recipes/"&amp;VLOOKUP(U154,recipe_ingred_list!$A$2:$C$300,3,0)&amp;"/detail/"</f>
        <v>/recipes/watana-usal/detail/</v>
      </c>
      <c r="X154" s="81" t="str">
        <f aca="false">J154</f>
        <v>Tejpatta</v>
      </c>
      <c r="Y154" s="81" t="str">
        <f aca="false">R154</f>
        <v>tej patta</v>
      </c>
      <c r="Z154" s="94" t="n">
        <f aca="false">VLOOKUP(Y154,recipe_ingred_list!$D$2:$E$500,2,0)</f>
        <v>191</v>
      </c>
      <c r="AA154" s="61" t="n">
        <f aca="false">K154</f>
        <v>0</v>
      </c>
      <c r="AB154" s="61" t="n">
        <f aca="false">L154</f>
        <v>0</v>
      </c>
      <c r="AC154" s="61" t="n">
        <f aca="false">VLOOKUP(AB154,recipe_ingred_list!$K$2:$M$7,3,0)</f>
        <v>2</v>
      </c>
      <c r="AD154" s="61" t="n">
        <f aca="false">M154</f>
        <v>1</v>
      </c>
      <c r="AE154" s="61" t="str">
        <f aca="false">N154</f>
        <v>cup</v>
      </c>
      <c r="AF154" s="61" t="n">
        <f aca="false">VLOOKUP(AE154,recipe_ingred_list!$K$16:$M$25,3,0)</f>
        <v>5</v>
      </c>
      <c r="AG154" s="61" t="n">
        <f aca="false">O154</f>
        <v>0</v>
      </c>
      <c r="AH154" s="61" t="n">
        <f aca="false">P154</f>
        <v>0</v>
      </c>
      <c r="AI154" s="61" t="n">
        <f aca="false">VLOOKUP(AH154,recipe_ingred_list!$K$29:$M$34,3,0)</f>
        <v>3</v>
      </c>
      <c r="AJ154" s="61" t="str">
        <f aca="false">IF(Q154="","",Q154)</f>
        <v/>
      </c>
      <c r="AK154" s="61" t="n">
        <f aca="false">AK153+1</f>
        <v>154</v>
      </c>
      <c r="AL154" s="61" t="str">
        <f aca="false">Y154</f>
        <v>tej patta</v>
      </c>
      <c r="AM154" s="81" t="str">
        <f aca="false">"a = Client().post('"&amp;W154&amp;"', {'recipe' : '"&amp;V154&amp;"', 'ingredient' : '"&amp;Z154&amp;"', 'name' : '"&amp;X154&amp;"', 'mass_unit' : '"&amp;AC154&amp;"', 'mass_quantity' : '"&amp;ROUND(AA154,3)&amp;"', 'volume_unit' : '"&amp;AF154&amp;"', 'volume_quantity' : '"&amp;ROUND(AD154,3)&amp;"', 'pieces_unit' : '"&amp;AI154&amp;"', 'pieces_quantity' : '"&amp;ROUND(AG154,3)&amp;"', 'cooking_notes' : '"&amp;AJ154&amp;"'}).status_code; print('%s :: %s :: %s :: %s :: %s' %(a,"&amp;G154&amp;",'"&amp;X154&amp;"','"&amp;Y154&amp;"','"&amp;U154&amp;"'))"</f>
        <v>a = Client().post('/recipes/watana-usal/detail/', {'recipe' : '89', 'ingredient' : '191', 'name' : 'Tejpatta', 'mass_unit' : '2', 'mass_quantity' : '0', 'volume_unit' : '5', 'volume_quantity' : '1', 'pieces_unit' : '3', 'pieces_quantity' : '0', 'cooking_notes' : ''}).status_code; print('%s :: %s :: %s :: %s :: %s' %(a,154,'Tejpatta','tej patta','Watana Usal'))</v>
      </c>
    </row>
    <row r="155" customFormat="false" ht="13.8" hidden="false" customHeight="false" outlineLevel="0" collapsed="false">
      <c r="G155" s="80" t="n">
        <v>155</v>
      </c>
      <c r="I155" s="82" t="s">
        <v>375</v>
      </c>
      <c r="J155" s="83" t="s">
        <v>32</v>
      </c>
      <c r="M155" s="61" t="n">
        <v>3</v>
      </c>
      <c r="N155" s="61" t="s">
        <v>20</v>
      </c>
      <c r="R155" s="82" t="str">
        <f aca="false">VLOOKUP(J155,ingredient!$N$4:$O$553,2,0)</f>
        <v>salt</v>
      </c>
      <c r="U155" s="81" t="str">
        <f aca="false">I155</f>
        <v>Watana Usal</v>
      </c>
      <c r="V155" s="81" t="n">
        <f aca="false">VLOOKUP(U155,recipe_ingred_list!$A$2:$B$300,2,0)</f>
        <v>89</v>
      </c>
      <c r="W155" s="81" t="str">
        <f aca="false">"/recipes/"&amp;VLOOKUP(U155,recipe_ingred_list!$A$2:$C$300,3,0)&amp;"/detail/"</f>
        <v>/recipes/watana-usal/detail/</v>
      </c>
      <c r="X155" s="81" t="str">
        <f aca="false">J155</f>
        <v>Salt</v>
      </c>
      <c r="Y155" s="81" t="str">
        <f aca="false">R155</f>
        <v>salt</v>
      </c>
      <c r="Z155" s="94" t="n">
        <f aca="false">VLOOKUP(Y155,recipe_ingred_list!$D$2:$E$500,2,0)</f>
        <v>177</v>
      </c>
      <c r="AA155" s="61" t="n">
        <f aca="false">K155</f>
        <v>0</v>
      </c>
      <c r="AB155" s="61" t="n">
        <f aca="false">L155</f>
        <v>0</v>
      </c>
      <c r="AC155" s="61" t="n">
        <f aca="false">VLOOKUP(AB155,recipe_ingred_list!$K$2:$M$7,3,0)</f>
        <v>2</v>
      </c>
      <c r="AD155" s="61" t="n">
        <f aca="false">M155</f>
        <v>3</v>
      </c>
      <c r="AE155" s="61" t="str">
        <f aca="false">N155</f>
        <v>cup</v>
      </c>
      <c r="AF155" s="61" t="n">
        <f aca="false">VLOOKUP(AE155,recipe_ingred_list!$K$16:$M$25,3,0)</f>
        <v>5</v>
      </c>
      <c r="AG155" s="61" t="n">
        <f aca="false">O155</f>
        <v>0</v>
      </c>
      <c r="AH155" s="61" t="n">
        <f aca="false">P155</f>
        <v>0</v>
      </c>
      <c r="AI155" s="61" t="n">
        <f aca="false">VLOOKUP(AH155,recipe_ingred_list!$K$29:$M$34,3,0)</f>
        <v>3</v>
      </c>
      <c r="AJ155" s="61" t="str">
        <f aca="false">IF(Q155="","",Q155)</f>
        <v/>
      </c>
      <c r="AK155" s="61" t="n">
        <f aca="false">AK154+1</f>
        <v>155</v>
      </c>
      <c r="AL155" s="61" t="str">
        <f aca="false">Y155</f>
        <v>salt</v>
      </c>
      <c r="AM155" s="81" t="str">
        <f aca="false">"a = Client().post('"&amp;W155&amp;"', {'recipe' : '"&amp;V155&amp;"', 'ingredient' : '"&amp;Z155&amp;"', 'name' : '"&amp;X155&amp;"', 'mass_unit' : '"&amp;AC155&amp;"', 'mass_quantity' : '"&amp;ROUND(AA155,3)&amp;"', 'volume_unit' : '"&amp;AF155&amp;"', 'volume_quantity' : '"&amp;ROUND(AD155,3)&amp;"', 'pieces_unit' : '"&amp;AI155&amp;"', 'pieces_quantity' : '"&amp;ROUND(AG155,3)&amp;"', 'cooking_notes' : '"&amp;AJ155&amp;"'}).status_code; print('%s :: %s :: %s :: %s :: %s' %(a,"&amp;G155&amp;",'"&amp;X155&amp;"','"&amp;Y155&amp;"','"&amp;U155&amp;"'))"</f>
        <v>a = Client().post('/recipes/watana-usal/detail/', {'recipe' : '89', 'ingredient' : '177', 'name' : 'Salt', 'mass_unit' : '2', 'mass_quantity' : '0', 'volume_unit' : '5', 'volume_quantity' : '3', 'pieces_unit' : '3', 'pieces_quantity' : '0', 'cooking_notes' : ''}).status_code; print('%s :: %s :: %s :: %s :: %s' %(a,155,'Salt','salt','Watana Usal'))</v>
      </c>
    </row>
    <row r="156" customFormat="false" ht="13.8" hidden="false" customHeight="false" outlineLevel="0" collapsed="false">
      <c r="G156" s="80" t="n">
        <v>156</v>
      </c>
      <c r="I156" s="82" t="s">
        <v>375</v>
      </c>
      <c r="J156" s="83" t="s">
        <v>553</v>
      </c>
      <c r="M156" s="61" t="n">
        <v>1.5</v>
      </c>
      <c r="N156" s="61" t="s">
        <v>13</v>
      </c>
      <c r="R156" s="82" t="str">
        <f aca="false">VLOOKUP(J156,ingredient!$N$4:$O$553,2,0)</f>
        <v>gound nut oil</v>
      </c>
      <c r="U156" s="81" t="str">
        <f aca="false">I156</f>
        <v>Watana Usal</v>
      </c>
      <c r="V156" s="81" t="n">
        <f aca="false">VLOOKUP(U156,recipe_ingred_list!$A$2:$B$300,2,0)</f>
        <v>89</v>
      </c>
      <c r="W156" s="81" t="str">
        <f aca="false">"/recipes/"&amp;VLOOKUP(U156,recipe_ingred_list!$A$2:$C$300,3,0)&amp;"/detail/"</f>
        <v>/recipes/watana-usal/detail/</v>
      </c>
      <c r="X156" s="81" t="str">
        <f aca="false">J156</f>
        <v>Oil</v>
      </c>
      <c r="Y156" s="81" t="str">
        <f aca="false">R156</f>
        <v>gound nut oil</v>
      </c>
      <c r="Z156" s="94" t="n">
        <f aca="false">VLOOKUP(Y156,recipe_ingred_list!$D$2:$E$500,2,0)</f>
        <v>83</v>
      </c>
      <c r="AA156" s="61" t="n">
        <f aca="false">K156</f>
        <v>0</v>
      </c>
      <c r="AB156" s="61" t="n">
        <f aca="false">L156</f>
        <v>0</v>
      </c>
      <c r="AC156" s="61" t="n">
        <f aca="false">VLOOKUP(AB156,recipe_ingred_list!$K$2:$M$7,3,0)</f>
        <v>2</v>
      </c>
      <c r="AD156" s="61" t="n">
        <f aca="false">M156</f>
        <v>1.5</v>
      </c>
      <c r="AE156" s="61" t="str">
        <f aca="false">N156</f>
        <v>ltr</v>
      </c>
      <c r="AF156" s="61" t="n">
        <f aca="false">VLOOKUP(AE156,recipe_ingred_list!$K$16:$M$25,3,0)</f>
        <v>1</v>
      </c>
      <c r="AG156" s="61" t="n">
        <f aca="false">O156</f>
        <v>0</v>
      </c>
      <c r="AH156" s="61" t="n">
        <f aca="false">P156</f>
        <v>0</v>
      </c>
      <c r="AI156" s="61" t="n">
        <f aca="false">VLOOKUP(AH156,recipe_ingred_list!$K$29:$M$34,3,0)</f>
        <v>3</v>
      </c>
      <c r="AJ156" s="61" t="str">
        <f aca="false">IF(Q156="","",Q156)</f>
        <v/>
      </c>
      <c r="AK156" s="61" t="n">
        <f aca="false">AK155+1</f>
        <v>156</v>
      </c>
      <c r="AL156" s="61" t="str">
        <f aca="false">Y156</f>
        <v>gound nut oil</v>
      </c>
      <c r="AM156" s="81" t="str">
        <f aca="false">"a = Client().post('"&amp;W156&amp;"', {'recipe' : '"&amp;V156&amp;"', 'ingredient' : '"&amp;Z156&amp;"', 'name' : '"&amp;X156&amp;"', 'mass_unit' : '"&amp;AC156&amp;"', 'mass_quantity' : '"&amp;ROUND(AA156,3)&amp;"', 'volume_unit' : '"&amp;AF156&amp;"', 'volume_quantity' : '"&amp;ROUND(AD156,3)&amp;"', 'pieces_unit' : '"&amp;AI156&amp;"', 'pieces_quantity' : '"&amp;ROUND(AG156,3)&amp;"', 'cooking_notes' : '"&amp;AJ156&amp;"'}).status_code; print('%s :: %s :: %s :: %s :: %s' %(a,"&amp;G156&amp;",'"&amp;X156&amp;"','"&amp;Y156&amp;"','"&amp;U156&amp;"'))"</f>
        <v>a = Client().post('/recipes/watana-usal/detail/', {'recipe' : '89', 'ingredient' : '83', 'name' : 'Oil', 'mass_unit' : '2', 'mass_quantity' : '0', 'volume_unit' : '1', 'volume_quantity' : '1.5', 'pieces_unit' : '3', 'pieces_quantity' : '0', 'cooking_notes' : ''}).status_code; print('%s :: %s :: %s :: %s :: %s' %(a,156,'Oil','gound nut oil','Watana Usal'))</v>
      </c>
    </row>
    <row r="157" customFormat="false" ht="13.8" hidden="false" customHeight="false" outlineLevel="0" collapsed="false">
      <c r="G157" s="80" t="n">
        <v>157</v>
      </c>
      <c r="I157" s="82" t="s">
        <v>375</v>
      </c>
      <c r="J157" s="83" t="s">
        <v>570</v>
      </c>
      <c r="M157" s="61" t="n">
        <v>0.5</v>
      </c>
      <c r="N157" s="61" t="s">
        <v>20</v>
      </c>
      <c r="R157" s="82" t="str">
        <f aca="false">VLOOKUP(J157,ingredient!$N$4:$O$553,2,0)</f>
        <v>rai</v>
      </c>
      <c r="U157" s="81" t="str">
        <f aca="false">I157</f>
        <v>Watana Usal</v>
      </c>
      <c r="V157" s="81" t="n">
        <f aca="false">VLOOKUP(U157,recipe_ingred_list!$A$2:$B$300,2,0)</f>
        <v>89</v>
      </c>
      <c r="W157" s="81" t="str">
        <f aca="false">"/recipes/"&amp;VLOOKUP(U157,recipe_ingred_list!$A$2:$C$300,3,0)&amp;"/detail/"</f>
        <v>/recipes/watana-usal/detail/</v>
      </c>
      <c r="X157" s="81" t="str">
        <f aca="false">J157</f>
        <v>Rai</v>
      </c>
      <c r="Y157" s="81" t="str">
        <f aca="false">R157</f>
        <v>rai</v>
      </c>
      <c r="Z157" s="94" t="n">
        <f aca="false">VLOOKUP(Y157,recipe_ingred_list!$D$2:$E$500,2,0)</f>
        <v>164</v>
      </c>
      <c r="AA157" s="61" t="n">
        <f aca="false">K157</f>
        <v>0</v>
      </c>
      <c r="AB157" s="61" t="n">
        <f aca="false">L157</f>
        <v>0</v>
      </c>
      <c r="AC157" s="61" t="n">
        <f aca="false">VLOOKUP(AB157,recipe_ingred_list!$K$2:$M$7,3,0)</f>
        <v>2</v>
      </c>
      <c r="AD157" s="61" t="n">
        <f aca="false">M157</f>
        <v>0.5</v>
      </c>
      <c r="AE157" s="61" t="str">
        <f aca="false">N157</f>
        <v>cup</v>
      </c>
      <c r="AF157" s="61" t="n">
        <f aca="false">VLOOKUP(AE157,recipe_ingred_list!$K$16:$M$25,3,0)</f>
        <v>5</v>
      </c>
      <c r="AG157" s="61" t="n">
        <f aca="false">O157</f>
        <v>0</v>
      </c>
      <c r="AH157" s="61" t="n">
        <f aca="false">P157</f>
        <v>0</v>
      </c>
      <c r="AI157" s="61" t="n">
        <f aca="false">VLOOKUP(AH157,recipe_ingred_list!$K$29:$M$34,3,0)</f>
        <v>3</v>
      </c>
      <c r="AJ157" s="61" t="str">
        <f aca="false">IF(Q157="","",Q157)</f>
        <v/>
      </c>
      <c r="AK157" s="61" t="n">
        <f aca="false">AK156+1</f>
        <v>157</v>
      </c>
      <c r="AL157" s="61" t="str">
        <f aca="false">Y157</f>
        <v>rai</v>
      </c>
      <c r="AM157" s="81" t="str">
        <f aca="false">"a = Client().post('"&amp;W157&amp;"', {'recipe' : '"&amp;V157&amp;"', 'ingredient' : '"&amp;Z157&amp;"', 'name' : '"&amp;X157&amp;"', 'mass_unit' : '"&amp;AC157&amp;"', 'mass_quantity' : '"&amp;ROUND(AA157,3)&amp;"', 'volume_unit' : '"&amp;AF157&amp;"', 'volume_quantity' : '"&amp;ROUND(AD157,3)&amp;"', 'pieces_unit' : '"&amp;AI157&amp;"', 'pieces_quantity' : '"&amp;ROUND(AG157,3)&amp;"', 'cooking_notes' : '"&amp;AJ157&amp;"'}).status_code; print('%s :: %s :: %s :: %s :: %s' %(a,"&amp;G157&amp;",'"&amp;X157&amp;"','"&amp;Y157&amp;"','"&amp;U157&amp;"'))"</f>
        <v>a = Client().post('/recipes/watana-usal/detail/', {'recipe' : '89', 'ingredient' : '164', 'name' : 'Rai', 'mass_unit' : '2', 'mass_quantity' : '0', 'volume_unit' : '5', 'volume_quantity' : '0.5', 'pieces_unit' : '3', 'pieces_quantity' : '0', 'cooking_notes' : ''}).status_code; print('%s :: %s :: %s :: %s :: %s' %(a,157,'Rai','rai','Watana Usal'))</v>
      </c>
    </row>
    <row r="158" customFormat="false" ht="13.8" hidden="false" customHeight="false" outlineLevel="0" collapsed="false">
      <c r="G158" s="80" t="n">
        <v>158</v>
      </c>
      <c r="I158" s="82" t="s">
        <v>375</v>
      </c>
      <c r="J158" s="83" t="s">
        <v>14</v>
      </c>
      <c r="M158" s="61" t="n">
        <v>0.75</v>
      </c>
      <c r="N158" s="61" t="s">
        <v>20</v>
      </c>
      <c r="R158" s="82" t="str">
        <f aca="false">VLOOKUP(J158,ingredient!$N$4:$O$553,2,0)</f>
        <v>jeera</v>
      </c>
      <c r="U158" s="81" t="str">
        <f aca="false">I158</f>
        <v>Watana Usal</v>
      </c>
      <c r="V158" s="81" t="n">
        <f aca="false">VLOOKUP(U158,recipe_ingred_list!$A$2:$B$300,2,0)</f>
        <v>89</v>
      </c>
      <c r="W158" s="81" t="str">
        <f aca="false">"/recipes/"&amp;VLOOKUP(U158,recipe_ingred_list!$A$2:$C$300,3,0)&amp;"/detail/"</f>
        <v>/recipes/watana-usal/detail/</v>
      </c>
      <c r="X158" s="81" t="str">
        <f aca="false">J158</f>
        <v>Jeera</v>
      </c>
      <c r="Y158" s="81" t="str">
        <f aca="false">R158</f>
        <v>jeera</v>
      </c>
      <c r="Z158" s="94" t="n">
        <f aca="false">VLOOKUP(Y158,recipe_ingred_list!$D$2:$E$500,2,0)</f>
        <v>102</v>
      </c>
      <c r="AA158" s="61" t="n">
        <f aca="false">K158</f>
        <v>0</v>
      </c>
      <c r="AB158" s="61" t="n">
        <f aca="false">L158</f>
        <v>0</v>
      </c>
      <c r="AC158" s="61" t="n">
        <f aca="false">VLOOKUP(AB158,recipe_ingred_list!$K$2:$M$7,3,0)</f>
        <v>2</v>
      </c>
      <c r="AD158" s="61" t="n">
        <f aca="false">M158</f>
        <v>0.75</v>
      </c>
      <c r="AE158" s="61" t="str">
        <f aca="false">N158</f>
        <v>cup</v>
      </c>
      <c r="AF158" s="61" t="n">
        <f aca="false">VLOOKUP(AE158,recipe_ingred_list!$K$16:$M$25,3,0)</f>
        <v>5</v>
      </c>
      <c r="AG158" s="61" t="n">
        <f aca="false">O158</f>
        <v>0</v>
      </c>
      <c r="AH158" s="61" t="n">
        <f aca="false">P158</f>
        <v>0</v>
      </c>
      <c r="AI158" s="61" t="n">
        <f aca="false">VLOOKUP(AH158,recipe_ingred_list!$K$29:$M$34,3,0)</f>
        <v>3</v>
      </c>
      <c r="AJ158" s="61" t="str">
        <f aca="false">IF(Q158="","",Q158)</f>
        <v/>
      </c>
      <c r="AK158" s="61" t="n">
        <f aca="false">AK157+1</f>
        <v>158</v>
      </c>
      <c r="AL158" s="61" t="str">
        <f aca="false">Y158</f>
        <v>jeera</v>
      </c>
      <c r="AM158" s="81" t="str">
        <f aca="false">"a = Client().post('"&amp;W158&amp;"', {'recipe' : '"&amp;V158&amp;"', 'ingredient' : '"&amp;Z158&amp;"', 'name' : '"&amp;X158&amp;"', 'mass_unit' : '"&amp;AC158&amp;"', 'mass_quantity' : '"&amp;ROUND(AA158,3)&amp;"', 'volume_unit' : '"&amp;AF158&amp;"', 'volume_quantity' : '"&amp;ROUND(AD158,3)&amp;"', 'pieces_unit' : '"&amp;AI158&amp;"', 'pieces_quantity' : '"&amp;ROUND(AG158,3)&amp;"', 'cooking_notes' : '"&amp;AJ158&amp;"'}).status_code; print('%s :: %s :: %s :: %s :: %s' %(a,"&amp;G158&amp;",'"&amp;X158&amp;"','"&amp;Y158&amp;"','"&amp;U158&amp;"'))"</f>
        <v>a = Client().post('/recipes/watana-usal/detail/', {'recipe' : '89', 'ingredient' : '102', 'name' : 'Jeera', 'mass_unit' : '2', 'mass_quantity' : '0', 'volume_unit' : '5', 'volume_quantity' : '0.75', 'pieces_unit' : '3', 'pieces_quantity' : '0', 'cooking_notes' : ''}).status_code; print('%s :: %s :: %s :: %s :: %s' %(a,158,'Jeera','jeera','Watana Usal'))</v>
      </c>
    </row>
    <row r="159" customFormat="false" ht="13.8" hidden="false" customHeight="false" outlineLevel="0" collapsed="false">
      <c r="G159" s="80" t="n">
        <v>159</v>
      </c>
      <c r="I159" s="82" t="s">
        <v>375</v>
      </c>
      <c r="J159" s="83" t="s">
        <v>18</v>
      </c>
      <c r="M159" s="61" t="n">
        <v>0.5</v>
      </c>
      <c r="N159" s="61" t="s">
        <v>13</v>
      </c>
      <c r="R159" s="82" t="str">
        <f aca="false">VLOOKUP(J159,ingredient!$N$4:$O$553,2,0)</f>
        <v>adrak</v>
      </c>
      <c r="U159" s="81" t="str">
        <f aca="false">I159</f>
        <v>Watana Usal</v>
      </c>
      <c r="V159" s="81" t="n">
        <f aca="false">VLOOKUP(U159,recipe_ingred_list!$A$2:$B$300,2,0)</f>
        <v>89</v>
      </c>
      <c r="W159" s="81" t="str">
        <f aca="false">"/recipes/"&amp;VLOOKUP(U159,recipe_ingred_list!$A$2:$C$300,3,0)&amp;"/detail/"</f>
        <v>/recipes/watana-usal/detail/</v>
      </c>
      <c r="X159" s="81" t="str">
        <f aca="false">J159</f>
        <v>Adrak paste</v>
      </c>
      <c r="Y159" s="81" t="str">
        <f aca="false">R159</f>
        <v>adrak</v>
      </c>
      <c r="Z159" s="94" t="n">
        <f aca="false">VLOOKUP(Y159,recipe_ingred_list!$D$2:$E$500,2,0)</f>
        <v>1</v>
      </c>
      <c r="AA159" s="61" t="n">
        <f aca="false">K159</f>
        <v>0</v>
      </c>
      <c r="AB159" s="61" t="n">
        <f aca="false">L159</f>
        <v>0</v>
      </c>
      <c r="AC159" s="61" t="n">
        <f aca="false">VLOOKUP(AB159,recipe_ingred_list!$K$2:$M$7,3,0)</f>
        <v>2</v>
      </c>
      <c r="AD159" s="61" t="n">
        <f aca="false">M159</f>
        <v>0.5</v>
      </c>
      <c r="AE159" s="61" t="str">
        <f aca="false">N159</f>
        <v>ltr</v>
      </c>
      <c r="AF159" s="61" t="n">
        <f aca="false">VLOOKUP(AE159,recipe_ingred_list!$K$16:$M$25,3,0)</f>
        <v>1</v>
      </c>
      <c r="AG159" s="61" t="n">
        <f aca="false">O159</f>
        <v>0</v>
      </c>
      <c r="AH159" s="61" t="n">
        <f aca="false">P159</f>
        <v>0</v>
      </c>
      <c r="AI159" s="61" t="n">
        <f aca="false">VLOOKUP(AH159,recipe_ingred_list!$K$29:$M$34,3,0)</f>
        <v>3</v>
      </c>
      <c r="AJ159" s="61" t="str">
        <f aca="false">IF(Q159="","",Q159)</f>
        <v/>
      </c>
      <c r="AK159" s="61" t="n">
        <f aca="false">AK158+1</f>
        <v>159</v>
      </c>
      <c r="AL159" s="61" t="str">
        <f aca="false">Y159</f>
        <v>adrak</v>
      </c>
      <c r="AM159" s="81" t="str">
        <f aca="false">"a = Client().post('"&amp;W159&amp;"', {'recipe' : '"&amp;V159&amp;"', 'ingredient' : '"&amp;Z159&amp;"', 'name' : '"&amp;X159&amp;"', 'mass_unit' : '"&amp;AC159&amp;"', 'mass_quantity' : '"&amp;ROUND(AA159,3)&amp;"', 'volume_unit' : '"&amp;AF159&amp;"', 'volume_quantity' : '"&amp;ROUND(AD159,3)&amp;"', 'pieces_unit' : '"&amp;AI159&amp;"', 'pieces_quantity' : '"&amp;ROUND(AG159,3)&amp;"', 'cooking_notes' : '"&amp;AJ159&amp;"'}).status_code; print('%s :: %s :: %s :: %s :: %s' %(a,"&amp;G159&amp;",'"&amp;X159&amp;"','"&amp;Y159&amp;"','"&amp;U159&amp;"'))"</f>
        <v>a = Client().post('/recipes/watana-usal/detail/', {'recipe' : '89', 'ingredient' : '1', 'name' : 'Adrak paste', 'mass_unit' : '2', 'mass_quantity' : '0', 'volume_unit' : '1', 'volume_quantity' : '0.5', 'pieces_unit' : '3', 'pieces_quantity' : '0', 'cooking_notes' : ''}).status_code; print('%s :: %s :: %s :: %s :: %s' %(a,159,'Adrak paste','adrak','Watana Usal'))</v>
      </c>
    </row>
    <row r="160" customFormat="false" ht="13.8" hidden="false" customHeight="false" outlineLevel="0" collapsed="false">
      <c r="G160" s="80" t="n">
        <v>160</v>
      </c>
      <c r="I160" s="82" t="s">
        <v>375</v>
      </c>
      <c r="J160" s="83" t="s">
        <v>554</v>
      </c>
      <c r="M160" s="61" t="n">
        <v>1</v>
      </c>
      <c r="N160" s="61" t="s">
        <v>20</v>
      </c>
      <c r="R160" s="82" t="str">
        <f aca="false">VLOOKUP(J160,ingredient!$N$4:$O$553,2,0)</f>
        <v>kashmiri chilly powder</v>
      </c>
      <c r="U160" s="81" t="str">
        <f aca="false">I160</f>
        <v>Watana Usal</v>
      </c>
      <c r="V160" s="81" t="n">
        <f aca="false">VLOOKUP(U160,recipe_ingred_list!$A$2:$B$300,2,0)</f>
        <v>89</v>
      </c>
      <c r="W160" s="81" t="str">
        <f aca="false">"/recipes/"&amp;VLOOKUP(U160,recipe_ingred_list!$A$2:$C$300,3,0)&amp;"/detail/"</f>
        <v>/recipes/watana-usal/detail/</v>
      </c>
      <c r="X160" s="81" t="str">
        <f aca="false">J160</f>
        <v>Kashmiri powder</v>
      </c>
      <c r="Y160" s="81" t="str">
        <f aca="false">R160</f>
        <v>kashmiri chilly powder</v>
      </c>
      <c r="Z160" s="94" t="n">
        <f aca="false">VLOOKUP(Y160,recipe_ingred_list!$D$2:$E$500,2,0)</f>
        <v>117</v>
      </c>
      <c r="AA160" s="61" t="n">
        <f aca="false">K160</f>
        <v>0</v>
      </c>
      <c r="AB160" s="61" t="n">
        <f aca="false">L160</f>
        <v>0</v>
      </c>
      <c r="AC160" s="61" t="n">
        <f aca="false">VLOOKUP(AB160,recipe_ingred_list!$K$2:$M$7,3,0)</f>
        <v>2</v>
      </c>
      <c r="AD160" s="61" t="n">
        <f aca="false">M160</f>
        <v>1</v>
      </c>
      <c r="AE160" s="61" t="str">
        <f aca="false">N160</f>
        <v>cup</v>
      </c>
      <c r="AF160" s="61" t="n">
        <f aca="false">VLOOKUP(AE160,recipe_ingred_list!$K$16:$M$25,3,0)</f>
        <v>5</v>
      </c>
      <c r="AG160" s="61" t="n">
        <f aca="false">O160</f>
        <v>0</v>
      </c>
      <c r="AH160" s="61" t="n">
        <f aca="false">P160</f>
        <v>0</v>
      </c>
      <c r="AI160" s="61" t="n">
        <f aca="false">VLOOKUP(AH160,recipe_ingred_list!$K$29:$M$34,3,0)</f>
        <v>3</v>
      </c>
      <c r="AJ160" s="61" t="str">
        <f aca="false">IF(Q160="","",Q160)</f>
        <v/>
      </c>
      <c r="AK160" s="61" t="n">
        <f aca="false">AK159+1</f>
        <v>160</v>
      </c>
      <c r="AL160" s="61" t="str">
        <f aca="false">Y160</f>
        <v>kashmiri chilly powder</v>
      </c>
      <c r="AM160" s="81" t="str">
        <f aca="false">"a = Client().post('"&amp;W160&amp;"', {'recipe' : '"&amp;V160&amp;"', 'ingredient' : '"&amp;Z160&amp;"', 'name' : '"&amp;X160&amp;"', 'mass_unit' : '"&amp;AC160&amp;"', 'mass_quantity' : '"&amp;ROUND(AA160,3)&amp;"', 'volume_unit' : '"&amp;AF160&amp;"', 'volume_quantity' : '"&amp;ROUND(AD160,3)&amp;"', 'pieces_unit' : '"&amp;AI160&amp;"', 'pieces_quantity' : '"&amp;ROUND(AG160,3)&amp;"', 'cooking_notes' : '"&amp;AJ160&amp;"'}).status_code; print('%s :: %s :: %s :: %s :: %s' %(a,"&amp;G160&amp;",'"&amp;X160&amp;"','"&amp;Y160&amp;"','"&amp;U160&amp;"'))"</f>
        <v>a = Client().post('/recipes/watana-usal/detail/', {'recipe' : '89', 'ingredient' : '117', 'name' : 'Kashmiri powder', 'mass_unit' : '2', 'mass_quantity' : '0', 'volume_unit' : '5', 'volume_quantity' : '1', 'pieces_unit' : '3', 'pieces_quantity' : '0', 'cooking_notes' : ''}).status_code; print('%s :: %s :: %s :: %s :: %s' %(a,160,'Kashmiri powder','kashmiri chilly powder','Watana Usal'))</v>
      </c>
    </row>
    <row r="161" customFormat="false" ht="13.8" hidden="false" customHeight="false" outlineLevel="0" collapsed="false">
      <c r="G161" s="80" t="n">
        <v>161</v>
      </c>
      <c r="I161" s="82" t="s">
        <v>375</v>
      </c>
      <c r="J161" s="83" t="s">
        <v>571</v>
      </c>
      <c r="M161" s="61" t="n">
        <v>1</v>
      </c>
      <c r="N161" s="61" t="s">
        <v>20</v>
      </c>
      <c r="R161" s="82" t="str">
        <f aca="false">VLOOKUP(J161,ingredient!$N$4:$O$553,2,0)</f>
        <v>sugar</v>
      </c>
      <c r="U161" s="81" t="str">
        <f aca="false">I161</f>
        <v>Watana Usal</v>
      </c>
      <c r="V161" s="81" t="n">
        <f aca="false">VLOOKUP(U161,recipe_ingred_list!$A$2:$B$300,2,0)</f>
        <v>89</v>
      </c>
      <c r="W161" s="81" t="str">
        <f aca="false">"/recipes/"&amp;VLOOKUP(U161,recipe_ingred_list!$A$2:$C$300,3,0)&amp;"/detail/"</f>
        <v>/recipes/watana-usal/detail/</v>
      </c>
      <c r="X161" s="81" t="str">
        <f aca="false">J161</f>
        <v>Sugar</v>
      </c>
      <c r="Y161" s="81" t="str">
        <f aca="false">R161</f>
        <v>sugar</v>
      </c>
      <c r="Z161" s="94" t="n">
        <f aca="false">VLOOKUP(Y161,recipe_ingred_list!$D$2:$E$500,2,0)</f>
        <v>187</v>
      </c>
      <c r="AA161" s="61" t="n">
        <f aca="false">K161</f>
        <v>0</v>
      </c>
      <c r="AB161" s="61" t="n">
        <f aca="false">L161</f>
        <v>0</v>
      </c>
      <c r="AC161" s="61" t="n">
        <f aca="false">VLOOKUP(AB161,recipe_ingred_list!$K$2:$M$7,3,0)</f>
        <v>2</v>
      </c>
      <c r="AD161" s="61" t="n">
        <f aca="false">M161</f>
        <v>1</v>
      </c>
      <c r="AE161" s="61" t="str">
        <f aca="false">N161</f>
        <v>cup</v>
      </c>
      <c r="AF161" s="61" t="n">
        <f aca="false">VLOOKUP(AE161,recipe_ingred_list!$K$16:$M$25,3,0)</f>
        <v>5</v>
      </c>
      <c r="AG161" s="61" t="n">
        <f aca="false">O161</f>
        <v>0</v>
      </c>
      <c r="AH161" s="61" t="n">
        <f aca="false">P161</f>
        <v>0</v>
      </c>
      <c r="AI161" s="61" t="n">
        <f aca="false">VLOOKUP(AH161,recipe_ingred_list!$K$29:$M$34,3,0)</f>
        <v>3</v>
      </c>
      <c r="AJ161" s="61" t="str">
        <f aca="false">IF(Q161="","",Q161)</f>
        <v/>
      </c>
      <c r="AK161" s="61" t="n">
        <f aca="false">AK160+1</f>
        <v>161</v>
      </c>
      <c r="AL161" s="61" t="str">
        <f aca="false">Y161</f>
        <v>sugar</v>
      </c>
      <c r="AM161" s="81" t="str">
        <f aca="false">"a = Client().post('"&amp;W161&amp;"', {'recipe' : '"&amp;V161&amp;"', 'ingredient' : '"&amp;Z161&amp;"', 'name' : '"&amp;X161&amp;"', 'mass_unit' : '"&amp;AC161&amp;"', 'mass_quantity' : '"&amp;ROUND(AA161,3)&amp;"', 'volume_unit' : '"&amp;AF161&amp;"', 'volume_quantity' : '"&amp;ROUND(AD161,3)&amp;"', 'pieces_unit' : '"&amp;AI161&amp;"', 'pieces_quantity' : '"&amp;ROUND(AG161,3)&amp;"', 'cooking_notes' : '"&amp;AJ161&amp;"'}).status_code; print('%s :: %s :: %s :: %s :: %s' %(a,"&amp;G161&amp;",'"&amp;X161&amp;"','"&amp;Y161&amp;"','"&amp;U161&amp;"'))"</f>
        <v>a = Client().post('/recipes/watana-usal/detail/', {'recipe' : '89', 'ingredient' : '187', 'name' : 'Sugar', 'mass_unit' : '2', 'mass_quantity' : '0', 'volume_unit' : '5', 'volume_quantity' : '1', 'pieces_unit' : '3', 'pieces_quantity' : '0', 'cooking_notes' : ''}).status_code; print('%s :: %s :: %s :: %s :: %s' %(a,161,'Sugar','sugar','Watana Usal'))</v>
      </c>
    </row>
    <row r="162" customFormat="false" ht="14.9" hidden="false" customHeight="false" outlineLevel="0" collapsed="false">
      <c r="G162" s="80" t="n">
        <v>162</v>
      </c>
      <c r="I162" s="82" t="s">
        <v>375</v>
      </c>
      <c r="J162" s="83" t="s">
        <v>539</v>
      </c>
      <c r="O162" s="61" t="n">
        <v>6</v>
      </c>
      <c r="P162" s="61" t="s">
        <v>107</v>
      </c>
      <c r="Q162" s="84" t="s">
        <v>572</v>
      </c>
      <c r="R162" s="82" t="str">
        <f aca="false">VLOOKUP(J162,ingredient!$N$4:$O$553,2,0)</f>
        <v>coconut</v>
      </c>
      <c r="U162" s="81" t="str">
        <f aca="false">I162</f>
        <v>Watana Usal</v>
      </c>
      <c r="V162" s="81" t="n">
        <f aca="false">VLOOKUP(U162,recipe_ingred_list!$A$2:$B$300,2,0)</f>
        <v>89</v>
      </c>
      <c r="W162" s="81" t="str">
        <f aca="false">"/recipes/"&amp;VLOOKUP(U162,recipe_ingred_list!$A$2:$C$300,3,0)&amp;"/detail/"</f>
        <v>/recipes/watana-usal/detail/</v>
      </c>
      <c r="X162" s="81" t="str">
        <f aca="false">J162</f>
        <v>Coconuts</v>
      </c>
      <c r="Y162" s="81" t="str">
        <f aca="false">R162</f>
        <v>coconut</v>
      </c>
      <c r="Z162" s="94" t="n">
        <f aca="false">VLOOKUP(Y162,recipe_ingred_list!$D$2:$E$500,2,0)</f>
        <v>54</v>
      </c>
      <c r="AA162" s="61" t="n">
        <f aca="false">K162</f>
        <v>0</v>
      </c>
      <c r="AB162" s="61" t="n">
        <f aca="false">L162</f>
        <v>0</v>
      </c>
      <c r="AC162" s="61" t="n">
        <f aca="false">VLOOKUP(AB162,recipe_ingred_list!$K$2:$M$7,3,0)</f>
        <v>2</v>
      </c>
      <c r="AD162" s="61" t="n">
        <f aca="false">M162</f>
        <v>0</v>
      </c>
      <c r="AE162" s="61" t="n">
        <f aca="false">N162</f>
        <v>0</v>
      </c>
      <c r="AF162" s="61" t="n">
        <f aca="false">VLOOKUP(AE162,recipe_ingred_list!$K$16:$M$25,3,0)</f>
        <v>1</v>
      </c>
      <c r="AG162" s="61" t="n">
        <f aca="false">O162</f>
        <v>6</v>
      </c>
      <c r="AH162" s="61" t="str">
        <f aca="false">P162</f>
        <v>pcs</v>
      </c>
      <c r="AI162" s="61" t="n">
        <f aca="false">VLOOKUP(AH162,recipe_ingred_list!$K$29:$M$34,3,0)</f>
        <v>3</v>
      </c>
      <c r="AJ162" s="61" t="str">
        <f aca="false">IF(Q162="","",Q162)</f>
        <v>grated,roasted</v>
      </c>
      <c r="AK162" s="61" t="n">
        <f aca="false">AK161+1</f>
        <v>162</v>
      </c>
      <c r="AL162" s="61" t="str">
        <f aca="false">Y162</f>
        <v>coconut</v>
      </c>
      <c r="AM162" s="81" t="str">
        <f aca="false">"a = Client().post('"&amp;W162&amp;"', {'recipe' : '"&amp;V162&amp;"', 'ingredient' : '"&amp;Z162&amp;"', 'name' : '"&amp;X162&amp;"', 'mass_unit' : '"&amp;AC162&amp;"', 'mass_quantity' : '"&amp;ROUND(AA162,3)&amp;"', 'volume_unit' : '"&amp;AF162&amp;"', 'volume_quantity' : '"&amp;ROUND(AD162,3)&amp;"', 'pieces_unit' : '"&amp;AI162&amp;"', 'pieces_quantity' : '"&amp;ROUND(AG162,3)&amp;"', 'cooking_notes' : '"&amp;AJ162&amp;"'}).status_code; print('%s :: %s :: %s :: %s :: %s' %(a,"&amp;G162&amp;",'"&amp;X162&amp;"','"&amp;Y162&amp;"','"&amp;U162&amp;"'))"</f>
        <v>a = Client().post('/recipes/watana-usal/detail/', {'recipe' : '89', 'ingredient' : '54', 'name' : 'Coconuts', 'mass_unit' : '2', 'mass_quantity' : '0', 'volume_unit' : '1', 'volume_quantity' : '0', 'pieces_unit' : '3', 'pieces_quantity' : '6', 'cooking_notes' : 'grated,roasted'}).status_code; print('%s :: %s :: %s :: %s :: %s' %(a,162,'Coconuts','coconut','Watana Usal'))</v>
      </c>
    </row>
    <row r="163" customFormat="false" ht="13.8" hidden="false" customHeight="false" outlineLevel="0" collapsed="false">
      <c r="G163" s="80" t="n">
        <v>163</v>
      </c>
      <c r="I163" s="82" t="s">
        <v>375</v>
      </c>
      <c r="J163" s="83" t="s">
        <v>573</v>
      </c>
      <c r="M163" s="61" t="n">
        <v>1.25</v>
      </c>
      <c r="N163" s="61" t="s">
        <v>20</v>
      </c>
      <c r="R163" s="82" t="str">
        <f aca="false">VLOOKUP(J163,ingredient!$N$4:$O$553,2,0)</f>
        <v>kubal usal masala</v>
      </c>
      <c r="U163" s="81" t="str">
        <f aca="false">I163</f>
        <v>Watana Usal</v>
      </c>
      <c r="V163" s="81" t="n">
        <f aca="false">VLOOKUP(U163,recipe_ingred_list!$A$2:$B$300,2,0)</f>
        <v>89</v>
      </c>
      <c r="W163" s="81" t="str">
        <f aca="false">"/recipes/"&amp;VLOOKUP(U163,recipe_ingred_list!$A$2:$C$300,3,0)&amp;"/detail/"</f>
        <v>/recipes/watana-usal/detail/</v>
      </c>
      <c r="X163" s="81" t="str">
        <f aca="false">J163</f>
        <v>Kubal usal masala</v>
      </c>
      <c r="Y163" s="81" t="str">
        <f aca="false">R163</f>
        <v>kubal usal masala</v>
      </c>
      <c r="Z163" s="94" t="n">
        <f aca="false">VLOOKUP(Y163,recipe_ingred_list!$D$2:$E$500,2,0)</f>
        <v>125</v>
      </c>
      <c r="AA163" s="61" t="n">
        <f aca="false">K163</f>
        <v>0</v>
      </c>
      <c r="AB163" s="61" t="n">
        <f aca="false">L163</f>
        <v>0</v>
      </c>
      <c r="AC163" s="61" t="n">
        <f aca="false">VLOOKUP(AB163,recipe_ingred_list!$K$2:$M$7,3,0)</f>
        <v>2</v>
      </c>
      <c r="AD163" s="61" t="n">
        <f aca="false">M163</f>
        <v>1.25</v>
      </c>
      <c r="AE163" s="61" t="str">
        <f aca="false">N163</f>
        <v>cup</v>
      </c>
      <c r="AF163" s="61" t="n">
        <f aca="false">VLOOKUP(AE163,recipe_ingred_list!$K$16:$M$25,3,0)</f>
        <v>5</v>
      </c>
      <c r="AG163" s="61" t="n">
        <f aca="false">O163</f>
        <v>0</v>
      </c>
      <c r="AH163" s="61" t="n">
        <f aca="false">P163</f>
        <v>0</v>
      </c>
      <c r="AI163" s="61" t="n">
        <f aca="false">VLOOKUP(AH163,recipe_ingred_list!$K$29:$M$34,3,0)</f>
        <v>3</v>
      </c>
      <c r="AJ163" s="61" t="str">
        <f aca="false">IF(Q163="","",Q163)</f>
        <v/>
      </c>
      <c r="AK163" s="61" t="n">
        <f aca="false">AK162+1</f>
        <v>163</v>
      </c>
      <c r="AL163" s="61" t="str">
        <f aca="false">Y163</f>
        <v>kubal usal masala</v>
      </c>
      <c r="AM163" s="81" t="str">
        <f aca="false">"a = Client().post('"&amp;W163&amp;"', {'recipe' : '"&amp;V163&amp;"', 'ingredient' : '"&amp;Z163&amp;"', 'name' : '"&amp;X163&amp;"', 'mass_unit' : '"&amp;AC163&amp;"', 'mass_quantity' : '"&amp;ROUND(AA163,3)&amp;"', 'volume_unit' : '"&amp;AF163&amp;"', 'volume_quantity' : '"&amp;ROUND(AD163,3)&amp;"', 'pieces_unit' : '"&amp;AI163&amp;"', 'pieces_quantity' : '"&amp;ROUND(AG163,3)&amp;"', 'cooking_notes' : '"&amp;AJ163&amp;"'}).status_code; print('%s :: %s :: %s :: %s :: %s' %(a,"&amp;G163&amp;",'"&amp;X163&amp;"','"&amp;Y163&amp;"','"&amp;U163&amp;"'))"</f>
        <v>a = Client().post('/recipes/watana-usal/detail/', {'recipe' : '89', 'ingredient' : '125', 'name' : 'Kubal usal masala', 'mass_unit' : '2', 'mass_quantity' : '0', 'volume_unit' : '5', 'volume_quantity' : '1.25', 'pieces_unit' : '3', 'pieces_quantity' : '0', 'cooking_notes' : ''}).status_code; print('%s :: %s :: %s :: %s :: %s' %(a,163,'Kubal usal masala','kubal usal masala','Watana Usal'))</v>
      </c>
    </row>
    <row r="164" customFormat="false" ht="13.8" hidden="false" customHeight="false" outlineLevel="0" collapsed="false">
      <c r="G164" s="80" t="n">
        <v>164</v>
      </c>
      <c r="I164" s="82" t="s">
        <v>375</v>
      </c>
      <c r="J164" s="83" t="s">
        <v>574</v>
      </c>
      <c r="M164" s="61" t="n">
        <v>2.25</v>
      </c>
      <c r="N164" s="61" t="s">
        <v>20</v>
      </c>
      <c r="R164" s="82" t="str">
        <f aca="false">VLOOKUP(J164,ingredient!$N$4:$O$553,2,0)</f>
        <v>goda masala</v>
      </c>
      <c r="U164" s="81" t="str">
        <f aca="false">I164</f>
        <v>Watana Usal</v>
      </c>
      <c r="V164" s="81" t="n">
        <f aca="false">VLOOKUP(U164,recipe_ingred_list!$A$2:$B$300,2,0)</f>
        <v>89</v>
      </c>
      <c r="W164" s="81" t="str">
        <f aca="false">"/recipes/"&amp;VLOOKUP(U164,recipe_ingred_list!$A$2:$C$300,3,0)&amp;"/detail/"</f>
        <v>/recipes/watana-usal/detail/</v>
      </c>
      <c r="X164" s="81" t="str">
        <f aca="false">J164</f>
        <v>Goda masala</v>
      </c>
      <c r="Y164" s="81" t="str">
        <f aca="false">R164</f>
        <v>goda masala</v>
      </c>
      <c r="Z164" s="94" t="n">
        <f aca="false">VLOOKUP(Y164,recipe_ingred_list!$D$2:$E$500,2,0)</f>
        <v>82</v>
      </c>
      <c r="AA164" s="61" t="n">
        <f aca="false">K164</f>
        <v>0</v>
      </c>
      <c r="AB164" s="61" t="n">
        <f aca="false">L164</f>
        <v>0</v>
      </c>
      <c r="AC164" s="61" t="n">
        <f aca="false">VLOOKUP(AB164,recipe_ingred_list!$K$2:$M$7,3,0)</f>
        <v>2</v>
      </c>
      <c r="AD164" s="61" t="n">
        <f aca="false">M164</f>
        <v>2.25</v>
      </c>
      <c r="AE164" s="61" t="str">
        <f aca="false">N164</f>
        <v>cup</v>
      </c>
      <c r="AF164" s="61" t="n">
        <f aca="false">VLOOKUP(AE164,recipe_ingred_list!$K$16:$M$25,3,0)</f>
        <v>5</v>
      </c>
      <c r="AG164" s="61" t="n">
        <f aca="false">O164</f>
        <v>0</v>
      </c>
      <c r="AH164" s="61" t="n">
        <f aca="false">P164</f>
        <v>0</v>
      </c>
      <c r="AI164" s="61" t="n">
        <f aca="false">VLOOKUP(AH164,recipe_ingred_list!$K$29:$M$34,3,0)</f>
        <v>3</v>
      </c>
      <c r="AJ164" s="61" t="str">
        <f aca="false">IF(Q164="","",Q164)</f>
        <v/>
      </c>
      <c r="AK164" s="61" t="n">
        <f aca="false">AK163+1</f>
        <v>164</v>
      </c>
      <c r="AL164" s="61" t="str">
        <f aca="false">Y164</f>
        <v>goda masala</v>
      </c>
      <c r="AM164" s="81" t="str">
        <f aca="false">"a = Client().post('"&amp;W164&amp;"', {'recipe' : '"&amp;V164&amp;"', 'ingredient' : '"&amp;Z164&amp;"', 'name' : '"&amp;X164&amp;"', 'mass_unit' : '"&amp;AC164&amp;"', 'mass_quantity' : '"&amp;ROUND(AA164,3)&amp;"', 'volume_unit' : '"&amp;AF164&amp;"', 'volume_quantity' : '"&amp;ROUND(AD164,3)&amp;"', 'pieces_unit' : '"&amp;AI164&amp;"', 'pieces_quantity' : '"&amp;ROUND(AG164,3)&amp;"', 'cooking_notes' : '"&amp;AJ164&amp;"'}).status_code; print('%s :: %s :: %s :: %s :: %s' %(a,"&amp;G164&amp;",'"&amp;X164&amp;"','"&amp;Y164&amp;"','"&amp;U164&amp;"'))"</f>
        <v>a = Client().post('/recipes/watana-usal/detail/', {'recipe' : '89', 'ingredient' : '82', 'name' : 'Goda masala', 'mass_unit' : '2', 'mass_quantity' : '0', 'volume_unit' : '5', 'volume_quantity' : '2.25', 'pieces_unit' : '3', 'pieces_quantity' : '0', 'cooking_notes' : ''}).status_code; print('%s :: %s :: %s :: %s :: %s' %(a,164,'Goda masala','goda masala','Watana Usal'))</v>
      </c>
    </row>
    <row r="165" customFormat="false" ht="13.8" hidden="false" customHeight="false" outlineLevel="0" collapsed="false">
      <c r="G165" s="80" t="n">
        <v>165</v>
      </c>
      <c r="I165" s="82" t="s">
        <v>375</v>
      </c>
      <c r="J165" s="83" t="s">
        <v>557</v>
      </c>
      <c r="M165" s="61" t="n">
        <v>2</v>
      </c>
      <c r="N165" s="61" t="s">
        <v>20</v>
      </c>
      <c r="R165" s="82" t="str">
        <f aca="false">VLOOKUP(J165,ingredient!$N$4:$O$553,2,0)</f>
        <v>lemon</v>
      </c>
      <c r="U165" s="81" t="str">
        <f aca="false">I165</f>
        <v>Watana Usal</v>
      </c>
      <c r="V165" s="81" t="n">
        <f aca="false">VLOOKUP(U165,recipe_ingred_list!$A$2:$B$300,2,0)</f>
        <v>89</v>
      </c>
      <c r="W165" s="81" t="str">
        <f aca="false">"/recipes/"&amp;VLOOKUP(U165,recipe_ingred_list!$A$2:$C$300,3,0)&amp;"/detail/"</f>
        <v>/recipes/watana-usal/detail/</v>
      </c>
      <c r="X165" s="81" t="str">
        <f aca="false">J165</f>
        <v>Lemon juice</v>
      </c>
      <c r="Y165" s="81" t="str">
        <f aca="false">R165</f>
        <v>lemon</v>
      </c>
      <c r="Z165" s="94" t="n">
        <f aca="false">VLOOKUP(Y165,recipe_ingred_list!$D$2:$E$500,2,0)</f>
        <v>129</v>
      </c>
      <c r="AA165" s="61" t="n">
        <f aca="false">K165</f>
        <v>0</v>
      </c>
      <c r="AB165" s="61" t="n">
        <f aca="false">L165</f>
        <v>0</v>
      </c>
      <c r="AC165" s="61" t="n">
        <f aca="false">VLOOKUP(AB165,recipe_ingred_list!$K$2:$M$7,3,0)</f>
        <v>2</v>
      </c>
      <c r="AD165" s="61" t="n">
        <f aca="false">M165</f>
        <v>2</v>
      </c>
      <c r="AE165" s="61" t="str">
        <f aca="false">N165</f>
        <v>cup</v>
      </c>
      <c r="AF165" s="61" t="n">
        <f aca="false">VLOOKUP(AE165,recipe_ingred_list!$K$16:$M$25,3,0)</f>
        <v>5</v>
      </c>
      <c r="AG165" s="61" t="n">
        <f aca="false">O165</f>
        <v>0</v>
      </c>
      <c r="AH165" s="61" t="n">
        <f aca="false">P165</f>
        <v>0</v>
      </c>
      <c r="AI165" s="61" t="n">
        <f aca="false">VLOOKUP(AH165,recipe_ingred_list!$K$29:$M$34,3,0)</f>
        <v>3</v>
      </c>
      <c r="AJ165" s="61" t="str">
        <f aca="false">IF(Q165="","",Q165)</f>
        <v/>
      </c>
      <c r="AK165" s="61" t="n">
        <f aca="false">AK164+1</f>
        <v>165</v>
      </c>
      <c r="AL165" s="61" t="str">
        <f aca="false">Y165</f>
        <v>lemon</v>
      </c>
      <c r="AM165" s="81" t="str">
        <f aca="false">"a = Client().post('"&amp;W165&amp;"', {'recipe' : '"&amp;V165&amp;"', 'ingredient' : '"&amp;Z165&amp;"', 'name' : '"&amp;X165&amp;"', 'mass_unit' : '"&amp;AC165&amp;"', 'mass_quantity' : '"&amp;ROUND(AA165,3)&amp;"', 'volume_unit' : '"&amp;AF165&amp;"', 'volume_quantity' : '"&amp;ROUND(AD165,3)&amp;"', 'pieces_unit' : '"&amp;AI165&amp;"', 'pieces_quantity' : '"&amp;ROUND(AG165,3)&amp;"', 'cooking_notes' : '"&amp;AJ165&amp;"'}).status_code; print('%s :: %s :: %s :: %s :: %s' %(a,"&amp;G165&amp;",'"&amp;X165&amp;"','"&amp;Y165&amp;"','"&amp;U165&amp;"'))"</f>
        <v>a = Client().post('/recipes/watana-usal/detail/', {'recipe' : '89', 'ingredient' : '129', 'name' : 'Lemon juice', 'mass_unit' : '2', 'mass_quantity' : '0', 'volume_unit' : '5', 'volume_quantity' : '2', 'pieces_unit' : '3', 'pieces_quantity' : '0', 'cooking_notes' : ''}).status_code; print('%s :: %s :: %s :: %s :: %s' %(a,165,'Lemon juice','lemon','Watana Usal'))</v>
      </c>
    </row>
    <row r="166" customFormat="false" ht="13.8" hidden="false" customHeight="false" outlineLevel="0" collapsed="false">
      <c r="G166" s="80" t="n">
        <v>166</v>
      </c>
      <c r="H166" s="98"/>
      <c r="I166" s="99"/>
      <c r="J166" s="79"/>
      <c r="K166" s="100"/>
      <c r="L166" s="100"/>
      <c r="M166" s="100" t="n">
        <v>50</v>
      </c>
      <c r="N166" s="100" t="s">
        <v>13</v>
      </c>
      <c r="O166" s="101"/>
      <c r="P166" s="100"/>
      <c r="Q166" s="102"/>
      <c r="R166" s="99" t="e">
        <f aca="false">VLOOKUP(J166,ingredient!$N$4:$O$553,2,0)</f>
        <v>#N/A</v>
      </c>
      <c r="S166" s="98"/>
      <c r="T166" s="98"/>
      <c r="U166" s="81" t="n">
        <f aca="false">I166</f>
        <v>0</v>
      </c>
      <c r="V166" s="81" t="e">
        <f aca="false">VLOOKUP(U166,recipe_ingred_list!$A$2:$B$300,2,0)</f>
        <v>#N/A</v>
      </c>
      <c r="W166" s="81" t="e">
        <f aca="false">"/recipes/"&amp;VLOOKUP(U166,recipe_ingred_list!$A$2:$C$300,3,0)&amp;"/detail/"</f>
        <v>#N/A</v>
      </c>
      <c r="X166" s="81" t="n">
        <f aca="false">J166</f>
        <v>0</v>
      </c>
      <c r="Y166" s="81" t="e">
        <f aca="false">R166</f>
        <v>#N/A</v>
      </c>
      <c r="Z166" s="94" t="e">
        <f aca="false">VLOOKUP(Y166,recipe_ingred_list!$D$2:$E$500,2,0)</f>
        <v>#N/A</v>
      </c>
      <c r="AA166" s="61" t="n">
        <f aca="false">K166</f>
        <v>0</v>
      </c>
      <c r="AB166" s="61" t="n">
        <f aca="false">L166</f>
        <v>0</v>
      </c>
      <c r="AC166" s="61" t="n">
        <f aca="false">VLOOKUP(AB166,recipe_ingred_list!$K$2:$M$7,3,0)</f>
        <v>2</v>
      </c>
      <c r="AD166" s="61" t="n">
        <f aca="false">M166</f>
        <v>50</v>
      </c>
      <c r="AE166" s="61" t="str">
        <f aca="false">N166</f>
        <v>ltr</v>
      </c>
      <c r="AF166" s="61" t="n">
        <f aca="false">VLOOKUP(AE166,recipe_ingred_list!$K$16:$M$25,3,0)</f>
        <v>1</v>
      </c>
      <c r="AG166" s="61" t="n">
        <f aca="false">O166</f>
        <v>0</v>
      </c>
      <c r="AH166" s="61" t="n">
        <f aca="false">P166</f>
        <v>0</v>
      </c>
      <c r="AI166" s="61" t="n">
        <f aca="false">VLOOKUP(AH166,recipe_ingred_list!$K$29:$M$34,3,0)</f>
        <v>3</v>
      </c>
      <c r="AJ166" s="61" t="str">
        <f aca="false">IF(Q166="","",Q166)</f>
        <v/>
      </c>
      <c r="AK166" s="61" t="n">
        <f aca="false">AK165+1</f>
        <v>166</v>
      </c>
      <c r="AL166" s="61" t="e">
        <f aca="false">Y166</f>
        <v>#N/A</v>
      </c>
      <c r="AM166" s="81" t="e">
        <f aca="false">"a = Client().post('"&amp;W166&amp;"', {'recipe' : '"&amp;V166&amp;"', 'ingredient' : '"&amp;Z166&amp;"', 'name' : '"&amp;X166&amp;"', 'mass_unit' : '"&amp;AC166&amp;"', 'mass_quantity' : '"&amp;ROUND(AA166,3)&amp;"', 'volume_unit' : '"&amp;AF166&amp;"', 'volume_quantity' : '"&amp;ROUND(AD166,3)&amp;"', 'pieces_unit' : '"&amp;AI166&amp;"', 'pieces_quantity' : '"&amp;ROUND(AG166,3)&amp;"', 'cooking_notes' : '"&amp;AJ166&amp;"'}).status_code; print('%s :: %s :: %s :: %s :: %s' %(a,"&amp;G166&amp;",'"&amp;X166&amp;"','"&amp;Y166&amp;"','"&amp;U166&amp;"'))"</f>
        <v>#N/A</v>
      </c>
    </row>
    <row r="167" customFormat="false" ht="13.8" hidden="false" customHeight="false" outlineLevel="0" collapsed="false">
      <c r="G167" s="80" t="n">
        <v>167</v>
      </c>
      <c r="H167" s="98"/>
      <c r="I167" s="99"/>
      <c r="J167" s="79"/>
      <c r="K167" s="100"/>
      <c r="L167" s="100"/>
      <c r="M167" s="100"/>
      <c r="N167" s="100"/>
      <c r="O167" s="101"/>
      <c r="P167" s="100"/>
      <c r="Q167" s="102"/>
      <c r="R167" s="99" t="e">
        <f aca="false">VLOOKUP(J167,ingredient!$N$4:$O$553,2,0)</f>
        <v>#N/A</v>
      </c>
      <c r="S167" s="98"/>
      <c r="T167" s="98"/>
      <c r="U167" s="81" t="n">
        <f aca="false">I167</f>
        <v>0</v>
      </c>
      <c r="V167" s="81" t="e">
        <f aca="false">VLOOKUP(U167,recipe_ingred_list!$A$2:$B$300,2,0)</f>
        <v>#N/A</v>
      </c>
      <c r="W167" s="81" t="e">
        <f aca="false">"/recipes/"&amp;VLOOKUP(U167,recipe_ingred_list!$A$2:$C$300,3,0)&amp;"/detail/"</f>
        <v>#N/A</v>
      </c>
      <c r="X167" s="81" t="n">
        <f aca="false">J167</f>
        <v>0</v>
      </c>
      <c r="Y167" s="81" t="e">
        <f aca="false">R167</f>
        <v>#N/A</v>
      </c>
      <c r="Z167" s="94" t="e">
        <f aca="false">VLOOKUP(Y167,recipe_ingred_list!$D$2:$E$500,2,0)</f>
        <v>#N/A</v>
      </c>
      <c r="AA167" s="61" t="n">
        <f aca="false">K167</f>
        <v>0</v>
      </c>
      <c r="AB167" s="61" t="n">
        <f aca="false">L167</f>
        <v>0</v>
      </c>
      <c r="AC167" s="61" t="n">
        <f aca="false">VLOOKUP(AB167,recipe_ingred_list!$K$2:$M$7,3,0)</f>
        <v>2</v>
      </c>
      <c r="AD167" s="61" t="n">
        <f aca="false">M167</f>
        <v>0</v>
      </c>
      <c r="AE167" s="61" t="n">
        <f aca="false">N167</f>
        <v>0</v>
      </c>
      <c r="AF167" s="61" t="n">
        <f aca="false">VLOOKUP(AE167,recipe_ingred_list!$K$16:$M$25,3,0)</f>
        <v>1</v>
      </c>
      <c r="AG167" s="61" t="n">
        <f aca="false">O167</f>
        <v>0</v>
      </c>
      <c r="AH167" s="61" t="n">
        <f aca="false">P167</f>
        <v>0</v>
      </c>
      <c r="AI167" s="61" t="n">
        <f aca="false">VLOOKUP(AH167,recipe_ingred_list!$K$29:$M$34,3,0)</f>
        <v>3</v>
      </c>
      <c r="AJ167" s="61" t="str">
        <f aca="false">IF(Q167="","",Q167)</f>
        <v/>
      </c>
      <c r="AK167" s="61" t="n">
        <f aca="false">AK166+1</f>
        <v>167</v>
      </c>
      <c r="AL167" s="61" t="e">
        <f aca="false">Y167</f>
        <v>#N/A</v>
      </c>
      <c r="AM167" s="81" t="e">
        <f aca="false">"a = Client().post('"&amp;W167&amp;"', {'recipe' : '"&amp;V167&amp;"', 'ingredient' : '"&amp;Z167&amp;"', 'name' : '"&amp;X167&amp;"', 'mass_unit' : '"&amp;AC167&amp;"', 'mass_quantity' : '"&amp;ROUND(AA167,3)&amp;"', 'volume_unit' : '"&amp;AF167&amp;"', 'volume_quantity' : '"&amp;ROUND(AD167,3)&amp;"', 'pieces_unit' : '"&amp;AI167&amp;"', 'pieces_quantity' : '"&amp;ROUND(AG167,3)&amp;"', 'cooking_notes' : '"&amp;AJ167&amp;"'}).status_code; print('%s :: %s :: %s :: %s :: %s' %(a,"&amp;G167&amp;",'"&amp;X167&amp;"','"&amp;Y167&amp;"','"&amp;U167&amp;"'))"</f>
        <v>#N/A</v>
      </c>
    </row>
    <row r="168" customFormat="false" ht="13.8" hidden="false" customHeight="false" outlineLevel="0" collapsed="false">
      <c r="G168" s="80" t="n">
        <v>168</v>
      </c>
      <c r="I168" s="82" t="s">
        <v>214</v>
      </c>
      <c r="J168" s="83" t="s">
        <v>575</v>
      </c>
      <c r="K168" s="61" t="n">
        <v>5</v>
      </c>
      <c r="L168" s="61" t="s">
        <v>7</v>
      </c>
      <c r="R168" s="82" t="str">
        <f aca="false">VLOOKUP(J168,ingredient!$N$4:$O$553,2,0)</f>
        <v>rice</v>
      </c>
      <c r="U168" s="81" t="str">
        <f aca="false">I168</f>
        <v>JP Khichadi</v>
      </c>
      <c r="V168" s="81" t="n">
        <f aca="false">VLOOKUP(U168,recipe_ingred_list!$A$2:$B$300,2,0)</f>
        <v>35</v>
      </c>
      <c r="W168" s="81" t="str">
        <f aca="false">"/recipes/"&amp;VLOOKUP(U168,recipe_ingred_list!$A$2:$C$300,3,0)&amp;"/detail/"</f>
        <v>/recipes/jp-khichadi/detail/</v>
      </c>
      <c r="X168" s="81" t="str">
        <f aca="false">J168</f>
        <v>Rice</v>
      </c>
      <c r="Y168" s="81" t="str">
        <f aca="false">R168</f>
        <v>rice</v>
      </c>
      <c r="Z168" s="94" t="n">
        <f aca="false">VLOOKUP(Y168,recipe_ingred_list!$D$2:$E$500,2,0)</f>
        <v>170</v>
      </c>
      <c r="AA168" s="61" t="n">
        <f aca="false">K168</f>
        <v>5</v>
      </c>
      <c r="AB168" s="61" t="str">
        <f aca="false">L168</f>
        <v>kg</v>
      </c>
      <c r="AC168" s="61" t="n">
        <f aca="false">VLOOKUP(AB168,recipe_ingred_list!$K$2:$M$7,3,0)</f>
        <v>2</v>
      </c>
      <c r="AD168" s="61" t="n">
        <f aca="false">M168</f>
        <v>0</v>
      </c>
      <c r="AE168" s="61" t="n">
        <f aca="false">N168</f>
        <v>0</v>
      </c>
      <c r="AF168" s="61" t="n">
        <f aca="false">VLOOKUP(AE168,recipe_ingred_list!$K$16:$M$25,3,0)</f>
        <v>1</v>
      </c>
      <c r="AG168" s="61" t="n">
        <f aca="false">O168</f>
        <v>0</v>
      </c>
      <c r="AH168" s="61" t="n">
        <f aca="false">P168</f>
        <v>0</v>
      </c>
      <c r="AI168" s="61" t="n">
        <f aca="false">VLOOKUP(AH168,recipe_ingred_list!$K$29:$M$34,3,0)</f>
        <v>3</v>
      </c>
      <c r="AJ168" s="61" t="str">
        <f aca="false">IF(Q168="","",Q168)</f>
        <v/>
      </c>
      <c r="AK168" s="61" t="n">
        <f aca="false">AK167+1</f>
        <v>168</v>
      </c>
      <c r="AL168" s="61" t="str">
        <f aca="false">Y168</f>
        <v>rice</v>
      </c>
      <c r="AM168" s="81" t="str">
        <f aca="false">"a = Client().post('"&amp;W168&amp;"', {'recipe' : '"&amp;V168&amp;"', 'ingredient' : '"&amp;Z168&amp;"', 'name' : '"&amp;X168&amp;"', 'mass_unit' : '"&amp;AC168&amp;"', 'mass_quantity' : '"&amp;ROUND(AA168,3)&amp;"', 'volume_unit' : '"&amp;AF168&amp;"', 'volume_quantity' : '"&amp;ROUND(AD168,3)&amp;"', 'pieces_unit' : '"&amp;AI168&amp;"', 'pieces_quantity' : '"&amp;ROUND(AG168,3)&amp;"', 'cooking_notes' : '"&amp;AJ168&amp;"'}).status_code; print('%s :: %s :: %s :: %s :: %s' %(a,"&amp;G168&amp;",'"&amp;X168&amp;"','"&amp;Y168&amp;"','"&amp;U168&amp;"'))"</f>
        <v>a = Client().post('/recipes/jp-khichadi/detail/', {'recipe' : '35', 'ingredient' : '170', 'name' : 'Rice', 'mass_unit' : '2', 'mass_quantity' : '5', 'volume_unit' : '1', 'volume_quantity' : '0', 'pieces_unit' : '3', 'pieces_quantity' : '0', 'cooking_notes' : ''}).status_code; print('%s :: %s :: %s :: %s :: %s' %(a,168,'Rice','rice','JP Khichadi'))</v>
      </c>
    </row>
    <row r="169" customFormat="false" ht="13.8" hidden="false" customHeight="false" outlineLevel="0" collapsed="false">
      <c r="G169" s="80" t="n">
        <v>169</v>
      </c>
      <c r="I169" s="82" t="s">
        <v>214</v>
      </c>
      <c r="J169" s="83" t="s">
        <v>576</v>
      </c>
      <c r="K169" s="61" t="n">
        <v>1</v>
      </c>
      <c r="L169" s="61" t="s">
        <v>7</v>
      </c>
      <c r="R169" s="82" t="str">
        <f aca="false">VLOOKUP(J169,ingredient!$N$4:$O$553,2,0)</f>
        <v>chilka moong dal</v>
      </c>
      <c r="U169" s="81" t="str">
        <f aca="false">I169</f>
        <v>JP Khichadi</v>
      </c>
      <c r="V169" s="81" t="n">
        <f aca="false">VLOOKUP(U169,recipe_ingred_list!$A$2:$B$300,2,0)</f>
        <v>35</v>
      </c>
      <c r="W169" s="81" t="str">
        <f aca="false">"/recipes/"&amp;VLOOKUP(U169,recipe_ingred_list!$A$2:$C$300,3,0)&amp;"/detail/"</f>
        <v>/recipes/jp-khichadi/detail/</v>
      </c>
      <c r="X169" s="81" t="str">
        <f aca="false">J169</f>
        <v>Chilka moong dal</v>
      </c>
      <c r="Y169" s="81" t="str">
        <f aca="false">R169</f>
        <v>chilka moong dal</v>
      </c>
      <c r="Z169" s="94" t="n">
        <f aca="false">VLOOKUP(Y169,recipe_ingred_list!$D$2:$E$500,2,0)</f>
        <v>51</v>
      </c>
      <c r="AA169" s="61" t="n">
        <f aca="false">K169</f>
        <v>1</v>
      </c>
      <c r="AB169" s="61" t="str">
        <f aca="false">L169</f>
        <v>kg</v>
      </c>
      <c r="AC169" s="61" t="n">
        <f aca="false">VLOOKUP(AB169,recipe_ingred_list!$K$2:$M$7,3,0)</f>
        <v>2</v>
      </c>
      <c r="AD169" s="61" t="n">
        <f aca="false">M169</f>
        <v>0</v>
      </c>
      <c r="AE169" s="61" t="n">
        <f aca="false">N169</f>
        <v>0</v>
      </c>
      <c r="AF169" s="61" t="n">
        <f aca="false">VLOOKUP(AE169,recipe_ingred_list!$K$16:$M$25,3,0)</f>
        <v>1</v>
      </c>
      <c r="AG169" s="61" t="n">
        <f aca="false">O169</f>
        <v>0</v>
      </c>
      <c r="AH169" s="61" t="n">
        <f aca="false">P169</f>
        <v>0</v>
      </c>
      <c r="AI169" s="61" t="n">
        <f aca="false">VLOOKUP(AH169,recipe_ingred_list!$K$29:$M$34,3,0)</f>
        <v>3</v>
      </c>
      <c r="AJ169" s="61" t="str">
        <f aca="false">IF(Q169="","",Q169)</f>
        <v/>
      </c>
      <c r="AK169" s="61" t="n">
        <f aca="false">AK168+1</f>
        <v>169</v>
      </c>
      <c r="AL169" s="61" t="str">
        <f aca="false">Y169</f>
        <v>chilka moong dal</v>
      </c>
      <c r="AM169" s="81" t="str">
        <f aca="false">"a = Client().post('"&amp;W169&amp;"', {'recipe' : '"&amp;V169&amp;"', 'ingredient' : '"&amp;Z169&amp;"', 'name' : '"&amp;X169&amp;"', 'mass_unit' : '"&amp;AC169&amp;"', 'mass_quantity' : '"&amp;ROUND(AA169,3)&amp;"', 'volume_unit' : '"&amp;AF169&amp;"', 'volume_quantity' : '"&amp;ROUND(AD169,3)&amp;"', 'pieces_unit' : '"&amp;AI169&amp;"', 'pieces_quantity' : '"&amp;ROUND(AG169,3)&amp;"', 'cooking_notes' : '"&amp;AJ169&amp;"'}).status_code; print('%s :: %s :: %s :: %s :: %s' %(a,"&amp;G169&amp;",'"&amp;X169&amp;"','"&amp;Y169&amp;"','"&amp;U169&amp;"'))"</f>
        <v>a = Client().post('/recipes/jp-khichadi/detail/', {'recipe' : '35', 'ingredient' : '51', 'name' : 'Chilka moong dal', 'mass_unit' : '2', 'mass_quantity' : '1', 'volume_unit' : '1', 'volume_quantity' : '0', 'pieces_unit' : '3', 'pieces_quantity' : '0', 'cooking_notes' : ''}).status_code; print('%s :: %s :: %s :: %s :: %s' %(a,169,'Chilka moong dal','chilka moong dal','JP Khichadi'))</v>
      </c>
    </row>
    <row r="170" customFormat="false" ht="13.8" hidden="false" customHeight="false" outlineLevel="0" collapsed="false">
      <c r="G170" s="80" t="n">
        <v>170</v>
      </c>
      <c r="I170" s="82" t="s">
        <v>214</v>
      </c>
      <c r="J170" s="83" t="s">
        <v>577</v>
      </c>
      <c r="K170" s="61" t="n">
        <v>0.5</v>
      </c>
      <c r="L170" s="61" t="s">
        <v>7</v>
      </c>
      <c r="R170" s="82" t="str">
        <f aca="false">VLOOKUP(J170,ingredient!$N$4:$O$553,2,0)</f>
        <v>chana dal</v>
      </c>
      <c r="U170" s="81" t="str">
        <f aca="false">I170</f>
        <v>JP Khichadi</v>
      </c>
      <c r="V170" s="81" t="n">
        <f aca="false">VLOOKUP(U170,recipe_ingred_list!$A$2:$B$300,2,0)</f>
        <v>35</v>
      </c>
      <c r="W170" s="81" t="str">
        <f aca="false">"/recipes/"&amp;VLOOKUP(U170,recipe_ingred_list!$A$2:$C$300,3,0)&amp;"/detail/"</f>
        <v>/recipes/jp-khichadi/detail/</v>
      </c>
      <c r="X170" s="81" t="str">
        <f aca="false">J170</f>
        <v>Chana dal</v>
      </c>
      <c r="Y170" s="81" t="str">
        <f aca="false">R170</f>
        <v>chana dal</v>
      </c>
      <c r="Z170" s="94" t="n">
        <f aca="false">VLOOKUP(Y170,recipe_ingred_list!$D$2:$E$500,2,0)</f>
        <v>46</v>
      </c>
      <c r="AA170" s="61" t="n">
        <f aca="false">K170</f>
        <v>0.5</v>
      </c>
      <c r="AB170" s="61" t="str">
        <f aca="false">L170</f>
        <v>kg</v>
      </c>
      <c r="AC170" s="61" t="n">
        <f aca="false">VLOOKUP(AB170,recipe_ingred_list!$K$2:$M$7,3,0)</f>
        <v>2</v>
      </c>
      <c r="AD170" s="61" t="n">
        <f aca="false">M170</f>
        <v>0</v>
      </c>
      <c r="AE170" s="61" t="n">
        <f aca="false">N170</f>
        <v>0</v>
      </c>
      <c r="AF170" s="61" t="n">
        <f aca="false">VLOOKUP(AE170,recipe_ingred_list!$K$16:$M$25,3,0)</f>
        <v>1</v>
      </c>
      <c r="AG170" s="61" t="n">
        <f aca="false">O170</f>
        <v>0</v>
      </c>
      <c r="AH170" s="61" t="n">
        <f aca="false">P170</f>
        <v>0</v>
      </c>
      <c r="AI170" s="61" t="n">
        <f aca="false">VLOOKUP(AH170,recipe_ingred_list!$K$29:$M$34,3,0)</f>
        <v>3</v>
      </c>
      <c r="AJ170" s="61" t="str">
        <f aca="false">IF(Q170="","",Q170)</f>
        <v/>
      </c>
      <c r="AK170" s="61" t="n">
        <f aca="false">AK169+1</f>
        <v>170</v>
      </c>
      <c r="AL170" s="61" t="str">
        <f aca="false">Y170</f>
        <v>chana dal</v>
      </c>
      <c r="AM170" s="81" t="str">
        <f aca="false">"a = Client().post('"&amp;W170&amp;"', {'recipe' : '"&amp;V170&amp;"', 'ingredient' : '"&amp;Z170&amp;"', 'name' : '"&amp;X170&amp;"', 'mass_unit' : '"&amp;AC170&amp;"', 'mass_quantity' : '"&amp;ROUND(AA170,3)&amp;"', 'volume_unit' : '"&amp;AF170&amp;"', 'volume_quantity' : '"&amp;ROUND(AD170,3)&amp;"', 'pieces_unit' : '"&amp;AI170&amp;"', 'pieces_quantity' : '"&amp;ROUND(AG170,3)&amp;"', 'cooking_notes' : '"&amp;AJ170&amp;"'}).status_code; print('%s :: %s :: %s :: %s :: %s' %(a,"&amp;G170&amp;",'"&amp;X170&amp;"','"&amp;Y170&amp;"','"&amp;U170&amp;"'))"</f>
        <v>a = Client().post('/recipes/jp-khichadi/detail/', {'recipe' : '35', 'ingredient' : '46', 'name' : 'Chana dal', 'mass_unit' : '2', 'mass_quantity' : '0.5', 'volume_unit' : '1', 'volume_quantity' : '0', 'pieces_unit' : '3', 'pieces_quantity' : '0', 'cooking_notes' : ''}).status_code; print('%s :: %s :: %s :: %s :: %s' %(a,170,'Chana dal','chana dal','JP Khichadi'))</v>
      </c>
    </row>
    <row r="171" customFormat="false" ht="13.8" hidden="false" customHeight="false" outlineLevel="0" collapsed="false">
      <c r="G171" s="80" t="n">
        <v>171</v>
      </c>
      <c r="I171" s="82" t="s">
        <v>214</v>
      </c>
      <c r="J171" s="83" t="s">
        <v>22</v>
      </c>
      <c r="K171" s="61" t="n">
        <v>1</v>
      </c>
      <c r="L171" s="61" t="s">
        <v>7</v>
      </c>
      <c r="R171" s="82" t="str">
        <f aca="false">VLOOKUP(J171,ingredient!$N$4:$O$553,2,0)</f>
        <v>ghee</v>
      </c>
      <c r="U171" s="81" t="str">
        <f aca="false">I171</f>
        <v>JP Khichadi</v>
      </c>
      <c r="V171" s="81" t="n">
        <f aca="false">VLOOKUP(U171,recipe_ingred_list!$A$2:$B$300,2,0)</f>
        <v>35</v>
      </c>
      <c r="W171" s="81" t="str">
        <f aca="false">"/recipes/"&amp;VLOOKUP(U171,recipe_ingred_list!$A$2:$C$300,3,0)&amp;"/detail/"</f>
        <v>/recipes/jp-khichadi/detail/</v>
      </c>
      <c r="X171" s="81" t="str">
        <f aca="false">J171</f>
        <v>Ghee</v>
      </c>
      <c r="Y171" s="81" t="str">
        <f aca="false">R171</f>
        <v>ghee</v>
      </c>
      <c r="Z171" s="94" t="n">
        <f aca="false">VLOOKUP(Y171,recipe_ingred_list!$D$2:$E$500,2,0)</f>
        <v>81</v>
      </c>
      <c r="AA171" s="61" t="n">
        <f aca="false">K171</f>
        <v>1</v>
      </c>
      <c r="AB171" s="61" t="str">
        <f aca="false">L171</f>
        <v>kg</v>
      </c>
      <c r="AC171" s="61" t="n">
        <f aca="false">VLOOKUP(AB171,recipe_ingred_list!$K$2:$M$7,3,0)</f>
        <v>2</v>
      </c>
      <c r="AD171" s="61" t="n">
        <f aca="false">M171</f>
        <v>0</v>
      </c>
      <c r="AE171" s="61" t="n">
        <f aca="false">N171</f>
        <v>0</v>
      </c>
      <c r="AF171" s="61" t="n">
        <f aca="false">VLOOKUP(AE171,recipe_ingred_list!$K$16:$M$25,3,0)</f>
        <v>1</v>
      </c>
      <c r="AG171" s="61" t="n">
        <f aca="false">O171</f>
        <v>0</v>
      </c>
      <c r="AH171" s="61" t="n">
        <f aca="false">P171</f>
        <v>0</v>
      </c>
      <c r="AI171" s="61" t="n">
        <f aca="false">VLOOKUP(AH171,recipe_ingred_list!$K$29:$M$34,3,0)</f>
        <v>3</v>
      </c>
      <c r="AJ171" s="61" t="str">
        <f aca="false">IF(Q171="","",Q171)</f>
        <v/>
      </c>
      <c r="AK171" s="61" t="n">
        <f aca="false">AK170+1</f>
        <v>171</v>
      </c>
      <c r="AL171" s="61" t="str">
        <f aca="false">Y171</f>
        <v>ghee</v>
      </c>
      <c r="AM171" s="81" t="str">
        <f aca="false">"a = Client().post('"&amp;W171&amp;"', {'recipe' : '"&amp;V171&amp;"', 'ingredient' : '"&amp;Z171&amp;"', 'name' : '"&amp;X171&amp;"', 'mass_unit' : '"&amp;AC171&amp;"', 'mass_quantity' : '"&amp;ROUND(AA171,3)&amp;"', 'volume_unit' : '"&amp;AF171&amp;"', 'volume_quantity' : '"&amp;ROUND(AD171,3)&amp;"', 'pieces_unit' : '"&amp;AI171&amp;"', 'pieces_quantity' : '"&amp;ROUND(AG171,3)&amp;"', 'cooking_notes' : '"&amp;AJ171&amp;"'}).status_code; print('%s :: %s :: %s :: %s :: %s' %(a,"&amp;G171&amp;",'"&amp;X171&amp;"','"&amp;Y171&amp;"','"&amp;U171&amp;"'))"</f>
        <v>a = Client().post('/recipes/jp-khichadi/detail/', {'recipe' : '35', 'ingredient' : '81', 'name' : 'Ghee', 'mass_unit' : '2', 'mass_quantity' : '1', 'volume_unit' : '1', 'volume_quantity' : '0', 'pieces_unit' : '3', 'pieces_quantity' : '0', 'cooking_notes' : ''}).status_code; print('%s :: %s :: %s :: %s :: %s' %(a,171,'Ghee','ghee','JP Khichadi'))</v>
      </c>
    </row>
    <row r="172" customFormat="false" ht="13.8" hidden="false" customHeight="false" outlineLevel="0" collapsed="false">
      <c r="G172" s="80" t="n">
        <v>172</v>
      </c>
      <c r="I172" s="82" t="s">
        <v>214</v>
      </c>
      <c r="J172" s="83" t="s">
        <v>18</v>
      </c>
      <c r="M172" s="61" t="n">
        <v>1</v>
      </c>
      <c r="N172" s="61" t="s">
        <v>20</v>
      </c>
      <c r="R172" s="82" t="str">
        <f aca="false">VLOOKUP(J172,ingredient!$N$4:$O$553,2,0)</f>
        <v>adrak</v>
      </c>
      <c r="U172" s="81" t="str">
        <f aca="false">I172</f>
        <v>JP Khichadi</v>
      </c>
      <c r="V172" s="81" t="n">
        <f aca="false">VLOOKUP(U172,recipe_ingred_list!$A$2:$B$300,2,0)</f>
        <v>35</v>
      </c>
      <c r="W172" s="81" t="str">
        <f aca="false">"/recipes/"&amp;VLOOKUP(U172,recipe_ingred_list!$A$2:$C$300,3,0)&amp;"/detail/"</f>
        <v>/recipes/jp-khichadi/detail/</v>
      </c>
      <c r="X172" s="81" t="str">
        <f aca="false">J172</f>
        <v>Adrak paste</v>
      </c>
      <c r="Y172" s="81" t="str">
        <f aca="false">R172</f>
        <v>adrak</v>
      </c>
      <c r="Z172" s="94" t="n">
        <f aca="false">VLOOKUP(Y172,recipe_ingred_list!$D$2:$E$500,2,0)</f>
        <v>1</v>
      </c>
      <c r="AA172" s="61" t="n">
        <f aca="false">K172</f>
        <v>0</v>
      </c>
      <c r="AB172" s="61" t="n">
        <f aca="false">L172</f>
        <v>0</v>
      </c>
      <c r="AC172" s="61" t="n">
        <f aca="false">VLOOKUP(AB172,recipe_ingred_list!$K$2:$M$7,3,0)</f>
        <v>2</v>
      </c>
      <c r="AD172" s="61" t="n">
        <f aca="false">M172</f>
        <v>1</v>
      </c>
      <c r="AE172" s="61" t="str">
        <f aca="false">N172</f>
        <v>cup</v>
      </c>
      <c r="AF172" s="61" t="n">
        <f aca="false">VLOOKUP(AE172,recipe_ingred_list!$K$16:$M$25,3,0)</f>
        <v>5</v>
      </c>
      <c r="AG172" s="61" t="n">
        <f aca="false">O172</f>
        <v>0</v>
      </c>
      <c r="AH172" s="61" t="n">
        <f aca="false">P172</f>
        <v>0</v>
      </c>
      <c r="AI172" s="61" t="n">
        <f aca="false">VLOOKUP(AH172,recipe_ingred_list!$K$29:$M$34,3,0)</f>
        <v>3</v>
      </c>
      <c r="AJ172" s="61" t="str">
        <f aca="false">IF(Q172="","",Q172)</f>
        <v/>
      </c>
      <c r="AK172" s="61" t="n">
        <f aca="false">AK171+1</f>
        <v>172</v>
      </c>
      <c r="AL172" s="61" t="str">
        <f aca="false">Y172</f>
        <v>adrak</v>
      </c>
      <c r="AM172" s="81" t="str">
        <f aca="false">"a = Client().post('"&amp;W172&amp;"', {'recipe' : '"&amp;V172&amp;"', 'ingredient' : '"&amp;Z172&amp;"', 'name' : '"&amp;X172&amp;"', 'mass_unit' : '"&amp;AC172&amp;"', 'mass_quantity' : '"&amp;ROUND(AA172,3)&amp;"', 'volume_unit' : '"&amp;AF172&amp;"', 'volume_quantity' : '"&amp;ROUND(AD172,3)&amp;"', 'pieces_unit' : '"&amp;AI172&amp;"', 'pieces_quantity' : '"&amp;ROUND(AG172,3)&amp;"', 'cooking_notes' : '"&amp;AJ172&amp;"'}).status_code; print('%s :: %s :: %s :: %s :: %s' %(a,"&amp;G172&amp;",'"&amp;X172&amp;"','"&amp;Y172&amp;"','"&amp;U172&amp;"'))"</f>
        <v>a = Client().post('/recipes/jp-khichadi/detail/', {'recipe' : '35', 'ingredient' : '1', 'name' : 'Adrak paste', 'mass_unit' : '2', 'mass_quantity' : '0', 'volume_unit' : '5', 'volume_quantity' : '1', 'pieces_unit' : '3', 'pieces_quantity' : '0', 'cooking_notes' : ''}).status_code; print('%s :: %s :: %s :: %s :: %s' %(a,172,'Adrak paste','adrak','JP Khichadi'))</v>
      </c>
    </row>
    <row r="173" customFormat="false" ht="13.8" hidden="false" customHeight="false" outlineLevel="0" collapsed="false">
      <c r="G173" s="80" t="n">
        <v>173</v>
      </c>
      <c r="I173" s="82" t="s">
        <v>214</v>
      </c>
      <c r="J173" s="83" t="s">
        <v>578</v>
      </c>
      <c r="M173" s="61" t="n">
        <v>20</v>
      </c>
      <c r="N173" s="61" t="s">
        <v>13</v>
      </c>
      <c r="R173" s="82" t="str">
        <f aca="false">VLOOKUP(J173,ingredient!$N$4:$O$553,2,0)</f>
        <v>water</v>
      </c>
      <c r="U173" s="81" t="str">
        <f aca="false">I173</f>
        <v>JP Khichadi</v>
      </c>
      <c r="V173" s="81" t="n">
        <f aca="false">VLOOKUP(U173,recipe_ingred_list!$A$2:$B$300,2,0)</f>
        <v>35</v>
      </c>
      <c r="W173" s="81" t="str">
        <f aca="false">"/recipes/"&amp;VLOOKUP(U173,recipe_ingred_list!$A$2:$C$300,3,0)&amp;"/detail/"</f>
        <v>/recipes/jp-khichadi/detail/</v>
      </c>
      <c r="X173" s="81" t="str">
        <f aca="false">J173</f>
        <v>Water</v>
      </c>
      <c r="Y173" s="81" t="str">
        <f aca="false">R173</f>
        <v>water</v>
      </c>
      <c r="Z173" s="94" t="n">
        <f aca="false">VLOOKUP(Y173,recipe_ingred_list!$D$2:$E$500,2,0)</f>
        <v>214</v>
      </c>
      <c r="AA173" s="61" t="n">
        <f aca="false">K173</f>
        <v>0</v>
      </c>
      <c r="AB173" s="61" t="n">
        <f aca="false">L173</f>
        <v>0</v>
      </c>
      <c r="AC173" s="61" t="n">
        <f aca="false">VLOOKUP(AB173,recipe_ingred_list!$K$2:$M$7,3,0)</f>
        <v>2</v>
      </c>
      <c r="AD173" s="61" t="n">
        <f aca="false">M173</f>
        <v>20</v>
      </c>
      <c r="AE173" s="61" t="str">
        <f aca="false">N173</f>
        <v>ltr</v>
      </c>
      <c r="AF173" s="61" t="n">
        <f aca="false">VLOOKUP(AE173,recipe_ingred_list!$K$16:$M$25,3,0)</f>
        <v>1</v>
      </c>
      <c r="AG173" s="61" t="n">
        <f aca="false">O173</f>
        <v>0</v>
      </c>
      <c r="AH173" s="61" t="n">
        <f aca="false">P173</f>
        <v>0</v>
      </c>
      <c r="AI173" s="61" t="n">
        <f aca="false">VLOOKUP(AH173,recipe_ingred_list!$K$29:$M$34,3,0)</f>
        <v>3</v>
      </c>
      <c r="AJ173" s="61" t="str">
        <f aca="false">IF(Q173="","",Q173)</f>
        <v/>
      </c>
      <c r="AK173" s="61" t="n">
        <f aca="false">AK172+1</f>
        <v>173</v>
      </c>
      <c r="AL173" s="61" t="str">
        <f aca="false">Y173</f>
        <v>water</v>
      </c>
      <c r="AM173" s="81" t="str">
        <f aca="false">"a = Client().post('"&amp;W173&amp;"', {'recipe' : '"&amp;V173&amp;"', 'ingredient' : '"&amp;Z173&amp;"', 'name' : '"&amp;X173&amp;"', 'mass_unit' : '"&amp;AC173&amp;"', 'mass_quantity' : '"&amp;ROUND(AA173,3)&amp;"', 'volume_unit' : '"&amp;AF173&amp;"', 'volume_quantity' : '"&amp;ROUND(AD173,3)&amp;"', 'pieces_unit' : '"&amp;AI173&amp;"', 'pieces_quantity' : '"&amp;ROUND(AG173,3)&amp;"', 'cooking_notes' : '"&amp;AJ173&amp;"'}).status_code; print('%s :: %s :: %s :: %s :: %s' %(a,"&amp;G173&amp;",'"&amp;X173&amp;"','"&amp;Y173&amp;"','"&amp;U173&amp;"'))"</f>
        <v>a = Client().post('/recipes/jp-khichadi/detail/', {'recipe' : '35', 'ingredient' : '214', 'name' : 'Water', 'mass_unit' : '2', 'mass_quantity' : '0', 'volume_unit' : '1', 'volume_quantity' : '20', 'pieces_unit' : '3', 'pieces_quantity' : '0', 'cooking_notes' : ''}).status_code; print('%s :: %s :: %s :: %s :: %s' %(a,173,'Water','water','JP Khichadi'))</v>
      </c>
    </row>
    <row r="174" customFormat="false" ht="13.8" hidden="false" customHeight="false" outlineLevel="0" collapsed="false">
      <c r="G174" s="80" t="n">
        <v>174</v>
      </c>
      <c r="I174" s="82" t="s">
        <v>214</v>
      </c>
      <c r="J174" s="83" t="s">
        <v>539</v>
      </c>
      <c r="O174" s="61" t="n">
        <v>4</v>
      </c>
      <c r="P174" s="61" t="s">
        <v>107</v>
      </c>
      <c r="R174" s="82" t="str">
        <f aca="false">VLOOKUP(J174,ingredient!$N$4:$O$553,2,0)</f>
        <v>coconut</v>
      </c>
      <c r="U174" s="81" t="str">
        <f aca="false">I174</f>
        <v>JP Khichadi</v>
      </c>
      <c r="V174" s="81" t="n">
        <f aca="false">VLOOKUP(U174,recipe_ingred_list!$A$2:$B$300,2,0)</f>
        <v>35</v>
      </c>
      <c r="W174" s="81" t="str">
        <f aca="false">"/recipes/"&amp;VLOOKUP(U174,recipe_ingred_list!$A$2:$C$300,3,0)&amp;"/detail/"</f>
        <v>/recipes/jp-khichadi/detail/</v>
      </c>
      <c r="X174" s="81" t="str">
        <f aca="false">J174</f>
        <v>Coconuts</v>
      </c>
      <c r="Y174" s="81" t="str">
        <f aca="false">R174</f>
        <v>coconut</v>
      </c>
      <c r="Z174" s="94" t="n">
        <f aca="false">VLOOKUP(Y174,recipe_ingred_list!$D$2:$E$500,2,0)</f>
        <v>54</v>
      </c>
      <c r="AA174" s="61" t="n">
        <f aca="false">K174</f>
        <v>0</v>
      </c>
      <c r="AB174" s="61" t="n">
        <f aca="false">L174</f>
        <v>0</v>
      </c>
      <c r="AC174" s="61" t="n">
        <f aca="false">VLOOKUP(AB174,recipe_ingred_list!$K$2:$M$7,3,0)</f>
        <v>2</v>
      </c>
      <c r="AD174" s="61" t="n">
        <f aca="false">M174</f>
        <v>0</v>
      </c>
      <c r="AE174" s="61" t="n">
        <f aca="false">N174</f>
        <v>0</v>
      </c>
      <c r="AF174" s="61" t="n">
        <f aca="false">VLOOKUP(AE174,recipe_ingred_list!$K$16:$M$25,3,0)</f>
        <v>1</v>
      </c>
      <c r="AG174" s="61" t="n">
        <f aca="false">O174</f>
        <v>4</v>
      </c>
      <c r="AH174" s="61" t="str">
        <f aca="false">P174</f>
        <v>pcs</v>
      </c>
      <c r="AI174" s="61" t="n">
        <f aca="false">VLOOKUP(AH174,recipe_ingred_list!$K$29:$M$34,3,0)</f>
        <v>3</v>
      </c>
      <c r="AJ174" s="61" t="str">
        <f aca="false">IF(Q174="","",Q174)</f>
        <v/>
      </c>
      <c r="AK174" s="61" t="n">
        <f aca="false">AK173+1</f>
        <v>174</v>
      </c>
      <c r="AL174" s="61" t="str">
        <f aca="false">Y174</f>
        <v>coconut</v>
      </c>
      <c r="AM174" s="81" t="str">
        <f aca="false">"a = Client().post('"&amp;W174&amp;"', {'recipe' : '"&amp;V174&amp;"', 'ingredient' : '"&amp;Z174&amp;"', 'name' : '"&amp;X174&amp;"', 'mass_unit' : '"&amp;AC174&amp;"', 'mass_quantity' : '"&amp;ROUND(AA174,3)&amp;"', 'volume_unit' : '"&amp;AF174&amp;"', 'volume_quantity' : '"&amp;ROUND(AD174,3)&amp;"', 'pieces_unit' : '"&amp;AI174&amp;"', 'pieces_quantity' : '"&amp;ROUND(AG174,3)&amp;"', 'cooking_notes' : '"&amp;AJ174&amp;"'}).status_code; print('%s :: %s :: %s :: %s :: %s' %(a,"&amp;G174&amp;",'"&amp;X174&amp;"','"&amp;Y174&amp;"','"&amp;U174&amp;"'))"</f>
        <v>a = Client().post('/recipes/jp-khichadi/detail/', {'recipe' : '35', 'ingredient' : '54', 'name' : 'Coconuts', 'mass_unit' : '2', 'mass_quantity' : '0', 'volume_unit' : '1', 'volume_quantity' : '0', 'pieces_unit' : '3', 'pieces_quantity' : '4', 'cooking_notes' : ''}).status_code; print('%s :: %s :: %s :: %s :: %s' %(a,174,'Coconuts','coconut','JP Khichadi'))</v>
      </c>
    </row>
    <row r="175" customFormat="false" ht="13.8" hidden="false" customHeight="false" outlineLevel="0" collapsed="false">
      <c r="G175" s="80" t="n">
        <v>175</v>
      </c>
      <c r="I175" s="82" t="s">
        <v>214</v>
      </c>
      <c r="J175" s="83" t="s">
        <v>571</v>
      </c>
      <c r="M175" s="61" t="n">
        <v>1</v>
      </c>
      <c r="N175" s="61" t="s">
        <v>20</v>
      </c>
      <c r="R175" s="82" t="str">
        <f aca="false">VLOOKUP(J175,ingredient!$N$4:$O$553,2,0)</f>
        <v>sugar</v>
      </c>
      <c r="U175" s="81" t="str">
        <f aca="false">I175</f>
        <v>JP Khichadi</v>
      </c>
      <c r="V175" s="81" t="n">
        <f aca="false">VLOOKUP(U175,recipe_ingred_list!$A$2:$B$300,2,0)</f>
        <v>35</v>
      </c>
      <c r="W175" s="81" t="str">
        <f aca="false">"/recipes/"&amp;VLOOKUP(U175,recipe_ingred_list!$A$2:$C$300,3,0)&amp;"/detail/"</f>
        <v>/recipes/jp-khichadi/detail/</v>
      </c>
      <c r="X175" s="81" t="str">
        <f aca="false">J175</f>
        <v>Sugar</v>
      </c>
      <c r="Y175" s="81" t="str">
        <f aca="false">R175</f>
        <v>sugar</v>
      </c>
      <c r="Z175" s="94" t="n">
        <f aca="false">VLOOKUP(Y175,recipe_ingred_list!$D$2:$E$500,2,0)</f>
        <v>187</v>
      </c>
      <c r="AA175" s="61" t="n">
        <f aca="false">K175</f>
        <v>0</v>
      </c>
      <c r="AB175" s="61" t="n">
        <f aca="false">L175</f>
        <v>0</v>
      </c>
      <c r="AC175" s="61" t="n">
        <f aca="false">VLOOKUP(AB175,recipe_ingred_list!$K$2:$M$7,3,0)</f>
        <v>2</v>
      </c>
      <c r="AD175" s="61" t="n">
        <f aca="false">M175</f>
        <v>1</v>
      </c>
      <c r="AE175" s="61" t="str">
        <f aca="false">N175</f>
        <v>cup</v>
      </c>
      <c r="AF175" s="61" t="n">
        <f aca="false">VLOOKUP(AE175,recipe_ingred_list!$K$16:$M$25,3,0)</f>
        <v>5</v>
      </c>
      <c r="AG175" s="61" t="n">
        <f aca="false">O175</f>
        <v>0</v>
      </c>
      <c r="AH175" s="61" t="n">
        <f aca="false">P175</f>
        <v>0</v>
      </c>
      <c r="AI175" s="61" t="n">
        <f aca="false">VLOOKUP(AH175,recipe_ingred_list!$K$29:$M$34,3,0)</f>
        <v>3</v>
      </c>
      <c r="AJ175" s="61" t="str">
        <f aca="false">IF(Q175="","",Q175)</f>
        <v/>
      </c>
      <c r="AK175" s="61" t="n">
        <f aca="false">AK174+1</f>
        <v>175</v>
      </c>
      <c r="AL175" s="61" t="str">
        <f aca="false">Y175</f>
        <v>sugar</v>
      </c>
      <c r="AM175" s="81" t="str">
        <f aca="false">"a = Client().post('"&amp;W175&amp;"', {'recipe' : '"&amp;V175&amp;"', 'ingredient' : '"&amp;Z175&amp;"', 'name' : '"&amp;X175&amp;"', 'mass_unit' : '"&amp;AC175&amp;"', 'mass_quantity' : '"&amp;ROUND(AA175,3)&amp;"', 'volume_unit' : '"&amp;AF175&amp;"', 'volume_quantity' : '"&amp;ROUND(AD175,3)&amp;"', 'pieces_unit' : '"&amp;AI175&amp;"', 'pieces_quantity' : '"&amp;ROUND(AG175,3)&amp;"', 'cooking_notes' : '"&amp;AJ175&amp;"'}).status_code; print('%s :: %s :: %s :: %s :: %s' %(a,"&amp;G175&amp;",'"&amp;X175&amp;"','"&amp;Y175&amp;"','"&amp;U175&amp;"'))"</f>
        <v>a = Client().post('/recipes/jp-khichadi/detail/', {'recipe' : '35', 'ingredient' : '187', 'name' : 'Sugar', 'mass_unit' : '2', 'mass_quantity' : '0', 'volume_unit' : '5', 'volume_quantity' : '1', 'pieces_unit' : '3', 'pieces_quantity' : '0', 'cooking_notes' : ''}).status_code; print('%s :: %s :: %s :: %s :: %s' %(a,175,'Sugar','sugar','JP Khichadi'))</v>
      </c>
    </row>
    <row r="176" customFormat="false" ht="13.8" hidden="false" customHeight="false" outlineLevel="0" collapsed="false">
      <c r="G176" s="80" t="n">
        <v>176</v>
      </c>
      <c r="I176" s="82" t="s">
        <v>214</v>
      </c>
      <c r="J176" s="83" t="s">
        <v>579</v>
      </c>
      <c r="M176" s="61" t="n">
        <v>1</v>
      </c>
      <c r="N176" s="61" t="s">
        <v>13</v>
      </c>
      <c r="R176" s="82" t="str">
        <f aca="false">VLOOKUP(J176,ingredient!$N$4:$O$553,2,0)</f>
        <v>kismis</v>
      </c>
      <c r="U176" s="81" t="str">
        <f aca="false">I176</f>
        <v>JP Khichadi</v>
      </c>
      <c r="V176" s="81" t="n">
        <f aca="false">VLOOKUP(U176,recipe_ingred_list!$A$2:$B$300,2,0)</f>
        <v>35</v>
      </c>
      <c r="W176" s="81" t="str">
        <f aca="false">"/recipes/"&amp;VLOOKUP(U176,recipe_ingred_list!$A$2:$C$300,3,0)&amp;"/detail/"</f>
        <v>/recipes/jp-khichadi/detail/</v>
      </c>
      <c r="X176" s="81" t="str">
        <f aca="false">J176</f>
        <v>Kismis</v>
      </c>
      <c r="Y176" s="81" t="str">
        <f aca="false">R176</f>
        <v>kismis</v>
      </c>
      <c r="Z176" s="94" t="n">
        <f aca="false">VLOOKUP(Y176,recipe_ingred_list!$D$2:$E$500,2,0)</f>
        <v>123</v>
      </c>
      <c r="AA176" s="61" t="n">
        <f aca="false">K176</f>
        <v>0</v>
      </c>
      <c r="AB176" s="61" t="n">
        <f aca="false">L176</f>
        <v>0</v>
      </c>
      <c r="AC176" s="61" t="n">
        <f aca="false">VLOOKUP(AB176,recipe_ingred_list!$K$2:$M$7,3,0)</f>
        <v>2</v>
      </c>
      <c r="AD176" s="61" t="n">
        <f aca="false">M176</f>
        <v>1</v>
      </c>
      <c r="AE176" s="61" t="str">
        <f aca="false">N176</f>
        <v>ltr</v>
      </c>
      <c r="AF176" s="61" t="n">
        <f aca="false">VLOOKUP(AE176,recipe_ingred_list!$K$16:$M$25,3,0)</f>
        <v>1</v>
      </c>
      <c r="AG176" s="61" t="n">
        <f aca="false">O176</f>
        <v>0</v>
      </c>
      <c r="AH176" s="61" t="n">
        <f aca="false">P176</f>
        <v>0</v>
      </c>
      <c r="AI176" s="61" t="n">
        <f aca="false">VLOOKUP(AH176,recipe_ingred_list!$K$29:$M$34,3,0)</f>
        <v>3</v>
      </c>
      <c r="AJ176" s="61" t="str">
        <f aca="false">IF(Q176="","",Q176)</f>
        <v/>
      </c>
      <c r="AK176" s="61" t="n">
        <f aca="false">AK175+1</f>
        <v>176</v>
      </c>
      <c r="AL176" s="61" t="str">
        <f aca="false">Y176</f>
        <v>kismis</v>
      </c>
      <c r="AM176" s="81" t="str">
        <f aca="false">"a = Client().post('"&amp;W176&amp;"', {'recipe' : '"&amp;V176&amp;"', 'ingredient' : '"&amp;Z176&amp;"', 'name' : '"&amp;X176&amp;"', 'mass_unit' : '"&amp;AC176&amp;"', 'mass_quantity' : '"&amp;ROUND(AA176,3)&amp;"', 'volume_unit' : '"&amp;AF176&amp;"', 'volume_quantity' : '"&amp;ROUND(AD176,3)&amp;"', 'pieces_unit' : '"&amp;AI176&amp;"', 'pieces_quantity' : '"&amp;ROUND(AG176,3)&amp;"', 'cooking_notes' : '"&amp;AJ176&amp;"'}).status_code; print('%s :: %s :: %s :: %s :: %s' %(a,"&amp;G176&amp;",'"&amp;X176&amp;"','"&amp;Y176&amp;"','"&amp;U176&amp;"'))"</f>
        <v>a = Client().post('/recipes/jp-khichadi/detail/', {'recipe' : '35', 'ingredient' : '123', 'name' : 'Kismis', 'mass_unit' : '2', 'mass_quantity' : '0', 'volume_unit' : '1', 'volume_quantity' : '1', 'pieces_unit' : '3', 'pieces_quantity' : '0', 'cooking_notes' : ''}).status_code; print('%s :: %s :: %s :: %s :: %s' %(a,176,'Kismis','kismis','JP Khichadi'))</v>
      </c>
    </row>
    <row r="177" customFormat="false" ht="13.8" hidden="false" customHeight="false" outlineLevel="0" collapsed="false">
      <c r="G177" s="80" t="n">
        <v>177</v>
      </c>
      <c r="I177" s="82" t="s">
        <v>214</v>
      </c>
      <c r="J177" s="83" t="s">
        <v>14</v>
      </c>
      <c r="M177" s="61" t="n">
        <v>0.75</v>
      </c>
      <c r="N177" s="61" t="s">
        <v>20</v>
      </c>
      <c r="R177" s="82" t="str">
        <f aca="false">VLOOKUP(J177,ingredient!$N$4:$O$553,2,0)</f>
        <v>jeera</v>
      </c>
      <c r="U177" s="81" t="str">
        <f aca="false">I177</f>
        <v>JP Khichadi</v>
      </c>
      <c r="V177" s="81" t="n">
        <f aca="false">VLOOKUP(U177,recipe_ingred_list!$A$2:$B$300,2,0)</f>
        <v>35</v>
      </c>
      <c r="W177" s="81" t="str">
        <f aca="false">"/recipes/"&amp;VLOOKUP(U177,recipe_ingred_list!$A$2:$C$300,3,0)&amp;"/detail/"</f>
        <v>/recipes/jp-khichadi/detail/</v>
      </c>
      <c r="X177" s="81" t="str">
        <f aca="false">J177</f>
        <v>Jeera</v>
      </c>
      <c r="Y177" s="81" t="str">
        <f aca="false">R177</f>
        <v>jeera</v>
      </c>
      <c r="Z177" s="94" t="n">
        <f aca="false">VLOOKUP(Y177,recipe_ingred_list!$D$2:$E$500,2,0)</f>
        <v>102</v>
      </c>
      <c r="AA177" s="61" t="n">
        <f aca="false">K177</f>
        <v>0</v>
      </c>
      <c r="AB177" s="61" t="n">
        <f aca="false">L177</f>
        <v>0</v>
      </c>
      <c r="AC177" s="61" t="n">
        <f aca="false">VLOOKUP(AB177,recipe_ingred_list!$K$2:$M$7,3,0)</f>
        <v>2</v>
      </c>
      <c r="AD177" s="61" t="n">
        <f aca="false">M177</f>
        <v>0.75</v>
      </c>
      <c r="AE177" s="61" t="str">
        <f aca="false">N177</f>
        <v>cup</v>
      </c>
      <c r="AF177" s="61" t="n">
        <f aca="false">VLOOKUP(AE177,recipe_ingred_list!$K$16:$M$25,3,0)</f>
        <v>5</v>
      </c>
      <c r="AG177" s="61" t="n">
        <f aca="false">O177</f>
        <v>0</v>
      </c>
      <c r="AH177" s="61" t="n">
        <f aca="false">P177</f>
        <v>0</v>
      </c>
      <c r="AI177" s="61" t="n">
        <f aca="false">VLOOKUP(AH177,recipe_ingred_list!$K$29:$M$34,3,0)</f>
        <v>3</v>
      </c>
      <c r="AJ177" s="61" t="str">
        <f aca="false">IF(Q177="","",Q177)</f>
        <v/>
      </c>
      <c r="AK177" s="61" t="n">
        <f aca="false">AK176+1</f>
        <v>177</v>
      </c>
      <c r="AL177" s="61" t="str">
        <f aca="false">Y177</f>
        <v>jeera</v>
      </c>
      <c r="AM177" s="81" t="str">
        <f aca="false">"a = Client().post('"&amp;W177&amp;"', {'recipe' : '"&amp;V177&amp;"', 'ingredient' : '"&amp;Z177&amp;"', 'name' : '"&amp;X177&amp;"', 'mass_unit' : '"&amp;AC177&amp;"', 'mass_quantity' : '"&amp;ROUND(AA177,3)&amp;"', 'volume_unit' : '"&amp;AF177&amp;"', 'volume_quantity' : '"&amp;ROUND(AD177,3)&amp;"', 'pieces_unit' : '"&amp;AI177&amp;"', 'pieces_quantity' : '"&amp;ROUND(AG177,3)&amp;"', 'cooking_notes' : '"&amp;AJ177&amp;"'}).status_code; print('%s :: %s :: %s :: %s :: %s' %(a,"&amp;G177&amp;",'"&amp;X177&amp;"','"&amp;Y177&amp;"','"&amp;U177&amp;"'))"</f>
        <v>a = Client().post('/recipes/jp-khichadi/detail/', {'recipe' : '35', 'ingredient' : '102', 'name' : 'Jeera', 'mass_unit' : '2', 'mass_quantity' : '0', 'volume_unit' : '5', 'volume_quantity' : '0.75', 'pieces_unit' : '3', 'pieces_quantity' : '0', 'cooking_notes' : ''}).status_code; print('%s :: %s :: %s :: %s :: %s' %(a,177,'Jeera','jeera','JP Khichadi'))</v>
      </c>
    </row>
    <row r="178" customFormat="false" ht="13.8" hidden="false" customHeight="false" outlineLevel="0" collapsed="false">
      <c r="G178" s="80" t="n">
        <v>178</v>
      </c>
      <c r="I178" s="82" t="s">
        <v>214</v>
      </c>
      <c r="J178" s="83" t="s">
        <v>32</v>
      </c>
      <c r="M178" s="61" t="n">
        <v>1</v>
      </c>
      <c r="N178" s="61" t="s">
        <v>20</v>
      </c>
      <c r="R178" s="82" t="str">
        <f aca="false">VLOOKUP(J178,ingredient!$N$4:$O$553,2,0)</f>
        <v>salt</v>
      </c>
      <c r="U178" s="81" t="str">
        <f aca="false">I178</f>
        <v>JP Khichadi</v>
      </c>
      <c r="V178" s="81" t="n">
        <f aca="false">VLOOKUP(U178,recipe_ingred_list!$A$2:$B$300,2,0)</f>
        <v>35</v>
      </c>
      <c r="W178" s="81" t="str">
        <f aca="false">"/recipes/"&amp;VLOOKUP(U178,recipe_ingred_list!$A$2:$C$300,3,0)&amp;"/detail/"</f>
        <v>/recipes/jp-khichadi/detail/</v>
      </c>
      <c r="X178" s="81" t="str">
        <f aca="false">J178</f>
        <v>Salt</v>
      </c>
      <c r="Y178" s="81" t="str">
        <f aca="false">R178</f>
        <v>salt</v>
      </c>
      <c r="Z178" s="94" t="n">
        <f aca="false">VLOOKUP(Y178,recipe_ingred_list!$D$2:$E$500,2,0)</f>
        <v>177</v>
      </c>
      <c r="AA178" s="61" t="n">
        <f aca="false">K178</f>
        <v>0</v>
      </c>
      <c r="AB178" s="61" t="n">
        <f aca="false">L178</f>
        <v>0</v>
      </c>
      <c r="AC178" s="61" t="n">
        <f aca="false">VLOOKUP(AB178,recipe_ingred_list!$K$2:$M$7,3,0)</f>
        <v>2</v>
      </c>
      <c r="AD178" s="61" t="n">
        <f aca="false">M178</f>
        <v>1</v>
      </c>
      <c r="AE178" s="61" t="str">
        <f aca="false">N178</f>
        <v>cup</v>
      </c>
      <c r="AF178" s="61" t="n">
        <f aca="false">VLOOKUP(AE178,recipe_ingred_list!$K$16:$M$25,3,0)</f>
        <v>5</v>
      </c>
      <c r="AG178" s="61" t="n">
        <f aca="false">O178</f>
        <v>0</v>
      </c>
      <c r="AH178" s="61" t="n">
        <f aca="false">P178</f>
        <v>0</v>
      </c>
      <c r="AI178" s="61" t="n">
        <f aca="false">VLOOKUP(AH178,recipe_ingred_list!$K$29:$M$34,3,0)</f>
        <v>3</v>
      </c>
      <c r="AJ178" s="61" t="str">
        <f aca="false">IF(Q178="","",Q178)</f>
        <v/>
      </c>
      <c r="AK178" s="61" t="n">
        <f aca="false">AK177+1</f>
        <v>178</v>
      </c>
      <c r="AL178" s="61" t="str">
        <f aca="false">Y178</f>
        <v>salt</v>
      </c>
      <c r="AM178" s="81" t="str">
        <f aca="false">"a = Client().post('"&amp;W178&amp;"', {'recipe' : '"&amp;V178&amp;"', 'ingredient' : '"&amp;Z178&amp;"', 'name' : '"&amp;X178&amp;"', 'mass_unit' : '"&amp;AC178&amp;"', 'mass_quantity' : '"&amp;ROUND(AA178,3)&amp;"', 'volume_unit' : '"&amp;AF178&amp;"', 'volume_quantity' : '"&amp;ROUND(AD178,3)&amp;"', 'pieces_unit' : '"&amp;AI178&amp;"', 'pieces_quantity' : '"&amp;ROUND(AG178,3)&amp;"', 'cooking_notes' : '"&amp;AJ178&amp;"'}).status_code; print('%s :: %s :: %s :: %s :: %s' %(a,"&amp;G178&amp;",'"&amp;X178&amp;"','"&amp;Y178&amp;"','"&amp;U178&amp;"'))"</f>
        <v>a = Client().post('/recipes/jp-khichadi/detail/', {'recipe' : '35', 'ingredient' : '177', 'name' : 'Salt', 'mass_unit' : '2', 'mass_quantity' : '0', 'volume_unit' : '5', 'volume_quantity' : '1', 'pieces_unit' : '3', 'pieces_quantity' : '0', 'cooking_notes' : ''}).status_code; print('%s :: %s :: %s :: %s :: %s' %(a,178,'Salt','salt','JP Khichadi'))</v>
      </c>
    </row>
    <row r="179" customFormat="false" ht="13.8" hidden="false" customHeight="false" outlineLevel="0" collapsed="false">
      <c r="G179" s="80" t="n">
        <v>179</v>
      </c>
      <c r="H179" s="98"/>
      <c r="I179" s="99"/>
      <c r="J179" s="79"/>
      <c r="K179" s="100"/>
      <c r="L179" s="100"/>
      <c r="M179" s="100"/>
      <c r="N179" s="100"/>
      <c r="O179" s="101"/>
      <c r="P179" s="100"/>
      <c r="Q179" s="102"/>
      <c r="R179" s="99" t="e">
        <f aca="false">VLOOKUP(J179,ingredient!$N$4:$O$553,2,0)</f>
        <v>#N/A</v>
      </c>
      <c r="S179" s="98"/>
      <c r="T179" s="98"/>
      <c r="U179" s="81" t="n">
        <f aca="false">I179</f>
        <v>0</v>
      </c>
      <c r="V179" s="81" t="e">
        <f aca="false">VLOOKUP(U179,recipe_ingred_list!$A$2:$B$300,2,0)</f>
        <v>#N/A</v>
      </c>
      <c r="W179" s="81" t="e">
        <f aca="false">"/recipes/"&amp;VLOOKUP(U179,recipe_ingred_list!$A$2:$C$300,3,0)&amp;"/detail/"</f>
        <v>#N/A</v>
      </c>
      <c r="X179" s="81" t="n">
        <f aca="false">J179</f>
        <v>0</v>
      </c>
      <c r="Y179" s="81" t="e">
        <f aca="false">R179</f>
        <v>#N/A</v>
      </c>
      <c r="Z179" s="94" t="e">
        <f aca="false">VLOOKUP(Y179,recipe_ingred_list!$D$2:$E$500,2,0)</f>
        <v>#N/A</v>
      </c>
      <c r="AA179" s="61" t="n">
        <f aca="false">K179</f>
        <v>0</v>
      </c>
      <c r="AB179" s="61" t="n">
        <f aca="false">L179</f>
        <v>0</v>
      </c>
      <c r="AC179" s="61" t="n">
        <f aca="false">VLOOKUP(AB179,recipe_ingred_list!$K$2:$M$7,3,0)</f>
        <v>2</v>
      </c>
      <c r="AD179" s="61" t="n">
        <f aca="false">M179</f>
        <v>0</v>
      </c>
      <c r="AE179" s="61" t="n">
        <f aca="false">N179</f>
        <v>0</v>
      </c>
      <c r="AF179" s="61" t="n">
        <f aca="false">VLOOKUP(AE179,recipe_ingred_list!$K$16:$M$25,3,0)</f>
        <v>1</v>
      </c>
      <c r="AG179" s="61" t="n">
        <f aca="false">O179</f>
        <v>0</v>
      </c>
      <c r="AH179" s="61" t="n">
        <f aca="false">P179</f>
        <v>0</v>
      </c>
      <c r="AI179" s="61" t="n">
        <f aca="false">VLOOKUP(AH179,recipe_ingred_list!$K$29:$M$34,3,0)</f>
        <v>3</v>
      </c>
      <c r="AJ179" s="61" t="str">
        <f aca="false">IF(Q179="","",Q179)</f>
        <v/>
      </c>
      <c r="AK179" s="61" t="n">
        <f aca="false">AK178+1</f>
        <v>179</v>
      </c>
      <c r="AL179" s="61" t="e">
        <f aca="false">Y179</f>
        <v>#N/A</v>
      </c>
      <c r="AM179" s="81" t="e">
        <f aca="false">"a = Client().post('"&amp;W179&amp;"', {'recipe' : '"&amp;V179&amp;"', 'ingredient' : '"&amp;Z179&amp;"', 'name' : '"&amp;X179&amp;"', 'mass_unit' : '"&amp;AC179&amp;"', 'mass_quantity' : '"&amp;ROUND(AA179,3)&amp;"', 'volume_unit' : '"&amp;AF179&amp;"', 'volume_quantity' : '"&amp;ROUND(AD179,3)&amp;"', 'pieces_unit' : '"&amp;AI179&amp;"', 'pieces_quantity' : '"&amp;ROUND(AG179,3)&amp;"', 'cooking_notes' : '"&amp;AJ179&amp;"'}).status_code; print('%s :: %s :: %s :: %s :: %s' %(a,"&amp;G179&amp;",'"&amp;X179&amp;"','"&amp;Y179&amp;"','"&amp;U179&amp;"'))"</f>
        <v>#N/A</v>
      </c>
    </row>
    <row r="180" customFormat="false" ht="13.8" hidden="false" customHeight="false" outlineLevel="0" collapsed="false">
      <c r="G180" s="80" t="n">
        <v>180</v>
      </c>
      <c r="I180" s="82" t="s">
        <v>160</v>
      </c>
      <c r="J180" s="83" t="s">
        <v>580</v>
      </c>
      <c r="M180" s="61" t="n">
        <v>20</v>
      </c>
      <c r="N180" s="61" t="s">
        <v>13</v>
      </c>
      <c r="R180" s="82" t="str">
        <f aca="false">VLOOKUP(J180,ingredient!$N$4:$O$553,2,0)</f>
        <v>dahi</v>
      </c>
      <c r="U180" s="81" t="str">
        <f aca="false">I180</f>
        <v>Dahi Bhindi</v>
      </c>
      <c r="V180" s="81" t="n">
        <f aca="false">VLOOKUP(U180,recipe_ingred_list!$A$2:$B$300,2,0)</f>
        <v>17</v>
      </c>
      <c r="W180" s="81" t="str">
        <f aca="false">"/recipes/"&amp;VLOOKUP(U180,recipe_ingred_list!$A$2:$C$300,3,0)&amp;"/detail/"</f>
        <v>/recipes/dahi-bhindi/detail/</v>
      </c>
      <c r="X180" s="81" t="str">
        <f aca="false">J180</f>
        <v>Dahi</v>
      </c>
      <c r="Y180" s="81" t="str">
        <f aca="false">R180</f>
        <v>dahi</v>
      </c>
      <c r="Z180" s="94" t="n">
        <f aca="false">VLOOKUP(Y180,recipe_ingred_list!$D$2:$E$500,2,0)</f>
        <v>59</v>
      </c>
      <c r="AA180" s="61" t="n">
        <f aca="false">K180</f>
        <v>0</v>
      </c>
      <c r="AB180" s="61" t="n">
        <f aca="false">L180</f>
        <v>0</v>
      </c>
      <c r="AC180" s="61" t="n">
        <f aca="false">VLOOKUP(AB180,recipe_ingred_list!$K$2:$M$7,3,0)</f>
        <v>2</v>
      </c>
      <c r="AD180" s="61" t="n">
        <f aca="false">M180</f>
        <v>20</v>
      </c>
      <c r="AE180" s="61" t="str">
        <f aca="false">N180</f>
        <v>ltr</v>
      </c>
      <c r="AF180" s="61" t="n">
        <f aca="false">VLOOKUP(AE180,recipe_ingred_list!$K$16:$M$25,3,0)</f>
        <v>1</v>
      </c>
      <c r="AG180" s="61" t="n">
        <f aca="false">O180</f>
        <v>0</v>
      </c>
      <c r="AH180" s="61" t="n">
        <f aca="false">P180</f>
        <v>0</v>
      </c>
      <c r="AI180" s="61" t="n">
        <f aca="false">VLOOKUP(AH180,recipe_ingred_list!$K$29:$M$34,3,0)</f>
        <v>3</v>
      </c>
      <c r="AJ180" s="61" t="str">
        <f aca="false">IF(Q180="","",Q180)</f>
        <v/>
      </c>
      <c r="AK180" s="61" t="n">
        <f aca="false">AK179+1</f>
        <v>180</v>
      </c>
      <c r="AL180" s="61" t="str">
        <f aca="false">Y180</f>
        <v>dahi</v>
      </c>
      <c r="AM180" s="81" t="str">
        <f aca="false">"a = Client().post('"&amp;W180&amp;"', {'recipe' : '"&amp;V180&amp;"', 'ingredient' : '"&amp;Z180&amp;"', 'name' : '"&amp;X180&amp;"', 'mass_unit' : '"&amp;AC180&amp;"', 'mass_quantity' : '"&amp;ROUND(AA180,3)&amp;"', 'volume_unit' : '"&amp;AF180&amp;"', 'volume_quantity' : '"&amp;ROUND(AD180,3)&amp;"', 'pieces_unit' : '"&amp;AI180&amp;"', 'pieces_quantity' : '"&amp;ROUND(AG180,3)&amp;"', 'cooking_notes' : '"&amp;AJ180&amp;"'}).status_code; print('%s :: %s :: %s :: %s :: %s' %(a,"&amp;G180&amp;",'"&amp;X180&amp;"','"&amp;Y180&amp;"','"&amp;U180&amp;"'))"</f>
        <v>a = Client().post('/recipes/dahi-bhindi/detail/', {'recipe' : '17', 'ingredient' : '59', 'name' : 'Dahi', 'mass_unit' : '2', 'mass_quantity' : '0', 'volume_unit' : '1', 'volume_quantity' : '20', 'pieces_unit' : '3', 'pieces_quantity' : '0', 'cooking_notes' : ''}).status_code; print('%s :: %s :: %s :: %s :: %s' %(a,180,'Dahi','dahi','Dahi Bhindi'))</v>
      </c>
    </row>
    <row r="181" customFormat="false" ht="13.8" hidden="false" customHeight="false" outlineLevel="0" collapsed="false">
      <c r="G181" s="80" t="n">
        <v>181</v>
      </c>
      <c r="I181" s="82" t="s">
        <v>160</v>
      </c>
      <c r="J181" s="83" t="s">
        <v>32</v>
      </c>
      <c r="M181" s="61" t="n">
        <v>1.25</v>
      </c>
      <c r="N181" s="61" t="s">
        <v>20</v>
      </c>
      <c r="R181" s="82" t="str">
        <f aca="false">VLOOKUP(J181,ingredient!$N$4:$O$553,2,0)</f>
        <v>salt</v>
      </c>
      <c r="U181" s="81" t="str">
        <f aca="false">I181</f>
        <v>Dahi Bhindi</v>
      </c>
      <c r="V181" s="81" t="n">
        <f aca="false">VLOOKUP(U181,recipe_ingred_list!$A$2:$B$300,2,0)</f>
        <v>17</v>
      </c>
      <c r="W181" s="81" t="str">
        <f aca="false">"/recipes/"&amp;VLOOKUP(U181,recipe_ingred_list!$A$2:$C$300,3,0)&amp;"/detail/"</f>
        <v>/recipes/dahi-bhindi/detail/</v>
      </c>
      <c r="X181" s="81" t="str">
        <f aca="false">J181</f>
        <v>Salt</v>
      </c>
      <c r="Y181" s="81" t="str">
        <f aca="false">R181</f>
        <v>salt</v>
      </c>
      <c r="Z181" s="94" t="n">
        <f aca="false">VLOOKUP(Y181,recipe_ingred_list!$D$2:$E$500,2,0)</f>
        <v>177</v>
      </c>
      <c r="AA181" s="61" t="n">
        <f aca="false">K181</f>
        <v>0</v>
      </c>
      <c r="AB181" s="61" t="n">
        <f aca="false">L181</f>
        <v>0</v>
      </c>
      <c r="AC181" s="61" t="n">
        <f aca="false">VLOOKUP(AB181,recipe_ingred_list!$K$2:$M$7,3,0)</f>
        <v>2</v>
      </c>
      <c r="AD181" s="61" t="n">
        <f aca="false">M181</f>
        <v>1.25</v>
      </c>
      <c r="AE181" s="61" t="str">
        <f aca="false">N181</f>
        <v>cup</v>
      </c>
      <c r="AF181" s="61" t="n">
        <f aca="false">VLOOKUP(AE181,recipe_ingred_list!$K$16:$M$25,3,0)</f>
        <v>5</v>
      </c>
      <c r="AG181" s="61" t="n">
        <f aca="false">O181</f>
        <v>0</v>
      </c>
      <c r="AH181" s="61" t="n">
        <f aca="false">P181</f>
        <v>0</v>
      </c>
      <c r="AI181" s="61" t="n">
        <f aca="false">VLOOKUP(AH181,recipe_ingred_list!$K$29:$M$34,3,0)</f>
        <v>3</v>
      </c>
      <c r="AJ181" s="61" t="str">
        <f aca="false">IF(Q181="","",Q181)</f>
        <v/>
      </c>
      <c r="AK181" s="61" t="n">
        <f aca="false">AK180+1</f>
        <v>181</v>
      </c>
      <c r="AL181" s="61" t="str">
        <f aca="false">Y181</f>
        <v>salt</v>
      </c>
      <c r="AM181" s="81" t="str">
        <f aca="false">"a = Client().post('"&amp;W181&amp;"', {'recipe' : '"&amp;V181&amp;"', 'ingredient' : '"&amp;Z181&amp;"', 'name' : '"&amp;X181&amp;"', 'mass_unit' : '"&amp;AC181&amp;"', 'mass_quantity' : '"&amp;ROUND(AA181,3)&amp;"', 'volume_unit' : '"&amp;AF181&amp;"', 'volume_quantity' : '"&amp;ROUND(AD181,3)&amp;"', 'pieces_unit' : '"&amp;AI181&amp;"', 'pieces_quantity' : '"&amp;ROUND(AG181,3)&amp;"', 'cooking_notes' : '"&amp;AJ181&amp;"'}).status_code; print('%s :: %s :: %s :: %s :: %s' %(a,"&amp;G181&amp;",'"&amp;X181&amp;"','"&amp;Y181&amp;"','"&amp;U181&amp;"'))"</f>
        <v>a = Client().post('/recipes/dahi-bhindi/detail/', {'recipe' : '17', 'ingredient' : '177', 'name' : 'Salt', 'mass_unit' : '2', 'mass_quantity' : '0', 'volume_unit' : '5', 'volume_quantity' : '1.25', 'pieces_unit' : '3', 'pieces_quantity' : '0', 'cooking_notes' : ''}).status_code; print('%s :: %s :: %s :: %s :: %s' %(a,181,'Salt','salt','Dahi Bhindi'))</v>
      </c>
    </row>
    <row r="182" customFormat="false" ht="13.8" hidden="false" customHeight="false" outlineLevel="0" collapsed="false">
      <c r="G182" s="80" t="n">
        <v>182</v>
      </c>
      <c r="I182" s="82" t="s">
        <v>160</v>
      </c>
      <c r="J182" s="83" t="s">
        <v>571</v>
      </c>
      <c r="M182" s="61" t="n">
        <v>3</v>
      </c>
      <c r="N182" s="61" t="s">
        <v>20</v>
      </c>
      <c r="R182" s="82" t="str">
        <f aca="false">VLOOKUP(J182,ingredient!$N$4:$O$553,2,0)</f>
        <v>sugar</v>
      </c>
      <c r="U182" s="81" t="str">
        <f aca="false">I182</f>
        <v>Dahi Bhindi</v>
      </c>
      <c r="V182" s="81" t="n">
        <f aca="false">VLOOKUP(U182,recipe_ingred_list!$A$2:$B$300,2,0)</f>
        <v>17</v>
      </c>
      <c r="W182" s="81" t="str">
        <f aca="false">"/recipes/"&amp;VLOOKUP(U182,recipe_ingred_list!$A$2:$C$300,3,0)&amp;"/detail/"</f>
        <v>/recipes/dahi-bhindi/detail/</v>
      </c>
      <c r="X182" s="81" t="str">
        <f aca="false">J182</f>
        <v>Sugar</v>
      </c>
      <c r="Y182" s="81" t="str">
        <f aca="false">R182</f>
        <v>sugar</v>
      </c>
      <c r="Z182" s="94" t="n">
        <f aca="false">VLOOKUP(Y182,recipe_ingred_list!$D$2:$E$500,2,0)</f>
        <v>187</v>
      </c>
      <c r="AA182" s="61" t="n">
        <f aca="false">K182</f>
        <v>0</v>
      </c>
      <c r="AB182" s="61" t="n">
        <f aca="false">L182</f>
        <v>0</v>
      </c>
      <c r="AC182" s="61" t="n">
        <f aca="false">VLOOKUP(AB182,recipe_ingred_list!$K$2:$M$7,3,0)</f>
        <v>2</v>
      </c>
      <c r="AD182" s="61" t="n">
        <f aca="false">M182</f>
        <v>3</v>
      </c>
      <c r="AE182" s="61" t="str">
        <f aca="false">N182</f>
        <v>cup</v>
      </c>
      <c r="AF182" s="61" t="n">
        <f aca="false">VLOOKUP(AE182,recipe_ingred_list!$K$16:$M$25,3,0)</f>
        <v>5</v>
      </c>
      <c r="AG182" s="61" t="n">
        <f aca="false">O182</f>
        <v>0</v>
      </c>
      <c r="AH182" s="61" t="n">
        <f aca="false">P182</f>
        <v>0</v>
      </c>
      <c r="AI182" s="61" t="n">
        <f aca="false">VLOOKUP(AH182,recipe_ingred_list!$K$29:$M$34,3,0)</f>
        <v>3</v>
      </c>
      <c r="AJ182" s="61" t="str">
        <f aca="false">IF(Q182="","",Q182)</f>
        <v/>
      </c>
      <c r="AK182" s="61" t="n">
        <f aca="false">AK181+1</f>
        <v>182</v>
      </c>
      <c r="AL182" s="61" t="str">
        <f aca="false">Y182</f>
        <v>sugar</v>
      </c>
      <c r="AM182" s="81" t="str">
        <f aca="false">"a = Client().post('"&amp;W182&amp;"', {'recipe' : '"&amp;V182&amp;"', 'ingredient' : '"&amp;Z182&amp;"', 'name' : '"&amp;X182&amp;"', 'mass_unit' : '"&amp;AC182&amp;"', 'mass_quantity' : '"&amp;ROUND(AA182,3)&amp;"', 'volume_unit' : '"&amp;AF182&amp;"', 'volume_quantity' : '"&amp;ROUND(AD182,3)&amp;"', 'pieces_unit' : '"&amp;AI182&amp;"', 'pieces_quantity' : '"&amp;ROUND(AG182,3)&amp;"', 'cooking_notes' : '"&amp;AJ182&amp;"'}).status_code; print('%s :: %s :: %s :: %s :: %s' %(a,"&amp;G182&amp;",'"&amp;X182&amp;"','"&amp;Y182&amp;"','"&amp;U182&amp;"'))"</f>
        <v>a = Client().post('/recipes/dahi-bhindi/detail/', {'recipe' : '17', 'ingredient' : '187', 'name' : 'Sugar', 'mass_unit' : '2', 'mass_quantity' : '0', 'volume_unit' : '5', 'volume_quantity' : '3', 'pieces_unit' : '3', 'pieces_quantity' : '0', 'cooking_notes' : ''}).status_code; print('%s :: %s :: %s :: %s :: %s' %(a,182,'Sugar','sugar','Dahi Bhindi'))</v>
      </c>
    </row>
    <row r="183" customFormat="false" ht="13.8" hidden="false" customHeight="false" outlineLevel="0" collapsed="false">
      <c r="G183" s="80" t="n">
        <v>183</v>
      </c>
      <c r="I183" s="82" t="s">
        <v>160</v>
      </c>
      <c r="J183" s="83" t="s">
        <v>581</v>
      </c>
      <c r="M183" s="61" t="n">
        <v>0.4</v>
      </c>
      <c r="N183" s="61" t="s">
        <v>20</v>
      </c>
      <c r="R183" s="82" t="str">
        <f aca="false">VLOOKUP(J183,ingredient!$N$4:$O$553,2,0)</f>
        <v>madrasi mirchi akkaha</v>
      </c>
      <c r="U183" s="81" t="str">
        <f aca="false">I183</f>
        <v>Dahi Bhindi</v>
      </c>
      <c r="V183" s="81" t="n">
        <f aca="false">VLOOKUP(U183,recipe_ingred_list!$A$2:$B$300,2,0)</f>
        <v>17</v>
      </c>
      <c r="W183" s="81" t="str">
        <f aca="false">"/recipes/"&amp;VLOOKUP(U183,recipe_ingred_list!$A$2:$C$300,3,0)&amp;"/detail/"</f>
        <v>/recipes/dahi-bhindi/detail/</v>
      </c>
      <c r="X183" s="81" t="str">
        <f aca="false">J183</f>
        <v>Roasted chilly powder</v>
      </c>
      <c r="Y183" s="81" t="str">
        <f aca="false">R183</f>
        <v>madrasi mirchi akkaha</v>
      </c>
      <c r="Z183" s="94" t="n">
        <f aca="false">VLOOKUP(Y183,recipe_ingred_list!$D$2:$E$500,2,0)</f>
        <v>134</v>
      </c>
      <c r="AA183" s="61" t="n">
        <f aca="false">K183</f>
        <v>0</v>
      </c>
      <c r="AB183" s="61" t="n">
        <f aca="false">L183</f>
        <v>0</v>
      </c>
      <c r="AC183" s="61" t="n">
        <f aca="false">VLOOKUP(AB183,recipe_ingred_list!$K$2:$M$7,3,0)</f>
        <v>2</v>
      </c>
      <c r="AD183" s="61" t="n">
        <f aca="false">M183</f>
        <v>0.4</v>
      </c>
      <c r="AE183" s="61" t="str">
        <f aca="false">N183</f>
        <v>cup</v>
      </c>
      <c r="AF183" s="61" t="n">
        <f aca="false">VLOOKUP(AE183,recipe_ingred_list!$K$16:$M$25,3,0)</f>
        <v>5</v>
      </c>
      <c r="AG183" s="61" t="n">
        <f aca="false">O183</f>
        <v>0</v>
      </c>
      <c r="AH183" s="61" t="n">
        <f aca="false">P183</f>
        <v>0</v>
      </c>
      <c r="AI183" s="61" t="n">
        <f aca="false">VLOOKUP(AH183,recipe_ingred_list!$K$29:$M$34,3,0)</f>
        <v>3</v>
      </c>
      <c r="AJ183" s="61" t="str">
        <f aca="false">IF(Q183="","",Q183)</f>
        <v/>
      </c>
      <c r="AK183" s="61" t="n">
        <f aca="false">AK182+1</f>
        <v>183</v>
      </c>
      <c r="AL183" s="61" t="str">
        <f aca="false">Y183</f>
        <v>madrasi mirchi akkaha</v>
      </c>
      <c r="AM183" s="81" t="str">
        <f aca="false">"a = Client().post('"&amp;W183&amp;"', {'recipe' : '"&amp;V183&amp;"', 'ingredient' : '"&amp;Z183&amp;"', 'name' : '"&amp;X183&amp;"', 'mass_unit' : '"&amp;AC183&amp;"', 'mass_quantity' : '"&amp;ROUND(AA183,3)&amp;"', 'volume_unit' : '"&amp;AF183&amp;"', 'volume_quantity' : '"&amp;ROUND(AD183,3)&amp;"', 'pieces_unit' : '"&amp;AI183&amp;"', 'pieces_quantity' : '"&amp;ROUND(AG183,3)&amp;"', 'cooking_notes' : '"&amp;AJ183&amp;"'}).status_code; print('%s :: %s :: %s :: %s :: %s' %(a,"&amp;G183&amp;",'"&amp;X183&amp;"','"&amp;Y183&amp;"','"&amp;U183&amp;"'))"</f>
        <v>a = Client().post('/recipes/dahi-bhindi/detail/', {'recipe' : '17', 'ingredient' : '134', 'name' : 'Roasted chilly powder', 'mass_unit' : '2', 'mass_quantity' : '0', 'volume_unit' : '5', 'volume_quantity' : '0.4', 'pieces_unit' : '3', 'pieces_quantity' : '0', 'cooking_notes' : ''}).status_code; print('%s :: %s :: %s :: %s :: %s' %(a,183,'Roasted chilly powder','madrasi mirchi akkaha','Dahi Bhindi'))</v>
      </c>
    </row>
    <row r="184" customFormat="false" ht="13.8" hidden="false" customHeight="false" outlineLevel="0" collapsed="false">
      <c r="G184" s="80" t="n">
        <v>184</v>
      </c>
      <c r="I184" s="82" t="s">
        <v>160</v>
      </c>
      <c r="J184" s="83" t="s">
        <v>582</v>
      </c>
      <c r="M184" s="61" t="n">
        <v>2.5</v>
      </c>
      <c r="N184" s="61" t="s">
        <v>20</v>
      </c>
      <c r="R184" s="82" t="str">
        <f aca="false">VLOOKUP(J184,ingredient!$N$4:$O$553,2,0)</f>
        <v>jeera</v>
      </c>
      <c r="U184" s="81" t="str">
        <f aca="false">I184</f>
        <v>Dahi Bhindi</v>
      </c>
      <c r="V184" s="81" t="n">
        <f aca="false">VLOOKUP(U184,recipe_ingred_list!$A$2:$B$300,2,0)</f>
        <v>17</v>
      </c>
      <c r="W184" s="81" t="str">
        <f aca="false">"/recipes/"&amp;VLOOKUP(U184,recipe_ingred_list!$A$2:$C$300,3,0)&amp;"/detail/"</f>
        <v>/recipes/dahi-bhindi/detail/</v>
      </c>
      <c r="X184" s="81" t="str">
        <f aca="false">J184</f>
        <v>Roasted jeera powder</v>
      </c>
      <c r="Y184" s="81" t="str">
        <f aca="false">R184</f>
        <v>jeera</v>
      </c>
      <c r="Z184" s="94" t="n">
        <f aca="false">VLOOKUP(Y184,recipe_ingred_list!$D$2:$E$500,2,0)</f>
        <v>102</v>
      </c>
      <c r="AA184" s="61" t="n">
        <f aca="false">K184</f>
        <v>0</v>
      </c>
      <c r="AB184" s="61" t="n">
        <f aca="false">L184</f>
        <v>0</v>
      </c>
      <c r="AC184" s="61" t="n">
        <f aca="false">VLOOKUP(AB184,recipe_ingred_list!$K$2:$M$7,3,0)</f>
        <v>2</v>
      </c>
      <c r="AD184" s="61" t="n">
        <f aca="false">M184</f>
        <v>2.5</v>
      </c>
      <c r="AE184" s="61" t="str">
        <f aca="false">N184</f>
        <v>cup</v>
      </c>
      <c r="AF184" s="61" t="n">
        <f aca="false">VLOOKUP(AE184,recipe_ingred_list!$K$16:$M$25,3,0)</f>
        <v>5</v>
      </c>
      <c r="AG184" s="61" t="n">
        <f aca="false">O184</f>
        <v>0</v>
      </c>
      <c r="AH184" s="61" t="n">
        <f aca="false">P184</f>
        <v>0</v>
      </c>
      <c r="AI184" s="61" t="n">
        <f aca="false">VLOOKUP(AH184,recipe_ingred_list!$K$29:$M$34,3,0)</f>
        <v>3</v>
      </c>
      <c r="AJ184" s="61" t="str">
        <f aca="false">IF(Q184="","",Q184)</f>
        <v/>
      </c>
      <c r="AK184" s="61" t="n">
        <f aca="false">AK183+1</f>
        <v>184</v>
      </c>
      <c r="AL184" s="61" t="str">
        <f aca="false">Y184</f>
        <v>jeera</v>
      </c>
      <c r="AM184" s="81" t="str">
        <f aca="false">"a = Client().post('"&amp;W184&amp;"', {'recipe' : '"&amp;V184&amp;"', 'ingredient' : '"&amp;Z184&amp;"', 'name' : '"&amp;X184&amp;"', 'mass_unit' : '"&amp;AC184&amp;"', 'mass_quantity' : '"&amp;ROUND(AA184,3)&amp;"', 'volume_unit' : '"&amp;AF184&amp;"', 'volume_quantity' : '"&amp;ROUND(AD184,3)&amp;"', 'pieces_unit' : '"&amp;AI184&amp;"', 'pieces_quantity' : '"&amp;ROUND(AG184,3)&amp;"', 'cooking_notes' : '"&amp;AJ184&amp;"'}).status_code; print('%s :: %s :: %s :: %s :: %s' %(a,"&amp;G184&amp;",'"&amp;X184&amp;"','"&amp;Y184&amp;"','"&amp;U184&amp;"'))"</f>
        <v>a = Client().post('/recipes/dahi-bhindi/detail/', {'recipe' : '17', 'ingredient' : '102', 'name' : 'Roasted jeera powder', 'mass_unit' : '2', 'mass_quantity' : '0', 'volume_unit' : '5', 'volume_quantity' : '2.5', 'pieces_unit' : '3', 'pieces_quantity' : '0', 'cooking_notes' : ''}).status_code; print('%s :: %s :: %s :: %s :: %s' %(a,184,'Roasted jeera powder','jeera','Dahi Bhindi'))</v>
      </c>
    </row>
    <row r="185" customFormat="false" ht="13.8" hidden="false" customHeight="false" outlineLevel="0" collapsed="false">
      <c r="G185" s="80" t="n">
        <v>185</v>
      </c>
      <c r="I185" s="82" t="s">
        <v>160</v>
      </c>
      <c r="J185" s="83" t="s">
        <v>583</v>
      </c>
      <c r="M185" s="61" t="n">
        <v>0.4</v>
      </c>
      <c r="N185" s="61" t="s">
        <v>20</v>
      </c>
      <c r="R185" s="82" t="str">
        <f aca="false">VLOOKUP(J185,ingredient!$N$4:$O$553,2,0)</f>
        <v>soonth</v>
      </c>
      <c r="U185" s="81" t="str">
        <f aca="false">I185</f>
        <v>Dahi Bhindi</v>
      </c>
      <c r="V185" s="81" t="n">
        <f aca="false">VLOOKUP(U185,recipe_ingred_list!$A$2:$B$300,2,0)</f>
        <v>17</v>
      </c>
      <c r="W185" s="81" t="str">
        <f aca="false">"/recipes/"&amp;VLOOKUP(U185,recipe_ingred_list!$A$2:$C$300,3,0)&amp;"/detail/"</f>
        <v>/recipes/dahi-bhindi/detail/</v>
      </c>
      <c r="X185" s="81" t="str">
        <f aca="false">J185</f>
        <v>Soonth</v>
      </c>
      <c r="Y185" s="81" t="str">
        <f aca="false">R185</f>
        <v>soonth</v>
      </c>
      <c r="Z185" s="94" t="n">
        <f aca="false">VLOOKUP(Y185,recipe_ingred_list!$D$2:$E$500,2,0)</f>
        <v>184</v>
      </c>
      <c r="AA185" s="61" t="n">
        <f aca="false">K185</f>
        <v>0</v>
      </c>
      <c r="AB185" s="61" t="n">
        <f aca="false">L185</f>
        <v>0</v>
      </c>
      <c r="AC185" s="61" t="n">
        <f aca="false">VLOOKUP(AB185,recipe_ingred_list!$K$2:$M$7,3,0)</f>
        <v>2</v>
      </c>
      <c r="AD185" s="61" t="n">
        <f aca="false">M185</f>
        <v>0.4</v>
      </c>
      <c r="AE185" s="61" t="str">
        <f aca="false">N185</f>
        <v>cup</v>
      </c>
      <c r="AF185" s="61" t="n">
        <f aca="false">VLOOKUP(AE185,recipe_ingred_list!$K$16:$M$25,3,0)</f>
        <v>5</v>
      </c>
      <c r="AG185" s="61" t="n">
        <f aca="false">O185</f>
        <v>0</v>
      </c>
      <c r="AH185" s="61" t="n">
        <f aca="false">P185</f>
        <v>0</v>
      </c>
      <c r="AI185" s="61" t="n">
        <f aca="false">VLOOKUP(AH185,recipe_ingred_list!$K$29:$M$34,3,0)</f>
        <v>3</v>
      </c>
      <c r="AJ185" s="61" t="str">
        <f aca="false">IF(Q185="","",Q185)</f>
        <v/>
      </c>
      <c r="AK185" s="61" t="n">
        <f aca="false">AK184+1</f>
        <v>185</v>
      </c>
      <c r="AL185" s="61" t="str">
        <f aca="false">Y185</f>
        <v>soonth</v>
      </c>
      <c r="AM185" s="81" t="str">
        <f aca="false">"a = Client().post('"&amp;W185&amp;"', {'recipe' : '"&amp;V185&amp;"', 'ingredient' : '"&amp;Z185&amp;"', 'name' : '"&amp;X185&amp;"', 'mass_unit' : '"&amp;AC185&amp;"', 'mass_quantity' : '"&amp;ROUND(AA185,3)&amp;"', 'volume_unit' : '"&amp;AF185&amp;"', 'volume_quantity' : '"&amp;ROUND(AD185,3)&amp;"', 'pieces_unit' : '"&amp;AI185&amp;"', 'pieces_quantity' : '"&amp;ROUND(AG185,3)&amp;"', 'cooking_notes' : '"&amp;AJ185&amp;"'}).status_code; print('%s :: %s :: %s :: %s :: %s' %(a,"&amp;G185&amp;",'"&amp;X185&amp;"','"&amp;Y185&amp;"','"&amp;U185&amp;"'))"</f>
        <v>a = Client().post('/recipes/dahi-bhindi/detail/', {'recipe' : '17', 'ingredient' : '184', 'name' : 'Soonth', 'mass_unit' : '2', 'mass_quantity' : '0', 'volume_unit' : '5', 'volume_quantity' : '0.4', 'pieces_unit' : '3', 'pieces_quantity' : '0', 'cooking_notes' : ''}).status_code; print('%s :: %s :: %s :: %s :: %s' %(a,185,'Soonth','soonth','Dahi Bhindi'))</v>
      </c>
    </row>
    <row r="186" customFormat="false" ht="13.8" hidden="false" customHeight="false" outlineLevel="0" collapsed="false">
      <c r="G186" s="80" t="n">
        <v>186</v>
      </c>
      <c r="I186" s="82" t="s">
        <v>160</v>
      </c>
      <c r="J186" s="83" t="s">
        <v>584</v>
      </c>
      <c r="R186" s="82" t="str">
        <f aca="false">VLOOKUP(J186,ingredient!$N$4:$O$553,2,0)</f>
        <v>chaunce</v>
      </c>
      <c r="U186" s="81" t="str">
        <f aca="false">I186</f>
        <v>Dahi Bhindi</v>
      </c>
      <c r="V186" s="81" t="n">
        <f aca="false">VLOOKUP(U186,recipe_ingred_list!$A$2:$B$300,2,0)</f>
        <v>17</v>
      </c>
      <c r="W186" s="81" t="str">
        <f aca="false">"/recipes/"&amp;VLOOKUP(U186,recipe_ingred_list!$A$2:$C$300,3,0)&amp;"/detail/"</f>
        <v>/recipes/dahi-bhindi/detail/</v>
      </c>
      <c r="X186" s="81" t="str">
        <f aca="false">J186</f>
        <v>Chaunce</v>
      </c>
      <c r="Y186" s="81" t="str">
        <f aca="false">R186</f>
        <v>chaunce</v>
      </c>
      <c r="Z186" s="94" t="n">
        <f aca="false">VLOOKUP(Y186,recipe_ingred_list!$D$2:$E$500,2,0)</f>
        <v>48</v>
      </c>
      <c r="AA186" s="61" t="n">
        <f aca="false">K186</f>
        <v>0</v>
      </c>
      <c r="AB186" s="61" t="n">
        <f aca="false">L186</f>
        <v>0</v>
      </c>
      <c r="AC186" s="61" t="n">
        <f aca="false">VLOOKUP(AB186,recipe_ingred_list!$K$2:$M$7,3,0)</f>
        <v>2</v>
      </c>
      <c r="AD186" s="61" t="n">
        <f aca="false">M186</f>
        <v>0</v>
      </c>
      <c r="AE186" s="61" t="n">
        <f aca="false">N186</f>
        <v>0</v>
      </c>
      <c r="AF186" s="61" t="n">
        <f aca="false">VLOOKUP(AE186,recipe_ingred_list!$K$16:$M$25,3,0)</f>
        <v>1</v>
      </c>
      <c r="AG186" s="61" t="n">
        <f aca="false">O186</f>
        <v>0</v>
      </c>
      <c r="AH186" s="61" t="n">
        <f aca="false">P186</f>
        <v>0</v>
      </c>
      <c r="AI186" s="61" t="n">
        <f aca="false">VLOOKUP(AH186,recipe_ingred_list!$K$29:$M$34,3,0)</f>
        <v>3</v>
      </c>
      <c r="AJ186" s="61" t="str">
        <f aca="false">IF(Q186="","",Q186)</f>
        <v/>
      </c>
      <c r="AK186" s="61" t="n">
        <f aca="false">AK185+1</f>
        <v>186</v>
      </c>
      <c r="AL186" s="61" t="str">
        <f aca="false">Y186</f>
        <v>chaunce</v>
      </c>
      <c r="AM186" s="81" t="str">
        <f aca="false">"a = Client().post('"&amp;W186&amp;"', {'recipe' : '"&amp;V186&amp;"', 'ingredient' : '"&amp;Z186&amp;"', 'name' : '"&amp;X186&amp;"', 'mass_unit' : '"&amp;AC186&amp;"', 'mass_quantity' : '"&amp;ROUND(AA186,3)&amp;"', 'volume_unit' : '"&amp;AF186&amp;"', 'volume_quantity' : '"&amp;ROUND(AD186,3)&amp;"', 'pieces_unit' : '"&amp;AI186&amp;"', 'pieces_quantity' : '"&amp;ROUND(AG186,3)&amp;"', 'cooking_notes' : '"&amp;AJ186&amp;"'}).status_code; print('%s :: %s :: %s :: %s :: %s' %(a,"&amp;G186&amp;",'"&amp;X186&amp;"','"&amp;Y186&amp;"','"&amp;U186&amp;"'))"</f>
        <v>a = Client().post('/recipes/dahi-bhindi/detail/', {'recipe' : '17', 'ingredient' : '48', 'name' : 'Chaunce', 'mass_unit' : '2', 'mass_quantity' : '0', 'volume_unit' : '1', 'volume_quantity' : '0', 'pieces_unit' : '3', 'pieces_quantity' : '0', 'cooking_notes' : ''}).status_code; print('%s :: %s :: %s :: %s :: %s' %(a,186,'Chaunce','chaunce','Dahi Bhindi'))</v>
      </c>
    </row>
    <row r="187" customFormat="false" ht="13.8" hidden="false" customHeight="false" outlineLevel="0" collapsed="false">
      <c r="G187" s="80" t="n">
        <v>187</v>
      </c>
      <c r="I187" s="82" t="s">
        <v>160</v>
      </c>
      <c r="J187" s="83" t="s">
        <v>585</v>
      </c>
      <c r="M187" s="61" t="n">
        <v>1.25</v>
      </c>
      <c r="N187" s="61" t="s">
        <v>13</v>
      </c>
      <c r="R187" s="82" t="str">
        <f aca="false">VLOOKUP(J187,ingredient!$N$4:$O$553,2,0)</f>
        <v>rai oil</v>
      </c>
      <c r="U187" s="81" t="str">
        <f aca="false">I187</f>
        <v>Dahi Bhindi</v>
      </c>
      <c r="V187" s="81" t="n">
        <f aca="false">VLOOKUP(U187,recipe_ingred_list!$A$2:$B$300,2,0)</f>
        <v>17</v>
      </c>
      <c r="W187" s="81" t="str">
        <f aca="false">"/recipes/"&amp;VLOOKUP(U187,recipe_ingred_list!$A$2:$C$300,3,0)&amp;"/detail/"</f>
        <v>/recipes/dahi-bhindi/detail/</v>
      </c>
      <c r="X187" s="81" t="str">
        <f aca="false">J187</f>
        <v>Rai tel</v>
      </c>
      <c r="Y187" s="81" t="str">
        <f aca="false">R187</f>
        <v>rai oil</v>
      </c>
      <c r="Z187" s="94" t="n">
        <f aca="false">VLOOKUP(Y187,recipe_ingred_list!$D$2:$E$500,2,0)</f>
        <v>165</v>
      </c>
      <c r="AA187" s="61" t="n">
        <f aca="false">K187</f>
        <v>0</v>
      </c>
      <c r="AB187" s="61" t="n">
        <f aca="false">L187</f>
        <v>0</v>
      </c>
      <c r="AC187" s="61" t="n">
        <f aca="false">VLOOKUP(AB187,recipe_ingred_list!$K$2:$M$7,3,0)</f>
        <v>2</v>
      </c>
      <c r="AD187" s="61" t="n">
        <f aca="false">M187</f>
        <v>1.25</v>
      </c>
      <c r="AE187" s="61" t="str">
        <f aca="false">N187</f>
        <v>ltr</v>
      </c>
      <c r="AF187" s="61" t="n">
        <f aca="false">VLOOKUP(AE187,recipe_ingred_list!$K$16:$M$25,3,0)</f>
        <v>1</v>
      </c>
      <c r="AG187" s="61" t="n">
        <f aca="false">O187</f>
        <v>0</v>
      </c>
      <c r="AH187" s="61" t="n">
        <f aca="false">P187</f>
        <v>0</v>
      </c>
      <c r="AI187" s="61" t="n">
        <f aca="false">VLOOKUP(AH187,recipe_ingred_list!$K$29:$M$34,3,0)</f>
        <v>3</v>
      </c>
      <c r="AJ187" s="61" t="str">
        <f aca="false">IF(Q187="","",Q187)</f>
        <v/>
      </c>
      <c r="AK187" s="61" t="n">
        <f aca="false">AK186+1</f>
        <v>187</v>
      </c>
      <c r="AL187" s="61" t="str">
        <f aca="false">Y187</f>
        <v>rai oil</v>
      </c>
      <c r="AM187" s="81" t="str">
        <f aca="false">"a = Client().post('"&amp;W187&amp;"', {'recipe' : '"&amp;V187&amp;"', 'ingredient' : '"&amp;Z187&amp;"', 'name' : '"&amp;X187&amp;"', 'mass_unit' : '"&amp;AC187&amp;"', 'mass_quantity' : '"&amp;ROUND(AA187,3)&amp;"', 'volume_unit' : '"&amp;AF187&amp;"', 'volume_quantity' : '"&amp;ROUND(AD187,3)&amp;"', 'pieces_unit' : '"&amp;AI187&amp;"', 'pieces_quantity' : '"&amp;ROUND(AG187,3)&amp;"', 'cooking_notes' : '"&amp;AJ187&amp;"'}).status_code; print('%s :: %s :: %s :: %s :: %s' %(a,"&amp;G187&amp;",'"&amp;X187&amp;"','"&amp;Y187&amp;"','"&amp;U187&amp;"'))"</f>
        <v>a = Client().post('/recipes/dahi-bhindi/detail/', {'recipe' : '17', 'ingredient' : '165', 'name' : 'Rai tel', 'mass_unit' : '2', 'mass_quantity' : '0', 'volume_unit' : '1', 'volume_quantity' : '1.25', 'pieces_unit' : '3', 'pieces_quantity' : '0', 'cooking_notes' : ''}).status_code; print('%s :: %s :: %s :: %s :: %s' %(a,187,'Rai tel','rai oil','Dahi Bhindi'))</v>
      </c>
    </row>
    <row r="188" customFormat="false" ht="13.8" hidden="false" customHeight="false" outlineLevel="0" collapsed="false">
      <c r="G188" s="80" t="n">
        <v>188</v>
      </c>
      <c r="I188" s="82" t="s">
        <v>160</v>
      </c>
      <c r="J188" s="83" t="s">
        <v>570</v>
      </c>
      <c r="M188" s="61" t="n">
        <v>0.5</v>
      </c>
      <c r="N188" s="61" t="s">
        <v>20</v>
      </c>
      <c r="R188" s="82" t="str">
        <f aca="false">VLOOKUP(J188,ingredient!$N$4:$O$553,2,0)</f>
        <v>rai</v>
      </c>
      <c r="U188" s="81" t="str">
        <f aca="false">I188</f>
        <v>Dahi Bhindi</v>
      </c>
      <c r="V188" s="81" t="n">
        <f aca="false">VLOOKUP(U188,recipe_ingred_list!$A$2:$B$300,2,0)</f>
        <v>17</v>
      </c>
      <c r="W188" s="81" t="str">
        <f aca="false">"/recipes/"&amp;VLOOKUP(U188,recipe_ingred_list!$A$2:$C$300,3,0)&amp;"/detail/"</f>
        <v>/recipes/dahi-bhindi/detail/</v>
      </c>
      <c r="X188" s="81" t="str">
        <f aca="false">J188</f>
        <v>Rai</v>
      </c>
      <c r="Y188" s="81" t="str">
        <f aca="false">R188</f>
        <v>rai</v>
      </c>
      <c r="Z188" s="94" t="n">
        <f aca="false">VLOOKUP(Y188,recipe_ingred_list!$D$2:$E$500,2,0)</f>
        <v>164</v>
      </c>
      <c r="AA188" s="61" t="n">
        <f aca="false">K188</f>
        <v>0</v>
      </c>
      <c r="AB188" s="61" t="n">
        <f aca="false">L188</f>
        <v>0</v>
      </c>
      <c r="AC188" s="61" t="n">
        <f aca="false">VLOOKUP(AB188,recipe_ingred_list!$K$2:$M$7,3,0)</f>
        <v>2</v>
      </c>
      <c r="AD188" s="61" t="n">
        <f aca="false">M188</f>
        <v>0.5</v>
      </c>
      <c r="AE188" s="61" t="str">
        <f aca="false">N188</f>
        <v>cup</v>
      </c>
      <c r="AF188" s="61" t="n">
        <f aca="false">VLOOKUP(AE188,recipe_ingred_list!$K$16:$M$25,3,0)</f>
        <v>5</v>
      </c>
      <c r="AG188" s="61" t="n">
        <f aca="false">O188</f>
        <v>0</v>
      </c>
      <c r="AH188" s="61" t="n">
        <f aca="false">P188</f>
        <v>0</v>
      </c>
      <c r="AI188" s="61" t="n">
        <f aca="false">VLOOKUP(AH188,recipe_ingred_list!$K$29:$M$34,3,0)</f>
        <v>3</v>
      </c>
      <c r="AJ188" s="61" t="str">
        <f aca="false">IF(Q188="","",Q188)</f>
        <v/>
      </c>
      <c r="AK188" s="61" t="n">
        <f aca="false">AK187+1</f>
        <v>188</v>
      </c>
      <c r="AL188" s="61" t="str">
        <f aca="false">Y188</f>
        <v>rai</v>
      </c>
      <c r="AM188" s="81" t="str">
        <f aca="false">"a = Client().post('"&amp;W188&amp;"', {'recipe' : '"&amp;V188&amp;"', 'ingredient' : '"&amp;Z188&amp;"', 'name' : '"&amp;X188&amp;"', 'mass_unit' : '"&amp;AC188&amp;"', 'mass_quantity' : '"&amp;ROUND(AA188,3)&amp;"', 'volume_unit' : '"&amp;AF188&amp;"', 'volume_quantity' : '"&amp;ROUND(AD188,3)&amp;"', 'pieces_unit' : '"&amp;AI188&amp;"', 'pieces_quantity' : '"&amp;ROUND(AG188,3)&amp;"', 'cooking_notes' : '"&amp;AJ188&amp;"'}).status_code; print('%s :: %s :: %s :: %s :: %s' %(a,"&amp;G188&amp;",'"&amp;X188&amp;"','"&amp;Y188&amp;"','"&amp;U188&amp;"'))"</f>
        <v>a = Client().post('/recipes/dahi-bhindi/detail/', {'recipe' : '17', 'ingredient' : '164', 'name' : 'Rai', 'mass_unit' : '2', 'mass_quantity' : '0', 'volume_unit' : '5', 'volume_quantity' : '0.5', 'pieces_unit' : '3', 'pieces_quantity' : '0', 'cooking_notes' : ''}).status_code; print('%s :: %s :: %s :: %s :: %s' %(a,188,'Rai','rai','Dahi Bhindi'))</v>
      </c>
    </row>
    <row r="189" customFormat="false" ht="13.8" hidden="false" customHeight="false" outlineLevel="0" collapsed="false">
      <c r="G189" s="80" t="n">
        <v>189</v>
      </c>
      <c r="I189" s="82" t="s">
        <v>160</v>
      </c>
      <c r="J189" s="83" t="s">
        <v>562</v>
      </c>
      <c r="M189" s="61" t="n">
        <v>0.25</v>
      </c>
      <c r="N189" s="61" t="s">
        <v>20</v>
      </c>
      <c r="R189" s="82" t="str">
        <f aca="false">VLOOKUP(J189,ingredient!$N$4:$O$553,2,0)</f>
        <v>hing</v>
      </c>
      <c r="U189" s="81" t="str">
        <f aca="false">I189</f>
        <v>Dahi Bhindi</v>
      </c>
      <c r="V189" s="81" t="n">
        <f aca="false">VLOOKUP(U189,recipe_ingred_list!$A$2:$B$300,2,0)</f>
        <v>17</v>
      </c>
      <c r="W189" s="81" t="str">
        <f aca="false">"/recipes/"&amp;VLOOKUP(U189,recipe_ingred_list!$A$2:$C$300,3,0)&amp;"/detail/"</f>
        <v>/recipes/dahi-bhindi/detail/</v>
      </c>
      <c r="X189" s="81" t="str">
        <f aca="false">J189</f>
        <v>Hing</v>
      </c>
      <c r="Y189" s="81" t="str">
        <f aca="false">R189</f>
        <v>hing</v>
      </c>
      <c r="Z189" s="94" t="n">
        <f aca="false">VLOOKUP(Y189,recipe_ingred_list!$D$2:$E$500,2,0)</f>
        <v>95</v>
      </c>
      <c r="AA189" s="61" t="n">
        <f aca="false">K189</f>
        <v>0</v>
      </c>
      <c r="AB189" s="61" t="n">
        <f aca="false">L189</f>
        <v>0</v>
      </c>
      <c r="AC189" s="61" t="n">
        <f aca="false">VLOOKUP(AB189,recipe_ingred_list!$K$2:$M$7,3,0)</f>
        <v>2</v>
      </c>
      <c r="AD189" s="61" t="n">
        <f aca="false">M189</f>
        <v>0.25</v>
      </c>
      <c r="AE189" s="61" t="str">
        <f aca="false">N189</f>
        <v>cup</v>
      </c>
      <c r="AF189" s="61" t="n">
        <f aca="false">VLOOKUP(AE189,recipe_ingred_list!$K$16:$M$25,3,0)</f>
        <v>5</v>
      </c>
      <c r="AG189" s="61" t="n">
        <f aca="false">O189</f>
        <v>0</v>
      </c>
      <c r="AH189" s="61" t="n">
        <f aca="false">P189</f>
        <v>0</v>
      </c>
      <c r="AI189" s="61" t="n">
        <f aca="false">VLOOKUP(AH189,recipe_ingred_list!$K$29:$M$34,3,0)</f>
        <v>3</v>
      </c>
      <c r="AJ189" s="61" t="str">
        <f aca="false">IF(Q189="","",Q189)</f>
        <v/>
      </c>
      <c r="AK189" s="61" t="n">
        <f aca="false">AK188+1</f>
        <v>189</v>
      </c>
      <c r="AL189" s="61" t="str">
        <f aca="false">Y189</f>
        <v>hing</v>
      </c>
      <c r="AM189" s="81" t="str">
        <f aca="false">"a = Client().post('"&amp;W189&amp;"', {'recipe' : '"&amp;V189&amp;"', 'ingredient' : '"&amp;Z189&amp;"', 'name' : '"&amp;X189&amp;"', 'mass_unit' : '"&amp;AC189&amp;"', 'mass_quantity' : '"&amp;ROUND(AA189,3)&amp;"', 'volume_unit' : '"&amp;AF189&amp;"', 'volume_quantity' : '"&amp;ROUND(AD189,3)&amp;"', 'pieces_unit' : '"&amp;AI189&amp;"', 'pieces_quantity' : '"&amp;ROUND(AG189,3)&amp;"', 'cooking_notes' : '"&amp;AJ189&amp;"'}).status_code; print('%s :: %s :: %s :: %s :: %s' %(a,"&amp;G189&amp;",'"&amp;X189&amp;"','"&amp;Y189&amp;"','"&amp;U189&amp;"'))"</f>
        <v>a = Client().post('/recipes/dahi-bhindi/detail/', {'recipe' : '17', 'ingredient' : '95', 'name' : 'Hing', 'mass_unit' : '2', 'mass_quantity' : '0', 'volume_unit' : '5', 'volume_quantity' : '0.25', 'pieces_unit' : '3', 'pieces_quantity' : '0', 'cooking_notes' : ''}).status_code; print('%s :: %s :: %s :: %s :: %s' %(a,189,'Hing','hing','Dahi Bhindi'))</v>
      </c>
    </row>
    <row r="190" customFormat="false" ht="13.8" hidden="false" customHeight="false" outlineLevel="0" collapsed="false">
      <c r="G190" s="80" t="n">
        <v>190</v>
      </c>
      <c r="I190" s="82" t="s">
        <v>160</v>
      </c>
      <c r="J190" s="83" t="s">
        <v>586</v>
      </c>
      <c r="M190" s="61" t="n">
        <v>2</v>
      </c>
      <c r="N190" s="61" t="s">
        <v>20</v>
      </c>
      <c r="R190" s="82" t="str">
        <f aca="false">VLOOKUP(J190,ingredient!$N$4:$O$553,2,0)</f>
        <v>kadi patta</v>
      </c>
      <c r="U190" s="81" t="str">
        <f aca="false">I190</f>
        <v>Dahi Bhindi</v>
      </c>
      <c r="V190" s="81" t="n">
        <f aca="false">VLOOKUP(U190,recipe_ingred_list!$A$2:$B$300,2,0)</f>
        <v>17</v>
      </c>
      <c r="W190" s="81" t="str">
        <f aca="false">"/recipes/"&amp;VLOOKUP(U190,recipe_ingred_list!$A$2:$C$300,3,0)&amp;"/detail/"</f>
        <v>/recipes/dahi-bhindi/detail/</v>
      </c>
      <c r="X190" s="81" t="str">
        <f aca="false">J190</f>
        <v>Kadipatta</v>
      </c>
      <c r="Y190" s="81" t="str">
        <f aca="false">R190</f>
        <v>kadi patta</v>
      </c>
      <c r="Z190" s="94" t="n">
        <f aca="false">VLOOKUP(Y190,recipe_ingred_list!$D$2:$E$500,2,0)</f>
        <v>105</v>
      </c>
      <c r="AA190" s="61" t="n">
        <f aca="false">K190</f>
        <v>0</v>
      </c>
      <c r="AB190" s="61" t="n">
        <f aca="false">L190</f>
        <v>0</v>
      </c>
      <c r="AC190" s="61" t="n">
        <f aca="false">VLOOKUP(AB190,recipe_ingred_list!$K$2:$M$7,3,0)</f>
        <v>2</v>
      </c>
      <c r="AD190" s="61" t="n">
        <f aca="false">M190</f>
        <v>2</v>
      </c>
      <c r="AE190" s="61" t="str">
        <f aca="false">N190</f>
        <v>cup</v>
      </c>
      <c r="AF190" s="61" t="n">
        <f aca="false">VLOOKUP(AE190,recipe_ingred_list!$K$16:$M$25,3,0)</f>
        <v>5</v>
      </c>
      <c r="AG190" s="61" t="n">
        <f aca="false">O190</f>
        <v>0</v>
      </c>
      <c r="AH190" s="61" t="n">
        <f aca="false">P190</f>
        <v>0</v>
      </c>
      <c r="AI190" s="61" t="n">
        <f aca="false">VLOOKUP(AH190,recipe_ingred_list!$K$29:$M$34,3,0)</f>
        <v>3</v>
      </c>
      <c r="AJ190" s="61" t="str">
        <f aca="false">IF(Q190="","",Q190)</f>
        <v/>
      </c>
      <c r="AK190" s="61" t="n">
        <f aca="false">AK189+1</f>
        <v>190</v>
      </c>
      <c r="AL190" s="61" t="str">
        <f aca="false">Y190</f>
        <v>kadi patta</v>
      </c>
      <c r="AM190" s="81" t="str">
        <f aca="false">"a = Client().post('"&amp;W190&amp;"', {'recipe' : '"&amp;V190&amp;"', 'ingredient' : '"&amp;Z190&amp;"', 'name' : '"&amp;X190&amp;"', 'mass_unit' : '"&amp;AC190&amp;"', 'mass_quantity' : '"&amp;ROUND(AA190,3)&amp;"', 'volume_unit' : '"&amp;AF190&amp;"', 'volume_quantity' : '"&amp;ROUND(AD190,3)&amp;"', 'pieces_unit' : '"&amp;AI190&amp;"', 'pieces_quantity' : '"&amp;ROUND(AG190,3)&amp;"', 'cooking_notes' : '"&amp;AJ190&amp;"'}).status_code; print('%s :: %s :: %s :: %s :: %s' %(a,"&amp;G190&amp;",'"&amp;X190&amp;"','"&amp;Y190&amp;"','"&amp;U190&amp;"'))"</f>
        <v>a = Client().post('/recipes/dahi-bhindi/detail/', {'recipe' : '17', 'ingredient' : '105', 'name' : 'Kadipatta', 'mass_unit' : '2', 'mass_quantity' : '0', 'volume_unit' : '5', 'volume_quantity' : '2', 'pieces_unit' : '3', 'pieces_quantity' : '0', 'cooking_notes' : ''}).status_code; print('%s :: %s :: %s :: %s :: %s' %(a,190,'Kadipatta','kadi patta','Dahi Bhindi'))</v>
      </c>
    </row>
    <row r="191" customFormat="false" ht="13.8" hidden="false" customHeight="false" outlineLevel="0" collapsed="false">
      <c r="G191" s="80" t="n">
        <v>191</v>
      </c>
      <c r="I191" s="82" t="s">
        <v>160</v>
      </c>
      <c r="J191" s="83" t="s">
        <v>18</v>
      </c>
      <c r="M191" s="61" t="n">
        <v>2</v>
      </c>
      <c r="N191" s="61" t="s">
        <v>20</v>
      </c>
      <c r="R191" s="82" t="str">
        <f aca="false">VLOOKUP(J191,ingredient!$N$4:$O$553,2,0)</f>
        <v>adrak</v>
      </c>
      <c r="U191" s="81" t="str">
        <f aca="false">I191</f>
        <v>Dahi Bhindi</v>
      </c>
      <c r="V191" s="81" t="n">
        <f aca="false">VLOOKUP(U191,recipe_ingred_list!$A$2:$B$300,2,0)</f>
        <v>17</v>
      </c>
      <c r="W191" s="81" t="str">
        <f aca="false">"/recipes/"&amp;VLOOKUP(U191,recipe_ingred_list!$A$2:$C$300,3,0)&amp;"/detail/"</f>
        <v>/recipes/dahi-bhindi/detail/</v>
      </c>
      <c r="X191" s="81" t="str">
        <f aca="false">J191</f>
        <v>Adrak paste</v>
      </c>
      <c r="Y191" s="81" t="str">
        <f aca="false">R191</f>
        <v>adrak</v>
      </c>
      <c r="Z191" s="94" t="n">
        <f aca="false">VLOOKUP(Y191,recipe_ingred_list!$D$2:$E$500,2,0)</f>
        <v>1</v>
      </c>
      <c r="AA191" s="61" t="n">
        <f aca="false">K191</f>
        <v>0</v>
      </c>
      <c r="AB191" s="61" t="n">
        <f aca="false">L191</f>
        <v>0</v>
      </c>
      <c r="AC191" s="61" t="n">
        <f aca="false">VLOOKUP(AB191,recipe_ingred_list!$K$2:$M$7,3,0)</f>
        <v>2</v>
      </c>
      <c r="AD191" s="61" t="n">
        <f aca="false">M191</f>
        <v>2</v>
      </c>
      <c r="AE191" s="61" t="str">
        <f aca="false">N191</f>
        <v>cup</v>
      </c>
      <c r="AF191" s="61" t="n">
        <f aca="false">VLOOKUP(AE191,recipe_ingred_list!$K$16:$M$25,3,0)</f>
        <v>5</v>
      </c>
      <c r="AG191" s="61" t="n">
        <f aca="false">O191</f>
        <v>0</v>
      </c>
      <c r="AH191" s="61" t="n">
        <f aca="false">P191</f>
        <v>0</v>
      </c>
      <c r="AI191" s="61" t="n">
        <f aca="false">VLOOKUP(AH191,recipe_ingred_list!$K$29:$M$34,3,0)</f>
        <v>3</v>
      </c>
      <c r="AJ191" s="61" t="str">
        <f aca="false">IF(Q191="","",Q191)</f>
        <v/>
      </c>
      <c r="AK191" s="61" t="n">
        <f aca="false">AK190+1</f>
        <v>191</v>
      </c>
      <c r="AL191" s="61" t="str">
        <f aca="false">Y191</f>
        <v>adrak</v>
      </c>
      <c r="AM191" s="81" t="str">
        <f aca="false">"a = Client().post('"&amp;W191&amp;"', {'recipe' : '"&amp;V191&amp;"', 'ingredient' : '"&amp;Z191&amp;"', 'name' : '"&amp;X191&amp;"', 'mass_unit' : '"&amp;AC191&amp;"', 'mass_quantity' : '"&amp;ROUND(AA191,3)&amp;"', 'volume_unit' : '"&amp;AF191&amp;"', 'volume_quantity' : '"&amp;ROUND(AD191,3)&amp;"', 'pieces_unit' : '"&amp;AI191&amp;"', 'pieces_quantity' : '"&amp;ROUND(AG191,3)&amp;"', 'cooking_notes' : '"&amp;AJ191&amp;"'}).status_code; print('%s :: %s :: %s :: %s :: %s' %(a,"&amp;G191&amp;",'"&amp;X191&amp;"','"&amp;Y191&amp;"','"&amp;U191&amp;"'))"</f>
        <v>a = Client().post('/recipes/dahi-bhindi/detail/', {'recipe' : '17', 'ingredient' : '1', 'name' : 'Adrak paste', 'mass_unit' : '2', 'mass_quantity' : '0', 'volume_unit' : '5', 'volume_quantity' : '2', 'pieces_unit' : '3', 'pieces_quantity' : '0', 'cooking_notes' : ''}).status_code; print('%s :: %s :: %s :: %s :: %s' %(a,191,'Adrak paste','adrak','Dahi Bhindi'))</v>
      </c>
    </row>
    <row r="192" customFormat="false" ht="14.9" hidden="false" customHeight="false" outlineLevel="0" collapsed="false">
      <c r="G192" s="80" t="n">
        <v>192</v>
      </c>
      <c r="I192" s="82" t="s">
        <v>160</v>
      </c>
      <c r="J192" s="83" t="s">
        <v>587</v>
      </c>
      <c r="K192" s="61" t="n">
        <v>25</v>
      </c>
      <c r="L192" s="61" t="s">
        <v>7</v>
      </c>
      <c r="Q192" s="84" t="s">
        <v>588</v>
      </c>
      <c r="R192" s="82" t="str">
        <f aca="false">VLOOKUP(J192,ingredient!$N$4:$O$553,2,0)</f>
        <v>bhindi</v>
      </c>
      <c r="U192" s="81" t="str">
        <f aca="false">I192</f>
        <v>Dahi Bhindi</v>
      </c>
      <c r="V192" s="81" t="n">
        <f aca="false">VLOOKUP(U192,recipe_ingred_list!$A$2:$B$300,2,0)</f>
        <v>17</v>
      </c>
      <c r="W192" s="81" t="str">
        <f aca="false">"/recipes/"&amp;VLOOKUP(U192,recipe_ingred_list!$A$2:$C$300,3,0)&amp;"/detail/"</f>
        <v>/recipes/dahi-bhindi/detail/</v>
      </c>
      <c r="X192" s="81" t="str">
        <f aca="false">J192</f>
        <v>Bhindi</v>
      </c>
      <c r="Y192" s="81" t="str">
        <f aca="false">R192</f>
        <v>bhindi</v>
      </c>
      <c r="Z192" s="94" t="n">
        <f aca="false">VLOOKUP(Y192,recipe_ingred_list!$D$2:$E$500,2,0)</f>
        <v>29</v>
      </c>
      <c r="AA192" s="61" t="n">
        <f aca="false">K192</f>
        <v>25</v>
      </c>
      <c r="AB192" s="61" t="str">
        <f aca="false">L192</f>
        <v>kg</v>
      </c>
      <c r="AC192" s="61" t="n">
        <f aca="false">VLOOKUP(AB192,recipe_ingred_list!$K$2:$M$7,3,0)</f>
        <v>2</v>
      </c>
      <c r="AD192" s="61" t="n">
        <f aca="false">M192</f>
        <v>0</v>
      </c>
      <c r="AE192" s="61" t="n">
        <f aca="false">N192</f>
        <v>0</v>
      </c>
      <c r="AF192" s="61" t="n">
        <f aca="false">VLOOKUP(AE192,recipe_ingred_list!$K$16:$M$25,3,0)</f>
        <v>1</v>
      </c>
      <c r="AG192" s="61" t="n">
        <f aca="false">O192</f>
        <v>0</v>
      </c>
      <c r="AH192" s="61" t="n">
        <f aca="false">P192</f>
        <v>0</v>
      </c>
      <c r="AI192" s="61" t="n">
        <f aca="false">VLOOKUP(AH192,recipe_ingred_list!$K$29:$M$34,3,0)</f>
        <v>3</v>
      </c>
      <c r="AJ192" s="61" t="str">
        <f aca="false">IF(Q192="","",Q192)</f>
        <v>cut 1",deep fried</v>
      </c>
      <c r="AK192" s="61" t="n">
        <f aca="false">AK191+1</f>
        <v>192</v>
      </c>
      <c r="AL192" s="61" t="str">
        <f aca="false">Y192</f>
        <v>bhindi</v>
      </c>
      <c r="AM192" s="81" t="str">
        <f aca="false">"a = Client().post('"&amp;W192&amp;"', {'recipe' : '"&amp;V192&amp;"', 'ingredient' : '"&amp;Z192&amp;"', 'name' : '"&amp;X192&amp;"', 'mass_unit' : '"&amp;AC192&amp;"', 'mass_quantity' : '"&amp;ROUND(AA192,3)&amp;"', 'volume_unit' : '"&amp;AF192&amp;"', 'volume_quantity' : '"&amp;ROUND(AD192,3)&amp;"', 'pieces_unit' : '"&amp;AI192&amp;"', 'pieces_quantity' : '"&amp;ROUND(AG192,3)&amp;"', 'cooking_notes' : '"&amp;AJ192&amp;"'}).status_code; print('%s :: %s :: %s :: %s :: %s' %(a,"&amp;G192&amp;",'"&amp;X192&amp;"','"&amp;Y192&amp;"','"&amp;U192&amp;"'))"</f>
        <v>a = Client().post('/recipes/dahi-bhindi/detail/', {'recipe' : '17', 'ingredient' : '29', 'name' : 'Bhindi', 'mass_unit' : '2', 'mass_quantity' : '25', 'volume_unit' : '1', 'volume_quantity' : '0', 'pieces_unit' : '3', 'pieces_quantity' : '0', 'cooking_notes' : 'cut 1",deep fried'}).status_code; print('%s :: %s :: %s :: %s :: %s' %(a,192,'Bhindi','bhindi','Dahi Bhindi'))</v>
      </c>
    </row>
    <row r="193" customFormat="false" ht="13.8" hidden="false" customHeight="false" outlineLevel="0" collapsed="false">
      <c r="G193" s="80" t="n">
        <v>193</v>
      </c>
      <c r="H193" s="98"/>
      <c r="I193" s="99" t="s">
        <v>160</v>
      </c>
      <c r="J193" s="79" t="s">
        <v>558</v>
      </c>
      <c r="K193" s="100"/>
      <c r="L193" s="100"/>
      <c r="M193" s="100" t="n">
        <v>40</v>
      </c>
      <c r="N193" s="100" t="s">
        <v>13</v>
      </c>
      <c r="O193" s="101"/>
      <c r="P193" s="100"/>
      <c r="Q193" s="102"/>
      <c r="R193" s="99" t="e">
        <f aca="false">VLOOKUP(J193,ingredient!$N$4:$O$553,2,0)</f>
        <v>#N/A</v>
      </c>
      <c r="S193" s="98"/>
      <c r="T193" s="98"/>
      <c r="U193" s="81" t="str">
        <f aca="false">I193</f>
        <v>Dahi Bhindi</v>
      </c>
      <c r="V193" s="81" t="n">
        <f aca="false">VLOOKUP(U193,recipe_ingred_list!$A$2:$B$300,2,0)</f>
        <v>17</v>
      </c>
      <c r="W193" s="81" t="str">
        <f aca="false">"/recipes/"&amp;VLOOKUP(U193,recipe_ingred_list!$A$2:$C$300,3,0)&amp;"/detail/"</f>
        <v>/recipes/dahi-bhindi/detail/</v>
      </c>
      <c r="X193" s="81" t="str">
        <f aca="false">J193</f>
        <v>Yield </v>
      </c>
      <c r="Y193" s="81" t="e">
        <f aca="false">R193</f>
        <v>#N/A</v>
      </c>
      <c r="Z193" s="94" t="e">
        <f aca="false">VLOOKUP(Y193,recipe_ingred_list!$D$2:$E$500,2,0)</f>
        <v>#N/A</v>
      </c>
      <c r="AA193" s="61" t="n">
        <f aca="false">K193</f>
        <v>0</v>
      </c>
      <c r="AB193" s="61" t="n">
        <f aca="false">L193</f>
        <v>0</v>
      </c>
      <c r="AC193" s="61" t="n">
        <f aca="false">VLOOKUP(AB193,recipe_ingred_list!$K$2:$M$7,3,0)</f>
        <v>2</v>
      </c>
      <c r="AD193" s="61" t="n">
        <f aca="false">M193</f>
        <v>40</v>
      </c>
      <c r="AE193" s="61" t="str">
        <f aca="false">N193</f>
        <v>ltr</v>
      </c>
      <c r="AF193" s="61" t="n">
        <f aca="false">VLOOKUP(AE193,recipe_ingred_list!$K$16:$M$25,3,0)</f>
        <v>1</v>
      </c>
      <c r="AG193" s="61" t="n">
        <f aca="false">O193</f>
        <v>0</v>
      </c>
      <c r="AH193" s="61" t="n">
        <f aca="false">P193</f>
        <v>0</v>
      </c>
      <c r="AI193" s="61" t="n">
        <f aca="false">VLOOKUP(AH193,recipe_ingred_list!$K$29:$M$34,3,0)</f>
        <v>3</v>
      </c>
      <c r="AJ193" s="61" t="str">
        <f aca="false">IF(Q193="","",Q193)</f>
        <v/>
      </c>
      <c r="AK193" s="61" t="n">
        <f aca="false">AK192+1</f>
        <v>193</v>
      </c>
      <c r="AL193" s="61" t="e">
        <f aca="false">Y193</f>
        <v>#N/A</v>
      </c>
      <c r="AM193" s="81" t="e">
        <f aca="false">"a = Client().post('"&amp;W193&amp;"', {'recipe' : '"&amp;V193&amp;"', 'ingredient' : '"&amp;Z193&amp;"', 'name' : '"&amp;X193&amp;"', 'mass_unit' : '"&amp;AC193&amp;"', 'mass_quantity' : '"&amp;ROUND(AA193,3)&amp;"', 'volume_unit' : '"&amp;AF193&amp;"', 'volume_quantity' : '"&amp;ROUND(AD193,3)&amp;"', 'pieces_unit' : '"&amp;AI193&amp;"', 'pieces_quantity' : '"&amp;ROUND(AG193,3)&amp;"', 'cooking_notes' : '"&amp;AJ193&amp;"'}).status_code; print('%s :: %s :: %s :: %s :: %s' %(a,"&amp;G193&amp;",'"&amp;X193&amp;"','"&amp;Y193&amp;"','"&amp;U193&amp;"'))"</f>
        <v>#N/A</v>
      </c>
    </row>
    <row r="194" customFormat="false" ht="13.8" hidden="false" customHeight="false" outlineLevel="0" collapsed="false">
      <c r="G194" s="80" t="n">
        <v>194</v>
      </c>
      <c r="H194" s="98"/>
      <c r="I194" s="99"/>
      <c r="J194" s="79"/>
      <c r="K194" s="100"/>
      <c r="L194" s="100"/>
      <c r="M194" s="100"/>
      <c r="N194" s="100"/>
      <c r="O194" s="101"/>
      <c r="P194" s="100"/>
      <c r="Q194" s="102"/>
      <c r="R194" s="99" t="e">
        <f aca="false">VLOOKUP(J194,ingredient!$N$4:$O$553,2,0)</f>
        <v>#N/A</v>
      </c>
      <c r="S194" s="98"/>
      <c r="T194" s="98"/>
      <c r="U194" s="81" t="n">
        <f aca="false">I194</f>
        <v>0</v>
      </c>
      <c r="V194" s="81" t="e">
        <f aca="false">VLOOKUP(U194,recipe_ingred_list!$A$2:$B$300,2,0)</f>
        <v>#N/A</v>
      </c>
      <c r="W194" s="81" t="e">
        <f aca="false">"/recipes/"&amp;VLOOKUP(U194,recipe_ingred_list!$A$2:$C$300,3,0)&amp;"/detail/"</f>
        <v>#N/A</v>
      </c>
      <c r="X194" s="81" t="n">
        <f aca="false">J194</f>
        <v>0</v>
      </c>
      <c r="Y194" s="81" t="e">
        <f aca="false">R194</f>
        <v>#N/A</v>
      </c>
      <c r="Z194" s="94" t="e">
        <f aca="false">VLOOKUP(Y194,recipe_ingred_list!$D$2:$E$500,2,0)</f>
        <v>#N/A</v>
      </c>
      <c r="AA194" s="61" t="n">
        <f aca="false">K194</f>
        <v>0</v>
      </c>
      <c r="AB194" s="61" t="n">
        <f aca="false">L194</f>
        <v>0</v>
      </c>
      <c r="AC194" s="61" t="n">
        <f aca="false">VLOOKUP(AB194,recipe_ingred_list!$K$2:$M$7,3,0)</f>
        <v>2</v>
      </c>
      <c r="AD194" s="61" t="n">
        <f aca="false">M194</f>
        <v>0</v>
      </c>
      <c r="AE194" s="61" t="n">
        <f aca="false">N194</f>
        <v>0</v>
      </c>
      <c r="AF194" s="61" t="n">
        <f aca="false">VLOOKUP(AE194,recipe_ingred_list!$K$16:$M$25,3,0)</f>
        <v>1</v>
      </c>
      <c r="AG194" s="61" t="n">
        <f aca="false">O194</f>
        <v>0</v>
      </c>
      <c r="AH194" s="61" t="n">
        <f aca="false">P194</f>
        <v>0</v>
      </c>
      <c r="AI194" s="61" t="n">
        <f aca="false">VLOOKUP(AH194,recipe_ingred_list!$K$29:$M$34,3,0)</f>
        <v>3</v>
      </c>
      <c r="AJ194" s="61" t="str">
        <f aca="false">IF(Q194="","",Q194)</f>
        <v/>
      </c>
      <c r="AK194" s="61" t="n">
        <f aca="false">AK193+1</f>
        <v>194</v>
      </c>
      <c r="AL194" s="61" t="e">
        <f aca="false">Y194</f>
        <v>#N/A</v>
      </c>
      <c r="AM194" s="81" t="e">
        <f aca="false">"a = Client().post('"&amp;W194&amp;"', {'recipe' : '"&amp;V194&amp;"', 'ingredient' : '"&amp;Z194&amp;"', 'name' : '"&amp;X194&amp;"', 'mass_unit' : '"&amp;AC194&amp;"', 'mass_quantity' : '"&amp;ROUND(AA194,3)&amp;"', 'volume_unit' : '"&amp;AF194&amp;"', 'volume_quantity' : '"&amp;ROUND(AD194,3)&amp;"', 'pieces_unit' : '"&amp;AI194&amp;"', 'pieces_quantity' : '"&amp;ROUND(AG194,3)&amp;"', 'cooking_notes' : '"&amp;AJ194&amp;"'}).status_code; print('%s :: %s :: %s :: %s :: %s' %(a,"&amp;G194&amp;",'"&amp;X194&amp;"','"&amp;Y194&amp;"','"&amp;U194&amp;"'))"</f>
        <v>#N/A</v>
      </c>
    </row>
    <row r="195" customFormat="false" ht="13.8" hidden="false" customHeight="false" outlineLevel="0" collapsed="false">
      <c r="G195" s="80" t="n">
        <v>195</v>
      </c>
      <c r="I195" s="82" t="s">
        <v>157</v>
      </c>
      <c r="J195" s="83" t="s">
        <v>580</v>
      </c>
      <c r="M195" s="61" t="n">
        <v>20</v>
      </c>
      <c r="N195" s="61" t="s">
        <v>13</v>
      </c>
      <c r="R195" s="82" t="str">
        <f aca="false">VLOOKUP(J195,ingredient!$N$4:$O$553,2,0)</f>
        <v>dahi</v>
      </c>
      <c r="U195" s="81" t="str">
        <f aca="false">I195</f>
        <v>Dahi Baingan</v>
      </c>
      <c r="V195" s="81" t="n">
        <f aca="false">VLOOKUP(U195,recipe_ingred_list!$A$2:$B$300,2,0)</f>
        <v>16</v>
      </c>
      <c r="W195" s="81" t="str">
        <f aca="false">"/recipes/"&amp;VLOOKUP(U195,recipe_ingred_list!$A$2:$C$300,3,0)&amp;"/detail/"</f>
        <v>/recipes/dahi-baingan/detail/</v>
      </c>
      <c r="X195" s="81" t="str">
        <f aca="false">J195</f>
        <v>Dahi</v>
      </c>
      <c r="Y195" s="81" t="str">
        <f aca="false">R195</f>
        <v>dahi</v>
      </c>
      <c r="Z195" s="94" t="n">
        <f aca="false">VLOOKUP(Y195,recipe_ingred_list!$D$2:$E$500,2,0)</f>
        <v>59</v>
      </c>
      <c r="AA195" s="61" t="n">
        <f aca="false">K195</f>
        <v>0</v>
      </c>
      <c r="AB195" s="61" t="n">
        <f aca="false">L195</f>
        <v>0</v>
      </c>
      <c r="AC195" s="61" t="n">
        <f aca="false">VLOOKUP(AB195,recipe_ingred_list!$K$2:$M$7,3,0)</f>
        <v>2</v>
      </c>
      <c r="AD195" s="61" t="n">
        <f aca="false">M195</f>
        <v>20</v>
      </c>
      <c r="AE195" s="61" t="str">
        <f aca="false">N195</f>
        <v>ltr</v>
      </c>
      <c r="AF195" s="61" t="n">
        <f aca="false">VLOOKUP(AE195,recipe_ingred_list!$K$16:$M$25,3,0)</f>
        <v>1</v>
      </c>
      <c r="AG195" s="61" t="n">
        <f aca="false">O195</f>
        <v>0</v>
      </c>
      <c r="AH195" s="61" t="n">
        <f aca="false">P195</f>
        <v>0</v>
      </c>
      <c r="AI195" s="61" t="n">
        <f aca="false">VLOOKUP(AH195,recipe_ingred_list!$K$29:$M$34,3,0)</f>
        <v>3</v>
      </c>
      <c r="AJ195" s="61" t="str">
        <f aca="false">IF(Q195="","",Q195)</f>
        <v/>
      </c>
      <c r="AK195" s="61" t="n">
        <f aca="false">AK194+1</f>
        <v>195</v>
      </c>
      <c r="AL195" s="61" t="str">
        <f aca="false">Y195</f>
        <v>dahi</v>
      </c>
      <c r="AM195" s="81" t="str">
        <f aca="false">"a = Client().post('"&amp;W195&amp;"', {'recipe' : '"&amp;V195&amp;"', 'ingredient' : '"&amp;Z195&amp;"', 'name' : '"&amp;X195&amp;"', 'mass_unit' : '"&amp;AC195&amp;"', 'mass_quantity' : '"&amp;ROUND(AA195,3)&amp;"', 'volume_unit' : '"&amp;AF195&amp;"', 'volume_quantity' : '"&amp;ROUND(AD195,3)&amp;"', 'pieces_unit' : '"&amp;AI195&amp;"', 'pieces_quantity' : '"&amp;ROUND(AG195,3)&amp;"', 'cooking_notes' : '"&amp;AJ195&amp;"'}).status_code; print('%s :: %s :: %s :: %s :: %s' %(a,"&amp;G195&amp;",'"&amp;X195&amp;"','"&amp;Y195&amp;"','"&amp;U195&amp;"'))"</f>
        <v>a = Client().post('/recipes/dahi-baingan/detail/', {'recipe' : '16', 'ingredient' : '59', 'name' : 'Dahi', 'mass_unit' : '2', 'mass_quantity' : '0', 'volume_unit' : '1', 'volume_quantity' : '20', 'pieces_unit' : '3', 'pieces_quantity' : '0', 'cooking_notes' : ''}).status_code; print('%s :: %s :: %s :: %s :: %s' %(a,195,'Dahi','dahi','Dahi Baingan'))</v>
      </c>
    </row>
    <row r="196" customFormat="false" ht="13.8" hidden="false" customHeight="false" outlineLevel="0" collapsed="false">
      <c r="G196" s="80" t="n">
        <v>196</v>
      </c>
      <c r="I196" s="82" t="s">
        <v>157</v>
      </c>
      <c r="J196" s="83" t="s">
        <v>32</v>
      </c>
      <c r="M196" s="61" t="n">
        <v>1.25</v>
      </c>
      <c r="N196" s="61" t="s">
        <v>20</v>
      </c>
      <c r="R196" s="82" t="str">
        <f aca="false">VLOOKUP(J196,ingredient!$N$4:$O$553,2,0)</f>
        <v>salt</v>
      </c>
      <c r="U196" s="81" t="str">
        <f aca="false">I196</f>
        <v>Dahi Baingan</v>
      </c>
      <c r="V196" s="81" t="n">
        <f aca="false">VLOOKUP(U196,recipe_ingred_list!$A$2:$B$300,2,0)</f>
        <v>16</v>
      </c>
      <c r="W196" s="81" t="str">
        <f aca="false">"/recipes/"&amp;VLOOKUP(U196,recipe_ingred_list!$A$2:$C$300,3,0)&amp;"/detail/"</f>
        <v>/recipes/dahi-baingan/detail/</v>
      </c>
      <c r="X196" s="81" t="str">
        <f aca="false">J196</f>
        <v>Salt</v>
      </c>
      <c r="Y196" s="81" t="str">
        <f aca="false">R196</f>
        <v>salt</v>
      </c>
      <c r="Z196" s="94" t="n">
        <f aca="false">VLOOKUP(Y196,recipe_ingred_list!$D$2:$E$500,2,0)</f>
        <v>177</v>
      </c>
      <c r="AA196" s="61" t="n">
        <f aca="false">K196</f>
        <v>0</v>
      </c>
      <c r="AB196" s="61" t="n">
        <f aca="false">L196</f>
        <v>0</v>
      </c>
      <c r="AC196" s="61" t="n">
        <f aca="false">VLOOKUP(AB196,recipe_ingred_list!$K$2:$M$7,3,0)</f>
        <v>2</v>
      </c>
      <c r="AD196" s="61" t="n">
        <f aca="false">M196</f>
        <v>1.25</v>
      </c>
      <c r="AE196" s="61" t="str">
        <f aca="false">N196</f>
        <v>cup</v>
      </c>
      <c r="AF196" s="61" t="n">
        <f aca="false">VLOOKUP(AE196,recipe_ingred_list!$K$16:$M$25,3,0)</f>
        <v>5</v>
      </c>
      <c r="AG196" s="61" t="n">
        <f aca="false">O196</f>
        <v>0</v>
      </c>
      <c r="AH196" s="61" t="n">
        <f aca="false">P196</f>
        <v>0</v>
      </c>
      <c r="AI196" s="61" t="n">
        <f aca="false">VLOOKUP(AH196,recipe_ingred_list!$K$29:$M$34,3,0)</f>
        <v>3</v>
      </c>
      <c r="AJ196" s="61" t="str">
        <f aca="false">IF(Q196="","",Q196)</f>
        <v/>
      </c>
      <c r="AK196" s="61" t="n">
        <f aca="false">AK195+1</f>
        <v>196</v>
      </c>
      <c r="AL196" s="61" t="str">
        <f aca="false">Y196</f>
        <v>salt</v>
      </c>
      <c r="AM196" s="81" t="str">
        <f aca="false">"a = Client().post('"&amp;W196&amp;"', {'recipe' : '"&amp;V196&amp;"', 'ingredient' : '"&amp;Z196&amp;"', 'name' : '"&amp;X196&amp;"', 'mass_unit' : '"&amp;AC196&amp;"', 'mass_quantity' : '"&amp;ROUND(AA196,3)&amp;"', 'volume_unit' : '"&amp;AF196&amp;"', 'volume_quantity' : '"&amp;ROUND(AD196,3)&amp;"', 'pieces_unit' : '"&amp;AI196&amp;"', 'pieces_quantity' : '"&amp;ROUND(AG196,3)&amp;"', 'cooking_notes' : '"&amp;AJ196&amp;"'}).status_code; print('%s :: %s :: %s :: %s :: %s' %(a,"&amp;G196&amp;",'"&amp;X196&amp;"','"&amp;Y196&amp;"','"&amp;U196&amp;"'))"</f>
        <v>a = Client().post('/recipes/dahi-baingan/detail/', {'recipe' : '16', 'ingredient' : '177', 'name' : 'Salt', 'mass_unit' : '2', 'mass_quantity' : '0', 'volume_unit' : '5', 'volume_quantity' : '1.25', 'pieces_unit' : '3', 'pieces_quantity' : '0', 'cooking_notes' : ''}).status_code; print('%s :: %s :: %s :: %s :: %s' %(a,196,'Salt','salt','Dahi Baingan'))</v>
      </c>
    </row>
    <row r="197" customFormat="false" ht="13.8" hidden="false" customHeight="false" outlineLevel="0" collapsed="false">
      <c r="G197" s="80" t="n">
        <v>197</v>
      </c>
      <c r="I197" s="82" t="s">
        <v>157</v>
      </c>
      <c r="J197" s="83" t="s">
        <v>571</v>
      </c>
      <c r="M197" s="61" t="n">
        <v>3</v>
      </c>
      <c r="N197" s="61" t="s">
        <v>20</v>
      </c>
      <c r="R197" s="82" t="str">
        <f aca="false">VLOOKUP(J197,ingredient!$N$4:$O$553,2,0)</f>
        <v>sugar</v>
      </c>
      <c r="U197" s="81" t="str">
        <f aca="false">I197</f>
        <v>Dahi Baingan</v>
      </c>
      <c r="V197" s="81" t="n">
        <f aca="false">VLOOKUP(U197,recipe_ingred_list!$A$2:$B$300,2,0)</f>
        <v>16</v>
      </c>
      <c r="W197" s="81" t="str">
        <f aca="false">"/recipes/"&amp;VLOOKUP(U197,recipe_ingred_list!$A$2:$C$300,3,0)&amp;"/detail/"</f>
        <v>/recipes/dahi-baingan/detail/</v>
      </c>
      <c r="X197" s="81" t="str">
        <f aca="false">J197</f>
        <v>Sugar</v>
      </c>
      <c r="Y197" s="81" t="str">
        <f aca="false">R197</f>
        <v>sugar</v>
      </c>
      <c r="Z197" s="94" t="n">
        <f aca="false">VLOOKUP(Y197,recipe_ingred_list!$D$2:$E$500,2,0)</f>
        <v>187</v>
      </c>
      <c r="AA197" s="61" t="n">
        <f aca="false">K197</f>
        <v>0</v>
      </c>
      <c r="AB197" s="61" t="n">
        <f aca="false">L197</f>
        <v>0</v>
      </c>
      <c r="AC197" s="61" t="n">
        <f aca="false">VLOOKUP(AB197,recipe_ingred_list!$K$2:$M$7,3,0)</f>
        <v>2</v>
      </c>
      <c r="AD197" s="61" t="n">
        <f aca="false">M197</f>
        <v>3</v>
      </c>
      <c r="AE197" s="61" t="str">
        <f aca="false">N197</f>
        <v>cup</v>
      </c>
      <c r="AF197" s="61" t="n">
        <f aca="false">VLOOKUP(AE197,recipe_ingred_list!$K$16:$M$25,3,0)</f>
        <v>5</v>
      </c>
      <c r="AG197" s="61" t="n">
        <f aca="false">O197</f>
        <v>0</v>
      </c>
      <c r="AH197" s="61" t="n">
        <f aca="false">P197</f>
        <v>0</v>
      </c>
      <c r="AI197" s="61" t="n">
        <f aca="false">VLOOKUP(AH197,recipe_ingred_list!$K$29:$M$34,3,0)</f>
        <v>3</v>
      </c>
      <c r="AJ197" s="61" t="str">
        <f aca="false">IF(Q197="","",Q197)</f>
        <v/>
      </c>
      <c r="AK197" s="61" t="n">
        <f aca="false">AK196+1</f>
        <v>197</v>
      </c>
      <c r="AL197" s="61" t="str">
        <f aca="false">Y197</f>
        <v>sugar</v>
      </c>
      <c r="AM197" s="81" t="str">
        <f aca="false">"a = Client().post('"&amp;W197&amp;"', {'recipe' : '"&amp;V197&amp;"', 'ingredient' : '"&amp;Z197&amp;"', 'name' : '"&amp;X197&amp;"', 'mass_unit' : '"&amp;AC197&amp;"', 'mass_quantity' : '"&amp;ROUND(AA197,3)&amp;"', 'volume_unit' : '"&amp;AF197&amp;"', 'volume_quantity' : '"&amp;ROUND(AD197,3)&amp;"', 'pieces_unit' : '"&amp;AI197&amp;"', 'pieces_quantity' : '"&amp;ROUND(AG197,3)&amp;"', 'cooking_notes' : '"&amp;AJ197&amp;"'}).status_code; print('%s :: %s :: %s :: %s :: %s' %(a,"&amp;G197&amp;",'"&amp;X197&amp;"','"&amp;Y197&amp;"','"&amp;U197&amp;"'))"</f>
        <v>a = Client().post('/recipes/dahi-baingan/detail/', {'recipe' : '16', 'ingredient' : '187', 'name' : 'Sugar', 'mass_unit' : '2', 'mass_quantity' : '0', 'volume_unit' : '5', 'volume_quantity' : '3', 'pieces_unit' : '3', 'pieces_quantity' : '0', 'cooking_notes' : ''}).status_code; print('%s :: %s :: %s :: %s :: %s' %(a,197,'Sugar','sugar','Dahi Baingan'))</v>
      </c>
    </row>
    <row r="198" customFormat="false" ht="13.8" hidden="false" customHeight="false" outlineLevel="0" collapsed="false">
      <c r="G198" s="80" t="n">
        <v>198</v>
      </c>
      <c r="I198" s="82" t="s">
        <v>157</v>
      </c>
      <c r="J198" s="83" t="s">
        <v>581</v>
      </c>
      <c r="M198" s="61" t="n">
        <v>0.4</v>
      </c>
      <c r="N198" s="61" t="s">
        <v>20</v>
      </c>
      <c r="R198" s="82" t="str">
        <f aca="false">VLOOKUP(J198,ingredient!$N$4:$O$553,2,0)</f>
        <v>madrasi mirchi akkaha</v>
      </c>
      <c r="U198" s="81" t="str">
        <f aca="false">I198</f>
        <v>Dahi Baingan</v>
      </c>
      <c r="V198" s="81" t="n">
        <f aca="false">VLOOKUP(U198,recipe_ingred_list!$A$2:$B$300,2,0)</f>
        <v>16</v>
      </c>
      <c r="W198" s="81" t="str">
        <f aca="false">"/recipes/"&amp;VLOOKUP(U198,recipe_ingred_list!$A$2:$C$300,3,0)&amp;"/detail/"</f>
        <v>/recipes/dahi-baingan/detail/</v>
      </c>
      <c r="X198" s="81" t="str">
        <f aca="false">J198</f>
        <v>Roasted chilly powder</v>
      </c>
      <c r="Y198" s="81" t="str">
        <f aca="false">R198</f>
        <v>madrasi mirchi akkaha</v>
      </c>
      <c r="Z198" s="94" t="n">
        <f aca="false">VLOOKUP(Y198,recipe_ingred_list!$D$2:$E$500,2,0)</f>
        <v>134</v>
      </c>
      <c r="AA198" s="61" t="n">
        <f aca="false">K198</f>
        <v>0</v>
      </c>
      <c r="AB198" s="61" t="n">
        <f aca="false">L198</f>
        <v>0</v>
      </c>
      <c r="AC198" s="61" t="n">
        <f aca="false">VLOOKUP(AB198,recipe_ingred_list!$K$2:$M$7,3,0)</f>
        <v>2</v>
      </c>
      <c r="AD198" s="61" t="n">
        <f aca="false">M198</f>
        <v>0.4</v>
      </c>
      <c r="AE198" s="61" t="str">
        <f aca="false">N198</f>
        <v>cup</v>
      </c>
      <c r="AF198" s="61" t="n">
        <f aca="false">VLOOKUP(AE198,recipe_ingred_list!$K$16:$M$25,3,0)</f>
        <v>5</v>
      </c>
      <c r="AG198" s="61" t="n">
        <f aca="false">O198</f>
        <v>0</v>
      </c>
      <c r="AH198" s="61" t="n">
        <f aca="false">P198</f>
        <v>0</v>
      </c>
      <c r="AI198" s="61" t="n">
        <f aca="false">VLOOKUP(AH198,recipe_ingred_list!$K$29:$M$34,3,0)</f>
        <v>3</v>
      </c>
      <c r="AJ198" s="61" t="str">
        <f aca="false">IF(Q198="","",Q198)</f>
        <v/>
      </c>
      <c r="AK198" s="61" t="n">
        <f aca="false">AK197+1</f>
        <v>198</v>
      </c>
      <c r="AL198" s="61" t="str">
        <f aca="false">Y198</f>
        <v>madrasi mirchi akkaha</v>
      </c>
      <c r="AM198" s="81" t="str">
        <f aca="false">"a = Client().post('"&amp;W198&amp;"', {'recipe' : '"&amp;V198&amp;"', 'ingredient' : '"&amp;Z198&amp;"', 'name' : '"&amp;X198&amp;"', 'mass_unit' : '"&amp;AC198&amp;"', 'mass_quantity' : '"&amp;ROUND(AA198,3)&amp;"', 'volume_unit' : '"&amp;AF198&amp;"', 'volume_quantity' : '"&amp;ROUND(AD198,3)&amp;"', 'pieces_unit' : '"&amp;AI198&amp;"', 'pieces_quantity' : '"&amp;ROUND(AG198,3)&amp;"', 'cooking_notes' : '"&amp;AJ198&amp;"'}).status_code; print('%s :: %s :: %s :: %s :: %s' %(a,"&amp;G198&amp;",'"&amp;X198&amp;"','"&amp;Y198&amp;"','"&amp;U198&amp;"'))"</f>
        <v>a = Client().post('/recipes/dahi-baingan/detail/', {'recipe' : '16', 'ingredient' : '134', 'name' : 'Roasted chilly powder', 'mass_unit' : '2', 'mass_quantity' : '0', 'volume_unit' : '5', 'volume_quantity' : '0.4', 'pieces_unit' : '3', 'pieces_quantity' : '0', 'cooking_notes' : ''}).status_code; print('%s :: %s :: %s :: %s :: %s' %(a,198,'Roasted chilly powder','madrasi mirchi akkaha','Dahi Baingan'))</v>
      </c>
    </row>
    <row r="199" customFormat="false" ht="13.8" hidden="false" customHeight="false" outlineLevel="0" collapsed="false">
      <c r="G199" s="80" t="n">
        <v>199</v>
      </c>
      <c r="I199" s="82" t="s">
        <v>157</v>
      </c>
      <c r="J199" s="83" t="s">
        <v>582</v>
      </c>
      <c r="M199" s="61" t="n">
        <v>2.5</v>
      </c>
      <c r="N199" s="61" t="s">
        <v>20</v>
      </c>
      <c r="R199" s="82" t="str">
        <f aca="false">VLOOKUP(J199,ingredient!$N$4:$O$553,2,0)</f>
        <v>jeera</v>
      </c>
      <c r="U199" s="81" t="str">
        <f aca="false">I199</f>
        <v>Dahi Baingan</v>
      </c>
      <c r="V199" s="81" t="n">
        <f aca="false">VLOOKUP(U199,recipe_ingred_list!$A$2:$B$300,2,0)</f>
        <v>16</v>
      </c>
      <c r="W199" s="81" t="str">
        <f aca="false">"/recipes/"&amp;VLOOKUP(U199,recipe_ingred_list!$A$2:$C$300,3,0)&amp;"/detail/"</f>
        <v>/recipes/dahi-baingan/detail/</v>
      </c>
      <c r="X199" s="81" t="str">
        <f aca="false">J199</f>
        <v>Roasted jeera powder</v>
      </c>
      <c r="Y199" s="81" t="str">
        <f aca="false">R199</f>
        <v>jeera</v>
      </c>
      <c r="Z199" s="94" t="n">
        <f aca="false">VLOOKUP(Y199,recipe_ingred_list!$D$2:$E$500,2,0)</f>
        <v>102</v>
      </c>
      <c r="AA199" s="61" t="n">
        <f aca="false">K199</f>
        <v>0</v>
      </c>
      <c r="AB199" s="61" t="n">
        <f aca="false">L199</f>
        <v>0</v>
      </c>
      <c r="AC199" s="61" t="n">
        <f aca="false">VLOOKUP(AB199,recipe_ingred_list!$K$2:$M$7,3,0)</f>
        <v>2</v>
      </c>
      <c r="AD199" s="61" t="n">
        <f aca="false">M199</f>
        <v>2.5</v>
      </c>
      <c r="AE199" s="61" t="str">
        <f aca="false">N199</f>
        <v>cup</v>
      </c>
      <c r="AF199" s="61" t="n">
        <f aca="false">VLOOKUP(AE199,recipe_ingred_list!$K$16:$M$25,3,0)</f>
        <v>5</v>
      </c>
      <c r="AG199" s="61" t="n">
        <f aca="false">O199</f>
        <v>0</v>
      </c>
      <c r="AH199" s="61" t="n">
        <f aca="false">P199</f>
        <v>0</v>
      </c>
      <c r="AI199" s="61" t="n">
        <f aca="false">VLOOKUP(AH199,recipe_ingred_list!$K$29:$M$34,3,0)</f>
        <v>3</v>
      </c>
      <c r="AJ199" s="61" t="str">
        <f aca="false">IF(Q199="","",Q199)</f>
        <v/>
      </c>
      <c r="AK199" s="61" t="n">
        <f aca="false">AK198+1</f>
        <v>199</v>
      </c>
      <c r="AL199" s="61" t="str">
        <f aca="false">Y199</f>
        <v>jeera</v>
      </c>
      <c r="AM199" s="81" t="str">
        <f aca="false">"a = Client().post('"&amp;W199&amp;"', {'recipe' : '"&amp;V199&amp;"', 'ingredient' : '"&amp;Z199&amp;"', 'name' : '"&amp;X199&amp;"', 'mass_unit' : '"&amp;AC199&amp;"', 'mass_quantity' : '"&amp;ROUND(AA199,3)&amp;"', 'volume_unit' : '"&amp;AF199&amp;"', 'volume_quantity' : '"&amp;ROUND(AD199,3)&amp;"', 'pieces_unit' : '"&amp;AI199&amp;"', 'pieces_quantity' : '"&amp;ROUND(AG199,3)&amp;"', 'cooking_notes' : '"&amp;AJ199&amp;"'}).status_code; print('%s :: %s :: %s :: %s :: %s' %(a,"&amp;G199&amp;",'"&amp;X199&amp;"','"&amp;Y199&amp;"','"&amp;U199&amp;"'))"</f>
        <v>a = Client().post('/recipes/dahi-baingan/detail/', {'recipe' : '16', 'ingredient' : '102', 'name' : 'Roasted jeera powder', 'mass_unit' : '2', 'mass_quantity' : '0', 'volume_unit' : '5', 'volume_quantity' : '2.5', 'pieces_unit' : '3', 'pieces_quantity' : '0', 'cooking_notes' : ''}).status_code; print('%s :: %s :: %s :: %s :: %s' %(a,199,'Roasted jeera powder','jeera','Dahi Baingan'))</v>
      </c>
    </row>
    <row r="200" customFormat="false" ht="13.8" hidden="false" customHeight="false" outlineLevel="0" collapsed="false">
      <c r="G200" s="80" t="n">
        <v>200</v>
      </c>
      <c r="I200" s="82" t="s">
        <v>157</v>
      </c>
      <c r="J200" s="83" t="s">
        <v>583</v>
      </c>
      <c r="M200" s="61" t="n">
        <v>0.4</v>
      </c>
      <c r="N200" s="61" t="s">
        <v>20</v>
      </c>
      <c r="R200" s="82" t="str">
        <f aca="false">VLOOKUP(J200,ingredient!$N$4:$O$553,2,0)</f>
        <v>soonth</v>
      </c>
      <c r="U200" s="81" t="str">
        <f aca="false">I200</f>
        <v>Dahi Baingan</v>
      </c>
      <c r="V200" s="81" t="n">
        <f aca="false">VLOOKUP(U200,recipe_ingred_list!$A$2:$B$300,2,0)</f>
        <v>16</v>
      </c>
      <c r="W200" s="81" t="str">
        <f aca="false">"/recipes/"&amp;VLOOKUP(U200,recipe_ingred_list!$A$2:$C$300,3,0)&amp;"/detail/"</f>
        <v>/recipes/dahi-baingan/detail/</v>
      </c>
      <c r="X200" s="81" t="str">
        <f aca="false">J200</f>
        <v>Soonth</v>
      </c>
      <c r="Y200" s="81" t="str">
        <f aca="false">R200</f>
        <v>soonth</v>
      </c>
      <c r="Z200" s="94" t="n">
        <f aca="false">VLOOKUP(Y200,recipe_ingred_list!$D$2:$E$500,2,0)</f>
        <v>184</v>
      </c>
      <c r="AA200" s="61" t="n">
        <f aca="false">K200</f>
        <v>0</v>
      </c>
      <c r="AB200" s="61" t="n">
        <f aca="false">L200</f>
        <v>0</v>
      </c>
      <c r="AC200" s="61" t="n">
        <f aca="false">VLOOKUP(AB200,recipe_ingred_list!$K$2:$M$7,3,0)</f>
        <v>2</v>
      </c>
      <c r="AD200" s="61" t="n">
        <f aca="false">M200</f>
        <v>0.4</v>
      </c>
      <c r="AE200" s="61" t="str">
        <f aca="false">N200</f>
        <v>cup</v>
      </c>
      <c r="AF200" s="61" t="n">
        <f aca="false">VLOOKUP(AE200,recipe_ingred_list!$K$16:$M$25,3,0)</f>
        <v>5</v>
      </c>
      <c r="AG200" s="61" t="n">
        <f aca="false">O200</f>
        <v>0</v>
      </c>
      <c r="AH200" s="61" t="n">
        <f aca="false">P200</f>
        <v>0</v>
      </c>
      <c r="AI200" s="61" t="n">
        <f aca="false">VLOOKUP(AH200,recipe_ingred_list!$K$29:$M$34,3,0)</f>
        <v>3</v>
      </c>
      <c r="AJ200" s="61" t="str">
        <f aca="false">IF(Q200="","",Q200)</f>
        <v/>
      </c>
      <c r="AK200" s="61" t="n">
        <f aca="false">AK199+1</f>
        <v>200</v>
      </c>
      <c r="AL200" s="61" t="str">
        <f aca="false">Y200</f>
        <v>soonth</v>
      </c>
      <c r="AM200" s="81" t="str">
        <f aca="false">"a = Client().post('"&amp;W200&amp;"', {'recipe' : '"&amp;V200&amp;"', 'ingredient' : '"&amp;Z200&amp;"', 'name' : '"&amp;X200&amp;"', 'mass_unit' : '"&amp;AC200&amp;"', 'mass_quantity' : '"&amp;ROUND(AA200,3)&amp;"', 'volume_unit' : '"&amp;AF200&amp;"', 'volume_quantity' : '"&amp;ROUND(AD200,3)&amp;"', 'pieces_unit' : '"&amp;AI200&amp;"', 'pieces_quantity' : '"&amp;ROUND(AG200,3)&amp;"', 'cooking_notes' : '"&amp;AJ200&amp;"'}).status_code; print('%s :: %s :: %s :: %s :: %s' %(a,"&amp;G200&amp;",'"&amp;X200&amp;"','"&amp;Y200&amp;"','"&amp;U200&amp;"'))"</f>
        <v>a = Client().post('/recipes/dahi-baingan/detail/', {'recipe' : '16', 'ingredient' : '184', 'name' : 'Soonth', 'mass_unit' : '2', 'mass_quantity' : '0', 'volume_unit' : '5', 'volume_quantity' : '0.4', 'pieces_unit' : '3', 'pieces_quantity' : '0', 'cooking_notes' : ''}).status_code; print('%s :: %s :: %s :: %s :: %s' %(a,200,'Soonth','soonth','Dahi Baingan'))</v>
      </c>
    </row>
    <row r="201" customFormat="false" ht="13.8" hidden="false" customHeight="false" outlineLevel="0" collapsed="false">
      <c r="G201" s="80" t="n">
        <v>201</v>
      </c>
      <c r="I201" s="82" t="s">
        <v>157</v>
      </c>
      <c r="J201" s="83" t="s">
        <v>584</v>
      </c>
      <c r="R201" s="82" t="str">
        <f aca="false">VLOOKUP(J201,ingredient!$N$4:$O$553,2,0)</f>
        <v>chaunce</v>
      </c>
      <c r="U201" s="81" t="str">
        <f aca="false">I201</f>
        <v>Dahi Baingan</v>
      </c>
      <c r="V201" s="81" t="n">
        <f aca="false">VLOOKUP(U201,recipe_ingred_list!$A$2:$B$300,2,0)</f>
        <v>16</v>
      </c>
      <c r="W201" s="81" t="str">
        <f aca="false">"/recipes/"&amp;VLOOKUP(U201,recipe_ingred_list!$A$2:$C$300,3,0)&amp;"/detail/"</f>
        <v>/recipes/dahi-baingan/detail/</v>
      </c>
      <c r="X201" s="81" t="str">
        <f aca="false">J201</f>
        <v>Chaunce</v>
      </c>
      <c r="Y201" s="81" t="str">
        <f aca="false">R201</f>
        <v>chaunce</v>
      </c>
      <c r="Z201" s="94" t="n">
        <f aca="false">VLOOKUP(Y201,recipe_ingred_list!$D$2:$E$500,2,0)</f>
        <v>48</v>
      </c>
      <c r="AA201" s="61" t="n">
        <f aca="false">K201</f>
        <v>0</v>
      </c>
      <c r="AB201" s="61" t="n">
        <f aca="false">L201</f>
        <v>0</v>
      </c>
      <c r="AC201" s="61" t="n">
        <f aca="false">VLOOKUP(AB201,recipe_ingred_list!$K$2:$M$7,3,0)</f>
        <v>2</v>
      </c>
      <c r="AD201" s="61" t="n">
        <f aca="false">M201</f>
        <v>0</v>
      </c>
      <c r="AE201" s="61" t="n">
        <f aca="false">N201</f>
        <v>0</v>
      </c>
      <c r="AF201" s="61" t="n">
        <f aca="false">VLOOKUP(AE201,recipe_ingred_list!$K$16:$M$25,3,0)</f>
        <v>1</v>
      </c>
      <c r="AG201" s="61" t="n">
        <f aca="false">O201</f>
        <v>0</v>
      </c>
      <c r="AH201" s="61" t="n">
        <f aca="false">P201</f>
        <v>0</v>
      </c>
      <c r="AI201" s="61" t="n">
        <f aca="false">VLOOKUP(AH201,recipe_ingred_list!$K$29:$M$34,3,0)</f>
        <v>3</v>
      </c>
      <c r="AJ201" s="61" t="str">
        <f aca="false">IF(Q201="","",Q201)</f>
        <v/>
      </c>
      <c r="AK201" s="61" t="n">
        <f aca="false">AK200+1</f>
        <v>201</v>
      </c>
      <c r="AL201" s="61" t="str">
        <f aca="false">Y201</f>
        <v>chaunce</v>
      </c>
      <c r="AM201" s="81" t="str">
        <f aca="false">"a = Client().post('"&amp;W201&amp;"', {'recipe' : '"&amp;V201&amp;"', 'ingredient' : '"&amp;Z201&amp;"', 'name' : '"&amp;X201&amp;"', 'mass_unit' : '"&amp;AC201&amp;"', 'mass_quantity' : '"&amp;ROUND(AA201,3)&amp;"', 'volume_unit' : '"&amp;AF201&amp;"', 'volume_quantity' : '"&amp;ROUND(AD201,3)&amp;"', 'pieces_unit' : '"&amp;AI201&amp;"', 'pieces_quantity' : '"&amp;ROUND(AG201,3)&amp;"', 'cooking_notes' : '"&amp;AJ201&amp;"'}).status_code; print('%s :: %s :: %s :: %s :: %s' %(a,"&amp;G201&amp;",'"&amp;X201&amp;"','"&amp;Y201&amp;"','"&amp;U201&amp;"'))"</f>
        <v>a = Client().post('/recipes/dahi-baingan/detail/', {'recipe' : '16', 'ingredient' : '48', 'name' : 'Chaunce', 'mass_unit' : '2', 'mass_quantity' : '0', 'volume_unit' : '1', 'volume_quantity' : '0', 'pieces_unit' : '3', 'pieces_quantity' : '0', 'cooking_notes' : ''}).status_code; print('%s :: %s :: %s :: %s :: %s' %(a,201,'Chaunce','chaunce','Dahi Baingan'))</v>
      </c>
    </row>
    <row r="202" customFormat="false" ht="13.8" hidden="false" customHeight="false" outlineLevel="0" collapsed="false">
      <c r="G202" s="80" t="n">
        <v>202</v>
      </c>
      <c r="I202" s="82" t="s">
        <v>157</v>
      </c>
      <c r="J202" s="83" t="s">
        <v>585</v>
      </c>
      <c r="M202" s="61" t="n">
        <v>1.25</v>
      </c>
      <c r="N202" s="61" t="s">
        <v>13</v>
      </c>
      <c r="R202" s="82" t="str">
        <f aca="false">VLOOKUP(J202,ingredient!$N$4:$O$553,2,0)</f>
        <v>rai oil</v>
      </c>
      <c r="U202" s="81" t="str">
        <f aca="false">I202</f>
        <v>Dahi Baingan</v>
      </c>
      <c r="V202" s="81" t="n">
        <f aca="false">VLOOKUP(U202,recipe_ingred_list!$A$2:$B$300,2,0)</f>
        <v>16</v>
      </c>
      <c r="W202" s="81" t="str">
        <f aca="false">"/recipes/"&amp;VLOOKUP(U202,recipe_ingred_list!$A$2:$C$300,3,0)&amp;"/detail/"</f>
        <v>/recipes/dahi-baingan/detail/</v>
      </c>
      <c r="X202" s="81" t="str">
        <f aca="false">J202</f>
        <v>Rai tel</v>
      </c>
      <c r="Y202" s="81" t="str">
        <f aca="false">R202</f>
        <v>rai oil</v>
      </c>
      <c r="Z202" s="94" t="n">
        <f aca="false">VLOOKUP(Y202,recipe_ingred_list!$D$2:$E$500,2,0)</f>
        <v>165</v>
      </c>
      <c r="AA202" s="61" t="n">
        <f aca="false">K202</f>
        <v>0</v>
      </c>
      <c r="AB202" s="61" t="n">
        <f aca="false">L202</f>
        <v>0</v>
      </c>
      <c r="AC202" s="61" t="n">
        <f aca="false">VLOOKUP(AB202,recipe_ingred_list!$K$2:$M$7,3,0)</f>
        <v>2</v>
      </c>
      <c r="AD202" s="61" t="n">
        <f aca="false">M202</f>
        <v>1.25</v>
      </c>
      <c r="AE202" s="61" t="str">
        <f aca="false">N202</f>
        <v>ltr</v>
      </c>
      <c r="AF202" s="61" t="n">
        <f aca="false">VLOOKUP(AE202,recipe_ingred_list!$K$16:$M$25,3,0)</f>
        <v>1</v>
      </c>
      <c r="AG202" s="61" t="n">
        <f aca="false">O202</f>
        <v>0</v>
      </c>
      <c r="AH202" s="61" t="n">
        <f aca="false">P202</f>
        <v>0</v>
      </c>
      <c r="AI202" s="61" t="n">
        <f aca="false">VLOOKUP(AH202,recipe_ingred_list!$K$29:$M$34,3,0)</f>
        <v>3</v>
      </c>
      <c r="AJ202" s="61" t="str">
        <f aca="false">IF(Q202="","",Q202)</f>
        <v/>
      </c>
      <c r="AK202" s="61" t="n">
        <f aca="false">AK201+1</f>
        <v>202</v>
      </c>
      <c r="AL202" s="61" t="str">
        <f aca="false">Y202</f>
        <v>rai oil</v>
      </c>
      <c r="AM202" s="81" t="str">
        <f aca="false">"a = Client().post('"&amp;W202&amp;"', {'recipe' : '"&amp;V202&amp;"', 'ingredient' : '"&amp;Z202&amp;"', 'name' : '"&amp;X202&amp;"', 'mass_unit' : '"&amp;AC202&amp;"', 'mass_quantity' : '"&amp;ROUND(AA202,3)&amp;"', 'volume_unit' : '"&amp;AF202&amp;"', 'volume_quantity' : '"&amp;ROUND(AD202,3)&amp;"', 'pieces_unit' : '"&amp;AI202&amp;"', 'pieces_quantity' : '"&amp;ROUND(AG202,3)&amp;"', 'cooking_notes' : '"&amp;AJ202&amp;"'}).status_code; print('%s :: %s :: %s :: %s :: %s' %(a,"&amp;G202&amp;",'"&amp;X202&amp;"','"&amp;Y202&amp;"','"&amp;U202&amp;"'))"</f>
        <v>a = Client().post('/recipes/dahi-baingan/detail/', {'recipe' : '16', 'ingredient' : '165', 'name' : 'Rai tel', 'mass_unit' : '2', 'mass_quantity' : '0', 'volume_unit' : '1', 'volume_quantity' : '1.25', 'pieces_unit' : '3', 'pieces_quantity' : '0', 'cooking_notes' : ''}).status_code; print('%s :: %s :: %s :: %s :: %s' %(a,202,'Rai tel','rai oil','Dahi Baingan'))</v>
      </c>
    </row>
    <row r="203" customFormat="false" ht="13.8" hidden="false" customHeight="false" outlineLevel="0" collapsed="false">
      <c r="G203" s="80" t="n">
        <v>203</v>
      </c>
      <c r="I203" s="82" t="s">
        <v>157</v>
      </c>
      <c r="J203" s="83" t="s">
        <v>570</v>
      </c>
      <c r="M203" s="61" t="n">
        <v>0.5</v>
      </c>
      <c r="N203" s="61" t="s">
        <v>20</v>
      </c>
      <c r="R203" s="82" t="str">
        <f aca="false">VLOOKUP(J203,ingredient!$N$4:$O$553,2,0)</f>
        <v>rai</v>
      </c>
      <c r="U203" s="81" t="str">
        <f aca="false">I203</f>
        <v>Dahi Baingan</v>
      </c>
      <c r="V203" s="81" t="n">
        <f aca="false">VLOOKUP(U203,recipe_ingred_list!$A$2:$B$300,2,0)</f>
        <v>16</v>
      </c>
      <c r="W203" s="81" t="str">
        <f aca="false">"/recipes/"&amp;VLOOKUP(U203,recipe_ingred_list!$A$2:$C$300,3,0)&amp;"/detail/"</f>
        <v>/recipes/dahi-baingan/detail/</v>
      </c>
      <c r="X203" s="81" t="str">
        <f aca="false">J203</f>
        <v>Rai</v>
      </c>
      <c r="Y203" s="81" t="str">
        <f aca="false">R203</f>
        <v>rai</v>
      </c>
      <c r="Z203" s="94" t="n">
        <f aca="false">VLOOKUP(Y203,recipe_ingred_list!$D$2:$E$500,2,0)</f>
        <v>164</v>
      </c>
      <c r="AA203" s="61" t="n">
        <f aca="false">K203</f>
        <v>0</v>
      </c>
      <c r="AB203" s="61" t="n">
        <f aca="false">L203</f>
        <v>0</v>
      </c>
      <c r="AC203" s="61" t="n">
        <f aca="false">VLOOKUP(AB203,recipe_ingred_list!$K$2:$M$7,3,0)</f>
        <v>2</v>
      </c>
      <c r="AD203" s="61" t="n">
        <f aca="false">M203</f>
        <v>0.5</v>
      </c>
      <c r="AE203" s="61" t="str">
        <f aca="false">N203</f>
        <v>cup</v>
      </c>
      <c r="AF203" s="61" t="n">
        <f aca="false">VLOOKUP(AE203,recipe_ingred_list!$K$16:$M$25,3,0)</f>
        <v>5</v>
      </c>
      <c r="AG203" s="61" t="n">
        <f aca="false">O203</f>
        <v>0</v>
      </c>
      <c r="AH203" s="61" t="n">
        <f aca="false">P203</f>
        <v>0</v>
      </c>
      <c r="AI203" s="61" t="n">
        <f aca="false">VLOOKUP(AH203,recipe_ingred_list!$K$29:$M$34,3,0)</f>
        <v>3</v>
      </c>
      <c r="AJ203" s="61" t="str">
        <f aca="false">IF(Q203="","",Q203)</f>
        <v/>
      </c>
      <c r="AK203" s="61" t="n">
        <f aca="false">AK202+1</f>
        <v>203</v>
      </c>
      <c r="AL203" s="61" t="str">
        <f aca="false">Y203</f>
        <v>rai</v>
      </c>
      <c r="AM203" s="81" t="str">
        <f aca="false">"a = Client().post('"&amp;W203&amp;"', {'recipe' : '"&amp;V203&amp;"', 'ingredient' : '"&amp;Z203&amp;"', 'name' : '"&amp;X203&amp;"', 'mass_unit' : '"&amp;AC203&amp;"', 'mass_quantity' : '"&amp;ROUND(AA203,3)&amp;"', 'volume_unit' : '"&amp;AF203&amp;"', 'volume_quantity' : '"&amp;ROUND(AD203,3)&amp;"', 'pieces_unit' : '"&amp;AI203&amp;"', 'pieces_quantity' : '"&amp;ROUND(AG203,3)&amp;"', 'cooking_notes' : '"&amp;AJ203&amp;"'}).status_code; print('%s :: %s :: %s :: %s :: %s' %(a,"&amp;G203&amp;",'"&amp;X203&amp;"','"&amp;Y203&amp;"','"&amp;U203&amp;"'))"</f>
        <v>a = Client().post('/recipes/dahi-baingan/detail/', {'recipe' : '16', 'ingredient' : '164', 'name' : 'Rai', 'mass_unit' : '2', 'mass_quantity' : '0', 'volume_unit' : '5', 'volume_quantity' : '0.5', 'pieces_unit' : '3', 'pieces_quantity' : '0', 'cooking_notes' : ''}).status_code; print('%s :: %s :: %s :: %s :: %s' %(a,203,'Rai','rai','Dahi Baingan'))</v>
      </c>
    </row>
    <row r="204" customFormat="false" ht="13.8" hidden="false" customHeight="false" outlineLevel="0" collapsed="false">
      <c r="G204" s="80" t="n">
        <v>204</v>
      </c>
      <c r="I204" s="82" t="s">
        <v>157</v>
      </c>
      <c r="J204" s="83" t="s">
        <v>562</v>
      </c>
      <c r="M204" s="61" t="n">
        <v>0.25</v>
      </c>
      <c r="N204" s="61" t="s">
        <v>20</v>
      </c>
      <c r="R204" s="82" t="str">
        <f aca="false">VLOOKUP(J204,ingredient!$N$4:$O$553,2,0)</f>
        <v>hing</v>
      </c>
      <c r="U204" s="81" t="str">
        <f aca="false">I204</f>
        <v>Dahi Baingan</v>
      </c>
      <c r="V204" s="81" t="n">
        <f aca="false">VLOOKUP(U204,recipe_ingred_list!$A$2:$B$300,2,0)</f>
        <v>16</v>
      </c>
      <c r="W204" s="81" t="str">
        <f aca="false">"/recipes/"&amp;VLOOKUP(U204,recipe_ingred_list!$A$2:$C$300,3,0)&amp;"/detail/"</f>
        <v>/recipes/dahi-baingan/detail/</v>
      </c>
      <c r="X204" s="81" t="str">
        <f aca="false">J204</f>
        <v>Hing</v>
      </c>
      <c r="Y204" s="81" t="str">
        <f aca="false">R204</f>
        <v>hing</v>
      </c>
      <c r="Z204" s="94" t="n">
        <f aca="false">VLOOKUP(Y204,recipe_ingred_list!$D$2:$E$500,2,0)</f>
        <v>95</v>
      </c>
      <c r="AA204" s="61" t="n">
        <f aca="false">K204</f>
        <v>0</v>
      </c>
      <c r="AB204" s="61" t="n">
        <f aca="false">L204</f>
        <v>0</v>
      </c>
      <c r="AC204" s="61" t="n">
        <f aca="false">VLOOKUP(AB204,recipe_ingred_list!$K$2:$M$7,3,0)</f>
        <v>2</v>
      </c>
      <c r="AD204" s="61" t="n">
        <f aca="false">M204</f>
        <v>0.25</v>
      </c>
      <c r="AE204" s="61" t="str">
        <f aca="false">N204</f>
        <v>cup</v>
      </c>
      <c r="AF204" s="61" t="n">
        <f aca="false">VLOOKUP(AE204,recipe_ingred_list!$K$16:$M$25,3,0)</f>
        <v>5</v>
      </c>
      <c r="AG204" s="61" t="n">
        <f aca="false">O204</f>
        <v>0</v>
      </c>
      <c r="AH204" s="61" t="n">
        <f aca="false">P204</f>
        <v>0</v>
      </c>
      <c r="AI204" s="61" t="n">
        <f aca="false">VLOOKUP(AH204,recipe_ingred_list!$K$29:$M$34,3,0)</f>
        <v>3</v>
      </c>
      <c r="AJ204" s="61" t="str">
        <f aca="false">IF(Q204="","",Q204)</f>
        <v/>
      </c>
      <c r="AK204" s="61" t="n">
        <f aca="false">AK203+1</f>
        <v>204</v>
      </c>
      <c r="AL204" s="61" t="str">
        <f aca="false">Y204</f>
        <v>hing</v>
      </c>
      <c r="AM204" s="81" t="str">
        <f aca="false">"a = Client().post('"&amp;W204&amp;"', {'recipe' : '"&amp;V204&amp;"', 'ingredient' : '"&amp;Z204&amp;"', 'name' : '"&amp;X204&amp;"', 'mass_unit' : '"&amp;AC204&amp;"', 'mass_quantity' : '"&amp;ROUND(AA204,3)&amp;"', 'volume_unit' : '"&amp;AF204&amp;"', 'volume_quantity' : '"&amp;ROUND(AD204,3)&amp;"', 'pieces_unit' : '"&amp;AI204&amp;"', 'pieces_quantity' : '"&amp;ROUND(AG204,3)&amp;"', 'cooking_notes' : '"&amp;AJ204&amp;"'}).status_code; print('%s :: %s :: %s :: %s :: %s' %(a,"&amp;G204&amp;",'"&amp;X204&amp;"','"&amp;Y204&amp;"','"&amp;U204&amp;"'))"</f>
        <v>a = Client().post('/recipes/dahi-baingan/detail/', {'recipe' : '16', 'ingredient' : '95', 'name' : 'Hing', 'mass_unit' : '2', 'mass_quantity' : '0', 'volume_unit' : '5', 'volume_quantity' : '0.25', 'pieces_unit' : '3', 'pieces_quantity' : '0', 'cooking_notes' : ''}).status_code; print('%s :: %s :: %s :: %s :: %s' %(a,204,'Hing','hing','Dahi Baingan'))</v>
      </c>
    </row>
    <row r="205" customFormat="false" ht="13.8" hidden="false" customHeight="false" outlineLevel="0" collapsed="false">
      <c r="G205" s="80" t="n">
        <v>205</v>
      </c>
      <c r="I205" s="82" t="s">
        <v>157</v>
      </c>
      <c r="J205" s="83" t="s">
        <v>586</v>
      </c>
      <c r="M205" s="61" t="n">
        <v>2</v>
      </c>
      <c r="N205" s="61" t="s">
        <v>20</v>
      </c>
      <c r="R205" s="82" t="str">
        <f aca="false">VLOOKUP(J205,ingredient!$N$4:$O$553,2,0)</f>
        <v>kadi patta</v>
      </c>
      <c r="U205" s="81" t="str">
        <f aca="false">I205</f>
        <v>Dahi Baingan</v>
      </c>
      <c r="V205" s="81" t="n">
        <f aca="false">VLOOKUP(U205,recipe_ingred_list!$A$2:$B$300,2,0)</f>
        <v>16</v>
      </c>
      <c r="W205" s="81" t="str">
        <f aca="false">"/recipes/"&amp;VLOOKUP(U205,recipe_ingred_list!$A$2:$C$300,3,0)&amp;"/detail/"</f>
        <v>/recipes/dahi-baingan/detail/</v>
      </c>
      <c r="X205" s="81" t="str">
        <f aca="false">J205</f>
        <v>Kadipatta</v>
      </c>
      <c r="Y205" s="81" t="str">
        <f aca="false">R205</f>
        <v>kadi patta</v>
      </c>
      <c r="Z205" s="94" t="n">
        <f aca="false">VLOOKUP(Y205,recipe_ingred_list!$D$2:$E$500,2,0)</f>
        <v>105</v>
      </c>
      <c r="AA205" s="61" t="n">
        <f aca="false">K205</f>
        <v>0</v>
      </c>
      <c r="AB205" s="61" t="n">
        <f aca="false">L205</f>
        <v>0</v>
      </c>
      <c r="AC205" s="61" t="n">
        <f aca="false">VLOOKUP(AB205,recipe_ingred_list!$K$2:$M$7,3,0)</f>
        <v>2</v>
      </c>
      <c r="AD205" s="61" t="n">
        <f aca="false">M205</f>
        <v>2</v>
      </c>
      <c r="AE205" s="61" t="str">
        <f aca="false">N205</f>
        <v>cup</v>
      </c>
      <c r="AF205" s="61" t="n">
        <f aca="false">VLOOKUP(AE205,recipe_ingred_list!$K$16:$M$25,3,0)</f>
        <v>5</v>
      </c>
      <c r="AG205" s="61" t="n">
        <f aca="false">O205</f>
        <v>0</v>
      </c>
      <c r="AH205" s="61" t="n">
        <f aca="false">P205</f>
        <v>0</v>
      </c>
      <c r="AI205" s="61" t="n">
        <f aca="false">VLOOKUP(AH205,recipe_ingred_list!$K$29:$M$34,3,0)</f>
        <v>3</v>
      </c>
      <c r="AJ205" s="61" t="str">
        <f aca="false">IF(Q205="","",Q205)</f>
        <v/>
      </c>
      <c r="AK205" s="61" t="n">
        <f aca="false">AK204+1</f>
        <v>205</v>
      </c>
      <c r="AL205" s="61" t="str">
        <f aca="false">Y205</f>
        <v>kadi patta</v>
      </c>
      <c r="AM205" s="81" t="str">
        <f aca="false">"a = Client().post('"&amp;W205&amp;"', {'recipe' : '"&amp;V205&amp;"', 'ingredient' : '"&amp;Z205&amp;"', 'name' : '"&amp;X205&amp;"', 'mass_unit' : '"&amp;AC205&amp;"', 'mass_quantity' : '"&amp;ROUND(AA205,3)&amp;"', 'volume_unit' : '"&amp;AF205&amp;"', 'volume_quantity' : '"&amp;ROUND(AD205,3)&amp;"', 'pieces_unit' : '"&amp;AI205&amp;"', 'pieces_quantity' : '"&amp;ROUND(AG205,3)&amp;"', 'cooking_notes' : '"&amp;AJ205&amp;"'}).status_code; print('%s :: %s :: %s :: %s :: %s' %(a,"&amp;G205&amp;",'"&amp;X205&amp;"','"&amp;Y205&amp;"','"&amp;U205&amp;"'))"</f>
        <v>a = Client().post('/recipes/dahi-baingan/detail/', {'recipe' : '16', 'ingredient' : '105', 'name' : 'Kadipatta', 'mass_unit' : '2', 'mass_quantity' : '0', 'volume_unit' : '5', 'volume_quantity' : '2', 'pieces_unit' : '3', 'pieces_quantity' : '0', 'cooking_notes' : ''}).status_code; print('%s :: %s :: %s :: %s :: %s' %(a,205,'Kadipatta','kadi patta','Dahi Baingan'))</v>
      </c>
    </row>
    <row r="206" customFormat="false" ht="13.8" hidden="false" customHeight="false" outlineLevel="0" collapsed="false">
      <c r="G206" s="80" t="n">
        <v>206</v>
      </c>
      <c r="I206" s="82" t="s">
        <v>157</v>
      </c>
      <c r="J206" s="83" t="s">
        <v>18</v>
      </c>
      <c r="M206" s="61" t="n">
        <v>2</v>
      </c>
      <c r="N206" s="61" t="s">
        <v>20</v>
      </c>
      <c r="R206" s="82" t="str">
        <f aca="false">VLOOKUP(J206,ingredient!$N$4:$O$553,2,0)</f>
        <v>adrak</v>
      </c>
      <c r="U206" s="81" t="str">
        <f aca="false">I206</f>
        <v>Dahi Baingan</v>
      </c>
      <c r="V206" s="81" t="n">
        <f aca="false">VLOOKUP(U206,recipe_ingred_list!$A$2:$B$300,2,0)</f>
        <v>16</v>
      </c>
      <c r="W206" s="81" t="str">
        <f aca="false">"/recipes/"&amp;VLOOKUP(U206,recipe_ingred_list!$A$2:$C$300,3,0)&amp;"/detail/"</f>
        <v>/recipes/dahi-baingan/detail/</v>
      </c>
      <c r="X206" s="81" t="str">
        <f aca="false">J206</f>
        <v>Adrak paste</v>
      </c>
      <c r="Y206" s="81" t="str">
        <f aca="false">R206</f>
        <v>adrak</v>
      </c>
      <c r="Z206" s="94" t="n">
        <f aca="false">VLOOKUP(Y206,recipe_ingred_list!$D$2:$E$500,2,0)</f>
        <v>1</v>
      </c>
      <c r="AA206" s="61" t="n">
        <f aca="false">K206</f>
        <v>0</v>
      </c>
      <c r="AB206" s="61" t="n">
        <f aca="false">L206</f>
        <v>0</v>
      </c>
      <c r="AC206" s="61" t="n">
        <f aca="false">VLOOKUP(AB206,recipe_ingred_list!$K$2:$M$7,3,0)</f>
        <v>2</v>
      </c>
      <c r="AD206" s="61" t="n">
        <f aca="false">M206</f>
        <v>2</v>
      </c>
      <c r="AE206" s="61" t="str">
        <f aca="false">N206</f>
        <v>cup</v>
      </c>
      <c r="AF206" s="61" t="n">
        <f aca="false">VLOOKUP(AE206,recipe_ingred_list!$K$16:$M$25,3,0)</f>
        <v>5</v>
      </c>
      <c r="AG206" s="61" t="n">
        <f aca="false">O206</f>
        <v>0</v>
      </c>
      <c r="AH206" s="61" t="n">
        <f aca="false">P206</f>
        <v>0</v>
      </c>
      <c r="AI206" s="61" t="n">
        <f aca="false">VLOOKUP(AH206,recipe_ingred_list!$K$29:$M$34,3,0)</f>
        <v>3</v>
      </c>
      <c r="AJ206" s="61" t="str">
        <f aca="false">IF(Q206="","",Q206)</f>
        <v/>
      </c>
      <c r="AK206" s="61" t="n">
        <f aca="false">AK205+1</f>
        <v>206</v>
      </c>
      <c r="AL206" s="61" t="str">
        <f aca="false">Y206</f>
        <v>adrak</v>
      </c>
      <c r="AM206" s="81" t="str">
        <f aca="false">"a = Client().post('"&amp;W206&amp;"', {'recipe' : '"&amp;V206&amp;"', 'ingredient' : '"&amp;Z206&amp;"', 'name' : '"&amp;X206&amp;"', 'mass_unit' : '"&amp;AC206&amp;"', 'mass_quantity' : '"&amp;ROUND(AA206,3)&amp;"', 'volume_unit' : '"&amp;AF206&amp;"', 'volume_quantity' : '"&amp;ROUND(AD206,3)&amp;"', 'pieces_unit' : '"&amp;AI206&amp;"', 'pieces_quantity' : '"&amp;ROUND(AG206,3)&amp;"', 'cooking_notes' : '"&amp;AJ206&amp;"'}).status_code; print('%s :: %s :: %s :: %s :: %s' %(a,"&amp;G206&amp;",'"&amp;X206&amp;"','"&amp;Y206&amp;"','"&amp;U206&amp;"'))"</f>
        <v>a = Client().post('/recipes/dahi-baingan/detail/', {'recipe' : '16', 'ingredient' : '1', 'name' : 'Adrak paste', 'mass_unit' : '2', 'mass_quantity' : '0', 'volume_unit' : '5', 'volume_quantity' : '2', 'pieces_unit' : '3', 'pieces_quantity' : '0', 'cooking_notes' : ''}).status_code; print('%s :: %s :: %s :: %s :: %s' %(a,206,'Adrak paste','adrak','Dahi Baingan'))</v>
      </c>
    </row>
    <row r="207" customFormat="false" ht="14.9" hidden="false" customHeight="false" outlineLevel="0" collapsed="false">
      <c r="G207" s="80" t="n">
        <v>207</v>
      </c>
      <c r="I207" s="82" t="s">
        <v>157</v>
      </c>
      <c r="J207" s="83" t="s">
        <v>589</v>
      </c>
      <c r="K207" s="61" t="n">
        <v>35</v>
      </c>
      <c r="L207" s="61" t="s">
        <v>7</v>
      </c>
      <c r="Q207" s="84" t="s">
        <v>590</v>
      </c>
      <c r="R207" s="82" t="str">
        <f aca="false">VLOOKUP(J207,ingredient!$N$4:$O$553,2,0)</f>
        <v>baingan</v>
      </c>
      <c r="U207" s="81" t="str">
        <f aca="false">I207</f>
        <v>Dahi Baingan</v>
      </c>
      <c r="V207" s="81" t="n">
        <f aca="false">VLOOKUP(U207,recipe_ingred_list!$A$2:$B$300,2,0)</f>
        <v>16</v>
      </c>
      <c r="W207" s="81" t="str">
        <f aca="false">"/recipes/"&amp;VLOOKUP(U207,recipe_ingred_list!$A$2:$C$300,3,0)&amp;"/detail/"</f>
        <v>/recipes/dahi-baingan/detail/</v>
      </c>
      <c r="X207" s="81" t="str">
        <f aca="false">J207</f>
        <v>Bharta baingan</v>
      </c>
      <c r="Y207" s="81" t="str">
        <f aca="false">R207</f>
        <v>baingan</v>
      </c>
      <c r="Z207" s="94" t="n">
        <f aca="false">VLOOKUP(Y207,recipe_ingred_list!$D$2:$E$500,2,0)</f>
        <v>21</v>
      </c>
      <c r="AA207" s="61" t="n">
        <f aca="false">K207</f>
        <v>35</v>
      </c>
      <c r="AB207" s="61" t="str">
        <f aca="false">L207</f>
        <v>kg</v>
      </c>
      <c r="AC207" s="61" t="n">
        <f aca="false">VLOOKUP(AB207,recipe_ingred_list!$K$2:$M$7,3,0)</f>
        <v>2</v>
      </c>
      <c r="AD207" s="61" t="n">
        <f aca="false">M207</f>
        <v>0</v>
      </c>
      <c r="AE207" s="61" t="n">
        <f aca="false">N207</f>
        <v>0</v>
      </c>
      <c r="AF207" s="61" t="n">
        <f aca="false">VLOOKUP(AE207,recipe_ingred_list!$K$16:$M$25,3,0)</f>
        <v>1</v>
      </c>
      <c r="AG207" s="61" t="n">
        <f aca="false">O207</f>
        <v>0</v>
      </c>
      <c r="AH207" s="61" t="n">
        <f aca="false">P207</f>
        <v>0</v>
      </c>
      <c r="AI207" s="61" t="n">
        <f aca="false">VLOOKUP(AH207,recipe_ingred_list!$K$29:$M$34,3,0)</f>
        <v>3</v>
      </c>
      <c r="AJ207" s="61" t="str">
        <f aca="false">IF(Q207="","",Q207)</f>
        <v>cut long,deep fried</v>
      </c>
      <c r="AK207" s="61" t="n">
        <f aca="false">AK206+1</f>
        <v>207</v>
      </c>
      <c r="AL207" s="61" t="str">
        <f aca="false">Y207</f>
        <v>baingan</v>
      </c>
      <c r="AM207" s="81" t="str">
        <f aca="false">"a = Client().post('"&amp;W207&amp;"', {'recipe' : '"&amp;V207&amp;"', 'ingredient' : '"&amp;Z207&amp;"', 'name' : '"&amp;X207&amp;"', 'mass_unit' : '"&amp;AC207&amp;"', 'mass_quantity' : '"&amp;ROUND(AA207,3)&amp;"', 'volume_unit' : '"&amp;AF207&amp;"', 'volume_quantity' : '"&amp;ROUND(AD207,3)&amp;"', 'pieces_unit' : '"&amp;AI207&amp;"', 'pieces_quantity' : '"&amp;ROUND(AG207,3)&amp;"', 'cooking_notes' : '"&amp;AJ207&amp;"'}).status_code; print('%s :: %s :: %s :: %s :: %s' %(a,"&amp;G207&amp;",'"&amp;X207&amp;"','"&amp;Y207&amp;"','"&amp;U207&amp;"'))"</f>
        <v>a = Client().post('/recipes/dahi-baingan/detail/', {'recipe' : '16', 'ingredient' : '21', 'name' : 'Bharta baingan', 'mass_unit' : '2', 'mass_quantity' : '35', 'volume_unit' : '1', 'volume_quantity' : '0', 'pieces_unit' : '3', 'pieces_quantity' : '0', 'cooking_notes' : 'cut long,deep fried'}).status_code; print('%s :: %s :: %s :: %s :: %s' %(a,207,'Bharta baingan','baingan','Dahi Baingan'))</v>
      </c>
    </row>
    <row r="208" customFormat="false" ht="13.8" hidden="false" customHeight="false" outlineLevel="0" collapsed="false">
      <c r="G208" s="80" t="n">
        <v>208</v>
      </c>
      <c r="H208" s="98"/>
      <c r="I208" s="99" t="s">
        <v>157</v>
      </c>
      <c r="J208" s="79" t="s">
        <v>591</v>
      </c>
      <c r="K208" s="100"/>
      <c r="L208" s="100"/>
      <c r="M208" s="100" t="n">
        <v>45</v>
      </c>
      <c r="N208" s="100" t="s">
        <v>13</v>
      </c>
      <c r="O208" s="101"/>
      <c r="P208" s="100"/>
      <c r="Q208" s="102"/>
      <c r="R208" s="99" t="e">
        <f aca="false">VLOOKUP(J208,ingredient!$N$4:$O$553,2,0)</f>
        <v>#N/A</v>
      </c>
      <c r="S208" s="98"/>
      <c r="T208" s="98"/>
      <c r="U208" s="81" t="str">
        <f aca="false">I208</f>
        <v>Dahi Baingan</v>
      </c>
      <c r="V208" s="81" t="n">
        <f aca="false">VLOOKUP(U208,recipe_ingred_list!$A$2:$B$300,2,0)</f>
        <v>16</v>
      </c>
      <c r="W208" s="81" t="str">
        <f aca="false">"/recipes/"&amp;VLOOKUP(U208,recipe_ingred_list!$A$2:$C$300,3,0)&amp;"/detail/"</f>
        <v>/recipes/dahi-baingan/detail/</v>
      </c>
      <c r="X208" s="81" t="str">
        <f aca="false">J208</f>
        <v>Yileld </v>
      </c>
      <c r="Y208" s="81" t="e">
        <f aca="false">R208</f>
        <v>#N/A</v>
      </c>
      <c r="Z208" s="94" t="e">
        <f aca="false">VLOOKUP(Y208,recipe_ingred_list!$D$2:$E$500,2,0)</f>
        <v>#N/A</v>
      </c>
      <c r="AA208" s="61" t="n">
        <f aca="false">K208</f>
        <v>0</v>
      </c>
      <c r="AB208" s="61" t="n">
        <f aca="false">L208</f>
        <v>0</v>
      </c>
      <c r="AC208" s="61" t="n">
        <f aca="false">VLOOKUP(AB208,recipe_ingred_list!$K$2:$M$7,3,0)</f>
        <v>2</v>
      </c>
      <c r="AD208" s="61" t="n">
        <f aca="false">M208</f>
        <v>45</v>
      </c>
      <c r="AE208" s="61" t="str">
        <f aca="false">N208</f>
        <v>ltr</v>
      </c>
      <c r="AF208" s="61" t="n">
        <f aca="false">VLOOKUP(AE208,recipe_ingred_list!$K$16:$M$25,3,0)</f>
        <v>1</v>
      </c>
      <c r="AG208" s="61" t="n">
        <f aca="false">O208</f>
        <v>0</v>
      </c>
      <c r="AH208" s="61" t="n">
        <f aca="false">P208</f>
        <v>0</v>
      </c>
      <c r="AI208" s="61" t="n">
        <f aca="false">VLOOKUP(AH208,recipe_ingred_list!$K$29:$M$34,3,0)</f>
        <v>3</v>
      </c>
      <c r="AJ208" s="61" t="str">
        <f aca="false">IF(Q208="","",Q208)</f>
        <v/>
      </c>
      <c r="AK208" s="61" t="n">
        <f aca="false">AK207+1</f>
        <v>208</v>
      </c>
      <c r="AL208" s="61" t="e">
        <f aca="false">Y208</f>
        <v>#N/A</v>
      </c>
      <c r="AM208" s="81" t="e">
        <f aca="false">"a = Client().post('"&amp;W208&amp;"', {'recipe' : '"&amp;V208&amp;"', 'ingredient' : '"&amp;Z208&amp;"', 'name' : '"&amp;X208&amp;"', 'mass_unit' : '"&amp;AC208&amp;"', 'mass_quantity' : '"&amp;ROUND(AA208,3)&amp;"', 'volume_unit' : '"&amp;AF208&amp;"', 'volume_quantity' : '"&amp;ROUND(AD208,3)&amp;"', 'pieces_unit' : '"&amp;AI208&amp;"', 'pieces_quantity' : '"&amp;ROUND(AG208,3)&amp;"', 'cooking_notes' : '"&amp;AJ208&amp;"'}).status_code; print('%s :: %s :: %s :: %s :: %s' %(a,"&amp;G208&amp;",'"&amp;X208&amp;"','"&amp;Y208&amp;"','"&amp;U208&amp;"'))"</f>
        <v>#N/A</v>
      </c>
    </row>
    <row r="209" customFormat="false" ht="13.8" hidden="false" customHeight="false" outlineLevel="0" collapsed="false">
      <c r="G209" s="80" t="n">
        <v>209</v>
      </c>
      <c r="H209" s="98"/>
      <c r="I209" s="99"/>
      <c r="J209" s="79"/>
      <c r="K209" s="100"/>
      <c r="L209" s="100"/>
      <c r="M209" s="100"/>
      <c r="N209" s="100"/>
      <c r="O209" s="101"/>
      <c r="P209" s="100"/>
      <c r="Q209" s="102"/>
      <c r="R209" s="99" t="e">
        <f aca="false">VLOOKUP(J209,ingredient!$N$4:$O$553,2,0)</f>
        <v>#N/A</v>
      </c>
      <c r="S209" s="98"/>
      <c r="T209" s="98"/>
      <c r="U209" s="81" t="n">
        <f aca="false">I209</f>
        <v>0</v>
      </c>
      <c r="V209" s="81" t="e">
        <f aca="false">VLOOKUP(U209,recipe_ingred_list!$A$2:$B$300,2,0)</f>
        <v>#N/A</v>
      </c>
      <c r="W209" s="81" t="e">
        <f aca="false">"/recipes/"&amp;VLOOKUP(U209,recipe_ingred_list!$A$2:$C$300,3,0)&amp;"/detail/"</f>
        <v>#N/A</v>
      </c>
      <c r="X209" s="81" t="n">
        <f aca="false">J209</f>
        <v>0</v>
      </c>
      <c r="Y209" s="81" t="e">
        <f aca="false">R209</f>
        <v>#N/A</v>
      </c>
      <c r="Z209" s="94" t="e">
        <f aca="false">VLOOKUP(Y209,recipe_ingred_list!$D$2:$E$500,2,0)</f>
        <v>#N/A</v>
      </c>
      <c r="AA209" s="61" t="n">
        <f aca="false">K209</f>
        <v>0</v>
      </c>
      <c r="AB209" s="61" t="n">
        <f aca="false">L209</f>
        <v>0</v>
      </c>
      <c r="AC209" s="61" t="n">
        <f aca="false">VLOOKUP(AB209,recipe_ingred_list!$K$2:$M$7,3,0)</f>
        <v>2</v>
      </c>
      <c r="AD209" s="61" t="n">
        <f aca="false">M209</f>
        <v>0</v>
      </c>
      <c r="AE209" s="61" t="n">
        <f aca="false">N209</f>
        <v>0</v>
      </c>
      <c r="AF209" s="61" t="n">
        <f aca="false">VLOOKUP(AE209,recipe_ingred_list!$K$16:$M$25,3,0)</f>
        <v>1</v>
      </c>
      <c r="AG209" s="61" t="n">
        <f aca="false">O209</f>
        <v>0</v>
      </c>
      <c r="AH209" s="61" t="n">
        <f aca="false">P209</f>
        <v>0</v>
      </c>
      <c r="AI209" s="61" t="n">
        <f aca="false">VLOOKUP(AH209,recipe_ingred_list!$K$29:$M$34,3,0)</f>
        <v>3</v>
      </c>
      <c r="AJ209" s="61" t="str">
        <f aca="false">IF(Q209="","",Q209)</f>
        <v/>
      </c>
      <c r="AK209" s="61" t="n">
        <f aca="false">AK208+1</f>
        <v>209</v>
      </c>
      <c r="AL209" s="61" t="e">
        <f aca="false">Y209</f>
        <v>#N/A</v>
      </c>
      <c r="AM209" s="81" t="e">
        <f aca="false">"a = Client().post('"&amp;W209&amp;"', {'recipe' : '"&amp;V209&amp;"', 'ingredient' : '"&amp;Z209&amp;"', 'name' : '"&amp;X209&amp;"', 'mass_unit' : '"&amp;AC209&amp;"', 'mass_quantity' : '"&amp;ROUND(AA209,3)&amp;"', 'volume_unit' : '"&amp;AF209&amp;"', 'volume_quantity' : '"&amp;ROUND(AD209,3)&amp;"', 'pieces_unit' : '"&amp;AI209&amp;"', 'pieces_quantity' : '"&amp;ROUND(AG209,3)&amp;"', 'cooking_notes' : '"&amp;AJ209&amp;"'}).status_code; print('%s :: %s :: %s :: %s :: %s' %(a,"&amp;G209&amp;",'"&amp;X209&amp;"','"&amp;Y209&amp;"','"&amp;U209&amp;"'))"</f>
        <v>#N/A</v>
      </c>
    </row>
    <row r="210" customFormat="false" ht="13.8" hidden="false" customHeight="false" outlineLevel="0" collapsed="false">
      <c r="G210" s="80" t="n">
        <v>210</v>
      </c>
      <c r="I210" s="82" t="s">
        <v>163</v>
      </c>
      <c r="J210" s="83" t="s">
        <v>580</v>
      </c>
      <c r="M210" s="61" t="n">
        <v>20</v>
      </c>
      <c r="N210" s="61" t="s">
        <v>13</v>
      </c>
      <c r="R210" s="82" t="str">
        <f aca="false">VLOOKUP(J210,ingredient!$N$4:$O$553,2,0)</f>
        <v>dahi</v>
      </c>
      <c r="U210" s="81" t="str">
        <f aca="false">I210</f>
        <v>Dahi Patol</v>
      </c>
      <c r="V210" s="81" t="n">
        <f aca="false">VLOOKUP(U210,recipe_ingred_list!$A$2:$B$300,2,0)</f>
        <v>18</v>
      </c>
      <c r="W210" s="81" t="str">
        <f aca="false">"/recipes/"&amp;VLOOKUP(U210,recipe_ingred_list!$A$2:$C$300,3,0)&amp;"/detail/"</f>
        <v>/recipes/dahi-patol/detail/</v>
      </c>
      <c r="X210" s="81" t="str">
        <f aca="false">J210</f>
        <v>Dahi</v>
      </c>
      <c r="Y210" s="81" t="str">
        <f aca="false">R210</f>
        <v>dahi</v>
      </c>
      <c r="Z210" s="94" t="n">
        <f aca="false">VLOOKUP(Y210,recipe_ingred_list!$D$2:$E$500,2,0)</f>
        <v>59</v>
      </c>
      <c r="AA210" s="61" t="n">
        <f aca="false">K210</f>
        <v>0</v>
      </c>
      <c r="AB210" s="61" t="n">
        <f aca="false">L210</f>
        <v>0</v>
      </c>
      <c r="AC210" s="61" t="n">
        <f aca="false">VLOOKUP(AB210,recipe_ingred_list!$K$2:$M$7,3,0)</f>
        <v>2</v>
      </c>
      <c r="AD210" s="61" t="n">
        <f aca="false">M210</f>
        <v>20</v>
      </c>
      <c r="AE210" s="61" t="str">
        <f aca="false">N210</f>
        <v>ltr</v>
      </c>
      <c r="AF210" s="61" t="n">
        <f aca="false">VLOOKUP(AE210,recipe_ingred_list!$K$16:$M$25,3,0)</f>
        <v>1</v>
      </c>
      <c r="AG210" s="61" t="n">
        <f aca="false">O210</f>
        <v>0</v>
      </c>
      <c r="AH210" s="61" t="n">
        <f aca="false">P210</f>
        <v>0</v>
      </c>
      <c r="AI210" s="61" t="n">
        <f aca="false">VLOOKUP(AH210,recipe_ingred_list!$K$29:$M$34,3,0)</f>
        <v>3</v>
      </c>
      <c r="AJ210" s="61" t="str">
        <f aca="false">IF(Q210="","",Q210)</f>
        <v/>
      </c>
      <c r="AK210" s="61" t="n">
        <f aca="false">AK209+1</f>
        <v>210</v>
      </c>
      <c r="AL210" s="61" t="str">
        <f aca="false">Y210</f>
        <v>dahi</v>
      </c>
      <c r="AM210" s="81" t="str">
        <f aca="false">"a = Client().post('"&amp;W210&amp;"', {'recipe' : '"&amp;V210&amp;"', 'ingredient' : '"&amp;Z210&amp;"', 'name' : '"&amp;X210&amp;"', 'mass_unit' : '"&amp;AC210&amp;"', 'mass_quantity' : '"&amp;ROUND(AA210,3)&amp;"', 'volume_unit' : '"&amp;AF210&amp;"', 'volume_quantity' : '"&amp;ROUND(AD210,3)&amp;"', 'pieces_unit' : '"&amp;AI210&amp;"', 'pieces_quantity' : '"&amp;ROUND(AG210,3)&amp;"', 'cooking_notes' : '"&amp;AJ210&amp;"'}).status_code; print('%s :: %s :: %s :: %s :: %s' %(a,"&amp;G210&amp;",'"&amp;X210&amp;"','"&amp;Y210&amp;"','"&amp;U210&amp;"'))"</f>
        <v>a = Client().post('/recipes/dahi-patol/detail/', {'recipe' : '18', 'ingredient' : '59', 'name' : 'Dahi', 'mass_unit' : '2', 'mass_quantity' : '0', 'volume_unit' : '1', 'volume_quantity' : '20', 'pieces_unit' : '3', 'pieces_quantity' : '0', 'cooking_notes' : ''}).status_code; print('%s :: %s :: %s :: %s :: %s' %(a,210,'Dahi','dahi','Dahi Patol'))</v>
      </c>
    </row>
    <row r="211" customFormat="false" ht="13.8" hidden="false" customHeight="false" outlineLevel="0" collapsed="false">
      <c r="G211" s="80" t="n">
        <v>211</v>
      </c>
      <c r="I211" s="82" t="s">
        <v>163</v>
      </c>
      <c r="J211" s="83" t="s">
        <v>32</v>
      </c>
      <c r="M211" s="61" t="n">
        <v>1.25</v>
      </c>
      <c r="N211" s="61" t="s">
        <v>20</v>
      </c>
      <c r="R211" s="82" t="str">
        <f aca="false">VLOOKUP(J211,ingredient!$N$4:$O$553,2,0)</f>
        <v>salt</v>
      </c>
      <c r="U211" s="81" t="str">
        <f aca="false">I211</f>
        <v>Dahi Patol</v>
      </c>
      <c r="V211" s="81" t="n">
        <f aca="false">VLOOKUP(U211,recipe_ingred_list!$A$2:$B$300,2,0)</f>
        <v>18</v>
      </c>
      <c r="W211" s="81" t="str">
        <f aca="false">"/recipes/"&amp;VLOOKUP(U211,recipe_ingred_list!$A$2:$C$300,3,0)&amp;"/detail/"</f>
        <v>/recipes/dahi-patol/detail/</v>
      </c>
      <c r="X211" s="81" t="str">
        <f aca="false">J211</f>
        <v>Salt</v>
      </c>
      <c r="Y211" s="81" t="str">
        <f aca="false">R211</f>
        <v>salt</v>
      </c>
      <c r="Z211" s="94" t="n">
        <f aca="false">VLOOKUP(Y211,recipe_ingred_list!$D$2:$E$500,2,0)</f>
        <v>177</v>
      </c>
      <c r="AA211" s="61" t="n">
        <f aca="false">K211</f>
        <v>0</v>
      </c>
      <c r="AB211" s="61" t="n">
        <f aca="false">L211</f>
        <v>0</v>
      </c>
      <c r="AC211" s="61" t="n">
        <f aca="false">VLOOKUP(AB211,recipe_ingred_list!$K$2:$M$7,3,0)</f>
        <v>2</v>
      </c>
      <c r="AD211" s="61" t="n">
        <f aca="false">M211</f>
        <v>1.25</v>
      </c>
      <c r="AE211" s="61" t="str">
        <f aca="false">N211</f>
        <v>cup</v>
      </c>
      <c r="AF211" s="61" t="n">
        <f aca="false">VLOOKUP(AE211,recipe_ingred_list!$K$16:$M$25,3,0)</f>
        <v>5</v>
      </c>
      <c r="AG211" s="61" t="n">
        <f aca="false">O211</f>
        <v>0</v>
      </c>
      <c r="AH211" s="61" t="n">
        <f aca="false">P211</f>
        <v>0</v>
      </c>
      <c r="AI211" s="61" t="n">
        <f aca="false">VLOOKUP(AH211,recipe_ingred_list!$K$29:$M$34,3,0)</f>
        <v>3</v>
      </c>
      <c r="AJ211" s="61" t="str">
        <f aca="false">IF(Q211="","",Q211)</f>
        <v/>
      </c>
      <c r="AK211" s="61" t="n">
        <f aca="false">AK210+1</f>
        <v>211</v>
      </c>
      <c r="AL211" s="61" t="str">
        <f aca="false">Y211</f>
        <v>salt</v>
      </c>
      <c r="AM211" s="81" t="str">
        <f aca="false">"a = Client().post('"&amp;W211&amp;"', {'recipe' : '"&amp;V211&amp;"', 'ingredient' : '"&amp;Z211&amp;"', 'name' : '"&amp;X211&amp;"', 'mass_unit' : '"&amp;AC211&amp;"', 'mass_quantity' : '"&amp;ROUND(AA211,3)&amp;"', 'volume_unit' : '"&amp;AF211&amp;"', 'volume_quantity' : '"&amp;ROUND(AD211,3)&amp;"', 'pieces_unit' : '"&amp;AI211&amp;"', 'pieces_quantity' : '"&amp;ROUND(AG211,3)&amp;"', 'cooking_notes' : '"&amp;AJ211&amp;"'}).status_code; print('%s :: %s :: %s :: %s :: %s' %(a,"&amp;G211&amp;",'"&amp;X211&amp;"','"&amp;Y211&amp;"','"&amp;U211&amp;"'))"</f>
        <v>a = Client().post('/recipes/dahi-patol/detail/', {'recipe' : '18', 'ingredient' : '177', 'name' : 'Salt', 'mass_unit' : '2', 'mass_quantity' : '0', 'volume_unit' : '5', 'volume_quantity' : '1.25', 'pieces_unit' : '3', 'pieces_quantity' : '0', 'cooking_notes' : ''}).status_code; print('%s :: %s :: %s :: %s :: %s' %(a,211,'Salt','salt','Dahi Patol'))</v>
      </c>
    </row>
    <row r="212" customFormat="false" ht="13.8" hidden="false" customHeight="false" outlineLevel="0" collapsed="false">
      <c r="G212" s="80" t="n">
        <v>212</v>
      </c>
      <c r="I212" s="82" t="s">
        <v>163</v>
      </c>
      <c r="J212" s="83" t="s">
        <v>571</v>
      </c>
      <c r="M212" s="61" t="n">
        <v>3</v>
      </c>
      <c r="N212" s="61" t="s">
        <v>20</v>
      </c>
      <c r="R212" s="82" t="str">
        <f aca="false">VLOOKUP(J212,ingredient!$N$4:$O$553,2,0)</f>
        <v>sugar</v>
      </c>
      <c r="U212" s="81" t="str">
        <f aca="false">I212</f>
        <v>Dahi Patol</v>
      </c>
      <c r="V212" s="81" t="n">
        <f aca="false">VLOOKUP(U212,recipe_ingred_list!$A$2:$B$300,2,0)</f>
        <v>18</v>
      </c>
      <c r="W212" s="81" t="str">
        <f aca="false">"/recipes/"&amp;VLOOKUP(U212,recipe_ingred_list!$A$2:$C$300,3,0)&amp;"/detail/"</f>
        <v>/recipes/dahi-patol/detail/</v>
      </c>
      <c r="X212" s="81" t="str">
        <f aca="false">J212</f>
        <v>Sugar</v>
      </c>
      <c r="Y212" s="81" t="str">
        <f aca="false">R212</f>
        <v>sugar</v>
      </c>
      <c r="Z212" s="94" t="n">
        <f aca="false">VLOOKUP(Y212,recipe_ingred_list!$D$2:$E$500,2,0)</f>
        <v>187</v>
      </c>
      <c r="AA212" s="61" t="n">
        <f aca="false">K212</f>
        <v>0</v>
      </c>
      <c r="AB212" s="61" t="n">
        <f aca="false">L212</f>
        <v>0</v>
      </c>
      <c r="AC212" s="61" t="n">
        <f aca="false">VLOOKUP(AB212,recipe_ingred_list!$K$2:$M$7,3,0)</f>
        <v>2</v>
      </c>
      <c r="AD212" s="61" t="n">
        <f aca="false">M212</f>
        <v>3</v>
      </c>
      <c r="AE212" s="61" t="str">
        <f aca="false">N212</f>
        <v>cup</v>
      </c>
      <c r="AF212" s="61" t="n">
        <f aca="false">VLOOKUP(AE212,recipe_ingred_list!$K$16:$M$25,3,0)</f>
        <v>5</v>
      </c>
      <c r="AG212" s="61" t="n">
        <f aca="false">O212</f>
        <v>0</v>
      </c>
      <c r="AH212" s="61" t="n">
        <f aca="false">P212</f>
        <v>0</v>
      </c>
      <c r="AI212" s="61" t="n">
        <f aca="false">VLOOKUP(AH212,recipe_ingred_list!$K$29:$M$34,3,0)</f>
        <v>3</v>
      </c>
      <c r="AJ212" s="61" t="str">
        <f aca="false">IF(Q212="","",Q212)</f>
        <v/>
      </c>
      <c r="AK212" s="61" t="n">
        <f aca="false">AK211+1</f>
        <v>212</v>
      </c>
      <c r="AL212" s="61" t="str">
        <f aca="false">Y212</f>
        <v>sugar</v>
      </c>
      <c r="AM212" s="81" t="str">
        <f aca="false">"a = Client().post('"&amp;W212&amp;"', {'recipe' : '"&amp;V212&amp;"', 'ingredient' : '"&amp;Z212&amp;"', 'name' : '"&amp;X212&amp;"', 'mass_unit' : '"&amp;AC212&amp;"', 'mass_quantity' : '"&amp;ROUND(AA212,3)&amp;"', 'volume_unit' : '"&amp;AF212&amp;"', 'volume_quantity' : '"&amp;ROUND(AD212,3)&amp;"', 'pieces_unit' : '"&amp;AI212&amp;"', 'pieces_quantity' : '"&amp;ROUND(AG212,3)&amp;"', 'cooking_notes' : '"&amp;AJ212&amp;"'}).status_code; print('%s :: %s :: %s :: %s :: %s' %(a,"&amp;G212&amp;",'"&amp;X212&amp;"','"&amp;Y212&amp;"','"&amp;U212&amp;"'))"</f>
        <v>a = Client().post('/recipes/dahi-patol/detail/', {'recipe' : '18', 'ingredient' : '187', 'name' : 'Sugar', 'mass_unit' : '2', 'mass_quantity' : '0', 'volume_unit' : '5', 'volume_quantity' : '3', 'pieces_unit' : '3', 'pieces_quantity' : '0', 'cooking_notes' : ''}).status_code; print('%s :: %s :: %s :: %s :: %s' %(a,212,'Sugar','sugar','Dahi Patol'))</v>
      </c>
    </row>
    <row r="213" customFormat="false" ht="13.8" hidden="false" customHeight="false" outlineLevel="0" collapsed="false">
      <c r="G213" s="80" t="n">
        <v>213</v>
      </c>
      <c r="I213" s="82" t="s">
        <v>163</v>
      </c>
      <c r="J213" s="83" t="s">
        <v>581</v>
      </c>
      <c r="M213" s="61" t="n">
        <v>0.4</v>
      </c>
      <c r="N213" s="61" t="s">
        <v>20</v>
      </c>
      <c r="R213" s="82" t="str">
        <f aca="false">VLOOKUP(J213,ingredient!$N$4:$O$553,2,0)</f>
        <v>madrasi mirchi akkaha</v>
      </c>
      <c r="U213" s="81" t="str">
        <f aca="false">I213</f>
        <v>Dahi Patol</v>
      </c>
      <c r="V213" s="81" t="n">
        <f aca="false">VLOOKUP(U213,recipe_ingred_list!$A$2:$B$300,2,0)</f>
        <v>18</v>
      </c>
      <c r="W213" s="81" t="str">
        <f aca="false">"/recipes/"&amp;VLOOKUP(U213,recipe_ingred_list!$A$2:$C$300,3,0)&amp;"/detail/"</f>
        <v>/recipes/dahi-patol/detail/</v>
      </c>
      <c r="X213" s="81" t="str">
        <f aca="false">J213</f>
        <v>Roasted chilly powder</v>
      </c>
      <c r="Y213" s="81" t="str">
        <f aca="false">R213</f>
        <v>madrasi mirchi akkaha</v>
      </c>
      <c r="Z213" s="94" t="n">
        <f aca="false">VLOOKUP(Y213,recipe_ingred_list!$D$2:$E$500,2,0)</f>
        <v>134</v>
      </c>
      <c r="AA213" s="61" t="n">
        <f aca="false">K213</f>
        <v>0</v>
      </c>
      <c r="AB213" s="61" t="n">
        <f aca="false">L213</f>
        <v>0</v>
      </c>
      <c r="AC213" s="61" t="n">
        <f aca="false">VLOOKUP(AB213,recipe_ingred_list!$K$2:$M$7,3,0)</f>
        <v>2</v>
      </c>
      <c r="AD213" s="61" t="n">
        <f aca="false">M213</f>
        <v>0.4</v>
      </c>
      <c r="AE213" s="61" t="str">
        <f aca="false">N213</f>
        <v>cup</v>
      </c>
      <c r="AF213" s="61" t="n">
        <f aca="false">VLOOKUP(AE213,recipe_ingred_list!$K$16:$M$25,3,0)</f>
        <v>5</v>
      </c>
      <c r="AG213" s="61" t="n">
        <f aca="false">O213</f>
        <v>0</v>
      </c>
      <c r="AH213" s="61" t="n">
        <f aca="false">P213</f>
        <v>0</v>
      </c>
      <c r="AI213" s="61" t="n">
        <f aca="false">VLOOKUP(AH213,recipe_ingred_list!$K$29:$M$34,3,0)</f>
        <v>3</v>
      </c>
      <c r="AJ213" s="61" t="str">
        <f aca="false">IF(Q213="","",Q213)</f>
        <v/>
      </c>
      <c r="AK213" s="61" t="n">
        <f aca="false">AK212+1</f>
        <v>213</v>
      </c>
      <c r="AL213" s="61" t="str">
        <f aca="false">Y213</f>
        <v>madrasi mirchi akkaha</v>
      </c>
      <c r="AM213" s="81" t="str">
        <f aca="false">"a = Client().post('"&amp;W213&amp;"', {'recipe' : '"&amp;V213&amp;"', 'ingredient' : '"&amp;Z213&amp;"', 'name' : '"&amp;X213&amp;"', 'mass_unit' : '"&amp;AC213&amp;"', 'mass_quantity' : '"&amp;ROUND(AA213,3)&amp;"', 'volume_unit' : '"&amp;AF213&amp;"', 'volume_quantity' : '"&amp;ROUND(AD213,3)&amp;"', 'pieces_unit' : '"&amp;AI213&amp;"', 'pieces_quantity' : '"&amp;ROUND(AG213,3)&amp;"', 'cooking_notes' : '"&amp;AJ213&amp;"'}).status_code; print('%s :: %s :: %s :: %s :: %s' %(a,"&amp;G213&amp;",'"&amp;X213&amp;"','"&amp;Y213&amp;"','"&amp;U213&amp;"'))"</f>
        <v>a = Client().post('/recipes/dahi-patol/detail/', {'recipe' : '18', 'ingredient' : '134', 'name' : 'Roasted chilly powder', 'mass_unit' : '2', 'mass_quantity' : '0', 'volume_unit' : '5', 'volume_quantity' : '0.4', 'pieces_unit' : '3', 'pieces_quantity' : '0', 'cooking_notes' : ''}).status_code; print('%s :: %s :: %s :: %s :: %s' %(a,213,'Roasted chilly powder','madrasi mirchi akkaha','Dahi Patol'))</v>
      </c>
    </row>
    <row r="214" customFormat="false" ht="13.8" hidden="false" customHeight="false" outlineLevel="0" collapsed="false">
      <c r="G214" s="80" t="n">
        <v>214</v>
      </c>
      <c r="I214" s="82" t="s">
        <v>163</v>
      </c>
      <c r="J214" s="83" t="s">
        <v>582</v>
      </c>
      <c r="M214" s="61" t="n">
        <v>2.5</v>
      </c>
      <c r="N214" s="61" t="s">
        <v>20</v>
      </c>
      <c r="R214" s="82" t="str">
        <f aca="false">VLOOKUP(J214,ingredient!$N$4:$O$553,2,0)</f>
        <v>jeera</v>
      </c>
      <c r="U214" s="81" t="str">
        <f aca="false">I214</f>
        <v>Dahi Patol</v>
      </c>
      <c r="V214" s="81" t="n">
        <f aca="false">VLOOKUP(U214,recipe_ingred_list!$A$2:$B$300,2,0)</f>
        <v>18</v>
      </c>
      <c r="W214" s="81" t="str">
        <f aca="false">"/recipes/"&amp;VLOOKUP(U214,recipe_ingred_list!$A$2:$C$300,3,0)&amp;"/detail/"</f>
        <v>/recipes/dahi-patol/detail/</v>
      </c>
      <c r="X214" s="81" t="str">
        <f aca="false">J214</f>
        <v>Roasted jeera powder</v>
      </c>
      <c r="Y214" s="81" t="str">
        <f aca="false">R214</f>
        <v>jeera</v>
      </c>
      <c r="Z214" s="94" t="n">
        <f aca="false">VLOOKUP(Y214,recipe_ingred_list!$D$2:$E$500,2,0)</f>
        <v>102</v>
      </c>
      <c r="AA214" s="61" t="n">
        <f aca="false">K214</f>
        <v>0</v>
      </c>
      <c r="AB214" s="61" t="n">
        <f aca="false">L214</f>
        <v>0</v>
      </c>
      <c r="AC214" s="61" t="n">
        <f aca="false">VLOOKUP(AB214,recipe_ingred_list!$K$2:$M$7,3,0)</f>
        <v>2</v>
      </c>
      <c r="AD214" s="61" t="n">
        <f aca="false">M214</f>
        <v>2.5</v>
      </c>
      <c r="AE214" s="61" t="str">
        <f aca="false">N214</f>
        <v>cup</v>
      </c>
      <c r="AF214" s="61" t="n">
        <f aca="false">VLOOKUP(AE214,recipe_ingred_list!$K$16:$M$25,3,0)</f>
        <v>5</v>
      </c>
      <c r="AG214" s="61" t="n">
        <f aca="false">O214</f>
        <v>0</v>
      </c>
      <c r="AH214" s="61" t="n">
        <f aca="false">P214</f>
        <v>0</v>
      </c>
      <c r="AI214" s="61" t="n">
        <f aca="false">VLOOKUP(AH214,recipe_ingred_list!$K$29:$M$34,3,0)</f>
        <v>3</v>
      </c>
      <c r="AJ214" s="61" t="str">
        <f aca="false">IF(Q214="","",Q214)</f>
        <v/>
      </c>
      <c r="AK214" s="61" t="n">
        <f aca="false">AK213+1</f>
        <v>214</v>
      </c>
      <c r="AL214" s="61" t="str">
        <f aca="false">Y214</f>
        <v>jeera</v>
      </c>
      <c r="AM214" s="81" t="str">
        <f aca="false">"a = Client().post('"&amp;W214&amp;"', {'recipe' : '"&amp;V214&amp;"', 'ingredient' : '"&amp;Z214&amp;"', 'name' : '"&amp;X214&amp;"', 'mass_unit' : '"&amp;AC214&amp;"', 'mass_quantity' : '"&amp;ROUND(AA214,3)&amp;"', 'volume_unit' : '"&amp;AF214&amp;"', 'volume_quantity' : '"&amp;ROUND(AD214,3)&amp;"', 'pieces_unit' : '"&amp;AI214&amp;"', 'pieces_quantity' : '"&amp;ROUND(AG214,3)&amp;"', 'cooking_notes' : '"&amp;AJ214&amp;"'}).status_code; print('%s :: %s :: %s :: %s :: %s' %(a,"&amp;G214&amp;",'"&amp;X214&amp;"','"&amp;Y214&amp;"','"&amp;U214&amp;"'))"</f>
        <v>a = Client().post('/recipes/dahi-patol/detail/', {'recipe' : '18', 'ingredient' : '102', 'name' : 'Roasted jeera powder', 'mass_unit' : '2', 'mass_quantity' : '0', 'volume_unit' : '5', 'volume_quantity' : '2.5', 'pieces_unit' : '3', 'pieces_quantity' : '0', 'cooking_notes' : ''}).status_code; print('%s :: %s :: %s :: %s :: %s' %(a,214,'Roasted jeera powder','jeera','Dahi Patol'))</v>
      </c>
    </row>
    <row r="215" customFormat="false" ht="13.8" hidden="false" customHeight="false" outlineLevel="0" collapsed="false">
      <c r="G215" s="80" t="n">
        <v>215</v>
      </c>
      <c r="I215" s="82" t="s">
        <v>163</v>
      </c>
      <c r="J215" s="83" t="s">
        <v>583</v>
      </c>
      <c r="M215" s="61" t="n">
        <v>0.4</v>
      </c>
      <c r="N215" s="61" t="s">
        <v>20</v>
      </c>
      <c r="R215" s="82" t="str">
        <f aca="false">VLOOKUP(J215,ingredient!$N$4:$O$553,2,0)</f>
        <v>soonth</v>
      </c>
      <c r="U215" s="81" t="str">
        <f aca="false">I215</f>
        <v>Dahi Patol</v>
      </c>
      <c r="V215" s="81" t="n">
        <f aca="false">VLOOKUP(U215,recipe_ingred_list!$A$2:$B$300,2,0)</f>
        <v>18</v>
      </c>
      <c r="W215" s="81" t="str">
        <f aca="false">"/recipes/"&amp;VLOOKUP(U215,recipe_ingred_list!$A$2:$C$300,3,0)&amp;"/detail/"</f>
        <v>/recipes/dahi-patol/detail/</v>
      </c>
      <c r="X215" s="81" t="str">
        <f aca="false">J215</f>
        <v>Soonth</v>
      </c>
      <c r="Y215" s="81" t="str">
        <f aca="false">R215</f>
        <v>soonth</v>
      </c>
      <c r="Z215" s="94" t="n">
        <f aca="false">VLOOKUP(Y215,recipe_ingred_list!$D$2:$E$500,2,0)</f>
        <v>184</v>
      </c>
      <c r="AA215" s="61" t="n">
        <f aca="false">K215</f>
        <v>0</v>
      </c>
      <c r="AB215" s="61" t="n">
        <f aca="false">L215</f>
        <v>0</v>
      </c>
      <c r="AC215" s="61" t="n">
        <f aca="false">VLOOKUP(AB215,recipe_ingred_list!$K$2:$M$7,3,0)</f>
        <v>2</v>
      </c>
      <c r="AD215" s="61" t="n">
        <f aca="false">M215</f>
        <v>0.4</v>
      </c>
      <c r="AE215" s="61" t="str">
        <f aca="false">N215</f>
        <v>cup</v>
      </c>
      <c r="AF215" s="61" t="n">
        <f aca="false">VLOOKUP(AE215,recipe_ingred_list!$K$16:$M$25,3,0)</f>
        <v>5</v>
      </c>
      <c r="AG215" s="61" t="n">
        <f aca="false">O215</f>
        <v>0</v>
      </c>
      <c r="AH215" s="61" t="n">
        <f aca="false">P215</f>
        <v>0</v>
      </c>
      <c r="AI215" s="61" t="n">
        <f aca="false">VLOOKUP(AH215,recipe_ingred_list!$K$29:$M$34,3,0)</f>
        <v>3</v>
      </c>
      <c r="AJ215" s="61" t="str">
        <f aca="false">IF(Q215="","",Q215)</f>
        <v/>
      </c>
      <c r="AK215" s="61" t="n">
        <f aca="false">AK214+1</f>
        <v>215</v>
      </c>
      <c r="AL215" s="61" t="str">
        <f aca="false">Y215</f>
        <v>soonth</v>
      </c>
      <c r="AM215" s="81" t="str">
        <f aca="false">"a = Client().post('"&amp;W215&amp;"', {'recipe' : '"&amp;V215&amp;"', 'ingredient' : '"&amp;Z215&amp;"', 'name' : '"&amp;X215&amp;"', 'mass_unit' : '"&amp;AC215&amp;"', 'mass_quantity' : '"&amp;ROUND(AA215,3)&amp;"', 'volume_unit' : '"&amp;AF215&amp;"', 'volume_quantity' : '"&amp;ROUND(AD215,3)&amp;"', 'pieces_unit' : '"&amp;AI215&amp;"', 'pieces_quantity' : '"&amp;ROUND(AG215,3)&amp;"', 'cooking_notes' : '"&amp;AJ215&amp;"'}).status_code; print('%s :: %s :: %s :: %s :: %s' %(a,"&amp;G215&amp;",'"&amp;X215&amp;"','"&amp;Y215&amp;"','"&amp;U215&amp;"'))"</f>
        <v>a = Client().post('/recipes/dahi-patol/detail/', {'recipe' : '18', 'ingredient' : '184', 'name' : 'Soonth', 'mass_unit' : '2', 'mass_quantity' : '0', 'volume_unit' : '5', 'volume_quantity' : '0.4', 'pieces_unit' : '3', 'pieces_quantity' : '0', 'cooking_notes' : ''}).status_code; print('%s :: %s :: %s :: %s :: %s' %(a,215,'Soonth','soonth','Dahi Patol'))</v>
      </c>
    </row>
    <row r="216" customFormat="false" ht="13.8" hidden="false" customHeight="false" outlineLevel="0" collapsed="false">
      <c r="G216" s="80" t="n">
        <v>216</v>
      </c>
      <c r="I216" s="82" t="s">
        <v>163</v>
      </c>
      <c r="J216" s="83" t="s">
        <v>584</v>
      </c>
      <c r="R216" s="82" t="str">
        <f aca="false">VLOOKUP(J216,ingredient!$N$4:$O$553,2,0)</f>
        <v>chaunce</v>
      </c>
      <c r="U216" s="81" t="str">
        <f aca="false">I216</f>
        <v>Dahi Patol</v>
      </c>
      <c r="V216" s="81" t="n">
        <f aca="false">VLOOKUP(U216,recipe_ingred_list!$A$2:$B$300,2,0)</f>
        <v>18</v>
      </c>
      <c r="W216" s="81" t="str">
        <f aca="false">"/recipes/"&amp;VLOOKUP(U216,recipe_ingred_list!$A$2:$C$300,3,0)&amp;"/detail/"</f>
        <v>/recipes/dahi-patol/detail/</v>
      </c>
      <c r="X216" s="81" t="str">
        <f aca="false">J216</f>
        <v>Chaunce</v>
      </c>
      <c r="Y216" s="81" t="str">
        <f aca="false">R216</f>
        <v>chaunce</v>
      </c>
      <c r="Z216" s="94" t="n">
        <f aca="false">VLOOKUP(Y216,recipe_ingred_list!$D$2:$E$500,2,0)</f>
        <v>48</v>
      </c>
      <c r="AA216" s="61" t="n">
        <f aca="false">K216</f>
        <v>0</v>
      </c>
      <c r="AB216" s="61" t="n">
        <f aca="false">L216</f>
        <v>0</v>
      </c>
      <c r="AC216" s="61" t="n">
        <f aca="false">VLOOKUP(AB216,recipe_ingred_list!$K$2:$M$7,3,0)</f>
        <v>2</v>
      </c>
      <c r="AD216" s="61" t="n">
        <f aca="false">M216</f>
        <v>0</v>
      </c>
      <c r="AE216" s="61" t="n">
        <f aca="false">N216</f>
        <v>0</v>
      </c>
      <c r="AF216" s="61" t="n">
        <f aca="false">VLOOKUP(AE216,recipe_ingred_list!$K$16:$M$25,3,0)</f>
        <v>1</v>
      </c>
      <c r="AG216" s="61" t="n">
        <f aca="false">O216</f>
        <v>0</v>
      </c>
      <c r="AH216" s="61" t="n">
        <f aca="false">P216</f>
        <v>0</v>
      </c>
      <c r="AI216" s="61" t="n">
        <f aca="false">VLOOKUP(AH216,recipe_ingred_list!$K$29:$M$34,3,0)</f>
        <v>3</v>
      </c>
      <c r="AJ216" s="61" t="str">
        <f aca="false">IF(Q216="","",Q216)</f>
        <v/>
      </c>
      <c r="AK216" s="61" t="n">
        <f aca="false">AK215+1</f>
        <v>216</v>
      </c>
      <c r="AL216" s="61" t="str">
        <f aca="false">Y216</f>
        <v>chaunce</v>
      </c>
      <c r="AM216" s="81" t="str">
        <f aca="false">"a = Client().post('"&amp;W216&amp;"', {'recipe' : '"&amp;V216&amp;"', 'ingredient' : '"&amp;Z216&amp;"', 'name' : '"&amp;X216&amp;"', 'mass_unit' : '"&amp;AC216&amp;"', 'mass_quantity' : '"&amp;ROUND(AA216,3)&amp;"', 'volume_unit' : '"&amp;AF216&amp;"', 'volume_quantity' : '"&amp;ROUND(AD216,3)&amp;"', 'pieces_unit' : '"&amp;AI216&amp;"', 'pieces_quantity' : '"&amp;ROUND(AG216,3)&amp;"', 'cooking_notes' : '"&amp;AJ216&amp;"'}).status_code; print('%s :: %s :: %s :: %s :: %s' %(a,"&amp;G216&amp;",'"&amp;X216&amp;"','"&amp;Y216&amp;"','"&amp;U216&amp;"'))"</f>
        <v>a = Client().post('/recipes/dahi-patol/detail/', {'recipe' : '18', 'ingredient' : '48', 'name' : 'Chaunce', 'mass_unit' : '2', 'mass_quantity' : '0', 'volume_unit' : '1', 'volume_quantity' : '0', 'pieces_unit' : '3', 'pieces_quantity' : '0', 'cooking_notes' : ''}).status_code; print('%s :: %s :: %s :: %s :: %s' %(a,216,'Chaunce','chaunce','Dahi Patol'))</v>
      </c>
    </row>
    <row r="217" customFormat="false" ht="13.8" hidden="false" customHeight="false" outlineLevel="0" collapsed="false">
      <c r="G217" s="80" t="n">
        <v>217</v>
      </c>
      <c r="I217" s="82" t="s">
        <v>163</v>
      </c>
      <c r="J217" s="83" t="s">
        <v>585</v>
      </c>
      <c r="M217" s="61" t="n">
        <v>1.25</v>
      </c>
      <c r="N217" s="61" t="s">
        <v>13</v>
      </c>
      <c r="R217" s="82" t="str">
        <f aca="false">VLOOKUP(J217,ingredient!$N$4:$O$553,2,0)</f>
        <v>rai oil</v>
      </c>
      <c r="U217" s="81" t="str">
        <f aca="false">I217</f>
        <v>Dahi Patol</v>
      </c>
      <c r="V217" s="81" t="n">
        <f aca="false">VLOOKUP(U217,recipe_ingred_list!$A$2:$B$300,2,0)</f>
        <v>18</v>
      </c>
      <c r="W217" s="81" t="str">
        <f aca="false">"/recipes/"&amp;VLOOKUP(U217,recipe_ingred_list!$A$2:$C$300,3,0)&amp;"/detail/"</f>
        <v>/recipes/dahi-patol/detail/</v>
      </c>
      <c r="X217" s="81" t="str">
        <f aca="false">J217</f>
        <v>Rai tel</v>
      </c>
      <c r="Y217" s="81" t="str">
        <f aca="false">R217</f>
        <v>rai oil</v>
      </c>
      <c r="Z217" s="94" t="n">
        <f aca="false">VLOOKUP(Y217,recipe_ingred_list!$D$2:$E$500,2,0)</f>
        <v>165</v>
      </c>
      <c r="AA217" s="61" t="n">
        <f aca="false">K217</f>
        <v>0</v>
      </c>
      <c r="AB217" s="61" t="n">
        <f aca="false">L217</f>
        <v>0</v>
      </c>
      <c r="AC217" s="61" t="n">
        <f aca="false">VLOOKUP(AB217,recipe_ingred_list!$K$2:$M$7,3,0)</f>
        <v>2</v>
      </c>
      <c r="AD217" s="61" t="n">
        <f aca="false">M217</f>
        <v>1.25</v>
      </c>
      <c r="AE217" s="61" t="str">
        <f aca="false">N217</f>
        <v>ltr</v>
      </c>
      <c r="AF217" s="61" t="n">
        <f aca="false">VLOOKUP(AE217,recipe_ingred_list!$K$16:$M$25,3,0)</f>
        <v>1</v>
      </c>
      <c r="AG217" s="61" t="n">
        <f aca="false">O217</f>
        <v>0</v>
      </c>
      <c r="AH217" s="61" t="n">
        <f aca="false">P217</f>
        <v>0</v>
      </c>
      <c r="AI217" s="61" t="n">
        <f aca="false">VLOOKUP(AH217,recipe_ingred_list!$K$29:$M$34,3,0)</f>
        <v>3</v>
      </c>
      <c r="AJ217" s="61" t="str">
        <f aca="false">IF(Q217="","",Q217)</f>
        <v/>
      </c>
      <c r="AK217" s="61" t="n">
        <f aca="false">AK216+1</f>
        <v>217</v>
      </c>
      <c r="AL217" s="61" t="str">
        <f aca="false">Y217</f>
        <v>rai oil</v>
      </c>
      <c r="AM217" s="81" t="str">
        <f aca="false">"a = Client().post('"&amp;W217&amp;"', {'recipe' : '"&amp;V217&amp;"', 'ingredient' : '"&amp;Z217&amp;"', 'name' : '"&amp;X217&amp;"', 'mass_unit' : '"&amp;AC217&amp;"', 'mass_quantity' : '"&amp;ROUND(AA217,3)&amp;"', 'volume_unit' : '"&amp;AF217&amp;"', 'volume_quantity' : '"&amp;ROUND(AD217,3)&amp;"', 'pieces_unit' : '"&amp;AI217&amp;"', 'pieces_quantity' : '"&amp;ROUND(AG217,3)&amp;"', 'cooking_notes' : '"&amp;AJ217&amp;"'}).status_code; print('%s :: %s :: %s :: %s :: %s' %(a,"&amp;G217&amp;",'"&amp;X217&amp;"','"&amp;Y217&amp;"','"&amp;U217&amp;"'))"</f>
        <v>a = Client().post('/recipes/dahi-patol/detail/', {'recipe' : '18', 'ingredient' : '165', 'name' : 'Rai tel', 'mass_unit' : '2', 'mass_quantity' : '0', 'volume_unit' : '1', 'volume_quantity' : '1.25', 'pieces_unit' : '3', 'pieces_quantity' : '0', 'cooking_notes' : ''}).status_code; print('%s :: %s :: %s :: %s :: %s' %(a,217,'Rai tel','rai oil','Dahi Patol'))</v>
      </c>
    </row>
    <row r="218" customFormat="false" ht="13.8" hidden="false" customHeight="false" outlineLevel="0" collapsed="false">
      <c r="G218" s="80" t="n">
        <v>218</v>
      </c>
      <c r="I218" s="82" t="s">
        <v>163</v>
      </c>
      <c r="J218" s="83" t="s">
        <v>570</v>
      </c>
      <c r="M218" s="61" t="n">
        <v>0.5</v>
      </c>
      <c r="N218" s="61" t="s">
        <v>20</v>
      </c>
      <c r="R218" s="82" t="str">
        <f aca="false">VLOOKUP(J218,ingredient!$N$4:$O$553,2,0)</f>
        <v>rai</v>
      </c>
      <c r="U218" s="81" t="str">
        <f aca="false">I218</f>
        <v>Dahi Patol</v>
      </c>
      <c r="V218" s="81" t="n">
        <f aca="false">VLOOKUP(U218,recipe_ingred_list!$A$2:$B$300,2,0)</f>
        <v>18</v>
      </c>
      <c r="W218" s="81" t="str">
        <f aca="false">"/recipes/"&amp;VLOOKUP(U218,recipe_ingred_list!$A$2:$C$300,3,0)&amp;"/detail/"</f>
        <v>/recipes/dahi-patol/detail/</v>
      </c>
      <c r="X218" s="81" t="str">
        <f aca="false">J218</f>
        <v>Rai</v>
      </c>
      <c r="Y218" s="81" t="str">
        <f aca="false">R218</f>
        <v>rai</v>
      </c>
      <c r="Z218" s="94" t="n">
        <f aca="false">VLOOKUP(Y218,recipe_ingred_list!$D$2:$E$500,2,0)</f>
        <v>164</v>
      </c>
      <c r="AA218" s="61" t="n">
        <f aca="false">K218</f>
        <v>0</v>
      </c>
      <c r="AB218" s="61" t="n">
        <f aca="false">L218</f>
        <v>0</v>
      </c>
      <c r="AC218" s="61" t="n">
        <f aca="false">VLOOKUP(AB218,recipe_ingred_list!$K$2:$M$7,3,0)</f>
        <v>2</v>
      </c>
      <c r="AD218" s="61" t="n">
        <f aca="false">M218</f>
        <v>0.5</v>
      </c>
      <c r="AE218" s="61" t="str">
        <f aca="false">N218</f>
        <v>cup</v>
      </c>
      <c r="AF218" s="61" t="n">
        <f aca="false">VLOOKUP(AE218,recipe_ingred_list!$K$16:$M$25,3,0)</f>
        <v>5</v>
      </c>
      <c r="AG218" s="61" t="n">
        <f aca="false">O218</f>
        <v>0</v>
      </c>
      <c r="AH218" s="61" t="n">
        <f aca="false">P218</f>
        <v>0</v>
      </c>
      <c r="AI218" s="61" t="n">
        <f aca="false">VLOOKUP(AH218,recipe_ingred_list!$K$29:$M$34,3,0)</f>
        <v>3</v>
      </c>
      <c r="AJ218" s="61" t="str">
        <f aca="false">IF(Q218="","",Q218)</f>
        <v/>
      </c>
      <c r="AK218" s="61" t="n">
        <f aca="false">AK217+1</f>
        <v>218</v>
      </c>
      <c r="AL218" s="61" t="str">
        <f aca="false">Y218</f>
        <v>rai</v>
      </c>
      <c r="AM218" s="81" t="str">
        <f aca="false">"a = Client().post('"&amp;W218&amp;"', {'recipe' : '"&amp;V218&amp;"', 'ingredient' : '"&amp;Z218&amp;"', 'name' : '"&amp;X218&amp;"', 'mass_unit' : '"&amp;AC218&amp;"', 'mass_quantity' : '"&amp;ROUND(AA218,3)&amp;"', 'volume_unit' : '"&amp;AF218&amp;"', 'volume_quantity' : '"&amp;ROUND(AD218,3)&amp;"', 'pieces_unit' : '"&amp;AI218&amp;"', 'pieces_quantity' : '"&amp;ROUND(AG218,3)&amp;"', 'cooking_notes' : '"&amp;AJ218&amp;"'}).status_code; print('%s :: %s :: %s :: %s :: %s' %(a,"&amp;G218&amp;",'"&amp;X218&amp;"','"&amp;Y218&amp;"','"&amp;U218&amp;"'))"</f>
        <v>a = Client().post('/recipes/dahi-patol/detail/', {'recipe' : '18', 'ingredient' : '164', 'name' : 'Rai', 'mass_unit' : '2', 'mass_quantity' : '0', 'volume_unit' : '5', 'volume_quantity' : '0.5', 'pieces_unit' : '3', 'pieces_quantity' : '0', 'cooking_notes' : ''}).status_code; print('%s :: %s :: %s :: %s :: %s' %(a,218,'Rai','rai','Dahi Patol'))</v>
      </c>
    </row>
    <row r="219" customFormat="false" ht="13.8" hidden="false" customHeight="false" outlineLevel="0" collapsed="false">
      <c r="G219" s="80" t="n">
        <v>219</v>
      </c>
      <c r="I219" s="82" t="s">
        <v>163</v>
      </c>
      <c r="J219" s="83" t="s">
        <v>562</v>
      </c>
      <c r="M219" s="61" t="n">
        <v>0.25</v>
      </c>
      <c r="N219" s="61" t="s">
        <v>20</v>
      </c>
      <c r="R219" s="82" t="str">
        <f aca="false">VLOOKUP(J219,ingredient!$N$4:$O$553,2,0)</f>
        <v>hing</v>
      </c>
      <c r="U219" s="81" t="str">
        <f aca="false">I219</f>
        <v>Dahi Patol</v>
      </c>
      <c r="V219" s="81" t="n">
        <f aca="false">VLOOKUP(U219,recipe_ingred_list!$A$2:$B$300,2,0)</f>
        <v>18</v>
      </c>
      <c r="W219" s="81" t="str">
        <f aca="false">"/recipes/"&amp;VLOOKUP(U219,recipe_ingred_list!$A$2:$C$300,3,0)&amp;"/detail/"</f>
        <v>/recipes/dahi-patol/detail/</v>
      </c>
      <c r="X219" s="81" t="str">
        <f aca="false">J219</f>
        <v>Hing</v>
      </c>
      <c r="Y219" s="81" t="str">
        <f aca="false">R219</f>
        <v>hing</v>
      </c>
      <c r="Z219" s="94" t="n">
        <f aca="false">VLOOKUP(Y219,recipe_ingred_list!$D$2:$E$500,2,0)</f>
        <v>95</v>
      </c>
      <c r="AA219" s="61" t="n">
        <f aca="false">K219</f>
        <v>0</v>
      </c>
      <c r="AB219" s="61" t="n">
        <f aca="false">L219</f>
        <v>0</v>
      </c>
      <c r="AC219" s="61" t="n">
        <f aca="false">VLOOKUP(AB219,recipe_ingred_list!$K$2:$M$7,3,0)</f>
        <v>2</v>
      </c>
      <c r="AD219" s="61" t="n">
        <f aca="false">M219</f>
        <v>0.25</v>
      </c>
      <c r="AE219" s="61" t="str">
        <f aca="false">N219</f>
        <v>cup</v>
      </c>
      <c r="AF219" s="61" t="n">
        <f aca="false">VLOOKUP(AE219,recipe_ingred_list!$K$16:$M$25,3,0)</f>
        <v>5</v>
      </c>
      <c r="AG219" s="61" t="n">
        <f aca="false">O219</f>
        <v>0</v>
      </c>
      <c r="AH219" s="61" t="n">
        <f aca="false">P219</f>
        <v>0</v>
      </c>
      <c r="AI219" s="61" t="n">
        <f aca="false">VLOOKUP(AH219,recipe_ingred_list!$K$29:$M$34,3,0)</f>
        <v>3</v>
      </c>
      <c r="AJ219" s="61" t="str">
        <f aca="false">IF(Q219="","",Q219)</f>
        <v/>
      </c>
      <c r="AK219" s="61" t="n">
        <f aca="false">AK218+1</f>
        <v>219</v>
      </c>
      <c r="AL219" s="61" t="str">
        <f aca="false">Y219</f>
        <v>hing</v>
      </c>
      <c r="AM219" s="81" t="str">
        <f aca="false">"a = Client().post('"&amp;W219&amp;"', {'recipe' : '"&amp;V219&amp;"', 'ingredient' : '"&amp;Z219&amp;"', 'name' : '"&amp;X219&amp;"', 'mass_unit' : '"&amp;AC219&amp;"', 'mass_quantity' : '"&amp;ROUND(AA219,3)&amp;"', 'volume_unit' : '"&amp;AF219&amp;"', 'volume_quantity' : '"&amp;ROUND(AD219,3)&amp;"', 'pieces_unit' : '"&amp;AI219&amp;"', 'pieces_quantity' : '"&amp;ROUND(AG219,3)&amp;"', 'cooking_notes' : '"&amp;AJ219&amp;"'}).status_code; print('%s :: %s :: %s :: %s :: %s' %(a,"&amp;G219&amp;",'"&amp;X219&amp;"','"&amp;Y219&amp;"','"&amp;U219&amp;"'))"</f>
        <v>a = Client().post('/recipes/dahi-patol/detail/', {'recipe' : '18', 'ingredient' : '95', 'name' : 'Hing', 'mass_unit' : '2', 'mass_quantity' : '0', 'volume_unit' : '5', 'volume_quantity' : '0.25', 'pieces_unit' : '3', 'pieces_quantity' : '0', 'cooking_notes' : ''}).status_code; print('%s :: %s :: %s :: %s :: %s' %(a,219,'Hing','hing','Dahi Patol'))</v>
      </c>
    </row>
    <row r="220" customFormat="false" ht="13.8" hidden="false" customHeight="false" outlineLevel="0" collapsed="false">
      <c r="G220" s="80" t="n">
        <v>220</v>
      </c>
      <c r="I220" s="82" t="s">
        <v>163</v>
      </c>
      <c r="J220" s="83" t="s">
        <v>586</v>
      </c>
      <c r="M220" s="61" t="n">
        <v>2</v>
      </c>
      <c r="N220" s="61" t="s">
        <v>20</v>
      </c>
      <c r="R220" s="82" t="str">
        <f aca="false">VLOOKUP(J220,ingredient!$N$4:$O$553,2,0)</f>
        <v>kadi patta</v>
      </c>
      <c r="U220" s="81" t="str">
        <f aca="false">I220</f>
        <v>Dahi Patol</v>
      </c>
      <c r="V220" s="81" t="n">
        <f aca="false">VLOOKUP(U220,recipe_ingred_list!$A$2:$B$300,2,0)</f>
        <v>18</v>
      </c>
      <c r="W220" s="81" t="str">
        <f aca="false">"/recipes/"&amp;VLOOKUP(U220,recipe_ingred_list!$A$2:$C$300,3,0)&amp;"/detail/"</f>
        <v>/recipes/dahi-patol/detail/</v>
      </c>
      <c r="X220" s="81" t="str">
        <f aca="false">J220</f>
        <v>Kadipatta</v>
      </c>
      <c r="Y220" s="81" t="str">
        <f aca="false">R220</f>
        <v>kadi patta</v>
      </c>
      <c r="Z220" s="94" t="n">
        <f aca="false">VLOOKUP(Y220,recipe_ingred_list!$D$2:$E$500,2,0)</f>
        <v>105</v>
      </c>
      <c r="AA220" s="61" t="n">
        <f aca="false">K220</f>
        <v>0</v>
      </c>
      <c r="AB220" s="61" t="n">
        <f aca="false">L220</f>
        <v>0</v>
      </c>
      <c r="AC220" s="61" t="n">
        <f aca="false">VLOOKUP(AB220,recipe_ingred_list!$K$2:$M$7,3,0)</f>
        <v>2</v>
      </c>
      <c r="AD220" s="61" t="n">
        <f aca="false">M220</f>
        <v>2</v>
      </c>
      <c r="AE220" s="61" t="str">
        <f aca="false">N220</f>
        <v>cup</v>
      </c>
      <c r="AF220" s="61" t="n">
        <f aca="false">VLOOKUP(AE220,recipe_ingred_list!$K$16:$M$25,3,0)</f>
        <v>5</v>
      </c>
      <c r="AG220" s="61" t="n">
        <f aca="false">O220</f>
        <v>0</v>
      </c>
      <c r="AH220" s="61" t="n">
        <f aca="false">P220</f>
        <v>0</v>
      </c>
      <c r="AI220" s="61" t="n">
        <f aca="false">VLOOKUP(AH220,recipe_ingred_list!$K$29:$M$34,3,0)</f>
        <v>3</v>
      </c>
      <c r="AJ220" s="61" t="str">
        <f aca="false">IF(Q220="","",Q220)</f>
        <v/>
      </c>
      <c r="AK220" s="61" t="n">
        <f aca="false">AK219+1</f>
        <v>220</v>
      </c>
      <c r="AL220" s="61" t="str">
        <f aca="false">Y220</f>
        <v>kadi patta</v>
      </c>
      <c r="AM220" s="81" t="str">
        <f aca="false">"a = Client().post('"&amp;W220&amp;"', {'recipe' : '"&amp;V220&amp;"', 'ingredient' : '"&amp;Z220&amp;"', 'name' : '"&amp;X220&amp;"', 'mass_unit' : '"&amp;AC220&amp;"', 'mass_quantity' : '"&amp;ROUND(AA220,3)&amp;"', 'volume_unit' : '"&amp;AF220&amp;"', 'volume_quantity' : '"&amp;ROUND(AD220,3)&amp;"', 'pieces_unit' : '"&amp;AI220&amp;"', 'pieces_quantity' : '"&amp;ROUND(AG220,3)&amp;"', 'cooking_notes' : '"&amp;AJ220&amp;"'}).status_code; print('%s :: %s :: %s :: %s :: %s' %(a,"&amp;G220&amp;",'"&amp;X220&amp;"','"&amp;Y220&amp;"','"&amp;U220&amp;"'))"</f>
        <v>a = Client().post('/recipes/dahi-patol/detail/', {'recipe' : '18', 'ingredient' : '105', 'name' : 'Kadipatta', 'mass_unit' : '2', 'mass_quantity' : '0', 'volume_unit' : '5', 'volume_quantity' : '2', 'pieces_unit' : '3', 'pieces_quantity' : '0', 'cooking_notes' : ''}).status_code; print('%s :: %s :: %s :: %s :: %s' %(a,220,'Kadipatta','kadi patta','Dahi Patol'))</v>
      </c>
    </row>
    <row r="221" customFormat="false" ht="13.8" hidden="false" customHeight="false" outlineLevel="0" collapsed="false">
      <c r="G221" s="80" t="n">
        <v>221</v>
      </c>
      <c r="I221" s="82" t="s">
        <v>163</v>
      </c>
      <c r="J221" s="83" t="s">
        <v>18</v>
      </c>
      <c r="M221" s="61" t="n">
        <v>2</v>
      </c>
      <c r="N221" s="61" t="s">
        <v>20</v>
      </c>
      <c r="R221" s="82" t="str">
        <f aca="false">VLOOKUP(J221,ingredient!$N$4:$O$553,2,0)</f>
        <v>adrak</v>
      </c>
      <c r="U221" s="81" t="str">
        <f aca="false">I221</f>
        <v>Dahi Patol</v>
      </c>
      <c r="V221" s="81" t="n">
        <f aca="false">VLOOKUP(U221,recipe_ingred_list!$A$2:$B$300,2,0)</f>
        <v>18</v>
      </c>
      <c r="W221" s="81" t="str">
        <f aca="false">"/recipes/"&amp;VLOOKUP(U221,recipe_ingred_list!$A$2:$C$300,3,0)&amp;"/detail/"</f>
        <v>/recipes/dahi-patol/detail/</v>
      </c>
      <c r="X221" s="81" t="str">
        <f aca="false">J221</f>
        <v>Adrak paste</v>
      </c>
      <c r="Y221" s="81" t="str">
        <f aca="false">R221</f>
        <v>adrak</v>
      </c>
      <c r="Z221" s="94" t="n">
        <f aca="false">VLOOKUP(Y221,recipe_ingred_list!$D$2:$E$500,2,0)</f>
        <v>1</v>
      </c>
      <c r="AA221" s="61" t="n">
        <f aca="false">K221</f>
        <v>0</v>
      </c>
      <c r="AB221" s="61" t="n">
        <f aca="false">L221</f>
        <v>0</v>
      </c>
      <c r="AC221" s="61" t="n">
        <f aca="false">VLOOKUP(AB221,recipe_ingred_list!$K$2:$M$7,3,0)</f>
        <v>2</v>
      </c>
      <c r="AD221" s="61" t="n">
        <f aca="false">M221</f>
        <v>2</v>
      </c>
      <c r="AE221" s="61" t="str">
        <f aca="false">N221</f>
        <v>cup</v>
      </c>
      <c r="AF221" s="61" t="n">
        <f aca="false">VLOOKUP(AE221,recipe_ingred_list!$K$16:$M$25,3,0)</f>
        <v>5</v>
      </c>
      <c r="AG221" s="61" t="n">
        <f aca="false">O221</f>
        <v>0</v>
      </c>
      <c r="AH221" s="61" t="n">
        <f aca="false">P221</f>
        <v>0</v>
      </c>
      <c r="AI221" s="61" t="n">
        <f aca="false">VLOOKUP(AH221,recipe_ingred_list!$K$29:$M$34,3,0)</f>
        <v>3</v>
      </c>
      <c r="AJ221" s="61" t="str">
        <f aca="false">IF(Q221="","",Q221)</f>
        <v/>
      </c>
      <c r="AK221" s="61" t="n">
        <f aca="false">AK220+1</f>
        <v>221</v>
      </c>
      <c r="AL221" s="61" t="str">
        <f aca="false">Y221</f>
        <v>adrak</v>
      </c>
      <c r="AM221" s="81" t="str">
        <f aca="false">"a = Client().post('"&amp;W221&amp;"', {'recipe' : '"&amp;V221&amp;"', 'ingredient' : '"&amp;Z221&amp;"', 'name' : '"&amp;X221&amp;"', 'mass_unit' : '"&amp;AC221&amp;"', 'mass_quantity' : '"&amp;ROUND(AA221,3)&amp;"', 'volume_unit' : '"&amp;AF221&amp;"', 'volume_quantity' : '"&amp;ROUND(AD221,3)&amp;"', 'pieces_unit' : '"&amp;AI221&amp;"', 'pieces_quantity' : '"&amp;ROUND(AG221,3)&amp;"', 'cooking_notes' : '"&amp;AJ221&amp;"'}).status_code; print('%s :: %s :: %s :: %s :: %s' %(a,"&amp;G221&amp;",'"&amp;X221&amp;"','"&amp;Y221&amp;"','"&amp;U221&amp;"'))"</f>
        <v>a = Client().post('/recipes/dahi-patol/detail/', {'recipe' : '18', 'ingredient' : '1', 'name' : 'Adrak paste', 'mass_unit' : '2', 'mass_quantity' : '0', 'volume_unit' : '5', 'volume_quantity' : '2', 'pieces_unit' : '3', 'pieces_quantity' : '0', 'cooking_notes' : ''}).status_code; print('%s :: %s :: %s :: %s :: %s' %(a,221,'Adrak paste','adrak','Dahi Patol'))</v>
      </c>
    </row>
    <row r="222" customFormat="false" ht="14.9" hidden="false" customHeight="false" outlineLevel="0" collapsed="false">
      <c r="G222" s="80" t="n">
        <v>222</v>
      </c>
      <c r="I222" s="82" t="s">
        <v>163</v>
      </c>
      <c r="J222" s="83" t="s">
        <v>592</v>
      </c>
      <c r="K222" s="61" t="n">
        <v>25</v>
      </c>
      <c r="L222" s="61" t="s">
        <v>7</v>
      </c>
      <c r="Q222" s="84" t="s">
        <v>590</v>
      </c>
      <c r="R222" s="82" t="str">
        <f aca="false">VLOOKUP(J222,ingredient!$N$4:$O$553,2,0)</f>
        <v>patol</v>
      </c>
      <c r="U222" s="81" t="str">
        <f aca="false">I222</f>
        <v>Dahi Patol</v>
      </c>
      <c r="V222" s="81" t="n">
        <f aca="false">VLOOKUP(U222,recipe_ingred_list!$A$2:$B$300,2,0)</f>
        <v>18</v>
      </c>
      <c r="W222" s="81" t="str">
        <f aca="false">"/recipes/"&amp;VLOOKUP(U222,recipe_ingred_list!$A$2:$C$300,3,0)&amp;"/detail/"</f>
        <v>/recipes/dahi-patol/detail/</v>
      </c>
      <c r="X222" s="81" t="str">
        <f aca="false">J222</f>
        <v>Patol</v>
      </c>
      <c r="Y222" s="81" t="str">
        <f aca="false">R222</f>
        <v>patol</v>
      </c>
      <c r="Z222" s="94" t="n">
        <f aca="false">VLOOKUP(Y222,recipe_ingred_list!$D$2:$E$500,2,0)</f>
        <v>158</v>
      </c>
      <c r="AA222" s="61" t="n">
        <f aca="false">K222</f>
        <v>25</v>
      </c>
      <c r="AB222" s="61" t="str">
        <f aca="false">L222</f>
        <v>kg</v>
      </c>
      <c r="AC222" s="61" t="n">
        <f aca="false">VLOOKUP(AB222,recipe_ingred_list!$K$2:$M$7,3,0)</f>
        <v>2</v>
      </c>
      <c r="AD222" s="61" t="n">
        <f aca="false">M222</f>
        <v>0</v>
      </c>
      <c r="AE222" s="61" t="n">
        <f aca="false">N222</f>
        <v>0</v>
      </c>
      <c r="AF222" s="61" t="n">
        <f aca="false">VLOOKUP(AE222,recipe_ingred_list!$K$16:$M$25,3,0)</f>
        <v>1</v>
      </c>
      <c r="AG222" s="61" t="n">
        <f aca="false">O222</f>
        <v>0</v>
      </c>
      <c r="AH222" s="61" t="n">
        <f aca="false">P222</f>
        <v>0</v>
      </c>
      <c r="AI222" s="61" t="n">
        <f aca="false">VLOOKUP(AH222,recipe_ingred_list!$K$29:$M$34,3,0)</f>
        <v>3</v>
      </c>
      <c r="AJ222" s="61" t="str">
        <f aca="false">IF(Q222="","",Q222)</f>
        <v>cut long,deep fried</v>
      </c>
      <c r="AK222" s="61" t="n">
        <f aca="false">AK221+1</f>
        <v>222</v>
      </c>
      <c r="AL222" s="61" t="str">
        <f aca="false">Y222</f>
        <v>patol</v>
      </c>
      <c r="AM222" s="81" t="str">
        <f aca="false">"a = Client().post('"&amp;W222&amp;"', {'recipe' : '"&amp;V222&amp;"', 'ingredient' : '"&amp;Z222&amp;"', 'name' : '"&amp;X222&amp;"', 'mass_unit' : '"&amp;AC222&amp;"', 'mass_quantity' : '"&amp;ROUND(AA222,3)&amp;"', 'volume_unit' : '"&amp;AF222&amp;"', 'volume_quantity' : '"&amp;ROUND(AD222,3)&amp;"', 'pieces_unit' : '"&amp;AI222&amp;"', 'pieces_quantity' : '"&amp;ROUND(AG222,3)&amp;"', 'cooking_notes' : '"&amp;AJ222&amp;"'}).status_code; print('%s :: %s :: %s :: %s :: %s' %(a,"&amp;G222&amp;",'"&amp;X222&amp;"','"&amp;Y222&amp;"','"&amp;U222&amp;"'))"</f>
        <v>a = Client().post('/recipes/dahi-patol/detail/', {'recipe' : '18', 'ingredient' : '158', 'name' : 'Patol', 'mass_unit' : '2', 'mass_quantity' : '25', 'volume_unit' : '1', 'volume_quantity' : '0', 'pieces_unit' : '3', 'pieces_quantity' : '0', 'cooking_notes' : 'cut long,deep fried'}).status_code; print('%s :: %s :: %s :: %s :: %s' %(a,222,'Patol','patol','Dahi Patol'))</v>
      </c>
    </row>
    <row r="223" customFormat="false" ht="13.8" hidden="false" customHeight="false" outlineLevel="0" collapsed="false">
      <c r="G223" s="80" t="n">
        <v>223</v>
      </c>
      <c r="H223" s="98"/>
      <c r="I223" s="99" t="s">
        <v>163</v>
      </c>
      <c r="J223" s="79" t="s">
        <v>558</v>
      </c>
      <c r="K223" s="100"/>
      <c r="L223" s="100"/>
      <c r="M223" s="100" t="n">
        <v>35</v>
      </c>
      <c r="N223" s="100" t="s">
        <v>13</v>
      </c>
      <c r="O223" s="101"/>
      <c r="P223" s="100"/>
      <c r="Q223" s="102"/>
      <c r="R223" s="99" t="e">
        <f aca="false">VLOOKUP(J223,ingredient!$N$4:$O$553,2,0)</f>
        <v>#N/A</v>
      </c>
      <c r="S223" s="98"/>
      <c r="T223" s="98"/>
      <c r="U223" s="81" t="str">
        <f aca="false">I223</f>
        <v>Dahi Patol</v>
      </c>
      <c r="V223" s="81" t="n">
        <f aca="false">VLOOKUP(U223,recipe_ingred_list!$A$2:$B$300,2,0)</f>
        <v>18</v>
      </c>
      <c r="W223" s="81" t="str">
        <f aca="false">"/recipes/"&amp;VLOOKUP(U223,recipe_ingred_list!$A$2:$C$300,3,0)&amp;"/detail/"</f>
        <v>/recipes/dahi-patol/detail/</v>
      </c>
      <c r="X223" s="81" t="str">
        <f aca="false">J223</f>
        <v>Yield </v>
      </c>
      <c r="Y223" s="81" t="e">
        <f aca="false">R223</f>
        <v>#N/A</v>
      </c>
      <c r="Z223" s="94" t="e">
        <f aca="false">VLOOKUP(Y223,recipe_ingred_list!$D$2:$E$500,2,0)</f>
        <v>#N/A</v>
      </c>
      <c r="AA223" s="61" t="n">
        <f aca="false">K223</f>
        <v>0</v>
      </c>
      <c r="AB223" s="61" t="n">
        <f aca="false">L223</f>
        <v>0</v>
      </c>
      <c r="AC223" s="61" t="n">
        <f aca="false">VLOOKUP(AB223,recipe_ingred_list!$K$2:$M$7,3,0)</f>
        <v>2</v>
      </c>
      <c r="AD223" s="61" t="n">
        <f aca="false">M223</f>
        <v>35</v>
      </c>
      <c r="AE223" s="61" t="str">
        <f aca="false">N223</f>
        <v>ltr</v>
      </c>
      <c r="AF223" s="61" t="n">
        <f aca="false">VLOOKUP(AE223,recipe_ingred_list!$K$16:$M$25,3,0)</f>
        <v>1</v>
      </c>
      <c r="AG223" s="61" t="n">
        <f aca="false">O223</f>
        <v>0</v>
      </c>
      <c r="AH223" s="61" t="n">
        <f aca="false">P223</f>
        <v>0</v>
      </c>
      <c r="AI223" s="61" t="n">
        <f aca="false">VLOOKUP(AH223,recipe_ingred_list!$K$29:$M$34,3,0)</f>
        <v>3</v>
      </c>
      <c r="AJ223" s="61" t="str">
        <f aca="false">IF(Q223="","",Q223)</f>
        <v/>
      </c>
      <c r="AK223" s="61" t="n">
        <f aca="false">AK222+1</f>
        <v>223</v>
      </c>
      <c r="AL223" s="61" t="e">
        <f aca="false">Y223</f>
        <v>#N/A</v>
      </c>
      <c r="AM223" s="81" t="e">
        <f aca="false">"a = Client().post('"&amp;W223&amp;"', {'recipe' : '"&amp;V223&amp;"', 'ingredient' : '"&amp;Z223&amp;"', 'name' : '"&amp;X223&amp;"', 'mass_unit' : '"&amp;AC223&amp;"', 'mass_quantity' : '"&amp;ROUND(AA223,3)&amp;"', 'volume_unit' : '"&amp;AF223&amp;"', 'volume_quantity' : '"&amp;ROUND(AD223,3)&amp;"', 'pieces_unit' : '"&amp;AI223&amp;"', 'pieces_quantity' : '"&amp;ROUND(AG223,3)&amp;"', 'cooking_notes' : '"&amp;AJ223&amp;"'}).status_code; print('%s :: %s :: %s :: %s :: %s' %(a,"&amp;G223&amp;",'"&amp;X223&amp;"','"&amp;Y223&amp;"','"&amp;U223&amp;"'))"</f>
        <v>#N/A</v>
      </c>
    </row>
    <row r="224" customFormat="false" ht="13.8" hidden="false" customHeight="false" outlineLevel="0" collapsed="false">
      <c r="G224" s="80" t="n">
        <v>224</v>
      </c>
      <c r="H224" s="98"/>
      <c r="I224" s="99"/>
      <c r="J224" s="79"/>
      <c r="K224" s="100"/>
      <c r="L224" s="100"/>
      <c r="M224" s="100"/>
      <c r="N224" s="100"/>
      <c r="O224" s="101"/>
      <c r="P224" s="100"/>
      <c r="Q224" s="102"/>
      <c r="R224" s="99" t="e">
        <f aca="false">VLOOKUP(J224,ingredient!$N$4:$O$553,2,0)</f>
        <v>#N/A</v>
      </c>
      <c r="S224" s="98"/>
      <c r="T224" s="98"/>
      <c r="U224" s="81" t="n">
        <f aca="false">I224</f>
        <v>0</v>
      </c>
      <c r="V224" s="81" t="e">
        <f aca="false">VLOOKUP(U224,recipe_ingred_list!$A$2:$B$300,2,0)</f>
        <v>#N/A</v>
      </c>
      <c r="W224" s="81" t="e">
        <f aca="false">"/recipes/"&amp;VLOOKUP(U224,recipe_ingred_list!$A$2:$C$300,3,0)&amp;"/detail/"</f>
        <v>#N/A</v>
      </c>
      <c r="X224" s="81" t="n">
        <f aca="false">J224</f>
        <v>0</v>
      </c>
      <c r="Y224" s="81" t="e">
        <f aca="false">R224</f>
        <v>#N/A</v>
      </c>
      <c r="Z224" s="94" t="e">
        <f aca="false">VLOOKUP(Y224,recipe_ingred_list!$D$2:$E$500,2,0)</f>
        <v>#N/A</v>
      </c>
      <c r="AA224" s="61" t="n">
        <f aca="false">K224</f>
        <v>0</v>
      </c>
      <c r="AB224" s="61" t="n">
        <f aca="false">L224</f>
        <v>0</v>
      </c>
      <c r="AC224" s="61" t="n">
        <f aca="false">VLOOKUP(AB224,recipe_ingred_list!$K$2:$M$7,3,0)</f>
        <v>2</v>
      </c>
      <c r="AD224" s="61" t="n">
        <f aca="false">M224</f>
        <v>0</v>
      </c>
      <c r="AE224" s="61" t="n">
        <f aca="false">N224</f>
        <v>0</v>
      </c>
      <c r="AF224" s="61" t="n">
        <f aca="false">VLOOKUP(AE224,recipe_ingred_list!$K$16:$M$25,3,0)</f>
        <v>1</v>
      </c>
      <c r="AG224" s="61" t="n">
        <f aca="false">O224</f>
        <v>0</v>
      </c>
      <c r="AH224" s="61" t="n">
        <f aca="false">P224</f>
        <v>0</v>
      </c>
      <c r="AI224" s="61" t="n">
        <f aca="false">VLOOKUP(AH224,recipe_ingred_list!$K$29:$M$34,3,0)</f>
        <v>3</v>
      </c>
      <c r="AJ224" s="61" t="str">
        <f aca="false">IF(Q224="","",Q224)</f>
        <v/>
      </c>
      <c r="AK224" s="61" t="n">
        <f aca="false">AK223+1</f>
        <v>224</v>
      </c>
      <c r="AL224" s="61" t="e">
        <f aca="false">Y224</f>
        <v>#N/A</v>
      </c>
      <c r="AM224" s="81" t="e">
        <f aca="false">"a = Client().post('"&amp;W224&amp;"', {'recipe' : '"&amp;V224&amp;"', 'ingredient' : '"&amp;Z224&amp;"', 'name' : '"&amp;X224&amp;"', 'mass_unit' : '"&amp;AC224&amp;"', 'mass_quantity' : '"&amp;ROUND(AA224,3)&amp;"', 'volume_unit' : '"&amp;AF224&amp;"', 'volume_quantity' : '"&amp;ROUND(AD224,3)&amp;"', 'pieces_unit' : '"&amp;AI224&amp;"', 'pieces_quantity' : '"&amp;ROUND(AG224,3)&amp;"', 'cooking_notes' : '"&amp;AJ224&amp;"'}).status_code; print('%s :: %s :: %s :: %s :: %s' %(a,"&amp;G224&amp;",'"&amp;X224&amp;"','"&amp;Y224&amp;"','"&amp;U224&amp;"'))"</f>
        <v>#N/A</v>
      </c>
    </row>
    <row r="225" customFormat="false" ht="14.9" hidden="false" customHeight="false" outlineLevel="0" collapsed="false">
      <c r="G225" s="80" t="n">
        <v>225</v>
      </c>
      <c r="I225" s="82" t="s">
        <v>118</v>
      </c>
      <c r="J225" s="83" t="s">
        <v>593</v>
      </c>
      <c r="K225" s="61" t="n">
        <v>6</v>
      </c>
      <c r="L225" s="61" t="s">
        <v>7</v>
      </c>
      <c r="Q225" s="84" t="s">
        <v>566</v>
      </c>
      <c r="R225" s="82" t="str">
        <f aca="false">VLOOKUP(J225,ingredient!$N$4:$O$553,2,0)</f>
        <v>kala chana</v>
      </c>
      <c r="U225" s="81" t="str">
        <f aca="false">I225</f>
        <v>Alu Kala Chana Chat</v>
      </c>
      <c r="V225" s="81" t="n">
        <f aca="false">VLOOKUP(U225,recipe_ingred_list!$A$2:$B$300,2,0)</f>
        <v>5</v>
      </c>
      <c r="W225" s="81" t="str">
        <f aca="false">"/recipes/"&amp;VLOOKUP(U225,recipe_ingred_list!$A$2:$C$300,3,0)&amp;"/detail/"</f>
        <v>/recipes/alu-kala-chana-chat/detail/</v>
      </c>
      <c r="X225" s="81" t="str">
        <f aca="false">J225</f>
        <v>Kala chana</v>
      </c>
      <c r="Y225" s="81" t="str">
        <f aca="false">R225</f>
        <v>kala chana</v>
      </c>
      <c r="Z225" s="94" t="n">
        <f aca="false">VLOOKUP(Y225,recipe_ingred_list!$D$2:$E$500,2,0)</f>
        <v>112</v>
      </c>
      <c r="AA225" s="61" t="n">
        <f aca="false">K225</f>
        <v>6</v>
      </c>
      <c r="AB225" s="61" t="str">
        <f aca="false">L225</f>
        <v>kg</v>
      </c>
      <c r="AC225" s="61" t="n">
        <f aca="false">VLOOKUP(AB225,recipe_ingred_list!$K$2:$M$7,3,0)</f>
        <v>2</v>
      </c>
      <c r="AD225" s="61" t="n">
        <f aca="false">M225</f>
        <v>0</v>
      </c>
      <c r="AE225" s="61" t="n">
        <f aca="false">N225</f>
        <v>0</v>
      </c>
      <c r="AF225" s="61" t="n">
        <f aca="false">VLOOKUP(AE225,recipe_ingred_list!$K$16:$M$25,3,0)</f>
        <v>1</v>
      </c>
      <c r="AG225" s="61" t="n">
        <f aca="false">O225</f>
        <v>0</v>
      </c>
      <c r="AH225" s="61" t="n">
        <f aca="false">P225</f>
        <v>0</v>
      </c>
      <c r="AI225" s="61" t="n">
        <f aca="false">VLOOKUP(AH225,recipe_ingred_list!$K$29:$M$34,3,0)</f>
        <v>3</v>
      </c>
      <c r="AJ225" s="61" t="str">
        <f aca="false">IF(Q225="","",Q225)</f>
        <v>boiled</v>
      </c>
      <c r="AK225" s="61" t="n">
        <f aca="false">AK224+1</f>
        <v>225</v>
      </c>
      <c r="AL225" s="61" t="str">
        <f aca="false">Y225</f>
        <v>kala chana</v>
      </c>
      <c r="AM225" s="81" t="str">
        <f aca="false">"a = Client().post('"&amp;W225&amp;"', {'recipe' : '"&amp;V225&amp;"', 'ingredient' : '"&amp;Z225&amp;"', 'name' : '"&amp;X225&amp;"', 'mass_unit' : '"&amp;AC225&amp;"', 'mass_quantity' : '"&amp;ROUND(AA225,3)&amp;"', 'volume_unit' : '"&amp;AF225&amp;"', 'volume_quantity' : '"&amp;ROUND(AD225,3)&amp;"', 'pieces_unit' : '"&amp;AI225&amp;"', 'pieces_quantity' : '"&amp;ROUND(AG225,3)&amp;"', 'cooking_notes' : '"&amp;AJ225&amp;"'}).status_code; print('%s :: %s :: %s :: %s :: %s' %(a,"&amp;G225&amp;",'"&amp;X225&amp;"','"&amp;Y225&amp;"','"&amp;U225&amp;"'))"</f>
        <v>a = Client().post('/recipes/alu-kala-chana-chat/detail/', {'recipe' : '5', 'ingredient' : '112', 'name' : 'Kala chana', 'mass_unit' : '2', 'mass_quantity' : '6', 'volume_unit' : '1', 'volume_quantity' : '0', 'pieces_unit' : '3', 'pieces_quantity' : '0', 'cooking_notes' : 'boiled'}).status_code; print('%s :: %s :: %s :: %s :: %s' %(a,225,'Kala chana','kala chana','Alu Kala Chana Chat'))</v>
      </c>
    </row>
    <row r="226" customFormat="false" ht="14.9" hidden="false" customHeight="false" outlineLevel="0" collapsed="false">
      <c r="G226" s="80" t="n">
        <v>226</v>
      </c>
      <c r="I226" s="82" t="s">
        <v>118</v>
      </c>
      <c r="J226" s="83" t="s">
        <v>39</v>
      </c>
      <c r="K226" s="61" t="n">
        <v>2</v>
      </c>
      <c r="L226" s="61" t="s">
        <v>7</v>
      </c>
      <c r="Q226" s="84" t="s">
        <v>594</v>
      </c>
      <c r="R226" s="82" t="str">
        <f aca="false">VLOOKUP(J226,ingredient!$N$4:$O$553,2,0)</f>
        <v>cabbage</v>
      </c>
      <c r="U226" s="81" t="str">
        <f aca="false">I226</f>
        <v>Alu Kala Chana Chat</v>
      </c>
      <c r="V226" s="81" t="n">
        <f aca="false">VLOOKUP(U226,recipe_ingred_list!$A$2:$B$300,2,0)</f>
        <v>5</v>
      </c>
      <c r="W226" s="81" t="str">
        <f aca="false">"/recipes/"&amp;VLOOKUP(U226,recipe_ingred_list!$A$2:$C$300,3,0)&amp;"/detail/"</f>
        <v>/recipes/alu-kala-chana-chat/detail/</v>
      </c>
      <c r="X226" s="81" t="str">
        <f aca="false">J226</f>
        <v>Cabbage</v>
      </c>
      <c r="Y226" s="81" t="str">
        <f aca="false">R226</f>
        <v>cabbage</v>
      </c>
      <c r="Z226" s="94" t="n">
        <f aca="false">VLOOKUP(Y226,recipe_ingred_list!$D$2:$E$500,2,0)</f>
        <v>39</v>
      </c>
      <c r="AA226" s="61" t="n">
        <f aca="false">K226</f>
        <v>2</v>
      </c>
      <c r="AB226" s="61" t="str">
        <f aca="false">L226</f>
        <v>kg</v>
      </c>
      <c r="AC226" s="61" t="n">
        <f aca="false">VLOOKUP(AB226,recipe_ingred_list!$K$2:$M$7,3,0)</f>
        <v>2</v>
      </c>
      <c r="AD226" s="61" t="n">
        <f aca="false">M226</f>
        <v>0</v>
      </c>
      <c r="AE226" s="61" t="n">
        <f aca="false">N226</f>
        <v>0</v>
      </c>
      <c r="AF226" s="61" t="n">
        <f aca="false">VLOOKUP(AE226,recipe_ingred_list!$K$16:$M$25,3,0)</f>
        <v>1</v>
      </c>
      <c r="AG226" s="61" t="n">
        <f aca="false">O226</f>
        <v>0</v>
      </c>
      <c r="AH226" s="61" t="n">
        <f aca="false">P226</f>
        <v>0</v>
      </c>
      <c r="AI226" s="61" t="n">
        <f aca="false">VLOOKUP(AH226,recipe_ingred_list!$K$29:$M$34,3,0)</f>
        <v>3</v>
      </c>
      <c r="AJ226" s="61" t="str">
        <f aca="false">IF(Q226="","",Q226)</f>
        <v>julienne</v>
      </c>
      <c r="AK226" s="61" t="n">
        <f aca="false">AK225+1</f>
        <v>226</v>
      </c>
      <c r="AL226" s="61" t="str">
        <f aca="false">Y226</f>
        <v>cabbage</v>
      </c>
      <c r="AM226" s="81" t="str">
        <f aca="false">"a = Client().post('"&amp;W226&amp;"', {'recipe' : '"&amp;V226&amp;"', 'ingredient' : '"&amp;Z226&amp;"', 'name' : '"&amp;X226&amp;"', 'mass_unit' : '"&amp;AC226&amp;"', 'mass_quantity' : '"&amp;ROUND(AA226,3)&amp;"', 'volume_unit' : '"&amp;AF226&amp;"', 'volume_quantity' : '"&amp;ROUND(AD226,3)&amp;"', 'pieces_unit' : '"&amp;AI226&amp;"', 'pieces_quantity' : '"&amp;ROUND(AG226,3)&amp;"', 'cooking_notes' : '"&amp;AJ226&amp;"'}).status_code; print('%s :: %s :: %s :: %s :: %s' %(a,"&amp;G226&amp;",'"&amp;X226&amp;"','"&amp;Y226&amp;"','"&amp;U226&amp;"'))"</f>
        <v>a = Client().post('/recipes/alu-kala-chana-chat/detail/', {'recipe' : '5', 'ingredient' : '39', 'name' : 'Cabbage', 'mass_unit' : '2', 'mass_quantity' : '2', 'volume_unit' : '1', 'volume_quantity' : '0', 'pieces_unit' : '3', 'pieces_quantity' : '0', 'cooking_notes' : 'julienne'}).status_code; print('%s :: %s :: %s :: %s :: %s' %(a,226,'Cabbage','cabbage','Alu Kala Chana Chat'))</v>
      </c>
    </row>
    <row r="227" customFormat="false" ht="14.9" hidden="false" customHeight="false" outlineLevel="0" collapsed="false">
      <c r="G227" s="80" t="n">
        <v>227</v>
      </c>
      <c r="I227" s="82" t="s">
        <v>118</v>
      </c>
      <c r="J227" s="83" t="s">
        <v>10</v>
      </c>
      <c r="K227" s="61" t="n">
        <v>9</v>
      </c>
      <c r="L227" s="61" t="s">
        <v>7</v>
      </c>
      <c r="Q227" s="84" t="s">
        <v>595</v>
      </c>
      <c r="R227" s="82" t="str">
        <f aca="false">VLOOKUP(J227,ingredient!$N$4:$O$553,2,0)</f>
        <v>alu</v>
      </c>
      <c r="U227" s="81" t="str">
        <f aca="false">I227</f>
        <v>Alu Kala Chana Chat</v>
      </c>
      <c r="V227" s="81" t="n">
        <f aca="false">VLOOKUP(U227,recipe_ingred_list!$A$2:$B$300,2,0)</f>
        <v>5</v>
      </c>
      <c r="W227" s="81" t="str">
        <f aca="false">"/recipes/"&amp;VLOOKUP(U227,recipe_ingred_list!$A$2:$C$300,3,0)&amp;"/detail/"</f>
        <v>/recipes/alu-kala-chana-chat/detail/</v>
      </c>
      <c r="X227" s="81" t="str">
        <f aca="false">J227</f>
        <v>Alu</v>
      </c>
      <c r="Y227" s="81" t="str">
        <f aca="false">R227</f>
        <v>alu</v>
      </c>
      <c r="Z227" s="94" t="n">
        <f aca="false">VLOOKUP(Y227,recipe_ingred_list!$D$2:$E$500,2,0)</f>
        <v>8</v>
      </c>
      <c r="AA227" s="61" t="n">
        <f aca="false">K227</f>
        <v>9</v>
      </c>
      <c r="AB227" s="61" t="str">
        <f aca="false">L227</f>
        <v>kg</v>
      </c>
      <c r="AC227" s="61" t="n">
        <f aca="false">VLOOKUP(AB227,recipe_ingred_list!$K$2:$M$7,3,0)</f>
        <v>2</v>
      </c>
      <c r="AD227" s="61" t="n">
        <f aca="false">M227</f>
        <v>0</v>
      </c>
      <c r="AE227" s="61" t="n">
        <f aca="false">N227</f>
        <v>0</v>
      </c>
      <c r="AF227" s="61" t="n">
        <f aca="false">VLOOKUP(AE227,recipe_ingred_list!$K$16:$M$25,3,0)</f>
        <v>1</v>
      </c>
      <c r="AG227" s="61" t="n">
        <f aca="false">O227</f>
        <v>0</v>
      </c>
      <c r="AH227" s="61" t="n">
        <f aca="false">P227</f>
        <v>0</v>
      </c>
      <c r="AI227" s="61" t="n">
        <f aca="false">VLOOKUP(AH227,recipe_ingred_list!$K$29:$M$34,3,0)</f>
        <v>3</v>
      </c>
      <c r="AJ227" s="61" t="str">
        <f aca="false">IF(Q227="","",Q227)</f>
        <v>0.5" steam</v>
      </c>
      <c r="AK227" s="61" t="n">
        <f aca="false">AK226+1</f>
        <v>227</v>
      </c>
      <c r="AL227" s="61" t="str">
        <f aca="false">Y227</f>
        <v>alu</v>
      </c>
      <c r="AM227" s="81" t="str">
        <f aca="false">"a = Client().post('"&amp;W227&amp;"', {'recipe' : '"&amp;V227&amp;"', 'ingredient' : '"&amp;Z227&amp;"', 'name' : '"&amp;X227&amp;"', 'mass_unit' : '"&amp;AC227&amp;"', 'mass_quantity' : '"&amp;ROUND(AA227,3)&amp;"', 'volume_unit' : '"&amp;AF227&amp;"', 'volume_quantity' : '"&amp;ROUND(AD227,3)&amp;"', 'pieces_unit' : '"&amp;AI227&amp;"', 'pieces_quantity' : '"&amp;ROUND(AG227,3)&amp;"', 'cooking_notes' : '"&amp;AJ227&amp;"'}).status_code; print('%s :: %s :: %s :: %s :: %s' %(a,"&amp;G227&amp;",'"&amp;X227&amp;"','"&amp;Y227&amp;"','"&amp;U227&amp;"'))"</f>
        <v>a = Client().post('/recipes/alu-kala-chana-chat/detail/', {'recipe' : '5', 'ingredient' : '8', 'name' : 'Alu', 'mass_unit' : '2', 'mass_quantity' : '9', 'volume_unit' : '1', 'volume_quantity' : '0', 'pieces_unit' : '3', 'pieces_quantity' : '0', 'cooking_notes' : '0.5" steam'}).status_code; print('%s :: %s :: %s :: %s :: %s' %(a,227,'Alu','alu','Alu Kala Chana Chat'))</v>
      </c>
    </row>
    <row r="228" customFormat="false" ht="14.9" hidden="false" customHeight="false" outlineLevel="0" collapsed="false">
      <c r="G228" s="80" t="n">
        <v>228</v>
      </c>
      <c r="I228" s="82" t="s">
        <v>118</v>
      </c>
      <c r="J228" s="83" t="s">
        <v>21</v>
      </c>
      <c r="K228" s="61" t="n">
        <v>6</v>
      </c>
      <c r="L228" s="61" t="s">
        <v>7</v>
      </c>
      <c r="Q228" s="84" t="s">
        <v>567</v>
      </c>
      <c r="R228" s="82" t="str">
        <f aca="false">VLOOKUP(J228,ingredient!$N$4:$O$553,2,0)</f>
        <v>tomato</v>
      </c>
      <c r="U228" s="81" t="str">
        <f aca="false">I228</f>
        <v>Alu Kala Chana Chat</v>
      </c>
      <c r="V228" s="81" t="n">
        <f aca="false">VLOOKUP(U228,recipe_ingred_list!$A$2:$B$300,2,0)</f>
        <v>5</v>
      </c>
      <c r="W228" s="81" t="str">
        <f aca="false">"/recipes/"&amp;VLOOKUP(U228,recipe_ingred_list!$A$2:$C$300,3,0)&amp;"/detail/"</f>
        <v>/recipes/alu-kala-chana-chat/detail/</v>
      </c>
      <c r="X228" s="81" t="str">
        <f aca="false">J228</f>
        <v>Tomato</v>
      </c>
      <c r="Y228" s="81" t="str">
        <f aca="false">R228</f>
        <v>tomato</v>
      </c>
      <c r="Z228" s="94" t="n">
        <f aca="false">VLOOKUP(Y228,recipe_ingred_list!$D$2:$E$500,2,0)</f>
        <v>195</v>
      </c>
      <c r="AA228" s="61" t="n">
        <f aca="false">K228</f>
        <v>6</v>
      </c>
      <c r="AB228" s="61" t="str">
        <f aca="false">L228</f>
        <v>kg</v>
      </c>
      <c r="AC228" s="61" t="n">
        <f aca="false">VLOOKUP(AB228,recipe_ingred_list!$K$2:$M$7,3,0)</f>
        <v>2</v>
      </c>
      <c r="AD228" s="61" t="n">
        <f aca="false">M228</f>
        <v>0</v>
      </c>
      <c r="AE228" s="61" t="n">
        <f aca="false">N228</f>
        <v>0</v>
      </c>
      <c r="AF228" s="61" t="n">
        <f aca="false">VLOOKUP(AE228,recipe_ingred_list!$K$16:$M$25,3,0)</f>
        <v>1</v>
      </c>
      <c r="AG228" s="61" t="n">
        <f aca="false">O228</f>
        <v>0</v>
      </c>
      <c r="AH228" s="61" t="n">
        <f aca="false">P228</f>
        <v>0</v>
      </c>
      <c r="AI228" s="61" t="n">
        <f aca="false">VLOOKUP(AH228,recipe_ingred_list!$K$29:$M$34,3,0)</f>
        <v>3</v>
      </c>
      <c r="AJ228" s="61" t="str">
        <f aca="false">IF(Q228="","",Q228)</f>
        <v>0.5" cube</v>
      </c>
      <c r="AK228" s="61" t="n">
        <f aca="false">AK227+1</f>
        <v>228</v>
      </c>
      <c r="AL228" s="61" t="str">
        <f aca="false">Y228</f>
        <v>tomato</v>
      </c>
      <c r="AM228" s="81" t="str">
        <f aca="false">"a = Client().post('"&amp;W228&amp;"', {'recipe' : '"&amp;V228&amp;"', 'ingredient' : '"&amp;Z228&amp;"', 'name' : '"&amp;X228&amp;"', 'mass_unit' : '"&amp;AC228&amp;"', 'mass_quantity' : '"&amp;ROUND(AA228,3)&amp;"', 'volume_unit' : '"&amp;AF228&amp;"', 'volume_quantity' : '"&amp;ROUND(AD228,3)&amp;"', 'pieces_unit' : '"&amp;AI228&amp;"', 'pieces_quantity' : '"&amp;ROUND(AG228,3)&amp;"', 'cooking_notes' : '"&amp;AJ228&amp;"'}).status_code; print('%s :: %s :: %s :: %s :: %s' %(a,"&amp;G228&amp;",'"&amp;X228&amp;"','"&amp;Y228&amp;"','"&amp;U228&amp;"'))"</f>
        <v>a = Client().post('/recipes/alu-kala-chana-chat/detail/', {'recipe' : '5', 'ingredient' : '195', 'name' : 'Tomato', 'mass_unit' : '2', 'mass_quantity' : '6', 'volume_unit' : '1', 'volume_quantity' : '0', 'pieces_unit' : '3', 'pieces_quantity' : '0', 'cooking_notes' : '0.5" cube'}).status_code; print('%s :: %s :: %s :: %s :: %s' %(a,228,'Tomato','tomato','Alu Kala Chana Chat'))</v>
      </c>
    </row>
    <row r="229" customFormat="false" ht="13.8" hidden="false" customHeight="false" outlineLevel="0" collapsed="false">
      <c r="G229" s="80" t="n">
        <v>229</v>
      </c>
      <c r="I229" s="82" t="s">
        <v>118</v>
      </c>
      <c r="J229" s="83" t="s">
        <v>553</v>
      </c>
      <c r="M229" s="61" t="n">
        <v>1</v>
      </c>
      <c r="N229" s="61" t="s">
        <v>13</v>
      </c>
      <c r="R229" s="82" t="str">
        <f aca="false">VLOOKUP(J229,ingredient!$N$4:$O$553,2,0)</f>
        <v>gound nut oil</v>
      </c>
      <c r="U229" s="81" t="str">
        <f aca="false">I229</f>
        <v>Alu Kala Chana Chat</v>
      </c>
      <c r="V229" s="81" t="n">
        <f aca="false">VLOOKUP(U229,recipe_ingred_list!$A$2:$B$300,2,0)</f>
        <v>5</v>
      </c>
      <c r="W229" s="81" t="str">
        <f aca="false">"/recipes/"&amp;VLOOKUP(U229,recipe_ingred_list!$A$2:$C$300,3,0)&amp;"/detail/"</f>
        <v>/recipes/alu-kala-chana-chat/detail/</v>
      </c>
      <c r="X229" s="81" t="str">
        <f aca="false">J229</f>
        <v>Oil</v>
      </c>
      <c r="Y229" s="81" t="str">
        <f aca="false">R229</f>
        <v>gound nut oil</v>
      </c>
      <c r="Z229" s="94" t="n">
        <f aca="false">VLOOKUP(Y229,recipe_ingred_list!$D$2:$E$500,2,0)</f>
        <v>83</v>
      </c>
      <c r="AA229" s="61" t="n">
        <f aca="false">K229</f>
        <v>0</v>
      </c>
      <c r="AB229" s="61" t="n">
        <f aca="false">L229</f>
        <v>0</v>
      </c>
      <c r="AC229" s="61" t="n">
        <f aca="false">VLOOKUP(AB229,recipe_ingred_list!$K$2:$M$7,3,0)</f>
        <v>2</v>
      </c>
      <c r="AD229" s="61" t="n">
        <f aca="false">M229</f>
        <v>1</v>
      </c>
      <c r="AE229" s="61" t="str">
        <f aca="false">N229</f>
        <v>ltr</v>
      </c>
      <c r="AF229" s="61" t="n">
        <f aca="false">VLOOKUP(AE229,recipe_ingred_list!$K$16:$M$25,3,0)</f>
        <v>1</v>
      </c>
      <c r="AG229" s="61" t="n">
        <f aca="false">O229</f>
        <v>0</v>
      </c>
      <c r="AH229" s="61" t="n">
        <f aca="false">P229</f>
        <v>0</v>
      </c>
      <c r="AI229" s="61" t="n">
        <f aca="false">VLOOKUP(AH229,recipe_ingred_list!$K$29:$M$34,3,0)</f>
        <v>3</v>
      </c>
      <c r="AJ229" s="61" t="str">
        <f aca="false">IF(Q229="","",Q229)</f>
        <v/>
      </c>
      <c r="AK229" s="61" t="n">
        <f aca="false">AK228+1</f>
        <v>229</v>
      </c>
      <c r="AL229" s="61" t="str">
        <f aca="false">Y229</f>
        <v>gound nut oil</v>
      </c>
      <c r="AM229" s="81" t="str">
        <f aca="false">"a = Client().post('"&amp;W229&amp;"', {'recipe' : '"&amp;V229&amp;"', 'ingredient' : '"&amp;Z229&amp;"', 'name' : '"&amp;X229&amp;"', 'mass_unit' : '"&amp;AC229&amp;"', 'mass_quantity' : '"&amp;ROUND(AA229,3)&amp;"', 'volume_unit' : '"&amp;AF229&amp;"', 'volume_quantity' : '"&amp;ROUND(AD229,3)&amp;"', 'pieces_unit' : '"&amp;AI229&amp;"', 'pieces_quantity' : '"&amp;ROUND(AG229,3)&amp;"', 'cooking_notes' : '"&amp;AJ229&amp;"'}).status_code; print('%s :: %s :: %s :: %s :: %s' %(a,"&amp;G229&amp;",'"&amp;X229&amp;"','"&amp;Y229&amp;"','"&amp;U229&amp;"'))"</f>
        <v>a = Client().post('/recipes/alu-kala-chana-chat/detail/', {'recipe' : '5', 'ingredient' : '83', 'name' : 'Oil', 'mass_unit' : '2', 'mass_quantity' : '0', 'volume_unit' : '1', 'volume_quantity' : '1', 'pieces_unit' : '3', 'pieces_quantity' : '0', 'cooking_notes' : ''}).status_code; print('%s :: %s :: %s :: %s :: %s' %(a,229,'Oil','gound nut oil','Alu Kala Chana Chat'))</v>
      </c>
    </row>
    <row r="230" customFormat="false" ht="13.8" hidden="false" customHeight="false" outlineLevel="0" collapsed="false">
      <c r="G230" s="80" t="n">
        <v>230</v>
      </c>
      <c r="I230" s="82" t="s">
        <v>118</v>
      </c>
      <c r="J230" s="83" t="s">
        <v>562</v>
      </c>
      <c r="M230" s="61" t="n">
        <v>0.3</v>
      </c>
      <c r="N230" s="61" t="s">
        <v>20</v>
      </c>
      <c r="R230" s="82" t="str">
        <f aca="false">VLOOKUP(J230,ingredient!$N$4:$O$553,2,0)</f>
        <v>hing</v>
      </c>
      <c r="U230" s="81" t="str">
        <f aca="false">I230</f>
        <v>Alu Kala Chana Chat</v>
      </c>
      <c r="V230" s="81" t="n">
        <f aca="false">VLOOKUP(U230,recipe_ingred_list!$A$2:$B$300,2,0)</f>
        <v>5</v>
      </c>
      <c r="W230" s="81" t="str">
        <f aca="false">"/recipes/"&amp;VLOOKUP(U230,recipe_ingred_list!$A$2:$C$300,3,0)&amp;"/detail/"</f>
        <v>/recipes/alu-kala-chana-chat/detail/</v>
      </c>
      <c r="X230" s="81" t="str">
        <f aca="false">J230</f>
        <v>Hing</v>
      </c>
      <c r="Y230" s="81" t="str">
        <f aca="false">R230</f>
        <v>hing</v>
      </c>
      <c r="Z230" s="94" t="n">
        <f aca="false">VLOOKUP(Y230,recipe_ingred_list!$D$2:$E$500,2,0)</f>
        <v>95</v>
      </c>
      <c r="AA230" s="61" t="n">
        <f aca="false">K230</f>
        <v>0</v>
      </c>
      <c r="AB230" s="61" t="n">
        <f aca="false">L230</f>
        <v>0</v>
      </c>
      <c r="AC230" s="61" t="n">
        <f aca="false">VLOOKUP(AB230,recipe_ingred_list!$K$2:$M$7,3,0)</f>
        <v>2</v>
      </c>
      <c r="AD230" s="61" t="n">
        <f aca="false">M230</f>
        <v>0.3</v>
      </c>
      <c r="AE230" s="61" t="str">
        <f aca="false">N230</f>
        <v>cup</v>
      </c>
      <c r="AF230" s="61" t="n">
        <f aca="false">VLOOKUP(AE230,recipe_ingred_list!$K$16:$M$25,3,0)</f>
        <v>5</v>
      </c>
      <c r="AG230" s="61" t="n">
        <f aca="false">O230</f>
        <v>0</v>
      </c>
      <c r="AH230" s="61" t="n">
        <f aca="false">P230</f>
        <v>0</v>
      </c>
      <c r="AI230" s="61" t="n">
        <f aca="false">VLOOKUP(AH230,recipe_ingred_list!$K$29:$M$34,3,0)</f>
        <v>3</v>
      </c>
      <c r="AJ230" s="61" t="str">
        <f aca="false">IF(Q230="","",Q230)</f>
        <v/>
      </c>
      <c r="AK230" s="61" t="n">
        <f aca="false">AK229+1</f>
        <v>230</v>
      </c>
      <c r="AL230" s="61" t="str">
        <f aca="false">Y230</f>
        <v>hing</v>
      </c>
      <c r="AM230" s="81" t="str">
        <f aca="false">"a = Client().post('"&amp;W230&amp;"', {'recipe' : '"&amp;V230&amp;"', 'ingredient' : '"&amp;Z230&amp;"', 'name' : '"&amp;X230&amp;"', 'mass_unit' : '"&amp;AC230&amp;"', 'mass_quantity' : '"&amp;ROUND(AA230,3)&amp;"', 'volume_unit' : '"&amp;AF230&amp;"', 'volume_quantity' : '"&amp;ROUND(AD230,3)&amp;"', 'pieces_unit' : '"&amp;AI230&amp;"', 'pieces_quantity' : '"&amp;ROUND(AG230,3)&amp;"', 'cooking_notes' : '"&amp;AJ230&amp;"'}).status_code; print('%s :: %s :: %s :: %s :: %s' %(a,"&amp;G230&amp;",'"&amp;X230&amp;"','"&amp;Y230&amp;"','"&amp;U230&amp;"'))"</f>
        <v>a = Client().post('/recipes/alu-kala-chana-chat/detail/', {'recipe' : '5', 'ingredient' : '95', 'name' : 'Hing', 'mass_unit' : '2', 'mass_quantity' : '0', 'volume_unit' : '5', 'volume_quantity' : '0.3', 'pieces_unit' : '3', 'pieces_quantity' : '0', 'cooking_notes' : ''}).status_code; print('%s :: %s :: %s :: %s :: %s' %(a,230,'Hing','hing','Alu Kala Chana Chat'))</v>
      </c>
    </row>
    <row r="231" customFormat="false" ht="14.9" hidden="false" customHeight="false" outlineLevel="0" collapsed="false">
      <c r="G231" s="80" t="n">
        <v>231</v>
      </c>
      <c r="I231" s="82" t="s">
        <v>118</v>
      </c>
      <c r="J231" s="83" t="s">
        <v>526</v>
      </c>
      <c r="M231" s="61" t="n">
        <v>1</v>
      </c>
      <c r="N231" s="61" t="s">
        <v>20</v>
      </c>
      <c r="Q231" s="84" t="s">
        <v>538</v>
      </c>
      <c r="R231" s="82" t="str">
        <f aca="false">VLOOKUP(J231,ingredient!$N$4:$O$553,2,0)</f>
        <v>hari mirchi</v>
      </c>
      <c r="U231" s="81" t="str">
        <f aca="false">I231</f>
        <v>Alu Kala Chana Chat</v>
      </c>
      <c r="V231" s="81" t="n">
        <f aca="false">VLOOKUP(U231,recipe_ingred_list!$A$2:$B$300,2,0)</f>
        <v>5</v>
      </c>
      <c r="W231" s="81" t="str">
        <f aca="false">"/recipes/"&amp;VLOOKUP(U231,recipe_ingred_list!$A$2:$C$300,3,0)&amp;"/detail/"</f>
        <v>/recipes/alu-kala-chana-chat/detail/</v>
      </c>
      <c r="X231" s="81" t="str">
        <f aca="false">J231</f>
        <v>Hari mirchi</v>
      </c>
      <c r="Y231" s="81" t="str">
        <f aca="false">R231</f>
        <v>hari mirchi</v>
      </c>
      <c r="Z231" s="94" t="n">
        <f aca="false">VLOOKUP(Y231,recipe_ingred_list!$D$2:$E$500,2,0)</f>
        <v>93</v>
      </c>
      <c r="AA231" s="61" t="n">
        <f aca="false">K231</f>
        <v>0</v>
      </c>
      <c r="AB231" s="61" t="n">
        <f aca="false">L231</f>
        <v>0</v>
      </c>
      <c r="AC231" s="61" t="n">
        <f aca="false">VLOOKUP(AB231,recipe_ingred_list!$K$2:$M$7,3,0)</f>
        <v>2</v>
      </c>
      <c r="AD231" s="61" t="n">
        <f aca="false">M231</f>
        <v>1</v>
      </c>
      <c r="AE231" s="61" t="str">
        <f aca="false">N231</f>
        <v>cup</v>
      </c>
      <c r="AF231" s="61" t="n">
        <f aca="false">VLOOKUP(AE231,recipe_ingred_list!$K$16:$M$25,3,0)</f>
        <v>5</v>
      </c>
      <c r="AG231" s="61" t="n">
        <f aca="false">O231</f>
        <v>0</v>
      </c>
      <c r="AH231" s="61" t="n">
        <f aca="false">P231</f>
        <v>0</v>
      </c>
      <c r="AI231" s="61" t="n">
        <f aca="false">VLOOKUP(AH231,recipe_ingred_list!$K$29:$M$34,3,0)</f>
        <v>3</v>
      </c>
      <c r="AJ231" s="61" t="str">
        <f aca="false">IF(Q231="","",Q231)</f>
        <v>fine chopped</v>
      </c>
      <c r="AK231" s="61" t="n">
        <f aca="false">AK230+1</f>
        <v>231</v>
      </c>
      <c r="AL231" s="61" t="str">
        <f aca="false">Y231</f>
        <v>hari mirchi</v>
      </c>
      <c r="AM231" s="81" t="str">
        <f aca="false">"a = Client().post('"&amp;W231&amp;"', {'recipe' : '"&amp;V231&amp;"', 'ingredient' : '"&amp;Z231&amp;"', 'name' : '"&amp;X231&amp;"', 'mass_unit' : '"&amp;AC231&amp;"', 'mass_quantity' : '"&amp;ROUND(AA231,3)&amp;"', 'volume_unit' : '"&amp;AF231&amp;"', 'volume_quantity' : '"&amp;ROUND(AD231,3)&amp;"', 'pieces_unit' : '"&amp;AI231&amp;"', 'pieces_quantity' : '"&amp;ROUND(AG231,3)&amp;"', 'cooking_notes' : '"&amp;AJ231&amp;"'}).status_code; print('%s :: %s :: %s :: %s :: %s' %(a,"&amp;G231&amp;",'"&amp;X231&amp;"','"&amp;Y231&amp;"','"&amp;U231&amp;"'))"</f>
        <v>a = Client().post('/recipes/alu-kala-chana-chat/detail/', {'recipe' : '5', 'ingredient' : '93', 'name' : 'Hari mirchi', 'mass_unit' : '2', 'mass_quantity' : '0', 'volume_unit' : '5', 'volume_quantity' : '1', 'pieces_unit' : '3', 'pieces_quantity' : '0', 'cooking_notes' : 'fine chopped'}).status_code; print('%s :: %s :: %s :: %s :: %s' %(a,231,'Hari mirchi','hari mirchi','Alu Kala Chana Chat'))</v>
      </c>
    </row>
    <row r="232" customFormat="false" ht="13.8" hidden="false" customHeight="false" outlineLevel="0" collapsed="false">
      <c r="G232" s="80" t="n">
        <v>232</v>
      </c>
      <c r="I232" s="82" t="s">
        <v>118</v>
      </c>
      <c r="J232" s="83" t="s">
        <v>18</v>
      </c>
      <c r="M232" s="61" t="n">
        <v>0.5</v>
      </c>
      <c r="N232" s="61" t="s">
        <v>13</v>
      </c>
      <c r="R232" s="82" t="str">
        <f aca="false">VLOOKUP(J232,ingredient!$N$4:$O$553,2,0)</f>
        <v>adrak</v>
      </c>
      <c r="U232" s="81" t="str">
        <f aca="false">I232</f>
        <v>Alu Kala Chana Chat</v>
      </c>
      <c r="V232" s="81" t="n">
        <f aca="false">VLOOKUP(U232,recipe_ingred_list!$A$2:$B$300,2,0)</f>
        <v>5</v>
      </c>
      <c r="W232" s="81" t="str">
        <f aca="false">"/recipes/"&amp;VLOOKUP(U232,recipe_ingred_list!$A$2:$C$300,3,0)&amp;"/detail/"</f>
        <v>/recipes/alu-kala-chana-chat/detail/</v>
      </c>
      <c r="X232" s="81" t="str">
        <f aca="false">J232</f>
        <v>Adrak paste</v>
      </c>
      <c r="Y232" s="81" t="str">
        <f aca="false">R232</f>
        <v>adrak</v>
      </c>
      <c r="Z232" s="94" t="n">
        <f aca="false">VLOOKUP(Y232,recipe_ingred_list!$D$2:$E$500,2,0)</f>
        <v>1</v>
      </c>
      <c r="AA232" s="61" t="n">
        <f aca="false">K232</f>
        <v>0</v>
      </c>
      <c r="AB232" s="61" t="n">
        <f aca="false">L232</f>
        <v>0</v>
      </c>
      <c r="AC232" s="61" t="n">
        <f aca="false">VLOOKUP(AB232,recipe_ingred_list!$K$2:$M$7,3,0)</f>
        <v>2</v>
      </c>
      <c r="AD232" s="61" t="n">
        <f aca="false">M232</f>
        <v>0.5</v>
      </c>
      <c r="AE232" s="61" t="str">
        <f aca="false">N232</f>
        <v>ltr</v>
      </c>
      <c r="AF232" s="61" t="n">
        <f aca="false">VLOOKUP(AE232,recipe_ingred_list!$K$16:$M$25,3,0)</f>
        <v>1</v>
      </c>
      <c r="AG232" s="61" t="n">
        <f aca="false">O232</f>
        <v>0</v>
      </c>
      <c r="AH232" s="61" t="n">
        <f aca="false">P232</f>
        <v>0</v>
      </c>
      <c r="AI232" s="61" t="n">
        <f aca="false">VLOOKUP(AH232,recipe_ingred_list!$K$29:$M$34,3,0)</f>
        <v>3</v>
      </c>
      <c r="AJ232" s="61" t="str">
        <f aca="false">IF(Q232="","",Q232)</f>
        <v/>
      </c>
      <c r="AK232" s="61" t="n">
        <f aca="false">AK231+1</f>
        <v>232</v>
      </c>
      <c r="AL232" s="61" t="str">
        <f aca="false">Y232</f>
        <v>adrak</v>
      </c>
      <c r="AM232" s="81" t="str">
        <f aca="false">"a = Client().post('"&amp;W232&amp;"', {'recipe' : '"&amp;V232&amp;"', 'ingredient' : '"&amp;Z232&amp;"', 'name' : '"&amp;X232&amp;"', 'mass_unit' : '"&amp;AC232&amp;"', 'mass_quantity' : '"&amp;ROUND(AA232,3)&amp;"', 'volume_unit' : '"&amp;AF232&amp;"', 'volume_quantity' : '"&amp;ROUND(AD232,3)&amp;"', 'pieces_unit' : '"&amp;AI232&amp;"', 'pieces_quantity' : '"&amp;ROUND(AG232,3)&amp;"', 'cooking_notes' : '"&amp;AJ232&amp;"'}).status_code; print('%s :: %s :: %s :: %s :: %s' %(a,"&amp;G232&amp;",'"&amp;X232&amp;"','"&amp;Y232&amp;"','"&amp;U232&amp;"'))"</f>
        <v>a = Client().post('/recipes/alu-kala-chana-chat/detail/', {'recipe' : '5', 'ingredient' : '1', 'name' : 'Adrak paste', 'mass_unit' : '2', 'mass_quantity' : '0', 'volume_unit' : '1', 'volume_quantity' : '0.5', 'pieces_unit' : '3', 'pieces_quantity' : '0', 'cooking_notes' : ''}).status_code; print('%s :: %s :: %s :: %s :: %s' %(a,232,'Adrak paste','adrak','Alu Kala Chana Chat'))</v>
      </c>
    </row>
    <row r="233" customFormat="false" ht="13.8" hidden="false" customHeight="false" outlineLevel="0" collapsed="false">
      <c r="G233" s="80" t="n">
        <v>233</v>
      </c>
      <c r="I233" s="82" t="s">
        <v>118</v>
      </c>
      <c r="J233" s="83" t="s">
        <v>569</v>
      </c>
      <c r="M233" s="61" t="n">
        <v>0.75</v>
      </c>
      <c r="N233" s="61" t="s">
        <v>20</v>
      </c>
      <c r="R233" s="82" t="str">
        <f aca="false">VLOOKUP(J233,ingredient!$N$4:$O$553,2,0)</f>
        <v>jeera powder</v>
      </c>
      <c r="U233" s="81" t="str">
        <f aca="false">I233</f>
        <v>Alu Kala Chana Chat</v>
      </c>
      <c r="V233" s="81" t="n">
        <f aca="false">VLOOKUP(U233,recipe_ingred_list!$A$2:$B$300,2,0)</f>
        <v>5</v>
      </c>
      <c r="W233" s="81" t="str">
        <f aca="false">"/recipes/"&amp;VLOOKUP(U233,recipe_ingred_list!$A$2:$C$300,3,0)&amp;"/detail/"</f>
        <v>/recipes/alu-kala-chana-chat/detail/</v>
      </c>
      <c r="X233" s="81" t="str">
        <f aca="false">J233</f>
        <v>Jeera powder</v>
      </c>
      <c r="Y233" s="81" t="str">
        <f aca="false">R233</f>
        <v>jeera powder</v>
      </c>
      <c r="Z233" s="94" t="n">
        <f aca="false">VLOOKUP(Y233,recipe_ingred_list!$D$2:$E$500,2,0)</f>
        <v>103</v>
      </c>
      <c r="AA233" s="61" t="n">
        <f aca="false">K233</f>
        <v>0</v>
      </c>
      <c r="AB233" s="61" t="n">
        <f aca="false">L233</f>
        <v>0</v>
      </c>
      <c r="AC233" s="61" t="n">
        <f aca="false">VLOOKUP(AB233,recipe_ingred_list!$K$2:$M$7,3,0)</f>
        <v>2</v>
      </c>
      <c r="AD233" s="61" t="n">
        <f aca="false">M233</f>
        <v>0.75</v>
      </c>
      <c r="AE233" s="61" t="str">
        <f aca="false">N233</f>
        <v>cup</v>
      </c>
      <c r="AF233" s="61" t="n">
        <f aca="false">VLOOKUP(AE233,recipe_ingred_list!$K$16:$M$25,3,0)</f>
        <v>5</v>
      </c>
      <c r="AG233" s="61" t="n">
        <f aca="false">O233</f>
        <v>0</v>
      </c>
      <c r="AH233" s="61" t="n">
        <f aca="false">P233</f>
        <v>0</v>
      </c>
      <c r="AI233" s="61" t="n">
        <f aca="false">VLOOKUP(AH233,recipe_ingred_list!$K$29:$M$34,3,0)</f>
        <v>3</v>
      </c>
      <c r="AJ233" s="61" t="str">
        <f aca="false">IF(Q233="","",Q233)</f>
        <v/>
      </c>
      <c r="AK233" s="61" t="n">
        <f aca="false">AK232+1</f>
        <v>233</v>
      </c>
      <c r="AL233" s="61" t="str">
        <f aca="false">Y233</f>
        <v>jeera powder</v>
      </c>
      <c r="AM233" s="81" t="str">
        <f aca="false">"a = Client().post('"&amp;W233&amp;"', {'recipe' : '"&amp;V233&amp;"', 'ingredient' : '"&amp;Z233&amp;"', 'name' : '"&amp;X233&amp;"', 'mass_unit' : '"&amp;AC233&amp;"', 'mass_quantity' : '"&amp;ROUND(AA233,3)&amp;"', 'volume_unit' : '"&amp;AF233&amp;"', 'volume_quantity' : '"&amp;ROUND(AD233,3)&amp;"', 'pieces_unit' : '"&amp;AI233&amp;"', 'pieces_quantity' : '"&amp;ROUND(AG233,3)&amp;"', 'cooking_notes' : '"&amp;AJ233&amp;"'}).status_code; print('%s :: %s :: %s :: %s :: %s' %(a,"&amp;G233&amp;",'"&amp;X233&amp;"','"&amp;Y233&amp;"','"&amp;U233&amp;"'))"</f>
        <v>a = Client().post('/recipes/alu-kala-chana-chat/detail/', {'recipe' : '5', 'ingredient' : '103', 'name' : 'Jeera powder', 'mass_unit' : '2', 'mass_quantity' : '0', 'volume_unit' : '5', 'volume_quantity' : '0.75', 'pieces_unit' : '3', 'pieces_quantity' : '0', 'cooking_notes' : ''}).status_code; print('%s :: %s :: %s :: %s :: %s' %(a,233,'Jeera powder','jeera powder','Alu Kala Chana Chat'))</v>
      </c>
    </row>
    <row r="234" customFormat="false" ht="13.8" hidden="false" customHeight="false" outlineLevel="0" collapsed="false">
      <c r="G234" s="80" t="n">
        <v>234</v>
      </c>
      <c r="I234" s="82" t="s">
        <v>118</v>
      </c>
      <c r="J234" s="83" t="s">
        <v>568</v>
      </c>
      <c r="M234" s="61" t="n">
        <v>1</v>
      </c>
      <c r="N234" s="61" t="s">
        <v>20</v>
      </c>
      <c r="R234" s="82" t="str">
        <f aca="false">VLOOKUP(J234,ingredient!$N$4:$O$553,2,0)</f>
        <v>dhaniya powder</v>
      </c>
      <c r="U234" s="81" t="str">
        <f aca="false">I234</f>
        <v>Alu Kala Chana Chat</v>
      </c>
      <c r="V234" s="81" t="n">
        <f aca="false">VLOOKUP(U234,recipe_ingred_list!$A$2:$B$300,2,0)</f>
        <v>5</v>
      </c>
      <c r="W234" s="81" t="str">
        <f aca="false">"/recipes/"&amp;VLOOKUP(U234,recipe_ingred_list!$A$2:$C$300,3,0)&amp;"/detail/"</f>
        <v>/recipes/alu-kala-chana-chat/detail/</v>
      </c>
      <c r="X234" s="81" t="str">
        <f aca="false">J234</f>
        <v>Dhania powder</v>
      </c>
      <c r="Y234" s="81" t="str">
        <f aca="false">R234</f>
        <v>dhaniya powder</v>
      </c>
      <c r="Z234" s="94" t="n">
        <f aca="false">VLOOKUP(Y234,recipe_ingred_list!$D$2:$E$500,2,0)</f>
        <v>67</v>
      </c>
      <c r="AA234" s="61" t="n">
        <f aca="false">K234</f>
        <v>0</v>
      </c>
      <c r="AB234" s="61" t="n">
        <f aca="false">L234</f>
        <v>0</v>
      </c>
      <c r="AC234" s="61" t="n">
        <f aca="false">VLOOKUP(AB234,recipe_ingred_list!$K$2:$M$7,3,0)</f>
        <v>2</v>
      </c>
      <c r="AD234" s="61" t="n">
        <f aca="false">M234</f>
        <v>1</v>
      </c>
      <c r="AE234" s="61" t="str">
        <f aca="false">N234</f>
        <v>cup</v>
      </c>
      <c r="AF234" s="61" t="n">
        <f aca="false">VLOOKUP(AE234,recipe_ingred_list!$K$16:$M$25,3,0)</f>
        <v>5</v>
      </c>
      <c r="AG234" s="61" t="n">
        <f aca="false">O234</f>
        <v>0</v>
      </c>
      <c r="AH234" s="61" t="n">
        <f aca="false">P234</f>
        <v>0</v>
      </c>
      <c r="AI234" s="61" t="n">
        <f aca="false">VLOOKUP(AH234,recipe_ingred_list!$K$29:$M$34,3,0)</f>
        <v>3</v>
      </c>
      <c r="AJ234" s="61" t="str">
        <f aca="false">IF(Q234="","",Q234)</f>
        <v/>
      </c>
      <c r="AK234" s="61" t="n">
        <f aca="false">AK233+1</f>
        <v>234</v>
      </c>
      <c r="AL234" s="61" t="str">
        <f aca="false">Y234</f>
        <v>dhaniya powder</v>
      </c>
      <c r="AM234" s="81" t="str">
        <f aca="false">"a = Client().post('"&amp;W234&amp;"', {'recipe' : '"&amp;V234&amp;"', 'ingredient' : '"&amp;Z234&amp;"', 'name' : '"&amp;X234&amp;"', 'mass_unit' : '"&amp;AC234&amp;"', 'mass_quantity' : '"&amp;ROUND(AA234,3)&amp;"', 'volume_unit' : '"&amp;AF234&amp;"', 'volume_quantity' : '"&amp;ROUND(AD234,3)&amp;"', 'pieces_unit' : '"&amp;AI234&amp;"', 'pieces_quantity' : '"&amp;ROUND(AG234,3)&amp;"', 'cooking_notes' : '"&amp;AJ234&amp;"'}).status_code; print('%s :: %s :: %s :: %s :: %s' %(a,"&amp;G234&amp;",'"&amp;X234&amp;"','"&amp;Y234&amp;"','"&amp;U234&amp;"'))"</f>
        <v>a = Client().post('/recipes/alu-kala-chana-chat/detail/', {'recipe' : '5', 'ingredient' : '67', 'name' : 'Dhania powder', 'mass_unit' : '2', 'mass_quantity' : '0', 'volume_unit' : '5', 'volume_quantity' : '1', 'pieces_unit' : '3', 'pieces_quantity' : '0', 'cooking_notes' : ''}).status_code; print('%s :: %s :: %s :: %s :: %s' %(a,234,'Dhania powder','dhaniya powder','Alu Kala Chana Chat'))</v>
      </c>
    </row>
    <row r="235" customFormat="false" ht="13.8" hidden="false" customHeight="false" outlineLevel="0" collapsed="false">
      <c r="G235" s="80" t="n">
        <v>235</v>
      </c>
      <c r="I235" s="82" t="s">
        <v>118</v>
      </c>
      <c r="J235" s="83" t="s">
        <v>596</v>
      </c>
      <c r="M235" s="61" t="n">
        <v>0.5</v>
      </c>
      <c r="N235" s="61" t="s">
        <v>20</v>
      </c>
      <c r="R235" s="82" t="str">
        <f aca="false">VLOOKUP(J235,ingredient!$N$4:$O$553,2,0)</f>
        <v>madrasi mirchi powder</v>
      </c>
      <c r="U235" s="81" t="str">
        <f aca="false">I235</f>
        <v>Alu Kala Chana Chat</v>
      </c>
      <c r="V235" s="81" t="n">
        <f aca="false">VLOOKUP(U235,recipe_ingred_list!$A$2:$B$300,2,0)</f>
        <v>5</v>
      </c>
      <c r="W235" s="81" t="str">
        <f aca="false">"/recipes/"&amp;VLOOKUP(U235,recipe_ingred_list!$A$2:$C$300,3,0)&amp;"/detail/"</f>
        <v>/recipes/alu-kala-chana-chat/detail/</v>
      </c>
      <c r="X235" s="81" t="str">
        <f aca="false">J235</f>
        <v>Red chilli powder</v>
      </c>
      <c r="Y235" s="81" t="str">
        <f aca="false">R235</f>
        <v>madrasi mirchi powder</v>
      </c>
      <c r="Z235" s="94" t="n">
        <f aca="false">VLOOKUP(Y235,recipe_ingred_list!$D$2:$E$500,2,0)</f>
        <v>135</v>
      </c>
      <c r="AA235" s="61" t="n">
        <f aca="false">K235</f>
        <v>0</v>
      </c>
      <c r="AB235" s="61" t="n">
        <f aca="false">L235</f>
        <v>0</v>
      </c>
      <c r="AC235" s="61" t="n">
        <f aca="false">VLOOKUP(AB235,recipe_ingred_list!$K$2:$M$7,3,0)</f>
        <v>2</v>
      </c>
      <c r="AD235" s="61" t="n">
        <f aca="false">M235</f>
        <v>0.5</v>
      </c>
      <c r="AE235" s="61" t="str">
        <f aca="false">N235</f>
        <v>cup</v>
      </c>
      <c r="AF235" s="61" t="n">
        <f aca="false">VLOOKUP(AE235,recipe_ingred_list!$K$16:$M$25,3,0)</f>
        <v>5</v>
      </c>
      <c r="AG235" s="61" t="n">
        <f aca="false">O235</f>
        <v>0</v>
      </c>
      <c r="AH235" s="61" t="n">
        <f aca="false">P235</f>
        <v>0</v>
      </c>
      <c r="AI235" s="61" t="n">
        <f aca="false">VLOOKUP(AH235,recipe_ingred_list!$K$29:$M$34,3,0)</f>
        <v>3</v>
      </c>
      <c r="AJ235" s="61" t="str">
        <f aca="false">IF(Q235="","",Q235)</f>
        <v/>
      </c>
      <c r="AK235" s="61" t="n">
        <f aca="false">AK234+1</f>
        <v>235</v>
      </c>
      <c r="AL235" s="61" t="str">
        <f aca="false">Y235</f>
        <v>madrasi mirchi powder</v>
      </c>
      <c r="AM235" s="81" t="str">
        <f aca="false">"a = Client().post('"&amp;W235&amp;"', {'recipe' : '"&amp;V235&amp;"', 'ingredient' : '"&amp;Z235&amp;"', 'name' : '"&amp;X235&amp;"', 'mass_unit' : '"&amp;AC235&amp;"', 'mass_quantity' : '"&amp;ROUND(AA235,3)&amp;"', 'volume_unit' : '"&amp;AF235&amp;"', 'volume_quantity' : '"&amp;ROUND(AD235,3)&amp;"', 'pieces_unit' : '"&amp;AI235&amp;"', 'pieces_quantity' : '"&amp;ROUND(AG235,3)&amp;"', 'cooking_notes' : '"&amp;AJ235&amp;"'}).status_code; print('%s :: %s :: %s :: %s :: %s' %(a,"&amp;G235&amp;",'"&amp;X235&amp;"','"&amp;Y235&amp;"','"&amp;U235&amp;"'))"</f>
        <v>a = Client().post('/recipes/alu-kala-chana-chat/detail/', {'recipe' : '5', 'ingredient' : '135', 'name' : 'Red chilli powder', 'mass_unit' : '2', 'mass_quantity' : '0', 'volume_unit' : '5', 'volume_quantity' : '0.5', 'pieces_unit' : '3', 'pieces_quantity' : '0', 'cooking_notes' : ''}).status_code; print('%s :: %s :: %s :: %s :: %s' %(a,235,'Red chilli powder','madrasi mirchi powder','Alu Kala Chana Chat'))</v>
      </c>
    </row>
    <row r="236" customFormat="false" ht="13.8" hidden="false" customHeight="false" outlineLevel="0" collapsed="false">
      <c r="G236" s="80" t="n">
        <v>236</v>
      </c>
      <c r="I236" s="82" t="s">
        <v>118</v>
      </c>
      <c r="J236" s="83" t="s">
        <v>597</v>
      </c>
      <c r="M236" s="61" t="n">
        <v>2</v>
      </c>
      <c r="N236" s="61" t="s">
        <v>20</v>
      </c>
      <c r="R236" s="82" t="str">
        <f aca="false">VLOOKUP(J236,ingredient!$N$4:$O$553,2,0)</f>
        <v>everest chole masala</v>
      </c>
      <c r="U236" s="81" t="str">
        <f aca="false">I236</f>
        <v>Alu Kala Chana Chat</v>
      </c>
      <c r="V236" s="81" t="n">
        <f aca="false">VLOOKUP(U236,recipe_ingred_list!$A$2:$B$300,2,0)</f>
        <v>5</v>
      </c>
      <c r="W236" s="81" t="str">
        <f aca="false">"/recipes/"&amp;VLOOKUP(U236,recipe_ingred_list!$A$2:$C$300,3,0)&amp;"/detail/"</f>
        <v>/recipes/alu-kala-chana-chat/detail/</v>
      </c>
      <c r="X236" s="81" t="str">
        <f aca="false">J236</f>
        <v>Everest chole masala</v>
      </c>
      <c r="Y236" s="81" t="str">
        <f aca="false">R236</f>
        <v>everest chole masala</v>
      </c>
      <c r="Z236" s="94" t="n">
        <f aca="false">VLOOKUP(Y236,recipe_ingred_list!$D$2:$E$500,2,0)</f>
        <v>73</v>
      </c>
      <c r="AA236" s="61" t="n">
        <f aca="false">K236</f>
        <v>0</v>
      </c>
      <c r="AB236" s="61" t="n">
        <f aca="false">L236</f>
        <v>0</v>
      </c>
      <c r="AC236" s="61" t="n">
        <f aca="false">VLOOKUP(AB236,recipe_ingred_list!$K$2:$M$7,3,0)</f>
        <v>2</v>
      </c>
      <c r="AD236" s="61" t="n">
        <f aca="false">M236</f>
        <v>2</v>
      </c>
      <c r="AE236" s="61" t="str">
        <f aca="false">N236</f>
        <v>cup</v>
      </c>
      <c r="AF236" s="61" t="n">
        <f aca="false">VLOOKUP(AE236,recipe_ingred_list!$K$16:$M$25,3,0)</f>
        <v>5</v>
      </c>
      <c r="AG236" s="61" t="n">
        <f aca="false">O236</f>
        <v>0</v>
      </c>
      <c r="AH236" s="61" t="n">
        <f aca="false">P236</f>
        <v>0</v>
      </c>
      <c r="AI236" s="61" t="n">
        <f aca="false">VLOOKUP(AH236,recipe_ingred_list!$K$29:$M$34,3,0)</f>
        <v>3</v>
      </c>
      <c r="AJ236" s="61" t="str">
        <f aca="false">IF(Q236="","",Q236)</f>
        <v/>
      </c>
      <c r="AK236" s="61" t="n">
        <f aca="false">AK235+1</f>
        <v>236</v>
      </c>
      <c r="AL236" s="61" t="str">
        <f aca="false">Y236</f>
        <v>everest chole masala</v>
      </c>
      <c r="AM236" s="81" t="str">
        <f aca="false">"a = Client().post('"&amp;W236&amp;"', {'recipe' : '"&amp;V236&amp;"', 'ingredient' : '"&amp;Z236&amp;"', 'name' : '"&amp;X236&amp;"', 'mass_unit' : '"&amp;AC236&amp;"', 'mass_quantity' : '"&amp;ROUND(AA236,3)&amp;"', 'volume_unit' : '"&amp;AF236&amp;"', 'volume_quantity' : '"&amp;ROUND(AD236,3)&amp;"', 'pieces_unit' : '"&amp;AI236&amp;"', 'pieces_quantity' : '"&amp;ROUND(AG236,3)&amp;"', 'cooking_notes' : '"&amp;AJ236&amp;"'}).status_code; print('%s :: %s :: %s :: %s :: %s' %(a,"&amp;G236&amp;",'"&amp;X236&amp;"','"&amp;Y236&amp;"','"&amp;U236&amp;"'))"</f>
        <v>a = Client().post('/recipes/alu-kala-chana-chat/detail/', {'recipe' : '5', 'ingredient' : '73', 'name' : 'Everest chole masala', 'mass_unit' : '2', 'mass_quantity' : '0', 'volume_unit' : '5', 'volume_quantity' : '2', 'pieces_unit' : '3', 'pieces_quantity' : '0', 'cooking_notes' : ''}).status_code; print('%s :: %s :: %s :: %s :: %s' %(a,236,'Everest chole masala','everest chole masala','Alu Kala Chana Chat'))</v>
      </c>
    </row>
    <row r="237" customFormat="false" ht="13.8" hidden="false" customHeight="false" outlineLevel="0" collapsed="false">
      <c r="G237" s="80" t="n">
        <v>237</v>
      </c>
      <c r="I237" s="82" t="s">
        <v>118</v>
      </c>
      <c r="J237" s="83" t="s">
        <v>564</v>
      </c>
      <c r="M237" s="61" t="n">
        <v>0.6</v>
      </c>
      <c r="N237" s="61" t="s">
        <v>20</v>
      </c>
      <c r="R237" s="82" t="str">
        <f aca="false">VLOOKUP(J237,ingredient!$N$4:$O$553,2,0)</f>
        <v>haldi</v>
      </c>
      <c r="U237" s="81" t="str">
        <f aca="false">I237</f>
        <v>Alu Kala Chana Chat</v>
      </c>
      <c r="V237" s="81" t="n">
        <f aca="false">VLOOKUP(U237,recipe_ingred_list!$A$2:$B$300,2,0)</f>
        <v>5</v>
      </c>
      <c r="W237" s="81" t="str">
        <f aca="false">"/recipes/"&amp;VLOOKUP(U237,recipe_ingred_list!$A$2:$C$300,3,0)&amp;"/detail/"</f>
        <v>/recipes/alu-kala-chana-chat/detail/</v>
      </c>
      <c r="X237" s="81" t="str">
        <f aca="false">J237</f>
        <v>Haldi</v>
      </c>
      <c r="Y237" s="81" t="str">
        <f aca="false">R237</f>
        <v>haldi</v>
      </c>
      <c r="Z237" s="94" t="n">
        <f aca="false">VLOOKUP(Y237,recipe_ingred_list!$D$2:$E$500,2,0)</f>
        <v>91</v>
      </c>
      <c r="AA237" s="61" t="n">
        <f aca="false">K237</f>
        <v>0</v>
      </c>
      <c r="AB237" s="61" t="n">
        <f aca="false">L237</f>
        <v>0</v>
      </c>
      <c r="AC237" s="61" t="n">
        <f aca="false">VLOOKUP(AB237,recipe_ingred_list!$K$2:$M$7,3,0)</f>
        <v>2</v>
      </c>
      <c r="AD237" s="61" t="n">
        <f aca="false">M237</f>
        <v>0.6</v>
      </c>
      <c r="AE237" s="61" t="str">
        <f aca="false">N237</f>
        <v>cup</v>
      </c>
      <c r="AF237" s="61" t="n">
        <f aca="false">VLOOKUP(AE237,recipe_ingred_list!$K$16:$M$25,3,0)</f>
        <v>5</v>
      </c>
      <c r="AG237" s="61" t="n">
        <f aca="false">O237</f>
        <v>0</v>
      </c>
      <c r="AH237" s="61" t="n">
        <f aca="false">P237</f>
        <v>0</v>
      </c>
      <c r="AI237" s="61" t="n">
        <f aca="false">VLOOKUP(AH237,recipe_ingred_list!$K$29:$M$34,3,0)</f>
        <v>3</v>
      </c>
      <c r="AJ237" s="61" t="str">
        <f aca="false">IF(Q237="","",Q237)</f>
        <v/>
      </c>
      <c r="AK237" s="61" t="n">
        <f aca="false">AK236+1</f>
        <v>237</v>
      </c>
      <c r="AL237" s="61" t="str">
        <f aca="false">Y237</f>
        <v>haldi</v>
      </c>
      <c r="AM237" s="81" t="str">
        <f aca="false">"a = Client().post('"&amp;W237&amp;"', {'recipe' : '"&amp;V237&amp;"', 'ingredient' : '"&amp;Z237&amp;"', 'name' : '"&amp;X237&amp;"', 'mass_unit' : '"&amp;AC237&amp;"', 'mass_quantity' : '"&amp;ROUND(AA237,3)&amp;"', 'volume_unit' : '"&amp;AF237&amp;"', 'volume_quantity' : '"&amp;ROUND(AD237,3)&amp;"', 'pieces_unit' : '"&amp;AI237&amp;"', 'pieces_quantity' : '"&amp;ROUND(AG237,3)&amp;"', 'cooking_notes' : '"&amp;AJ237&amp;"'}).status_code; print('%s :: %s :: %s :: %s :: %s' %(a,"&amp;G237&amp;",'"&amp;X237&amp;"','"&amp;Y237&amp;"','"&amp;U237&amp;"'))"</f>
        <v>a = Client().post('/recipes/alu-kala-chana-chat/detail/', {'recipe' : '5', 'ingredient' : '91', 'name' : 'Haldi', 'mass_unit' : '2', 'mass_quantity' : '0', 'volume_unit' : '5', 'volume_quantity' : '0.6', 'pieces_unit' : '3', 'pieces_quantity' : '0', 'cooking_notes' : ''}).status_code; print('%s :: %s :: %s :: %s :: %s' %(a,237,'Haldi','haldi','Alu Kala Chana Chat'))</v>
      </c>
    </row>
    <row r="238" customFormat="false" ht="13.8" hidden="false" customHeight="false" outlineLevel="0" collapsed="false">
      <c r="G238" s="80" t="n">
        <v>238</v>
      </c>
      <c r="I238" s="82" t="s">
        <v>118</v>
      </c>
      <c r="J238" s="83" t="s">
        <v>554</v>
      </c>
      <c r="M238" s="61" t="n">
        <v>0.75</v>
      </c>
      <c r="N238" s="61" t="s">
        <v>20</v>
      </c>
      <c r="R238" s="82" t="str">
        <f aca="false">VLOOKUP(J238,ingredient!$N$4:$O$553,2,0)</f>
        <v>kashmiri chilly powder</v>
      </c>
      <c r="U238" s="81" t="str">
        <f aca="false">I238</f>
        <v>Alu Kala Chana Chat</v>
      </c>
      <c r="V238" s="81" t="n">
        <f aca="false">VLOOKUP(U238,recipe_ingred_list!$A$2:$B$300,2,0)</f>
        <v>5</v>
      </c>
      <c r="W238" s="81" t="str">
        <f aca="false">"/recipes/"&amp;VLOOKUP(U238,recipe_ingred_list!$A$2:$C$300,3,0)&amp;"/detail/"</f>
        <v>/recipes/alu-kala-chana-chat/detail/</v>
      </c>
      <c r="X238" s="81" t="str">
        <f aca="false">J238</f>
        <v>Kashmiri powder</v>
      </c>
      <c r="Y238" s="81" t="str">
        <f aca="false">R238</f>
        <v>kashmiri chilly powder</v>
      </c>
      <c r="Z238" s="94" t="n">
        <f aca="false">VLOOKUP(Y238,recipe_ingred_list!$D$2:$E$500,2,0)</f>
        <v>117</v>
      </c>
      <c r="AA238" s="61" t="n">
        <f aca="false">K238</f>
        <v>0</v>
      </c>
      <c r="AB238" s="61" t="n">
        <f aca="false">L238</f>
        <v>0</v>
      </c>
      <c r="AC238" s="61" t="n">
        <f aca="false">VLOOKUP(AB238,recipe_ingred_list!$K$2:$M$7,3,0)</f>
        <v>2</v>
      </c>
      <c r="AD238" s="61" t="n">
        <f aca="false">M238</f>
        <v>0.75</v>
      </c>
      <c r="AE238" s="61" t="str">
        <f aca="false">N238</f>
        <v>cup</v>
      </c>
      <c r="AF238" s="61" t="n">
        <f aca="false">VLOOKUP(AE238,recipe_ingred_list!$K$16:$M$25,3,0)</f>
        <v>5</v>
      </c>
      <c r="AG238" s="61" t="n">
        <f aca="false">O238</f>
        <v>0</v>
      </c>
      <c r="AH238" s="61" t="n">
        <f aca="false">P238</f>
        <v>0</v>
      </c>
      <c r="AI238" s="61" t="n">
        <f aca="false">VLOOKUP(AH238,recipe_ingred_list!$K$29:$M$34,3,0)</f>
        <v>3</v>
      </c>
      <c r="AJ238" s="61" t="str">
        <f aca="false">IF(Q238="","",Q238)</f>
        <v/>
      </c>
      <c r="AK238" s="61" t="n">
        <f aca="false">AK237+1</f>
        <v>238</v>
      </c>
      <c r="AL238" s="61" t="str">
        <f aca="false">Y238</f>
        <v>kashmiri chilly powder</v>
      </c>
      <c r="AM238" s="81" t="str">
        <f aca="false">"a = Client().post('"&amp;W238&amp;"', {'recipe' : '"&amp;V238&amp;"', 'ingredient' : '"&amp;Z238&amp;"', 'name' : '"&amp;X238&amp;"', 'mass_unit' : '"&amp;AC238&amp;"', 'mass_quantity' : '"&amp;ROUND(AA238,3)&amp;"', 'volume_unit' : '"&amp;AF238&amp;"', 'volume_quantity' : '"&amp;ROUND(AD238,3)&amp;"', 'pieces_unit' : '"&amp;AI238&amp;"', 'pieces_quantity' : '"&amp;ROUND(AG238,3)&amp;"', 'cooking_notes' : '"&amp;AJ238&amp;"'}).status_code; print('%s :: %s :: %s :: %s :: %s' %(a,"&amp;G238&amp;",'"&amp;X238&amp;"','"&amp;Y238&amp;"','"&amp;U238&amp;"'))"</f>
        <v>a = Client().post('/recipes/alu-kala-chana-chat/detail/', {'recipe' : '5', 'ingredient' : '117', 'name' : 'Kashmiri powder', 'mass_unit' : '2', 'mass_quantity' : '0', 'volume_unit' : '5', 'volume_quantity' : '0.75', 'pieces_unit' : '3', 'pieces_quantity' : '0', 'cooking_notes' : ''}).status_code; print('%s :: %s :: %s :: %s :: %s' %(a,238,'Kashmiri powder','kashmiri chilly powder','Alu Kala Chana Chat'))</v>
      </c>
    </row>
    <row r="239" customFormat="false" ht="13.8" hidden="false" customHeight="false" outlineLevel="0" collapsed="false">
      <c r="G239" s="80" t="n">
        <v>239</v>
      </c>
      <c r="I239" s="82" t="s">
        <v>118</v>
      </c>
      <c r="J239" s="83" t="s">
        <v>32</v>
      </c>
      <c r="M239" s="61" t="n">
        <v>1</v>
      </c>
      <c r="N239" s="61" t="s">
        <v>20</v>
      </c>
      <c r="R239" s="82" t="str">
        <f aca="false">VLOOKUP(J239,ingredient!$N$4:$O$553,2,0)</f>
        <v>salt</v>
      </c>
      <c r="U239" s="81" t="str">
        <f aca="false">I239</f>
        <v>Alu Kala Chana Chat</v>
      </c>
      <c r="V239" s="81" t="n">
        <f aca="false">VLOOKUP(U239,recipe_ingred_list!$A$2:$B$300,2,0)</f>
        <v>5</v>
      </c>
      <c r="W239" s="81" t="str">
        <f aca="false">"/recipes/"&amp;VLOOKUP(U239,recipe_ingred_list!$A$2:$C$300,3,0)&amp;"/detail/"</f>
        <v>/recipes/alu-kala-chana-chat/detail/</v>
      </c>
      <c r="X239" s="81" t="str">
        <f aca="false">J239</f>
        <v>Salt</v>
      </c>
      <c r="Y239" s="81" t="str">
        <f aca="false">R239</f>
        <v>salt</v>
      </c>
      <c r="Z239" s="94" t="n">
        <f aca="false">VLOOKUP(Y239,recipe_ingred_list!$D$2:$E$500,2,0)</f>
        <v>177</v>
      </c>
      <c r="AA239" s="61" t="n">
        <f aca="false">K239</f>
        <v>0</v>
      </c>
      <c r="AB239" s="61" t="n">
        <f aca="false">L239</f>
        <v>0</v>
      </c>
      <c r="AC239" s="61" t="n">
        <f aca="false">VLOOKUP(AB239,recipe_ingred_list!$K$2:$M$7,3,0)</f>
        <v>2</v>
      </c>
      <c r="AD239" s="61" t="n">
        <f aca="false">M239</f>
        <v>1</v>
      </c>
      <c r="AE239" s="61" t="str">
        <f aca="false">N239</f>
        <v>cup</v>
      </c>
      <c r="AF239" s="61" t="n">
        <f aca="false">VLOOKUP(AE239,recipe_ingred_list!$K$16:$M$25,3,0)</f>
        <v>5</v>
      </c>
      <c r="AG239" s="61" t="n">
        <f aca="false">O239</f>
        <v>0</v>
      </c>
      <c r="AH239" s="61" t="n">
        <f aca="false">P239</f>
        <v>0</v>
      </c>
      <c r="AI239" s="61" t="n">
        <f aca="false">VLOOKUP(AH239,recipe_ingred_list!$K$29:$M$34,3,0)</f>
        <v>3</v>
      </c>
      <c r="AJ239" s="61" t="str">
        <f aca="false">IF(Q239="","",Q239)</f>
        <v/>
      </c>
      <c r="AK239" s="61" t="n">
        <f aca="false">AK238+1</f>
        <v>239</v>
      </c>
      <c r="AL239" s="61" t="str">
        <f aca="false">Y239</f>
        <v>salt</v>
      </c>
      <c r="AM239" s="81" t="str">
        <f aca="false">"a = Client().post('"&amp;W239&amp;"', {'recipe' : '"&amp;V239&amp;"', 'ingredient' : '"&amp;Z239&amp;"', 'name' : '"&amp;X239&amp;"', 'mass_unit' : '"&amp;AC239&amp;"', 'mass_quantity' : '"&amp;ROUND(AA239,3)&amp;"', 'volume_unit' : '"&amp;AF239&amp;"', 'volume_quantity' : '"&amp;ROUND(AD239,3)&amp;"', 'pieces_unit' : '"&amp;AI239&amp;"', 'pieces_quantity' : '"&amp;ROUND(AG239,3)&amp;"', 'cooking_notes' : '"&amp;AJ239&amp;"'}).status_code; print('%s :: %s :: %s :: %s :: %s' %(a,"&amp;G239&amp;",'"&amp;X239&amp;"','"&amp;Y239&amp;"','"&amp;U239&amp;"'))"</f>
        <v>a = Client().post('/recipes/alu-kala-chana-chat/detail/', {'recipe' : '5', 'ingredient' : '177', 'name' : 'Salt', 'mass_unit' : '2', 'mass_quantity' : '0', 'volume_unit' : '5', 'volume_quantity' : '1', 'pieces_unit' : '3', 'pieces_quantity' : '0', 'cooking_notes' : ''}).status_code; print('%s :: %s :: %s :: %s :: %s' %(a,239,'Salt','salt','Alu Kala Chana Chat'))</v>
      </c>
    </row>
    <row r="240" customFormat="false" ht="13.8" hidden="false" customHeight="false" outlineLevel="0" collapsed="false">
      <c r="G240" s="80" t="n">
        <v>240</v>
      </c>
      <c r="I240" s="82" t="s">
        <v>118</v>
      </c>
      <c r="J240" s="83" t="s">
        <v>598</v>
      </c>
      <c r="M240" s="61" t="n">
        <v>0.5</v>
      </c>
      <c r="N240" s="61" t="s">
        <v>20</v>
      </c>
      <c r="R240" s="82" t="str">
        <f aca="false">VLOOKUP(J240,ingredient!$N$4:$O$553,2,0)</f>
        <v>black salt</v>
      </c>
      <c r="U240" s="81" t="str">
        <f aca="false">I240</f>
        <v>Alu Kala Chana Chat</v>
      </c>
      <c r="V240" s="81" t="n">
        <f aca="false">VLOOKUP(U240,recipe_ingred_list!$A$2:$B$300,2,0)</f>
        <v>5</v>
      </c>
      <c r="W240" s="81" t="str">
        <f aca="false">"/recipes/"&amp;VLOOKUP(U240,recipe_ingred_list!$A$2:$C$300,3,0)&amp;"/detail/"</f>
        <v>/recipes/alu-kala-chana-chat/detail/</v>
      </c>
      <c r="X240" s="81" t="str">
        <f aca="false">J240</f>
        <v>Black salt</v>
      </c>
      <c r="Y240" s="81" t="str">
        <f aca="false">R240</f>
        <v>black salt</v>
      </c>
      <c r="Z240" s="94" t="n">
        <f aca="false">VLOOKUP(Y240,recipe_ingred_list!$D$2:$E$500,2,0)</f>
        <v>32</v>
      </c>
      <c r="AA240" s="61" t="n">
        <f aca="false">K240</f>
        <v>0</v>
      </c>
      <c r="AB240" s="61" t="n">
        <f aca="false">L240</f>
        <v>0</v>
      </c>
      <c r="AC240" s="61" t="n">
        <f aca="false">VLOOKUP(AB240,recipe_ingred_list!$K$2:$M$7,3,0)</f>
        <v>2</v>
      </c>
      <c r="AD240" s="61" t="n">
        <f aca="false">M240</f>
        <v>0.5</v>
      </c>
      <c r="AE240" s="61" t="str">
        <f aca="false">N240</f>
        <v>cup</v>
      </c>
      <c r="AF240" s="61" t="n">
        <f aca="false">VLOOKUP(AE240,recipe_ingred_list!$K$16:$M$25,3,0)</f>
        <v>5</v>
      </c>
      <c r="AG240" s="61" t="n">
        <f aca="false">O240</f>
        <v>0</v>
      </c>
      <c r="AH240" s="61" t="n">
        <f aca="false">P240</f>
        <v>0</v>
      </c>
      <c r="AI240" s="61" t="n">
        <f aca="false">VLOOKUP(AH240,recipe_ingred_list!$K$29:$M$34,3,0)</f>
        <v>3</v>
      </c>
      <c r="AJ240" s="61" t="str">
        <f aca="false">IF(Q240="","",Q240)</f>
        <v/>
      </c>
      <c r="AK240" s="61" t="n">
        <f aca="false">AK239+1</f>
        <v>240</v>
      </c>
      <c r="AL240" s="61" t="str">
        <f aca="false">Y240</f>
        <v>black salt</v>
      </c>
      <c r="AM240" s="81" t="str">
        <f aca="false">"a = Client().post('"&amp;W240&amp;"', {'recipe' : '"&amp;V240&amp;"', 'ingredient' : '"&amp;Z240&amp;"', 'name' : '"&amp;X240&amp;"', 'mass_unit' : '"&amp;AC240&amp;"', 'mass_quantity' : '"&amp;ROUND(AA240,3)&amp;"', 'volume_unit' : '"&amp;AF240&amp;"', 'volume_quantity' : '"&amp;ROUND(AD240,3)&amp;"', 'pieces_unit' : '"&amp;AI240&amp;"', 'pieces_quantity' : '"&amp;ROUND(AG240,3)&amp;"', 'cooking_notes' : '"&amp;AJ240&amp;"'}).status_code; print('%s :: %s :: %s :: %s :: %s' %(a,"&amp;G240&amp;",'"&amp;X240&amp;"','"&amp;Y240&amp;"','"&amp;U240&amp;"'))"</f>
        <v>a = Client().post('/recipes/alu-kala-chana-chat/detail/', {'recipe' : '5', 'ingredient' : '32', 'name' : 'Black salt', 'mass_unit' : '2', 'mass_quantity' : '0', 'volume_unit' : '5', 'volume_quantity' : '0.5', 'pieces_unit' : '3', 'pieces_quantity' : '0', 'cooking_notes' : ''}).status_code; print('%s :: %s :: %s :: %s :: %s' %(a,240,'Black salt','black salt','Alu Kala Chana Chat'))</v>
      </c>
    </row>
    <row r="241" customFormat="false" ht="13.8" hidden="false" customHeight="false" outlineLevel="0" collapsed="false">
      <c r="G241" s="80" t="n">
        <v>241</v>
      </c>
      <c r="I241" s="82" t="s">
        <v>118</v>
      </c>
      <c r="J241" s="83" t="s">
        <v>599</v>
      </c>
      <c r="M241" s="61" t="n">
        <v>2</v>
      </c>
      <c r="N241" s="61" t="s">
        <v>20</v>
      </c>
      <c r="R241" s="82" t="str">
        <f aca="false">VLOOKUP(J241,ingredient!$N$4:$O$553,2,0)</f>
        <v>everest chat masala</v>
      </c>
      <c r="U241" s="81" t="str">
        <f aca="false">I241</f>
        <v>Alu Kala Chana Chat</v>
      </c>
      <c r="V241" s="81" t="n">
        <f aca="false">VLOOKUP(U241,recipe_ingred_list!$A$2:$B$300,2,0)</f>
        <v>5</v>
      </c>
      <c r="W241" s="81" t="str">
        <f aca="false">"/recipes/"&amp;VLOOKUP(U241,recipe_ingred_list!$A$2:$C$300,3,0)&amp;"/detail/"</f>
        <v>/recipes/alu-kala-chana-chat/detail/</v>
      </c>
      <c r="X241" s="81" t="str">
        <f aca="false">J241</f>
        <v>Everest chat masala</v>
      </c>
      <c r="Y241" s="81" t="str">
        <f aca="false">R241</f>
        <v>everest chat masala</v>
      </c>
      <c r="Z241" s="94" t="n">
        <f aca="false">VLOOKUP(Y241,recipe_ingred_list!$D$2:$E$500,2,0)</f>
        <v>72</v>
      </c>
      <c r="AA241" s="61" t="n">
        <f aca="false">K241</f>
        <v>0</v>
      </c>
      <c r="AB241" s="61" t="n">
        <f aca="false">L241</f>
        <v>0</v>
      </c>
      <c r="AC241" s="61" t="n">
        <f aca="false">VLOOKUP(AB241,recipe_ingred_list!$K$2:$M$7,3,0)</f>
        <v>2</v>
      </c>
      <c r="AD241" s="61" t="n">
        <f aca="false">M241</f>
        <v>2</v>
      </c>
      <c r="AE241" s="61" t="str">
        <f aca="false">N241</f>
        <v>cup</v>
      </c>
      <c r="AF241" s="61" t="n">
        <f aca="false">VLOOKUP(AE241,recipe_ingred_list!$K$16:$M$25,3,0)</f>
        <v>5</v>
      </c>
      <c r="AG241" s="61" t="n">
        <f aca="false">O241</f>
        <v>0</v>
      </c>
      <c r="AH241" s="61" t="n">
        <f aca="false">P241</f>
        <v>0</v>
      </c>
      <c r="AI241" s="61" t="n">
        <f aca="false">VLOOKUP(AH241,recipe_ingred_list!$K$29:$M$34,3,0)</f>
        <v>3</v>
      </c>
      <c r="AJ241" s="61" t="str">
        <f aca="false">IF(Q241="","",Q241)</f>
        <v/>
      </c>
      <c r="AK241" s="61" t="n">
        <f aca="false">AK240+1</f>
        <v>241</v>
      </c>
      <c r="AL241" s="61" t="str">
        <f aca="false">Y241</f>
        <v>everest chat masala</v>
      </c>
      <c r="AM241" s="81" t="str">
        <f aca="false">"a = Client().post('"&amp;W241&amp;"', {'recipe' : '"&amp;V241&amp;"', 'ingredient' : '"&amp;Z241&amp;"', 'name' : '"&amp;X241&amp;"', 'mass_unit' : '"&amp;AC241&amp;"', 'mass_quantity' : '"&amp;ROUND(AA241,3)&amp;"', 'volume_unit' : '"&amp;AF241&amp;"', 'volume_quantity' : '"&amp;ROUND(AD241,3)&amp;"', 'pieces_unit' : '"&amp;AI241&amp;"', 'pieces_quantity' : '"&amp;ROUND(AG241,3)&amp;"', 'cooking_notes' : '"&amp;AJ241&amp;"'}).status_code; print('%s :: %s :: %s :: %s :: %s' %(a,"&amp;G241&amp;",'"&amp;X241&amp;"','"&amp;Y241&amp;"','"&amp;U241&amp;"'))"</f>
        <v>a = Client().post('/recipes/alu-kala-chana-chat/detail/', {'recipe' : '5', 'ingredient' : '72', 'name' : 'Everest chat masala', 'mass_unit' : '2', 'mass_quantity' : '0', 'volume_unit' : '5', 'volume_quantity' : '2', 'pieces_unit' : '3', 'pieces_quantity' : '0', 'cooking_notes' : ''}).status_code; print('%s :: %s :: %s :: %s :: %s' %(a,241,'Everest chat masala','everest chat masala','Alu Kala Chana Chat'))</v>
      </c>
    </row>
    <row r="242" customFormat="false" ht="13.8" hidden="false" customHeight="false" outlineLevel="0" collapsed="false">
      <c r="G242" s="80" t="n">
        <v>242</v>
      </c>
      <c r="I242" s="82" t="s">
        <v>118</v>
      </c>
      <c r="J242" s="83" t="s">
        <v>557</v>
      </c>
      <c r="M242" s="61" t="n">
        <v>2.5</v>
      </c>
      <c r="N242" s="61" t="s">
        <v>20</v>
      </c>
      <c r="R242" s="82" t="str">
        <f aca="false">VLOOKUP(J242,ingredient!$N$4:$O$553,2,0)</f>
        <v>lemon</v>
      </c>
      <c r="U242" s="81" t="str">
        <f aca="false">I242</f>
        <v>Alu Kala Chana Chat</v>
      </c>
      <c r="V242" s="81" t="n">
        <f aca="false">VLOOKUP(U242,recipe_ingred_list!$A$2:$B$300,2,0)</f>
        <v>5</v>
      </c>
      <c r="W242" s="81" t="str">
        <f aca="false">"/recipes/"&amp;VLOOKUP(U242,recipe_ingred_list!$A$2:$C$300,3,0)&amp;"/detail/"</f>
        <v>/recipes/alu-kala-chana-chat/detail/</v>
      </c>
      <c r="X242" s="81" t="str">
        <f aca="false">J242</f>
        <v>Lemon juice</v>
      </c>
      <c r="Y242" s="81" t="str">
        <f aca="false">R242</f>
        <v>lemon</v>
      </c>
      <c r="Z242" s="94" t="n">
        <f aca="false">VLOOKUP(Y242,recipe_ingred_list!$D$2:$E$500,2,0)</f>
        <v>129</v>
      </c>
      <c r="AA242" s="61" t="n">
        <f aca="false">K242</f>
        <v>0</v>
      </c>
      <c r="AB242" s="61" t="n">
        <f aca="false">L242</f>
        <v>0</v>
      </c>
      <c r="AC242" s="61" t="n">
        <f aca="false">VLOOKUP(AB242,recipe_ingred_list!$K$2:$M$7,3,0)</f>
        <v>2</v>
      </c>
      <c r="AD242" s="61" t="n">
        <f aca="false">M242</f>
        <v>2.5</v>
      </c>
      <c r="AE242" s="61" t="str">
        <f aca="false">N242</f>
        <v>cup</v>
      </c>
      <c r="AF242" s="61" t="n">
        <f aca="false">VLOOKUP(AE242,recipe_ingred_list!$K$16:$M$25,3,0)</f>
        <v>5</v>
      </c>
      <c r="AG242" s="61" t="n">
        <f aca="false">O242</f>
        <v>0</v>
      </c>
      <c r="AH242" s="61" t="n">
        <f aca="false">P242</f>
        <v>0</v>
      </c>
      <c r="AI242" s="61" t="n">
        <f aca="false">VLOOKUP(AH242,recipe_ingred_list!$K$29:$M$34,3,0)</f>
        <v>3</v>
      </c>
      <c r="AJ242" s="61" t="str">
        <f aca="false">IF(Q242="","",Q242)</f>
        <v/>
      </c>
      <c r="AK242" s="61" t="n">
        <f aca="false">AK241+1</f>
        <v>242</v>
      </c>
      <c r="AL242" s="61" t="str">
        <f aca="false">Y242</f>
        <v>lemon</v>
      </c>
      <c r="AM242" s="81" t="str">
        <f aca="false">"a = Client().post('"&amp;W242&amp;"', {'recipe' : '"&amp;V242&amp;"', 'ingredient' : '"&amp;Z242&amp;"', 'name' : '"&amp;X242&amp;"', 'mass_unit' : '"&amp;AC242&amp;"', 'mass_quantity' : '"&amp;ROUND(AA242,3)&amp;"', 'volume_unit' : '"&amp;AF242&amp;"', 'volume_quantity' : '"&amp;ROUND(AD242,3)&amp;"', 'pieces_unit' : '"&amp;AI242&amp;"', 'pieces_quantity' : '"&amp;ROUND(AG242,3)&amp;"', 'cooking_notes' : '"&amp;AJ242&amp;"'}).status_code; print('%s :: %s :: %s :: %s :: %s' %(a,"&amp;G242&amp;",'"&amp;X242&amp;"','"&amp;Y242&amp;"','"&amp;U242&amp;"'))"</f>
        <v>a = Client().post('/recipes/alu-kala-chana-chat/detail/', {'recipe' : '5', 'ingredient' : '129', 'name' : 'Lemon juice', 'mass_unit' : '2', 'mass_quantity' : '0', 'volume_unit' : '5', 'volume_quantity' : '2.5', 'pieces_unit' : '3', 'pieces_quantity' : '0', 'cooking_notes' : ''}).status_code; print('%s :: %s :: %s :: %s :: %s' %(a,242,'Lemon juice','lemon','Alu Kala Chana Chat'))</v>
      </c>
    </row>
    <row r="243" customFormat="false" ht="13.8" hidden="false" customHeight="false" outlineLevel="0" collapsed="false">
      <c r="G243" s="80" t="n">
        <v>243</v>
      </c>
      <c r="H243" s="98"/>
      <c r="I243" s="99" t="s">
        <v>118</v>
      </c>
      <c r="J243" s="79" t="s">
        <v>46</v>
      </c>
      <c r="K243" s="100"/>
      <c r="L243" s="100"/>
      <c r="M243" s="100" t="n">
        <v>30</v>
      </c>
      <c r="N243" s="100" t="s">
        <v>13</v>
      </c>
      <c r="O243" s="101"/>
      <c r="P243" s="100"/>
      <c r="Q243" s="102"/>
      <c r="R243" s="99" t="e">
        <f aca="false">VLOOKUP(J243,ingredient!$N$4:$O$553,2,0)</f>
        <v>#N/A</v>
      </c>
      <c r="S243" s="98"/>
      <c r="T243" s="98"/>
      <c r="U243" s="81" t="str">
        <f aca="false">I243</f>
        <v>Alu Kala Chana Chat</v>
      </c>
      <c r="V243" s="81" t="n">
        <f aca="false">VLOOKUP(U243,recipe_ingred_list!$A$2:$B$300,2,0)</f>
        <v>5</v>
      </c>
      <c r="W243" s="81" t="str">
        <f aca="false">"/recipes/"&amp;VLOOKUP(U243,recipe_ingred_list!$A$2:$C$300,3,0)&amp;"/detail/"</f>
        <v>/recipes/alu-kala-chana-chat/detail/</v>
      </c>
      <c r="X243" s="81" t="str">
        <f aca="false">J243</f>
        <v>Yield</v>
      </c>
      <c r="Y243" s="81" t="e">
        <f aca="false">R243</f>
        <v>#N/A</v>
      </c>
      <c r="Z243" s="94" t="e">
        <f aca="false">VLOOKUP(Y243,recipe_ingred_list!$D$2:$E$500,2,0)</f>
        <v>#N/A</v>
      </c>
      <c r="AA243" s="61" t="n">
        <f aca="false">K243</f>
        <v>0</v>
      </c>
      <c r="AB243" s="61" t="n">
        <f aca="false">L243</f>
        <v>0</v>
      </c>
      <c r="AC243" s="61" t="n">
        <f aca="false">VLOOKUP(AB243,recipe_ingred_list!$K$2:$M$7,3,0)</f>
        <v>2</v>
      </c>
      <c r="AD243" s="61" t="n">
        <f aca="false">M243</f>
        <v>30</v>
      </c>
      <c r="AE243" s="61" t="str">
        <f aca="false">N243</f>
        <v>ltr</v>
      </c>
      <c r="AF243" s="61" t="n">
        <f aca="false">VLOOKUP(AE243,recipe_ingred_list!$K$16:$M$25,3,0)</f>
        <v>1</v>
      </c>
      <c r="AG243" s="61" t="n">
        <f aca="false">O243</f>
        <v>0</v>
      </c>
      <c r="AH243" s="61" t="n">
        <f aca="false">P243</f>
        <v>0</v>
      </c>
      <c r="AI243" s="61" t="n">
        <f aca="false">VLOOKUP(AH243,recipe_ingred_list!$K$29:$M$34,3,0)</f>
        <v>3</v>
      </c>
      <c r="AJ243" s="61" t="str">
        <f aca="false">IF(Q243="","",Q243)</f>
        <v/>
      </c>
      <c r="AK243" s="61" t="n">
        <f aca="false">AK242+1</f>
        <v>243</v>
      </c>
      <c r="AL243" s="61" t="e">
        <f aca="false">Y243</f>
        <v>#N/A</v>
      </c>
      <c r="AM243" s="81" t="e">
        <f aca="false">"a = Client().post('"&amp;W243&amp;"', {'recipe' : '"&amp;V243&amp;"', 'ingredient' : '"&amp;Z243&amp;"', 'name' : '"&amp;X243&amp;"', 'mass_unit' : '"&amp;AC243&amp;"', 'mass_quantity' : '"&amp;ROUND(AA243,3)&amp;"', 'volume_unit' : '"&amp;AF243&amp;"', 'volume_quantity' : '"&amp;ROUND(AD243,3)&amp;"', 'pieces_unit' : '"&amp;AI243&amp;"', 'pieces_quantity' : '"&amp;ROUND(AG243,3)&amp;"', 'cooking_notes' : '"&amp;AJ243&amp;"'}).status_code; print('%s :: %s :: %s :: %s :: %s' %(a,"&amp;G243&amp;",'"&amp;X243&amp;"','"&amp;Y243&amp;"','"&amp;U243&amp;"'))"</f>
        <v>#N/A</v>
      </c>
    </row>
    <row r="244" customFormat="false" ht="13.8" hidden="false" customHeight="false" outlineLevel="0" collapsed="false">
      <c r="G244" s="80" t="n">
        <v>244</v>
      </c>
      <c r="H244" s="98"/>
      <c r="I244" s="99"/>
      <c r="J244" s="79"/>
      <c r="K244" s="100"/>
      <c r="L244" s="100"/>
      <c r="M244" s="100"/>
      <c r="N244" s="100"/>
      <c r="O244" s="101"/>
      <c r="P244" s="100"/>
      <c r="Q244" s="102"/>
      <c r="R244" s="99" t="e">
        <f aca="false">VLOOKUP(J244,ingredient!$N$4:$O$553,2,0)</f>
        <v>#N/A</v>
      </c>
      <c r="S244" s="98"/>
      <c r="T244" s="98"/>
      <c r="U244" s="81" t="n">
        <f aca="false">I244</f>
        <v>0</v>
      </c>
      <c r="V244" s="81" t="e">
        <f aca="false">VLOOKUP(U244,recipe_ingred_list!$A$2:$B$300,2,0)</f>
        <v>#N/A</v>
      </c>
      <c r="W244" s="81" t="e">
        <f aca="false">"/recipes/"&amp;VLOOKUP(U244,recipe_ingred_list!$A$2:$C$300,3,0)&amp;"/detail/"</f>
        <v>#N/A</v>
      </c>
      <c r="X244" s="81" t="n">
        <f aca="false">J244</f>
        <v>0</v>
      </c>
      <c r="Y244" s="81" t="e">
        <f aca="false">R244</f>
        <v>#N/A</v>
      </c>
      <c r="Z244" s="94" t="e">
        <f aca="false">VLOOKUP(Y244,recipe_ingred_list!$D$2:$E$500,2,0)</f>
        <v>#N/A</v>
      </c>
      <c r="AA244" s="61" t="n">
        <f aca="false">K244</f>
        <v>0</v>
      </c>
      <c r="AB244" s="61" t="n">
        <f aca="false">L244</f>
        <v>0</v>
      </c>
      <c r="AC244" s="61" t="n">
        <f aca="false">VLOOKUP(AB244,recipe_ingred_list!$K$2:$M$7,3,0)</f>
        <v>2</v>
      </c>
      <c r="AD244" s="61" t="n">
        <f aca="false">M244</f>
        <v>0</v>
      </c>
      <c r="AE244" s="61" t="n">
        <f aca="false">N244</f>
        <v>0</v>
      </c>
      <c r="AF244" s="61" t="n">
        <f aca="false">VLOOKUP(AE244,recipe_ingred_list!$K$16:$M$25,3,0)</f>
        <v>1</v>
      </c>
      <c r="AG244" s="61" t="n">
        <f aca="false">O244</f>
        <v>0</v>
      </c>
      <c r="AH244" s="61" t="n">
        <f aca="false">P244</f>
        <v>0</v>
      </c>
      <c r="AI244" s="61" t="n">
        <f aca="false">VLOOKUP(AH244,recipe_ingred_list!$K$29:$M$34,3,0)</f>
        <v>3</v>
      </c>
      <c r="AJ244" s="61" t="str">
        <f aca="false">IF(Q244="","",Q244)</f>
        <v/>
      </c>
      <c r="AK244" s="61" t="n">
        <f aca="false">AK243+1</f>
        <v>244</v>
      </c>
      <c r="AL244" s="61" t="e">
        <f aca="false">Y244</f>
        <v>#N/A</v>
      </c>
      <c r="AM244" s="81" t="e">
        <f aca="false">"a = Client().post('"&amp;W244&amp;"', {'recipe' : '"&amp;V244&amp;"', 'ingredient' : '"&amp;Z244&amp;"', 'name' : '"&amp;X244&amp;"', 'mass_unit' : '"&amp;AC244&amp;"', 'mass_quantity' : '"&amp;ROUND(AA244,3)&amp;"', 'volume_unit' : '"&amp;AF244&amp;"', 'volume_quantity' : '"&amp;ROUND(AD244,3)&amp;"', 'pieces_unit' : '"&amp;AI244&amp;"', 'pieces_quantity' : '"&amp;ROUND(AG244,3)&amp;"', 'cooking_notes' : '"&amp;AJ244&amp;"'}).status_code; print('%s :: %s :: %s :: %s :: %s' %(a,"&amp;G244&amp;",'"&amp;X244&amp;"','"&amp;Y244&amp;"','"&amp;U244&amp;"'))"</f>
        <v>#N/A</v>
      </c>
    </row>
    <row r="245" customFormat="false" ht="14.9" hidden="false" customHeight="false" outlineLevel="0" collapsed="false">
      <c r="G245" s="80" t="n">
        <v>245</v>
      </c>
      <c r="I245" s="82" t="s">
        <v>268</v>
      </c>
      <c r="J245" s="83" t="s">
        <v>600</v>
      </c>
      <c r="K245" s="61" t="n">
        <v>2</v>
      </c>
      <c r="L245" s="61" t="s">
        <v>7</v>
      </c>
      <c r="Q245" s="84" t="s">
        <v>566</v>
      </c>
      <c r="R245" s="82" t="str">
        <f aca="false">VLOOKUP(J245,ingredient!$N$4:$O$553,2,0)</f>
        <v>akha moong</v>
      </c>
      <c r="U245" s="81" t="str">
        <f aca="false">I245</f>
        <v>Panchratna Dry</v>
      </c>
      <c r="V245" s="81" t="n">
        <f aca="false">VLOOKUP(U245,recipe_ingred_list!$A$2:$B$300,2,0)</f>
        <v>53</v>
      </c>
      <c r="W245" s="81" t="str">
        <f aca="false">"/recipes/"&amp;VLOOKUP(U245,recipe_ingred_list!$A$2:$C$300,3,0)&amp;"/detail/"</f>
        <v>/recipes/panchratna-dry/detail/</v>
      </c>
      <c r="X245" s="81" t="str">
        <f aca="false">J245</f>
        <v>Akha moong</v>
      </c>
      <c r="Y245" s="81" t="str">
        <f aca="false">R245</f>
        <v>akha moong</v>
      </c>
      <c r="Z245" s="94" t="n">
        <f aca="false">VLOOKUP(Y245,recipe_ingred_list!$D$2:$E$500,2,0)</f>
        <v>5</v>
      </c>
      <c r="AA245" s="61" t="n">
        <f aca="false">K245</f>
        <v>2</v>
      </c>
      <c r="AB245" s="61" t="str">
        <f aca="false">L245</f>
        <v>kg</v>
      </c>
      <c r="AC245" s="61" t="n">
        <f aca="false">VLOOKUP(AB245,recipe_ingred_list!$K$2:$M$7,3,0)</f>
        <v>2</v>
      </c>
      <c r="AD245" s="61" t="n">
        <f aca="false">M245</f>
        <v>0</v>
      </c>
      <c r="AE245" s="61" t="n">
        <f aca="false">N245</f>
        <v>0</v>
      </c>
      <c r="AF245" s="61" t="n">
        <f aca="false">VLOOKUP(AE245,recipe_ingred_list!$K$16:$M$25,3,0)</f>
        <v>1</v>
      </c>
      <c r="AG245" s="61" t="n">
        <f aca="false">O245</f>
        <v>0</v>
      </c>
      <c r="AH245" s="61" t="n">
        <f aca="false">P245</f>
        <v>0</v>
      </c>
      <c r="AI245" s="61" t="n">
        <f aca="false">VLOOKUP(AH245,recipe_ingred_list!$K$29:$M$34,3,0)</f>
        <v>3</v>
      </c>
      <c r="AJ245" s="61" t="str">
        <f aca="false">IF(Q245="","",Q245)</f>
        <v>boiled</v>
      </c>
      <c r="AK245" s="61" t="n">
        <f aca="false">AK244+1</f>
        <v>245</v>
      </c>
      <c r="AL245" s="61" t="str">
        <f aca="false">Y245</f>
        <v>akha moong</v>
      </c>
      <c r="AM245" s="81" t="str">
        <f aca="false">"a = Client().post('"&amp;W245&amp;"', {'recipe' : '"&amp;V245&amp;"', 'ingredient' : '"&amp;Z245&amp;"', 'name' : '"&amp;X245&amp;"', 'mass_unit' : '"&amp;AC245&amp;"', 'mass_quantity' : '"&amp;ROUND(AA245,3)&amp;"', 'volume_unit' : '"&amp;AF245&amp;"', 'volume_quantity' : '"&amp;ROUND(AD245,3)&amp;"', 'pieces_unit' : '"&amp;AI245&amp;"', 'pieces_quantity' : '"&amp;ROUND(AG245,3)&amp;"', 'cooking_notes' : '"&amp;AJ245&amp;"'}).status_code; print('%s :: %s :: %s :: %s :: %s' %(a,"&amp;G245&amp;",'"&amp;X245&amp;"','"&amp;Y245&amp;"','"&amp;U245&amp;"'))"</f>
        <v>a = Client().post('/recipes/panchratna-dry/detail/', {'recipe' : '53', 'ingredient' : '5', 'name' : 'Akha moong', 'mass_unit' : '2', 'mass_quantity' : '2', 'volume_unit' : '1', 'volume_quantity' : '0', 'pieces_unit' : '3', 'pieces_quantity' : '0', 'cooking_notes' : 'boiled'}).status_code; print('%s :: %s :: %s :: %s :: %s' %(a,245,'Akha moong','akha moong','Panchratna Dry'))</v>
      </c>
    </row>
    <row r="246" customFormat="false" ht="14.9" hidden="false" customHeight="false" outlineLevel="0" collapsed="false">
      <c r="G246" s="80" t="n">
        <v>246</v>
      </c>
      <c r="I246" s="82" t="s">
        <v>268</v>
      </c>
      <c r="J246" s="83" t="s">
        <v>565</v>
      </c>
      <c r="K246" s="61" t="n">
        <v>2</v>
      </c>
      <c r="L246" s="61" t="s">
        <v>7</v>
      </c>
      <c r="Q246" s="84" t="s">
        <v>566</v>
      </c>
      <c r="R246" s="82" t="str">
        <f aca="false">VLOOKUP(J246,ingredient!$N$4:$O$553,2,0)</f>
        <v>safed watana</v>
      </c>
      <c r="U246" s="81" t="str">
        <f aca="false">I246</f>
        <v>Panchratna Dry</v>
      </c>
      <c r="V246" s="81" t="n">
        <f aca="false">VLOOKUP(U246,recipe_ingred_list!$A$2:$B$300,2,0)</f>
        <v>53</v>
      </c>
      <c r="W246" s="81" t="str">
        <f aca="false">"/recipes/"&amp;VLOOKUP(U246,recipe_ingred_list!$A$2:$C$300,3,0)&amp;"/detail/"</f>
        <v>/recipes/panchratna-dry/detail/</v>
      </c>
      <c r="X246" s="81" t="str">
        <f aca="false">J246</f>
        <v>Safed watana</v>
      </c>
      <c r="Y246" s="81" t="str">
        <f aca="false">R246</f>
        <v>safed watana</v>
      </c>
      <c r="Z246" s="94" t="n">
        <f aca="false">VLOOKUP(Y246,recipe_ingred_list!$D$2:$E$500,2,0)</f>
        <v>176</v>
      </c>
      <c r="AA246" s="61" t="n">
        <f aca="false">K246</f>
        <v>2</v>
      </c>
      <c r="AB246" s="61" t="str">
        <f aca="false">L246</f>
        <v>kg</v>
      </c>
      <c r="AC246" s="61" t="n">
        <f aca="false">VLOOKUP(AB246,recipe_ingred_list!$K$2:$M$7,3,0)</f>
        <v>2</v>
      </c>
      <c r="AD246" s="61" t="n">
        <f aca="false">M246</f>
        <v>0</v>
      </c>
      <c r="AE246" s="61" t="n">
        <f aca="false">N246</f>
        <v>0</v>
      </c>
      <c r="AF246" s="61" t="n">
        <f aca="false">VLOOKUP(AE246,recipe_ingred_list!$K$16:$M$25,3,0)</f>
        <v>1</v>
      </c>
      <c r="AG246" s="61" t="n">
        <f aca="false">O246</f>
        <v>0</v>
      </c>
      <c r="AH246" s="61" t="n">
        <f aca="false">P246</f>
        <v>0</v>
      </c>
      <c r="AI246" s="61" t="n">
        <f aca="false">VLOOKUP(AH246,recipe_ingred_list!$K$29:$M$34,3,0)</f>
        <v>3</v>
      </c>
      <c r="AJ246" s="61" t="str">
        <f aca="false">IF(Q246="","",Q246)</f>
        <v>boiled</v>
      </c>
      <c r="AK246" s="61" t="n">
        <f aca="false">AK245+1</f>
        <v>246</v>
      </c>
      <c r="AL246" s="61" t="str">
        <f aca="false">Y246</f>
        <v>safed watana</v>
      </c>
      <c r="AM246" s="81" t="str">
        <f aca="false">"a = Client().post('"&amp;W246&amp;"', {'recipe' : '"&amp;V246&amp;"', 'ingredient' : '"&amp;Z246&amp;"', 'name' : '"&amp;X246&amp;"', 'mass_unit' : '"&amp;AC246&amp;"', 'mass_quantity' : '"&amp;ROUND(AA246,3)&amp;"', 'volume_unit' : '"&amp;AF246&amp;"', 'volume_quantity' : '"&amp;ROUND(AD246,3)&amp;"', 'pieces_unit' : '"&amp;AI246&amp;"', 'pieces_quantity' : '"&amp;ROUND(AG246,3)&amp;"', 'cooking_notes' : '"&amp;AJ246&amp;"'}).status_code; print('%s :: %s :: %s :: %s :: %s' %(a,"&amp;G246&amp;",'"&amp;X246&amp;"','"&amp;Y246&amp;"','"&amp;U246&amp;"'))"</f>
        <v>a = Client().post('/recipes/panchratna-dry/detail/', {'recipe' : '53', 'ingredient' : '176', 'name' : 'Safed watana', 'mass_unit' : '2', 'mass_quantity' : '2', 'volume_unit' : '1', 'volume_quantity' : '0', 'pieces_unit' : '3', 'pieces_quantity' : '0', 'cooking_notes' : 'boiled'}).status_code; print('%s :: %s :: %s :: %s :: %s' %(a,246,'Safed watana','safed watana','Panchratna Dry'))</v>
      </c>
    </row>
    <row r="247" customFormat="false" ht="14.9" hidden="false" customHeight="false" outlineLevel="0" collapsed="false">
      <c r="G247" s="80" t="n">
        <v>247</v>
      </c>
      <c r="I247" s="82" t="s">
        <v>268</v>
      </c>
      <c r="J247" s="83" t="s">
        <v>593</v>
      </c>
      <c r="K247" s="61" t="n">
        <v>2</v>
      </c>
      <c r="L247" s="61" t="s">
        <v>7</v>
      </c>
      <c r="Q247" s="84" t="s">
        <v>566</v>
      </c>
      <c r="R247" s="82" t="str">
        <f aca="false">VLOOKUP(J247,ingredient!$N$4:$O$553,2,0)</f>
        <v>kala chana</v>
      </c>
      <c r="U247" s="81" t="str">
        <f aca="false">I247</f>
        <v>Panchratna Dry</v>
      </c>
      <c r="V247" s="81" t="n">
        <f aca="false">VLOOKUP(U247,recipe_ingred_list!$A$2:$B$300,2,0)</f>
        <v>53</v>
      </c>
      <c r="W247" s="81" t="str">
        <f aca="false">"/recipes/"&amp;VLOOKUP(U247,recipe_ingred_list!$A$2:$C$300,3,0)&amp;"/detail/"</f>
        <v>/recipes/panchratna-dry/detail/</v>
      </c>
      <c r="X247" s="81" t="str">
        <f aca="false">J247</f>
        <v>Kala chana</v>
      </c>
      <c r="Y247" s="81" t="str">
        <f aca="false">R247</f>
        <v>kala chana</v>
      </c>
      <c r="Z247" s="94" t="n">
        <f aca="false">VLOOKUP(Y247,recipe_ingred_list!$D$2:$E$500,2,0)</f>
        <v>112</v>
      </c>
      <c r="AA247" s="61" t="n">
        <f aca="false">K247</f>
        <v>2</v>
      </c>
      <c r="AB247" s="61" t="str">
        <f aca="false">L247</f>
        <v>kg</v>
      </c>
      <c r="AC247" s="61" t="n">
        <f aca="false">VLOOKUP(AB247,recipe_ingred_list!$K$2:$M$7,3,0)</f>
        <v>2</v>
      </c>
      <c r="AD247" s="61" t="n">
        <f aca="false">M247</f>
        <v>0</v>
      </c>
      <c r="AE247" s="61" t="n">
        <f aca="false">N247</f>
        <v>0</v>
      </c>
      <c r="AF247" s="61" t="n">
        <f aca="false">VLOOKUP(AE247,recipe_ingred_list!$K$16:$M$25,3,0)</f>
        <v>1</v>
      </c>
      <c r="AG247" s="61" t="n">
        <f aca="false">O247</f>
        <v>0</v>
      </c>
      <c r="AH247" s="61" t="n">
        <f aca="false">P247</f>
        <v>0</v>
      </c>
      <c r="AI247" s="61" t="n">
        <f aca="false">VLOOKUP(AH247,recipe_ingred_list!$K$29:$M$34,3,0)</f>
        <v>3</v>
      </c>
      <c r="AJ247" s="61" t="str">
        <f aca="false">IF(Q247="","",Q247)</f>
        <v>boiled</v>
      </c>
      <c r="AK247" s="61" t="n">
        <f aca="false">AK246+1</f>
        <v>247</v>
      </c>
      <c r="AL247" s="61" t="str">
        <f aca="false">Y247</f>
        <v>kala chana</v>
      </c>
      <c r="AM247" s="81" t="str">
        <f aca="false">"a = Client().post('"&amp;W247&amp;"', {'recipe' : '"&amp;V247&amp;"', 'ingredient' : '"&amp;Z247&amp;"', 'name' : '"&amp;X247&amp;"', 'mass_unit' : '"&amp;AC247&amp;"', 'mass_quantity' : '"&amp;ROUND(AA247,3)&amp;"', 'volume_unit' : '"&amp;AF247&amp;"', 'volume_quantity' : '"&amp;ROUND(AD247,3)&amp;"', 'pieces_unit' : '"&amp;AI247&amp;"', 'pieces_quantity' : '"&amp;ROUND(AG247,3)&amp;"', 'cooking_notes' : '"&amp;AJ247&amp;"'}).status_code; print('%s :: %s :: %s :: %s :: %s' %(a,"&amp;G247&amp;",'"&amp;X247&amp;"','"&amp;Y247&amp;"','"&amp;U247&amp;"'))"</f>
        <v>a = Client().post('/recipes/panchratna-dry/detail/', {'recipe' : '53', 'ingredient' : '112', 'name' : 'Kala chana', 'mass_unit' : '2', 'mass_quantity' : '2', 'volume_unit' : '1', 'volume_quantity' : '0', 'pieces_unit' : '3', 'pieces_quantity' : '0', 'cooking_notes' : 'boiled'}).status_code; print('%s :: %s :: %s :: %s :: %s' %(a,247,'Kala chana','kala chana','Panchratna Dry'))</v>
      </c>
    </row>
    <row r="248" customFormat="false" ht="14.9" hidden="false" customHeight="false" outlineLevel="0" collapsed="false">
      <c r="G248" s="80" t="n">
        <v>248</v>
      </c>
      <c r="I248" s="82" t="s">
        <v>268</v>
      </c>
      <c r="J248" s="83" t="s">
        <v>10</v>
      </c>
      <c r="K248" s="61" t="n">
        <v>4</v>
      </c>
      <c r="L248" s="61" t="s">
        <v>7</v>
      </c>
      <c r="Q248" s="84" t="s">
        <v>537</v>
      </c>
      <c r="R248" s="82" t="str">
        <f aca="false">VLOOKUP(J248,ingredient!$N$4:$O$553,2,0)</f>
        <v>alu</v>
      </c>
      <c r="U248" s="81" t="str">
        <f aca="false">I248</f>
        <v>Panchratna Dry</v>
      </c>
      <c r="V248" s="81" t="n">
        <f aca="false">VLOOKUP(U248,recipe_ingred_list!$A$2:$B$300,2,0)</f>
        <v>53</v>
      </c>
      <c r="W248" s="81" t="str">
        <f aca="false">"/recipes/"&amp;VLOOKUP(U248,recipe_ingred_list!$A$2:$C$300,3,0)&amp;"/detail/"</f>
        <v>/recipes/panchratna-dry/detail/</v>
      </c>
      <c r="X248" s="81" t="str">
        <f aca="false">J248</f>
        <v>Alu</v>
      </c>
      <c r="Y248" s="81" t="str">
        <f aca="false">R248</f>
        <v>alu</v>
      </c>
      <c r="Z248" s="94" t="n">
        <f aca="false">VLOOKUP(Y248,recipe_ingred_list!$D$2:$E$500,2,0)</f>
        <v>8</v>
      </c>
      <c r="AA248" s="61" t="n">
        <f aca="false">K248</f>
        <v>4</v>
      </c>
      <c r="AB248" s="61" t="str">
        <f aca="false">L248</f>
        <v>kg</v>
      </c>
      <c r="AC248" s="61" t="n">
        <f aca="false">VLOOKUP(AB248,recipe_ingred_list!$K$2:$M$7,3,0)</f>
        <v>2</v>
      </c>
      <c r="AD248" s="61" t="n">
        <f aca="false">M248</f>
        <v>0</v>
      </c>
      <c r="AE248" s="61" t="n">
        <f aca="false">N248</f>
        <v>0</v>
      </c>
      <c r="AF248" s="61" t="n">
        <f aca="false">VLOOKUP(AE248,recipe_ingred_list!$K$16:$M$25,3,0)</f>
        <v>1</v>
      </c>
      <c r="AG248" s="61" t="n">
        <f aca="false">O248</f>
        <v>0</v>
      </c>
      <c r="AH248" s="61" t="n">
        <f aca="false">P248</f>
        <v>0</v>
      </c>
      <c r="AI248" s="61" t="n">
        <f aca="false">VLOOKUP(AH248,recipe_ingred_list!$K$29:$M$34,3,0)</f>
        <v>3</v>
      </c>
      <c r="AJ248" s="61" t="str">
        <f aca="false">IF(Q248="","",Q248)</f>
        <v>0.5" boiled</v>
      </c>
      <c r="AK248" s="61" t="n">
        <f aca="false">AK247+1</f>
        <v>248</v>
      </c>
      <c r="AL248" s="61" t="str">
        <f aca="false">Y248</f>
        <v>alu</v>
      </c>
      <c r="AM248" s="81" t="str">
        <f aca="false">"a = Client().post('"&amp;W248&amp;"', {'recipe' : '"&amp;V248&amp;"', 'ingredient' : '"&amp;Z248&amp;"', 'name' : '"&amp;X248&amp;"', 'mass_unit' : '"&amp;AC248&amp;"', 'mass_quantity' : '"&amp;ROUND(AA248,3)&amp;"', 'volume_unit' : '"&amp;AF248&amp;"', 'volume_quantity' : '"&amp;ROUND(AD248,3)&amp;"', 'pieces_unit' : '"&amp;AI248&amp;"', 'pieces_quantity' : '"&amp;ROUND(AG248,3)&amp;"', 'cooking_notes' : '"&amp;AJ248&amp;"'}).status_code; print('%s :: %s :: %s :: %s :: %s' %(a,"&amp;G248&amp;",'"&amp;X248&amp;"','"&amp;Y248&amp;"','"&amp;U248&amp;"'))"</f>
        <v>a = Client().post('/recipes/panchratna-dry/detail/', {'recipe' : '53', 'ingredient' : '8', 'name' : 'Alu', 'mass_unit' : '2', 'mass_quantity' : '4', 'volume_unit' : '1', 'volume_quantity' : '0', 'pieces_unit' : '3', 'pieces_quantity' : '0', 'cooking_notes' : '0.5" boiled'}).status_code; print('%s :: %s :: %s :: %s :: %s' %(a,248,'Alu','alu','Panchratna Dry'))</v>
      </c>
    </row>
    <row r="249" customFormat="false" ht="14.9" hidden="false" customHeight="false" outlineLevel="0" collapsed="false">
      <c r="G249" s="80" t="n">
        <v>249</v>
      </c>
      <c r="I249" s="82" t="s">
        <v>268</v>
      </c>
      <c r="J249" s="83" t="s">
        <v>21</v>
      </c>
      <c r="K249" s="61" t="n">
        <v>4</v>
      </c>
      <c r="L249" s="61" t="s">
        <v>7</v>
      </c>
      <c r="Q249" s="84" t="s">
        <v>601</v>
      </c>
      <c r="R249" s="82" t="str">
        <f aca="false">VLOOKUP(J249,ingredient!$N$4:$O$553,2,0)</f>
        <v>tomato</v>
      </c>
      <c r="U249" s="81" t="str">
        <f aca="false">I249</f>
        <v>Panchratna Dry</v>
      </c>
      <c r="V249" s="81" t="n">
        <f aca="false">VLOOKUP(U249,recipe_ingred_list!$A$2:$B$300,2,0)</f>
        <v>53</v>
      </c>
      <c r="W249" s="81" t="str">
        <f aca="false">"/recipes/"&amp;VLOOKUP(U249,recipe_ingred_list!$A$2:$C$300,3,0)&amp;"/detail/"</f>
        <v>/recipes/panchratna-dry/detail/</v>
      </c>
      <c r="X249" s="81" t="str">
        <f aca="false">J249</f>
        <v>Tomato</v>
      </c>
      <c r="Y249" s="81" t="str">
        <f aca="false">R249</f>
        <v>tomato</v>
      </c>
      <c r="Z249" s="94" t="n">
        <f aca="false">VLOOKUP(Y249,recipe_ingred_list!$D$2:$E$500,2,0)</f>
        <v>195</v>
      </c>
      <c r="AA249" s="61" t="n">
        <f aca="false">K249</f>
        <v>4</v>
      </c>
      <c r="AB249" s="61" t="str">
        <f aca="false">L249</f>
        <v>kg</v>
      </c>
      <c r="AC249" s="61" t="n">
        <f aca="false">VLOOKUP(AB249,recipe_ingred_list!$K$2:$M$7,3,0)</f>
        <v>2</v>
      </c>
      <c r="AD249" s="61" t="n">
        <f aca="false">M249</f>
        <v>0</v>
      </c>
      <c r="AE249" s="61" t="n">
        <f aca="false">N249</f>
        <v>0</v>
      </c>
      <c r="AF249" s="61" t="n">
        <f aca="false">VLOOKUP(AE249,recipe_ingred_list!$K$16:$M$25,3,0)</f>
        <v>1</v>
      </c>
      <c r="AG249" s="61" t="n">
        <f aca="false">O249</f>
        <v>0</v>
      </c>
      <c r="AH249" s="61" t="n">
        <f aca="false">P249</f>
        <v>0</v>
      </c>
      <c r="AI249" s="61" t="n">
        <f aca="false">VLOOKUP(AH249,recipe_ingred_list!$K$29:$M$34,3,0)</f>
        <v>3</v>
      </c>
      <c r="AJ249" s="61" t="str">
        <f aca="false">IF(Q249="","",Q249)</f>
        <v>0.5" cut</v>
      </c>
      <c r="AK249" s="61" t="n">
        <f aca="false">AK248+1</f>
        <v>249</v>
      </c>
      <c r="AL249" s="61" t="str">
        <f aca="false">Y249</f>
        <v>tomato</v>
      </c>
      <c r="AM249" s="81" t="str">
        <f aca="false">"a = Client().post('"&amp;W249&amp;"', {'recipe' : '"&amp;V249&amp;"', 'ingredient' : '"&amp;Z249&amp;"', 'name' : '"&amp;X249&amp;"', 'mass_unit' : '"&amp;AC249&amp;"', 'mass_quantity' : '"&amp;ROUND(AA249,3)&amp;"', 'volume_unit' : '"&amp;AF249&amp;"', 'volume_quantity' : '"&amp;ROUND(AD249,3)&amp;"', 'pieces_unit' : '"&amp;AI249&amp;"', 'pieces_quantity' : '"&amp;ROUND(AG249,3)&amp;"', 'cooking_notes' : '"&amp;AJ249&amp;"'}).status_code; print('%s :: %s :: %s :: %s :: %s' %(a,"&amp;G249&amp;",'"&amp;X249&amp;"','"&amp;Y249&amp;"','"&amp;U249&amp;"'))"</f>
        <v>a = Client().post('/recipes/panchratna-dry/detail/', {'recipe' : '53', 'ingredient' : '195', 'name' : 'Tomato', 'mass_unit' : '2', 'mass_quantity' : '4', 'volume_unit' : '1', 'volume_quantity' : '0', 'pieces_unit' : '3', 'pieces_quantity' : '0', 'cooking_notes' : '0.5" cut'}).status_code; print('%s :: %s :: %s :: %s :: %s' %(a,249,'Tomato','tomato','Panchratna Dry'))</v>
      </c>
    </row>
    <row r="250" customFormat="false" ht="13.8" hidden="false" customHeight="false" outlineLevel="0" collapsed="false">
      <c r="G250" s="80" t="n">
        <v>250</v>
      </c>
      <c r="I250" s="82" t="s">
        <v>268</v>
      </c>
      <c r="J250" s="83" t="s">
        <v>553</v>
      </c>
      <c r="M250" s="61" t="n">
        <v>1</v>
      </c>
      <c r="N250" s="61" t="s">
        <v>13</v>
      </c>
      <c r="R250" s="82" t="str">
        <f aca="false">VLOOKUP(J250,ingredient!$N$4:$O$553,2,0)</f>
        <v>gound nut oil</v>
      </c>
      <c r="U250" s="81" t="str">
        <f aca="false">I250</f>
        <v>Panchratna Dry</v>
      </c>
      <c r="V250" s="81" t="n">
        <f aca="false">VLOOKUP(U250,recipe_ingred_list!$A$2:$B$300,2,0)</f>
        <v>53</v>
      </c>
      <c r="W250" s="81" t="str">
        <f aca="false">"/recipes/"&amp;VLOOKUP(U250,recipe_ingred_list!$A$2:$C$300,3,0)&amp;"/detail/"</f>
        <v>/recipes/panchratna-dry/detail/</v>
      </c>
      <c r="X250" s="81" t="str">
        <f aca="false">J250</f>
        <v>Oil</v>
      </c>
      <c r="Y250" s="81" t="str">
        <f aca="false">R250</f>
        <v>gound nut oil</v>
      </c>
      <c r="Z250" s="94" t="n">
        <f aca="false">VLOOKUP(Y250,recipe_ingred_list!$D$2:$E$500,2,0)</f>
        <v>83</v>
      </c>
      <c r="AA250" s="61" t="n">
        <f aca="false">K250</f>
        <v>0</v>
      </c>
      <c r="AB250" s="61" t="n">
        <f aca="false">L250</f>
        <v>0</v>
      </c>
      <c r="AC250" s="61" t="n">
        <f aca="false">VLOOKUP(AB250,recipe_ingred_list!$K$2:$M$7,3,0)</f>
        <v>2</v>
      </c>
      <c r="AD250" s="61" t="n">
        <f aca="false">M250</f>
        <v>1</v>
      </c>
      <c r="AE250" s="61" t="str">
        <f aca="false">N250</f>
        <v>ltr</v>
      </c>
      <c r="AF250" s="61" t="n">
        <f aca="false">VLOOKUP(AE250,recipe_ingred_list!$K$16:$M$25,3,0)</f>
        <v>1</v>
      </c>
      <c r="AG250" s="61" t="n">
        <f aca="false">O250</f>
        <v>0</v>
      </c>
      <c r="AH250" s="61" t="n">
        <f aca="false">P250</f>
        <v>0</v>
      </c>
      <c r="AI250" s="61" t="n">
        <f aca="false">VLOOKUP(AH250,recipe_ingred_list!$K$29:$M$34,3,0)</f>
        <v>3</v>
      </c>
      <c r="AJ250" s="61" t="str">
        <f aca="false">IF(Q250="","",Q250)</f>
        <v/>
      </c>
      <c r="AK250" s="61" t="n">
        <f aca="false">AK249+1</f>
        <v>250</v>
      </c>
      <c r="AL250" s="61" t="str">
        <f aca="false">Y250</f>
        <v>gound nut oil</v>
      </c>
      <c r="AM250" s="81" t="str">
        <f aca="false">"a = Client().post('"&amp;W250&amp;"', {'recipe' : '"&amp;V250&amp;"', 'ingredient' : '"&amp;Z250&amp;"', 'name' : '"&amp;X250&amp;"', 'mass_unit' : '"&amp;AC250&amp;"', 'mass_quantity' : '"&amp;ROUND(AA250,3)&amp;"', 'volume_unit' : '"&amp;AF250&amp;"', 'volume_quantity' : '"&amp;ROUND(AD250,3)&amp;"', 'pieces_unit' : '"&amp;AI250&amp;"', 'pieces_quantity' : '"&amp;ROUND(AG250,3)&amp;"', 'cooking_notes' : '"&amp;AJ250&amp;"'}).status_code; print('%s :: %s :: %s :: %s :: %s' %(a,"&amp;G250&amp;",'"&amp;X250&amp;"','"&amp;Y250&amp;"','"&amp;U250&amp;"'))"</f>
        <v>a = Client().post('/recipes/panchratna-dry/detail/', {'recipe' : '53', 'ingredient' : '83', 'name' : 'Oil', 'mass_unit' : '2', 'mass_quantity' : '0', 'volume_unit' : '1', 'volume_quantity' : '1', 'pieces_unit' : '3', 'pieces_quantity' : '0', 'cooking_notes' : ''}).status_code; print('%s :: %s :: %s :: %s :: %s' %(a,250,'Oil','gound nut oil','Panchratna Dry'))</v>
      </c>
    </row>
    <row r="251" customFormat="false" ht="13.8" hidden="false" customHeight="false" outlineLevel="0" collapsed="false">
      <c r="G251" s="80" t="n">
        <v>251</v>
      </c>
      <c r="I251" s="82" t="s">
        <v>268</v>
      </c>
      <c r="J251" s="83" t="s">
        <v>562</v>
      </c>
      <c r="M251" s="61" t="n">
        <v>0.3</v>
      </c>
      <c r="N251" s="61" t="s">
        <v>20</v>
      </c>
      <c r="R251" s="82" t="str">
        <f aca="false">VLOOKUP(J251,ingredient!$N$4:$O$553,2,0)</f>
        <v>hing</v>
      </c>
      <c r="U251" s="81" t="str">
        <f aca="false">I251</f>
        <v>Panchratna Dry</v>
      </c>
      <c r="V251" s="81" t="n">
        <f aca="false">VLOOKUP(U251,recipe_ingred_list!$A$2:$B$300,2,0)</f>
        <v>53</v>
      </c>
      <c r="W251" s="81" t="str">
        <f aca="false">"/recipes/"&amp;VLOOKUP(U251,recipe_ingred_list!$A$2:$C$300,3,0)&amp;"/detail/"</f>
        <v>/recipes/panchratna-dry/detail/</v>
      </c>
      <c r="X251" s="81" t="str">
        <f aca="false">J251</f>
        <v>Hing</v>
      </c>
      <c r="Y251" s="81" t="str">
        <f aca="false">R251</f>
        <v>hing</v>
      </c>
      <c r="Z251" s="94" t="n">
        <f aca="false">VLOOKUP(Y251,recipe_ingred_list!$D$2:$E$500,2,0)</f>
        <v>95</v>
      </c>
      <c r="AA251" s="61" t="n">
        <f aca="false">K251</f>
        <v>0</v>
      </c>
      <c r="AB251" s="61" t="n">
        <f aca="false">L251</f>
        <v>0</v>
      </c>
      <c r="AC251" s="61" t="n">
        <f aca="false">VLOOKUP(AB251,recipe_ingred_list!$K$2:$M$7,3,0)</f>
        <v>2</v>
      </c>
      <c r="AD251" s="61" t="n">
        <f aca="false">M251</f>
        <v>0.3</v>
      </c>
      <c r="AE251" s="61" t="str">
        <f aca="false">N251</f>
        <v>cup</v>
      </c>
      <c r="AF251" s="61" t="n">
        <f aca="false">VLOOKUP(AE251,recipe_ingred_list!$K$16:$M$25,3,0)</f>
        <v>5</v>
      </c>
      <c r="AG251" s="61" t="n">
        <f aca="false">O251</f>
        <v>0</v>
      </c>
      <c r="AH251" s="61" t="n">
        <f aca="false">P251</f>
        <v>0</v>
      </c>
      <c r="AI251" s="61" t="n">
        <f aca="false">VLOOKUP(AH251,recipe_ingred_list!$K$29:$M$34,3,0)</f>
        <v>3</v>
      </c>
      <c r="AJ251" s="61" t="str">
        <f aca="false">IF(Q251="","",Q251)</f>
        <v/>
      </c>
      <c r="AK251" s="61" t="n">
        <f aca="false">AK250+1</f>
        <v>251</v>
      </c>
      <c r="AL251" s="61" t="str">
        <f aca="false">Y251</f>
        <v>hing</v>
      </c>
      <c r="AM251" s="81" t="str">
        <f aca="false">"a = Client().post('"&amp;W251&amp;"', {'recipe' : '"&amp;V251&amp;"', 'ingredient' : '"&amp;Z251&amp;"', 'name' : '"&amp;X251&amp;"', 'mass_unit' : '"&amp;AC251&amp;"', 'mass_quantity' : '"&amp;ROUND(AA251,3)&amp;"', 'volume_unit' : '"&amp;AF251&amp;"', 'volume_quantity' : '"&amp;ROUND(AD251,3)&amp;"', 'pieces_unit' : '"&amp;AI251&amp;"', 'pieces_quantity' : '"&amp;ROUND(AG251,3)&amp;"', 'cooking_notes' : '"&amp;AJ251&amp;"'}).status_code; print('%s :: %s :: %s :: %s :: %s' %(a,"&amp;G251&amp;",'"&amp;X251&amp;"','"&amp;Y251&amp;"','"&amp;U251&amp;"'))"</f>
        <v>a = Client().post('/recipes/panchratna-dry/detail/', {'recipe' : '53', 'ingredient' : '95', 'name' : 'Hing', 'mass_unit' : '2', 'mass_quantity' : '0', 'volume_unit' : '5', 'volume_quantity' : '0.3', 'pieces_unit' : '3', 'pieces_quantity' : '0', 'cooking_notes' : ''}).status_code; print('%s :: %s :: %s :: %s :: %s' %(a,251,'Hing','hing','Panchratna Dry'))</v>
      </c>
    </row>
    <row r="252" customFormat="false" ht="14.9" hidden="false" customHeight="false" outlineLevel="0" collapsed="false">
      <c r="G252" s="80" t="n">
        <v>252</v>
      </c>
      <c r="I252" s="82" t="s">
        <v>268</v>
      </c>
      <c r="J252" s="83" t="s">
        <v>526</v>
      </c>
      <c r="M252" s="61" t="n">
        <v>1</v>
      </c>
      <c r="N252" s="61" t="s">
        <v>20</v>
      </c>
      <c r="Q252" s="84" t="s">
        <v>538</v>
      </c>
      <c r="R252" s="82" t="str">
        <f aca="false">VLOOKUP(J252,ingredient!$N$4:$O$553,2,0)</f>
        <v>hari mirchi</v>
      </c>
      <c r="U252" s="81" t="str">
        <f aca="false">I252</f>
        <v>Panchratna Dry</v>
      </c>
      <c r="V252" s="81" t="n">
        <f aca="false">VLOOKUP(U252,recipe_ingred_list!$A$2:$B$300,2,0)</f>
        <v>53</v>
      </c>
      <c r="W252" s="81" t="str">
        <f aca="false">"/recipes/"&amp;VLOOKUP(U252,recipe_ingred_list!$A$2:$C$300,3,0)&amp;"/detail/"</f>
        <v>/recipes/panchratna-dry/detail/</v>
      </c>
      <c r="X252" s="81" t="str">
        <f aca="false">J252</f>
        <v>Hari mirchi</v>
      </c>
      <c r="Y252" s="81" t="str">
        <f aca="false">R252</f>
        <v>hari mirchi</v>
      </c>
      <c r="Z252" s="94" t="n">
        <f aca="false">VLOOKUP(Y252,recipe_ingred_list!$D$2:$E$500,2,0)</f>
        <v>93</v>
      </c>
      <c r="AA252" s="61" t="n">
        <f aca="false">K252</f>
        <v>0</v>
      </c>
      <c r="AB252" s="61" t="n">
        <f aca="false">L252</f>
        <v>0</v>
      </c>
      <c r="AC252" s="61" t="n">
        <f aca="false">VLOOKUP(AB252,recipe_ingred_list!$K$2:$M$7,3,0)</f>
        <v>2</v>
      </c>
      <c r="AD252" s="61" t="n">
        <f aca="false">M252</f>
        <v>1</v>
      </c>
      <c r="AE252" s="61" t="str">
        <f aca="false">N252</f>
        <v>cup</v>
      </c>
      <c r="AF252" s="61" t="n">
        <f aca="false">VLOOKUP(AE252,recipe_ingred_list!$K$16:$M$25,3,0)</f>
        <v>5</v>
      </c>
      <c r="AG252" s="61" t="n">
        <f aca="false">O252</f>
        <v>0</v>
      </c>
      <c r="AH252" s="61" t="n">
        <f aca="false">P252</f>
        <v>0</v>
      </c>
      <c r="AI252" s="61" t="n">
        <f aca="false">VLOOKUP(AH252,recipe_ingred_list!$K$29:$M$34,3,0)</f>
        <v>3</v>
      </c>
      <c r="AJ252" s="61" t="str">
        <f aca="false">IF(Q252="","",Q252)</f>
        <v>fine chopped</v>
      </c>
      <c r="AK252" s="61" t="n">
        <f aca="false">AK251+1</f>
        <v>252</v>
      </c>
      <c r="AL252" s="61" t="str">
        <f aca="false">Y252</f>
        <v>hari mirchi</v>
      </c>
      <c r="AM252" s="81" t="str">
        <f aca="false">"a = Client().post('"&amp;W252&amp;"', {'recipe' : '"&amp;V252&amp;"', 'ingredient' : '"&amp;Z252&amp;"', 'name' : '"&amp;X252&amp;"', 'mass_unit' : '"&amp;AC252&amp;"', 'mass_quantity' : '"&amp;ROUND(AA252,3)&amp;"', 'volume_unit' : '"&amp;AF252&amp;"', 'volume_quantity' : '"&amp;ROUND(AD252,3)&amp;"', 'pieces_unit' : '"&amp;AI252&amp;"', 'pieces_quantity' : '"&amp;ROUND(AG252,3)&amp;"', 'cooking_notes' : '"&amp;AJ252&amp;"'}).status_code; print('%s :: %s :: %s :: %s :: %s' %(a,"&amp;G252&amp;",'"&amp;X252&amp;"','"&amp;Y252&amp;"','"&amp;U252&amp;"'))"</f>
        <v>a = Client().post('/recipes/panchratna-dry/detail/', {'recipe' : '53', 'ingredient' : '93', 'name' : 'Hari mirchi', 'mass_unit' : '2', 'mass_quantity' : '0', 'volume_unit' : '5', 'volume_quantity' : '1', 'pieces_unit' : '3', 'pieces_quantity' : '0', 'cooking_notes' : 'fine chopped'}).status_code; print('%s :: %s :: %s :: %s :: %s' %(a,252,'Hari mirchi','hari mirchi','Panchratna Dry'))</v>
      </c>
    </row>
    <row r="253" customFormat="false" ht="13.8" hidden="false" customHeight="false" outlineLevel="0" collapsed="false">
      <c r="G253" s="80" t="n">
        <v>253</v>
      </c>
      <c r="I253" s="82" t="s">
        <v>268</v>
      </c>
      <c r="J253" s="83" t="s">
        <v>18</v>
      </c>
      <c r="M253" s="61" t="n">
        <v>0.5</v>
      </c>
      <c r="N253" s="61" t="s">
        <v>13</v>
      </c>
      <c r="R253" s="82" t="str">
        <f aca="false">VLOOKUP(J253,ingredient!$N$4:$O$553,2,0)</f>
        <v>adrak</v>
      </c>
      <c r="U253" s="81" t="str">
        <f aca="false">I253</f>
        <v>Panchratna Dry</v>
      </c>
      <c r="V253" s="81" t="n">
        <f aca="false">VLOOKUP(U253,recipe_ingred_list!$A$2:$B$300,2,0)</f>
        <v>53</v>
      </c>
      <c r="W253" s="81" t="str">
        <f aca="false">"/recipes/"&amp;VLOOKUP(U253,recipe_ingred_list!$A$2:$C$300,3,0)&amp;"/detail/"</f>
        <v>/recipes/panchratna-dry/detail/</v>
      </c>
      <c r="X253" s="81" t="str">
        <f aca="false">J253</f>
        <v>Adrak paste</v>
      </c>
      <c r="Y253" s="81" t="str">
        <f aca="false">R253</f>
        <v>adrak</v>
      </c>
      <c r="Z253" s="94" t="n">
        <f aca="false">VLOOKUP(Y253,recipe_ingred_list!$D$2:$E$500,2,0)</f>
        <v>1</v>
      </c>
      <c r="AA253" s="61" t="n">
        <f aca="false">K253</f>
        <v>0</v>
      </c>
      <c r="AB253" s="61" t="n">
        <f aca="false">L253</f>
        <v>0</v>
      </c>
      <c r="AC253" s="61" t="n">
        <f aca="false">VLOOKUP(AB253,recipe_ingred_list!$K$2:$M$7,3,0)</f>
        <v>2</v>
      </c>
      <c r="AD253" s="61" t="n">
        <f aca="false">M253</f>
        <v>0.5</v>
      </c>
      <c r="AE253" s="61" t="str">
        <f aca="false">N253</f>
        <v>ltr</v>
      </c>
      <c r="AF253" s="61" t="n">
        <f aca="false">VLOOKUP(AE253,recipe_ingred_list!$K$16:$M$25,3,0)</f>
        <v>1</v>
      </c>
      <c r="AG253" s="61" t="n">
        <f aca="false">O253</f>
        <v>0</v>
      </c>
      <c r="AH253" s="61" t="n">
        <f aca="false">P253</f>
        <v>0</v>
      </c>
      <c r="AI253" s="61" t="n">
        <f aca="false">VLOOKUP(AH253,recipe_ingred_list!$K$29:$M$34,3,0)</f>
        <v>3</v>
      </c>
      <c r="AJ253" s="61" t="str">
        <f aca="false">IF(Q253="","",Q253)</f>
        <v/>
      </c>
      <c r="AK253" s="61" t="n">
        <f aca="false">AK252+1</f>
        <v>253</v>
      </c>
      <c r="AL253" s="61" t="str">
        <f aca="false">Y253</f>
        <v>adrak</v>
      </c>
      <c r="AM253" s="81" t="str">
        <f aca="false">"a = Client().post('"&amp;W253&amp;"', {'recipe' : '"&amp;V253&amp;"', 'ingredient' : '"&amp;Z253&amp;"', 'name' : '"&amp;X253&amp;"', 'mass_unit' : '"&amp;AC253&amp;"', 'mass_quantity' : '"&amp;ROUND(AA253,3)&amp;"', 'volume_unit' : '"&amp;AF253&amp;"', 'volume_quantity' : '"&amp;ROUND(AD253,3)&amp;"', 'pieces_unit' : '"&amp;AI253&amp;"', 'pieces_quantity' : '"&amp;ROUND(AG253,3)&amp;"', 'cooking_notes' : '"&amp;AJ253&amp;"'}).status_code; print('%s :: %s :: %s :: %s :: %s' %(a,"&amp;G253&amp;",'"&amp;X253&amp;"','"&amp;Y253&amp;"','"&amp;U253&amp;"'))"</f>
        <v>a = Client().post('/recipes/panchratna-dry/detail/', {'recipe' : '53', 'ingredient' : '1', 'name' : 'Adrak paste', 'mass_unit' : '2', 'mass_quantity' : '0', 'volume_unit' : '1', 'volume_quantity' : '0.5', 'pieces_unit' : '3', 'pieces_quantity' : '0', 'cooking_notes' : ''}).status_code; print('%s :: %s :: %s :: %s :: %s' %(a,253,'Adrak paste','adrak','Panchratna Dry'))</v>
      </c>
    </row>
    <row r="254" customFormat="false" ht="13.8" hidden="false" customHeight="false" outlineLevel="0" collapsed="false">
      <c r="G254" s="80" t="n">
        <v>254</v>
      </c>
      <c r="I254" s="82" t="s">
        <v>268</v>
      </c>
      <c r="J254" s="83" t="s">
        <v>569</v>
      </c>
      <c r="M254" s="61" t="n">
        <v>0.75</v>
      </c>
      <c r="N254" s="61" t="s">
        <v>20</v>
      </c>
      <c r="R254" s="82" t="str">
        <f aca="false">VLOOKUP(J254,ingredient!$N$4:$O$553,2,0)</f>
        <v>jeera powder</v>
      </c>
      <c r="U254" s="81" t="str">
        <f aca="false">I254</f>
        <v>Panchratna Dry</v>
      </c>
      <c r="V254" s="81" t="n">
        <f aca="false">VLOOKUP(U254,recipe_ingred_list!$A$2:$B$300,2,0)</f>
        <v>53</v>
      </c>
      <c r="W254" s="81" t="str">
        <f aca="false">"/recipes/"&amp;VLOOKUP(U254,recipe_ingred_list!$A$2:$C$300,3,0)&amp;"/detail/"</f>
        <v>/recipes/panchratna-dry/detail/</v>
      </c>
      <c r="X254" s="81" t="str">
        <f aca="false">J254</f>
        <v>Jeera powder</v>
      </c>
      <c r="Y254" s="81" t="str">
        <f aca="false">R254</f>
        <v>jeera powder</v>
      </c>
      <c r="Z254" s="94" t="n">
        <f aca="false">VLOOKUP(Y254,recipe_ingred_list!$D$2:$E$500,2,0)</f>
        <v>103</v>
      </c>
      <c r="AA254" s="61" t="n">
        <f aca="false">K254</f>
        <v>0</v>
      </c>
      <c r="AB254" s="61" t="n">
        <f aca="false">L254</f>
        <v>0</v>
      </c>
      <c r="AC254" s="61" t="n">
        <f aca="false">VLOOKUP(AB254,recipe_ingred_list!$K$2:$M$7,3,0)</f>
        <v>2</v>
      </c>
      <c r="AD254" s="61" t="n">
        <f aca="false">M254</f>
        <v>0.75</v>
      </c>
      <c r="AE254" s="61" t="str">
        <f aca="false">N254</f>
        <v>cup</v>
      </c>
      <c r="AF254" s="61" t="n">
        <f aca="false">VLOOKUP(AE254,recipe_ingred_list!$K$16:$M$25,3,0)</f>
        <v>5</v>
      </c>
      <c r="AG254" s="61" t="n">
        <f aca="false">O254</f>
        <v>0</v>
      </c>
      <c r="AH254" s="61" t="n">
        <f aca="false">P254</f>
        <v>0</v>
      </c>
      <c r="AI254" s="61" t="n">
        <f aca="false">VLOOKUP(AH254,recipe_ingred_list!$K$29:$M$34,3,0)</f>
        <v>3</v>
      </c>
      <c r="AJ254" s="61" t="str">
        <f aca="false">IF(Q254="","",Q254)</f>
        <v/>
      </c>
      <c r="AK254" s="61" t="n">
        <f aca="false">AK253+1</f>
        <v>254</v>
      </c>
      <c r="AL254" s="61" t="str">
        <f aca="false">Y254</f>
        <v>jeera powder</v>
      </c>
      <c r="AM254" s="81" t="str">
        <f aca="false">"a = Client().post('"&amp;W254&amp;"', {'recipe' : '"&amp;V254&amp;"', 'ingredient' : '"&amp;Z254&amp;"', 'name' : '"&amp;X254&amp;"', 'mass_unit' : '"&amp;AC254&amp;"', 'mass_quantity' : '"&amp;ROUND(AA254,3)&amp;"', 'volume_unit' : '"&amp;AF254&amp;"', 'volume_quantity' : '"&amp;ROUND(AD254,3)&amp;"', 'pieces_unit' : '"&amp;AI254&amp;"', 'pieces_quantity' : '"&amp;ROUND(AG254,3)&amp;"', 'cooking_notes' : '"&amp;AJ254&amp;"'}).status_code; print('%s :: %s :: %s :: %s :: %s' %(a,"&amp;G254&amp;",'"&amp;X254&amp;"','"&amp;Y254&amp;"','"&amp;U254&amp;"'))"</f>
        <v>a = Client().post('/recipes/panchratna-dry/detail/', {'recipe' : '53', 'ingredient' : '103', 'name' : 'Jeera powder', 'mass_unit' : '2', 'mass_quantity' : '0', 'volume_unit' : '5', 'volume_quantity' : '0.75', 'pieces_unit' : '3', 'pieces_quantity' : '0', 'cooking_notes' : ''}).status_code; print('%s :: %s :: %s :: %s :: %s' %(a,254,'Jeera powder','jeera powder','Panchratna Dry'))</v>
      </c>
    </row>
    <row r="255" customFormat="false" ht="13.8" hidden="false" customHeight="false" outlineLevel="0" collapsed="false">
      <c r="G255" s="80" t="n">
        <v>255</v>
      </c>
      <c r="I255" s="82" t="s">
        <v>268</v>
      </c>
      <c r="J255" s="83" t="s">
        <v>568</v>
      </c>
      <c r="M255" s="61" t="n">
        <v>1</v>
      </c>
      <c r="N255" s="61" t="s">
        <v>20</v>
      </c>
      <c r="R255" s="82" t="str">
        <f aca="false">VLOOKUP(J255,ingredient!$N$4:$O$553,2,0)</f>
        <v>dhaniya powder</v>
      </c>
      <c r="U255" s="81" t="str">
        <f aca="false">I255</f>
        <v>Panchratna Dry</v>
      </c>
      <c r="V255" s="81" t="n">
        <f aca="false">VLOOKUP(U255,recipe_ingred_list!$A$2:$B$300,2,0)</f>
        <v>53</v>
      </c>
      <c r="W255" s="81" t="str">
        <f aca="false">"/recipes/"&amp;VLOOKUP(U255,recipe_ingred_list!$A$2:$C$300,3,0)&amp;"/detail/"</f>
        <v>/recipes/panchratna-dry/detail/</v>
      </c>
      <c r="X255" s="81" t="str">
        <f aca="false">J255</f>
        <v>Dhania powder</v>
      </c>
      <c r="Y255" s="81" t="str">
        <f aca="false">R255</f>
        <v>dhaniya powder</v>
      </c>
      <c r="Z255" s="94" t="n">
        <f aca="false">VLOOKUP(Y255,recipe_ingred_list!$D$2:$E$500,2,0)</f>
        <v>67</v>
      </c>
      <c r="AA255" s="61" t="n">
        <f aca="false">K255</f>
        <v>0</v>
      </c>
      <c r="AB255" s="61" t="n">
        <f aca="false">L255</f>
        <v>0</v>
      </c>
      <c r="AC255" s="61" t="n">
        <f aca="false">VLOOKUP(AB255,recipe_ingred_list!$K$2:$M$7,3,0)</f>
        <v>2</v>
      </c>
      <c r="AD255" s="61" t="n">
        <f aca="false">M255</f>
        <v>1</v>
      </c>
      <c r="AE255" s="61" t="str">
        <f aca="false">N255</f>
        <v>cup</v>
      </c>
      <c r="AF255" s="61" t="n">
        <f aca="false">VLOOKUP(AE255,recipe_ingred_list!$K$16:$M$25,3,0)</f>
        <v>5</v>
      </c>
      <c r="AG255" s="61" t="n">
        <f aca="false">O255</f>
        <v>0</v>
      </c>
      <c r="AH255" s="61" t="n">
        <f aca="false">P255</f>
        <v>0</v>
      </c>
      <c r="AI255" s="61" t="n">
        <f aca="false">VLOOKUP(AH255,recipe_ingred_list!$K$29:$M$34,3,0)</f>
        <v>3</v>
      </c>
      <c r="AJ255" s="61" t="str">
        <f aca="false">IF(Q255="","",Q255)</f>
        <v/>
      </c>
      <c r="AK255" s="61" t="n">
        <f aca="false">AK254+1</f>
        <v>255</v>
      </c>
      <c r="AL255" s="61" t="str">
        <f aca="false">Y255</f>
        <v>dhaniya powder</v>
      </c>
      <c r="AM255" s="81" t="str">
        <f aca="false">"a = Client().post('"&amp;W255&amp;"', {'recipe' : '"&amp;V255&amp;"', 'ingredient' : '"&amp;Z255&amp;"', 'name' : '"&amp;X255&amp;"', 'mass_unit' : '"&amp;AC255&amp;"', 'mass_quantity' : '"&amp;ROUND(AA255,3)&amp;"', 'volume_unit' : '"&amp;AF255&amp;"', 'volume_quantity' : '"&amp;ROUND(AD255,3)&amp;"', 'pieces_unit' : '"&amp;AI255&amp;"', 'pieces_quantity' : '"&amp;ROUND(AG255,3)&amp;"', 'cooking_notes' : '"&amp;AJ255&amp;"'}).status_code; print('%s :: %s :: %s :: %s :: %s' %(a,"&amp;G255&amp;",'"&amp;X255&amp;"','"&amp;Y255&amp;"','"&amp;U255&amp;"'))"</f>
        <v>a = Client().post('/recipes/panchratna-dry/detail/', {'recipe' : '53', 'ingredient' : '67', 'name' : 'Dhania powder', 'mass_unit' : '2', 'mass_quantity' : '0', 'volume_unit' : '5', 'volume_quantity' : '1', 'pieces_unit' : '3', 'pieces_quantity' : '0', 'cooking_notes' : ''}).status_code; print('%s :: %s :: %s :: %s :: %s' %(a,255,'Dhania powder','dhaniya powder','Panchratna Dry'))</v>
      </c>
    </row>
    <row r="256" customFormat="false" ht="13.8" hidden="false" customHeight="false" outlineLevel="0" collapsed="false">
      <c r="G256" s="80" t="n">
        <v>256</v>
      </c>
      <c r="I256" s="82" t="s">
        <v>268</v>
      </c>
      <c r="J256" s="83" t="s">
        <v>596</v>
      </c>
      <c r="M256" s="61" t="n">
        <v>0.5</v>
      </c>
      <c r="N256" s="61" t="s">
        <v>20</v>
      </c>
      <c r="R256" s="82" t="str">
        <f aca="false">VLOOKUP(J256,ingredient!$N$4:$O$553,2,0)</f>
        <v>madrasi mirchi powder</v>
      </c>
      <c r="U256" s="81" t="str">
        <f aca="false">I256</f>
        <v>Panchratna Dry</v>
      </c>
      <c r="V256" s="81" t="n">
        <f aca="false">VLOOKUP(U256,recipe_ingred_list!$A$2:$B$300,2,0)</f>
        <v>53</v>
      </c>
      <c r="W256" s="81" t="str">
        <f aca="false">"/recipes/"&amp;VLOOKUP(U256,recipe_ingred_list!$A$2:$C$300,3,0)&amp;"/detail/"</f>
        <v>/recipes/panchratna-dry/detail/</v>
      </c>
      <c r="X256" s="81" t="str">
        <f aca="false">J256</f>
        <v>Red chilli powder</v>
      </c>
      <c r="Y256" s="81" t="str">
        <f aca="false">R256</f>
        <v>madrasi mirchi powder</v>
      </c>
      <c r="Z256" s="94" t="n">
        <f aca="false">VLOOKUP(Y256,recipe_ingred_list!$D$2:$E$500,2,0)</f>
        <v>135</v>
      </c>
      <c r="AA256" s="61" t="n">
        <f aca="false">K256</f>
        <v>0</v>
      </c>
      <c r="AB256" s="61" t="n">
        <f aca="false">L256</f>
        <v>0</v>
      </c>
      <c r="AC256" s="61" t="n">
        <f aca="false">VLOOKUP(AB256,recipe_ingred_list!$K$2:$M$7,3,0)</f>
        <v>2</v>
      </c>
      <c r="AD256" s="61" t="n">
        <f aca="false">M256</f>
        <v>0.5</v>
      </c>
      <c r="AE256" s="61" t="str">
        <f aca="false">N256</f>
        <v>cup</v>
      </c>
      <c r="AF256" s="61" t="n">
        <f aca="false">VLOOKUP(AE256,recipe_ingred_list!$K$16:$M$25,3,0)</f>
        <v>5</v>
      </c>
      <c r="AG256" s="61" t="n">
        <f aca="false">O256</f>
        <v>0</v>
      </c>
      <c r="AH256" s="61" t="n">
        <f aca="false">P256</f>
        <v>0</v>
      </c>
      <c r="AI256" s="61" t="n">
        <f aca="false">VLOOKUP(AH256,recipe_ingred_list!$K$29:$M$34,3,0)</f>
        <v>3</v>
      </c>
      <c r="AJ256" s="61" t="str">
        <f aca="false">IF(Q256="","",Q256)</f>
        <v/>
      </c>
      <c r="AK256" s="61" t="n">
        <f aca="false">AK255+1</f>
        <v>256</v>
      </c>
      <c r="AL256" s="61" t="str">
        <f aca="false">Y256</f>
        <v>madrasi mirchi powder</v>
      </c>
      <c r="AM256" s="81" t="str">
        <f aca="false">"a = Client().post('"&amp;W256&amp;"', {'recipe' : '"&amp;V256&amp;"', 'ingredient' : '"&amp;Z256&amp;"', 'name' : '"&amp;X256&amp;"', 'mass_unit' : '"&amp;AC256&amp;"', 'mass_quantity' : '"&amp;ROUND(AA256,3)&amp;"', 'volume_unit' : '"&amp;AF256&amp;"', 'volume_quantity' : '"&amp;ROUND(AD256,3)&amp;"', 'pieces_unit' : '"&amp;AI256&amp;"', 'pieces_quantity' : '"&amp;ROUND(AG256,3)&amp;"', 'cooking_notes' : '"&amp;AJ256&amp;"'}).status_code; print('%s :: %s :: %s :: %s :: %s' %(a,"&amp;G256&amp;",'"&amp;X256&amp;"','"&amp;Y256&amp;"','"&amp;U256&amp;"'))"</f>
        <v>a = Client().post('/recipes/panchratna-dry/detail/', {'recipe' : '53', 'ingredient' : '135', 'name' : 'Red chilli powder', 'mass_unit' : '2', 'mass_quantity' : '0', 'volume_unit' : '5', 'volume_quantity' : '0.5', 'pieces_unit' : '3', 'pieces_quantity' : '0', 'cooking_notes' : ''}).status_code; print('%s :: %s :: %s :: %s :: %s' %(a,256,'Red chilli powder','madrasi mirchi powder','Panchratna Dry'))</v>
      </c>
    </row>
    <row r="257" customFormat="false" ht="13.8" hidden="false" customHeight="false" outlineLevel="0" collapsed="false">
      <c r="G257" s="80" t="n">
        <v>257</v>
      </c>
      <c r="I257" s="82" t="s">
        <v>268</v>
      </c>
      <c r="J257" s="83" t="s">
        <v>564</v>
      </c>
      <c r="M257" s="61" t="n">
        <v>0.6</v>
      </c>
      <c r="N257" s="61" t="s">
        <v>20</v>
      </c>
      <c r="R257" s="82" t="str">
        <f aca="false">VLOOKUP(J257,ingredient!$N$4:$O$553,2,0)</f>
        <v>haldi</v>
      </c>
      <c r="U257" s="81" t="str">
        <f aca="false">I257</f>
        <v>Panchratna Dry</v>
      </c>
      <c r="V257" s="81" t="n">
        <f aca="false">VLOOKUP(U257,recipe_ingred_list!$A$2:$B$300,2,0)</f>
        <v>53</v>
      </c>
      <c r="W257" s="81" t="str">
        <f aca="false">"/recipes/"&amp;VLOOKUP(U257,recipe_ingred_list!$A$2:$C$300,3,0)&amp;"/detail/"</f>
        <v>/recipes/panchratna-dry/detail/</v>
      </c>
      <c r="X257" s="81" t="str">
        <f aca="false">J257</f>
        <v>Haldi</v>
      </c>
      <c r="Y257" s="81" t="str">
        <f aca="false">R257</f>
        <v>haldi</v>
      </c>
      <c r="Z257" s="94" t="n">
        <f aca="false">VLOOKUP(Y257,recipe_ingred_list!$D$2:$E$500,2,0)</f>
        <v>91</v>
      </c>
      <c r="AA257" s="61" t="n">
        <f aca="false">K257</f>
        <v>0</v>
      </c>
      <c r="AB257" s="61" t="n">
        <f aca="false">L257</f>
        <v>0</v>
      </c>
      <c r="AC257" s="61" t="n">
        <f aca="false">VLOOKUP(AB257,recipe_ingred_list!$K$2:$M$7,3,0)</f>
        <v>2</v>
      </c>
      <c r="AD257" s="61" t="n">
        <f aca="false">M257</f>
        <v>0.6</v>
      </c>
      <c r="AE257" s="61" t="str">
        <f aca="false">N257</f>
        <v>cup</v>
      </c>
      <c r="AF257" s="61" t="n">
        <f aca="false">VLOOKUP(AE257,recipe_ingred_list!$K$16:$M$25,3,0)</f>
        <v>5</v>
      </c>
      <c r="AG257" s="61" t="n">
        <f aca="false">O257</f>
        <v>0</v>
      </c>
      <c r="AH257" s="61" t="n">
        <f aca="false">P257</f>
        <v>0</v>
      </c>
      <c r="AI257" s="61" t="n">
        <f aca="false">VLOOKUP(AH257,recipe_ingred_list!$K$29:$M$34,3,0)</f>
        <v>3</v>
      </c>
      <c r="AJ257" s="61" t="str">
        <f aca="false">IF(Q257="","",Q257)</f>
        <v/>
      </c>
      <c r="AK257" s="61" t="n">
        <f aca="false">AK256+1</f>
        <v>257</v>
      </c>
      <c r="AL257" s="61" t="str">
        <f aca="false">Y257</f>
        <v>haldi</v>
      </c>
      <c r="AM257" s="81" t="str">
        <f aca="false">"a = Client().post('"&amp;W257&amp;"', {'recipe' : '"&amp;V257&amp;"', 'ingredient' : '"&amp;Z257&amp;"', 'name' : '"&amp;X257&amp;"', 'mass_unit' : '"&amp;AC257&amp;"', 'mass_quantity' : '"&amp;ROUND(AA257,3)&amp;"', 'volume_unit' : '"&amp;AF257&amp;"', 'volume_quantity' : '"&amp;ROUND(AD257,3)&amp;"', 'pieces_unit' : '"&amp;AI257&amp;"', 'pieces_quantity' : '"&amp;ROUND(AG257,3)&amp;"', 'cooking_notes' : '"&amp;AJ257&amp;"'}).status_code; print('%s :: %s :: %s :: %s :: %s' %(a,"&amp;G257&amp;",'"&amp;X257&amp;"','"&amp;Y257&amp;"','"&amp;U257&amp;"'))"</f>
        <v>a = Client().post('/recipes/panchratna-dry/detail/', {'recipe' : '53', 'ingredient' : '91', 'name' : 'Haldi', 'mass_unit' : '2', 'mass_quantity' : '0', 'volume_unit' : '5', 'volume_quantity' : '0.6', 'pieces_unit' : '3', 'pieces_quantity' : '0', 'cooking_notes' : ''}).status_code; print('%s :: %s :: %s :: %s :: %s' %(a,257,'Haldi','haldi','Panchratna Dry'))</v>
      </c>
    </row>
    <row r="258" customFormat="false" ht="13.8" hidden="false" customHeight="false" outlineLevel="0" collapsed="false">
      <c r="G258" s="80" t="n">
        <v>258</v>
      </c>
      <c r="I258" s="82" t="s">
        <v>268</v>
      </c>
      <c r="J258" s="83" t="s">
        <v>554</v>
      </c>
      <c r="M258" s="61" t="n">
        <v>0.75</v>
      </c>
      <c r="N258" s="61" t="s">
        <v>20</v>
      </c>
      <c r="R258" s="82" t="str">
        <f aca="false">VLOOKUP(J258,ingredient!$N$4:$O$553,2,0)</f>
        <v>kashmiri chilly powder</v>
      </c>
      <c r="U258" s="81" t="str">
        <f aca="false">I258</f>
        <v>Panchratna Dry</v>
      </c>
      <c r="V258" s="81" t="n">
        <f aca="false">VLOOKUP(U258,recipe_ingred_list!$A$2:$B$300,2,0)</f>
        <v>53</v>
      </c>
      <c r="W258" s="81" t="str">
        <f aca="false">"/recipes/"&amp;VLOOKUP(U258,recipe_ingred_list!$A$2:$C$300,3,0)&amp;"/detail/"</f>
        <v>/recipes/panchratna-dry/detail/</v>
      </c>
      <c r="X258" s="81" t="str">
        <f aca="false">J258</f>
        <v>Kashmiri powder</v>
      </c>
      <c r="Y258" s="81" t="str">
        <f aca="false">R258</f>
        <v>kashmiri chilly powder</v>
      </c>
      <c r="Z258" s="94" t="n">
        <f aca="false">VLOOKUP(Y258,recipe_ingred_list!$D$2:$E$500,2,0)</f>
        <v>117</v>
      </c>
      <c r="AA258" s="61" t="n">
        <f aca="false">K258</f>
        <v>0</v>
      </c>
      <c r="AB258" s="61" t="n">
        <f aca="false">L258</f>
        <v>0</v>
      </c>
      <c r="AC258" s="61" t="n">
        <f aca="false">VLOOKUP(AB258,recipe_ingred_list!$K$2:$M$7,3,0)</f>
        <v>2</v>
      </c>
      <c r="AD258" s="61" t="n">
        <f aca="false">M258</f>
        <v>0.75</v>
      </c>
      <c r="AE258" s="61" t="str">
        <f aca="false">N258</f>
        <v>cup</v>
      </c>
      <c r="AF258" s="61" t="n">
        <f aca="false">VLOOKUP(AE258,recipe_ingred_list!$K$16:$M$25,3,0)</f>
        <v>5</v>
      </c>
      <c r="AG258" s="61" t="n">
        <f aca="false">O258</f>
        <v>0</v>
      </c>
      <c r="AH258" s="61" t="n">
        <f aca="false">P258</f>
        <v>0</v>
      </c>
      <c r="AI258" s="61" t="n">
        <f aca="false">VLOOKUP(AH258,recipe_ingred_list!$K$29:$M$34,3,0)</f>
        <v>3</v>
      </c>
      <c r="AJ258" s="61" t="str">
        <f aca="false">IF(Q258="","",Q258)</f>
        <v/>
      </c>
      <c r="AK258" s="61" t="n">
        <f aca="false">AK257+1</f>
        <v>258</v>
      </c>
      <c r="AL258" s="61" t="str">
        <f aca="false">Y258</f>
        <v>kashmiri chilly powder</v>
      </c>
      <c r="AM258" s="81" t="str">
        <f aca="false">"a = Client().post('"&amp;W258&amp;"', {'recipe' : '"&amp;V258&amp;"', 'ingredient' : '"&amp;Z258&amp;"', 'name' : '"&amp;X258&amp;"', 'mass_unit' : '"&amp;AC258&amp;"', 'mass_quantity' : '"&amp;ROUND(AA258,3)&amp;"', 'volume_unit' : '"&amp;AF258&amp;"', 'volume_quantity' : '"&amp;ROUND(AD258,3)&amp;"', 'pieces_unit' : '"&amp;AI258&amp;"', 'pieces_quantity' : '"&amp;ROUND(AG258,3)&amp;"', 'cooking_notes' : '"&amp;AJ258&amp;"'}).status_code; print('%s :: %s :: %s :: %s :: %s' %(a,"&amp;G258&amp;",'"&amp;X258&amp;"','"&amp;Y258&amp;"','"&amp;U258&amp;"'))"</f>
        <v>a = Client().post('/recipes/panchratna-dry/detail/', {'recipe' : '53', 'ingredient' : '117', 'name' : 'Kashmiri powder', 'mass_unit' : '2', 'mass_quantity' : '0', 'volume_unit' : '5', 'volume_quantity' : '0.75', 'pieces_unit' : '3', 'pieces_quantity' : '0', 'cooking_notes' : ''}).status_code; print('%s :: %s :: %s :: %s :: %s' %(a,258,'Kashmiri powder','kashmiri chilly powder','Panchratna Dry'))</v>
      </c>
    </row>
    <row r="259" customFormat="false" ht="13.8" hidden="false" customHeight="false" outlineLevel="0" collapsed="false">
      <c r="G259" s="80" t="n">
        <v>259</v>
      </c>
      <c r="I259" s="82" t="s">
        <v>268</v>
      </c>
      <c r="J259" s="83" t="s">
        <v>32</v>
      </c>
      <c r="M259" s="61" t="n">
        <v>1</v>
      </c>
      <c r="N259" s="61" t="s">
        <v>20</v>
      </c>
      <c r="R259" s="82" t="str">
        <f aca="false">VLOOKUP(J259,ingredient!$N$4:$O$553,2,0)</f>
        <v>salt</v>
      </c>
      <c r="U259" s="81" t="str">
        <f aca="false">I259</f>
        <v>Panchratna Dry</v>
      </c>
      <c r="V259" s="81" t="n">
        <f aca="false">VLOOKUP(U259,recipe_ingred_list!$A$2:$B$300,2,0)</f>
        <v>53</v>
      </c>
      <c r="W259" s="81" t="str">
        <f aca="false">"/recipes/"&amp;VLOOKUP(U259,recipe_ingred_list!$A$2:$C$300,3,0)&amp;"/detail/"</f>
        <v>/recipes/panchratna-dry/detail/</v>
      </c>
      <c r="X259" s="81" t="str">
        <f aca="false">J259</f>
        <v>Salt</v>
      </c>
      <c r="Y259" s="81" t="str">
        <f aca="false">R259</f>
        <v>salt</v>
      </c>
      <c r="Z259" s="94" t="n">
        <f aca="false">VLOOKUP(Y259,recipe_ingred_list!$D$2:$E$500,2,0)</f>
        <v>177</v>
      </c>
      <c r="AA259" s="61" t="n">
        <f aca="false">K259</f>
        <v>0</v>
      </c>
      <c r="AB259" s="61" t="n">
        <f aca="false">L259</f>
        <v>0</v>
      </c>
      <c r="AC259" s="61" t="n">
        <f aca="false">VLOOKUP(AB259,recipe_ingred_list!$K$2:$M$7,3,0)</f>
        <v>2</v>
      </c>
      <c r="AD259" s="61" t="n">
        <f aca="false">M259</f>
        <v>1</v>
      </c>
      <c r="AE259" s="61" t="str">
        <f aca="false">N259</f>
        <v>cup</v>
      </c>
      <c r="AF259" s="61" t="n">
        <f aca="false">VLOOKUP(AE259,recipe_ingred_list!$K$16:$M$25,3,0)</f>
        <v>5</v>
      </c>
      <c r="AG259" s="61" t="n">
        <f aca="false">O259</f>
        <v>0</v>
      </c>
      <c r="AH259" s="61" t="n">
        <f aca="false">P259</f>
        <v>0</v>
      </c>
      <c r="AI259" s="61" t="n">
        <f aca="false">VLOOKUP(AH259,recipe_ingred_list!$K$29:$M$34,3,0)</f>
        <v>3</v>
      </c>
      <c r="AJ259" s="61" t="str">
        <f aca="false">IF(Q259="","",Q259)</f>
        <v/>
      </c>
      <c r="AK259" s="61" t="n">
        <f aca="false">AK258+1</f>
        <v>259</v>
      </c>
      <c r="AL259" s="61" t="str">
        <f aca="false">Y259</f>
        <v>salt</v>
      </c>
      <c r="AM259" s="81" t="str">
        <f aca="false">"a = Client().post('"&amp;W259&amp;"', {'recipe' : '"&amp;V259&amp;"', 'ingredient' : '"&amp;Z259&amp;"', 'name' : '"&amp;X259&amp;"', 'mass_unit' : '"&amp;AC259&amp;"', 'mass_quantity' : '"&amp;ROUND(AA259,3)&amp;"', 'volume_unit' : '"&amp;AF259&amp;"', 'volume_quantity' : '"&amp;ROUND(AD259,3)&amp;"', 'pieces_unit' : '"&amp;AI259&amp;"', 'pieces_quantity' : '"&amp;ROUND(AG259,3)&amp;"', 'cooking_notes' : '"&amp;AJ259&amp;"'}).status_code; print('%s :: %s :: %s :: %s :: %s' %(a,"&amp;G259&amp;",'"&amp;X259&amp;"','"&amp;Y259&amp;"','"&amp;U259&amp;"'))"</f>
        <v>a = Client().post('/recipes/panchratna-dry/detail/', {'recipe' : '53', 'ingredient' : '177', 'name' : 'Salt', 'mass_unit' : '2', 'mass_quantity' : '0', 'volume_unit' : '5', 'volume_quantity' : '1', 'pieces_unit' : '3', 'pieces_quantity' : '0', 'cooking_notes' : ''}).status_code; print('%s :: %s :: %s :: %s :: %s' %(a,259,'Salt','salt','Panchratna Dry'))</v>
      </c>
    </row>
    <row r="260" customFormat="false" ht="13.8" hidden="false" customHeight="false" outlineLevel="0" collapsed="false">
      <c r="G260" s="80" t="n">
        <v>260</v>
      </c>
      <c r="I260" s="82" t="s">
        <v>268</v>
      </c>
      <c r="J260" s="83" t="s">
        <v>598</v>
      </c>
      <c r="M260" s="61" t="n">
        <v>0.5</v>
      </c>
      <c r="N260" s="61" t="s">
        <v>20</v>
      </c>
      <c r="R260" s="82" t="str">
        <f aca="false">VLOOKUP(J260,ingredient!$N$4:$O$553,2,0)</f>
        <v>black salt</v>
      </c>
      <c r="U260" s="81" t="str">
        <f aca="false">I260</f>
        <v>Panchratna Dry</v>
      </c>
      <c r="V260" s="81" t="n">
        <f aca="false">VLOOKUP(U260,recipe_ingred_list!$A$2:$B$300,2,0)</f>
        <v>53</v>
      </c>
      <c r="W260" s="81" t="str">
        <f aca="false">"/recipes/"&amp;VLOOKUP(U260,recipe_ingred_list!$A$2:$C$300,3,0)&amp;"/detail/"</f>
        <v>/recipes/panchratna-dry/detail/</v>
      </c>
      <c r="X260" s="81" t="str">
        <f aca="false">J260</f>
        <v>Black salt</v>
      </c>
      <c r="Y260" s="81" t="str">
        <f aca="false">R260</f>
        <v>black salt</v>
      </c>
      <c r="Z260" s="94" t="n">
        <f aca="false">VLOOKUP(Y260,recipe_ingred_list!$D$2:$E$500,2,0)</f>
        <v>32</v>
      </c>
      <c r="AA260" s="61" t="n">
        <f aca="false">K260</f>
        <v>0</v>
      </c>
      <c r="AB260" s="61" t="n">
        <f aca="false">L260</f>
        <v>0</v>
      </c>
      <c r="AC260" s="61" t="n">
        <f aca="false">VLOOKUP(AB260,recipe_ingred_list!$K$2:$M$7,3,0)</f>
        <v>2</v>
      </c>
      <c r="AD260" s="61" t="n">
        <f aca="false">M260</f>
        <v>0.5</v>
      </c>
      <c r="AE260" s="61" t="str">
        <f aca="false">N260</f>
        <v>cup</v>
      </c>
      <c r="AF260" s="61" t="n">
        <f aca="false">VLOOKUP(AE260,recipe_ingred_list!$K$16:$M$25,3,0)</f>
        <v>5</v>
      </c>
      <c r="AG260" s="61" t="n">
        <f aca="false">O260</f>
        <v>0</v>
      </c>
      <c r="AH260" s="61" t="n">
        <f aca="false">P260</f>
        <v>0</v>
      </c>
      <c r="AI260" s="61" t="n">
        <f aca="false">VLOOKUP(AH260,recipe_ingred_list!$K$29:$M$34,3,0)</f>
        <v>3</v>
      </c>
      <c r="AJ260" s="61" t="str">
        <f aca="false">IF(Q260="","",Q260)</f>
        <v/>
      </c>
      <c r="AK260" s="61" t="n">
        <f aca="false">AK259+1</f>
        <v>260</v>
      </c>
      <c r="AL260" s="61" t="str">
        <f aca="false">Y260</f>
        <v>black salt</v>
      </c>
      <c r="AM260" s="81" t="str">
        <f aca="false">"a = Client().post('"&amp;W260&amp;"', {'recipe' : '"&amp;V260&amp;"', 'ingredient' : '"&amp;Z260&amp;"', 'name' : '"&amp;X260&amp;"', 'mass_unit' : '"&amp;AC260&amp;"', 'mass_quantity' : '"&amp;ROUND(AA260,3)&amp;"', 'volume_unit' : '"&amp;AF260&amp;"', 'volume_quantity' : '"&amp;ROUND(AD260,3)&amp;"', 'pieces_unit' : '"&amp;AI260&amp;"', 'pieces_quantity' : '"&amp;ROUND(AG260,3)&amp;"', 'cooking_notes' : '"&amp;AJ260&amp;"'}).status_code; print('%s :: %s :: %s :: %s :: %s' %(a,"&amp;G260&amp;",'"&amp;X260&amp;"','"&amp;Y260&amp;"','"&amp;U260&amp;"'))"</f>
        <v>a = Client().post('/recipes/panchratna-dry/detail/', {'recipe' : '53', 'ingredient' : '32', 'name' : 'Black salt', 'mass_unit' : '2', 'mass_quantity' : '0', 'volume_unit' : '5', 'volume_quantity' : '0.5', 'pieces_unit' : '3', 'pieces_quantity' : '0', 'cooking_notes' : ''}).status_code; print('%s :: %s :: %s :: %s :: %s' %(a,260,'Black salt','black salt','Panchratna Dry'))</v>
      </c>
    </row>
    <row r="261" customFormat="false" ht="13.8" hidden="false" customHeight="false" outlineLevel="0" collapsed="false">
      <c r="G261" s="80" t="n">
        <v>261</v>
      </c>
      <c r="I261" s="82" t="s">
        <v>268</v>
      </c>
      <c r="J261" s="83" t="s">
        <v>599</v>
      </c>
      <c r="M261" s="61" t="n">
        <v>2</v>
      </c>
      <c r="N261" s="61" t="s">
        <v>20</v>
      </c>
      <c r="R261" s="82" t="str">
        <f aca="false">VLOOKUP(J261,ingredient!$N$4:$O$553,2,0)</f>
        <v>everest chat masala</v>
      </c>
      <c r="U261" s="81" t="str">
        <f aca="false">I261</f>
        <v>Panchratna Dry</v>
      </c>
      <c r="V261" s="81" t="n">
        <f aca="false">VLOOKUP(U261,recipe_ingred_list!$A$2:$B$300,2,0)</f>
        <v>53</v>
      </c>
      <c r="W261" s="81" t="str">
        <f aca="false">"/recipes/"&amp;VLOOKUP(U261,recipe_ingred_list!$A$2:$C$300,3,0)&amp;"/detail/"</f>
        <v>/recipes/panchratna-dry/detail/</v>
      </c>
      <c r="X261" s="81" t="str">
        <f aca="false">J261</f>
        <v>Everest chat masala</v>
      </c>
      <c r="Y261" s="81" t="str">
        <f aca="false">R261</f>
        <v>everest chat masala</v>
      </c>
      <c r="Z261" s="94" t="n">
        <f aca="false">VLOOKUP(Y261,recipe_ingred_list!$D$2:$E$500,2,0)</f>
        <v>72</v>
      </c>
      <c r="AA261" s="61" t="n">
        <f aca="false">K261</f>
        <v>0</v>
      </c>
      <c r="AB261" s="61" t="n">
        <f aca="false">L261</f>
        <v>0</v>
      </c>
      <c r="AC261" s="61" t="n">
        <f aca="false">VLOOKUP(AB261,recipe_ingred_list!$K$2:$M$7,3,0)</f>
        <v>2</v>
      </c>
      <c r="AD261" s="61" t="n">
        <f aca="false">M261</f>
        <v>2</v>
      </c>
      <c r="AE261" s="61" t="str">
        <f aca="false">N261</f>
        <v>cup</v>
      </c>
      <c r="AF261" s="61" t="n">
        <f aca="false">VLOOKUP(AE261,recipe_ingred_list!$K$16:$M$25,3,0)</f>
        <v>5</v>
      </c>
      <c r="AG261" s="61" t="n">
        <f aca="false">O261</f>
        <v>0</v>
      </c>
      <c r="AH261" s="61" t="n">
        <f aca="false">P261</f>
        <v>0</v>
      </c>
      <c r="AI261" s="61" t="n">
        <f aca="false">VLOOKUP(AH261,recipe_ingred_list!$K$29:$M$34,3,0)</f>
        <v>3</v>
      </c>
      <c r="AJ261" s="61" t="str">
        <f aca="false">IF(Q261="","",Q261)</f>
        <v/>
      </c>
      <c r="AK261" s="61" t="n">
        <f aca="false">AK260+1</f>
        <v>261</v>
      </c>
      <c r="AL261" s="61" t="str">
        <f aca="false">Y261</f>
        <v>everest chat masala</v>
      </c>
      <c r="AM261" s="81" t="str">
        <f aca="false">"a = Client().post('"&amp;W261&amp;"', {'recipe' : '"&amp;V261&amp;"', 'ingredient' : '"&amp;Z261&amp;"', 'name' : '"&amp;X261&amp;"', 'mass_unit' : '"&amp;AC261&amp;"', 'mass_quantity' : '"&amp;ROUND(AA261,3)&amp;"', 'volume_unit' : '"&amp;AF261&amp;"', 'volume_quantity' : '"&amp;ROUND(AD261,3)&amp;"', 'pieces_unit' : '"&amp;AI261&amp;"', 'pieces_quantity' : '"&amp;ROUND(AG261,3)&amp;"', 'cooking_notes' : '"&amp;AJ261&amp;"'}).status_code; print('%s :: %s :: %s :: %s :: %s' %(a,"&amp;G261&amp;",'"&amp;X261&amp;"','"&amp;Y261&amp;"','"&amp;U261&amp;"'))"</f>
        <v>a = Client().post('/recipes/panchratna-dry/detail/', {'recipe' : '53', 'ingredient' : '72', 'name' : 'Everest chat masala', 'mass_unit' : '2', 'mass_quantity' : '0', 'volume_unit' : '5', 'volume_quantity' : '2', 'pieces_unit' : '3', 'pieces_quantity' : '0', 'cooking_notes' : ''}).status_code; print('%s :: %s :: %s :: %s :: %s' %(a,261,'Everest chat masala','everest chat masala','Panchratna Dry'))</v>
      </c>
    </row>
    <row r="262" customFormat="false" ht="13.8" hidden="false" customHeight="false" outlineLevel="0" collapsed="false">
      <c r="G262" s="80" t="n">
        <v>262</v>
      </c>
      <c r="I262" s="82" t="s">
        <v>268</v>
      </c>
      <c r="J262" s="83" t="s">
        <v>557</v>
      </c>
      <c r="M262" s="61" t="n">
        <v>2.5</v>
      </c>
      <c r="N262" s="61" t="s">
        <v>20</v>
      </c>
      <c r="R262" s="82" t="str">
        <f aca="false">VLOOKUP(J262,ingredient!$N$4:$O$553,2,0)</f>
        <v>lemon</v>
      </c>
      <c r="U262" s="81" t="str">
        <f aca="false">I262</f>
        <v>Panchratna Dry</v>
      </c>
      <c r="V262" s="81" t="n">
        <f aca="false">VLOOKUP(U262,recipe_ingred_list!$A$2:$B$300,2,0)</f>
        <v>53</v>
      </c>
      <c r="W262" s="81" t="str">
        <f aca="false">"/recipes/"&amp;VLOOKUP(U262,recipe_ingred_list!$A$2:$C$300,3,0)&amp;"/detail/"</f>
        <v>/recipes/panchratna-dry/detail/</v>
      </c>
      <c r="X262" s="81" t="str">
        <f aca="false">J262</f>
        <v>Lemon juice</v>
      </c>
      <c r="Y262" s="81" t="str">
        <f aca="false">R262</f>
        <v>lemon</v>
      </c>
      <c r="Z262" s="94" t="n">
        <f aca="false">VLOOKUP(Y262,recipe_ingred_list!$D$2:$E$500,2,0)</f>
        <v>129</v>
      </c>
      <c r="AA262" s="61" t="n">
        <f aca="false">K262</f>
        <v>0</v>
      </c>
      <c r="AB262" s="61" t="n">
        <f aca="false">L262</f>
        <v>0</v>
      </c>
      <c r="AC262" s="61" t="n">
        <f aca="false">VLOOKUP(AB262,recipe_ingred_list!$K$2:$M$7,3,0)</f>
        <v>2</v>
      </c>
      <c r="AD262" s="61" t="n">
        <f aca="false">M262</f>
        <v>2.5</v>
      </c>
      <c r="AE262" s="61" t="str">
        <f aca="false">N262</f>
        <v>cup</v>
      </c>
      <c r="AF262" s="61" t="n">
        <f aca="false">VLOOKUP(AE262,recipe_ingred_list!$K$16:$M$25,3,0)</f>
        <v>5</v>
      </c>
      <c r="AG262" s="61" t="n">
        <f aca="false">O262</f>
        <v>0</v>
      </c>
      <c r="AH262" s="61" t="n">
        <f aca="false">P262</f>
        <v>0</v>
      </c>
      <c r="AI262" s="61" t="n">
        <f aca="false">VLOOKUP(AH262,recipe_ingred_list!$K$29:$M$34,3,0)</f>
        <v>3</v>
      </c>
      <c r="AJ262" s="61" t="str">
        <f aca="false">IF(Q262="","",Q262)</f>
        <v/>
      </c>
      <c r="AK262" s="61" t="n">
        <f aca="false">AK261+1</f>
        <v>262</v>
      </c>
      <c r="AL262" s="61" t="str">
        <f aca="false">Y262</f>
        <v>lemon</v>
      </c>
      <c r="AM262" s="81" t="str">
        <f aca="false">"a = Client().post('"&amp;W262&amp;"', {'recipe' : '"&amp;V262&amp;"', 'ingredient' : '"&amp;Z262&amp;"', 'name' : '"&amp;X262&amp;"', 'mass_unit' : '"&amp;AC262&amp;"', 'mass_quantity' : '"&amp;ROUND(AA262,3)&amp;"', 'volume_unit' : '"&amp;AF262&amp;"', 'volume_quantity' : '"&amp;ROUND(AD262,3)&amp;"', 'pieces_unit' : '"&amp;AI262&amp;"', 'pieces_quantity' : '"&amp;ROUND(AG262,3)&amp;"', 'cooking_notes' : '"&amp;AJ262&amp;"'}).status_code; print('%s :: %s :: %s :: %s :: %s' %(a,"&amp;G262&amp;",'"&amp;X262&amp;"','"&amp;Y262&amp;"','"&amp;U262&amp;"'))"</f>
        <v>a = Client().post('/recipes/panchratna-dry/detail/', {'recipe' : '53', 'ingredient' : '129', 'name' : 'Lemon juice', 'mass_unit' : '2', 'mass_quantity' : '0', 'volume_unit' : '5', 'volume_quantity' : '2.5', 'pieces_unit' : '3', 'pieces_quantity' : '0', 'cooking_notes' : ''}).status_code; print('%s :: %s :: %s :: %s :: %s' %(a,262,'Lemon juice','lemon','Panchratna Dry'))</v>
      </c>
    </row>
    <row r="263" customFormat="false" ht="13.8" hidden="false" customHeight="false" outlineLevel="0" collapsed="false">
      <c r="G263" s="80" t="n">
        <v>263</v>
      </c>
      <c r="H263" s="98"/>
      <c r="I263" s="99" t="s">
        <v>268</v>
      </c>
      <c r="J263" s="79" t="s">
        <v>558</v>
      </c>
      <c r="K263" s="100" t="n">
        <v>25</v>
      </c>
      <c r="L263" s="100" t="s">
        <v>13</v>
      </c>
      <c r="M263" s="100"/>
      <c r="N263" s="100"/>
      <c r="O263" s="101"/>
      <c r="P263" s="100"/>
      <c r="Q263" s="102"/>
      <c r="R263" s="99" t="e">
        <f aca="false">VLOOKUP(J263,ingredient!$N$4:$O$553,2,0)</f>
        <v>#N/A</v>
      </c>
      <c r="S263" s="98"/>
      <c r="T263" s="98"/>
      <c r="U263" s="81" t="str">
        <f aca="false">I263</f>
        <v>Panchratna Dry</v>
      </c>
      <c r="V263" s="81" t="n">
        <f aca="false">VLOOKUP(U263,recipe_ingred_list!$A$2:$B$300,2,0)</f>
        <v>53</v>
      </c>
      <c r="W263" s="81" t="str">
        <f aca="false">"/recipes/"&amp;VLOOKUP(U263,recipe_ingred_list!$A$2:$C$300,3,0)&amp;"/detail/"</f>
        <v>/recipes/panchratna-dry/detail/</v>
      </c>
      <c r="X263" s="81" t="str">
        <f aca="false">J263</f>
        <v>Yield </v>
      </c>
      <c r="Y263" s="81" t="e">
        <f aca="false">R263</f>
        <v>#N/A</v>
      </c>
      <c r="Z263" s="94" t="e">
        <f aca="false">VLOOKUP(Y263,recipe_ingred_list!$D$2:$E$500,2,0)</f>
        <v>#N/A</v>
      </c>
      <c r="AA263" s="61" t="n">
        <f aca="false">K263</f>
        <v>25</v>
      </c>
      <c r="AB263" s="61" t="str">
        <f aca="false">L263</f>
        <v>ltr</v>
      </c>
      <c r="AC263" s="61" t="e">
        <f aca="false">VLOOKUP(AB263,recipe_ingred_list!$K$2:$M$7,3,0)</f>
        <v>#N/A</v>
      </c>
      <c r="AD263" s="61" t="n">
        <f aca="false">M263</f>
        <v>0</v>
      </c>
      <c r="AE263" s="61" t="n">
        <f aca="false">N263</f>
        <v>0</v>
      </c>
      <c r="AF263" s="61" t="n">
        <f aca="false">VLOOKUP(AE263,recipe_ingred_list!$K$16:$M$25,3,0)</f>
        <v>1</v>
      </c>
      <c r="AG263" s="61" t="n">
        <f aca="false">O263</f>
        <v>0</v>
      </c>
      <c r="AH263" s="61" t="n">
        <f aca="false">P263</f>
        <v>0</v>
      </c>
      <c r="AI263" s="61" t="n">
        <f aca="false">VLOOKUP(AH263,recipe_ingred_list!$K$29:$M$34,3,0)</f>
        <v>3</v>
      </c>
      <c r="AJ263" s="61" t="str">
        <f aca="false">IF(Q263="","",Q263)</f>
        <v/>
      </c>
      <c r="AK263" s="61" t="n">
        <f aca="false">AK262+1</f>
        <v>263</v>
      </c>
      <c r="AL263" s="61" t="e">
        <f aca="false">Y263</f>
        <v>#N/A</v>
      </c>
      <c r="AM263" s="81" t="e">
        <f aca="false">"a = Client().post('"&amp;W263&amp;"', {'recipe' : '"&amp;V263&amp;"', 'ingredient' : '"&amp;Z263&amp;"', 'name' : '"&amp;X263&amp;"', 'mass_unit' : '"&amp;AC263&amp;"', 'mass_quantity' : '"&amp;ROUND(AA263,3)&amp;"', 'volume_unit' : '"&amp;AF263&amp;"', 'volume_quantity' : '"&amp;ROUND(AD263,3)&amp;"', 'pieces_unit' : '"&amp;AI263&amp;"', 'pieces_quantity' : '"&amp;ROUND(AG263,3)&amp;"', 'cooking_notes' : '"&amp;AJ263&amp;"'}).status_code; print('%s :: %s :: %s :: %s :: %s' %(a,"&amp;G263&amp;",'"&amp;X263&amp;"','"&amp;Y263&amp;"','"&amp;U263&amp;"'))"</f>
        <v>#N/A</v>
      </c>
    </row>
    <row r="264" customFormat="false" ht="13.8" hidden="false" customHeight="false" outlineLevel="0" collapsed="false">
      <c r="G264" s="80" t="n">
        <v>264</v>
      </c>
      <c r="H264" s="98"/>
      <c r="I264" s="99"/>
      <c r="J264" s="79"/>
      <c r="K264" s="100"/>
      <c r="L264" s="100"/>
      <c r="M264" s="100"/>
      <c r="N264" s="100"/>
      <c r="O264" s="101"/>
      <c r="P264" s="100"/>
      <c r="Q264" s="102"/>
      <c r="R264" s="99" t="e">
        <f aca="false">VLOOKUP(J264,ingredient!$N$4:$O$553,2,0)</f>
        <v>#N/A</v>
      </c>
      <c r="S264" s="98"/>
      <c r="T264" s="98"/>
      <c r="U264" s="81" t="n">
        <f aca="false">I264</f>
        <v>0</v>
      </c>
      <c r="V264" s="81" t="e">
        <f aca="false">VLOOKUP(U264,recipe_ingred_list!$A$2:$B$300,2,0)</f>
        <v>#N/A</v>
      </c>
      <c r="W264" s="81" t="e">
        <f aca="false">"/recipes/"&amp;VLOOKUP(U264,recipe_ingred_list!$A$2:$C$300,3,0)&amp;"/detail/"</f>
        <v>#N/A</v>
      </c>
      <c r="X264" s="81" t="n">
        <f aca="false">J264</f>
        <v>0</v>
      </c>
      <c r="Y264" s="81" t="e">
        <f aca="false">R264</f>
        <v>#N/A</v>
      </c>
      <c r="Z264" s="94" t="e">
        <f aca="false">VLOOKUP(Y264,recipe_ingred_list!$D$2:$E$500,2,0)</f>
        <v>#N/A</v>
      </c>
      <c r="AA264" s="61" t="n">
        <f aca="false">K264</f>
        <v>0</v>
      </c>
      <c r="AB264" s="61" t="n">
        <f aca="false">L264</f>
        <v>0</v>
      </c>
      <c r="AC264" s="61" t="n">
        <f aca="false">VLOOKUP(AB264,recipe_ingred_list!$K$2:$M$7,3,0)</f>
        <v>2</v>
      </c>
      <c r="AD264" s="61" t="n">
        <f aca="false">M264</f>
        <v>0</v>
      </c>
      <c r="AE264" s="61" t="n">
        <f aca="false">N264</f>
        <v>0</v>
      </c>
      <c r="AF264" s="61" t="n">
        <f aca="false">VLOOKUP(AE264,recipe_ingred_list!$K$16:$M$25,3,0)</f>
        <v>1</v>
      </c>
      <c r="AG264" s="61" t="n">
        <f aca="false">O264</f>
        <v>0</v>
      </c>
      <c r="AH264" s="61" t="n">
        <f aca="false">P264</f>
        <v>0</v>
      </c>
      <c r="AI264" s="61" t="n">
        <f aca="false">VLOOKUP(AH264,recipe_ingred_list!$K$29:$M$34,3,0)</f>
        <v>3</v>
      </c>
      <c r="AJ264" s="61" t="str">
        <f aca="false">IF(Q264="","",Q264)</f>
        <v/>
      </c>
      <c r="AK264" s="61" t="n">
        <f aca="false">AK263+1</f>
        <v>264</v>
      </c>
      <c r="AL264" s="61" t="e">
        <f aca="false">Y264</f>
        <v>#N/A</v>
      </c>
      <c r="AM264" s="81" t="e">
        <f aca="false">"a = Client().post('"&amp;W264&amp;"', {'recipe' : '"&amp;V264&amp;"', 'ingredient' : '"&amp;Z264&amp;"', 'name' : '"&amp;X264&amp;"', 'mass_unit' : '"&amp;AC264&amp;"', 'mass_quantity' : '"&amp;ROUND(AA264,3)&amp;"', 'volume_unit' : '"&amp;AF264&amp;"', 'volume_quantity' : '"&amp;ROUND(AD264,3)&amp;"', 'pieces_unit' : '"&amp;AI264&amp;"', 'pieces_quantity' : '"&amp;ROUND(AG264,3)&amp;"', 'cooking_notes' : '"&amp;AJ264&amp;"'}).status_code; print('%s :: %s :: %s :: %s :: %s' %(a,"&amp;G264&amp;",'"&amp;X264&amp;"','"&amp;Y264&amp;"','"&amp;U264&amp;"'))"</f>
        <v>#N/A</v>
      </c>
    </row>
    <row r="265" customFormat="false" ht="14.9" hidden="false" customHeight="false" outlineLevel="0" collapsed="false">
      <c r="G265" s="80" t="n">
        <v>265</v>
      </c>
      <c r="I265" s="82" t="s">
        <v>132</v>
      </c>
      <c r="J265" s="83" t="s">
        <v>8</v>
      </c>
      <c r="K265" s="61" t="n">
        <v>22</v>
      </c>
      <c r="L265" s="61" t="s">
        <v>7</v>
      </c>
      <c r="Q265" s="84" t="s">
        <v>602</v>
      </c>
      <c r="R265" s="82" t="str">
        <f aca="false">VLOOKUP(J265,ingredient!$N$4:$O$553,2,0)</f>
        <v>bhopla</v>
      </c>
      <c r="U265" s="81" t="str">
        <f aca="false">I265</f>
        <v>Bhopla KM</v>
      </c>
      <c r="V265" s="81" t="n">
        <f aca="false">VLOOKUP(U265,recipe_ingred_list!$A$2:$B$300,2,0)</f>
        <v>9</v>
      </c>
      <c r="W265" s="81" t="str">
        <f aca="false">"/recipes/"&amp;VLOOKUP(U265,recipe_ingred_list!$A$2:$C$300,3,0)&amp;"/detail/"</f>
        <v>/recipes/bhopla-km/detail/</v>
      </c>
      <c r="X265" s="81" t="str">
        <f aca="false">J265</f>
        <v>Bhopla</v>
      </c>
      <c r="Y265" s="81" t="str">
        <f aca="false">R265</f>
        <v>bhopla</v>
      </c>
      <c r="Z265" s="94" t="n">
        <f aca="false">VLOOKUP(Y265,recipe_ingred_list!$D$2:$E$500,2,0)</f>
        <v>30</v>
      </c>
      <c r="AA265" s="61" t="n">
        <f aca="false">K265</f>
        <v>22</v>
      </c>
      <c r="AB265" s="61" t="str">
        <f aca="false">L265</f>
        <v>kg</v>
      </c>
      <c r="AC265" s="61" t="n">
        <f aca="false">VLOOKUP(AB265,recipe_ingred_list!$K$2:$M$7,3,0)</f>
        <v>2</v>
      </c>
      <c r="AD265" s="61" t="n">
        <f aca="false">M265</f>
        <v>0</v>
      </c>
      <c r="AE265" s="61" t="n">
        <f aca="false">N265</f>
        <v>0</v>
      </c>
      <c r="AF265" s="61" t="n">
        <f aca="false">VLOOKUP(AE265,recipe_ingred_list!$K$16:$M$25,3,0)</f>
        <v>1</v>
      </c>
      <c r="AG265" s="61" t="n">
        <f aca="false">O265</f>
        <v>0</v>
      </c>
      <c r="AH265" s="61" t="n">
        <f aca="false">P265</f>
        <v>0</v>
      </c>
      <c r="AI265" s="61" t="n">
        <f aca="false">VLOOKUP(AH265,recipe_ingred_list!$K$29:$M$34,3,0)</f>
        <v>3</v>
      </c>
      <c r="AJ265" s="61" t="str">
        <f aca="false">IF(Q265="","",Q265)</f>
        <v>1" cube</v>
      </c>
      <c r="AK265" s="61" t="n">
        <f aca="false">AK264+1</f>
        <v>265</v>
      </c>
      <c r="AL265" s="61" t="str">
        <f aca="false">Y265</f>
        <v>bhopla</v>
      </c>
      <c r="AM265" s="81" t="str">
        <f aca="false">"a = Client().post('"&amp;W265&amp;"', {'recipe' : '"&amp;V265&amp;"', 'ingredient' : '"&amp;Z265&amp;"', 'name' : '"&amp;X265&amp;"', 'mass_unit' : '"&amp;AC265&amp;"', 'mass_quantity' : '"&amp;ROUND(AA265,3)&amp;"', 'volume_unit' : '"&amp;AF265&amp;"', 'volume_quantity' : '"&amp;ROUND(AD265,3)&amp;"', 'pieces_unit' : '"&amp;AI265&amp;"', 'pieces_quantity' : '"&amp;ROUND(AG265,3)&amp;"', 'cooking_notes' : '"&amp;AJ265&amp;"'}).status_code; print('%s :: %s :: %s :: %s :: %s' %(a,"&amp;G265&amp;",'"&amp;X265&amp;"','"&amp;Y265&amp;"','"&amp;U265&amp;"'))"</f>
        <v>a = Client().post('/recipes/bhopla-km/detail/', {'recipe' : '9', 'ingredient' : '30', 'name' : 'Bhopla', 'mass_unit' : '2', 'mass_quantity' : '22', 'volume_unit' : '1', 'volume_quantity' : '0', 'pieces_unit' : '3', 'pieces_quantity' : '0', 'cooking_notes' : '1" cube'}).status_code; print('%s :: %s :: %s :: %s :: %s' %(a,265,'Bhopla','bhopla','Bhopla KM'))</v>
      </c>
    </row>
    <row r="266" customFormat="false" ht="13.8" hidden="false" customHeight="false" outlineLevel="0" collapsed="false">
      <c r="G266" s="80" t="n">
        <v>266</v>
      </c>
      <c r="I266" s="82" t="s">
        <v>132</v>
      </c>
      <c r="J266" s="83" t="s">
        <v>585</v>
      </c>
      <c r="M266" s="61" t="n">
        <v>1.25</v>
      </c>
      <c r="N266" s="61" t="s">
        <v>13</v>
      </c>
      <c r="R266" s="82" t="str">
        <f aca="false">VLOOKUP(J266,ingredient!$N$4:$O$553,2,0)</f>
        <v>rai oil</v>
      </c>
      <c r="U266" s="81" t="str">
        <f aca="false">I266</f>
        <v>Bhopla KM</v>
      </c>
      <c r="V266" s="81" t="n">
        <f aca="false">VLOOKUP(U266,recipe_ingred_list!$A$2:$B$300,2,0)</f>
        <v>9</v>
      </c>
      <c r="W266" s="81" t="str">
        <f aca="false">"/recipes/"&amp;VLOOKUP(U266,recipe_ingred_list!$A$2:$C$300,3,0)&amp;"/detail/"</f>
        <v>/recipes/bhopla-km/detail/</v>
      </c>
      <c r="X266" s="81" t="str">
        <f aca="false">J266</f>
        <v>Rai tel</v>
      </c>
      <c r="Y266" s="81" t="str">
        <f aca="false">R266</f>
        <v>rai oil</v>
      </c>
      <c r="Z266" s="94" t="n">
        <f aca="false">VLOOKUP(Y266,recipe_ingred_list!$D$2:$E$500,2,0)</f>
        <v>165</v>
      </c>
      <c r="AA266" s="61" t="n">
        <f aca="false">K266</f>
        <v>0</v>
      </c>
      <c r="AB266" s="61" t="n">
        <f aca="false">L266</f>
        <v>0</v>
      </c>
      <c r="AC266" s="61" t="n">
        <f aca="false">VLOOKUP(AB266,recipe_ingred_list!$K$2:$M$7,3,0)</f>
        <v>2</v>
      </c>
      <c r="AD266" s="61" t="n">
        <f aca="false">M266</f>
        <v>1.25</v>
      </c>
      <c r="AE266" s="61" t="str">
        <f aca="false">N266</f>
        <v>ltr</v>
      </c>
      <c r="AF266" s="61" t="n">
        <f aca="false">VLOOKUP(AE266,recipe_ingred_list!$K$16:$M$25,3,0)</f>
        <v>1</v>
      </c>
      <c r="AG266" s="61" t="n">
        <f aca="false">O266</f>
        <v>0</v>
      </c>
      <c r="AH266" s="61" t="n">
        <f aca="false">P266</f>
        <v>0</v>
      </c>
      <c r="AI266" s="61" t="n">
        <f aca="false">VLOOKUP(AH266,recipe_ingred_list!$K$29:$M$34,3,0)</f>
        <v>3</v>
      </c>
      <c r="AJ266" s="61" t="str">
        <f aca="false">IF(Q266="","",Q266)</f>
        <v/>
      </c>
      <c r="AK266" s="61" t="n">
        <f aca="false">AK265+1</f>
        <v>266</v>
      </c>
      <c r="AL266" s="61" t="str">
        <f aca="false">Y266</f>
        <v>rai oil</v>
      </c>
      <c r="AM266" s="81" t="str">
        <f aca="false">"a = Client().post('"&amp;W266&amp;"', {'recipe' : '"&amp;V266&amp;"', 'ingredient' : '"&amp;Z266&amp;"', 'name' : '"&amp;X266&amp;"', 'mass_unit' : '"&amp;AC266&amp;"', 'mass_quantity' : '"&amp;ROUND(AA266,3)&amp;"', 'volume_unit' : '"&amp;AF266&amp;"', 'volume_quantity' : '"&amp;ROUND(AD266,3)&amp;"', 'pieces_unit' : '"&amp;AI266&amp;"', 'pieces_quantity' : '"&amp;ROUND(AG266,3)&amp;"', 'cooking_notes' : '"&amp;AJ266&amp;"'}).status_code; print('%s :: %s :: %s :: %s :: %s' %(a,"&amp;G266&amp;",'"&amp;X266&amp;"','"&amp;Y266&amp;"','"&amp;U266&amp;"'))"</f>
        <v>a = Client().post('/recipes/bhopla-km/detail/', {'recipe' : '9', 'ingredient' : '165', 'name' : 'Rai tel', 'mass_unit' : '2', 'mass_quantity' : '0', 'volume_unit' : '1', 'volume_quantity' : '1.25', 'pieces_unit' : '3', 'pieces_quantity' : '0', 'cooking_notes' : ''}).status_code; print('%s :: %s :: %s :: %s :: %s' %(a,266,'Rai tel','rai oil','Bhopla KM'))</v>
      </c>
    </row>
    <row r="267" customFormat="false" ht="13.8" hidden="false" customHeight="false" outlineLevel="0" collapsed="false">
      <c r="G267" s="80" t="n">
        <v>267</v>
      </c>
      <c r="I267" s="82" t="s">
        <v>132</v>
      </c>
      <c r="J267" s="83" t="s">
        <v>603</v>
      </c>
      <c r="M267" s="61" t="n">
        <v>0.5</v>
      </c>
      <c r="N267" s="61" t="s">
        <v>20</v>
      </c>
      <c r="R267" s="82" t="str">
        <f aca="false">VLOOKUP(J267,ingredient!$N$4:$O$553,2,0)</f>
        <v>methi</v>
      </c>
      <c r="U267" s="81" t="str">
        <f aca="false">I267</f>
        <v>Bhopla KM</v>
      </c>
      <c r="V267" s="81" t="n">
        <f aca="false">VLOOKUP(U267,recipe_ingred_list!$A$2:$B$300,2,0)</f>
        <v>9</v>
      </c>
      <c r="W267" s="81" t="str">
        <f aca="false">"/recipes/"&amp;VLOOKUP(U267,recipe_ingred_list!$A$2:$C$300,3,0)&amp;"/detail/"</f>
        <v>/recipes/bhopla-km/detail/</v>
      </c>
      <c r="X267" s="81" t="str">
        <f aca="false">J267</f>
        <v>Methi</v>
      </c>
      <c r="Y267" s="81" t="str">
        <f aca="false">R267</f>
        <v>methi</v>
      </c>
      <c r="Z267" s="94" t="n">
        <f aca="false">VLOOKUP(Y267,recipe_ingred_list!$D$2:$E$500,2,0)</f>
        <v>144</v>
      </c>
      <c r="AA267" s="61" t="n">
        <f aca="false">K267</f>
        <v>0</v>
      </c>
      <c r="AB267" s="61" t="n">
        <f aca="false">L267</f>
        <v>0</v>
      </c>
      <c r="AC267" s="61" t="n">
        <f aca="false">VLOOKUP(AB267,recipe_ingred_list!$K$2:$M$7,3,0)</f>
        <v>2</v>
      </c>
      <c r="AD267" s="61" t="n">
        <f aca="false">M267</f>
        <v>0.5</v>
      </c>
      <c r="AE267" s="61" t="str">
        <f aca="false">N267</f>
        <v>cup</v>
      </c>
      <c r="AF267" s="61" t="n">
        <f aca="false">VLOOKUP(AE267,recipe_ingred_list!$K$16:$M$25,3,0)</f>
        <v>5</v>
      </c>
      <c r="AG267" s="61" t="n">
        <f aca="false">O267</f>
        <v>0</v>
      </c>
      <c r="AH267" s="61" t="n">
        <f aca="false">P267</f>
        <v>0</v>
      </c>
      <c r="AI267" s="61" t="n">
        <f aca="false">VLOOKUP(AH267,recipe_ingred_list!$K$29:$M$34,3,0)</f>
        <v>3</v>
      </c>
      <c r="AJ267" s="61" t="str">
        <f aca="false">IF(Q267="","",Q267)</f>
        <v/>
      </c>
      <c r="AK267" s="61" t="n">
        <f aca="false">AK266+1</f>
        <v>267</v>
      </c>
      <c r="AL267" s="61" t="str">
        <f aca="false">Y267</f>
        <v>methi</v>
      </c>
      <c r="AM267" s="81" t="str">
        <f aca="false">"a = Client().post('"&amp;W267&amp;"', {'recipe' : '"&amp;V267&amp;"', 'ingredient' : '"&amp;Z267&amp;"', 'name' : '"&amp;X267&amp;"', 'mass_unit' : '"&amp;AC267&amp;"', 'mass_quantity' : '"&amp;ROUND(AA267,3)&amp;"', 'volume_unit' : '"&amp;AF267&amp;"', 'volume_quantity' : '"&amp;ROUND(AD267,3)&amp;"', 'pieces_unit' : '"&amp;AI267&amp;"', 'pieces_quantity' : '"&amp;ROUND(AG267,3)&amp;"', 'cooking_notes' : '"&amp;AJ267&amp;"'}).status_code; print('%s :: %s :: %s :: %s :: %s' %(a,"&amp;G267&amp;",'"&amp;X267&amp;"','"&amp;Y267&amp;"','"&amp;U267&amp;"'))"</f>
        <v>a = Client().post('/recipes/bhopla-km/detail/', {'recipe' : '9', 'ingredient' : '144', 'name' : 'Methi', 'mass_unit' : '2', 'mass_quantity' : '0', 'volume_unit' : '5', 'volume_quantity' : '0.5', 'pieces_unit' : '3', 'pieces_quantity' : '0', 'cooking_notes' : ''}).status_code; print('%s :: %s :: %s :: %s :: %s' %(a,267,'Methi','methi','Bhopla KM'))</v>
      </c>
    </row>
    <row r="268" customFormat="false" ht="13.8" hidden="false" customHeight="false" outlineLevel="0" collapsed="false">
      <c r="G268" s="80" t="n">
        <v>268</v>
      </c>
      <c r="I268" s="82" t="s">
        <v>132</v>
      </c>
      <c r="J268" s="83" t="s">
        <v>14</v>
      </c>
      <c r="M268" s="61" t="n">
        <v>0.5</v>
      </c>
      <c r="N268" s="61" t="s">
        <v>20</v>
      </c>
      <c r="R268" s="82" t="str">
        <f aca="false">VLOOKUP(J268,ingredient!$N$4:$O$553,2,0)</f>
        <v>jeera</v>
      </c>
      <c r="U268" s="81" t="str">
        <f aca="false">I268</f>
        <v>Bhopla KM</v>
      </c>
      <c r="V268" s="81" t="n">
        <f aca="false">VLOOKUP(U268,recipe_ingred_list!$A$2:$B$300,2,0)</f>
        <v>9</v>
      </c>
      <c r="W268" s="81" t="str">
        <f aca="false">"/recipes/"&amp;VLOOKUP(U268,recipe_ingred_list!$A$2:$C$300,3,0)&amp;"/detail/"</f>
        <v>/recipes/bhopla-km/detail/</v>
      </c>
      <c r="X268" s="81" t="str">
        <f aca="false">J268</f>
        <v>Jeera</v>
      </c>
      <c r="Y268" s="81" t="str">
        <f aca="false">R268</f>
        <v>jeera</v>
      </c>
      <c r="Z268" s="94" t="n">
        <f aca="false">VLOOKUP(Y268,recipe_ingred_list!$D$2:$E$500,2,0)</f>
        <v>102</v>
      </c>
      <c r="AA268" s="61" t="n">
        <f aca="false">K268</f>
        <v>0</v>
      </c>
      <c r="AB268" s="61" t="n">
        <f aca="false">L268</f>
        <v>0</v>
      </c>
      <c r="AC268" s="61" t="n">
        <f aca="false">VLOOKUP(AB268,recipe_ingred_list!$K$2:$M$7,3,0)</f>
        <v>2</v>
      </c>
      <c r="AD268" s="61" t="n">
        <f aca="false">M268</f>
        <v>0.5</v>
      </c>
      <c r="AE268" s="61" t="str">
        <f aca="false">N268</f>
        <v>cup</v>
      </c>
      <c r="AF268" s="61" t="n">
        <f aca="false">VLOOKUP(AE268,recipe_ingred_list!$K$16:$M$25,3,0)</f>
        <v>5</v>
      </c>
      <c r="AG268" s="61" t="n">
        <f aca="false">O268</f>
        <v>0</v>
      </c>
      <c r="AH268" s="61" t="n">
        <f aca="false">P268</f>
        <v>0</v>
      </c>
      <c r="AI268" s="61" t="n">
        <f aca="false">VLOOKUP(AH268,recipe_ingred_list!$K$29:$M$34,3,0)</f>
        <v>3</v>
      </c>
      <c r="AJ268" s="61" t="str">
        <f aca="false">IF(Q268="","",Q268)</f>
        <v/>
      </c>
      <c r="AK268" s="61" t="n">
        <f aca="false">AK267+1</f>
        <v>268</v>
      </c>
      <c r="AL268" s="61" t="str">
        <f aca="false">Y268</f>
        <v>jeera</v>
      </c>
      <c r="AM268" s="81" t="str">
        <f aca="false">"a = Client().post('"&amp;W268&amp;"', {'recipe' : '"&amp;V268&amp;"', 'ingredient' : '"&amp;Z268&amp;"', 'name' : '"&amp;X268&amp;"', 'mass_unit' : '"&amp;AC268&amp;"', 'mass_quantity' : '"&amp;ROUND(AA268,3)&amp;"', 'volume_unit' : '"&amp;AF268&amp;"', 'volume_quantity' : '"&amp;ROUND(AD268,3)&amp;"', 'pieces_unit' : '"&amp;AI268&amp;"', 'pieces_quantity' : '"&amp;ROUND(AG268,3)&amp;"', 'cooking_notes' : '"&amp;AJ268&amp;"'}).status_code; print('%s :: %s :: %s :: %s :: %s' %(a,"&amp;G268&amp;",'"&amp;X268&amp;"','"&amp;Y268&amp;"','"&amp;U268&amp;"'))"</f>
        <v>a = Client().post('/recipes/bhopla-km/detail/', {'recipe' : '9', 'ingredient' : '102', 'name' : 'Jeera', 'mass_unit' : '2', 'mass_quantity' : '0', 'volume_unit' : '5', 'volume_quantity' : '0.5', 'pieces_unit' : '3', 'pieces_quantity' : '0', 'cooking_notes' : ''}).status_code; print('%s :: %s :: %s :: %s :: %s' %(a,268,'Jeera','jeera','Bhopla KM'))</v>
      </c>
    </row>
    <row r="269" customFormat="false" ht="13.8" hidden="false" customHeight="false" outlineLevel="0" collapsed="false">
      <c r="G269" s="80" t="n">
        <v>269</v>
      </c>
      <c r="I269" s="82" t="s">
        <v>132</v>
      </c>
      <c r="J269" s="83" t="s">
        <v>604</v>
      </c>
      <c r="M269" s="61" t="n">
        <v>0.5</v>
      </c>
      <c r="N269" s="61" t="s">
        <v>20</v>
      </c>
      <c r="R269" s="82" t="str">
        <f aca="false">VLOOKUP(J269,ingredient!$N$4:$O$553,2,0)</f>
        <v>badi sauf</v>
      </c>
      <c r="U269" s="81" t="str">
        <f aca="false">I269</f>
        <v>Bhopla KM</v>
      </c>
      <c r="V269" s="81" t="n">
        <f aca="false">VLOOKUP(U269,recipe_ingred_list!$A$2:$B$300,2,0)</f>
        <v>9</v>
      </c>
      <c r="W269" s="81" t="str">
        <f aca="false">"/recipes/"&amp;VLOOKUP(U269,recipe_ingred_list!$A$2:$C$300,3,0)&amp;"/detail/"</f>
        <v>/recipes/bhopla-km/detail/</v>
      </c>
      <c r="X269" s="81" t="str">
        <f aca="false">J269</f>
        <v>Badisaunf</v>
      </c>
      <c r="Y269" s="81" t="str">
        <f aca="false">R269</f>
        <v>badi sauf</v>
      </c>
      <c r="Z269" s="94" t="n">
        <f aca="false">VLOOKUP(Y269,recipe_ingred_list!$D$2:$E$500,2,0)</f>
        <v>17</v>
      </c>
      <c r="AA269" s="61" t="n">
        <f aca="false">K269</f>
        <v>0</v>
      </c>
      <c r="AB269" s="61" t="n">
        <f aca="false">L269</f>
        <v>0</v>
      </c>
      <c r="AC269" s="61" t="n">
        <f aca="false">VLOOKUP(AB269,recipe_ingred_list!$K$2:$M$7,3,0)</f>
        <v>2</v>
      </c>
      <c r="AD269" s="61" t="n">
        <f aca="false">M269</f>
        <v>0.5</v>
      </c>
      <c r="AE269" s="61" t="str">
        <f aca="false">N269</f>
        <v>cup</v>
      </c>
      <c r="AF269" s="61" t="n">
        <f aca="false">VLOOKUP(AE269,recipe_ingred_list!$K$16:$M$25,3,0)</f>
        <v>5</v>
      </c>
      <c r="AG269" s="61" t="n">
        <f aca="false">O269</f>
        <v>0</v>
      </c>
      <c r="AH269" s="61" t="n">
        <f aca="false">P269</f>
        <v>0</v>
      </c>
      <c r="AI269" s="61" t="n">
        <f aca="false">VLOOKUP(AH269,recipe_ingred_list!$K$29:$M$34,3,0)</f>
        <v>3</v>
      </c>
      <c r="AJ269" s="61" t="str">
        <f aca="false">IF(Q269="","",Q269)</f>
        <v/>
      </c>
      <c r="AK269" s="61" t="n">
        <f aca="false">AK268+1</f>
        <v>269</v>
      </c>
      <c r="AL269" s="61" t="str">
        <f aca="false">Y269</f>
        <v>badi sauf</v>
      </c>
      <c r="AM269" s="81" t="str">
        <f aca="false">"a = Client().post('"&amp;W269&amp;"', {'recipe' : '"&amp;V269&amp;"', 'ingredient' : '"&amp;Z269&amp;"', 'name' : '"&amp;X269&amp;"', 'mass_unit' : '"&amp;AC269&amp;"', 'mass_quantity' : '"&amp;ROUND(AA269,3)&amp;"', 'volume_unit' : '"&amp;AF269&amp;"', 'volume_quantity' : '"&amp;ROUND(AD269,3)&amp;"', 'pieces_unit' : '"&amp;AI269&amp;"', 'pieces_quantity' : '"&amp;ROUND(AG269,3)&amp;"', 'cooking_notes' : '"&amp;AJ269&amp;"'}).status_code; print('%s :: %s :: %s :: %s :: %s' %(a,"&amp;G269&amp;",'"&amp;X269&amp;"','"&amp;Y269&amp;"','"&amp;U269&amp;"'))"</f>
        <v>a = Client().post('/recipes/bhopla-km/detail/', {'recipe' : '9', 'ingredient' : '17', 'name' : 'Badisaunf', 'mass_unit' : '2', 'mass_quantity' : '0', 'volume_unit' : '5', 'volume_quantity' : '0.5', 'pieces_unit' : '3', 'pieces_quantity' : '0', 'cooking_notes' : ''}).status_code; print('%s :: %s :: %s :: %s :: %s' %(a,269,'Badisaunf','badi sauf','Bhopla KM'))</v>
      </c>
    </row>
    <row r="270" customFormat="false" ht="13.8" hidden="false" customHeight="false" outlineLevel="0" collapsed="false">
      <c r="G270" s="80" t="n">
        <v>270</v>
      </c>
      <c r="I270" s="82" t="s">
        <v>132</v>
      </c>
      <c r="J270" s="83" t="s">
        <v>564</v>
      </c>
      <c r="M270" s="61" t="n">
        <v>0.4</v>
      </c>
      <c r="N270" s="61" t="s">
        <v>20</v>
      </c>
      <c r="R270" s="82" t="str">
        <f aca="false">VLOOKUP(J270,ingredient!$N$4:$O$553,2,0)</f>
        <v>haldi</v>
      </c>
      <c r="U270" s="81" t="str">
        <f aca="false">I270</f>
        <v>Bhopla KM</v>
      </c>
      <c r="V270" s="81" t="n">
        <f aca="false">VLOOKUP(U270,recipe_ingred_list!$A$2:$B$300,2,0)</f>
        <v>9</v>
      </c>
      <c r="W270" s="81" t="str">
        <f aca="false">"/recipes/"&amp;VLOOKUP(U270,recipe_ingred_list!$A$2:$C$300,3,0)&amp;"/detail/"</f>
        <v>/recipes/bhopla-km/detail/</v>
      </c>
      <c r="X270" s="81" t="str">
        <f aca="false">J270</f>
        <v>Haldi</v>
      </c>
      <c r="Y270" s="81" t="str">
        <f aca="false">R270</f>
        <v>haldi</v>
      </c>
      <c r="Z270" s="94" t="n">
        <f aca="false">VLOOKUP(Y270,recipe_ingred_list!$D$2:$E$500,2,0)</f>
        <v>91</v>
      </c>
      <c r="AA270" s="61" t="n">
        <f aca="false">K270</f>
        <v>0</v>
      </c>
      <c r="AB270" s="61" t="n">
        <f aca="false">L270</f>
        <v>0</v>
      </c>
      <c r="AC270" s="61" t="n">
        <f aca="false">VLOOKUP(AB270,recipe_ingred_list!$K$2:$M$7,3,0)</f>
        <v>2</v>
      </c>
      <c r="AD270" s="61" t="n">
        <f aca="false">M270</f>
        <v>0.4</v>
      </c>
      <c r="AE270" s="61" t="str">
        <f aca="false">N270</f>
        <v>cup</v>
      </c>
      <c r="AF270" s="61" t="n">
        <f aca="false">VLOOKUP(AE270,recipe_ingred_list!$K$16:$M$25,3,0)</f>
        <v>5</v>
      </c>
      <c r="AG270" s="61" t="n">
        <f aca="false">O270</f>
        <v>0</v>
      </c>
      <c r="AH270" s="61" t="n">
        <f aca="false">P270</f>
        <v>0</v>
      </c>
      <c r="AI270" s="61" t="n">
        <f aca="false">VLOOKUP(AH270,recipe_ingred_list!$K$29:$M$34,3,0)</f>
        <v>3</v>
      </c>
      <c r="AJ270" s="61" t="str">
        <f aca="false">IF(Q270="","",Q270)</f>
        <v/>
      </c>
      <c r="AK270" s="61" t="n">
        <f aca="false">AK269+1</f>
        <v>270</v>
      </c>
      <c r="AL270" s="61" t="str">
        <f aca="false">Y270</f>
        <v>haldi</v>
      </c>
      <c r="AM270" s="81" t="str">
        <f aca="false">"a = Client().post('"&amp;W270&amp;"', {'recipe' : '"&amp;V270&amp;"', 'ingredient' : '"&amp;Z270&amp;"', 'name' : '"&amp;X270&amp;"', 'mass_unit' : '"&amp;AC270&amp;"', 'mass_quantity' : '"&amp;ROUND(AA270,3)&amp;"', 'volume_unit' : '"&amp;AF270&amp;"', 'volume_quantity' : '"&amp;ROUND(AD270,3)&amp;"', 'pieces_unit' : '"&amp;AI270&amp;"', 'pieces_quantity' : '"&amp;ROUND(AG270,3)&amp;"', 'cooking_notes' : '"&amp;AJ270&amp;"'}).status_code; print('%s :: %s :: %s :: %s :: %s' %(a,"&amp;G270&amp;",'"&amp;X270&amp;"','"&amp;Y270&amp;"','"&amp;U270&amp;"'))"</f>
        <v>a = Client().post('/recipes/bhopla-km/detail/', {'recipe' : '9', 'ingredient' : '91', 'name' : 'Haldi', 'mass_unit' : '2', 'mass_quantity' : '0', 'volume_unit' : '5', 'volume_quantity' : '0.4', 'pieces_unit' : '3', 'pieces_quantity' : '0', 'cooking_notes' : ''}).status_code; print('%s :: %s :: %s :: %s :: %s' %(a,270,'Haldi','haldi','Bhopla KM'))</v>
      </c>
    </row>
    <row r="271" customFormat="false" ht="13.8" hidden="false" customHeight="false" outlineLevel="0" collapsed="false">
      <c r="G271" s="80" t="n">
        <v>271</v>
      </c>
      <c r="I271" s="82" t="s">
        <v>132</v>
      </c>
      <c r="J271" s="83" t="s">
        <v>568</v>
      </c>
      <c r="M271" s="61" t="n">
        <v>1</v>
      </c>
      <c r="N271" s="61" t="s">
        <v>20</v>
      </c>
      <c r="R271" s="82" t="str">
        <f aca="false">VLOOKUP(J271,ingredient!$N$4:$O$553,2,0)</f>
        <v>dhaniya powder</v>
      </c>
      <c r="U271" s="81" t="str">
        <f aca="false">I271</f>
        <v>Bhopla KM</v>
      </c>
      <c r="V271" s="81" t="n">
        <f aca="false">VLOOKUP(U271,recipe_ingred_list!$A$2:$B$300,2,0)</f>
        <v>9</v>
      </c>
      <c r="W271" s="81" t="str">
        <f aca="false">"/recipes/"&amp;VLOOKUP(U271,recipe_ingred_list!$A$2:$C$300,3,0)&amp;"/detail/"</f>
        <v>/recipes/bhopla-km/detail/</v>
      </c>
      <c r="X271" s="81" t="str">
        <f aca="false">J271</f>
        <v>Dhania powder</v>
      </c>
      <c r="Y271" s="81" t="str">
        <f aca="false">R271</f>
        <v>dhaniya powder</v>
      </c>
      <c r="Z271" s="94" t="n">
        <f aca="false">VLOOKUP(Y271,recipe_ingred_list!$D$2:$E$500,2,0)</f>
        <v>67</v>
      </c>
      <c r="AA271" s="61" t="n">
        <f aca="false">K271</f>
        <v>0</v>
      </c>
      <c r="AB271" s="61" t="n">
        <f aca="false">L271</f>
        <v>0</v>
      </c>
      <c r="AC271" s="61" t="n">
        <f aca="false">VLOOKUP(AB271,recipe_ingred_list!$K$2:$M$7,3,0)</f>
        <v>2</v>
      </c>
      <c r="AD271" s="61" t="n">
        <f aca="false">M271</f>
        <v>1</v>
      </c>
      <c r="AE271" s="61" t="str">
        <f aca="false">N271</f>
        <v>cup</v>
      </c>
      <c r="AF271" s="61" t="n">
        <f aca="false">VLOOKUP(AE271,recipe_ingred_list!$K$16:$M$25,3,0)</f>
        <v>5</v>
      </c>
      <c r="AG271" s="61" t="n">
        <f aca="false">O271</f>
        <v>0</v>
      </c>
      <c r="AH271" s="61" t="n">
        <f aca="false">P271</f>
        <v>0</v>
      </c>
      <c r="AI271" s="61" t="n">
        <f aca="false">VLOOKUP(AH271,recipe_ingred_list!$K$29:$M$34,3,0)</f>
        <v>3</v>
      </c>
      <c r="AJ271" s="61" t="str">
        <f aca="false">IF(Q271="","",Q271)</f>
        <v/>
      </c>
      <c r="AK271" s="61" t="n">
        <f aca="false">AK270+1</f>
        <v>271</v>
      </c>
      <c r="AL271" s="61" t="str">
        <f aca="false">Y271</f>
        <v>dhaniya powder</v>
      </c>
      <c r="AM271" s="81" t="str">
        <f aca="false">"a = Client().post('"&amp;W271&amp;"', {'recipe' : '"&amp;V271&amp;"', 'ingredient' : '"&amp;Z271&amp;"', 'name' : '"&amp;X271&amp;"', 'mass_unit' : '"&amp;AC271&amp;"', 'mass_quantity' : '"&amp;ROUND(AA271,3)&amp;"', 'volume_unit' : '"&amp;AF271&amp;"', 'volume_quantity' : '"&amp;ROUND(AD271,3)&amp;"', 'pieces_unit' : '"&amp;AI271&amp;"', 'pieces_quantity' : '"&amp;ROUND(AG271,3)&amp;"', 'cooking_notes' : '"&amp;AJ271&amp;"'}).status_code; print('%s :: %s :: %s :: %s :: %s' %(a,"&amp;G271&amp;",'"&amp;X271&amp;"','"&amp;Y271&amp;"','"&amp;U271&amp;"'))"</f>
        <v>a = Client().post('/recipes/bhopla-km/detail/', {'recipe' : '9', 'ingredient' : '67', 'name' : 'Dhania powder', 'mass_unit' : '2', 'mass_quantity' : '0', 'volume_unit' : '5', 'volume_quantity' : '1', 'pieces_unit' : '3', 'pieces_quantity' : '0', 'cooking_notes' : ''}).status_code; print('%s :: %s :: %s :: %s :: %s' %(a,271,'Dhania powder','dhaniya powder','Bhopla KM'))</v>
      </c>
    </row>
    <row r="272" customFormat="false" ht="13.8" hidden="false" customHeight="false" outlineLevel="0" collapsed="false">
      <c r="G272" s="80" t="n">
        <v>272</v>
      </c>
      <c r="I272" s="82" t="s">
        <v>132</v>
      </c>
      <c r="J272" s="83" t="s">
        <v>596</v>
      </c>
      <c r="M272" s="61" t="n">
        <v>0.5</v>
      </c>
      <c r="N272" s="61" t="s">
        <v>20</v>
      </c>
      <c r="R272" s="82" t="str">
        <f aca="false">VLOOKUP(J272,ingredient!$N$4:$O$553,2,0)</f>
        <v>madrasi mirchi powder</v>
      </c>
      <c r="U272" s="81" t="str">
        <f aca="false">I272</f>
        <v>Bhopla KM</v>
      </c>
      <c r="V272" s="81" t="n">
        <f aca="false">VLOOKUP(U272,recipe_ingred_list!$A$2:$B$300,2,0)</f>
        <v>9</v>
      </c>
      <c r="W272" s="81" t="str">
        <f aca="false">"/recipes/"&amp;VLOOKUP(U272,recipe_ingred_list!$A$2:$C$300,3,0)&amp;"/detail/"</f>
        <v>/recipes/bhopla-km/detail/</v>
      </c>
      <c r="X272" s="81" t="str">
        <f aca="false">J272</f>
        <v>Red chilli powder</v>
      </c>
      <c r="Y272" s="81" t="str">
        <f aca="false">R272</f>
        <v>madrasi mirchi powder</v>
      </c>
      <c r="Z272" s="94" t="n">
        <f aca="false">VLOOKUP(Y272,recipe_ingred_list!$D$2:$E$500,2,0)</f>
        <v>135</v>
      </c>
      <c r="AA272" s="61" t="n">
        <f aca="false">K272</f>
        <v>0</v>
      </c>
      <c r="AB272" s="61" t="n">
        <f aca="false">L272</f>
        <v>0</v>
      </c>
      <c r="AC272" s="61" t="n">
        <f aca="false">VLOOKUP(AB272,recipe_ingred_list!$K$2:$M$7,3,0)</f>
        <v>2</v>
      </c>
      <c r="AD272" s="61" t="n">
        <f aca="false">M272</f>
        <v>0.5</v>
      </c>
      <c r="AE272" s="61" t="str">
        <f aca="false">N272</f>
        <v>cup</v>
      </c>
      <c r="AF272" s="61" t="n">
        <f aca="false">VLOOKUP(AE272,recipe_ingred_list!$K$16:$M$25,3,0)</f>
        <v>5</v>
      </c>
      <c r="AG272" s="61" t="n">
        <f aca="false">O272</f>
        <v>0</v>
      </c>
      <c r="AH272" s="61" t="n">
        <f aca="false">P272</f>
        <v>0</v>
      </c>
      <c r="AI272" s="61" t="n">
        <f aca="false">VLOOKUP(AH272,recipe_ingred_list!$K$29:$M$34,3,0)</f>
        <v>3</v>
      </c>
      <c r="AJ272" s="61" t="str">
        <f aca="false">IF(Q272="","",Q272)</f>
        <v/>
      </c>
      <c r="AK272" s="61" t="n">
        <f aca="false">AK271+1</f>
        <v>272</v>
      </c>
      <c r="AL272" s="61" t="str">
        <f aca="false">Y272</f>
        <v>madrasi mirchi powder</v>
      </c>
      <c r="AM272" s="81" t="str">
        <f aca="false">"a = Client().post('"&amp;W272&amp;"', {'recipe' : '"&amp;V272&amp;"', 'ingredient' : '"&amp;Z272&amp;"', 'name' : '"&amp;X272&amp;"', 'mass_unit' : '"&amp;AC272&amp;"', 'mass_quantity' : '"&amp;ROUND(AA272,3)&amp;"', 'volume_unit' : '"&amp;AF272&amp;"', 'volume_quantity' : '"&amp;ROUND(AD272,3)&amp;"', 'pieces_unit' : '"&amp;AI272&amp;"', 'pieces_quantity' : '"&amp;ROUND(AG272,3)&amp;"', 'cooking_notes' : '"&amp;AJ272&amp;"'}).status_code; print('%s :: %s :: %s :: %s :: %s' %(a,"&amp;G272&amp;",'"&amp;X272&amp;"','"&amp;Y272&amp;"','"&amp;U272&amp;"'))"</f>
        <v>a = Client().post('/recipes/bhopla-km/detail/', {'recipe' : '9', 'ingredient' : '135', 'name' : 'Red chilli powder', 'mass_unit' : '2', 'mass_quantity' : '0', 'volume_unit' : '5', 'volume_quantity' : '0.5', 'pieces_unit' : '3', 'pieces_quantity' : '0', 'cooking_notes' : ''}).status_code; print('%s :: %s :: %s :: %s :: %s' %(a,272,'Red chilli powder','madrasi mirchi powder','Bhopla KM'))</v>
      </c>
    </row>
    <row r="273" customFormat="false" ht="13.8" hidden="false" customHeight="false" outlineLevel="0" collapsed="false">
      <c r="G273" s="80" t="n">
        <v>273</v>
      </c>
      <c r="I273" s="82" t="s">
        <v>132</v>
      </c>
      <c r="J273" s="83" t="s">
        <v>605</v>
      </c>
      <c r="M273" s="61" t="n">
        <v>0.35</v>
      </c>
      <c r="N273" s="61" t="s">
        <v>20</v>
      </c>
      <c r="R273" s="82" t="str">
        <f aca="false">VLOOKUP(J273,ingredient!$N$4:$O$553,2,0)</f>
        <v>damodar p garam masala</v>
      </c>
      <c r="U273" s="81" t="str">
        <f aca="false">I273</f>
        <v>Bhopla KM</v>
      </c>
      <c r="V273" s="81" t="n">
        <f aca="false">VLOOKUP(U273,recipe_ingred_list!$A$2:$B$300,2,0)</f>
        <v>9</v>
      </c>
      <c r="W273" s="81" t="str">
        <f aca="false">"/recipes/"&amp;VLOOKUP(U273,recipe_ingred_list!$A$2:$C$300,3,0)&amp;"/detail/"</f>
        <v>/recipes/bhopla-km/detail/</v>
      </c>
      <c r="X273" s="81" t="str">
        <f aca="false">J273</f>
        <v>Damodar P garam masala</v>
      </c>
      <c r="Y273" s="81" t="str">
        <f aca="false">R273</f>
        <v>damodar p garam masala</v>
      </c>
      <c r="Z273" s="94" t="n">
        <f aca="false">VLOOKUP(Y273,recipe_ingred_list!$D$2:$E$500,2,0)</f>
        <v>63</v>
      </c>
      <c r="AA273" s="61" t="n">
        <f aca="false">K273</f>
        <v>0</v>
      </c>
      <c r="AB273" s="61" t="n">
        <f aca="false">L273</f>
        <v>0</v>
      </c>
      <c r="AC273" s="61" t="n">
        <f aca="false">VLOOKUP(AB273,recipe_ingred_list!$K$2:$M$7,3,0)</f>
        <v>2</v>
      </c>
      <c r="AD273" s="61" t="n">
        <f aca="false">M273</f>
        <v>0.35</v>
      </c>
      <c r="AE273" s="61" t="str">
        <f aca="false">N273</f>
        <v>cup</v>
      </c>
      <c r="AF273" s="61" t="n">
        <f aca="false">VLOOKUP(AE273,recipe_ingred_list!$K$16:$M$25,3,0)</f>
        <v>5</v>
      </c>
      <c r="AG273" s="61" t="n">
        <f aca="false">O273</f>
        <v>0</v>
      </c>
      <c r="AH273" s="61" t="n">
        <f aca="false">P273</f>
        <v>0</v>
      </c>
      <c r="AI273" s="61" t="n">
        <f aca="false">VLOOKUP(AH273,recipe_ingred_list!$K$29:$M$34,3,0)</f>
        <v>3</v>
      </c>
      <c r="AJ273" s="61" t="str">
        <f aca="false">IF(Q273="","",Q273)</f>
        <v/>
      </c>
      <c r="AK273" s="61" t="n">
        <f aca="false">AK272+1</f>
        <v>273</v>
      </c>
      <c r="AL273" s="61" t="str">
        <f aca="false">Y273</f>
        <v>damodar p garam masala</v>
      </c>
      <c r="AM273" s="81" t="str">
        <f aca="false">"a = Client().post('"&amp;W273&amp;"', {'recipe' : '"&amp;V273&amp;"', 'ingredient' : '"&amp;Z273&amp;"', 'name' : '"&amp;X273&amp;"', 'mass_unit' : '"&amp;AC273&amp;"', 'mass_quantity' : '"&amp;ROUND(AA273,3)&amp;"', 'volume_unit' : '"&amp;AF273&amp;"', 'volume_quantity' : '"&amp;ROUND(AD273,3)&amp;"', 'pieces_unit' : '"&amp;AI273&amp;"', 'pieces_quantity' : '"&amp;ROUND(AG273,3)&amp;"', 'cooking_notes' : '"&amp;AJ273&amp;"'}).status_code; print('%s :: %s :: %s :: %s :: %s' %(a,"&amp;G273&amp;",'"&amp;X273&amp;"','"&amp;Y273&amp;"','"&amp;U273&amp;"'))"</f>
        <v>a = Client().post('/recipes/bhopla-km/detail/', {'recipe' : '9', 'ingredient' : '63', 'name' : 'Damodar P garam masala', 'mass_unit' : '2', 'mass_quantity' : '0', 'volume_unit' : '5', 'volume_quantity' : '0.35', 'pieces_unit' : '3', 'pieces_quantity' : '0', 'cooking_notes' : ''}).status_code; print('%s :: %s :: %s :: %s :: %s' %(a,273,'Damodar P garam masala','damodar p garam masala','Bhopla KM'))</v>
      </c>
    </row>
    <row r="274" customFormat="false" ht="13.8" hidden="false" customHeight="false" outlineLevel="0" collapsed="false">
      <c r="G274" s="80" t="n">
        <v>274</v>
      </c>
      <c r="I274" s="82" t="s">
        <v>132</v>
      </c>
      <c r="J274" s="83" t="s">
        <v>72</v>
      </c>
      <c r="M274" s="61" t="n">
        <v>0.7</v>
      </c>
      <c r="N274" s="61" t="s">
        <v>20</v>
      </c>
      <c r="R274" s="82" t="str">
        <f aca="false">VLOOKUP(J274,ingredient!$N$4:$O$553,2,0)</f>
        <v>everest pulav masala</v>
      </c>
      <c r="U274" s="81" t="str">
        <f aca="false">I274</f>
        <v>Bhopla KM</v>
      </c>
      <c r="V274" s="81" t="n">
        <f aca="false">VLOOKUP(U274,recipe_ingred_list!$A$2:$B$300,2,0)</f>
        <v>9</v>
      </c>
      <c r="W274" s="81" t="str">
        <f aca="false">"/recipes/"&amp;VLOOKUP(U274,recipe_ingred_list!$A$2:$C$300,3,0)&amp;"/detail/"</f>
        <v>/recipes/bhopla-km/detail/</v>
      </c>
      <c r="X274" s="81" t="str">
        <f aca="false">J274</f>
        <v>Everest pulao masala</v>
      </c>
      <c r="Y274" s="81" t="str">
        <f aca="false">R274</f>
        <v>everest pulav masala</v>
      </c>
      <c r="Z274" s="94" t="n">
        <f aca="false">VLOOKUP(Y274,recipe_ingred_list!$D$2:$E$500,2,0)</f>
        <v>74</v>
      </c>
      <c r="AA274" s="61" t="n">
        <f aca="false">K274</f>
        <v>0</v>
      </c>
      <c r="AB274" s="61" t="n">
        <f aca="false">L274</f>
        <v>0</v>
      </c>
      <c r="AC274" s="61" t="n">
        <f aca="false">VLOOKUP(AB274,recipe_ingred_list!$K$2:$M$7,3,0)</f>
        <v>2</v>
      </c>
      <c r="AD274" s="61" t="n">
        <f aca="false">M274</f>
        <v>0.7</v>
      </c>
      <c r="AE274" s="61" t="str">
        <f aca="false">N274</f>
        <v>cup</v>
      </c>
      <c r="AF274" s="61" t="n">
        <f aca="false">VLOOKUP(AE274,recipe_ingred_list!$K$16:$M$25,3,0)</f>
        <v>5</v>
      </c>
      <c r="AG274" s="61" t="n">
        <f aca="false">O274</f>
        <v>0</v>
      </c>
      <c r="AH274" s="61" t="n">
        <f aca="false">P274</f>
        <v>0</v>
      </c>
      <c r="AI274" s="61" t="n">
        <f aca="false">VLOOKUP(AH274,recipe_ingred_list!$K$29:$M$34,3,0)</f>
        <v>3</v>
      </c>
      <c r="AJ274" s="61" t="str">
        <f aca="false">IF(Q274="","",Q274)</f>
        <v/>
      </c>
      <c r="AK274" s="61" t="n">
        <f aca="false">AK273+1</f>
        <v>274</v>
      </c>
      <c r="AL274" s="61" t="str">
        <f aca="false">Y274</f>
        <v>everest pulav masala</v>
      </c>
      <c r="AM274" s="81" t="str">
        <f aca="false">"a = Client().post('"&amp;W274&amp;"', {'recipe' : '"&amp;V274&amp;"', 'ingredient' : '"&amp;Z274&amp;"', 'name' : '"&amp;X274&amp;"', 'mass_unit' : '"&amp;AC274&amp;"', 'mass_quantity' : '"&amp;ROUND(AA274,3)&amp;"', 'volume_unit' : '"&amp;AF274&amp;"', 'volume_quantity' : '"&amp;ROUND(AD274,3)&amp;"', 'pieces_unit' : '"&amp;AI274&amp;"', 'pieces_quantity' : '"&amp;ROUND(AG274,3)&amp;"', 'cooking_notes' : '"&amp;AJ274&amp;"'}).status_code; print('%s :: %s :: %s :: %s :: %s' %(a,"&amp;G274&amp;",'"&amp;X274&amp;"','"&amp;Y274&amp;"','"&amp;U274&amp;"'))"</f>
        <v>a = Client().post('/recipes/bhopla-km/detail/', {'recipe' : '9', 'ingredient' : '74', 'name' : 'Everest pulao masala', 'mass_unit' : '2', 'mass_quantity' : '0', 'volume_unit' : '5', 'volume_quantity' : '0.7', 'pieces_unit' : '3', 'pieces_quantity' : '0', 'cooking_notes' : ''}).status_code; print('%s :: %s :: %s :: %s :: %s' %(a,274,'Everest pulao masala','everest pulav masala','Bhopla KM'))</v>
      </c>
    </row>
    <row r="275" customFormat="false" ht="13.8" hidden="false" customHeight="false" outlineLevel="0" collapsed="false">
      <c r="G275" s="80" t="n">
        <v>275</v>
      </c>
      <c r="I275" s="82" t="s">
        <v>132</v>
      </c>
      <c r="J275" s="83" t="s">
        <v>571</v>
      </c>
      <c r="M275" s="61" t="n">
        <v>0.6</v>
      </c>
      <c r="N275" s="61" t="s">
        <v>13</v>
      </c>
      <c r="R275" s="82" t="str">
        <f aca="false">VLOOKUP(J275,ingredient!$N$4:$O$553,2,0)</f>
        <v>sugar</v>
      </c>
      <c r="U275" s="81" t="str">
        <f aca="false">I275</f>
        <v>Bhopla KM</v>
      </c>
      <c r="V275" s="81" t="n">
        <f aca="false">VLOOKUP(U275,recipe_ingred_list!$A$2:$B$300,2,0)</f>
        <v>9</v>
      </c>
      <c r="W275" s="81" t="str">
        <f aca="false">"/recipes/"&amp;VLOOKUP(U275,recipe_ingred_list!$A$2:$C$300,3,0)&amp;"/detail/"</f>
        <v>/recipes/bhopla-km/detail/</v>
      </c>
      <c r="X275" s="81" t="str">
        <f aca="false">J275</f>
        <v>Sugar</v>
      </c>
      <c r="Y275" s="81" t="str">
        <f aca="false">R275</f>
        <v>sugar</v>
      </c>
      <c r="Z275" s="94" t="n">
        <f aca="false">VLOOKUP(Y275,recipe_ingred_list!$D$2:$E$500,2,0)</f>
        <v>187</v>
      </c>
      <c r="AA275" s="61" t="n">
        <f aca="false">K275</f>
        <v>0</v>
      </c>
      <c r="AB275" s="61" t="n">
        <f aca="false">L275</f>
        <v>0</v>
      </c>
      <c r="AC275" s="61" t="n">
        <f aca="false">VLOOKUP(AB275,recipe_ingred_list!$K$2:$M$7,3,0)</f>
        <v>2</v>
      </c>
      <c r="AD275" s="61" t="n">
        <f aca="false">M275</f>
        <v>0.6</v>
      </c>
      <c r="AE275" s="61" t="str">
        <f aca="false">N275</f>
        <v>ltr</v>
      </c>
      <c r="AF275" s="61" t="n">
        <f aca="false">VLOOKUP(AE275,recipe_ingred_list!$K$16:$M$25,3,0)</f>
        <v>1</v>
      </c>
      <c r="AG275" s="61" t="n">
        <f aca="false">O275</f>
        <v>0</v>
      </c>
      <c r="AH275" s="61" t="n">
        <f aca="false">P275</f>
        <v>0</v>
      </c>
      <c r="AI275" s="61" t="n">
        <f aca="false">VLOOKUP(AH275,recipe_ingred_list!$K$29:$M$34,3,0)</f>
        <v>3</v>
      </c>
      <c r="AJ275" s="61" t="str">
        <f aca="false">IF(Q275="","",Q275)</f>
        <v/>
      </c>
      <c r="AK275" s="61" t="n">
        <f aca="false">AK274+1</f>
        <v>275</v>
      </c>
      <c r="AL275" s="61" t="str">
        <f aca="false">Y275</f>
        <v>sugar</v>
      </c>
      <c r="AM275" s="81" t="str">
        <f aca="false">"a = Client().post('"&amp;W275&amp;"', {'recipe' : '"&amp;V275&amp;"', 'ingredient' : '"&amp;Z275&amp;"', 'name' : '"&amp;X275&amp;"', 'mass_unit' : '"&amp;AC275&amp;"', 'mass_quantity' : '"&amp;ROUND(AA275,3)&amp;"', 'volume_unit' : '"&amp;AF275&amp;"', 'volume_quantity' : '"&amp;ROUND(AD275,3)&amp;"', 'pieces_unit' : '"&amp;AI275&amp;"', 'pieces_quantity' : '"&amp;ROUND(AG275,3)&amp;"', 'cooking_notes' : '"&amp;AJ275&amp;"'}).status_code; print('%s :: %s :: %s :: %s :: %s' %(a,"&amp;G275&amp;",'"&amp;X275&amp;"','"&amp;Y275&amp;"','"&amp;U275&amp;"'))"</f>
        <v>a = Client().post('/recipes/bhopla-km/detail/', {'recipe' : '9', 'ingredient' : '187', 'name' : 'Sugar', 'mass_unit' : '2', 'mass_quantity' : '0', 'volume_unit' : '1', 'volume_quantity' : '0.6', 'pieces_unit' : '3', 'pieces_quantity' : '0', 'cooking_notes' : ''}).status_code; print('%s :: %s :: %s :: %s :: %s' %(a,275,'Sugar','sugar','Bhopla KM'))</v>
      </c>
    </row>
    <row r="276" customFormat="false" ht="13.8" hidden="false" customHeight="false" outlineLevel="0" collapsed="false">
      <c r="G276" s="80" t="n">
        <v>276</v>
      </c>
      <c r="I276" s="82" t="s">
        <v>132</v>
      </c>
      <c r="J276" s="83" t="s">
        <v>606</v>
      </c>
      <c r="M276" s="61" t="n">
        <v>0.8</v>
      </c>
      <c r="N276" s="61" t="s">
        <v>20</v>
      </c>
      <c r="R276" s="82" t="str">
        <f aca="false">VLOOKUP(J276,ingredient!$N$4:$O$553,2,0)</f>
        <v>amchur</v>
      </c>
      <c r="U276" s="81" t="str">
        <f aca="false">I276</f>
        <v>Bhopla KM</v>
      </c>
      <c r="V276" s="81" t="n">
        <f aca="false">VLOOKUP(U276,recipe_ingred_list!$A$2:$B$300,2,0)</f>
        <v>9</v>
      </c>
      <c r="W276" s="81" t="str">
        <f aca="false">"/recipes/"&amp;VLOOKUP(U276,recipe_ingred_list!$A$2:$C$300,3,0)&amp;"/detail/"</f>
        <v>/recipes/bhopla-km/detail/</v>
      </c>
      <c r="X276" s="81" t="str">
        <f aca="false">J276</f>
        <v>Amchur</v>
      </c>
      <c r="Y276" s="81" t="str">
        <f aca="false">R276</f>
        <v>amchur</v>
      </c>
      <c r="Z276" s="94" t="n">
        <f aca="false">VLOOKUP(Y276,recipe_ingred_list!$D$2:$E$500,2,0)</f>
        <v>10</v>
      </c>
      <c r="AA276" s="61" t="n">
        <f aca="false">K276</f>
        <v>0</v>
      </c>
      <c r="AB276" s="61" t="n">
        <f aca="false">L276</f>
        <v>0</v>
      </c>
      <c r="AC276" s="61" t="n">
        <f aca="false">VLOOKUP(AB276,recipe_ingred_list!$K$2:$M$7,3,0)</f>
        <v>2</v>
      </c>
      <c r="AD276" s="61" t="n">
        <f aca="false">M276</f>
        <v>0.8</v>
      </c>
      <c r="AE276" s="61" t="str">
        <f aca="false">N276</f>
        <v>cup</v>
      </c>
      <c r="AF276" s="61" t="n">
        <f aca="false">VLOOKUP(AE276,recipe_ingred_list!$K$16:$M$25,3,0)</f>
        <v>5</v>
      </c>
      <c r="AG276" s="61" t="n">
        <f aca="false">O276</f>
        <v>0</v>
      </c>
      <c r="AH276" s="61" t="n">
        <f aca="false">P276</f>
        <v>0</v>
      </c>
      <c r="AI276" s="61" t="n">
        <f aca="false">VLOOKUP(AH276,recipe_ingred_list!$K$29:$M$34,3,0)</f>
        <v>3</v>
      </c>
      <c r="AJ276" s="61" t="str">
        <f aca="false">IF(Q276="","",Q276)</f>
        <v/>
      </c>
      <c r="AK276" s="61" t="n">
        <f aca="false">AK275+1</f>
        <v>276</v>
      </c>
      <c r="AL276" s="61" t="str">
        <f aca="false">Y276</f>
        <v>amchur</v>
      </c>
      <c r="AM276" s="81" t="str">
        <f aca="false">"a = Client().post('"&amp;W276&amp;"', {'recipe' : '"&amp;V276&amp;"', 'ingredient' : '"&amp;Z276&amp;"', 'name' : '"&amp;X276&amp;"', 'mass_unit' : '"&amp;AC276&amp;"', 'mass_quantity' : '"&amp;ROUND(AA276,3)&amp;"', 'volume_unit' : '"&amp;AF276&amp;"', 'volume_quantity' : '"&amp;ROUND(AD276,3)&amp;"', 'pieces_unit' : '"&amp;AI276&amp;"', 'pieces_quantity' : '"&amp;ROUND(AG276,3)&amp;"', 'cooking_notes' : '"&amp;AJ276&amp;"'}).status_code; print('%s :: %s :: %s :: %s :: %s' %(a,"&amp;G276&amp;",'"&amp;X276&amp;"','"&amp;Y276&amp;"','"&amp;U276&amp;"'))"</f>
        <v>a = Client().post('/recipes/bhopla-km/detail/', {'recipe' : '9', 'ingredient' : '10', 'name' : 'Amchur', 'mass_unit' : '2', 'mass_quantity' : '0', 'volume_unit' : '5', 'volume_quantity' : '0.8', 'pieces_unit' : '3', 'pieces_quantity' : '0', 'cooking_notes' : ''}).status_code; print('%s :: %s :: %s :: %s :: %s' %(a,276,'Amchur','amchur','Bhopla KM'))</v>
      </c>
    </row>
    <row r="277" customFormat="false" ht="13.8" hidden="false" customHeight="false" outlineLevel="0" collapsed="false">
      <c r="G277" s="80" t="n">
        <v>277</v>
      </c>
      <c r="I277" s="82" t="s">
        <v>132</v>
      </c>
      <c r="J277" s="83" t="s">
        <v>32</v>
      </c>
      <c r="M277" s="61" t="n">
        <v>1</v>
      </c>
      <c r="N277" s="61" t="s">
        <v>20</v>
      </c>
      <c r="R277" s="82" t="str">
        <f aca="false">VLOOKUP(J277,ingredient!$N$4:$O$553,2,0)</f>
        <v>salt</v>
      </c>
      <c r="U277" s="81" t="str">
        <f aca="false">I277</f>
        <v>Bhopla KM</v>
      </c>
      <c r="V277" s="81" t="n">
        <f aca="false">VLOOKUP(U277,recipe_ingred_list!$A$2:$B$300,2,0)</f>
        <v>9</v>
      </c>
      <c r="W277" s="81" t="str">
        <f aca="false">"/recipes/"&amp;VLOOKUP(U277,recipe_ingred_list!$A$2:$C$300,3,0)&amp;"/detail/"</f>
        <v>/recipes/bhopla-km/detail/</v>
      </c>
      <c r="X277" s="81" t="str">
        <f aca="false">J277</f>
        <v>Salt</v>
      </c>
      <c r="Y277" s="81" t="str">
        <f aca="false">R277</f>
        <v>salt</v>
      </c>
      <c r="Z277" s="94" t="n">
        <f aca="false">VLOOKUP(Y277,recipe_ingred_list!$D$2:$E$500,2,0)</f>
        <v>177</v>
      </c>
      <c r="AA277" s="61" t="n">
        <f aca="false">K277</f>
        <v>0</v>
      </c>
      <c r="AB277" s="61" t="n">
        <f aca="false">L277</f>
        <v>0</v>
      </c>
      <c r="AC277" s="61" t="n">
        <f aca="false">VLOOKUP(AB277,recipe_ingred_list!$K$2:$M$7,3,0)</f>
        <v>2</v>
      </c>
      <c r="AD277" s="61" t="n">
        <f aca="false">M277</f>
        <v>1</v>
      </c>
      <c r="AE277" s="61" t="str">
        <f aca="false">N277</f>
        <v>cup</v>
      </c>
      <c r="AF277" s="61" t="n">
        <f aca="false">VLOOKUP(AE277,recipe_ingred_list!$K$16:$M$25,3,0)</f>
        <v>5</v>
      </c>
      <c r="AG277" s="61" t="n">
        <f aca="false">O277</f>
        <v>0</v>
      </c>
      <c r="AH277" s="61" t="n">
        <f aca="false">P277</f>
        <v>0</v>
      </c>
      <c r="AI277" s="61" t="n">
        <f aca="false">VLOOKUP(AH277,recipe_ingred_list!$K$29:$M$34,3,0)</f>
        <v>3</v>
      </c>
      <c r="AJ277" s="61" t="str">
        <f aca="false">IF(Q277="","",Q277)</f>
        <v/>
      </c>
      <c r="AK277" s="61" t="n">
        <f aca="false">AK276+1</f>
        <v>277</v>
      </c>
      <c r="AL277" s="61" t="str">
        <f aca="false">Y277</f>
        <v>salt</v>
      </c>
      <c r="AM277" s="81" t="str">
        <f aca="false">"a = Client().post('"&amp;W277&amp;"', {'recipe' : '"&amp;V277&amp;"', 'ingredient' : '"&amp;Z277&amp;"', 'name' : '"&amp;X277&amp;"', 'mass_unit' : '"&amp;AC277&amp;"', 'mass_quantity' : '"&amp;ROUND(AA277,3)&amp;"', 'volume_unit' : '"&amp;AF277&amp;"', 'volume_quantity' : '"&amp;ROUND(AD277,3)&amp;"', 'pieces_unit' : '"&amp;AI277&amp;"', 'pieces_quantity' : '"&amp;ROUND(AG277,3)&amp;"', 'cooking_notes' : '"&amp;AJ277&amp;"'}).status_code; print('%s :: %s :: %s :: %s :: %s' %(a,"&amp;G277&amp;",'"&amp;X277&amp;"','"&amp;Y277&amp;"','"&amp;U277&amp;"'))"</f>
        <v>a = Client().post('/recipes/bhopla-km/detail/', {'recipe' : '9', 'ingredient' : '177', 'name' : 'Salt', 'mass_unit' : '2', 'mass_quantity' : '0', 'volume_unit' : '5', 'volume_quantity' : '1', 'pieces_unit' : '3', 'pieces_quantity' : '0', 'cooking_notes' : ''}).status_code; print('%s :: %s :: %s :: %s :: %s' %(a,277,'Salt','salt','Bhopla KM'))</v>
      </c>
    </row>
    <row r="278" customFormat="false" ht="13.8" hidden="false" customHeight="false" outlineLevel="0" collapsed="false">
      <c r="G278" s="80" t="n">
        <v>278</v>
      </c>
      <c r="H278" s="98"/>
      <c r="I278" s="99" t="s">
        <v>132</v>
      </c>
      <c r="J278" s="79" t="s">
        <v>46</v>
      </c>
      <c r="K278" s="100"/>
      <c r="L278" s="100"/>
      <c r="M278" s="100" t="n">
        <v>20</v>
      </c>
      <c r="N278" s="100" t="s">
        <v>13</v>
      </c>
      <c r="O278" s="101"/>
      <c r="P278" s="100"/>
      <c r="Q278" s="102"/>
      <c r="R278" s="99" t="e">
        <f aca="false">VLOOKUP(J278,ingredient!$N$4:$O$553,2,0)</f>
        <v>#N/A</v>
      </c>
      <c r="S278" s="98"/>
      <c r="T278" s="98"/>
      <c r="U278" s="81" t="str">
        <f aca="false">I278</f>
        <v>Bhopla KM</v>
      </c>
      <c r="V278" s="81" t="n">
        <f aca="false">VLOOKUP(U278,recipe_ingred_list!$A$2:$B$300,2,0)</f>
        <v>9</v>
      </c>
      <c r="W278" s="81" t="str">
        <f aca="false">"/recipes/"&amp;VLOOKUP(U278,recipe_ingred_list!$A$2:$C$300,3,0)&amp;"/detail/"</f>
        <v>/recipes/bhopla-km/detail/</v>
      </c>
      <c r="X278" s="81" t="str">
        <f aca="false">J278</f>
        <v>Yield</v>
      </c>
      <c r="Y278" s="81" t="e">
        <f aca="false">R278</f>
        <v>#N/A</v>
      </c>
      <c r="Z278" s="94" t="e">
        <f aca="false">VLOOKUP(Y278,recipe_ingred_list!$D$2:$E$500,2,0)</f>
        <v>#N/A</v>
      </c>
      <c r="AA278" s="61" t="n">
        <f aca="false">K278</f>
        <v>0</v>
      </c>
      <c r="AB278" s="61" t="n">
        <f aca="false">L278</f>
        <v>0</v>
      </c>
      <c r="AC278" s="61" t="n">
        <f aca="false">VLOOKUP(AB278,recipe_ingred_list!$K$2:$M$7,3,0)</f>
        <v>2</v>
      </c>
      <c r="AD278" s="61" t="n">
        <f aca="false">M278</f>
        <v>20</v>
      </c>
      <c r="AE278" s="61" t="str">
        <f aca="false">N278</f>
        <v>ltr</v>
      </c>
      <c r="AF278" s="61" t="n">
        <f aca="false">VLOOKUP(AE278,recipe_ingred_list!$K$16:$M$25,3,0)</f>
        <v>1</v>
      </c>
      <c r="AG278" s="61" t="n">
        <f aca="false">O278</f>
        <v>0</v>
      </c>
      <c r="AH278" s="61" t="n">
        <f aca="false">P278</f>
        <v>0</v>
      </c>
      <c r="AI278" s="61" t="n">
        <f aca="false">VLOOKUP(AH278,recipe_ingred_list!$K$29:$M$34,3,0)</f>
        <v>3</v>
      </c>
      <c r="AJ278" s="61" t="str">
        <f aca="false">IF(Q278="","",Q278)</f>
        <v/>
      </c>
      <c r="AK278" s="61" t="n">
        <f aca="false">AK277+1</f>
        <v>278</v>
      </c>
      <c r="AL278" s="61" t="e">
        <f aca="false">Y278</f>
        <v>#N/A</v>
      </c>
      <c r="AM278" s="81" t="e">
        <f aca="false">"a = Client().post('"&amp;W278&amp;"', {'recipe' : '"&amp;V278&amp;"', 'ingredient' : '"&amp;Z278&amp;"', 'name' : '"&amp;X278&amp;"', 'mass_unit' : '"&amp;AC278&amp;"', 'mass_quantity' : '"&amp;ROUND(AA278,3)&amp;"', 'volume_unit' : '"&amp;AF278&amp;"', 'volume_quantity' : '"&amp;ROUND(AD278,3)&amp;"', 'pieces_unit' : '"&amp;AI278&amp;"', 'pieces_quantity' : '"&amp;ROUND(AG278,3)&amp;"', 'cooking_notes' : '"&amp;AJ278&amp;"'}).status_code; print('%s :: %s :: %s :: %s :: %s' %(a,"&amp;G278&amp;",'"&amp;X278&amp;"','"&amp;Y278&amp;"','"&amp;U278&amp;"'))"</f>
        <v>#N/A</v>
      </c>
    </row>
    <row r="279" customFormat="false" ht="13.8" hidden="false" customHeight="false" outlineLevel="0" collapsed="false">
      <c r="G279" s="80" t="n">
        <v>279</v>
      </c>
      <c r="H279" s="98"/>
      <c r="I279" s="99"/>
      <c r="J279" s="79"/>
      <c r="K279" s="100"/>
      <c r="L279" s="100"/>
      <c r="M279" s="100"/>
      <c r="N279" s="100"/>
      <c r="O279" s="101"/>
      <c r="P279" s="100"/>
      <c r="Q279" s="102"/>
      <c r="R279" s="99" t="e">
        <f aca="false">VLOOKUP(J279,ingredient!$N$4:$O$553,2,0)</f>
        <v>#N/A</v>
      </c>
      <c r="S279" s="98"/>
      <c r="T279" s="98"/>
      <c r="U279" s="81" t="n">
        <f aca="false">I279</f>
        <v>0</v>
      </c>
      <c r="V279" s="81" t="e">
        <f aca="false">VLOOKUP(U279,recipe_ingred_list!$A$2:$B$300,2,0)</f>
        <v>#N/A</v>
      </c>
      <c r="W279" s="81" t="e">
        <f aca="false">"/recipes/"&amp;VLOOKUP(U279,recipe_ingred_list!$A$2:$C$300,3,0)&amp;"/detail/"</f>
        <v>#N/A</v>
      </c>
      <c r="X279" s="81" t="n">
        <f aca="false">J279</f>
        <v>0</v>
      </c>
      <c r="Y279" s="81" t="e">
        <f aca="false">R279</f>
        <v>#N/A</v>
      </c>
      <c r="Z279" s="94" t="e">
        <f aca="false">VLOOKUP(Y279,recipe_ingred_list!$D$2:$E$500,2,0)</f>
        <v>#N/A</v>
      </c>
      <c r="AA279" s="61" t="n">
        <f aca="false">K279</f>
        <v>0</v>
      </c>
      <c r="AB279" s="61" t="n">
        <f aca="false">L279</f>
        <v>0</v>
      </c>
      <c r="AC279" s="61" t="n">
        <f aca="false">VLOOKUP(AB279,recipe_ingred_list!$K$2:$M$7,3,0)</f>
        <v>2</v>
      </c>
      <c r="AD279" s="61" t="n">
        <f aca="false">M279</f>
        <v>0</v>
      </c>
      <c r="AE279" s="61" t="n">
        <f aca="false">N279</f>
        <v>0</v>
      </c>
      <c r="AF279" s="61" t="n">
        <f aca="false">VLOOKUP(AE279,recipe_ingred_list!$K$16:$M$25,3,0)</f>
        <v>1</v>
      </c>
      <c r="AG279" s="61" t="n">
        <f aca="false">O279</f>
        <v>0</v>
      </c>
      <c r="AH279" s="61" t="n">
        <f aca="false">P279</f>
        <v>0</v>
      </c>
      <c r="AI279" s="61" t="n">
        <f aca="false">VLOOKUP(AH279,recipe_ingred_list!$K$29:$M$34,3,0)</f>
        <v>3</v>
      </c>
      <c r="AJ279" s="61" t="str">
        <f aca="false">IF(Q279="","",Q279)</f>
        <v/>
      </c>
      <c r="AK279" s="61" t="n">
        <f aca="false">AK278+1</f>
        <v>279</v>
      </c>
      <c r="AL279" s="61" t="e">
        <f aca="false">Y279</f>
        <v>#N/A</v>
      </c>
      <c r="AM279" s="81" t="e">
        <f aca="false">"a = Client().post('"&amp;W279&amp;"', {'recipe' : '"&amp;V279&amp;"', 'ingredient' : '"&amp;Z279&amp;"', 'name' : '"&amp;X279&amp;"', 'mass_unit' : '"&amp;AC279&amp;"', 'mass_quantity' : '"&amp;ROUND(AA279,3)&amp;"', 'volume_unit' : '"&amp;AF279&amp;"', 'volume_quantity' : '"&amp;ROUND(AD279,3)&amp;"', 'pieces_unit' : '"&amp;AI279&amp;"', 'pieces_quantity' : '"&amp;ROUND(AG279,3)&amp;"', 'cooking_notes' : '"&amp;AJ279&amp;"'}).status_code; print('%s :: %s :: %s :: %s :: %s' %(a,"&amp;G279&amp;",'"&amp;X279&amp;"','"&amp;Y279&amp;"','"&amp;U279&amp;"'))"</f>
        <v>#N/A</v>
      </c>
    </row>
    <row r="280" customFormat="false" ht="14.9" hidden="false" customHeight="false" outlineLevel="0" collapsed="false">
      <c r="G280" s="80" t="n">
        <v>280</v>
      </c>
      <c r="I280" s="82" t="s">
        <v>169</v>
      </c>
      <c r="J280" s="83" t="s">
        <v>10</v>
      </c>
      <c r="K280" s="61" t="n">
        <v>40</v>
      </c>
      <c r="L280" s="61" t="s">
        <v>7</v>
      </c>
      <c r="Q280" s="84" t="s">
        <v>546</v>
      </c>
      <c r="R280" s="82" t="str">
        <f aca="false">VLOOKUP(J280,ingredient!$N$4:$O$553,2,0)</f>
        <v>alu</v>
      </c>
      <c r="U280" s="81" t="str">
        <f aca="false">I280</f>
        <v>Dosa Bhaji Dry</v>
      </c>
      <c r="V280" s="81" t="n">
        <f aca="false">VLOOKUP(U280,recipe_ingred_list!$A$2:$B$300,2,0)</f>
        <v>20</v>
      </c>
      <c r="W280" s="81" t="str">
        <f aca="false">"/recipes/"&amp;VLOOKUP(U280,recipe_ingred_list!$A$2:$C$300,3,0)&amp;"/detail/"</f>
        <v>/recipes/dosa-bhaji-dry/detail/</v>
      </c>
      <c r="X280" s="81" t="str">
        <f aca="false">J280</f>
        <v>Alu</v>
      </c>
      <c r="Y280" s="81" t="str">
        <f aca="false">R280</f>
        <v>alu</v>
      </c>
      <c r="Z280" s="94" t="n">
        <f aca="false">VLOOKUP(Y280,recipe_ingred_list!$D$2:$E$500,2,0)</f>
        <v>8</v>
      </c>
      <c r="AA280" s="61" t="n">
        <f aca="false">K280</f>
        <v>40</v>
      </c>
      <c r="AB280" s="61" t="str">
        <f aca="false">L280</f>
        <v>kg</v>
      </c>
      <c r="AC280" s="61" t="n">
        <f aca="false">VLOOKUP(AB280,recipe_ingred_list!$K$2:$M$7,3,0)</f>
        <v>2</v>
      </c>
      <c r="AD280" s="61" t="n">
        <f aca="false">M280</f>
        <v>0</v>
      </c>
      <c r="AE280" s="61" t="n">
        <f aca="false">N280</f>
        <v>0</v>
      </c>
      <c r="AF280" s="61" t="n">
        <f aca="false">VLOOKUP(AE280,recipe_ingred_list!$K$16:$M$25,3,0)</f>
        <v>1</v>
      </c>
      <c r="AG280" s="61" t="n">
        <f aca="false">O280</f>
        <v>0</v>
      </c>
      <c r="AH280" s="61" t="n">
        <f aca="false">P280</f>
        <v>0</v>
      </c>
      <c r="AI280" s="61" t="n">
        <f aca="false">VLOOKUP(AH280,recipe_ingred_list!$K$29:$M$34,3,0)</f>
        <v>3</v>
      </c>
      <c r="AJ280" s="61" t="str">
        <f aca="false">IF(Q280="","",Q280)</f>
        <v>boiled,mashed</v>
      </c>
      <c r="AK280" s="61" t="n">
        <f aca="false">AK279+1</f>
        <v>280</v>
      </c>
      <c r="AL280" s="61" t="str">
        <f aca="false">Y280</f>
        <v>alu</v>
      </c>
      <c r="AM280" s="81" t="str">
        <f aca="false">"a = Client().post('"&amp;W280&amp;"', {'recipe' : '"&amp;V280&amp;"', 'ingredient' : '"&amp;Z280&amp;"', 'name' : '"&amp;X280&amp;"', 'mass_unit' : '"&amp;AC280&amp;"', 'mass_quantity' : '"&amp;ROUND(AA280,3)&amp;"', 'volume_unit' : '"&amp;AF280&amp;"', 'volume_quantity' : '"&amp;ROUND(AD280,3)&amp;"', 'pieces_unit' : '"&amp;AI280&amp;"', 'pieces_quantity' : '"&amp;ROUND(AG280,3)&amp;"', 'cooking_notes' : '"&amp;AJ280&amp;"'}).status_code; print('%s :: %s :: %s :: %s :: %s' %(a,"&amp;G280&amp;",'"&amp;X280&amp;"','"&amp;Y280&amp;"','"&amp;U280&amp;"'))"</f>
        <v>a = Client().post('/recipes/dosa-bhaji-dry/detail/', {'recipe' : '20', 'ingredient' : '8', 'name' : 'Alu', 'mass_unit' : '2', 'mass_quantity' : '40', 'volume_unit' : '1', 'volume_quantity' : '0', 'pieces_unit' : '3', 'pieces_quantity' : '0', 'cooking_notes' : 'boiled,mashed'}).status_code; print('%s :: %s :: %s :: %s :: %s' %(a,280,'Alu','alu','Dosa Bhaji Dry'))</v>
      </c>
    </row>
    <row r="281" customFormat="false" ht="14.9" hidden="false" customHeight="false" outlineLevel="0" collapsed="false">
      <c r="G281" s="80" t="n">
        <v>281</v>
      </c>
      <c r="I281" s="82" t="s">
        <v>169</v>
      </c>
      <c r="J281" s="83" t="s">
        <v>39</v>
      </c>
      <c r="K281" s="61" t="n">
        <v>4</v>
      </c>
      <c r="L281" s="61" t="s">
        <v>7</v>
      </c>
      <c r="Q281" s="84" t="s">
        <v>594</v>
      </c>
      <c r="R281" s="82" t="str">
        <f aca="false">VLOOKUP(J281,ingredient!$N$4:$O$553,2,0)</f>
        <v>cabbage</v>
      </c>
      <c r="U281" s="81" t="str">
        <f aca="false">I281</f>
        <v>Dosa Bhaji Dry</v>
      </c>
      <c r="V281" s="81" t="n">
        <f aca="false">VLOOKUP(U281,recipe_ingred_list!$A$2:$B$300,2,0)</f>
        <v>20</v>
      </c>
      <c r="W281" s="81" t="str">
        <f aca="false">"/recipes/"&amp;VLOOKUP(U281,recipe_ingred_list!$A$2:$C$300,3,0)&amp;"/detail/"</f>
        <v>/recipes/dosa-bhaji-dry/detail/</v>
      </c>
      <c r="X281" s="81" t="str">
        <f aca="false">J281</f>
        <v>Cabbage</v>
      </c>
      <c r="Y281" s="81" t="str">
        <f aca="false">R281</f>
        <v>cabbage</v>
      </c>
      <c r="Z281" s="94" t="n">
        <f aca="false">VLOOKUP(Y281,recipe_ingred_list!$D$2:$E$500,2,0)</f>
        <v>39</v>
      </c>
      <c r="AA281" s="61" t="n">
        <f aca="false">K281</f>
        <v>4</v>
      </c>
      <c r="AB281" s="61" t="str">
        <f aca="false">L281</f>
        <v>kg</v>
      </c>
      <c r="AC281" s="61" t="n">
        <f aca="false">VLOOKUP(AB281,recipe_ingred_list!$K$2:$M$7,3,0)</f>
        <v>2</v>
      </c>
      <c r="AD281" s="61" t="n">
        <f aca="false">M281</f>
        <v>0</v>
      </c>
      <c r="AE281" s="61" t="n">
        <f aca="false">N281</f>
        <v>0</v>
      </c>
      <c r="AF281" s="61" t="n">
        <f aca="false">VLOOKUP(AE281,recipe_ingred_list!$K$16:$M$25,3,0)</f>
        <v>1</v>
      </c>
      <c r="AG281" s="61" t="n">
        <f aca="false">O281</f>
        <v>0</v>
      </c>
      <c r="AH281" s="61" t="n">
        <f aca="false">P281</f>
        <v>0</v>
      </c>
      <c r="AI281" s="61" t="n">
        <f aca="false">VLOOKUP(AH281,recipe_ingred_list!$K$29:$M$34,3,0)</f>
        <v>3</v>
      </c>
      <c r="AJ281" s="61" t="str">
        <f aca="false">IF(Q281="","",Q281)</f>
        <v>julienne</v>
      </c>
      <c r="AK281" s="61" t="n">
        <f aca="false">AK280+1</f>
        <v>281</v>
      </c>
      <c r="AL281" s="61" t="str">
        <f aca="false">Y281</f>
        <v>cabbage</v>
      </c>
      <c r="AM281" s="81" t="str">
        <f aca="false">"a = Client().post('"&amp;W281&amp;"', {'recipe' : '"&amp;V281&amp;"', 'ingredient' : '"&amp;Z281&amp;"', 'name' : '"&amp;X281&amp;"', 'mass_unit' : '"&amp;AC281&amp;"', 'mass_quantity' : '"&amp;ROUND(AA281,3)&amp;"', 'volume_unit' : '"&amp;AF281&amp;"', 'volume_quantity' : '"&amp;ROUND(AD281,3)&amp;"', 'pieces_unit' : '"&amp;AI281&amp;"', 'pieces_quantity' : '"&amp;ROUND(AG281,3)&amp;"', 'cooking_notes' : '"&amp;AJ281&amp;"'}).status_code; print('%s :: %s :: %s :: %s :: %s' %(a,"&amp;G281&amp;",'"&amp;X281&amp;"','"&amp;Y281&amp;"','"&amp;U281&amp;"'))"</f>
        <v>a = Client().post('/recipes/dosa-bhaji-dry/detail/', {'recipe' : '20', 'ingredient' : '39', 'name' : 'Cabbage', 'mass_unit' : '2', 'mass_quantity' : '4', 'volume_unit' : '1', 'volume_quantity' : '0', 'pieces_unit' : '3', 'pieces_quantity' : '0', 'cooking_notes' : 'julienne'}).status_code; print('%s :: %s :: %s :: %s :: %s' %(a,281,'Cabbage','cabbage','Dosa Bhaji Dry'))</v>
      </c>
    </row>
    <row r="282" customFormat="false" ht="14.9" hidden="false" customHeight="false" outlineLevel="0" collapsed="false">
      <c r="G282" s="80" t="n">
        <v>282</v>
      </c>
      <c r="I282" s="82" t="s">
        <v>169</v>
      </c>
      <c r="J282" s="83" t="s">
        <v>40</v>
      </c>
      <c r="K282" s="61" t="n">
        <v>4</v>
      </c>
      <c r="L282" s="61" t="s">
        <v>7</v>
      </c>
      <c r="Q282" s="84" t="s">
        <v>594</v>
      </c>
      <c r="R282" s="82" t="str">
        <f aca="false">VLOOKUP(J282,ingredient!$N$4:$O$553,2,0)</f>
        <v>capsicum</v>
      </c>
      <c r="U282" s="81" t="str">
        <f aca="false">I282</f>
        <v>Dosa Bhaji Dry</v>
      </c>
      <c r="V282" s="81" t="n">
        <f aca="false">VLOOKUP(U282,recipe_ingred_list!$A$2:$B$300,2,0)</f>
        <v>20</v>
      </c>
      <c r="W282" s="81" t="str">
        <f aca="false">"/recipes/"&amp;VLOOKUP(U282,recipe_ingred_list!$A$2:$C$300,3,0)&amp;"/detail/"</f>
        <v>/recipes/dosa-bhaji-dry/detail/</v>
      </c>
      <c r="X282" s="81" t="str">
        <f aca="false">J282</f>
        <v>Capsicum</v>
      </c>
      <c r="Y282" s="81" t="str">
        <f aca="false">R282</f>
        <v>capsicum</v>
      </c>
      <c r="Z282" s="94" t="n">
        <f aca="false">VLOOKUP(Y282,recipe_ingred_list!$D$2:$E$500,2,0)</f>
        <v>42</v>
      </c>
      <c r="AA282" s="61" t="n">
        <f aca="false">K282</f>
        <v>4</v>
      </c>
      <c r="AB282" s="61" t="str">
        <f aca="false">L282</f>
        <v>kg</v>
      </c>
      <c r="AC282" s="61" t="n">
        <f aca="false">VLOOKUP(AB282,recipe_ingred_list!$K$2:$M$7,3,0)</f>
        <v>2</v>
      </c>
      <c r="AD282" s="61" t="n">
        <f aca="false">M282</f>
        <v>0</v>
      </c>
      <c r="AE282" s="61" t="n">
        <f aca="false">N282</f>
        <v>0</v>
      </c>
      <c r="AF282" s="61" t="n">
        <f aca="false">VLOOKUP(AE282,recipe_ingred_list!$K$16:$M$25,3,0)</f>
        <v>1</v>
      </c>
      <c r="AG282" s="61" t="n">
        <f aca="false">O282</f>
        <v>0</v>
      </c>
      <c r="AH282" s="61" t="n">
        <f aca="false">P282</f>
        <v>0</v>
      </c>
      <c r="AI282" s="61" t="n">
        <f aca="false">VLOOKUP(AH282,recipe_ingred_list!$K$29:$M$34,3,0)</f>
        <v>3</v>
      </c>
      <c r="AJ282" s="61" t="str">
        <f aca="false">IF(Q282="","",Q282)</f>
        <v>julienne</v>
      </c>
      <c r="AK282" s="61" t="n">
        <f aca="false">AK281+1</f>
        <v>282</v>
      </c>
      <c r="AL282" s="61" t="str">
        <f aca="false">Y282</f>
        <v>capsicum</v>
      </c>
      <c r="AM282" s="81" t="str">
        <f aca="false">"a = Client().post('"&amp;W282&amp;"', {'recipe' : '"&amp;V282&amp;"', 'ingredient' : '"&amp;Z282&amp;"', 'name' : '"&amp;X282&amp;"', 'mass_unit' : '"&amp;AC282&amp;"', 'mass_quantity' : '"&amp;ROUND(AA282,3)&amp;"', 'volume_unit' : '"&amp;AF282&amp;"', 'volume_quantity' : '"&amp;ROUND(AD282,3)&amp;"', 'pieces_unit' : '"&amp;AI282&amp;"', 'pieces_quantity' : '"&amp;ROUND(AG282,3)&amp;"', 'cooking_notes' : '"&amp;AJ282&amp;"'}).status_code; print('%s :: %s :: %s :: %s :: %s' %(a,"&amp;G282&amp;",'"&amp;X282&amp;"','"&amp;Y282&amp;"','"&amp;U282&amp;"'))"</f>
        <v>a = Client().post('/recipes/dosa-bhaji-dry/detail/', {'recipe' : '20', 'ingredient' : '42', 'name' : 'Capsicum', 'mass_unit' : '2', 'mass_quantity' : '4', 'volume_unit' : '1', 'volume_quantity' : '0', 'pieces_unit' : '3', 'pieces_quantity' : '0', 'cooking_notes' : 'julienne'}).status_code; print('%s :: %s :: %s :: %s :: %s' %(a,282,'Capsicum','capsicum','Dosa Bhaji Dry'))</v>
      </c>
    </row>
    <row r="283" customFormat="false" ht="14.9" hidden="false" customHeight="false" outlineLevel="0" collapsed="false">
      <c r="G283" s="80" t="n">
        <v>283</v>
      </c>
      <c r="I283" s="82" t="s">
        <v>169</v>
      </c>
      <c r="J283" s="83" t="s">
        <v>21</v>
      </c>
      <c r="K283" s="61" t="n">
        <v>4</v>
      </c>
      <c r="L283" s="61" t="s">
        <v>7</v>
      </c>
      <c r="Q283" s="84" t="s">
        <v>567</v>
      </c>
      <c r="R283" s="82" t="str">
        <f aca="false">VLOOKUP(J283,ingredient!$N$4:$O$553,2,0)</f>
        <v>tomato</v>
      </c>
      <c r="U283" s="81" t="str">
        <f aca="false">I283</f>
        <v>Dosa Bhaji Dry</v>
      </c>
      <c r="V283" s="81" t="n">
        <f aca="false">VLOOKUP(U283,recipe_ingred_list!$A$2:$B$300,2,0)</f>
        <v>20</v>
      </c>
      <c r="W283" s="81" t="str">
        <f aca="false">"/recipes/"&amp;VLOOKUP(U283,recipe_ingred_list!$A$2:$C$300,3,0)&amp;"/detail/"</f>
        <v>/recipes/dosa-bhaji-dry/detail/</v>
      </c>
      <c r="X283" s="81" t="str">
        <f aca="false">J283</f>
        <v>Tomato</v>
      </c>
      <c r="Y283" s="81" t="str">
        <f aca="false">R283</f>
        <v>tomato</v>
      </c>
      <c r="Z283" s="94" t="n">
        <f aca="false">VLOOKUP(Y283,recipe_ingred_list!$D$2:$E$500,2,0)</f>
        <v>195</v>
      </c>
      <c r="AA283" s="61" t="n">
        <f aca="false">K283</f>
        <v>4</v>
      </c>
      <c r="AB283" s="61" t="str">
        <f aca="false">L283</f>
        <v>kg</v>
      </c>
      <c r="AC283" s="61" t="n">
        <f aca="false">VLOOKUP(AB283,recipe_ingred_list!$K$2:$M$7,3,0)</f>
        <v>2</v>
      </c>
      <c r="AD283" s="61" t="n">
        <f aca="false">M283</f>
        <v>0</v>
      </c>
      <c r="AE283" s="61" t="n">
        <f aca="false">N283</f>
        <v>0</v>
      </c>
      <c r="AF283" s="61" t="n">
        <f aca="false">VLOOKUP(AE283,recipe_ingred_list!$K$16:$M$25,3,0)</f>
        <v>1</v>
      </c>
      <c r="AG283" s="61" t="n">
        <f aca="false">O283</f>
        <v>0</v>
      </c>
      <c r="AH283" s="61" t="n">
        <f aca="false">P283</f>
        <v>0</v>
      </c>
      <c r="AI283" s="61" t="n">
        <f aca="false">VLOOKUP(AH283,recipe_ingred_list!$K$29:$M$34,3,0)</f>
        <v>3</v>
      </c>
      <c r="AJ283" s="61" t="str">
        <f aca="false">IF(Q283="","",Q283)</f>
        <v>0.5" cube</v>
      </c>
      <c r="AK283" s="61" t="n">
        <f aca="false">AK282+1</f>
        <v>283</v>
      </c>
      <c r="AL283" s="61" t="str">
        <f aca="false">Y283</f>
        <v>tomato</v>
      </c>
      <c r="AM283" s="81" t="str">
        <f aca="false">"a = Client().post('"&amp;W283&amp;"', {'recipe' : '"&amp;V283&amp;"', 'ingredient' : '"&amp;Z283&amp;"', 'name' : '"&amp;X283&amp;"', 'mass_unit' : '"&amp;AC283&amp;"', 'mass_quantity' : '"&amp;ROUND(AA283,3)&amp;"', 'volume_unit' : '"&amp;AF283&amp;"', 'volume_quantity' : '"&amp;ROUND(AD283,3)&amp;"', 'pieces_unit' : '"&amp;AI283&amp;"', 'pieces_quantity' : '"&amp;ROUND(AG283,3)&amp;"', 'cooking_notes' : '"&amp;AJ283&amp;"'}).status_code; print('%s :: %s :: %s :: %s :: %s' %(a,"&amp;G283&amp;",'"&amp;X283&amp;"','"&amp;Y283&amp;"','"&amp;U283&amp;"'))"</f>
        <v>a = Client().post('/recipes/dosa-bhaji-dry/detail/', {'recipe' : '20', 'ingredient' : '195', 'name' : 'Tomato', 'mass_unit' : '2', 'mass_quantity' : '4', 'volume_unit' : '1', 'volume_quantity' : '0', 'pieces_unit' : '3', 'pieces_quantity' : '0', 'cooking_notes' : '0.5" cube'}).status_code; print('%s :: %s :: %s :: %s :: %s' %(a,283,'Tomato','tomato','Dosa Bhaji Dry'))</v>
      </c>
    </row>
    <row r="284" customFormat="false" ht="13.8" hidden="false" customHeight="false" outlineLevel="0" collapsed="false">
      <c r="G284" s="80" t="n">
        <v>284</v>
      </c>
      <c r="I284" s="82" t="s">
        <v>169</v>
      </c>
      <c r="J284" s="83" t="s">
        <v>549</v>
      </c>
      <c r="K284" s="61" t="n">
        <v>2</v>
      </c>
      <c r="L284" s="61" t="s">
        <v>7</v>
      </c>
      <c r="R284" s="82" t="str">
        <f aca="false">VLOOKUP(J284,ingredient!$N$4:$O$553,2,0)</f>
        <v>green peas</v>
      </c>
      <c r="U284" s="81" t="str">
        <f aca="false">I284</f>
        <v>Dosa Bhaji Dry</v>
      </c>
      <c r="V284" s="81" t="n">
        <f aca="false">VLOOKUP(U284,recipe_ingred_list!$A$2:$B$300,2,0)</f>
        <v>20</v>
      </c>
      <c r="W284" s="81" t="str">
        <f aca="false">"/recipes/"&amp;VLOOKUP(U284,recipe_ingred_list!$A$2:$C$300,3,0)&amp;"/detail/"</f>
        <v>/recipes/dosa-bhaji-dry/detail/</v>
      </c>
      <c r="X284" s="81" t="str">
        <f aca="false">J284</f>
        <v>Green peas</v>
      </c>
      <c r="Y284" s="81" t="str">
        <f aca="false">R284</f>
        <v>green peas</v>
      </c>
      <c r="Z284" s="94" t="n">
        <f aca="false">VLOOKUP(Y284,recipe_ingred_list!$D$2:$E$500,2,0)</f>
        <v>88</v>
      </c>
      <c r="AA284" s="61" t="n">
        <f aca="false">K284</f>
        <v>2</v>
      </c>
      <c r="AB284" s="61" t="str">
        <f aca="false">L284</f>
        <v>kg</v>
      </c>
      <c r="AC284" s="61" t="n">
        <f aca="false">VLOOKUP(AB284,recipe_ingred_list!$K$2:$M$7,3,0)</f>
        <v>2</v>
      </c>
      <c r="AD284" s="61" t="n">
        <f aca="false">M284</f>
        <v>0</v>
      </c>
      <c r="AE284" s="61" t="n">
        <f aca="false">N284</f>
        <v>0</v>
      </c>
      <c r="AF284" s="61" t="n">
        <f aca="false">VLOOKUP(AE284,recipe_ingred_list!$K$16:$M$25,3,0)</f>
        <v>1</v>
      </c>
      <c r="AG284" s="61" t="n">
        <f aca="false">O284</f>
        <v>0</v>
      </c>
      <c r="AH284" s="61" t="n">
        <f aca="false">P284</f>
        <v>0</v>
      </c>
      <c r="AI284" s="61" t="n">
        <f aca="false">VLOOKUP(AH284,recipe_ingred_list!$K$29:$M$34,3,0)</f>
        <v>3</v>
      </c>
      <c r="AJ284" s="61" t="str">
        <f aca="false">IF(Q284="","",Q284)</f>
        <v/>
      </c>
      <c r="AK284" s="61" t="n">
        <f aca="false">AK283+1</f>
        <v>284</v>
      </c>
      <c r="AL284" s="61" t="str">
        <f aca="false">Y284</f>
        <v>green peas</v>
      </c>
      <c r="AM284" s="81" t="str">
        <f aca="false">"a = Client().post('"&amp;W284&amp;"', {'recipe' : '"&amp;V284&amp;"', 'ingredient' : '"&amp;Z284&amp;"', 'name' : '"&amp;X284&amp;"', 'mass_unit' : '"&amp;AC284&amp;"', 'mass_quantity' : '"&amp;ROUND(AA284,3)&amp;"', 'volume_unit' : '"&amp;AF284&amp;"', 'volume_quantity' : '"&amp;ROUND(AD284,3)&amp;"', 'pieces_unit' : '"&amp;AI284&amp;"', 'pieces_quantity' : '"&amp;ROUND(AG284,3)&amp;"', 'cooking_notes' : '"&amp;AJ284&amp;"'}).status_code; print('%s :: %s :: %s :: %s :: %s' %(a,"&amp;G284&amp;",'"&amp;X284&amp;"','"&amp;Y284&amp;"','"&amp;U284&amp;"'))"</f>
        <v>a = Client().post('/recipes/dosa-bhaji-dry/detail/', {'recipe' : '20', 'ingredient' : '88', 'name' : 'Green peas', 'mass_unit' : '2', 'mass_quantity' : '2', 'volume_unit' : '1', 'volume_quantity' : '0', 'pieces_unit' : '3', 'pieces_quantity' : '0', 'cooking_notes' : ''}).status_code; print('%s :: %s :: %s :: %s :: %s' %(a,284,'Green peas','green peas','Dosa Bhaji Dry'))</v>
      </c>
    </row>
    <row r="285" customFormat="false" ht="13.8" hidden="false" customHeight="false" outlineLevel="0" collapsed="false">
      <c r="G285" s="80" t="n">
        <v>285</v>
      </c>
      <c r="I285" s="82" t="s">
        <v>169</v>
      </c>
      <c r="J285" s="83" t="s">
        <v>553</v>
      </c>
      <c r="M285" s="61" t="n">
        <v>2</v>
      </c>
      <c r="N285" s="61" t="s">
        <v>13</v>
      </c>
      <c r="R285" s="82" t="str">
        <f aca="false">VLOOKUP(J285,ingredient!$N$4:$O$553,2,0)</f>
        <v>gound nut oil</v>
      </c>
      <c r="U285" s="81" t="str">
        <f aca="false">I285</f>
        <v>Dosa Bhaji Dry</v>
      </c>
      <c r="V285" s="81" t="n">
        <f aca="false">VLOOKUP(U285,recipe_ingred_list!$A$2:$B$300,2,0)</f>
        <v>20</v>
      </c>
      <c r="W285" s="81" t="str">
        <f aca="false">"/recipes/"&amp;VLOOKUP(U285,recipe_ingred_list!$A$2:$C$300,3,0)&amp;"/detail/"</f>
        <v>/recipes/dosa-bhaji-dry/detail/</v>
      </c>
      <c r="X285" s="81" t="str">
        <f aca="false">J285</f>
        <v>Oil</v>
      </c>
      <c r="Y285" s="81" t="str">
        <f aca="false">R285</f>
        <v>gound nut oil</v>
      </c>
      <c r="Z285" s="94" t="n">
        <f aca="false">VLOOKUP(Y285,recipe_ingred_list!$D$2:$E$500,2,0)</f>
        <v>83</v>
      </c>
      <c r="AA285" s="61" t="n">
        <f aca="false">K285</f>
        <v>0</v>
      </c>
      <c r="AB285" s="61" t="n">
        <f aca="false">L285</f>
        <v>0</v>
      </c>
      <c r="AC285" s="61" t="n">
        <f aca="false">VLOOKUP(AB285,recipe_ingred_list!$K$2:$M$7,3,0)</f>
        <v>2</v>
      </c>
      <c r="AD285" s="61" t="n">
        <f aca="false">M285</f>
        <v>2</v>
      </c>
      <c r="AE285" s="61" t="str">
        <f aca="false">N285</f>
        <v>ltr</v>
      </c>
      <c r="AF285" s="61" t="n">
        <f aca="false">VLOOKUP(AE285,recipe_ingred_list!$K$16:$M$25,3,0)</f>
        <v>1</v>
      </c>
      <c r="AG285" s="61" t="n">
        <f aca="false">O285</f>
        <v>0</v>
      </c>
      <c r="AH285" s="61" t="n">
        <f aca="false">P285</f>
        <v>0</v>
      </c>
      <c r="AI285" s="61" t="n">
        <f aca="false">VLOOKUP(AH285,recipe_ingred_list!$K$29:$M$34,3,0)</f>
        <v>3</v>
      </c>
      <c r="AJ285" s="61" t="str">
        <f aca="false">IF(Q285="","",Q285)</f>
        <v/>
      </c>
      <c r="AK285" s="61" t="n">
        <f aca="false">AK284+1</f>
        <v>285</v>
      </c>
      <c r="AL285" s="61" t="str">
        <f aca="false">Y285</f>
        <v>gound nut oil</v>
      </c>
      <c r="AM285" s="81" t="str">
        <f aca="false">"a = Client().post('"&amp;W285&amp;"', {'recipe' : '"&amp;V285&amp;"', 'ingredient' : '"&amp;Z285&amp;"', 'name' : '"&amp;X285&amp;"', 'mass_unit' : '"&amp;AC285&amp;"', 'mass_quantity' : '"&amp;ROUND(AA285,3)&amp;"', 'volume_unit' : '"&amp;AF285&amp;"', 'volume_quantity' : '"&amp;ROUND(AD285,3)&amp;"', 'pieces_unit' : '"&amp;AI285&amp;"', 'pieces_quantity' : '"&amp;ROUND(AG285,3)&amp;"', 'cooking_notes' : '"&amp;AJ285&amp;"'}).status_code; print('%s :: %s :: %s :: %s :: %s' %(a,"&amp;G285&amp;",'"&amp;X285&amp;"','"&amp;Y285&amp;"','"&amp;U285&amp;"'))"</f>
        <v>a = Client().post('/recipes/dosa-bhaji-dry/detail/', {'recipe' : '20', 'ingredient' : '83', 'name' : 'Oil', 'mass_unit' : '2', 'mass_quantity' : '0', 'volume_unit' : '1', 'volume_quantity' : '2', 'pieces_unit' : '3', 'pieces_quantity' : '0', 'cooking_notes' : ''}).status_code; print('%s :: %s :: %s :: %s :: %s' %(a,285,'Oil','gound nut oil','Dosa Bhaji Dry'))</v>
      </c>
    </row>
    <row r="286" customFormat="false" ht="13.8" hidden="false" customHeight="false" outlineLevel="0" collapsed="false">
      <c r="G286" s="80" t="n">
        <v>286</v>
      </c>
      <c r="I286" s="82" t="s">
        <v>169</v>
      </c>
      <c r="J286" s="83" t="s">
        <v>570</v>
      </c>
      <c r="M286" s="61" t="n">
        <v>1</v>
      </c>
      <c r="N286" s="61" t="s">
        <v>20</v>
      </c>
      <c r="R286" s="82" t="str">
        <f aca="false">VLOOKUP(J286,ingredient!$N$4:$O$553,2,0)</f>
        <v>rai</v>
      </c>
      <c r="U286" s="81" t="str">
        <f aca="false">I286</f>
        <v>Dosa Bhaji Dry</v>
      </c>
      <c r="V286" s="81" t="n">
        <f aca="false">VLOOKUP(U286,recipe_ingred_list!$A$2:$B$300,2,0)</f>
        <v>20</v>
      </c>
      <c r="W286" s="81" t="str">
        <f aca="false">"/recipes/"&amp;VLOOKUP(U286,recipe_ingred_list!$A$2:$C$300,3,0)&amp;"/detail/"</f>
        <v>/recipes/dosa-bhaji-dry/detail/</v>
      </c>
      <c r="X286" s="81" t="str">
        <f aca="false">J286</f>
        <v>Rai</v>
      </c>
      <c r="Y286" s="81" t="str">
        <f aca="false">R286</f>
        <v>rai</v>
      </c>
      <c r="Z286" s="94" t="n">
        <f aca="false">VLOOKUP(Y286,recipe_ingred_list!$D$2:$E$500,2,0)</f>
        <v>164</v>
      </c>
      <c r="AA286" s="61" t="n">
        <f aca="false">K286</f>
        <v>0</v>
      </c>
      <c r="AB286" s="61" t="n">
        <f aca="false">L286</f>
        <v>0</v>
      </c>
      <c r="AC286" s="61" t="n">
        <f aca="false">VLOOKUP(AB286,recipe_ingred_list!$K$2:$M$7,3,0)</f>
        <v>2</v>
      </c>
      <c r="AD286" s="61" t="n">
        <f aca="false">M286</f>
        <v>1</v>
      </c>
      <c r="AE286" s="61" t="str">
        <f aca="false">N286</f>
        <v>cup</v>
      </c>
      <c r="AF286" s="61" t="n">
        <f aca="false">VLOOKUP(AE286,recipe_ingred_list!$K$16:$M$25,3,0)</f>
        <v>5</v>
      </c>
      <c r="AG286" s="61" t="n">
        <f aca="false">O286</f>
        <v>0</v>
      </c>
      <c r="AH286" s="61" t="n">
        <f aca="false">P286</f>
        <v>0</v>
      </c>
      <c r="AI286" s="61" t="n">
        <f aca="false">VLOOKUP(AH286,recipe_ingred_list!$K$29:$M$34,3,0)</f>
        <v>3</v>
      </c>
      <c r="AJ286" s="61" t="str">
        <f aca="false">IF(Q286="","",Q286)</f>
        <v/>
      </c>
      <c r="AK286" s="61" t="n">
        <f aca="false">AK285+1</f>
        <v>286</v>
      </c>
      <c r="AL286" s="61" t="str">
        <f aca="false">Y286</f>
        <v>rai</v>
      </c>
      <c r="AM286" s="81" t="str">
        <f aca="false">"a = Client().post('"&amp;W286&amp;"', {'recipe' : '"&amp;V286&amp;"', 'ingredient' : '"&amp;Z286&amp;"', 'name' : '"&amp;X286&amp;"', 'mass_unit' : '"&amp;AC286&amp;"', 'mass_quantity' : '"&amp;ROUND(AA286,3)&amp;"', 'volume_unit' : '"&amp;AF286&amp;"', 'volume_quantity' : '"&amp;ROUND(AD286,3)&amp;"', 'pieces_unit' : '"&amp;AI286&amp;"', 'pieces_quantity' : '"&amp;ROUND(AG286,3)&amp;"', 'cooking_notes' : '"&amp;AJ286&amp;"'}).status_code; print('%s :: %s :: %s :: %s :: %s' %(a,"&amp;G286&amp;",'"&amp;X286&amp;"','"&amp;Y286&amp;"','"&amp;U286&amp;"'))"</f>
        <v>a = Client().post('/recipes/dosa-bhaji-dry/detail/', {'recipe' : '20', 'ingredient' : '164', 'name' : 'Rai', 'mass_unit' : '2', 'mass_quantity' : '0', 'volume_unit' : '5', 'volume_quantity' : '1', 'pieces_unit' : '3', 'pieces_quantity' : '0', 'cooking_notes' : ''}).status_code; print('%s :: %s :: %s :: %s :: %s' %(a,286,'Rai','rai','Dosa Bhaji Dry'))</v>
      </c>
    </row>
    <row r="287" customFormat="false" ht="13.8" hidden="false" customHeight="false" outlineLevel="0" collapsed="false">
      <c r="G287" s="80" t="n">
        <v>287</v>
      </c>
      <c r="I287" s="82" t="s">
        <v>169</v>
      </c>
      <c r="J287" s="83" t="s">
        <v>607</v>
      </c>
      <c r="M287" s="61" t="n">
        <v>2</v>
      </c>
      <c r="N287" s="61" t="s">
        <v>20</v>
      </c>
      <c r="R287" s="82" t="str">
        <f aca="false">VLOOKUP(J287,ingredient!$N$4:$O$553,2,0)</f>
        <v>urad dal</v>
      </c>
      <c r="U287" s="81" t="str">
        <f aca="false">I287</f>
        <v>Dosa Bhaji Dry</v>
      </c>
      <c r="V287" s="81" t="n">
        <f aca="false">VLOOKUP(U287,recipe_ingred_list!$A$2:$B$300,2,0)</f>
        <v>20</v>
      </c>
      <c r="W287" s="81" t="str">
        <f aca="false">"/recipes/"&amp;VLOOKUP(U287,recipe_ingred_list!$A$2:$C$300,3,0)&amp;"/detail/"</f>
        <v>/recipes/dosa-bhaji-dry/detail/</v>
      </c>
      <c r="X287" s="81" t="str">
        <f aca="false">J287</f>
        <v>Udad dal</v>
      </c>
      <c r="Y287" s="81" t="str">
        <f aca="false">R287</f>
        <v>urad dal</v>
      </c>
      <c r="Z287" s="94" t="n">
        <f aca="false">VLOOKUP(Y287,recipe_ingred_list!$D$2:$E$500,2,0)</f>
        <v>200</v>
      </c>
      <c r="AA287" s="61" t="n">
        <f aca="false">K287</f>
        <v>0</v>
      </c>
      <c r="AB287" s="61" t="n">
        <f aca="false">L287</f>
        <v>0</v>
      </c>
      <c r="AC287" s="61" t="n">
        <f aca="false">VLOOKUP(AB287,recipe_ingred_list!$K$2:$M$7,3,0)</f>
        <v>2</v>
      </c>
      <c r="AD287" s="61" t="n">
        <f aca="false">M287</f>
        <v>2</v>
      </c>
      <c r="AE287" s="61" t="str">
        <f aca="false">N287</f>
        <v>cup</v>
      </c>
      <c r="AF287" s="61" t="n">
        <f aca="false">VLOOKUP(AE287,recipe_ingred_list!$K$16:$M$25,3,0)</f>
        <v>5</v>
      </c>
      <c r="AG287" s="61" t="n">
        <f aca="false">O287</f>
        <v>0</v>
      </c>
      <c r="AH287" s="61" t="n">
        <f aca="false">P287</f>
        <v>0</v>
      </c>
      <c r="AI287" s="61" t="n">
        <f aca="false">VLOOKUP(AH287,recipe_ingred_list!$K$29:$M$34,3,0)</f>
        <v>3</v>
      </c>
      <c r="AJ287" s="61" t="str">
        <f aca="false">IF(Q287="","",Q287)</f>
        <v/>
      </c>
      <c r="AK287" s="61" t="n">
        <f aca="false">AK286+1</f>
        <v>287</v>
      </c>
      <c r="AL287" s="61" t="str">
        <f aca="false">Y287</f>
        <v>urad dal</v>
      </c>
      <c r="AM287" s="81" t="str">
        <f aca="false">"a = Client().post('"&amp;W287&amp;"', {'recipe' : '"&amp;V287&amp;"', 'ingredient' : '"&amp;Z287&amp;"', 'name' : '"&amp;X287&amp;"', 'mass_unit' : '"&amp;AC287&amp;"', 'mass_quantity' : '"&amp;ROUND(AA287,3)&amp;"', 'volume_unit' : '"&amp;AF287&amp;"', 'volume_quantity' : '"&amp;ROUND(AD287,3)&amp;"', 'pieces_unit' : '"&amp;AI287&amp;"', 'pieces_quantity' : '"&amp;ROUND(AG287,3)&amp;"', 'cooking_notes' : '"&amp;AJ287&amp;"'}).status_code; print('%s :: %s :: %s :: %s :: %s' %(a,"&amp;G287&amp;",'"&amp;X287&amp;"','"&amp;Y287&amp;"','"&amp;U287&amp;"'))"</f>
        <v>a = Client().post('/recipes/dosa-bhaji-dry/detail/', {'recipe' : '20', 'ingredient' : '200', 'name' : 'Udad dal', 'mass_unit' : '2', 'mass_quantity' : '0', 'volume_unit' : '5', 'volume_quantity' : '2', 'pieces_unit' : '3', 'pieces_quantity' : '0', 'cooking_notes' : ''}).status_code; print('%s :: %s :: %s :: %s :: %s' %(a,287,'Udad dal','urad dal','Dosa Bhaji Dry'))</v>
      </c>
    </row>
    <row r="288" customFormat="false" ht="13.8" hidden="false" customHeight="false" outlineLevel="0" collapsed="false">
      <c r="G288" s="80" t="n">
        <v>288</v>
      </c>
      <c r="I288" s="82" t="s">
        <v>169</v>
      </c>
      <c r="J288" s="83" t="s">
        <v>577</v>
      </c>
      <c r="M288" s="61" t="n">
        <v>2</v>
      </c>
      <c r="N288" s="61" t="s">
        <v>20</v>
      </c>
      <c r="R288" s="82" t="str">
        <f aca="false">VLOOKUP(J288,ingredient!$N$4:$O$553,2,0)</f>
        <v>chana dal</v>
      </c>
      <c r="U288" s="81" t="str">
        <f aca="false">I288</f>
        <v>Dosa Bhaji Dry</v>
      </c>
      <c r="V288" s="81" t="n">
        <f aca="false">VLOOKUP(U288,recipe_ingred_list!$A$2:$B$300,2,0)</f>
        <v>20</v>
      </c>
      <c r="W288" s="81" t="str">
        <f aca="false">"/recipes/"&amp;VLOOKUP(U288,recipe_ingred_list!$A$2:$C$300,3,0)&amp;"/detail/"</f>
        <v>/recipes/dosa-bhaji-dry/detail/</v>
      </c>
      <c r="X288" s="81" t="str">
        <f aca="false">J288</f>
        <v>Chana dal</v>
      </c>
      <c r="Y288" s="81" t="str">
        <f aca="false">R288</f>
        <v>chana dal</v>
      </c>
      <c r="Z288" s="94" t="n">
        <f aca="false">VLOOKUP(Y288,recipe_ingred_list!$D$2:$E$500,2,0)</f>
        <v>46</v>
      </c>
      <c r="AA288" s="61" t="n">
        <f aca="false">K288</f>
        <v>0</v>
      </c>
      <c r="AB288" s="61" t="n">
        <f aca="false">L288</f>
        <v>0</v>
      </c>
      <c r="AC288" s="61" t="n">
        <f aca="false">VLOOKUP(AB288,recipe_ingred_list!$K$2:$M$7,3,0)</f>
        <v>2</v>
      </c>
      <c r="AD288" s="61" t="n">
        <f aca="false">M288</f>
        <v>2</v>
      </c>
      <c r="AE288" s="61" t="str">
        <f aca="false">N288</f>
        <v>cup</v>
      </c>
      <c r="AF288" s="61" t="n">
        <f aca="false">VLOOKUP(AE288,recipe_ingred_list!$K$16:$M$25,3,0)</f>
        <v>5</v>
      </c>
      <c r="AG288" s="61" t="n">
        <f aca="false">O288</f>
        <v>0</v>
      </c>
      <c r="AH288" s="61" t="n">
        <f aca="false">P288</f>
        <v>0</v>
      </c>
      <c r="AI288" s="61" t="n">
        <f aca="false">VLOOKUP(AH288,recipe_ingred_list!$K$29:$M$34,3,0)</f>
        <v>3</v>
      </c>
      <c r="AJ288" s="61" t="str">
        <f aca="false">IF(Q288="","",Q288)</f>
        <v/>
      </c>
      <c r="AK288" s="61" t="n">
        <f aca="false">AK287+1</f>
        <v>288</v>
      </c>
      <c r="AL288" s="61" t="str">
        <f aca="false">Y288</f>
        <v>chana dal</v>
      </c>
      <c r="AM288" s="81" t="str">
        <f aca="false">"a = Client().post('"&amp;W288&amp;"', {'recipe' : '"&amp;V288&amp;"', 'ingredient' : '"&amp;Z288&amp;"', 'name' : '"&amp;X288&amp;"', 'mass_unit' : '"&amp;AC288&amp;"', 'mass_quantity' : '"&amp;ROUND(AA288,3)&amp;"', 'volume_unit' : '"&amp;AF288&amp;"', 'volume_quantity' : '"&amp;ROUND(AD288,3)&amp;"', 'pieces_unit' : '"&amp;AI288&amp;"', 'pieces_quantity' : '"&amp;ROUND(AG288,3)&amp;"', 'cooking_notes' : '"&amp;AJ288&amp;"'}).status_code; print('%s :: %s :: %s :: %s :: %s' %(a,"&amp;G288&amp;",'"&amp;X288&amp;"','"&amp;Y288&amp;"','"&amp;U288&amp;"'))"</f>
        <v>a = Client().post('/recipes/dosa-bhaji-dry/detail/', {'recipe' : '20', 'ingredient' : '46', 'name' : 'Chana dal', 'mass_unit' : '2', 'mass_quantity' : '0', 'volume_unit' : '5', 'volume_quantity' : '2', 'pieces_unit' : '3', 'pieces_quantity' : '0', 'cooking_notes' : ''}).status_code; print('%s :: %s :: %s :: %s :: %s' %(a,288,'Chana dal','chana dal','Dosa Bhaji Dry'))</v>
      </c>
    </row>
    <row r="289" customFormat="false" ht="13.8" hidden="false" customHeight="false" outlineLevel="0" collapsed="false">
      <c r="G289" s="80" t="n">
        <v>289</v>
      </c>
      <c r="I289" s="82" t="s">
        <v>169</v>
      </c>
      <c r="J289" s="83" t="s">
        <v>562</v>
      </c>
      <c r="M289" s="61" t="n">
        <v>0.5</v>
      </c>
      <c r="N289" s="61" t="s">
        <v>20</v>
      </c>
      <c r="R289" s="82" t="str">
        <f aca="false">VLOOKUP(J289,ingredient!$N$4:$O$553,2,0)</f>
        <v>hing</v>
      </c>
      <c r="U289" s="81" t="str">
        <f aca="false">I289</f>
        <v>Dosa Bhaji Dry</v>
      </c>
      <c r="V289" s="81" t="n">
        <f aca="false">VLOOKUP(U289,recipe_ingred_list!$A$2:$B$300,2,0)</f>
        <v>20</v>
      </c>
      <c r="W289" s="81" t="str">
        <f aca="false">"/recipes/"&amp;VLOOKUP(U289,recipe_ingred_list!$A$2:$C$300,3,0)&amp;"/detail/"</f>
        <v>/recipes/dosa-bhaji-dry/detail/</v>
      </c>
      <c r="X289" s="81" t="str">
        <f aca="false">J289</f>
        <v>Hing</v>
      </c>
      <c r="Y289" s="81" t="str">
        <f aca="false">R289</f>
        <v>hing</v>
      </c>
      <c r="Z289" s="94" t="n">
        <f aca="false">VLOOKUP(Y289,recipe_ingred_list!$D$2:$E$500,2,0)</f>
        <v>95</v>
      </c>
      <c r="AA289" s="61" t="n">
        <f aca="false">K289</f>
        <v>0</v>
      </c>
      <c r="AB289" s="61" t="n">
        <f aca="false">L289</f>
        <v>0</v>
      </c>
      <c r="AC289" s="61" t="n">
        <f aca="false">VLOOKUP(AB289,recipe_ingred_list!$K$2:$M$7,3,0)</f>
        <v>2</v>
      </c>
      <c r="AD289" s="61" t="n">
        <f aca="false">M289</f>
        <v>0.5</v>
      </c>
      <c r="AE289" s="61" t="str">
        <f aca="false">N289</f>
        <v>cup</v>
      </c>
      <c r="AF289" s="61" t="n">
        <f aca="false">VLOOKUP(AE289,recipe_ingred_list!$K$16:$M$25,3,0)</f>
        <v>5</v>
      </c>
      <c r="AG289" s="61" t="n">
        <f aca="false">O289</f>
        <v>0</v>
      </c>
      <c r="AH289" s="61" t="n">
        <f aca="false">P289</f>
        <v>0</v>
      </c>
      <c r="AI289" s="61" t="n">
        <f aca="false">VLOOKUP(AH289,recipe_ingred_list!$K$29:$M$34,3,0)</f>
        <v>3</v>
      </c>
      <c r="AJ289" s="61" t="str">
        <f aca="false">IF(Q289="","",Q289)</f>
        <v/>
      </c>
      <c r="AK289" s="61" t="n">
        <f aca="false">AK288+1</f>
        <v>289</v>
      </c>
      <c r="AL289" s="61" t="str">
        <f aca="false">Y289</f>
        <v>hing</v>
      </c>
      <c r="AM289" s="81" t="str">
        <f aca="false">"a = Client().post('"&amp;W289&amp;"', {'recipe' : '"&amp;V289&amp;"', 'ingredient' : '"&amp;Z289&amp;"', 'name' : '"&amp;X289&amp;"', 'mass_unit' : '"&amp;AC289&amp;"', 'mass_quantity' : '"&amp;ROUND(AA289,3)&amp;"', 'volume_unit' : '"&amp;AF289&amp;"', 'volume_quantity' : '"&amp;ROUND(AD289,3)&amp;"', 'pieces_unit' : '"&amp;AI289&amp;"', 'pieces_quantity' : '"&amp;ROUND(AG289,3)&amp;"', 'cooking_notes' : '"&amp;AJ289&amp;"'}).status_code; print('%s :: %s :: %s :: %s :: %s' %(a,"&amp;G289&amp;",'"&amp;X289&amp;"','"&amp;Y289&amp;"','"&amp;U289&amp;"'))"</f>
        <v>a = Client().post('/recipes/dosa-bhaji-dry/detail/', {'recipe' : '20', 'ingredient' : '95', 'name' : 'Hing', 'mass_unit' : '2', 'mass_quantity' : '0', 'volume_unit' : '5', 'volume_quantity' : '0.5', 'pieces_unit' : '3', 'pieces_quantity' : '0', 'cooking_notes' : ''}).status_code; print('%s :: %s :: %s :: %s :: %s' %(a,289,'Hing','hing','Dosa Bhaji Dry'))</v>
      </c>
    </row>
    <row r="290" customFormat="false" ht="14.9" hidden="false" customHeight="false" outlineLevel="0" collapsed="false">
      <c r="G290" s="80" t="n">
        <v>290</v>
      </c>
      <c r="I290" s="82" t="s">
        <v>169</v>
      </c>
      <c r="J290" s="83" t="s">
        <v>526</v>
      </c>
      <c r="M290" s="61" t="n">
        <v>2</v>
      </c>
      <c r="N290" s="61" t="s">
        <v>20</v>
      </c>
      <c r="Q290" s="84" t="s">
        <v>608</v>
      </c>
      <c r="R290" s="82" t="str">
        <f aca="false">VLOOKUP(J290,ingredient!$N$4:$O$553,2,0)</f>
        <v>hari mirchi</v>
      </c>
      <c r="U290" s="81" t="str">
        <f aca="false">I290</f>
        <v>Dosa Bhaji Dry</v>
      </c>
      <c r="V290" s="81" t="n">
        <f aca="false">VLOOKUP(U290,recipe_ingred_list!$A$2:$B$300,2,0)</f>
        <v>20</v>
      </c>
      <c r="W290" s="81" t="str">
        <f aca="false">"/recipes/"&amp;VLOOKUP(U290,recipe_ingred_list!$A$2:$C$300,3,0)&amp;"/detail/"</f>
        <v>/recipes/dosa-bhaji-dry/detail/</v>
      </c>
      <c r="X290" s="81" t="str">
        <f aca="false">J290</f>
        <v>Hari mirchi</v>
      </c>
      <c r="Y290" s="81" t="str">
        <f aca="false">R290</f>
        <v>hari mirchi</v>
      </c>
      <c r="Z290" s="94" t="n">
        <f aca="false">VLOOKUP(Y290,recipe_ingred_list!$D$2:$E$500,2,0)</f>
        <v>93</v>
      </c>
      <c r="AA290" s="61" t="n">
        <f aca="false">K290</f>
        <v>0</v>
      </c>
      <c r="AB290" s="61" t="n">
        <f aca="false">L290</f>
        <v>0</v>
      </c>
      <c r="AC290" s="61" t="n">
        <f aca="false">VLOOKUP(AB290,recipe_ingred_list!$K$2:$M$7,3,0)</f>
        <v>2</v>
      </c>
      <c r="AD290" s="61" t="n">
        <f aca="false">M290</f>
        <v>2</v>
      </c>
      <c r="AE290" s="61" t="str">
        <f aca="false">N290</f>
        <v>cup</v>
      </c>
      <c r="AF290" s="61" t="n">
        <f aca="false">VLOOKUP(AE290,recipe_ingred_list!$K$16:$M$25,3,0)</f>
        <v>5</v>
      </c>
      <c r="AG290" s="61" t="n">
        <f aca="false">O290</f>
        <v>0</v>
      </c>
      <c r="AH290" s="61" t="n">
        <f aca="false">P290</f>
        <v>0</v>
      </c>
      <c r="AI290" s="61" t="n">
        <f aca="false">VLOOKUP(AH290,recipe_ingred_list!$K$29:$M$34,3,0)</f>
        <v>3</v>
      </c>
      <c r="AJ290" s="61" t="str">
        <f aca="false">IF(Q290="","",Q290)</f>
        <v>split in 2</v>
      </c>
      <c r="AK290" s="61" t="n">
        <f aca="false">AK289+1</f>
        <v>290</v>
      </c>
      <c r="AL290" s="61" t="str">
        <f aca="false">Y290</f>
        <v>hari mirchi</v>
      </c>
      <c r="AM290" s="81" t="str">
        <f aca="false">"a = Client().post('"&amp;W290&amp;"', {'recipe' : '"&amp;V290&amp;"', 'ingredient' : '"&amp;Z290&amp;"', 'name' : '"&amp;X290&amp;"', 'mass_unit' : '"&amp;AC290&amp;"', 'mass_quantity' : '"&amp;ROUND(AA290,3)&amp;"', 'volume_unit' : '"&amp;AF290&amp;"', 'volume_quantity' : '"&amp;ROUND(AD290,3)&amp;"', 'pieces_unit' : '"&amp;AI290&amp;"', 'pieces_quantity' : '"&amp;ROUND(AG290,3)&amp;"', 'cooking_notes' : '"&amp;AJ290&amp;"'}).status_code; print('%s :: %s :: %s :: %s :: %s' %(a,"&amp;G290&amp;",'"&amp;X290&amp;"','"&amp;Y290&amp;"','"&amp;U290&amp;"'))"</f>
        <v>a = Client().post('/recipes/dosa-bhaji-dry/detail/', {'recipe' : '20', 'ingredient' : '93', 'name' : 'Hari mirchi', 'mass_unit' : '2', 'mass_quantity' : '0', 'volume_unit' : '5', 'volume_quantity' : '2', 'pieces_unit' : '3', 'pieces_quantity' : '0', 'cooking_notes' : 'split in 2'}).status_code; print('%s :: %s :: %s :: %s :: %s' %(a,290,'Hari mirchi','hari mirchi','Dosa Bhaji Dry'))</v>
      </c>
    </row>
    <row r="291" customFormat="false" ht="13.8" hidden="false" customHeight="false" outlineLevel="0" collapsed="false">
      <c r="G291" s="80" t="n">
        <v>291</v>
      </c>
      <c r="I291" s="82" t="s">
        <v>169</v>
      </c>
      <c r="J291" s="83" t="s">
        <v>586</v>
      </c>
      <c r="M291" s="61" t="n">
        <v>2</v>
      </c>
      <c r="N291" s="61" t="s">
        <v>13</v>
      </c>
      <c r="R291" s="82" t="str">
        <f aca="false">VLOOKUP(J291,ingredient!$N$4:$O$553,2,0)</f>
        <v>kadi patta</v>
      </c>
      <c r="U291" s="81" t="str">
        <f aca="false">I291</f>
        <v>Dosa Bhaji Dry</v>
      </c>
      <c r="V291" s="81" t="n">
        <f aca="false">VLOOKUP(U291,recipe_ingred_list!$A$2:$B$300,2,0)</f>
        <v>20</v>
      </c>
      <c r="W291" s="81" t="str">
        <f aca="false">"/recipes/"&amp;VLOOKUP(U291,recipe_ingred_list!$A$2:$C$300,3,0)&amp;"/detail/"</f>
        <v>/recipes/dosa-bhaji-dry/detail/</v>
      </c>
      <c r="X291" s="81" t="str">
        <f aca="false">J291</f>
        <v>Kadipatta</v>
      </c>
      <c r="Y291" s="81" t="str">
        <f aca="false">R291</f>
        <v>kadi patta</v>
      </c>
      <c r="Z291" s="94" t="n">
        <f aca="false">VLOOKUP(Y291,recipe_ingred_list!$D$2:$E$500,2,0)</f>
        <v>105</v>
      </c>
      <c r="AA291" s="61" t="n">
        <f aca="false">K291</f>
        <v>0</v>
      </c>
      <c r="AB291" s="61" t="n">
        <f aca="false">L291</f>
        <v>0</v>
      </c>
      <c r="AC291" s="61" t="n">
        <f aca="false">VLOOKUP(AB291,recipe_ingred_list!$K$2:$M$7,3,0)</f>
        <v>2</v>
      </c>
      <c r="AD291" s="61" t="n">
        <f aca="false">M291</f>
        <v>2</v>
      </c>
      <c r="AE291" s="61" t="str">
        <f aca="false">N291</f>
        <v>ltr</v>
      </c>
      <c r="AF291" s="61" t="n">
        <f aca="false">VLOOKUP(AE291,recipe_ingred_list!$K$16:$M$25,3,0)</f>
        <v>1</v>
      </c>
      <c r="AG291" s="61" t="n">
        <f aca="false">O291</f>
        <v>0</v>
      </c>
      <c r="AH291" s="61" t="n">
        <f aca="false">P291</f>
        <v>0</v>
      </c>
      <c r="AI291" s="61" t="n">
        <f aca="false">VLOOKUP(AH291,recipe_ingred_list!$K$29:$M$34,3,0)</f>
        <v>3</v>
      </c>
      <c r="AJ291" s="61" t="str">
        <f aca="false">IF(Q291="","",Q291)</f>
        <v/>
      </c>
      <c r="AK291" s="61" t="n">
        <f aca="false">AK290+1</f>
        <v>291</v>
      </c>
      <c r="AL291" s="61" t="str">
        <f aca="false">Y291</f>
        <v>kadi patta</v>
      </c>
      <c r="AM291" s="81" t="str">
        <f aca="false">"a = Client().post('"&amp;W291&amp;"', {'recipe' : '"&amp;V291&amp;"', 'ingredient' : '"&amp;Z291&amp;"', 'name' : '"&amp;X291&amp;"', 'mass_unit' : '"&amp;AC291&amp;"', 'mass_quantity' : '"&amp;ROUND(AA291,3)&amp;"', 'volume_unit' : '"&amp;AF291&amp;"', 'volume_quantity' : '"&amp;ROUND(AD291,3)&amp;"', 'pieces_unit' : '"&amp;AI291&amp;"', 'pieces_quantity' : '"&amp;ROUND(AG291,3)&amp;"', 'cooking_notes' : '"&amp;AJ291&amp;"'}).status_code; print('%s :: %s :: %s :: %s :: %s' %(a,"&amp;G291&amp;",'"&amp;X291&amp;"','"&amp;Y291&amp;"','"&amp;U291&amp;"'))"</f>
        <v>a = Client().post('/recipes/dosa-bhaji-dry/detail/', {'recipe' : '20', 'ingredient' : '105', 'name' : 'Kadipatta', 'mass_unit' : '2', 'mass_quantity' : '0', 'volume_unit' : '1', 'volume_quantity' : '2', 'pieces_unit' : '3', 'pieces_quantity' : '0', 'cooking_notes' : ''}).status_code; print('%s :: %s :: %s :: %s :: %s' %(a,291,'Kadipatta','kadi patta','Dosa Bhaji Dry'))</v>
      </c>
    </row>
    <row r="292" customFormat="false" ht="13.8" hidden="false" customHeight="false" outlineLevel="0" collapsed="false">
      <c r="G292" s="80" t="n">
        <v>292</v>
      </c>
      <c r="I292" s="82" t="s">
        <v>169</v>
      </c>
      <c r="J292" s="83" t="s">
        <v>564</v>
      </c>
      <c r="M292" s="61" t="n">
        <v>1</v>
      </c>
      <c r="N292" s="61" t="s">
        <v>20</v>
      </c>
      <c r="R292" s="82" t="str">
        <f aca="false">VLOOKUP(J292,ingredient!$N$4:$O$553,2,0)</f>
        <v>haldi</v>
      </c>
      <c r="U292" s="81" t="str">
        <f aca="false">I292</f>
        <v>Dosa Bhaji Dry</v>
      </c>
      <c r="V292" s="81" t="n">
        <f aca="false">VLOOKUP(U292,recipe_ingred_list!$A$2:$B$300,2,0)</f>
        <v>20</v>
      </c>
      <c r="W292" s="81" t="str">
        <f aca="false">"/recipes/"&amp;VLOOKUP(U292,recipe_ingred_list!$A$2:$C$300,3,0)&amp;"/detail/"</f>
        <v>/recipes/dosa-bhaji-dry/detail/</v>
      </c>
      <c r="X292" s="81" t="str">
        <f aca="false">J292</f>
        <v>Haldi</v>
      </c>
      <c r="Y292" s="81" t="str">
        <f aca="false">R292</f>
        <v>haldi</v>
      </c>
      <c r="Z292" s="94" t="n">
        <f aca="false">VLOOKUP(Y292,recipe_ingred_list!$D$2:$E$500,2,0)</f>
        <v>91</v>
      </c>
      <c r="AA292" s="61" t="n">
        <f aca="false">K292</f>
        <v>0</v>
      </c>
      <c r="AB292" s="61" t="n">
        <f aca="false">L292</f>
        <v>0</v>
      </c>
      <c r="AC292" s="61" t="n">
        <f aca="false">VLOOKUP(AB292,recipe_ingred_list!$K$2:$M$7,3,0)</f>
        <v>2</v>
      </c>
      <c r="AD292" s="61" t="n">
        <f aca="false">M292</f>
        <v>1</v>
      </c>
      <c r="AE292" s="61" t="str">
        <f aca="false">N292</f>
        <v>cup</v>
      </c>
      <c r="AF292" s="61" t="n">
        <f aca="false">VLOOKUP(AE292,recipe_ingred_list!$K$16:$M$25,3,0)</f>
        <v>5</v>
      </c>
      <c r="AG292" s="61" t="n">
        <f aca="false">O292</f>
        <v>0</v>
      </c>
      <c r="AH292" s="61" t="n">
        <f aca="false">P292</f>
        <v>0</v>
      </c>
      <c r="AI292" s="61" t="n">
        <f aca="false">VLOOKUP(AH292,recipe_ingred_list!$K$29:$M$34,3,0)</f>
        <v>3</v>
      </c>
      <c r="AJ292" s="61" t="str">
        <f aca="false">IF(Q292="","",Q292)</f>
        <v/>
      </c>
      <c r="AK292" s="61" t="n">
        <f aca="false">AK291+1</f>
        <v>292</v>
      </c>
      <c r="AL292" s="61" t="str">
        <f aca="false">Y292</f>
        <v>haldi</v>
      </c>
      <c r="AM292" s="81" t="str">
        <f aca="false">"a = Client().post('"&amp;W292&amp;"', {'recipe' : '"&amp;V292&amp;"', 'ingredient' : '"&amp;Z292&amp;"', 'name' : '"&amp;X292&amp;"', 'mass_unit' : '"&amp;AC292&amp;"', 'mass_quantity' : '"&amp;ROUND(AA292,3)&amp;"', 'volume_unit' : '"&amp;AF292&amp;"', 'volume_quantity' : '"&amp;ROUND(AD292,3)&amp;"', 'pieces_unit' : '"&amp;AI292&amp;"', 'pieces_quantity' : '"&amp;ROUND(AG292,3)&amp;"', 'cooking_notes' : '"&amp;AJ292&amp;"'}).status_code; print('%s :: %s :: %s :: %s :: %s' %(a,"&amp;G292&amp;",'"&amp;X292&amp;"','"&amp;Y292&amp;"','"&amp;U292&amp;"'))"</f>
        <v>a = Client().post('/recipes/dosa-bhaji-dry/detail/', {'recipe' : '20', 'ingredient' : '91', 'name' : 'Haldi', 'mass_unit' : '2', 'mass_quantity' : '0', 'volume_unit' : '5', 'volume_quantity' : '1', 'pieces_unit' : '3', 'pieces_quantity' : '0', 'cooking_notes' : ''}).status_code; print('%s :: %s :: %s :: %s :: %s' %(a,292,'Haldi','haldi','Dosa Bhaji Dry'))</v>
      </c>
    </row>
    <row r="293" customFormat="false" ht="13.8" hidden="false" customHeight="false" outlineLevel="0" collapsed="false">
      <c r="G293" s="80" t="n">
        <v>293</v>
      </c>
      <c r="I293" s="82" t="s">
        <v>169</v>
      </c>
      <c r="J293" s="83" t="s">
        <v>609</v>
      </c>
      <c r="M293" s="61" t="n">
        <v>2</v>
      </c>
      <c r="N293" s="61" t="s">
        <v>20</v>
      </c>
      <c r="R293" s="82" t="str">
        <f aca="false">VLOOKUP(J293,ingredient!$N$4:$O$553,2,0)</f>
        <v>mtr rasam masala</v>
      </c>
      <c r="U293" s="81" t="str">
        <f aca="false">I293</f>
        <v>Dosa Bhaji Dry</v>
      </c>
      <c r="V293" s="81" t="n">
        <f aca="false">VLOOKUP(U293,recipe_ingred_list!$A$2:$B$300,2,0)</f>
        <v>20</v>
      </c>
      <c r="W293" s="81" t="str">
        <f aca="false">"/recipes/"&amp;VLOOKUP(U293,recipe_ingred_list!$A$2:$C$300,3,0)&amp;"/detail/"</f>
        <v>/recipes/dosa-bhaji-dry/detail/</v>
      </c>
      <c r="X293" s="81" t="str">
        <f aca="false">J293</f>
        <v>MTR Rasam powder</v>
      </c>
      <c r="Y293" s="81" t="str">
        <f aca="false">R293</f>
        <v>mtr rasam masala</v>
      </c>
      <c r="Z293" s="94" t="n">
        <f aca="false">VLOOKUP(Y293,recipe_ingred_list!$D$2:$E$500,2,0)</f>
        <v>148</v>
      </c>
      <c r="AA293" s="61" t="n">
        <f aca="false">K293</f>
        <v>0</v>
      </c>
      <c r="AB293" s="61" t="n">
        <f aca="false">L293</f>
        <v>0</v>
      </c>
      <c r="AC293" s="61" t="n">
        <f aca="false">VLOOKUP(AB293,recipe_ingred_list!$K$2:$M$7,3,0)</f>
        <v>2</v>
      </c>
      <c r="AD293" s="61" t="n">
        <f aca="false">M293</f>
        <v>2</v>
      </c>
      <c r="AE293" s="61" t="str">
        <f aca="false">N293</f>
        <v>cup</v>
      </c>
      <c r="AF293" s="61" t="n">
        <f aca="false">VLOOKUP(AE293,recipe_ingred_list!$K$16:$M$25,3,0)</f>
        <v>5</v>
      </c>
      <c r="AG293" s="61" t="n">
        <f aca="false">O293</f>
        <v>0</v>
      </c>
      <c r="AH293" s="61" t="n">
        <f aca="false">P293</f>
        <v>0</v>
      </c>
      <c r="AI293" s="61" t="n">
        <f aca="false">VLOOKUP(AH293,recipe_ingred_list!$K$29:$M$34,3,0)</f>
        <v>3</v>
      </c>
      <c r="AJ293" s="61" t="str">
        <f aca="false">IF(Q293="","",Q293)</f>
        <v/>
      </c>
      <c r="AK293" s="61" t="n">
        <f aca="false">AK292+1</f>
        <v>293</v>
      </c>
      <c r="AL293" s="61" t="str">
        <f aca="false">Y293</f>
        <v>mtr rasam masala</v>
      </c>
      <c r="AM293" s="81" t="str">
        <f aca="false">"a = Client().post('"&amp;W293&amp;"', {'recipe' : '"&amp;V293&amp;"', 'ingredient' : '"&amp;Z293&amp;"', 'name' : '"&amp;X293&amp;"', 'mass_unit' : '"&amp;AC293&amp;"', 'mass_quantity' : '"&amp;ROUND(AA293,3)&amp;"', 'volume_unit' : '"&amp;AF293&amp;"', 'volume_quantity' : '"&amp;ROUND(AD293,3)&amp;"', 'pieces_unit' : '"&amp;AI293&amp;"', 'pieces_quantity' : '"&amp;ROUND(AG293,3)&amp;"', 'cooking_notes' : '"&amp;AJ293&amp;"'}).status_code; print('%s :: %s :: %s :: %s :: %s' %(a,"&amp;G293&amp;",'"&amp;X293&amp;"','"&amp;Y293&amp;"','"&amp;U293&amp;"'))"</f>
        <v>a = Client().post('/recipes/dosa-bhaji-dry/detail/', {'recipe' : '20', 'ingredient' : '148', 'name' : 'MTR Rasam powder', 'mass_unit' : '2', 'mass_quantity' : '0', 'volume_unit' : '5', 'volume_quantity' : '2', 'pieces_unit' : '3', 'pieces_quantity' : '0', 'cooking_notes' : ''}).status_code; print('%s :: %s :: %s :: %s :: %s' %(a,293,'MTR Rasam powder','mtr rasam masala','Dosa Bhaji Dry'))</v>
      </c>
    </row>
    <row r="294" customFormat="false" ht="13.8" hidden="false" customHeight="false" outlineLevel="0" collapsed="false">
      <c r="G294" s="80" t="n">
        <v>294</v>
      </c>
      <c r="I294" s="82" t="s">
        <v>169</v>
      </c>
      <c r="J294" s="83" t="s">
        <v>32</v>
      </c>
      <c r="M294" s="61" t="n">
        <v>2.5</v>
      </c>
      <c r="N294" s="61" t="s">
        <v>20</v>
      </c>
      <c r="R294" s="82" t="str">
        <f aca="false">VLOOKUP(J294,ingredient!$N$4:$O$553,2,0)</f>
        <v>salt</v>
      </c>
      <c r="U294" s="81" t="str">
        <f aca="false">I294</f>
        <v>Dosa Bhaji Dry</v>
      </c>
      <c r="V294" s="81" t="n">
        <f aca="false">VLOOKUP(U294,recipe_ingred_list!$A$2:$B$300,2,0)</f>
        <v>20</v>
      </c>
      <c r="W294" s="81" t="str">
        <f aca="false">"/recipes/"&amp;VLOOKUP(U294,recipe_ingred_list!$A$2:$C$300,3,0)&amp;"/detail/"</f>
        <v>/recipes/dosa-bhaji-dry/detail/</v>
      </c>
      <c r="X294" s="81" t="str">
        <f aca="false">J294</f>
        <v>Salt</v>
      </c>
      <c r="Y294" s="81" t="str">
        <f aca="false">R294</f>
        <v>salt</v>
      </c>
      <c r="Z294" s="94" t="n">
        <f aca="false">VLOOKUP(Y294,recipe_ingred_list!$D$2:$E$500,2,0)</f>
        <v>177</v>
      </c>
      <c r="AA294" s="61" t="n">
        <f aca="false">K294</f>
        <v>0</v>
      </c>
      <c r="AB294" s="61" t="n">
        <f aca="false">L294</f>
        <v>0</v>
      </c>
      <c r="AC294" s="61" t="n">
        <f aca="false">VLOOKUP(AB294,recipe_ingred_list!$K$2:$M$7,3,0)</f>
        <v>2</v>
      </c>
      <c r="AD294" s="61" t="n">
        <f aca="false">M294</f>
        <v>2.5</v>
      </c>
      <c r="AE294" s="61" t="str">
        <f aca="false">N294</f>
        <v>cup</v>
      </c>
      <c r="AF294" s="61" t="n">
        <f aca="false">VLOOKUP(AE294,recipe_ingred_list!$K$16:$M$25,3,0)</f>
        <v>5</v>
      </c>
      <c r="AG294" s="61" t="n">
        <f aca="false">O294</f>
        <v>0</v>
      </c>
      <c r="AH294" s="61" t="n">
        <f aca="false">P294</f>
        <v>0</v>
      </c>
      <c r="AI294" s="61" t="n">
        <f aca="false">VLOOKUP(AH294,recipe_ingred_list!$K$29:$M$34,3,0)</f>
        <v>3</v>
      </c>
      <c r="AJ294" s="61" t="str">
        <f aca="false">IF(Q294="","",Q294)</f>
        <v/>
      </c>
      <c r="AK294" s="61" t="n">
        <f aca="false">AK293+1</f>
        <v>294</v>
      </c>
      <c r="AL294" s="61" t="str">
        <f aca="false">Y294</f>
        <v>salt</v>
      </c>
      <c r="AM294" s="81" t="str">
        <f aca="false">"a = Client().post('"&amp;W294&amp;"', {'recipe' : '"&amp;V294&amp;"', 'ingredient' : '"&amp;Z294&amp;"', 'name' : '"&amp;X294&amp;"', 'mass_unit' : '"&amp;AC294&amp;"', 'mass_quantity' : '"&amp;ROUND(AA294,3)&amp;"', 'volume_unit' : '"&amp;AF294&amp;"', 'volume_quantity' : '"&amp;ROUND(AD294,3)&amp;"', 'pieces_unit' : '"&amp;AI294&amp;"', 'pieces_quantity' : '"&amp;ROUND(AG294,3)&amp;"', 'cooking_notes' : '"&amp;AJ294&amp;"'}).status_code; print('%s :: %s :: %s :: %s :: %s' %(a,"&amp;G294&amp;",'"&amp;X294&amp;"','"&amp;Y294&amp;"','"&amp;U294&amp;"'))"</f>
        <v>a = Client().post('/recipes/dosa-bhaji-dry/detail/', {'recipe' : '20', 'ingredient' : '177', 'name' : 'Salt', 'mass_unit' : '2', 'mass_quantity' : '0', 'volume_unit' : '5', 'volume_quantity' : '2.5', 'pieces_unit' : '3', 'pieces_quantity' : '0', 'cooking_notes' : ''}).status_code; print('%s :: %s :: %s :: %s :: %s' %(a,294,'Salt','salt','Dosa Bhaji Dry'))</v>
      </c>
    </row>
    <row r="295" customFormat="false" ht="13.8" hidden="false" customHeight="false" outlineLevel="0" collapsed="false">
      <c r="G295" s="80" t="n">
        <v>295</v>
      </c>
      <c r="H295" s="98"/>
      <c r="I295" s="99" t="s">
        <v>169</v>
      </c>
      <c r="J295" s="79" t="s">
        <v>558</v>
      </c>
      <c r="K295" s="100"/>
      <c r="L295" s="100"/>
      <c r="M295" s="100" t="n">
        <v>45</v>
      </c>
      <c r="N295" s="100" t="s">
        <v>13</v>
      </c>
      <c r="O295" s="101"/>
      <c r="P295" s="100"/>
      <c r="Q295" s="102"/>
      <c r="R295" s="99" t="e">
        <f aca="false">VLOOKUP(J295,ingredient!$N$4:$O$553,2,0)</f>
        <v>#N/A</v>
      </c>
      <c r="S295" s="98"/>
      <c r="T295" s="98"/>
      <c r="U295" s="81" t="str">
        <f aca="false">I295</f>
        <v>Dosa Bhaji Dry</v>
      </c>
      <c r="V295" s="81" t="n">
        <f aca="false">VLOOKUP(U295,recipe_ingred_list!$A$2:$B$300,2,0)</f>
        <v>20</v>
      </c>
      <c r="W295" s="81" t="str">
        <f aca="false">"/recipes/"&amp;VLOOKUP(U295,recipe_ingred_list!$A$2:$C$300,3,0)&amp;"/detail/"</f>
        <v>/recipes/dosa-bhaji-dry/detail/</v>
      </c>
      <c r="X295" s="81" t="str">
        <f aca="false">J295</f>
        <v>Yield </v>
      </c>
      <c r="Y295" s="81" t="e">
        <f aca="false">R295</f>
        <v>#N/A</v>
      </c>
      <c r="Z295" s="94" t="e">
        <f aca="false">VLOOKUP(Y295,recipe_ingred_list!$D$2:$E$500,2,0)</f>
        <v>#N/A</v>
      </c>
      <c r="AA295" s="61" t="n">
        <f aca="false">K295</f>
        <v>0</v>
      </c>
      <c r="AB295" s="61" t="n">
        <f aca="false">L295</f>
        <v>0</v>
      </c>
      <c r="AC295" s="61" t="n">
        <f aca="false">VLOOKUP(AB295,recipe_ingred_list!$K$2:$M$7,3,0)</f>
        <v>2</v>
      </c>
      <c r="AD295" s="61" t="n">
        <f aca="false">M295</f>
        <v>45</v>
      </c>
      <c r="AE295" s="61" t="str">
        <f aca="false">N295</f>
        <v>ltr</v>
      </c>
      <c r="AF295" s="61" t="n">
        <f aca="false">VLOOKUP(AE295,recipe_ingred_list!$K$16:$M$25,3,0)</f>
        <v>1</v>
      </c>
      <c r="AG295" s="61" t="n">
        <f aca="false">O295</f>
        <v>0</v>
      </c>
      <c r="AH295" s="61" t="n">
        <f aca="false">P295</f>
        <v>0</v>
      </c>
      <c r="AI295" s="61" t="n">
        <f aca="false">VLOOKUP(AH295,recipe_ingred_list!$K$29:$M$34,3,0)</f>
        <v>3</v>
      </c>
      <c r="AJ295" s="61" t="str">
        <f aca="false">IF(Q295="","",Q295)</f>
        <v/>
      </c>
      <c r="AK295" s="61" t="n">
        <f aca="false">AK294+1</f>
        <v>295</v>
      </c>
      <c r="AL295" s="61" t="e">
        <f aca="false">Y295</f>
        <v>#N/A</v>
      </c>
      <c r="AM295" s="81" t="e">
        <f aca="false">"a = Client().post('"&amp;W295&amp;"', {'recipe' : '"&amp;V295&amp;"', 'ingredient' : '"&amp;Z295&amp;"', 'name' : '"&amp;X295&amp;"', 'mass_unit' : '"&amp;AC295&amp;"', 'mass_quantity' : '"&amp;ROUND(AA295,3)&amp;"', 'volume_unit' : '"&amp;AF295&amp;"', 'volume_quantity' : '"&amp;ROUND(AD295,3)&amp;"', 'pieces_unit' : '"&amp;AI295&amp;"', 'pieces_quantity' : '"&amp;ROUND(AG295,3)&amp;"', 'cooking_notes' : '"&amp;AJ295&amp;"'}).status_code; print('%s :: %s :: %s :: %s :: %s' %(a,"&amp;G295&amp;",'"&amp;X295&amp;"','"&amp;Y295&amp;"','"&amp;U295&amp;"'))"</f>
        <v>#N/A</v>
      </c>
    </row>
    <row r="296" customFormat="false" ht="13.8" hidden="false" customHeight="false" outlineLevel="0" collapsed="false">
      <c r="G296" s="80" t="n">
        <v>296</v>
      </c>
      <c r="H296" s="98"/>
      <c r="I296" s="99"/>
      <c r="J296" s="79"/>
      <c r="K296" s="100"/>
      <c r="L296" s="100"/>
      <c r="M296" s="100"/>
      <c r="N296" s="100"/>
      <c r="O296" s="101"/>
      <c r="P296" s="100"/>
      <c r="Q296" s="102"/>
      <c r="R296" s="99" t="e">
        <f aca="false">VLOOKUP(J296,ingredient!$N$4:$O$553,2,0)</f>
        <v>#N/A</v>
      </c>
      <c r="S296" s="98"/>
      <c r="T296" s="98"/>
      <c r="U296" s="81" t="n">
        <f aca="false">I296</f>
        <v>0</v>
      </c>
      <c r="V296" s="81" t="e">
        <f aca="false">VLOOKUP(U296,recipe_ingred_list!$A$2:$B$300,2,0)</f>
        <v>#N/A</v>
      </c>
      <c r="W296" s="81" t="e">
        <f aca="false">"/recipes/"&amp;VLOOKUP(U296,recipe_ingred_list!$A$2:$C$300,3,0)&amp;"/detail/"</f>
        <v>#N/A</v>
      </c>
      <c r="X296" s="81" t="n">
        <f aca="false">J296</f>
        <v>0</v>
      </c>
      <c r="Y296" s="81" t="e">
        <f aca="false">R296</f>
        <v>#N/A</v>
      </c>
      <c r="Z296" s="94" t="e">
        <f aca="false">VLOOKUP(Y296,recipe_ingred_list!$D$2:$E$500,2,0)</f>
        <v>#N/A</v>
      </c>
      <c r="AA296" s="61" t="n">
        <f aca="false">K296</f>
        <v>0</v>
      </c>
      <c r="AB296" s="61" t="n">
        <f aca="false">L296</f>
        <v>0</v>
      </c>
      <c r="AC296" s="61" t="n">
        <f aca="false">VLOOKUP(AB296,recipe_ingred_list!$K$2:$M$7,3,0)</f>
        <v>2</v>
      </c>
      <c r="AD296" s="61" t="n">
        <f aca="false">M296</f>
        <v>0</v>
      </c>
      <c r="AE296" s="61" t="n">
        <f aca="false">N296</f>
        <v>0</v>
      </c>
      <c r="AF296" s="61" t="n">
        <f aca="false">VLOOKUP(AE296,recipe_ingred_list!$K$16:$M$25,3,0)</f>
        <v>1</v>
      </c>
      <c r="AG296" s="61" t="n">
        <f aca="false">O296</f>
        <v>0</v>
      </c>
      <c r="AH296" s="61" t="n">
        <f aca="false">P296</f>
        <v>0</v>
      </c>
      <c r="AI296" s="61" t="n">
        <f aca="false">VLOOKUP(AH296,recipe_ingred_list!$K$29:$M$34,3,0)</f>
        <v>3</v>
      </c>
      <c r="AJ296" s="61" t="str">
        <f aca="false">IF(Q296="","",Q296)</f>
        <v/>
      </c>
      <c r="AK296" s="61" t="n">
        <f aca="false">AK295+1</f>
        <v>296</v>
      </c>
      <c r="AL296" s="61" t="e">
        <f aca="false">Y296</f>
        <v>#N/A</v>
      </c>
      <c r="AM296" s="81" t="e">
        <f aca="false">"a = Client().post('"&amp;W296&amp;"', {'recipe' : '"&amp;V296&amp;"', 'ingredient' : '"&amp;Z296&amp;"', 'name' : '"&amp;X296&amp;"', 'mass_unit' : '"&amp;AC296&amp;"', 'mass_quantity' : '"&amp;ROUND(AA296,3)&amp;"', 'volume_unit' : '"&amp;AF296&amp;"', 'volume_quantity' : '"&amp;ROUND(AD296,3)&amp;"', 'pieces_unit' : '"&amp;AI296&amp;"', 'pieces_quantity' : '"&amp;ROUND(AG296,3)&amp;"', 'cooking_notes' : '"&amp;AJ296&amp;"'}).status_code; print('%s :: %s :: %s :: %s :: %s' %(a,"&amp;G296&amp;",'"&amp;X296&amp;"','"&amp;Y296&amp;"','"&amp;U296&amp;"'))"</f>
        <v>#N/A</v>
      </c>
    </row>
    <row r="297" customFormat="false" ht="13.8" hidden="false" customHeight="false" outlineLevel="0" collapsed="false">
      <c r="G297" s="80" t="n">
        <v>297</v>
      </c>
      <c r="I297" s="82" t="s">
        <v>148</v>
      </c>
      <c r="J297" s="83" t="s">
        <v>610</v>
      </c>
      <c r="K297" s="61" t="n">
        <v>11</v>
      </c>
      <c r="L297" s="61" t="s">
        <v>7</v>
      </c>
      <c r="R297" s="82" t="str">
        <f aca="false">VLOOKUP(J297,ingredient!$N$4:$O$553,2,0)</f>
        <v>chole</v>
      </c>
      <c r="U297" s="81" t="str">
        <f aca="false">I297</f>
        <v>Chole Krsna Balaram</v>
      </c>
      <c r="V297" s="81" t="n">
        <f aca="false">VLOOKUP(U297,recipe_ingred_list!$A$2:$B$300,2,0)</f>
        <v>13</v>
      </c>
      <c r="W297" s="81" t="str">
        <f aca="false">"/recipes/"&amp;VLOOKUP(U297,recipe_ingred_list!$A$2:$C$300,3,0)&amp;"/detail/"</f>
        <v>/recipes/chole-krsna-balaram/detail/</v>
      </c>
      <c r="X297" s="81" t="str">
        <f aca="false">J297</f>
        <v>Chole</v>
      </c>
      <c r="Y297" s="81" t="str">
        <f aca="false">R297</f>
        <v>chole</v>
      </c>
      <c r="Z297" s="94" t="n">
        <f aca="false">VLOOKUP(Y297,recipe_ingred_list!$D$2:$E$500,2,0)</f>
        <v>53</v>
      </c>
      <c r="AA297" s="61" t="n">
        <f aca="false">K297</f>
        <v>11</v>
      </c>
      <c r="AB297" s="61" t="str">
        <f aca="false">L297</f>
        <v>kg</v>
      </c>
      <c r="AC297" s="61" t="n">
        <f aca="false">VLOOKUP(AB297,recipe_ingred_list!$K$2:$M$7,3,0)</f>
        <v>2</v>
      </c>
      <c r="AD297" s="61" t="n">
        <f aca="false">M297</f>
        <v>0</v>
      </c>
      <c r="AE297" s="61" t="n">
        <f aca="false">N297</f>
        <v>0</v>
      </c>
      <c r="AF297" s="61" t="n">
        <f aca="false">VLOOKUP(AE297,recipe_ingred_list!$K$16:$M$25,3,0)</f>
        <v>1</v>
      </c>
      <c r="AG297" s="61" t="n">
        <f aca="false">O297</f>
        <v>0</v>
      </c>
      <c r="AH297" s="61" t="n">
        <f aca="false">P297</f>
        <v>0</v>
      </c>
      <c r="AI297" s="61" t="n">
        <f aca="false">VLOOKUP(AH297,recipe_ingred_list!$K$29:$M$34,3,0)</f>
        <v>3</v>
      </c>
      <c r="AJ297" s="61" t="str">
        <f aca="false">IF(Q297="","",Q297)</f>
        <v/>
      </c>
      <c r="AK297" s="61" t="n">
        <f aca="false">AK296+1</f>
        <v>297</v>
      </c>
      <c r="AL297" s="61" t="str">
        <f aca="false">Y297</f>
        <v>chole</v>
      </c>
      <c r="AM297" s="81" t="str">
        <f aca="false">"a = Client().post('"&amp;W297&amp;"', {'recipe' : '"&amp;V297&amp;"', 'ingredient' : '"&amp;Z297&amp;"', 'name' : '"&amp;X297&amp;"', 'mass_unit' : '"&amp;AC297&amp;"', 'mass_quantity' : '"&amp;ROUND(AA297,3)&amp;"', 'volume_unit' : '"&amp;AF297&amp;"', 'volume_quantity' : '"&amp;ROUND(AD297,3)&amp;"', 'pieces_unit' : '"&amp;AI297&amp;"', 'pieces_quantity' : '"&amp;ROUND(AG297,3)&amp;"', 'cooking_notes' : '"&amp;AJ297&amp;"'}).status_code; print('%s :: %s :: %s :: %s :: %s' %(a,"&amp;G297&amp;",'"&amp;X297&amp;"','"&amp;Y297&amp;"','"&amp;U297&amp;"'))"</f>
        <v>a = Client().post('/recipes/chole-krsna-balaram/detail/', {'recipe' : '13', 'ingredient' : '53', 'name' : 'Chole', 'mass_unit' : '2', 'mass_quantity' : '11', 'volume_unit' : '1', 'volume_quantity' : '0', 'pieces_unit' : '3', 'pieces_quantity' : '0', 'cooking_notes' : ''}).status_code; print('%s :: %s :: %s :: %s :: %s' %(a,297,'Chole','chole','Chole Krsna Balaram'))</v>
      </c>
    </row>
    <row r="298" customFormat="false" ht="14.9" hidden="false" customHeight="false" outlineLevel="0" collapsed="false">
      <c r="G298" s="80" t="n">
        <v>298</v>
      </c>
      <c r="I298" s="82" t="s">
        <v>148</v>
      </c>
      <c r="J298" s="83" t="s">
        <v>21</v>
      </c>
      <c r="K298" s="61" t="n">
        <v>5.5</v>
      </c>
      <c r="L298" s="61" t="s">
        <v>7</v>
      </c>
      <c r="Q298" s="84" t="s">
        <v>567</v>
      </c>
      <c r="R298" s="82" t="str">
        <f aca="false">VLOOKUP(J298,ingredient!$N$4:$O$553,2,0)</f>
        <v>tomato</v>
      </c>
      <c r="U298" s="81" t="str">
        <f aca="false">I298</f>
        <v>Chole Krsna Balaram</v>
      </c>
      <c r="V298" s="81" t="n">
        <f aca="false">VLOOKUP(U298,recipe_ingred_list!$A$2:$B$300,2,0)</f>
        <v>13</v>
      </c>
      <c r="W298" s="81" t="str">
        <f aca="false">"/recipes/"&amp;VLOOKUP(U298,recipe_ingred_list!$A$2:$C$300,3,0)&amp;"/detail/"</f>
        <v>/recipes/chole-krsna-balaram/detail/</v>
      </c>
      <c r="X298" s="81" t="str">
        <f aca="false">J298</f>
        <v>Tomato</v>
      </c>
      <c r="Y298" s="81" t="str">
        <f aca="false">R298</f>
        <v>tomato</v>
      </c>
      <c r="Z298" s="94" t="n">
        <f aca="false">VLOOKUP(Y298,recipe_ingred_list!$D$2:$E$500,2,0)</f>
        <v>195</v>
      </c>
      <c r="AA298" s="61" t="n">
        <f aca="false">K298</f>
        <v>5.5</v>
      </c>
      <c r="AB298" s="61" t="str">
        <f aca="false">L298</f>
        <v>kg</v>
      </c>
      <c r="AC298" s="61" t="n">
        <f aca="false">VLOOKUP(AB298,recipe_ingred_list!$K$2:$M$7,3,0)</f>
        <v>2</v>
      </c>
      <c r="AD298" s="61" t="n">
        <f aca="false">M298</f>
        <v>0</v>
      </c>
      <c r="AE298" s="61" t="n">
        <f aca="false">N298</f>
        <v>0</v>
      </c>
      <c r="AF298" s="61" t="n">
        <f aca="false">VLOOKUP(AE298,recipe_ingred_list!$K$16:$M$25,3,0)</f>
        <v>1</v>
      </c>
      <c r="AG298" s="61" t="n">
        <f aca="false">O298</f>
        <v>0</v>
      </c>
      <c r="AH298" s="61" t="n">
        <f aca="false">P298</f>
        <v>0</v>
      </c>
      <c r="AI298" s="61" t="n">
        <f aca="false">VLOOKUP(AH298,recipe_ingred_list!$K$29:$M$34,3,0)</f>
        <v>3</v>
      </c>
      <c r="AJ298" s="61" t="str">
        <f aca="false">IF(Q298="","",Q298)</f>
        <v>0.5" cube</v>
      </c>
      <c r="AK298" s="61" t="n">
        <f aca="false">AK297+1</f>
        <v>298</v>
      </c>
      <c r="AL298" s="61" t="str">
        <f aca="false">Y298</f>
        <v>tomato</v>
      </c>
      <c r="AM298" s="81" t="str">
        <f aca="false">"a = Client().post('"&amp;W298&amp;"', {'recipe' : '"&amp;V298&amp;"', 'ingredient' : '"&amp;Z298&amp;"', 'name' : '"&amp;X298&amp;"', 'mass_unit' : '"&amp;AC298&amp;"', 'mass_quantity' : '"&amp;ROUND(AA298,3)&amp;"', 'volume_unit' : '"&amp;AF298&amp;"', 'volume_quantity' : '"&amp;ROUND(AD298,3)&amp;"', 'pieces_unit' : '"&amp;AI298&amp;"', 'pieces_quantity' : '"&amp;ROUND(AG298,3)&amp;"', 'cooking_notes' : '"&amp;AJ298&amp;"'}).status_code; print('%s :: %s :: %s :: %s :: %s' %(a,"&amp;G298&amp;",'"&amp;X298&amp;"','"&amp;Y298&amp;"','"&amp;U298&amp;"'))"</f>
        <v>a = Client().post('/recipes/chole-krsna-balaram/detail/', {'recipe' : '13', 'ingredient' : '195', 'name' : 'Tomato', 'mass_unit' : '2', 'mass_quantity' : '5.5', 'volume_unit' : '1', 'volume_quantity' : '0', 'pieces_unit' : '3', 'pieces_quantity' : '0', 'cooking_notes' : '0.5" cube'}).status_code; print('%s :: %s :: %s :: %s :: %s' %(a,298,'Tomato','tomato','Chole Krsna Balaram'))</v>
      </c>
    </row>
    <row r="299" customFormat="false" ht="13.8" hidden="false" customHeight="false" outlineLevel="0" collapsed="false">
      <c r="G299" s="80" t="n">
        <v>299</v>
      </c>
      <c r="I299" s="82" t="s">
        <v>148</v>
      </c>
      <c r="J299" s="83" t="s">
        <v>611</v>
      </c>
      <c r="M299" s="61" t="n">
        <v>6</v>
      </c>
      <c r="N299" s="61" t="s">
        <v>20</v>
      </c>
      <c r="R299" s="82" t="str">
        <f aca="false">VLOOKUP(J299,ingredient!$N$4:$O$553,2,0)</f>
        <v>hansraj chole masala</v>
      </c>
      <c r="U299" s="81" t="str">
        <f aca="false">I299</f>
        <v>Chole Krsna Balaram</v>
      </c>
      <c r="V299" s="81" t="n">
        <f aca="false">VLOOKUP(U299,recipe_ingred_list!$A$2:$B$300,2,0)</f>
        <v>13</v>
      </c>
      <c r="W299" s="81" t="str">
        <f aca="false">"/recipes/"&amp;VLOOKUP(U299,recipe_ingred_list!$A$2:$C$300,3,0)&amp;"/detail/"</f>
        <v>/recipes/chole-krsna-balaram/detail/</v>
      </c>
      <c r="X299" s="81" t="str">
        <f aca="false">J299</f>
        <v>Hansraj chole masala</v>
      </c>
      <c r="Y299" s="81" t="str">
        <f aca="false">R299</f>
        <v>hansraj chole masala</v>
      </c>
      <c r="Z299" s="94" t="n">
        <f aca="false">VLOOKUP(Y299,recipe_ingred_list!$D$2:$E$500,2,0)</f>
        <v>92</v>
      </c>
      <c r="AA299" s="61" t="n">
        <f aca="false">K299</f>
        <v>0</v>
      </c>
      <c r="AB299" s="61" t="n">
        <f aca="false">L299</f>
        <v>0</v>
      </c>
      <c r="AC299" s="61" t="n">
        <f aca="false">VLOOKUP(AB299,recipe_ingred_list!$K$2:$M$7,3,0)</f>
        <v>2</v>
      </c>
      <c r="AD299" s="61" t="n">
        <f aca="false">M299</f>
        <v>6</v>
      </c>
      <c r="AE299" s="61" t="str">
        <f aca="false">N299</f>
        <v>cup</v>
      </c>
      <c r="AF299" s="61" t="n">
        <f aca="false">VLOOKUP(AE299,recipe_ingred_list!$K$16:$M$25,3,0)</f>
        <v>5</v>
      </c>
      <c r="AG299" s="61" t="n">
        <f aca="false">O299</f>
        <v>0</v>
      </c>
      <c r="AH299" s="61" t="n">
        <f aca="false">P299</f>
        <v>0</v>
      </c>
      <c r="AI299" s="61" t="n">
        <f aca="false">VLOOKUP(AH299,recipe_ingred_list!$K$29:$M$34,3,0)</f>
        <v>3</v>
      </c>
      <c r="AJ299" s="61" t="str">
        <f aca="false">IF(Q299="","",Q299)</f>
        <v/>
      </c>
      <c r="AK299" s="61" t="n">
        <f aca="false">AK298+1</f>
        <v>299</v>
      </c>
      <c r="AL299" s="61" t="str">
        <f aca="false">Y299</f>
        <v>hansraj chole masala</v>
      </c>
      <c r="AM299" s="81" t="str">
        <f aca="false">"a = Client().post('"&amp;W299&amp;"', {'recipe' : '"&amp;V299&amp;"', 'ingredient' : '"&amp;Z299&amp;"', 'name' : '"&amp;X299&amp;"', 'mass_unit' : '"&amp;AC299&amp;"', 'mass_quantity' : '"&amp;ROUND(AA299,3)&amp;"', 'volume_unit' : '"&amp;AF299&amp;"', 'volume_quantity' : '"&amp;ROUND(AD299,3)&amp;"', 'pieces_unit' : '"&amp;AI299&amp;"', 'pieces_quantity' : '"&amp;ROUND(AG299,3)&amp;"', 'cooking_notes' : '"&amp;AJ299&amp;"'}).status_code; print('%s :: %s :: %s :: %s :: %s' %(a,"&amp;G299&amp;",'"&amp;X299&amp;"','"&amp;Y299&amp;"','"&amp;U299&amp;"'))"</f>
        <v>a = Client().post('/recipes/chole-krsna-balaram/detail/', {'recipe' : '13', 'ingredient' : '92', 'name' : 'Hansraj chole masala', 'mass_unit' : '2', 'mass_quantity' : '0', 'volume_unit' : '5', 'volume_quantity' : '6', 'pieces_unit' : '3', 'pieces_quantity' : '0', 'cooking_notes' : ''}).status_code; print('%s :: %s :: %s :: %s :: %s' %(a,299,'Hansraj chole masala','hansraj chole masala','Chole Krsna Balaram'))</v>
      </c>
    </row>
    <row r="300" customFormat="false" ht="13.8" hidden="false" customHeight="false" outlineLevel="0" collapsed="false">
      <c r="G300" s="80" t="n">
        <v>300</v>
      </c>
      <c r="I300" s="82" t="s">
        <v>148</v>
      </c>
      <c r="J300" s="83" t="s">
        <v>32</v>
      </c>
      <c r="M300" s="61" t="n">
        <v>0.3</v>
      </c>
      <c r="N300" s="61" t="s">
        <v>20</v>
      </c>
      <c r="R300" s="82" t="str">
        <f aca="false">VLOOKUP(J300,ingredient!$N$4:$O$553,2,0)</f>
        <v>salt</v>
      </c>
      <c r="U300" s="81" t="str">
        <f aca="false">I300</f>
        <v>Chole Krsna Balaram</v>
      </c>
      <c r="V300" s="81" t="n">
        <f aca="false">VLOOKUP(U300,recipe_ingred_list!$A$2:$B$300,2,0)</f>
        <v>13</v>
      </c>
      <c r="W300" s="81" t="str">
        <f aca="false">"/recipes/"&amp;VLOOKUP(U300,recipe_ingred_list!$A$2:$C$300,3,0)&amp;"/detail/"</f>
        <v>/recipes/chole-krsna-balaram/detail/</v>
      </c>
      <c r="X300" s="81" t="str">
        <f aca="false">J300</f>
        <v>Salt</v>
      </c>
      <c r="Y300" s="81" t="str">
        <f aca="false">R300</f>
        <v>salt</v>
      </c>
      <c r="Z300" s="94" t="n">
        <f aca="false">VLOOKUP(Y300,recipe_ingred_list!$D$2:$E$500,2,0)</f>
        <v>177</v>
      </c>
      <c r="AA300" s="61" t="n">
        <f aca="false">K300</f>
        <v>0</v>
      </c>
      <c r="AB300" s="61" t="n">
        <f aca="false">L300</f>
        <v>0</v>
      </c>
      <c r="AC300" s="61" t="n">
        <f aca="false">VLOOKUP(AB300,recipe_ingred_list!$K$2:$M$7,3,0)</f>
        <v>2</v>
      </c>
      <c r="AD300" s="61" t="n">
        <f aca="false">M300</f>
        <v>0.3</v>
      </c>
      <c r="AE300" s="61" t="str">
        <f aca="false">N300</f>
        <v>cup</v>
      </c>
      <c r="AF300" s="61" t="n">
        <f aca="false">VLOOKUP(AE300,recipe_ingred_list!$K$16:$M$25,3,0)</f>
        <v>5</v>
      </c>
      <c r="AG300" s="61" t="n">
        <f aca="false">O300</f>
        <v>0</v>
      </c>
      <c r="AH300" s="61" t="n">
        <f aca="false">P300</f>
        <v>0</v>
      </c>
      <c r="AI300" s="61" t="n">
        <f aca="false">VLOOKUP(AH300,recipe_ingred_list!$K$29:$M$34,3,0)</f>
        <v>3</v>
      </c>
      <c r="AJ300" s="61" t="str">
        <f aca="false">IF(Q300="","",Q300)</f>
        <v/>
      </c>
      <c r="AK300" s="61" t="n">
        <f aca="false">AK299+1</f>
        <v>300</v>
      </c>
      <c r="AL300" s="61" t="str">
        <f aca="false">Y300</f>
        <v>salt</v>
      </c>
      <c r="AM300" s="81" t="str">
        <f aca="false">"a = Client().post('"&amp;W300&amp;"', {'recipe' : '"&amp;V300&amp;"', 'ingredient' : '"&amp;Z300&amp;"', 'name' : '"&amp;X300&amp;"', 'mass_unit' : '"&amp;AC300&amp;"', 'mass_quantity' : '"&amp;ROUND(AA300,3)&amp;"', 'volume_unit' : '"&amp;AF300&amp;"', 'volume_quantity' : '"&amp;ROUND(AD300,3)&amp;"', 'pieces_unit' : '"&amp;AI300&amp;"', 'pieces_quantity' : '"&amp;ROUND(AG300,3)&amp;"', 'cooking_notes' : '"&amp;AJ300&amp;"'}).status_code; print('%s :: %s :: %s :: %s :: %s' %(a,"&amp;G300&amp;",'"&amp;X300&amp;"','"&amp;Y300&amp;"','"&amp;U300&amp;"'))"</f>
        <v>a = Client().post('/recipes/chole-krsna-balaram/detail/', {'recipe' : '13', 'ingredient' : '177', 'name' : 'Salt', 'mass_unit' : '2', 'mass_quantity' : '0', 'volume_unit' : '5', 'volume_quantity' : '0.3', 'pieces_unit' : '3', 'pieces_quantity' : '0', 'cooking_notes' : ''}).status_code; print('%s :: %s :: %s :: %s :: %s' %(a,300,'Salt','salt','Chole Krsna Balaram'))</v>
      </c>
    </row>
    <row r="301" customFormat="false" ht="13.8" hidden="false" customHeight="false" outlineLevel="0" collapsed="false">
      <c r="G301" s="80" t="n">
        <v>301</v>
      </c>
      <c r="I301" s="82" t="s">
        <v>148</v>
      </c>
      <c r="J301" s="83" t="s">
        <v>612</v>
      </c>
      <c r="M301" s="61" t="n">
        <v>2</v>
      </c>
      <c r="N301" s="61" t="s">
        <v>20</v>
      </c>
      <c r="R301" s="82" t="str">
        <f aca="false">VLOOKUP(J301,ingredient!$N$4:$O$553,2,0)</f>
        <v>amla churna</v>
      </c>
      <c r="U301" s="81" t="str">
        <f aca="false">I301</f>
        <v>Chole Krsna Balaram</v>
      </c>
      <c r="V301" s="81" t="n">
        <f aca="false">VLOOKUP(U301,recipe_ingred_list!$A$2:$B$300,2,0)</f>
        <v>13</v>
      </c>
      <c r="W301" s="81" t="str">
        <f aca="false">"/recipes/"&amp;VLOOKUP(U301,recipe_ingred_list!$A$2:$C$300,3,0)&amp;"/detail/"</f>
        <v>/recipes/chole-krsna-balaram/detail/</v>
      </c>
      <c r="X301" s="81" t="str">
        <f aca="false">J301</f>
        <v>Amla churna (optional)</v>
      </c>
      <c r="Y301" s="81" t="str">
        <f aca="false">R301</f>
        <v>amla churna</v>
      </c>
      <c r="Z301" s="94" t="n">
        <f aca="false">VLOOKUP(Y301,recipe_ingred_list!$D$2:$E$500,2,0)</f>
        <v>11</v>
      </c>
      <c r="AA301" s="61" t="n">
        <f aca="false">K301</f>
        <v>0</v>
      </c>
      <c r="AB301" s="61" t="n">
        <f aca="false">L301</f>
        <v>0</v>
      </c>
      <c r="AC301" s="61" t="n">
        <f aca="false">VLOOKUP(AB301,recipe_ingred_list!$K$2:$M$7,3,0)</f>
        <v>2</v>
      </c>
      <c r="AD301" s="61" t="n">
        <f aca="false">M301</f>
        <v>2</v>
      </c>
      <c r="AE301" s="61" t="str">
        <f aca="false">N301</f>
        <v>cup</v>
      </c>
      <c r="AF301" s="61" t="n">
        <f aca="false">VLOOKUP(AE301,recipe_ingred_list!$K$16:$M$25,3,0)</f>
        <v>5</v>
      </c>
      <c r="AG301" s="61" t="n">
        <f aca="false">O301</f>
        <v>0</v>
      </c>
      <c r="AH301" s="61" t="n">
        <f aca="false">P301</f>
        <v>0</v>
      </c>
      <c r="AI301" s="61" t="n">
        <f aca="false">VLOOKUP(AH301,recipe_ingred_list!$K$29:$M$34,3,0)</f>
        <v>3</v>
      </c>
      <c r="AJ301" s="61" t="str">
        <f aca="false">IF(Q301="","",Q301)</f>
        <v/>
      </c>
      <c r="AK301" s="61" t="n">
        <f aca="false">AK300+1</f>
        <v>301</v>
      </c>
      <c r="AL301" s="61" t="str">
        <f aca="false">Y301</f>
        <v>amla churna</v>
      </c>
      <c r="AM301" s="81" t="str">
        <f aca="false">"a = Client().post('"&amp;W301&amp;"', {'recipe' : '"&amp;V301&amp;"', 'ingredient' : '"&amp;Z301&amp;"', 'name' : '"&amp;X301&amp;"', 'mass_unit' : '"&amp;AC301&amp;"', 'mass_quantity' : '"&amp;ROUND(AA301,3)&amp;"', 'volume_unit' : '"&amp;AF301&amp;"', 'volume_quantity' : '"&amp;ROUND(AD301,3)&amp;"', 'pieces_unit' : '"&amp;AI301&amp;"', 'pieces_quantity' : '"&amp;ROUND(AG301,3)&amp;"', 'cooking_notes' : '"&amp;AJ301&amp;"'}).status_code; print('%s :: %s :: %s :: %s :: %s' %(a,"&amp;G301&amp;",'"&amp;X301&amp;"','"&amp;Y301&amp;"','"&amp;U301&amp;"'))"</f>
        <v>a = Client().post('/recipes/chole-krsna-balaram/detail/', {'recipe' : '13', 'ingredient' : '11', 'name' : 'Amla churna (optional)', 'mass_unit' : '2', 'mass_quantity' : '0', 'volume_unit' : '5', 'volume_quantity' : '2', 'pieces_unit' : '3', 'pieces_quantity' : '0', 'cooking_notes' : ''}).status_code; print('%s :: %s :: %s :: %s :: %s' %(a,301,'Amla churna (optional)','amla churna','Chole Krsna Balaram'))</v>
      </c>
    </row>
    <row r="302" customFormat="false" ht="13.8" hidden="false" customHeight="false" outlineLevel="0" collapsed="false">
      <c r="G302" s="80" t="n">
        <v>302</v>
      </c>
      <c r="H302" s="98"/>
      <c r="I302" s="99" t="s">
        <v>148</v>
      </c>
      <c r="J302" s="79" t="s">
        <v>558</v>
      </c>
      <c r="K302" s="100"/>
      <c r="L302" s="100"/>
      <c r="M302" s="100" t="n">
        <v>55</v>
      </c>
      <c r="N302" s="100" t="s">
        <v>13</v>
      </c>
      <c r="O302" s="101"/>
      <c r="P302" s="100"/>
      <c r="Q302" s="102"/>
      <c r="R302" s="99" t="e">
        <f aca="false">VLOOKUP(J302,ingredient!$N$4:$O$553,2,0)</f>
        <v>#N/A</v>
      </c>
      <c r="S302" s="98"/>
      <c r="T302" s="98"/>
      <c r="U302" s="81" t="str">
        <f aca="false">I302</f>
        <v>Chole Krsna Balaram</v>
      </c>
      <c r="V302" s="81" t="n">
        <f aca="false">VLOOKUP(U302,recipe_ingred_list!$A$2:$B$300,2,0)</f>
        <v>13</v>
      </c>
      <c r="W302" s="81" t="str">
        <f aca="false">"/recipes/"&amp;VLOOKUP(U302,recipe_ingred_list!$A$2:$C$300,3,0)&amp;"/detail/"</f>
        <v>/recipes/chole-krsna-balaram/detail/</v>
      </c>
      <c r="X302" s="81" t="str">
        <f aca="false">J302</f>
        <v>Yield </v>
      </c>
      <c r="Y302" s="81" t="e">
        <f aca="false">R302</f>
        <v>#N/A</v>
      </c>
      <c r="Z302" s="94" t="e">
        <f aca="false">VLOOKUP(Y302,recipe_ingred_list!$D$2:$E$500,2,0)</f>
        <v>#N/A</v>
      </c>
      <c r="AA302" s="61" t="n">
        <f aca="false">K302</f>
        <v>0</v>
      </c>
      <c r="AB302" s="61" t="n">
        <f aca="false">L302</f>
        <v>0</v>
      </c>
      <c r="AC302" s="61" t="n">
        <f aca="false">VLOOKUP(AB302,recipe_ingred_list!$K$2:$M$7,3,0)</f>
        <v>2</v>
      </c>
      <c r="AD302" s="61" t="n">
        <f aca="false">M302</f>
        <v>55</v>
      </c>
      <c r="AE302" s="61" t="str">
        <f aca="false">N302</f>
        <v>ltr</v>
      </c>
      <c r="AF302" s="61" t="n">
        <f aca="false">VLOOKUP(AE302,recipe_ingred_list!$K$16:$M$25,3,0)</f>
        <v>1</v>
      </c>
      <c r="AG302" s="61" t="n">
        <f aca="false">O302</f>
        <v>0</v>
      </c>
      <c r="AH302" s="61" t="n">
        <f aca="false">P302</f>
        <v>0</v>
      </c>
      <c r="AI302" s="61" t="n">
        <f aca="false">VLOOKUP(AH302,recipe_ingred_list!$K$29:$M$34,3,0)</f>
        <v>3</v>
      </c>
      <c r="AJ302" s="61" t="str">
        <f aca="false">IF(Q302="","",Q302)</f>
        <v/>
      </c>
      <c r="AK302" s="61" t="n">
        <f aca="false">AK301+1</f>
        <v>302</v>
      </c>
      <c r="AL302" s="61" t="e">
        <f aca="false">Y302</f>
        <v>#N/A</v>
      </c>
      <c r="AM302" s="81" t="e">
        <f aca="false">"a = Client().post('"&amp;W302&amp;"', {'recipe' : '"&amp;V302&amp;"', 'ingredient' : '"&amp;Z302&amp;"', 'name' : '"&amp;X302&amp;"', 'mass_unit' : '"&amp;AC302&amp;"', 'mass_quantity' : '"&amp;ROUND(AA302,3)&amp;"', 'volume_unit' : '"&amp;AF302&amp;"', 'volume_quantity' : '"&amp;ROUND(AD302,3)&amp;"', 'pieces_unit' : '"&amp;AI302&amp;"', 'pieces_quantity' : '"&amp;ROUND(AG302,3)&amp;"', 'cooking_notes' : '"&amp;AJ302&amp;"'}).status_code; print('%s :: %s :: %s :: %s :: %s' %(a,"&amp;G302&amp;",'"&amp;X302&amp;"','"&amp;Y302&amp;"','"&amp;U302&amp;"'))"</f>
        <v>#N/A</v>
      </c>
    </row>
    <row r="303" customFormat="false" ht="13.8" hidden="false" customHeight="false" outlineLevel="0" collapsed="false">
      <c r="G303" s="80" t="n">
        <v>303</v>
      </c>
      <c r="H303" s="98"/>
      <c r="I303" s="99"/>
      <c r="J303" s="79"/>
      <c r="K303" s="100"/>
      <c r="L303" s="100"/>
      <c r="M303" s="100"/>
      <c r="N303" s="100"/>
      <c r="O303" s="101"/>
      <c r="P303" s="100"/>
      <c r="Q303" s="102"/>
      <c r="R303" s="99" t="e">
        <f aca="false">VLOOKUP(J303,ingredient!$N$4:$O$553,2,0)</f>
        <v>#N/A</v>
      </c>
      <c r="S303" s="98"/>
      <c r="T303" s="98"/>
      <c r="U303" s="81" t="n">
        <f aca="false">I303</f>
        <v>0</v>
      </c>
      <c r="V303" s="81" t="e">
        <f aca="false">VLOOKUP(U303,recipe_ingred_list!$A$2:$B$300,2,0)</f>
        <v>#N/A</v>
      </c>
      <c r="W303" s="81" t="e">
        <f aca="false">"/recipes/"&amp;VLOOKUP(U303,recipe_ingred_list!$A$2:$C$300,3,0)&amp;"/detail/"</f>
        <v>#N/A</v>
      </c>
      <c r="X303" s="81" t="n">
        <f aca="false">J303</f>
        <v>0</v>
      </c>
      <c r="Y303" s="81" t="e">
        <f aca="false">R303</f>
        <v>#N/A</v>
      </c>
      <c r="Z303" s="94" t="e">
        <f aca="false">VLOOKUP(Y303,recipe_ingred_list!$D$2:$E$500,2,0)</f>
        <v>#N/A</v>
      </c>
      <c r="AA303" s="61" t="n">
        <f aca="false">K303</f>
        <v>0</v>
      </c>
      <c r="AB303" s="61" t="n">
        <f aca="false">L303</f>
        <v>0</v>
      </c>
      <c r="AC303" s="61" t="n">
        <f aca="false">VLOOKUP(AB303,recipe_ingred_list!$K$2:$M$7,3,0)</f>
        <v>2</v>
      </c>
      <c r="AD303" s="61" t="n">
        <f aca="false">M303</f>
        <v>0</v>
      </c>
      <c r="AE303" s="61" t="n">
        <f aca="false">N303</f>
        <v>0</v>
      </c>
      <c r="AF303" s="61" t="n">
        <f aca="false">VLOOKUP(AE303,recipe_ingred_list!$K$16:$M$25,3,0)</f>
        <v>1</v>
      </c>
      <c r="AG303" s="61" t="n">
        <f aca="false">O303</f>
        <v>0</v>
      </c>
      <c r="AH303" s="61" t="n">
        <f aca="false">P303</f>
        <v>0</v>
      </c>
      <c r="AI303" s="61" t="n">
        <f aca="false">VLOOKUP(AH303,recipe_ingred_list!$K$29:$M$34,3,0)</f>
        <v>3</v>
      </c>
      <c r="AJ303" s="61" t="str">
        <f aca="false">IF(Q303="","",Q303)</f>
        <v/>
      </c>
      <c r="AK303" s="61" t="n">
        <f aca="false">AK302+1</f>
        <v>303</v>
      </c>
      <c r="AL303" s="61" t="e">
        <f aca="false">Y303</f>
        <v>#N/A</v>
      </c>
      <c r="AM303" s="81" t="e">
        <f aca="false">"a = Client().post('"&amp;W303&amp;"', {'recipe' : '"&amp;V303&amp;"', 'ingredient' : '"&amp;Z303&amp;"', 'name' : '"&amp;X303&amp;"', 'mass_unit' : '"&amp;AC303&amp;"', 'mass_quantity' : '"&amp;ROUND(AA303,3)&amp;"', 'volume_unit' : '"&amp;AF303&amp;"', 'volume_quantity' : '"&amp;ROUND(AD303,3)&amp;"', 'pieces_unit' : '"&amp;AI303&amp;"', 'pieces_quantity' : '"&amp;ROUND(AG303,3)&amp;"', 'cooking_notes' : '"&amp;AJ303&amp;"'}).status_code; print('%s :: %s :: %s :: %s :: %s' %(a,"&amp;G303&amp;",'"&amp;X303&amp;"','"&amp;Y303&amp;"','"&amp;U303&amp;"'))"</f>
        <v>#N/A</v>
      </c>
    </row>
    <row r="304" customFormat="false" ht="13.8" hidden="false" customHeight="false" outlineLevel="0" collapsed="false">
      <c r="G304" s="80" t="n">
        <v>304</v>
      </c>
      <c r="I304" s="82" t="s">
        <v>277</v>
      </c>
      <c r="J304" s="83" t="s">
        <v>585</v>
      </c>
      <c r="M304" s="61" t="n">
        <v>1</v>
      </c>
      <c r="N304" s="61" t="s">
        <v>13</v>
      </c>
      <c r="R304" s="82" t="str">
        <f aca="false">VLOOKUP(J304,ingredient!$N$4:$O$553,2,0)</f>
        <v>rai oil</v>
      </c>
      <c r="U304" s="81" t="str">
        <f aca="false">I304</f>
        <v>Patol White Gravy</v>
      </c>
      <c r="V304" s="81" t="n">
        <f aca="false">VLOOKUP(U304,recipe_ingred_list!$A$2:$B$300,2,0)</f>
        <v>56</v>
      </c>
      <c r="W304" s="81" t="str">
        <f aca="false">"/recipes/"&amp;VLOOKUP(U304,recipe_ingred_list!$A$2:$C$300,3,0)&amp;"/detail/"</f>
        <v>/recipes/patol-white-gravy/detail/</v>
      </c>
      <c r="X304" s="81" t="str">
        <f aca="false">J304</f>
        <v>Rai tel</v>
      </c>
      <c r="Y304" s="81" t="str">
        <f aca="false">R304</f>
        <v>rai oil</v>
      </c>
      <c r="Z304" s="94" t="n">
        <f aca="false">VLOOKUP(Y304,recipe_ingred_list!$D$2:$E$500,2,0)</f>
        <v>165</v>
      </c>
      <c r="AA304" s="61" t="n">
        <f aca="false">K304</f>
        <v>0</v>
      </c>
      <c r="AB304" s="61" t="n">
        <f aca="false">L304</f>
        <v>0</v>
      </c>
      <c r="AC304" s="61" t="n">
        <f aca="false">VLOOKUP(AB304,recipe_ingred_list!$K$2:$M$7,3,0)</f>
        <v>2</v>
      </c>
      <c r="AD304" s="61" t="n">
        <f aca="false">M304</f>
        <v>1</v>
      </c>
      <c r="AE304" s="61" t="str">
        <f aca="false">N304</f>
        <v>ltr</v>
      </c>
      <c r="AF304" s="61" t="n">
        <f aca="false">VLOOKUP(AE304,recipe_ingred_list!$K$16:$M$25,3,0)</f>
        <v>1</v>
      </c>
      <c r="AG304" s="61" t="n">
        <f aca="false">O304</f>
        <v>0</v>
      </c>
      <c r="AH304" s="61" t="n">
        <f aca="false">P304</f>
        <v>0</v>
      </c>
      <c r="AI304" s="61" t="n">
        <f aca="false">VLOOKUP(AH304,recipe_ingred_list!$K$29:$M$34,3,0)</f>
        <v>3</v>
      </c>
      <c r="AJ304" s="61" t="str">
        <f aca="false">IF(Q304="","",Q304)</f>
        <v/>
      </c>
      <c r="AK304" s="61" t="n">
        <f aca="false">AK303+1</f>
        <v>304</v>
      </c>
      <c r="AL304" s="61" t="str">
        <f aca="false">Y304</f>
        <v>rai oil</v>
      </c>
      <c r="AM304" s="81" t="str">
        <f aca="false">"a = Client().post('"&amp;W304&amp;"', {'recipe' : '"&amp;V304&amp;"', 'ingredient' : '"&amp;Z304&amp;"', 'name' : '"&amp;X304&amp;"', 'mass_unit' : '"&amp;AC304&amp;"', 'mass_quantity' : '"&amp;ROUND(AA304,3)&amp;"', 'volume_unit' : '"&amp;AF304&amp;"', 'volume_quantity' : '"&amp;ROUND(AD304,3)&amp;"', 'pieces_unit' : '"&amp;AI304&amp;"', 'pieces_quantity' : '"&amp;ROUND(AG304,3)&amp;"', 'cooking_notes' : '"&amp;AJ304&amp;"'}).status_code; print('%s :: %s :: %s :: %s :: %s' %(a,"&amp;G304&amp;",'"&amp;X304&amp;"','"&amp;Y304&amp;"','"&amp;U304&amp;"'))"</f>
        <v>a = Client().post('/recipes/patol-white-gravy/detail/', {'recipe' : '56', 'ingredient' : '165', 'name' : 'Rai tel', 'mass_unit' : '2', 'mass_quantity' : '0', 'volume_unit' : '1', 'volume_quantity' : '1', 'pieces_unit' : '3', 'pieces_quantity' : '0', 'cooking_notes' : ''}).status_code; print('%s :: %s :: %s :: %s :: %s' %(a,304,'Rai tel','rai oil','Patol White Gravy'))</v>
      </c>
    </row>
    <row r="305" customFormat="false" ht="13.8" hidden="false" customHeight="false" outlineLevel="0" collapsed="false">
      <c r="G305" s="80" t="n">
        <v>305</v>
      </c>
      <c r="I305" s="82" t="s">
        <v>277</v>
      </c>
      <c r="J305" s="83" t="s">
        <v>14</v>
      </c>
      <c r="M305" s="61" t="n">
        <v>0.6</v>
      </c>
      <c r="N305" s="61" t="s">
        <v>20</v>
      </c>
      <c r="R305" s="82" t="str">
        <f aca="false">VLOOKUP(J305,ingredient!$N$4:$O$553,2,0)</f>
        <v>jeera</v>
      </c>
      <c r="U305" s="81" t="str">
        <f aca="false">I305</f>
        <v>Patol White Gravy</v>
      </c>
      <c r="V305" s="81" t="n">
        <f aca="false">VLOOKUP(U305,recipe_ingred_list!$A$2:$B$300,2,0)</f>
        <v>56</v>
      </c>
      <c r="W305" s="81" t="str">
        <f aca="false">"/recipes/"&amp;VLOOKUP(U305,recipe_ingred_list!$A$2:$C$300,3,0)&amp;"/detail/"</f>
        <v>/recipes/patol-white-gravy/detail/</v>
      </c>
      <c r="X305" s="81" t="str">
        <f aca="false">J305</f>
        <v>Jeera</v>
      </c>
      <c r="Y305" s="81" t="str">
        <f aca="false">R305</f>
        <v>jeera</v>
      </c>
      <c r="Z305" s="94" t="n">
        <f aca="false">VLOOKUP(Y305,recipe_ingred_list!$D$2:$E$500,2,0)</f>
        <v>102</v>
      </c>
      <c r="AA305" s="61" t="n">
        <f aca="false">K305</f>
        <v>0</v>
      </c>
      <c r="AB305" s="61" t="n">
        <f aca="false">L305</f>
        <v>0</v>
      </c>
      <c r="AC305" s="61" t="n">
        <f aca="false">VLOOKUP(AB305,recipe_ingred_list!$K$2:$M$7,3,0)</f>
        <v>2</v>
      </c>
      <c r="AD305" s="61" t="n">
        <f aca="false">M305</f>
        <v>0.6</v>
      </c>
      <c r="AE305" s="61" t="str">
        <f aca="false">N305</f>
        <v>cup</v>
      </c>
      <c r="AF305" s="61" t="n">
        <f aca="false">VLOOKUP(AE305,recipe_ingred_list!$K$16:$M$25,3,0)</f>
        <v>5</v>
      </c>
      <c r="AG305" s="61" t="n">
        <f aca="false">O305</f>
        <v>0</v>
      </c>
      <c r="AH305" s="61" t="n">
        <f aca="false">P305</f>
        <v>0</v>
      </c>
      <c r="AI305" s="61" t="n">
        <f aca="false">VLOOKUP(AH305,recipe_ingred_list!$K$29:$M$34,3,0)</f>
        <v>3</v>
      </c>
      <c r="AJ305" s="61" t="str">
        <f aca="false">IF(Q305="","",Q305)</f>
        <v/>
      </c>
      <c r="AK305" s="61" t="n">
        <f aca="false">AK304+1</f>
        <v>305</v>
      </c>
      <c r="AL305" s="61" t="str">
        <f aca="false">Y305</f>
        <v>jeera</v>
      </c>
      <c r="AM305" s="81" t="str">
        <f aca="false">"a = Client().post('"&amp;W305&amp;"', {'recipe' : '"&amp;V305&amp;"', 'ingredient' : '"&amp;Z305&amp;"', 'name' : '"&amp;X305&amp;"', 'mass_unit' : '"&amp;AC305&amp;"', 'mass_quantity' : '"&amp;ROUND(AA305,3)&amp;"', 'volume_unit' : '"&amp;AF305&amp;"', 'volume_quantity' : '"&amp;ROUND(AD305,3)&amp;"', 'pieces_unit' : '"&amp;AI305&amp;"', 'pieces_quantity' : '"&amp;ROUND(AG305,3)&amp;"', 'cooking_notes' : '"&amp;AJ305&amp;"'}).status_code; print('%s :: %s :: %s :: %s :: %s' %(a,"&amp;G305&amp;",'"&amp;X305&amp;"','"&amp;Y305&amp;"','"&amp;U305&amp;"'))"</f>
        <v>a = Client().post('/recipes/patol-white-gravy/detail/', {'recipe' : '56', 'ingredient' : '102', 'name' : 'Jeera', 'mass_unit' : '2', 'mass_quantity' : '0', 'volume_unit' : '5', 'volume_quantity' : '0.6', 'pieces_unit' : '3', 'pieces_quantity' : '0', 'cooking_notes' : ''}).status_code; print('%s :: %s :: %s :: %s :: %s' %(a,305,'Jeera','jeera','Patol White Gravy'))</v>
      </c>
    </row>
    <row r="306" customFormat="false" ht="13.8" hidden="false" customHeight="false" outlineLevel="0" collapsed="false">
      <c r="G306" s="80" t="n">
        <v>306</v>
      </c>
      <c r="I306" s="82" t="s">
        <v>277</v>
      </c>
      <c r="J306" s="83" t="s">
        <v>526</v>
      </c>
      <c r="K306" s="61" t="n">
        <v>100</v>
      </c>
      <c r="L306" s="61" t="s">
        <v>109</v>
      </c>
      <c r="R306" s="82" t="str">
        <f aca="false">VLOOKUP(J306,ingredient!$N$4:$O$553,2,0)</f>
        <v>hari mirchi</v>
      </c>
      <c r="U306" s="81" t="str">
        <f aca="false">I306</f>
        <v>Patol White Gravy</v>
      </c>
      <c r="V306" s="81" t="n">
        <f aca="false">VLOOKUP(U306,recipe_ingred_list!$A$2:$B$300,2,0)</f>
        <v>56</v>
      </c>
      <c r="W306" s="81" t="str">
        <f aca="false">"/recipes/"&amp;VLOOKUP(U306,recipe_ingred_list!$A$2:$C$300,3,0)&amp;"/detail/"</f>
        <v>/recipes/patol-white-gravy/detail/</v>
      </c>
      <c r="X306" s="81" t="str">
        <f aca="false">J306</f>
        <v>Hari mirchi</v>
      </c>
      <c r="Y306" s="81" t="str">
        <f aca="false">R306</f>
        <v>hari mirchi</v>
      </c>
      <c r="Z306" s="94" t="n">
        <f aca="false">VLOOKUP(Y306,recipe_ingred_list!$D$2:$E$500,2,0)</f>
        <v>93</v>
      </c>
      <c r="AA306" s="61" t="n">
        <f aca="false">K306</f>
        <v>100</v>
      </c>
      <c r="AB306" s="61" t="str">
        <f aca="false">L306</f>
        <v>gm</v>
      </c>
      <c r="AC306" s="61" t="n">
        <f aca="false">VLOOKUP(AB306,recipe_ingred_list!$K$2:$M$7,3,0)</f>
        <v>7</v>
      </c>
      <c r="AD306" s="61" t="n">
        <f aca="false">M306</f>
        <v>0</v>
      </c>
      <c r="AE306" s="61" t="n">
        <f aca="false">N306</f>
        <v>0</v>
      </c>
      <c r="AF306" s="61" t="n">
        <f aca="false">VLOOKUP(AE306,recipe_ingred_list!$K$16:$M$25,3,0)</f>
        <v>1</v>
      </c>
      <c r="AG306" s="61" t="n">
        <f aca="false">O306</f>
        <v>0</v>
      </c>
      <c r="AH306" s="61" t="n">
        <f aca="false">P306</f>
        <v>0</v>
      </c>
      <c r="AI306" s="61" t="n">
        <f aca="false">VLOOKUP(AH306,recipe_ingred_list!$K$29:$M$34,3,0)</f>
        <v>3</v>
      </c>
      <c r="AJ306" s="61" t="str">
        <f aca="false">IF(Q306="","",Q306)</f>
        <v/>
      </c>
      <c r="AK306" s="61" t="n">
        <f aca="false">AK305+1</f>
        <v>306</v>
      </c>
      <c r="AL306" s="61" t="str">
        <f aca="false">Y306</f>
        <v>hari mirchi</v>
      </c>
      <c r="AM306" s="81" t="str">
        <f aca="false">"a = Client().post('"&amp;W306&amp;"', {'recipe' : '"&amp;V306&amp;"', 'ingredient' : '"&amp;Z306&amp;"', 'name' : '"&amp;X306&amp;"', 'mass_unit' : '"&amp;AC306&amp;"', 'mass_quantity' : '"&amp;ROUND(AA306,3)&amp;"', 'volume_unit' : '"&amp;AF306&amp;"', 'volume_quantity' : '"&amp;ROUND(AD306,3)&amp;"', 'pieces_unit' : '"&amp;AI306&amp;"', 'pieces_quantity' : '"&amp;ROUND(AG306,3)&amp;"', 'cooking_notes' : '"&amp;AJ306&amp;"'}).status_code; print('%s :: %s :: %s :: %s :: %s' %(a,"&amp;G306&amp;",'"&amp;X306&amp;"','"&amp;Y306&amp;"','"&amp;U306&amp;"'))"</f>
        <v>a = Client().post('/recipes/patol-white-gravy/detail/', {'recipe' : '56', 'ingredient' : '93', 'name' : 'Hari mirchi', 'mass_unit' : '7', 'mass_quantity' : '100', 'volume_unit' : '1', 'volume_quantity' : '0', 'pieces_unit' : '3', 'pieces_quantity' : '0', 'cooking_notes' : ''}).status_code; print('%s :: %s :: %s :: %s :: %s' %(a,306,'Hari mirchi','hari mirchi','Patol White Gravy'))</v>
      </c>
    </row>
    <row r="307" customFormat="false" ht="13.8" hidden="false" customHeight="false" outlineLevel="0" collapsed="false">
      <c r="G307" s="80" t="n">
        <v>307</v>
      </c>
      <c r="I307" s="82" t="s">
        <v>277</v>
      </c>
      <c r="J307" s="83" t="s">
        <v>564</v>
      </c>
      <c r="M307" s="61" t="n">
        <v>0.75</v>
      </c>
      <c r="N307" s="61" t="s">
        <v>20</v>
      </c>
      <c r="R307" s="82" t="str">
        <f aca="false">VLOOKUP(J307,ingredient!$N$4:$O$553,2,0)</f>
        <v>haldi</v>
      </c>
      <c r="U307" s="81" t="str">
        <f aca="false">I307</f>
        <v>Patol White Gravy</v>
      </c>
      <c r="V307" s="81" t="n">
        <f aca="false">VLOOKUP(U307,recipe_ingred_list!$A$2:$B$300,2,0)</f>
        <v>56</v>
      </c>
      <c r="W307" s="81" t="str">
        <f aca="false">"/recipes/"&amp;VLOOKUP(U307,recipe_ingred_list!$A$2:$C$300,3,0)&amp;"/detail/"</f>
        <v>/recipes/patol-white-gravy/detail/</v>
      </c>
      <c r="X307" s="81" t="str">
        <f aca="false">J307</f>
        <v>Haldi</v>
      </c>
      <c r="Y307" s="81" t="str">
        <f aca="false">R307</f>
        <v>haldi</v>
      </c>
      <c r="Z307" s="94" t="n">
        <f aca="false">VLOOKUP(Y307,recipe_ingred_list!$D$2:$E$500,2,0)</f>
        <v>91</v>
      </c>
      <c r="AA307" s="61" t="n">
        <f aca="false">K307</f>
        <v>0</v>
      </c>
      <c r="AB307" s="61" t="n">
        <f aca="false">L307</f>
        <v>0</v>
      </c>
      <c r="AC307" s="61" t="n">
        <f aca="false">VLOOKUP(AB307,recipe_ingred_list!$K$2:$M$7,3,0)</f>
        <v>2</v>
      </c>
      <c r="AD307" s="61" t="n">
        <f aca="false">M307</f>
        <v>0.75</v>
      </c>
      <c r="AE307" s="61" t="str">
        <f aca="false">N307</f>
        <v>cup</v>
      </c>
      <c r="AF307" s="61" t="n">
        <f aca="false">VLOOKUP(AE307,recipe_ingred_list!$K$16:$M$25,3,0)</f>
        <v>5</v>
      </c>
      <c r="AG307" s="61" t="n">
        <f aca="false">O307</f>
        <v>0</v>
      </c>
      <c r="AH307" s="61" t="n">
        <f aca="false">P307</f>
        <v>0</v>
      </c>
      <c r="AI307" s="61" t="n">
        <f aca="false">VLOOKUP(AH307,recipe_ingred_list!$K$29:$M$34,3,0)</f>
        <v>3</v>
      </c>
      <c r="AJ307" s="61" t="str">
        <f aca="false">IF(Q307="","",Q307)</f>
        <v/>
      </c>
      <c r="AK307" s="61" t="n">
        <f aca="false">AK306+1</f>
        <v>307</v>
      </c>
      <c r="AL307" s="61" t="str">
        <f aca="false">Y307</f>
        <v>haldi</v>
      </c>
      <c r="AM307" s="81" t="str">
        <f aca="false">"a = Client().post('"&amp;W307&amp;"', {'recipe' : '"&amp;V307&amp;"', 'ingredient' : '"&amp;Z307&amp;"', 'name' : '"&amp;X307&amp;"', 'mass_unit' : '"&amp;AC307&amp;"', 'mass_quantity' : '"&amp;ROUND(AA307,3)&amp;"', 'volume_unit' : '"&amp;AF307&amp;"', 'volume_quantity' : '"&amp;ROUND(AD307,3)&amp;"', 'pieces_unit' : '"&amp;AI307&amp;"', 'pieces_quantity' : '"&amp;ROUND(AG307,3)&amp;"', 'cooking_notes' : '"&amp;AJ307&amp;"'}).status_code; print('%s :: %s :: %s :: %s :: %s' %(a,"&amp;G307&amp;",'"&amp;X307&amp;"','"&amp;Y307&amp;"','"&amp;U307&amp;"'))"</f>
        <v>a = Client().post('/recipes/patol-white-gravy/detail/', {'recipe' : '56', 'ingredient' : '91', 'name' : 'Haldi', 'mass_unit' : '2', 'mass_quantity' : '0', 'volume_unit' : '5', 'volume_quantity' : '0.75', 'pieces_unit' : '3', 'pieces_quantity' : '0', 'cooking_notes' : ''}).status_code; print('%s :: %s :: %s :: %s :: %s' %(a,307,'Haldi','haldi','Patol White Gravy'))</v>
      </c>
    </row>
    <row r="308" customFormat="false" ht="13.8" hidden="false" customHeight="false" outlineLevel="0" collapsed="false">
      <c r="G308" s="80" t="n">
        <v>308</v>
      </c>
      <c r="I308" s="82" t="s">
        <v>277</v>
      </c>
      <c r="J308" s="83" t="s">
        <v>531</v>
      </c>
      <c r="K308" s="61" t="n">
        <v>0.5</v>
      </c>
      <c r="L308" s="61" t="s">
        <v>7</v>
      </c>
      <c r="R308" s="82" t="str">
        <f aca="false">VLOOKUP(J308,ingredient!$N$4:$O$553,2,0)</f>
        <v>kaju</v>
      </c>
      <c r="U308" s="81" t="str">
        <f aca="false">I308</f>
        <v>Patol White Gravy</v>
      </c>
      <c r="V308" s="81" t="n">
        <f aca="false">VLOOKUP(U308,recipe_ingred_list!$A$2:$B$300,2,0)</f>
        <v>56</v>
      </c>
      <c r="W308" s="81" t="str">
        <f aca="false">"/recipes/"&amp;VLOOKUP(U308,recipe_ingred_list!$A$2:$C$300,3,0)&amp;"/detail/"</f>
        <v>/recipes/patol-white-gravy/detail/</v>
      </c>
      <c r="X308" s="81" t="str">
        <f aca="false">J308</f>
        <v>Kaju</v>
      </c>
      <c r="Y308" s="81" t="str">
        <f aca="false">R308</f>
        <v>kaju</v>
      </c>
      <c r="Z308" s="94" t="n">
        <f aca="false">VLOOKUP(Y308,recipe_ingred_list!$D$2:$E$500,2,0)</f>
        <v>107</v>
      </c>
      <c r="AA308" s="61" t="n">
        <f aca="false">K308</f>
        <v>0.5</v>
      </c>
      <c r="AB308" s="61" t="str">
        <f aca="false">L308</f>
        <v>kg</v>
      </c>
      <c r="AC308" s="61" t="n">
        <f aca="false">VLOOKUP(AB308,recipe_ingred_list!$K$2:$M$7,3,0)</f>
        <v>2</v>
      </c>
      <c r="AD308" s="61" t="n">
        <f aca="false">M308</f>
        <v>0</v>
      </c>
      <c r="AE308" s="61" t="n">
        <f aca="false">N308</f>
        <v>0</v>
      </c>
      <c r="AF308" s="61" t="n">
        <f aca="false">VLOOKUP(AE308,recipe_ingred_list!$K$16:$M$25,3,0)</f>
        <v>1</v>
      </c>
      <c r="AG308" s="61" t="n">
        <f aca="false">O308</f>
        <v>0</v>
      </c>
      <c r="AH308" s="61" t="n">
        <f aca="false">P308</f>
        <v>0</v>
      </c>
      <c r="AI308" s="61" t="n">
        <f aca="false">VLOOKUP(AH308,recipe_ingred_list!$K$29:$M$34,3,0)</f>
        <v>3</v>
      </c>
      <c r="AJ308" s="61" t="str">
        <f aca="false">IF(Q308="","",Q308)</f>
        <v/>
      </c>
      <c r="AK308" s="61" t="n">
        <f aca="false">AK307+1</f>
        <v>308</v>
      </c>
      <c r="AL308" s="61" t="str">
        <f aca="false">Y308</f>
        <v>kaju</v>
      </c>
      <c r="AM308" s="81" t="str">
        <f aca="false">"a = Client().post('"&amp;W308&amp;"', {'recipe' : '"&amp;V308&amp;"', 'ingredient' : '"&amp;Z308&amp;"', 'name' : '"&amp;X308&amp;"', 'mass_unit' : '"&amp;AC308&amp;"', 'mass_quantity' : '"&amp;ROUND(AA308,3)&amp;"', 'volume_unit' : '"&amp;AF308&amp;"', 'volume_quantity' : '"&amp;ROUND(AD308,3)&amp;"', 'pieces_unit' : '"&amp;AI308&amp;"', 'pieces_quantity' : '"&amp;ROUND(AG308,3)&amp;"', 'cooking_notes' : '"&amp;AJ308&amp;"'}).status_code; print('%s :: %s :: %s :: %s :: %s' %(a,"&amp;G308&amp;",'"&amp;X308&amp;"','"&amp;Y308&amp;"','"&amp;U308&amp;"'))"</f>
        <v>a = Client().post('/recipes/patol-white-gravy/detail/', {'recipe' : '56', 'ingredient' : '107', 'name' : 'Kaju', 'mass_unit' : '2', 'mass_quantity' : '0.5', 'volume_unit' : '1', 'volume_quantity' : '0', 'pieces_unit' : '3', 'pieces_quantity' : '0', 'cooking_notes' : ''}).status_code; print('%s :: %s :: %s :: %s :: %s' %(a,308,'Kaju','kaju','Patol White Gravy'))</v>
      </c>
    </row>
    <row r="309" customFormat="false" ht="13.8" hidden="false" customHeight="false" outlineLevel="0" collapsed="false">
      <c r="G309" s="80" t="n">
        <v>309</v>
      </c>
      <c r="I309" s="82" t="s">
        <v>277</v>
      </c>
      <c r="J309" s="83" t="s">
        <v>613</v>
      </c>
      <c r="K309" s="61" t="n">
        <v>0.75</v>
      </c>
      <c r="L309" s="61" t="s">
        <v>7</v>
      </c>
      <c r="R309" s="82" t="str">
        <f aca="false">VLOOKUP(J309,ingredient!$N$4:$O$553,2,0)</f>
        <v>posto</v>
      </c>
      <c r="U309" s="81" t="str">
        <f aca="false">I309</f>
        <v>Patol White Gravy</v>
      </c>
      <c r="V309" s="81" t="n">
        <f aca="false">VLOOKUP(U309,recipe_ingred_list!$A$2:$B$300,2,0)</f>
        <v>56</v>
      </c>
      <c r="W309" s="81" t="str">
        <f aca="false">"/recipes/"&amp;VLOOKUP(U309,recipe_ingred_list!$A$2:$C$300,3,0)&amp;"/detail/"</f>
        <v>/recipes/patol-white-gravy/detail/</v>
      </c>
      <c r="X309" s="81" t="str">
        <f aca="false">J309</f>
        <v>Posto</v>
      </c>
      <c r="Y309" s="81" t="str">
        <f aca="false">R309</f>
        <v>posto</v>
      </c>
      <c r="Z309" s="94" t="n">
        <f aca="false">VLOOKUP(Y309,recipe_ingred_list!$D$2:$E$500,2,0)</f>
        <v>161</v>
      </c>
      <c r="AA309" s="61" t="n">
        <f aca="false">K309</f>
        <v>0.75</v>
      </c>
      <c r="AB309" s="61" t="str">
        <f aca="false">L309</f>
        <v>kg</v>
      </c>
      <c r="AC309" s="61" t="n">
        <f aca="false">VLOOKUP(AB309,recipe_ingred_list!$K$2:$M$7,3,0)</f>
        <v>2</v>
      </c>
      <c r="AD309" s="61" t="n">
        <f aca="false">M309</f>
        <v>0</v>
      </c>
      <c r="AE309" s="61" t="n">
        <f aca="false">N309</f>
        <v>0</v>
      </c>
      <c r="AF309" s="61" t="n">
        <f aca="false">VLOOKUP(AE309,recipe_ingred_list!$K$16:$M$25,3,0)</f>
        <v>1</v>
      </c>
      <c r="AG309" s="61" t="n">
        <f aca="false">O309</f>
        <v>0</v>
      </c>
      <c r="AH309" s="61" t="n">
        <f aca="false">P309</f>
        <v>0</v>
      </c>
      <c r="AI309" s="61" t="n">
        <f aca="false">VLOOKUP(AH309,recipe_ingred_list!$K$29:$M$34,3,0)</f>
        <v>3</v>
      </c>
      <c r="AJ309" s="61" t="str">
        <f aca="false">IF(Q309="","",Q309)</f>
        <v/>
      </c>
      <c r="AK309" s="61" t="n">
        <f aca="false">AK308+1</f>
        <v>309</v>
      </c>
      <c r="AL309" s="61" t="str">
        <f aca="false">Y309</f>
        <v>posto</v>
      </c>
      <c r="AM309" s="81" t="str">
        <f aca="false">"a = Client().post('"&amp;W309&amp;"', {'recipe' : '"&amp;V309&amp;"', 'ingredient' : '"&amp;Z309&amp;"', 'name' : '"&amp;X309&amp;"', 'mass_unit' : '"&amp;AC309&amp;"', 'mass_quantity' : '"&amp;ROUND(AA309,3)&amp;"', 'volume_unit' : '"&amp;AF309&amp;"', 'volume_quantity' : '"&amp;ROUND(AD309,3)&amp;"', 'pieces_unit' : '"&amp;AI309&amp;"', 'pieces_quantity' : '"&amp;ROUND(AG309,3)&amp;"', 'cooking_notes' : '"&amp;AJ309&amp;"'}).status_code; print('%s :: %s :: %s :: %s :: %s' %(a,"&amp;G309&amp;",'"&amp;X309&amp;"','"&amp;Y309&amp;"','"&amp;U309&amp;"'))"</f>
        <v>a = Client().post('/recipes/patol-white-gravy/detail/', {'recipe' : '56', 'ingredient' : '161', 'name' : 'Posto', 'mass_unit' : '2', 'mass_quantity' : '0.75', 'volume_unit' : '1', 'volume_quantity' : '0', 'pieces_unit' : '3', 'pieces_quantity' : '0', 'cooking_notes' : ''}).status_code; print('%s :: %s :: %s :: %s :: %s' %(a,309,'Posto','posto','Patol White Gravy'))</v>
      </c>
    </row>
    <row r="310" customFormat="false" ht="13.8" hidden="false" customHeight="false" outlineLevel="0" collapsed="false">
      <c r="G310" s="80" t="n">
        <v>310</v>
      </c>
      <c r="I310" s="82" t="s">
        <v>277</v>
      </c>
      <c r="J310" s="83" t="s">
        <v>72</v>
      </c>
      <c r="M310" s="61" t="n">
        <v>1.5</v>
      </c>
      <c r="N310" s="61" t="s">
        <v>20</v>
      </c>
      <c r="R310" s="82" t="str">
        <f aca="false">VLOOKUP(J310,ingredient!$N$4:$O$553,2,0)</f>
        <v>everest pulav masala</v>
      </c>
      <c r="U310" s="81" t="str">
        <f aca="false">I310</f>
        <v>Patol White Gravy</v>
      </c>
      <c r="V310" s="81" t="n">
        <f aca="false">VLOOKUP(U310,recipe_ingred_list!$A$2:$B$300,2,0)</f>
        <v>56</v>
      </c>
      <c r="W310" s="81" t="str">
        <f aca="false">"/recipes/"&amp;VLOOKUP(U310,recipe_ingred_list!$A$2:$C$300,3,0)&amp;"/detail/"</f>
        <v>/recipes/patol-white-gravy/detail/</v>
      </c>
      <c r="X310" s="81" t="str">
        <f aca="false">J310</f>
        <v>Everest pulao masala</v>
      </c>
      <c r="Y310" s="81" t="str">
        <f aca="false">R310</f>
        <v>everest pulav masala</v>
      </c>
      <c r="Z310" s="94" t="n">
        <f aca="false">VLOOKUP(Y310,recipe_ingred_list!$D$2:$E$500,2,0)</f>
        <v>74</v>
      </c>
      <c r="AA310" s="61" t="n">
        <f aca="false">K310</f>
        <v>0</v>
      </c>
      <c r="AB310" s="61" t="n">
        <f aca="false">L310</f>
        <v>0</v>
      </c>
      <c r="AC310" s="61" t="n">
        <f aca="false">VLOOKUP(AB310,recipe_ingred_list!$K$2:$M$7,3,0)</f>
        <v>2</v>
      </c>
      <c r="AD310" s="61" t="n">
        <f aca="false">M310</f>
        <v>1.5</v>
      </c>
      <c r="AE310" s="61" t="str">
        <f aca="false">N310</f>
        <v>cup</v>
      </c>
      <c r="AF310" s="61" t="n">
        <f aca="false">VLOOKUP(AE310,recipe_ingred_list!$K$16:$M$25,3,0)</f>
        <v>5</v>
      </c>
      <c r="AG310" s="61" t="n">
        <f aca="false">O310</f>
        <v>0</v>
      </c>
      <c r="AH310" s="61" t="n">
        <f aca="false">P310</f>
        <v>0</v>
      </c>
      <c r="AI310" s="61" t="n">
        <f aca="false">VLOOKUP(AH310,recipe_ingred_list!$K$29:$M$34,3,0)</f>
        <v>3</v>
      </c>
      <c r="AJ310" s="61" t="str">
        <f aca="false">IF(Q310="","",Q310)</f>
        <v/>
      </c>
      <c r="AK310" s="61" t="n">
        <f aca="false">AK309+1</f>
        <v>310</v>
      </c>
      <c r="AL310" s="61" t="str">
        <f aca="false">Y310</f>
        <v>everest pulav masala</v>
      </c>
      <c r="AM310" s="81" t="str">
        <f aca="false">"a = Client().post('"&amp;W310&amp;"', {'recipe' : '"&amp;V310&amp;"', 'ingredient' : '"&amp;Z310&amp;"', 'name' : '"&amp;X310&amp;"', 'mass_unit' : '"&amp;AC310&amp;"', 'mass_quantity' : '"&amp;ROUND(AA310,3)&amp;"', 'volume_unit' : '"&amp;AF310&amp;"', 'volume_quantity' : '"&amp;ROUND(AD310,3)&amp;"', 'pieces_unit' : '"&amp;AI310&amp;"', 'pieces_quantity' : '"&amp;ROUND(AG310,3)&amp;"', 'cooking_notes' : '"&amp;AJ310&amp;"'}).status_code; print('%s :: %s :: %s :: %s :: %s' %(a,"&amp;G310&amp;",'"&amp;X310&amp;"','"&amp;Y310&amp;"','"&amp;U310&amp;"'))"</f>
        <v>a = Client().post('/recipes/patol-white-gravy/detail/', {'recipe' : '56', 'ingredient' : '74', 'name' : 'Everest pulao masala', 'mass_unit' : '2', 'mass_quantity' : '0', 'volume_unit' : '5', 'volume_quantity' : '1.5', 'pieces_unit' : '3', 'pieces_quantity' : '0', 'cooking_notes' : ''}).status_code; print('%s :: %s :: %s :: %s :: %s' %(a,310,'Everest pulao masala','everest pulav masala','Patol White Gravy'))</v>
      </c>
    </row>
    <row r="311" customFormat="false" ht="13.8" hidden="false" customHeight="false" outlineLevel="0" collapsed="false">
      <c r="G311" s="80" t="n">
        <v>311</v>
      </c>
      <c r="I311" s="82" t="s">
        <v>277</v>
      </c>
      <c r="J311" s="83" t="s">
        <v>571</v>
      </c>
      <c r="M311" s="61" t="n">
        <v>2.5</v>
      </c>
      <c r="N311" s="61" t="s">
        <v>20</v>
      </c>
      <c r="R311" s="82" t="str">
        <f aca="false">VLOOKUP(J311,ingredient!$N$4:$O$553,2,0)</f>
        <v>sugar</v>
      </c>
      <c r="U311" s="81" t="str">
        <f aca="false">I311</f>
        <v>Patol White Gravy</v>
      </c>
      <c r="V311" s="81" t="n">
        <f aca="false">VLOOKUP(U311,recipe_ingred_list!$A$2:$B$300,2,0)</f>
        <v>56</v>
      </c>
      <c r="W311" s="81" t="str">
        <f aca="false">"/recipes/"&amp;VLOOKUP(U311,recipe_ingred_list!$A$2:$C$300,3,0)&amp;"/detail/"</f>
        <v>/recipes/patol-white-gravy/detail/</v>
      </c>
      <c r="X311" s="81" t="str">
        <f aca="false">J311</f>
        <v>Sugar</v>
      </c>
      <c r="Y311" s="81" t="str">
        <f aca="false">R311</f>
        <v>sugar</v>
      </c>
      <c r="Z311" s="94" t="n">
        <f aca="false">VLOOKUP(Y311,recipe_ingred_list!$D$2:$E$500,2,0)</f>
        <v>187</v>
      </c>
      <c r="AA311" s="61" t="n">
        <f aca="false">K311</f>
        <v>0</v>
      </c>
      <c r="AB311" s="61" t="n">
        <f aca="false">L311</f>
        <v>0</v>
      </c>
      <c r="AC311" s="61" t="n">
        <f aca="false">VLOOKUP(AB311,recipe_ingred_list!$K$2:$M$7,3,0)</f>
        <v>2</v>
      </c>
      <c r="AD311" s="61" t="n">
        <f aca="false">M311</f>
        <v>2.5</v>
      </c>
      <c r="AE311" s="61" t="str">
        <f aca="false">N311</f>
        <v>cup</v>
      </c>
      <c r="AF311" s="61" t="n">
        <f aca="false">VLOOKUP(AE311,recipe_ingred_list!$K$16:$M$25,3,0)</f>
        <v>5</v>
      </c>
      <c r="AG311" s="61" t="n">
        <f aca="false">O311</f>
        <v>0</v>
      </c>
      <c r="AH311" s="61" t="n">
        <f aca="false">P311</f>
        <v>0</v>
      </c>
      <c r="AI311" s="61" t="n">
        <f aca="false">VLOOKUP(AH311,recipe_ingred_list!$K$29:$M$34,3,0)</f>
        <v>3</v>
      </c>
      <c r="AJ311" s="61" t="str">
        <f aca="false">IF(Q311="","",Q311)</f>
        <v/>
      </c>
      <c r="AK311" s="61" t="n">
        <f aca="false">AK310+1</f>
        <v>311</v>
      </c>
      <c r="AL311" s="61" t="str">
        <f aca="false">Y311</f>
        <v>sugar</v>
      </c>
      <c r="AM311" s="81" t="str">
        <f aca="false">"a = Client().post('"&amp;W311&amp;"', {'recipe' : '"&amp;V311&amp;"', 'ingredient' : '"&amp;Z311&amp;"', 'name' : '"&amp;X311&amp;"', 'mass_unit' : '"&amp;AC311&amp;"', 'mass_quantity' : '"&amp;ROUND(AA311,3)&amp;"', 'volume_unit' : '"&amp;AF311&amp;"', 'volume_quantity' : '"&amp;ROUND(AD311,3)&amp;"', 'pieces_unit' : '"&amp;AI311&amp;"', 'pieces_quantity' : '"&amp;ROUND(AG311,3)&amp;"', 'cooking_notes' : '"&amp;AJ311&amp;"'}).status_code; print('%s :: %s :: %s :: %s :: %s' %(a,"&amp;G311&amp;",'"&amp;X311&amp;"','"&amp;Y311&amp;"','"&amp;U311&amp;"'))"</f>
        <v>a = Client().post('/recipes/patol-white-gravy/detail/', {'recipe' : '56', 'ingredient' : '187', 'name' : 'Sugar', 'mass_unit' : '2', 'mass_quantity' : '0', 'volume_unit' : '5', 'volume_quantity' : '2.5', 'pieces_unit' : '3', 'pieces_quantity' : '0', 'cooking_notes' : ''}).status_code; print('%s :: %s :: %s :: %s :: %s' %(a,311,'Sugar','sugar','Patol White Gravy'))</v>
      </c>
    </row>
    <row r="312" customFormat="false" ht="14.9" hidden="false" customHeight="false" outlineLevel="0" collapsed="false">
      <c r="G312" s="80" t="n">
        <v>312</v>
      </c>
      <c r="I312" s="82" t="s">
        <v>277</v>
      </c>
      <c r="J312" s="83" t="s">
        <v>592</v>
      </c>
      <c r="K312" s="61" t="n">
        <v>25</v>
      </c>
      <c r="L312" s="61" t="s">
        <v>7</v>
      </c>
      <c r="Q312" s="84" t="s">
        <v>614</v>
      </c>
      <c r="R312" s="82" t="str">
        <f aca="false">VLOOKUP(J312,ingredient!$N$4:$O$553,2,0)</f>
        <v>patol</v>
      </c>
      <c r="U312" s="81" t="str">
        <f aca="false">I312</f>
        <v>Patol White Gravy</v>
      </c>
      <c r="V312" s="81" t="n">
        <f aca="false">VLOOKUP(U312,recipe_ingred_list!$A$2:$B$300,2,0)</f>
        <v>56</v>
      </c>
      <c r="W312" s="81" t="str">
        <f aca="false">"/recipes/"&amp;VLOOKUP(U312,recipe_ingred_list!$A$2:$C$300,3,0)&amp;"/detail/"</f>
        <v>/recipes/patol-white-gravy/detail/</v>
      </c>
      <c r="X312" s="81" t="str">
        <f aca="false">J312</f>
        <v>Patol</v>
      </c>
      <c r="Y312" s="81" t="str">
        <f aca="false">R312</f>
        <v>patol</v>
      </c>
      <c r="Z312" s="94" t="n">
        <f aca="false">VLOOKUP(Y312,recipe_ingred_list!$D$2:$E$500,2,0)</f>
        <v>158</v>
      </c>
      <c r="AA312" s="61" t="n">
        <f aca="false">K312</f>
        <v>25</v>
      </c>
      <c r="AB312" s="61" t="str">
        <f aca="false">L312</f>
        <v>kg</v>
      </c>
      <c r="AC312" s="61" t="n">
        <f aca="false">VLOOKUP(AB312,recipe_ingred_list!$K$2:$M$7,3,0)</f>
        <v>2</v>
      </c>
      <c r="AD312" s="61" t="n">
        <f aca="false">M312</f>
        <v>0</v>
      </c>
      <c r="AE312" s="61" t="n">
        <f aca="false">N312</f>
        <v>0</v>
      </c>
      <c r="AF312" s="61" t="n">
        <f aca="false">VLOOKUP(AE312,recipe_ingred_list!$K$16:$M$25,3,0)</f>
        <v>1</v>
      </c>
      <c r="AG312" s="61" t="n">
        <f aca="false">O312</f>
        <v>0</v>
      </c>
      <c r="AH312" s="61" t="n">
        <f aca="false">P312</f>
        <v>0</v>
      </c>
      <c r="AI312" s="61" t="n">
        <f aca="false">VLOOKUP(AH312,recipe_ingred_list!$K$29:$M$34,3,0)</f>
        <v>3</v>
      </c>
      <c r="AJ312" s="61" t="str">
        <f aca="false">IF(Q312="","",Q312)</f>
        <v>sauteed</v>
      </c>
      <c r="AK312" s="61" t="n">
        <f aca="false">AK311+1</f>
        <v>312</v>
      </c>
      <c r="AL312" s="61" t="str">
        <f aca="false">Y312</f>
        <v>patol</v>
      </c>
      <c r="AM312" s="81" t="str">
        <f aca="false">"a = Client().post('"&amp;W312&amp;"', {'recipe' : '"&amp;V312&amp;"', 'ingredient' : '"&amp;Z312&amp;"', 'name' : '"&amp;X312&amp;"', 'mass_unit' : '"&amp;AC312&amp;"', 'mass_quantity' : '"&amp;ROUND(AA312,3)&amp;"', 'volume_unit' : '"&amp;AF312&amp;"', 'volume_quantity' : '"&amp;ROUND(AD312,3)&amp;"', 'pieces_unit' : '"&amp;AI312&amp;"', 'pieces_quantity' : '"&amp;ROUND(AG312,3)&amp;"', 'cooking_notes' : '"&amp;AJ312&amp;"'}).status_code; print('%s :: %s :: %s :: %s :: %s' %(a,"&amp;G312&amp;",'"&amp;X312&amp;"','"&amp;Y312&amp;"','"&amp;U312&amp;"'))"</f>
        <v>a = Client().post('/recipes/patol-white-gravy/detail/', {'recipe' : '56', 'ingredient' : '158', 'name' : 'Patol', 'mass_unit' : '2', 'mass_quantity' : '25', 'volume_unit' : '1', 'volume_quantity' : '0', 'pieces_unit' : '3', 'pieces_quantity' : '0', 'cooking_notes' : 'sauteed'}).status_code; print('%s :: %s :: %s :: %s :: %s' %(a,312,'Patol','patol','Patol White Gravy'))</v>
      </c>
    </row>
    <row r="313" customFormat="false" ht="13.8" hidden="false" customHeight="false" outlineLevel="0" collapsed="false">
      <c r="G313" s="80" t="n">
        <v>313</v>
      </c>
      <c r="I313" s="82" t="s">
        <v>277</v>
      </c>
      <c r="J313" s="83" t="s">
        <v>43</v>
      </c>
      <c r="M313" s="61" t="n">
        <v>10</v>
      </c>
      <c r="N313" s="61" t="s">
        <v>13</v>
      </c>
      <c r="R313" s="82" t="str">
        <f aca="false">VLOOKUP(J313,ingredient!$N$4:$O$553,2,0)</f>
        <v>hot water</v>
      </c>
      <c r="U313" s="81" t="str">
        <f aca="false">I313</f>
        <v>Patol White Gravy</v>
      </c>
      <c r="V313" s="81" t="n">
        <f aca="false">VLOOKUP(U313,recipe_ingred_list!$A$2:$B$300,2,0)</f>
        <v>56</v>
      </c>
      <c r="W313" s="81" t="str">
        <f aca="false">"/recipes/"&amp;VLOOKUP(U313,recipe_ingred_list!$A$2:$C$300,3,0)&amp;"/detail/"</f>
        <v>/recipes/patol-white-gravy/detail/</v>
      </c>
      <c r="X313" s="81" t="str">
        <f aca="false">J313</f>
        <v>Hot water</v>
      </c>
      <c r="Y313" s="81" t="str">
        <f aca="false">R313</f>
        <v>hot water</v>
      </c>
      <c r="Z313" s="94" t="n">
        <f aca="false">VLOOKUP(Y313,recipe_ingred_list!$D$2:$E$500,2,0)</f>
        <v>97</v>
      </c>
      <c r="AA313" s="61" t="n">
        <f aca="false">K313</f>
        <v>0</v>
      </c>
      <c r="AB313" s="61" t="n">
        <f aca="false">L313</f>
        <v>0</v>
      </c>
      <c r="AC313" s="61" t="n">
        <f aca="false">VLOOKUP(AB313,recipe_ingred_list!$K$2:$M$7,3,0)</f>
        <v>2</v>
      </c>
      <c r="AD313" s="61" t="n">
        <f aca="false">M313</f>
        <v>10</v>
      </c>
      <c r="AE313" s="61" t="str">
        <f aca="false">N313</f>
        <v>ltr</v>
      </c>
      <c r="AF313" s="61" t="n">
        <f aca="false">VLOOKUP(AE313,recipe_ingred_list!$K$16:$M$25,3,0)</f>
        <v>1</v>
      </c>
      <c r="AG313" s="61" t="n">
        <f aca="false">O313</f>
        <v>0</v>
      </c>
      <c r="AH313" s="61" t="n">
        <f aca="false">P313</f>
        <v>0</v>
      </c>
      <c r="AI313" s="61" t="n">
        <f aca="false">VLOOKUP(AH313,recipe_ingred_list!$K$29:$M$34,3,0)</f>
        <v>3</v>
      </c>
      <c r="AJ313" s="61" t="str">
        <f aca="false">IF(Q313="","",Q313)</f>
        <v/>
      </c>
      <c r="AK313" s="61" t="n">
        <f aca="false">AK312+1</f>
        <v>313</v>
      </c>
      <c r="AL313" s="61" t="str">
        <f aca="false">Y313</f>
        <v>hot water</v>
      </c>
      <c r="AM313" s="81" t="str">
        <f aca="false">"a = Client().post('"&amp;W313&amp;"', {'recipe' : '"&amp;V313&amp;"', 'ingredient' : '"&amp;Z313&amp;"', 'name' : '"&amp;X313&amp;"', 'mass_unit' : '"&amp;AC313&amp;"', 'mass_quantity' : '"&amp;ROUND(AA313,3)&amp;"', 'volume_unit' : '"&amp;AF313&amp;"', 'volume_quantity' : '"&amp;ROUND(AD313,3)&amp;"', 'pieces_unit' : '"&amp;AI313&amp;"', 'pieces_quantity' : '"&amp;ROUND(AG313,3)&amp;"', 'cooking_notes' : '"&amp;AJ313&amp;"'}).status_code; print('%s :: %s :: %s :: %s :: %s' %(a,"&amp;G313&amp;",'"&amp;X313&amp;"','"&amp;Y313&amp;"','"&amp;U313&amp;"'))"</f>
        <v>a = Client().post('/recipes/patol-white-gravy/detail/', {'recipe' : '56', 'ingredient' : '97', 'name' : 'Hot water', 'mass_unit' : '2', 'mass_quantity' : '0', 'volume_unit' : '1', 'volume_quantity' : '10', 'pieces_unit' : '3', 'pieces_quantity' : '0', 'cooking_notes' : ''}).status_code; print('%s :: %s :: %s :: %s :: %s' %(a,313,'Hot water','hot water','Patol White Gravy'))</v>
      </c>
    </row>
    <row r="314" customFormat="false" ht="13.8" hidden="false" customHeight="false" outlineLevel="0" collapsed="false">
      <c r="G314" s="80" t="n">
        <v>314</v>
      </c>
      <c r="I314" s="82" t="s">
        <v>277</v>
      </c>
      <c r="J314" s="83" t="s">
        <v>37</v>
      </c>
      <c r="M314" s="61" t="n">
        <v>1</v>
      </c>
      <c r="N314" s="61" t="s">
        <v>20</v>
      </c>
      <c r="R314" s="82" t="str">
        <f aca="false">VLOOKUP(J314,ingredient!$N$4:$O$553,2,0)</f>
        <v>tej patta</v>
      </c>
      <c r="U314" s="81" t="str">
        <f aca="false">I314</f>
        <v>Patol White Gravy</v>
      </c>
      <c r="V314" s="81" t="n">
        <f aca="false">VLOOKUP(U314,recipe_ingred_list!$A$2:$B$300,2,0)</f>
        <v>56</v>
      </c>
      <c r="W314" s="81" t="str">
        <f aca="false">"/recipes/"&amp;VLOOKUP(U314,recipe_ingred_list!$A$2:$C$300,3,0)&amp;"/detail/"</f>
        <v>/recipes/patol-white-gravy/detail/</v>
      </c>
      <c r="X314" s="81" t="str">
        <f aca="false">J314</f>
        <v>Tejpatta</v>
      </c>
      <c r="Y314" s="81" t="str">
        <f aca="false">R314</f>
        <v>tej patta</v>
      </c>
      <c r="Z314" s="94" t="n">
        <f aca="false">VLOOKUP(Y314,recipe_ingred_list!$D$2:$E$500,2,0)</f>
        <v>191</v>
      </c>
      <c r="AA314" s="61" t="n">
        <f aca="false">K314</f>
        <v>0</v>
      </c>
      <c r="AB314" s="61" t="n">
        <f aca="false">L314</f>
        <v>0</v>
      </c>
      <c r="AC314" s="61" t="n">
        <f aca="false">VLOOKUP(AB314,recipe_ingred_list!$K$2:$M$7,3,0)</f>
        <v>2</v>
      </c>
      <c r="AD314" s="61" t="n">
        <f aca="false">M314</f>
        <v>1</v>
      </c>
      <c r="AE314" s="61" t="str">
        <f aca="false">N314</f>
        <v>cup</v>
      </c>
      <c r="AF314" s="61" t="n">
        <f aca="false">VLOOKUP(AE314,recipe_ingred_list!$K$16:$M$25,3,0)</f>
        <v>5</v>
      </c>
      <c r="AG314" s="61" t="n">
        <f aca="false">O314</f>
        <v>0</v>
      </c>
      <c r="AH314" s="61" t="n">
        <f aca="false">P314</f>
        <v>0</v>
      </c>
      <c r="AI314" s="61" t="n">
        <f aca="false">VLOOKUP(AH314,recipe_ingred_list!$K$29:$M$34,3,0)</f>
        <v>3</v>
      </c>
      <c r="AJ314" s="61" t="str">
        <f aca="false">IF(Q314="","",Q314)</f>
        <v/>
      </c>
      <c r="AK314" s="61" t="n">
        <f aca="false">AK313+1</f>
        <v>314</v>
      </c>
      <c r="AL314" s="61" t="str">
        <f aca="false">Y314</f>
        <v>tej patta</v>
      </c>
      <c r="AM314" s="81" t="str">
        <f aca="false">"a = Client().post('"&amp;W314&amp;"', {'recipe' : '"&amp;V314&amp;"', 'ingredient' : '"&amp;Z314&amp;"', 'name' : '"&amp;X314&amp;"', 'mass_unit' : '"&amp;AC314&amp;"', 'mass_quantity' : '"&amp;ROUND(AA314,3)&amp;"', 'volume_unit' : '"&amp;AF314&amp;"', 'volume_quantity' : '"&amp;ROUND(AD314,3)&amp;"', 'pieces_unit' : '"&amp;AI314&amp;"', 'pieces_quantity' : '"&amp;ROUND(AG314,3)&amp;"', 'cooking_notes' : '"&amp;AJ314&amp;"'}).status_code; print('%s :: %s :: %s :: %s :: %s' %(a,"&amp;G314&amp;",'"&amp;X314&amp;"','"&amp;Y314&amp;"','"&amp;U314&amp;"'))"</f>
        <v>a = Client().post('/recipes/patol-white-gravy/detail/', {'recipe' : '56', 'ingredient' : '191', 'name' : 'Tejpatta', 'mass_unit' : '2', 'mass_quantity' : '0', 'volume_unit' : '5', 'volume_quantity' : '1', 'pieces_unit' : '3', 'pieces_quantity' : '0', 'cooking_notes' : ''}).status_code; print('%s :: %s :: %s :: %s :: %s' %(a,314,'Tejpatta','tej patta','Patol White Gravy'))</v>
      </c>
    </row>
    <row r="315" customFormat="false" ht="13.8" hidden="false" customHeight="false" outlineLevel="0" collapsed="false">
      <c r="G315" s="80" t="n">
        <v>315</v>
      </c>
      <c r="I315" s="82" t="s">
        <v>277</v>
      </c>
      <c r="J315" s="83" t="s">
        <v>32</v>
      </c>
      <c r="M315" s="61" t="n">
        <v>2</v>
      </c>
      <c r="N315" s="61" t="s">
        <v>20</v>
      </c>
      <c r="R315" s="82" t="str">
        <f aca="false">VLOOKUP(J315,ingredient!$N$4:$O$553,2,0)</f>
        <v>salt</v>
      </c>
      <c r="U315" s="81" t="str">
        <f aca="false">I315</f>
        <v>Patol White Gravy</v>
      </c>
      <c r="V315" s="81" t="n">
        <f aca="false">VLOOKUP(U315,recipe_ingred_list!$A$2:$B$300,2,0)</f>
        <v>56</v>
      </c>
      <c r="W315" s="81" t="str">
        <f aca="false">"/recipes/"&amp;VLOOKUP(U315,recipe_ingred_list!$A$2:$C$300,3,0)&amp;"/detail/"</f>
        <v>/recipes/patol-white-gravy/detail/</v>
      </c>
      <c r="X315" s="81" t="str">
        <f aca="false">J315</f>
        <v>Salt</v>
      </c>
      <c r="Y315" s="81" t="str">
        <f aca="false">R315</f>
        <v>salt</v>
      </c>
      <c r="Z315" s="94" t="n">
        <f aca="false">VLOOKUP(Y315,recipe_ingred_list!$D$2:$E$500,2,0)</f>
        <v>177</v>
      </c>
      <c r="AA315" s="61" t="n">
        <f aca="false">K315</f>
        <v>0</v>
      </c>
      <c r="AB315" s="61" t="n">
        <f aca="false">L315</f>
        <v>0</v>
      </c>
      <c r="AC315" s="61" t="n">
        <f aca="false">VLOOKUP(AB315,recipe_ingred_list!$K$2:$M$7,3,0)</f>
        <v>2</v>
      </c>
      <c r="AD315" s="61" t="n">
        <f aca="false">M315</f>
        <v>2</v>
      </c>
      <c r="AE315" s="61" t="str">
        <f aca="false">N315</f>
        <v>cup</v>
      </c>
      <c r="AF315" s="61" t="n">
        <f aca="false">VLOOKUP(AE315,recipe_ingred_list!$K$16:$M$25,3,0)</f>
        <v>5</v>
      </c>
      <c r="AG315" s="61" t="n">
        <f aca="false">O315</f>
        <v>0</v>
      </c>
      <c r="AH315" s="61" t="n">
        <f aca="false">P315</f>
        <v>0</v>
      </c>
      <c r="AI315" s="61" t="n">
        <f aca="false">VLOOKUP(AH315,recipe_ingred_list!$K$29:$M$34,3,0)</f>
        <v>3</v>
      </c>
      <c r="AJ315" s="61" t="str">
        <f aca="false">IF(Q315="","",Q315)</f>
        <v/>
      </c>
      <c r="AK315" s="61" t="n">
        <f aca="false">AK314+1</f>
        <v>315</v>
      </c>
      <c r="AL315" s="61" t="str">
        <f aca="false">Y315</f>
        <v>salt</v>
      </c>
      <c r="AM315" s="81" t="str">
        <f aca="false">"a = Client().post('"&amp;W315&amp;"', {'recipe' : '"&amp;V315&amp;"', 'ingredient' : '"&amp;Z315&amp;"', 'name' : '"&amp;X315&amp;"', 'mass_unit' : '"&amp;AC315&amp;"', 'mass_quantity' : '"&amp;ROUND(AA315,3)&amp;"', 'volume_unit' : '"&amp;AF315&amp;"', 'volume_quantity' : '"&amp;ROUND(AD315,3)&amp;"', 'pieces_unit' : '"&amp;AI315&amp;"', 'pieces_quantity' : '"&amp;ROUND(AG315,3)&amp;"', 'cooking_notes' : '"&amp;AJ315&amp;"'}).status_code; print('%s :: %s :: %s :: %s :: %s' %(a,"&amp;G315&amp;",'"&amp;X315&amp;"','"&amp;Y315&amp;"','"&amp;U315&amp;"'))"</f>
        <v>a = Client().post('/recipes/patol-white-gravy/detail/', {'recipe' : '56', 'ingredient' : '177', 'name' : 'Salt', 'mass_unit' : '2', 'mass_quantity' : '0', 'volume_unit' : '5', 'volume_quantity' : '2', 'pieces_unit' : '3', 'pieces_quantity' : '0', 'cooking_notes' : ''}).status_code; print('%s :: %s :: %s :: %s :: %s' %(a,315,'Salt','salt','Patol White Gravy'))</v>
      </c>
    </row>
    <row r="316" customFormat="false" ht="13.8" hidden="false" customHeight="false" outlineLevel="0" collapsed="false">
      <c r="G316" s="80" t="n">
        <v>316</v>
      </c>
      <c r="H316" s="98"/>
      <c r="I316" s="99" t="s">
        <v>277</v>
      </c>
      <c r="J316" s="79" t="s">
        <v>558</v>
      </c>
      <c r="K316" s="100"/>
      <c r="L316" s="100"/>
      <c r="M316" s="100" t="n">
        <v>30</v>
      </c>
      <c r="N316" s="100" t="s">
        <v>13</v>
      </c>
      <c r="O316" s="101"/>
      <c r="P316" s="100"/>
      <c r="Q316" s="102"/>
      <c r="R316" s="99" t="e">
        <f aca="false">VLOOKUP(J316,ingredient!$N$4:$O$553,2,0)</f>
        <v>#N/A</v>
      </c>
      <c r="S316" s="98"/>
      <c r="T316" s="98"/>
      <c r="U316" s="81" t="str">
        <f aca="false">I316</f>
        <v>Patol White Gravy</v>
      </c>
      <c r="V316" s="81" t="n">
        <f aca="false">VLOOKUP(U316,recipe_ingred_list!$A$2:$B$300,2,0)</f>
        <v>56</v>
      </c>
      <c r="W316" s="81" t="str">
        <f aca="false">"/recipes/"&amp;VLOOKUP(U316,recipe_ingred_list!$A$2:$C$300,3,0)&amp;"/detail/"</f>
        <v>/recipes/patol-white-gravy/detail/</v>
      </c>
      <c r="X316" s="81" t="str">
        <f aca="false">J316</f>
        <v>Yield </v>
      </c>
      <c r="Y316" s="81" t="e">
        <f aca="false">R316</f>
        <v>#N/A</v>
      </c>
      <c r="Z316" s="94" t="e">
        <f aca="false">VLOOKUP(Y316,recipe_ingred_list!$D$2:$E$500,2,0)</f>
        <v>#N/A</v>
      </c>
      <c r="AA316" s="61" t="n">
        <f aca="false">K316</f>
        <v>0</v>
      </c>
      <c r="AB316" s="61" t="n">
        <f aca="false">L316</f>
        <v>0</v>
      </c>
      <c r="AC316" s="61" t="n">
        <f aca="false">VLOOKUP(AB316,recipe_ingred_list!$K$2:$M$7,3,0)</f>
        <v>2</v>
      </c>
      <c r="AD316" s="61" t="n">
        <f aca="false">M316</f>
        <v>30</v>
      </c>
      <c r="AE316" s="61" t="str">
        <f aca="false">N316</f>
        <v>ltr</v>
      </c>
      <c r="AF316" s="61" t="n">
        <f aca="false">VLOOKUP(AE316,recipe_ingred_list!$K$16:$M$25,3,0)</f>
        <v>1</v>
      </c>
      <c r="AG316" s="61" t="n">
        <f aca="false">O316</f>
        <v>0</v>
      </c>
      <c r="AH316" s="61" t="n">
        <f aca="false">P316</f>
        <v>0</v>
      </c>
      <c r="AI316" s="61" t="n">
        <f aca="false">VLOOKUP(AH316,recipe_ingred_list!$K$29:$M$34,3,0)</f>
        <v>3</v>
      </c>
      <c r="AJ316" s="61" t="str">
        <f aca="false">IF(Q316="","",Q316)</f>
        <v/>
      </c>
      <c r="AK316" s="61" t="n">
        <f aca="false">AK315+1</f>
        <v>316</v>
      </c>
      <c r="AL316" s="61" t="e">
        <f aca="false">Y316</f>
        <v>#N/A</v>
      </c>
      <c r="AM316" s="81" t="e">
        <f aca="false">"a = Client().post('"&amp;W316&amp;"', {'recipe' : '"&amp;V316&amp;"', 'ingredient' : '"&amp;Z316&amp;"', 'name' : '"&amp;X316&amp;"', 'mass_unit' : '"&amp;AC316&amp;"', 'mass_quantity' : '"&amp;ROUND(AA316,3)&amp;"', 'volume_unit' : '"&amp;AF316&amp;"', 'volume_quantity' : '"&amp;ROUND(AD316,3)&amp;"', 'pieces_unit' : '"&amp;AI316&amp;"', 'pieces_quantity' : '"&amp;ROUND(AG316,3)&amp;"', 'cooking_notes' : '"&amp;AJ316&amp;"'}).status_code; print('%s :: %s :: %s :: %s :: %s' %(a,"&amp;G316&amp;",'"&amp;X316&amp;"','"&amp;Y316&amp;"','"&amp;U316&amp;"'))"</f>
        <v>#N/A</v>
      </c>
    </row>
    <row r="317" customFormat="false" ht="13.8" hidden="false" customHeight="false" outlineLevel="0" collapsed="false">
      <c r="G317" s="80" t="n">
        <v>317</v>
      </c>
      <c r="H317" s="98"/>
      <c r="I317" s="99"/>
      <c r="J317" s="79"/>
      <c r="K317" s="100"/>
      <c r="L317" s="100"/>
      <c r="M317" s="100"/>
      <c r="N317" s="100"/>
      <c r="O317" s="101"/>
      <c r="P317" s="100"/>
      <c r="Q317" s="102"/>
      <c r="R317" s="99" t="e">
        <f aca="false">VLOOKUP(J317,ingredient!$N$4:$O$553,2,0)</f>
        <v>#N/A</v>
      </c>
      <c r="S317" s="98"/>
      <c r="T317" s="98"/>
      <c r="U317" s="81" t="n">
        <f aca="false">I317</f>
        <v>0</v>
      </c>
      <c r="V317" s="81" t="e">
        <f aca="false">VLOOKUP(U317,recipe_ingred_list!$A$2:$B$300,2,0)</f>
        <v>#N/A</v>
      </c>
      <c r="W317" s="81" t="e">
        <f aca="false">"/recipes/"&amp;VLOOKUP(U317,recipe_ingred_list!$A$2:$C$300,3,0)&amp;"/detail/"</f>
        <v>#N/A</v>
      </c>
      <c r="X317" s="81" t="n">
        <f aca="false">J317</f>
        <v>0</v>
      </c>
      <c r="Y317" s="81" t="e">
        <f aca="false">R317</f>
        <v>#N/A</v>
      </c>
      <c r="Z317" s="94" t="e">
        <f aca="false">VLOOKUP(Y317,recipe_ingred_list!$D$2:$E$500,2,0)</f>
        <v>#N/A</v>
      </c>
      <c r="AA317" s="61" t="n">
        <f aca="false">K317</f>
        <v>0</v>
      </c>
      <c r="AB317" s="61" t="n">
        <f aca="false">L317</f>
        <v>0</v>
      </c>
      <c r="AC317" s="61" t="n">
        <f aca="false">VLOOKUP(AB317,recipe_ingred_list!$K$2:$M$7,3,0)</f>
        <v>2</v>
      </c>
      <c r="AD317" s="61" t="n">
        <f aca="false">M317</f>
        <v>0</v>
      </c>
      <c r="AE317" s="61" t="n">
        <f aca="false">N317</f>
        <v>0</v>
      </c>
      <c r="AF317" s="61" t="n">
        <f aca="false">VLOOKUP(AE317,recipe_ingred_list!$K$16:$M$25,3,0)</f>
        <v>1</v>
      </c>
      <c r="AG317" s="61" t="n">
        <f aca="false">O317</f>
        <v>0</v>
      </c>
      <c r="AH317" s="61" t="n">
        <f aca="false">P317</f>
        <v>0</v>
      </c>
      <c r="AI317" s="61" t="n">
        <f aca="false">VLOOKUP(AH317,recipe_ingred_list!$K$29:$M$34,3,0)</f>
        <v>3</v>
      </c>
      <c r="AJ317" s="61" t="str">
        <f aca="false">IF(Q317="","",Q317)</f>
        <v/>
      </c>
      <c r="AK317" s="61" t="n">
        <f aca="false">AK316+1</f>
        <v>317</v>
      </c>
      <c r="AL317" s="61" t="e">
        <f aca="false">Y317</f>
        <v>#N/A</v>
      </c>
      <c r="AM317" s="81" t="e">
        <f aca="false">"a = Client().post('"&amp;W317&amp;"', {'recipe' : '"&amp;V317&amp;"', 'ingredient' : '"&amp;Z317&amp;"', 'name' : '"&amp;X317&amp;"', 'mass_unit' : '"&amp;AC317&amp;"', 'mass_quantity' : '"&amp;ROUND(AA317,3)&amp;"', 'volume_unit' : '"&amp;AF317&amp;"', 'volume_quantity' : '"&amp;ROUND(AD317,3)&amp;"', 'pieces_unit' : '"&amp;AI317&amp;"', 'pieces_quantity' : '"&amp;ROUND(AG317,3)&amp;"', 'cooking_notes' : '"&amp;AJ317&amp;"'}).status_code; print('%s :: %s :: %s :: %s :: %s' %(a,"&amp;G317&amp;",'"&amp;X317&amp;"','"&amp;Y317&amp;"','"&amp;U317&amp;"'))"</f>
        <v>#N/A</v>
      </c>
    </row>
    <row r="318" customFormat="false" ht="14.9" hidden="false" customHeight="false" outlineLevel="0" collapsed="false">
      <c r="G318" s="80" t="n">
        <v>318</v>
      </c>
      <c r="I318" s="82" t="s">
        <v>114</v>
      </c>
      <c r="J318" s="83" t="s">
        <v>10</v>
      </c>
      <c r="K318" s="61" t="n">
        <v>15</v>
      </c>
      <c r="L318" s="61" t="s">
        <v>7</v>
      </c>
      <c r="Q318" s="84" t="s">
        <v>615</v>
      </c>
      <c r="R318" s="82" t="str">
        <f aca="false">VLOOKUP(J318,ingredient!$N$4:$O$553,2,0)</f>
        <v>alu</v>
      </c>
      <c r="U318" s="81" t="str">
        <f aca="false">I318</f>
        <v>Alu Jeera</v>
      </c>
      <c r="V318" s="81" t="n">
        <f aca="false">VLOOKUP(U318,recipe_ingred_list!$A$2:$B$300,2,0)</f>
        <v>4</v>
      </c>
      <c r="W318" s="81" t="str">
        <f aca="false">"/recipes/"&amp;VLOOKUP(U318,recipe_ingred_list!$A$2:$C$300,3,0)&amp;"/detail/"</f>
        <v>/recipes/alu-jeera/detail/</v>
      </c>
      <c r="X318" s="81" t="str">
        <f aca="false">J318</f>
        <v>Alu</v>
      </c>
      <c r="Y318" s="81" t="str">
        <f aca="false">R318</f>
        <v>alu</v>
      </c>
      <c r="Z318" s="94" t="n">
        <f aca="false">VLOOKUP(Y318,recipe_ingred_list!$D$2:$E$500,2,0)</f>
        <v>8</v>
      </c>
      <c r="AA318" s="61" t="n">
        <f aca="false">K318</f>
        <v>15</v>
      </c>
      <c r="AB318" s="61" t="str">
        <f aca="false">L318</f>
        <v>kg</v>
      </c>
      <c r="AC318" s="61" t="n">
        <f aca="false">VLOOKUP(AB318,recipe_ingred_list!$K$2:$M$7,3,0)</f>
        <v>2</v>
      </c>
      <c r="AD318" s="61" t="n">
        <f aca="false">M318</f>
        <v>0</v>
      </c>
      <c r="AE318" s="61" t="n">
        <f aca="false">N318</f>
        <v>0</v>
      </c>
      <c r="AF318" s="61" t="n">
        <f aca="false">VLOOKUP(AE318,recipe_ingred_list!$K$16:$M$25,3,0)</f>
        <v>1</v>
      </c>
      <c r="AG318" s="61" t="n">
        <f aca="false">O318</f>
        <v>0</v>
      </c>
      <c r="AH318" s="61" t="n">
        <f aca="false">P318</f>
        <v>0</v>
      </c>
      <c r="AI318" s="61" t="n">
        <f aca="false">VLOOKUP(AH318,recipe_ingred_list!$K$29:$M$34,3,0)</f>
        <v>3</v>
      </c>
      <c r="AJ318" s="61" t="str">
        <f aca="false">IF(Q318="","",Q318)</f>
        <v>boiled,peeled,cut</v>
      </c>
      <c r="AK318" s="61" t="n">
        <f aca="false">AK317+1</f>
        <v>318</v>
      </c>
      <c r="AL318" s="61" t="str">
        <f aca="false">Y318</f>
        <v>alu</v>
      </c>
      <c r="AM318" s="81" t="str">
        <f aca="false">"a = Client().post('"&amp;W318&amp;"', {'recipe' : '"&amp;V318&amp;"', 'ingredient' : '"&amp;Z318&amp;"', 'name' : '"&amp;X318&amp;"', 'mass_unit' : '"&amp;AC318&amp;"', 'mass_quantity' : '"&amp;ROUND(AA318,3)&amp;"', 'volume_unit' : '"&amp;AF318&amp;"', 'volume_quantity' : '"&amp;ROUND(AD318,3)&amp;"', 'pieces_unit' : '"&amp;AI318&amp;"', 'pieces_quantity' : '"&amp;ROUND(AG318,3)&amp;"', 'cooking_notes' : '"&amp;AJ318&amp;"'}).status_code; print('%s :: %s :: %s :: %s :: %s' %(a,"&amp;G318&amp;",'"&amp;X318&amp;"','"&amp;Y318&amp;"','"&amp;U318&amp;"'))"</f>
        <v>a = Client().post('/recipes/alu-jeera/detail/', {'recipe' : '4', 'ingredient' : '8', 'name' : 'Alu', 'mass_unit' : '2', 'mass_quantity' : '15', 'volume_unit' : '1', 'volume_quantity' : '0', 'pieces_unit' : '3', 'pieces_quantity' : '0', 'cooking_notes' : 'boiled,peeled,cut'}).status_code; print('%s :: %s :: %s :: %s :: %s' %(a,318,'Alu','alu','Alu Jeera'))</v>
      </c>
    </row>
    <row r="319" customFormat="false" ht="13.8" hidden="false" customHeight="false" outlineLevel="0" collapsed="false">
      <c r="G319" s="80" t="n">
        <v>319</v>
      </c>
      <c r="I319" s="82" t="s">
        <v>114</v>
      </c>
      <c r="J319" s="83" t="s">
        <v>553</v>
      </c>
      <c r="M319" s="61" t="n">
        <v>1.5</v>
      </c>
      <c r="N319" s="61" t="s">
        <v>13</v>
      </c>
      <c r="R319" s="82" t="str">
        <f aca="false">VLOOKUP(J319,ingredient!$N$4:$O$553,2,0)</f>
        <v>gound nut oil</v>
      </c>
      <c r="U319" s="81" t="str">
        <f aca="false">I319</f>
        <v>Alu Jeera</v>
      </c>
      <c r="V319" s="81" t="n">
        <f aca="false">VLOOKUP(U319,recipe_ingred_list!$A$2:$B$300,2,0)</f>
        <v>4</v>
      </c>
      <c r="W319" s="81" t="str">
        <f aca="false">"/recipes/"&amp;VLOOKUP(U319,recipe_ingred_list!$A$2:$C$300,3,0)&amp;"/detail/"</f>
        <v>/recipes/alu-jeera/detail/</v>
      </c>
      <c r="X319" s="81" t="str">
        <f aca="false">J319</f>
        <v>Oil</v>
      </c>
      <c r="Y319" s="81" t="str">
        <f aca="false">R319</f>
        <v>gound nut oil</v>
      </c>
      <c r="Z319" s="94" t="n">
        <f aca="false">VLOOKUP(Y319,recipe_ingred_list!$D$2:$E$500,2,0)</f>
        <v>83</v>
      </c>
      <c r="AA319" s="61" t="n">
        <f aca="false">K319</f>
        <v>0</v>
      </c>
      <c r="AB319" s="61" t="n">
        <f aca="false">L319</f>
        <v>0</v>
      </c>
      <c r="AC319" s="61" t="n">
        <f aca="false">VLOOKUP(AB319,recipe_ingred_list!$K$2:$M$7,3,0)</f>
        <v>2</v>
      </c>
      <c r="AD319" s="61" t="n">
        <f aca="false">M319</f>
        <v>1.5</v>
      </c>
      <c r="AE319" s="61" t="str">
        <f aca="false">N319</f>
        <v>ltr</v>
      </c>
      <c r="AF319" s="61" t="n">
        <f aca="false">VLOOKUP(AE319,recipe_ingred_list!$K$16:$M$25,3,0)</f>
        <v>1</v>
      </c>
      <c r="AG319" s="61" t="n">
        <f aca="false">O319</f>
        <v>0</v>
      </c>
      <c r="AH319" s="61" t="n">
        <f aca="false">P319</f>
        <v>0</v>
      </c>
      <c r="AI319" s="61" t="n">
        <f aca="false">VLOOKUP(AH319,recipe_ingred_list!$K$29:$M$34,3,0)</f>
        <v>3</v>
      </c>
      <c r="AJ319" s="61" t="str">
        <f aca="false">IF(Q319="","",Q319)</f>
        <v/>
      </c>
      <c r="AK319" s="61" t="n">
        <f aca="false">AK318+1</f>
        <v>319</v>
      </c>
      <c r="AL319" s="61" t="str">
        <f aca="false">Y319</f>
        <v>gound nut oil</v>
      </c>
      <c r="AM319" s="81" t="str">
        <f aca="false">"a = Client().post('"&amp;W319&amp;"', {'recipe' : '"&amp;V319&amp;"', 'ingredient' : '"&amp;Z319&amp;"', 'name' : '"&amp;X319&amp;"', 'mass_unit' : '"&amp;AC319&amp;"', 'mass_quantity' : '"&amp;ROUND(AA319,3)&amp;"', 'volume_unit' : '"&amp;AF319&amp;"', 'volume_quantity' : '"&amp;ROUND(AD319,3)&amp;"', 'pieces_unit' : '"&amp;AI319&amp;"', 'pieces_quantity' : '"&amp;ROUND(AG319,3)&amp;"', 'cooking_notes' : '"&amp;AJ319&amp;"'}).status_code; print('%s :: %s :: %s :: %s :: %s' %(a,"&amp;G319&amp;",'"&amp;X319&amp;"','"&amp;Y319&amp;"','"&amp;U319&amp;"'))"</f>
        <v>a = Client().post('/recipes/alu-jeera/detail/', {'recipe' : '4', 'ingredient' : '83', 'name' : 'Oil', 'mass_unit' : '2', 'mass_quantity' : '0', 'volume_unit' : '1', 'volume_quantity' : '1.5', 'pieces_unit' : '3', 'pieces_quantity' : '0', 'cooking_notes' : ''}).status_code; print('%s :: %s :: %s :: %s :: %s' %(a,319,'Oil','gound nut oil','Alu Jeera'))</v>
      </c>
    </row>
    <row r="320" customFormat="false" ht="13.8" hidden="false" customHeight="false" outlineLevel="0" collapsed="false">
      <c r="G320" s="80" t="n">
        <v>320</v>
      </c>
      <c r="I320" s="82" t="s">
        <v>114</v>
      </c>
      <c r="J320" s="83" t="s">
        <v>14</v>
      </c>
      <c r="M320" s="61" t="n">
        <v>1</v>
      </c>
      <c r="N320" s="61" t="s">
        <v>20</v>
      </c>
      <c r="R320" s="82" t="str">
        <f aca="false">VLOOKUP(J320,ingredient!$N$4:$O$553,2,0)</f>
        <v>jeera</v>
      </c>
      <c r="U320" s="81" t="str">
        <f aca="false">I320</f>
        <v>Alu Jeera</v>
      </c>
      <c r="V320" s="81" t="n">
        <f aca="false">VLOOKUP(U320,recipe_ingred_list!$A$2:$B$300,2,0)</f>
        <v>4</v>
      </c>
      <c r="W320" s="81" t="str">
        <f aca="false">"/recipes/"&amp;VLOOKUP(U320,recipe_ingred_list!$A$2:$C$300,3,0)&amp;"/detail/"</f>
        <v>/recipes/alu-jeera/detail/</v>
      </c>
      <c r="X320" s="81" t="str">
        <f aca="false">J320</f>
        <v>Jeera</v>
      </c>
      <c r="Y320" s="81" t="str">
        <f aca="false">R320</f>
        <v>jeera</v>
      </c>
      <c r="Z320" s="94" t="n">
        <f aca="false">VLOOKUP(Y320,recipe_ingred_list!$D$2:$E$500,2,0)</f>
        <v>102</v>
      </c>
      <c r="AA320" s="61" t="n">
        <f aca="false">K320</f>
        <v>0</v>
      </c>
      <c r="AB320" s="61" t="n">
        <f aca="false">L320</f>
        <v>0</v>
      </c>
      <c r="AC320" s="61" t="n">
        <f aca="false">VLOOKUP(AB320,recipe_ingred_list!$K$2:$M$7,3,0)</f>
        <v>2</v>
      </c>
      <c r="AD320" s="61" t="n">
        <f aca="false">M320</f>
        <v>1</v>
      </c>
      <c r="AE320" s="61" t="str">
        <f aca="false">N320</f>
        <v>cup</v>
      </c>
      <c r="AF320" s="61" t="n">
        <f aca="false">VLOOKUP(AE320,recipe_ingred_list!$K$16:$M$25,3,0)</f>
        <v>5</v>
      </c>
      <c r="AG320" s="61" t="n">
        <f aca="false">O320</f>
        <v>0</v>
      </c>
      <c r="AH320" s="61" t="n">
        <f aca="false">P320</f>
        <v>0</v>
      </c>
      <c r="AI320" s="61" t="n">
        <f aca="false">VLOOKUP(AH320,recipe_ingred_list!$K$29:$M$34,3,0)</f>
        <v>3</v>
      </c>
      <c r="AJ320" s="61" t="str">
        <f aca="false">IF(Q320="","",Q320)</f>
        <v/>
      </c>
      <c r="AK320" s="61" t="n">
        <f aca="false">AK319+1</f>
        <v>320</v>
      </c>
      <c r="AL320" s="61" t="str">
        <f aca="false">Y320</f>
        <v>jeera</v>
      </c>
      <c r="AM320" s="81" t="str">
        <f aca="false">"a = Client().post('"&amp;W320&amp;"', {'recipe' : '"&amp;V320&amp;"', 'ingredient' : '"&amp;Z320&amp;"', 'name' : '"&amp;X320&amp;"', 'mass_unit' : '"&amp;AC320&amp;"', 'mass_quantity' : '"&amp;ROUND(AA320,3)&amp;"', 'volume_unit' : '"&amp;AF320&amp;"', 'volume_quantity' : '"&amp;ROUND(AD320,3)&amp;"', 'pieces_unit' : '"&amp;AI320&amp;"', 'pieces_quantity' : '"&amp;ROUND(AG320,3)&amp;"', 'cooking_notes' : '"&amp;AJ320&amp;"'}).status_code; print('%s :: %s :: %s :: %s :: %s' %(a,"&amp;G320&amp;",'"&amp;X320&amp;"','"&amp;Y320&amp;"','"&amp;U320&amp;"'))"</f>
        <v>a = Client().post('/recipes/alu-jeera/detail/', {'recipe' : '4', 'ingredient' : '102', 'name' : 'Jeera', 'mass_unit' : '2', 'mass_quantity' : '0', 'volume_unit' : '5', 'volume_quantity' : '1', 'pieces_unit' : '3', 'pieces_quantity' : '0', 'cooking_notes' : ''}).status_code; print('%s :: %s :: %s :: %s :: %s' %(a,320,'Jeera','jeera','Alu Jeera'))</v>
      </c>
    </row>
    <row r="321" customFormat="false" ht="13.8" hidden="false" customHeight="false" outlineLevel="0" collapsed="false">
      <c r="G321" s="80" t="n">
        <v>321</v>
      </c>
      <c r="I321" s="82" t="s">
        <v>114</v>
      </c>
      <c r="J321" s="83" t="s">
        <v>562</v>
      </c>
      <c r="M321" s="61" t="n">
        <v>0.25</v>
      </c>
      <c r="N321" s="61" t="s">
        <v>20</v>
      </c>
      <c r="R321" s="82" t="str">
        <f aca="false">VLOOKUP(J321,ingredient!$N$4:$O$553,2,0)</f>
        <v>hing</v>
      </c>
      <c r="U321" s="81" t="str">
        <f aca="false">I321</f>
        <v>Alu Jeera</v>
      </c>
      <c r="V321" s="81" t="n">
        <f aca="false">VLOOKUP(U321,recipe_ingred_list!$A$2:$B$300,2,0)</f>
        <v>4</v>
      </c>
      <c r="W321" s="81" t="str">
        <f aca="false">"/recipes/"&amp;VLOOKUP(U321,recipe_ingred_list!$A$2:$C$300,3,0)&amp;"/detail/"</f>
        <v>/recipes/alu-jeera/detail/</v>
      </c>
      <c r="X321" s="81" t="str">
        <f aca="false">J321</f>
        <v>Hing</v>
      </c>
      <c r="Y321" s="81" t="str">
        <f aca="false">R321</f>
        <v>hing</v>
      </c>
      <c r="Z321" s="94" t="n">
        <f aca="false">VLOOKUP(Y321,recipe_ingred_list!$D$2:$E$500,2,0)</f>
        <v>95</v>
      </c>
      <c r="AA321" s="61" t="n">
        <f aca="false">K321</f>
        <v>0</v>
      </c>
      <c r="AB321" s="61" t="n">
        <f aca="false">L321</f>
        <v>0</v>
      </c>
      <c r="AC321" s="61" t="n">
        <f aca="false">VLOOKUP(AB321,recipe_ingred_list!$K$2:$M$7,3,0)</f>
        <v>2</v>
      </c>
      <c r="AD321" s="61" t="n">
        <f aca="false">M321</f>
        <v>0.25</v>
      </c>
      <c r="AE321" s="61" t="str">
        <f aca="false">N321</f>
        <v>cup</v>
      </c>
      <c r="AF321" s="61" t="n">
        <f aca="false">VLOOKUP(AE321,recipe_ingred_list!$K$16:$M$25,3,0)</f>
        <v>5</v>
      </c>
      <c r="AG321" s="61" t="n">
        <f aca="false">O321</f>
        <v>0</v>
      </c>
      <c r="AH321" s="61" t="n">
        <f aca="false">P321</f>
        <v>0</v>
      </c>
      <c r="AI321" s="61" t="n">
        <f aca="false">VLOOKUP(AH321,recipe_ingred_list!$K$29:$M$34,3,0)</f>
        <v>3</v>
      </c>
      <c r="AJ321" s="61" t="str">
        <f aca="false">IF(Q321="","",Q321)</f>
        <v/>
      </c>
      <c r="AK321" s="61" t="n">
        <f aca="false">AK320+1</f>
        <v>321</v>
      </c>
      <c r="AL321" s="61" t="str">
        <f aca="false">Y321</f>
        <v>hing</v>
      </c>
      <c r="AM321" s="81" t="str">
        <f aca="false">"a = Client().post('"&amp;W321&amp;"', {'recipe' : '"&amp;V321&amp;"', 'ingredient' : '"&amp;Z321&amp;"', 'name' : '"&amp;X321&amp;"', 'mass_unit' : '"&amp;AC321&amp;"', 'mass_quantity' : '"&amp;ROUND(AA321,3)&amp;"', 'volume_unit' : '"&amp;AF321&amp;"', 'volume_quantity' : '"&amp;ROUND(AD321,3)&amp;"', 'pieces_unit' : '"&amp;AI321&amp;"', 'pieces_quantity' : '"&amp;ROUND(AG321,3)&amp;"', 'cooking_notes' : '"&amp;AJ321&amp;"'}).status_code; print('%s :: %s :: %s :: %s :: %s' %(a,"&amp;G321&amp;",'"&amp;X321&amp;"','"&amp;Y321&amp;"','"&amp;U321&amp;"'))"</f>
        <v>a = Client().post('/recipes/alu-jeera/detail/', {'recipe' : '4', 'ingredient' : '95', 'name' : 'Hing', 'mass_unit' : '2', 'mass_quantity' : '0', 'volume_unit' : '5', 'volume_quantity' : '0.25', 'pieces_unit' : '3', 'pieces_quantity' : '0', 'cooking_notes' : ''}).status_code; print('%s :: %s :: %s :: %s :: %s' %(a,321,'Hing','hing','Alu Jeera'))</v>
      </c>
    </row>
    <row r="322" customFormat="false" ht="14.9" hidden="false" customHeight="false" outlineLevel="0" collapsed="false">
      <c r="G322" s="80" t="n">
        <v>322</v>
      </c>
      <c r="I322" s="82" t="s">
        <v>114</v>
      </c>
      <c r="J322" s="83" t="s">
        <v>526</v>
      </c>
      <c r="M322" s="61" t="n">
        <v>2</v>
      </c>
      <c r="N322" s="61" t="s">
        <v>20</v>
      </c>
      <c r="Q322" s="84" t="s">
        <v>538</v>
      </c>
      <c r="R322" s="82" t="str">
        <f aca="false">VLOOKUP(J322,ingredient!$N$4:$O$553,2,0)</f>
        <v>hari mirchi</v>
      </c>
      <c r="U322" s="81" t="str">
        <f aca="false">I322</f>
        <v>Alu Jeera</v>
      </c>
      <c r="V322" s="81" t="n">
        <f aca="false">VLOOKUP(U322,recipe_ingred_list!$A$2:$B$300,2,0)</f>
        <v>4</v>
      </c>
      <c r="W322" s="81" t="str">
        <f aca="false">"/recipes/"&amp;VLOOKUP(U322,recipe_ingred_list!$A$2:$C$300,3,0)&amp;"/detail/"</f>
        <v>/recipes/alu-jeera/detail/</v>
      </c>
      <c r="X322" s="81" t="str">
        <f aca="false">J322</f>
        <v>Hari mirchi</v>
      </c>
      <c r="Y322" s="81" t="str">
        <f aca="false">R322</f>
        <v>hari mirchi</v>
      </c>
      <c r="Z322" s="94" t="n">
        <f aca="false">VLOOKUP(Y322,recipe_ingred_list!$D$2:$E$500,2,0)</f>
        <v>93</v>
      </c>
      <c r="AA322" s="61" t="n">
        <f aca="false">K322</f>
        <v>0</v>
      </c>
      <c r="AB322" s="61" t="n">
        <f aca="false">L322</f>
        <v>0</v>
      </c>
      <c r="AC322" s="61" t="n">
        <f aca="false">VLOOKUP(AB322,recipe_ingred_list!$K$2:$M$7,3,0)</f>
        <v>2</v>
      </c>
      <c r="AD322" s="61" t="n">
        <f aca="false">M322</f>
        <v>2</v>
      </c>
      <c r="AE322" s="61" t="str">
        <f aca="false">N322</f>
        <v>cup</v>
      </c>
      <c r="AF322" s="61" t="n">
        <f aca="false">VLOOKUP(AE322,recipe_ingred_list!$K$16:$M$25,3,0)</f>
        <v>5</v>
      </c>
      <c r="AG322" s="61" t="n">
        <f aca="false">O322</f>
        <v>0</v>
      </c>
      <c r="AH322" s="61" t="n">
        <f aca="false">P322</f>
        <v>0</v>
      </c>
      <c r="AI322" s="61" t="n">
        <f aca="false">VLOOKUP(AH322,recipe_ingred_list!$K$29:$M$34,3,0)</f>
        <v>3</v>
      </c>
      <c r="AJ322" s="61" t="str">
        <f aca="false">IF(Q322="","",Q322)</f>
        <v>fine chopped</v>
      </c>
      <c r="AK322" s="61" t="n">
        <f aca="false">AK321+1</f>
        <v>322</v>
      </c>
      <c r="AL322" s="61" t="str">
        <f aca="false">Y322</f>
        <v>hari mirchi</v>
      </c>
      <c r="AM322" s="81" t="str">
        <f aca="false">"a = Client().post('"&amp;W322&amp;"', {'recipe' : '"&amp;V322&amp;"', 'ingredient' : '"&amp;Z322&amp;"', 'name' : '"&amp;X322&amp;"', 'mass_unit' : '"&amp;AC322&amp;"', 'mass_quantity' : '"&amp;ROUND(AA322,3)&amp;"', 'volume_unit' : '"&amp;AF322&amp;"', 'volume_quantity' : '"&amp;ROUND(AD322,3)&amp;"', 'pieces_unit' : '"&amp;AI322&amp;"', 'pieces_quantity' : '"&amp;ROUND(AG322,3)&amp;"', 'cooking_notes' : '"&amp;AJ322&amp;"'}).status_code; print('%s :: %s :: %s :: %s :: %s' %(a,"&amp;G322&amp;",'"&amp;X322&amp;"','"&amp;Y322&amp;"','"&amp;U322&amp;"'))"</f>
        <v>a = Client().post('/recipes/alu-jeera/detail/', {'recipe' : '4', 'ingredient' : '93', 'name' : 'Hari mirchi', 'mass_unit' : '2', 'mass_quantity' : '0', 'volume_unit' : '5', 'volume_quantity' : '2', 'pieces_unit' : '3', 'pieces_quantity' : '0', 'cooking_notes' : 'fine chopped'}).status_code; print('%s :: %s :: %s :: %s :: %s' %(a,322,'Hari mirchi','hari mirchi','Alu Jeera'))</v>
      </c>
    </row>
    <row r="323" customFormat="false" ht="13.8" hidden="false" customHeight="false" outlineLevel="0" collapsed="false">
      <c r="G323" s="80" t="n">
        <v>323</v>
      </c>
      <c r="I323" s="82" t="s">
        <v>114</v>
      </c>
      <c r="J323" s="83" t="s">
        <v>554</v>
      </c>
      <c r="M323" s="61" t="n">
        <v>0.3</v>
      </c>
      <c r="N323" s="61" t="s">
        <v>20</v>
      </c>
      <c r="R323" s="82" t="str">
        <f aca="false">VLOOKUP(J323,ingredient!$N$4:$O$553,2,0)</f>
        <v>kashmiri chilly powder</v>
      </c>
      <c r="U323" s="81" t="str">
        <f aca="false">I323</f>
        <v>Alu Jeera</v>
      </c>
      <c r="V323" s="81" t="n">
        <f aca="false">VLOOKUP(U323,recipe_ingred_list!$A$2:$B$300,2,0)</f>
        <v>4</v>
      </c>
      <c r="W323" s="81" t="str">
        <f aca="false">"/recipes/"&amp;VLOOKUP(U323,recipe_ingred_list!$A$2:$C$300,3,0)&amp;"/detail/"</f>
        <v>/recipes/alu-jeera/detail/</v>
      </c>
      <c r="X323" s="81" t="str">
        <f aca="false">J323</f>
        <v>Kashmiri powder</v>
      </c>
      <c r="Y323" s="81" t="str">
        <f aca="false">R323</f>
        <v>kashmiri chilly powder</v>
      </c>
      <c r="Z323" s="94" t="n">
        <f aca="false">VLOOKUP(Y323,recipe_ingred_list!$D$2:$E$500,2,0)</f>
        <v>117</v>
      </c>
      <c r="AA323" s="61" t="n">
        <f aca="false">K323</f>
        <v>0</v>
      </c>
      <c r="AB323" s="61" t="n">
        <f aca="false">L323</f>
        <v>0</v>
      </c>
      <c r="AC323" s="61" t="n">
        <f aca="false">VLOOKUP(AB323,recipe_ingred_list!$K$2:$M$7,3,0)</f>
        <v>2</v>
      </c>
      <c r="AD323" s="61" t="n">
        <f aca="false">M323</f>
        <v>0.3</v>
      </c>
      <c r="AE323" s="61" t="str">
        <f aca="false">N323</f>
        <v>cup</v>
      </c>
      <c r="AF323" s="61" t="n">
        <f aca="false">VLOOKUP(AE323,recipe_ingred_list!$K$16:$M$25,3,0)</f>
        <v>5</v>
      </c>
      <c r="AG323" s="61" t="n">
        <f aca="false">O323</f>
        <v>0</v>
      </c>
      <c r="AH323" s="61" t="n">
        <f aca="false">P323</f>
        <v>0</v>
      </c>
      <c r="AI323" s="61" t="n">
        <f aca="false">VLOOKUP(AH323,recipe_ingred_list!$K$29:$M$34,3,0)</f>
        <v>3</v>
      </c>
      <c r="AJ323" s="61" t="str">
        <f aca="false">IF(Q323="","",Q323)</f>
        <v/>
      </c>
      <c r="AK323" s="61" t="n">
        <f aca="false">AK322+1</f>
        <v>323</v>
      </c>
      <c r="AL323" s="61" t="str">
        <f aca="false">Y323</f>
        <v>kashmiri chilly powder</v>
      </c>
      <c r="AM323" s="81" t="str">
        <f aca="false">"a = Client().post('"&amp;W323&amp;"', {'recipe' : '"&amp;V323&amp;"', 'ingredient' : '"&amp;Z323&amp;"', 'name' : '"&amp;X323&amp;"', 'mass_unit' : '"&amp;AC323&amp;"', 'mass_quantity' : '"&amp;ROUND(AA323,3)&amp;"', 'volume_unit' : '"&amp;AF323&amp;"', 'volume_quantity' : '"&amp;ROUND(AD323,3)&amp;"', 'pieces_unit' : '"&amp;AI323&amp;"', 'pieces_quantity' : '"&amp;ROUND(AG323,3)&amp;"', 'cooking_notes' : '"&amp;AJ323&amp;"'}).status_code; print('%s :: %s :: %s :: %s :: %s' %(a,"&amp;G323&amp;",'"&amp;X323&amp;"','"&amp;Y323&amp;"','"&amp;U323&amp;"'))"</f>
        <v>a = Client().post('/recipes/alu-jeera/detail/', {'recipe' : '4', 'ingredient' : '117', 'name' : 'Kashmiri powder', 'mass_unit' : '2', 'mass_quantity' : '0', 'volume_unit' : '5', 'volume_quantity' : '0.3', 'pieces_unit' : '3', 'pieces_quantity' : '0', 'cooking_notes' : ''}).status_code; print('%s :: %s :: %s :: %s :: %s' %(a,323,'Kashmiri powder','kashmiri chilly powder','Alu Jeera'))</v>
      </c>
    </row>
    <row r="324" customFormat="false" ht="13.8" hidden="false" customHeight="false" outlineLevel="0" collapsed="false">
      <c r="G324" s="80" t="n">
        <v>324</v>
      </c>
      <c r="I324" s="82" t="s">
        <v>114</v>
      </c>
      <c r="J324" s="83" t="s">
        <v>596</v>
      </c>
      <c r="M324" s="61" t="n">
        <v>0.3</v>
      </c>
      <c r="N324" s="61" t="s">
        <v>20</v>
      </c>
      <c r="R324" s="82" t="str">
        <f aca="false">VLOOKUP(J324,ingredient!$N$4:$O$553,2,0)</f>
        <v>madrasi mirchi powder</v>
      </c>
      <c r="U324" s="81" t="str">
        <f aca="false">I324</f>
        <v>Alu Jeera</v>
      </c>
      <c r="V324" s="81" t="n">
        <f aca="false">VLOOKUP(U324,recipe_ingred_list!$A$2:$B$300,2,0)</f>
        <v>4</v>
      </c>
      <c r="W324" s="81" t="str">
        <f aca="false">"/recipes/"&amp;VLOOKUP(U324,recipe_ingred_list!$A$2:$C$300,3,0)&amp;"/detail/"</f>
        <v>/recipes/alu-jeera/detail/</v>
      </c>
      <c r="X324" s="81" t="str">
        <f aca="false">J324</f>
        <v>Red chilli powder</v>
      </c>
      <c r="Y324" s="81" t="str">
        <f aca="false">R324</f>
        <v>madrasi mirchi powder</v>
      </c>
      <c r="Z324" s="94" t="n">
        <f aca="false">VLOOKUP(Y324,recipe_ingred_list!$D$2:$E$500,2,0)</f>
        <v>135</v>
      </c>
      <c r="AA324" s="61" t="n">
        <f aca="false">K324</f>
        <v>0</v>
      </c>
      <c r="AB324" s="61" t="n">
        <f aca="false">L324</f>
        <v>0</v>
      </c>
      <c r="AC324" s="61" t="n">
        <f aca="false">VLOOKUP(AB324,recipe_ingred_list!$K$2:$M$7,3,0)</f>
        <v>2</v>
      </c>
      <c r="AD324" s="61" t="n">
        <f aca="false">M324</f>
        <v>0.3</v>
      </c>
      <c r="AE324" s="61" t="str">
        <f aca="false">N324</f>
        <v>cup</v>
      </c>
      <c r="AF324" s="61" t="n">
        <f aca="false">VLOOKUP(AE324,recipe_ingred_list!$K$16:$M$25,3,0)</f>
        <v>5</v>
      </c>
      <c r="AG324" s="61" t="n">
        <f aca="false">O324</f>
        <v>0</v>
      </c>
      <c r="AH324" s="61" t="n">
        <f aca="false">P324</f>
        <v>0</v>
      </c>
      <c r="AI324" s="61" t="n">
        <f aca="false">VLOOKUP(AH324,recipe_ingred_list!$K$29:$M$34,3,0)</f>
        <v>3</v>
      </c>
      <c r="AJ324" s="61" t="str">
        <f aca="false">IF(Q324="","",Q324)</f>
        <v/>
      </c>
      <c r="AK324" s="61" t="n">
        <f aca="false">AK323+1</f>
        <v>324</v>
      </c>
      <c r="AL324" s="61" t="str">
        <f aca="false">Y324</f>
        <v>madrasi mirchi powder</v>
      </c>
      <c r="AM324" s="81" t="str">
        <f aca="false">"a = Client().post('"&amp;W324&amp;"', {'recipe' : '"&amp;V324&amp;"', 'ingredient' : '"&amp;Z324&amp;"', 'name' : '"&amp;X324&amp;"', 'mass_unit' : '"&amp;AC324&amp;"', 'mass_quantity' : '"&amp;ROUND(AA324,3)&amp;"', 'volume_unit' : '"&amp;AF324&amp;"', 'volume_quantity' : '"&amp;ROUND(AD324,3)&amp;"', 'pieces_unit' : '"&amp;AI324&amp;"', 'pieces_quantity' : '"&amp;ROUND(AG324,3)&amp;"', 'cooking_notes' : '"&amp;AJ324&amp;"'}).status_code; print('%s :: %s :: %s :: %s :: %s' %(a,"&amp;G324&amp;",'"&amp;X324&amp;"','"&amp;Y324&amp;"','"&amp;U324&amp;"'))"</f>
        <v>a = Client().post('/recipes/alu-jeera/detail/', {'recipe' : '4', 'ingredient' : '135', 'name' : 'Red chilli powder', 'mass_unit' : '2', 'mass_quantity' : '0', 'volume_unit' : '5', 'volume_quantity' : '0.3', 'pieces_unit' : '3', 'pieces_quantity' : '0', 'cooking_notes' : ''}).status_code; print('%s :: %s :: %s :: %s :: %s' %(a,324,'Red chilli powder','madrasi mirchi powder','Alu Jeera'))</v>
      </c>
    </row>
    <row r="325" customFormat="false" ht="13.8" hidden="false" customHeight="false" outlineLevel="0" collapsed="false">
      <c r="G325" s="80" t="n">
        <v>325</v>
      </c>
      <c r="I325" s="82" t="s">
        <v>114</v>
      </c>
      <c r="J325" s="83" t="s">
        <v>32</v>
      </c>
      <c r="M325" s="61" t="n">
        <v>1.25</v>
      </c>
      <c r="N325" s="61" t="s">
        <v>20</v>
      </c>
      <c r="R325" s="82" t="str">
        <f aca="false">VLOOKUP(J325,ingredient!$N$4:$O$553,2,0)</f>
        <v>salt</v>
      </c>
      <c r="U325" s="81" t="str">
        <f aca="false">I325</f>
        <v>Alu Jeera</v>
      </c>
      <c r="V325" s="81" t="n">
        <f aca="false">VLOOKUP(U325,recipe_ingred_list!$A$2:$B$300,2,0)</f>
        <v>4</v>
      </c>
      <c r="W325" s="81" t="str">
        <f aca="false">"/recipes/"&amp;VLOOKUP(U325,recipe_ingred_list!$A$2:$C$300,3,0)&amp;"/detail/"</f>
        <v>/recipes/alu-jeera/detail/</v>
      </c>
      <c r="X325" s="81" t="str">
        <f aca="false">J325</f>
        <v>Salt</v>
      </c>
      <c r="Y325" s="81" t="str">
        <f aca="false">R325</f>
        <v>salt</v>
      </c>
      <c r="Z325" s="94" t="n">
        <f aca="false">VLOOKUP(Y325,recipe_ingred_list!$D$2:$E$500,2,0)</f>
        <v>177</v>
      </c>
      <c r="AA325" s="61" t="n">
        <f aca="false">K325</f>
        <v>0</v>
      </c>
      <c r="AB325" s="61" t="n">
        <f aca="false">L325</f>
        <v>0</v>
      </c>
      <c r="AC325" s="61" t="n">
        <f aca="false">VLOOKUP(AB325,recipe_ingred_list!$K$2:$M$7,3,0)</f>
        <v>2</v>
      </c>
      <c r="AD325" s="61" t="n">
        <f aca="false">M325</f>
        <v>1.25</v>
      </c>
      <c r="AE325" s="61" t="str">
        <f aca="false">N325</f>
        <v>cup</v>
      </c>
      <c r="AF325" s="61" t="n">
        <f aca="false">VLOOKUP(AE325,recipe_ingred_list!$K$16:$M$25,3,0)</f>
        <v>5</v>
      </c>
      <c r="AG325" s="61" t="n">
        <f aca="false">O325</f>
        <v>0</v>
      </c>
      <c r="AH325" s="61" t="n">
        <f aca="false">P325</f>
        <v>0</v>
      </c>
      <c r="AI325" s="61" t="n">
        <f aca="false">VLOOKUP(AH325,recipe_ingred_list!$K$29:$M$34,3,0)</f>
        <v>3</v>
      </c>
      <c r="AJ325" s="61" t="str">
        <f aca="false">IF(Q325="","",Q325)</f>
        <v/>
      </c>
      <c r="AK325" s="61" t="n">
        <f aca="false">AK324+1</f>
        <v>325</v>
      </c>
      <c r="AL325" s="61" t="str">
        <f aca="false">Y325</f>
        <v>salt</v>
      </c>
      <c r="AM325" s="81" t="str">
        <f aca="false">"a = Client().post('"&amp;W325&amp;"', {'recipe' : '"&amp;V325&amp;"', 'ingredient' : '"&amp;Z325&amp;"', 'name' : '"&amp;X325&amp;"', 'mass_unit' : '"&amp;AC325&amp;"', 'mass_quantity' : '"&amp;ROUND(AA325,3)&amp;"', 'volume_unit' : '"&amp;AF325&amp;"', 'volume_quantity' : '"&amp;ROUND(AD325,3)&amp;"', 'pieces_unit' : '"&amp;AI325&amp;"', 'pieces_quantity' : '"&amp;ROUND(AG325,3)&amp;"', 'cooking_notes' : '"&amp;AJ325&amp;"'}).status_code; print('%s :: %s :: %s :: %s :: %s' %(a,"&amp;G325&amp;",'"&amp;X325&amp;"','"&amp;Y325&amp;"','"&amp;U325&amp;"'))"</f>
        <v>a = Client().post('/recipes/alu-jeera/detail/', {'recipe' : '4', 'ingredient' : '177', 'name' : 'Salt', 'mass_unit' : '2', 'mass_quantity' : '0', 'volume_unit' : '5', 'volume_quantity' : '1.25', 'pieces_unit' : '3', 'pieces_quantity' : '0', 'cooking_notes' : ''}).status_code; print('%s :: %s :: %s :: %s :: %s' %(a,325,'Salt','salt','Alu Jeera'))</v>
      </c>
    </row>
    <row r="326" customFormat="false" ht="13.8" hidden="false" customHeight="false" outlineLevel="0" collapsed="false">
      <c r="G326" s="80" t="n">
        <v>326</v>
      </c>
      <c r="I326" s="82" t="s">
        <v>114</v>
      </c>
      <c r="J326" s="83" t="s">
        <v>568</v>
      </c>
      <c r="M326" s="61" t="n">
        <v>0.75</v>
      </c>
      <c r="N326" s="61" t="s">
        <v>20</v>
      </c>
      <c r="R326" s="82" t="str">
        <f aca="false">VLOOKUP(J326,ingredient!$N$4:$O$553,2,0)</f>
        <v>dhaniya powder</v>
      </c>
      <c r="U326" s="81" t="str">
        <f aca="false">I326</f>
        <v>Alu Jeera</v>
      </c>
      <c r="V326" s="81" t="n">
        <f aca="false">VLOOKUP(U326,recipe_ingred_list!$A$2:$B$300,2,0)</f>
        <v>4</v>
      </c>
      <c r="W326" s="81" t="str">
        <f aca="false">"/recipes/"&amp;VLOOKUP(U326,recipe_ingred_list!$A$2:$C$300,3,0)&amp;"/detail/"</f>
        <v>/recipes/alu-jeera/detail/</v>
      </c>
      <c r="X326" s="81" t="str">
        <f aca="false">J326</f>
        <v>Dhania powder</v>
      </c>
      <c r="Y326" s="81" t="str">
        <f aca="false">R326</f>
        <v>dhaniya powder</v>
      </c>
      <c r="Z326" s="94" t="n">
        <f aca="false">VLOOKUP(Y326,recipe_ingred_list!$D$2:$E$500,2,0)</f>
        <v>67</v>
      </c>
      <c r="AA326" s="61" t="n">
        <f aca="false">K326</f>
        <v>0</v>
      </c>
      <c r="AB326" s="61" t="n">
        <f aca="false">L326</f>
        <v>0</v>
      </c>
      <c r="AC326" s="61" t="n">
        <f aca="false">VLOOKUP(AB326,recipe_ingred_list!$K$2:$M$7,3,0)</f>
        <v>2</v>
      </c>
      <c r="AD326" s="61" t="n">
        <f aca="false">M326</f>
        <v>0.75</v>
      </c>
      <c r="AE326" s="61" t="str">
        <f aca="false">N326</f>
        <v>cup</v>
      </c>
      <c r="AF326" s="61" t="n">
        <f aca="false">VLOOKUP(AE326,recipe_ingred_list!$K$16:$M$25,3,0)</f>
        <v>5</v>
      </c>
      <c r="AG326" s="61" t="n">
        <f aca="false">O326</f>
        <v>0</v>
      </c>
      <c r="AH326" s="61" t="n">
        <f aca="false">P326</f>
        <v>0</v>
      </c>
      <c r="AI326" s="61" t="n">
        <f aca="false">VLOOKUP(AH326,recipe_ingred_list!$K$29:$M$34,3,0)</f>
        <v>3</v>
      </c>
      <c r="AJ326" s="61" t="str">
        <f aca="false">IF(Q326="","",Q326)</f>
        <v/>
      </c>
      <c r="AK326" s="61" t="n">
        <f aca="false">AK325+1</f>
        <v>326</v>
      </c>
      <c r="AL326" s="61" t="str">
        <f aca="false">Y326</f>
        <v>dhaniya powder</v>
      </c>
      <c r="AM326" s="81" t="str">
        <f aca="false">"a = Client().post('"&amp;W326&amp;"', {'recipe' : '"&amp;V326&amp;"', 'ingredient' : '"&amp;Z326&amp;"', 'name' : '"&amp;X326&amp;"', 'mass_unit' : '"&amp;AC326&amp;"', 'mass_quantity' : '"&amp;ROUND(AA326,3)&amp;"', 'volume_unit' : '"&amp;AF326&amp;"', 'volume_quantity' : '"&amp;ROUND(AD326,3)&amp;"', 'pieces_unit' : '"&amp;AI326&amp;"', 'pieces_quantity' : '"&amp;ROUND(AG326,3)&amp;"', 'cooking_notes' : '"&amp;AJ326&amp;"'}).status_code; print('%s :: %s :: %s :: %s :: %s' %(a,"&amp;G326&amp;",'"&amp;X326&amp;"','"&amp;Y326&amp;"','"&amp;U326&amp;"'))"</f>
        <v>a = Client().post('/recipes/alu-jeera/detail/', {'recipe' : '4', 'ingredient' : '67', 'name' : 'Dhania powder', 'mass_unit' : '2', 'mass_quantity' : '0', 'volume_unit' : '5', 'volume_quantity' : '0.75', 'pieces_unit' : '3', 'pieces_quantity' : '0', 'cooking_notes' : ''}).status_code; print('%s :: %s :: %s :: %s :: %s' %(a,326,'Dhania powder','dhaniya powder','Alu Jeera'))</v>
      </c>
    </row>
    <row r="327" customFormat="false" ht="13.8" hidden="false" customHeight="false" outlineLevel="0" collapsed="false">
      <c r="G327" s="80" t="n">
        <v>327</v>
      </c>
      <c r="I327" s="82" t="s">
        <v>114</v>
      </c>
      <c r="J327" s="83" t="s">
        <v>582</v>
      </c>
      <c r="M327" s="61" t="n">
        <v>0.4</v>
      </c>
      <c r="N327" s="61" t="s">
        <v>20</v>
      </c>
      <c r="R327" s="82" t="str">
        <f aca="false">VLOOKUP(J327,ingredient!$N$4:$O$553,2,0)</f>
        <v>jeera</v>
      </c>
      <c r="U327" s="81" t="str">
        <f aca="false">I327</f>
        <v>Alu Jeera</v>
      </c>
      <c r="V327" s="81" t="n">
        <f aca="false">VLOOKUP(U327,recipe_ingred_list!$A$2:$B$300,2,0)</f>
        <v>4</v>
      </c>
      <c r="W327" s="81" t="str">
        <f aca="false">"/recipes/"&amp;VLOOKUP(U327,recipe_ingred_list!$A$2:$C$300,3,0)&amp;"/detail/"</f>
        <v>/recipes/alu-jeera/detail/</v>
      </c>
      <c r="X327" s="81" t="str">
        <f aca="false">J327</f>
        <v>Roasted jeera powder</v>
      </c>
      <c r="Y327" s="81" t="str">
        <f aca="false">R327</f>
        <v>jeera</v>
      </c>
      <c r="Z327" s="94" t="n">
        <f aca="false">VLOOKUP(Y327,recipe_ingred_list!$D$2:$E$500,2,0)</f>
        <v>102</v>
      </c>
      <c r="AA327" s="61" t="n">
        <f aca="false">K327</f>
        <v>0</v>
      </c>
      <c r="AB327" s="61" t="n">
        <f aca="false">L327</f>
        <v>0</v>
      </c>
      <c r="AC327" s="61" t="n">
        <f aca="false">VLOOKUP(AB327,recipe_ingred_list!$K$2:$M$7,3,0)</f>
        <v>2</v>
      </c>
      <c r="AD327" s="61" t="n">
        <f aca="false">M327</f>
        <v>0.4</v>
      </c>
      <c r="AE327" s="61" t="str">
        <f aca="false">N327</f>
        <v>cup</v>
      </c>
      <c r="AF327" s="61" t="n">
        <f aca="false">VLOOKUP(AE327,recipe_ingred_list!$K$16:$M$25,3,0)</f>
        <v>5</v>
      </c>
      <c r="AG327" s="61" t="n">
        <f aca="false">O327</f>
        <v>0</v>
      </c>
      <c r="AH327" s="61" t="n">
        <f aca="false">P327</f>
        <v>0</v>
      </c>
      <c r="AI327" s="61" t="n">
        <f aca="false">VLOOKUP(AH327,recipe_ingred_list!$K$29:$M$34,3,0)</f>
        <v>3</v>
      </c>
      <c r="AJ327" s="61" t="str">
        <f aca="false">IF(Q327="","",Q327)</f>
        <v/>
      </c>
      <c r="AK327" s="61" t="n">
        <f aca="false">AK326+1</f>
        <v>327</v>
      </c>
      <c r="AL327" s="61" t="str">
        <f aca="false">Y327</f>
        <v>jeera</v>
      </c>
      <c r="AM327" s="81" t="str">
        <f aca="false">"a = Client().post('"&amp;W327&amp;"', {'recipe' : '"&amp;V327&amp;"', 'ingredient' : '"&amp;Z327&amp;"', 'name' : '"&amp;X327&amp;"', 'mass_unit' : '"&amp;AC327&amp;"', 'mass_quantity' : '"&amp;ROUND(AA327,3)&amp;"', 'volume_unit' : '"&amp;AF327&amp;"', 'volume_quantity' : '"&amp;ROUND(AD327,3)&amp;"', 'pieces_unit' : '"&amp;AI327&amp;"', 'pieces_quantity' : '"&amp;ROUND(AG327,3)&amp;"', 'cooking_notes' : '"&amp;AJ327&amp;"'}).status_code; print('%s :: %s :: %s :: %s :: %s' %(a,"&amp;G327&amp;",'"&amp;X327&amp;"','"&amp;Y327&amp;"','"&amp;U327&amp;"'))"</f>
        <v>a = Client().post('/recipes/alu-jeera/detail/', {'recipe' : '4', 'ingredient' : '102', 'name' : 'Roasted jeera powder', 'mass_unit' : '2', 'mass_quantity' : '0', 'volume_unit' : '5', 'volume_quantity' : '0.4', 'pieces_unit' : '3', 'pieces_quantity' : '0', 'cooking_notes' : ''}).status_code; print('%s :: %s :: %s :: %s :: %s' %(a,327,'Roasted jeera powder','jeera','Alu Jeera'))</v>
      </c>
    </row>
    <row r="328" customFormat="false" ht="13.8" hidden="false" customHeight="false" outlineLevel="0" collapsed="false">
      <c r="G328" s="80" t="n">
        <v>328</v>
      </c>
      <c r="I328" s="82" t="s">
        <v>114</v>
      </c>
      <c r="J328" s="83" t="s">
        <v>557</v>
      </c>
      <c r="M328" s="61" t="n">
        <v>1.5</v>
      </c>
      <c r="N328" s="61" t="s">
        <v>20</v>
      </c>
      <c r="R328" s="82" t="str">
        <f aca="false">VLOOKUP(J328,ingredient!$N$4:$O$553,2,0)</f>
        <v>lemon</v>
      </c>
      <c r="U328" s="81" t="str">
        <f aca="false">I328</f>
        <v>Alu Jeera</v>
      </c>
      <c r="V328" s="81" t="n">
        <f aca="false">VLOOKUP(U328,recipe_ingred_list!$A$2:$B$300,2,0)</f>
        <v>4</v>
      </c>
      <c r="W328" s="81" t="str">
        <f aca="false">"/recipes/"&amp;VLOOKUP(U328,recipe_ingred_list!$A$2:$C$300,3,0)&amp;"/detail/"</f>
        <v>/recipes/alu-jeera/detail/</v>
      </c>
      <c r="X328" s="81" t="str">
        <f aca="false">J328</f>
        <v>Lemon juice</v>
      </c>
      <c r="Y328" s="81" t="str">
        <f aca="false">R328</f>
        <v>lemon</v>
      </c>
      <c r="Z328" s="94" t="n">
        <f aca="false">VLOOKUP(Y328,recipe_ingred_list!$D$2:$E$500,2,0)</f>
        <v>129</v>
      </c>
      <c r="AA328" s="61" t="n">
        <f aca="false">K328</f>
        <v>0</v>
      </c>
      <c r="AB328" s="61" t="n">
        <f aca="false">L328</f>
        <v>0</v>
      </c>
      <c r="AC328" s="61" t="n">
        <f aca="false">VLOOKUP(AB328,recipe_ingred_list!$K$2:$M$7,3,0)</f>
        <v>2</v>
      </c>
      <c r="AD328" s="61" t="n">
        <f aca="false">M328</f>
        <v>1.5</v>
      </c>
      <c r="AE328" s="61" t="str">
        <f aca="false">N328</f>
        <v>cup</v>
      </c>
      <c r="AF328" s="61" t="n">
        <f aca="false">VLOOKUP(AE328,recipe_ingred_list!$K$16:$M$25,3,0)</f>
        <v>5</v>
      </c>
      <c r="AG328" s="61" t="n">
        <f aca="false">O328</f>
        <v>0</v>
      </c>
      <c r="AH328" s="61" t="n">
        <f aca="false">P328</f>
        <v>0</v>
      </c>
      <c r="AI328" s="61" t="n">
        <f aca="false">VLOOKUP(AH328,recipe_ingred_list!$K$29:$M$34,3,0)</f>
        <v>3</v>
      </c>
      <c r="AJ328" s="61" t="str">
        <f aca="false">IF(Q328="","",Q328)</f>
        <v/>
      </c>
      <c r="AK328" s="61" t="n">
        <f aca="false">AK327+1</f>
        <v>328</v>
      </c>
      <c r="AL328" s="61" t="str">
        <f aca="false">Y328</f>
        <v>lemon</v>
      </c>
      <c r="AM328" s="81" t="str">
        <f aca="false">"a = Client().post('"&amp;W328&amp;"', {'recipe' : '"&amp;V328&amp;"', 'ingredient' : '"&amp;Z328&amp;"', 'name' : '"&amp;X328&amp;"', 'mass_unit' : '"&amp;AC328&amp;"', 'mass_quantity' : '"&amp;ROUND(AA328,3)&amp;"', 'volume_unit' : '"&amp;AF328&amp;"', 'volume_quantity' : '"&amp;ROUND(AD328,3)&amp;"', 'pieces_unit' : '"&amp;AI328&amp;"', 'pieces_quantity' : '"&amp;ROUND(AG328,3)&amp;"', 'cooking_notes' : '"&amp;AJ328&amp;"'}).status_code; print('%s :: %s :: %s :: %s :: %s' %(a,"&amp;G328&amp;",'"&amp;X328&amp;"','"&amp;Y328&amp;"','"&amp;U328&amp;"'))"</f>
        <v>a = Client().post('/recipes/alu-jeera/detail/', {'recipe' : '4', 'ingredient' : '129', 'name' : 'Lemon juice', 'mass_unit' : '2', 'mass_quantity' : '0', 'volume_unit' : '5', 'volume_quantity' : '1.5', 'pieces_unit' : '3', 'pieces_quantity' : '0', 'cooking_notes' : ''}).status_code; print('%s :: %s :: %s :: %s :: %s' %(a,328,'Lemon juice','lemon','Alu Jeera'))</v>
      </c>
    </row>
    <row r="329" customFormat="false" ht="13.8" hidden="false" customHeight="false" outlineLevel="0" collapsed="false">
      <c r="G329" s="80" t="n">
        <v>329</v>
      </c>
      <c r="I329" s="82" t="s">
        <v>114</v>
      </c>
      <c r="J329" s="83" t="s">
        <v>23</v>
      </c>
      <c r="M329" s="61" t="n">
        <v>2</v>
      </c>
      <c r="N329" s="61" t="s">
        <v>13</v>
      </c>
      <c r="R329" s="82" t="str">
        <f aca="false">VLOOKUP(J329,ingredient!$N$4:$O$553,2,0)</f>
        <v>dhaniya patta</v>
      </c>
      <c r="U329" s="81" t="str">
        <f aca="false">I329</f>
        <v>Alu Jeera</v>
      </c>
      <c r="V329" s="81" t="n">
        <f aca="false">VLOOKUP(U329,recipe_ingred_list!$A$2:$B$300,2,0)</f>
        <v>4</v>
      </c>
      <c r="W329" s="81" t="str">
        <f aca="false">"/recipes/"&amp;VLOOKUP(U329,recipe_ingred_list!$A$2:$C$300,3,0)&amp;"/detail/"</f>
        <v>/recipes/alu-jeera/detail/</v>
      </c>
      <c r="X329" s="81" t="str">
        <f aca="false">J329</f>
        <v>Dhania patta</v>
      </c>
      <c r="Y329" s="81" t="str">
        <f aca="false">R329</f>
        <v>dhaniya patta</v>
      </c>
      <c r="Z329" s="94" t="n">
        <f aca="false">VLOOKUP(Y329,recipe_ingred_list!$D$2:$E$500,2,0)</f>
        <v>66</v>
      </c>
      <c r="AA329" s="61" t="n">
        <f aca="false">K329</f>
        <v>0</v>
      </c>
      <c r="AB329" s="61" t="n">
        <f aca="false">L329</f>
        <v>0</v>
      </c>
      <c r="AC329" s="61" t="n">
        <f aca="false">VLOOKUP(AB329,recipe_ingred_list!$K$2:$M$7,3,0)</f>
        <v>2</v>
      </c>
      <c r="AD329" s="61" t="n">
        <f aca="false">M329</f>
        <v>2</v>
      </c>
      <c r="AE329" s="61" t="str">
        <f aca="false">N329</f>
        <v>ltr</v>
      </c>
      <c r="AF329" s="61" t="n">
        <f aca="false">VLOOKUP(AE329,recipe_ingred_list!$K$16:$M$25,3,0)</f>
        <v>1</v>
      </c>
      <c r="AG329" s="61" t="n">
        <f aca="false">O329</f>
        <v>0</v>
      </c>
      <c r="AH329" s="61" t="n">
        <f aca="false">P329</f>
        <v>0</v>
      </c>
      <c r="AI329" s="61" t="n">
        <f aca="false">VLOOKUP(AH329,recipe_ingred_list!$K$29:$M$34,3,0)</f>
        <v>3</v>
      </c>
      <c r="AJ329" s="61" t="str">
        <f aca="false">IF(Q329="","",Q329)</f>
        <v/>
      </c>
      <c r="AK329" s="61" t="n">
        <f aca="false">AK328+1</f>
        <v>329</v>
      </c>
      <c r="AL329" s="61" t="str">
        <f aca="false">Y329</f>
        <v>dhaniya patta</v>
      </c>
      <c r="AM329" s="81" t="str">
        <f aca="false">"a = Client().post('"&amp;W329&amp;"', {'recipe' : '"&amp;V329&amp;"', 'ingredient' : '"&amp;Z329&amp;"', 'name' : '"&amp;X329&amp;"', 'mass_unit' : '"&amp;AC329&amp;"', 'mass_quantity' : '"&amp;ROUND(AA329,3)&amp;"', 'volume_unit' : '"&amp;AF329&amp;"', 'volume_quantity' : '"&amp;ROUND(AD329,3)&amp;"', 'pieces_unit' : '"&amp;AI329&amp;"', 'pieces_quantity' : '"&amp;ROUND(AG329,3)&amp;"', 'cooking_notes' : '"&amp;AJ329&amp;"'}).status_code; print('%s :: %s :: %s :: %s :: %s' %(a,"&amp;G329&amp;",'"&amp;X329&amp;"','"&amp;Y329&amp;"','"&amp;U329&amp;"'))"</f>
        <v>a = Client().post('/recipes/alu-jeera/detail/', {'recipe' : '4', 'ingredient' : '66', 'name' : 'Dhania patta', 'mass_unit' : '2', 'mass_quantity' : '0', 'volume_unit' : '1', 'volume_quantity' : '2', 'pieces_unit' : '3', 'pieces_quantity' : '0', 'cooking_notes' : ''}).status_code; print('%s :: %s :: %s :: %s :: %s' %(a,329,'Dhania patta','dhaniya patta','Alu Jeera'))</v>
      </c>
    </row>
    <row r="330" customFormat="false" ht="13.8" hidden="false" customHeight="false" outlineLevel="0" collapsed="false">
      <c r="G330" s="80" t="n">
        <v>330</v>
      </c>
      <c r="H330" s="98"/>
      <c r="I330" s="99" t="s">
        <v>114</v>
      </c>
      <c r="J330" s="79" t="s">
        <v>558</v>
      </c>
      <c r="K330" s="100"/>
      <c r="L330" s="100"/>
      <c r="M330" s="100" t="n">
        <v>15</v>
      </c>
      <c r="N330" s="100" t="s">
        <v>13</v>
      </c>
      <c r="O330" s="101"/>
      <c r="P330" s="100"/>
      <c r="Q330" s="102"/>
      <c r="R330" s="99" t="e">
        <f aca="false">VLOOKUP(J330,ingredient!$N$4:$O$553,2,0)</f>
        <v>#N/A</v>
      </c>
      <c r="S330" s="98"/>
      <c r="T330" s="98"/>
      <c r="U330" s="81" t="str">
        <f aca="false">I330</f>
        <v>Alu Jeera</v>
      </c>
      <c r="V330" s="81" t="n">
        <f aca="false">VLOOKUP(U330,recipe_ingred_list!$A$2:$B$300,2,0)</f>
        <v>4</v>
      </c>
      <c r="W330" s="81" t="str">
        <f aca="false">"/recipes/"&amp;VLOOKUP(U330,recipe_ingred_list!$A$2:$C$300,3,0)&amp;"/detail/"</f>
        <v>/recipes/alu-jeera/detail/</v>
      </c>
      <c r="X330" s="81" t="str">
        <f aca="false">J330</f>
        <v>Yield </v>
      </c>
      <c r="Y330" s="81" t="e">
        <f aca="false">R330</f>
        <v>#N/A</v>
      </c>
      <c r="Z330" s="94" t="e">
        <f aca="false">VLOOKUP(Y330,recipe_ingred_list!$D$2:$E$500,2,0)</f>
        <v>#N/A</v>
      </c>
      <c r="AA330" s="61" t="n">
        <f aca="false">K330</f>
        <v>0</v>
      </c>
      <c r="AB330" s="61" t="n">
        <f aca="false">L330</f>
        <v>0</v>
      </c>
      <c r="AC330" s="61" t="n">
        <f aca="false">VLOOKUP(AB330,recipe_ingred_list!$K$2:$M$7,3,0)</f>
        <v>2</v>
      </c>
      <c r="AD330" s="61" t="n">
        <f aca="false">M330</f>
        <v>15</v>
      </c>
      <c r="AE330" s="61" t="str">
        <f aca="false">N330</f>
        <v>ltr</v>
      </c>
      <c r="AF330" s="61" t="n">
        <f aca="false">VLOOKUP(AE330,recipe_ingred_list!$K$16:$M$25,3,0)</f>
        <v>1</v>
      </c>
      <c r="AG330" s="61" t="n">
        <f aca="false">O330</f>
        <v>0</v>
      </c>
      <c r="AH330" s="61" t="n">
        <f aca="false">P330</f>
        <v>0</v>
      </c>
      <c r="AI330" s="61" t="n">
        <f aca="false">VLOOKUP(AH330,recipe_ingred_list!$K$29:$M$34,3,0)</f>
        <v>3</v>
      </c>
      <c r="AJ330" s="61" t="str">
        <f aca="false">IF(Q330="","",Q330)</f>
        <v/>
      </c>
      <c r="AK330" s="61" t="n">
        <f aca="false">AK329+1</f>
        <v>330</v>
      </c>
      <c r="AL330" s="61" t="e">
        <f aca="false">Y330</f>
        <v>#N/A</v>
      </c>
      <c r="AM330" s="81" t="e">
        <f aca="false">"a = Client().post('"&amp;W330&amp;"', {'recipe' : '"&amp;V330&amp;"', 'ingredient' : '"&amp;Z330&amp;"', 'name' : '"&amp;X330&amp;"', 'mass_unit' : '"&amp;AC330&amp;"', 'mass_quantity' : '"&amp;ROUND(AA330,3)&amp;"', 'volume_unit' : '"&amp;AF330&amp;"', 'volume_quantity' : '"&amp;ROUND(AD330,3)&amp;"', 'pieces_unit' : '"&amp;AI330&amp;"', 'pieces_quantity' : '"&amp;ROUND(AG330,3)&amp;"', 'cooking_notes' : '"&amp;AJ330&amp;"'}).status_code; print('%s :: %s :: %s :: %s :: %s' %(a,"&amp;G330&amp;",'"&amp;X330&amp;"','"&amp;Y330&amp;"','"&amp;U330&amp;"'))"</f>
        <v>#N/A</v>
      </c>
    </row>
    <row r="331" customFormat="false" ht="13.8" hidden="false" customHeight="false" outlineLevel="0" collapsed="false">
      <c r="G331" s="80" t="n">
        <v>331</v>
      </c>
      <c r="H331" s="98"/>
      <c r="I331" s="99"/>
      <c r="J331" s="79"/>
      <c r="K331" s="100"/>
      <c r="L331" s="100"/>
      <c r="M331" s="100"/>
      <c r="N331" s="100"/>
      <c r="O331" s="101"/>
      <c r="P331" s="100"/>
      <c r="Q331" s="102"/>
      <c r="R331" s="99" t="e">
        <f aca="false">VLOOKUP(J331,ingredient!$N$4:$O$553,2,0)</f>
        <v>#N/A</v>
      </c>
      <c r="S331" s="98"/>
      <c r="T331" s="98"/>
      <c r="U331" s="81" t="n">
        <f aca="false">I331</f>
        <v>0</v>
      </c>
      <c r="V331" s="81" t="e">
        <f aca="false">VLOOKUP(U331,recipe_ingred_list!$A$2:$B$300,2,0)</f>
        <v>#N/A</v>
      </c>
      <c r="W331" s="81" t="e">
        <f aca="false">"/recipes/"&amp;VLOOKUP(U331,recipe_ingred_list!$A$2:$C$300,3,0)&amp;"/detail/"</f>
        <v>#N/A</v>
      </c>
      <c r="X331" s="81" t="n">
        <f aca="false">J331</f>
        <v>0</v>
      </c>
      <c r="Y331" s="81" t="e">
        <f aca="false">R331</f>
        <v>#N/A</v>
      </c>
      <c r="Z331" s="94" t="e">
        <f aca="false">VLOOKUP(Y331,recipe_ingred_list!$D$2:$E$500,2,0)</f>
        <v>#N/A</v>
      </c>
      <c r="AA331" s="61" t="n">
        <f aca="false">K331</f>
        <v>0</v>
      </c>
      <c r="AB331" s="61" t="n">
        <f aca="false">L331</f>
        <v>0</v>
      </c>
      <c r="AC331" s="61" t="n">
        <f aca="false">VLOOKUP(AB331,recipe_ingred_list!$K$2:$M$7,3,0)</f>
        <v>2</v>
      </c>
      <c r="AD331" s="61" t="n">
        <f aca="false">M331</f>
        <v>0</v>
      </c>
      <c r="AE331" s="61" t="n">
        <f aca="false">N331</f>
        <v>0</v>
      </c>
      <c r="AF331" s="61" t="n">
        <f aca="false">VLOOKUP(AE331,recipe_ingred_list!$K$16:$M$25,3,0)</f>
        <v>1</v>
      </c>
      <c r="AG331" s="61" t="n">
        <f aca="false">O331</f>
        <v>0</v>
      </c>
      <c r="AH331" s="61" t="n">
        <f aca="false">P331</f>
        <v>0</v>
      </c>
      <c r="AI331" s="61" t="n">
        <f aca="false">VLOOKUP(AH331,recipe_ingred_list!$K$29:$M$34,3,0)</f>
        <v>3</v>
      </c>
      <c r="AJ331" s="61" t="str">
        <f aca="false">IF(Q331="","",Q331)</f>
        <v/>
      </c>
      <c r="AK331" s="61" t="n">
        <f aca="false">AK330+1</f>
        <v>331</v>
      </c>
      <c r="AL331" s="61" t="e">
        <f aca="false">Y331</f>
        <v>#N/A</v>
      </c>
      <c r="AM331" s="81" t="e">
        <f aca="false">"a = Client().post('"&amp;W331&amp;"', {'recipe' : '"&amp;V331&amp;"', 'ingredient' : '"&amp;Z331&amp;"', 'name' : '"&amp;X331&amp;"', 'mass_unit' : '"&amp;AC331&amp;"', 'mass_quantity' : '"&amp;ROUND(AA331,3)&amp;"', 'volume_unit' : '"&amp;AF331&amp;"', 'volume_quantity' : '"&amp;ROUND(AD331,3)&amp;"', 'pieces_unit' : '"&amp;AI331&amp;"', 'pieces_quantity' : '"&amp;ROUND(AG331,3)&amp;"', 'cooking_notes' : '"&amp;AJ331&amp;"'}).status_code; print('%s :: %s :: %s :: %s :: %s' %(a,"&amp;G331&amp;",'"&amp;X331&amp;"','"&amp;Y331&amp;"','"&amp;U331&amp;"'))"</f>
        <v>#N/A</v>
      </c>
    </row>
    <row r="332" customFormat="false" ht="14.9" hidden="false" customHeight="false" outlineLevel="0" collapsed="false">
      <c r="G332" s="80" t="n">
        <v>332</v>
      </c>
      <c r="I332" s="82" t="s">
        <v>144</v>
      </c>
      <c r="J332" s="83" t="s">
        <v>616</v>
      </c>
      <c r="K332" s="61" t="n">
        <v>18</v>
      </c>
      <c r="L332" s="61" t="s">
        <v>7</v>
      </c>
      <c r="Q332" s="84" t="s">
        <v>617</v>
      </c>
      <c r="R332" s="82" t="str">
        <f aca="false">VLOOKUP(J332,ingredient!$N$4:$O$553,2,0)</f>
        <v>broccoli</v>
      </c>
      <c r="U332" s="81" t="str">
        <f aca="false">I332</f>
        <v>Brokoli Sautee</v>
      </c>
      <c r="V332" s="81" t="n">
        <f aca="false">VLOOKUP(U332,recipe_ingred_list!$A$2:$B$300,2,0)</f>
        <v>12</v>
      </c>
      <c r="W332" s="81" t="str">
        <f aca="false">"/recipes/"&amp;VLOOKUP(U332,recipe_ingred_list!$A$2:$C$300,3,0)&amp;"/detail/"</f>
        <v>/recipes/brokoli-sautee/detail/</v>
      </c>
      <c r="X332" s="81" t="str">
        <f aca="false">J332</f>
        <v>Brokoli </v>
      </c>
      <c r="Y332" s="81" t="str">
        <f aca="false">R332</f>
        <v>broccoli</v>
      </c>
      <c r="Z332" s="94" t="n">
        <f aca="false">VLOOKUP(Y332,recipe_ingred_list!$D$2:$E$500,2,0)</f>
        <v>36</v>
      </c>
      <c r="AA332" s="61" t="n">
        <f aca="false">K332</f>
        <v>18</v>
      </c>
      <c r="AB332" s="61" t="str">
        <f aca="false">L332</f>
        <v>kg</v>
      </c>
      <c r="AC332" s="61" t="n">
        <f aca="false">VLOOKUP(AB332,recipe_ingred_list!$K$2:$M$7,3,0)</f>
        <v>2</v>
      </c>
      <c r="AD332" s="61" t="n">
        <f aca="false">M332</f>
        <v>0</v>
      </c>
      <c r="AE332" s="61" t="n">
        <f aca="false">N332</f>
        <v>0</v>
      </c>
      <c r="AF332" s="61" t="n">
        <f aca="false">VLOOKUP(AE332,recipe_ingred_list!$K$16:$M$25,3,0)</f>
        <v>1</v>
      </c>
      <c r="AG332" s="61" t="n">
        <f aca="false">O332</f>
        <v>0</v>
      </c>
      <c r="AH332" s="61" t="n">
        <f aca="false">P332</f>
        <v>0</v>
      </c>
      <c r="AI332" s="61" t="n">
        <f aca="false">VLOOKUP(AH332,recipe_ingred_list!$K$29:$M$34,3,0)</f>
        <v>3</v>
      </c>
      <c r="AJ332" s="61" t="str">
        <f aca="false">IF(Q332="","",Q332)</f>
        <v>steamed</v>
      </c>
      <c r="AK332" s="61" t="n">
        <f aca="false">AK331+1</f>
        <v>332</v>
      </c>
      <c r="AL332" s="61" t="str">
        <f aca="false">Y332</f>
        <v>broccoli</v>
      </c>
      <c r="AM332" s="81" t="str">
        <f aca="false">"a = Client().post('"&amp;W332&amp;"', {'recipe' : '"&amp;V332&amp;"', 'ingredient' : '"&amp;Z332&amp;"', 'name' : '"&amp;X332&amp;"', 'mass_unit' : '"&amp;AC332&amp;"', 'mass_quantity' : '"&amp;ROUND(AA332,3)&amp;"', 'volume_unit' : '"&amp;AF332&amp;"', 'volume_quantity' : '"&amp;ROUND(AD332,3)&amp;"', 'pieces_unit' : '"&amp;AI332&amp;"', 'pieces_quantity' : '"&amp;ROUND(AG332,3)&amp;"', 'cooking_notes' : '"&amp;AJ332&amp;"'}).status_code; print('%s :: %s :: %s :: %s :: %s' %(a,"&amp;G332&amp;",'"&amp;X332&amp;"','"&amp;Y332&amp;"','"&amp;U332&amp;"'))"</f>
        <v>a = Client().post('/recipes/brokoli-sautee/detail/', {'recipe' : '12', 'ingredient' : '36', 'name' : 'Brokoli ', 'mass_unit' : '2', 'mass_quantity' : '18', 'volume_unit' : '1', 'volume_quantity' : '0', 'pieces_unit' : '3', 'pieces_quantity' : '0', 'cooking_notes' : 'steamed'}).status_code; print('%s :: %s :: %s :: %s :: %s' %(a,332,'Brokoli ','broccoli','Brokoli Sautee'))</v>
      </c>
    </row>
    <row r="333" customFormat="false" ht="13.8" hidden="false" customHeight="false" outlineLevel="0" collapsed="false">
      <c r="G333" s="80" t="n">
        <v>333</v>
      </c>
      <c r="I333" s="82" t="s">
        <v>144</v>
      </c>
      <c r="J333" s="83" t="s">
        <v>616</v>
      </c>
      <c r="M333" s="61" t="n">
        <v>18</v>
      </c>
      <c r="N333" s="61" t="s">
        <v>13</v>
      </c>
      <c r="R333" s="82" t="str">
        <f aca="false">VLOOKUP(J333,ingredient!$N$4:$O$553,2,0)</f>
        <v>broccoli</v>
      </c>
      <c r="U333" s="81" t="str">
        <f aca="false">I333</f>
        <v>Brokoli Sautee</v>
      </c>
      <c r="V333" s="81" t="n">
        <f aca="false">VLOOKUP(U333,recipe_ingred_list!$A$2:$B$300,2,0)</f>
        <v>12</v>
      </c>
      <c r="W333" s="81" t="str">
        <f aca="false">"/recipes/"&amp;VLOOKUP(U333,recipe_ingred_list!$A$2:$C$300,3,0)&amp;"/detail/"</f>
        <v>/recipes/brokoli-sautee/detail/</v>
      </c>
      <c r="X333" s="81" t="str">
        <f aca="false">J333</f>
        <v>Brokoli </v>
      </c>
      <c r="Y333" s="81" t="str">
        <f aca="false">R333</f>
        <v>broccoli</v>
      </c>
      <c r="Z333" s="94" t="n">
        <f aca="false">VLOOKUP(Y333,recipe_ingred_list!$D$2:$E$500,2,0)</f>
        <v>36</v>
      </c>
      <c r="AA333" s="61" t="n">
        <f aca="false">K333</f>
        <v>0</v>
      </c>
      <c r="AB333" s="61" t="n">
        <f aca="false">L333</f>
        <v>0</v>
      </c>
      <c r="AC333" s="61" t="n">
        <f aca="false">VLOOKUP(AB333,recipe_ingred_list!$K$2:$M$7,3,0)</f>
        <v>2</v>
      </c>
      <c r="AD333" s="61" t="n">
        <f aca="false">M333</f>
        <v>18</v>
      </c>
      <c r="AE333" s="61" t="str">
        <f aca="false">N333</f>
        <v>ltr</v>
      </c>
      <c r="AF333" s="61" t="n">
        <f aca="false">VLOOKUP(AE333,recipe_ingred_list!$K$16:$M$25,3,0)</f>
        <v>1</v>
      </c>
      <c r="AG333" s="61" t="n">
        <f aca="false">O333</f>
        <v>0</v>
      </c>
      <c r="AH333" s="61" t="n">
        <f aca="false">P333</f>
        <v>0</v>
      </c>
      <c r="AI333" s="61" t="n">
        <f aca="false">VLOOKUP(AH333,recipe_ingred_list!$K$29:$M$34,3,0)</f>
        <v>3</v>
      </c>
      <c r="AJ333" s="61" t="str">
        <f aca="false">IF(Q333="","",Q333)</f>
        <v/>
      </c>
      <c r="AK333" s="61" t="n">
        <f aca="false">AK332+1</f>
        <v>333</v>
      </c>
      <c r="AL333" s="61" t="str">
        <f aca="false">Y333</f>
        <v>broccoli</v>
      </c>
      <c r="AM333" s="81" t="str">
        <f aca="false">"a = Client().post('"&amp;W333&amp;"', {'recipe' : '"&amp;V333&amp;"', 'ingredient' : '"&amp;Z333&amp;"', 'name' : '"&amp;X333&amp;"', 'mass_unit' : '"&amp;AC333&amp;"', 'mass_quantity' : '"&amp;ROUND(AA333,3)&amp;"', 'volume_unit' : '"&amp;AF333&amp;"', 'volume_quantity' : '"&amp;ROUND(AD333,3)&amp;"', 'pieces_unit' : '"&amp;AI333&amp;"', 'pieces_quantity' : '"&amp;ROUND(AG333,3)&amp;"', 'cooking_notes' : '"&amp;AJ333&amp;"'}).status_code; print('%s :: %s :: %s :: %s :: %s' %(a,"&amp;G333&amp;",'"&amp;X333&amp;"','"&amp;Y333&amp;"','"&amp;U333&amp;"'))"</f>
        <v>a = Client().post('/recipes/brokoli-sautee/detail/', {'recipe' : '12', 'ingredient' : '36', 'name' : 'Brokoli ', 'mass_unit' : '2', 'mass_quantity' : '0', 'volume_unit' : '1', 'volume_quantity' : '18', 'pieces_unit' : '3', 'pieces_quantity' : '0', 'cooking_notes' : ''}).status_code; print('%s :: %s :: %s :: %s :: %s' %(a,333,'Brokoli ','broccoli','Brokoli Sautee'))</v>
      </c>
    </row>
    <row r="334" customFormat="false" ht="13.8" hidden="false" customHeight="false" outlineLevel="0" collapsed="false">
      <c r="G334" s="80" t="n">
        <v>334</v>
      </c>
      <c r="I334" s="82" t="s">
        <v>144</v>
      </c>
      <c r="J334" s="83" t="s">
        <v>86</v>
      </c>
      <c r="M334" s="61" t="n">
        <v>0.5</v>
      </c>
      <c r="N334" s="61" t="s">
        <v>13</v>
      </c>
      <c r="R334" s="82" t="str">
        <f aca="false">VLOOKUP(J334,ingredient!$N$4:$O$553,2,0)</f>
        <v>evoo</v>
      </c>
      <c r="U334" s="81" t="str">
        <f aca="false">I334</f>
        <v>Brokoli Sautee</v>
      </c>
      <c r="V334" s="81" t="n">
        <f aca="false">VLOOKUP(U334,recipe_ingred_list!$A$2:$B$300,2,0)</f>
        <v>12</v>
      </c>
      <c r="W334" s="81" t="str">
        <f aca="false">"/recipes/"&amp;VLOOKUP(U334,recipe_ingred_list!$A$2:$C$300,3,0)&amp;"/detail/"</f>
        <v>/recipes/brokoli-sautee/detail/</v>
      </c>
      <c r="X334" s="81" t="str">
        <f aca="false">J334</f>
        <v>EVOO</v>
      </c>
      <c r="Y334" s="81" t="str">
        <f aca="false">R334</f>
        <v>evoo</v>
      </c>
      <c r="Z334" s="94" t="n">
        <f aca="false">VLOOKUP(Y334,recipe_ingred_list!$D$2:$E$500,2,0)</f>
        <v>76</v>
      </c>
      <c r="AA334" s="61" t="n">
        <f aca="false">K334</f>
        <v>0</v>
      </c>
      <c r="AB334" s="61" t="n">
        <f aca="false">L334</f>
        <v>0</v>
      </c>
      <c r="AC334" s="61" t="n">
        <f aca="false">VLOOKUP(AB334,recipe_ingred_list!$K$2:$M$7,3,0)</f>
        <v>2</v>
      </c>
      <c r="AD334" s="61" t="n">
        <f aca="false">M334</f>
        <v>0.5</v>
      </c>
      <c r="AE334" s="61" t="str">
        <f aca="false">N334</f>
        <v>ltr</v>
      </c>
      <c r="AF334" s="61" t="n">
        <f aca="false">VLOOKUP(AE334,recipe_ingred_list!$K$16:$M$25,3,0)</f>
        <v>1</v>
      </c>
      <c r="AG334" s="61" t="n">
        <f aca="false">O334</f>
        <v>0</v>
      </c>
      <c r="AH334" s="61" t="n">
        <f aca="false">P334</f>
        <v>0</v>
      </c>
      <c r="AI334" s="61" t="n">
        <f aca="false">VLOOKUP(AH334,recipe_ingred_list!$K$29:$M$34,3,0)</f>
        <v>3</v>
      </c>
      <c r="AJ334" s="61" t="str">
        <f aca="false">IF(Q334="","",Q334)</f>
        <v/>
      </c>
      <c r="AK334" s="61" t="n">
        <f aca="false">AK333+1</f>
        <v>334</v>
      </c>
      <c r="AL334" s="61" t="str">
        <f aca="false">Y334</f>
        <v>evoo</v>
      </c>
      <c r="AM334" s="81" t="str">
        <f aca="false">"a = Client().post('"&amp;W334&amp;"', {'recipe' : '"&amp;V334&amp;"', 'ingredient' : '"&amp;Z334&amp;"', 'name' : '"&amp;X334&amp;"', 'mass_unit' : '"&amp;AC334&amp;"', 'mass_quantity' : '"&amp;ROUND(AA334,3)&amp;"', 'volume_unit' : '"&amp;AF334&amp;"', 'volume_quantity' : '"&amp;ROUND(AD334,3)&amp;"', 'pieces_unit' : '"&amp;AI334&amp;"', 'pieces_quantity' : '"&amp;ROUND(AG334,3)&amp;"', 'cooking_notes' : '"&amp;AJ334&amp;"'}).status_code; print('%s :: %s :: %s :: %s :: %s' %(a,"&amp;G334&amp;",'"&amp;X334&amp;"','"&amp;Y334&amp;"','"&amp;U334&amp;"'))"</f>
        <v>a = Client().post('/recipes/brokoli-sautee/detail/', {'recipe' : '12', 'ingredient' : '76', 'name' : 'EVOO', 'mass_unit' : '2', 'mass_quantity' : '0', 'volume_unit' : '1', 'volume_quantity' : '0.5', 'pieces_unit' : '3', 'pieces_quantity' : '0', 'cooking_notes' : ''}).status_code; print('%s :: %s :: %s :: %s :: %s' %(a,334,'EVOO','evoo','Brokoli Sautee'))</v>
      </c>
    </row>
    <row r="335" customFormat="false" ht="13.8" hidden="false" customHeight="false" outlineLevel="0" collapsed="false">
      <c r="G335" s="80" t="n">
        <v>335</v>
      </c>
      <c r="I335" s="82" t="s">
        <v>144</v>
      </c>
      <c r="J335" s="83" t="s">
        <v>618</v>
      </c>
      <c r="M335" s="61" t="n">
        <v>0.5</v>
      </c>
      <c r="N335" s="61" t="s">
        <v>20</v>
      </c>
      <c r="R335" s="82" t="str">
        <f aca="false">VLOOKUP(J335,ingredient!$N$4:$O$553,2,0)</f>
        <v>black pepper</v>
      </c>
      <c r="U335" s="81" t="str">
        <f aca="false">I335</f>
        <v>Brokoli Sautee</v>
      </c>
      <c r="V335" s="81" t="n">
        <f aca="false">VLOOKUP(U335,recipe_ingred_list!$A$2:$B$300,2,0)</f>
        <v>12</v>
      </c>
      <c r="W335" s="81" t="str">
        <f aca="false">"/recipes/"&amp;VLOOKUP(U335,recipe_ingred_list!$A$2:$C$300,3,0)&amp;"/detail/"</f>
        <v>/recipes/brokoli-sautee/detail/</v>
      </c>
      <c r="X335" s="81" t="str">
        <f aca="false">J335</f>
        <v>Black pepper powder</v>
      </c>
      <c r="Y335" s="81" t="str">
        <f aca="false">R335</f>
        <v>black pepper</v>
      </c>
      <c r="Z335" s="94" t="n">
        <f aca="false">VLOOKUP(Y335,recipe_ingred_list!$D$2:$E$500,2,0)</f>
        <v>31</v>
      </c>
      <c r="AA335" s="61" t="n">
        <f aca="false">K335</f>
        <v>0</v>
      </c>
      <c r="AB335" s="61" t="n">
        <f aca="false">L335</f>
        <v>0</v>
      </c>
      <c r="AC335" s="61" t="n">
        <f aca="false">VLOOKUP(AB335,recipe_ingred_list!$K$2:$M$7,3,0)</f>
        <v>2</v>
      </c>
      <c r="AD335" s="61" t="n">
        <f aca="false">M335</f>
        <v>0.5</v>
      </c>
      <c r="AE335" s="61" t="str">
        <f aca="false">N335</f>
        <v>cup</v>
      </c>
      <c r="AF335" s="61" t="n">
        <f aca="false">VLOOKUP(AE335,recipe_ingred_list!$K$16:$M$25,3,0)</f>
        <v>5</v>
      </c>
      <c r="AG335" s="61" t="n">
        <f aca="false">O335</f>
        <v>0</v>
      </c>
      <c r="AH335" s="61" t="n">
        <f aca="false">P335</f>
        <v>0</v>
      </c>
      <c r="AI335" s="61" t="n">
        <f aca="false">VLOOKUP(AH335,recipe_ingred_list!$K$29:$M$34,3,0)</f>
        <v>3</v>
      </c>
      <c r="AJ335" s="61" t="str">
        <f aca="false">IF(Q335="","",Q335)</f>
        <v/>
      </c>
      <c r="AK335" s="61" t="n">
        <f aca="false">AK334+1</f>
        <v>335</v>
      </c>
      <c r="AL335" s="61" t="str">
        <f aca="false">Y335</f>
        <v>black pepper</v>
      </c>
      <c r="AM335" s="81" t="str">
        <f aca="false">"a = Client().post('"&amp;W335&amp;"', {'recipe' : '"&amp;V335&amp;"', 'ingredient' : '"&amp;Z335&amp;"', 'name' : '"&amp;X335&amp;"', 'mass_unit' : '"&amp;AC335&amp;"', 'mass_quantity' : '"&amp;ROUND(AA335,3)&amp;"', 'volume_unit' : '"&amp;AF335&amp;"', 'volume_quantity' : '"&amp;ROUND(AD335,3)&amp;"', 'pieces_unit' : '"&amp;AI335&amp;"', 'pieces_quantity' : '"&amp;ROUND(AG335,3)&amp;"', 'cooking_notes' : '"&amp;AJ335&amp;"'}).status_code; print('%s :: %s :: %s :: %s :: %s' %(a,"&amp;G335&amp;",'"&amp;X335&amp;"','"&amp;Y335&amp;"','"&amp;U335&amp;"'))"</f>
        <v>a = Client().post('/recipes/brokoli-sautee/detail/', {'recipe' : '12', 'ingredient' : '31', 'name' : 'Black pepper powder', 'mass_unit' : '2', 'mass_quantity' : '0', 'volume_unit' : '5', 'volume_quantity' : '0.5', 'pieces_unit' : '3', 'pieces_quantity' : '0', 'cooking_notes' : ''}).status_code; print('%s :: %s :: %s :: %s :: %s' %(a,335,'Black pepper powder','black pepper','Brokoli Sautee'))</v>
      </c>
    </row>
    <row r="336" customFormat="false" ht="13.8" hidden="false" customHeight="false" outlineLevel="0" collapsed="false">
      <c r="G336" s="80" t="n">
        <v>336</v>
      </c>
      <c r="I336" s="82" t="s">
        <v>144</v>
      </c>
      <c r="J336" s="83" t="s">
        <v>562</v>
      </c>
      <c r="M336" s="61" t="n">
        <v>0.25</v>
      </c>
      <c r="N336" s="61" t="s">
        <v>20</v>
      </c>
      <c r="R336" s="82" t="str">
        <f aca="false">VLOOKUP(J336,ingredient!$N$4:$O$553,2,0)</f>
        <v>hing</v>
      </c>
      <c r="U336" s="81" t="str">
        <f aca="false">I336</f>
        <v>Brokoli Sautee</v>
      </c>
      <c r="V336" s="81" t="n">
        <f aca="false">VLOOKUP(U336,recipe_ingred_list!$A$2:$B$300,2,0)</f>
        <v>12</v>
      </c>
      <c r="W336" s="81" t="str">
        <f aca="false">"/recipes/"&amp;VLOOKUP(U336,recipe_ingred_list!$A$2:$C$300,3,0)&amp;"/detail/"</f>
        <v>/recipes/brokoli-sautee/detail/</v>
      </c>
      <c r="X336" s="81" t="str">
        <f aca="false">J336</f>
        <v>Hing</v>
      </c>
      <c r="Y336" s="81" t="str">
        <f aca="false">R336</f>
        <v>hing</v>
      </c>
      <c r="Z336" s="94" t="n">
        <f aca="false">VLOOKUP(Y336,recipe_ingred_list!$D$2:$E$500,2,0)</f>
        <v>95</v>
      </c>
      <c r="AA336" s="61" t="n">
        <f aca="false">K336</f>
        <v>0</v>
      </c>
      <c r="AB336" s="61" t="n">
        <f aca="false">L336</f>
        <v>0</v>
      </c>
      <c r="AC336" s="61" t="n">
        <f aca="false">VLOOKUP(AB336,recipe_ingred_list!$K$2:$M$7,3,0)</f>
        <v>2</v>
      </c>
      <c r="AD336" s="61" t="n">
        <f aca="false">M336</f>
        <v>0.25</v>
      </c>
      <c r="AE336" s="61" t="str">
        <f aca="false">N336</f>
        <v>cup</v>
      </c>
      <c r="AF336" s="61" t="n">
        <f aca="false">VLOOKUP(AE336,recipe_ingred_list!$K$16:$M$25,3,0)</f>
        <v>5</v>
      </c>
      <c r="AG336" s="61" t="n">
        <f aca="false">O336</f>
        <v>0</v>
      </c>
      <c r="AH336" s="61" t="n">
        <f aca="false">P336</f>
        <v>0</v>
      </c>
      <c r="AI336" s="61" t="n">
        <f aca="false">VLOOKUP(AH336,recipe_ingred_list!$K$29:$M$34,3,0)</f>
        <v>3</v>
      </c>
      <c r="AJ336" s="61" t="str">
        <f aca="false">IF(Q336="","",Q336)</f>
        <v/>
      </c>
      <c r="AK336" s="61" t="n">
        <f aca="false">AK335+1</f>
        <v>336</v>
      </c>
      <c r="AL336" s="61" t="str">
        <f aca="false">Y336</f>
        <v>hing</v>
      </c>
      <c r="AM336" s="81" t="str">
        <f aca="false">"a = Client().post('"&amp;W336&amp;"', {'recipe' : '"&amp;V336&amp;"', 'ingredient' : '"&amp;Z336&amp;"', 'name' : '"&amp;X336&amp;"', 'mass_unit' : '"&amp;AC336&amp;"', 'mass_quantity' : '"&amp;ROUND(AA336,3)&amp;"', 'volume_unit' : '"&amp;AF336&amp;"', 'volume_quantity' : '"&amp;ROUND(AD336,3)&amp;"', 'pieces_unit' : '"&amp;AI336&amp;"', 'pieces_quantity' : '"&amp;ROUND(AG336,3)&amp;"', 'cooking_notes' : '"&amp;AJ336&amp;"'}).status_code; print('%s :: %s :: %s :: %s :: %s' %(a,"&amp;G336&amp;",'"&amp;X336&amp;"','"&amp;Y336&amp;"','"&amp;U336&amp;"'))"</f>
        <v>a = Client().post('/recipes/brokoli-sautee/detail/', {'recipe' : '12', 'ingredient' : '95', 'name' : 'Hing', 'mass_unit' : '2', 'mass_quantity' : '0', 'volume_unit' : '5', 'volume_quantity' : '0.25', 'pieces_unit' : '3', 'pieces_quantity' : '0', 'cooking_notes' : ''}).status_code; print('%s :: %s :: %s :: %s :: %s' %(a,336,'Hing','hing','Brokoli Sautee'))</v>
      </c>
    </row>
    <row r="337" customFormat="false" ht="13.8" hidden="false" customHeight="false" outlineLevel="0" collapsed="false">
      <c r="G337" s="80" t="n">
        <v>337</v>
      </c>
      <c r="I337" s="82" t="s">
        <v>144</v>
      </c>
      <c r="J337" s="83" t="s">
        <v>32</v>
      </c>
      <c r="M337" s="61" t="n">
        <v>0.5</v>
      </c>
      <c r="N337" s="61" t="s">
        <v>20</v>
      </c>
      <c r="R337" s="82" t="str">
        <f aca="false">VLOOKUP(J337,ingredient!$N$4:$O$553,2,0)</f>
        <v>salt</v>
      </c>
      <c r="U337" s="81" t="str">
        <f aca="false">I337</f>
        <v>Brokoli Sautee</v>
      </c>
      <c r="V337" s="81" t="n">
        <f aca="false">VLOOKUP(U337,recipe_ingred_list!$A$2:$B$300,2,0)</f>
        <v>12</v>
      </c>
      <c r="W337" s="81" t="str">
        <f aca="false">"/recipes/"&amp;VLOOKUP(U337,recipe_ingred_list!$A$2:$C$300,3,0)&amp;"/detail/"</f>
        <v>/recipes/brokoli-sautee/detail/</v>
      </c>
      <c r="X337" s="81" t="str">
        <f aca="false">J337</f>
        <v>Salt</v>
      </c>
      <c r="Y337" s="81" t="str">
        <f aca="false">R337</f>
        <v>salt</v>
      </c>
      <c r="Z337" s="94" t="n">
        <f aca="false">VLOOKUP(Y337,recipe_ingred_list!$D$2:$E$500,2,0)</f>
        <v>177</v>
      </c>
      <c r="AA337" s="61" t="n">
        <f aca="false">K337</f>
        <v>0</v>
      </c>
      <c r="AB337" s="61" t="n">
        <f aca="false">L337</f>
        <v>0</v>
      </c>
      <c r="AC337" s="61" t="n">
        <f aca="false">VLOOKUP(AB337,recipe_ingred_list!$K$2:$M$7,3,0)</f>
        <v>2</v>
      </c>
      <c r="AD337" s="61" t="n">
        <f aca="false">M337</f>
        <v>0.5</v>
      </c>
      <c r="AE337" s="61" t="str">
        <f aca="false">N337</f>
        <v>cup</v>
      </c>
      <c r="AF337" s="61" t="n">
        <f aca="false">VLOOKUP(AE337,recipe_ingred_list!$K$16:$M$25,3,0)</f>
        <v>5</v>
      </c>
      <c r="AG337" s="61" t="n">
        <f aca="false">O337</f>
        <v>0</v>
      </c>
      <c r="AH337" s="61" t="n">
        <f aca="false">P337</f>
        <v>0</v>
      </c>
      <c r="AI337" s="61" t="n">
        <f aca="false">VLOOKUP(AH337,recipe_ingred_list!$K$29:$M$34,3,0)</f>
        <v>3</v>
      </c>
      <c r="AJ337" s="61" t="str">
        <f aca="false">IF(Q337="","",Q337)</f>
        <v/>
      </c>
      <c r="AK337" s="61" t="n">
        <f aca="false">AK336+1</f>
        <v>337</v>
      </c>
      <c r="AL337" s="61" t="str">
        <f aca="false">Y337</f>
        <v>salt</v>
      </c>
      <c r="AM337" s="81" t="str">
        <f aca="false">"a = Client().post('"&amp;W337&amp;"', {'recipe' : '"&amp;V337&amp;"', 'ingredient' : '"&amp;Z337&amp;"', 'name' : '"&amp;X337&amp;"', 'mass_unit' : '"&amp;AC337&amp;"', 'mass_quantity' : '"&amp;ROUND(AA337,3)&amp;"', 'volume_unit' : '"&amp;AF337&amp;"', 'volume_quantity' : '"&amp;ROUND(AD337,3)&amp;"', 'pieces_unit' : '"&amp;AI337&amp;"', 'pieces_quantity' : '"&amp;ROUND(AG337,3)&amp;"', 'cooking_notes' : '"&amp;AJ337&amp;"'}).status_code; print('%s :: %s :: %s :: %s :: %s' %(a,"&amp;G337&amp;",'"&amp;X337&amp;"','"&amp;Y337&amp;"','"&amp;U337&amp;"'))"</f>
        <v>a = Client().post('/recipes/brokoli-sautee/detail/', {'recipe' : '12', 'ingredient' : '177', 'name' : 'Salt', 'mass_unit' : '2', 'mass_quantity' : '0', 'volume_unit' : '5', 'volume_quantity' : '0.5', 'pieces_unit' : '3', 'pieces_quantity' : '0', 'cooking_notes' : ''}).status_code; print('%s :: %s :: %s :: %s :: %s' %(a,337,'Salt','salt','Brokoli Sautee'))</v>
      </c>
    </row>
    <row r="338" customFormat="false" ht="13.8" hidden="false" customHeight="false" outlineLevel="0" collapsed="false">
      <c r="G338" s="80" t="n">
        <v>338</v>
      </c>
      <c r="I338" s="82" t="s">
        <v>144</v>
      </c>
      <c r="J338" s="83" t="s">
        <v>598</v>
      </c>
      <c r="M338" s="61" t="n">
        <v>0.3</v>
      </c>
      <c r="N338" s="61" t="s">
        <v>20</v>
      </c>
      <c r="R338" s="82" t="str">
        <f aca="false">VLOOKUP(J338,ingredient!$N$4:$O$553,2,0)</f>
        <v>black salt</v>
      </c>
      <c r="U338" s="81" t="str">
        <f aca="false">I338</f>
        <v>Brokoli Sautee</v>
      </c>
      <c r="V338" s="81" t="n">
        <f aca="false">VLOOKUP(U338,recipe_ingred_list!$A$2:$B$300,2,0)</f>
        <v>12</v>
      </c>
      <c r="W338" s="81" t="str">
        <f aca="false">"/recipes/"&amp;VLOOKUP(U338,recipe_ingred_list!$A$2:$C$300,3,0)&amp;"/detail/"</f>
        <v>/recipes/brokoli-sautee/detail/</v>
      </c>
      <c r="X338" s="81" t="str">
        <f aca="false">J338</f>
        <v>Black salt</v>
      </c>
      <c r="Y338" s="81" t="str">
        <f aca="false">R338</f>
        <v>black salt</v>
      </c>
      <c r="Z338" s="94" t="n">
        <f aca="false">VLOOKUP(Y338,recipe_ingred_list!$D$2:$E$500,2,0)</f>
        <v>32</v>
      </c>
      <c r="AA338" s="61" t="n">
        <f aca="false">K338</f>
        <v>0</v>
      </c>
      <c r="AB338" s="61" t="n">
        <f aca="false">L338</f>
        <v>0</v>
      </c>
      <c r="AC338" s="61" t="n">
        <f aca="false">VLOOKUP(AB338,recipe_ingred_list!$K$2:$M$7,3,0)</f>
        <v>2</v>
      </c>
      <c r="AD338" s="61" t="n">
        <f aca="false">M338</f>
        <v>0.3</v>
      </c>
      <c r="AE338" s="61" t="str">
        <f aca="false">N338</f>
        <v>cup</v>
      </c>
      <c r="AF338" s="61" t="n">
        <f aca="false">VLOOKUP(AE338,recipe_ingred_list!$K$16:$M$25,3,0)</f>
        <v>5</v>
      </c>
      <c r="AG338" s="61" t="n">
        <f aca="false">O338</f>
        <v>0</v>
      </c>
      <c r="AH338" s="61" t="n">
        <f aca="false">P338</f>
        <v>0</v>
      </c>
      <c r="AI338" s="61" t="n">
        <f aca="false">VLOOKUP(AH338,recipe_ingred_list!$K$29:$M$34,3,0)</f>
        <v>3</v>
      </c>
      <c r="AJ338" s="61" t="str">
        <f aca="false">IF(Q338="","",Q338)</f>
        <v/>
      </c>
      <c r="AK338" s="61" t="n">
        <f aca="false">AK337+1</f>
        <v>338</v>
      </c>
      <c r="AL338" s="61" t="str">
        <f aca="false">Y338</f>
        <v>black salt</v>
      </c>
      <c r="AM338" s="81" t="str">
        <f aca="false">"a = Client().post('"&amp;W338&amp;"', {'recipe' : '"&amp;V338&amp;"', 'ingredient' : '"&amp;Z338&amp;"', 'name' : '"&amp;X338&amp;"', 'mass_unit' : '"&amp;AC338&amp;"', 'mass_quantity' : '"&amp;ROUND(AA338,3)&amp;"', 'volume_unit' : '"&amp;AF338&amp;"', 'volume_quantity' : '"&amp;ROUND(AD338,3)&amp;"', 'pieces_unit' : '"&amp;AI338&amp;"', 'pieces_quantity' : '"&amp;ROUND(AG338,3)&amp;"', 'cooking_notes' : '"&amp;AJ338&amp;"'}).status_code; print('%s :: %s :: %s :: %s :: %s' %(a,"&amp;G338&amp;",'"&amp;X338&amp;"','"&amp;Y338&amp;"','"&amp;U338&amp;"'))"</f>
        <v>a = Client().post('/recipes/brokoli-sautee/detail/', {'recipe' : '12', 'ingredient' : '32', 'name' : 'Black salt', 'mass_unit' : '2', 'mass_quantity' : '0', 'volume_unit' : '5', 'volume_quantity' : '0.3', 'pieces_unit' : '3', 'pieces_quantity' : '0', 'cooking_notes' : ''}).status_code; print('%s :: %s :: %s :: %s :: %s' %(a,338,'Black salt','black salt','Brokoli Sautee'))</v>
      </c>
    </row>
    <row r="339" customFormat="false" ht="14.9" hidden="false" customHeight="false" outlineLevel="0" collapsed="false">
      <c r="G339" s="80" t="n">
        <v>339</v>
      </c>
      <c r="I339" s="82" t="s">
        <v>144</v>
      </c>
      <c r="J339" s="83" t="s">
        <v>619</v>
      </c>
      <c r="M339" s="61" t="n">
        <v>1</v>
      </c>
      <c r="N339" s="61" t="s">
        <v>13</v>
      </c>
      <c r="Q339" s="84" t="s">
        <v>620</v>
      </c>
      <c r="R339" s="82" t="str">
        <f aca="false">VLOOKUP(J339,ingredient!$N$4:$O$553,2,0)</f>
        <v>basil leaves</v>
      </c>
      <c r="U339" s="81" t="str">
        <f aca="false">I339</f>
        <v>Brokoli Sautee</v>
      </c>
      <c r="V339" s="81" t="n">
        <f aca="false">VLOOKUP(U339,recipe_ingred_list!$A$2:$B$300,2,0)</f>
        <v>12</v>
      </c>
      <c r="W339" s="81" t="str">
        <f aca="false">"/recipes/"&amp;VLOOKUP(U339,recipe_ingred_list!$A$2:$C$300,3,0)&amp;"/detail/"</f>
        <v>/recipes/brokoli-sautee/detail/</v>
      </c>
      <c r="X339" s="81" t="str">
        <f aca="false">J339</f>
        <v>Basil leaves</v>
      </c>
      <c r="Y339" s="81" t="str">
        <f aca="false">R339</f>
        <v>basil leaves</v>
      </c>
      <c r="Z339" s="94" t="n">
        <f aca="false">VLOOKUP(Y339,recipe_ingred_list!$D$2:$E$500,2,0)</f>
        <v>24</v>
      </c>
      <c r="AA339" s="61" t="n">
        <f aca="false">K339</f>
        <v>0</v>
      </c>
      <c r="AB339" s="61" t="n">
        <f aca="false">L339</f>
        <v>0</v>
      </c>
      <c r="AC339" s="61" t="n">
        <f aca="false">VLOOKUP(AB339,recipe_ingred_list!$K$2:$M$7,3,0)</f>
        <v>2</v>
      </c>
      <c r="AD339" s="61" t="n">
        <f aca="false">M339</f>
        <v>1</v>
      </c>
      <c r="AE339" s="61" t="str">
        <f aca="false">N339</f>
        <v>ltr</v>
      </c>
      <c r="AF339" s="61" t="n">
        <f aca="false">VLOOKUP(AE339,recipe_ingred_list!$K$16:$M$25,3,0)</f>
        <v>1</v>
      </c>
      <c r="AG339" s="61" t="n">
        <f aca="false">O339</f>
        <v>0</v>
      </c>
      <c r="AH339" s="61" t="n">
        <f aca="false">P339</f>
        <v>0</v>
      </c>
      <c r="AI339" s="61" t="n">
        <f aca="false">VLOOKUP(AH339,recipe_ingred_list!$K$29:$M$34,3,0)</f>
        <v>3</v>
      </c>
      <c r="AJ339" s="61" t="str">
        <f aca="false">IF(Q339="","",Q339)</f>
        <v>chopped</v>
      </c>
      <c r="AK339" s="61" t="n">
        <f aca="false">AK338+1</f>
        <v>339</v>
      </c>
      <c r="AL339" s="61" t="str">
        <f aca="false">Y339</f>
        <v>basil leaves</v>
      </c>
      <c r="AM339" s="81" t="str">
        <f aca="false">"a = Client().post('"&amp;W339&amp;"', {'recipe' : '"&amp;V339&amp;"', 'ingredient' : '"&amp;Z339&amp;"', 'name' : '"&amp;X339&amp;"', 'mass_unit' : '"&amp;AC339&amp;"', 'mass_quantity' : '"&amp;ROUND(AA339,3)&amp;"', 'volume_unit' : '"&amp;AF339&amp;"', 'volume_quantity' : '"&amp;ROUND(AD339,3)&amp;"', 'pieces_unit' : '"&amp;AI339&amp;"', 'pieces_quantity' : '"&amp;ROUND(AG339,3)&amp;"', 'cooking_notes' : '"&amp;AJ339&amp;"'}).status_code; print('%s :: %s :: %s :: %s :: %s' %(a,"&amp;G339&amp;",'"&amp;X339&amp;"','"&amp;Y339&amp;"','"&amp;U339&amp;"'))"</f>
        <v>a = Client().post('/recipes/brokoli-sautee/detail/', {'recipe' : '12', 'ingredient' : '24', 'name' : 'Basil leaves', 'mass_unit' : '2', 'mass_quantity' : '0', 'volume_unit' : '1', 'volume_quantity' : '1', 'pieces_unit' : '3', 'pieces_quantity' : '0', 'cooking_notes' : 'chopped'}).status_code; print('%s :: %s :: %s :: %s :: %s' %(a,339,'Basil leaves','basil leaves','Brokoli Sautee'))</v>
      </c>
    </row>
    <row r="340" customFormat="false" ht="13.8" hidden="false" customHeight="false" outlineLevel="0" collapsed="false">
      <c r="G340" s="80" t="n">
        <v>340</v>
      </c>
      <c r="H340" s="98"/>
      <c r="I340" s="99" t="s">
        <v>144</v>
      </c>
      <c r="J340" s="79" t="s">
        <v>558</v>
      </c>
      <c r="K340" s="100"/>
      <c r="L340" s="100"/>
      <c r="M340" s="100" t="n">
        <v>18</v>
      </c>
      <c r="N340" s="100" t="s">
        <v>13</v>
      </c>
      <c r="O340" s="101"/>
      <c r="P340" s="100"/>
      <c r="Q340" s="102"/>
      <c r="R340" s="99" t="e">
        <f aca="false">VLOOKUP(J340,ingredient!$N$4:$O$553,2,0)</f>
        <v>#N/A</v>
      </c>
      <c r="S340" s="98"/>
      <c r="T340" s="98"/>
      <c r="U340" s="81" t="str">
        <f aca="false">I340</f>
        <v>Brokoli Sautee</v>
      </c>
      <c r="V340" s="81" t="n">
        <f aca="false">VLOOKUP(U340,recipe_ingred_list!$A$2:$B$300,2,0)</f>
        <v>12</v>
      </c>
      <c r="W340" s="81" t="str">
        <f aca="false">"/recipes/"&amp;VLOOKUP(U340,recipe_ingred_list!$A$2:$C$300,3,0)&amp;"/detail/"</f>
        <v>/recipes/brokoli-sautee/detail/</v>
      </c>
      <c r="X340" s="81" t="str">
        <f aca="false">J340</f>
        <v>Yield </v>
      </c>
      <c r="Y340" s="81" t="e">
        <f aca="false">R340</f>
        <v>#N/A</v>
      </c>
      <c r="Z340" s="94" t="e">
        <f aca="false">VLOOKUP(Y340,recipe_ingred_list!$D$2:$E$500,2,0)</f>
        <v>#N/A</v>
      </c>
      <c r="AA340" s="61" t="n">
        <f aca="false">K340</f>
        <v>0</v>
      </c>
      <c r="AB340" s="61" t="n">
        <f aca="false">L340</f>
        <v>0</v>
      </c>
      <c r="AC340" s="61" t="n">
        <f aca="false">VLOOKUP(AB340,recipe_ingred_list!$K$2:$M$7,3,0)</f>
        <v>2</v>
      </c>
      <c r="AD340" s="61" t="n">
        <f aca="false">M340</f>
        <v>18</v>
      </c>
      <c r="AE340" s="61" t="str">
        <f aca="false">N340</f>
        <v>ltr</v>
      </c>
      <c r="AF340" s="61" t="n">
        <f aca="false">VLOOKUP(AE340,recipe_ingred_list!$K$16:$M$25,3,0)</f>
        <v>1</v>
      </c>
      <c r="AG340" s="61" t="n">
        <f aca="false">O340</f>
        <v>0</v>
      </c>
      <c r="AH340" s="61" t="n">
        <f aca="false">P340</f>
        <v>0</v>
      </c>
      <c r="AI340" s="61" t="n">
        <f aca="false">VLOOKUP(AH340,recipe_ingred_list!$K$29:$M$34,3,0)</f>
        <v>3</v>
      </c>
      <c r="AJ340" s="61" t="str">
        <f aca="false">IF(Q340="","",Q340)</f>
        <v/>
      </c>
      <c r="AK340" s="61" t="n">
        <f aca="false">AK339+1</f>
        <v>340</v>
      </c>
      <c r="AL340" s="61" t="e">
        <f aca="false">Y340</f>
        <v>#N/A</v>
      </c>
      <c r="AM340" s="81" t="e">
        <f aca="false">"a = Client().post('"&amp;W340&amp;"', {'recipe' : '"&amp;V340&amp;"', 'ingredient' : '"&amp;Z340&amp;"', 'name' : '"&amp;X340&amp;"', 'mass_unit' : '"&amp;AC340&amp;"', 'mass_quantity' : '"&amp;ROUND(AA340,3)&amp;"', 'volume_unit' : '"&amp;AF340&amp;"', 'volume_quantity' : '"&amp;ROUND(AD340,3)&amp;"', 'pieces_unit' : '"&amp;AI340&amp;"', 'pieces_quantity' : '"&amp;ROUND(AG340,3)&amp;"', 'cooking_notes' : '"&amp;AJ340&amp;"'}).status_code; print('%s :: %s :: %s :: %s :: %s' %(a,"&amp;G340&amp;",'"&amp;X340&amp;"','"&amp;Y340&amp;"','"&amp;U340&amp;"'))"</f>
        <v>#N/A</v>
      </c>
    </row>
    <row r="341" customFormat="false" ht="13.8" hidden="false" customHeight="false" outlineLevel="0" collapsed="false">
      <c r="G341" s="80" t="n">
        <v>341</v>
      </c>
      <c r="H341" s="98"/>
      <c r="I341" s="99"/>
      <c r="J341" s="79"/>
      <c r="K341" s="100"/>
      <c r="L341" s="100"/>
      <c r="M341" s="100"/>
      <c r="N341" s="100"/>
      <c r="O341" s="101"/>
      <c r="P341" s="100"/>
      <c r="Q341" s="102"/>
      <c r="R341" s="99" t="e">
        <f aca="false">VLOOKUP(J341,ingredient!$N$4:$O$553,2,0)</f>
        <v>#N/A</v>
      </c>
      <c r="S341" s="98"/>
      <c r="T341" s="98"/>
      <c r="U341" s="81" t="n">
        <f aca="false">I341</f>
        <v>0</v>
      </c>
      <c r="V341" s="81" t="e">
        <f aca="false">VLOOKUP(U341,recipe_ingred_list!$A$2:$B$300,2,0)</f>
        <v>#N/A</v>
      </c>
      <c r="W341" s="81" t="e">
        <f aca="false">"/recipes/"&amp;VLOOKUP(U341,recipe_ingred_list!$A$2:$C$300,3,0)&amp;"/detail/"</f>
        <v>#N/A</v>
      </c>
      <c r="X341" s="81" t="n">
        <f aca="false">J341</f>
        <v>0</v>
      </c>
      <c r="Y341" s="81" t="e">
        <f aca="false">R341</f>
        <v>#N/A</v>
      </c>
      <c r="Z341" s="94" t="e">
        <f aca="false">VLOOKUP(Y341,recipe_ingred_list!$D$2:$E$500,2,0)</f>
        <v>#N/A</v>
      </c>
      <c r="AA341" s="61" t="n">
        <f aca="false">K341</f>
        <v>0</v>
      </c>
      <c r="AB341" s="61" t="n">
        <f aca="false">L341</f>
        <v>0</v>
      </c>
      <c r="AC341" s="61" t="n">
        <f aca="false">VLOOKUP(AB341,recipe_ingred_list!$K$2:$M$7,3,0)</f>
        <v>2</v>
      </c>
      <c r="AD341" s="61" t="n">
        <f aca="false">M341</f>
        <v>0</v>
      </c>
      <c r="AE341" s="61" t="n">
        <f aca="false">N341</f>
        <v>0</v>
      </c>
      <c r="AF341" s="61" t="n">
        <f aca="false">VLOOKUP(AE341,recipe_ingred_list!$K$16:$M$25,3,0)</f>
        <v>1</v>
      </c>
      <c r="AG341" s="61" t="n">
        <f aca="false">O341</f>
        <v>0</v>
      </c>
      <c r="AH341" s="61" t="n">
        <f aca="false">P341</f>
        <v>0</v>
      </c>
      <c r="AI341" s="61" t="n">
        <f aca="false">VLOOKUP(AH341,recipe_ingred_list!$K$29:$M$34,3,0)</f>
        <v>3</v>
      </c>
      <c r="AJ341" s="61" t="str">
        <f aca="false">IF(Q341="","",Q341)</f>
        <v/>
      </c>
      <c r="AK341" s="61" t="n">
        <f aca="false">AK340+1</f>
        <v>341</v>
      </c>
      <c r="AL341" s="61" t="e">
        <f aca="false">Y341</f>
        <v>#N/A</v>
      </c>
      <c r="AM341" s="81" t="e">
        <f aca="false">"a = Client().post('"&amp;W341&amp;"', {'recipe' : '"&amp;V341&amp;"', 'ingredient' : '"&amp;Z341&amp;"', 'name' : '"&amp;X341&amp;"', 'mass_unit' : '"&amp;AC341&amp;"', 'mass_quantity' : '"&amp;ROUND(AA341,3)&amp;"', 'volume_unit' : '"&amp;AF341&amp;"', 'volume_quantity' : '"&amp;ROUND(AD341,3)&amp;"', 'pieces_unit' : '"&amp;AI341&amp;"', 'pieces_quantity' : '"&amp;ROUND(AG341,3)&amp;"', 'cooking_notes' : '"&amp;AJ341&amp;"'}).status_code; print('%s :: %s :: %s :: %s :: %s' %(a,"&amp;G341&amp;",'"&amp;X341&amp;"','"&amp;Y341&amp;"','"&amp;U341&amp;"'))"</f>
        <v>#N/A</v>
      </c>
    </row>
    <row r="342" customFormat="false" ht="14.9" hidden="false" customHeight="false" outlineLevel="0" collapsed="false">
      <c r="G342" s="80" t="n">
        <v>342</v>
      </c>
      <c r="I342" s="82" t="s">
        <v>217</v>
      </c>
      <c r="J342" s="83" t="s">
        <v>621</v>
      </c>
      <c r="K342" s="61" t="n">
        <v>10</v>
      </c>
      <c r="L342" s="61" t="s">
        <v>7</v>
      </c>
      <c r="Q342" s="84" t="s">
        <v>622</v>
      </c>
      <c r="R342" s="82" t="str">
        <f aca="false">VLOOKUP(J342,ingredient!$N$4:$O$553,2,0)</f>
        <v>karela</v>
      </c>
      <c r="U342" s="81" t="str">
        <f aca="false">I342</f>
        <v>Kerela Round</v>
      </c>
      <c r="V342" s="81" t="n">
        <f aca="false">VLOOKUP(U342,recipe_ingred_list!$A$2:$B$300,2,0)</f>
        <v>36</v>
      </c>
      <c r="W342" s="81" t="str">
        <f aca="false">"/recipes/"&amp;VLOOKUP(U342,recipe_ingred_list!$A$2:$C$300,3,0)&amp;"/detail/"</f>
        <v>/recipes/kerela-round/detail/</v>
      </c>
      <c r="X342" s="81" t="str">
        <f aca="false">J342</f>
        <v>Karela</v>
      </c>
      <c r="Y342" s="81" t="str">
        <f aca="false">R342</f>
        <v>karela</v>
      </c>
      <c r="Z342" s="94" t="n">
        <f aca="false">VLOOKUP(Y342,recipe_ingred_list!$D$2:$E$500,2,0)</f>
        <v>116</v>
      </c>
      <c r="AA342" s="61" t="n">
        <f aca="false">K342</f>
        <v>10</v>
      </c>
      <c r="AB342" s="61" t="str">
        <f aca="false">L342</f>
        <v>kg</v>
      </c>
      <c r="AC342" s="61" t="n">
        <f aca="false">VLOOKUP(AB342,recipe_ingred_list!$K$2:$M$7,3,0)</f>
        <v>2</v>
      </c>
      <c r="AD342" s="61" t="n">
        <f aca="false">M342</f>
        <v>0</v>
      </c>
      <c r="AE342" s="61" t="n">
        <f aca="false">N342</f>
        <v>0</v>
      </c>
      <c r="AF342" s="61" t="n">
        <f aca="false">VLOOKUP(AE342,recipe_ingred_list!$K$16:$M$25,3,0)</f>
        <v>1</v>
      </c>
      <c r="AG342" s="61" t="n">
        <f aca="false">O342</f>
        <v>0</v>
      </c>
      <c r="AH342" s="61" t="n">
        <f aca="false">P342</f>
        <v>0</v>
      </c>
      <c r="AI342" s="61" t="n">
        <f aca="false">VLOOKUP(AH342,recipe_ingred_list!$K$29:$M$34,3,0)</f>
        <v>3</v>
      </c>
      <c r="AJ342" s="61" t="str">
        <f aca="false">IF(Q342="","",Q342)</f>
        <v>round slices,salt squeezed</v>
      </c>
      <c r="AK342" s="61" t="n">
        <f aca="false">AK341+1</f>
        <v>342</v>
      </c>
      <c r="AL342" s="61" t="str">
        <f aca="false">Y342</f>
        <v>karela</v>
      </c>
      <c r="AM342" s="81" t="str">
        <f aca="false">"a = Client().post('"&amp;W342&amp;"', {'recipe' : '"&amp;V342&amp;"', 'ingredient' : '"&amp;Z342&amp;"', 'name' : '"&amp;X342&amp;"', 'mass_unit' : '"&amp;AC342&amp;"', 'mass_quantity' : '"&amp;ROUND(AA342,3)&amp;"', 'volume_unit' : '"&amp;AF342&amp;"', 'volume_quantity' : '"&amp;ROUND(AD342,3)&amp;"', 'pieces_unit' : '"&amp;AI342&amp;"', 'pieces_quantity' : '"&amp;ROUND(AG342,3)&amp;"', 'cooking_notes' : '"&amp;AJ342&amp;"'}).status_code; print('%s :: %s :: %s :: %s :: %s' %(a,"&amp;G342&amp;",'"&amp;X342&amp;"','"&amp;Y342&amp;"','"&amp;U342&amp;"'))"</f>
        <v>a = Client().post('/recipes/kerela-round/detail/', {'recipe' : '36', 'ingredient' : '116', 'name' : 'Karela', 'mass_unit' : '2', 'mass_quantity' : '10', 'volume_unit' : '1', 'volume_quantity' : '0', 'pieces_unit' : '3', 'pieces_quantity' : '0', 'cooking_notes' : 'round slices,salt squeezed'}).status_code; print('%s :: %s :: %s :: %s :: %s' %(a,342,'Karela','karela','Kerela Round'))</v>
      </c>
    </row>
    <row r="343" customFormat="false" ht="13.8" hidden="false" customHeight="false" outlineLevel="0" collapsed="false">
      <c r="G343" s="80" t="n">
        <v>343</v>
      </c>
      <c r="I343" s="82" t="s">
        <v>217</v>
      </c>
      <c r="J343" s="83" t="s">
        <v>621</v>
      </c>
      <c r="M343" s="61" t="n">
        <v>10</v>
      </c>
      <c r="N343" s="61" t="s">
        <v>13</v>
      </c>
      <c r="R343" s="82" t="str">
        <f aca="false">VLOOKUP(J343,ingredient!$N$4:$O$553,2,0)</f>
        <v>karela</v>
      </c>
      <c r="U343" s="81" t="str">
        <f aca="false">I343</f>
        <v>Kerela Round</v>
      </c>
      <c r="V343" s="81" t="n">
        <f aca="false">VLOOKUP(U343,recipe_ingred_list!$A$2:$B$300,2,0)</f>
        <v>36</v>
      </c>
      <c r="W343" s="81" t="str">
        <f aca="false">"/recipes/"&amp;VLOOKUP(U343,recipe_ingred_list!$A$2:$C$300,3,0)&amp;"/detail/"</f>
        <v>/recipes/kerela-round/detail/</v>
      </c>
      <c r="X343" s="81" t="str">
        <f aca="false">J343</f>
        <v>Karela</v>
      </c>
      <c r="Y343" s="81" t="str">
        <f aca="false">R343</f>
        <v>karela</v>
      </c>
      <c r="Z343" s="94" t="n">
        <f aca="false">VLOOKUP(Y343,recipe_ingred_list!$D$2:$E$500,2,0)</f>
        <v>116</v>
      </c>
      <c r="AA343" s="61" t="n">
        <f aca="false">K343</f>
        <v>0</v>
      </c>
      <c r="AB343" s="61" t="n">
        <f aca="false">L343</f>
        <v>0</v>
      </c>
      <c r="AC343" s="61" t="n">
        <f aca="false">VLOOKUP(AB343,recipe_ingred_list!$K$2:$M$7,3,0)</f>
        <v>2</v>
      </c>
      <c r="AD343" s="61" t="n">
        <f aca="false">M343</f>
        <v>10</v>
      </c>
      <c r="AE343" s="61" t="str">
        <f aca="false">N343</f>
        <v>ltr</v>
      </c>
      <c r="AF343" s="61" t="n">
        <f aca="false">VLOOKUP(AE343,recipe_ingred_list!$K$16:$M$25,3,0)</f>
        <v>1</v>
      </c>
      <c r="AG343" s="61" t="n">
        <f aca="false">O343</f>
        <v>0</v>
      </c>
      <c r="AH343" s="61" t="n">
        <f aca="false">P343</f>
        <v>0</v>
      </c>
      <c r="AI343" s="61" t="n">
        <f aca="false">VLOOKUP(AH343,recipe_ingred_list!$K$29:$M$34,3,0)</f>
        <v>3</v>
      </c>
      <c r="AJ343" s="61" t="str">
        <f aca="false">IF(Q343="","",Q343)</f>
        <v/>
      </c>
      <c r="AK343" s="61" t="n">
        <f aca="false">AK342+1</f>
        <v>343</v>
      </c>
      <c r="AL343" s="61" t="str">
        <f aca="false">Y343</f>
        <v>karela</v>
      </c>
      <c r="AM343" s="81" t="str">
        <f aca="false">"a = Client().post('"&amp;W343&amp;"', {'recipe' : '"&amp;V343&amp;"', 'ingredient' : '"&amp;Z343&amp;"', 'name' : '"&amp;X343&amp;"', 'mass_unit' : '"&amp;AC343&amp;"', 'mass_quantity' : '"&amp;ROUND(AA343,3)&amp;"', 'volume_unit' : '"&amp;AF343&amp;"', 'volume_quantity' : '"&amp;ROUND(AD343,3)&amp;"', 'pieces_unit' : '"&amp;AI343&amp;"', 'pieces_quantity' : '"&amp;ROUND(AG343,3)&amp;"', 'cooking_notes' : '"&amp;AJ343&amp;"'}).status_code; print('%s :: %s :: %s :: %s :: %s' %(a,"&amp;G343&amp;",'"&amp;X343&amp;"','"&amp;Y343&amp;"','"&amp;U343&amp;"'))"</f>
        <v>a = Client().post('/recipes/kerela-round/detail/', {'recipe' : '36', 'ingredient' : '116', 'name' : 'Karela', 'mass_unit' : '2', 'mass_quantity' : '0', 'volume_unit' : '1', 'volume_quantity' : '10', 'pieces_unit' : '3', 'pieces_quantity' : '0', 'cooking_notes' : ''}).status_code; print('%s :: %s :: %s :: %s :: %s' %(a,343,'Karela','karela','Kerela Round'))</v>
      </c>
    </row>
    <row r="344" customFormat="false" ht="13.8" hidden="false" customHeight="false" outlineLevel="0" collapsed="false">
      <c r="G344" s="80" t="n">
        <v>344</v>
      </c>
      <c r="I344" s="82" t="s">
        <v>217</v>
      </c>
      <c r="J344" s="83" t="s">
        <v>553</v>
      </c>
      <c r="K344" s="61" t="n">
        <v>1.5</v>
      </c>
      <c r="L344" s="61" t="s">
        <v>7</v>
      </c>
      <c r="R344" s="82" t="str">
        <f aca="false">VLOOKUP(J344,ingredient!$N$4:$O$553,2,0)</f>
        <v>gound nut oil</v>
      </c>
      <c r="U344" s="81" t="str">
        <f aca="false">I344</f>
        <v>Kerela Round</v>
      </c>
      <c r="V344" s="81" t="n">
        <f aca="false">VLOOKUP(U344,recipe_ingred_list!$A$2:$B$300,2,0)</f>
        <v>36</v>
      </c>
      <c r="W344" s="81" t="str">
        <f aca="false">"/recipes/"&amp;VLOOKUP(U344,recipe_ingred_list!$A$2:$C$300,3,0)&amp;"/detail/"</f>
        <v>/recipes/kerela-round/detail/</v>
      </c>
      <c r="X344" s="81" t="str">
        <f aca="false">J344</f>
        <v>Oil</v>
      </c>
      <c r="Y344" s="81" t="str">
        <f aca="false">R344</f>
        <v>gound nut oil</v>
      </c>
      <c r="Z344" s="94" t="n">
        <f aca="false">VLOOKUP(Y344,recipe_ingred_list!$D$2:$E$500,2,0)</f>
        <v>83</v>
      </c>
      <c r="AA344" s="61" t="n">
        <f aca="false">K344</f>
        <v>1.5</v>
      </c>
      <c r="AB344" s="61" t="str">
        <f aca="false">L344</f>
        <v>kg</v>
      </c>
      <c r="AC344" s="61" t="n">
        <f aca="false">VLOOKUP(AB344,recipe_ingred_list!$K$2:$M$7,3,0)</f>
        <v>2</v>
      </c>
      <c r="AD344" s="61" t="n">
        <f aca="false">M344</f>
        <v>0</v>
      </c>
      <c r="AE344" s="61" t="n">
        <f aca="false">N344</f>
        <v>0</v>
      </c>
      <c r="AF344" s="61" t="n">
        <f aca="false">VLOOKUP(AE344,recipe_ingred_list!$K$16:$M$25,3,0)</f>
        <v>1</v>
      </c>
      <c r="AG344" s="61" t="n">
        <f aca="false">O344</f>
        <v>0</v>
      </c>
      <c r="AH344" s="61" t="n">
        <f aca="false">P344</f>
        <v>0</v>
      </c>
      <c r="AI344" s="61" t="n">
        <f aca="false">VLOOKUP(AH344,recipe_ingred_list!$K$29:$M$34,3,0)</f>
        <v>3</v>
      </c>
      <c r="AJ344" s="61" t="str">
        <f aca="false">IF(Q344="","",Q344)</f>
        <v/>
      </c>
      <c r="AK344" s="61" t="n">
        <f aca="false">AK343+1</f>
        <v>344</v>
      </c>
      <c r="AL344" s="61" t="str">
        <f aca="false">Y344</f>
        <v>gound nut oil</v>
      </c>
      <c r="AM344" s="81" t="str">
        <f aca="false">"a = Client().post('"&amp;W344&amp;"', {'recipe' : '"&amp;V344&amp;"', 'ingredient' : '"&amp;Z344&amp;"', 'name' : '"&amp;X344&amp;"', 'mass_unit' : '"&amp;AC344&amp;"', 'mass_quantity' : '"&amp;ROUND(AA344,3)&amp;"', 'volume_unit' : '"&amp;AF344&amp;"', 'volume_quantity' : '"&amp;ROUND(AD344,3)&amp;"', 'pieces_unit' : '"&amp;AI344&amp;"', 'pieces_quantity' : '"&amp;ROUND(AG344,3)&amp;"', 'cooking_notes' : '"&amp;AJ344&amp;"'}).status_code; print('%s :: %s :: %s :: %s :: %s' %(a,"&amp;G344&amp;",'"&amp;X344&amp;"','"&amp;Y344&amp;"','"&amp;U344&amp;"'))"</f>
        <v>a = Client().post('/recipes/kerela-round/detail/', {'recipe' : '36', 'ingredient' : '83', 'name' : 'Oil', 'mass_unit' : '2', 'mass_quantity' : '1.5', 'volume_unit' : '1', 'volume_quantity' : '0', 'pieces_unit' : '3', 'pieces_quantity' : '0', 'cooking_notes' : ''}).status_code; print('%s :: %s :: %s :: %s :: %s' %(a,344,'Oil','gound nut oil','Kerela Round'))</v>
      </c>
    </row>
    <row r="345" customFormat="false" ht="13.8" hidden="false" customHeight="false" outlineLevel="0" collapsed="false">
      <c r="G345" s="80" t="n">
        <v>345</v>
      </c>
      <c r="I345" s="82" t="s">
        <v>217</v>
      </c>
      <c r="J345" s="83" t="s">
        <v>14</v>
      </c>
      <c r="M345" s="61" t="n">
        <v>0.3</v>
      </c>
      <c r="N345" s="61" t="s">
        <v>20</v>
      </c>
      <c r="R345" s="82" t="str">
        <f aca="false">VLOOKUP(J345,ingredient!$N$4:$O$553,2,0)</f>
        <v>jeera</v>
      </c>
      <c r="U345" s="81" t="str">
        <f aca="false">I345</f>
        <v>Kerela Round</v>
      </c>
      <c r="V345" s="81" t="n">
        <f aca="false">VLOOKUP(U345,recipe_ingred_list!$A$2:$B$300,2,0)</f>
        <v>36</v>
      </c>
      <c r="W345" s="81" t="str">
        <f aca="false">"/recipes/"&amp;VLOOKUP(U345,recipe_ingred_list!$A$2:$C$300,3,0)&amp;"/detail/"</f>
        <v>/recipes/kerela-round/detail/</v>
      </c>
      <c r="X345" s="81" t="str">
        <f aca="false">J345</f>
        <v>Jeera</v>
      </c>
      <c r="Y345" s="81" t="str">
        <f aca="false">R345</f>
        <v>jeera</v>
      </c>
      <c r="Z345" s="94" t="n">
        <f aca="false">VLOOKUP(Y345,recipe_ingred_list!$D$2:$E$500,2,0)</f>
        <v>102</v>
      </c>
      <c r="AA345" s="61" t="n">
        <f aca="false">K345</f>
        <v>0</v>
      </c>
      <c r="AB345" s="61" t="n">
        <f aca="false">L345</f>
        <v>0</v>
      </c>
      <c r="AC345" s="61" t="n">
        <f aca="false">VLOOKUP(AB345,recipe_ingred_list!$K$2:$M$7,3,0)</f>
        <v>2</v>
      </c>
      <c r="AD345" s="61" t="n">
        <f aca="false">M345</f>
        <v>0.3</v>
      </c>
      <c r="AE345" s="61" t="str">
        <f aca="false">N345</f>
        <v>cup</v>
      </c>
      <c r="AF345" s="61" t="n">
        <f aca="false">VLOOKUP(AE345,recipe_ingred_list!$K$16:$M$25,3,0)</f>
        <v>5</v>
      </c>
      <c r="AG345" s="61" t="n">
        <f aca="false">O345</f>
        <v>0</v>
      </c>
      <c r="AH345" s="61" t="n">
        <f aca="false">P345</f>
        <v>0</v>
      </c>
      <c r="AI345" s="61" t="n">
        <f aca="false">VLOOKUP(AH345,recipe_ingred_list!$K$29:$M$34,3,0)</f>
        <v>3</v>
      </c>
      <c r="AJ345" s="61" t="str">
        <f aca="false">IF(Q345="","",Q345)</f>
        <v/>
      </c>
      <c r="AK345" s="61" t="n">
        <f aca="false">AK344+1</f>
        <v>345</v>
      </c>
      <c r="AL345" s="61" t="str">
        <f aca="false">Y345</f>
        <v>jeera</v>
      </c>
      <c r="AM345" s="81" t="str">
        <f aca="false">"a = Client().post('"&amp;W345&amp;"', {'recipe' : '"&amp;V345&amp;"', 'ingredient' : '"&amp;Z345&amp;"', 'name' : '"&amp;X345&amp;"', 'mass_unit' : '"&amp;AC345&amp;"', 'mass_quantity' : '"&amp;ROUND(AA345,3)&amp;"', 'volume_unit' : '"&amp;AF345&amp;"', 'volume_quantity' : '"&amp;ROUND(AD345,3)&amp;"', 'pieces_unit' : '"&amp;AI345&amp;"', 'pieces_quantity' : '"&amp;ROUND(AG345,3)&amp;"', 'cooking_notes' : '"&amp;AJ345&amp;"'}).status_code; print('%s :: %s :: %s :: %s :: %s' %(a,"&amp;G345&amp;",'"&amp;X345&amp;"','"&amp;Y345&amp;"','"&amp;U345&amp;"'))"</f>
        <v>a = Client().post('/recipes/kerela-round/detail/', {'recipe' : '36', 'ingredient' : '102', 'name' : 'Jeera', 'mass_unit' : '2', 'mass_quantity' : '0', 'volume_unit' : '5', 'volume_quantity' : '0.3', 'pieces_unit' : '3', 'pieces_quantity' : '0', 'cooking_notes' : ''}).status_code; print('%s :: %s :: %s :: %s :: %s' %(a,345,'Jeera','jeera','Kerela Round'))</v>
      </c>
    </row>
    <row r="346" customFormat="false" ht="14.9" hidden="false" customHeight="false" outlineLevel="0" collapsed="false">
      <c r="G346" s="80" t="n">
        <v>346</v>
      </c>
      <c r="I346" s="82" t="s">
        <v>217</v>
      </c>
      <c r="J346" s="83" t="s">
        <v>526</v>
      </c>
      <c r="M346" s="61" t="n">
        <v>1</v>
      </c>
      <c r="N346" s="61" t="s">
        <v>20</v>
      </c>
      <c r="Q346" s="84" t="s">
        <v>538</v>
      </c>
      <c r="R346" s="82" t="str">
        <f aca="false">VLOOKUP(J346,ingredient!$N$4:$O$553,2,0)</f>
        <v>hari mirchi</v>
      </c>
      <c r="U346" s="81" t="str">
        <f aca="false">I346</f>
        <v>Kerela Round</v>
      </c>
      <c r="V346" s="81" t="n">
        <f aca="false">VLOOKUP(U346,recipe_ingred_list!$A$2:$B$300,2,0)</f>
        <v>36</v>
      </c>
      <c r="W346" s="81" t="str">
        <f aca="false">"/recipes/"&amp;VLOOKUP(U346,recipe_ingred_list!$A$2:$C$300,3,0)&amp;"/detail/"</f>
        <v>/recipes/kerela-round/detail/</v>
      </c>
      <c r="X346" s="81" t="str">
        <f aca="false">J346</f>
        <v>Hari mirchi</v>
      </c>
      <c r="Y346" s="81" t="str">
        <f aca="false">R346</f>
        <v>hari mirchi</v>
      </c>
      <c r="Z346" s="94" t="n">
        <f aca="false">VLOOKUP(Y346,recipe_ingred_list!$D$2:$E$500,2,0)</f>
        <v>93</v>
      </c>
      <c r="AA346" s="61" t="n">
        <f aca="false">K346</f>
        <v>0</v>
      </c>
      <c r="AB346" s="61" t="n">
        <f aca="false">L346</f>
        <v>0</v>
      </c>
      <c r="AC346" s="61" t="n">
        <f aca="false">VLOOKUP(AB346,recipe_ingred_list!$K$2:$M$7,3,0)</f>
        <v>2</v>
      </c>
      <c r="AD346" s="61" t="n">
        <f aca="false">M346</f>
        <v>1</v>
      </c>
      <c r="AE346" s="61" t="str">
        <f aca="false">N346</f>
        <v>cup</v>
      </c>
      <c r="AF346" s="61" t="n">
        <f aca="false">VLOOKUP(AE346,recipe_ingred_list!$K$16:$M$25,3,0)</f>
        <v>5</v>
      </c>
      <c r="AG346" s="61" t="n">
        <f aca="false">O346</f>
        <v>0</v>
      </c>
      <c r="AH346" s="61" t="n">
        <f aca="false">P346</f>
        <v>0</v>
      </c>
      <c r="AI346" s="61" t="n">
        <f aca="false">VLOOKUP(AH346,recipe_ingred_list!$K$29:$M$34,3,0)</f>
        <v>3</v>
      </c>
      <c r="AJ346" s="61" t="str">
        <f aca="false">IF(Q346="","",Q346)</f>
        <v>fine chopped</v>
      </c>
      <c r="AK346" s="61" t="n">
        <f aca="false">AK345+1</f>
        <v>346</v>
      </c>
      <c r="AL346" s="61" t="str">
        <f aca="false">Y346</f>
        <v>hari mirchi</v>
      </c>
      <c r="AM346" s="81" t="str">
        <f aca="false">"a = Client().post('"&amp;W346&amp;"', {'recipe' : '"&amp;V346&amp;"', 'ingredient' : '"&amp;Z346&amp;"', 'name' : '"&amp;X346&amp;"', 'mass_unit' : '"&amp;AC346&amp;"', 'mass_quantity' : '"&amp;ROUND(AA346,3)&amp;"', 'volume_unit' : '"&amp;AF346&amp;"', 'volume_quantity' : '"&amp;ROUND(AD346,3)&amp;"', 'pieces_unit' : '"&amp;AI346&amp;"', 'pieces_quantity' : '"&amp;ROUND(AG346,3)&amp;"', 'cooking_notes' : '"&amp;AJ346&amp;"'}).status_code; print('%s :: %s :: %s :: %s :: %s' %(a,"&amp;G346&amp;",'"&amp;X346&amp;"','"&amp;Y346&amp;"','"&amp;U346&amp;"'))"</f>
        <v>a = Client().post('/recipes/kerela-round/detail/', {'recipe' : '36', 'ingredient' : '93', 'name' : 'Hari mirchi', 'mass_unit' : '2', 'mass_quantity' : '0', 'volume_unit' : '5', 'volume_quantity' : '1', 'pieces_unit' : '3', 'pieces_quantity' : '0', 'cooking_notes' : 'fine chopped'}).status_code; print('%s :: %s :: %s :: %s :: %s' %(a,346,'Hari mirchi','hari mirchi','Kerela Round'))</v>
      </c>
    </row>
    <row r="347" customFormat="false" ht="13.8" hidden="false" customHeight="false" outlineLevel="0" collapsed="false">
      <c r="G347" s="80" t="n">
        <v>347</v>
      </c>
      <c r="I347" s="82" t="s">
        <v>217</v>
      </c>
      <c r="J347" s="83" t="s">
        <v>564</v>
      </c>
      <c r="M347" s="61" t="n">
        <v>0.3</v>
      </c>
      <c r="N347" s="61" t="s">
        <v>20</v>
      </c>
      <c r="R347" s="82" t="str">
        <f aca="false">VLOOKUP(J347,ingredient!$N$4:$O$553,2,0)</f>
        <v>haldi</v>
      </c>
      <c r="U347" s="81" t="str">
        <f aca="false">I347</f>
        <v>Kerela Round</v>
      </c>
      <c r="V347" s="81" t="n">
        <f aca="false">VLOOKUP(U347,recipe_ingred_list!$A$2:$B$300,2,0)</f>
        <v>36</v>
      </c>
      <c r="W347" s="81" t="str">
        <f aca="false">"/recipes/"&amp;VLOOKUP(U347,recipe_ingred_list!$A$2:$C$300,3,0)&amp;"/detail/"</f>
        <v>/recipes/kerela-round/detail/</v>
      </c>
      <c r="X347" s="81" t="str">
        <f aca="false">J347</f>
        <v>Haldi</v>
      </c>
      <c r="Y347" s="81" t="str">
        <f aca="false">R347</f>
        <v>haldi</v>
      </c>
      <c r="Z347" s="94" t="n">
        <f aca="false">VLOOKUP(Y347,recipe_ingred_list!$D$2:$E$500,2,0)</f>
        <v>91</v>
      </c>
      <c r="AA347" s="61" t="n">
        <f aca="false">K347</f>
        <v>0</v>
      </c>
      <c r="AB347" s="61" t="n">
        <f aca="false">L347</f>
        <v>0</v>
      </c>
      <c r="AC347" s="61" t="n">
        <f aca="false">VLOOKUP(AB347,recipe_ingred_list!$K$2:$M$7,3,0)</f>
        <v>2</v>
      </c>
      <c r="AD347" s="61" t="n">
        <f aca="false">M347</f>
        <v>0.3</v>
      </c>
      <c r="AE347" s="61" t="str">
        <f aca="false">N347</f>
        <v>cup</v>
      </c>
      <c r="AF347" s="61" t="n">
        <f aca="false">VLOOKUP(AE347,recipe_ingred_list!$K$16:$M$25,3,0)</f>
        <v>5</v>
      </c>
      <c r="AG347" s="61" t="n">
        <f aca="false">O347</f>
        <v>0</v>
      </c>
      <c r="AH347" s="61" t="n">
        <f aca="false">P347</f>
        <v>0</v>
      </c>
      <c r="AI347" s="61" t="n">
        <f aca="false">VLOOKUP(AH347,recipe_ingred_list!$K$29:$M$34,3,0)</f>
        <v>3</v>
      </c>
      <c r="AJ347" s="61" t="str">
        <f aca="false">IF(Q347="","",Q347)</f>
        <v/>
      </c>
      <c r="AK347" s="61" t="n">
        <f aca="false">AK346+1</f>
        <v>347</v>
      </c>
      <c r="AL347" s="61" t="str">
        <f aca="false">Y347</f>
        <v>haldi</v>
      </c>
      <c r="AM347" s="81" t="str">
        <f aca="false">"a = Client().post('"&amp;W347&amp;"', {'recipe' : '"&amp;V347&amp;"', 'ingredient' : '"&amp;Z347&amp;"', 'name' : '"&amp;X347&amp;"', 'mass_unit' : '"&amp;AC347&amp;"', 'mass_quantity' : '"&amp;ROUND(AA347,3)&amp;"', 'volume_unit' : '"&amp;AF347&amp;"', 'volume_quantity' : '"&amp;ROUND(AD347,3)&amp;"', 'pieces_unit' : '"&amp;AI347&amp;"', 'pieces_quantity' : '"&amp;ROUND(AG347,3)&amp;"', 'cooking_notes' : '"&amp;AJ347&amp;"'}).status_code; print('%s :: %s :: %s :: %s :: %s' %(a,"&amp;G347&amp;",'"&amp;X347&amp;"','"&amp;Y347&amp;"','"&amp;U347&amp;"'))"</f>
        <v>a = Client().post('/recipes/kerela-round/detail/', {'recipe' : '36', 'ingredient' : '91', 'name' : 'Haldi', 'mass_unit' : '2', 'mass_quantity' : '0', 'volume_unit' : '5', 'volume_quantity' : '0.3', 'pieces_unit' : '3', 'pieces_quantity' : '0', 'cooking_notes' : ''}).status_code; print('%s :: %s :: %s :: %s :: %s' %(a,347,'Haldi','haldi','Kerela Round'))</v>
      </c>
    </row>
    <row r="348" customFormat="false" ht="13.8" hidden="false" customHeight="false" outlineLevel="0" collapsed="false">
      <c r="G348" s="80" t="n">
        <v>348</v>
      </c>
      <c r="I348" s="82" t="s">
        <v>217</v>
      </c>
      <c r="J348" s="83" t="s">
        <v>568</v>
      </c>
      <c r="M348" s="61" t="n">
        <v>0.75</v>
      </c>
      <c r="N348" s="61" t="s">
        <v>20</v>
      </c>
      <c r="R348" s="82" t="str">
        <f aca="false">VLOOKUP(J348,ingredient!$N$4:$O$553,2,0)</f>
        <v>dhaniya powder</v>
      </c>
      <c r="U348" s="81" t="str">
        <f aca="false">I348</f>
        <v>Kerela Round</v>
      </c>
      <c r="V348" s="81" t="n">
        <f aca="false">VLOOKUP(U348,recipe_ingred_list!$A$2:$B$300,2,0)</f>
        <v>36</v>
      </c>
      <c r="W348" s="81" t="str">
        <f aca="false">"/recipes/"&amp;VLOOKUP(U348,recipe_ingred_list!$A$2:$C$300,3,0)&amp;"/detail/"</f>
        <v>/recipes/kerela-round/detail/</v>
      </c>
      <c r="X348" s="81" t="str">
        <f aca="false">J348</f>
        <v>Dhania powder</v>
      </c>
      <c r="Y348" s="81" t="str">
        <f aca="false">R348</f>
        <v>dhaniya powder</v>
      </c>
      <c r="Z348" s="94" t="n">
        <f aca="false">VLOOKUP(Y348,recipe_ingred_list!$D$2:$E$500,2,0)</f>
        <v>67</v>
      </c>
      <c r="AA348" s="61" t="n">
        <f aca="false">K348</f>
        <v>0</v>
      </c>
      <c r="AB348" s="61" t="n">
        <f aca="false">L348</f>
        <v>0</v>
      </c>
      <c r="AC348" s="61" t="n">
        <f aca="false">VLOOKUP(AB348,recipe_ingred_list!$K$2:$M$7,3,0)</f>
        <v>2</v>
      </c>
      <c r="AD348" s="61" t="n">
        <f aca="false">M348</f>
        <v>0.75</v>
      </c>
      <c r="AE348" s="61" t="str">
        <f aca="false">N348</f>
        <v>cup</v>
      </c>
      <c r="AF348" s="61" t="n">
        <f aca="false">VLOOKUP(AE348,recipe_ingred_list!$K$16:$M$25,3,0)</f>
        <v>5</v>
      </c>
      <c r="AG348" s="61" t="n">
        <f aca="false">O348</f>
        <v>0</v>
      </c>
      <c r="AH348" s="61" t="n">
        <f aca="false">P348</f>
        <v>0</v>
      </c>
      <c r="AI348" s="61" t="n">
        <f aca="false">VLOOKUP(AH348,recipe_ingred_list!$K$29:$M$34,3,0)</f>
        <v>3</v>
      </c>
      <c r="AJ348" s="61" t="str">
        <f aca="false">IF(Q348="","",Q348)</f>
        <v/>
      </c>
      <c r="AK348" s="61" t="n">
        <f aca="false">AK347+1</f>
        <v>348</v>
      </c>
      <c r="AL348" s="61" t="str">
        <f aca="false">Y348</f>
        <v>dhaniya powder</v>
      </c>
      <c r="AM348" s="81" t="str">
        <f aca="false">"a = Client().post('"&amp;W348&amp;"', {'recipe' : '"&amp;V348&amp;"', 'ingredient' : '"&amp;Z348&amp;"', 'name' : '"&amp;X348&amp;"', 'mass_unit' : '"&amp;AC348&amp;"', 'mass_quantity' : '"&amp;ROUND(AA348,3)&amp;"', 'volume_unit' : '"&amp;AF348&amp;"', 'volume_quantity' : '"&amp;ROUND(AD348,3)&amp;"', 'pieces_unit' : '"&amp;AI348&amp;"', 'pieces_quantity' : '"&amp;ROUND(AG348,3)&amp;"', 'cooking_notes' : '"&amp;AJ348&amp;"'}).status_code; print('%s :: %s :: %s :: %s :: %s' %(a,"&amp;G348&amp;",'"&amp;X348&amp;"','"&amp;Y348&amp;"','"&amp;U348&amp;"'))"</f>
        <v>a = Client().post('/recipes/kerela-round/detail/', {'recipe' : '36', 'ingredient' : '67', 'name' : 'Dhania powder', 'mass_unit' : '2', 'mass_quantity' : '0', 'volume_unit' : '5', 'volume_quantity' : '0.75', 'pieces_unit' : '3', 'pieces_quantity' : '0', 'cooking_notes' : ''}).status_code; print('%s :: %s :: %s :: %s :: %s' %(a,348,'Dhania powder','dhaniya powder','Kerela Round'))</v>
      </c>
    </row>
    <row r="349" customFormat="false" ht="13.8" hidden="false" customHeight="false" outlineLevel="0" collapsed="false">
      <c r="G349" s="80" t="n">
        <v>349</v>
      </c>
      <c r="I349" s="82" t="s">
        <v>217</v>
      </c>
      <c r="J349" s="83" t="s">
        <v>32</v>
      </c>
      <c r="M349" s="61" t="n">
        <v>0.5</v>
      </c>
      <c r="N349" s="61" t="s">
        <v>20</v>
      </c>
      <c r="R349" s="82" t="str">
        <f aca="false">VLOOKUP(J349,ingredient!$N$4:$O$553,2,0)</f>
        <v>salt</v>
      </c>
      <c r="U349" s="81" t="str">
        <f aca="false">I349</f>
        <v>Kerela Round</v>
      </c>
      <c r="V349" s="81" t="n">
        <f aca="false">VLOOKUP(U349,recipe_ingred_list!$A$2:$B$300,2,0)</f>
        <v>36</v>
      </c>
      <c r="W349" s="81" t="str">
        <f aca="false">"/recipes/"&amp;VLOOKUP(U349,recipe_ingred_list!$A$2:$C$300,3,0)&amp;"/detail/"</f>
        <v>/recipes/kerela-round/detail/</v>
      </c>
      <c r="X349" s="81" t="str">
        <f aca="false">J349</f>
        <v>Salt</v>
      </c>
      <c r="Y349" s="81" t="str">
        <f aca="false">R349</f>
        <v>salt</v>
      </c>
      <c r="Z349" s="94" t="n">
        <f aca="false">VLOOKUP(Y349,recipe_ingred_list!$D$2:$E$500,2,0)</f>
        <v>177</v>
      </c>
      <c r="AA349" s="61" t="n">
        <f aca="false">K349</f>
        <v>0</v>
      </c>
      <c r="AB349" s="61" t="n">
        <f aca="false">L349</f>
        <v>0</v>
      </c>
      <c r="AC349" s="61" t="n">
        <f aca="false">VLOOKUP(AB349,recipe_ingred_list!$K$2:$M$7,3,0)</f>
        <v>2</v>
      </c>
      <c r="AD349" s="61" t="n">
        <f aca="false">M349</f>
        <v>0.5</v>
      </c>
      <c r="AE349" s="61" t="str">
        <f aca="false">N349</f>
        <v>cup</v>
      </c>
      <c r="AF349" s="61" t="n">
        <f aca="false">VLOOKUP(AE349,recipe_ingred_list!$K$16:$M$25,3,0)</f>
        <v>5</v>
      </c>
      <c r="AG349" s="61" t="n">
        <f aca="false">O349</f>
        <v>0</v>
      </c>
      <c r="AH349" s="61" t="n">
        <f aca="false">P349</f>
        <v>0</v>
      </c>
      <c r="AI349" s="61" t="n">
        <f aca="false">VLOOKUP(AH349,recipe_ingred_list!$K$29:$M$34,3,0)</f>
        <v>3</v>
      </c>
      <c r="AJ349" s="61" t="str">
        <f aca="false">IF(Q349="","",Q349)</f>
        <v/>
      </c>
      <c r="AK349" s="61" t="n">
        <f aca="false">AK348+1</f>
        <v>349</v>
      </c>
      <c r="AL349" s="61" t="str">
        <f aca="false">Y349</f>
        <v>salt</v>
      </c>
      <c r="AM349" s="81" t="str">
        <f aca="false">"a = Client().post('"&amp;W349&amp;"', {'recipe' : '"&amp;V349&amp;"', 'ingredient' : '"&amp;Z349&amp;"', 'name' : '"&amp;X349&amp;"', 'mass_unit' : '"&amp;AC349&amp;"', 'mass_quantity' : '"&amp;ROUND(AA349,3)&amp;"', 'volume_unit' : '"&amp;AF349&amp;"', 'volume_quantity' : '"&amp;ROUND(AD349,3)&amp;"', 'pieces_unit' : '"&amp;AI349&amp;"', 'pieces_quantity' : '"&amp;ROUND(AG349,3)&amp;"', 'cooking_notes' : '"&amp;AJ349&amp;"'}).status_code; print('%s :: %s :: %s :: %s :: %s' %(a,"&amp;G349&amp;",'"&amp;X349&amp;"','"&amp;Y349&amp;"','"&amp;U349&amp;"'))"</f>
        <v>a = Client().post('/recipes/kerela-round/detail/', {'recipe' : '36', 'ingredient' : '177', 'name' : 'Salt', 'mass_unit' : '2', 'mass_quantity' : '0', 'volume_unit' : '5', 'volume_quantity' : '0.5', 'pieces_unit' : '3', 'pieces_quantity' : '0', 'cooking_notes' : ''}).status_code; print('%s :: %s :: %s :: %s :: %s' %(a,349,'Salt','salt','Kerela Round'))</v>
      </c>
    </row>
    <row r="350" customFormat="false" ht="13.8" hidden="false" customHeight="false" outlineLevel="0" collapsed="false">
      <c r="G350" s="80" t="n">
        <v>350</v>
      </c>
      <c r="I350" s="82" t="s">
        <v>217</v>
      </c>
      <c r="J350" s="83" t="s">
        <v>623</v>
      </c>
      <c r="K350" s="61" t="n">
        <v>250</v>
      </c>
      <c r="L350" s="61" t="s">
        <v>109</v>
      </c>
      <c r="R350" s="82" t="str">
        <f aca="false">VLOOKUP(J350,ingredient!$N$4:$O$553,2,0)</f>
        <v>gud</v>
      </c>
      <c r="U350" s="81" t="str">
        <f aca="false">I350</f>
        <v>Kerela Round</v>
      </c>
      <c r="V350" s="81" t="n">
        <f aca="false">VLOOKUP(U350,recipe_ingred_list!$A$2:$B$300,2,0)</f>
        <v>36</v>
      </c>
      <c r="W350" s="81" t="str">
        <f aca="false">"/recipes/"&amp;VLOOKUP(U350,recipe_ingred_list!$A$2:$C$300,3,0)&amp;"/detail/"</f>
        <v>/recipes/kerela-round/detail/</v>
      </c>
      <c r="X350" s="81" t="str">
        <f aca="false">J350</f>
        <v>Gud</v>
      </c>
      <c r="Y350" s="81" t="str">
        <f aca="false">R350</f>
        <v>gud</v>
      </c>
      <c r="Z350" s="94" t="n">
        <f aca="false">VLOOKUP(Y350,recipe_ingred_list!$D$2:$E$500,2,0)</f>
        <v>90</v>
      </c>
      <c r="AA350" s="61" t="n">
        <f aca="false">K350</f>
        <v>250</v>
      </c>
      <c r="AB350" s="61" t="str">
        <f aca="false">L350</f>
        <v>gm</v>
      </c>
      <c r="AC350" s="61" t="n">
        <f aca="false">VLOOKUP(AB350,recipe_ingred_list!$K$2:$M$7,3,0)</f>
        <v>7</v>
      </c>
      <c r="AD350" s="61" t="n">
        <f aca="false">M350</f>
        <v>0</v>
      </c>
      <c r="AE350" s="61" t="n">
        <f aca="false">N350</f>
        <v>0</v>
      </c>
      <c r="AF350" s="61" t="n">
        <f aca="false">VLOOKUP(AE350,recipe_ingred_list!$K$16:$M$25,3,0)</f>
        <v>1</v>
      </c>
      <c r="AG350" s="61" t="n">
        <f aca="false">O350</f>
        <v>0</v>
      </c>
      <c r="AH350" s="61" t="n">
        <f aca="false">P350</f>
        <v>0</v>
      </c>
      <c r="AI350" s="61" t="n">
        <f aca="false">VLOOKUP(AH350,recipe_ingred_list!$K$29:$M$34,3,0)</f>
        <v>3</v>
      </c>
      <c r="AJ350" s="61" t="str">
        <f aca="false">IF(Q350="","",Q350)</f>
        <v/>
      </c>
      <c r="AK350" s="61" t="n">
        <f aca="false">AK349+1</f>
        <v>350</v>
      </c>
      <c r="AL350" s="61" t="str">
        <f aca="false">Y350</f>
        <v>gud</v>
      </c>
      <c r="AM350" s="81" t="str">
        <f aca="false">"a = Client().post('"&amp;W350&amp;"', {'recipe' : '"&amp;V350&amp;"', 'ingredient' : '"&amp;Z350&amp;"', 'name' : '"&amp;X350&amp;"', 'mass_unit' : '"&amp;AC350&amp;"', 'mass_quantity' : '"&amp;ROUND(AA350,3)&amp;"', 'volume_unit' : '"&amp;AF350&amp;"', 'volume_quantity' : '"&amp;ROUND(AD350,3)&amp;"', 'pieces_unit' : '"&amp;AI350&amp;"', 'pieces_quantity' : '"&amp;ROUND(AG350,3)&amp;"', 'cooking_notes' : '"&amp;AJ350&amp;"'}).status_code; print('%s :: %s :: %s :: %s :: %s' %(a,"&amp;G350&amp;",'"&amp;X350&amp;"','"&amp;Y350&amp;"','"&amp;U350&amp;"'))"</f>
        <v>a = Client().post('/recipes/kerela-round/detail/', {'recipe' : '36', 'ingredient' : '90', 'name' : 'Gud', 'mass_unit' : '7', 'mass_quantity' : '250', 'volume_unit' : '1', 'volume_quantity' : '0', 'pieces_unit' : '3', 'pieces_quantity' : '0', 'cooking_notes' : ''}).status_code; print('%s :: %s :: %s :: %s :: %s' %(a,350,'Gud','gud','Kerela Round'))</v>
      </c>
    </row>
    <row r="351" customFormat="false" ht="13.8" hidden="false" customHeight="false" outlineLevel="0" collapsed="false">
      <c r="G351" s="80" t="n">
        <v>351</v>
      </c>
      <c r="I351" s="82" t="s">
        <v>217</v>
      </c>
      <c r="J351" s="83" t="s">
        <v>606</v>
      </c>
      <c r="M351" s="61" t="n">
        <v>0.5</v>
      </c>
      <c r="N351" s="61" t="s">
        <v>20</v>
      </c>
      <c r="R351" s="82" t="str">
        <f aca="false">VLOOKUP(J351,ingredient!$N$4:$O$553,2,0)</f>
        <v>amchur</v>
      </c>
      <c r="U351" s="81" t="str">
        <f aca="false">I351</f>
        <v>Kerela Round</v>
      </c>
      <c r="V351" s="81" t="n">
        <f aca="false">VLOOKUP(U351,recipe_ingred_list!$A$2:$B$300,2,0)</f>
        <v>36</v>
      </c>
      <c r="W351" s="81" t="str">
        <f aca="false">"/recipes/"&amp;VLOOKUP(U351,recipe_ingred_list!$A$2:$C$300,3,0)&amp;"/detail/"</f>
        <v>/recipes/kerela-round/detail/</v>
      </c>
      <c r="X351" s="81" t="str">
        <f aca="false">J351</f>
        <v>Amchur</v>
      </c>
      <c r="Y351" s="81" t="str">
        <f aca="false">R351</f>
        <v>amchur</v>
      </c>
      <c r="Z351" s="94" t="n">
        <f aca="false">VLOOKUP(Y351,recipe_ingred_list!$D$2:$E$500,2,0)</f>
        <v>10</v>
      </c>
      <c r="AA351" s="61" t="n">
        <f aca="false">K351</f>
        <v>0</v>
      </c>
      <c r="AB351" s="61" t="n">
        <f aca="false">L351</f>
        <v>0</v>
      </c>
      <c r="AC351" s="61" t="n">
        <f aca="false">VLOOKUP(AB351,recipe_ingred_list!$K$2:$M$7,3,0)</f>
        <v>2</v>
      </c>
      <c r="AD351" s="61" t="n">
        <f aca="false">M351</f>
        <v>0.5</v>
      </c>
      <c r="AE351" s="61" t="str">
        <f aca="false">N351</f>
        <v>cup</v>
      </c>
      <c r="AF351" s="61" t="n">
        <f aca="false">VLOOKUP(AE351,recipe_ingred_list!$K$16:$M$25,3,0)</f>
        <v>5</v>
      </c>
      <c r="AG351" s="61" t="n">
        <f aca="false">O351</f>
        <v>0</v>
      </c>
      <c r="AH351" s="61" t="n">
        <f aca="false">P351</f>
        <v>0</v>
      </c>
      <c r="AI351" s="61" t="n">
        <f aca="false">VLOOKUP(AH351,recipe_ingred_list!$K$29:$M$34,3,0)</f>
        <v>3</v>
      </c>
      <c r="AJ351" s="61" t="str">
        <f aca="false">IF(Q351="","",Q351)</f>
        <v/>
      </c>
      <c r="AK351" s="61" t="n">
        <f aca="false">AK350+1</f>
        <v>351</v>
      </c>
      <c r="AL351" s="61" t="str">
        <f aca="false">Y351</f>
        <v>amchur</v>
      </c>
      <c r="AM351" s="81" t="str">
        <f aca="false">"a = Client().post('"&amp;W351&amp;"', {'recipe' : '"&amp;V351&amp;"', 'ingredient' : '"&amp;Z351&amp;"', 'name' : '"&amp;X351&amp;"', 'mass_unit' : '"&amp;AC351&amp;"', 'mass_quantity' : '"&amp;ROUND(AA351,3)&amp;"', 'volume_unit' : '"&amp;AF351&amp;"', 'volume_quantity' : '"&amp;ROUND(AD351,3)&amp;"', 'pieces_unit' : '"&amp;AI351&amp;"', 'pieces_quantity' : '"&amp;ROUND(AG351,3)&amp;"', 'cooking_notes' : '"&amp;AJ351&amp;"'}).status_code; print('%s :: %s :: %s :: %s :: %s' %(a,"&amp;G351&amp;",'"&amp;X351&amp;"','"&amp;Y351&amp;"','"&amp;U351&amp;"'))"</f>
        <v>a = Client().post('/recipes/kerela-round/detail/', {'recipe' : '36', 'ingredient' : '10', 'name' : 'Amchur', 'mass_unit' : '2', 'mass_quantity' : '0', 'volume_unit' : '5', 'volume_quantity' : '0.5', 'pieces_unit' : '3', 'pieces_quantity' : '0', 'cooking_notes' : ''}).status_code; print('%s :: %s :: %s :: %s :: %s' %(a,351,'Amchur','amchur','Kerela Round'))</v>
      </c>
    </row>
    <row r="352" customFormat="false" ht="13.8" hidden="false" customHeight="false" outlineLevel="0" collapsed="false">
      <c r="G352" s="80" t="n">
        <v>352</v>
      </c>
      <c r="H352" s="98"/>
      <c r="I352" s="99" t="s">
        <v>217</v>
      </c>
      <c r="J352" s="79" t="s">
        <v>558</v>
      </c>
      <c r="K352" s="100"/>
      <c r="L352" s="100"/>
      <c r="M352" s="100" t="n">
        <v>7</v>
      </c>
      <c r="N352" s="100" t="s">
        <v>13</v>
      </c>
      <c r="O352" s="101"/>
      <c r="P352" s="100"/>
      <c r="Q352" s="102"/>
      <c r="R352" s="99" t="e">
        <f aca="false">VLOOKUP(J352,ingredient!$N$4:$O$553,2,0)</f>
        <v>#N/A</v>
      </c>
      <c r="S352" s="98"/>
      <c r="T352" s="98"/>
      <c r="U352" s="81" t="str">
        <f aca="false">I352</f>
        <v>Kerela Round</v>
      </c>
      <c r="V352" s="81" t="n">
        <f aca="false">VLOOKUP(U352,recipe_ingred_list!$A$2:$B$300,2,0)</f>
        <v>36</v>
      </c>
      <c r="W352" s="81" t="str">
        <f aca="false">"/recipes/"&amp;VLOOKUP(U352,recipe_ingred_list!$A$2:$C$300,3,0)&amp;"/detail/"</f>
        <v>/recipes/kerela-round/detail/</v>
      </c>
      <c r="X352" s="81" t="str">
        <f aca="false">J352</f>
        <v>Yield </v>
      </c>
      <c r="Y352" s="81" t="e">
        <f aca="false">R352</f>
        <v>#N/A</v>
      </c>
      <c r="Z352" s="94" t="e">
        <f aca="false">VLOOKUP(Y352,recipe_ingred_list!$D$2:$E$500,2,0)</f>
        <v>#N/A</v>
      </c>
      <c r="AA352" s="61" t="n">
        <f aca="false">K352</f>
        <v>0</v>
      </c>
      <c r="AB352" s="61" t="n">
        <f aca="false">L352</f>
        <v>0</v>
      </c>
      <c r="AC352" s="61" t="n">
        <f aca="false">VLOOKUP(AB352,recipe_ingred_list!$K$2:$M$7,3,0)</f>
        <v>2</v>
      </c>
      <c r="AD352" s="61" t="n">
        <f aca="false">M352</f>
        <v>7</v>
      </c>
      <c r="AE352" s="61" t="str">
        <f aca="false">N352</f>
        <v>ltr</v>
      </c>
      <c r="AF352" s="61" t="n">
        <f aca="false">VLOOKUP(AE352,recipe_ingred_list!$K$16:$M$25,3,0)</f>
        <v>1</v>
      </c>
      <c r="AG352" s="61" t="n">
        <f aca="false">O352</f>
        <v>0</v>
      </c>
      <c r="AH352" s="61" t="n">
        <f aca="false">P352</f>
        <v>0</v>
      </c>
      <c r="AI352" s="61" t="n">
        <f aca="false">VLOOKUP(AH352,recipe_ingred_list!$K$29:$M$34,3,0)</f>
        <v>3</v>
      </c>
      <c r="AJ352" s="61" t="str">
        <f aca="false">IF(Q352="","",Q352)</f>
        <v/>
      </c>
      <c r="AK352" s="61" t="n">
        <f aca="false">AK351+1</f>
        <v>352</v>
      </c>
      <c r="AL352" s="61" t="e">
        <f aca="false">Y352</f>
        <v>#N/A</v>
      </c>
      <c r="AM352" s="81" t="e">
        <f aca="false">"a = Client().post('"&amp;W352&amp;"', {'recipe' : '"&amp;V352&amp;"', 'ingredient' : '"&amp;Z352&amp;"', 'name' : '"&amp;X352&amp;"', 'mass_unit' : '"&amp;AC352&amp;"', 'mass_quantity' : '"&amp;ROUND(AA352,3)&amp;"', 'volume_unit' : '"&amp;AF352&amp;"', 'volume_quantity' : '"&amp;ROUND(AD352,3)&amp;"', 'pieces_unit' : '"&amp;AI352&amp;"', 'pieces_quantity' : '"&amp;ROUND(AG352,3)&amp;"', 'cooking_notes' : '"&amp;AJ352&amp;"'}).status_code; print('%s :: %s :: %s :: %s :: %s' %(a,"&amp;G352&amp;",'"&amp;X352&amp;"','"&amp;Y352&amp;"','"&amp;U352&amp;"'))"</f>
        <v>#N/A</v>
      </c>
    </row>
    <row r="353" customFormat="false" ht="13.8" hidden="false" customHeight="false" outlineLevel="0" collapsed="false">
      <c r="G353" s="80" t="n">
        <v>353</v>
      </c>
      <c r="H353" s="98"/>
      <c r="I353" s="99"/>
      <c r="J353" s="79"/>
      <c r="K353" s="100"/>
      <c r="L353" s="100"/>
      <c r="M353" s="100"/>
      <c r="N353" s="100"/>
      <c r="O353" s="101"/>
      <c r="P353" s="100"/>
      <c r="Q353" s="102"/>
      <c r="R353" s="99" t="e">
        <f aca="false">VLOOKUP(J353,ingredient!$N$4:$O$553,2,0)</f>
        <v>#N/A</v>
      </c>
      <c r="S353" s="98"/>
      <c r="T353" s="98"/>
      <c r="U353" s="81" t="n">
        <f aca="false">I353</f>
        <v>0</v>
      </c>
      <c r="V353" s="81" t="e">
        <f aca="false">VLOOKUP(U353,recipe_ingred_list!$A$2:$B$300,2,0)</f>
        <v>#N/A</v>
      </c>
      <c r="W353" s="81" t="e">
        <f aca="false">"/recipes/"&amp;VLOOKUP(U353,recipe_ingred_list!$A$2:$C$300,3,0)&amp;"/detail/"</f>
        <v>#N/A</v>
      </c>
      <c r="X353" s="81" t="n">
        <f aca="false">J353</f>
        <v>0</v>
      </c>
      <c r="Y353" s="81" t="e">
        <f aca="false">R353</f>
        <v>#N/A</v>
      </c>
      <c r="Z353" s="94" t="e">
        <f aca="false">VLOOKUP(Y353,recipe_ingred_list!$D$2:$E$500,2,0)</f>
        <v>#N/A</v>
      </c>
      <c r="AA353" s="61" t="n">
        <f aca="false">K353</f>
        <v>0</v>
      </c>
      <c r="AB353" s="61" t="n">
        <f aca="false">L353</f>
        <v>0</v>
      </c>
      <c r="AC353" s="61" t="n">
        <f aca="false">VLOOKUP(AB353,recipe_ingred_list!$K$2:$M$7,3,0)</f>
        <v>2</v>
      </c>
      <c r="AD353" s="61" t="n">
        <f aca="false">M353</f>
        <v>0</v>
      </c>
      <c r="AE353" s="61" t="n">
        <f aca="false">N353</f>
        <v>0</v>
      </c>
      <c r="AF353" s="61" t="n">
        <f aca="false">VLOOKUP(AE353,recipe_ingred_list!$K$16:$M$25,3,0)</f>
        <v>1</v>
      </c>
      <c r="AG353" s="61" t="n">
        <f aca="false">O353</f>
        <v>0</v>
      </c>
      <c r="AH353" s="61" t="n">
        <f aca="false">P353</f>
        <v>0</v>
      </c>
      <c r="AI353" s="61" t="n">
        <f aca="false">VLOOKUP(AH353,recipe_ingred_list!$K$29:$M$34,3,0)</f>
        <v>3</v>
      </c>
      <c r="AJ353" s="61" t="str">
        <f aca="false">IF(Q353="","",Q353)</f>
        <v/>
      </c>
      <c r="AK353" s="61" t="n">
        <f aca="false">AK352+1</f>
        <v>353</v>
      </c>
      <c r="AL353" s="61" t="e">
        <f aca="false">Y353</f>
        <v>#N/A</v>
      </c>
      <c r="AM353" s="81" t="e">
        <f aca="false">"a = Client().post('"&amp;W353&amp;"', {'recipe' : '"&amp;V353&amp;"', 'ingredient' : '"&amp;Z353&amp;"', 'name' : '"&amp;X353&amp;"', 'mass_unit' : '"&amp;AC353&amp;"', 'mass_quantity' : '"&amp;ROUND(AA353,3)&amp;"', 'volume_unit' : '"&amp;AF353&amp;"', 'volume_quantity' : '"&amp;ROUND(AD353,3)&amp;"', 'pieces_unit' : '"&amp;AI353&amp;"', 'pieces_quantity' : '"&amp;ROUND(AG353,3)&amp;"', 'cooking_notes' : '"&amp;AJ353&amp;"'}).status_code; print('%s :: %s :: %s :: %s :: %s' %(a,"&amp;G353&amp;",'"&amp;X353&amp;"','"&amp;Y353&amp;"','"&amp;U353&amp;"'))"</f>
        <v>#N/A</v>
      </c>
    </row>
    <row r="354" customFormat="false" ht="14.9" hidden="false" customHeight="false" outlineLevel="0" collapsed="false">
      <c r="G354" s="80" t="n">
        <v>354</v>
      </c>
      <c r="I354" s="82" t="s">
        <v>307</v>
      </c>
      <c r="J354" s="83" t="s">
        <v>624</v>
      </c>
      <c r="O354" s="61" t="n">
        <v>40</v>
      </c>
      <c r="P354" s="61" t="s">
        <v>127</v>
      </c>
      <c r="Q354" s="84" t="s">
        <v>620</v>
      </c>
      <c r="R354" s="82" t="str">
        <f aca="false">VLOOKUP(J354,ingredient!$N$4:$O$553,2,0)</f>
        <v>red sak</v>
      </c>
      <c r="U354" s="81" t="str">
        <f aca="false">I354</f>
        <v>Red Sak Badi</v>
      </c>
      <c r="V354" s="81" t="n">
        <f aca="false">VLOOKUP(U354,recipe_ingred_list!$A$2:$B$300,2,0)</f>
        <v>66</v>
      </c>
      <c r="W354" s="81" t="str">
        <f aca="false">"/recipes/"&amp;VLOOKUP(U354,recipe_ingred_list!$A$2:$C$300,3,0)&amp;"/detail/"</f>
        <v>/recipes/red-sak-badi/detail/</v>
      </c>
      <c r="X354" s="81" t="str">
        <f aca="false">J354</f>
        <v>Red sak</v>
      </c>
      <c r="Y354" s="81" t="str">
        <f aca="false">R354</f>
        <v>red sak</v>
      </c>
      <c r="Z354" s="94" t="n">
        <f aca="false">VLOOKUP(Y354,recipe_ingred_list!$D$2:$E$500,2,0)</f>
        <v>169</v>
      </c>
      <c r="AA354" s="61" t="n">
        <f aca="false">K354</f>
        <v>0</v>
      </c>
      <c r="AB354" s="61" t="n">
        <f aca="false">L354</f>
        <v>0</v>
      </c>
      <c r="AC354" s="61" t="n">
        <f aca="false">VLOOKUP(AB354,recipe_ingred_list!$K$2:$M$7,3,0)</f>
        <v>2</v>
      </c>
      <c r="AD354" s="61" t="n">
        <f aca="false">M354</f>
        <v>0</v>
      </c>
      <c r="AE354" s="61" t="n">
        <f aca="false">N354</f>
        <v>0</v>
      </c>
      <c r="AF354" s="61" t="n">
        <f aca="false">VLOOKUP(AE354,recipe_ingred_list!$K$16:$M$25,3,0)</f>
        <v>1</v>
      </c>
      <c r="AG354" s="61" t="n">
        <f aca="false">O354</f>
        <v>40</v>
      </c>
      <c r="AH354" s="61" t="str">
        <f aca="false">P354</f>
        <v>bndl</v>
      </c>
      <c r="AI354" s="61" t="n">
        <f aca="false">VLOOKUP(AH354,recipe_ingred_list!$K$29:$M$34,3,0)</f>
        <v>8</v>
      </c>
      <c r="AJ354" s="61" t="str">
        <f aca="false">IF(Q354="","",Q354)</f>
        <v>chopped</v>
      </c>
      <c r="AK354" s="61" t="n">
        <f aca="false">AK353+1</f>
        <v>354</v>
      </c>
      <c r="AL354" s="61" t="str">
        <f aca="false">Y354</f>
        <v>red sak</v>
      </c>
      <c r="AM354" s="81" t="str">
        <f aca="false">"a = Client().post('"&amp;W354&amp;"', {'recipe' : '"&amp;V354&amp;"', 'ingredient' : '"&amp;Z354&amp;"', 'name' : '"&amp;X354&amp;"', 'mass_unit' : '"&amp;AC354&amp;"', 'mass_quantity' : '"&amp;ROUND(AA354,3)&amp;"', 'volume_unit' : '"&amp;AF354&amp;"', 'volume_quantity' : '"&amp;ROUND(AD354,3)&amp;"', 'pieces_unit' : '"&amp;AI354&amp;"', 'pieces_quantity' : '"&amp;ROUND(AG354,3)&amp;"', 'cooking_notes' : '"&amp;AJ354&amp;"'}).status_code; print('%s :: %s :: %s :: %s :: %s' %(a,"&amp;G354&amp;",'"&amp;X354&amp;"','"&amp;Y354&amp;"','"&amp;U354&amp;"'))"</f>
        <v>a = Client().post('/recipes/red-sak-badi/detail/', {'recipe' : '66', 'ingredient' : '169', 'name' : 'Red sak', 'mass_unit' : '2', 'mass_quantity' : '0', 'volume_unit' : '1', 'volume_quantity' : '0', 'pieces_unit' : '8', 'pieces_quantity' : '40', 'cooking_notes' : 'chopped'}).status_code; print('%s :: %s :: %s :: %s :: %s' %(a,354,'Red sak','red sak','Red Sak Badi'))</v>
      </c>
    </row>
    <row r="355" customFormat="false" ht="13.8" hidden="false" customHeight="false" outlineLevel="0" collapsed="false">
      <c r="G355" s="80" t="n">
        <v>355</v>
      </c>
      <c r="I355" s="82" t="s">
        <v>307</v>
      </c>
      <c r="J355" s="83" t="s">
        <v>624</v>
      </c>
      <c r="M355" s="61" t="n">
        <v>40</v>
      </c>
      <c r="N355" s="61" t="s">
        <v>13</v>
      </c>
      <c r="R355" s="82" t="str">
        <f aca="false">VLOOKUP(J355,ingredient!$N$4:$O$553,2,0)</f>
        <v>red sak</v>
      </c>
      <c r="U355" s="81" t="str">
        <f aca="false">I355</f>
        <v>Red Sak Badi</v>
      </c>
      <c r="V355" s="81" t="n">
        <f aca="false">VLOOKUP(U355,recipe_ingred_list!$A$2:$B$300,2,0)</f>
        <v>66</v>
      </c>
      <c r="W355" s="81" t="str">
        <f aca="false">"/recipes/"&amp;VLOOKUP(U355,recipe_ingred_list!$A$2:$C$300,3,0)&amp;"/detail/"</f>
        <v>/recipes/red-sak-badi/detail/</v>
      </c>
      <c r="X355" s="81" t="str">
        <f aca="false">J355</f>
        <v>Red sak</v>
      </c>
      <c r="Y355" s="81" t="str">
        <f aca="false">R355</f>
        <v>red sak</v>
      </c>
      <c r="Z355" s="94" t="n">
        <f aca="false">VLOOKUP(Y355,recipe_ingred_list!$D$2:$E$500,2,0)</f>
        <v>169</v>
      </c>
      <c r="AA355" s="61" t="n">
        <f aca="false">K355</f>
        <v>0</v>
      </c>
      <c r="AB355" s="61" t="n">
        <f aca="false">L355</f>
        <v>0</v>
      </c>
      <c r="AC355" s="61" t="n">
        <f aca="false">VLOOKUP(AB355,recipe_ingred_list!$K$2:$M$7,3,0)</f>
        <v>2</v>
      </c>
      <c r="AD355" s="61" t="n">
        <f aca="false">M355</f>
        <v>40</v>
      </c>
      <c r="AE355" s="61" t="str">
        <f aca="false">N355</f>
        <v>ltr</v>
      </c>
      <c r="AF355" s="61" t="n">
        <f aca="false">VLOOKUP(AE355,recipe_ingred_list!$K$16:$M$25,3,0)</f>
        <v>1</v>
      </c>
      <c r="AG355" s="61" t="n">
        <f aca="false">O355</f>
        <v>0</v>
      </c>
      <c r="AH355" s="61" t="n">
        <f aca="false">P355</f>
        <v>0</v>
      </c>
      <c r="AI355" s="61" t="n">
        <f aca="false">VLOOKUP(AH355,recipe_ingred_list!$K$29:$M$34,3,0)</f>
        <v>3</v>
      </c>
      <c r="AJ355" s="61" t="str">
        <f aca="false">IF(Q355="","",Q355)</f>
        <v/>
      </c>
      <c r="AK355" s="61" t="n">
        <f aca="false">AK354+1</f>
        <v>355</v>
      </c>
      <c r="AL355" s="61" t="str">
        <f aca="false">Y355</f>
        <v>red sak</v>
      </c>
      <c r="AM355" s="81" t="str">
        <f aca="false">"a = Client().post('"&amp;W355&amp;"', {'recipe' : '"&amp;V355&amp;"', 'ingredient' : '"&amp;Z355&amp;"', 'name' : '"&amp;X355&amp;"', 'mass_unit' : '"&amp;AC355&amp;"', 'mass_quantity' : '"&amp;ROUND(AA355,3)&amp;"', 'volume_unit' : '"&amp;AF355&amp;"', 'volume_quantity' : '"&amp;ROUND(AD355,3)&amp;"', 'pieces_unit' : '"&amp;AI355&amp;"', 'pieces_quantity' : '"&amp;ROUND(AG355,3)&amp;"', 'cooking_notes' : '"&amp;AJ355&amp;"'}).status_code; print('%s :: %s :: %s :: %s :: %s' %(a,"&amp;G355&amp;",'"&amp;X355&amp;"','"&amp;Y355&amp;"','"&amp;U355&amp;"'))"</f>
        <v>a = Client().post('/recipes/red-sak-badi/detail/', {'recipe' : '66', 'ingredient' : '169', 'name' : 'Red sak', 'mass_unit' : '2', 'mass_quantity' : '0', 'volume_unit' : '1', 'volume_quantity' : '40', 'pieces_unit' : '3', 'pieces_quantity' : '0', 'cooking_notes' : ''}).status_code; print('%s :: %s :: %s :: %s :: %s' %(a,355,'Red sak','red sak','Red Sak Badi'))</v>
      </c>
    </row>
    <row r="356" customFormat="false" ht="13.8" hidden="false" customHeight="false" outlineLevel="0" collapsed="false">
      <c r="G356" s="80" t="n">
        <v>356</v>
      </c>
      <c r="I356" s="82" t="s">
        <v>307</v>
      </c>
      <c r="J356" s="83" t="s">
        <v>585</v>
      </c>
      <c r="M356" s="61" t="n">
        <v>1.25</v>
      </c>
      <c r="N356" s="61" t="s">
        <v>13</v>
      </c>
      <c r="R356" s="82" t="str">
        <f aca="false">VLOOKUP(J356,ingredient!$N$4:$O$553,2,0)</f>
        <v>rai oil</v>
      </c>
      <c r="U356" s="81" t="str">
        <f aca="false">I356</f>
        <v>Red Sak Badi</v>
      </c>
      <c r="V356" s="81" t="n">
        <f aca="false">VLOOKUP(U356,recipe_ingred_list!$A$2:$B$300,2,0)</f>
        <v>66</v>
      </c>
      <c r="W356" s="81" t="str">
        <f aca="false">"/recipes/"&amp;VLOOKUP(U356,recipe_ingred_list!$A$2:$C$300,3,0)&amp;"/detail/"</f>
        <v>/recipes/red-sak-badi/detail/</v>
      </c>
      <c r="X356" s="81" t="str">
        <f aca="false">J356</f>
        <v>Rai tel</v>
      </c>
      <c r="Y356" s="81" t="str">
        <f aca="false">R356</f>
        <v>rai oil</v>
      </c>
      <c r="Z356" s="94" t="n">
        <f aca="false">VLOOKUP(Y356,recipe_ingred_list!$D$2:$E$500,2,0)</f>
        <v>165</v>
      </c>
      <c r="AA356" s="61" t="n">
        <f aca="false">K356</f>
        <v>0</v>
      </c>
      <c r="AB356" s="61" t="n">
        <f aca="false">L356</f>
        <v>0</v>
      </c>
      <c r="AC356" s="61" t="n">
        <f aca="false">VLOOKUP(AB356,recipe_ingred_list!$K$2:$M$7,3,0)</f>
        <v>2</v>
      </c>
      <c r="AD356" s="61" t="n">
        <f aca="false">M356</f>
        <v>1.25</v>
      </c>
      <c r="AE356" s="61" t="str">
        <f aca="false">N356</f>
        <v>ltr</v>
      </c>
      <c r="AF356" s="61" t="n">
        <f aca="false">VLOOKUP(AE356,recipe_ingred_list!$K$16:$M$25,3,0)</f>
        <v>1</v>
      </c>
      <c r="AG356" s="61" t="n">
        <f aca="false">O356</f>
        <v>0</v>
      </c>
      <c r="AH356" s="61" t="n">
        <f aca="false">P356</f>
        <v>0</v>
      </c>
      <c r="AI356" s="61" t="n">
        <f aca="false">VLOOKUP(AH356,recipe_ingred_list!$K$29:$M$34,3,0)</f>
        <v>3</v>
      </c>
      <c r="AJ356" s="61" t="str">
        <f aca="false">IF(Q356="","",Q356)</f>
        <v/>
      </c>
      <c r="AK356" s="61" t="n">
        <f aca="false">AK355+1</f>
        <v>356</v>
      </c>
      <c r="AL356" s="61" t="str">
        <f aca="false">Y356</f>
        <v>rai oil</v>
      </c>
      <c r="AM356" s="81" t="str">
        <f aca="false">"a = Client().post('"&amp;W356&amp;"', {'recipe' : '"&amp;V356&amp;"', 'ingredient' : '"&amp;Z356&amp;"', 'name' : '"&amp;X356&amp;"', 'mass_unit' : '"&amp;AC356&amp;"', 'mass_quantity' : '"&amp;ROUND(AA356,3)&amp;"', 'volume_unit' : '"&amp;AF356&amp;"', 'volume_quantity' : '"&amp;ROUND(AD356,3)&amp;"', 'pieces_unit' : '"&amp;AI356&amp;"', 'pieces_quantity' : '"&amp;ROUND(AG356,3)&amp;"', 'cooking_notes' : '"&amp;AJ356&amp;"'}).status_code; print('%s :: %s :: %s :: %s :: %s' %(a,"&amp;G356&amp;",'"&amp;X356&amp;"','"&amp;Y356&amp;"','"&amp;U356&amp;"'))"</f>
        <v>a = Client().post('/recipes/red-sak-badi/detail/', {'recipe' : '66', 'ingredient' : '165', 'name' : 'Rai tel', 'mass_unit' : '2', 'mass_quantity' : '0', 'volume_unit' : '1', 'volume_quantity' : '1.25', 'pieces_unit' : '3', 'pieces_quantity' : '0', 'cooking_notes' : ''}).status_code; print('%s :: %s :: %s :: %s :: %s' %(a,356,'Rai tel','rai oil','Red Sak Badi'))</v>
      </c>
    </row>
    <row r="357" customFormat="false" ht="13.8" hidden="false" customHeight="false" outlineLevel="0" collapsed="false">
      <c r="G357" s="80" t="n">
        <v>357</v>
      </c>
      <c r="I357" s="82" t="s">
        <v>307</v>
      </c>
      <c r="J357" s="83" t="s">
        <v>625</v>
      </c>
      <c r="M357" s="61" t="n">
        <v>0.8</v>
      </c>
      <c r="N357" s="61" t="s">
        <v>20</v>
      </c>
      <c r="R357" s="82" t="str">
        <f aca="false">VLOOKUP(J357,ingredient!$N$4:$O$553,2,0)</f>
        <v>kalo jeera</v>
      </c>
      <c r="U357" s="81" t="str">
        <f aca="false">I357</f>
        <v>Red Sak Badi</v>
      </c>
      <c r="V357" s="81" t="n">
        <f aca="false">VLOOKUP(U357,recipe_ingred_list!$A$2:$B$300,2,0)</f>
        <v>66</v>
      </c>
      <c r="W357" s="81" t="str">
        <f aca="false">"/recipes/"&amp;VLOOKUP(U357,recipe_ingred_list!$A$2:$C$300,3,0)&amp;"/detail/"</f>
        <v>/recipes/red-sak-badi/detail/</v>
      </c>
      <c r="X357" s="81" t="str">
        <f aca="false">J357</f>
        <v>Kalo jeera</v>
      </c>
      <c r="Y357" s="81" t="str">
        <f aca="false">R357</f>
        <v>kalo jeera</v>
      </c>
      <c r="Z357" s="94" t="n">
        <f aca="false">VLOOKUP(Y357,recipe_ingred_list!$D$2:$E$500,2,0)</f>
        <v>114</v>
      </c>
      <c r="AA357" s="61" t="n">
        <f aca="false">K357</f>
        <v>0</v>
      </c>
      <c r="AB357" s="61" t="n">
        <f aca="false">L357</f>
        <v>0</v>
      </c>
      <c r="AC357" s="61" t="n">
        <f aca="false">VLOOKUP(AB357,recipe_ingred_list!$K$2:$M$7,3,0)</f>
        <v>2</v>
      </c>
      <c r="AD357" s="61" t="n">
        <f aca="false">M357</f>
        <v>0.8</v>
      </c>
      <c r="AE357" s="61" t="str">
        <f aca="false">N357</f>
        <v>cup</v>
      </c>
      <c r="AF357" s="61" t="n">
        <f aca="false">VLOOKUP(AE357,recipe_ingred_list!$K$16:$M$25,3,0)</f>
        <v>5</v>
      </c>
      <c r="AG357" s="61" t="n">
        <f aca="false">O357</f>
        <v>0</v>
      </c>
      <c r="AH357" s="61" t="n">
        <f aca="false">P357</f>
        <v>0</v>
      </c>
      <c r="AI357" s="61" t="n">
        <f aca="false">VLOOKUP(AH357,recipe_ingred_list!$K$29:$M$34,3,0)</f>
        <v>3</v>
      </c>
      <c r="AJ357" s="61" t="str">
        <f aca="false">IF(Q357="","",Q357)</f>
        <v/>
      </c>
      <c r="AK357" s="61" t="n">
        <f aca="false">AK356+1</f>
        <v>357</v>
      </c>
      <c r="AL357" s="61" t="str">
        <f aca="false">Y357</f>
        <v>kalo jeera</v>
      </c>
      <c r="AM357" s="81" t="str">
        <f aca="false">"a = Client().post('"&amp;W357&amp;"', {'recipe' : '"&amp;V357&amp;"', 'ingredient' : '"&amp;Z357&amp;"', 'name' : '"&amp;X357&amp;"', 'mass_unit' : '"&amp;AC357&amp;"', 'mass_quantity' : '"&amp;ROUND(AA357,3)&amp;"', 'volume_unit' : '"&amp;AF357&amp;"', 'volume_quantity' : '"&amp;ROUND(AD357,3)&amp;"', 'pieces_unit' : '"&amp;AI357&amp;"', 'pieces_quantity' : '"&amp;ROUND(AG357,3)&amp;"', 'cooking_notes' : '"&amp;AJ357&amp;"'}).status_code; print('%s :: %s :: %s :: %s :: %s' %(a,"&amp;G357&amp;",'"&amp;X357&amp;"','"&amp;Y357&amp;"','"&amp;U357&amp;"'))"</f>
        <v>a = Client().post('/recipes/red-sak-badi/detail/', {'recipe' : '66', 'ingredient' : '114', 'name' : 'Kalo jeera', 'mass_unit' : '2', 'mass_quantity' : '0', 'volume_unit' : '5', 'volume_quantity' : '0.8', 'pieces_unit' : '3', 'pieces_quantity' : '0', 'cooking_notes' : ''}).status_code; print('%s :: %s :: %s :: %s :: %s' %(a,357,'Kalo jeera','kalo jeera','Red Sak Badi'))</v>
      </c>
    </row>
    <row r="358" customFormat="false" ht="13.8" hidden="false" customHeight="false" outlineLevel="0" collapsed="false">
      <c r="G358" s="80" t="n">
        <v>358</v>
      </c>
      <c r="I358" s="82" t="s">
        <v>307</v>
      </c>
      <c r="J358" s="83" t="s">
        <v>37</v>
      </c>
      <c r="M358" s="61" t="n">
        <v>1</v>
      </c>
      <c r="N358" s="61" t="s">
        <v>20</v>
      </c>
      <c r="R358" s="82" t="str">
        <f aca="false">VLOOKUP(J358,ingredient!$N$4:$O$553,2,0)</f>
        <v>tej patta</v>
      </c>
      <c r="U358" s="81" t="str">
        <f aca="false">I358</f>
        <v>Red Sak Badi</v>
      </c>
      <c r="V358" s="81" t="n">
        <f aca="false">VLOOKUP(U358,recipe_ingred_list!$A$2:$B$300,2,0)</f>
        <v>66</v>
      </c>
      <c r="W358" s="81" t="str">
        <f aca="false">"/recipes/"&amp;VLOOKUP(U358,recipe_ingred_list!$A$2:$C$300,3,0)&amp;"/detail/"</f>
        <v>/recipes/red-sak-badi/detail/</v>
      </c>
      <c r="X358" s="81" t="str">
        <f aca="false">J358</f>
        <v>Tejpatta</v>
      </c>
      <c r="Y358" s="81" t="str">
        <f aca="false">R358</f>
        <v>tej patta</v>
      </c>
      <c r="Z358" s="94" t="n">
        <f aca="false">VLOOKUP(Y358,recipe_ingred_list!$D$2:$E$500,2,0)</f>
        <v>191</v>
      </c>
      <c r="AA358" s="61" t="n">
        <f aca="false">K358</f>
        <v>0</v>
      </c>
      <c r="AB358" s="61" t="n">
        <f aca="false">L358</f>
        <v>0</v>
      </c>
      <c r="AC358" s="61" t="n">
        <f aca="false">VLOOKUP(AB358,recipe_ingred_list!$K$2:$M$7,3,0)</f>
        <v>2</v>
      </c>
      <c r="AD358" s="61" t="n">
        <f aca="false">M358</f>
        <v>1</v>
      </c>
      <c r="AE358" s="61" t="str">
        <f aca="false">N358</f>
        <v>cup</v>
      </c>
      <c r="AF358" s="61" t="n">
        <f aca="false">VLOOKUP(AE358,recipe_ingred_list!$K$16:$M$25,3,0)</f>
        <v>5</v>
      </c>
      <c r="AG358" s="61" t="n">
        <f aca="false">O358</f>
        <v>0</v>
      </c>
      <c r="AH358" s="61" t="n">
        <f aca="false">P358</f>
        <v>0</v>
      </c>
      <c r="AI358" s="61" t="n">
        <f aca="false">VLOOKUP(AH358,recipe_ingred_list!$K$29:$M$34,3,0)</f>
        <v>3</v>
      </c>
      <c r="AJ358" s="61" t="str">
        <f aca="false">IF(Q358="","",Q358)</f>
        <v/>
      </c>
      <c r="AK358" s="61" t="n">
        <f aca="false">AK357+1</f>
        <v>358</v>
      </c>
      <c r="AL358" s="61" t="str">
        <f aca="false">Y358</f>
        <v>tej patta</v>
      </c>
      <c r="AM358" s="81" t="str">
        <f aca="false">"a = Client().post('"&amp;W358&amp;"', {'recipe' : '"&amp;V358&amp;"', 'ingredient' : '"&amp;Z358&amp;"', 'name' : '"&amp;X358&amp;"', 'mass_unit' : '"&amp;AC358&amp;"', 'mass_quantity' : '"&amp;ROUND(AA358,3)&amp;"', 'volume_unit' : '"&amp;AF358&amp;"', 'volume_quantity' : '"&amp;ROUND(AD358,3)&amp;"', 'pieces_unit' : '"&amp;AI358&amp;"', 'pieces_quantity' : '"&amp;ROUND(AG358,3)&amp;"', 'cooking_notes' : '"&amp;AJ358&amp;"'}).status_code; print('%s :: %s :: %s :: %s :: %s' %(a,"&amp;G358&amp;",'"&amp;X358&amp;"','"&amp;Y358&amp;"','"&amp;U358&amp;"'))"</f>
        <v>a = Client().post('/recipes/red-sak-badi/detail/', {'recipe' : '66', 'ingredient' : '191', 'name' : 'Tejpatta', 'mass_unit' : '2', 'mass_quantity' : '0', 'volume_unit' : '5', 'volume_quantity' : '1', 'pieces_unit' : '3', 'pieces_quantity' : '0', 'cooking_notes' : ''}).status_code; print('%s :: %s :: %s :: %s :: %s' %(a,358,'Tejpatta','tej patta','Red Sak Badi'))</v>
      </c>
    </row>
    <row r="359" customFormat="false" ht="13.8" hidden="false" customHeight="false" outlineLevel="0" collapsed="false">
      <c r="G359" s="80" t="n">
        <v>359</v>
      </c>
      <c r="I359" s="82" t="s">
        <v>307</v>
      </c>
      <c r="J359" s="83" t="s">
        <v>18</v>
      </c>
      <c r="M359" s="61" t="n">
        <v>0.5</v>
      </c>
      <c r="N359" s="61" t="s">
        <v>13</v>
      </c>
      <c r="R359" s="82" t="str">
        <f aca="false">VLOOKUP(J359,ingredient!$N$4:$O$553,2,0)</f>
        <v>adrak</v>
      </c>
      <c r="U359" s="81" t="str">
        <f aca="false">I359</f>
        <v>Red Sak Badi</v>
      </c>
      <c r="V359" s="81" t="n">
        <f aca="false">VLOOKUP(U359,recipe_ingred_list!$A$2:$B$300,2,0)</f>
        <v>66</v>
      </c>
      <c r="W359" s="81" t="str">
        <f aca="false">"/recipes/"&amp;VLOOKUP(U359,recipe_ingred_list!$A$2:$C$300,3,0)&amp;"/detail/"</f>
        <v>/recipes/red-sak-badi/detail/</v>
      </c>
      <c r="X359" s="81" t="str">
        <f aca="false">J359</f>
        <v>Adrak paste</v>
      </c>
      <c r="Y359" s="81" t="str">
        <f aca="false">R359</f>
        <v>adrak</v>
      </c>
      <c r="Z359" s="94" t="n">
        <f aca="false">VLOOKUP(Y359,recipe_ingred_list!$D$2:$E$500,2,0)</f>
        <v>1</v>
      </c>
      <c r="AA359" s="61" t="n">
        <f aca="false">K359</f>
        <v>0</v>
      </c>
      <c r="AB359" s="61" t="n">
        <f aca="false">L359</f>
        <v>0</v>
      </c>
      <c r="AC359" s="61" t="n">
        <f aca="false">VLOOKUP(AB359,recipe_ingred_list!$K$2:$M$7,3,0)</f>
        <v>2</v>
      </c>
      <c r="AD359" s="61" t="n">
        <f aca="false">M359</f>
        <v>0.5</v>
      </c>
      <c r="AE359" s="61" t="str">
        <f aca="false">N359</f>
        <v>ltr</v>
      </c>
      <c r="AF359" s="61" t="n">
        <f aca="false">VLOOKUP(AE359,recipe_ingred_list!$K$16:$M$25,3,0)</f>
        <v>1</v>
      </c>
      <c r="AG359" s="61" t="n">
        <f aca="false">O359</f>
        <v>0</v>
      </c>
      <c r="AH359" s="61" t="n">
        <f aca="false">P359</f>
        <v>0</v>
      </c>
      <c r="AI359" s="61" t="n">
        <f aca="false">VLOOKUP(AH359,recipe_ingred_list!$K$29:$M$34,3,0)</f>
        <v>3</v>
      </c>
      <c r="AJ359" s="61" t="str">
        <f aca="false">IF(Q359="","",Q359)</f>
        <v/>
      </c>
      <c r="AK359" s="61" t="n">
        <f aca="false">AK358+1</f>
        <v>359</v>
      </c>
      <c r="AL359" s="61" t="str">
        <f aca="false">Y359</f>
        <v>adrak</v>
      </c>
      <c r="AM359" s="81" t="str">
        <f aca="false">"a = Client().post('"&amp;W359&amp;"', {'recipe' : '"&amp;V359&amp;"', 'ingredient' : '"&amp;Z359&amp;"', 'name' : '"&amp;X359&amp;"', 'mass_unit' : '"&amp;AC359&amp;"', 'mass_quantity' : '"&amp;ROUND(AA359,3)&amp;"', 'volume_unit' : '"&amp;AF359&amp;"', 'volume_quantity' : '"&amp;ROUND(AD359,3)&amp;"', 'pieces_unit' : '"&amp;AI359&amp;"', 'pieces_quantity' : '"&amp;ROUND(AG359,3)&amp;"', 'cooking_notes' : '"&amp;AJ359&amp;"'}).status_code; print('%s :: %s :: %s :: %s :: %s' %(a,"&amp;G359&amp;",'"&amp;X359&amp;"','"&amp;Y359&amp;"','"&amp;U359&amp;"'))"</f>
        <v>a = Client().post('/recipes/red-sak-badi/detail/', {'recipe' : '66', 'ingredient' : '1', 'name' : 'Adrak paste', 'mass_unit' : '2', 'mass_quantity' : '0', 'volume_unit' : '1', 'volume_quantity' : '0.5', 'pieces_unit' : '3', 'pieces_quantity' : '0', 'cooking_notes' : ''}).status_code; print('%s :: %s :: %s :: %s :: %s' %(a,359,'Adrak paste','adrak','Red Sak Badi'))</v>
      </c>
    </row>
    <row r="360" customFormat="false" ht="14.9" hidden="false" customHeight="false" outlineLevel="0" collapsed="false">
      <c r="G360" s="80" t="n">
        <v>360</v>
      </c>
      <c r="I360" s="82" t="s">
        <v>307</v>
      </c>
      <c r="J360" s="83" t="s">
        <v>526</v>
      </c>
      <c r="M360" s="61" t="n">
        <v>2</v>
      </c>
      <c r="N360" s="61" t="s">
        <v>20</v>
      </c>
      <c r="Q360" s="84" t="s">
        <v>538</v>
      </c>
      <c r="R360" s="82" t="str">
        <f aca="false">VLOOKUP(J360,ingredient!$N$4:$O$553,2,0)</f>
        <v>hari mirchi</v>
      </c>
      <c r="U360" s="81" t="str">
        <f aca="false">I360</f>
        <v>Red Sak Badi</v>
      </c>
      <c r="V360" s="81" t="n">
        <f aca="false">VLOOKUP(U360,recipe_ingred_list!$A$2:$B$300,2,0)</f>
        <v>66</v>
      </c>
      <c r="W360" s="81" t="str">
        <f aca="false">"/recipes/"&amp;VLOOKUP(U360,recipe_ingred_list!$A$2:$C$300,3,0)&amp;"/detail/"</f>
        <v>/recipes/red-sak-badi/detail/</v>
      </c>
      <c r="X360" s="81" t="str">
        <f aca="false">J360</f>
        <v>Hari mirchi</v>
      </c>
      <c r="Y360" s="81" t="str">
        <f aca="false">R360</f>
        <v>hari mirchi</v>
      </c>
      <c r="Z360" s="94" t="n">
        <f aca="false">VLOOKUP(Y360,recipe_ingred_list!$D$2:$E$500,2,0)</f>
        <v>93</v>
      </c>
      <c r="AA360" s="61" t="n">
        <f aca="false">K360</f>
        <v>0</v>
      </c>
      <c r="AB360" s="61" t="n">
        <f aca="false">L360</f>
        <v>0</v>
      </c>
      <c r="AC360" s="61" t="n">
        <f aca="false">VLOOKUP(AB360,recipe_ingred_list!$K$2:$M$7,3,0)</f>
        <v>2</v>
      </c>
      <c r="AD360" s="61" t="n">
        <f aca="false">M360</f>
        <v>2</v>
      </c>
      <c r="AE360" s="61" t="str">
        <f aca="false">N360</f>
        <v>cup</v>
      </c>
      <c r="AF360" s="61" t="n">
        <f aca="false">VLOOKUP(AE360,recipe_ingred_list!$K$16:$M$25,3,0)</f>
        <v>5</v>
      </c>
      <c r="AG360" s="61" t="n">
        <f aca="false">O360</f>
        <v>0</v>
      </c>
      <c r="AH360" s="61" t="n">
        <f aca="false">P360</f>
        <v>0</v>
      </c>
      <c r="AI360" s="61" t="n">
        <f aca="false">VLOOKUP(AH360,recipe_ingred_list!$K$29:$M$34,3,0)</f>
        <v>3</v>
      </c>
      <c r="AJ360" s="61" t="str">
        <f aca="false">IF(Q360="","",Q360)</f>
        <v>fine chopped</v>
      </c>
      <c r="AK360" s="61" t="n">
        <f aca="false">AK359+1</f>
        <v>360</v>
      </c>
      <c r="AL360" s="61" t="str">
        <f aca="false">Y360</f>
        <v>hari mirchi</v>
      </c>
      <c r="AM360" s="81" t="str">
        <f aca="false">"a = Client().post('"&amp;W360&amp;"', {'recipe' : '"&amp;V360&amp;"', 'ingredient' : '"&amp;Z360&amp;"', 'name' : '"&amp;X360&amp;"', 'mass_unit' : '"&amp;AC360&amp;"', 'mass_quantity' : '"&amp;ROUND(AA360,3)&amp;"', 'volume_unit' : '"&amp;AF360&amp;"', 'volume_quantity' : '"&amp;ROUND(AD360,3)&amp;"', 'pieces_unit' : '"&amp;AI360&amp;"', 'pieces_quantity' : '"&amp;ROUND(AG360,3)&amp;"', 'cooking_notes' : '"&amp;AJ360&amp;"'}).status_code; print('%s :: %s :: %s :: %s :: %s' %(a,"&amp;G360&amp;",'"&amp;X360&amp;"','"&amp;Y360&amp;"','"&amp;U360&amp;"'))"</f>
        <v>a = Client().post('/recipes/red-sak-badi/detail/', {'recipe' : '66', 'ingredient' : '93', 'name' : 'Hari mirchi', 'mass_unit' : '2', 'mass_quantity' : '0', 'volume_unit' : '5', 'volume_quantity' : '2', 'pieces_unit' : '3', 'pieces_quantity' : '0', 'cooking_notes' : 'fine chopped'}).status_code; print('%s :: %s :: %s :: %s :: %s' %(a,360,'Hari mirchi','hari mirchi','Red Sak Badi'))</v>
      </c>
    </row>
    <row r="361" customFormat="false" ht="13.8" hidden="false" customHeight="false" outlineLevel="0" collapsed="false">
      <c r="G361" s="80" t="n">
        <v>361</v>
      </c>
      <c r="I361" s="82" t="s">
        <v>307</v>
      </c>
      <c r="J361" s="83" t="s">
        <v>32</v>
      </c>
      <c r="M361" s="61" t="n">
        <v>0.8</v>
      </c>
      <c r="N361" s="61" t="s">
        <v>20</v>
      </c>
      <c r="R361" s="82" t="str">
        <f aca="false">VLOOKUP(J361,ingredient!$N$4:$O$553,2,0)</f>
        <v>salt</v>
      </c>
      <c r="U361" s="81" t="str">
        <f aca="false">I361</f>
        <v>Red Sak Badi</v>
      </c>
      <c r="V361" s="81" t="n">
        <f aca="false">VLOOKUP(U361,recipe_ingred_list!$A$2:$B$300,2,0)</f>
        <v>66</v>
      </c>
      <c r="W361" s="81" t="str">
        <f aca="false">"/recipes/"&amp;VLOOKUP(U361,recipe_ingred_list!$A$2:$C$300,3,0)&amp;"/detail/"</f>
        <v>/recipes/red-sak-badi/detail/</v>
      </c>
      <c r="X361" s="81" t="str">
        <f aca="false">J361</f>
        <v>Salt</v>
      </c>
      <c r="Y361" s="81" t="str">
        <f aca="false">R361</f>
        <v>salt</v>
      </c>
      <c r="Z361" s="94" t="n">
        <f aca="false">VLOOKUP(Y361,recipe_ingred_list!$D$2:$E$500,2,0)</f>
        <v>177</v>
      </c>
      <c r="AA361" s="61" t="n">
        <f aca="false">K361</f>
        <v>0</v>
      </c>
      <c r="AB361" s="61" t="n">
        <f aca="false">L361</f>
        <v>0</v>
      </c>
      <c r="AC361" s="61" t="n">
        <f aca="false">VLOOKUP(AB361,recipe_ingred_list!$K$2:$M$7,3,0)</f>
        <v>2</v>
      </c>
      <c r="AD361" s="61" t="n">
        <f aca="false">M361</f>
        <v>0.8</v>
      </c>
      <c r="AE361" s="61" t="str">
        <f aca="false">N361</f>
        <v>cup</v>
      </c>
      <c r="AF361" s="61" t="n">
        <f aca="false">VLOOKUP(AE361,recipe_ingred_list!$K$16:$M$25,3,0)</f>
        <v>5</v>
      </c>
      <c r="AG361" s="61" t="n">
        <f aca="false">O361</f>
        <v>0</v>
      </c>
      <c r="AH361" s="61" t="n">
        <f aca="false">P361</f>
        <v>0</v>
      </c>
      <c r="AI361" s="61" t="n">
        <f aca="false">VLOOKUP(AH361,recipe_ingred_list!$K$29:$M$34,3,0)</f>
        <v>3</v>
      </c>
      <c r="AJ361" s="61" t="str">
        <f aca="false">IF(Q361="","",Q361)</f>
        <v/>
      </c>
      <c r="AK361" s="61" t="n">
        <f aca="false">AK360+1</f>
        <v>361</v>
      </c>
      <c r="AL361" s="61" t="str">
        <f aca="false">Y361</f>
        <v>salt</v>
      </c>
      <c r="AM361" s="81" t="str">
        <f aca="false">"a = Client().post('"&amp;W361&amp;"', {'recipe' : '"&amp;V361&amp;"', 'ingredient' : '"&amp;Z361&amp;"', 'name' : '"&amp;X361&amp;"', 'mass_unit' : '"&amp;AC361&amp;"', 'mass_quantity' : '"&amp;ROUND(AA361,3)&amp;"', 'volume_unit' : '"&amp;AF361&amp;"', 'volume_quantity' : '"&amp;ROUND(AD361,3)&amp;"', 'pieces_unit' : '"&amp;AI361&amp;"', 'pieces_quantity' : '"&amp;ROUND(AG361,3)&amp;"', 'cooking_notes' : '"&amp;AJ361&amp;"'}).status_code; print('%s :: %s :: %s :: %s :: %s' %(a,"&amp;G361&amp;",'"&amp;X361&amp;"','"&amp;Y361&amp;"','"&amp;U361&amp;"'))"</f>
        <v>a = Client().post('/recipes/red-sak-badi/detail/', {'recipe' : '66', 'ingredient' : '177', 'name' : 'Salt', 'mass_unit' : '2', 'mass_quantity' : '0', 'volume_unit' : '5', 'volume_quantity' : '0.8', 'pieces_unit' : '3', 'pieces_quantity' : '0', 'cooking_notes' : ''}).status_code; print('%s :: %s :: %s :: %s :: %s' %(a,361,'Salt','salt','Red Sak Badi'))</v>
      </c>
    </row>
    <row r="362" customFormat="false" ht="13.8" hidden="false" customHeight="false" outlineLevel="0" collapsed="false">
      <c r="G362" s="80" t="n">
        <v>362</v>
      </c>
      <c r="I362" s="82" t="s">
        <v>307</v>
      </c>
      <c r="J362" s="83" t="s">
        <v>564</v>
      </c>
      <c r="M362" s="61" t="n">
        <v>0.5</v>
      </c>
      <c r="N362" s="61" t="s">
        <v>20</v>
      </c>
      <c r="R362" s="82" t="str">
        <f aca="false">VLOOKUP(J362,ingredient!$N$4:$O$553,2,0)</f>
        <v>haldi</v>
      </c>
      <c r="U362" s="81" t="str">
        <f aca="false">I362</f>
        <v>Red Sak Badi</v>
      </c>
      <c r="V362" s="81" t="n">
        <f aca="false">VLOOKUP(U362,recipe_ingred_list!$A$2:$B$300,2,0)</f>
        <v>66</v>
      </c>
      <c r="W362" s="81" t="str">
        <f aca="false">"/recipes/"&amp;VLOOKUP(U362,recipe_ingred_list!$A$2:$C$300,3,0)&amp;"/detail/"</f>
        <v>/recipes/red-sak-badi/detail/</v>
      </c>
      <c r="X362" s="81" t="str">
        <f aca="false">J362</f>
        <v>Haldi</v>
      </c>
      <c r="Y362" s="81" t="str">
        <f aca="false">R362</f>
        <v>haldi</v>
      </c>
      <c r="Z362" s="94" t="n">
        <f aca="false">VLOOKUP(Y362,recipe_ingred_list!$D$2:$E$500,2,0)</f>
        <v>91</v>
      </c>
      <c r="AA362" s="61" t="n">
        <f aca="false">K362</f>
        <v>0</v>
      </c>
      <c r="AB362" s="61" t="n">
        <f aca="false">L362</f>
        <v>0</v>
      </c>
      <c r="AC362" s="61" t="n">
        <f aca="false">VLOOKUP(AB362,recipe_ingred_list!$K$2:$M$7,3,0)</f>
        <v>2</v>
      </c>
      <c r="AD362" s="61" t="n">
        <f aca="false">M362</f>
        <v>0.5</v>
      </c>
      <c r="AE362" s="61" t="str">
        <f aca="false">N362</f>
        <v>cup</v>
      </c>
      <c r="AF362" s="61" t="n">
        <f aca="false">VLOOKUP(AE362,recipe_ingred_list!$K$16:$M$25,3,0)</f>
        <v>5</v>
      </c>
      <c r="AG362" s="61" t="n">
        <f aca="false">O362</f>
        <v>0</v>
      </c>
      <c r="AH362" s="61" t="n">
        <f aca="false">P362</f>
        <v>0</v>
      </c>
      <c r="AI362" s="61" t="n">
        <f aca="false">VLOOKUP(AH362,recipe_ingred_list!$K$29:$M$34,3,0)</f>
        <v>3</v>
      </c>
      <c r="AJ362" s="61" t="str">
        <f aca="false">IF(Q362="","",Q362)</f>
        <v/>
      </c>
      <c r="AK362" s="61" t="n">
        <f aca="false">AK361+1</f>
        <v>362</v>
      </c>
      <c r="AL362" s="61" t="str">
        <f aca="false">Y362</f>
        <v>haldi</v>
      </c>
      <c r="AM362" s="81" t="str">
        <f aca="false">"a = Client().post('"&amp;W362&amp;"', {'recipe' : '"&amp;V362&amp;"', 'ingredient' : '"&amp;Z362&amp;"', 'name' : '"&amp;X362&amp;"', 'mass_unit' : '"&amp;AC362&amp;"', 'mass_quantity' : '"&amp;ROUND(AA362,3)&amp;"', 'volume_unit' : '"&amp;AF362&amp;"', 'volume_quantity' : '"&amp;ROUND(AD362,3)&amp;"', 'pieces_unit' : '"&amp;AI362&amp;"', 'pieces_quantity' : '"&amp;ROUND(AG362,3)&amp;"', 'cooking_notes' : '"&amp;AJ362&amp;"'}).status_code; print('%s :: %s :: %s :: %s :: %s' %(a,"&amp;G362&amp;",'"&amp;X362&amp;"','"&amp;Y362&amp;"','"&amp;U362&amp;"'))"</f>
        <v>a = Client().post('/recipes/red-sak-badi/detail/', {'recipe' : '66', 'ingredient' : '91', 'name' : 'Haldi', 'mass_unit' : '2', 'mass_quantity' : '0', 'volume_unit' : '5', 'volume_quantity' : '0.5', 'pieces_unit' : '3', 'pieces_quantity' : '0', 'cooking_notes' : ''}).status_code; print('%s :: %s :: %s :: %s :: %s' %(a,362,'Haldi','haldi','Red Sak Badi'))</v>
      </c>
    </row>
    <row r="363" customFormat="false" ht="13.8" hidden="false" customHeight="false" outlineLevel="0" collapsed="false">
      <c r="G363" s="80" t="n">
        <v>363</v>
      </c>
      <c r="I363" s="82" t="s">
        <v>307</v>
      </c>
      <c r="J363" s="83" t="s">
        <v>626</v>
      </c>
      <c r="M363" s="61" t="n">
        <v>0.75</v>
      </c>
      <c r="N363" s="61" t="s">
        <v>13</v>
      </c>
      <c r="R363" s="82" t="str">
        <f aca="false">VLOOKUP(J363,ingredient!$N$4:$O$553,2,0)</f>
        <v>Moong badi</v>
      </c>
      <c r="U363" s="81" t="str">
        <f aca="false">I363</f>
        <v>Red Sak Badi</v>
      </c>
      <c r="V363" s="81" t="n">
        <f aca="false">VLOOKUP(U363,recipe_ingred_list!$A$2:$B$300,2,0)</f>
        <v>66</v>
      </c>
      <c r="W363" s="81" t="str">
        <f aca="false">"/recipes/"&amp;VLOOKUP(U363,recipe_ingred_list!$A$2:$C$300,3,0)&amp;"/detail/"</f>
        <v>/recipes/red-sak-badi/detail/</v>
      </c>
      <c r="X363" s="81" t="str">
        <f aca="false">J363</f>
        <v>Badi</v>
      </c>
      <c r="Y363" s="81" t="str">
        <f aca="false">R363</f>
        <v>Moong badi</v>
      </c>
      <c r="Z363" s="94" t="n">
        <f aca="false">VLOOKUP(Y363,recipe_ingred_list!$D$2:$E$500,2,0)</f>
        <v>146</v>
      </c>
      <c r="AA363" s="61" t="n">
        <f aca="false">K363</f>
        <v>0</v>
      </c>
      <c r="AB363" s="61" t="n">
        <f aca="false">L363</f>
        <v>0</v>
      </c>
      <c r="AC363" s="61" t="n">
        <f aca="false">VLOOKUP(AB363,recipe_ingred_list!$K$2:$M$7,3,0)</f>
        <v>2</v>
      </c>
      <c r="AD363" s="61" t="n">
        <f aca="false">M363</f>
        <v>0.75</v>
      </c>
      <c r="AE363" s="61" t="str">
        <f aca="false">N363</f>
        <v>ltr</v>
      </c>
      <c r="AF363" s="61" t="n">
        <f aca="false">VLOOKUP(AE363,recipe_ingred_list!$K$16:$M$25,3,0)</f>
        <v>1</v>
      </c>
      <c r="AG363" s="61" t="n">
        <f aca="false">O363</f>
        <v>0</v>
      </c>
      <c r="AH363" s="61" t="n">
        <f aca="false">P363</f>
        <v>0</v>
      </c>
      <c r="AI363" s="61" t="n">
        <f aca="false">VLOOKUP(AH363,recipe_ingred_list!$K$29:$M$34,3,0)</f>
        <v>3</v>
      </c>
      <c r="AJ363" s="61" t="str">
        <f aca="false">IF(Q363="","",Q363)</f>
        <v/>
      </c>
      <c r="AK363" s="61" t="n">
        <f aca="false">AK362+1</f>
        <v>363</v>
      </c>
      <c r="AL363" s="61" t="str">
        <f aca="false">Y363</f>
        <v>Moong badi</v>
      </c>
      <c r="AM363" s="81" t="str">
        <f aca="false">"a = Client().post('"&amp;W363&amp;"', {'recipe' : '"&amp;V363&amp;"', 'ingredient' : '"&amp;Z363&amp;"', 'name' : '"&amp;X363&amp;"', 'mass_unit' : '"&amp;AC363&amp;"', 'mass_quantity' : '"&amp;ROUND(AA363,3)&amp;"', 'volume_unit' : '"&amp;AF363&amp;"', 'volume_quantity' : '"&amp;ROUND(AD363,3)&amp;"', 'pieces_unit' : '"&amp;AI363&amp;"', 'pieces_quantity' : '"&amp;ROUND(AG363,3)&amp;"', 'cooking_notes' : '"&amp;AJ363&amp;"'}).status_code; print('%s :: %s :: %s :: %s :: %s' %(a,"&amp;G363&amp;",'"&amp;X363&amp;"','"&amp;Y363&amp;"','"&amp;U363&amp;"'))"</f>
        <v>a = Client().post('/recipes/red-sak-badi/detail/', {'recipe' : '66', 'ingredient' : '146', 'name' : 'Badi', 'mass_unit' : '2', 'mass_quantity' : '0', 'volume_unit' : '1', 'volume_quantity' : '0.75', 'pieces_unit' : '3', 'pieces_quantity' : '0', 'cooking_notes' : ''}).status_code; print('%s :: %s :: %s :: %s :: %s' %(a,363,'Badi','Moong badi','Red Sak Badi'))</v>
      </c>
    </row>
    <row r="364" customFormat="false" ht="13.8" hidden="false" customHeight="false" outlineLevel="0" collapsed="false">
      <c r="G364" s="80" t="n">
        <v>364</v>
      </c>
      <c r="H364" s="98"/>
      <c r="I364" s="99" t="s">
        <v>307</v>
      </c>
      <c r="J364" s="79" t="s">
        <v>46</v>
      </c>
      <c r="K364" s="100"/>
      <c r="L364" s="100"/>
      <c r="M364" s="100" t="n">
        <v>10</v>
      </c>
      <c r="N364" s="100" t="s">
        <v>13</v>
      </c>
      <c r="O364" s="101"/>
      <c r="P364" s="100"/>
      <c r="Q364" s="102"/>
      <c r="R364" s="99" t="e">
        <f aca="false">VLOOKUP(J364,ingredient!$N$4:$O$553,2,0)</f>
        <v>#N/A</v>
      </c>
      <c r="S364" s="98"/>
      <c r="T364" s="98"/>
      <c r="U364" s="81" t="str">
        <f aca="false">I364</f>
        <v>Red Sak Badi</v>
      </c>
      <c r="V364" s="81" t="n">
        <f aca="false">VLOOKUP(U364,recipe_ingred_list!$A$2:$B$300,2,0)</f>
        <v>66</v>
      </c>
      <c r="W364" s="81" t="str">
        <f aca="false">"/recipes/"&amp;VLOOKUP(U364,recipe_ingred_list!$A$2:$C$300,3,0)&amp;"/detail/"</f>
        <v>/recipes/red-sak-badi/detail/</v>
      </c>
      <c r="X364" s="81" t="str">
        <f aca="false">J364</f>
        <v>Yield</v>
      </c>
      <c r="Y364" s="81" t="e">
        <f aca="false">R364</f>
        <v>#N/A</v>
      </c>
      <c r="Z364" s="94" t="e">
        <f aca="false">VLOOKUP(Y364,recipe_ingred_list!$D$2:$E$500,2,0)</f>
        <v>#N/A</v>
      </c>
      <c r="AA364" s="61" t="n">
        <f aca="false">K364</f>
        <v>0</v>
      </c>
      <c r="AB364" s="61" t="n">
        <f aca="false">L364</f>
        <v>0</v>
      </c>
      <c r="AC364" s="61" t="n">
        <f aca="false">VLOOKUP(AB364,recipe_ingred_list!$K$2:$M$7,3,0)</f>
        <v>2</v>
      </c>
      <c r="AD364" s="61" t="n">
        <f aca="false">M364</f>
        <v>10</v>
      </c>
      <c r="AE364" s="61" t="str">
        <f aca="false">N364</f>
        <v>ltr</v>
      </c>
      <c r="AF364" s="61" t="n">
        <f aca="false">VLOOKUP(AE364,recipe_ingred_list!$K$16:$M$25,3,0)</f>
        <v>1</v>
      </c>
      <c r="AG364" s="61" t="n">
        <f aca="false">O364</f>
        <v>0</v>
      </c>
      <c r="AH364" s="61" t="n">
        <f aca="false">P364</f>
        <v>0</v>
      </c>
      <c r="AI364" s="61" t="n">
        <f aca="false">VLOOKUP(AH364,recipe_ingred_list!$K$29:$M$34,3,0)</f>
        <v>3</v>
      </c>
      <c r="AJ364" s="61" t="str">
        <f aca="false">IF(Q364="","",Q364)</f>
        <v/>
      </c>
      <c r="AK364" s="61" t="n">
        <f aca="false">AK363+1</f>
        <v>364</v>
      </c>
      <c r="AL364" s="61" t="e">
        <f aca="false">Y364</f>
        <v>#N/A</v>
      </c>
      <c r="AM364" s="81" t="e">
        <f aca="false">"a = Client().post('"&amp;W364&amp;"', {'recipe' : '"&amp;V364&amp;"', 'ingredient' : '"&amp;Z364&amp;"', 'name' : '"&amp;X364&amp;"', 'mass_unit' : '"&amp;AC364&amp;"', 'mass_quantity' : '"&amp;ROUND(AA364,3)&amp;"', 'volume_unit' : '"&amp;AF364&amp;"', 'volume_quantity' : '"&amp;ROUND(AD364,3)&amp;"', 'pieces_unit' : '"&amp;AI364&amp;"', 'pieces_quantity' : '"&amp;ROUND(AG364,3)&amp;"', 'cooking_notes' : '"&amp;AJ364&amp;"'}).status_code; print('%s :: %s :: %s :: %s :: %s' %(a,"&amp;G364&amp;",'"&amp;X364&amp;"','"&amp;Y364&amp;"','"&amp;U364&amp;"'))"</f>
        <v>#N/A</v>
      </c>
    </row>
    <row r="365" customFormat="false" ht="13.8" hidden="false" customHeight="false" outlineLevel="0" collapsed="false">
      <c r="G365" s="80" t="n">
        <v>365</v>
      </c>
      <c r="H365" s="98"/>
      <c r="I365" s="99"/>
      <c r="J365" s="79"/>
      <c r="K365" s="100"/>
      <c r="L365" s="100"/>
      <c r="M365" s="100"/>
      <c r="N365" s="100"/>
      <c r="O365" s="101"/>
      <c r="P365" s="100"/>
      <c r="Q365" s="102"/>
      <c r="R365" s="99" t="e">
        <f aca="false">VLOOKUP(J365,ingredient!$N$4:$O$553,2,0)</f>
        <v>#N/A</v>
      </c>
      <c r="S365" s="98"/>
      <c r="T365" s="98"/>
      <c r="U365" s="81" t="n">
        <f aca="false">I365</f>
        <v>0</v>
      </c>
      <c r="V365" s="81" t="e">
        <f aca="false">VLOOKUP(U365,recipe_ingred_list!$A$2:$B$300,2,0)</f>
        <v>#N/A</v>
      </c>
      <c r="W365" s="81" t="e">
        <f aca="false">"/recipes/"&amp;VLOOKUP(U365,recipe_ingred_list!$A$2:$C$300,3,0)&amp;"/detail/"</f>
        <v>#N/A</v>
      </c>
      <c r="X365" s="81" t="n">
        <f aca="false">J365</f>
        <v>0</v>
      </c>
      <c r="Y365" s="81" t="e">
        <f aca="false">R365</f>
        <v>#N/A</v>
      </c>
      <c r="Z365" s="94" t="e">
        <f aca="false">VLOOKUP(Y365,recipe_ingred_list!$D$2:$E$500,2,0)</f>
        <v>#N/A</v>
      </c>
      <c r="AA365" s="61" t="n">
        <f aca="false">K365</f>
        <v>0</v>
      </c>
      <c r="AB365" s="61" t="n">
        <f aca="false">L365</f>
        <v>0</v>
      </c>
      <c r="AC365" s="61" t="n">
        <f aca="false">VLOOKUP(AB365,recipe_ingred_list!$K$2:$M$7,3,0)</f>
        <v>2</v>
      </c>
      <c r="AD365" s="61" t="n">
        <f aca="false">M365</f>
        <v>0</v>
      </c>
      <c r="AE365" s="61" t="n">
        <f aca="false">N365</f>
        <v>0</v>
      </c>
      <c r="AF365" s="61" t="n">
        <f aca="false">VLOOKUP(AE365,recipe_ingred_list!$K$16:$M$25,3,0)</f>
        <v>1</v>
      </c>
      <c r="AG365" s="61" t="n">
        <f aca="false">O365</f>
        <v>0</v>
      </c>
      <c r="AH365" s="61" t="n">
        <f aca="false">P365</f>
        <v>0</v>
      </c>
      <c r="AI365" s="61" t="n">
        <f aca="false">VLOOKUP(AH365,recipe_ingred_list!$K$29:$M$34,3,0)</f>
        <v>3</v>
      </c>
      <c r="AJ365" s="61" t="str">
        <f aca="false">IF(Q365="","",Q365)</f>
        <v/>
      </c>
      <c r="AK365" s="61" t="n">
        <f aca="false">AK364+1</f>
        <v>365</v>
      </c>
      <c r="AL365" s="61" t="e">
        <f aca="false">Y365</f>
        <v>#N/A</v>
      </c>
      <c r="AM365" s="81" t="e">
        <f aca="false">"a = Client().post('"&amp;W365&amp;"', {'recipe' : '"&amp;V365&amp;"', 'ingredient' : '"&amp;Z365&amp;"', 'name' : '"&amp;X365&amp;"', 'mass_unit' : '"&amp;AC365&amp;"', 'mass_quantity' : '"&amp;ROUND(AA365,3)&amp;"', 'volume_unit' : '"&amp;AF365&amp;"', 'volume_quantity' : '"&amp;ROUND(AD365,3)&amp;"', 'pieces_unit' : '"&amp;AI365&amp;"', 'pieces_quantity' : '"&amp;ROUND(AG365,3)&amp;"', 'cooking_notes' : '"&amp;AJ365&amp;"'}).status_code; print('%s :: %s :: %s :: %s :: %s' %(a,"&amp;G365&amp;",'"&amp;X365&amp;"','"&amp;Y365&amp;"','"&amp;U365&amp;"'))"</f>
        <v>#N/A</v>
      </c>
    </row>
    <row r="366" customFormat="false" ht="13.8" hidden="false" customHeight="false" outlineLevel="0" collapsed="false">
      <c r="G366" s="80" t="n">
        <v>366</v>
      </c>
      <c r="H366" s="98"/>
      <c r="I366" s="99"/>
      <c r="J366" s="79"/>
      <c r="K366" s="100"/>
      <c r="L366" s="100"/>
      <c r="M366" s="100"/>
      <c r="N366" s="100"/>
      <c r="O366" s="101"/>
      <c r="P366" s="100"/>
      <c r="Q366" s="102"/>
      <c r="R366" s="99" t="e">
        <f aca="false">VLOOKUP(J366,ingredient!$N$4:$O$553,2,0)</f>
        <v>#N/A</v>
      </c>
      <c r="S366" s="98"/>
      <c r="T366" s="98"/>
      <c r="U366" s="81" t="n">
        <f aca="false">I366</f>
        <v>0</v>
      </c>
      <c r="V366" s="81" t="e">
        <f aca="false">VLOOKUP(U366,recipe_ingred_list!$A$2:$B$300,2,0)</f>
        <v>#N/A</v>
      </c>
      <c r="W366" s="81" t="e">
        <f aca="false">"/recipes/"&amp;VLOOKUP(U366,recipe_ingred_list!$A$2:$C$300,3,0)&amp;"/detail/"</f>
        <v>#N/A</v>
      </c>
      <c r="X366" s="81" t="n">
        <f aca="false">J366</f>
        <v>0</v>
      </c>
      <c r="Y366" s="81" t="e">
        <f aca="false">R366</f>
        <v>#N/A</v>
      </c>
      <c r="Z366" s="94" t="e">
        <f aca="false">VLOOKUP(Y366,recipe_ingred_list!$D$2:$E$500,2,0)</f>
        <v>#N/A</v>
      </c>
      <c r="AA366" s="61" t="n">
        <f aca="false">K366</f>
        <v>0</v>
      </c>
      <c r="AB366" s="61" t="n">
        <f aca="false">L366</f>
        <v>0</v>
      </c>
      <c r="AC366" s="61" t="n">
        <f aca="false">VLOOKUP(AB366,recipe_ingred_list!$K$2:$M$7,3,0)</f>
        <v>2</v>
      </c>
      <c r="AD366" s="61" t="n">
        <f aca="false">M366</f>
        <v>0</v>
      </c>
      <c r="AE366" s="61" t="n">
        <f aca="false">N366</f>
        <v>0</v>
      </c>
      <c r="AF366" s="61" t="n">
        <f aca="false">VLOOKUP(AE366,recipe_ingred_list!$K$16:$M$25,3,0)</f>
        <v>1</v>
      </c>
      <c r="AG366" s="61" t="n">
        <f aca="false">O366</f>
        <v>0</v>
      </c>
      <c r="AH366" s="61" t="n">
        <f aca="false">P366</f>
        <v>0</v>
      </c>
      <c r="AI366" s="61" t="n">
        <f aca="false">VLOOKUP(AH366,recipe_ingred_list!$K$29:$M$34,3,0)</f>
        <v>3</v>
      </c>
      <c r="AJ366" s="61" t="str">
        <f aca="false">IF(Q366="","",Q366)</f>
        <v/>
      </c>
      <c r="AK366" s="61" t="n">
        <f aca="false">AK365+1</f>
        <v>366</v>
      </c>
      <c r="AL366" s="61" t="e">
        <f aca="false">Y366</f>
        <v>#N/A</v>
      </c>
      <c r="AM366" s="81" t="e">
        <f aca="false">"a = Client().post('"&amp;W366&amp;"', {'recipe' : '"&amp;V366&amp;"', 'ingredient' : '"&amp;Z366&amp;"', 'name' : '"&amp;X366&amp;"', 'mass_unit' : '"&amp;AC366&amp;"', 'mass_quantity' : '"&amp;ROUND(AA366,3)&amp;"', 'volume_unit' : '"&amp;AF366&amp;"', 'volume_quantity' : '"&amp;ROUND(AD366,3)&amp;"', 'pieces_unit' : '"&amp;AI366&amp;"', 'pieces_quantity' : '"&amp;ROUND(AG366,3)&amp;"', 'cooking_notes' : '"&amp;AJ366&amp;"'}).status_code; print('%s :: %s :: %s :: %s :: %s' %(a,"&amp;G366&amp;",'"&amp;X366&amp;"','"&amp;Y366&amp;"','"&amp;U366&amp;"'))"</f>
        <v>#N/A</v>
      </c>
    </row>
    <row r="367" customFormat="false" ht="15" hidden="false" customHeight="false" outlineLevel="0" collapsed="false">
      <c r="G367" s="80" t="n">
        <v>367</v>
      </c>
      <c r="H367" s="98"/>
      <c r="I367" s="99"/>
      <c r="J367" s="79"/>
      <c r="K367" s="138"/>
      <c r="L367" s="138"/>
      <c r="M367" s="100"/>
      <c r="N367" s="100"/>
      <c r="O367" s="101"/>
      <c r="P367" s="100"/>
      <c r="Q367" s="102"/>
      <c r="R367" s="99" t="e">
        <f aca="false">VLOOKUP(J367,ingredient!$N$4:$O$553,2,0)</f>
        <v>#N/A</v>
      </c>
      <c r="S367" s="98"/>
      <c r="T367" s="98"/>
      <c r="U367" s="81" t="n">
        <f aca="false">I367</f>
        <v>0</v>
      </c>
      <c r="V367" s="81" t="e">
        <f aca="false">VLOOKUP(U367,recipe_ingred_list!$A$2:$B$300,2,0)</f>
        <v>#N/A</v>
      </c>
      <c r="W367" s="81" t="e">
        <f aca="false">"/recipes/"&amp;VLOOKUP(U367,recipe_ingred_list!$A$2:$C$300,3,0)&amp;"/detail/"</f>
        <v>#N/A</v>
      </c>
      <c r="X367" s="81" t="n">
        <f aca="false">J367</f>
        <v>0</v>
      </c>
      <c r="Y367" s="81" t="e">
        <f aca="false">R367</f>
        <v>#N/A</v>
      </c>
      <c r="Z367" s="94" t="e">
        <f aca="false">VLOOKUP(Y367,recipe_ingred_list!$D$2:$E$500,2,0)</f>
        <v>#N/A</v>
      </c>
      <c r="AA367" s="61" t="n">
        <f aca="false">K367</f>
        <v>0</v>
      </c>
      <c r="AB367" s="61" t="n">
        <f aca="false">L367</f>
        <v>0</v>
      </c>
      <c r="AC367" s="61" t="n">
        <f aca="false">VLOOKUP(AB367,recipe_ingred_list!$K$2:$M$7,3,0)</f>
        <v>2</v>
      </c>
      <c r="AD367" s="61" t="n">
        <f aca="false">M367</f>
        <v>0</v>
      </c>
      <c r="AE367" s="61" t="n">
        <f aca="false">N367</f>
        <v>0</v>
      </c>
      <c r="AF367" s="61" t="n">
        <f aca="false">VLOOKUP(AE367,recipe_ingred_list!$K$16:$M$25,3,0)</f>
        <v>1</v>
      </c>
      <c r="AG367" s="61" t="n">
        <f aca="false">O367</f>
        <v>0</v>
      </c>
      <c r="AH367" s="61" t="n">
        <f aca="false">P367</f>
        <v>0</v>
      </c>
      <c r="AI367" s="61" t="n">
        <f aca="false">VLOOKUP(AH367,recipe_ingred_list!$K$29:$M$34,3,0)</f>
        <v>3</v>
      </c>
      <c r="AJ367" s="61" t="str">
        <f aca="false">IF(Q367="","",Q367)</f>
        <v/>
      </c>
      <c r="AK367" s="61" t="n">
        <f aca="false">AK366+1</f>
        <v>367</v>
      </c>
      <c r="AL367" s="61" t="e">
        <f aca="false">Y367</f>
        <v>#N/A</v>
      </c>
      <c r="AM367" s="81" t="e">
        <f aca="false">"a = Client().post('"&amp;W367&amp;"', {'recipe' : '"&amp;V367&amp;"', 'ingredient' : '"&amp;Z367&amp;"', 'name' : '"&amp;X367&amp;"', 'mass_unit' : '"&amp;AC367&amp;"', 'mass_quantity' : '"&amp;ROUND(AA367,3)&amp;"', 'volume_unit' : '"&amp;AF367&amp;"', 'volume_quantity' : '"&amp;ROUND(AD367,3)&amp;"', 'pieces_unit' : '"&amp;AI367&amp;"', 'pieces_quantity' : '"&amp;ROUND(AG367,3)&amp;"', 'cooking_notes' : '"&amp;AJ367&amp;"'}).status_code; print('%s :: %s :: %s :: %s :: %s' %(a,"&amp;G367&amp;",'"&amp;X367&amp;"','"&amp;Y367&amp;"','"&amp;U367&amp;"'))"</f>
        <v>#N/A</v>
      </c>
    </row>
    <row r="368" customFormat="false" ht="15" hidden="false" customHeight="false" outlineLevel="0" collapsed="false">
      <c r="G368" s="80" t="n">
        <v>368</v>
      </c>
      <c r="I368" s="139" t="s">
        <v>35</v>
      </c>
      <c r="J368" s="120" t="s">
        <v>6</v>
      </c>
      <c r="K368" s="97" t="n">
        <v>30</v>
      </c>
      <c r="L368" s="97" t="s">
        <v>7</v>
      </c>
      <c r="R368" s="82" t="str">
        <f aca="false">VLOOKUP(J368,ingredient!$N$4:$O$553,2,0)</f>
        <v>varai</v>
      </c>
      <c r="U368" s="81" t="str">
        <f aca="false">I368</f>
        <v>Varai Pulav</v>
      </c>
      <c r="V368" s="81" t="n">
        <f aca="false">VLOOKUP(U368,recipe_ingred_list!$A$2:$B$300,2,0)</f>
        <v>86</v>
      </c>
      <c r="W368" s="81" t="str">
        <f aca="false">"/recipes/"&amp;VLOOKUP(U368,recipe_ingred_list!$A$2:$C$300,3,0)&amp;"/detail/"</f>
        <v>/recipes/varai-pulav/detail/</v>
      </c>
      <c r="X368" s="81" t="str">
        <f aca="false">J368</f>
        <v>Varai rice</v>
      </c>
      <c r="Y368" s="81" t="str">
        <f aca="false">R368</f>
        <v>varai</v>
      </c>
      <c r="Z368" s="94" t="n">
        <f aca="false">VLOOKUP(Y368,recipe_ingred_list!$D$2:$E$500,2,0)</f>
        <v>201</v>
      </c>
      <c r="AA368" s="61" t="n">
        <f aca="false">K368</f>
        <v>30</v>
      </c>
      <c r="AB368" s="61" t="str">
        <f aca="false">L368</f>
        <v>kg</v>
      </c>
      <c r="AC368" s="61" t="n">
        <f aca="false">VLOOKUP(AB368,recipe_ingred_list!$K$2:$M$7,3,0)</f>
        <v>2</v>
      </c>
      <c r="AD368" s="61" t="n">
        <f aca="false">M368</f>
        <v>0</v>
      </c>
      <c r="AE368" s="61" t="n">
        <f aca="false">N368</f>
        <v>0</v>
      </c>
      <c r="AF368" s="61" t="n">
        <f aca="false">VLOOKUP(AE368,recipe_ingred_list!$K$16:$M$25,3,0)</f>
        <v>1</v>
      </c>
      <c r="AG368" s="61" t="n">
        <f aca="false">O368</f>
        <v>0</v>
      </c>
      <c r="AH368" s="61" t="n">
        <f aca="false">P368</f>
        <v>0</v>
      </c>
      <c r="AI368" s="61" t="n">
        <f aca="false">VLOOKUP(AH368,recipe_ingred_list!$K$29:$M$34,3,0)</f>
        <v>3</v>
      </c>
      <c r="AJ368" s="61" t="str">
        <f aca="false">IF(Q368="","",Q368)</f>
        <v/>
      </c>
      <c r="AK368" s="61" t="n">
        <f aca="false">AK367+1</f>
        <v>368</v>
      </c>
      <c r="AL368" s="61" t="str">
        <f aca="false">Y368</f>
        <v>varai</v>
      </c>
      <c r="AM368" s="81" t="str">
        <f aca="false">"a = Client().post('"&amp;W368&amp;"', {'recipe' : '"&amp;V368&amp;"', 'ingredient' : '"&amp;Z368&amp;"', 'name' : '"&amp;X368&amp;"', 'mass_unit' : '"&amp;AC368&amp;"', 'mass_quantity' : '"&amp;ROUND(AA368,3)&amp;"', 'volume_unit' : '"&amp;AF368&amp;"', 'volume_quantity' : '"&amp;ROUND(AD368,3)&amp;"', 'pieces_unit' : '"&amp;AI368&amp;"', 'pieces_quantity' : '"&amp;ROUND(AG368,3)&amp;"', 'cooking_notes' : '"&amp;AJ368&amp;"'}).status_code; print('%s :: %s :: %s :: %s :: %s' %(a,"&amp;G368&amp;",'"&amp;X368&amp;"','"&amp;Y368&amp;"','"&amp;U368&amp;"'))"</f>
        <v>a = Client().post('/recipes/varai-pulav/detail/', {'recipe' : '86', 'ingredient' : '201', 'name' : 'Varai rice', 'mass_unit' : '2', 'mass_quantity' : '30', 'volume_unit' : '1', 'volume_quantity' : '0', 'pieces_unit' : '3', 'pieces_quantity' : '0', 'cooking_notes' : ''}).status_code; print('%s :: %s :: %s :: %s :: %s' %(a,368,'Varai rice','varai','Varai Pulav'))</v>
      </c>
    </row>
    <row r="369" customFormat="false" ht="15" hidden="false" customHeight="false" outlineLevel="0" collapsed="false">
      <c r="G369" s="80" t="n">
        <v>369</v>
      </c>
      <c r="I369" s="139" t="s">
        <v>35</v>
      </c>
      <c r="J369" s="120" t="s">
        <v>36</v>
      </c>
      <c r="M369" s="97" t="n">
        <v>10</v>
      </c>
      <c r="N369" s="97" t="s">
        <v>13</v>
      </c>
      <c r="R369" s="82" t="str">
        <f aca="false">VLOOKUP(J369,ingredient!$N$4:$O$553,2,0)</f>
        <v>ground nut oil</v>
      </c>
      <c r="U369" s="81" t="str">
        <f aca="false">I369</f>
        <v>Varai Pulav</v>
      </c>
      <c r="V369" s="81" t="n">
        <f aca="false">VLOOKUP(U369,recipe_ingred_list!$A$2:$B$300,2,0)</f>
        <v>86</v>
      </c>
      <c r="W369" s="81" t="str">
        <f aca="false">"/recipes/"&amp;VLOOKUP(U369,recipe_ingred_list!$A$2:$C$300,3,0)&amp;"/detail/"</f>
        <v>/recipes/varai-pulav/detail/</v>
      </c>
      <c r="X369" s="81" t="str">
        <f aca="false">J369</f>
        <v>Groundnut oil for tadka</v>
      </c>
      <c r="Y369" s="81" t="str">
        <f aca="false">R369</f>
        <v>ground nut oil</v>
      </c>
      <c r="Z369" s="94" t="n">
        <f aca="false">VLOOKUP(Y369,recipe_ingred_list!$D$2:$E$500,2,0)</f>
        <v>89</v>
      </c>
      <c r="AA369" s="61" t="n">
        <f aca="false">K369</f>
        <v>0</v>
      </c>
      <c r="AB369" s="61" t="n">
        <f aca="false">L369</f>
        <v>0</v>
      </c>
      <c r="AC369" s="61" t="n">
        <f aca="false">VLOOKUP(AB369,recipe_ingred_list!$K$2:$M$7,3,0)</f>
        <v>2</v>
      </c>
      <c r="AD369" s="61" t="n">
        <f aca="false">M369</f>
        <v>10</v>
      </c>
      <c r="AE369" s="61" t="str">
        <f aca="false">N369</f>
        <v>ltr</v>
      </c>
      <c r="AF369" s="61" t="n">
        <f aca="false">VLOOKUP(AE369,recipe_ingred_list!$K$16:$M$25,3,0)</f>
        <v>1</v>
      </c>
      <c r="AG369" s="61" t="n">
        <f aca="false">O369</f>
        <v>0</v>
      </c>
      <c r="AH369" s="61" t="n">
        <f aca="false">P369</f>
        <v>0</v>
      </c>
      <c r="AI369" s="61" t="n">
        <f aca="false">VLOOKUP(AH369,recipe_ingred_list!$K$29:$M$34,3,0)</f>
        <v>3</v>
      </c>
      <c r="AJ369" s="61" t="str">
        <f aca="false">IF(Q369="","",Q369)</f>
        <v/>
      </c>
      <c r="AK369" s="61" t="n">
        <f aca="false">AK368+1</f>
        <v>369</v>
      </c>
      <c r="AL369" s="61" t="str">
        <f aca="false">Y369</f>
        <v>ground nut oil</v>
      </c>
      <c r="AM369" s="81" t="str">
        <f aca="false">"a = Client().post('"&amp;W369&amp;"', {'recipe' : '"&amp;V369&amp;"', 'ingredient' : '"&amp;Z369&amp;"', 'name' : '"&amp;X369&amp;"', 'mass_unit' : '"&amp;AC369&amp;"', 'mass_quantity' : '"&amp;ROUND(AA369,3)&amp;"', 'volume_unit' : '"&amp;AF369&amp;"', 'volume_quantity' : '"&amp;ROUND(AD369,3)&amp;"', 'pieces_unit' : '"&amp;AI369&amp;"', 'pieces_quantity' : '"&amp;ROUND(AG369,3)&amp;"', 'cooking_notes' : '"&amp;AJ369&amp;"'}).status_code; print('%s :: %s :: %s :: %s :: %s' %(a,"&amp;G369&amp;",'"&amp;X369&amp;"','"&amp;Y369&amp;"','"&amp;U369&amp;"'))"</f>
        <v>a = Client().post('/recipes/varai-pulav/detail/', {'recipe' : '86', 'ingredient' : '89', 'name' : 'Groundnut oil for tadka', 'mass_unit' : '2', 'mass_quantity' : '0', 'volume_unit' : '1', 'volume_quantity' : '10', 'pieces_unit' : '3', 'pieces_quantity' : '0', 'cooking_notes' : ''}).status_code; print('%s :: %s :: %s :: %s :: %s' %(a,369,'Groundnut oil for tadka','ground nut oil','Varai Pulav'))</v>
      </c>
    </row>
    <row r="370" customFormat="false" ht="15" hidden="false" customHeight="false" outlineLevel="0" collapsed="false">
      <c r="G370" s="80" t="n">
        <v>370</v>
      </c>
      <c r="I370" s="139" t="s">
        <v>35</v>
      </c>
      <c r="J370" s="120" t="s">
        <v>37</v>
      </c>
      <c r="M370" s="97" t="n">
        <v>1</v>
      </c>
      <c r="N370" s="97" t="s">
        <v>13</v>
      </c>
      <c r="R370" s="82" t="str">
        <f aca="false">VLOOKUP(J370,ingredient!$N$4:$O$553,2,0)</f>
        <v>tej patta</v>
      </c>
      <c r="U370" s="81" t="str">
        <f aca="false">I370</f>
        <v>Varai Pulav</v>
      </c>
      <c r="V370" s="81" t="n">
        <f aca="false">VLOOKUP(U370,recipe_ingred_list!$A$2:$B$300,2,0)</f>
        <v>86</v>
      </c>
      <c r="W370" s="81" t="str">
        <f aca="false">"/recipes/"&amp;VLOOKUP(U370,recipe_ingred_list!$A$2:$C$300,3,0)&amp;"/detail/"</f>
        <v>/recipes/varai-pulav/detail/</v>
      </c>
      <c r="X370" s="81" t="str">
        <f aca="false">J370</f>
        <v>Tejpatta</v>
      </c>
      <c r="Y370" s="81" t="str">
        <f aca="false">R370</f>
        <v>tej patta</v>
      </c>
      <c r="Z370" s="94" t="n">
        <f aca="false">VLOOKUP(Y370,recipe_ingred_list!$D$2:$E$500,2,0)</f>
        <v>191</v>
      </c>
      <c r="AA370" s="61" t="n">
        <f aca="false">K370</f>
        <v>0</v>
      </c>
      <c r="AB370" s="61" t="n">
        <f aca="false">L370</f>
        <v>0</v>
      </c>
      <c r="AC370" s="61" t="n">
        <f aca="false">VLOOKUP(AB370,recipe_ingred_list!$K$2:$M$7,3,0)</f>
        <v>2</v>
      </c>
      <c r="AD370" s="61" t="n">
        <f aca="false">M370</f>
        <v>1</v>
      </c>
      <c r="AE370" s="61" t="str">
        <f aca="false">N370</f>
        <v>ltr</v>
      </c>
      <c r="AF370" s="61" t="n">
        <f aca="false">VLOOKUP(AE370,recipe_ingred_list!$K$16:$M$25,3,0)</f>
        <v>1</v>
      </c>
      <c r="AG370" s="61" t="n">
        <f aca="false">O370</f>
        <v>0</v>
      </c>
      <c r="AH370" s="61" t="n">
        <f aca="false">P370</f>
        <v>0</v>
      </c>
      <c r="AI370" s="61" t="n">
        <f aca="false">VLOOKUP(AH370,recipe_ingred_list!$K$29:$M$34,3,0)</f>
        <v>3</v>
      </c>
      <c r="AJ370" s="61" t="str">
        <f aca="false">IF(Q370="","",Q370)</f>
        <v/>
      </c>
      <c r="AK370" s="61" t="n">
        <f aca="false">AK369+1</f>
        <v>370</v>
      </c>
      <c r="AL370" s="61" t="str">
        <f aca="false">Y370</f>
        <v>tej patta</v>
      </c>
      <c r="AM370" s="81" t="str">
        <f aca="false">"a = Client().post('"&amp;W370&amp;"', {'recipe' : '"&amp;V370&amp;"', 'ingredient' : '"&amp;Z370&amp;"', 'name' : '"&amp;X370&amp;"', 'mass_unit' : '"&amp;AC370&amp;"', 'mass_quantity' : '"&amp;ROUND(AA370,3)&amp;"', 'volume_unit' : '"&amp;AF370&amp;"', 'volume_quantity' : '"&amp;ROUND(AD370,3)&amp;"', 'pieces_unit' : '"&amp;AI370&amp;"', 'pieces_quantity' : '"&amp;ROUND(AG370,3)&amp;"', 'cooking_notes' : '"&amp;AJ370&amp;"'}).status_code; print('%s :: %s :: %s :: %s :: %s' %(a,"&amp;G370&amp;",'"&amp;X370&amp;"','"&amp;Y370&amp;"','"&amp;U370&amp;"'))"</f>
        <v>a = Client().post('/recipes/varai-pulav/detail/', {'recipe' : '86', 'ingredient' : '191', 'name' : 'Tejpatta', 'mass_unit' : '2', 'mass_quantity' : '0', 'volume_unit' : '1', 'volume_quantity' : '1', 'pieces_unit' : '3', 'pieces_quantity' : '0', 'cooking_notes' : ''}).status_code; print('%s :: %s :: %s :: %s :: %s' %(a,370,'Tejpatta','tej patta','Varai Pulav'))</v>
      </c>
    </row>
    <row r="371" customFormat="false" ht="15" hidden="false" customHeight="false" outlineLevel="0" collapsed="false">
      <c r="G371" s="80" t="n">
        <v>371</v>
      </c>
      <c r="I371" s="139" t="s">
        <v>35</v>
      </c>
      <c r="J371" s="120" t="s">
        <v>14</v>
      </c>
      <c r="M371" s="97" t="n">
        <v>0.75</v>
      </c>
      <c r="N371" s="97" t="s">
        <v>13</v>
      </c>
      <c r="R371" s="82" t="str">
        <f aca="false">VLOOKUP(J371,ingredient!$N$4:$O$553,2,0)</f>
        <v>jeera</v>
      </c>
      <c r="U371" s="81" t="str">
        <f aca="false">I371</f>
        <v>Varai Pulav</v>
      </c>
      <c r="V371" s="81" t="n">
        <f aca="false">VLOOKUP(U371,recipe_ingred_list!$A$2:$B$300,2,0)</f>
        <v>86</v>
      </c>
      <c r="W371" s="81" t="str">
        <f aca="false">"/recipes/"&amp;VLOOKUP(U371,recipe_ingred_list!$A$2:$C$300,3,0)&amp;"/detail/"</f>
        <v>/recipes/varai-pulav/detail/</v>
      </c>
      <c r="X371" s="81" t="str">
        <f aca="false">J371</f>
        <v>Jeera</v>
      </c>
      <c r="Y371" s="81" t="str">
        <f aca="false">R371</f>
        <v>jeera</v>
      </c>
      <c r="Z371" s="94" t="n">
        <f aca="false">VLOOKUP(Y371,recipe_ingred_list!$D$2:$E$500,2,0)</f>
        <v>102</v>
      </c>
      <c r="AA371" s="61" t="n">
        <f aca="false">K371</f>
        <v>0</v>
      </c>
      <c r="AB371" s="61" t="n">
        <f aca="false">L371</f>
        <v>0</v>
      </c>
      <c r="AC371" s="61" t="n">
        <f aca="false">VLOOKUP(AB371,recipe_ingred_list!$K$2:$M$7,3,0)</f>
        <v>2</v>
      </c>
      <c r="AD371" s="61" t="n">
        <f aca="false">M371</f>
        <v>0.75</v>
      </c>
      <c r="AE371" s="61" t="str">
        <f aca="false">N371</f>
        <v>ltr</v>
      </c>
      <c r="AF371" s="61" t="n">
        <f aca="false">VLOOKUP(AE371,recipe_ingred_list!$K$16:$M$25,3,0)</f>
        <v>1</v>
      </c>
      <c r="AG371" s="61" t="n">
        <f aca="false">O371</f>
        <v>0</v>
      </c>
      <c r="AH371" s="61" t="n">
        <f aca="false">P371</f>
        <v>0</v>
      </c>
      <c r="AI371" s="61" t="n">
        <f aca="false">VLOOKUP(AH371,recipe_ingred_list!$K$29:$M$34,3,0)</f>
        <v>3</v>
      </c>
      <c r="AJ371" s="61" t="str">
        <f aca="false">IF(Q371="","",Q371)</f>
        <v/>
      </c>
      <c r="AK371" s="61" t="n">
        <f aca="false">AK370+1</f>
        <v>371</v>
      </c>
      <c r="AL371" s="61" t="str">
        <f aca="false">Y371</f>
        <v>jeera</v>
      </c>
      <c r="AM371" s="81" t="str">
        <f aca="false">"a = Client().post('"&amp;W371&amp;"', {'recipe' : '"&amp;V371&amp;"', 'ingredient' : '"&amp;Z371&amp;"', 'name' : '"&amp;X371&amp;"', 'mass_unit' : '"&amp;AC371&amp;"', 'mass_quantity' : '"&amp;ROUND(AA371,3)&amp;"', 'volume_unit' : '"&amp;AF371&amp;"', 'volume_quantity' : '"&amp;ROUND(AD371,3)&amp;"', 'pieces_unit' : '"&amp;AI371&amp;"', 'pieces_quantity' : '"&amp;ROUND(AG371,3)&amp;"', 'cooking_notes' : '"&amp;AJ371&amp;"'}).status_code; print('%s :: %s :: %s :: %s :: %s' %(a,"&amp;G371&amp;",'"&amp;X371&amp;"','"&amp;Y371&amp;"','"&amp;U371&amp;"'))"</f>
        <v>a = Client().post('/recipes/varai-pulav/detail/', {'recipe' : '86', 'ingredient' : '102', 'name' : 'Jeera', 'mass_unit' : '2', 'mass_quantity' : '0', 'volume_unit' : '1', 'volume_quantity' : '0.75', 'pieces_unit' : '3', 'pieces_quantity' : '0', 'cooking_notes' : ''}).status_code; print('%s :: %s :: %s :: %s :: %s' %(a,371,'Jeera','jeera','Varai Pulav'))</v>
      </c>
    </row>
    <row r="372" customFormat="false" ht="15" hidden="false" customHeight="false" outlineLevel="0" collapsed="false">
      <c r="G372" s="80" t="n">
        <v>372</v>
      </c>
      <c r="I372" s="139" t="s">
        <v>35</v>
      </c>
      <c r="J372" s="120" t="s">
        <v>38</v>
      </c>
      <c r="M372" s="97" t="n">
        <v>2</v>
      </c>
      <c r="N372" s="97" t="s">
        <v>13</v>
      </c>
      <c r="R372" s="82" t="str">
        <f aca="false">VLOOKUP(J372,ingredient!$N$4:$O$553,2,0)</f>
        <v>kadi patta</v>
      </c>
      <c r="U372" s="81" t="str">
        <f aca="false">I372</f>
        <v>Varai Pulav</v>
      </c>
      <c r="V372" s="81" t="n">
        <f aca="false">VLOOKUP(U372,recipe_ingred_list!$A$2:$B$300,2,0)</f>
        <v>86</v>
      </c>
      <c r="W372" s="81" t="str">
        <f aca="false">"/recipes/"&amp;VLOOKUP(U372,recipe_ingred_list!$A$2:$C$300,3,0)&amp;"/detail/"</f>
        <v>/recipes/varai-pulav/detail/</v>
      </c>
      <c r="X372" s="81" t="str">
        <f aca="false">J372</f>
        <v>kadi patta</v>
      </c>
      <c r="Y372" s="81" t="str">
        <f aca="false">R372</f>
        <v>kadi patta</v>
      </c>
      <c r="Z372" s="94" t="n">
        <f aca="false">VLOOKUP(Y372,recipe_ingred_list!$D$2:$E$500,2,0)</f>
        <v>105</v>
      </c>
      <c r="AA372" s="61" t="n">
        <f aca="false">K372</f>
        <v>0</v>
      </c>
      <c r="AB372" s="61" t="n">
        <f aca="false">L372</f>
        <v>0</v>
      </c>
      <c r="AC372" s="61" t="n">
        <f aca="false">VLOOKUP(AB372,recipe_ingred_list!$K$2:$M$7,3,0)</f>
        <v>2</v>
      </c>
      <c r="AD372" s="61" t="n">
        <f aca="false">M372</f>
        <v>2</v>
      </c>
      <c r="AE372" s="61" t="str">
        <f aca="false">N372</f>
        <v>ltr</v>
      </c>
      <c r="AF372" s="61" t="n">
        <f aca="false">VLOOKUP(AE372,recipe_ingred_list!$K$16:$M$25,3,0)</f>
        <v>1</v>
      </c>
      <c r="AG372" s="61" t="n">
        <f aca="false">O372</f>
        <v>0</v>
      </c>
      <c r="AH372" s="61" t="n">
        <f aca="false">P372</f>
        <v>0</v>
      </c>
      <c r="AI372" s="61" t="n">
        <f aca="false">VLOOKUP(AH372,recipe_ingred_list!$K$29:$M$34,3,0)</f>
        <v>3</v>
      </c>
      <c r="AJ372" s="61" t="str">
        <f aca="false">IF(Q372="","",Q372)</f>
        <v/>
      </c>
      <c r="AK372" s="61" t="n">
        <f aca="false">AK371+1</f>
        <v>372</v>
      </c>
      <c r="AL372" s="61" t="str">
        <f aca="false">Y372</f>
        <v>kadi patta</v>
      </c>
      <c r="AM372" s="81" t="str">
        <f aca="false">"a = Client().post('"&amp;W372&amp;"', {'recipe' : '"&amp;V372&amp;"', 'ingredient' : '"&amp;Z372&amp;"', 'name' : '"&amp;X372&amp;"', 'mass_unit' : '"&amp;AC372&amp;"', 'mass_quantity' : '"&amp;ROUND(AA372,3)&amp;"', 'volume_unit' : '"&amp;AF372&amp;"', 'volume_quantity' : '"&amp;ROUND(AD372,3)&amp;"', 'pieces_unit' : '"&amp;AI372&amp;"', 'pieces_quantity' : '"&amp;ROUND(AG372,3)&amp;"', 'cooking_notes' : '"&amp;AJ372&amp;"'}).status_code; print('%s :: %s :: %s :: %s :: %s' %(a,"&amp;G372&amp;",'"&amp;X372&amp;"','"&amp;Y372&amp;"','"&amp;U372&amp;"'))"</f>
        <v>a = Client().post('/recipes/varai-pulav/detail/', {'recipe' : '86', 'ingredient' : '105', 'name' : 'kadi patta', 'mass_unit' : '2', 'mass_quantity' : '0', 'volume_unit' : '1', 'volume_quantity' : '2', 'pieces_unit' : '3', 'pieces_quantity' : '0', 'cooking_notes' : ''}).status_code; print('%s :: %s :: %s :: %s :: %s' %(a,372,'kadi patta','kadi patta','Varai Pulav'))</v>
      </c>
    </row>
    <row r="373" customFormat="false" ht="15" hidden="false" customHeight="false" outlineLevel="0" collapsed="false">
      <c r="G373" s="80" t="n">
        <v>373</v>
      </c>
      <c r="I373" s="139" t="s">
        <v>35</v>
      </c>
      <c r="J373" s="120" t="s">
        <v>11</v>
      </c>
      <c r="K373" s="97" t="n">
        <v>4</v>
      </c>
      <c r="L373" s="97" t="s">
        <v>7</v>
      </c>
      <c r="M373" s="97" t="n">
        <v>5</v>
      </c>
      <c r="N373" s="97" t="s">
        <v>13</v>
      </c>
      <c r="R373" s="82" t="str">
        <f aca="false">VLOOKUP(J373,ingredient!$N$4:$O$553,2,0)</f>
        <v>gajar</v>
      </c>
      <c r="U373" s="81" t="str">
        <f aca="false">I373</f>
        <v>Varai Pulav</v>
      </c>
      <c r="V373" s="81" t="n">
        <f aca="false">VLOOKUP(U373,recipe_ingred_list!$A$2:$B$300,2,0)</f>
        <v>86</v>
      </c>
      <c r="W373" s="81" t="str">
        <f aca="false">"/recipes/"&amp;VLOOKUP(U373,recipe_ingred_list!$A$2:$C$300,3,0)&amp;"/detail/"</f>
        <v>/recipes/varai-pulav/detail/</v>
      </c>
      <c r="X373" s="81" t="str">
        <f aca="false">J373</f>
        <v>Gajar</v>
      </c>
      <c r="Y373" s="81" t="str">
        <f aca="false">R373</f>
        <v>gajar</v>
      </c>
      <c r="Z373" s="94" t="n">
        <f aca="false">VLOOKUP(Y373,recipe_ingred_list!$D$2:$E$500,2,0)</f>
        <v>79</v>
      </c>
      <c r="AA373" s="61" t="n">
        <f aca="false">K373</f>
        <v>4</v>
      </c>
      <c r="AB373" s="61" t="str">
        <f aca="false">L373</f>
        <v>kg</v>
      </c>
      <c r="AC373" s="61" t="n">
        <f aca="false">VLOOKUP(AB373,recipe_ingred_list!$K$2:$M$7,3,0)</f>
        <v>2</v>
      </c>
      <c r="AD373" s="61" t="n">
        <f aca="false">M373</f>
        <v>5</v>
      </c>
      <c r="AE373" s="61" t="str">
        <f aca="false">N373</f>
        <v>ltr</v>
      </c>
      <c r="AF373" s="61" t="n">
        <f aca="false">VLOOKUP(AE373,recipe_ingred_list!$K$16:$M$25,3,0)</f>
        <v>1</v>
      </c>
      <c r="AG373" s="61" t="n">
        <f aca="false">O373</f>
        <v>0</v>
      </c>
      <c r="AH373" s="61" t="n">
        <f aca="false">P373</f>
        <v>0</v>
      </c>
      <c r="AI373" s="61" t="n">
        <f aca="false">VLOOKUP(AH373,recipe_ingred_list!$K$29:$M$34,3,0)</f>
        <v>3</v>
      </c>
      <c r="AJ373" s="61" t="str">
        <f aca="false">IF(Q373="","",Q373)</f>
        <v/>
      </c>
      <c r="AK373" s="61" t="n">
        <f aca="false">AK372+1</f>
        <v>373</v>
      </c>
      <c r="AL373" s="61" t="str">
        <f aca="false">Y373</f>
        <v>gajar</v>
      </c>
      <c r="AM373" s="81" t="str">
        <f aca="false">"a = Client().post('"&amp;W373&amp;"', {'recipe' : '"&amp;V373&amp;"', 'ingredient' : '"&amp;Z373&amp;"', 'name' : '"&amp;X373&amp;"', 'mass_unit' : '"&amp;AC373&amp;"', 'mass_quantity' : '"&amp;ROUND(AA373,3)&amp;"', 'volume_unit' : '"&amp;AF373&amp;"', 'volume_quantity' : '"&amp;ROUND(AD373,3)&amp;"', 'pieces_unit' : '"&amp;AI373&amp;"', 'pieces_quantity' : '"&amp;ROUND(AG373,3)&amp;"', 'cooking_notes' : '"&amp;AJ373&amp;"'}).status_code; print('%s :: %s :: %s :: %s :: %s' %(a,"&amp;G373&amp;",'"&amp;X373&amp;"','"&amp;Y373&amp;"','"&amp;U373&amp;"'))"</f>
        <v>a = Client().post('/recipes/varai-pulav/detail/', {'recipe' : '86', 'ingredient' : '79', 'name' : 'Gajar', 'mass_unit' : '2', 'mass_quantity' : '4', 'volume_unit' : '1', 'volume_quantity' : '5', 'pieces_unit' : '3', 'pieces_quantity' : '0', 'cooking_notes' : ''}).status_code; print('%s :: %s :: %s :: %s :: %s' %(a,373,'Gajar','gajar','Varai Pulav'))</v>
      </c>
    </row>
    <row r="374" customFormat="false" ht="15" hidden="false" customHeight="false" outlineLevel="0" collapsed="false">
      <c r="G374" s="80" t="n">
        <v>374</v>
      </c>
      <c r="H374" s="98"/>
      <c r="I374" s="138" t="s">
        <v>35</v>
      </c>
      <c r="J374" s="136"/>
      <c r="K374" s="101"/>
      <c r="L374" s="101"/>
      <c r="M374" s="100"/>
      <c r="N374" s="100"/>
      <c r="O374" s="101"/>
      <c r="P374" s="100"/>
      <c r="Q374" s="102"/>
      <c r="R374" s="99" t="e">
        <f aca="false">VLOOKUP(J374,ingredient!$N$4:$O$553,2,0)</f>
        <v>#N/A</v>
      </c>
      <c r="S374" s="98"/>
      <c r="T374" s="98"/>
      <c r="U374" s="81" t="str">
        <f aca="false">I374</f>
        <v>Varai Pulav</v>
      </c>
      <c r="V374" s="81" t="n">
        <f aca="false">VLOOKUP(U374,recipe_ingred_list!$A$2:$B$300,2,0)</f>
        <v>86</v>
      </c>
      <c r="W374" s="81" t="str">
        <f aca="false">"/recipes/"&amp;VLOOKUP(U374,recipe_ingred_list!$A$2:$C$300,3,0)&amp;"/detail/"</f>
        <v>/recipes/varai-pulav/detail/</v>
      </c>
      <c r="X374" s="81" t="n">
        <f aca="false">J374</f>
        <v>0</v>
      </c>
      <c r="Y374" s="81" t="e">
        <f aca="false">R374</f>
        <v>#N/A</v>
      </c>
      <c r="Z374" s="94" t="e">
        <f aca="false">VLOOKUP(Y374,recipe_ingred_list!$D$2:$E$500,2,0)</f>
        <v>#N/A</v>
      </c>
      <c r="AA374" s="61" t="n">
        <f aca="false">K374</f>
        <v>0</v>
      </c>
      <c r="AB374" s="61" t="n">
        <f aca="false">L374</f>
        <v>0</v>
      </c>
      <c r="AC374" s="61" t="n">
        <f aca="false">VLOOKUP(AB374,recipe_ingred_list!$K$2:$M$7,3,0)</f>
        <v>2</v>
      </c>
      <c r="AD374" s="61" t="n">
        <f aca="false">M374</f>
        <v>0</v>
      </c>
      <c r="AE374" s="61" t="n">
        <f aca="false">N374</f>
        <v>0</v>
      </c>
      <c r="AF374" s="61" t="n">
        <f aca="false">VLOOKUP(AE374,recipe_ingred_list!$K$16:$M$25,3,0)</f>
        <v>1</v>
      </c>
      <c r="AG374" s="61" t="n">
        <f aca="false">O374</f>
        <v>0</v>
      </c>
      <c r="AH374" s="61" t="n">
        <f aca="false">P374</f>
        <v>0</v>
      </c>
      <c r="AI374" s="61" t="n">
        <f aca="false">VLOOKUP(AH374,recipe_ingred_list!$K$29:$M$34,3,0)</f>
        <v>3</v>
      </c>
      <c r="AJ374" s="61" t="str">
        <f aca="false">IF(Q374="","",Q374)</f>
        <v/>
      </c>
      <c r="AK374" s="61" t="n">
        <f aca="false">AK373+1</f>
        <v>374</v>
      </c>
      <c r="AL374" s="61" t="e">
        <f aca="false">Y374</f>
        <v>#N/A</v>
      </c>
      <c r="AM374" s="81" t="e">
        <f aca="false">"a = Client().post('"&amp;W374&amp;"', {'recipe' : '"&amp;V374&amp;"', 'ingredient' : '"&amp;Z374&amp;"', 'name' : '"&amp;X374&amp;"', 'mass_unit' : '"&amp;AC374&amp;"', 'mass_quantity' : '"&amp;ROUND(AA374,3)&amp;"', 'volume_unit' : '"&amp;AF374&amp;"', 'volume_quantity' : '"&amp;ROUND(AD374,3)&amp;"', 'pieces_unit' : '"&amp;AI374&amp;"', 'pieces_quantity' : '"&amp;ROUND(AG374,3)&amp;"', 'cooking_notes' : '"&amp;AJ374&amp;"'}).status_code; print('%s :: %s :: %s :: %s :: %s' %(a,"&amp;G374&amp;",'"&amp;X374&amp;"','"&amp;Y374&amp;"','"&amp;U374&amp;"'))"</f>
        <v>#N/A</v>
      </c>
    </row>
    <row r="375" customFormat="false" ht="15" hidden="false" customHeight="false" outlineLevel="0" collapsed="false">
      <c r="G375" s="80" t="n">
        <v>375</v>
      </c>
      <c r="I375" s="139" t="s">
        <v>35</v>
      </c>
      <c r="J375" s="120" t="s">
        <v>39</v>
      </c>
      <c r="K375" s="97" t="n">
        <v>12</v>
      </c>
      <c r="L375" s="97" t="s">
        <v>7</v>
      </c>
      <c r="M375" s="97" t="n">
        <v>30</v>
      </c>
      <c r="N375" s="97" t="s">
        <v>13</v>
      </c>
      <c r="R375" s="82" t="str">
        <f aca="false">VLOOKUP(J375,ingredient!$N$4:$O$553,2,0)</f>
        <v>cabbage</v>
      </c>
      <c r="U375" s="81" t="str">
        <f aca="false">I375</f>
        <v>Varai Pulav</v>
      </c>
      <c r="V375" s="81" t="n">
        <f aca="false">VLOOKUP(U375,recipe_ingred_list!$A$2:$B$300,2,0)</f>
        <v>86</v>
      </c>
      <c r="W375" s="81" t="str">
        <f aca="false">"/recipes/"&amp;VLOOKUP(U375,recipe_ingred_list!$A$2:$C$300,3,0)&amp;"/detail/"</f>
        <v>/recipes/varai-pulav/detail/</v>
      </c>
      <c r="X375" s="81" t="str">
        <f aca="false">J375</f>
        <v>Cabbage</v>
      </c>
      <c r="Y375" s="81" t="str">
        <f aca="false">R375</f>
        <v>cabbage</v>
      </c>
      <c r="Z375" s="94" t="n">
        <f aca="false">VLOOKUP(Y375,recipe_ingred_list!$D$2:$E$500,2,0)</f>
        <v>39</v>
      </c>
      <c r="AA375" s="61" t="n">
        <f aca="false">K375</f>
        <v>12</v>
      </c>
      <c r="AB375" s="61" t="str">
        <f aca="false">L375</f>
        <v>kg</v>
      </c>
      <c r="AC375" s="61" t="n">
        <f aca="false">VLOOKUP(AB375,recipe_ingred_list!$K$2:$M$7,3,0)</f>
        <v>2</v>
      </c>
      <c r="AD375" s="61" t="n">
        <f aca="false">M375</f>
        <v>30</v>
      </c>
      <c r="AE375" s="61" t="str">
        <f aca="false">N375</f>
        <v>ltr</v>
      </c>
      <c r="AF375" s="61" t="n">
        <f aca="false">VLOOKUP(AE375,recipe_ingred_list!$K$16:$M$25,3,0)</f>
        <v>1</v>
      </c>
      <c r="AG375" s="61" t="n">
        <f aca="false">O375</f>
        <v>0</v>
      </c>
      <c r="AH375" s="61" t="n">
        <f aca="false">P375</f>
        <v>0</v>
      </c>
      <c r="AI375" s="61" t="n">
        <f aca="false">VLOOKUP(AH375,recipe_ingred_list!$K$29:$M$34,3,0)</f>
        <v>3</v>
      </c>
      <c r="AJ375" s="61" t="str">
        <f aca="false">IF(Q375="","",Q375)</f>
        <v/>
      </c>
      <c r="AK375" s="61" t="n">
        <f aca="false">AK374+1</f>
        <v>375</v>
      </c>
      <c r="AL375" s="61" t="str">
        <f aca="false">Y375</f>
        <v>cabbage</v>
      </c>
      <c r="AM375" s="81" t="str">
        <f aca="false">"a = Client().post('"&amp;W375&amp;"', {'recipe' : '"&amp;V375&amp;"', 'ingredient' : '"&amp;Z375&amp;"', 'name' : '"&amp;X375&amp;"', 'mass_unit' : '"&amp;AC375&amp;"', 'mass_quantity' : '"&amp;ROUND(AA375,3)&amp;"', 'volume_unit' : '"&amp;AF375&amp;"', 'volume_quantity' : '"&amp;ROUND(AD375,3)&amp;"', 'pieces_unit' : '"&amp;AI375&amp;"', 'pieces_quantity' : '"&amp;ROUND(AG375,3)&amp;"', 'cooking_notes' : '"&amp;AJ375&amp;"'}).status_code; print('%s :: %s :: %s :: %s :: %s' %(a,"&amp;G375&amp;",'"&amp;X375&amp;"','"&amp;Y375&amp;"','"&amp;U375&amp;"'))"</f>
        <v>a = Client().post('/recipes/varai-pulav/detail/', {'recipe' : '86', 'ingredient' : '39', 'name' : 'Cabbage', 'mass_unit' : '2', 'mass_quantity' : '12', 'volume_unit' : '1', 'volume_quantity' : '30', 'pieces_unit' : '3', 'pieces_quantity' : '0', 'cooking_notes' : ''}).status_code; print('%s :: %s :: %s :: %s :: %s' %(a,375,'Cabbage','cabbage','Varai Pulav'))</v>
      </c>
    </row>
    <row r="376" customFormat="false" ht="15" hidden="false" customHeight="false" outlineLevel="0" collapsed="false">
      <c r="G376" s="80" t="n">
        <v>376</v>
      </c>
      <c r="H376" s="98"/>
      <c r="I376" s="138" t="s">
        <v>35</v>
      </c>
      <c r="J376" s="136"/>
      <c r="K376" s="101"/>
      <c r="L376" s="101"/>
      <c r="M376" s="100"/>
      <c r="N376" s="100"/>
      <c r="O376" s="101"/>
      <c r="P376" s="100"/>
      <c r="Q376" s="102"/>
      <c r="R376" s="99" t="e">
        <f aca="false">VLOOKUP(J376,ingredient!$N$4:$O$553,2,0)</f>
        <v>#N/A</v>
      </c>
      <c r="S376" s="98"/>
      <c r="T376" s="98"/>
      <c r="U376" s="81" t="str">
        <f aca="false">I376</f>
        <v>Varai Pulav</v>
      </c>
      <c r="V376" s="81" t="n">
        <f aca="false">VLOOKUP(U376,recipe_ingred_list!$A$2:$B$300,2,0)</f>
        <v>86</v>
      </c>
      <c r="W376" s="81" t="str">
        <f aca="false">"/recipes/"&amp;VLOOKUP(U376,recipe_ingred_list!$A$2:$C$300,3,0)&amp;"/detail/"</f>
        <v>/recipes/varai-pulav/detail/</v>
      </c>
      <c r="X376" s="81" t="n">
        <f aca="false">J376</f>
        <v>0</v>
      </c>
      <c r="Y376" s="81" t="e">
        <f aca="false">R376</f>
        <v>#N/A</v>
      </c>
      <c r="Z376" s="94" t="e">
        <f aca="false">VLOOKUP(Y376,recipe_ingred_list!$D$2:$E$500,2,0)</f>
        <v>#N/A</v>
      </c>
      <c r="AA376" s="61" t="n">
        <f aca="false">K376</f>
        <v>0</v>
      </c>
      <c r="AB376" s="61" t="n">
        <f aca="false">L376</f>
        <v>0</v>
      </c>
      <c r="AC376" s="61" t="n">
        <f aca="false">VLOOKUP(AB376,recipe_ingred_list!$K$2:$M$7,3,0)</f>
        <v>2</v>
      </c>
      <c r="AD376" s="61" t="n">
        <f aca="false">M376</f>
        <v>0</v>
      </c>
      <c r="AE376" s="61" t="n">
        <f aca="false">N376</f>
        <v>0</v>
      </c>
      <c r="AF376" s="61" t="n">
        <f aca="false">VLOOKUP(AE376,recipe_ingred_list!$K$16:$M$25,3,0)</f>
        <v>1</v>
      </c>
      <c r="AG376" s="61" t="n">
        <f aca="false">O376</f>
        <v>0</v>
      </c>
      <c r="AH376" s="61" t="n">
        <f aca="false">P376</f>
        <v>0</v>
      </c>
      <c r="AI376" s="61" t="n">
        <f aca="false">VLOOKUP(AH376,recipe_ingred_list!$K$29:$M$34,3,0)</f>
        <v>3</v>
      </c>
      <c r="AJ376" s="61" t="str">
        <f aca="false">IF(Q376="","",Q376)</f>
        <v/>
      </c>
      <c r="AK376" s="61" t="n">
        <f aca="false">AK375+1</f>
        <v>376</v>
      </c>
      <c r="AL376" s="61" t="e">
        <f aca="false">Y376</f>
        <v>#N/A</v>
      </c>
      <c r="AM376" s="81" t="e">
        <f aca="false">"a = Client().post('"&amp;W376&amp;"', {'recipe' : '"&amp;V376&amp;"', 'ingredient' : '"&amp;Z376&amp;"', 'name' : '"&amp;X376&amp;"', 'mass_unit' : '"&amp;AC376&amp;"', 'mass_quantity' : '"&amp;ROUND(AA376,3)&amp;"', 'volume_unit' : '"&amp;AF376&amp;"', 'volume_quantity' : '"&amp;ROUND(AD376,3)&amp;"', 'pieces_unit' : '"&amp;AI376&amp;"', 'pieces_quantity' : '"&amp;ROUND(AG376,3)&amp;"', 'cooking_notes' : '"&amp;AJ376&amp;"'}).status_code; print('%s :: %s :: %s :: %s :: %s' %(a,"&amp;G376&amp;",'"&amp;X376&amp;"','"&amp;Y376&amp;"','"&amp;U376&amp;"'))"</f>
        <v>#N/A</v>
      </c>
    </row>
    <row r="377" customFormat="false" ht="15" hidden="false" customHeight="false" outlineLevel="0" collapsed="false">
      <c r="G377" s="80" t="n">
        <v>377</v>
      </c>
      <c r="I377" s="139" t="s">
        <v>35</v>
      </c>
      <c r="J377" s="120" t="s">
        <v>40</v>
      </c>
      <c r="K377" s="97" t="n">
        <v>3.5</v>
      </c>
      <c r="L377" s="97" t="s">
        <v>7</v>
      </c>
      <c r="M377" s="97" t="n">
        <v>5</v>
      </c>
      <c r="N377" s="97" t="s">
        <v>13</v>
      </c>
      <c r="R377" s="82" t="str">
        <f aca="false">VLOOKUP(J377,ingredient!$N$4:$O$553,2,0)</f>
        <v>capsicum</v>
      </c>
      <c r="U377" s="81" t="str">
        <f aca="false">I377</f>
        <v>Varai Pulav</v>
      </c>
      <c r="V377" s="81" t="n">
        <f aca="false">VLOOKUP(U377,recipe_ingred_list!$A$2:$B$300,2,0)</f>
        <v>86</v>
      </c>
      <c r="W377" s="81" t="str">
        <f aca="false">"/recipes/"&amp;VLOOKUP(U377,recipe_ingred_list!$A$2:$C$300,3,0)&amp;"/detail/"</f>
        <v>/recipes/varai-pulav/detail/</v>
      </c>
      <c r="X377" s="81" t="str">
        <f aca="false">J377</f>
        <v>Capsicum</v>
      </c>
      <c r="Y377" s="81" t="str">
        <f aca="false">R377</f>
        <v>capsicum</v>
      </c>
      <c r="Z377" s="94" t="n">
        <f aca="false">VLOOKUP(Y377,recipe_ingred_list!$D$2:$E$500,2,0)</f>
        <v>42</v>
      </c>
      <c r="AA377" s="61" t="n">
        <f aca="false">K377</f>
        <v>3.5</v>
      </c>
      <c r="AB377" s="61" t="str">
        <f aca="false">L377</f>
        <v>kg</v>
      </c>
      <c r="AC377" s="61" t="n">
        <f aca="false">VLOOKUP(AB377,recipe_ingred_list!$K$2:$M$7,3,0)</f>
        <v>2</v>
      </c>
      <c r="AD377" s="61" t="n">
        <f aca="false">M377</f>
        <v>5</v>
      </c>
      <c r="AE377" s="61" t="str">
        <f aca="false">N377</f>
        <v>ltr</v>
      </c>
      <c r="AF377" s="61" t="n">
        <f aca="false">VLOOKUP(AE377,recipe_ingred_list!$K$16:$M$25,3,0)</f>
        <v>1</v>
      </c>
      <c r="AG377" s="61" t="n">
        <f aca="false">O377</f>
        <v>0</v>
      </c>
      <c r="AH377" s="61" t="n">
        <f aca="false">P377</f>
        <v>0</v>
      </c>
      <c r="AI377" s="61" t="n">
        <f aca="false">VLOOKUP(AH377,recipe_ingred_list!$K$29:$M$34,3,0)</f>
        <v>3</v>
      </c>
      <c r="AJ377" s="61" t="str">
        <f aca="false">IF(Q377="","",Q377)</f>
        <v/>
      </c>
      <c r="AK377" s="61" t="n">
        <f aca="false">AK376+1</f>
        <v>377</v>
      </c>
      <c r="AL377" s="61" t="str">
        <f aca="false">Y377</f>
        <v>capsicum</v>
      </c>
      <c r="AM377" s="81" t="str">
        <f aca="false">"a = Client().post('"&amp;W377&amp;"', {'recipe' : '"&amp;V377&amp;"', 'ingredient' : '"&amp;Z377&amp;"', 'name' : '"&amp;X377&amp;"', 'mass_unit' : '"&amp;AC377&amp;"', 'mass_quantity' : '"&amp;ROUND(AA377,3)&amp;"', 'volume_unit' : '"&amp;AF377&amp;"', 'volume_quantity' : '"&amp;ROUND(AD377,3)&amp;"', 'pieces_unit' : '"&amp;AI377&amp;"', 'pieces_quantity' : '"&amp;ROUND(AG377,3)&amp;"', 'cooking_notes' : '"&amp;AJ377&amp;"'}).status_code; print('%s :: %s :: %s :: %s :: %s' %(a,"&amp;G377&amp;",'"&amp;X377&amp;"','"&amp;Y377&amp;"','"&amp;U377&amp;"'))"</f>
        <v>a = Client().post('/recipes/varai-pulav/detail/', {'recipe' : '86', 'ingredient' : '42', 'name' : 'Capsicum', 'mass_unit' : '2', 'mass_quantity' : '3.5', 'volume_unit' : '1', 'volume_quantity' : '5', 'pieces_unit' : '3', 'pieces_quantity' : '0', 'cooking_notes' : ''}).status_code; print('%s :: %s :: %s :: %s :: %s' %(a,377,'Capsicum','capsicum','Varai Pulav'))</v>
      </c>
    </row>
    <row r="378" customFormat="false" ht="15" hidden="false" customHeight="false" outlineLevel="0" collapsed="false">
      <c r="G378" s="80" t="n">
        <v>378</v>
      </c>
      <c r="H378" s="98"/>
      <c r="I378" s="138" t="s">
        <v>35</v>
      </c>
      <c r="J378" s="136"/>
      <c r="K378" s="101"/>
      <c r="L378" s="101"/>
      <c r="M378" s="100"/>
      <c r="N378" s="100"/>
      <c r="O378" s="101"/>
      <c r="P378" s="100"/>
      <c r="Q378" s="102"/>
      <c r="R378" s="99" t="e">
        <f aca="false">VLOOKUP(J378,ingredient!$N$4:$O$553,2,0)</f>
        <v>#N/A</v>
      </c>
      <c r="S378" s="98"/>
      <c r="T378" s="98"/>
      <c r="U378" s="81" t="str">
        <f aca="false">I378</f>
        <v>Varai Pulav</v>
      </c>
      <c r="V378" s="81" t="n">
        <f aca="false">VLOOKUP(U378,recipe_ingred_list!$A$2:$B$300,2,0)</f>
        <v>86</v>
      </c>
      <c r="W378" s="81" t="str">
        <f aca="false">"/recipes/"&amp;VLOOKUP(U378,recipe_ingred_list!$A$2:$C$300,3,0)&amp;"/detail/"</f>
        <v>/recipes/varai-pulav/detail/</v>
      </c>
      <c r="X378" s="81" t="n">
        <f aca="false">J378</f>
        <v>0</v>
      </c>
      <c r="Y378" s="81" t="e">
        <f aca="false">R378</f>
        <v>#N/A</v>
      </c>
      <c r="Z378" s="94" t="e">
        <f aca="false">VLOOKUP(Y378,recipe_ingred_list!$D$2:$E$500,2,0)</f>
        <v>#N/A</v>
      </c>
      <c r="AA378" s="61" t="n">
        <f aca="false">K378</f>
        <v>0</v>
      </c>
      <c r="AB378" s="61" t="n">
        <f aca="false">L378</f>
        <v>0</v>
      </c>
      <c r="AC378" s="61" t="n">
        <f aca="false">VLOOKUP(AB378,recipe_ingred_list!$K$2:$M$7,3,0)</f>
        <v>2</v>
      </c>
      <c r="AD378" s="61" t="n">
        <f aca="false">M378</f>
        <v>0</v>
      </c>
      <c r="AE378" s="61" t="n">
        <f aca="false">N378</f>
        <v>0</v>
      </c>
      <c r="AF378" s="61" t="n">
        <f aca="false">VLOOKUP(AE378,recipe_ingred_list!$K$16:$M$25,3,0)</f>
        <v>1</v>
      </c>
      <c r="AG378" s="61" t="n">
        <f aca="false">O378</f>
        <v>0</v>
      </c>
      <c r="AH378" s="61" t="n">
        <f aca="false">P378</f>
        <v>0</v>
      </c>
      <c r="AI378" s="61" t="n">
        <f aca="false">VLOOKUP(AH378,recipe_ingred_list!$K$29:$M$34,3,0)</f>
        <v>3</v>
      </c>
      <c r="AJ378" s="61" t="str">
        <f aca="false">IF(Q378="","",Q378)</f>
        <v/>
      </c>
      <c r="AK378" s="61" t="n">
        <f aca="false">AK377+1</f>
        <v>378</v>
      </c>
      <c r="AL378" s="61" t="e">
        <f aca="false">Y378</f>
        <v>#N/A</v>
      </c>
      <c r="AM378" s="81" t="e">
        <f aca="false">"a = Client().post('"&amp;W378&amp;"', {'recipe' : '"&amp;V378&amp;"', 'ingredient' : '"&amp;Z378&amp;"', 'name' : '"&amp;X378&amp;"', 'mass_unit' : '"&amp;AC378&amp;"', 'mass_quantity' : '"&amp;ROUND(AA378,3)&amp;"', 'volume_unit' : '"&amp;AF378&amp;"', 'volume_quantity' : '"&amp;ROUND(AD378,3)&amp;"', 'pieces_unit' : '"&amp;AI378&amp;"', 'pieces_quantity' : '"&amp;ROUND(AG378,3)&amp;"', 'cooking_notes' : '"&amp;AJ378&amp;"'}).status_code; print('%s :: %s :: %s :: %s :: %s' %(a,"&amp;G378&amp;",'"&amp;X378&amp;"','"&amp;Y378&amp;"','"&amp;U378&amp;"'))"</f>
        <v>#N/A</v>
      </c>
    </row>
    <row r="379" customFormat="false" ht="15" hidden="false" customHeight="false" outlineLevel="0" collapsed="false">
      <c r="G379" s="80" t="n">
        <v>379</v>
      </c>
      <c r="I379" s="139" t="s">
        <v>35</v>
      </c>
      <c r="J379" s="120" t="s">
        <v>63</v>
      </c>
      <c r="K379" s="97" t="n">
        <v>20</v>
      </c>
      <c r="L379" s="97" t="s">
        <v>7</v>
      </c>
      <c r="R379" s="82" t="str">
        <f aca="false">VLOOKUP(J379,ingredient!$N$4:$O$553,2,0)</f>
        <v>flower</v>
      </c>
      <c r="U379" s="81" t="str">
        <f aca="false">I379</f>
        <v>Varai Pulav</v>
      </c>
      <c r="V379" s="81" t="n">
        <f aca="false">VLOOKUP(U379,recipe_ingred_list!$A$2:$B$300,2,0)</f>
        <v>86</v>
      </c>
      <c r="W379" s="81" t="str">
        <f aca="false">"/recipes/"&amp;VLOOKUP(U379,recipe_ingred_list!$A$2:$C$300,3,0)&amp;"/detail/"</f>
        <v>/recipes/varai-pulav/detail/</v>
      </c>
      <c r="X379" s="81" t="str">
        <f aca="false">J379</f>
        <v>Flower</v>
      </c>
      <c r="Y379" s="81" t="str">
        <f aca="false">R379</f>
        <v>flower</v>
      </c>
      <c r="Z379" s="94" t="n">
        <f aca="false">VLOOKUP(Y379,recipe_ingred_list!$D$2:$E$500,2,0)</f>
        <v>78</v>
      </c>
      <c r="AA379" s="61" t="n">
        <f aca="false">K379</f>
        <v>20</v>
      </c>
      <c r="AB379" s="61" t="str">
        <f aca="false">L379</f>
        <v>kg</v>
      </c>
      <c r="AC379" s="61" t="n">
        <f aca="false">VLOOKUP(AB379,recipe_ingred_list!$K$2:$M$7,3,0)</f>
        <v>2</v>
      </c>
      <c r="AD379" s="61" t="n">
        <f aca="false">M379</f>
        <v>0</v>
      </c>
      <c r="AE379" s="61" t="n">
        <f aca="false">N379</f>
        <v>0</v>
      </c>
      <c r="AF379" s="61" t="n">
        <f aca="false">VLOOKUP(AE379,recipe_ingred_list!$K$16:$M$25,3,0)</f>
        <v>1</v>
      </c>
      <c r="AG379" s="61" t="n">
        <f aca="false">O379</f>
        <v>0</v>
      </c>
      <c r="AH379" s="61" t="n">
        <f aca="false">P379</f>
        <v>0</v>
      </c>
      <c r="AI379" s="61" t="n">
        <f aca="false">VLOOKUP(AH379,recipe_ingred_list!$K$29:$M$34,3,0)</f>
        <v>3</v>
      </c>
      <c r="AJ379" s="61" t="str">
        <f aca="false">IF(Q379="","",Q379)</f>
        <v/>
      </c>
      <c r="AK379" s="61" t="n">
        <f aca="false">AK378+1</f>
        <v>379</v>
      </c>
      <c r="AL379" s="61" t="str">
        <f aca="false">Y379</f>
        <v>flower</v>
      </c>
      <c r="AM379" s="81" t="str">
        <f aca="false">"a = Client().post('"&amp;W379&amp;"', {'recipe' : '"&amp;V379&amp;"', 'ingredient' : '"&amp;Z379&amp;"', 'name' : '"&amp;X379&amp;"', 'mass_unit' : '"&amp;AC379&amp;"', 'mass_quantity' : '"&amp;ROUND(AA379,3)&amp;"', 'volume_unit' : '"&amp;AF379&amp;"', 'volume_quantity' : '"&amp;ROUND(AD379,3)&amp;"', 'pieces_unit' : '"&amp;AI379&amp;"', 'pieces_quantity' : '"&amp;ROUND(AG379,3)&amp;"', 'cooking_notes' : '"&amp;AJ379&amp;"'}).status_code; print('%s :: %s :: %s :: %s :: %s' %(a,"&amp;G379&amp;",'"&amp;X379&amp;"','"&amp;Y379&amp;"','"&amp;U379&amp;"'))"</f>
        <v>a = Client().post('/recipes/varai-pulav/detail/', {'recipe' : '86', 'ingredient' : '78', 'name' : 'Flower', 'mass_unit' : '2', 'mass_quantity' : '20', 'volume_unit' : '1', 'volume_quantity' : '0', 'pieces_unit' : '3', 'pieces_quantity' : '0', 'cooking_notes' : ''}).status_code; print('%s :: %s :: %s :: %s :: %s' %(a,379,'Flower','flower','Varai Pulav'))</v>
      </c>
    </row>
    <row r="380" customFormat="false" ht="15" hidden="false" customHeight="false" outlineLevel="0" collapsed="false">
      <c r="G380" s="80" t="n">
        <v>380</v>
      </c>
      <c r="I380" s="139" t="s">
        <v>35</v>
      </c>
      <c r="J380" s="120" t="s">
        <v>32</v>
      </c>
      <c r="M380" s="97" t="n">
        <v>4</v>
      </c>
      <c r="N380" s="97" t="s">
        <v>20</v>
      </c>
      <c r="R380" s="82" t="str">
        <f aca="false">VLOOKUP(J380,ingredient!$N$4:$O$553,2,0)</f>
        <v>salt</v>
      </c>
      <c r="U380" s="81" t="str">
        <f aca="false">I380</f>
        <v>Varai Pulav</v>
      </c>
      <c r="V380" s="81" t="n">
        <f aca="false">VLOOKUP(U380,recipe_ingred_list!$A$2:$B$300,2,0)</f>
        <v>86</v>
      </c>
      <c r="W380" s="81" t="str">
        <f aca="false">"/recipes/"&amp;VLOOKUP(U380,recipe_ingred_list!$A$2:$C$300,3,0)&amp;"/detail/"</f>
        <v>/recipes/varai-pulav/detail/</v>
      </c>
      <c r="X380" s="81" t="str">
        <f aca="false">J380</f>
        <v>Salt</v>
      </c>
      <c r="Y380" s="81" t="str">
        <f aca="false">R380</f>
        <v>salt</v>
      </c>
      <c r="Z380" s="94" t="n">
        <f aca="false">VLOOKUP(Y380,recipe_ingred_list!$D$2:$E$500,2,0)</f>
        <v>177</v>
      </c>
      <c r="AA380" s="61" t="n">
        <f aca="false">K380</f>
        <v>0</v>
      </c>
      <c r="AB380" s="61" t="n">
        <f aca="false">L380</f>
        <v>0</v>
      </c>
      <c r="AC380" s="61" t="n">
        <f aca="false">VLOOKUP(AB380,recipe_ingred_list!$K$2:$M$7,3,0)</f>
        <v>2</v>
      </c>
      <c r="AD380" s="61" t="n">
        <f aca="false">M380</f>
        <v>4</v>
      </c>
      <c r="AE380" s="61" t="str">
        <f aca="false">N380</f>
        <v>cup</v>
      </c>
      <c r="AF380" s="61" t="n">
        <f aca="false">VLOOKUP(AE380,recipe_ingred_list!$K$16:$M$25,3,0)</f>
        <v>5</v>
      </c>
      <c r="AG380" s="61" t="n">
        <f aca="false">O380</f>
        <v>0</v>
      </c>
      <c r="AH380" s="61" t="n">
        <f aca="false">P380</f>
        <v>0</v>
      </c>
      <c r="AI380" s="61" t="n">
        <f aca="false">VLOOKUP(AH380,recipe_ingred_list!$K$29:$M$34,3,0)</f>
        <v>3</v>
      </c>
      <c r="AJ380" s="61" t="str">
        <f aca="false">IF(Q380="","",Q380)</f>
        <v/>
      </c>
      <c r="AK380" s="61" t="n">
        <f aca="false">AK379+1</f>
        <v>380</v>
      </c>
      <c r="AL380" s="61" t="str">
        <f aca="false">Y380</f>
        <v>salt</v>
      </c>
      <c r="AM380" s="81" t="str">
        <f aca="false">"a = Client().post('"&amp;W380&amp;"', {'recipe' : '"&amp;V380&amp;"', 'ingredient' : '"&amp;Z380&amp;"', 'name' : '"&amp;X380&amp;"', 'mass_unit' : '"&amp;AC380&amp;"', 'mass_quantity' : '"&amp;ROUND(AA380,3)&amp;"', 'volume_unit' : '"&amp;AF380&amp;"', 'volume_quantity' : '"&amp;ROUND(AD380,3)&amp;"', 'pieces_unit' : '"&amp;AI380&amp;"', 'pieces_quantity' : '"&amp;ROUND(AG380,3)&amp;"', 'cooking_notes' : '"&amp;AJ380&amp;"'}).status_code; print('%s :: %s :: %s :: %s :: %s' %(a,"&amp;G380&amp;",'"&amp;X380&amp;"','"&amp;Y380&amp;"','"&amp;U380&amp;"'))"</f>
        <v>a = Client().post('/recipes/varai-pulav/detail/', {'recipe' : '86', 'ingredient' : '177', 'name' : 'Salt', 'mass_unit' : '2', 'mass_quantity' : '0', 'volume_unit' : '5', 'volume_quantity' : '4', 'pieces_unit' : '3', 'pieces_quantity' : '0', 'cooking_notes' : ''}).status_code; print('%s :: %s :: %s :: %s :: %s' %(a,380,'Salt','salt','Varai Pulav'))</v>
      </c>
    </row>
    <row r="381" customFormat="false" ht="15" hidden="false" customHeight="false" outlineLevel="0" collapsed="false">
      <c r="G381" s="80" t="n">
        <v>381</v>
      </c>
      <c r="I381" s="139" t="s">
        <v>35</v>
      </c>
      <c r="J381" s="120" t="s">
        <v>41</v>
      </c>
      <c r="M381" s="97" t="n">
        <v>2</v>
      </c>
      <c r="N381" s="97" t="s">
        <v>20</v>
      </c>
      <c r="R381" s="82" t="str">
        <f aca="false">VLOOKUP(J381,ingredient!$N$4:$O$553,2,0)</f>
        <v>everest pulav masala</v>
      </c>
      <c r="U381" s="81" t="str">
        <f aca="false">I381</f>
        <v>Varai Pulav</v>
      </c>
      <c r="V381" s="81" t="n">
        <f aca="false">VLOOKUP(U381,recipe_ingred_list!$A$2:$B$300,2,0)</f>
        <v>86</v>
      </c>
      <c r="W381" s="81" t="str">
        <f aca="false">"/recipes/"&amp;VLOOKUP(U381,recipe_ingred_list!$A$2:$C$300,3,0)&amp;"/detail/"</f>
        <v>/recipes/varai-pulav/detail/</v>
      </c>
      <c r="X381" s="81" t="str">
        <f aca="false">J381</f>
        <v>Everest Pulav Masala</v>
      </c>
      <c r="Y381" s="81" t="str">
        <f aca="false">R381</f>
        <v>everest pulav masala</v>
      </c>
      <c r="Z381" s="94" t="n">
        <f aca="false">VLOOKUP(Y381,recipe_ingred_list!$D$2:$E$500,2,0)</f>
        <v>74</v>
      </c>
      <c r="AA381" s="61" t="n">
        <f aca="false">K381</f>
        <v>0</v>
      </c>
      <c r="AB381" s="61" t="n">
        <f aca="false">L381</f>
        <v>0</v>
      </c>
      <c r="AC381" s="61" t="n">
        <f aca="false">VLOOKUP(AB381,recipe_ingred_list!$K$2:$M$7,3,0)</f>
        <v>2</v>
      </c>
      <c r="AD381" s="61" t="n">
        <f aca="false">M381</f>
        <v>2</v>
      </c>
      <c r="AE381" s="61" t="str">
        <f aca="false">N381</f>
        <v>cup</v>
      </c>
      <c r="AF381" s="61" t="n">
        <f aca="false">VLOOKUP(AE381,recipe_ingred_list!$K$16:$M$25,3,0)</f>
        <v>5</v>
      </c>
      <c r="AG381" s="61" t="n">
        <f aca="false">O381</f>
        <v>0</v>
      </c>
      <c r="AH381" s="61" t="n">
        <f aca="false">P381</f>
        <v>0</v>
      </c>
      <c r="AI381" s="61" t="n">
        <f aca="false">VLOOKUP(AH381,recipe_ingred_list!$K$29:$M$34,3,0)</f>
        <v>3</v>
      </c>
      <c r="AJ381" s="61" t="str">
        <f aca="false">IF(Q381="","",Q381)</f>
        <v/>
      </c>
      <c r="AK381" s="61" t="n">
        <f aca="false">AK380+1</f>
        <v>381</v>
      </c>
      <c r="AL381" s="61" t="str">
        <f aca="false">Y381</f>
        <v>everest pulav masala</v>
      </c>
      <c r="AM381" s="81" t="str">
        <f aca="false">"a = Client().post('"&amp;W381&amp;"', {'recipe' : '"&amp;V381&amp;"', 'ingredient' : '"&amp;Z381&amp;"', 'name' : '"&amp;X381&amp;"', 'mass_unit' : '"&amp;AC381&amp;"', 'mass_quantity' : '"&amp;ROUND(AA381,3)&amp;"', 'volume_unit' : '"&amp;AF381&amp;"', 'volume_quantity' : '"&amp;ROUND(AD381,3)&amp;"', 'pieces_unit' : '"&amp;AI381&amp;"', 'pieces_quantity' : '"&amp;ROUND(AG381,3)&amp;"', 'cooking_notes' : '"&amp;AJ381&amp;"'}).status_code; print('%s :: %s :: %s :: %s :: %s' %(a,"&amp;G381&amp;",'"&amp;X381&amp;"','"&amp;Y381&amp;"','"&amp;U381&amp;"'))"</f>
        <v>a = Client().post('/recipes/varai-pulav/detail/', {'recipe' : '86', 'ingredient' : '74', 'name' : 'Everest Pulav Masala', 'mass_unit' : '2', 'mass_quantity' : '0', 'volume_unit' : '5', 'volume_quantity' : '2', 'pieces_unit' : '3', 'pieces_quantity' : '0', 'cooking_notes' : ''}).status_code; print('%s :: %s :: %s :: %s :: %s' %(a,381,'Everest Pulav Masala','everest pulav masala','Varai Pulav'))</v>
      </c>
    </row>
    <row r="382" customFormat="false" ht="15" hidden="false" customHeight="false" outlineLevel="0" collapsed="false">
      <c r="G382" s="80" t="n">
        <v>382</v>
      </c>
      <c r="I382" s="139" t="s">
        <v>35</v>
      </c>
      <c r="J382" s="120" t="s">
        <v>43</v>
      </c>
      <c r="M382" s="97" t="n">
        <v>60</v>
      </c>
      <c r="N382" s="97" t="s">
        <v>13</v>
      </c>
      <c r="R382" s="82" t="str">
        <f aca="false">VLOOKUP(J382,ingredient!$N$4:$O$553,2,0)</f>
        <v>hot water</v>
      </c>
      <c r="U382" s="81" t="str">
        <f aca="false">I382</f>
        <v>Varai Pulav</v>
      </c>
      <c r="V382" s="81" t="n">
        <f aca="false">VLOOKUP(U382,recipe_ingred_list!$A$2:$B$300,2,0)</f>
        <v>86</v>
      </c>
      <c r="W382" s="81" t="str">
        <f aca="false">"/recipes/"&amp;VLOOKUP(U382,recipe_ingred_list!$A$2:$C$300,3,0)&amp;"/detail/"</f>
        <v>/recipes/varai-pulav/detail/</v>
      </c>
      <c r="X382" s="81" t="str">
        <f aca="false">J382</f>
        <v>Hot water</v>
      </c>
      <c r="Y382" s="81" t="str">
        <f aca="false">R382</f>
        <v>hot water</v>
      </c>
      <c r="Z382" s="94" t="n">
        <f aca="false">VLOOKUP(Y382,recipe_ingred_list!$D$2:$E$500,2,0)</f>
        <v>97</v>
      </c>
      <c r="AA382" s="61" t="n">
        <f aca="false">K382</f>
        <v>0</v>
      </c>
      <c r="AB382" s="61" t="n">
        <f aca="false">L382</f>
        <v>0</v>
      </c>
      <c r="AC382" s="61" t="n">
        <f aca="false">VLOOKUP(AB382,recipe_ingred_list!$K$2:$M$7,3,0)</f>
        <v>2</v>
      </c>
      <c r="AD382" s="61" t="n">
        <f aca="false">M382</f>
        <v>60</v>
      </c>
      <c r="AE382" s="61" t="str">
        <f aca="false">N382</f>
        <v>ltr</v>
      </c>
      <c r="AF382" s="61" t="n">
        <f aca="false">VLOOKUP(AE382,recipe_ingred_list!$K$16:$M$25,3,0)</f>
        <v>1</v>
      </c>
      <c r="AG382" s="61" t="n">
        <f aca="false">O382</f>
        <v>0</v>
      </c>
      <c r="AH382" s="61" t="n">
        <f aca="false">P382</f>
        <v>0</v>
      </c>
      <c r="AI382" s="61" t="n">
        <f aca="false">VLOOKUP(AH382,recipe_ingred_list!$K$29:$M$34,3,0)</f>
        <v>3</v>
      </c>
      <c r="AJ382" s="61" t="str">
        <f aca="false">IF(Q382="","",Q382)</f>
        <v/>
      </c>
      <c r="AK382" s="61" t="n">
        <f aca="false">AK381+1</f>
        <v>382</v>
      </c>
      <c r="AL382" s="61" t="str">
        <f aca="false">Y382</f>
        <v>hot water</v>
      </c>
      <c r="AM382" s="81" t="str">
        <f aca="false">"a = Client().post('"&amp;W382&amp;"', {'recipe' : '"&amp;V382&amp;"', 'ingredient' : '"&amp;Z382&amp;"', 'name' : '"&amp;X382&amp;"', 'mass_unit' : '"&amp;AC382&amp;"', 'mass_quantity' : '"&amp;ROUND(AA382,3)&amp;"', 'volume_unit' : '"&amp;AF382&amp;"', 'volume_quantity' : '"&amp;ROUND(AD382,3)&amp;"', 'pieces_unit' : '"&amp;AI382&amp;"', 'pieces_quantity' : '"&amp;ROUND(AG382,3)&amp;"', 'cooking_notes' : '"&amp;AJ382&amp;"'}).status_code; print('%s :: %s :: %s :: %s :: %s' %(a,"&amp;G382&amp;",'"&amp;X382&amp;"','"&amp;Y382&amp;"','"&amp;U382&amp;"'))"</f>
        <v>a = Client().post('/recipes/varai-pulav/detail/', {'recipe' : '86', 'ingredient' : '97', 'name' : 'Hot water', 'mass_unit' : '2', 'mass_quantity' : '0', 'volume_unit' : '1', 'volume_quantity' : '60', 'pieces_unit' : '3', 'pieces_quantity' : '0', 'cooking_notes' : ''}).status_code; print('%s :: %s :: %s :: %s :: %s' %(a,382,'Hot water','hot water','Varai Pulav'))</v>
      </c>
    </row>
    <row r="383" customFormat="false" ht="15" hidden="false" customHeight="false" outlineLevel="0" collapsed="false">
      <c r="G383" s="80" t="n">
        <v>383</v>
      </c>
      <c r="I383" s="139" t="s">
        <v>35</v>
      </c>
      <c r="J383" s="120" t="s">
        <v>44</v>
      </c>
      <c r="M383" s="97" t="n">
        <v>4</v>
      </c>
      <c r="N383" s="97" t="s">
        <v>20</v>
      </c>
      <c r="R383" s="82" t="str">
        <f aca="false">VLOOKUP(J383,ingredient!$N$4:$O$553,2,0)</f>
        <v>sugar</v>
      </c>
      <c r="U383" s="81" t="str">
        <f aca="false">I383</f>
        <v>Varai Pulav</v>
      </c>
      <c r="V383" s="81" t="n">
        <f aca="false">VLOOKUP(U383,recipe_ingred_list!$A$2:$B$300,2,0)</f>
        <v>86</v>
      </c>
      <c r="W383" s="81" t="str">
        <f aca="false">"/recipes/"&amp;VLOOKUP(U383,recipe_ingred_list!$A$2:$C$300,3,0)&amp;"/detail/"</f>
        <v>/recipes/varai-pulav/detail/</v>
      </c>
      <c r="X383" s="81" t="str">
        <f aca="false">J383</f>
        <v>sugar</v>
      </c>
      <c r="Y383" s="81" t="str">
        <f aca="false">R383</f>
        <v>sugar</v>
      </c>
      <c r="Z383" s="94" t="n">
        <f aca="false">VLOOKUP(Y383,recipe_ingred_list!$D$2:$E$500,2,0)</f>
        <v>187</v>
      </c>
      <c r="AA383" s="61" t="n">
        <f aca="false">K383</f>
        <v>0</v>
      </c>
      <c r="AB383" s="61" t="n">
        <f aca="false">L383</f>
        <v>0</v>
      </c>
      <c r="AC383" s="61" t="n">
        <f aca="false">VLOOKUP(AB383,recipe_ingred_list!$K$2:$M$7,3,0)</f>
        <v>2</v>
      </c>
      <c r="AD383" s="61" t="n">
        <f aca="false">M383</f>
        <v>4</v>
      </c>
      <c r="AE383" s="61" t="str">
        <f aca="false">N383</f>
        <v>cup</v>
      </c>
      <c r="AF383" s="61" t="n">
        <f aca="false">VLOOKUP(AE383,recipe_ingred_list!$K$16:$M$25,3,0)</f>
        <v>5</v>
      </c>
      <c r="AG383" s="61" t="n">
        <f aca="false">O383</f>
        <v>0</v>
      </c>
      <c r="AH383" s="61" t="n">
        <f aca="false">P383</f>
        <v>0</v>
      </c>
      <c r="AI383" s="61" t="n">
        <f aca="false">VLOOKUP(AH383,recipe_ingred_list!$K$29:$M$34,3,0)</f>
        <v>3</v>
      </c>
      <c r="AJ383" s="61" t="str">
        <f aca="false">IF(Q383="","",Q383)</f>
        <v/>
      </c>
      <c r="AK383" s="61" t="n">
        <f aca="false">AK382+1</f>
        <v>383</v>
      </c>
      <c r="AL383" s="61" t="str">
        <f aca="false">Y383</f>
        <v>sugar</v>
      </c>
      <c r="AM383" s="81" t="str">
        <f aca="false">"a = Client().post('"&amp;W383&amp;"', {'recipe' : '"&amp;V383&amp;"', 'ingredient' : '"&amp;Z383&amp;"', 'name' : '"&amp;X383&amp;"', 'mass_unit' : '"&amp;AC383&amp;"', 'mass_quantity' : '"&amp;ROUND(AA383,3)&amp;"', 'volume_unit' : '"&amp;AF383&amp;"', 'volume_quantity' : '"&amp;ROUND(AD383,3)&amp;"', 'pieces_unit' : '"&amp;AI383&amp;"', 'pieces_quantity' : '"&amp;ROUND(AG383,3)&amp;"', 'cooking_notes' : '"&amp;AJ383&amp;"'}).status_code; print('%s :: %s :: %s :: %s :: %s' %(a,"&amp;G383&amp;",'"&amp;X383&amp;"','"&amp;Y383&amp;"','"&amp;U383&amp;"'))"</f>
        <v>a = Client().post('/recipes/varai-pulav/detail/', {'recipe' : '86', 'ingredient' : '187', 'name' : 'sugar', 'mass_unit' : '2', 'mass_quantity' : '0', 'volume_unit' : '5', 'volume_quantity' : '4', 'pieces_unit' : '3', 'pieces_quantity' : '0', 'cooking_notes' : ''}).status_code; print('%s :: %s :: %s :: %s :: %s' %(a,383,'sugar','sugar','Varai Pulav'))</v>
      </c>
    </row>
    <row r="384" customFormat="false" ht="15" hidden="false" customHeight="false" outlineLevel="0" collapsed="false">
      <c r="G384" s="80" t="n">
        <v>384</v>
      </c>
      <c r="H384" s="98"/>
      <c r="I384" s="138" t="s">
        <v>35</v>
      </c>
      <c r="J384" s="140" t="s">
        <v>46</v>
      </c>
      <c r="K384" s="100"/>
      <c r="L384" s="100"/>
      <c r="M384" s="100"/>
      <c r="N384" s="100"/>
      <c r="O384" s="138" t="n">
        <v>3.5</v>
      </c>
      <c r="P384" s="138" t="s">
        <v>47</v>
      </c>
      <c r="Q384" s="102"/>
      <c r="R384" s="99" t="e">
        <f aca="false">VLOOKUP(J384,ingredient!$N$4:$O$553,2,0)</f>
        <v>#N/A</v>
      </c>
      <c r="S384" s="98"/>
      <c r="T384" s="98"/>
      <c r="U384" s="81" t="str">
        <f aca="false">I384</f>
        <v>Varai Pulav</v>
      </c>
      <c r="V384" s="81" t="n">
        <f aca="false">VLOOKUP(U384,recipe_ingred_list!$A$2:$B$300,2,0)</f>
        <v>86</v>
      </c>
      <c r="W384" s="81" t="str">
        <f aca="false">"/recipes/"&amp;VLOOKUP(U384,recipe_ingred_list!$A$2:$C$300,3,0)&amp;"/detail/"</f>
        <v>/recipes/varai-pulav/detail/</v>
      </c>
      <c r="X384" s="81" t="str">
        <f aca="false">J384</f>
        <v>Yield</v>
      </c>
      <c r="Y384" s="81" t="e">
        <f aca="false">R384</f>
        <v>#N/A</v>
      </c>
      <c r="Z384" s="94" t="e">
        <f aca="false">VLOOKUP(Y384,recipe_ingred_list!$D$2:$E$500,2,0)</f>
        <v>#N/A</v>
      </c>
      <c r="AA384" s="61" t="n">
        <f aca="false">K384</f>
        <v>0</v>
      </c>
      <c r="AB384" s="61" t="n">
        <f aca="false">L384</f>
        <v>0</v>
      </c>
      <c r="AC384" s="61" t="n">
        <f aca="false">VLOOKUP(AB384,recipe_ingred_list!$K$2:$M$7,3,0)</f>
        <v>2</v>
      </c>
      <c r="AD384" s="61" t="n">
        <f aca="false">M384</f>
        <v>0</v>
      </c>
      <c r="AE384" s="61" t="n">
        <f aca="false">N384</f>
        <v>0</v>
      </c>
      <c r="AF384" s="61" t="n">
        <f aca="false">VLOOKUP(AE384,recipe_ingred_list!$K$16:$M$25,3,0)</f>
        <v>1</v>
      </c>
      <c r="AG384" s="61" t="n">
        <f aca="false">O384</f>
        <v>3.5</v>
      </c>
      <c r="AH384" s="61" t="str">
        <f aca="false">P384</f>
        <v>Tub</v>
      </c>
      <c r="AI384" s="61" t="e">
        <f aca="false">VLOOKUP(AH384,recipe_ingred_list!$K$29:$M$34,3,0)</f>
        <v>#N/A</v>
      </c>
      <c r="AJ384" s="61" t="str">
        <f aca="false">IF(Q384="","",Q384)</f>
        <v/>
      </c>
      <c r="AK384" s="61" t="n">
        <f aca="false">AK383+1</f>
        <v>384</v>
      </c>
      <c r="AL384" s="61" t="e">
        <f aca="false">Y384</f>
        <v>#N/A</v>
      </c>
      <c r="AM384" s="81" t="e">
        <f aca="false">"a = Client().post('"&amp;W384&amp;"', {'recipe' : '"&amp;V384&amp;"', 'ingredient' : '"&amp;Z384&amp;"', 'name' : '"&amp;X384&amp;"', 'mass_unit' : '"&amp;AC384&amp;"', 'mass_quantity' : '"&amp;ROUND(AA384,3)&amp;"', 'volume_unit' : '"&amp;AF384&amp;"', 'volume_quantity' : '"&amp;ROUND(AD384,3)&amp;"', 'pieces_unit' : '"&amp;AI384&amp;"', 'pieces_quantity' : '"&amp;ROUND(AG384,3)&amp;"', 'cooking_notes' : '"&amp;AJ384&amp;"'}).status_code; print('%s :: %s :: %s :: %s :: %s' %(a,"&amp;G384&amp;",'"&amp;X384&amp;"','"&amp;Y384&amp;"','"&amp;U384&amp;"'))"</f>
        <v>#N/A</v>
      </c>
    </row>
    <row r="385" customFormat="false" ht="13.8" hidden="false" customHeight="false" outlineLevel="0" collapsed="false">
      <c r="G385" s="80" t="n">
        <v>385</v>
      </c>
      <c r="H385" s="98"/>
      <c r="I385" s="99"/>
      <c r="J385" s="79"/>
      <c r="K385" s="100"/>
      <c r="L385" s="100"/>
      <c r="M385" s="100"/>
      <c r="N385" s="100"/>
      <c r="O385" s="101"/>
      <c r="P385" s="100"/>
      <c r="Q385" s="102"/>
      <c r="R385" s="99" t="e">
        <f aca="false">VLOOKUP(J385,ingredient!$N$4:$O$553,2,0)</f>
        <v>#N/A</v>
      </c>
      <c r="S385" s="98"/>
      <c r="T385" s="98"/>
      <c r="U385" s="81" t="n">
        <f aca="false">I385</f>
        <v>0</v>
      </c>
      <c r="V385" s="81" t="e">
        <f aca="false">VLOOKUP(U385,recipe_ingred_list!$A$2:$B$300,2,0)</f>
        <v>#N/A</v>
      </c>
      <c r="W385" s="81" t="e">
        <f aca="false">"/recipes/"&amp;VLOOKUP(U385,recipe_ingred_list!$A$2:$C$300,3,0)&amp;"/detail/"</f>
        <v>#N/A</v>
      </c>
      <c r="X385" s="81" t="n">
        <f aca="false">J385</f>
        <v>0</v>
      </c>
      <c r="Y385" s="81" t="e">
        <f aca="false">R385</f>
        <v>#N/A</v>
      </c>
      <c r="Z385" s="94" t="e">
        <f aca="false">VLOOKUP(Y385,recipe_ingred_list!$D$2:$E$500,2,0)</f>
        <v>#N/A</v>
      </c>
      <c r="AA385" s="61" t="n">
        <f aca="false">K385</f>
        <v>0</v>
      </c>
      <c r="AB385" s="61" t="n">
        <f aca="false">L385</f>
        <v>0</v>
      </c>
      <c r="AC385" s="61" t="n">
        <f aca="false">VLOOKUP(AB385,recipe_ingred_list!$K$2:$M$7,3,0)</f>
        <v>2</v>
      </c>
      <c r="AD385" s="61" t="n">
        <f aca="false">M385</f>
        <v>0</v>
      </c>
      <c r="AE385" s="61" t="n">
        <f aca="false">N385</f>
        <v>0</v>
      </c>
      <c r="AF385" s="61" t="n">
        <f aca="false">VLOOKUP(AE385,recipe_ingred_list!$K$16:$M$25,3,0)</f>
        <v>1</v>
      </c>
      <c r="AG385" s="61" t="n">
        <f aca="false">O385</f>
        <v>0</v>
      </c>
      <c r="AH385" s="61" t="n">
        <f aca="false">P385</f>
        <v>0</v>
      </c>
      <c r="AI385" s="61" t="n">
        <f aca="false">VLOOKUP(AH385,recipe_ingred_list!$K$29:$M$34,3,0)</f>
        <v>3</v>
      </c>
      <c r="AJ385" s="61" t="str">
        <f aca="false">IF(Q385="","",Q385)</f>
        <v/>
      </c>
      <c r="AK385" s="61" t="n">
        <f aca="false">AK384+1</f>
        <v>385</v>
      </c>
      <c r="AL385" s="61" t="e">
        <f aca="false">Y385</f>
        <v>#N/A</v>
      </c>
      <c r="AM385" s="81" t="e">
        <f aca="false">"a = Client().post('"&amp;W385&amp;"', {'recipe' : '"&amp;V385&amp;"', 'ingredient' : '"&amp;Z385&amp;"', 'name' : '"&amp;X385&amp;"', 'mass_unit' : '"&amp;AC385&amp;"', 'mass_quantity' : '"&amp;ROUND(AA385,3)&amp;"', 'volume_unit' : '"&amp;AF385&amp;"', 'volume_quantity' : '"&amp;ROUND(AD385,3)&amp;"', 'pieces_unit' : '"&amp;AI385&amp;"', 'pieces_quantity' : '"&amp;ROUND(AG385,3)&amp;"', 'cooking_notes' : '"&amp;AJ385&amp;"'}).status_code; print('%s :: %s :: %s :: %s :: %s' %(a,"&amp;G385&amp;",'"&amp;X385&amp;"','"&amp;Y385&amp;"','"&amp;U385&amp;"'))"</f>
        <v>#N/A</v>
      </c>
    </row>
    <row r="386" customFormat="false" ht="13.8" hidden="false" customHeight="false" outlineLevel="0" collapsed="false">
      <c r="G386" s="80" t="n">
        <v>386</v>
      </c>
      <c r="H386" s="98"/>
      <c r="I386" s="99"/>
      <c r="J386" s="105"/>
      <c r="K386" s="141"/>
      <c r="L386" s="141"/>
      <c r="M386" s="100"/>
      <c r="N386" s="100"/>
      <c r="O386" s="101"/>
      <c r="P386" s="100"/>
      <c r="Q386" s="102"/>
      <c r="R386" s="99" t="e">
        <f aca="false">VLOOKUP(J386,ingredient!$N$4:$O$553,2,0)</f>
        <v>#N/A</v>
      </c>
      <c r="S386" s="98"/>
      <c r="T386" s="98"/>
      <c r="U386" s="81" t="n">
        <f aca="false">I386</f>
        <v>0</v>
      </c>
      <c r="V386" s="81" t="e">
        <f aca="false">VLOOKUP(U386,recipe_ingred_list!$A$2:$B$300,2,0)</f>
        <v>#N/A</v>
      </c>
      <c r="W386" s="81" t="e">
        <f aca="false">"/recipes/"&amp;VLOOKUP(U386,recipe_ingred_list!$A$2:$C$300,3,0)&amp;"/detail/"</f>
        <v>#N/A</v>
      </c>
      <c r="X386" s="81" t="n">
        <f aca="false">J386</f>
        <v>0</v>
      </c>
      <c r="Y386" s="81" t="e">
        <f aca="false">R386</f>
        <v>#N/A</v>
      </c>
      <c r="Z386" s="94" t="e">
        <f aca="false">VLOOKUP(Y386,recipe_ingred_list!$D$2:$E$500,2,0)</f>
        <v>#N/A</v>
      </c>
      <c r="AA386" s="61" t="n">
        <f aca="false">K386</f>
        <v>0</v>
      </c>
      <c r="AB386" s="61" t="n">
        <f aca="false">L386</f>
        <v>0</v>
      </c>
      <c r="AC386" s="61" t="n">
        <f aca="false">VLOOKUP(AB386,recipe_ingred_list!$K$2:$M$7,3,0)</f>
        <v>2</v>
      </c>
      <c r="AD386" s="61" t="n">
        <f aca="false">M386</f>
        <v>0</v>
      </c>
      <c r="AE386" s="61" t="n">
        <f aca="false">N386</f>
        <v>0</v>
      </c>
      <c r="AF386" s="61" t="n">
        <f aca="false">VLOOKUP(AE386,recipe_ingred_list!$K$16:$M$25,3,0)</f>
        <v>1</v>
      </c>
      <c r="AG386" s="61" t="n">
        <f aca="false">O386</f>
        <v>0</v>
      </c>
      <c r="AH386" s="61" t="n">
        <f aca="false">P386</f>
        <v>0</v>
      </c>
      <c r="AI386" s="61" t="n">
        <f aca="false">VLOOKUP(AH386,recipe_ingred_list!$K$29:$M$34,3,0)</f>
        <v>3</v>
      </c>
      <c r="AJ386" s="61" t="str">
        <f aca="false">IF(Q386="","",Q386)</f>
        <v/>
      </c>
      <c r="AK386" s="61" t="n">
        <f aca="false">AK385+1</f>
        <v>386</v>
      </c>
      <c r="AL386" s="61" t="e">
        <f aca="false">Y386</f>
        <v>#N/A</v>
      </c>
      <c r="AM386" s="81" t="e">
        <f aca="false">"a = Client().post('"&amp;W386&amp;"', {'recipe' : '"&amp;V386&amp;"', 'ingredient' : '"&amp;Z386&amp;"', 'name' : '"&amp;X386&amp;"', 'mass_unit' : '"&amp;AC386&amp;"', 'mass_quantity' : '"&amp;ROUND(AA386,3)&amp;"', 'volume_unit' : '"&amp;AF386&amp;"', 'volume_quantity' : '"&amp;ROUND(AD386,3)&amp;"', 'pieces_unit' : '"&amp;AI386&amp;"', 'pieces_quantity' : '"&amp;ROUND(AG386,3)&amp;"', 'cooking_notes' : '"&amp;AJ386&amp;"'}).status_code; print('%s :: %s :: %s :: %s :: %s' %(a,"&amp;G386&amp;",'"&amp;X386&amp;"','"&amp;Y386&amp;"','"&amp;U386&amp;"'))"</f>
        <v>#N/A</v>
      </c>
    </row>
    <row r="387" customFormat="false" ht="14.9" hidden="false" customHeight="false" outlineLevel="0" collapsed="false">
      <c r="G387" s="80" t="n">
        <v>387</v>
      </c>
      <c r="I387" s="85" t="s">
        <v>337</v>
      </c>
      <c r="J387" s="142" t="s">
        <v>627</v>
      </c>
      <c r="K387" s="61" t="n">
        <v>11.9</v>
      </c>
      <c r="L387" s="69" t="s">
        <v>7</v>
      </c>
      <c r="Q387" s="86" t="s">
        <v>628</v>
      </c>
      <c r="R387" s="82" t="str">
        <f aca="false">VLOOKUP(J387,ingredient!$N$4:$O$553,2,0)</f>
        <v>sweet corn</v>
      </c>
      <c r="U387" s="81" t="str">
        <f aca="false">I387</f>
        <v>Sweet Corn Italia</v>
      </c>
      <c r="V387" s="81" t="n">
        <f aca="false">VLOOKUP(U387,recipe_ingred_list!$A$2:$B$300,2,0)</f>
        <v>76</v>
      </c>
      <c r="W387" s="81" t="str">
        <f aca="false">"/recipes/"&amp;VLOOKUP(U387,recipe_ingred_list!$A$2:$C$300,3,0)&amp;"/detail/"</f>
        <v>/recipes/sweet-corn-italia/detail/</v>
      </c>
      <c r="X387" s="81" t="str">
        <f aca="false">J387</f>
        <v>Sweet corn (boiled)</v>
      </c>
      <c r="Y387" s="81" t="str">
        <f aca="false">R387</f>
        <v>sweet corn</v>
      </c>
      <c r="Z387" s="94" t="n">
        <f aca="false">VLOOKUP(Y387,recipe_ingred_list!$D$2:$E$500,2,0)</f>
        <v>188</v>
      </c>
      <c r="AA387" s="61" t="n">
        <f aca="false">K387</f>
        <v>11.9</v>
      </c>
      <c r="AB387" s="61" t="str">
        <f aca="false">L387</f>
        <v>kg</v>
      </c>
      <c r="AC387" s="61" t="n">
        <f aca="false">VLOOKUP(AB387,recipe_ingred_list!$K$2:$M$7,3,0)</f>
        <v>2</v>
      </c>
      <c r="AD387" s="61" t="n">
        <f aca="false">M387</f>
        <v>0</v>
      </c>
      <c r="AE387" s="61" t="n">
        <f aca="false">N387</f>
        <v>0</v>
      </c>
      <c r="AF387" s="61" t="n">
        <f aca="false">VLOOKUP(AE387,recipe_ingred_list!$K$16:$M$25,3,0)</f>
        <v>1</v>
      </c>
      <c r="AG387" s="61" t="n">
        <f aca="false">O387</f>
        <v>0</v>
      </c>
      <c r="AH387" s="61" t="n">
        <f aca="false">P387</f>
        <v>0</v>
      </c>
      <c r="AI387" s="61" t="n">
        <f aca="false">VLOOKUP(AH387,recipe_ingred_list!$K$29:$M$34,3,0)</f>
        <v>3</v>
      </c>
      <c r="AJ387" s="61" t="str">
        <f aca="false">IF(Q387="","",Q387)</f>
        <v>(small size corn preferred)</v>
      </c>
      <c r="AK387" s="61" t="n">
        <f aca="false">AK386+1</f>
        <v>387</v>
      </c>
      <c r="AL387" s="61" t="str">
        <f aca="false">Y387</f>
        <v>sweet corn</v>
      </c>
      <c r="AM387" s="81" t="str">
        <f aca="false">"a = Client().post('"&amp;W387&amp;"', {'recipe' : '"&amp;V387&amp;"', 'ingredient' : '"&amp;Z387&amp;"', 'name' : '"&amp;X387&amp;"', 'mass_unit' : '"&amp;AC387&amp;"', 'mass_quantity' : '"&amp;ROUND(AA387,3)&amp;"', 'volume_unit' : '"&amp;AF387&amp;"', 'volume_quantity' : '"&amp;ROUND(AD387,3)&amp;"', 'pieces_unit' : '"&amp;AI387&amp;"', 'pieces_quantity' : '"&amp;ROUND(AG387,3)&amp;"', 'cooking_notes' : '"&amp;AJ387&amp;"'}).status_code; print('%s :: %s :: %s :: %s :: %s' %(a,"&amp;G387&amp;",'"&amp;X387&amp;"','"&amp;Y387&amp;"','"&amp;U387&amp;"'))"</f>
        <v>a = Client().post('/recipes/sweet-corn-italia/detail/', {'recipe' : '76', 'ingredient' : '188', 'name' : 'Sweet corn (boiled)', 'mass_unit' : '2', 'mass_quantity' : '11.9', 'volume_unit' : '1', 'volume_quantity' : '0', 'pieces_unit' : '3', 'pieces_quantity' : '0', 'cooking_notes' : '(small size corn preferred)'}).status_code; print('%s :: %s :: %s :: %s :: %s' %(a,387,'Sweet corn (boiled)','sweet corn','Sweet Corn Italia'))</v>
      </c>
    </row>
    <row r="388" customFormat="false" ht="14.9" hidden="false" customHeight="false" outlineLevel="0" collapsed="false">
      <c r="G388" s="80" t="n">
        <v>388</v>
      </c>
      <c r="I388" s="85" t="s">
        <v>337</v>
      </c>
      <c r="J388" s="142" t="s">
        <v>629</v>
      </c>
      <c r="K388" s="61" t="n">
        <v>3.5</v>
      </c>
      <c r="L388" s="69" t="s">
        <v>7</v>
      </c>
      <c r="Q388" s="86" t="s">
        <v>630</v>
      </c>
      <c r="R388" s="82" t="str">
        <f aca="false">VLOOKUP(J388,ingredient!$N$4:$O$553,2,0)</f>
        <v>red capsicum</v>
      </c>
      <c r="U388" s="81" t="str">
        <f aca="false">I388</f>
        <v>Sweet Corn Italia</v>
      </c>
      <c r="V388" s="81" t="n">
        <f aca="false">VLOOKUP(U388,recipe_ingred_list!$A$2:$B$300,2,0)</f>
        <v>76</v>
      </c>
      <c r="W388" s="81" t="str">
        <f aca="false">"/recipes/"&amp;VLOOKUP(U388,recipe_ingred_list!$A$2:$C$300,3,0)&amp;"/detail/"</f>
        <v>/recipes/sweet-corn-italia/detail/</v>
      </c>
      <c r="X388" s="81" t="str">
        <f aca="false">J388</f>
        <v>Red capsicum </v>
      </c>
      <c r="Y388" s="81" t="str">
        <f aca="false">R388</f>
        <v>red capsicum</v>
      </c>
      <c r="Z388" s="94" t="n">
        <f aca="false">VLOOKUP(Y388,recipe_ingred_list!$D$2:$E$500,2,0)</f>
        <v>168</v>
      </c>
      <c r="AA388" s="61" t="n">
        <f aca="false">K388</f>
        <v>3.5</v>
      </c>
      <c r="AB388" s="61" t="str">
        <f aca="false">L388</f>
        <v>kg</v>
      </c>
      <c r="AC388" s="61" t="n">
        <f aca="false">VLOOKUP(AB388,recipe_ingred_list!$K$2:$M$7,3,0)</f>
        <v>2</v>
      </c>
      <c r="AD388" s="61" t="n">
        <f aca="false">M388</f>
        <v>0</v>
      </c>
      <c r="AE388" s="61" t="n">
        <f aca="false">N388</f>
        <v>0</v>
      </c>
      <c r="AF388" s="61" t="n">
        <f aca="false">VLOOKUP(AE388,recipe_ingred_list!$K$16:$M$25,3,0)</f>
        <v>1</v>
      </c>
      <c r="AG388" s="61" t="n">
        <f aca="false">O388</f>
        <v>0</v>
      </c>
      <c r="AH388" s="61" t="n">
        <f aca="false">P388</f>
        <v>0</v>
      </c>
      <c r="AI388" s="61" t="n">
        <f aca="false">VLOOKUP(AH388,recipe_ingred_list!$K$29:$M$34,3,0)</f>
        <v>3</v>
      </c>
      <c r="AJ388" s="61" t="str">
        <f aca="false">IF(Q388="","",Q388)</f>
        <v>(small square sauteed)</v>
      </c>
      <c r="AK388" s="61" t="n">
        <f aca="false">AK387+1</f>
        <v>388</v>
      </c>
      <c r="AL388" s="61" t="str">
        <f aca="false">Y388</f>
        <v>red capsicum</v>
      </c>
      <c r="AM388" s="81" t="str">
        <f aca="false">"a = Client().post('"&amp;W388&amp;"', {'recipe' : '"&amp;V388&amp;"', 'ingredient' : '"&amp;Z388&amp;"', 'name' : '"&amp;X388&amp;"', 'mass_unit' : '"&amp;AC388&amp;"', 'mass_quantity' : '"&amp;ROUND(AA388,3)&amp;"', 'volume_unit' : '"&amp;AF388&amp;"', 'volume_quantity' : '"&amp;ROUND(AD388,3)&amp;"', 'pieces_unit' : '"&amp;AI388&amp;"', 'pieces_quantity' : '"&amp;ROUND(AG388,3)&amp;"', 'cooking_notes' : '"&amp;AJ388&amp;"'}).status_code; print('%s :: %s :: %s :: %s :: %s' %(a,"&amp;G388&amp;",'"&amp;X388&amp;"','"&amp;Y388&amp;"','"&amp;U388&amp;"'))"</f>
        <v>a = Client().post('/recipes/sweet-corn-italia/detail/', {'recipe' : '76', 'ingredient' : '168', 'name' : 'Red capsicum ', 'mass_unit' : '2', 'mass_quantity' : '3.5', 'volume_unit' : '1', 'volume_quantity' : '0', 'pieces_unit' : '3', 'pieces_quantity' : '0', 'cooking_notes' : '(small square sauteed)'}).status_code; print('%s :: %s :: %s :: %s :: %s' %(a,388,'Red capsicum ','red capsicum','Sweet Corn Italia'))</v>
      </c>
    </row>
    <row r="389" customFormat="false" ht="14.9" hidden="false" customHeight="false" outlineLevel="0" collapsed="false">
      <c r="G389" s="80" t="n">
        <v>389</v>
      </c>
      <c r="I389" s="85" t="s">
        <v>337</v>
      </c>
      <c r="J389" s="142" t="s">
        <v>631</v>
      </c>
      <c r="K389" s="61" t="n">
        <v>3.5</v>
      </c>
      <c r="L389" s="69" t="s">
        <v>7</v>
      </c>
      <c r="Q389" s="143" t="s">
        <v>630</v>
      </c>
      <c r="R389" s="82" t="str">
        <f aca="false">VLOOKUP(J389,ingredient!$N$4:$O$553,2,0)</f>
        <v>green capsicum</v>
      </c>
      <c r="U389" s="81" t="str">
        <f aca="false">I389</f>
        <v>Sweet Corn Italia</v>
      </c>
      <c r="V389" s="81" t="n">
        <f aca="false">VLOOKUP(U389,recipe_ingred_list!$A$2:$B$300,2,0)</f>
        <v>76</v>
      </c>
      <c r="W389" s="81" t="str">
        <f aca="false">"/recipes/"&amp;VLOOKUP(U389,recipe_ingred_list!$A$2:$C$300,3,0)&amp;"/detail/"</f>
        <v>/recipes/sweet-corn-italia/detail/</v>
      </c>
      <c r="X389" s="81" t="str">
        <f aca="false">J389</f>
        <v>Green capsicum</v>
      </c>
      <c r="Y389" s="81" t="str">
        <f aca="false">R389</f>
        <v>green capsicum</v>
      </c>
      <c r="Z389" s="94" t="n">
        <f aca="false">VLOOKUP(Y389,recipe_ingred_list!$D$2:$E$500,2,0)</f>
        <v>84</v>
      </c>
      <c r="AA389" s="61" t="n">
        <f aca="false">K389</f>
        <v>3.5</v>
      </c>
      <c r="AB389" s="61" t="str">
        <f aca="false">L389</f>
        <v>kg</v>
      </c>
      <c r="AC389" s="61" t="n">
        <f aca="false">VLOOKUP(AB389,recipe_ingred_list!$K$2:$M$7,3,0)</f>
        <v>2</v>
      </c>
      <c r="AD389" s="61" t="n">
        <f aca="false">M389</f>
        <v>0</v>
      </c>
      <c r="AE389" s="61" t="n">
        <f aca="false">N389</f>
        <v>0</v>
      </c>
      <c r="AF389" s="61" t="n">
        <f aca="false">VLOOKUP(AE389,recipe_ingred_list!$K$16:$M$25,3,0)</f>
        <v>1</v>
      </c>
      <c r="AG389" s="61" t="n">
        <f aca="false">O389</f>
        <v>0</v>
      </c>
      <c r="AH389" s="61" t="n">
        <f aca="false">P389</f>
        <v>0</v>
      </c>
      <c r="AI389" s="61" t="n">
        <f aca="false">VLOOKUP(AH389,recipe_ingred_list!$K$29:$M$34,3,0)</f>
        <v>3</v>
      </c>
      <c r="AJ389" s="61" t="str">
        <f aca="false">IF(Q389="","",Q389)</f>
        <v>(small square sauteed)</v>
      </c>
      <c r="AK389" s="61" t="n">
        <f aca="false">AK388+1</f>
        <v>389</v>
      </c>
      <c r="AL389" s="61" t="str">
        <f aca="false">Y389</f>
        <v>green capsicum</v>
      </c>
      <c r="AM389" s="81" t="str">
        <f aca="false">"a = Client().post('"&amp;W389&amp;"', {'recipe' : '"&amp;V389&amp;"', 'ingredient' : '"&amp;Z389&amp;"', 'name' : '"&amp;X389&amp;"', 'mass_unit' : '"&amp;AC389&amp;"', 'mass_quantity' : '"&amp;ROUND(AA389,3)&amp;"', 'volume_unit' : '"&amp;AF389&amp;"', 'volume_quantity' : '"&amp;ROUND(AD389,3)&amp;"', 'pieces_unit' : '"&amp;AI389&amp;"', 'pieces_quantity' : '"&amp;ROUND(AG389,3)&amp;"', 'cooking_notes' : '"&amp;AJ389&amp;"'}).status_code; print('%s :: %s :: %s :: %s :: %s' %(a,"&amp;G389&amp;",'"&amp;X389&amp;"','"&amp;Y389&amp;"','"&amp;U389&amp;"'))"</f>
        <v>a = Client().post('/recipes/sweet-corn-italia/detail/', {'recipe' : '76', 'ingredient' : '84', 'name' : 'Green capsicum', 'mass_unit' : '2', 'mass_quantity' : '3.5', 'volume_unit' : '1', 'volume_quantity' : '0', 'pieces_unit' : '3', 'pieces_quantity' : '0', 'cooking_notes' : '(small square sauteed)'}).status_code; print('%s :: %s :: %s :: %s :: %s' %(a,389,'Green capsicum','green capsicum','Sweet Corn Italia'))</v>
      </c>
    </row>
    <row r="390" customFormat="false" ht="13.8" hidden="false" customHeight="false" outlineLevel="0" collapsed="false">
      <c r="G390" s="80" t="n">
        <v>390</v>
      </c>
      <c r="H390" s="98"/>
      <c r="I390" s="105" t="s">
        <v>337</v>
      </c>
      <c r="J390" s="98"/>
      <c r="K390" s="101"/>
      <c r="L390" s="141"/>
      <c r="M390" s="100"/>
      <c r="N390" s="100"/>
      <c r="O390" s="101"/>
      <c r="P390" s="100"/>
      <c r="Q390" s="102"/>
      <c r="R390" s="99" t="e">
        <f aca="false">VLOOKUP(J390,ingredient!$N$4:$O$553,2,0)</f>
        <v>#N/A</v>
      </c>
      <c r="S390" s="98"/>
      <c r="T390" s="98"/>
      <c r="U390" s="81" t="str">
        <f aca="false">I390</f>
        <v>Sweet Corn Italia</v>
      </c>
      <c r="V390" s="81" t="n">
        <f aca="false">VLOOKUP(U390,recipe_ingred_list!$A$2:$B$300,2,0)</f>
        <v>76</v>
      </c>
      <c r="W390" s="81" t="str">
        <f aca="false">"/recipes/"&amp;VLOOKUP(U390,recipe_ingred_list!$A$2:$C$300,3,0)&amp;"/detail/"</f>
        <v>/recipes/sweet-corn-italia/detail/</v>
      </c>
      <c r="X390" s="81" t="n">
        <f aca="false">J390</f>
        <v>0</v>
      </c>
      <c r="Y390" s="81" t="e">
        <f aca="false">R390</f>
        <v>#N/A</v>
      </c>
      <c r="Z390" s="94" t="e">
        <f aca="false">VLOOKUP(Y390,recipe_ingred_list!$D$2:$E$500,2,0)</f>
        <v>#N/A</v>
      </c>
      <c r="AA390" s="61" t="n">
        <f aca="false">K390</f>
        <v>0</v>
      </c>
      <c r="AB390" s="61" t="n">
        <f aca="false">L390</f>
        <v>0</v>
      </c>
      <c r="AC390" s="61" t="n">
        <f aca="false">VLOOKUP(AB390,recipe_ingred_list!$K$2:$M$7,3,0)</f>
        <v>2</v>
      </c>
      <c r="AD390" s="61" t="n">
        <f aca="false">M390</f>
        <v>0</v>
      </c>
      <c r="AE390" s="61" t="n">
        <f aca="false">N390</f>
        <v>0</v>
      </c>
      <c r="AF390" s="61" t="n">
        <f aca="false">VLOOKUP(AE390,recipe_ingred_list!$K$16:$M$25,3,0)</f>
        <v>1</v>
      </c>
      <c r="AG390" s="61" t="n">
        <f aca="false">O390</f>
        <v>0</v>
      </c>
      <c r="AH390" s="61" t="n">
        <f aca="false">P390</f>
        <v>0</v>
      </c>
      <c r="AI390" s="61" t="n">
        <f aca="false">VLOOKUP(AH390,recipe_ingred_list!$K$29:$M$34,3,0)</f>
        <v>3</v>
      </c>
      <c r="AJ390" s="61" t="str">
        <f aca="false">IF(Q390="","",Q390)</f>
        <v/>
      </c>
      <c r="AK390" s="61" t="n">
        <f aca="false">AK389+1</f>
        <v>390</v>
      </c>
      <c r="AL390" s="61" t="e">
        <f aca="false">Y390</f>
        <v>#N/A</v>
      </c>
      <c r="AM390" s="81" t="e">
        <f aca="false">"a = Client().post('"&amp;W390&amp;"', {'recipe' : '"&amp;V390&amp;"', 'ingredient' : '"&amp;Z390&amp;"', 'name' : '"&amp;X390&amp;"', 'mass_unit' : '"&amp;AC390&amp;"', 'mass_quantity' : '"&amp;ROUND(AA390,3)&amp;"', 'volume_unit' : '"&amp;AF390&amp;"', 'volume_quantity' : '"&amp;ROUND(AD390,3)&amp;"', 'pieces_unit' : '"&amp;AI390&amp;"', 'pieces_quantity' : '"&amp;ROUND(AG390,3)&amp;"', 'cooking_notes' : '"&amp;AJ390&amp;"'}).status_code; print('%s :: %s :: %s :: %s :: %s' %(a,"&amp;G390&amp;",'"&amp;X390&amp;"','"&amp;Y390&amp;"','"&amp;U390&amp;"'))"</f>
        <v>#N/A</v>
      </c>
    </row>
    <row r="391" customFormat="false" ht="13.8" hidden="false" customHeight="false" outlineLevel="0" collapsed="false">
      <c r="G391" s="80" t="n">
        <v>391</v>
      </c>
      <c r="I391" s="85" t="s">
        <v>337</v>
      </c>
      <c r="J391" s="142" t="s">
        <v>632</v>
      </c>
      <c r="O391" s="61" t="n">
        <v>7</v>
      </c>
      <c r="P391" s="69" t="s">
        <v>107</v>
      </c>
      <c r="R391" s="82" t="str">
        <f aca="false">VLOOKUP(J391,ingredient!$N$4:$O$553,2,0)</f>
        <v>coconut</v>
      </c>
      <c r="U391" s="81" t="str">
        <f aca="false">I391</f>
        <v>Sweet Corn Italia</v>
      </c>
      <c r="V391" s="81" t="n">
        <f aca="false">VLOOKUP(U391,recipe_ingred_list!$A$2:$B$300,2,0)</f>
        <v>76</v>
      </c>
      <c r="W391" s="81" t="str">
        <f aca="false">"/recipes/"&amp;VLOOKUP(U391,recipe_ingred_list!$A$2:$C$300,3,0)&amp;"/detail/"</f>
        <v>/recipes/sweet-corn-italia/detail/</v>
      </c>
      <c r="X391" s="81" t="str">
        <f aca="false">J391</f>
        <v>Coconut (grated, medium jaali)</v>
      </c>
      <c r="Y391" s="81" t="str">
        <f aca="false">R391</f>
        <v>coconut</v>
      </c>
      <c r="Z391" s="94" t="n">
        <f aca="false">VLOOKUP(Y391,recipe_ingred_list!$D$2:$E$500,2,0)</f>
        <v>54</v>
      </c>
      <c r="AA391" s="61" t="n">
        <f aca="false">K391</f>
        <v>0</v>
      </c>
      <c r="AB391" s="61" t="n">
        <f aca="false">L391</f>
        <v>0</v>
      </c>
      <c r="AC391" s="61" t="n">
        <f aca="false">VLOOKUP(AB391,recipe_ingred_list!$K$2:$M$7,3,0)</f>
        <v>2</v>
      </c>
      <c r="AD391" s="61" t="n">
        <f aca="false">M391</f>
        <v>0</v>
      </c>
      <c r="AE391" s="61" t="n">
        <f aca="false">N391</f>
        <v>0</v>
      </c>
      <c r="AF391" s="61" t="n">
        <f aca="false">VLOOKUP(AE391,recipe_ingred_list!$K$16:$M$25,3,0)</f>
        <v>1</v>
      </c>
      <c r="AG391" s="61" t="n">
        <f aca="false">O391</f>
        <v>7</v>
      </c>
      <c r="AH391" s="61" t="str">
        <f aca="false">P391</f>
        <v>pcs</v>
      </c>
      <c r="AI391" s="61" t="n">
        <f aca="false">VLOOKUP(AH391,recipe_ingred_list!$K$29:$M$34,3,0)</f>
        <v>3</v>
      </c>
      <c r="AJ391" s="61" t="str">
        <f aca="false">IF(Q391="","",Q391)</f>
        <v/>
      </c>
      <c r="AK391" s="61" t="n">
        <f aca="false">AK390+1</f>
        <v>391</v>
      </c>
      <c r="AL391" s="61" t="str">
        <f aca="false">Y391</f>
        <v>coconut</v>
      </c>
      <c r="AM391" s="81" t="str">
        <f aca="false">"a = Client().post('"&amp;W391&amp;"', {'recipe' : '"&amp;V391&amp;"', 'ingredient' : '"&amp;Z391&amp;"', 'name' : '"&amp;X391&amp;"', 'mass_unit' : '"&amp;AC391&amp;"', 'mass_quantity' : '"&amp;ROUND(AA391,3)&amp;"', 'volume_unit' : '"&amp;AF391&amp;"', 'volume_quantity' : '"&amp;ROUND(AD391,3)&amp;"', 'pieces_unit' : '"&amp;AI391&amp;"', 'pieces_quantity' : '"&amp;ROUND(AG391,3)&amp;"', 'cooking_notes' : '"&amp;AJ391&amp;"'}).status_code; print('%s :: %s :: %s :: %s :: %s' %(a,"&amp;G391&amp;",'"&amp;X391&amp;"','"&amp;Y391&amp;"','"&amp;U391&amp;"'))"</f>
        <v>a = Client().post('/recipes/sweet-corn-italia/detail/', {'recipe' : '76', 'ingredient' : '54', 'name' : 'Coconut (grated, medium jaali)', 'mass_unit' : '2', 'mass_quantity' : '0', 'volume_unit' : '1', 'volume_quantity' : '0', 'pieces_unit' : '3', 'pieces_quantity' : '7', 'cooking_notes' : ''}).status_code; print('%s :: %s :: %s :: %s :: %s' %(a,391,'Coconut (grated, medium jaali)','coconut','Sweet Corn Italia'))</v>
      </c>
    </row>
    <row r="392" customFormat="false" ht="13.8" hidden="false" customHeight="false" outlineLevel="0" collapsed="false">
      <c r="G392" s="80" t="n">
        <v>392</v>
      </c>
      <c r="I392" s="85" t="s">
        <v>337</v>
      </c>
      <c r="J392" s="142" t="s">
        <v>633</v>
      </c>
      <c r="M392" s="61" t="n">
        <v>11.55</v>
      </c>
      <c r="N392" s="69" t="s">
        <v>13</v>
      </c>
      <c r="R392" s="82" t="str">
        <f aca="false">VLOOKUP(J392,ingredient!$N$4:$O$553,2,0)</f>
        <v>milk</v>
      </c>
      <c r="U392" s="81" t="str">
        <f aca="false">I392</f>
        <v>Sweet Corn Italia</v>
      </c>
      <c r="V392" s="81" t="n">
        <f aca="false">VLOOKUP(U392,recipe_ingred_list!$A$2:$B$300,2,0)</f>
        <v>76</v>
      </c>
      <c r="W392" s="81" t="str">
        <f aca="false">"/recipes/"&amp;VLOOKUP(U392,recipe_ingred_list!$A$2:$C$300,3,0)&amp;"/detail/"</f>
        <v>/recipes/sweet-corn-italia/detail/</v>
      </c>
      <c r="X392" s="81" t="str">
        <f aca="false">J392</f>
        <v>Boiled milk</v>
      </c>
      <c r="Y392" s="81" t="str">
        <f aca="false">R392</f>
        <v>milk</v>
      </c>
      <c r="Z392" s="94" t="n">
        <f aca="false">VLOOKUP(Y392,recipe_ingred_list!$D$2:$E$500,2,0)</f>
        <v>145</v>
      </c>
      <c r="AA392" s="61" t="n">
        <f aca="false">K392</f>
        <v>0</v>
      </c>
      <c r="AB392" s="61" t="n">
        <f aca="false">L392</f>
        <v>0</v>
      </c>
      <c r="AC392" s="61" t="n">
        <f aca="false">VLOOKUP(AB392,recipe_ingred_list!$K$2:$M$7,3,0)</f>
        <v>2</v>
      </c>
      <c r="AD392" s="61" t="n">
        <f aca="false">M392</f>
        <v>11.55</v>
      </c>
      <c r="AE392" s="61" t="str">
        <f aca="false">N392</f>
        <v>ltr</v>
      </c>
      <c r="AF392" s="61" t="n">
        <f aca="false">VLOOKUP(AE392,recipe_ingred_list!$K$16:$M$25,3,0)</f>
        <v>1</v>
      </c>
      <c r="AG392" s="61" t="n">
        <f aca="false">O392</f>
        <v>0</v>
      </c>
      <c r="AH392" s="61" t="n">
        <f aca="false">P392</f>
        <v>0</v>
      </c>
      <c r="AI392" s="61" t="n">
        <f aca="false">VLOOKUP(AH392,recipe_ingred_list!$K$29:$M$34,3,0)</f>
        <v>3</v>
      </c>
      <c r="AJ392" s="61" t="str">
        <f aca="false">IF(Q392="","",Q392)</f>
        <v/>
      </c>
      <c r="AK392" s="61" t="n">
        <f aca="false">AK391+1</f>
        <v>392</v>
      </c>
      <c r="AL392" s="61" t="str">
        <f aca="false">Y392</f>
        <v>milk</v>
      </c>
      <c r="AM392" s="81" t="str">
        <f aca="false">"a = Client().post('"&amp;W392&amp;"', {'recipe' : '"&amp;V392&amp;"', 'ingredient' : '"&amp;Z392&amp;"', 'name' : '"&amp;X392&amp;"', 'mass_unit' : '"&amp;AC392&amp;"', 'mass_quantity' : '"&amp;ROUND(AA392,3)&amp;"', 'volume_unit' : '"&amp;AF392&amp;"', 'volume_quantity' : '"&amp;ROUND(AD392,3)&amp;"', 'pieces_unit' : '"&amp;AI392&amp;"', 'pieces_quantity' : '"&amp;ROUND(AG392,3)&amp;"', 'cooking_notes' : '"&amp;AJ392&amp;"'}).status_code; print('%s :: %s :: %s :: %s :: %s' %(a,"&amp;G392&amp;",'"&amp;X392&amp;"','"&amp;Y392&amp;"','"&amp;U392&amp;"'))"</f>
        <v>a = Client().post('/recipes/sweet-corn-italia/detail/', {'recipe' : '76', 'ingredient' : '145', 'name' : 'Boiled milk', 'mass_unit' : '2', 'mass_quantity' : '0', 'volume_unit' : '1', 'volume_quantity' : '11.55', 'pieces_unit' : '3', 'pieces_quantity' : '0', 'cooking_notes' : ''}).status_code; print('%s :: %s :: %s :: %s :: %s' %(a,392,'Boiled milk','milk','Sweet Corn Italia'))</v>
      </c>
    </row>
    <row r="393" customFormat="false" ht="13.8" hidden="false" customHeight="false" outlineLevel="0" collapsed="false">
      <c r="G393" s="80" t="n">
        <v>393</v>
      </c>
      <c r="I393" s="85" t="s">
        <v>337</v>
      </c>
      <c r="J393" s="142" t="s">
        <v>634</v>
      </c>
      <c r="K393" s="61" t="n">
        <v>0.91</v>
      </c>
      <c r="L393" s="69" t="s">
        <v>7</v>
      </c>
      <c r="R393" s="82" t="str">
        <f aca="false">VLOOKUP(J393,ingredient!$N$4:$O$553,2,0)</f>
        <v>kaju</v>
      </c>
      <c r="U393" s="81" t="str">
        <f aca="false">I393</f>
        <v>Sweet Corn Italia</v>
      </c>
      <c r="V393" s="81" t="n">
        <f aca="false">VLOOKUP(U393,recipe_ingred_list!$A$2:$B$300,2,0)</f>
        <v>76</v>
      </c>
      <c r="W393" s="81" t="str">
        <f aca="false">"/recipes/"&amp;VLOOKUP(U393,recipe_ingred_list!$A$2:$C$300,3,0)&amp;"/detail/"</f>
        <v>/recipes/sweet-corn-italia/detail/</v>
      </c>
      <c r="X393" s="81" t="str">
        <f aca="false">J393</f>
        <v>Boiled Kaju paste</v>
      </c>
      <c r="Y393" s="81" t="str">
        <f aca="false">R393</f>
        <v>kaju</v>
      </c>
      <c r="Z393" s="94" t="n">
        <f aca="false">VLOOKUP(Y393,recipe_ingred_list!$D$2:$E$500,2,0)</f>
        <v>107</v>
      </c>
      <c r="AA393" s="61" t="n">
        <f aca="false">K393</f>
        <v>0.91</v>
      </c>
      <c r="AB393" s="61" t="str">
        <f aca="false">L393</f>
        <v>kg</v>
      </c>
      <c r="AC393" s="61" t="n">
        <f aca="false">VLOOKUP(AB393,recipe_ingred_list!$K$2:$M$7,3,0)</f>
        <v>2</v>
      </c>
      <c r="AD393" s="61" t="n">
        <f aca="false">M393</f>
        <v>0</v>
      </c>
      <c r="AE393" s="61" t="n">
        <f aca="false">N393</f>
        <v>0</v>
      </c>
      <c r="AF393" s="61" t="n">
        <f aca="false">VLOOKUP(AE393,recipe_ingred_list!$K$16:$M$25,3,0)</f>
        <v>1</v>
      </c>
      <c r="AG393" s="61" t="n">
        <f aca="false">O393</f>
        <v>0</v>
      </c>
      <c r="AH393" s="61" t="n">
        <f aca="false">P393</f>
        <v>0</v>
      </c>
      <c r="AI393" s="61" t="n">
        <f aca="false">VLOOKUP(AH393,recipe_ingred_list!$K$29:$M$34,3,0)</f>
        <v>3</v>
      </c>
      <c r="AJ393" s="61" t="str">
        <f aca="false">IF(Q393="","",Q393)</f>
        <v/>
      </c>
      <c r="AK393" s="61" t="n">
        <f aca="false">AK392+1</f>
        <v>393</v>
      </c>
      <c r="AL393" s="61" t="str">
        <f aca="false">Y393</f>
        <v>kaju</v>
      </c>
      <c r="AM393" s="81" t="str">
        <f aca="false">"a = Client().post('"&amp;W393&amp;"', {'recipe' : '"&amp;V393&amp;"', 'ingredient' : '"&amp;Z393&amp;"', 'name' : '"&amp;X393&amp;"', 'mass_unit' : '"&amp;AC393&amp;"', 'mass_quantity' : '"&amp;ROUND(AA393,3)&amp;"', 'volume_unit' : '"&amp;AF393&amp;"', 'volume_quantity' : '"&amp;ROUND(AD393,3)&amp;"', 'pieces_unit' : '"&amp;AI393&amp;"', 'pieces_quantity' : '"&amp;ROUND(AG393,3)&amp;"', 'cooking_notes' : '"&amp;AJ393&amp;"'}).status_code; print('%s :: %s :: %s :: %s :: %s' %(a,"&amp;G393&amp;",'"&amp;X393&amp;"','"&amp;Y393&amp;"','"&amp;U393&amp;"'))"</f>
        <v>a = Client().post('/recipes/sweet-corn-italia/detail/', {'recipe' : '76', 'ingredient' : '107', 'name' : 'Boiled Kaju paste', 'mass_unit' : '2', 'mass_quantity' : '0.91', 'volume_unit' : '1', 'volume_quantity' : '0', 'pieces_unit' : '3', 'pieces_quantity' : '0', 'cooking_notes' : ''}).status_code; print('%s :: %s :: %s :: %s :: %s' %(a,393,'Boiled Kaju paste','kaju','Sweet Corn Italia'))</v>
      </c>
    </row>
    <row r="394" customFormat="false" ht="13.8" hidden="false" customHeight="false" outlineLevel="0" collapsed="false">
      <c r="G394" s="80" t="n">
        <v>394</v>
      </c>
      <c r="I394" s="85" t="s">
        <v>337</v>
      </c>
      <c r="J394" s="142" t="s">
        <v>556</v>
      </c>
      <c r="M394" s="61" t="n">
        <v>1.05</v>
      </c>
      <c r="N394" s="69" t="s">
        <v>13</v>
      </c>
      <c r="R394" s="82" t="str">
        <f aca="false">VLOOKUP(J394,ingredient!$N$4:$O$553,2,0)</f>
        <v>butter</v>
      </c>
      <c r="U394" s="81" t="str">
        <f aca="false">I394</f>
        <v>Sweet Corn Italia</v>
      </c>
      <c r="V394" s="81" t="n">
        <f aca="false">VLOOKUP(U394,recipe_ingred_list!$A$2:$B$300,2,0)</f>
        <v>76</v>
      </c>
      <c r="W394" s="81" t="str">
        <f aca="false">"/recipes/"&amp;VLOOKUP(U394,recipe_ingred_list!$A$2:$C$300,3,0)&amp;"/detail/"</f>
        <v>/recipes/sweet-corn-italia/detail/</v>
      </c>
      <c r="X394" s="81" t="str">
        <f aca="false">J394</f>
        <v>Butter</v>
      </c>
      <c r="Y394" s="81" t="str">
        <f aca="false">R394</f>
        <v>butter</v>
      </c>
      <c r="Z394" s="94" t="n">
        <f aca="false">VLOOKUP(Y394,recipe_ingred_list!$D$2:$E$500,2,0)</f>
        <v>38</v>
      </c>
      <c r="AA394" s="61" t="n">
        <f aca="false">K394</f>
        <v>0</v>
      </c>
      <c r="AB394" s="61" t="n">
        <f aca="false">L394</f>
        <v>0</v>
      </c>
      <c r="AC394" s="61" t="n">
        <f aca="false">VLOOKUP(AB394,recipe_ingred_list!$K$2:$M$7,3,0)</f>
        <v>2</v>
      </c>
      <c r="AD394" s="61" t="n">
        <f aca="false">M394</f>
        <v>1.05</v>
      </c>
      <c r="AE394" s="61" t="str">
        <f aca="false">N394</f>
        <v>ltr</v>
      </c>
      <c r="AF394" s="61" t="n">
        <f aca="false">VLOOKUP(AE394,recipe_ingred_list!$K$16:$M$25,3,0)</f>
        <v>1</v>
      </c>
      <c r="AG394" s="61" t="n">
        <f aca="false">O394</f>
        <v>0</v>
      </c>
      <c r="AH394" s="61" t="n">
        <f aca="false">P394</f>
        <v>0</v>
      </c>
      <c r="AI394" s="61" t="n">
        <f aca="false">VLOOKUP(AH394,recipe_ingred_list!$K$29:$M$34,3,0)</f>
        <v>3</v>
      </c>
      <c r="AJ394" s="61" t="str">
        <f aca="false">IF(Q394="","",Q394)</f>
        <v/>
      </c>
      <c r="AK394" s="61" t="n">
        <f aca="false">AK393+1</f>
        <v>394</v>
      </c>
      <c r="AL394" s="61" t="str">
        <f aca="false">Y394</f>
        <v>butter</v>
      </c>
      <c r="AM394" s="81" t="str">
        <f aca="false">"a = Client().post('"&amp;W394&amp;"', {'recipe' : '"&amp;V394&amp;"', 'ingredient' : '"&amp;Z394&amp;"', 'name' : '"&amp;X394&amp;"', 'mass_unit' : '"&amp;AC394&amp;"', 'mass_quantity' : '"&amp;ROUND(AA394,3)&amp;"', 'volume_unit' : '"&amp;AF394&amp;"', 'volume_quantity' : '"&amp;ROUND(AD394,3)&amp;"', 'pieces_unit' : '"&amp;AI394&amp;"', 'pieces_quantity' : '"&amp;ROUND(AG394,3)&amp;"', 'cooking_notes' : '"&amp;AJ394&amp;"'}).status_code; print('%s :: %s :: %s :: %s :: %s' %(a,"&amp;G394&amp;",'"&amp;X394&amp;"','"&amp;Y394&amp;"','"&amp;U394&amp;"'))"</f>
        <v>a = Client().post('/recipes/sweet-corn-italia/detail/', {'recipe' : '76', 'ingredient' : '38', 'name' : 'Butter', 'mass_unit' : '2', 'mass_quantity' : '0', 'volume_unit' : '1', 'volume_quantity' : '1.05', 'pieces_unit' : '3', 'pieces_quantity' : '0', 'cooking_notes' : ''}).status_code; print('%s :: %s :: %s :: %s :: %s' %(a,394,'Butter','butter','Sweet Corn Italia'))</v>
      </c>
    </row>
    <row r="395" customFormat="false" ht="13.8" hidden="false" customHeight="false" outlineLevel="0" collapsed="false">
      <c r="G395" s="80" t="n">
        <v>395</v>
      </c>
      <c r="I395" s="85" t="s">
        <v>337</v>
      </c>
      <c r="J395" s="142" t="s">
        <v>562</v>
      </c>
      <c r="M395" s="61" t="n">
        <v>0.35</v>
      </c>
      <c r="N395" s="69" t="s">
        <v>20</v>
      </c>
      <c r="R395" s="82" t="str">
        <f aca="false">VLOOKUP(J395,ingredient!$N$4:$O$553,2,0)</f>
        <v>hing</v>
      </c>
      <c r="U395" s="81" t="str">
        <f aca="false">I395</f>
        <v>Sweet Corn Italia</v>
      </c>
      <c r="V395" s="81" t="n">
        <f aca="false">VLOOKUP(U395,recipe_ingred_list!$A$2:$B$300,2,0)</f>
        <v>76</v>
      </c>
      <c r="W395" s="81" t="str">
        <f aca="false">"/recipes/"&amp;VLOOKUP(U395,recipe_ingred_list!$A$2:$C$300,3,0)&amp;"/detail/"</f>
        <v>/recipes/sweet-corn-italia/detail/</v>
      </c>
      <c r="X395" s="81" t="str">
        <f aca="false">J395</f>
        <v>Hing</v>
      </c>
      <c r="Y395" s="81" t="str">
        <f aca="false">R395</f>
        <v>hing</v>
      </c>
      <c r="Z395" s="94" t="n">
        <f aca="false">VLOOKUP(Y395,recipe_ingred_list!$D$2:$E$500,2,0)</f>
        <v>95</v>
      </c>
      <c r="AA395" s="61" t="n">
        <f aca="false">K395</f>
        <v>0</v>
      </c>
      <c r="AB395" s="61" t="n">
        <f aca="false">L395</f>
        <v>0</v>
      </c>
      <c r="AC395" s="61" t="n">
        <f aca="false">VLOOKUP(AB395,recipe_ingred_list!$K$2:$M$7,3,0)</f>
        <v>2</v>
      </c>
      <c r="AD395" s="61" t="n">
        <f aca="false">M395</f>
        <v>0.35</v>
      </c>
      <c r="AE395" s="61" t="str">
        <f aca="false">N395</f>
        <v>cup</v>
      </c>
      <c r="AF395" s="61" t="n">
        <f aca="false">VLOOKUP(AE395,recipe_ingred_list!$K$16:$M$25,3,0)</f>
        <v>5</v>
      </c>
      <c r="AG395" s="61" t="n">
        <f aca="false">O395</f>
        <v>0</v>
      </c>
      <c r="AH395" s="61" t="n">
        <f aca="false">P395</f>
        <v>0</v>
      </c>
      <c r="AI395" s="61" t="n">
        <f aca="false">VLOOKUP(AH395,recipe_ingred_list!$K$29:$M$34,3,0)</f>
        <v>3</v>
      </c>
      <c r="AJ395" s="61" t="str">
        <f aca="false">IF(Q395="","",Q395)</f>
        <v/>
      </c>
      <c r="AK395" s="61" t="n">
        <f aca="false">AK394+1</f>
        <v>395</v>
      </c>
      <c r="AL395" s="61" t="str">
        <f aca="false">Y395</f>
        <v>hing</v>
      </c>
      <c r="AM395" s="81" t="str">
        <f aca="false">"a = Client().post('"&amp;W395&amp;"', {'recipe' : '"&amp;V395&amp;"', 'ingredient' : '"&amp;Z395&amp;"', 'name' : '"&amp;X395&amp;"', 'mass_unit' : '"&amp;AC395&amp;"', 'mass_quantity' : '"&amp;ROUND(AA395,3)&amp;"', 'volume_unit' : '"&amp;AF395&amp;"', 'volume_quantity' : '"&amp;ROUND(AD395,3)&amp;"', 'pieces_unit' : '"&amp;AI395&amp;"', 'pieces_quantity' : '"&amp;ROUND(AG395,3)&amp;"', 'cooking_notes' : '"&amp;AJ395&amp;"'}).status_code; print('%s :: %s :: %s :: %s :: %s' %(a,"&amp;G395&amp;",'"&amp;X395&amp;"','"&amp;Y395&amp;"','"&amp;U395&amp;"'))"</f>
        <v>a = Client().post('/recipes/sweet-corn-italia/detail/', {'recipe' : '76', 'ingredient' : '95', 'name' : 'Hing', 'mass_unit' : '2', 'mass_quantity' : '0', 'volume_unit' : '5', 'volume_quantity' : '0.35', 'pieces_unit' : '3', 'pieces_quantity' : '0', 'cooking_notes' : ''}).status_code; print('%s :: %s :: %s :: %s :: %s' %(a,395,'Hing','hing','Sweet Corn Italia'))</v>
      </c>
    </row>
    <row r="396" customFormat="false" ht="13.8" hidden="false" customHeight="false" outlineLevel="0" collapsed="false">
      <c r="G396" s="80" t="n">
        <v>396</v>
      </c>
      <c r="I396" s="85" t="s">
        <v>337</v>
      </c>
      <c r="J396" s="142" t="s">
        <v>15</v>
      </c>
      <c r="M396" s="61" t="n">
        <v>1.05</v>
      </c>
      <c r="N396" s="69" t="s">
        <v>20</v>
      </c>
      <c r="R396" s="82" t="str">
        <f aca="false">VLOOKUP(J396,ingredient!$N$4:$O$553,2,0)</f>
        <v>hari mirchi</v>
      </c>
      <c r="U396" s="81" t="str">
        <f aca="false">I396</f>
        <v>Sweet Corn Italia</v>
      </c>
      <c r="V396" s="81" t="n">
        <f aca="false">VLOOKUP(U396,recipe_ingred_list!$A$2:$B$300,2,0)</f>
        <v>76</v>
      </c>
      <c r="W396" s="81" t="str">
        <f aca="false">"/recipes/"&amp;VLOOKUP(U396,recipe_ingred_list!$A$2:$C$300,3,0)&amp;"/detail/"</f>
        <v>/recipes/sweet-corn-italia/detail/</v>
      </c>
      <c r="X396" s="81" t="str">
        <f aca="false">J396</f>
        <v>Hari mirchi split in 2</v>
      </c>
      <c r="Y396" s="81" t="str">
        <f aca="false">R396</f>
        <v>hari mirchi</v>
      </c>
      <c r="Z396" s="94" t="n">
        <f aca="false">VLOOKUP(Y396,recipe_ingred_list!$D$2:$E$500,2,0)</f>
        <v>93</v>
      </c>
      <c r="AA396" s="61" t="n">
        <f aca="false">K396</f>
        <v>0</v>
      </c>
      <c r="AB396" s="61" t="n">
        <f aca="false">L396</f>
        <v>0</v>
      </c>
      <c r="AC396" s="61" t="n">
        <f aca="false">VLOOKUP(AB396,recipe_ingred_list!$K$2:$M$7,3,0)</f>
        <v>2</v>
      </c>
      <c r="AD396" s="61" t="n">
        <f aca="false">M396</f>
        <v>1.05</v>
      </c>
      <c r="AE396" s="61" t="str">
        <f aca="false">N396</f>
        <v>cup</v>
      </c>
      <c r="AF396" s="61" t="n">
        <f aca="false">VLOOKUP(AE396,recipe_ingred_list!$K$16:$M$25,3,0)</f>
        <v>5</v>
      </c>
      <c r="AG396" s="61" t="n">
        <f aca="false">O396</f>
        <v>0</v>
      </c>
      <c r="AH396" s="61" t="n">
        <f aca="false">P396</f>
        <v>0</v>
      </c>
      <c r="AI396" s="61" t="n">
        <f aca="false">VLOOKUP(AH396,recipe_ingred_list!$K$29:$M$34,3,0)</f>
        <v>3</v>
      </c>
      <c r="AJ396" s="61" t="str">
        <f aca="false">IF(Q396="","",Q396)</f>
        <v/>
      </c>
      <c r="AK396" s="61" t="n">
        <f aca="false">AK395+1</f>
        <v>396</v>
      </c>
      <c r="AL396" s="61" t="str">
        <f aca="false">Y396</f>
        <v>hari mirchi</v>
      </c>
      <c r="AM396" s="81" t="str">
        <f aca="false">"a = Client().post('"&amp;W396&amp;"', {'recipe' : '"&amp;V396&amp;"', 'ingredient' : '"&amp;Z396&amp;"', 'name' : '"&amp;X396&amp;"', 'mass_unit' : '"&amp;AC396&amp;"', 'mass_quantity' : '"&amp;ROUND(AA396,3)&amp;"', 'volume_unit' : '"&amp;AF396&amp;"', 'volume_quantity' : '"&amp;ROUND(AD396,3)&amp;"', 'pieces_unit' : '"&amp;AI396&amp;"', 'pieces_quantity' : '"&amp;ROUND(AG396,3)&amp;"', 'cooking_notes' : '"&amp;AJ396&amp;"'}).status_code; print('%s :: %s :: %s :: %s :: %s' %(a,"&amp;G396&amp;",'"&amp;X396&amp;"','"&amp;Y396&amp;"','"&amp;U396&amp;"'))"</f>
        <v>a = Client().post('/recipes/sweet-corn-italia/detail/', {'recipe' : '76', 'ingredient' : '93', 'name' : 'Hari mirchi split in 2', 'mass_unit' : '2', 'mass_quantity' : '0', 'volume_unit' : '5', 'volume_quantity' : '1.05', 'pieces_unit' : '3', 'pieces_quantity' : '0', 'cooking_notes' : ''}).status_code; print('%s :: %s :: %s :: %s :: %s' %(a,396,'Hari mirchi split in 2','hari mirchi','Sweet Corn Italia'))</v>
      </c>
    </row>
    <row r="397" customFormat="false" ht="13.8" hidden="false" customHeight="false" outlineLevel="0" collapsed="false">
      <c r="G397" s="80" t="n">
        <v>397</v>
      </c>
      <c r="I397" s="85" t="s">
        <v>337</v>
      </c>
      <c r="J397" s="144" t="s">
        <v>635</v>
      </c>
      <c r="M397" s="145" t="n">
        <v>0.7</v>
      </c>
      <c r="N397" s="145" t="s">
        <v>20</v>
      </c>
      <c r="R397" s="82" t="str">
        <f aca="false">VLOOKUP(J397,ingredient!$N$4:$O$553,2,0)</f>
        <v>black pepper</v>
      </c>
      <c r="U397" s="81" t="str">
        <f aca="false">I397</f>
        <v>Sweet Corn Italia</v>
      </c>
      <c r="V397" s="81" t="n">
        <f aca="false">VLOOKUP(U397,recipe_ingred_list!$A$2:$B$300,2,0)</f>
        <v>76</v>
      </c>
      <c r="W397" s="81" t="str">
        <f aca="false">"/recipes/"&amp;VLOOKUP(U397,recipe_ingred_list!$A$2:$C$300,3,0)&amp;"/detail/"</f>
        <v>/recipes/sweet-corn-italia/detail/</v>
      </c>
      <c r="X397" s="81" t="str">
        <f aca="false">J397</f>
        <v>Black pepper pwd</v>
      </c>
      <c r="Y397" s="81" t="str">
        <f aca="false">R397</f>
        <v>black pepper</v>
      </c>
      <c r="Z397" s="94" t="n">
        <f aca="false">VLOOKUP(Y397,recipe_ingred_list!$D$2:$E$500,2,0)</f>
        <v>31</v>
      </c>
      <c r="AA397" s="61" t="n">
        <f aca="false">K397</f>
        <v>0</v>
      </c>
      <c r="AB397" s="61" t="n">
        <f aca="false">L397</f>
        <v>0</v>
      </c>
      <c r="AC397" s="61" t="n">
        <f aca="false">VLOOKUP(AB397,recipe_ingred_list!$K$2:$M$7,3,0)</f>
        <v>2</v>
      </c>
      <c r="AD397" s="61" t="n">
        <f aca="false">M397</f>
        <v>0.7</v>
      </c>
      <c r="AE397" s="61" t="str">
        <f aca="false">N397</f>
        <v>cup</v>
      </c>
      <c r="AF397" s="61" t="n">
        <f aca="false">VLOOKUP(AE397,recipe_ingred_list!$K$16:$M$25,3,0)</f>
        <v>5</v>
      </c>
      <c r="AG397" s="61" t="n">
        <f aca="false">O397</f>
        <v>0</v>
      </c>
      <c r="AH397" s="61" t="n">
        <f aca="false">P397</f>
        <v>0</v>
      </c>
      <c r="AI397" s="61" t="n">
        <f aca="false">VLOOKUP(AH397,recipe_ingred_list!$K$29:$M$34,3,0)</f>
        <v>3</v>
      </c>
      <c r="AJ397" s="61" t="str">
        <f aca="false">IF(Q397="","",Q397)</f>
        <v/>
      </c>
      <c r="AK397" s="61" t="n">
        <f aca="false">AK396+1</f>
        <v>397</v>
      </c>
      <c r="AL397" s="61" t="str">
        <f aca="false">Y397</f>
        <v>black pepper</v>
      </c>
      <c r="AM397" s="81" t="str">
        <f aca="false">"a = Client().post('"&amp;W397&amp;"', {'recipe' : '"&amp;V397&amp;"', 'ingredient' : '"&amp;Z397&amp;"', 'name' : '"&amp;X397&amp;"', 'mass_unit' : '"&amp;AC397&amp;"', 'mass_quantity' : '"&amp;ROUND(AA397,3)&amp;"', 'volume_unit' : '"&amp;AF397&amp;"', 'volume_quantity' : '"&amp;ROUND(AD397,3)&amp;"', 'pieces_unit' : '"&amp;AI397&amp;"', 'pieces_quantity' : '"&amp;ROUND(AG397,3)&amp;"', 'cooking_notes' : '"&amp;AJ397&amp;"'}).status_code; print('%s :: %s :: %s :: %s :: %s' %(a,"&amp;G397&amp;",'"&amp;X397&amp;"','"&amp;Y397&amp;"','"&amp;U397&amp;"'))"</f>
        <v>a = Client().post('/recipes/sweet-corn-italia/detail/', {'recipe' : '76', 'ingredient' : '31', 'name' : 'Black pepper pwd', 'mass_unit' : '2', 'mass_quantity' : '0', 'volume_unit' : '5', 'volume_quantity' : '0.7', 'pieces_unit' : '3', 'pieces_quantity' : '0', 'cooking_notes' : ''}).status_code; print('%s :: %s :: %s :: %s :: %s' %(a,397,'Black pepper pwd','black pepper','Sweet Corn Italia'))</v>
      </c>
    </row>
    <row r="398" customFormat="false" ht="13.8" hidden="false" customHeight="false" outlineLevel="0" collapsed="false">
      <c r="G398" s="80" t="n">
        <v>398</v>
      </c>
      <c r="I398" s="85" t="s">
        <v>337</v>
      </c>
      <c r="J398" s="142" t="s">
        <v>636</v>
      </c>
      <c r="M398" s="61" t="n">
        <v>3.85</v>
      </c>
      <c r="N398" s="146" t="s">
        <v>20</v>
      </c>
      <c r="R398" s="82" t="str">
        <f aca="false">VLOOKUP(J398,ingredient!$N$4:$O$553,2,0)</f>
        <v>brown sugar</v>
      </c>
      <c r="U398" s="81" t="str">
        <f aca="false">I398</f>
        <v>Sweet Corn Italia</v>
      </c>
      <c r="V398" s="81" t="n">
        <f aca="false">VLOOKUP(U398,recipe_ingred_list!$A$2:$B$300,2,0)</f>
        <v>76</v>
      </c>
      <c r="W398" s="81" t="str">
        <f aca="false">"/recipes/"&amp;VLOOKUP(U398,recipe_ingred_list!$A$2:$C$300,3,0)&amp;"/detail/"</f>
        <v>/recipes/sweet-corn-italia/detail/</v>
      </c>
      <c r="X398" s="81" t="str">
        <f aca="false">J398</f>
        <v>Brown sugar (bluebird) or</v>
      </c>
      <c r="Y398" s="81" t="str">
        <f aca="false">R398</f>
        <v>brown sugar</v>
      </c>
      <c r="Z398" s="94" t="n">
        <f aca="false">VLOOKUP(Y398,recipe_ingred_list!$D$2:$E$500,2,0)</f>
        <v>37</v>
      </c>
      <c r="AA398" s="61" t="n">
        <f aca="false">K398</f>
        <v>0</v>
      </c>
      <c r="AB398" s="61" t="n">
        <f aca="false">L398</f>
        <v>0</v>
      </c>
      <c r="AC398" s="61" t="n">
        <f aca="false">VLOOKUP(AB398,recipe_ingred_list!$K$2:$M$7,3,0)</f>
        <v>2</v>
      </c>
      <c r="AD398" s="61" t="n">
        <f aca="false">M398</f>
        <v>3.85</v>
      </c>
      <c r="AE398" s="61" t="str">
        <f aca="false">N398</f>
        <v>cup</v>
      </c>
      <c r="AF398" s="61" t="n">
        <f aca="false">VLOOKUP(AE398,recipe_ingred_list!$K$16:$M$25,3,0)</f>
        <v>5</v>
      </c>
      <c r="AG398" s="61" t="n">
        <f aca="false">O398</f>
        <v>0</v>
      </c>
      <c r="AH398" s="61" t="n">
        <f aca="false">P398</f>
        <v>0</v>
      </c>
      <c r="AI398" s="61" t="n">
        <f aca="false">VLOOKUP(AH398,recipe_ingred_list!$K$29:$M$34,3,0)</f>
        <v>3</v>
      </c>
      <c r="AJ398" s="61" t="str">
        <f aca="false">IF(Q398="","",Q398)</f>
        <v/>
      </c>
      <c r="AK398" s="61" t="n">
        <f aca="false">AK397+1</f>
        <v>398</v>
      </c>
      <c r="AL398" s="61" t="str">
        <f aca="false">Y398</f>
        <v>brown sugar</v>
      </c>
      <c r="AM398" s="81" t="str">
        <f aca="false">"a = Client().post('"&amp;W398&amp;"', {'recipe' : '"&amp;V398&amp;"', 'ingredient' : '"&amp;Z398&amp;"', 'name' : '"&amp;X398&amp;"', 'mass_unit' : '"&amp;AC398&amp;"', 'mass_quantity' : '"&amp;ROUND(AA398,3)&amp;"', 'volume_unit' : '"&amp;AF398&amp;"', 'volume_quantity' : '"&amp;ROUND(AD398,3)&amp;"', 'pieces_unit' : '"&amp;AI398&amp;"', 'pieces_quantity' : '"&amp;ROUND(AG398,3)&amp;"', 'cooking_notes' : '"&amp;AJ398&amp;"'}).status_code; print('%s :: %s :: %s :: %s :: %s' %(a,"&amp;G398&amp;",'"&amp;X398&amp;"','"&amp;Y398&amp;"','"&amp;U398&amp;"'))"</f>
        <v>a = Client().post('/recipes/sweet-corn-italia/detail/', {'recipe' : '76', 'ingredient' : '37', 'name' : 'Brown sugar (bluebird) or', 'mass_unit' : '2', 'mass_quantity' : '0', 'volume_unit' : '5', 'volume_quantity' : '3.85', 'pieces_unit' : '3', 'pieces_quantity' : '0', 'cooking_notes' : ''}).status_code; print('%s :: %s :: %s :: %s :: %s' %(a,398,'Brown sugar (bluebird) or','brown sugar','Sweet Corn Italia'))</v>
      </c>
    </row>
    <row r="399" customFormat="false" ht="13.8" hidden="false" customHeight="false" outlineLevel="0" collapsed="false">
      <c r="G399" s="80" t="n">
        <v>399</v>
      </c>
      <c r="I399" s="85" t="s">
        <v>337</v>
      </c>
      <c r="J399" s="142" t="s">
        <v>57</v>
      </c>
      <c r="K399" s="61" t="n">
        <v>0.6</v>
      </c>
      <c r="L399" s="69" t="s">
        <v>7</v>
      </c>
      <c r="R399" s="82" t="str">
        <f aca="false">VLOOKUP(J399,ingredient!$N$4:$O$553,2,0)</f>
        <v>brown sugar</v>
      </c>
      <c r="U399" s="81" t="str">
        <f aca="false">I399</f>
        <v>Sweet Corn Italia</v>
      </c>
      <c r="V399" s="81" t="n">
        <f aca="false">VLOOKUP(U399,recipe_ingred_list!$A$2:$B$300,2,0)</f>
        <v>76</v>
      </c>
      <c r="W399" s="81" t="str">
        <f aca="false">"/recipes/"&amp;VLOOKUP(U399,recipe_ingred_list!$A$2:$C$300,3,0)&amp;"/detail/"</f>
        <v>/recipes/sweet-corn-italia/detail/</v>
      </c>
      <c r="X399" s="81" t="str">
        <f aca="false">J399</f>
        <v>Brown sugar (bluebird)</v>
      </c>
      <c r="Y399" s="81" t="str">
        <f aca="false">R399</f>
        <v>brown sugar</v>
      </c>
      <c r="Z399" s="94" t="n">
        <f aca="false">VLOOKUP(Y399,recipe_ingred_list!$D$2:$E$500,2,0)</f>
        <v>37</v>
      </c>
      <c r="AA399" s="61" t="n">
        <f aca="false">K399</f>
        <v>0.6</v>
      </c>
      <c r="AB399" s="61" t="str">
        <f aca="false">L399</f>
        <v>kg</v>
      </c>
      <c r="AC399" s="61" t="n">
        <f aca="false">VLOOKUP(AB399,recipe_ingred_list!$K$2:$M$7,3,0)</f>
        <v>2</v>
      </c>
      <c r="AD399" s="61" t="n">
        <f aca="false">M399</f>
        <v>0</v>
      </c>
      <c r="AE399" s="61" t="n">
        <f aca="false">N399</f>
        <v>0</v>
      </c>
      <c r="AF399" s="61" t="n">
        <f aca="false">VLOOKUP(AE399,recipe_ingred_list!$K$16:$M$25,3,0)</f>
        <v>1</v>
      </c>
      <c r="AG399" s="61" t="n">
        <f aca="false">O399</f>
        <v>0</v>
      </c>
      <c r="AH399" s="61" t="n">
        <f aca="false">P399</f>
        <v>0</v>
      </c>
      <c r="AI399" s="61" t="n">
        <f aca="false">VLOOKUP(AH399,recipe_ingred_list!$K$29:$M$34,3,0)</f>
        <v>3</v>
      </c>
      <c r="AJ399" s="61" t="str">
        <f aca="false">IF(Q399="","",Q399)</f>
        <v/>
      </c>
      <c r="AK399" s="61" t="n">
        <f aca="false">AK398+1</f>
        <v>399</v>
      </c>
      <c r="AL399" s="61" t="str">
        <f aca="false">Y399</f>
        <v>brown sugar</v>
      </c>
      <c r="AM399" s="81" t="str">
        <f aca="false">"a = Client().post('"&amp;W399&amp;"', {'recipe' : '"&amp;V399&amp;"', 'ingredient' : '"&amp;Z399&amp;"', 'name' : '"&amp;X399&amp;"', 'mass_unit' : '"&amp;AC399&amp;"', 'mass_quantity' : '"&amp;ROUND(AA399,3)&amp;"', 'volume_unit' : '"&amp;AF399&amp;"', 'volume_quantity' : '"&amp;ROUND(AD399,3)&amp;"', 'pieces_unit' : '"&amp;AI399&amp;"', 'pieces_quantity' : '"&amp;ROUND(AG399,3)&amp;"', 'cooking_notes' : '"&amp;AJ399&amp;"'}).status_code; print('%s :: %s :: %s :: %s :: %s' %(a,"&amp;G399&amp;",'"&amp;X399&amp;"','"&amp;Y399&amp;"','"&amp;U399&amp;"'))"</f>
        <v>a = Client().post('/recipes/sweet-corn-italia/detail/', {'recipe' : '76', 'ingredient' : '37', 'name' : 'Brown sugar (bluebird)', 'mass_unit' : '2', 'mass_quantity' : '0.6', 'volume_unit' : '1', 'volume_quantity' : '0', 'pieces_unit' : '3', 'pieces_quantity' : '0', 'cooking_notes' : ''}).status_code; print('%s :: %s :: %s :: %s :: %s' %(a,399,'Brown sugar (bluebird)','brown sugar','Sweet Corn Italia'))</v>
      </c>
    </row>
    <row r="400" customFormat="false" ht="13.8" hidden="false" customHeight="false" outlineLevel="0" collapsed="false">
      <c r="G400" s="80" t="n">
        <v>400</v>
      </c>
      <c r="I400" s="85" t="s">
        <v>337</v>
      </c>
      <c r="J400" s="142" t="s">
        <v>619</v>
      </c>
      <c r="M400" s="61" t="n">
        <v>2.45</v>
      </c>
      <c r="N400" s="69" t="s">
        <v>13</v>
      </c>
      <c r="R400" s="82" t="str">
        <f aca="false">VLOOKUP(J400,ingredient!$N$4:$O$553,2,0)</f>
        <v>basil leaves</v>
      </c>
      <c r="U400" s="81" t="str">
        <f aca="false">I400</f>
        <v>Sweet Corn Italia</v>
      </c>
      <c r="V400" s="81" t="n">
        <f aca="false">VLOOKUP(U400,recipe_ingred_list!$A$2:$B$300,2,0)</f>
        <v>76</v>
      </c>
      <c r="W400" s="81" t="str">
        <f aca="false">"/recipes/"&amp;VLOOKUP(U400,recipe_ingred_list!$A$2:$C$300,3,0)&amp;"/detail/"</f>
        <v>/recipes/sweet-corn-italia/detail/</v>
      </c>
      <c r="X400" s="81" t="str">
        <f aca="false">J400</f>
        <v>Basil leaves</v>
      </c>
      <c r="Y400" s="81" t="str">
        <f aca="false">R400</f>
        <v>basil leaves</v>
      </c>
      <c r="Z400" s="94" t="n">
        <f aca="false">VLOOKUP(Y400,recipe_ingred_list!$D$2:$E$500,2,0)</f>
        <v>24</v>
      </c>
      <c r="AA400" s="61" t="n">
        <f aca="false">K400</f>
        <v>0</v>
      </c>
      <c r="AB400" s="61" t="n">
        <f aca="false">L400</f>
        <v>0</v>
      </c>
      <c r="AC400" s="61" t="n">
        <f aca="false">VLOOKUP(AB400,recipe_ingred_list!$K$2:$M$7,3,0)</f>
        <v>2</v>
      </c>
      <c r="AD400" s="61" t="n">
        <f aca="false">M400</f>
        <v>2.45</v>
      </c>
      <c r="AE400" s="61" t="str">
        <f aca="false">N400</f>
        <v>ltr</v>
      </c>
      <c r="AF400" s="61" t="n">
        <f aca="false">VLOOKUP(AE400,recipe_ingred_list!$K$16:$M$25,3,0)</f>
        <v>1</v>
      </c>
      <c r="AG400" s="61" t="n">
        <f aca="false">O400</f>
        <v>0</v>
      </c>
      <c r="AH400" s="61" t="n">
        <f aca="false">P400</f>
        <v>0</v>
      </c>
      <c r="AI400" s="61" t="n">
        <f aca="false">VLOOKUP(AH400,recipe_ingred_list!$K$29:$M$34,3,0)</f>
        <v>3</v>
      </c>
      <c r="AJ400" s="61" t="str">
        <f aca="false">IF(Q400="","",Q400)</f>
        <v/>
      </c>
      <c r="AK400" s="61" t="n">
        <f aca="false">AK399+1</f>
        <v>400</v>
      </c>
      <c r="AL400" s="61" t="str">
        <f aca="false">Y400</f>
        <v>basil leaves</v>
      </c>
      <c r="AM400" s="81" t="str">
        <f aca="false">"a = Client().post('"&amp;W400&amp;"', {'recipe' : '"&amp;V400&amp;"', 'ingredient' : '"&amp;Z400&amp;"', 'name' : '"&amp;X400&amp;"', 'mass_unit' : '"&amp;AC400&amp;"', 'mass_quantity' : '"&amp;ROUND(AA400,3)&amp;"', 'volume_unit' : '"&amp;AF400&amp;"', 'volume_quantity' : '"&amp;ROUND(AD400,3)&amp;"', 'pieces_unit' : '"&amp;AI400&amp;"', 'pieces_quantity' : '"&amp;ROUND(AG400,3)&amp;"', 'cooking_notes' : '"&amp;AJ400&amp;"'}).status_code; print('%s :: %s :: %s :: %s :: %s' %(a,"&amp;G400&amp;",'"&amp;X400&amp;"','"&amp;Y400&amp;"','"&amp;U400&amp;"'))"</f>
        <v>a = Client().post('/recipes/sweet-corn-italia/detail/', {'recipe' : '76', 'ingredient' : '24', 'name' : 'Basil leaves', 'mass_unit' : '2', 'mass_quantity' : '0', 'volume_unit' : '1', 'volume_quantity' : '2.45', 'pieces_unit' : '3', 'pieces_quantity' : '0', 'cooking_notes' : ''}).status_code; print('%s :: %s :: %s :: %s :: %s' %(a,400,'Basil leaves','basil leaves','Sweet Corn Italia'))</v>
      </c>
    </row>
    <row r="401" customFormat="false" ht="13.8" hidden="false" customHeight="false" outlineLevel="0" collapsed="false">
      <c r="G401" s="80" t="n">
        <v>401</v>
      </c>
      <c r="I401" s="85" t="s">
        <v>337</v>
      </c>
      <c r="J401" s="142" t="s">
        <v>637</v>
      </c>
      <c r="M401" s="61" t="n">
        <v>0.7</v>
      </c>
      <c r="N401" s="69" t="s">
        <v>13</v>
      </c>
      <c r="R401" s="82" t="str">
        <f aca="false">VLOOKUP(J401,ingredient!$N$4:$O$553,2,0)</f>
        <v>corn</v>
      </c>
      <c r="U401" s="81" t="str">
        <f aca="false">I401</f>
        <v>Sweet Corn Italia</v>
      </c>
      <c r="V401" s="81" t="n">
        <f aca="false">VLOOKUP(U401,recipe_ingred_list!$A$2:$B$300,2,0)</f>
        <v>76</v>
      </c>
      <c r="W401" s="81" t="str">
        <f aca="false">"/recipes/"&amp;VLOOKUP(U401,recipe_ingred_list!$A$2:$C$300,3,0)&amp;"/detail/"</f>
        <v>/recipes/sweet-corn-italia/detail/</v>
      </c>
      <c r="X401" s="81" t="str">
        <f aca="false">J401</f>
        <v>Boiled corn water</v>
      </c>
      <c r="Y401" s="81" t="str">
        <f aca="false">R401</f>
        <v>corn</v>
      </c>
      <c r="Z401" s="94" t="n">
        <f aca="false">VLOOKUP(Y401,recipe_ingred_list!$D$2:$E$500,2,0)</f>
        <v>56</v>
      </c>
      <c r="AA401" s="61" t="n">
        <f aca="false">K401</f>
        <v>0</v>
      </c>
      <c r="AB401" s="61" t="n">
        <f aca="false">L401</f>
        <v>0</v>
      </c>
      <c r="AC401" s="61" t="n">
        <f aca="false">VLOOKUP(AB401,recipe_ingred_list!$K$2:$M$7,3,0)</f>
        <v>2</v>
      </c>
      <c r="AD401" s="61" t="n">
        <f aca="false">M401</f>
        <v>0.7</v>
      </c>
      <c r="AE401" s="61" t="str">
        <f aca="false">N401</f>
        <v>ltr</v>
      </c>
      <c r="AF401" s="61" t="n">
        <f aca="false">VLOOKUP(AE401,recipe_ingred_list!$K$16:$M$25,3,0)</f>
        <v>1</v>
      </c>
      <c r="AG401" s="61" t="n">
        <f aca="false">O401</f>
        <v>0</v>
      </c>
      <c r="AH401" s="61" t="n">
        <f aca="false">P401</f>
        <v>0</v>
      </c>
      <c r="AI401" s="61" t="n">
        <f aca="false">VLOOKUP(AH401,recipe_ingred_list!$K$29:$M$34,3,0)</f>
        <v>3</v>
      </c>
      <c r="AJ401" s="61" t="str">
        <f aca="false">IF(Q401="","",Q401)</f>
        <v/>
      </c>
      <c r="AK401" s="61" t="n">
        <f aca="false">AK400+1</f>
        <v>401</v>
      </c>
      <c r="AL401" s="61" t="str">
        <f aca="false">Y401</f>
        <v>corn</v>
      </c>
      <c r="AM401" s="81" t="str">
        <f aca="false">"a = Client().post('"&amp;W401&amp;"', {'recipe' : '"&amp;V401&amp;"', 'ingredient' : '"&amp;Z401&amp;"', 'name' : '"&amp;X401&amp;"', 'mass_unit' : '"&amp;AC401&amp;"', 'mass_quantity' : '"&amp;ROUND(AA401,3)&amp;"', 'volume_unit' : '"&amp;AF401&amp;"', 'volume_quantity' : '"&amp;ROUND(AD401,3)&amp;"', 'pieces_unit' : '"&amp;AI401&amp;"', 'pieces_quantity' : '"&amp;ROUND(AG401,3)&amp;"', 'cooking_notes' : '"&amp;AJ401&amp;"'}).status_code; print('%s :: %s :: %s :: %s :: %s' %(a,"&amp;G401&amp;",'"&amp;X401&amp;"','"&amp;Y401&amp;"','"&amp;U401&amp;"'))"</f>
        <v>a = Client().post('/recipes/sweet-corn-italia/detail/', {'recipe' : '76', 'ingredient' : '56', 'name' : 'Boiled corn water', 'mass_unit' : '2', 'mass_quantity' : '0', 'volume_unit' : '1', 'volume_quantity' : '0.7', 'pieces_unit' : '3', 'pieces_quantity' : '0', 'cooking_notes' : ''}).status_code; print('%s :: %s :: %s :: %s :: %s' %(a,401,'Boiled corn water','corn','Sweet Corn Italia'))</v>
      </c>
    </row>
    <row r="402" customFormat="false" ht="13.8" hidden="false" customHeight="false" outlineLevel="0" collapsed="false">
      <c r="G402" s="80" t="n">
        <v>402</v>
      </c>
      <c r="I402" s="85" t="s">
        <v>337</v>
      </c>
      <c r="J402" s="144" t="s">
        <v>638</v>
      </c>
      <c r="M402" s="145" t="n">
        <v>1.75</v>
      </c>
      <c r="N402" s="145" t="s">
        <v>20</v>
      </c>
      <c r="R402" s="82" t="str">
        <f aca="false">VLOOKUP(J402,ingredient!$N$4:$O$553,2,0)</f>
        <v>corn flour</v>
      </c>
      <c r="U402" s="81" t="str">
        <f aca="false">I402</f>
        <v>Sweet Corn Italia</v>
      </c>
      <c r="V402" s="81" t="n">
        <f aca="false">VLOOKUP(U402,recipe_ingred_list!$A$2:$B$300,2,0)</f>
        <v>76</v>
      </c>
      <c r="W402" s="81" t="str">
        <f aca="false">"/recipes/"&amp;VLOOKUP(U402,recipe_ingred_list!$A$2:$C$300,3,0)&amp;"/detail/"</f>
        <v>/recipes/sweet-corn-italia/detail/</v>
      </c>
      <c r="X402" s="81" t="str">
        <f aca="false">J402</f>
        <v>Corn flour</v>
      </c>
      <c r="Y402" s="81" t="str">
        <f aca="false">R402</f>
        <v>corn flour</v>
      </c>
      <c r="Z402" s="94" t="n">
        <f aca="false">VLOOKUP(Y402,recipe_ingred_list!$D$2:$E$500,2,0)</f>
        <v>57</v>
      </c>
      <c r="AA402" s="61" t="n">
        <f aca="false">K402</f>
        <v>0</v>
      </c>
      <c r="AB402" s="61" t="n">
        <f aca="false">L402</f>
        <v>0</v>
      </c>
      <c r="AC402" s="61" t="n">
        <f aca="false">VLOOKUP(AB402,recipe_ingred_list!$K$2:$M$7,3,0)</f>
        <v>2</v>
      </c>
      <c r="AD402" s="61" t="n">
        <f aca="false">M402</f>
        <v>1.75</v>
      </c>
      <c r="AE402" s="61" t="str">
        <f aca="false">N402</f>
        <v>cup</v>
      </c>
      <c r="AF402" s="61" t="n">
        <f aca="false">VLOOKUP(AE402,recipe_ingred_list!$K$16:$M$25,3,0)</f>
        <v>5</v>
      </c>
      <c r="AG402" s="61" t="n">
        <f aca="false">O402</f>
        <v>0</v>
      </c>
      <c r="AH402" s="61" t="n">
        <f aca="false">P402</f>
        <v>0</v>
      </c>
      <c r="AI402" s="61" t="n">
        <f aca="false">VLOOKUP(AH402,recipe_ingred_list!$K$29:$M$34,3,0)</f>
        <v>3</v>
      </c>
      <c r="AJ402" s="61" t="str">
        <f aca="false">IF(Q402="","",Q402)</f>
        <v/>
      </c>
      <c r="AK402" s="61" t="n">
        <f aca="false">AK401+1</f>
        <v>402</v>
      </c>
      <c r="AL402" s="61" t="str">
        <f aca="false">Y402</f>
        <v>corn flour</v>
      </c>
      <c r="AM402" s="81" t="str">
        <f aca="false">"a = Client().post('"&amp;W402&amp;"', {'recipe' : '"&amp;V402&amp;"', 'ingredient' : '"&amp;Z402&amp;"', 'name' : '"&amp;X402&amp;"', 'mass_unit' : '"&amp;AC402&amp;"', 'mass_quantity' : '"&amp;ROUND(AA402,3)&amp;"', 'volume_unit' : '"&amp;AF402&amp;"', 'volume_quantity' : '"&amp;ROUND(AD402,3)&amp;"', 'pieces_unit' : '"&amp;AI402&amp;"', 'pieces_quantity' : '"&amp;ROUND(AG402,3)&amp;"', 'cooking_notes' : '"&amp;AJ402&amp;"'}).status_code; print('%s :: %s :: %s :: %s :: %s' %(a,"&amp;G402&amp;",'"&amp;X402&amp;"','"&amp;Y402&amp;"','"&amp;U402&amp;"'))"</f>
        <v>a = Client().post('/recipes/sweet-corn-italia/detail/', {'recipe' : '76', 'ingredient' : '57', 'name' : 'Corn flour', 'mass_unit' : '2', 'mass_quantity' : '0', 'volume_unit' : '5', 'volume_quantity' : '1.75', 'pieces_unit' : '3', 'pieces_quantity' : '0', 'cooking_notes' : ''}).status_code; print('%s :: %s :: %s :: %s :: %s' %(a,402,'Corn flour','corn flour','Sweet Corn Italia'))</v>
      </c>
    </row>
    <row r="403" customFormat="false" ht="13.8" hidden="false" customHeight="false" outlineLevel="0" collapsed="false">
      <c r="G403" s="80" t="n">
        <v>403</v>
      </c>
      <c r="I403" s="85" t="s">
        <v>337</v>
      </c>
      <c r="J403" s="142" t="s">
        <v>86</v>
      </c>
      <c r="M403" s="61" t="n">
        <v>0.7</v>
      </c>
      <c r="N403" s="69" t="s">
        <v>13</v>
      </c>
      <c r="R403" s="82" t="str">
        <f aca="false">VLOOKUP(J403,ingredient!$N$4:$O$553,2,0)</f>
        <v>evoo</v>
      </c>
      <c r="U403" s="81" t="str">
        <f aca="false">I403</f>
        <v>Sweet Corn Italia</v>
      </c>
      <c r="V403" s="81" t="n">
        <f aca="false">VLOOKUP(U403,recipe_ingred_list!$A$2:$B$300,2,0)</f>
        <v>76</v>
      </c>
      <c r="W403" s="81" t="str">
        <f aca="false">"/recipes/"&amp;VLOOKUP(U403,recipe_ingred_list!$A$2:$C$300,3,0)&amp;"/detail/"</f>
        <v>/recipes/sweet-corn-italia/detail/</v>
      </c>
      <c r="X403" s="81" t="str">
        <f aca="false">J403</f>
        <v>EVOO</v>
      </c>
      <c r="Y403" s="81" t="str">
        <f aca="false">R403</f>
        <v>evoo</v>
      </c>
      <c r="Z403" s="94" t="n">
        <f aca="false">VLOOKUP(Y403,recipe_ingred_list!$D$2:$E$500,2,0)</f>
        <v>76</v>
      </c>
      <c r="AA403" s="61" t="n">
        <f aca="false">K403</f>
        <v>0</v>
      </c>
      <c r="AB403" s="61" t="n">
        <f aca="false">L403</f>
        <v>0</v>
      </c>
      <c r="AC403" s="61" t="n">
        <f aca="false">VLOOKUP(AB403,recipe_ingred_list!$K$2:$M$7,3,0)</f>
        <v>2</v>
      </c>
      <c r="AD403" s="61" t="n">
        <f aca="false">M403</f>
        <v>0.7</v>
      </c>
      <c r="AE403" s="61" t="str">
        <f aca="false">N403</f>
        <v>ltr</v>
      </c>
      <c r="AF403" s="61" t="n">
        <f aca="false">VLOOKUP(AE403,recipe_ingred_list!$K$16:$M$25,3,0)</f>
        <v>1</v>
      </c>
      <c r="AG403" s="61" t="n">
        <f aca="false">O403</f>
        <v>0</v>
      </c>
      <c r="AH403" s="61" t="n">
        <f aca="false">P403</f>
        <v>0</v>
      </c>
      <c r="AI403" s="61" t="n">
        <f aca="false">VLOOKUP(AH403,recipe_ingred_list!$K$29:$M$34,3,0)</f>
        <v>3</v>
      </c>
      <c r="AJ403" s="61" t="str">
        <f aca="false">IF(Q403="","",Q403)</f>
        <v/>
      </c>
      <c r="AK403" s="61" t="n">
        <f aca="false">AK402+1</f>
        <v>403</v>
      </c>
      <c r="AL403" s="61" t="str">
        <f aca="false">Y403</f>
        <v>evoo</v>
      </c>
      <c r="AM403" s="81" t="str">
        <f aca="false">"a = Client().post('"&amp;W403&amp;"', {'recipe' : '"&amp;V403&amp;"', 'ingredient' : '"&amp;Z403&amp;"', 'name' : '"&amp;X403&amp;"', 'mass_unit' : '"&amp;AC403&amp;"', 'mass_quantity' : '"&amp;ROUND(AA403,3)&amp;"', 'volume_unit' : '"&amp;AF403&amp;"', 'volume_quantity' : '"&amp;ROUND(AD403,3)&amp;"', 'pieces_unit' : '"&amp;AI403&amp;"', 'pieces_quantity' : '"&amp;ROUND(AG403,3)&amp;"', 'cooking_notes' : '"&amp;AJ403&amp;"'}).status_code; print('%s :: %s :: %s :: %s :: %s' %(a,"&amp;G403&amp;",'"&amp;X403&amp;"','"&amp;Y403&amp;"','"&amp;U403&amp;"'))"</f>
        <v>a = Client().post('/recipes/sweet-corn-italia/detail/', {'recipe' : '76', 'ingredient' : '76', 'name' : 'EVOO', 'mass_unit' : '2', 'mass_quantity' : '0', 'volume_unit' : '1', 'volume_quantity' : '0.7', 'pieces_unit' : '3', 'pieces_quantity' : '0', 'cooking_notes' : ''}).status_code; print('%s :: %s :: %s :: %s :: %s' %(a,403,'EVOO','evoo','Sweet Corn Italia'))</v>
      </c>
    </row>
    <row r="404" customFormat="false" ht="13.8" hidden="false" customHeight="false" outlineLevel="0" collapsed="false">
      <c r="G404" s="80" t="n">
        <v>404</v>
      </c>
      <c r="I404" s="85" t="s">
        <v>337</v>
      </c>
      <c r="J404" s="142" t="s">
        <v>32</v>
      </c>
      <c r="M404" s="61" t="n">
        <v>1.4</v>
      </c>
      <c r="N404" s="69" t="s">
        <v>20</v>
      </c>
      <c r="R404" s="82" t="str">
        <f aca="false">VLOOKUP(J404,ingredient!$N$4:$O$553,2,0)</f>
        <v>salt</v>
      </c>
      <c r="U404" s="81" t="str">
        <f aca="false">I404</f>
        <v>Sweet Corn Italia</v>
      </c>
      <c r="V404" s="81" t="n">
        <f aca="false">VLOOKUP(U404,recipe_ingred_list!$A$2:$B$300,2,0)</f>
        <v>76</v>
      </c>
      <c r="W404" s="81" t="str">
        <f aca="false">"/recipes/"&amp;VLOOKUP(U404,recipe_ingred_list!$A$2:$C$300,3,0)&amp;"/detail/"</f>
        <v>/recipes/sweet-corn-italia/detail/</v>
      </c>
      <c r="X404" s="81" t="str">
        <f aca="false">J404</f>
        <v>Salt</v>
      </c>
      <c r="Y404" s="81" t="str">
        <f aca="false">R404</f>
        <v>salt</v>
      </c>
      <c r="Z404" s="94" t="n">
        <f aca="false">VLOOKUP(Y404,recipe_ingred_list!$D$2:$E$500,2,0)</f>
        <v>177</v>
      </c>
      <c r="AA404" s="61" t="n">
        <f aca="false">K404</f>
        <v>0</v>
      </c>
      <c r="AB404" s="61" t="n">
        <f aca="false">L404</f>
        <v>0</v>
      </c>
      <c r="AC404" s="61" t="n">
        <f aca="false">VLOOKUP(AB404,recipe_ingred_list!$K$2:$M$7,3,0)</f>
        <v>2</v>
      </c>
      <c r="AD404" s="61" t="n">
        <f aca="false">M404</f>
        <v>1.4</v>
      </c>
      <c r="AE404" s="61" t="str">
        <f aca="false">N404</f>
        <v>cup</v>
      </c>
      <c r="AF404" s="61" t="n">
        <f aca="false">VLOOKUP(AE404,recipe_ingred_list!$K$16:$M$25,3,0)</f>
        <v>5</v>
      </c>
      <c r="AG404" s="61" t="n">
        <f aca="false">O404</f>
        <v>0</v>
      </c>
      <c r="AH404" s="61" t="n">
        <f aca="false">P404</f>
        <v>0</v>
      </c>
      <c r="AI404" s="61" t="n">
        <f aca="false">VLOOKUP(AH404,recipe_ingred_list!$K$29:$M$34,3,0)</f>
        <v>3</v>
      </c>
      <c r="AJ404" s="61" t="str">
        <f aca="false">IF(Q404="","",Q404)</f>
        <v/>
      </c>
      <c r="AK404" s="61" t="n">
        <f aca="false">AK403+1</f>
        <v>404</v>
      </c>
      <c r="AL404" s="61" t="str">
        <f aca="false">Y404</f>
        <v>salt</v>
      </c>
      <c r="AM404" s="81" t="str">
        <f aca="false">"a = Client().post('"&amp;W404&amp;"', {'recipe' : '"&amp;V404&amp;"', 'ingredient' : '"&amp;Z404&amp;"', 'name' : '"&amp;X404&amp;"', 'mass_unit' : '"&amp;AC404&amp;"', 'mass_quantity' : '"&amp;ROUND(AA404,3)&amp;"', 'volume_unit' : '"&amp;AF404&amp;"', 'volume_quantity' : '"&amp;ROUND(AD404,3)&amp;"', 'pieces_unit' : '"&amp;AI404&amp;"', 'pieces_quantity' : '"&amp;ROUND(AG404,3)&amp;"', 'cooking_notes' : '"&amp;AJ404&amp;"'}).status_code; print('%s :: %s :: %s :: %s :: %s' %(a,"&amp;G404&amp;",'"&amp;X404&amp;"','"&amp;Y404&amp;"','"&amp;U404&amp;"'))"</f>
        <v>a = Client().post('/recipes/sweet-corn-italia/detail/', {'recipe' : '76', 'ingredient' : '177', 'name' : 'Salt', 'mass_unit' : '2', 'mass_quantity' : '0', 'volume_unit' : '5', 'volume_quantity' : '1.4', 'pieces_unit' : '3', 'pieces_quantity' : '0', 'cooking_notes' : ''}).status_code; print('%s :: %s :: %s :: %s :: %s' %(a,404,'Salt','salt','Sweet Corn Italia'))</v>
      </c>
    </row>
    <row r="405" customFormat="false" ht="13.8" hidden="false" customHeight="false" outlineLevel="0" collapsed="false">
      <c r="G405" s="80" t="n">
        <v>405</v>
      </c>
      <c r="H405" s="98"/>
      <c r="I405" s="105" t="s">
        <v>337</v>
      </c>
      <c r="J405" s="105" t="s">
        <v>26</v>
      </c>
      <c r="K405" s="100"/>
      <c r="L405" s="100"/>
      <c r="M405" s="100"/>
      <c r="N405" s="100"/>
      <c r="O405" s="101" t="n">
        <v>0.98</v>
      </c>
      <c r="P405" s="100" t="s">
        <v>27</v>
      </c>
      <c r="Q405" s="102"/>
      <c r="R405" s="99" t="e">
        <f aca="false">VLOOKUP(J405,ingredient!$N$4:$O$553,2,0)</f>
        <v>#N/A</v>
      </c>
      <c r="S405" s="98"/>
      <c r="T405" s="98"/>
      <c r="U405" s="81" t="str">
        <f aca="false">I405</f>
        <v>Sweet Corn Italia</v>
      </c>
      <c r="V405" s="81" t="n">
        <f aca="false">VLOOKUP(U405,recipe_ingred_list!$A$2:$B$300,2,0)</f>
        <v>76</v>
      </c>
      <c r="W405" s="81" t="str">
        <f aca="false">"/recipes/"&amp;VLOOKUP(U405,recipe_ingred_list!$A$2:$C$300,3,0)&amp;"/detail/"</f>
        <v>/recipes/sweet-corn-italia/detail/</v>
      </c>
      <c r="X405" s="81" t="str">
        <f aca="false">J405</f>
        <v>YIELD</v>
      </c>
      <c r="Y405" s="81" t="e">
        <f aca="false">R405</f>
        <v>#N/A</v>
      </c>
      <c r="Z405" s="94" t="e">
        <f aca="false">VLOOKUP(Y405,recipe_ingred_list!$D$2:$E$500,2,0)</f>
        <v>#N/A</v>
      </c>
      <c r="AA405" s="61" t="n">
        <f aca="false">K405</f>
        <v>0</v>
      </c>
      <c r="AB405" s="61" t="n">
        <f aca="false">L405</f>
        <v>0</v>
      </c>
      <c r="AC405" s="61" t="n">
        <f aca="false">VLOOKUP(AB405,recipe_ingred_list!$K$2:$M$7,3,0)</f>
        <v>2</v>
      </c>
      <c r="AD405" s="61" t="n">
        <f aca="false">M405</f>
        <v>0</v>
      </c>
      <c r="AE405" s="61" t="n">
        <f aca="false">N405</f>
        <v>0</v>
      </c>
      <c r="AF405" s="61" t="n">
        <f aca="false">VLOOKUP(AE405,recipe_ingred_list!$K$16:$M$25,3,0)</f>
        <v>1</v>
      </c>
      <c r="AG405" s="61" t="n">
        <f aca="false">O405</f>
        <v>0.98</v>
      </c>
      <c r="AH405" s="61" t="str">
        <f aca="false">P405</f>
        <v>tub</v>
      </c>
      <c r="AI405" s="61" t="e">
        <f aca="false">VLOOKUP(AH405,recipe_ingred_list!$K$29:$M$34,3,0)</f>
        <v>#N/A</v>
      </c>
      <c r="AJ405" s="61" t="str">
        <f aca="false">IF(Q405="","",Q405)</f>
        <v/>
      </c>
      <c r="AK405" s="61" t="n">
        <f aca="false">AK404+1</f>
        <v>405</v>
      </c>
      <c r="AL405" s="61" t="e">
        <f aca="false">Y405</f>
        <v>#N/A</v>
      </c>
      <c r="AM405" s="81" t="e">
        <f aca="false">"a = Client().post('"&amp;W405&amp;"', {'recipe' : '"&amp;V405&amp;"', 'ingredient' : '"&amp;Z405&amp;"', 'name' : '"&amp;X405&amp;"', 'mass_unit' : '"&amp;AC405&amp;"', 'mass_quantity' : '"&amp;ROUND(AA405,3)&amp;"', 'volume_unit' : '"&amp;AF405&amp;"', 'volume_quantity' : '"&amp;ROUND(AD405,3)&amp;"', 'pieces_unit' : '"&amp;AI405&amp;"', 'pieces_quantity' : '"&amp;ROUND(AG405,3)&amp;"', 'cooking_notes' : '"&amp;AJ405&amp;"'}).status_code; print('%s :: %s :: %s :: %s :: %s' %(a,"&amp;G405&amp;",'"&amp;X405&amp;"','"&amp;Y405&amp;"','"&amp;U405&amp;"'))"</f>
        <v>#N/A</v>
      </c>
    </row>
    <row r="406" customFormat="false" ht="13.8" hidden="false" customHeight="false" outlineLevel="0" collapsed="false">
      <c r="G406" s="80" t="n">
        <v>406</v>
      </c>
      <c r="H406" s="98"/>
      <c r="I406" s="105" t="s">
        <v>337</v>
      </c>
      <c r="J406" s="105" t="s">
        <v>26</v>
      </c>
      <c r="K406" s="101" t="n">
        <v>35</v>
      </c>
      <c r="L406" s="100" t="s">
        <v>13</v>
      </c>
      <c r="M406" s="100"/>
      <c r="N406" s="100"/>
      <c r="O406" s="101"/>
      <c r="P406" s="100"/>
      <c r="Q406" s="102"/>
      <c r="R406" s="99" t="e">
        <f aca="false">VLOOKUP(J406,ingredient!$N$4:$O$553,2,0)</f>
        <v>#N/A</v>
      </c>
      <c r="S406" s="98"/>
      <c r="T406" s="98"/>
      <c r="U406" s="81" t="str">
        <f aca="false">I406</f>
        <v>Sweet Corn Italia</v>
      </c>
      <c r="V406" s="81" t="n">
        <f aca="false">VLOOKUP(U406,recipe_ingred_list!$A$2:$B$300,2,0)</f>
        <v>76</v>
      </c>
      <c r="W406" s="81" t="str">
        <f aca="false">"/recipes/"&amp;VLOOKUP(U406,recipe_ingred_list!$A$2:$C$300,3,0)&amp;"/detail/"</f>
        <v>/recipes/sweet-corn-italia/detail/</v>
      </c>
      <c r="X406" s="81" t="str">
        <f aca="false">J406</f>
        <v>YIELD</v>
      </c>
      <c r="Y406" s="81" t="e">
        <f aca="false">R406</f>
        <v>#N/A</v>
      </c>
      <c r="Z406" s="94" t="e">
        <f aca="false">VLOOKUP(Y406,recipe_ingred_list!$D$2:$E$500,2,0)</f>
        <v>#N/A</v>
      </c>
      <c r="AA406" s="61" t="n">
        <f aca="false">K406</f>
        <v>35</v>
      </c>
      <c r="AB406" s="61" t="str">
        <f aca="false">L406</f>
        <v>ltr</v>
      </c>
      <c r="AC406" s="61" t="e">
        <f aca="false">VLOOKUP(AB406,recipe_ingred_list!$K$2:$M$7,3,0)</f>
        <v>#N/A</v>
      </c>
      <c r="AD406" s="61" t="n">
        <f aca="false">M406</f>
        <v>0</v>
      </c>
      <c r="AE406" s="61" t="n">
        <f aca="false">N406</f>
        <v>0</v>
      </c>
      <c r="AF406" s="61" t="n">
        <f aca="false">VLOOKUP(AE406,recipe_ingred_list!$K$16:$M$25,3,0)</f>
        <v>1</v>
      </c>
      <c r="AG406" s="61" t="n">
        <f aca="false">O406</f>
        <v>0</v>
      </c>
      <c r="AH406" s="61" t="n">
        <f aca="false">P406</f>
        <v>0</v>
      </c>
      <c r="AI406" s="61" t="n">
        <f aca="false">VLOOKUP(AH406,recipe_ingred_list!$K$29:$M$34,3,0)</f>
        <v>3</v>
      </c>
      <c r="AJ406" s="61" t="str">
        <f aca="false">IF(Q406="","",Q406)</f>
        <v/>
      </c>
      <c r="AK406" s="61" t="n">
        <f aca="false">AK405+1</f>
        <v>406</v>
      </c>
      <c r="AL406" s="61" t="e">
        <f aca="false">Y406</f>
        <v>#N/A</v>
      </c>
      <c r="AM406" s="81" t="e">
        <f aca="false">"a = Client().post('"&amp;W406&amp;"', {'recipe' : '"&amp;V406&amp;"', 'ingredient' : '"&amp;Z406&amp;"', 'name' : '"&amp;X406&amp;"', 'mass_unit' : '"&amp;AC406&amp;"', 'mass_quantity' : '"&amp;ROUND(AA406,3)&amp;"', 'volume_unit' : '"&amp;AF406&amp;"', 'volume_quantity' : '"&amp;ROUND(AD406,3)&amp;"', 'pieces_unit' : '"&amp;AI406&amp;"', 'pieces_quantity' : '"&amp;ROUND(AG406,3)&amp;"', 'cooking_notes' : '"&amp;AJ406&amp;"'}).status_code; print('%s :: %s :: %s :: %s :: %s' %(a,"&amp;G406&amp;",'"&amp;X406&amp;"','"&amp;Y406&amp;"','"&amp;U406&amp;"'))"</f>
        <v>#N/A</v>
      </c>
    </row>
    <row r="407" customFormat="false" ht="13.8" hidden="false" customHeight="false" outlineLevel="0" collapsed="false">
      <c r="G407" s="80" t="n">
        <v>407</v>
      </c>
      <c r="H407" s="98"/>
      <c r="I407" s="99"/>
      <c r="J407" s="79"/>
      <c r="K407" s="100"/>
      <c r="L407" s="100"/>
      <c r="M407" s="100"/>
      <c r="N407" s="100"/>
      <c r="O407" s="101"/>
      <c r="P407" s="100"/>
      <c r="Q407" s="102"/>
      <c r="R407" s="99" t="e">
        <f aca="false">VLOOKUP(J407,ingredient!$N$4:$O$553,2,0)</f>
        <v>#N/A</v>
      </c>
      <c r="S407" s="98"/>
      <c r="T407" s="98"/>
      <c r="U407" s="81" t="n">
        <f aca="false">I407</f>
        <v>0</v>
      </c>
      <c r="V407" s="81" t="e">
        <f aca="false">VLOOKUP(U407,recipe_ingred_list!$A$2:$B$300,2,0)</f>
        <v>#N/A</v>
      </c>
      <c r="W407" s="81" t="e">
        <f aca="false">"/recipes/"&amp;VLOOKUP(U407,recipe_ingred_list!$A$2:$C$300,3,0)&amp;"/detail/"</f>
        <v>#N/A</v>
      </c>
      <c r="X407" s="81" t="n">
        <f aca="false">J407</f>
        <v>0</v>
      </c>
      <c r="Y407" s="81" t="e">
        <f aca="false">R407</f>
        <v>#N/A</v>
      </c>
      <c r="Z407" s="94" t="e">
        <f aca="false">VLOOKUP(Y407,recipe_ingred_list!$D$2:$E$500,2,0)</f>
        <v>#N/A</v>
      </c>
      <c r="AA407" s="61" t="n">
        <f aca="false">K407</f>
        <v>0</v>
      </c>
      <c r="AB407" s="61" t="n">
        <f aca="false">L407</f>
        <v>0</v>
      </c>
      <c r="AC407" s="61" t="n">
        <f aca="false">VLOOKUP(AB407,recipe_ingred_list!$K$2:$M$7,3,0)</f>
        <v>2</v>
      </c>
      <c r="AD407" s="61" t="n">
        <f aca="false">M407</f>
        <v>0</v>
      </c>
      <c r="AE407" s="61" t="n">
        <f aca="false">N407</f>
        <v>0</v>
      </c>
      <c r="AF407" s="61" t="n">
        <f aca="false">VLOOKUP(AE407,recipe_ingred_list!$K$16:$M$25,3,0)</f>
        <v>1</v>
      </c>
      <c r="AG407" s="61" t="n">
        <f aca="false">O407</f>
        <v>0</v>
      </c>
      <c r="AH407" s="61" t="n">
        <f aca="false">P407</f>
        <v>0</v>
      </c>
      <c r="AI407" s="61" t="n">
        <f aca="false">VLOOKUP(AH407,recipe_ingred_list!$K$29:$M$34,3,0)</f>
        <v>3</v>
      </c>
      <c r="AJ407" s="61" t="str">
        <f aca="false">IF(Q407="","",Q407)</f>
        <v/>
      </c>
      <c r="AK407" s="61" t="n">
        <f aca="false">AK406+1</f>
        <v>407</v>
      </c>
      <c r="AL407" s="61" t="e">
        <f aca="false">Y407</f>
        <v>#N/A</v>
      </c>
      <c r="AM407" s="81" t="e">
        <f aca="false">"a = Client().post('"&amp;W407&amp;"', {'recipe' : '"&amp;V407&amp;"', 'ingredient' : '"&amp;Z407&amp;"', 'name' : '"&amp;X407&amp;"', 'mass_unit' : '"&amp;AC407&amp;"', 'mass_quantity' : '"&amp;ROUND(AA407,3)&amp;"', 'volume_unit' : '"&amp;AF407&amp;"', 'volume_quantity' : '"&amp;ROUND(AD407,3)&amp;"', 'pieces_unit' : '"&amp;AI407&amp;"', 'pieces_quantity' : '"&amp;ROUND(AG407,3)&amp;"', 'cooking_notes' : '"&amp;AJ407&amp;"'}).status_code; print('%s :: %s :: %s :: %s :: %s' %(a,"&amp;G407&amp;",'"&amp;X407&amp;"','"&amp;Y407&amp;"','"&amp;U407&amp;"'))"</f>
        <v>#N/A</v>
      </c>
    </row>
    <row r="408" customFormat="false" ht="13.8" hidden="false" customHeight="false" outlineLevel="0" collapsed="false">
      <c r="G408" s="80" t="n">
        <v>408</v>
      </c>
      <c r="H408" s="98"/>
      <c r="I408" s="99"/>
      <c r="J408" s="105"/>
      <c r="K408" s="141"/>
      <c r="L408" s="141"/>
      <c r="M408" s="100"/>
      <c r="N408" s="100"/>
      <c r="O408" s="101"/>
      <c r="P408" s="100"/>
      <c r="Q408" s="102"/>
      <c r="R408" s="99" t="e">
        <f aca="false">VLOOKUP(J408,ingredient!$N$4:$O$553,2,0)</f>
        <v>#N/A</v>
      </c>
      <c r="S408" s="98"/>
      <c r="T408" s="98"/>
      <c r="U408" s="81" t="n">
        <f aca="false">I408</f>
        <v>0</v>
      </c>
      <c r="V408" s="81" t="e">
        <f aca="false">VLOOKUP(U408,recipe_ingred_list!$A$2:$B$300,2,0)</f>
        <v>#N/A</v>
      </c>
      <c r="W408" s="81" t="e">
        <f aca="false">"/recipes/"&amp;VLOOKUP(U408,recipe_ingred_list!$A$2:$C$300,3,0)&amp;"/detail/"</f>
        <v>#N/A</v>
      </c>
      <c r="X408" s="81" t="n">
        <f aca="false">J408</f>
        <v>0</v>
      </c>
      <c r="Y408" s="81" t="e">
        <f aca="false">R408</f>
        <v>#N/A</v>
      </c>
      <c r="Z408" s="94" t="e">
        <f aca="false">VLOOKUP(Y408,recipe_ingred_list!$D$2:$E$500,2,0)</f>
        <v>#N/A</v>
      </c>
      <c r="AA408" s="61" t="n">
        <f aca="false">K408</f>
        <v>0</v>
      </c>
      <c r="AB408" s="61" t="n">
        <f aca="false">L408</f>
        <v>0</v>
      </c>
      <c r="AC408" s="61" t="n">
        <f aca="false">VLOOKUP(AB408,recipe_ingred_list!$K$2:$M$7,3,0)</f>
        <v>2</v>
      </c>
      <c r="AD408" s="61" t="n">
        <f aca="false">M408</f>
        <v>0</v>
      </c>
      <c r="AE408" s="61" t="n">
        <f aca="false">N408</f>
        <v>0</v>
      </c>
      <c r="AF408" s="61" t="n">
        <f aca="false">VLOOKUP(AE408,recipe_ingred_list!$K$16:$M$25,3,0)</f>
        <v>1</v>
      </c>
      <c r="AG408" s="61" t="n">
        <f aca="false">O408</f>
        <v>0</v>
      </c>
      <c r="AH408" s="61" t="n">
        <f aca="false">P408</f>
        <v>0</v>
      </c>
      <c r="AI408" s="61" t="n">
        <f aca="false">VLOOKUP(AH408,recipe_ingred_list!$K$29:$M$34,3,0)</f>
        <v>3</v>
      </c>
      <c r="AJ408" s="61" t="str">
        <f aca="false">IF(Q408="","",Q408)</f>
        <v/>
      </c>
      <c r="AK408" s="61" t="n">
        <f aca="false">AK407+1</f>
        <v>408</v>
      </c>
      <c r="AL408" s="61" t="e">
        <f aca="false">Y408</f>
        <v>#N/A</v>
      </c>
      <c r="AM408" s="81" t="e">
        <f aca="false">"a = Client().post('"&amp;W408&amp;"', {'recipe' : '"&amp;V408&amp;"', 'ingredient' : '"&amp;Z408&amp;"', 'name' : '"&amp;X408&amp;"', 'mass_unit' : '"&amp;AC408&amp;"', 'mass_quantity' : '"&amp;ROUND(AA408,3)&amp;"', 'volume_unit' : '"&amp;AF408&amp;"', 'volume_quantity' : '"&amp;ROUND(AD408,3)&amp;"', 'pieces_unit' : '"&amp;AI408&amp;"', 'pieces_quantity' : '"&amp;ROUND(AG408,3)&amp;"', 'cooking_notes' : '"&amp;AJ408&amp;"'}).status_code; print('%s :: %s :: %s :: %s :: %s' %(a,"&amp;G408&amp;",'"&amp;X408&amp;"','"&amp;Y408&amp;"','"&amp;U408&amp;"'))"</f>
        <v>#N/A</v>
      </c>
    </row>
    <row r="409" s="113" customFormat="true" ht="28.35" hidden="false" customHeight="false" outlineLevel="0" collapsed="false">
      <c r="A409" s="147"/>
      <c r="B409" s="147"/>
      <c r="C409" s="147"/>
      <c r="D409" s="147"/>
      <c r="E409" s="147"/>
      <c r="F409" s="147"/>
      <c r="G409" s="148" t="n">
        <v>409</v>
      </c>
      <c r="I409" s="149" t="s">
        <v>205</v>
      </c>
      <c r="J409" s="150" t="s">
        <v>639</v>
      </c>
      <c r="K409" s="71" t="n">
        <v>7</v>
      </c>
      <c r="L409" s="71" t="s">
        <v>7</v>
      </c>
      <c r="M409" s="71" t="n">
        <v>35</v>
      </c>
      <c r="N409" s="71" t="s">
        <v>13</v>
      </c>
      <c r="O409" s="71"/>
      <c r="P409" s="71"/>
      <c r="Q409" s="151" t="s">
        <v>640</v>
      </c>
      <c r="R409" s="112" t="str">
        <f aca="false">VLOOKUP(J409,ingredient!$N$4:$O$553,2,0)</f>
        <v>lettuce</v>
      </c>
      <c r="U409" s="81" t="str">
        <f aca="false">I409</f>
        <v>Italian Salad</v>
      </c>
      <c r="V409" s="81" t="n">
        <f aca="false">VLOOKUP(U409,recipe_ingred_list!$A$2:$B$300,2,0)</f>
        <v>32</v>
      </c>
      <c r="W409" s="81" t="str">
        <f aca="false">"/recipes/"&amp;VLOOKUP(U409,recipe_ingred_list!$A$2:$C$300,3,0)&amp;"/detail/"</f>
        <v>/recipes/italian-salad/detail/</v>
      </c>
      <c r="X409" s="81" t="str">
        <f aca="false">J409</f>
        <v>Lettuce (cut big size)</v>
      </c>
      <c r="Y409" s="81" t="str">
        <f aca="false">R409</f>
        <v>lettuce</v>
      </c>
      <c r="Z409" s="94" t="n">
        <f aca="false">VLOOKUP(Y409,recipe_ingred_list!$D$2:$E$500,2,0)</f>
        <v>133</v>
      </c>
      <c r="AA409" s="61" t="n">
        <f aca="false">K409</f>
        <v>7</v>
      </c>
      <c r="AB409" s="61" t="str">
        <f aca="false">L409</f>
        <v>kg</v>
      </c>
      <c r="AC409" s="61" t="n">
        <f aca="false">VLOOKUP(AB409,recipe_ingred_list!$K$2:$M$7,3,0)</f>
        <v>2</v>
      </c>
      <c r="AD409" s="61" t="n">
        <f aca="false">M409</f>
        <v>35</v>
      </c>
      <c r="AE409" s="61" t="str">
        <f aca="false">N409</f>
        <v>ltr</v>
      </c>
      <c r="AF409" s="61" t="n">
        <f aca="false">VLOOKUP(AE409,recipe_ingred_list!$K$16:$M$25,3,0)</f>
        <v>1</v>
      </c>
      <c r="AG409" s="61" t="n">
        <f aca="false">O409</f>
        <v>0</v>
      </c>
      <c r="AH409" s="61" t="n">
        <f aca="false">P409</f>
        <v>0</v>
      </c>
      <c r="AI409" s="61" t="n">
        <f aca="false">VLOOKUP(AH409,recipe_ingred_list!$K$29:$M$34,3,0)</f>
        <v>3</v>
      </c>
      <c r="AJ409" s="61" t="str">
        <f aca="false">IF(Q409="","",Q409)</f>
        <v>Mix lemon juice &amp; olive oil before adding to salad</v>
      </c>
      <c r="AK409" s="61" t="n">
        <f aca="false">AK408+1</f>
        <v>409</v>
      </c>
      <c r="AL409" s="61" t="str">
        <f aca="false">Y409</f>
        <v>lettuce</v>
      </c>
      <c r="AM409" s="81" t="str">
        <f aca="false">"a = Client().post('"&amp;W409&amp;"', {'recipe' : '"&amp;V409&amp;"', 'ingredient' : '"&amp;Z409&amp;"', 'name' : '"&amp;X409&amp;"', 'mass_unit' : '"&amp;AC409&amp;"', 'mass_quantity' : '"&amp;ROUND(AA409,3)&amp;"', 'volume_unit' : '"&amp;AF409&amp;"', 'volume_quantity' : '"&amp;ROUND(AD409,3)&amp;"', 'pieces_unit' : '"&amp;AI409&amp;"', 'pieces_quantity' : '"&amp;ROUND(AG409,3)&amp;"', 'cooking_notes' : '"&amp;AJ409&amp;"'}).status_code; print('%s :: %s :: %s :: %s :: %s' %(a,"&amp;G409&amp;",'"&amp;X409&amp;"','"&amp;Y409&amp;"','"&amp;U409&amp;"'))"</f>
        <v>a = Client().post('/recipes/italian-salad/detail/', {'recipe' : '32', 'ingredient' : '133', 'name' : 'Lettuce (cut big size)', 'mass_unit' : '2', 'mass_quantity' : '7', 'volume_unit' : '1', 'volume_quantity' : '35', 'pieces_unit' : '3', 'pieces_quantity' : '0', 'cooking_notes' : 'Mix lemon juice &amp; olive oil before adding to salad'}).status_code; print('%s :: %s :: %s :: %s :: %s' %(a,409,'Lettuce (cut big size)','lettuce','Italian Salad'))</v>
      </c>
      <c r="AMJ409" s="147"/>
    </row>
    <row r="410" s="113" customFormat="true" ht="13.8" hidden="false" customHeight="false" outlineLevel="0" collapsed="false">
      <c r="A410" s="147"/>
      <c r="B410" s="147"/>
      <c r="C410" s="147"/>
      <c r="D410" s="147"/>
      <c r="E410" s="147"/>
      <c r="F410" s="147"/>
      <c r="G410" s="148" t="n">
        <v>410</v>
      </c>
      <c r="I410" s="149" t="s">
        <v>205</v>
      </c>
      <c r="J410" s="150"/>
      <c r="K410" s="71"/>
      <c r="L410" s="71"/>
      <c r="M410" s="147"/>
      <c r="N410" s="147"/>
      <c r="O410" s="71"/>
      <c r="P410" s="71"/>
      <c r="Q410" s="111"/>
      <c r="R410" s="112" t="e">
        <f aca="false">VLOOKUP(J410,ingredient!$N$4:$O$553,2,0)</f>
        <v>#N/A</v>
      </c>
      <c r="U410" s="81" t="str">
        <f aca="false">I410</f>
        <v>Italian Salad</v>
      </c>
      <c r="V410" s="81" t="n">
        <f aca="false">VLOOKUP(U410,recipe_ingred_list!$A$2:$B$300,2,0)</f>
        <v>32</v>
      </c>
      <c r="W410" s="81" t="str">
        <f aca="false">"/recipes/"&amp;VLOOKUP(U410,recipe_ingred_list!$A$2:$C$300,3,0)&amp;"/detail/"</f>
        <v>/recipes/italian-salad/detail/</v>
      </c>
      <c r="X410" s="81" t="n">
        <f aca="false">J410</f>
        <v>0</v>
      </c>
      <c r="Y410" s="81" t="e">
        <f aca="false">R410</f>
        <v>#N/A</v>
      </c>
      <c r="Z410" s="94" t="e">
        <f aca="false">VLOOKUP(Y410,recipe_ingred_list!$D$2:$E$500,2,0)</f>
        <v>#N/A</v>
      </c>
      <c r="AA410" s="61" t="n">
        <f aca="false">K410</f>
        <v>0</v>
      </c>
      <c r="AB410" s="61" t="n">
        <f aca="false">L410</f>
        <v>0</v>
      </c>
      <c r="AC410" s="61" t="n">
        <f aca="false">VLOOKUP(AB410,recipe_ingred_list!$K$2:$M$7,3,0)</f>
        <v>2</v>
      </c>
      <c r="AD410" s="61" t="n">
        <f aca="false">M410</f>
        <v>0</v>
      </c>
      <c r="AE410" s="61" t="n">
        <f aca="false">N410</f>
        <v>0</v>
      </c>
      <c r="AF410" s="61" t="n">
        <f aca="false">VLOOKUP(AE410,recipe_ingred_list!$K$16:$M$25,3,0)</f>
        <v>1</v>
      </c>
      <c r="AG410" s="61" t="n">
        <f aca="false">O410</f>
        <v>0</v>
      </c>
      <c r="AH410" s="61" t="n">
        <f aca="false">P410</f>
        <v>0</v>
      </c>
      <c r="AI410" s="61" t="n">
        <f aca="false">VLOOKUP(AH410,recipe_ingred_list!$K$29:$M$34,3,0)</f>
        <v>3</v>
      </c>
      <c r="AJ410" s="61" t="str">
        <f aca="false">IF(Q410="","",Q410)</f>
        <v/>
      </c>
      <c r="AK410" s="61" t="n">
        <f aca="false">AK409+1</f>
        <v>410</v>
      </c>
      <c r="AL410" s="61" t="e">
        <f aca="false">Y410</f>
        <v>#N/A</v>
      </c>
      <c r="AM410" s="81" t="e">
        <f aca="false">"a = Client().post('"&amp;W410&amp;"', {'recipe' : '"&amp;V410&amp;"', 'ingredient' : '"&amp;Z410&amp;"', 'name' : '"&amp;X410&amp;"', 'mass_unit' : '"&amp;AC410&amp;"', 'mass_quantity' : '"&amp;ROUND(AA410,3)&amp;"', 'volume_unit' : '"&amp;AF410&amp;"', 'volume_quantity' : '"&amp;ROUND(AD410,3)&amp;"', 'pieces_unit' : '"&amp;AI410&amp;"', 'pieces_quantity' : '"&amp;ROUND(AG410,3)&amp;"', 'cooking_notes' : '"&amp;AJ410&amp;"'}).status_code; print('%s :: %s :: %s :: %s :: %s' %(a,"&amp;G410&amp;",'"&amp;X410&amp;"','"&amp;Y410&amp;"','"&amp;U410&amp;"'))"</f>
        <v>#N/A</v>
      </c>
      <c r="AMJ410" s="147"/>
    </row>
    <row r="411" s="113" customFormat="true" ht="13.8" hidden="false" customHeight="false" outlineLevel="0" collapsed="false">
      <c r="A411" s="147"/>
      <c r="B411" s="147"/>
      <c r="C411" s="147"/>
      <c r="D411" s="147"/>
      <c r="E411" s="147"/>
      <c r="F411" s="147"/>
      <c r="G411" s="148" t="n">
        <v>411</v>
      </c>
      <c r="I411" s="149" t="s">
        <v>205</v>
      </c>
      <c r="J411" s="150" t="s">
        <v>641</v>
      </c>
      <c r="K411" s="71" t="n">
        <v>2.33333333333333</v>
      </c>
      <c r="L411" s="71" t="s">
        <v>7</v>
      </c>
      <c r="M411" s="71" t="n">
        <v>3.26666666666667</v>
      </c>
      <c r="N411" s="71" t="s">
        <v>13</v>
      </c>
      <c r="O411" s="71"/>
      <c r="P411" s="71"/>
      <c r="Q411" s="111"/>
      <c r="R411" s="112" t="str">
        <f aca="false">VLOOKUP(J411,ingredient!$N$4:$O$553,2,0)</f>
        <v>gajar</v>
      </c>
      <c r="U411" s="81" t="str">
        <f aca="false">I411</f>
        <v>Italian Salad</v>
      </c>
      <c r="V411" s="81" t="n">
        <f aca="false">VLOOKUP(U411,recipe_ingred_list!$A$2:$B$300,2,0)</f>
        <v>32</v>
      </c>
      <c r="W411" s="81" t="str">
        <f aca="false">"/recipes/"&amp;VLOOKUP(U411,recipe_ingred_list!$A$2:$C$300,3,0)&amp;"/detail/"</f>
        <v>/recipes/italian-salad/detail/</v>
      </c>
      <c r="X411" s="81" t="str">
        <f aca="false">J411</f>
        <v>Gajar (grated)</v>
      </c>
      <c r="Y411" s="81" t="str">
        <f aca="false">R411</f>
        <v>gajar</v>
      </c>
      <c r="Z411" s="94" t="n">
        <f aca="false">VLOOKUP(Y411,recipe_ingred_list!$D$2:$E$500,2,0)</f>
        <v>79</v>
      </c>
      <c r="AA411" s="61" t="n">
        <f aca="false">K411</f>
        <v>2.33333333333333</v>
      </c>
      <c r="AB411" s="61" t="str">
        <f aca="false">L411</f>
        <v>kg</v>
      </c>
      <c r="AC411" s="61" t="n">
        <f aca="false">VLOOKUP(AB411,recipe_ingred_list!$K$2:$M$7,3,0)</f>
        <v>2</v>
      </c>
      <c r="AD411" s="61" t="n">
        <f aca="false">M411</f>
        <v>3.26666666666667</v>
      </c>
      <c r="AE411" s="61" t="str">
        <f aca="false">N411</f>
        <v>ltr</v>
      </c>
      <c r="AF411" s="61" t="n">
        <f aca="false">VLOOKUP(AE411,recipe_ingred_list!$K$16:$M$25,3,0)</f>
        <v>1</v>
      </c>
      <c r="AG411" s="61" t="n">
        <f aca="false">O411</f>
        <v>0</v>
      </c>
      <c r="AH411" s="61" t="n">
        <f aca="false">P411</f>
        <v>0</v>
      </c>
      <c r="AI411" s="61" t="n">
        <f aca="false">VLOOKUP(AH411,recipe_ingred_list!$K$29:$M$34,3,0)</f>
        <v>3</v>
      </c>
      <c r="AJ411" s="61" t="str">
        <f aca="false">IF(Q411="","",Q411)</f>
        <v/>
      </c>
      <c r="AK411" s="61" t="n">
        <f aca="false">AK410+1</f>
        <v>411</v>
      </c>
      <c r="AL411" s="61" t="str">
        <f aca="false">Y411</f>
        <v>gajar</v>
      </c>
      <c r="AM411" s="81" t="str">
        <f aca="false">"a = Client().post('"&amp;W411&amp;"', {'recipe' : '"&amp;V411&amp;"', 'ingredient' : '"&amp;Z411&amp;"', 'name' : '"&amp;X411&amp;"', 'mass_unit' : '"&amp;AC411&amp;"', 'mass_quantity' : '"&amp;ROUND(AA411,3)&amp;"', 'volume_unit' : '"&amp;AF411&amp;"', 'volume_quantity' : '"&amp;ROUND(AD411,3)&amp;"', 'pieces_unit' : '"&amp;AI411&amp;"', 'pieces_quantity' : '"&amp;ROUND(AG411,3)&amp;"', 'cooking_notes' : '"&amp;AJ411&amp;"'}).status_code; print('%s :: %s :: %s :: %s :: %s' %(a,"&amp;G411&amp;",'"&amp;X411&amp;"','"&amp;Y411&amp;"','"&amp;U411&amp;"'))"</f>
        <v>a = Client().post('/recipes/italian-salad/detail/', {'recipe' : '32', 'ingredient' : '79', 'name' : 'Gajar (grated)', 'mass_unit' : '2', 'mass_quantity' : '2.333', 'volume_unit' : '1', 'volume_quantity' : '3.267', 'pieces_unit' : '3', 'pieces_quantity' : '0', 'cooking_notes' : ''}).status_code; print('%s :: %s :: %s :: %s :: %s' %(a,411,'Gajar (grated)','gajar','Italian Salad'))</v>
      </c>
      <c r="AMJ411" s="147"/>
    </row>
    <row r="412" s="113" customFormat="true" ht="13.8" hidden="false" customHeight="false" outlineLevel="0" collapsed="false">
      <c r="A412" s="147"/>
      <c r="B412" s="147"/>
      <c r="C412" s="147"/>
      <c r="D412" s="147"/>
      <c r="E412" s="147"/>
      <c r="F412" s="147"/>
      <c r="G412" s="148" t="n">
        <v>412</v>
      </c>
      <c r="I412" s="149" t="s">
        <v>205</v>
      </c>
      <c r="J412" s="150"/>
      <c r="K412" s="71"/>
      <c r="L412" s="71"/>
      <c r="M412" s="73"/>
      <c r="N412" s="73"/>
      <c r="O412" s="71"/>
      <c r="P412" s="71"/>
      <c r="Q412" s="111"/>
      <c r="R412" s="112" t="e">
        <f aca="false">VLOOKUP(J412,ingredient!$N$4:$O$553,2,0)</f>
        <v>#N/A</v>
      </c>
      <c r="U412" s="81" t="str">
        <f aca="false">I412</f>
        <v>Italian Salad</v>
      </c>
      <c r="V412" s="81" t="n">
        <f aca="false">VLOOKUP(U412,recipe_ingred_list!$A$2:$B$300,2,0)</f>
        <v>32</v>
      </c>
      <c r="W412" s="81" t="str">
        <f aca="false">"/recipes/"&amp;VLOOKUP(U412,recipe_ingred_list!$A$2:$C$300,3,0)&amp;"/detail/"</f>
        <v>/recipes/italian-salad/detail/</v>
      </c>
      <c r="X412" s="81" t="n">
        <f aca="false">J412</f>
        <v>0</v>
      </c>
      <c r="Y412" s="81" t="e">
        <f aca="false">R412</f>
        <v>#N/A</v>
      </c>
      <c r="Z412" s="94" t="e">
        <f aca="false">VLOOKUP(Y412,recipe_ingred_list!$D$2:$E$500,2,0)</f>
        <v>#N/A</v>
      </c>
      <c r="AA412" s="61" t="n">
        <f aca="false">K412</f>
        <v>0</v>
      </c>
      <c r="AB412" s="61" t="n">
        <f aca="false">L412</f>
        <v>0</v>
      </c>
      <c r="AC412" s="61" t="n">
        <f aca="false">VLOOKUP(AB412,recipe_ingred_list!$K$2:$M$7,3,0)</f>
        <v>2</v>
      </c>
      <c r="AD412" s="61" t="n">
        <f aca="false">M412</f>
        <v>0</v>
      </c>
      <c r="AE412" s="61" t="n">
        <f aca="false">N412</f>
        <v>0</v>
      </c>
      <c r="AF412" s="61" t="n">
        <f aca="false">VLOOKUP(AE412,recipe_ingred_list!$K$16:$M$25,3,0)</f>
        <v>1</v>
      </c>
      <c r="AG412" s="61" t="n">
        <f aca="false">O412</f>
        <v>0</v>
      </c>
      <c r="AH412" s="61" t="n">
        <f aca="false">P412</f>
        <v>0</v>
      </c>
      <c r="AI412" s="61" t="n">
        <f aca="false">VLOOKUP(AH412,recipe_ingred_list!$K$29:$M$34,3,0)</f>
        <v>3</v>
      </c>
      <c r="AJ412" s="61" t="str">
        <f aca="false">IF(Q412="","",Q412)</f>
        <v/>
      </c>
      <c r="AK412" s="61" t="n">
        <f aca="false">AK411+1</f>
        <v>412</v>
      </c>
      <c r="AL412" s="61" t="e">
        <f aca="false">Y412</f>
        <v>#N/A</v>
      </c>
      <c r="AM412" s="81" t="e">
        <f aca="false">"a = Client().post('"&amp;W412&amp;"', {'recipe' : '"&amp;V412&amp;"', 'ingredient' : '"&amp;Z412&amp;"', 'name' : '"&amp;X412&amp;"', 'mass_unit' : '"&amp;AC412&amp;"', 'mass_quantity' : '"&amp;ROUND(AA412,3)&amp;"', 'volume_unit' : '"&amp;AF412&amp;"', 'volume_quantity' : '"&amp;ROUND(AD412,3)&amp;"', 'pieces_unit' : '"&amp;AI412&amp;"', 'pieces_quantity' : '"&amp;ROUND(AG412,3)&amp;"', 'cooking_notes' : '"&amp;AJ412&amp;"'}).status_code; print('%s :: %s :: %s :: %s :: %s' %(a,"&amp;G412&amp;",'"&amp;X412&amp;"','"&amp;Y412&amp;"','"&amp;U412&amp;"'))"</f>
        <v>#N/A</v>
      </c>
      <c r="AMJ412" s="147"/>
    </row>
    <row r="413" s="113" customFormat="true" ht="13.8" hidden="false" customHeight="false" outlineLevel="0" collapsed="false">
      <c r="A413" s="147"/>
      <c r="B413" s="147"/>
      <c r="C413" s="147"/>
      <c r="D413" s="147"/>
      <c r="E413" s="147"/>
      <c r="F413" s="147"/>
      <c r="G413" s="148" t="n">
        <v>413</v>
      </c>
      <c r="I413" s="149" t="s">
        <v>205</v>
      </c>
      <c r="J413" s="150" t="s">
        <v>642</v>
      </c>
      <c r="K413" s="71" t="n">
        <v>3.5</v>
      </c>
      <c r="L413" s="71" t="s">
        <v>7</v>
      </c>
      <c r="M413" s="71" t="n">
        <v>4.66666666666667</v>
      </c>
      <c r="N413" s="71" t="s">
        <v>13</v>
      </c>
      <c r="O413" s="71"/>
      <c r="P413" s="71"/>
      <c r="Q413" s="111"/>
      <c r="R413" s="112" t="str">
        <f aca="false">VLOOKUP(J413,ingredient!$N$4:$O$553,2,0)</f>
        <v>cherry tomato</v>
      </c>
      <c r="U413" s="81" t="str">
        <f aca="false">I413</f>
        <v>Italian Salad</v>
      </c>
      <c r="V413" s="81" t="n">
        <f aca="false">VLOOKUP(U413,recipe_ingred_list!$A$2:$B$300,2,0)</f>
        <v>32</v>
      </c>
      <c r="W413" s="81" t="str">
        <f aca="false">"/recipes/"&amp;VLOOKUP(U413,recipe_ingred_list!$A$2:$C$300,3,0)&amp;"/detail/"</f>
        <v>/recipes/italian-salad/detail/</v>
      </c>
      <c r="X413" s="81" t="str">
        <f aca="false">J413</f>
        <v>Cherry tomato (cut half)</v>
      </c>
      <c r="Y413" s="81" t="str">
        <f aca="false">R413</f>
        <v>cherry tomato</v>
      </c>
      <c r="Z413" s="94" t="n">
        <f aca="false">VLOOKUP(Y413,recipe_ingred_list!$D$2:$E$500,2,0)</f>
        <v>50</v>
      </c>
      <c r="AA413" s="61" t="n">
        <f aca="false">K413</f>
        <v>3.5</v>
      </c>
      <c r="AB413" s="61" t="str">
        <f aca="false">L413</f>
        <v>kg</v>
      </c>
      <c r="AC413" s="61" t="n">
        <f aca="false">VLOOKUP(AB413,recipe_ingred_list!$K$2:$M$7,3,0)</f>
        <v>2</v>
      </c>
      <c r="AD413" s="61" t="n">
        <f aca="false">M413</f>
        <v>4.66666666666667</v>
      </c>
      <c r="AE413" s="61" t="str">
        <f aca="false">N413</f>
        <v>ltr</v>
      </c>
      <c r="AF413" s="61" t="n">
        <f aca="false">VLOOKUP(AE413,recipe_ingred_list!$K$16:$M$25,3,0)</f>
        <v>1</v>
      </c>
      <c r="AG413" s="61" t="n">
        <f aca="false">O413</f>
        <v>0</v>
      </c>
      <c r="AH413" s="61" t="n">
        <f aca="false">P413</f>
        <v>0</v>
      </c>
      <c r="AI413" s="61" t="n">
        <f aca="false">VLOOKUP(AH413,recipe_ingred_list!$K$29:$M$34,3,0)</f>
        <v>3</v>
      </c>
      <c r="AJ413" s="61" t="str">
        <f aca="false">IF(Q413="","",Q413)</f>
        <v/>
      </c>
      <c r="AK413" s="61" t="n">
        <f aca="false">AK412+1</f>
        <v>413</v>
      </c>
      <c r="AL413" s="61" t="str">
        <f aca="false">Y413</f>
        <v>cherry tomato</v>
      </c>
      <c r="AM413" s="81" t="str">
        <f aca="false">"a = Client().post('"&amp;W413&amp;"', {'recipe' : '"&amp;V413&amp;"', 'ingredient' : '"&amp;Z413&amp;"', 'name' : '"&amp;X413&amp;"', 'mass_unit' : '"&amp;AC413&amp;"', 'mass_quantity' : '"&amp;ROUND(AA413,3)&amp;"', 'volume_unit' : '"&amp;AF413&amp;"', 'volume_quantity' : '"&amp;ROUND(AD413,3)&amp;"', 'pieces_unit' : '"&amp;AI413&amp;"', 'pieces_quantity' : '"&amp;ROUND(AG413,3)&amp;"', 'cooking_notes' : '"&amp;AJ413&amp;"'}).status_code; print('%s :: %s :: %s :: %s :: %s' %(a,"&amp;G413&amp;",'"&amp;X413&amp;"','"&amp;Y413&amp;"','"&amp;U413&amp;"'))"</f>
        <v>a = Client().post('/recipes/italian-salad/detail/', {'recipe' : '32', 'ingredient' : '50', 'name' : 'Cherry tomato (cut half)', 'mass_unit' : '2', 'mass_quantity' : '3.5', 'volume_unit' : '1', 'volume_quantity' : '4.667', 'pieces_unit' : '3', 'pieces_quantity' : '0', 'cooking_notes' : ''}).status_code; print('%s :: %s :: %s :: %s :: %s' %(a,413,'Cherry tomato (cut half)','cherry tomato','Italian Salad'))</v>
      </c>
      <c r="AMJ413" s="147"/>
    </row>
    <row r="414" s="113" customFormat="true" ht="13.8" hidden="false" customHeight="false" outlineLevel="0" collapsed="false">
      <c r="A414" s="147"/>
      <c r="B414" s="147"/>
      <c r="C414" s="147"/>
      <c r="D414" s="147"/>
      <c r="E414" s="147"/>
      <c r="F414" s="147"/>
      <c r="G414" s="148" t="n">
        <v>414</v>
      </c>
      <c r="I414" s="149" t="s">
        <v>205</v>
      </c>
      <c r="J414" s="150"/>
      <c r="K414" s="71"/>
      <c r="L414" s="71"/>
      <c r="M414" s="73"/>
      <c r="N414" s="73"/>
      <c r="O414" s="71"/>
      <c r="P414" s="71"/>
      <c r="Q414" s="111"/>
      <c r="R414" s="112" t="e">
        <f aca="false">VLOOKUP(J414,ingredient!$N$4:$O$553,2,0)</f>
        <v>#N/A</v>
      </c>
      <c r="U414" s="81" t="str">
        <f aca="false">I414</f>
        <v>Italian Salad</v>
      </c>
      <c r="V414" s="81" t="n">
        <f aca="false">VLOOKUP(U414,recipe_ingred_list!$A$2:$B$300,2,0)</f>
        <v>32</v>
      </c>
      <c r="W414" s="81" t="str">
        <f aca="false">"/recipes/"&amp;VLOOKUP(U414,recipe_ingred_list!$A$2:$C$300,3,0)&amp;"/detail/"</f>
        <v>/recipes/italian-salad/detail/</v>
      </c>
      <c r="X414" s="81" t="n">
        <f aca="false">J414</f>
        <v>0</v>
      </c>
      <c r="Y414" s="81" t="e">
        <f aca="false">R414</f>
        <v>#N/A</v>
      </c>
      <c r="Z414" s="94" t="e">
        <f aca="false">VLOOKUP(Y414,recipe_ingred_list!$D$2:$E$500,2,0)</f>
        <v>#N/A</v>
      </c>
      <c r="AA414" s="61" t="n">
        <f aca="false">K414</f>
        <v>0</v>
      </c>
      <c r="AB414" s="61" t="n">
        <f aca="false">L414</f>
        <v>0</v>
      </c>
      <c r="AC414" s="61" t="n">
        <f aca="false">VLOOKUP(AB414,recipe_ingred_list!$K$2:$M$7,3,0)</f>
        <v>2</v>
      </c>
      <c r="AD414" s="61" t="n">
        <f aca="false">M414</f>
        <v>0</v>
      </c>
      <c r="AE414" s="61" t="n">
        <f aca="false">N414</f>
        <v>0</v>
      </c>
      <c r="AF414" s="61" t="n">
        <f aca="false">VLOOKUP(AE414,recipe_ingred_list!$K$16:$M$25,3,0)</f>
        <v>1</v>
      </c>
      <c r="AG414" s="61" t="n">
        <f aca="false">O414</f>
        <v>0</v>
      </c>
      <c r="AH414" s="61" t="n">
        <f aca="false">P414</f>
        <v>0</v>
      </c>
      <c r="AI414" s="61" t="n">
        <f aca="false">VLOOKUP(AH414,recipe_ingred_list!$K$29:$M$34,3,0)</f>
        <v>3</v>
      </c>
      <c r="AJ414" s="61" t="str">
        <f aca="false">IF(Q414="","",Q414)</f>
        <v/>
      </c>
      <c r="AK414" s="61" t="n">
        <f aca="false">AK413+1</f>
        <v>414</v>
      </c>
      <c r="AL414" s="61" t="e">
        <f aca="false">Y414</f>
        <v>#N/A</v>
      </c>
      <c r="AM414" s="81" t="e">
        <f aca="false">"a = Client().post('"&amp;W414&amp;"', {'recipe' : '"&amp;V414&amp;"', 'ingredient' : '"&amp;Z414&amp;"', 'name' : '"&amp;X414&amp;"', 'mass_unit' : '"&amp;AC414&amp;"', 'mass_quantity' : '"&amp;ROUND(AA414,3)&amp;"', 'volume_unit' : '"&amp;AF414&amp;"', 'volume_quantity' : '"&amp;ROUND(AD414,3)&amp;"', 'pieces_unit' : '"&amp;AI414&amp;"', 'pieces_quantity' : '"&amp;ROUND(AG414,3)&amp;"', 'cooking_notes' : '"&amp;AJ414&amp;"'}).status_code; print('%s :: %s :: %s :: %s :: %s' %(a,"&amp;G414&amp;",'"&amp;X414&amp;"','"&amp;Y414&amp;"','"&amp;U414&amp;"'))"</f>
        <v>#N/A</v>
      </c>
      <c r="AMJ414" s="147"/>
    </row>
    <row r="415" s="113" customFormat="true" ht="13.8" hidden="false" customHeight="false" outlineLevel="0" collapsed="false">
      <c r="A415" s="147"/>
      <c r="B415" s="147"/>
      <c r="C415" s="147"/>
      <c r="D415" s="147"/>
      <c r="E415" s="147"/>
      <c r="F415" s="147"/>
      <c r="G415" s="148" t="n">
        <v>415</v>
      </c>
      <c r="I415" s="149" t="s">
        <v>205</v>
      </c>
      <c r="J415" s="150" t="s">
        <v>643</v>
      </c>
      <c r="K415" s="71"/>
      <c r="L415" s="71"/>
      <c r="M415" s="71" t="n">
        <v>2.33333333333333</v>
      </c>
      <c r="N415" s="71" t="s">
        <v>13</v>
      </c>
      <c r="O415" s="71"/>
      <c r="P415" s="71"/>
      <c r="Q415" s="111"/>
      <c r="R415" s="112" t="str">
        <f aca="false">VLOOKUP(J415,ingredient!$N$4:$O$553,2,0)</f>
        <v>almonds</v>
      </c>
      <c r="U415" s="81" t="str">
        <f aca="false">I415</f>
        <v>Italian Salad</v>
      </c>
      <c r="V415" s="81" t="n">
        <f aca="false">VLOOKUP(U415,recipe_ingred_list!$A$2:$B$300,2,0)</f>
        <v>32</v>
      </c>
      <c r="W415" s="81" t="str">
        <f aca="false">"/recipes/"&amp;VLOOKUP(U415,recipe_ingred_list!$A$2:$C$300,3,0)&amp;"/detail/"</f>
        <v>/recipes/italian-salad/detail/</v>
      </c>
      <c r="X415" s="81" t="str">
        <f aca="false">J415</f>
        <v>Roasted Almonds (cut 1-4)</v>
      </c>
      <c r="Y415" s="81" t="str">
        <f aca="false">R415</f>
        <v>almonds</v>
      </c>
      <c r="Z415" s="94" t="n">
        <f aca="false">VLOOKUP(Y415,recipe_ingred_list!$D$2:$E$500,2,0)</f>
        <v>7</v>
      </c>
      <c r="AA415" s="61" t="n">
        <f aca="false">K415</f>
        <v>0</v>
      </c>
      <c r="AB415" s="61" t="n">
        <f aca="false">L415</f>
        <v>0</v>
      </c>
      <c r="AC415" s="61" t="n">
        <f aca="false">VLOOKUP(AB415,recipe_ingred_list!$K$2:$M$7,3,0)</f>
        <v>2</v>
      </c>
      <c r="AD415" s="61" t="n">
        <f aca="false">M415</f>
        <v>2.33333333333333</v>
      </c>
      <c r="AE415" s="61" t="str">
        <f aca="false">N415</f>
        <v>ltr</v>
      </c>
      <c r="AF415" s="61" t="n">
        <f aca="false">VLOOKUP(AE415,recipe_ingred_list!$K$16:$M$25,3,0)</f>
        <v>1</v>
      </c>
      <c r="AG415" s="61" t="n">
        <f aca="false">O415</f>
        <v>0</v>
      </c>
      <c r="AH415" s="61" t="n">
        <f aca="false">P415</f>
        <v>0</v>
      </c>
      <c r="AI415" s="61" t="n">
        <f aca="false">VLOOKUP(AH415,recipe_ingred_list!$K$29:$M$34,3,0)</f>
        <v>3</v>
      </c>
      <c r="AJ415" s="61" t="str">
        <f aca="false">IF(Q415="","",Q415)</f>
        <v/>
      </c>
      <c r="AK415" s="61" t="n">
        <f aca="false">AK414+1</f>
        <v>415</v>
      </c>
      <c r="AL415" s="61" t="str">
        <f aca="false">Y415</f>
        <v>almonds</v>
      </c>
      <c r="AM415" s="81" t="str">
        <f aca="false">"a = Client().post('"&amp;W415&amp;"', {'recipe' : '"&amp;V415&amp;"', 'ingredient' : '"&amp;Z415&amp;"', 'name' : '"&amp;X415&amp;"', 'mass_unit' : '"&amp;AC415&amp;"', 'mass_quantity' : '"&amp;ROUND(AA415,3)&amp;"', 'volume_unit' : '"&amp;AF415&amp;"', 'volume_quantity' : '"&amp;ROUND(AD415,3)&amp;"', 'pieces_unit' : '"&amp;AI415&amp;"', 'pieces_quantity' : '"&amp;ROUND(AG415,3)&amp;"', 'cooking_notes' : '"&amp;AJ415&amp;"'}).status_code; print('%s :: %s :: %s :: %s :: %s' %(a,"&amp;G415&amp;",'"&amp;X415&amp;"','"&amp;Y415&amp;"','"&amp;U415&amp;"'))"</f>
        <v>a = Client().post('/recipes/italian-salad/detail/', {'recipe' : '32', 'ingredient' : '7', 'name' : 'Roasted Almonds (cut 1-4)', 'mass_unit' : '2', 'mass_quantity' : '0', 'volume_unit' : '1', 'volume_quantity' : '2.333', 'pieces_unit' : '3', 'pieces_quantity' : '0', 'cooking_notes' : ''}).status_code; print('%s :: %s :: %s :: %s :: %s' %(a,415,'Roasted Almonds (cut 1-4)','almonds','Italian Salad'))</v>
      </c>
      <c r="AMJ415" s="147"/>
    </row>
    <row r="416" s="113" customFormat="true" ht="13.8" hidden="false" customHeight="false" outlineLevel="0" collapsed="false">
      <c r="A416" s="147"/>
      <c r="B416" s="147"/>
      <c r="C416" s="147"/>
      <c r="D416" s="147"/>
      <c r="E416" s="147"/>
      <c r="F416" s="147"/>
      <c r="G416" s="148" t="n">
        <v>416</v>
      </c>
      <c r="I416" s="149" t="s">
        <v>205</v>
      </c>
      <c r="J416" s="150" t="s">
        <v>86</v>
      </c>
      <c r="K416" s="71"/>
      <c r="L416" s="71"/>
      <c r="M416" s="71" t="n">
        <v>1.16666666666667</v>
      </c>
      <c r="N416" s="71" t="s">
        <v>13</v>
      </c>
      <c r="O416" s="71"/>
      <c r="P416" s="71"/>
      <c r="Q416" s="111"/>
      <c r="R416" s="112" t="str">
        <f aca="false">VLOOKUP(J416,ingredient!$N$4:$O$553,2,0)</f>
        <v>evoo</v>
      </c>
      <c r="U416" s="81" t="str">
        <f aca="false">I416</f>
        <v>Italian Salad</v>
      </c>
      <c r="V416" s="81" t="n">
        <f aca="false">VLOOKUP(U416,recipe_ingred_list!$A$2:$B$300,2,0)</f>
        <v>32</v>
      </c>
      <c r="W416" s="81" t="str">
        <f aca="false">"/recipes/"&amp;VLOOKUP(U416,recipe_ingred_list!$A$2:$C$300,3,0)&amp;"/detail/"</f>
        <v>/recipes/italian-salad/detail/</v>
      </c>
      <c r="X416" s="81" t="str">
        <f aca="false">J416</f>
        <v>EVOO</v>
      </c>
      <c r="Y416" s="81" t="str">
        <f aca="false">R416</f>
        <v>evoo</v>
      </c>
      <c r="Z416" s="94" t="n">
        <f aca="false">VLOOKUP(Y416,recipe_ingred_list!$D$2:$E$500,2,0)</f>
        <v>76</v>
      </c>
      <c r="AA416" s="61" t="n">
        <f aca="false">K416</f>
        <v>0</v>
      </c>
      <c r="AB416" s="61" t="n">
        <f aca="false">L416</f>
        <v>0</v>
      </c>
      <c r="AC416" s="61" t="n">
        <f aca="false">VLOOKUP(AB416,recipe_ingred_list!$K$2:$M$7,3,0)</f>
        <v>2</v>
      </c>
      <c r="AD416" s="61" t="n">
        <f aca="false">M416</f>
        <v>1.16666666666667</v>
      </c>
      <c r="AE416" s="61" t="str">
        <f aca="false">N416</f>
        <v>ltr</v>
      </c>
      <c r="AF416" s="61" t="n">
        <f aca="false">VLOOKUP(AE416,recipe_ingred_list!$K$16:$M$25,3,0)</f>
        <v>1</v>
      </c>
      <c r="AG416" s="61" t="n">
        <f aca="false">O416</f>
        <v>0</v>
      </c>
      <c r="AH416" s="61" t="n">
        <f aca="false">P416</f>
        <v>0</v>
      </c>
      <c r="AI416" s="61" t="n">
        <f aca="false">VLOOKUP(AH416,recipe_ingred_list!$K$29:$M$34,3,0)</f>
        <v>3</v>
      </c>
      <c r="AJ416" s="61" t="str">
        <f aca="false">IF(Q416="","",Q416)</f>
        <v/>
      </c>
      <c r="AK416" s="61" t="n">
        <f aca="false">AK415+1</f>
        <v>416</v>
      </c>
      <c r="AL416" s="61" t="str">
        <f aca="false">Y416</f>
        <v>evoo</v>
      </c>
      <c r="AM416" s="81" t="str">
        <f aca="false">"a = Client().post('"&amp;W416&amp;"', {'recipe' : '"&amp;V416&amp;"', 'ingredient' : '"&amp;Z416&amp;"', 'name' : '"&amp;X416&amp;"', 'mass_unit' : '"&amp;AC416&amp;"', 'mass_quantity' : '"&amp;ROUND(AA416,3)&amp;"', 'volume_unit' : '"&amp;AF416&amp;"', 'volume_quantity' : '"&amp;ROUND(AD416,3)&amp;"', 'pieces_unit' : '"&amp;AI416&amp;"', 'pieces_quantity' : '"&amp;ROUND(AG416,3)&amp;"', 'cooking_notes' : '"&amp;AJ416&amp;"'}).status_code; print('%s :: %s :: %s :: %s :: %s' %(a,"&amp;G416&amp;",'"&amp;X416&amp;"','"&amp;Y416&amp;"','"&amp;U416&amp;"'))"</f>
        <v>a = Client().post('/recipes/italian-salad/detail/', {'recipe' : '32', 'ingredient' : '76', 'name' : 'EVOO', 'mass_unit' : '2', 'mass_quantity' : '0', 'volume_unit' : '1', 'volume_quantity' : '1.167', 'pieces_unit' : '3', 'pieces_quantity' : '0', 'cooking_notes' : ''}).status_code; print('%s :: %s :: %s :: %s :: %s' %(a,416,'EVOO','evoo','Italian Salad'))</v>
      </c>
      <c r="AMJ416" s="147"/>
    </row>
    <row r="417" customFormat="false" ht="13.8" hidden="false" customHeight="false" outlineLevel="0" collapsed="false">
      <c r="G417" s="80" t="n">
        <v>417</v>
      </c>
      <c r="I417" s="85" t="s">
        <v>205</v>
      </c>
      <c r="J417" s="142" t="s">
        <v>557</v>
      </c>
      <c r="M417" s="61" t="n">
        <v>1</v>
      </c>
      <c r="N417" s="69" t="s">
        <v>20</v>
      </c>
      <c r="R417" s="82" t="str">
        <f aca="false">VLOOKUP(J417,ingredient!$N$4:$O$553,2,0)</f>
        <v>lemon</v>
      </c>
      <c r="U417" s="81" t="str">
        <f aca="false">I417</f>
        <v>Italian Salad</v>
      </c>
      <c r="V417" s="81" t="n">
        <f aca="false">VLOOKUP(U417,recipe_ingred_list!$A$2:$B$300,2,0)</f>
        <v>32</v>
      </c>
      <c r="W417" s="81" t="str">
        <f aca="false">"/recipes/"&amp;VLOOKUP(U417,recipe_ingred_list!$A$2:$C$300,3,0)&amp;"/detail/"</f>
        <v>/recipes/italian-salad/detail/</v>
      </c>
      <c r="X417" s="81" t="str">
        <f aca="false">J417</f>
        <v>Lemon juice</v>
      </c>
      <c r="Y417" s="81" t="str">
        <f aca="false">R417</f>
        <v>lemon</v>
      </c>
      <c r="Z417" s="94" t="n">
        <f aca="false">VLOOKUP(Y417,recipe_ingred_list!$D$2:$E$500,2,0)</f>
        <v>129</v>
      </c>
      <c r="AA417" s="61" t="n">
        <f aca="false">K417</f>
        <v>0</v>
      </c>
      <c r="AB417" s="61" t="n">
        <f aca="false">L417</f>
        <v>0</v>
      </c>
      <c r="AC417" s="61" t="n">
        <f aca="false">VLOOKUP(AB417,recipe_ingred_list!$K$2:$M$7,3,0)</f>
        <v>2</v>
      </c>
      <c r="AD417" s="61" t="n">
        <f aca="false">M417</f>
        <v>1</v>
      </c>
      <c r="AE417" s="61" t="str">
        <f aca="false">N417</f>
        <v>cup</v>
      </c>
      <c r="AF417" s="61" t="n">
        <f aca="false">VLOOKUP(AE417,recipe_ingred_list!$K$16:$M$25,3,0)</f>
        <v>5</v>
      </c>
      <c r="AG417" s="61" t="n">
        <f aca="false">O417</f>
        <v>0</v>
      </c>
      <c r="AH417" s="61" t="n">
        <f aca="false">P417</f>
        <v>0</v>
      </c>
      <c r="AI417" s="61" t="n">
        <f aca="false">VLOOKUP(AH417,recipe_ingred_list!$K$29:$M$34,3,0)</f>
        <v>3</v>
      </c>
      <c r="AJ417" s="61" t="str">
        <f aca="false">IF(Q417="","",Q417)</f>
        <v/>
      </c>
      <c r="AK417" s="61" t="n">
        <f aca="false">AK416+1</f>
        <v>417</v>
      </c>
      <c r="AL417" s="61" t="str">
        <f aca="false">Y417</f>
        <v>lemon</v>
      </c>
      <c r="AM417" s="81" t="str">
        <f aca="false">"a = Client().post('"&amp;W417&amp;"', {'recipe' : '"&amp;V417&amp;"', 'ingredient' : '"&amp;Z417&amp;"', 'name' : '"&amp;X417&amp;"', 'mass_unit' : '"&amp;AC417&amp;"', 'mass_quantity' : '"&amp;ROUND(AA417,3)&amp;"', 'volume_unit' : '"&amp;AF417&amp;"', 'volume_quantity' : '"&amp;ROUND(AD417,3)&amp;"', 'pieces_unit' : '"&amp;AI417&amp;"', 'pieces_quantity' : '"&amp;ROUND(AG417,3)&amp;"', 'cooking_notes' : '"&amp;AJ417&amp;"'}).status_code; print('%s :: %s :: %s :: %s :: %s' %(a,"&amp;G417&amp;",'"&amp;X417&amp;"','"&amp;Y417&amp;"','"&amp;U417&amp;"'))"</f>
        <v>a = Client().post('/recipes/italian-salad/detail/', {'recipe' : '32', 'ingredient' : '129', 'name' : 'Lemon juice', 'mass_unit' : '2', 'mass_quantity' : '0', 'volume_unit' : '5', 'volume_quantity' : '1', 'pieces_unit' : '3', 'pieces_quantity' : '0', 'cooking_notes' : ''}).status_code; print('%s :: %s :: %s :: %s :: %s' %(a,417,'Lemon juice','lemon','Italian Salad'))</v>
      </c>
    </row>
    <row r="418" customFormat="false" ht="13.8" hidden="false" customHeight="false" outlineLevel="0" collapsed="false">
      <c r="G418" s="80" t="n">
        <v>418</v>
      </c>
      <c r="H418" s="98"/>
      <c r="I418" s="105" t="s">
        <v>205</v>
      </c>
      <c r="J418" s="79" t="s">
        <v>26</v>
      </c>
      <c r="K418" s="100"/>
      <c r="L418" s="100"/>
      <c r="M418" s="100"/>
      <c r="N418" s="100"/>
      <c r="O418" s="101" t="n">
        <v>1</v>
      </c>
      <c r="P418" s="100" t="s">
        <v>27</v>
      </c>
      <c r="Q418" s="102"/>
      <c r="R418" s="99" t="e">
        <f aca="false">VLOOKUP(J418,ingredient!$N$4:$O$553,2,0)</f>
        <v>#N/A</v>
      </c>
      <c r="S418" s="98"/>
      <c r="T418" s="98"/>
      <c r="U418" s="81" t="str">
        <f aca="false">I418</f>
        <v>Italian Salad</v>
      </c>
      <c r="V418" s="81" t="n">
        <f aca="false">VLOOKUP(U418,recipe_ingred_list!$A$2:$B$300,2,0)</f>
        <v>32</v>
      </c>
      <c r="W418" s="81" t="str">
        <f aca="false">"/recipes/"&amp;VLOOKUP(U418,recipe_ingred_list!$A$2:$C$300,3,0)&amp;"/detail/"</f>
        <v>/recipes/italian-salad/detail/</v>
      </c>
      <c r="X418" s="81" t="str">
        <f aca="false">J418</f>
        <v>YIELD</v>
      </c>
      <c r="Y418" s="81" t="e">
        <f aca="false">R418</f>
        <v>#N/A</v>
      </c>
      <c r="Z418" s="94" t="e">
        <f aca="false">VLOOKUP(Y418,recipe_ingred_list!$D$2:$E$500,2,0)</f>
        <v>#N/A</v>
      </c>
      <c r="AA418" s="61" t="n">
        <f aca="false">K418</f>
        <v>0</v>
      </c>
      <c r="AB418" s="61" t="n">
        <f aca="false">L418</f>
        <v>0</v>
      </c>
      <c r="AC418" s="61" t="n">
        <f aca="false">VLOOKUP(AB418,recipe_ingred_list!$K$2:$M$7,3,0)</f>
        <v>2</v>
      </c>
      <c r="AD418" s="61" t="n">
        <f aca="false">M418</f>
        <v>0</v>
      </c>
      <c r="AE418" s="61" t="n">
        <f aca="false">N418</f>
        <v>0</v>
      </c>
      <c r="AF418" s="61" t="n">
        <f aca="false">VLOOKUP(AE418,recipe_ingred_list!$K$16:$M$25,3,0)</f>
        <v>1</v>
      </c>
      <c r="AG418" s="61" t="n">
        <f aca="false">O418</f>
        <v>1</v>
      </c>
      <c r="AH418" s="61" t="str">
        <f aca="false">P418</f>
        <v>tub</v>
      </c>
      <c r="AI418" s="61" t="e">
        <f aca="false">VLOOKUP(AH418,recipe_ingred_list!$K$29:$M$34,3,0)</f>
        <v>#N/A</v>
      </c>
      <c r="AJ418" s="61" t="str">
        <f aca="false">IF(Q418="","",Q418)</f>
        <v/>
      </c>
      <c r="AK418" s="61" t="n">
        <f aca="false">AK417+1</f>
        <v>418</v>
      </c>
      <c r="AL418" s="61" t="e">
        <f aca="false">Y418</f>
        <v>#N/A</v>
      </c>
      <c r="AM418" s="81" t="e">
        <f aca="false">"a = Client().post('"&amp;W418&amp;"', {'recipe' : '"&amp;V418&amp;"', 'ingredient' : '"&amp;Z418&amp;"', 'name' : '"&amp;X418&amp;"', 'mass_unit' : '"&amp;AC418&amp;"', 'mass_quantity' : '"&amp;ROUND(AA418,3)&amp;"', 'volume_unit' : '"&amp;AF418&amp;"', 'volume_quantity' : '"&amp;ROUND(AD418,3)&amp;"', 'pieces_unit' : '"&amp;AI418&amp;"', 'pieces_quantity' : '"&amp;ROUND(AG418,3)&amp;"', 'cooking_notes' : '"&amp;AJ418&amp;"'}).status_code; print('%s :: %s :: %s :: %s :: %s' %(a,"&amp;G418&amp;",'"&amp;X418&amp;"','"&amp;Y418&amp;"','"&amp;U418&amp;"'))"</f>
        <v>#N/A</v>
      </c>
    </row>
    <row r="419" customFormat="false" ht="13.8" hidden="false" customHeight="false" outlineLevel="0" collapsed="false">
      <c r="G419" s="80" t="n">
        <v>419</v>
      </c>
      <c r="H419" s="98"/>
      <c r="I419" s="105" t="s">
        <v>205</v>
      </c>
      <c r="J419" s="105" t="s">
        <v>26</v>
      </c>
      <c r="K419" s="100"/>
      <c r="L419" s="100"/>
      <c r="M419" s="141" t="n">
        <v>35</v>
      </c>
      <c r="N419" s="141" t="s">
        <v>13</v>
      </c>
      <c r="O419" s="101"/>
      <c r="P419" s="100"/>
      <c r="Q419" s="102"/>
      <c r="R419" s="99" t="e">
        <f aca="false">VLOOKUP(J419,ingredient!$N$4:$O$553,2,0)</f>
        <v>#N/A</v>
      </c>
      <c r="S419" s="98"/>
      <c r="T419" s="98"/>
      <c r="U419" s="81" t="str">
        <f aca="false">I419</f>
        <v>Italian Salad</v>
      </c>
      <c r="V419" s="81" t="n">
        <f aca="false">VLOOKUP(U419,recipe_ingred_list!$A$2:$B$300,2,0)</f>
        <v>32</v>
      </c>
      <c r="W419" s="81" t="str">
        <f aca="false">"/recipes/"&amp;VLOOKUP(U419,recipe_ingred_list!$A$2:$C$300,3,0)&amp;"/detail/"</f>
        <v>/recipes/italian-salad/detail/</v>
      </c>
      <c r="X419" s="81" t="str">
        <f aca="false">J419</f>
        <v>YIELD</v>
      </c>
      <c r="Y419" s="81" t="e">
        <f aca="false">R419</f>
        <v>#N/A</v>
      </c>
      <c r="Z419" s="94" t="e">
        <f aca="false">VLOOKUP(Y419,recipe_ingred_list!$D$2:$E$500,2,0)</f>
        <v>#N/A</v>
      </c>
      <c r="AA419" s="61" t="n">
        <f aca="false">K419</f>
        <v>0</v>
      </c>
      <c r="AB419" s="61" t="n">
        <f aca="false">L419</f>
        <v>0</v>
      </c>
      <c r="AC419" s="61" t="n">
        <f aca="false">VLOOKUP(AB419,recipe_ingred_list!$K$2:$M$7,3,0)</f>
        <v>2</v>
      </c>
      <c r="AD419" s="61" t="n">
        <f aca="false">M419</f>
        <v>35</v>
      </c>
      <c r="AE419" s="61" t="str">
        <f aca="false">N419</f>
        <v>ltr</v>
      </c>
      <c r="AF419" s="61" t="n">
        <f aca="false">VLOOKUP(AE419,recipe_ingred_list!$K$16:$M$25,3,0)</f>
        <v>1</v>
      </c>
      <c r="AG419" s="61" t="n">
        <f aca="false">O419</f>
        <v>0</v>
      </c>
      <c r="AH419" s="61" t="n">
        <f aca="false">P419</f>
        <v>0</v>
      </c>
      <c r="AI419" s="61" t="n">
        <f aca="false">VLOOKUP(AH419,recipe_ingred_list!$K$29:$M$34,3,0)</f>
        <v>3</v>
      </c>
      <c r="AJ419" s="61" t="str">
        <f aca="false">IF(Q419="","",Q419)</f>
        <v/>
      </c>
      <c r="AK419" s="61" t="n">
        <f aca="false">AK418+1</f>
        <v>419</v>
      </c>
      <c r="AL419" s="61" t="e">
        <f aca="false">Y419</f>
        <v>#N/A</v>
      </c>
      <c r="AM419" s="81" t="e">
        <f aca="false">"a = Client().post('"&amp;W419&amp;"', {'recipe' : '"&amp;V419&amp;"', 'ingredient' : '"&amp;Z419&amp;"', 'name' : '"&amp;X419&amp;"', 'mass_unit' : '"&amp;AC419&amp;"', 'mass_quantity' : '"&amp;ROUND(AA419,3)&amp;"', 'volume_unit' : '"&amp;AF419&amp;"', 'volume_quantity' : '"&amp;ROUND(AD419,3)&amp;"', 'pieces_unit' : '"&amp;AI419&amp;"', 'pieces_quantity' : '"&amp;ROUND(AG419,3)&amp;"', 'cooking_notes' : '"&amp;AJ419&amp;"'}).status_code; print('%s :: %s :: %s :: %s :: %s' %(a,"&amp;G419&amp;",'"&amp;X419&amp;"','"&amp;Y419&amp;"','"&amp;U419&amp;"'))"</f>
        <v>#N/A</v>
      </c>
    </row>
    <row r="420" s="113" customFormat="true" ht="13.8" hidden="false" customHeight="false" outlineLevel="0" collapsed="false">
      <c r="A420" s="147"/>
      <c r="B420" s="147"/>
      <c r="C420" s="147"/>
      <c r="D420" s="147"/>
      <c r="E420" s="147"/>
      <c r="F420" s="147"/>
      <c r="G420" s="148" t="n">
        <v>420</v>
      </c>
      <c r="I420" s="149" t="s">
        <v>205</v>
      </c>
      <c r="J420" s="150" t="s">
        <v>644</v>
      </c>
      <c r="K420" s="71"/>
      <c r="L420" s="71"/>
      <c r="M420" s="71" t="n">
        <v>0.5</v>
      </c>
      <c r="N420" s="71" t="s">
        <v>20</v>
      </c>
      <c r="O420" s="71"/>
      <c r="P420" s="71"/>
      <c r="Q420" s="111"/>
      <c r="R420" s="112" t="str">
        <f aca="false">VLOOKUP(J420,ingredient!$N$4:$O$553,2,0)</f>
        <v>salt</v>
      </c>
      <c r="U420" s="81" t="str">
        <f aca="false">I420</f>
        <v>Italian Salad</v>
      </c>
      <c r="V420" s="81" t="n">
        <f aca="false">VLOOKUP(U420,recipe_ingred_list!$A$2:$B$300,2,0)</f>
        <v>32</v>
      </c>
      <c r="W420" s="81" t="str">
        <f aca="false">"/recipes/"&amp;VLOOKUP(U420,recipe_ingred_list!$A$2:$C$300,3,0)&amp;"/detail/"</f>
        <v>/recipes/italian-salad/detail/</v>
      </c>
      <c r="X420" s="81" t="str">
        <f aca="false">J420</f>
        <v>salt for roasting almonds</v>
      </c>
      <c r="Y420" s="81" t="str">
        <f aca="false">R420</f>
        <v>salt</v>
      </c>
      <c r="Z420" s="94" t="n">
        <f aca="false">VLOOKUP(Y420,recipe_ingred_list!$D$2:$E$500,2,0)</f>
        <v>177</v>
      </c>
      <c r="AA420" s="61" t="n">
        <f aca="false">K420</f>
        <v>0</v>
      </c>
      <c r="AB420" s="61" t="n">
        <f aca="false">L420</f>
        <v>0</v>
      </c>
      <c r="AC420" s="61" t="n">
        <f aca="false">VLOOKUP(AB420,recipe_ingred_list!$K$2:$M$7,3,0)</f>
        <v>2</v>
      </c>
      <c r="AD420" s="61" t="n">
        <f aca="false">M420</f>
        <v>0.5</v>
      </c>
      <c r="AE420" s="61" t="str">
        <f aca="false">N420</f>
        <v>cup</v>
      </c>
      <c r="AF420" s="61" t="n">
        <f aca="false">VLOOKUP(AE420,recipe_ingred_list!$K$16:$M$25,3,0)</f>
        <v>5</v>
      </c>
      <c r="AG420" s="61" t="n">
        <f aca="false">O420</f>
        <v>0</v>
      </c>
      <c r="AH420" s="61" t="n">
        <f aca="false">P420</f>
        <v>0</v>
      </c>
      <c r="AI420" s="61" t="n">
        <f aca="false">VLOOKUP(AH420,recipe_ingred_list!$K$29:$M$34,3,0)</f>
        <v>3</v>
      </c>
      <c r="AJ420" s="61" t="str">
        <f aca="false">IF(Q420="","",Q420)</f>
        <v/>
      </c>
      <c r="AK420" s="61" t="n">
        <f aca="false">AK419+1</f>
        <v>420</v>
      </c>
      <c r="AL420" s="61" t="str">
        <f aca="false">Y420</f>
        <v>salt</v>
      </c>
      <c r="AM420" s="81" t="str">
        <f aca="false">"a = Client().post('"&amp;W420&amp;"', {'recipe' : '"&amp;V420&amp;"', 'ingredient' : '"&amp;Z420&amp;"', 'name' : '"&amp;X420&amp;"', 'mass_unit' : '"&amp;AC420&amp;"', 'mass_quantity' : '"&amp;ROUND(AA420,3)&amp;"', 'volume_unit' : '"&amp;AF420&amp;"', 'volume_quantity' : '"&amp;ROUND(AD420,3)&amp;"', 'pieces_unit' : '"&amp;AI420&amp;"', 'pieces_quantity' : '"&amp;ROUND(AG420,3)&amp;"', 'cooking_notes' : '"&amp;AJ420&amp;"'}).status_code; print('%s :: %s :: %s :: %s :: %s' %(a,"&amp;G420&amp;",'"&amp;X420&amp;"','"&amp;Y420&amp;"','"&amp;U420&amp;"'))"</f>
        <v>a = Client().post('/recipes/italian-salad/detail/', {'recipe' : '32', 'ingredient' : '177', 'name' : 'salt for roasting almonds', 'mass_unit' : '2', 'mass_quantity' : '0', 'volume_unit' : '5', 'volume_quantity' : '0.5', 'pieces_unit' : '3', 'pieces_quantity' : '0', 'cooking_notes' : ''}).status_code; print('%s :: %s :: %s :: %s :: %s' %(a,420,'salt for roasting almonds','salt','Italian Salad'))</v>
      </c>
      <c r="AMJ420" s="147"/>
    </row>
    <row r="421" customFormat="false" ht="13.8" hidden="false" customHeight="false" outlineLevel="0" collapsed="false">
      <c r="G421" s="80" t="n">
        <v>421</v>
      </c>
      <c r="H421" s="98"/>
      <c r="I421" s="98"/>
      <c r="J421" s="79"/>
      <c r="K421" s="101"/>
      <c r="L421" s="100"/>
      <c r="M421" s="100"/>
      <c r="N421" s="100"/>
      <c r="O421" s="101"/>
      <c r="P421" s="100"/>
      <c r="Q421" s="102"/>
      <c r="R421" s="99" t="e">
        <f aca="false">VLOOKUP(J421,ingredient!$N$4:$O$553,2,0)</f>
        <v>#N/A</v>
      </c>
      <c r="S421" s="98"/>
      <c r="T421" s="98"/>
      <c r="U421" s="81" t="n">
        <f aca="false">I421</f>
        <v>0</v>
      </c>
      <c r="V421" s="81" t="e">
        <f aca="false">VLOOKUP(U421,recipe_ingred_list!$A$2:$B$300,2,0)</f>
        <v>#N/A</v>
      </c>
      <c r="W421" s="81" t="e">
        <f aca="false">"/recipes/"&amp;VLOOKUP(U421,recipe_ingred_list!$A$2:$C$300,3,0)&amp;"/detail/"</f>
        <v>#N/A</v>
      </c>
      <c r="X421" s="81" t="n">
        <f aca="false">J421</f>
        <v>0</v>
      </c>
      <c r="Y421" s="81" t="e">
        <f aca="false">R421</f>
        <v>#N/A</v>
      </c>
      <c r="Z421" s="94" t="e">
        <f aca="false">VLOOKUP(Y421,recipe_ingred_list!$D$2:$E$500,2,0)</f>
        <v>#N/A</v>
      </c>
      <c r="AA421" s="61" t="n">
        <f aca="false">K421</f>
        <v>0</v>
      </c>
      <c r="AB421" s="61" t="n">
        <f aca="false">L421</f>
        <v>0</v>
      </c>
      <c r="AC421" s="61" t="n">
        <f aca="false">VLOOKUP(AB421,recipe_ingred_list!$K$2:$M$7,3,0)</f>
        <v>2</v>
      </c>
      <c r="AD421" s="61" t="n">
        <f aca="false">M421</f>
        <v>0</v>
      </c>
      <c r="AE421" s="61" t="n">
        <f aca="false">N421</f>
        <v>0</v>
      </c>
      <c r="AF421" s="61" t="n">
        <f aca="false">VLOOKUP(AE421,recipe_ingred_list!$K$16:$M$25,3,0)</f>
        <v>1</v>
      </c>
      <c r="AG421" s="61" t="n">
        <f aca="false">O421</f>
        <v>0</v>
      </c>
      <c r="AH421" s="61" t="n">
        <f aca="false">P421</f>
        <v>0</v>
      </c>
      <c r="AI421" s="61" t="n">
        <f aca="false">VLOOKUP(AH421,recipe_ingred_list!$K$29:$M$34,3,0)</f>
        <v>3</v>
      </c>
      <c r="AJ421" s="61" t="str">
        <f aca="false">IF(Q421="","",Q421)</f>
        <v/>
      </c>
      <c r="AK421" s="61" t="n">
        <f aca="false">AK420+1</f>
        <v>421</v>
      </c>
      <c r="AL421" s="61" t="e">
        <f aca="false">Y421</f>
        <v>#N/A</v>
      </c>
      <c r="AM421" s="81" t="e">
        <f aca="false">"a = Client().post('"&amp;W421&amp;"', {'recipe' : '"&amp;V421&amp;"', 'ingredient' : '"&amp;Z421&amp;"', 'name' : '"&amp;X421&amp;"', 'mass_unit' : '"&amp;AC421&amp;"', 'mass_quantity' : '"&amp;ROUND(AA421,3)&amp;"', 'volume_unit' : '"&amp;AF421&amp;"', 'volume_quantity' : '"&amp;ROUND(AD421,3)&amp;"', 'pieces_unit' : '"&amp;AI421&amp;"', 'pieces_quantity' : '"&amp;ROUND(AG421,3)&amp;"', 'cooking_notes' : '"&amp;AJ421&amp;"'}).status_code; print('%s :: %s :: %s :: %s :: %s' %(a,"&amp;G421&amp;",'"&amp;X421&amp;"','"&amp;Y421&amp;"','"&amp;U421&amp;"'))"</f>
        <v>#N/A</v>
      </c>
    </row>
    <row r="422" customFormat="false" ht="13.8" hidden="false" customHeight="false" outlineLevel="0" collapsed="false">
      <c r="G422" s="80" t="n">
        <v>422</v>
      </c>
      <c r="H422" s="98"/>
      <c r="I422" s="99"/>
      <c r="J422" s="79"/>
      <c r="K422" s="100"/>
      <c r="L422" s="100"/>
      <c r="M422" s="100"/>
      <c r="N422" s="100"/>
      <c r="O422" s="101"/>
      <c r="P422" s="100"/>
      <c r="Q422" s="102"/>
      <c r="R422" s="99" t="e">
        <f aca="false">VLOOKUP(J422,ingredient!$N$4:$O$553,2,0)</f>
        <v>#N/A</v>
      </c>
      <c r="S422" s="98"/>
      <c r="T422" s="98"/>
      <c r="U422" s="81" t="n">
        <f aca="false">I422</f>
        <v>0</v>
      </c>
      <c r="V422" s="81" t="e">
        <f aca="false">VLOOKUP(U422,recipe_ingred_list!$A$2:$B$300,2,0)</f>
        <v>#N/A</v>
      </c>
      <c r="W422" s="81" t="e">
        <f aca="false">"/recipes/"&amp;VLOOKUP(U422,recipe_ingred_list!$A$2:$C$300,3,0)&amp;"/detail/"</f>
        <v>#N/A</v>
      </c>
      <c r="X422" s="81" t="n">
        <f aca="false">J422</f>
        <v>0</v>
      </c>
      <c r="Y422" s="81" t="e">
        <f aca="false">R422</f>
        <v>#N/A</v>
      </c>
      <c r="Z422" s="94" t="e">
        <f aca="false">VLOOKUP(Y422,recipe_ingred_list!$D$2:$E$500,2,0)</f>
        <v>#N/A</v>
      </c>
      <c r="AA422" s="61" t="n">
        <f aca="false">K422</f>
        <v>0</v>
      </c>
      <c r="AB422" s="61" t="n">
        <f aca="false">L422</f>
        <v>0</v>
      </c>
      <c r="AC422" s="61" t="n">
        <f aca="false">VLOOKUP(AB422,recipe_ingred_list!$K$2:$M$7,3,0)</f>
        <v>2</v>
      </c>
      <c r="AD422" s="61" t="n">
        <f aca="false">M422</f>
        <v>0</v>
      </c>
      <c r="AE422" s="61" t="n">
        <f aca="false">N422</f>
        <v>0</v>
      </c>
      <c r="AF422" s="61" t="n">
        <f aca="false">VLOOKUP(AE422,recipe_ingred_list!$K$16:$M$25,3,0)</f>
        <v>1</v>
      </c>
      <c r="AG422" s="61" t="n">
        <f aca="false">O422</f>
        <v>0</v>
      </c>
      <c r="AH422" s="61" t="n">
        <f aca="false">P422</f>
        <v>0</v>
      </c>
      <c r="AI422" s="61" t="n">
        <f aca="false">VLOOKUP(AH422,recipe_ingred_list!$K$29:$M$34,3,0)</f>
        <v>3</v>
      </c>
      <c r="AJ422" s="61" t="str">
        <f aca="false">IF(Q422="","",Q422)</f>
        <v/>
      </c>
      <c r="AK422" s="61" t="n">
        <f aca="false">AK421+1</f>
        <v>422</v>
      </c>
      <c r="AL422" s="61" t="e">
        <f aca="false">Y422</f>
        <v>#N/A</v>
      </c>
      <c r="AM422" s="81" t="e">
        <f aca="false">"a = Client().post('"&amp;W422&amp;"', {'recipe' : '"&amp;V422&amp;"', 'ingredient' : '"&amp;Z422&amp;"', 'name' : '"&amp;X422&amp;"', 'mass_unit' : '"&amp;AC422&amp;"', 'mass_quantity' : '"&amp;ROUND(AA422,3)&amp;"', 'volume_unit' : '"&amp;AF422&amp;"', 'volume_quantity' : '"&amp;ROUND(AD422,3)&amp;"', 'pieces_unit' : '"&amp;AI422&amp;"', 'pieces_quantity' : '"&amp;ROUND(AG422,3)&amp;"', 'cooking_notes' : '"&amp;AJ422&amp;"'}).status_code; print('%s :: %s :: %s :: %s :: %s' %(a,"&amp;G422&amp;",'"&amp;X422&amp;"','"&amp;Y422&amp;"','"&amp;U422&amp;"'))"</f>
        <v>#N/A</v>
      </c>
    </row>
    <row r="423" customFormat="false" ht="13.8" hidden="false" customHeight="false" outlineLevel="0" collapsed="false">
      <c r="G423" s="80" t="n">
        <v>423</v>
      </c>
      <c r="H423" s="98"/>
      <c r="I423" s="99"/>
      <c r="J423" s="152"/>
      <c r="K423" s="153"/>
      <c r="L423" s="153"/>
      <c r="M423" s="100"/>
      <c r="N423" s="100"/>
      <c r="O423" s="101"/>
      <c r="P423" s="100"/>
      <c r="Q423" s="102"/>
      <c r="R423" s="99" t="e">
        <f aca="false">VLOOKUP(J423,ingredient!$N$4:$O$553,2,0)</f>
        <v>#N/A</v>
      </c>
      <c r="S423" s="98"/>
      <c r="T423" s="98"/>
      <c r="U423" s="81" t="n">
        <f aca="false">I423</f>
        <v>0</v>
      </c>
      <c r="V423" s="81" t="e">
        <f aca="false">VLOOKUP(U423,recipe_ingred_list!$A$2:$B$300,2,0)</f>
        <v>#N/A</v>
      </c>
      <c r="W423" s="81" t="e">
        <f aca="false">"/recipes/"&amp;VLOOKUP(U423,recipe_ingred_list!$A$2:$C$300,3,0)&amp;"/detail/"</f>
        <v>#N/A</v>
      </c>
      <c r="X423" s="81" t="n">
        <f aca="false">J423</f>
        <v>0</v>
      </c>
      <c r="Y423" s="81" t="e">
        <f aca="false">R423</f>
        <v>#N/A</v>
      </c>
      <c r="Z423" s="94" t="e">
        <f aca="false">VLOOKUP(Y423,recipe_ingred_list!$D$2:$E$500,2,0)</f>
        <v>#N/A</v>
      </c>
      <c r="AA423" s="61" t="n">
        <f aca="false">K423</f>
        <v>0</v>
      </c>
      <c r="AB423" s="61" t="n">
        <f aca="false">L423</f>
        <v>0</v>
      </c>
      <c r="AC423" s="61" t="n">
        <f aca="false">VLOOKUP(AB423,recipe_ingred_list!$K$2:$M$7,3,0)</f>
        <v>2</v>
      </c>
      <c r="AD423" s="61" t="n">
        <f aca="false">M423</f>
        <v>0</v>
      </c>
      <c r="AE423" s="61" t="n">
        <f aca="false">N423</f>
        <v>0</v>
      </c>
      <c r="AF423" s="61" t="n">
        <f aca="false">VLOOKUP(AE423,recipe_ingred_list!$K$16:$M$25,3,0)</f>
        <v>1</v>
      </c>
      <c r="AG423" s="61" t="n">
        <f aca="false">O423</f>
        <v>0</v>
      </c>
      <c r="AH423" s="61" t="n">
        <f aca="false">P423</f>
        <v>0</v>
      </c>
      <c r="AI423" s="61" t="n">
        <f aca="false">VLOOKUP(AH423,recipe_ingred_list!$K$29:$M$34,3,0)</f>
        <v>3</v>
      </c>
      <c r="AJ423" s="61" t="str">
        <f aca="false">IF(Q423="","",Q423)</f>
        <v/>
      </c>
      <c r="AK423" s="61" t="n">
        <f aca="false">AK422+1</f>
        <v>423</v>
      </c>
      <c r="AL423" s="61" t="e">
        <f aca="false">Y423</f>
        <v>#N/A</v>
      </c>
      <c r="AM423" s="81" t="e">
        <f aca="false">"a = Client().post('"&amp;W423&amp;"', {'recipe' : '"&amp;V423&amp;"', 'ingredient' : '"&amp;Z423&amp;"', 'name' : '"&amp;X423&amp;"', 'mass_unit' : '"&amp;AC423&amp;"', 'mass_quantity' : '"&amp;ROUND(AA423,3)&amp;"', 'volume_unit' : '"&amp;AF423&amp;"', 'volume_quantity' : '"&amp;ROUND(AD423,3)&amp;"', 'pieces_unit' : '"&amp;AI423&amp;"', 'pieces_quantity' : '"&amp;ROUND(AG423,3)&amp;"', 'cooking_notes' : '"&amp;AJ423&amp;"'}).status_code; print('%s :: %s :: %s :: %s :: %s' %(a,"&amp;G423&amp;",'"&amp;X423&amp;"','"&amp;Y423&amp;"','"&amp;U423&amp;"'))"</f>
        <v>#N/A</v>
      </c>
    </row>
    <row r="424" customFormat="false" ht="13.8" hidden="false" customHeight="false" outlineLevel="0" collapsed="false">
      <c r="G424" s="80" t="n">
        <v>424</v>
      </c>
      <c r="I424" s="154" t="s">
        <v>211</v>
      </c>
      <c r="J424" s="144" t="s">
        <v>575</v>
      </c>
      <c r="K424" s="145" t="n">
        <v>25</v>
      </c>
      <c r="L424" s="145" t="s">
        <v>7</v>
      </c>
      <c r="R424" s="82" t="str">
        <f aca="false">VLOOKUP(J424,ingredient!$N$4:$O$553,2,0)</f>
        <v>rice</v>
      </c>
      <c r="U424" s="81" t="str">
        <f aca="false">I424</f>
        <v>Jeera Rice</v>
      </c>
      <c r="V424" s="81" t="n">
        <f aca="false">VLOOKUP(U424,recipe_ingred_list!$A$2:$B$300,2,0)</f>
        <v>34</v>
      </c>
      <c r="W424" s="81" t="str">
        <f aca="false">"/recipes/"&amp;VLOOKUP(U424,recipe_ingred_list!$A$2:$C$300,3,0)&amp;"/detail/"</f>
        <v>/recipes/jeera-rice/detail/</v>
      </c>
      <c r="X424" s="81" t="str">
        <f aca="false">J424</f>
        <v>Rice</v>
      </c>
      <c r="Y424" s="81" t="str">
        <f aca="false">R424</f>
        <v>rice</v>
      </c>
      <c r="Z424" s="94" t="n">
        <f aca="false">VLOOKUP(Y424,recipe_ingred_list!$D$2:$E$500,2,0)</f>
        <v>170</v>
      </c>
      <c r="AA424" s="61" t="n">
        <f aca="false">K424</f>
        <v>25</v>
      </c>
      <c r="AB424" s="61" t="str">
        <f aca="false">L424</f>
        <v>kg</v>
      </c>
      <c r="AC424" s="61" t="n">
        <f aca="false">VLOOKUP(AB424,recipe_ingred_list!$K$2:$M$7,3,0)</f>
        <v>2</v>
      </c>
      <c r="AD424" s="61" t="n">
        <f aca="false">M424</f>
        <v>0</v>
      </c>
      <c r="AE424" s="61" t="n">
        <f aca="false">N424</f>
        <v>0</v>
      </c>
      <c r="AF424" s="61" t="n">
        <f aca="false">VLOOKUP(AE424,recipe_ingred_list!$K$16:$M$25,3,0)</f>
        <v>1</v>
      </c>
      <c r="AG424" s="61" t="n">
        <f aca="false">O424</f>
        <v>0</v>
      </c>
      <c r="AH424" s="61" t="n">
        <f aca="false">P424</f>
        <v>0</v>
      </c>
      <c r="AI424" s="61" t="n">
        <f aca="false">VLOOKUP(AH424,recipe_ingred_list!$K$29:$M$34,3,0)</f>
        <v>3</v>
      </c>
      <c r="AJ424" s="61" t="str">
        <f aca="false">IF(Q424="","",Q424)</f>
        <v/>
      </c>
      <c r="AK424" s="61" t="n">
        <f aca="false">AK423+1</f>
        <v>424</v>
      </c>
      <c r="AL424" s="61" t="str">
        <f aca="false">Y424</f>
        <v>rice</v>
      </c>
      <c r="AM424" s="81" t="str">
        <f aca="false">"a = Client().post('"&amp;W424&amp;"', {'recipe' : '"&amp;V424&amp;"', 'ingredient' : '"&amp;Z424&amp;"', 'name' : '"&amp;X424&amp;"', 'mass_unit' : '"&amp;AC424&amp;"', 'mass_quantity' : '"&amp;ROUND(AA424,3)&amp;"', 'volume_unit' : '"&amp;AF424&amp;"', 'volume_quantity' : '"&amp;ROUND(AD424,3)&amp;"', 'pieces_unit' : '"&amp;AI424&amp;"', 'pieces_quantity' : '"&amp;ROUND(AG424,3)&amp;"', 'cooking_notes' : '"&amp;AJ424&amp;"'}).status_code; print('%s :: %s :: %s :: %s :: %s' %(a,"&amp;G424&amp;",'"&amp;X424&amp;"','"&amp;Y424&amp;"','"&amp;U424&amp;"'))"</f>
        <v>a = Client().post('/recipes/jeera-rice/detail/', {'recipe' : '34', 'ingredient' : '170', 'name' : 'Rice', 'mass_unit' : '2', 'mass_quantity' : '25', 'volume_unit' : '1', 'volume_quantity' : '0', 'pieces_unit' : '3', 'pieces_quantity' : '0', 'cooking_notes' : ''}).status_code; print('%s :: %s :: %s :: %s :: %s' %(a,424,'Rice','rice','Jeera Rice'))</v>
      </c>
    </row>
    <row r="425" customFormat="false" ht="13.8" hidden="false" customHeight="false" outlineLevel="0" collapsed="false">
      <c r="G425" s="80" t="n">
        <v>425</v>
      </c>
      <c r="I425" s="154" t="s">
        <v>211</v>
      </c>
      <c r="J425" s="144" t="s">
        <v>645</v>
      </c>
      <c r="M425" s="145" t="n">
        <v>4</v>
      </c>
      <c r="N425" s="145" t="s">
        <v>13</v>
      </c>
      <c r="R425" s="82" t="str">
        <f aca="false">VLOOKUP(J425,ingredient!$N$4:$O$553,2,0)</f>
        <v>ghee</v>
      </c>
      <c r="U425" s="81" t="str">
        <f aca="false">I425</f>
        <v>Jeera Rice</v>
      </c>
      <c r="V425" s="81" t="n">
        <f aca="false">VLOOKUP(U425,recipe_ingred_list!$A$2:$B$300,2,0)</f>
        <v>34</v>
      </c>
      <c r="W425" s="81" t="str">
        <f aca="false">"/recipes/"&amp;VLOOKUP(U425,recipe_ingred_list!$A$2:$C$300,3,0)&amp;"/detail/"</f>
        <v>/recipes/jeera-rice/detail/</v>
      </c>
      <c r="X425" s="81" t="str">
        <f aca="false">J425</f>
        <v>Ghee </v>
      </c>
      <c r="Y425" s="81" t="str">
        <f aca="false">R425</f>
        <v>ghee</v>
      </c>
      <c r="Z425" s="94" t="n">
        <f aca="false">VLOOKUP(Y425,recipe_ingred_list!$D$2:$E$500,2,0)</f>
        <v>81</v>
      </c>
      <c r="AA425" s="61" t="n">
        <f aca="false">K425</f>
        <v>0</v>
      </c>
      <c r="AB425" s="61" t="n">
        <f aca="false">L425</f>
        <v>0</v>
      </c>
      <c r="AC425" s="61" t="n">
        <f aca="false">VLOOKUP(AB425,recipe_ingred_list!$K$2:$M$7,3,0)</f>
        <v>2</v>
      </c>
      <c r="AD425" s="61" t="n">
        <f aca="false">M425</f>
        <v>4</v>
      </c>
      <c r="AE425" s="61" t="str">
        <f aca="false">N425</f>
        <v>ltr</v>
      </c>
      <c r="AF425" s="61" t="n">
        <f aca="false">VLOOKUP(AE425,recipe_ingred_list!$K$16:$M$25,3,0)</f>
        <v>1</v>
      </c>
      <c r="AG425" s="61" t="n">
        <f aca="false">O425</f>
        <v>0</v>
      </c>
      <c r="AH425" s="61" t="n">
        <f aca="false">P425</f>
        <v>0</v>
      </c>
      <c r="AI425" s="61" t="n">
        <f aca="false">VLOOKUP(AH425,recipe_ingred_list!$K$29:$M$34,3,0)</f>
        <v>3</v>
      </c>
      <c r="AJ425" s="61" t="str">
        <f aca="false">IF(Q425="","",Q425)</f>
        <v/>
      </c>
      <c r="AK425" s="61" t="n">
        <f aca="false">AK424+1</f>
        <v>425</v>
      </c>
      <c r="AL425" s="61" t="str">
        <f aca="false">Y425</f>
        <v>ghee</v>
      </c>
      <c r="AM425" s="81" t="str">
        <f aca="false">"a = Client().post('"&amp;W425&amp;"', {'recipe' : '"&amp;V425&amp;"', 'ingredient' : '"&amp;Z425&amp;"', 'name' : '"&amp;X425&amp;"', 'mass_unit' : '"&amp;AC425&amp;"', 'mass_quantity' : '"&amp;ROUND(AA425,3)&amp;"', 'volume_unit' : '"&amp;AF425&amp;"', 'volume_quantity' : '"&amp;ROUND(AD425,3)&amp;"', 'pieces_unit' : '"&amp;AI425&amp;"', 'pieces_quantity' : '"&amp;ROUND(AG425,3)&amp;"', 'cooking_notes' : '"&amp;AJ425&amp;"'}).status_code; print('%s :: %s :: %s :: %s :: %s' %(a,"&amp;G425&amp;",'"&amp;X425&amp;"','"&amp;Y425&amp;"','"&amp;U425&amp;"'))"</f>
        <v>a = Client().post('/recipes/jeera-rice/detail/', {'recipe' : '34', 'ingredient' : '81', 'name' : 'Ghee ', 'mass_unit' : '2', 'mass_quantity' : '0', 'volume_unit' : '1', 'volume_quantity' : '4', 'pieces_unit' : '3', 'pieces_quantity' : '0', 'cooking_notes' : ''}).status_code; print('%s :: %s :: %s :: %s :: %s' %(a,425,'Ghee ','ghee','Jeera Rice'))</v>
      </c>
    </row>
    <row r="426" customFormat="false" ht="13.8" hidden="false" customHeight="false" outlineLevel="0" collapsed="false">
      <c r="G426" s="80" t="n">
        <v>426</v>
      </c>
      <c r="I426" s="154" t="s">
        <v>211</v>
      </c>
      <c r="J426" s="144" t="s">
        <v>14</v>
      </c>
      <c r="M426" s="145" t="n">
        <v>2</v>
      </c>
      <c r="N426" s="145" t="s">
        <v>13</v>
      </c>
      <c r="R426" s="82" t="str">
        <f aca="false">VLOOKUP(J426,ingredient!$N$4:$O$553,2,0)</f>
        <v>jeera</v>
      </c>
      <c r="U426" s="81" t="str">
        <f aca="false">I426</f>
        <v>Jeera Rice</v>
      </c>
      <c r="V426" s="81" t="n">
        <f aca="false">VLOOKUP(U426,recipe_ingred_list!$A$2:$B$300,2,0)</f>
        <v>34</v>
      </c>
      <c r="W426" s="81" t="str">
        <f aca="false">"/recipes/"&amp;VLOOKUP(U426,recipe_ingred_list!$A$2:$C$300,3,0)&amp;"/detail/"</f>
        <v>/recipes/jeera-rice/detail/</v>
      </c>
      <c r="X426" s="81" t="str">
        <f aca="false">J426</f>
        <v>Jeera</v>
      </c>
      <c r="Y426" s="81" t="str">
        <f aca="false">R426</f>
        <v>jeera</v>
      </c>
      <c r="Z426" s="94" t="n">
        <f aca="false">VLOOKUP(Y426,recipe_ingred_list!$D$2:$E$500,2,0)</f>
        <v>102</v>
      </c>
      <c r="AA426" s="61" t="n">
        <f aca="false">K426</f>
        <v>0</v>
      </c>
      <c r="AB426" s="61" t="n">
        <f aca="false">L426</f>
        <v>0</v>
      </c>
      <c r="AC426" s="61" t="n">
        <f aca="false">VLOOKUP(AB426,recipe_ingred_list!$K$2:$M$7,3,0)</f>
        <v>2</v>
      </c>
      <c r="AD426" s="61" t="n">
        <f aca="false">M426</f>
        <v>2</v>
      </c>
      <c r="AE426" s="61" t="str">
        <f aca="false">N426</f>
        <v>ltr</v>
      </c>
      <c r="AF426" s="61" t="n">
        <f aca="false">VLOOKUP(AE426,recipe_ingred_list!$K$16:$M$25,3,0)</f>
        <v>1</v>
      </c>
      <c r="AG426" s="61" t="n">
        <f aca="false">O426</f>
        <v>0</v>
      </c>
      <c r="AH426" s="61" t="n">
        <f aca="false">P426</f>
        <v>0</v>
      </c>
      <c r="AI426" s="61" t="n">
        <f aca="false">VLOOKUP(AH426,recipe_ingred_list!$K$29:$M$34,3,0)</f>
        <v>3</v>
      </c>
      <c r="AJ426" s="61" t="str">
        <f aca="false">IF(Q426="","",Q426)</f>
        <v/>
      </c>
      <c r="AK426" s="61" t="n">
        <f aca="false">AK425+1</f>
        <v>426</v>
      </c>
      <c r="AL426" s="61" t="str">
        <f aca="false">Y426</f>
        <v>jeera</v>
      </c>
      <c r="AM426" s="81" t="str">
        <f aca="false">"a = Client().post('"&amp;W426&amp;"', {'recipe' : '"&amp;V426&amp;"', 'ingredient' : '"&amp;Z426&amp;"', 'name' : '"&amp;X426&amp;"', 'mass_unit' : '"&amp;AC426&amp;"', 'mass_quantity' : '"&amp;ROUND(AA426,3)&amp;"', 'volume_unit' : '"&amp;AF426&amp;"', 'volume_quantity' : '"&amp;ROUND(AD426,3)&amp;"', 'pieces_unit' : '"&amp;AI426&amp;"', 'pieces_quantity' : '"&amp;ROUND(AG426,3)&amp;"', 'cooking_notes' : '"&amp;AJ426&amp;"'}).status_code; print('%s :: %s :: %s :: %s :: %s' %(a,"&amp;G426&amp;",'"&amp;X426&amp;"','"&amp;Y426&amp;"','"&amp;U426&amp;"'))"</f>
        <v>a = Client().post('/recipes/jeera-rice/detail/', {'recipe' : '34', 'ingredient' : '102', 'name' : 'Jeera', 'mass_unit' : '2', 'mass_quantity' : '0', 'volume_unit' : '1', 'volume_quantity' : '2', 'pieces_unit' : '3', 'pieces_quantity' : '0', 'cooking_notes' : ''}).status_code; print('%s :: %s :: %s :: %s :: %s' %(a,426,'Jeera','jeera','Jeera Rice'))</v>
      </c>
    </row>
    <row r="427" customFormat="false" ht="13.8" hidden="false" customHeight="false" outlineLevel="0" collapsed="false">
      <c r="G427" s="80" t="n">
        <v>427</v>
      </c>
      <c r="I427" s="154" t="s">
        <v>211</v>
      </c>
      <c r="J427" s="144" t="s">
        <v>646</v>
      </c>
      <c r="M427" s="145" t="n">
        <v>5</v>
      </c>
      <c r="N427" s="145" t="s">
        <v>13</v>
      </c>
      <c r="R427" s="82" t="str">
        <f aca="false">VLOOKUP(J427,ingredient!$N$4:$O$553,2,0)</f>
        <v>kaju half</v>
      </c>
      <c r="U427" s="81" t="str">
        <f aca="false">I427</f>
        <v>Jeera Rice</v>
      </c>
      <c r="V427" s="81" t="n">
        <f aca="false">VLOOKUP(U427,recipe_ingred_list!$A$2:$B$300,2,0)</f>
        <v>34</v>
      </c>
      <c r="W427" s="81" t="str">
        <f aca="false">"/recipes/"&amp;VLOOKUP(U427,recipe_ingred_list!$A$2:$C$300,3,0)&amp;"/detail/"</f>
        <v>/recipes/jeera-rice/detail/</v>
      </c>
      <c r="X427" s="81" t="str">
        <f aca="false">J427</f>
        <v>Kaju half</v>
      </c>
      <c r="Y427" s="81" t="str">
        <f aca="false">R427</f>
        <v>kaju half</v>
      </c>
      <c r="Z427" s="94" t="n">
        <f aca="false">VLOOKUP(Y427,recipe_ingred_list!$D$2:$E$500,2,0)</f>
        <v>108</v>
      </c>
      <c r="AA427" s="61" t="n">
        <f aca="false">K427</f>
        <v>0</v>
      </c>
      <c r="AB427" s="61" t="n">
        <f aca="false">L427</f>
        <v>0</v>
      </c>
      <c r="AC427" s="61" t="n">
        <f aca="false">VLOOKUP(AB427,recipe_ingred_list!$K$2:$M$7,3,0)</f>
        <v>2</v>
      </c>
      <c r="AD427" s="61" t="n">
        <f aca="false">M427</f>
        <v>5</v>
      </c>
      <c r="AE427" s="61" t="str">
        <f aca="false">N427</f>
        <v>ltr</v>
      </c>
      <c r="AF427" s="61" t="n">
        <f aca="false">VLOOKUP(AE427,recipe_ingred_list!$K$16:$M$25,3,0)</f>
        <v>1</v>
      </c>
      <c r="AG427" s="61" t="n">
        <f aca="false">O427</f>
        <v>0</v>
      </c>
      <c r="AH427" s="61" t="n">
        <f aca="false">P427</f>
        <v>0</v>
      </c>
      <c r="AI427" s="61" t="n">
        <f aca="false">VLOOKUP(AH427,recipe_ingred_list!$K$29:$M$34,3,0)</f>
        <v>3</v>
      </c>
      <c r="AJ427" s="61" t="str">
        <f aca="false">IF(Q427="","",Q427)</f>
        <v/>
      </c>
      <c r="AK427" s="61" t="n">
        <f aca="false">AK426+1</f>
        <v>427</v>
      </c>
      <c r="AL427" s="61" t="str">
        <f aca="false">Y427</f>
        <v>kaju half</v>
      </c>
      <c r="AM427" s="81" t="str">
        <f aca="false">"a = Client().post('"&amp;W427&amp;"', {'recipe' : '"&amp;V427&amp;"', 'ingredient' : '"&amp;Z427&amp;"', 'name' : '"&amp;X427&amp;"', 'mass_unit' : '"&amp;AC427&amp;"', 'mass_quantity' : '"&amp;ROUND(AA427,3)&amp;"', 'volume_unit' : '"&amp;AF427&amp;"', 'volume_quantity' : '"&amp;ROUND(AD427,3)&amp;"', 'pieces_unit' : '"&amp;AI427&amp;"', 'pieces_quantity' : '"&amp;ROUND(AG427,3)&amp;"', 'cooking_notes' : '"&amp;AJ427&amp;"'}).status_code; print('%s :: %s :: %s :: %s :: %s' %(a,"&amp;G427&amp;",'"&amp;X427&amp;"','"&amp;Y427&amp;"','"&amp;U427&amp;"'))"</f>
        <v>a = Client().post('/recipes/jeera-rice/detail/', {'recipe' : '34', 'ingredient' : '108', 'name' : 'Kaju half', 'mass_unit' : '2', 'mass_quantity' : '0', 'volume_unit' : '1', 'volume_quantity' : '5', 'pieces_unit' : '3', 'pieces_quantity' : '0', 'cooking_notes' : ''}).status_code; print('%s :: %s :: %s :: %s :: %s' %(a,427,'Kaju half','kaju half','Jeera Rice'))</v>
      </c>
    </row>
    <row r="428" customFormat="false" ht="13.8" hidden="false" customHeight="false" outlineLevel="0" collapsed="false">
      <c r="G428" s="80" t="n">
        <v>428</v>
      </c>
      <c r="I428" s="154" t="s">
        <v>211</v>
      </c>
      <c r="J428" s="144" t="s">
        <v>69</v>
      </c>
      <c r="M428" s="145" t="n">
        <v>1</v>
      </c>
      <c r="N428" s="145" t="s">
        <v>13</v>
      </c>
      <c r="R428" s="82" t="str">
        <f aca="false">VLOOKUP(J428,ingredient!$N$4:$O$553,2,0)</f>
        <v>hari mirchi</v>
      </c>
      <c r="U428" s="81" t="str">
        <f aca="false">I428</f>
        <v>Jeera Rice</v>
      </c>
      <c r="V428" s="81" t="n">
        <f aca="false">VLOOKUP(U428,recipe_ingred_list!$A$2:$B$300,2,0)</f>
        <v>34</v>
      </c>
      <c r="W428" s="81" t="str">
        <f aca="false">"/recipes/"&amp;VLOOKUP(U428,recipe_ingred_list!$A$2:$C$300,3,0)&amp;"/detail/"</f>
        <v>/recipes/jeera-rice/detail/</v>
      </c>
      <c r="X428" s="81" t="str">
        <f aca="false">J428</f>
        <v>Hari Mirchi split in 2</v>
      </c>
      <c r="Y428" s="81" t="str">
        <f aca="false">R428</f>
        <v>hari mirchi</v>
      </c>
      <c r="Z428" s="94" t="n">
        <f aca="false">VLOOKUP(Y428,recipe_ingred_list!$D$2:$E$500,2,0)</f>
        <v>93</v>
      </c>
      <c r="AA428" s="61" t="n">
        <f aca="false">K428</f>
        <v>0</v>
      </c>
      <c r="AB428" s="61" t="n">
        <f aca="false">L428</f>
        <v>0</v>
      </c>
      <c r="AC428" s="61" t="n">
        <f aca="false">VLOOKUP(AB428,recipe_ingred_list!$K$2:$M$7,3,0)</f>
        <v>2</v>
      </c>
      <c r="AD428" s="61" t="n">
        <f aca="false">M428</f>
        <v>1</v>
      </c>
      <c r="AE428" s="61" t="str">
        <f aca="false">N428</f>
        <v>ltr</v>
      </c>
      <c r="AF428" s="61" t="n">
        <f aca="false">VLOOKUP(AE428,recipe_ingred_list!$K$16:$M$25,3,0)</f>
        <v>1</v>
      </c>
      <c r="AG428" s="61" t="n">
        <f aca="false">O428</f>
        <v>0</v>
      </c>
      <c r="AH428" s="61" t="n">
        <f aca="false">P428</f>
        <v>0</v>
      </c>
      <c r="AI428" s="61" t="n">
        <f aca="false">VLOOKUP(AH428,recipe_ingred_list!$K$29:$M$34,3,0)</f>
        <v>3</v>
      </c>
      <c r="AJ428" s="61" t="str">
        <f aca="false">IF(Q428="","",Q428)</f>
        <v/>
      </c>
      <c r="AK428" s="61" t="n">
        <f aca="false">AK427+1</f>
        <v>428</v>
      </c>
      <c r="AL428" s="61" t="str">
        <f aca="false">Y428</f>
        <v>hari mirchi</v>
      </c>
      <c r="AM428" s="81" t="str">
        <f aca="false">"a = Client().post('"&amp;W428&amp;"', {'recipe' : '"&amp;V428&amp;"', 'ingredient' : '"&amp;Z428&amp;"', 'name' : '"&amp;X428&amp;"', 'mass_unit' : '"&amp;AC428&amp;"', 'mass_quantity' : '"&amp;ROUND(AA428,3)&amp;"', 'volume_unit' : '"&amp;AF428&amp;"', 'volume_quantity' : '"&amp;ROUND(AD428,3)&amp;"', 'pieces_unit' : '"&amp;AI428&amp;"', 'pieces_quantity' : '"&amp;ROUND(AG428,3)&amp;"', 'cooking_notes' : '"&amp;AJ428&amp;"'}).status_code; print('%s :: %s :: %s :: %s :: %s' %(a,"&amp;G428&amp;",'"&amp;X428&amp;"','"&amp;Y428&amp;"','"&amp;U428&amp;"'))"</f>
        <v>a = Client().post('/recipes/jeera-rice/detail/', {'recipe' : '34', 'ingredient' : '93', 'name' : 'Hari Mirchi split in 2', 'mass_unit' : '2', 'mass_quantity' : '0', 'volume_unit' : '1', 'volume_quantity' : '1', 'pieces_unit' : '3', 'pieces_quantity' : '0', 'cooking_notes' : ''}).status_code; print('%s :: %s :: %s :: %s :: %s' %(a,428,'Hari Mirchi split in 2','hari mirchi','Jeera Rice'))</v>
      </c>
    </row>
    <row r="429" customFormat="false" ht="13.8" hidden="false" customHeight="false" outlineLevel="0" collapsed="false">
      <c r="G429" s="80" t="n">
        <v>429</v>
      </c>
      <c r="I429" s="154" t="s">
        <v>211</v>
      </c>
      <c r="J429" s="144" t="s">
        <v>75</v>
      </c>
      <c r="M429" s="145" t="n">
        <v>10</v>
      </c>
      <c r="N429" s="145" t="s">
        <v>13</v>
      </c>
      <c r="R429" s="82" t="str">
        <f aca="false">VLOOKUP(J429,ingredient!$N$4:$O$553,2,0)</f>
        <v>dhaniya patta</v>
      </c>
      <c r="U429" s="81" t="str">
        <f aca="false">I429</f>
        <v>Jeera Rice</v>
      </c>
      <c r="V429" s="81" t="n">
        <f aca="false">VLOOKUP(U429,recipe_ingred_list!$A$2:$B$300,2,0)</f>
        <v>34</v>
      </c>
      <c r="W429" s="81" t="str">
        <f aca="false">"/recipes/"&amp;VLOOKUP(U429,recipe_ingred_list!$A$2:$C$300,3,0)&amp;"/detail/"</f>
        <v>/recipes/jeera-rice/detail/</v>
      </c>
      <c r="X429" s="81" t="str">
        <f aca="false">J429</f>
        <v>Dhania Patta</v>
      </c>
      <c r="Y429" s="81" t="str">
        <f aca="false">R429</f>
        <v>dhaniya patta</v>
      </c>
      <c r="Z429" s="94" t="n">
        <f aca="false">VLOOKUP(Y429,recipe_ingred_list!$D$2:$E$500,2,0)</f>
        <v>66</v>
      </c>
      <c r="AA429" s="61" t="n">
        <f aca="false">K429</f>
        <v>0</v>
      </c>
      <c r="AB429" s="61" t="n">
        <f aca="false">L429</f>
        <v>0</v>
      </c>
      <c r="AC429" s="61" t="n">
        <f aca="false">VLOOKUP(AB429,recipe_ingred_list!$K$2:$M$7,3,0)</f>
        <v>2</v>
      </c>
      <c r="AD429" s="61" t="n">
        <f aca="false">M429</f>
        <v>10</v>
      </c>
      <c r="AE429" s="61" t="str">
        <f aca="false">N429</f>
        <v>ltr</v>
      </c>
      <c r="AF429" s="61" t="n">
        <f aca="false">VLOOKUP(AE429,recipe_ingred_list!$K$16:$M$25,3,0)</f>
        <v>1</v>
      </c>
      <c r="AG429" s="61" t="n">
        <f aca="false">O429</f>
        <v>0</v>
      </c>
      <c r="AH429" s="61" t="n">
        <f aca="false">P429</f>
        <v>0</v>
      </c>
      <c r="AI429" s="61" t="n">
        <f aca="false">VLOOKUP(AH429,recipe_ingred_list!$K$29:$M$34,3,0)</f>
        <v>3</v>
      </c>
      <c r="AJ429" s="61" t="str">
        <f aca="false">IF(Q429="","",Q429)</f>
        <v/>
      </c>
      <c r="AK429" s="61" t="n">
        <f aca="false">AK428+1</f>
        <v>429</v>
      </c>
      <c r="AL429" s="61" t="str">
        <f aca="false">Y429</f>
        <v>dhaniya patta</v>
      </c>
      <c r="AM429" s="81" t="str">
        <f aca="false">"a = Client().post('"&amp;W429&amp;"', {'recipe' : '"&amp;V429&amp;"', 'ingredient' : '"&amp;Z429&amp;"', 'name' : '"&amp;X429&amp;"', 'mass_unit' : '"&amp;AC429&amp;"', 'mass_quantity' : '"&amp;ROUND(AA429,3)&amp;"', 'volume_unit' : '"&amp;AF429&amp;"', 'volume_quantity' : '"&amp;ROUND(AD429,3)&amp;"', 'pieces_unit' : '"&amp;AI429&amp;"', 'pieces_quantity' : '"&amp;ROUND(AG429,3)&amp;"', 'cooking_notes' : '"&amp;AJ429&amp;"'}).status_code; print('%s :: %s :: %s :: %s :: %s' %(a,"&amp;G429&amp;",'"&amp;X429&amp;"','"&amp;Y429&amp;"','"&amp;U429&amp;"'))"</f>
        <v>a = Client().post('/recipes/jeera-rice/detail/', {'recipe' : '34', 'ingredient' : '66', 'name' : 'Dhania Patta', 'mass_unit' : '2', 'mass_quantity' : '0', 'volume_unit' : '1', 'volume_quantity' : '10', 'pieces_unit' : '3', 'pieces_quantity' : '0', 'cooking_notes' : ''}).status_code; print('%s :: %s :: %s :: %s :: %s' %(a,429,'Dhania Patta','dhaniya patta','Jeera Rice'))</v>
      </c>
    </row>
    <row r="430" customFormat="false" ht="13.8" hidden="false" customHeight="false" outlineLevel="0" collapsed="false">
      <c r="G430" s="80" t="n">
        <v>430</v>
      </c>
      <c r="I430" s="154" t="s">
        <v>211</v>
      </c>
      <c r="J430" s="144" t="s">
        <v>32</v>
      </c>
      <c r="M430" s="145" t="n">
        <v>5</v>
      </c>
      <c r="N430" s="145" t="s">
        <v>20</v>
      </c>
      <c r="R430" s="82" t="str">
        <f aca="false">VLOOKUP(J430,ingredient!$N$4:$O$553,2,0)</f>
        <v>salt</v>
      </c>
      <c r="U430" s="81" t="str">
        <f aca="false">I430</f>
        <v>Jeera Rice</v>
      </c>
      <c r="V430" s="81" t="n">
        <f aca="false">VLOOKUP(U430,recipe_ingred_list!$A$2:$B$300,2,0)</f>
        <v>34</v>
      </c>
      <c r="W430" s="81" t="str">
        <f aca="false">"/recipes/"&amp;VLOOKUP(U430,recipe_ingred_list!$A$2:$C$300,3,0)&amp;"/detail/"</f>
        <v>/recipes/jeera-rice/detail/</v>
      </c>
      <c r="X430" s="81" t="str">
        <f aca="false">J430</f>
        <v>Salt</v>
      </c>
      <c r="Y430" s="81" t="str">
        <f aca="false">R430</f>
        <v>salt</v>
      </c>
      <c r="Z430" s="94" t="n">
        <f aca="false">VLOOKUP(Y430,recipe_ingred_list!$D$2:$E$500,2,0)</f>
        <v>177</v>
      </c>
      <c r="AA430" s="61" t="n">
        <f aca="false">K430</f>
        <v>0</v>
      </c>
      <c r="AB430" s="61" t="n">
        <f aca="false">L430</f>
        <v>0</v>
      </c>
      <c r="AC430" s="61" t="n">
        <f aca="false">VLOOKUP(AB430,recipe_ingred_list!$K$2:$M$7,3,0)</f>
        <v>2</v>
      </c>
      <c r="AD430" s="61" t="n">
        <f aca="false">M430</f>
        <v>5</v>
      </c>
      <c r="AE430" s="61" t="str">
        <f aca="false">N430</f>
        <v>cup</v>
      </c>
      <c r="AF430" s="61" t="n">
        <f aca="false">VLOOKUP(AE430,recipe_ingred_list!$K$16:$M$25,3,0)</f>
        <v>5</v>
      </c>
      <c r="AG430" s="61" t="n">
        <f aca="false">O430</f>
        <v>0</v>
      </c>
      <c r="AH430" s="61" t="n">
        <f aca="false">P430</f>
        <v>0</v>
      </c>
      <c r="AI430" s="61" t="n">
        <f aca="false">VLOOKUP(AH430,recipe_ingred_list!$K$29:$M$34,3,0)</f>
        <v>3</v>
      </c>
      <c r="AJ430" s="61" t="str">
        <f aca="false">IF(Q430="","",Q430)</f>
        <v/>
      </c>
      <c r="AK430" s="61" t="n">
        <f aca="false">AK429+1</f>
        <v>430</v>
      </c>
      <c r="AL430" s="61" t="str">
        <f aca="false">Y430</f>
        <v>salt</v>
      </c>
      <c r="AM430" s="81" t="str">
        <f aca="false">"a = Client().post('"&amp;W430&amp;"', {'recipe' : '"&amp;V430&amp;"', 'ingredient' : '"&amp;Z430&amp;"', 'name' : '"&amp;X430&amp;"', 'mass_unit' : '"&amp;AC430&amp;"', 'mass_quantity' : '"&amp;ROUND(AA430,3)&amp;"', 'volume_unit' : '"&amp;AF430&amp;"', 'volume_quantity' : '"&amp;ROUND(AD430,3)&amp;"', 'pieces_unit' : '"&amp;AI430&amp;"', 'pieces_quantity' : '"&amp;ROUND(AG430,3)&amp;"', 'cooking_notes' : '"&amp;AJ430&amp;"'}).status_code; print('%s :: %s :: %s :: %s :: %s' %(a,"&amp;G430&amp;",'"&amp;X430&amp;"','"&amp;Y430&amp;"','"&amp;U430&amp;"'))"</f>
        <v>a = Client().post('/recipes/jeera-rice/detail/', {'recipe' : '34', 'ingredient' : '177', 'name' : 'Salt', 'mass_unit' : '2', 'mass_quantity' : '0', 'volume_unit' : '5', 'volume_quantity' : '5', 'pieces_unit' : '3', 'pieces_quantity' : '0', 'cooking_notes' : ''}).status_code; print('%s :: %s :: %s :: %s :: %s' %(a,430,'Salt','salt','Jeera Rice'))</v>
      </c>
    </row>
    <row r="431" customFormat="false" ht="13.8" hidden="false" customHeight="false" outlineLevel="0" collapsed="false">
      <c r="G431" s="80" t="n">
        <v>431</v>
      </c>
      <c r="H431" s="98"/>
      <c r="I431" s="152" t="s">
        <v>211</v>
      </c>
      <c r="J431" s="155" t="s">
        <v>26</v>
      </c>
      <c r="K431" s="100"/>
      <c r="L431" s="100"/>
      <c r="M431" s="100"/>
      <c r="N431" s="100"/>
      <c r="O431" s="156" t="n">
        <v>3</v>
      </c>
      <c r="P431" s="156" t="s">
        <v>27</v>
      </c>
      <c r="Q431" s="102"/>
      <c r="R431" s="99" t="e">
        <f aca="false">VLOOKUP(J431,ingredient!$N$4:$O$553,2,0)</f>
        <v>#N/A</v>
      </c>
      <c r="S431" s="98"/>
      <c r="T431" s="98"/>
      <c r="U431" s="81" t="str">
        <f aca="false">I431</f>
        <v>Jeera Rice</v>
      </c>
      <c r="V431" s="81" t="n">
        <f aca="false">VLOOKUP(U431,recipe_ingred_list!$A$2:$B$300,2,0)</f>
        <v>34</v>
      </c>
      <c r="W431" s="81" t="str">
        <f aca="false">"/recipes/"&amp;VLOOKUP(U431,recipe_ingred_list!$A$2:$C$300,3,0)&amp;"/detail/"</f>
        <v>/recipes/jeera-rice/detail/</v>
      </c>
      <c r="X431" s="81" t="str">
        <f aca="false">J431</f>
        <v>YIELD</v>
      </c>
      <c r="Y431" s="81" t="e">
        <f aca="false">R431</f>
        <v>#N/A</v>
      </c>
      <c r="Z431" s="94" t="e">
        <f aca="false">VLOOKUP(Y431,recipe_ingred_list!$D$2:$E$500,2,0)</f>
        <v>#N/A</v>
      </c>
      <c r="AA431" s="61" t="n">
        <f aca="false">K431</f>
        <v>0</v>
      </c>
      <c r="AB431" s="61" t="n">
        <f aca="false">L431</f>
        <v>0</v>
      </c>
      <c r="AC431" s="61" t="n">
        <f aca="false">VLOOKUP(AB431,recipe_ingred_list!$K$2:$M$7,3,0)</f>
        <v>2</v>
      </c>
      <c r="AD431" s="61" t="n">
        <f aca="false">M431</f>
        <v>0</v>
      </c>
      <c r="AE431" s="61" t="n">
        <f aca="false">N431</f>
        <v>0</v>
      </c>
      <c r="AF431" s="61" t="n">
        <f aca="false">VLOOKUP(AE431,recipe_ingred_list!$K$16:$M$25,3,0)</f>
        <v>1</v>
      </c>
      <c r="AG431" s="61" t="n">
        <f aca="false">O431</f>
        <v>3</v>
      </c>
      <c r="AH431" s="61" t="str">
        <f aca="false">P431</f>
        <v>tub</v>
      </c>
      <c r="AI431" s="61" t="e">
        <f aca="false">VLOOKUP(AH431,recipe_ingred_list!$K$29:$M$34,3,0)</f>
        <v>#N/A</v>
      </c>
      <c r="AJ431" s="61" t="str">
        <f aca="false">IF(Q431="","",Q431)</f>
        <v/>
      </c>
      <c r="AK431" s="61" t="n">
        <f aca="false">AK430+1</f>
        <v>431</v>
      </c>
      <c r="AL431" s="61" t="e">
        <f aca="false">Y431</f>
        <v>#N/A</v>
      </c>
      <c r="AM431" s="81" t="e">
        <f aca="false">"a = Client().post('"&amp;W431&amp;"', {'recipe' : '"&amp;V431&amp;"', 'ingredient' : '"&amp;Z431&amp;"', 'name' : '"&amp;X431&amp;"', 'mass_unit' : '"&amp;AC431&amp;"', 'mass_quantity' : '"&amp;ROUND(AA431,3)&amp;"', 'volume_unit' : '"&amp;AF431&amp;"', 'volume_quantity' : '"&amp;ROUND(AD431,3)&amp;"', 'pieces_unit' : '"&amp;AI431&amp;"', 'pieces_quantity' : '"&amp;ROUND(AG431,3)&amp;"', 'cooking_notes' : '"&amp;AJ431&amp;"'}).status_code; print('%s :: %s :: %s :: %s :: %s' %(a,"&amp;G431&amp;",'"&amp;X431&amp;"','"&amp;Y431&amp;"','"&amp;U431&amp;"'))"</f>
        <v>#N/A</v>
      </c>
    </row>
    <row r="432" customFormat="false" ht="13.8" hidden="false" customHeight="false" outlineLevel="0" collapsed="false">
      <c r="G432" s="80" t="n">
        <v>432</v>
      </c>
      <c r="H432" s="98"/>
      <c r="I432" s="99"/>
      <c r="J432" s="79"/>
      <c r="K432" s="100"/>
      <c r="L432" s="100"/>
      <c r="M432" s="100"/>
      <c r="N432" s="100"/>
      <c r="O432" s="101"/>
      <c r="P432" s="100"/>
      <c r="Q432" s="102"/>
      <c r="R432" s="99" t="e">
        <f aca="false">VLOOKUP(J432,ingredient!$N$4:$O$553,2,0)</f>
        <v>#N/A</v>
      </c>
      <c r="S432" s="98"/>
      <c r="T432" s="98"/>
      <c r="U432" s="81" t="n">
        <f aca="false">I432</f>
        <v>0</v>
      </c>
      <c r="V432" s="81" t="e">
        <f aca="false">VLOOKUP(U432,recipe_ingred_list!$A$2:$B$300,2,0)</f>
        <v>#N/A</v>
      </c>
      <c r="W432" s="81" t="e">
        <f aca="false">"/recipes/"&amp;VLOOKUP(U432,recipe_ingred_list!$A$2:$C$300,3,0)&amp;"/detail/"</f>
        <v>#N/A</v>
      </c>
      <c r="X432" s="81" t="n">
        <f aca="false">J432</f>
        <v>0</v>
      </c>
      <c r="Y432" s="81" t="e">
        <f aca="false">R432</f>
        <v>#N/A</v>
      </c>
      <c r="Z432" s="94" t="e">
        <f aca="false">VLOOKUP(Y432,recipe_ingred_list!$D$2:$E$500,2,0)</f>
        <v>#N/A</v>
      </c>
      <c r="AA432" s="61" t="n">
        <f aca="false">K432</f>
        <v>0</v>
      </c>
      <c r="AB432" s="61" t="n">
        <f aca="false">L432</f>
        <v>0</v>
      </c>
      <c r="AC432" s="61" t="n">
        <f aca="false">VLOOKUP(AB432,recipe_ingred_list!$K$2:$M$7,3,0)</f>
        <v>2</v>
      </c>
      <c r="AD432" s="61" t="n">
        <f aca="false">M432</f>
        <v>0</v>
      </c>
      <c r="AE432" s="61" t="n">
        <f aca="false">N432</f>
        <v>0</v>
      </c>
      <c r="AF432" s="61" t="n">
        <f aca="false">VLOOKUP(AE432,recipe_ingred_list!$K$16:$M$25,3,0)</f>
        <v>1</v>
      </c>
      <c r="AG432" s="61" t="n">
        <f aca="false">O432</f>
        <v>0</v>
      </c>
      <c r="AH432" s="61" t="n">
        <f aca="false">P432</f>
        <v>0</v>
      </c>
      <c r="AI432" s="61" t="n">
        <f aca="false">VLOOKUP(AH432,recipe_ingred_list!$K$29:$M$34,3,0)</f>
        <v>3</v>
      </c>
      <c r="AJ432" s="61" t="str">
        <f aca="false">IF(Q432="","",Q432)</f>
        <v/>
      </c>
      <c r="AK432" s="61" t="n">
        <f aca="false">AK431+1</f>
        <v>432</v>
      </c>
      <c r="AL432" s="61" t="e">
        <f aca="false">Y432</f>
        <v>#N/A</v>
      </c>
      <c r="AM432" s="81" t="e">
        <f aca="false">"a = Client().post('"&amp;W432&amp;"', {'recipe' : '"&amp;V432&amp;"', 'ingredient' : '"&amp;Z432&amp;"', 'name' : '"&amp;X432&amp;"', 'mass_unit' : '"&amp;AC432&amp;"', 'mass_quantity' : '"&amp;ROUND(AA432,3)&amp;"', 'volume_unit' : '"&amp;AF432&amp;"', 'volume_quantity' : '"&amp;ROUND(AD432,3)&amp;"', 'pieces_unit' : '"&amp;AI432&amp;"', 'pieces_quantity' : '"&amp;ROUND(AG432,3)&amp;"', 'cooking_notes' : '"&amp;AJ432&amp;"'}).status_code; print('%s :: %s :: %s :: %s :: %s' %(a,"&amp;G432&amp;",'"&amp;X432&amp;"','"&amp;Y432&amp;"','"&amp;U432&amp;"'))"</f>
        <v>#N/A</v>
      </c>
    </row>
    <row r="433" customFormat="false" ht="15" hidden="false" customHeight="true" outlineLevel="0" collapsed="false">
      <c r="G433" s="80" t="n">
        <v>433</v>
      </c>
      <c r="H433" s="98"/>
      <c r="I433" s="157"/>
      <c r="J433" s="152"/>
      <c r="K433" s="153"/>
      <c r="L433" s="153"/>
      <c r="M433" s="100"/>
      <c r="N433" s="100"/>
      <c r="O433" s="101"/>
      <c r="P433" s="100"/>
      <c r="Q433" s="102"/>
      <c r="R433" s="99" t="e">
        <f aca="false">VLOOKUP(J433,ingredient!$N$4:$O$553,2,0)</f>
        <v>#N/A</v>
      </c>
      <c r="S433" s="98"/>
      <c r="T433" s="98"/>
      <c r="U433" s="81" t="n">
        <f aca="false">I433</f>
        <v>0</v>
      </c>
      <c r="V433" s="81" t="e">
        <f aca="false">VLOOKUP(U433,recipe_ingred_list!$A$2:$B$300,2,0)</f>
        <v>#N/A</v>
      </c>
      <c r="W433" s="81" t="e">
        <f aca="false">"/recipes/"&amp;VLOOKUP(U433,recipe_ingred_list!$A$2:$C$300,3,0)&amp;"/detail/"</f>
        <v>#N/A</v>
      </c>
      <c r="X433" s="81" t="n">
        <f aca="false">J433</f>
        <v>0</v>
      </c>
      <c r="Y433" s="81" t="e">
        <f aca="false">R433</f>
        <v>#N/A</v>
      </c>
      <c r="Z433" s="94" t="e">
        <f aca="false">VLOOKUP(Y433,recipe_ingred_list!$D$2:$E$500,2,0)</f>
        <v>#N/A</v>
      </c>
      <c r="AA433" s="61" t="n">
        <f aca="false">K433</f>
        <v>0</v>
      </c>
      <c r="AB433" s="61" t="n">
        <f aca="false">L433</f>
        <v>0</v>
      </c>
      <c r="AC433" s="61" t="n">
        <f aca="false">VLOOKUP(AB433,recipe_ingred_list!$K$2:$M$7,3,0)</f>
        <v>2</v>
      </c>
      <c r="AD433" s="61" t="n">
        <f aca="false">M433</f>
        <v>0</v>
      </c>
      <c r="AE433" s="61" t="n">
        <f aca="false">N433</f>
        <v>0</v>
      </c>
      <c r="AF433" s="61" t="n">
        <f aca="false">VLOOKUP(AE433,recipe_ingred_list!$K$16:$M$25,3,0)</f>
        <v>1</v>
      </c>
      <c r="AG433" s="61" t="n">
        <f aca="false">O433</f>
        <v>0</v>
      </c>
      <c r="AH433" s="61" t="n">
        <f aca="false">P433</f>
        <v>0</v>
      </c>
      <c r="AI433" s="61" t="n">
        <f aca="false">VLOOKUP(AH433,recipe_ingred_list!$K$29:$M$34,3,0)</f>
        <v>3</v>
      </c>
      <c r="AJ433" s="61" t="str">
        <f aca="false">IF(Q433="","",Q433)</f>
        <v/>
      </c>
      <c r="AK433" s="61" t="n">
        <f aca="false">AK432+1</f>
        <v>433</v>
      </c>
      <c r="AL433" s="61" t="e">
        <f aca="false">Y433</f>
        <v>#N/A</v>
      </c>
      <c r="AM433" s="81" t="e">
        <f aca="false">"a = Client().post('"&amp;W433&amp;"', {'recipe' : '"&amp;V433&amp;"', 'ingredient' : '"&amp;Z433&amp;"', 'name' : '"&amp;X433&amp;"', 'mass_unit' : '"&amp;AC433&amp;"', 'mass_quantity' : '"&amp;ROUND(AA433,3)&amp;"', 'volume_unit' : '"&amp;AF433&amp;"', 'volume_quantity' : '"&amp;ROUND(AD433,3)&amp;"', 'pieces_unit' : '"&amp;AI433&amp;"', 'pieces_quantity' : '"&amp;ROUND(AG433,3)&amp;"', 'cooking_notes' : '"&amp;AJ433&amp;"'}).status_code; print('%s :: %s :: %s :: %s :: %s' %(a,"&amp;G433&amp;",'"&amp;X433&amp;"','"&amp;Y433&amp;"','"&amp;U433&amp;"'))"</f>
        <v>#N/A</v>
      </c>
    </row>
    <row r="434" customFormat="false" ht="15" hidden="false" customHeight="true" outlineLevel="0" collapsed="false">
      <c r="G434" s="80" t="n">
        <v>434</v>
      </c>
      <c r="I434" s="158" t="s">
        <v>244</v>
      </c>
      <c r="J434" s="144" t="s">
        <v>647</v>
      </c>
      <c r="K434" s="145" t="n">
        <v>6.3</v>
      </c>
      <c r="L434" s="145" t="s">
        <v>7</v>
      </c>
      <c r="R434" s="82" t="str">
        <f aca="false">VLOOKUP(J434,ingredient!$N$4:$O$553,2,0)</f>
        <v>matar ki dal</v>
      </c>
      <c r="U434" s="81" t="str">
        <f aca="false">I434</f>
        <v>Matar Ki Dal</v>
      </c>
      <c r="V434" s="81" t="n">
        <f aca="false">VLOOKUP(U434,recipe_ingred_list!$A$2:$B$300,2,0)</f>
        <v>45</v>
      </c>
      <c r="W434" s="81" t="str">
        <f aca="false">"/recipes/"&amp;VLOOKUP(U434,recipe_ingred_list!$A$2:$C$300,3,0)&amp;"/detail/"</f>
        <v>/recipes/matar-ki-dal/detail/</v>
      </c>
      <c r="X434" s="81" t="str">
        <f aca="false">J434</f>
        <v>Matar ki dal</v>
      </c>
      <c r="Y434" s="81" t="str">
        <f aca="false">R434</f>
        <v>matar ki dal</v>
      </c>
      <c r="Z434" s="94" t="n">
        <f aca="false">VLOOKUP(Y434,recipe_ingred_list!$D$2:$E$500,2,0)</f>
        <v>141</v>
      </c>
      <c r="AA434" s="61" t="n">
        <f aca="false">K434</f>
        <v>6.3</v>
      </c>
      <c r="AB434" s="61" t="str">
        <f aca="false">L434</f>
        <v>kg</v>
      </c>
      <c r="AC434" s="61" t="n">
        <f aca="false">VLOOKUP(AB434,recipe_ingred_list!$K$2:$M$7,3,0)</f>
        <v>2</v>
      </c>
      <c r="AD434" s="61" t="n">
        <f aca="false">M434</f>
        <v>0</v>
      </c>
      <c r="AE434" s="61" t="n">
        <f aca="false">N434</f>
        <v>0</v>
      </c>
      <c r="AF434" s="61" t="n">
        <f aca="false">VLOOKUP(AE434,recipe_ingred_list!$K$16:$M$25,3,0)</f>
        <v>1</v>
      </c>
      <c r="AG434" s="61" t="n">
        <f aca="false">O434</f>
        <v>0</v>
      </c>
      <c r="AH434" s="61" t="n">
        <f aca="false">P434</f>
        <v>0</v>
      </c>
      <c r="AI434" s="61" t="n">
        <f aca="false">VLOOKUP(AH434,recipe_ingred_list!$K$29:$M$34,3,0)</f>
        <v>3</v>
      </c>
      <c r="AJ434" s="61" t="str">
        <f aca="false">IF(Q434="","",Q434)</f>
        <v/>
      </c>
      <c r="AK434" s="61" t="n">
        <f aca="false">AK433+1</f>
        <v>434</v>
      </c>
      <c r="AL434" s="61" t="str">
        <f aca="false">Y434</f>
        <v>matar ki dal</v>
      </c>
      <c r="AM434" s="81" t="str">
        <f aca="false">"a = Client().post('"&amp;W434&amp;"', {'recipe' : '"&amp;V434&amp;"', 'ingredient' : '"&amp;Z434&amp;"', 'name' : '"&amp;X434&amp;"', 'mass_unit' : '"&amp;AC434&amp;"', 'mass_quantity' : '"&amp;ROUND(AA434,3)&amp;"', 'volume_unit' : '"&amp;AF434&amp;"', 'volume_quantity' : '"&amp;ROUND(AD434,3)&amp;"', 'pieces_unit' : '"&amp;AI434&amp;"', 'pieces_quantity' : '"&amp;ROUND(AG434,3)&amp;"', 'cooking_notes' : '"&amp;AJ434&amp;"'}).status_code; print('%s :: %s :: %s :: %s :: %s' %(a,"&amp;G434&amp;",'"&amp;X434&amp;"','"&amp;Y434&amp;"','"&amp;U434&amp;"'))"</f>
        <v>a = Client().post('/recipes/matar-ki-dal/detail/', {'recipe' : '45', 'ingredient' : '141', 'name' : 'Matar ki dal', 'mass_unit' : '2', 'mass_quantity' : '6.3', 'volume_unit' : '1', 'volume_quantity' : '0', 'pieces_unit' : '3', 'pieces_quantity' : '0', 'cooking_notes' : ''}).status_code; print('%s :: %s :: %s :: %s :: %s' %(a,434,'Matar ki dal','matar ki dal','Matar Ki Dal'))</v>
      </c>
    </row>
    <row r="435" customFormat="false" ht="15" hidden="false" customHeight="true" outlineLevel="0" collapsed="false">
      <c r="G435" s="80" t="n">
        <v>435</v>
      </c>
      <c r="I435" s="158" t="s">
        <v>244</v>
      </c>
      <c r="J435" s="144" t="s">
        <v>22</v>
      </c>
      <c r="M435" s="145" t="n">
        <v>1</v>
      </c>
      <c r="N435" s="145" t="s">
        <v>13</v>
      </c>
      <c r="R435" s="82" t="str">
        <f aca="false">VLOOKUP(J435,ingredient!$N$4:$O$553,2,0)</f>
        <v>ghee</v>
      </c>
      <c r="U435" s="81" t="str">
        <f aca="false">I435</f>
        <v>Matar Ki Dal</v>
      </c>
      <c r="V435" s="81" t="n">
        <f aca="false">VLOOKUP(U435,recipe_ingred_list!$A$2:$B$300,2,0)</f>
        <v>45</v>
      </c>
      <c r="W435" s="81" t="str">
        <f aca="false">"/recipes/"&amp;VLOOKUP(U435,recipe_ingred_list!$A$2:$C$300,3,0)&amp;"/detail/"</f>
        <v>/recipes/matar-ki-dal/detail/</v>
      </c>
      <c r="X435" s="81" t="str">
        <f aca="false">J435</f>
        <v>Ghee</v>
      </c>
      <c r="Y435" s="81" t="str">
        <f aca="false">R435</f>
        <v>ghee</v>
      </c>
      <c r="Z435" s="94" t="n">
        <f aca="false">VLOOKUP(Y435,recipe_ingred_list!$D$2:$E$500,2,0)</f>
        <v>81</v>
      </c>
      <c r="AA435" s="61" t="n">
        <f aca="false">K435</f>
        <v>0</v>
      </c>
      <c r="AB435" s="61" t="n">
        <f aca="false">L435</f>
        <v>0</v>
      </c>
      <c r="AC435" s="61" t="n">
        <f aca="false">VLOOKUP(AB435,recipe_ingred_list!$K$2:$M$7,3,0)</f>
        <v>2</v>
      </c>
      <c r="AD435" s="61" t="n">
        <f aca="false">M435</f>
        <v>1</v>
      </c>
      <c r="AE435" s="61" t="str">
        <f aca="false">N435</f>
        <v>ltr</v>
      </c>
      <c r="AF435" s="61" t="n">
        <f aca="false">VLOOKUP(AE435,recipe_ingred_list!$K$16:$M$25,3,0)</f>
        <v>1</v>
      </c>
      <c r="AG435" s="61" t="n">
        <f aca="false">O435</f>
        <v>0</v>
      </c>
      <c r="AH435" s="61" t="n">
        <f aca="false">P435</f>
        <v>0</v>
      </c>
      <c r="AI435" s="61" t="n">
        <f aca="false">VLOOKUP(AH435,recipe_ingred_list!$K$29:$M$34,3,0)</f>
        <v>3</v>
      </c>
      <c r="AJ435" s="61" t="str">
        <f aca="false">IF(Q435="","",Q435)</f>
        <v/>
      </c>
      <c r="AK435" s="61" t="n">
        <f aca="false">AK434+1</f>
        <v>435</v>
      </c>
      <c r="AL435" s="61" t="str">
        <f aca="false">Y435</f>
        <v>ghee</v>
      </c>
      <c r="AM435" s="81" t="str">
        <f aca="false">"a = Client().post('"&amp;W435&amp;"', {'recipe' : '"&amp;V435&amp;"', 'ingredient' : '"&amp;Z435&amp;"', 'name' : '"&amp;X435&amp;"', 'mass_unit' : '"&amp;AC435&amp;"', 'mass_quantity' : '"&amp;ROUND(AA435,3)&amp;"', 'volume_unit' : '"&amp;AF435&amp;"', 'volume_quantity' : '"&amp;ROUND(AD435,3)&amp;"', 'pieces_unit' : '"&amp;AI435&amp;"', 'pieces_quantity' : '"&amp;ROUND(AG435,3)&amp;"', 'cooking_notes' : '"&amp;AJ435&amp;"'}).status_code; print('%s :: %s :: %s :: %s :: %s' %(a,"&amp;G435&amp;",'"&amp;X435&amp;"','"&amp;Y435&amp;"','"&amp;U435&amp;"'))"</f>
        <v>a = Client().post('/recipes/matar-ki-dal/detail/', {'recipe' : '45', 'ingredient' : '81', 'name' : 'Ghee', 'mass_unit' : '2', 'mass_quantity' : '0', 'volume_unit' : '1', 'volume_quantity' : '1', 'pieces_unit' : '3', 'pieces_quantity' : '0', 'cooking_notes' : ''}).status_code; print('%s :: %s :: %s :: %s :: %s' %(a,435,'Ghee','ghee','Matar Ki Dal'))</v>
      </c>
    </row>
    <row r="436" customFormat="false" ht="15" hidden="false" customHeight="true" outlineLevel="0" collapsed="false">
      <c r="G436" s="80" t="n">
        <v>436</v>
      </c>
      <c r="I436" s="158" t="s">
        <v>244</v>
      </c>
      <c r="J436" s="144" t="s">
        <v>14</v>
      </c>
      <c r="M436" s="145" t="n">
        <v>0.6</v>
      </c>
      <c r="N436" s="145" t="s">
        <v>20</v>
      </c>
      <c r="R436" s="82" t="str">
        <f aca="false">VLOOKUP(J436,ingredient!$N$4:$O$553,2,0)</f>
        <v>jeera</v>
      </c>
      <c r="U436" s="81" t="str">
        <f aca="false">I436</f>
        <v>Matar Ki Dal</v>
      </c>
      <c r="V436" s="81" t="n">
        <f aca="false">VLOOKUP(U436,recipe_ingred_list!$A$2:$B$300,2,0)</f>
        <v>45</v>
      </c>
      <c r="W436" s="81" t="str">
        <f aca="false">"/recipes/"&amp;VLOOKUP(U436,recipe_ingred_list!$A$2:$C$300,3,0)&amp;"/detail/"</f>
        <v>/recipes/matar-ki-dal/detail/</v>
      </c>
      <c r="X436" s="81" t="str">
        <f aca="false">J436</f>
        <v>Jeera</v>
      </c>
      <c r="Y436" s="81" t="str">
        <f aca="false">R436</f>
        <v>jeera</v>
      </c>
      <c r="Z436" s="94" t="n">
        <f aca="false">VLOOKUP(Y436,recipe_ingred_list!$D$2:$E$500,2,0)</f>
        <v>102</v>
      </c>
      <c r="AA436" s="61" t="n">
        <f aca="false">K436</f>
        <v>0</v>
      </c>
      <c r="AB436" s="61" t="n">
        <f aca="false">L436</f>
        <v>0</v>
      </c>
      <c r="AC436" s="61" t="n">
        <f aca="false">VLOOKUP(AB436,recipe_ingred_list!$K$2:$M$7,3,0)</f>
        <v>2</v>
      </c>
      <c r="AD436" s="61" t="n">
        <f aca="false">M436</f>
        <v>0.6</v>
      </c>
      <c r="AE436" s="61" t="str">
        <f aca="false">N436</f>
        <v>cup</v>
      </c>
      <c r="AF436" s="61" t="n">
        <f aca="false">VLOOKUP(AE436,recipe_ingred_list!$K$16:$M$25,3,0)</f>
        <v>5</v>
      </c>
      <c r="AG436" s="61" t="n">
        <f aca="false">O436</f>
        <v>0</v>
      </c>
      <c r="AH436" s="61" t="n">
        <f aca="false">P436</f>
        <v>0</v>
      </c>
      <c r="AI436" s="61" t="n">
        <f aca="false">VLOOKUP(AH436,recipe_ingred_list!$K$29:$M$34,3,0)</f>
        <v>3</v>
      </c>
      <c r="AJ436" s="61" t="str">
        <f aca="false">IF(Q436="","",Q436)</f>
        <v/>
      </c>
      <c r="AK436" s="61" t="n">
        <f aca="false">AK435+1</f>
        <v>436</v>
      </c>
      <c r="AL436" s="61" t="str">
        <f aca="false">Y436</f>
        <v>jeera</v>
      </c>
      <c r="AM436" s="81" t="str">
        <f aca="false">"a = Client().post('"&amp;W436&amp;"', {'recipe' : '"&amp;V436&amp;"', 'ingredient' : '"&amp;Z436&amp;"', 'name' : '"&amp;X436&amp;"', 'mass_unit' : '"&amp;AC436&amp;"', 'mass_quantity' : '"&amp;ROUND(AA436,3)&amp;"', 'volume_unit' : '"&amp;AF436&amp;"', 'volume_quantity' : '"&amp;ROUND(AD436,3)&amp;"', 'pieces_unit' : '"&amp;AI436&amp;"', 'pieces_quantity' : '"&amp;ROUND(AG436,3)&amp;"', 'cooking_notes' : '"&amp;AJ436&amp;"'}).status_code; print('%s :: %s :: %s :: %s :: %s' %(a,"&amp;G436&amp;",'"&amp;X436&amp;"','"&amp;Y436&amp;"','"&amp;U436&amp;"'))"</f>
        <v>a = Client().post('/recipes/matar-ki-dal/detail/', {'recipe' : '45', 'ingredient' : '102', 'name' : 'Jeera', 'mass_unit' : '2', 'mass_quantity' : '0', 'volume_unit' : '5', 'volume_quantity' : '0.6', 'pieces_unit' : '3', 'pieces_quantity' : '0', 'cooking_notes' : ''}).status_code; print('%s :: %s :: %s :: %s :: %s' %(a,436,'Jeera','jeera','Matar Ki Dal'))</v>
      </c>
    </row>
    <row r="437" customFormat="false" ht="15" hidden="false" customHeight="true" outlineLevel="0" collapsed="false">
      <c r="G437" s="80" t="n">
        <v>437</v>
      </c>
      <c r="I437" s="158" t="s">
        <v>244</v>
      </c>
      <c r="J437" s="144" t="s">
        <v>15</v>
      </c>
      <c r="M437" s="145" t="n">
        <v>0.8</v>
      </c>
      <c r="N437" s="145" t="s">
        <v>20</v>
      </c>
      <c r="R437" s="82" t="str">
        <f aca="false">VLOOKUP(J437,ingredient!$N$4:$O$553,2,0)</f>
        <v>hari mirchi</v>
      </c>
      <c r="U437" s="81" t="str">
        <f aca="false">I437</f>
        <v>Matar Ki Dal</v>
      </c>
      <c r="V437" s="81" t="n">
        <f aca="false">VLOOKUP(U437,recipe_ingred_list!$A$2:$B$300,2,0)</f>
        <v>45</v>
      </c>
      <c r="W437" s="81" t="str">
        <f aca="false">"/recipes/"&amp;VLOOKUP(U437,recipe_ingred_list!$A$2:$C$300,3,0)&amp;"/detail/"</f>
        <v>/recipes/matar-ki-dal/detail/</v>
      </c>
      <c r="X437" s="81" t="str">
        <f aca="false">J437</f>
        <v>Hari mirchi split in 2</v>
      </c>
      <c r="Y437" s="81" t="str">
        <f aca="false">R437</f>
        <v>hari mirchi</v>
      </c>
      <c r="Z437" s="94" t="n">
        <f aca="false">VLOOKUP(Y437,recipe_ingred_list!$D$2:$E$500,2,0)</f>
        <v>93</v>
      </c>
      <c r="AA437" s="61" t="n">
        <f aca="false">K437</f>
        <v>0</v>
      </c>
      <c r="AB437" s="61" t="n">
        <f aca="false">L437</f>
        <v>0</v>
      </c>
      <c r="AC437" s="61" t="n">
        <f aca="false">VLOOKUP(AB437,recipe_ingred_list!$K$2:$M$7,3,0)</f>
        <v>2</v>
      </c>
      <c r="AD437" s="61" t="n">
        <f aca="false">M437</f>
        <v>0.8</v>
      </c>
      <c r="AE437" s="61" t="str">
        <f aca="false">N437</f>
        <v>cup</v>
      </c>
      <c r="AF437" s="61" t="n">
        <f aca="false">VLOOKUP(AE437,recipe_ingred_list!$K$16:$M$25,3,0)</f>
        <v>5</v>
      </c>
      <c r="AG437" s="61" t="n">
        <f aca="false">O437</f>
        <v>0</v>
      </c>
      <c r="AH437" s="61" t="n">
        <f aca="false">P437</f>
        <v>0</v>
      </c>
      <c r="AI437" s="61" t="n">
        <f aca="false">VLOOKUP(AH437,recipe_ingred_list!$K$29:$M$34,3,0)</f>
        <v>3</v>
      </c>
      <c r="AJ437" s="61" t="str">
        <f aca="false">IF(Q437="","",Q437)</f>
        <v/>
      </c>
      <c r="AK437" s="61" t="n">
        <f aca="false">AK436+1</f>
        <v>437</v>
      </c>
      <c r="AL437" s="61" t="str">
        <f aca="false">Y437</f>
        <v>hari mirchi</v>
      </c>
      <c r="AM437" s="81" t="str">
        <f aca="false">"a = Client().post('"&amp;W437&amp;"', {'recipe' : '"&amp;V437&amp;"', 'ingredient' : '"&amp;Z437&amp;"', 'name' : '"&amp;X437&amp;"', 'mass_unit' : '"&amp;AC437&amp;"', 'mass_quantity' : '"&amp;ROUND(AA437,3)&amp;"', 'volume_unit' : '"&amp;AF437&amp;"', 'volume_quantity' : '"&amp;ROUND(AD437,3)&amp;"', 'pieces_unit' : '"&amp;AI437&amp;"', 'pieces_quantity' : '"&amp;ROUND(AG437,3)&amp;"', 'cooking_notes' : '"&amp;AJ437&amp;"'}).status_code; print('%s :: %s :: %s :: %s :: %s' %(a,"&amp;G437&amp;",'"&amp;X437&amp;"','"&amp;Y437&amp;"','"&amp;U437&amp;"'))"</f>
        <v>a = Client().post('/recipes/matar-ki-dal/detail/', {'recipe' : '45', 'ingredient' : '93', 'name' : 'Hari mirchi split in 2', 'mass_unit' : '2', 'mass_quantity' : '0', 'volume_unit' : '5', 'volume_quantity' : '0.8', 'pieces_unit' : '3', 'pieces_quantity' : '0', 'cooking_notes' : ''}).status_code; print('%s :: %s :: %s :: %s :: %s' %(a,437,'Hari mirchi split in 2','hari mirchi','Matar Ki Dal'))</v>
      </c>
    </row>
    <row r="438" customFormat="false" ht="15" hidden="false" customHeight="true" outlineLevel="0" collapsed="false">
      <c r="G438" s="80" t="n">
        <v>438</v>
      </c>
      <c r="I438" s="158" t="s">
        <v>244</v>
      </c>
      <c r="J438" s="144" t="s">
        <v>18</v>
      </c>
      <c r="M438" s="145" t="n">
        <v>0.4</v>
      </c>
      <c r="N438" s="145" t="s">
        <v>13</v>
      </c>
      <c r="R438" s="82" t="str">
        <f aca="false">VLOOKUP(J438,ingredient!$N$4:$O$553,2,0)</f>
        <v>adrak</v>
      </c>
      <c r="U438" s="81" t="str">
        <f aca="false">I438</f>
        <v>Matar Ki Dal</v>
      </c>
      <c r="V438" s="81" t="n">
        <f aca="false">VLOOKUP(U438,recipe_ingred_list!$A$2:$B$300,2,0)</f>
        <v>45</v>
      </c>
      <c r="W438" s="81" t="str">
        <f aca="false">"/recipes/"&amp;VLOOKUP(U438,recipe_ingred_list!$A$2:$C$300,3,0)&amp;"/detail/"</f>
        <v>/recipes/matar-ki-dal/detail/</v>
      </c>
      <c r="X438" s="81" t="str">
        <f aca="false">J438</f>
        <v>Adrak paste</v>
      </c>
      <c r="Y438" s="81" t="str">
        <f aca="false">R438</f>
        <v>adrak</v>
      </c>
      <c r="Z438" s="94" t="n">
        <f aca="false">VLOOKUP(Y438,recipe_ingred_list!$D$2:$E$500,2,0)</f>
        <v>1</v>
      </c>
      <c r="AA438" s="61" t="n">
        <f aca="false">K438</f>
        <v>0</v>
      </c>
      <c r="AB438" s="61" t="n">
        <f aca="false">L438</f>
        <v>0</v>
      </c>
      <c r="AC438" s="61" t="n">
        <f aca="false">VLOOKUP(AB438,recipe_ingred_list!$K$2:$M$7,3,0)</f>
        <v>2</v>
      </c>
      <c r="AD438" s="61" t="n">
        <f aca="false">M438</f>
        <v>0.4</v>
      </c>
      <c r="AE438" s="61" t="str">
        <f aca="false">N438</f>
        <v>ltr</v>
      </c>
      <c r="AF438" s="61" t="n">
        <f aca="false">VLOOKUP(AE438,recipe_ingred_list!$K$16:$M$25,3,0)</f>
        <v>1</v>
      </c>
      <c r="AG438" s="61" t="n">
        <f aca="false">O438</f>
        <v>0</v>
      </c>
      <c r="AH438" s="61" t="n">
        <f aca="false">P438</f>
        <v>0</v>
      </c>
      <c r="AI438" s="61" t="n">
        <f aca="false">VLOOKUP(AH438,recipe_ingred_list!$K$29:$M$34,3,0)</f>
        <v>3</v>
      </c>
      <c r="AJ438" s="61" t="str">
        <f aca="false">IF(Q438="","",Q438)</f>
        <v/>
      </c>
      <c r="AK438" s="61" t="n">
        <f aca="false">AK437+1</f>
        <v>438</v>
      </c>
      <c r="AL438" s="61" t="str">
        <f aca="false">Y438</f>
        <v>adrak</v>
      </c>
      <c r="AM438" s="81" t="str">
        <f aca="false">"a = Client().post('"&amp;W438&amp;"', {'recipe' : '"&amp;V438&amp;"', 'ingredient' : '"&amp;Z438&amp;"', 'name' : '"&amp;X438&amp;"', 'mass_unit' : '"&amp;AC438&amp;"', 'mass_quantity' : '"&amp;ROUND(AA438,3)&amp;"', 'volume_unit' : '"&amp;AF438&amp;"', 'volume_quantity' : '"&amp;ROUND(AD438,3)&amp;"', 'pieces_unit' : '"&amp;AI438&amp;"', 'pieces_quantity' : '"&amp;ROUND(AG438,3)&amp;"', 'cooking_notes' : '"&amp;AJ438&amp;"'}).status_code; print('%s :: %s :: %s :: %s :: %s' %(a,"&amp;G438&amp;",'"&amp;X438&amp;"','"&amp;Y438&amp;"','"&amp;U438&amp;"'))"</f>
        <v>a = Client().post('/recipes/matar-ki-dal/detail/', {'recipe' : '45', 'ingredient' : '1', 'name' : 'Adrak paste', 'mass_unit' : '2', 'mass_quantity' : '0', 'volume_unit' : '1', 'volume_quantity' : '0.4', 'pieces_unit' : '3', 'pieces_quantity' : '0', 'cooking_notes' : ''}).status_code; print('%s :: %s :: %s :: %s :: %s' %(a,438,'Adrak paste','adrak','Matar Ki Dal'))</v>
      </c>
    </row>
    <row r="439" customFormat="false" ht="15" hidden="false" customHeight="true" outlineLevel="0" collapsed="false">
      <c r="G439" s="80" t="n">
        <v>439</v>
      </c>
      <c r="I439" s="158" t="s">
        <v>244</v>
      </c>
      <c r="J439" s="144" t="s">
        <v>21</v>
      </c>
      <c r="K439" s="145" t="n">
        <v>4</v>
      </c>
      <c r="L439" s="145" t="s">
        <v>7</v>
      </c>
      <c r="R439" s="82" t="str">
        <f aca="false">VLOOKUP(J439,ingredient!$N$4:$O$553,2,0)</f>
        <v>tomato</v>
      </c>
      <c r="U439" s="81" t="str">
        <f aca="false">I439</f>
        <v>Matar Ki Dal</v>
      </c>
      <c r="V439" s="81" t="n">
        <f aca="false">VLOOKUP(U439,recipe_ingred_list!$A$2:$B$300,2,0)</f>
        <v>45</v>
      </c>
      <c r="W439" s="81" t="str">
        <f aca="false">"/recipes/"&amp;VLOOKUP(U439,recipe_ingred_list!$A$2:$C$300,3,0)&amp;"/detail/"</f>
        <v>/recipes/matar-ki-dal/detail/</v>
      </c>
      <c r="X439" s="81" t="str">
        <f aca="false">J439</f>
        <v>Tomato</v>
      </c>
      <c r="Y439" s="81" t="str">
        <f aca="false">R439</f>
        <v>tomato</v>
      </c>
      <c r="Z439" s="94" t="n">
        <f aca="false">VLOOKUP(Y439,recipe_ingred_list!$D$2:$E$500,2,0)</f>
        <v>195</v>
      </c>
      <c r="AA439" s="61" t="n">
        <f aca="false">K439</f>
        <v>4</v>
      </c>
      <c r="AB439" s="61" t="str">
        <f aca="false">L439</f>
        <v>kg</v>
      </c>
      <c r="AC439" s="61" t="n">
        <f aca="false">VLOOKUP(AB439,recipe_ingred_list!$K$2:$M$7,3,0)</f>
        <v>2</v>
      </c>
      <c r="AD439" s="61" t="n">
        <f aca="false">M439</f>
        <v>0</v>
      </c>
      <c r="AE439" s="61" t="n">
        <f aca="false">N439</f>
        <v>0</v>
      </c>
      <c r="AF439" s="61" t="n">
        <f aca="false">VLOOKUP(AE439,recipe_ingred_list!$K$16:$M$25,3,0)</f>
        <v>1</v>
      </c>
      <c r="AG439" s="61" t="n">
        <f aca="false">O439</f>
        <v>0</v>
      </c>
      <c r="AH439" s="61" t="n">
        <f aca="false">P439</f>
        <v>0</v>
      </c>
      <c r="AI439" s="61" t="n">
        <f aca="false">VLOOKUP(AH439,recipe_ingred_list!$K$29:$M$34,3,0)</f>
        <v>3</v>
      </c>
      <c r="AJ439" s="61" t="str">
        <f aca="false">IF(Q439="","",Q439)</f>
        <v/>
      </c>
      <c r="AK439" s="61" t="n">
        <f aca="false">AK438+1</f>
        <v>439</v>
      </c>
      <c r="AL439" s="61" t="str">
        <f aca="false">Y439</f>
        <v>tomato</v>
      </c>
      <c r="AM439" s="81" t="str">
        <f aca="false">"a = Client().post('"&amp;W439&amp;"', {'recipe' : '"&amp;V439&amp;"', 'ingredient' : '"&amp;Z439&amp;"', 'name' : '"&amp;X439&amp;"', 'mass_unit' : '"&amp;AC439&amp;"', 'mass_quantity' : '"&amp;ROUND(AA439,3)&amp;"', 'volume_unit' : '"&amp;AF439&amp;"', 'volume_quantity' : '"&amp;ROUND(AD439,3)&amp;"', 'pieces_unit' : '"&amp;AI439&amp;"', 'pieces_quantity' : '"&amp;ROUND(AG439,3)&amp;"', 'cooking_notes' : '"&amp;AJ439&amp;"'}).status_code; print('%s :: %s :: %s :: %s :: %s' %(a,"&amp;G439&amp;",'"&amp;X439&amp;"','"&amp;Y439&amp;"','"&amp;U439&amp;"'))"</f>
        <v>a = Client().post('/recipes/matar-ki-dal/detail/', {'recipe' : '45', 'ingredient' : '195', 'name' : 'Tomato', 'mass_unit' : '2', 'mass_quantity' : '4', 'volume_unit' : '1', 'volume_quantity' : '0', 'pieces_unit' : '3', 'pieces_quantity' : '0', 'cooking_notes' : ''}).status_code; print('%s :: %s :: %s :: %s :: %s' %(a,439,'Tomato','tomato','Matar Ki Dal'))</v>
      </c>
    </row>
    <row r="440" customFormat="false" ht="15" hidden="false" customHeight="true" outlineLevel="0" collapsed="false">
      <c r="G440" s="80" t="n">
        <v>440</v>
      </c>
      <c r="I440" s="158" t="s">
        <v>244</v>
      </c>
      <c r="J440" s="144" t="s">
        <v>648</v>
      </c>
      <c r="M440" s="145" t="n">
        <v>0.16</v>
      </c>
      <c r="N440" s="145" t="s">
        <v>20</v>
      </c>
      <c r="R440" s="82" t="str">
        <f aca="false">VLOOKUP(J440,ingredient!$N$4:$O$553,2,0)</f>
        <v>madrasi mirchi powder</v>
      </c>
      <c r="U440" s="81" t="str">
        <f aca="false">I440</f>
        <v>Matar Ki Dal</v>
      </c>
      <c r="V440" s="81" t="n">
        <f aca="false">VLOOKUP(U440,recipe_ingred_list!$A$2:$B$300,2,0)</f>
        <v>45</v>
      </c>
      <c r="W440" s="81" t="str">
        <f aca="false">"/recipes/"&amp;VLOOKUP(U440,recipe_ingred_list!$A$2:$C$300,3,0)&amp;"/detail/"</f>
        <v>/recipes/matar-ki-dal/detail/</v>
      </c>
      <c r="X440" s="81" t="str">
        <f aca="false">J440</f>
        <v>Red chilli pwd</v>
      </c>
      <c r="Y440" s="81" t="str">
        <f aca="false">R440</f>
        <v>madrasi mirchi powder</v>
      </c>
      <c r="Z440" s="94" t="n">
        <f aca="false">VLOOKUP(Y440,recipe_ingred_list!$D$2:$E$500,2,0)</f>
        <v>135</v>
      </c>
      <c r="AA440" s="61" t="n">
        <f aca="false">K440</f>
        <v>0</v>
      </c>
      <c r="AB440" s="61" t="n">
        <f aca="false">L440</f>
        <v>0</v>
      </c>
      <c r="AC440" s="61" t="n">
        <f aca="false">VLOOKUP(AB440,recipe_ingred_list!$K$2:$M$7,3,0)</f>
        <v>2</v>
      </c>
      <c r="AD440" s="61" t="n">
        <f aca="false">M440</f>
        <v>0.16</v>
      </c>
      <c r="AE440" s="61" t="str">
        <f aca="false">N440</f>
        <v>cup</v>
      </c>
      <c r="AF440" s="61" t="n">
        <f aca="false">VLOOKUP(AE440,recipe_ingred_list!$K$16:$M$25,3,0)</f>
        <v>5</v>
      </c>
      <c r="AG440" s="61" t="n">
        <f aca="false">O440</f>
        <v>0</v>
      </c>
      <c r="AH440" s="61" t="n">
        <f aca="false">P440</f>
        <v>0</v>
      </c>
      <c r="AI440" s="61" t="n">
        <f aca="false">VLOOKUP(AH440,recipe_ingred_list!$K$29:$M$34,3,0)</f>
        <v>3</v>
      </c>
      <c r="AJ440" s="61" t="str">
        <f aca="false">IF(Q440="","",Q440)</f>
        <v/>
      </c>
      <c r="AK440" s="61" t="n">
        <f aca="false">AK439+1</f>
        <v>440</v>
      </c>
      <c r="AL440" s="61" t="str">
        <f aca="false">Y440</f>
        <v>madrasi mirchi powder</v>
      </c>
      <c r="AM440" s="81" t="str">
        <f aca="false">"a = Client().post('"&amp;W440&amp;"', {'recipe' : '"&amp;V440&amp;"', 'ingredient' : '"&amp;Z440&amp;"', 'name' : '"&amp;X440&amp;"', 'mass_unit' : '"&amp;AC440&amp;"', 'mass_quantity' : '"&amp;ROUND(AA440,3)&amp;"', 'volume_unit' : '"&amp;AF440&amp;"', 'volume_quantity' : '"&amp;ROUND(AD440,3)&amp;"', 'pieces_unit' : '"&amp;AI440&amp;"', 'pieces_quantity' : '"&amp;ROUND(AG440,3)&amp;"', 'cooking_notes' : '"&amp;AJ440&amp;"'}).status_code; print('%s :: %s :: %s :: %s :: %s' %(a,"&amp;G440&amp;",'"&amp;X440&amp;"','"&amp;Y440&amp;"','"&amp;U440&amp;"'))"</f>
        <v>a = Client().post('/recipes/matar-ki-dal/detail/', {'recipe' : '45', 'ingredient' : '135', 'name' : 'Red chilli pwd', 'mass_unit' : '2', 'mass_quantity' : '0', 'volume_unit' : '5', 'volume_quantity' : '0.16', 'pieces_unit' : '3', 'pieces_quantity' : '0', 'cooking_notes' : ''}).status_code; print('%s :: %s :: %s :: %s :: %s' %(a,440,'Red chilli pwd','madrasi mirchi powder','Matar Ki Dal'))</v>
      </c>
    </row>
    <row r="441" customFormat="false" ht="15" hidden="false" customHeight="true" outlineLevel="0" collapsed="false">
      <c r="G441" s="80" t="n">
        <v>441</v>
      </c>
      <c r="I441" s="158" t="s">
        <v>244</v>
      </c>
      <c r="J441" s="144" t="s">
        <v>564</v>
      </c>
      <c r="M441" s="145" t="n">
        <v>0.56</v>
      </c>
      <c r="N441" s="145" t="s">
        <v>20</v>
      </c>
      <c r="R441" s="82" t="str">
        <f aca="false">VLOOKUP(J441,ingredient!$N$4:$O$553,2,0)</f>
        <v>haldi</v>
      </c>
      <c r="U441" s="81" t="str">
        <f aca="false">I441</f>
        <v>Matar Ki Dal</v>
      </c>
      <c r="V441" s="81" t="n">
        <f aca="false">VLOOKUP(U441,recipe_ingred_list!$A$2:$B$300,2,0)</f>
        <v>45</v>
      </c>
      <c r="W441" s="81" t="str">
        <f aca="false">"/recipes/"&amp;VLOOKUP(U441,recipe_ingred_list!$A$2:$C$300,3,0)&amp;"/detail/"</f>
        <v>/recipes/matar-ki-dal/detail/</v>
      </c>
      <c r="X441" s="81" t="str">
        <f aca="false">J441</f>
        <v>Haldi</v>
      </c>
      <c r="Y441" s="81" t="str">
        <f aca="false">R441</f>
        <v>haldi</v>
      </c>
      <c r="Z441" s="94" t="n">
        <f aca="false">VLOOKUP(Y441,recipe_ingred_list!$D$2:$E$500,2,0)</f>
        <v>91</v>
      </c>
      <c r="AA441" s="61" t="n">
        <f aca="false">K441</f>
        <v>0</v>
      </c>
      <c r="AB441" s="61" t="n">
        <f aca="false">L441</f>
        <v>0</v>
      </c>
      <c r="AC441" s="61" t="n">
        <f aca="false">VLOOKUP(AB441,recipe_ingred_list!$K$2:$M$7,3,0)</f>
        <v>2</v>
      </c>
      <c r="AD441" s="61" t="n">
        <f aca="false">M441</f>
        <v>0.56</v>
      </c>
      <c r="AE441" s="61" t="str">
        <f aca="false">N441</f>
        <v>cup</v>
      </c>
      <c r="AF441" s="61" t="n">
        <f aca="false">VLOOKUP(AE441,recipe_ingred_list!$K$16:$M$25,3,0)</f>
        <v>5</v>
      </c>
      <c r="AG441" s="61" t="n">
        <f aca="false">O441</f>
        <v>0</v>
      </c>
      <c r="AH441" s="61" t="n">
        <f aca="false">P441</f>
        <v>0</v>
      </c>
      <c r="AI441" s="61" t="n">
        <f aca="false">VLOOKUP(AH441,recipe_ingred_list!$K$29:$M$34,3,0)</f>
        <v>3</v>
      </c>
      <c r="AJ441" s="61" t="str">
        <f aca="false">IF(Q441="","",Q441)</f>
        <v/>
      </c>
      <c r="AK441" s="61" t="n">
        <f aca="false">AK440+1</f>
        <v>441</v>
      </c>
      <c r="AL441" s="61" t="str">
        <f aca="false">Y441</f>
        <v>haldi</v>
      </c>
      <c r="AM441" s="81" t="str">
        <f aca="false">"a = Client().post('"&amp;W441&amp;"', {'recipe' : '"&amp;V441&amp;"', 'ingredient' : '"&amp;Z441&amp;"', 'name' : '"&amp;X441&amp;"', 'mass_unit' : '"&amp;AC441&amp;"', 'mass_quantity' : '"&amp;ROUND(AA441,3)&amp;"', 'volume_unit' : '"&amp;AF441&amp;"', 'volume_quantity' : '"&amp;ROUND(AD441,3)&amp;"', 'pieces_unit' : '"&amp;AI441&amp;"', 'pieces_quantity' : '"&amp;ROUND(AG441,3)&amp;"', 'cooking_notes' : '"&amp;AJ441&amp;"'}).status_code; print('%s :: %s :: %s :: %s :: %s' %(a,"&amp;G441&amp;",'"&amp;X441&amp;"','"&amp;Y441&amp;"','"&amp;U441&amp;"'))"</f>
        <v>a = Client().post('/recipes/matar-ki-dal/detail/', {'recipe' : '45', 'ingredient' : '91', 'name' : 'Haldi', 'mass_unit' : '2', 'mass_quantity' : '0', 'volume_unit' : '5', 'volume_quantity' : '0.56', 'pieces_unit' : '3', 'pieces_quantity' : '0', 'cooking_notes' : ''}).status_code; print('%s :: %s :: %s :: %s :: %s' %(a,441,'Haldi','haldi','Matar Ki Dal'))</v>
      </c>
    </row>
    <row r="442" customFormat="false" ht="15" hidden="false" customHeight="true" outlineLevel="0" collapsed="false">
      <c r="G442" s="80" t="n">
        <v>442</v>
      </c>
      <c r="I442" s="158" t="s">
        <v>244</v>
      </c>
      <c r="J442" s="144" t="s">
        <v>71</v>
      </c>
      <c r="M442" s="145" t="n">
        <v>0.8</v>
      </c>
      <c r="N442" s="145" t="s">
        <v>20</v>
      </c>
      <c r="R442" s="82" t="str">
        <f aca="false">VLOOKUP(J442,ingredient!$N$4:$O$553,2,0)</f>
        <v>salt</v>
      </c>
      <c r="U442" s="81" t="str">
        <f aca="false">I442</f>
        <v>Matar Ki Dal</v>
      </c>
      <c r="V442" s="81" t="n">
        <f aca="false">VLOOKUP(U442,recipe_ingred_list!$A$2:$B$300,2,0)</f>
        <v>45</v>
      </c>
      <c r="W442" s="81" t="str">
        <f aca="false">"/recipes/"&amp;VLOOKUP(U442,recipe_ingred_list!$A$2:$C$300,3,0)&amp;"/detail/"</f>
        <v>/recipes/matar-ki-dal/detail/</v>
      </c>
      <c r="X442" s="81" t="str">
        <f aca="false">J442</f>
        <v>Salt </v>
      </c>
      <c r="Y442" s="81" t="str">
        <f aca="false">R442</f>
        <v>salt</v>
      </c>
      <c r="Z442" s="94" t="n">
        <f aca="false">VLOOKUP(Y442,recipe_ingred_list!$D$2:$E$500,2,0)</f>
        <v>177</v>
      </c>
      <c r="AA442" s="61" t="n">
        <f aca="false">K442</f>
        <v>0</v>
      </c>
      <c r="AB442" s="61" t="n">
        <f aca="false">L442</f>
        <v>0</v>
      </c>
      <c r="AC442" s="61" t="n">
        <f aca="false">VLOOKUP(AB442,recipe_ingred_list!$K$2:$M$7,3,0)</f>
        <v>2</v>
      </c>
      <c r="AD442" s="61" t="n">
        <f aca="false">M442</f>
        <v>0.8</v>
      </c>
      <c r="AE442" s="61" t="str">
        <f aca="false">N442</f>
        <v>cup</v>
      </c>
      <c r="AF442" s="61" t="n">
        <f aca="false">VLOOKUP(AE442,recipe_ingred_list!$K$16:$M$25,3,0)</f>
        <v>5</v>
      </c>
      <c r="AG442" s="61" t="n">
        <f aca="false">O442</f>
        <v>0</v>
      </c>
      <c r="AH442" s="61" t="n">
        <f aca="false">P442</f>
        <v>0</v>
      </c>
      <c r="AI442" s="61" t="n">
        <f aca="false">VLOOKUP(AH442,recipe_ingred_list!$K$29:$M$34,3,0)</f>
        <v>3</v>
      </c>
      <c r="AJ442" s="61" t="str">
        <f aca="false">IF(Q442="","",Q442)</f>
        <v/>
      </c>
      <c r="AK442" s="61" t="n">
        <f aca="false">AK441+1</f>
        <v>442</v>
      </c>
      <c r="AL442" s="61" t="str">
        <f aca="false">Y442</f>
        <v>salt</v>
      </c>
      <c r="AM442" s="81" t="str">
        <f aca="false">"a = Client().post('"&amp;W442&amp;"', {'recipe' : '"&amp;V442&amp;"', 'ingredient' : '"&amp;Z442&amp;"', 'name' : '"&amp;X442&amp;"', 'mass_unit' : '"&amp;AC442&amp;"', 'mass_quantity' : '"&amp;ROUND(AA442,3)&amp;"', 'volume_unit' : '"&amp;AF442&amp;"', 'volume_quantity' : '"&amp;ROUND(AD442,3)&amp;"', 'pieces_unit' : '"&amp;AI442&amp;"', 'pieces_quantity' : '"&amp;ROUND(AG442,3)&amp;"', 'cooking_notes' : '"&amp;AJ442&amp;"'}).status_code; print('%s :: %s :: %s :: %s :: %s' %(a,"&amp;G442&amp;",'"&amp;X442&amp;"','"&amp;Y442&amp;"','"&amp;U442&amp;"'))"</f>
        <v>a = Client().post('/recipes/matar-ki-dal/detail/', {'recipe' : '45', 'ingredient' : '177', 'name' : 'Salt ', 'mass_unit' : '2', 'mass_quantity' : '0', 'volume_unit' : '5', 'volume_quantity' : '0.8', 'pieces_unit' : '3', 'pieces_quantity' : '0', 'cooking_notes' : ''}).status_code; print('%s :: %s :: %s :: %s :: %s' %(a,442,'Salt ','salt','Matar Ki Dal'))</v>
      </c>
    </row>
    <row r="443" customFormat="false" ht="15" hidden="false" customHeight="true" outlineLevel="0" collapsed="false">
      <c r="G443" s="80" t="n">
        <v>443</v>
      </c>
      <c r="I443" s="158" t="s">
        <v>244</v>
      </c>
      <c r="J443" s="154" t="s">
        <v>649</v>
      </c>
      <c r="K443" s="61" t="n">
        <v>0</v>
      </c>
      <c r="L443" s="61" t="s">
        <v>7</v>
      </c>
      <c r="M443" s="145"/>
      <c r="N443" s="145"/>
      <c r="R443" s="82" t="str">
        <f aca="false">VLOOKUP(J443,ingredient!$N$4:$O$553,2,0)</f>
        <v>tadka</v>
      </c>
      <c r="U443" s="81" t="str">
        <f aca="false">I443</f>
        <v>Matar Ki Dal</v>
      </c>
      <c r="V443" s="81" t="n">
        <f aca="false">VLOOKUP(U443,recipe_ingred_list!$A$2:$B$300,2,0)</f>
        <v>45</v>
      </c>
      <c r="W443" s="81" t="str">
        <f aca="false">"/recipes/"&amp;VLOOKUP(U443,recipe_ingred_list!$A$2:$C$300,3,0)&amp;"/detail/"</f>
        <v>/recipes/matar-ki-dal/detail/</v>
      </c>
      <c r="X443" s="81" t="str">
        <f aca="false">J443</f>
        <v>Tadka</v>
      </c>
      <c r="Y443" s="81" t="str">
        <f aca="false">R443</f>
        <v>tadka</v>
      </c>
      <c r="Z443" s="94" t="n">
        <f aca="false">VLOOKUP(Y443,recipe_ingred_list!$D$2:$E$500,2,0)</f>
        <v>212</v>
      </c>
      <c r="AA443" s="61" t="n">
        <f aca="false">K443</f>
        <v>0</v>
      </c>
      <c r="AB443" s="61" t="str">
        <f aca="false">L443</f>
        <v>kg</v>
      </c>
      <c r="AC443" s="61" t="n">
        <f aca="false">VLOOKUP(AB443,recipe_ingred_list!$K$2:$M$7,3,0)</f>
        <v>2</v>
      </c>
      <c r="AD443" s="61" t="n">
        <f aca="false">M443</f>
        <v>0</v>
      </c>
      <c r="AE443" s="61" t="n">
        <f aca="false">N443</f>
        <v>0</v>
      </c>
      <c r="AF443" s="61" t="n">
        <f aca="false">VLOOKUP(AE443,recipe_ingred_list!$K$16:$M$25,3,0)</f>
        <v>1</v>
      </c>
      <c r="AG443" s="61" t="n">
        <f aca="false">O443</f>
        <v>0</v>
      </c>
      <c r="AH443" s="61" t="n">
        <f aca="false">P443</f>
        <v>0</v>
      </c>
      <c r="AI443" s="61" t="n">
        <f aca="false">VLOOKUP(AH443,recipe_ingred_list!$K$29:$M$34,3,0)</f>
        <v>3</v>
      </c>
      <c r="AJ443" s="61" t="str">
        <f aca="false">IF(Q443="","",Q443)</f>
        <v/>
      </c>
      <c r="AK443" s="61" t="n">
        <f aca="false">AK442+1</f>
        <v>443</v>
      </c>
      <c r="AL443" s="61" t="str">
        <f aca="false">Y443</f>
        <v>tadka</v>
      </c>
      <c r="AM443" s="81" t="str">
        <f aca="false">"a = Client().post('"&amp;W443&amp;"', {'recipe' : '"&amp;V443&amp;"', 'ingredient' : '"&amp;Z443&amp;"', 'name' : '"&amp;X443&amp;"', 'mass_unit' : '"&amp;AC443&amp;"', 'mass_quantity' : '"&amp;ROUND(AA443,3)&amp;"', 'volume_unit' : '"&amp;AF443&amp;"', 'volume_quantity' : '"&amp;ROUND(AD443,3)&amp;"', 'pieces_unit' : '"&amp;AI443&amp;"', 'pieces_quantity' : '"&amp;ROUND(AG443,3)&amp;"', 'cooking_notes' : '"&amp;AJ443&amp;"'}).status_code; print('%s :: %s :: %s :: %s :: %s' %(a,"&amp;G443&amp;",'"&amp;X443&amp;"','"&amp;Y443&amp;"','"&amp;U443&amp;"'))"</f>
        <v>a = Client().post('/recipes/matar-ki-dal/detail/', {'recipe' : '45', 'ingredient' : '212', 'name' : 'Tadka', 'mass_unit' : '2', 'mass_quantity' : '0', 'volume_unit' : '1', 'volume_quantity' : '0', 'pieces_unit' : '3', 'pieces_quantity' : '0', 'cooking_notes' : ''}).status_code; print('%s :: %s :: %s :: %s :: %s' %(a,443,'Tadka','tadka','Matar Ki Dal'))</v>
      </c>
    </row>
    <row r="444" customFormat="false" ht="15" hidden="false" customHeight="true" outlineLevel="0" collapsed="false">
      <c r="G444" s="80" t="n">
        <v>444</v>
      </c>
      <c r="I444" s="158" t="s">
        <v>244</v>
      </c>
      <c r="J444" s="144" t="s">
        <v>645</v>
      </c>
      <c r="M444" s="145" t="n">
        <v>0.5</v>
      </c>
      <c r="N444" s="145" t="s">
        <v>13</v>
      </c>
      <c r="R444" s="82" t="str">
        <f aca="false">VLOOKUP(J444,ingredient!$N$4:$O$553,2,0)</f>
        <v>ghee</v>
      </c>
      <c r="U444" s="81" t="str">
        <f aca="false">I444</f>
        <v>Matar Ki Dal</v>
      </c>
      <c r="V444" s="81" t="n">
        <f aca="false">VLOOKUP(U444,recipe_ingred_list!$A$2:$B$300,2,0)</f>
        <v>45</v>
      </c>
      <c r="W444" s="81" t="str">
        <f aca="false">"/recipes/"&amp;VLOOKUP(U444,recipe_ingred_list!$A$2:$C$300,3,0)&amp;"/detail/"</f>
        <v>/recipes/matar-ki-dal/detail/</v>
      </c>
      <c r="X444" s="81" t="str">
        <f aca="false">J444</f>
        <v>Ghee </v>
      </c>
      <c r="Y444" s="81" t="str">
        <f aca="false">R444</f>
        <v>ghee</v>
      </c>
      <c r="Z444" s="94" t="n">
        <f aca="false">VLOOKUP(Y444,recipe_ingred_list!$D$2:$E$500,2,0)</f>
        <v>81</v>
      </c>
      <c r="AA444" s="61" t="n">
        <f aca="false">K444</f>
        <v>0</v>
      </c>
      <c r="AB444" s="61" t="n">
        <f aca="false">L444</f>
        <v>0</v>
      </c>
      <c r="AC444" s="61" t="n">
        <f aca="false">VLOOKUP(AB444,recipe_ingred_list!$K$2:$M$7,3,0)</f>
        <v>2</v>
      </c>
      <c r="AD444" s="61" t="n">
        <f aca="false">M444</f>
        <v>0.5</v>
      </c>
      <c r="AE444" s="61" t="str">
        <f aca="false">N444</f>
        <v>ltr</v>
      </c>
      <c r="AF444" s="61" t="n">
        <f aca="false">VLOOKUP(AE444,recipe_ingred_list!$K$16:$M$25,3,0)</f>
        <v>1</v>
      </c>
      <c r="AG444" s="61" t="n">
        <f aca="false">O444</f>
        <v>0</v>
      </c>
      <c r="AH444" s="61" t="n">
        <f aca="false">P444</f>
        <v>0</v>
      </c>
      <c r="AI444" s="61" t="n">
        <f aca="false">VLOOKUP(AH444,recipe_ingred_list!$K$29:$M$34,3,0)</f>
        <v>3</v>
      </c>
      <c r="AJ444" s="61" t="str">
        <f aca="false">IF(Q444="","",Q444)</f>
        <v/>
      </c>
      <c r="AK444" s="61" t="n">
        <f aca="false">AK443+1</f>
        <v>444</v>
      </c>
      <c r="AL444" s="61" t="str">
        <f aca="false">Y444</f>
        <v>ghee</v>
      </c>
      <c r="AM444" s="81" t="str">
        <f aca="false">"a = Client().post('"&amp;W444&amp;"', {'recipe' : '"&amp;V444&amp;"', 'ingredient' : '"&amp;Z444&amp;"', 'name' : '"&amp;X444&amp;"', 'mass_unit' : '"&amp;AC444&amp;"', 'mass_quantity' : '"&amp;ROUND(AA444,3)&amp;"', 'volume_unit' : '"&amp;AF444&amp;"', 'volume_quantity' : '"&amp;ROUND(AD444,3)&amp;"', 'pieces_unit' : '"&amp;AI444&amp;"', 'pieces_quantity' : '"&amp;ROUND(AG444,3)&amp;"', 'cooking_notes' : '"&amp;AJ444&amp;"'}).status_code; print('%s :: %s :: %s :: %s :: %s' %(a,"&amp;G444&amp;",'"&amp;X444&amp;"','"&amp;Y444&amp;"','"&amp;U444&amp;"'))"</f>
        <v>a = Client().post('/recipes/matar-ki-dal/detail/', {'recipe' : '45', 'ingredient' : '81', 'name' : 'Ghee ', 'mass_unit' : '2', 'mass_quantity' : '0', 'volume_unit' : '1', 'volume_quantity' : '0.5', 'pieces_unit' : '3', 'pieces_quantity' : '0', 'cooking_notes' : ''}).status_code; print('%s :: %s :: %s :: %s :: %s' %(a,444,'Ghee ','ghee','Matar Ki Dal'))</v>
      </c>
    </row>
    <row r="445" customFormat="false" ht="15" hidden="false" customHeight="true" outlineLevel="0" collapsed="false">
      <c r="G445" s="80" t="n">
        <v>445</v>
      </c>
      <c r="I445" s="158" t="s">
        <v>244</v>
      </c>
      <c r="J445" s="144" t="s">
        <v>570</v>
      </c>
      <c r="M445" s="145" t="n">
        <v>0.8</v>
      </c>
      <c r="N445" s="145" t="s">
        <v>20</v>
      </c>
      <c r="R445" s="82" t="str">
        <f aca="false">VLOOKUP(J445,ingredient!$N$4:$O$553,2,0)</f>
        <v>rai</v>
      </c>
      <c r="U445" s="81" t="str">
        <f aca="false">I445</f>
        <v>Matar Ki Dal</v>
      </c>
      <c r="V445" s="81" t="n">
        <f aca="false">VLOOKUP(U445,recipe_ingred_list!$A$2:$B$300,2,0)</f>
        <v>45</v>
      </c>
      <c r="W445" s="81" t="str">
        <f aca="false">"/recipes/"&amp;VLOOKUP(U445,recipe_ingred_list!$A$2:$C$300,3,0)&amp;"/detail/"</f>
        <v>/recipes/matar-ki-dal/detail/</v>
      </c>
      <c r="X445" s="81" t="str">
        <f aca="false">J445</f>
        <v>Rai</v>
      </c>
      <c r="Y445" s="81" t="str">
        <f aca="false">R445</f>
        <v>rai</v>
      </c>
      <c r="Z445" s="94" t="n">
        <f aca="false">VLOOKUP(Y445,recipe_ingred_list!$D$2:$E$500,2,0)</f>
        <v>164</v>
      </c>
      <c r="AA445" s="61" t="n">
        <f aca="false">K445</f>
        <v>0</v>
      </c>
      <c r="AB445" s="61" t="n">
        <f aca="false">L445</f>
        <v>0</v>
      </c>
      <c r="AC445" s="61" t="n">
        <f aca="false">VLOOKUP(AB445,recipe_ingred_list!$K$2:$M$7,3,0)</f>
        <v>2</v>
      </c>
      <c r="AD445" s="61" t="n">
        <f aca="false">M445</f>
        <v>0.8</v>
      </c>
      <c r="AE445" s="61" t="str">
        <f aca="false">N445</f>
        <v>cup</v>
      </c>
      <c r="AF445" s="61" t="n">
        <f aca="false">VLOOKUP(AE445,recipe_ingred_list!$K$16:$M$25,3,0)</f>
        <v>5</v>
      </c>
      <c r="AG445" s="61" t="n">
        <f aca="false">O445</f>
        <v>0</v>
      </c>
      <c r="AH445" s="61" t="n">
        <f aca="false">P445</f>
        <v>0</v>
      </c>
      <c r="AI445" s="61" t="n">
        <f aca="false">VLOOKUP(AH445,recipe_ingred_list!$K$29:$M$34,3,0)</f>
        <v>3</v>
      </c>
      <c r="AJ445" s="61" t="str">
        <f aca="false">IF(Q445="","",Q445)</f>
        <v/>
      </c>
      <c r="AK445" s="61" t="n">
        <f aca="false">AK444+1</f>
        <v>445</v>
      </c>
      <c r="AL445" s="61" t="str">
        <f aca="false">Y445</f>
        <v>rai</v>
      </c>
      <c r="AM445" s="81" t="str">
        <f aca="false">"a = Client().post('"&amp;W445&amp;"', {'recipe' : '"&amp;V445&amp;"', 'ingredient' : '"&amp;Z445&amp;"', 'name' : '"&amp;X445&amp;"', 'mass_unit' : '"&amp;AC445&amp;"', 'mass_quantity' : '"&amp;ROUND(AA445,3)&amp;"', 'volume_unit' : '"&amp;AF445&amp;"', 'volume_quantity' : '"&amp;ROUND(AD445,3)&amp;"', 'pieces_unit' : '"&amp;AI445&amp;"', 'pieces_quantity' : '"&amp;ROUND(AG445,3)&amp;"', 'cooking_notes' : '"&amp;AJ445&amp;"'}).status_code; print('%s :: %s :: %s :: %s :: %s' %(a,"&amp;G445&amp;",'"&amp;X445&amp;"','"&amp;Y445&amp;"','"&amp;U445&amp;"'))"</f>
        <v>a = Client().post('/recipes/matar-ki-dal/detail/', {'recipe' : '45', 'ingredient' : '164', 'name' : 'Rai', 'mass_unit' : '2', 'mass_quantity' : '0', 'volume_unit' : '5', 'volume_quantity' : '0.8', 'pieces_unit' : '3', 'pieces_quantity' : '0', 'cooking_notes' : ''}).status_code; print('%s :: %s :: %s :: %s :: %s' %(a,445,'Rai','rai','Matar Ki Dal'))</v>
      </c>
    </row>
    <row r="446" customFormat="false" ht="15" hidden="false" customHeight="true" outlineLevel="0" collapsed="false">
      <c r="G446" s="80" t="n">
        <v>446</v>
      </c>
      <c r="I446" s="158" t="s">
        <v>244</v>
      </c>
      <c r="J446" s="144" t="s">
        <v>16</v>
      </c>
      <c r="M446" s="145" t="n">
        <v>0.8</v>
      </c>
      <c r="N446" s="145" t="s">
        <v>20</v>
      </c>
      <c r="R446" s="82" t="str">
        <f aca="false">VLOOKUP(J446,ingredient!$N$4:$O$553,2,0)</f>
        <v>madrasi mirchi powder</v>
      </c>
      <c r="U446" s="81" t="str">
        <f aca="false">I446</f>
        <v>Matar Ki Dal</v>
      </c>
      <c r="V446" s="81" t="n">
        <f aca="false">VLOOKUP(U446,recipe_ingred_list!$A$2:$B$300,2,0)</f>
        <v>45</v>
      </c>
      <c r="W446" s="81" t="str">
        <f aca="false">"/recipes/"&amp;VLOOKUP(U446,recipe_ingred_list!$A$2:$C$300,3,0)&amp;"/detail/"</f>
        <v>/recipes/matar-ki-dal/detail/</v>
      </c>
      <c r="X446" s="81" t="str">
        <f aca="false">J446</f>
        <v>Madrasi Mirchi</v>
      </c>
      <c r="Y446" s="81" t="str">
        <f aca="false">R446</f>
        <v>madrasi mirchi powder</v>
      </c>
      <c r="Z446" s="94" t="n">
        <f aca="false">VLOOKUP(Y446,recipe_ingred_list!$D$2:$E$500,2,0)</f>
        <v>135</v>
      </c>
      <c r="AA446" s="61" t="n">
        <f aca="false">K446</f>
        <v>0</v>
      </c>
      <c r="AB446" s="61" t="n">
        <f aca="false">L446</f>
        <v>0</v>
      </c>
      <c r="AC446" s="61" t="n">
        <f aca="false">VLOOKUP(AB446,recipe_ingred_list!$K$2:$M$7,3,0)</f>
        <v>2</v>
      </c>
      <c r="AD446" s="61" t="n">
        <f aca="false">M446</f>
        <v>0.8</v>
      </c>
      <c r="AE446" s="61" t="str">
        <f aca="false">N446</f>
        <v>cup</v>
      </c>
      <c r="AF446" s="61" t="n">
        <f aca="false">VLOOKUP(AE446,recipe_ingred_list!$K$16:$M$25,3,0)</f>
        <v>5</v>
      </c>
      <c r="AG446" s="61" t="n">
        <f aca="false">O446</f>
        <v>0</v>
      </c>
      <c r="AH446" s="61" t="n">
        <f aca="false">P446</f>
        <v>0</v>
      </c>
      <c r="AI446" s="61" t="n">
        <f aca="false">VLOOKUP(AH446,recipe_ingred_list!$K$29:$M$34,3,0)</f>
        <v>3</v>
      </c>
      <c r="AJ446" s="61" t="str">
        <f aca="false">IF(Q446="","",Q446)</f>
        <v/>
      </c>
      <c r="AK446" s="61" t="n">
        <f aca="false">AK445+1</f>
        <v>446</v>
      </c>
      <c r="AL446" s="61" t="str">
        <f aca="false">Y446</f>
        <v>madrasi mirchi powder</v>
      </c>
      <c r="AM446" s="81" t="str">
        <f aca="false">"a = Client().post('"&amp;W446&amp;"', {'recipe' : '"&amp;V446&amp;"', 'ingredient' : '"&amp;Z446&amp;"', 'name' : '"&amp;X446&amp;"', 'mass_unit' : '"&amp;AC446&amp;"', 'mass_quantity' : '"&amp;ROUND(AA446,3)&amp;"', 'volume_unit' : '"&amp;AF446&amp;"', 'volume_quantity' : '"&amp;ROUND(AD446,3)&amp;"', 'pieces_unit' : '"&amp;AI446&amp;"', 'pieces_quantity' : '"&amp;ROUND(AG446,3)&amp;"', 'cooking_notes' : '"&amp;AJ446&amp;"'}).status_code; print('%s :: %s :: %s :: %s :: %s' %(a,"&amp;G446&amp;",'"&amp;X446&amp;"','"&amp;Y446&amp;"','"&amp;U446&amp;"'))"</f>
        <v>a = Client().post('/recipes/matar-ki-dal/detail/', {'recipe' : '45', 'ingredient' : '135', 'name' : 'Madrasi Mirchi', 'mass_unit' : '2', 'mass_quantity' : '0', 'volume_unit' : '5', 'volume_quantity' : '0.8', 'pieces_unit' : '3', 'pieces_quantity' : '0', 'cooking_notes' : ''}).status_code; print('%s :: %s :: %s :: %s :: %s' %(a,446,'Madrasi Mirchi','madrasi mirchi powder','Matar Ki Dal'))</v>
      </c>
    </row>
    <row r="447" customFormat="false" ht="15" hidden="false" customHeight="true" outlineLevel="0" collapsed="false">
      <c r="G447" s="80" t="n">
        <v>447</v>
      </c>
      <c r="I447" s="158" t="s">
        <v>244</v>
      </c>
      <c r="J447" s="144" t="s">
        <v>650</v>
      </c>
      <c r="M447" s="145" t="n">
        <v>0.4</v>
      </c>
      <c r="N447" s="145" t="s">
        <v>20</v>
      </c>
      <c r="R447" s="82" t="str">
        <f aca="false">VLOOKUP(J447,ingredient!$N$4:$O$553,2,0)</f>
        <v>hing</v>
      </c>
      <c r="U447" s="81" t="str">
        <f aca="false">I447</f>
        <v>Matar Ki Dal</v>
      </c>
      <c r="V447" s="81" t="n">
        <f aca="false">VLOOKUP(U447,recipe_ingred_list!$A$2:$B$300,2,0)</f>
        <v>45</v>
      </c>
      <c r="W447" s="81" t="str">
        <f aca="false">"/recipes/"&amp;VLOOKUP(U447,recipe_ingred_list!$A$2:$C$300,3,0)&amp;"/detail/"</f>
        <v>/recipes/matar-ki-dal/detail/</v>
      </c>
      <c r="X447" s="81" t="str">
        <f aca="false">J447</f>
        <v>Hing </v>
      </c>
      <c r="Y447" s="81" t="str">
        <f aca="false">R447</f>
        <v>hing</v>
      </c>
      <c r="Z447" s="94" t="n">
        <f aca="false">VLOOKUP(Y447,recipe_ingred_list!$D$2:$E$500,2,0)</f>
        <v>95</v>
      </c>
      <c r="AA447" s="61" t="n">
        <f aca="false">K447</f>
        <v>0</v>
      </c>
      <c r="AB447" s="61" t="n">
        <f aca="false">L447</f>
        <v>0</v>
      </c>
      <c r="AC447" s="61" t="n">
        <f aca="false">VLOOKUP(AB447,recipe_ingred_list!$K$2:$M$7,3,0)</f>
        <v>2</v>
      </c>
      <c r="AD447" s="61" t="n">
        <f aca="false">M447</f>
        <v>0.4</v>
      </c>
      <c r="AE447" s="61" t="str">
        <f aca="false">N447</f>
        <v>cup</v>
      </c>
      <c r="AF447" s="61" t="n">
        <f aca="false">VLOOKUP(AE447,recipe_ingred_list!$K$16:$M$25,3,0)</f>
        <v>5</v>
      </c>
      <c r="AG447" s="61" t="n">
        <f aca="false">O447</f>
        <v>0</v>
      </c>
      <c r="AH447" s="61" t="n">
        <f aca="false">P447</f>
        <v>0</v>
      </c>
      <c r="AI447" s="61" t="n">
        <f aca="false">VLOOKUP(AH447,recipe_ingred_list!$K$29:$M$34,3,0)</f>
        <v>3</v>
      </c>
      <c r="AJ447" s="61" t="str">
        <f aca="false">IF(Q447="","",Q447)</f>
        <v/>
      </c>
      <c r="AK447" s="61" t="n">
        <f aca="false">AK446+1</f>
        <v>447</v>
      </c>
      <c r="AL447" s="61" t="str">
        <f aca="false">Y447</f>
        <v>hing</v>
      </c>
      <c r="AM447" s="81" t="str">
        <f aca="false">"a = Client().post('"&amp;W447&amp;"', {'recipe' : '"&amp;V447&amp;"', 'ingredient' : '"&amp;Z447&amp;"', 'name' : '"&amp;X447&amp;"', 'mass_unit' : '"&amp;AC447&amp;"', 'mass_quantity' : '"&amp;ROUND(AA447,3)&amp;"', 'volume_unit' : '"&amp;AF447&amp;"', 'volume_quantity' : '"&amp;ROUND(AD447,3)&amp;"', 'pieces_unit' : '"&amp;AI447&amp;"', 'pieces_quantity' : '"&amp;ROUND(AG447,3)&amp;"', 'cooking_notes' : '"&amp;AJ447&amp;"'}).status_code; print('%s :: %s :: %s :: %s :: %s' %(a,"&amp;G447&amp;",'"&amp;X447&amp;"','"&amp;Y447&amp;"','"&amp;U447&amp;"'))"</f>
        <v>a = Client().post('/recipes/matar-ki-dal/detail/', {'recipe' : '45', 'ingredient' : '95', 'name' : 'Hing ', 'mass_unit' : '2', 'mass_quantity' : '0', 'volume_unit' : '5', 'volume_quantity' : '0.4', 'pieces_unit' : '3', 'pieces_quantity' : '0', 'cooking_notes' : ''}).status_code; print('%s :: %s :: %s :: %s :: %s' %(a,447,'Hing ','hing','Matar Ki Dal'))</v>
      </c>
    </row>
    <row r="448" customFormat="false" ht="15" hidden="false" customHeight="true" outlineLevel="0" collapsed="false">
      <c r="G448" s="80" t="n">
        <v>448</v>
      </c>
      <c r="I448" s="158" t="s">
        <v>244</v>
      </c>
      <c r="J448" s="144" t="s">
        <v>651</v>
      </c>
      <c r="M448" s="145" t="n">
        <v>0.8</v>
      </c>
      <c r="N448" s="145" t="s">
        <v>13</v>
      </c>
      <c r="R448" s="82" t="str">
        <f aca="false">VLOOKUP(J448,ingredient!$N$4:$O$553,2,0)</f>
        <v>kadi patta</v>
      </c>
      <c r="U448" s="81" t="str">
        <f aca="false">I448</f>
        <v>Matar Ki Dal</v>
      </c>
      <c r="V448" s="81" t="n">
        <f aca="false">VLOOKUP(U448,recipe_ingred_list!$A$2:$B$300,2,0)</f>
        <v>45</v>
      </c>
      <c r="W448" s="81" t="str">
        <f aca="false">"/recipes/"&amp;VLOOKUP(U448,recipe_ingred_list!$A$2:$C$300,3,0)&amp;"/detail/"</f>
        <v>/recipes/matar-ki-dal/detail/</v>
      </c>
      <c r="X448" s="81" t="str">
        <f aca="false">J448</f>
        <v>Kadi patta</v>
      </c>
      <c r="Y448" s="81" t="str">
        <f aca="false">R448</f>
        <v>kadi patta</v>
      </c>
      <c r="Z448" s="94" t="n">
        <f aca="false">VLOOKUP(Y448,recipe_ingred_list!$D$2:$E$500,2,0)</f>
        <v>105</v>
      </c>
      <c r="AA448" s="61" t="n">
        <f aca="false">K448</f>
        <v>0</v>
      </c>
      <c r="AB448" s="61" t="n">
        <f aca="false">L448</f>
        <v>0</v>
      </c>
      <c r="AC448" s="61" t="n">
        <f aca="false">VLOOKUP(AB448,recipe_ingred_list!$K$2:$M$7,3,0)</f>
        <v>2</v>
      </c>
      <c r="AD448" s="61" t="n">
        <f aca="false">M448</f>
        <v>0.8</v>
      </c>
      <c r="AE448" s="61" t="str">
        <f aca="false">N448</f>
        <v>ltr</v>
      </c>
      <c r="AF448" s="61" t="n">
        <f aca="false">VLOOKUP(AE448,recipe_ingred_list!$K$16:$M$25,3,0)</f>
        <v>1</v>
      </c>
      <c r="AG448" s="61" t="n">
        <f aca="false">O448</f>
        <v>0</v>
      </c>
      <c r="AH448" s="61" t="n">
        <f aca="false">P448</f>
        <v>0</v>
      </c>
      <c r="AI448" s="61" t="n">
        <f aca="false">VLOOKUP(AH448,recipe_ingred_list!$K$29:$M$34,3,0)</f>
        <v>3</v>
      </c>
      <c r="AJ448" s="61" t="str">
        <f aca="false">IF(Q448="","",Q448)</f>
        <v/>
      </c>
      <c r="AK448" s="61" t="n">
        <f aca="false">AK447+1</f>
        <v>448</v>
      </c>
      <c r="AL448" s="61" t="str">
        <f aca="false">Y448</f>
        <v>kadi patta</v>
      </c>
      <c r="AM448" s="81" t="str">
        <f aca="false">"a = Client().post('"&amp;W448&amp;"', {'recipe' : '"&amp;V448&amp;"', 'ingredient' : '"&amp;Z448&amp;"', 'name' : '"&amp;X448&amp;"', 'mass_unit' : '"&amp;AC448&amp;"', 'mass_quantity' : '"&amp;ROUND(AA448,3)&amp;"', 'volume_unit' : '"&amp;AF448&amp;"', 'volume_quantity' : '"&amp;ROUND(AD448,3)&amp;"', 'pieces_unit' : '"&amp;AI448&amp;"', 'pieces_quantity' : '"&amp;ROUND(AG448,3)&amp;"', 'cooking_notes' : '"&amp;AJ448&amp;"'}).status_code; print('%s :: %s :: %s :: %s :: %s' %(a,"&amp;G448&amp;",'"&amp;X448&amp;"','"&amp;Y448&amp;"','"&amp;U448&amp;"'))"</f>
        <v>a = Client().post('/recipes/matar-ki-dal/detail/', {'recipe' : '45', 'ingredient' : '105', 'name' : 'Kadi patta', 'mass_unit' : '2', 'mass_quantity' : '0', 'volume_unit' : '1', 'volume_quantity' : '0.8', 'pieces_unit' : '3', 'pieces_quantity' : '0', 'cooking_notes' : ''}).status_code; print('%s :: %s :: %s :: %s :: %s' %(a,448,'Kadi patta','kadi patta','Matar Ki Dal'))</v>
      </c>
    </row>
    <row r="449" customFormat="false" ht="15" hidden="false" customHeight="true" outlineLevel="0" collapsed="false">
      <c r="G449" s="80" t="n">
        <v>449</v>
      </c>
      <c r="I449" s="158" t="s">
        <v>244</v>
      </c>
      <c r="J449" s="144" t="s">
        <v>652</v>
      </c>
      <c r="M449" s="145" t="n">
        <v>0.8</v>
      </c>
      <c r="N449" s="145" t="s">
        <v>13</v>
      </c>
      <c r="R449" s="82" t="str">
        <f aca="false">VLOOKUP(J449,ingredient!$N$4:$O$553,2,0)</f>
        <v>dhaniya patta</v>
      </c>
      <c r="U449" s="81" t="str">
        <f aca="false">I449</f>
        <v>Matar Ki Dal</v>
      </c>
      <c r="V449" s="81" t="n">
        <f aca="false">VLOOKUP(U449,recipe_ingred_list!$A$2:$B$300,2,0)</f>
        <v>45</v>
      </c>
      <c r="W449" s="81" t="str">
        <f aca="false">"/recipes/"&amp;VLOOKUP(U449,recipe_ingred_list!$A$2:$C$300,3,0)&amp;"/detail/"</f>
        <v>/recipes/matar-ki-dal/detail/</v>
      </c>
      <c r="X449" s="81" t="str">
        <f aca="false">J449</f>
        <v>Dhania Patta </v>
      </c>
      <c r="Y449" s="81" t="str">
        <f aca="false">R449</f>
        <v>dhaniya patta</v>
      </c>
      <c r="Z449" s="94" t="n">
        <f aca="false">VLOOKUP(Y449,recipe_ingred_list!$D$2:$E$500,2,0)</f>
        <v>66</v>
      </c>
      <c r="AA449" s="61" t="n">
        <f aca="false">K449</f>
        <v>0</v>
      </c>
      <c r="AB449" s="61" t="n">
        <f aca="false">L449</f>
        <v>0</v>
      </c>
      <c r="AC449" s="61" t="n">
        <f aca="false">VLOOKUP(AB449,recipe_ingred_list!$K$2:$M$7,3,0)</f>
        <v>2</v>
      </c>
      <c r="AD449" s="61" t="n">
        <f aca="false">M449</f>
        <v>0.8</v>
      </c>
      <c r="AE449" s="61" t="str">
        <f aca="false">N449</f>
        <v>ltr</v>
      </c>
      <c r="AF449" s="61" t="n">
        <f aca="false">VLOOKUP(AE449,recipe_ingred_list!$K$16:$M$25,3,0)</f>
        <v>1</v>
      </c>
      <c r="AG449" s="61" t="n">
        <f aca="false">O449</f>
        <v>0</v>
      </c>
      <c r="AH449" s="61" t="n">
        <f aca="false">P449</f>
        <v>0</v>
      </c>
      <c r="AI449" s="61" t="n">
        <f aca="false">VLOOKUP(AH449,recipe_ingred_list!$K$29:$M$34,3,0)</f>
        <v>3</v>
      </c>
      <c r="AJ449" s="61" t="str">
        <f aca="false">IF(Q449="","",Q449)</f>
        <v/>
      </c>
      <c r="AK449" s="61" t="n">
        <f aca="false">AK448+1</f>
        <v>449</v>
      </c>
      <c r="AL449" s="61" t="str">
        <f aca="false">Y449</f>
        <v>dhaniya patta</v>
      </c>
      <c r="AM449" s="81" t="str">
        <f aca="false">"a = Client().post('"&amp;W449&amp;"', {'recipe' : '"&amp;V449&amp;"', 'ingredient' : '"&amp;Z449&amp;"', 'name' : '"&amp;X449&amp;"', 'mass_unit' : '"&amp;AC449&amp;"', 'mass_quantity' : '"&amp;ROUND(AA449,3)&amp;"', 'volume_unit' : '"&amp;AF449&amp;"', 'volume_quantity' : '"&amp;ROUND(AD449,3)&amp;"', 'pieces_unit' : '"&amp;AI449&amp;"', 'pieces_quantity' : '"&amp;ROUND(AG449,3)&amp;"', 'cooking_notes' : '"&amp;AJ449&amp;"'}).status_code; print('%s :: %s :: %s :: %s :: %s' %(a,"&amp;G449&amp;",'"&amp;X449&amp;"','"&amp;Y449&amp;"','"&amp;U449&amp;"'))"</f>
        <v>a = Client().post('/recipes/matar-ki-dal/detail/', {'recipe' : '45', 'ingredient' : '66', 'name' : 'Dhania Patta ', 'mass_unit' : '2', 'mass_quantity' : '0', 'volume_unit' : '1', 'volume_quantity' : '0.8', 'pieces_unit' : '3', 'pieces_quantity' : '0', 'cooking_notes' : ''}).status_code; print('%s :: %s :: %s :: %s :: %s' %(a,449,'Dhania Patta ','dhaniya patta','Matar Ki Dal'))</v>
      </c>
    </row>
    <row r="450" customFormat="false" ht="15" hidden="false" customHeight="true" outlineLevel="0" collapsed="false">
      <c r="G450" s="80" t="n">
        <v>450</v>
      </c>
      <c r="I450" s="158" t="s">
        <v>244</v>
      </c>
      <c r="J450" s="144" t="s">
        <v>25</v>
      </c>
      <c r="M450" s="145" t="n">
        <v>1.2</v>
      </c>
      <c r="N450" s="145" t="s">
        <v>20</v>
      </c>
      <c r="R450" s="82" t="str">
        <f aca="false">VLOOKUP(J450,ingredient!$N$4:$O$553,2,0)</f>
        <v>jeera powder</v>
      </c>
      <c r="U450" s="81" t="str">
        <f aca="false">I450</f>
        <v>Matar Ki Dal</v>
      </c>
      <c r="V450" s="81" t="n">
        <f aca="false">VLOOKUP(U450,recipe_ingred_list!$A$2:$B$300,2,0)</f>
        <v>45</v>
      </c>
      <c r="W450" s="81" t="str">
        <f aca="false">"/recipes/"&amp;VLOOKUP(U450,recipe_ingred_list!$A$2:$C$300,3,0)&amp;"/detail/"</f>
        <v>/recipes/matar-ki-dal/detail/</v>
      </c>
      <c r="X450" s="81" t="str">
        <f aca="false">J450</f>
        <v>Jeera pwd</v>
      </c>
      <c r="Y450" s="81" t="str">
        <f aca="false">R450</f>
        <v>jeera powder</v>
      </c>
      <c r="Z450" s="94" t="n">
        <f aca="false">VLOOKUP(Y450,recipe_ingred_list!$D$2:$E$500,2,0)</f>
        <v>103</v>
      </c>
      <c r="AA450" s="61" t="n">
        <f aca="false">K450</f>
        <v>0</v>
      </c>
      <c r="AB450" s="61" t="n">
        <f aca="false">L450</f>
        <v>0</v>
      </c>
      <c r="AC450" s="61" t="n">
        <f aca="false">VLOOKUP(AB450,recipe_ingred_list!$K$2:$M$7,3,0)</f>
        <v>2</v>
      </c>
      <c r="AD450" s="61" t="n">
        <f aca="false">M450</f>
        <v>1.2</v>
      </c>
      <c r="AE450" s="61" t="str">
        <f aca="false">N450</f>
        <v>cup</v>
      </c>
      <c r="AF450" s="61" t="n">
        <f aca="false">VLOOKUP(AE450,recipe_ingred_list!$K$16:$M$25,3,0)</f>
        <v>5</v>
      </c>
      <c r="AG450" s="61" t="n">
        <f aca="false">O450</f>
        <v>0</v>
      </c>
      <c r="AH450" s="61" t="n">
        <f aca="false">P450</f>
        <v>0</v>
      </c>
      <c r="AI450" s="61" t="n">
        <f aca="false">VLOOKUP(AH450,recipe_ingred_list!$K$29:$M$34,3,0)</f>
        <v>3</v>
      </c>
      <c r="AJ450" s="61" t="str">
        <f aca="false">IF(Q450="","",Q450)</f>
        <v/>
      </c>
      <c r="AK450" s="61" t="n">
        <f aca="false">AK449+1</f>
        <v>450</v>
      </c>
      <c r="AL450" s="61" t="str">
        <f aca="false">Y450</f>
        <v>jeera powder</v>
      </c>
      <c r="AM450" s="81" t="str">
        <f aca="false">"a = Client().post('"&amp;W450&amp;"', {'recipe' : '"&amp;V450&amp;"', 'ingredient' : '"&amp;Z450&amp;"', 'name' : '"&amp;X450&amp;"', 'mass_unit' : '"&amp;AC450&amp;"', 'mass_quantity' : '"&amp;ROUND(AA450,3)&amp;"', 'volume_unit' : '"&amp;AF450&amp;"', 'volume_quantity' : '"&amp;ROUND(AD450,3)&amp;"', 'pieces_unit' : '"&amp;AI450&amp;"', 'pieces_quantity' : '"&amp;ROUND(AG450,3)&amp;"', 'cooking_notes' : '"&amp;AJ450&amp;"'}).status_code; print('%s :: %s :: %s :: %s :: %s' %(a,"&amp;G450&amp;",'"&amp;X450&amp;"','"&amp;Y450&amp;"','"&amp;U450&amp;"'))"</f>
        <v>a = Client().post('/recipes/matar-ki-dal/detail/', {'recipe' : '45', 'ingredient' : '103', 'name' : 'Jeera pwd', 'mass_unit' : '2', 'mass_quantity' : '0', 'volume_unit' : '5', 'volume_quantity' : '1.2', 'pieces_unit' : '3', 'pieces_quantity' : '0', 'cooking_notes' : ''}).status_code; print('%s :: %s :: %s :: %s :: %s' %(a,450,'Jeera pwd','jeera powder','Matar Ki Dal'))</v>
      </c>
    </row>
    <row r="451" customFormat="false" ht="15" hidden="false" customHeight="true" outlineLevel="0" collapsed="false">
      <c r="G451" s="80" t="n">
        <v>451</v>
      </c>
      <c r="I451" s="158" t="s">
        <v>244</v>
      </c>
      <c r="J451" s="144" t="s">
        <v>653</v>
      </c>
      <c r="M451" s="145" t="n">
        <v>1.2</v>
      </c>
      <c r="N451" s="145" t="s">
        <v>20</v>
      </c>
      <c r="R451" s="82" t="str">
        <f aca="false">VLOOKUP(J451,ingredient!$N$4:$O$553,2,0)</f>
        <v>dhaniya powder</v>
      </c>
      <c r="U451" s="81" t="str">
        <f aca="false">I451</f>
        <v>Matar Ki Dal</v>
      </c>
      <c r="V451" s="81" t="n">
        <f aca="false">VLOOKUP(U451,recipe_ingred_list!$A$2:$B$300,2,0)</f>
        <v>45</v>
      </c>
      <c r="W451" s="81" t="str">
        <f aca="false">"/recipes/"&amp;VLOOKUP(U451,recipe_ingred_list!$A$2:$C$300,3,0)&amp;"/detail/"</f>
        <v>/recipes/matar-ki-dal/detail/</v>
      </c>
      <c r="X451" s="81" t="str">
        <f aca="false">J451</f>
        <v>Dhania pwd</v>
      </c>
      <c r="Y451" s="81" t="str">
        <f aca="false">R451</f>
        <v>dhaniya powder</v>
      </c>
      <c r="Z451" s="94" t="n">
        <f aca="false">VLOOKUP(Y451,recipe_ingred_list!$D$2:$E$500,2,0)</f>
        <v>67</v>
      </c>
      <c r="AA451" s="61" t="n">
        <f aca="false">K451</f>
        <v>0</v>
      </c>
      <c r="AB451" s="61" t="n">
        <f aca="false">L451</f>
        <v>0</v>
      </c>
      <c r="AC451" s="61" t="n">
        <f aca="false">VLOOKUP(AB451,recipe_ingred_list!$K$2:$M$7,3,0)</f>
        <v>2</v>
      </c>
      <c r="AD451" s="61" t="n">
        <f aca="false">M451</f>
        <v>1.2</v>
      </c>
      <c r="AE451" s="61" t="str">
        <f aca="false">N451</f>
        <v>cup</v>
      </c>
      <c r="AF451" s="61" t="n">
        <f aca="false">VLOOKUP(AE451,recipe_ingred_list!$K$16:$M$25,3,0)</f>
        <v>5</v>
      </c>
      <c r="AG451" s="61" t="n">
        <f aca="false">O451</f>
        <v>0</v>
      </c>
      <c r="AH451" s="61" t="n">
        <f aca="false">P451</f>
        <v>0</v>
      </c>
      <c r="AI451" s="61" t="n">
        <f aca="false">VLOOKUP(AH451,recipe_ingred_list!$K$29:$M$34,3,0)</f>
        <v>3</v>
      </c>
      <c r="AJ451" s="61" t="str">
        <f aca="false">IF(Q451="","",Q451)</f>
        <v/>
      </c>
      <c r="AK451" s="61" t="n">
        <f aca="false">AK450+1</f>
        <v>451</v>
      </c>
      <c r="AL451" s="61" t="str">
        <f aca="false">Y451</f>
        <v>dhaniya powder</v>
      </c>
      <c r="AM451" s="81" t="str">
        <f aca="false">"a = Client().post('"&amp;W451&amp;"', {'recipe' : '"&amp;V451&amp;"', 'ingredient' : '"&amp;Z451&amp;"', 'name' : '"&amp;X451&amp;"', 'mass_unit' : '"&amp;AC451&amp;"', 'mass_quantity' : '"&amp;ROUND(AA451,3)&amp;"', 'volume_unit' : '"&amp;AF451&amp;"', 'volume_quantity' : '"&amp;ROUND(AD451,3)&amp;"', 'pieces_unit' : '"&amp;AI451&amp;"', 'pieces_quantity' : '"&amp;ROUND(AG451,3)&amp;"', 'cooking_notes' : '"&amp;AJ451&amp;"'}).status_code; print('%s :: %s :: %s :: %s :: %s' %(a,"&amp;G451&amp;",'"&amp;X451&amp;"','"&amp;Y451&amp;"','"&amp;U451&amp;"'))"</f>
        <v>a = Client().post('/recipes/matar-ki-dal/detail/', {'recipe' : '45', 'ingredient' : '67', 'name' : 'Dhania pwd', 'mass_unit' : '2', 'mass_quantity' : '0', 'volume_unit' : '5', 'volume_quantity' : '1.2', 'pieces_unit' : '3', 'pieces_quantity' : '0', 'cooking_notes' : ''}).status_code; print('%s :: %s :: %s :: %s :: %s' %(a,451,'Dhania pwd','dhaniya powder','Matar Ki Dal'))</v>
      </c>
    </row>
    <row r="452" customFormat="false" ht="15" hidden="false" customHeight="true" outlineLevel="0" collapsed="false">
      <c r="G452" s="80" t="n">
        <v>452</v>
      </c>
      <c r="I452" s="158" t="s">
        <v>244</v>
      </c>
      <c r="J452" s="144" t="s">
        <v>654</v>
      </c>
      <c r="M452" s="145" t="n">
        <v>1</v>
      </c>
      <c r="N452" s="145" t="s">
        <v>20</v>
      </c>
      <c r="R452" s="82" t="str">
        <f aca="false">VLOOKUP(J452,ingredient!$N$4:$O$553,2,0)</f>
        <v>everest pulav masala</v>
      </c>
      <c r="U452" s="81" t="str">
        <f aca="false">I452</f>
        <v>Matar Ki Dal</v>
      </c>
      <c r="V452" s="81" t="n">
        <f aca="false">VLOOKUP(U452,recipe_ingred_list!$A$2:$B$300,2,0)</f>
        <v>45</v>
      </c>
      <c r="W452" s="81" t="str">
        <f aca="false">"/recipes/"&amp;VLOOKUP(U452,recipe_ingred_list!$A$2:$C$300,3,0)&amp;"/detail/"</f>
        <v>/recipes/matar-ki-dal/detail/</v>
      </c>
      <c r="X452" s="81" t="str">
        <f aca="false">J452</f>
        <v>Everest Pulav masala</v>
      </c>
      <c r="Y452" s="81" t="str">
        <f aca="false">R452</f>
        <v>everest pulav masala</v>
      </c>
      <c r="Z452" s="94" t="n">
        <f aca="false">VLOOKUP(Y452,recipe_ingred_list!$D$2:$E$500,2,0)</f>
        <v>74</v>
      </c>
      <c r="AA452" s="61" t="n">
        <f aca="false">K452</f>
        <v>0</v>
      </c>
      <c r="AB452" s="61" t="n">
        <f aca="false">L452</f>
        <v>0</v>
      </c>
      <c r="AC452" s="61" t="n">
        <f aca="false">VLOOKUP(AB452,recipe_ingred_list!$K$2:$M$7,3,0)</f>
        <v>2</v>
      </c>
      <c r="AD452" s="61" t="n">
        <f aca="false">M452</f>
        <v>1</v>
      </c>
      <c r="AE452" s="61" t="str">
        <f aca="false">N452</f>
        <v>cup</v>
      </c>
      <c r="AF452" s="61" t="n">
        <f aca="false">VLOOKUP(AE452,recipe_ingred_list!$K$16:$M$25,3,0)</f>
        <v>5</v>
      </c>
      <c r="AG452" s="61" t="n">
        <f aca="false">O452</f>
        <v>0</v>
      </c>
      <c r="AH452" s="61" t="n">
        <f aca="false">P452</f>
        <v>0</v>
      </c>
      <c r="AI452" s="61" t="n">
        <f aca="false">VLOOKUP(AH452,recipe_ingred_list!$K$29:$M$34,3,0)</f>
        <v>3</v>
      </c>
      <c r="AJ452" s="61" t="str">
        <f aca="false">IF(Q452="","",Q452)</f>
        <v/>
      </c>
      <c r="AK452" s="61" t="n">
        <f aca="false">AK451+1</f>
        <v>452</v>
      </c>
      <c r="AL452" s="61" t="str">
        <f aca="false">Y452</f>
        <v>everest pulav masala</v>
      </c>
      <c r="AM452" s="81" t="str">
        <f aca="false">"a = Client().post('"&amp;W452&amp;"', {'recipe' : '"&amp;V452&amp;"', 'ingredient' : '"&amp;Z452&amp;"', 'name' : '"&amp;X452&amp;"', 'mass_unit' : '"&amp;AC452&amp;"', 'mass_quantity' : '"&amp;ROUND(AA452,3)&amp;"', 'volume_unit' : '"&amp;AF452&amp;"', 'volume_quantity' : '"&amp;ROUND(AD452,3)&amp;"', 'pieces_unit' : '"&amp;AI452&amp;"', 'pieces_quantity' : '"&amp;ROUND(AG452,3)&amp;"', 'cooking_notes' : '"&amp;AJ452&amp;"'}).status_code; print('%s :: %s :: %s :: %s :: %s' %(a,"&amp;G452&amp;",'"&amp;X452&amp;"','"&amp;Y452&amp;"','"&amp;U452&amp;"'))"</f>
        <v>a = Client().post('/recipes/matar-ki-dal/detail/', {'recipe' : '45', 'ingredient' : '74', 'name' : 'Everest Pulav masala', 'mass_unit' : '2', 'mass_quantity' : '0', 'volume_unit' : '5', 'volume_quantity' : '1', 'pieces_unit' : '3', 'pieces_quantity' : '0', 'cooking_notes' : ''}).status_code; print('%s :: %s :: %s :: %s :: %s' %(a,452,'Everest Pulav masala','everest pulav masala','Matar Ki Dal'))</v>
      </c>
    </row>
    <row r="453" customFormat="false" ht="15" hidden="false" customHeight="true" outlineLevel="0" collapsed="false">
      <c r="G453" s="80" t="n">
        <v>453</v>
      </c>
      <c r="I453" s="158" t="s">
        <v>244</v>
      </c>
      <c r="J453" s="144" t="s">
        <v>557</v>
      </c>
      <c r="M453" s="145" t="n">
        <v>0.75</v>
      </c>
      <c r="N453" s="145" t="s">
        <v>20</v>
      </c>
      <c r="R453" s="82" t="str">
        <f aca="false">VLOOKUP(J453,ingredient!$N$4:$O$553,2,0)</f>
        <v>lemon</v>
      </c>
      <c r="U453" s="81" t="str">
        <f aca="false">I453</f>
        <v>Matar Ki Dal</v>
      </c>
      <c r="V453" s="81" t="n">
        <f aca="false">VLOOKUP(U453,recipe_ingred_list!$A$2:$B$300,2,0)</f>
        <v>45</v>
      </c>
      <c r="W453" s="81" t="str">
        <f aca="false">"/recipes/"&amp;VLOOKUP(U453,recipe_ingred_list!$A$2:$C$300,3,0)&amp;"/detail/"</f>
        <v>/recipes/matar-ki-dal/detail/</v>
      </c>
      <c r="X453" s="81" t="str">
        <f aca="false">J453</f>
        <v>Lemon juice</v>
      </c>
      <c r="Y453" s="81" t="str">
        <f aca="false">R453</f>
        <v>lemon</v>
      </c>
      <c r="Z453" s="94" t="n">
        <f aca="false">VLOOKUP(Y453,recipe_ingred_list!$D$2:$E$500,2,0)</f>
        <v>129</v>
      </c>
      <c r="AA453" s="61" t="n">
        <f aca="false">K453</f>
        <v>0</v>
      </c>
      <c r="AB453" s="61" t="n">
        <f aca="false">L453</f>
        <v>0</v>
      </c>
      <c r="AC453" s="61" t="n">
        <f aca="false">VLOOKUP(AB453,recipe_ingred_list!$K$2:$M$7,3,0)</f>
        <v>2</v>
      </c>
      <c r="AD453" s="61" t="n">
        <f aca="false">M453</f>
        <v>0.75</v>
      </c>
      <c r="AE453" s="61" t="str">
        <f aca="false">N453</f>
        <v>cup</v>
      </c>
      <c r="AF453" s="61" t="n">
        <f aca="false">VLOOKUP(AE453,recipe_ingred_list!$K$16:$M$25,3,0)</f>
        <v>5</v>
      </c>
      <c r="AG453" s="61" t="n">
        <f aca="false">O453</f>
        <v>0</v>
      </c>
      <c r="AH453" s="61" t="n">
        <f aca="false">P453</f>
        <v>0</v>
      </c>
      <c r="AI453" s="61" t="n">
        <f aca="false">VLOOKUP(AH453,recipe_ingred_list!$K$29:$M$34,3,0)</f>
        <v>3</v>
      </c>
      <c r="AJ453" s="61" t="str">
        <f aca="false">IF(Q453="","",Q453)</f>
        <v/>
      </c>
      <c r="AK453" s="61" t="n">
        <f aca="false">AK452+1</f>
        <v>453</v>
      </c>
      <c r="AL453" s="61" t="str">
        <f aca="false">Y453</f>
        <v>lemon</v>
      </c>
      <c r="AM453" s="81" t="str">
        <f aca="false">"a = Client().post('"&amp;W453&amp;"', {'recipe' : '"&amp;V453&amp;"', 'ingredient' : '"&amp;Z453&amp;"', 'name' : '"&amp;X453&amp;"', 'mass_unit' : '"&amp;AC453&amp;"', 'mass_quantity' : '"&amp;ROUND(AA453,3)&amp;"', 'volume_unit' : '"&amp;AF453&amp;"', 'volume_quantity' : '"&amp;ROUND(AD453,3)&amp;"', 'pieces_unit' : '"&amp;AI453&amp;"', 'pieces_quantity' : '"&amp;ROUND(AG453,3)&amp;"', 'cooking_notes' : '"&amp;AJ453&amp;"'}).status_code; print('%s :: %s :: %s :: %s :: %s' %(a,"&amp;G453&amp;",'"&amp;X453&amp;"','"&amp;Y453&amp;"','"&amp;U453&amp;"'))"</f>
        <v>a = Client().post('/recipes/matar-ki-dal/detail/', {'recipe' : '45', 'ingredient' : '129', 'name' : 'Lemon juice', 'mass_unit' : '2', 'mass_quantity' : '0', 'volume_unit' : '5', 'volume_quantity' : '0.75', 'pieces_unit' : '3', 'pieces_quantity' : '0', 'cooking_notes' : ''}).status_code; print('%s :: %s :: %s :: %s :: %s' %(a,453,'Lemon juice','lemon','Matar Ki Dal'))</v>
      </c>
    </row>
    <row r="454" customFormat="false" ht="15" hidden="false" customHeight="true" outlineLevel="0" collapsed="false">
      <c r="G454" s="80" t="n">
        <v>454</v>
      </c>
      <c r="H454" s="98"/>
      <c r="I454" s="157" t="s">
        <v>244</v>
      </c>
      <c r="J454" s="152" t="s">
        <v>558</v>
      </c>
      <c r="K454" s="100"/>
      <c r="L454" s="100"/>
      <c r="M454" s="100"/>
      <c r="N454" s="100"/>
      <c r="O454" s="153" t="n">
        <v>1</v>
      </c>
      <c r="P454" s="153" t="s">
        <v>27</v>
      </c>
      <c r="Q454" s="102"/>
      <c r="R454" s="99" t="e">
        <f aca="false">VLOOKUP(J454,ingredient!$N$4:$O$553,2,0)</f>
        <v>#N/A</v>
      </c>
      <c r="S454" s="98"/>
      <c r="T454" s="98"/>
      <c r="U454" s="81" t="str">
        <f aca="false">I454</f>
        <v>Matar Ki Dal</v>
      </c>
      <c r="V454" s="81" t="n">
        <f aca="false">VLOOKUP(U454,recipe_ingred_list!$A$2:$B$300,2,0)</f>
        <v>45</v>
      </c>
      <c r="W454" s="81" t="str">
        <f aca="false">"/recipes/"&amp;VLOOKUP(U454,recipe_ingred_list!$A$2:$C$300,3,0)&amp;"/detail/"</f>
        <v>/recipes/matar-ki-dal/detail/</v>
      </c>
      <c r="X454" s="81" t="str">
        <f aca="false">J454</f>
        <v>Yield </v>
      </c>
      <c r="Y454" s="81" t="e">
        <f aca="false">R454</f>
        <v>#N/A</v>
      </c>
      <c r="Z454" s="94" t="e">
        <f aca="false">VLOOKUP(Y454,recipe_ingred_list!$D$2:$E$500,2,0)</f>
        <v>#N/A</v>
      </c>
      <c r="AA454" s="61" t="n">
        <f aca="false">K454</f>
        <v>0</v>
      </c>
      <c r="AB454" s="61" t="n">
        <f aca="false">L454</f>
        <v>0</v>
      </c>
      <c r="AC454" s="61" t="n">
        <f aca="false">VLOOKUP(AB454,recipe_ingred_list!$K$2:$M$7,3,0)</f>
        <v>2</v>
      </c>
      <c r="AD454" s="61" t="n">
        <f aca="false">M454</f>
        <v>0</v>
      </c>
      <c r="AE454" s="61" t="n">
        <f aca="false">N454</f>
        <v>0</v>
      </c>
      <c r="AF454" s="61" t="n">
        <f aca="false">VLOOKUP(AE454,recipe_ingred_list!$K$16:$M$25,3,0)</f>
        <v>1</v>
      </c>
      <c r="AG454" s="61" t="n">
        <f aca="false">O454</f>
        <v>1</v>
      </c>
      <c r="AH454" s="61" t="str">
        <f aca="false">P454</f>
        <v>tub</v>
      </c>
      <c r="AI454" s="61" t="e">
        <f aca="false">VLOOKUP(AH454,recipe_ingred_list!$K$29:$M$34,3,0)</f>
        <v>#N/A</v>
      </c>
      <c r="AJ454" s="61" t="str">
        <f aca="false">IF(Q454="","",Q454)</f>
        <v/>
      </c>
      <c r="AK454" s="61" t="n">
        <f aca="false">AK453+1</f>
        <v>454</v>
      </c>
      <c r="AL454" s="61" t="e">
        <f aca="false">Y454</f>
        <v>#N/A</v>
      </c>
      <c r="AM454" s="81" t="e">
        <f aca="false">"a = Client().post('"&amp;W454&amp;"', {'recipe' : '"&amp;V454&amp;"', 'ingredient' : '"&amp;Z454&amp;"', 'name' : '"&amp;X454&amp;"', 'mass_unit' : '"&amp;AC454&amp;"', 'mass_quantity' : '"&amp;ROUND(AA454,3)&amp;"', 'volume_unit' : '"&amp;AF454&amp;"', 'volume_quantity' : '"&amp;ROUND(AD454,3)&amp;"', 'pieces_unit' : '"&amp;AI454&amp;"', 'pieces_quantity' : '"&amp;ROUND(AG454,3)&amp;"', 'cooking_notes' : '"&amp;AJ454&amp;"'}).status_code; print('%s :: %s :: %s :: %s :: %s' %(a,"&amp;G454&amp;",'"&amp;X454&amp;"','"&amp;Y454&amp;"','"&amp;U454&amp;"'))"</f>
        <v>#N/A</v>
      </c>
    </row>
    <row r="455" customFormat="false" ht="15" hidden="false" customHeight="false" outlineLevel="0" collapsed="false">
      <c r="G455" s="80" t="n">
        <v>455</v>
      </c>
      <c r="H455" s="98"/>
      <c r="I455" s="157" t="s">
        <v>244</v>
      </c>
      <c r="J455" s="152" t="s">
        <v>558</v>
      </c>
      <c r="K455" s="100"/>
      <c r="L455" s="100"/>
      <c r="M455" s="153" t="n">
        <v>35</v>
      </c>
      <c r="N455" s="153" t="s">
        <v>13</v>
      </c>
      <c r="O455" s="101"/>
      <c r="P455" s="100"/>
      <c r="Q455" s="102"/>
      <c r="R455" s="99" t="e">
        <f aca="false">VLOOKUP(J455,ingredient!$N$4:$O$553,2,0)</f>
        <v>#N/A</v>
      </c>
      <c r="S455" s="98"/>
      <c r="T455" s="98"/>
      <c r="U455" s="81" t="str">
        <f aca="false">I455</f>
        <v>Matar Ki Dal</v>
      </c>
      <c r="V455" s="81" t="n">
        <f aca="false">VLOOKUP(U455,recipe_ingred_list!$A$2:$B$300,2,0)</f>
        <v>45</v>
      </c>
      <c r="W455" s="81" t="str">
        <f aca="false">"/recipes/"&amp;VLOOKUP(U455,recipe_ingred_list!$A$2:$C$300,3,0)&amp;"/detail/"</f>
        <v>/recipes/matar-ki-dal/detail/</v>
      </c>
      <c r="X455" s="81" t="str">
        <f aca="false">J455</f>
        <v>Yield </v>
      </c>
      <c r="Y455" s="81" t="e">
        <f aca="false">R455</f>
        <v>#N/A</v>
      </c>
      <c r="Z455" s="94" t="e">
        <f aca="false">VLOOKUP(Y455,recipe_ingred_list!$D$2:$E$500,2,0)</f>
        <v>#N/A</v>
      </c>
      <c r="AA455" s="61" t="n">
        <f aca="false">K455</f>
        <v>0</v>
      </c>
      <c r="AB455" s="61" t="n">
        <f aca="false">L455</f>
        <v>0</v>
      </c>
      <c r="AC455" s="61" t="n">
        <f aca="false">VLOOKUP(AB455,recipe_ingred_list!$K$2:$M$7,3,0)</f>
        <v>2</v>
      </c>
      <c r="AD455" s="61" t="n">
        <f aca="false">M455</f>
        <v>35</v>
      </c>
      <c r="AE455" s="61" t="str">
        <f aca="false">N455</f>
        <v>ltr</v>
      </c>
      <c r="AF455" s="61" t="n">
        <f aca="false">VLOOKUP(AE455,recipe_ingred_list!$K$16:$M$25,3,0)</f>
        <v>1</v>
      </c>
      <c r="AG455" s="61" t="n">
        <f aca="false">O455</f>
        <v>0</v>
      </c>
      <c r="AH455" s="61" t="n">
        <f aca="false">P455</f>
        <v>0</v>
      </c>
      <c r="AI455" s="61" t="n">
        <f aca="false">VLOOKUP(AH455,recipe_ingred_list!$K$29:$M$34,3,0)</f>
        <v>3</v>
      </c>
      <c r="AJ455" s="61" t="str">
        <f aca="false">IF(Q455="","",Q455)</f>
        <v/>
      </c>
      <c r="AK455" s="61" t="n">
        <f aca="false">AK454+1</f>
        <v>455</v>
      </c>
      <c r="AL455" s="61" t="e">
        <f aca="false">Y455</f>
        <v>#N/A</v>
      </c>
      <c r="AM455" s="81" t="e">
        <f aca="false">"a = Client().post('"&amp;W455&amp;"', {'recipe' : '"&amp;V455&amp;"', 'ingredient' : '"&amp;Z455&amp;"', 'name' : '"&amp;X455&amp;"', 'mass_unit' : '"&amp;AC455&amp;"', 'mass_quantity' : '"&amp;ROUND(AA455,3)&amp;"', 'volume_unit' : '"&amp;AF455&amp;"', 'volume_quantity' : '"&amp;ROUND(AD455,3)&amp;"', 'pieces_unit' : '"&amp;AI455&amp;"', 'pieces_quantity' : '"&amp;ROUND(AG455,3)&amp;"', 'cooking_notes' : '"&amp;AJ455&amp;"'}).status_code; print('%s :: %s :: %s :: %s :: %s' %(a,"&amp;G455&amp;",'"&amp;X455&amp;"','"&amp;Y455&amp;"','"&amp;U455&amp;"'))"</f>
        <v>#N/A</v>
      </c>
    </row>
    <row r="456" customFormat="false" ht="13.8" hidden="false" customHeight="false" outlineLevel="0" collapsed="false">
      <c r="G456" s="80" t="n">
        <v>456</v>
      </c>
      <c r="H456" s="98"/>
      <c r="I456" s="99"/>
      <c r="J456" s="79"/>
      <c r="K456" s="100"/>
      <c r="L456" s="100"/>
      <c r="M456" s="100"/>
      <c r="N456" s="100"/>
      <c r="O456" s="101"/>
      <c r="P456" s="100"/>
      <c r="Q456" s="102"/>
      <c r="R456" s="99" t="e">
        <f aca="false">VLOOKUP(J456,ingredient!$N$4:$O$553,2,0)</f>
        <v>#N/A</v>
      </c>
      <c r="S456" s="98"/>
      <c r="T456" s="98"/>
      <c r="U456" s="81" t="n">
        <f aca="false">I456</f>
        <v>0</v>
      </c>
      <c r="V456" s="81" t="e">
        <f aca="false">VLOOKUP(U456,recipe_ingred_list!$A$2:$B$300,2,0)</f>
        <v>#N/A</v>
      </c>
      <c r="W456" s="81" t="e">
        <f aca="false">"/recipes/"&amp;VLOOKUP(U456,recipe_ingred_list!$A$2:$C$300,3,0)&amp;"/detail/"</f>
        <v>#N/A</v>
      </c>
      <c r="X456" s="81" t="n">
        <f aca="false">J456</f>
        <v>0</v>
      </c>
      <c r="Y456" s="81" t="e">
        <f aca="false">R456</f>
        <v>#N/A</v>
      </c>
      <c r="Z456" s="94" t="e">
        <f aca="false">VLOOKUP(Y456,recipe_ingred_list!$D$2:$E$500,2,0)</f>
        <v>#N/A</v>
      </c>
      <c r="AA456" s="61" t="n">
        <f aca="false">K456</f>
        <v>0</v>
      </c>
      <c r="AB456" s="61" t="n">
        <f aca="false">L456</f>
        <v>0</v>
      </c>
      <c r="AC456" s="61" t="n">
        <f aca="false">VLOOKUP(AB456,recipe_ingred_list!$K$2:$M$7,3,0)</f>
        <v>2</v>
      </c>
      <c r="AD456" s="61" t="n">
        <f aca="false">M456</f>
        <v>0</v>
      </c>
      <c r="AE456" s="61" t="n">
        <f aca="false">N456</f>
        <v>0</v>
      </c>
      <c r="AF456" s="61" t="n">
        <f aca="false">VLOOKUP(AE456,recipe_ingred_list!$K$16:$M$25,3,0)</f>
        <v>1</v>
      </c>
      <c r="AG456" s="61" t="n">
        <f aca="false">O456</f>
        <v>0</v>
      </c>
      <c r="AH456" s="61" t="n">
        <f aca="false">P456</f>
        <v>0</v>
      </c>
      <c r="AI456" s="61" t="n">
        <f aca="false">VLOOKUP(AH456,recipe_ingred_list!$K$29:$M$34,3,0)</f>
        <v>3</v>
      </c>
      <c r="AJ456" s="61" t="str">
        <f aca="false">IF(Q456="","",Q456)</f>
        <v/>
      </c>
      <c r="AK456" s="61" t="n">
        <f aca="false">AK455+1</f>
        <v>456</v>
      </c>
      <c r="AL456" s="61" t="e">
        <f aca="false">Y456</f>
        <v>#N/A</v>
      </c>
      <c r="AM456" s="81" t="e">
        <f aca="false">"a = Client().post('"&amp;W456&amp;"', {'recipe' : '"&amp;V456&amp;"', 'ingredient' : '"&amp;Z456&amp;"', 'name' : '"&amp;X456&amp;"', 'mass_unit' : '"&amp;AC456&amp;"', 'mass_quantity' : '"&amp;ROUND(AA456,3)&amp;"', 'volume_unit' : '"&amp;AF456&amp;"', 'volume_quantity' : '"&amp;ROUND(AD456,3)&amp;"', 'pieces_unit' : '"&amp;AI456&amp;"', 'pieces_quantity' : '"&amp;ROUND(AG456,3)&amp;"', 'cooking_notes' : '"&amp;AJ456&amp;"'}).status_code; print('%s :: %s :: %s :: %s :: %s' %(a,"&amp;G456&amp;",'"&amp;X456&amp;"','"&amp;Y456&amp;"','"&amp;U456&amp;"'))"</f>
        <v>#N/A</v>
      </c>
    </row>
    <row r="457" customFormat="false" ht="15" hidden="false" customHeight="true" outlineLevel="0" collapsed="false">
      <c r="G457" s="80" t="n">
        <v>457</v>
      </c>
      <c r="H457" s="98"/>
      <c r="I457" s="152" t="s">
        <v>128</v>
      </c>
      <c r="J457" s="152" t="s">
        <v>2</v>
      </c>
      <c r="K457" s="153" t="s">
        <v>3</v>
      </c>
      <c r="L457" s="153" t="s">
        <v>4</v>
      </c>
      <c r="M457" s="100"/>
      <c r="N457" s="100"/>
      <c r="O457" s="101"/>
      <c r="P457" s="100"/>
      <c r="Q457" s="102"/>
      <c r="R457" s="99" t="e">
        <f aca="false">VLOOKUP(J457,ingredient!$N$4:$O$553,2,0)</f>
        <v>#N/A</v>
      </c>
      <c r="S457" s="98"/>
      <c r="T457" s="98"/>
      <c r="U457" s="81" t="str">
        <f aca="false">I457</f>
        <v>Beans Tahini Sauce</v>
      </c>
      <c r="V457" s="81" t="n">
        <f aca="false">VLOOKUP(U457,recipe_ingred_list!$A$2:$B$300,2,0)</f>
        <v>8</v>
      </c>
      <c r="W457" s="81" t="str">
        <f aca="false">"/recipes/"&amp;VLOOKUP(U457,recipe_ingred_list!$A$2:$C$300,3,0)&amp;"/detail/"</f>
        <v>/recipes/beans-tahini-sauce/detail/</v>
      </c>
      <c r="X457" s="81" t="str">
        <f aca="false">J457</f>
        <v>Ingredients</v>
      </c>
      <c r="Y457" s="81" t="e">
        <f aca="false">R457</f>
        <v>#N/A</v>
      </c>
      <c r="Z457" s="94" t="e">
        <f aca="false">VLOOKUP(Y457,recipe_ingred_list!$D$2:$E$500,2,0)</f>
        <v>#N/A</v>
      </c>
      <c r="AA457" s="61" t="str">
        <f aca="false">K457</f>
        <v>Std Qty</v>
      </c>
      <c r="AB457" s="61" t="str">
        <f aca="false">L457</f>
        <v>Unit</v>
      </c>
      <c r="AC457" s="61" t="e">
        <f aca="false">VLOOKUP(AB457,recipe_ingred_list!$K$2:$M$7,3,0)</f>
        <v>#N/A</v>
      </c>
      <c r="AD457" s="61" t="n">
        <f aca="false">M457</f>
        <v>0</v>
      </c>
      <c r="AE457" s="61" t="n">
        <f aca="false">N457</f>
        <v>0</v>
      </c>
      <c r="AF457" s="61" t="n">
        <f aca="false">VLOOKUP(AE457,recipe_ingred_list!$K$16:$M$25,3,0)</f>
        <v>1</v>
      </c>
      <c r="AG457" s="61" t="n">
        <f aca="false">O457</f>
        <v>0</v>
      </c>
      <c r="AH457" s="61" t="n">
        <f aca="false">P457</f>
        <v>0</v>
      </c>
      <c r="AI457" s="61" t="n">
        <f aca="false">VLOOKUP(AH457,recipe_ingred_list!$K$29:$M$34,3,0)</f>
        <v>3</v>
      </c>
      <c r="AJ457" s="61" t="str">
        <f aca="false">IF(Q457="","",Q457)</f>
        <v/>
      </c>
      <c r="AK457" s="61" t="n">
        <f aca="false">AK456+1</f>
        <v>457</v>
      </c>
      <c r="AL457" s="61" t="e">
        <f aca="false">Y457</f>
        <v>#N/A</v>
      </c>
      <c r="AM457" s="81" t="e">
        <f aca="false">"a = Client().post('"&amp;W457&amp;"', {'recipe' : '"&amp;V457&amp;"', 'ingredient' : '"&amp;Z457&amp;"', 'name' : '"&amp;X457&amp;"', 'mass_unit' : '"&amp;AC457&amp;"', 'mass_quantity' : '"&amp;ROUND(AA457,3)&amp;"', 'volume_unit' : '"&amp;AF457&amp;"', 'volume_quantity' : '"&amp;ROUND(AD457,3)&amp;"', 'pieces_unit' : '"&amp;AI457&amp;"', 'pieces_quantity' : '"&amp;ROUND(AG457,3)&amp;"', 'cooking_notes' : '"&amp;AJ457&amp;"'}).status_code; print('%s :: %s :: %s :: %s :: %s' %(a,"&amp;G457&amp;",'"&amp;X457&amp;"','"&amp;Y457&amp;"','"&amp;U457&amp;"'))"</f>
        <v>#N/A</v>
      </c>
    </row>
    <row r="458" customFormat="false" ht="13.8" hidden="false" customHeight="false" outlineLevel="0" collapsed="false">
      <c r="G458" s="80" t="n">
        <v>458</v>
      </c>
      <c r="I458" s="154" t="s">
        <v>128</v>
      </c>
      <c r="J458" s="144" t="s">
        <v>655</v>
      </c>
      <c r="K458" s="145" t="n">
        <v>25</v>
      </c>
      <c r="L458" s="145" t="s">
        <v>7</v>
      </c>
      <c r="M458" s="145" t="n">
        <v>43</v>
      </c>
      <c r="N458" s="145" t="s">
        <v>13</v>
      </c>
      <c r="R458" s="82" t="str">
        <f aca="false">VLOOKUP(J458,ingredient!$N$4:$O$553,2,0)</f>
        <v>beans</v>
      </c>
      <c r="U458" s="81" t="str">
        <f aca="false">I458</f>
        <v>Beans Tahini Sauce</v>
      </c>
      <c r="V458" s="81" t="n">
        <f aca="false">VLOOKUP(U458,recipe_ingred_list!$A$2:$B$300,2,0)</f>
        <v>8</v>
      </c>
      <c r="W458" s="81" t="str">
        <f aca="false">"/recipes/"&amp;VLOOKUP(U458,recipe_ingred_list!$A$2:$C$300,3,0)&amp;"/detail/"</f>
        <v>/recipes/beans-tahini-sauce/detail/</v>
      </c>
      <c r="X458" s="81" t="str">
        <f aca="false">J458</f>
        <v>Beans</v>
      </c>
      <c r="Y458" s="81" t="str">
        <f aca="false">R458</f>
        <v>beans</v>
      </c>
      <c r="Z458" s="94" t="n">
        <f aca="false">VLOOKUP(Y458,recipe_ingred_list!$D$2:$E$500,2,0)</f>
        <v>27</v>
      </c>
      <c r="AA458" s="61" t="n">
        <f aca="false">K458</f>
        <v>25</v>
      </c>
      <c r="AB458" s="61" t="str">
        <f aca="false">L458</f>
        <v>kg</v>
      </c>
      <c r="AC458" s="61" t="n">
        <f aca="false">VLOOKUP(AB458,recipe_ingred_list!$K$2:$M$7,3,0)</f>
        <v>2</v>
      </c>
      <c r="AD458" s="61" t="n">
        <f aca="false">M458</f>
        <v>43</v>
      </c>
      <c r="AE458" s="61" t="str">
        <f aca="false">N458</f>
        <v>ltr</v>
      </c>
      <c r="AF458" s="61" t="n">
        <f aca="false">VLOOKUP(AE458,recipe_ingred_list!$K$16:$M$25,3,0)</f>
        <v>1</v>
      </c>
      <c r="AG458" s="61" t="n">
        <f aca="false">O458</f>
        <v>0</v>
      </c>
      <c r="AH458" s="61" t="n">
        <f aca="false">P458</f>
        <v>0</v>
      </c>
      <c r="AI458" s="61" t="n">
        <f aca="false">VLOOKUP(AH458,recipe_ingred_list!$K$29:$M$34,3,0)</f>
        <v>3</v>
      </c>
      <c r="AJ458" s="61" t="str">
        <f aca="false">IF(Q458="","",Q458)</f>
        <v/>
      </c>
      <c r="AK458" s="61" t="n">
        <f aca="false">AK457+1</f>
        <v>458</v>
      </c>
      <c r="AL458" s="61" t="str">
        <f aca="false">Y458</f>
        <v>beans</v>
      </c>
      <c r="AM458" s="81" t="str">
        <f aca="false">"a = Client().post('"&amp;W458&amp;"', {'recipe' : '"&amp;V458&amp;"', 'ingredient' : '"&amp;Z458&amp;"', 'name' : '"&amp;X458&amp;"', 'mass_unit' : '"&amp;AC458&amp;"', 'mass_quantity' : '"&amp;ROUND(AA458,3)&amp;"', 'volume_unit' : '"&amp;AF458&amp;"', 'volume_quantity' : '"&amp;ROUND(AD458,3)&amp;"', 'pieces_unit' : '"&amp;AI458&amp;"', 'pieces_quantity' : '"&amp;ROUND(AG458,3)&amp;"', 'cooking_notes' : '"&amp;AJ458&amp;"'}).status_code; print('%s :: %s :: %s :: %s :: %s' %(a,"&amp;G458&amp;",'"&amp;X458&amp;"','"&amp;Y458&amp;"','"&amp;U458&amp;"'))"</f>
        <v>a = Client().post('/recipes/beans-tahini-sauce/detail/', {'recipe' : '8', 'ingredient' : '27', 'name' : 'Beans', 'mass_unit' : '2', 'mass_quantity' : '25', 'volume_unit' : '1', 'volume_quantity' : '43', 'pieces_unit' : '3', 'pieces_quantity' : '0', 'cooking_notes' : ''}).status_code; print('%s :: %s :: %s :: %s :: %s' %(a,458,'Beans','beans','Beans Tahini Sauce'))</v>
      </c>
    </row>
    <row r="459" customFormat="false" ht="13.8" hidden="false" customHeight="false" outlineLevel="0" collapsed="false">
      <c r="G459" s="80" t="n">
        <v>459</v>
      </c>
      <c r="I459" s="154" t="s">
        <v>128</v>
      </c>
      <c r="J459" s="144"/>
      <c r="K459" s="145"/>
      <c r="N459" s="145"/>
      <c r="R459" s="82" t="e">
        <f aca="false">VLOOKUP(J459,ingredient!$N$4:$O$553,2,0)</f>
        <v>#N/A</v>
      </c>
      <c r="U459" s="81" t="str">
        <f aca="false">I459</f>
        <v>Beans Tahini Sauce</v>
      </c>
      <c r="V459" s="81" t="n">
        <f aca="false">VLOOKUP(U459,recipe_ingred_list!$A$2:$B$300,2,0)</f>
        <v>8</v>
      </c>
      <c r="W459" s="81" t="str">
        <f aca="false">"/recipes/"&amp;VLOOKUP(U459,recipe_ingred_list!$A$2:$C$300,3,0)&amp;"/detail/"</f>
        <v>/recipes/beans-tahini-sauce/detail/</v>
      </c>
      <c r="X459" s="81" t="n">
        <f aca="false">J459</f>
        <v>0</v>
      </c>
      <c r="Y459" s="81" t="e">
        <f aca="false">R459</f>
        <v>#N/A</v>
      </c>
      <c r="Z459" s="94" t="e">
        <f aca="false">VLOOKUP(Y459,recipe_ingred_list!$D$2:$E$500,2,0)</f>
        <v>#N/A</v>
      </c>
      <c r="AA459" s="61" t="n">
        <f aca="false">K459</f>
        <v>0</v>
      </c>
      <c r="AB459" s="61" t="n">
        <f aca="false">L459</f>
        <v>0</v>
      </c>
      <c r="AC459" s="61" t="n">
        <f aca="false">VLOOKUP(AB459,recipe_ingred_list!$K$2:$M$7,3,0)</f>
        <v>2</v>
      </c>
      <c r="AD459" s="61" t="n">
        <f aca="false">M459</f>
        <v>0</v>
      </c>
      <c r="AE459" s="61" t="n">
        <f aca="false">N459</f>
        <v>0</v>
      </c>
      <c r="AF459" s="61" t="n">
        <f aca="false">VLOOKUP(AE459,recipe_ingred_list!$K$16:$M$25,3,0)</f>
        <v>1</v>
      </c>
      <c r="AG459" s="61" t="n">
        <f aca="false">O459</f>
        <v>0</v>
      </c>
      <c r="AH459" s="61" t="n">
        <f aca="false">P459</f>
        <v>0</v>
      </c>
      <c r="AI459" s="61" t="n">
        <f aca="false">VLOOKUP(AH459,recipe_ingred_list!$K$29:$M$34,3,0)</f>
        <v>3</v>
      </c>
      <c r="AJ459" s="61" t="str">
        <f aca="false">IF(Q459="","",Q459)</f>
        <v/>
      </c>
      <c r="AK459" s="61" t="n">
        <f aca="false">AK458+1</f>
        <v>459</v>
      </c>
      <c r="AL459" s="61" t="e">
        <f aca="false">Y459</f>
        <v>#N/A</v>
      </c>
      <c r="AM459" s="81" t="e">
        <f aca="false">"a = Client().post('"&amp;W459&amp;"', {'recipe' : '"&amp;V459&amp;"', 'ingredient' : '"&amp;Z459&amp;"', 'name' : '"&amp;X459&amp;"', 'mass_unit' : '"&amp;AC459&amp;"', 'mass_quantity' : '"&amp;ROUND(AA459,3)&amp;"', 'volume_unit' : '"&amp;AF459&amp;"', 'volume_quantity' : '"&amp;ROUND(AD459,3)&amp;"', 'pieces_unit' : '"&amp;AI459&amp;"', 'pieces_quantity' : '"&amp;ROUND(AG459,3)&amp;"', 'cooking_notes' : '"&amp;AJ459&amp;"'}).status_code; print('%s :: %s :: %s :: %s :: %s' %(a,"&amp;G459&amp;",'"&amp;X459&amp;"','"&amp;Y459&amp;"','"&amp;U459&amp;"'))"</f>
        <v>#N/A</v>
      </c>
    </row>
    <row r="460" customFormat="false" ht="13.8" hidden="false" customHeight="false" outlineLevel="0" collapsed="false">
      <c r="G460" s="80" t="n">
        <v>460</v>
      </c>
      <c r="I460" s="154" t="s">
        <v>128</v>
      </c>
      <c r="J460" s="144"/>
      <c r="M460" s="145"/>
      <c r="N460" s="145"/>
      <c r="R460" s="82" t="e">
        <f aca="false">VLOOKUP(J460,ingredient!$N$4:$O$553,2,0)</f>
        <v>#N/A</v>
      </c>
      <c r="U460" s="81" t="str">
        <f aca="false">I460</f>
        <v>Beans Tahini Sauce</v>
      </c>
      <c r="V460" s="81" t="n">
        <f aca="false">VLOOKUP(U460,recipe_ingred_list!$A$2:$B$300,2,0)</f>
        <v>8</v>
      </c>
      <c r="W460" s="81" t="str">
        <f aca="false">"/recipes/"&amp;VLOOKUP(U460,recipe_ingred_list!$A$2:$C$300,3,0)&amp;"/detail/"</f>
        <v>/recipes/beans-tahini-sauce/detail/</v>
      </c>
      <c r="X460" s="81" t="n">
        <f aca="false">J460</f>
        <v>0</v>
      </c>
      <c r="Y460" s="81" t="e">
        <f aca="false">R460</f>
        <v>#N/A</v>
      </c>
      <c r="Z460" s="94" t="e">
        <f aca="false">VLOOKUP(Y460,recipe_ingred_list!$D$2:$E$500,2,0)</f>
        <v>#N/A</v>
      </c>
      <c r="AA460" s="61" t="n">
        <f aca="false">K460</f>
        <v>0</v>
      </c>
      <c r="AB460" s="61" t="n">
        <f aca="false">L460</f>
        <v>0</v>
      </c>
      <c r="AC460" s="61" t="n">
        <f aca="false">VLOOKUP(AB460,recipe_ingred_list!$K$2:$M$7,3,0)</f>
        <v>2</v>
      </c>
      <c r="AD460" s="61" t="n">
        <f aca="false">M460</f>
        <v>0</v>
      </c>
      <c r="AE460" s="61" t="n">
        <f aca="false">N460</f>
        <v>0</v>
      </c>
      <c r="AF460" s="61" t="n">
        <f aca="false">VLOOKUP(AE460,recipe_ingred_list!$K$16:$M$25,3,0)</f>
        <v>1</v>
      </c>
      <c r="AG460" s="61" t="n">
        <f aca="false">O460</f>
        <v>0</v>
      </c>
      <c r="AH460" s="61" t="n">
        <f aca="false">P460</f>
        <v>0</v>
      </c>
      <c r="AI460" s="61" t="n">
        <f aca="false">VLOOKUP(AH460,recipe_ingred_list!$K$29:$M$34,3,0)</f>
        <v>3</v>
      </c>
      <c r="AJ460" s="61" t="str">
        <f aca="false">IF(Q460="","",Q460)</f>
        <v/>
      </c>
      <c r="AK460" s="61" t="n">
        <f aca="false">AK459+1</f>
        <v>460</v>
      </c>
      <c r="AL460" s="61" t="e">
        <f aca="false">Y460</f>
        <v>#N/A</v>
      </c>
      <c r="AM460" s="81" t="e">
        <f aca="false">"a = Client().post('"&amp;W460&amp;"', {'recipe' : '"&amp;V460&amp;"', 'ingredient' : '"&amp;Z460&amp;"', 'name' : '"&amp;X460&amp;"', 'mass_unit' : '"&amp;AC460&amp;"', 'mass_quantity' : '"&amp;ROUND(AA460,3)&amp;"', 'volume_unit' : '"&amp;AF460&amp;"', 'volume_quantity' : '"&amp;ROUND(AD460,3)&amp;"', 'pieces_unit' : '"&amp;AI460&amp;"', 'pieces_quantity' : '"&amp;ROUND(AG460,3)&amp;"', 'cooking_notes' : '"&amp;AJ460&amp;"'}).status_code; print('%s :: %s :: %s :: %s :: %s' %(a,"&amp;G460&amp;",'"&amp;X460&amp;"','"&amp;Y460&amp;"','"&amp;U460&amp;"'))"</f>
        <v>#N/A</v>
      </c>
    </row>
    <row r="461" customFormat="false" ht="13.8" hidden="false" customHeight="false" outlineLevel="0" collapsed="false">
      <c r="G461" s="80" t="n">
        <v>461</v>
      </c>
      <c r="I461" s="154" t="s">
        <v>128</v>
      </c>
      <c r="J461" s="144" t="s">
        <v>619</v>
      </c>
      <c r="K461" s="145" t="n">
        <v>1</v>
      </c>
      <c r="L461" s="145" t="s">
        <v>7</v>
      </c>
      <c r="R461" s="82" t="str">
        <f aca="false">VLOOKUP(J461,ingredient!$N$4:$O$553,2,0)</f>
        <v>basil leaves</v>
      </c>
      <c r="U461" s="81" t="str">
        <f aca="false">I461</f>
        <v>Beans Tahini Sauce</v>
      </c>
      <c r="V461" s="81" t="n">
        <f aca="false">VLOOKUP(U461,recipe_ingred_list!$A$2:$B$300,2,0)</f>
        <v>8</v>
      </c>
      <c r="W461" s="81" t="str">
        <f aca="false">"/recipes/"&amp;VLOOKUP(U461,recipe_ingred_list!$A$2:$C$300,3,0)&amp;"/detail/"</f>
        <v>/recipes/beans-tahini-sauce/detail/</v>
      </c>
      <c r="X461" s="81" t="str">
        <f aca="false">J461</f>
        <v>Basil leaves</v>
      </c>
      <c r="Y461" s="81" t="str">
        <f aca="false">R461</f>
        <v>basil leaves</v>
      </c>
      <c r="Z461" s="94" t="n">
        <f aca="false">VLOOKUP(Y461,recipe_ingred_list!$D$2:$E$500,2,0)</f>
        <v>24</v>
      </c>
      <c r="AA461" s="61" t="n">
        <f aca="false">K461</f>
        <v>1</v>
      </c>
      <c r="AB461" s="61" t="str">
        <f aca="false">L461</f>
        <v>kg</v>
      </c>
      <c r="AC461" s="61" t="n">
        <f aca="false">VLOOKUP(AB461,recipe_ingred_list!$K$2:$M$7,3,0)</f>
        <v>2</v>
      </c>
      <c r="AD461" s="61" t="n">
        <f aca="false">M461</f>
        <v>0</v>
      </c>
      <c r="AE461" s="61" t="n">
        <f aca="false">N461</f>
        <v>0</v>
      </c>
      <c r="AF461" s="61" t="n">
        <f aca="false">VLOOKUP(AE461,recipe_ingred_list!$K$16:$M$25,3,0)</f>
        <v>1</v>
      </c>
      <c r="AG461" s="61" t="n">
        <f aca="false">O461</f>
        <v>0</v>
      </c>
      <c r="AH461" s="61" t="n">
        <f aca="false">P461</f>
        <v>0</v>
      </c>
      <c r="AI461" s="61" t="n">
        <f aca="false">VLOOKUP(AH461,recipe_ingred_list!$K$29:$M$34,3,0)</f>
        <v>3</v>
      </c>
      <c r="AJ461" s="61" t="str">
        <f aca="false">IF(Q461="","",Q461)</f>
        <v/>
      </c>
      <c r="AK461" s="61" t="n">
        <f aca="false">AK460+1</f>
        <v>461</v>
      </c>
      <c r="AL461" s="61" t="str">
        <f aca="false">Y461</f>
        <v>basil leaves</v>
      </c>
      <c r="AM461" s="81" t="str">
        <f aca="false">"a = Client().post('"&amp;W461&amp;"', {'recipe' : '"&amp;V461&amp;"', 'ingredient' : '"&amp;Z461&amp;"', 'name' : '"&amp;X461&amp;"', 'mass_unit' : '"&amp;AC461&amp;"', 'mass_quantity' : '"&amp;ROUND(AA461,3)&amp;"', 'volume_unit' : '"&amp;AF461&amp;"', 'volume_quantity' : '"&amp;ROUND(AD461,3)&amp;"', 'pieces_unit' : '"&amp;AI461&amp;"', 'pieces_quantity' : '"&amp;ROUND(AG461,3)&amp;"', 'cooking_notes' : '"&amp;AJ461&amp;"'}).status_code; print('%s :: %s :: %s :: %s :: %s' %(a,"&amp;G461&amp;",'"&amp;X461&amp;"','"&amp;Y461&amp;"','"&amp;U461&amp;"'))"</f>
        <v>a = Client().post('/recipes/beans-tahini-sauce/detail/', {'recipe' : '8', 'ingredient' : '24', 'name' : 'Basil leaves', 'mass_unit' : '2', 'mass_quantity' : '1', 'volume_unit' : '1', 'volume_quantity' : '0', 'pieces_unit' : '3', 'pieces_quantity' : '0', 'cooking_notes' : ''}).status_code; print('%s :: %s :: %s :: %s :: %s' %(a,461,'Basil leaves','basil leaves','Beans Tahini Sauce'))</v>
      </c>
    </row>
    <row r="462" customFormat="false" ht="13.8" hidden="false" customHeight="false" outlineLevel="0" collapsed="false">
      <c r="G462" s="80" t="n">
        <v>462</v>
      </c>
      <c r="I462" s="154" t="s">
        <v>128</v>
      </c>
      <c r="J462" s="144" t="s">
        <v>54</v>
      </c>
      <c r="M462" s="145" t="n">
        <v>0.8</v>
      </c>
      <c r="N462" s="145" t="s">
        <v>20</v>
      </c>
      <c r="R462" s="82" t="str">
        <f aca="false">VLOOKUP(J462,ingredient!$N$4:$O$553,2,0)</f>
        <v>black pepper</v>
      </c>
      <c r="U462" s="81" t="str">
        <f aca="false">I462</f>
        <v>Beans Tahini Sauce</v>
      </c>
      <c r="V462" s="81" t="n">
        <f aca="false">VLOOKUP(U462,recipe_ingred_list!$A$2:$B$300,2,0)</f>
        <v>8</v>
      </c>
      <c r="W462" s="81" t="str">
        <f aca="false">"/recipes/"&amp;VLOOKUP(U462,recipe_ingred_list!$A$2:$C$300,3,0)&amp;"/detail/"</f>
        <v>/recipes/beans-tahini-sauce/detail/</v>
      </c>
      <c r="X462" s="81" t="str">
        <f aca="false">J462</f>
        <v>Black Pepper pwd</v>
      </c>
      <c r="Y462" s="81" t="str">
        <f aca="false">R462</f>
        <v>black pepper</v>
      </c>
      <c r="Z462" s="94" t="n">
        <f aca="false">VLOOKUP(Y462,recipe_ingred_list!$D$2:$E$500,2,0)</f>
        <v>31</v>
      </c>
      <c r="AA462" s="61" t="n">
        <f aca="false">K462</f>
        <v>0</v>
      </c>
      <c r="AB462" s="61" t="n">
        <f aca="false">L462</f>
        <v>0</v>
      </c>
      <c r="AC462" s="61" t="n">
        <f aca="false">VLOOKUP(AB462,recipe_ingred_list!$K$2:$M$7,3,0)</f>
        <v>2</v>
      </c>
      <c r="AD462" s="61" t="n">
        <f aca="false">M462</f>
        <v>0.8</v>
      </c>
      <c r="AE462" s="61" t="str">
        <f aca="false">N462</f>
        <v>cup</v>
      </c>
      <c r="AF462" s="61" t="n">
        <f aca="false">VLOOKUP(AE462,recipe_ingred_list!$K$16:$M$25,3,0)</f>
        <v>5</v>
      </c>
      <c r="AG462" s="61" t="n">
        <f aca="false">O462</f>
        <v>0</v>
      </c>
      <c r="AH462" s="61" t="n">
        <f aca="false">P462</f>
        <v>0</v>
      </c>
      <c r="AI462" s="61" t="n">
        <f aca="false">VLOOKUP(AH462,recipe_ingred_list!$K$29:$M$34,3,0)</f>
        <v>3</v>
      </c>
      <c r="AJ462" s="61" t="str">
        <f aca="false">IF(Q462="","",Q462)</f>
        <v/>
      </c>
      <c r="AK462" s="61" t="n">
        <f aca="false">AK461+1</f>
        <v>462</v>
      </c>
      <c r="AL462" s="61" t="str">
        <f aca="false">Y462</f>
        <v>black pepper</v>
      </c>
      <c r="AM462" s="81" t="str">
        <f aca="false">"a = Client().post('"&amp;W462&amp;"', {'recipe' : '"&amp;V462&amp;"', 'ingredient' : '"&amp;Z462&amp;"', 'name' : '"&amp;X462&amp;"', 'mass_unit' : '"&amp;AC462&amp;"', 'mass_quantity' : '"&amp;ROUND(AA462,3)&amp;"', 'volume_unit' : '"&amp;AF462&amp;"', 'volume_quantity' : '"&amp;ROUND(AD462,3)&amp;"', 'pieces_unit' : '"&amp;AI462&amp;"', 'pieces_quantity' : '"&amp;ROUND(AG462,3)&amp;"', 'cooking_notes' : '"&amp;AJ462&amp;"'}).status_code; print('%s :: %s :: %s :: %s :: %s' %(a,"&amp;G462&amp;",'"&amp;X462&amp;"','"&amp;Y462&amp;"','"&amp;U462&amp;"'))"</f>
        <v>a = Client().post('/recipes/beans-tahini-sauce/detail/', {'recipe' : '8', 'ingredient' : '31', 'name' : 'Black Pepper pwd', 'mass_unit' : '2', 'mass_quantity' : '0', 'volume_unit' : '5', 'volume_quantity' : '0.8', 'pieces_unit' : '3', 'pieces_quantity' : '0', 'cooking_notes' : ''}).status_code; print('%s :: %s :: %s :: %s :: %s' %(a,462,'Black Pepper pwd','black pepper','Beans Tahini Sauce'))</v>
      </c>
    </row>
    <row r="463" customFormat="false" ht="13.8" hidden="false" customHeight="false" outlineLevel="0" collapsed="false">
      <c r="G463" s="80" t="n">
        <v>463</v>
      </c>
      <c r="I463" s="154" t="s">
        <v>128</v>
      </c>
      <c r="J463" s="144" t="s">
        <v>31</v>
      </c>
      <c r="M463" s="145" t="n">
        <v>0.5</v>
      </c>
      <c r="N463" s="145" t="s">
        <v>20</v>
      </c>
      <c r="R463" s="82" t="str">
        <f aca="false">VLOOKUP(J463,ingredient!$N$4:$O$553,2,0)</f>
        <v>black salt</v>
      </c>
      <c r="U463" s="81" t="str">
        <f aca="false">I463</f>
        <v>Beans Tahini Sauce</v>
      </c>
      <c r="V463" s="81" t="n">
        <f aca="false">VLOOKUP(U463,recipe_ingred_list!$A$2:$B$300,2,0)</f>
        <v>8</v>
      </c>
      <c r="W463" s="81" t="str">
        <f aca="false">"/recipes/"&amp;VLOOKUP(U463,recipe_ingred_list!$A$2:$C$300,3,0)&amp;"/detail/"</f>
        <v>/recipes/beans-tahini-sauce/detail/</v>
      </c>
      <c r="X463" s="81" t="str">
        <f aca="false">J463</f>
        <v>Black Salt</v>
      </c>
      <c r="Y463" s="81" t="str">
        <f aca="false">R463</f>
        <v>black salt</v>
      </c>
      <c r="Z463" s="94" t="n">
        <f aca="false">VLOOKUP(Y463,recipe_ingred_list!$D$2:$E$500,2,0)</f>
        <v>32</v>
      </c>
      <c r="AA463" s="61" t="n">
        <f aca="false">K463</f>
        <v>0</v>
      </c>
      <c r="AB463" s="61" t="n">
        <f aca="false">L463</f>
        <v>0</v>
      </c>
      <c r="AC463" s="61" t="n">
        <f aca="false">VLOOKUP(AB463,recipe_ingred_list!$K$2:$M$7,3,0)</f>
        <v>2</v>
      </c>
      <c r="AD463" s="61" t="n">
        <f aca="false">M463</f>
        <v>0.5</v>
      </c>
      <c r="AE463" s="61" t="str">
        <f aca="false">N463</f>
        <v>cup</v>
      </c>
      <c r="AF463" s="61" t="n">
        <f aca="false">VLOOKUP(AE463,recipe_ingred_list!$K$16:$M$25,3,0)</f>
        <v>5</v>
      </c>
      <c r="AG463" s="61" t="n">
        <f aca="false">O463</f>
        <v>0</v>
      </c>
      <c r="AH463" s="61" t="n">
        <f aca="false">P463</f>
        <v>0</v>
      </c>
      <c r="AI463" s="61" t="n">
        <f aca="false">VLOOKUP(AH463,recipe_ingred_list!$K$29:$M$34,3,0)</f>
        <v>3</v>
      </c>
      <c r="AJ463" s="61" t="str">
        <f aca="false">IF(Q463="","",Q463)</f>
        <v/>
      </c>
      <c r="AK463" s="61" t="n">
        <f aca="false">AK462+1</f>
        <v>463</v>
      </c>
      <c r="AL463" s="61" t="str">
        <f aca="false">Y463</f>
        <v>black salt</v>
      </c>
      <c r="AM463" s="81" t="str">
        <f aca="false">"a = Client().post('"&amp;W463&amp;"', {'recipe' : '"&amp;V463&amp;"', 'ingredient' : '"&amp;Z463&amp;"', 'name' : '"&amp;X463&amp;"', 'mass_unit' : '"&amp;AC463&amp;"', 'mass_quantity' : '"&amp;ROUND(AA463,3)&amp;"', 'volume_unit' : '"&amp;AF463&amp;"', 'volume_quantity' : '"&amp;ROUND(AD463,3)&amp;"', 'pieces_unit' : '"&amp;AI463&amp;"', 'pieces_quantity' : '"&amp;ROUND(AG463,3)&amp;"', 'cooking_notes' : '"&amp;AJ463&amp;"'}).status_code; print('%s :: %s :: %s :: %s :: %s' %(a,"&amp;G463&amp;",'"&amp;X463&amp;"','"&amp;Y463&amp;"','"&amp;U463&amp;"'))"</f>
        <v>a = Client().post('/recipes/beans-tahini-sauce/detail/', {'recipe' : '8', 'ingredient' : '32', 'name' : 'Black Salt', 'mass_unit' : '2', 'mass_quantity' : '0', 'volume_unit' : '5', 'volume_quantity' : '0.5', 'pieces_unit' : '3', 'pieces_quantity' : '0', 'cooking_notes' : ''}).status_code; print('%s :: %s :: %s :: %s :: %s' %(a,463,'Black Salt','black salt','Beans Tahini Sauce'))</v>
      </c>
    </row>
    <row r="464" customFormat="false" ht="13.8" hidden="false" customHeight="false" outlineLevel="0" collapsed="false">
      <c r="G464" s="80" t="n">
        <v>464</v>
      </c>
      <c r="I464" s="154" t="s">
        <v>128</v>
      </c>
      <c r="J464" s="144" t="s">
        <v>656</v>
      </c>
      <c r="M464" s="145" t="n">
        <v>0.5</v>
      </c>
      <c r="N464" s="145" t="s">
        <v>13</v>
      </c>
      <c r="R464" s="82" t="str">
        <f aca="false">VLOOKUP(J464,ingredient!$N$4:$O$553,2,0)</f>
        <v>butter</v>
      </c>
      <c r="U464" s="81" t="str">
        <f aca="false">I464</f>
        <v>Beans Tahini Sauce</v>
      </c>
      <c r="V464" s="81" t="n">
        <f aca="false">VLOOKUP(U464,recipe_ingred_list!$A$2:$B$300,2,0)</f>
        <v>8</v>
      </c>
      <c r="W464" s="81" t="str">
        <f aca="false">"/recipes/"&amp;VLOOKUP(U464,recipe_ingred_list!$A$2:$C$300,3,0)&amp;"/detail/"</f>
        <v>/recipes/beans-tahini-sauce/detail/</v>
      </c>
      <c r="X464" s="81" t="str">
        <f aca="false">J464</f>
        <v>Butter (Makhan)/ EVOO</v>
      </c>
      <c r="Y464" s="81" t="str">
        <f aca="false">R464</f>
        <v>butter</v>
      </c>
      <c r="Z464" s="94" t="n">
        <f aca="false">VLOOKUP(Y464,recipe_ingred_list!$D$2:$E$500,2,0)</f>
        <v>38</v>
      </c>
      <c r="AA464" s="61" t="n">
        <f aca="false">K464</f>
        <v>0</v>
      </c>
      <c r="AB464" s="61" t="n">
        <f aca="false">L464</f>
        <v>0</v>
      </c>
      <c r="AC464" s="61" t="n">
        <f aca="false">VLOOKUP(AB464,recipe_ingred_list!$K$2:$M$7,3,0)</f>
        <v>2</v>
      </c>
      <c r="AD464" s="61" t="n">
        <f aca="false">M464</f>
        <v>0.5</v>
      </c>
      <c r="AE464" s="61" t="str">
        <f aca="false">N464</f>
        <v>ltr</v>
      </c>
      <c r="AF464" s="61" t="n">
        <f aca="false">VLOOKUP(AE464,recipe_ingred_list!$K$16:$M$25,3,0)</f>
        <v>1</v>
      </c>
      <c r="AG464" s="61" t="n">
        <f aca="false">O464</f>
        <v>0</v>
      </c>
      <c r="AH464" s="61" t="n">
        <f aca="false">P464</f>
        <v>0</v>
      </c>
      <c r="AI464" s="61" t="n">
        <f aca="false">VLOOKUP(AH464,recipe_ingred_list!$K$29:$M$34,3,0)</f>
        <v>3</v>
      </c>
      <c r="AJ464" s="61" t="str">
        <f aca="false">IF(Q464="","",Q464)</f>
        <v/>
      </c>
      <c r="AK464" s="61" t="n">
        <f aca="false">AK463+1</f>
        <v>464</v>
      </c>
      <c r="AL464" s="61" t="str">
        <f aca="false">Y464</f>
        <v>butter</v>
      </c>
      <c r="AM464" s="81" t="str">
        <f aca="false">"a = Client().post('"&amp;W464&amp;"', {'recipe' : '"&amp;V464&amp;"', 'ingredient' : '"&amp;Z464&amp;"', 'name' : '"&amp;X464&amp;"', 'mass_unit' : '"&amp;AC464&amp;"', 'mass_quantity' : '"&amp;ROUND(AA464,3)&amp;"', 'volume_unit' : '"&amp;AF464&amp;"', 'volume_quantity' : '"&amp;ROUND(AD464,3)&amp;"', 'pieces_unit' : '"&amp;AI464&amp;"', 'pieces_quantity' : '"&amp;ROUND(AG464,3)&amp;"', 'cooking_notes' : '"&amp;AJ464&amp;"'}).status_code; print('%s :: %s :: %s :: %s :: %s' %(a,"&amp;G464&amp;",'"&amp;X464&amp;"','"&amp;Y464&amp;"','"&amp;U464&amp;"'))"</f>
        <v>a = Client().post('/recipes/beans-tahini-sauce/detail/', {'recipe' : '8', 'ingredient' : '38', 'name' : 'Butter (Makhan)/ EVOO', 'mass_unit' : '2', 'mass_quantity' : '0', 'volume_unit' : '1', 'volume_quantity' : '0.5', 'pieces_unit' : '3', 'pieces_quantity' : '0', 'cooking_notes' : ''}).status_code; print('%s :: %s :: %s :: %s :: %s' %(a,464,'Butter (Makhan)/ EVOO','butter','Beans Tahini Sauce'))</v>
      </c>
    </row>
    <row r="465" customFormat="false" ht="13.8" hidden="false" customHeight="false" outlineLevel="0" collapsed="false">
      <c r="G465" s="80" t="n">
        <v>465</v>
      </c>
      <c r="I465" s="154" t="s">
        <v>128</v>
      </c>
      <c r="J465" s="144" t="s">
        <v>657</v>
      </c>
      <c r="M465" s="145" t="n">
        <v>0.5</v>
      </c>
      <c r="N465" s="145" t="s">
        <v>20</v>
      </c>
      <c r="R465" s="82" t="str">
        <f aca="false">VLOOKUP(J465,ingredient!$N$4:$O$553,2,0)</f>
        <v>hing</v>
      </c>
      <c r="U465" s="81" t="str">
        <f aca="false">I465</f>
        <v>Beans Tahini Sauce</v>
      </c>
      <c r="V465" s="81" t="n">
        <f aca="false">VLOOKUP(U465,recipe_ingred_list!$A$2:$B$300,2,0)</f>
        <v>8</v>
      </c>
      <c r="W465" s="81" t="str">
        <f aca="false">"/recipes/"&amp;VLOOKUP(U465,recipe_ingred_list!$A$2:$C$300,3,0)&amp;"/detail/"</f>
        <v>/recipes/beans-tahini-sauce/detail/</v>
      </c>
      <c r="X465" s="81" t="str">
        <f aca="false">J465</f>
        <v>Hing (Asafoetida)</v>
      </c>
      <c r="Y465" s="81" t="str">
        <f aca="false">R465</f>
        <v>hing</v>
      </c>
      <c r="Z465" s="94" t="n">
        <f aca="false">VLOOKUP(Y465,recipe_ingred_list!$D$2:$E$500,2,0)</f>
        <v>95</v>
      </c>
      <c r="AA465" s="61" t="n">
        <f aca="false">K465</f>
        <v>0</v>
      </c>
      <c r="AB465" s="61" t="n">
        <f aca="false">L465</f>
        <v>0</v>
      </c>
      <c r="AC465" s="61" t="n">
        <f aca="false">VLOOKUP(AB465,recipe_ingred_list!$K$2:$M$7,3,0)</f>
        <v>2</v>
      </c>
      <c r="AD465" s="61" t="n">
        <f aca="false">M465</f>
        <v>0.5</v>
      </c>
      <c r="AE465" s="61" t="str">
        <f aca="false">N465</f>
        <v>cup</v>
      </c>
      <c r="AF465" s="61" t="n">
        <f aca="false">VLOOKUP(AE465,recipe_ingred_list!$K$16:$M$25,3,0)</f>
        <v>5</v>
      </c>
      <c r="AG465" s="61" t="n">
        <f aca="false">O465</f>
        <v>0</v>
      </c>
      <c r="AH465" s="61" t="n">
        <f aca="false">P465</f>
        <v>0</v>
      </c>
      <c r="AI465" s="61" t="n">
        <f aca="false">VLOOKUP(AH465,recipe_ingred_list!$K$29:$M$34,3,0)</f>
        <v>3</v>
      </c>
      <c r="AJ465" s="61" t="str">
        <f aca="false">IF(Q465="","",Q465)</f>
        <v/>
      </c>
      <c r="AK465" s="61" t="n">
        <f aca="false">AK464+1</f>
        <v>465</v>
      </c>
      <c r="AL465" s="61" t="str">
        <f aca="false">Y465</f>
        <v>hing</v>
      </c>
      <c r="AM465" s="81" t="str">
        <f aca="false">"a = Client().post('"&amp;W465&amp;"', {'recipe' : '"&amp;V465&amp;"', 'ingredient' : '"&amp;Z465&amp;"', 'name' : '"&amp;X465&amp;"', 'mass_unit' : '"&amp;AC465&amp;"', 'mass_quantity' : '"&amp;ROUND(AA465,3)&amp;"', 'volume_unit' : '"&amp;AF465&amp;"', 'volume_quantity' : '"&amp;ROUND(AD465,3)&amp;"', 'pieces_unit' : '"&amp;AI465&amp;"', 'pieces_quantity' : '"&amp;ROUND(AG465,3)&amp;"', 'cooking_notes' : '"&amp;AJ465&amp;"'}).status_code; print('%s :: %s :: %s :: %s :: %s' %(a,"&amp;G465&amp;",'"&amp;X465&amp;"','"&amp;Y465&amp;"','"&amp;U465&amp;"'))"</f>
        <v>a = Client().post('/recipes/beans-tahini-sauce/detail/', {'recipe' : '8', 'ingredient' : '95', 'name' : 'Hing (Asafoetida)', 'mass_unit' : '2', 'mass_quantity' : '0', 'volume_unit' : '5', 'volume_quantity' : '0.5', 'pieces_unit' : '3', 'pieces_quantity' : '0', 'cooking_notes' : ''}).status_code; print('%s :: %s :: %s :: %s :: %s' %(a,465,'Hing (Asafoetida)','hing','Beans Tahini Sauce'))</v>
      </c>
    </row>
    <row r="466" customFormat="false" ht="13.8" hidden="false" customHeight="false" outlineLevel="0" collapsed="false">
      <c r="G466" s="80" t="n">
        <v>466</v>
      </c>
      <c r="I466" s="154" t="s">
        <v>128</v>
      </c>
      <c r="J466" s="144" t="s">
        <v>658</v>
      </c>
      <c r="M466" s="145" t="n">
        <v>1</v>
      </c>
      <c r="N466" s="145" t="s">
        <v>20</v>
      </c>
      <c r="R466" s="82" t="str">
        <f aca="false">VLOOKUP(J466,ingredient!$N$4:$O$553,2,0)</f>
        <v>salt</v>
      </c>
      <c r="U466" s="81" t="str">
        <f aca="false">I466</f>
        <v>Beans Tahini Sauce</v>
      </c>
      <c r="V466" s="81" t="n">
        <f aca="false">VLOOKUP(U466,recipe_ingred_list!$A$2:$B$300,2,0)</f>
        <v>8</v>
      </c>
      <c r="W466" s="81" t="str">
        <f aca="false">"/recipes/"&amp;VLOOKUP(U466,recipe_ingred_list!$A$2:$C$300,3,0)&amp;"/detail/"</f>
        <v>/recipes/beans-tahini-sauce/detail/</v>
      </c>
      <c r="X466" s="81" t="str">
        <f aca="false">J466</f>
        <v>Salt (Namak)</v>
      </c>
      <c r="Y466" s="81" t="str">
        <f aca="false">R466</f>
        <v>salt</v>
      </c>
      <c r="Z466" s="94" t="n">
        <f aca="false">VLOOKUP(Y466,recipe_ingred_list!$D$2:$E$500,2,0)</f>
        <v>177</v>
      </c>
      <c r="AA466" s="61" t="n">
        <f aca="false">K466</f>
        <v>0</v>
      </c>
      <c r="AB466" s="61" t="n">
        <f aca="false">L466</f>
        <v>0</v>
      </c>
      <c r="AC466" s="61" t="n">
        <f aca="false">VLOOKUP(AB466,recipe_ingred_list!$K$2:$M$7,3,0)</f>
        <v>2</v>
      </c>
      <c r="AD466" s="61" t="n">
        <f aca="false">M466</f>
        <v>1</v>
      </c>
      <c r="AE466" s="61" t="str">
        <f aca="false">N466</f>
        <v>cup</v>
      </c>
      <c r="AF466" s="61" t="n">
        <f aca="false">VLOOKUP(AE466,recipe_ingred_list!$K$16:$M$25,3,0)</f>
        <v>5</v>
      </c>
      <c r="AG466" s="61" t="n">
        <f aca="false">O466</f>
        <v>0</v>
      </c>
      <c r="AH466" s="61" t="n">
        <f aca="false">P466</f>
        <v>0</v>
      </c>
      <c r="AI466" s="61" t="n">
        <f aca="false">VLOOKUP(AH466,recipe_ingred_list!$K$29:$M$34,3,0)</f>
        <v>3</v>
      </c>
      <c r="AJ466" s="61" t="str">
        <f aca="false">IF(Q466="","",Q466)</f>
        <v/>
      </c>
      <c r="AK466" s="61" t="n">
        <f aca="false">AK465+1</f>
        <v>466</v>
      </c>
      <c r="AL466" s="61" t="str">
        <f aca="false">Y466</f>
        <v>salt</v>
      </c>
      <c r="AM466" s="81" t="str">
        <f aca="false">"a = Client().post('"&amp;W466&amp;"', {'recipe' : '"&amp;V466&amp;"', 'ingredient' : '"&amp;Z466&amp;"', 'name' : '"&amp;X466&amp;"', 'mass_unit' : '"&amp;AC466&amp;"', 'mass_quantity' : '"&amp;ROUND(AA466,3)&amp;"', 'volume_unit' : '"&amp;AF466&amp;"', 'volume_quantity' : '"&amp;ROUND(AD466,3)&amp;"', 'pieces_unit' : '"&amp;AI466&amp;"', 'pieces_quantity' : '"&amp;ROUND(AG466,3)&amp;"', 'cooking_notes' : '"&amp;AJ466&amp;"'}).status_code; print('%s :: %s :: %s :: %s :: %s' %(a,"&amp;G466&amp;",'"&amp;X466&amp;"','"&amp;Y466&amp;"','"&amp;U466&amp;"'))"</f>
        <v>a = Client().post('/recipes/beans-tahini-sauce/detail/', {'recipe' : '8', 'ingredient' : '177', 'name' : 'Salt (Namak)', 'mass_unit' : '2', 'mass_quantity' : '0', 'volume_unit' : '5', 'volume_quantity' : '1', 'pieces_unit' : '3', 'pieces_quantity' : '0', 'cooking_notes' : ''}).status_code; print('%s :: %s :: %s :: %s :: %s' %(a,466,'Salt (Namak)','salt','Beans Tahini Sauce'))</v>
      </c>
    </row>
    <row r="467" customFormat="false" ht="14.9" hidden="false" customHeight="false" outlineLevel="0" collapsed="false">
      <c r="G467" s="80" t="n">
        <v>467</v>
      </c>
      <c r="I467" s="154" t="s">
        <v>128</v>
      </c>
      <c r="J467" s="144" t="s">
        <v>21</v>
      </c>
      <c r="K467" s="145" t="n">
        <v>3</v>
      </c>
      <c r="L467" s="145" t="s">
        <v>7</v>
      </c>
      <c r="Q467" s="159" t="s">
        <v>659</v>
      </c>
      <c r="R467" s="82" t="str">
        <f aca="false">VLOOKUP(J467,ingredient!$N$4:$O$553,2,0)</f>
        <v>tomato</v>
      </c>
      <c r="U467" s="81" t="str">
        <f aca="false">I467</f>
        <v>Beans Tahini Sauce</v>
      </c>
      <c r="V467" s="81" t="n">
        <f aca="false">VLOOKUP(U467,recipe_ingred_list!$A$2:$B$300,2,0)</f>
        <v>8</v>
      </c>
      <c r="W467" s="81" t="str">
        <f aca="false">"/recipes/"&amp;VLOOKUP(U467,recipe_ingred_list!$A$2:$C$300,3,0)&amp;"/detail/"</f>
        <v>/recipes/beans-tahini-sauce/detail/</v>
      </c>
      <c r="X467" s="81" t="str">
        <f aca="false">J467</f>
        <v>Tomato</v>
      </c>
      <c r="Y467" s="81" t="str">
        <f aca="false">R467</f>
        <v>tomato</v>
      </c>
      <c r="Z467" s="94" t="n">
        <f aca="false">VLOOKUP(Y467,recipe_ingred_list!$D$2:$E$500,2,0)</f>
        <v>195</v>
      </c>
      <c r="AA467" s="61" t="n">
        <f aca="false">K467</f>
        <v>3</v>
      </c>
      <c r="AB467" s="61" t="str">
        <f aca="false">L467</f>
        <v>kg</v>
      </c>
      <c r="AC467" s="61" t="n">
        <f aca="false">VLOOKUP(AB467,recipe_ingred_list!$K$2:$M$7,3,0)</f>
        <v>2</v>
      </c>
      <c r="AD467" s="61" t="n">
        <f aca="false">M467</f>
        <v>0</v>
      </c>
      <c r="AE467" s="61" t="n">
        <f aca="false">N467</f>
        <v>0</v>
      </c>
      <c r="AF467" s="61" t="n">
        <f aca="false">VLOOKUP(AE467,recipe_ingred_list!$K$16:$M$25,3,0)</f>
        <v>1</v>
      </c>
      <c r="AG467" s="61" t="n">
        <f aca="false">O467</f>
        <v>0</v>
      </c>
      <c r="AH467" s="61" t="n">
        <f aca="false">P467</f>
        <v>0</v>
      </c>
      <c r="AI467" s="61" t="n">
        <f aca="false">VLOOKUP(AH467,recipe_ingred_list!$K$29:$M$34,3,0)</f>
        <v>3</v>
      </c>
      <c r="AJ467" s="61" t="str">
        <f aca="false">IF(Q467="","",Q467)</f>
        <v>Chopped 1/2''</v>
      </c>
      <c r="AK467" s="61" t="n">
        <f aca="false">AK466+1</f>
        <v>467</v>
      </c>
      <c r="AL467" s="61" t="str">
        <f aca="false">Y467</f>
        <v>tomato</v>
      </c>
      <c r="AM467" s="81" t="str">
        <f aca="false">"a = Client().post('"&amp;W467&amp;"', {'recipe' : '"&amp;V467&amp;"', 'ingredient' : '"&amp;Z467&amp;"', 'name' : '"&amp;X467&amp;"', 'mass_unit' : '"&amp;AC467&amp;"', 'mass_quantity' : '"&amp;ROUND(AA467,3)&amp;"', 'volume_unit' : '"&amp;AF467&amp;"', 'volume_quantity' : '"&amp;ROUND(AD467,3)&amp;"', 'pieces_unit' : '"&amp;AI467&amp;"', 'pieces_quantity' : '"&amp;ROUND(AG467,3)&amp;"', 'cooking_notes' : '"&amp;AJ467&amp;"'}).status_code; print('%s :: %s :: %s :: %s :: %s' %(a,"&amp;G467&amp;",'"&amp;X467&amp;"','"&amp;Y467&amp;"','"&amp;U467&amp;"'))"</f>
        <v>a = Client().post('/recipes/beans-tahini-sauce/detail/', {'recipe' : '8', 'ingredient' : '195', 'name' : 'Tomato', 'mass_unit' : '2', 'mass_quantity' : '3', 'volume_unit' : '1', 'volume_quantity' : '0', 'pieces_unit' : '3', 'pieces_quantity' : '0', 'cooking_notes' : 'Chopped 1/2'''}).status_code; print('%s :: %s :: %s :: %s :: %s' %(a,467,'Tomato','tomato','Beans Tahini Sauce'))</v>
      </c>
    </row>
    <row r="468" customFormat="false" ht="13.8" hidden="false" customHeight="false" outlineLevel="0" collapsed="false">
      <c r="G468" s="80" t="n">
        <v>468</v>
      </c>
      <c r="I468" s="154" t="s">
        <v>128</v>
      </c>
      <c r="J468" s="144" t="s">
        <v>660</v>
      </c>
      <c r="K468" s="69"/>
      <c r="L468" s="69"/>
      <c r="M468" s="145" t="n">
        <v>2</v>
      </c>
      <c r="N468" s="145" t="s">
        <v>13</v>
      </c>
      <c r="O468" s="69"/>
      <c r="P468" s="69"/>
      <c r="R468" s="82" t="str">
        <f aca="false">VLOOKUP(J468,ingredient!$N$4:$O$553,2,0)</f>
        <v>tahini paste</v>
      </c>
      <c r="U468" s="81" t="str">
        <f aca="false">I468</f>
        <v>Beans Tahini Sauce</v>
      </c>
      <c r="V468" s="81" t="n">
        <f aca="false">VLOOKUP(U468,recipe_ingred_list!$A$2:$B$300,2,0)</f>
        <v>8</v>
      </c>
      <c r="W468" s="81" t="str">
        <f aca="false">"/recipes/"&amp;VLOOKUP(U468,recipe_ingred_list!$A$2:$C$300,3,0)&amp;"/detail/"</f>
        <v>/recipes/beans-tahini-sauce/detail/</v>
      </c>
      <c r="X468" s="81" t="str">
        <f aca="false">J468</f>
        <v>Tahini paste</v>
      </c>
      <c r="Y468" s="81" t="str">
        <f aca="false">R468</f>
        <v>tahini paste</v>
      </c>
      <c r="Z468" s="94" t="n">
        <f aca="false">VLOOKUP(Y468,recipe_ingred_list!$D$2:$E$500,2,0)</f>
        <v>189</v>
      </c>
      <c r="AA468" s="61" t="n">
        <f aca="false">K468</f>
        <v>0</v>
      </c>
      <c r="AB468" s="61" t="n">
        <f aca="false">L468</f>
        <v>0</v>
      </c>
      <c r="AC468" s="61" t="n">
        <f aca="false">VLOOKUP(AB468,recipe_ingred_list!$K$2:$M$7,3,0)</f>
        <v>2</v>
      </c>
      <c r="AD468" s="61" t="n">
        <f aca="false">M468</f>
        <v>2</v>
      </c>
      <c r="AE468" s="61" t="str">
        <f aca="false">N468</f>
        <v>ltr</v>
      </c>
      <c r="AF468" s="61" t="n">
        <f aca="false">VLOOKUP(AE468,recipe_ingred_list!$K$16:$M$25,3,0)</f>
        <v>1</v>
      </c>
      <c r="AG468" s="61" t="n">
        <f aca="false">O468</f>
        <v>0</v>
      </c>
      <c r="AH468" s="61" t="n">
        <f aca="false">P468</f>
        <v>0</v>
      </c>
      <c r="AI468" s="61" t="n">
        <f aca="false">VLOOKUP(AH468,recipe_ingred_list!$K$29:$M$34,3,0)</f>
        <v>3</v>
      </c>
      <c r="AJ468" s="61" t="str">
        <f aca="false">IF(Q468="","",Q468)</f>
        <v/>
      </c>
      <c r="AK468" s="61" t="n">
        <f aca="false">AK467+1</f>
        <v>468</v>
      </c>
      <c r="AL468" s="61" t="str">
        <f aca="false">Y468</f>
        <v>tahini paste</v>
      </c>
      <c r="AM468" s="81" t="str">
        <f aca="false">"a = Client().post('"&amp;W468&amp;"', {'recipe' : '"&amp;V468&amp;"', 'ingredient' : '"&amp;Z468&amp;"', 'name' : '"&amp;X468&amp;"', 'mass_unit' : '"&amp;AC468&amp;"', 'mass_quantity' : '"&amp;ROUND(AA468,3)&amp;"', 'volume_unit' : '"&amp;AF468&amp;"', 'volume_quantity' : '"&amp;ROUND(AD468,3)&amp;"', 'pieces_unit' : '"&amp;AI468&amp;"', 'pieces_quantity' : '"&amp;ROUND(AG468,3)&amp;"', 'cooking_notes' : '"&amp;AJ468&amp;"'}).status_code; print('%s :: %s :: %s :: %s :: %s' %(a,"&amp;G468&amp;",'"&amp;X468&amp;"','"&amp;Y468&amp;"','"&amp;U468&amp;"'))"</f>
        <v>a = Client().post('/recipes/beans-tahini-sauce/detail/', {'recipe' : '8', 'ingredient' : '189', 'name' : 'Tahini paste', 'mass_unit' : '2', 'mass_quantity' : '0', 'volume_unit' : '1', 'volume_quantity' : '2', 'pieces_unit' : '3', 'pieces_quantity' : '0', 'cooking_notes' : ''}).status_code; print('%s :: %s :: %s :: %s :: %s' %(a,468,'Tahini paste','tahini paste','Beans Tahini Sauce'))</v>
      </c>
    </row>
    <row r="469" customFormat="false" ht="13.8" hidden="false" customHeight="false" outlineLevel="0" collapsed="false">
      <c r="G469" s="80" t="n">
        <v>469</v>
      </c>
      <c r="H469" s="152" t="s">
        <v>26</v>
      </c>
      <c r="I469" s="100"/>
      <c r="J469" s="99"/>
      <c r="K469" s="100"/>
      <c r="L469" s="100"/>
      <c r="M469" s="153" t="n">
        <v>1</v>
      </c>
      <c r="N469" s="153" t="s">
        <v>27</v>
      </c>
      <c r="O469" s="101"/>
      <c r="P469" s="100" t="str">
        <f aca="false">VLOOKUP(H469,ingredient!$N$4:$O$553,2,1)</f>
        <v>yellow capsicum</v>
      </c>
      <c r="Q469" s="102"/>
      <c r="R469" s="99" t="e">
        <f aca="false">VLOOKUP(J469,ingredient!$N$4:$O$553,2,0)</f>
        <v>#N/A</v>
      </c>
      <c r="S469" s="98" t="n">
        <f aca="false">G469</f>
        <v>469</v>
      </c>
      <c r="T469" s="98" t="e">
        <f aca="false">VLOOKUP(S469,recipe_ingred_list!$A$2:$B$89,2,0)</f>
        <v>#N/A</v>
      </c>
      <c r="U469" s="81" t="n">
        <f aca="false">I469</f>
        <v>0</v>
      </c>
      <c r="V469" s="81" t="e">
        <f aca="false">VLOOKUP(U469,recipe_ingred_list!$A$2:$B$300,2,0)</f>
        <v>#N/A</v>
      </c>
      <c r="W469" s="81" t="e">
        <f aca="false">"/recipes/"&amp;VLOOKUP(U469,recipe_ingred_list!$A$2:$C$300,3,0)&amp;"/detail/"</f>
        <v>#N/A</v>
      </c>
      <c r="X469" s="81" t="n">
        <f aca="false">J469</f>
        <v>0</v>
      </c>
      <c r="Y469" s="81" t="e">
        <f aca="false">R469</f>
        <v>#N/A</v>
      </c>
      <c r="Z469" s="94" t="e">
        <f aca="false">VLOOKUP(Y469,recipe_ingred_list!$D$2:$E$500,2,0)</f>
        <v>#N/A</v>
      </c>
      <c r="AA469" s="61" t="n">
        <f aca="false">K469</f>
        <v>0</v>
      </c>
      <c r="AB469" s="61" t="n">
        <f aca="false">L469</f>
        <v>0</v>
      </c>
      <c r="AC469" s="61" t="n">
        <f aca="false">VLOOKUP(AB469,recipe_ingred_list!$K$2:$M$7,3,0)</f>
        <v>2</v>
      </c>
      <c r="AD469" s="61" t="n">
        <f aca="false">M469</f>
        <v>1</v>
      </c>
      <c r="AE469" s="61" t="str">
        <f aca="false">N469</f>
        <v>tub</v>
      </c>
      <c r="AF469" s="61" t="n">
        <f aca="false">VLOOKUP(AE469,recipe_ingred_list!$K$16:$M$25,3,0)</f>
        <v>4</v>
      </c>
      <c r="AG469" s="61" t="n">
        <f aca="false">O469</f>
        <v>0</v>
      </c>
      <c r="AH469" s="61" t="str">
        <f aca="false">P469</f>
        <v>yellow capsicum</v>
      </c>
      <c r="AI469" s="61" t="e">
        <f aca="false">VLOOKUP(AH469,recipe_ingred_list!$K$29:$M$34,3,0)</f>
        <v>#N/A</v>
      </c>
      <c r="AJ469" s="61" t="str">
        <f aca="false">IF(Q469="","",Q469)</f>
        <v/>
      </c>
      <c r="AK469" s="61" t="n">
        <f aca="false">AK468+1</f>
        <v>469</v>
      </c>
      <c r="AL469" s="61" t="e">
        <f aca="false">Y469</f>
        <v>#N/A</v>
      </c>
      <c r="AM469" s="81" t="e">
        <f aca="false">"a = Client().post('"&amp;W469&amp;"', {'recipe' : '"&amp;V469&amp;"', 'ingredient' : '"&amp;Z469&amp;"', 'name' : '"&amp;X469&amp;"', 'mass_unit' : '"&amp;AC469&amp;"', 'mass_quantity' : '"&amp;ROUND(AA469,3)&amp;"', 'volume_unit' : '"&amp;AF469&amp;"', 'volume_quantity' : '"&amp;ROUND(AD469,3)&amp;"', 'pieces_unit' : '"&amp;AI469&amp;"', 'pieces_quantity' : '"&amp;ROUND(AG469,3)&amp;"', 'cooking_notes' : '"&amp;AJ469&amp;"'}).status_code; print('%s :: %s :: %s :: %s :: %s' %(a,"&amp;G469&amp;",'"&amp;X469&amp;"','"&amp;Y469&amp;"','"&amp;U469&amp;"'))"</f>
        <v>#N/A</v>
      </c>
    </row>
    <row r="470" customFormat="false" ht="13.8" hidden="false" customHeight="false" outlineLevel="0" collapsed="false">
      <c r="G470" s="80" t="n">
        <v>470</v>
      </c>
      <c r="H470" s="152" t="s">
        <v>26</v>
      </c>
      <c r="I470" s="100"/>
      <c r="J470" s="99"/>
      <c r="K470" s="153" t="n">
        <v>35</v>
      </c>
      <c r="L470" s="153" t="s">
        <v>13</v>
      </c>
      <c r="M470" s="101"/>
      <c r="N470" s="100"/>
      <c r="O470" s="101"/>
      <c r="P470" s="100" t="str">
        <f aca="false">VLOOKUP(H470,ingredient!$N$4:$O$553,2,1)</f>
        <v>yellow capsicum</v>
      </c>
      <c r="Q470" s="102"/>
      <c r="R470" s="99" t="e">
        <f aca="false">VLOOKUP(J470,ingredient!$N$4:$O$553,2,0)</f>
        <v>#N/A</v>
      </c>
      <c r="S470" s="98" t="n">
        <f aca="false">G470</f>
        <v>470</v>
      </c>
      <c r="T470" s="98" t="e">
        <f aca="false">VLOOKUP(S470,recipe_ingred_list!$A$2:$B$89,2,0)</f>
        <v>#N/A</v>
      </c>
      <c r="U470" s="81" t="n">
        <f aca="false">I470</f>
        <v>0</v>
      </c>
      <c r="V470" s="81" t="e">
        <f aca="false">VLOOKUP(U470,recipe_ingred_list!$A$2:$B$300,2,0)</f>
        <v>#N/A</v>
      </c>
      <c r="W470" s="81" t="e">
        <f aca="false">"/recipes/"&amp;VLOOKUP(U470,recipe_ingred_list!$A$2:$C$300,3,0)&amp;"/detail/"</f>
        <v>#N/A</v>
      </c>
      <c r="X470" s="81" t="n">
        <f aca="false">J470</f>
        <v>0</v>
      </c>
      <c r="Y470" s="81" t="e">
        <f aca="false">R470</f>
        <v>#N/A</v>
      </c>
      <c r="Z470" s="94" t="e">
        <f aca="false">VLOOKUP(Y470,recipe_ingred_list!$D$2:$E$500,2,0)</f>
        <v>#N/A</v>
      </c>
      <c r="AA470" s="61" t="n">
        <f aca="false">K470</f>
        <v>35</v>
      </c>
      <c r="AB470" s="61" t="str">
        <f aca="false">L470</f>
        <v>ltr</v>
      </c>
      <c r="AC470" s="61" t="e">
        <f aca="false">VLOOKUP(AB470,recipe_ingred_list!$K$2:$M$7,3,0)</f>
        <v>#N/A</v>
      </c>
      <c r="AD470" s="61" t="n">
        <f aca="false">M470</f>
        <v>0</v>
      </c>
      <c r="AE470" s="61" t="n">
        <f aca="false">N470</f>
        <v>0</v>
      </c>
      <c r="AF470" s="61" t="n">
        <f aca="false">VLOOKUP(AE470,recipe_ingred_list!$K$16:$M$25,3,0)</f>
        <v>1</v>
      </c>
      <c r="AG470" s="61" t="n">
        <f aca="false">O470</f>
        <v>0</v>
      </c>
      <c r="AH470" s="61" t="str">
        <f aca="false">P470</f>
        <v>yellow capsicum</v>
      </c>
      <c r="AI470" s="61" t="e">
        <f aca="false">VLOOKUP(AH470,recipe_ingred_list!$K$29:$M$34,3,0)</f>
        <v>#N/A</v>
      </c>
      <c r="AJ470" s="61" t="str">
        <f aca="false">IF(Q470="","",Q470)</f>
        <v/>
      </c>
      <c r="AK470" s="61" t="n">
        <f aca="false">AK469+1</f>
        <v>470</v>
      </c>
      <c r="AL470" s="61" t="e">
        <f aca="false">Y470</f>
        <v>#N/A</v>
      </c>
      <c r="AM470" s="81" t="e">
        <f aca="false">"a = Client().post('"&amp;W470&amp;"', {'recipe' : '"&amp;V470&amp;"', 'ingredient' : '"&amp;Z470&amp;"', 'name' : '"&amp;X470&amp;"', 'mass_unit' : '"&amp;AC470&amp;"', 'mass_quantity' : '"&amp;ROUND(AA470,3)&amp;"', 'volume_unit' : '"&amp;AF470&amp;"', 'volume_quantity' : '"&amp;ROUND(AD470,3)&amp;"', 'pieces_unit' : '"&amp;AI470&amp;"', 'pieces_quantity' : '"&amp;ROUND(AG470,3)&amp;"', 'cooking_notes' : '"&amp;AJ470&amp;"'}).status_code; print('%s :: %s :: %s :: %s :: %s' %(a,"&amp;G470&amp;",'"&amp;X470&amp;"','"&amp;Y470&amp;"','"&amp;U470&amp;"'))"</f>
        <v>#N/A</v>
      </c>
    </row>
    <row r="471" customFormat="false" ht="13.8" hidden="false" customHeight="false" outlineLevel="0" collapsed="false">
      <c r="G471" s="80" t="n">
        <v>471</v>
      </c>
      <c r="H471" s="79"/>
      <c r="I471" s="100"/>
      <c r="J471" s="99"/>
      <c r="K471" s="100"/>
      <c r="L471" s="100"/>
      <c r="M471" s="101"/>
      <c r="N471" s="100"/>
      <c r="O471" s="101"/>
      <c r="P471" s="100" t="e">
        <f aca="false">VLOOKUP(H471,ingredient!$N$4:$O$553,2,1)</f>
        <v>#N/A</v>
      </c>
      <c r="Q471" s="102"/>
      <c r="R471" s="99" t="e">
        <f aca="false">VLOOKUP(J471,ingredient!$N$4:$O$553,2,0)</f>
        <v>#N/A</v>
      </c>
      <c r="S471" s="98" t="n">
        <f aca="false">G471</f>
        <v>471</v>
      </c>
      <c r="T471" s="98" t="e">
        <f aca="false">VLOOKUP(S471,recipe_ingred_list!$A$2:$B$89,2,0)</f>
        <v>#N/A</v>
      </c>
      <c r="U471" s="81" t="n">
        <f aca="false">I471</f>
        <v>0</v>
      </c>
      <c r="V471" s="81" t="e">
        <f aca="false">VLOOKUP(U471,recipe_ingred_list!$A$2:$B$300,2,0)</f>
        <v>#N/A</v>
      </c>
      <c r="W471" s="81" t="e">
        <f aca="false">"/recipes/"&amp;VLOOKUP(U471,recipe_ingred_list!$A$2:$C$300,3,0)&amp;"/detail/"</f>
        <v>#N/A</v>
      </c>
      <c r="X471" s="81" t="n">
        <f aca="false">J471</f>
        <v>0</v>
      </c>
      <c r="Y471" s="81" t="e">
        <f aca="false">R471</f>
        <v>#N/A</v>
      </c>
      <c r="Z471" s="94" t="e">
        <f aca="false">VLOOKUP(Y471,recipe_ingred_list!$D$2:$E$500,2,0)</f>
        <v>#N/A</v>
      </c>
      <c r="AA471" s="61" t="n">
        <f aca="false">K471</f>
        <v>0</v>
      </c>
      <c r="AB471" s="61" t="n">
        <f aca="false">L471</f>
        <v>0</v>
      </c>
      <c r="AC471" s="61" t="n">
        <f aca="false">VLOOKUP(AB471,recipe_ingred_list!$K$2:$M$7,3,0)</f>
        <v>2</v>
      </c>
      <c r="AD471" s="61" t="n">
        <f aca="false">M471</f>
        <v>0</v>
      </c>
      <c r="AE471" s="61" t="n">
        <f aca="false">N471</f>
        <v>0</v>
      </c>
      <c r="AF471" s="61" t="n">
        <f aca="false">VLOOKUP(AE471,recipe_ingred_list!$K$16:$M$25,3,0)</f>
        <v>1</v>
      </c>
      <c r="AG471" s="61" t="n">
        <f aca="false">O471</f>
        <v>0</v>
      </c>
      <c r="AH471" s="61" t="e">
        <f aca="false">P471</f>
        <v>#N/A</v>
      </c>
      <c r="AI471" s="61" t="e">
        <f aca="false">VLOOKUP(AH471,recipe_ingred_list!$K$29:$M$34,3,0)</f>
        <v>#N/A</v>
      </c>
      <c r="AJ471" s="61" t="str">
        <f aca="false">IF(Q471="","",Q471)</f>
        <v/>
      </c>
      <c r="AK471" s="61" t="n">
        <f aca="false">AK470+1</f>
        <v>471</v>
      </c>
      <c r="AL471" s="61" t="e">
        <f aca="false">Y471</f>
        <v>#N/A</v>
      </c>
      <c r="AM471" s="81" t="e">
        <f aca="false">"a = Client().post('"&amp;W471&amp;"', {'recipe' : '"&amp;V471&amp;"', 'ingredient' : '"&amp;Z471&amp;"', 'name' : '"&amp;X471&amp;"', 'mass_unit' : '"&amp;AC471&amp;"', 'mass_quantity' : '"&amp;ROUND(AA471,3)&amp;"', 'volume_unit' : '"&amp;AF471&amp;"', 'volume_quantity' : '"&amp;ROUND(AD471,3)&amp;"', 'pieces_unit' : '"&amp;AI471&amp;"', 'pieces_quantity' : '"&amp;ROUND(AG471,3)&amp;"', 'cooking_notes' : '"&amp;AJ471&amp;"'}).status_code; print('%s :: %s :: %s :: %s :: %s' %(a,"&amp;G471&amp;",'"&amp;X471&amp;"','"&amp;Y471&amp;"','"&amp;U471&amp;"'))"</f>
        <v>#N/A</v>
      </c>
    </row>
    <row r="472" customFormat="false" ht="13.8" hidden="false" customHeight="false" outlineLevel="0" collapsed="false">
      <c r="G472" s="80" t="n">
        <v>472</v>
      </c>
      <c r="H472" s="152"/>
      <c r="I472" s="152"/>
      <c r="J472" s="160"/>
      <c r="K472" s="100"/>
      <c r="L472" s="100"/>
      <c r="M472" s="101"/>
      <c r="N472" s="100"/>
      <c r="O472" s="101"/>
      <c r="P472" s="100" t="e">
        <f aca="false">VLOOKUP(H472,ingredient!$N$4:$O$553,2,1)</f>
        <v>#N/A</v>
      </c>
      <c r="Q472" s="102"/>
      <c r="R472" s="99" t="e">
        <f aca="false">VLOOKUP(J472,ingredient!$N$4:$O$553,2,0)</f>
        <v>#N/A</v>
      </c>
      <c r="S472" s="98" t="n">
        <f aca="false">G472</f>
        <v>472</v>
      </c>
      <c r="T472" s="98" t="e">
        <f aca="false">VLOOKUP(S472,recipe_ingred_list!$A$2:$B$89,2,0)</f>
        <v>#N/A</v>
      </c>
      <c r="U472" s="81" t="n">
        <f aca="false">I472</f>
        <v>0</v>
      </c>
      <c r="V472" s="81" t="e">
        <f aca="false">VLOOKUP(U472,recipe_ingred_list!$A$2:$B$300,2,0)</f>
        <v>#N/A</v>
      </c>
      <c r="W472" s="81" t="e">
        <f aca="false">"/recipes/"&amp;VLOOKUP(U472,recipe_ingred_list!$A$2:$C$300,3,0)&amp;"/detail/"</f>
        <v>#N/A</v>
      </c>
      <c r="X472" s="81" t="n">
        <f aca="false">J472</f>
        <v>0</v>
      </c>
      <c r="Y472" s="81" t="e">
        <f aca="false">R472</f>
        <v>#N/A</v>
      </c>
      <c r="Z472" s="94" t="e">
        <f aca="false">VLOOKUP(Y472,recipe_ingred_list!$D$2:$E$500,2,0)</f>
        <v>#N/A</v>
      </c>
      <c r="AA472" s="61" t="n">
        <f aca="false">K472</f>
        <v>0</v>
      </c>
      <c r="AB472" s="61" t="n">
        <f aca="false">L472</f>
        <v>0</v>
      </c>
      <c r="AC472" s="61" t="n">
        <f aca="false">VLOOKUP(AB472,recipe_ingred_list!$K$2:$M$7,3,0)</f>
        <v>2</v>
      </c>
      <c r="AD472" s="61" t="n">
        <f aca="false">M472</f>
        <v>0</v>
      </c>
      <c r="AE472" s="61" t="n">
        <f aca="false">N472</f>
        <v>0</v>
      </c>
      <c r="AF472" s="61" t="n">
        <f aca="false">VLOOKUP(AE472,recipe_ingred_list!$K$16:$M$25,3,0)</f>
        <v>1</v>
      </c>
      <c r="AG472" s="61" t="n">
        <f aca="false">O472</f>
        <v>0</v>
      </c>
      <c r="AH472" s="61" t="e">
        <f aca="false">P472</f>
        <v>#N/A</v>
      </c>
      <c r="AI472" s="61" t="e">
        <f aca="false">VLOOKUP(AH472,recipe_ingred_list!$K$29:$M$34,3,0)</f>
        <v>#N/A</v>
      </c>
      <c r="AJ472" s="61" t="str">
        <f aca="false">IF(Q472="","",Q472)</f>
        <v/>
      </c>
      <c r="AK472" s="61" t="n">
        <f aca="false">AK471+1</f>
        <v>472</v>
      </c>
      <c r="AL472" s="61" t="e">
        <f aca="false">Y472</f>
        <v>#N/A</v>
      </c>
      <c r="AM472" s="81" t="e">
        <f aca="false">"a = Client().post('"&amp;W472&amp;"', {'recipe' : '"&amp;V472&amp;"', 'ingredient' : '"&amp;Z472&amp;"', 'name' : '"&amp;X472&amp;"', 'mass_unit' : '"&amp;AC472&amp;"', 'mass_quantity' : '"&amp;ROUND(AA472,3)&amp;"', 'volume_unit' : '"&amp;AF472&amp;"', 'volume_quantity' : '"&amp;ROUND(AD472,3)&amp;"', 'pieces_unit' : '"&amp;AI472&amp;"', 'pieces_quantity' : '"&amp;ROUND(AG472,3)&amp;"', 'cooking_notes' : '"&amp;AJ472&amp;"'}).status_code; print('%s :: %s :: %s :: %s :: %s' %(a,"&amp;G472&amp;",'"&amp;X472&amp;"','"&amp;Y472&amp;"','"&amp;U472&amp;"'))"</f>
        <v>#N/A</v>
      </c>
    </row>
    <row r="473" customFormat="false" ht="13.8" hidden="false" customHeight="false" outlineLevel="0" collapsed="false">
      <c r="G473" s="80" t="n">
        <v>473</v>
      </c>
      <c r="I473" s="154" t="s">
        <v>343</v>
      </c>
      <c r="J473" s="144" t="s">
        <v>86</v>
      </c>
      <c r="M473" s="145" t="n">
        <v>1</v>
      </c>
      <c r="N473" s="145" t="s">
        <v>13</v>
      </c>
      <c r="R473" s="82" t="str">
        <f aca="false">VLOOKUP(J473,ingredient!$N$4:$O$553,2,0)</f>
        <v>evoo</v>
      </c>
      <c r="U473" s="81" t="str">
        <f aca="false">I473</f>
        <v>Tahini paste</v>
      </c>
      <c r="V473" s="81" t="n">
        <f aca="false">VLOOKUP(U473,recipe_ingred_list!$A$2:$B$300,2,0)</f>
        <v>78</v>
      </c>
      <c r="W473" s="81" t="str">
        <f aca="false">"/recipes/"&amp;VLOOKUP(U473,recipe_ingred_list!$A$2:$C$300,3,0)&amp;"/detail/"</f>
        <v>/recipes/tahini-paste/detail/</v>
      </c>
      <c r="X473" s="81" t="str">
        <f aca="false">J473</f>
        <v>EVOO</v>
      </c>
      <c r="Y473" s="81" t="str">
        <f aca="false">R473</f>
        <v>evoo</v>
      </c>
      <c r="Z473" s="94" t="n">
        <f aca="false">VLOOKUP(Y473,recipe_ingred_list!$D$2:$E$500,2,0)</f>
        <v>76</v>
      </c>
      <c r="AA473" s="61" t="n">
        <f aca="false">K473</f>
        <v>0</v>
      </c>
      <c r="AB473" s="61" t="n">
        <f aca="false">L473</f>
        <v>0</v>
      </c>
      <c r="AC473" s="61" t="n">
        <f aca="false">VLOOKUP(AB473,recipe_ingred_list!$K$2:$M$7,3,0)</f>
        <v>2</v>
      </c>
      <c r="AD473" s="61" t="n">
        <f aca="false">M473</f>
        <v>1</v>
      </c>
      <c r="AE473" s="61" t="str">
        <f aca="false">N473</f>
        <v>ltr</v>
      </c>
      <c r="AF473" s="61" t="n">
        <f aca="false">VLOOKUP(AE473,recipe_ingred_list!$K$16:$M$25,3,0)</f>
        <v>1</v>
      </c>
      <c r="AG473" s="61" t="n">
        <f aca="false">O473</f>
        <v>0</v>
      </c>
      <c r="AH473" s="61" t="n">
        <f aca="false">P473</f>
        <v>0</v>
      </c>
      <c r="AI473" s="61" t="n">
        <f aca="false">VLOOKUP(AH473,recipe_ingred_list!$K$29:$M$34,3,0)</f>
        <v>3</v>
      </c>
      <c r="AJ473" s="61" t="str">
        <f aca="false">IF(Q473="","",Q473)</f>
        <v/>
      </c>
      <c r="AK473" s="61" t="n">
        <f aca="false">AK472+1</f>
        <v>473</v>
      </c>
      <c r="AL473" s="61" t="str">
        <f aca="false">Y473</f>
        <v>evoo</v>
      </c>
      <c r="AM473" s="81" t="str">
        <f aca="false">"a = Client().post('"&amp;W473&amp;"', {'recipe' : '"&amp;V473&amp;"', 'ingredient' : '"&amp;Z473&amp;"', 'name' : '"&amp;X473&amp;"', 'mass_unit' : '"&amp;AC473&amp;"', 'mass_quantity' : '"&amp;ROUND(AA473,3)&amp;"', 'volume_unit' : '"&amp;AF473&amp;"', 'volume_quantity' : '"&amp;ROUND(AD473,3)&amp;"', 'pieces_unit' : '"&amp;AI473&amp;"', 'pieces_quantity' : '"&amp;ROUND(AG473,3)&amp;"', 'cooking_notes' : '"&amp;AJ473&amp;"'}).status_code; print('%s :: %s :: %s :: %s :: %s' %(a,"&amp;G473&amp;",'"&amp;X473&amp;"','"&amp;Y473&amp;"','"&amp;U473&amp;"'))"</f>
        <v>a = Client().post('/recipes/tahini-paste/detail/', {'recipe' : '78', 'ingredient' : '76', 'name' : 'EVOO', 'mass_unit' : '2', 'mass_quantity' : '0', 'volume_unit' : '1', 'volume_quantity' : '1', 'pieces_unit' : '3', 'pieces_quantity' : '0', 'cooking_notes' : ''}).status_code; print('%s :: %s :: %s :: %s :: %s' %(a,473,'EVOO','evoo','Tahini paste'))</v>
      </c>
    </row>
    <row r="474" customFormat="false" ht="13.8" hidden="false" customHeight="false" outlineLevel="0" collapsed="false">
      <c r="G474" s="80" t="n">
        <v>474</v>
      </c>
      <c r="I474" s="154" t="s">
        <v>343</v>
      </c>
      <c r="J474" s="144" t="s">
        <v>661</v>
      </c>
      <c r="M474" s="145" t="n">
        <v>2</v>
      </c>
      <c r="N474" s="145" t="s">
        <v>13</v>
      </c>
      <c r="R474" s="82" t="str">
        <f aca="false">VLOOKUP(J474,ingredient!$N$4:$O$553,2,0)</f>
        <v>white til</v>
      </c>
      <c r="U474" s="81" t="str">
        <f aca="false">I474</f>
        <v>Tahini paste</v>
      </c>
      <c r="V474" s="81" t="n">
        <f aca="false">VLOOKUP(U474,recipe_ingred_list!$A$2:$B$300,2,0)</f>
        <v>78</v>
      </c>
      <c r="W474" s="81" t="str">
        <f aca="false">"/recipes/"&amp;VLOOKUP(U474,recipe_ingred_list!$A$2:$C$300,3,0)&amp;"/detail/"</f>
        <v>/recipes/tahini-paste/detail/</v>
      </c>
      <c r="X474" s="81" t="str">
        <f aca="false">J474</f>
        <v>White Till ( Dry Roast light)</v>
      </c>
      <c r="Y474" s="81" t="str">
        <f aca="false">R474</f>
        <v>white til</v>
      </c>
      <c r="Z474" s="94" t="n">
        <f aca="false">VLOOKUP(Y474,recipe_ingred_list!$D$2:$E$500,2,0)</f>
        <v>206</v>
      </c>
      <c r="AA474" s="61" t="n">
        <f aca="false">K474</f>
        <v>0</v>
      </c>
      <c r="AB474" s="61" t="n">
        <f aca="false">L474</f>
        <v>0</v>
      </c>
      <c r="AC474" s="61" t="n">
        <f aca="false">VLOOKUP(AB474,recipe_ingred_list!$K$2:$M$7,3,0)</f>
        <v>2</v>
      </c>
      <c r="AD474" s="61" t="n">
        <f aca="false">M474</f>
        <v>2</v>
      </c>
      <c r="AE474" s="61" t="str">
        <f aca="false">N474</f>
        <v>ltr</v>
      </c>
      <c r="AF474" s="61" t="n">
        <f aca="false">VLOOKUP(AE474,recipe_ingred_list!$K$16:$M$25,3,0)</f>
        <v>1</v>
      </c>
      <c r="AG474" s="61" t="n">
        <f aca="false">O474</f>
        <v>0</v>
      </c>
      <c r="AH474" s="61" t="n">
        <f aca="false">P474</f>
        <v>0</v>
      </c>
      <c r="AI474" s="61" t="n">
        <f aca="false">VLOOKUP(AH474,recipe_ingred_list!$K$29:$M$34,3,0)</f>
        <v>3</v>
      </c>
      <c r="AJ474" s="61" t="str">
        <f aca="false">IF(Q474="","",Q474)</f>
        <v/>
      </c>
      <c r="AK474" s="61" t="n">
        <f aca="false">AK473+1</f>
        <v>474</v>
      </c>
      <c r="AL474" s="61" t="str">
        <f aca="false">Y474</f>
        <v>white til</v>
      </c>
      <c r="AM474" s="81" t="str">
        <f aca="false">"a = Client().post('"&amp;W474&amp;"', {'recipe' : '"&amp;V474&amp;"', 'ingredient' : '"&amp;Z474&amp;"', 'name' : '"&amp;X474&amp;"', 'mass_unit' : '"&amp;AC474&amp;"', 'mass_quantity' : '"&amp;ROUND(AA474,3)&amp;"', 'volume_unit' : '"&amp;AF474&amp;"', 'volume_quantity' : '"&amp;ROUND(AD474,3)&amp;"', 'pieces_unit' : '"&amp;AI474&amp;"', 'pieces_quantity' : '"&amp;ROUND(AG474,3)&amp;"', 'cooking_notes' : '"&amp;AJ474&amp;"'}).status_code; print('%s :: %s :: %s :: %s :: %s' %(a,"&amp;G474&amp;",'"&amp;X474&amp;"','"&amp;Y474&amp;"','"&amp;U474&amp;"'))"</f>
        <v>a = Client().post('/recipes/tahini-paste/detail/', {'recipe' : '78', 'ingredient' : '206', 'name' : 'White Till ( Dry Roast light)', 'mass_unit' : '2', 'mass_quantity' : '0', 'volume_unit' : '1', 'volume_quantity' : '2', 'pieces_unit' : '3', 'pieces_quantity' : '0', 'cooking_notes' : ''}).status_code; print('%s :: %s :: %s :: %s :: %s' %(a,474,'White Till ( Dry Roast light)','white til','Tahini paste'))</v>
      </c>
    </row>
    <row r="475" customFormat="false" ht="13.8" hidden="false" customHeight="false" outlineLevel="0" collapsed="false">
      <c r="G475" s="80" t="n">
        <v>475</v>
      </c>
      <c r="I475" s="154" t="s">
        <v>343</v>
      </c>
      <c r="J475" s="144" t="s">
        <v>650</v>
      </c>
      <c r="M475" s="145" t="n">
        <v>0.2</v>
      </c>
      <c r="N475" s="145" t="s">
        <v>20</v>
      </c>
      <c r="R475" s="82" t="str">
        <f aca="false">VLOOKUP(J475,ingredient!$N$4:$O$553,2,0)</f>
        <v>hing</v>
      </c>
      <c r="U475" s="81" t="str">
        <f aca="false">I475</f>
        <v>Tahini paste</v>
      </c>
      <c r="V475" s="81" t="n">
        <f aca="false">VLOOKUP(U475,recipe_ingred_list!$A$2:$B$300,2,0)</f>
        <v>78</v>
      </c>
      <c r="W475" s="81" t="str">
        <f aca="false">"/recipes/"&amp;VLOOKUP(U475,recipe_ingred_list!$A$2:$C$300,3,0)&amp;"/detail/"</f>
        <v>/recipes/tahini-paste/detail/</v>
      </c>
      <c r="X475" s="81" t="str">
        <f aca="false">J475</f>
        <v>Hing </v>
      </c>
      <c r="Y475" s="81" t="str">
        <f aca="false">R475</f>
        <v>hing</v>
      </c>
      <c r="Z475" s="94" t="n">
        <f aca="false">VLOOKUP(Y475,recipe_ingred_list!$D$2:$E$500,2,0)</f>
        <v>95</v>
      </c>
      <c r="AA475" s="61" t="n">
        <f aca="false">K475</f>
        <v>0</v>
      </c>
      <c r="AB475" s="61" t="n">
        <f aca="false">L475</f>
        <v>0</v>
      </c>
      <c r="AC475" s="61" t="n">
        <f aca="false">VLOOKUP(AB475,recipe_ingred_list!$K$2:$M$7,3,0)</f>
        <v>2</v>
      </c>
      <c r="AD475" s="61" t="n">
        <f aca="false">M475</f>
        <v>0.2</v>
      </c>
      <c r="AE475" s="61" t="str">
        <f aca="false">N475</f>
        <v>cup</v>
      </c>
      <c r="AF475" s="61" t="n">
        <f aca="false">VLOOKUP(AE475,recipe_ingred_list!$K$16:$M$25,3,0)</f>
        <v>5</v>
      </c>
      <c r="AG475" s="61" t="n">
        <f aca="false">O475</f>
        <v>0</v>
      </c>
      <c r="AH475" s="61" t="n">
        <f aca="false">P475</f>
        <v>0</v>
      </c>
      <c r="AI475" s="61" t="n">
        <f aca="false">VLOOKUP(AH475,recipe_ingred_list!$K$29:$M$34,3,0)</f>
        <v>3</v>
      </c>
      <c r="AJ475" s="61" t="str">
        <f aca="false">IF(Q475="","",Q475)</f>
        <v/>
      </c>
      <c r="AK475" s="61" t="n">
        <f aca="false">AK474+1</f>
        <v>475</v>
      </c>
      <c r="AL475" s="61" t="str">
        <f aca="false">Y475</f>
        <v>hing</v>
      </c>
      <c r="AM475" s="81" t="str">
        <f aca="false">"a = Client().post('"&amp;W475&amp;"', {'recipe' : '"&amp;V475&amp;"', 'ingredient' : '"&amp;Z475&amp;"', 'name' : '"&amp;X475&amp;"', 'mass_unit' : '"&amp;AC475&amp;"', 'mass_quantity' : '"&amp;ROUND(AA475,3)&amp;"', 'volume_unit' : '"&amp;AF475&amp;"', 'volume_quantity' : '"&amp;ROUND(AD475,3)&amp;"', 'pieces_unit' : '"&amp;AI475&amp;"', 'pieces_quantity' : '"&amp;ROUND(AG475,3)&amp;"', 'cooking_notes' : '"&amp;AJ475&amp;"'}).status_code; print('%s :: %s :: %s :: %s :: %s' %(a,"&amp;G475&amp;",'"&amp;X475&amp;"','"&amp;Y475&amp;"','"&amp;U475&amp;"'))"</f>
        <v>a = Client().post('/recipes/tahini-paste/detail/', {'recipe' : '78', 'ingredient' : '95', 'name' : 'Hing ', 'mass_unit' : '2', 'mass_quantity' : '0', 'volume_unit' : '5', 'volume_quantity' : '0.2', 'pieces_unit' : '3', 'pieces_quantity' : '0', 'cooking_notes' : ''}).status_code; print('%s :: %s :: %s :: %s :: %s' %(a,475,'Hing ','hing','Tahini paste'))</v>
      </c>
    </row>
    <row r="476" customFormat="false" ht="13.8" hidden="false" customHeight="false" outlineLevel="0" collapsed="false">
      <c r="G476" s="80" t="n">
        <v>476</v>
      </c>
      <c r="I476" s="154" t="s">
        <v>343</v>
      </c>
      <c r="J476" s="144" t="s">
        <v>662</v>
      </c>
      <c r="M476" s="145" t="n">
        <v>0.5</v>
      </c>
      <c r="N476" s="145" t="s">
        <v>20</v>
      </c>
      <c r="R476" s="82" t="str">
        <f aca="false">VLOOKUP(J476,ingredient!$N$4:$O$553,2,0)</f>
        <v>black pepper</v>
      </c>
      <c r="U476" s="81" t="str">
        <f aca="false">I476</f>
        <v>Tahini paste</v>
      </c>
      <c r="V476" s="81" t="n">
        <f aca="false">VLOOKUP(U476,recipe_ingred_list!$A$2:$B$300,2,0)</f>
        <v>78</v>
      </c>
      <c r="W476" s="81" t="str">
        <f aca="false">"/recipes/"&amp;VLOOKUP(U476,recipe_ingred_list!$A$2:$C$300,3,0)&amp;"/detail/"</f>
        <v>/recipes/tahini-paste/detail/</v>
      </c>
      <c r="X476" s="81" t="str">
        <f aca="false">J476</f>
        <v>Black pepper  </v>
      </c>
      <c r="Y476" s="81" t="str">
        <f aca="false">R476</f>
        <v>black pepper</v>
      </c>
      <c r="Z476" s="94" t="n">
        <f aca="false">VLOOKUP(Y476,recipe_ingred_list!$D$2:$E$500,2,0)</f>
        <v>31</v>
      </c>
      <c r="AA476" s="61" t="n">
        <f aca="false">K476</f>
        <v>0</v>
      </c>
      <c r="AB476" s="61" t="n">
        <f aca="false">L476</f>
        <v>0</v>
      </c>
      <c r="AC476" s="61" t="n">
        <f aca="false">VLOOKUP(AB476,recipe_ingred_list!$K$2:$M$7,3,0)</f>
        <v>2</v>
      </c>
      <c r="AD476" s="61" t="n">
        <f aca="false">M476</f>
        <v>0.5</v>
      </c>
      <c r="AE476" s="61" t="str">
        <f aca="false">N476</f>
        <v>cup</v>
      </c>
      <c r="AF476" s="61" t="n">
        <f aca="false">VLOOKUP(AE476,recipe_ingred_list!$K$16:$M$25,3,0)</f>
        <v>5</v>
      </c>
      <c r="AG476" s="61" t="n">
        <f aca="false">O476</f>
        <v>0</v>
      </c>
      <c r="AH476" s="61" t="n">
        <f aca="false">P476</f>
        <v>0</v>
      </c>
      <c r="AI476" s="61" t="n">
        <f aca="false">VLOOKUP(AH476,recipe_ingred_list!$K$29:$M$34,3,0)</f>
        <v>3</v>
      </c>
      <c r="AJ476" s="61" t="str">
        <f aca="false">IF(Q476="","",Q476)</f>
        <v/>
      </c>
      <c r="AK476" s="61" t="n">
        <f aca="false">AK475+1</f>
        <v>476</v>
      </c>
      <c r="AL476" s="61" t="str">
        <f aca="false">Y476</f>
        <v>black pepper</v>
      </c>
      <c r="AM476" s="81" t="str">
        <f aca="false">"a = Client().post('"&amp;W476&amp;"', {'recipe' : '"&amp;V476&amp;"', 'ingredient' : '"&amp;Z476&amp;"', 'name' : '"&amp;X476&amp;"', 'mass_unit' : '"&amp;AC476&amp;"', 'mass_quantity' : '"&amp;ROUND(AA476,3)&amp;"', 'volume_unit' : '"&amp;AF476&amp;"', 'volume_quantity' : '"&amp;ROUND(AD476,3)&amp;"', 'pieces_unit' : '"&amp;AI476&amp;"', 'pieces_quantity' : '"&amp;ROUND(AG476,3)&amp;"', 'cooking_notes' : '"&amp;AJ476&amp;"'}).status_code; print('%s :: %s :: %s :: %s :: %s' %(a,"&amp;G476&amp;",'"&amp;X476&amp;"','"&amp;Y476&amp;"','"&amp;U476&amp;"'))"</f>
        <v>a = Client().post('/recipes/tahini-paste/detail/', {'recipe' : '78', 'ingredient' : '31', 'name' : 'Black pepper  ', 'mass_unit' : '2', 'mass_quantity' : '0', 'volume_unit' : '5', 'volume_quantity' : '0.5', 'pieces_unit' : '3', 'pieces_quantity' : '0', 'cooking_notes' : ''}).status_code; print('%s :: %s :: %s :: %s :: %s' %(a,476,'Black pepper  ','black pepper','Tahini paste'))</v>
      </c>
    </row>
    <row r="477" customFormat="false" ht="13.8" hidden="false" customHeight="false" outlineLevel="0" collapsed="false">
      <c r="G477" s="80" t="n">
        <v>477</v>
      </c>
      <c r="I477" s="154" t="s">
        <v>343</v>
      </c>
      <c r="J477" s="144" t="s">
        <v>663</v>
      </c>
      <c r="M477" s="145" t="n">
        <v>0.5</v>
      </c>
      <c r="N477" s="145" t="s">
        <v>20</v>
      </c>
      <c r="R477" s="82" t="str">
        <f aca="false">VLOOKUP(J477,ingredient!$N$4:$O$553,2,0)</f>
        <v>sugar</v>
      </c>
      <c r="U477" s="81" t="str">
        <f aca="false">I477</f>
        <v>Tahini paste</v>
      </c>
      <c r="V477" s="81" t="n">
        <f aca="false">VLOOKUP(U477,recipe_ingred_list!$A$2:$B$300,2,0)</f>
        <v>78</v>
      </c>
      <c r="W477" s="81" t="str">
        <f aca="false">"/recipes/"&amp;VLOOKUP(U477,recipe_ingred_list!$A$2:$C$300,3,0)&amp;"/detail/"</f>
        <v>/recipes/tahini-paste/detail/</v>
      </c>
      <c r="X477" s="81" t="str">
        <f aca="false">J477</f>
        <v>Sugar </v>
      </c>
      <c r="Y477" s="81" t="str">
        <f aca="false">R477</f>
        <v>sugar</v>
      </c>
      <c r="Z477" s="94" t="n">
        <f aca="false">VLOOKUP(Y477,recipe_ingred_list!$D$2:$E$500,2,0)</f>
        <v>187</v>
      </c>
      <c r="AA477" s="61" t="n">
        <f aca="false">K477</f>
        <v>0</v>
      </c>
      <c r="AB477" s="61" t="n">
        <f aca="false">L477</f>
        <v>0</v>
      </c>
      <c r="AC477" s="61" t="n">
        <f aca="false">VLOOKUP(AB477,recipe_ingred_list!$K$2:$M$7,3,0)</f>
        <v>2</v>
      </c>
      <c r="AD477" s="61" t="n">
        <f aca="false">M477</f>
        <v>0.5</v>
      </c>
      <c r="AE477" s="61" t="str">
        <f aca="false">N477</f>
        <v>cup</v>
      </c>
      <c r="AF477" s="61" t="n">
        <f aca="false">VLOOKUP(AE477,recipe_ingred_list!$K$16:$M$25,3,0)</f>
        <v>5</v>
      </c>
      <c r="AG477" s="61" t="n">
        <f aca="false">O477</f>
        <v>0</v>
      </c>
      <c r="AH477" s="61" t="n">
        <f aca="false">P477</f>
        <v>0</v>
      </c>
      <c r="AI477" s="61" t="n">
        <f aca="false">VLOOKUP(AH477,recipe_ingred_list!$K$29:$M$34,3,0)</f>
        <v>3</v>
      </c>
      <c r="AJ477" s="61" t="str">
        <f aca="false">IF(Q477="","",Q477)</f>
        <v/>
      </c>
      <c r="AK477" s="61" t="n">
        <f aca="false">AK476+1</f>
        <v>477</v>
      </c>
      <c r="AL477" s="61" t="str">
        <f aca="false">Y477</f>
        <v>sugar</v>
      </c>
      <c r="AM477" s="81" t="str">
        <f aca="false">"a = Client().post('"&amp;W477&amp;"', {'recipe' : '"&amp;V477&amp;"', 'ingredient' : '"&amp;Z477&amp;"', 'name' : '"&amp;X477&amp;"', 'mass_unit' : '"&amp;AC477&amp;"', 'mass_quantity' : '"&amp;ROUND(AA477,3)&amp;"', 'volume_unit' : '"&amp;AF477&amp;"', 'volume_quantity' : '"&amp;ROUND(AD477,3)&amp;"', 'pieces_unit' : '"&amp;AI477&amp;"', 'pieces_quantity' : '"&amp;ROUND(AG477,3)&amp;"', 'cooking_notes' : '"&amp;AJ477&amp;"'}).status_code; print('%s :: %s :: %s :: %s :: %s' %(a,"&amp;G477&amp;",'"&amp;X477&amp;"','"&amp;Y477&amp;"','"&amp;U477&amp;"'))"</f>
        <v>a = Client().post('/recipes/tahini-paste/detail/', {'recipe' : '78', 'ingredient' : '187', 'name' : 'Sugar ', 'mass_unit' : '2', 'mass_quantity' : '0', 'volume_unit' : '5', 'volume_quantity' : '0.5', 'pieces_unit' : '3', 'pieces_quantity' : '0', 'cooking_notes' : ''}).status_code; print('%s :: %s :: %s :: %s :: %s' %(a,477,'Sugar ','sugar','Tahini paste'))</v>
      </c>
    </row>
    <row r="478" customFormat="false" ht="13.8" hidden="false" customHeight="false" outlineLevel="0" collapsed="false">
      <c r="G478" s="80" t="n">
        <v>478</v>
      </c>
      <c r="I478" s="154" t="s">
        <v>343</v>
      </c>
      <c r="J478" s="144" t="s">
        <v>664</v>
      </c>
      <c r="M478" s="145" t="n">
        <v>2</v>
      </c>
      <c r="N478" s="145" t="s">
        <v>13</v>
      </c>
      <c r="R478" s="82" t="str">
        <f aca="false">VLOOKUP(J478,ingredient!$N$4:$O$553,2,0)</f>
        <v>water</v>
      </c>
      <c r="U478" s="81" t="str">
        <f aca="false">I478</f>
        <v>Tahini paste</v>
      </c>
      <c r="V478" s="81" t="n">
        <f aca="false">VLOOKUP(U478,recipe_ingred_list!$A$2:$B$300,2,0)</f>
        <v>78</v>
      </c>
      <c r="W478" s="81" t="str">
        <f aca="false">"/recipes/"&amp;VLOOKUP(U478,recipe_ingred_list!$A$2:$C$300,3,0)&amp;"/detail/"</f>
        <v>/recipes/tahini-paste/detail/</v>
      </c>
      <c r="X478" s="81" t="str">
        <f aca="false">J478</f>
        <v>Water </v>
      </c>
      <c r="Y478" s="81" t="str">
        <f aca="false">R478</f>
        <v>water</v>
      </c>
      <c r="Z478" s="94" t="n">
        <f aca="false">VLOOKUP(Y478,recipe_ingred_list!$D$2:$E$500,2,0)</f>
        <v>214</v>
      </c>
      <c r="AA478" s="61" t="n">
        <f aca="false">K478</f>
        <v>0</v>
      </c>
      <c r="AB478" s="61" t="n">
        <f aca="false">L478</f>
        <v>0</v>
      </c>
      <c r="AC478" s="61" t="n">
        <f aca="false">VLOOKUP(AB478,recipe_ingred_list!$K$2:$M$7,3,0)</f>
        <v>2</v>
      </c>
      <c r="AD478" s="61" t="n">
        <f aca="false">M478</f>
        <v>2</v>
      </c>
      <c r="AE478" s="61" t="str">
        <f aca="false">N478</f>
        <v>ltr</v>
      </c>
      <c r="AF478" s="61" t="n">
        <f aca="false">VLOOKUP(AE478,recipe_ingred_list!$K$16:$M$25,3,0)</f>
        <v>1</v>
      </c>
      <c r="AG478" s="61" t="n">
        <f aca="false">O478</f>
        <v>0</v>
      </c>
      <c r="AH478" s="61" t="n">
        <f aca="false">P478</f>
        <v>0</v>
      </c>
      <c r="AI478" s="61" t="n">
        <f aca="false">VLOOKUP(AH478,recipe_ingred_list!$K$29:$M$34,3,0)</f>
        <v>3</v>
      </c>
      <c r="AJ478" s="61" t="str">
        <f aca="false">IF(Q478="","",Q478)</f>
        <v/>
      </c>
      <c r="AK478" s="61" t="n">
        <f aca="false">AK477+1</f>
        <v>478</v>
      </c>
      <c r="AL478" s="61" t="str">
        <f aca="false">Y478</f>
        <v>water</v>
      </c>
      <c r="AM478" s="81" t="str">
        <f aca="false">"a = Client().post('"&amp;W478&amp;"', {'recipe' : '"&amp;V478&amp;"', 'ingredient' : '"&amp;Z478&amp;"', 'name' : '"&amp;X478&amp;"', 'mass_unit' : '"&amp;AC478&amp;"', 'mass_quantity' : '"&amp;ROUND(AA478,3)&amp;"', 'volume_unit' : '"&amp;AF478&amp;"', 'volume_quantity' : '"&amp;ROUND(AD478,3)&amp;"', 'pieces_unit' : '"&amp;AI478&amp;"', 'pieces_quantity' : '"&amp;ROUND(AG478,3)&amp;"', 'cooking_notes' : '"&amp;AJ478&amp;"'}).status_code; print('%s :: %s :: %s :: %s :: %s' %(a,"&amp;G478&amp;",'"&amp;X478&amp;"','"&amp;Y478&amp;"','"&amp;U478&amp;"'))"</f>
        <v>a = Client().post('/recipes/tahini-paste/detail/', {'recipe' : '78', 'ingredient' : '214', 'name' : 'Water ', 'mass_unit' : '2', 'mass_quantity' : '0', 'volume_unit' : '1', 'volume_quantity' : '2', 'pieces_unit' : '3', 'pieces_quantity' : '0', 'cooking_notes' : ''}).status_code; print('%s :: %s :: %s :: %s :: %s' %(a,478,'Water ','water','Tahini paste'))</v>
      </c>
    </row>
    <row r="479" customFormat="false" ht="13.8" hidden="false" customHeight="false" outlineLevel="0" collapsed="false">
      <c r="G479" s="80" t="n">
        <v>479</v>
      </c>
      <c r="H479" s="98"/>
      <c r="I479" s="152" t="s">
        <v>343</v>
      </c>
      <c r="J479" s="155" t="s">
        <v>558</v>
      </c>
      <c r="K479" s="100"/>
      <c r="L479" s="100"/>
      <c r="M479" s="156" t="n">
        <v>4</v>
      </c>
      <c r="N479" s="156" t="s">
        <v>13</v>
      </c>
      <c r="O479" s="101"/>
      <c r="P479" s="100"/>
      <c r="Q479" s="102"/>
      <c r="R479" s="99" t="e">
        <f aca="false">VLOOKUP(J479,ingredient!$N$4:$O$553,2,0)</f>
        <v>#N/A</v>
      </c>
      <c r="S479" s="98"/>
      <c r="T479" s="98"/>
      <c r="U479" s="81" t="str">
        <f aca="false">I479</f>
        <v>Tahini paste</v>
      </c>
      <c r="V479" s="81" t="n">
        <f aca="false">VLOOKUP(U479,recipe_ingred_list!$A$2:$B$300,2,0)</f>
        <v>78</v>
      </c>
      <c r="W479" s="81" t="str">
        <f aca="false">"/recipes/"&amp;VLOOKUP(U479,recipe_ingred_list!$A$2:$C$300,3,0)&amp;"/detail/"</f>
        <v>/recipes/tahini-paste/detail/</v>
      </c>
      <c r="X479" s="81" t="str">
        <f aca="false">J479</f>
        <v>Yield </v>
      </c>
      <c r="Y479" s="81" t="e">
        <f aca="false">R479</f>
        <v>#N/A</v>
      </c>
      <c r="Z479" s="94" t="e">
        <f aca="false">VLOOKUP(Y479,recipe_ingred_list!$D$2:$E$500,2,0)</f>
        <v>#N/A</v>
      </c>
      <c r="AA479" s="61" t="n">
        <f aca="false">K479</f>
        <v>0</v>
      </c>
      <c r="AB479" s="61" t="n">
        <f aca="false">L479</f>
        <v>0</v>
      </c>
      <c r="AC479" s="61" t="n">
        <f aca="false">VLOOKUP(AB479,recipe_ingred_list!$K$2:$M$7,3,0)</f>
        <v>2</v>
      </c>
      <c r="AD479" s="61" t="n">
        <f aca="false">M479</f>
        <v>4</v>
      </c>
      <c r="AE479" s="61" t="str">
        <f aca="false">N479</f>
        <v>ltr</v>
      </c>
      <c r="AF479" s="61" t="n">
        <f aca="false">VLOOKUP(AE479,recipe_ingred_list!$K$16:$M$25,3,0)</f>
        <v>1</v>
      </c>
      <c r="AG479" s="61" t="n">
        <f aca="false">O479</f>
        <v>0</v>
      </c>
      <c r="AH479" s="61" t="n">
        <f aca="false">P479</f>
        <v>0</v>
      </c>
      <c r="AI479" s="61" t="n">
        <f aca="false">VLOOKUP(AH479,recipe_ingred_list!$K$29:$M$34,3,0)</f>
        <v>3</v>
      </c>
      <c r="AJ479" s="61" t="str">
        <f aca="false">IF(Q479="","",Q479)</f>
        <v/>
      </c>
      <c r="AK479" s="61" t="n">
        <f aca="false">AK478+1</f>
        <v>479</v>
      </c>
      <c r="AL479" s="61" t="e">
        <f aca="false">Y479</f>
        <v>#N/A</v>
      </c>
      <c r="AM479" s="81" t="e">
        <f aca="false">"a = Client().post('"&amp;W479&amp;"', {'recipe' : '"&amp;V479&amp;"', 'ingredient' : '"&amp;Z479&amp;"', 'name' : '"&amp;X479&amp;"', 'mass_unit' : '"&amp;AC479&amp;"', 'mass_quantity' : '"&amp;ROUND(AA479,3)&amp;"', 'volume_unit' : '"&amp;AF479&amp;"', 'volume_quantity' : '"&amp;ROUND(AD479,3)&amp;"', 'pieces_unit' : '"&amp;AI479&amp;"', 'pieces_quantity' : '"&amp;ROUND(AG479,3)&amp;"', 'cooking_notes' : '"&amp;AJ479&amp;"'}).status_code; print('%s :: %s :: %s :: %s :: %s' %(a,"&amp;G479&amp;",'"&amp;X479&amp;"','"&amp;Y479&amp;"','"&amp;U479&amp;"'))"</f>
        <v>#N/A</v>
      </c>
    </row>
    <row r="480" customFormat="false" ht="13.8" hidden="false" customHeight="false" outlineLevel="0" collapsed="false">
      <c r="G480" s="80" t="n">
        <v>480</v>
      </c>
      <c r="H480" s="98"/>
      <c r="I480" s="99"/>
      <c r="J480" s="79"/>
      <c r="K480" s="100"/>
      <c r="L480" s="100"/>
      <c r="M480" s="100"/>
      <c r="N480" s="100"/>
      <c r="O480" s="101"/>
      <c r="P480" s="100"/>
      <c r="Q480" s="102"/>
      <c r="R480" s="99" t="e">
        <f aca="false">VLOOKUP(J480,ingredient!$N$4:$O$553,2,0)</f>
        <v>#N/A</v>
      </c>
      <c r="S480" s="98"/>
      <c r="T480" s="98"/>
      <c r="U480" s="81" t="n">
        <f aca="false">I480</f>
        <v>0</v>
      </c>
      <c r="V480" s="81" t="e">
        <f aca="false">VLOOKUP(U480,recipe_ingred_list!$A$2:$B$300,2,0)</f>
        <v>#N/A</v>
      </c>
      <c r="W480" s="81" t="e">
        <f aca="false">"/recipes/"&amp;VLOOKUP(U480,recipe_ingred_list!$A$2:$C$300,3,0)&amp;"/detail/"</f>
        <v>#N/A</v>
      </c>
      <c r="X480" s="81" t="n">
        <f aca="false">J480</f>
        <v>0</v>
      </c>
      <c r="Y480" s="81" t="e">
        <f aca="false">R480</f>
        <v>#N/A</v>
      </c>
      <c r="Z480" s="94" t="e">
        <f aca="false">VLOOKUP(Y480,recipe_ingred_list!$D$2:$E$500,2,0)</f>
        <v>#N/A</v>
      </c>
      <c r="AA480" s="61" t="n">
        <f aca="false">K480</f>
        <v>0</v>
      </c>
      <c r="AB480" s="61" t="n">
        <f aca="false">L480</f>
        <v>0</v>
      </c>
      <c r="AC480" s="61" t="n">
        <f aca="false">VLOOKUP(AB480,recipe_ingred_list!$K$2:$M$7,3,0)</f>
        <v>2</v>
      </c>
      <c r="AD480" s="61" t="n">
        <f aca="false">M480</f>
        <v>0</v>
      </c>
      <c r="AE480" s="61" t="n">
        <f aca="false">N480</f>
        <v>0</v>
      </c>
      <c r="AF480" s="61" t="n">
        <f aca="false">VLOOKUP(AE480,recipe_ingred_list!$K$16:$M$25,3,0)</f>
        <v>1</v>
      </c>
      <c r="AG480" s="61" t="n">
        <f aca="false">O480</f>
        <v>0</v>
      </c>
      <c r="AH480" s="61" t="n">
        <f aca="false">P480</f>
        <v>0</v>
      </c>
      <c r="AI480" s="61" t="n">
        <f aca="false">VLOOKUP(AH480,recipe_ingred_list!$K$29:$M$34,3,0)</f>
        <v>3</v>
      </c>
      <c r="AJ480" s="61" t="str">
        <f aca="false">IF(Q480="","",Q480)</f>
        <v/>
      </c>
      <c r="AK480" s="61" t="n">
        <f aca="false">AK479+1</f>
        <v>480</v>
      </c>
      <c r="AL480" s="61" t="e">
        <f aca="false">Y480</f>
        <v>#N/A</v>
      </c>
      <c r="AM480" s="81" t="e">
        <f aca="false">"a = Client().post('"&amp;W480&amp;"', {'recipe' : '"&amp;V480&amp;"', 'ingredient' : '"&amp;Z480&amp;"', 'name' : '"&amp;X480&amp;"', 'mass_unit' : '"&amp;AC480&amp;"', 'mass_quantity' : '"&amp;ROUND(AA480,3)&amp;"', 'volume_unit' : '"&amp;AF480&amp;"', 'volume_quantity' : '"&amp;ROUND(AD480,3)&amp;"', 'pieces_unit' : '"&amp;AI480&amp;"', 'pieces_quantity' : '"&amp;ROUND(AG480,3)&amp;"', 'cooking_notes' : '"&amp;AJ480&amp;"'}).status_code; print('%s :: %s :: %s :: %s :: %s' %(a,"&amp;G480&amp;",'"&amp;X480&amp;"','"&amp;Y480&amp;"','"&amp;U480&amp;"'))"</f>
        <v>#N/A</v>
      </c>
    </row>
    <row r="481" customFormat="false" ht="13.8" hidden="false" customHeight="false" outlineLevel="0" collapsed="false">
      <c r="G481" s="80" t="n">
        <v>481</v>
      </c>
      <c r="H481" s="98"/>
      <c r="I481" s="99"/>
      <c r="J481" s="152"/>
      <c r="K481" s="153"/>
      <c r="L481" s="153"/>
      <c r="M481" s="100"/>
      <c r="N481" s="100"/>
      <c r="O481" s="101"/>
      <c r="P481" s="100"/>
      <c r="Q481" s="102"/>
      <c r="R481" s="99" t="e">
        <f aca="false">VLOOKUP(J481,ingredient!$N$4:$O$553,2,0)</f>
        <v>#N/A</v>
      </c>
      <c r="S481" s="98"/>
      <c r="T481" s="98"/>
      <c r="U481" s="81" t="n">
        <f aca="false">I481</f>
        <v>0</v>
      </c>
      <c r="V481" s="81" t="e">
        <f aca="false">VLOOKUP(U481,recipe_ingred_list!$A$2:$B$300,2,0)</f>
        <v>#N/A</v>
      </c>
      <c r="W481" s="81" t="e">
        <f aca="false">"/recipes/"&amp;VLOOKUP(U481,recipe_ingred_list!$A$2:$C$300,3,0)&amp;"/detail/"</f>
        <v>#N/A</v>
      </c>
      <c r="X481" s="81" t="n">
        <f aca="false">J481</f>
        <v>0</v>
      </c>
      <c r="Y481" s="81" t="e">
        <f aca="false">R481</f>
        <v>#N/A</v>
      </c>
      <c r="Z481" s="94" t="e">
        <f aca="false">VLOOKUP(Y481,recipe_ingred_list!$D$2:$E$500,2,0)</f>
        <v>#N/A</v>
      </c>
      <c r="AA481" s="61" t="n">
        <f aca="false">K481</f>
        <v>0</v>
      </c>
      <c r="AB481" s="61" t="n">
        <f aca="false">L481</f>
        <v>0</v>
      </c>
      <c r="AC481" s="61" t="n">
        <f aca="false">VLOOKUP(AB481,recipe_ingred_list!$K$2:$M$7,3,0)</f>
        <v>2</v>
      </c>
      <c r="AD481" s="61" t="n">
        <f aca="false">M481</f>
        <v>0</v>
      </c>
      <c r="AE481" s="61" t="n">
        <f aca="false">N481</f>
        <v>0</v>
      </c>
      <c r="AF481" s="61" t="n">
        <f aca="false">VLOOKUP(AE481,recipe_ingred_list!$K$16:$M$25,3,0)</f>
        <v>1</v>
      </c>
      <c r="AG481" s="61" t="n">
        <f aca="false">O481</f>
        <v>0</v>
      </c>
      <c r="AH481" s="61" t="n">
        <f aca="false">P481</f>
        <v>0</v>
      </c>
      <c r="AI481" s="61" t="n">
        <f aca="false">VLOOKUP(AH481,recipe_ingred_list!$K$29:$M$34,3,0)</f>
        <v>3</v>
      </c>
      <c r="AJ481" s="61" t="str">
        <f aca="false">IF(Q481="","",Q481)</f>
        <v/>
      </c>
      <c r="AK481" s="61" t="n">
        <f aca="false">AK480+1</f>
        <v>481</v>
      </c>
      <c r="AL481" s="61" t="e">
        <f aca="false">Y481</f>
        <v>#N/A</v>
      </c>
      <c r="AM481" s="81" t="e">
        <f aca="false">"a = Client().post('"&amp;W481&amp;"', {'recipe' : '"&amp;V481&amp;"', 'ingredient' : '"&amp;Z481&amp;"', 'name' : '"&amp;X481&amp;"', 'mass_unit' : '"&amp;AC481&amp;"', 'mass_quantity' : '"&amp;ROUND(AA481,3)&amp;"', 'volume_unit' : '"&amp;AF481&amp;"', 'volume_quantity' : '"&amp;ROUND(AD481,3)&amp;"', 'pieces_unit' : '"&amp;AI481&amp;"', 'pieces_quantity' : '"&amp;ROUND(AG481,3)&amp;"', 'cooking_notes' : '"&amp;AJ481&amp;"'}).status_code; print('%s :: %s :: %s :: %s :: %s' %(a,"&amp;G481&amp;",'"&amp;X481&amp;"','"&amp;Y481&amp;"','"&amp;U481&amp;"'))"</f>
        <v>#N/A</v>
      </c>
    </row>
    <row r="482" customFormat="false" ht="13.8" hidden="false" customHeight="false" outlineLevel="0" collapsed="false">
      <c r="G482" s="80" t="n">
        <v>482</v>
      </c>
      <c r="I482" s="161" t="s">
        <v>140</v>
      </c>
      <c r="J482" s="144" t="s">
        <v>665</v>
      </c>
      <c r="K482" s="145" t="n">
        <v>2</v>
      </c>
      <c r="L482" s="145" t="s">
        <v>7</v>
      </c>
      <c r="R482" s="82" t="str">
        <f aca="false">VLOOKUP(J482,ingredient!$N$4:$O$553,2,0)</f>
        <v>besan</v>
      </c>
      <c r="U482" s="81" t="str">
        <f aca="false">I482</f>
        <v>Boondi raita</v>
      </c>
      <c r="V482" s="81" t="n">
        <f aca="false">VLOOKUP(U482,recipe_ingred_list!$A$2:$B$300,2,0)</f>
        <v>11</v>
      </c>
      <c r="W482" s="81" t="str">
        <f aca="false">"/recipes/"&amp;VLOOKUP(U482,recipe_ingred_list!$A$2:$C$300,3,0)&amp;"/detail/"</f>
        <v>/recipes/boondi-raita/detail/</v>
      </c>
      <c r="X482" s="81" t="str">
        <f aca="false">J482</f>
        <v>Besan</v>
      </c>
      <c r="Y482" s="81" t="str">
        <f aca="false">R482</f>
        <v>besan</v>
      </c>
      <c r="Z482" s="94" t="n">
        <f aca="false">VLOOKUP(Y482,recipe_ingred_list!$D$2:$E$500,2,0)</f>
        <v>28</v>
      </c>
      <c r="AA482" s="61" t="n">
        <f aca="false">K482</f>
        <v>2</v>
      </c>
      <c r="AB482" s="61" t="str">
        <f aca="false">L482</f>
        <v>kg</v>
      </c>
      <c r="AC482" s="61" t="n">
        <f aca="false">VLOOKUP(AB482,recipe_ingred_list!$K$2:$M$7,3,0)</f>
        <v>2</v>
      </c>
      <c r="AD482" s="61" t="n">
        <f aca="false">M482</f>
        <v>0</v>
      </c>
      <c r="AE482" s="61" t="n">
        <f aca="false">N482</f>
        <v>0</v>
      </c>
      <c r="AF482" s="61" t="n">
        <f aca="false">VLOOKUP(AE482,recipe_ingred_list!$K$16:$M$25,3,0)</f>
        <v>1</v>
      </c>
      <c r="AG482" s="61" t="n">
        <f aca="false">O482</f>
        <v>0</v>
      </c>
      <c r="AH482" s="61" t="n">
        <f aca="false">P482</f>
        <v>0</v>
      </c>
      <c r="AI482" s="61" t="n">
        <f aca="false">VLOOKUP(AH482,recipe_ingred_list!$K$29:$M$34,3,0)</f>
        <v>3</v>
      </c>
      <c r="AJ482" s="61" t="str">
        <f aca="false">IF(Q482="","",Q482)</f>
        <v/>
      </c>
      <c r="AK482" s="61" t="n">
        <f aca="false">AK481+1</f>
        <v>482</v>
      </c>
      <c r="AL482" s="61" t="str">
        <f aca="false">Y482</f>
        <v>besan</v>
      </c>
      <c r="AM482" s="81" t="str">
        <f aca="false">"a = Client().post('"&amp;W482&amp;"', {'recipe' : '"&amp;V482&amp;"', 'ingredient' : '"&amp;Z482&amp;"', 'name' : '"&amp;X482&amp;"', 'mass_unit' : '"&amp;AC482&amp;"', 'mass_quantity' : '"&amp;ROUND(AA482,3)&amp;"', 'volume_unit' : '"&amp;AF482&amp;"', 'volume_quantity' : '"&amp;ROUND(AD482,3)&amp;"', 'pieces_unit' : '"&amp;AI482&amp;"', 'pieces_quantity' : '"&amp;ROUND(AG482,3)&amp;"', 'cooking_notes' : '"&amp;AJ482&amp;"'}).status_code; print('%s :: %s :: %s :: %s :: %s' %(a,"&amp;G482&amp;",'"&amp;X482&amp;"','"&amp;Y482&amp;"','"&amp;U482&amp;"'))"</f>
        <v>a = Client().post('/recipes/boondi-raita/detail/', {'recipe' : '11', 'ingredient' : '28', 'name' : 'Besan', 'mass_unit' : '2', 'mass_quantity' : '2', 'volume_unit' : '1', 'volume_quantity' : '0', 'pieces_unit' : '3', 'pieces_quantity' : '0', 'cooking_notes' : ''}).status_code; print('%s :: %s :: %s :: %s :: %s' %(a,482,'Besan','besan','Boondi raita'))</v>
      </c>
    </row>
    <row r="483" customFormat="false" ht="13.8" hidden="false" customHeight="false" outlineLevel="0" collapsed="false">
      <c r="G483" s="80" t="n">
        <v>483</v>
      </c>
      <c r="I483" s="161" t="s">
        <v>140</v>
      </c>
      <c r="J483" s="144" t="s">
        <v>666</v>
      </c>
      <c r="M483" s="145" t="n">
        <v>8</v>
      </c>
      <c r="N483" s="145" t="s">
        <v>13</v>
      </c>
      <c r="R483" s="82" t="str">
        <f aca="false">VLOOKUP(J483,ingredient!$N$4:$O$553,2,0)</f>
        <v>boondi</v>
      </c>
      <c r="U483" s="81" t="str">
        <f aca="false">I483</f>
        <v>Boondi raita</v>
      </c>
      <c r="V483" s="81" t="n">
        <f aca="false">VLOOKUP(U483,recipe_ingred_list!$A$2:$B$300,2,0)</f>
        <v>11</v>
      </c>
      <c r="W483" s="81" t="str">
        <f aca="false">"/recipes/"&amp;VLOOKUP(U483,recipe_ingred_list!$A$2:$C$300,3,0)&amp;"/detail/"</f>
        <v>/recipes/boondi-raita/detail/</v>
      </c>
      <c r="X483" s="81" t="str">
        <f aca="false">J483</f>
        <v>Boondi</v>
      </c>
      <c r="Y483" s="81" t="str">
        <f aca="false">R483</f>
        <v>boondi</v>
      </c>
      <c r="Z483" s="94" t="n">
        <f aca="false">VLOOKUP(Y483,recipe_ingred_list!$D$2:$E$500,2,0)</f>
        <v>34</v>
      </c>
      <c r="AA483" s="61" t="n">
        <f aca="false">K483</f>
        <v>0</v>
      </c>
      <c r="AB483" s="61" t="n">
        <f aca="false">L483</f>
        <v>0</v>
      </c>
      <c r="AC483" s="61" t="n">
        <f aca="false">VLOOKUP(AB483,recipe_ingred_list!$K$2:$M$7,3,0)</f>
        <v>2</v>
      </c>
      <c r="AD483" s="61" t="n">
        <f aca="false">M483</f>
        <v>8</v>
      </c>
      <c r="AE483" s="61" t="str">
        <f aca="false">N483</f>
        <v>ltr</v>
      </c>
      <c r="AF483" s="61" t="n">
        <f aca="false">VLOOKUP(AE483,recipe_ingred_list!$K$16:$M$25,3,0)</f>
        <v>1</v>
      </c>
      <c r="AG483" s="61" t="n">
        <f aca="false">O483</f>
        <v>0</v>
      </c>
      <c r="AH483" s="61" t="n">
        <f aca="false">P483</f>
        <v>0</v>
      </c>
      <c r="AI483" s="61" t="n">
        <f aca="false">VLOOKUP(AH483,recipe_ingred_list!$K$29:$M$34,3,0)</f>
        <v>3</v>
      </c>
      <c r="AJ483" s="61" t="str">
        <f aca="false">IF(Q483="","",Q483)</f>
        <v/>
      </c>
      <c r="AK483" s="61" t="n">
        <f aca="false">AK482+1</f>
        <v>483</v>
      </c>
      <c r="AL483" s="61" t="str">
        <f aca="false">Y483</f>
        <v>boondi</v>
      </c>
      <c r="AM483" s="81" t="str">
        <f aca="false">"a = Client().post('"&amp;W483&amp;"', {'recipe' : '"&amp;V483&amp;"', 'ingredient' : '"&amp;Z483&amp;"', 'name' : '"&amp;X483&amp;"', 'mass_unit' : '"&amp;AC483&amp;"', 'mass_quantity' : '"&amp;ROUND(AA483,3)&amp;"', 'volume_unit' : '"&amp;AF483&amp;"', 'volume_quantity' : '"&amp;ROUND(AD483,3)&amp;"', 'pieces_unit' : '"&amp;AI483&amp;"', 'pieces_quantity' : '"&amp;ROUND(AG483,3)&amp;"', 'cooking_notes' : '"&amp;AJ483&amp;"'}).status_code; print('%s :: %s :: %s :: %s :: %s' %(a,"&amp;G483&amp;",'"&amp;X483&amp;"','"&amp;Y483&amp;"','"&amp;U483&amp;"'))"</f>
        <v>a = Client().post('/recipes/boondi-raita/detail/', {'recipe' : '11', 'ingredient' : '34', 'name' : 'Boondi', 'mass_unit' : '2', 'mass_quantity' : '0', 'volume_unit' : '1', 'volume_quantity' : '8', 'pieces_unit' : '3', 'pieces_quantity' : '0', 'cooking_notes' : ''}).status_code; print('%s :: %s :: %s :: %s :: %s' %(a,483,'Boondi','boondi','Boondi raita'))</v>
      </c>
    </row>
    <row r="484" customFormat="false" ht="13.8" hidden="false" customHeight="false" outlineLevel="0" collapsed="false">
      <c r="G484" s="80" t="n">
        <v>484</v>
      </c>
      <c r="I484" s="161" t="s">
        <v>140</v>
      </c>
      <c r="J484" s="144" t="s">
        <v>582</v>
      </c>
      <c r="M484" s="145" t="n">
        <v>2.5</v>
      </c>
      <c r="N484" s="145" t="s">
        <v>20</v>
      </c>
      <c r="R484" s="82" t="str">
        <f aca="false">VLOOKUP(J484,ingredient!$N$4:$O$553,2,0)</f>
        <v>jeera</v>
      </c>
      <c r="U484" s="81" t="str">
        <f aca="false">I484</f>
        <v>Boondi raita</v>
      </c>
      <c r="V484" s="81" t="n">
        <f aca="false">VLOOKUP(U484,recipe_ingred_list!$A$2:$B$300,2,0)</f>
        <v>11</v>
      </c>
      <c r="W484" s="81" t="str">
        <f aca="false">"/recipes/"&amp;VLOOKUP(U484,recipe_ingred_list!$A$2:$C$300,3,0)&amp;"/detail/"</f>
        <v>/recipes/boondi-raita/detail/</v>
      </c>
      <c r="X484" s="81" t="str">
        <f aca="false">J484</f>
        <v>Roasted jeera powder</v>
      </c>
      <c r="Y484" s="81" t="str">
        <f aca="false">R484</f>
        <v>jeera</v>
      </c>
      <c r="Z484" s="94" t="n">
        <f aca="false">VLOOKUP(Y484,recipe_ingred_list!$D$2:$E$500,2,0)</f>
        <v>102</v>
      </c>
      <c r="AA484" s="61" t="n">
        <f aca="false">K484</f>
        <v>0</v>
      </c>
      <c r="AB484" s="61" t="n">
        <f aca="false">L484</f>
        <v>0</v>
      </c>
      <c r="AC484" s="61" t="n">
        <f aca="false">VLOOKUP(AB484,recipe_ingred_list!$K$2:$M$7,3,0)</f>
        <v>2</v>
      </c>
      <c r="AD484" s="61" t="n">
        <f aca="false">M484</f>
        <v>2.5</v>
      </c>
      <c r="AE484" s="61" t="str">
        <f aca="false">N484</f>
        <v>cup</v>
      </c>
      <c r="AF484" s="61" t="n">
        <f aca="false">VLOOKUP(AE484,recipe_ingred_list!$K$16:$M$25,3,0)</f>
        <v>5</v>
      </c>
      <c r="AG484" s="61" t="n">
        <f aca="false">O484</f>
        <v>0</v>
      </c>
      <c r="AH484" s="61" t="n">
        <f aca="false">P484</f>
        <v>0</v>
      </c>
      <c r="AI484" s="61" t="n">
        <f aca="false">VLOOKUP(AH484,recipe_ingred_list!$K$29:$M$34,3,0)</f>
        <v>3</v>
      </c>
      <c r="AJ484" s="61" t="str">
        <f aca="false">IF(Q484="","",Q484)</f>
        <v/>
      </c>
      <c r="AK484" s="61" t="n">
        <f aca="false">AK483+1</f>
        <v>484</v>
      </c>
      <c r="AL484" s="61" t="str">
        <f aca="false">Y484</f>
        <v>jeera</v>
      </c>
      <c r="AM484" s="81" t="str">
        <f aca="false">"a = Client().post('"&amp;W484&amp;"', {'recipe' : '"&amp;V484&amp;"', 'ingredient' : '"&amp;Z484&amp;"', 'name' : '"&amp;X484&amp;"', 'mass_unit' : '"&amp;AC484&amp;"', 'mass_quantity' : '"&amp;ROUND(AA484,3)&amp;"', 'volume_unit' : '"&amp;AF484&amp;"', 'volume_quantity' : '"&amp;ROUND(AD484,3)&amp;"', 'pieces_unit' : '"&amp;AI484&amp;"', 'pieces_quantity' : '"&amp;ROUND(AG484,3)&amp;"', 'cooking_notes' : '"&amp;AJ484&amp;"'}).status_code; print('%s :: %s :: %s :: %s :: %s' %(a,"&amp;G484&amp;",'"&amp;X484&amp;"','"&amp;Y484&amp;"','"&amp;U484&amp;"'))"</f>
        <v>a = Client().post('/recipes/boondi-raita/detail/', {'recipe' : '11', 'ingredient' : '102', 'name' : 'Roasted jeera powder', 'mass_unit' : '2', 'mass_quantity' : '0', 'volume_unit' : '5', 'volume_quantity' : '2.5', 'pieces_unit' : '3', 'pieces_quantity' : '0', 'cooking_notes' : ''}).status_code; print('%s :: %s :: %s :: %s :: %s' %(a,484,'Roasted jeera powder','jeera','Boondi raita'))</v>
      </c>
    </row>
    <row r="485" customFormat="false" ht="13.8" hidden="false" customHeight="false" outlineLevel="0" collapsed="false">
      <c r="G485" s="80" t="n">
        <v>485</v>
      </c>
      <c r="I485" s="161" t="s">
        <v>140</v>
      </c>
      <c r="J485" s="144" t="s">
        <v>667</v>
      </c>
      <c r="M485" s="145" t="n">
        <v>0.5</v>
      </c>
      <c r="N485" s="145" t="s">
        <v>20</v>
      </c>
      <c r="R485" s="82" t="str">
        <f aca="false">VLOOKUP(J485,ingredient!$N$4:$O$553,2,0)</f>
        <v>madrasi mirchi akkaha</v>
      </c>
      <c r="U485" s="81" t="str">
        <f aca="false">I485</f>
        <v>Boondi raita</v>
      </c>
      <c r="V485" s="81" t="n">
        <f aca="false">VLOOKUP(U485,recipe_ingred_list!$A$2:$B$300,2,0)</f>
        <v>11</v>
      </c>
      <c r="W485" s="81" t="str">
        <f aca="false">"/recipes/"&amp;VLOOKUP(U485,recipe_ingred_list!$A$2:$C$300,3,0)&amp;"/detail/"</f>
        <v>/recipes/boondi-raita/detail/</v>
      </c>
      <c r="X485" s="81" t="str">
        <f aca="false">J485</f>
        <v>Roasted mirchi powder</v>
      </c>
      <c r="Y485" s="81" t="str">
        <f aca="false">R485</f>
        <v>madrasi mirchi akkaha</v>
      </c>
      <c r="Z485" s="94" t="n">
        <f aca="false">VLOOKUP(Y485,recipe_ingred_list!$D$2:$E$500,2,0)</f>
        <v>134</v>
      </c>
      <c r="AA485" s="61" t="n">
        <f aca="false">K485</f>
        <v>0</v>
      </c>
      <c r="AB485" s="61" t="n">
        <f aca="false">L485</f>
        <v>0</v>
      </c>
      <c r="AC485" s="61" t="n">
        <f aca="false">VLOOKUP(AB485,recipe_ingred_list!$K$2:$M$7,3,0)</f>
        <v>2</v>
      </c>
      <c r="AD485" s="61" t="n">
        <f aca="false">M485</f>
        <v>0.5</v>
      </c>
      <c r="AE485" s="61" t="str">
        <f aca="false">N485</f>
        <v>cup</v>
      </c>
      <c r="AF485" s="61" t="n">
        <f aca="false">VLOOKUP(AE485,recipe_ingred_list!$K$16:$M$25,3,0)</f>
        <v>5</v>
      </c>
      <c r="AG485" s="61" t="n">
        <f aca="false">O485</f>
        <v>0</v>
      </c>
      <c r="AH485" s="61" t="n">
        <f aca="false">P485</f>
        <v>0</v>
      </c>
      <c r="AI485" s="61" t="n">
        <f aca="false">VLOOKUP(AH485,recipe_ingred_list!$K$29:$M$34,3,0)</f>
        <v>3</v>
      </c>
      <c r="AJ485" s="61" t="str">
        <f aca="false">IF(Q485="","",Q485)</f>
        <v/>
      </c>
      <c r="AK485" s="61" t="n">
        <f aca="false">AK484+1</f>
        <v>485</v>
      </c>
      <c r="AL485" s="61" t="str">
        <f aca="false">Y485</f>
        <v>madrasi mirchi akkaha</v>
      </c>
      <c r="AM485" s="81" t="str">
        <f aca="false">"a = Client().post('"&amp;W485&amp;"', {'recipe' : '"&amp;V485&amp;"', 'ingredient' : '"&amp;Z485&amp;"', 'name' : '"&amp;X485&amp;"', 'mass_unit' : '"&amp;AC485&amp;"', 'mass_quantity' : '"&amp;ROUND(AA485,3)&amp;"', 'volume_unit' : '"&amp;AF485&amp;"', 'volume_quantity' : '"&amp;ROUND(AD485,3)&amp;"', 'pieces_unit' : '"&amp;AI485&amp;"', 'pieces_quantity' : '"&amp;ROUND(AG485,3)&amp;"', 'cooking_notes' : '"&amp;AJ485&amp;"'}).status_code; print('%s :: %s :: %s :: %s :: %s' %(a,"&amp;G485&amp;",'"&amp;X485&amp;"','"&amp;Y485&amp;"','"&amp;U485&amp;"'))"</f>
        <v>a = Client().post('/recipes/boondi-raita/detail/', {'recipe' : '11', 'ingredient' : '134', 'name' : 'Roasted mirchi powder', 'mass_unit' : '2', 'mass_quantity' : '0', 'volume_unit' : '5', 'volume_quantity' : '0.5', 'pieces_unit' : '3', 'pieces_quantity' : '0', 'cooking_notes' : ''}).status_code; print('%s :: %s :: %s :: %s :: %s' %(a,485,'Roasted mirchi powder','madrasi mirchi akkaha','Boondi raita'))</v>
      </c>
    </row>
    <row r="486" customFormat="false" ht="13.8" hidden="false" customHeight="false" outlineLevel="0" collapsed="false">
      <c r="G486" s="80" t="n">
        <v>486</v>
      </c>
      <c r="I486" s="161" t="s">
        <v>140</v>
      </c>
      <c r="J486" s="144" t="s">
        <v>32</v>
      </c>
      <c r="M486" s="145" t="n">
        <v>1.75</v>
      </c>
      <c r="N486" s="145" t="s">
        <v>20</v>
      </c>
      <c r="R486" s="82" t="str">
        <f aca="false">VLOOKUP(J486,ingredient!$N$4:$O$553,2,0)</f>
        <v>salt</v>
      </c>
      <c r="U486" s="81" t="str">
        <f aca="false">I486</f>
        <v>Boondi raita</v>
      </c>
      <c r="V486" s="81" t="n">
        <f aca="false">VLOOKUP(U486,recipe_ingred_list!$A$2:$B$300,2,0)</f>
        <v>11</v>
      </c>
      <c r="W486" s="81" t="str">
        <f aca="false">"/recipes/"&amp;VLOOKUP(U486,recipe_ingred_list!$A$2:$C$300,3,0)&amp;"/detail/"</f>
        <v>/recipes/boondi-raita/detail/</v>
      </c>
      <c r="X486" s="81" t="str">
        <f aca="false">J486</f>
        <v>Salt</v>
      </c>
      <c r="Y486" s="81" t="str">
        <f aca="false">R486</f>
        <v>salt</v>
      </c>
      <c r="Z486" s="94" t="n">
        <f aca="false">VLOOKUP(Y486,recipe_ingred_list!$D$2:$E$500,2,0)</f>
        <v>177</v>
      </c>
      <c r="AA486" s="61" t="n">
        <f aca="false">K486</f>
        <v>0</v>
      </c>
      <c r="AB486" s="61" t="n">
        <f aca="false">L486</f>
        <v>0</v>
      </c>
      <c r="AC486" s="61" t="n">
        <f aca="false">VLOOKUP(AB486,recipe_ingred_list!$K$2:$M$7,3,0)</f>
        <v>2</v>
      </c>
      <c r="AD486" s="61" t="n">
        <f aca="false">M486</f>
        <v>1.75</v>
      </c>
      <c r="AE486" s="61" t="str">
        <f aca="false">N486</f>
        <v>cup</v>
      </c>
      <c r="AF486" s="61" t="n">
        <f aca="false">VLOOKUP(AE486,recipe_ingred_list!$K$16:$M$25,3,0)</f>
        <v>5</v>
      </c>
      <c r="AG486" s="61" t="n">
        <f aca="false">O486</f>
        <v>0</v>
      </c>
      <c r="AH486" s="61" t="n">
        <f aca="false">P486</f>
        <v>0</v>
      </c>
      <c r="AI486" s="61" t="n">
        <f aca="false">VLOOKUP(AH486,recipe_ingred_list!$K$29:$M$34,3,0)</f>
        <v>3</v>
      </c>
      <c r="AJ486" s="61" t="str">
        <f aca="false">IF(Q486="","",Q486)</f>
        <v/>
      </c>
      <c r="AK486" s="61" t="n">
        <f aca="false">AK485+1</f>
        <v>486</v>
      </c>
      <c r="AL486" s="61" t="str">
        <f aca="false">Y486</f>
        <v>salt</v>
      </c>
      <c r="AM486" s="81" t="str">
        <f aca="false">"a = Client().post('"&amp;W486&amp;"', {'recipe' : '"&amp;V486&amp;"', 'ingredient' : '"&amp;Z486&amp;"', 'name' : '"&amp;X486&amp;"', 'mass_unit' : '"&amp;AC486&amp;"', 'mass_quantity' : '"&amp;ROUND(AA486,3)&amp;"', 'volume_unit' : '"&amp;AF486&amp;"', 'volume_quantity' : '"&amp;ROUND(AD486,3)&amp;"', 'pieces_unit' : '"&amp;AI486&amp;"', 'pieces_quantity' : '"&amp;ROUND(AG486,3)&amp;"', 'cooking_notes' : '"&amp;AJ486&amp;"'}).status_code; print('%s :: %s :: %s :: %s :: %s' %(a,"&amp;G486&amp;",'"&amp;X486&amp;"','"&amp;Y486&amp;"','"&amp;U486&amp;"'))"</f>
        <v>a = Client().post('/recipes/boondi-raita/detail/', {'recipe' : '11', 'ingredient' : '177', 'name' : 'Salt', 'mass_unit' : '2', 'mass_quantity' : '0', 'volume_unit' : '5', 'volume_quantity' : '1.75', 'pieces_unit' : '3', 'pieces_quantity' : '0', 'cooking_notes' : ''}).status_code; print('%s :: %s :: %s :: %s :: %s' %(a,486,'Salt','salt','Boondi raita'))</v>
      </c>
    </row>
    <row r="487" customFormat="false" ht="13.8" hidden="false" customHeight="false" outlineLevel="0" collapsed="false">
      <c r="G487" s="80" t="n">
        <v>487</v>
      </c>
      <c r="I487" s="161" t="s">
        <v>140</v>
      </c>
      <c r="J487" s="144" t="s">
        <v>571</v>
      </c>
      <c r="M487" s="145" t="n">
        <v>3</v>
      </c>
      <c r="N487" s="145" t="s">
        <v>20</v>
      </c>
      <c r="R487" s="82" t="str">
        <f aca="false">VLOOKUP(J487,ingredient!$N$4:$O$553,2,0)</f>
        <v>sugar</v>
      </c>
      <c r="U487" s="81" t="str">
        <f aca="false">I487</f>
        <v>Boondi raita</v>
      </c>
      <c r="V487" s="81" t="n">
        <f aca="false">VLOOKUP(U487,recipe_ingred_list!$A$2:$B$300,2,0)</f>
        <v>11</v>
      </c>
      <c r="W487" s="81" t="str">
        <f aca="false">"/recipes/"&amp;VLOOKUP(U487,recipe_ingred_list!$A$2:$C$300,3,0)&amp;"/detail/"</f>
        <v>/recipes/boondi-raita/detail/</v>
      </c>
      <c r="X487" s="81" t="str">
        <f aca="false">J487</f>
        <v>Sugar</v>
      </c>
      <c r="Y487" s="81" t="str">
        <f aca="false">R487</f>
        <v>sugar</v>
      </c>
      <c r="Z487" s="94" t="n">
        <f aca="false">VLOOKUP(Y487,recipe_ingred_list!$D$2:$E$500,2,0)</f>
        <v>187</v>
      </c>
      <c r="AA487" s="61" t="n">
        <f aca="false">K487</f>
        <v>0</v>
      </c>
      <c r="AB487" s="61" t="n">
        <f aca="false">L487</f>
        <v>0</v>
      </c>
      <c r="AC487" s="61" t="n">
        <f aca="false">VLOOKUP(AB487,recipe_ingred_list!$K$2:$M$7,3,0)</f>
        <v>2</v>
      </c>
      <c r="AD487" s="61" t="n">
        <f aca="false">M487</f>
        <v>3</v>
      </c>
      <c r="AE487" s="61" t="str">
        <f aca="false">N487</f>
        <v>cup</v>
      </c>
      <c r="AF487" s="61" t="n">
        <f aca="false">VLOOKUP(AE487,recipe_ingred_list!$K$16:$M$25,3,0)</f>
        <v>5</v>
      </c>
      <c r="AG487" s="61" t="n">
        <f aca="false">O487</f>
        <v>0</v>
      </c>
      <c r="AH487" s="61" t="n">
        <f aca="false">P487</f>
        <v>0</v>
      </c>
      <c r="AI487" s="61" t="n">
        <f aca="false">VLOOKUP(AH487,recipe_ingred_list!$K$29:$M$34,3,0)</f>
        <v>3</v>
      </c>
      <c r="AJ487" s="61" t="str">
        <f aca="false">IF(Q487="","",Q487)</f>
        <v/>
      </c>
      <c r="AK487" s="61" t="n">
        <f aca="false">AK486+1</f>
        <v>487</v>
      </c>
      <c r="AL487" s="61" t="str">
        <f aca="false">Y487</f>
        <v>sugar</v>
      </c>
      <c r="AM487" s="81" t="str">
        <f aca="false">"a = Client().post('"&amp;W487&amp;"', {'recipe' : '"&amp;V487&amp;"', 'ingredient' : '"&amp;Z487&amp;"', 'name' : '"&amp;X487&amp;"', 'mass_unit' : '"&amp;AC487&amp;"', 'mass_quantity' : '"&amp;ROUND(AA487,3)&amp;"', 'volume_unit' : '"&amp;AF487&amp;"', 'volume_quantity' : '"&amp;ROUND(AD487,3)&amp;"', 'pieces_unit' : '"&amp;AI487&amp;"', 'pieces_quantity' : '"&amp;ROUND(AG487,3)&amp;"', 'cooking_notes' : '"&amp;AJ487&amp;"'}).status_code; print('%s :: %s :: %s :: %s :: %s' %(a,"&amp;G487&amp;",'"&amp;X487&amp;"','"&amp;Y487&amp;"','"&amp;U487&amp;"'))"</f>
        <v>a = Client().post('/recipes/boondi-raita/detail/', {'recipe' : '11', 'ingredient' : '187', 'name' : 'Sugar', 'mass_unit' : '2', 'mass_quantity' : '0', 'volume_unit' : '5', 'volume_quantity' : '3', 'pieces_unit' : '3', 'pieces_quantity' : '0', 'cooking_notes' : ''}).status_code; print('%s :: %s :: %s :: %s :: %s' %(a,487,'Sugar','sugar','Boondi raita'))</v>
      </c>
    </row>
    <row r="488" customFormat="false" ht="13.8" hidden="false" customHeight="false" outlineLevel="0" collapsed="false">
      <c r="G488" s="80" t="n">
        <v>488</v>
      </c>
      <c r="I488" s="161" t="s">
        <v>140</v>
      </c>
      <c r="J488" s="144" t="s">
        <v>668</v>
      </c>
      <c r="M488" s="145" t="n">
        <v>1.5</v>
      </c>
      <c r="N488" s="145" t="s">
        <v>13</v>
      </c>
      <c r="R488" s="82" t="str">
        <f aca="false">VLOOKUP(J488,ingredient!$N$4:$O$553,2,0)</f>
        <v>pudina</v>
      </c>
      <c r="U488" s="81" t="str">
        <f aca="false">I488</f>
        <v>Boondi raita</v>
      </c>
      <c r="V488" s="81" t="n">
        <f aca="false">VLOOKUP(U488,recipe_ingred_list!$A$2:$B$300,2,0)</f>
        <v>11</v>
      </c>
      <c r="W488" s="81" t="str">
        <f aca="false">"/recipes/"&amp;VLOOKUP(U488,recipe_ingred_list!$A$2:$C$300,3,0)&amp;"/detail/"</f>
        <v>/recipes/boondi-raita/detail/</v>
      </c>
      <c r="X488" s="81" t="str">
        <f aca="false">J488</f>
        <v>Pudina</v>
      </c>
      <c r="Y488" s="81" t="str">
        <f aca="false">R488</f>
        <v>pudina</v>
      </c>
      <c r="Z488" s="94" t="n">
        <f aca="false">VLOOKUP(Y488,recipe_ingred_list!$D$2:$E$500,2,0)</f>
        <v>162</v>
      </c>
      <c r="AA488" s="61" t="n">
        <f aca="false">K488</f>
        <v>0</v>
      </c>
      <c r="AB488" s="61" t="n">
        <f aca="false">L488</f>
        <v>0</v>
      </c>
      <c r="AC488" s="61" t="n">
        <f aca="false">VLOOKUP(AB488,recipe_ingred_list!$K$2:$M$7,3,0)</f>
        <v>2</v>
      </c>
      <c r="AD488" s="61" t="n">
        <f aca="false">M488</f>
        <v>1.5</v>
      </c>
      <c r="AE488" s="61" t="str">
        <f aca="false">N488</f>
        <v>ltr</v>
      </c>
      <c r="AF488" s="61" t="n">
        <f aca="false">VLOOKUP(AE488,recipe_ingred_list!$K$16:$M$25,3,0)</f>
        <v>1</v>
      </c>
      <c r="AG488" s="61" t="n">
        <f aca="false">O488</f>
        <v>0</v>
      </c>
      <c r="AH488" s="61" t="n">
        <f aca="false">P488</f>
        <v>0</v>
      </c>
      <c r="AI488" s="61" t="n">
        <f aca="false">VLOOKUP(AH488,recipe_ingred_list!$K$29:$M$34,3,0)</f>
        <v>3</v>
      </c>
      <c r="AJ488" s="61" t="str">
        <f aca="false">IF(Q488="","",Q488)</f>
        <v/>
      </c>
      <c r="AK488" s="61" t="n">
        <f aca="false">AK487+1</f>
        <v>488</v>
      </c>
      <c r="AL488" s="61" t="str">
        <f aca="false">Y488</f>
        <v>pudina</v>
      </c>
      <c r="AM488" s="81" t="str">
        <f aca="false">"a = Client().post('"&amp;W488&amp;"', {'recipe' : '"&amp;V488&amp;"', 'ingredient' : '"&amp;Z488&amp;"', 'name' : '"&amp;X488&amp;"', 'mass_unit' : '"&amp;AC488&amp;"', 'mass_quantity' : '"&amp;ROUND(AA488,3)&amp;"', 'volume_unit' : '"&amp;AF488&amp;"', 'volume_quantity' : '"&amp;ROUND(AD488,3)&amp;"', 'pieces_unit' : '"&amp;AI488&amp;"', 'pieces_quantity' : '"&amp;ROUND(AG488,3)&amp;"', 'cooking_notes' : '"&amp;AJ488&amp;"'}).status_code; print('%s :: %s :: %s :: %s :: %s' %(a,"&amp;G488&amp;",'"&amp;X488&amp;"','"&amp;Y488&amp;"','"&amp;U488&amp;"'))"</f>
        <v>a = Client().post('/recipes/boondi-raita/detail/', {'recipe' : '11', 'ingredient' : '162', 'name' : 'Pudina', 'mass_unit' : '2', 'mass_quantity' : '0', 'volume_unit' : '1', 'volume_quantity' : '1.5', 'pieces_unit' : '3', 'pieces_quantity' : '0', 'cooking_notes' : ''}).status_code; print('%s :: %s :: %s :: %s :: %s' %(a,488,'Pudina','pudina','Boondi raita'))</v>
      </c>
    </row>
    <row r="489" customFormat="false" ht="13.8" hidden="false" customHeight="false" outlineLevel="0" collapsed="false">
      <c r="G489" s="80" t="n">
        <v>489</v>
      </c>
      <c r="I489" s="161" t="s">
        <v>140</v>
      </c>
      <c r="J489" s="144" t="s">
        <v>669</v>
      </c>
      <c r="M489" s="145" t="n">
        <v>1</v>
      </c>
      <c r="N489" s="145" t="s">
        <v>13</v>
      </c>
      <c r="R489" s="82" t="str">
        <f aca="false">VLOOKUP(J489,ingredient!$N$4:$O$553,2,0)</f>
        <v>dhaniya patta</v>
      </c>
      <c r="U489" s="81" t="str">
        <f aca="false">I489</f>
        <v>Boondi raita</v>
      </c>
      <c r="V489" s="81" t="n">
        <f aca="false">VLOOKUP(U489,recipe_ingred_list!$A$2:$B$300,2,0)</f>
        <v>11</v>
      </c>
      <c r="W489" s="81" t="str">
        <f aca="false">"/recipes/"&amp;VLOOKUP(U489,recipe_ingred_list!$A$2:$C$300,3,0)&amp;"/detail/"</f>
        <v>/recipes/boondi-raita/detail/</v>
      </c>
      <c r="X489" s="81" t="str">
        <f aca="false">J489</f>
        <v>Dhaniya patta</v>
      </c>
      <c r="Y489" s="81" t="str">
        <f aca="false">R489</f>
        <v>dhaniya patta</v>
      </c>
      <c r="Z489" s="94" t="n">
        <f aca="false">VLOOKUP(Y489,recipe_ingred_list!$D$2:$E$500,2,0)</f>
        <v>66</v>
      </c>
      <c r="AA489" s="61" t="n">
        <f aca="false">K489</f>
        <v>0</v>
      </c>
      <c r="AB489" s="61" t="n">
        <f aca="false">L489</f>
        <v>0</v>
      </c>
      <c r="AC489" s="61" t="n">
        <f aca="false">VLOOKUP(AB489,recipe_ingred_list!$K$2:$M$7,3,0)</f>
        <v>2</v>
      </c>
      <c r="AD489" s="61" t="n">
        <f aca="false">M489</f>
        <v>1</v>
      </c>
      <c r="AE489" s="61" t="str">
        <f aca="false">N489</f>
        <v>ltr</v>
      </c>
      <c r="AF489" s="61" t="n">
        <f aca="false">VLOOKUP(AE489,recipe_ingred_list!$K$16:$M$25,3,0)</f>
        <v>1</v>
      </c>
      <c r="AG489" s="61" t="n">
        <f aca="false">O489</f>
        <v>0</v>
      </c>
      <c r="AH489" s="61" t="n">
        <f aca="false">P489</f>
        <v>0</v>
      </c>
      <c r="AI489" s="61" t="n">
        <f aca="false">VLOOKUP(AH489,recipe_ingred_list!$K$29:$M$34,3,0)</f>
        <v>3</v>
      </c>
      <c r="AJ489" s="61" t="str">
        <f aca="false">IF(Q489="","",Q489)</f>
        <v/>
      </c>
      <c r="AK489" s="61" t="n">
        <f aca="false">AK488+1</f>
        <v>489</v>
      </c>
      <c r="AL489" s="61" t="str">
        <f aca="false">Y489</f>
        <v>dhaniya patta</v>
      </c>
      <c r="AM489" s="81" t="str">
        <f aca="false">"a = Client().post('"&amp;W489&amp;"', {'recipe' : '"&amp;V489&amp;"', 'ingredient' : '"&amp;Z489&amp;"', 'name' : '"&amp;X489&amp;"', 'mass_unit' : '"&amp;AC489&amp;"', 'mass_quantity' : '"&amp;ROUND(AA489,3)&amp;"', 'volume_unit' : '"&amp;AF489&amp;"', 'volume_quantity' : '"&amp;ROUND(AD489,3)&amp;"', 'pieces_unit' : '"&amp;AI489&amp;"', 'pieces_quantity' : '"&amp;ROUND(AG489,3)&amp;"', 'cooking_notes' : '"&amp;AJ489&amp;"'}).status_code; print('%s :: %s :: %s :: %s :: %s' %(a,"&amp;G489&amp;",'"&amp;X489&amp;"','"&amp;Y489&amp;"','"&amp;U489&amp;"'))"</f>
        <v>a = Client().post('/recipes/boondi-raita/detail/', {'recipe' : '11', 'ingredient' : '66', 'name' : 'Dhaniya patta', 'mass_unit' : '2', 'mass_quantity' : '0', 'volume_unit' : '1', 'volume_quantity' : '1', 'pieces_unit' : '3', 'pieces_quantity' : '0', 'cooking_notes' : ''}).status_code; print('%s :: %s :: %s :: %s :: %s' %(a,489,'Dhaniya patta','dhaniya patta','Boondi raita'))</v>
      </c>
    </row>
    <row r="490" customFormat="false" ht="13.8" hidden="false" customHeight="false" outlineLevel="0" collapsed="false">
      <c r="G490" s="80" t="n">
        <v>490</v>
      </c>
      <c r="I490" s="161" t="s">
        <v>140</v>
      </c>
      <c r="J490" s="144" t="s">
        <v>580</v>
      </c>
      <c r="M490" s="145" t="n">
        <v>20</v>
      </c>
      <c r="N490" s="145" t="s">
        <v>13</v>
      </c>
      <c r="R490" s="82" t="str">
        <f aca="false">VLOOKUP(J490,ingredient!$N$4:$O$553,2,0)</f>
        <v>dahi</v>
      </c>
      <c r="U490" s="81" t="str">
        <f aca="false">I490</f>
        <v>Boondi raita</v>
      </c>
      <c r="V490" s="81" t="n">
        <f aca="false">VLOOKUP(U490,recipe_ingred_list!$A$2:$B$300,2,0)</f>
        <v>11</v>
      </c>
      <c r="W490" s="81" t="str">
        <f aca="false">"/recipes/"&amp;VLOOKUP(U490,recipe_ingred_list!$A$2:$C$300,3,0)&amp;"/detail/"</f>
        <v>/recipes/boondi-raita/detail/</v>
      </c>
      <c r="X490" s="81" t="str">
        <f aca="false">J490</f>
        <v>Dahi</v>
      </c>
      <c r="Y490" s="81" t="str">
        <f aca="false">R490</f>
        <v>dahi</v>
      </c>
      <c r="Z490" s="94" t="n">
        <f aca="false">VLOOKUP(Y490,recipe_ingred_list!$D$2:$E$500,2,0)</f>
        <v>59</v>
      </c>
      <c r="AA490" s="61" t="n">
        <f aca="false">K490</f>
        <v>0</v>
      </c>
      <c r="AB490" s="61" t="n">
        <f aca="false">L490</f>
        <v>0</v>
      </c>
      <c r="AC490" s="61" t="n">
        <f aca="false">VLOOKUP(AB490,recipe_ingred_list!$K$2:$M$7,3,0)</f>
        <v>2</v>
      </c>
      <c r="AD490" s="61" t="n">
        <f aca="false">M490</f>
        <v>20</v>
      </c>
      <c r="AE490" s="61" t="str">
        <f aca="false">N490</f>
        <v>ltr</v>
      </c>
      <c r="AF490" s="61" t="n">
        <f aca="false">VLOOKUP(AE490,recipe_ingred_list!$K$16:$M$25,3,0)</f>
        <v>1</v>
      </c>
      <c r="AG490" s="61" t="n">
        <f aca="false">O490</f>
        <v>0</v>
      </c>
      <c r="AH490" s="61" t="n">
        <f aca="false">P490</f>
        <v>0</v>
      </c>
      <c r="AI490" s="61" t="n">
        <f aca="false">VLOOKUP(AH490,recipe_ingred_list!$K$29:$M$34,3,0)</f>
        <v>3</v>
      </c>
      <c r="AJ490" s="61" t="str">
        <f aca="false">IF(Q490="","",Q490)</f>
        <v/>
      </c>
      <c r="AK490" s="61" t="n">
        <f aca="false">AK489+1</f>
        <v>490</v>
      </c>
      <c r="AL490" s="61" t="str">
        <f aca="false">Y490</f>
        <v>dahi</v>
      </c>
      <c r="AM490" s="81" t="str">
        <f aca="false">"a = Client().post('"&amp;W490&amp;"', {'recipe' : '"&amp;V490&amp;"', 'ingredient' : '"&amp;Z490&amp;"', 'name' : '"&amp;X490&amp;"', 'mass_unit' : '"&amp;AC490&amp;"', 'mass_quantity' : '"&amp;ROUND(AA490,3)&amp;"', 'volume_unit' : '"&amp;AF490&amp;"', 'volume_quantity' : '"&amp;ROUND(AD490,3)&amp;"', 'pieces_unit' : '"&amp;AI490&amp;"', 'pieces_quantity' : '"&amp;ROUND(AG490,3)&amp;"', 'cooking_notes' : '"&amp;AJ490&amp;"'}).status_code; print('%s :: %s :: %s :: %s :: %s' %(a,"&amp;G490&amp;",'"&amp;X490&amp;"','"&amp;Y490&amp;"','"&amp;U490&amp;"'))"</f>
        <v>a = Client().post('/recipes/boondi-raita/detail/', {'recipe' : '11', 'ingredient' : '59', 'name' : 'Dahi', 'mass_unit' : '2', 'mass_quantity' : '0', 'volume_unit' : '1', 'volume_quantity' : '20', 'pieces_unit' : '3', 'pieces_quantity' : '0', 'cooking_notes' : ''}).status_code; print('%s :: %s :: %s :: %s :: %s' %(a,490,'Dahi','dahi','Boondi raita'))</v>
      </c>
    </row>
    <row r="491" customFormat="false" ht="13.8" hidden="false" customHeight="false" outlineLevel="0" collapsed="false">
      <c r="G491" s="80" t="n">
        <v>491</v>
      </c>
      <c r="I491" s="161" t="s">
        <v>140</v>
      </c>
      <c r="J491" s="144" t="s">
        <v>578</v>
      </c>
      <c r="M491" s="145" t="n">
        <v>5</v>
      </c>
      <c r="N491" s="145" t="s">
        <v>13</v>
      </c>
      <c r="R491" s="82" t="str">
        <f aca="false">VLOOKUP(J491,ingredient!$N$4:$O$553,2,0)</f>
        <v>water</v>
      </c>
      <c r="U491" s="81" t="str">
        <f aca="false">I491</f>
        <v>Boondi raita</v>
      </c>
      <c r="V491" s="81" t="n">
        <f aca="false">VLOOKUP(U491,recipe_ingred_list!$A$2:$B$300,2,0)</f>
        <v>11</v>
      </c>
      <c r="W491" s="81" t="str">
        <f aca="false">"/recipes/"&amp;VLOOKUP(U491,recipe_ingred_list!$A$2:$C$300,3,0)&amp;"/detail/"</f>
        <v>/recipes/boondi-raita/detail/</v>
      </c>
      <c r="X491" s="81" t="str">
        <f aca="false">J491</f>
        <v>Water</v>
      </c>
      <c r="Y491" s="81" t="str">
        <f aca="false">R491</f>
        <v>water</v>
      </c>
      <c r="Z491" s="94" t="n">
        <f aca="false">VLOOKUP(Y491,recipe_ingred_list!$D$2:$E$500,2,0)</f>
        <v>214</v>
      </c>
      <c r="AA491" s="61" t="n">
        <f aca="false">K491</f>
        <v>0</v>
      </c>
      <c r="AB491" s="61" t="n">
        <f aca="false">L491</f>
        <v>0</v>
      </c>
      <c r="AC491" s="61" t="n">
        <f aca="false">VLOOKUP(AB491,recipe_ingred_list!$K$2:$M$7,3,0)</f>
        <v>2</v>
      </c>
      <c r="AD491" s="61" t="n">
        <f aca="false">M491</f>
        <v>5</v>
      </c>
      <c r="AE491" s="61" t="str">
        <f aca="false">N491</f>
        <v>ltr</v>
      </c>
      <c r="AF491" s="61" t="n">
        <f aca="false">VLOOKUP(AE491,recipe_ingred_list!$K$16:$M$25,3,0)</f>
        <v>1</v>
      </c>
      <c r="AG491" s="61" t="n">
        <f aca="false">O491</f>
        <v>0</v>
      </c>
      <c r="AH491" s="61" t="n">
        <f aca="false">P491</f>
        <v>0</v>
      </c>
      <c r="AI491" s="61" t="n">
        <f aca="false">VLOOKUP(AH491,recipe_ingred_list!$K$29:$M$34,3,0)</f>
        <v>3</v>
      </c>
      <c r="AJ491" s="61" t="str">
        <f aca="false">IF(Q491="","",Q491)</f>
        <v/>
      </c>
      <c r="AK491" s="61" t="n">
        <f aca="false">AK490+1</f>
        <v>491</v>
      </c>
      <c r="AL491" s="61" t="str">
        <f aca="false">Y491</f>
        <v>water</v>
      </c>
      <c r="AM491" s="81" t="str">
        <f aca="false">"a = Client().post('"&amp;W491&amp;"', {'recipe' : '"&amp;V491&amp;"', 'ingredient' : '"&amp;Z491&amp;"', 'name' : '"&amp;X491&amp;"', 'mass_unit' : '"&amp;AC491&amp;"', 'mass_quantity' : '"&amp;ROUND(AA491,3)&amp;"', 'volume_unit' : '"&amp;AF491&amp;"', 'volume_quantity' : '"&amp;ROUND(AD491,3)&amp;"', 'pieces_unit' : '"&amp;AI491&amp;"', 'pieces_quantity' : '"&amp;ROUND(AG491,3)&amp;"', 'cooking_notes' : '"&amp;AJ491&amp;"'}).status_code; print('%s :: %s :: %s :: %s :: %s' %(a,"&amp;G491&amp;",'"&amp;X491&amp;"','"&amp;Y491&amp;"','"&amp;U491&amp;"'))"</f>
        <v>a = Client().post('/recipes/boondi-raita/detail/', {'recipe' : '11', 'ingredient' : '214', 'name' : 'Water', 'mass_unit' : '2', 'mass_quantity' : '0', 'volume_unit' : '1', 'volume_quantity' : '5', 'pieces_unit' : '3', 'pieces_quantity' : '0', 'cooking_notes' : ''}).status_code; print('%s :: %s :: %s :: %s :: %s' %(a,491,'Water','water','Boondi raita'))</v>
      </c>
    </row>
    <row r="492" customFormat="false" ht="13.8" hidden="false" customHeight="false" outlineLevel="0" collapsed="false">
      <c r="G492" s="80" t="n">
        <v>492</v>
      </c>
      <c r="H492" s="98"/>
      <c r="I492" s="153" t="s">
        <v>140</v>
      </c>
      <c r="J492" s="152" t="s">
        <v>26</v>
      </c>
      <c r="K492" s="100"/>
      <c r="L492" s="100"/>
      <c r="M492" s="100"/>
      <c r="N492" s="100"/>
      <c r="O492" s="153" t="n">
        <v>1</v>
      </c>
      <c r="P492" s="153" t="s">
        <v>27</v>
      </c>
      <c r="Q492" s="102"/>
      <c r="R492" s="99" t="e">
        <f aca="false">VLOOKUP(J492,ingredient!$N$4:$O$553,2,0)</f>
        <v>#N/A</v>
      </c>
      <c r="S492" s="98"/>
      <c r="T492" s="98"/>
      <c r="U492" s="81" t="str">
        <f aca="false">I492</f>
        <v>Boondi raita</v>
      </c>
      <c r="V492" s="81" t="n">
        <f aca="false">VLOOKUP(U492,recipe_ingred_list!$A$2:$B$300,2,0)</f>
        <v>11</v>
      </c>
      <c r="W492" s="81" t="str">
        <f aca="false">"/recipes/"&amp;VLOOKUP(U492,recipe_ingred_list!$A$2:$C$300,3,0)&amp;"/detail/"</f>
        <v>/recipes/boondi-raita/detail/</v>
      </c>
      <c r="X492" s="81" t="str">
        <f aca="false">J492</f>
        <v>YIELD</v>
      </c>
      <c r="Y492" s="81" t="e">
        <f aca="false">R492</f>
        <v>#N/A</v>
      </c>
      <c r="Z492" s="94" t="e">
        <f aca="false">VLOOKUP(Y492,recipe_ingred_list!$D$2:$E$500,2,0)</f>
        <v>#N/A</v>
      </c>
      <c r="AA492" s="61" t="n">
        <f aca="false">K492</f>
        <v>0</v>
      </c>
      <c r="AB492" s="61" t="n">
        <f aca="false">L492</f>
        <v>0</v>
      </c>
      <c r="AC492" s="61" t="n">
        <f aca="false">VLOOKUP(AB492,recipe_ingred_list!$K$2:$M$7,3,0)</f>
        <v>2</v>
      </c>
      <c r="AD492" s="61" t="n">
        <f aca="false">M492</f>
        <v>0</v>
      </c>
      <c r="AE492" s="61" t="n">
        <f aca="false">N492</f>
        <v>0</v>
      </c>
      <c r="AF492" s="61" t="n">
        <f aca="false">VLOOKUP(AE492,recipe_ingred_list!$K$16:$M$25,3,0)</f>
        <v>1</v>
      </c>
      <c r="AG492" s="61" t="n">
        <f aca="false">O492</f>
        <v>1</v>
      </c>
      <c r="AH492" s="61" t="str">
        <f aca="false">P492</f>
        <v>tub</v>
      </c>
      <c r="AI492" s="61" t="e">
        <f aca="false">VLOOKUP(AH492,recipe_ingred_list!$K$29:$M$34,3,0)</f>
        <v>#N/A</v>
      </c>
      <c r="AJ492" s="61" t="str">
        <f aca="false">IF(Q492="","",Q492)</f>
        <v/>
      </c>
      <c r="AK492" s="61" t="n">
        <f aca="false">AK491+1</f>
        <v>492</v>
      </c>
      <c r="AL492" s="61" t="e">
        <f aca="false">Y492</f>
        <v>#N/A</v>
      </c>
      <c r="AM492" s="81" t="e">
        <f aca="false">"a = Client().post('"&amp;W492&amp;"', {'recipe' : '"&amp;V492&amp;"', 'ingredient' : '"&amp;Z492&amp;"', 'name' : '"&amp;X492&amp;"', 'mass_unit' : '"&amp;AC492&amp;"', 'mass_quantity' : '"&amp;ROUND(AA492,3)&amp;"', 'volume_unit' : '"&amp;AF492&amp;"', 'volume_quantity' : '"&amp;ROUND(AD492,3)&amp;"', 'pieces_unit' : '"&amp;AI492&amp;"', 'pieces_quantity' : '"&amp;ROUND(AG492,3)&amp;"', 'cooking_notes' : '"&amp;AJ492&amp;"'}).status_code; print('%s :: %s :: %s :: %s :: %s' %(a,"&amp;G492&amp;",'"&amp;X492&amp;"','"&amp;Y492&amp;"','"&amp;U492&amp;"'))"</f>
        <v>#N/A</v>
      </c>
    </row>
    <row r="493" customFormat="false" ht="13.8" hidden="false" customHeight="false" outlineLevel="0" collapsed="false">
      <c r="G493" s="80" t="n">
        <v>493</v>
      </c>
      <c r="H493" s="100"/>
      <c r="I493" s="100" t="s">
        <v>140</v>
      </c>
      <c r="J493" s="79" t="s">
        <v>26</v>
      </c>
      <c r="K493" s="100"/>
      <c r="L493" s="100"/>
      <c r="M493" s="100" t="n">
        <v>35</v>
      </c>
      <c r="N493" s="153" t="s">
        <v>13</v>
      </c>
      <c r="O493" s="101"/>
      <c r="P493" s="100"/>
      <c r="Q493" s="102"/>
      <c r="R493" s="99" t="e">
        <f aca="false">VLOOKUP(J493,ingredient!$N$4:$O$553,2,0)</f>
        <v>#N/A</v>
      </c>
      <c r="S493" s="98"/>
      <c r="T493" s="98"/>
      <c r="U493" s="81" t="str">
        <f aca="false">I493</f>
        <v>Boondi raita</v>
      </c>
      <c r="V493" s="81" t="n">
        <f aca="false">VLOOKUP(U493,recipe_ingred_list!$A$2:$B$300,2,0)</f>
        <v>11</v>
      </c>
      <c r="W493" s="81" t="str">
        <f aca="false">"/recipes/"&amp;VLOOKUP(U493,recipe_ingred_list!$A$2:$C$300,3,0)&amp;"/detail/"</f>
        <v>/recipes/boondi-raita/detail/</v>
      </c>
      <c r="X493" s="81" t="str">
        <f aca="false">J493</f>
        <v>YIELD</v>
      </c>
      <c r="Y493" s="81" t="e">
        <f aca="false">R493</f>
        <v>#N/A</v>
      </c>
      <c r="Z493" s="94" t="e">
        <f aca="false">VLOOKUP(Y493,recipe_ingred_list!$D$2:$E$500,2,0)</f>
        <v>#N/A</v>
      </c>
      <c r="AA493" s="61" t="n">
        <f aca="false">K493</f>
        <v>0</v>
      </c>
      <c r="AB493" s="61" t="n">
        <f aca="false">L493</f>
        <v>0</v>
      </c>
      <c r="AC493" s="61" t="n">
        <f aca="false">VLOOKUP(AB493,recipe_ingred_list!$K$2:$M$7,3,0)</f>
        <v>2</v>
      </c>
      <c r="AD493" s="61" t="n">
        <f aca="false">M493</f>
        <v>35</v>
      </c>
      <c r="AE493" s="61" t="str">
        <f aca="false">N493</f>
        <v>ltr</v>
      </c>
      <c r="AF493" s="61" t="n">
        <f aca="false">VLOOKUP(AE493,recipe_ingred_list!$K$16:$M$25,3,0)</f>
        <v>1</v>
      </c>
      <c r="AG493" s="61" t="n">
        <f aca="false">O493</f>
        <v>0</v>
      </c>
      <c r="AH493" s="61" t="n">
        <f aca="false">P493</f>
        <v>0</v>
      </c>
      <c r="AI493" s="61" t="n">
        <f aca="false">VLOOKUP(AH493,recipe_ingred_list!$K$29:$M$34,3,0)</f>
        <v>3</v>
      </c>
      <c r="AJ493" s="61" t="str">
        <f aca="false">IF(Q493="","",Q493)</f>
        <v/>
      </c>
      <c r="AK493" s="61" t="n">
        <f aca="false">AK492+1</f>
        <v>493</v>
      </c>
      <c r="AL493" s="61" t="e">
        <f aca="false">Y493</f>
        <v>#N/A</v>
      </c>
      <c r="AM493" s="81" t="e">
        <f aca="false">"a = Client().post('"&amp;W493&amp;"', {'recipe' : '"&amp;V493&amp;"', 'ingredient' : '"&amp;Z493&amp;"', 'name' : '"&amp;X493&amp;"', 'mass_unit' : '"&amp;AC493&amp;"', 'mass_quantity' : '"&amp;ROUND(AA493,3)&amp;"', 'volume_unit' : '"&amp;AF493&amp;"', 'volume_quantity' : '"&amp;ROUND(AD493,3)&amp;"', 'pieces_unit' : '"&amp;AI493&amp;"', 'pieces_quantity' : '"&amp;ROUND(AG493,3)&amp;"', 'cooking_notes' : '"&amp;AJ493&amp;"'}).status_code; print('%s :: %s :: %s :: %s :: %s' %(a,"&amp;G493&amp;",'"&amp;X493&amp;"','"&amp;Y493&amp;"','"&amp;U493&amp;"'))"</f>
        <v>#N/A</v>
      </c>
    </row>
    <row r="494" customFormat="false" ht="13.8" hidden="false" customHeight="false" outlineLevel="0" collapsed="false">
      <c r="G494" s="80" t="n">
        <v>494</v>
      </c>
      <c r="H494" s="100"/>
      <c r="I494" s="100" t="s">
        <v>140</v>
      </c>
      <c r="J494" s="79" t="s">
        <v>92</v>
      </c>
      <c r="K494" s="100"/>
      <c r="L494" s="100"/>
      <c r="M494" s="100"/>
      <c r="N494" s="100"/>
      <c r="O494" s="101"/>
      <c r="P494" s="100"/>
      <c r="Q494" s="102"/>
      <c r="R494" s="99" t="str">
        <f aca="false">VLOOKUP(J494,ingredient!$N$4:$O$553,2,0)</f>
        <v>gound nut oil</v>
      </c>
      <c r="S494" s="98"/>
      <c r="T494" s="98"/>
      <c r="U494" s="81" t="str">
        <f aca="false">I494</f>
        <v>Boondi raita</v>
      </c>
      <c r="V494" s="81" t="n">
        <f aca="false">VLOOKUP(U494,recipe_ingred_list!$A$2:$B$300,2,0)</f>
        <v>11</v>
      </c>
      <c r="W494" s="81" t="str">
        <f aca="false">"/recipes/"&amp;VLOOKUP(U494,recipe_ingred_list!$A$2:$C$300,3,0)&amp;"/detail/"</f>
        <v>/recipes/boondi-raita/detail/</v>
      </c>
      <c r="X494" s="81" t="str">
        <f aca="false">J494</f>
        <v>oil for frying</v>
      </c>
      <c r="Y494" s="81" t="str">
        <f aca="false">R494</f>
        <v>gound nut oil</v>
      </c>
      <c r="Z494" s="94" t="n">
        <f aca="false">VLOOKUP(Y494,recipe_ingred_list!$D$2:$E$500,2,0)</f>
        <v>83</v>
      </c>
      <c r="AA494" s="61" t="n">
        <f aca="false">K494</f>
        <v>0</v>
      </c>
      <c r="AB494" s="61" t="n">
        <f aca="false">L494</f>
        <v>0</v>
      </c>
      <c r="AC494" s="61" t="n">
        <f aca="false">VLOOKUP(AB494,recipe_ingred_list!$K$2:$M$7,3,0)</f>
        <v>2</v>
      </c>
      <c r="AD494" s="61" t="n">
        <f aca="false">M494</f>
        <v>0</v>
      </c>
      <c r="AE494" s="61" t="n">
        <f aca="false">N494</f>
        <v>0</v>
      </c>
      <c r="AF494" s="61" t="n">
        <f aca="false">VLOOKUP(AE494,recipe_ingred_list!$K$16:$M$25,3,0)</f>
        <v>1</v>
      </c>
      <c r="AG494" s="61" t="n">
        <f aca="false">O494</f>
        <v>0</v>
      </c>
      <c r="AH494" s="61" t="n">
        <f aca="false">P494</f>
        <v>0</v>
      </c>
      <c r="AI494" s="61" t="n">
        <f aca="false">VLOOKUP(AH494,recipe_ingred_list!$K$29:$M$34,3,0)</f>
        <v>3</v>
      </c>
      <c r="AJ494" s="61" t="str">
        <f aca="false">IF(Q494="","",Q494)</f>
        <v/>
      </c>
      <c r="AK494" s="61" t="n">
        <f aca="false">AK493+1</f>
        <v>494</v>
      </c>
      <c r="AL494" s="61" t="str">
        <f aca="false">Y494</f>
        <v>gound nut oil</v>
      </c>
      <c r="AM494" s="81" t="str">
        <f aca="false">"a = Client().post('"&amp;W494&amp;"', {'recipe' : '"&amp;V494&amp;"', 'ingredient' : '"&amp;Z494&amp;"', 'name' : '"&amp;X494&amp;"', 'mass_unit' : '"&amp;AC494&amp;"', 'mass_quantity' : '"&amp;ROUND(AA494,3)&amp;"', 'volume_unit' : '"&amp;AF494&amp;"', 'volume_quantity' : '"&amp;ROUND(AD494,3)&amp;"', 'pieces_unit' : '"&amp;AI494&amp;"', 'pieces_quantity' : '"&amp;ROUND(AG494,3)&amp;"', 'cooking_notes' : '"&amp;AJ494&amp;"'}).status_code; print('%s :: %s :: %s :: %s :: %s' %(a,"&amp;G494&amp;",'"&amp;X494&amp;"','"&amp;Y494&amp;"','"&amp;U494&amp;"'))"</f>
        <v>a = Client().post('/recipes/boondi-raita/detail/', {'recipe' : '11', 'ingredient' : '83', 'name' : 'oil for frying', 'mass_unit' : '2', 'mass_quantity' : '0', 'volume_unit' : '1', 'volume_quantity' : '0', 'pieces_unit' : '3', 'pieces_quantity' : '0', 'cooking_notes' : ''}).status_code; print('%s :: %s :: %s :: %s :: %s' %(a,494,'oil for frying','gound nut oil','Boondi raita'))</v>
      </c>
    </row>
    <row r="495" customFormat="false" ht="13.8" hidden="false" customHeight="false" outlineLevel="0" collapsed="false">
      <c r="G495" s="80" t="n">
        <v>495</v>
      </c>
      <c r="H495" s="100"/>
      <c r="I495" s="100"/>
      <c r="J495" s="79"/>
      <c r="K495" s="100"/>
      <c r="L495" s="100"/>
      <c r="M495" s="100"/>
      <c r="N495" s="100"/>
      <c r="O495" s="101"/>
      <c r="P495" s="100"/>
      <c r="Q495" s="102"/>
      <c r="R495" s="99" t="e">
        <f aca="false">VLOOKUP(J495,ingredient!$N$4:$O$553,2,0)</f>
        <v>#N/A</v>
      </c>
      <c r="S495" s="98"/>
      <c r="T495" s="98"/>
      <c r="U495" s="81" t="n">
        <f aca="false">I495</f>
        <v>0</v>
      </c>
      <c r="V495" s="81" t="e">
        <f aca="false">VLOOKUP(U495,recipe_ingred_list!$A$2:$B$300,2,0)</f>
        <v>#N/A</v>
      </c>
      <c r="W495" s="81" t="e">
        <f aca="false">"/recipes/"&amp;VLOOKUP(U495,recipe_ingred_list!$A$2:$C$300,3,0)&amp;"/detail/"</f>
        <v>#N/A</v>
      </c>
      <c r="X495" s="81" t="n">
        <f aca="false">J495</f>
        <v>0</v>
      </c>
      <c r="Y495" s="81" t="e">
        <f aca="false">R495</f>
        <v>#N/A</v>
      </c>
      <c r="Z495" s="94" t="e">
        <f aca="false">VLOOKUP(Y495,recipe_ingred_list!$D$2:$E$500,2,0)</f>
        <v>#N/A</v>
      </c>
      <c r="AA495" s="61" t="n">
        <f aca="false">K495</f>
        <v>0</v>
      </c>
      <c r="AB495" s="61" t="n">
        <f aca="false">L495</f>
        <v>0</v>
      </c>
      <c r="AC495" s="61" t="n">
        <f aca="false">VLOOKUP(AB495,recipe_ingred_list!$K$2:$M$7,3,0)</f>
        <v>2</v>
      </c>
      <c r="AD495" s="61" t="n">
        <f aca="false">M495</f>
        <v>0</v>
      </c>
      <c r="AE495" s="61" t="n">
        <f aca="false">N495</f>
        <v>0</v>
      </c>
      <c r="AF495" s="61" t="n">
        <f aca="false">VLOOKUP(AE495,recipe_ingred_list!$K$16:$M$25,3,0)</f>
        <v>1</v>
      </c>
      <c r="AG495" s="61" t="n">
        <f aca="false">O495</f>
        <v>0</v>
      </c>
      <c r="AH495" s="61" t="n">
        <f aca="false">P495</f>
        <v>0</v>
      </c>
      <c r="AI495" s="61" t="n">
        <f aca="false">VLOOKUP(AH495,recipe_ingred_list!$K$29:$M$34,3,0)</f>
        <v>3</v>
      </c>
      <c r="AJ495" s="61" t="str">
        <f aca="false">IF(Q495="","",Q495)</f>
        <v/>
      </c>
      <c r="AK495" s="61" t="n">
        <f aca="false">AK494+1</f>
        <v>495</v>
      </c>
      <c r="AL495" s="61" t="e">
        <f aca="false">Y495</f>
        <v>#N/A</v>
      </c>
      <c r="AM495" s="81" t="e">
        <f aca="false">"a = Client().post('"&amp;W495&amp;"', {'recipe' : '"&amp;V495&amp;"', 'ingredient' : '"&amp;Z495&amp;"', 'name' : '"&amp;X495&amp;"', 'mass_unit' : '"&amp;AC495&amp;"', 'mass_quantity' : '"&amp;ROUND(AA495,3)&amp;"', 'volume_unit' : '"&amp;AF495&amp;"', 'volume_quantity' : '"&amp;ROUND(AD495,3)&amp;"', 'pieces_unit' : '"&amp;AI495&amp;"', 'pieces_quantity' : '"&amp;ROUND(AG495,3)&amp;"', 'cooking_notes' : '"&amp;AJ495&amp;"'}).status_code; print('%s :: %s :: %s :: %s :: %s' %(a,"&amp;G495&amp;",'"&amp;X495&amp;"','"&amp;Y495&amp;"','"&amp;U495&amp;"'))"</f>
        <v>#N/A</v>
      </c>
    </row>
    <row r="496" customFormat="false" ht="13.8" hidden="false" customHeight="false" outlineLevel="0" collapsed="false">
      <c r="G496" s="80" t="n">
        <v>496</v>
      </c>
      <c r="H496" s="100"/>
      <c r="I496" s="99"/>
      <c r="J496" s="79"/>
      <c r="K496" s="100"/>
      <c r="L496" s="100"/>
      <c r="M496" s="100"/>
      <c r="N496" s="100"/>
      <c r="O496" s="101"/>
      <c r="P496" s="100"/>
      <c r="Q496" s="102"/>
      <c r="R496" s="99" t="e">
        <f aca="false">VLOOKUP(J496,ingredient!$N$4:$O$553,2,0)</f>
        <v>#N/A</v>
      </c>
      <c r="S496" s="98"/>
      <c r="T496" s="98"/>
      <c r="U496" s="81" t="n">
        <f aca="false">I496</f>
        <v>0</v>
      </c>
      <c r="V496" s="81" t="e">
        <f aca="false">VLOOKUP(U496,recipe_ingred_list!$A$2:$B$300,2,0)</f>
        <v>#N/A</v>
      </c>
      <c r="W496" s="81" t="e">
        <f aca="false">"/recipes/"&amp;VLOOKUP(U496,recipe_ingred_list!$A$2:$C$300,3,0)&amp;"/detail/"</f>
        <v>#N/A</v>
      </c>
      <c r="X496" s="81" t="n">
        <f aca="false">J496</f>
        <v>0</v>
      </c>
      <c r="Y496" s="81" t="e">
        <f aca="false">R496</f>
        <v>#N/A</v>
      </c>
      <c r="Z496" s="94" t="e">
        <f aca="false">VLOOKUP(Y496,recipe_ingred_list!$D$2:$E$500,2,0)</f>
        <v>#N/A</v>
      </c>
      <c r="AA496" s="61" t="n">
        <f aca="false">K496</f>
        <v>0</v>
      </c>
      <c r="AB496" s="61" t="n">
        <f aca="false">L496</f>
        <v>0</v>
      </c>
      <c r="AC496" s="61" t="n">
        <f aca="false">VLOOKUP(AB496,recipe_ingred_list!$K$2:$M$7,3,0)</f>
        <v>2</v>
      </c>
      <c r="AD496" s="61" t="n">
        <f aca="false">M496</f>
        <v>0</v>
      </c>
      <c r="AE496" s="61" t="n">
        <f aca="false">N496</f>
        <v>0</v>
      </c>
      <c r="AF496" s="61" t="n">
        <f aca="false">VLOOKUP(AE496,recipe_ingred_list!$K$16:$M$25,3,0)</f>
        <v>1</v>
      </c>
      <c r="AG496" s="61" t="n">
        <f aca="false">O496</f>
        <v>0</v>
      </c>
      <c r="AH496" s="61" t="n">
        <f aca="false">P496</f>
        <v>0</v>
      </c>
      <c r="AI496" s="61" t="n">
        <f aca="false">VLOOKUP(AH496,recipe_ingred_list!$K$29:$M$34,3,0)</f>
        <v>3</v>
      </c>
      <c r="AJ496" s="61" t="str">
        <f aca="false">IF(Q496="","",Q496)</f>
        <v/>
      </c>
      <c r="AK496" s="61" t="n">
        <f aca="false">AK495+1</f>
        <v>496</v>
      </c>
      <c r="AL496" s="61" t="e">
        <f aca="false">Y496</f>
        <v>#N/A</v>
      </c>
      <c r="AM496" s="81" t="e">
        <f aca="false">"a = Client().post('"&amp;W496&amp;"', {'recipe' : '"&amp;V496&amp;"', 'ingredient' : '"&amp;Z496&amp;"', 'name' : '"&amp;X496&amp;"', 'mass_unit' : '"&amp;AC496&amp;"', 'mass_quantity' : '"&amp;ROUND(AA496,3)&amp;"', 'volume_unit' : '"&amp;AF496&amp;"', 'volume_quantity' : '"&amp;ROUND(AD496,3)&amp;"', 'pieces_unit' : '"&amp;AI496&amp;"', 'pieces_quantity' : '"&amp;ROUND(AG496,3)&amp;"', 'cooking_notes' : '"&amp;AJ496&amp;"'}).status_code; print('%s :: %s :: %s :: %s :: %s' %(a,"&amp;G496&amp;",'"&amp;X496&amp;"','"&amp;Y496&amp;"','"&amp;U496&amp;"'))"</f>
        <v>#N/A</v>
      </c>
    </row>
    <row r="497" customFormat="false" ht="13.8" hidden="false" customHeight="false" outlineLevel="0" collapsed="false">
      <c r="G497" s="80" t="n">
        <v>497</v>
      </c>
      <c r="H497" s="61"/>
      <c r="I497" s="61" t="s">
        <v>154</v>
      </c>
      <c r="J497" s="83" t="s">
        <v>670</v>
      </c>
      <c r="K497" s="61" t="n">
        <v>4</v>
      </c>
      <c r="L497" s="61" t="s">
        <v>7</v>
      </c>
      <c r="R497" s="82" t="str">
        <f aca="false">VLOOKUP(J497,ingredient!$N$4:$O$553,2,0)</f>
        <v>rice</v>
      </c>
      <c r="U497" s="81" t="str">
        <f aca="false">I497</f>
        <v>Dahi  Rice</v>
      </c>
      <c r="V497" s="81" t="n">
        <f aca="false">VLOOKUP(U497,recipe_ingred_list!$A$2:$B$300,2,0)</f>
        <v>15</v>
      </c>
      <c r="W497" s="81" t="str">
        <f aca="false">"/recipes/"&amp;VLOOKUP(U497,recipe_ingred_list!$A$2:$C$300,3,0)&amp;"/detail/"</f>
        <v>/recipes/dahi-rice/detail/</v>
      </c>
      <c r="X497" s="81" t="str">
        <f aca="false">J497</f>
        <v>Rice (small fine grain)</v>
      </c>
      <c r="Y497" s="81" t="str">
        <f aca="false">R497</f>
        <v>rice</v>
      </c>
      <c r="Z497" s="94" t="n">
        <f aca="false">VLOOKUP(Y497,recipe_ingred_list!$D$2:$E$500,2,0)</f>
        <v>170</v>
      </c>
      <c r="AA497" s="61" t="n">
        <f aca="false">K497</f>
        <v>4</v>
      </c>
      <c r="AB497" s="61" t="str">
        <f aca="false">L497</f>
        <v>kg</v>
      </c>
      <c r="AC497" s="61" t="n">
        <f aca="false">VLOOKUP(AB497,recipe_ingred_list!$K$2:$M$7,3,0)</f>
        <v>2</v>
      </c>
      <c r="AD497" s="61" t="n">
        <f aca="false">M497</f>
        <v>0</v>
      </c>
      <c r="AE497" s="61" t="n">
        <f aca="false">N497</f>
        <v>0</v>
      </c>
      <c r="AF497" s="61" t="n">
        <f aca="false">VLOOKUP(AE497,recipe_ingred_list!$K$16:$M$25,3,0)</f>
        <v>1</v>
      </c>
      <c r="AG497" s="61" t="n">
        <f aca="false">O497</f>
        <v>0</v>
      </c>
      <c r="AH497" s="61" t="n">
        <f aca="false">P497</f>
        <v>0</v>
      </c>
      <c r="AI497" s="61" t="n">
        <f aca="false">VLOOKUP(AH497,recipe_ingred_list!$K$29:$M$34,3,0)</f>
        <v>3</v>
      </c>
      <c r="AJ497" s="61" t="str">
        <f aca="false">IF(Q497="","",Q497)</f>
        <v/>
      </c>
      <c r="AK497" s="61" t="n">
        <f aca="false">AK496+1</f>
        <v>497</v>
      </c>
      <c r="AL497" s="61" t="str">
        <f aca="false">Y497</f>
        <v>rice</v>
      </c>
      <c r="AM497" s="81" t="str">
        <f aca="false">"a = Client().post('"&amp;W497&amp;"', {'recipe' : '"&amp;V497&amp;"', 'ingredient' : '"&amp;Z497&amp;"', 'name' : '"&amp;X497&amp;"', 'mass_unit' : '"&amp;AC497&amp;"', 'mass_quantity' : '"&amp;ROUND(AA497,3)&amp;"', 'volume_unit' : '"&amp;AF497&amp;"', 'volume_quantity' : '"&amp;ROUND(AD497,3)&amp;"', 'pieces_unit' : '"&amp;AI497&amp;"', 'pieces_quantity' : '"&amp;ROUND(AG497,3)&amp;"', 'cooking_notes' : '"&amp;AJ497&amp;"'}).status_code; print('%s :: %s :: %s :: %s :: %s' %(a,"&amp;G497&amp;",'"&amp;X497&amp;"','"&amp;Y497&amp;"','"&amp;U497&amp;"'))"</f>
        <v>a = Client().post('/recipes/dahi-rice/detail/', {'recipe' : '15', 'ingredient' : '170', 'name' : 'Rice (small fine grain)', 'mass_unit' : '2', 'mass_quantity' : '4', 'volume_unit' : '1', 'volume_quantity' : '0', 'pieces_unit' : '3', 'pieces_quantity' : '0', 'cooking_notes' : ''}).status_code; print('%s :: %s :: %s :: %s :: %s' %(a,497,'Rice (small fine grain)','rice','Dahi  Rice'))</v>
      </c>
    </row>
    <row r="498" customFormat="false" ht="13.8" hidden="false" customHeight="false" outlineLevel="0" collapsed="false">
      <c r="G498" s="80" t="n">
        <v>498</v>
      </c>
      <c r="H498" s="61"/>
      <c r="I498" s="61" t="s">
        <v>154</v>
      </c>
      <c r="J498" s="83" t="s">
        <v>580</v>
      </c>
      <c r="K498" s="61" t="n">
        <v>10</v>
      </c>
      <c r="L498" s="61" t="s">
        <v>7</v>
      </c>
      <c r="R498" s="82" t="str">
        <f aca="false">VLOOKUP(J498,ingredient!$N$4:$O$553,2,0)</f>
        <v>dahi</v>
      </c>
      <c r="U498" s="81" t="str">
        <f aca="false">I498</f>
        <v>Dahi  Rice</v>
      </c>
      <c r="V498" s="81" t="n">
        <f aca="false">VLOOKUP(U498,recipe_ingred_list!$A$2:$B$300,2,0)</f>
        <v>15</v>
      </c>
      <c r="W498" s="81" t="str">
        <f aca="false">"/recipes/"&amp;VLOOKUP(U498,recipe_ingred_list!$A$2:$C$300,3,0)&amp;"/detail/"</f>
        <v>/recipes/dahi-rice/detail/</v>
      </c>
      <c r="X498" s="81" t="str">
        <f aca="false">J498</f>
        <v>Dahi</v>
      </c>
      <c r="Y498" s="81" t="str">
        <f aca="false">R498</f>
        <v>dahi</v>
      </c>
      <c r="Z498" s="94" t="n">
        <f aca="false">VLOOKUP(Y498,recipe_ingred_list!$D$2:$E$500,2,0)</f>
        <v>59</v>
      </c>
      <c r="AA498" s="61" t="n">
        <f aca="false">K498</f>
        <v>10</v>
      </c>
      <c r="AB498" s="61" t="str">
        <f aca="false">L498</f>
        <v>kg</v>
      </c>
      <c r="AC498" s="61" t="n">
        <f aca="false">VLOOKUP(AB498,recipe_ingred_list!$K$2:$M$7,3,0)</f>
        <v>2</v>
      </c>
      <c r="AD498" s="61" t="n">
        <f aca="false">M498</f>
        <v>0</v>
      </c>
      <c r="AE498" s="61" t="n">
        <f aca="false">N498</f>
        <v>0</v>
      </c>
      <c r="AF498" s="61" t="n">
        <f aca="false">VLOOKUP(AE498,recipe_ingred_list!$K$16:$M$25,3,0)</f>
        <v>1</v>
      </c>
      <c r="AG498" s="61" t="n">
        <f aca="false">O498</f>
        <v>0</v>
      </c>
      <c r="AH498" s="61" t="n">
        <f aca="false">P498</f>
        <v>0</v>
      </c>
      <c r="AI498" s="61" t="n">
        <f aca="false">VLOOKUP(AH498,recipe_ingred_list!$K$29:$M$34,3,0)</f>
        <v>3</v>
      </c>
      <c r="AJ498" s="61" t="str">
        <f aca="false">IF(Q498="","",Q498)</f>
        <v/>
      </c>
      <c r="AK498" s="61" t="n">
        <f aca="false">AK497+1</f>
        <v>498</v>
      </c>
      <c r="AL498" s="61" t="str">
        <f aca="false">Y498</f>
        <v>dahi</v>
      </c>
      <c r="AM498" s="81" t="str">
        <f aca="false">"a = Client().post('"&amp;W498&amp;"', {'recipe' : '"&amp;V498&amp;"', 'ingredient' : '"&amp;Z498&amp;"', 'name' : '"&amp;X498&amp;"', 'mass_unit' : '"&amp;AC498&amp;"', 'mass_quantity' : '"&amp;ROUND(AA498,3)&amp;"', 'volume_unit' : '"&amp;AF498&amp;"', 'volume_quantity' : '"&amp;ROUND(AD498,3)&amp;"', 'pieces_unit' : '"&amp;AI498&amp;"', 'pieces_quantity' : '"&amp;ROUND(AG498,3)&amp;"', 'cooking_notes' : '"&amp;AJ498&amp;"'}).status_code; print('%s :: %s :: %s :: %s :: %s' %(a,"&amp;G498&amp;",'"&amp;X498&amp;"','"&amp;Y498&amp;"','"&amp;U498&amp;"'))"</f>
        <v>a = Client().post('/recipes/dahi-rice/detail/', {'recipe' : '15', 'ingredient' : '59', 'name' : 'Dahi', 'mass_unit' : '2', 'mass_quantity' : '10', 'volume_unit' : '1', 'volume_quantity' : '0', 'pieces_unit' : '3', 'pieces_quantity' : '0', 'cooking_notes' : ''}).status_code; print('%s :: %s :: %s :: %s :: %s' %(a,498,'Dahi','dahi','Dahi  Rice'))</v>
      </c>
    </row>
    <row r="499" customFormat="false" ht="13.8" hidden="false" customHeight="false" outlineLevel="0" collapsed="false">
      <c r="G499" s="80" t="n">
        <v>499</v>
      </c>
      <c r="H499" s="61"/>
      <c r="I499" s="61" t="s">
        <v>154</v>
      </c>
      <c r="J499" s="83" t="s">
        <v>578</v>
      </c>
      <c r="M499" s="61" t="n">
        <v>2</v>
      </c>
      <c r="N499" s="61" t="s">
        <v>13</v>
      </c>
      <c r="R499" s="82" t="str">
        <f aca="false">VLOOKUP(J499,ingredient!$N$4:$O$553,2,0)</f>
        <v>water</v>
      </c>
      <c r="U499" s="81" t="str">
        <f aca="false">I499</f>
        <v>Dahi  Rice</v>
      </c>
      <c r="V499" s="81" t="n">
        <f aca="false">VLOOKUP(U499,recipe_ingred_list!$A$2:$B$300,2,0)</f>
        <v>15</v>
      </c>
      <c r="W499" s="81" t="str">
        <f aca="false">"/recipes/"&amp;VLOOKUP(U499,recipe_ingred_list!$A$2:$C$300,3,0)&amp;"/detail/"</f>
        <v>/recipes/dahi-rice/detail/</v>
      </c>
      <c r="X499" s="81" t="str">
        <f aca="false">J499</f>
        <v>Water</v>
      </c>
      <c r="Y499" s="81" t="str">
        <f aca="false">R499</f>
        <v>water</v>
      </c>
      <c r="Z499" s="94" t="n">
        <f aca="false">VLOOKUP(Y499,recipe_ingred_list!$D$2:$E$500,2,0)</f>
        <v>214</v>
      </c>
      <c r="AA499" s="61" t="n">
        <f aca="false">K499</f>
        <v>0</v>
      </c>
      <c r="AB499" s="61" t="n">
        <f aca="false">L499</f>
        <v>0</v>
      </c>
      <c r="AC499" s="61" t="n">
        <f aca="false">VLOOKUP(AB499,recipe_ingred_list!$K$2:$M$7,3,0)</f>
        <v>2</v>
      </c>
      <c r="AD499" s="61" t="n">
        <f aca="false">M499</f>
        <v>2</v>
      </c>
      <c r="AE499" s="61" t="str">
        <f aca="false">N499</f>
        <v>ltr</v>
      </c>
      <c r="AF499" s="61" t="n">
        <f aca="false">VLOOKUP(AE499,recipe_ingred_list!$K$16:$M$25,3,0)</f>
        <v>1</v>
      </c>
      <c r="AG499" s="61" t="n">
        <f aca="false">O499</f>
        <v>0</v>
      </c>
      <c r="AH499" s="61" t="n">
        <f aca="false">P499</f>
        <v>0</v>
      </c>
      <c r="AI499" s="61" t="n">
        <f aca="false">VLOOKUP(AH499,recipe_ingred_list!$K$29:$M$34,3,0)</f>
        <v>3</v>
      </c>
      <c r="AJ499" s="61" t="str">
        <f aca="false">IF(Q499="","",Q499)</f>
        <v/>
      </c>
      <c r="AK499" s="61" t="n">
        <f aca="false">AK498+1</f>
        <v>499</v>
      </c>
      <c r="AL499" s="61" t="str">
        <f aca="false">Y499</f>
        <v>water</v>
      </c>
      <c r="AM499" s="81" t="str">
        <f aca="false">"a = Client().post('"&amp;W499&amp;"', {'recipe' : '"&amp;V499&amp;"', 'ingredient' : '"&amp;Z499&amp;"', 'name' : '"&amp;X499&amp;"', 'mass_unit' : '"&amp;AC499&amp;"', 'mass_quantity' : '"&amp;ROUND(AA499,3)&amp;"', 'volume_unit' : '"&amp;AF499&amp;"', 'volume_quantity' : '"&amp;ROUND(AD499,3)&amp;"', 'pieces_unit' : '"&amp;AI499&amp;"', 'pieces_quantity' : '"&amp;ROUND(AG499,3)&amp;"', 'cooking_notes' : '"&amp;AJ499&amp;"'}).status_code; print('%s :: %s :: %s :: %s :: %s' %(a,"&amp;G499&amp;",'"&amp;X499&amp;"','"&amp;Y499&amp;"','"&amp;U499&amp;"'))"</f>
        <v>a = Client().post('/recipes/dahi-rice/detail/', {'recipe' : '15', 'ingredient' : '214', 'name' : 'Water', 'mass_unit' : '2', 'mass_quantity' : '0', 'volume_unit' : '1', 'volume_quantity' : '2', 'pieces_unit' : '3', 'pieces_quantity' : '0', 'cooking_notes' : ''}).status_code; print('%s :: %s :: %s :: %s :: %s' %(a,499,'Water','water','Dahi  Rice'))</v>
      </c>
    </row>
    <row r="500" customFormat="false" ht="13.8" hidden="false" customHeight="false" outlineLevel="0" collapsed="false">
      <c r="G500" s="80" t="n">
        <v>500</v>
      </c>
      <c r="H500" s="61"/>
      <c r="I500" s="61" t="s">
        <v>154</v>
      </c>
      <c r="J500" s="83" t="s">
        <v>649</v>
      </c>
      <c r="R500" s="82" t="str">
        <f aca="false">VLOOKUP(J500,ingredient!$N$4:$O$553,2,0)</f>
        <v>tadka</v>
      </c>
      <c r="U500" s="81" t="str">
        <f aca="false">I500</f>
        <v>Dahi  Rice</v>
      </c>
      <c r="V500" s="81" t="n">
        <f aca="false">VLOOKUP(U500,recipe_ingred_list!$A$2:$B$300,2,0)</f>
        <v>15</v>
      </c>
      <c r="W500" s="81" t="str">
        <f aca="false">"/recipes/"&amp;VLOOKUP(U500,recipe_ingred_list!$A$2:$C$300,3,0)&amp;"/detail/"</f>
        <v>/recipes/dahi-rice/detail/</v>
      </c>
      <c r="X500" s="81" t="str">
        <f aca="false">J500</f>
        <v>Tadka</v>
      </c>
      <c r="Y500" s="81" t="str">
        <f aca="false">R500</f>
        <v>tadka</v>
      </c>
      <c r="Z500" s="94" t="n">
        <f aca="false">VLOOKUP(Y500,recipe_ingred_list!$D$2:$E$500,2,0)</f>
        <v>212</v>
      </c>
      <c r="AA500" s="61" t="n">
        <f aca="false">K500</f>
        <v>0</v>
      </c>
      <c r="AB500" s="61" t="n">
        <f aca="false">L500</f>
        <v>0</v>
      </c>
      <c r="AC500" s="61" t="n">
        <f aca="false">VLOOKUP(AB500,recipe_ingred_list!$K$2:$M$7,3,0)</f>
        <v>2</v>
      </c>
      <c r="AD500" s="61" t="n">
        <f aca="false">M500</f>
        <v>0</v>
      </c>
      <c r="AE500" s="61" t="n">
        <f aca="false">N500</f>
        <v>0</v>
      </c>
      <c r="AF500" s="61" t="n">
        <f aca="false">VLOOKUP(AE500,recipe_ingred_list!$K$16:$M$25,3,0)</f>
        <v>1</v>
      </c>
      <c r="AG500" s="61" t="n">
        <f aca="false">O500</f>
        <v>0</v>
      </c>
      <c r="AH500" s="61" t="n">
        <f aca="false">P500</f>
        <v>0</v>
      </c>
      <c r="AI500" s="61" t="n">
        <f aca="false">VLOOKUP(AH500,recipe_ingred_list!$K$29:$M$34,3,0)</f>
        <v>3</v>
      </c>
      <c r="AJ500" s="61" t="str">
        <f aca="false">IF(Q500="","",Q500)</f>
        <v/>
      </c>
      <c r="AK500" s="61" t="n">
        <f aca="false">AK499+1</f>
        <v>500</v>
      </c>
      <c r="AL500" s="61" t="str">
        <f aca="false">Y500</f>
        <v>tadka</v>
      </c>
      <c r="AM500" s="81" t="str">
        <f aca="false">"a = Client().post('"&amp;W500&amp;"', {'recipe' : '"&amp;V500&amp;"', 'ingredient' : '"&amp;Z500&amp;"', 'name' : '"&amp;X500&amp;"', 'mass_unit' : '"&amp;AC500&amp;"', 'mass_quantity' : '"&amp;ROUND(AA500,3)&amp;"', 'volume_unit' : '"&amp;AF500&amp;"', 'volume_quantity' : '"&amp;ROUND(AD500,3)&amp;"', 'pieces_unit' : '"&amp;AI500&amp;"', 'pieces_quantity' : '"&amp;ROUND(AG500,3)&amp;"', 'cooking_notes' : '"&amp;AJ500&amp;"'}).status_code; print('%s :: %s :: %s :: %s :: %s' %(a,"&amp;G500&amp;",'"&amp;X500&amp;"','"&amp;Y500&amp;"','"&amp;U500&amp;"'))"</f>
        <v>a = Client().post('/recipes/dahi-rice/detail/', {'recipe' : '15', 'ingredient' : '212', 'name' : 'Tadka', 'mass_unit' : '2', 'mass_quantity' : '0', 'volume_unit' : '1', 'volume_quantity' : '0', 'pieces_unit' : '3', 'pieces_quantity' : '0', 'cooking_notes' : ''}).status_code; print('%s :: %s :: %s :: %s :: %s' %(a,500,'Tadka','tadka','Dahi  Rice'))</v>
      </c>
    </row>
    <row r="501" customFormat="false" ht="13.8" hidden="false" customHeight="false" outlineLevel="0" collapsed="false">
      <c r="G501" s="80" t="n">
        <v>501</v>
      </c>
      <c r="H501" s="61"/>
      <c r="I501" s="61" t="s">
        <v>154</v>
      </c>
      <c r="J501" s="83" t="s">
        <v>671</v>
      </c>
      <c r="M501" s="61" t="n">
        <v>0.5</v>
      </c>
      <c r="N501" s="61" t="s">
        <v>13</v>
      </c>
      <c r="R501" s="82" t="str">
        <f aca="false">VLOOKUP(J501,ingredient!$N$4:$O$553,2,0)</f>
        <v>ground nut oil</v>
      </c>
      <c r="U501" s="81" t="str">
        <f aca="false">I501</f>
        <v>Dahi  Rice</v>
      </c>
      <c r="V501" s="81" t="n">
        <f aca="false">VLOOKUP(U501,recipe_ingred_list!$A$2:$B$300,2,0)</f>
        <v>15</v>
      </c>
      <c r="W501" s="81" t="str">
        <f aca="false">"/recipes/"&amp;VLOOKUP(U501,recipe_ingred_list!$A$2:$C$300,3,0)&amp;"/detail/"</f>
        <v>/recipes/dahi-rice/detail/</v>
      </c>
      <c r="X501" s="81" t="str">
        <f aca="false">J501</f>
        <v>Groundnut Oil / Til Oil</v>
      </c>
      <c r="Y501" s="81" t="str">
        <f aca="false">R501</f>
        <v>ground nut oil</v>
      </c>
      <c r="Z501" s="94" t="n">
        <f aca="false">VLOOKUP(Y501,recipe_ingred_list!$D$2:$E$500,2,0)</f>
        <v>89</v>
      </c>
      <c r="AA501" s="61" t="n">
        <f aca="false">K501</f>
        <v>0</v>
      </c>
      <c r="AB501" s="61" t="n">
        <f aca="false">L501</f>
        <v>0</v>
      </c>
      <c r="AC501" s="61" t="n">
        <f aca="false">VLOOKUP(AB501,recipe_ingred_list!$K$2:$M$7,3,0)</f>
        <v>2</v>
      </c>
      <c r="AD501" s="61" t="n">
        <f aca="false">M501</f>
        <v>0.5</v>
      </c>
      <c r="AE501" s="61" t="str">
        <f aca="false">N501</f>
        <v>ltr</v>
      </c>
      <c r="AF501" s="61" t="n">
        <f aca="false">VLOOKUP(AE501,recipe_ingred_list!$K$16:$M$25,3,0)</f>
        <v>1</v>
      </c>
      <c r="AG501" s="61" t="n">
        <f aca="false">O501</f>
        <v>0</v>
      </c>
      <c r="AH501" s="61" t="n">
        <f aca="false">P501</f>
        <v>0</v>
      </c>
      <c r="AI501" s="61" t="n">
        <f aca="false">VLOOKUP(AH501,recipe_ingred_list!$K$29:$M$34,3,0)</f>
        <v>3</v>
      </c>
      <c r="AJ501" s="61" t="str">
        <f aca="false">IF(Q501="","",Q501)</f>
        <v/>
      </c>
      <c r="AK501" s="61" t="n">
        <f aca="false">AK500+1</f>
        <v>501</v>
      </c>
      <c r="AL501" s="61" t="str">
        <f aca="false">Y501</f>
        <v>ground nut oil</v>
      </c>
      <c r="AM501" s="81" t="str">
        <f aca="false">"a = Client().post('"&amp;W501&amp;"', {'recipe' : '"&amp;V501&amp;"', 'ingredient' : '"&amp;Z501&amp;"', 'name' : '"&amp;X501&amp;"', 'mass_unit' : '"&amp;AC501&amp;"', 'mass_quantity' : '"&amp;ROUND(AA501,3)&amp;"', 'volume_unit' : '"&amp;AF501&amp;"', 'volume_quantity' : '"&amp;ROUND(AD501,3)&amp;"', 'pieces_unit' : '"&amp;AI501&amp;"', 'pieces_quantity' : '"&amp;ROUND(AG501,3)&amp;"', 'cooking_notes' : '"&amp;AJ501&amp;"'}).status_code; print('%s :: %s :: %s :: %s :: %s' %(a,"&amp;G501&amp;",'"&amp;X501&amp;"','"&amp;Y501&amp;"','"&amp;U501&amp;"'))"</f>
        <v>a = Client().post('/recipes/dahi-rice/detail/', {'recipe' : '15', 'ingredient' : '89', 'name' : 'Groundnut Oil / Til Oil', 'mass_unit' : '2', 'mass_quantity' : '0', 'volume_unit' : '1', 'volume_quantity' : '0.5', 'pieces_unit' : '3', 'pieces_quantity' : '0', 'cooking_notes' : ''}).status_code; print('%s :: %s :: %s :: %s :: %s' %(a,501,'Groundnut Oil / Til Oil','ground nut oil','Dahi  Rice'))</v>
      </c>
    </row>
    <row r="502" customFormat="false" ht="13.8" hidden="false" customHeight="false" outlineLevel="0" collapsed="false">
      <c r="G502" s="80" t="n">
        <v>502</v>
      </c>
      <c r="H502" s="61"/>
      <c r="I502" s="61" t="s">
        <v>154</v>
      </c>
      <c r="J502" s="83" t="s">
        <v>672</v>
      </c>
      <c r="M502" s="61" t="n">
        <v>0.5</v>
      </c>
      <c r="N502" s="61" t="s">
        <v>20</v>
      </c>
      <c r="R502" s="82" t="str">
        <f aca="false">VLOOKUP(J502,ingredient!$N$4:$O$553,2,0)</f>
        <v>rai</v>
      </c>
      <c r="U502" s="81" t="str">
        <f aca="false">I502</f>
        <v>Dahi  Rice</v>
      </c>
      <c r="V502" s="81" t="n">
        <f aca="false">VLOOKUP(U502,recipe_ingred_list!$A$2:$B$300,2,0)</f>
        <v>15</v>
      </c>
      <c r="W502" s="81" t="str">
        <f aca="false">"/recipes/"&amp;VLOOKUP(U502,recipe_ingred_list!$A$2:$C$300,3,0)&amp;"/detail/"</f>
        <v>/recipes/dahi-rice/detail/</v>
      </c>
      <c r="X502" s="81" t="str">
        <f aca="false">J502</f>
        <v>Rai </v>
      </c>
      <c r="Y502" s="81" t="str">
        <f aca="false">R502</f>
        <v>rai</v>
      </c>
      <c r="Z502" s="94" t="n">
        <f aca="false">VLOOKUP(Y502,recipe_ingred_list!$D$2:$E$500,2,0)</f>
        <v>164</v>
      </c>
      <c r="AA502" s="61" t="n">
        <f aca="false">K502</f>
        <v>0</v>
      </c>
      <c r="AB502" s="61" t="n">
        <f aca="false">L502</f>
        <v>0</v>
      </c>
      <c r="AC502" s="61" t="n">
        <f aca="false">VLOOKUP(AB502,recipe_ingred_list!$K$2:$M$7,3,0)</f>
        <v>2</v>
      </c>
      <c r="AD502" s="61" t="n">
        <f aca="false">M502</f>
        <v>0.5</v>
      </c>
      <c r="AE502" s="61" t="str">
        <f aca="false">N502</f>
        <v>cup</v>
      </c>
      <c r="AF502" s="61" t="n">
        <f aca="false">VLOOKUP(AE502,recipe_ingred_list!$K$16:$M$25,3,0)</f>
        <v>5</v>
      </c>
      <c r="AG502" s="61" t="n">
        <f aca="false">O502</f>
        <v>0</v>
      </c>
      <c r="AH502" s="61" t="n">
        <f aca="false">P502</f>
        <v>0</v>
      </c>
      <c r="AI502" s="61" t="n">
        <f aca="false">VLOOKUP(AH502,recipe_ingred_list!$K$29:$M$34,3,0)</f>
        <v>3</v>
      </c>
      <c r="AJ502" s="61" t="str">
        <f aca="false">IF(Q502="","",Q502)</f>
        <v/>
      </c>
      <c r="AK502" s="61" t="n">
        <f aca="false">AK501+1</f>
        <v>502</v>
      </c>
      <c r="AL502" s="61" t="str">
        <f aca="false">Y502</f>
        <v>rai</v>
      </c>
      <c r="AM502" s="81" t="str">
        <f aca="false">"a = Client().post('"&amp;W502&amp;"', {'recipe' : '"&amp;V502&amp;"', 'ingredient' : '"&amp;Z502&amp;"', 'name' : '"&amp;X502&amp;"', 'mass_unit' : '"&amp;AC502&amp;"', 'mass_quantity' : '"&amp;ROUND(AA502,3)&amp;"', 'volume_unit' : '"&amp;AF502&amp;"', 'volume_quantity' : '"&amp;ROUND(AD502,3)&amp;"', 'pieces_unit' : '"&amp;AI502&amp;"', 'pieces_quantity' : '"&amp;ROUND(AG502,3)&amp;"', 'cooking_notes' : '"&amp;AJ502&amp;"'}).status_code; print('%s :: %s :: %s :: %s :: %s' %(a,"&amp;G502&amp;",'"&amp;X502&amp;"','"&amp;Y502&amp;"','"&amp;U502&amp;"'))"</f>
        <v>a = Client().post('/recipes/dahi-rice/detail/', {'recipe' : '15', 'ingredient' : '164', 'name' : 'Rai ', 'mass_unit' : '2', 'mass_quantity' : '0', 'volume_unit' : '5', 'volume_quantity' : '0.5', 'pieces_unit' : '3', 'pieces_quantity' : '0', 'cooking_notes' : ''}).status_code; print('%s :: %s :: %s :: %s :: %s' %(a,502,'Rai ','rai','Dahi  Rice'))</v>
      </c>
    </row>
    <row r="503" customFormat="false" ht="13.8" hidden="false" customHeight="false" outlineLevel="0" collapsed="false">
      <c r="G503" s="80" t="n">
        <v>503</v>
      </c>
      <c r="H503" s="61"/>
      <c r="I503" s="61" t="s">
        <v>154</v>
      </c>
      <c r="J503" s="83" t="s">
        <v>673</v>
      </c>
      <c r="M503" s="61" t="n">
        <v>0.5</v>
      </c>
      <c r="N503" s="61" t="s">
        <v>13</v>
      </c>
      <c r="R503" s="82" t="str">
        <f aca="false">VLOOKUP(J503,ingredient!$N$4:$O$553,2,0)</f>
        <v>kadi patta</v>
      </c>
      <c r="U503" s="81" t="str">
        <f aca="false">I503</f>
        <v>Dahi  Rice</v>
      </c>
      <c r="V503" s="81" t="n">
        <f aca="false">VLOOKUP(U503,recipe_ingred_list!$A$2:$B$300,2,0)</f>
        <v>15</v>
      </c>
      <c r="W503" s="81" t="str">
        <f aca="false">"/recipes/"&amp;VLOOKUP(U503,recipe_ingred_list!$A$2:$C$300,3,0)&amp;"/detail/"</f>
        <v>/recipes/dahi-rice/detail/</v>
      </c>
      <c r="X503" s="81" t="str">
        <f aca="false">J503</f>
        <v>Kadi patta </v>
      </c>
      <c r="Y503" s="81" t="str">
        <f aca="false">R503</f>
        <v>kadi patta</v>
      </c>
      <c r="Z503" s="94" t="n">
        <f aca="false">VLOOKUP(Y503,recipe_ingred_list!$D$2:$E$500,2,0)</f>
        <v>105</v>
      </c>
      <c r="AA503" s="61" t="n">
        <f aca="false">K503</f>
        <v>0</v>
      </c>
      <c r="AB503" s="61" t="n">
        <f aca="false">L503</f>
        <v>0</v>
      </c>
      <c r="AC503" s="61" t="n">
        <f aca="false">VLOOKUP(AB503,recipe_ingred_list!$K$2:$M$7,3,0)</f>
        <v>2</v>
      </c>
      <c r="AD503" s="61" t="n">
        <f aca="false">M503</f>
        <v>0.5</v>
      </c>
      <c r="AE503" s="61" t="str">
        <f aca="false">N503</f>
        <v>ltr</v>
      </c>
      <c r="AF503" s="61" t="n">
        <f aca="false">VLOOKUP(AE503,recipe_ingred_list!$K$16:$M$25,3,0)</f>
        <v>1</v>
      </c>
      <c r="AG503" s="61" t="n">
        <f aca="false">O503</f>
        <v>0</v>
      </c>
      <c r="AH503" s="61" t="n">
        <f aca="false">P503</f>
        <v>0</v>
      </c>
      <c r="AI503" s="61" t="n">
        <f aca="false">VLOOKUP(AH503,recipe_ingred_list!$K$29:$M$34,3,0)</f>
        <v>3</v>
      </c>
      <c r="AJ503" s="61" t="str">
        <f aca="false">IF(Q503="","",Q503)</f>
        <v/>
      </c>
      <c r="AK503" s="61" t="n">
        <f aca="false">AK502+1</f>
        <v>503</v>
      </c>
      <c r="AL503" s="61" t="str">
        <f aca="false">Y503</f>
        <v>kadi patta</v>
      </c>
      <c r="AM503" s="81" t="str">
        <f aca="false">"a = Client().post('"&amp;W503&amp;"', {'recipe' : '"&amp;V503&amp;"', 'ingredient' : '"&amp;Z503&amp;"', 'name' : '"&amp;X503&amp;"', 'mass_unit' : '"&amp;AC503&amp;"', 'mass_quantity' : '"&amp;ROUND(AA503,3)&amp;"', 'volume_unit' : '"&amp;AF503&amp;"', 'volume_quantity' : '"&amp;ROUND(AD503,3)&amp;"', 'pieces_unit' : '"&amp;AI503&amp;"', 'pieces_quantity' : '"&amp;ROUND(AG503,3)&amp;"', 'cooking_notes' : '"&amp;AJ503&amp;"'}).status_code; print('%s :: %s :: %s :: %s :: %s' %(a,"&amp;G503&amp;",'"&amp;X503&amp;"','"&amp;Y503&amp;"','"&amp;U503&amp;"'))"</f>
        <v>a = Client().post('/recipes/dahi-rice/detail/', {'recipe' : '15', 'ingredient' : '105', 'name' : 'Kadi patta ', 'mass_unit' : '2', 'mass_quantity' : '0', 'volume_unit' : '1', 'volume_quantity' : '0.5', 'pieces_unit' : '3', 'pieces_quantity' : '0', 'cooking_notes' : ''}).status_code; print('%s :: %s :: %s :: %s :: %s' %(a,503,'Kadi patta ','kadi patta','Dahi  Rice'))</v>
      </c>
    </row>
    <row r="504" customFormat="false" ht="13.8" hidden="false" customHeight="false" outlineLevel="0" collapsed="false">
      <c r="G504" s="80" t="n">
        <v>504</v>
      </c>
      <c r="H504" s="61"/>
      <c r="I504" s="61" t="s">
        <v>154</v>
      </c>
      <c r="J504" s="83" t="s">
        <v>83</v>
      </c>
      <c r="M504" s="61" t="n">
        <v>0.5</v>
      </c>
      <c r="N504" s="61" t="s">
        <v>20</v>
      </c>
      <c r="R504" s="82" t="str">
        <f aca="false">VLOOKUP(J504,ingredient!$N$4:$O$553,2,0)</f>
        <v>hari mirchi</v>
      </c>
      <c r="U504" s="81" t="str">
        <f aca="false">I504</f>
        <v>Dahi  Rice</v>
      </c>
      <c r="V504" s="81" t="n">
        <f aca="false">VLOOKUP(U504,recipe_ingred_list!$A$2:$B$300,2,0)</f>
        <v>15</v>
      </c>
      <c r="W504" s="81" t="str">
        <f aca="false">"/recipes/"&amp;VLOOKUP(U504,recipe_ingred_list!$A$2:$C$300,3,0)&amp;"/detail/"</f>
        <v>/recipes/dahi-rice/detail/</v>
      </c>
      <c r="X504" s="81" t="str">
        <f aca="false">J504</f>
        <v>Hari mirchi fine chopped</v>
      </c>
      <c r="Y504" s="81" t="str">
        <f aca="false">R504</f>
        <v>hari mirchi</v>
      </c>
      <c r="Z504" s="94" t="n">
        <f aca="false">VLOOKUP(Y504,recipe_ingred_list!$D$2:$E$500,2,0)</f>
        <v>93</v>
      </c>
      <c r="AA504" s="61" t="n">
        <f aca="false">K504</f>
        <v>0</v>
      </c>
      <c r="AB504" s="61" t="n">
        <f aca="false">L504</f>
        <v>0</v>
      </c>
      <c r="AC504" s="61" t="n">
        <f aca="false">VLOOKUP(AB504,recipe_ingred_list!$K$2:$M$7,3,0)</f>
        <v>2</v>
      </c>
      <c r="AD504" s="61" t="n">
        <f aca="false">M504</f>
        <v>0.5</v>
      </c>
      <c r="AE504" s="61" t="str">
        <f aca="false">N504</f>
        <v>cup</v>
      </c>
      <c r="AF504" s="61" t="n">
        <f aca="false">VLOOKUP(AE504,recipe_ingred_list!$K$16:$M$25,3,0)</f>
        <v>5</v>
      </c>
      <c r="AG504" s="61" t="n">
        <f aca="false">O504</f>
        <v>0</v>
      </c>
      <c r="AH504" s="61" t="n">
        <f aca="false">P504</f>
        <v>0</v>
      </c>
      <c r="AI504" s="61" t="n">
        <f aca="false">VLOOKUP(AH504,recipe_ingred_list!$K$29:$M$34,3,0)</f>
        <v>3</v>
      </c>
      <c r="AJ504" s="61" t="str">
        <f aca="false">IF(Q504="","",Q504)</f>
        <v/>
      </c>
      <c r="AK504" s="61" t="n">
        <f aca="false">AK503+1</f>
        <v>504</v>
      </c>
      <c r="AL504" s="61" t="str">
        <f aca="false">Y504</f>
        <v>hari mirchi</v>
      </c>
      <c r="AM504" s="81" t="str">
        <f aca="false">"a = Client().post('"&amp;W504&amp;"', {'recipe' : '"&amp;V504&amp;"', 'ingredient' : '"&amp;Z504&amp;"', 'name' : '"&amp;X504&amp;"', 'mass_unit' : '"&amp;AC504&amp;"', 'mass_quantity' : '"&amp;ROUND(AA504,3)&amp;"', 'volume_unit' : '"&amp;AF504&amp;"', 'volume_quantity' : '"&amp;ROUND(AD504,3)&amp;"', 'pieces_unit' : '"&amp;AI504&amp;"', 'pieces_quantity' : '"&amp;ROUND(AG504,3)&amp;"', 'cooking_notes' : '"&amp;AJ504&amp;"'}).status_code; print('%s :: %s :: %s :: %s :: %s' %(a,"&amp;G504&amp;",'"&amp;X504&amp;"','"&amp;Y504&amp;"','"&amp;U504&amp;"'))"</f>
        <v>a = Client().post('/recipes/dahi-rice/detail/', {'recipe' : '15', 'ingredient' : '93', 'name' : 'Hari mirchi fine chopped', 'mass_unit' : '2', 'mass_quantity' : '0', 'volume_unit' : '5', 'volume_quantity' : '0.5', 'pieces_unit' : '3', 'pieces_quantity' : '0', 'cooking_notes' : ''}).status_code; print('%s :: %s :: %s :: %s :: %s' %(a,504,'Hari mirchi fine chopped','hari mirchi','Dahi  Rice'))</v>
      </c>
    </row>
    <row r="505" customFormat="false" ht="13.8" hidden="false" customHeight="false" outlineLevel="0" collapsed="false">
      <c r="G505" s="80" t="n">
        <v>505</v>
      </c>
      <c r="H505" s="61"/>
      <c r="I505" s="61" t="s">
        <v>154</v>
      </c>
      <c r="J505" s="83" t="s">
        <v>32</v>
      </c>
      <c r="M505" s="61" t="n">
        <v>1</v>
      </c>
      <c r="N505" s="61" t="s">
        <v>20</v>
      </c>
      <c r="R505" s="82" t="str">
        <f aca="false">VLOOKUP(J505,ingredient!$N$4:$O$553,2,0)</f>
        <v>salt</v>
      </c>
      <c r="U505" s="81" t="str">
        <f aca="false">I505</f>
        <v>Dahi  Rice</v>
      </c>
      <c r="V505" s="81" t="n">
        <f aca="false">VLOOKUP(U505,recipe_ingred_list!$A$2:$B$300,2,0)</f>
        <v>15</v>
      </c>
      <c r="W505" s="81" t="str">
        <f aca="false">"/recipes/"&amp;VLOOKUP(U505,recipe_ingred_list!$A$2:$C$300,3,0)&amp;"/detail/"</f>
        <v>/recipes/dahi-rice/detail/</v>
      </c>
      <c r="X505" s="81" t="str">
        <f aca="false">J505</f>
        <v>Salt</v>
      </c>
      <c r="Y505" s="81" t="str">
        <f aca="false">R505</f>
        <v>salt</v>
      </c>
      <c r="Z505" s="94" t="n">
        <f aca="false">VLOOKUP(Y505,recipe_ingred_list!$D$2:$E$500,2,0)</f>
        <v>177</v>
      </c>
      <c r="AA505" s="61" t="n">
        <f aca="false">K505</f>
        <v>0</v>
      </c>
      <c r="AB505" s="61" t="n">
        <f aca="false">L505</f>
        <v>0</v>
      </c>
      <c r="AC505" s="61" t="n">
        <f aca="false">VLOOKUP(AB505,recipe_ingred_list!$K$2:$M$7,3,0)</f>
        <v>2</v>
      </c>
      <c r="AD505" s="61" t="n">
        <f aca="false">M505</f>
        <v>1</v>
      </c>
      <c r="AE505" s="61" t="str">
        <f aca="false">N505</f>
        <v>cup</v>
      </c>
      <c r="AF505" s="61" t="n">
        <f aca="false">VLOOKUP(AE505,recipe_ingred_list!$K$16:$M$25,3,0)</f>
        <v>5</v>
      </c>
      <c r="AG505" s="61" t="n">
        <f aca="false">O505</f>
        <v>0</v>
      </c>
      <c r="AH505" s="61" t="n">
        <f aca="false">P505</f>
        <v>0</v>
      </c>
      <c r="AI505" s="61" t="n">
        <f aca="false">VLOOKUP(AH505,recipe_ingred_list!$K$29:$M$34,3,0)</f>
        <v>3</v>
      </c>
      <c r="AJ505" s="61" t="str">
        <f aca="false">IF(Q505="","",Q505)</f>
        <v/>
      </c>
      <c r="AK505" s="61" t="n">
        <f aca="false">AK504+1</f>
        <v>505</v>
      </c>
      <c r="AL505" s="61" t="str">
        <f aca="false">Y505</f>
        <v>salt</v>
      </c>
      <c r="AM505" s="81" t="str">
        <f aca="false">"a = Client().post('"&amp;W505&amp;"', {'recipe' : '"&amp;V505&amp;"', 'ingredient' : '"&amp;Z505&amp;"', 'name' : '"&amp;X505&amp;"', 'mass_unit' : '"&amp;AC505&amp;"', 'mass_quantity' : '"&amp;ROUND(AA505,3)&amp;"', 'volume_unit' : '"&amp;AF505&amp;"', 'volume_quantity' : '"&amp;ROUND(AD505,3)&amp;"', 'pieces_unit' : '"&amp;AI505&amp;"', 'pieces_quantity' : '"&amp;ROUND(AG505,3)&amp;"', 'cooking_notes' : '"&amp;AJ505&amp;"'}).status_code; print('%s :: %s :: %s :: %s :: %s' %(a,"&amp;G505&amp;",'"&amp;X505&amp;"','"&amp;Y505&amp;"','"&amp;U505&amp;"'))"</f>
        <v>a = Client().post('/recipes/dahi-rice/detail/', {'recipe' : '15', 'ingredient' : '177', 'name' : 'Salt', 'mass_unit' : '2', 'mass_quantity' : '0', 'volume_unit' : '5', 'volume_quantity' : '1', 'pieces_unit' : '3', 'pieces_quantity' : '0', 'cooking_notes' : ''}).status_code; print('%s :: %s :: %s :: %s :: %s' %(a,505,'Salt','salt','Dahi  Rice'))</v>
      </c>
    </row>
    <row r="506" customFormat="false" ht="13.8" hidden="false" customHeight="false" outlineLevel="0" collapsed="false">
      <c r="G506" s="80" t="n">
        <v>506</v>
      </c>
      <c r="H506" s="61"/>
      <c r="I506" s="61" t="s">
        <v>154</v>
      </c>
      <c r="J506" s="83" t="s">
        <v>652</v>
      </c>
      <c r="M506" s="61" t="n">
        <v>1</v>
      </c>
      <c r="N506" s="61" t="s">
        <v>13</v>
      </c>
      <c r="R506" s="82" t="str">
        <f aca="false">VLOOKUP(J506,ingredient!$N$4:$O$553,2,0)</f>
        <v>dhaniya patta</v>
      </c>
      <c r="U506" s="81" t="str">
        <f aca="false">I506</f>
        <v>Dahi  Rice</v>
      </c>
      <c r="V506" s="81" t="n">
        <f aca="false">VLOOKUP(U506,recipe_ingred_list!$A$2:$B$300,2,0)</f>
        <v>15</v>
      </c>
      <c r="W506" s="81" t="str">
        <f aca="false">"/recipes/"&amp;VLOOKUP(U506,recipe_ingred_list!$A$2:$C$300,3,0)&amp;"/detail/"</f>
        <v>/recipes/dahi-rice/detail/</v>
      </c>
      <c r="X506" s="81" t="str">
        <f aca="false">J506</f>
        <v>Dhania Patta </v>
      </c>
      <c r="Y506" s="81" t="str">
        <f aca="false">R506</f>
        <v>dhaniya patta</v>
      </c>
      <c r="Z506" s="94" t="n">
        <f aca="false">VLOOKUP(Y506,recipe_ingred_list!$D$2:$E$500,2,0)</f>
        <v>66</v>
      </c>
      <c r="AA506" s="61" t="n">
        <f aca="false">K506</f>
        <v>0</v>
      </c>
      <c r="AB506" s="61" t="n">
        <f aca="false">L506</f>
        <v>0</v>
      </c>
      <c r="AC506" s="61" t="n">
        <f aca="false">VLOOKUP(AB506,recipe_ingred_list!$K$2:$M$7,3,0)</f>
        <v>2</v>
      </c>
      <c r="AD506" s="61" t="n">
        <f aca="false">M506</f>
        <v>1</v>
      </c>
      <c r="AE506" s="61" t="str">
        <f aca="false">N506</f>
        <v>ltr</v>
      </c>
      <c r="AF506" s="61" t="n">
        <f aca="false">VLOOKUP(AE506,recipe_ingred_list!$K$16:$M$25,3,0)</f>
        <v>1</v>
      </c>
      <c r="AG506" s="61" t="n">
        <f aca="false">O506</f>
        <v>0</v>
      </c>
      <c r="AH506" s="61" t="n">
        <f aca="false">P506</f>
        <v>0</v>
      </c>
      <c r="AI506" s="61" t="n">
        <f aca="false">VLOOKUP(AH506,recipe_ingred_list!$K$29:$M$34,3,0)</f>
        <v>3</v>
      </c>
      <c r="AJ506" s="61" t="str">
        <f aca="false">IF(Q506="","",Q506)</f>
        <v/>
      </c>
      <c r="AK506" s="61" t="n">
        <f aca="false">AK505+1</f>
        <v>506</v>
      </c>
      <c r="AL506" s="61" t="str">
        <f aca="false">Y506</f>
        <v>dhaniya patta</v>
      </c>
      <c r="AM506" s="81" t="str">
        <f aca="false">"a = Client().post('"&amp;W506&amp;"', {'recipe' : '"&amp;V506&amp;"', 'ingredient' : '"&amp;Z506&amp;"', 'name' : '"&amp;X506&amp;"', 'mass_unit' : '"&amp;AC506&amp;"', 'mass_quantity' : '"&amp;ROUND(AA506,3)&amp;"', 'volume_unit' : '"&amp;AF506&amp;"', 'volume_quantity' : '"&amp;ROUND(AD506,3)&amp;"', 'pieces_unit' : '"&amp;AI506&amp;"', 'pieces_quantity' : '"&amp;ROUND(AG506,3)&amp;"', 'cooking_notes' : '"&amp;AJ506&amp;"'}).status_code; print('%s :: %s :: %s :: %s :: %s' %(a,"&amp;G506&amp;",'"&amp;X506&amp;"','"&amp;Y506&amp;"','"&amp;U506&amp;"'))"</f>
        <v>a = Client().post('/recipes/dahi-rice/detail/', {'recipe' : '15', 'ingredient' : '66', 'name' : 'Dhania Patta ', 'mass_unit' : '2', 'mass_quantity' : '0', 'volume_unit' : '1', 'volume_quantity' : '1', 'pieces_unit' : '3', 'pieces_quantity' : '0', 'cooking_notes' : ''}).status_code; print('%s :: %s :: %s :: %s :: %s' %(a,506,'Dhania Patta ','dhaniya patta','Dahi  Rice'))</v>
      </c>
    </row>
    <row r="507" customFormat="false" ht="13.8" hidden="false" customHeight="false" outlineLevel="0" collapsed="false">
      <c r="G507" s="80" t="n">
        <v>507</v>
      </c>
      <c r="H507" s="61"/>
      <c r="I507" s="61" t="s">
        <v>154</v>
      </c>
      <c r="J507" s="83" t="s">
        <v>674</v>
      </c>
      <c r="K507" s="61" t="n">
        <v>0.5</v>
      </c>
      <c r="L507" s="61" t="s">
        <v>7</v>
      </c>
      <c r="R507" s="82" t="str">
        <f aca="false">VLOOKUP(J507,ingredient!$N$4:$O$553,2,0)</f>
        <v>ambahaldi</v>
      </c>
      <c r="U507" s="81" t="str">
        <f aca="false">I507</f>
        <v>Dahi  Rice</v>
      </c>
      <c r="V507" s="81" t="n">
        <f aca="false">VLOOKUP(U507,recipe_ingred_list!$A$2:$B$300,2,0)</f>
        <v>15</v>
      </c>
      <c r="W507" s="81" t="str">
        <f aca="false">"/recipes/"&amp;VLOOKUP(U507,recipe_ingred_list!$A$2:$C$300,3,0)&amp;"/detail/"</f>
        <v>/recipes/dahi-rice/detail/</v>
      </c>
      <c r="X507" s="81" t="str">
        <f aca="false">J507</f>
        <v>Ambahaldi</v>
      </c>
      <c r="Y507" s="81" t="str">
        <f aca="false">R507</f>
        <v>ambahaldi</v>
      </c>
      <c r="Z507" s="94" t="n">
        <f aca="false">VLOOKUP(Y507,recipe_ingred_list!$D$2:$E$500,2,0)</f>
        <v>9</v>
      </c>
      <c r="AA507" s="61" t="n">
        <f aca="false">K507</f>
        <v>0.5</v>
      </c>
      <c r="AB507" s="61" t="str">
        <f aca="false">L507</f>
        <v>kg</v>
      </c>
      <c r="AC507" s="61" t="n">
        <f aca="false">VLOOKUP(AB507,recipe_ingred_list!$K$2:$M$7,3,0)</f>
        <v>2</v>
      </c>
      <c r="AD507" s="61" t="n">
        <f aca="false">M507</f>
        <v>0</v>
      </c>
      <c r="AE507" s="61" t="n">
        <f aca="false">N507</f>
        <v>0</v>
      </c>
      <c r="AF507" s="61" t="n">
        <f aca="false">VLOOKUP(AE507,recipe_ingred_list!$K$16:$M$25,3,0)</f>
        <v>1</v>
      </c>
      <c r="AG507" s="61" t="n">
        <f aca="false">O507</f>
        <v>0</v>
      </c>
      <c r="AH507" s="61" t="n">
        <f aca="false">P507</f>
        <v>0</v>
      </c>
      <c r="AI507" s="61" t="n">
        <f aca="false">VLOOKUP(AH507,recipe_ingred_list!$K$29:$M$34,3,0)</f>
        <v>3</v>
      </c>
      <c r="AJ507" s="61" t="str">
        <f aca="false">IF(Q507="","",Q507)</f>
        <v/>
      </c>
      <c r="AK507" s="61" t="n">
        <f aca="false">AK506+1</f>
        <v>507</v>
      </c>
      <c r="AL507" s="61" t="str">
        <f aca="false">Y507</f>
        <v>ambahaldi</v>
      </c>
      <c r="AM507" s="81" t="str">
        <f aca="false">"a = Client().post('"&amp;W507&amp;"', {'recipe' : '"&amp;V507&amp;"', 'ingredient' : '"&amp;Z507&amp;"', 'name' : '"&amp;X507&amp;"', 'mass_unit' : '"&amp;AC507&amp;"', 'mass_quantity' : '"&amp;ROUND(AA507,3)&amp;"', 'volume_unit' : '"&amp;AF507&amp;"', 'volume_quantity' : '"&amp;ROUND(AD507,3)&amp;"', 'pieces_unit' : '"&amp;AI507&amp;"', 'pieces_quantity' : '"&amp;ROUND(AG507,3)&amp;"', 'cooking_notes' : '"&amp;AJ507&amp;"'}).status_code; print('%s :: %s :: %s :: %s :: %s' %(a,"&amp;G507&amp;",'"&amp;X507&amp;"','"&amp;Y507&amp;"','"&amp;U507&amp;"'))"</f>
        <v>a = Client().post('/recipes/dahi-rice/detail/', {'recipe' : '15', 'ingredient' : '9', 'name' : 'Ambahaldi', 'mass_unit' : '2', 'mass_quantity' : '0.5', 'volume_unit' : '1', 'volume_quantity' : '0', 'pieces_unit' : '3', 'pieces_quantity' : '0', 'cooking_notes' : ''}).status_code; print('%s :: %s :: %s :: %s :: %s' %(a,507,'Ambahaldi','ambahaldi','Dahi  Rice'))</v>
      </c>
    </row>
    <row r="508" customFormat="false" ht="13.8" hidden="false" customHeight="false" outlineLevel="0" collapsed="false">
      <c r="G508" s="80" t="n">
        <v>508</v>
      </c>
      <c r="H508" s="61"/>
      <c r="I508" s="61" t="s">
        <v>154</v>
      </c>
      <c r="J508" s="83" t="s">
        <v>675</v>
      </c>
      <c r="O508" s="61" t="n">
        <v>15</v>
      </c>
      <c r="P508" s="61" t="s">
        <v>107</v>
      </c>
      <c r="R508" s="82" t="str">
        <f aca="false">VLOOKUP(J508,ingredient!$N$4:$O$553,2,0)</f>
        <v>kafir lemon leaves</v>
      </c>
      <c r="U508" s="81" t="str">
        <f aca="false">I508</f>
        <v>Dahi  Rice</v>
      </c>
      <c r="V508" s="81" t="n">
        <f aca="false">VLOOKUP(U508,recipe_ingred_list!$A$2:$B$300,2,0)</f>
        <v>15</v>
      </c>
      <c r="W508" s="81" t="str">
        <f aca="false">"/recipes/"&amp;VLOOKUP(U508,recipe_ingred_list!$A$2:$C$300,3,0)&amp;"/detail/"</f>
        <v>/recipes/dahi-rice/detail/</v>
      </c>
      <c r="X508" s="81" t="str">
        <f aca="false">J508</f>
        <v>Kafir lemon leaves</v>
      </c>
      <c r="Y508" s="81" t="str">
        <f aca="false">R508</f>
        <v>kafir lemon leaves</v>
      </c>
      <c r="Z508" s="94" t="n">
        <f aca="false">VLOOKUP(Y508,recipe_ingred_list!$D$2:$E$500,2,0)</f>
        <v>106</v>
      </c>
      <c r="AA508" s="61" t="n">
        <f aca="false">K508</f>
        <v>0</v>
      </c>
      <c r="AB508" s="61" t="n">
        <f aca="false">L508</f>
        <v>0</v>
      </c>
      <c r="AC508" s="61" t="n">
        <f aca="false">VLOOKUP(AB508,recipe_ingred_list!$K$2:$M$7,3,0)</f>
        <v>2</v>
      </c>
      <c r="AD508" s="61" t="n">
        <f aca="false">M508</f>
        <v>0</v>
      </c>
      <c r="AE508" s="61" t="n">
        <f aca="false">N508</f>
        <v>0</v>
      </c>
      <c r="AF508" s="61" t="n">
        <f aca="false">VLOOKUP(AE508,recipe_ingred_list!$K$16:$M$25,3,0)</f>
        <v>1</v>
      </c>
      <c r="AG508" s="61" t="n">
        <f aca="false">O508</f>
        <v>15</v>
      </c>
      <c r="AH508" s="61" t="str">
        <f aca="false">P508</f>
        <v>pcs</v>
      </c>
      <c r="AI508" s="61" t="n">
        <f aca="false">VLOOKUP(AH508,recipe_ingred_list!$K$29:$M$34,3,0)</f>
        <v>3</v>
      </c>
      <c r="AJ508" s="61" t="str">
        <f aca="false">IF(Q508="","",Q508)</f>
        <v/>
      </c>
      <c r="AK508" s="61" t="n">
        <f aca="false">AK507+1</f>
        <v>508</v>
      </c>
      <c r="AL508" s="61" t="str">
        <f aca="false">Y508</f>
        <v>kafir lemon leaves</v>
      </c>
      <c r="AM508" s="81" t="str">
        <f aca="false">"a = Client().post('"&amp;W508&amp;"', {'recipe' : '"&amp;V508&amp;"', 'ingredient' : '"&amp;Z508&amp;"', 'name' : '"&amp;X508&amp;"', 'mass_unit' : '"&amp;AC508&amp;"', 'mass_quantity' : '"&amp;ROUND(AA508,3)&amp;"', 'volume_unit' : '"&amp;AF508&amp;"', 'volume_quantity' : '"&amp;ROUND(AD508,3)&amp;"', 'pieces_unit' : '"&amp;AI508&amp;"', 'pieces_quantity' : '"&amp;ROUND(AG508,3)&amp;"', 'cooking_notes' : '"&amp;AJ508&amp;"'}).status_code; print('%s :: %s :: %s :: %s :: %s' %(a,"&amp;G508&amp;",'"&amp;X508&amp;"','"&amp;Y508&amp;"','"&amp;U508&amp;"'))"</f>
        <v>a = Client().post('/recipes/dahi-rice/detail/', {'recipe' : '15', 'ingredient' : '106', 'name' : 'Kafir lemon leaves', 'mass_unit' : '2', 'mass_quantity' : '0', 'volume_unit' : '1', 'volume_quantity' : '0', 'pieces_unit' : '3', 'pieces_quantity' : '15', 'cooking_notes' : ''}).status_code; print('%s :: %s :: %s :: %s :: %s' %(a,508,'Kafir lemon leaves','kafir lemon leaves','Dahi  Rice'))</v>
      </c>
    </row>
    <row r="509" customFormat="false" ht="13.8" hidden="false" customHeight="false" outlineLevel="0" collapsed="false">
      <c r="G509" s="80" t="n">
        <v>509</v>
      </c>
      <c r="H509" s="100"/>
      <c r="I509" s="100" t="s">
        <v>154</v>
      </c>
      <c r="J509" s="79" t="s">
        <v>26</v>
      </c>
      <c r="K509" s="100"/>
      <c r="L509" s="100"/>
      <c r="M509" s="100"/>
      <c r="N509" s="100"/>
      <c r="O509" s="100" t="n">
        <v>1</v>
      </c>
      <c r="P509" s="100" t="s">
        <v>27</v>
      </c>
      <c r="Q509" s="102"/>
      <c r="R509" s="99" t="e">
        <f aca="false">VLOOKUP(J509,ingredient!$N$4:$O$553,2,0)</f>
        <v>#N/A</v>
      </c>
      <c r="S509" s="98"/>
      <c r="T509" s="98"/>
      <c r="U509" s="81" t="str">
        <f aca="false">I509</f>
        <v>Dahi  Rice</v>
      </c>
      <c r="V509" s="81" t="n">
        <f aca="false">VLOOKUP(U509,recipe_ingred_list!$A$2:$B$300,2,0)</f>
        <v>15</v>
      </c>
      <c r="W509" s="81" t="str">
        <f aca="false">"/recipes/"&amp;VLOOKUP(U509,recipe_ingred_list!$A$2:$C$300,3,0)&amp;"/detail/"</f>
        <v>/recipes/dahi-rice/detail/</v>
      </c>
      <c r="X509" s="81" t="str">
        <f aca="false">J509</f>
        <v>YIELD</v>
      </c>
      <c r="Y509" s="81" t="e">
        <f aca="false">R509</f>
        <v>#N/A</v>
      </c>
      <c r="Z509" s="94" t="e">
        <f aca="false">VLOOKUP(Y509,recipe_ingred_list!$D$2:$E$500,2,0)</f>
        <v>#N/A</v>
      </c>
      <c r="AA509" s="61" t="n">
        <f aca="false">K509</f>
        <v>0</v>
      </c>
      <c r="AB509" s="61" t="n">
        <f aca="false">L509</f>
        <v>0</v>
      </c>
      <c r="AC509" s="61" t="n">
        <f aca="false">VLOOKUP(AB509,recipe_ingred_list!$K$2:$M$7,3,0)</f>
        <v>2</v>
      </c>
      <c r="AD509" s="61" t="n">
        <f aca="false">M509</f>
        <v>0</v>
      </c>
      <c r="AE509" s="61" t="n">
        <f aca="false">N509</f>
        <v>0</v>
      </c>
      <c r="AF509" s="61" t="n">
        <f aca="false">VLOOKUP(AE509,recipe_ingred_list!$K$16:$M$25,3,0)</f>
        <v>1</v>
      </c>
      <c r="AG509" s="61" t="n">
        <f aca="false">O509</f>
        <v>1</v>
      </c>
      <c r="AH509" s="61" t="str">
        <f aca="false">P509</f>
        <v>tub</v>
      </c>
      <c r="AI509" s="61" t="e">
        <f aca="false">VLOOKUP(AH509,recipe_ingred_list!$K$29:$M$34,3,0)</f>
        <v>#N/A</v>
      </c>
      <c r="AJ509" s="61" t="str">
        <f aca="false">IF(Q509="","",Q509)</f>
        <v/>
      </c>
      <c r="AK509" s="61" t="n">
        <f aca="false">AK508+1</f>
        <v>509</v>
      </c>
      <c r="AL509" s="61" t="e">
        <f aca="false">Y509</f>
        <v>#N/A</v>
      </c>
      <c r="AM509" s="81" t="e">
        <f aca="false">"a = Client().post('"&amp;W509&amp;"', {'recipe' : '"&amp;V509&amp;"', 'ingredient' : '"&amp;Z509&amp;"', 'name' : '"&amp;X509&amp;"', 'mass_unit' : '"&amp;AC509&amp;"', 'mass_quantity' : '"&amp;ROUND(AA509,3)&amp;"', 'volume_unit' : '"&amp;AF509&amp;"', 'volume_quantity' : '"&amp;ROUND(AD509,3)&amp;"', 'pieces_unit' : '"&amp;AI509&amp;"', 'pieces_quantity' : '"&amp;ROUND(AG509,3)&amp;"', 'cooking_notes' : '"&amp;AJ509&amp;"'}).status_code; print('%s :: %s :: %s :: %s :: %s' %(a,"&amp;G509&amp;",'"&amp;X509&amp;"','"&amp;Y509&amp;"','"&amp;U509&amp;"'))"</f>
        <v>#N/A</v>
      </c>
    </row>
    <row r="510" customFormat="false" ht="13.8" hidden="false" customHeight="false" outlineLevel="0" collapsed="false">
      <c r="G510" s="80" t="n">
        <v>510</v>
      </c>
      <c r="H510" s="100"/>
      <c r="I510" s="100" t="s">
        <v>154</v>
      </c>
      <c r="J510" s="79" t="s">
        <v>26</v>
      </c>
      <c r="K510" s="100"/>
      <c r="L510" s="100"/>
      <c r="M510" s="100" t="n">
        <v>35</v>
      </c>
      <c r="N510" s="100" t="s">
        <v>13</v>
      </c>
      <c r="O510" s="101"/>
      <c r="P510" s="100"/>
      <c r="Q510" s="102"/>
      <c r="R510" s="99" t="e">
        <f aca="false">VLOOKUP(J510,ingredient!$N$4:$O$553,2,0)</f>
        <v>#N/A</v>
      </c>
      <c r="S510" s="98"/>
      <c r="T510" s="98"/>
      <c r="U510" s="81" t="str">
        <f aca="false">I510</f>
        <v>Dahi  Rice</v>
      </c>
      <c r="V510" s="81" t="n">
        <f aca="false">VLOOKUP(U510,recipe_ingred_list!$A$2:$B$300,2,0)</f>
        <v>15</v>
      </c>
      <c r="W510" s="81" t="str">
        <f aca="false">"/recipes/"&amp;VLOOKUP(U510,recipe_ingred_list!$A$2:$C$300,3,0)&amp;"/detail/"</f>
        <v>/recipes/dahi-rice/detail/</v>
      </c>
      <c r="X510" s="81" t="str">
        <f aca="false">J510</f>
        <v>YIELD</v>
      </c>
      <c r="Y510" s="81" t="e">
        <f aca="false">R510</f>
        <v>#N/A</v>
      </c>
      <c r="Z510" s="94" t="e">
        <f aca="false">VLOOKUP(Y510,recipe_ingred_list!$D$2:$E$500,2,0)</f>
        <v>#N/A</v>
      </c>
      <c r="AA510" s="61" t="n">
        <f aca="false">K510</f>
        <v>0</v>
      </c>
      <c r="AB510" s="61" t="n">
        <f aca="false">L510</f>
        <v>0</v>
      </c>
      <c r="AC510" s="61" t="n">
        <f aca="false">VLOOKUP(AB510,recipe_ingred_list!$K$2:$M$7,3,0)</f>
        <v>2</v>
      </c>
      <c r="AD510" s="61" t="n">
        <f aca="false">M510</f>
        <v>35</v>
      </c>
      <c r="AE510" s="61" t="str">
        <f aca="false">N510</f>
        <v>ltr</v>
      </c>
      <c r="AF510" s="61" t="n">
        <f aca="false">VLOOKUP(AE510,recipe_ingred_list!$K$16:$M$25,3,0)</f>
        <v>1</v>
      </c>
      <c r="AG510" s="61" t="n">
        <f aca="false">O510</f>
        <v>0</v>
      </c>
      <c r="AH510" s="61" t="n">
        <f aca="false">P510</f>
        <v>0</v>
      </c>
      <c r="AI510" s="61" t="n">
        <f aca="false">VLOOKUP(AH510,recipe_ingred_list!$K$29:$M$34,3,0)</f>
        <v>3</v>
      </c>
      <c r="AJ510" s="61" t="str">
        <f aca="false">IF(Q510="","",Q510)</f>
        <v/>
      </c>
      <c r="AK510" s="61" t="n">
        <f aca="false">AK509+1</f>
        <v>510</v>
      </c>
      <c r="AL510" s="61" t="e">
        <f aca="false">Y510</f>
        <v>#N/A</v>
      </c>
      <c r="AM510" s="81" t="e">
        <f aca="false">"a = Client().post('"&amp;W510&amp;"', {'recipe' : '"&amp;V510&amp;"', 'ingredient' : '"&amp;Z510&amp;"', 'name' : '"&amp;X510&amp;"', 'mass_unit' : '"&amp;AC510&amp;"', 'mass_quantity' : '"&amp;ROUND(AA510,3)&amp;"', 'volume_unit' : '"&amp;AF510&amp;"', 'volume_quantity' : '"&amp;ROUND(AD510,3)&amp;"', 'pieces_unit' : '"&amp;AI510&amp;"', 'pieces_quantity' : '"&amp;ROUND(AG510,3)&amp;"', 'cooking_notes' : '"&amp;AJ510&amp;"'}).status_code; print('%s :: %s :: %s :: %s :: %s' %(a,"&amp;G510&amp;",'"&amp;X510&amp;"','"&amp;Y510&amp;"','"&amp;U510&amp;"'))"</f>
        <v>#N/A</v>
      </c>
    </row>
    <row r="511" customFormat="false" ht="13.8" hidden="false" customHeight="false" outlineLevel="0" collapsed="false">
      <c r="G511" s="80" t="n">
        <v>511</v>
      </c>
      <c r="H511" s="100"/>
      <c r="I511" s="100"/>
      <c r="J511" s="79"/>
      <c r="K511" s="100"/>
      <c r="L511" s="100"/>
      <c r="M511" s="100"/>
      <c r="N511" s="100"/>
      <c r="O511" s="101"/>
      <c r="P511" s="100"/>
      <c r="Q511" s="102"/>
      <c r="R511" s="99" t="e">
        <f aca="false">VLOOKUP(J511,ingredient!$N$4:$O$553,2,0)</f>
        <v>#N/A</v>
      </c>
      <c r="S511" s="98"/>
      <c r="T511" s="98"/>
      <c r="U511" s="81" t="n">
        <f aca="false">I511</f>
        <v>0</v>
      </c>
      <c r="V511" s="81" t="e">
        <f aca="false">VLOOKUP(U511,recipe_ingred_list!$A$2:$B$300,2,0)</f>
        <v>#N/A</v>
      </c>
      <c r="W511" s="81" t="e">
        <f aca="false">"/recipes/"&amp;VLOOKUP(U511,recipe_ingred_list!$A$2:$C$300,3,0)&amp;"/detail/"</f>
        <v>#N/A</v>
      </c>
      <c r="X511" s="81" t="n">
        <f aca="false">J511</f>
        <v>0</v>
      </c>
      <c r="Y511" s="81" t="e">
        <f aca="false">R511</f>
        <v>#N/A</v>
      </c>
      <c r="Z511" s="94" t="e">
        <f aca="false">VLOOKUP(Y511,recipe_ingred_list!$D$2:$E$500,2,0)</f>
        <v>#N/A</v>
      </c>
      <c r="AA511" s="61" t="n">
        <f aca="false">K511</f>
        <v>0</v>
      </c>
      <c r="AB511" s="61" t="n">
        <f aca="false">L511</f>
        <v>0</v>
      </c>
      <c r="AC511" s="61" t="n">
        <f aca="false">VLOOKUP(AB511,recipe_ingred_list!$K$2:$M$7,3,0)</f>
        <v>2</v>
      </c>
      <c r="AD511" s="61" t="n">
        <f aca="false">M511</f>
        <v>0</v>
      </c>
      <c r="AE511" s="61" t="n">
        <f aca="false">N511</f>
        <v>0</v>
      </c>
      <c r="AF511" s="61" t="n">
        <f aca="false">VLOOKUP(AE511,recipe_ingred_list!$K$16:$M$25,3,0)</f>
        <v>1</v>
      </c>
      <c r="AG511" s="61" t="n">
        <f aca="false">O511</f>
        <v>0</v>
      </c>
      <c r="AH511" s="61" t="n">
        <f aca="false">P511</f>
        <v>0</v>
      </c>
      <c r="AI511" s="61" t="n">
        <f aca="false">VLOOKUP(AH511,recipe_ingred_list!$K$29:$M$34,3,0)</f>
        <v>3</v>
      </c>
      <c r="AJ511" s="61" t="str">
        <f aca="false">IF(Q511="","",Q511)</f>
        <v/>
      </c>
      <c r="AK511" s="61" t="n">
        <f aca="false">AK510+1</f>
        <v>511</v>
      </c>
      <c r="AL511" s="61" t="e">
        <f aca="false">Y511</f>
        <v>#N/A</v>
      </c>
      <c r="AM511" s="81" t="e">
        <f aca="false">"a = Client().post('"&amp;W511&amp;"', {'recipe' : '"&amp;V511&amp;"', 'ingredient' : '"&amp;Z511&amp;"', 'name' : '"&amp;X511&amp;"', 'mass_unit' : '"&amp;AC511&amp;"', 'mass_quantity' : '"&amp;ROUND(AA511,3)&amp;"', 'volume_unit' : '"&amp;AF511&amp;"', 'volume_quantity' : '"&amp;ROUND(AD511,3)&amp;"', 'pieces_unit' : '"&amp;AI511&amp;"', 'pieces_quantity' : '"&amp;ROUND(AG511,3)&amp;"', 'cooking_notes' : '"&amp;AJ511&amp;"'}).status_code; print('%s :: %s :: %s :: %s :: %s' %(a,"&amp;G511&amp;",'"&amp;X511&amp;"','"&amp;Y511&amp;"','"&amp;U511&amp;"'))"</f>
        <v>#N/A</v>
      </c>
    </row>
    <row r="512" customFormat="false" ht="15" hidden="false" customHeight="true" outlineLevel="0" collapsed="false">
      <c r="G512" s="80" t="n">
        <v>512</v>
      </c>
      <c r="H512" s="100"/>
      <c r="I512" s="99"/>
      <c r="J512" s="79"/>
      <c r="K512" s="100"/>
      <c r="L512" s="100"/>
      <c r="M512" s="100"/>
      <c r="N512" s="100"/>
      <c r="O512" s="101"/>
      <c r="P512" s="100"/>
      <c r="Q512" s="102"/>
      <c r="R512" s="99" t="e">
        <f aca="false">VLOOKUP(J512,ingredient!$N$4:$O$553,2,0)</f>
        <v>#N/A</v>
      </c>
      <c r="S512" s="98"/>
      <c r="T512" s="98"/>
      <c r="U512" s="81" t="n">
        <f aca="false">I512</f>
        <v>0</v>
      </c>
      <c r="V512" s="81" t="e">
        <f aca="false">VLOOKUP(U512,recipe_ingred_list!$A$2:$B$300,2,0)</f>
        <v>#N/A</v>
      </c>
      <c r="W512" s="81" t="e">
        <f aca="false">"/recipes/"&amp;VLOOKUP(U512,recipe_ingred_list!$A$2:$C$300,3,0)&amp;"/detail/"</f>
        <v>#N/A</v>
      </c>
      <c r="X512" s="81" t="n">
        <f aca="false">J512</f>
        <v>0</v>
      </c>
      <c r="Y512" s="81" t="e">
        <f aca="false">R512</f>
        <v>#N/A</v>
      </c>
      <c r="Z512" s="94" t="e">
        <f aca="false">VLOOKUP(Y512,recipe_ingred_list!$D$2:$E$500,2,0)</f>
        <v>#N/A</v>
      </c>
      <c r="AA512" s="61" t="n">
        <f aca="false">K512</f>
        <v>0</v>
      </c>
      <c r="AB512" s="61" t="n">
        <f aca="false">L512</f>
        <v>0</v>
      </c>
      <c r="AC512" s="61" t="n">
        <f aca="false">VLOOKUP(AB512,recipe_ingred_list!$K$2:$M$7,3,0)</f>
        <v>2</v>
      </c>
      <c r="AD512" s="61" t="n">
        <f aca="false">M512</f>
        <v>0</v>
      </c>
      <c r="AE512" s="61" t="n">
        <f aca="false">N512</f>
        <v>0</v>
      </c>
      <c r="AF512" s="61" t="n">
        <f aca="false">VLOOKUP(AE512,recipe_ingred_list!$K$16:$M$25,3,0)</f>
        <v>1</v>
      </c>
      <c r="AG512" s="61" t="n">
        <f aca="false">O512</f>
        <v>0</v>
      </c>
      <c r="AH512" s="61" t="n">
        <f aca="false">P512</f>
        <v>0</v>
      </c>
      <c r="AI512" s="61" t="n">
        <f aca="false">VLOOKUP(AH512,recipe_ingred_list!$K$29:$M$34,3,0)</f>
        <v>3</v>
      </c>
      <c r="AJ512" s="61" t="str">
        <f aca="false">IF(Q512="","",Q512)</f>
        <v/>
      </c>
      <c r="AK512" s="61" t="n">
        <f aca="false">AK511+1</f>
        <v>512</v>
      </c>
      <c r="AL512" s="61" t="e">
        <f aca="false">Y512</f>
        <v>#N/A</v>
      </c>
      <c r="AM512" s="81" t="e">
        <f aca="false">"a = Client().post('"&amp;W512&amp;"', {'recipe' : '"&amp;V512&amp;"', 'ingredient' : '"&amp;Z512&amp;"', 'name' : '"&amp;X512&amp;"', 'mass_unit' : '"&amp;AC512&amp;"', 'mass_quantity' : '"&amp;ROUND(AA512,3)&amp;"', 'volume_unit' : '"&amp;AF512&amp;"', 'volume_quantity' : '"&amp;ROUND(AD512,3)&amp;"', 'pieces_unit' : '"&amp;AI512&amp;"', 'pieces_quantity' : '"&amp;ROUND(AG512,3)&amp;"', 'cooking_notes' : '"&amp;AJ512&amp;"'}).status_code; print('%s :: %s :: %s :: %s :: %s' %(a,"&amp;G512&amp;",'"&amp;X512&amp;"','"&amp;Y512&amp;"','"&amp;U512&amp;"'))"</f>
        <v>#N/A</v>
      </c>
    </row>
    <row r="513" customFormat="false" ht="15" hidden="false" customHeight="true" outlineLevel="0" collapsed="false">
      <c r="G513" s="80" t="n">
        <v>513</v>
      </c>
      <c r="H513" s="61"/>
      <c r="I513" s="61" t="s">
        <v>319</v>
      </c>
      <c r="J513" s="83" t="s">
        <v>676</v>
      </c>
      <c r="K513" s="61" t="n">
        <v>4.64285714285714</v>
      </c>
      <c r="L513" s="61" t="s">
        <v>7</v>
      </c>
      <c r="R513" s="82" t="str">
        <f aca="false">VLOOKUP(J513,ingredient!$N$4:$O$553,2,0)</f>
        <v>tur dal</v>
      </c>
      <c r="U513" s="81" t="str">
        <f aca="false">I513</f>
        <v>SAMBAR GP</v>
      </c>
      <c r="V513" s="81" t="n">
        <f aca="false">VLOOKUP(U513,recipe_ingred_list!$A$2:$B$300,2,0)</f>
        <v>70</v>
      </c>
      <c r="W513" s="81" t="str">
        <f aca="false">"/recipes/"&amp;VLOOKUP(U513,recipe_ingred_list!$A$2:$C$300,3,0)&amp;"/detail/"</f>
        <v>/recipes/sambar-gp/detail/</v>
      </c>
      <c r="X513" s="81" t="str">
        <f aca="false">J513</f>
        <v>Turdal</v>
      </c>
      <c r="Y513" s="81" t="str">
        <f aca="false">R513</f>
        <v>tur dal</v>
      </c>
      <c r="Z513" s="94" t="n">
        <f aca="false">VLOOKUP(Y513,recipe_ingred_list!$D$2:$E$500,2,0)</f>
        <v>198</v>
      </c>
      <c r="AA513" s="61" t="n">
        <f aca="false">K513</f>
        <v>4.64285714285714</v>
      </c>
      <c r="AB513" s="61" t="str">
        <f aca="false">L513</f>
        <v>kg</v>
      </c>
      <c r="AC513" s="61" t="n">
        <f aca="false">VLOOKUP(AB513,recipe_ingred_list!$K$2:$M$7,3,0)</f>
        <v>2</v>
      </c>
      <c r="AD513" s="61" t="n">
        <f aca="false">M513</f>
        <v>0</v>
      </c>
      <c r="AE513" s="61" t="n">
        <f aca="false">N513</f>
        <v>0</v>
      </c>
      <c r="AF513" s="61" t="n">
        <f aca="false">VLOOKUP(AE513,recipe_ingred_list!$K$16:$M$25,3,0)</f>
        <v>1</v>
      </c>
      <c r="AG513" s="61" t="n">
        <f aca="false">O513</f>
        <v>0</v>
      </c>
      <c r="AH513" s="61" t="n">
        <f aca="false">P513</f>
        <v>0</v>
      </c>
      <c r="AI513" s="61" t="n">
        <f aca="false">VLOOKUP(AH513,recipe_ingred_list!$K$29:$M$34,3,0)</f>
        <v>3</v>
      </c>
      <c r="AJ513" s="61" t="str">
        <f aca="false">IF(Q513="","",Q513)</f>
        <v/>
      </c>
      <c r="AK513" s="61" t="n">
        <f aca="false">AK512+1</f>
        <v>513</v>
      </c>
      <c r="AL513" s="61" t="str">
        <f aca="false">Y513</f>
        <v>tur dal</v>
      </c>
      <c r="AM513" s="81" t="str">
        <f aca="false">"a = Client().post('"&amp;W513&amp;"', {'recipe' : '"&amp;V513&amp;"', 'ingredient' : '"&amp;Z513&amp;"', 'name' : '"&amp;X513&amp;"', 'mass_unit' : '"&amp;AC513&amp;"', 'mass_quantity' : '"&amp;ROUND(AA513,3)&amp;"', 'volume_unit' : '"&amp;AF513&amp;"', 'volume_quantity' : '"&amp;ROUND(AD513,3)&amp;"', 'pieces_unit' : '"&amp;AI513&amp;"', 'pieces_quantity' : '"&amp;ROUND(AG513,3)&amp;"', 'cooking_notes' : '"&amp;AJ513&amp;"'}).status_code; print('%s :: %s :: %s :: %s :: %s' %(a,"&amp;G513&amp;",'"&amp;X513&amp;"','"&amp;Y513&amp;"','"&amp;U513&amp;"'))"</f>
        <v>a = Client().post('/recipes/sambar-gp/detail/', {'recipe' : '70', 'ingredient' : '198', 'name' : 'Turdal', 'mass_unit' : '2', 'mass_quantity' : '4.643', 'volume_unit' : '1', 'volume_quantity' : '0', 'pieces_unit' : '3', 'pieces_quantity' : '0', 'cooking_notes' : ''}).status_code; print('%s :: %s :: %s :: %s :: %s' %(a,513,'Turdal','tur dal','SAMBAR GP'))</v>
      </c>
    </row>
    <row r="514" customFormat="false" ht="13.8" hidden="false" customHeight="false" outlineLevel="0" collapsed="false">
      <c r="G514" s="80" t="n">
        <v>514</v>
      </c>
      <c r="H514" s="61"/>
      <c r="I514" s="61" t="s">
        <v>319</v>
      </c>
      <c r="J514" s="83" t="s">
        <v>394</v>
      </c>
      <c r="K514" s="61" t="n">
        <v>0.714285714285714</v>
      </c>
      <c r="L514" s="61" t="s">
        <v>7</v>
      </c>
      <c r="R514" s="82" t="str">
        <f aca="false">VLOOKUP(J514,ingredient!$N$4:$O$553,2,0)</f>
        <v>imli</v>
      </c>
      <c r="U514" s="81" t="str">
        <f aca="false">I514</f>
        <v>SAMBAR GP</v>
      </c>
      <c r="V514" s="81" t="n">
        <f aca="false">VLOOKUP(U514,recipe_ingred_list!$A$2:$B$300,2,0)</f>
        <v>70</v>
      </c>
      <c r="W514" s="81" t="str">
        <f aca="false">"/recipes/"&amp;VLOOKUP(U514,recipe_ingred_list!$A$2:$C$300,3,0)&amp;"/detail/"</f>
        <v>/recipes/sambar-gp/detail/</v>
      </c>
      <c r="X514" s="81" t="str">
        <f aca="false">J514</f>
        <v>imli</v>
      </c>
      <c r="Y514" s="81" t="str">
        <f aca="false">R514</f>
        <v>imli</v>
      </c>
      <c r="Z514" s="94" t="n">
        <f aca="false">VLOOKUP(Y514,recipe_ingred_list!$D$2:$E$500,2,0)</f>
        <v>98</v>
      </c>
      <c r="AA514" s="61" t="n">
        <f aca="false">K514</f>
        <v>0.714285714285714</v>
      </c>
      <c r="AB514" s="61" t="str">
        <f aca="false">L514</f>
        <v>kg</v>
      </c>
      <c r="AC514" s="61" t="n">
        <f aca="false">VLOOKUP(AB514,recipe_ingred_list!$K$2:$M$7,3,0)</f>
        <v>2</v>
      </c>
      <c r="AD514" s="61" t="n">
        <f aca="false">M514</f>
        <v>0</v>
      </c>
      <c r="AE514" s="61" t="n">
        <f aca="false">N514</f>
        <v>0</v>
      </c>
      <c r="AF514" s="61" t="n">
        <f aca="false">VLOOKUP(AE514,recipe_ingred_list!$K$16:$M$25,3,0)</f>
        <v>1</v>
      </c>
      <c r="AG514" s="61" t="n">
        <f aca="false">O514</f>
        <v>0</v>
      </c>
      <c r="AH514" s="61" t="n">
        <f aca="false">P514</f>
        <v>0</v>
      </c>
      <c r="AI514" s="61" t="n">
        <f aca="false">VLOOKUP(AH514,recipe_ingred_list!$K$29:$M$34,3,0)</f>
        <v>3</v>
      </c>
      <c r="AJ514" s="61" t="str">
        <f aca="false">IF(Q514="","",Q514)</f>
        <v/>
      </c>
      <c r="AK514" s="61" t="n">
        <f aca="false">AK513+1</f>
        <v>514</v>
      </c>
      <c r="AL514" s="61" t="str">
        <f aca="false">Y514</f>
        <v>imli</v>
      </c>
      <c r="AM514" s="81" t="str">
        <f aca="false">"a = Client().post('"&amp;W514&amp;"', {'recipe' : '"&amp;V514&amp;"', 'ingredient' : '"&amp;Z514&amp;"', 'name' : '"&amp;X514&amp;"', 'mass_unit' : '"&amp;AC514&amp;"', 'mass_quantity' : '"&amp;ROUND(AA514,3)&amp;"', 'volume_unit' : '"&amp;AF514&amp;"', 'volume_quantity' : '"&amp;ROUND(AD514,3)&amp;"', 'pieces_unit' : '"&amp;AI514&amp;"', 'pieces_quantity' : '"&amp;ROUND(AG514,3)&amp;"', 'cooking_notes' : '"&amp;AJ514&amp;"'}).status_code; print('%s :: %s :: %s :: %s :: %s' %(a,"&amp;G514&amp;",'"&amp;X514&amp;"','"&amp;Y514&amp;"','"&amp;U514&amp;"'))"</f>
        <v>a = Client().post('/recipes/sambar-gp/detail/', {'recipe' : '70', 'ingredient' : '98', 'name' : 'imli', 'mass_unit' : '2', 'mass_quantity' : '0.714', 'volume_unit' : '1', 'volume_quantity' : '0', 'pieces_unit' : '3', 'pieces_quantity' : '0', 'cooking_notes' : ''}).status_code; print('%s :: %s :: %s :: %s :: %s' %(a,514,'imli','imli','SAMBAR GP'))</v>
      </c>
    </row>
    <row r="515" customFormat="false" ht="13.8" hidden="false" customHeight="false" outlineLevel="0" collapsed="false">
      <c r="G515" s="80" t="n">
        <v>515</v>
      </c>
      <c r="H515" s="61"/>
      <c r="I515" s="61" t="s">
        <v>319</v>
      </c>
      <c r="J515" s="83" t="s">
        <v>564</v>
      </c>
      <c r="M515" s="61" t="n">
        <v>1.42857142857143</v>
      </c>
      <c r="N515" s="61" t="s">
        <v>20</v>
      </c>
      <c r="R515" s="82" t="str">
        <f aca="false">VLOOKUP(J515,ingredient!$N$4:$O$553,2,0)</f>
        <v>haldi</v>
      </c>
      <c r="U515" s="81" t="str">
        <f aca="false">I515</f>
        <v>SAMBAR GP</v>
      </c>
      <c r="V515" s="81" t="n">
        <f aca="false">VLOOKUP(U515,recipe_ingred_list!$A$2:$B$300,2,0)</f>
        <v>70</v>
      </c>
      <c r="W515" s="81" t="str">
        <f aca="false">"/recipes/"&amp;VLOOKUP(U515,recipe_ingred_list!$A$2:$C$300,3,0)&amp;"/detail/"</f>
        <v>/recipes/sambar-gp/detail/</v>
      </c>
      <c r="X515" s="81" t="str">
        <f aca="false">J515</f>
        <v>Haldi</v>
      </c>
      <c r="Y515" s="81" t="str">
        <f aca="false">R515</f>
        <v>haldi</v>
      </c>
      <c r="Z515" s="94" t="n">
        <f aca="false">VLOOKUP(Y515,recipe_ingred_list!$D$2:$E$500,2,0)</f>
        <v>91</v>
      </c>
      <c r="AA515" s="61" t="n">
        <f aca="false">K515</f>
        <v>0</v>
      </c>
      <c r="AB515" s="61" t="n">
        <f aca="false">L515</f>
        <v>0</v>
      </c>
      <c r="AC515" s="61" t="n">
        <f aca="false">VLOOKUP(AB515,recipe_ingred_list!$K$2:$M$7,3,0)</f>
        <v>2</v>
      </c>
      <c r="AD515" s="61" t="n">
        <f aca="false">M515</f>
        <v>1.42857142857143</v>
      </c>
      <c r="AE515" s="61" t="str">
        <f aca="false">N515</f>
        <v>cup</v>
      </c>
      <c r="AF515" s="61" t="n">
        <f aca="false">VLOOKUP(AE515,recipe_ingred_list!$K$16:$M$25,3,0)</f>
        <v>5</v>
      </c>
      <c r="AG515" s="61" t="n">
        <f aca="false">O515</f>
        <v>0</v>
      </c>
      <c r="AH515" s="61" t="n">
        <f aca="false">P515</f>
        <v>0</v>
      </c>
      <c r="AI515" s="61" t="n">
        <f aca="false">VLOOKUP(AH515,recipe_ingred_list!$K$29:$M$34,3,0)</f>
        <v>3</v>
      </c>
      <c r="AJ515" s="61" t="str">
        <f aca="false">IF(Q515="","",Q515)</f>
        <v/>
      </c>
      <c r="AK515" s="61" t="n">
        <f aca="false">AK514+1</f>
        <v>515</v>
      </c>
      <c r="AL515" s="61" t="str">
        <f aca="false">Y515</f>
        <v>haldi</v>
      </c>
      <c r="AM515" s="81" t="str">
        <f aca="false">"a = Client().post('"&amp;W515&amp;"', {'recipe' : '"&amp;V515&amp;"', 'ingredient' : '"&amp;Z515&amp;"', 'name' : '"&amp;X515&amp;"', 'mass_unit' : '"&amp;AC515&amp;"', 'mass_quantity' : '"&amp;ROUND(AA515,3)&amp;"', 'volume_unit' : '"&amp;AF515&amp;"', 'volume_quantity' : '"&amp;ROUND(AD515,3)&amp;"', 'pieces_unit' : '"&amp;AI515&amp;"', 'pieces_quantity' : '"&amp;ROUND(AG515,3)&amp;"', 'cooking_notes' : '"&amp;AJ515&amp;"'}).status_code; print('%s :: %s :: %s :: %s :: %s' %(a,"&amp;G515&amp;",'"&amp;X515&amp;"','"&amp;Y515&amp;"','"&amp;U515&amp;"'))"</f>
        <v>a = Client().post('/recipes/sambar-gp/detail/', {'recipe' : '70', 'ingredient' : '91', 'name' : 'Haldi', 'mass_unit' : '2', 'mass_quantity' : '0', 'volume_unit' : '5', 'volume_quantity' : '1.429', 'pieces_unit' : '3', 'pieces_quantity' : '0', 'cooking_notes' : ''}).status_code; print('%s :: %s :: %s :: %s :: %s' %(a,515,'Haldi','haldi','SAMBAR GP'))</v>
      </c>
    </row>
    <row r="516" customFormat="false" ht="13.8" hidden="false" customHeight="false" outlineLevel="0" collapsed="false">
      <c r="G516" s="80" t="n">
        <v>516</v>
      </c>
      <c r="H516" s="61"/>
      <c r="I516" s="61" t="s">
        <v>319</v>
      </c>
      <c r="J516" s="83" t="s">
        <v>562</v>
      </c>
      <c r="M516" s="61" t="n">
        <v>1.07142857142857</v>
      </c>
      <c r="N516" s="61" t="s">
        <v>20</v>
      </c>
      <c r="R516" s="82" t="str">
        <f aca="false">VLOOKUP(J516,ingredient!$N$4:$O$553,2,0)</f>
        <v>hing</v>
      </c>
      <c r="U516" s="81" t="str">
        <f aca="false">I516</f>
        <v>SAMBAR GP</v>
      </c>
      <c r="V516" s="81" t="n">
        <f aca="false">VLOOKUP(U516,recipe_ingred_list!$A$2:$B$300,2,0)</f>
        <v>70</v>
      </c>
      <c r="W516" s="81" t="str">
        <f aca="false">"/recipes/"&amp;VLOOKUP(U516,recipe_ingred_list!$A$2:$C$300,3,0)&amp;"/detail/"</f>
        <v>/recipes/sambar-gp/detail/</v>
      </c>
      <c r="X516" s="81" t="str">
        <f aca="false">J516</f>
        <v>Hing</v>
      </c>
      <c r="Y516" s="81" t="str">
        <f aca="false">R516</f>
        <v>hing</v>
      </c>
      <c r="Z516" s="94" t="n">
        <f aca="false">VLOOKUP(Y516,recipe_ingred_list!$D$2:$E$500,2,0)</f>
        <v>95</v>
      </c>
      <c r="AA516" s="61" t="n">
        <f aca="false">K516</f>
        <v>0</v>
      </c>
      <c r="AB516" s="61" t="n">
        <f aca="false">L516</f>
        <v>0</v>
      </c>
      <c r="AC516" s="61" t="n">
        <f aca="false">VLOOKUP(AB516,recipe_ingred_list!$K$2:$M$7,3,0)</f>
        <v>2</v>
      </c>
      <c r="AD516" s="61" t="n">
        <f aca="false">M516</f>
        <v>1.07142857142857</v>
      </c>
      <c r="AE516" s="61" t="str">
        <f aca="false">N516</f>
        <v>cup</v>
      </c>
      <c r="AF516" s="61" t="n">
        <f aca="false">VLOOKUP(AE516,recipe_ingred_list!$K$16:$M$25,3,0)</f>
        <v>5</v>
      </c>
      <c r="AG516" s="61" t="n">
        <f aca="false">O516</f>
        <v>0</v>
      </c>
      <c r="AH516" s="61" t="n">
        <f aca="false">P516</f>
        <v>0</v>
      </c>
      <c r="AI516" s="61" t="n">
        <f aca="false">VLOOKUP(AH516,recipe_ingred_list!$K$29:$M$34,3,0)</f>
        <v>3</v>
      </c>
      <c r="AJ516" s="61" t="str">
        <f aca="false">IF(Q516="","",Q516)</f>
        <v/>
      </c>
      <c r="AK516" s="61" t="n">
        <f aca="false">AK515+1</f>
        <v>516</v>
      </c>
      <c r="AL516" s="61" t="str">
        <f aca="false">Y516</f>
        <v>hing</v>
      </c>
      <c r="AM516" s="81" t="str">
        <f aca="false">"a = Client().post('"&amp;W516&amp;"', {'recipe' : '"&amp;V516&amp;"', 'ingredient' : '"&amp;Z516&amp;"', 'name' : '"&amp;X516&amp;"', 'mass_unit' : '"&amp;AC516&amp;"', 'mass_quantity' : '"&amp;ROUND(AA516,3)&amp;"', 'volume_unit' : '"&amp;AF516&amp;"', 'volume_quantity' : '"&amp;ROUND(AD516,3)&amp;"', 'pieces_unit' : '"&amp;AI516&amp;"', 'pieces_quantity' : '"&amp;ROUND(AG516,3)&amp;"', 'cooking_notes' : '"&amp;AJ516&amp;"'}).status_code; print('%s :: %s :: %s :: %s :: %s' %(a,"&amp;G516&amp;",'"&amp;X516&amp;"','"&amp;Y516&amp;"','"&amp;U516&amp;"'))"</f>
        <v>a = Client().post('/recipes/sambar-gp/detail/', {'recipe' : '70', 'ingredient' : '95', 'name' : 'Hing', 'mass_unit' : '2', 'mass_quantity' : '0', 'volume_unit' : '5', 'volume_quantity' : '1.071', 'pieces_unit' : '3', 'pieces_quantity' : '0', 'cooking_notes' : ''}).status_code; print('%s :: %s :: %s :: %s :: %s' %(a,516,'Hing','hing','SAMBAR GP'))</v>
      </c>
    </row>
    <row r="517" customFormat="false" ht="13.8" hidden="false" customHeight="false" outlineLevel="0" collapsed="false">
      <c r="G517" s="80" t="n">
        <v>517</v>
      </c>
      <c r="H517" s="61"/>
      <c r="I517" s="61" t="s">
        <v>319</v>
      </c>
      <c r="J517" s="83" t="s">
        <v>677</v>
      </c>
      <c r="K517" s="61" t="n">
        <v>1.78571428571429</v>
      </c>
      <c r="L517" s="61" t="s">
        <v>7</v>
      </c>
      <c r="R517" s="82" t="str">
        <f aca="false">VLOOKUP(J517,ingredient!$N$4:$O$553,2,0)</f>
        <v>drum stick</v>
      </c>
      <c r="U517" s="81" t="str">
        <f aca="false">I517</f>
        <v>SAMBAR GP</v>
      </c>
      <c r="V517" s="81" t="n">
        <f aca="false">VLOOKUP(U517,recipe_ingred_list!$A$2:$B$300,2,0)</f>
        <v>70</v>
      </c>
      <c r="W517" s="81" t="str">
        <f aca="false">"/recipes/"&amp;VLOOKUP(U517,recipe_ingred_list!$A$2:$C$300,3,0)&amp;"/detail/"</f>
        <v>/recipes/sambar-gp/detail/</v>
      </c>
      <c r="X517" s="81" t="str">
        <f aca="false">J517</f>
        <v>Drum Stick</v>
      </c>
      <c r="Y517" s="81" t="str">
        <f aca="false">R517</f>
        <v>drum stick</v>
      </c>
      <c r="Z517" s="94" t="n">
        <f aca="false">VLOOKUP(Y517,recipe_ingred_list!$D$2:$E$500,2,0)</f>
        <v>68</v>
      </c>
      <c r="AA517" s="61" t="n">
        <f aca="false">K517</f>
        <v>1.78571428571429</v>
      </c>
      <c r="AB517" s="61" t="str">
        <f aca="false">L517</f>
        <v>kg</v>
      </c>
      <c r="AC517" s="61" t="n">
        <f aca="false">VLOOKUP(AB517,recipe_ingred_list!$K$2:$M$7,3,0)</f>
        <v>2</v>
      </c>
      <c r="AD517" s="61" t="n">
        <f aca="false">M517</f>
        <v>0</v>
      </c>
      <c r="AE517" s="61" t="n">
        <f aca="false">N517</f>
        <v>0</v>
      </c>
      <c r="AF517" s="61" t="n">
        <f aca="false">VLOOKUP(AE517,recipe_ingred_list!$K$16:$M$25,3,0)</f>
        <v>1</v>
      </c>
      <c r="AG517" s="61" t="n">
        <f aca="false">O517</f>
        <v>0</v>
      </c>
      <c r="AH517" s="61" t="n">
        <f aca="false">P517</f>
        <v>0</v>
      </c>
      <c r="AI517" s="61" t="n">
        <f aca="false">VLOOKUP(AH517,recipe_ingred_list!$K$29:$M$34,3,0)</f>
        <v>3</v>
      </c>
      <c r="AJ517" s="61" t="str">
        <f aca="false">IF(Q517="","",Q517)</f>
        <v/>
      </c>
      <c r="AK517" s="61" t="n">
        <f aca="false">AK516+1</f>
        <v>517</v>
      </c>
      <c r="AL517" s="61" t="str">
        <f aca="false">Y517</f>
        <v>drum stick</v>
      </c>
      <c r="AM517" s="81" t="str">
        <f aca="false">"a = Client().post('"&amp;W517&amp;"', {'recipe' : '"&amp;V517&amp;"', 'ingredient' : '"&amp;Z517&amp;"', 'name' : '"&amp;X517&amp;"', 'mass_unit' : '"&amp;AC517&amp;"', 'mass_quantity' : '"&amp;ROUND(AA517,3)&amp;"', 'volume_unit' : '"&amp;AF517&amp;"', 'volume_quantity' : '"&amp;ROUND(AD517,3)&amp;"', 'pieces_unit' : '"&amp;AI517&amp;"', 'pieces_quantity' : '"&amp;ROUND(AG517,3)&amp;"', 'cooking_notes' : '"&amp;AJ517&amp;"'}).status_code; print('%s :: %s :: %s :: %s :: %s' %(a,"&amp;G517&amp;",'"&amp;X517&amp;"','"&amp;Y517&amp;"','"&amp;U517&amp;"'))"</f>
        <v>a = Client().post('/recipes/sambar-gp/detail/', {'recipe' : '70', 'ingredient' : '68', 'name' : 'Drum Stick', 'mass_unit' : '2', 'mass_quantity' : '1.786', 'volume_unit' : '1', 'volume_quantity' : '0', 'pieces_unit' : '3', 'pieces_quantity' : '0', 'cooking_notes' : ''}).status_code; print('%s :: %s :: %s :: %s :: %s' %(a,517,'Drum Stick','drum stick','SAMBAR GP'))</v>
      </c>
    </row>
    <row r="518" customFormat="false" ht="13.8" hidden="false" customHeight="false" outlineLevel="0" collapsed="false">
      <c r="G518" s="80" t="n">
        <v>518</v>
      </c>
      <c r="H518" s="61"/>
      <c r="I518" s="61" t="s">
        <v>319</v>
      </c>
      <c r="J518" s="83" t="s">
        <v>8</v>
      </c>
      <c r="K518" s="61" t="n">
        <v>2.85714285714286</v>
      </c>
      <c r="L518" s="61" t="s">
        <v>7</v>
      </c>
      <c r="R518" s="82" t="str">
        <f aca="false">VLOOKUP(J518,ingredient!$N$4:$O$553,2,0)</f>
        <v>bhopla</v>
      </c>
      <c r="U518" s="81" t="str">
        <f aca="false">I518</f>
        <v>SAMBAR GP</v>
      </c>
      <c r="V518" s="81" t="n">
        <f aca="false">VLOOKUP(U518,recipe_ingred_list!$A$2:$B$300,2,0)</f>
        <v>70</v>
      </c>
      <c r="W518" s="81" t="str">
        <f aca="false">"/recipes/"&amp;VLOOKUP(U518,recipe_ingred_list!$A$2:$C$300,3,0)&amp;"/detail/"</f>
        <v>/recipes/sambar-gp/detail/</v>
      </c>
      <c r="X518" s="81" t="str">
        <f aca="false">J518</f>
        <v>Bhopla</v>
      </c>
      <c r="Y518" s="81" t="str">
        <f aca="false">R518</f>
        <v>bhopla</v>
      </c>
      <c r="Z518" s="94" t="n">
        <f aca="false">VLOOKUP(Y518,recipe_ingred_list!$D$2:$E$500,2,0)</f>
        <v>30</v>
      </c>
      <c r="AA518" s="61" t="n">
        <f aca="false">K518</f>
        <v>2.85714285714286</v>
      </c>
      <c r="AB518" s="61" t="str">
        <f aca="false">L518</f>
        <v>kg</v>
      </c>
      <c r="AC518" s="61" t="n">
        <f aca="false">VLOOKUP(AB518,recipe_ingred_list!$K$2:$M$7,3,0)</f>
        <v>2</v>
      </c>
      <c r="AD518" s="61" t="n">
        <f aca="false">M518</f>
        <v>0</v>
      </c>
      <c r="AE518" s="61" t="n">
        <f aca="false">N518</f>
        <v>0</v>
      </c>
      <c r="AF518" s="61" t="n">
        <f aca="false">VLOOKUP(AE518,recipe_ingred_list!$K$16:$M$25,3,0)</f>
        <v>1</v>
      </c>
      <c r="AG518" s="61" t="n">
        <f aca="false">O518</f>
        <v>0</v>
      </c>
      <c r="AH518" s="61" t="n">
        <f aca="false">P518</f>
        <v>0</v>
      </c>
      <c r="AI518" s="61" t="n">
        <f aca="false">VLOOKUP(AH518,recipe_ingred_list!$K$29:$M$34,3,0)</f>
        <v>3</v>
      </c>
      <c r="AJ518" s="61" t="str">
        <f aca="false">IF(Q518="","",Q518)</f>
        <v/>
      </c>
      <c r="AK518" s="61" t="n">
        <f aca="false">AK517+1</f>
        <v>518</v>
      </c>
      <c r="AL518" s="61" t="str">
        <f aca="false">Y518</f>
        <v>bhopla</v>
      </c>
      <c r="AM518" s="81" t="str">
        <f aca="false">"a = Client().post('"&amp;W518&amp;"', {'recipe' : '"&amp;V518&amp;"', 'ingredient' : '"&amp;Z518&amp;"', 'name' : '"&amp;X518&amp;"', 'mass_unit' : '"&amp;AC518&amp;"', 'mass_quantity' : '"&amp;ROUND(AA518,3)&amp;"', 'volume_unit' : '"&amp;AF518&amp;"', 'volume_quantity' : '"&amp;ROUND(AD518,3)&amp;"', 'pieces_unit' : '"&amp;AI518&amp;"', 'pieces_quantity' : '"&amp;ROUND(AG518,3)&amp;"', 'cooking_notes' : '"&amp;AJ518&amp;"'}).status_code; print('%s :: %s :: %s :: %s :: %s' %(a,"&amp;G518&amp;",'"&amp;X518&amp;"','"&amp;Y518&amp;"','"&amp;U518&amp;"'))"</f>
        <v>a = Client().post('/recipes/sambar-gp/detail/', {'recipe' : '70', 'ingredient' : '30', 'name' : 'Bhopla', 'mass_unit' : '2', 'mass_quantity' : '2.857', 'volume_unit' : '1', 'volume_quantity' : '0', 'pieces_unit' : '3', 'pieces_quantity' : '0', 'cooking_notes' : ''}).status_code; print('%s :: %s :: %s :: %s :: %s' %(a,518,'Bhopla','bhopla','SAMBAR GP'))</v>
      </c>
    </row>
    <row r="519" customFormat="false" ht="13.8" hidden="false" customHeight="false" outlineLevel="0" collapsed="false">
      <c r="G519" s="80" t="n">
        <v>519</v>
      </c>
      <c r="H519" s="61"/>
      <c r="I519" s="61" t="s">
        <v>319</v>
      </c>
      <c r="J519" s="83" t="s">
        <v>40</v>
      </c>
      <c r="K519" s="61" t="n">
        <v>2.14285714285714</v>
      </c>
      <c r="L519" s="61" t="s">
        <v>7</v>
      </c>
      <c r="R519" s="82" t="str">
        <f aca="false">VLOOKUP(J519,ingredient!$N$4:$O$553,2,0)</f>
        <v>capsicum</v>
      </c>
      <c r="U519" s="81" t="str">
        <f aca="false">I519</f>
        <v>SAMBAR GP</v>
      </c>
      <c r="V519" s="81" t="n">
        <f aca="false">VLOOKUP(U519,recipe_ingred_list!$A$2:$B$300,2,0)</f>
        <v>70</v>
      </c>
      <c r="W519" s="81" t="str">
        <f aca="false">"/recipes/"&amp;VLOOKUP(U519,recipe_ingred_list!$A$2:$C$300,3,0)&amp;"/detail/"</f>
        <v>/recipes/sambar-gp/detail/</v>
      </c>
      <c r="X519" s="81" t="str">
        <f aca="false">J519</f>
        <v>Capsicum</v>
      </c>
      <c r="Y519" s="81" t="str">
        <f aca="false">R519</f>
        <v>capsicum</v>
      </c>
      <c r="Z519" s="94" t="n">
        <f aca="false">VLOOKUP(Y519,recipe_ingred_list!$D$2:$E$500,2,0)</f>
        <v>42</v>
      </c>
      <c r="AA519" s="61" t="n">
        <f aca="false">K519</f>
        <v>2.14285714285714</v>
      </c>
      <c r="AB519" s="61" t="str">
        <f aca="false">L519</f>
        <v>kg</v>
      </c>
      <c r="AC519" s="61" t="n">
        <f aca="false">VLOOKUP(AB519,recipe_ingred_list!$K$2:$M$7,3,0)</f>
        <v>2</v>
      </c>
      <c r="AD519" s="61" t="n">
        <f aca="false">M519</f>
        <v>0</v>
      </c>
      <c r="AE519" s="61" t="n">
        <f aca="false">N519</f>
        <v>0</v>
      </c>
      <c r="AF519" s="61" t="n">
        <f aca="false">VLOOKUP(AE519,recipe_ingred_list!$K$16:$M$25,3,0)</f>
        <v>1</v>
      </c>
      <c r="AG519" s="61" t="n">
        <f aca="false">O519</f>
        <v>0</v>
      </c>
      <c r="AH519" s="61" t="n">
        <f aca="false">P519</f>
        <v>0</v>
      </c>
      <c r="AI519" s="61" t="n">
        <f aca="false">VLOOKUP(AH519,recipe_ingred_list!$K$29:$M$34,3,0)</f>
        <v>3</v>
      </c>
      <c r="AJ519" s="61" t="str">
        <f aca="false">IF(Q519="","",Q519)</f>
        <v/>
      </c>
      <c r="AK519" s="61" t="n">
        <f aca="false">AK518+1</f>
        <v>519</v>
      </c>
      <c r="AL519" s="61" t="str">
        <f aca="false">Y519</f>
        <v>capsicum</v>
      </c>
      <c r="AM519" s="81" t="str">
        <f aca="false">"a = Client().post('"&amp;W519&amp;"', {'recipe' : '"&amp;V519&amp;"', 'ingredient' : '"&amp;Z519&amp;"', 'name' : '"&amp;X519&amp;"', 'mass_unit' : '"&amp;AC519&amp;"', 'mass_quantity' : '"&amp;ROUND(AA519,3)&amp;"', 'volume_unit' : '"&amp;AF519&amp;"', 'volume_quantity' : '"&amp;ROUND(AD519,3)&amp;"', 'pieces_unit' : '"&amp;AI519&amp;"', 'pieces_quantity' : '"&amp;ROUND(AG519,3)&amp;"', 'cooking_notes' : '"&amp;AJ519&amp;"'}).status_code; print('%s :: %s :: %s :: %s :: %s' %(a,"&amp;G519&amp;",'"&amp;X519&amp;"','"&amp;Y519&amp;"','"&amp;U519&amp;"'))"</f>
        <v>a = Client().post('/recipes/sambar-gp/detail/', {'recipe' : '70', 'ingredient' : '42', 'name' : 'Capsicum', 'mass_unit' : '2', 'mass_quantity' : '2.143', 'volume_unit' : '1', 'volume_quantity' : '0', 'pieces_unit' : '3', 'pieces_quantity' : '0', 'cooking_notes' : ''}).status_code; print('%s :: %s :: %s :: %s :: %s' %(a,519,'Capsicum','capsicum','SAMBAR GP'))</v>
      </c>
    </row>
    <row r="520" customFormat="false" ht="13.8" hidden="false" customHeight="false" outlineLevel="0" collapsed="false">
      <c r="G520" s="80" t="n">
        <v>520</v>
      </c>
      <c r="H520" s="61"/>
      <c r="I520" s="61" t="s">
        <v>319</v>
      </c>
      <c r="J520" s="83" t="s">
        <v>678</v>
      </c>
      <c r="K520" s="61" t="n">
        <v>1.07142857142857</v>
      </c>
      <c r="L520" s="61" t="s">
        <v>7</v>
      </c>
      <c r="R520" s="82" t="str">
        <f aca="false">VLOOKUP(J520,ingredient!$N$4:$O$553,2,0)</f>
        <v>alu</v>
      </c>
      <c r="U520" s="81" t="str">
        <f aca="false">I520</f>
        <v>SAMBAR GP</v>
      </c>
      <c r="V520" s="81" t="n">
        <f aca="false">VLOOKUP(U520,recipe_ingred_list!$A$2:$B$300,2,0)</f>
        <v>70</v>
      </c>
      <c r="W520" s="81" t="str">
        <f aca="false">"/recipes/"&amp;VLOOKUP(U520,recipe_ingred_list!$A$2:$C$300,3,0)&amp;"/detail/"</f>
        <v>/recipes/sambar-gp/detail/</v>
      </c>
      <c r="X520" s="81" t="str">
        <f aca="false">J520</f>
        <v>potatoes</v>
      </c>
      <c r="Y520" s="81" t="str">
        <f aca="false">R520</f>
        <v>alu</v>
      </c>
      <c r="Z520" s="94" t="n">
        <f aca="false">VLOOKUP(Y520,recipe_ingred_list!$D$2:$E$500,2,0)</f>
        <v>8</v>
      </c>
      <c r="AA520" s="61" t="n">
        <f aca="false">K520</f>
        <v>1.07142857142857</v>
      </c>
      <c r="AB520" s="61" t="str">
        <f aca="false">L520</f>
        <v>kg</v>
      </c>
      <c r="AC520" s="61" t="n">
        <f aca="false">VLOOKUP(AB520,recipe_ingred_list!$K$2:$M$7,3,0)</f>
        <v>2</v>
      </c>
      <c r="AD520" s="61" t="n">
        <f aca="false">M520</f>
        <v>0</v>
      </c>
      <c r="AE520" s="61" t="n">
        <f aca="false">N520</f>
        <v>0</v>
      </c>
      <c r="AF520" s="61" t="n">
        <f aca="false">VLOOKUP(AE520,recipe_ingred_list!$K$16:$M$25,3,0)</f>
        <v>1</v>
      </c>
      <c r="AG520" s="61" t="n">
        <f aca="false">O520</f>
        <v>0</v>
      </c>
      <c r="AH520" s="61" t="n">
        <f aca="false">P520</f>
        <v>0</v>
      </c>
      <c r="AI520" s="61" t="n">
        <f aca="false">VLOOKUP(AH520,recipe_ingred_list!$K$29:$M$34,3,0)</f>
        <v>3</v>
      </c>
      <c r="AJ520" s="61" t="str">
        <f aca="false">IF(Q520="","",Q520)</f>
        <v/>
      </c>
      <c r="AK520" s="61" t="n">
        <f aca="false">AK519+1</f>
        <v>520</v>
      </c>
      <c r="AL520" s="61" t="str">
        <f aca="false">Y520</f>
        <v>alu</v>
      </c>
      <c r="AM520" s="81" t="str">
        <f aca="false">"a = Client().post('"&amp;W520&amp;"', {'recipe' : '"&amp;V520&amp;"', 'ingredient' : '"&amp;Z520&amp;"', 'name' : '"&amp;X520&amp;"', 'mass_unit' : '"&amp;AC520&amp;"', 'mass_quantity' : '"&amp;ROUND(AA520,3)&amp;"', 'volume_unit' : '"&amp;AF520&amp;"', 'volume_quantity' : '"&amp;ROUND(AD520,3)&amp;"', 'pieces_unit' : '"&amp;AI520&amp;"', 'pieces_quantity' : '"&amp;ROUND(AG520,3)&amp;"', 'cooking_notes' : '"&amp;AJ520&amp;"'}).status_code; print('%s :: %s :: %s :: %s :: %s' %(a,"&amp;G520&amp;",'"&amp;X520&amp;"','"&amp;Y520&amp;"','"&amp;U520&amp;"'))"</f>
        <v>a = Client().post('/recipes/sambar-gp/detail/', {'recipe' : '70', 'ingredient' : '8', 'name' : 'potatoes', 'mass_unit' : '2', 'mass_quantity' : '1.071', 'volume_unit' : '1', 'volume_quantity' : '0', 'pieces_unit' : '3', 'pieces_quantity' : '0', 'cooking_notes' : ''}).status_code; print('%s :: %s :: %s :: %s :: %s' %(a,520,'potatoes','alu','SAMBAR GP'))</v>
      </c>
    </row>
    <row r="521" customFormat="false" ht="13.8" hidden="false" customHeight="false" outlineLevel="0" collapsed="false">
      <c r="G521" s="80" t="n">
        <v>521</v>
      </c>
      <c r="H521" s="61"/>
      <c r="I521" s="61" t="s">
        <v>319</v>
      </c>
      <c r="J521" s="83" t="s">
        <v>587</v>
      </c>
      <c r="K521" s="61" t="n">
        <v>2.14285714285714</v>
      </c>
      <c r="L521" s="61" t="s">
        <v>7</v>
      </c>
      <c r="R521" s="82" t="str">
        <f aca="false">VLOOKUP(J521,ingredient!$N$4:$O$553,2,0)</f>
        <v>bhindi</v>
      </c>
      <c r="U521" s="81" t="str">
        <f aca="false">I521</f>
        <v>SAMBAR GP</v>
      </c>
      <c r="V521" s="81" t="n">
        <f aca="false">VLOOKUP(U521,recipe_ingred_list!$A$2:$B$300,2,0)</f>
        <v>70</v>
      </c>
      <c r="W521" s="81" t="str">
        <f aca="false">"/recipes/"&amp;VLOOKUP(U521,recipe_ingred_list!$A$2:$C$300,3,0)&amp;"/detail/"</f>
        <v>/recipes/sambar-gp/detail/</v>
      </c>
      <c r="X521" s="81" t="str">
        <f aca="false">J521</f>
        <v>Bhindi</v>
      </c>
      <c r="Y521" s="81" t="str">
        <f aca="false">R521</f>
        <v>bhindi</v>
      </c>
      <c r="Z521" s="94" t="n">
        <f aca="false">VLOOKUP(Y521,recipe_ingred_list!$D$2:$E$500,2,0)</f>
        <v>29</v>
      </c>
      <c r="AA521" s="61" t="n">
        <f aca="false">K521</f>
        <v>2.14285714285714</v>
      </c>
      <c r="AB521" s="61" t="str">
        <f aca="false">L521</f>
        <v>kg</v>
      </c>
      <c r="AC521" s="61" t="n">
        <f aca="false">VLOOKUP(AB521,recipe_ingred_list!$K$2:$M$7,3,0)</f>
        <v>2</v>
      </c>
      <c r="AD521" s="61" t="n">
        <f aca="false">M521</f>
        <v>0</v>
      </c>
      <c r="AE521" s="61" t="n">
        <f aca="false">N521</f>
        <v>0</v>
      </c>
      <c r="AF521" s="61" t="n">
        <f aca="false">VLOOKUP(AE521,recipe_ingred_list!$K$16:$M$25,3,0)</f>
        <v>1</v>
      </c>
      <c r="AG521" s="61" t="n">
        <f aca="false">O521</f>
        <v>0</v>
      </c>
      <c r="AH521" s="61" t="n">
        <f aca="false">P521</f>
        <v>0</v>
      </c>
      <c r="AI521" s="61" t="n">
        <f aca="false">VLOOKUP(AH521,recipe_ingred_list!$K$29:$M$34,3,0)</f>
        <v>3</v>
      </c>
      <c r="AJ521" s="61" t="str">
        <f aca="false">IF(Q521="","",Q521)</f>
        <v/>
      </c>
      <c r="AK521" s="61" t="n">
        <f aca="false">AK520+1</f>
        <v>521</v>
      </c>
      <c r="AL521" s="61" t="str">
        <f aca="false">Y521</f>
        <v>bhindi</v>
      </c>
      <c r="AM521" s="81" t="str">
        <f aca="false">"a = Client().post('"&amp;W521&amp;"', {'recipe' : '"&amp;V521&amp;"', 'ingredient' : '"&amp;Z521&amp;"', 'name' : '"&amp;X521&amp;"', 'mass_unit' : '"&amp;AC521&amp;"', 'mass_quantity' : '"&amp;ROUND(AA521,3)&amp;"', 'volume_unit' : '"&amp;AF521&amp;"', 'volume_quantity' : '"&amp;ROUND(AD521,3)&amp;"', 'pieces_unit' : '"&amp;AI521&amp;"', 'pieces_quantity' : '"&amp;ROUND(AG521,3)&amp;"', 'cooking_notes' : '"&amp;AJ521&amp;"'}).status_code; print('%s :: %s :: %s :: %s :: %s' %(a,"&amp;G521&amp;",'"&amp;X521&amp;"','"&amp;Y521&amp;"','"&amp;U521&amp;"'))"</f>
        <v>a = Client().post('/recipes/sambar-gp/detail/', {'recipe' : '70', 'ingredient' : '29', 'name' : 'Bhindi', 'mass_unit' : '2', 'mass_quantity' : '2.143', 'volume_unit' : '1', 'volume_quantity' : '0', 'pieces_unit' : '3', 'pieces_quantity' : '0', 'cooking_notes' : ''}).status_code; print('%s :: %s :: %s :: %s :: %s' %(a,521,'Bhindi','bhindi','SAMBAR GP'))</v>
      </c>
    </row>
    <row r="522" customFormat="false" ht="13.8" hidden="false" customHeight="false" outlineLevel="0" collapsed="false">
      <c r="G522" s="80" t="n">
        <v>522</v>
      </c>
      <c r="H522" s="61"/>
      <c r="I522" s="61" t="s">
        <v>319</v>
      </c>
      <c r="J522" s="83" t="s">
        <v>609</v>
      </c>
      <c r="M522" s="61" t="n">
        <v>1.07142857142857</v>
      </c>
      <c r="N522" s="61" t="s">
        <v>20</v>
      </c>
      <c r="R522" s="82" t="str">
        <f aca="false">VLOOKUP(J522,ingredient!$N$4:$O$553,2,0)</f>
        <v>mtr rasam masala</v>
      </c>
      <c r="U522" s="81" t="str">
        <f aca="false">I522</f>
        <v>SAMBAR GP</v>
      </c>
      <c r="V522" s="81" t="n">
        <f aca="false">VLOOKUP(U522,recipe_ingred_list!$A$2:$B$300,2,0)</f>
        <v>70</v>
      </c>
      <c r="W522" s="81" t="str">
        <f aca="false">"/recipes/"&amp;VLOOKUP(U522,recipe_ingred_list!$A$2:$C$300,3,0)&amp;"/detail/"</f>
        <v>/recipes/sambar-gp/detail/</v>
      </c>
      <c r="X522" s="81" t="str">
        <f aca="false">J522</f>
        <v>MTR Rasam powder</v>
      </c>
      <c r="Y522" s="81" t="str">
        <f aca="false">R522</f>
        <v>mtr rasam masala</v>
      </c>
      <c r="Z522" s="94" t="n">
        <f aca="false">VLOOKUP(Y522,recipe_ingred_list!$D$2:$E$500,2,0)</f>
        <v>148</v>
      </c>
      <c r="AA522" s="61" t="n">
        <f aca="false">K522</f>
        <v>0</v>
      </c>
      <c r="AB522" s="61" t="n">
        <f aca="false">L522</f>
        <v>0</v>
      </c>
      <c r="AC522" s="61" t="n">
        <f aca="false">VLOOKUP(AB522,recipe_ingred_list!$K$2:$M$7,3,0)</f>
        <v>2</v>
      </c>
      <c r="AD522" s="61" t="n">
        <f aca="false">M522</f>
        <v>1.07142857142857</v>
      </c>
      <c r="AE522" s="61" t="str">
        <f aca="false">N522</f>
        <v>cup</v>
      </c>
      <c r="AF522" s="61" t="n">
        <f aca="false">VLOOKUP(AE522,recipe_ingred_list!$K$16:$M$25,3,0)</f>
        <v>5</v>
      </c>
      <c r="AG522" s="61" t="n">
        <f aca="false">O522</f>
        <v>0</v>
      </c>
      <c r="AH522" s="61" t="n">
        <f aca="false">P522</f>
        <v>0</v>
      </c>
      <c r="AI522" s="61" t="n">
        <f aca="false">VLOOKUP(AH522,recipe_ingred_list!$K$29:$M$34,3,0)</f>
        <v>3</v>
      </c>
      <c r="AJ522" s="61" t="str">
        <f aca="false">IF(Q522="","",Q522)</f>
        <v/>
      </c>
      <c r="AK522" s="61" t="n">
        <f aca="false">AK521+1</f>
        <v>522</v>
      </c>
      <c r="AL522" s="61" t="str">
        <f aca="false">Y522</f>
        <v>mtr rasam masala</v>
      </c>
      <c r="AM522" s="81" t="str">
        <f aca="false">"a = Client().post('"&amp;W522&amp;"', {'recipe' : '"&amp;V522&amp;"', 'ingredient' : '"&amp;Z522&amp;"', 'name' : '"&amp;X522&amp;"', 'mass_unit' : '"&amp;AC522&amp;"', 'mass_quantity' : '"&amp;ROUND(AA522,3)&amp;"', 'volume_unit' : '"&amp;AF522&amp;"', 'volume_quantity' : '"&amp;ROUND(AD522,3)&amp;"', 'pieces_unit' : '"&amp;AI522&amp;"', 'pieces_quantity' : '"&amp;ROUND(AG522,3)&amp;"', 'cooking_notes' : '"&amp;AJ522&amp;"'}).status_code; print('%s :: %s :: %s :: %s :: %s' %(a,"&amp;G522&amp;",'"&amp;X522&amp;"','"&amp;Y522&amp;"','"&amp;U522&amp;"'))"</f>
        <v>a = Client().post('/recipes/sambar-gp/detail/', {'recipe' : '70', 'ingredient' : '148', 'name' : 'MTR Rasam powder', 'mass_unit' : '2', 'mass_quantity' : '0', 'volume_unit' : '5', 'volume_quantity' : '1.071', 'pieces_unit' : '3', 'pieces_quantity' : '0', 'cooking_notes' : ''}).status_code; print('%s :: %s :: %s :: %s :: %s' %(a,522,'MTR Rasam powder','mtr rasam masala','SAMBAR GP'))</v>
      </c>
    </row>
    <row r="523" customFormat="false" ht="13.8" hidden="false" customHeight="false" outlineLevel="0" collapsed="false">
      <c r="G523" s="80" t="n">
        <v>523</v>
      </c>
      <c r="H523" s="61"/>
      <c r="I523" s="61" t="s">
        <v>319</v>
      </c>
      <c r="J523" s="83" t="s">
        <v>679</v>
      </c>
      <c r="M523" s="61" t="n">
        <v>1.07142857142857</v>
      </c>
      <c r="N523" s="61" t="s">
        <v>20</v>
      </c>
      <c r="R523" s="82" t="str">
        <f aca="false">VLOOKUP(J523,ingredient!$N$4:$O$553,2,0)</f>
        <v>annapoorna sambar masala</v>
      </c>
      <c r="U523" s="81" t="str">
        <f aca="false">I523</f>
        <v>SAMBAR GP</v>
      </c>
      <c r="V523" s="81" t="n">
        <f aca="false">VLOOKUP(U523,recipe_ingred_list!$A$2:$B$300,2,0)</f>
        <v>70</v>
      </c>
      <c r="W523" s="81" t="str">
        <f aca="false">"/recipes/"&amp;VLOOKUP(U523,recipe_ingred_list!$A$2:$C$300,3,0)&amp;"/detail/"</f>
        <v>/recipes/sambar-gp/detail/</v>
      </c>
      <c r="X523" s="81" t="str">
        <f aca="false">J523</f>
        <v>Annapoorna Sambar pwd</v>
      </c>
      <c r="Y523" s="81" t="str">
        <f aca="false">R523</f>
        <v>annapoorna sambar masala</v>
      </c>
      <c r="Z523" s="94" t="n">
        <f aca="false">VLOOKUP(Y523,recipe_ingred_list!$D$2:$E$500,2,0)</f>
        <v>14</v>
      </c>
      <c r="AA523" s="61" t="n">
        <f aca="false">K523</f>
        <v>0</v>
      </c>
      <c r="AB523" s="61" t="n">
        <f aca="false">L523</f>
        <v>0</v>
      </c>
      <c r="AC523" s="61" t="n">
        <f aca="false">VLOOKUP(AB523,recipe_ingred_list!$K$2:$M$7,3,0)</f>
        <v>2</v>
      </c>
      <c r="AD523" s="61" t="n">
        <f aca="false">M523</f>
        <v>1.07142857142857</v>
      </c>
      <c r="AE523" s="61" t="str">
        <f aca="false">N523</f>
        <v>cup</v>
      </c>
      <c r="AF523" s="61" t="n">
        <f aca="false">VLOOKUP(AE523,recipe_ingred_list!$K$16:$M$25,3,0)</f>
        <v>5</v>
      </c>
      <c r="AG523" s="61" t="n">
        <f aca="false">O523</f>
        <v>0</v>
      </c>
      <c r="AH523" s="61" t="n">
        <f aca="false">P523</f>
        <v>0</v>
      </c>
      <c r="AI523" s="61" t="n">
        <f aca="false">VLOOKUP(AH523,recipe_ingred_list!$K$29:$M$34,3,0)</f>
        <v>3</v>
      </c>
      <c r="AJ523" s="61" t="str">
        <f aca="false">IF(Q523="","",Q523)</f>
        <v/>
      </c>
      <c r="AK523" s="61" t="n">
        <f aca="false">AK522+1</f>
        <v>523</v>
      </c>
      <c r="AL523" s="61" t="str">
        <f aca="false">Y523</f>
        <v>annapoorna sambar masala</v>
      </c>
      <c r="AM523" s="81" t="str">
        <f aca="false">"a = Client().post('"&amp;W523&amp;"', {'recipe' : '"&amp;V523&amp;"', 'ingredient' : '"&amp;Z523&amp;"', 'name' : '"&amp;X523&amp;"', 'mass_unit' : '"&amp;AC523&amp;"', 'mass_quantity' : '"&amp;ROUND(AA523,3)&amp;"', 'volume_unit' : '"&amp;AF523&amp;"', 'volume_quantity' : '"&amp;ROUND(AD523,3)&amp;"', 'pieces_unit' : '"&amp;AI523&amp;"', 'pieces_quantity' : '"&amp;ROUND(AG523,3)&amp;"', 'cooking_notes' : '"&amp;AJ523&amp;"'}).status_code; print('%s :: %s :: %s :: %s :: %s' %(a,"&amp;G523&amp;",'"&amp;X523&amp;"','"&amp;Y523&amp;"','"&amp;U523&amp;"'))"</f>
        <v>a = Client().post('/recipes/sambar-gp/detail/', {'recipe' : '70', 'ingredient' : '14', 'name' : 'Annapoorna Sambar pwd', 'mass_unit' : '2', 'mass_quantity' : '0', 'volume_unit' : '5', 'volume_quantity' : '1.071', 'pieces_unit' : '3', 'pieces_quantity' : '0', 'cooking_notes' : ''}).status_code; print('%s :: %s :: %s :: %s :: %s' %(a,523,'Annapoorna Sambar pwd','annapoorna sambar masala','SAMBAR GP'))</v>
      </c>
    </row>
    <row r="524" customFormat="false" ht="13.8" hidden="false" customHeight="false" outlineLevel="0" collapsed="false">
      <c r="G524" s="80" t="n">
        <v>524</v>
      </c>
      <c r="H524" s="61"/>
      <c r="I524" s="61" t="s">
        <v>319</v>
      </c>
      <c r="J524" s="83" t="s">
        <v>680</v>
      </c>
      <c r="M524" s="61" t="n">
        <v>0.714285714285714</v>
      </c>
      <c r="N524" s="61" t="s">
        <v>13</v>
      </c>
      <c r="R524" s="82" t="str">
        <f aca="false">VLOOKUP(J524,ingredient!$N$4:$O$553,2,0)</f>
        <v>shakti sambar powder</v>
      </c>
      <c r="U524" s="81" t="str">
        <f aca="false">I524</f>
        <v>SAMBAR GP</v>
      </c>
      <c r="V524" s="81" t="n">
        <f aca="false">VLOOKUP(U524,recipe_ingred_list!$A$2:$B$300,2,0)</f>
        <v>70</v>
      </c>
      <c r="W524" s="81" t="str">
        <f aca="false">"/recipes/"&amp;VLOOKUP(U524,recipe_ingred_list!$A$2:$C$300,3,0)&amp;"/detail/"</f>
        <v>/recipes/sambar-gp/detail/</v>
      </c>
      <c r="X524" s="81" t="str">
        <f aca="false">J524</f>
        <v>Shakti Sambar pwd</v>
      </c>
      <c r="Y524" s="81" t="str">
        <f aca="false">R524</f>
        <v>shakti sambar powder</v>
      </c>
      <c r="Z524" s="94" t="n">
        <f aca="false">VLOOKUP(Y524,recipe_ingred_list!$D$2:$E$500,2,0)</f>
        <v>182</v>
      </c>
      <c r="AA524" s="61" t="n">
        <f aca="false">K524</f>
        <v>0</v>
      </c>
      <c r="AB524" s="61" t="n">
        <f aca="false">L524</f>
        <v>0</v>
      </c>
      <c r="AC524" s="61" t="n">
        <f aca="false">VLOOKUP(AB524,recipe_ingred_list!$K$2:$M$7,3,0)</f>
        <v>2</v>
      </c>
      <c r="AD524" s="61" t="n">
        <f aca="false">M524</f>
        <v>0.714285714285714</v>
      </c>
      <c r="AE524" s="61" t="str">
        <f aca="false">N524</f>
        <v>ltr</v>
      </c>
      <c r="AF524" s="61" t="n">
        <f aca="false">VLOOKUP(AE524,recipe_ingred_list!$K$16:$M$25,3,0)</f>
        <v>1</v>
      </c>
      <c r="AG524" s="61" t="n">
        <f aca="false">O524</f>
        <v>0</v>
      </c>
      <c r="AH524" s="61" t="n">
        <f aca="false">P524</f>
        <v>0</v>
      </c>
      <c r="AI524" s="61" t="n">
        <f aca="false">VLOOKUP(AH524,recipe_ingred_list!$K$29:$M$34,3,0)</f>
        <v>3</v>
      </c>
      <c r="AJ524" s="61" t="str">
        <f aca="false">IF(Q524="","",Q524)</f>
        <v/>
      </c>
      <c r="AK524" s="61" t="n">
        <f aca="false">AK523+1</f>
        <v>524</v>
      </c>
      <c r="AL524" s="61" t="str">
        <f aca="false">Y524</f>
        <v>shakti sambar powder</v>
      </c>
      <c r="AM524" s="81" t="str">
        <f aca="false">"a = Client().post('"&amp;W524&amp;"', {'recipe' : '"&amp;V524&amp;"', 'ingredient' : '"&amp;Z524&amp;"', 'name' : '"&amp;X524&amp;"', 'mass_unit' : '"&amp;AC524&amp;"', 'mass_quantity' : '"&amp;ROUND(AA524,3)&amp;"', 'volume_unit' : '"&amp;AF524&amp;"', 'volume_quantity' : '"&amp;ROUND(AD524,3)&amp;"', 'pieces_unit' : '"&amp;AI524&amp;"', 'pieces_quantity' : '"&amp;ROUND(AG524,3)&amp;"', 'cooking_notes' : '"&amp;AJ524&amp;"'}).status_code; print('%s :: %s :: %s :: %s :: %s' %(a,"&amp;G524&amp;",'"&amp;X524&amp;"','"&amp;Y524&amp;"','"&amp;U524&amp;"'))"</f>
        <v>a = Client().post('/recipes/sambar-gp/detail/', {'recipe' : '70', 'ingredient' : '182', 'name' : 'Shakti Sambar pwd', 'mass_unit' : '2', 'mass_quantity' : '0', 'volume_unit' : '1', 'volume_quantity' : '0.714', 'pieces_unit' : '3', 'pieces_quantity' : '0', 'cooking_notes' : ''}).status_code; print('%s :: %s :: %s :: %s :: %s' %(a,524,'Shakti Sambar pwd','shakti sambar powder','SAMBAR GP'))</v>
      </c>
    </row>
    <row r="525" customFormat="false" ht="13.8" hidden="false" customHeight="false" outlineLevel="0" collapsed="false">
      <c r="G525" s="80" t="n">
        <v>525</v>
      </c>
      <c r="H525" s="61"/>
      <c r="I525" s="61" t="s">
        <v>319</v>
      </c>
      <c r="J525" s="83" t="s">
        <v>681</v>
      </c>
      <c r="O525" s="61" t="n">
        <v>14.2857142857143</v>
      </c>
      <c r="P525" s="61" t="s">
        <v>107</v>
      </c>
      <c r="R525" s="82" t="str">
        <f aca="false">VLOOKUP(J525,ingredient!$N$4:$O$553,2,0)</f>
        <v>coconut</v>
      </c>
      <c r="U525" s="81" t="str">
        <f aca="false">I525</f>
        <v>SAMBAR GP</v>
      </c>
      <c r="V525" s="81" t="n">
        <f aca="false">VLOOKUP(U525,recipe_ingred_list!$A$2:$B$300,2,0)</f>
        <v>70</v>
      </c>
      <c r="W525" s="81" t="str">
        <f aca="false">"/recipes/"&amp;VLOOKUP(U525,recipe_ingred_list!$A$2:$C$300,3,0)&amp;"/detail/"</f>
        <v>/recipes/sambar-gp/detail/</v>
      </c>
      <c r="X525" s="81" t="str">
        <f aca="false">J525</f>
        <v>Coconut</v>
      </c>
      <c r="Y525" s="81" t="str">
        <f aca="false">R525</f>
        <v>coconut</v>
      </c>
      <c r="Z525" s="94" t="n">
        <f aca="false">VLOOKUP(Y525,recipe_ingred_list!$D$2:$E$500,2,0)</f>
        <v>54</v>
      </c>
      <c r="AA525" s="61" t="n">
        <f aca="false">K525</f>
        <v>0</v>
      </c>
      <c r="AB525" s="61" t="n">
        <f aca="false">L525</f>
        <v>0</v>
      </c>
      <c r="AC525" s="61" t="n">
        <f aca="false">VLOOKUP(AB525,recipe_ingred_list!$K$2:$M$7,3,0)</f>
        <v>2</v>
      </c>
      <c r="AD525" s="61" t="n">
        <f aca="false">M525</f>
        <v>0</v>
      </c>
      <c r="AE525" s="61" t="n">
        <f aca="false">N525</f>
        <v>0</v>
      </c>
      <c r="AF525" s="61" t="n">
        <f aca="false">VLOOKUP(AE525,recipe_ingred_list!$K$16:$M$25,3,0)</f>
        <v>1</v>
      </c>
      <c r="AG525" s="61" t="n">
        <f aca="false">O525</f>
        <v>14.2857142857143</v>
      </c>
      <c r="AH525" s="61" t="str">
        <f aca="false">P525</f>
        <v>pcs</v>
      </c>
      <c r="AI525" s="61" t="n">
        <f aca="false">VLOOKUP(AH525,recipe_ingred_list!$K$29:$M$34,3,0)</f>
        <v>3</v>
      </c>
      <c r="AJ525" s="61" t="str">
        <f aca="false">IF(Q525="","",Q525)</f>
        <v/>
      </c>
      <c r="AK525" s="61" t="n">
        <f aca="false">AK524+1</f>
        <v>525</v>
      </c>
      <c r="AL525" s="61" t="str">
        <f aca="false">Y525</f>
        <v>coconut</v>
      </c>
      <c r="AM525" s="81" t="str">
        <f aca="false">"a = Client().post('"&amp;W525&amp;"', {'recipe' : '"&amp;V525&amp;"', 'ingredient' : '"&amp;Z525&amp;"', 'name' : '"&amp;X525&amp;"', 'mass_unit' : '"&amp;AC525&amp;"', 'mass_quantity' : '"&amp;ROUND(AA525,3)&amp;"', 'volume_unit' : '"&amp;AF525&amp;"', 'volume_quantity' : '"&amp;ROUND(AD525,3)&amp;"', 'pieces_unit' : '"&amp;AI525&amp;"', 'pieces_quantity' : '"&amp;ROUND(AG525,3)&amp;"', 'cooking_notes' : '"&amp;AJ525&amp;"'}).status_code; print('%s :: %s :: %s :: %s :: %s' %(a,"&amp;G525&amp;",'"&amp;X525&amp;"','"&amp;Y525&amp;"','"&amp;U525&amp;"'))"</f>
        <v>a = Client().post('/recipes/sambar-gp/detail/', {'recipe' : '70', 'ingredient' : '54', 'name' : 'Coconut', 'mass_unit' : '2', 'mass_quantity' : '0', 'volume_unit' : '1', 'volume_quantity' : '0', 'pieces_unit' : '3', 'pieces_quantity' : '14.286', 'cooking_notes' : ''}).status_code; print('%s :: %s :: %s :: %s :: %s' %(a,525,'Coconut','coconut','SAMBAR GP'))</v>
      </c>
    </row>
    <row r="526" customFormat="false" ht="13.8" hidden="false" customHeight="false" outlineLevel="0" collapsed="false">
      <c r="G526" s="80" t="n">
        <v>526</v>
      </c>
      <c r="H526" s="61"/>
      <c r="I526" s="61" t="s">
        <v>319</v>
      </c>
      <c r="J526" s="83" t="s">
        <v>682</v>
      </c>
      <c r="K526" s="61" t="n">
        <v>428.571428571429</v>
      </c>
      <c r="L526" s="61" t="s">
        <v>109</v>
      </c>
      <c r="R526" s="82" t="str">
        <f aca="false">VLOOKUP(J526,ingredient!$N$4:$O$553,2,0)</f>
        <v>gud</v>
      </c>
      <c r="U526" s="81" t="str">
        <f aca="false">I526</f>
        <v>SAMBAR GP</v>
      </c>
      <c r="V526" s="81" t="n">
        <f aca="false">VLOOKUP(U526,recipe_ingred_list!$A$2:$B$300,2,0)</f>
        <v>70</v>
      </c>
      <c r="W526" s="81" t="str">
        <f aca="false">"/recipes/"&amp;VLOOKUP(U526,recipe_ingred_list!$A$2:$C$300,3,0)&amp;"/detail/"</f>
        <v>/recipes/sambar-gp/detail/</v>
      </c>
      <c r="X526" s="81" t="str">
        <f aca="false">J526</f>
        <v>Jaggery </v>
      </c>
      <c r="Y526" s="81" t="str">
        <f aca="false">R526</f>
        <v>gud</v>
      </c>
      <c r="Z526" s="94" t="n">
        <f aca="false">VLOOKUP(Y526,recipe_ingred_list!$D$2:$E$500,2,0)</f>
        <v>90</v>
      </c>
      <c r="AA526" s="61" t="n">
        <f aca="false">K526</f>
        <v>428.571428571429</v>
      </c>
      <c r="AB526" s="61" t="str">
        <f aca="false">L526</f>
        <v>gm</v>
      </c>
      <c r="AC526" s="61" t="n">
        <f aca="false">VLOOKUP(AB526,recipe_ingred_list!$K$2:$M$7,3,0)</f>
        <v>7</v>
      </c>
      <c r="AD526" s="61" t="n">
        <f aca="false">M526</f>
        <v>0</v>
      </c>
      <c r="AE526" s="61" t="n">
        <f aca="false">N526</f>
        <v>0</v>
      </c>
      <c r="AF526" s="61" t="n">
        <f aca="false">VLOOKUP(AE526,recipe_ingred_list!$K$16:$M$25,3,0)</f>
        <v>1</v>
      </c>
      <c r="AG526" s="61" t="n">
        <f aca="false">O526</f>
        <v>0</v>
      </c>
      <c r="AH526" s="61" t="n">
        <f aca="false">P526</f>
        <v>0</v>
      </c>
      <c r="AI526" s="61" t="n">
        <f aca="false">VLOOKUP(AH526,recipe_ingred_list!$K$29:$M$34,3,0)</f>
        <v>3</v>
      </c>
      <c r="AJ526" s="61" t="str">
        <f aca="false">IF(Q526="","",Q526)</f>
        <v/>
      </c>
      <c r="AK526" s="61" t="n">
        <f aca="false">AK525+1</f>
        <v>526</v>
      </c>
      <c r="AL526" s="61" t="str">
        <f aca="false">Y526</f>
        <v>gud</v>
      </c>
      <c r="AM526" s="81" t="str">
        <f aca="false">"a = Client().post('"&amp;W526&amp;"', {'recipe' : '"&amp;V526&amp;"', 'ingredient' : '"&amp;Z526&amp;"', 'name' : '"&amp;X526&amp;"', 'mass_unit' : '"&amp;AC526&amp;"', 'mass_quantity' : '"&amp;ROUND(AA526,3)&amp;"', 'volume_unit' : '"&amp;AF526&amp;"', 'volume_quantity' : '"&amp;ROUND(AD526,3)&amp;"', 'pieces_unit' : '"&amp;AI526&amp;"', 'pieces_quantity' : '"&amp;ROUND(AG526,3)&amp;"', 'cooking_notes' : '"&amp;AJ526&amp;"'}).status_code; print('%s :: %s :: %s :: %s :: %s' %(a,"&amp;G526&amp;",'"&amp;X526&amp;"','"&amp;Y526&amp;"','"&amp;U526&amp;"'))"</f>
        <v>a = Client().post('/recipes/sambar-gp/detail/', {'recipe' : '70', 'ingredient' : '90', 'name' : 'Jaggery ', 'mass_unit' : '7', 'mass_quantity' : '428.571', 'volume_unit' : '1', 'volume_quantity' : '0', 'pieces_unit' : '3', 'pieces_quantity' : '0', 'cooking_notes' : ''}).status_code; print('%s :: %s :: %s :: %s :: %s' %(a,526,'Jaggery ','gud','SAMBAR GP'))</v>
      </c>
    </row>
    <row r="527" customFormat="false" ht="13.8" hidden="false" customHeight="false" outlineLevel="0" collapsed="false">
      <c r="G527" s="80" t="n">
        <v>527</v>
      </c>
      <c r="H527" s="61"/>
      <c r="I527" s="61" t="s">
        <v>319</v>
      </c>
      <c r="J527" s="83" t="s">
        <v>255</v>
      </c>
      <c r="R527" s="82" t="str">
        <f aca="false">VLOOKUP(J527,ingredient!$N$4:$O$553,2,0)</f>
        <v>chaunce</v>
      </c>
      <c r="U527" s="81" t="str">
        <f aca="false">I527</f>
        <v>SAMBAR GP</v>
      </c>
      <c r="V527" s="81" t="n">
        <f aca="false">VLOOKUP(U527,recipe_ingred_list!$A$2:$B$300,2,0)</f>
        <v>70</v>
      </c>
      <c r="W527" s="81" t="str">
        <f aca="false">"/recipes/"&amp;VLOOKUP(U527,recipe_ingred_list!$A$2:$C$300,3,0)&amp;"/detail/"</f>
        <v>/recipes/sambar-gp/detail/</v>
      </c>
      <c r="X527" s="81" t="str">
        <f aca="false">J527</f>
        <v>chaunce</v>
      </c>
      <c r="Y527" s="81" t="str">
        <f aca="false">R527</f>
        <v>chaunce</v>
      </c>
      <c r="Z527" s="94" t="n">
        <f aca="false">VLOOKUP(Y527,recipe_ingred_list!$D$2:$E$500,2,0)</f>
        <v>48</v>
      </c>
      <c r="AA527" s="61" t="n">
        <f aca="false">K527</f>
        <v>0</v>
      </c>
      <c r="AB527" s="61" t="n">
        <f aca="false">L527</f>
        <v>0</v>
      </c>
      <c r="AC527" s="61" t="n">
        <f aca="false">VLOOKUP(AB527,recipe_ingred_list!$K$2:$M$7,3,0)</f>
        <v>2</v>
      </c>
      <c r="AD527" s="61" t="n">
        <f aca="false">M527</f>
        <v>0</v>
      </c>
      <c r="AE527" s="61" t="n">
        <f aca="false">N527</f>
        <v>0</v>
      </c>
      <c r="AF527" s="61" t="n">
        <f aca="false">VLOOKUP(AE527,recipe_ingred_list!$K$16:$M$25,3,0)</f>
        <v>1</v>
      </c>
      <c r="AG527" s="61" t="n">
        <f aca="false">O527</f>
        <v>0</v>
      </c>
      <c r="AH527" s="61" t="n">
        <f aca="false">P527</f>
        <v>0</v>
      </c>
      <c r="AI527" s="61" t="n">
        <f aca="false">VLOOKUP(AH527,recipe_ingred_list!$K$29:$M$34,3,0)</f>
        <v>3</v>
      </c>
      <c r="AJ527" s="61" t="str">
        <f aca="false">IF(Q527="","",Q527)</f>
        <v/>
      </c>
      <c r="AK527" s="61" t="n">
        <f aca="false">AK526+1</f>
        <v>527</v>
      </c>
      <c r="AL527" s="61" t="str">
        <f aca="false">Y527</f>
        <v>chaunce</v>
      </c>
      <c r="AM527" s="81" t="str">
        <f aca="false">"a = Client().post('"&amp;W527&amp;"', {'recipe' : '"&amp;V527&amp;"', 'ingredient' : '"&amp;Z527&amp;"', 'name' : '"&amp;X527&amp;"', 'mass_unit' : '"&amp;AC527&amp;"', 'mass_quantity' : '"&amp;ROUND(AA527,3)&amp;"', 'volume_unit' : '"&amp;AF527&amp;"', 'volume_quantity' : '"&amp;ROUND(AD527,3)&amp;"', 'pieces_unit' : '"&amp;AI527&amp;"', 'pieces_quantity' : '"&amp;ROUND(AG527,3)&amp;"', 'cooking_notes' : '"&amp;AJ527&amp;"'}).status_code; print('%s :: %s :: %s :: %s :: %s' %(a,"&amp;G527&amp;",'"&amp;X527&amp;"','"&amp;Y527&amp;"','"&amp;U527&amp;"'))"</f>
        <v>a = Client().post('/recipes/sambar-gp/detail/', {'recipe' : '70', 'ingredient' : '48', 'name' : 'chaunce', 'mass_unit' : '2', 'mass_quantity' : '0', 'volume_unit' : '1', 'volume_quantity' : '0', 'pieces_unit' : '3', 'pieces_quantity' : '0', 'cooking_notes' : ''}).status_code; print('%s :: %s :: %s :: %s :: %s' %(a,527,'chaunce','chaunce','SAMBAR GP'))</v>
      </c>
    </row>
    <row r="528" customFormat="false" ht="13.8" hidden="false" customHeight="false" outlineLevel="0" collapsed="false">
      <c r="G528" s="80" t="n">
        <v>528</v>
      </c>
      <c r="H528" s="61"/>
      <c r="I528" s="61" t="s">
        <v>319</v>
      </c>
      <c r="J528" s="83" t="s">
        <v>645</v>
      </c>
      <c r="M528" s="61" t="n">
        <v>1.07142857142857</v>
      </c>
      <c r="N528" s="61" t="s">
        <v>13</v>
      </c>
      <c r="R528" s="82" t="str">
        <f aca="false">VLOOKUP(J528,ingredient!$N$4:$O$553,2,0)</f>
        <v>ghee</v>
      </c>
      <c r="U528" s="81" t="str">
        <f aca="false">I528</f>
        <v>SAMBAR GP</v>
      </c>
      <c r="V528" s="81" t="n">
        <f aca="false">VLOOKUP(U528,recipe_ingred_list!$A$2:$B$300,2,0)</f>
        <v>70</v>
      </c>
      <c r="W528" s="81" t="str">
        <f aca="false">"/recipes/"&amp;VLOOKUP(U528,recipe_ingred_list!$A$2:$C$300,3,0)&amp;"/detail/"</f>
        <v>/recipes/sambar-gp/detail/</v>
      </c>
      <c r="X528" s="81" t="str">
        <f aca="false">J528</f>
        <v>Ghee </v>
      </c>
      <c r="Y528" s="81" t="str">
        <f aca="false">R528</f>
        <v>ghee</v>
      </c>
      <c r="Z528" s="94" t="n">
        <f aca="false">VLOOKUP(Y528,recipe_ingred_list!$D$2:$E$500,2,0)</f>
        <v>81</v>
      </c>
      <c r="AA528" s="61" t="n">
        <f aca="false">K528</f>
        <v>0</v>
      </c>
      <c r="AB528" s="61" t="n">
        <f aca="false">L528</f>
        <v>0</v>
      </c>
      <c r="AC528" s="61" t="n">
        <f aca="false">VLOOKUP(AB528,recipe_ingred_list!$K$2:$M$7,3,0)</f>
        <v>2</v>
      </c>
      <c r="AD528" s="61" t="n">
        <f aca="false">M528</f>
        <v>1.07142857142857</v>
      </c>
      <c r="AE528" s="61" t="str">
        <f aca="false">N528</f>
        <v>ltr</v>
      </c>
      <c r="AF528" s="61" t="n">
        <f aca="false">VLOOKUP(AE528,recipe_ingred_list!$K$16:$M$25,3,0)</f>
        <v>1</v>
      </c>
      <c r="AG528" s="61" t="n">
        <f aca="false">O528</f>
        <v>0</v>
      </c>
      <c r="AH528" s="61" t="n">
        <f aca="false">P528</f>
        <v>0</v>
      </c>
      <c r="AI528" s="61" t="n">
        <f aca="false">VLOOKUP(AH528,recipe_ingred_list!$K$29:$M$34,3,0)</f>
        <v>3</v>
      </c>
      <c r="AJ528" s="61" t="str">
        <f aca="false">IF(Q528="","",Q528)</f>
        <v/>
      </c>
      <c r="AK528" s="61" t="n">
        <f aca="false">AK527+1</f>
        <v>528</v>
      </c>
      <c r="AL528" s="61" t="str">
        <f aca="false">Y528</f>
        <v>ghee</v>
      </c>
      <c r="AM528" s="81" t="str">
        <f aca="false">"a = Client().post('"&amp;W528&amp;"', {'recipe' : '"&amp;V528&amp;"', 'ingredient' : '"&amp;Z528&amp;"', 'name' : '"&amp;X528&amp;"', 'mass_unit' : '"&amp;AC528&amp;"', 'mass_quantity' : '"&amp;ROUND(AA528,3)&amp;"', 'volume_unit' : '"&amp;AF528&amp;"', 'volume_quantity' : '"&amp;ROUND(AD528,3)&amp;"', 'pieces_unit' : '"&amp;AI528&amp;"', 'pieces_quantity' : '"&amp;ROUND(AG528,3)&amp;"', 'cooking_notes' : '"&amp;AJ528&amp;"'}).status_code; print('%s :: %s :: %s :: %s :: %s' %(a,"&amp;G528&amp;",'"&amp;X528&amp;"','"&amp;Y528&amp;"','"&amp;U528&amp;"'))"</f>
        <v>a = Client().post('/recipes/sambar-gp/detail/', {'recipe' : '70', 'ingredient' : '81', 'name' : 'Ghee ', 'mass_unit' : '2', 'mass_quantity' : '0', 'volume_unit' : '1', 'volume_quantity' : '1.071', 'pieces_unit' : '3', 'pieces_quantity' : '0', 'cooking_notes' : ''}).status_code; print('%s :: %s :: %s :: %s :: %s' %(a,528,'Ghee ','ghee','SAMBAR GP'))</v>
      </c>
    </row>
    <row r="529" customFormat="false" ht="13.8" hidden="false" customHeight="false" outlineLevel="0" collapsed="false">
      <c r="G529" s="80" t="n">
        <v>529</v>
      </c>
      <c r="H529" s="61"/>
      <c r="I529" s="61" t="s">
        <v>319</v>
      </c>
      <c r="J529" s="83" t="s">
        <v>672</v>
      </c>
      <c r="M529" s="61" t="n">
        <v>0.892857142857143</v>
      </c>
      <c r="N529" s="61" t="s">
        <v>20</v>
      </c>
      <c r="R529" s="82" t="str">
        <f aca="false">VLOOKUP(J529,ingredient!$N$4:$O$553,2,0)</f>
        <v>rai</v>
      </c>
      <c r="U529" s="81" t="str">
        <f aca="false">I529</f>
        <v>SAMBAR GP</v>
      </c>
      <c r="V529" s="81" t="n">
        <f aca="false">VLOOKUP(U529,recipe_ingred_list!$A$2:$B$300,2,0)</f>
        <v>70</v>
      </c>
      <c r="W529" s="81" t="str">
        <f aca="false">"/recipes/"&amp;VLOOKUP(U529,recipe_ingred_list!$A$2:$C$300,3,0)&amp;"/detail/"</f>
        <v>/recipes/sambar-gp/detail/</v>
      </c>
      <c r="X529" s="81" t="str">
        <f aca="false">J529</f>
        <v>Rai </v>
      </c>
      <c r="Y529" s="81" t="str">
        <f aca="false">R529</f>
        <v>rai</v>
      </c>
      <c r="Z529" s="94" t="n">
        <f aca="false">VLOOKUP(Y529,recipe_ingred_list!$D$2:$E$500,2,0)</f>
        <v>164</v>
      </c>
      <c r="AA529" s="61" t="n">
        <f aca="false">K529</f>
        <v>0</v>
      </c>
      <c r="AB529" s="61" t="n">
        <f aca="false">L529</f>
        <v>0</v>
      </c>
      <c r="AC529" s="61" t="n">
        <f aca="false">VLOOKUP(AB529,recipe_ingred_list!$K$2:$M$7,3,0)</f>
        <v>2</v>
      </c>
      <c r="AD529" s="61" t="n">
        <f aca="false">M529</f>
        <v>0.892857142857143</v>
      </c>
      <c r="AE529" s="61" t="str">
        <f aca="false">N529</f>
        <v>cup</v>
      </c>
      <c r="AF529" s="61" t="n">
        <f aca="false">VLOOKUP(AE529,recipe_ingred_list!$K$16:$M$25,3,0)</f>
        <v>5</v>
      </c>
      <c r="AG529" s="61" t="n">
        <f aca="false">O529</f>
        <v>0</v>
      </c>
      <c r="AH529" s="61" t="n">
        <f aca="false">P529</f>
        <v>0</v>
      </c>
      <c r="AI529" s="61" t="n">
        <f aca="false">VLOOKUP(AH529,recipe_ingred_list!$K$29:$M$34,3,0)</f>
        <v>3</v>
      </c>
      <c r="AJ529" s="61" t="str">
        <f aca="false">IF(Q529="","",Q529)</f>
        <v/>
      </c>
      <c r="AK529" s="61" t="n">
        <f aca="false">AK528+1</f>
        <v>529</v>
      </c>
      <c r="AL529" s="61" t="str">
        <f aca="false">Y529</f>
        <v>rai</v>
      </c>
      <c r="AM529" s="81" t="str">
        <f aca="false">"a = Client().post('"&amp;W529&amp;"', {'recipe' : '"&amp;V529&amp;"', 'ingredient' : '"&amp;Z529&amp;"', 'name' : '"&amp;X529&amp;"', 'mass_unit' : '"&amp;AC529&amp;"', 'mass_quantity' : '"&amp;ROUND(AA529,3)&amp;"', 'volume_unit' : '"&amp;AF529&amp;"', 'volume_quantity' : '"&amp;ROUND(AD529,3)&amp;"', 'pieces_unit' : '"&amp;AI529&amp;"', 'pieces_quantity' : '"&amp;ROUND(AG529,3)&amp;"', 'cooking_notes' : '"&amp;AJ529&amp;"'}).status_code; print('%s :: %s :: %s :: %s :: %s' %(a,"&amp;G529&amp;",'"&amp;X529&amp;"','"&amp;Y529&amp;"','"&amp;U529&amp;"'))"</f>
        <v>a = Client().post('/recipes/sambar-gp/detail/', {'recipe' : '70', 'ingredient' : '164', 'name' : 'Rai ', 'mass_unit' : '2', 'mass_quantity' : '0', 'volume_unit' : '5', 'volume_quantity' : '0.893', 'pieces_unit' : '3', 'pieces_quantity' : '0', 'cooking_notes' : ''}).status_code; print('%s :: %s :: %s :: %s :: %s' %(a,529,'Rai ','rai','SAMBAR GP'))</v>
      </c>
    </row>
    <row r="530" customFormat="false" ht="13.8" hidden="false" customHeight="false" outlineLevel="0" collapsed="false">
      <c r="G530" s="80" t="n">
        <v>530</v>
      </c>
      <c r="H530" s="61"/>
      <c r="I530" s="61" t="s">
        <v>319</v>
      </c>
      <c r="J530" s="83" t="s">
        <v>673</v>
      </c>
      <c r="M530" s="61" t="n">
        <v>2</v>
      </c>
      <c r="N530" s="61" t="s">
        <v>13</v>
      </c>
      <c r="R530" s="82" t="str">
        <f aca="false">VLOOKUP(J530,ingredient!$N$4:$O$553,2,0)</f>
        <v>kadi patta</v>
      </c>
      <c r="U530" s="81" t="str">
        <f aca="false">I530</f>
        <v>SAMBAR GP</v>
      </c>
      <c r="V530" s="81" t="n">
        <f aca="false">VLOOKUP(U530,recipe_ingred_list!$A$2:$B$300,2,0)</f>
        <v>70</v>
      </c>
      <c r="W530" s="81" t="str">
        <f aca="false">"/recipes/"&amp;VLOOKUP(U530,recipe_ingred_list!$A$2:$C$300,3,0)&amp;"/detail/"</f>
        <v>/recipes/sambar-gp/detail/</v>
      </c>
      <c r="X530" s="81" t="str">
        <f aca="false">J530</f>
        <v>Kadi patta </v>
      </c>
      <c r="Y530" s="81" t="str">
        <f aca="false">R530</f>
        <v>kadi patta</v>
      </c>
      <c r="Z530" s="94" t="n">
        <f aca="false">VLOOKUP(Y530,recipe_ingred_list!$D$2:$E$500,2,0)</f>
        <v>105</v>
      </c>
      <c r="AA530" s="61" t="n">
        <f aca="false">K530</f>
        <v>0</v>
      </c>
      <c r="AB530" s="61" t="n">
        <f aca="false">L530</f>
        <v>0</v>
      </c>
      <c r="AC530" s="61" t="n">
        <f aca="false">VLOOKUP(AB530,recipe_ingred_list!$K$2:$M$7,3,0)</f>
        <v>2</v>
      </c>
      <c r="AD530" s="61" t="n">
        <f aca="false">M530</f>
        <v>2</v>
      </c>
      <c r="AE530" s="61" t="str">
        <f aca="false">N530</f>
        <v>ltr</v>
      </c>
      <c r="AF530" s="61" t="n">
        <f aca="false">VLOOKUP(AE530,recipe_ingred_list!$K$16:$M$25,3,0)</f>
        <v>1</v>
      </c>
      <c r="AG530" s="61" t="n">
        <f aca="false">O530</f>
        <v>0</v>
      </c>
      <c r="AH530" s="61" t="n">
        <f aca="false">P530</f>
        <v>0</v>
      </c>
      <c r="AI530" s="61" t="n">
        <f aca="false">VLOOKUP(AH530,recipe_ingred_list!$K$29:$M$34,3,0)</f>
        <v>3</v>
      </c>
      <c r="AJ530" s="61" t="str">
        <f aca="false">IF(Q530="","",Q530)</f>
        <v/>
      </c>
      <c r="AK530" s="61" t="n">
        <f aca="false">AK529+1</f>
        <v>530</v>
      </c>
      <c r="AL530" s="61" t="str">
        <f aca="false">Y530</f>
        <v>kadi patta</v>
      </c>
      <c r="AM530" s="81" t="str">
        <f aca="false">"a = Client().post('"&amp;W530&amp;"', {'recipe' : '"&amp;V530&amp;"', 'ingredient' : '"&amp;Z530&amp;"', 'name' : '"&amp;X530&amp;"', 'mass_unit' : '"&amp;AC530&amp;"', 'mass_quantity' : '"&amp;ROUND(AA530,3)&amp;"', 'volume_unit' : '"&amp;AF530&amp;"', 'volume_quantity' : '"&amp;ROUND(AD530,3)&amp;"', 'pieces_unit' : '"&amp;AI530&amp;"', 'pieces_quantity' : '"&amp;ROUND(AG530,3)&amp;"', 'cooking_notes' : '"&amp;AJ530&amp;"'}).status_code; print('%s :: %s :: %s :: %s :: %s' %(a,"&amp;G530&amp;",'"&amp;X530&amp;"','"&amp;Y530&amp;"','"&amp;U530&amp;"'))"</f>
        <v>a = Client().post('/recipes/sambar-gp/detail/', {'recipe' : '70', 'ingredient' : '105', 'name' : 'Kadi patta ', 'mass_unit' : '2', 'mass_quantity' : '0', 'volume_unit' : '1', 'volume_quantity' : '2', 'pieces_unit' : '3', 'pieces_quantity' : '0', 'cooking_notes' : ''}).status_code; print('%s :: %s :: %s :: %s :: %s' %(a,530,'Kadi patta ','kadi patta','SAMBAR GP'))</v>
      </c>
    </row>
    <row r="531" customFormat="false" ht="13.8" hidden="false" customHeight="false" outlineLevel="0" collapsed="false">
      <c r="G531" s="80" t="n">
        <v>531</v>
      </c>
      <c r="H531" s="100"/>
      <c r="I531" s="100" t="s">
        <v>319</v>
      </c>
      <c r="J531" s="79" t="s">
        <v>46</v>
      </c>
      <c r="K531" s="100"/>
      <c r="L531" s="100"/>
      <c r="M531" s="100"/>
      <c r="N531" s="100"/>
      <c r="O531" s="100" t="n">
        <v>1.4</v>
      </c>
      <c r="P531" s="100" t="s">
        <v>27</v>
      </c>
      <c r="Q531" s="102"/>
      <c r="R531" s="99" t="e">
        <f aca="false">VLOOKUP(J531,ingredient!$N$4:$O$553,2,0)</f>
        <v>#N/A</v>
      </c>
      <c r="S531" s="98"/>
      <c r="T531" s="98"/>
      <c r="U531" s="81" t="str">
        <f aca="false">I531</f>
        <v>SAMBAR GP</v>
      </c>
      <c r="V531" s="81" t="n">
        <f aca="false">VLOOKUP(U531,recipe_ingred_list!$A$2:$B$300,2,0)</f>
        <v>70</v>
      </c>
      <c r="W531" s="81" t="str">
        <f aca="false">"/recipes/"&amp;VLOOKUP(U531,recipe_ingred_list!$A$2:$C$300,3,0)&amp;"/detail/"</f>
        <v>/recipes/sambar-gp/detail/</v>
      </c>
      <c r="X531" s="81" t="str">
        <f aca="false">J531</f>
        <v>Yield</v>
      </c>
      <c r="Y531" s="81" t="e">
        <f aca="false">R531</f>
        <v>#N/A</v>
      </c>
      <c r="Z531" s="94" t="e">
        <f aca="false">VLOOKUP(Y531,recipe_ingred_list!$D$2:$E$500,2,0)</f>
        <v>#N/A</v>
      </c>
      <c r="AA531" s="61" t="n">
        <f aca="false">K531</f>
        <v>0</v>
      </c>
      <c r="AB531" s="61" t="n">
        <f aca="false">L531</f>
        <v>0</v>
      </c>
      <c r="AC531" s="61" t="n">
        <f aca="false">VLOOKUP(AB531,recipe_ingred_list!$K$2:$M$7,3,0)</f>
        <v>2</v>
      </c>
      <c r="AD531" s="61" t="n">
        <f aca="false">M531</f>
        <v>0</v>
      </c>
      <c r="AE531" s="61" t="n">
        <f aca="false">N531</f>
        <v>0</v>
      </c>
      <c r="AF531" s="61" t="n">
        <f aca="false">VLOOKUP(AE531,recipe_ingred_list!$K$16:$M$25,3,0)</f>
        <v>1</v>
      </c>
      <c r="AG531" s="61" t="n">
        <f aca="false">O531</f>
        <v>1.4</v>
      </c>
      <c r="AH531" s="61" t="str">
        <f aca="false">P531</f>
        <v>tub</v>
      </c>
      <c r="AI531" s="61" t="e">
        <f aca="false">VLOOKUP(AH531,recipe_ingred_list!$K$29:$M$34,3,0)</f>
        <v>#N/A</v>
      </c>
      <c r="AJ531" s="61" t="str">
        <f aca="false">IF(Q531="","",Q531)</f>
        <v/>
      </c>
      <c r="AK531" s="61" t="n">
        <f aca="false">AK530+1</f>
        <v>531</v>
      </c>
      <c r="AL531" s="61" t="e">
        <f aca="false">Y531</f>
        <v>#N/A</v>
      </c>
      <c r="AM531" s="81" t="e">
        <f aca="false">"a = Client().post('"&amp;W531&amp;"', {'recipe' : '"&amp;V531&amp;"', 'ingredient' : '"&amp;Z531&amp;"', 'name' : '"&amp;X531&amp;"', 'mass_unit' : '"&amp;AC531&amp;"', 'mass_quantity' : '"&amp;ROUND(AA531,3)&amp;"', 'volume_unit' : '"&amp;AF531&amp;"', 'volume_quantity' : '"&amp;ROUND(AD531,3)&amp;"', 'pieces_unit' : '"&amp;AI531&amp;"', 'pieces_quantity' : '"&amp;ROUND(AG531,3)&amp;"', 'cooking_notes' : '"&amp;AJ531&amp;"'}).status_code; print('%s :: %s :: %s :: %s :: %s' %(a,"&amp;G531&amp;",'"&amp;X531&amp;"','"&amp;Y531&amp;"','"&amp;U531&amp;"'))"</f>
        <v>#N/A</v>
      </c>
    </row>
    <row r="532" customFormat="false" ht="13.8" hidden="false" customHeight="false" outlineLevel="0" collapsed="false">
      <c r="G532" s="80" t="n">
        <v>532</v>
      </c>
      <c r="H532" s="100"/>
      <c r="I532" s="100" t="s">
        <v>319</v>
      </c>
      <c r="J532" s="79" t="s">
        <v>46</v>
      </c>
      <c r="K532" s="100"/>
      <c r="L532" s="100"/>
      <c r="M532" s="100" t="n">
        <v>50</v>
      </c>
      <c r="N532" s="100" t="s">
        <v>13</v>
      </c>
      <c r="O532" s="101"/>
      <c r="P532" s="100"/>
      <c r="Q532" s="102"/>
      <c r="R532" s="99" t="e">
        <f aca="false">VLOOKUP(J532,ingredient!$N$4:$O$553,2,0)</f>
        <v>#N/A</v>
      </c>
      <c r="S532" s="98"/>
      <c r="T532" s="98"/>
      <c r="U532" s="81" t="str">
        <f aca="false">I532</f>
        <v>SAMBAR GP</v>
      </c>
      <c r="V532" s="81" t="n">
        <f aca="false">VLOOKUP(U532,recipe_ingred_list!$A$2:$B$300,2,0)</f>
        <v>70</v>
      </c>
      <c r="W532" s="81" t="str">
        <f aca="false">"/recipes/"&amp;VLOOKUP(U532,recipe_ingred_list!$A$2:$C$300,3,0)&amp;"/detail/"</f>
        <v>/recipes/sambar-gp/detail/</v>
      </c>
      <c r="X532" s="81" t="str">
        <f aca="false">J532</f>
        <v>Yield</v>
      </c>
      <c r="Y532" s="81" t="e">
        <f aca="false">R532</f>
        <v>#N/A</v>
      </c>
      <c r="Z532" s="94" t="e">
        <f aca="false">VLOOKUP(Y532,recipe_ingred_list!$D$2:$E$500,2,0)</f>
        <v>#N/A</v>
      </c>
      <c r="AA532" s="61" t="n">
        <f aca="false">K532</f>
        <v>0</v>
      </c>
      <c r="AB532" s="61" t="n">
        <f aca="false">L532</f>
        <v>0</v>
      </c>
      <c r="AC532" s="61" t="n">
        <f aca="false">VLOOKUP(AB532,recipe_ingred_list!$K$2:$M$7,3,0)</f>
        <v>2</v>
      </c>
      <c r="AD532" s="61" t="n">
        <f aca="false">M532</f>
        <v>50</v>
      </c>
      <c r="AE532" s="61" t="str">
        <f aca="false">N532</f>
        <v>ltr</v>
      </c>
      <c r="AF532" s="61" t="n">
        <f aca="false">VLOOKUP(AE532,recipe_ingred_list!$K$16:$M$25,3,0)</f>
        <v>1</v>
      </c>
      <c r="AG532" s="61" t="n">
        <f aca="false">O532</f>
        <v>0</v>
      </c>
      <c r="AH532" s="61" t="n">
        <f aca="false">P532</f>
        <v>0</v>
      </c>
      <c r="AI532" s="61" t="n">
        <f aca="false">VLOOKUP(AH532,recipe_ingred_list!$K$29:$M$34,3,0)</f>
        <v>3</v>
      </c>
      <c r="AJ532" s="61" t="str">
        <f aca="false">IF(Q532="","",Q532)</f>
        <v/>
      </c>
      <c r="AK532" s="61" t="n">
        <f aca="false">AK531+1</f>
        <v>532</v>
      </c>
      <c r="AL532" s="61" t="e">
        <f aca="false">Y532</f>
        <v>#N/A</v>
      </c>
      <c r="AM532" s="81" t="e">
        <f aca="false">"a = Client().post('"&amp;W532&amp;"', {'recipe' : '"&amp;V532&amp;"', 'ingredient' : '"&amp;Z532&amp;"', 'name' : '"&amp;X532&amp;"', 'mass_unit' : '"&amp;AC532&amp;"', 'mass_quantity' : '"&amp;ROUND(AA532,3)&amp;"', 'volume_unit' : '"&amp;AF532&amp;"', 'volume_quantity' : '"&amp;ROUND(AD532,3)&amp;"', 'pieces_unit' : '"&amp;AI532&amp;"', 'pieces_quantity' : '"&amp;ROUND(AG532,3)&amp;"', 'cooking_notes' : '"&amp;AJ532&amp;"'}).status_code; print('%s :: %s :: %s :: %s :: %s' %(a,"&amp;G532&amp;",'"&amp;X532&amp;"','"&amp;Y532&amp;"','"&amp;U532&amp;"'))"</f>
        <v>#N/A</v>
      </c>
    </row>
    <row r="533" customFormat="false" ht="13.8" hidden="false" customHeight="false" outlineLevel="0" collapsed="false">
      <c r="G533" s="80" t="n">
        <v>533</v>
      </c>
      <c r="H533" s="100"/>
      <c r="I533" s="100"/>
      <c r="J533" s="79"/>
      <c r="K533" s="100"/>
      <c r="L533" s="100"/>
      <c r="M533" s="100"/>
      <c r="N533" s="100"/>
      <c r="O533" s="101"/>
      <c r="P533" s="100"/>
      <c r="Q533" s="102"/>
      <c r="R533" s="99" t="e">
        <f aca="false">VLOOKUP(J533,ingredient!$N$4:$O$553,2,0)</f>
        <v>#N/A</v>
      </c>
      <c r="S533" s="98"/>
      <c r="T533" s="98"/>
      <c r="U533" s="81" t="n">
        <f aca="false">I533</f>
        <v>0</v>
      </c>
      <c r="V533" s="81" t="e">
        <f aca="false">VLOOKUP(U533,recipe_ingred_list!$A$2:$B$300,2,0)</f>
        <v>#N/A</v>
      </c>
      <c r="W533" s="81" t="e">
        <f aca="false">"/recipes/"&amp;VLOOKUP(U533,recipe_ingred_list!$A$2:$C$300,3,0)&amp;"/detail/"</f>
        <v>#N/A</v>
      </c>
      <c r="X533" s="81" t="n">
        <f aca="false">J533</f>
        <v>0</v>
      </c>
      <c r="Y533" s="81" t="e">
        <f aca="false">R533</f>
        <v>#N/A</v>
      </c>
      <c r="Z533" s="94" t="e">
        <f aca="false">VLOOKUP(Y533,recipe_ingred_list!$D$2:$E$500,2,0)</f>
        <v>#N/A</v>
      </c>
      <c r="AA533" s="61" t="n">
        <f aca="false">K533</f>
        <v>0</v>
      </c>
      <c r="AB533" s="61" t="n">
        <f aca="false">L533</f>
        <v>0</v>
      </c>
      <c r="AC533" s="61" t="n">
        <f aca="false">VLOOKUP(AB533,recipe_ingred_list!$K$2:$M$7,3,0)</f>
        <v>2</v>
      </c>
      <c r="AD533" s="61" t="n">
        <f aca="false">M533</f>
        <v>0</v>
      </c>
      <c r="AE533" s="61" t="n">
        <f aca="false">N533</f>
        <v>0</v>
      </c>
      <c r="AF533" s="61" t="n">
        <f aca="false">VLOOKUP(AE533,recipe_ingred_list!$K$16:$M$25,3,0)</f>
        <v>1</v>
      </c>
      <c r="AG533" s="61" t="n">
        <f aca="false">O533</f>
        <v>0</v>
      </c>
      <c r="AH533" s="61" t="n">
        <f aca="false">P533</f>
        <v>0</v>
      </c>
      <c r="AI533" s="61" t="n">
        <f aca="false">VLOOKUP(AH533,recipe_ingred_list!$K$29:$M$34,3,0)</f>
        <v>3</v>
      </c>
      <c r="AJ533" s="61" t="str">
        <f aca="false">IF(Q533="","",Q533)</f>
        <v/>
      </c>
      <c r="AK533" s="61" t="n">
        <f aca="false">AK532+1</f>
        <v>533</v>
      </c>
      <c r="AL533" s="61" t="e">
        <f aca="false">Y533</f>
        <v>#N/A</v>
      </c>
      <c r="AM533" s="81" t="e">
        <f aca="false">"a = Client().post('"&amp;W533&amp;"', {'recipe' : '"&amp;V533&amp;"', 'ingredient' : '"&amp;Z533&amp;"', 'name' : '"&amp;X533&amp;"', 'mass_unit' : '"&amp;AC533&amp;"', 'mass_quantity' : '"&amp;ROUND(AA533,3)&amp;"', 'volume_unit' : '"&amp;AF533&amp;"', 'volume_quantity' : '"&amp;ROUND(AD533,3)&amp;"', 'pieces_unit' : '"&amp;AI533&amp;"', 'pieces_quantity' : '"&amp;ROUND(AG533,3)&amp;"', 'cooking_notes' : '"&amp;AJ533&amp;"'}).status_code; print('%s :: %s :: %s :: %s :: %s' %(a,"&amp;G533&amp;",'"&amp;X533&amp;"','"&amp;Y533&amp;"','"&amp;U533&amp;"'))"</f>
        <v>#N/A</v>
      </c>
    </row>
    <row r="534" customFormat="false" ht="13.8" hidden="false" customHeight="false" outlineLevel="0" collapsed="false">
      <c r="G534" s="80" t="n">
        <v>534</v>
      </c>
      <c r="H534" s="100"/>
      <c r="I534" s="99"/>
      <c r="J534" s="79" t="s">
        <v>2</v>
      </c>
      <c r="K534" s="100" t="s">
        <v>3</v>
      </c>
      <c r="L534" s="100" t="s">
        <v>4</v>
      </c>
      <c r="M534" s="100"/>
      <c r="N534" s="100"/>
      <c r="O534" s="101"/>
      <c r="P534" s="100"/>
      <c r="Q534" s="102"/>
      <c r="R534" s="99" t="e">
        <f aca="false">VLOOKUP(J534,ingredient!$N$4:$O$553,2,0)</f>
        <v>#N/A</v>
      </c>
      <c r="S534" s="98"/>
      <c r="T534" s="98"/>
      <c r="U534" s="81" t="n">
        <f aca="false">I534</f>
        <v>0</v>
      </c>
      <c r="V534" s="81" t="e">
        <f aca="false">VLOOKUP(U534,recipe_ingred_list!$A$2:$B$300,2,0)</f>
        <v>#N/A</v>
      </c>
      <c r="W534" s="81" t="e">
        <f aca="false">"/recipes/"&amp;VLOOKUP(U534,recipe_ingred_list!$A$2:$C$300,3,0)&amp;"/detail/"</f>
        <v>#N/A</v>
      </c>
      <c r="X534" s="81" t="str">
        <f aca="false">J534</f>
        <v>Ingredients</v>
      </c>
      <c r="Y534" s="81" t="e">
        <f aca="false">R534</f>
        <v>#N/A</v>
      </c>
      <c r="Z534" s="94" t="e">
        <f aca="false">VLOOKUP(Y534,recipe_ingred_list!$D$2:$E$500,2,0)</f>
        <v>#N/A</v>
      </c>
      <c r="AA534" s="61" t="str">
        <f aca="false">K534</f>
        <v>Std Qty</v>
      </c>
      <c r="AB534" s="61" t="str">
        <f aca="false">L534</f>
        <v>Unit</v>
      </c>
      <c r="AC534" s="61" t="e">
        <f aca="false">VLOOKUP(AB534,recipe_ingred_list!$K$2:$M$7,3,0)</f>
        <v>#N/A</v>
      </c>
      <c r="AD534" s="61" t="n">
        <f aca="false">M534</f>
        <v>0</v>
      </c>
      <c r="AE534" s="61" t="n">
        <f aca="false">N534</f>
        <v>0</v>
      </c>
      <c r="AF534" s="61" t="n">
        <f aca="false">VLOOKUP(AE534,recipe_ingred_list!$K$16:$M$25,3,0)</f>
        <v>1</v>
      </c>
      <c r="AG534" s="61" t="n">
        <f aca="false">O534</f>
        <v>0</v>
      </c>
      <c r="AH534" s="61" t="n">
        <f aca="false">P534</f>
        <v>0</v>
      </c>
      <c r="AI534" s="61" t="n">
        <f aca="false">VLOOKUP(AH534,recipe_ingred_list!$K$29:$M$34,3,0)</f>
        <v>3</v>
      </c>
      <c r="AJ534" s="61" t="str">
        <f aca="false">IF(Q534="","",Q534)</f>
        <v/>
      </c>
      <c r="AK534" s="61" t="n">
        <f aca="false">AK533+1</f>
        <v>534</v>
      </c>
      <c r="AL534" s="61" t="e">
        <f aca="false">Y534</f>
        <v>#N/A</v>
      </c>
      <c r="AM534" s="81" t="e">
        <f aca="false">"a = Client().post('"&amp;W534&amp;"', {'recipe' : '"&amp;V534&amp;"', 'ingredient' : '"&amp;Z534&amp;"', 'name' : '"&amp;X534&amp;"', 'mass_unit' : '"&amp;AC534&amp;"', 'mass_quantity' : '"&amp;ROUND(AA534,3)&amp;"', 'volume_unit' : '"&amp;AF534&amp;"', 'volume_quantity' : '"&amp;ROUND(AD534,3)&amp;"', 'pieces_unit' : '"&amp;AI534&amp;"', 'pieces_quantity' : '"&amp;ROUND(AG534,3)&amp;"', 'cooking_notes' : '"&amp;AJ534&amp;"'}).status_code; print('%s :: %s :: %s :: %s :: %s' %(a,"&amp;G534&amp;",'"&amp;X534&amp;"','"&amp;Y534&amp;"','"&amp;U534&amp;"'))"</f>
        <v>#N/A</v>
      </c>
    </row>
    <row r="535" customFormat="false" ht="13.8" hidden="false" customHeight="false" outlineLevel="0" collapsed="false">
      <c r="G535" s="80" t="n">
        <v>535</v>
      </c>
      <c r="H535" s="61"/>
      <c r="I535" s="61" t="s">
        <v>253</v>
      </c>
      <c r="J535" s="83" t="s">
        <v>683</v>
      </c>
      <c r="K535" s="61" t="n">
        <v>2.5</v>
      </c>
      <c r="L535" s="61" t="s">
        <v>7</v>
      </c>
      <c r="R535" s="82" t="str">
        <f aca="false">VLOOKUP(J535,ingredient!$N$4:$O$553,2,0)</f>
        <v>moong dal</v>
      </c>
      <c r="U535" s="81" t="str">
        <f aca="false">I535</f>
        <v>Moong Dal Dossa</v>
      </c>
      <c r="V535" s="81" t="n">
        <f aca="false">VLOOKUP(U535,recipe_ingred_list!$A$2:$B$300,2,0)</f>
        <v>48</v>
      </c>
      <c r="W535" s="81" t="str">
        <f aca="false">"/recipes/"&amp;VLOOKUP(U535,recipe_ingred_list!$A$2:$C$300,3,0)&amp;"/detail/"</f>
        <v>/recipes/moong-dal-dossa/detail/</v>
      </c>
      <c r="X535" s="81" t="str">
        <f aca="false">J535</f>
        <v>Moong dal</v>
      </c>
      <c r="Y535" s="81" t="str">
        <f aca="false">R535</f>
        <v>moong dal</v>
      </c>
      <c r="Z535" s="94" t="n">
        <f aca="false">VLOOKUP(Y535,recipe_ingred_list!$D$2:$E$500,2,0)</f>
        <v>147</v>
      </c>
      <c r="AA535" s="61" t="n">
        <f aca="false">K535</f>
        <v>2.5</v>
      </c>
      <c r="AB535" s="61" t="str">
        <f aca="false">L535</f>
        <v>kg</v>
      </c>
      <c r="AC535" s="61" t="n">
        <f aca="false">VLOOKUP(AB535,recipe_ingred_list!$K$2:$M$7,3,0)</f>
        <v>2</v>
      </c>
      <c r="AD535" s="61" t="n">
        <f aca="false">M535</f>
        <v>0</v>
      </c>
      <c r="AE535" s="61" t="n">
        <f aca="false">N535</f>
        <v>0</v>
      </c>
      <c r="AF535" s="61" t="n">
        <f aca="false">VLOOKUP(AE535,recipe_ingred_list!$K$16:$M$25,3,0)</f>
        <v>1</v>
      </c>
      <c r="AG535" s="61" t="n">
        <f aca="false">O535</f>
        <v>0</v>
      </c>
      <c r="AH535" s="61" t="n">
        <f aca="false">P535</f>
        <v>0</v>
      </c>
      <c r="AI535" s="61" t="n">
        <f aca="false">VLOOKUP(AH535,recipe_ingred_list!$K$29:$M$34,3,0)</f>
        <v>3</v>
      </c>
      <c r="AJ535" s="61" t="str">
        <f aca="false">IF(Q535="","",Q535)</f>
        <v/>
      </c>
      <c r="AK535" s="61" t="n">
        <f aca="false">AK534+1</f>
        <v>535</v>
      </c>
      <c r="AL535" s="61" t="str">
        <f aca="false">Y535</f>
        <v>moong dal</v>
      </c>
      <c r="AM535" s="81" t="str">
        <f aca="false">"a = Client().post('"&amp;W535&amp;"', {'recipe' : '"&amp;V535&amp;"', 'ingredient' : '"&amp;Z535&amp;"', 'name' : '"&amp;X535&amp;"', 'mass_unit' : '"&amp;AC535&amp;"', 'mass_quantity' : '"&amp;ROUND(AA535,3)&amp;"', 'volume_unit' : '"&amp;AF535&amp;"', 'volume_quantity' : '"&amp;ROUND(AD535,3)&amp;"', 'pieces_unit' : '"&amp;AI535&amp;"', 'pieces_quantity' : '"&amp;ROUND(AG535,3)&amp;"', 'cooking_notes' : '"&amp;AJ535&amp;"'}).status_code; print('%s :: %s :: %s :: %s :: %s' %(a,"&amp;G535&amp;",'"&amp;X535&amp;"','"&amp;Y535&amp;"','"&amp;U535&amp;"'))"</f>
        <v>a = Client().post('/recipes/moong-dal-dossa/detail/', {'recipe' : '48', 'ingredient' : '147', 'name' : 'Moong dal', 'mass_unit' : '2', 'mass_quantity' : '2.5', 'volume_unit' : '1', 'volume_quantity' : '0', 'pieces_unit' : '3', 'pieces_quantity' : '0', 'cooking_notes' : ''}).status_code; print('%s :: %s :: %s :: %s :: %s' %(a,535,'Moong dal','moong dal','Moong Dal Dossa'))</v>
      </c>
    </row>
    <row r="536" customFormat="false" ht="13.8" hidden="false" customHeight="false" outlineLevel="0" collapsed="false">
      <c r="G536" s="80" t="n">
        <v>536</v>
      </c>
      <c r="H536" s="61"/>
      <c r="I536" s="61" t="s">
        <v>253</v>
      </c>
      <c r="J536" s="83" t="s">
        <v>684</v>
      </c>
      <c r="K536" s="61" t="n">
        <v>0.5</v>
      </c>
      <c r="L536" s="61" t="s">
        <v>7</v>
      </c>
      <c r="R536" s="82" t="str">
        <f aca="false">VLOOKUP(J536,ingredient!$N$4:$O$553,2,0)</f>
        <v>khichadi rice</v>
      </c>
      <c r="U536" s="81" t="str">
        <f aca="false">I536</f>
        <v>Moong Dal Dossa</v>
      </c>
      <c r="V536" s="81" t="n">
        <f aca="false">VLOOKUP(U536,recipe_ingred_list!$A$2:$B$300,2,0)</f>
        <v>48</v>
      </c>
      <c r="W536" s="81" t="str">
        <f aca="false">"/recipes/"&amp;VLOOKUP(U536,recipe_ingred_list!$A$2:$C$300,3,0)&amp;"/detail/"</f>
        <v>/recipes/moong-dal-dossa/detail/</v>
      </c>
      <c r="X536" s="81" t="str">
        <f aca="false">J536</f>
        <v>Khichdi Rice</v>
      </c>
      <c r="Y536" s="81" t="str">
        <f aca="false">R536</f>
        <v>khichadi rice</v>
      </c>
      <c r="Z536" s="94" t="n">
        <f aca="false">VLOOKUP(Y536,recipe_ingred_list!$D$2:$E$500,2,0)</f>
        <v>122</v>
      </c>
      <c r="AA536" s="61" t="n">
        <f aca="false">K536</f>
        <v>0.5</v>
      </c>
      <c r="AB536" s="61" t="str">
        <f aca="false">L536</f>
        <v>kg</v>
      </c>
      <c r="AC536" s="61" t="n">
        <f aca="false">VLOOKUP(AB536,recipe_ingred_list!$K$2:$M$7,3,0)</f>
        <v>2</v>
      </c>
      <c r="AD536" s="61" t="n">
        <f aca="false">M536</f>
        <v>0</v>
      </c>
      <c r="AE536" s="61" t="n">
        <f aca="false">N536</f>
        <v>0</v>
      </c>
      <c r="AF536" s="61" t="n">
        <f aca="false">VLOOKUP(AE536,recipe_ingred_list!$K$16:$M$25,3,0)</f>
        <v>1</v>
      </c>
      <c r="AG536" s="61" t="n">
        <f aca="false">O536</f>
        <v>0</v>
      </c>
      <c r="AH536" s="61" t="n">
        <f aca="false">P536</f>
        <v>0</v>
      </c>
      <c r="AI536" s="61" t="n">
        <f aca="false">VLOOKUP(AH536,recipe_ingred_list!$K$29:$M$34,3,0)</f>
        <v>3</v>
      </c>
      <c r="AJ536" s="61" t="str">
        <f aca="false">IF(Q536="","",Q536)</f>
        <v/>
      </c>
      <c r="AK536" s="61" t="n">
        <f aca="false">AK535+1</f>
        <v>536</v>
      </c>
      <c r="AL536" s="61" t="str">
        <f aca="false">Y536</f>
        <v>khichadi rice</v>
      </c>
      <c r="AM536" s="81" t="str">
        <f aca="false">"a = Client().post('"&amp;W536&amp;"', {'recipe' : '"&amp;V536&amp;"', 'ingredient' : '"&amp;Z536&amp;"', 'name' : '"&amp;X536&amp;"', 'mass_unit' : '"&amp;AC536&amp;"', 'mass_quantity' : '"&amp;ROUND(AA536,3)&amp;"', 'volume_unit' : '"&amp;AF536&amp;"', 'volume_quantity' : '"&amp;ROUND(AD536,3)&amp;"', 'pieces_unit' : '"&amp;AI536&amp;"', 'pieces_quantity' : '"&amp;ROUND(AG536,3)&amp;"', 'cooking_notes' : '"&amp;AJ536&amp;"'}).status_code; print('%s :: %s :: %s :: %s :: %s' %(a,"&amp;G536&amp;",'"&amp;X536&amp;"','"&amp;Y536&amp;"','"&amp;U536&amp;"'))"</f>
        <v>a = Client().post('/recipes/moong-dal-dossa/detail/', {'recipe' : '48', 'ingredient' : '122', 'name' : 'Khichdi Rice', 'mass_unit' : '2', 'mass_quantity' : '0.5', 'volume_unit' : '1', 'volume_quantity' : '0', 'pieces_unit' : '3', 'pieces_quantity' : '0', 'cooking_notes' : ''}).status_code; print('%s :: %s :: %s :: %s :: %s' %(a,536,'Khichdi Rice','khichadi rice','Moong Dal Dossa'))</v>
      </c>
    </row>
    <row r="537" customFormat="false" ht="13.8" hidden="false" customHeight="false" outlineLevel="0" collapsed="false">
      <c r="G537" s="80" t="n">
        <v>537</v>
      </c>
      <c r="H537" s="61"/>
      <c r="I537" s="61" t="s">
        <v>253</v>
      </c>
      <c r="J537" s="83" t="s">
        <v>685</v>
      </c>
      <c r="K537" s="61" t="n">
        <v>25</v>
      </c>
      <c r="L537" s="61" t="s">
        <v>109</v>
      </c>
      <c r="R537" s="82" t="str">
        <f aca="false">VLOOKUP(J537,ingredient!$N$4:$O$553,2,0)</f>
        <v>akha methi</v>
      </c>
      <c r="U537" s="81" t="str">
        <f aca="false">I537</f>
        <v>Moong Dal Dossa</v>
      </c>
      <c r="V537" s="81" t="n">
        <f aca="false">VLOOKUP(U537,recipe_ingred_list!$A$2:$B$300,2,0)</f>
        <v>48</v>
      </c>
      <c r="W537" s="81" t="str">
        <f aca="false">"/recipes/"&amp;VLOOKUP(U537,recipe_ingred_list!$A$2:$C$300,3,0)&amp;"/detail/"</f>
        <v>/recipes/moong-dal-dossa/detail/</v>
      </c>
      <c r="X537" s="81" t="str">
        <f aca="false">J537</f>
        <v>Akha Methi</v>
      </c>
      <c r="Y537" s="81" t="str">
        <f aca="false">R537</f>
        <v>akha methi</v>
      </c>
      <c r="Z537" s="94" t="n">
        <f aca="false">VLOOKUP(Y537,recipe_ingred_list!$D$2:$E$500,2,0)</f>
        <v>4</v>
      </c>
      <c r="AA537" s="61" t="n">
        <f aca="false">K537</f>
        <v>25</v>
      </c>
      <c r="AB537" s="61" t="str">
        <f aca="false">L537</f>
        <v>gm</v>
      </c>
      <c r="AC537" s="61" t="n">
        <f aca="false">VLOOKUP(AB537,recipe_ingred_list!$K$2:$M$7,3,0)</f>
        <v>7</v>
      </c>
      <c r="AD537" s="61" t="n">
        <f aca="false">M537</f>
        <v>0</v>
      </c>
      <c r="AE537" s="61" t="n">
        <f aca="false">N537</f>
        <v>0</v>
      </c>
      <c r="AF537" s="61" t="n">
        <f aca="false">VLOOKUP(AE537,recipe_ingred_list!$K$16:$M$25,3,0)</f>
        <v>1</v>
      </c>
      <c r="AG537" s="61" t="n">
        <f aca="false">O537</f>
        <v>0</v>
      </c>
      <c r="AH537" s="61" t="n">
        <f aca="false">P537</f>
        <v>0</v>
      </c>
      <c r="AI537" s="61" t="n">
        <f aca="false">VLOOKUP(AH537,recipe_ingred_list!$K$29:$M$34,3,0)</f>
        <v>3</v>
      </c>
      <c r="AJ537" s="61" t="str">
        <f aca="false">IF(Q537="","",Q537)</f>
        <v/>
      </c>
      <c r="AK537" s="61" t="n">
        <f aca="false">AK536+1</f>
        <v>537</v>
      </c>
      <c r="AL537" s="61" t="str">
        <f aca="false">Y537</f>
        <v>akha methi</v>
      </c>
      <c r="AM537" s="81" t="str">
        <f aca="false">"a = Client().post('"&amp;W537&amp;"', {'recipe' : '"&amp;V537&amp;"', 'ingredient' : '"&amp;Z537&amp;"', 'name' : '"&amp;X537&amp;"', 'mass_unit' : '"&amp;AC537&amp;"', 'mass_quantity' : '"&amp;ROUND(AA537,3)&amp;"', 'volume_unit' : '"&amp;AF537&amp;"', 'volume_quantity' : '"&amp;ROUND(AD537,3)&amp;"', 'pieces_unit' : '"&amp;AI537&amp;"', 'pieces_quantity' : '"&amp;ROUND(AG537,3)&amp;"', 'cooking_notes' : '"&amp;AJ537&amp;"'}).status_code; print('%s :: %s :: %s :: %s :: %s' %(a,"&amp;G537&amp;",'"&amp;X537&amp;"','"&amp;Y537&amp;"','"&amp;U537&amp;"'))"</f>
        <v>a = Client().post('/recipes/moong-dal-dossa/detail/', {'recipe' : '48', 'ingredient' : '4', 'name' : 'Akha Methi', 'mass_unit' : '7', 'mass_quantity' : '25', 'volume_unit' : '1', 'volume_quantity' : '0', 'pieces_unit' : '3', 'pieces_quantity' : '0', 'cooking_notes' : ''}).status_code; print('%s :: %s :: %s :: %s :: %s' %(a,537,'Akha Methi','akha methi','Moong Dal Dossa'))</v>
      </c>
    </row>
    <row r="538" customFormat="false" ht="13.8" hidden="false" customHeight="false" outlineLevel="0" collapsed="false">
      <c r="G538" s="80" t="n">
        <v>538</v>
      </c>
      <c r="H538" s="61"/>
      <c r="I538" s="61" t="s">
        <v>253</v>
      </c>
      <c r="J538" s="83" t="s">
        <v>562</v>
      </c>
      <c r="M538" s="61" t="n">
        <v>0.25</v>
      </c>
      <c r="N538" s="61" t="s">
        <v>20</v>
      </c>
      <c r="R538" s="82" t="str">
        <f aca="false">VLOOKUP(J538,ingredient!$N$4:$O$553,2,0)</f>
        <v>hing</v>
      </c>
      <c r="U538" s="81" t="str">
        <f aca="false">I538</f>
        <v>Moong Dal Dossa</v>
      </c>
      <c r="V538" s="81" t="n">
        <f aca="false">VLOOKUP(U538,recipe_ingred_list!$A$2:$B$300,2,0)</f>
        <v>48</v>
      </c>
      <c r="W538" s="81" t="str">
        <f aca="false">"/recipes/"&amp;VLOOKUP(U538,recipe_ingred_list!$A$2:$C$300,3,0)&amp;"/detail/"</f>
        <v>/recipes/moong-dal-dossa/detail/</v>
      </c>
      <c r="X538" s="81" t="str">
        <f aca="false">J538</f>
        <v>Hing</v>
      </c>
      <c r="Y538" s="81" t="str">
        <f aca="false">R538</f>
        <v>hing</v>
      </c>
      <c r="Z538" s="94" t="n">
        <f aca="false">VLOOKUP(Y538,recipe_ingred_list!$D$2:$E$500,2,0)</f>
        <v>95</v>
      </c>
      <c r="AA538" s="61" t="n">
        <f aca="false">K538</f>
        <v>0</v>
      </c>
      <c r="AB538" s="61" t="n">
        <f aca="false">L538</f>
        <v>0</v>
      </c>
      <c r="AC538" s="61" t="n">
        <f aca="false">VLOOKUP(AB538,recipe_ingred_list!$K$2:$M$7,3,0)</f>
        <v>2</v>
      </c>
      <c r="AD538" s="61" t="n">
        <f aca="false">M538</f>
        <v>0.25</v>
      </c>
      <c r="AE538" s="61" t="str">
        <f aca="false">N538</f>
        <v>cup</v>
      </c>
      <c r="AF538" s="61" t="n">
        <f aca="false">VLOOKUP(AE538,recipe_ingred_list!$K$16:$M$25,3,0)</f>
        <v>5</v>
      </c>
      <c r="AG538" s="61" t="n">
        <f aca="false">O538</f>
        <v>0</v>
      </c>
      <c r="AH538" s="61" t="n">
        <f aca="false">P538</f>
        <v>0</v>
      </c>
      <c r="AI538" s="61" t="n">
        <f aca="false">VLOOKUP(AH538,recipe_ingred_list!$K$29:$M$34,3,0)</f>
        <v>3</v>
      </c>
      <c r="AJ538" s="61" t="str">
        <f aca="false">IF(Q538="","",Q538)</f>
        <v/>
      </c>
      <c r="AK538" s="61" t="n">
        <f aca="false">AK537+1</f>
        <v>538</v>
      </c>
      <c r="AL538" s="61" t="str">
        <f aca="false">Y538</f>
        <v>hing</v>
      </c>
      <c r="AM538" s="81" t="str">
        <f aca="false">"a = Client().post('"&amp;W538&amp;"', {'recipe' : '"&amp;V538&amp;"', 'ingredient' : '"&amp;Z538&amp;"', 'name' : '"&amp;X538&amp;"', 'mass_unit' : '"&amp;AC538&amp;"', 'mass_quantity' : '"&amp;ROUND(AA538,3)&amp;"', 'volume_unit' : '"&amp;AF538&amp;"', 'volume_quantity' : '"&amp;ROUND(AD538,3)&amp;"', 'pieces_unit' : '"&amp;AI538&amp;"', 'pieces_quantity' : '"&amp;ROUND(AG538,3)&amp;"', 'cooking_notes' : '"&amp;AJ538&amp;"'}).status_code; print('%s :: %s :: %s :: %s :: %s' %(a,"&amp;G538&amp;",'"&amp;X538&amp;"','"&amp;Y538&amp;"','"&amp;U538&amp;"'))"</f>
        <v>a = Client().post('/recipes/moong-dal-dossa/detail/', {'recipe' : '48', 'ingredient' : '95', 'name' : 'Hing', 'mass_unit' : '2', 'mass_quantity' : '0', 'volume_unit' : '5', 'volume_quantity' : '0.25', 'pieces_unit' : '3', 'pieces_quantity' : '0', 'cooking_notes' : ''}).status_code; print('%s :: %s :: %s :: %s :: %s' %(a,538,'Hing','hing','Moong Dal Dossa'))</v>
      </c>
    </row>
    <row r="539" customFormat="false" ht="13.8" hidden="false" customHeight="false" outlineLevel="0" collapsed="false">
      <c r="G539" s="80" t="n">
        <v>539</v>
      </c>
      <c r="H539" s="61"/>
      <c r="I539" s="61" t="s">
        <v>253</v>
      </c>
      <c r="J539" s="83" t="s">
        <v>40</v>
      </c>
      <c r="K539" s="61" t="n">
        <v>400</v>
      </c>
      <c r="L539" s="61" t="s">
        <v>109</v>
      </c>
      <c r="R539" s="82" t="str">
        <f aca="false">VLOOKUP(J539,ingredient!$N$4:$O$553,2,0)</f>
        <v>capsicum</v>
      </c>
      <c r="U539" s="81" t="str">
        <f aca="false">I539</f>
        <v>Moong Dal Dossa</v>
      </c>
      <c r="V539" s="81" t="n">
        <f aca="false">VLOOKUP(U539,recipe_ingred_list!$A$2:$B$300,2,0)</f>
        <v>48</v>
      </c>
      <c r="W539" s="81" t="str">
        <f aca="false">"/recipes/"&amp;VLOOKUP(U539,recipe_ingred_list!$A$2:$C$300,3,0)&amp;"/detail/"</f>
        <v>/recipes/moong-dal-dossa/detail/</v>
      </c>
      <c r="X539" s="81" t="str">
        <f aca="false">J539</f>
        <v>Capsicum</v>
      </c>
      <c r="Y539" s="81" t="str">
        <f aca="false">R539</f>
        <v>capsicum</v>
      </c>
      <c r="Z539" s="94" t="n">
        <f aca="false">VLOOKUP(Y539,recipe_ingred_list!$D$2:$E$500,2,0)</f>
        <v>42</v>
      </c>
      <c r="AA539" s="61" t="n">
        <f aca="false">K539</f>
        <v>400</v>
      </c>
      <c r="AB539" s="61" t="str">
        <f aca="false">L539</f>
        <v>gm</v>
      </c>
      <c r="AC539" s="61" t="n">
        <f aca="false">VLOOKUP(AB539,recipe_ingred_list!$K$2:$M$7,3,0)</f>
        <v>7</v>
      </c>
      <c r="AD539" s="61" t="n">
        <f aca="false">M539</f>
        <v>0</v>
      </c>
      <c r="AE539" s="61" t="n">
        <f aca="false">N539</f>
        <v>0</v>
      </c>
      <c r="AF539" s="61" t="n">
        <f aca="false">VLOOKUP(AE539,recipe_ingred_list!$K$16:$M$25,3,0)</f>
        <v>1</v>
      </c>
      <c r="AG539" s="61" t="n">
        <f aca="false">O539</f>
        <v>0</v>
      </c>
      <c r="AH539" s="61" t="n">
        <f aca="false">P539</f>
        <v>0</v>
      </c>
      <c r="AI539" s="61" t="n">
        <f aca="false">VLOOKUP(AH539,recipe_ingred_list!$K$29:$M$34,3,0)</f>
        <v>3</v>
      </c>
      <c r="AJ539" s="61" t="str">
        <f aca="false">IF(Q539="","",Q539)</f>
        <v/>
      </c>
      <c r="AK539" s="61" t="n">
        <f aca="false">AK538+1</f>
        <v>539</v>
      </c>
      <c r="AL539" s="61" t="str">
        <f aca="false">Y539</f>
        <v>capsicum</v>
      </c>
      <c r="AM539" s="81" t="str">
        <f aca="false">"a = Client().post('"&amp;W539&amp;"', {'recipe' : '"&amp;V539&amp;"', 'ingredient' : '"&amp;Z539&amp;"', 'name' : '"&amp;X539&amp;"', 'mass_unit' : '"&amp;AC539&amp;"', 'mass_quantity' : '"&amp;ROUND(AA539,3)&amp;"', 'volume_unit' : '"&amp;AF539&amp;"', 'volume_quantity' : '"&amp;ROUND(AD539,3)&amp;"', 'pieces_unit' : '"&amp;AI539&amp;"', 'pieces_quantity' : '"&amp;ROUND(AG539,3)&amp;"', 'cooking_notes' : '"&amp;AJ539&amp;"'}).status_code; print('%s :: %s :: %s :: %s :: %s' %(a,"&amp;G539&amp;",'"&amp;X539&amp;"','"&amp;Y539&amp;"','"&amp;U539&amp;"'))"</f>
        <v>a = Client().post('/recipes/moong-dal-dossa/detail/', {'recipe' : '48', 'ingredient' : '42', 'name' : 'Capsicum', 'mass_unit' : '7', 'mass_quantity' : '400', 'volume_unit' : '1', 'volume_quantity' : '0', 'pieces_unit' : '3', 'pieces_quantity' : '0', 'cooking_notes' : ''}).status_code; print('%s :: %s :: %s :: %s :: %s' %(a,539,'Capsicum','capsicum','Moong Dal Dossa'))</v>
      </c>
    </row>
    <row r="540" customFormat="false" ht="13.8" hidden="false" customHeight="false" outlineLevel="0" collapsed="false">
      <c r="G540" s="80" t="n">
        <v>540</v>
      </c>
      <c r="H540" s="61"/>
      <c r="I540" s="61" t="s">
        <v>253</v>
      </c>
      <c r="J540" s="83" t="s">
        <v>21</v>
      </c>
      <c r="K540" s="61" t="n">
        <v>400</v>
      </c>
      <c r="L540" s="61" t="s">
        <v>109</v>
      </c>
      <c r="R540" s="82" t="str">
        <f aca="false">VLOOKUP(J540,ingredient!$N$4:$O$553,2,0)</f>
        <v>tomato</v>
      </c>
      <c r="U540" s="81" t="str">
        <f aca="false">I540</f>
        <v>Moong Dal Dossa</v>
      </c>
      <c r="V540" s="81" t="n">
        <f aca="false">VLOOKUP(U540,recipe_ingred_list!$A$2:$B$300,2,0)</f>
        <v>48</v>
      </c>
      <c r="W540" s="81" t="str">
        <f aca="false">"/recipes/"&amp;VLOOKUP(U540,recipe_ingred_list!$A$2:$C$300,3,0)&amp;"/detail/"</f>
        <v>/recipes/moong-dal-dossa/detail/</v>
      </c>
      <c r="X540" s="81" t="str">
        <f aca="false">J540</f>
        <v>Tomato</v>
      </c>
      <c r="Y540" s="81" t="str">
        <f aca="false">R540</f>
        <v>tomato</v>
      </c>
      <c r="Z540" s="94" t="n">
        <f aca="false">VLOOKUP(Y540,recipe_ingred_list!$D$2:$E$500,2,0)</f>
        <v>195</v>
      </c>
      <c r="AA540" s="61" t="n">
        <f aca="false">K540</f>
        <v>400</v>
      </c>
      <c r="AB540" s="61" t="str">
        <f aca="false">L540</f>
        <v>gm</v>
      </c>
      <c r="AC540" s="61" t="n">
        <f aca="false">VLOOKUP(AB540,recipe_ingred_list!$K$2:$M$7,3,0)</f>
        <v>7</v>
      </c>
      <c r="AD540" s="61" t="n">
        <f aca="false">M540</f>
        <v>0</v>
      </c>
      <c r="AE540" s="61" t="n">
        <f aca="false">N540</f>
        <v>0</v>
      </c>
      <c r="AF540" s="61" t="n">
        <f aca="false">VLOOKUP(AE540,recipe_ingred_list!$K$16:$M$25,3,0)</f>
        <v>1</v>
      </c>
      <c r="AG540" s="61" t="n">
        <f aca="false">O540</f>
        <v>0</v>
      </c>
      <c r="AH540" s="61" t="n">
        <f aca="false">P540</f>
        <v>0</v>
      </c>
      <c r="AI540" s="61" t="n">
        <f aca="false">VLOOKUP(AH540,recipe_ingred_list!$K$29:$M$34,3,0)</f>
        <v>3</v>
      </c>
      <c r="AJ540" s="61" t="str">
        <f aca="false">IF(Q540="","",Q540)</f>
        <v/>
      </c>
      <c r="AK540" s="61" t="n">
        <f aca="false">AK539+1</f>
        <v>540</v>
      </c>
      <c r="AL540" s="61" t="str">
        <f aca="false">Y540</f>
        <v>tomato</v>
      </c>
      <c r="AM540" s="81" t="str">
        <f aca="false">"a = Client().post('"&amp;W540&amp;"', {'recipe' : '"&amp;V540&amp;"', 'ingredient' : '"&amp;Z540&amp;"', 'name' : '"&amp;X540&amp;"', 'mass_unit' : '"&amp;AC540&amp;"', 'mass_quantity' : '"&amp;ROUND(AA540,3)&amp;"', 'volume_unit' : '"&amp;AF540&amp;"', 'volume_quantity' : '"&amp;ROUND(AD540,3)&amp;"', 'pieces_unit' : '"&amp;AI540&amp;"', 'pieces_quantity' : '"&amp;ROUND(AG540,3)&amp;"', 'cooking_notes' : '"&amp;AJ540&amp;"'}).status_code; print('%s :: %s :: %s :: %s :: %s' %(a,"&amp;G540&amp;",'"&amp;X540&amp;"','"&amp;Y540&amp;"','"&amp;U540&amp;"'))"</f>
        <v>a = Client().post('/recipes/moong-dal-dossa/detail/', {'recipe' : '48', 'ingredient' : '195', 'name' : 'Tomato', 'mass_unit' : '7', 'mass_quantity' : '400', 'volume_unit' : '1', 'volume_quantity' : '0', 'pieces_unit' : '3', 'pieces_quantity' : '0', 'cooking_notes' : ''}).status_code; print('%s :: %s :: %s :: %s :: %s' %(a,540,'Tomato','tomato','Moong Dal Dossa'))</v>
      </c>
    </row>
    <row r="541" customFormat="false" ht="13.8" hidden="false" customHeight="false" outlineLevel="0" collapsed="false">
      <c r="G541" s="80" t="n">
        <v>541</v>
      </c>
      <c r="H541" s="61"/>
      <c r="I541" s="61" t="s">
        <v>253</v>
      </c>
      <c r="J541" s="83" t="s">
        <v>686</v>
      </c>
      <c r="K541" s="61" t="n">
        <v>100</v>
      </c>
      <c r="L541" s="61" t="s">
        <v>109</v>
      </c>
      <c r="R541" s="82" t="str">
        <f aca="false">VLOOKUP(J541,ingredient!$N$4:$O$553,2,0)</f>
        <v>hari mirchi</v>
      </c>
      <c r="U541" s="81" t="str">
        <f aca="false">I541</f>
        <v>Moong Dal Dossa</v>
      </c>
      <c r="V541" s="81" t="n">
        <f aca="false">VLOOKUP(U541,recipe_ingred_list!$A$2:$B$300,2,0)</f>
        <v>48</v>
      </c>
      <c r="W541" s="81" t="str">
        <f aca="false">"/recipes/"&amp;VLOOKUP(U541,recipe_ingred_list!$A$2:$C$300,3,0)&amp;"/detail/"</f>
        <v>/recipes/moong-dal-dossa/detail/</v>
      </c>
      <c r="X541" s="81" t="str">
        <f aca="false">J541</f>
        <v>Hari Mirchi fine chopped</v>
      </c>
      <c r="Y541" s="81" t="str">
        <f aca="false">R541</f>
        <v>hari mirchi</v>
      </c>
      <c r="Z541" s="94" t="n">
        <f aca="false">VLOOKUP(Y541,recipe_ingred_list!$D$2:$E$500,2,0)</f>
        <v>93</v>
      </c>
      <c r="AA541" s="61" t="n">
        <f aca="false">K541</f>
        <v>100</v>
      </c>
      <c r="AB541" s="61" t="str">
        <f aca="false">L541</f>
        <v>gm</v>
      </c>
      <c r="AC541" s="61" t="n">
        <f aca="false">VLOOKUP(AB541,recipe_ingred_list!$K$2:$M$7,3,0)</f>
        <v>7</v>
      </c>
      <c r="AD541" s="61" t="n">
        <f aca="false">M541</f>
        <v>0</v>
      </c>
      <c r="AE541" s="61" t="n">
        <f aca="false">N541</f>
        <v>0</v>
      </c>
      <c r="AF541" s="61" t="n">
        <f aca="false">VLOOKUP(AE541,recipe_ingred_list!$K$16:$M$25,3,0)</f>
        <v>1</v>
      </c>
      <c r="AG541" s="61" t="n">
        <f aca="false">O541</f>
        <v>0</v>
      </c>
      <c r="AH541" s="61" t="n">
        <f aca="false">P541</f>
        <v>0</v>
      </c>
      <c r="AI541" s="61" t="n">
        <f aca="false">VLOOKUP(AH541,recipe_ingred_list!$K$29:$M$34,3,0)</f>
        <v>3</v>
      </c>
      <c r="AJ541" s="61" t="str">
        <f aca="false">IF(Q541="","",Q541)</f>
        <v/>
      </c>
      <c r="AK541" s="61" t="n">
        <f aca="false">AK540+1</f>
        <v>541</v>
      </c>
      <c r="AL541" s="61" t="str">
        <f aca="false">Y541</f>
        <v>hari mirchi</v>
      </c>
      <c r="AM541" s="81" t="str">
        <f aca="false">"a = Client().post('"&amp;W541&amp;"', {'recipe' : '"&amp;V541&amp;"', 'ingredient' : '"&amp;Z541&amp;"', 'name' : '"&amp;X541&amp;"', 'mass_unit' : '"&amp;AC541&amp;"', 'mass_quantity' : '"&amp;ROUND(AA541,3)&amp;"', 'volume_unit' : '"&amp;AF541&amp;"', 'volume_quantity' : '"&amp;ROUND(AD541,3)&amp;"', 'pieces_unit' : '"&amp;AI541&amp;"', 'pieces_quantity' : '"&amp;ROUND(AG541,3)&amp;"', 'cooking_notes' : '"&amp;AJ541&amp;"'}).status_code; print('%s :: %s :: %s :: %s :: %s' %(a,"&amp;G541&amp;",'"&amp;X541&amp;"','"&amp;Y541&amp;"','"&amp;U541&amp;"'))"</f>
        <v>a = Client().post('/recipes/moong-dal-dossa/detail/', {'recipe' : '48', 'ingredient' : '93', 'name' : 'Hari Mirchi fine chopped', 'mass_unit' : '7', 'mass_quantity' : '100', 'volume_unit' : '1', 'volume_quantity' : '0', 'pieces_unit' : '3', 'pieces_quantity' : '0', 'cooking_notes' : ''}).status_code; print('%s :: %s :: %s :: %s :: %s' %(a,541,'Hari Mirchi fine chopped','hari mirchi','Moong Dal Dossa'))</v>
      </c>
    </row>
    <row r="542" customFormat="false" ht="13.8" hidden="false" customHeight="false" outlineLevel="0" collapsed="false">
      <c r="G542" s="80" t="n">
        <v>542</v>
      </c>
      <c r="H542" s="61"/>
      <c r="I542" s="61" t="s">
        <v>253</v>
      </c>
      <c r="J542" s="83" t="s">
        <v>18</v>
      </c>
      <c r="K542" s="61" t="n">
        <v>150</v>
      </c>
      <c r="L542" s="61" t="s">
        <v>109</v>
      </c>
      <c r="R542" s="82" t="str">
        <f aca="false">VLOOKUP(J542,ingredient!$N$4:$O$553,2,0)</f>
        <v>adrak</v>
      </c>
      <c r="U542" s="81" t="str">
        <f aca="false">I542</f>
        <v>Moong Dal Dossa</v>
      </c>
      <c r="V542" s="81" t="n">
        <f aca="false">VLOOKUP(U542,recipe_ingred_list!$A$2:$B$300,2,0)</f>
        <v>48</v>
      </c>
      <c r="W542" s="81" t="str">
        <f aca="false">"/recipes/"&amp;VLOOKUP(U542,recipe_ingred_list!$A$2:$C$300,3,0)&amp;"/detail/"</f>
        <v>/recipes/moong-dal-dossa/detail/</v>
      </c>
      <c r="X542" s="81" t="str">
        <f aca="false">J542</f>
        <v>Adrak paste</v>
      </c>
      <c r="Y542" s="81" t="str">
        <f aca="false">R542</f>
        <v>adrak</v>
      </c>
      <c r="Z542" s="94" t="n">
        <f aca="false">VLOOKUP(Y542,recipe_ingred_list!$D$2:$E$500,2,0)</f>
        <v>1</v>
      </c>
      <c r="AA542" s="61" t="n">
        <f aca="false">K542</f>
        <v>150</v>
      </c>
      <c r="AB542" s="61" t="str">
        <f aca="false">L542</f>
        <v>gm</v>
      </c>
      <c r="AC542" s="61" t="n">
        <f aca="false">VLOOKUP(AB542,recipe_ingred_list!$K$2:$M$7,3,0)</f>
        <v>7</v>
      </c>
      <c r="AD542" s="61" t="n">
        <f aca="false">M542</f>
        <v>0</v>
      </c>
      <c r="AE542" s="61" t="n">
        <f aca="false">N542</f>
        <v>0</v>
      </c>
      <c r="AF542" s="61" t="n">
        <f aca="false">VLOOKUP(AE542,recipe_ingred_list!$K$16:$M$25,3,0)</f>
        <v>1</v>
      </c>
      <c r="AG542" s="61" t="n">
        <f aca="false">O542</f>
        <v>0</v>
      </c>
      <c r="AH542" s="61" t="n">
        <f aca="false">P542</f>
        <v>0</v>
      </c>
      <c r="AI542" s="61" t="n">
        <f aca="false">VLOOKUP(AH542,recipe_ingred_list!$K$29:$M$34,3,0)</f>
        <v>3</v>
      </c>
      <c r="AJ542" s="61" t="str">
        <f aca="false">IF(Q542="","",Q542)</f>
        <v/>
      </c>
      <c r="AK542" s="61" t="n">
        <f aca="false">AK541+1</f>
        <v>542</v>
      </c>
      <c r="AL542" s="61" t="str">
        <f aca="false">Y542</f>
        <v>adrak</v>
      </c>
      <c r="AM542" s="81" t="str">
        <f aca="false">"a = Client().post('"&amp;W542&amp;"', {'recipe' : '"&amp;V542&amp;"', 'ingredient' : '"&amp;Z542&amp;"', 'name' : '"&amp;X542&amp;"', 'mass_unit' : '"&amp;AC542&amp;"', 'mass_quantity' : '"&amp;ROUND(AA542,3)&amp;"', 'volume_unit' : '"&amp;AF542&amp;"', 'volume_quantity' : '"&amp;ROUND(AD542,3)&amp;"', 'pieces_unit' : '"&amp;AI542&amp;"', 'pieces_quantity' : '"&amp;ROUND(AG542,3)&amp;"', 'cooking_notes' : '"&amp;AJ542&amp;"'}).status_code; print('%s :: %s :: %s :: %s :: %s' %(a,"&amp;G542&amp;",'"&amp;X542&amp;"','"&amp;Y542&amp;"','"&amp;U542&amp;"'))"</f>
        <v>a = Client().post('/recipes/moong-dal-dossa/detail/', {'recipe' : '48', 'ingredient' : '1', 'name' : 'Adrak paste', 'mass_unit' : '7', 'mass_quantity' : '150', 'volume_unit' : '1', 'volume_quantity' : '0', 'pieces_unit' : '3', 'pieces_quantity' : '0', 'cooking_notes' : ''}).status_code; print('%s :: %s :: %s :: %s :: %s' %(a,542,'Adrak paste','adrak','Moong Dal Dossa'))</v>
      </c>
    </row>
    <row r="543" customFormat="false" ht="13.8" hidden="false" customHeight="false" outlineLevel="0" collapsed="false">
      <c r="G543" s="80" t="n">
        <v>543</v>
      </c>
      <c r="H543" s="61"/>
      <c r="I543" s="61" t="s">
        <v>253</v>
      </c>
      <c r="J543" s="83" t="s">
        <v>32</v>
      </c>
      <c r="M543" s="61" t="n">
        <v>0.4</v>
      </c>
      <c r="N543" s="61" t="s">
        <v>20</v>
      </c>
      <c r="R543" s="82" t="str">
        <f aca="false">VLOOKUP(J543,ingredient!$N$4:$O$553,2,0)</f>
        <v>salt</v>
      </c>
      <c r="U543" s="81" t="str">
        <f aca="false">I543</f>
        <v>Moong Dal Dossa</v>
      </c>
      <c r="V543" s="81" t="n">
        <f aca="false">VLOOKUP(U543,recipe_ingred_list!$A$2:$B$300,2,0)</f>
        <v>48</v>
      </c>
      <c r="W543" s="81" t="str">
        <f aca="false">"/recipes/"&amp;VLOOKUP(U543,recipe_ingred_list!$A$2:$C$300,3,0)&amp;"/detail/"</f>
        <v>/recipes/moong-dal-dossa/detail/</v>
      </c>
      <c r="X543" s="81" t="str">
        <f aca="false">J543</f>
        <v>Salt</v>
      </c>
      <c r="Y543" s="81" t="str">
        <f aca="false">R543</f>
        <v>salt</v>
      </c>
      <c r="Z543" s="94" t="n">
        <f aca="false">VLOOKUP(Y543,recipe_ingred_list!$D$2:$E$500,2,0)</f>
        <v>177</v>
      </c>
      <c r="AA543" s="61" t="n">
        <f aca="false">K543</f>
        <v>0</v>
      </c>
      <c r="AB543" s="61" t="n">
        <f aca="false">L543</f>
        <v>0</v>
      </c>
      <c r="AC543" s="61" t="n">
        <f aca="false">VLOOKUP(AB543,recipe_ingred_list!$K$2:$M$7,3,0)</f>
        <v>2</v>
      </c>
      <c r="AD543" s="61" t="n">
        <f aca="false">M543</f>
        <v>0.4</v>
      </c>
      <c r="AE543" s="61" t="str">
        <f aca="false">N543</f>
        <v>cup</v>
      </c>
      <c r="AF543" s="61" t="n">
        <f aca="false">VLOOKUP(AE543,recipe_ingred_list!$K$16:$M$25,3,0)</f>
        <v>5</v>
      </c>
      <c r="AG543" s="61" t="n">
        <f aca="false">O543</f>
        <v>0</v>
      </c>
      <c r="AH543" s="61" t="n">
        <f aca="false">P543</f>
        <v>0</v>
      </c>
      <c r="AI543" s="61" t="n">
        <f aca="false">VLOOKUP(AH543,recipe_ingred_list!$K$29:$M$34,3,0)</f>
        <v>3</v>
      </c>
      <c r="AJ543" s="61" t="str">
        <f aca="false">IF(Q543="","",Q543)</f>
        <v/>
      </c>
      <c r="AK543" s="61" t="n">
        <f aca="false">AK542+1</f>
        <v>543</v>
      </c>
      <c r="AL543" s="61" t="str">
        <f aca="false">Y543</f>
        <v>salt</v>
      </c>
      <c r="AM543" s="81" t="str">
        <f aca="false">"a = Client().post('"&amp;W543&amp;"', {'recipe' : '"&amp;V543&amp;"', 'ingredient' : '"&amp;Z543&amp;"', 'name' : '"&amp;X543&amp;"', 'mass_unit' : '"&amp;AC543&amp;"', 'mass_quantity' : '"&amp;ROUND(AA543,3)&amp;"', 'volume_unit' : '"&amp;AF543&amp;"', 'volume_quantity' : '"&amp;ROUND(AD543,3)&amp;"', 'pieces_unit' : '"&amp;AI543&amp;"', 'pieces_quantity' : '"&amp;ROUND(AG543,3)&amp;"', 'cooking_notes' : '"&amp;AJ543&amp;"'}).status_code; print('%s :: %s :: %s :: %s :: %s' %(a,"&amp;G543&amp;",'"&amp;X543&amp;"','"&amp;Y543&amp;"','"&amp;U543&amp;"'))"</f>
        <v>a = Client().post('/recipes/moong-dal-dossa/detail/', {'recipe' : '48', 'ingredient' : '177', 'name' : 'Salt', 'mass_unit' : '2', 'mass_quantity' : '0', 'volume_unit' : '5', 'volume_quantity' : '0.4', 'pieces_unit' : '3', 'pieces_quantity' : '0', 'cooking_notes' : ''}).status_code; print('%s :: %s :: %s :: %s :: %s' %(a,543,'Salt','salt','Moong Dal Dossa'))</v>
      </c>
    </row>
    <row r="544" customFormat="false" ht="13.8" hidden="false" customHeight="false" outlineLevel="0" collapsed="false">
      <c r="G544" s="80" t="n">
        <v>544</v>
      </c>
      <c r="H544" s="61"/>
      <c r="I544" s="61" t="s">
        <v>253</v>
      </c>
      <c r="J544" s="83" t="s">
        <v>651</v>
      </c>
      <c r="M544" s="61" t="n">
        <v>1</v>
      </c>
      <c r="N544" s="61" t="s">
        <v>13</v>
      </c>
      <c r="R544" s="82" t="str">
        <f aca="false">VLOOKUP(J544,ingredient!$N$4:$O$553,2,0)</f>
        <v>kadi patta</v>
      </c>
      <c r="U544" s="81" t="str">
        <f aca="false">I544</f>
        <v>Moong Dal Dossa</v>
      </c>
      <c r="V544" s="81" t="n">
        <f aca="false">VLOOKUP(U544,recipe_ingred_list!$A$2:$B$300,2,0)</f>
        <v>48</v>
      </c>
      <c r="W544" s="81" t="str">
        <f aca="false">"/recipes/"&amp;VLOOKUP(U544,recipe_ingred_list!$A$2:$C$300,3,0)&amp;"/detail/"</f>
        <v>/recipes/moong-dal-dossa/detail/</v>
      </c>
      <c r="X544" s="81" t="str">
        <f aca="false">J544</f>
        <v>Kadi patta</v>
      </c>
      <c r="Y544" s="81" t="str">
        <f aca="false">R544</f>
        <v>kadi patta</v>
      </c>
      <c r="Z544" s="94" t="n">
        <f aca="false">VLOOKUP(Y544,recipe_ingred_list!$D$2:$E$500,2,0)</f>
        <v>105</v>
      </c>
      <c r="AA544" s="61" t="n">
        <f aca="false">K544</f>
        <v>0</v>
      </c>
      <c r="AB544" s="61" t="n">
        <f aca="false">L544</f>
        <v>0</v>
      </c>
      <c r="AC544" s="61" t="n">
        <f aca="false">VLOOKUP(AB544,recipe_ingred_list!$K$2:$M$7,3,0)</f>
        <v>2</v>
      </c>
      <c r="AD544" s="61" t="n">
        <f aca="false">M544</f>
        <v>1</v>
      </c>
      <c r="AE544" s="61" t="str">
        <f aca="false">N544</f>
        <v>ltr</v>
      </c>
      <c r="AF544" s="61" t="n">
        <f aca="false">VLOOKUP(AE544,recipe_ingred_list!$K$16:$M$25,3,0)</f>
        <v>1</v>
      </c>
      <c r="AG544" s="61" t="n">
        <f aca="false">O544</f>
        <v>0</v>
      </c>
      <c r="AH544" s="61" t="n">
        <f aca="false">P544</f>
        <v>0</v>
      </c>
      <c r="AI544" s="61" t="n">
        <f aca="false">VLOOKUP(AH544,recipe_ingred_list!$K$29:$M$34,3,0)</f>
        <v>3</v>
      </c>
      <c r="AJ544" s="61" t="str">
        <f aca="false">IF(Q544="","",Q544)</f>
        <v/>
      </c>
      <c r="AK544" s="61" t="n">
        <f aca="false">AK543+1</f>
        <v>544</v>
      </c>
      <c r="AL544" s="61" t="str">
        <f aca="false">Y544</f>
        <v>kadi patta</v>
      </c>
      <c r="AM544" s="81" t="str">
        <f aca="false">"a = Client().post('"&amp;W544&amp;"', {'recipe' : '"&amp;V544&amp;"', 'ingredient' : '"&amp;Z544&amp;"', 'name' : '"&amp;X544&amp;"', 'mass_unit' : '"&amp;AC544&amp;"', 'mass_quantity' : '"&amp;ROUND(AA544,3)&amp;"', 'volume_unit' : '"&amp;AF544&amp;"', 'volume_quantity' : '"&amp;ROUND(AD544,3)&amp;"', 'pieces_unit' : '"&amp;AI544&amp;"', 'pieces_quantity' : '"&amp;ROUND(AG544,3)&amp;"', 'cooking_notes' : '"&amp;AJ544&amp;"'}).status_code; print('%s :: %s :: %s :: %s :: %s' %(a,"&amp;G544&amp;",'"&amp;X544&amp;"','"&amp;Y544&amp;"','"&amp;U544&amp;"'))"</f>
        <v>a = Client().post('/recipes/moong-dal-dossa/detail/', {'recipe' : '48', 'ingredient' : '105', 'name' : 'Kadi patta', 'mass_unit' : '2', 'mass_quantity' : '0', 'volume_unit' : '1', 'volume_quantity' : '1', 'pieces_unit' : '3', 'pieces_quantity' : '0', 'cooking_notes' : ''}).status_code; print('%s :: %s :: %s :: %s :: %s' %(a,544,'Kadi patta','kadi patta','Moong Dal Dossa'))</v>
      </c>
    </row>
    <row r="545" customFormat="false" ht="13.8" hidden="false" customHeight="false" outlineLevel="0" collapsed="false">
      <c r="G545" s="80" t="n">
        <v>545</v>
      </c>
      <c r="H545" s="61"/>
      <c r="I545" s="61" t="s">
        <v>253</v>
      </c>
      <c r="J545" s="83" t="s">
        <v>668</v>
      </c>
      <c r="M545" s="61" t="n">
        <v>2</v>
      </c>
      <c r="N545" s="61" t="s">
        <v>13</v>
      </c>
      <c r="R545" s="82" t="str">
        <f aca="false">VLOOKUP(J545,ingredient!$N$4:$O$553,2,0)</f>
        <v>pudina</v>
      </c>
      <c r="U545" s="81" t="str">
        <f aca="false">I545</f>
        <v>Moong Dal Dossa</v>
      </c>
      <c r="V545" s="81" t="n">
        <f aca="false">VLOOKUP(U545,recipe_ingred_list!$A$2:$B$300,2,0)</f>
        <v>48</v>
      </c>
      <c r="W545" s="81" t="str">
        <f aca="false">"/recipes/"&amp;VLOOKUP(U545,recipe_ingred_list!$A$2:$C$300,3,0)&amp;"/detail/"</f>
        <v>/recipes/moong-dal-dossa/detail/</v>
      </c>
      <c r="X545" s="81" t="str">
        <f aca="false">J545</f>
        <v>Pudina</v>
      </c>
      <c r="Y545" s="81" t="str">
        <f aca="false">R545</f>
        <v>pudina</v>
      </c>
      <c r="Z545" s="94" t="n">
        <f aca="false">VLOOKUP(Y545,recipe_ingred_list!$D$2:$E$500,2,0)</f>
        <v>162</v>
      </c>
      <c r="AA545" s="61" t="n">
        <f aca="false">K545</f>
        <v>0</v>
      </c>
      <c r="AB545" s="61" t="n">
        <f aca="false">L545</f>
        <v>0</v>
      </c>
      <c r="AC545" s="61" t="n">
        <f aca="false">VLOOKUP(AB545,recipe_ingred_list!$K$2:$M$7,3,0)</f>
        <v>2</v>
      </c>
      <c r="AD545" s="61" t="n">
        <f aca="false">M545</f>
        <v>2</v>
      </c>
      <c r="AE545" s="61" t="str">
        <f aca="false">N545</f>
        <v>ltr</v>
      </c>
      <c r="AF545" s="61" t="n">
        <f aca="false">VLOOKUP(AE545,recipe_ingred_list!$K$16:$M$25,3,0)</f>
        <v>1</v>
      </c>
      <c r="AG545" s="61" t="n">
        <f aca="false">O545</f>
        <v>0</v>
      </c>
      <c r="AH545" s="61" t="n">
        <f aca="false">P545</f>
        <v>0</v>
      </c>
      <c r="AI545" s="61" t="n">
        <f aca="false">VLOOKUP(AH545,recipe_ingred_list!$K$29:$M$34,3,0)</f>
        <v>3</v>
      </c>
      <c r="AJ545" s="61" t="str">
        <f aca="false">IF(Q545="","",Q545)</f>
        <v/>
      </c>
      <c r="AK545" s="61" t="n">
        <f aca="false">AK544+1</f>
        <v>545</v>
      </c>
      <c r="AL545" s="61" t="str">
        <f aca="false">Y545</f>
        <v>pudina</v>
      </c>
      <c r="AM545" s="81" t="str">
        <f aca="false">"a = Client().post('"&amp;W545&amp;"', {'recipe' : '"&amp;V545&amp;"', 'ingredient' : '"&amp;Z545&amp;"', 'name' : '"&amp;X545&amp;"', 'mass_unit' : '"&amp;AC545&amp;"', 'mass_quantity' : '"&amp;ROUND(AA545,3)&amp;"', 'volume_unit' : '"&amp;AF545&amp;"', 'volume_quantity' : '"&amp;ROUND(AD545,3)&amp;"', 'pieces_unit' : '"&amp;AI545&amp;"', 'pieces_quantity' : '"&amp;ROUND(AG545,3)&amp;"', 'cooking_notes' : '"&amp;AJ545&amp;"'}).status_code; print('%s :: %s :: %s :: %s :: %s' %(a,"&amp;G545&amp;",'"&amp;X545&amp;"','"&amp;Y545&amp;"','"&amp;U545&amp;"'))"</f>
        <v>a = Client().post('/recipes/moong-dal-dossa/detail/', {'recipe' : '48', 'ingredient' : '162', 'name' : 'Pudina', 'mass_unit' : '2', 'mass_quantity' : '0', 'volume_unit' : '1', 'volume_quantity' : '2', 'pieces_unit' : '3', 'pieces_quantity' : '0', 'cooking_notes' : ''}).status_code; print('%s :: %s :: %s :: %s :: %s' %(a,545,'Pudina','pudina','Moong Dal Dossa'))</v>
      </c>
    </row>
    <row r="546" customFormat="false" ht="13.8" hidden="false" customHeight="false" outlineLevel="0" collapsed="false">
      <c r="G546" s="80" t="n">
        <v>546</v>
      </c>
      <c r="H546" s="69"/>
      <c r="I546" s="69" t="s">
        <v>253</v>
      </c>
      <c r="J546" s="142" t="s">
        <v>568</v>
      </c>
      <c r="K546" s="69"/>
      <c r="L546" s="69"/>
      <c r="M546" s="69" t="n">
        <v>2</v>
      </c>
      <c r="N546" s="69" t="s">
        <v>13</v>
      </c>
      <c r="O546" s="69"/>
      <c r="P546" s="69"/>
      <c r="R546" s="82" t="str">
        <f aca="false">VLOOKUP(J546,ingredient!$N$4:$O$553,2,0)</f>
        <v>dhaniya powder</v>
      </c>
      <c r="U546" s="81" t="str">
        <f aca="false">I546</f>
        <v>Moong Dal Dossa</v>
      </c>
      <c r="V546" s="81" t="n">
        <f aca="false">VLOOKUP(U546,recipe_ingred_list!$A$2:$B$300,2,0)</f>
        <v>48</v>
      </c>
      <c r="W546" s="81" t="str">
        <f aca="false">"/recipes/"&amp;VLOOKUP(U546,recipe_ingred_list!$A$2:$C$300,3,0)&amp;"/detail/"</f>
        <v>/recipes/moong-dal-dossa/detail/</v>
      </c>
      <c r="X546" s="81" t="str">
        <f aca="false">J546</f>
        <v>Dhania powder</v>
      </c>
      <c r="Y546" s="81" t="str">
        <f aca="false">R546</f>
        <v>dhaniya powder</v>
      </c>
      <c r="Z546" s="94" t="n">
        <f aca="false">VLOOKUP(Y546,recipe_ingred_list!$D$2:$E$500,2,0)</f>
        <v>67</v>
      </c>
      <c r="AA546" s="61" t="n">
        <f aca="false">K546</f>
        <v>0</v>
      </c>
      <c r="AB546" s="61" t="n">
        <f aca="false">L546</f>
        <v>0</v>
      </c>
      <c r="AC546" s="61" t="n">
        <f aca="false">VLOOKUP(AB546,recipe_ingred_list!$K$2:$M$7,3,0)</f>
        <v>2</v>
      </c>
      <c r="AD546" s="61" t="n">
        <f aca="false">M546</f>
        <v>2</v>
      </c>
      <c r="AE546" s="61" t="str">
        <f aca="false">N546</f>
        <v>ltr</v>
      </c>
      <c r="AF546" s="61" t="n">
        <f aca="false">VLOOKUP(AE546,recipe_ingred_list!$K$16:$M$25,3,0)</f>
        <v>1</v>
      </c>
      <c r="AG546" s="61" t="n">
        <f aca="false">O546</f>
        <v>0</v>
      </c>
      <c r="AH546" s="61" t="n">
        <f aca="false">P546</f>
        <v>0</v>
      </c>
      <c r="AI546" s="61" t="n">
        <f aca="false">VLOOKUP(AH546,recipe_ingred_list!$K$29:$M$34,3,0)</f>
        <v>3</v>
      </c>
      <c r="AJ546" s="61" t="str">
        <f aca="false">IF(Q546="","",Q546)</f>
        <v/>
      </c>
      <c r="AK546" s="61" t="n">
        <f aca="false">AK545+1</f>
        <v>546</v>
      </c>
      <c r="AL546" s="61" t="str">
        <f aca="false">Y546</f>
        <v>dhaniya powder</v>
      </c>
      <c r="AM546" s="81" t="str">
        <f aca="false">"a = Client().post('"&amp;W546&amp;"', {'recipe' : '"&amp;V546&amp;"', 'ingredient' : '"&amp;Z546&amp;"', 'name' : '"&amp;X546&amp;"', 'mass_unit' : '"&amp;AC546&amp;"', 'mass_quantity' : '"&amp;ROUND(AA546,3)&amp;"', 'volume_unit' : '"&amp;AF546&amp;"', 'volume_quantity' : '"&amp;ROUND(AD546,3)&amp;"', 'pieces_unit' : '"&amp;AI546&amp;"', 'pieces_quantity' : '"&amp;ROUND(AG546,3)&amp;"', 'cooking_notes' : '"&amp;AJ546&amp;"'}).status_code; print('%s :: %s :: %s :: %s :: %s' %(a,"&amp;G546&amp;",'"&amp;X546&amp;"','"&amp;Y546&amp;"','"&amp;U546&amp;"'))"</f>
        <v>a = Client().post('/recipes/moong-dal-dossa/detail/', {'recipe' : '48', 'ingredient' : '67', 'name' : 'Dhania powder', 'mass_unit' : '2', 'mass_quantity' : '0', 'volume_unit' : '1', 'volume_quantity' : '2', 'pieces_unit' : '3', 'pieces_quantity' : '0', 'cooking_notes' : ''}).status_code; print('%s :: %s :: %s :: %s :: %s' %(a,546,'Dhania powder','dhaniya powder','Moong Dal Dossa'))</v>
      </c>
    </row>
    <row r="547" customFormat="false" ht="13.8" hidden="false" customHeight="false" outlineLevel="0" collapsed="false">
      <c r="G547" s="80" t="n">
        <v>547</v>
      </c>
      <c r="H547" s="61"/>
      <c r="I547" s="61" t="s">
        <v>253</v>
      </c>
      <c r="J547" s="83" t="s">
        <v>635</v>
      </c>
      <c r="M547" s="61" t="n">
        <v>0.5</v>
      </c>
      <c r="N547" s="61" t="s">
        <v>20</v>
      </c>
      <c r="R547" s="82" t="str">
        <f aca="false">VLOOKUP(J547,ingredient!$N$4:$O$553,2,0)</f>
        <v>black pepper</v>
      </c>
      <c r="U547" s="81" t="str">
        <f aca="false">I547</f>
        <v>Moong Dal Dossa</v>
      </c>
      <c r="V547" s="81" t="n">
        <f aca="false">VLOOKUP(U547,recipe_ingred_list!$A$2:$B$300,2,0)</f>
        <v>48</v>
      </c>
      <c r="W547" s="81" t="str">
        <f aca="false">"/recipes/"&amp;VLOOKUP(U547,recipe_ingred_list!$A$2:$C$300,3,0)&amp;"/detail/"</f>
        <v>/recipes/moong-dal-dossa/detail/</v>
      </c>
      <c r="X547" s="81" t="str">
        <f aca="false">J547</f>
        <v>Black pepper pwd</v>
      </c>
      <c r="Y547" s="81" t="str">
        <f aca="false">R547</f>
        <v>black pepper</v>
      </c>
      <c r="Z547" s="94" t="n">
        <f aca="false">VLOOKUP(Y547,recipe_ingred_list!$D$2:$E$500,2,0)</f>
        <v>31</v>
      </c>
      <c r="AA547" s="61" t="n">
        <f aca="false">K547</f>
        <v>0</v>
      </c>
      <c r="AB547" s="61" t="n">
        <f aca="false">L547</f>
        <v>0</v>
      </c>
      <c r="AC547" s="61" t="n">
        <f aca="false">VLOOKUP(AB547,recipe_ingred_list!$K$2:$M$7,3,0)</f>
        <v>2</v>
      </c>
      <c r="AD547" s="61" t="n">
        <f aca="false">M547</f>
        <v>0.5</v>
      </c>
      <c r="AE547" s="61" t="str">
        <f aca="false">N547</f>
        <v>cup</v>
      </c>
      <c r="AF547" s="61" t="n">
        <f aca="false">VLOOKUP(AE547,recipe_ingred_list!$K$16:$M$25,3,0)</f>
        <v>5</v>
      </c>
      <c r="AG547" s="61" t="n">
        <f aca="false">O547</f>
        <v>0</v>
      </c>
      <c r="AH547" s="61" t="n">
        <f aca="false">P547</f>
        <v>0</v>
      </c>
      <c r="AI547" s="61" t="n">
        <f aca="false">VLOOKUP(AH547,recipe_ingred_list!$K$29:$M$34,3,0)</f>
        <v>3</v>
      </c>
      <c r="AJ547" s="61" t="str">
        <f aca="false">IF(Q547="","",Q547)</f>
        <v/>
      </c>
      <c r="AK547" s="61" t="n">
        <f aca="false">AK546+1</f>
        <v>547</v>
      </c>
      <c r="AL547" s="61" t="str">
        <f aca="false">Y547</f>
        <v>black pepper</v>
      </c>
      <c r="AM547" s="81" t="str">
        <f aca="false">"a = Client().post('"&amp;W547&amp;"', {'recipe' : '"&amp;V547&amp;"', 'ingredient' : '"&amp;Z547&amp;"', 'name' : '"&amp;X547&amp;"', 'mass_unit' : '"&amp;AC547&amp;"', 'mass_quantity' : '"&amp;ROUND(AA547,3)&amp;"', 'volume_unit' : '"&amp;AF547&amp;"', 'volume_quantity' : '"&amp;ROUND(AD547,3)&amp;"', 'pieces_unit' : '"&amp;AI547&amp;"', 'pieces_quantity' : '"&amp;ROUND(AG547,3)&amp;"', 'cooking_notes' : '"&amp;AJ547&amp;"'}).status_code; print('%s :: %s :: %s :: %s :: %s' %(a,"&amp;G547&amp;",'"&amp;X547&amp;"','"&amp;Y547&amp;"','"&amp;U547&amp;"'))"</f>
        <v>a = Client().post('/recipes/moong-dal-dossa/detail/', {'recipe' : '48', 'ingredient' : '31', 'name' : 'Black pepper pwd', 'mass_unit' : '2', 'mass_quantity' : '0', 'volume_unit' : '5', 'volume_quantity' : '0.5', 'pieces_unit' : '3', 'pieces_quantity' : '0', 'cooking_notes' : ''}).status_code; print('%s :: %s :: %s :: %s :: %s' %(a,547,'Black pepper pwd','black pepper','Moong Dal Dossa'))</v>
      </c>
    </row>
    <row r="548" customFormat="false" ht="13.8" hidden="false" customHeight="false" outlineLevel="0" collapsed="false">
      <c r="G548" s="80" t="n">
        <v>548</v>
      </c>
      <c r="H548" s="61"/>
      <c r="I548" s="61" t="s">
        <v>253</v>
      </c>
      <c r="J548" s="83" t="s">
        <v>687</v>
      </c>
      <c r="M548" s="61" t="n">
        <v>11</v>
      </c>
      <c r="N548" s="61" t="s">
        <v>13</v>
      </c>
      <c r="R548" s="82" t="str">
        <f aca="false">VLOOKUP(J548,ingredient!$N$4:$O$553,2,0)</f>
        <v>batter yield</v>
      </c>
      <c r="U548" s="81" t="str">
        <f aca="false">I548</f>
        <v>Moong Dal Dossa</v>
      </c>
      <c r="V548" s="81" t="n">
        <f aca="false">VLOOKUP(U548,recipe_ingred_list!$A$2:$B$300,2,0)</f>
        <v>48</v>
      </c>
      <c r="W548" s="81" t="str">
        <f aca="false">"/recipes/"&amp;VLOOKUP(U548,recipe_ingred_list!$A$2:$C$300,3,0)&amp;"/detail/"</f>
        <v>/recipes/moong-dal-dossa/detail/</v>
      </c>
      <c r="X548" s="81" t="str">
        <f aca="false">J548</f>
        <v>Batter yield</v>
      </c>
      <c r="Y548" s="81" t="str">
        <f aca="false">R548</f>
        <v>batter yield</v>
      </c>
      <c r="Z548" s="94" t="n">
        <f aca="false">VLOOKUP(Y548,recipe_ingred_list!$D$2:$E$500,2,0)</f>
        <v>26</v>
      </c>
      <c r="AA548" s="61" t="n">
        <f aca="false">K548</f>
        <v>0</v>
      </c>
      <c r="AB548" s="61" t="n">
        <f aca="false">L548</f>
        <v>0</v>
      </c>
      <c r="AC548" s="61" t="n">
        <f aca="false">VLOOKUP(AB548,recipe_ingred_list!$K$2:$M$7,3,0)</f>
        <v>2</v>
      </c>
      <c r="AD548" s="61" t="n">
        <f aca="false">M548</f>
        <v>11</v>
      </c>
      <c r="AE548" s="61" t="str">
        <f aca="false">N548</f>
        <v>ltr</v>
      </c>
      <c r="AF548" s="61" t="n">
        <f aca="false">VLOOKUP(AE548,recipe_ingred_list!$K$16:$M$25,3,0)</f>
        <v>1</v>
      </c>
      <c r="AG548" s="61" t="n">
        <f aca="false">O548</f>
        <v>0</v>
      </c>
      <c r="AH548" s="61" t="n">
        <f aca="false">P548</f>
        <v>0</v>
      </c>
      <c r="AI548" s="61" t="n">
        <f aca="false">VLOOKUP(AH548,recipe_ingred_list!$K$29:$M$34,3,0)</f>
        <v>3</v>
      </c>
      <c r="AJ548" s="61" t="str">
        <f aca="false">IF(Q548="","",Q548)</f>
        <v/>
      </c>
      <c r="AK548" s="61" t="n">
        <f aca="false">AK547+1</f>
        <v>548</v>
      </c>
      <c r="AL548" s="61" t="str">
        <f aca="false">Y548</f>
        <v>batter yield</v>
      </c>
      <c r="AM548" s="81" t="str">
        <f aca="false">"a = Client().post('"&amp;W548&amp;"', {'recipe' : '"&amp;V548&amp;"', 'ingredient' : '"&amp;Z548&amp;"', 'name' : '"&amp;X548&amp;"', 'mass_unit' : '"&amp;AC548&amp;"', 'mass_quantity' : '"&amp;ROUND(AA548,3)&amp;"', 'volume_unit' : '"&amp;AF548&amp;"', 'volume_quantity' : '"&amp;ROUND(AD548,3)&amp;"', 'pieces_unit' : '"&amp;AI548&amp;"', 'pieces_quantity' : '"&amp;ROUND(AG548,3)&amp;"', 'cooking_notes' : '"&amp;AJ548&amp;"'}).status_code; print('%s :: %s :: %s :: %s :: %s' %(a,"&amp;G548&amp;",'"&amp;X548&amp;"','"&amp;Y548&amp;"','"&amp;U548&amp;"'))"</f>
        <v>a = Client().post('/recipes/moong-dal-dossa/detail/', {'recipe' : '48', 'ingredient' : '26', 'name' : 'Batter yield', 'mass_unit' : '2', 'mass_quantity' : '0', 'volume_unit' : '1', 'volume_quantity' : '11', 'pieces_unit' : '3', 'pieces_quantity' : '0', 'cooking_notes' : ''}).status_code; print('%s :: %s :: %s :: %s :: %s' %(a,548,'Batter yield','batter yield','Moong Dal Dossa'))</v>
      </c>
    </row>
    <row r="549" customFormat="false" ht="13.8" hidden="false" customHeight="false" outlineLevel="0" collapsed="false">
      <c r="G549" s="80" t="n">
        <v>549</v>
      </c>
      <c r="H549" s="61"/>
      <c r="I549" s="61" t="s">
        <v>253</v>
      </c>
      <c r="J549" s="83" t="s">
        <v>687</v>
      </c>
      <c r="M549" s="61" t="n">
        <v>0.3</v>
      </c>
      <c r="N549" s="61" t="s">
        <v>27</v>
      </c>
      <c r="R549" s="82" t="str">
        <f aca="false">VLOOKUP(J549,ingredient!$N$4:$O$553,2,0)</f>
        <v>batter yield</v>
      </c>
      <c r="U549" s="81" t="str">
        <f aca="false">I549</f>
        <v>Moong Dal Dossa</v>
      </c>
      <c r="V549" s="81" t="n">
        <f aca="false">VLOOKUP(U549,recipe_ingred_list!$A$2:$B$300,2,0)</f>
        <v>48</v>
      </c>
      <c r="W549" s="81" t="str">
        <f aca="false">"/recipes/"&amp;VLOOKUP(U549,recipe_ingred_list!$A$2:$C$300,3,0)&amp;"/detail/"</f>
        <v>/recipes/moong-dal-dossa/detail/</v>
      </c>
      <c r="X549" s="81" t="str">
        <f aca="false">J549</f>
        <v>Batter yield</v>
      </c>
      <c r="Y549" s="81" t="str">
        <f aca="false">R549</f>
        <v>batter yield</v>
      </c>
      <c r="Z549" s="94" t="n">
        <f aca="false">VLOOKUP(Y549,recipe_ingred_list!$D$2:$E$500,2,0)</f>
        <v>26</v>
      </c>
      <c r="AA549" s="61" t="n">
        <f aca="false">K549</f>
        <v>0</v>
      </c>
      <c r="AB549" s="61" t="n">
        <f aca="false">L549</f>
        <v>0</v>
      </c>
      <c r="AC549" s="61" t="n">
        <f aca="false">VLOOKUP(AB549,recipe_ingred_list!$K$2:$M$7,3,0)</f>
        <v>2</v>
      </c>
      <c r="AD549" s="61" t="n">
        <f aca="false">M549</f>
        <v>0.3</v>
      </c>
      <c r="AE549" s="61" t="str">
        <f aca="false">N549</f>
        <v>tub</v>
      </c>
      <c r="AF549" s="61" t="n">
        <f aca="false">VLOOKUP(AE549,recipe_ingred_list!$K$16:$M$25,3,0)</f>
        <v>4</v>
      </c>
      <c r="AG549" s="61" t="n">
        <f aca="false">O549</f>
        <v>0</v>
      </c>
      <c r="AH549" s="61" t="n">
        <f aca="false">P549</f>
        <v>0</v>
      </c>
      <c r="AI549" s="61" t="n">
        <f aca="false">VLOOKUP(AH549,recipe_ingred_list!$K$29:$M$34,3,0)</f>
        <v>3</v>
      </c>
      <c r="AJ549" s="61" t="str">
        <f aca="false">IF(Q549="","",Q549)</f>
        <v/>
      </c>
      <c r="AK549" s="61" t="n">
        <f aca="false">AK548+1</f>
        <v>549</v>
      </c>
      <c r="AL549" s="61" t="str">
        <f aca="false">Y549</f>
        <v>batter yield</v>
      </c>
      <c r="AM549" s="81" t="str">
        <f aca="false">"a = Client().post('"&amp;W549&amp;"', {'recipe' : '"&amp;V549&amp;"', 'ingredient' : '"&amp;Z549&amp;"', 'name' : '"&amp;X549&amp;"', 'mass_unit' : '"&amp;AC549&amp;"', 'mass_quantity' : '"&amp;ROUND(AA549,3)&amp;"', 'volume_unit' : '"&amp;AF549&amp;"', 'volume_quantity' : '"&amp;ROUND(AD549,3)&amp;"', 'pieces_unit' : '"&amp;AI549&amp;"', 'pieces_quantity' : '"&amp;ROUND(AG549,3)&amp;"', 'cooking_notes' : '"&amp;AJ549&amp;"'}).status_code; print('%s :: %s :: %s :: %s :: %s' %(a,"&amp;G549&amp;",'"&amp;X549&amp;"','"&amp;Y549&amp;"','"&amp;U549&amp;"'))"</f>
        <v>a = Client().post('/recipes/moong-dal-dossa/detail/', {'recipe' : '48', 'ingredient' : '26', 'name' : 'Batter yield', 'mass_unit' : '2', 'mass_quantity' : '0', 'volume_unit' : '4', 'volume_quantity' : '0.3', 'pieces_unit' : '3', 'pieces_quantity' : '0', 'cooking_notes' : ''}).status_code; print('%s :: %s :: %s :: %s :: %s' %(a,549,'Batter yield','batter yield','Moong Dal Dossa'))</v>
      </c>
    </row>
    <row r="550" customFormat="false" ht="13.8" hidden="false" customHeight="false" outlineLevel="0" collapsed="false">
      <c r="G550" s="80" t="n">
        <v>550</v>
      </c>
      <c r="H550" s="100"/>
      <c r="I550" s="100" t="s">
        <v>253</v>
      </c>
      <c r="J550" s="79" t="s">
        <v>688</v>
      </c>
      <c r="K550" s="100"/>
      <c r="L550" s="100"/>
      <c r="M550" s="100"/>
      <c r="N550" s="100"/>
      <c r="O550" s="100" t="n">
        <v>100</v>
      </c>
      <c r="P550" s="100" t="s">
        <v>107</v>
      </c>
      <c r="Q550" s="102"/>
      <c r="R550" s="99" t="n">
        <f aca="false">VLOOKUP(J550,ingredient!$N$4:$O$553,2,0)</f>
        <v>0</v>
      </c>
      <c r="S550" s="98"/>
      <c r="T550" s="98"/>
      <c r="U550" s="81" t="str">
        <f aca="false">I550</f>
        <v>Moong Dal Dossa</v>
      </c>
      <c r="V550" s="81" t="n">
        <f aca="false">VLOOKUP(U550,recipe_ingred_list!$A$2:$B$300,2,0)</f>
        <v>48</v>
      </c>
      <c r="W550" s="81" t="str">
        <f aca="false">"/recipes/"&amp;VLOOKUP(U550,recipe_ingred_list!$A$2:$C$300,3,0)&amp;"/detail/"</f>
        <v>/recipes/moong-dal-dossa/detail/</v>
      </c>
      <c r="X550" s="81" t="str">
        <f aca="false">J550</f>
        <v>Medium Size yeild</v>
      </c>
      <c r="Y550" s="81" t="n">
        <f aca="false">R550</f>
        <v>0</v>
      </c>
      <c r="Z550" s="94" t="e">
        <f aca="false">VLOOKUP(Y550,recipe_ingred_list!$D$2:$E$500,2,0)</f>
        <v>#N/A</v>
      </c>
      <c r="AA550" s="61" t="n">
        <f aca="false">K550</f>
        <v>0</v>
      </c>
      <c r="AB550" s="61" t="n">
        <f aca="false">L550</f>
        <v>0</v>
      </c>
      <c r="AC550" s="61" t="n">
        <f aca="false">VLOOKUP(AB550,recipe_ingred_list!$K$2:$M$7,3,0)</f>
        <v>2</v>
      </c>
      <c r="AD550" s="61" t="n">
        <f aca="false">M550</f>
        <v>0</v>
      </c>
      <c r="AE550" s="61" t="n">
        <f aca="false">N550</f>
        <v>0</v>
      </c>
      <c r="AF550" s="61" t="n">
        <f aca="false">VLOOKUP(AE550,recipe_ingred_list!$K$16:$M$25,3,0)</f>
        <v>1</v>
      </c>
      <c r="AG550" s="61" t="n">
        <f aca="false">O550</f>
        <v>100</v>
      </c>
      <c r="AH550" s="61" t="str">
        <f aca="false">P550</f>
        <v>pcs</v>
      </c>
      <c r="AI550" s="61" t="n">
        <f aca="false">VLOOKUP(AH550,recipe_ingred_list!$K$29:$M$34,3,0)</f>
        <v>3</v>
      </c>
      <c r="AJ550" s="61" t="str">
        <f aca="false">IF(Q550="","",Q550)</f>
        <v/>
      </c>
      <c r="AK550" s="61" t="n">
        <f aca="false">AK549+1</f>
        <v>550</v>
      </c>
      <c r="AL550" s="61" t="n">
        <f aca="false">Y550</f>
        <v>0</v>
      </c>
      <c r="AM550" s="81" t="e">
        <f aca="false">"a = Client().post('"&amp;W550&amp;"', {'recipe' : '"&amp;V550&amp;"', 'ingredient' : '"&amp;Z550&amp;"', 'name' : '"&amp;X550&amp;"', 'mass_unit' : '"&amp;AC550&amp;"', 'mass_quantity' : '"&amp;ROUND(AA550,3)&amp;"', 'volume_unit' : '"&amp;AF550&amp;"', 'volume_quantity' : '"&amp;ROUND(AD550,3)&amp;"', 'pieces_unit' : '"&amp;AI550&amp;"', 'pieces_quantity' : '"&amp;ROUND(AG550,3)&amp;"', 'cooking_notes' : '"&amp;AJ550&amp;"'}).status_code; print('%s :: %s :: %s :: %s :: %s' %(a,"&amp;G550&amp;",'"&amp;X550&amp;"','"&amp;Y550&amp;"','"&amp;U550&amp;"'))"</f>
        <v>#N/A</v>
      </c>
    </row>
    <row r="551" customFormat="false" ht="13.8" hidden="false" customHeight="false" outlineLevel="0" collapsed="false">
      <c r="G551" s="80" t="n">
        <v>551</v>
      </c>
      <c r="H551" s="100"/>
      <c r="I551" s="100"/>
      <c r="J551" s="79"/>
      <c r="K551" s="100"/>
      <c r="L551" s="100"/>
      <c r="M551" s="100"/>
      <c r="N551" s="100"/>
      <c r="O551" s="101"/>
      <c r="P551" s="100"/>
      <c r="Q551" s="102"/>
      <c r="R551" s="99" t="e">
        <f aca="false">VLOOKUP(J551,ingredient!$N$4:$O$553,2,0)</f>
        <v>#N/A</v>
      </c>
      <c r="S551" s="98"/>
      <c r="T551" s="98"/>
      <c r="U551" s="81" t="n">
        <f aca="false">I551</f>
        <v>0</v>
      </c>
      <c r="V551" s="81" t="e">
        <f aca="false">VLOOKUP(U551,recipe_ingred_list!$A$2:$B$300,2,0)</f>
        <v>#N/A</v>
      </c>
      <c r="W551" s="81" t="e">
        <f aca="false">"/recipes/"&amp;VLOOKUP(U551,recipe_ingred_list!$A$2:$C$300,3,0)&amp;"/detail/"</f>
        <v>#N/A</v>
      </c>
      <c r="X551" s="81" t="n">
        <f aca="false">J551</f>
        <v>0</v>
      </c>
      <c r="Y551" s="81" t="e">
        <f aca="false">R551</f>
        <v>#N/A</v>
      </c>
      <c r="Z551" s="94" t="e">
        <f aca="false">VLOOKUP(Y551,recipe_ingred_list!$D$2:$E$500,2,0)</f>
        <v>#N/A</v>
      </c>
      <c r="AA551" s="61" t="n">
        <f aca="false">K551</f>
        <v>0</v>
      </c>
      <c r="AB551" s="61" t="n">
        <f aca="false">L551</f>
        <v>0</v>
      </c>
      <c r="AC551" s="61" t="n">
        <f aca="false">VLOOKUP(AB551,recipe_ingred_list!$K$2:$M$7,3,0)</f>
        <v>2</v>
      </c>
      <c r="AD551" s="61" t="n">
        <f aca="false">M551</f>
        <v>0</v>
      </c>
      <c r="AE551" s="61" t="n">
        <f aca="false">N551</f>
        <v>0</v>
      </c>
      <c r="AF551" s="61" t="n">
        <f aca="false">VLOOKUP(AE551,recipe_ingred_list!$K$16:$M$25,3,0)</f>
        <v>1</v>
      </c>
      <c r="AG551" s="61" t="n">
        <f aca="false">O551</f>
        <v>0</v>
      </c>
      <c r="AH551" s="61" t="n">
        <f aca="false">P551</f>
        <v>0</v>
      </c>
      <c r="AI551" s="61" t="n">
        <f aca="false">VLOOKUP(AH551,recipe_ingred_list!$K$29:$M$34,3,0)</f>
        <v>3</v>
      </c>
      <c r="AJ551" s="61" t="str">
        <f aca="false">IF(Q551="","",Q551)</f>
        <v/>
      </c>
      <c r="AK551" s="61" t="n">
        <f aca="false">AK550+1</f>
        <v>551</v>
      </c>
      <c r="AL551" s="61" t="e">
        <f aca="false">Y551</f>
        <v>#N/A</v>
      </c>
      <c r="AM551" s="81" t="e">
        <f aca="false">"a = Client().post('"&amp;W551&amp;"', {'recipe' : '"&amp;V551&amp;"', 'ingredient' : '"&amp;Z551&amp;"', 'name' : '"&amp;X551&amp;"', 'mass_unit' : '"&amp;AC551&amp;"', 'mass_quantity' : '"&amp;ROUND(AA551,3)&amp;"', 'volume_unit' : '"&amp;AF551&amp;"', 'volume_quantity' : '"&amp;ROUND(AD551,3)&amp;"', 'pieces_unit' : '"&amp;AI551&amp;"', 'pieces_quantity' : '"&amp;ROUND(AG551,3)&amp;"', 'cooking_notes' : '"&amp;AJ551&amp;"'}).status_code; print('%s :: %s :: %s :: %s :: %s' %(a,"&amp;G551&amp;",'"&amp;X551&amp;"','"&amp;Y551&amp;"','"&amp;U551&amp;"'))"</f>
        <v>#N/A</v>
      </c>
    </row>
    <row r="552" customFormat="false" ht="13.8" hidden="false" customHeight="false" outlineLevel="0" collapsed="false">
      <c r="G552" s="80" t="n">
        <v>552</v>
      </c>
      <c r="H552" s="100"/>
      <c r="I552" s="99"/>
      <c r="J552" s="79"/>
      <c r="K552" s="100"/>
      <c r="L552" s="100"/>
      <c r="M552" s="100"/>
      <c r="N552" s="100"/>
      <c r="O552" s="101"/>
      <c r="P552" s="100"/>
      <c r="Q552" s="102"/>
      <c r="R552" s="99" t="e">
        <f aca="false">VLOOKUP(J552,ingredient!$N$4:$O$553,2,0)</f>
        <v>#N/A</v>
      </c>
      <c r="S552" s="98"/>
      <c r="T552" s="98"/>
      <c r="U552" s="81" t="n">
        <f aca="false">I552</f>
        <v>0</v>
      </c>
      <c r="V552" s="81" t="e">
        <f aca="false">VLOOKUP(U552,recipe_ingred_list!$A$2:$B$300,2,0)</f>
        <v>#N/A</v>
      </c>
      <c r="W552" s="81" t="e">
        <f aca="false">"/recipes/"&amp;VLOOKUP(U552,recipe_ingred_list!$A$2:$C$300,3,0)&amp;"/detail/"</f>
        <v>#N/A</v>
      </c>
      <c r="X552" s="81" t="n">
        <f aca="false">J552</f>
        <v>0</v>
      </c>
      <c r="Y552" s="81" t="e">
        <f aca="false">R552</f>
        <v>#N/A</v>
      </c>
      <c r="Z552" s="94" t="e">
        <f aca="false">VLOOKUP(Y552,recipe_ingred_list!$D$2:$E$500,2,0)</f>
        <v>#N/A</v>
      </c>
      <c r="AA552" s="61" t="n">
        <f aca="false">K552</f>
        <v>0</v>
      </c>
      <c r="AB552" s="61" t="n">
        <f aca="false">L552</f>
        <v>0</v>
      </c>
      <c r="AC552" s="61" t="n">
        <f aca="false">VLOOKUP(AB552,recipe_ingred_list!$K$2:$M$7,3,0)</f>
        <v>2</v>
      </c>
      <c r="AD552" s="61" t="n">
        <f aca="false">M552</f>
        <v>0</v>
      </c>
      <c r="AE552" s="61" t="n">
        <f aca="false">N552</f>
        <v>0</v>
      </c>
      <c r="AF552" s="61" t="n">
        <f aca="false">VLOOKUP(AE552,recipe_ingred_list!$K$16:$M$25,3,0)</f>
        <v>1</v>
      </c>
      <c r="AG552" s="61" t="n">
        <f aca="false">O552</f>
        <v>0</v>
      </c>
      <c r="AH552" s="61" t="n">
        <f aca="false">P552</f>
        <v>0</v>
      </c>
      <c r="AI552" s="61" t="n">
        <f aca="false">VLOOKUP(AH552,recipe_ingred_list!$K$29:$M$34,3,0)</f>
        <v>3</v>
      </c>
      <c r="AJ552" s="61" t="str">
        <f aca="false">IF(Q552="","",Q552)</f>
        <v/>
      </c>
      <c r="AK552" s="61" t="n">
        <f aca="false">AK551+1</f>
        <v>552</v>
      </c>
      <c r="AL552" s="61" t="e">
        <f aca="false">Y552</f>
        <v>#N/A</v>
      </c>
      <c r="AM552" s="81" t="e">
        <f aca="false">"a = Client().post('"&amp;W552&amp;"', {'recipe' : '"&amp;V552&amp;"', 'ingredient' : '"&amp;Z552&amp;"', 'name' : '"&amp;X552&amp;"', 'mass_unit' : '"&amp;AC552&amp;"', 'mass_quantity' : '"&amp;ROUND(AA552,3)&amp;"', 'volume_unit' : '"&amp;AF552&amp;"', 'volume_quantity' : '"&amp;ROUND(AD552,3)&amp;"', 'pieces_unit' : '"&amp;AI552&amp;"', 'pieces_quantity' : '"&amp;ROUND(AG552,3)&amp;"', 'cooking_notes' : '"&amp;AJ552&amp;"'}).status_code; print('%s :: %s :: %s :: %s :: %s' %(a,"&amp;G552&amp;",'"&amp;X552&amp;"','"&amp;Y552&amp;"','"&amp;U552&amp;"'))"</f>
        <v>#N/A</v>
      </c>
    </row>
    <row r="553" customFormat="false" ht="13.8" hidden="false" customHeight="false" outlineLevel="0" collapsed="false">
      <c r="G553" s="80" t="n">
        <v>553</v>
      </c>
      <c r="H553" s="61"/>
      <c r="I553" s="61" t="s">
        <v>352</v>
      </c>
      <c r="J553" s="83" t="s">
        <v>689</v>
      </c>
      <c r="M553" s="61" t="n">
        <v>0.2</v>
      </c>
      <c r="N553" s="61" t="s">
        <v>13</v>
      </c>
      <c r="R553" s="82" t="str">
        <f aca="false">VLOOKUP(J553,ingredient!$N$4:$O$553,2,0)</f>
        <v>til oil</v>
      </c>
      <c r="U553" s="81" t="str">
        <f aca="false">I553</f>
        <v>Tomato Chutni</v>
      </c>
      <c r="V553" s="81" t="n">
        <f aca="false">VLOOKUP(U553,recipe_ingred_list!$A$2:$B$300,2,0)</f>
        <v>81</v>
      </c>
      <c r="W553" s="81" t="str">
        <f aca="false">"/recipes/"&amp;VLOOKUP(U553,recipe_ingred_list!$A$2:$C$300,3,0)&amp;"/detail/"</f>
        <v>/recipes/tomato-chutni/detail/</v>
      </c>
      <c r="X553" s="81" t="str">
        <f aca="false">J553</f>
        <v>Til oil</v>
      </c>
      <c r="Y553" s="81" t="str">
        <f aca="false">R553</f>
        <v>til oil</v>
      </c>
      <c r="Z553" s="94" t="n">
        <f aca="false">VLOOKUP(Y553,recipe_ingred_list!$D$2:$E$500,2,0)</f>
        <v>194</v>
      </c>
      <c r="AA553" s="61" t="n">
        <f aca="false">K553</f>
        <v>0</v>
      </c>
      <c r="AB553" s="61" t="n">
        <f aca="false">L553</f>
        <v>0</v>
      </c>
      <c r="AC553" s="61" t="n">
        <f aca="false">VLOOKUP(AB553,recipe_ingred_list!$K$2:$M$7,3,0)</f>
        <v>2</v>
      </c>
      <c r="AD553" s="61" t="n">
        <f aca="false">M553</f>
        <v>0.2</v>
      </c>
      <c r="AE553" s="61" t="str">
        <f aca="false">N553</f>
        <v>ltr</v>
      </c>
      <c r="AF553" s="61" t="n">
        <f aca="false">VLOOKUP(AE553,recipe_ingred_list!$K$16:$M$25,3,0)</f>
        <v>1</v>
      </c>
      <c r="AG553" s="61" t="n">
        <f aca="false">O553</f>
        <v>0</v>
      </c>
      <c r="AH553" s="61" t="n">
        <f aca="false">P553</f>
        <v>0</v>
      </c>
      <c r="AI553" s="61" t="n">
        <f aca="false">VLOOKUP(AH553,recipe_ingred_list!$K$29:$M$34,3,0)</f>
        <v>3</v>
      </c>
      <c r="AJ553" s="61" t="str">
        <f aca="false">IF(Q553="","",Q553)</f>
        <v/>
      </c>
      <c r="AK553" s="61" t="n">
        <f aca="false">AK552+1</f>
        <v>553</v>
      </c>
      <c r="AL553" s="61" t="str">
        <f aca="false">Y553</f>
        <v>til oil</v>
      </c>
      <c r="AM553" s="81" t="str">
        <f aca="false">"a = Client().post('"&amp;W553&amp;"', {'recipe' : '"&amp;V553&amp;"', 'ingredient' : '"&amp;Z553&amp;"', 'name' : '"&amp;X553&amp;"', 'mass_unit' : '"&amp;AC553&amp;"', 'mass_quantity' : '"&amp;ROUND(AA553,3)&amp;"', 'volume_unit' : '"&amp;AF553&amp;"', 'volume_quantity' : '"&amp;ROUND(AD553,3)&amp;"', 'pieces_unit' : '"&amp;AI553&amp;"', 'pieces_quantity' : '"&amp;ROUND(AG553,3)&amp;"', 'cooking_notes' : '"&amp;AJ553&amp;"'}).status_code; print('%s :: %s :: %s :: %s :: %s' %(a,"&amp;G553&amp;",'"&amp;X553&amp;"','"&amp;Y553&amp;"','"&amp;U553&amp;"'))"</f>
        <v>a = Client().post('/recipes/tomato-chutni/detail/', {'recipe' : '81', 'ingredient' : '194', 'name' : 'Til oil', 'mass_unit' : '2', 'mass_quantity' : '0', 'volume_unit' : '1', 'volume_quantity' : '0.2', 'pieces_unit' : '3', 'pieces_quantity' : '0', 'cooking_notes' : ''}).status_code; print('%s :: %s :: %s :: %s :: %s' %(a,553,'Til oil','til oil','Tomato Chutni'))</v>
      </c>
    </row>
    <row r="554" customFormat="false" ht="13.8" hidden="false" customHeight="false" outlineLevel="0" collapsed="false">
      <c r="G554" s="80" t="n">
        <v>554</v>
      </c>
      <c r="H554" s="61"/>
      <c r="I554" s="61" t="s">
        <v>352</v>
      </c>
      <c r="J554" s="83" t="s">
        <v>562</v>
      </c>
      <c r="M554" s="61" t="n">
        <v>0.2</v>
      </c>
      <c r="N554" s="61" t="s">
        <v>20</v>
      </c>
      <c r="R554" s="82" t="str">
        <f aca="false">VLOOKUP(J554,ingredient!$N$4:$O$553,2,0)</f>
        <v>hing</v>
      </c>
      <c r="U554" s="81" t="str">
        <f aca="false">I554</f>
        <v>Tomato Chutni</v>
      </c>
      <c r="V554" s="81" t="n">
        <f aca="false">VLOOKUP(U554,recipe_ingred_list!$A$2:$B$300,2,0)</f>
        <v>81</v>
      </c>
      <c r="W554" s="81" t="str">
        <f aca="false">"/recipes/"&amp;VLOOKUP(U554,recipe_ingred_list!$A$2:$C$300,3,0)&amp;"/detail/"</f>
        <v>/recipes/tomato-chutni/detail/</v>
      </c>
      <c r="X554" s="81" t="str">
        <f aca="false">J554</f>
        <v>Hing</v>
      </c>
      <c r="Y554" s="81" t="str">
        <f aca="false">R554</f>
        <v>hing</v>
      </c>
      <c r="Z554" s="94" t="n">
        <f aca="false">VLOOKUP(Y554,recipe_ingred_list!$D$2:$E$500,2,0)</f>
        <v>95</v>
      </c>
      <c r="AA554" s="61" t="n">
        <f aca="false">K554</f>
        <v>0</v>
      </c>
      <c r="AB554" s="61" t="n">
        <f aca="false">L554</f>
        <v>0</v>
      </c>
      <c r="AC554" s="61" t="n">
        <f aca="false">VLOOKUP(AB554,recipe_ingred_list!$K$2:$M$7,3,0)</f>
        <v>2</v>
      </c>
      <c r="AD554" s="61" t="n">
        <f aca="false">M554</f>
        <v>0.2</v>
      </c>
      <c r="AE554" s="61" t="str">
        <f aca="false">N554</f>
        <v>cup</v>
      </c>
      <c r="AF554" s="61" t="n">
        <f aca="false">VLOOKUP(AE554,recipe_ingred_list!$K$16:$M$25,3,0)</f>
        <v>5</v>
      </c>
      <c r="AG554" s="61" t="n">
        <f aca="false">O554</f>
        <v>0</v>
      </c>
      <c r="AH554" s="61" t="n">
        <f aca="false">P554</f>
        <v>0</v>
      </c>
      <c r="AI554" s="61" t="n">
        <f aca="false">VLOOKUP(AH554,recipe_ingred_list!$K$29:$M$34,3,0)</f>
        <v>3</v>
      </c>
      <c r="AJ554" s="61" t="str">
        <f aca="false">IF(Q554="","",Q554)</f>
        <v/>
      </c>
      <c r="AK554" s="61" t="n">
        <f aca="false">AK553+1</f>
        <v>554</v>
      </c>
      <c r="AL554" s="61" t="str">
        <f aca="false">Y554</f>
        <v>hing</v>
      </c>
      <c r="AM554" s="81" t="str">
        <f aca="false">"a = Client().post('"&amp;W554&amp;"', {'recipe' : '"&amp;V554&amp;"', 'ingredient' : '"&amp;Z554&amp;"', 'name' : '"&amp;X554&amp;"', 'mass_unit' : '"&amp;AC554&amp;"', 'mass_quantity' : '"&amp;ROUND(AA554,3)&amp;"', 'volume_unit' : '"&amp;AF554&amp;"', 'volume_quantity' : '"&amp;ROUND(AD554,3)&amp;"', 'pieces_unit' : '"&amp;AI554&amp;"', 'pieces_quantity' : '"&amp;ROUND(AG554,3)&amp;"', 'cooking_notes' : '"&amp;AJ554&amp;"'}).status_code; print('%s :: %s :: %s :: %s :: %s' %(a,"&amp;G554&amp;",'"&amp;X554&amp;"','"&amp;Y554&amp;"','"&amp;U554&amp;"'))"</f>
        <v>a = Client().post('/recipes/tomato-chutni/detail/', {'recipe' : '81', 'ingredient' : '95', 'name' : 'Hing', 'mass_unit' : '2', 'mass_quantity' : '0', 'volume_unit' : '5', 'volume_quantity' : '0.2', 'pieces_unit' : '3', 'pieces_quantity' : '0', 'cooking_notes' : ''}).status_code; print('%s :: %s :: %s :: %s :: %s' %(a,554,'Hing','hing','Tomato Chutni'))</v>
      </c>
    </row>
    <row r="555" customFormat="false" ht="13.8" hidden="false" customHeight="false" outlineLevel="0" collapsed="false">
      <c r="G555" s="80" t="n">
        <v>555</v>
      </c>
      <c r="H555" s="61"/>
      <c r="I555" s="61" t="s">
        <v>352</v>
      </c>
      <c r="J555" s="83" t="s">
        <v>690</v>
      </c>
      <c r="K555" s="61" t="n">
        <v>0.04</v>
      </c>
      <c r="L555" s="61" t="s">
        <v>7</v>
      </c>
      <c r="R555" s="82" t="str">
        <f aca="false">VLOOKUP(J555,ingredient!$N$4:$O$553,2,0)</f>
        <v>pandi mirchi</v>
      </c>
      <c r="U555" s="81" t="str">
        <f aca="false">I555</f>
        <v>Tomato Chutni</v>
      </c>
      <c r="V555" s="81" t="n">
        <f aca="false">VLOOKUP(U555,recipe_ingred_list!$A$2:$B$300,2,0)</f>
        <v>81</v>
      </c>
      <c r="W555" s="81" t="str">
        <f aca="false">"/recipes/"&amp;VLOOKUP(U555,recipe_ingred_list!$A$2:$C$300,3,0)&amp;"/detail/"</f>
        <v>/recipes/tomato-chutni/detail/</v>
      </c>
      <c r="X555" s="81" t="str">
        <f aca="false">J555</f>
        <v>Pandi mirchi</v>
      </c>
      <c r="Y555" s="81" t="str">
        <f aca="false">R555</f>
        <v>pandi mirchi</v>
      </c>
      <c r="Z555" s="94" t="n">
        <f aca="false">VLOOKUP(Y555,recipe_ingred_list!$D$2:$E$500,2,0)</f>
        <v>154</v>
      </c>
      <c r="AA555" s="61" t="n">
        <f aca="false">K555</f>
        <v>0.04</v>
      </c>
      <c r="AB555" s="61" t="str">
        <f aca="false">L555</f>
        <v>kg</v>
      </c>
      <c r="AC555" s="61" t="n">
        <f aca="false">VLOOKUP(AB555,recipe_ingred_list!$K$2:$M$7,3,0)</f>
        <v>2</v>
      </c>
      <c r="AD555" s="61" t="n">
        <f aca="false">M555</f>
        <v>0</v>
      </c>
      <c r="AE555" s="61" t="n">
        <f aca="false">N555</f>
        <v>0</v>
      </c>
      <c r="AF555" s="61" t="n">
        <f aca="false">VLOOKUP(AE555,recipe_ingred_list!$K$16:$M$25,3,0)</f>
        <v>1</v>
      </c>
      <c r="AG555" s="61" t="n">
        <f aca="false">O555</f>
        <v>0</v>
      </c>
      <c r="AH555" s="61" t="n">
        <f aca="false">P555</f>
        <v>0</v>
      </c>
      <c r="AI555" s="61" t="n">
        <f aca="false">VLOOKUP(AH555,recipe_ingred_list!$K$29:$M$34,3,0)</f>
        <v>3</v>
      </c>
      <c r="AJ555" s="61" t="str">
        <f aca="false">IF(Q555="","",Q555)</f>
        <v/>
      </c>
      <c r="AK555" s="61" t="n">
        <f aca="false">AK554+1</f>
        <v>555</v>
      </c>
      <c r="AL555" s="61" t="str">
        <f aca="false">Y555</f>
        <v>pandi mirchi</v>
      </c>
      <c r="AM555" s="81" t="str">
        <f aca="false">"a = Client().post('"&amp;W555&amp;"', {'recipe' : '"&amp;V555&amp;"', 'ingredient' : '"&amp;Z555&amp;"', 'name' : '"&amp;X555&amp;"', 'mass_unit' : '"&amp;AC555&amp;"', 'mass_quantity' : '"&amp;ROUND(AA555,3)&amp;"', 'volume_unit' : '"&amp;AF555&amp;"', 'volume_quantity' : '"&amp;ROUND(AD555,3)&amp;"', 'pieces_unit' : '"&amp;AI555&amp;"', 'pieces_quantity' : '"&amp;ROUND(AG555,3)&amp;"', 'cooking_notes' : '"&amp;AJ555&amp;"'}).status_code; print('%s :: %s :: %s :: %s :: %s' %(a,"&amp;G555&amp;",'"&amp;X555&amp;"','"&amp;Y555&amp;"','"&amp;U555&amp;"'))"</f>
        <v>a = Client().post('/recipes/tomato-chutni/detail/', {'recipe' : '81', 'ingredient' : '154', 'name' : 'Pandi mirchi', 'mass_unit' : '2', 'mass_quantity' : '0.04', 'volume_unit' : '1', 'volume_quantity' : '0', 'pieces_unit' : '3', 'pieces_quantity' : '0', 'cooking_notes' : ''}).status_code; print('%s :: %s :: %s :: %s :: %s' %(a,555,'Pandi mirchi','pandi mirchi','Tomato Chutni'))</v>
      </c>
    </row>
    <row r="556" customFormat="false" ht="13.8" hidden="false" customHeight="false" outlineLevel="0" collapsed="false">
      <c r="G556" s="80" t="n">
        <v>556</v>
      </c>
      <c r="H556" s="61"/>
      <c r="I556" s="61" t="s">
        <v>352</v>
      </c>
      <c r="J556" s="83" t="s">
        <v>542</v>
      </c>
      <c r="K556" s="61" t="n">
        <v>0.02</v>
      </c>
      <c r="L556" s="61" t="s">
        <v>7</v>
      </c>
      <c r="R556" s="82" t="str">
        <f aca="false">VLOOKUP(J556,ingredient!$N$4:$O$553,2,0)</f>
        <v>kashmiri chilly powder</v>
      </c>
      <c r="U556" s="81" t="str">
        <f aca="false">I556</f>
        <v>Tomato Chutni</v>
      </c>
      <c r="V556" s="81" t="n">
        <f aca="false">VLOOKUP(U556,recipe_ingred_list!$A$2:$B$300,2,0)</f>
        <v>81</v>
      </c>
      <c r="W556" s="81" t="str">
        <f aca="false">"/recipes/"&amp;VLOOKUP(U556,recipe_ingred_list!$A$2:$C$300,3,0)&amp;"/detail/"</f>
        <v>/recipes/tomato-chutni/detail/</v>
      </c>
      <c r="X556" s="81" t="str">
        <f aca="false">J556</f>
        <v>Kashmiri mirchi</v>
      </c>
      <c r="Y556" s="81" t="str">
        <f aca="false">R556</f>
        <v>kashmiri chilly powder</v>
      </c>
      <c r="Z556" s="94" t="n">
        <f aca="false">VLOOKUP(Y556,recipe_ingred_list!$D$2:$E$500,2,0)</f>
        <v>117</v>
      </c>
      <c r="AA556" s="61" t="n">
        <f aca="false">K556</f>
        <v>0.02</v>
      </c>
      <c r="AB556" s="61" t="str">
        <f aca="false">L556</f>
        <v>kg</v>
      </c>
      <c r="AC556" s="61" t="n">
        <f aca="false">VLOOKUP(AB556,recipe_ingred_list!$K$2:$M$7,3,0)</f>
        <v>2</v>
      </c>
      <c r="AD556" s="61" t="n">
        <f aca="false">M556</f>
        <v>0</v>
      </c>
      <c r="AE556" s="61" t="n">
        <f aca="false">N556</f>
        <v>0</v>
      </c>
      <c r="AF556" s="61" t="n">
        <f aca="false">VLOOKUP(AE556,recipe_ingred_list!$K$16:$M$25,3,0)</f>
        <v>1</v>
      </c>
      <c r="AG556" s="61" t="n">
        <f aca="false">O556</f>
        <v>0</v>
      </c>
      <c r="AH556" s="61" t="n">
        <f aca="false">P556</f>
        <v>0</v>
      </c>
      <c r="AI556" s="61" t="n">
        <f aca="false">VLOOKUP(AH556,recipe_ingred_list!$K$29:$M$34,3,0)</f>
        <v>3</v>
      </c>
      <c r="AJ556" s="61" t="str">
        <f aca="false">IF(Q556="","",Q556)</f>
        <v/>
      </c>
      <c r="AK556" s="61" t="n">
        <f aca="false">AK555+1</f>
        <v>556</v>
      </c>
      <c r="AL556" s="61" t="str">
        <f aca="false">Y556</f>
        <v>kashmiri chilly powder</v>
      </c>
      <c r="AM556" s="81" t="str">
        <f aca="false">"a = Client().post('"&amp;W556&amp;"', {'recipe' : '"&amp;V556&amp;"', 'ingredient' : '"&amp;Z556&amp;"', 'name' : '"&amp;X556&amp;"', 'mass_unit' : '"&amp;AC556&amp;"', 'mass_quantity' : '"&amp;ROUND(AA556,3)&amp;"', 'volume_unit' : '"&amp;AF556&amp;"', 'volume_quantity' : '"&amp;ROUND(AD556,3)&amp;"', 'pieces_unit' : '"&amp;AI556&amp;"', 'pieces_quantity' : '"&amp;ROUND(AG556,3)&amp;"', 'cooking_notes' : '"&amp;AJ556&amp;"'}).status_code; print('%s :: %s :: %s :: %s :: %s' %(a,"&amp;G556&amp;",'"&amp;X556&amp;"','"&amp;Y556&amp;"','"&amp;U556&amp;"'))"</f>
        <v>a = Client().post('/recipes/tomato-chutni/detail/', {'recipe' : '81', 'ingredient' : '117', 'name' : 'Kashmiri mirchi', 'mass_unit' : '2', 'mass_quantity' : '0.02', 'volume_unit' : '1', 'volume_quantity' : '0', 'pieces_unit' : '3', 'pieces_quantity' : '0', 'cooking_notes' : ''}).status_code; print('%s :: %s :: %s :: %s :: %s' %(a,556,'Kashmiri mirchi','kashmiri chilly powder','Tomato Chutni'))</v>
      </c>
    </row>
    <row r="557" customFormat="false" ht="13.8" hidden="false" customHeight="false" outlineLevel="0" collapsed="false">
      <c r="G557" s="80" t="n">
        <v>557</v>
      </c>
      <c r="H557" s="61"/>
      <c r="I557" s="61" t="s">
        <v>352</v>
      </c>
      <c r="J557" s="83" t="s">
        <v>668</v>
      </c>
      <c r="M557" s="61" t="n">
        <v>3.5</v>
      </c>
      <c r="N557" s="61" t="s">
        <v>13</v>
      </c>
      <c r="R557" s="82" t="str">
        <f aca="false">VLOOKUP(J557,ingredient!$N$4:$O$553,2,0)</f>
        <v>pudina</v>
      </c>
      <c r="U557" s="81" t="str">
        <f aca="false">I557</f>
        <v>Tomato Chutni</v>
      </c>
      <c r="V557" s="81" t="n">
        <f aca="false">VLOOKUP(U557,recipe_ingred_list!$A$2:$B$300,2,0)</f>
        <v>81</v>
      </c>
      <c r="W557" s="81" t="str">
        <f aca="false">"/recipes/"&amp;VLOOKUP(U557,recipe_ingred_list!$A$2:$C$300,3,0)&amp;"/detail/"</f>
        <v>/recipes/tomato-chutni/detail/</v>
      </c>
      <c r="X557" s="81" t="str">
        <f aca="false">J557</f>
        <v>Pudina</v>
      </c>
      <c r="Y557" s="81" t="str">
        <f aca="false">R557</f>
        <v>pudina</v>
      </c>
      <c r="Z557" s="94" t="n">
        <f aca="false">VLOOKUP(Y557,recipe_ingred_list!$D$2:$E$500,2,0)</f>
        <v>162</v>
      </c>
      <c r="AA557" s="61" t="n">
        <f aca="false">K557</f>
        <v>0</v>
      </c>
      <c r="AB557" s="61" t="n">
        <f aca="false">L557</f>
        <v>0</v>
      </c>
      <c r="AC557" s="61" t="n">
        <f aca="false">VLOOKUP(AB557,recipe_ingred_list!$K$2:$M$7,3,0)</f>
        <v>2</v>
      </c>
      <c r="AD557" s="61" t="n">
        <f aca="false">M557</f>
        <v>3.5</v>
      </c>
      <c r="AE557" s="61" t="str">
        <f aca="false">N557</f>
        <v>ltr</v>
      </c>
      <c r="AF557" s="61" t="n">
        <f aca="false">VLOOKUP(AE557,recipe_ingred_list!$K$16:$M$25,3,0)</f>
        <v>1</v>
      </c>
      <c r="AG557" s="61" t="n">
        <f aca="false">O557</f>
        <v>0</v>
      </c>
      <c r="AH557" s="61" t="n">
        <f aca="false">P557</f>
        <v>0</v>
      </c>
      <c r="AI557" s="61" t="n">
        <f aca="false">VLOOKUP(AH557,recipe_ingred_list!$K$29:$M$34,3,0)</f>
        <v>3</v>
      </c>
      <c r="AJ557" s="61" t="str">
        <f aca="false">IF(Q557="","",Q557)</f>
        <v/>
      </c>
      <c r="AK557" s="61" t="n">
        <f aca="false">AK556+1</f>
        <v>557</v>
      </c>
      <c r="AL557" s="61" t="str">
        <f aca="false">Y557</f>
        <v>pudina</v>
      </c>
      <c r="AM557" s="81" t="str">
        <f aca="false">"a = Client().post('"&amp;W557&amp;"', {'recipe' : '"&amp;V557&amp;"', 'ingredient' : '"&amp;Z557&amp;"', 'name' : '"&amp;X557&amp;"', 'mass_unit' : '"&amp;AC557&amp;"', 'mass_quantity' : '"&amp;ROUND(AA557,3)&amp;"', 'volume_unit' : '"&amp;AF557&amp;"', 'volume_quantity' : '"&amp;ROUND(AD557,3)&amp;"', 'pieces_unit' : '"&amp;AI557&amp;"', 'pieces_quantity' : '"&amp;ROUND(AG557,3)&amp;"', 'cooking_notes' : '"&amp;AJ557&amp;"'}).status_code; print('%s :: %s :: %s :: %s :: %s' %(a,"&amp;G557&amp;",'"&amp;X557&amp;"','"&amp;Y557&amp;"','"&amp;U557&amp;"'))"</f>
        <v>a = Client().post('/recipes/tomato-chutni/detail/', {'recipe' : '81', 'ingredient' : '162', 'name' : 'Pudina', 'mass_unit' : '2', 'mass_quantity' : '0', 'volume_unit' : '1', 'volume_quantity' : '3.5', 'pieces_unit' : '3', 'pieces_quantity' : '0', 'cooking_notes' : ''}).status_code; print('%s :: %s :: %s :: %s :: %s' %(a,557,'Pudina','pudina','Tomato Chutni'))</v>
      </c>
    </row>
    <row r="558" customFormat="false" ht="13.8" hidden="false" customHeight="false" outlineLevel="0" collapsed="false">
      <c r="G558" s="80" t="n">
        <v>558</v>
      </c>
      <c r="H558" s="61"/>
      <c r="I558" s="61" t="s">
        <v>352</v>
      </c>
      <c r="J558" s="83" t="s">
        <v>21</v>
      </c>
      <c r="K558" s="61" t="n">
        <v>5</v>
      </c>
      <c r="L558" s="61" t="s">
        <v>7</v>
      </c>
      <c r="R558" s="82" t="str">
        <f aca="false">VLOOKUP(J558,ingredient!$N$4:$O$553,2,0)</f>
        <v>tomato</v>
      </c>
      <c r="U558" s="81" t="str">
        <f aca="false">I558</f>
        <v>Tomato Chutni</v>
      </c>
      <c r="V558" s="81" t="n">
        <f aca="false">VLOOKUP(U558,recipe_ingred_list!$A$2:$B$300,2,0)</f>
        <v>81</v>
      </c>
      <c r="W558" s="81" t="str">
        <f aca="false">"/recipes/"&amp;VLOOKUP(U558,recipe_ingred_list!$A$2:$C$300,3,0)&amp;"/detail/"</f>
        <v>/recipes/tomato-chutni/detail/</v>
      </c>
      <c r="X558" s="81" t="str">
        <f aca="false">J558</f>
        <v>Tomato</v>
      </c>
      <c r="Y558" s="81" t="str">
        <f aca="false">R558</f>
        <v>tomato</v>
      </c>
      <c r="Z558" s="94" t="n">
        <f aca="false">VLOOKUP(Y558,recipe_ingred_list!$D$2:$E$500,2,0)</f>
        <v>195</v>
      </c>
      <c r="AA558" s="61" t="n">
        <f aca="false">K558</f>
        <v>5</v>
      </c>
      <c r="AB558" s="61" t="str">
        <f aca="false">L558</f>
        <v>kg</v>
      </c>
      <c r="AC558" s="61" t="n">
        <f aca="false">VLOOKUP(AB558,recipe_ingred_list!$K$2:$M$7,3,0)</f>
        <v>2</v>
      </c>
      <c r="AD558" s="61" t="n">
        <f aca="false">M558</f>
        <v>0</v>
      </c>
      <c r="AE558" s="61" t="n">
        <f aca="false">N558</f>
        <v>0</v>
      </c>
      <c r="AF558" s="61" t="n">
        <f aca="false">VLOOKUP(AE558,recipe_ingred_list!$K$16:$M$25,3,0)</f>
        <v>1</v>
      </c>
      <c r="AG558" s="61" t="n">
        <f aca="false">O558</f>
        <v>0</v>
      </c>
      <c r="AH558" s="61" t="n">
        <f aca="false">P558</f>
        <v>0</v>
      </c>
      <c r="AI558" s="61" t="n">
        <f aca="false">VLOOKUP(AH558,recipe_ingred_list!$K$29:$M$34,3,0)</f>
        <v>3</v>
      </c>
      <c r="AJ558" s="61" t="str">
        <f aca="false">IF(Q558="","",Q558)</f>
        <v/>
      </c>
      <c r="AK558" s="61" t="n">
        <f aca="false">AK557+1</f>
        <v>558</v>
      </c>
      <c r="AL558" s="61" t="str">
        <f aca="false">Y558</f>
        <v>tomato</v>
      </c>
      <c r="AM558" s="81" t="str">
        <f aca="false">"a = Client().post('"&amp;W558&amp;"', {'recipe' : '"&amp;V558&amp;"', 'ingredient' : '"&amp;Z558&amp;"', 'name' : '"&amp;X558&amp;"', 'mass_unit' : '"&amp;AC558&amp;"', 'mass_quantity' : '"&amp;ROUND(AA558,3)&amp;"', 'volume_unit' : '"&amp;AF558&amp;"', 'volume_quantity' : '"&amp;ROUND(AD558,3)&amp;"', 'pieces_unit' : '"&amp;AI558&amp;"', 'pieces_quantity' : '"&amp;ROUND(AG558,3)&amp;"', 'cooking_notes' : '"&amp;AJ558&amp;"'}).status_code; print('%s :: %s :: %s :: %s :: %s' %(a,"&amp;G558&amp;",'"&amp;X558&amp;"','"&amp;Y558&amp;"','"&amp;U558&amp;"'))"</f>
        <v>a = Client().post('/recipes/tomato-chutni/detail/', {'recipe' : '81', 'ingredient' : '195', 'name' : 'Tomato', 'mass_unit' : '2', 'mass_quantity' : '5', 'volume_unit' : '1', 'volume_quantity' : '0', 'pieces_unit' : '3', 'pieces_quantity' : '0', 'cooking_notes' : ''}).status_code; print('%s :: %s :: %s :: %s :: %s' %(a,558,'Tomato','tomato','Tomato Chutni'))</v>
      </c>
    </row>
    <row r="559" customFormat="false" ht="13.8" hidden="false" customHeight="false" outlineLevel="0" collapsed="false">
      <c r="G559" s="80" t="n">
        <v>559</v>
      </c>
      <c r="H559" s="61"/>
      <c r="I559" s="61" t="s">
        <v>352</v>
      </c>
      <c r="J559" s="83" t="s">
        <v>32</v>
      </c>
      <c r="M559" s="61" t="n">
        <v>0.6</v>
      </c>
      <c r="N559" s="61" t="s">
        <v>20</v>
      </c>
      <c r="R559" s="82" t="str">
        <f aca="false">VLOOKUP(J559,ingredient!$N$4:$O$553,2,0)</f>
        <v>salt</v>
      </c>
      <c r="U559" s="81" t="str">
        <f aca="false">I559</f>
        <v>Tomato Chutni</v>
      </c>
      <c r="V559" s="81" t="n">
        <f aca="false">VLOOKUP(U559,recipe_ingred_list!$A$2:$B$300,2,0)</f>
        <v>81</v>
      </c>
      <c r="W559" s="81" t="str">
        <f aca="false">"/recipes/"&amp;VLOOKUP(U559,recipe_ingred_list!$A$2:$C$300,3,0)&amp;"/detail/"</f>
        <v>/recipes/tomato-chutni/detail/</v>
      </c>
      <c r="X559" s="81" t="str">
        <f aca="false">J559</f>
        <v>Salt</v>
      </c>
      <c r="Y559" s="81" t="str">
        <f aca="false">R559</f>
        <v>salt</v>
      </c>
      <c r="Z559" s="94" t="n">
        <f aca="false">VLOOKUP(Y559,recipe_ingred_list!$D$2:$E$500,2,0)</f>
        <v>177</v>
      </c>
      <c r="AA559" s="61" t="n">
        <f aca="false">K559</f>
        <v>0</v>
      </c>
      <c r="AB559" s="61" t="n">
        <f aca="false">L559</f>
        <v>0</v>
      </c>
      <c r="AC559" s="61" t="n">
        <f aca="false">VLOOKUP(AB559,recipe_ingred_list!$K$2:$M$7,3,0)</f>
        <v>2</v>
      </c>
      <c r="AD559" s="61" t="n">
        <f aca="false">M559</f>
        <v>0.6</v>
      </c>
      <c r="AE559" s="61" t="str">
        <f aca="false">N559</f>
        <v>cup</v>
      </c>
      <c r="AF559" s="61" t="n">
        <f aca="false">VLOOKUP(AE559,recipe_ingred_list!$K$16:$M$25,3,0)</f>
        <v>5</v>
      </c>
      <c r="AG559" s="61" t="n">
        <f aca="false">O559</f>
        <v>0</v>
      </c>
      <c r="AH559" s="61" t="n">
        <f aca="false">P559</f>
        <v>0</v>
      </c>
      <c r="AI559" s="61" t="n">
        <f aca="false">VLOOKUP(AH559,recipe_ingred_list!$K$29:$M$34,3,0)</f>
        <v>3</v>
      </c>
      <c r="AJ559" s="61" t="str">
        <f aca="false">IF(Q559="","",Q559)</f>
        <v/>
      </c>
      <c r="AK559" s="61" t="n">
        <f aca="false">AK558+1</f>
        <v>559</v>
      </c>
      <c r="AL559" s="61" t="str">
        <f aca="false">Y559</f>
        <v>salt</v>
      </c>
      <c r="AM559" s="81" t="str">
        <f aca="false">"a = Client().post('"&amp;W559&amp;"', {'recipe' : '"&amp;V559&amp;"', 'ingredient' : '"&amp;Z559&amp;"', 'name' : '"&amp;X559&amp;"', 'mass_unit' : '"&amp;AC559&amp;"', 'mass_quantity' : '"&amp;ROUND(AA559,3)&amp;"', 'volume_unit' : '"&amp;AF559&amp;"', 'volume_quantity' : '"&amp;ROUND(AD559,3)&amp;"', 'pieces_unit' : '"&amp;AI559&amp;"', 'pieces_quantity' : '"&amp;ROUND(AG559,3)&amp;"', 'cooking_notes' : '"&amp;AJ559&amp;"'}).status_code; print('%s :: %s :: %s :: %s :: %s' %(a,"&amp;G559&amp;",'"&amp;X559&amp;"','"&amp;Y559&amp;"','"&amp;U559&amp;"'))"</f>
        <v>a = Client().post('/recipes/tomato-chutni/detail/', {'recipe' : '81', 'ingredient' : '177', 'name' : 'Salt', 'mass_unit' : '2', 'mass_quantity' : '0', 'volume_unit' : '5', 'volume_quantity' : '0.6', 'pieces_unit' : '3', 'pieces_quantity' : '0', 'cooking_notes' : ''}).status_code; print('%s :: %s :: %s :: %s :: %s' %(a,559,'Salt','salt','Tomato Chutni'))</v>
      </c>
    </row>
    <row r="560" customFormat="false" ht="13.8" hidden="false" customHeight="false" outlineLevel="0" collapsed="false">
      <c r="G560" s="80" t="n">
        <v>560</v>
      </c>
      <c r="H560" s="61"/>
      <c r="I560" s="61" t="s">
        <v>352</v>
      </c>
      <c r="J560" s="83" t="s">
        <v>584</v>
      </c>
      <c r="R560" s="82" t="str">
        <f aca="false">VLOOKUP(J560,ingredient!$N$4:$O$553,2,0)</f>
        <v>chaunce</v>
      </c>
      <c r="U560" s="81" t="str">
        <f aca="false">I560</f>
        <v>Tomato Chutni</v>
      </c>
      <c r="V560" s="81" t="n">
        <f aca="false">VLOOKUP(U560,recipe_ingred_list!$A$2:$B$300,2,0)</f>
        <v>81</v>
      </c>
      <c r="W560" s="81" t="str">
        <f aca="false">"/recipes/"&amp;VLOOKUP(U560,recipe_ingred_list!$A$2:$C$300,3,0)&amp;"/detail/"</f>
        <v>/recipes/tomato-chutni/detail/</v>
      </c>
      <c r="X560" s="81" t="str">
        <f aca="false">J560</f>
        <v>Chaunce</v>
      </c>
      <c r="Y560" s="81" t="str">
        <f aca="false">R560</f>
        <v>chaunce</v>
      </c>
      <c r="Z560" s="94" t="n">
        <f aca="false">VLOOKUP(Y560,recipe_ingred_list!$D$2:$E$500,2,0)</f>
        <v>48</v>
      </c>
      <c r="AA560" s="61" t="n">
        <f aca="false">K560</f>
        <v>0</v>
      </c>
      <c r="AB560" s="61" t="n">
        <f aca="false">L560</f>
        <v>0</v>
      </c>
      <c r="AC560" s="61" t="n">
        <f aca="false">VLOOKUP(AB560,recipe_ingred_list!$K$2:$M$7,3,0)</f>
        <v>2</v>
      </c>
      <c r="AD560" s="61" t="n">
        <f aca="false">M560</f>
        <v>0</v>
      </c>
      <c r="AE560" s="61" t="n">
        <f aca="false">N560</f>
        <v>0</v>
      </c>
      <c r="AF560" s="61" t="n">
        <f aca="false">VLOOKUP(AE560,recipe_ingred_list!$K$16:$M$25,3,0)</f>
        <v>1</v>
      </c>
      <c r="AG560" s="61" t="n">
        <f aca="false">O560</f>
        <v>0</v>
      </c>
      <c r="AH560" s="61" t="n">
        <f aca="false">P560</f>
        <v>0</v>
      </c>
      <c r="AI560" s="61" t="n">
        <f aca="false">VLOOKUP(AH560,recipe_ingred_list!$K$29:$M$34,3,0)</f>
        <v>3</v>
      </c>
      <c r="AJ560" s="61" t="str">
        <f aca="false">IF(Q560="","",Q560)</f>
        <v/>
      </c>
      <c r="AK560" s="61" t="n">
        <f aca="false">AK559+1</f>
        <v>560</v>
      </c>
      <c r="AL560" s="61" t="str">
        <f aca="false">Y560</f>
        <v>chaunce</v>
      </c>
      <c r="AM560" s="81" t="str">
        <f aca="false">"a = Client().post('"&amp;W560&amp;"', {'recipe' : '"&amp;V560&amp;"', 'ingredient' : '"&amp;Z560&amp;"', 'name' : '"&amp;X560&amp;"', 'mass_unit' : '"&amp;AC560&amp;"', 'mass_quantity' : '"&amp;ROUND(AA560,3)&amp;"', 'volume_unit' : '"&amp;AF560&amp;"', 'volume_quantity' : '"&amp;ROUND(AD560,3)&amp;"', 'pieces_unit' : '"&amp;AI560&amp;"', 'pieces_quantity' : '"&amp;ROUND(AG560,3)&amp;"', 'cooking_notes' : '"&amp;AJ560&amp;"'}).status_code; print('%s :: %s :: %s :: %s :: %s' %(a,"&amp;G560&amp;",'"&amp;X560&amp;"','"&amp;Y560&amp;"','"&amp;U560&amp;"'))"</f>
        <v>a = Client().post('/recipes/tomato-chutni/detail/', {'recipe' : '81', 'ingredient' : '48', 'name' : 'Chaunce', 'mass_unit' : '2', 'mass_quantity' : '0', 'volume_unit' : '1', 'volume_quantity' : '0', 'pieces_unit' : '3', 'pieces_quantity' : '0', 'cooking_notes' : ''}).status_code; print('%s :: %s :: %s :: %s :: %s' %(a,560,'Chaunce','chaunce','Tomato Chutni'))</v>
      </c>
    </row>
    <row r="561" customFormat="false" ht="13.8" hidden="false" customHeight="false" outlineLevel="0" collapsed="false">
      <c r="G561" s="80" t="n">
        <v>561</v>
      </c>
      <c r="H561" s="61"/>
      <c r="I561" s="61" t="s">
        <v>352</v>
      </c>
      <c r="J561" s="83" t="s">
        <v>689</v>
      </c>
      <c r="M561" s="61" t="n">
        <v>0.1</v>
      </c>
      <c r="N561" s="61" t="s">
        <v>13</v>
      </c>
      <c r="R561" s="82" t="str">
        <f aca="false">VLOOKUP(J561,ingredient!$N$4:$O$553,2,0)</f>
        <v>til oil</v>
      </c>
      <c r="U561" s="81" t="str">
        <f aca="false">I561</f>
        <v>Tomato Chutni</v>
      </c>
      <c r="V561" s="81" t="n">
        <f aca="false">VLOOKUP(U561,recipe_ingred_list!$A$2:$B$300,2,0)</f>
        <v>81</v>
      </c>
      <c r="W561" s="81" t="str">
        <f aca="false">"/recipes/"&amp;VLOOKUP(U561,recipe_ingred_list!$A$2:$C$300,3,0)&amp;"/detail/"</f>
        <v>/recipes/tomato-chutni/detail/</v>
      </c>
      <c r="X561" s="81" t="str">
        <f aca="false">J561</f>
        <v>Til oil</v>
      </c>
      <c r="Y561" s="81" t="str">
        <f aca="false">R561</f>
        <v>til oil</v>
      </c>
      <c r="Z561" s="94" t="n">
        <f aca="false">VLOOKUP(Y561,recipe_ingred_list!$D$2:$E$500,2,0)</f>
        <v>194</v>
      </c>
      <c r="AA561" s="61" t="n">
        <f aca="false">K561</f>
        <v>0</v>
      </c>
      <c r="AB561" s="61" t="n">
        <f aca="false">L561</f>
        <v>0</v>
      </c>
      <c r="AC561" s="61" t="n">
        <f aca="false">VLOOKUP(AB561,recipe_ingred_list!$K$2:$M$7,3,0)</f>
        <v>2</v>
      </c>
      <c r="AD561" s="61" t="n">
        <f aca="false">M561</f>
        <v>0.1</v>
      </c>
      <c r="AE561" s="61" t="str">
        <f aca="false">N561</f>
        <v>ltr</v>
      </c>
      <c r="AF561" s="61" t="n">
        <f aca="false">VLOOKUP(AE561,recipe_ingred_list!$K$16:$M$25,3,0)</f>
        <v>1</v>
      </c>
      <c r="AG561" s="61" t="n">
        <f aca="false">O561</f>
        <v>0</v>
      </c>
      <c r="AH561" s="61" t="n">
        <f aca="false">P561</f>
        <v>0</v>
      </c>
      <c r="AI561" s="61" t="n">
        <f aca="false">VLOOKUP(AH561,recipe_ingred_list!$K$29:$M$34,3,0)</f>
        <v>3</v>
      </c>
      <c r="AJ561" s="61" t="str">
        <f aca="false">IF(Q561="","",Q561)</f>
        <v/>
      </c>
      <c r="AK561" s="61" t="n">
        <f aca="false">AK560+1</f>
        <v>561</v>
      </c>
      <c r="AL561" s="61" t="str">
        <f aca="false">Y561</f>
        <v>til oil</v>
      </c>
      <c r="AM561" s="81" t="str">
        <f aca="false">"a = Client().post('"&amp;W561&amp;"', {'recipe' : '"&amp;V561&amp;"', 'ingredient' : '"&amp;Z561&amp;"', 'name' : '"&amp;X561&amp;"', 'mass_unit' : '"&amp;AC561&amp;"', 'mass_quantity' : '"&amp;ROUND(AA561,3)&amp;"', 'volume_unit' : '"&amp;AF561&amp;"', 'volume_quantity' : '"&amp;ROUND(AD561,3)&amp;"', 'pieces_unit' : '"&amp;AI561&amp;"', 'pieces_quantity' : '"&amp;ROUND(AG561,3)&amp;"', 'cooking_notes' : '"&amp;AJ561&amp;"'}).status_code; print('%s :: %s :: %s :: %s :: %s' %(a,"&amp;G561&amp;",'"&amp;X561&amp;"','"&amp;Y561&amp;"','"&amp;U561&amp;"'))"</f>
        <v>a = Client().post('/recipes/tomato-chutni/detail/', {'recipe' : '81', 'ingredient' : '194', 'name' : 'Til oil', 'mass_unit' : '2', 'mass_quantity' : '0', 'volume_unit' : '1', 'volume_quantity' : '0.1', 'pieces_unit' : '3', 'pieces_quantity' : '0', 'cooking_notes' : ''}).status_code; print('%s :: %s :: %s :: %s :: %s' %(a,561,'Til oil','til oil','Tomato Chutni'))</v>
      </c>
    </row>
    <row r="562" customFormat="false" ht="13.8" hidden="false" customHeight="false" outlineLevel="0" collapsed="false">
      <c r="G562" s="80" t="n">
        <v>562</v>
      </c>
      <c r="H562" s="61"/>
      <c r="I562" s="61" t="s">
        <v>352</v>
      </c>
      <c r="J562" s="83" t="s">
        <v>570</v>
      </c>
      <c r="M562" s="61" t="n">
        <v>0.2</v>
      </c>
      <c r="N562" s="61" t="s">
        <v>20</v>
      </c>
      <c r="R562" s="82" t="str">
        <f aca="false">VLOOKUP(J562,ingredient!$N$4:$O$553,2,0)</f>
        <v>rai</v>
      </c>
      <c r="U562" s="81" t="str">
        <f aca="false">I562</f>
        <v>Tomato Chutni</v>
      </c>
      <c r="V562" s="81" t="n">
        <f aca="false">VLOOKUP(U562,recipe_ingred_list!$A$2:$B$300,2,0)</f>
        <v>81</v>
      </c>
      <c r="W562" s="81" t="str">
        <f aca="false">"/recipes/"&amp;VLOOKUP(U562,recipe_ingred_list!$A$2:$C$300,3,0)&amp;"/detail/"</f>
        <v>/recipes/tomato-chutni/detail/</v>
      </c>
      <c r="X562" s="81" t="str">
        <f aca="false">J562</f>
        <v>Rai</v>
      </c>
      <c r="Y562" s="81" t="str">
        <f aca="false">R562</f>
        <v>rai</v>
      </c>
      <c r="Z562" s="94" t="n">
        <f aca="false">VLOOKUP(Y562,recipe_ingred_list!$D$2:$E$500,2,0)</f>
        <v>164</v>
      </c>
      <c r="AA562" s="61" t="n">
        <f aca="false">K562</f>
        <v>0</v>
      </c>
      <c r="AB562" s="61" t="n">
        <f aca="false">L562</f>
        <v>0</v>
      </c>
      <c r="AC562" s="61" t="n">
        <f aca="false">VLOOKUP(AB562,recipe_ingred_list!$K$2:$M$7,3,0)</f>
        <v>2</v>
      </c>
      <c r="AD562" s="61" t="n">
        <f aca="false">M562</f>
        <v>0.2</v>
      </c>
      <c r="AE562" s="61" t="str">
        <f aca="false">N562</f>
        <v>cup</v>
      </c>
      <c r="AF562" s="61" t="n">
        <f aca="false">VLOOKUP(AE562,recipe_ingred_list!$K$16:$M$25,3,0)</f>
        <v>5</v>
      </c>
      <c r="AG562" s="61" t="n">
        <f aca="false">O562</f>
        <v>0</v>
      </c>
      <c r="AH562" s="61" t="n">
        <f aca="false">P562</f>
        <v>0</v>
      </c>
      <c r="AI562" s="61" t="n">
        <f aca="false">VLOOKUP(AH562,recipe_ingred_list!$K$29:$M$34,3,0)</f>
        <v>3</v>
      </c>
      <c r="AJ562" s="61" t="str">
        <f aca="false">IF(Q562="","",Q562)</f>
        <v/>
      </c>
      <c r="AK562" s="61" t="n">
        <f aca="false">AK561+1</f>
        <v>562</v>
      </c>
      <c r="AL562" s="61" t="str">
        <f aca="false">Y562</f>
        <v>rai</v>
      </c>
      <c r="AM562" s="81" t="str">
        <f aca="false">"a = Client().post('"&amp;W562&amp;"', {'recipe' : '"&amp;V562&amp;"', 'ingredient' : '"&amp;Z562&amp;"', 'name' : '"&amp;X562&amp;"', 'mass_unit' : '"&amp;AC562&amp;"', 'mass_quantity' : '"&amp;ROUND(AA562,3)&amp;"', 'volume_unit' : '"&amp;AF562&amp;"', 'volume_quantity' : '"&amp;ROUND(AD562,3)&amp;"', 'pieces_unit' : '"&amp;AI562&amp;"', 'pieces_quantity' : '"&amp;ROUND(AG562,3)&amp;"', 'cooking_notes' : '"&amp;AJ562&amp;"'}).status_code; print('%s :: %s :: %s :: %s :: %s' %(a,"&amp;G562&amp;",'"&amp;X562&amp;"','"&amp;Y562&amp;"','"&amp;U562&amp;"'))"</f>
        <v>a = Client().post('/recipes/tomato-chutni/detail/', {'recipe' : '81', 'ingredient' : '164', 'name' : 'Rai', 'mass_unit' : '2', 'mass_quantity' : '0', 'volume_unit' : '5', 'volume_quantity' : '0.2', 'pieces_unit' : '3', 'pieces_quantity' : '0', 'cooking_notes' : ''}).status_code; print('%s :: %s :: %s :: %s :: %s' %(a,562,'Rai','rai','Tomato Chutni'))</v>
      </c>
    </row>
    <row r="563" customFormat="false" ht="13.8" hidden="false" customHeight="false" outlineLevel="0" collapsed="false">
      <c r="G563" s="80" t="n">
        <v>563</v>
      </c>
      <c r="H563" s="61"/>
      <c r="I563" s="61" t="s">
        <v>352</v>
      </c>
      <c r="J563" s="83" t="s">
        <v>14</v>
      </c>
      <c r="M563" s="61" t="n">
        <v>0.2</v>
      </c>
      <c r="N563" s="61" t="s">
        <v>20</v>
      </c>
      <c r="R563" s="82" t="str">
        <f aca="false">VLOOKUP(J563,ingredient!$N$4:$O$553,2,0)</f>
        <v>jeera</v>
      </c>
      <c r="U563" s="81" t="str">
        <f aca="false">I563</f>
        <v>Tomato Chutni</v>
      </c>
      <c r="V563" s="81" t="n">
        <f aca="false">VLOOKUP(U563,recipe_ingred_list!$A$2:$B$300,2,0)</f>
        <v>81</v>
      </c>
      <c r="W563" s="81" t="str">
        <f aca="false">"/recipes/"&amp;VLOOKUP(U563,recipe_ingred_list!$A$2:$C$300,3,0)&amp;"/detail/"</f>
        <v>/recipes/tomato-chutni/detail/</v>
      </c>
      <c r="X563" s="81" t="str">
        <f aca="false">J563</f>
        <v>Jeera</v>
      </c>
      <c r="Y563" s="81" t="str">
        <f aca="false">R563</f>
        <v>jeera</v>
      </c>
      <c r="Z563" s="94" t="n">
        <f aca="false">VLOOKUP(Y563,recipe_ingred_list!$D$2:$E$500,2,0)</f>
        <v>102</v>
      </c>
      <c r="AA563" s="61" t="n">
        <f aca="false">K563</f>
        <v>0</v>
      </c>
      <c r="AB563" s="61" t="n">
        <f aca="false">L563</f>
        <v>0</v>
      </c>
      <c r="AC563" s="61" t="n">
        <f aca="false">VLOOKUP(AB563,recipe_ingred_list!$K$2:$M$7,3,0)</f>
        <v>2</v>
      </c>
      <c r="AD563" s="61" t="n">
        <f aca="false">M563</f>
        <v>0.2</v>
      </c>
      <c r="AE563" s="61" t="str">
        <f aca="false">N563</f>
        <v>cup</v>
      </c>
      <c r="AF563" s="61" t="n">
        <f aca="false">VLOOKUP(AE563,recipe_ingred_list!$K$16:$M$25,3,0)</f>
        <v>5</v>
      </c>
      <c r="AG563" s="61" t="n">
        <f aca="false">O563</f>
        <v>0</v>
      </c>
      <c r="AH563" s="61" t="n">
        <f aca="false">P563</f>
        <v>0</v>
      </c>
      <c r="AI563" s="61" t="n">
        <f aca="false">VLOOKUP(AH563,recipe_ingred_list!$K$29:$M$34,3,0)</f>
        <v>3</v>
      </c>
      <c r="AJ563" s="61" t="str">
        <f aca="false">IF(Q563="","",Q563)</f>
        <v/>
      </c>
      <c r="AK563" s="61" t="n">
        <f aca="false">AK562+1</f>
        <v>563</v>
      </c>
      <c r="AL563" s="61" t="str">
        <f aca="false">Y563</f>
        <v>jeera</v>
      </c>
      <c r="AM563" s="81" t="str">
        <f aca="false">"a = Client().post('"&amp;W563&amp;"', {'recipe' : '"&amp;V563&amp;"', 'ingredient' : '"&amp;Z563&amp;"', 'name' : '"&amp;X563&amp;"', 'mass_unit' : '"&amp;AC563&amp;"', 'mass_quantity' : '"&amp;ROUND(AA563,3)&amp;"', 'volume_unit' : '"&amp;AF563&amp;"', 'volume_quantity' : '"&amp;ROUND(AD563,3)&amp;"', 'pieces_unit' : '"&amp;AI563&amp;"', 'pieces_quantity' : '"&amp;ROUND(AG563,3)&amp;"', 'cooking_notes' : '"&amp;AJ563&amp;"'}).status_code; print('%s :: %s :: %s :: %s :: %s' %(a,"&amp;G563&amp;",'"&amp;X563&amp;"','"&amp;Y563&amp;"','"&amp;U563&amp;"'))"</f>
        <v>a = Client().post('/recipes/tomato-chutni/detail/', {'recipe' : '81', 'ingredient' : '102', 'name' : 'Jeera', 'mass_unit' : '2', 'mass_quantity' : '0', 'volume_unit' : '5', 'volume_quantity' : '0.2', 'pieces_unit' : '3', 'pieces_quantity' : '0', 'cooking_notes' : ''}).status_code; print('%s :: %s :: %s :: %s :: %s' %(a,563,'Jeera','jeera','Tomato Chutni'))</v>
      </c>
    </row>
    <row r="564" customFormat="false" ht="13.8" hidden="false" customHeight="false" outlineLevel="0" collapsed="false">
      <c r="G564" s="80" t="n">
        <v>564</v>
      </c>
      <c r="H564" s="61"/>
      <c r="I564" s="61" t="s">
        <v>352</v>
      </c>
      <c r="J564" s="83" t="s">
        <v>586</v>
      </c>
      <c r="M564" s="61" t="n">
        <v>2</v>
      </c>
      <c r="N564" s="61" t="s">
        <v>20</v>
      </c>
      <c r="R564" s="82" t="str">
        <f aca="false">VLOOKUP(J564,ingredient!$N$4:$O$553,2,0)</f>
        <v>kadi patta</v>
      </c>
      <c r="U564" s="81" t="str">
        <f aca="false">I564</f>
        <v>Tomato Chutni</v>
      </c>
      <c r="V564" s="81" t="n">
        <f aca="false">VLOOKUP(U564,recipe_ingred_list!$A$2:$B$300,2,0)</f>
        <v>81</v>
      </c>
      <c r="W564" s="81" t="str">
        <f aca="false">"/recipes/"&amp;VLOOKUP(U564,recipe_ingred_list!$A$2:$C$300,3,0)&amp;"/detail/"</f>
        <v>/recipes/tomato-chutni/detail/</v>
      </c>
      <c r="X564" s="81" t="str">
        <f aca="false">J564</f>
        <v>Kadipatta</v>
      </c>
      <c r="Y564" s="81" t="str">
        <f aca="false">R564</f>
        <v>kadi patta</v>
      </c>
      <c r="Z564" s="94" t="n">
        <f aca="false">VLOOKUP(Y564,recipe_ingred_list!$D$2:$E$500,2,0)</f>
        <v>105</v>
      </c>
      <c r="AA564" s="61" t="n">
        <f aca="false">K564</f>
        <v>0</v>
      </c>
      <c r="AB564" s="61" t="n">
        <f aca="false">L564</f>
        <v>0</v>
      </c>
      <c r="AC564" s="61" t="n">
        <f aca="false">VLOOKUP(AB564,recipe_ingred_list!$K$2:$M$7,3,0)</f>
        <v>2</v>
      </c>
      <c r="AD564" s="61" t="n">
        <f aca="false">M564</f>
        <v>2</v>
      </c>
      <c r="AE564" s="61" t="str">
        <f aca="false">N564</f>
        <v>cup</v>
      </c>
      <c r="AF564" s="61" t="n">
        <f aca="false">VLOOKUP(AE564,recipe_ingred_list!$K$16:$M$25,3,0)</f>
        <v>5</v>
      </c>
      <c r="AG564" s="61" t="n">
        <f aca="false">O564</f>
        <v>0</v>
      </c>
      <c r="AH564" s="61" t="n">
        <f aca="false">P564</f>
        <v>0</v>
      </c>
      <c r="AI564" s="61" t="n">
        <f aca="false">VLOOKUP(AH564,recipe_ingred_list!$K$29:$M$34,3,0)</f>
        <v>3</v>
      </c>
      <c r="AJ564" s="61" t="str">
        <f aca="false">IF(Q564="","",Q564)</f>
        <v/>
      </c>
      <c r="AK564" s="61" t="n">
        <f aca="false">AK563+1</f>
        <v>564</v>
      </c>
      <c r="AL564" s="61" t="str">
        <f aca="false">Y564</f>
        <v>kadi patta</v>
      </c>
      <c r="AM564" s="81" t="str">
        <f aca="false">"a = Client().post('"&amp;W564&amp;"', {'recipe' : '"&amp;V564&amp;"', 'ingredient' : '"&amp;Z564&amp;"', 'name' : '"&amp;X564&amp;"', 'mass_unit' : '"&amp;AC564&amp;"', 'mass_quantity' : '"&amp;ROUND(AA564,3)&amp;"', 'volume_unit' : '"&amp;AF564&amp;"', 'volume_quantity' : '"&amp;ROUND(AD564,3)&amp;"', 'pieces_unit' : '"&amp;AI564&amp;"', 'pieces_quantity' : '"&amp;ROUND(AG564,3)&amp;"', 'cooking_notes' : '"&amp;AJ564&amp;"'}).status_code; print('%s :: %s :: %s :: %s :: %s' %(a,"&amp;G564&amp;",'"&amp;X564&amp;"','"&amp;Y564&amp;"','"&amp;U564&amp;"'))"</f>
        <v>a = Client().post('/recipes/tomato-chutni/detail/', {'recipe' : '81', 'ingredient' : '105', 'name' : 'Kadipatta', 'mass_unit' : '2', 'mass_quantity' : '0', 'volume_unit' : '5', 'volume_quantity' : '2', 'pieces_unit' : '3', 'pieces_quantity' : '0', 'cooking_notes' : ''}).status_code; print('%s :: %s :: %s :: %s :: %s' %(a,564,'Kadipatta','kadi patta','Tomato Chutni'))</v>
      </c>
    </row>
    <row r="565" customFormat="false" ht="13.8" hidden="false" customHeight="false" outlineLevel="0" collapsed="false">
      <c r="G565" s="80" t="n">
        <v>565</v>
      </c>
      <c r="H565" s="100"/>
      <c r="I565" s="100" t="s">
        <v>352</v>
      </c>
      <c r="J565" s="79" t="s">
        <v>26</v>
      </c>
      <c r="K565" s="100"/>
      <c r="L565" s="100"/>
      <c r="M565" s="100" t="n">
        <v>0.12</v>
      </c>
      <c r="N565" s="100" t="s">
        <v>27</v>
      </c>
      <c r="O565" s="0"/>
      <c r="P565" s="0"/>
      <c r="Q565" s="102"/>
      <c r="R565" s="99" t="e">
        <f aca="false">VLOOKUP(J565,ingredient!$N$4:$O$553,2,0)</f>
        <v>#N/A</v>
      </c>
      <c r="S565" s="98"/>
      <c r="T565" s="98"/>
      <c r="U565" s="81" t="str">
        <f aca="false">I565</f>
        <v>Tomato Chutni</v>
      </c>
      <c r="V565" s="81" t="n">
        <f aca="false">VLOOKUP(U565,recipe_ingred_list!$A$2:$B$300,2,0)</f>
        <v>81</v>
      </c>
      <c r="W565" s="81" t="str">
        <f aca="false">"/recipes/"&amp;VLOOKUP(U565,recipe_ingred_list!$A$2:$C$300,3,0)&amp;"/detail/"</f>
        <v>/recipes/tomato-chutni/detail/</v>
      </c>
      <c r="X565" s="81" t="str">
        <f aca="false">J565</f>
        <v>YIELD</v>
      </c>
      <c r="Y565" s="81" t="e">
        <f aca="false">R565</f>
        <v>#N/A</v>
      </c>
      <c r="Z565" s="94" t="e">
        <f aca="false">VLOOKUP(Y565,recipe_ingred_list!$D$2:$E$500,2,0)</f>
        <v>#N/A</v>
      </c>
      <c r="AA565" s="61" t="n">
        <f aca="false">K565</f>
        <v>0</v>
      </c>
      <c r="AB565" s="61" t="n">
        <f aca="false">L565</f>
        <v>0</v>
      </c>
      <c r="AC565" s="61" t="n">
        <f aca="false">VLOOKUP(AB565,recipe_ingred_list!$K$2:$M$7,3,0)</f>
        <v>2</v>
      </c>
      <c r="AD565" s="61" t="n">
        <f aca="false">M565</f>
        <v>0.12</v>
      </c>
      <c r="AE565" s="61" t="str">
        <f aca="false">N565</f>
        <v>tub</v>
      </c>
      <c r="AF565" s="61" t="n">
        <f aca="false">VLOOKUP(AE565,recipe_ingred_list!$K$16:$M$25,3,0)</f>
        <v>4</v>
      </c>
      <c r="AG565" s="61" t="n">
        <f aca="false">O565</f>
        <v>0</v>
      </c>
      <c r="AH565" s="61" t="n">
        <f aca="false">P565</f>
        <v>0</v>
      </c>
      <c r="AI565" s="61" t="n">
        <f aca="false">VLOOKUP(AH565,recipe_ingred_list!$K$29:$M$34,3,0)</f>
        <v>3</v>
      </c>
      <c r="AJ565" s="61" t="str">
        <f aca="false">IF(Q565="","",Q565)</f>
        <v/>
      </c>
      <c r="AK565" s="61" t="n">
        <f aca="false">AK564+1</f>
        <v>565</v>
      </c>
      <c r="AL565" s="61" t="e">
        <f aca="false">Y565</f>
        <v>#N/A</v>
      </c>
      <c r="AM565" s="81" t="e">
        <f aca="false">"a = Client().post('"&amp;W565&amp;"', {'recipe' : '"&amp;V565&amp;"', 'ingredient' : '"&amp;Z565&amp;"', 'name' : '"&amp;X565&amp;"', 'mass_unit' : '"&amp;AC565&amp;"', 'mass_quantity' : '"&amp;ROUND(AA565,3)&amp;"', 'volume_unit' : '"&amp;AF565&amp;"', 'volume_quantity' : '"&amp;ROUND(AD565,3)&amp;"', 'pieces_unit' : '"&amp;AI565&amp;"', 'pieces_quantity' : '"&amp;ROUND(AG565,3)&amp;"', 'cooking_notes' : '"&amp;AJ565&amp;"'}).status_code; print('%s :: %s :: %s :: %s :: %s' %(a,"&amp;G565&amp;",'"&amp;X565&amp;"','"&amp;Y565&amp;"','"&amp;U565&amp;"'))"</f>
        <v>#N/A</v>
      </c>
    </row>
    <row r="566" customFormat="false" ht="13.8" hidden="false" customHeight="false" outlineLevel="0" collapsed="false">
      <c r="G566" s="80" t="n">
        <v>566</v>
      </c>
      <c r="H566" s="100"/>
      <c r="I566" s="100" t="s">
        <v>352</v>
      </c>
      <c r="J566" s="79" t="s">
        <v>26</v>
      </c>
      <c r="K566" s="100"/>
      <c r="L566" s="100"/>
      <c r="M566" s="100" t="n">
        <v>4</v>
      </c>
      <c r="N566" s="100" t="s">
        <v>13</v>
      </c>
      <c r="O566" s="101"/>
      <c r="P566" s="100"/>
      <c r="Q566" s="102"/>
      <c r="R566" s="99" t="e">
        <f aca="false">VLOOKUP(J566,ingredient!$N$4:$O$553,2,0)</f>
        <v>#N/A</v>
      </c>
      <c r="S566" s="98"/>
      <c r="T566" s="98"/>
      <c r="U566" s="81" t="str">
        <f aca="false">I566</f>
        <v>Tomato Chutni</v>
      </c>
      <c r="V566" s="81" t="n">
        <f aca="false">VLOOKUP(U566,recipe_ingred_list!$A$2:$B$300,2,0)</f>
        <v>81</v>
      </c>
      <c r="W566" s="81" t="str">
        <f aca="false">"/recipes/"&amp;VLOOKUP(U566,recipe_ingred_list!$A$2:$C$300,3,0)&amp;"/detail/"</f>
        <v>/recipes/tomato-chutni/detail/</v>
      </c>
      <c r="X566" s="81" t="str">
        <f aca="false">J566</f>
        <v>YIELD</v>
      </c>
      <c r="Y566" s="81" t="e">
        <f aca="false">R566</f>
        <v>#N/A</v>
      </c>
      <c r="Z566" s="94" t="e">
        <f aca="false">VLOOKUP(Y566,recipe_ingred_list!$D$2:$E$500,2,0)</f>
        <v>#N/A</v>
      </c>
      <c r="AA566" s="61" t="n">
        <f aca="false">K566</f>
        <v>0</v>
      </c>
      <c r="AB566" s="61" t="n">
        <f aca="false">L566</f>
        <v>0</v>
      </c>
      <c r="AC566" s="61" t="n">
        <f aca="false">VLOOKUP(AB566,recipe_ingred_list!$K$2:$M$7,3,0)</f>
        <v>2</v>
      </c>
      <c r="AD566" s="61" t="n">
        <f aca="false">M566</f>
        <v>4</v>
      </c>
      <c r="AE566" s="61" t="str">
        <f aca="false">N566</f>
        <v>ltr</v>
      </c>
      <c r="AF566" s="61" t="n">
        <f aca="false">VLOOKUP(AE566,recipe_ingred_list!$K$16:$M$25,3,0)</f>
        <v>1</v>
      </c>
      <c r="AG566" s="61" t="n">
        <f aca="false">O566</f>
        <v>0</v>
      </c>
      <c r="AH566" s="61" t="n">
        <f aca="false">P566</f>
        <v>0</v>
      </c>
      <c r="AI566" s="61" t="n">
        <f aca="false">VLOOKUP(AH566,recipe_ingred_list!$K$29:$M$34,3,0)</f>
        <v>3</v>
      </c>
      <c r="AJ566" s="61" t="str">
        <f aca="false">IF(Q566="","",Q566)</f>
        <v/>
      </c>
      <c r="AK566" s="61" t="n">
        <f aca="false">AK565+1</f>
        <v>566</v>
      </c>
      <c r="AL566" s="61" t="e">
        <f aca="false">Y566</f>
        <v>#N/A</v>
      </c>
      <c r="AM566" s="81" t="e">
        <f aca="false">"a = Client().post('"&amp;W566&amp;"', {'recipe' : '"&amp;V566&amp;"', 'ingredient' : '"&amp;Z566&amp;"', 'name' : '"&amp;X566&amp;"', 'mass_unit' : '"&amp;AC566&amp;"', 'mass_quantity' : '"&amp;ROUND(AA566,3)&amp;"', 'volume_unit' : '"&amp;AF566&amp;"', 'volume_quantity' : '"&amp;ROUND(AD566,3)&amp;"', 'pieces_unit' : '"&amp;AI566&amp;"', 'pieces_quantity' : '"&amp;ROUND(AG566,3)&amp;"', 'cooking_notes' : '"&amp;AJ566&amp;"'}).status_code; print('%s :: %s :: %s :: %s :: %s' %(a,"&amp;G566&amp;",'"&amp;X566&amp;"','"&amp;Y566&amp;"','"&amp;U566&amp;"'))"</f>
        <v>#N/A</v>
      </c>
    </row>
    <row r="567" customFormat="false" ht="13.8" hidden="false" customHeight="false" outlineLevel="0" collapsed="false">
      <c r="G567" s="80" t="n">
        <v>567</v>
      </c>
      <c r="H567" s="100"/>
      <c r="I567" s="100" t="s">
        <v>352</v>
      </c>
      <c r="J567" s="79"/>
      <c r="K567" s="100"/>
      <c r="L567" s="100"/>
      <c r="M567" s="100"/>
      <c r="N567" s="100"/>
      <c r="O567" s="101"/>
      <c r="P567" s="100"/>
      <c r="Q567" s="102"/>
      <c r="R567" s="99" t="e">
        <f aca="false">VLOOKUP(J567,ingredient!$N$4:$O$553,2,0)</f>
        <v>#N/A</v>
      </c>
      <c r="S567" s="98"/>
      <c r="T567" s="98"/>
      <c r="U567" s="81" t="str">
        <f aca="false">I567</f>
        <v>Tomato Chutni</v>
      </c>
      <c r="V567" s="81" t="n">
        <f aca="false">VLOOKUP(U567,recipe_ingred_list!$A$2:$B$300,2,0)</f>
        <v>81</v>
      </c>
      <c r="W567" s="81" t="str">
        <f aca="false">"/recipes/"&amp;VLOOKUP(U567,recipe_ingred_list!$A$2:$C$300,3,0)&amp;"/detail/"</f>
        <v>/recipes/tomato-chutni/detail/</v>
      </c>
      <c r="X567" s="81" t="n">
        <f aca="false">J567</f>
        <v>0</v>
      </c>
      <c r="Y567" s="81" t="e">
        <f aca="false">R567</f>
        <v>#N/A</v>
      </c>
      <c r="Z567" s="94" t="e">
        <f aca="false">VLOOKUP(Y567,recipe_ingred_list!$D$2:$E$500,2,0)</f>
        <v>#N/A</v>
      </c>
      <c r="AA567" s="61" t="n">
        <f aca="false">K567</f>
        <v>0</v>
      </c>
      <c r="AB567" s="61" t="n">
        <f aca="false">L567</f>
        <v>0</v>
      </c>
      <c r="AC567" s="61" t="n">
        <f aca="false">VLOOKUP(AB567,recipe_ingred_list!$K$2:$M$7,3,0)</f>
        <v>2</v>
      </c>
      <c r="AD567" s="61" t="n">
        <f aca="false">M567</f>
        <v>0</v>
      </c>
      <c r="AE567" s="61" t="n">
        <f aca="false">N567</f>
        <v>0</v>
      </c>
      <c r="AF567" s="61" t="n">
        <f aca="false">VLOOKUP(AE567,recipe_ingred_list!$K$16:$M$25,3,0)</f>
        <v>1</v>
      </c>
      <c r="AG567" s="61" t="n">
        <f aca="false">O567</f>
        <v>0</v>
      </c>
      <c r="AH567" s="61" t="n">
        <f aca="false">P567</f>
        <v>0</v>
      </c>
      <c r="AI567" s="61" t="n">
        <f aca="false">VLOOKUP(AH567,recipe_ingred_list!$K$29:$M$34,3,0)</f>
        <v>3</v>
      </c>
      <c r="AJ567" s="61" t="str">
        <f aca="false">IF(Q567="","",Q567)</f>
        <v/>
      </c>
      <c r="AK567" s="61" t="n">
        <f aca="false">AK566+1</f>
        <v>567</v>
      </c>
      <c r="AL567" s="61" t="e">
        <f aca="false">Y567</f>
        <v>#N/A</v>
      </c>
      <c r="AM567" s="81" t="e">
        <f aca="false">"a = Client().post('"&amp;W567&amp;"', {'recipe' : '"&amp;V567&amp;"', 'ingredient' : '"&amp;Z567&amp;"', 'name' : '"&amp;X567&amp;"', 'mass_unit' : '"&amp;AC567&amp;"', 'mass_quantity' : '"&amp;ROUND(AA567,3)&amp;"', 'volume_unit' : '"&amp;AF567&amp;"', 'volume_quantity' : '"&amp;ROUND(AD567,3)&amp;"', 'pieces_unit' : '"&amp;AI567&amp;"', 'pieces_quantity' : '"&amp;ROUND(AG567,3)&amp;"', 'cooking_notes' : '"&amp;AJ567&amp;"'}).status_code; print('%s :: %s :: %s :: %s :: %s' %(a,"&amp;G567&amp;",'"&amp;X567&amp;"','"&amp;Y567&amp;"','"&amp;U567&amp;"'))"</f>
        <v>#N/A</v>
      </c>
    </row>
    <row r="568" customFormat="false" ht="13.8" hidden="false" customHeight="false" outlineLevel="0" collapsed="false">
      <c r="G568" s="80" t="n">
        <v>568</v>
      </c>
      <c r="H568" s="100"/>
      <c r="I568" s="100"/>
      <c r="J568" s="79"/>
      <c r="K568" s="100"/>
      <c r="L568" s="100"/>
      <c r="M568" s="100"/>
      <c r="N568" s="100"/>
      <c r="O568" s="101"/>
      <c r="P568" s="100"/>
      <c r="Q568" s="102"/>
      <c r="R568" s="99" t="e">
        <f aca="false">VLOOKUP(J568,ingredient!$N$4:$O$553,2,0)</f>
        <v>#N/A</v>
      </c>
      <c r="S568" s="98"/>
      <c r="T568" s="98"/>
      <c r="U568" s="81" t="n">
        <f aca="false">I568</f>
        <v>0</v>
      </c>
      <c r="V568" s="81" t="e">
        <f aca="false">VLOOKUP(U568,recipe_ingred_list!$A$2:$B$300,2,0)</f>
        <v>#N/A</v>
      </c>
      <c r="W568" s="81" t="e">
        <f aca="false">"/recipes/"&amp;VLOOKUP(U568,recipe_ingred_list!$A$2:$C$300,3,0)&amp;"/detail/"</f>
        <v>#N/A</v>
      </c>
      <c r="X568" s="81" t="n">
        <f aca="false">J568</f>
        <v>0</v>
      </c>
      <c r="Y568" s="81" t="e">
        <f aca="false">R568</f>
        <v>#N/A</v>
      </c>
      <c r="Z568" s="94" t="e">
        <f aca="false">VLOOKUP(Y568,recipe_ingred_list!$D$2:$E$500,2,0)</f>
        <v>#N/A</v>
      </c>
      <c r="AA568" s="61" t="n">
        <f aca="false">K568</f>
        <v>0</v>
      </c>
      <c r="AB568" s="61" t="n">
        <f aca="false">L568</f>
        <v>0</v>
      </c>
      <c r="AC568" s="61" t="n">
        <f aca="false">VLOOKUP(AB568,recipe_ingred_list!$K$2:$M$7,3,0)</f>
        <v>2</v>
      </c>
      <c r="AD568" s="61" t="n">
        <f aca="false">M568</f>
        <v>0</v>
      </c>
      <c r="AE568" s="61" t="n">
        <f aca="false">N568</f>
        <v>0</v>
      </c>
      <c r="AF568" s="61" t="n">
        <f aca="false">VLOOKUP(AE568,recipe_ingred_list!$K$16:$M$25,3,0)</f>
        <v>1</v>
      </c>
      <c r="AG568" s="61" t="n">
        <f aca="false">O568</f>
        <v>0</v>
      </c>
      <c r="AH568" s="61" t="n">
        <f aca="false">P568</f>
        <v>0</v>
      </c>
      <c r="AI568" s="61" t="n">
        <f aca="false">VLOOKUP(AH568,recipe_ingred_list!$K$29:$M$34,3,0)</f>
        <v>3</v>
      </c>
      <c r="AJ568" s="61" t="str">
        <f aca="false">IF(Q568="","",Q568)</f>
        <v/>
      </c>
      <c r="AK568" s="61" t="n">
        <f aca="false">AK567+1</f>
        <v>568</v>
      </c>
      <c r="AL568" s="61" t="e">
        <f aca="false">Y568</f>
        <v>#N/A</v>
      </c>
      <c r="AM568" s="81" t="e">
        <f aca="false">"a = Client().post('"&amp;W568&amp;"', {'recipe' : '"&amp;V568&amp;"', 'ingredient' : '"&amp;Z568&amp;"', 'name' : '"&amp;X568&amp;"', 'mass_unit' : '"&amp;AC568&amp;"', 'mass_quantity' : '"&amp;ROUND(AA568,3)&amp;"', 'volume_unit' : '"&amp;AF568&amp;"', 'volume_quantity' : '"&amp;ROUND(AD568,3)&amp;"', 'pieces_unit' : '"&amp;AI568&amp;"', 'pieces_quantity' : '"&amp;ROUND(AG568,3)&amp;"', 'cooking_notes' : '"&amp;AJ568&amp;"'}).status_code; print('%s :: %s :: %s :: %s :: %s' %(a,"&amp;G568&amp;",'"&amp;X568&amp;"','"&amp;Y568&amp;"','"&amp;U568&amp;"'))"</f>
        <v>#N/A</v>
      </c>
    </row>
    <row r="569" customFormat="false" ht="13.8" hidden="false" customHeight="false" outlineLevel="0" collapsed="false">
      <c r="G569" s="80" t="n">
        <v>569</v>
      </c>
      <c r="H569" s="98"/>
      <c r="I569" s="99"/>
      <c r="J569" s="162"/>
      <c r="K569" s="163"/>
      <c r="L569" s="163"/>
      <c r="M569" s="100"/>
      <c r="N569" s="100"/>
      <c r="O569" s="101"/>
      <c r="P569" s="100"/>
      <c r="Q569" s="102"/>
      <c r="R569" s="99" t="e">
        <f aca="false">VLOOKUP(J569,ingredient!$N$4:$O$553,2,0)</f>
        <v>#N/A</v>
      </c>
      <c r="S569" s="98"/>
      <c r="T569" s="98"/>
      <c r="U569" s="81" t="n">
        <f aca="false">I569</f>
        <v>0</v>
      </c>
      <c r="V569" s="81" t="e">
        <f aca="false">VLOOKUP(U569,recipe_ingred_list!$A$2:$B$300,2,0)</f>
        <v>#N/A</v>
      </c>
      <c r="W569" s="81" t="e">
        <f aca="false">"/recipes/"&amp;VLOOKUP(U569,recipe_ingred_list!$A$2:$C$300,3,0)&amp;"/detail/"</f>
        <v>#N/A</v>
      </c>
      <c r="X569" s="81" t="n">
        <f aca="false">J569</f>
        <v>0</v>
      </c>
      <c r="Y569" s="81" t="e">
        <f aca="false">R569</f>
        <v>#N/A</v>
      </c>
      <c r="Z569" s="94" t="e">
        <f aca="false">VLOOKUP(Y569,recipe_ingred_list!$D$2:$E$500,2,0)</f>
        <v>#N/A</v>
      </c>
      <c r="AA569" s="61" t="n">
        <f aca="false">K569</f>
        <v>0</v>
      </c>
      <c r="AB569" s="61" t="n">
        <f aca="false">L569</f>
        <v>0</v>
      </c>
      <c r="AC569" s="61" t="n">
        <f aca="false">VLOOKUP(AB569,recipe_ingred_list!$K$2:$M$7,3,0)</f>
        <v>2</v>
      </c>
      <c r="AD569" s="61" t="n">
        <f aca="false">M569</f>
        <v>0</v>
      </c>
      <c r="AE569" s="61" t="n">
        <f aca="false">N569</f>
        <v>0</v>
      </c>
      <c r="AF569" s="61" t="n">
        <f aca="false">VLOOKUP(AE569,recipe_ingred_list!$K$16:$M$25,3,0)</f>
        <v>1</v>
      </c>
      <c r="AG569" s="61" t="n">
        <f aca="false">O569</f>
        <v>0</v>
      </c>
      <c r="AH569" s="61" t="n">
        <f aca="false">P569</f>
        <v>0</v>
      </c>
      <c r="AI569" s="61" t="n">
        <f aca="false">VLOOKUP(AH569,recipe_ingred_list!$K$29:$M$34,3,0)</f>
        <v>3</v>
      </c>
      <c r="AJ569" s="61" t="str">
        <f aca="false">IF(Q569="","",Q569)</f>
        <v/>
      </c>
      <c r="AK569" s="61" t="n">
        <f aca="false">AK568+1</f>
        <v>569</v>
      </c>
      <c r="AL569" s="61" t="e">
        <f aca="false">Y569</f>
        <v>#N/A</v>
      </c>
      <c r="AM569" s="81" t="e">
        <f aca="false">"a = Client().post('"&amp;W569&amp;"', {'recipe' : '"&amp;V569&amp;"', 'ingredient' : '"&amp;Z569&amp;"', 'name' : '"&amp;X569&amp;"', 'mass_unit' : '"&amp;AC569&amp;"', 'mass_quantity' : '"&amp;ROUND(AA569,3)&amp;"', 'volume_unit' : '"&amp;AF569&amp;"', 'volume_quantity' : '"&amp;ROUND(AD569,3)&amp;"', 'pieces_unit' : '"&amp;AI569&amp;"', 'pieces_quantity' : '"&amp;ROUND(AG569,3)&amp;"', 'cooking_notes' : '"&amp;AJ569&amp;"'}).status_code; print('%s :: %s :: %s :: %s :: %s' %(a,"&amp;G569&amp;",'"&amp;X569&amp;"','"&amp;Y569&amp;"','"&amp;U569&amp;"'))"</f>
        <v>#N/A</v>
      </c>
    </row>
    <row r="570" customFormat="false" ht="13.8" hidden="false" customHeight="false" outlineLevel="0" collapsed="false">
      <c r="G570" s="80" t="n">
        <v>570</v>
      </c>
      <c r="H570" s="98"/>
      <c r="I570" s="141" t="s">
        <v>196</v>
      </c>
      <c r="J570" s="105" t="s">
        <v>691</v>
      </c>
      <c r="K570" s="101"/>
      <c r="L570" s="101"/>
      <c r="M570" s="100"/>
      <c r="N570" s="100"/>
      <c r="O570" s="101"/>
      <c r="P570" s="100"/>
      <c r="Q570" s="102"/>
      <c r="R570" s="99" t="e">
        <f aca="false">VLOOKUP(J570,ingredient!$N$4:$O$553,2,0)</f>
        <v>#N/A</v>
      </c>
      <c r="S570" s="98"/>
      <c r="T570" s="98"/>
      <c r="U570" s="81" t="str">
        <f aca="false">I570</f>
        <v>Green curry</v>
      </c>
      <c r="V570" s="81" t="n">
        <f aca="false">VLOOKUP(U570,recipe_ingred_list!$A$2:$B$300,2,0)</f>
        <v>29</v>
      </c>
      <c r="W570" s="81" t="str">
        <f aca="false">"/recipes/"&amp;VLOOKUP(U570,recipe_ingred_list!$A$2:$C$300,3,0)&amp;"/detail/"</f>
        <v>/recipes/green-curry/detail/</v>
      </c>
      <c r="X570" s="81" t="str">
        <f aca="false">J570</f>
        <v>WET MASALA</v>
      </c>
      <c r="Y570" s="81" t="e">
        <f aca="false">R570</f>
        <v>#N/A</v>
      </c>
      <c r="Z570" s="94" t="e">
        <f aca="false">VLOOKUP(Y570,recipe_ingred_list!$D$2:$E$500,2,0)</f>
        <v>#N/A</v>
      </c>
      <c r="AA570" s="61" t="n">
        <f aca="false">K570</f>
        <v>0</v>
      </c>
      <c r="AB570" s="61" t="n">
        <f aca="false">L570</f>
        <v>0</v>
      </c>
      <c r="AC570" s="61" t="n">
        <f aca="false">VLOOKUP(AB570,recipe_ingred_list!$K$2:$M$7,3,0)</f>
        <v>2</v>
      </c>
      <c r="AD570" s="61" t="n">
        <f aca="false">M570</f>
        <v>0</v>
      </c>
      <c r="AE570" s="61" t="n">
        <f aca="false">N570</f>
        <v>0</v>
      </c>
      <c r="AF570" s="61" t="n">
        <f aca="false">VLOOKUP(AE570,recipe_ingred_list!$K$16:$M$25,3,0)</f>
        <v>1</v>
      </c>
      <c r="AG570" s="61" t="n">
        <f aca="false">O570</f>
        <v>0</v>
      </c>
      <c r="AH570" s="61" t="n">
        <f aca="false">P570</f>
        <v>0</v>
      </c>
      <c r="AI570" s="61" t="n">
        <f aca="false">VLOOKUP(AH570,recipe_ingred_list!$K$29:$M$34,3,0)</f>
        <v>3</v>
      </c>
      <c r="AJ570" s="61" t="str">
        <f aca="false">IF(Q570="","",Q570)</f>
        <v/>
      </c>
      <c r="AK570" s="61" t="n">
        <f aca="false">AK569+1</f>
        <v>570</v>
      </c>
      <c r="AL570" s="61" t="e">
        <f aca="false">Y570</f>
        <v>#N/A</v>
      </c>
      <c r="AM570" s="81" t="e">
        <f aca="false">"a = Client().post('"&amp;W570&amp;"', {'recipe' : '"&amp;V570&amp;"', 'ingredient' : '"&amp;Z570&amp;"', 'name' : '"&amp;X570&amp;"', 'mass_unit' : '"&amp;AC570&amp;"', 'mass_quantity' : '"&amp;ROUND(AA570,3)&amp;"', 'volume_unit' : '"&amp;AF570&amp;"', 'volume_quantity' : '"&amp;ROUND(AD570,3)&amp;"', 'pieces_unit' : '"&amp;AI570&amp;"', 'pieces_quantity' : '"&amp;ROUND(AG570,3)&amp;"', 'cooking_notes' : '"&amp;AJ570&amp;"'}).status_code; print('%s :: %s :: %s :: %s :: %s' %(a,"&amp;G570&amp;",'"&amp;X570&amp;"','"&amp;Y570&amp;"','"&amp;U570&amp;"'))"</f>
        <v>#N/A</v>
      </c>
    </row>
    <row r="571" customFormat="false" ht="13.8" hidden="false" customHeight="false" outlineLevel="0" collapsed="false">
      <c r="G571" s="80" t="n">
        <v>571</v>
      </c>
      <c r="I571" s="146" t="s">
        <v>196</v>
      </c>
      <c r="J571" s="142" t="s">
        <v>692</v>
      </c>
      <c r="K571" s="61" t="n">
        <v>10</v>
      </c>
      <c r="L571" s="69" t="s">
        <v>7</v>
      </c>
      <c r="R571" s="82" t="str">
        <f aca="false">VLOOKUP(J571,ingredient!$N$4:$O$553,2,0)</f>
        <v>lemongrass stalks</v>
      </c>
      <c r="U571" s="81" t="str">
        <f aca="false">I571</f>
        <v>Green curry</v>
      </c>
      <c r="V571" s="81" t="n">
        <f aca="false">VLOOKUP(U571,recipe_ingred_list!$A$2:$B$300,2,0)</f>
        <v>29</v>
      </c>
      <c r="W571" s="81" t="str">
        <f aca="false">"/recipes/"&amp;VLOOKUP(U571,recipe_ingred_list!$A$2:$C$300,3,0)&amp;"/detail/"</f>
        <v>/recipes/green-curry/detail/</v>
      </c>
      <c r="X571" s="81" t="str">
        <f aca="false">J571</f>
        <v>Lemongrass stalks</v>
      </c>
      <c r="Y571" s="81" t="str">
        <f aca="false">R571</f>
        <v>lemongrass stalks</v>
      </c>
      <c r="Z571" s="94" t="n">
        <f aca="false">VLOOKUP(Y571,recipe_ingred_list!$D$2:$E$500,2,0)</f>
        <v>132</v>
      </c>
      <c r="AA571" s="61" t="n">
        <f aca="false">K571</f>
        <v>10</v>
      </c>
      <c r="AB571" s="61" t="str">
        <f aca="false">L571</f>
        <v>kg</v>
      </c>
      <c r="AC571" s="61" t="n">
        <f aca="false">VLOOKUP(AB571,recipe_ingred_list!$K$2:$M$7,3,0)</f>
        <v>2</v>
      </c>
      <c r="AD571" s="61" t="n">
        <f aca="false">M571</f>
        <v>0</v>
      </c>
      <c r="AE571" s="61" t="n">
        <f aca="false">N571</f>
        <v>0</v>
      </c>
      <c r="AF571" s="61" t="n">
        <f aca="false">VLOOKUP(AE571,recipe_ingred_list!$K$16:$M$25,3,0)</f>
        <v>1</v>
      </c>
      <c r="AG571" s="61" t="n">
        <f aca="false">O571</f>
        <v>0</v>
      </c>
      <c r="AH571" s="61" t="n">
        <f aca="false">P571</f>
        <v>0</v>
      </c>
      <c r="AI571" s="61" t="n">
        <f aca="false">VLOOKUP(AH571,recipe_ingred_list!$K$29:$M$34,3,0)</f>
        <v>3</v>
      </c>
      <c r="AJ571" s="61" t="str">
        <f aca="false">IF(Q571="","",Q571)</f>
        <v/>
      </c>
      <c r="AK571" s="61" t="n">
        <f aca="false">AK570+1</f>
        <v>571</v>
      </c>
      <c r="AL571" s="61" t="str">
        <f aca="false">Y571</f>
        <v>lemongrass stalks</v>
      </c>
      <c r="AM571" s="81" t="str">
        <f aca="false">"a = Client().post('"&amp;W571&amp;"', {'recipe' : '"&amp;V571&amp;"', 'ingredient' : '"&amp;Z571&amp;"', 'name' : '"&amp;X571&amp;"', 'mass_unit' : '"&amp;AC571&amp;"', 'mass_quantity' : '"&amp;ROUND(AA571,3)&amp;"', 'volume_unit' : '"&amp;AF571&amp;"', 'volume_quantity' : '"&amp;ROUND(AD571,3)&amp;"', 'pieces_unit' : '"&amp;AI571&amp;"', 'pieces_quantity' : '"&amp;ROUND(AG571,3)&amp;"', 'cooking_notes' : '"&amp;AJ571&amp;"'}).status_code; print('%s :: %s :: %s :: %s :: %s' %(a,"&amp;G571&amp;",'"&amp;X571&amp;"','"&amp;Y571&amp;"','"&amp;U571&amp;"'))"</f>
        <v>a = Client().post('/recipes/green-curry/detail/', {'recipe' : '29', 'ingredient' : '132', 'name' : 'Lemongrass stalks', 'mass_unit' : '2', 'mass_quantity' : '10', 'volume_unit' : '1', 'volume_quantity' : '0', 'pieces_unit' : '3', 'pieces_quantity' : '0', 'cooking_notes' : ''}).status_code; print('%s :: %s :: %s :: %s :: %s' %(a,571,'Lemongrass stalks','lemongrass stalks','Green curry'))</v>
      </c>
    </row>
    <row r="572" customFormat="false" ht="13.8" hidden="false" customHeight="false" outlineLevel="0" collapsed="false">
      <c r="G572" s="80" t="n">
        <v>572</v>
      </c>
      <c r="I572" s="146" t="s">
        <v>196</v>
      </c>
      <c r="J572" s="142" t="s">
        <v>693</v>
      </c>
      <c r="M572" s="61" t="n">
        <v>6</v>
      </c>
      <c r="N572" s="61" t="s">
        <v>13</v>
      </c>
      <c r="R572" s="82" t="str">
        <f aca="false">VLOOKUP(J572,ingredient!$N$4:$O$553,2,0)</f>
        <v>thai ginger</v>
      </c>
      <c r="U572" s="81" t="str">
        <f aca="false">I572</f>
        <v>Green curry</v>
      </c>
      <c r="V572" s="81" t="n">
        <f aca="false">VLOOKUP(U572,recipe_ingred_list!$A$2:$B$300,2,0)</f>
        <v>29</v>
      </c>
      <c r="W572" s="81" t="str">
        <f aca="false">"/recipes/"&amp;VLOOKUP(U572,recipe_ingred_list!$A$2:$C$300,3,0)&amp;"/detail/"</f>
        <v>/recipes/green-curry/detail/</v>
      </c>
      <c r="X572" s="81" t="str">
        <f aca="false">J572</f>
        <v>Thai ginger</v>
      </c>
      <c r="Y572" s="81" t="str">
        <f aca="false">R572</f>
        <v>thai ginger</v>
      </c>
      <c r="Z572" s="94" t="n">
        <f aca="false">VLOOKUP(Y572,recipe_ingred_list!$D$2:$E$500,2,0)</f>
        <v>192</v>
      </c>
      <c r="AA572" s="61" t="n">
        <f aca="false">K572</f>
        <v>0</v>
      </c>
      <c r="AB572" s="61" t="n">
        <f aca="false">L572</f>
        <v>0</v>
      </c>
      <c r="AC572" s="61" t="n">
        <f aca="false">VLOOKUP(AB572,recipe_ingred_list!$K$2:$M$7,3,0)</f>
        <v>2</v>
      </c>
      <c r="AD572" s="61" t="n">
        <f aca="false">M572</f>
        <v>6</v>
      </c>
      <c r="AE572" s="61" t="str">
        <f aca="false">N572</f>
        <v>ltr</v>
      </c>
      <c r="AF572" s="61" t="n">
        <f aca="false">VLOOKUP(AE572,recipe_ingred_list!$K$16:$M$25,3,0)</f>
        <v>1</v>
      </c>
      <c r="AG572" s="61" t="n">
        <f aca="false">O572</f>
        <v>0</v>
      </c>
      <c r="AH572" s="61" t="n">
        <f aca="false">P572</f>
        <v>0</v>
      </c>
      <c r="AI572" s="61" t="n">
        <f aca="false">VLOOKUP(AH572,recipe_ingred_list!$K$29:$M$34,3,0)</f>
        <v>3</v>
      </c>
      <c r="AJ572" s="61" t="str">
        <f aca="false">IF(Q572="","",Q572)</f>
        <v/>
      </c>
      <c r="AK572" s="61" t="n">
        <f aca="false">AK571+1</f>
        <v>572</v>
      </c>
      <c r="AL572" s="61" t="str">
        <f aca="false">Y572</f>
        <v>thai ginger</v>
      </c>
      <c r="AM572" s="81" t="str">
        <f aca="false">"a = Client().post('"&amp;W572&amp;"', {'recipe' : '"&amp;V572&amp;"', 'ingredient' : '"&amp;Z572&amp;"', 'name' : '"&amp;X572&amp;"', 'mass_unit' : '"&amp;AC572&amp;"', 'mass_quantity' : '"&amp;ROUND(AA572,3)&amp;"', 'volume_unit' : '"&amp;AF572&amp;"', 'volume_quantity' : '"&amp;ROUND(AD572,3)&amp;"', 'pieces_unit' : '"&amp;AI572&amp;"', 'pieces_quantity' : '"&amp;ROUND(AG572,3)&amp;"', 'cooking_notes' : '"&amp;AJ572&amp;"'}).status_code; print('%s :: %s :: %s :: %s :: %s' %(a,"&amp;G572&amp;",'"&amp;X572&amp;"','"&amp;Y572&amp;"','"&amp;U572&amp;"'))"</f>
        <v>a = Client().post('/recipes/green-curry/detail/', {'recipe' : '29', 'ingredient' : '192', 'name' : 'Thai ginger', 'mass_unit' : '2', 'mass_quantity' : '0', 'volume_unit' : '1', 'volume_quantity' : '6', 'pieces_unit' : '3', 'pieces_quantity' : '0', 'cooking_notes' : ''}).status_code; print('%s :: %s :: %s :: %s :: %s' %(a,572,'Thai ginger','thai ginger','Green curry'))</v>
      </c>
    </row>
    <row r="573" customFormat="false" ht="13.8" hidden="false" customHeight="false" outlineLevel="0" collapsed="false">
      <c r="G573" s="80" t="n">
        <v>573</v>
      </c>
      <c r="I573" s="146" t="s">
        <v>196</v>
      </c>
      <c r="J573" s="142" t="s">
        <v>544</v>
      </c>
      <c r="M573" s="61" t="n">
        <v>3</v>
      </c>
      <c r="N573" s="61" t="s">
        <v>13</v>
      </c>
      <c r="R573" s="82" t="str">
        <f aca="false">VLOOKUP(J573,ingredient!$N$4:$O$553,2,0)</f>
        <v>akha dhaniya</v>
      </c>
      <c r="U573" s="81" t="str">
        <f aca="false">I573</f>
        <v>Green curry</v>
      </c>
      <c r="V573" s="81" t="n">
        <f aca="false">VLOOKUP(U573,recipe_ingred_list!$A$2:$B$300,2,0)</f>
        <v>29</v>
      </c>
      <c r="W573" s="81" t="str">
        <f aca="false">"/recipes/"&amp;VLOOKUP(U573,recipe_ingred_list!$A$2:$C$300,3,0)&amp;"/detail/"</f>
        <v>/recipes/green-curry/detail/</v>
      </c>
      <c r="X573" s="81" t="str">
        <f aca="false">J573</f>
        <v>Akha dhaniya</v>
      </c>
      <c r="Y573" s="81" t="str">
        <f aca="false">R573</f>
        <v>akha dhaniya</v>
      </c>
      <c r="Z573" s="94" t="n">
        <f aca="false">VLOOKUP(Y573,recipe_ingred_list!$D$2:$E$500,2,0)</f>
        <v>3</v>
      </c>
      <c r="AA573" s="61" t="n">
        <f aca="false">K573</f>
        <v>0</v>
      </c>
      <c r="AB573" s="61" t="n">
        <f aca="false">L573</f>
        <v>0</v>
      </c>
      <c r="AC573" s="61" t="n">
        <f aca="false">VLOOKUP(AB573,recipe_ingred_list!$K$2:$M$7,3,0)</f>
        <v>2</v>
      </c>
      <c r="AD573" s="61" t="n">
        <f aca="false">M573</f>
        <v>3</v>
      </c>
      <c r="AE573" s="61" t="str">
        <f aca="false">N573</f>
        <v>ltr</v>
      </c>
      <c r="AF573" s="61" t="n">
        <f aca="false">VLOOKUP(AE573,recipe_ingred_list!$K$16:$M$25,3,0)</f>
        <v>1</v>
      </c>
      <c r="AG573" s="61" t="n">
        <f aca="false">O573</f>
        <v>0</v>
      </c>
      <c r="AH573" s="61" t="n">
        <f aca="false">P573</f>
        <v>0</v>
      </c>
      <c r="AI573" s="61" t="n">
        <f aca="false">VLOOKUP(AH573,recipe_ingred_list!$K$29:$M$34,3,0)</f>
        <v>3</v>
      </c>
      <c r="AJ573" s="61" t="str">
        <f aca="false">IF(Q573="","",Q573)</f>
        <v/>
      </c>
      <c r="AK573" s="61" t="n">
        <f aca="false">AK572+1</f>
        <v>573</v>
      </c>
      <c r="AL573" s="61" t="str">
        <f aca="false">Y573</f>
        <v>akha dhaniya</v>
      </c>
      <c r="AM573" s="81" t="str">
        <f aca="false">"a = Client().post('"&amp;W573&amp;"', {'recipe' : '"&amp;V573&amp;"', 'ingredient' : '"&amp;Z573&amp;"', 'name' : '"&amp;X573&amp;"', 'mass_unit' : '"&amp;AC573&amp;"', 'mass_quantity' : '"&amp;ROUND(AA573,3)&amp;"', 'volume_unit' : '"&amp;AF573&amp;"', 'volume_quantity' : '"&amp;ROUND(AD573,3)&amp;"', 'pieces_unit' : '"&amp;AI573&amp;"', 'pieces_quantity' : '"&amp;ROUND(AG573,3)&amp;"', 'cooking_notes' : '"&amp;AJ573&amp;"'}).status_code; print('%s :: %s :: %s :: %s :: %s' %(a,"&amp;G573&amp;",'"&amp;X573&amp;"','"&amp;Y573&amp;"','"&amp;U573&amp;"'))"</f>
        <v>a = Client().post('/recipes/green-curry/detail/', {'recipe' : '29', 'ingredient' : '3', 'name' : 'Akha dhaniya', 'mass_unit' : '2', 'mass_quantity' : '0', 'volume_unit' : '1', 'volume_quantity' : '3', 'pieces_unit' : '3', 'pieces_quantity' : '0', 'cooking_notes' : ''}).status_code; print('%s :: %s :: %s :: %s :: %s' %(a,573,'Akha dhaniya','akha dhaniya','Green curry'))</v>
      </c>
    </row>
    <row r="574" customFormat="false" ht="13.8" hidden="false" customHeight="false" outlineLevel="0" collapsed="false">
      <c r="G574" s="80" t="n">
        <v>574</v>
      </c>
      <c r="I574" s="146" t="s">
        <v>196</v>
      </c>
      <c r="J574" s="142" t="s">
        <v>675</v>
      </c>
      <c r="O574" s="61" t="n">
        <v>600</v>
      </c>
      <c r="P574" s="61" t="s">
        <v>107</v>
      </c>
      <c r="R574" s="82" t="str">
        <f aca="false">VLOOKUP(J574,ingredient!$N$4:$O$553,2,0)</f>
        <v>kafir lemon leaves</v>
      </c>
      <c r="U574" s="81" t="str">
        <f aca="false">I574</f>
        <v>Green curry</v>
      </c>
      <c r="V574" s="81" t="n">
        <f aca="false">VLOOKUP(U574,recipe_ingred_list!$A$2:$B$300,2,0)</f>
        <v>29</v>
      </c>
      <c r="W574" s="81" t="str">
        <f aca="false">"/recipes/"&amp;VLOOKUP(U574,recipe_ingred_list!$A$2:$C$300,3,0)&amp;"/detail/"</f>
        <v>/recipes/green-curry/detail/</v>
      </c>
      <c r="X574" s="81" t="str">
        <f aca="false">J574</f>
        <v>Kafir lemon leaves</v>
      </c>
      <c r="Y574" s="81" t="str">
        <f aca="false">R574</f>
        <v>kafir lemon leaves</v>
      </c>
      <c r="Z574" s="94" t="n">
        <f aca="false">VLOOKUP(Y574,recipe_ingred_list!$D$2:$E$500,2,0)</f>
        <v>106</v>
      </c>
      <c r="AA574" s="61" t="n">
        <f aca="false">K574</f>
        <v>0</v>
      </c>
      <c r="AB574" s="61" t="n">
        <f aca="false">L574</f>
        <v>0</v>
      </c>
      <c r="AC574" s="61" t="n">
        <f aca="false">VLOOKUP(AB574,recipe_ingred_list!$K$2:$M$7,3,0)</f>
        <v>2</v>
      </c>
      <c r="AD574" s="61" t="n">
        <f aca="false">M574</f>
        <v>0</v>
      </c>
      <c r="AE574" s="61" t="n">
        <f aca="false">N574</f>
        <v>0</v>
      </c>
      <c r="AF574" s="61" t="n">
        <f aca="false">VLOOKUP(AE574,recipe_ingred_list!$K$16:$M$25,3,0)</f>
        <v>1</v>
      </c>
      <c r="AG574" s="61" t="n">
        <f aca="false">O574</f>
        <v>600</v>
      </c>
      <c r="AH574" s="61" t="str">
        <f aca="false">P574</f>
        <v>pcs</v>
      </c>
      <c r="AI574" s="61" t="n">
        <f aca="false">VLOOKUP(AH574,recipe_ingred_list!$K$29:$M$34,3,0)</f>
        <v>3</v>
      </c>
      <c r="AJ574" s="61" t="str">
        <f aca="false">IF(Q574="","",Q574)</f>
        <v/>
      </c>
      <c r="AK574" s="61" t="n">
        <f aca="false">AK573+1</f>
        <v>574</v>
      </c>
      <c r="AL574" s="61" t="str">
        <f aca="false">Y574</f>
        <v>kafir lemon leaves</v>
      </c>
      <c r="AM574" s="81" t="str">
        <f aca="false">"a = Client().post('"&amp;W574&amp;"', {'recipe' : '"&amp;V574&amp;"', 'ingredient' : '"&amp;Z574&amp;"', 'name' : '"&amp;X574&amp;"', 'mass_unit' : '"&amp;AC574&amp;"', 'mass_quantity' : '"&amp;ROUND(AA574,3)&amp;"', 'volume_unit' : '"&amp;AF574&amp;"', 'volume_quantity' : '"&amp;ROUND(AD574,3)&amp;"', 'pieces_unit' : '"&amp;AI574&amp;"', 'pieces_quantity' : '"&amp;ROUND(AG574,3)&amp;"', 'cooking_notes' : '"&amp;AJ574&amp;"'}).status_code; print('%s :: %s :: %s :: %s :: %s' %(a,"&amp;G574&amp;",'"&amp;X574&amp;"','"&amp;Y574&amp;"','"&amp;U574&amp;"'))"</f>
        <v>a = Client().post('/recipes/green-curry/detail/', {'recipe' : '29', 'ingredient' : '106', 'name' : 'Kafir lemon leaves', 'mass_unit' : '2', 'mass_quantity' : '0', 'volume_unit' : '1', 'volume_quantity' : '0', 'pieces_unit' : '3', 'pieces_quantity' : '600', 'cooking_notes' : ''}).status_code; print('%s :: %s :: %s :: %s :: %s' %(a,574,'Kafir lemon leaves','kafir lemon leaves','Green curry'))</v>
      </c>
    </row>
    <row r="575" customFormat="false" ht="13.8" hidden="false" customHeight="false" outlineLevel="0" collapsed="false">
      <c r="G575" s="80" t="n">
        <v>575</v>
      </c>
      <c r="I575" s="146" t="s">
        <v>196</v>
      </c>
      <c r="J575" s="142" t="s">
        <v>694</v>
      </c>
      <c r="M575" s="61" t="n">
        <v>3</v>
      </c>
      <c r="N575" s="61" t="s">
        <v>13</v>
      </c>
      <c r="R575" s="82" t="str">
        <f aca="false">VLOOKUP(J575,ingredient!$N$4:$O$553,2,0)</f>
        <v>hari mirchi</v>
      </c>
      <c r="U575" s="81" t="str">
        <f aca="false">I575</f>
        <v>Green curry</v>
      </c>
      <c r="V575" s="81" t="n">
        <f aca="false">VLOOKUP(U575,recipe_ingred_list!$A$2:$B$300,2,0)</f>
        <v>29</v>
      </c>
      <c r="W575" s="81" t="str">
        <f aca="false">"/recipes/"&amp;VLOOKUP(U575,recipe_ingred_list!$A$2:$C$300,3,0)&amp;"/detail/"</f>
        <v>/recipes/green-curry/detail/</v>
      </c>
      <c r="X575" s="81" t="str">
        <f aca="false">J575</f>
        <v>Hari Mirchi paste</v>
      </c>
      <c r="Y575" s="81" t="str">
        <f aca="false">R575</f>
        <v>hari mirchi</v>
      </c>
      <c r="Z575" s="94" t="n">
        <f aca="false">VLOOKUP(Y575,recipe_ingred_list!$D$2:$E$500,2,0)</f>
        <v>93</v>
      </c>
      <c r="AA575" s="61" t="n">
        <f aca="false">K575</f>
        <v>0</v>
      </c>
      <c r="AB575" s="61" t="n">
        <f aca="false">L575</f>
        <v>0</v>
      </c>
      <c r="AC575" s="61" t="n">
        <f aca="false">VLOOKUP(AB575,recipe_ingred_list!$K$2:$M$7,3,0)</f>
        <v>2</v>
      </c>
      <c r="AD575" s="61" t="n">
        <f aca="false">M575</f>
        <v>3</v>
      </c>
      <c r="AE575" s="61" t="str">
        <f aca="false">N575</f>
        <v>ltr</v>
      </c>
      <c r="AF575" s="61" t="n">
        <f aca="false">VLOOKUP(AE575,recipe_ingred_list!$K$16:$M$25,3,0)</f>
        <v>1</v>
      </c>
      <c r="AG575" s="61" t="n">
        <f aca="false">O575</f>
        <v>0</v>
      </c>
      <c r="AH575" s="61" t="n">
        <f aca="false">P575</f>
        <v>0</v>
      </c>
      <c r="AI575" s="61" t="n">
        <f aca="false">VLOOKUP(AH575,recipe_ingred_list!$K$29:$M$34,3,0)</f>
        <v>3</v>
      </c>
      <c r="AJ575" s="61" t="str">
        <f aca="false">IF(Q575="","",Q575)</f>
        <v/>
      </c>
      <c r="AK575" s="61" t="n">
        <f aca="false">AK574+1</f>
        <v>575</v>
      </c>
      <c r="AL575" s="61" t="str">
        <f aca="false">Y575</f>
        <v>hari mirchi</v>
      </c>
      <c r="AM575" s="81" t="str">
        <f aca="false">"a = Client().post('"&amp;W575&amp;"', {'recipe' : '"&amp;V575&amp;"', 'ingredient' : '"&amp;Z575&amp;"', 'name' : '"&amp;X575&amp;"', 'mass_unit' : '"&amp;AC575&amp;"', 'mass_quantity' : '"&amp;ROUND(AA575,3)&amp;"', 'volume_unit' : '"&amp;AF575&amp;"', 'volume_quantity' : '"&amp;ROUND(AD575,3)&amp;"', 'pieces_unit' : '"&amp;AI575&amp;"', 'pieces_quantity' : '"&amp;ROUND(AG575,3)&amp;"', 'cooking_notes' : '"&amp;AJ575&amp;"'}).status_code; print('%s :: %s :: %s :: %s :: %s' %(a,"&amp;G575&amp;",'"&amp;X575&amp;"','"&amp;Y575&amp;"','"&amp;U575&amp;"'))"</f>
        <v>a = Client().post('/recipes/green-curry/detail/', {'recipe' : '29', 'ingredient' : '93', 'name' : 'Hari Mirchi paste', 'mass_unit' : '2', 'mass_quantity' : '0', 'volume_unit' : '1', 'volume_quantity' : '3', 'pieces_unit' : '3', 'pieces_quantity' : '0', 'cooking_notes' : ''}).status_code; print('%s :: %s :: %s :: %s :: %s' %(a,575,'Hari Mirchi paste','hari mirchi','Green curry'))</v>
      </c>
    </row>
    <row r="576" customFormat="false" ht="13.8" hidden="false" customHeight="false" outlineLevel="0" collapsed="false">
      <c r="G576" s="80" t="n">
        <v>576</v>
      </c>
      <c r="H576" s="98"/>
      <c r="I576" s="141" t="s">
        <v>196</v>
      </c>
      <c r="J576" s="105" t="s">
        <v>695</v>
      </c>
      <c r="K576" s="100"/>
      <c r="L576" s="100"/>
      <c r="M576" s="101"/>
      <c r="N576" s="101"/>
      <c r="O576" s="101"/>
      <c r="P576" s="100"/>
      <c r="Q576" s="102"/>
      <c r="R576" s="99" t="e">
        <f aca="false">VLOOKUP(J576,ingredient!$N$4:$O$553,2,0)</f>
        <v>#N/A</v>
      </c>
      <c r="S576" s="98"/>
      <c r="T576" s="98"/>
      <c r="U576" s="81" t="str">
        <f aca="false">I576</f>
        <v>Green curry</v>
      </c>
      <c r="V576" s="81" t="n">
        <f aca="false">VLOOKUP(U576,recipe_ingred_list!$A$2:$B$300,2,0)</f>
        <v>29</v>
      </c>
      <c r="W576" s="81" t="str">
        <f aca="false">"/recipes/"&amp;VLOOKUP(U576,recipe_ingred_list!$A$2:$C$300,3,0)&amp;"/detail/"</f>
        <v>/recipes/green-curry/detail/</v>
      </c>
      <c r="X576" s="81" t="str">
        <f aca="false">J576</f>
        <v>WET MASALA VOLUME</v>
      </c>
      <c r="Y576" s="81" t="e">
        <f aca="false">R576</f>
        <v>#N/A</v>
      </c>
      <c r="Z576" s="94" t="e">
        <f aca="false">VLOOKUP(Y576,recipe_ingred_list!$D$2:$E$500,2,0)</f>
        <v>#N/A</v>
      </c>
      <c r="AA576" s="61" t="n">
        <f aca="false">K576</f>
        <v>0</v>
      </c>
      <c r="AB576" s="61" t="n">
        <f aca="false">L576</f>
        <v>0</v>
      </c>
      <c r="AC576" s="61" t="n">
        <f aca="false">VLOOKUP(AB576,recipe_ingred_list!$K$2:$M$7,3,0)</f>
        <v>2</v>
      </c>
      <c r="AD576" s="61" t="n">
        <f aca="false">M576</f>
        <v>0</v>
      </c>
      <c r="AE576" s="61" t="n">
        <f aca="false">N576</f>
        <v>0</v>
      </c>
      <c r="AF576" s="61" t="n">
        <f aca="false">VLOOKUP(AE576,recipe_ingred_list!$K$16:$M$25,3,0)</f>
        <v>1</v>
      </c>
      <c r="AG576" s="61" t="n">
        <f aca="false">O576</f>
        <v>0</v>
      </c>
      <c r="AH576" s="61" t="n">
        <f aca="false">P576</f>
        <v>0</v>
      </c>
      <c r="AI576" s="61" t="n">
        <f aca="false">VLOOKUP(AH576,recipe_ingred_list!$K$29:$M$34,3,0)</f>
        <v>3</v>
      </c>
      <c r="AJ576" s="61" t="str">
        <f aca="false">IF(Q576="","",Q576)</f>
        <v/>
      </c>
      <c r="AK576" s="61" t="n">
        <f aca="false">AK575+1</f>
        <v>576</v>
      </c>
      <c r="AL576" s="61" t="e">
        <f aca="false">Y576</f>
        <v>#N/A</v>
      </c>
      <c r="AM576" s="81" t="e">
        <f aca="false">"a = Client().post('"&amp;W576&amp;"', {'recipe' : '"&amp;V576&amp;"', 'ingredient' : '"&amp;Z576&amp;"', 'name' : '"&amp;X576&amp;"', 'mass_unit' : '"&amp;AC576&amp;"', 'mass_quantity' : '"&amp;ROUND(AA576,3)&amp;"', 'volume_unit' : '"&amp;AF576&amp;"', 'volume_quantity' : '"&amp;ROUND(AD576,3)&amp;"', 'pieces_unit' : '"&amp;AI576&amp;"', 'pieces_quantity' : '"&amp;ROUND(AG576,3)&amp;"', 'cooking_notes' : '"&amp;AJ576&amp;"'}).status_code; print('%s :: %s :: %s :: %s :: %s' %(a,"&amp;G576&amp;",'"&amp;X576&amp;"','"&amp;Y576&amp;"','"&amp;U576&amp;"'))"</f>
        <v>#N/A</v>
      </c>
    </row>
    <row r="577" customFormat="false" ht="13.8" hidden="false" customHeight="false" outlineLevel="0" collapsed="false">
      <c r="G577" s="80" t="n">
        <v>577</v>
      </c>
      <c r="I577" s="146" t="s">
        <v>196</v>
      </c>
      <c r="J577" s="142" t="s">
        <v>696</v>
      </c>
      <c r="M577" s="61" t="n">
        <v>40</v>
      </c>
      <c r="N577" s="61" t="s">
        <v>13</v>
      </c>
      <c r="R577" s="82" t="str">
        <f aca="false">VLOOKUP(J577,ingredient!$N$4:$O$553,2,0)</f>
        <v>palak</v>
      </c>
      <c r="U577" s="81" t="str">
        <f aca="false">I577</f>
        <v>Green curry</v>
      </c>
      <c r="V577" s="81" t="n">
        <f aca="false">VLOOKUP(U577,recipe_ingred_list!$A$2:$B$300,2,0)</f>
        <v>29</v>
      </c>
      <c r="W577" s="81" t="str">
        <f aca="false">"/recipes/"&amp;VLOOKUP(U577,recipe_ingred_list!$A$2:$C$300,3,0)&amp;"/detail/"</f>
        <v>/recipes/green-curry/detail/</v>
      </c>
      <c r="X577" s="81" t="str">
        <f aca="false">J577</f>
        <v>Palak paste</v>
      </c>
      <c r="Y577" s="81" t="str">
        <f aca="false">R577</f>
        <v>palak</v>
      </c>
      <c r="Z577" s="94" t="n">
        <f aca="false">VLOOKUP(Y577,recipe_ingred_list!$D$2:$E$500,2,0)</f>
        <v>153</v>
      </c>
      <c r="AA577" s="61" t="n">
        <f aca="false">K577</f>
        <v>0</v>
      </c>
      <c r="AB577" s="61" t="n">
        <f aca="false">L577</f>
        <v>0</v>
      </c>
      <c r="AC577" s="61" t="n">
        <f aca="false">VLOOKUP(AB577,recipe_ingred_list!$K$2:$M$7,3,0)</f>
        <v>2</v>
      </c>
      <c r="AD577" s="61" t="n">
        <f aca="false">M577</f>
        <v>40</v>
      </c>
      <c r="AE577" s="61" t="str">
        <f aca="false">N577</f>
        <v>ltr</v>
      </c>
      <c r="AF577" s="61" t="n">
        <f aca="false">VLOOKUP(AE577,recipe_ingred_list!$K$16:$M$25,3,0)</f>
        <v>1</v>
      </c>
      <c r="AG577" s="61" t="n">
        <f aca="false">O577</f>
        <v>0</v>
      </c>
      <c r="AH577" s="61" t="n">
        <f aca="false">P577</f>
        <v>0</v>
      </c>
      <c r="AI577" s="61" t="n">
        <f aca="false">VLOOKUP(AH577,recipe_ingred_list!$K$29:$M$34,3,0)</f>
        <v>3</v>
      </c>
      <c r="AJ577" s="61" t="str">
        <f aca="false">IF(Q577="","",Q577)</f>
        <v/>
      </c>
      <c r="AK577" s="61" t="n">
        <f aca="false">AK576+1</f>
        <v>577</v>
      </c>
      <c r="AL577" s="61" t="str">
        <f aca="false">Y577</f>
        <v>palak</v>
      </c>
      <c r="AM577" s="81" t="str">
        <f aca="false">"a = Client().post('"&amp;W577&amp;"', {'recipe' : '"&amp;V577&amp;"', 'ingredient' : '"&amp;Z577&amp;"', 'name' : '"&amp;X577&amp;"', 'mass_unit' : '"&amp;AC577&amp;"', 'mass_quantity' : '"&amp;ROUND(AA577,3)&amp;"', 'volume_unit' : '"&amp;AF577&amp;"', 'volume_quantity' : '"&amp;ROUND(AD577,3)&amp;"', 'pieces_unit' : '"&amp;AI577&amp;"', 'pieces_quantity' : '"&amp;ROUND(AG577,3)&amp;"', 'cooking_notes' : '"&amp;AJ577&amp;"'}).status_code; print('%s :: %s :: %s :: %s :: %s' %(a,"&amp;G577&amp;",'"&amp;X577&amp;"','"&amp;Y577&amp;"','"&amp;U577&amp;"'))"</f>
        <v>a = Client().post('/recipes/green-curry/detail/', {'recipe' : '29', 'ingredient' : '153', 'name' : 'Palak paste', 'mass_unit' : '2', 'mass_quantity' : '0', 'volume_unit' : '1', 'volume_quantity' : '40', 'pieces_unit' : '3', 'pieces_quantity' : '0', 'cooking_notes' : ''}).status_code; print('%s :: %s :: %s :: %s :: %s' %(a,577,'Palak paste','palak','Green curry'))</v>
      </c>
    </row>
    <row r="578" customFormat="false" ht="13.8" hidden="false" customHeight="false" outlineLevel="0" collapsed="false">
      <c r="G578" s="80" t="n">
        <v>578</v>
      </c>
      <c r="I578" s="146" t="s">
        <v>196</v>
      </c>
      <c r="J578" s="142" t="s">
        <v>697</v>
      </c>
      <c r="M578" s="61" t="n">
        <v>3</v>
      </c>
      <c r="N578" s="61" t="s">
        <v>13</v>
      </c>
      <c r="R578" s="82" t="str">
        <f aca="false">VLOOKUP(J578,ingredient!$N$4:$O$553,2,0)</f>
        <v>ajinomoto</v>
      </c>
      <c r="U578" s="81" t="str">
        <f aca="false">I578</f>
        <v>Green curry</v>
      </c>
      <c r="V578" s="81" t="n">
        <f aca="false">VLOOKUP(U578,recipe_ingred_list!$A$2:$B$300,2,0)</f>
        <v>29</v>
      </c>
      <c r="W578" s="81" t="str">
        <f aca="false">"/recipes/"&amp;VLOOKUP(U578,recipe_ingred_list!$A$2:$C$300,3,0)&amp;"/detail/"</f>
        <v>/recipes/green-curry/detail/</v>
      </c>
      <c r="X578" s="81" t="str">
        <f aca="false">J578</f>
        <v>Ajinomoto</v>
      </c>
      <c r="Y578" s="81" t="str">
        <f aca="false">R578</f>
        <v>ajinomoto</v>
      </c>
      <c r="Z578" s="94" t="n">
        <f aca="false">VLOOKUP(Y578,recipe_ingred_list!$D$2:$E$500,2,0)</f>
        <v>2</v>
      </c>
      <c r="AA578" s="61" t="n">
        <f aca="false">K578</f>
        <v>0</v>
      </c>
      <c r="AB578" s="61" t="n">
        <f aca="false">L578</f>
        <v>0</v>
      </c>
      <c r="AC578" s="61" t="n">
        <f aca="false">VLOOKUP(AB578,recipe_ingred_list!$K$2:$M$7,3,0)</f>
        <v>2</v>
      </c>
      <c r="AD578" s="61" t="n">
        <f aca="false">M578</f>
        <v>3</v>
      </c>
      <c r="AE578" s="61" t="str">
        <f aca="false">N578</f>
        <v>ltr</v>
      </c>
      <c r="AF578" s="61" t="n">
        <f aca="false">VLOOKUP(AE578,recipe_ingred_list!$K$16:$M$25,3,0)</f>
        <v>1</v>
      </c>
      <c r="AG578" s="61" t="n">
        <f aca="false">O578</f>
        <v>0</v>
      </c>
      <c r="AH578" s="61" t="n">
        <f aca="false">P578</f>
        <v>0</v>
      </c>
      <c r="AI578" s="61" t="n">
        <f aca="false">VLOOKUP(AH578,recipe_ingred_list!$K$29:$M$34,3,0)</f>
        <v>3</v>
      </c>
      <c r="AJ578" s="61" t="str">
        <f aca="false">IF(Q578="","",Q578)</f>
        <v/>
      </c>
      <c r="AK578" s="61" t="n">
        <f aca="false">AK577+1</f>
        <v>578</v>
      </c>
      <c r="AL578" s="61" t="str">
        <f aca="false">Y578</f>
        <v>ajinomoto</v>
      </c>
      <c r="AM578" s="81" t="str">
        <f aca="false">"a = Client().post('"&amp;W578&amp;"', {'recipe' : '"&amp;V578&amp;"', 'ingredient' : '"&amp;Z578&amp;"', 'name' : '"&amp;X578&amp;"', 'mass_unit' : '"&amp;AC578&amp;"', 'mass_quantity' : '"&amp;ROUND(AA578,3)&amp;"', 'volume_unit' : '"&amp;AF578&amp;"', 'volume_quantity' : '"&amp;ROUND(AD578,3)&amp;"', 'pieces_unit' : '"&amp;AI578&amp;"', 'pieces_quantity' : '"&amp;ROUND(AG578,3)&amp;"', 'cooking_notes' : '"&amp;AJ578&amp;"'}).status_code; print('%s :: %s :: %s :: %s :: %s' %(a,"&amp;G578&amp;",'"&amp;X578&amp;"','"&amp;Y578&amp;"','"&amp;U578&amp;"'))"</f>
        <v>a = Client().post('/recipes/green-curry/detail/', {'recipe' : '29', 'ingredient' : '2', 'name' : 'Ajinomoto', 'mass_unit' : '2', 'mass_quantity' : '0', 'volume_unit' : '1', 'volume_quantity' : '3', 'pieces_unit' : '3', 'pieces_quantity' : '0', 'cooking_notes' : ''}).status_code; print('%s :: %s :: %s :: %s :: %s' %(a,578,'Ajinomoto','ajinomoto','Green curry'))</v>
      </c>
    </row>
    <row r="579" customFormat="false" ht="13.8" hidden="false" customHeight="false" outlineLevel="0" collapsed="false">
      <c r="G579" s="80" t="n">
        <v>579</v>
      </c>
      <c r="I579" s="146" t="s">
        <v>196</v>
      </c>
      <c r="J579" s="142" t="s">
        <v>698</v>
      </c>
      <c r="M579" s="61" t="n">
        <v>20</v>
      </c>
      <c r="N579" s="61" t="s">
        <v>13</v>
      </c>
      <c r="R579" s="82" t="str">
        <f aca="false">VLOOKUP(J579,ingredient!$N$4:$O$553,2,0)</f>
        <v>green capsicum</v>
      </c>
      <c r="U579" s="81" t="str">
        <f aca="false">I579</f>
        <v>Green curry</v>
      </c>
      <c r="V579" s="81" t="n">
        <f aca="false">VLOOKUP(U579,recipe_ingred_list!$A$2:$B$300,2,0)</f>
        <v>29</v>
      </c>
      <c r="W579" s="81" t="str">
        <f aca="false">"/recipes/"&amp;VLOOKUP(U579,recipe_ingred_list!$A$2:$C$300,3,0)&amp;"/detail/"</f>
        <v>/recipes/green-curry/detail/</v>
      </c>
      <c r="X579" s="81" t="str">
        <f aca="false">J579</f>
        <v>Green capsicum paste</v>
      </c>
      <c r="Y579" s="81" t="str">
        <f aca="false">R579</f>
        <v>green capsicum</v>
      </c>
      <c r="Z579" s="94" t="n">
        <f aca="false">VLOOKUP(Y579,recipe_ingred_list!$D$2:$E$500,2,0)</f>
        <v>84</v>
      </c>
      <c r="AA579" s="61" t="n">
        <f aca="false">K579</f>
        <v>0</v>
      </c>
      <c r="AB579" s="61" t="n">
        <f aca="false">L579</f>
        <v>0</v>
      </c>
      <c r="AC579" s="61" t="n">
        <f aca="false">VLOOKUP(AB579,recipe_ingred_list!$K$2:$M$7,3,0)</f>
        <v>2</v>
      </c>
      <c r="AD579" s="61" t="n">
        <f aca="false">M579</f>
        <v>20</v>
      </c>
      <c r="AE579" s="61" t="str">
        <f aca="false">N579</f>
        <v>ltr</v>
      </c>
      <c r="AF579" s="61" t="n">
        <f aca="false">VLOOKUP(AE579,recipe_ingred_list!$K$16:$M$25,3,0)</f>
        <v>1</v>
      </c>
      <c r="AG579" s="61" t="n">
        <f aca="false">O579</f>
        <v>0</v>
      </c>
      <c r="AH579" s="61" t="n">
        <f aca="false">P579</f>
        <v>0</v>
      </c>
      <c r="AI579" s="61" t="n">
        <f aca="false">VLOOKUP(AH579,recipe_ingred_list!$K$29:$M$34,3,0)</f>
        <v>3</v>
      </c>
      <c r="AJ579" s="61" t="str">
        <f aca="false">IF(Q579="","",Q579)</f>
        <v/>
      </c>
      <c r="AK579" s="61" t="n">
        <f aca="false">AK578+1</f>
        <v>579</v>
      </c>
      <c r="AL579" s="61" t="str">
        <f aca="false">Y579</f>
        <v>green capsicum</v>
      </c>
      <c r="AM579" s="81" t="str">
        <f aca="false">"a = Client().post('"&amp;W579&amp;"', {'recipe' : '"&amp;V579&amp;"', 'ingredient' : '"&amp;Z579&amp;"', 'name' : '"&amp;X579&amp;"', 'mass_unit' : '"&amp;AC579&amp;"', 'mass_quantity' : '"&amp;ROUND(AA579,3)&amp;"', 'volume_unit' : '"&amp;AF579&amp;"', 'volume_quantity' : '"&amp;ROUND(AD579,3)&amp;"', 'pieces_unit' : '"&amp;AI579&amp;"', 'pieces_quantity' : '"&amp;ROUND(AG579,3)&amp;"', 'cooking_notes' : '"&amp;AJ579&amp;"'}).status_code; print('%s :: %s :: %s :: %s :: %s' %(a,"&amp;G579&amp;",'"&amp;X579&amp;"','"&amp;Y579&amp;"','"&amp;U579&amp;"'))"</f>
        <v>a = Client().post('/recipes/green-curry/detail/', {'recipe' : '29', 'ingredient' : '84', 'name' : 'Green capsicum paste', 'mass_unit' : '2', 'mass_quantity' : '0', 'volume_unit' : '1', 'volume_quantity' : '20', 'pieces_unit' : '3', 'pieces_quantity' : '0', 'cooking_notes' : ''}).status_code; print('%s :: %s :: %s :: %s :: %s' %(a,579,'Green capsicum paste','green capsicum','Green curry'))</v>
      </c>
    </row>
    <row r="580" customFormat="false" ht="13.8" hidden="false" customHeight="false" outlineLevel="0" collapsed="false">
      <c r="G580" s="80" t="n">
        <v>580</v>
      </c>
      <c r="I580" s="146" t="s">
        <v>196</v>
      </c>
      <c r="J580" s="142" t="s">
        <v>556</v>
      </c>
      <c r="K580" s="61" t="n">
        <v>15</v>
      </c>
      <c r="L580" s="69" t="s">
        <v>7</v>
      </c>
      <c r="R580" s="82" t="str">
        <f aca="false">VLOOKUP(J580,ingredient!$N$4:$O$553,2,0)</f>
        <v>butter</v>
      </c>
      <c r="U580" s="81" t="str">
        <f aca="false">I580</f>
        <v>Green curry</v>
      </c>
      <c r="V580" s="81" t="n">
        <f aca="false">VLOOKUP(U580,recipe_ingred_list!$A$2:$B$300,2,0)</f>
        <v>29</v>
      </c>
      <c r="W580" s="81" t="str">
        <f aca="false">"/recipes/"&amp;VLOOKUP(U580,recipe_ingred_list!$A$2:$C$300,3,0)&amp;"/detail/"</f>
        <v>/recipes/green-curry/detail/</v>
      </c>
      <c r="X580" s="81" t="str">
        <f aca="false">J580</f>
        <v>Butter</v>
      </c>
      <c r="Y580" s="81" t="str">
        <f aca="false">R580</f>
        <v>butter</v>
      </c>
      <c r="Z580" s="94" t="n">
        <f aca="false">VLOOKUP(Y580,recipe_ingred_list!$D$2:$E$500,2,0)</f>
        <v>38</v>
      </c>
      <c r="AA580" s="61" t="n">
        <f aca="false">K580</f>
        <v>15</v>
      </c>
      <c r="AB580" s="61" t="str">
        <f aca="false">L580</f>
        <v>kg</v>
      </c>
      <c r="AC580" s="61" t="n">
        <f aca="false">VLOOKUP(AB580,recipe_ingred_list!$K$2:$M$7,3,0)</f>
        <v>2</v>
      </c>
      <c r="AD580" s="61" t="n">
        <f aca="false">M580</f>
        <v>0</v>
      </c>
      <c r="AE580" s="61" t="n">
        <f aca="false">N580</f>
        <v>0</v>
      </c>
      <c r="AF580" s="61" t="n">
        <f aca="false">VLOOKUP(AE580,recipe_ingred_list!$K$16:$M$25,3,0)</f>
        <v>1</v>
      </c>
      <c r="AG580" s="61" t="n">
        <f aca="false">O580</f>
        <v>0</v>
      </c>
      <c r="AH580" s="61" t="n">
        <f aca="false">P580</f>
        <v>0</v>
      </c>
      <c r="AI580" s="61" t="n">
        <f aca="false">VLOOKUP(AH580,recipe_ingred_list!$K$29:$M$34,3,0)</f>
        <v>3</v>
      </c>
      <c r="AJ580" s="61" t="str">
        <f aca="false">IF(Q580="","",Q580)</f>
        <v/>
      </c>
      <c r="AK580" s="61" t="n">
        <f aca="false">AK579+1</f>
        <v>580</v>
      </c>
      <c r="AL580" s="61" t="str">
        <f aca="false">Y580</f>
        <v>butter</v>
      </c>
      <c r="AM580" s="81" t="str">
        <f aca="false">"a = Client().post('"&amp;W580&amp;"', {'recipe' : '"&amp;V580&amp;"', 'ingredient' : '"&amp;Z580&amp;"', 'name' : '"&amp;X580&amp;"', 'mass_unit' : '"&amp;AC580&amp;"', 'mass_quantity' : '"&amp;ROUND(AA580,3)&amp;"', 'volume_unit' : '"&amp;AF580&amp;"', 'volume_quantity' : '"&amp;ROUND(AD580,3)&amp;"', 'pieces_unit' : '"&amp;AI580&amp;"', 'pieces_quantity' : '"&amp;ROUND(AG580,3)&amp;"', 'cooking_notes' : '"&amp;AJ580&amp;"'}).status_code; print('%s :: %s :: %s :: %s :: %s' %(a,"&amp;G580&amp;",'"&amp;X580&amp;"','"&amp;Y580&amp;"','"&amp;U580&amp;"'))"</f>
        <v>a = Client().post('/recipes/green-curry/detail/', {'recipe' : '29', 'ingredient' : '38', 'name' : 'Butter', 'mass_unit' : '2', 'mass_quantity' : '15', 'volume_unit' : '1', 'volume_quantity' : '0', 'pieces_unit' : '3', 'pieces_quantity' : '0', 'cooking_notes' : ''}).status_code; print('%s :: %s :: %s :: %s :: %s' %(a,580,'Butter','butter','Green curry'))</v>
      </c>
    </row>
    <row r="581" customFormat="false" ht="13.8" hidden="false" customHeight="false" outlineLevel="0" collapsed="false">
      <c r="G581" s="80" t="n">
        <v>581</v>
      </c>
      <c r="I581" s="146" t="s">
        <v>196</v>
      </c>
      <c r="J581" s="142" t="s">
        <v>699</v>
      </c>
      <c r="K581" s="61" t="n">
        <v>100</v>
      </c>
      <c r="L581" s="69" t="s">
        <v>7</v>
      </c>
      <c r="R581" s="82" t="str">
        <f aca="false">VLOOKUP(J581,ingredient!$N$4:$O$553,2,0)</f>
        <v>broccoli</v>
      </c>
      <c r="U581" s="81" t="str">
        <f aca="false">I581</f>
        <v>Green curry</v>
      </c>
      <c r="V581" s="81" t="n">
        <f aca="false">VLOOKUP(U581,recipe_ingred_list!$A$2:$B$300,2,0)</f>
        <v>29</v>
      </c>
      <c r="W581" s="81" t="str">
        <f aca="false">"/recipes/"&amp;VLOOKUP(U581,recipe_ingred_list!$A$2:$C$300,3,0)&amp;"/detail/"</f>
        <v>/recipes/green-curry/detail/</v>
      </c>
      <c r="X581" s="81" t="str">
        <f aca="false">J581</f>
        <v>Broccoli</v>
      </c>
      <c r="Y581" s="81" t="str">
        <f aca="false">R581</f>
        <v>broccoli</v>
      </c>
      <c r="Z581" s="94" t="n">
        <f aca="false">VLOOKUP(Y581,recipe_ingred_list!$D$2:$E$500,2,0)</f>
        <v>36</v>
      </c>
      <c r="AA581" s="61" t="n">
        <f aca="false">K581</f>
        <v>100</v>
      </c>
      <c r="AB581" s="61" t="str">
        <f aca="false">L581</f>
        <v>kg</v>
      </c>
      <c r="AC581" s="61" t="n">
        <f aca="false">VLOOKUP(AB581,recipe_ingred_list!$K$2:$M$7,3,0)</f>
        <v>2</v>
      </c>
      <c r="AD581" s="61" t="n">
        <f aca="false">M581</f>
        <v>0</v>
      </c>
      <c r="AE581" s="61" t="n">
        <f aca="false">N581</f>
        <v>0</v>
      </c>
      <c r="AF581" s="61" t="n">
        <f aca="false">VLOOKUP(AE581,recipe_ingred_list!$K$16:$M$25,3,0)</f>
        <v>1</v>
      </c>
      <c r="AG581" s="61" t="n">
        <f aca="false">O581</f>
        <v>0</v>
      </c>
      <c r="AH581" s="61" t="n">
        <f aca="false">P581</f>
        <v>0</v>
      </c>
      <c r="AI581" s="61" t="n">
        <f aca="false">VLOOKUP(AH581,recipe_ingred_list!$K$29:$M$34,3,0)</f>
        <v>3</v>
      </c>
      <c r="AJ581" s="61" t="str">
        <f aca="false">IF(Q581="","",Q581)</f>
        <v/>
      </c>
      <c r="AK581" s="61" t="n">
        <f aca="false">AK580+1</f>
        <v>581</v>
      </c>
      <c r="AL581" s="61" t="str">
        <f aca="false">Y581</f>
        <v>broccoli</v>
      </c>
      <c r="AM581" s="81" t="str">
        <f aca="false">"a = Client().post('"&amp;W581&amp;"', {'recipe' : '"&amp;V581&amp;"', 'ingredient' : '"&amp;Z581&amp;"', 'name' : '"&amp;X581&amp;"', 'mass_unit' : '"&amp;AC581&amp;"', 'mass_quantity' : '"&amp;ROUND(AA581,3)&amp;"', 'volume_unit' : '"&amp;AF581&amp;"', 'volume_quantity' : '"&amp;ROUND(AD581,3)&amp;"', 'pieces_unit' : '"&amp;AI581&amp;"', 'pieces_quantity' : '"&amp;ROUND(AG581,3)&amp;"', 'cooking_notes' : '"&amp;AJ581&amp;"'}).status_code; print('%s :: %s :: %s :: %s :: %s' %(a,"&amp;G581&amp;",'"&amp;X581&amp;"','"&amp;Y581&amp;"','"&amp;U581&amp;"'))"</f>
        <v>a = Client().post('/recipes/green-curry/detail/', {'recipe' : '29', 'ingredient' : '36', 'name' : 'Broccoli', 'mass_unit' : '2', 'mass_quantity' : '100', 'volume_unit' : '1', 'volume_quantity' : '0', 'pieces_unit' : '3', 'pieces_quantity' : '0', 'cooking_notes' : ''}).status_code; print('%s :: %s :: %s :: %s :: %s' %(a,581,'Broccoli','broccoli','Green curry'))</v>
      </c>
    </row>
    <row r="582" customFormat="false" ht="13.8" hidden="false" customHeight="false" outlineLevel="0" collapsed="false">
      <c r="G582" s="80" t="n">
        <v>582</v>
      </c>
      <c r="I582" s="146" t="s">
        <v>196</v>
      </c>
      <c r="J582" s="142" t="s">
        <v>700</v>
      </c>
      <c r="K582" s="61" t="n">
        <v>50</v>
      </c>
      <c r="L582" s="69" t="s">
        <v>7</v>
      </c>
      <c r="R582" s="82" t="str">
        <f aca="false">VLOOKUP(J582,ingredient!$N$4:$O$553,2,0)</f>
        <v>zucchini</v>
      </c>
      <c r="U582" s="81" t="str">
        <f aca="false">I582</f>
        <v>Green curry</v>
      </c>
      <c r="V582" s="81" t="n">
        <f aca="false">VLOOKUP(U582,recipe_ingred_list!$A$2:$B$300,2,0)</f>
        <v>29</v>
      </c>
      <c r="W582" s="81" t="str">
        <f aca="false">"/recipes/"&amp;VLOOKUP(U582,recipe_ingred_list!$A$2:$C$300,3,0)&amp;"/detail/"</f>
        <v>/recipes/green-curry/detail/</v>
      </c>
      <c r="X582" s="81" t="str">
        <f aca="false">J582</f>
        <v>Zucchini</v>
      </c>
      <c r="Y582" s="81" t="str">
        <f aca="false">R582</f>
        <v>zucchini</v>
      </c>
      <c r="Z582" s="94" t="n">
        <f aca="false">VLOOKUP(Y582,recipe_ingred_list!$D$2:$E$500,2,0)</f>
        <v>210</v>
      </c>
      <c r="AA582" s="61" t="n">
        <f aca="false">K582</f>
        <v>50</v>
      </c>
      <c r="AB582" s="61" t="str">
        <f aca="false">L582</f>
        <v>kg</v>
      </c>
      <c r="AC582" s="61" t="n">
        <f aca="false">VLOOKUP(AB582,recipe_ingred_list!$K$2:$M$7,3,0)</f>
        <v>2</v>
      </c>
      <c r="AD582" s="61" t="n">
        <f aca="false">M582</f>
        <v>0</v>
      </c>
      <c r="AE582" s="61" t="n">
        <f aca="false">N582</f>
        <v>0</v>
      </c>
      <c r="AF582" s="61" t="n">
        <f aca="false">VLOOKUP(AE582,recipe_ingred_list!$K$16:$M$25,3,0)</f>
        <v>1</v>
      </c>
      <c r="AG582" s="61" t="n">
        <f aca="false">O582</f>
        <v>0</v>
      </c>
      <c r="AH582" s="61" t="n">
        <f aca="false">P582</f>
        <v>0</v>
      </c>
      <c r="AI582" s="61" t="n">
        <f aca="false">VLOOKUP(AH582,recipe_ingred_list!$K$29:$M$34,3,0)</f>
        <v>3</v>
      </c>
      <c r="AJ582" s="61" t="str">
        <f aca="false">IF(Q582="","",Q582)</f>
        <v/>
      </c>
      <c r="AK582" s="61" t="n">
        <f aca="false">AK581+1</f>
        <v>582</v>
      </c>
      <c r="AL582" s="61" t="str">
        <f aca="false">Y582</f>
        <v>zucchini</v>
      </c>
      <c r="AM582" s="81" t="str">
        <f aca="false">"a = Client().post('"&amp;W582&amp;"', {'recipe' : '"&amp;V582&amp;"', 'ingredient' : '"&amp;Z582&amp;"', 'name' : '"&amp;X582&amp;"', 'mass_unit' : '"&amp;AC582&amp;"', 'mass_quantity' : '"&amp;ROUND(AA582,3)&amp;"', 'volume_unit' : '"&amp;AF582&amp;"', 'volume_quantity' : '"&amp;ROUND(AD582,3)&amp;"', 'pieces_unit' : '"&amp;AI582&amp;"', 'pieces_quantity' : '"&amp;ROUND(AG582,3)&amp;"', 'cooking_notes' : '"&amp;AJ582&amp;"'}).status_code; print('%s :: %s :: %s :: %s :: %s' %(a,"&amp;G582&amp;",'"&amp;X582&amp;"','"&amp;Y582&amp;"','"&amp;U582&amp;"'))"</f>
        <v>a = Client().post('/recipes/green-curry/detail/', {'recipe' : '29', 'ingredient' : '210', 'name' : 'Zucchini', 'mass_unit' : '2', 'mass_quantity' : '50', 'volume_unit' : '1', 'volume_quantity' : '0', 'pieces_unit' : '3', 'pieces_quantity' : '0', 'cooking_notes' : ''}).status_code; print('%s :: %s :: %s :: %s :: %s' %(a,582,'Zucchini','zucchini','Green curry'))</v>
      </c>
    </row>
    <row r="583" customFormat="false" ht="13.8" hidden="false" customHeight="false" outlineLevel="0" collapsed="false">
      <c r="G583" s="80" t="n">
        <v>583</v>
      </c>
      <c r="I583" s="146" t="s">
        <v>196</v>
      </c>
      <c r="J583" s="142" t="s">
        <v>701</v>
      </c>
      <c r="K583" s="61" t="n">
        <v>60</v>
      </c>
      <c r="L583" s="69" t="s">
        <v>7</v>
      </c>
      <c r="R583" s="82" t="str">
        <f aca="false">VLOOKUP(J583,ingredient!$N$4:$O$553,2,0)</f>
        <v>red capsicum</v>
      </c>
      <c r="U583" s="81" t="str">
        <f aca="false">I583</f>
        <v>Green curry</v>
      </c>
      <c r="V583" s="81" t="n">
        <f aca="false">VLOOKUP(U583,recipe_ingred_list!$A$2:$B$300,2,0)</f>
        <v>29</v>
      </c>
      <c r="W583" s="81" t="str">
        <f aca="false">"/recipes/"&amp;VLOOKUP(U583,recipe_ingred_list!$A$2:$C$300,3,0)&amp;"/detail/"</f>
        <v>/recipes/green-curry/detail/</v>
      </c>
      <c r="X583" s="81" t="str">
        <f aca="false">J583</f>
        <v>Red capsicum</v>
      </c>
      <c r="Y583" s="81" t="str">
        <f aca="false">R583</f>
        <v>red capsicum</v>
      </c>
      <c r="Z583" s="94" t="n">
        <f aca="false">VLOOKUP(Y583,recipe_ingred_list!$D$2:$E$500,2,0)</f>
        <v>168</v>
      </c>
      <c r="AA583" s="61" t="n">
        <f aca="false">K583</f>
        <v>60</v>
      </c>
      <c r="AB583" s="61" t="str">
        <f aca="false">L583</f>
        <v>kg</v>
      </c>
      <c r="AC583" s="61" t="n">
        <f aca="false">VLOOKUP(AB583,recipe_ingred_list!$K$2:$M$7,3,0)</f>
        <v>2</v>
      </c>
      <c r="AD583" s="61" t="n">
        <f aca="false">M583</f>
        <v>0</v>
      </c>
      <c r="AE583" s="61" t="n">
        <f aca="false">N583</f>
        <v>0</v>
      </c>
      <c r="AF583" s="61" t="n">
        <f aca="false">VLOOKUP(AE583,recipe_ingred_list!$K$16:$M$25,3,0)</f>
        <v>1</v>
      </c>
      <c r="AG583" s="61" t="n">
        <f aca="false">O583</f>
        <v>0</v>
      </c>
      <c r="AH583" s="61" t="n">
        <f aca="false">P583</f>
        <v>0</v>
      </c>
      <c r="AI583" s="61" t="n">
        <f aca="false">VLOOKUP(AH583,recipe_ingred_list!$K$29:$M$34,3,0)</f>
        <v>3</v>
      </c>
      <c r="AJ583" s="61" t="str">
        <f aca="false">IF(Q583="","",Q583)</f>
        <v/>
      </c>
      <c r="AK583" s="61" t="n">
        <f aca="false">AK582+1</f>
        <v>583</v>
      </c>
      <c r="AL583" s="61" t="str">
        <f aca="false">Y583</f>
        <v>red capsicum</v>
      </c>
      <c r="AM583" s="81" t="str">
        <f aca="false">"a = Client().post('"&amp;W583&amp;"', {'recipe' : '"&amp;V583&amp;"', 'ingredient' : '"&amp;Z583&amp;"', 'name' : '"&amp;X583&amp;"', 'mass_unit' : '"&amp;AC583&amp;"', 'mass_quantity' : '"&amp;ROUND(AA583,3)&amp;"', 'volume_unit' : '"&amp;AF583&amp;"', 'volume_quantity' : '"&amp;ROUND(AD583,3)&amp;"', 'pieces_unit' : '"&amp;AI583&amp;"', 'pieces_quantity' : '"&amp;ROUND(AG583,3)&amp;"', 'cooking_notes' : '"&amp;AJ583&amp;"'}).status_code; print('%s :: %s :: %s :: %s :: %s' %(a,"&amp;G583&amp;",'"&amp;X583&amp;"','"&amp;Y583&amp;"','"&amp;U583&amp;"'))"</f>
        <v>a = Client().post('/recipes/green-curry/detail/', {'recipe' : '29', 'ingredient' : '168', 'name' : 'Red capsicum', 'mass_unit' : '2', 'mass_quantity' : '60', 'volume_unit' : '1', 'volume_quantity' : '0', 'pieces_unit' : '3', 'pieces_quantity' : '0', 'cooking_notes' : ''}).status_code; print('%s :: %s :: %s :: %s :: %s' %(a,583,'Red capsicum','red capsicum','Green curry'))</v>
      </c>
    </row>
    <row r="584" customFormat="false" ht="13.8" hidden="false" customHeight="false" outlineLevel="0" collapsed="false">
      <c r="G584" s="80" t="n">
        <v>584</v>
      </c>
      <c r="I584" s="146" t="s">
        <v>196</v>
      </c>
      <c r="J584" s="142" t="s">
        <v>702</v>
      </c>
      <c r="K584" s="61" t="n">
        <v>60</v>
      </c>
      <c r="L584" s="69" t="s">
        <v>7</v>
      </c>
      <c r="R584" s="82" t="str">
        <f aca="false">VLOOKUP(J584,ingredient!$N$4:$O$553,2,0)</f>
        <v>yellow capsicum</v>
      </c>
      <c r="U584" s="81" t="str">
        <f aca="false">I584</f>
        <v>Green curry</v>
      </c>
      <c r="V584" s="81" t="n">
        <f aca="false">VLOOKUP(U584,recipe_ingred_list!$A$2:$B$300,2,0)</f>
        <v>29</v>
      </c>
      <c r="W584" s="81" t="str">
        <f aca="false">"/recipes/"&amp;VLOOKUP(U584,recipe_ingred_list!$A$2:$C$300,3,0)&amp;"/detail/"</f>
        <v>/recipes/green-curry/detail/</v>
      </c>
      <c r="X584" s="81" t="str">
        <f aca="false">J584</f>
        <v>Yellow capsicum</v>
      </c>
      <c r="Y584" s="81" t="str">
        <f aca="false">R584</f>
        <v>yellow capsicum</v>
      </c>
      <c r="Z584" s="94" t="n">
        <f aca="false">VLOOKUP(Y584,recipe_ingred_list!$D$2:$E$500,2,0)</f>
        <v>209</v>
      </c>
      <c r="AA584" s="61" t="n">
        <f aca="false">K584</f>
        <v>60</v>
      </c>
      <c r="AB584" s="61" t="str">
        <f aca="false">L584</f>
        <v>kg</v>
      </c>
      <c r="AC584" s="61" t="n">
        <f aca="false">VLOOKUP(AB584,recipe_ingred_list!$K$2:$M$7,3,0)</f>
        <v>2</v>
      </c>
      <c r="AD584" s="61" t="n">
        <f aca="false">M584</f>
        <v>0</v>
      </c>
      <c r="AE584" s="61" t="n">
        <f aca="false">N584</f>
        <v>0</v>
      </c>
      <c r="AF584" s="61" t="n">
        <f aca="false">VLOOKUP(AE584,recipe_ingred_list!$K$16:$M$25,3,0)</f>
        <v>1</v>
      </c>
      <c r="AG584" s="61" t="n">
        <f aca="false">O584</f>
        <v>0</v>
      </c>
      <c r="AH584" s="61" t="n">
        <f aca="false">P584</f>
        <v>0</v>
      </c>
      <c r="AI584" s="61" t="n">
        <f aca="false">VLOOKUP(AH584,recipe_ingred_list!$K$29:$M$34,3,0)</f>
        <v>3</v>
      </c>
      <c r="AJ584" s="61" t="str">
        <f aca="false">IF(Q584="","",Q584)</f>
        <v/>
      </c>
      <c r="AK584" s="61" t="n">
        <f aca="false">AK583+1</f>
        <v>584</v>
      </c>
      <c r="AL584" s="61" t="str">
        <f aca="false">Y584</f>
        <v>yellow capsicum</v>
      </c>
      <c r="AM584" s="81" t="str">
        <f aca="false">"a = Client().post('"&amp;W584&amp;"', {'recipe' : '"&amp;V584&amp;"', 'ingredient' : '"&amp;Z584&amp;"', 'name' : '"&amp;X584&amp;"', 'mass_unit' : '"&amp;AC584&amp;"', 'mass_quantity' : '"&amp;ROUND(AA584,3)&amp;"', 'volume_unit' : '"&amp;AF584&amp;"', 'volume_quantity' : '"&amp;ROUND(AD584,3)&amp;"', 'pieces_unit' : '"&amp;AI584&amp;"', 'pieces_quantity' : '"&amp;ROUND(AG584,3)&amp;"', 'cooking_notes' : '"&amp;AJ584&amp;"'}).status_code; print('%s :: %s :: %s :: %s :: %s' %(a,"&amp;G584&amp;",'"&amp;X584&amp;"','"&amp;Y584&amp;"','"&amp;U584&amp;"'))"</f>
        <v>a = Client().post('/recipes/green-curry/detail/', {'recipe' : '29', 'ingredient' : '209', 'name' : 'Yellow capsicum', 'mass_unit' : '2', 'mass_quantity' : '60', 'volume_unit' : '1', 'volume_quantity' : '0', 'pieces_unit' : '3', 'pieces_quantity' : '0', 'cooking_notes' : ''}).status_code; print('%s :: %s :: %s :: %s :: %s' %(a,584,'Yellow capsicum','yellow capsicum','Green curry'))</v>
      </c>
    </row>
    <row r="585" customFormat="false" ht="13.8" hidden="false" customHeight="false" outlineLevel="0" collapsed="false">
      <c r="G585" s="80" t="n">
        <v>585</v>
      </c>
      <c r="H585" s="98"/>
      <c r="I585" s="141" t="s">
        <v>196</v>
      </c>
      <c r="J585" s="79" t="s">
        <v>691</v>
      </c>
      <c r="K585" s="101"/>
      <c r="L585" s="101"/>
      <c r="M585" s="100"/>
      <c r="N585" s="100"/>
      <c r="O585" s="101"/>
      <c r="P585" s="100"/>
      <c r="Q585" s="102"/>
      <c r="R585" s="99" t="e">
        <f aca="false">VLOOKUP(J585,ingredient!$N$4:$O$553,2,0)</f>
        <v>#N/A</v>
      </c>
      <c r="S585" s="98"/>
      <c r="T585" s="98"/>
      <c r="U585" s="81" t="str">
        <f aca="false">I585</f>
        <v>Green curry</v>
      </c>
      <c r="V585" s="81" t="n">
        <f aca="false">VLOOKUP(U585,recipe_ingred_list!$A$2:$B$300,2,0)</f>
        <v>29</v>
      </c>
      <c r="W585" s="81" t="str">
        <f aca="false">"/recipes/"&amp;VLOOKUP(U585,recipe_ingred_list!$A$2:$C$300,3,0)&amp;"/detail/"</f>
        <v>/recipes/green-curry/detail/</v>
      </c>
      <c r="X585" s="81" t="str">
        <f aca="false">J585</f>
        <v>WET MASALA</v>
      </c>
      <c r="Y585" s="81" t="e">
        <f aca="false">R585</f>
        <v>#N/A</v>
      </c>
      <c r="Z585" s="94" t="e">
        <f aca="false">VLOOKUP(Y585,recipe_ingred_list!$D$2:$E$500,2,0)</f>
        <v>#N/A</v>
      </c>
      <c r="AA585" s="61" t="n">
        <f aca="false">K585</f>
        <v>0</v>
      </c>
      <c r="AB585" s="61" t="n">
        <f aca="false">L585</f>
        <v>0</v>
      </c>
      <c r="AC585" s="61" t="n">
        <f aca="false">VLOOKUP(AB585,recipe_ingred_list!$K$2:$M$7,3,0)</f>
        <v>2</v>
      </c>
      <c r="AD585" s="61" t="n">
        <f aca="false">M585</f>
        <v>0</v>
      </c>
      <c r="AE585" s="61" t="n">
        <f aca="false">N585</f>
        <v>0</v>
      </c>
      <c r="AF585" s="61" t="n">
        <f aca="false">VLOOKUP(AE585,recipe_ingred_list!$K$16:$M$25,3,0)</f>
        <v>1</v>
      </c>
      <c r="AG585" s="61" t="n">
        <f aca="false">O585</f>
        <v>0</v>
      </c>
      <c r="AH585" s="61" t="n">
        <f aca="false">P585</f>
        <v>0</v>
      </c>
      <c r="AI585" s="61" t="n">
        <f aca="false">VLOOKUP(AH585,recipe_ingred_list!$K$29:$M$34,3,0)</f>
        <v>3</v>
      </c>
      <c r="AJ585" s="61" t="str">
        <f aca="false">IF(Q585="","",Q585)</f>
        <v/>
      </c>
      <c r="AK585" s="61" t="n">
        <f aca="false">AK584+1</f>
        <v>585</v>
      </c>
      <c r="AL585" s="61" t="e">
        <f aca="false">Y585</f>
        <v>#N/A</v>
      </c>
      <c r="AM585" s="81" t="e">
        <f aca="false">"a = Client().post('"&amp;W585&amp;"', {'recipe' : '"&amp;V585&amp;"', 'ingredient' : '"&amp;Z585&amp;"', 'name' : '"&amp;X585&amp;"', 'mass_unit' : '"&amp;AC585&amp;"', 'mass_quantity' : '"&amp;ROUND(AA585,3)&amp;"', 'volume_unit' : '"&amp;AF585&amp;"', 'volume_quantity' : '"&amp;ROUND(AD585,3)&amp;"', 'pieces_unit' : '"&amp;AI585&amp;"', 'pieces_quantity' : '"&amp;ROUND(AG585,3)&amp;"', 'cooking_notes' : '"&amp;AJ585&amp;"'}).status_code; print('%s :: %s :: %s :: %s :: %s' %(a,"&amp;G585&amp;",'"&amp;X585&amp;"','"&amp;Y585&amp;"','"&amp;U585&amp;"'))"</f>
        <v>#N/A</v>
      </c>
    </row>
    <row r="586" customFormat="false" ht="13.8" hidden="false" customHeight="false" outlineLevel="0" collapsed="false">
      <c r="G586" s="80" t="n">
        <v>586</v>
      </c>
      <c r="I586" s="146" t="s">
        <v>196</v>
      </c>
      <c r="J586" s="142" t="s">
        <v>43</v>
      </c>
      <c r="M586" s="61" t="n">
        <v>300</v>
      </c>
      <c r="N586" s="61" t="s">
        <v>13</v>
      </c>
      <c r="R586" s="82" t="str">
        <f aca="false">VLOOKUP(J586,ingredient!$N$4:$O$553,2,0)</f>
        <v>hot water</v>
      </c>
      <c r="U586" s="81" t="str">
        <f aca="false">I586</f>
        <v>Green curry</v>
      </c>
      <c r="V586" s="81" t="n">
        <f aca="false">VLOOKUP(U586,recipe_ingred_list!$A$2:$B$300,2,0)</f>
        <v>29</v>
      </c>
      <c r="W586" s="81" t="str">
        <f aca="false">"/recipes/"&amp;VLOOKUP(U586,recipe_ingred_list!$A$2:$C$300,3,0)&amp;"/detail/"</f>
        <v>/recipes/green-curry/detail/</v>
      </c>
      <c r="X586" s="81" t="str">
        <f aca="false">J586</f>
        <v>Hot water</v>
      </c>
      <c r="Y586" s="81" t="str">
        <f aca="false">R586</f>
        <v>hot water</v>
      </c>
      <c r="Z586" s="94" t="n">
        <f aca="false">VLOOKUP(Y586,recipe_ingred_list!$D$2:$E$500,2,0)</f>
        <v>97</v>
      </c>
      <c r="AA586" s="61" t="n">
        <f aca="false">K586</f>
        <v>0</v>
      </c>
      <c r="AB586" s="61" t="n">
        <f aca="false">L586</f>
        <v>0</v>
      </c>
      <c r="AC586" s="61" t="n">
        <f aca="false">VLOOKUP(AB586,recipe_ingred_list!$K$2:$M$7,3,0)</f>
        <v>2</v>
      </c>
      <c r="AD586" s="61" t="n">
        <f aca="false">M586</f>
        <v>300</v>
      </c>
      <c r="AE586" s="61" t="str">
        <f aca="false">N586</f>
        <v>ltr</v>
      </c>
      <c r="AF586" s="61" t="n">
        <f aca="false">VLOOKUP(AE586,recipe_ingred_list!$K$16:$M$25,3,0)</f>
        <v>1</v>
      </c>
      <c r="AG586" s="61" t="n">
        <f aca="false">O586</f>
        <v>0</v>
      </c>
      <c r="AH586" s="61" t="n">
        <f aca="false">P586</f>
        <v>0</v>
      </c>
      <c r="AI586" s="61" t="n">
        <f aca="false">VLOOKUP(AH586,recipe_ingred_list!$K$29:$M$34,3,0)</f>
        <v>3</v>
      </c>
      <c r="AJ586" s="61" t="str">
        <f aca="false">IF(Q586="","",Q586)</f>
        <v/>
      </c>
      <c r="AK586" s="61" t="n">
        <f aca="false">AK585+1</f>
        <v>586</v>
      </c>
      <c r="AL586" s="61" t="str">
        <f aca="false">Y586</f>
        <v>hot water</v>
      </c>
      <c r="AM586" s="81" t="str">
        <f aca="false">"a = Client().post('"&amp;W586&amp;"', {'recipe' : '"&amp;V586&amp;"', 'ingredient' : '"&amp;Z586&amp;"', 'name' : '"&amp;X586&amp;"', 'mass_unit' : '"&amp;AC586&amp;"', 'mass_quantity' : '"&amp;ROUND(AA586,3)&amp;"', 'volume_unit' : '"&amp;AF586&amp;"', 'volume_quantity' : '"&amp;ROUND(AD586,3)&amp;"', 'pieces_unit' : '"&amp;AI586&amp;"', 'pieces_quantity' : '"&amp;ROUND(AG586,3)&amp;"', 'cooking_notes' : '"&amp;AJ586&amp;"'}).status_code; print('%s :: %s :: %s :: %s :: %s' %(a,"&amp;G586&amp;",'"&amp;X586&amp;"','"&amp;Y586&amp;"','"&amp;U586&amp;"'))"</f>
        <v>a = Client().post('/recipes/green-curry/detail/', {'recipe' : '29', 'ingredient' : '97', 'name' : 'Hot water', 'mass_unit' : '2', 'mass_quantity' : '0', 'volume_unit' : '1', 'volume_quantity' : '300', 'pieces_unit' : '3', 'pieces_quantity' : '0', 'cooking_notes' : ''}).status_code; print('%s :: %s :: %s :: %s :: %s' %(a,586,'Hot water','hot water','Green curry'))</v>
      </c>
    </row>
    <row r="587" customFormat="false" ht="13.8" hidden="false" customHeight="false" outlineLevel="0" collapsed="false">
      <c r="G587" s="80" t="n">
        <v>587</v>
      </c>
      <c r="I587" s="146" t="s">
        <v>196</v>
      </c>
      <c r="J587" s="142" t="s">
        <v>703</v>
      </c>
      <c r="M587" s="61" t="n">
        <v>80</v>
      </c>
      <c r="N587" s="61" t="s">
        <v>13</v>
      </c>
      <c r="R587" s="82" t="str">
        <f aca="false">VLOOKUP(J587,ingredient!$N$4:$O$553,2,0)</f>
        <v>maggi coconut milk powder</v>
      </c>
      <c r="U587" s="81" t="str">
        <f aca="false">I587</f>
        <v>Green curry</v>
      </c>
      <c r="V587" s="81" t="n">
        <f aca="false">VLOOKUP(U587,recipe_ingred_list!$A$2:$B$300,2,0)</f>
        <v>29</v>
      </c>
      <c r="W587" s="81" t="str">
        <f aca="false">"/recipes/"&amp;VLOOKUP(U587,recipe_ingred_list!$A$2:$C$300,3,0)&amp;"/detail/"</f>
        <v>/recipes/green-curry/detail/</v>
      </c>
      <c r="X587" s="81" t="str">
        <f aca="false">J587</f>
        <v>Maggi coconut milk powder</v>
      </c>
      <c r="Y587" s="81" t="str">
        <f aca="false">R587</f>
        <v>maggi coconut milk powder</v>
      </c>
      <c r="Z587" s="94" t="n">
        <f aca="false">VLOOKUP(Y587,recipe_ingred_list!$D$2:$E$500,2,0)</f>
        <v>137</v>
      </c>
      <c r="AA587" s="61" t="n">
        <f aca="false">K587</f>
        <v>0</v>
      </c>
      <c r="AB587" s="61" t="n">
        <f aca="false">L587</f>
        <v>0</v>
      </c>
      <c r="AC587" s="61" t="n">
        <f aca="false">VLOOKUP(AB587,recipe_ingred_list!$K$2:$M$7,3,0)</f>
        <v>2</v>
      </c>
      <c r="AD587" s="61" t="n">
        <f aca="false">M587</f>
        <v>80</v>
      </c>
      <c r="AE587" s="61" t="str">
        <f aca="false">N587</f>
        <v>ltr</v>
      </c>
      <c r="AF587" s="61" t="n">
        <f aca="false">VLOOKUP(AE587,recipe_ingred_list!$K$16:$M$25,3,0)</f>
        <v>1</v>
      </c>
      <c r="AG587" s="61" t="n">
        <f aca="false">O587</f>
        <v>0</v>
      </c>
      <c r="AH587" s="61" t="n">
        <f aca="false">P587</f>
        <v>0</v>
      </c>
      <c r="AI587" s="61" t="n">
        <f aca="false">VLOOKUP(AH587,recipe_ingred_list!$K$29:$M$34,3,0)</f>
        <v>3</v>
      </c>
      <c r="AJ587" s="61" t="str">
        <f aca="false">IF(Q587="","",Q587)</f>
        <v/>
      </c>
      <c r="AK587" s="61" t="n">
        <f aca="false">AK586+1</f>
        <v>587</v>
      </c>
      <c r="AL587" s="61" t="str">
        <f aca="false">Y587</f>
        <v>maggi coconut milk powder</v>
      </c>
      <c r="AM587" s="81" t="str">
        <f aca="false">"a = Client().post('"&amp;W587&amp;"', {'recipe' : '"&amp;V587&amp;"', 'ingredient' : '"&amp;Z587&amp;"', 'name' : '"&amp;X587&amp;"', 'mass_unit' : '"&amp;AC587&amp;"', 'mass_quantity' : '"&amp;ROUND(AA587,3)&amp;"', 'volume_unit' : '"&amp;AF587&amp;"', 'volume_quantity' : '"&amp;ROUND(AD587,3)&amp;"', 'pieces_unit' : '"&amp;AI587&amp;"', 'pieces_quantity' : '"&amp;ROUND(AG587,3)&amp;"', 'cooking_notes' : '"&amp;AJ587&amp;"'}).status_code; print('%s :: %s :: %s :: %s :: %s' %(a,"&amp;G587&amp;",'"&amp;X587&amp;"','"&amp;Y587&amp;"','"&amp;U587&amp;"'))"</f>
        <v>a = Client().post('/recipes/green-curry/detail/', {'recipe' : '29', 'ingredient' : '137', 'name' : 'Maggi coconut milk powder', 'mass_unit' : '2', 'mass_quantity' : '0', 'volume_unit' : '1', 'volume_quantity' : '80', 'pieces_unit' : '3', 'pieces_quantity' : '0', 'cooking_notes' : ''}).status_code; print('%s :: %s :: %s :: %s :: %s' %(a,587,'Maggi coconut milk powder','maggi coconut milk powder','Green curry'))</v>
      </c>
    </row>
    <row r="588" customFormat="false" ht="13.8" hidden="false" customHeight="false" outlineLevel="0" collapsed="false">
      <c r="G588" s="80" t="n">
        <v>588</v>
      </c>
      <c r="I588" s="146" t="s">
        <v>196</v>
      </c>
      <c r="J588" s="142" t="s">
        <v>704</v>
      </c>
      <c r="M588" s="61" t="n">
        <v>6</v>
      </c>
      <c r="N588" s="61" t="s">
        <v>20</v>
      </c>
      <c r="R588" s="82" t="str">
        <f aca="false">VLOOKUP(J588,ingredient!$N$4:$O$553,2,0)</f>
        <v>maggi seasoning</v>
      </c>
      <c r="U588" s="81" t="str">
        <f aca="false">I588</f>
        <v>Green curry</v>
      </c>
      <c r="V588" s="81" t="n">
        <f aca="false">VLOOKUP(U588,recipe_ingred_list!$A$2:$B$300,2,0)</f>
        <v>29</v>
      </c>
      <c r="W588" s="81" t="str">
        <f aca="false">"/recipes/"&amp;VLOOKUP(U588,recipe_ingred_list!$A$2:$C$300,3,0)&amp;"/detail/"</f>
        <v>/recipes/green-curry/detail/</v>
      </c>
      <c r="X588" s="81" t="str">
        <f aca="false">J588</f>
        <v>Maggi seasoning</v>
      </c>
      <c r="Y588" s="81" t="str">
        <f aca="false">R588</f>
        <v>maggi seasoning</v>
      </c>
      <c r="Z588" s="94" t="n">
        <f aca="false">VLOOKUP(Y588,recipe_ingred_list!$D$2:$E$500,2,0)</f>
        <v>138</v>
      </c>
      <c r="AA588" s="61" t="n">
        <f aca="false">K588</f>
        <v>0</v>
      </c>
      <c r="AB588" s="61" t="n">
        <f aca="false">L588</f>
        <v>0</v>
      </c>
      <c r="AC588" s="61" t="n">
        <f aca="false">VLOOKUP(AB588,recipe_ingred_list!$K$2:$M$7,3,0)</f>
        <v>2</v>
      </c>
      <c r="AD588" s="61" t="n">
        <f aca="false">M588</f>
        <v>6</v>
      </c>
      <c r="AE588" s="61" t="str">
        <f aca="false">N588</f>
        <v>cup</v>
      </c>
      <c r="AF588" s="61" t="n">
        <f aca="false">VLOOKUP(AE588,recipe_ingred_list!$K$16:$M$25,3,0)</f>
        <v>5</v>
      </c>
      <c r="AG588" s="61" t="n">
        <f aca="false">O588</f>
        <v>0</v>
      </c>
      <c r="AH588" s="61" t="n">
        <f aca="false">P588</f>
        <v>0</v>
      </c>
      <c r="AI588" s="61" t="n">
        <f aca="false">VLOOKUP(AH588,recipe_ingred_list!$K$29:$M$34,3,0)</f>
        <v>3</v>
      </c>
      <c r="AJ588" s="61" t="str">
        <f aca="false">IF(Q588="","",Q588)</f>
        <v/>
      </c>
      <c r="AK588" s="61" t="n">
        <f aca="false">AK587+1</f>
        <v>588</v>
      </c>
      <c r="AL588" s="61" t="str">
        <f aca="false">Y588</f>
        <v>maggi seasoning</v>
      </c>
      <c r="AM588" s="81" t="str">
        <f aca="false">"a = Client().post('"&amp;W588&amp;"', {'recipe' : '"&amp;V588&amp;"', 'ingredient' : '"&amp;Z588&amp;"', 'name' : '"&amp;X588&amp;"', 'mass_unit' : '"&amp;AC588&amp;"', 'mass_quantity' : '"&amp;ROUND(AA588,3)&amp;"', 'volume_unit' : '"&amp;AF588&amp;"', 'volume_quantity' : '"&amp;ROUND(AD588,3)&amp;"', 'pieces_unit' : '"&amp;AI588&amp;"', 'pieces_quantity' : '"&amp;ROUND(AG588,3)&amp;"', 'cooking_notes' : '"&amp;AJ588&amp;"'}).status_code; print('%s :: %s :: %s :: %s :: %s' %(a,"&amp;G588&amp;",'"&amp;X588&amp;"','"&amp;Y588&amp;"','"&amp;U588&amp;"'))"</f>
        <v>a = Client().post('/recipes/green-curry/detail/', {'recipe' : '29', 'ingredient' : '138', 'name' : 'Maggi seasoning', 'mass_unit' : '2', 'mass_quantity' : '0', 'volume_unit' : '5', 'volume_quantity' : '6', 'pieces_unit' : '3', 'pieces_quantity' : '0', 'cooking_notes' : ''}).status_code; print('%s :: %s :: %s :: %s :: %s' %(a,588,'Maggi seasoning','maggi seasoning','Green curry'))</v>
      </c>
    </row>
    <row r="589" customFormat="false" ht="13.8" hidden="false" customHeight="false" outlineLevel="0" collapsed="false">
      <c r="G589" s="80" t="n">
        <v>589</v>
      </c>
      <c r="I589" s="146" t="s">
        <v>196</v>
      </c>
      <c r="J589" s="142" t="s">
        <v>282</v>
      </c>
      <c r="M589" s="61" t="n">
        <v>4</v>
      </c>
      <c r="N589" s="61" t="s">
        <v>13</v>
      </c>
      <c r="R589" s="82" t="str">
        <f aca="false">VLOOKUP(J589,ingredient!$N$4:$O$553,2,0)</f>
        <v>corn flour</v>
      </c>
      <c r="U589" s="81" t="str">
        <f aca="false">I589</f>
        <v>Green curry</v>
      </c>
      <c r="V589" s="81" t="n">
        <f aca="false">VLOOKUP(U589,recipe_ingred_list!$A$2:$B$300,2,0)</f>
        <v>29</v>
      </c>
      <c r="W589" s="81" t="str">
        <f aca="false">"/recipes/"&amp;VLOOKUP(U589,recipe_ingred_list!$A$2:$C$300,3,0)&amp;"/detail/"</f>
        <v>/recipes/green-curry/detail/</v>
      </c>
      <c r="X589" s="81" t="str">
        <f aca="false">J589</f>
        <v>corn flour</v>
      </c>
      <c r="Y589" s="81" t="str">
        <f aca="false">R589</f>
        <v>corn flour</v>
      </c>
      <c r="Z589" s="94" t="n">
        <f aca="false">VLOOKUP(Y589,recipe_ingred_list!$D$2:$E$500,2,0)</f>
        <v>57</v>
      </c>
      <c r="AA589" s="61" t="n">
        <f aca="false">K589</f>
        <v>0</v>
      </c>
      <c r="AB589" s="61" t="n">
        <f aca="false">L589</f>
        <v>0</v>
      </c>
      <c r="AC589" s="61" t="n">
        <f aca="false">VLOOKUP(AB589,recipe_ingred_list!$K$2:$M$7,3,0)</f>
        <v>2</v>
      </c>
      <c r="AD589" s="61" t="n">
        <f aca="false">M589</f>
        <v>4</v>
      </c>
      <c r="AE589" s="61" t="str">
        <f aca="false">N589</f>
        <v>ltr</v>
      </c>
      <c r="AF589" s="61" t="n">
        <f aca="false">VLOOKUP(AE589,recipe_ingred_list!$K$16:$M$25,3,0)</f>
        <v>1</v>
      </c>
      <c r="AG589" s="61" t="n">
        <f aca="false">O589</f>
        <v>0</v>
      </c>
      <c r="AH589" s="61" t="n">
        <f aca="false">P589</f>
        <v>0</v>
      </c>
      <c r="AI589" s="61" t="n">
        <f aca="false">VLOOKUP(AH589,recipe_ingred_list!$K$29:$M$34,3,0)</f>
        <v>3</v>
      </c>
      <c r="AJ589" s="61" t="str">
        <f aca="false">IF(Q589="","",Q589)</f>
        <v/>
      </c>
      <c r="AK589" s="61" t="n">
        <f aca="false">AK588+1</f>
        <v>589</v>
      </c>
      <c r="AL589" s="61" t="str">
        <f aca="false">Y589</f>
        <v>corn flour</v>
      </c>
      <c r="AM589" s="81" t="str">
        <f aca="false">"a = Client().post('"&amp;W589&amp;"', {'recipe' : '"&amp;V589&amp;"', 'ingredient' : '"&amp;Z589&amp;"', 'name' : '"&amp;X589&amp;"', 'mass_unit' : '"&amp;AC589&amp;"', 'mass_quantity' : '"&amp;ROUND(AA589,3)&amp;"', 'volume_unit' : '"&amp;AF589&amp;"', 'volume_quantity' : '"&amp;ROUND(AD589,3)&amp;"', 'pieces_unit' : '"&amp;AI589&amp;"', 'pieces_quantity' : '"&amp;ROUND(AG589,3)&amp;"', 'cooking_notes' : '"&amp;AJ589&amp;"'}).status_code; print('%s :: %s :: %s :: %s :: %s' %(a,"&amp;G589&amp;",'"&amp;X589&amp;"','"&amp;Y589&amp;"','"&amp;U589&amp;"'))"</f>
        <v>a = Client().post('/recipes/green-curry/detail/', {'recipe' : '29', 'ingredient' : '57', 'name' : 'corn flour', 'mass_unit' : '2', 'mass_quantity' : '0', 'volume_unit' : '1', 'volume_quantity' : '4', 'pieces_unit' : '3', 'pieces_quantity' : '0', 'cooking_notes' : ''}).status_code; print('%s :: %s :: %s :: %s :: %s' %(a,589,'corn flour','corn flour','Green curry'))</v>
      </c>
    </row>
    <row r="590" customFormat="false" ht="13.8" hidden="false" customHeight="false" outlineLevel="0" collapsed="false">
      <c r="G590" s="80" t="n">
        <v>590</v>
      </c>
      <c r="I590" s="146" t="s">
        <v>196</v>
      </c>
      <c r="J590" s="142" t="s">
        <v>705</v>
      </c>
      <c r="M590" s="61" t="n">
        <v>40</v>
      </c>
      <c r="N590" s="61" t="s">
        <v>13</v>
      </c>
      <c r="R590" s="82" t="str">
        <f aca="false">VLOOKUP(J590,ingredient!$N$4:$O$553,2,0)</f>
        <v>basil leaves</v>
      </c>
      <c r="U590" s="81" t="str">
        <f aca="false">I590</f>
        <v>Green curry</v>
      </c>
      <c r="V590" s="81" t="n">
        <f aca="false">VLOOKUP(U590,recipe_ingred_list!$A$2:$B$300,2,0)</f>
        <v>29</v>
      </c>
      <c r="W590" s="81" t="str">
        <f aca="false">"/recipes/"&amp;VLOOKUP(U590,recipe_ingred_list!$A$2:$C$300,3,0)&amp;"/detail/"</f>
        <v>/recipes/green-curry/detail/</v>
      </c>
      <c r="X590" s="81" t="str">
        <f aca="false">J590</f>
        <v>Basil leaves chopped</v>
      </c>
      <c r="Y590" s="81" t="str">
        <f aca="false">R590</f>
        <v>basil leaves</v>
      </c>
      <c r="Z590" s="94" t="n">
        <f aca="false">VLOOKUP(Y590,recipe_ingred_list!$D$2:$E$500,2,0)</f>
        <v>24</v>
      </c>
      <c r="AA590" s="61" t="n">
        <f aca="false">K590</f>
        <v>0</v>
      </c>
      <c r="AB590" s="61" t="n">
        <f aca="false">L590</f>
        <v>0</v>
      </c>
      <c r="AC590" s="61" t="n">
        <f aca="false">VLOOKUP(AB590,recipe_ingred_list!$K$2:$M$7,3,0)</f>
        <v>2</v>
      </c>
      <c r="AD590" s="61" t="n">
        <f aca="false">M590</f>
        <v>40</v>
      </c>
      <c r="AE590" s="61" t="str">
        <f aca="false">N590</f>
        <v>ltr</v>
      </c>
      <c r="AF590" s="61" t="n">
        <f aca="false">VLOOKUP(AE590,recipe_ingred_list!$K$16:$M$25,3,0)</f>
        <v>1</v>
      </c>
      <c r="AG590" s="61" t="n">
        <f aca="false">O590</f>
        <v>0</v>
      </c>
      <c r="AH590" s="61" t="n">
        <f aca="false">P590</f>
        <v>0</v>
      </c>
      <c r="AI590" s="61" t="n">
        <f aca="false">VLOOKUP(AH590,recipe_ingred_list!$K$29:$M$34,3,0)</f>
        <v>3</v>
      </c>
      <c r="AJ590" s="61" t="str">
        <f aca="false">IF(Q590="","",Q590)</f>
        <v/>
      </c>
      <c r="AK590" s="61" t="n">
        <f aca="false">AK589+1</f>
        <v>590</v>
      </c>
      <c r="AL590" s="61" t="str">
        <f aca="false">Y590</f>
        <v>basil leaves</v>
      </c>
      <c r="AM590" s="81" t="str">
        <f aca="false">"a = Client().post('"&amp;W590&amp;"', {'recipe' : '"&amp;V590&amp;"', 'ingredient' : '"&amp;Z590&amp;"', 'name' : '"&amp;X590&amp;"', 'mass_unit' : '"&amp;AC590&amp;"', 'mass_quantity' : '"&amp;ROUND(AA590,3)&amp;"', 'volume_unit' : '"&amp;AF590&amp;"', 'volume_quantity' : '"&amp;ROUND(AD590,3)&amp;"', 'pieces_unit' : '"&amp;AI590&amp;"', 'pieces_quantity' : '"&amp;ROUND(AG590,3)&amp;"', 'cooking_notes' : '"&amp;AJ590&amp;"'}).status_code; print('%s :: %s :: %s :: %s :: %s' %(a,"&amp;G590&amp;",'"&amp;X590&amp;"','"&amp;Y590&amp;"','"&amp;U590&amp;"'))"</f>
        <v>a = Client().post('/recipes/green-curry/detail/', {'recipe' : '29', 'ingredient' : '24', 'name' : 'Basil leaves chopped', 'mass_unit' : '2', 'mass_quantity' : '0', 'volume_unit' : '1', 'volume_quantity' : '40', 'pieces_unit' : '3', 'pieces_quantity' : '0', 'cooking_notes' : ''}).status_code; print('%s :: %s :: %s :: %s :: %s' %(a,590,'Basil leaves chopped','basil leaves','Green curry'))</v>
      </c>
    </row>
    <row r="591" customFormat="false" ht="13.8" hidden="false" customHeight="false" outlineLevel="0" collapsed="false">
      <c r="G591" s="80" t="n">
        <v>591</v>
      </c>
      <c r="H591" s="98"/>
      <c r="I591" s="141" t="s">
        <v>196</v>
      </c>
      <c r="J591" s="105" t="s">
        <v>26</v>
      </c>
      <c r="K591" s="100"/>
      <c r="L591" s="100"/>
      <c r="M591" s="100"/>
      <c r="N591" s="100"/>
      <c r="O591" s="141" t="n">
        <v>20</v>
      </c>
      <c r="P591" s="141" t="s">
        <v>706</v>
      </c>
      <c r="Q591" s="102"/>
      <c r="R591" s="99" t="e">
        <f aca="false">VLOOKUP(J591,ingredient!$N$4:$O$553,2,0)</f>
        <v>#N/A</v>
      </c>
      <c r="S591" s="98"/>
      <c r="T591" s="98"/>
      <c r="U591" s="81" t="str">
        <f aca="false">I591</f>
        <v>Green curry</v>
      </c>
      <c r="V591" s="81" t="n">
        <f aca="false">VLOOKUP(U591,recipe_ingred_list!$A$2:$B$300,2,0)</f>
        <v>29</v>
      </c>
      <c r="W591" s="81" t="str">
        <f aca="false">"/recipes/"&amp;VLOOKUP(U591,recipe_ingred_list!$A$2:$C$300,3,0)&amp;"/detail/"</f>
        <v>/recipes/green-curry/detail/</v>
      </c>
      <c r="X591" s="81" t="str">
        <f aca="false">J591</f>
        <v>YIELD</v>
      </c>
      <c r="Y591" s="81" t="e">
        <f aca="false">R591</f>
        <v>#N/A</v>
      </c>
      <c r="Z591" s="94" t="e">
        <f aca="false">VLOOKUP(Y591,recipe_ingred_list!$D$2:$E$500,2,0)</f>
        <v>#N/A</v>
      </c>
      <c r="AA591" s="61" t="n">
        <f aca="false">K591</f>
        <v>0</v>
      </c>
      <c r="AB591" s="61" t="n">
        <f aca="false">L591</f>
        <v>0</v>
      </c>
      <c r="AC591" s="61" t="n">
        <f aca="false">VLOOKUP(AB591,recipe_ingred_list!$K$2:$M$7,3,0)</f>
        <v>2</v>
      </c>
      <c r="AD591" s="61" t="n">
        <f aca="false">M591</f>
        <v>0</v>
      </c>
      <c r="AE591" s="61" t="n">
        <f aca="false">N591</f>
        <v>0</v>
      </c>
      <c r="AF591" s="61" t="n">
        <f aca="false">VLOOKUP(AE591,recipe_ingred_list!$K$16:$M$25,3,0)</f>
        <v>1</v>
      </c>
      <c r="AG591" s="61" t="n">
        <f aca="false">O591</f>
        <v>20</v>
      </c>
      <c r="AH591" s="61" t="str">
        <f aca="false">P591</f>
        <v>tubs</v>
      </c>
      <c r="AI591" s="61" t="e">
        <f aca="false">VLOOKUP(AH591,recipe_ingred_list!$K$29:$M$34,3,0)</f>
        <v>#N/A</v>
      </c>
      <c r="AJ591" s="61" t="str">
        <f aca="false">IF(Q591="","",Q591)</f>
        <v/>
      </c>
      <c r="AK591" s="61" t="n">
        <f aca="false">AK590+1</f>
        <v>591</v>
      </c>
      <c r="AL591" s="61" t="e">
        <f aca="false">Y591</f>
        <v>#N/A</v>
      </c>
      <c r="AM591" s="81" t="e">
        <f aca="false">"a = Client().post('"&amp;W591&amp;"', {'recipe' : '"&amp;V591&amp;"', 'ingredient' : '"&amp;Z591&amp;"', 'name' : '"&amp;X591&amp;"', 'mass_unit' : '"&amp;AC591&amp;"', 'mass_quantity' : '"&amp;ROUND(AA591,3)&amp;"', 'volume_unit' : '"&amp;AF591&amp;"', 'volume_quantity' : '"&amp;ROUND(AD591,3)&amp;"', 'pieces_unit' : '"&amp;AI591&amp;"', 'pieces_quantity' : '"&amp;ROUND(AG591,3)&amp;"', 'cooking_notes' : '"&amp;AJ591&amp;"'}).status_code; print('%s :: %s :: %s :: %s :: %s' %(a,"&amp;G591&amp;",'"&amp;X591&amp;"','"&amp;Y591&amp;"','"&amp;U591&amp;"'))"</f>
        <v>#N/A</v>
      </c>
    </row>
    <row r="592" customFormat="false" ht="13.8" hidden="false" customHeight="false" outlineLevel="0" collapsed="false">
      <c r="G592" s="80" t="n">
        <v>592</v>
      </c>
      <c r="H592" s="98"/>
      <c r="I592" s="79"/>
      <c r="J592" s="79"/>
      <c r="K592" s="100"/>
      <c r="L592" s="100"/>
      <c r="M592" s="100"/>
      <c r="N592" s="100"/>
      <c r="O592" s="101"/>
      <c r="P592" s="100"/>
      <c r="Q592" s="102"/>
      <c r="R592" s="99" t="e">
        <f aca="false">VLOOKUP(J592,ingredient!$N$4:$O$553,2,0)</f>
        <v>#N/A</v>
      </c>
      <c r="S592" s="98"/>
      <c r="T592" s="98"/>
      <c r="U592" s="81" t="n">
        <f aca="false">I592</f>
        <v>0</v>
      </c>
      <c r="V592" s="81" t="e">
        <f aca="false">VLOOKUP(U592,recipe_ingred_list!$A$2:$B$300,2,0)</f>
        <v>#N/A</v>
      </c>
      <c r="W592" s="81" t="e">
        <f aca="false">"/recipes/"&amp;VLOOKUP(U592,recipe_ingred_list!$A$2:$C$300,3,0)&amp;"/detail/"</f>
        <v>#N/A</v>
      </c>
      <c r="X592" s="81" t="n">
        <f aca="false">J592</f>
        <v>0</v>
      </c>
      <c r="Y592" s="81" t="e">
        <f aca="false">R592</f>
        <v>#N/A</v>
      </c>
      <c r="Z592" s="94" t="e">
        <f aca="false">VLOOKUP(Y592,recipe_ingred_list!$D$2:$E$500,2,0)</f>
        <v>#N/A</v>
      </c>
      <c r="AA592" s="61" t="n">
        <f aca="false">K592</f>
        <v>0</v>
      </c>
      <c r="AB592" s="61" t="n">
        <f aca="false">L592</f>
        <v>0</v>
      </c>
      <c r="AC592" s="61" t="n">
        <f aca="false">VLOOKUP(AB592,recipe_ingred_list!$K$2:$M$7,3,0)</f>
        <v>2</v>
      </c>
      <c r="AD592" s="61" t="n">
        <f aca="false">M592</f>
        <v>0</v>
      </c>
      <c r="AE592" s="61" t="n">
        <f aca="false">N592</f>
        <v>0</v>
      </c>
      <c r="AF592" s="61" t="n">
        <f aca="false">VLOOKUP(AE592,recipe_ingred_list!$K$16:$M$25,3,0)</f>
        <v>1</v>
      </c>
      <c r="AG592" s="61" t="n">
        <f aca="false">O592</f>
        <v>0</v>
      </c>
      <c r="AH592" s="61" t="n">
        <f aca="false">P592</f>
        <v>0</v>
      </c>
      <c r="AI592" s="61" t="n">
        <f aca="false">VLOOKUP(AH592,recipe_ingred_list!$K$29:$M$34,3,0)</f>
        <v>3</v>
      </c>
      <c r="AJ592" s="61" t="str">
        <f aca="false">IF(Q592="","",Q592)</f>
        <v/>
      </c>
      <c r="AK592" s="61" t="n">
        <f aca="false">AK591+1</f>
        <v>592</v>
      </c>
      <c r="AL592" s="61" t="e">
        <f aca="false">Y592</f>
        <v>#N/A</v>
      </c>
      <c r="AM592" s="81" t="e">
        <f aca="false">"a = Client().post('"&amp;W592&amp;"', {'recipe' : '"&amp;V592&amp;"', 'ingredient' : '"&amp;Z592&amp;"', 'name' : '"&amp;X592&amp;"', 'mass_unit' : '"&amp;AC592&amp;"', 'mass_quantity' : '"&amp;ROUND(AA592,3)&amp;"', 'volume_unit' : '"&amp;AF592&amp;"', 'volume_quantity' : '"&amp;ROUND(AD592,3)&amp;"', 'pieces_unit' : '"&amp;AI592&amp;"', 'pieces_quantity' : '"&amp;ROUND(AG592,3)&amp;"', 'cooking_notes' : '"&amp;AJ592&amp;"'}).status_code; print('%s :: %s :: %s :: %s :: %s' %(a,"&amp;G592&amp;",'"&amp;X592&amp;"','"&amp;Y592&amp;"','"&amp;U592&amp;"'))"</f>
        <v>#N/A</v>
      </c>
    </row>
    <row r="593" customFormat="false" ht="13.8" hidden="false" customHeight="false" outlineLevel="0" collapsed="false">
      <c r="G593" s="80" t="n">
        <v>593</v>
      </c>
      <c r="H593" s="98"/>
      <c r="I593" s="99"/>
      <c r="J593" s="162"/>
      <c r="K593" s="164"/>
      <c r="L593" s="164"/>
      <c r="M593" s="100"/>
      <c r="N593" s="100"/>
      <c r="O593" s="101"/>
      <c r="P593" s="100"/>
      <c r="Q593" s="102"/>
      <c r="R593" s="99" t="e">
        <f aca="false">VLOOKUP(J593,ingredient!$N$4:$O$553,2,0)</f>
        <v>#N/A</v>
      </c>
      <c r="S593" s="98"/>
      <c r="T593" s="98"/>
      <c r="U593" s="81" t="n">
        <f aca="false">I593</f>
        <v>0</v>
      </c>
      <c r="V593" s="81" t="e">
        <f aca="false">VLOOKUP(U593,recipe_ingred_list!$A$2:$B$300,2,0)</f>
        <v>#N/A</v>
      </c>
      <c r="W593" s="81" t="e">
        <f aca="false">"/recipes/"&amp;VLOOKUP(U593,recipe_ingred_list!$A$2:$C$300,3,0)&amp;"/detail/"</f>
        <v>#N/A</v>
      </c>
      <c r="X593" s="81" t="n">
        <f aca="false">J593</f>
        <v>0</v>
      </c>
      <c r="Y593" s="81" t="e">
        <f aca="false">R593</f>
        <v>#N/A</v>
      </c>
      <c r="Z593" s="94" t="e">
        <f aca="false">VLOOKUP(Y593,recipe_ingred_list!$D$2:$E$500,2,0)</f>
        <v>#N/A</v>
      </c>
      <c r="AA593" s="61" t="n">
        <f aca="false">K593</f>
        <v>0</v>
      </c>
      <c r="AB593" s="61" t="n">
        <f aca="false">L593</f>
        <v>0</v>
      </c>
      <c r="AC593" s="61" t="n">
        <f aca="false">VLOOKUP(AB593,recipe_ingred_list!$K$2:$M$7,3,0)</f>
        <v>2</v>
      </c>
      <c r="AD593" s="61" t="n">
        <f aca="false">M593</f>
        <v>0</v>
      </c>
      <c r="AE593" s="61" t="n">
        <f aca="false">N593</f>
        <v>0</v>
      </c>
      <c r="AF593" s="61" t="n">
        <f aca="false">VLOOKUP(AE593,recipe_ingred_list!$K$16:$M$25,3,0)</f>
        <v>1</v>
      </c>
      <c r="AG593" s="61" t="n">
        <f aca="false">O593</f>
        <v>0</v>
      </c>
      <c r="AH593" s="61" t="n">
        <f aca="false">P593</f>
        <v>0</v>
      </c>
      <c r="AI593" s="61" t="n">
        <f aca="false">VLOOKUP(AH593,recipe_ingred_list!$K$29:$M$34,3,0)</f>
        <v>3</v>
      </c>
      <c r="AJ593" s="61" t="str">
        <f aca="false">IF(Q593="","",Q593)</f>
        <v/>
      </c>
      <c r="AK593" s="61" t="n">
        <f aca="false">AK592+1</f>
        <v>593</v>
      </c>
      <c r="AL593" s="61" t="e">
        <f aca="false">Y593</f>
        <v>#N/A</v>
      </c>
      <c r="AM593" s="81" t="e">
        <f aca="false">"a = Client().post('"&amp;W593&amp;"', {'recipe' : '"&amp;V593&amp;"', 'ingredient' : '"&amp;Z593&amp;"', 'name' : '"&amp;X593&amp;"', 'mass_unit' : '"&amp;AC593&amp;"', 'mass_quantity' : '"&amp;ROUND(AA593,3)&amp;"', 'volume_unit' : '"&amp;AF593&amp;"', 'volume_quantity' : '"&amp;ROUND(AD593,3)&amp;"', 'pieces_unit' : '"&amp;AI593&amp;"', 'pieces_quantity' : '"&amp;ROUND(AG593,3)&amp;"', 'cooking_notes' : '"&amp;AJ593&amp;"'}).status_code; print('%s :: %s :: %s :: %s :: %s' %(a,"&amp;G593&amp;",'"&amp;X593&amp;"','"&amp;Y593&amp;"','"&amp;U593&amp;"'))"</f>
        <v>#N/A</v>
      </c>
    </row>
    <row r="594" customFormat="false" ht="13.8" hidden="false" customHeight="false" outlineLevel="0" collapsed="false">
      <c r="G594" s="80" t="n">
        <v>594</v>
      </c>
      <c r="I594" s="165" t="s">
        <v>259</v>
      </c>
      <c r="J594" s="142" t="s">
        <v>575</v>
      </c>
      <c r="K594" s="69" t="n">
        <v>10</v>
      </c>
      <c r="L594" s="69" t="s">
        <v>7</v>
      </c>
      <c r="R594" s="82" t="str">
        <f aca="false">VLOOKUP(J594,ingredient!$N$4:$O$553,2,0)</f>
        <v>rice</v>
      </c>
      <c r="U594" s="81" t="str">
        <f aca="false">I594</f>
        <v>Nithai Rice</v>
      </c>
      <c r="V594" s="81" t="n">
        <f aca="false">VLOOKUP(U594,recipe_ingred_list!$A$2:$B$300,2,0)</f>
        <v>50</v>
      </c>
      <c r="W594" s="81" t="str">
        <f aca="false">"/recipes/"&amp;VLOOKUP(U594,recipe_ingred_list!$A$2:$C$300,3,0)&amp;"/detail/"</f>
        <v>/recipes/nithai-rice/detail/</v>
      </c>
      <c r="X594" s="81" t="str">
        <f aca="false">J594</f>
        <v>Rice</v>
      </c>
      <c r="Y594" s="81" t="str">
        <f aca="false">R594</f>
        <v>rice</v>
      </c>
      <c r="Z594" s="94" t="n">
        <f aca="false">VLOOKUP(Y594,recipe_ingred_list!$D$2:$E$500,2,0)</f>
        <v>170</v>
      </c>
      <c r="AA594" s="61" t="n">
        <f aca="false">K594</f>
        <v>10</v>
      </c>
      <c r="AB594" s="61" t="str">
        <f aca="false">L594</f>
        <v>kg</v>
      </c>
      <c r="AC594" s="61" t="n">
        <f aca="false">VLOOKUP(AB594,recipe_ingred_list!$K$2:$M$7,3,0)</f>
        <v>2</v>
      </c>
      <c r="AD594" s="61" t="n">
        <f aca="false">M594</f>
        <v>0</v>
      </c>
      <c r="AE594" s="61" t="n">
        <f aca="false">N594</f>
        <v>0</v>
      </c>
      <c r="AF594" s="61" t="n">
        <f aca="false">VLOOKUP(AE594,recipe_ingred_list!$K$16:$M$25,3,0)</f>
        <v>1</v>
      </c>
      <c r="AG594" s="61" t="n">
        <f aca="false">O594</f>
        <v>0</v>
      </c>
      <c r="AH594" s="61" t="n">
        <f aca="false">P594</f>
        <v>0</v>
      </c>
      <c r="AI594" s="61" t="n">
        <f aca="false">VLOOKUP(AH594,recipe_ingred_list!$K$29:$M$34,3,0)</f>
        <v>3</v>
      </c>
      <c r="AJ594" s="61" t="str">
        <f aca="false">IF(Q594="","",Q594)</f>
        <v/>
      </c>
      <c r="AK594" s="61" t="n">
        <f aca="false">AK593+1</f>
        <v>594</v>
      </c>
      <c r="AL594" s="61" t="str">
        <f aca="false">Y594</f>
        <v>rice</v>
      </c>
      <c r="AM594" s="81" t="str">
        <f aca="false">"a = Client().post('"&amp;W594&amp;"', {'recipe' : '"&amp;V594&amp;"', 'ingredient' : '"&amp;Z594&amp;"', 'name' : '"&amp;X594&amp;"', 'mass_unit' : '"&amp;AC594&amp;"', 'mass_quantity' : '"&amp;ROUND(AA594,3)&amp;"', 'volume_unit' : '"&amp;AF594&amp;"', 'volume_quantity' : '"&amp;ROUND(AD594,3)&amp;"', 'pieces_unit' : '"&amp;AI594&amp;"', 'pieces_quantity' : '"&amp;ROUND(AG594,3)&amp;"', 'cooking_notes' : '"&amp;AJ594&amp;"'}).status_code; print('%s :: %s :: %s :: %s :: %s' %(a,"&amp;G594&amp;",'"&amp;X594&amp;"','"&amp;Y594&amp;"','"&amp;U594&amp;"'))"</f>
        <v>a = Client().post('/recipes/nithai-rice/detail/', {'recipe' : '50', 'ingredient' : '170', 'name' : 'Rice', 'mass_unit' : '2', 'mass_quantity' : '10', 'volume_unit' : '1', 'volume_quantity' : '0', 'pieces_unit' : '3', 'pieces_quantity' : '0', 'cooking_notes' : ''}).status_code; print('%s :: %s :: %s :: %s :: %s' %(a,594,'Rice','rice','Nithai Rice'))</v>
      </c>
    </row>
    <row r="595" customFormat="false" ht="13.8" hidden="false" customHeight="false" outlineLevel="0" collapsed="false">
      <c r="G595" s="80" t="n">
        <v>595</v>
      </c>
      <c r="I595" s="165" t="s">
        <v>259</v>
      </c>
      <c r="J595" s="142" t="s">
        <v>32</v>
      </c>
      <c r="M595" s="69" t="n">
        <v>2.3</v>
      </c>
      <c r="N595" s="69" t="s">
        <v>20</v>
      </c>
      <c r="R595" s="82" t="str">
        <f aca="false">VLOOKUP(J595,ingredient!$N$4:$O$553,2,0)</f>
        <v>salt</v>
      </c>
      <c r="U595" s="81" t="str">
        <f aca="false">I595</f>
        <v>Nithai Rice</v>
      </c>
      <c r="V595" s="81" t="n">
        <f aca="false">VLOOKUP(U595,recipe_ingred_list!$A$2:$B$300,2,0)</f>
        <v>50</v>
      </c>
      <c r="W595" s="81" t="str">
        <f aca="false">"/recipes/"&amp;VLOOKUP(U595,recipe_ingred_list!$A$2:$C$300,3,0)&amp;"/detail/"</f>
        <v>/recipes/nithai-rice/detail/</v>
      </c>
      <c r="X595" s="81" t="str">
        <f aca="false">J595</f>
        <v>Salt</v>
      </c>
      <c r="Y595" s="81" t="str">
        <f aca="false">R595</f>
        <v>salt</v>
      </c>
      <c r="Z595" s="94" t="n">
        <f aca="false">VLOOKUP(Y595,recipe_ingred_list!$D$2:$E$500,2,0)</f>
        <v>177</v>
      </c>
      <c r="AA595" s="61" t="n">
        <f aca="false">K595</f>
        <v>0</v>
      </c>
      <c r="AB595" s="61" t="n">
        <f aca="false">L595</f>
        <v>0</v>
      </c>
      <c r="AC595" s="61" t="n">
        <f aca="false">VLOOKUP(AB595,recipe_ingred_list!$K$2:$M$7,3,0)</f>
        <v>2</v>
      </c>
      <c r="AD595" s="61" t="n">
        <f aca="false">M595</f>
        <v>2.3</v>
      </c>
      <c r="AE595" s="61" t="str">
        <f aca="false">N595</f>
        <v>cup</v>
      </c>
      <c r="AF595" s="61" t="n">
        <f aca="false">VLOOKUP(AE595,recipe_ingred_list!$K$16:$M$25,3,0)</f>
        <v>5</v>
      </c>
      <c r="AG595" s="61" t="n">
        <f aca="false">O595</f>
        <v>0</v>
      </c>
      <c r="AH595" s="61" t="n">
        <f aca="false">P595</f>
        <v>0</v>
      </c>
      <c r="AI595" s="61" t="n">
        <f aca="false">VLOOKUP(AH595,recipe_ingred_list!$K$29:$M$34,3,0)</f>
        <v>3</v>
      </c>
      <c r="AJ595" s="61" t="str">
        <f aca="false">IF(Q595="","",Q595)</f>
        <v/>
      </c>
      <c r="AK595" s="61" t="n">
        <f aca="false">AK594+1</f>
        <v>595</v>
      </c>
      <c r="AL595" s="61" t="str">
        <f aca="false">Y595</f>
        <v>salt</v>
      </c>
      <c r="AM595" s="81" t="str">
        <f aca="false">"a = Client().post('"&amp;W595&amp;"', {'recipe' : '"&amp;V595&amp;"', 'ingredient' : '"&amp;Z595&amp;"', 'name' : '"&amp;X595&amp;"', 'mass_unit' : '"&amp;AC595&amp;"', 'mass_quantity' : '"&amp;ROUND(AA595,3)&amp;"', 'volume_unit' : '"&amp;AF595&amp;"', 'volume_quantity' : '"&amp;ROUND(AD595,3)&amp;"', 'pieces_unit' : '"&amp;AI595&amp;"', 'pieces_quantity' : '"&amp;ROUND(AG595,3)&amp;"', 'cooking_notes' : '"&amp;AJ595&amp;"'}).status_code; print('%s :: %s :: %s :: %s :: %s' %(a,"&amp;G595&amp;",'"&amp;X595&amp;"','"&amp;Y595&amp;"','"&amp;U595&amp;"'))"</f>
        <v>a = Client().post('/recipes/nithai-rice/detail/', {'recipe' : '50', 'ingredient' : '177', 'name' : 'Salt', 'mass_unit' : '2', 'mass_quantity' : '0', 'volume_unit' : '5', 'volume_quantity' : '2.3', 'pieces_unit' : '3', 'pieces_quantity' : '0', 'cooking_notes' : ''}).status_code; print('%s :: %s :: %s :: %s :: %s' %(a,595,'Salt','salt','Nithai Rice'))</v>
      </c>
    </row>
    <row r="596" customFormat="false" ht="13.8" hidden="false" customHeight="false" outlineLevel="0" collapsed="false">
      <c r="G596" s="80" t="n">
        <v>596</v>
      </c>
      <c r="I596" s="165" t="s">
        <v>259</v>
      </c>
      <c r="J596" s="142" t="s">
        <v>707</v>
      </c>
      <c r="M596" s="69" t="n">
        <v>1</v>
      </c>
      <c r="N596" s="69" t="s">
        <v>13</v>
      </c>
      <c r="R596" s="82" t="str">
        <f aca="false">VLOOKUP(J596,ingredient!$N$4:$O$553,2,0)</f>
        <v>sam soya sauce</v>
      </c>
      <c r="U596" s="81" t="str">
        <f aca="false">I596</f>
        <v>Nithai Rice</v>
      </c>
      <c r="V596" s="81" t="n">
        <f aca="false">VLOOKUP(U596,recipe_ingred_list!$A$2:$B$300,2,0)</f>
        <v>50</v>
      </c>
      <c r="W596" s="81" t="str">
        <f aca="false">"/recipes/"&amp;VLOOKUP(U596,recipe_ingred_list!$A$2:$C$300,3,0)&amp;"/detail/"</f>
        <v>/recipes/nithai-rice/detail/</v>
      </c>
      <c r="X596" s="81" t="str">
        <f aca="false">J596</f>
        <v>SAM Soya Sauce</v>
      </c>
      <c r="Y596" s="81" t="str">
        <f aca="false">R596</f>
        <v>sam soya sauce</v>
      </c>
      <c r="Z596" s="94" t="n">
        <f aca="false">VLOOKUP(Y596,recipe_ingred_list!$D$2:$E$500,2,0)</f>
        <v>178</v>
      </c>
      <c r="AA596" s="61" t="n">
        <f aca="false">K596</f>
        <v>0</v>
      </c>
      <c r="AB596" s="61" t="n">
        <f aca="false">L596</f>
        <v>0</v>
      </c>
      <c r="AC596" s="61" t="n">
        <f aca="false">VLOOKUP(AB596,recipe_ingred_list!$K$2:$M$7,3,0)</f>
        <v>2</v>
      </c>
      <c r="AD596" s="61" t="n">
        <f aca="false">M596</f>
        <v>1</v>
      </c>
      <c r="AE596" s="61" t="str">
        <f aca="false">N596</f>
        <v>ltr</v>
      </c>
      <c r="AF596" s="61" t="n">
        <f aca="false">VLOOKUP(AE596,recipe_ingred_list!$K$16:$M$25,3,0)</f>
        <v>1</v>
      </c>
      <c r="AG596" s="61" t="n">
        <f aca="false">O596</f>
        <v>0</v>
      </c>
      <c r="AH596" s="61" t="n">
        <f aca="false">P596</f>
        <v>0</v>
      </c>
      <c r="AI596" s="61" t="n">
        <f aca="false">VLOOKUP(AH596,recipe_ingred_list!$K$29:$M$34,3,0)</f>
        <v>3</v>
      </c>
      <c r="AJ596" s="61" t="str">
        <f aca="false">IF(Q596="","",Q596)</f>
        <v/>
      </c>
      <c r="AK596" s="61" t="n">
        <f aca="false">AK595+1</f>
        <v>596</v>
      </c>
      <c r="AL596" s="61" t="str">
        <f aca="false">Y596</f>
        <v>sam soya sauce</v>
      </c>
      <c r="AM596" s="81" t="str">
        <f aca="false">"a = Client().post('"&amp;W596&amp;"', {'recipe' : '"&amp;V596&amp;"', 'ingredient' : '"&amp;Z596&amp;"', 'name' : '"&amp;X596&amp;"', 'mass_unit' : '"&amp;AC596&amp;"', 'mass_quantity' : '"&amp;ROUND(AA596,3)&amp;"', 'volume_unit' : '"&amp;AF596&amp;"', 'volume_quantity' : '"&amp;ROUND(AD596,3)&amp;"', 'pieces_unit' : '"&amp;AI596&amp;"', 'pieces_quantity' : '"&amp;ROUND(AG596,3)&amp;"', 'cooking_notes' : '"&amp;AJ596&amp;"'}).status_code; print('%s :: %s :: %s :: %s :: %s' %(a,"&amp;G596&amp;",'"&amp;X596&amp;"','"&amp;Y596&amp;"','"&amp;U596&amp;"'))"</f>
        <v>a = Client().post('/recipes/nithai-rice/detail/', {'recipe' : '50', 'ingredient' : '178', 'name' : 'SAM Soya Sauce', 'mass_unit' : '2', 'mass_quantity' : '0', 'volume_unit' : '1', 'volume_quantity' : '1', 'pieces_unit' : '3', 'pieces_quantity' : '0', 'cooking_notes' : ''}).status_code; print('%s :: %s :: %s :: %s :: %s' %(a,596,'SAM Soya Sauce','sam soya sauce','Nithai Rice'))</v>
      </c>
    </row>
    <row r="597" customFormat="false" ht="13.8" hidden="false" customHeight="false" outlineLevel="0" collapsed="false">
      <c r="G597" s="80" t="n">
        <v>597</v>
      </c>
      <c r="I597" s="165" t="s">
        <v>259</v>
      </c>
      <c r="J597" s="142" t="s">
        <v>704</v>
      </c>
      <c r="M597" s="69" t="n">
        <v>1</v>
      </c>
      <c r="N597" s="69" t="s">
        <v>20</v>
      </c>
      <c r="R597" s="82" t="str">
        <f aca="false">VLOOKUP(J597,ingredient!$N$4:$O$553,2,0)</f>
        <v>maggi seasoning</v>
      </c>
      <c r="U597" s="81" t="str">
        <f aca="false">I597</f>
        <v>Nithai Rice</v>
      </c>
      <c r="V597" s="81" t="n">
        <f aca="false">VLOOKUP(U597,recipe_ingred_list!$A$2:$B$300,2,0)</f>
        <v>50</v>
      </c>
      <c r="W597" s="81" t="str">
        <f aca="false">"/recipes/"&amp;VLOOKUP(U597,recipe_ingred_list!$A$2:$C$300,3,0)&amp;"/detail/"</f>
        <v>/recipes/nithai-rice/detail/</v>
      </c>
      <c r="X597" s="81" t="str">
        <f aca="false">J597</f>
        <v>Maggi seasoning</v>
      </c>
      <c r="Y597" s="81" t="str">
        <f aca="false">R597</f>
        <v>maggi seasoning</v>
      </c>
      <c r="Z597" s="94" t="n">
        <f aca="false">VLOOKUP(Y597,recipe_ingred_list!$D$2:$E$500,2,0)</f>
        <v>138</v>
      </c>
      <c r="AA597" s="61" t="n">
        <f aca="false">K597</f>
        <v>0</v>
      </c>
      <c r="AB597" s="61" t="n">
        <f aca="false">L597</f>
        <v>0</v>
      </c>
      <c r="AC597" s="61" t="n">
        <f aca="false">VLOOKUP(AB597,recipe_ingred_list!$K$2:$M$7,3,0)</f>
        <v>2</v>
      </c>
      <c r="AD597" s="61" t="n">
        <f aca="false">M597</f>
        <v>1</v>
      </c>
      <c r="AE597" s="61" t="str">
        <f aca="false">N597</f>
        <v>cup</v>
      </c>
      <c r="AF597" s="61" t="n">
        <f aca="false">VLOOKUP(AE597,recipe_ingred_list!$K$16:$M$25,3,0)</f>
        <v>5</v>
      </c>
      <c r="AG597" s="61" t="n">
        <f aca="false">O597</f>
        <v>0</v>
      </c>
      <c r="AH597" s="61" t="n">
        <f aca="false">P597</f>
        <v>0</v>
      </c>
      <c r="AI597" s="61" t="n">
        <f aca="false">VLOOKUP(AH597,recipe_ingred_list!$K$29:$M$34,3,0)</f>
        <v>3</v>
      </c>
      <c r="AJ597" s="61" t="str">
        <f aca="false">IF(Q597="","",Q597)</f>
        <v/>
      </c>
      <c r="AK597" s="61" t="n">
        <f aca="false">AK596+1</f>
        <v>597</v>
      </c>
      <c r="AL597" s="61" t="str">
        <f aca="false">Y597</f>
        <v>maggi seasoning</v>
      </c>
      <c r="AM597" s="81" t="str">
        <f aca="false">"a = Client().post('"&amp;W597&amp;"', {'recipe' : '"&amp;V597&amp;"', 'ingredient' : '"&amp;Z597&amp;"', 'name' : '"&amp;X597&amp;"', 'mass_unit' : '"&amp;AC597&amp;"', 'mass_quantity' : '"&amp;ROUND(AA597,3)&amp;"', 'volume_unit' : '"&amp;AF597&amp;"', 'volume_quantity' : '"&amp;ROUND(AD597,3)&amp;"', 'pieces_unit' : '"&amp;AI597&amp;"', 'pieces_quantity' : '"&amp;ROUND(AG597,3)&amp;"', 'cooking_notes' : '"&amp;AJ597&amp;"'}).status_code; print('%s :: %s :: %s :: %s :: %s' %(a,"&amp;G597&amp;",'"&amp;X597&amp;"','"&amp;Y597&amp;"','"&amp;U597&amp;"'))"</f>
        <v>a = Client().post('/recipes/nithai-rice/detail/', {'recipe' : '50', 'ingredient' : '138', 'name' : 'Maggi seasoning', 'mass_unit' : '2', 'mass_quantity' : '0', 'volume_unit' : '5', 'volume_quantity' : '1', 'pieces_unit' : '3', 'pieces_quantity' : '0', 'cooking_notes' : ''}).status_code; print('%s :: %s :: %s :: %s :: %s' %(a,597,'Maggi seasoning','maggi seasoning','Nithai Rice'))</v>
      </c>
    </row>
    <row r="598" customFormat="false" ht="13.8" hidden="false" customHeight="false" outlineLevel="0" collapsed="false">
      <c r="G598" s="80" t="n">
        <v>598</v>
      </c>
      <c r="I598" s="165" t="s">
        <v>259</v>
      </c>
      <c r="J598" s="142" t="s">
        <v>708</v>
      </c>
      <c r="M598" s="69" t="n">
        <v>1</v>
      </c>
      <c r="N598" s="69" t="s">
        <v>13</v>
      </c>
      <c r="R598" s="82" t="str">
        <f aca="false">VLOOKUP(J598,ingredient!$N$4:$O$553,2,0)</f>
        <v>green chilli sauce</v>
      </c>
      <c r="U598" s="81" t="str">
        <f aca="false">I598</f>
        <v>Nithai Rice</v>
      </c>
      <c r="V598" s="81" t="n">
        <f aca="false">VLOOKUP(U598,recipe_ingred_list!$A$2:$B$300,2,0)</f>
        <v>50</v>
      </c>
      <c r="W598" s="81" t="str">
        <f aca="false">"/recipes/"&amp;VLOOKUP(U598,recipe_ingred_list!$A$2:$C$300,3,0)&amp;"/detail/"</f>
        <v>/recipes/nithai-rice/detail/</v>
      </c>
      <c r="X598" s="81" t="str">
        <f aca="false">J598</f>
        <v>Green chilli sauce</v>
      </c>
      <c r="Y598" s="81" t="str">
        <f aca="false">R598</f>
        <v>green chilli sauce</v>
      </c>
      <c r="Z598" s="94" t="n">
        <f aca="false">VLOOKUP(Y598,recipe_ingred_list!$D$2:$E$500,2,0)</f>
        <v>85</v>
      </c>
      <c r="AA598" s="61" t="n">
        <f aca="false">K598</f>
        <v>0</v>
      </c>
      <c r="AB598" s="61" t="n">
        <f aca="false">L598</f>
        <v>0</v>
      </c>
      <c r="AC598" s="61" t="n">
        <f aca="false">VLOOKUP(AB598,recipe_ingred_list!$K$2:$M$7,3,0)</f>
        <v>2</v>
      </c>
      <c r="AD598" s="61" t="n">
        <f aca="false">M598</f>
        <v>1</v>
      </c>
      <c r="AE598" s="61" t="str">
        <f aca="false">N598</f>
        <v>ltr</v>
      </c>
      <c r="AF598" s="61" t="n">
        <f aca="false">VLOOKUP(AE598,recipe_ingred_list!$K$16:$M$25,3,0)</f>
        <v>1</v>
      </c>
      <c r="AG598" s="61" t="n">
        <f aca="false">O598</f>
        <v>0</v>
      </c>
      <c r="AH598" s="61" t="n">
        <f aca="false">P598</f>
        <v>0</v>
      </c>
      <c r="AI598" s="61" t="n">
        <f aca="false">VLOOKUP(AH598,recipe_ingred_list!$K$29:$M$34,3,0)</f>
        <v>3</v>
      </c>
      <c r="AJ598" s="61" t="str">
        <f aca="false">IF(Q598="","",Q598)</f>
        <v/>
      </c>
      <c r="AK598" s="61" t="n">
        <f aca="false">AK597+1</f>
        <v>598</v>
      </c>
      <c r="AL598" s="61" t="str">
        <f aca="false">Y598</f>
        <v>green chilli sauce</v>
      </c>
      <c r="AM598" s="81" t="str">
        <f aca="false">"a = Client().post('"&amp;W598&amp;"', {'recipe' : '"&amp;V598&amp;"', 'ingredient' : '"&amp;Z598&amp;"', 'name' : '"&amp;X598&amp;"', 'mass_unit' : '"&amp;AC598&amp;"', 'mass_quantity' : '"&amp;ROUND(AA598,3)&amp;"', 'volume_unit' : '"&amp;AF598&amp;"', 'volume_quantity' : '"&amp;ROUND(AD598,3)&amp;"', 'pieces_unit' : '"&amp;AI598&amp;"', 'pieces_quantity' : '"&amp;ROUND(AG598,3)&amp;"', 'cooking_notes' : '"&amp;AJ598&amp;"'}).status_code; print('%s :: %s :: %s :: %s :: %s' %(a,"&amp;G598&amp;",'"&amp;X598&amp;"','"&amp;Y598&amp;"','"&amp;U598&amp;"'))"</f>
        <v>a = Client().post('/recipes/nithai-rice/detail/', {'recipe' : '50', 'ingredient' : '85', 'name' : 'Green chilli sauce', 'mass_unit' : '2', 'mass_quantity' : '0', 'volume_unit' : '1', 'volume_quantity' : '1', 'pieces_unit' : '3', 'pieces_quantity' : '0', 'cooking_notes' : ''}).status_code; print('%s :: %s :: %s :: %s :: %s' %(a,598,'Green chilli sauce','green chilli sauce','Nithai Rice'))</v>
      </c>
    </row>
    <row r="599" customFormat="false" ht="13.8" hidden="false" customHeight="false" outlineLevel="0" collapsed="false">
      <c r="G599" s="80" t="n">
        <v>599</v>
      </c>
      <c r="I599" s="165" t="s">
        <v>259</v>
      </c>
      <c r="J599" s="142" t="s">
        <v>54</v>
      </c>
      <c r="M599" s="69" t="n">
        <v>1.5</v>
      </c>
      <c r="N599" s="69" t="s">
        <v>20</v>
      </c>
      <c r="R599" s="82" t="str">
        <f aca="false">VLOOKUP(J599,ingredient!$N$4:$O$553,2,0)</f>
        <v>black pepper</v>
      </c>
      <c r="U599" s="81" t="str">
        <f aca="false">I599</f>
        <v>Nithai Rice</v>
      </c>
      <c r="V599" s="81" t="n">
        <f aca="false">VLOOKUP(U599,recipe_ingred_list!$A$2:$B$300,2,0)</f>
        <v>50</v>
      </c>
      <c r="W599" s="81" t="str">
        <f aca="false">"/recipes/"&amp;VLOOKUP(U599,recipe_ingred_list!$A$2:$C$300,3,0)&amp;"/detail/"</f>
        <v>/recipes/nithai-rice/detail/</v>
      </c>
      <c r="X599" s="81" t="str">
        <f aca="false">J599</f>
        <v>Black Pepper pwd</v>
      </c>
      <c r="Y599" s="81" t="str">
        <f aca="false">R599</f>
        <v>black pepper</v>
      </c>
      <c r="Z599" s="94" t="n">
        <f aca="false">VLOOKUP(Y599,recipe_ingred_list!$D$2:$E$500,2,0)</f>
        <v>31</v>
      </c>
      <c r="AA599" s="61" t="n">
        <f aca="false">K599</f>
        <v>0</v>
      </c>
      <c r="AB599" s="61" t="n">
        <f aca="false">L599</f>
        <v>0</v>
      </c>
      <c r="AC599" s="61" t="n">
        <f aca="false">VLOOKUP(AB599,recipe_ingred_list!$K$2:$M$7,3,0)</f>
        <v>2</v>
      </c>
      <c r="AD599" s="61" t="n">
        <f aca="false">M599</f>
        <v>1.5</v>
      </c>
      <c r="AE599" s="61" t="str">
        <f aca="false">N599</f>
        <v>cup</v>
      </c>
      <c r="AF599" s="61" t="n">
        <f aca="false">VLOOKUP(AE599,recipe_ingred_list!$K$16:$M$25,3,0)</f>
        <v>5</v>
      </c>
      <c r="AG599" s="61" t="n">
        <f aca="false">O599</f>
        <v>0</v>
      </c>
      <c r="AH599" s="61" t="n">
        <f aca="false">P599</f>
        <v>0</v>
      </c>
      <c r="AI599" s="61" t="n">
        <f aca="false">VLOOKUP(AH599,recipe_ingred_list!$K$29:$M$34,3,0)</f>
        <v>3</v>
      </c>
      <c r="AJ599" s="61" t="str">
        <f aca="false">IF(Q599="","",Q599)</f>
        <v/>
      </c>
      <c r="AK599" s="61" t="n">
        <f aca="false">AK598+1</f>
        <v>599</v>
      </c>
      <c r="AL599" s="61" t="str">
        <f aca="false">Y599</f>
        <v>black pepper</v>
      </c>
      <c r="AM599" s="81" t="str">
        <f aca="false">"a = Client().post('"&amp;W599&amp;"', {'recipe' : '"&amp;V599&amp;"', 'ingredient' : '"&amp;Z599&amp;"', 'name' : '"&amp;X599&amp;"', 'mass_unit' : '"&amp;AC599&amp;"', 'mass_quantity' : '"&amp;ROUND(AA599,3)&amp;"', 'volume_unit' : '"&amp;AF599&amp;"', 'volume_quantity' : '"&amp;ROUND(AD599,3)&amp;"', 'pieces_unit' : '"&amp;AI599&amp;"', 'pieces_quantity' : '"&amp;ROUND(AG599,3)&amp;"', 'cooking_notes' : '"&amp;AJ599&amp;"'}).status_code; print('%s :: %s :: %s :: %s :: %s' %(a,"&amp;G599&amp;",'"&amp;X599&amp;"','"&amp;Y599&amp;"','"&amp;U599&amp;"'))"</f>
        <v>a = Client().post('/recipes/nithai-rice/detail/', {'recipe' : '50', 'ingredient' : '31', 'name' : 'Black Pepper pwd', 'mass_unit' : '2', 'mass_quantity' : '0', 'volume_unit' : '5', 'volume_quantity' : '1.5', 'pieces_unit' : '3', 'pieces_quantity' : '0', 'cooking_notes' : ''}).status_code; print('%s :: %s :: %s :: %s :: %s' %(a,599,'Black Pepper pwd','black pepper','Nithai Rice'))</v>
      </c>
    </row>
    <row r="600" customFormat="false" ht="13.8" hidden="false" customHeight="false" outlineLevel="0" collapsed="false">
      <c r="G600" s="80" t="n">
        <v>600</v>
      </c>
      <c r="I600" s="165" t="s">
        <v>259</v>
      </c>
      <c r="J600" s="142" t="s">
        <v>709</v>
      </c>
      <c r="K600" s="69" t="n">
        <v>3</v>
      </c>
      <c r="L600" s="69" t="s">
        <v>7</v>
      </c>
      <c r="M600" s="69" t="n">
        <v>3.5</v>
      </c>
      <c r="N600" s="69" t="s">
        <v>13</v>
      </c>
      <c r="R600" s="82" t="str">
        <f aca="false">VLOOKUP(J600,ingredient!$N$4:$O$553,2,0)</f>
        <v>red capsicum</v>
      </c>
      <c r="U600" s="81" t="str">
        <f aca="false">I600</f>
        <v>Nithai Rice</v>
      </c>
      <c r="V600" s="81" t="n">
        <f aca="false">VLOOKUP(U600,recipe_ingred_list!$A$2:$B$300,2,0)</f>
        <v>50</v>
      </c>
      <c r="W600" s="81" t="str">
        <f aca="false">"/recipes/"&amp;VLOOKUP(U600,recipe_ingred_list!$A$2:$C$300,3,0)&amp;"/detail/"</f>
        <v>/recipes/nithai-rice/detail/</v>
      </c>
      <c r="X600" s="81" t="str">
        <f aca="false">J600</f>
        <v>Red Capsicum</v>
      </c>
      <c r="Y600" s="81" t="str">
        <f aca="false">R600</f>
        <v>red capsicum</v>
      </c>
      <c r="Z600" s="94" t="n">
        <f aca="false">VLOOKUP(Y600,recipe_ingred_list!$D$2:$E$500,2,0)</f>
        <v>168</v>
      </c>
      <c r="AA600" s="61" t="n">
        <f aca="false">K600</f>
        <v>3</v>
      </c>
      <c r="AB600" s="61" t="str">
        <f aca="false">L600</f>
        <v>kg</v>
      </c>
      <c r="AC600" s="61" t="n">
        <f aca="false">VLOOKUP(AB600,recipe_ingred_list!$K$2:$M$7,3,0)</f>
        <v>2</v>
      </c>
      <c r="AD600" s="61" t="n">
        <f aca="false">M600</f>
        <v>3.5</v>
      </c>
      <c r="AE600" s="61" t="str">
        <f aca="false">N600</f>
        <v>ltr</v>
      </c>
      <c r="AF600" s="61" t="n">
        <f aca="false">VLOOKUP(AE600,recipe_ingred_list!$K$16:$M$25,3,0)</f>
        <v>1</v>
      </c>
      <c r="AG600" s="61" t="n">
        <f aca="false">O600</f>
        <v>0</v>
      </c>
      <c r="AH600" s="61" t="n">
        <f aca="false">P600</f>
        <v>0</v>
      </c>
      <c r="AI600" s="61" t="n">
        <f aca="false">VLOOKUP(AH600,recipe_ingred_list!$K$29:$M$34,3,0)</f>
        <v>3</v>
      </c>
      <c r="AJ600" s="61" t="str">
        <f aca="false">IF(Q600="","",Q600)</f>
        <v/>
      </c>
      <c r="AK600" s="61" t="n">
        <f aca="false">AK599+1</f>
        <v>600</v>
      </c>
      <c r="AL600" s="61" t="str">
        <f aca="false">Y600</f>
        <v>red capsicum</v>
      </c>
      <c r="AM600" s="81" t="str">
        <f aca="false">"a = Client().post('"&amp;W600&amp;"', {'recipe' : '"&amp;V600&amp;"', 'ingredient' : '"&amp;Z600&amp;"', 'name' : '"&amp;X600&amp;"', 'mass_unit' : '"&amp;AC600&amp;"', 'mass_quantity' : '"&amp;ROUND(AA600,3)&amp;"', 'volume_unit' : '"&amp;AF600&amp;"', 'volume_quantity' : '"&amp;ROUND(AD600,3)&amp;"', 'pieces_unit' : '"&amp;AI600&amp;"', 'pieces_quantity' : '"&amp;ROUND(AG600,3)&amp;"', 'cooking_notes' : '"&amp;AJ600&amp;"'}).status_code; print('%s :: %s :: %s :: %s :: %s' %(a,"&amp;G600&amp;",'"&amp;X600&amp;"','"&amp;Y600&amp;"','"&amp;U600&amp;"'))"</f>
        <v>a = Client().post('/recipes/nithai-rice/detail/', {'recipe' : '50', 'ingredient' : '168', 'name' : 'Red Capsicum', 'mass_unit' : '2', 'mass_quantity' : '3', 'volume_unit' : '1', 'volume_quantity' : '3.5', 'pieces_unit' : '3', 'pieces_quantity' : '0', 'cooking_notes' : ''}).status_code; print('%s :: %s :: %s :: %s :: %s' %(a,600,'Red Capsicum','red capsicum','Nithai Rice'))</v>
      </c>
    </row>
    <row r="601" customFormat="false" ht="13.8" hidden="false" customHeight="false" outlineLevel="0" collapsed="false">
      <c r="G601" s="80" t="n">
        <v>601</v>
      </c>
      <c r="I601" s="165" t="s">
        <v>259</v>
      </c>
      <c r="J601" s="166"/>
      <c r="M601" s="167"/>
      <c r="N601" s="167"/>
      <c r="R601" s="82" t="e">
        <f aca="false">VLOOKUP(J601,ingredient!$N$4:$O$553,2,0)</f>
        <v>#N/A</v>
      </c>
      <c r="U601" s="81" t="str">
        <f aca="false">I601</f>
        <v>Nithai Rice</v>
      </c>
      <c r="V601" s="81" t="n">
        <f aca="false">VLOOKUP(U601,recipe_ingred_list!$A$2:$B$300,2,0)</f>
        <v>50</v>
      </c>
      <c r="W601" s="81" t="str">
        <f aca="false">"/recipes/"&amp;VLOOKUP(U601,recipe_ingred_list!$A$2:$C$300,3,0)&amp;"/detail/"</f>
        <v>/recipes/nithai-rice/detail/</v>
      </c>
      <c r="X601" s="81" t="n">
        <f aca="false">J601</f>
        <v>0</v>
      </c>
      <c r="Y601" s="81" t="e">
        <f aca="false">R601</f>
        <v>#N/A</v>
      </c>
      <c r="Z601" s="94" t="e">
        <f aca="false">VLOOKUP(Y601,recipe_ingred_list!$D$2:$E$500,2,0)</f>
        <v>#N/A</v>
      </c>
      <c r="AA601" s="61" t="n">
        <f aca="false">K601</f>
        <v>0</v>
      </c>
      <c r="AB601" s="61" t="n">
        <f aca="false">L601</f>
        <v>0</v>
      </c>
      <c r="AC601" s="61" t="n">
        <f aca="false">VLOOKUP(AB601,recipe_ingred_list!$K$2:$M$7,3,0)</f>
        <v>2</v>
      </c>
      <c r="AD601" s="61" t="n">
        <f aca="false">M601</f>
        <v>0</v>
      </c>
      <c r="AE601" s="61" t="n">
        <f aca="false">N601</f>
        <v>0</v>
      </c>
      <c r="AF601" s="61" t="n">
        <f aca="false">VLOOKUP(AE601,recipe_ingred_list!$K$16:$M$25,3,0)</f>
        <v>1</v>
      </c>
      <c r="AG601" s="61" t="n">
        <f aca="false">O601</f>
        <v>0</v>
      </c>
      <c r="AH601" s="61" t="n">
        <f aca="false">P601</f>
        <v>0</v>
      </c>
      <c r="AI601" s="61" t="n">
        <f aca="false">VLOOKUP(AH601,recipe_ingred_list!$K$29:$M$34,3,0)</f>
        <v>3</v>
      </c>
      <c r="AJ601" s="61" t="str">
        <f aca="false">IF(Q601="","",Q601)</f>
        <v/>
      </c>
      <c r="AK601" s="61" t="n">
        <f aca="false">AK600+1</f>
        <v>601</v>
      </c>
      <c r="AL601" s="61" t="e">
        <f aca="false">Y601</f>
        <v>#N/A</v>
      </c>
      <c r="AM601" s="81" t="e">
        <f aca="false">"a = Client().post('"&amp;W601&amp;"', {'recipe' : '"&amp;V601&amp;"', 'ingredient' : '"&amp;Z601&amp;"', 'name' : '"&amp;X601&amp;"', 'mass_unit' : '"&amp;AC601&amp;"', 'mass_quantity' : '"&amp;ROUND(AA601,3)&amp;"', 'volume_unit' : '"&amp;AF601&amp;"', 'volume_quantity' : '"&amp;ROUND(AD601,3)&amp;"', 'pieces_unit' : '"&amp;AI601&amp;"', 'pieces_quantity' : '"&amp;ROUND(AG601,3)&amp;"', 'cooking_notes' : '"&amp;AJ601&amp;"'}).status_code; print('%s :: %s :: %s :: %s :: %s' %(a,"&amp;G601&amp;",'"&amp;X601&amp;"','"&amp;Y601&amp;"','"&amp;U601&amp;"'))"</f>
        <v>#N/A</v>
      </c>
    </row>
    <row r="602" customFormat="false" ht="13.8" hidden="false" customHeight="false" outlineLevel="0" collapsed="false">
      <c r="G602" s="80" t="n">
        <v>602</v>
      </c>
      <c r="I602" s="165" t="s">
        <v>259</v>
      </c>
      <c r="J602" s="142" t="s">
        <v>710</v>
      </c>
      <c r="K602" s="69" t="n">
        <v>2.5</v>
      </c>
      <c r="L602" s="69" t="s">
        <v>7</v>
      </c>
      <c r="M602" s="69" t="n">
        <v>3</v>
      </c>
      <c r="N602" s="69" t="s">
        <v>13</v>
      </c>
      <c r="R602" s="82" t="str">
        <f aca="false">VLOOKUP(J602,ingredient!$N$4:$O$553,2,0)</f>
        <v>yellow capsicum</v>
      </c>
      <c r="U602" s="81" t="str">
        <f aca="false">I602</f>
        <v>Nithai Rice</v>
      </c>
      <c r="V602" s="81" t="n">
        <f aca="false">VLOOKUP(U602,recipe_ingred_list!$A$2:$B$300,2,0)</f>
        <v>50</v>
      </c>
      <c r="W602" s="81" t="str">
        <f aca="false">"/recipes/"&amp;VLOOKUP(U602,recipe_ingred_list!$A$2:$C$300,3,0)&amp;"/detail/"</f>
        <v>/recipes/nithai-rice/detail/</v>
      </c>
      <c r="X602" s="81" t="str">
        <f aca="false">J602</f>
        <v>Yellow Capsicum </v>
      </c>
      <c r="Y602" s="81" t="str">
        <f aca="false">R602</f>
        <v>yellow capsicum</v>
      </c>
      <c r="Z602" s="94" t="n">
        <f aca="false">VLOOKUP(Y602,recipe_ingred_list!$D$2:$E$500,2,0)</f>
        <v>209</v>
      </c>
      <c r="AA602" s="61" t="n">
        <f aca="false">K602</f>
        <v>2.5</v>
      </c>
      <c r="AB602" s="61" t="str">
        <f aca="false">L602</f>
        <v>kg</v>
      </c>
      <c r="AC602" s="61" t="n">
        <f aca="false">VLOOKUP(AB602,recipe_ingred_list!$K$2:$M$7,3,0)</f>
        <v>2</v>
      </c>
      <c r="AD602" s="61" t="n">
        <f aca="false">M602</f>
        <v>3</v>
      </c>
      <c r="AE602" s="61" t="str">
        <f aca="false">N602</f>
        <v>ltr</v>
      </c>
      <c r="AF602" s="61" t="n">
        <f aca="false">VLOOKUP(AE602,recipe_ingred_list!$K$16:$M$25,3,0)</f>
        <v>1</v>
      </c>
      <c r="AG602" s="61" t="n">
        <f aca="false">O602</f>
        <v>0</v>
      </c>
      <c r="AH602" s="61" t="n">
        <f aca="false">P602</f>
        <v>0</v>
      </c>
      <c r="AI602" s="61" t="n">
        <f aca="false">VLOOKUP(AH602,recipe_ingred_list!$K$29:$M$34,3,0)</f>
        <v>3</v>
      </c>
      <c r="AJ602" s="61" t="str">
        <f aca="false">IF(Q602="","",Q602)</f>
        <v/>
      </c>
      <c r="AK602" s="61" t="n">
        <f aca="false">AK601+1</f>
        <v>602</v>
      </c>
      <c r="AL602" s="61" t="str">
        <f aca="false">Y602</f>
        <v>yellow capsicum</v>
      </c>
      <c r="AM602" s="81" t="str">
        <f aca="false">"a = Client().post('"&amp;W602&amp;"', {'recipe' : '"&amp;V602&amp;"', 'ingredient' : '"&amp;Z602&amp;"', 'name' : '"&amp;X602&amp;"', 'mass_unit' : '"&amp;AC602&amp;"', 'mass_quantity' : '"&amp;ROUND(AA602,3)&amp;"', 'volume_unit' : '"&amp;AF602&amp;"', 'volume_quantity' : '"&amp;ROUND(AD602,3)&amp;"', 'pieces_unit' : '"&amp;AI602&amp;"', 'pieces_quantity' : '"&amp;ROUND(AG602,3)&amp;"', 'cooking_notes' : '"&amp;AJ602&amp;"'}).status_code; print('%s :: %s :: %s :: %s :: %s' %(a,"&amp;G602&amp;",'"&amp;X602&amp;"','"&amp;Y602&amp;"','"&amp;U602&amp;"'))"</f>
        <v>a = Client().post('/recipes/nithai-rice/detail/', {'recipe' : '50', 'ingredient' : '209', 'name' : 'Yellow Capsicum ', 'mass_unit' : '2', 'mass_quantity' : '2.5', 'volume_unit' : '1', 'volume_quantity' : '3', 'pieces_unit' : '3', 'pieces_quantity' : '0', 'cooking_notes' : ''}).status_code; print('%s :: %s :: %s :: %s :: %s' %(a,602,'Yellow Capsicum ','yellow capsicum','Nithai Rice'))</v>
      </c>
    </row>
    <row r="603" customFormat="false" ht="13.8" hidden="false" customHeight="false" outlineLevel="0" collapsed="false">
      <c r="G603" s="80" t="n">
        <v>603</v>
      </c>
      <c r="I603" s="165" t="s">
        <v>259</v>
      </c>
      <c r="J603" s="166"/>
      <c r="M603" s="167"/>
      <c r="N603" s="167"/>
      <c r="R603" s="82" t="e">
        <f aca="false">VLOOKUP(J603,ingredient!$N$4:$O$553,2,0)</f>
        <v>#N/A</v>
      </c>
      <c r="U603" s="81" t="str">
        <f aca="false">I603</f>
        <v>Nithai Rice</v>
      </c>
      <c r="V603" s="81" t="n">
        <f aca="false">VLOOKUP(U603,recipe_ingred_list!$A$2:$B$300,2,0)</f>
        <v>50</v>
      </c>
      <c r="W603" s="81" t="str">
        <f aca="false">"/recipes/"&amp;VLOOKUP(U603,recipe_ingred_list!$A$2:$C$300,3,0)&amp;"/detail/"</f>
        <v>/recipes/nithai-rice/detail/</v>
      </c>
      <c r="X603" s="81" t="n">
        <f aca="false">J603</f>
        <v>0</v>
      </c>
      <c r="Y603" s="81" t="e">
        <f aca="false">R603</f>
        <v>#N/A</v>
      </c>
      <c r="Z603" s="94" t="e">
        <f aca="false">VLOOKUP(Y603,recipe_ingred_list!$D$2:$E$500,2,0)</f>
        <v>#N/A</v>
      </c>
      <c r="AA603" s="61" t="n">
        <f aca="false">K603</f>
        <v>0</v>
      </c>
      <c r="AB603" s="61" t="n">
        <f aca="false">L603</f>
        <v>0</v>
      </c>
      <c r="AC603" s="61" t="n">
        <f aca="false">VLOOKUP(AB603,recipe_ingred_list!$K$2:$M$7,3,0)</f>
        <v>2</v>
      </c>
      <c r="AD603" s="61" t="n">
        <f aca="false">M603</f>
        <v>0</v>
      </c>
      <c r="AE603" s="61" t="n">
        <f aca="false">N603</f>
        <v>0</v>
      </c>
      <c r="AF603" s="61" t="n">
        <f aca="false">VLOOKUP(AE603,recipe_ingred_list!$K$16:$M$25,3,0)</f>
        <v>1</v>
      </c>
      <c r="AG603" s="61" t="n">
        <f aca="false">O603</f>
        <v>0</v>
      </c>
      <c r="AH603" s="61" t="n">
        <f aca="false">P603</f>
        <v>0</v>
      </c>
      <c r="AI603" s="61" t="n">
        <f aca="false">VLOOKUP(AH603,recipe_ingred_list!$K$29:$M$34,3,0)</f>
        <v>3</v>
      </c>
      <c r="AJ603" s="61" t="str">
        <f aca="false">IF(Q603="","",Q603)</f>
        <v/>
      </c>
      <c r="AK603" s="61" t="n">
        <f aca="false">AK602+1</f>
        <v>603</v>
      </c>
      <c r="AL603" s="61" t="e">
        <f aca="false">Y603</f>
        <v>#N/A</v>
      </c>
      <c r="AM603" s="81" t="e">
        <f aca="false">"a = Client().post('"&amp;W603&amp;"', {'recipe' : '"&amp;V603&amp;"', 'ingredient' : '"&amp;Z603&amp;"', 'name' : '"&amp;X603&amp;"', 'mass_unit' : '"&amp;AC603&amp;"', 'mass_quantity' : '"&amp;ROUND(AA603,3)&amp;"', 'volume_unit' : '"&amp;AF603&amp;"', 'volume_quantity' : '"&amp;ROUND(AD603,3)&amp;"', 'pieces_unit' : '"&amp;AI603&amp;"', 'pieces_quantity' : '"&amp;ROUND(AG603,3)&amp;"', 'cooking_notes' : '"&amp;AJ603&amp;"'}).status_code; print('%s :: %s :: %s :: %s :: %s' %(a,"&amp;G603&amp;",'"&amp;X603&amp;"','"&amp;Y603&amp;"','"&amp;U603&amp;"'))"</f>
        <v>#N/A</v>
      </c>
    </row>
    <row r="604" customFormat="false" ht="13.8" hidden="false" customHeight="false" outlineLevel="0" collapsed="false">
      <c r="G604" s="80" t="n">
        <v>604</v>
      </c>
      <c r="I604" s="165" t="s">
        <v>259</v>
      </c>
      <c r="J604" s="142" t="s">
        <v>711</v>
      </c>
      <c r="K604" s="69" t="n">
        <v>2.5</v>
      </c>
      <c r="L604" s="69" t="s">
        <v>7</v>
      </c>
      <c r="M604" s="69" t="n">
        <v>3.5</v>
      </c>
      <c r="N604" s="69" t="s">
        <v>13</v>
      </c>
      <c r="R604" s="82" t="str">
        <f aca="false">VLOOKUP(J604,ingredient!$N$4:$O$553,2,0)</f>
        <v>green capsicum</v>
      </c>
      <c r="U604" s="81" t="str">
        <f aca="false">I604</f>
        <v>Nithai Rice</v>
      </c>
      <c r="V604" s="81" t="n">
        <f aca="false">VLOOKUP(U604,recipe_ingred_list!$A$2:$B$300,2,0)</f>
        <v>50</v>
      </c>
      <c r="W604" s="81" t="str">
        <f aca="false">"/recipes/"&amp;VLOOKUP(U604,recipe_ingred_list!$A$2:$C$300,3,0)&amp;"/detail/"</f>
        <v>/recipes/nithai-rice/detail/</v>
      </c>
      <c r="X604" s="81" t="str">
        <f aca="false">J604</f>
        <v>Green Capsicum </v>
      </c>
      <c r="Y604" s="81" t="str">
        <f aca="false">R604</f>
        <v>green capsicum</v>
      </c>
      <c r="Z604" s="94" t="n">
        <f aca="false">VLOOKUP(Y604,recipe_ingred_list!$D$2:$E$500,2,0)</f>
        <v>84</v>
      </c>
      <c r="AA604" s="61" t="n">
        <f aca="false">K604</f>
        <v>2.5</v>
      </c>
      <c r="AB604" s="61" t="str">
        <f aca="false">L604</f>
        <v>kg</v>
      </c>
      <c r="AC604" s="61" t="n">
        <f aca="false">VLOOKUP(AB604,recipe_ingred_list!$K$2:$M$7,3,0)</f>
        <v>2</v>
      </c>
      <c r="AD604" s="61" t="n">
        <f aca="false">M604</f>
        <v>3.5</v>
      </c>
      <c r="AE604" s="61" t="str">
        <f aca="false">N604</f>
        <v>ltr</v>
      </c>
      <c r="AF604" s="61" t="n">
        <f aca="false">VLOOKUP(AE604,recipe_ingred_list!$K$16:$M$25,3,0)</f>
        <v>1</v>
      </c>
      <c r="AG604" s="61" t="n">
        <f aca="false">O604</f>
        <v>0</v>
      </c>
      <c r="AH604" s="61" t="n">
        <f aca="false">P604</f>
        <v>0</v>
      </c>
      <c r="AI604" s="61" t="n">
        <f aca="false">VLOOKUP(AH604,recipe_ingred_list!$K$29:$M$34,3,0)</f>
        <v>3</v>
      </c>
      <c r="AJ604" s="61" t="str">
        <f aca="false">IF(Q604="","",Q604)</f>
        <v/>
      </c>
      <c r="AK604" s="61" t="n">
        <f aca="false">AK603+1</f>
        <v>604</v>
      </c>
      <c r="AL604" s="61" t="str">
        <f aca="false">Y604</f>
        <v>green capsicum</v>
      </c>
      <c r="AM604" s="81" t="str">
        <f aca="false">"a = Client().post('"&amp;W604&amp;"', {'recipe' : '"&amp;V604&amp;"', 'ingredient' : '"&amp;Z604&amp;"', 'name' : '"&amp;X604&amp;"', 'mass_unit' : '"&amp;AC604&amp;"', 'mass_quantity' : '"&amp;ROUND(AA604,3)&amp;"', 'volume_unit' : '"&amp;AF604&amp;"', 'volume_quantity' : '"&amp;ROUND(AD604,3)&amp;"', 'pieces_unit' : '"&amp;AI604&amp;"', 'pieces_quantity' : '"&amp;ROUND(AG604,3)&amp;"', 'cooking_notes' : '"&amp;AJ604&amp;"'}).status_code; print('%s :: %s :: %s :: %s :: %s' %(a,"&amp;G604&amp;",'"&amp;X604&amp;"','"&amp;Y604&amp;"','"&amp;U604&amp;"'))"</f>
        <v>a = Client().post('/recipes/nithai-rice/detail/', {'recipe' : '50', 'ingredient' : '84', 'name' : 'Green Capsicum ', 'mass_unit' : '2', 'mass_quantity' : '2.5', 'volume_unit' : '1', 'volume_quantity' : '3.5', 'pieces_unit' : '3', 'pieces_quantity' : '0', 'cooking_notes' : ''}).status_code; print('%s :: %s :: %s :: %s :: %s' %(a,604,'Green Capsicum ','green capsicum','Nithai Rice'))</v>
      </c>
    </row>
    <row r="605" customFormat="false" ht="13.8" hidden="false" customHeight="false" outlineLevel="0" collapsed="false">
      <c r="G605" s="80" t="n">
        <v>605</v>
      </c>
      <c r="I605" s="165" t="s">
        <v>259</v>
      </c>
      <c r="J605" s="166"/>
      <c r="M605" s="167"/>
      <c r="N605" s="167"/>
      <c r="R605" s="82" t="e">
        <f aca="false">VLOOKUP(J605,ingredient!$N$4:$O$553,2,0)</f>
        <v>#N/A</v>
      </c>
      <c r="U605" s="81" t="str">
        <f aca="false">I605</f>
        <v>Nithai Rice</v>
      </c>
      <c r="V605" s="81" t="n">
        <f aca="false">VLOOKUP(U605,recipe_ingred_list!$A$2:$B$300,2,0)</f>
        <v>50</v>
      </c>
      <c r="W605" s="81" t="str">
        <f aca="false">"/recipes/"&amp;VLOOKUP(U605,recipe_ingred_list!$A$2:$C$300,3,0)&amp;"/detail/"</f>
        <v>/recipes/nithai-rice/detail/</v>
      </c>
      <c r="X605" s="81" t="n">
        <f aca="false">J605</f>
        <v>0</v>
      </c>
      <c r="Y605" s="81" t="e">
        <f aca="false">R605</f>
        <v>#N/A</v>
      </c>
      <c r="Z605" s="94" t="e">
        <f aca="false">VLOOKUP(Y605,recipe_ingred_list!$D$2:$E$500,2,0)</f>
        <v>#N/A</v>
      </c>
      <c r="AA605" s="61" t="n">
        <f aca="false">K605</f>
        <v>0</v>
      </c>
      <c r="AB605" s="61" t="n">
        <f aca="false">L605</f>
        <v>0</v>
      </c>
      <c r="AC605" s="61" t="n">
        <f aca="false">VLOOKUP(AB605,recipe_ingred_list!$K$2:$M$7,3,0)</f>
        <v>2</v>
      </c>
      <c r="AD605" s="61" t="n">
        <f aca="false">M605</f>
        <v>0</v>
      </c>
      <c r="AE605" s="61" t="n">
        <f aca="false">N605</f>
        <v>0</v>
      </c>
      <c r="AF605" s="61" t="n">
        <f aca="false">VLOOKUP(AE605,recipe_ingred_list!$K$16:$M$25,3,0)</f>
        <v>1</v>
      </c>
      <c r="AG605" s="61" t="n">
        <f aca="false">O605</f>
        <v>0</v>
      </c>
      <c r="AH605" s="61" t="n">
        <f aca="false">P605</f>
        <v>0</v>
      </c>
      <c r="AI605" s="61" t="n">
        <f aca="false">VLOOKUP(AH605,recipe_ingred_list!$K$29:$M$34,3,0)</f>
        <v>3</v>
      </c>
      <c r="AJ605" s="61" t="str">
        <f aca="false">IF(Q605="","",Q605)</f>
        <v/>
      </c>
      <c r="AK605" s="61" t="n">
        <f aca="false">AK604+1</f>
        <v>605</v>
      </c>
      <c r="AL605" s="61" t="e">
        <f aca="false">Y605</f>
        <v>#N/A</v>
      </c>
      <c r="AM605" s="81" t="e">
        <f aca="false">"a = Client().post('"&amp;W605&amp;"', {'recipe' : '"&amp;V605&amp;"', 'ingredient' : '"&amp;Z605&amp;"', 'name' : '"&amp;X605&amp;"', 'mass_unit' : '"&amp;AC605&amp;"', 'mass_quantity' : '"&amp;ROUND(AA605,3)&amp;"', 'volume_unit' : '"&amp;AF605&amp;"', 'volume_quantity' : '"&amp;ROUND(AD605,3)&amp;"', 'pieces_unit' : '"&amp;AI605&amp;"', 'pieces_quantity' : '"&amp;ROUND(AG605,3)&amp;"', 'cooking_notes' : '"&amp;AJ605&amp;"'}).status_code; print('%s :: %s :: %s :: %s :: %s' %(a,"&amp;G605&amp;",'"&amp;X605&amp;"','"&amp;Y605&amp;"','"&amp;U605&amp;"'))"</f>
        <v>#N/A</v>
      </c>
    </row>
    <row r="606" customFormat="false" ht="13.8" hidden="false" customHeight="false" outlineLevel="0" collapsed="false">
      <c r="G606" s="80" t="n">
        <v>606</v>
      </c>
      <c r="I606" s="165" t="s">
        <v>259</v>
      </c>
      <c r="J606" s="142" t="s">
        <v>655</v>
      </c>
      <c r="K606" s="69" t="n">
        <v>2</v>
      </c>
      <c r="L606" s="69" t="s">
        <v>7</v>
      </c>
      <c r="M606" s="69" t="n">
        <v>3</v>
      </c>
      <c r="N606" s="69" t="s">
        <v>13</v>
      </c>
      <c r="R606" s="82" t="str">
        <f aca="false">VLOOKUP(J606,ingredient!$N$4:$O$553,2,0)</f>
        <v>beans</v>
      </c>
      <c r="U606" s="81" t="str">
        <f aca="false">I606</f>
        <v>Nithai Rice</v>
      </c>
      <c r="V606" s="81" t="n">
        <f aca="false">VLOOKUP(U606,recipe_ingred_list!$A$2:$B$300,2,0)</f>
        <v>50</v>
      </c>
      <c r="W606" s="81" t="str">
        <f aca="false">"/recipes/"&amp;VLOOKUP(U606,recipe_ingred_list!$A$2:$C$300,3,0)&amp;"/detail/"</f>
        <v>/recipes/nithai-rice/detail/</v>
      </c>
      <c r="X606" s="81" t="str">
        <f aca="false">J606</f>
        <v>Beans</v>
      </c>
      <c r="Y606" s="81" t="str">
        <f aca="false">R606</f>
        <v>beans</v>
      </c>
      <c r="Z606" s="94" t="n">
        <f aca="false">VLOOKUP(Y606,recipe_ingred_list!$D$2:$E$500,2,0)</f>
        <v>27</v>
      </c>
      <c r="AA606" s="61" t="n">
        <f aca="false">K606</f>
        <v>2</v>
      </c>
      <c r="AB606" s="61" t="str">
        <f aca="false">L606</f>
        <v>kg</v>
      </c>
      <c r="AC606" s="61" t="n">
        <f aca="false">VLOOKUP(AB606,recipe_ingred_list!$K$2:$M$7,3,0)</f>
        <v>2</v>
      </c>
      <c r="AD606" s="61" t="n">
        <f aca="false">M606</f>
        <v>3</v>
      </c>
      <c r="AE606" s="61" t="str">
        <f aca="false">N606</f>
        <v>ltr</v>
      </c>
      <c r="AF606" s="61" t="n">
        <f aca="false">VLOOKUP(AE606,recipe_ingred_list!$K$16:$M$25,3,0)</f>
        <v>1</v>
      </c>
      <c r="AG606" s="61" t="n">
        <f aca="false">O606</f>
        <v>0</v>
      </c>
      <c r="AH606" s="61" t="n">
        <f aca="false">P606</f>
        <v>0</v>
      </c>
      <c r="AI606" s="61" t="n">
        <f aca="false">VLOOKUP(AH606,recipe_ingred_list!$K$29:$M$34,3,0)</f>
        <v>3</v>
      </c>
      <c r="AJ606" s="61" t="str">
        <f aca="false">IF(Q606="","",Q606)</f>
        <v/>
      </c>
      <c r="AK606" s="61" t="n">
        <f aca="false">AK605+1</f>
        <v>606</v>
      </c>
      <c r="AL606" s="61" t="str">
        <f aca="false">Y606</f>
        <v>beans</v>
      </c>
      <c r="AM606" s="81" t="str">
        <f aca="false">"a = Client().post('"&amp;W606&amp;"', {'recipe' : '"&amp;V606&amp;"', 'ingredient' : '"&amp;Z606&amp;"', 'name' : '"&amp;X606&amp;"', 'mass_unit' : '"&amp;AC606&amp;"', 'mass_quantity' : '"&amp;ROUND(AA606,3)&amp;"', 'volume_unit' : '"&amp;AF606&amp;"', 'volume_quantity' : '"&amp;ROUND(AD606,3)&amp;"', 'pieces_unit' : '"&amp;AI606&amp;"', 'pieces_quantity' : '"&amp;ROUND(AG606,3)&amp;"', 'cooking_notes' : '"&amp;AJ606&amp;"'}).status_code; print('%s :: %s :: %s :: %s :: %s' %(a,"&amp;G606&amp;",'"&amp;X606&amp;"','"&amp;Y606&amp;"','"&amp;U606&amp;"'))"</f>
        <v>a = Client().post('/recipes/nithai-rice/detail/', {'recipe' : '50', 'ingredient' : '27', 'name' : 'Beans', 'mass_unit' : '2', 'mass_quantity' : '2', 'volume_unit' : '1', 'volume_quantity' : '3', 'pieces_unit' : '3', 'pieces_quantity' : '0', 'cooking_notes' : ''}).status_code; print('%s :: %s :: %s :: %s :: %s' %(a,606,'Beans','beans','Nithai Rice'))</v>
      </c>
    </row>
    <row r="607" customFormat="false" ht="13.8" hidden="false" customHeight="false" outlineLevel="0" collapsed="false">
      <c r="G607" s="80" t="n">
        <v>607</v>
      </c>
      <c r="I607" s="165" t="s">
        <v>259</v>
      </c>
      <c r="J607" s="166"/>
      <c r="M607" s="167"/>
      <c r="N607" s="167"/>
      <c r="R607" s="82" t="e">
        <f aca="false">VLOOKUP(J607,ingredient!$N$4:$O$553,2,0)</f>
        <v>#N/A</v>
      </c>
      <c r="U607" s="81" t="str">
        <f aca="false">I607</f>
        <v>Nithai Rice</v>
      </c>
      <c r="V607" s="81" t="n">
        <f aca="false">VLOOKUP(U607,recipe_ingred_list!$A$2:$B$300,2,0)</f>
        <v>50</v>
      </c>
      <c r="W607" s="81" t="str">
        <f aca="false">"/recipes/"&amp;VLOOKUP(U607,recipe_ingred_list!$A$2:$C$300,3,0)&amp;"/detail/"</f>
        <v>/recipes/nithai-rice/detail/</v>
      </c>
      <c r="X607" s="81" t="n">
        <f aca="false">J607</f>
        <v>0</v>
      </c>
      <c r="Y607" s="81" t="e">
        <f aca="false">R607</f>
        <v>#N/A</v>
      </c>
      <c r="Z607" s="94" t="e">
        <f aca="false">VLOOKUP(Y607,recipe_ingred_list!$D$2:$E$500,2,0)</f>
        <v>#N/A</v>
      </c>
      <c r="AA607" s="61" t="n">
        <f aca="false">K607</f>
        <v>0</v>
      </c>
      <c r="AB607" s="61" t="n">
        <f aca="false">L607</f>
        <v>0</v>
      </c>
      <c r="AC607" s="61" t="n">
        <f aca="false">VLOOKUP(AB607,recipe_ingred_list!$K$2:$M$7,3,0)</f>
        <v>2</v>
      </c>
      <c r="AD607" s="61" t="n">
        <f aca="false">M607</f>
        <v>0</v>
      </c>
      <c r="AE607" s="61" t="n">
        <f aca="false">N607</f>
        <v>0</v>
      </c>
      <c r="AF607" s="61" t="n">
        <f aca="false">VLOOKUP(AE607,recipe_ingred_list!$K$16:$M$25,3,0)</f>
        <v>1</v>
      </c>
      <c r="AG607" s="61" t="n">
        <f aca="false">O607</f>
        <v>0</v>
      </c>
      <c r="AH607" s="61" t="n">
        <f aca="false">P607</f>
        <v>0</v>
      </c>
      <c r="AI607" s="61" t="n">
        <f aca="false">VLOOKUP(AH607,recipe_ingred_list!$K$29:$M$34,3,0)</f>
        <v>3</v>
      </c>
      <c r="AJ607" s="61" t="str">
        <f aca="false">IF(Q607="","",Q607)</f>
        <v/>
      </c>
      <c r="AK607" s="61" t="n">
        <f aca="false">AK606+1</f>
        <v>607</v>
      </c>
      <c r="AL607" s="61" t="e">
        <f aca="false">Y607</f>
        <v>#N/A</v>
      </c>
      <c r="AM607" s="81" t="e">
        <f aca="false">"a = Client().post('"&amp;W607&amp;"', {'recipe' : '"&amp;V607&amp;"', 'ingredient' : '"&amp;Z607&amp;"', 'name' : '"&amp;X607&amp;"', 'mass_unit' : '"&amp;AC607&amp;"', 'mass_quantity' : '"&amp;ROUND(AA607,3)&amp;"', 'volume_unit' : '"&amp;AF607&amp;"', 'volume_quantity' : '"&amp;ROUND(AD607,3)&amp;"', 'pieces_unit' : '"&amp;AI607&amp;"', 'pieces_quantity' : '"&amp;ROUND(AG607,3)&amp;"', 'cooking_notes' : '"&amp;AJ607&amp;"'}).status_code; print('%s :: %s :: %s :: %s :: %s' %(a,"&amp;G607&amp;",'"&amp;X607&amp;"','"&amp;Y607&amp;"','"&amp;U607&amp;"'))"</f>
        <v>#N/A</v>
      </c>
    </row>
    <row r="608" customFormat="false" ht="13.8" hidden="false" customHeight="false" outlineLevel="0" collapsed="false">
      <c r="G608" s="80" t="n">
        <v>608</v>
      </c>
      <c r="I608" s="165" t="s">
        <v>259</v>
      </c>
      <c r="J608" s="142" t="s">
        <v>712</v>
      </c>
      <c r="K608" s="69" t="n">
        <v>2</v>
      </c>
      <c r="L608" s="69" t="s">
        <v>7</v>
      </c>
      <c r="M608" s="69" t="n">
        <v>3</v>
      </c>
      <c r="N608" s="69" t="s">
        <v>13</v>
      </c>
      <c r="R608" s="82" t="str">
        <f aca="false">VLOOKUP(J608,ingredient!$N$4:$O$553,2,0)</f>
        <v>baby corn</v>
      </c>
      <c r="U608" s="81" t="str">
        <f aca="false">I608</f>
        <v>Nithai Rice</v>
      </c>
      <c r="V608" s="81" t="n">
        <f aca="false">VLOOKUP(U608,recipe_ingred_list!$A$2:$B$300,2,0)</f>
        <v>50</v>
      </c>
      <c r="W608" s="81" t="str">
        <f aca="false">"/recipes/"&amp;VLOOKUP(U608,recipe_ingred_list!$A$2:$C$300,3,0)&amp;"/detail/"</f>
        <v>/recipes/nithai-rice/detail/</v>
      </c>
      <c r="X608" s="81" t="str">
        <f aca="false">J608</f>
        <v>Baby Corn</v>
      </c>
      <c r="Y608" s="81" t="str">
        <f aca="false">R608</f>
        <v>baby corn</v>
      </c>
      <c r="Z608" s="94" t="n">
        <f aca="false">VLOOKUP(Y608,recipe_ingred_list!$D$2:$E$500,2,0)</f>
        <v>16</v>
      </c>
      <c r="AA608" s="61" t="n">
        <f aca="false">K608</f>
        <v>2</v>
      </c>
      <c r="AB608" s="61" t="str">
        <f aca="false">L608</f>
        <v>kg</v>
      </c>
      <c r="AC608" s="61" t="n">
        <f aca="false">VLOOKUP(AB608,recipe_ingred_list!$K$2:$M$7,3,0)</f>
        <v>2</v>
      </c>
      <c r="AD608" s="61" t="n">
        <f aca="false">M608</f>
        <v>3</v>
      </c>
      <c r="AE608" s="61" t="str">
        <f aca="false">N608</f>
        <v>ltr</v>
      </c>
      <c r="AF608" s="61" t="n">
        <f aca="false">VLOOKUP(AE608,recipe_ingred_list!$K$16:$M$25,3,0)</f>
        <v>1</v>
      </c>
      <c r="AG608" s="61" t="n">
        <f aca="false">O608</f>
        <v>0</v>
      </c>
      <c r="AH608" s="61" t="n">
        <f aca="false">P608</f>
        <v>0</v>
      </c>
      <c r="AI608" s="61" t="n">
        <f aca="false">VLOOKUP(AH608,recipe_ingred_list!$K$29:$M$34,3,0)</f>
        <v>3</v>
      </c>
      <c r="AJ608" s="61" t="str">
        <f aca="false">IF(Q608="","",Q608)</f>
        <v/>
      </c>
      <c r="AK608" s="61" t="n">
        <f aca="false">AK607+1</f>
        <v>608</v>
      </c>
      <c r="AL608" s="61" t="str">
        <f aca="false">Y608</f>
        <v>baby corn</v>
      </c>
      <c r="AM608" s="81" t="str">
        <f aca="false">"a = Client().post('"&amp;W608&amp;"', {'recipe' : '"&amp;V608&amp;"', 'ingredient' : '"&amp;Z608&amp;"', 'name' : '"&amp;X608&amp;"', 'mass_unit' : '"&amp;AC608&amp;"', 'mass_quantity' : '"&amp;ROUND(AA608,3)&amp;"', 'volume_unit' : '"&amp;AF608&amp;"', 'volume_quantity' : '"&amp;ROUND(AD608,3)&amp;"', 'pieces_unit' : '"&amp;AI608&amp;"', 'pieces_quantity' : '"&amp;ROUND(AG608,3)&amp;"', 'cooking_notes' : '"&amp;AJ608&amp;"'}).status_code; print('%s :: %s :: %s :: %s :: %s' %(a,"&amp;G608&amp;",'"&amp;X608&amp;"','"&amp;Y608&amp;"','"&amp;U608&amp;"'))"</f>
        <v>a = Client().post('/recipes/nithai-rice/detail/', {'recipe' : '50', 'ingredient' : '16', 'name' : 'Baby Corn', 'mass_unit' : '2', 'mass_quantity' : '2', 'volume_unit' : '1', 'volume_quantity' : '3', 'pieces_unit' : '3', 'pieces_quantity' : '0', 'cooking_notes' : ''}).status_code; print('%s :: %s :: %s :: %s :: %s' %(a,608,'Baby Corn','baby corn','Nithai Rice'))</v>
      </c>
    </row>
    <row r="609" customFormat="false" ht="13.8" hidden="false" customHeight="false" outlineLevel="0" collapsed="false">
      <c r="G609" s="80" t="n">
        <v>609</v>
      </c>
      <c r="I609" s="165" t="s">
        <v>259</v>
      </c>
      <c r="J609" s="166"/>
      <c r="M609" s="167"/>
      <c r="N609" s="167"/>
      <c r="R609" s="82" t="e">
        <f aca="false">VLOOKUP(J609,ingredient!$N$4:$O$553,2,0)</f>
        <v>#N/A</v>
      </c>
      <c r="U609" s="81" t="str">
        <f aca="false">I609</f>
        <v>Nithai Rice</v>
      </c>
      <c r="V609" s="81" t="n">
        <f aca="false">VLOOKUP(U609,recipe_ingred_list!$A$2:$B$300,2,0)</f>
        <v>50</v>
      </c>
      <c r="W609" s="81" t="str">
        <f aca="false">"/recipes/"&amp;VLOOKUP(U609,recipe_ingred_list!$A$2:$C$300,3,0)&amp;"/detail/"</f>
        <v>/recipes/nithai-rice/detail/</v>
      </c>
      <c r="X609" s="81" t="n">
        <f aca="false">J609</f>
        <v>0</v>
      </c>
      <c r="Y609" s="81" t="e">
        <f aca="false">R609</f>
        <v>#N/A</v>
      </c>
      <c r="Z609" s="94" t="e">
        <f aca="false">VLOOKUP(Y609,recipe_ingred_list!$D$2:$E$500,2,0)</f>
        <v>#N/A</v>
      </c>
      <c r="AA609" s="61" t="n">
        <f aca="false">K609</f>
        <v>0</v>
      </c>
      <c r="AB609" s="61" t="n">
        <f aca="false">L609</f>
        <v>0</v>
      </c>
      <c r="AC609" s="61" t="n">
        <f aca="false">VLOOKUP(AB609,recipe_ingred_list!$K$2:$M$7,3,0)</f>
        <v>2</v>
      </c>
      <c r="AD609" s="61" t="n">
        <f aca="false">M609</f>
        <v>0</v>
      </c>
      <c r="AE609" s="61" t="n">
        <f aca="false">N609</f>
        <v>0</v>
      </c>
      <c r="AF609" s="61" t="n">
        <f aca="false">VLOOKUP(AE609,recipe_ingred_list!$K$16:$M$25,3,0)</f>
        <v>1</v>
      </c>
      <c r="AG609" s="61" t="n">
        <f aca="false">O609</f>
        <v>0</v>
      </c>
      <c r="AH609" s="61" t="n">
        <f aca="false">P609</f>
        <v>0</v>
      </c>
      <c r="AI609" s="61" t="n">
        <f aca="false">VLOOKUP(AH609,recipe_ingred_list!$K$29:$M$34,3,0)</f>
        <v>3</v>
      </c>
      <c r="AJ609" s="61" t="str">
        <f aca="false">IF(Q609="","",Q609)</f>
        <v/>
      </c>
      <c r="AK609" s="61" t="n">
        <f aca="false">AK608+1</f>
        <v>609</v>
      </c>
      <c r="AL609" s="61" t="e">
        <f aca="false">Y609</f>
        <v>#N/A</v>
      </c>
      <c r="AM609" s="81" t="e">
        <f aca="false">"a = Client().post('"&amp;W609&amp;"', {'recipe' : '"&amp;V609&amp;"', 'ingredient' : '"&amp;Z609&amp;"', 'name' : '"&amp;X609&amp;"', 'mass_unit' : '"&amp;AC609&amp;"', 'mass_quantity' : '"&amp;ROUND(AA609,3)&amp;"', 'volume_unit' : '"&amp;AF609&amp;"', 'volume_quantity' : '"&amp;ROUND(AD609,3)&amp;"', 'pieces_unit' : '"&amp;AI609&amp;"', 'pieces_quantity' : '"&amp;ROUND(AG609,3)&amp;"', 'cooking_notes' : '"&amp;AJ609&amp;"'}).status_code; print('%s :: %s :: %s :: %s :: %s' %(a,"&amp;G609&amp;",'"&amp;X609&amp;"','"&amp;Y609&amp;"','"&amp;U609&amp;"'))"</f>
        <v>#N/A</v>
      </c>
    </row>
    <row r="610" customFormat="false" ht="13.8" hidden="false" customHeight="false" outlineLevel="0" collapsed="false">
      <c r="G610" s="80" t="n">
        <v>610</v>
      </c>
      <c r="I610" s="165" t="s">
        <v>259</v>
      </c>
      <c r="J610" s="142" t="s">
        <v>713</v>
      </c>
      <c r="M610" s="69" t="n">
        <v>1.5</v>
      </c>
      <c r="N610" s="69" t="s">
        <v>13</v>
      </c>
      <c r="R610" s="82" t="str">
        <f aca="false">VLOOKUP(J610,ingredient!$N$4:$O$553,2,0)</f>
        <v>evoo</v>
      </c>
      <c r="U610" s="81" t="str">
        <f aca="false">I610</f>
        <v>Nithai Rice</v>
      </c>
      <c r="V610" s="81" t="n">
        <f aca="false">VLOOKUP(U610,recipe_ingred_list!$A$2:$B$300,2,0)</f>
        <v>50</v>
      </c>
      <c r="W610" s="81" t="str">
        <f aca="false">"/recipes/"&amp;VLOOKUP(U610,recipe_ingred_list!$A$2:$C$300,3,0)&amp;"/detail/"</f>
        <v>/recipes/nithai-rice/detail/</v>
      </c>
      <c r="X610" s="81" t="str">
        <f aca="false">J610</f>
        <v>EVOO / Butter </v>
      </c>
      <c r="Y610" s="81" t="str">
        <f aca="false">R610</f>
        <v>evoo</v>
      </c>
      <c r="Z610" s="94" t="n">
        <f aca="false">VLOOKUP(Y610,recipe_ingred_list!$D$2:$E$500,2,0)</f>
        <v>76</v>
      </c>
      <c r="AA610" s="61" t="n">
        <f aca="false">K610</f>
        <v>0</v>
      </c>
      <c r="AB610" s="61" t="n">
        <f aca="false">L610</f>
        <v>0</v>
      </c>
      <c r="AC610" s="61" t="n">
        <f aca="false">VLOOKUP(AB610,recipe_ingred_list!$K$2:$M$7,3,0)</f>
        <v>2</v>
      </c>
      <c r="AD610" s="61" t="n">
        <f aca="false">M610</f>
        <v>1.5</v>
      </c>
      <c r="AE610" s="61" t="str">
        <f aca="false">N610</f>
        <v>ltr</v>
      </c>
      <c r="AF610" s="61" t="n">
        <f aca="false">VLOOKUP(AE610,recipe_ingred_list!$K$16:$M$25,3,0)</f>
        <v>1</v>
      </c>
      <c r="AG610" s="61" t="n">
        <f aca="false">O610</f>
        <v>0</v>
      </c>
      <c r="AH610" s="61" t="n">
        <f aca="false">P610</f>
        <v>0</v>
      </c>
      <c r="AI610" s="61" t="n">
        <f aca="false">VLOOKUP(AH610,recipe_ingred_list!$K$29:$M$34,3,0)</f>
        <v>3</v>
      </c>
      <c r="AJ610" s="61" t="str">
        <f aca="false">IF(Q610="","",Q610)</f>
        <v/>
      </c>
      <c r="AK610" s="61" t="n">
        <f aca="false">AK609+1</f>
        <v>610</v>
      </c>
      <c r="AL610" s="61" t="str">
        <f aca="false">Y610</f>
        <v>evoo</v>
      </c>
      <c r="AM610" s="81" t="str">
        <f aca="false">"a = Client().post('"&amp;W610&amp;"', {'recipe' : '"&amp;V610&amp;"', 'ingredient' : '"&amp;Z610&amp;"', 'name' : '"&amp;X610&amp;"', 'mass_unit' : '"&amp;AC610&amp;"', 'mass_quantity' : '"&amp;ROUND(AA610,3)&amp;"', 'volume_unit' : '"&amp;AF610&amp;"', 'volume_quantity' : '"&amp;ROUND(AD610,3)&amp;"', 'pieces_unit' : '"&amp;AI610&amp;"', 'pieces_quantity' : '"&amp;ROUND(AG610,3)&amp;"', 'cooking_notes' : '"&amp;AJ610&amp;"'}).status_code; print('%s :: %s :: %s :: %s :: %s' %(a,"&amp;G610&amp;",'"&amp;X610&amp;"','"&amp;Y610&amp;"','"&amp;U610&amp;"'))"</f>
        <v>a = Client().post('/recipes/nithai-rice/detail/', {'recipe' : '50', 'ingredient' : '76', 'name' : 'EVOO / Butter ', 'mass_unit' : '2', 'mass_quantity' : '0', 'volume_unit' : '1', 'volume_quantity' : '1.5', 'pieces_unit' : '3', 'pieces_quantity' : '0', 'cooking_notes' : ''}).status_code; print('%s :: %s :: %s :: %s :: %s' %(a,610,'EVOO / Butter ','evoo','Nithai Rice'))</v>
      </c>
    </row>
    <row r="611" customFormat="false" ht="13.8" hidden="false" customHeight="false" outlineLevel="0" collapsed="false">
      <c r="G611" s="80" t="n">
        <v>611</v>
      </c>
      <c r="I611" s="165" t="s">
        <v>259</v>
      </c>
      <c r="J611" s="142" t="s">
        <v>55</v>
      </c>
      <c r="K611" s="69" t="n">
        <v>0.5</v>
      </c>
      <c r="L611" s="69" t="s">
        <v>7</v>
      </c>
      <c r="R611" s="82" t="str">
        <f aca="false">VLOOKUP(J611,ingredient!$N$4:$O$553,2,0)</f>
        <v>basil leaves</v>
      </c>
      <c r="U611" s="81" t="str">
        <f aca="false">I611</f>
        <v>Nithai Rice</v>
      </c>
      <c r="V611" s="81" t="n">
        <f aca="false">VLOOKUP(U611,recipe_ingred_list!$A$2:$B$300,2,0)</f>
        <v>50</v>
      </c>
      <c r="W611" s="81" t="str">
        <f aca="false">"/recipes/"&amp;VLOOKUP(U611,recipe_ingred_list!$A$2:$C$300,3,0)&amp;"/detail/"</f>
        <v>/recipes/nithai-rice/detail/</v>
      </c>
      <c r="X611" s="81" t="str">
        <f aca="false">J611</f>
        <v>Basil Leaves</v>
      </c>
      <c r="Y611" s="81" t="str">
        <f aca="false">R611</f>
        <v>basil leaves</v>
      </c>
      <c r="Z611" s="94" t="n">
        <f aca="false">VLOOKUP(Y611,recipe_ingred_list!$D$2:$E$500,2,0)</f>
        <v>24</v>
      </c>
      <c r="AA611" s="61" t="n">
        <f aca="false">K611</f>
        <v>0.5</v>
      </c>
      <c r="AB611" s="61" t="str">
        <f aca="false">L611</f>
        <v>kg</v>
      </c>
      <c r="AC611" s="61" t="n">
        <f aca="false">VLOOKUP(AB611,recipe_ingred_list!$K$2:$M$7,3,0)</f>
        <v>2</v>
      </c>
      <c r="AD611" s="61" t="n">
        <f aca="false">M611</f>
        <v>0</v>
      </c>
      <c r="AE611" s="61" t="n">
        <f aca="false">N611</f>
        <v>0</v>
      </c>
      <c r="AF611" s="61" t="n">
        <f aca="false">VLOOKUP(AE611,recipe_ingred_list!$K$16:$M$25,3,0)</f>
        <v>1</v>
      </c>
      <c r="AG611" s="61" t="n">
        <f aca="false">O611</f>
        <v>0</v>
      </c>
      <c r="AH611" s="61" t="n">
        <f aca="false">P611</f>
        <v>0</v>
      </c>
      <c r="AI611" s="61" t="n">
        <f aca="false">VLOOKUP(AH611,recipe_ingred_list!$K$29:$M$34,3,0)</f>
        <v>3</v>
      </c>
      <c r="AJ611" s="61" t="str">
        <f aca="false">IF(Q611="","",Q611)</f>
        <v/>
      </c>
      <c r="AK611" s="61" t="n">
        <f aca="false">AK610+1</f>
        <v>611</v>
      </c>
      <c r="AL611" s="61" t="str">
        <f aca="false">Y611</f>
        <v>basil leaves</v>
      </c>
      <c r="AM611" s="81" t="str">
        <f aca="false">"a = Client().post('"&amp;W611&amp;"', {'recipe' : '"&amp;V611&amp;"', 'ingredient' : '"&amp;Z611&amp;"', 'name' : '"&amp;X611&amp;"', 'mass_unit' : '"&amp;AC611&amp;"', 'mass_quantity' : '"&amp;ROUND(AA611,3)&amp;"', 'volume_unit' : '"&amp;AF611&amp;"', 'volume_quantity' : '"&amp;ROUND(AD611,3)&amp;"', 'pieces_unit' : '"&amp;AI611&amp;"', 'pieces_quantity' : '"&amp;ROUND(AG611,3)&amp;"', 'cooking_notes' : '"&amp;AJ611&amp;"'}).status_code; print('%s :: %s :: %s :: %s :: %s' %(a,"&amp;G611&amp;",'"&amp;X611&amp;"','"&amp;Y611&amp;"','"&amp;U611&amp;"'))"</f>
        <v>a = Client().post('/recipes/nithai-rice/detail/', {'recipe' : '50', 'ingredient' : '24', 'name' : 'Basil Leaves', 'mass_unit' : '2', 'mass_quantity' : '0.5', 'volume_unit' : '1', 'volume_quantity' : '0', 'pieces_unit' : '3', 'pieces_quantity' : '0', 'cooking_notes' : ''}).status_code; print('%s :: %s :: %s :: %s :: %s' %(a,611,'Basil Leaves','basil leaves','Nithai Rice'))</v>
      </c>
    </row>
    <row r="612" customFormat="false" ht="13.8" hidden="false" customHeight="false" outlineLevel="0" collapsed="false">
      <c r="G612" s="80" t="n">
        <v>612</v>
      </c>
      <c r="H612" s="98"/>
      <c r="I612" s="99"/>
      <c r="J612" s="79"/>
      <c r="K612" s="100"/>
      <c r="L612" s="100"/>
      <c r="M612" s="100"/>
      <c r="N612" s="100"/>
      <c r="O612" s="101"/>
      <c r="P612" s="100"/>
      <c r="Q612" s="102"/>
      <c r="R612" s="99" t="e">
        <f aca="false">VLOOKUP(J612,ingredient!$N$4:$O$553,2,0)</f>
        <v>#N/A</v>
      </c>
      <c r="S612" s="98"/>
      <c r="T612" s="98"/>
      <c r="U612" s="81" t="n">
        <f aca="false">I612</f>
        <v>0</v>
      </c>
      <c r="V612" s="81" t="e">
        <f aca="false">VLOOKUP(U612,recipe_ingred_list!$A$2:$B$300,2,0)</f>
        <v>#N/A</v>
      </c>
      <c r="W612" s="81" t="e">
        <f aca="false">"/recipes/"&amp;VLOOKUP(U612,recipe_ingred_list!$A$2:$C$300,3,0)&amp;"/detail/"</f>
        <v>#N/A</v>
      </c>
      <c r="X612" s="81" t="n">
        <f aca="false">J612</f>
        <v>0</v>
      </c>
      <c r="Y612" s="81" t="e">
        <f aca="false">R612</f>
        <v>#N/A</v>
      </c>
      <c r="Z612" s="94" t="e">
        <f aca="false">VLOOKUP(Y612,recipe_ingred_list!$D$2:$E$500,2,0)</f>
        <v>#N/A</v>
      </c>
      <c r="AA612" s="61" t="n">
        <f aca="false">K612</f>
        <v>0</v>
      </c>
      <c r="AB612" s="61" t="n">
        <f aca="false">L612</f>
        <v>0</v>
      </c>
      <c r="AC612" s="61" t="n">
        <f aca="false">VLOOKUP(AB612,recipe_ingred_list!$K$2:$M$7,3,0)</f>
        <v>2</v>
      </c>
      <c r="AD612" s="61" t="n">
        <f aca="false">M612</f>
        <v>0</v>
      </c>
      <c r="AE612" s="61" t="n">
        <f aca="false">N612</f>
        <v>0</v>
      </c>
      <c r="AF612" s="61" t="n">
        <f aca="false">VLOOKUP(AE612,recipe_ingred_list!$K$16:$M$25,3,0)</f>
        <v>1</v>
      </c>
      <c r="AG612" s="61" t="n">
        <f aca="false">O612</f>
        <v>0</v>
      </c>
      <c r="AH612" s="61" t="n">
        <f aca="false">P612</f>
        <v>0</v>
      </c>
      <c r="AI612" s="61" t="n">
        <f aca="false">VLOOKUP(AH612,recipe_ingred_list!$K$29:$M$34,3,0)</f>
        <v>3</v>
      </c>
      <c r="AJ612" s="61" t="str">
        <f aca="false">IF(Q612="","",Q612)</f>
        <v/>
      </c>
      <c r="AK612" s="61" t="n">
        <f aca="false">AK611+1</f>
        <v>612</v>
      </c>
      <c r="AL612" s="61" t="e">
        <f aca="false">Y612</f>
        <v>#N/A</v>
      </c>
      <c r="AM612" s="81" t="e">
        <f aca="false">"a = Client().post('"&amp;W612&amp;"', {'recipe' : '"&amp;V612&amp;"', 'ingredient' : '"&amp;Z612&amp;"', 'name' : '"&amp;X612&amp;"', 'mass_unit' : '"&amp;AC612&amp;"', 'mass_quantity' : '"&amp;ROUND(AA612,3)&amp;"', 'volume_unit' : '"&amp;AF612&amp;"', 'volume_quantity' : '"&amp;ROUND(AD612,3)&amp;"', 'pieces_unit' : '"&amp;AI612&amp;"', 'pieces_quantity' : '"&amp;ROUND(AG612,3)&amp;"', 'cooking_notes' : '"&amp;AJ612&amp;"'}).status_code; print('%s :: %s :: %s :: %s :: %s' %(a,"&amp;G612&amp;",'"&amp;X612&amp;"','"&amp;Y612&amp;"','"&amp;U612&amp;"'))"</f>
        <v>#N/A</v>
      </c>
    </row>
    <row r="613" customFormat="false" ht="13.8" hidden="false" customHeight="false" outlineLevel="0" collapsed="false">
      <c r="G613" s="80" t="n">
        <v>613</v>
      </c>
      <c r="H613" s="98"/>
      <c r="I613" s="98"/>
      <c r="J613" s="79"/>
      <c r="K613" s="164"/>
      <c r="L613" s="164"/>
      <c r="M613" s="100"/>
      <c r="N613" s="100"/>
      <c r="O613" s="101"/>
      <c r="P613" s="100"/>
      <c r="Q613" s="102"/>
      <c r="R613" s="99" t="e">
        <f aca="false">VLOOKUP(J613,ingredient!$N$4:$O$553,2,0)</f>
        <v>#N/A</v>
      </c>
      <c r="S613" s="98"/>
      <c r="T613" s="98"/>
      <c r="U613" s="81" t="n">
        <f aca="false">I613</f>
        <v>0</v>
      </c>
      <c r="V613" s="81" t="e">
        <f aca="false">VLOOKUP(U613,recipe_ingred_list!$A$2:$B$300,2,0)</f>
        <v>#N/A</v>
      </c>
      <c r="W613" s="81" t="e">
        <f aca="false">"/recipes/"&amp;VLOOKUP(U613,recipe_ingred_list!$A$2:$C$300,3,0)&amp;"/detail/"</f>
        <v>#N/A</v>
      </c>
      <c r="X613" s="81" t="n">
        <f aca="false">J613</f>
        <v>0</v>
      </c>
      <c r="Y613" s="81" t="e">
        <f aca="false">R613</f>
        <v>#N/A</v>
      </c>
      <c r="Z613" s="94" t="e">
        <f aca="false">VLOOKUP(Y613,recipe_ingred_list!$D$2:$E$500,2,0)</f>
        <v>#N/A</v>
      </c>
      <c r="AA613" s="61" t="n">
        <f aca="false">K613</f>
        <v>0</v>
      </c>
      <c r="AB613" s="61" t="n">
        <f aca="false">L613</f>
        <v>0</v>
      </c>
      <c r="AC613" s="61" t="n">
        <f aca="false">VLOOKUP(AB613,recipe_ingred_list!$K$2:$M$7,3,0)</f>
        <v>2</v>
      </c>
      <c r="AD613" s="61" t="n">
        <f aca="false">M613</f>
        <v>0</v>
      </c>
      <c r="AE613" s="61" t="n">
        <f aca="false">N613</f>
        <v>0</v>
      </c>
      <c r="AF613" s="61" t="n">
        <f aca="false">VLOOKUP(AE613,recipe_ingred_list!$K$16:$M$25,3,0)</f>
        <v>1</v>
      </c>
      <c r="AG613" s="61" t="n">
        <f aca="false">O613</f>
        <v>0</v>
      </c>
      <c r="AH613" s="61" t="n">
        <f aca="false">P613</f>
        <v>0</v>
      </c>
      <c r="AI613" s="61" t="n">
        <f aca="false">VLOOKUP(AH613,recipe_ingred_list!$K$29:$M$34,3,0)</f>
        <v>3</v>
      </c>
      <c r="AJ613" s="61" t="str">
        <f aca="false">IF(Q613="","",Q613)</f>
        <v/>
      </c>
      <c r="AK613" s="61" t="n">
        <f aca="false">AK612+1</f>
        <v>613</v>
      </c>
      <c r="AL613" s="61" t="e">
        <f aca="false">Y613</f>
        <v>#N/A</v>
      </c>
      <c r="AM613" s="81" t="e">
        <f aca="false">"a = Client().post('"&amp;W613&amp;"', {'recipe' : '"&amp;V613&amp;"', 'ingredient' : '"&amp;Z613&amp;"', 'name' : '"&amp;X613&amp;"', 'mass_unit' : '"&amp;AC613&amp;"', 'mass_quantity' : '"&amp;ROUND(AA613,3)&amp;"', 'volume_unit' : '"&amp;AF613&amp;"', 'volume_quantity' : '"&amp;ROUND(AD613,3)&amp;"', 'pieces_unit' : '"&amp;AI613&amp;"', 'pieces_quantity' : '"&amp;ROUND(AG613,3)&amp;"', 'cooking_notes' : '"&amp;AJ613&amp;"'}).status_code; print('%s :: %s :: %s :: %s :: %s' %(a,"&amp;G613&amp;",'"&amp;X613&amp;"','"&amp;Y613&amp;"','"&amp;U613&amp;"'))"</f>
        <v>#N/A</v>
      </c>
    </row>
    <row r="614" customFormat="false" ht="15" hidden="false" customHeight="false" outlineLevel="0" collapsed="false">
      <c r="G614" s="80" t="n">
        <v>614</v>
      </c>
      <c r="I614" s="168" t="s">
        <v>247</v>
      </c>
      <c r="J614" s="142" t="s">
        <v>714</v>
      </c>
      <c r="K614" s="69" t="n">
        <v>1.66666666666667</v>
      </c>
      <c r="L614" s="69" t="s">
        <v>7</v>
      </c>
      <c r="R614" s="82" t="str">
        <f aca="false">VLOOKUP(J614,ingredient!$N$4:$O$553,2,0)</f>
        <v>rajma</v>
      </c>
      <c r="U614" s="81" t="str">
        <f aca="false">I614</f>
        <v>Minestrone soup</v>
      </c>
      <c r="V614" s="81" t="n">
        <f aca="false">VLOOKUP(U614,recipe_ingred_list!$A$2:$B$300,2,0)</f>
        <v>46</v>
      </c>
      <c r="W614" s="81" t="str">
        <f aca="false">"/recipes/"&amp;VLOOKUP(U614,recipe_ingred_list!$A$2:$C$300,3,0)&amp;"/detail/"</f>
        <v>/recipes/minestrone-soup/detail/</v>
      </c>
      <c r="X614" s="81" t="str">
        <f aca="false">J614</f>
        <v>Rajma </v>
      </c>
      <c r="Y614" s="81" t="str">
        <f aca="false">R614</f>
        <v>rajma</v>
      </c>
      <c r="Z614" s="94" t="n">
        <f aca="false">VLOOKUP(Y614,recipe_ingred_list!$D$2:$E$500,2,0)</f>
        <v>167</v>
      </c>
      <c r="AA614" s="61" t="n">
        <f aca="false">K614</f>
        <v>1.66666666666667</v>
      </c>
      <c r="AB614" s="61" t="str">
        <f aca="false">L614</f>
        <v>kg</v>
      </c>
      <c r="AC614" s="61" t="n">
        <f aca="false">VLOOKUP(AB614,recipe_ingred_list!$K$2:$M$7,3,0)</f>
        <v>2</v>
      </c>
      <c r="AD614" s="61" t="n">
        <f aca="false">M614</f>
        <v>0</v>
      </c>
      <c r="AE614" s="61" t="n">
        <f aca="false">N614</f>
        <v>0</v>
      </c>
      <c r="AF614" s="61" t="n">
        <f aca="false">VLOOKUP(AE614,recipe_ingred_list!$K$16:$M$25,3,0)</f>
        <v>1</v>
      </c>
      <c r="AG614" s="61" t="n">
        <f aca="false">O614</f>
        <v>0</v>
      </c>
      <c r="AH614" s="61" t="n">
        <f aca="false">P614</f>
        <v>0</v>
      </c>
      <c r="AI614" s="61" t="n">
        <f aca="false">VLOOKUP(AH614,recipe_ingred_list!$K$29:$M$34,3,0)</f>
        <v>3</v>
      </c>
      <c r="AJ614" s="61" t="str">
        <f aca="false">IF(Q614="","",Q614)</f>
        <v/>
      </c>
      <c r="AK614" s="61" t="n">
        <f aca="false">AK613+1</f>
        <v>614</v>
      </c>
      <c r="AL614" s="61" t="str">
        <f aca="false">Y614</f>
        <v>rajma</v>
      </c>
      <c r="AM614" s="81" t="str">
        <f aca="false">"a = Client().post('"&amp;W614&amp;"', {'recipe' : '"&amp;V614&amp;"', 'ingredient' : '"&amp;Z614&amp;"', 'name' : '"&amp;X614&amp;"', 'mass_unit' : '"&amp;AC614&amp;"', 'mass_quantity' : '"&amp;ROUND(AA614,3)&amp;"', 'volume_unit' : '"&amp;AF614&amp;"', 'volume_quantity' : '"&amp;ROUND(AD614,3)&amp;"', 'pieces_unit' : '"&amp;AI614&amp;"', 'pieces_quantity' : '"&amp;ROUND(AG614,3)&amp;"', 'cooking_notes' : '"&amp;AJ614&amp;"'}).status_code; print('%s :: %s :: %s :: %s :: %s' %(a,"&amp;G614&amp;",'"&amp;X614&amp;"','"&amp;Y614&amp;"','"&amp;U614&amp;"'))"</f>
        <v>a = Client().post('/recipes/minestrone-soup/detail/', {'recipe' : '46', 'ingredient' : '167', 'name' : 'Rajma ', 'mass_unit' : '2', 'mass_quantity' : '1.667', 'volume_unit' : '1', 'volume_quantity' : '0', 'pieces_unit' : '3', 'pieces_quantity' : '0', 'cooking_notes' : ''}).status_code; print('%s :: %s :: %s :: %s :: %s' %(a,614,'Rajma ','rajma','Minestrone soup'))</v>
      </c>
    </row>
    <row r="615" customFormat="false" ht="15" hidden="false" customHeight="false" outlineLevel="0" collapsed="false">
      <c r="G615" s="80" t="n">
        <v>615</v>
      </c>
      <c r="I615" s="168" t="s">
        <v>247</v>
      </c>
      <c r="J615" s="142" t="s">
        <v>655</v>
      </c>
      <c r="K615" s="69" t="n">
        <v>2</v>
      </c>
      <c r="L615" s="69" t="s">
        <v>7</v>
      </c>
      <c r="R615" s="82" t="str">
        <f aca="false">VLOOKUP(J615,ingredient!$N$4:$O$553,2,0)</f>
        <v>beans</v>
      </c>
      <c r="U615" s="81" t="str">
        <f aca="false">I615</f>
        <v>Minestrone soup</v>
      </c>
      <c r="V615" s="81" t="n">
        <f aca="false">VLOOKUP(U615,recipe_ingred_list!$A$2:$B$300,2,0)</f>
        <v>46</v>
      </c>
      <c r="W615" s="81" t="str">
        <f aca="false">"/recipes/"&amp;VLOOKUP(U615,recipe_ingred_list!$A$2:$C$300,3,0)&amp;"/detail/"</f>
        <v>/recipes/minestrone-soup/detail/</v>
      </c>
      <c r="X615" s="81" t="str">
        <f aca="false">J615</f>
        <v>Beans</v>
      </c>
      <c r="Y615" s="81" t="str">
        <f aca="false">R615</f>
        <v>beans</v>
      </c>
      <c r="Z615" s="94" t="n">
        <f aca="false">VLOOKUP(Y615,recipe_ingred_list!$D$2:$E$500,2,0)</f>
        <v>27</v>
      </c>
      <c r="AA615" s="61" t="n">
        <f aca="false">K615</f>
        <v>2</v>
      </c>
      <c r="AB615" s="61" t="str">
        <f aca="false">L615</f>
        <v>kg</v>
      </c>
      <c r="AC615" s="61" t="n">
        <f aca="false">VLOOKUP(AB615,recipe_ingred_list!$K$2:$M$7,3,0)</f>
        <v>2</v>
      </c>
      <c r="AD615" s="61" t="n">
        <f aca="false">M615</f>
        <v>0</v>
      </c>
      <c r="AE615" s="61" t="n">
        <f aca="false">N615</f>
        <v>0</v>
      </c>
      <c r="AF615" s="61" t="n">
        <f aca="false">VLOOKUP(AE615,recipe_ingred_list!$K$16:$M$25,3,0)</f>
        <v>1</v>
      </c>
      <c r="AG615" s="61" t="n">
        <f aca="false">O615</f>
        <v>0</v>
      </c>
      <c r="AH615" s="61" t="n">
        <f aca="false">P615</f>
        <v>0</v>
      </c>
      <c r="AI615" s="61" t="n">
        <f aca="false">VLOOKUP(AH615,recipe_ingred_list!$K$29:$M$34,3,0)</f>
        <v>3</v>
      </c>
      <c r="AJ615" s="61" t="str">
        <f aca="false">IF(Q615="","",Q615)</f>
        <v/>
      </c>
      <c r="AK615" s="61" t="n">
        <f aca="false">AK614+1</f>
        <v>615</v>
      </c>
      <c r="AL615" s="61" t="str">
        <f aca="false">Y615</f>
        <v>beans</v>
      </c>
      <c r="AM615" s="81" t="str">
        <f aca="false">"a = Client().post('"&amp;W615&amp;"', {'recipe' : '"&amp;V615&amp;"', 'ingredient' : '"&amp;Z615&amp;"', 'name' : '"&amp;X615&amp;"', 'mass_unit' : '"&amp;AC615&amp;"', 'mass_quantity' : '"&amp;ROUND(AA615,3)&amp;"', 'volume_unit' : '"&amp;AF615&amp;"', 'volume_quantity' : '"&amp;ROUND(AD615,3)&amp;"', 'pieces_unit' : '"&amp;AI615&amp;"', 'pieces_quantity' : '"&amp;ROUND(AG615,3)&amp;"', 'cooking_notes' : '"&amp;AJ615&amp;"'}).status_code; print('%s :: %s :: %s :: %s :: %s' %(a,"&amp;G615&amp;",'"&amp;X615&amp;"','"&amp;Y615&amp;"','"&amp;U615&amp;"'))"</f>
        <v>a = Client().post('/recipes/minestrone-soup/detail/', {'recipe' : '46', 'ingredient' : '27', 'name' : 'Beans', 'mass_unit' : '2', 'mass_quantity' : '2', 'volume_unit' : '1', 'volume_quantity' : '0', 'pieces_unit' : '3', 'pieces_quantity' : '0', 'cooking_notes' : ''}).status_code; print('%s :: %s :: %s :: %s :: %s' %(a,615,'Beans','beans','Minestrone soup'))</v>
      </c>
    </row>
    <row r="616" customFormat="false" ht="15" hidden="false" customHeight="false" outlineLevel="0" collapsed="false">
      <c r="G616" s="80" t="n">
        <v>616</v>
      </c>
      <c r="I616" s="168" t="s">
        <v>247</v>
      </c>
      <c r="J616" s="142" t="s">
        <v>11</v>
      </c>
      <c r="K616" s="69" t="n">
        <v>1.33333333333333</v>
      </c>
      <c r="L616" s="69" t="s">
        <v>7</v>
      </c>
      <c r="R616" s="82" t="str">
        <f aca="false">VLOOKUP(J616,ingredient!$N$4:$O$553,2,0)</f>
        <v>gajar</v>
      </c>
      <c r="U616" s="81" t="str">
        <f aca="false">I616</f>
        <v>Minestrone soup</v>
      </c>
      <c r="V616" s="81" t="n">
        <f aca="false">VLOOKUP(U616,recipe_ingred_list!$A$2:$B$300,2,0)</f>
        <v>46</v>
      </c>
      <c r="W616" s="81" t="str">
        <f aca="false">"/recipes/"&amp;VLOOKUP(U616,recipe_ingred_list!$A$2:$C$300,3,0)&amp;"/detail/"</f>
        <v>/recipes/minestrone-soup/detail/</v>
      </c>
      <c r="X616" s="81" t="str">
        <f aca="false">J616</f>
        <v>Gajar</v>
      </c>
      <c r="Y616" s="81" t="str">
        <f aca="false">R616</f>
        <v>gajar</v>
      </c>
      <c r="Z616" s="94" t="n">
        <f aca="false">VLOOKUP(Y616,recipe_ingred_list!$D$2:$E$500,2,0)</f>
        <v>79</v>
      </c>
      <c r="AA616" s="61" t="n">
        <f aca="false">K616</f>
        <v>1.33333333333333</v>
      </c>
      <c r="AB616" s="61" t="str">
        <f aca="false">L616</f>
        <v>kg</v>
      </c>
      <c r="AC616" s="61" t="n">
        <f aca="false">VLOOKUP(AB616,recipe_ingred_list!$K$2:$M$7,3,0)</f>
        <v>2</v>
      </c>
      <c r="AD616" s="61" t="n">
        <f aca="false">M616</f>
        <v>0</v>
      </c>
      <c r="AE616" s="61" t="n">
        <f aca="false">N616</f>
        <v>0</v>
      </c>
      <c r="AF616" s="61" t="n">
        <f aca="false">VLOOKUP(AE616,recipe_ingred_list!$K$16:$M$25,3,0)</f>
        <v>1</v>
      </c>
      <c r="AG616" s="61" t="n">
        <f aca="false">O616</f>
        <v>0</v>
      </c>
      <c r="AH616" s="61" t="n">
        <f aca="false">P616</f>
        <v>0</v>
      </c>
      <c r="AI616" s="61" t="n">
        <f aca="false">VLOOKUP(AH616,recipe_ingred_list!$K$29:$M$34,3,0)</f>
        <v>3</v>
      </c>
      <c r="AJ616" s="61" t="str">
        <f aca="false">IF(Q616="","",Q616)</f>
        <v/>
      </c>
      <c r="AK616" s="61" t="n">
        <f aca="false">AK615+1</f>
        <v>616</v>
      </c>
      <c r="AL616" s="61" t="str">
        <f aca="false">Y616</f>
        <v>gajar</v>
      </c>
      <c r="AM616" s="81" t="str">
        <f aca="false">"a = Client().post('"&amp;W616&amp;"', {'recipe' : '"&amp;V616&amp;"', 'ingredient' : '"&amp;Z616&amp;"', 'name' : '"&amp;X616&amp;"', 'mass_unit' : '"&amp;AC616&amp;"', 'mass_quantity' : '"&amp;ROUND(AA616,3)&amp;"', 'volume_unit' : '"&amp;AF616&amp;"', 'volume_quantity' : '"&amp;ROUND(AD616,3)&amp;"', 'pieces_unit' : '"&amp;AI616&amp;"', 'pieces_quantity' : '"&amp;ROUND(AG616,3)&amp;"', 'cooking_notes' : '"&amp;AJ616&amp;"'}).status_code; print('%s :: %s :: %s :: %s :: %s' %(a,"&amp;G616&amp;",'"&amp;X616&amp;"','"&amp;Y616&amp;"','"&amp;U616&amp;"'))"</f>
        <v>a = Client().post('/recipes/minestrone-soup/detail/', {'recipe' : '46', 'ingredient' : '79', 'name' : 'Gajar', 'mass_unit' : '2', 'mass_quantity' : '1.333', 'volume_unit' : '1', 'volume_quantity' : '0', 'pieces_unit' : '3', 'pieces_quantity' : '0', 'cooking_notes' : ''}).status_code; print('%s :: %s :: %s :: %s :: %s' %(a,616,'Gajar','gajar','Minestrone soup'))</v>
      </c>
    </row>
    <row r="617" customFormat="false" ht="15" hidden="false" customHeight="false" outlineLevel="0" collapsed="false">
      <c r="G617" s="80" t="n">
        <v>617</v>
      </c>
      <c r="I617" s="168" t="s">
        <v>247</v>
      </c>
      <c r="J617" s="142" t="s">
        <v>715</v>
      </c>
      <c r="K617" s="69" t="n">
        <v>1.33333333333333</v>
      </c>
      <c r="L617" s="69" t="s">
        <v>7</v>
      </c>
      <c r="R617" s="82" t="str">
        <f aca="false">VLOOKUP(J617,ingredient!$N$4:$O$553,2,0)</f>
        <v>capsicum</v>
      </c>
      <c r="U617" s="81" t="str">
        <f aca="false">I617</f>
        <v>Minestrone soup</v>
      </c>
      <c r="V617" s="81" t="n">
        <f aca="false">VLOOKUP(U617,recipe_ingred_list!$A$2:$B$300,2,0)</f>
        <v>46</v>
      </c>
      <c r="W617" s="81" t="str">
        <f aca="false">"/recipes/"&amp;VLOOKUP(U617,recipe_ingred_list!$A$2:$C$300,3,0)&amp;"/detail/"</f>
        <v>/recipes/minestrone-soup/detail/</v>
      </c>
      <c r="X617" s="81" t="str">
        <f aca="false">J617</f>
        <v>Capsicum </v>
      </c>
      <c r="Y617" s="81" t="str">
        <f aca="false">R617</f>
        <v>capsicum</v>
      </c>
      <c r="Z617" s="94" t="n">
        <f aca="false">VLOOKUP(Y617,recipe_ingred_list!$D$2:$E$500,2,0)</f>
        <v>42</v>
      </c>
      <c r="AA617" s="61" t="n">
        <f aca="false">K617</f>
        <v>1.33333333333333</v>
      </c>
      <c r="AB617" s="61" t="str">
        <f aca="false">L617</f>
        <v>kg</v>
      </c>
      <c r="AC617" s="61" t="n">
        <f aca="false">VLOOKUP(AB617,recipe_ingred_list!$K$2:$M$7,3,0)</f>
        <v>2</v>
      </c>
      <c r="AD617" s="61" t="n">
        <f aca="false">M617</f>
        <v>0</v>
      </c>
      <c r="AE617" s="61" t="n">
        <f aca="false">N617</f>
        <v>0</v>
      </c>
      <c r="AF617" s="61" t="n">
        <f aca="false">VLOOKUP(AE617,recipe_ingred_list!$K$16:$M$25,3,0)</f>
        <v>1</v>
      </c>
      <c r="AG617" s="61" t="n">
        <f aca="false">O617</f>
        <v>0</v>
      </c>
      <c r="AH617" s="61" t="n">
        <f aca="false">P617</f>
        <v>0</v>
      </c>
      <c r="AI617" s="61" t="n">
        <f aca="false">VLOOKUP(AH617,recipe_ingred_list!$K$29:$M$34,3,0)</f>
        <v>3</v>
      </c>
      <c r="AJ617" s="61" t="str">
        <f aca="false">IF(Q617="","",Q617)</f>
        <v/>
      </c>
      <c r="AK617" s="61" t="n">
        <f aca="false">AK616+1</f>
        <v>617</v>
      </c>
      <c r="AL617" s="61" t="str">
        <f aca="false">Y617</f>
        <v>capsicum</v>
      </c>
      <c r="AM617" s="81" t="str">
        <f aca="false">"a = Client().post('"&amp;W617&amp;"', {'recipe' : '"&amp;V617&amp;"', 'ingredient' : '"&amp;Z617&amp;"', 'name' : '"&amp;X617&amp;"', 'mass_unit' : '"&amp;AC617&amp;"', 'mass_quantity' : '"&amp;ROUND(AA617,3)&amp;"', 'volume_unit' : '"&amp;AF617&amp;"', 'volume_quantity' : '"&amp;ROUND(AD617,3)&amp;"', 'pieces_unit' : '"&amp;AI617&amp;"', 'pieces_quantity' : '"&amp;ROUND(AG617,3)&amp;"', 'cooking_notes' : '"&amp;AJ617&amp;"'}).status_code; print('%s :: %s :: %s :: %s :: %s' %(a,"&amp;G617&amp;",'"&amp;X617&amp;"','"&amp;Y617&amp;"','"&amp;U617&amp;"'))"</f>
        <v>a = Client().post('/recipes/minestrone-soup/detail/', {'recipe' : '46', 'ingredient' : '42', 'name' : 'Capsicum ', 'mass_unit' : '2', 'mass_quantity' : '1.333', 'volume_unit' : '1', 'volume_quantity' : '0', 'pieces_unit' : '3', 'pieces_quantity' : '0', 'cooking_notes' : ''}).status_code; print('%s :: %s :: %s :: %s :: %s' %(a,617,'Capsicum ','capsicum','Minestrone soup'))</v>
      </c>
    </row>
    <row r="618" customFormat="false" ht="15" hidden="false" customHeight="false" outlineLevel="0" collapsed="false">
      <c r="G618" s="80" t="n">
        <v>618</v>
      </c>
      <c r="I618" s="168" t="s">
        <v>247</v>
      </c>
      <c r="J618" s="142" t="s">
        <v>700</v>
      </c>
      <c r="K618" s="69" t="n">
        <v>2</v>
      </c>
      <c r="L618" s="69" t="s">
        <v>7</v>
      </c>
      <c r="R618" s="82" t="str">
        <f aca="false">VLOOKUP(J618,ingredient!$N$4:$O$553,2,0)</f>
        <v>zucchini</v>
      </c>
      <c r="U618" s="81" t="str">
        <f aca="false">I618</f>
        <v>Minestrone soup</v>
      </c>
      <c r="V618" s="81" t="n">
        <f aca="false">VLOOKUP(U618,recipe_ingred_list!$A$2:$B$300,2,0)</f>
        <v>46</v>
      </c>
      <c r="W618" s="81" t="str">
        <f aca="false">"/recipes/"&amp;VLOOKUP(U618,recipe_ingred_list!$A$2:$C$300,3,0)&amp;"/detail/"</f>
        <v>/recipes/minestrone-soup/detail/</v>
      </c>
      <c r="X618" s="81" t="str">
        <f aca="false">J618</f>
        <v>Zucchini</v>
      </c>
      <c r="Y618" s="81" t="str">
        <f aca="false">R618</f>
        <v>zucchini</v>
      </c>
      <c r="Z618" s="94" t="n">
        <f aca="false">VLOOKUP(Y618,recipe_ingred_list!$D$2:$E$500,2,0)</f>
        <v>210</v>
      </c>
      <c r="AA618" s="61" t="n">
        <f aca="false">K618</f>
        <v>2</v>
      </c>
      <c r="AB618" s="61" t="str">
        <f aca="false">L618</f>
        <v>kg</v>
      </c>
      <c r="AC618" s="61" t="n">
        <f aca="false">VLOOKUP(AB618,recipe_ingred_list!$K$2:$M$7,3,0)</f>
        <v>2</v>
      </c>
      <c r="AD618" s="61" t="n">
        <f aca="false">M618</f>
        <v>0</v>
      </c>
      <c r="AE618" s="61" t="n">
        <f aca="false">N618</f>
        <v>0</v>
      </c>
      <c r="AF618" s="61" t="n">
        <f aca="false">VLOOKUP(AE618,recipe_ingred_list!$K$16:$M$25,3,0)</f>
        <v>1</v>
      </c>
      <c r="AG618" s="61" t="n">
        <f aca="false">O618</f>
        <v>0</v>
      </c>
      <c r="AH618" s="61" t="n">
        <f aca="false">P618</f>
        <v>0</v>
      </c>
      <c r="AI618" s="61" t="n">
        <f aca="false">VLOOKUP(AH618,recipe_ingred_list!$K$29:$M$34,3,0)</f>
        <v>3</v>
      </c>
      <c r="AJ618" s="61" t="str">
        <f aca="false">IF(Q618="","",Q618)</f>
        <v/>
      </c>
      <c r="AK618" s="61" t="n">
        <f aca="false">AK617+1</f>
        <v>618</v>
      </c>
      <c r="AL618" s="61" t="str">
        <f aca="false">Y618</f>
        <v>zucchini</v>
      </c>
      <c r="AM618" s="81" t="str">
        <f aca="false">"a = Client().post('"&amp;W618&amp;"', {'recipe' : '"&amp;V618&amp;"', 'ingredient' : '"&amp;Z618&amp;"', 'name' : '"&amp;X618&amp;"', 'mass_unit' : '"&amp;AC618&amp;"', 'mass_quantity' : '"&amp;ROUND(AA618,3)&amp;"', 'volume_unit' : '"&amp;AF618&amp;"', 'volume_quantity' : '"&amp;ROUND(AD618,3)&amp;"', 'pieces_unit' : '"&amp;AI618&amp;"', 'pieces_quantity' : '"&amp;ROUND(AG618,3)&amp;"', 'cooking_notes' : '"&amp;AJ618&amp;"'}).status_code; print('%s :: %s :: %s :: %s :: %s' %(a,"&amp;G618&amp;",'"&amp;X618&amp;"','"&amp;Y618&amp;"','"&amp;U618&amp;"'))"</f>
        <v>a = Client().post('/recipes/minestrone-soup/detail/', {'recipe' : '46', 'ingredient' : '210', 'name' : 'Zucchini', 'mass_unit' : '2', 'mass_quantity' : '2', 'volume_unit' : '1', 'volume_quantity' : '0', 'pieces_unit' : '3', 'pieces_quantity' : '0', 'cooking_notes' : ''}).status_code; print('%s :: %s :: %s :: %s :: %s' %(a,618,'Zucchini','zucchini','Minestrone soup'))</v>
      </c>
    </row>
    <row r="619" customFormat="false" ht="15" hidden="false" customHeight="false" outlineLevel="0" collapsed="false">
      <c r="G619" s="80" t="n">
        <v>619</v>
      </c>
      <c r="I619" s="168" t="s">
        <v>247</v>
      </c>
      <c r="J619" s="142" t="s">
        <v>21</v>
      </c>
      <c r="K619" s="69" t="n">
        <v>10</v>
      </c>
      <c r="L619" s="69" t="s">
        <v>7</v>
      </c>
      <c r="R619" s="82" t="str">
        <f aca="false">VLOOKUP(J619,ingredient!$N$4:$O$553,2,0)</f>
        <v>tomato</v>
      </c>
      <c r="U619" s="81" t="str">
        <f aca="false">I619</f>
        <v>Minestrone soup</v>
      </c>
      <c r="V619" s="81" t="n">
        <f aca="false">VLOOKUP(U619,recipe_ingred_list!$A$2:$B$300,2,0)</f>
        <v>46</v>
      </c>
      <c r="W619" s="81" t="str">
        <f aca="false">"/recipes/"&amp;VLOOKUP(U619,recipe_ingred_list!$A$2:$C$300,3,0)&amp;"/detail/"</f>
        <v>/recipes/minestrone-soup/detail/</v>
      </c>
      <c r="X619" s="81" t="str">
        <f aca="false">J619</f>
        <v>Tomato</v>
      </c>
      <c r="Y619" s="81" t="str">
        <f aca="false">R619</f>
        <v>tomato</v>
      </c>
      <c r="Z619" s="94" t="n">
        <f aca="false">VLOOKUP(Y619,recipe_ingred_list!$D$2:$E$500,2,0)</f>
        <v>195</v>
      </c>
      <c r="AA619" s="61" t="n">
        <f aca="false">K619</f>
        <v>10</v>
      </c>
      <c r="AB619" s="61" t="str">
        <f aca="false">L619</f>
        <v>kg</v>
      </c>
      <c r="AC619" s="61" t="n">
        <f aca="false">VLOOKUP(AB619,recipe_ingred_list!$K$2:$M$7,3,0)</f>
        <v>2</v>
      </c>
      <c r="AD619" s="61" t="n">
        <f aca="false">M619</f>
        <v>0</v>
      </c>
      <c r="AE619" s="61" t="n">
        <f aca="false">N619</f>
        <v>0</v>
      </c>
      <c r="AF619" s="61" t="n">
        <f aca="false">VLOOKUP(AE619,recipe_ingred_list!$K$16:$M$25,3,0)</f>
        <v>1</v>
      </c>
      <c r="AG619" s="61" t="n">
        <f aca="false">O619</f>
        <v>0</v>
      </c>
      <c r="AH619" s="61" t="n">
        <f aca="false">P619</f>
        <v>0</v>
      </c>
      <c r="AI619" s="61" t="n">
        <f aca="false">VLOOKUP(AH619,recipe_ingred_list!$K$29:$M$34,3,0)</f>
        <v>3</v>
      </c>
      <c r="AJ619" s="61" t="str">
        <f aca="false">IF(Q619="","",Q619)</f>
        <v/>
      </c>
      <c r="AK619" s="61" t="n">
        <f aca="false">AK618+1</f>
        <v>619</v>
      </c>
      <c r="AL619" s="61" t="str">
        <f aca="false">Y619</f>
        <v>tomato</v>
      </c>
      <c r="AM619" s="81" t="str">
        <f aca="false">"a = Client().post('"&amp;W619&amp;"', {'recipe' : '"&amp;V619&amp;"', 'ingredient' : '"&amp;Z619&amp;"', 'name' : '"&amp;X619&amp;"', 'mass_unit' : '"&amp;AC619&amp;"', 'mass_quantity' : '"&amp;ROUND(AA619,3)&amp;"', 'volume_unit' : '"&amp;AF619&amp;"', 'volume_quantity' : '"&amp;ROUND(AD619,3)&amp;"', 'pieces_unit' : '"&amp;AI619&amp;"', 'pieces_quantity' : '"&amp;ROUND(AG619,3)&amp;"', 'cooking_notes' : '"&amp;AJ619&amp;"'}).status_code; print('%s :: %s :: %s :: %s :: %s' %(a,"&amp;G619&amp;",'"&amp;X619&amp;"','"&amp;Y619&amp;"','"&amp;U619&amp;"'))"</f>
        <v>a = Client().post('/recipes/minestrone-soup/detail/', {'recipe' : '46', 'ingredient' : '195', 'name' : 'Tomato', 'mass_unit' : '2', 'mass_quantity' : '10', 'volume_unit' : '1', 'volume_quantity' : '0', 'pieces_unit' : '3', 'pieces_quantity' : '0', 'cooking_notes' : ''}).status_code; print('%s :: %s :: %s :: %s :: %s' %(a,619,'Tomato','tomato','Minestrone soup'))</v>
      </c>
    </row>
    <row r="620" customFormat="false" ht="15" hidden="false" customHeight="false" outlineLevel="0" collapsed="false">
      <c r="G620" s="80" t="n">
        <v>620</v>
      </c>
      <c r="I620" s="168" t="s">
        <v>247</v>
      </c>
      <c r="J620" s="144" t="s">
        <v>55</v>
      </c>
      <c r="K620" s="145" t="n">
        <v>0.5</v>
      </c>
      <c r="L620" s="145" t="s">
        <v>7</v>
      </c>
      <c r="R620" s="82" t="str">
        <f aca="false">VLOOKUP(J620,ingredient!$N$4:$O$553,2,0)</f>
        <v>basil leaves</v>
      </c>
      <c r="U620" s="81" t="str">
        <f aca="false">I620</f>
        <v>Minestrone soup</v>
      </c>
      <c r="V620" s="81" t="n">
        <f aca="false">VLOOKUP(U620,recipe_ingred_list!$A$2:$B$300,2,0)</f>
        <v>46</v>
      </c>
      <c r="W620" s="81" t="str">
        <f aca="false">"/recipes/"&amp;VLOOKUP(U620,recipe_ingred_list!$A$2:$C$300,3,0)&amp;"/detail/"</f>
        <v>/recipes/minestrone-soup/detail/</v>
      </c>
      <c r="X620" s="81" t="str">
        <f aca="false">J620</f>
        <v>Basil Leaves</v>
      </c>
      <c r="Y620" s="81" t="str">
        <f aca="false">R620</f>
        <v>basil leaves</v>
      </c>
      <c r="Z620" s="94" t="n">
        <f aca="false">VLOOKUP(Y620,recipe_ingred_list!$D$2:$E$500,2,0)</f>
        <v>24</v>
      </c>
      <c r="AA620" s="61" t="n">
        <f aca="false">K620</f>
        <v>0.5</v>
      </c>
      <c r="AB620" s="61" t="str">
        <f aca="false">L620</f>
        <v>kg</v>
      </c>
      <c r="AC620" s="61" t="n">
        <f aca="false">VLOOKUP(AB620,recipe_ingred_list!$K$2:$M$7,3,0)</f>
        <v>2</v>
      </c>
      <c r="AD620" s="61" t="n">
        <f aca="false">M620</f>
        <v>0</v>
      </c>
      <c r="AE620" s="61" t="n">
        <f aca="false">N620</f>
        <v>0</v>
      </c>
      <c r="AF620" s="61" t="n">
        <f aca="false">VLOOKUP(AE620,recipe_ingred_list!$K$16:$M$25,3,0)</f>
        <v>1</v>
      </c>
      <c r="AG620" s="61" t="n">
        <f aca="false">O620</f>
        <v>0</v>
      </c>
      <c r="AH620" s="61" t="n">
        <f aca="false">P620</f>
        <v>0</v>
      </c>
      <c r="AI620" s="61" t="n">
        <f aca="false">VLOOKUP(AH620,recipe_ingred_list!$K$29:$M$34,3,0)</f>
        <v>3</v>
      </c>
      <c r="AJ620" s="61" t="str">
        <f aca="false">IF(Q620="","",Q620)</f>
        <v/>
      </c>
      <c r="AK620" s="61" t="n">
        <f aca="false">AK619+1</f>
        <v>620</v>
      </c>
      <c r="AL620" s="61" t="str">
        <f aca="false">Y620</f>
        <v>basil leaves</v>
      </c>
      <c r="AM620" s="81" t="str">
        <f aca="false">"a = Client().post('"&amp;W620&amp;"', {'recipe' : '"&amp;V620&amp;"', 'ingredient' : '"&amp;Z620&amp;"', 'name' : '"&amp;X620&amp;"', 'mass_unit' : '"&amp;AC620&amp;"', 'mass_quantity' : '"&amp;ROUND(AA620,3)&amp;"', 'volume_unit' : '"&amp;AF620&amp;"', 'volume_quantity' : '"&amp;ROUND(AD620,3)&amp;"', 'pieces_unit' : '"&amp;AI620&amp;"', 'pieces_quantity' : '"&amp;ROUND(AG620,3)&amp;"', 'cooking_notes' : '"&amp;AJ620&amp;"'}).status_code; print('%s :: %s :: %s :: %s :: %s' %(a,"&amp;G620&amp;",'"&amp;X620&amp;"','"&amp;Y620&amp;"','"&amp;U620&amp;"'))"</f>
        <v>a = Client().post('/recipes/minestrone-soup/detail/', {'recipe' : '46', 'ingredient' : '24', 'name' : 'Basil Leaves', 'mass_unit' : '2', 'mass_quantity' : '0.5', 'volume_unit' : '1', 'volume_quantity' : '0', 'pieces_unit' : '3', 'pieces_quantity' : '0', 'cooking_notes' : ''}).status_code; print('%s :: %s :: %s :: %s :: %s' %(a,620,'Basil Leaves','basil leaves','Minestrone soup'))</v>
      </c>
    </row>
    <row r="621" customFormat="false" ht="15" hidden="false" customHeight="false" outlineLevel="0" collapsed="false">
      <c r="G621" s="80" t="n">
        <v>621</v>
      </c>
      <c r="I621" s="168" t="s">
        <v>247</v>
      </c>
      <c r="J621" s="154" t="s">
        <v>502</v>
      </c>
      <c r="K621" s="145"/>
      <c r="L621" s="145"/>
      <c r="R621" s="82" t="str">
        <f aca="false">VLOOKUP(J621,ingredient!$N$4:$O$553,2,0)</f>
        <v>VEGETABLE STOCK</v>
      </c>
      <c r="U621" s="81" t="str">
        <f aca="false">I621</f>
        <v>Minestrone soup</v>
      </c>
      <c r="V621" s="81" t="n">
        <f aca="false">VLOOKUP(U621,recipe_ingred_list!$A$2:$B$300,2,0)</f>
        <v>46</v>
      </c>
      <c r="W621" s="81" t="str">
        <f aca="false">"/recipes/"&amp;VLOOKUP(U621,recipe_ingred_list!$A$2:$C$300,3,0)&amp;"/detail/"</f>
        <v>/recipes/minestrone-soup/detail/</v>
      </c>
      <c r="X621" s="81" t="str">
        <f aca="false">J621</f>
        <v>VEGETABLE STOCK</v>
      </c>
      <c r="Y621" s="81" t="str">
        <f aca="false">R621</f>
        <v>VEGETABLE STOCK</v>
      </c>
      <c r="Z621" s="94" t="n">
        <f aca="false">VLOOKUP(Y621,recipe_ingred_list!$D$2:$E$500,2,0)</f>
        <v>213</v>
      </c>
      <c r="AA621" s="61" t="n">
        <f aca="false">K621</f>
        <v>0</v>
      </c>
      <c r="AB621" s="61" t="n">
        <f aca="false">L621</f>
        <v>0</v>
      </c>
      <c r="AC621" s="61" t="n">
        <f aca="false">VLOOKUP(AB621,recipe_ingred_list!$K$2:$M$7,3,0)</f>
        <v>2</v>
      </c>
      <c r="AD621" s="61" t="n">
        <f aca="false">M621</f>
        <v>0</v>
      </c>
      <c r="AE621" s="61" t="n">
        <f aca="false">N621</f>
        <v>0</v>
      </c>
      <c r="AF621" s="61" t="n">
        <f aca="false">VLOOKUP(AE621,recipe_ingred_list!$K$16:$M$25,3,0)</f>
        <v>1</v>
      </c>
      <c r="AG621" s="61" t="n">
        <f aca="false">O621</f>
        <v>0</v>
      </c>
      <c r="AH621" s="61" t="n">
        <f aca="false">P621</f>
        <v>0</v>
      </c>
      <c r="AI621" s="61" t="n">
        <f aca="false">VLOOKUP(AH621,recipe_ingred_list!$K$29:$M$34,3,0)</f>
        <v>3</v>
      </c>
      <c r="AJ621" s="61" t="str">
        <f aca="false">IF(Q621="","",Q621)</f>
        <v/>
      </c>
      <c r="AK621" s="61" t="n">
        <f aca="false">AK620+1</f>
        <v>621</v>
      </c>
      <c r="AL621" s="61" t="str">
        <f aca="false">Y621</f>
        <v>VEGETABLE STOCK</v>
      </c>
      <c r="AM621" s="81" t="str">
        <f aca="false">"a = Client().post('"&amp;W621&amp;"', {'recipe' : '"&amp;V621&amp;"', 'ingredient' : '"&amp;Z621&amp;"', 'name' : '"&amp;X621&amp;"', 'mass_unit' : '"&amp;AC621&amp;"', 'mass_quantity' : '"&amp;ROUND(AA621,3)&amp;"', 'volume_unit' : '"&amp;AF621&amp;"', 'volume_quantity' : '"&amp;ROUND(AD621,3)&amp;"', 'pieces_unit' : '"&amp;AI621&amp;"', 'pieces_quantity' : '"&amp;ROUND(AG621,3)&amp;"', 'cooking_notes' : '"&amp;AJ621&amp;"'}).status_code; print('%s :: %s :: %s :: %s :: %s' %(a,"&amp;G621&amp;",'"&amp;X621&amp;"','"&amp;Y621&amp;"','"&amp;U621&amp;"'))"</f>
        <v>a = Client().post('/recipes/minestrone-soup/detail/', {'recipe' : '46', 'ingredient' : '213', 'name' : 'VEGETABLE STOCK', 'mass_unit' : '2', 'mass_quantity' : '0', 'volume_unit' : '1', 'volume_quantity' : '0', 'pieces_unit' : '3', 'pieces_quantity' : '0', 'cooking_notes' : ''}).status_code; print('%s :: %s :: %s :: %s :: %s' %(a,621,'VEGETABLE STOCK','VEGETABLE STOCK','Minestrone soup'))</v>
      </c>
    </row>
    <row r="622" customFormat="false" ht="15" hidden="false" customHeight="false" outlineLevel="0" collapsed="false">
      <c r="G622" s="80" t="n">
        <v>622</v>
      </c>
      <c r="I622" s="168" t="s">
        <v>247</v>
      </c>
      <c r="J622" s="144" t="s">
        <v>716</v>
      </c>
      <c r="K622" s="145" t="n">
        <v>150</v>
      </c>
      <c r="L622" s="145" t="s">
        <v>109</v>
      </c>
      <c r="R622" s="82" t="str">
        <f aca="false">VLOOKUP(J622,ingredient!$N$4:$O$553,2,0)</f>
        <v>parsley</v>
      </c>
      <c r="U622" s="81" t="str">
        <f aca="false">I622</f>
        <v>Minestrone soup</v>
      </c>
      <c r="V622" s="81" t="n">
        <f aca="false">VLOOKUP(U622,recipe_ingred_list!$A$2:$B$300,2,0)</f>
        <v>46</v>
      </c>
      <c r="W622" s="81" t="str">
        <f aca="false">"/recipes/"&amp;VLOOKUP(U622,recipe_ingred_list!$A$2:$C$300,3,0)&amp;"/detail/"</f>
        <v>/recipes/minestrone-soup/detail/</v>
      </c>
      <c r="X622" s="81" t="str">
        <f aca="false">J622</f>
        <v>Parsley</v>
      </c>
      <c r="Y622" s="81" t="str">
        <f aca="false">R622</f>
        <v>parsley</v>
      </c>
      <c r="Z622" s="94" t="n">
        <f aca="false">VLOOKUP(Y622,recipe_ingred_list!$D$2:$E$500,2,0)</f>
        <v>156</v>
      </c>
      <c r="AA622" s="61" t="n">
        <f aca="false">K622</f>
        <v>150</v>
      </c>
      <c r="AB622" s="61" t="str">
        <f aca="false">L622</f>
        <v>gm</v>
      </c>
      <c r="AC622" s="61" t="n">
        <f aca="false">VLOOKUP(AB622,recipe_ingred_list!$K$2:$M$7,3,0)</f>
        <v>7</v>
      </c>
      <c r="AD622" s="61" t="n">
        <f aca="false">M622</f>
        <v>0</v>
      </c>
      <c r="AE622" s="61" t="n">
        <f aca="false">N622</f>
        <v>0</v>
      </c>
      <c r="AF622" s="61" t="n">
        <f aca="false">VLOOKUP(AE622,recipe_ingred_list!$K$16:$M$25,3,0)</f>
        <v>1</v>
      </c>
      <c r="AG622" s="61" t="n">
        <f aca="false">O622</f>
        <v>0</v>
      </c>
      <c r="AH622" s="61" t="n">
        <f aca="false">P622</f>
        <v>0</v>
      </c>
      <c r="AI622" s="61" t="n">
        <f aca="false">VLOOKUP(AH622,recipe_ingred_list!$K$29:$M$34,3,0)</f>
        <v>3</v>
      </c>
      <c r="AJ622" s="61" t="str">
        <f aca="false">IF(Q622="","",Q622)</f>
        <v/>
      </c>
      <c r="AK622" s="61" t="n">
        <f aca="false">AK621+1</f>
        <v>622</v>
      </c>
      <c r="AL622" s="61" t="str">
        <f aca="false">Y622</f>
        <v>parsley</v>
      </c>
      <c r="AM622" s="81" t="str">
        <f aca="false">"a = Client().post('"&amp;W622&amp;"', {'recipe' : '"&amp;V622&amp;"', 'ingredient' : '"&amp;Z622&amp;"', 'name' : '"&amp;X622&amp;"', 'mass_unit' : '"&amp;AC622&amp;"', 'mass_quantity' : '"&amp;ROUND(AA622,3)&amp;"', 'volume_unit' : '"&amp;AF622&amp;"', 'volume_quantity' : '"&amp;ROUND(AD622,3)&amp;"', 'pieces_unit' : '"&amp;AI622&amp;"', 'pieces_quantity' : '"&amp;ROUND(AG622,3)&amp;"', 'cooking_notes' : '"&amp;AJ622&amp;"'}).status_code; print('%s :: %s :: %s :: %s :: %s' %(a,"&amp;G622&amp;",'"&amp;X622&amp;"','"&amp;Y622&amp;"','"&amp;U622&amp;"'))"</f>
        <v>a = Client().post('/recipes/minestrone-soup/detail/', {'recipe' : '46', 'ingredient' : '156', 'name' : 'Parsley', 'mass_unit' : '7', 'mass_quantity' : '150', 'volume_unit' : '1', 'volume_quantity' : '0', 'pieces_unit' : '3', 'pieces_quantity' : '0', 'cooking_notes' : ''}).status_code; print('%s :: %s :: %s :: %s :: %s' %(a,622,'Parsley','parsley','Minestrone soup'))</v>
      </c>
    </row>
    <row r="623" customFormat="false" ht="15" hidden="false" customHeight="false" outlineLevel="0" collapsed="false">
      <c r="G623" s="80" t="n">
        <v>623</v>
      </c>
      <c r="I623" s="168" t="s">
        <v>247</v>
      </c>
      <c r="J623" s="144" t="s">
        <v>717</v>
      </c>
      <c r="M623" s="145" t="n">
        <v>0.5</v>
      </c>
      <c r="N623" s="145" t="s">
        <v>13</v>
      </c>
      <c r="R623" s="82" t="str">
        <f aca="false">VLOOKUP(J623,ingredient!$N$4:$O$553,2,0)</f>
        <v>celery stick</v>
      </c>
      <c r="U623" s="81" t="str">
        <f aca="false">I623</f>
        <v>Minestrone soup</v>
      </c>
      <c r="V623" s="81" t="n">
        <f aca="false">VLOOKUP(U623,recipe_ingred_list!$A$2:$B$300,2,0)</f>
        <v>46</v>
      </c>
      <c r="W623" s="81" t="str">
        <f aca="false">"/recipes/"&amp;VLOOKUP(U623,recipe_ingred_list!$A$2:$C$300,3,0)&amp;"/detail/"</f>
        <v>/recipes/minestrone-soup/detail/</v>
      </c>
      <c r="X623" s="81" t="str">
        <f aca="false">J623</f>
        <v>Chopped Celery Stick</v>
      </c>
      <c r="Y623" s="81" t="str">
        <f aca="false">R623</f>
        <v>celery stick</v>
      </c>
      <c r="Z623" s="94" t="n">
        <f aca="false">VLOOKUP(Y623,recipe_ingred_list!$D$2:$E$500,2,0)</f>
        <v>45</v>
      </c>
      <c r="AA623" s="61" t="n">
        <f aca="false">K623</f>
        <v>0</v>
      </c>
      <c r="AB623" s="61" t="n">
        <f aca="false">L623</f>
        <v>0</v>
      </c>
      <c r="AC623" s="61" t="n">
        <f aca="false">VLOOKUP(AB623,recipe_ingred_list!$K$2:$M$7,3,0)</f>
        <v>2</v>
      </c>
      <c r="AD623" s="61" t="n">
        <f aca="false">M623</f>
        <v>0.5</v>
      </c>
      <c r="AE623" s="61" t="str">
        <f aca="false">N623</f>
        <v>ltr</v>
      </c>
      <c r="AF623" s="61" t="n">
        <f aca="false">VLOOKUP(AE623,recipe_ingred_list!$K$16:$M$25,3,0)</f>
        <v>1</v>
      </c>
      <c r="AG623" s="61" t="n">
        <f aca="false">O623</f>
        <v>0</v>
      </c>
      <c r="AH623" s="61" t="n">
        <f aca="false">P623</f>
        <v>0</v>
      </c>
      <c r="AI623" s="61" t="n">
        <f aca="false">VLOOKUP(AH623,recipe_ingred_list!$K$29:$M$34,3,0)</f>
        <v>3</v>
      </c>
      <c r="AJ623" s="61" t="str">
        <f aca="false">IF(Q623="","",Q623)</f>
        <v/>
      </c>
      <c r="AK623" s="61" t="n">
        <f aca="false">AK622+1</f>
        <v>623</v>
      </c>
      <c r="AL623" s="61" t="str">
        <f aca="false">Y623</f>
        <v>celery stick</v>
      </c>
      <c r="AM623" s="81" t="str">
        <f aca="false">"a = Client().post('"&amp;W623&amp;"', {'recipe' : '"&amp;V623&amp;"', 'ingredient' : '"&amp;Z623&amp;"', 'name' : '"&amp;X623&amp;"', 'mass_unit' : '"&amp;AC623&amp;"', 'mass_quantity' : '"&amp;ROUND(AA623,3)&amp;"', 'volume_unit' : '"&amp;AF623&amp;"', 'volume_quantity' : '"&amp;ROUND(AD623,3)&amp;"', 'pieces_unit' : '"&amp;AI623&amp;"', 'pieces_quantity' : '"&amp;ROUND(AG623,3)&amp;"', 'cooking_notes' : '"&amp;AJ623&amp;"'}).status_code; print('%s :: %s :: %s :: %s :: %s' %(a,"&amp;G623&amp;",'"&amp;X623&amp;"','"&amp;Y623&amp;"','"&amp;U623&amp;"'))"</f>
        <v>a = Client().post('/recipes/minestrone-soup/detail/', {'recipe' : '46', 'ingredient' : '45', 'name' : 'Chopped Celery Stick', 'mass_unit' : '2', 'mass_quantity' : '0', 'volume_unit' : '1', 'volume_quantity' : '0.5', 'pieces_unit' : '3', 'pieces_quantity' : '0', 'cooking_notes' : ''}).status_code; print('%s :: %s :: %s :: %s :: %s' %(a,623,'Chopped Celery Stick','celery stick','Minestrone soup'))</v>
      </c>
    </row>
    <row r="624" customFormat="false" ht="15" hidden="false" customHeight="false" outlineLevel="0" collapsed="false">
      <c r="G624" s="80" t="n">
        <v>624</v>
      </c>
      <c r="I624" s="168" t="s">
        <v>247</v>
      </c>
      <c r="J624" s="144" t="s">
        <v>718</v>
      </c>
      <c r="M624" s="145" t="n">
        <v>1</v>
      </c>
      <c r="N624" s="145" t="s">
        <v>20</v>
      </c>
      <c r="R624" s="82" t="str">
        <f aca="false">VLOOKUP(J624,ingredient!$N$4:$O$553,2,0)</f>
        <v>thyme</v>
      </c>
      <c r="U624" s="81" t="str">
        <f aca="false">I624</f>
        <v>Minestrone soup</v>
      </c>
      <c r="V624" s="81" t="n">
        <f aca="false">VLOOKUP(U624,recipe_ingred_list!$A$2:$B$300,2,0)</f>
        <v>46</v>
      </c>
      <c r="W624" s="81" t="str">
        <f aca="false">"/recipes/"&amp;VLOOKUP(U624,recipe_ingred_list!$A$2:$C$300,3,0)&amp;"/detail/"</f>
        <v>/recipes/minestrone-soup/detail/</v>
      </c>
      <c r="X624" s="81" t="str">
        <f aca="false">J624</f>
        <v>Thyme</v>
      </c>
      <c r="Y624" s="81" t="str">
        <f aca="false">R624</f>
        <v>thyme</v>
      </c>
      <c r="Z624" s="94" t="n">
        <f aca="false">VLOOKUP(Y624,recipe_ingred_list!$D$2:$E$500,2,0)</f>
        <v>193</v>
      </c>
      <c r="AA624" s="61" t="n">
        <f aca="false">K624</f>
        <v>0</v>
      </c>
      <c r="AB624" s="61" t="n">
        <f aca="false">L624</f>
        <v>0</v>
      </c>
      <c r="AC624" s="61" t="n">
        <f aca="false">VLOOKUP(AB624,recipe_ingred_list!$K$2:$M$7,3,0)</f>
        <v>2</v>
      </c>
      <c r="AD624" s="61" t="n">
        <f aca="false">M624</f>
        <v>1</v>
      </c>
      <c r="AE624" s="61" t="str">
        <f aca="false">N624</f>
        <v>cup</v>
      </c>
      <c r="AF624" s="61" t="n">
        <f aca="false">VLOOKUP(AE624,recipe_ingred_list!$K$16:$M$25,3,0)</f>
        <v>5</v>
      </c>
      <c r="AG624" s="61" t="n">
        <f aca="false">O624</f>
        <v>0</v>
      </c>
      <c r="AH624" s="61" t="n">
        <f aca="false">P624</f>
        <v>0</v>
      </c>
      <c r="AI624" s="61" t="n">
        <f aca="false">VLOOKUP(AH624,recipe_ingred_list!$K$29:$M$34,3,0)</f>
        <v>3</v>
      </c>
      <c r="AJ624" s="61" t="str">
        <f aca="false">IF(Q624="","",Q624)</f>
        <v/>
      </c>
      <c r="AK624" s="61" t="n">
        <f aca="false">AK623+1</f>
        <v>624</v>
      </c>
      <c r="AL624" s="61" t="str">
        <f aca="false">Y624</f>
        <v>thyme</v>
      </c>
      <c r="AM624" s="81" t="str">
        <f aca="false">"a = Client().post('"&amp;W624&amp;"', {'recipe' : '"&amp;V624&amp;"', 'ingredient' : '"&amp;Z624&amp;"', 'name' : '"&amp;X624&amp;"', 'mass_unit' : '"&amp;AC624&amp;"', 'mass_quantity' : '"&amp;ROUND(AA624,3)&amp;"', 'volume_unit' : '"&amp;AF624&amp;"', 'volume_quantity' : '"&amp;ROUND(AD624,3)&amp;"', 'pieces_unit' : '"&amp;AI624&amp;"', 'pieces_quantity' : '"&amp;ROUND(AG624,3)&amp;"', 'cooking_notes' : '"&amp;AJ624&amp;"'}).status_code; print('%s :: %s :: %s :: %s :: %s' %(a,"&amp;G624&amp;",'"&amp;X624&amp;"','"&amp;Y624&amp;"','"&amp;U624&amp;"'))"</f>
        <v>a = Client().post('/recipes/minestrone-soup/detail/', {'recipe' : '46', 'ingredient' : '193', 'name' : 'Thyme', 'mass_unit' : '2', 'mass_quantity' : '0', 'volume_unit' : '5', 'volume_quantity' : '1', 'pieces_unit' : '3', 'pieces_quantity' : '0', 'cooking_notes' : ''}).status_code; print('%s :: %s :: %s :: %s :: %s' %(a,624,'Thyme','thyme','Minestrone soup'))</v>
      </c>
    </row>
    <row r="625" customFormat="false" ht="15" hidden="false" customHeight="false" outlineLevel="0" collapsed="false">
      <c r="G625" s="80" t="n">
        <v>625</v>
      </c>
      <c r="I625" s="168" t="s">
        <v>247</v>
      </c>
      <c r="J625" s="144" t="s">
        <v>719</v>
      </c>
      <c r="M625" s="145" t="n">
        <v>3</v>
      </c>
      <c r="N625" s="145" t="s">
        <v>20</v>
      </c>
      <c r="R625" s="82" t="str">
        <f aca="false">VLOOKUP(J625,ingredient!$N$4:$O$553,2,0)</f>
        <v>rose merry</v>
      </c>
      <c r="U625" s="81" t="str">
        <f aca="false">I625</f>
        <v>Minestrone soup</v>
      </c>
      <c r="V625" s="81" t="n">
        <f aca="false">VLOOKUP(U625,recipe_ingred_list!$A$2:$B$300,2,0)</f>
        <v>46</v>
      </c>
      <c r="W625" s="81" t="str">
        <f aca="false">"/recipes/"&amp;VLOOKUP(U625,recipe_ingred_list!$A$2:$C$300,3,0)&amp;"/detail/"</f>
        <v>/recipes/minestrone-soup/detail/</v>
      </c>
      <c r="X625" s="81" t="str">
        <f aca="false">J625</f>
        <v>Rose merry</v>
      </c>
      <c r="Y625" s="81" t="str">
        <f aca="false">R625</f>
        <v>rose merry</v>
      </c>
      <c r="Z625" s="94" t="n">
        <f aca="false">VLOOKUP(Y625,recipe_ingred_list!$D$2:$E$500,2,0)</f>
        <v>173</v>
      </c>
      <c r="AA625" s="61" t="n">
        <f aca="false">K625</f>
        <v>0</v>
      </c>
      <c r="AB625" s="61" t="n">
        <f aca="false">L625</f>
        <v>0</v>
      </c>
      <c r="AC625" s="61" t="n">
        <f aca="false">VLOOKUP(AB625,recipe_ingred_list!$K$2:$M$7,3,0)</f>
        <v>2</v>
      </c>
      <c r="AD625" s="61" t="n">
        <f aca="false">M625</f>
        <v>3</v>
      </c>
      <c r="AE625" s="61" t="str">
        <f aca="false">N625</f>
        <v>cup</v>
      </c>
      <c r="AF625" s="61" t="n">
        <f aca="false">VLOOKUP(AE625,recipe_ingred_list!$K$16:$M$25,3,0)</f>
        <v>5</v>
      </c>
      <c r="AG625" s="61" t="n">
        <f aca="false">O625</f>
        <v>0</v>
      </c>
      <c r="AH625" s="61" t="n">
        <f aca="false">P625</f>
        <v>0</v>
      </c>
      <c r="AI625" s="61" t="n">
        <f aca="false">VLOOKUP(AH625,recipe_ingred_list!$K$29:$M$34,3,0)</f>
        <v>3</v>
      </c>
      <c r="AJ625" s="61" t="str">
        <f aca="false">IF(Q625="","",Q625)</f>
        <v/>
      </c>
      <c r="AK625" s="61" t="n">
        <f aca="false">AK624+1</f>
        <v>625</v>
      </c>
      <c r="AL625" s="61" t="str">
        <f aca="false">Y625</f>
        <v>rose merry</v>
      </c>
      <c r="AM625" s="81" t="str">
        <f aca="false">"a = Client().post('"&amp;W625&amp;"', {'recipe' : '"&amp;V625&amp;"', 'ingredient' : '"&amp;Z625&amp;"', 'name' : '"&amp;X625&amp;"', 'mass_unit' : '"&amp;AC625&amp;"', 'mass_quantity' : '"&amp;ROUND(AA625,3)&amp;"', 'volume_unit' : '"&amp;AF625&amp;"', 'volume_quantity' : '"&amp;ROUND(AD625,3)&amp;"', 'pieces_unit' : '"&amp;AI625&amp;"', 'pieces_quantity' : '"&amp;ROUND(AG625,3)&amp;"', 'cooking_notes' : '"&amp;AJ625&amp;"'}).status_code; print('%s :: %s :: %s :: %s :: %s' %(a,"&amp;G625&amp;",'"&amp;X625&amp;"','"&amp;Y625&amp;"','"&amp;U625&amp;"'))"</f>
        <v>a = Client().post('/recipes/minestrone-soup/detail/', {'recipe' : '46', 'ingredient' : '173', 'name' : 'Rose merry', 'mass_unit' : '2', 'mass_quantity' : '0', 'volume_unit' : '5', 'volume_quantity' : '3', 'pieces_unit' : '3', 'pieces_quantity' : '0', 'cooking_notes' : ''}).status_code; print('%s :: %s :: %s :: %s :: %s' %(a,625,'Rose merry','rose merry','Minestrone soup'))</v>
      </c>
    </row>
    <row r="626" customFormat="false" ht="15" hidden="false" customHeight="false" outlineLevel="0" collapsed="false">
      <c r="G626" s="80" t="n">
        <v>626</v>
      </c>
      <c r="I626" s="168" t="s">
        <v>247</v>
      </c>
      <c r="J626" s="144" t="s">
        <v>11</v>
      </c>
      <c r="K626" s="145" t="n">
        <v>1</v>
      </c>
      <c r="L626" s="145" t="s">
        <v>7</v>
      </c>
      <c r="R626" s="82" t="str">
        <f aca="false">VLOOKUP(J626,ingredient!$N$4:$O$553,2,0)</f>
        <v>gajar</v>
      </c>
      <c r="U626" s="81" t="str">
        <f aca="false">I626</f>
        <v>Minestrone soup</v>
      </c>
      <c r="V626" s="81" t="n">
        <f aca="false">VLOOKUP(U626,recipe_ingred_list!$A$2:$B$300,2,0)</f>
        <v>46</v>
      </c>
      <c r="W626" s="81" t="str">
        <f aca="false">"/recipes/"&amp;VLOOKUP(U626,recipe_ingred_list!$A$2:$C$300,3,0)&amp;"/detail/"</f>
        <v>/recipes/minestrone-soup/detail/</v>
      </c>
      <c r="X626" s="81" t="str">
        <f aca="false">J626</f>
        <v>Gajar</v>
      </c>
      <c r="Y626" s="81" t="str">
        <f aca="false">R626</f>
        <v>gajar</v>
      </c>
      <c r="Z626" s="94" t="n">
        <f aca="false">VLOOKUP(Y626,recipe_ingred_list!$D$2:$E$500,2,0)</f>
        <v>79</v>
      </c>
      <c r="AA626" s="61" t="n">
        <f aca="false">K626</f>
        <v>1</v>
      </c>
      <c r="AB626" s="61" t="str">
        <f aca="false">L626</f>
        <v>kg</v>
      </c>
      <c r="AC626" s="61" t="n">
        <f aca="false">VLOOKUP(AB626,recipe_ingred_list!$K$2:$M$7,3,0)</f>
        <v>2</v>
      </c>
      <c r="AD626" s="61" t="n">
        <f aca="false">M626</f>
        <v>0</v>
      </c>
      <c r="AE626" s="61" t="n">
        <f aca="false">N626</f>
        <v>0</v>
      </c>
      <c r="AF626" s="61" t="n">
        <f aca="false">VLOOKUP(AE626,recipe_ingred_list!$K$16:$M$25,3,0)</f>
        <v>1</v>
      </c>
      <c r="AG626" s="61" t="n">
        <f aca="false">O626</f>
        <v>0</v>
      </c>
      <c r="AH626" s="61" t="n">
        <f aca="false">P626</f>
        <v>0</v>
      </c>
      <c r="AI626" s="61" t="n">
        <f aca="false">VLOOKUP(AH626,recipe_ingred_list!$K$29:$M$34,3,0)</f>
        <v>3</v>
      </c>
      <c r="AJ626" s="61" t="str">
        <f aca="false">IF(Q626="","",Q626)</f>
        <v/>
      </c>
      <c r="AK626" s="61" t="n">
        <f aca="false">AK625+1</f>
        <v>626</v>
      </c>
      <c r="AL626" s="61" t="str">
        <f aca="false">Y626</f>
        <v>gajar</v>
      </c>
      <c r="AM626" s="81" t="str">
        <f aca="false">"a = Client().post('"&amp;W626&amp;"', {'recipe' : '"&amp;V626&amp;"', 'ingredient' : '"&amp;Z626&amp;"', 'name' : '"&amp;X626&amp;"', 'mass_unit' : '"&amp;AC626&amp;"', 'mass_quantity' : '"&amp;ROUND(AA626,3)&amp;"', 'volume_unit' : '"&amp;AF626&amp;"', 'volume_quantity' : '"&amp;ROUND(AD626,3)&amp;"', 'pieces_unit' : '"&amp;AI626&amp;"', 'pieces_quantity' : '"&amp;ROUND(AG626,3)&amp;"', 'cooking_notes' : '"&amp;AJ626&amp;"'}).status_code; print('%s :: %s :: %s :: %s :: %s' %(a,"&amp;G626&amp;",'"&amp;X626&amp;"','"&amp;Y626&amp;"','"&amp;U626&amp;"'))"</f>
        <v>a = Client().post('/recipes/minestrone-soup/detail/', {'recipe' : '46', 'ingredient' : '79', 'name' : 'Gajar', 'mass_unit' : '2', 'mass_quantity' : '1', 'volume_unit' : '1', 'volume_quantity' : '0', 'pieces_unit' : '3', 'pieces_quantity' : '0', 'cooking_notes' : ''}).status_code; print('%s :: %s :: %s :: %s :: %s' %(a,626,'Gajar','gajar','Minestrone soup'))</v>
      </c>
    </row>
    <row r="627" customFormat="false" ht="15" hidden="false" customHeight="false" outlineLevel="0" collapsed="false">
      <c r="G627" s="80" t="n">
        <v>627</v>
      </c>
      <c r="H627" s="98"/>
      <c r="I627" s="130" t="s">
        <v>247</v>
      </c>
      <c r="J627" s="152" t="s">
        <v>720</v>
      </c>
      <c r="K627" s="100"/>
      <c r="L627" s="100"/>
      <c r="M627" s="156" t="n">
        <v>33</v>
      </c>
      <c r="N627" s="156" t="s">
        <v>13</v>
      </c>
      <c r="O627" s="101"/>
      <c r="P627" s="100"/>
      <c r="Q627" s="102"/>
      <c r="R627" s="99" t="e">
        <f aca="false">VLOOKUP(J627,ingredient!$N$4:$O$553,2,0)</f>
        <v>#N/A</v>
      </c>
      <c r="S627" s="98"/>
      <c r="T627" s="98"/>
      <c r="U627" s="81" t="str">
        <f aca="false">I627</f>
        <v>Minestrone soup</v>
      </c>
      <c r="V627" s="81" t="n">
        <f aca="false">VLOOKUP(U627,recipe_ingred_list!$A$2:$B$300,2,0)</f>
        <v>46</v>
      </c>
      <c r="W627" s="81" t="str">
        <f aca="false">"/recipes/"&amp;VLOOKUP(U627,recipe_ingred_list!$A$2:$C$300,3,0)&amp;"/detail/"</f>
        <v>/recipes/minestrone-soup/detail/</v>
      </c>
      <c r="X627" s="81" t="str">
        <f aca="false">J627</f>
        <v>VEGETABLE STOCK  YIELD</v>
      </c>
      <c r="Y627" s="81" t="e">
        <f aca="false">R627</f>
        <v>#N/A</v>
      </c>
      <c r="Z627" s="94" t="e">
        <f aca="false">VLOOKUP(Y627,recipe_ingred_list!$D$2:$E$500,2,0)</f>
        <v>#N/A</v>
      </c>
      <c r="AA627" s="61" t="n">
        <f aca="false">K627</f>
        <v>0</v>
      </c>
      <c r="AB627" s="61" t="n">
        <f aca="false">L627</f>
        <v>0</v>
      </c>
      <c r="AC627" s="61" t="n">
        <f aca="false">VLOOKUP(AB627,recipe_ingred_list!$K$2:$M$7,3,0)</f>
        <v>2</v>
      </c>
      <c r="AD627" s="61" t="n">
        <f aca="false">M627</f>
        <v>33</v>
      </c>
      <c r="AE627" s="61" t="str">
        <f aca="false">N627</f>
        <v>ltr</v>
      </c>
      <c r="AF627" s="61" t="n">
        <f aca="false">VLOOKUP(AE627,recipe_ingred_list!$K$16:$M$25,3,0)</f>
        <v>1</v>
      </c>
      <c r="AG627" s="61" t="n">
        <f aca="false">O627</f>
        <v>0</v>
      </c>
      <c r="AH627" s="61" t="n">
        <f aca="false">P627</f>
        <v>0</v>
      </c>
      <c r="AI627" s="61" t="n">
        <f aca="false">VLOOKUP(AH627,recipe_ingred_list!$K$29:$M$34,3,0)</f>
        <v>3</v>
      </c>
      <c r="AJ627" s="61" t="str">
        <f aca="false">IF(Q627="","",Q627)</f>
        <v/>
      </c>
      <c r="AK627" s="61" t="n">
        <f aca="false">AK626+1</f>
        <v>627</v>
      </c>
      <c r="AL627" s="61" t="e">
        <f aca="false">Y627</f>
        <v>#N/A</v>
      </c>
      <c r="AM627" s="81" t="e">
        <f aca="false">"a = Client().post('"&amp;W627&amp;"', {'recipe' : '"&amp;V627&amp;"', 'ingredient' : '"&amp;Z627&amp;"', 'name' : '"&amp;X627&amp;"', 'mass_unit' : '"&amp;AC627&amp;"', 'mass_quantity' : '"&amp;ROUND(AA627,3)&amp;"', 'volume_unit' : '"&amp;AF627&amp;"', 'volume_quantity' : '"&amp;ROUND(AD627,3)&amp;"', 'pieces_unit' : '"&amp;AI627&amp;"', 'pieces_quantity' : '"&amp;ROUND(AG627,3)&amp;"', 'cooking_notes' : '"&amp;AJ627&amp;"'}).status_code; print('%s :: %s :: %s :: %s :: %s' %(a,"&amp;G627&amp;",'"&amp;X627&amp;"','"&amp;Y627&amp;"','"&amp;U627&amp;"'))"</f>
        <v>#N/A</v>
      </c>
    </row>
    <row r="628" customFormat="false" ht="15" hidden="false" customHeight="false" outlineLevel="0" collapsed="false">
      <c r="G628" s="80" t="n">
        <v>628</v>
      </c>
      <c r="I628" s="168" t="s">
        <v>247</v>
      </c>
      <c r="J628" s="144" t="s">
        <v>71</v>
      </c>
      <c r="M628" s="145" t="n">
        <v>1</v>
      </c>
      <c r="N628" s="145" t="s">
        <v>20</v>
      </c>
      <c r="R628" s="82" t="str">
        <f aca="false">VLOOKUP(J628,ingredient!$N$4:$O$553,2,0)</f>
        <v>salt</v>
      </c>
      <c r="U628" s="81" t="str">
        <f aca="false">I628</f>
        <v>Minestrone soup</v>
      </c>
      <c r="V628" s="81" t="n">
        <f aca="false">VLOOKUP(U628,recipe_ingred_list!$A$2:$B$300,2,0)</f>
        <v>46</v>
      </c>
      <c r="W628" s="81" t="str">
        <f aca="false">"/recipes/"&amp;VLOOKUP(U628,recipe_ingred_list!$A$2:$C$300,3,0)&amp;"/detail/"</f>
        <v>/recipes/minestrone-soup/detail/</v>
      </c>
      <c r="X628" s="81" t="str">
        <f aca="false">J628</f>
        <v>Salt </v>
      </c>
      <c r="Y628" s="81" t="str">
        <f aca="false">R628</f>
        <v>salt</v>
      </c>
      <c r="Z628" s="94" t="n">
        <f aca="false">VLOOKUP(Y628,recipe_ingred_list!$D$2:$E$500,2,0)</f>
        <v>177</v>
      </c>
      <c r="AA628" s="61" t="n">
        <f aca="false">K628</f>
        <v>0</v>
      </c>
      <c r="AB628" s="61" t="n">
        <f aca="false">L628</f>
        <v>0</v>
      </c>
      <c r="AC628" s="61" t="n">
        <f aca="false">VLOOKUP(AB628,recipe_ingred_list!$K$2:$M$7,3,0)</f>
        <v>2</v>
      </c>
      <c r="AD628" s="61" t="n">
        <f aca="false">M628</f>
        <v>1</v>
      </c>
      <c r="AE628" s="61" t="str">
        <f aca="false">N628</f>
        <v>cup</v>
      </c>
      <c r="AF628" s="61" t="n">
        <f aca="false">VLOOKUP(AE628,recipe_ingred_list!$K$16:$M$25,3,0)</f>
        <v>5</v>
      </c>
      <c r="AG628" s="61" t="n">
        <f aca="false">O628</f>
        <v>0</v>
      </c>
      <c r="AH628" s="61" t="n">
        <f aca="false">P628</f>
        <v>0</v>
      </c>
      <c r="AI628" s="61" t="n">
        <f aca="false">VLOOKUP(AH628,recipe_ingred_list!$K$29:$M$34,3,0)</f>
        <v>3</v>
      </c>
      <c r="AJ628" s="61" t="str">
        <f aca="false">IF(Q628="","",Q628)</f>
        <v/>
      </c>
      <c r="AK628" s="61" t="n">
        <f aca="false">AK627+1</f>
        <v>628</v>
      </c>
      <c r="AL628" s="61" t="str">
        <f aca="false">Y628</f>
        <v>salt</v>
      </c>
      <c r="AM628" s="81" t="str">
        <f aca="false">"a = Client().post('"&amp;W628&amp;"', {'recipe' : '"&amp;V628&amp;"', 'ingredient' : '"&amp;Z628&amp;"', 'name' : '"&amp;X628&amp;"', 'mass_unit' : '"&amp;AC628&amp;"', 'mass_quantity' : '"&amp;ROUND(AA628,3)&amp;"', 'volume_unit' : '"&amp;AF628&amp;"', 'volume_quantity' : '"&amp;ROUND(AD628,3)&amp;"', 'pieces_unit' : '"&amp;AI628&amp;"', 'pieces_quantity' : '"&amp;ROUND(AG628,3)&amp;"', 'cooking_notes' : '"&amp;AJ628&amp;"'}).status_code; print('%s :: %s :: %s :: %s :: %s' %(a,"&amp;G628&amp;",'"&amp;X628&amp;"','"&amp;Y628&amp;"','"&amp;U628&amp;"'))"</f>
        <v>a = Client().post('/recipes/minestrone-soup/detail/', {'recipe' : '46', 'ingredient' : '177', 'name' : 'Salt ', 'mass_unit' : '2', 'mass_quantity' : '0', 'volume_unit' : '5', 'volume_quantity' : '1', 'pieces_unit' : '3', 'pieces_quantity' : '0', 'cooking_notes' : ''}).status_code; print('%s :: %s :: %s :: %s :: %s' %(a,628,'Salt ','salt','Minestrone soup'))</v>
      </c>
    </row>
    <row r="629" customFormat="false" ht="15" hidden="false" customHeight="false" outlineLevel="0" collapsed="false">
      <c r="G629" s="80" t="n">
        <v>629</v>
      </c>
      <c r="I629" s="168" t="s">
        <v>247</v>
      </c>
      <c r="J629" s="142" t="s">
        <v>86</v>
      </c>
      <c r="M629" s="69" t="n">
        <v>1</v>
      </c>
      <c r="N629" s="69" t="s">
        <v>13</v>
      </c>
      <c r="R629" s="82" t="str">
        <f aca="false">VLOOKUP(J629,ingredient!$N$4:$O$553,2,0)</f>
        <v>evoo</v>
      </c>
      <c r="U629" s="81" t="str">
        <f aca="false">I629</f>
        <v>Minestrone soup</v>
      </c>
      <c r="V629" s="81" t="n">
        <f aca="false">VLOOKUP(U629,recipe_ingred_list!$A$2:$B$300,2,0)</f>
        <v>46</v>
      </c>
      <c r="W629" s="81" t="str">
        <f aca="false">"/recipes/"&amp;VLOOKUP(U629,recipe_ingred_list!$A$2:$C$300,3,0)&amp;"/detail/"</f>
        <v>/recipes/minestrone-soup/detail/</v>
      </c>
      <c r="X629" s="81" t="str">
        <f aca="false">J629</f>
        <v>EVOO</v>
      </c>
      <c r="Y629" s="81" t="str">
        <f aca="false">R629</f>
        <v>evoo</v>
      </c>
      <c r="Z629" s="94" t="n">
        <f aca="false">VLOOKUP(Y629,recipe_ingred_list!$D$2:$E$500,2,0)</f>
        <v>76</v>
      </c>
      <c r="AA629" s="61" t="n">
        <f aca="false">K629</f>
        <v>0</v>
      </c>
      <c r="AB629" s="61" t="n">
        <f aca="false">L629</f>
        <v>0</v>
      </c>
      <c r="AC629" s="61" t="n">
        <f aca="false">VLOOKUP(AB629,recipe_ingred_list!$K$2:$M$7,3,0)</f>
        <v>2</v>
      </c>
      <c r="AD629" s="61" t="n">
        <f aca="false">M629</f>
        <v>1</v>
      </c>
      <c r="AE629" s="61" t="str">
        <f aca="false">N629</f>
        <v>ltr</v>
      </c>
      <c r="AF629" s="61" t="n">
        <f aca="false">VLOOKUP(AE629,recipe_ingred_list!$K$16:$M$25,3,0)</f>
        <v>1</v>
      </c>
      <c r="AG629" s="61" t="n">
        <f aca="false">O629</f>
        <v>0</v>
      </c>
      <c r="AH629" s="61" t="n">
        <f aca="false">P629</f>
        <v>0</v>
      </c>
      <c r="AI629" s="61" t="n">
        <f aca="false">VLOOKUP(AH629,recipe_ingred_list!$K$29:$M$34,3,0)</f>
        <v>3</v>
      </c>
      <c r="AJ629" s="61" t="str">
        <f aca="false">IF(Q629="","",Q629)</f>
        <v/>
      </c>
      <c r="AK629" s="61" t="n">
        <f aca="false">AK628+1</f>
        <v>629</v>
      </c>
      <c r="AL629" s="61" t="str">
        <f aca="false">Y629</f>
        <v>evoo</v>
      </c>
      <c r="AM629" s="81" t="str">
        <f aca="false">"a = Client().post('"&amp;W629&amp;"', {'recipe' : '"&amp;V629&amp;"', 'ingredient' : '"&amp;Z629&amp;"', 'name' : '"&amp;X629&amp;"', 'mass_unit' : '"&amp;AC629&amp;"', 'mass_quantity' : '"&amp;ROUND(AA629,3)&amp;"', 'volume_unit' : '"&amp;AF629&amp;"', 'volume_quantity' : '"&amp;ROUND(AD629,3)&amp;"', 'pieces_unit' : '"&amp;AI629&amp;"', 'pieces_quantity' : '"&amp;ROUND(AG629,3)&amp;"', 'cooking_notes' : '"&amp;AJ629&amp;"'}).status_code; print('%s :: %s :: %s :: %s :: %s' %(a,"&amp;G629&amp;",'"&amp;X629&amp;"','"&amp;Y629&amp;"','"&amp;U629&amp;"'))"</f>
        <v>a = Client().post('/recipes/minestrone-soup/detail/', {'recipe' : '46', 'ingredient' : '76', 'name' : 'EVOO', 'mass_unit' : '2', 'mass_quantity' : '0', 'volume_unit' : '1', 'volume_quantity' : '1', 'pieces_unit' : '3', 'pieces_quantity' : '0', 'cooking_notes' : ''}).status_code; print('%s :: %s :: %s :: %s :: %s' %(a,629,'EVOO','evoo','Minestrone soup'))</v>
      </c>
    </row>
    <row r="630" customFormat="false" ht="15" hidden="false" customHeight="false" outlineLevel="0" collapsed="false">
      <c r="G630" s="80" t="n">
        <v>630</v>
      </c>
      <c r="I630" s="168" t="s">
        <v>247</v>
      </c>
      <c r="J630" s="142" t="s">
        <v>650</v>
      </c>
      <c r="M630" s="69" t="n">
        <v>0.7</v>
      </c>
      <c r="N630" s="69" t="s">
        <v>20</v>
      </c>
      <c r="R630" s="82" t="str">
        <f aca="false">VLOOKUP(J630,ingredient!$N$4:$O$553,2,0)</f>
        <v>hing</v>
      </c>
      <c r="U630" s="81" t="str">
        <f aca="false">I630</f>
        <v>Minestrone soup</v>
      </c>
      <c r="V630" s="81" t="n">
        <f aca="false">VLOOKUP(U630,recipe_ingred_list!$A$2:$B$300,2,0)</f>
        <v>46</v>
      </c>
      <c r="W630" s="81" t="str">
        <f aca="false">"/recipes/"&amp;VLOOKUP(U630,recipe_ingred_list!$A$2:$C$300,3,0)&amp;"/detail/"</f>
        <v>/recipes/minestrone-soup/detail/</v>
      </c>
      <c r="X630" s="81" t="str">
        <f aca="false">J630</f>
        <v>Hing </v>
      </c>
      <c r="Y630" s="81" t="str">
        <f aca="false">R630</f>
        <v>hing</v>
      </c>
      <c r="Z630" s="94" t="n">
        <f aca="false">VLOOKUP(Y630,recipe_ingred_list!$D$2:$E$500,2,0)</f>
        <v>95</v>
      </c>
      <c r="AA630" s="61" t="n">
        <f aca="false">K630</f>
        <v>0</v>
      </c>
      <c r="AB630" s="61" t="n">
        <f aca="false">L630</f>
        <v>0</v>
      </c>
      <c r="AC630" s="61" t="n">
        <f aca="false">VLOOKUP(AB630,recipe_ingred_list!$K$2:$M$7,3,0)</f>
        <v>2</v>
      </c>
      <c r="AD630" s="61" t="n">
        <f aca="false">M630</f>
        <v>0.7</v>
      </c>
      <c r="AE630" s="61" t="str">
        <f aca="false">N630</f>
        <v>cup</v>
      </c>
      <c r="AF630" s="61" t="n">
        <f aca="false">VLOOKUP(AE630,recipe_ingred_list!$K$16:$M$25,3,0)</f>
        <v>5</v>
      </c>
      <c r="AG630" s="61" t="n">
        <f aca="false">O630</f>
        <v>0</v>
      </c>
      <c r="AH630" s="61" t="n">
        <f aca="false">P630</f>
        <v>0</v>
      </c>
      <c r="AI630" s="61" t="n">
        <f aca="false">VLOOKUP(AH630,recipe_ingred_list!$K$29:$M$34,3,0)</f>
        <v>3</v>
      </c>
      <c r="AJ630" s="61" t="str">
        <f aca="false">IF(Q630="","",Q630)</f>
        <v/>
      </c>
      <c r="AK630" s="61" t="n">
        <f aca="false">AK629+1</f>
        <v>630</v>
      </c>
      <c r="AL630" s="61" t="str">
        <f aca="false">Y630</f>
        <v>hing</v>
      </c>
      <c r="AM630" s="81" t="str">
        <f aca="false">"a = Client().post('"&amp;W630&amp;"', {'recipe' : '"&amp;V630&amp;"', 'ingredient' : '"&amp;Z630&amp;"', 'name' : '"&amp;X630&amp;"', 'mass_unit' : '"&amp;AC630&amp;"', 'mass_quantity' : '"&amp;ROUND(AA630,3)&amp;"', 'volume_unit' : '"&amp;AF630&amp;"', 'volume_quantity' : '"&amp;ROUND(AD630,3)&amp;"', 'pieces_unit' : '"&amp;AI630&amp;"', 'pieces_quantity' : '"&amp;ROUND(AG630,3)&amp;"', 'cooking_notes' : '"&amp;AJ630&amp;"'}).status_code; print('%s :: %s :: %s :: %s :: %s' %(a,"&amp;G630&amp;",'"&amp;X630&amp;"','"&amp;Y630&amp;"','"&amp;U630&amp;"'))"</f>
        <v>a = Client().post('/recipes/minestrone-soup/detail/', {'recipe' : '46', 'ingredient' : '95', 'name' : 'Hing ', 'mass_unit' : '2', 'mass_quantity' : '0', 'volume_unit' : '5', 'volume_quantity' : '0.7', 'pieces_unit' : '3', 'pieces_quantity' : '0', 'cooking_notes' : ''}).status_code; print('%s :: %s :: %s :: %s :: %s' %(a,630,'Hing ','hing','Minestrone soup'))</v>
      </c>
    </row>
    <row r="631" customFormat="false" ht="15" hidden="false" customHeight="false" outlineLevel="0" collapsed="false">
      <c r="G631" s="80" t="n">
        <v>631</v>
      </c>
      <c r="I631" s="168" t="s">
        <v>247</v>
      </c>
      <c r="J631" s="142" t="s">
        <v>30</v>
      </c>
      <c r="M631" s="69" t="n">
        <v>0.7</v>
      </c>
      <c r="N631" s="69" t="s">
        <v>20</v>
      </c>
      <c r="R631" s="82" t="str">
        <f aca="false">VLOOKUP(J631,ingredient!$N$4:$O$553,2,0)</f>
        <v>black pepper</v>
      </c>
      <c r="U631" s="81" t="str">
        <f aca="false">I631</f>
        <v>Minestrone soup</v>
      </c>
      <c r="V631" s="81" t="n">
        <f aca="false">VLOOKUP(U631,recipe_ingred_list!$A$2:$B$300,2,0)</f>
        <v>46</v>
      </c>
      <c r="W631" s="81" t="str">
        <f aca="false">"/recipes/"&amp;VLOOKUP(U631,recipe_ingred_list!$A$2:$C$300,3,0)&amp;"/detail/"</f>
        <v>/recipes/minestrone-soup/detail/</v>
      </c>
      <c r="X631" s="81" t="str">
        <f aca="false">J631</f>
        <v>Black Pepper Pwd</v>
      </c>
      <c r="Y631" s="81" t="str">
        <f aca="false">R631</f>
        <v>black pepper</v>
      </c>
      <c r="Z631" s="94" t="n">
        <f aca="false">VLOOKUP(Y631,recipe_ingred_list!$D$2:$E$500,2,0)</f>
        <v>31</v>
      </c>
      <c r="AA631" s="61" t="n">
        <f aca="false">K631</f>
        <v>0</v>
      </c>
      <c r="AB631" s="61" t="n">
        <f aca="false">L631</f>
        <v>0</v>
      </c>
      <c r="AC631" s="61" t="n">
        <f aca="false">VLOOKUP(AB631,recipe_ingred_list!$K$2:$M$7,3,0)</f>
        <v>2</v>
      </c>
      <c r="AD631" s="61" t="n">
        <f aca="false">M631</f>
        <v>0.7</v>
      </c>
      <c r="AE631" s="61" t="str">
        <f aca="false">N631</f>
        <v>cup</v>
      </c>
      <c r="AF631" s="61" t="n">
        <f aca="false">VLOOKUP(AE631,recipe_ingred_list!$K$16:$M$25,3,0)</f>
        <v>5</v>
      </c>
      <c r="AG631" s="61" t="n">
        <f aca="false">O631</f>
        <v>0</v>
      </c>
      <c r="AH631" s="61" t="n">
        <f aca="false">P631</f>
        <v>0</v>
      </c>
      <c r="AI631" s="61" t="n">
        <f aca="false">VLOOKUP(AH631,recipe_ingred_list!$K$29:$M$34,3,0)</f>
        <v>3</v>
      </c>
      <c r="AJ631" s="61" t="str">
        <f aca="false">IF(Q631="","",Q631)</f>
        <v/>
      </c>
      <c r="AK631" s="61" t="n">
        <f aca="false">AK630+1</f>
        <v>631</v>
      </c>
      <c r="AL631" s="61" t="str">
        <f aca="false">Y631</f>
        <v>black pepper</v>
      </c>
      <c r="AM631" s="81" t="str">
        <f aca="false">"a = Client().post('"&amp;W631&amp;"', {'recipe' : '"&amp;V631&amp;"', 'ingredient' : '"&amp;Z631&amp;"', 'name' : '"&amp;X631&amp;"', 'mass_unit' : '"&amp;AC631&amp;"', 'mass_quantity' : '"&amp;ROUND(AA631,3)&amp;"', 'volume_unit' : '"&amp;AF631&amp;"', 'volume_quantity' : '"&amp;ROUND(AD631,3)&amp;"', 'pieces_unit' : '"&amp;AI631&amp;"', 'pieces_quantity' : '"&amp;ROUND(AG631,3)&amp;"', 'cooking_notes' : '"&amp;AJ631&amp;"'}).status_code; print('%s :: %s :: %s :: %s :: %s' %(a,"&amp;G631&amp;",'"&amp;X631&amp;"','"&amp;Y631&amp;"','"&amp;U631&amp;"'))"</f>
        <v>a = Client().post('/recipes/minestrone-soup/detail/', {'recipe' : '46', 'ingredient' : '31', 'name' : 'Black Pepper Pwd', 'mass_unit' : '2', 'mass_quantity' : '0', 'volume_unit' : '5', 'volume_quantity' : '0.7', 'pieces_unit' : '3', 'pieces_quantity' : '0', 'cooking_notes' : ''}).status_code; print('%s :: %s :: %s :: %s :: %s' %(a,631,'Black Pepper Pwd','black pepper','Minestrone soup'))</v>
      </c>
    </row>
    <row r="632" customFormat="false" ht="15" hidden="false" customHeight="false" outlineLevel="0" collapsed="false">
      <c r="G632" s="80" t="n">
        <v>632</v>
      </c>
      <c r="I632" s="168" t="s">
        <v>247</v>
      </c>
      <c r="J632" s="142" t="s">
        <v>717</v>
      </c>
      <c r="K632" s="0"/>
      <c r="L632" s="0"/>
      <c r="M632" s="69" t="n">
        <v>1</v>
      </c>
      <c r="N632" s="69" t="s">
        <v>13</v>
      </c>
      <c r="R632" s="82" t="str">
        <f aca="false">VLOOKUP(J632,ingredient!$N$4:$O$553,2,0)</f>
        <v>celery stick</v>
      </c>
      <c r="U632" s="81" t="str">
        <f aca="false">I632</f>
        <v>Minestrone soup</v>
      </c>
      <c r="V632" s="81" t="n">
        <f aca="false">VLOOKUP(U632,recipe_ingred_list!$A$2:$B$300,2,0)</f>
        <v>46</v>
      </c>
      <c r="W632" s="81" t="str">
        <f aca="false">"/recipes/"&amp;VLOOKUP(U632,recipe_ingred_list!$A$2:$C$300,3,0)&amp;"/detail/"</f>
        <v>/recipes/minestrone-soup/detail/</v>
      </c>
      <c r="X632" s="81" t="str">
        <f aca="false">J632</f>
        <v>Chopped Celery Stick</v>
      </c>
      <c r="Y632" s="81" t="str">
        <f aca="false">R632</f>
        <v>celery stick</v>
      </c>
      <c r="Z632" s="94" t="n">
        <f aca="false">VLOOKUP(Y632,recipe_ingred_list!$D$2:$E$500,2,0)</f>
        <v>45</v>
      </c>
      <c r="AA632" s="61" t="n">
        <f aca="false">K632</f>
        <v>0</v>
      </c>
      <c r="AB632" s="61" t="n">
        <f aca="false">L632</f>
        <v>0</v>
      </c>
      <c r="AC632" s="61" t="n">
        <f aca="false">VLOOKUP(AB632,recipe_ingred_list!$K$2:$M$7,3,0)</f>
        <v>2</v>
      </c>
      <c r="AD632" s="61" t="n">
        <f aca="false">M632</f>
        <v>1</v>
      </c>
      <c r="AE632" s="61" t="str">
        <f aca="false">N632</f>
        <v>ltr</v>
      </c>
      <c r="AF632" s="61" t="n">
        <f aca="false">VLOOKUP(AE632,recipe_ingred_list!$K$16:$M$25,3,0)</f>
        <v>1</v>
      </c>
      <c r="AG632" s="61" t="n">
        <f aca="false">O632</f>
        <v>0</v>
      </c>
      <c r="AH632" s="61" t="n">
        <f aca="false">P632</f>
        <v>0</v>
      </c>
      <c r="AI632" s="61" t="n">
        <f aca="false">VLOOKUP(AH632,recipe_ingred_list!$K$29:$M$34,3,0)</f>
        <v>3</v>
      </c>
      <c r="AJ632" s="61" t="str">
        <f aca="false">IF(Q632="","",Q632)</f>
        <v/>
      </c>
      <c r="AK632" s="61" t="n">
        <f aca="false">AK631+1</f>
        <v>632</v>
      </c>
      <c r="AL632" s="61" t="str">
        <f aca="false">Y632</f>
        <v>celery stick</v>
      </c>
      <c r="AM632" s="81" t="str">
        <f aca="false">"a = Client().post('"&amp;W632&amp;"', {'recipe' : '"&amp;V632&amp;"', 'ingredient' : '"&amp;Z632&amp;"', 'name' : '"&amp;X632&amp;"', 'mass_unit' : '"&amp;AC632&amp;"', 'mass_quantity' : '"&amp;ROUND(AA632,3)&amp;"', 'volume_unit' : '"&amp;AF632&amp;"', 'volume_quantity' : '"&amp;ROUND(AD632,3)&amp;"', 'pieces_unit' : '"&amp;AI632&amp;"', 'pieces_quantity' : '"&amp;ROUND(AG632,3)&amp;"', 'cooking_notes' : '"&amp;AJ632&amp;"'}).status_code; print('%s :: %s :: %s :: %s :: %s' %(a,"&amp;G632&amp;",'"&amp;X632&amp;"','"&amp;Y632&amp;"','"&amp;U632&amp;"'))"</f>
        <v>a = Client().post('/recipes/minestrone-soup/detail/', {'recipe' : '46', 'ingredient' : '45', 'name' : 'Chopped Celery Stick', 'mass_unit' : '2', 'mass_quantity' : '0', 'volume_unit' : '1', 'volume_quantity' : '1', 'pieces_unit' : '3', 'pieces_quantity' : '0', 'cooking_notes' : ''}).status_code; print('%s :: %s :: %s :: %s :: %s' %(a,632,'Chopped Celery Stick','celery stick','Minestrone soup'))</v>
      </c>
    </row>
    <row r="633" customFormat="false" ht="15" hidden="false" customHeight="false" outlineLevel="0" collapsed="false">
      <c r="G633" s="80" t="n">
        <v>633</v>
      </c>
      <c r="I633" s="168" t="s">
        <v>247</v>
      </c>
      <c r="J633" s="142" t="s">
        <v>721</v>
      </c>
      <c r="O633" s="69" t="n">
        <v>1</v>
      </c>
      <c r="P633" s="69" t="s">
        <v>107</v>
      </c>
      <c r="R633" s="82" t="str">
        <f aca="false">VLOOKUP(J633,ingredient!$N$4:$O$553,2,0)</f>
        <v>fennel bulb</v>
      </c>
      <c r="U633" s="81" t="str">
        <f aca="false">I633</f>
        <v>Minestrone soup</v>
      </c>
      <c r="V633" s="81" t="n">
        <f aca="false">VLOOKUP(U633,recipe_ingred_list!$A$2:$B$300,2,0)</f>
        <v>46</v>
      </c>
      <c r="W633" s="81" t="str">
        <f aca="false">"/recipes/"&amp;VLOOKUP(U633,recipe_ingred_list!$A$2:$C$300,3,0)&amp;"/detail/"</f>
        <v>/recipes/minestrone-soup/detail/</v>
      </c>
      <c r="X633" s="81" t="str">
        <f aca="false">J633</f>
        <v>Fennel Bulb</v>
      </c>
      <c r="Y633" s="81" t="str">
        <f aca="false">R633</f>
        <v>fennel bulb</v>
      </c>
      <c r="Z633" s="94" t="n">
        <f aca="false">VLOOKUP(Y633,recipe_ingred_list!$D$2:$E$500,2,0)</f>
        <v>77</v>
      </c>
      <c r="AA633" s="61" t="n">
        <f aca="false">K633</f>
        <v>0</v>
      </c>
      <c r="AB633" s="61" t="n">
        <f aca="false">L633</f>
        <v>0</v>
      </c>
      <c r="AC633" s="61" t="n">
        <f aca="false">VLOOKUP(AB633,recipe_ingred_list!$K$2:$M$7,3,0)</f>
        <v>2</v>
      </c>
      <c r="AD633" s="61" t="n">
        <f aca="false">M633</f>
        <v>0</v>
      </c>
      <c r="AE633" s="61" t="n">
        <f aca="false">N633</f>
        <v>0</v>
      </c>
      <c r="AF633" s="61" t="n">
        <f aca="false">VLOOKUP(AE633,recipe_ingred_list!$K$16:$M$25,3,0)</f>
        <v>1</v>
      </c>
      <c r="AG633" s="61" t="n">
        <f aca="false">O633</f>
        <v>1</v>
      </c>
      <c r="AH633" s="61" t="str">
        <f aca="false">P633</f>
        <v>pcs</v>
      </c>
      <c r="AI633" s="61" t="n">
        <f aca="false">VLOOKUP(AH633,recipe_ingred_list!$K$29:$M$34,3,0)</f>
        <v>3</v>
      </c>
      <c r="AJ633" s="61" t="str">
        <f aca="false">IF(Q633="","",Q633)</f>
        <v/>
      </c>
      <c r="AK633" s="61" t="n">
        <f aca="false">AK632+1</f>
        <v>633</v>
      </c>
      <c r="AL633" s="61" t="str">
        <f aca="false">Y633</f>
        <v>fennel bulb</v>
      </c>
      <c r="AM633" s="81" t="str">
        <f aca="false">"a = Client().post('"&amp;W633&amp;"', {'recipe' : '"&amp;V633&amp;"', 'ingredient' : '"&amp;Z633&amp;"', 'name' : '"&amp;X633&amp;"', 'mass_unit' : '"&amp;AC633&amp;"', 'mass_quantity' : '"&amp;ROUND(AA633,3)&amp;"', 'volume_unit' : '"&amp;AF633&amp;"', 'volume_quantity' : '"&amp;ROUND(AD633,3)&amp;"', 'pieces_unit' : '"&amp;AI633&amp;"', 'pieces_quantity' : '"&amp;ROUND(AG633,3)&amp;"', 'cooking_notes' : '"&amp;AJ633&amp;"'}).status_code; print('%s :: %s :: %s :: %s :: %s' %(a,"&amp;G633&amp;",'"&amp;X633&amp;"','"&amp;Y633&amp;"','"&amp;U633&amp;"'))"</f>
        <v>a = Client().post('/recipes/minestrone-soup/detail/', {'recipe' : '46', 'ingredient' : '77', 'name' : 'Fennel Bulb', 'mass_unit' : '2', 'mass_quantity' : '0', 'volume_unit' : '1', 'volume_quantity' : '0', 'pieces_unit' : '3', 'pieces_quantity' : '1', 'cooking_notes' : ''}).status_code; print('%s :: %s :: %s :: %s :: %s' %(a,633,'Fennel Bulb','fennel bulb','Minestrone soup'))</v>
      </c>
    </row>
    <row r="634" customFormat="false" ht="15" hidden="false" customHeight="false" outlineLevel="0" collapsed="false">
      <c r="G634" s="80" t="n">
        <v>634</v>
      </c>
      <c r="I634" s="168" t="s">
        <v>247</v>
      </c>
      <c r="J634" s="144" t="s">
        <v>722</v>
      </c>
      <c r="K634" s="145" t="n">
        <v>0.5</v>
      </c>
      <c r="L634" s="145" t="s">
        <v>7</v>
      </c>
      <c r="R634" s="82" t="str">
        <f aca="false">VLOOKUP(J634,ingredient!$N$4:$O$553,2,0)</f>
        <v>brown sugar</v>
      </c>
      <c r="U634" s="81" t="str">
        <f aca="false">I634</f>
        <v>Minestrone soup</v>
      </c>
      <c r="V634" s="81" t="n">
        <f aca="false">VLOOKUP(U634,recipe_ingred_list!$A$2:$B$300,2,0)</f>
        <v>46</v>
      </c>
      <c r="W634" s="81" t="str">
        <f aca="false">"/recipes/"&amp;VLOOKUP(U634,recipe_ingred_list!$A$2:$C$300,3,0)&amp;"/detail/"</f>
        <v>/recipes/minestrone-soup/detail/</v>
      </c>
      <c r="X634" s="81" t="str">
        <f aca="false">J634</f>
        <v>Blue bird Brown sugar (bluebird)</v>
      </c>
      <c r="Y634" s="81" t="str">
        <f aca="false">R634</f>
        <v>brown sugar</v>
      </c>
      <c r="Z634" s="94" t="n">
        <f aca="false">VLOOKUP(Y634,recipe_ingred_list!$D$2:$E$500,2,0)</f>
        <v>37</v>
      </c>
      <c r="AA634" s="61" t="n">
        <f aca="false">K634</f>
        <v>0.5</v>
      </c>
      <c r="AB634" s="61" t="str">
        <f aca="false">L634</f>
        <v>kg</v>
      </c>
      <c r="AC634" s="61" t="n">
        <f aca="false">VLOOKUP(AB634,recipe_ingred_list!$K$2:$M$7,3,0)</f>
        <v>2</v>
      </c>
      <c r="AD634" s="61" t="n">
        <f aca="false">M634</f>
        <v>0</v>
      </c>
      <c r="AE634" s="61" t="n">
        <f aca="false">N634</f>
        <v>0</v>
      </c>
      <c r="AF634" s="61" t="n">
        <f aca="false">VLOOKUP(AE634,recipe_ingred_list!$K$16:$M$25,3,0)</f>
        <v>1</v>
      </c>
      <c r="AG634" s="61" t="n">
        <f aca="false">O634</f>
        <v>0</v>
      </c>
      <c r="AH634" s="61" t="n">
        <f aca="false">P634</f>
        <v>0</v>
      </c>
      <c r="AI634" s="61" t="n">
        <f aca="false">VLOOKUP(AH634,recipe_ingred_list!$K$29:$M$34,3,0)</f>
        <v>3</v>
      </c>
      <c r="AJ634" s="61" t="str">
        <f aca="false">IF(Q634="","",Q634)</f>
        <v/>
      </c>
      <c r="AK634" s="61" t="n">
        <f aca="false">AK633+1</f>
        <v>634</v>
      </c>
      <c r="AL634" s="61" t="str">
        <f aca="false">Y634</f>
        <v>brown sugar</v>
      </c>
      <c r="AM634" s="81" t="str">
        <f aca="false">"a = Client().post('"&amp;W634&amp;"', {'recipe' : '"&amp;V634&amp;"', 'ingredient' : '"&amp;Z634&amp;"', 'name' : '"&amp;X634&amp;"', 'mass_unit' : '"&amp;AC634&amp;"', 'mass_quantity' : '"&amp;ROUND(AA634,3)&amp;"', 'volume_unit' : '"&amp;AF634&amp;"', 'volume_quantity' : '"&amp;ROUND(AD634,3)&amp;"', 'pieces_unit' : '"&amp;AI634&amp;"', 'pieces_quantity' : '"&amp;ROUND(AG634,3)&amp;"', 'cooking_notes' : '"&amp;AJ634&amp;"'}).status_code; print('%s :: %s :: %s :: %s :: %s' %(a,"&amp;G634&amp;",'"&amp;X634&amp;"','"&amp;Y634&amp;"','"&amp;U634&amp;"'))"</f>
        <v>a = Client().post('/recipes/minestrone-soup/detail/', {'recipe' : '46', 'ingredient' : '37', 'name' : 'Blue bird Brown sugar (bluebird)', 'mass_unit' : '2', 'mass_quantity' : '0.5', 'volume_unit' : '1', 'volume_quantity' : '0', 'pieces_unit' : '3', 'pieces_quantity' : '0', 'cooking_notes' : ''}).status_code; print('%s :: %s :: %s :: %s :: %s' %(a,634,'Blue bird Brown sugar (bluebird)','brown sugar','Minestrone soup'))</v>
      </c>
    </row>
    <row r="635" customFormat="false" ht="15" hidden="false" customHeight="false" outlineLevel="0" collapsed="false">
      <c r="G635" s="80" t="n">
        <v>635</v>
      </c>
      <c r="I635" s="168" t="s">
        <v>247</v>
      </c>
      <c r="J635" s="142" t="s">
        <v>723</v>
      </c>
      <c r="M635" s="69" t="n">
        <v>0.5</v>
      </c>
      <c r="N635" s="69" t="s">
        <v>13</v>
      </c>
      <c r="R635" s="82" t="str">
        <f aca="false">VLOOKUP(J635,ingredient!$N$4:$O$553,2,0)</f>
        <v>evoo</v>
      </c>
      <c r="U635" s="81" t="str">
        <f aca="false">I635</f>
        <v>Minestrone soup</v>
      </c>
      <c r="V635" s="81" t="n">
        <f aca="false">VLOOKUP(U635,recipe_ingred_list!$A$2:$B$300,2,0)</f>
        <v>46</v>
      </c>
      <c r="W635" s="81" t="str">
        <f aca="false">"/recipes/"&amp;VLOOKUP(U635,recipe_ingred_list!$A$2:$C$300,3,0)&amp;"/detail/"</f>
        <v>/recipes/minestrone-soup/detail/</v>
      </c>
      <c r="X635" s="81" t="str">
        <f aca="false">J635</f>
        <v>EVOO TOP</v>
      </c>
      <c r="Y635" s="81" t="str">
        <f aca="false">R635</f>
        <v>evoo</v>
      </c>
      <c r="Z635" s="94" t="n">
        <f aca="false">VLOOKUP(Y635,recipe_ingred_list!$D$2:$E$500,2,0)</f>
        <v>76</v>
      </c>
      <c r="AA635" s="61" t="n">
        <f aca="false">K635</f>
        <v>0</v>
      </c>
      <c r="AB635" s="61" t="n">
        <f aca="false">L635</f>
        <v>0</v>
      </c>
      <c r="AC635" s="61" t="n">
        <f aca="false">VLOOKUP(AB635,recipe_ingred_list!$K$2:$M$7,3,0)</f>
        <v>2</v>
      </c>
      <c r="AD635" s="61" t="n">
        <f aca="false">M635</f>
        <v>0.5</v>
      </c>
      <c r="AE635" s="61" t="str">
        <f aca="false">N635</f>
        <v>ltr</v>
      </c>
      <c r="AF635" s="61" t="n">
        <f aca="false">VLOOKUP(AE635,recipe_ingred_list!$K$16:$M$25,3,0)</f>
        <v>1</v>
      </c>
      <c r="AG635" s="61" t="n">
        <f aca="false">O635</f>
        <v>0</v>
      </c>
      <c r="AH635" s="61" t="n">
        <f aca="false">P635</f>
        <v>0</v>
      </c>
      <c r="AI635" s="61" t="n">
        <f aca="false">VLOOKUP(AH635,recipe_ingred_list!$K$29:$M$34,3,0)</f>
        <v>3</v>
      </c>
      <c r="AJ635" s="61" t="str">
        <f aca="false">IF(Q635="","",Q635)</f>
        <v/>
      </c>
      <c r="AK635" s="61" t="n">
        <f aca="false">AK634+1</f>
        <v>635</v>
      </c>
      <c r="AL635" s="61" t="str">
        <f aca="false">Y635</f>
        <v>evoo</v>
      </c>
      <c r="AM635" s="81" t="str">
        <f aca="false">"a = Client().post('"&amp;W635&amp;"', {'recipe' : '"&amp;V635&amp;"', 'ingredient' : '"&amp;Z635&amp;"', 'name' : '"&amp;X635&amp;"', 'mass_unit' : '"&amp;AC635&amp;"', 'mass_quantity' : '"&amp;ROUND(AA635,3)&amp;"', 'volume_unit' : '"&amp;AF635&amp;"', 'volume_quantity' : '"&amp;ROUND(AD635,3)&amp;"', 'pieces_unit' : '"&amp;AI635&amp;"', 'pieces_quantity' : '"&amp;ROUND(AG635,3)&amp;"', 'cooking_notes' : '"&amp;AJ635&amp;"'}).status_code; print('%s :: %s :: %s :: %s :: %s' %(a,"&amp;G635&amp;",'"&amp;X635&amp;"','"&amp;Y635&amp;"','"&amp;U635&amp;"'))"</f>
        <v>a = Client().post('/recipes/minestrone-soup/detail/', {'recipe' : '46', 'ingredient' : '76', 'name' : 'EVOO TOP', 'mass_unit' : '2', 'mass_quantity' : '0', 'volume_unit' : '1', 'volume_quantity' : '0.5', 'pieces_unit' : '3', 'pieces_quantity' : '0', 'cooking_notes' : ''}).status_code; print('%s :: %s :: %s :: %s :: %s' %(a,635,'EVOO TOP','evoo','Minestrone soup'))</v>
      </c>
    </row>
    <row r="636" customFormat="false" ht="15" hidden="false" customHeight="false" outlineLevel="0" collapsed="false">
      <c r="G636" s="80" t="n">
        <v>636</v>
      </c>
      <c r="H636" s="98"/>
      <c r="I636" s="130" t="s">
        <v>247</v>
      </c>
      <c r="J636" s="105" t="s">
        <v>26</v>
      </c>
      <c r="K636" s="100"/>
      <c r="L636" s="100"/>
      <c r="M636" s="100"/>
      <c r="N636" s="100"/>
      <c r="O636" s="141" t="n">
        <v>1</v>
      </c>
      <c r="P636" s="141" t="s">
        <v>27</v>
      </c>
      <c r="Q636" s="102"/>
      <c r="R636" s="99" t="e">
        <f aca="false">VLOOKUP(J636,ingredient!$N$4:$O$553,2,0)</f>
        <v>#N/A</v>
      </c>
      <c r="S636" s="98"/>
      <c r="T636" s="98"/>
      <c r="U636" s="81" t="str">
        <f aca="false">I636</f>
        <v>Minestrone soup</v>
      </c>
      <c r="V636" s="81" t="n">
        <f aca="false">VLOOKUP(U636,recipe_ingred_list!$A$2:$B$300,2,0)</f>
        <v>46</v>
      </c>
      <c r="W636" s="81" t="str">
        <f aca="false">"/recipes/"&amp;VLOOKUP(U636,recipe_ingred_list!$A$2:$C$300,3,0)&amp;"/detail/"</f>
        <v>/recipes/minestrone-soup/detail/</v>
      </c>
      <c r="X636" s="81" t="str">
        <f aca="false">J636</f>
        <v>YIELD</v>
      </c>
      <c r="Y636" s="81" t="e">
        <f aca="false">R636</f>
        <v>#N/A</v>
      </c>
      <c r="Z636" s="94" t="e">
        <f aca="false">VLOOKUP(Y636,recipe_ingred_list!$D$2:$E$500,2,0)</f>
        <v>#N/A</v>
      </c>
      <c r="AA636" s="61" t="n">
        <f aca="false">K636</f>
        <v>0</v>
      </c>
      <c r="AB636" s="61" t="n">
        <f aca="false">L636</f>
        <v>0</v>
      </c>
      <c r="AC636" s="61" t="n">
        <f aca="false">VLOOKUP(AB636,recipe_ingred_list!$K$2:$M$7,3,0)</f>
        <v>2</v>
      </c>
      <c r="AD636" s="61" t="n">
        <f aca="false">M636</f>
        <v>0</v>
      </c>
      <c r="AE636" s="61" t="n">
        <f aca="false">N636</f>
        <v>0</v>
      </c>
      <c r="AF636" s="61" t="n">
        <f aca="false">VLOOKUP(AE636,recipe_ingred_list!$K$16:$M$25,3,0)</f>
        <v>1</v>
      </c>
      <c r="AG636" s="61" t="n">
        <f aca="false">O636</f>
        <v>1</v>
      </c>
      <c r="AH636" s="61" t="str">
        <f aca="false">P636</f>
        <v>tub</v>
      </c>
      <c r="AI636" s="61" t="e">
        <f aca="false">VLOOKUP(AH636,recipe_ingred_list!$K$29:$M$34,3,0)</f>
        <v>#N/A</v>
      </c>
      <c r="AJ636" s="61" t="str">
        <f aca="false">IF(Q636="","",Q636)</f>
        <v/>
      </c>
      <c r="AK636" s="61" t="n">
        <f aca="false">AK635+1</f>
        <v>636</v>
      </c>
      <c r="AL636" s="61" t="e">
        <f aca="false">Y636</f>
        <v>#N/A</v>
      </c>
      <c r="AM636" s="81" t="e">
        <f aca="false">"a = Client().post('"&amp;W636&amp;"', {'recipe' : '"&amp;V636&amp;"', 'ingredient' : '"&amp;Z636&amp;"', 'name' : '"&amp;X636&amp;"', 'mass_unit' : '"&amp;AC636&amp;"', 'mass_quantity' : '"&amp;ROUND(AA636,3)&amp;"', 'volume_unit' : '"&amp;AF636&amp;"', 'volume_quantity' : '"&amp;ROUND(AD636,3)&amp;"', 'pieces_unit' : '"&amp;AI636&amp;"', 'pieces_quantity' : '"&amp;ROUND(AG636,3)&amp;"', 'cooking_notes' : '"&amp;AJ636&amp;"'}).status_code; print('%s :: %s :: %s :: %s :: %s' %(a,"&amp;G636&amp;",'"&amp;X636&amp;"','"&amp;Y636&amp;"','"&amp;U636&amp;"'))"</f>
        <v>#N/A</v>
      </c>
    </row>
    <row r="637" customFormat="false" ht="15" hidden="false" customHeight="false" outlineLevel="0" collapsed="false">
      <c r="G637" s="80" t="n">
        <v>637</v>
      </c>
      <c r="H637" s="98"/>
      <c r="I637" s="130" t="s">
        <v>247</v>
      </c>
      <c r="J637" s="105" t="s">
        <v>26</v>
      </c>
      <c r="K637" s="100"/>
      <c r="L637" s="100"/>
      <c r="M637" s="141" t="n">
        <v>35</v>
      </c>
      <c r="N637" s="141" t="s">
        <v>13</v>
      </c>
      <c r="O637" s="101"/>
      <c r="P637" s="100"/>
      <c r="Q637" s="102"/>
      <c r="R637" s="99" t="e">
        <f aca="false">VLOOKUP(J637,ingredient!$N$4:$O$553,2,0)</f>
        <v>#N/A</v>
      </c>
      <c r="S637" s="98"/>
      <c r="T637" s="98"/>
      <c r="U637" s="81" t="str">
        <f aca="false">I637</f>
        <v>Minestrone soup</v>
      </c>
      <c r="V637" s="81" t="n">
        <f aca="false">VLOOKUP(U637,recipe_ingred_list!$A$2:$B$300,2,0)</f>
        <v>46</v>
      </c>
      <c r="W637" s="81" t="str">
        <f aca="false">"/recipes/"&amp;VLOOKUP(U637,recipe_ingred_list!$A$2:$C$300,3,0)&amp;"/detail/"</f>
        <v>/recipes/minestrone-soup/detail/</v>
      </c>
      <c r="X637" s="81" t="str">
        <f aca="false">J637</f>
        <v>YIELD</v>
      </c>
      <c r="Y637" s="81" t="e">
        <f aca="false">R637</f>
        <v>#N/A</v>
      </c>
      <c r="Z637" s="94" t="e">
        <f aca="false">VLOOKUP(Y637,recipe_ingred_list!$D$2:$E$500,2,0)</f>
        <v>#N/A</v>
      </c>
      <c r="AA637" s="61" t="n">
        <f aca="false">K637</f>
        <v>0</v>
      </c>
      <c r="AB637" s="61" t="n">
        <f aca="false">L637</f>
        <v>0</v>
      </c>
      <c r="AC637" s="61" t="n">
        <f aca="false">VLOOKUP(AB637,recipe_ingred_list!$K$2:$M$7,3,0)</f>
        <v>2</v>
      </c>
      <c r="AD637" s="61" t="n">
        <f aca="false">M637</f>
        <v>35</v>
      </c>
      <c r="AE637" s="61" t="str">
        <f aca="false">N637</f>
        <v>ltr</v>
      </c>
      <c r="AF637" s="61" t="n">
        <f aca="false">VLOOKUP(AE637,recipe_ingred_list!$K$16:$M$25,3,0)</f>
        <v>1</v>
      </c>
      <c r="AG637" s="61" t="n">
        <f aca="false">O637</f>
        <v>0</v>
      </c>
      <c r="AH637" s="61" t="n">
        <f aca="false">P637</f>
        <v>0</v>
      </c>
      <c r="AI637" s="61" t="n">
        <f aca="false">VLOOKUP(AH637,recipe_ingred_list!$K$29:$M$34,3,0)</f>
        <v>3</v>
      </c>
      <c r="AJ637" s="61" t="str">
        <f aca="false">IF(Q637="","",Q637)</f>
        <v/>
      </c>
      <c r="AK637" s="61" t="n">
        <f aca="false">AK636+1</f>
        <v>637</v>
      </c>
      <c r="AL637" s="61" t="e">
        <f aca="false">Y637</f>
        <v>#N/A</v>
      </c>
      <c r="AM637" s="81" t="e">
        <f aca="false">"a = Client().post('"&amp;W637&amp;"', {'recipe' : '"&amp;V637&amp;"', 'ingredient' : '"&amp;Z637&amp;"', 'name' : '"&amp;X637&amp;"', 'mass_unit' : '"&amp;AC637&amp;"', 'mass_quantity' : '"&amp;ROUND(AA637,3)&amp;"', 'volume_unit' : '"&amp;AF637&amp;"', 'volume_quantity' : '"&amp;ROUND(AD637,3)&amp;"', 'pieces_unit' : '"&amp;AI637&amp;"', 'pieces_quantity' : '"&amp;ROUND(AG637,3)&amp;"', 'cooking_notes' : '"&amp;AJ637&amp;"'}).status_code; print('%s :: %s :: %s :: %s :: %s' %(a,"&amp;G637&amp;",'"&amp;X637&amp;"','"&amp;Y637&amp;"','"&amp;U637&amp;"'))"</f>
        <v>#N/A</v>
      </c>
    </row>
    <row r="638" customFormat="false" ht="13.8" hidden="false" customHeight="false" outlineLevel="0" collapsed="false">
      <c r="G638" s="80" t="n">
        <v>638</v>
      </c>
      <c r="H638" s="98"/>
      <c r="I638" s="99"/>
      <c r="J638" s="79"/>
      <c r="K638" s="100"/>
      <c r="L638" s="100"/>
      <c r="M638" s="100"/>
      <c r="N638" s="100"/>
      <c r="O638" s="101"/>
      <c r="P638" s="100"/>
      <c r="Q638" s="102"/>
      <c r="R638" s="99" t="e">
        <f aca="false">VLOOKUP(J638,ingredient!$N$4:$O$553,2,0)</f>
        <v>#N/A</v>
      </c>
      <c r="S638" s="98"/>
      <c r="T638" s="98"/>
      <c r="U638" s="81" t="n">
        <f aca="false">I638</f>
        <v>0</v>
      </c>
      <c r="V638" s="81" t="e">
        <f aca="false">VLOOKUP(U638,recipe_ingred_list!$A$2:$B$300,2,0)</f>
        <v>#N/A</v>
      </c>
      <c r="W638" s="81" t="e">
        <f aca="false">"/recipes/"&amp;VLOOKUP(U638,recipe_ingred_list!$A$2:$C$300,3,0)&amp;"/detail/"</f>
        <v>#N/A</v>
      </c>
      <c r="X638" s="81" t="n">
        <f aca="false">J638</f>
        <v>0</v>
      </c>
      <c r="Y638" s="81" t="e">
        <f aca="false">R638</f>
        <v>#N/A</v>
      </c>
      <c r="Z638" s="94" t="e">
        <f aca="false">VLOOKUP(Y638,recipe_ingred_list!$D$2:$E$500,2,0)</f>
        <v>#N/A</v>
      </c>
      <c r="AA638" s="61" t="n">
        <f aca="false">K638</f>
        <v>0</v>
      </c>
      <c r="AB638" s="61" t="n">
        <f aca="false">L638</f>
        <v>0</v>
      </c>
      <c r="AC638" s="61" t="n">
        <f aca="false">VLOOKUP(AB638,recipe_ingred_list!$K$2:$M$7,3,0)</f>
        <v>2</v>
      </c>
      <c r="AD638" s="61" t="n">
        <f aca="false">M638</f>
        <v>0</v>
      </c>
      <c r="AE638" s="61" t="n">
        <f aca="false">N638</f>
        <v>0</v>
      </c>
      <c r="AF638" s="61" t="n">
        <f aca="false">VLOOKUP(AE638,recipe_ingred_list!$K$16:$M$25,3,0)</f>
        <v>1</v>
      </c>
      <c r="AG638" s="61" t="n">
        <f aca="false">O638</f>
        <v>0</v>
      </c>
      <c r="AH638" s="61" t="n">
        <f aca="false">P638</f>
        <v>0</v>
      </c>
      <c r="AI638" s="61" t="n">
        <f aca="false">VLOOKUP(AH638,recipe_ingred_list!$K$29:$M$34,3,0)</f>
        <v>3</v>
      </c>
      <c r="AJ638" s="61" t="str">
        <f aca="false">IF(Q638="","",Q638)</f>
        <v/>
      </c>
      <c r="AK638" s="61" t="n">
        <f aca="false">AK637+1</f>
        <v>638</v>
      </c>
      <c r="AL638" s="61" t="e">
        <f aca="false">Y638</f>
        <v>#N/A</v>
      </c>
      <c r="AM638" s="81" t="e">
        <f aca="false">"a = Client().post('"&amp;W638&amp;"', {'recipe' : '"&amp;V638&amp;"', 'ingredient' : '"&amp;Z638&amp;"', 'name' : '"&amp;X638&amp;"', 'mass_unit' : '"&amp;AC638&amp;"', 'mass_quantity' : '"&amp;ROUND(AA638,3)&amp;"', 'volume_unit' : '"&amp;AF638&amp;"', 'volume_quantity' : '"&amp;ROUND(AD638,3)&amp;"', 'pieces_unit' : '"&amp;AI638&amp;"', 'pieces_quantity' : '"&amp;ROUND(AG638,3)&amp;"', 'cooking_notes' : '"&amp;AJ638&amp;"'}).status_code; print('%s :: %s :: %s :: %s :: %s' %(a,"&amp;G638&amp;",'"&amp;X638&amp;"','"&amp;Y638&amp;"','"&amp;U638&amp;"'))"</f>
        <v>#N/A</v>
      </c>
    </row>
    <row r="639" customFormat="false" ht="15" hidden="false" customHeight="true" outlineLevel="0" collapsed="false">
      <c r="G639" s="80" t="n">
        <v>639</v>
      </c>
      <c r="H639" s="98"/>
      <c r="I639" s="99"/>
      <c r="J639" s="162"/>
      <c r="K639" s="164"/>
      <c r="L639" s="164"/>
      <c r="M639" s="100"/>
      <c r="N639" s="100"/>
      <c r="O639" s="101"/>
      <c r="P639" s="100"/>
      <c r="Q639" s="102"/>
      <c r="R639" s="99" t="e">
        <f aca="false">VLOOKUP(J639,ingredient!$N$4:$O$553,2,0)</f>
        <v>#N/A</v>
      </c>
      <c r="S639" s="98"/>
      <c r="T639" s="98"/>
      <c r="U639" s="81" t="n">
        <f aca="false">I639</f>
        <v>0</v>
      </c>
      <c r="V639" s="81" t="e">
        <f aca="false">VLOOKUP(U639,recipe_ingred_list!$A$2:$B$300,2,0)</f>
        <v>#N/A</v>
      </c>
      <c r="W639" s="81" t="e">
        <f aca="false">"/recipes/"&amp;VLOOKUP(U639,recipe_ingred_list!$A$2:$C$300,3,0)&amp;"/detail/"</f>
        <v>#N/A</v>
      </c>
      <c r="X639" s="81" t="n">
        <f aca="false">J639</f>
        <v>0</v>
      </c>
      <c r="Y639" s="81" t="e">
        <f aca="false">R639</f>
        <v>#N/A</v>
      </c>
      <c r="Z639" s="94" t="e">
        <f aca="false">VLOOKUP(Y639,recipe_ingred_list!$D$2:$E$500,2,0)</f>
        <v>#N/A</v>
      </c>
      <c r="AA639" s="61" t="n">
        <f aca="false">K639</f>
        <v>0</v>
      </c>
      <c r="AB639" s="61" t="n">
        <f aca="false">L639</f>
        <v>0</v>
      </c>
      <c r="AC639" s="61" t="n">
        <f aca="false">VLOOKUP(AB639,recipe_ingred_list!$K$2:$M$7,3,0)</f>
        <v>2</v>
      </c>
      <c r="AD639" s="61" t="n">
        <f aca="false">M639</f>
        <v>0</v>
      </c>
      <c r="AE639" s="61" t="n">
        <f aca="false">N639</f>
        <v>0</v>
      </c>
      <c r="AF639" s="61" t="n">
        <f aca="false">VLOOKUP(AE639,recipe_ingred_list!$K$16:$M$25,3,0)</f>
        <v>1</v>
      </c>
      <c r="AG639" s="61" t="n">
        <f aca="false">O639</f>
        <v>0</v>
      </c>
      <c r="AH639" s="61" t="n">
        <f aca="false">P639</f>
        <v>0</v>
      </c>
      <c r="AI639" s="61" t="n">
        <f aca="false">VLOOKUP(AH639,recipe_ingred_list!$K$29:$M$34,3,0)</f>
        <v>3</v>
      </c>
      <c r="AJ639" s="61" t="str">
        <f aca="false">IF(Q639="","",Q639)</f>
        <v/>
      </c>
      <c r="AK639" s="61" t="n">
        <f aca="false">AK638+1</f>
        <v>639</v>
      </c>
      <c r="AL639" s="61" t="e">
        <f aca="false">Y639</f>
        <v>#N/A</v>
      </c>
      <c r="AM639" s="81" t="e">
        <f aca="false">"a = Client().post('"&amp;W639&amp;"', {'recipe' : '"&amp;V639&amp;"', 'ingredient' : '"&amp;Z639&amp;"', 'name' : '"&amp;X639&amp;"', 'mass_unit' : '"&amp;AC639&amp;"', 'mass_quantity' : '"&amp;ROUND(AA639,3)&amp;"', 'volume_unit' : '"&amp;AF639&amp;"', 'volume_quantity' : '"&amp;ROUND(AD639,3)&amp;"', 'pieces_unit' : '"&amp;AI639&amp;"', 'pieces_quantity' : '"&amp;ROUND(AG639,3)&amp;"', 'cooking_notes' : '"&amp;AJ639&amp;"'}).status_code; print('%s :: %s :: %s :: %s :: %s' %(a,"&amp;G639&amp;",'"&amp;X639&amp;"','"&amp;Y639&amp;"','"&amp;U639&amp;"'))"</f>
        <v>#N/A</v>
      </c>
    </row>
    <row r="640" customFormat="false" ht="15" hidden="false" customHeight="true" outlineLevel="0" collapsed="false">
      <c r="G640" s="80" t="n">
        <v>640</v>
      </c>
      <c r="I640" s="169" t="s">
        <v>322</v>
      </c>
      <c r="J640" s="142"/>
      <c r="K640" s="0"/>
      <c r="L640" s="0"/>
      <c r="R640" s="82" t="e">
        <f aca="false">VLOOKUP(J640,ingredient!$N$4:$O$553,2,0)</f>
        <v>#N/A</v>
      </c>
      <c r="U640" s="81" t="str">
        <f aca="false">I640</f>
        <v>Sauted Vegetables</v>
      </c>
      <c r="V640" s="81" t="n">
        <f aca="false">VLOOKUP(U640,recipe_ingred_list!$A$2:$B$300,2,0)</f>
        <v>71</v>
      </c>
      <c r="W640" s="81" t="str">
        <f aca="false">"/recipes/"&amp;VLOOKUP(U640,recipe_ingred_list!$A$2:$C$300,3,0)&amp;"/detail/"</f>
        <v>/recipes/sauted-vegetables/detail/</v>
      </c>
      <c r="X640" s="81" t="n">
        <f aca="false">J640</f>
        <v>0</v>
      </c>
      <c r="Y640" s="81" t="e">
        <f aca="false">R640</f>
        <v>#N/A</v>
      </c>
      <c r="Z640" s="94" t="e">
        <f aca="false">VLOOKUP(Y640,recipe_ingred_list!$D$2:$E$500,2,0)</f>
        <v>#N/A</v>
      </c>
      <c r="AA640" s="61" t="n">
        <f aca="false">K640</f>
        <v>0</v>
      </c>
      <c r="AB640" s="61" t="n">
        <f aca="false">L640</f>
        <v>0</v>
      </c>
      <c r="AC640" s="61" t="n">
        <f aca="false">VLOOKUP(AB640,recipe_ingred_list!$K$2:$M$7,3,0)</f>
        <v>2</v>
      </c>
      <c r="AD640" s="61" t="n">
        <f aca="false">M640</f>
        <v>0</v>
      </c>
      <c r="AE640" s="61" t="n">
        <f aca="false">N640</f>
        <v>0</v>
      </c>
      <c r="AF640" s="61" t="n">
        <f aca="false">VLOOKUP(AE640,recipe_ingred_list!$K$16:$M$25,3,0)</f>
        <v>1</v>
      </c>
      <c r="AG640" s="61" t="n">
        <f aca="false">O640</f>
        <v>0</v>
      </c>
      <c r="AH640" s="61" t="n">
        <f aca="false">P640</f>
        <v>0</v>
      </c>
      <c r="AI640" s="61" t="n">
        <f aca="false">VLOOKUP(AH640,recipe_ingred_list!$K$29:$M$34,3,0)</f>
        <v>3</v>
      </c>
      <c r="AJ640" s="61" t="str">
        <f aca="false">IF(Q640="","",Q640)</f>
        <v/>
      </c>
      <c r="AK640" s="61" t="n">
        <f aca="false">AK639+1</f>
        <v>640</v>
      </c>
      <c r="AL640" s="61" t="e">
        <f aca="false">Y640</f>
        <v>#N/A</v>
      </c>
      <c r="AM640" s="81" t="e">
        <f aca="false">"a = Client().post('"&amp;W640&amp;"', {'recipe' : '"&amp;V640&amp;"', 'ingredient' : '"&amp;Z640&amp;"', 'name' : '"&amp;X640&amp;"', 'mass_unit' : '"&amp;AC640&amp;"', 'mass_quantity' : '"&amp;ROUND(AA640,3)&amp;"', 'volume_unit' : '"&amp;AF640&amp;"', 'volume_quantity' : '"&amp;ROUND(AD640,3)&amp;"', 'pieces_unit' : '"&amp;AI640&amp;"', 'pieces_quantity' : '"&amp;ROUND(AG640,3)&amp;"', 'cooking_notes' : '"&amp;AJ640&amp;"'}).status_code; print('%s :: %s :: %s :: %s :: %s' %(a,"&amp;G640&amp;",'"&amp;X640&amp;"','"&amp;Y640&amp;"','"&amp;U640&amp;"'))"</f>
        <v>#N/A</v>
      </c>
    </row>
    <row r="641" customFormat="false" ht="15" hidden="false" customHeight="true" outlineLevel="0" collapsed="false">
      <c r="G641" s="80" t="n">
        <v>641</v>
      </c>
      <c r="I641" s="169" t="s">
        <v>322</v>
      </c>
      <c r="J641" s="85" t="s">
        <v>724</v>
      </c>
      <c r="K641" s="69" t="n">
        <v>4.375</v>
      </c>
      <c r="L641" s="69" t="s">
        <v>7</v>
      </c>
      <c r="M641" s="146" t="n">
        <v>3.5</v>
      </c>
      <c r="N641" s="146" t="s">
        <v>13</v>
      </c>
      <c r="R641" s="82" t="str">
        <f aca="false">VLOOKUP(J641,ingredient!$N$4:$O$553,2,0)</f>
        <v>baby corn</v>
      </c>
      <c r="U641" s="81" t="str">
        <f aca="false">I641</f>
        <v>Sauted Vegetables</v>
      </c>
      <c r="V641" s="81" t="n">
        <f aca="false">VLOOKUP(U641,recipe_ingred_list!$A$2:$B$300,2,0)</f>
        <v>71</v>
      </c>
      <c r="W641" s="81" t="str">
        <f aca="false">"/recipes/"&amp;VLOOKUP(U641,recipe_ingred_list!$A$2:$C$300,3,0)&amp;"/detail/"</f>
        <v>/recipes/sauted-vegetables/detail/</v>
      </c>
      <c r="X641" s="81" t="str">
        <f aca="false">J641</f>
        <v>Babycorn deep fried</v>
      </c>
      <c r="Y641" s="81" t="str">
        <f aca="false">R641</f>
        <v>baby corn</v>
      </c>
      <c r="Z641" s="94" t="n">
        <f aca="false">VLOOKUP(Y641,recipe_ingred_list!$D$2:$E$500,2,0)</f>
        <v>16</v>
      </c>
      <c r="AA641" s="61" t="n">
        <f aca="false">K641</f>
        <v>4.375</v>
      </c>
      <c r="AB641" s="61" t="str">
        <f aca="false">L641</f>
        <v>kg</v>
      </c>
      <c r="AC641" s="61" t="n">
        <f aca="false">VLOOKUP(AB641,recipe_ingred_list!$K$2:$M$7,3,0)</f>
        <v>2</v>
      </c>
      <c r="AD641" s="61" t="n">
        <f aca="false">M641</f>
        <v>3.5</v>
      </c>
      <c r="AE641" s="61" t="str">
        <f aca="false">N641</f>
        <v>ltr</v>
      </c>
      <c r="AF641" s="61" t="n">
        <f aca="false">VLOOKUP(AE641,recipe_ingred_list!$K$16:$M$25,3,0)</f>
        <v>1</v>
      </c>
      <c r="AG641" s="61" t="n">
        <f aca="false">O641</f>
        <v>0</v>
      </c>
      <c r="AH641" s="61" t="n">
        <f aca="false">P641</f>
        <v>0</v>
      </c>
      <c r="AI641" s="61" t="n">
        <f aca="false">VLOOKUP(AH641,recipe_ingred_list!$K$29:$M$34,3,0)</f>
        <v>3</v>
      </c>
      <c r="AJ641" s="61" t="str">
        <f aca="false">IF(Q641="","",Q641)</f>
        <v/>
      </c>
      <c r="AK641" s="61" t="n">
        <f aca="false">AK640+1</f>
        <v>641</v>
      </c>
      <c r="AL641" s="61" t="str">
        <f aca="false">Y641</f>
        <v>baby corn</v>
      </c>
      <c r="AM641" s="81" t="str">
        <f aca="false">"a = Client().post('"&amp;W641&amp;"', {'recipe' : '"&amp;V641&amp;"', 'ingredient' : '"&amp;Z641&amp;"', 'name' : '"&amp;X641&amp;"', 'mass_unit' : '"&amp;AC641&amp;"', 'mass_quantity' : '"&amp;ROUND(AA641,3)&amp;"', 'volume_unit' : '"&amp;AF641&amp;"', 'volume_quantity' : '"&amp;ROUND(AD641,3)&amp;"', 'pieces_unit' : '"&amp;AI641&amp;"', 'pieces_quantity' : '"&amp;ROUND(AG641,3)&amp;"', 'cooking_notes' : '"&amp;AJ641&amp;"'}).status_code; print('%s :: %s :: %s :: %s :: %s' %(a,"&amp;G641&amp;",'"&amp;X641&amp;"','"&amp;Y641&amp;"','"&amp;U641&amp;"'))"</f>
        <v>a = Client().post('/recipes/sauted-vegetables/detail/', {'recipe' : '71', 'ingredient' : '16', 'name' : 'Babycorn deep fried', 'mass_unit' : '2', 'mass_quantity' : '4.375', 'volume_unit' : '1', 'volume_quantity' : '3.5', 'pieces_unit' : '3', 'pieces_quantity' : '0', 'cooking_notes' : ''}).status_code; print('%s :: %s :: %s :: %s :: %s' %(a,641,'Babycorn deep fried','baby corn','Sauted Vegetables'))</v>
      </c>
    </row>
    <row r="642" customFormat="false" ht="15" hidden="false" customHeight="false" outlineLevel="0" collapsed="false">
      <c r="G642" s="80" t="n">
        <v>642</v>
      </c>
      <c r="I642" s="169" t="s">
        <v>322</v>
      </c>
      <c r="J642" s="142"/>
      <c r="K642" s="0"/>
      <c r="L642" s="0"/>
      <c r="R642" s="82" t="e">
        <f aca="false">VLOOKUP(J642,ingredient!$N$4:$O$553,2,0)</f>
        <v>#N/A</v>
      </c>
      <c r="U642" s="81" t="str">
        <f aca="false">I642</f>
        <v>Sauted Vegetables</v>
      </c>
      <c r="V642" s="81" t="n">
        <f aca="false">VLOOKUP(U642,recipe_ingred_list!$A$2:$B$300,2,0)</f>
        <v>71</v>
      </c>
      <c r="W642" s="81" t="str">
        <f aca="false">"/recipes/"&amp;VLOOKUP(U642,recipe_ingred_list!$A$2:$C$300,3,0)&amp;"/detail/"</f>
        <v>/recipes/sauted-vegetables/detail/</v>
      </c>
      <c r="X642" s="81" t="n">
        <f aca="false">J642</f>
        <v>0</v>
      </c>
      <c r="Y642" s="81" t="e">
        <f aca="false">R642</f>
        <v>#N/A</v>
      </c>
      <c r="Z642" s="94" t="e">
        <f aca="false">VLOOKUP(Y642,recipe_ingred_list!$D$2:$E$500,2,0)</f>
        <v>#N/A</v>
      </c>
      <c r="AA642" s="61" t="n">
        <f aca="false">K642</f>
        <v>0</v>
      </c>
      <c r="AB642" s="61" t="n">
        <f aca="false">L642</f>
        <v>0</v>
      </c>
      <c r="AC642" s="61" t="n">
        <f aca="false">VLOOKUP(AB642,recipe_ingred_list!$K$2:$M$7,3,0)</f>
        <v>2</v>
      </c>
      <c r="AD642" s="61" t="n">
        <f aca="false">M642</f>
        <v>0</v>
      </c>
      <c r="AE642" s="61" t="n">
        <f aca="false">N642</f>
        <v>0</v>
      </c>
      <c r="AF642" s="61" t="n">
        <f aca="false">VLOOKUP(AE642,recipe_ingred_list!$K$16:$M$25,3,0)</f>
        <v>1</v>
      </c>
      <c r="AG642" s="61" t="n">
        <f aca="false">O642</f>
        <v>0</v>
      </c>
      <c r="AH642" s="61" t="n">
        <f aca="false">P642</f>
        <v>0</v>
      </c>
      <c r="AI642" s="61" t="n">
        <f aca="false">VLOOKUP(AH642,recipe_ingred_list!$K$29:$M$34,3,0)</f>
        <v>3</v>
      </c>
      <c r="AJ642" s="61" t="str">
        <f aca="false">IF(Q642="","",Q642)</f>
        <v/>
      </c>
      <c r="AK642" s="61" t="n">
        <f aca="false">AK641+1</f>
        <v>642</v>
      </c>
      <c r="AL642" s="61" t="e">
        <f aca="false">Y642</f>
        <v>#N/A</v>
      </c>
      <c r="AM642" s="81" t="e">
        <f aca="false">"a = Client().post('"&amp;W642&amp;"', {'recipe' : '"&amp;V642&amp;"', 'ingredient' : '"&amp;Z642&amp;"', 'name' : '"&amp;X642&amp;"', 'mass_unit' : '"&amp;AC642&amp;"', 'mass_quantity' : '"&amp;ROUND(AA642,3)&amp;"', 'volume_unit' : '"&amp;AF642&amp;"', 'volume_quantity' : '"&amp;ROUND(AD642,3)&amp;"', 'pieces_unit' : '"&amp;AI642&amp;"', 'pieces_quantity' : '"&amp;ROUND(AG642,3)&amp;"', 'cooking_notes' : '"&amp;AJ642&amp;"'}).status_code; print('%s :: %s :: %s :: %s :: %s' %(a,"&amp;G642&amp;",'"&amp;X642&amp;"','"&amp;Y642&amp;"','"&amp;U642&amp;"'))"</f>
        <v>#N/A</v>
      </c>
    </row>
    <row r="643" customFormat="false" ht="15" hidden="false" customHeight="false" outlineLevel="0" collapsed="false">
      <c r="G643" s="80" t="n">
        <v>643</v>
      </c>
      <c r="I643" s="169" t="s">
        <v>322</v>
      </c>
      <c r="J643" s="85" t="s">
        <v>725</v>
      </c>
      <c r="K643" s="69" t="n">
        <v>7</v>
      </c>
      <c r="L643" s="69" t="s">
        <v>7</v>
      </c>
      <c r="M643" s="146" t="n">
        <v>3.5</v>
      </c>
      <c r="N643" s="146" t="s">
        <v>13</v>
      </c>
      <c r="R643" s="82" t="str">
        <f aca="false">VLOOKUP(J643,ingredient!$N$4:$O$553,2,0)</f>
        <v>red capsicum</v>
      </c>
      <c r="U643" s="81" t="str">
        <f aca="false">I643</f>
        <v>Sauted Vegetables</v>
      </c>
      <c r="V643" s="81" t="n">
        <f aca="false">VLOOKUP(U643,recipe_ingred_list!$A$2:$B$300,2,0)</f>
        <v>71</v>
      </c>
      <c r="W643" s="81" t="str">
        <f aca="false">"/recipes/"&amp;VLOOKUP(U643,recipe_ingred_list!$A$2:$C$300,3,0)&amp;"/detail/"</f>
        <v>/recipes/sauted-vegetables/detail/</v>
      </c>
      <c r="X643" s="81" t="str">
        <f aca="false">J643</f>
        <v>Red capsicum sauted</v>
      </c>
      <c r="Y643" s="81" t="str">
        <f aca="false">R643</f>
        <v>red capsicum</v>
      </c>
      <c r="Z643" s="94" t="n">
        <f aca="false">VLOOKUP(Y643,recipe_ingred_list!$D$2:$E$500,2,0)</f>
        <v>168</v>
      </c>
      <c r="AA643" s="61" t="n">
        <f aca="false">K643</f>
        <v>7</v>
      </c>
      <c r="AB643" s="61" t="str">
        <f aca="false">L643</f>
        <v>kg</v>
      </c>
      <c r="AC643" s="61" t="n">
        <f aca="false">VLOOKUP(AB643,recipe_ingred_list!$K$2:$M$7,3,0)</f>
        <v>2</v>
      </c>
      <c r="AD643" s="61" t="n">
        <f aca="false">M643</f>
        <v>3.5</v>
      </c>
      <c r="AE643" s="61" t="str">
        <f aca="false">N643</f>
        <v>ltr</v>
      </c>
      <c r="AF643" s="61" t="n">
        <f aca="false">VLOOKUP(AE643,recipe_ingred_list!$K$16:$M$25,3,0)</f>
        <v>1</v>
      </c>
      <c r="AG643" s="61" t="n">
        <f aca="false">O643</f>
        <v>0</v>
      </c>
      <c r="AH643" s="61" t="n">
        <f aca="false">P643</f>
        <v>0</v>
      </c>
      <c r="AI643" s="61" t="n">
        <f aca="false">VLOOKUP(AH643,recipe_ingred_list!$K$29:$M$34,3,0)</f>
        <v>3</v>
      </c>
      <c r="AJ643" s="61" t="str">
        <f aca="false">IF(Q643="","",Q643)</f>
        <v/>
      </c>
      <c r="AK643" s="61" t="n">
        <f aca="false">AK642+1</f>
        <v>643</v>
      </c>
      <c r="AL643" s="61" t="str">
        <f aca="false">Y643</f>
        <v>red capsicum</v>
      </c>
      <c r="AM643" s="81" t="str">
        <f aca="false">"a = Client().post('"&amp;W643&amp;"', {'recipe' : '"&amp;V643&amp;"', 'ingredient' : '"&amp;Z643&amp;"', 'name' : '"&amp;X643&amp;"', 'mass_unit' : '"&amp;AC643&amp;"', 'mass_quantity' : '"&amp;ROUND(AA643,3)&amp;"', 'volume_unit' : '"&amp;AF643&amp;"', 'volume_quantity' : '"&amp;ROUND(AD643,3)&amp;"', 'pieces_unit' : '"&amp;AI643&amp;"', 'pieces_quantity' : '"&amp;ROUND(AG643,3)&amp;"', 'cooking_notes' : '"&amp;AJ643&amp;"'}).status_code; print('%s :: %s :: %s :: %s :: %s' %(a,"&amp;G643&amp;",'"&amp;X643&amp;"','"&amp;Y643&amp;"','"&amp;U643&amp;"'))"</f>
        <v>a = Client().post('/recipes/sauted-vegetables/detail/', {'recipe' : '71', 'ingredient' : '168', 'name' : 'Red capsicum sauted', 'mass_unit' : '2', 'mass_quantity' : '7', 'volume_unit' : '1', 'volume_quantity' : '3.5', 'pieces_unit' : '3', 'pieces_quantity' : '0', 'cooking_notes' : ''}).status_code; print('%s :: %s :: %s :: %s :: %s' %(a,643,'Red capsicum sauted','red capsicum','Sauted Vegetables'))</v>
      </c>
    </row>
    <row r="644" customFormat="false" ht="15" hidden="false" customHeight="false" outlineLevel="0" collapsed="false">
      <c r="G644" s="80" t="n">
        <v>644</v>
      </c>
      <c r="I644" s="169" t="s">
        <v>322</v>
      </c>
      <c r="J644" s="142"/>
      <c r="K644" s="0"/>
      <c r="L644" s="0"/>
      <c r="R644" s="82" t="e">
        <f aca="false">VLOOKUP(J644,ingredient!$N$4:$O$553,2,0)</f>
        <v>#N/A</v>
      </c>
      <c r="U644" s="81" t="str">
        <f aca="false">I644</f>
        <v>Sauted Vegetables</v>
      </c>
      <c r="V644" s="81" t="n">
        <f aca="false">VLOOKUP(U644,recipe_ingred_list!$A$2:$B$300,2,0)</f>
        <v>71</v>
      </c>
      <c r="W644" s="81" t="str">
        <f aca="false">"/recipes/"&amp;VLOOKUP(U644,recipe_ingred_list!$A$2:$C$300,3,0)&amp;"/detail/"</f>
        <v>/recipes/sauted-vegetables/detail/</v>
      </c>
      <c r="X644" s="81" t="n">
        <f aca="false">J644</f>
        <v>0</v>
      </c>
      <c r="Y644" s="81" t="e">
        <f aca="false">R644</f>
        <v>#N/A</v>
      </c>
      <c r="Z644" s="94" t="e">
        <f aca="false">VLOOKUP(Y644,recipe_ingred_list!$D$2:$E$500,2,0)</f>
        <v>#N/A</v>
      </c>
      <c r="AA644" s="61" t="n">
        <f aca="false">K644</f>
        <v>0</v>
      </c>
      <c r="AB644" s="61" t="n">
        <f aca="false">L644</f>
        <v>0</v>
      </c>
      <c r="AC644" s="61" t="n">
        <f aca="false">VLOOKUP(AB644,recipe_ingred_list!$K$2:$M$7,3,0)</f>
        <v>2</v>
      </c>
      <c r="AD644" s="61" t="n">
        <f aca="false">M644</f>
        <v>0</v>
      </c>
      <c r="AE644" s="61" t="n">
        <f aca="false">N644</f>
        <v>0</v>
      </c>
      <c r="AF644" s="61" t="n">
        <f aca="false">VLOOKUP(AE644,recipe_ingred_list!$K$16:$M$25,3,0)</f>
        <v>1</v>
      </c>
      <c r="AG644" s="61" t="n">
        <f aca="false">O644</f>
        <v>0</v>
      </c>
      <c r="AH644" s="61" t="n">
        <f aca="false">P644</f>
        <v>0</v>
      </c>
      <c r="AI644" s="61" t="n">
        <f aca="false">VLOOKUP(AH644,recipe_ingred_list!$K$29:$M$34,3,0)</f>
        <v>3</v>
      </c>
      <c r="AJ644" s="61" t="str">
        <f aca="false">IF(Q644="","",Q644)</f>
        <v/>
      </c>
      <c r="AK644" s="61" t="n">
        <f aca="false">AK643+1</f>
        <v>644</v>
      </c>
      <c r="AL644" s="61" t="e">
        <f aca="false">Y644</f>
        <v>#N/A</v>
      </c>
      <c r="AM644" s="81" t="e">
        <f aca="false">"a = Client().post('"&amp;W644&amp;"', {'recipe' : '"&amp;V644&amp;"', 'ingredient' : '"&amp;Z644&amp;"', 'name' : '"&amp;X644&amp;"', 'mass_unit' : '"&amp;AC644&amp;"', 'mass_quantity' : '"&amp;ROUND(AA644,3)&amp;"', 'volume_unit' : '"&amp;AF644&amp;"', 'volume_quantity' : '"&amp;ROUND(AD644,3)&amp;"', 'pieces_unit' : '"&amp;AI644&amp;"', 'pieces_quantity' : '"&amp;ROUND(AG644,3)&amp;"', 'cooking_notes' : '"&amp;AJ644&amp;"'}).status_code; print('%s :: %s :: %s :: %s :: %s' %(a,"&amp;G644&amp;",'"&amp;X644&amp;"','"&amp;Y644&amp;"','"&amp;U644&amp;"'))"</f>
        <v>#N/A</v>
      </c>
    </row>
    <row r="645" customFormat="false" ht="15" hidden="false" customHeight="false" outlineLevel="0" collapsed="false">
      <c r="G645" s="80" t="n">
        <v>645</v>
      </c>
      <c r="I645" s="169" t="s">
        <v>322</v>
      </c>
      <c r="J645" s="85" t="s">
        <v>726</v>
      </c>
      <c r="K645" s="0"/>
      <c r="L645" s="0"/>
      <c r="M645" s="146" t="n">
        <v>3.5</v>
      </c>
      <c r="N645" s="146" t="s">
        <v>13</v>
      </c>
      <c r="R645" s="82" t="str">
        <f aca="false">VLOOKUP(J645,ingredient!$N$4:$O$553,2,0)</f>
        <v>yellow capsicum</v>
      </c>
      <c r="U645" s="81" t="str">
        <f aca="false">I645</f>
        <v>Sauted Vegetables</v>
      </c>
      <c r="V645" s="81" t="n">
        <f aca="false">VLOOKUP(U645,recipe_ingred_list!$A$2:$B$300,2,0)</f>
        <v>71</v>
      </c>
      <c r="W645" s="81" t="str">
        <f aca="false">"/recipes/"&amp;VLOOKUP(U645,recipe_ingred_list!$A$2:$C$300,3,0)&amp;"/detail/"</f>
        <v>/recipes/sauted-vegetables/detail/</v>
      </c>
      <c r="X645" s="81" t="str">
        <f aca="false">J645</f>
        <v>Yellow capsicum sauted</v>
      </c>
      <c r="Y645" s="81" t="str">
        <f aca="false">R645</f>
        <v>yellow capsicum</v>
      </c>
      <c r="Z645" s="94" t="n">
        <f aca="false">VLOOKUP(Y645,recipe_ingred_list!$D$2:$E$500,2,0)</f>
        <v>209</v>
      </c>
      <c r="AA645" s="61" t="n">
        <f aca="false">K645</f>
        <v>0</v>
      </c>
      <c r="AB645" s="61" t="n">
        <f aca="false">L645</f>
        <v>0</v>
      </c>
      <c r="AC645" s="61" t="n">
        <f aca="false">VLOOKUP(AB645,recipe_ingred_list!$K$2:$M$7,3,0)</f>
        <v>2</v>
      </c>
      <c r="AD645" s="61" t="n">
        <f aca="false">M645</f>
        <v>3.5</v>
      </c>
      <c r="AE645" s="61" t="str">
        <f aca="false">N645</f>
        <v>ltr</v>
      </c>
      <c r="AF645" s="61" t="n">
        <f aca="false">VLOOKUP(AE645,recipe_ingred_list!$K$16:$M$25,3,0)</f>
        <v>1</v>
      </c>
      <c r="AG645" s="61" t="n">
        <f aca="false">O645</f>
        <v>0</v>
      </c>
      <c r="AH645" s="61" t="n">
        <f aca="false">P645</f>
        <v>0</v>
      </c>
      <c r="AI645" s="61" t="n">
        <f aca="false">VLOOKUP(AH645,recipe_ingred_list!$K$29:$M$34,3,0)</f>
        <v>3</v>
      </c>
      <c r="AJ645" s="61" t="str">
        <f aca="false">IF(Q645="","",Q645)</f>
        <v/>
      </c>
      <c r="AK645" s="61" t="n">
        <f aca="false">AK644+1</f>
        <v>645</v>
      </c>
      <c r="AL645" s="61" t="str">
        <f aca="false">Y645</f>
        <v>yellow capsicum</v>
      </c>
      <c r="AM645" s="81" t="str">
        <f aca="false">"a = Client().post('"&amp;W645&amp;"', {'recipe' : '"&amp;V645&amp;"', 'ingredient' : '"&amp;Z645&amp;"', 'name' : '"&amp;X645&amp;"', 'mass_unit' : '"&amp;AC645&amp;"', 'mass_quantity' : '"&amp;ROUND(AA645,3)&amp;"', 'volume_unit' : '"&amp;AF645&amp;"', 'volume_quantity' : '"&amp;ROUND(AD645,3)&amp;"', 'pieces_unit' : '"&amp;AI645&amp;"', 'pieces_quantity' : '"&amp;ROUND(AG645,3)&amp;"', 'cooking_notes' : '"&amp;AJ645&amp;"'}).status_code; print('%s :: %s :: %s :: %s :: %s' %(a,"&amp;G645&amp;",'"&amp;X645&amp;"','"&amp;Y645&amp;"','"&amp;U645&amp;"'))"</f>
        <v>a = Client().post('/recipes/sauted-vegetables/detail/', {'recipe' : '71', 'ingredient' : '209', 'name' : 'Yellow capsicum sauted', 'mass_unit' : '2', 'mass_quantity' : '0', 'volume_unit' : '1', 'volume_quantity' : '3.5', 'pieces_unit' : '3', 'pieces_quantity' : '0', 'cooking_notes' : ''}).status_code; print('%s :: %s :: %s :: %s :: %s' %(a,645,'Yellow capsicum sauted','yellow capsicum','Sauted Vegetables'))</v>
      </c>
    </row>
    <row r="646" customFormat="false" ht="15" hidden="false" customHeight="false" outlineLevel="0" collapsed="false">
      <c r="G646" s="80" t="n">
        <v>646</v>
      </c>
      <c r="I646" s="169" t="s">
        <v>322</v>
      </c>
      <c r="J646" s="142"/>
      <c r="K646" s="0"/>
      <c r="L646" s="0"/>
      <c r="R646" s="82" t="e">
        <f aca="false">VLOOKUP(J646,ingredient!$N$4:$O$553,2,0)</f>
        <v>#N/A</v>
      </c>
      <c r="U646" s="81" t="str">
        <f aca="false">I646</f>
        <v>Sauted Vegetables</v>
      </c>
      <c r="V646" s="81" t="n">
        <f aca="false">VLOOKUP(U646,recipe_ingred_list!$A$2:$B$300,2,0)</f>
        <v>71</v>
      </c>
      <c r="W646" s="81" t="str">
        <f aca="false">"/recipes/"&amp;VLOOKUP(U646,recipe_ingred_list!$A$2:$C$300,3,0)&amp;"/detail/"</f>
        <v>/recipes/sauted-vegetables/detail/</v>
      </c>
      <c r="X646" s="81" t="n">
        <f aca="false">J646</f>
        <v>0</v>
      </c>
      <c r="Y646" s="81" t="e">
        <f aca="false">R646</f>
        <v>#N/A</v>
      </c>
      <c r="Z646" s="94" t="e">
        <f aca="false">VLOOKUP(Y646,recipe_ingred_list!$D$2:$E$500,2,0)</f>
        <v>#N/A</v>
      </c>
      <c r="AA646" s="61" t="n">
        <f aca="false">K646</f>
        <v>0</v>
      </c>
      <c r="AB646" s="61" t="n">
        <f aca="false">L646</f>
        <v>0</v>
      </c>
      <c r="AC646" s="61" t="n">
        <f aca="false">VLOOKUP(AB646,recipe_ingred_list!$K$2:$M$7,3,0)</f>
        <v>2</v>
      </c>
      <c r="AD646" s="61" t="n">
        <f aca="false">M646</f>
        <v>0</v>
      </c>
      <c r="AE646" s="61" t="n">
        <f aca="false">N646</f>
        <v>0</v>
      </c>
      <c r="AF646" s="61" t="n">
        <f aca="false">VLOOKUP(AE646,recipe_ingred_list!$K$16:$M$25,3,0)</f>
        <v>1</v>
      </c>
      <c r="AG646" s="61" t="n">
        <f aca="false">O646</f>
        <v>0</v>
      </c>
      <c r="AH646" s="61" t="n">
        <f aca="false">P646</f>
        <v>0</v>
      </c>
      <c r="AI646" s="61" t="n">
        <f aca="false">VLOOKUP(AH646,recipe_ingred_list!$K$29:$M$34,3,0)</f>
        <v>3</v>
      </c>
      <c r="AJ646" s="61" t="str">
        <f aca="false">IF(Q646="","",Q646)</f>
        <v/>
      </c>
      <c r="AK646" s="61" t="n">
        <f aca="false">AK645+1</f>
        <v>646</v>
      </c>
      <c r="AL646" s="61" t="e">
        <f aca="false">Y646</f>
        <v>#N/A</v>
      </c>
      <c r="AM646" s="81" t="e">
        <f aca="false">"a = Client().post('"&amp;W646&amp;"', {'recipe' : '"&amp;V646&amp;"', 'ingredient' : '"&amp;Z646&amp;"', 'name' : '"&amp;X646&amp;"', 'mass_unit' : '"&amp;AC646&amp;"', 'mass_quantity' : '"&amp;ROUND(AA646,3)&amp;"', 'volume_unit' : '"&amp;AF646&amp;"', 'volume_quantity' : '"&amp;ROUND(AD646,3)&amp;"', 'pieces_unit' : '"&amp;AI646&amp;"', 'pieces_quantity' : '"&amp;ROUND(AG646,3)&amp;"', 'cooking_notes' : '"&amp;AJ646&amp;"'}).status_code; print('%s :: %s :: %s :: %s :: %s' %(a,"&amp;G646&amp;",'"&amp;X646&amp;"','"&amp;Y646&amp;"','"&amp;U646&amp;"'))"</f>
        <v>#N/A</v>
      </c>
    </row>
    <row r="647" customFormat="false" ht="15" hidden="false" customHeight="false" outlineLevel="0" collapsed="false">
      <c r="G647" s="80" t="n">
        <v>647</v>
      </c>
      <c r="I647" s="169" t="s">
        <v>322</v>
      </c>
      <c r="J647" s="85" t="s">
        <v>727</v>
      </c>
      <c r="K647" s="69" t="n">
        <v>7</v>
      </c>
      <c r="L647" s="69" t="s">
        <v>7</v>
      </c>
      <c r="M647" s="146" t="n">
        <v>3.5</v>
      </c>
      <c r="N647" s="146" t="s">
        <v>13</v>
      </c>
      <c r="R647" s="82" t="str">
        <f aca="false">VLOOKUP(J647,ingredient!$N$4:$O$553,2,0)</f>
        <v>green capsicum</v>
      </c>
      <c r="U647" s="81" t="str">
        <f aca="false">I647</f>
        <v>Sauted Vegetables</v>
      </c>
      <c r="V647" s="81" t="n">
        <f aca="false">VLOOKUP(U647,recipe_ingred_list!$A$2:$B$300,2,0)</f>
        <v>71</v>
      </c>
      <c r="W647" s="81" t="str">
        <f aca="false">"/recipes/"&amp;VLOOKUP(U647,recipe_ingred_list!$A$2:$C$300,3,0)&amp;"/detail/"</f>
        <v>/recipes/sauted-vegetables/detail/</v>
      </c>
      <c r="X647" s="81" t="str">
        <f aca="false">J647</f>
        <v>Green capsicum sauted</v>
      </c>
      <c r="Y647" s="81" t="str">
        <f aca="false">R647</f>
        <v>green capsicum</v>
      </c>
      <c r="Z647" s="94" t="n">
        <f aca="false">VLOOKUP(Y647,recipe_ingred_list!$D$2:$E$500,2,0)</f>
        <v>84</v>
      </c>
      <c r="AA647" s="61" t="n">
        <f aca="false">K647</f>
        <v>7</v>
      </c>
      <c r="AB647" s="61" t="str">
        <f aca="false">L647</f>
        <v>kg</v>
      </c>
      <c r="AC647" s="61" t="n">
        <f aca="false">VLOOKUP(AB647,recipe_ingred_list!$K$2:$M$7,3,0)</f>
        <v>2</v>
      </c>
      <c r="AD647" s="61" t="n">
        <f aca="false">M647</f>
        <v>3.5</v>
      </c>
      <c r="AE647" s="61" t="str">
        <f aca="false">N647</f>
        <v>ltr</v>
      </c>
      <c r="AF647" s="61" t="n">
        <f aca="false">VLOOKUP(AE647,recipe_ingred_list!$K$16:$M$25,3,0)</f>
        <v>1</v>
      </c>
      <c r="AG647" s="61" t="n">
        <f aca="false">O647</f>
        <v>0</v>
      </c>
      <c r="AH647" s="61" t="n">
        <f aca="false">P647</f>
        <v>0</v>
      </c>
      <c r="AI647" s="61" t="n">
        <f aca="false">VLOOKUP(AH647,recipe_ingred_list!$K$29:$M$34,3,0)</f>
        <v>3</v>
      </c>
      <c r="AJ647" s="61" t="str">
        <f aca="false">IF(Q647="","",Q647)</f>
        <v/>
      </c>
      <c r="AK647" s="61" t="n">
        <f aca="false">AK646+1</f>
        <v>647</v>
      </c>
      <c r="AL647" s="61" t="str">
        <f aca="false">Y647</f>
        <v>green capsicum</v>
      </c>
      <c r="AM647" s="81" t="str">
        <f aca="false">"a = Client().post('"&amp;W647&amp;"', {'recipe' : '"&amp;V647&amp;"', 'ingredient' : '"&amp;Z647&amp;"', 'name' : '"&amp;X647&amp;"', 'mass_unit' : '"&amp;AC647&amp;"', 'mass_quantity' : '"&amp;ROUND(AA647,3)&amp;"', 'volume_unit' : '"&amp;AF647&amp;"', 'volume_quantity' : '"&amp;ROUND(AD647,3)&amp;"', 'pieces_unit' : '"&amp;AI647&amp;"', 'pieces_quantity' : '"&amp;ROUND(AG647,3)&amp;"', 'cooking_notes' : '"&amp;AJ647&amp;"'}).status_code; print('%s :: %s :: %s :: %s :: %s' %(a,"&amp;G647&amp;",'"&amp;X647&amp;"','"&amp;Y647&amp;"','"&amp;U647&amp;"'))"</f>
        <v>a = Client().post('/recipes/sauted-vegetables/detail/', {'recipe' : '71', 'ingredient' : '84', 'name' : 'Green capsicum sauted', 'mass_unit' : '2', 'mass_quantity' : '7', 'volume_unit' : '1', 'volume_quantity' : '3.5', 'pieces_unit' : '3', 'pieces_quantity' : '0', 'cooking_notes' : ''}).status_code; print('%s :: %s :: %s :: %s :: %s' %(a,647,'Green capsicum sauted','green capsicum','Sauted Vegetables'))</v>
      </c>
    </row>
    <row r="648" customFormat="false" ht="15" hidden="false" customHeight="false" outlineLevel="0" collapsed="false">
      <c r="G648" s="80" t="n">
        <v>648</v>
      </c>
      <c r="I648" s="169" t="s">
        <v>322</v>
      </c>
      <c r="J648" s="142"/>
      <c r="K648" s="0"/>
      <c r="L648" s="0"/>
      <c r="R648" s="82" t="e">
        <f aca="false">VLOOKUP(J648,ingredient!$N$4:$O$553,2,0)</f>
        <v>#N/A</v>
      </c>
      <c r="U648" s="81" t="str">
        <f aca="false">I648</f>
        <v>Sauted Vegetables</v>
      </c>
      <c r="V648" s="81" t="n">
        <f aca="false">VLOOKUP(U648,recipe_ingred_list!$A$2:$B$300,2,0)</f>
        <v>71</v>
      </c>
      <c r="W648" s="81" t="str">
        <f aca="false">"/recipes/"&amp;VLOOKUP(U648,recipe_ingred_list!$A$2:$C$300,3,0)&amp;"/detail/"</f>
        <v>/recipes/sauted-vegetables/detail/</v>
      </c>
      <c r="X648" s="81" t="n">
        <f aca="false">J648</f>
        <v>0</v>
      </c>
      <c r="Y648" s="81" t="e">
        <f aca="false">R648</f>
        <v>#N/A</v>
      </c>
      <c r="Z648" s="94" t="e">
        <f aca="false">VLOOKUP(Y648,recipe_ingred_list!$D$2:$E$500,2,0)</f>
        <v>#N/A</v>
      </c>
      <c r="AA648" s="61" t="n">
        <f aca="false">K648</f>
        <v>0</v>
      </c>
      <c r="AB648" s="61" t="n">
        <f aca="false">L648</f>
        <v>0</v>
      </c>
      <c r="AC648" s="61" t="n">
        <f aca="false">VLOOKUP(AB648,recipe_ingred_list!$K$2:$M$7,3,0)</f>
        <v>2</v>
      </c>
      <c r="AD648" s="61" t="n">
        <f aca="false">M648</f>
        <v>0</v>
      </c>
      <c r="AE648" s="61" t="n">
        <f aca="false">N648</f>
        <v>0</v>
      </c>
      <c r="AF648" s="61" t="n">
        <f aca="false">VLOOKUP(AE648,recipe_ingred_list!$K$16:$M$25,3,0)</f>
        <v>1</v>
      </c>
      <c r="AG648" s="61" t="n">
        <f aca="false">O648</f>
        <v>0</v>
      </c>
      <c r="AH648" s="61" t="n">
        <f aca="false">P648</f>
        <v>0</v>
      </c>
      <c r="AI648" s="61" t="n">
        <f aca="false">VLOOKUP(AH648,recipe_ingred_list!$K$29:$M$34,3,0)</f>
        <v>3</v>
      </c>
      <c r="AJ648" s="61" t="str">
        <f aca="false">IF(Q648="","",Q648)</f>
        <v/>
      </c>
      <c r="AK648" s="61" t="n">
        <f aca="false">AK647+1</f>
        <v>648</v>
      </c>
      <c r="AL648" s="61" t="e">
        <f aca="false">Y648</f>
        <v>#N/A</v>
      </c>
      <c r="AM648" s="81" t="e">
        <f aca="false">"a = Client().post('"&amp;W648&amp;"', {'recipe' : '"&amp;V648&amp;"', 'ingredient' : '"&amp;Z648&amp;"', 'name' : '"&amp;X648&amp;"', 'mass_unit' : '"&amp;AC648&amp;"', 'mass_quantity' : '"&amp;ROUND(AA648,3)&amp;"', 'volume_unit' : '"&amp;AF648&amp;"', 'volume_quantity' : '"&amp;ROUND(AD648,3)&amp;"', 'pieces_unit' : '"&amp;AI648&amp;"', 'pieces_quantity' : '"&amp;ROUND(AG648,3)&amp;"', 'cooking_notes' : '"&amp;AJ648&amp;"'}).status_code; print('%s :: %s :: %s :: %s :: %s' %(a,"&amp;G648&amp;",'"&amp;X648&amp;"','"&amp;Y648&amp;"','"&amp;U648&amp;"'))"</f>
        <v>#N/A</v>
      </c>
    </row>
    <row r="649" customFormat="false" ht="15" hidden="false" customHeight="false" outlineLevel="0" collapsed="false">
      <c r="G649" s="80" t="n">
        <v>649</v>
      </c>
      <c r="I649" s="169" t="s">
        <v>322</v>
      </c>
      <c r="J649" s="85" t="s">
        <v>728</v>
      </c>
      <c r="K649" s="69" t="n">
        <v>8.75</v>
      </c>
      <c r="L649" s="69" t="s">
        <v>7</v>
      </c>
      <c r="M649" s="146" t="n">
        <v>13.125</v>
      </c>
      <c r="N649" s="146" t="s">
        <v>13</v>
      </c>
      <c r="R649" s="82" t="str">
        <f aca="false">VLOOKUP(J649,ingredient!$N$4:$O$553,2,0)</f>
        <v>broccoli</v>
      </c>
      <c r="U649" s="81" t="str">
        <f aca="false">I649</f>
        <v>Sauted Vegetables</v>
      </c>
      <c r="V649" s="81" t="n">
        <f aca="false">VLOOKUP(U649,recipe_ingred_list!$A$2:$B$300,2,0)</f>
        <v>71</v>
      </c>
      <c r="W649" s="81" t="str">
        <f aca="false">"/recipes/"&amp;VLOOKUP(U649,recipe_ingred_list!$A$2:$C$300,3,0)&amp;"/detail/"</f>
        <v>/recipes/sauted-vegetables/detail/</v>
      </c>
      <c r="X649" s="81" t="str">
        <f aca="false">J649</f>
        <v>Broccoli steamed</v>
      </c>
      <c r="Y649" s="81" t="str">
        <f aca="false">R649</f>
        <v>broccoli</v>
      </c>
      <c r="Z649" s="94" t="n">
        <f aca="false">VLOOKUP(Y649,recipe_ingred_list!$D$2:$E$500,2,0)</f>
        <v>36</v>
      </c>
      <c r="AA649" s="61" t="n">
        <f aca="false">K649</f>
        <v>8.75</v>
      </c>
      <c r="AB649" s="61" t="str">
        <f aca="false">L649</f>
        <v>kg</v>
      </c>
      <c r="AC649" s="61" t="n">
        <f aca="false">VLOOKUP(AB649,recipe_ingred_list!$K$2:$M$7,3,0)</f>
        <v>2</v>
      </c>
      <c r="AD649" s="61" t="n">
        <f aca="false">M649</f>
        <v>13.125</v>
      </c>
      <c r="AE649" s="61" t="str">
        <f aca="false">N649</f>
        <v>ltr</v>
      </c>
      <c r="AF649" s="61" t="n">
        <f aca="false">VLOOKUP(AE649,recipe_ingred_list!$K$16:$M$25,3,0)</f>
        <v>1</v>
      </c>
      <c r="AG649" s="61" t="n">
        <f aca="false">O649</f>
        <v>0</v>
      </c>
      <c r="AH649" s="61" t="n">
        <f aca="false">P649</f>
        <v>0</v>
      </c>
      <c r="AI649" s="61" t="n">
        <f aca="false">VLOOKUP(AH649,recipe_ingred_list!$K$29:$M$34,3,0)</f>
        <v>3</v>
      </c>
      <c r="AJ649" s="61" t="str">
        <f aca="false">IF(Q649="","",Q649)</f>
        <v/>
      </c>
      <c r="AK649" s="61" t="n">
        <f aca="false">AK648+1</f>
        <v>649</v>
      </c>
      <c r="AL649" s="61" t="str">
        <f aca="false">Y649</f>
        <v>broccoli</v>
      </c>
      <c r="AM649" s="81" t="str">
        <f aca="false">"a = Client().post('"&amp;W649&amp;"', {'recipe' : '"&amp;V649&amp;"', 'ingredient' : '"&amp;Z649&amp;"', 'name' : '"&amp;X649&amp;"', 'mass_unit' : '"&amp;AC649&amp;"', 'mass_quantity' : '"&amp;ROUND(AA649,3)&amp;"', 'volume_unit' : '"&amp;AF649&amp;"', 'volume_quantity' : '"&amp;ROUND(AD649,3)&amp;"', 'pieces_unit' : '"&amp;AI649&amp;"', 'pieces_quantity' : '"&amp;ROUND(AG649,3)&amp;"', 'cooking_notes' : '"&amp;AJ649&amp;"'}).status_code; print('%s :: %s :: %s :: %s :: %s' %(a,"&amp;G649&amp;",'"&amp;X649&amp;"','"&amp;Y649&amp;"','"&amp;U649&amp;"'))"</f>
        <v>a = Client().post('/recipes/sauted-vegetables/detail/', {'recipe' : '71', 'ingredient' : '36', 'name' : 'Broccoli steamed', 'mass_unit' : '2', 'mass_quantity' : '8.75', 'volume_unit' : '1', 'volume_quantity' : '13.125', 'pieces_unit' : '3', 'pieces_quantity' : '0', 'cooking_notes' : ''}).status_code; print('%s :: %s :: %s :: %s :: %s' %(a,649,'Broccoli steamed','broccoli','Sauted Vegetables'))</v>
      </c>
    </row>
    <row r="650" customFormat="false" ht="15" hidden="false" customHeight="false" outlineLevel="0" collapsed="false">
      <c r="G650" s="80" t="n">
        <v>650</v>
      </c>
      <c r="I650" s="169" t="s">
        <v>322</v>
      </c>
      <c r="J650" s="142" t="s">
        <v>700</v>
      </c>
      <c r="K650" s="0"/>
      <c r="L650" s="0"/>
      <c r="R650" s="82" t="str">
        <f aca="false">VLOOKUP(J650,ingredient!$N$4:$O$553,2,0)</f>
        <v>zucchini</v>
      </c>
      <c r="U650" s="81" t="str">
        <f aca="false">I650</f>
        <v>Sauted Vegetables</v>
      </c>
      <c r="V650" s="81" t="n">
        <f aca="false">VLOOKUP(U650,recipe_ingred_list!$A$2:$B$300,2,0)</f>
        <v>71</v>
      </c>
      <c r="W650" s="81" t="str">
        <f aca="false">"/recipes/"&amp;VLOOKUP(U650,recipe_ingred_list!$A$2:$C$300,3,0)&amp;"/detail/"</f>
        <v>/recipes/sauted-vegetables/detail/</v>
      </c>
      <c r="X650" s="81" t="str">
        <f aca="false">J650</f>
        <v>Zucchini</v>
      </c>
      <c r="Y650" s="81" t="str">
        <f aca="false">R650</f>
        <v>zucchini</v>
      </c>
      <c r="Z650" s="94" t="n">
        <f aca="false">VLOOKUP(Y650,recipe_ingred_list!$D$2:$E$500,2,0)</f>
        <v>210</v>
      </c>
      <c r="AA650" s="61" t="n">
        <f aca="false">K650</f>
        <v>0</v>
      </c>
      <c r="AB650" s="61" t="n">
        <f aca="false">L650</f>
        <v>0</v>
      </c>
      <c r="AC650" s="61" t="n">
        <f aca="false">VLOOKUP(AB650,recipe_ingred_list!$K$2:$M$7,3,0)</f>
        <v>2</v>
      </c>
      <c r="AD650" s="61" t="n">
        <f aca="false">M650</f>
        <v>0</v>
      </c>
      <c r="AE650" s="61" t="n">
        <f aca="false">N650</f>
        <v>0</v>
      </c>
      <c r="AF650" s="61" t="n">
        <f aca="false">VLOOKUP(AE650,recipe_ingred_list!$K$16:$M$25,3,0)</f>
        <v>1</v>
      </c>
      <c r="AG650" s="61" t="n">
        <f aca="false">O650</f>
        <v>0</v>
      </c>
      <c r="AH650" s="61" t="n">
        <f aca="false">P650</f>
        <v>0</v>
      </c>
      <c r="AI650" s="61" t="n">
        <f aca="false">VLOOKUP(AH650,recipe_ingred_list!$K$29:$M$34,3,0)</f>
        <v>3</v>
      </c>
      <c r="AJ650" s="61" t="str">
        <f aca="false">IF(Q650="","",Q650)</f>
        <v/>
      </c>
      <c r="AK650" s="61" t="n">
        <f aca="false">AK649+1</f>
        <v>650</v>
      </c>
      <c r="AL650" s="61" t="str">
        <f aca="false">Y650</f>
        <v>zucchini</v>
      </c>
      <c r="AM650" s="81" t="str">
        <f aca="false">"a = Client().post('"&amp;W650&amp;"', {'recipe' : '"&amp;V650&amp;"', 'ingredient' : '"&amp;Z650&amp;"', 'name' : '"&amp;X650&amp;"', 'mass_unit' : '"&amp;AC650&amp;"', 'mass_quantity' : '"&amp;ROUND(AA650,3)&amp;"', 'volume_unit' : '"&amp;AF650&amp;"', 'volume_quantity' : '"&amp;ROUND(AD650,3)&amp;"', 'pieces_unit' : '"&amp;AI650&amp;"', 'pieces_quantity' : '"&amp;ROUND(AG650,3)&amp;"', 'cooking_notes' : '"&amp;AJ650&amp;"'}).status_code; print('%s :: %s :: %s :: %s :: %s' %(a,"&amp;G650&amp;",'"&amp;X650&amp;"','"&amp;Y650&amp;"','"&amp;U650&amp;"'))"</f>
        <v>a = Client().post('/recipes/sauted-vegetables/detail/', {'recipe' : '71', 'ingredient' : '210', 'name' : 'Zucchini', 'mass_unit' : '2', 'mass_quantity' : '0', 'volume_unit' : '1', 'volume_quantity' : '0', 'pieces_unit' : '3', 'pieces_quantity' : '0', 'cooking_notes' : ''}).status_code; print('%s :: %s :: %s :: %s :: %s' %(a,650,'Zucchini','zucchini','Sauted Vegetables'))</v>
      </c>
    </row>
    <row r="651" customFormat="false" ht="15" hidden="false" customHeight="false" outlineLevel="0" collapsed="false">
      <c r="G651" s="80" t="n">
        <v>651</v>
      </c>
      <c r="I651" s="169" t="s">
        <v>322</v>
      </c>
      <c r="J651" s="85" t="s">
        <v>729</v>
      </c>
      <c r="K651" s="69" t="n">
        <v>6.125</v>
      </c>
      <c r="L651" s="69" t="s">
        <v>7</v>
      </c>
      <c r="M651" s="146" t="n">
        <v>3.5</v>
      </c>
      <c r="N651" s="146" t="s">
        <v>13</v>
      </c>
      <c r="R651" s="82" t="str">
        <f aca="false">VLOOKUP(J651,ingredient!$N$4:$O$553,2,0)</f>
        <v>zucchini</v>
      </c>
      <c r="U651" s="81" t="str">
        <f aca="false">I651</f>
        <v>Sauted Vegetables</v>
      </c>
      <c r="V651" s="81" t="n">
        <f aca="false">VLOOKUP(U651,recipe_ingred_list!$A$2:$B$300,2,0)</f>
        <v>71</v>
      </c>
      <c r="W651" s="81" t="str">
        <f aca="false">"/recipes/"&amp;VLOOKUP(U651,recipe_ingred_list!$A$2:$C$300,3,0)&amp;"/detail/"</f>
        <v>/recipes/sauted-vegetables/detail/</v>
      </c>
      <c r="X651" s="81" t="str">
        <f aca="false">J651</f>
        <v>Zucchini sauted</v>
      </c>
      <c r="Y651" s="81" t="str">
        <f aca="false">R651</f>
        <v>zucchini</v>
      </c>
      <c r="Z651" s="94" t="n">
        <f aca="false">VLOOKUP(Y651,recipe_ingred_list!$D$2:$E$500,2,0)</f>
        <v>210</v>
      </c>
      <c r="AA651" s="61" t="n">
        <f aca="false">K651</f>
        <v>6.125</v>
      </c>
      <c r="AB651" s="61" t="str">
        <f aca="false">L651</f>
        <v>kg</v>
      </c>
      <c r="AC651" s="61" t="n">
        <f aca="false">VLOOKUP(AB651,recipe_ingred_list!$K$2:$M$7,3,0)</f>
        <v>2</v>
      </c>
      <c r="AD651" s="61" t="n">
        <f aca="false">M651</f>
        <v>3.5</v>
      </c>
      <c r="AE651" s="61" t="str">
        <f aca="false">N651</f>
        <v>ltr</v>
      </c>
      <c r="AF651" s="61" t="n">
        <f aca="false">VLOOKUP(AE651,recipe_ingred_list!$K$16:$M$25,3,0)</f>
        <v>1</v>
      </c>
      <c r="AG651" s="61" t="n">
        <f aca="false">O651</f>
        <v>0</v>
      </c>
      <c r="AH651" s="61" t="n">
        <f aca="false">P651</f>
        <v>0</v>
      </c>
      <c r="AI651" s="61" t="n">
        <f aca="false">VLOOKUP(AH651,recipe_ingred_list!$K$29:$M$34,3,0)</f>
        <v>3</v>
      </c>
      <c r="AJ651" s="61" t="str">
        <f aca="false">IF(Q651="","",Q651)</f>
        <v/>
      </c>
      <c r="AK651" s="61" t="n">
        <f aca="false">AK650+1</f>
        <v>651</v>
      </c>
      <c r="AL651" s="61" t="str">
        <f aca="false">Y651</f>
        <v>zucchini</v>
      </c>
      <c r="AM651" s="81" t="str">
        <f aca="false">"a = Client().post('"&amp;W651&amp;"', {'recipe' : '"&amp;V651&amp;"', 'ingredient' : '"&amp;Z651&amp;"', 'name' : '"&amp;X651&amp;"', 'mass_unit' : '"&amp;AC651&amp;"', 'mass_quantity' : '"&amp;ROUND(AA651,3)&amp;"', 'volume_unit' : '"&amp;AF651&amp;"', 'volume_quantity' : '"&amp;ROUND(AD651,3)&amp;"', 'pieces_unit' : '"&amp;AI651&amp;"', 'pieces_quantity' : '"&amp;ROUND(AG651,3)&amp;"', 'cooking_notes' : '"&amp;AJ651&amp;"'}).status_code; print('%s :: %s :: %s :: %s :: %s' %(a,"&amp;G651&amp;",'"&amp;X651&amp;"','"&amp;Y651&amp;"','"&amp;U651&amp;"'))"</f>
        <v>a = Client().post('/recipes/sauted-vegetables/detail/', {'recipe' : '71', 'ingredient' : '210', 'name' : 'Zucchini sauted', 'mass_unit' : '2', 'mass_quantity' : '6.125', 'volume_unit' : '1', 'volume_quantity' : '3.5', 'pieces_unit' : '3', 'pieces_quantity' : '0', 'cooking_notes' : ''}).status_code; print('%s :: %s :: %s :: %s :: %s' %(a,651,'Zucchini sauted','zucchini','Sauted Vegetables'))</v>
      </c>
    </row>
    <row r="652" customFormat="false" ht="15" hidden="false" customHeight="false" outlineLevel="0" collapsed="false">
      <c r="G652" s="80" t="n">
        <v>652</v>
      </c>
      <c r="I652" s="169" t="s">
        <v>322</v>
      </c>
      <c r="J652" s="142"/>
      <c r="K652" s="0"/>
      <c r="L652" s="0"/>
      <c r="R652" s="82" t="e">
        <f aca="false">VLOOKUP(J652,ingredient!$N$4:$O$553,2,0)</f>
        <v>#N/A</v>
      </c>
      <c r="U652" s="81" t="str">
        <f aca="false">I652</f>
        <v>Sauted Vegetables</v>
      </c>
      <c r="V652" s="81" t="n">
        <f aca="false">VLOOKUP(U652,recipe_ingred_list!$A$2:$B$300,2,0)</f>
        <v>71</v>
      </c>
      <c r="W652" s="81" t="str">
        <f aca="false">"/recipes/"&amp;VLOOKUP(U652,recipe_ingred_list!$A$2:$C$300,3,0)&amp;"/detail/"</f>
        <v>/recipes/sauted-vegetables/detail/</v>
      </c>
      <c r="X652" s="81" t="n">
        <f aca="false">J652</f>
        <v>0</v>
      </c>
      <c r="Y652" s="81" t="e">
        <f aca="false">R652</f>
        <v>#N/A</v>
      </c>
      <c r="Z652" s="94" t="e">
        <f aca="false">VLOOKUP(Y652,recipe_ingred_list!$D$2:$E$500,2,0)</f>
        <v>#N/A</v>
      </c>
      <c r="AA652" s="61" t="n">
        <f aca="false">K652</f>
        <v>0</v>
      </c>
      <c r="AB652" s="61" t="n">
        <f aca="false">L652</f>
        <v>0</v>
      </c>
      <c r="AC652" s="61" t="n">
        <f aca="false">VLOOKUP(AB652,recipe_ingred_list!$K$2:$M$7,3,0)</f>
        <v>2</v>
      </c>
      <c r="AD652" s="61" t="n">
        <f aca="false">M652</f>
        <v>0</v>
      </c>
      <c r="AE652" s="61" t="n">
        <f aca="false">N652</f>
        <v>0</v>
      </c>
      <c r="AF652" s="61" t="n">
        <f aca="false">VLOOKUP(AE652,recipe_ingred_list!$K$16:$M$25,3,0)</f>
        <v>1</v>
      </c>
      <c r="AG652" s="61" t="n">
        <f aca="false">O652</f>
        <v>0</v>
      </c>
      <c r="AH652" s="61" t="n">
        <f aca="false">P652</f>
        <v>0</v>
      </c>
      <c r="AI652" s="61" t="n">
        <f aca="false">VLOOKUP(AH652,recipe_ingred_list!$K$29:$M$34,3,0)</f>
        <v>3</v>
      </c>
      <c r="AJ652" s="61" t="str">
        <f aca="false">IF(Q652="","",Q652)</f>
        <v/>
      </c>
      <c r="AK652" s="61" t="n">
        <f aca="false">AK651+1</f>
        <v>652</v>
      </c>
      <c r="AL652" s="61" t="e">
        <f aca="false">Y652</f>
        <v>#N/A</v>
      </c>
      <c r="AM652" s="81" t="e">
        <f aca="false">"a = Client().post('"&amp;W652&amp;"', {'recipe' : '"&amp;V652&amp;"', 'ingredient' : '"&amp;Z652&amp;"', 'name' : '"&amp;X652&amp;"', 'mass_unit' : '"&amp;AC652&amp;"', 'mass_quantity' : '"&amp;ROUND(AA652,3)&amp;"', 'volume_unit' : '"&amp;AF652&amp;"', 'volume_quantity' : '"&amp;ROUND(AD652,3)&amp;"', 'pieces_unit' : '"&amp;AI652&amp;"', 'pieces_quantity' : '"&amp;ROUND(AG652,3)&amp;"', 'cooking_notes' : '"&amp;AJ652&amp;"'}).status_code; print('%s :: %s :: %s :: %s :: %s' %(a,"&amp;G652&amp;",'"&amp;X652&amp;"','"&amp;Y652&amp;"','"&amp;U652&amp;"'))"</f>
        <v>#N/A</v>
      </c>
    </row>
    <row r="653" customFormat="false" ht="15" hidden="false" customHeight="false" outlineLevel="0" collapsed="false">
      <c r="G653" s="80" t="n">
        <v>653</v>
      </c>
      <c r="I653" s="169" t="s">
        <v>322</v>
      </c>
      <c r="J653" s="85" t="s">
        <v>730</v>
      </c>
      <c r="K653" s="69" t="n">
        <v>0.4375</v>
      </c>
      <c r="L653" s="69" t="s">
        <v>7</v>
      </c>
      <c r="M653" s="146" t="n">
        <v>3.5</v>
      </c>
      <c r="N653" s="146" t="s">
        <v>13</v>
      </c>
      <c r="R653" s="82" t="str">
        <f aca="false">VLOOKUP(J653,ingredient!$N$4:$O$553,2,0)</f>
        <v>basil leaves</v>
      </c>
      <c r="U653" s="81" t="str">
        <f aca="false">I653</f>
        <v>Sauted Vegetables</v>
      </c>
      <c r="V653" s="81" t="n">
        <f aca="false">VLOOKUP(U653,recipe_ingred_list!$A$2:$B$300,2,0)</f>
        <v>71</v>
      </c>
      <c r="W653" s="81" t="str">
        <f aca="false">"/recipes/"&amp;VLOOKUP(U653,recipe_ingred_list!$A$2:$C$300,3,0)&amp;"/detail/"</f>
        <v>/recipes/sauted-vegetables/detail/</v>
      </c>
      <c r="X653" s="81" t="str">
        <f aca="false">J653</f>
        <v>Basil chopped</v>
      </c>
      <c r="Y653" s="81" t="str">
        <f aca="false">R653</f>
        <v>basil leaves</v>
      </c>
      <c r="Z653" s="94" t="n">
        <f aca="false">VLOOKUP(Y653,recipe_ingred_list!$D$2:$E$500,2,0)</f>
        <v>24</v>
      </c>
      <c r="AA653" s="61" t="n">
        <f aca="false">K653</f>
        <v>0.4375</v>
      </c>
      <c r="AB653" s="61" t="str">
        <f aca="false">L653</f>
        <v>kg</v>
      </c>
      <c r="AC653" s="61" t="n">
        <f aca="false">VLOOKUP(AB653,recipe_ingred_list!$K$2:$M$7,3,0)</f>
        <v>2</v>
      </c>
      <c r="AD653" s="61" t="n">
        <f aca="false">M653</f>
        <v>3.5</v>
      </c>
      <c r="AE653" s="61" t="str">
        <f aca="false">N653</f>
        <v>ltr</v>
      </c>
      <c r="AF653" s="61" t="n">
        <f aca="false">VLOOKUP(AE653,recipe_ingred_list!$K$16:$M$25,3,0)</f>
        <v>1</v>
      </c>
      <c r="AG653" s="61" t="n">
        <f aca="false">O653</f>
        <v>0</v>
      </c>
      <c r="AH653" s="61" t="n">
        <f aca="false">P653</f>
        <v>0</v>
      </c>
      <c r="AI653" s="61" t="n">
        <f aca="false">VLOOKUP(AH653,recipe_ingred_list!$K$29:$M$34,3,0)</f>
        <v>3</v>
      </c>
      <c r="AJ653" s="61" t="str">
        <f aca="false">IF(Q653="","",Q653)</f>
        <v/>
      </c>
      <c r="AK653" s="61" t="n">
        <f aca="false">AK652+1</f>
        <v>653</v>
      </c>
      <c r="AL653" s="61" t="str">
        <f aca="false">Y653</f>
        <v>basil leaves</v>
      </c>
      <c r="AM653" s="81" t="str">
        <f aca="false">"a = Client().post('"&amp;W653&amp;"', {'recipe' : '"&amp;V653&amp;"', 'ingredient' : '"&amp;Z653&amp;"', 'name' : '"&amp;X653&amp;"', 'mass_unit' : '"&amp;AC653&amp;"', 'mass_quantity' : '"&amp;ROUND(AA653,3)&amp;"', 'volume_unit' : '"&amp;AF653&amp;"', 'volume_quantity' : '"&amp;ROUND(AD653,3)&amp;"', 'pieces_unit' : '"&amp;AI653&amp;"', 'pieces_quantity' : '"&amp;ROUND(AG653,3)&amp;"', 'cooking_notes' : '"&amp;AJ653&amp;"'}).status_code; print('%s :: %s :: %s :: %s :: %s' %(a,"&amp;G653&amp;",'"&amp;X653&amp;"','"&amp;Y653&amp;"','"&amp;U653&amp;"'))"</f>
        <v>a = Client().post('/recipes/sauted-vegetables/detail/', {'recipe' : '71', 'ingredient' : '24', 'name' : 'Basil chopped', 'mass_unit' : '2', 'mass_quantity' : '0.438', 'volume_unit' : '1', 'volume_quantity' : '3.5', 'pieces_unit' : '3', 'pieces_quantity' : '0', 'cooking_notes' : ''}).status_code; print('%s :: %s :: %s :: %s :: %s' %(a,653,'Basil chopped','basil leaves','Sauted Vegetables'))</v>
      </c>
    </row>
    <row r="654" customFormat="false" ht="15" hidden="false" customHeight="false" outlineLevel="0" collapsed="false">
      <c r="G654" s="80" t="n">
        <v>654</v>
      </c>
      <c r="I654" s="169" t="s">
        <v>322</v>
      </c>
      <c r="J654" s="142"/>
      <c r="K654" s="0"/>
      <c r="L654" s="0"/>
      <c r="R654" s="82" t="e">
        <f aca="false">VLOOKUP(J654,ingredient!$N$4:$O$553,2,0)</f>
        <v>#N/A</v>
      </c>
      <c r="U654" s="81" t="str">
        <f aca="false">I654</f>
        <v>Sauted Vegetables</v>
      </c>
      <c r="V654" s="81" t="n">
        <f aca="false">VLOOKUP(U654,recipe_ingred_list!$A$2:$B$300,2,0)</f>
        <v>71</v>
      </c>
      <c r="W654" s="81" t="str">
        <f aca="false">"/recipes/"&amp;VLOOKUP(U654,recipe_ingred_list!$A$2:$C$300,3,0)&amp;"/detail/"</f>
        <v>/recipes/sauted-vegetables/detail/</v>
      </c>
      <c r="X654" s="81" t="n">
        <f aca="false">J654</f>
        <v>0</v>
      </c>
      <c r="Y654" s="81" t="e">
        <f aca="false">R654</f>
        <v>#N/A</v>
      </c>
      <c r="Z654" s="94" t="e">
        <f aca="false">VLOOKUP(Y654,recipe_ingred_list!$D$2:$E$500,2,0)</f>
        <v>#N/A</v>
      </c>
      <c r="AA654" s="61" t="n">
        <f aca="false">K654</f>
        <v>0</v>
      </c>
      <c r="AB654" s="61" t="n">
        <f aca="false">L654</f>
        <v>0</v>
      </c>
      <c r="AC654" s="61" t="n">
        <f aca="false">VLOOKUP(AB654,recipe_ingred_list!$K$2:$M$7,3,0)</f>
        <v>2</v>
      </c>
      <c r="AD654" s="61" t="n">
        <f aca="false">M654</f>
        <v>0</v>
      </c>
      <c r="AE654" s="61" t="n">
        <f aca="false">N654</f>
        <v>0</v>
      </c>
      <c r="AF654" s="61" t="n">
        <f aca="false">VLOOKUP(AE654,recipe_ingred_list!$K$16:$M$25,3,0)</f>
        <v>1</v>
      </c>
      <c r="AG654" s="61" t="n">
        <f aca="false">O654</f>
        <v>0</v>
      </c>
      <c r="AH654" s="61" t="n">
        <f aca="false">P654</f>
        <v>0</v>
      </c>
      <c r="AI654" s="61" t="n">
        <f aca="false">VLOOKUP(AH654,recipe_ingred_list!$K$29:$M$34,3,0)</f>
        <v>3</v>
      </c>
      <c r="AJ654" s="61" t="str">
        <f aca="false">IF(Q654="","",Q654)</f>
        <v/>
      </c>
      <c r="AK654" s="61" t="n">
        <f aca="false">AK653+1</f>
        <v>654</v>
      </c>
      <c r="AL654" s="61" t="e">
        <f aca="false">Y654</f>
        <v>#N/A</v>
      </c>
      <c r="AM654" s="81" t="e">
        <f aca="false">"a = Client().post('"&amp;W654&amp;"', {'recipe' : '"&amp;V654&amp;"', 'ingredient' : '"&amp;Z654&amp;"', 'name' : '"&amp;X654&amp;"', 'mass_unit' : '"&amp;AC654&amp;"', 'mass_quantity' : '"&amp;ROUND(AA654,3)&amp;"', 'volume_unit' : '"&amp;AF654&amp;"', 'volume_quantity' : '"&amp;ROUND(AD654,3)&amp;"', 'pieces_unit' : '"&amp;AI654&amp;"', 'pieces_quantity' : '"&amp;ROUND(AG654,3)&amp;"', 'cooking_notes' : '"&amp;AJ654&amp;"'}).status_code; print('%s :: %s :: %s :: %s :: %s' %(a,"&amp;G654&amp;",'"&amp;X654&amp;"','"&amp;Y654&amp;"','"&amp;U654&amp;"'))"</f>
        <v>#N/A</v>
      </c>
    </row>
    <row r="655" customFormat="false" ht="15" hidden="false" customHeight="false" outlineLevel="0" collapsed="false">
      <c r="G655" s="80" t="n">
        <v>655</v>
      </c>
      <c r="I655" s="169" t="s">
        <v>322</v>
      </c>
      <c r="J655" s="85" t="s">
        <v>731</v>
      </c>
      <c r="K655" s="69" t="n">
        <v>5</v>
      </c>
      <c r="L655" s="69" t="s">
        <v>7</v>
      </c>
      <c r="M655" s="146" t="n">
        <v>5</v>
      </c>
      <c r="N655" s="146" t="s">
        <v>13</v>
      </c>
      <c r="R655" s="82" t="str">
        <f aca="false">VLOOKUP(J655,ingredient!$N$4:$O$553,2,0)</f>
        <v>panir</v>
      </c>
      <c r="U655" s="81" t="str">
        <f aca="false">I655</f>
        <v>Sauted Vegetables</v>
      </c>
      <c r="V655" s="81" t="n">
        <f aca="false">VLOOKUP(U655,recipe_ingred_list!$A$2:$B$300,2,0)</f>
        <v>71</v>
      </c>
      <c r="W655" s="81" t="str">
        <f aca="false">"/recipes/"&amp;VLOOKUP(U655,recipe_ingred_list!$A$2:$C$300,3,0)&amp;"/detail/"</f>
        <v>/recipes/sauted-vegetables/detail/</v>
      </c>
      <c r="X655" s="81" t="str">
        <f aca="false">J655</f>
        <v>Panir deep fried</v>
      </c>
      <c r="Y655" s="81" t="str">
        <f aca="false">R655</f>
        <v>panir</v>
      </c>
      <c r="Z655" s="94" t="n">
        <f aca="false">VLOOKUP(Y655,recipe_ingred_list!$D$2:$E$500,2,0)</f>
        <v>155</v>
      </c>
      <c r="AA655" s="61" t="n">
        <f aca="false">K655</f>
        <v>5</v>
      </c>
      <c r="AB655" s="61" t="str">
        <f aca="false">L655</f>
        <v>kg</v>
      </c>
      <c r="AC655" s="61" t="n">
        <f aca="false">VLOOKUP(AB655,recipe_ingred_list!$K$2:$M$7,3,0)</f>
        <v>2</v>
      </c>
      <c r="AD655" s="61" t="n">
        <f aca="false">M655</f>
        <v>5</v>
      </c>
      <c r="AE655" s="61" t="str">
        <f aca="false">N655</f>
        <v>ltr</v>
      </c>
      <c r="AF655" s="61" t="n">
        <f aca="false">VLOOKUP(AE655,recipe_ingred_list!$K$16:$M$25,3,0)</f>
        <v>1</v>
      </c>
      <c r="AG655" s="61" t="n">
        <f aca="false">O655</f>
        <v>0</v>
      </c>
      <c r="AH655" s="61" t="n">
        <f aca="false">P655</f>
        <v>0</v>
      </c>
      <c r="AI655" s="61" t="n">
        <f aca="false">VLOOKUP(AH655,recipe_ingred_list!$K$29:$M$34,3,0)</f>
        <v>3</v>
      </c>
      <c r="AJ655" s="61" t="str">
        <f aca="false">IF(Q655="","",Q655)</f>
        <v/>
      </c>
      <c r="AK655" s="61" t="n">
        <f aca="false">AK654+1</f>
        <v>655</v>
      </c>
      <c r="AL655" s="61" t="str">
        <f aca="false">Y655</f>
        <v>panir</v>
      </c>
      <c r="AM655" s="81" t="str">
        <f aca="false">"a = Client().post('"&amp;W655&amp;"', {'recipe' : '"&amp;V655&amp;"', 'ingredient' : '"&amp;Z655&amp;"', 'name' : '"&amp;X655&amp;"', 'mass_unit' : '"&amp;AC655&amp;"', 'mass_quantity' : '"&amp;ROUND(AA655,3)&amp;"', 'volume_unit' : '"&amp;AF655&amp;"', 'volume_quantity' : '"&amp;ROUND(AD655,3)&amp;"', 'pieces_unit' : '"&amp;AI655&amp;"', 'pieces_quantity' : '"&amp;ROUND(AG655,3)&amp;"', 'cooking_notes' : '"&amp;AJ655&amp;"'}).status_code; print('%s :: %s :: %s :: %s :: %s' %(a,"&amp;G655&amp;",'"&amp;X655&amp;"','"&amp;Y655&amp;"','"&amp;U655&amp;"'))"</f>
        <v>a = Client().post('/recipes/sauted-vegetables/detail/', {'recipe' : '71', 'ingredient' : '155', 'name' : 'Panir deep fried', 'mass_unit' : '2', 'mass_quantity' : '5', 'volume_unit' : '1', 'volume_quantity' : '5', 'pieces_unit' : '3', 'pieces_quantity' : '0', 'cooking_notes' : ''}).status_code; print('%s :: %s :: %s :: %s :: %s' %(a,655,'Panir deep fried','panir','Sauted Vegetables'))</v>
      </c>
    </row>
    <row r="656" customFormat="false" ht="15" hidden="false" customHeight="false" outlineLevel="0" collapsed="false">
      <c r="G656" s="80" t="n">
        <v>656</v>
      </c>
      <c r="I656" s="169" t="s">
        <v>322</v>
      </c>
      <c r="J656" s="142" t="s">
        <v>732</v>
      </c>
      <c r="M656" s="69" t="n">
        <v>3.5</v>
      </c>
      <c r="N656" s="69" t="s">
        <v>13</v>
      </c>
      <c r="R656" s="82" t="str">
        <f aca="false">VLOOKUP(J656,ingredient!$N$4:$O$553,2,0)</f>
        <v>tulsi tomato sauce</v>
      </c>
      <c r="U656" s="81" t="str">
        <f aca="false">I656</f>
        <v>Sauted Vegetables</v>
      </c>
      <c r="V656" s="81" t="n">
        <f aca="false">VLOOKUP(U656,recipe_ingred_list!$A$2:$B$300,2,0)</f>
        <v>71</v>
      </c>
      <c r="W656" s="81" t="str">
        <f aca="false">"/recipes/"&amp;VLOOKUP(U656,recipe_ingred_list!$A$2:$C$300,3,0)&amp;"/detail/"</f>
        <v>/recipes/sauted-vegetables/detail/</v>
      </c>
      <c r="X656" s="81" t="str">
        <f aca="false">J656</f>
        <v>Tulsi Tomato sauce </v>
      </c>
      <c r="Y656" s="81" t="str">
        <f aca="false">R656</f>
        <v>tulsi tomato sauce</v>
      </c>
      <c r="Z656" s="94" t="n">
        <f aca="false">VLOOKUP(Y656,recipe_ingred_list!$D$2:$E$500,2,0)</f>
        <v>197</v>
      </c>
      <c r="AA656" s="61" t="n">
        <f aca="false">K656</f>
        <v>0</v>
      </c>
      <c r="AB656" s="61" t="n">
        <f aca="false">L656</f>
        <v>0</v>
      </c>
      <c r="AC656" s="61" t="n">
        <f aca="false">VLOOKUP(AB656,recipe_ingred_list!$K$2:$M$7,3,0)</f>
        <v>2</v>
      </c>
      <c r="AD656" s="61" t="n">
        <f aca="false">M656</f>
        <v>3.5</v>
      </c>
      <c r="AE656" s="61" t="str">
        <f aca="false">N656</f>
        <v>ltr</v>
      </c>
      <c r="AF656" s="61" t="n">
        <f aca="false">VLOOKUP(AE656,recipe_ingred_list!$K$16:$M$25,3,0)</f>
        <v>1</v>
      </c>
      <c r="AG656" s="61" t="n">
        <f aca="false">O656</f>
        <v>0</v>
      </c>
      <c r="AH656" s="61" t="n">
        <f aca="false">P656</f>
        <v>0</v>
      </c>
      <c r="AI656" s="61" t="n">
        <f aca="false">VLOOKUP(AH656,recipe_ingred_list!$K$29:$M$34,3,0)</f>
        <v>3</v>
      </c>
      <c r="AJ656" s="61" t="str">
        <f aca="false">IF(Q656="","",Q656)</f>
        <v/>
      </c>
      <c r="AK656" s="61" t="n">
        <f aca="false">AK655+1</f>
        <v>656</v>
      </c>
      <c r="AL656" s="61" t="str">
        <f aca="false">Y656</f>
        <v>tulsi tomato sauce</v>
      </c>
      <c r="AM656" s="81" t="str">
        <f aca="false">"a = Client().post('"&amp;W656&amp;"', {'recipe' : '"&amp;V656&amp;"', 'ingredient' : '"&amp;Z656&amp;"', 'name' : '"&amp;X656&amp;"', 'mass_unit' : '"&amp;AC656&amp;"', 'mass_quantity' : '"&amp;ROUND(AA656,3)&amp;"', 'volume_unit' : '"&amp;AF656&amp;"', 'volume_quantity' : '"&amp;ROUND(AD656,3)&amp;"', 'pieces_unit' : '"&amp;AI656&amp;"', 'pieces_quantity' : '"&amp;ROUND(AG656,3)&amp;"', 'cooking_notes' : '"&amp;AJ656&amp;"'}).status_code; print('%s :: %s :: %s :: %s :: %s' %(a,"&amp;G656&amp;",'"&amp;X656&amp;"','"&amp;Y656&amp;"','"&amp;U656&amp;"'))"</f>
        <v>a = Client().post('/recipes/sauted-vegetables/detail/', {'recipe' : '71', 'ingredient' : '197', 'name' : 'Tulsi Tomato sauce ', 'mass_unit' : '2', 'mass_quantity' : '0', 'volume_unit' : '1', 'volume_quantity' : '3.5', 'pieces_unit' : '3', 'pieces_quantity' : '0', 'cooking_notes' : ''}).status_code; print('%s :: %s :: %s :: %s :: %s' %(a,656,'Tulsi Tomato sauce ','tulsi tomato sauce','Sauted Vegetables'))</v>
      </c>
    </row>
    <row r="657" customFormat="false" ht="15" hidden="false" customHeight="false" outlineLevel="0" collapsed="false">
      <c r="G657" s="80" t="n">
        <v>657</v>
      </c>
      <c r="I657" s="169" t="s">
        <v>322</v>
      </c>
      <c r="J657" s="144" t="s">
        <v>708</v>
      </c>
      <c r="M657" s="69" t="n">
        <v>1</v>
      </c>
      <c r="N657" s="69" t="s">
        <v>13</v>
      </c>
      <c r="R657" s="82" t="str">
        <f aca="false">VLOOKUP(J657,ingredient!$N$4:$O$553,2,0)</f>
        <v>green chilli sauce</v>
      </c>
      <c r="U657" s="81" t="str">
        <f aca="false">I657</f>
        <v>Sauted Vegetables</v>
      </c>
      <c r="V657" s="81" t="n">
        <f aca="false">VLOOKUP(U657,recipe_ingred_list!$A$2:$B$300,2,0)</f>
        <v>71</v>
      </c>
      <c r="W657" s="81" t="str">
        <f aca="false">"/recipes/"&amp;VLOOKUP(U657,recipe_ingred_list!$A$2:$C$300,3,0)&amp;"/detail/"</f>
        <v>/recipes/sauted-vegetables/detail/</v>
      </c>
      <c r="X657" s="81" t="str">
        <f aca="false">J657</f>
        <v>Green chilli sauce</v>
      </c>
      <c r="Y657" s="81" t="str">
        <f aca="false">R657</f>
        <v>green chilli sauce</v>
      </c>
      <c r="Z657" s="94" t="n">
        <f aca="false">VLOOKUP(Y657,recipe_ingred_list!$D$2:$E$500,2,0)</f>
        <v>85</v>
      </c>
      <c r="AA657" s="61" t="n">
        <f aca="false">K657</f>
        <v>0</v>
      </c>
      <c r="AB657" s="61" t="n">
        <f aca="false">L657</f>
        <v>0</v>
      </c>
      <c r="AC657" s="61" t="n">
        <f aca="false">VLOOKUP(AB657,recipe_ingred_list!$K$2:$M$7,3,0)</f>
        <v>2</v>
      </c>
      <c r="AD657" s="61" t="n">
        <f aca="false">M657</f>
        <v>1</v>
      </c>
      <c r="AE657" s="61" t="str">
        <f aca="false">N657</f>
        <v>ltr</v>
      </c>
      <c r="AF657" s="61" t="n">
        <f aca="false">VLOOKUP(AE657,recipe_ingred_list!$K$16:$M$25,3,0)</f>
        <v>1</v>
      </c>
      <c r="AG657" s="61" t="n">
        <f aca="false">O657</f>
        <v>0</v>
      </c>
      <c r="AH657" s="61" t="n">
        <f aca="false">P657</f>
        <v>0</v>
      </c>
      <c r="AI657" s="61" t="n">
        <f aca="false">VLOOKUP(AH657,recipe_ingred_list!$K$29:$M$34,3,0)</f>
        <v>3</v>
      </c>
      <c r="AJ657" s="61" t="str">
        <f aca="false">IF(Q657="","",Q657)</f>
        <v/>
      </c>
      <c r="AK657" s="61" t="n">
        <f aca="false">AK656+1</f>
        <v>657</v>
      </c>
      <c r="AL657" s="61" t="str">
        <f aca="false">Y657</f>
        <v>green chilli sauce</v>
      </c>
      <c r="AM657" s="81" t="str">
        <f aca="false">"a = Client().post('"&amp;W657&amp;"', {'recipe' : '"&amp;V657&amp;"', 'ingredient' : '"&amp;Z657&amp;"', 'name' : '"&amp;X657&amp;"', 'mass_unit' : '"&amp;AC657&amp;"', 'mass_quantity' : '"&amp;ROUND(AA657,3)&amp;"', 'volume_unit' : '"&amp;AF657&amp;"', 'volume_quantity' : '"&amp;ROUND(AD657,3)&amp;"', 'pieces_unit' : '"&amp;AI657&amp;"', 'pieces_quantity' : '"&amp;ROUND(AG657,3)&amp;"', 'cooking_notes' : '"&amp;AJ657&amp;"'}).status_code; print('%s :: %s :: %s :: %s :: %s' %(a,"&amp;G657&amp;",'"&amp;X657&amp;"','"&amp;Y657&amp;"','"&amp;U657&amp;"'))"</f>
        <v>a = Client().post('/recipes/sauted-vegetables/detail/', {'recipe' : '71', 'ingredient' : '85', 'name' : 'Green chilli sauce', 'mass_unit' : '2', 'mass_quantity' : '0', 'volume_unit' : '1', 'volume_quantity' : '1', 'pieces_unit' : '3', 'pieces_quantity' : '0', 'cooking_notes' : ''}).status_code; print('%s :: %s :: %s :: %s :: %s' %(a,657,'Green chilli sauce','green chilli sauce','Sauted Vegetables'))</v>
      </c>
    </row>
    <row r="658" customFormat="false" ht="15" hidden="false" customHeight="false" outlineLevel="0" collapsed="false">
      <c r="G658" s="80" t="n">
        <v>658</v>
      </c>
      <c r="I658" s="169" t="s">
        <v>322</v>
      </c>
      <c r="J658" s="144" t="s">
        <v>733</v>
      </c>
      <c r="M658" s="69" t="n">
        <v>0.5</v>
      </c>
      <c r="N658" s="69" t="s">
        <v>13</v>
      </c>
      <c r="R658" s="82" t="str">
        <f aca="false">VLOOKUP(J658,ingredient!$N$4:$O$553,2,0)</f>
        <v>soya sauce</v>
      </c>
      <c r="U658" s="81" t="str">
        <f aca="false">I658</f>
        <v>Sauted Vegetables</v>
      </c>
      <c r="V658" s="81" t="n">
        <f aca="false">VLOOKUP(U658,recipe_ingred_list!$A$2:$B$300,2,0)</f>
        <v>71</v>
      </c>
      <c r="W658" s="81" t="str">
        <f aca="false">"/recipes/"&amp;VLOOKUP(U658,recipe_ingred_list!$A$2:$C$300,3,0)&amp;"/detail/"</f>
        <v>/recipes/sauted-vegetables/detail/</v>
      </c>
      <c r="X658" s="81" t="str">
        <f aca="false">J658</f>
        <v>Soya Sauce</v>
      </c>
      <c r="Y658" s="81" t="str">
        <f aca="false">R658</f>
        <v>soya sauce</v>
      </c>
      <c r="Z658" s="94" t="n">
        <f aca="false">VLOOKUP(Y658,recipe_ingred_list!$D$2:$E$500,2,0)</f>
        <v>185</v>
      </c>
      <c r="AA658" s="61" t="n">
        <f aca="false">K658</f>
        <v>0</v>
      </c>
      <c r="AB658" s="61" t="n">
        <f aca="false">L658</f>
        <v>0</v>
      </c>
      <c r="AC658" s="61" t="n">
        <f aca="false">VLOOKUP(AB658,recipe_ingred_list!$K$2:$M$7,3,0)</f>
        <v>2</v>
      </c>
      <c r="AD658" s="61" t="n">
        <f aca="false">M658</f>
        <v>0.5</v>
      </c>
      <c r="AE658" s="61" t="str">
        <f aca="false">N658</f>
        <v>ltr</v>
      </c>
      <c r="AF658" s="61" t="n">
        <f aca="false">VLOOKUP(AE658,recipe_ingred_list!$K$16:$M$25,3,0)</f>
        <v>1</v>
      </c>
      <c r="AG658" s="61" t="n">
        <f aca="false">O658</f>
        <v>0</v>
      </c>
      <c r="AH658" s="61" t="n">
        <f aca="false">P658</f>
        <v>0</v>
      </c>
      <c r="AI658" s="61" t="n">
        <f aca="false">VLOOKUP(AH658,recipe_ingred_list!$K$29:$M$34,3,0)</f>
        <v>3</v>
      </c>
      <c r="AJ658" s="61" t="str">
        <f aca="false">IF(Q658="","",Q658)</f>
        <v/>
      </c>
      <c r="AK658" s="61" t="n">
        <f aca="false">AK657+1</f>
        <v>658</v>
      </c>
      <c r="AL658" s="61" t="str">
        <f aca="false">Y658</f>
        <v>soya sauce</v>
      </c>
      <c r="AM658" s="81" t="str">
        <f aca="false">"a = Client().post('"&amp;W658&amp;"', {'recipe' : '"&amp;V658&amp;"', 'ingredient' : '"&amp;Z658&amp;"', 'name' : '"&amp;X658&amp;"', 'mass_unit' : '"&amp;AC658&amp;"', 'mass_quantity' : '"&amp;ROUND(AA658,3)&amp;"', 'volume_unit' : '"&amp;AF658&amp;"', 'volume_quantity' : '"&amp;ROUND(AD658,3)&amp;"', 'pieces_unit' : '"&amp;AI658&amp;"', 'pieces_quantity' : '"&amp;ROUND(AG658,3)&amp;"', 'cooking_notes' : '"&amp;AJ658&amp;"'}).status_code; print('%s :: %s :: %s :: %s :: %s' %(a,"&amp;G658&amp;",'"&amp;X658&amp;"','"&amp;Y658&amp;"','"&amp;U658&amp;"'))"</f>
        <v>a = Client().post('/recipes/sauted-vegetables/detail/', {'recipe' : '71', 'ingredient' : '185', 'name' : 'Soya Sauce', 'mass_unit' : '2', 'mass_quantity' : '0', 'volume_unit' : '1', 'volume_quantity' : '0.5', 'pieces_unit' : '3', 'pieces_quantity' : '0', 'cooking_notes' : ''}).status_code; print('%s :: %s :: %s :: %s :: %s' %(a,658,'Soya Sauce','soya sauce','Sauted Vegetables'))</v>
      </c>
    </row>
    <row r="659" customFormat="false" ht="15" hidden="false" customHeight="false" outlineLevel="0" collapsed="false">
      <c r="G659" s="80" t="n">
        <v>659</v>
      </c>
      <c r="I659" s="169" t="s">
        <v>322</v>
      </c>
      <c r="J659" s="142" t="s">
        <v>734</v>
      </c>
      <c r="M659" s="69" t="n">
        <v>0.525</v>
      </c>
      <c r="N659" s="69" t="s">
        <v>13</v>
      </c>
      <c r="R659" s="82" t="str">
        <f aca="false">VLOOKUP(J659,ingredient!$N$4:$O$553,2,0)</f>
        <v>butter</v>
      </c>
      <c r="U659" s="81" t="str">
        <f aca="false">I659</f>
        <v>Sauted Vegetables</v>
      </c>
      <c r="V659" s="81" t="n">
        <f aca="false">VLOOKUP(U659,recipe_ingred_list!$A$2:$B$300,2,0)</f>
        <v>71</v>
      </c>
      <c r="W659" s="81" t="str">
        <f aca="false">"/recipes/"&amp;VLOOKUP(U659,recipe_ingred_list!$A$2:$C$300,3,0)&amp;"/detail/"</f>
        <v>/recipes/sauted-vegetables/detail/</v>
      </c>
      <c r="X659" s="81" t="str">
        <f aca="false">J659</f>
        <v>Butter/EVOO</v>
      </c>
      <c r="Y659" s="81" t="str">
        <f aca="false">R659</f>
        <v>butter</v>
      </c>
      <c r="Z659" s="94" t="n">
        <f aca="false">VLOOKUP(Y659,recipe_ingred_list!$D$2:$E$500,2,0)</f>
        <v>38</v>
      </c>
      <c r="AA659" s="61" t="n">
        <f aca="false">K659</f>
        <v>0</v>
      </c>
      <c r="AB659" s="61" t="n">
        <f aca="false">L659</f>
        <v>0</v>
      </c>
      <c r="AC659" s="61" t="n">
        <f aca="false">VLOOKUP(AB659,recipe_ingred_list!$K$2:$M$7,3,0)</f>
        <v>2</v>
      </c>
      <c r="AD659" s="61" t="n">
        <f aca="false">M659</f>
        <v>0.525</v>
      </c>
      <c r="AE659" s="61" t="str">
        <f aca="false">N659</f>
        <v>ltr</v>
      </c>
      <c r="AF659" s="61" t="n">
        <f aca="false">VLOOKUP(AE659,recipe_ingred_list!$K$16:$M$25,3,0)</f>
        <v>1</v>
      </c>
      <c r="AG659" s="61" t="n">
        <f aca="false">O659</f>
        <v>0</v>
      </c>
      <c r="AH659" s="61" t="n">
        <f aca="false">P659</f>
        <v>0</v>
      </c>
      <c r="AI659" s="61" t="n">
        <f aca="false">VLOOKUP(AH659,recipe_ingred_list!$K$29:$M$34,3,0)</f>
        <v>3</v>
      </c>
      <c r="AJ659" s="61" t="str">
        <f aca="false">IF(Q659="","",Q659)</f>
        <v/>
      </c>
      <c r="AK659" s="61" t="n">
        <f aca="false">AK658+1</f>
        <v>659</v>
      </c>
      <c r="AL659" s="61" t="str">
        <f aca="false">Y659</f>
        <v>butter</v>
      </c>
      <c r="AM659" s="81" t="str">
        <f aca="false">"a = Client().post('"&amp;W659&amp;"', {'recipe' : '"&amp;V659&amp;"', 'ingredient' : '"&amp;Z659&amp;"', 'name' : '"&amp;X659&amp;"', 'mass_unit' : '"&amp;AC659&amp;"', 'mass_quantity' : '"&amp;ROUND(AA659,3)&amp;"', 'volume_unit' : '"&amp;AF659&amp;"', 'volume_quantity' : '"&amp;ROUND(AD659,3)&amp;"', 'pieces_unit' : '"&amp;AI659&amp;"', 'pieces_quantity' : '"&amp;ROUND(AG659,3)&amp;"', 'cooking_notes' : '"&amp;AJ659&amp;"'}).status_code; print('%s :: %s :: %s :: %s :: %s' %(a,"&amp;G659&amp;",'"&amp;X659&amp;"','"&amp;Y659&amp;"','"&amp;U659&amp;"'))"</f>
        <v>a = Client().post('/recipes/sauted-vegetables/detail/', {'recipe' : '71', 'ingredient' : '38', 'name' : 'Butter/EVOO', 'mass_unit' : '2', 'mass_quantity' : '0', 'volume_unit' : '1', 'volume_quantity' : '0.525', 'pieces_unit' : '3', 'pieces_quantity' : '0', 'cooking_notes' : ''}).status_code; print('%s :: %s :: %s :: %s :: %s' %(a,659,'Butter/EVOO','butter','Sauted Vegetables'))</v>
      </c>
    </row>
    <row r="660" customFormat="false" ht="15" hidden="false" customHeight="false" outlineLevel="0" collapsed="false">
      <c r="G660" s="80" t="n">
        <v>660</v>
      </c>
      <c r="I660" s="169" t="s">
        <v>322</v>
      </c>
      <c r="J660" s="142" t="s">
        <v>618</v>
      </c>
      <c r="M660" s="69" t="n">
        <v>0.7</v>
      </c>
      <c r="N660" s="69" t="s">
        <v>20</v>
      </c>
      <c r="R660" s="82" t="str">
        <f aca="false">VLOOKUP(J660,ingredient!$N$4:$O$553,2,0)</f>
        <v>black pepper</v>
      </c>
      <c r="U660" s="81" t="str">
        <f aca="false">I660</f>
        <v>Sauted Vegetables</v>
      </c>
      <c r="V660" s="81" t="n">
        <f aca="false">VLOOKUP(U660,recipe_ingred_list!$A$2:$B$300,2,0)</f>
        <v>71</v>
      </c>
      <c r="W660" s="81" t="str">
        <f aca="false">"/recipes/"&amp;VLOOKUP(U660,recipe_ingred_list!$A$2:$C$300,3,0)&amp;"/detail/"</f>
        <v>/recipes/sauted-vegetables/detail/</v>
      </c>
      <c r="X660" s="81" t="str">
        <f aca="false">J660</f>
        <v>Black pepper powder</v>
      </c>
      <c r="Y660" s="81" t="str">
        <f aca="false">R660</f>
        <v>black pepper</v>
      </c>
      <c r="Z660" s="94" t="n">
        <f aca="false">VLOOKUP(Y660,recipe_ingred_list!$D$2:$E$500,2,0)</f>
        <v>31</v>
      </c>
      <c r="AA660" s="61" t="n">
        <f aca="false">K660</f>
        <v>0</v>
      </c>
      <c r="AB660" s="61" t="n">
        <f aca="false">L660</f>
        <v>0</v>
      </c>
      <c r="AC660" s="61" t="n">
        <f aca="false">VLOOKUP(AB660,recipe_ingred_list!$K$2:$M$7,3,0)</f>
        <v>2</v>
      </c>
      <c r="AD660" s="61" t="n">
        <f aca="false">M660</f>
        <v>0.7</v>
      </c>
      <c r="AE660" s="61" t="str">
        <f aca="false">N660</f>
        <v>cup</v>
      </c>
      <c r="AF660" s="61" t="n">
        <f aca="false">VLOOKUP(AE660,recipe_ingred_list!$K$16:$M$25,3,0)</f>
        <v>5</v>
      </c>
      <c r="AG660" s="61" t="n">
        <f aca="false">O660</f>
        <v>0</v>
      </c>
      <c r="AH660" s="61" t="n">
        <f aca="false">P660</f>
        <v>0</v>
      </c>
      <c r="AI660" s="61" t="n">
        <f aca="false">VLOOKUP(AH660,recipe_ingred_list!$K$29:$M$34,3,0)</f>
        <v>3</v>
      </c>
      <c r="AJ660" s="61" t="str">
        <f aca="false">IF(Q660="","",Q660)</f>
        <v/>
      </c>
      <c r="AK660" s="61" t="n">
        <f aca="false">AK659+1</f>
        <v>660</v>
      </c>
      <c r="AL660" s="61" t="str">
        <f aca="false">Y660</f>
        <v>black pepper</v>
      </c>
      <c r="AM660" s="81" t="str">
        <f aca="false">"a = Client().post('"&amp;W660&amp;"', {'recipe' : '"&amp;V660&amp;"', 'ingredient' : '"&amp;Z660&amp;"', 'name' : '"&amp;X660&amp;"', 'mass_unit' : '"&amp;AC660&amp;"', 'mass_quantity' : '"&amp;ROUND(AA660,3)&amp;"', 'volume_unit' : '"&amp;AF660&amp;"', 'volume_quantity' : '"&amp;ROUND(AD660,3)&amp;"', 'pieces_unit' : '"&amp;AI660&amp;"', 'pieces_quantity' : '"&amp;ROUND(AG660,3)&amp;"', 'cooking_notes' : '"&amp;AJ660&amp;"'}).status_code; print('%s :: %s :: %s :: %s :: %s' %(a,"&amp;G660&amp;",'"&amp;X660&amp;"','"&amp;Y660&amp;"','"&amp;U660&amp;"'))"</f>
        <v>a = Client().post('/recipes/sauted-vegetables/detail/', {'recipe' : '71', 'ingredient' : '31', 'name' : 'Black pepper powder', 'mass_unit' : '2', 'mass_quantity' : '0', 'volume_unit' : '5', 'volume_quantity' : '0.7', 'pieces_unit' : '3', 'pieces_quantity' : '0', 'cooking_notes' : ''}).status_code; print('%s :: %s :: %s :: %s :: %s' %(a,660,'Black pepper powder','black pepper','Sauted Vegetables'))</v>
      </c>
    </row>
    <row r="661" customFormat="false" ht="15" hidden="false" customHeight="false" outlineLevel="0" collapsed="false">
      <c r="G661" s="80" t="n">
        <v>661</v>
      </c>
      <c r="I661" s="169" t="s">
        <v>322</v>
      </c>
      <c r="J661" s="142" t="s">
        <v>562</v>
      </c>
      <c r="M661" s="69" t="n">
        <v>0.525</v>
      </c>
      <c r="N661" s="69" t="s">
        <v>20</v>
      </c>
      <c r="R661" s="82" t="str">
        <f aca="false">VLOOKUP(J661,ingredient!$N$4:$O$553,2,0)</f>
        <v>hing</v>
      </c>
      <c r="U661" s="81" t="str">
        <f aca="false">I661</f>
        <v>Sauted Vegetables</v>
      </c>
      <c r="V661" s="81" t="n">
        <f aca="false">VLOOKUP(U661,recipe_ingred_list!$A$2:$B$300,2,0)</f>
        <v>71</v>
      </c>
      <c r="W661" s="81" t="str">
        <f aca="false">"/recipes/"&amp;VLOOKUP(U661,recipe_ingred_list!$A$2:$C$300,3,0)&amp;"/detail/"</f>
        <v>/recipes/sauted-vegetables/detail/</v>
      </c>
      <c r="X661" s="81" t="str">
        <f aca="false">J661</f>
        <v>Hing</v>
      </c>
      <c r="Y661" s="81" t="str">
        <f aca="false">R661</f>
        <v>hing</v>
      </c>
      <c r="Z661" s="94" t="n">
        <f aca="false">VLOOKUP(Y661,recipe_ingred_list!$D$2:$E$500,2,0)</f>
        <v>95</v>
      </c>
      <c r="AA661" s="61" t="n">
        <f aca="false">K661</f>
        <v>0</v>
      </c>
      <c r="AB661" s="61" t="n">
        <f aca="false">L661</f>
        <v>0</v>
      </c>
      <c r="AC661" s="61" t="n">
        <f aca="false">VLOOKUP(AB661,recipe_ingred_list!$K$2:$M$7,3,0)</f>
        <v>2</v>
      </c>
      <c r="AD661" s="61" t="n">
        <f aca="false">M661</f>
        <v>0.525</v>
      </c>
      <c r="AE661" s="61" t="str">
        <f aca="false">N661</f>
        <v>cup</v>
      </c>
      <c r="AF661" s="61" t="n">
        <f aca="false">VLOOKUP(AE661,recipe_ingred_list!$K$16:$M$25,3,0)</f>
        <v>5</v>
      </c>
      <c r="AG661" s="61" t="n">
        <f aca="false">O661</f>
        <v>0</v>
      </c>
      <c r="AH661" s="61" t="n">
        <f aca="false">P661</f>
        <v>0</v>
      </c>
      <c r="AI661" s="61" t="n">
        <f aca="false">VLOOKUP(AH661,recipe_ingred_list!$K$29:$M$34,3,0)</f>
        <v>3</v>
      </c>
      <c r="AJ661" s="61" t="str">
        <f aca="false">IF(Q661="","",Q661)</f>
        <v/>
      </c>
      <c r="AK661" s="61" t="n">
        <f aca="false">AK660+1</f>
        <v>661</v>
      </c>
      <c r="AL661" s="61" t="str">
        <f aca="false">Y661</f>
        <v>hing</v>
      </c>
      <c r="AM661" s="81" t="str">
        <f aca="false">"a = Client().post('"&amp;W661&amp;"', {'recipe' : '"&amp;V661&amp;"', 'ingredient' : '"&amp;Z661&amp;"', 'name' : '"&amp;X661&amp;"', 'mass_unit' : '"&amp;AC661&amp;"', 'mass_quantity' : '"&amp;ROUND(AA661,3)&amp;"', 'volume_unit' : '"&amp;AF661&amp;"', 'volume_quantity' : '"&amp;ROUND(AD661,3)&amp;"', 'pieces_unit' : '"&amp;AI661&amp;"', 'pieces_quantity' : '"&amp;ROUND(AG661,3)&amp;"', 'cooking_notes' : '"&amp;AJ661&amp;"'}).status_code; print('%s :: %s :: %s :: %s :: %s' %(a,"&amp;G661&amp;",'"&amp;X661&amp;"','"&amp;Y661&amp;"','"&amp;U661&amp;"'))"</f>
        <v>a = Client().post('/recipes/sauted-vegetables/detail/', {'recipe' : '71', 'ingredient' : '95', 'name' : 'Hing', 'mass_unit' : '2', 'mass_quantity' : '0', 'volume_unit' : '5', 'volume_quantity' : '0.525', 'pieces_unit' : '3', 'pieces_quantity' : '0', 'cooking_notes' : ''}).status_code; print('%s :: %s :: %s :: %s :: %s' %(a,661,'Hing','hing','Sauted Vegetables'))</v>
      </c>
    </row>
    <row r="662" customFormat="false" ht="15" hidden="false" customHeight="false" outlineLevel="0" collapsed="false">
      <c r="G662" s="80" t="n">
        <v>662</v>
      </c>
      <c r="I662" s="169" t="s">
        <v>322</v>
      </c>
      <c r="J662" s="142" t="s">
        <v>32</v>
      </c>
      <c r="M662" s="69" t="n">
        <v>1.75</v>
      </c>
      <c r="N662" s="69" t="s">
        <v>20</v>
      </c>
      <c r="R662" s="82" t="str">
        <f aca="false">VLOOKUP(J662,ingredient!$N$4:$O$553,2,0)</f>
        <v>salt</v>
      </c>
      <c r="U662" s="81" t="str">
        <f aca="false">I662</f>
        <v>Sauted Vegetables</v>
      </c>
      <c r="V662" s="81" t="n">
        <f aca="false">VLOOKUP(U662,recipe_ingred_list!$A$2:$B$300,2,0)</f>
        <v>71</v>
      </c>
      <c r="W662" s="81" t="str">
        <f aca="false">"/recipes/"&amp;VLOOKUP(U662,recipe_ingred_list!$A$2:$C$300,3,0)&amp;"/detail/"</f>
        <v>/recipes/sauted-vegetables/detail/</v>
      </c>
      <c r="X662" s="81" t="str">
        <f aca="false">J662</f>
        <v>Salt</v>
      </c>
      <c r="Y662" s="81" t="str">
        <f aca="false">R662</f>
        <v>salt</v>
      </c>
      <c r="Z662" s="94" t="n">
        <f aca="false">VLOOKUP(Y662,recipe_ingred_list!$D$2:$E$500,2,0)</f>
        <v>177</v>
      </c>
      <c r="AA662" s="61" t="n">
        <f aca="false">K662</f>
        <v>0</v>
      </c>
      <c r="AB662" s="61" t="n">
        <f aca="false">L662</f>
        <v>0</v>
      </c>
      <c r="AC662" s="61" t="n">
        <f aca="false">VLOOKUP(AB662,recipe_ingred_list!$K$2:$M$7,3,0)</f>
        <v>2</v>
      </c>
      <c r="AD662" s="61" t="n">
        <f aca="false">M662</f>
        <v>1.75</v>
      </c>
      <c r="AE662" s="61" t="str">
        <f aca="false">N662</f>
        <v>cup</v>
      </c>
      <c r="AF662" s="61" t="n">
        <f aca="false">VLOOKUP(AE662,recipe_ingred_list!$K$16:$M$25,3,0)</f>
        <v>5</v>
      </c>
      <c r="AG662" s="61" t="n">
        <f aca="false">O662</f>
        <v>0</v>
      </c>
      <c r="AH662" s="61" t="n">
        <f aca="false">P662</f>
        <v>0</v>
      </c>
      <c r="AI662" s="61" t="n">
        <f aca="false">VLOOKUP(AH662,recipe_ingred_list!$K$29:$M$34,3,0)</f>
        <v>3</v>
      </c>
      <c r="AJ662" s="61" t="str">
        <f aca="false">IF(Q662="","",Q662)</f>
        <v/>
      </c>
      <c r="AK662" s="61" t="n">
        <f aca="false">AK661+1</f>
        <v>662</v>
      </c>
      <c r="AL662" s="61" t="str">
        <f aca="false">Y662</f>
        <v>salt</v>
      </c>
      <c r="AM662" s="81" t="str">
        <f aca="false">"a = Client().post('"&amp;W662&amp;"', {'recipe' : '"&amp;V662&amp;"', 'ingredient' : '"&amp;Z662&amp;"', 'name' : '"&amp;X662&amp;"', 'mass_unit' : '"&amp;AC662&amp;"', 'mass_quantity' : '"&amp;ROUND(AA662,3)&amp;"', 'volume_unit' : '"&amp;AF662&amp;"', 'volume_quantity' : '"&amp;ROUND(AD662,3)&amp;"', 'pieces_unit' : '"&amp;AI662&amp;"', 'pieces_quantity' : '"&amp;ROUND(AG662,3)&amp;"', 'cooking_notes' : '"&amp;AJ662&amp;"'}).status_code; print('%s :: %s :: %s :: %s :: %s' %(a,"&amp;G662&amp;",'"&amp;X662&amp;"','"&amp;Y662&amp;"','"&amp;U662&amp;"'))"</f>
        <v>a = Client().post('/recipes/sauted-vegetables/detail/', {'recipe' : '71', 'ingredient' : '177', 'name' : 'Salt', 'mass_unit' : '2', 'mass_quantity' : '0', 'volume_unit' : '5', 'volume_quantity' : '1.75', 'pieces_unit' : '3', 'pieces_quantity' : '0', 'cooking_notes' : ''}).status_code; print('%s :: %s :: %s :: %s :: %s' %(a,662,'Salt','salt','Sauted Vegetables'))</v>
      </c>
    </row>
    <row r="663" customFormat="false" ht="15" hidden="false" customHeight="false" outlineLevel="0" collapsed="false">
      <c r="G663" s="80" t="n">
        <v>663</v>
      </c>
      <c r="H663" s="98"/>
      <c r="I663" s="170" t="s">
        <v>322</v>
      </c>
      <c r="J663" s="105" t="s">
        <v>26</v>
      </c>
      <c r="K663" s="100"/>
      <c r="L663" s="100"/>
      <c r="M663" s="100"/>
      <c r="N663" s="100"/>
      <c r="O663" s="141" t="n">
        <v>1</v>
      </c>
      <c r="P663" s="141" t="s">
        <v>27</v>
      </c>
      <c r="Q663" s="102"/>
      <c r="R663" s="99" t="e">
        <f aca="false">VLOOKUP(J663,ingredient!$N$4:$O$553,2,0)</f>
        <v>#N/A</v>
      </c>
      <c r="S663" s="98"/>
      <c r="T663" s="98"/>
      <c r="U663" s="81" t="str">
        <f aca="false">I663</f>
        <v>Sauted Vegetables</v>
      </c>
      <c r="V663" s="81" t="n">
        <f aca="false">VLOOKUP(U663,recipe_ingred_list!$A$2:$B$300,2,0)</f>
        <v>71</v>
      </c>
      <c r="W663" s="81" t="str">
        <f aca="false">"/recipes/"&amp;VLOOKUP(U663,recipe_ingred_list!$A$2:$C$300,3,0)&amp;"/detail/"</f>
        <v>/recipes/sauted-vegetables/detail/</v>
      </c>
      <c r="X663" s="81" t="str">
        <f aca="false">J663</f>
        <v>YIELD</v>
      </c>
      <c r="Y663" s="81" t="e">
        <f aca="false">R663</f>
        <v>#N/A</v>
      </c>
      <c r="Z663" s="94" t="e">
        <f aca="false">VLOOKUP(Y663,recipe_ingred_list!$D$2:$E$500,2,0)</f>
        <v>#N/A</v>
      </c>
      <c r="AA663" s="61" t="n">
        <f aca="false">K663</f>
        <v>0</v>
      </c>
      <c r="AB663" s="61" t="n">
        <f aca="false">L663</f>
        <v>0</v>
      </c>
      <c r="AC663" s="61" t="n">
        <f aca="false">VLOOKUP(AB663,recipe_ingred_list!$K$2:$M$7,3,0)</f>
        <v>2</v>
      </c>
      <c r="AD663" s="61" t="n">
        <f aca="false">M663</f>
        <v>0</v>
      </c>
      <c r="AE663" s="61" t="n">
        <f aca="false">N663</f>
        <v>0</v>
      </c>
      <c r="AF663" s="61" t="n">
        <f aca="false">VLOOKUP(AE663,recipe_ingred_list!$K$16:$M$25,3,0)</f>
        <v>1</v>
      </c>
      <c r="AG663" s="61" t="n">
        <f aca="false">O663</f>
        <v>1</v>
      </c>
      <c r="AH663" s="61" t="str">
        <f aca="false">P663</f>
        <v>tub</v>
      </c>
      <c r="AI663" s="61" t="e">
        <f aca="false">VLOOKUP(AH663,recipe_ingred_list!$K$29:$M$34,3,0)</f>
        <v>#N/A</v>
      </c>
      <c r="AJ663" s="61" t="str">
        <f aca="false">IF(Q663="","",Q663)</f>
        <v/>
      </c>
      <c r="AK663" s="61" t="n">
        <f aca="false">AK662+1</f>
        <v>663</v>
      </c>
      <c r="AL663" s="61" t="e">
        <f aca="false">Y663</f>
        <v>#N/A</v>
      </c>
      <c r="AM663" s="81" t="e">
        <f aca="false">"a = Client().post('"&amp;W663&amp;"', {'recipe' : '"&amp;V663&amp;"', 'ingredient' : '"&amp;Z663&amp;"', 'name' : '"&amp;X663&amp;"', 'mass_unit' : '"&amp;AC663&amp;"', 'mass_quantity' : '"&amp;ROUND(AA663,3)&amp;"', 'volume_unit' : '"&amp;AF663&amp;"', 'volume_quantity' : '"&amp;ROUND(AD663,3)&amp;"', 'pieces_unit' : '"&amp;AI663&amp;"', 'pieces_quantity' : '"&amp;ROUND(AG663,3)&amp;"', 'cooking_notes' : '"&amp;AJ663&amp;"'}).status_code; print('%s :: %s :: %s :: %s :: %s' %(a,"&amp;G663&amp;",'"&amp;X663&amp;"','"&amp;Y663&amp;"','"&amp;U663&amp;"'))"</f>
        <v>#N/A</v>
      </c>
    </row>
    <row r="664" customFormat="false" ht="15" hidden="false" customHeight="false" outlineLevel="0" collapsed="false">
      <c r="G664" s="80" t="n">
        <v>664</v>
      </c>
      <c r="H664" s="98"/>
      <c r="I664" s="170" t="s">
        <v>322</v>
      </c>
      <c r="J664" s="105" t="s">
        <v>26</v>
      </c>
      <c r="K664" s="100"/>
      <c r="L664" s="100"/>
      <c r="M664" s="141" t="n">
        <v>35</v>
      </c>
      <c r="N664" s="141" t="s">
        <v>13</v>
      </c>
      <c r="O664" s="101"/>
      <c r="P664" s="100"/>
      <c r="Q664" s="102"/>
      <c r="R664" s="99" t="e">
        <f aca="false">VLOOKUP(J664,ingredient!$N$4:$O$553,2,0)</f>
        <v>#N/A</v>
      </c>
      <c r="S664" s="98"/>
      <c r="T664" s="98"/>
      <c r="U664" s="81" t="str">
        <f aca="false">I664</f>
        <v>Sauted Vegetables</v>
      </c>
      <c r="V664" s="81" t="n">
        <f aca="false">VLOOKUP(U664,recipe_ingred_list!$A$2:$B$300,2,0)</f>
        <v>71</v>
      </c>
      <c r="W664" s="81" t="str">
        <f aca="false">"/recipes/"&amp;VLOOKUP(U664,recipe_ingred_list!$A$2:$C$300,3,0)&amp;"/detail/"</f>
        <v>/recipes/sauted-vegetables/detail/</v>
      </c>
      <c r="X664" s="81" t="str">
        <f aca="false">J664</f>
        <v>YIELD</v>
      </c>
      <c r="Y664" s="81" t="e">
        <f aca="false">R664</f>
        <v>#N/A</v>
      </c>
      <c r="Z664" s="94" t="e">
        <f aca="false">VLOOKUP(Y664,recipe_ingred_list!$D$2:$E$500,2,0)</f>
        <v>#N/A</v>
      </c>
      <c r="AA664" s="61" t="n">
        <f aca="false">K664</f>
        <v>0</v>
      </c>
      <c r="AB664" s="61" t="n">
        <f aca="false">L664</f>
        <v>0</v>
      </c>
      <c r="AC664" s="61" t="n">
        <f aca="false">VLOOKUP(AB664,recipe_ingred_list!$K$2:$M$7,3,0)</f>
        <v>2</v>
      </c>
      <c r="AD664" s="61" t="n">
        <f aca="false">M664</f>
        <v>35</v>
      </c>
      <c r="AE664" s="61" t="str">
        <f aca="false">N664</f>
        <v>ltr</v>
      </c>
      <c r="AF664" s="61" t="n">
        <f aca="false">VLOOKUP(AE664,recipe_ingred_list!$K$16:$M$25,3,0)</f>
        <v>1</v>
      </c>
      <c r="AG664" s="61" t="n">
        <f aca="false">O664</f>
        <v>0</v>
      </c>
      <c r="AH664" s="61" t="n">
        <f aca="false">P664</f>
        <v>0</v>
      </c>
      <c r="AI664" s="61" t="n">
        <f aca="false">VLOOKUP(AH664,recipe_ingred_list!$K$29:$M$34,3,0)</f>
        <v>3</v>
      </c>
      <c r="AJ664" s="61" t="str">
        <f aca="false">IF(Q664="","",Q664)</f>
        <v/>
      </c>
      <c r="AK664" s="61" t="n">
        <f aca="false">AK663+1</f>
        <v>664</v>
      </c>
      <c r="AL664" s="61" t="e">
        <f aca="false">Y664</f>
        <v>#N/A</v>
      </c>
      <c r="AM664" s="81" t="e">
        <f aca="false">"a = Client().post('"&amp;W664&amp;"', {'recipe' : '"&amp;V664&amp;"', 'ingredient' : '"&amp;Z664&amp;"', 'name' : '"&amp;X664&amp;"', 'mass_unit' : '"&amp;AC664&amp;"', 'mass_quantity' : '"&amp;ROUND(AA664,3)&amp;"', 'volume_unit' : '"&amp;AF664&amp;"', 'volume_quantity' : '"&amp;ROUND(AD664,3)&amp;"', 'pieces_unit' : '"&amp;AI664&amp;"', 'pieces_quantity' : '"&amp;ROUND(AG664,3)&amp;"', 'cooking_notes' : '"&amp;AJ664&amp;"'}).status_code; print('%s :: %s :: %s :: %s :: %s' %(a,"&amp;G664&amp;",'"&amp;X664&amp;"','"&amp;Y664&amp;"','"&amp;U664&amp;"'))"</f>
        <v>#N/A</v>
      </c>
    </row>
    <row r="665" customFormat="false" ht="15" hidden="false" customHeight="false" outlineLevel="0" collapsed="false">
      <c r="G665" s="80" t="n">
        <v>665</v>
      </c>
      <c r="I665" s="169" t="s">
        <v>322</v>
      </c>
      <c r="J665" s="142" t="s">
        <v>92</v>
      </c>
      <c r="L665" s="69"/>
      <c r="R665" s="82" t="str">
        <f aca="false">VLOOKUP(J665,ingredient!$N$4:$O$553,2,0)</f>
        <v>gound nut oil</v>
      </c>
      <c r="U665" s="81" t="str">
        <f aca="false">I665</f>
        <v>Sauted Vegetables</v>
      </c>
      <c r="V665" s="81" t="n">
        <f aca="false">VLOOKUP(U665,recipe_ingred_list!$A$2:$B$300,2,0)</f>
        <v>71</v>
      </c>
      <c r="W665" s="81" t="str">
        <f aca="false">"/recipes/"&amp;VLOOKUP(U665,recipe_ingred_list!$A$2:$C$300,3,0)&amp;"/detail/"</f>
        <v>/recipes/sauted-vegetables/detail/</v>
      </c>
      <c r="X665" s="81" t="str">
        <f aca="false">J665</f>
        <v>oil for frying</v>
      </c>
      <c r="Y665" s="81" t="str">
        <f aca="false">R665</f>
        <v>gound nut oil</v>
      </c>
      <c r="Z665" s="94" t="n">
        <f aca="false">VLOOKUP(Y665,recipe_ingred_list!$D$2:$E$500,2,0)</f>
        <v>83</v>
      </c>
      <c r="AA665" s="61" t="n">
        <f aca="false">K665</f>
        <v>0</v>
      </c>
      <c r="AB665" s="61" t="n">
        <f aca="false">L665</f>
        <v>0</v>
      </c>
      <c r="AC665" s="61" t="n">
        <f aca="false">VLOOKUP(AB665,recipe_ingred_list!$K$2:$M$7,3,0)</f>
        <v>2</v>
      </c>
      <c r="AD665" s="61" t="n">
        <f aca="false">M665</f>
        <v>0</v>
      </c>
      <c r="AE665" s="61" t="n">
        <f aca="false">N665</f>
        <v>0</v>
      </c>
      <c r="AF665" s="61" t="n">
        <f aca="false">VLOOKUP(AE665,recipe_ingred_list!$K$16:$M$25,3,0)</f>
        <v>1</v>
      </c>
      <c r="AG665" s="61" t="n">
        <f aca="false">O665</f>
        <v>0</v>
      </c>
      <c r="AH665" s="61" t="n">
        <f aca="false">P665</f>
        <v>0</v>
      </c>
      <c r="AI665" s="61" t="n">
        <f aca="false">VLOOKUP(AH665,recipe_ingred_list!$K$29:$M$34,3,0)</f>
        <v>3</v>
      </c>
      <c r="AJ665" s="61" t="str">
        <f aca="false">IF(Q665="","",Q665)</f>
        <v/>
      </c>
      <c r="AK665" s="61" t="n">
        <f aca="false">AK664+1</f>
        <v>665</v>
      </c>
      <c r="AL665" s="61" t="str">
        <f aca="false">Y665</f>
        <v>gound nut oil</v>
      </c>
      <c r="AM665" s="81" t="str">
        <f aca="false">"a = Client().post('"&amp;W665&amp;"', {'recipe' : '"&amp;V665&amp;"', 'ingredient' : '"&amp;Z665&amp;"', 'name' : '"&amp;X665&amp;"', 'mass_unit' : '"&amp;AC665&amp;"', 'mass_quantity' : '"&amp;ROUND(AA665,3)&amp;"', 'volume_unit' : '"&amp;AF665&amp;"', 'volume_quantity' : '"&amp;ROUND(AD665,3)&amp;"', 'pieces_unit' : '"&amp;AI665&amp;"', 'pieces_quantity' : '"&amp;ROUND(AG665,3)&amp;"', 'cooking_notes' : '"&amp;AJ665&amp;"'}).status_code; print('%s :: %s :: %s :: %s :: %s' %(a,"&amp;G665&amp;",'"&amp;X665&amp;"','"&amp;Y665&amp;"','"&amp;U665&amp;"'))"</f>
        <v>a = Client().post('/recipes/sauted-vegetables/detail/', {'recipe' : '71', 'ingredient' : '83', 'name' : 'oil for frying', 'mass_unit' : '2', 'mass_quantity' : '0', 'volume_unit' : '1', 'volume_quantity' : '0', 'pieces_unit' : '3', 'pieces_quantity' : '0', 'cooking_notes' : ''}).status_code; print('%s :: %s :: %s :: %s :: %s' %(a,665,'oil for frying','gound nut oil','Sauted Vegetables'))</v>
      </c>
    </row>
    <row r="666" customFormat="false" ht="13.8" hidden="false" customHeight="false" outlineLevel="0" collapsed="false">
      <c r="G666" s="80" t="n">
        <v>666</v>
      </c>
      <c r="H666" s="98"/>
      <c r="I666" s="99"/>
      <c r="J666" s="79"/>
      <c r="K666" s="100"/>
      <c r="L666" s="100"/>
      <c r="M666" s="100"/>
      <c r="N666" s="100"/>
      <c r="O666" s="101"/>
      <c r="P666" s="100"/>
      <c r="Q666" s="102"/>
      <c r="R666" s="99" t="e">
        <f aca="false">VLOOKUP(J666,ingredient!$N$4:$O$553,2,0)</f>
        <v>#N/A</v>
      </c>
      <c r="S666" s="98"/>
      <c r="T666" s="98"/>
      <c r="U666" s="81" t="n">
        <f aca="false">I666</f>
        <v>0</v>
      </c>
      <c r="V666" s="81" t="e">
        <f aca="false">VLOOKUP(U666,recipe_ingred_list!$A$2:$B$300,2,0)</f>
        <v>#N/A</v>
      </c>
      <c r="W666" s="81" t="e">
        <f aca="false">"/recipes/"&amp;VLOOKUP(U666,recipe_ingred_list!$A$2:$C$300,3,0)&amp;"/detail/"</f>
        <v>#N/A</v>
      </c>
      <c r="X666" s="81" t="n">
        <f aca="false">J666</f>
        <v>0</v>
      </c>
      <c r="Y666" s="81" t="e">
        <f aca="false">R666</f>
        <v>#N/A</v>
      </c>
      <c r="Z666" s="94" t="e">
        <f aca="false">VLOOKUP(Y666,recipe_ingred_list!$D$2:$E$500,2,0)</f>
        <v>#N/A</v>
      </c>
      <c r="AA666" s="61" t="n">
        <f aca="false">K666</f>
        <v>0</v>
      </c>
      <c r="AB666" s="61" t="n">
        <f aca="false">L666</f>
        <v>0</v>
      </c>
      <c r="AC666" s="61" t="n">
        <f aca="false">VLOOKUP(AB666,recipe_ingred_list!$K$2:$M$7,3,0)</f>
        <v>2</v>
      </c>
      <c r="AD666" s="61" t="n">
        <f aca="false">M666</f>
        <v>0</v>
      </c>
      <c r="AE666" s="61" t="n">
        <f aca="false">N666</f>
        <v>0</v>
      </c>
      <c r="AF666" s="61" t="n">
        <f aca="false">VLOOKUP(AE666,recipe_ingred_list!$K$16:$M$25,3,0)</f>
        <v>1</v>
      </c>
      <c r="AG666" s="61" t="n">
        <f aca="false">O666</f>
        <v>0</v>
      </c>
      <c r="AH666" s="61" t="n">
        <f aca="false">P666</f>
        <v>0</v>
      </c>
      <c r="AI666" s="61" t="n">
        <f aca="false">VLOOKUP(AH666,recipe_ingred_list!$K$29:$M$34,3,0)</f>
        <v>3</v>
      </c>
      <c r="AJ666" s="61" t="str">
        <f aca="false">IF(Q666="","",Q666)</f>
        <v/>
      </c>
      <c r="AK666" s="61" t="n">
        <f aca="false">AK665+1</f>
        <v>666</v>
      </c>
      <c r="AL666" s="61" t="e">
        <f aca="false">Y666</f>
        <v>#N/A</v>
      </c>
      <c r="AM666" s="81" t="e">
        <f aca="false">"a = Client().post('"&amp;W666&amp;"', {'recipe' : '"&amp;V666&amp;"', 'ingredient' : '"&amp;Z666&amp;"', 'name' : '"&amp;X666&amp;"', 'mass_unit' : '"&amp;AC666&amp;"', 'mass_quantity' : '"&amp;ROUND(AA666,3)&amp;"', 'volume_unit' : '"&amp;AF666&amp;"', 'volume_quantity' : '"&amp;ROUND(AD666,3)&amp;"', 'pieces_unit' : '"&amp;AI666&amp;"', 'pieces_quantity' : '"&amp;ROUND(AG666,3)&amp;"', 'cooking_notes' : '"&amp;AJ666&amp;"'}).status_code; print('%s :: %s :: %s :: %s :: %s' %(a,"&amp;G666&amp;",'"&amp;X666&amp;"','"&amp;Y666&amp;"','"&amp;U666&amp;"'))"</f>
        <v>#N/A</v>
      </c>
    </row>
    <row r="667" customFormat="false" ht="13.8" hidden="false" customHeight="false" outlineLevel="0" collapsed="false">
      <c r="G667" s="80" t="n">
        <v>667</v>
      </c>
      <c r="H667" s="98"/>
      <c r="I667" s="99"/>
      <c r="J667" s="79"/>
      <c r="K667" s="100"/>
      <c r="L667" s="100"/>
      <c r="M667" s="100"/>
      <c r="N667" s="100"/>
      <c r="O667" s="101"/>
      <c r="P667" s="100"/>
      <c r="Q667" s="102"/>
      <c r="R667" s="99" t="e">
        <f aca="false">VLOOKUP(J667,ingredient!$N$4:$O$553,2,0)</f>
        <v>#N/A</v>
      </c>
      <c r="S667" s="98"/>
      <c r="T667" s="98"/>
      <c r="U667" s="81" t="n">
        <f aca="false">I667</f>
        <v>0</v>
      </c>
      <c r="V667" s="81" t="e">
        <f aca="false">VLOOKUP(U667,recipe_ingred_list!$A$2:$B$300,2,0)</f>
        <v>#N/A</v>
      </c>
      <c r="W667" s="81" t="e">
        <f aca="false">"/recipes/"&amp;VLOOKUP(U667,recipe_ingred_list!$A$2:$C$300,3,0)&amp;"/detail/"</f>
        <v>#N/A</v>
      </c>
      <c r="X667" s="81" t="n">
        <f aca="false">J667</f>
        <v>0</v>
      </c>
      <c r="Y667" s="81" t="e">
        <f aca="false">R667</f>
        <v>#N/A</v>
      </c>
      <c r="Z667" s="94" t="e">
        <f aca="false">VLOOKUP(Y667,recipe_ingred_list!$D$2:$E$500,2,0)</f>
        <v>#N/A</v>
      </c>
      <c r="AA667" s="61" t="n">
        <f aca="false">K667</f>
        <v>0</v>
      </c>
      <c r="AB667" s="61" t="n">
        <f aca="false">L667</f>
        <v>0</v>
      </c>
      <c r="AC667" s="61" t="n">
        <f aca="false">VLOOKUP(AB667,recipe_ingred_list!$K$2:$M$7,3,0)</f>
        <v>2</v>
      </c>
      <c r="AD667" s="61" t="n">
        <f aca="false">M667</f>
        <v>0</v>
      </c>
      <c r="AE667" s="61" t="n">
        <f aca="false">N667</f>
        <v>0</v>
      </c>
      <c r="AF667" s="61" t="n">
        <f aca="false">VLOOKUP(AE667,recipe_ingred_list!$K$16:$M$25,3,0)</f>
        <v>1</v>
      </c>
      <c r="AG667" s="61" t="n">
        <f aca="false">O667</f>
        <v>0</v>
      </c>
      <c r="AH667" s="61" t="n">
        <f aca="false">P667</f>
        <v>0</v>
      </c>
      <c r="AI667" s="61" t="n">
        <f aca="false">VLOOKUP(AH667,recipe_ingred_list!$K$29:$M$34,3,0)</f>
        <v>3</v>
      </c>
      <c r="AJ667" s="61" t="str">
        <f aca="false">IF(Q667="","",Q667)</f>
        <v/>
      </c>
      <c r="AK667" s="61" t="n">
        <f aca="false">AK666+1</f>
        <v>667</v>
      </c>
      <c r="AL667" s="61" t="e">
        <f aca="false">Y667</f>
        <v>#N/A</v>
      </c>
      <c r="AM667" s="81" t="e">
        <f aca="false">"a = Client().post('"&amp;W667&amp;"', {'recipe' : '"&amp;V667&amp;"', 'ingredient' : '"&amp;Z667&amp;"', 'name' : '"&amp;X667&amp;"', 'mass_unit' : '"&amp;AC667&amp;"', 'mass_quantity' : '"&amp;ROUND(AA667,3)&amp;"', 'volume_unit' : '"&amp;AF667&amp;"', 'volume_quantity' : '"&amp;ROUND(AD667,3)&amp;"', 'pieces_unit' : '"&amp;AI667&amp;"', 'pieces_quantity' : '"&amp;ROUND(AG667,3)&amp;"', 'cooking_notes' : '"&amp;AJ667&amp;"'}).status_code; print('%s :: %s :: %s :: %s :: %s' %(a,"&amp;G667&amp;",'"&amp;X667&amp;"','"&amp;Y667&amp;"','"&amp;U667&amp;"'))"</f>
        <v>#N/A</v>
      </c>
    </row>
    <row r="668" customFormat="false" ht="13.8" hidden="false" customHeight="false" outlineLevel="0" collapsed="false">
      <c r="G668" s="80" t="n">
        <v>668</v>
      </c>
      <c r="H668" s="98"/>
      <c r="I668" s="99"/>
      <c r="J668" s="79"/>
      <c r="K668" s="171"/>
      <c r="L668" s="171"/>
      <c r="M668" s="100"/>
      <c r="N668" s="100"/>
      <c r="O668" s="101"/>
      <c r="P668" s="100"/>
      <c r="Q668" s="102"/>
      <c r="R668" s="99" t="e">
        <f aca="false">VLOOKUP(J668,ingredient!$N$4:$O$553,2,0)</f>
        <v>#N/A</v>
      </c>
      <c r="S668" s="98"/>
      <c r="T668" s="98"/>
      <c r="U668" s="81" t="n">
        <f aca="false">I668</f>
        <v>0</v>
      </c>
      <c r="V668" s="81" t="e">
        <f aca="false">VLOOKUP(U668,recipe_ingred_list!$A$2:$B$300,2,0)</f>
        <v>#N/A</v>
      </c>
      <c r="W668" s="81" t="e">
        <f aca="false">"/recipes/"&amp;VLOOKUP(U668,recipe_ingred_list!$A$2:$C$300,3,0)&amp;"/detail/"</f>
        <v>#N/A</v>
      </c>
      <c r="X668" s="81" t="n">
        <f aca="false">J668</f>
        <v>0</v>
      </c>
      <c r="Y668" s="81" t="e">
        <f aca="false">R668</f>
        <v>#N/A</v>
      </c>
      <c r="Z668" s="94" t="e">
        <f aca="false">VLOOKUP(Y668,recipe_ingred_list!$D$2:$E$500,2,0)</f>
        <v>#N/A</v>
      </c>
      <c r="AA668" s="61" t="n">
        <f aca="false">K668</f>
        <v>0</v>
      </c>
      <c r="AB668" s="61" t="n">
        <f aca="false">L668</f>
        <v>0</v>
      </c>
      <c r="AC668" s="61" t="n">
        <f aca="false">VLOOKUP(AB668,recipe_ingred_list!$K$2:$M$7,3,0)</f>
        <v>2</v>
      </c>
      <c r="AD668" s="61" t="n">
        <f aca="false">M668</f>
        <v>0</v>
      </c>
      <c r="AE668" s="61" t="n">
        <f aca="false">N668</f>
        <v>0</v>
      </c>
      <c r="AF668" s="61" t="n">
        <f aca="false">VLOOKUP(AE668,recipe_ingred_list!$K$16:$M$25,3,0)</f>
        <v>1</v>
      </c>
      <c r="AG668" s="61" t="n">
        <f aca="false">O668</f>
        <v>0</v>
      </c>
      <c r="AH668" s="61" t="n">
        <f aca="false">P668</f>
        <v>0</v>
      </c>
      <c r="AI668" s="61" t="n">
        <f aca="false">VLOOKUP(AH668,recipe_ingred_list!$K$29:$M$34,3,0)</f>
        <v>3</v>
      </c>
      <c r="AJ668" s="61" t="str">
        <f aca="false">IF(Q668="","",Q668)</f>
        <v/>
      </c>
      <c r="AK668" s="61" t="n">
        <f aca="false">AK667+1</f>
        <v>668</v>
      </c>
      <c r="AL668" s="61" t="e">
        <f aca="false">Y668</f>
        <v>#N/A</v>
      </c>
      <c r="AM668" s="81" t="e">
        <f aca="false">"a = Client().post('"&amp;W668&amp;"', {'recipe' : '"&amp;V668&amp;"', 'ingredient' : '"&amp;Z668&amp;"', 'name' : '"&amp;X668&amp;"', 'mass_unit' : '"&amp;AC668&amp;"', 'mass_quantity' : '"&amp;ROUND(AA668,3)&amp;"', 'volume_unit' : '"&amp;AF668&amp;"', 'volume_quantity' : '"&amp;ROUND(AD668,3)&amp;"', 'pieces_unit' : '"&amp;AI668&amp;"', 'pieces_quantity' : '"&amp;ROUND(AG668,3)&amp;"', 'cooking_notes' : '"&amp;AJ668&amp;"'}).status_code; print('%s :: %s :: %s :: %s :: %s' %(a,"&amp;G668&amp;",'"&amp;X668&amp;"','"&amp;Y668&amp;"','"&amp;U668&amp;"'))"</f>
        <v>#N/A</v>
      </c>
    </row>
    <row r="669" customFormat="false" ht="13.8" hidden="false" customHeight="false" outlineLevel="0" collapsed="false">
      <c r="G669" s="80" t="n">
        <v>669</v>
      </c>
      <c r="I669" s="172" t="s">
        <v>325</v>
      </c>
      <c r="J669" s="173" t="s">
        <v>735</v>
      </c>
      <c r="M669" s="174" t="n">
        <v>2</v>
      </c>
      <c r="N669" s="174" t="s">
        <v>13</v>
      </c>
      <c r="R669" s="82" t="str">
        <f aca="false">VLOOKUP(J669,ingredient!$N$4:$O$553,2,0)</f>
        <v>ground nut oil</v>
      </c>
      <c r="U669" s="81" t="str">
        <f aca="false">I669</f>
        <v>Schezwan sauce</v>
      </c>
      <c r="V669" s="81" t="n">
        <f aca="false">VLOOKUP(U669,recipe_ingred_list!$A$2:$B$300,2,0)</f>
        <v>72</v>
      </c>
      <c r="W669" s="81" t="str">
        <f aca="false">"/recipes/"&amp;VLOOKUP(U669,recipe_ingred_list!$A$2:$C$300,3,0)&amp;"/detail/"</f>
        <v>/recipes/schezwan-sauce/detail/</v>
      </c>
      <c r="X669" s="81" t="str">
        <f aca="false">J669</f>
        <v>Groundnut Oil (Singdana Tel)</v>
      </c>
      <c r="Y669" s="81" t="str">
        <f aca="false">R669</f>
        <v>ground nut oil</v>
      </c>
      <c r="Z669" s="94" t="n">
        <f aca="false">VLOOKUP(Y669,recipe_ingred_list!$D$2:$E$500,2,0)</f>
        <v>89</v>
      </c>
      <c r="AA669" s="61" t="n">
        <f aca="false">K669</f>
        <v>0</v>
      </c>
      <c r="AB669" s="61" t="n">
        <f aca="false">L669</f>
        <v>0</v>
      </c>
      <c r="AC669" s="61" t="n">
        <f aca="false">VLOOKUP(AB669,recipe_ingred_list!$K$2:$M$7,3,0)</f>
        <v>2</v>
      </c>
      <c r="AD669" s="61" t="n">
        <f aca="false">M669</f>
        <v>2</v>
      </c>
      <c r="AE669" s="61" t="str">
        <f aca="false">N669</f>
        <v>ltr</v>
      </c>
      <c r="AF669" s="61" t="n">
        <f aca="false">VLOOKUP(AE669,recipe_ingred_list!$K$16:$M$25,3,0)</f>
        <v>1</v>
      </c>
      <c r="AG669" s="61" t="n">
        <f aca="false">O669</f>
        <v>0</v>
      </c>
      <c r="AH669" s="61" t="n">
        <f aca="false">P669</f>
        <v>0</v>
      </c>
      <c r="AI669" s="61" t="n">
        <f aca="false">VLOOKUP(AH669,recipe_ingred_list!$K$29:$M$34,3,0)</f>
        <v>3</v>
      </c>
      <c r="AJ669" s="61" t="str">
        <f aca="false">IF(Q669="","",Q669)</f>
        <v/>
      </c>
      <c r="AK669" s="61" t="n">
        <f aca="false">AK668+1</f>
        <v>669</v>
      </c>
      <c r="AL669" s="61" t="str">
        <f aca="false">Y669</f>
        <v>ground nut oil</v>
      </c>
      <c r="AM669" s="81" t="str">
        <f aca="false">"a = Client().post('"&amp;W669&amp;"', {'recipe' : '"&amp;V669&amp;"', 'ingredient' : '"&amp;Z669&amp;"', 'name' : '"&amp;X669&amp;"', 'mass_unit' : '"&amp;AC669&amp;"', 'mass_quantity' : '"&amp;ROUND(AA669,3)&amp;"', 'volume_unit' : '"&amp;AF669&amp;"', 'volume_quantity' : '"&amp;ROUND(AD669,3)&amp;"', 'pieces_unit' : '"&amp;AI669&amp;"', 'pieces_quantity' : '"&amp;ROUND(AG669,3)&amp;"', 'cooking_notes' : '"&amp;AJ669&amp;"'}).status_code; print('%s :: %s :: %s :: %s :: %s' %(a,"&amp;G669&amp;",'"&amp;X669&amp;"','"&amp;Y669&amp;"','"&amp;U669&amp;"'))"</f>
        <v>a = Client().post('/recipes/schezwan-sauce/detail/', {'recipe' : '72', 'ingredient' : '89', 'name' : 'Groundnut Oil (Singdana Tel)', 'mass_unit' : '2', 'mass_quantity' : '0', 'volume_unit' : '1', 'volume_quantity' : '2', 'pieces_unit' : '3', 'pieces_quantity' : '0', 'cooking_notes' : ''}).status_code; print('%s :: %s :: %s :: %s :: %s' %(a,669,'Groundnut Oil (Singdana Tel)','ground nut oil','Schezwan sauce'))</v>
      </c>
    </row>
    <row r="670" customFormat="false" ht="13.8" hidden="false" customHeight="false" outlineLevel="0" collapsed="false">
      <c r="G670" s="80" t="n">
        <v>670</v>
      </c>
      <c r="I670" s="172" t="s">
        <v>325</v>
      </c>
      <c r="J670" s="173" t="s">
        <v>736</v>
      </c>
      <c r="M670" s="174" t="n">
        <v>1.5</v>
      </c>
      <c r="N670" s="174" t="s">
        <v>13</v>
      </c>
      <c r="R670" s="82" t="str">
        <f aca="false">VLOOKUP(J670,ingredient!$N$4:$O$553,2,0)</f>
        <v>adrak</v>
      </c>
      <c r="U670" s="81" t="str">
        <f aca="false">I670</f>
        <v>Schezwan sauce</v>
      </c>
      <c r="V670" s="81" t="n">
        <f aca="false">VLOOKUP(U670,recipe_ingred_list!$A$2:$B$300,2,0)</f>
        <v>72</v>
      </c>
      <c r="W670" s="81" t="str">
        <f aca="false">"/recipes/"&amp;VLOOKUP(U670,recipe_ingred_list!$A$2:$C$300,3,0)&amp;"/detail/"</f>
        <v>/recipes/schezwan-sauce/detail/</v>
      </c>
      <c r="X670" s="81" t="str">
        <f aca="false">J670</f>
        <v>Adrak (Ginger)</v>
      </c>
      <c r="Y670" s="81" t="str">
        <f aca="false">R670</f>
        <v>adrak</v>
      </c>
      <c r="Z670" s="94" t="n">
        <f aca="false">VLOOKUP(Y670,recipe_ingred_list!$D$2:$E$500,2,0)</f>
        <v>1</v>
      </c>
      <c r="AA670" s="61" t="n">
        <f aca="false">K670</f>
        <v>0</v>
      </c>
      <c r="AB670" s="61" t="n">
        <f aca="false">L670</f>
        <v>0</v>
      </c>
      <c r="AC670" s="61" t="n">
        <f aca="false">VLOOKUP(AB670,recipe_ingred_list!$K$2:$M$7,3,0)</f>
        <v>2</v>
      </c>
      <c r="AD670" s="61" t="n">
        <f aca="false">M670</f>
        <v>1.5</v>
      </c>
      <c r="AE670" s="61" t="str">
        <f aca="false">N670</f>
        <v>ltr</v>
      </c>
      <c r="AF670" s="61" t="n">
        <f aca="false">VLOOKUP(AE670,recipe_ingred_list!$K$16:$M$25,3,0)</f>
        <v>1</v>
      </c>
      <c r="AG670" s="61" t="n">
        <f aca="false">O670</f>
        <v>0</v>
      </c>
      <c r="AH670" s="61" t="n">
        <f aca="false">P670</f>
        <v>0</v>
      </c>
      <c r="AI670" s="61" t="n">
        <f aca="false">VLOOKUP(AH670,recipe_ingred_list!$K$29:$M$34,3,0)</f>
        <v>3</v>
      </c>
      <c r="AJ670" s="61" t="str">
        <f aca="false">IF(Q670="","",Q670)</f>
        <v/>
      </c>
      <c r="AK670" s="61" t="n">
        <f aca="false">AK669+1</f>
        <v>670</v>
      </c>
      <c r="AL670" s="61" t="str">
        <f aca="false">Y670</f>
        <v>adrak</v>
      </c>
      <c r="AM670" s="81" t="str">
        <f aca="false">"a = Client().post('"&amp;W670&amp;"', {'recipe' : '"&amp;V670&amp;"', 'ingredient' : '"&amp;Z670&amp;"', 'name' : '"&amp;X670&amp;"', 'mass_unit' : '"&amp;AC670&amp;"', 'mass_quantity' : '"&amp;ROUND(AA670,3)&amp;"', 'volume_unit' : '"&amp;AF670&amp;"', 'volume_quantity' : '"&amp;ROUND(AD670,3)&amp;"', 'pieces_unit' : '"&amp;AI670&amp;"', 'pieces_quantity' : '"&amp;ROUND(AG670,3)&amp;"', 'cooking_notes' : '"&amp;AJ670&amp;"'}).status_code; print('%s :: %s :: %s :: %s :: %s' %(a,"&amp;G670&amp;",'"&amp;X670&amp;"','"&amp;Y670&amp;"','"&amp;U670&amp;"'))"</f>
        <v>a = Client().post('/recipes/schezwan-sauce/detail/', {'recipe' : '72', 'ingredient' : '1', 'name' : 'Adrak (Ginger)', 'mass_unit' : '2', 'mass_quantity' : '0', 'volume_unit' : '1', 'volume_quantity' : '1.5', 'pieces_unit' : '3', 'pieces_quantity' : '0', 'cooking_notes' : ''}).status_code; print('%s :: %s :: %s :: %s :: %s' %(a,670,'Adrak (Ginger)','adrak','Schezwan sauce'))</v>
      </c>
    </row>
    <row r="671" customFormat="false" ht="13.8" hidden="false" customHeight="false" outlineLevel="0" collapsed="false">
      <c r="G671" s="80" t="n">
        <v>671</v>
      </c>
      <c r="I671" s="172" t="s">
        <v>325</v>
      </c>
      <c r="J671" s="173" t="s">
        <v>737</v>
      </c>
      <c r="M671" s="174" t="n">
        <v>3</v>
      </c>
      <c r="N671" s="174" t="s">
        <v>13</v>
      </c>
      <c r="R671" s="82" t="str">
        <f aca="false">VLOOKUP(J671,ingredient!$N$4:$O$553,2,0)</f>
        <v>celery stick</v>
      </c>
      <c r="U671" s="81" t="str">
        <f aca="false">I671</f>
        <v>Schezwan sauce</v>
      </c>
      <c r="V671" s="81" t="n">
        <f aca="false">VLOOKUP(U671,recipe_ingred_list!$A$2:$B$300,2,0)</f>
        <v>72</v>
      </c>
      <c r="W671" s="81" t="str">
        <f aca="false">"/recipes/"&amp;VLOOKUP(U671,recipe_ingred_list!$A$2:$C$300,3,0)&amp;"/detail/"</f>
        <v>/recipes/schezwan-sauce/detail/</v>
      </c>
      <c r="X671" s="81" t="str">
        <f aca="false">J671</f>
        <v>Celery Stick</v>
      </c>
      <c r="Y671" s="81" t="str">
        <f aca="false">R671</f>
        <v>celery stick</v>
      </c>
      <c r="Z671" s="94" t="n">
        <f aca="false">VLOOKUP(Y671,recipe_ingred_list!$D$2:$E$500,2,0)</f>
        <v>45</v>
      </c>
      <c r="AA671" s="61" t="n">
        <f aca="false">K671</f>
        <v>0</v>
      </c>
      <c r="AB671" s="61" t="n">
        <f aca="false">L671</f>
        <v>0</v>
      </c>
      <c r="AC671" s="61" t="n">
        <f aca="false">VLOOKUP(AB671,recipe_ingred_list!$K$2:$M$7,3,0)</f>
        <v>2</v>
      </c>
      <c r="AD671" s="61" t="n">
        <f aca="false">M671</f>
        <v>3</v>
      </c>
      <c r="AE671" s="61" t="str">
        <f aca="false">N671</f>
        <v>ltr</v>
      </c>
      <c r="AF671" s="61" t="n">
        <f aca="false">VLOOKUP(AE671,recipe_ingred_list!$K$16:$M$25,3,0)</f>
        <v>1</v>
      </c>
      <c r="AG671" s="61" t="n">
        <f aca="false">O671</f>
        <v>0</v>
      </c>
      <c r="AH671" s="61" t="n">
        <f aca="false">P671</f>
        <v>0</v>
      </c>
      <c r="AI671" s="61" t="n">
        <f aca="false">VLOOKUP(AH671,recipe_ingred_list!$K$29:$M$34,3,0)</f>
        <v>3</v>
      </c>
      <c r="AJ671" s="61" t="str">
        <f aca="false">IF(Q671="","",Q671)</f>
        <v/>
      </c>
      <c r="AK671" s="61" t="n">
        <f aca="false">AK670+1</f>
        <v>671</v>
      </c>
      <c r="AL671" s="61" t="str">
        <f aca="false">Y671</f>
        <v>celery stick</v>
      </c>
      <c r="AM671" s="81" t="str">
        <f aca="false">"a = Client().post('"&amp;W671&amp;"', {'recipe' : '"&amp;V671&amp;"', 'ingredient' : '"&amp;Z671&amp;"', 'name' : '"&amp;X671&amp;"', 'mass_unit' : '"&amp;AC671&amp;"', 'mass_quantity' : '"&amp;ROUND(AA671,3)&amp;"', 'volume_unit' : '"&amp;AF671&amp;"', 'volume_quantity' : '"&amp;ROUND(AD671,3)&amp;"', 'pieces_unit' : '"&amp;AI671&amp;"', 'pieces_quantity' : '"&amp;ROUND(AG671,3)&amp;"', 'cooking_notes' : '"&amp;AJ671&amp;"'}).status_code; print('%s :: %s :: %s :: %s :: %s' %(a,"&amp;G671&amp;",'"&amp;X671&amp;"','"&amp;Y671&amp;"','"&amp;U671&amp;"'))"</f>
        <v>a = Client().post('/recipes/schezwan-sauce/detail/', {'recipe' : '72', 'ingredient' : '45', 'name' : 'Celery Stick', 'mass_unit' : '2', 'mass_quantity' : '0', 'volume_unit' : '1', 'volume_quantity' : '3', 'pieces_unit' : '3', 'pieces_quantity' : '0', 'cooking_notes' : ''}).status_code; print('%s :: %s :: %s :: %s :: %s' %(a,671,'Celery Stick','celery stick','Schezwan sauce'))</v>
      </c>
    </row>
    <row r="672" customFormat="false" ht="13.8" hidden="false" customHeight="false" outlineLevel="0" collapsed="false">
      <c r="G672" s="80" t="n">
        <v>672</v>
      </c>
      <c r="I672" s="172" t="s">
        <v>325</v>
      </c>
      <c r="J672" s="173" t="s">
        <v>563</v>
      </c>
      <c r="M672" s="174" t="n">
        <v>1</v>
      </c>
      <c r="N672" s="174" t="s">
        <v>13</v>
      </c>
      <c r="R672" s="82" t="str">
        <f aca="false">VLOOKUP(J672,ingredient!$N$4:$O$553,2,0)</f>
        <v>hari mirchi</v>
      </c>
      <c r="U672" s="81" t="str">
        <f aca="false">I672</f>
        <v>Schezwan sauce</v>
      </c>
      <c r="V672" s="81" t="n">
        <f aca="false">VLOOKUP(U672,recipe_ingred_list!$A$2:$B$300,2,0)</f>
        <v>72</v>
      </c>
      <c r="W672" s="81" t="str">
        <f aca="false">"/recipes/"&amp;VLOOKUP(U672,recipe_ingred_list!$A$2:$C$300,3,0)&amp;"/detail/"</f>
        <v>/recipes/schezwan-sauce/detail/</v>
      </c>
      <c r="X672" s="81" t="str">
        <f aca="false">J672</f>
        <v>Green chilly</v>
      </c>
      <c r="Y672" s="81" t="str">
        <f aca="false">R672</f>
        <v>hari mirchi</v>
      </c>
      <c r="Z672" s="94" t="n">
        <f aca="false">VLOOKUP(Y672,recipe_ingred_list!$D$2:$E$500,2,0)</f>
        <v>93</v>
      </c>
      <c r="AA672" s="61" t="n">
        <f aca="false">K672</f>
        <v>0</v>
      </c>
      <c r="AB672" s="61" t="n">
        <f aca="false">L672</f>
        <v>0</v>
      </c>
      <c r="AC672" s="61" t="n">
        <f aca="false">VLOOKUP(AB672,recipe_ingred_list!$K$2:$M$7,3,0)</f>
        <v>2</v>
      </c>
      <c r="AD672" s="61" t="n">
        <f aca="false">M672</f>
        <v>1</v>
      </c>
      <c r="AE672" s="61" t="str">
        <f aca="false">N672</f>
        <v>ltr</v>
      </c>
      <c r="AF672" s="61" t="n">
        <f aca="false">VLOOKUP(AE672,recipe_ingred_list!$K$16:$M$25,3,0)</f>
        <v>1</v>
      </c>
      <c r="AG672" s="61" t="n">
        <f aca="false">O672</f>
        <v>0</v>
      </c>
      <c r="AH672" s="61" t="n">
        <f aca="false">P672</f>
        <v>0</v>
      </c>
      <c r="AI672" s="61" t="n">
        <f aca="false">VLOOKUP(AH672,recipe_ingred_list!$K$29:$M$34,3,0)</f>
        <v>3</v>
      </c>
      <c r="AJ672" s="61" t="str">
        <f aca="false">IF(Q672="","",Q672)</f>
        <v/>
      </c>
      <c r="AK672" s="61" t="n">
        <f aca="false">AK671+1</f>
        <v>672</v>
      </c>
      <c r="AL672" s="61" t="str">
        <f aca="false">Y672</f>
        <v>hari mirchi</v>
      </c>
      <c r="AM672" s="81" t="str">
        <f aca="false">"a = Client().post('"&amp;W672&amp;"', {'recipe' : '"&amp;V672&amp;"', 'ingredient' : '"&amp;Z672&amp;"', 'name' : '"&amp;X672&amp;"', 'mass_unit' : '"&amp;AC672&amp;"', 'mass_quantity' : '"&amp;ROUND(AA672,3)&amp;"', 'volume_unit' : '"&amp;AF672&amp;"', 'volume_quantity' : '"&amp;ROUND(AD672,3)&amp;"', 'pieces_unit' : '"&amp;AI672&amp;"', 'pieces_quantity' : '"&amp;ROUND(AG672,3)&amp;"', 'cooking_notes' : '"&amp;AJ672&amp;"'}).status_code; print('%s :: %s :: %s :: %s :: %s' %(a,"&amp;G672&amp;",'"&amp;X672&amp;"','"&amp;Y672&amp;"','"&amp;U672&amp;"'))"</f>
        <v>a = Client().post('/recipes/schezwan-sauce/detail/', {'recipe' : '72', 'ingredient' : '93', 'name' : 'Green chilly', 'mass_unit' : '2', 'mass_quantity' : '0', 'volume_unit' : '1', 'volume_quantity' : '1', 'pieces_unit' : '3', 'pieces_quantity' : '0', 'cooking_notes' : ''}).status_code; print('%s :: %s :: %s :: %s :: %s' %(a,672,'Green chilly','hari mirchi','Schezwan sauce'))</v>
      </c>
    </row>
    <row r="673" customFormat="false" ht="13.8" hidden="false" customHeight="false" outlineLevel="0" collapsed="false">
      <c r="G673" s="80" t="n">
        <v>673</v>
      </c>
      <c r="I673" s="172" t="s">
        <v>325</v>
      </c>
      <c r="J673" s="173" t="s">
        <v>738</v>
      </c>
      <c r="M673" s="174" t="n">
        <v>1.5</v>
      </c>
      <c r="N673" s="174" t="s">
        <v>13</v>
      </c>
      <c r="R673" s="82" t="str">
        <f aca="false">VLOOKUP(J673,ingredient!$N$4:$O$553,2,0)</f>
        <v>cabbage (desi)</v>
      </c>
      <c r="U673" s="81" t="str">
        <f aca="false">I673</f>
        <v>Schezwan sauce</v>
      </c>
      <c r="V673" s="81" t="n">
        <f aca="false">VLOOKUP(U673,recipe_ingred_list!$A$2:$B$300,2,0)</f>
        <v>72</v>
      </c>
      <c r="W673" s="81" t="str">
        <f aca="false">"/recipes/"&amp;VLOOKUP(U673,recipe_ingred_list!$A$2:$C$300,3,0)&amp;"/detail/"</f>
        <v>/recipes/schezwan-sauce/detail/</v>
      </c>
      <c r="X673" s="81" t="str">
        <f aca="false">J673</f>
        <v>Cabbage (Desi)</v>
      </c>
      <c r="Y673" s="81" t="str">
        <f aca="false">R673</f>
        <v>cabbage (desi)</v>
      </c>
      <c r="Z673" s="94" t="n">
        <f aca="false">VLOOKUP(Y673,recipe_ingred_list!$D$2:$E$500,2,0)</f>
        <v>40</v>
      </c>
      <c r="AA673" s="61" t="n">
        <f aca="false">K673</f>
        <v>0</v>
      </c>
      <c r="AB673" s="61" t="n">
        <f aca="false">L673</f>
        <v>0</v>
      </c>
      <c r="AC673" s="61" t="n">
        <f aca="false">VLOOKUP(AB673,recipe_ingred_list!$K$2:$M$7,3,0)</f>
        <v>2</v>
      </c>
      <c r="AD673" s="61" t="n">
        <f aca="false">M673</f>
        <v>1.5</v>
      </c>
      <c r="AE673" s="61" t="str">
        <f aca="false">N673</f>
        <v>ltr</v>
      </c>
      <c r="AF673" s="61" t="n">
        <f aca="false">VLOOKUP(AE673,recipe_ingred_list!$K$16:$M$25,3,0)</f>
        <v>1</v>
      </c>
      <c r="AG673" s="61" t="n">
        <f aca="false">O673</f>
        <v>0</v>
      </c>
      <c r="AH673" s="61" t="n">
        <f aca="false">P673</f>
        <v>0</v>
      </c>
      <c r="AI673" s="61" t="n">
        <f aca="false">VLOOKUP(AH673,recipe_ingred_list!$K$29:$M$34,3,0)</f>
        <v>3</v>
      </c>
      <c r="AJ673" s="61" t="str">
        <f aca="false">IF(Q673="","",Q673)</f>
        <v/>
      </c>
      <c r="AK673" s="61" t="n">
        <f aca="false">AK672+1</f>
        <v>673</v>
      </c>
      <c r="AL673" s="61" t="str">
        <f aca="false">Y673</f>
        <v>cabbage (desi)</v>
      </c>
      <c r="AM673" s="81" t="str">
        <f aca="false">"a = Client().post('"&amp;W673&amp;"', {'recipe' : '"&amp;V673&amp;"', 'ingredient' : '"&amp;Z673&amp;"', 'name' : '"&amp;X673&amp;"', 'mass_unit' : '"&amp;AC673&amp;"', 'mass_quantity' : '"&amp;ROUND(AA673,3)&amp;"', 'volume_unit' : '"&amp;AF673&amp;"', 'volume_quantity' : '"&amp;ROUND(AD673,3)&amp;"', 'pieces_unit' : '"&amp;AI673&amp;"', 'pieces_quantity' : '"&amp;ROUND(AG673,3)&amp;"', 'cooking_notes' : '"&amp;AJ673&amp;"'}).status_code; print('%s :: %s :: %s :: %s :: %s' %(a,"&amp;G673&amp;",'"&amp;X673&amp;"','"&amp;Y673&amp;"','"&amp;U673&amp;"'))"</f>
        <v>a = Client().post('/recipes/schezwan-sauce/detail/', {'recipe' : '72', 'ingredient' : '40', 'name' : 'Cabbage (Desi)', 'mass_unit' : '2', 'mass_quantity' : '0', 'volume_unit' : '1', 'volume_quantity' : '1.5', 'pieces_unit' : '3', 'pieces_quantity' : '0', 'cooking_notes' : ''}).status_code; print('%s :: %s :: %s :: %s :: %s' %(a,673,'Cabbage (Desi)','cabbage (desi)','Schezwan sauce'))</v>
      </c>
    </row>
    <row r="674" customFormat="false" ht="13.8" hidden="false" customHeight="false" outlineLevel="0" collapsed="false">
      <c r="G674" s="80" t="n">
        <v>674</v>
      </c>
      <c r="I674" s="172" t="s">
        <v>325</v>
      </c>
      <c r="J674" s="173" t="s">
        <v>739</v>
      </c>
      <c r="M674" s="174" t="n">
        <v>2</v>
      </c>
      <c r="N674" s="174" t="s">
        <v>13</v>
      </c>
      <c r="R674" s="82" t="str">
        <f aca="false">VLOOKUP(J674,ingredient!$N$4:$O$553,2,0)</f>
        <v>chilly sauce</v>
      </c>
      <c r="U674" s="81" t="str">
        <f aca="false">I674</f>
        <v>Schezwan sauce</v>
      </c>
      <c r="V674" s="81" t="n">
        <f aca="false">VLOOKUP(U674,recipe_ingred_list!$A$2:$B$300,2,0)</f>
        <v>72</v>
      </c>
      <c r="W674" s="81" t="str">
        <f aca="false">"/recipes/"&amp;VLOOKUP(U674,recipe_ingred_list!$A$2:$C$300,3,0)&amp;"/detail/"</f>
        <v>/recipes/schezwan-sauce/detail/</v>
      </c>
      <c r="X674" s="81" t="str">
        <f aca="false">J674</f>
        <v>Chilly Sauce</v>
      </c>
      <c r="Y674" s="81" t="str">
        <f aca="false">R674</f>
        <v>chilly sauce</v>
      </c>
      <c r="Z674" s="94" t="n">
        <f aca="false">VLOOKUP(Y674,recipe_ingred_list!$D$2:$E$500,2,0)</f>
        <v>52</v>
      </c>
      <c r="AA674" s="61" t="n">
        <f aca="false">K674</f>
        <v>0</v>
      </c>
      <c r="AB674" s="61" t="n">
        <f aca="false">L674</f>
        <v>0</v>
      </c>
      <c r="AC674" s="61" t="n">
        <f aca="false">VLOOKUP(AB674,recipe_ingred_list!$K$2:$M$7,3,0)</f>
        <v>2</v>
      </c>
      <c r="AD674" s="61" t="n">
        <f aca="false">M674</f>
        <v>2</v>
      </c>
      <c r="AE674" s="61" t="str">
        <f aca="false">N674</f>
        <v>ltr</v>
      </c>
      <c r="AF674" s="61" t="n">
        <f aca="false">VLOOKUP(AE674,recipe_ingred_list!$K$16:$M$25,3,0)</f>
        <v>1</v>
      </c>
      <c r="AG674" s="61" t="n">
        <f aca="false">O674</f>
        <v>0</v>
      </c>
      <c r="AH674" s="61" t="n">
        <f aca="false">P674</f>
        <v>0</v>
      </c>
      <c r="AI674" s="61" t="n">
        <f aca="false">VLOOKUP(AH674,recipe_ingred_list!$K$29:$M$34,3,0)</f>
        <v>3</v>
      </c>
      <c r="AJ674" s="61" t="str">
        <f aca="false">IF(Q674="","",Q674)</f>
        <v/>
      </c>
      <c r="AK674" s="61" t="n">
        <f aca="false">AK673+1</f>
        <v>674</v>
      </c>
      <c r="AL674" s="61" t="str">
        <f aca="false">Y674</f>
        <v>chilly sauce</v>
      </c>
      <c r="AM674" s="81" t="str">
        <f aca="false">"a = Client().post('"&amp;W674&amp;"', {'recipe' : '"&amp;V674&amp;"', 'ingredient' : '"&amp;Z674&amp;"', 'name' : '"&amp;X674&amp;"', 'mass_unit' : '"&amp;AC674&amp;"', 'mass_quantity' : '"&amp;ROUND(AA674,3)&amp;"', 'volume_unit' : '"&amp;AF674&amp;"', 'volume_quantity' : '"&amp;ROUND(AD674,3)&amp;"', 'pieces_unit' : '"&amp;AI674&amp;"', 'pieces_quantity' : '"&amp;ROUND(AG674,3)&amp;"', 'cooking_notes' : '"&amp;AJ674&amp;"'}).status_code; print('%s :: %s :: %s :: %s :: %s' %(a,"&amp;G674&amp;",'"&amp;X674&amp;"','"&amp;Y674&amp;"','"&amp;U674&amp;"'))"</f>
        <v>a = Client().post('/recipes/schezwan-sauce/detail/', {'recipe' : '72', 'ingredient' : '52', 'name' : 'Chilly Sauce', 'mass_unit' : '2', 'mass_quantity' : '0', 'volume_unit' : '1', 'volume_quantity' : '2', 'pieces_unit' : '3', 'pieces_quantity' : '0', 'cooking_notes' : ''}).status_code; print('%s :: %s :: %s :: %s :: %s' %(a,674,'Chilly Sauce','chilly sauce','Schezwan sauce'))</v>
      </c>
    </row>
    <row r="675" customFormat="false" ht="13.8" hidden="false" customHeight="false" outlineLevel="0" collapsed="false">
      <c r="G675" s="80" t="n">
        <v>675</v>
      </c>
      <c r="I675" s="172" t="s">
        <v>325</v>
      </c>
      <c r="J675" s="173" t="s">
        <v>740</v>
      </c>
      <c r="M675" s="174" t="n">
        <v>1</v>
      </c>
      <c r="N675" s="174" t="s">
        <v>13</v>
      </c>
      <c r="R675" s="82" t="str">
        <f aca="false">VLOOKUP(J675,ingredient!$N$4:$O$553,2,0)</f>
        <v>tomato</v>
      </c>
      <c r="U675" s="81" t="str">
        <f aca="false">I675</f>
        <v>Schezwan sauce</v>
      </c>
      <c r="V675" s="81" t="n">
        <f aca="false">VLOOKUP(U675,recipe_ingred_list!$A$2:$B$300,2,0)</f>
        <v>72</v>
      </c>
      <c r="W675" s="81" t="str">
        <f aca="false">"/recipes/"&amp;VLOOKUP(U675,recipe_ingred_list!$A$2:$C$300,3,0)&amp;"/detail/"</f>
        <v>/recipes/schezwan-sauce/detail/</v>
      </c>
      <c r="X675" s="81" t="str">
        <f aca="false">J675</f>
        <v>Tomato Sauce</v>
      </c>
      <c r="Y675" s="81" t="str">
        <f aca="false">R675</f>
        <v>tomato</v>
      </c>
      <c r="Z675" s="94" t="n">
        <f aca="false">VLOOKUP(Y675,recipe_ingred_list!$D$2:$E$500,2,0)</f>
        <v>195</v>
      </c>
      <c r="AA675" s="61" t="n">
        <f aca="false">K675</f>
        <v>0</v>
      </c>
      <c r="AB675" s="61" t="n">
        <f aca="false">L675</f>
        <v>0</v>
      </c>
      <c r="AC675" s="61" t="n">
        <f aca="false">VLOOKUP(AB675,recipe_ingred_list!$K$2:$M$7,3,0)</f>
        <v>2</v>
      </c>
      <c r="AD675" s="61" t="n">
        <f aca="false">M675</f>
        <v>1</v>
      </c>
      <c r="AE675" s="61" t="str">
        <f aca="false">N675</f>
        <v>ltr</v>
      </c>
      <c r="AF675" s="61" t="n">
        <f aca="false">VLOOKUP(AE675,recipe_ingred_list!$K$16:$M$25,3,0)</f>
        <v>1</v>
      </c>
      <c r="AG675" s="61" t="n">
        <f aca="false">O675</f>
        <v>0</v>
      </c>
      <c r="AH675" s="61" t="n">
        <f aca="false">P675</f>
        <v>0</v>
      </c>
      <c r="AI675" s="61" t="n">
        <f aca="false">VLOOKUP(AH675,recipe_ingred_list!$K$29:$M$34,3,0)</f>
        <v>3</v>
      </c>
      <c r="AJ675" s="61" t="str">
        <f aca="false">IF(Q675="","",Q675)</f>
        <v/>
      </c>
      <c r="AK675" s="61" t="n">
        <f aca="false">AK674+1</f>
        <v>675</v>
      </c>
      <c r="AL675" s="61" t="str">
        <f aca="false">Y675</f>
        <v>tomato</v>
      </c>
      <c r="AM675" s="81" t="str">
        <f aca="false">"a = Client().post('"&amp;W675&amp;"', {'recipe' : '"&amp;V675&amp;"', 'ingredient' : '"&amp;Z675&amp;"', 'name' : '"&amp;X675&amp;"', 'mass_unit' : '"&amp;AC675&amp;"', 'mass_quantity' : '"&amp;ROUND(AA675,3)&amp;"', 'volume_unit' : '"&amp;AF675&amp;"', 'volume_quantity' : '"&amp;ROUND(AD675,3)&amp;"', 'pieces_unit' : '"&amp;AI675&amp;"', 'pieces_quantity' : '"&amp;ROUND(AG675,3)&amp;"', 'cooking_notes' : '"&amp;AJ675&amp;"'}).status_code; print('%s :: %s :: %s :: %s :: %s' %(a,"&amp;G675&amp;",'"&amp;X675&amp;"','"&amp;Y675&amp;"','"&amp;U675&amp;"'))"</f>
        <v>a = Client().post('/recipes/schezwan-sauce/detail/', {'recipe' : '72', 'ingredient' : '195', 'name' : 'Tomato Sauce', 'mass_unit' : '2', 'mass_quantity' : '0', 'volume_unit' : '1', 'volume_quantity' : '1', 'pieces_unit' : '3', 'pieces_quantity' : '0', 'cooking_notes' : ''}).status_code; print('%s :: %s :: %s :: %s :: %s' %(a,675,'Tomato Sauce','tomato','Schezwan sauce'))</v>
      </c>
    </row>
    <row r="676" customFormat="false" ht="13.8" hidden="false" customHeight="false" outlineLevel="0" collapsed="false">
      <c r="G676" s="80" t="n">
        <v>676</v>
      </c>
      <c r="I676" s="172" t="s">
        <v>325</v>
      </c>
      <c r="J676" s="173" t="s">
        <v>741</v>
      </c>
      <c r="K676" s="174" t="n">
        <v>400</v>
      </c>
      <c r="L676" s="174" t="s">
        <v>109</v>
      </c>
      <c r="R676" s="82" t="str">
        <f aca="false">VLOOKUP(J676,ingredient!$N$4:$O$553,2,0)</f>
        <v>kashmiri chilly powder</v>
      </c>
      <c r="U676" s="81" t="str">
        <f aca="false">I676</f>
        <v>Schezwan sauce</v>
      </c>
      <c r="V676" s="81" t="n">
        <f aca="false">VLOOKUP(U676,recipe_ingred_list!$A$2:$B$300,2,0)</f>
        <v>72</v>
      </c>
      <c r="W676" s="81" t="str">
        <f aca="false">"/recipes/"&amp;VLOOKUP(U676,recipe_ingred_list!$A$2:$C$300,3,0)&amp;"/detail/"</f>
        <v>/recipes/schezwan-sauce/detail/</v>
      </c>
      <c r="X676" s="81" t="str">
        <f aca="false">J676</f>
        <v>Kashmiri Mirchi</v>
      </c>
      <c r="Y676" s="81" t="str">
        <f aca="false">R676</f>
        <v>kashmiri chilly powder</v>
      </c>
      <c r="Z676" s="94" t="n">
        <f aca="false">VLOOKUP(Y676,recipe_ingred_list!$D$2:$E$500,2,0)</f>
        <v>117</v>
      </c>
      <c r="AA676" s="61" t="n">
        <f aca="false">K676</f>
        <v>400</v>
      </c>
      <c r="AB676" s="61" t="str">
        <f aca="false">L676</f>
        <v>gm</v>
      </c>
      <c r="AC676" s="61" t="n">
        <f aca="false">VLOOKUP(AB676,recipe_ingred_list!$K$2:$M$7,3,0)</f>
        <v>7</v>
      </c>
      <c r="AD676" s="61" t="n">
        <f aca="false">M676</f>
        <v>0</v>
      </c>
      <c r="AE676" s="61" t="n">
        <f aca="false">N676</f>
        <v>0</v>
      </c>
      <c r="AF676" s="61" t="n">
        <f aca="false">VLOOKUP(AE676,recipe_ingred_list!$K$16:$M$25,3,0)</f>
        <v>1</v>
      </c>
      <c r="AG676" s="61" t="n">
        <f aca="false">O676</f>
        <v>0</v>
      </c>
      <c r="AH676" s="61" t="n">
        <f aca="false">P676</f>
        <v>0</v>
      </c>
      <c r="AI676" s="61" t="n">
        <f aca="false">VLOOKUP(AH676,recipe_ingred_list!$K$29:$M$34,3,0)</f>
        <v>3</v>
      </c>
      <c r="AJ676" s="61" t="str">
        <f aca="false">IF(Q676="","",Q676)</f>
        <v/>
      </c>
      <c r="AK676" s="61" t="n">
        <f aca="false">AK675+1</f>
        <v>676</v>
      </c>
      <c r="AL676" s="61" t="str">
        <f aca="false">Y676</f>
        <v>kashmiri chilly powder</v>
      </c>
      <c r="AM676" s="81" t="str">
        <f aca="false">"a = Client().post('"&amp;W676&amp;"', {'recipe' : '"&amp;V676&amp;"', 'ingredient' : '"&amp;Z676&amp;"', 'name' : '"&amp;X676&amp;"', 'mass_unit' : '"&amp;AC676&amp;"', 'mass_quantity' : '"&amp;ROUND(AA676,3)&amp;"', 'volume_unit' : '"&amp;AF676&amp;"', 'volume_quantity' : '"&amp;ROUND(AD676,3)&amp;"', 'pieces_unit' : '"&amp;AI676&amp;"', 'pieces_quantity' : '"&amp;ROUND(AG676,3)&amp;"', 'cooking_notes' : '"&amp;AJ676&amp;"'}).status_code; print('%s :: %s :: %s :: %s :: %s' %(a,"&amp;G676&amp;",'"&amp;X676&amp;"','"&amp;Y676&amp;"','"&amp;U676&amp;"'))"</f>
        <v>a = Client().post('/recipes/schezwan-sauce/detail/', {'recipe' : '72', 'ingredient' : '117', 'name' : 'Kashmiri Mirchi', 'mass_unit' : '7', 'mass_quantity' : '400', 'volume_unit' : '1', 'volume_quantity' : '0', 'pieces_unit' : '3', 'pieces_quantity' : '0', 'cooking_notes' : ''}).status_code; print('%s :: %s :: %s :: %s :: %s' %(a,676,'Kashmiri Mirchi','kashmiri chilly powder','Schezwan sauce'))</v>
      </c>
    </row>
    <row r="677" customFormat="false" ht="13.8" hidden="false" customHeight="false" outlineLevel="0" collapsed="false">
      <c r="G677" s="80" t="n">
        <v>677</v>
      </c>
      <c r="I677" s="172" t="s">
        <v>325</v>
      </c>
      <c r="J677" s="173" t="s">
        <v>742</v>
      </c>
      <c r="M677" s="174" t="n">
        <v>0.5</v>
      </c>
      <c r="N677" s="174" t="s">
        <v>20</v>
      </c>
      <c r="R677" s="82" t="str">
        <f aca="false">VLOOKUP(J677,ingredient!$N$4:$O$553,2,0)</f>
        <v>white pepper powder</v>
      </c>
      <c r="U677" s="81" t="str">
        <f aca="false">I677</f>
        <v>Schezwan sauce</v>
      </c>
      <c r="V677" s="81" t="n">
        <f aca="false">VLOOKUP(U677,recipe_ingred_list!$A$2:$B$300,2,0)</f>
        <v>72</v>
      </c>
      <c r="W677" s="81" t="str">
        <f aca="false">"/recipes/"&amp;VLOOKUP(U677,recipe_ingred_list!$A$2:$C$300,3,0)&amp;"/detail/"</f>
        <v>/recipes/schezwan-sauce/detail/</v>
      </c>
      <c r="X677" s="81" t="str">
        <f aca="false">J677</f>
        <v>White Pepper Powder</v>
      </c>
      <c r="Y677" s="81" t="str">
        <f aca="false">R677</f>
        <v>white pepper powder</v>
      </c>
      <c r="Z677" s="94" t="n">
        <f aca="false">VLOOKUP(Y677,recipe_ingred_list!$D$2:$E$500,2,0)</f>
        <v>205</v>
      </c>
      <c r="AA677" s="61" t="n">
        <f aca="false">K677</f>
        <v>0</v>
      </c>
      <c r="AB677" s="61" t="n">
        <f aca="false">L677</f>
        <v>0</v>
      </c>
      <c r="AC677" s="61" t="n">
        <f aca="false">VLOOKUP(AB677,recipe_ingred_list!$K$2:$M$7,3,0)</f>
        <v>2</v>
      </c>
      <c r="AD677" s="61" t="n">
        <f aca="false">M677</f>
        <v>0.5</v>
      </c>
      <c r="AE677" s="61" t="str">
        <f aca="false">N677</f>
        <v>cup</v>
      </c>
      <c r="AF677" s="61" t="n">
        <f aca="false">VLOOKUP(AE677,recipe_ingred_list!$K$16:$M$25,3,0)</f>
        <v>5</v>
      </c>
      <c r="AG677" s="61" t="n">
        <f aca="false">O677</f>
        <v>0</v>
      </c>
      <c r="AH677" s="61" t="n">
        <f aca="false">P677</f>
        <v>0</v>
      </c>
      <c r="AI677" s="61" t="n">
        <f aca="false">VLOOKUP(AH677,recipe_ingred_list!$K$29:$M$34,3,0)</f>
        <v>3</v>
      </c>
      <c r="AJ677" s="61" t="str">
        <f aca="false">IF(Q677="","",Q677)</f>
        <v/>
      </c>
      <c r="AK677" s="61" t="n">
        <f aca="false">AK676+1</f>
        <v>677</v>
      </c>
      <c r="AL677" s="61" t="str">
        <f aca="false">Y677</f>
        <v>white pepper powder</v>
      </c>
      <c r="AM677" s="81" t="str">
        <f aca="false">"a = Client().post('"&amp;W677&amp;"', {'recipe' : '"&amp;V677&amp;"', 'ingredient' : '"&amp;Z677&amp;"', 'name' : '"&amp;X677&amp;"', 'mass_unit' : '"&amp;AC677&amp;"', 'mass_quantity' : '"&amp;ROUND(AA677,3)&amp;"', 'volume_unit' : '"&amp;AF677&amp;"', 'volume_quantity' : '"&amp;ROUND(AD677,3)&amp;"', 'pieces_unit' : '"&amp;AI677&amp;"', 'pieces_quantity' : '"&amp;ROUND(AG677,3)&amp;"', 'cooking_notes' : '"&amp;AJ677&amp;"'}).status_code; print('%s :: %s :: %s :: %s :: %s' %(a,"&amp;G677&amp;",'"&amp;X677&amp;"','"&amp;Y677&amp;"','"&amp;U677&amp;"'))"</f>
        <v>a = Client().post('/recipes/schezwan-sauce/detail/', {'recipe' : '72', 'ingredient' : '205', 'name' : 'White Pepper Powder', 'mass_unit' : '2', 'mass_quantity' : '0', 'volume_unit' : '5', 'volume_quantity' : '0.5', 'pieces_unit' : '3', 'pieces_quantity' : '0', 'cooking_notes' : ''}).status_code; print('%s :: %s :: %s :: %s :: %s' %(a,677,'White Pepper Powder','white pepper powder','Schezwan sauce'))</v>
      </c>
    </row>
    <row r="678" customFormat="false" ht="13.8" hidden="false" customHeight="false" outlineLevel="0" collapsed="false">
      <c r="G678" s="80" t="n">
        <v>678</v>
      </c>
      <c r="I678" s="172" t="s">
        <v>325</v>
      </c>
      <c r="J678" s="173" t="s">
        <v>658</v>
      </c>
      <c r="M678" s="174" t="n">
        <v>0.3</v>
      </c>
      <c r="N678" s="174" t="s">
        <v>20</v>
      </c>
      <c r="R678" s="82" t="str">
        <f aca="false">VLOOKUP(J678,ingredient!$N$4:$O$553,2,0)</f>
        <v>salt</v>
      </c>
      <c r="U678" s="81" t="str">
        <f aca="false">I678</f>
        <v>Schezwan sauce</v>
      </c>
      <c r="V678" s="81" t="n">
        <f aca="false">VLOOKUP(U678,recipe_ingred_list!$A$2:$B$300,2,0)</f>
        <v>72</v>
      </c>
      <c r="W678" s="81" t="str">
        <f aca="false">"/recipes/"&amp;VLOOKUP(U678,recipe_ingred_list!$A$2:$C$300,3,0)&amp;"/detail/"</f>
        <v>/recipes/schezwan-sauce/detail/</v>
      </c>
      <c r="X678" s="81" t="str">
        <f aca="false">J678</f>
        <v>Salt (Namak)</v>
      </c>
      <c r="Y678" s="81" t="str">
        <f aca="false">R678</f>
        <v>salt</v>
      </c>
      <c r="Z678" s="94" t="n">
        <f aca="false">VLOOKUP(Y678,recipe_ingred_list!$D$2:$E$500,2,0)</f>
        <v>177</v>
      </c>
      <c r="AA678" s="61" t="n">
        <f aca="false">K678</f>
        <v>0</v>
      </c>
      <c r="AB678" s="61" t="n">
        <f aca="false">L678</f>
        <v>0</v>
      </c>
      <c r="AC678" s="61" t="n">
        <f aca="false">VLOOKUP(AB678,recipe_ingred_list!$K$2:$M$7,3,0)</f>
        <v>2</v>
      </c>
      <c r="AD678" s="61" t="n">
        <f aca="false">M678</f>
        <v>0.3</v>
      </c>
      <c r="AE678" s="61" t="str">
        <f aca="false">N678</f>
        <v>cup</v>
      </c>
      <c r="AF678" s="61" t="n">
        <f aca="false">VLOOKUP(AE678,recipe_ingred_list!$K$16:$M$25,3,0)</f>
        <v>5</v>
      </c>
      <c r="AG678" s="61" t="n">
        <f aca="false">O678</f>
        <v>0</v>
      </c>
      <c r="AH678" s="61" t="n">
        <f aca="false">P678</f>
        <v>0</v>
      </c>
      <c r="AI678" s="61" t="n">
        <f aca="false">VLOOKUP(AH678,recipe_ingred_list!$K$29:$M$34,3,0)</f>
        <v>3</v>
      </c>
      <c r="AJ678" s="61" t="str">
        <f aca="false">IF(Q678="","",Q678)</f>
        <v/>
      </c>
      <c r="AK678" s="61" t="n">
        <f aca="false">AK677+1</f>
        <v>678</v>
      </c>
      <c r="AL678" s="61" t="str">
        <f aca="false">Y678</f>
        <v>salt</v>
      </c>
      <c r="AM678" s="81" t="str">
        <f aca="false">"a = Client().post('"&amp;W678&amp;"', {'recipe' : '"&amp;V678&amp;"', 'ingredient' : '"&amp;Z678&amp;"', 'name' : '"&amp;X678&amp;"', 'mass_unit' : '"&amp;AC678&amp;"', 'mass_quantity' : '"&amp;ROUND(AA678,3)&amp;"', 'volume_unit' : '"&amp;AF678&amp;"', 'volume_quantity' : '"&amp;ROUND(AD678,3)&amp;"', 'pieces_unit' : '"&amp;AI678&amp;"', 'pieces_quantity' : '"&amp;ROUND(AG678,3)&amp;"', 'cooking_notes' : '"&amp;AJ678&amp;"'}).status_code; print('%s :: %s :: %s :: %s :: %s' %(a,"&amp;G678&amp;",'"&amp;X678&amp;"','"&amp;Y678&amp;"','"&amp;U678&amp;"'))"</f>
        <v>a = Client().post('/recipes/schezwan-sauce/detail/', {'recipe' : '72', 'ingredient' : '177', 'name' : 'Salt (Namak)', 'mass_unit' : '2', 'mass_quantity' : '0', 'volume_unit' : '5', 'volume_quantity' : '0.3', 'pieces_unit' : '3', 'pieces_quantity' : '0', 'cooking_notes' : ''}).status_code; print('%s :: %s :: %s :: %s :: %s' %(a,678,'Salt (Namak)','salt','Schezwan sauce'))</v>
      </c>
    </row>
    <row r="679" customFormat="false" ht="13.8" hidden="false" customHeight="false" outlineLevel="0" collapsed="false">
      <c r="G679" s="80" t="n">
        <v>679</v>
      </c>
      <c r="I679" s="172" t="s">
        <v>325</v>
      </c>
      <c r="J679" s="173" t="s">
        <v>743</v>
      </c>
      <c r="M679" s="174" t="n">
        <v>1</v>
      </c>
      <c r="N679" s="174" t="s">
        <v>20</v>
      </c>
      <c r="R679" s="82" t="str">
        <f aca="false">VLOOKUP(J679,ingredient!$N$4:$O$553,2,0)</f>
        <v>sugar</v>
      </c>
      <c r="U679" s="81" t="str">
        <f aca="false">I679</f>
        <v>Schezwan sauce</v>
      </c>
      <c r="V679" s="81" t="n">
        <f aca="false">VLOOKUP(U679,recipe_ingred_list!$A$2:$B$300,2,0)</f>
        <v>72</v>
      </c>
      <c r="W679" s="81" t="str">
        <f aca="false">"/recipes/"&amp;VLOOKUP(U679,recipe_ingred_list!$A$2:$C$300,3,0)&amp;"/detail/"</f>
        <v>/recipes/schezwan-sauce/detail/</v>
      </c>
      <c r="X679" s="81" t="str">
        <f aca="false">J679</f>
        <v>Sugar (Chini)</v>
      </c>
      <c r="Y679" s="81" t="str">
        <f aca="false">R679</f>
        <v>sugar</v>
      </c>
      <c r="Z679" s="94" t="n">
        <f aca="false">VLOOKUP(Y679,recipe_ingred_list!$D$2:$E$500,2,0)</f>
        <v>187</v>
      </c>
      <c r="AA679" s="61" t="n">
        <f aca="false">K679</f>
        <v>0</v>
      </c>
      <c r="AB679" s="61" t="n">
        <f aca="false">L679</f>
        <v>0</v>
      </c>
      <c r="AC679" s="61" t="n">
        <f aca="false">VLOOKUP(AB679,recipe_ingred_list!$K$2:$M$7,3,0)</f>
        <v>2</v>
      </c>
      <c r="AD679" s="61" t="n">
        <f aca="false">M679</f>
        <v>1</v>
      </c>
      <c r="AE679" s="61" t="str">
        <f aca="false">N679</f>
        <v>cup</v>
      </c>
      <c r="AF679" s="61" t="n">
        <f aca="false">VLOOKUP(AE679,recipe_ingred_list!$K$16:$M$25,3,0)</f>
        <v>5</v>
      </c>
      <c r="AG679" s="61" t="n">
        <f aca="false">O679</f>
        <v>0</v>
      </c>
      <c r="AH679" s="61" t="n">
        <f aca="false">P679</f>
        <v>0</v>
      </c>
      <c r="AI679" s="61" t="n">
        <f aca="false">VLOOKUP(AH679,recipe_ingred_list!$K$29:$M$34,3,0)</f>
        <v>3</v>
      </c>
      <c r="AJ679" s="61" t="str">
        <f aca="false">IF(Q679="","",Q679)</f>
        <v/>
      </c>
      <c r="AK679" s="61" t="n">
        <f aca="false">AK678+1</f>
        <v>679</v>
      </c>
      <c r="AL679" s="61" t="str">
        <f aca="false">Y679</f>
        <v>sugar</v>
      </c>
      <c r="AM679" s="81" t="str">
        <f aca="false">"a = Client().post('"&amp;W679&amp;"', {'recipe' : '"&amp;V679&amp;"', 'ingredient' : '"&amp;Z679&amp;"', 'name' : '"&amp;X679&amp;"', 'mass_unit' : '"&amp;AC679&amp;"', 'mass_quantity' : '"&amp;ROUND(AA679,3)&amp;"', 'volume_unit' : '"&amp;AF679&amp;"', 'volume_quantity' : '"&amp;ROUND(AD679,3)&amp;"', 'pieces_unit' : '"&amp;AI679&amp;"', 'pieces_quantity' : '"&amp;ROUND(AG679,3)&amp;"', 'cooking_notes' : '"&amp;AJ679&amp;"'}).status_code; print('%s :: %s :: %s :: %s :: %s' %(a,"&amp;G679&amp;",'"&amp;X679&amp;"','"&amp;Y679&amp;"','"&amp;U679&amp;"'))"</f>
        <v>a = Client().post('/recipes/schezwan-sauce/detail/', {'recipe' : '72', 'ingredient' : '187', 'name' : 'Sugar (Chini)', 'mass_unit' : '2', 'mass_quantity' : '0', 'volume_unit' : '5', 'volume_quantity' : '1', 'pieces_unit' : '3', 'pieces_quantity' : '0', 'cooking_notes' : ''}).status_code; print('%s :: %s :: %s :: %s :: %s' %(a,679,'Sugar (Chini)','sugar','Schezwan sauce'))</v>
      </c>
    </row>
    <row r="680" customFormat="false" ht="13.8" hidden="false" customHeight="false" outlineLevel="0" collapsed="false">
      <c r="G680" s="80" t="n">
        <v>680</v>
      </c>
      <c r="H680" s="98"/>
      <c r="I680" s="175" t="s">
        <v>325</v>
      </c>
      <c r="J680" s="176" t="s">
        <v>46</v>
      </c>
      <c r="K680" s="100"/>
      <c r="L680" s="100"/>
      <c r="M680" s="177" t="n">
        <v>5</v>
      </c>
      <c r="N680" s="177" t="s">
        <v>13</v>
      </c>
      <c r="O680" s="101"/>
      <c r="P680" s="100"/>
      <c r="Q680" s="102"/>
      <c r="R680" s="99" t="e">
        <f aca="false">VLOOKUP(J680,ingredient!$N$4:$O$553,2,0)</f>
        <v>#N/A</v>
      </c>
      <c r="S680" s="98"/>
      <c r="T680" s="98"/>
      <c r="U680" s="81" t="str">
        <f aca="false">I680</f>
        <v>Schezwan sauce</v>
      </c>
      <c r="V680" s="81" t="n">
        <f aca="false">VLOOKUP(U680,recipe_ingred_list!$A$2:$B$300,2,0)</f>
        <v>72</v>
      </c>
      <c r="W680" s="81" t="str">
        <f aca="false">"/recipes/"&amp;VLOOKUP(U680,recipe_ingred_list!$A$2:$C$300,3,0)&amp;"/detail/"</f>
        <v>/recipes/schezwan-sauce/detail/</v>
      </c>
      <c r="X680" s="81" t="str">
        <f aca="false">J680</f>
        <v>Yield</v>
      </c>
      <c r="Y680" s="81" t="e">
        <f aca="false">R680</f>
        <v>#N/A</v>
      </c>
      <c r="Z680" s="94" t="e">
        <f aca="false">VLOOKUP(Y680,recipe_ingred_list!$D$2:$E$500,2,0)</f>
        <v>#N/A</v>
      </c>
      <c r="AA680" s="61" t="n">
        <f aca="false">K680</f>
        <v>0</v>
      </c>
      <c r="AB680" s="61" t="n">
        <f aca="false">L680</f>
        <v>0</v>
      </c>
      <c r="AC680" s="61" t="n">
        <f aca="false">VLOOKUP(AB680,recipe_ingred_list!$K$2:$M$7,3,0)</f>
        <v>2</v>
      </c>
      <c r="AD680" s="61" t="n">
        <f aca="false">M680</f>
        <v>5</v>
      </c>
      <c r="AE680" s="61" t="str">
        <f aca="false">N680</f>
        <v>ltr</v>
      </c>
      <c r="AF680" s="61" t="n">
        <f aca="false">VLOOKUP(AE680,recipe_ingred_list!$K$16:$M$25,3,0)</f>
        <v>1</v>
      </c>
      <c r="AG680" s="61" t="n">
        <f aca="false">O680</f>
        <v>0</v>
      </c>
      <c r="AH680" s="61" t="n">
        <f aca="false">P680</f>
        <v>0</v>
      </c>
      <c r="AI680" s="61" t="n">
        <f aca="false">VLOOKUP(AH680,recipe_ingred_list!$K$29:$M$34,3,0)</f>
        <v>3</v>
      </c>
      <c r="AJ680" s="61" t="str">
        <f aca="false">IF(Q680="","",Q680)</f>
        <v/>
      </c>
      <c r="AK680" s="61" t="n">
        <f aca="false">AK679+1</f>
        <v>680</v>
      </c>
      <c r="AL680" s="61" t="e">
        <f aca="false">Y680</f>
        <v>#N/A</v>
      </c>
      <c r="AM680" s="81" t="e">
        <f aca="false">"a = Client().post('"&amp;W680&amp;"', {'recipe' : '"&amp;V680&amp;"', 'ingredient' : '"&amp;Z680&amp;"', 'name' : '"&amp;X680&amp;"', 'mass_unit' : '"&amp;AC680&amp;"', 'mass_quantity' : '"&amp;ROUND(AA680,3)&amp;"', 'volume_unit' : '"&amp;AF680&amp;"', 'volume_quantity' : '"&amp;ROUND(AD680,3)&amp;"', 'pieces_unit' : '"&amp;AI680&amp;"', 'pieces_quantity' : '"&amp;ROUND(AG680,3)&amp;"', 'cooking_notes' : '"&amp;AJ680&amp;"'}).status_code; print('%s :: %s :: %s :: %s :: %s' %(a,"&amp;G680&amp;",'"&amp;X680&amp;"','"&amp;Y680&amp;"','"&amp;U680&amp;"'))"</f>
        <v>#N/A</v>
      </c>
    </row>
    <row r="681" customFormat="false" ht="13.8" hidden="false" customHeight="false" outlineLevel="0" collapsed="false">
      <c r="G681" s="80" t="n">
        <v>681</v>
      </c>
      <c r="H681" s="98"/>
      <c r="I681" s="99"/>
      <c r="J681" s="79"/>
      <c r="K681" s="100"/>
      <c r="L681" s="100"/>
      <c r="M681" s="100"/>
      <c r="N681" s="100"/>
      <c r="O681" s="101"/>
      <c r="P681" s="100"/>
      <c r="Q681" s="102"/>
      <c r="R681" s="99" t="e">
        <f aca="false">VLOOKUP(J681,ingredient!$N$4:$O$553,2,0)</f>
        <v>#N/A</v>
      </c>
      <c r="S681" s="98"/>
      <c r="T681" s="98"/>
      <c r="U681" s="81" t="n">
        <f aca="false">I681</f>
        <v>0</v>
      </c>
      <c r="V681" s="81" t="e">
        <f aca="false">VLOOKUP(U681,recipe_ingred_list!$A$2:$B$300,2,0)</f>
        <v>#N/A</v>
      </c>
      <c r="W681" s="81" t="e">
        <f aca="false">"/recipes/"&amp;VLOOKUP(U681,recipe_ingred_list!$A$2:$C$300,3,0)&amp;"/detail/"</f>
        <v>#N/A</v>
      </c>
      <c r="X681" s="81" t="n">
        <f aca="false">J681</f>
        <v>0</v>
      </c>
      <c r="Y681" s="81" t="e">
        <f aca="false">R681</f>
        <v>#N/A</v>
      </c>
      <c r="Z681" s="94" t="e">
        <f aca="false">VLOOKUP(Y681,recipe_ingred_list!$D$2:$E$500,2,0)</f>
        <v>#N/A</v>
      </c>
      <c r="AA681" s="61" t="n">
        <f aca="false">K681</f>
        <v>0</v>
      </c>
      <c r="AB681" s="61" t="n">
        <f aca="false">L681</f>
        <v>0</v>
      </c>
      <c r="AC681" s="61" t="n">
        <f aca="false">VLOOKUP(AB681,recipe_ingred_list!$K$2:$M$7,3,0)</f>
        <v>2</v>
      </c>
      <c r="AD681" s="61" t="n">
        <f aca="false">M681</f>
        <v>0</v>
      </c>
      <c r="AE681" s="61" t="n">
        <f aca="false">N681</f>
        <v>0</v>
      </c>
      <c r="AF681" s="61" t="n">
        <f aca="false">VLOOKUP(AE681,recipe_ingred_list!$K$16:$M$25,3,0)</f>
        <v>1</v>
      </c>
      <c r="AG681" s="61" t="n">
        <f aca="false">O681</f>
        <v>0</v>
      </c>
      <c r="AH681" s="61" t="n">
        <f aca="false">P681</f>
        <v>0</v>
      </c>
      <c r="AI681" s="61" t="n">
        <f aca="false">VLOOKUP(AH681,recipe_ingred_list!$K$29:$M$34,3,0)</f>
        <v>3</v>
      </c>
      <c r="AJ681" s="61" t="str">
        <f aca="false">IF(Q681="","",Q681)</f>
        <v/>
      </c>
      <c r="AK681" s="61" t="n">
        <f aca="false">AK680+1</f>
        <v>681</v>
      </c>
      <c r="AL681" s="61" t="e">
        <f aca="false">Y681</f>
        <v>#N/A</v>
      </c>
      <c r="AM681" s="81" t="e">
        <f aca="false">"a = Client().post('"&amp;W681&amp;"', {'recipe' : '"&amp;V681&amp;"', 'ingredient' : '"&amp;Z681&amp;"', 'name' : '"&amp;X681&amp;"', 'mass_unit' : '"&amp;AC681&amp;"', 'mass_quantity' : '"&amp;ROUND(AA681,3)&amp;"', 'volume_unit' : '"&amp;AF681&amp;"', 'volume_quantity' : '"&amp;ROUND(AD681,3)&amp;"', 'pieces_unit' : '"&amp;AI681&amp;"', 'pieces_quantity' : '"&amp;ROUND(AG681,3)&amp;"', 'cooking_notes' : '"&amp;AJ681&amp;"'}).status_code; print('%s :: %s :: %s :: %s :: %s' %(a,"&amp;G681&amp;",'"&amp;X681&amp;"','"&amp;Y681&amp;"','"&amp;U681&amp;"'))"</f>
        <v>#N/A</v>
      </c>
    </row>
    <row r="682" customFormat="false" ht="13.8" hidden="false" customHeight="false" outlineLevel="0" collapsed="false">
      <c r="G682" s="80" t="n">
        <v>682</v>
      </c>
      <c r="H682" s="98"/>
      <c r="I682" s="99"/>
      <c r="J682" s="79"/>
      <c r="K682" s="100"/>
      <c r="L682" s="100"/>
      <c r="M682" s="100"/>
      <c r="N682" s="100"/>
      <c r="O682" s="101"/>
      <c r="P682" s="100"/>
      <c r="Q682" s="102"/>
      <c r="R682" s="99" t="e">
        <f aca="false">VLOOKUP(J682,ingredient!$N$4:$O$553,2,0)</f>
        <v>#N/A</v>
      </c>
      <c r="S682" s="98"/>
      <c r="T682" s="98"/>
      <c r="U682" s="81" t="n">
        <f aca="false">I682</f>
        <v>0</v>
      </c>
      <c r="V682" s="81" t="e">
        <f aca="false">VLOOKUP(U682,recipe_ingred_list!$A$2:$B$300,2,0)</f>
        <v>#N/A</v>
      </c>
      <c r="W682" s="81" t="e">
        <f aca="false">"/recipes/"&amp;VLOOKUP(U682,recipe_ingred_list!$A$2:$C$300,3,0)&amp;"/detail/"</f>
        <v>#N/A</v>
      </c>
      <c r="X682" s="81" t="n">
        <f aca="false">J682</f>
        <v>0</v>
      </c>
      <c r="Y682" s="81" t="e">
        <f aca="false">R682</f>
        <v>#N/A</v>
      </c>
      <c r="Z682" s="94" t="e">
        <f aca="false">VLOOKUP(Y682,recipe_ingred_list!$D$2:$E$500,2,0)</f>
        <v>#N/A</v>
      </c>
      <c r="AA682" s="61" t="n">
        <f aca="false">K682</f>
        <v>0</v>
      </c>
      <c r="AB682" s="61" t="n">
        <f aca="false">L682</f>
        <v>0</v>
      </c>
      <c r="AC682" s="61" t="n">
        <f aca="false">VLOOKUP(AB682,recipe_ingred_list!$K$2:$M$7,3,0)</f>
        <v>2</v>
      </c>
      <c r="AD682" s="61" t="n">
        <f aca="false">M682</f>
        <v>0</v>
      </c>
      <c r="AE682" s="61" t="n">
        <f aca="false">N682</f>
        <v>0</v>
      </c>
      <c r="AF682" s="61" t="n">
        <f aca="false">VLOOKUP(AE682,recipe_ingred_list!$K$16:$M$25,3,0)</f>
        <v>1</v>
      </c>
      <c r="AG682" s="61" t="n">
        <f aca="false">O682</f>
        <v>0</v>
      </c>
      <c r="AH682" s="61" t="n">
        <f aca="false">P682</f>
        <v>0</v>
      </c>
      <c r="AI682" s="61" t="n">
        <f aca="false">VLOOKUP(AH682,recipe_ingred_list!$K$29:$M$34,3,0)</f>
        <v>3</v>
      </c>
      <c r="AJ682" s="61" t="str">
        <f aca="false">IF(Q682="","",Q682)</f>
        <v/>
      </c>
      <c r="AK682" s="61" t="n">
        <f aca="false">AK681+1</f>
        <v>682</v>
      </c>
      <c r="AL682" s="61" t="e">
        <f aca="false">Y682</f>
        <v>#N/A</v>
      </c>
      <c r="AM682" s="81" t="e">
        <f aca="false">"a = Client().post('"&amp;W682&amp;"', {'recipe' : '"&amp;V682&amp;"', 'ingredient' : '"&amp;Z682&amp;"', 'name' : '"&amp;X682&amp;"', 'mass_unit' : '"&amp;AC682&amp;"', 'mass_quantity' : '"&amp;ROUND(AA682,3)&amp;"', 'volume_unit' : '"&amp;AF682&amp;"', 'volume_quantity' : '"&amp;ROUND(AD682,3)&amp;"', 'pieces_unit' : '"&amp;AI682&amp;"', 'pieces_quantity' : '"&amp;ROUND(AG682,3)&amp;"', 'cooking_notes' : '"&amp;AJ682&amp;"'}).status_code; print('%s :: %s :: %s :: %s :: %s' %(a,"&amp;G682&amp;",'"&amp;X682&amp;"','"&amp;Y682&amp;"','"&amp;U682&amp;"'))"</f>
        <v>#N/A</v>
      </c>
    </row>
    <row r="683" customFormat="false" ht="13.8" hidden="false" customHeight="false" outlineLevel="0" collapsed="false">
      <c r="G683" s="80" t="n">
        <v>683</v>
      </c>
      <c r="H683" s="98"/>
      <c r="I683" s="99"/>
      <c r="J683" s="79"/>
      <c r="K683" s="171"/>
      <c r="L683" s="171"/>
      <c r="M683" s="178"/>
      <c r="N683" s="100"/>
      <c r="O683" s="101"/>
      <c r="P683" s="100"/>
      <c r="Q683" s="102"/>
      <c r="R683" s="99" t="e">
        <f aca="false">VLOOKUP(J683,ingredient!$N$4:$O$553,2,0)</f>
        <v>#N/A</v>
      </c>
      <c r="S683" s="98"/>
      <c r="T683" s="98"/>
      <c r="U683" s="81" t="n">
        <f aca="false">I683</f>
        <v>0</v>
      </c>
      <c r="V683" s="81" t="e">
        <f aca="false">VLOOKUP(U683,recipe_ingred_list!$A$2:$B$300,2,0)</f>
        <v>#N/A</v>
      </c>
      <c r="W683" s="81" t="e">
        <f aca="false">"/recipes/"&amp;VLOOKUP(U683,recipe_ingred_list!$A$2:$C$300,3,0)&amp;"/detail/"</f>
        <v>#N/A</v>
      </c>
      <c r="X683" s="81" t="n">
        <f aca="false">J683</f>
        <v>0</v>
      </c>
      <c r="Y683" s="81" t="e">
        <f aca="false">R683</f>
        <v>#N/A</v>
      </c>
      <c r="Z683" s="94" t="e">
        <f aca="false">VLOOKUP(Y683,recipe_ingred_list!$D$2:$E$500,2,0)</f>
        <v>#N/A</v>
      </c>
      <c r="AA683" s="61" t="n">
        <f aca="false">K683</f>
        <v>0</v>
      </c>
      <c r="AB683" s="61" t="n">
        <f aca="false">L683</f>
        <v>0</v>
      </c>
      <c r="AC683" s="61" t="n">
        <f aca="false">VLOOKUP(AB683,recipe_ingred_list!$K$2:$M$7,3,0)</f>
        <v>2</v>
      </c>
      <c r="AD683" s="61" t="n">
        <f aca="false">M683</f>
        <v>0</v>
      </c>
      <c r="AE683" s="61" t="n">
        <f aca="false">N683</f>
        <v>0</v>
      </c>
      <c r="AF683" s="61" t="n">
        <f aca="false">VLOOKUP(AE683,recipe_ingred_list!$K$16:$M$25,3,0)</f>
        <v>1</v>
      </c>
      <c r="AG683" s="61" t="n">
        <f aca="false">O683</f>
        <v>0</v>
      </c>
      <c r="AH683" s="61" t="n">
        <f aca="false">P683</f>
        <v>0</v>
      </c>
      <c r="AI683" s="61" t="n">
        <f aca="false">VLOOKUP(AH683,recipe_ingred_list!$K$29:$M$34,3,0)</f>
        <v>3</v>
      </c>
      <c r="AJ683" s="61" t="str">
        <f aca="false">IF(Q683="","",Q683)</f>
        <v/>
      </c>
      <c r="AK683" s="61" t="n">
        <f aca="false">AK682+1</f>
        <v>683</v>
      </c>
      <c r="AL683" s="61" t="e">
        <f aca="false">Y683</f>
        <v>#N/A</v>
      </c>
      <c r="AM683" s="81" t="e">
        <f aca="false">"a = Client().post('"&amp;W683&amp;"', {'recipe' : '"&amp;V683&amp;"', 'ingredient' : '"&amp;Z683&amp;"', 'name' : '"&amp;X683&amp;"', 'mass_unit' : '"&amp;AC683&amp;"', 'mass_quantity' : '"&amp;ROUND(AA683,3)&amp;"', 'volume_unit' : '"&amp;AF683&amp;"', 'volume_quantity' : '"&amp;ROUND(AD683,3)&amp;"', 'pieces_unit' : '"&amp;AI683&amp;"', 'pieces_quantity' : '"&amp;ROUND(AG683,3)&amp;"', 'cooking_notes' : '"&amp;AJ683&amp;"'}).status_code; print('%s :: %s :: %s :: %s :: %s' %(a,"&amp;G683&amp;",'"&amp;X683&amp;"','"&amp;Y683&amp;"','"&amp;U683&amp;"'))"</f>
        <v>#N/A</v>
      </c>
    </row>
    <row r="684" customFormat="false" ht="13.8" hidden="false" customHeight="false" outlineLevel="0" collapsed="false">
      <c r="G684" s="80" t="n">
        <v>684</v>
      </c>
      <c r="I684" s="172" t="s">
        <v>226</v>
      </c>
      <c r="J684" s="173" t="s">
        <v>744</v>
      </c>
      <c r="M684" s="179"/>
      <c r="O684" s="174" t="n">
        <v>25</v>
      </c>
      <c r="P684" s="174" t="s">
        <v>127</v>
      </c>
      <c r="R684" s="82" t="str">
        <f aca="false">VLOOKUP(J684,ingredient!$N$4:$O$553,2,0)</f>
        <v>dhaniya powder</v>
      </c>
      <c r="U684" s="81" t="str">
        <f aca="false">I684</f>
        <v>Kothimbit wadi</v>
      </c>
      <c r="V684" s="81" t="n">
        <f aca="false">VLOOKUP(U684,recipe_ingred_list!$A$2:$B$300,2,0)</f>
        <v>39</v>
      </c>
      <c r="W684" s="81" t="str">
        <f aca="false">"/recipes/"&amp;VLOOKUP(U684,recipe_ingred_list!$A$2:$C$300,3,0)&amp;"/detail/"</f>
        <v>/recipes/kothimbit-wadi/detail/</v>
      </c>
      <c r="X684" s="81" t="str">
        <f aca="false">J684</f>
        <v>Dhaniya</v>
      </c>
      <c r="Y684" s="81" t="str">
        <f aca="false">R684</f>
        <v>dhaniya powder</v>
      </c>
      <c r="Z684" s="94" t="n">
        <f aca="false">VLOOKUP(Y684,recipe_ingred_list!$D$2:$E$500,2,0)</f>
        <v>67</v>
      </c>
      <c r="AA684" s="61" t="n">
        <f aca="false">K684</f>
        <v>0</v>
      </c>
      <c r="AB684" s="61" t="n">
        <f aca="false">L684</f>
        <v>0</v>
      </c>
      <c r="AC684" s="61" t="n">
        <f aca="false">VLOOKUP(AB684,recipe_ingred_list!$K$2:$M$7,3,0)</f>
        <v>2</v>
      </c>
      <c r="AD684" s="61" t="n">
        <f aca="false">M684</f>
        <v>0</v>
      </c>
      <c r="AE684" s="61" t="n">
        <f aca="false">N684</f>
        <v>0</v>
      </c>
      <c r="AF684" s="61" t="n">
        <f aca="false">VLOOKUP(AE684,recipe_ingred_list!$K$16:$M$25,3,0)</f>
        <v>1</v>
      </c>
      <c r="AG684" s="61" t="n">
        <f aca="false">O684</f>
        <v>25</v>
      </c>
      <c r="AH684" s="61" t="str">
        <f aca="false">P684</f>
        <v>bndl</v>
      </c>
      <c r="AI684" s="61" t="n">
        <f aca="false">VLOOKUP(AH684,recipe_ingred_list!$K$29:$M$34,3,0)</f>
        <v>8</v>
      </c>
      <c r="AJ684" s="61" t="str">
        <f aca="false">IF(Q684="","",Q684)</f>
        <v/>
      </c>
      <c r="AK684" s="61" t="n">
        <f aca="false">AK683+1</f>
        <v>684</v>
      </c>
      <c r="AL684" s="61" t="str">
        <f aca="false">Y684</f>
        <v>dhaniya powder</v>
      </c>
      <c r="AM684" s="81" t="str">
        <f aca="false">"a = Client().post('"&amp;W684&amp;"', {'recipe' : '"&amp;V684&amp;"', 'ingredient' : '"&amp;Z684&amp;"', 'name' : '"&amp;X684&amp;"', 'mass_unit' : '"&amp;AC684&amp;"', 'mass_quantity' : '"&amp;ROUND(AA684,3)&amp;"', 'volume_unit' : '"&amp;AF684&amp;"', 'volume_quantity' : '"&amp;ROUND(AD684,3)&amp;"', 'pieces_unit' : '"&amp;AI684&amp;"', 'pieces_quantity' : '"&amp;ROUND(AG684,3)&amp;"', 'cooking_notes' : '"&amp;AJ684&amp;"'}).status_code; print('%s :: %s :: %s :: %s :: %s' %(a,"&amp;G684&amp;",'"&amp;X684&amp;"','"&amp;Y684&amp;"','"&amp;U684&amp;"'))"</f>
        <v>a = Client().post('/recipes/kothimbit-wadi/detail/', {'recipe' : '39', 'ingredient' : '67', 'name' : 'Dhaniya', 'mass_unit' : '2', 'mass_quantity' : '0', 'volume_unit' : '1', 'volume_quantity' : '0', 'pieces_unit' : '8', 'pieces_quantity' : '25', 'cooking_notes' : ''}).status_code; print('%s :: %s :: %s :: %s :: %s' %(a,684,'Dhaniya','dhaniya powder','Kothimbit wadi'))</v>
      </c>
    </row>
    <row r="685" customFormat="false" ht="13.8" hidden="false" customHeight="false" outlineLevel="0" collapsed="false">
      <c r="G685" s="80" t="n">
        <v>685</v>
      </c>
      <c r="I685" s="172" t="s">
        <v>226</v>
      </c>
      <c r="J685" s="173" t="s">
        <v>745</v>
      </c>
      <c r="M685" s="174" t="n">
        <v>10</v>
      </c>
      <c r="N685" s="174" t="s">
        <v>13</v>
      </c>
      <c r="R685" s="82" t="str">
        <f aca="false">VLOOKUP(J685,ingredient!$N$4:$O$553,2,0)</f>
        <v>besan</v>
      </c>
      <c r="U685" s="81" t="str">
        <f aca="false">I685</f>
        <v>Kothimbit wadi</v>
      </c>
      <c r="V685" s="81" t="n">
        <f aca="false">VLOOKUP(U685,recipe_ingred_list!$A$2:$B$300,2,0)</f>
        <v>39</v>
      </c>
      <c r="W685" s="81" t="str">
        <f aca="false">"/recipes/"&amp;VLOOKUP(U685,recipe_ingred_list!$A$2:$C$300,3,0)&amp;"/detail/"</f>
        <v>/recipes/kothimbit-wadi/detail/</v>
      </c>
      <c r="X685" s="81" t="str">
        <f aca="false">J685</f>
        <v>Besan (Chickpea Flour)</v>
      </c>
      <c r="Y685" s="81" t="str">
        <f aca="false">R685</f>
        <v>besan</v>
      </c>
      <c r="Z685" s="94" t="n">
        <f aca="false">VLOOKUP(Y685,recipe_ingred_list!$D$2:$E$500,2,0)</f>
        <v>28</v>
      </c>
      <c r="AA685" s="61" t="n">
        <f aca="false">K685</f>
        <v>0</v>
      </c>
      <c r="AB685" s="61" t="n">
        <f aca="false">L685</f>
        <v>0</v>
      </c>
      <c r="AC685" s="61" t="n">
        <f aca="false">VLOOKUP(AB685,recipe_ingred_list!$K$2:$M$7,3,0)</f>
        <v>2</v>
      </c>
      <c r="AD685" s="61" t="n">
        <f aca="false">M685</f>
        <v>10</v>
      </c>
      <c r="AE685" s="61" t="str">
        <f aca="false">N685</f>
        <v>ltr</v>
      </c>
      <c r="AF685" s="61" t="n">
        <f aca="false">VLOOKUP(AE685,recipe_ingred_list!$K$16:$M$25,3,0)</f>
        <v>1</v>
      </c>
      <c r="AG685" s="61" t="n">
        <f aca="false">O685</f>
        <v>0</v>
      </c>
      <c r="AH685" s="61" t="n">
        <f aca="false">P685</f>
        <v>0</v>
      </c>
      <c r="AI685" s="61" t="n">
        <f aca="false">VLOOKUP(AH685,recipe_ingred_list!$K$29:$M$34,3,0)</f>
        <v>3</v>
      </c>
      <c r="AJ685" s="61" t="str">
        <f aca="false">IF(Q685="","",Q685)</f>
        <v/>
      </c>
      <c r="AK685" s="61" t="n">
        <f aca="false">AK684+1</f>
        <v>685</v>
      </c>
      <c r="AL685" s="61" t="str">
        <f aca="false">Y685</f>
        <v>besan</v>
      </c>
      <c r="AM685" s="81" t="str">
        <f aca="false">"a = Client().post('"&amp;W685&amp;"', {'recipe' : '"&amp;V685&amp;"', 'ingredient' : '"&amp;Z685&amp;"', 'name' : '"&amp;X685&amp;"', 'mass_unit' : '"&amp;AC685&amp;"', 'mass_quantity' : '"&amp;ROUND(AA685,3)&amp;"', 'volume_unit' : '"&amp;AF685&amp;"', 'volume_quantity' : '"&amp;ROUND(AD685,3)&amp;"', 'pieces_unit' : '"&amp;AI685&amp;"', 'pieces_quantity' : '"&amp;ROUND(AG685,3)&amp;"', 'cooking_notes' : '"&amp;AJ685&amp;"'}).status_code; print('%s :: %s :: %s :: %s :: %s' %(a,"&amp;G685&amp;",'"&amp;X685&amp;"','"&amp;Y685&amp;"','"&amp;U685&amp;"'))"</f>
        <v>a = Client().post('/recipes/kothimbit-wadi/detail/', {'recipe' : '39', 'ingredient' : '28', 'name' : 'Besan (Chickpea Flour)', 'mass_unit' : '2', 'mass_quantity' : '0', 'volume_unit' : '1', 'volume_quantity' : '10', 'pieces_unit' : '3', 'pieces_quantity' : '0', 'cooking_notes' : ''}).status_code; print('%s :: %s :: %s :: %s :: %s' %(a,685,'Besan (Chickpea Flour)','besan','Kothimbit wadi'))</v>
      </c>
    </row>
    <row r="686" customFormat="false" ht="13.8" hidden="false" customHeight="false" outlineLevel="0" collapsed="false">
      <c r="G686" s="80" t="n">
        <v>686</v>
      </c>
      <c r="I686" s="172" t="s">
        <v>226</v>
      </c>
      <c r="J686" s="173" t="s">
        <v>746</v>
      </c>
      <c r="M686" s="174" t="n">
        <v>0.5</v>
      </c>
      <c r="N686" s="174" t="s">
        <v>13</v>
      </c>
      <c r="R686" s="82" t="str">
        <f aca="false">VLOOKUP(J686,ingredient!$N$4:$O$553,2,0)</f>
        <v>rice flour</v>
      </c>
      <c r="U686" s="81" t="str">
        <f aca="false">I686</f>
        <v>Kothimbit wadi</v>
      </c>
      <c r="V686" s="81" t="n">
        <f aca="false">VLOOKUP(U686,recipe_ingred_list!$A$2:$B$300,2,0)</f>
        <v>39</v>
      </c>
      <c r="W686" s="81" t="str">
        <f aca="false">"/recipes/"&amp;VLOOKUP(U686,recipe_ingred_list!$A$2:$C$300,3,0)&amp;"/detail/"</f>
        <v>/recipes/kothimbit-wadi/detail/</v>
      </c>
      <c r="X686" s="81" t="str">
        <f aca="false">J686</f>
        <v>Rice Flour</v>
      </c>
      <c r="Y686" s="81" t="str">
        <f aca="false">R686</f>
        <v>rice flour</v>
      </c>
      <c r="Z686" s="94" t="n">
        <f aca="false">VLOOKUP(Y686,recipe_ingred_list!$D$2:$E$500,2,0)</f>
        <v>171</v>
      </c>
      <c r="AA686" s="61" t="n">
        <f aca="false">K686</f>
        <v>0</v>
      </c>
      <c r="AB686" s="61" t="n">
        <f aca="false">L686</f>
        <v>0</v>
      </c>
      <c r="AC686" s="61" t="n">
        <f aca="false">VLOOKUP(AB686,recipe_ingred_list!$K$2:$M$7,3,0)</f>
        <v>2</v>
      </c>
      <c r="AD686" s="61" t="n">
        <f aca="false">M686</f>
        <v>0.5</v>
      </c>
      <c r="AE686" s="61" t="str">
        <f aca="false">N686</f>
        <v>ltr</v>
      </c>
      <c r="AF686" s="61" t="n">
        <f aca="false">VLOOKUP(AE686,recipe_ingred_list!$K$16:$M$25,3,0)</f>
        <v>1</v>
      </c>
      <c r="AG686" s="61" t="n">
        <f aca="false">O686</f>
        <v>0</v>
      </c>
      <c r="AH686" s="61" t="n">
        <f aca="false">P686</f>
        <v>0</v>
      </c>
      <c r="AI686" s="61" t="n">
        <f aca="false">VLOOKUP(AH686,recipe_ingred_list!$K$29:$M$34,3,0)</f>
        <v>3</v>
      </c>
      <c r="AJ686" s="61" t="str">
        <f aca="false">IF(Q686="","",Q686)</f>
        <v/>
      </c>
      <c r="AK686" s="61" t="n">
        <f aca="false">AK685+1</f>
        <v>686</v>
      </c>
      <c r="AL686" s="61" t="str">
        <f aca="false">Y686</f>
        <v>rice flour</v>
      </c>
      <c r="AM686" s="81" t="str">
        <f aca="false">"a = Client().post('"&amp;W686&amp;"', {'recipe' : '"&amp;V686&amp;"', 'ingredient' : '"&amp;Z686&amp;"', 'name' : '"&amp;X686&amp;"', 'mass_unit' : '"&amp;AC686&amp;"', 'mass_quantity' : '"&amp;ROUND(AA686,3)&amp;"', 'volume_unit' : '"&amp;AF686&amp;"', 'volume_quantity' : '"&amp;ROUND(AD686,3)&amp;"', 'pieces_unit' : '"&amp;AI686&amp;"', 'pieces_quantity' : '"&amp;ROUND(AG686,3)&amp;"', 'cooking_notes' : '"&amp;AJ686&amp;"'}).status_code; print('%s :: %s :: %s :: %s :: %s' %(a,"&amp;G686&amp;",'"&amp;X686&amp;"','"&amp;Y686&amp;"','"&amp;U686&amp;"'))"</f>
        <v>a = Client().post('/recipes/kothimbit-wadi/detail/', {'recipe' : '39', 'ingredient' : '171', 'name' : 'Rice Flour', 'mass_unit' : '2', 'mass_quantity' : '0', 'volume_unit' : '1', 'volume_quantity' : '0.5', 'pieces_unit' : '3', 'pieces_quantity' : '0', 'cooking_notes' : ''}).status_code; print('%s :: %s :: %s :: %s :: %s' %(a,686,'Rice Flour','rice flour','Kothimbit wadi'))</v>
      </c>
    </row>
    <row r="687" customFormat="false" ht="13.8" hidden="false" customHeight="false" outlineLevel="0" collapsed="false">
      <c r="G687" s="80" t="n">
        <v>687</v>
      </c>
      <c r="I687" s="172" t="s">
        <v>226</v>
      </c>
      <c r="J687" s="173" t="s">
        <v>578</v>
      </c>
      <c r="M687" s="174" t="n">
        <v>10</v>
      </c>
      <c r="N687" s="174" t="s">
        <v>13</v>
      </c>
      <c r="R687" s="82" t="str">
        <f aca="false">VLOOKUP(J687,ingredient!$N$4:$O$553,2,0)</f>
        <v>water</v>
      </c>
      <c r="U687" s="81" t="str">
        <f aca="false">I687</f>
        <v>Kothimbit wadi</v>
      </c>
      <c r="V687" s="81" t="n">
        <f aca="false">VLOOKUP(U687,recipe_ingred_list!$A$2:$B$300,2,0)</f>
        <v>39</v>
      </c>
      <c r="W687" s="81" t="str">
        <f aca="false">"/recipes/"&amp;VLOOKUP(U687,recipe_ingred_list!$A$2:$C$300,3,0)&amp;"/detail/"</f>
        <v>/recipes/kothimbit-wadi/detail/</v>
      </c>
      <c r="X687" s="81" t="str">
        <f aca="false">J687</f>
        <v>Water</v>
      </c>
      <c r="Y687" s="81" t="str">
        <f aca="false">R687</f>
        <v>water</v>
      </c>
      <c r="Z687" s="94" t="n">
        <f aca="false">VLOOKUP(Y687,recipe_ingred_list!$D$2:$E$500,2,0)</f>
        <v>214</v>
      </c>
      <c r="AA687" s="61" t="n">
        <f aca="false">K687</f>
        <v>0</v>
      </c>
      <c r="AB687" s="61" t="n">
        <f aca="false">L687</f>
        <v>0</v>
      </c>
      <c r="AC687" s="61" t="n">
        <f aca="false">VLOOKUP(AB687,recipe_ingred_list!$K$2:$M$7,3,0)</f>
        <v>2</v>
      </c>
      <c r="AD687" s="61" t="n">
        <f aca="false">M687</f>
        <v>10</v>
      </c>
      <c r="AE687" s="61" t="str">
        <f aca="false">N687</f>
        <v>ltr</v>
      </c>
      <c r="AF687" s="61" t="n">
        <f aca="false">VLOOKUP(AE687,recipe_ingred_list!$K$16:$M$25,3,0)</f>
        <v>1</v>
      </c>
      <c r="AG687" s="61" t="n">
        <f aca="false">O687</f>
        <v>0</v>
      </c>
      <c r="AH687" s="61" t="n">
        <f aca="false">P687</f>
        <v>0</v>
      </c>
      <c r="AI687" s="61" t="n">
        <f aca="false">VLOOKUP(AH687,recipe_ingred_list!$K$29:$M$34,3,0)</f>
        <v>3</v>
      </c>
      <c r="AJ687" s="61" t="str">
        <f aca="false">IF(Q687="","",Q687)</f>
        <v/>
      </c>
      <c r="AK687" s="61" t="n">
        <f aca="false">AK686+1</f>
        <v>687</v>
      </c>
      <c r="AL687" s="61" t="str">
        <f aca="false">Y687</f>
        <v>water</v>
      </c>
      <c r="AM687" s="81" t="str">
        <f aca="false">"a = Client().post('"&amp;W687&amp;"', {'recipe' : '"&amp;V687&amp;"', 'ingredient' : '"&amp;Z687&amp;"', 'name' : '"&amp;X687&amp;"', 'mass_unit' : '"&amp;AC687&amp;"', 'mass_quantity' : '"&amp;ROUND(AA687,3)&amp;"', 'volume_unit' : '"&amp;AF687&amp;"', 'volume_quantity' : '"&amp;ROUND(AD687,3)&amp;"', 'pieces_unit' : '"&amp;AI687&amp;"', 'pieces_quantity' : '"&amp;ROUND(AG687,3)&amp;"', 'cooking_notes' : '"&amp;AJ687&amp;"'}).status_code; print('%s :: %s :: %s :: %s :: %s' %(a,"&amp;G687&amp;",'"&amp;X687&amp;"','"&amp;Y687&amp;"','"&amp;U687&amp;"'))"</f>
        <v>a = Client().post('/recipes/kothimbit-wadi/detail/', {'recipe' : '39', 'ingredient' : '214', 'name' : 'Water', 'mass_unit' : '2', 'mass_quantity' : '0', 'volume_unit' : '1', 'volume_quantity' : '10', 'pieces_unit' : '3', 'pieces_quantity' : '0', 'cooking_notes' : ''}).status_code; print('%s :: %s :: %s :: %s :: %s' %(a,687,'Water','water','Kothimbit wadi'))</v>
      </c>
    </row>
    <row r="688" customFormat="false" ht="13.8" hidden="false" customHeight="false" outlineLevel="0" collapsed="false">
      <c r="G688" s="80" t="n">
        <v>688</v>
      </c>
      <c r="I688" s="172" t="s">
        <v>226</v>
      </c>
      <c r="J688" s="173" t="s">
        <v>563</v>
      </c>
      <c r="M688" s="174" t="n">
        <v>0.5</v>
      </c>
      <c r="N688" s="174" t="s">
        <v>13</v>
      </c>
      <c r="R688" s="82" t="str">
        <f aca="false">VLOOKUP(J688,ingredient!$N$4:$O$553,2,0)</f>
        <v>hari mirchi</v>
      </c>
      <c r="U688" s="81" t="str">
        <f aca="false">I688</f>
        <v>Kothimbit wadi</v>
      </c>
      <c r="V688" s="81" t="n">
        <f aca="false">VLOOKUP(U688,recipe_ingred_list!$A$2:$B$300,2,0)</f>
        <v>39</v>
      </c>
      <c r="W688" s="81" t="str">
        <f aca="false">"/recipes/"&amp;VLOOKUP(U688,recipe_ingred_list!$A$2:$C$300,3,0)&amp;"/detail/"</f>
        <v>/recipes/kothimbit-wadi/detail/</v>
      </c>
      <c r="X688" s="81" t="str">
        <f aca="false">J688</f>
        <v>Green chilly</v>
      </c>
      <c r="Y688" s="81" t="str">
        <f aca="false">R688</f>
        <v>hari mirchi</v>
      </c>
      <c r="Z688" s="94" t="n">
        <f aca="false">VLOOKUP(Y688,recipe_ingred_list!$D$2:$E$500,2,0)</f>
        <v>93</v>
      </c>
      <c r="AA688" s="61" t="n">
        <f aca="false">K688</f>
        <v>0</v>
      </c>
      <c r="AB688" s="61" t="n">
        <f aca="false">L688</f>
        <v>0</v>
      </c>
      <c r="AC688" s="61" t="n">
        <f aca="false">VLOOKUP(AB688,recipe_ingred_list!$K$2:$M$7,3,0)</f>
        <v>2</v>
      </c>
      <c r="AD688" s="61" t="n">
        <f aca="false">M688</f>
        <v>0.5</v>
      </c>
      <c r="AE688" s="61" t="str">
        <f aca="false">N688</f>
        <v>ltr</v>
      </c>
      <c r="AF688" s="61" t="n">
        <f aca="false">VLOOKUP(AE688,recipe_ingred_list!$K$16:$M$25,3,0)</f>
        <v>1</v>
      </c>
      <c r="AG688" s="61" t="n">
        <f aca="false">O688</f>
        <v>0</v>
      </c>
      <c r="AH688" s="61" t="n">
        <f aca="false">P688</f>
        <v>0</v>
      </c>
      <c r="AI688" s="61" t="n">
        <f aca="false">VLOOKUP(AH688,recipe_ingred_list!$K$29:$M$34,3,0)</f>
        <v>3</v>
      </c>
      <c r="AJ688" s="61" t="str">
        <f aca="false">IF(Q688="","",Q688)</f>
        <v/>
      </c>
      <c r="AK688" s="61" t="n">
        <f aca="false">AK687+1</f>
        <v>688</v>
      </c>
      <c r="AL688" s="61" t="str">
        <f aca="false">Y688</f>
        <v>hari mirchi</v>
      </c>
      <c r="AM688" s="81" t="str">
        <f aca="false">"a = Client().post('"&amp;W688&amp;"', {'recipe' : '"&amp;V688&amp;"', 'ingredient' : '"&amp;Z688&amp;"', 'name' : '"&amp;X688&amp;"', 'mass_unit' : '"&amp;AC688&amp;"', 'mass_quantity' : '"&amp;ROUND(AA688,3)&amp;"', 'volume_unit' : '"&amp;AF688&amp;"', 'volume_quantity' : '"&amp;ROUND(AD688,3)&amp;"', 'pieces_unit' : '"&amp;AI688&amp;"', 'pieces_quantity' : '"&amp;ROUND(AG688,3)&amp;"', 'cooking_notes' : '"&amp;AJ688&amp;"'}).status_code; print('%s :: %s :: %s :: %s :: %s' %(a,"&amp;G688&amp;",'"&amp;X688&amp;"','"&amp;Y688&amp;"','"&amp;U688&amp;"'))"</f>
        <v>a = Client().post('/recipes/kothimbit-wadi/detail/', {'recipe' : '39', 'ingredient' : '93', 'name' : 'Green chilly', 'mass_unit' : '2', 'mass_quantity' : '0', 'volume_unit' : '1', 'volume_quantity' : '0.5', 'pieces_unit' : '3', 'pieces_quantity' : '0', 'cooking_notes' : ''}).status_code; print('%s :: %s :: %s :: %s :: %s' %(a,688,'Green chilly','hari mirchi','Kothimbit wadi'))</v>
      </c>
    </row>
    <row r="689" customFormat="false" ht="13.8" hidden="false" customHeight="false" outlineLevel="0" collapsed="false">
      <c r="G689" s="80" t="n">
        <v>689</v>
      </c>
      <c r="I689" s="172" t="s">
        <v>226</v>
      </c>
      <c r="J689" s="173" t="s">
        <v>747</v>
      </c>
      <c r="M689" s="174" t="n">
        <v>0.5</v>
      </c>
      <c r="N689" s="174" t="s">
        <v>13</v>
      </c>
      <c r="R689" s="82" t="str">
        <f aca="false">VLOOKUP(J689,ingredient!$N$4:$O$553,2,0)</f>
        <v>adrak</v>
      </c>
      <c r="U689" s="81" t="str">
        <f aca="false">I689</f>
        <v>Kothimbit wadi</v>
      </c>
      <c r="V689" s="81" t="n">
        <f aca="false">VLOOKUP(U689,recipe_ingred_list!$A$2:$B$300,2,0)</f>
        <v>39</v>
      </c>
      <c r="W689" s="81" t="str">
        <f aca="false">"/recipes/"&amp;VLOOKUP(U689,recipe_ingred_list!$A$2:$C$300,3,0)&amp;"/detail/"</f>
        <v>/recipes/kothimbit-wadi/detail/</v>
      </c>
      <c r="X689" s="81" t="str">
        <f aca="false">J689</f>
        <v>Adrak Paste</v>
      </c>
      <c r="Y689" s="81" t="str">
        <f aca="false">R689</f>
        <v>adrak</v>
      </c>
      <c r="Z689" s="94" t="n">
        <f aca="false">VLOOKUP(Y689,recipe_ingred_list!$D$2:$E$500,2,0)</f>
        <v>1</v>
      </c>
      <c r="AA689" s="61" t="n">
        <f aca="false">K689</f>
        <v>0</v>
      </c>
      <c r="AB689" s="61" t="n">
        <f aca="false">L689</f>
        <v>0</v>
      </c>
      <c r="AC689" s="61" t="n">
        <f aca="false">VLOOKUP(AB689,recipe_ingred_list!$K$2:$M$7,3,0)</f>
        <v>2</v>
      </c>
      <c r="AD689" s="61" t="n">
        <f aca="false">M689</f>
        <v>0.5</v>
      </c>
      <c r="AE689" s="61" t="str">
        <f aca="false">N689</f>
        <v>ltr</v>
      </c>
      <c r="AF689" s="61" t="n">
        <f aca="false">VLOOKUP(AE689,recipe_ingred_list!$K$16:$M$25,3,0)</f>
        <v>1</v>
      </c>
      <c r="AG689" s="61" t="n">
        <f aca="false">O689</f>
        <v>0</v>
      </c>
      <c r="AH689" s="61" t="n">
        <f aca="false">P689</f>
        <v>0</v>
      </c>
      <c r="AI689" s="61" t="n">
        <f aca="false">VLOOKUP(AH689,recipe_ingred_list!$K$29:$M$34,3,0)</f>
        <v>3</v>
      </c>
      <c r="AJ689" s="61" t="str">
        <f aca="false">IF(Q689="","",Q689)</f>
        <v/>
      </c>
      <c r="AK689" s="61" t="n">
        <f aca="false">AK688+1</f>
        <v>689</v>
      </c>
      <c r="AL689" s="61" t="str">
        <f aca="false">Y689</f>
        <v>adrak</v>
      </c>
      <c r="AM689" s="81" t="str">
        <f aca="false">"a = Client().post('"&amp;W689&amp;"', {'recipe' : '"&amp;V689&amp;"', 'ingredient' : '"&amp;Z689&amp;"', 'name' : '"&amp;X689&amp;"', 'mass_unit' : '"&amp;AC689&amp;"', 'mass_quantity' : '"&amp;ROUND(AA689,3)&amp;"', 'volume_unit' : '"&amp;AF689&amp;"', 'volume_quantity' : '"&amp;ROUND(AD689,3)&amp;"', 'pieces_unit' : '"&amp;AI689&amp;"', 'pieces_quantity' : '"&amp;ROUND(AG689,3)&amp;"', 'cooking_notes' : '"&amp;AJ689&amp;"'}).status_code; print('%s :: %s :: %s :: %s :: %s' %(a,"&amp;G689&amp;",'"&amp;X689&amp;"','"&amp;Y689&amp;"','"&amp;U689&amp;"'))"</f>
        <v>a = Client().post('/recipes/kothimbit-wadi/detail/', {'recipe' : '39', 'ingredient' : '1', 'name' : 'Adrak Paste', 'mass_unit' : '2', 'mass_quantity' : '0', 'volume_unit' : '1', 'volume_quantity' : '0.5', 'pieces_unit' : '3', 'pieces_quantity' : '0', 'cooking_notes' : ''}).status_code; print('%s :: %s :: %s :: %s :: %s' %(a,689,'Adrak Paste','adrak','Kothimbit wadi'))</v>
      </c>
    </row>
    <row r="690" customFormat="false" ht="13.8" hidden="false" customHeight="false" outlineLevel="0" collapsed="false">
      <c r="G690" s="80" t="n">
        <v>690</v>
      </c>
      <c r="I690" s="172" t="s">
        <v>226</v>
      </c>
      <c r="J690" s="173" t="s">
        <v>748</v>
      </c>
      <c r="M690" s="174" t="n">
        <v>300</v>
      </c>
      <c r="N690" s="174" t="s">
        <v>143</v>
      </c>
      <c r="R690" s="82" t="str">
        <f aca="false">VLOOKUP(J690,ingredient!$N$4:$O$553,2,0)</f>
        <v>dhaniya powder</v>
      </c>
      <c r="U690" s="81" t="str">
        <f aca="false">I690</f>
        <v>Kothimbit wadi</v>
      </c>
      <c r="V690" s="81" t="n">
        <f aca="false">VLOOKUP(U690,recipe_ingred_list!$A$2:$B$300,2,0)</f>
        <v>39</v>
      </c>
      <c r="W690" s="81" t="str">
        <f aca="false">"/recipes/"&amp;VLOOKUP(U690,recipe_ingred_list!$A$2:$C$300,3,0)&amp;"/detail/"</f>
        <v>/recipes/kothimbit-wadi/detail/</v>
      </c>
      <c r="X690" s="81" t="str">
        <f aca="false">J690</f>
        <v>Dhania Powder (Coriander Pdr)</v>
      </c>
      <c r="Y690" s="81" t="str">
        <f aca="false">R690</f>
        <v>dhaniya powder</v>
      </c>
      <c r="Z690" s="94" t="n">
        <f aca="false">VLOOKUP(Y690,recipe_ingred_list!$D$2:$E$500,2,0)</f>
        <v>67</v>
      </c>
      <c r="AA690" s="61" t="n">
        <f aca="false">K690</f>
        <v>0</v>
      </c>
      <c r="AB690" s="61" t="n">
        <f aca="false">L690</f>
        <v>0</v>
      </c>
      <c r="AC690" s="61" t="n">
        <f aca="false">VLOOKUP(AB690,recipe_ingred_list!$K$2:$M$7,3,0)</f>
        <v>2</v>
      </c>
      <c r="AD690" s="61" t="n">
        <f aca="false">M690</f>
        <v>300</v>
      </c>
      <c r="AE690" s="61" t="str">
        <f aca="false">N690</f>
        <v>ml</v>
      </c>
      <c r="AF690" s="61" t="n">
        <f aca="false">VLOOKUP(AE690,recipe_ingred_list!$K$16:$M$25,3,0)</f>
        <v>12</v>
      </c>
      <c r="AG690" s="61" t="n">
        <f aca="false">O690</f>
        <v>0</v>
      </c>
      <c r="AH690" s="61" t="n">
        <f aca="false">P690</f>
        <v>0</v>
      </c>
      <c r="AI690" s="61" t="n">
        <f aca="false">VLOOKUP(AH690,recipe_ingred_list!$K$29:$M$34,3,0)</f>
        <v>3</v>
      </c>
      <c r="AJ690" s="61" t="str">
        <f aca="false">IF(Q690="","",Q690)</f>
        <v/>
      </c>
      <c r="AK690" s="61" t="n">
        <f aca="false">AK689+1</f>
        <v>690</v>
      </c>
      <c r="AL690" s="61" t="str">
        <f aca="false">Y690</f>
        <v>dhaniya powder</v>
      </c>
      <c r="AM690" s="81" t="str">
        <f aca="false">"a = Client().post('"&amp;W690&amp;"', {'recipe' : '"&amp;V690&amp;"', 'ingredient' : '"&amp;Z690&amp;"', 'name' : '"&amp;X690&amp;"', 'mass_unit' : '"&amp;AC690&amp;"', 'mass_quantity' : '"&amp;ROUND(AA690,3)&amp;"', 'volume_unit' : '"&amp;AF690&amp;"', 'volume_quantity' : '"&amp;ROUND(AD690,3)&amp;"', 'pieces_unit' : '"&amp;AI690&amp;"', 'pieces_quantity' : '"&amp;ROUND(AG690,3)&amp;"', 'cooking_notes' : '"&amp;AJ690&amp;"'}).status_code; print('%s :: %s :: %s :: %s :: %s' %(a,"&amp;G690&amp;",'"&amp;X690&amp;"','"&amp;Y690&amp;"','"&amp;U690&amp;"'))"</f>
        <v>a = Client().post('/recipes/kothimbit-wadi/detail/', {'recipe' : '39', 'ingredient' : '67', 'name' : 'Dhania Powder (Coriander Pdr)', 'mass_unit' : '2', 'mass_quantity' : '0', 'volume_unit' : '12', 'volume_quantity' : '300', 'pieces_unit' : '3', 'pieces_quantity' : '0', 'cooking_notes' : ''}).status_code; print('%s :: %s :: %s :: %s :: %s' %(a,690,'Dhania Powder (Coriander Pdr)','dhaniya powder','Kothimbit wadi'))</v>
      </c>
    </row>
    <row r="691" customFormat="false" ht="13.8" hidden="false" customHeight="false" outlineLevel="0" collapsed="false">
      <c r="G691" s="80" t="n">
        <v>691</v>
      </c>
      <c r="I691" s="172" t="s">
        <v>226</v>
      </c>
      <c r="J691" s="173" t="s">
        <v>749</v>
      </c>
      <c r="M691" s="174" t="n">
        <v>300</v>
      </c>
      <c r="N691" s="174" t="s">
        <v>143</v>
      </c>
      <c r="R691" s="82" t="str">
        <f aca="false">VLOOKUP(J691,ingredient!$N$4:$O$553,2,0)</f>
        <v>jeera powder</v>
      </c>
      <c r="U691" s="81" t="str">
        <f aca="false">I691</f>
        <v>Kothimbit wadi</v>
      </c>
      <c r="V691" s="81" t="n">
        <f aca="false">VLOOKUP(U691,recipe_ingred_list!$A$2:$B$300,2,0)</f>
        <v>39</v>
      </c>
      <c r="W691" s="81" t="str">
        <f aca="false">"/recipes/"&amp;VLOOKUP(U691,recipe_ingred_list!$A$2:$C$300,3,0)&amp;"/detail/"</f>
        <v>/recipes/kothimbit-wadi/detail/</v>
      </c>
      <c r="X691" s="81" t="str">
        <f aca="false">J691</f>
        <v>Zeera Powder (Cumin Pdr)</v>
      </c>
      <c r="Y691" s="81" t="str">
        <f aca="false">R691</f>
        <v>jeera powder</v>
      </c>
      <c r="Z691" s="94" t="n">
        <f aca="false">VLOOKUP(Y691,recipe_ingred_list!$D$2:$E$500,2,0)</f>
        <v>103</v>
      </c>
      <c r="AA691" s="61" t="n">
        <f aca="false">K691</f>
        <v>0</v>
      </c>
      <c r="AB691" s="61" t="n">
        <f aca="false">L691</f>
        <v>0</v>
      </c>
      <c r="AC691" s="61" t="n">
        <f aca="false">VLOOKUP(AB691,recipe_ingred_list!$K$2:$M$7,3,0)</f>
        <v>2</v>
      </c>
      <c r="AD691" s="61" t="n">
        <f aca="false">M691</f>
        <v>300</v>
      </c>
      <c r="AE691" s="61" t="str">
        <f aca="false">N691</f>
        <v>ml</v>
      </c>
      <c r="AF691" s="61" t="n">
        <f aca="false">VLOOKUP(AE691,recipe_ingred_list!$K$16:$M$25,3,0)</f>
        <v>12</v>
      </c>
      <c r="AG691" s="61" t="n">
        <f aca="false">O691</f>
        <v>0</v>
      </c>
      <c r="AH691" s="61" t="n">
        <f aca="false">P691</f>
        <v>0</v>
      </c>
      <c r="AI691" s="61" t="n">
        <f aca="false">VLOOKUP(AH691,recipe_ingred_list!$K$29:$M$34,3,0)</f>
        <v>3</v>
      </c>
      <c r="AJ691" s="61" t="str">
        <f aca="false">IF(Q691="","",Q691)</f>
        <v/>
      </c>
      <c r="AK691" s="61" t="n">
        <f aca="false">AK690+1</f>
        <v>691</v>
      </c>
      <c r="AL691" s="61" t="str">
        <f aca="false">Y691</f>
        <v>jeera powder</v>
      </c>
      <c r="AM691" s="81" t="str">
        <f aca="false">"a = Client().post('"&amp;W691&amp;"', {'recipe' : '"&amp;V691&amp;"', 'ingredient' : '"&amp;Z691&amp;"', 'name' : '"&amp;X691&amp;"', 'mass_unit' : '"&amp;AC691&amp;"', 'mass_quantity' : '"&amp;ROUND(AA691,3)&amp;"', 'volume_unit' : '"&amp;AF691&amp;"', 'volume_quantity' : '"&amp;ROUND(AD691,3)&amp;"', 'pieces_unit' : '"&amp;AI691&amp;"', 'pieces_quantity' : '"&amp;ROUND(AG691,3)&amp;"', 'cooking_notes' : '"&amp;AJ691&amp;"'}).status_code; print('%s :: %s :: %s :: %s :: %s' %(a,"&amp;G691&amp;",'"&amp;X691&amp;"','"&amp;Y691&amp;"','"&amp;U691&amp;"'))"</f>
        <v>a = Client().post('/recipes/kothimbit-wadi/detail/', {'recipe' : '39', 'ingredient' : '103', 'name' : 'Zeera Powder (Cumin Pdr)', 'mass_unit' : '2', 'mass_quantity' : '0', 'volume_unit' : '12', 'volume_quantity' : '300', 'pieces_unit' : '3', 'pieces_quantity' : '0', 'cooking_notes' : ''}).status_code; print('%s :: %s :: %s :: %s :: %s' %(a,691,'Zeera Powder (Cumin Pdr)','jeera powder','Kothimbit wadi'))</v>
      </c>
    </row>
    <row r="692" customFormat="false" ht="13.8" hidden="false" customHeight="false" outlineLevel="0" collapsed="false">
      <c r="G692" s="80" t="n">
        <v>692</v>
      </c>
      <c r="I692" s="172" t="s">
        <v>226</v>
      </c>
      <c r="J692" s="173" t="s">
        <v>750</v>
      </c>
      <c r="M692" s="174" t="n">
        <v>300</v>
      </c>
      <c r="N692" s="174" t="s">
        <v>143</v>
      </c>
      <c r="R692" s="82" t="str">
        <f aca="false">VLOOKUP(J692,ingredient!$N$4:$O$553,2,0)</f>
        <v>haldi</v>
      </c>
      <c r="U692" s="81" t="str">
        <f aca="false">I692</f>
        <v>Kothimbit wadi</v>
      </c>
      <c r="V692" s="81" t="n">
        <f aca="false">VLOOKUP(U692,recipe_ingred_list!$A$2:$B$300,2,0)</f>
        <v>39</v>
      </c>
      <c r="W692" s="81" t="str">
        <f aca="false">"/recipes/"&amp;VLOOKUP(U692,recipe_ingred_list!$A$2:$C$300,3,0)&amp;"/detail/"</f>
        <v>/recipes/kothimbit-wadi/detail/</v>
      </c>
      <c r="X692" s="81" t="str">
        <f aca="false">J692</f>
        <v>Haldi (Turmeric Pdr)</v>
      </c>
      <c r="Y692" s="81" t="str">
        <f aca="false">R692</f>
        <v>haldi</v>
      </c>
      <c r="Z692" s="94" t="n">
        <f aca="false">VLOOKUP(Y692,recipe_ingred_list!$D$2:$E$500,2,0)</f>
        <v>91</v>
      </c>
      <c r="AA692" s="61" t="n">
        <f aca="false">K692</f>
        <v>0</v>
      </c>
      <c r="AB692" s="61" t="n">
        <f aca="false">L692</f>
        <v>0</v>
      </c>
      <c r="AC692" s="61" t="n">
        <f aca="false">VLOOKUP(AB692,recipe_ingred_list!$K$2:$M$7,3,0)</f>
        <v>2</v>
      </c>
      <c r="AD692" s="61" t="n">
        <f aca="false">M692</f>
        <v>300</v>
      </c>
      <c r="AE692" s="61" t="str">
        <f aca="false">N692</f>
        <v>ml</v>
      </c>
      <c r="AF692" s="61" t="n">
        <f aca="false">VLOOKUP(AE692,recipe_ingred_list!$K$16:$M$25,3,0)</f>
        <v>12</v>
      </c>
      <c r="AG692" s="61" t="n">
        <f aca="false">O692</f>
        <v>0</v>
      </c>
      <c r="AH692" s="61" t="n">
        <f aca="false">P692</f>
        <v>0</v>
      </c>
      <c r="AI692" s="61" t="n">
        <f aca="false">VLOOKUP(AH692,recipe_ingred_list!$K$29:$M$34,3,0)</f>
        <v>3</v>
      </c>
      <c r="AJ692" s="61" t="str">
        <f aca="false">IF(Q692="","",Q692)</f>
        <v/>
      </c>
      <c r="AK692" s="61" t="n">
        <f aca="false">AK691+1</f>
        <v>692</v>
      </c>
      <c r="AL692" s="61" t="str">
        <f aca="false">Y692</f>
        <v>haldi</v>
      </c>
      <c r="AM692" s="81" t="str">
        <f aca="false">"a = Client().post('"&amp;W692&amp;"', {'recipe' : '"&amp;V692&amp;"', 'ingredient' : '"&amp;Z692&amp;"', 'name' : '"&amp;X692&amp;"', 'mass_unit' : '"&amp;AC692&amp;"', 'mass_quantity' : '"&amp;ROUND(AA692,3)&amp;"', 'volume_unit' : '"&amp;AF692&amp;"', 'volume_quantity' : '"&amp;ROUND(AD692,3)&amp;"', 'pieces_unit' : '"&amp;AI692&amp;"', 'pieces_quantity' : '"&amp;ROUND(AG692,3)&amp;"', 'cooking_notes' : '"&amp;AJ692&amp;"'}).status_code; print('%s :: %s :: %s :: %s :: %s' %(a,"&amp;G692&amp;",'"&amp;X692&amp;"','"&amp;Y692&amp;"','"&amp;U692&amp;"'))"</f>
        <v>a = Client().post('/recipes/kothimbit-wadi/detail/', {'recipe' : '39', 'ingredient' : '91', 'name' : 'Haldi (Turmeric Pdr)', 'mass_unit' : '2', 'mass_quantity' : '0', 'volume_unit' : '12', 'volume_quantity' : '300', 'pieces_unit' : '3', 'pieces_quantity' : '0', 'cooking_notes' : ''}).status_code; print('%s :: %s :: %s :: %s :: %s' %(a,692,'Haldi (Turmeric Pdr)','haldi','Kothimbit wadi'))</v>
      </c>
    </row>
    <row r="693" customFormat="false" ht="13.8" hidden="false" customHeight="false" outlineLevel="0" collapsed="false">
      <c r="G693" s="80" t="n">
        <v>693</v>
      </c>
      <c r="I693" s="172" t="s">
        <v>226</v>
      </c>
      <c r="J693" s="173" t="s">
        <v>751</v>
      </c>
      <c r="M693" s="174" t="n">
        <v>250</v>
      </c>
      <c r="N693" s="174" t="s">
        <v>143</v>
      </c>
      <c r="R693" s="82" t="str">
        <f aca="false">VLOOKUP(J693,ingredient!$N$4:$O$553,2,0)</f>
        <v>madrasi mirchi powder</v>
      </c>
      <c r="U693" s="81" t="str">
        <f aca="false">I693</f>
        <v>Kothimbit wadi</v>
      </c>
      <c r="V693" s="81" t="n">
        <f aca="false">VLOOKUP(U693,recipe_ingred_list!$A$2:$B$300,2,0)</f>
        <v>39</v>
      </c>
      <c r="W693" s="81" t="str">
        <f aca="false">"/recipes/"&amp;VLOOKUP(U693,recipe_ingred_list!$A$2:$C$300,3,0)&amp;"/detail/"</f>
        <v>/recipes/kothimbit-wadi/detail/</v>
      </c>
      <c r="X693" s="81" t="str">
        <f aca="false">J693</f>
        <v>Lal Mirchi Powder (Red Chilli Pdr)</v>
      </c>
      <c r="Y693" s="81" t="str">
        <f aca="false">R693</f>
        <v>madrasi mirchi powder</v>
      </c>
      <c r="Z693" s="94" t="n">
        <f aca="false">VLOOKUP(Y693,recipe_ingred_list!$D$2:$E$500,2,0)</f>
        <v>135</v>
      </c>
      <c r="AA693" s="61" t="n">
        <f aca="false">K693</f>
        <v>0</v>
      </c>
      <c r="AB693" s="61" t="n">
        <f aca="false">L693</f>
        <v>0</v>
      </c>
      <c r="AC693" s="61" t="n">
        <f aca="false">VLOOKUP(AB693,recipe_ingred_list!$K$2:$M$7,3,0)</f>
        <v>2</v>
      </c>
      <c r="AD693" s="61" t="n">
        <f aca="false">M693</f>
        <v>250</v>
      </c>
      <c r="AE693" s="61" t="str">
        <f aca="false">N693</f>
        <v>ml</v>
      </c>
      <c r="AF693" s="61" t="n">
        <f aca="false">VLOOKUP(AE693,recipe_ingred_list!$K$16:$M$25,3,0)</f>
        <v>12</v>
      </c>
      <c r="AG693" s="61" t="n">
        <f aca="false">O693</f>
        <v>0</v>
      </c>
      <c r="AH693" s="61" t="n">
        <f aca="false">P693</f>
        <v>0</v>
      </c>
      <c r="AI693" s="61" t="n">
        <f aca="false">VLOOKUP(AH693,recipe_ingred_list!$K$29:$M$34,3,0)</f>
        <v>3</v>
      </c>
      <c r="AJ693" s="61" t="str">
        <f aca="false">IF(Q693="","",Q693)</f>
        <v/>
      </c>
      <c r="AK693" s="61" t="n">
        <f aca="false">AK692+1</f>
        <v>693</v>
      </c>
      <c r="AL693" s="61" t="str">
        <f aca="false">Y693</f>
        <v>madrasi mirchi powder</v>
      </c>
      <c r="AM693" s="81" t="str">
        <f aca="false">"a = Client().post('"&amp;W693&amp;"', {'recipe' : '"&amp;V693&amp;"', 'ingredient' : '"&amp;Z693&amp;"', 'name' : '"&amp;X693&amp;"', 'mass_unit' : '"&amp;AC693&amp;"', 'mass_quantity' : '"&amp;ROUND(AA693,3)&amp;"', 'volume_unit' : '"&amp;AF693&amp;"', 'volume_quantity' : '"&amp;ROUND(AD693,3)&amp;"', 'pieces_unit' : '"&amp;AI693&amp;"', 'pieces_quantity' : '"&amp;ROUND(AG693,3)&amp;"', 'cooking_notes' : '"&amp;AJ693&amp;"'}).status_code; print('%s :: %s :: %s :: %s :: %s' %(a,"&amp;G693&amp;",'"&amp;X693&amp;"','"&amp;Y693&amp;"','"&amp;U693&amp;"'))"</f>
        <v>a = Client().post('/recipes/kothimbit-wadi/detail/', {'recipe' : '39', 'ingredient' : '135', 'name' : 'Lal Mirchi Powder (Red Chilli Pdr)', 'mass_unit' : '2', 'mass_quantity' : '0', 'volume_unit' : '12', 'volume_quantity' : '250', 'pieces_unit' : '3', 'pieces_quantity' : '0', 'cooking_notes' : ''}).status_code; print('%s :: %s :: %s :: %s :: %s' %(a,693,'Lal Mirchi Powder (Red Chilli Pdr)','madrasi mirchi powder','Kothimbit wadi'))</v>
      </c>
    </row>
    <row r="694" customFormat="false" ht="13.8" hidden="false" customHeight="false" outlineLevel="0" collapsed="false">
      <c r="G694" s="80" t="n">
        <v>694</v>
      </c>
      <c r="I694" s="172" t="s">
        <v>226</v>
      </c>
      <c r="J694" s="173" t="s">
        <v>658</v>
      </c>
      <c r="M694" s="174" t="n">
        <v>1.5</v>
      </c>
      <c r="N694" s="174" t="s">
        <v>20</v>
      </c>
      <c r="R694" s="82" t="str">
        <f aca="false">VLOOKUP(J694,ingredient!$N$4:$O$553,2,0)</f>
        <v>salt</v>
      </c>
      <c r="U694" s="81" t="str">
        <f aca="false">I694</f>
        <v>Kothimbit wadi</v>
      </c>
      <c r="V694" s="81" t="n">
        <f aca="false">VLOOKUP(U694,recipe_ingred_list!$A$2:$B$300,2,0)</f>
        <v>39</v>
      </c>
      <c r="W694" s="81" t="str">
        <f aca="false">"/recipes/"&amp;VLOOKUP(U694,recipe_ingred_list!$A$2:$C$300,3,0)&amp;"/detail/"</f>
        <v>/recipes/kothimbit-wadi/detail/</v>
      </c>
      <c r="X694" s="81" t="str">
        <f aca="false">J694</f>
        <v>Salt (Namak)</v>
      </c>
      <c r="Y694" s="81" t="str">
        <f aca="false">R694</f>
        <v>salt</v>
      </c>
      <c r="Z694" s="94" t="n">
        <f aca="false">VLOOKUP(Y694,recipe_ingred_list!$D$2:$E$500,2,0)</f>
        <v>177</v>
      </c>
      <c r="AA694" s="61" t="n">
        <f aca="false">K694</f>
        <v>0</v>
      </c>
      <c r="AB694" s="61" t="n">
        <f aca="false">L694</f>
        <v>0</v>
      </c>
      <c r="AC694" s="61" t="n">
        <f aca="false">VLOOKUP(AB694,recipe_ingred_list!$K$2:$M$7,3,0)</f>
        <v>2</v>
      </c>
      <c r="AD694" s="61" t="n">
        <f aca="false">M694</f>
        <v>1.5</v>
      </c>
      <c r="AE694" s="61" t="str">
        <f aca="false">N694</f>
        <v>cup</v>
      </c>
      <c r="AF694" s="61" t="n">
        <f aca="false">VLOOKUP(AE694,recipe_ingred_list!$K$16:$M$25,3,0)</f>
        <v>5</v>
      </c>
      <c r="AG694" s="61" t="n">
        <f aca="false">O694</f>
        <v>0</v>
      </c>
      <c r="AH694" s="61" t="n">
        <f aca="false">P694</f>
        <v>0</v>
      </c>
      <c r="AI694" s="61" t="n">
        <f aca="false">VLOOKUP(AH694,recipe_ingred_list!$K$29:$M$34,3,0)</f>
        <v>3</v>
      </c>
      <c r="AJ694" s="61" t="str">
        <f aca="false">IF(Q694="","",Q694)</f>
        <v/>
      </c>
      <c r="AK694" s="61" t="n">
        <f aca="false">AK693+1</f>
        <v>694</v>
      </c>
      <c r="AL694" s="61" t="str">
        <f aca="false">Y694</f>
        <v>salt</v>
      </c>
      <c r="AM694" s="81" t="str">
        <f aca="false">"a = Client().post('"&amp;W694&amp;"', {'recipe' : '"&amp;V694&amp;"', 'ingredient' : '"&amp;Z694&amp;"', 'name' : '"&amp;X694&amp;"', 'mass_unit' : '"&amp;AC694&amp;"', 'mass_quantity' : '"&amp;ROUND(AA694,3)&amp;"', 'volume_unit' : '"&amp;AF694&amp;"', 'volume_quantity' : '"&amp;ROUND(AD694,3)&amp;"', 'pieces_unit' : '"&amp;AI694&amp;"', 'pieces_quantity' : '"&amp;ROUND(AG694,3)&amp;"', 'cooking_notes' : '"&amp;AJ694&amp;"'}).status_code; print('%s :: %s :: %s :: %s :: %s' %(a,"&amp;G694&amp;",'"&amp;X694&amp;"','"&amp;Y694&amp;"','"&amp;U694&amp;"'))"</f>
        <v>a = Client().post('/recipes/kothimbit-wadi/detail/', {'recipe' : '39', 'ingredient' : '177', 'name' : 'Salt (Namak)', 'mass_unit' : '2', 'mass_quantity' : '0', 'volume_unit' : '5', 'volume_quantity' : '1.5', 'pieces_unit' : '3', 'pieces_quantity' : '0', 'cooking_notes' : ''}).status_code; print('%s :: %s :: %s :: %s :: %s' %(a,694,'Salt (Namak)','salt','Kothimbit wadi'))</v>
      </c>
    </row>
    <row r="695" customFormat="false" ht="13.8" hidden="false" customHeight="false" outlineLevel="0" collapsed="false">
      <c r="G695" s="80" t="n">
        <v>695</v>
      </c>
      <c r="I695" s="172" t="s">
        <v>226</v>
      </c>
      <c r="J695" s="173" t="s">
        <v>584</v>
      </c>
      <c r="K695" s="174"/>
      <c r="L695" s="174"/>
      <c r="M695" s="179"/>
      <c r="R695" s="82" t="str">
        <f aca="false">VLOOKUP(J695,ingredient!$N$4:$O$553,2,0)</f>
        <v>chaunce</v>
      </c>
      <c r="U695" s="81" t="str">
        <f aca="false">I695</f>
        <v>Kothimbit wadi</v>
      </c>
      <c r="V695" s="81" t="n">
        <f aca="false">VLOOKUP(U695,recipe_ingred_list!$A$2:$B$300,2,0)</f>
        <v>39</v>
      </c>
      <c r="W695" s="81" t="str">
        <f aca="false">"/recipes/"&amp;VLOOKUP(U695,recipe_ingred_list!$A$2:$C$300,3,0)&amp;"/detail/"</f>
        <v>/recipes/kothimbit-wadi/detail/</v>
      </c>
      <c r="X695" s="81" t="str">
        <f aca="false">J695</f>
        <v>Chaunce</v>
      </c>
      <c r="Y695" s="81" t="str">
        <f aca="false">R695</f>
        <v>chaunce</v>
      </c>
      <c r="Z695" s="94" t="n">
        <f aca="false">VLOOKUP(Y695,recipe_ingred_list!$D$2:$E$500,2,0)</f>
        <v>48</v>
      </c>
      <c r="AA695" s="61" t="n">
        <f aca="false">K695</f>
        <v>0</v>
      </c>
      <c r="AB695" s="61" t="n">
        <f aca="false">L695</f>
        <v>0</v>
      </c>
      <c r="AC695" s="61" t="n">
        <f aca="false">VLOOKUP(AB695,recipe_ingred_list!$K$2:$M$7,3,0)</f>
        <v>2</v>
      </c>
      <c r="AD695" s="61" t="n">
        <f aca="false">M695</f>
        <v>0</v>
      </c>
      <c r="AE695" s="61" t="n">
        <f aca="false">N695</f>
        <v>0</v>
      </c>
      <c r="AF695" s="61" t="n">
        <f aca="false">VLOOKUP(AE695,recipe_ingred_list!$K$16:$M$25,3,0)</f>
        <v>1</v>
      </c>
      <c r="AG695" s="61" t="n">
        <f aca="false">O695</f>
        <v>0</v>
      </c>
      <c r="AH695" s="61" t="n">
        <f aca="false">P695</f>
        <v>0</v>
      </c>
      <c r="AI695" s="61" t="n">
        <f aca="false">VLOOKUP(AH695,recipe_ingred_list!$K$29:$M$34,3,0)</f>
        <v>3</v>
      </c>
      <c r="AJ695" s="61" t="str">
        <f aca="false">IF(Q695="","",Q695)</f>
        <v/>
      </c>
      <c r="AK695" s="61" t="n">
        <f aca="false">AK694+1</f>
        <v>695</v>
      </c>
      <c r="AL695" s="61" t="str">
        <f aca="false">Y695</f>
        <v>chaunce</v>
      </c>
      <c r="AM695" s="81" t="str">
        <f aca="false">"a = Client().post('"&amp;W695&amp;"', {'recipe' : '"&amp;V695&amp;"', 'ingredient' : '"&amp;Z695&amp;"', 'name' : '"&amp;X695&amp;"', 'mass_unit' : '"&amp;AC695&amp;"', 'mass_quantity' : '"&amp;ROUND(AA695,3)&amp;"', 'volume_unit' : '"&amp;AF695&amp;"', 'volume_quantity' : '"&amp;ROUND(AD695,3)&amp;"', 'pieces_unit' : '"&amp;AI695&amp;"', 'pieces_quantity' : '"&amp;ROUND(AG695,3)&amp;"', 'cooking_notes' : '"&amp;AJ695&amp;"'}).status_code; print('%s :: %s :: %s :: %s :: %s' %(a,"&amp;G695&amp;",'"&amp;X695&amp;"','"&amp;Y695&amp;"','"&amp;U695&amp;"'))"</f>
        <v>a = Client().post('/recipes/kothimbit-wadi/detail/', {'recipe' : '39', 'ingredient' : '48', 'name' : 'Chaunce', 'mass_unit' : '2', 'mass_quantity' : '0', 'volume_unit' : '1', 'volume_quantity' : '0', 'pieces_unit' : '3', 'pieces_quantity' : '0', 'cooking_notes' : ''}).status_code; print('%s :: %s :: %s :: %s :: %s' %(a,695,'Chaunce','chaunce','Kothimbit wadi'))</v>
      </c>
    </row>
    <row r="696" customFormat="false" ht="13.8" hidden="false" customHeight="false" outlineLevel="0" collapsed="false">
      <c r="G696" s="80" t="n">
        <v>696</v>
      </c>
      <c r="I696" s="172" t="s">
        <v>226</v>
      </c>
      <c r="J696" s="173" t="s">
        <v>735</v>
      </c>
      <c r="K696" s="0"/>
      <c r="L696" s="0"/>
      <c r="M696" s="174" t="n">
        <v>1.5</v>
      </c>
      <c r="N696" s="174" t="s">
        <v>13</v>
      </c>
      <c r="R696" s="82" t="str">
        <f aca="false">VLOOKUP(J696,ingredient!$N$4:$O$553,2,0)</f>
        <v>ground nut oil</v>
      </c>
      <c r="U696" s="81" t="str">
        <f aca="false">I696</f>
        <v>Kothimbit wadi</v>
      </c>
      <c r="V696" s="81" t="n">
        <f aca="false">VLOOKUP(U696,recipe_ingred_list!$A$2:$B$300,2,0)</f>
        <v>39</v>
      </c>
      <c r="W696" s="81" t="str">
        <f aca="false">"/recipes/"&amp;VLOOKUP(U696,recipe_ingred_list!$A$2:$C$300,3,0)&amp;"/detail/"</f>
        <v>/recipes/kothimbit-wadi/detail/</v>
      </c>
      <c r="X696" s="81" t="str">
        <f aca="false">J696</f>
        <v>Groundnut Oil (Singdana Tel)</v>
      </c>
      <c r="Y696" s="81" t="str">
        <f aca="false">R696</f>
        <v>ground nut oil</v>
      </c>
      <c r="Z696" s="94" t="n">
        <f aca="false">VLOOKUP(Y696,recipe_ingred_list!$D$2:$E$500,2,0)</f>
        <v>89</v>
      </c>
      <c r="AA696" s="61" t="n">
        <f aca="false">K696</f>
        <v>0</v>
      </c>
      <c r="AB696" s="61" t="n">
        <f aca="false">L696</f>
        <v>0</v>
      </c>
      <c r="AC696" s="61" t="n">
        <f aca="false">VLOOKUP(AB696,recipe_ingred_list!$K$2:$M$7,3,0)</f>
        <v>2</v>
      </c>
      <c r="AD696" s="61" t="n">
        <f aca="false">M696</f>
        <v>1.5</v>
      </c>
      <c r="AE696" s="61" t="str">
        <f aca="false">N696</f>
        <v>ltr</v>
      </c>
      <c r="AF696" s="61" t="n">
        <f aca="false">VLOOKUP(AE696,recipe_ingred_list!$K$16:$M$25,3,0)</f>
        <v>1</v>
      </c>
      <c r="AG696" s="61" t="n">
        <f aca="false">O696</f>
        <v>0</v>
      </c>
      <c r="AH696" s="61" t="n">
        <f aca="false">P696</f>
        <v>0</v>
      </c>
      <c r="AI696" s="61" t="n">
        <f aca="false">VLOOKUP(AH696,recipe_ingred_list!$K$29:$M$34,3,0)</f>
        <v>3</v>
      </c>
      <c r="AJ696" s="61" t="str">
        <f aca="false">IF(Q696="","",Q696)</f>
        <v/>
      </c>
      <c r="AK696" s="61" t="n">
        <f aca="false">AK695+1</f>
        <v>696</v>
      </c>
      <c r="AL696" s="61" t="str">
        <f aca="false">Y696</f>
        <v>ground nut oil</v>
      </c>
      <c r="AM696" s="81" t="str">
        <f aca="false">"a = Client().post('"&amp;W696&amp;"', {'recipe' : '"&amp;V696&amp;"', 'ingredient' : '"&amp;Z696&amp;"', 'name' : '"&amp;X696&amp;"', 'mass_unit' : '"&amp;AC696&amp;"', 'mass_quantity' : '"&amp;ROUND(AA696,3)&amp;"', 'volume_unit' : '"&amp;AF696&amp;"', 'volume_quantity' : '"&amp;ROUND(AD696,3)&amp;"', 'pieces_unit' : '"&amp;AI696&amp;"', 'pieces_quantity' : '"&amp;ROUND(AG696,3)&amp;"', 'cooking_notes' : '"&amp;AJ696&amp;"'}).status_code; print('%s :: %s :: %s :: %s :: %s' %(a,"&amp;G696&amp;",'"&amp;X696&amp;"','"&amp;Y696&amp;"','"&amp;U696&amp;"'))"</f>
        <v>a = Client().post('/recipes/kothimbit-wadi/detail/', {'recipe' : '39', 'ingredient' : '89', 'name' : 'Groundnut Oil (Singdana Tel)', 'mass_unit' : '2', 'mass_quantity' : '0', 'volume_unit' : '1', 'volume_quantity' : '1.5', 'pieces_unit' : '3', 'pieces_quantity' : '0', 'cooking_notes' : ''}).status_code; print('%s :: %s :: %s :: %s :: %s' %(a,696,'Groundnut Oil (Singdana Tel)','ground nut oil','Kothimbit wadi'))</v>
      </c>
    </row>
    <row r="697" customFormat="false" ht="13.8" hidden="false" customHeight="false" outlineLevel="0" collapsed="false">
      <c r="G697" s="80" t="n">
        <v>697</v>
      </c>
      <c r="I697" s="172" t="s">
        <v>226</v>
      </c>
      <c r="J697" s="173" t="s">
        <v>752</v>
      </c>
      <c r="K697" s="0"/>
      <c r="L697" s="0"/>
      <c r="M697" s="174" t="n">
        <v>1.5</v>
      </c>
      <c r="N697" s="174" t="s">
        <v>20</v>
      </c>
      <c r="R697" s="82" t="str">
        <f aca="false">VLOOKUP(J697,ingredient!$N$4:$O$553,2,0)</f>
        <v>jeera</v>
      </c>
      <c r="U697" s="81" t="str">
        <f aca="false">I697</f>
        <v>Kothimbit wadi</v>
      </c>
      <c r="V697" s="81" t="n">
        <f aca="false">VLOOKUP(U697,recipe_ingred_list!$A$2:$B$300,2,0)</f>
        <v>39</v>
      </c>
      <c r="W697" s="81" t="str">
        <f aca="false">"/recipes/"&amp;VLOOKUP(U697,recipe_ingred_list!$A$2:$C$300,3,0)&amp;"/detail/"</f>
        <v>/recipes/kothimbit-wadi/detail/</v>
      </c>
      <c r="X697" s="81" t="str">
        <f aca="false">J697</f>
        <v>Zeera (Cumin Seeds)</v>
      </c>
      <c r="Y697" s="81" t="str">
        <f aca="false">R697</f>
        <v>jeera</v>
      </c>
      <c r="Z697" s="94" t="n">
        <f aca="false">VLOOKUP(Y697,recipe_ingred_list!$D$2:$E$500,2,0)</f>
        <v>102</v>
      </c>
      <c r="AA697" s="61" t="n">
        <f aca="false">K697</f>
        <v>0</v>
      </c>
      <c r="AB697" s="61" t="n">
        <f aca="false">L697</f>
        <v>0</v>
      </c>
      <c r="AC697" s="61" t="n">
        <f aca="false">VLOOKUP(AB697,recipe_ingred_list!$K$2:$M$7,3,0)</f>
        <v>2</v>
      </c>
      <c r="AD697" s="61" t="n">
        <f aca="false">M697</f>
        <v>1.5</v>
      </c>
      <c r="AE697" s="61" t="str">
        <f aca="false">N697</f>
        <v>cup</v>
      </c>
      <c r="AF697" s="61" t="n">
        <f aca="false">VLOOKUP(AE697,recipe_ingred_list!$K$16:$M$25,3,0)</f>
        <v>5</v>
      </c>
      <c r="AG697" s="61" t="n">
        <f aca="false">O697</f>
        <v>0</v>
      </c>
      <c r="AH697" s="61" t="n">
        <f aca="false">P697</f>
        <v>0</v>
      </c>
      <c r="AI697" s="61" t="n">
        <f aca="false">VLOOKUP(AH697,recipe_ingred_list!$K$29:$M$34,3,0)</f>
        <v>3</v>
      </c>
      <c r="AJ697" s="61" t="str">
        <f aca="false">IF(Q697="","",Q697)</f>
        <v/>
      </c>
      <c r="AK697" s="61" t="n">
        <f aca="false">AK696+1</f>
        <v>697</v>
      </c>
      <c r="AL697" s="61" t="str">
        <f aca="false">Y697</f>
        <v>jeera</v>
      </c>
      <c r="AM697" s="81" t="str">
        <f aca="false">"a = Client().post('"&amp;W697&amp;"', {'recipe' : '"&amp;V697&amp;"', 'ingredient' : '"&amp;Z697&amp;"', 'name' : '"&amp;X697&amp;"', 'mass_unit' : '"&amp;AC697&amp;"', 'mass_quantity' : '"&amp;ROUND(AA697,3)&amp;"', 'volume_unit' : '"&amp;AF697&amp;"', 'volume_quantity' : '"&amp;ROUND(AD697,3)&amp;"', 'pieces_unit' : '"&amp;AI697&amp;"', 'pieces_quantity' : '"&amp;ROUND(AG697,3)&amp;"', 'cooking_notes' : '"&amp;AJ697&amp;"'}).status_code; print('%s :: %s :: %s :: %s :: %s' %(a,"&amp;G697&amp;",'"&amp;X697&amp;"','"&amp;Y697&amp;"','"&amp;U697&amp;"'))"</f>
        <v>a = Client().post('/recipes/kothimbit-wadi/detail/', {'recipe' : '39', 'ingredient' : '102', 'name' : 'Zeera (Cumin Seeds)', 'mass_unit' : '2', 'mass_quantity' : '0', 'volume_unit' : '5', 'volume_quantity' : '1.5', 'pieces_unit' : '3', 'pieces_quantity' : '0', 'cooking_notes' : ''}).status_code; print('%s :: %s :: %s :: %s :: %s' %(a,697,'Zeera (Cumin Seeds)','jeera','Kothimbit wadi'))</v>
      </c>
    </row>
    <row r="698" customFormat="false" ht="13.8" hidden="false" customHeight="false" outlineLevel="0" collapsed="false">
      <c r="G698" s="80" t="n">
        <v>698</v>
      </c>
      <c r="I698" s="172" t="s">
        <v>226</v>
      </c>
      <c r="J698" s="173" t="s">
        <v>657</v>
      </c>
      <c r="K698" s="0"/>
      <c r="L698" s="0"/>
      <c r="M698" s="174" t="n">
        <v>0.75</v>
      </c>
      <c r="N698" s="174" t="s">
        <v>20</v>
      </c>
      <c r="R698" s="82" t="str">
        <f aca="false">VLOOKUP(J698,ingredient!$N$4:$O$553,2,0)</f>
        <v>hing</v>
      </c>
      <c r="U698" s="81" t="str">
        <f aca="false">I698</f>
        <v>Kothimbit wadi</v>
      </c>
      <c r="V698" s="81" t="n">
        <f aca="false">VLOOKUP(U698,recipe_ingred_list!$A$2:$B$300,2,0)</f>
        <v>39</v>
      </c>
      <c r="W698" s="81" t="str">
        <f aca="false">"/recipes/"&amp;VLOOKUP(U698,recipe_ingred_list!$A$2:$C$300,3,0)&amp;"/detail/"</f>
        <v>/recipes/kothimbit-wadi/detail/</v>
      </c>
      <c r="X698" s="81" t="str">
        <f aca="false">J698</f>
        <v>Hing (Asafoetida)</v>
      </c>
      <c r="Y698" s="81" t="str">
        <f aca="false">R698</f>
        <v>hing</v>
      </c>
      <c r="Z698" s="94" t="n">
        <f aca="false">VLOOKUP(Y698,recipe_ingred_list!$D$2:$E$500,2,0)</f>
        <v>95</v>
      </c>
      <c r="AA698" s="61" t="n">
        <f aca="false">K698</f>
        <v>0</v>
      </c>
      <c r="AB698" s="61" t="n">
        <f aca="false">L698</f>
        <v>0</v>
      </c>
      <c r="AC698" s="61" t="n">
        <f aca="false">VLOOKUP(AB698,recipe_ingred_list!$K$2:$M$7,3,0)</f>
        <v>2</v>
      </c>
      <c r="AD698" s="61" t="n">
        <f aca="false">M698</f>
        <v>0.75</v>
      </c>
      <c r="AE698" s="61" t="str">
        <f aca="false">N698</f>
        <v>cup</v>
      </c>
      <c r="AF698" s="61" t="n">
        <f aca="false">VLOOKUP(AE698,recipe_ingred_list!$K$16:$M$25,3,0)</f>
        <v>5</v>
      </c>
      <c r="AG698" s="61" t="n">
        <f aca="false">O698</f>
        <v>0</v>
      </c>
      <c r="AH698" s="61" t="n">
        <f aca="false">P698</f>
        <v>0</v>
      </c>
      <c r="AI698" s="61" t="n">
        <f aca="false">VLOOKUP(AH698,recipe_ingred_list!$K$29:$M$34,3,0)</f>
        <v>3</v>
      </c>
      <c r="AJ698" s="61" t="str">
        <f aca="false">IF(Q698="","",Q698)</f>
        <v/>
      </c>
      <c r="AK698" s="61" t="n">
        <f aca="false">AK697+1</f>
        <v>698</v>
      </c>
      <c r="AL698" s="61" t="str">
        <f aca="false">Y698</f>
        <v>hing</v>
      </c>
      <c r="AM698" s="81" t="str">
        <f aca="false">"a = Client().post('"&amp;W698&amp;"', {'recipe' : '"&amp;V698&amp;"', 'ingredient' : '"&amp;Z698&amp;"', 'name' : '"&amp;X698&amp;"', 'mass_unit' : '"&amp;AC698&amp;"', 'mass_quantity' : '"&amp;ROUND(AA698,3)&amp;"', 'volume_unit' : '"&amp;AF698&amp;"', 'volume_quantity' : '"&amp;ROUND(AD698,3)&amp;"', 'pieces_unit' : '"&amp;AI698&amp;"', 'pieces_quantity' : '"&amp;ROUND(AG698,3)&amp;"', 'cooking_notes' : '"&amp;AJ698&amp;"'}).status_code; print('%s :: %s :: %s :: %s :: %s' %(a,"&amp;G698&amp;",'"&amp;X698&amp;"','"&amp;Y698&amp;"','"&amp;U698&amp;"'))"</f>
        <v>a = Client().post('/recipes/kothimbit-wadi/detail/', {'recipe' : '39', 'ingredient' : '95', 'name' : 'Hing (Asafoetida)', 'mass_unit' : '2', 'mass_quantity' : '0', 'volume_unit' : '5', 'volume_quantity' : '0.75', 'pieces_unit' : '3', 'pieces_quantity' : '0', 'cooking_notes' : ''}).status_code; print('%s :: %s :: %s :: %s :: %s' %(a,698,'Hing (Asafoetida)','hing','Kothimbit wadi'))</v>
      </c>
    </row>
    <row r="699" customFormat="false" ht="13.8" hidden="false" customHeight="false" outlineLevel="0" collapsed="false">
      <c r="G699" s="80" t="n">
        <v>699</v>
      </c>
      <c r="I699" s="172" t="s">
        <v>226</v>
      </c>
      <c r="J699" s="173" t="s">
        <v>753</v>
      </c>
      <c r="K699" s="0"/>
      <c r="L699" s="0"/>
      <c r="M699" s="174"/>
      <c r="N699" s="174"/>
      <c r="R699" s="82" t="str">
        <f aca="false">VLOOKUP(J699,ingredient!$N$4:$O$553,2,0)</f>
        <v>dhaniya patta</v>
      </c>
      <c r="U699" s="81" t="str">
        <f aca="false">I699</f>
        <v>Kothimbit wadi</v>
      </c>
      <c r="V699" s="81" t="n">
        <f aca="false">VLOOKUP(U699,recipe_ingred_list!$A$2:$B$300,2,0)</f>
        <v>39</v>
      </c>
      <c r="W699" s="81" t="str">
        <f aca="false">"/recipes/"&amp;VLOOKUP(U699,recipe_ingred_list!$A$2:$C$300,3,0)&amp;"/detail/"</f>
        <v>/recipes/kothimbit-wadi/detail/</v>
      </c>
      <c r="X699" s="81" t="str">
        <f aca="false">J699</f>
        <v>Dhania Patta (Coriander Leaves)</v>
      </c>
      <c r="Y699" s="81" t="str">
        <f aca="false">R699</f>
        <v>dhaniya patta</v>
      </c>
      <c r="Z699" s="94" t="n">
        <f aca="false">VLOOKUP(Y699,recipe_ingred_list!$D$2:$E$500,2,0)</f>
        <v>66</v>
      </c>
      <c r="AA699" s="61" t="n">
        <f aca="false">K699</f>
        <v>0</v>
      </c>
      <c r="AB699" s="61" t="n">
        <f aca="false">L699</f>
        <v>0</v>
      </c>
      <c r="AC699" s="61" t="n">
        <f aca="false">VLOOKUP(AB699,recipe_ingred_list!$K$2:$M$7,3,0)</f>
        <v>2</v>
      </c>
      <c r="AD699" s="61" t="n">
        <f aca="false">M699</f>
        <v>0</v>
      </c>
      <c r="AE699" s="61" t="n">
        <f aca="false">N699</f>
        <v>0</v>
      </c>
      <c r="AF699" s="61" t="n">
        <f aca="false">VLOOKUP(AE699,recipe_ingred_list!$K$16:$M$25,3,0)</f>
        <v>1</v>
      </c>
      <c r="AG699" s="61" t="n">
        <f aca="false">O699</f>
        <v>0</v>
      </c>
      <c r="AH699" s="61" t="n">
        <f aca="false">P699</f>
        <v>0</v>
      </c>
      <c r="AI699" s="61" t="n">
        <f aca="false">VLOOKUP(AH699,recipe_ingred_list!$K$29:$M$34,3,0)</f>
        <v>3</v>
      </c>
      <c r="AJ699" s="61" t="str">
        <f aca="false">IF(Q699="","",Q699)</f>
        <v/>
      </c>
      <c r="AK699" s="61" t="n">
        <f aca="false">AK698+1</f>
        <v>699</v>
      </c>
      <c r="AL699" s="61" t="str">
        <f aca="false">Y699</f>
        <v>dhaniya patta</v>
      </c>
      <c r="AM699" s="81" t="str">
        <f aca="false">"a = Client().post('"&amp;W699&amp;"', {'recipe' : '"&amp;V699&amp;"', 'ingredient' : '"&amp;Z699&amp;"', 'name' : '"&amp;X699&amp;"', 'mass_unit' : '"&amp;AC699&amp;"', 'mass_quantity' : '"&amp;ROUND(AA699,3)&amp;"', 'volume_unit' : '"&amp;AF699&amp;"', 'volume_quantity' : '"&amp;ROUND(AD699,3)&amp;"', 'pieces_unit' : '"&amp;AI699&amp;"', 'pieces_quantity' : '"&amp;ROUND(AG699,3)&amp;"', 'cooking_notes' : '"&amp;AJ699&amp;"'}).status_code; print('%s :: %s :: %s :: %s :: %s' %(a,"&amp;G699&amp;",'"&amp;X699&amp;"','"&amp;Y699&amp;"','"&amp;U699&amp;"'))"</f>
        <v>a = Client().post('/recipes/kothimbit-wadi/detail/', {'recipe' : '39', 'ingredient' : '66', 'name' : 'Dhania Patta (Coriander Leaves)', 'mass_unit' : '2', 'mass_quantity' : '0', 'volume_unit' : '1', 'volume_quantity' : '0', 'pieces_unit' : '3', 'pieces_quantity' : '0', 'cooking_notes' : ''}).status_code; print('%s :: %s :: %s :: %s :: %s' %(a,699,'Dhania Patta (Coriander Leaves)','dhaniya patta','Kothimbit wadi'))</v>
      </c>
    </row>
    <row r="700" customFormat="false" ht="13.8" hidden="false" customHeight="false" outlineLevel="0" collapsed="false">
      <c r="G700" s="80" t="n">
        <v>700</v>
      </c>
      <c r="I700" s="172" t="s">
        <v>226</v>
      </c>
      <c r="J700" s="173" t="s">
        <v>754</v>
      </c>
      <c r="K700" s="0"/>
      <c r="L700" s="0"/>
      <c r="M700" s="174" t="n">
        <v>1</v>
      </c>
      <c r="N700" s="174" t="s">
        <v>20</v>
      </c>
      <c r="R700" s="82" t="str">
        <f aca="false">VLOOKUP(J700,ingredient!$N$4:$O$553,2,0)</f>
        <v>chat masala</v>
      </c>
      <c r="U700" s="81" t="str">
        <f aca="false">I700</f>
        <v>Kothimbit wadi</v>
      </c>
      <c r="V700" s="81" t="n">
        <f aca="false">VLOOKUP(U700,recipe_ingred_list!$A$2:$B$300,2,0)</f>
        <v>39</v>
      </c>
      <c r="W700" s="81" t="str">
        <f aca="false">"/recipes/"&amp;VLOOKUP(U700,recipe_ingred_list!$A$2:$C$300,3,0)&amp;"/detail/"</f>
        <v>/recipes/kothimbit-wadi/detail/</v>
      </c>
      <c r="X700" s="81" t="str">
        <f aca="false">J700</f>
        <v>Chat Masala</v>
      </c>
      <c r="Y700" s="81" t="str">
        <f aca="false">R700</f>
        <v>chat masala</v>
      </c>
      <c r="Z700" s="94" t="n">
        <f aca="false">VLOOKUP(Y700,recipe_ingred_list!$D$2:$E$500,2,0)</f>
        <v>47</v>
      </c>
      <c r="AA700" s="61" t="n">
        <f aca="false">K700</f>
        <v>0</v>
      </c>
      <c r="AB700" s="61" t="n">
        <f aca="false">L700</f>
        <v>0</v>
      </c>
      <c r="AC700" s="61" t="n">
        <f aca="false">VLOOKUP(AB700,recipe_ingred_list!$K$2:$M$7,3,0)</f>
        <v>2</v>
      </c>
      <c r="AD700" s="61" t="n">
        <f aca="false">M700</f>
        <v>1</v>
      </c>
      <c r="AE700" s="61" t="str">
        <f aca="false">N700</f>
        <v>cup</v>
      </c>
      <c r="AF700" s="61" t="n">
        <f aca="false">VLOOKUP(AE700,recipe_ingred_list!$K$16:$M$25,3,0)</f>
        <v>5</v>
      </c>
      <c r="AG700" s="61" t="n">
        <f aca="false">O700</f>
        <v>0</v>
      </c>
      <c r="AH700" s="61" t="n">
        <f aca="false">P700</f>
        <v>0</v>
      </c>
      <c r="AI700" s="61" t="n">
        <f aca="false">VLOOKUP(AH700,recipe_ingred_list!$K$29:$M$34,3,0)</f>
        <v>3</v>
      </c>
      <c r="AJ700" s="61" t="str">
        <f aca="false">IF(Q700="","",Q700)</f>
        <v/>
      </c>
      <c r="AK700" s="61" t="n">
        <f aca="false">AK699+1</f>
        <v>700</v>
      </c>
      <c r="AL700" s="61" t="str">
        <f aca="false">Y700</f>
        <v>chat masala</v>
      </c>
      <c r="AM700" s="81" t="str">
        <f aca="false">"a = Client().post('"&amp;W700&amp;"', {'recipe' : '"&amp;V700&amp;"', 'ingredient' : '"&amp;Z700&amp;"', 'name' : '"&amp;X700&amp;"', 'mass_unit' : '"&amp;AC700&amp;"', 'mass_quantity' : '"&amp;ROUND(AA700,3)&amp;"', 'volume_unit' : '"&amp;AF700&amp;"', 'volume_quantity' : '"&amp;ROUND(AD700,3)&amp;"', 'pieces_unit' : '"&amp;AI700&amp;"', 'pieces_quantity' : '"&amp;ROUND(AG700,3)&amp;"', 'cooking_notes' : '"&amp;AJ700&amp;"'}).status_code; print('%s :: %s :: %s :: %s :: %s' %(a,"&amp;G700&amp;",'"&amp;X700&amp;"','"&amp;Y700&amp;"','"&amp;U700&amp;"'))"</f>
        <v>a = Client().post('/recipes/kothimbit-wadi/detail/', {'recipe' : '39', 'ingredient' : '47', 'name' : 'Chat Masala', 'mass_unit' : '2', 'mass_quantity' : '0', 'volume_unit' : '5', 'volume_quantity' : '1', 'pieces_unit' : '3', 'pieces_quantity' : '0', 'cooking_notes' : ''}).status_code; print('%s :: %s :: %s :: %s :: %s' %(a,700,'Chat Masala','chat masala','Kothimbit wadi'))</v>
      </c>
    </row>
    <row r="701" customFormat="false" ht="13.8" hidden="false" customHeight="false" outlineLevel="0" collapsed="false">
      <c r="G701" s="80" t="n">
        <v>701</v>
      </c>
      <c r="H701" s="98"/>
      <c r="I701" s="175" t="s">
        <v>226</v>
      </c>
      <c r="J701" s="180" t="s">
        <v>46</v>
      </c>
      <c r="K701" s="178" t="n">
        <v>450</v>
      </c>
      <c r="L701" s="171" t="s">
        <v>107</v>
      </c>
      <c r="M701" s="178"/>
      <c r="N701" s="100"/>
      <c r="O701" s="101"/>
      <c r="P701" s="100"/>
      <c r="Q701" s="102"/>
      <c r="R701" s="99" t="e">
        <f aca="false">VLOOKUP(J701,ingredient!$N$4:$O$553,2,0)</f>
        <v>#N/A</v>
      </c>
      <c r="S701" s="98"/>
      <c r="T701" s="98"/>
      <c r="U701" s="81" t="str">
        <f aca="false">I701</f>
        <v>Kothimbit wadi</v>
      </c>
      <c r="V701" s="81" t="n">
        <f aca="false">VLOOKUP(U701,recipe_ingred_list!$A$2:$B$300,2,0)</f>
        <v>39</v>
      </c>
      <c r="W701" s="81" t="str">
        <f aca="false">"/recipes/"&amp;VLOOKUP(U701,recipe_ingred_list!$A$2:$C$300,3,0)&amp;"/detail/"</f>
        <v>/recipes/kothimbit-wadi/detail/</v>
      </c>
      <c r="X701" s="81" t="str">
        <f aca="false">J701</f>
        <v>Yield</v>
      </c>
      <c r="Y701" s="81" t="e">
        <f aca="false">R701</f>
        <v>#N/A</v>
      </c>
      <c r="Z701" s="94" t="e">
        <f aca="false">VLOOKUP(Y701,recipe_ingred_list!$D$2:$E$500,2,0)</f>
        <v>#N/A</v>
      </c>
      <c r="AA701" s="61" t="n">
        <f aca="false">K701</f>
        <v>450</v>
      </c>
      <c r="AB701" s="61" t="str">
        <f aca="false">L701</f>
        <v>pcs</v>
      </c>
      <c r="AC701" s="61" t="e">
        <f aca="false">VLOOKUP(AB701,recipe_ingred_list!$K$2:$M$7,3,0)</f>
        <v>#N/A</v>
      </c>
      <c r="AD701" s="61" t="n">
        <f aca="false">M701</f>
        <v>0</v>
      </c>
      <c r="AE701" s="61" t="n">
        <f aca="false">N701</f>
        <v>0</v>
      </c>
      <c r="AF701" s="61" t="n">
        <f aca="false">VLOOKUP(AE701,recipe_ingred_list!$K$16:$M$25,3,0)</f>
        <v>1</v>
      </c>
      <c r="AG701" s="61" t="n">
        <f aca="false">O701</f>
        <v>0</v>
      </c>
      <c r="AH701" s="61" t="n">
        <f aca="false">P701</f>
        <v>0</v>
      </c>
      <c r="AI701" s="61" t="n">
        <f aca="false">VLOOKUP(AH701,recipe_ingred_list!$K$29:$M$34,3,0)</f>
        <v>3</v>
      </c>
      <c r="AJ701" s="61" t="str">
        <f aca="false">IF(Q701="","",Q701)</f>
        <v/>
      </c>
      <c r="AK701" s="61" t="n">
        <f aca="false">AK700+1</f>
        <v>701</v>
      </c>
      <c r="AL701" s="61" t="e">
        <f aca="false">Y701</f>
        <v>#N/A</v>
      </c>
      <c r="AM701" s="81" t="e">
        <f aca="false">"a = Client().post('"&amp;W701&amp;"', {'recipe' : '"&amp;V701&amp;"', 'ingredient' : '"&amp;Z701&amp;"', 'name' : '"&amp;X701&amp;"', 'mass_unit' : '"&amp;AC701&amp;"', 'mass_quantity' : '"&amp;ROUND(AA701,3)&amp;"', 'volume_unit' : '"&amp;AF701&amp;"', 'volume_quantity' : '"&amp;ROUND(AD701,3)&amp;"', 'pieces_unit' : '"&amp;AI701&amp;"', 'pieces_quantity' : '"&amp;ROUND(AG701,3)&amp;"', 'cooking_notes' : '"&amp;AJ701&amp;"'}).status_code; print('%s :: %s :: %s :: %s :: %s' %(a,"&amp;G701&amp;",'"&amp;X701&amp;"','"&amp;Y701&amp;"','"&amp;U701&amp;"'))"</f>
        <v>#N/A</v>
      </c>
    </row>
    <row r="702" customFormat="false" ht="13.8" hidden="false" customHeight="false" outlineLevel="0" collapsed="false">
      <c r="G702" s="80" t="n">
        <v>702</v>
      </c>
      <c r="H702" s="98"/>
      <c r="I702" s="99"/>
      <c r="J702" s="79"/>
      <c r="K702" s="100"/>
      <c r="L702" s="100"/>
      <c r="M702" s="100"/>
      <c r="N702" s="100"/>
      <c r="O702" s="101"/>
      <c r="P702" s="100"/>
      <c r="Q702" s="102"/>
      <c r="R702" s="99" t="e">
        <f aca="false">VLOOKUP(J702,ingredient!$N$4:$O$553,2,0)</f>
        <v>#N/A</v>
      </c>
      <c r="S702" s="98"/>
      <c r="T702" s="98"/>
      <c r="U702" s="81" t="n">
        <f aca="false">I702</f>
        <v>0</v>
      </c>
      <c r="V702" s="81" t="e">
        <f aca="false">VLOOKUP(U702,recipe_ingred_list!$A$2:$B$300,2,0)</f>
        <v>#N/A</v>
      </c>
      <c r="W702" s="81" t="e">
        <f aca="false">"/recipes/"&amp;VLOOKUP(U702,recipe_ingred_list!$A$2:$C$300,3,0)&amp;"/detail/"</f>
        <v>#N/A</v>
      </c>
      <c r="X702" s="81" t="n">
        <f aca="false">J702</f>
        <v>0</v>
      </c>
      <c r="Y702" s="81" t="e">
        <f aca="false">R702</f>
        <v>#N/A</v>
      </c>
      <c r="Z702" s="94" t="e">
        <f aca="false">VLOOKUP(Y702,recipe_ingred_list!$D$2:$E$500,2,0)</f>
        <v>#N/A</v>
      </c>
      <c r="AA702" s="61" t="n">
        <f aca="false">K702</f>
        <v>0</v>
      </c>
      <c r="AB702" s="61" t="n">
        <f aca="false">L702</f>
        <v>0</v>
      </c>
      <c r="AC702" s="61" t="n">
        <f aca="false">VLOOKUP(AB702,recipe_ingred_list!$K$2:$M$7,3,0)</f>
        <v>2</v>
      </c>
      <c r="AD702" s="61" t="n">
        <f aca="false">M702</f>
        <v>0</v>
      </c>
      <c r="AE702" s="61" t="n">
        <f aca="false">N702</f>
        <v>0</v>
      </c>
      <c r="AF702" s="61" t="n">
        <f aca="false">VLOOKUP(AE702,recipe_ingred_list!$K$16:$M$25,3,0)</f>
        <v>1</v>
      </c>
      <c r="AG702" s="61" t="n">
        <f aca="false">O702</f>
        <v>0</v>
      </c>
      <c r="AH702" s="61" t="n">
        <f aca="false">P702</f>
        <v>0</v>
      </c>
      <c r="AI702" s="61" t="n">
        <f aca="false">VLOOKUP(AH702,recipe_ingred_list!$K$29:$M$34,3,0)</f>
        <v>3</v>
      </c>
      <c r="AJ702" s="61" t="str">
        <f aca="false">IF(Q702="","",Q702)</f>
        <v/>
      </c>
      <c r="AK702" s="61" t="n">
        <f aca="false">AK701+1</f>
        <v>702</v>
      </c>
      <c r="AL702" s="61" t="e">
        <f aca="false">Y702</f>
        <v>#N/A</v>
      </c>
      <c r="AM702" s="81" t="e">
        <f aca="false">"a = Client().post('"&amp;W702&amp;"', {'recipe' : '"&amp;V702&amp;"', 'ingredient' : '"&amp;Z702&amp;"', 'name' : '"&amp;X702&amp;"', 'mass_unit' : '"&amp;AC702&amp;"', 'mass_quantity' : '"&amp;ROUND(AA702,3)&amp;"', 'volume_unit' : '"&amp;AF702&amp;"', 'volume_quantity' : '"&amp;ROUND(AD702,3)&amp;"', 'pieces_unit' : '"&amp;AI702&amp;"', 'pieces_quantity' : '"&amp;ROUND(AG702,3)&amp;"', 'cooking_notes' : '"&amp;AJ702&amp;"'}).status_code; print('%s :: %s :: %s :: %s :: %s' %(a,"&amp;G702&amp;",'"&amp;X702&amp;"','"&amp;Y702&amp;"','"&amp;U702&amp;"'))"</f>
        <v>#N/A</v>
      </c>
    </row>
    <row r="703" customFormat="false" ht="13.8" hidden="false" customHeight="false" outlineLevel="0" collapsed="false">
      <c r="G703" s="80" t="n">
        <v>703</v>
      </c>
      <c r="H703" s="98"/>
      <c r="I703" s="99"/>
      <c r="J703" s="79"/>
      <c r="K703" s="100"/>
      <c r="L703" s="100"/>
      <c r="M703" s="100"/>
      <c r="N703" s="100"/>
      <c r="O703" s="101"/>
      <c r="P703" s="100"/>
      <c r="Q703" s="102"/>
      <c r="R703" s="99" t="e">
        <f aca="false">VLOOKUP(J703,ingredient!$N$4:$O$553,2,0)</f>
        <v>#N/A</v>
      </c>
      <c r="S703" s="98"/>
      <c r="T703" s="98"/>
      <c r="U703" s="81" t="n">
        <f aca="false">I703</f>
        <v>0</v>
      </c>
      <c r="V703" s="81" t="e">
        <f aca="false">VLOOKUP(U703,recipe_ingred_list!$A$2:$B$300,2,0)</f>
        <v>#N/A</v>
      </c>
      <c r="W703" s="81" t="e">
        <f aca="false">"/recipes/"&amp;VLOOKUP(U703,recipe_ingred_list!$A$2:$C$300,3,0)&amp;"/detail/"</f>
        <v>#N/A</v>
      </c>
      <c r="X703" s="81" t="n">
        <f aca="false">J703</f>
        <v>0</v>
      </c>
      <c r="Y703" s="81" t="e">
        <f aca="false">R703</f>
        <v>#N/A</v>
      </c>
      <c r="Z703" s="94" t="e">
        <f aca="false">VLOOKUP(Y703,recipe_ingred_list!$D$2:$E$500,2,0)</f>
        <v>#N/A</v>
      </c>
      <c r="AA703" s="61" t="n">
        <f aca="false">K703</f>
        <v>0</v>
      </c>
      <c r="AB703" s="61" t="n">
        <f aca="false">L703</f>
        <v>0</v>
      </c>
      <c r="AC703" s="61" t="n">
        <f aca="false">VLOOKUP(AB703,recipe_ingred_list!$K$2:$M$7,3,0)</f>
        <v>2</v>
      </c>
      <c r="AD703" s="61" t="n">
        <f aca="false">M703</f>
        <v>0</v>
      </c>
      <c r="AE703" s="61" t="n">
        <f aca="false">N703</f>
        <v>0</v>
      </c>
      <c r="AF703" s="61" t="n">
        <f aca="false">VLOOKUP(AE703,recipe_ingred_list!$K$16:$M$25,3,0)</f>
        <v>1</v>
      </c>
      <c r="AG703" s="61" t="n">
        <f aca="false">O703</f>
        <v>0</v>
      </c>
      <c r="AH703" s="61" t="n">
        <f aca="false">P703</f>
        <v>0</v>
      </c>
      <c r="AI703" s="61" t="n">
        <f aca="false">VLOOKUP(AH703,recipe_ingred_list!$K$29:$M$34,3,0)</f>
        <v>3</v>
      </c>
      <c r="AJ703" s="61" t="str">
        <f aca="false">IF(Q703="","",Q703)</f>
        <v/>
      </c>
      <c r="AK703" s="61" t="n">
        <f aca="false">AK702+1</f>
        <v>703</v>
      </c>
      <c r="AL703" s="61" t="e">
        <f aca="false">Y703</f>
        <v>#N/A</v>
      </c>
      <c r="AM703" s="81" t="e">
        <f aca="false">"a = Client().post('"&amp;W703&amp;"', {'recipe' : '"&amp;V703&amp;"', 'ingredient' : '"&amp;Z703&amp;"', 'name' : '"&amp;X703&amp;"', 'mass_unit' : '"&amp;AC703&amp;"', 'mass_quantity' : '"&amp;ROUND(AA703,3)&amp;"', 'volume_unit' : '"&amp;AF703&amp;"', 'volume_quantity' : '"&amp;ROUND(AD703,3)&amp;"', 'pieces_unit' : '"&amp;AI703&amp;"', 'pieces_quantity' : '"&amp;ROUND(AG703,3)&amp;"', 'cooking_notes' : '"&amp;AJ703&amp;"'}).status_code; print('%s :: %s :: %s :: %s :: %s' %(a,"&amp;G703&amp;",'"&amp;X703&amp;"','"&amp;Y703&amp;"','"&amp;U703&amp;"'))"</f>
        <v>#N/A</v>
      </c>
    </row>
    <row r="704" customFormat="false" ht="13.8" hidden="false" customHeight="false" outlineLevel="0" collapsed="false">
      <c r="G704" s="80" t="n">
        <v>704</v>
      </c>
      <c r="I704" s="83" t="s">
        <v>136</v>
      </c>
      <c r="J704" s="83" t="s">
        <v>755</v>
      </c>
      <c r="K704" s="61" t="n">
        <v>5</v>
      </c>
      <c r="L704" s="61" t="s">
        <v>109</v>
      </c>
      <c r="R704" s="82" t="str">
        <f aca="false">VLOOKUP(J704,ingredient!$N$4:$O$553,2,0)</f>
        <v>shahi jeera</v>
      </c>
      <c r="U704" s="81" t="str">
        <f aca="false">I704</f>
        <v>Biryani Dum Layer</v>
      </c>
      <c r="V704" s="81" t="n">
        <f aca="false">VLOOKUP(U704,recipe_ingred_list!$A$2:$B$300,2,0)</f>
        <v>10</v>
      </c>
      <c r="W704" s="81" t="str">
        <f aca="false">"/recipes/"&amp;VLOOKUP(U704,recipe_ingred_list!$A$2:$C$300,3,0)&amp;"/detail/"</f>
        <v>/recipes/biryani-dum-layer/detail/</v>
      </c>
      <c r="X704" s="81" t="str">
        <f aca="false">J704</f>
        <v>Shahi Jeera</v>
      </c>
      <c r="Y704" s="81" t="str">
        <f aca="false">R704</f>
        <v>shahi jeera</v>
      </c>
      <c r="Z704" s="94" t="n">
        <f aca="false">VLOOKUP(Y704,recipe_ingred_list!$D$2:$E$500,2,0)</f>
        <v>181</v>
      </c>
      <c r="AA704" s="61" t="n">
        <f aca="false">K704</f>
        <v>5</v>
      </c>
      <c r="AB704" s="61" t="str">
        <f aca="false">L704</f>
        <v>gm</v>
      </c>
      <c r="AC704" s="61" t="n">
        <f aca="false">VLOOKUP(AB704,recipe_ingred_list!$K$2:$M$7,3,0)</f>
        <v>7</v>
      </c>
      <c r="AD704" s="61" t="n">
        <f aca="false">M704</f>
        <v>0</v>
      </c>
      <c r="AE704" s="61" t="n">
        <f aca="false">N704</f>
        <v>0</v>
      </c>
      <c r="AF704" s="61" t="n">
        <f aca="false">VLOOKUP(AE704,recipe_ingred_list!$K$16:$M$25,3,0)</f>
        <v>1</v>
      </c>
      <c r="AG704" s="61" t="n">
        <f aca="false">O704</f>
        <v>0</v>
      </c>
      <c r="AH704" s="61" t="n">
        <f aca="false">P704</f>
        <v>0</v>
      </c>
      <c r="AI704" s="61" t="n">
        <f aca="false">VLOOKUP(AH704,recipe_ingred_list!$K$29:$M$34,3,0)</f>
        <v>3</v>
      </c>
      <c r="AJ704" s="61" t="str">
        <f aca="false">IF(Q704="","",Q704)</f>
        <v/>
      </c>
      <c r="AK704" s="61" t="n">
        <f aca="false">AK703+1</f>
        <v>704</v>
      </c>
      <c r="AL704" s="61" t="str">
        <f aca="false">Y704</f>
        <v>shahi jeera</v>
      </c>
      <c r="AM704" s="81" t="str">
        <f aca="false">"a = Client().post('"&amp;W704&amp;"', {'recipe' : '"&amp;V704&amp;"', 'ingredient' : '"&amp;Z704&amp;"', 'name' : '"&amp;X704&amp;"', 'mass_unit' : '"&amp;AC704&amp;"', 'mass_quantity' : '"&amp;ROUND(AA704,3)&amp;"', 'volume_unit' : '"&amp;AF704&amp;"', 'volume_quantity' : '"&amp;ROUND(AD704,3)&amp;"', 'pieces_unit' : '"&amp;AI704&amp;"', 'pieces_quantity' : '"&amp;ROUND(AG704,3)&amp;"', 'cooking_notes' : '"&amp;AJ704&amp;"'}).status_code; print('%s :: %s :: %s :: %s :: %s' %(a,"&amp;G704&amp;",'"&amp;X704&amp;"','"&amp;Y704&amp;"','"&amp;U704&amp;"'))"</f>
        <v>a = Client().post('/recipes/biryani-dum-layer/detail/', {'recipe' : '10', 'ingredient' : '181', 'name' : 'Shahi Jeera', 'mass_unit' : '7', 'mass_quantity' : '5', 'volume_unit' : '1', 'volume_quantity' : '0', 'pieces_unit' : '3', 'pieces_quantity' : '0', 'cooking_notes' : ''}).status_code; print('%s :: %s :: %s :: %s :: %s' %(a,704,'Shahi Jeera','shahi jeera','Biryani Dum Layer'))</v>
      </c>
    </row>
    <row r="705" customFormat="false" ht="13.8" hidden="false" customHeight="false" outlineLevel="0" collapsed="false">
      <c r="G705" s="80" t="n">
        <v>705</v>
      </c>
      <c r="I705" s="83" t="s">
        <v>136</v>
      </c>
      <c r="J705" s="83" t="s">
        <v>756</v>
      </c>
      <c r="K705" s="61" t="n">
        <v>20</v>
      </c>
      <c r="L705" s="61" t="s">
        <v>109</v>
      </c>
      <c r="R705" s="82" t="str">
        <f aca="false">VLOOKUP(J705,ingredient!$N$4:$O$553,2,0)</f>
        <v>starfal</v>
      </c>
      <c r="U705" s="81" t="str">
        <f aca="false">I705</f>
        <v>Biryani Dum Layer</v>
      </c>
      <c r="V705" s="81" t="n">
        <f aca="false">VLOOKUP(U705,recipe_ingred_list!$A$2:$B$300,2,0)</f>
        <v>10</v>
      </c>
      <c r="W705" s="81" t="str">
        <f aca="false">"/recipes/"&amp;VLOOKUP(U705,recipe_ingred_list!$A$2:$C$300,3,0)&amp;"/detail/"</f>
        <v>/recipes/biryani-dum-layer/detail/</v>
      </c>
      <c r="X705" s="81" t="str">
        <f aca="false">J705</f>
        <v>Starfal</v>
      </c>
      <c r="Y705" s="81" t="str">
        <f aca="false">R705</f>
        <v>starfal</v>
      </c>
      <c r="Z705" s="94" t="n">
        <f aca="false">VLOOKUP(Y705,recipe_ingred_list!$D$2:$E$500,2,0)</f>
        <v>186</v>
      </c>
      <c r="AA705" s="61" t="n">
        <f aca="false">K705</f>
        <v>20</v>
      </c>
      <c r="AB705" s="61" t="str">
        <f aca="false">L705</f>
        <v>gm</v>
      </c>
      <c r="AC705" s="61" t="n">
        <f aca="false">VLOOKUP(AB705,recipe_ingred_list!$K$2:$M$7,3,0)</f>
        <v>7</v>
      </c>
      <c r="AD705" s="61" t="n">
        <f aca="false">M705</f>
        <v>0</v>
      </c>
      <c r="AE705" s="61" t="n">
        <f aca="false">N705</f>
        <v>0</v>
      </c>
      <c r="AF705" s="61" t="n">
        <f aca="false">VLOOKUP(AE705,recipe_ingred_list!$K$16:$M$25,3,0)</f>
        <v>1</v>
      </c>
      <c r="AG705" s="61" t="n">
        <f aca="false">O705</f>
        <v>0</v>
      </c>
      <c r="AH705" s="61" t="n">
        <f aca="false">P705</f>
        <v>0</v>
      </c>
      <c r="AI705" s="61" t="n">
        <f aca="false">VLOOKUP(AH705,recipe_ingred_list!$K$29:$M$34,3,0)</f>
        <v>3</v>
      </c>
      <c r="AJ705" s="61" t="str">
        <f aca="false">IF(Q705="","",Q705)</f>
        <v/>
      </c>
      <c r="AK705" s="61" t="n">
        <f aca="false">AK704+1</f>
        <v>705</v>
      </c>
      <c r="AL705" s="61" t="str">
        <f aca="false">Y705</f>
        <v>starfal</v>
      </c>
      <c r="AM705" s="81" t="str">
        <f aca="false">"a = Client().post('"&amp;W705&amp;"', {'recipe' : '"&amp;V705&amp;"', 'ingredient' : '"&amp;Z705&amp;"', 'name' : '"&amp;X705&amp;"', 'mass_unit' : '"&amp;AC705&amp;"', 'mass_quantity' : '"&amp;ROUND(AA705,3)&amp;"', 'volume_unit' : '"&amp;AF705&amp;"', 'volume_quantity' : '"&amp;ROUND(AD705,3)&amp;"', 'pieces_unit' : '"&amp;AI705&amp;"', 'pieces_quantity' : '"&amp;ROUND(AG705,3)&amp;"', 'cooking_notes' : '"&amp;AJ705&amp;"'}).status_code; print('%s :: %s :: %s :: %s :: %s' %(a,"&amp;G705&amp;",'"&amp;X705&amp;"','"&amp;Y705&amp;"','"&amp;U705&amp;"'))"</f>
        <v>a = Client().post('/recipes/biryani-dum-layer/detail/', {'recipe' : '10', 'ingredient' : '186', 'name' : 'Starfal', 'mass_unit' : '7', 'mass_quantity' : '20', 'volume_unit' : '1', 'volume_quantity' : '0', 'pieces_unit' : '3', 'pieces_quantity' : '0', 'cooking_notes' : ''}).status_code; print('%s :: %s :: %s :: %s :: %s' %(a,705,'Starfal','starfal','Biryani Dum Layer'))</v>
      </c>
    </row>
    <row r="706" customFormat="false" ht="13.8" hidden="false" customHeight="false" outlineLevel="0" collapsed="false">
      <c r="G706" s="80" t="n">
        <v>706</v>
      </c>
      <c r="I706" s="83" t="s">
        <v>136</v>
      </c>
      <c r="J706" s="85" t="s">
        <v>757</v>
      </c>
      <c r="K706" s="146" t="n">
        <v>10</v>
      </c>
      <c r="L706" s="146" t="s">
        <v>109</v>
      </c>
      <c r="R706" s="82" t="str">
        <f aca="false">VLOOKUP(J706,ingredient!$N$4:$O$553,2,0)</f>
        <v>dagad ful</v>
      </c>
      <c r="U706" s="81" t="str">
        <f aca="false">I706</f>
        <v>Biryani Dum Layer</v>
      </c>
      <c r="V706" s="81" t="n">
        <f aca="false">VLOOKUP(U706,recipe_ingred_list!$A$2:$B$300,2,0)</f>
        <v>10</v>
      </c>
      <c r="W706" s="81" t="str">
        <f aca="false">"/recipes/"&amp;VLOOKUP(U706,recipe_ingred_list!$A$2:$C$300,3,0)&amp;"/detail/"</f>
        <v>/recipes/biryani-dum-layer/detail/</v>
      </c>
      <c r="X706" s="81" t="str">
        <f aca="false">J706</f>
        <v>Dagad Ful</v>
      </c>
      <c r="Y706" s="81" t="str">
        <f aca="false">R706</f>
        <v>dagad ful</v>
      </c>
      <c r="Z706" s="94" t="n">
        <f aca="false">VLOOKUP(Y706,recipe_ingred_list!$D$2:$E$500,2,0)</f>
        <v>58</v>
      </c>
      <c r="AA706" s="61" t="n">
        <f aca="false">K706</f>
        <v>10</v>
      </c>
      <c r="AB706" s="61" t="str">
        <f aca="false">L706</f>
        <v>gm</v>
      </c>
      <c r="AC706" s="61" t="n">
        <f aca="false">VLOOKUP(AB706,recipe_ingred_list!$K$2:$M$7,3,0)</f>
        <v>7</v>
      </c>
      <c r="AD706" s="61" t="n">
        <f aca="false">M706</f>
        <v>0</v>
      </c>
      <c r="AE706" s="61" t="n">
        <f aca="false">N706</f>
        <v>0</v>
      </c>
      <c r="AF706" s="61" t="n">
        <f aca="false">VLOOKUP(AE706,recipe_ingred_list!$K$16:$M$25,3,0)</f>
        <v>1</v>
      </c>
      <c r="AG706" s="61" t="n">
        <f aca="false">O706</f>
        <v>0</v>
      </c>
      <c r="AH706" s="61" t="n">
        <f aca="false">P706</f>
        <v>0</v>
      </c>
      <c r="AI706" s="61" t="n">
        <f aca="false">VLOOKUP(AH706,recipe_ingred_list!$K$29:$M$34,3,0)</f>
        <v>3</v>
      </c>
      <c r="AJ706" s="61" t="str">
        <f aca="false">IF(Q706="","",Q706)</f>
        <v/>
      </c>
      <c r="AK706" s="61" t="n">
        <f aca="false">AK705+1</f>
        <v>706</v>
      </c>
      <c r="AL706" s="61" t="str">
        <f aca="false">Y706</f>
        <v>dagad ful</v>
      </c>
      <c r="AM706" s="81" t="str">
        <f aca="false">"a = Client().post('"&amp;W706&amp;"', {'recipe' : '"&amp;V706&amp;"', 'ingredient' : '"&amp;Z706&amp;"', 'name' : '"&amp;X706&amp;"', 'mass_unit' : '"&amp;AC706&amp;"', 'mass_quantity' : '"&amp;ROUND(AA706,3)&amp;"', 'volume_unit' : '"&amp;AF706&amp;"', 'volume_quantity' : '"&amp;ROUND(AD706,3)&amp;"', 'pieces_unit' : '"&amp;AI706&amp;"', 'pieces_quantity' : '"&amp;ROUND(AG706,3)&amp;"', 'cooking_notes' : '"&amp;AJ706&amp;"'}).status_code; print('%s :: %s :: %s :: %s :: %s' %(a,"&amp;G706&amp;",'"&amp;X706&amp;"','"&amp;Y706&amp;"','"&amp;U706&amp;"'))"</f>
        <v>a = Client().post('/recipes/biryani-dum-layer/detail/', {'recipe' : '10', 'ingredient' : '58', 'name' : 'Dagad Ful', 'mass_unit' : '7', 'mass_quantity' : '10', 'volume_unit' : '1', 'volume_quantity' : '0', 'pieces_unit' : '3', 'pieces_quantity' : '0', 'cooking_notes' : ''}).status_code; print('%s :: %s :: %s :: %s :: %s' %(a,706,'Dagad Ful','dagad ful','Biryani Dum Layer'))</v>
      </c>
    </row>
    <row r="707" customFormat="false" ht="13.8" hidden="false" customHeight="false" outlineLevel="0" collapsed="false">
      <c r="G707" s="80" t="n">
        <v>707</v>
      </c>
      <c r="I707" s="83" t="s">
        <v>136</v>
      </c>
      <c r="J707" s="83" t="s">
        <v>758</v>
      </c>
      <c r="K707" s="61" t="n">
        <v>3</v>
      </c>
      <c r="L707" s="61" t="s">
        <v>109</v>
      </c>
      <c r="R707" s="82" t="str">
        <f aca="false">VLOOKUP(J707,ingredient!$N$4:$O$553,2,0)</f>
        <v>dalchini</v>
      </c>
      <c r="U707" s="81" t="str">
        <f aca="false">I707</f>
        <v>Biryani Dum Layer</v>
      </c>
      <c r="V707" s="81" t="n">
        <f aca="false">VLOOKUP(U707,recipe_ingred_list!$A$2:$B$300,2,0)</f>
        <v>10</v>
      </c>
      <c r="W707" s="81" t="str">
        <f aca="false">"/recipes/"&amp;VLOOKUP(U707,recipe_ingred_list!$A$2:$C$300,3,0)&amp;"/detail/"</f>
        <v>/recipes/biryani-dum-layer/detail/</v>
      </c>
      <c r="X707" s="81" t="str">
        <f aca="false">J707</f>
        <v>Dalchini</v>
      </c>
      <c r="Y707" s="81" t="str">
        <f aca="false">R707</f>
        <v>dalchini</v>
      </c>
      <c r="Z707" s="94" t="n">
        <f aca="false">VLOOKUP(Y707,recipe_ingred_list!$D$2:$E$500,2,0)</f>
        <v>61</v>
      </c>
      <c r="AA707" s="61" t="n">
        <f aca="false">K707</f>
        <v>3</v>
      </c>
      <c r="AB707" s="61" t="str">
        <f aca="false">L707</f>
        <v>gm</v>
      </c>
      <c r="AC707" s="61" t="n">
        <f aca="false">VLOOKUP(AB707,recipe_ingred_list!$K$2:$M$7,3,0)</f>
        <v>7</v>
      </c>
      <c r="AD707" s="61" t="n">
        <f aca="false">M707</f>
        <v>0</v>
      </c>
      <c r="AE707" s="61" t="n">
        <f aca="false">N707</f>
        <v>0</v>
      </c>
      <c r="AF707" s="61" t="n">
        <f aca="false">VLOOKUP(AE707,recipe_ingred_list!$K$16:$M$25,3,0)</f>
        <v>1</v>
      </c>
      <c r="AG707" s="61" t="n">
        <f aca="false">O707</f>
        <v>0</v>
      </c>
      <c r="AH707" s="61" t="n">
        <f aca="false">P707</f>
        <v>0</v>
      </c>
      <c r="AI707" s="61" t="n">
        <f aca="false">VLOOKUP(AH707,recipe_ingred_list!$K$29:$M$34,3,0)</f>
        <v>3</v>
      </c>
      <c r="AJ707" s="61" t="str">
        <f aca="false">IF(Q707="","",Q707)</f>
        <v/>
      </c>
      <c r="AK707" s="61" t="n">
        <f aca="false">AK706+1</f>
        <v>707</v>
      </c>
      <c r="AL707" s="61" t="str">
        <f aca="false">Y707</f>
        <v>dalchini</v>
      </c>
      <c r="AM707" s="81" t="str">
        <f aca="false">"a = Client().post('"&amp;W707&amp;"', {'recipe' : '"&amp;V707&amp;"', 'ingredient' : '"&amp;Z707&amp;"', 'name' : '"&amp;X707&amp;"', 'mass_unit' : '"&amp;AC707&amp;"', 'mass_quantity' : '"&amp;ROUND(AA707,3)&amp;"', 'volume_unit' : '"&amp;AF707&amp;"', 'volume_quantity' : '"&amp;ROUND(AD707,3)&amp;"', 'pieces_unit' : '"&amp;AI707&amp;"', 'pieces_quantity' : '"&amp;ROUND(AG707,3)&amp;"', 'cooking_notes' : '"&amp;AJ707&amp;"'}).status_code; print('%s :: %s :: %s :: %s :: %s' %(a,"&amp;G707&amp;",'"&amp;X707&amp;"','"&amp;Y707&amp;"','"&amp;U707&amp;"'))"</f>
        <v>a = Client().post('/recipes/biryani-dum-layer/detail/', {'recipe' : '10', 'ingredient' : '61', 'name' : 'Dalchini', 'mass_unit' : '7', 'mass_quantity' : '3', 'volume_unit' : '1', 'volume_quantity' : '0', 'pieces_unit' : '3', 'pieces_quantity' : '0', 'cooking_notes' : ''}).status_code; print('%s :: %s :: %s :: %s :: %s' %(a,707,'Dalchini','dalchini','Biryani Dum Layer'))</v>
      </c>
    </row>
    <row r="708" customFormat="false" ht="13.8" hidden="false" customHeight="false" outlineLevel="0" collapsed="false">
      <c r="G708" s="80" t="n">
        <v>708</v>
      </c>
      <c r="I708" s="83" t="s">
        <v>136</v>
      </c>
      <c r="J708" s="83" t="s">
        <v>759</v>
      </c>
      <c r="K708" s="61" t="n">
        <v>20</v>
      </c>
      <c r="L708" s="61" t="s">
        <v>109</v>
      </c>
      <c r="R708" s="82" t="str">
        <f aca="false">VLOOKUP(J708,ingredient!$N$4:$O$553,2,0)</f>
        <v>lavang</v>
      </c>
      <c r="U708" s="81" t="str">
        <f aca="false">I708</f>
        <v>Biryani Dum Layer</v>
      </c>
      <c r="V708" s="81" t="n">
        <f aca="false">VLOOKUP(U708,recipe_ingred_list!$A$2:$B$300,2,0)</f>
        <v>10</v>
      </c>
      <c r="W708" s="81" t="str">
        <f aca="false">"/recipes/"&amp;VLOOKUP(U708,recipe_ingred_list!$A$2:$C$300,3,0)&amp;"/detail/"</f>
        <v>/recipes/biryani-dum-layer/detail/</v>
      </c>
      <c r="X708" s="81" t="str">
        <f aca="false">J708</f>
        <v>Lavang</v>
      </c>
      <c r="Y708" s="81" t="str">
        <f aca="false">R708</f>
        <v>lavang</v>
      </c>
      <c r="Z708" s="94" t="n">
        <f aca="false">VLOOKUP(Y708,recipe_ingred_list!$D$2:$E$500,2,0)</f>
        <v>128</v>
      </c>
      <c r="AA708" s="61" t="n">
        <f aca="false">K708</f>
        <v>20</v>
      </c>
      <c r="AB708" s="61" t="str">
        <f aca="false">L708</f>
        <v>gm</v>
      </c>
      <c r="AC708" s="61" t="n">
        <f aca="false">VLOOKUP(AB708,recipe_ingred_list!$K$2:$M$7,3,0)</f>
        <v>7</v>
      </c>
      <c r="AD708" s="61" t="n">
        <f aca="false">M708</f>
        <v>0</v>
      </c>
      <c r="AE708" s="61" t="n">
        <f aca="false">N708</f>
        <v>0</v>
      </c>
      <c r="AF708" s="61" t="n">
        <f aca="false">VLOOKUP(AE708,recipe_ingred_list!$K$16:$M$25,3,0)</f>
        <v>1</v>
      </c>
      <c r="AG708" s="61" t="n">
        <f aca="false">O708</f>
        <v>0</v>
      </c>
      <c r="AH708" s="61" t="n">
        <f aca="false">P708</f>
        <v>0</v>
      </c>
      <c r="AI708" s="61" t="n">
        <f aca="false">VLOOKUP(AH708,recipe_ingred_list!$K$29:$M$34,3,0)</f>
        <v>3</v>
      </c>
      <c r="AJ708" s="61" t="str">
        <f aca="false">IF(Q708="","",Q708)</f>
        <v/>
      </c>
      <c r="AK708" s="61" t="n">
        <f aca="false">AK707+1</f>
        <v>708</v>
      </c>
      <c r="AL708" s="61" t="str">
        <f aca="false">Y708</f>
        <v>lavang</v>
      </c>
      <c r="AM708" s="81" t="str">
        <f aca="false">"a = Client().post('"&amp;W708&amp;"', {'recipe' : '"&amp;V708&amp;"', 'ingredient' : '"&amp;Z708&amp;"', 'name' : '"&amp;X708&amp;"', 'mass_unit' : '"&amp;AC708&amp;"', 'mass_quantity' : '"&amp;ROUND(AA708,3)&amp;"', 'volume_unit' : '"&amp;AF708&amp;"', 'volume_quantity' : '"&amp;ROUND(AD708,3)&amp;"', 'pieces_unit' : '"&amp;AI708&amp;"', 'pieces_quantity' : '"&amp;ROUND(AG708,3)&amp;"', 'cooking_notes' : '"&amp;AJ708&amp;"'}).status_code; print('%s :: %s :: %s :: %s :: %s' %(a,"&amp;G708&amp;",'"&amp;X708&amp;"','"&amp;Y708&amp;"','"&amp;U708&amp;"'))"</f>
        <v>a = Client().post('/recipes/biryani-dum-layer/detail/', {'recipe' : '10', 'ingredient' : '128', 'name' : 'Lavang', 'mass_unit' : '7', 'mass_quantity' : '20', 'volume_unit' : '1', 'volume_quantity' : '0', 'pieces_unit' : '3', 'pieces_quantity' : '0', 'cooking_notes' : ''}).status_code; print('%s :: %s :: %s :: %s :: %s' %(a,708,'Lavang','lavang','Biryani Dum Layer'))</v>
      </c>
    </row>
    <row r="709" customFormat="false" ht="13.8" hidden="false" customHeight="false" outlineLevel="0" collapsed="false">
      <c r="G709" s="80" t="n">
        <v>709</v>
      </c>
      <c r="I709" s="83" t="s">
        <v>136</v>
      </c>
      <c r="J709" s="83" t="s">
        <v>760</v>
      </c>
      <c r="K709" s="61" t="n">
        <v>20</v>
      </c>
      <c r="L709" s="61" t="s">
        <v>109</v>
      </c>
      <c r="R709" s="82" t="str">
        <f aca="false">VLOOKUP(J709,ingredient!$N$4:$O$553,2,0)</f>
        <v>kalimiri</v>
      </c>
      <c r="U709" s="81" t="str">
        <f aca="false">I709</f>
        <v>Biryani Dum Layer</v>
      </c>
      <c r="V709" s="81" t="n">
        <f aca="false">VLOOKUP(U709,recipe_ingred_list!$A$2:$B$300,2,0)</f>
        <v>10</v>
      </c>
      <c r="W709" s="81" t="str">
        <f aca="false">"/recipes/"&amp;VLOOKUP(U709,recipe_ingred_list!$A$2:$C$300,3,0)&amp;"/detail/"</f>
        <v>/recipes/biryani-dum-layer/detail/</v>
      </c>
      <c r="X709" s="81" t="str">
        <f aca="false">J709</f>
        <v>Kalimiri</v>
      </c>
      <c r="Y709" s="81" t="str">
        <f aca="false">R709</f>
        <v>kalimiri</v>
      </c>
      <c r="Z709" s="94" t="n">
        <f aca="false">VLOOKUP(Y709,recipe_ingred_list!$D$2:$E$500,2,0)</f>
        <v>113</v>
      </c>
      <c r="AA709" s="61" t="n">
        <f aca="false">K709</f>
        <v>20</v>
      </c>
      <c r="AB709" s="61" t="str">
        <f aca="false">L709</f>
        <v>gm</v>
      </c>
      <c r="AC709" s="61" t="n">
        <f aca="false">VLOOKUP(AB709,recipe_ingred_list!$K$2:$M$7,3,0)</f>
        <v>7</v>
      </c>
      <c r="AD709" s="61" t="n">
        <f aca="false">M709</f>
        <v>0</v>
      </c>
      <c r="AE709" s="61" t="n">
        <f aca="false">N709</f>
        <v>0</v>
      </c>
      <c r="AF709" s="61" t="n">
        <f aca="false">VLOOKUP(AE709,recipe_ingred_list!$K$16:$M$25,3,0)</f>
        <v>1</v>
      </c>
      <c r="AG709" s="61" t="n">
        <f aca="false">O709</f>
        <v>0</v>
      </c>
      <c r="AH709" s="61" t="n">
        <f aca="false">P709</f>
        <v>0</v>
      </c>
      <c r="AI709" s="61" t="n">
        <f aca="false">VLOOKUP(AH709,recipe_ingred_list!$K$29:$M$34,3,0)</f>
        <v>3</v>
      </c>
      <c r="AJ709" s="61" t="str">
        <f aca="false">IF(Q709="","",Q709)</f>
        <v/>
      </c>
      <c r="AK709" s="61" t="n">
        <f aca="false">AK708+1</f>
        <v>709</v>
      </c>
      <c r="AL709" s="61" t="str">
        <f aca="false">Y709</f>
        <v>kalimiri</v>
      </c>
      <c r="AM709" s="81" t="str">
        <f aca="false">"a = Client().post('"&amp;W709&amp;"', {'recipe' : '"&amp;V709&amp;"', 'ingredient' : '"&amp;Z709&amp;"', 'name' : '"&amp;X709&amp;"', 'mass_unit' : '"&amp;AC709&amp;"', 'mass_quantity' : '"&amp;ROUND(AA709,3)&amp;"', 'volume_unit' : '"&amp;AF709&amp;"', 'volume_quantity' : '"&amp;ROUND(AD709,3)&amp;"', 'pieces_unit' : '"&amp;AI709&amp;"', 'pieces_quantity' : '"&amp;ROUND(AG709,3)&amp;"', 'cooking_notes' : '"&amp;AJ709&amp;"'}).status_code; print('%s :: %s :: %s :: %s :: %s' %(a,"&amp;G709&amp;",'"&amp;X709&amp;"','"&amp;Y709&amp;"','"&amp;U709&amp;"'))"</f>
        <v>a = Client().post('/recipes/biryani-dum-layer/detail/', {'recipe' : '10', 'ingredient' : '113', 'name' : 'Kalimiri', 'mass_unit' : '7', 'mass_quantity' : '20', 'volume_unit' : '1', 'volume_quantity' : '0', 'pieces_unit' : '3', 'pieces_quantity' : '0', 'cooking_notes' : ''}).status_code; print('%s :: %s :: %s :: %s :: %s' %(a,709,'Kalimiri','kalimiri','Biryani Dum Layer'))</v>
      </c>
    </row>
    <row r="710" customFormat="false" ht="13.8" hidden="false" customHeight="false" outlineLevel="0" collapsed="false">
      <c r="G710" s="80" t="n">
        <v>710</v>
      </c>
      <c r="I710" s="83" t="s">
        <v>136</v>
      </c>
      <c r="J710" s="83" t="s">
        <v>761</v>
      </c>
      <c r="K710" s="61" t="n">
        <v>20</v>
      </c>
      <c r="L710" s="61" t="s">
        <v>109</v>
      </c>
      <c r="R710" s="82" t="str">
        <f aca="false">VLOOKUP(J710,ingredient!$N$4:$O$553,2,0)</f>
        <v>tej patta</v>
      </c>
      <c r="U710" s="81" t="str">
        <f aca="false">I710</f>
        <v>Biryani Dum Layer</v>
      </c>
      <c r="V710" s="81" t="n">
        <f aca="false">VLOOKUP(U710,recipe_ingred_list!$A$2:$B$300,2,0)</f>
        <v>10</v>
      </c>
      <c r="W710" s="81" t="str">
        <f aca="false">"/recipes/"&amp;VLOOKUP(U710,recipe_ingred_list!$A$2:$C$300,3,0)&amp;"/detail/"</f>
        <v>/recipes/biryani-dum-layer/detail/</v>
      </c>
      <c r="X710" s="81" t="str">
        <f aca="false">J710</f>
        <v>Tej Patta</v>
      </c>
      <c r="Y710" s="81" t="str">
        <f aca="false">R710</f>
        <v>tej patta</v>
      </c>
      <c r="Z710" s="94" t="n">
        <f aca="false">VLOOKUP(Y710,recipe_ingred_list!$D$2:$E$500,2,0)</f>
        <v>191</v>
      </c>
      <c r="AA710" s="61" t="n">
        <f aca="false">K710</f>
        <v>20</v>
      </c>
      <c r="AB710" s="61" t="str">
        <f aca="false">L710</f>
        <v>gm</v>
      </c>
      <c r="AC710" s="61" t="n">
        <f aca="false">VLOOKUP(AB710,recipe_ingred_list!$K$2:$M$7,3,0)</f>
        <v>7</v>
      </c>
      <c r="AD710" s="61" t="n">
        <f aca="false">M710</f>
        <v>0</v>
      </c>
      <c r="AE710" s="61" t="n">
        <f aca="false">N710</f>
        <v>0</v>
      </c>
      <c r="AF710" s="61" t="n">
        <f aca="false">VLOOKUP(AE710,recipe_ingred_list!$K$16:$M$25,3,0)</f>
        <v>1</v>
      </c>
      <c r="AG710" s="61" t="n">
        <f aca="false">O710</f>
        <v>0</v>
      </c>
      <c r="AH710" s="61" t="n">
        <f aca="false">P710</f>
        <v>0</v>
      </c>
      <c r="AI710" s="61" t="n">
        <f aca="false">VLOOKUP(AH710,recipe_ingred_list!$K$29:$M$34,3,0)</f>
        <v>3</v>
      </c>
      <c r="AJ710" s="61" t="str">
        <f aca="false">IF(Q710="","",Q710)</f>
        <v/>
      </c>
      <c r="AK710" s="61" t="n">
        <f aca="false">AK709+1</f>
        <v>710</v>
      </c>
      <c r="AL710" s="61" t="str">
        <f aca="false">Y710</f>
        <v>tej patta</v>
      </c>
      <c r="AM710" s="81" t="str">
        <f aca="false">"a = Client().post('"&amp;W710&amp;"', {'recipe' : '"&amp;V710&amp;"', 'ingredient' : '"&amp;Z710&amp;"', 'name' : '"&amp;X710&amp;"', 'mass_unit' : '"&amp;AC710&amp;"', 'mass_quantity' : '"&amp;ROUND(AA710,3)&amp;"', 'volume_unit' : '"&amp;AF710&amp;"', 'volume_quantity' : '"&amp;ROUND(AD710,3)&amp;"', 'pieces_unit' : '"&amp;AI710&amp;"', 'pieces_quantity' : '"&amp;ROUND(AG710,3)&amp;"', 'cooking_notes' : '"&amp;AJ710&amp;"'}).status_code; print('%s :: %s :: %s :: %s :: %s' %(a,"&amp;G710&amp;",'"&amp;X710&amp;"','"&amp;Y710&amp;"','"&amp;U710&amp;"'))"</f>
        <v>a = Client().post('/recipes/biryani-dum-layer/detail/', {'recipe' : '10', 'ingredient' : '191', 'name' : 'Tej Patta', 'mass_unit' : '7', 'mass_quantity' : '20', 'volume_unit' : '1', 'volume_quantity' : '0', 'pieces_unit' : '3', 'pieces_quantity' : '0', 'cooking_notes' : ''}).status_code; print('%s :: %s :: %s :: %s :: %s' %(a,710,'Tej Patta','tej patta','Biryani Dum Layer'))</v>
      </c>
    </row>
    <row r="711" customFormat="false" ht="13.8" hidden="false" customHeight="false" outlineLevel="0" collapsed="false">
      <c r="G711" s="80" t="n">
        <v>711</v>
      </c>
      <c r="I711" s="83" t="s">
        <v>136</v>
      </c>
      <c r="J711" s="85" t="s">
        <v>762</v>
      </c>
      <c r="K711" s="146" t="n">
        <v>20</v>
      </c>
      <c r="L711" s="146" t="s">
        <v>109</v>
      </c>
      <c r="R711" s="82" t="str">
        <f aca="false">VLOOKUP(J711,ingredient!$N$4:$O$553,2,0)</f>
        <v>elaichi</v>
      </c>
      <c r="U711" s="81" t="str">
        <f aca="false">I711</f>
        <v>Biryani Dum Layer</v>
      </c>
      <c r="V711" s="81" t="n">
        <f aca="false">VLOOKUP(U711,recipe_ingred_list!$A$2:$B$300,2,0)</f>
        <v>10</v>
      </c>
      <c r="W711" s="81" t="str">
        <f aca="false">"/recipes/"&amp;VLOOKUP(U711,recipe_ingred_list!$A$2:$C$300,3,0)&amp;"/detail/"</f>
        <v>/recipes/biryani-dum-layer/detail/</v>
      </c>
      <c r="X711" s="81" t="str">
        <f aca="false">J711</f>
        <v>Masala Elaichi</v>
      </c>
      <c r="Y711" s="81" t="str">
        <f aca="false">R711</f>
        <v>elaichi</v>
      </c>
      <c r="Z711" s="94" t="n">
        <f aca="false">VLOOKUP(Y711,recipe_ingred_list!$D$2:$E$500,2,0)</f>
        <v>70</v>
      </c>
      <c r="AA711" s="61" t="n">
        <f aca="false">K711</f>
        <v>20</v>
      </c>
      <c r="AB711" s="61" t="str">
        <f aca="false">L711</f>
        <v>gm</v>
      </c>
      <c r="AC711" s="61" t="n">
        <f aca="false">VLOOKUP(AB711,recipe_ingred_list!$K$2:$M$7,3,0)</f>
        <v>7</v>
      </c>
      <c r="AD711" s="61" t="n">
        <f aca="false">M711</f>
        <v>0</v>
      </c>
      <c r="AE711" s="61" t="n">
        <f aca="false">N711</f>
        <v>0</v>
      </c>
      <c r="AF711" s="61" t="n">
        <f aca="false">VLOOKUP(AE711,recipe_ingred_list!$K$16:$M$25,3,0)</f>
        <v>1</v>
      </c>
      <c r="AG711" s="61" t="n">
        <f aca="false">O711</f>
        <v>0</v>
      </c>
      <c r="AH711" s="61" t="n">
        <f aca="false">P711</f>
        <v>0</v>
      </c>
      <c r="AI711" s="61" t="n">
        <f aca="false">VLOOKUP(AH711,recipe_ingred_list!$K$29:$M$34,3,0)</f>
        <v>3</v>
      </c>
      <c r="AJ711" s="61" t="str">
        <f aca="false">IF(Q711="","",Q711)</f>
        <v/>
      </c>
      <c r="AK711" s="61" t="n">
        <f aca="false">AK710+1</f>
        <v>711</v>
      </c>
      <c r="AL711" s="61" t="str">
        <f aca="false">Y711</f>
        <v>elaichi</v>
      </c>
      <c r="AM711" s="81" t="str">
        <f aca="false">"a = Client().post('"&amp;W711&amp;"', {'recipe' : '"&amp;V711&amp;"', 'ingredient' : '"&amp;Z711&amp;"', 'name' : '"&amp;X711&amp;"', 'mass_unit' : '"&amp;AC711&amp;"', 'mass_quantity' : '"&amp;ROUND(AA711,3)&amp;"', 'volume_unit' : '"&amp;AF711&amp;"', 'volume_quantity' : '"&amp;ROUND(AD711,3)&amp;"', 'pieces_unit' : '"&amp;AI711&amp;"', 'pieces_quantity' : '"&amp;ROUND(AG711,3)&amp;"', 'cooking_notes' : '"&amp;AJ711&amp;"'}).status_code; print('%s :: %s :: %s :: %s :: %s' %(a,"&amp;G711&amp;",'"&amp;X711&amp;"','"&amp;Y711&amp;"','"&amp;U711&amp;"'))"</f>
        <v>a = Client().post('/recipes/biryani-dum-layer/detail/', {'recipe' : '10', 'ingredient' : '70', 'name' : 'Masala Elaichi', 'mass_unit' : '7', 'mass_quantity' : '20', 'volume_unit' : '1', 'volume_quantity' : '0', 'pieces_unit' : '3', 'pieces_quantity' : '0', 'cooking_notes' : ''}).status_code; print('%s :: %s :: %s :: %s :: %s' %(a,711,'Masala Elaichi','elaichi','Biryani Dum Layer'))</v>
      </c>
    </row>
    <row r="712" customFormat="false" ht="13.8" hidden="false" customHeight="false" outlineLevel="0" collapsed="false">
      <c r="G712" s="80" t="n">
        <v>712</v>
      </c>
      <c r="I712" s="83" t="s">
        <v>136</v>
      </c>
      <c r="J712" s="83" t="s">
        <v>763</v>
      </c>
      <c r="K712" s="61" t="n">
        <v>20</v>
      </c>
      <c r="L712" s="61" t="s">
        <v>109</v>
      </c>
      <c r="R712" s="82" t="str">
        <f aca="false">VLOOKUP(J712,ingredient!$N$4:$O$553,2,0)</f>
        <v>green elaichi</v>
      </c>
      <c r="U712" s="81" t="str">
        <f aca="false">I712</f>
        <v>Biryani Dum Layer</v>
      </c>
      <c r="V712" s="81" t="n">
        <f aca="false">VLOOKUP(U712,recipe_ingred_list!$A$2:$B$300,2,0)</f>
        <v>10</v>
      </c>
      <c r="W712" s="81" t="str">
        <f aca="false">"/recipes/"&amp;VLOOKUP(U712,recipe_ingred_list!$A$2:$C$300,3,0)&amp;"/detail/"</f>
        <v>/recipes/biryani-dum-layer/detail/</v>
      </c>
      <c r="X712" s="81" t="str">
        <f aca="false">J712</f>
        <v>Green Elaichi</v>
      </c>
      <c r="Y712" s="81" t="str">
        <f aca="false">R712</f>
        <v>green elaichi</v>
      </c>
      <c r="Z712" s="94" t="n">
        <f aca="false">VLOOKUP(Y712,recipe_ingred_list!$D$2:$E$500,2,0)</f>
        <v>86</v>
      </c>
      <c r="AA712" s="61" t="n">
        <f aca="false">K712</f>
        <v>20</v>
      </c>
      <c r="AB712" s="61" t="str">
        <f aca="false">L712</f>
        <v>gm</v>
      </c>
      <c r="AC712" s="61" t="n">
        <f aca="false">VLOOKUP(AB712,recipe_ingred_list!$K$2:$M$7,3,0)</f>
        <v>7</v>
      </c>
      <c r="AD712" s="61" t="n">
        <f aca="false">M712</f>
        <v>0</v>
      </c>
      <c r="AE712" s="61" t="n">
        <f aca="false">N712</f>
        <v>0</v>
      </c>
      <c r="AF712" s="61" t="n">
        <f aca="false">VLOOKUP(AE712,recipe_ingred_list!$K$16:$M$25,3,0)</f>
        <v>1</v>
      </c>
      <c r="AG712" s="61" t="n">
        <f aca="false">O712</f>
        <v>0</v>
      </c>
      <c r="AH712" s="61" t="n">
        <f aca="false">P712</f>
        <v>0</v>
      </c>
      <c r="AI712" s="61" t="n">
        <f aca="false">VLOOKUP(AH712,recipe_ingred_list!$K$29:$M$34,3,0)</f>
        <v>3</v>
      </c>
      <c r="AJ712" s="61" t="str">
        <f aca="false">IF(Q712="","",Q712)</f>
        <v/>
      </c>
      <c r="AK712" s="61" t="n">
        <f aca="false">AK711+1</f>
        <v>712</v>
      </c>
      <c r="AL712" s="61" t="str">
        <f aca="false">Y712</f>
        <v>green elaichi</v>
      </c>
      <c r="AM712" s="81" t="str">
        <f aca="false">"a = Client().post('"&amp;W712&amp;"', {'recipe' : '"&amp;V712&amp;"', 'ingredient' : '"&amp;Z712&amp;"', 'name' : '"&amp;X712&amp;"', 'mass_unit' : '"&amp;AC712&amp;"', 'mass_quantity' : '"&amp;ROUND(AA712,3)&amp;"', 'volume_unit' : '"&amp;AF712&amp;"', 'volume_quantity' : '"&amp;ROUND(AD712,3)&amp;"', 'pieces_unit' : '"&amp;AI712&amp;"', 'pieces_quantity' : '"&amp;ROUND(AG712,3)&amp;"', 'cooking_notes' : '"&amp;AJ712&amp;"'}).status_code; print('%s :: %s :: %s :: %s :: %s' %(a,"&amp;G712&amp;",'"&amp;X712&amp;"','"&amp;Y712&amp;"','"&amp;U712&amp;"'))"</f>
        <v>a = Client().post('/recipes/biryani-dum-layer/detail/', {'recipe' : '10', 'ingredient' : '86', 'name' : 'Green Elaichi', 'mass_unit' : '7', 'mass_quantity' : '20', 'volume_unit' : '1', 'volume_quantity' : '0', 'pieces_unit' : '3', 'pieces_quantity' : '0', 'cooking_notes' : ''}).status_code; print('%s :: %s :: %s :: %s :: %s' %(a,712,'Green Elaichi','green elaichi','Biryani Dum Layer'))</v>
      </c>
    </row>
    <row r="713" customFormat="false" ht="13.8" hidden="false" customHeight="false" outlineLevel="0" collapsed="false">
      <c r="G713" s="80" t="n">
        <v>713</v>
      </c>
      <c r="I713" s="83" t="s">
        <v>136</v>
      </c>
      <c r="J713" s="83" t="s">
        <v>764</v>
      </c>
      <c r="K713" s="61" t="n">
        <v>20</v>
      </c>
      <c r="L713" s="61" t="s">
        <v>109</v>
      </c>
      <c r="R713" s="82" t="str">
        <f aca="false">VLOOKUP(J713,ingredient!$N$4:$O$553,2,0)</f>
        <v>jaiwantri</v>
      </c>
      <c r="U713" s="81" t="str">
        <f aca="false">I713</f>
        <v>Biryani Dum Layer</v>
      </c>
      <c r="V713" s="81" t="n">
        <f aca="false">VLOOKUP(U713,recipe_ingred_list!$A$2:$B$300,2,0)</f>
        <v>10</v>
      </c>
      <c r="W713" s="81" t="str">
        <f aca="false">"/recipes/"&amp;VLOOKUP(U713,recipe_ingred_list!$A$2:$C$300,3,0)&amp;"/detail/"</f>
        <v>/recipes/biryani-dum-layer/detail/</v>
      </c>
      <c r="X713" s="81" t="str">
        <f aca="false">J713</f>
        <v>Jaiwantri</v>
      </c>
      <c r="Y713" s="81" t="str">
        <f aca="false">R713</f>
        <v>jaiwantri</v>
      </c>
      <c r="Z713" s="94" t="n">
        <f aca="false">VLOOKUP(Y713,recipe_ingred_list!$D$2:$E$500,2,0)</f>
        <v>101</v>
      </c>
      <c r="AA713" s="61" t="n">
        <f aca="false">K713</f>
        <v>20</v>
      </c>
      <c r="AB713" s="61" t="str">
        <f aca="false">L713</f>
        <v>gm</v>
      </c>
      <c r="AC713" s="61" t="n">
        <f aca="false">VLOOKUP(AB713,recipe_ingred_list!$K$2:$M$7,3,0)</f>
        <v>7</v>
      </c>
      <c r="AD713" s="61" t="n">
        <f aca="false">M713</f>
        <v>0</v>
      </c>
      <c r="AE713" s="61" t="n">
        <f aca="false">N713</f>
        <v>0</v>
      </c>
      <c r="AF713" s="61" t="n">
        <f aca="false">VLOOKUP(AE713,recipe_ingred_list!$K$16:$M$25,3,0)</f>
        <v>1</v>
      </c>
      <c r="AG713" s="61" t="n">
        <f aca="false">O713</f>
        <v>0</v>
      </c>
      <c r="AH713" s="61" t="n">
        <f aca="false">P713</f>
        <v>0</v>
      </c>
      <c r="AI713" s="61" t="n">
        <f aca="false">VLOOKUP(AH713,recipe_ingred_list!$K$29:$M$34,3,0)</f>
        <v>3</v>
      </c>
      <c r="AJ713" s="61" t="str">
        <f aca="false">IF(Q713="","",Q713)</f>
        <v/>
      </c>
      <c r="AK713" s="61" t="n">
        <f aca="false">AK712+1</f>
        <v>713</v>
      </c>
      <c r="AL713" s="61" t="str">
        <f aca="false">Y713</f>
        <v>jaiwantri</v>
      </c>
      <c r="AM713" s="81" t="str">
        <f aca="false">"a = Client().post('"&amp;W713&amp;"', {'recipe' : '"&amp;V713&amp;"', 'ingredient' : '"&amp;Z713&amp;"', 'name' : '"&amp;X713&amp;"', 'mass_unit' : '"&amp;AC713&amp;"', 'mass_quantity' : '"&amp;ROUND(AA713,3)&amp;"', 'volume_unit' : '"&amp;AF713&amp;"', 'volume_quantity' : '"&amp;ROUND(AD713,3)&amp;"', 'pieces_unit' : '"&amp;AI713&amp;"', 'pieces_quantity' : '"&amp;ROUND(AG713,3)&amp;"', 'cooking_notes' : '"&amp;AJ713&amp;"'}).status_code; print('%s :: %s :: %s :: %s :: %s' %(a,"&amp;G713&amp;",'"&amp;X713&amp;"','"&amp;Y713&amp;"','"&amp;U713&amp;"'))"</f>
        <v>a = Client().post('/recipes/biryani-dum-layer/detail/', {'recipe' : '10', 'ingredient' : '101', 'name' : 'Jaiwantri', 'mass_unit' : '7', 'mass_quantity' : '20', 'volume_unit' : '1', 'volume_quantity' : '0', 'pieces_unit' : '3', 'pieces_quantity' : '0', 'cooking_notes' : ''}).status_code; print('%s :: %s :: %s :: %s :: %s' %(a,713,'Jaiwantri','jaiwantri','Biryani Dum Layer'))</v>
      </c>
    </row>
    <row r="714" customFormat="false" ht="13.8" hidden="false" customHeight="false" outlineLevel="0" collapsed="false">
      <c r="G714" s="80" t="n">
        <v>714</v>
      </c>
      <c r="I714" s="83" t="s">
        <v>136</v>
      </c>
      <c r="J714" s="83" t="s">
        <v>14</v>
      </c>
      <c r="K714" s="61" t="n">
        <v>20</v>
      </c>
      <c r="L714" s="61" t="s">
        <v>109</v>
      </c>
      <c r="R714" s="82" t="str">
        <f aca="false">VLOOKUP(J714,ingredient!$N$4:$O$553,2,0)</f>
        <v>jeera</v>
      </c>
      <c r="U714" s="81" t="str">
        <f aca="false">I714</f>
        <v>Biryani Dum Layer</v>
      </c>
      <c r="V714" s="81" t="n">
        <f aca="false">VLOOKUP(U714,recipe_ingred_list!$A$2:$B$300,2,0)</f>
        <v>10</v>
      </c>
      <c r="W714" s="81" t="str">
        <f aca="false">"/recipes/"&amp;VLOOKUP(U714,recipe_ingred_list!$A$2:$C$300,3,0)&amp;"/detail/"</f>
        <v>/recipes/biryani-dum-layer/detail/</v>
      </c>
      <c r="X714" s="81" t="str">
        <f aca="false">J714</f>
        <v>Jeera</v>
      </c>
      <c r="Y714" s="81" t="str">
        <f aca="false">R714</f>
        <v>jeera</v>
      </c>
      <c r="Z714" s="94" t="n">
        <f aca="false">VLOOKUP(Y714,recipe_ingred_list!$D$2:$E$500,2,0)</f>
        <v>102</v>
      </c>
      <c r="AA714" s="61" t="n">
        <f aca="false">K714</f>
        <v>20</v>
      </c>
      <c r="AB714" s="61" t="str">
        <f aca="false">L714</f>
        <v>gm</v>
      </c>
      <c r="AC714" s="61" t="n">
        <f aca="false">VLOOKUP(AB714,recipe_ingred_list!$K$2:$M$7,3,0)</f>
        <v>7</v>
      </c>
      <c r="AD714" s="61" t="n">
        <f aca="false">M714</f>
        <v>0</v>
      </c>
      <c r="AE714" s="61" t="n">
        <f aca="false">N714</f>
        <v>0</v>
      </c>
      <c r="AF714" s="61" t="n">
        <f aca="false">VLOOKUP(AE714,recipe_ingred_list!$K$16:$M$25,3,0)</f>
        <v>1</v>
      </c>
      <c r="AG714" s="61" t="n">
        <f aca="false">O714</f>
        <v>0</v>
      </c>
      <c r="AH714" s="61" t="n">
        <f aca="false">P714</f>
        <v>0</v>
      </c>
      <c r="AI714" s="61" t="n">
        <f aca="false">VLOOKUP(AH714,recipe_ingred_list!$K$29:$M$34,3,0)</f>
        <v>3</v>
      </c>
      <c r="AJ714" s="61" t="str">
        <f aca="false">IF(Q714="","",Q714)</f>
        <v/>
      </c>
      <c r="AK714" s="61" t="n">
        <f aca="false">AK713+1</f>
        <v>714</v>
      </c>
      <c r="AL714" s="61" t="str">
        <f aca="false">Y714</f>
        <v>jeera</v>
      </c>
      <c r="AM714" s="81" t="str">
        <f aca="false">"a = Client().post('"&amp;W714&amp;"', {'recipe' : '"&amp;V714&amp;"', 'ingredient' : '"&amp;Z714&amp;"', 'name' : '"&amp;X714&amp;"', 'mass_unit' : '"&amp;AC714&amp;"', 'mass_quantity' : '"&amp;ROUND(AA714,3)&amp;"', 'volume_unit' : '"&amp;AF714&amp;"', 'volume_quantity' : '"&amp;ROUND(AD714,3)&amp;"', 'pieces_unit' : '"&amp;AI714&amp;"', 'pieces_quantity' : '"&amp;ROUND(AG714,3)&amp;"', 'cooking_notes' : '"&amp;AJ714&amp;"'}).status_code; print('%s :: %s :: %s :: %s :: %s' %(a,"&amp;G714&amp;",'"&amp;X714&amp;"','"&amp;Y714&amp;"','"&amp;U714&amp;"'))"</f>
        <v>a = Client().post('/recipes/biryani-dum-layer/detail/', {'recipe' : '10', 'ingredient' : '102', 'name' : 'Jeera', 'mass_unit' : '7', 'mass_quantity' : '20', 'volume_unit' : '1', 'volume_quantity' : '0', 'pieces_unit' : '3', 'pieces_quantity' : '0', 'cooking_notes' : ''}).status_code; print('%s :: %s :: %s :: %s :: %s' %(a,714,'Jeera','jeera','Biryani Dum Layer'))</v>
      </c>
    </row>
    <row r="715" customFormat="false" ht="13.8" hidden="false" customHeight="false" outlineLevel="0" collapsed="false">
      <c r="G715" s="80" t="n">
        <v>715</v>
      </c>
      <c r="I715" s="83" t="s">
        <v>136</v>
      </c>
      <c r="J715" s="83" t="s">
        <v>765</v>
      </c>
      <c r="K715" s="61" t="n">
        <v>20</v>
      </c>
      <c r="L715" s="61" t="s">
        <v>109</v>
      </c>
      <c r="R715" s="82" t="str">
        <f aca="false">VLOOKUP(J715,ingredient!$N$4:$O$553,2,0)</f>
        <v>kasuri methi</v>
      </c>
      <c r="U715" s="81" t="str">
        <f aca="false">I715</f>
        <v>Biryani Dum Layer</v>
      </c>
      <c r="V715" s="81" t="n">
        <f aca="false">VLOOKUP(U715,recipe_ingred_list!$A$2:$B$300,2,0)</f>
        <v>10</v>
      </c>
      <c r="W715" s="81" t="str">
        <f aca="false">"/recipes/"&amp;VLOOKUP(U715,recipe_ingred_list!$A$2:$C$300,3,0)&amp;"/detail/"</f>
        <v>/recipes/biryani-dum-layer/detail/</v>
      </c>
      <c r="X715" s="81" t="str">
        <f aca="false">J715</f>
        <v>Kasuri Methi</v>
      </c>
      <c r="Y715" s="81" t="str">
        <f aca="false">R715</f>
        <v>kasuri methi</v>
      </c>
      <c r="Z715" s="94" t="n">
        <f aca="false">VLOOKUP(Y715,recipe_ingred_list!$D$2:$E$500,2,0)</f>
        <v>118</v>
      </c>
      <c r="AA715" s="61" t="n">
        <f aca="false">K715</f>
        <v>20</v>
      </c>
      <c r="AB715" s="61" t="str">
        <f aca="false">L715</f>
        <v>gm</v>
      </c>
      <c r="AC715" s="61" t="n">
        <f aca="false">VLOOKUP(AB715,recipe_ingred_list!$K$2:$M$7,3,0)</f>
        <v>7</v>
      </c>
      <c r="AD715" s="61" t="n">
        <f aca="false">M715</f>
        <v>0</v>
      </c>
      <c r="AE715" s="61" t="n">
        <f aca="false">N715</f>
        <v>0</v>
      </c>
      <c r="AF715" s="61" t="n">
        <f aca="false">VLOOKUP(AE715,recipe_ingred_list!$K$16:$M$25,3,0)</f>
        <v>1</v>
      </c>
      <c r="AG715" s="61" t="n">
        <f aca="false">O715</f>
        <v>0</v>
      </c>
      <c r="AH715" s="61" t="n">
        <f aca="false">P715</f>
        <v>0</v>
      </c>
      <c r="AI715" s="61" t="n">
        <f aca="false">VLOOKUP(AH715,recipe_ingred_list!$K$29:$M$34,3,0)</f>
        <v>3</v>
      </c>
      <c r="AJ715" s="61" t="str">
        <f aca="false">IF(Q715="","",Q715)</f>
        <v/>
      </c>
      <c r="AK715" s="61" t="n">
        <f aca="false">AK714+1</f>
        <v>715</v>
      </c>
      <c r="AL715" s="61" t="str">
        <f aca="false">Y715</f>
        <v>kasuri methi</v>
      </c>
      <c r="AM715" s="81" t="str">
        <f aca="false">"a = Client().post('"&amp;W715&amp;"', {'recipe' : '"&amp;V715&amp;"', 'ingredient' : '"&amp;Z715&amp;"', 'name' : '"&amp;X715&amp;"', 'mass_unit' : '"&amp;AC715&amp;"', 'mass_quantity' : '"&amp;ROUND(AA715,3)&amp;"', 'volume_unit' : '"&amp;AF715&amp;"', 'volume_quantity' : '"&amp;ROUND(AD715,3)&amp;"', 'pieces_unit' : '"&amp;AI715&amp;"', 'pieces_quantity' : '"&amp;ROUND(AG715,3)&amp;"', 'cooking_notes' : '"&amp;AJ715&amp;"'}).status_code; print('%s :: %s :: %s :: %s :: %s' %(a,"&amp;G715&amp;",'"&amp;X715&amp;"','"&amp;Y715&amp;"','"&amp;U715&amp;"'))"</f>
        <v>a = Client().post('/recipes/biryani-dum-layer/detail/', {'recipe' : '10', 'ingredient' : '118', 'name' : 'Kasuri Methi', 'mass_unit' : '7', 'mass_quantity' : '20', 'volume_unit' : '1', 'volume_quantity' : '0', 'pieces_unit' : '3', 'pieces_quantity' : '0', 'cooking_notes' : ''}).status_code; print('%s :: %s :: %s :: %s :: %s' %(a,715,'Kasuri Methi','kasuri methi','Biryani Dum Layer'))</v>
      </c>
    </row>
    <row r="716" customFormat="false" ht="13.8" hidden="false" customHeight="false" outlineLevel="0" collapsed="false">
      <c r="G716" s="80" t="n">
        <v>716</v>
      </c>
      <c r="I716" s="83" t="s">
        <v>136</v>
      </c>
      <c r="J716" s="83" t="s">
        <v>766</v>
      </c>
      <c r="K716" s="61" t="n">
        <v>50</v>
      </c>
      <c r="L716" s="61" t="s">
        <v>109</v>
      </c>
      <c r="R716" s="82" t="str">
        <f aca="false">VLOOKUP(J716,ingredient!$N$4:$O$553,2,0)</f>
        <v>kashmiri chilly powder</v>
      </c>
      <c r="U716" s="81" t="str">
        <f aca="false">I716</f>
        <v>Biryani Dum Layer</v>
      </c>
      <c r="V716" s="81" t="n">
        <f aca="false">VLOOKUP(U716,recipe_ingred_list!$A$2:$B$300,2,0)</f>
        <v>10</v>
      </c>
      <c r="W716" s="81" t="str">
        <f aca="false">"/recipes/"&amp;VLOOKUP(U716,recipe_ingred_list!$A$2:$C$300,3,0)&amp;"/detail/"</f>
        <v>/recipes/biryani-dum-layer/detail/</v>
      </c>
      <c r="X716" s="81" t="str">
        <f aca="false">J716</f>
        <v>Kasmiri Mirchi</v>
      </c>
      <c r="Y716" s="81" t="str">
        <f aca="false">R716</f>
        <v>kashmiri chilly powder</v>
      </c>
      <c r="Z716" s="94" t="n">
        <f aca="false">VLOOKUP(Y716,recipe_ingred_list!$D$2:$E$500,2,0)</f>
        <v>117</v>
      </c>
      <c r="AA716" s="61" t="n">
        <f aca="false">K716</f>
        <v>50</v>
      </c>
      <c r="AB716" s="61" t="str">
        <f aca="false">L716</f>
        <v>gm</v>
      </c>
      <c r="AC716" s="61" t="n">
        <f aca="false">VLOOKUP(AB716,recipe_ingred_list!$K$2:$M$7,3,0)</f>
        <v>7</v>
      </c>
      <c r="AD716" s="61" t="n">
        <f aca="false">M716</f>
        <v>0</v>
      </c>
      <c r="AE716" s="61" t="n">
        <f aca="false">N716</f>
        <v>0</v>
      </c>
      <c r="AF716" s="61" t="n">
        <f aca="false">VLOOKUP(AE716,recipe_ingred_list!$K$16:$M$25,3,0)</f>
        <v>1</v>
      </c>
      <c r="AG716" s="61" t="n">
        <f aca="false">O716</f>
        <v>0</v>
      </c>
      <c r="AH716" s="61" t="n">
        <f aca="false">P716</f>
        <v>0</v>
      </c>
      <c r="AI716" s="61" t="n">
        <f aca="false">VLOOKUP(AH716,recipe_ingred_list!$K$29:$M$34,3,0)</f>
        <v>3</v>
      </c>
      <c r="AJ716" s="61" t="str">
        <f aca="false">IF(Q716="","",Q716)</f>
        <v/>
      </c>
      <c r="AK716" s="61" t="n">
        <f aca="false">AK715+1</f>
        <v>716</v>
      </c>
      <c r="AL716" s="61" t="str">
        <f aca="false">Y716</f>
        <v>kashmiri chilly powder</v>
      </c>
      <c r="AM716" s="81" t="str">
        <f aca="false">"a = Client().post('"&amp;W716&amp;"', {'recipe' : '"&amp;V716&amp;"', 'ingredient' : '"&amp;Z716&amp;"', 'name' : '"&amp;X716&amp;"', 'mass_unit' : '"&amp;AC716&amp;"', 'mass_quantity' : '"&amp;ROUND(AA716,3)&amp;"', 'volume_unit' : '"&amp;AF716&amp;"', 'volume_quantity' : '"&amp;ROUND(AD716,3)&amp;"', 'pieces_unit' : '"&amp;AI716&amp;"', 'pieces_quantity' : '"&amp;ROUND(AG716,3)&amp;"', 'cooking_notes' : '"&amp;AJ716&amp;"'}).status_code; print('%s :: %s :: %s :: %s :: %s' %(a,"&amp;G716&amp;",'"&amp;X716&amp;"','"&amp;Y716&amp;"','"&amp;U716&amp;"'))"</f>
        <v>a = Client().post('/recipes/biryani-dum-layer/detail/', {'recipe' : '10', 'ingredient' : '117', 'name' : 'Kasmiri Mirchi', 'mass_unit' : '7', 'mass_quantity' : '50', 'volume_unit' : '1', 'volume_quantity' : '0', 'pieces_unit' : '3', 'pieces_quantity' : '0', 'cooking_notes' : ''}).status_code; print('%s :: %s :: %s :: %s :: %s' %(a,716,'Kasmiri Mirchi','kashmiri chilly powder','Biryani Dum Layer'))</v>
      </c>
    </row>
    <row r="717" customFormat="false" ht="13.8" hidden="false" customHeight="false" outlineLevel="0" collapsed="false">
      <c r="G717" s="80" t="n">
        <v>717</v>
      </c>
      <c r="H717" s="98"/>
      <c r="I717" s="79" t="s">
        <v>136</v>
      </c>
      <c r="J717" s="79"/>
      <c r="K717" s="100"/>
      <c r="L717" s="100"/>
      <c r="M717" s="100"/>
      <c r="N717" s="100"/>
      <c r="O717" s="101"/>
      <c r="P717" s="100"/>
      <c r="Q717" s="102"/>
      <c r="R717" s="99"/>
      <c r="S717" s="98"/>
      <c r="T717" s="98"/>
      <c r="U717" s="81" t="str">
        <f aca="false">I717</f>
        <v>Biryani Dum Layer</v>
      </c>
      <c r="V717" s="81" t="n">
        <f aca="false">VLOOKUP(U717,recipe_ingred_list!$A$2:$B$300,2,0)</f>
        <v>10</v>
      </c>
      <c r="W717" s="81" t="str">
        <f aca="false">"/recipes/"&amp;VLOOKUP(U717,recipe_ingred_list!$A$2:$C$300,3,0)&amp;"/detail/"</f>
        <v>/recipes/biryani-dum-layer/detail/</v>
      </c>
      <c r="X717" s="81" t="n">
        <f aca="false">J717</f>
        <v>0</v>
      </c>
      <c r="Y717" s="81" t="n">
        <f aca="false">R717</f>
        <v>0</v>
      </c>
      <c r="Z717" s="94" t="e">
        <f aca="false">VLOOKUP(Y717,recipe_ingred_list!$D$2:$E$500,2,0)</f>
        <v>#N/A</v>
      </c>
      <c r="AA717" s="61" t="n">
        <f aca="false">K717</f>
        <v>0</v>
      </c>
      <c r="AB717" s="61" t="n">
        <f aca="false">L717</f>
        <v>0</v>
      </c>
      <c r="AC717" s="61" t="n">
        <f aca="false">VLOOKUP(AB717,recipe_ingred_list!$K$2:$M$7,3,0)</f>
        <v>2</v>
      </c>
      <c r="AD717" s="61" t="n">
        <f aca="false">M717</f>
        <v>0</v>
      </c>
      <c r="AE717" s="61" t="n">
        <f aca="false">N717</f>
        <v>0</v>
      </c>
      <c r="AF717" s="61" t="n">
        <f aca="false">VLOOKUP(AE717,recipe_ingred_list!$K$16:$M$25,3,0)</f>
        <v>1</v>
      </c>
      <c r="AG717" s="61" t="n">
        <f aca="false">O717</f>
        <v>0</v>
      </c>
      <c r="AH717" s="61" t="n">
        <f aca="false">P717</f>
        <v>0</v>
      </c>
      <c r="AI717" s="61" t="n">
        <f aca="false">VLOOKUP(AH717,recipe_ingred_list!$K$29:$M$34,3,0)</f>
        <v>3</v>
      </c>
      <c r="AJ717" s="61" t="str">
        <f aca="false">IF(Q717="","",Q717)</f>
        <v/>
      </c>
      <c r="AK717" s="61" t="n">
        <f aca="false">AK716+1</f>
        <v>717</v>
      </c>
      <c r="AL717" s="61" t="n">
        <f aca="false">Y717</f>
        <v>0</v>
      </c>
      <c r="AM717" s="81" t="e">
        <f aca="false">"a = Client().post('"&amp;W717&amp;"', {'recipe' : '"&amp;V717&amp;"', 'ingredient' : '"&amp;Z717&amp;"', 'name' : '"&amp;X717&amp;"', 'mass_unit' : '"&amp;AC717&amp;"', 'mass_quantity' : '"&amp;ROUND(AA717,3)&amp;"', 'volume_unit' : '"&amp;AF717&amp;"', 'volume_quantity' : '"&amp;ROUND(AD717,3)&amp;"', 'pieces_unit' : '"&amp;AI717&amp;"', 'pieces_quantity' : '"&amp;ROUND(AG717,3)&amp;"', 'cooking_notes' : '"&amp;AJ717&amp;"'}).status_code; print('%s :: %s :: %s :: %s :: %s' %(a,"&amp;G717&amp;",'"&amp;X717&amp;"','"&amp;Y717&amp;"','"&amp;U717&amp;"'))"</f>
        <v>#N/A</v>
      </c>
    </row>
    <row r="718" customFormat="false" ht="13.8" hidden="false" customHeight="false" outlineLevel="0" collapsed="false">
      <c r="G718" s="80" t="n">
        <v>718</v>
      </c>
      <c r="I718" s="83" t="s">
        <v>136</v>
      </c>
      <c r="J718" s="83" t="s">
        <v>767</v>
      </c>
      <c r="K718" s="61" t="n">
        <v>50</v>
      </c>
      <c r="L718" s="61" t="s">
        <v>109</v>
      </c>
      <c r="R718" s="82" t="str">
        <f aca="false">VLOOKUP(J718,ingredient!$N$4:$O$553,2,0)</f>
        <v>dhaniya powder</v>
      </c>
      <c r="U718" s="81" t="str">
        <f aca="false">I718</f>
        <v>Biryani Dum Layer</v>
      </c>
      <c r="V718" s="81" t="n">
        <f aca="false">VLOOKUP(U718,recipe_ingred_list!$A$2:$B$300,2,0)</f>
        <v>10</v>
      </c>
      <c r="W718" s="81" t="str">
        <f aca="false">"/recipes/"&amp;VLOOKUP(U718,recipe_ingred_list!$A$2:$C$300,3,0)&amp;"/detail/"</f>
        <v>/recipes/biryani-dum-layer/detail/</v>
      </c>
      <c r="X718" s="81" t="str">
        <f aca="false">J718</f>
        <v>Dhaniya Powder</v>
      </c>
      <c r="Y718" s="81" t="str">
        <f aca="false">R718</f>
        <v>dhaniya powder</v>
      </c>
      <c r="Z718" s="94" t="n">
        <f aca="false">VLOOKUP(Y718,recipe_ingred_list!$D$2:$E$500,2,0)</f>
        <v>67</v>
      </c>
      <c r="AA718" s="61" t="n">
        <f aca="false">K718</f>
        <v>50</v>
      </c>
      <c r="AB718" s="61" t="str">
        <f aca="false">L718</f>
        <v>gm</v>
      </c>
      <c r="AC718" s="61" t="n">
        <f aca="false">VLOOKUP(AB718,recipe_ingred_list!$K$2:$M$7,3,0)</f>
        <v>7</v>
      </c>
      <c r="AD718" s="61" t="n">
        <f aca="false">M718</f>
        <v>0</v>
      </c>
      <c r="AE718" s="61" t="n">
        <f aca="false">N718</f>
        <v>0</v>
      </c>
      <c r="AF718" s="61" t="n">
        <f aca="false">VLOOKUP(AE718,recipe_ingred_list!$K$16:$M$25,3,0)</f>
        <v>1</v>
      </c>
      <c r="AG718" s="61" t="n">
        <f aca="false">O718</f>
        <v>0</v>
      </c>
      <c r="AH718" s="61" t="n">
        <f aca="false">P718</f>
        <v>0</v>
      </c>
      <c r="AI718" s="61" t="n">
        <f aca="false">VLOOKUP(AH718,recipe_ingred_list!$K$29:$M$34,3,0)</f>
        <v>3</v>
      </c>
      <c r="AJ718" s="61" t="str">
        <f aca="false">IF(Q718="","",Q718)</f>
        <v/>
      </c>
      <c r="AK718" s="61" t="n">
        <f aca="false">AK717+1</f>
        <v>718</v>
      </c>
      <c r="AL718" s="61" t="str">
        <f aca="false">Y718</f>
        <v>dhaniya powder</v>
      </c>
      <c r="AM718" s="81" t="str">
        <f aca="false">"a = Client().post('"&amp;W718&amp;"', {'recipe' : '"&amp;V718&amp;"', 'ingredient' : '"&amp;Z718&amp;"', 'name' : '"&amp;X718&amp;"', 'mass_unit' : '"&amp;AC718&amp;"', 'mass_quantity' : '"&amp;ROUND(AA718,3)&amp;"', 'volume_unit' : '"&amp;AF718&amp;"', 'volume_quantity' : '"&amp;ROUND(AD718,3)&amp;"', 'pieces_unit' : '"&amp;AI718&amp;"', 'pieces_quantity' : '"&amp;ROUND(AG718,3)&amp;"', 'cooking_notes' : '"&amp;AJ718&amp;"'}).status_code; print('%s :: %s :: %s :: %s :: %s' %(a,"&amp;G718&amp;",'"&amp;X718&amp;"','"&amp;Y718&amp;"','"&amp;U718&amp;"'))"</f>
        <v>a = Client().post('/recipes/biryani-dum-layer/detail/', {'recipe' : '10', 'ingredient' : '67', 'name' : 'Dhaniya Powder', 'mass_unit' : '7', 'mass_quantity' : '50', 'volume_unit' : '1', 'volume_quantity' : '0', 'pieces_unit' : '3', 'pieces_quantity' : '0', 'cooking_notes' : ''}).status_code; print('%s :: %s :: %s :: %s :: %s' %(a,718,'Dhaniya Powder','dhaniya powder','Biryani Dum Layer'))</v>
      </c>
    </row>
    <row r="719" customFormat="false" ht="13.8" hidden="false" customHeight="false" outlineLevel="0" collapsed="false">
      <c r="G719" s="80" t="n">
        <v>719</v>
      </c>
      <c r="I719" s="83" t="s">
        <v>136</v>
      </c>
      <c r="J719" s="83" t="s">
        <v>768</v>
      </c>
      <c r="K719" s="61" t="n">
        <v>50</v>
      </c>
      <c r="L719" s="61" t="s">
        <v>109</v>
      </c>
      <c r="R719" s="82" t="str">
        <f aca="false">VLOOKUP(J719,ingredient!$N$4:$O$553,2,0)</f>
        <v>haldi</v>
      </c>
      <c r="U719" s="81" t="str">
        <f aca="false">I719</f>
        <v>Biryani Dum Layer</v>
      </c>
      <c r="V719" s="81" t="n">
        <f aca="false">VLOOKUP(U719,recipe_ingred_list!$A$2:$B$300,2,0)</f>
        <v>10</v>
      </c>
      <c r="W719" s="81" t="str">
        <f aca="false">"/recipes/"&amp;VLOOKUP(U719,recipe_ingred_list!$A$2:$C$300,3,0)&amp;"/detail/"</f>
        <v>/recipes/biryani-dum-layer/detail/</v>
      </c>
      <c r="X719" s="81" t="str">
        <f aca="false">J719</f>
        <v>Haldi Powder</v>
      </c>
      <c r="Y719" s="81" t="str">
        <f aca="false">R719</f>
        <v>haldi</v>
      </c>
      <c r="Z719" s="94" t="n">
        <f aca="false">VLOOKUP(Y719,recipe_ingred_list!$D$2:$E$500,2,0)</f>
        <v>91</v>
      </c>
      <c r="AA719" s="61" t="n">
        <f aca="false">K719</f>
        <v>50</v>
      </c>
      <c r="AB719" s="61" t="str">
        <f aca="false">L719</f>
        <v>gm</v>
      </c>
      <c r="AC719" s="61" t="n">
        <f aca="false">VLOOKUP(AB719,recipe_ingred_list!$K$2:$M$7,3,0)</f>
        <v>7</v>
      </c>
      <c r="AD719" s="61" t="n">
        <f aca="false">M719</f>
        <v>0</v>
      </c>
      <c r="AE719" s="61" t="n">
        <f aca="false">N719</f>
        <v>0</v>
      </c>
      <c r="AF719" s="61" t="n">
        <f aca="false">VLOOKUP(AE719,recipe_ingred_list!$K$16:$M$25,3,0)</f>
        <v>1</v>
      </c>
      <c r="AG719" s="61" t="n">
        <f aca="false">O719</f>
        <v>0</v>
      </c>
      <c r="AH719" s="61" t="n">
        <f aca="false">P719</f>
        <v>0</v>
      </c>
      <c r="AI719" s="61" t="n">
        <f aca="false">VLOOKUP(AH719,recipe_ingred_list!$K$29:$M$34,3,0)</f>
        <v>3</v>
      </c>
      <c r="AJ719" s="61" t="str">
        <f aca="false">IF(Q719="","",Q719)</f>
        <v/>
      </c>
      <c r="AK719" s="61" t="n">
        <f aca="false">AK718+1</f>
        <v>719</v>
      </c>
      <c r="AL719" s="61" t="str">
        <f aca="false">Y719</f>
        <v>haldi</v>
      </c>
      <c r="AM719" s="81" t="str">
        <f aca="false">"a = Client().post('"&amp;W719&amp;"', {'recipe' : '"&amp;V719&amp;"', 'ingredient' : '"&amp;Z719&amp;"', 'name' : '"&amp;X719&amp;"', 'mass_unit' : '"&amp;AC719&amp;"', 'mass_quantity' : '"&amp;ROUND(AA719,3)&amp;"', 'volume_unit' : '"&amp;AF719&amp;"', 'volume_quantity' : '"&amp;ROUND(AD719,3)&amp;"', 'pieces_unit' : '"&amp;AI719&amp;"', 'pieces_quantity' : '"&amp;ROUND(AG719,3)&amp;"', 'cooking_notes' : '"&amp;AJ719&amp;"'}).status_code; print('%s :: %s :: %s :: %s :: %s' %(a,"&amp;G719&amp;",'"&amp;X719&amp;"','"&amp;Y719&amp;"','"&amp;U719&amp;"'))"</f>
        <v>a = Client().post('/recipes/biryani-dum-layer/detail/', {'recipe' : '10', 'ingredient' : '91', 'name' : 'Haldi Powder', 'mass_unit' : '7', 'mass_quantity' : '50', 'volume_unit' : '1', 'volume_quantity' : '0', 'pieces_unit' : '3', 'pieces_quantity' : '0', 'cooking_notes' : ''}).status_code; print('%s :: %s :: %s :: %s :: %s' %(a,719,'Haldi Powder','haldi','Biryani Dum Layer'))</v>
      </c>
    </row>
    <row r="720" customFormat="false" ht="13.8" hidden="false" customHeight="false" outlineLevel="0" collapsed="false">
      <c r="G720" s="80" t="n">
        <v>720</v>
      </c>
      <c r="I720" s="83" t="s">
        <v>136</v>
      </c>
      <c r="J720" s="83" t="s">
        <v>769</v>
      </c>
      <c r="K720" s="61" t="n">
        <v>20</v>
      </c>
      <c r="L720" s="61" t="s">
        <v>109</v>
      </c>
      <c r="R720" s="82" t="str">
        <f aca="false">VLOOKUP(J720,ingredient!$N$4:$O$553,2,0)</f>
        <v>hing</v>
      </c>
      <c r="U720" s="81" t="str">
        <f aca="false">I720</f>
        <v>Biryani Dum Layer</v>
      </c>
      <c r="V720" s="81" t="n">
        <f aca="false">VLOOKUP(U720,recipe_ingred_list!$A$2:$B$300,2,0)</f>
        <v>10</v>
      </c>
      <c r="W720" s="81" t="str">
        <f aca="false">"/recipes/"&amp;VLOOKUP(U720,recipe_ingred_list!$A$2:$C$300,3,0)&amp;"/detail/"</f>
        <v>/recipes/biryani-dum-layer/detail/</v>
      </c>
      <c r="X720" s="81" t="str">
        <f aca="false">J720</f>
        <v>Hing Powder</v>
      </c>
      <c r="Y720" s="81" t="str">
        <f aca="false">R720</f>
        <v>hing</v>
      </c>
      <c r="Z720" s="94" t="n">
        <f aca="false">VLOOKUP(Y720,recipe_ingred_list!$D$2:$E$500,2,0)</f>
        <v>95</v>
      </c>
      <c r="AA720" s="61" t="n">
        <f aca="false">K720</f>
        <v>20</v>
      </c>
      <c r="AB720" s="61" t="str">
        <f aca="false">L720</f>
        <v>gm</v>
      </c>
      <c r="AC720" s="61" t="n">
        <f aca="false">VLOOKUP(AB720,recipe_ingred_list!$K$2:$M$7,3,0)</f>
        <v>7</v>
      </c>
      <c r="AD720" s="61" t="n">
        <f aca="false">M720</f>
        <v>0</v>
      </c>
      <c r="AE720" s="61" t="n">
        <f aca="false">N720</f>
        <v>0</v>
      </c>
      <c r="AF720" s="61" t="n">
        <f aca="false">VLOOKUP(AE720,recipe_ingred_list!$K$16:$M$25,3,0)</f>
        <v>1</v>
      </c>
      <c r="AG720" s="61" t="n">
        <f aca="false">O720</f>
        <v>0</v>
      </c>
      <c r="AH720" s="61" t="n">
        <f aca="false">P720</f>
        <v>0</v>
      </c>
      <c r="AI720" s="61" t="n">
        <f aca="false">VLOOKUP(AH720,recipe_ingred_list!$K$29:$M$34,3,0)</f>
        <v>3</v>
      </c>
      <c r="AJ720" s="61" t="str">
        <f aca="false">IF(Q720="","",Q720)</f>
        <v/>
      </c>
      <c r="AK720" s="61" t="n">
        <f aca="false">AK719+1</f>
        <v>720</v>
      </c>
      <c r="AL720" s="61" t="str">
        <f aca="false">Y720</f>
        <v>hing</v>
      </c>
      <c r="AM720" s="81" t="str">
        <f aca="false">"a = Client().post('"&amp;W720&amp;"', {'recipe' : '"&amp;V720&amp;"', 'ingredient' : '"&amp;Z720&amp;"', 'name' : '"&amp;X720&amp;"', 'mass_unit' : '"&amp;AC720&amp;"', 'mass_quantity' : '"&amp;ROUND(AA720,3)&amp;"', 'volume_unit' : '"&amp;AF720&amp;"', 'volume_quantity' : '"&amp;ROUND(AD720,3)&amp;"', 'pieces_unit' : '"&amp;AI720&amp;"', 'pieces_quantity' : '"&amp;ROUND(AG720,3)&amp;"', 'cooking_notes' : '"&amp;AJ720&amp;"'}).status_code; print('%s :: %s :: %s :: %s :: %s' %(a,"&amp;G720&amp;",'"&amp;X720&amp;"','"&amp;Y720&amp;"','"&amp;U720&amp;"'))"</f>
        <v>a = Client().post('/recipes/biryani-dum-layer/detail/', {'recipe' : '10', 'ingredient' : '95', 'name' : 'Hing Powder', 'mass_unit' : '7', 'mass_quantity' : '20', 'volume_unit' : '1', 'volume_quantity' : '0', 'pieces_unit' : '3', 'pieces_quantity' : '0', 'cooking_notes' : ''}).status_code; print('%s :: %s :: %s :: %s :: %s' %(a,720,'Hing Powder','hing','Biryani Dum Layer'))</v>
      </c>
    </row>
    <row r="721" customFormat="false" ht="13.8" hidden="false" customHeight="false" outlineLevel="0" collapsed="false">
      <c r="G721" s="80" t="n">
        <v>721</v>
      </c>
      <c r="I721" s="83" t="s">
        <v>136</v>
      </c>
      <c r="J721" s="83" t="s">
        <v>528</v>
      </c>
      <c r="K721" s="61" t="n">
        <v>50</v>
      </c>
      <c r="L721" s="61" t="s">
        <v>109</v>
      </c>
      <c r="R721" s="82" t="str">
        <f aca="false">VLOOKUP(J721,ingredient!$N$4:$O$553,2,0)</f>
        <v>kashmiri chilly powder</v>
      </c>
      <c r="U721" s="81" t="str">
        <f aca="false">I721</f>
        <v>Biryani Dum Layer</v>
      </c>
      <c r="V721" s="81" t="n">
        <f aca="false">VLOOKUP(U721,recipe_ingred_list!$A$2:$B$300,2,0)</f>
        <v>10</v>
      </c>
      <c r="W721" s="81" t="str">
        <f aca="false">"/recipes/"&amp;VLOOKUP(U721,recipe_ingred_list!$A$2:$C$300,3,0)&amp;"/detail/"</f>
        <v>/recipes/biryani-dum-layer/detail/</v>
      </c>
      <c r="X721" s="81" t="str">
        <f aca="false">J721</f>
        <v>Kashmiri Mirchi Powder</v>
      </c>
      <c r="Y721" s="81" t="str">
        <f aca="false">R721</f>
        <v>kashmiri chilly powder</v>
      </c>
      <c r="Z721" s="94" t="n">
        <f aca="false">VLOOKUP(Y721,recipe_ingred_list!$D$2:$E$500,2,0)</f>
        <v>117</v>
      </c>
      <c r="AA721" s="61" t="n">
        <f aca="false">K721</f>
        <v>50</v>
      </c>
      <c r="AB721" s="61" t="str">
        <f aca="false">L721</f>
        <v>gm</v>
      </c>
      <c r="AC721" s="61" t="n">
        <f aca="false">VLOOKUP(AB721,recipe_ingred_list!$K$2:$M$7,3,0)</f>
        <v>7</v>
      </c>
      <c r="AD721" s="61" t="n">
        <f aca="false">M721</f>
        <v>0</v>
      </c>
      <c r="AE721" s="61" t="n">
        <f aca="false">N721</f>
        <v>0</v>
      </c>
      <c r="AF721" s="61" t="n">
        <f aca="false">VLOOKUP(AE721,recipe_ingred_list!$K$16:$M$25,3,0)</f>
        <v>1</v>
      </c>
      <c r="AG721" s="61" t="n">
        <f aca="false">O721</f>
        <v>0</v>
      </c>
      <c r="AH721" s="61" t="n">
        <f aca="false">P721</f>
        <v>0</v>
      </c>
      <c r="AI721" s="61" t="n">
        <f aca="false">VLOOKUP(AH721,recipe_ingred_list!$K$29:$M$34,3,0)</f>
        <v>3</v>
      </c>
      <c r="AJ721" s="61" t="str">
        <f aca="false">IF(Q721="","",Q721)</f>
        <v/>
      </c>
      <c r="AK721" s="61" t="n">
        <f aca="false">AK720+1</f>
        <v>721</v>
      </c>
      <c r="AL721" s="61" t="str">
        <f aca="false">Y721</f>
        <v>kashmiri chilly powder</v>
      </c>
      <c r="AM721" s="81" t="str">
        <f aca="false">"a = Client().post('"&amp;W721&amp;"', {'recipe' : '"&amp;V721&amp;"', 'ingredient' : '"&amp;Z721&amp;"', 'name' : '"&amp;X721&amp;"', 'mass_unit' : '"&amp;AC721&amp;"', 'mass_quantity' : '"&amp;ROUND(AA721,3)&amp;"', 'volume_unit' : '"&amp;AF721&amp;"', 'volume_quantity' : '"&amp;ROUND(AD721,3)&amp;"', 'pieces_unit' : '"&amp;AI721&amp;"', 'pieces_quantity' : '"&amp;ROUND(AG721,3)&amp;"', 'cooking_notes' : '"&amp;AJ721&amp;"'}).status_code; print('%s :: %s :: %s :: %s :: %s' %(a,"&amp;G721&amp;",'"&amp;X721&amp;"','"&amp;Y721&amp;"','"&amp;U721&amp;"'))"</f>
        <v>a = Client().post('/recipes/biryani-dum-layer/detail/', {'recipe' : '10', 'ingredient' : '117', 'name' : 'Kashmiri Mirchi Powder', 'mass_unit' : '7', 'mass_quantity' : '50', 'volume_unit' : '1', 'volume_quantity' : '0', 'pieces_unit' : '3', 'pieces_quantity' : '0', 'cooking_notes' : ''}).status_code; print('%s :: %s :: %s :: %s :: %s' %(a,721,'Kashmiri Mirchi Powder','kashmiri chilly powder','Biryani Dum Layer'))</v>
      </c>
    </row>
    <row r="722" customFormat="false" ht="13.8" hidden="false" customHeight="false" outlineLevel="0" collapsed="false">
      <c r="G722" s="80" t="n">
        <v>722</v>
      </c>
      <c r="I722" s="83" t="s">
        <v>136</v>
      </c>
      <c r="J722" s="85" t="s">
        <v>770</v>
      </c>
      <c r="K722" s="146" t="n">
        <v>40</v>
      </c>
      <c r="L722" s="146" t="s">
        <v>109</v>
      </c>
      <c r="R722" s="82" t="str">
        <f aca="false">VLOOKUP(J722,ingredient!$N$4:$O$553,2,0)</f>
        <v>badshah rajwadi garam masala</v>
      </c>
      <c r="U722" s="81" t="str">
        <f aca="false">I722</f>
        <v>Biryani Dum Layer</v>
      </c>
      <c r="V722" s="81" t="n">
        <f aca="false">VLOOKUP(U722,recipe_ingred_list!$A$2:$B$300,2,0)</f>
        <v>10</v>
      </c>
      <c r="W722" s="81" t="str">
        <f aca="false">"/recipes/"&amp;VLOOKUP(U722,recipe_ingred_list!$A$2:$C$300,3,0)&amp;"/detail/"</f>
        <v>/recipes/biryani-dum-layer/detail/</v>
      </c>
      <c r="X722" s="81" t="str">
        <f aca="false">J722</f>
        <v>Badshah Rajwadi Garam Masala</v>
      </c>
      <c r="Y722" s="81" t="str">
        <f aca="false">R722</f>
        <v>badshah rajwadi garam masala</v>
      </c>
      <c r="Z722" s="94" t="n">
        <f aca="false">VLOOKUP(Y722,recipe_ingred_list!$D$2:$E$500,2,0)</f>
        <v>20</v>
      </c>
      <c r="AA722" s="61" t="n">
        <f aca="false">K722</f>
        <v>40</v>
      </c>
      <c r="AB722" s="61" t="str">
        <f aca="false">L722</f>
        <v>gm</v>
      </c>
      <c r="AC722" s="61" t="n">
        <f aca="false">VLOOKUP(AB722,recipe_ingred_list!$K$2:$M$7,3,0)</f>
        <v>7</v>
      </c>
      <c r="AD722" s="61" t="n">
        <f aca="false">M722</f>
        <v>0</v>
      </c>
      <c r="AE722" s="61" t="n">
        <f aca="false">N722</f>
        <v>0</v>
      </c>
      <c r="AF722" s="61" t="n">
        <f aca="false">VLOOKUP(AE722,recipe_ingred_list!$K$16:$M$25,3,0)</f>
        <v>1</v>
      </c>
      <c r="AG722" s="61" t="n">
        <f aca="false">O722</f>
        <v>0</v>
      </c>
      <c r="AH722" s="61" t="n">
        <f aca="false">P722</f>
        <v>0</v>
      </c>
      <c r="AI722" s="61" t="n">
        <f aca="false">VLOOKUP(AH722,recipe_ingred_list!$K$29:$M$34,3,0)</f>
        <v>3</v>
      </c>
      <c r="AJ722" s="61" t="str">
        <f aca="false">IF(Q722="","",Q722)</f>
        <v/>
      </c>
      <c r="AK722" s="61" t="n">
        <f aca="false">AK721+1</f>
        <v>722</v>
      </c>
      <c r="AL722" s="61" t="str">
        <f aca="false">Y722</f>
        <v>badshah rajwadi garam masala</v>
      </c>
      <c r="AM722" s="81" t="str">
        <f aca="false">"a = Client().post('"&amp;W722&amp;"', {'recipe' : '"&amp;V722&amp;"', 'ingredient' : '"&amp;Z722&amp;"', 'name' : '"&amp;X722&amp;"', 'mass_unit' : '"&amp;AC722&amp;"', 'mass_quantity' : '"&amp;ROUND(AA722,3)&amp;"', 'volume_unit' : '"&amp;AF722&amp;"', 'volume_quantity' : '"&amp;ROUND(AD722,3)&amp;"', 'pieces_unit' : '"&amp;AI722&amp;"', 'pieces_quantity' : '"&amp;ROUND(AG722,3)&amp;"', 'cooking_notes' : '"&amp;AJ722&amp;"'}).status_code; print('%s :: %s :: %s :: %s :: %s' %(a,"&amp;G722&amp;",'"&amp;X722&amp;"','"&amp;Y722&amp;"','"&amp;U722&amp;"'))"</f>
        <v>a = Client().post('/recipes/biryani-dum-layer/detail/', {'recipe' : '10', 'ingredient' : '20', 'name' : 'Badshah Rajwadi Garam Masala', 'mass_unit' : '7', 'mass_quantity' : '40', 'volume_unit' : '1', 'volume_quantity' : '0', 'pieces_unit' : '3', 'pieces_quantity' : '0', 'cooking_notes' : ''}).status_code; print('%s :: %s :: %s :: %s :: %s' %(a,722,'Badshah Rajwadi Garam Masala','badshah rajwadi garam masala','Biryani Dum Layer'))</v>
      </c>
    </row>
    <row r="723" customFormat="false" ht="13.8" hidden="false" customHeight="false" outlineLevel="0" collapsed="false">
      <c r="G723" s="80" t="n">
        <v>723</v>
      </c>
      <c r="I723" s="83" t="s">
        <v>136</v>
      </c>
      <c r="J723" s="83" t="s">
        <v>771</v>
      </c>
      <c r="K723" s="61" t="n">
        <v>40</v>
      </c>
      <c r="L723" s="61" t="s">
        <v>109</v>
      </c>
      <c r="R723" s="82" t="str">
        <f aca="false">VLOOKUP(J723,ingredient!$N$4:$O$553,2,0)</f>
        <v>everest chole masala</v>
      </c>
      <c r="U723" s="81" t="str">
        <f aca="false">I723</f>
        <v>Biryani Dum Layer</v>
      </c>
      <c r="V723" s="81" t="n">
        <f aca="false">VLOOKUP(U723,recipe_ingred_list!$A$2:$B$300,2,0)</f>
        <v>10</v>
      </c>
      <c r="W723" s="81" t="str">
        <f aca="false">"/recipes/"&amp;VLOOKUP(U723,recipe_ingred_list!$A$2:$C$300,3,0)&amp;"/detail/"</f>
        <v>/recipes/biryani-dum-layer/detail/</v>
      </c>
      <c r="X723" s="81" t="str">
        <f aca="false">J723</f>
        <v>Everest Chole Masala</v>
      </c>
      <c r="Y723" s="81" t="str">
        <f aca="false">R723</f>
        <v>everest chole masala</v>
      </c>
      <c r="Z723" s="94" t="n">
        <f aca="false">VLOOKUP(Y723,recipe_ingred_list!$D$2:$E$500,2,0)</f>
        <v>73</v>
      </c>
      <c r="AA723" s="61" t="n">
        <f aca="false">K723</f>
        <v>40</v>
      </c>
      <c r="AB723" s="61" t="str">
        <f aca="false">L723</f>
        <v>gm</v>
      </c>
      <c r="AC723" s="61" t="n">
        <f aca="false">VLOOKUP(AB723,recipe_ingred_list!$K$2:$M$7,3,0)</f>
        <v>7</v>
      </c>
      <c r="AD723" s="61" t="n">
        <f aca="false">M723</f>
        <v>0</v>
      </c>
      <c r="AE723" s="61" t="n">
        <f aca="false">N723</f>
        <v>0</v>
      </c>
      <c r="AF723" s="61" t="n">
        <f aca="false">VLOOKUP(AE723,recipe_ingred_list!$K$16:$M$25,3,0)</f>
        <v>1</v>
      </c>
      <c r="AG723" s="61" t="n">
        <f aca="false">O723</f>
        <v>0</v>
      </c>
      <c r="AH723" s="61" t="n">
        <f aca="false">P723</f>
        <v>0</v>
      </c>
      <c r="AI723" s="61" t="n">
        <f aca="false">VLOOKUP(AH723,recipe_ingred_list!$K$29:$M$34,3,0)</f>
        <v>3</v>
      </c>
      <c r="AJ723" s="61" t="str">
        <f aca="false">IF(Q723="","",Q723)</f>
        <v/>
      </c>
      <c r="AK723" s="61" t="n">
        <f aca="false">AK722+1</f>
        <v>723</v>
      </c>
      <c r="AL723" s="61" t="str">
        <f aca="false">Y723</f>
        <v>everest chole masala</v>
      </c>
      <c r="AM723" s="81" t="str">
        <f aca="false">"a = Client().post('"&amp;W723&amp;"', {'recipe' : '"&amp;V723&amp;"', 'ingredient' : '"&amp;Z723&amp;"', 'name' : '"&amp;X723&amp;"', 'mass_unit' : '"&amp;AC723&amp;"', 'mass_quantity' : '"&amp;ROUND(AA723,3)&amp;"', 'volume_unit' : '"&amp;AF723&amp;"', 'volume_quantity' : '"&amp;ROUND(AD723,3)&amp;"', 'pieces_unit' : '"&amp;AI723&amp;"', 'pieces_quantity' : '"&amp;ROUND(AG723,3)&amp;"', 'cooking_notes' : '"&amp;AJ723&amp;"'}).status_code; print('%s :: %s :: %s :: %s :: %s' %(a,"&amp;G723&amp;",'"&amp;X723&amp;"','"&amp;Y723&amp;"','"&amp;U723&amp;"'))"</f>
        <v>a = Client().post('/recipes/biryani-dum-layer/detail/', {'recipe' : '10', 'ingredient' : '73', 'name' : 'Everest Chole Masala', 'mass_unit' : '7', 'mass_quantity' : '40', 'volume_unit' : '1', 'volume_quantity' : '0', 'pieces_unit' : '3', 'pieces_quantity' : '0', 'cooking_notes' : ''}).status_code; print('%s :: %s :: %s :: %s :: %s' %(a,723,'Everest Chole Masala','everest chole masala','Biryani Dum Layer'))</v>
      </c>
    </row>
    <row r="724" customFormat="false" ht="13.8" hidden="false" customHeight="false" outlineLevel="0" collapsed="false">
      <c r="G724" s="80" t="n">
        <v>724</v>
      </c>
      <c r="I724" s="83" t="s">
        <v>136</v>
      </c>
      <c r="J724" s="85" t="s">
        <v>772</v>
      </c>
      <c r="K724" s="146" t="n">
        <v>40</v>
      </c>
      <c r="L724" s="146" t="s">
        <v>109</v>
      </c>
      <c r="R724" s="82" t="str">
        <f aca="false">VLOOKUP(J724,ingredient!$N$4:$O$553,2,0)</f>
        <v>everest shahi briyani masala</v>
      </c>
      <c r="U724" s="81" t="str">
        <f aca="false">I724</f>
        <v>Biryani Dum Layer</v>
      </c>
      <c r="V724" s="81" t="n">
        <f aca="false">VLOOKUP(U724,recipe_ingred_list!$A$2:$B$300,2,0)</f>
        <v>10</v>
      </c>
      <c r="W724" s="81" t="str">
        <f aca="false">"/recipes/"&amp;VLOOKUP(U724,recipe_ingred_list!$A$2:$C$300,3,0)&amp;"/detail/"</f>
        <v>/recipes/biryani-dum-layer/detail/</v>
      </c>
      <c r="X724" s="81" t="str">
        <f aca="false">J724</f>
        <v>Everest Shahi Briyani Masala</v>
      </c>
      <c r="Y724" s="81" t="str">
        <f aca="false">R724</f>
        <v>everest shahi briyani masala</v>
      </c>
      <c r="Z724" s="94" t="n">
        <f aca="false">VLOOKUP(Y724,recipe_ingred_list!$D$2:$E$500,2,0)</f>
        <v>75</v>
      </c>
      <c r="AA724" s="61" t="n">
        <f aca="false">K724</f>
        <v>40</v>
      </c>
      <c r="AB724" s="61" t="str">
        <f aca="false">L724</f>
        <v>gm</v>
      </c>
      <c r="AC724" s="61" t="n">
        <f aca="false">VLOOKUP(AB724,recipe_ingred_list!$K$2:$M$7,3,0)</f>
        <v>7</v>
      </c>
      <c r="AD724" s="61" t="n">
        <f aca="false">M724</f>
        <v>0</v>
      </c>
      <c r="AE724" s="61" t="n">
        <f aca="false">N724</f>
        <v>0</v>
      </c>
      <c r="AF724" s="61" t="n">
        <f aca="false">VLOOKUP(AE724,recipe_ingred_list!$K$16:$M$25,3,0)</f>
        <v>1</v>
      </c>
      <c r="AG724" s="61" t="n">
        <f aca="false">O724</f>
        <v>0</v>
      </c>
      <c r="AH724" s="61" t="n">
        <f aca="false">P724</f>
        <v>0</v>
      </c>
      <c r="AI724" s="61" t="n">
        <f aca="false">VLOOKUP(AH724,recipe_ingred_list!$K$29:$M$34,3,0)</f>
        <v>3</v>
      </c>
      <c r="AJ724" s="61" t="str">
        <f aca="false">IF(Q724="","",Q724)</f>
        <v/>
      </c>
      <c r="AK724" s="61" t="n">
        <f aca="false">AK723+1</f>
        <v>724</v>
      </c>
      <c r="AL724" s="61" t="str">
        <f aca="false">Y724</f>
        <v>everest shahi briyani masala</v>
      </c>
      <c r="AM724" s="81" t="str">
        <f aca="false">"a = Client().post('"&amp;W724&amp;"', {'recipe' : '"&amp;V724&amp;"', 'ingredient' : '"&amp;Z724&amp;"', 'name' : '"&amp;X724&amp;"', 'mass_unit' : '"&amp;AC724&amp;"', 'mass_quantity' : '"&amp;ROUND(AA724,3)&amp;"', 'volume_unit' : '"&amp;AF724&amp;"', 'volume_quantity' : '"&amp;ROUND(AD724,3)&amp;"', 'pieces_unit' : '"&amp;AI724&amp;"', 'pieces_quantity' : '"&amp;ROUND(AG724,3)&amp;"', 'cooking_notes' : '"&amp;AJ724&amp;"'}).status_code; print('%s :: %s :: %s :: %s :: %s' %(a,"&amp;G724&amp;",'"&amp;X724&amp;"','"&amp;Y724&amp;"','"&amp;U724&amp;"'))"</f>
        <v>a = Client().post('/recipes/biryani-dum-layer/detail/', {'recipe' : '10', 'ingredient' : '75', 'name' : 'Everest Shahi Briyani Masala', 'mass_unit' : '7', 'mass_quantity' : '40', 'volume_unit' : '1', 'volume_quantity' : '0', 'pieces_unit' : '3', 'pieces_quantity' : '0', 'cooking_notes' : ''}).status_code; print('%s :: %s :: %s :: %s :: %s' %(a,724,'Everest Shahi Briyani Masala','everest shahi briyani masala','Biryani Dum Layer'))</v>
      </c>
    </row>
    <row r="725" customFormat="false" ht="13.8" hidden="false" customHeight="false" outlineLevel="0" collapsed="false">
      <c r="G725" s="80" t="n">
        <v>725</v>
      </c>
      <c r="I725" s="83" t="s">
        <v>136</v>
      </c>
      <c r="J725" s="85" t="s">
        <v>773</v>
      </c>
      <c r="K725" s="146" t="n">
        <v>80</v>
      </c>
      <c r="L725" s="146" t="s">
        <v>109</v>
      </c>
      <c r="R725" s="82" t="str">
        <f aca="false">VLOOKUP(J725,ingredient!$N$4:$O$553,2,0)</f>
        <v>kapol chat masala</v>
      </c>
      <c r="U725" s="81" t="str">
        <f aca="false">I725</f>
        <v>Biryani Dum Layer</v>
      </c>
      <c r="V725" s="81" t="n">
        <f aca="false">VLOOKUP(U725,recipe_ingred_list!$A$2:$B$300,2,0)</f>
        <v>10</v>
      </c>
      <c r="W725" s="81" t="str">
        <f aca="false">"/recipes/"&amp;VLOOKUP(U725,recipe_ingred_list!$A$2:$C$300,3,0)&amp;"/detail/"</f>
        <v>/recipes/biryani-dum-layer/detail/</v>
      </c>
      <c r="X725" s="81" t="str">
        <f aca="false">J725</f>
        <v>Kapol Chat Masala</v>
      </c>
      <c r="Y725" s="81" t="str">
        <f aca="false">R725</f>
        <v>kapol chat masala</v>
      </c>
      <c r="Z725" s="94" t="n">
        <f aca="false">VLOOKUP(Y725,recipe_ingred_list!$D$2:$E$500,2,0)</f>
        <v>115</v>
      </c>
      <c r="AA725" s="61" t="n">
        <f aca="false">K725</f>
        <v>80</v>
      </c>
      <c r="AB725" s="61" t="str">
        <f aca="false">L725</f>
        <v>gm</v>
      </c>
      <c r="AC725" s="61" t="n">
        <f aca="false">VLOOKUP(AB725,recipe_ingred_list!$K$2:$M$7,3,0)</f>
        <v>7</v>
      </c>
      <c r="AD725" s="61" t="n">
        <f aca="false">M725</f>
        <v>0</v>
      </c>
      <c r="AE725" s="61" t="n">
        <f aca="false">N725</f>
        <v>0</v>
      </c>
      <c r="AF725" s="61" t="n">
        <f aca="false">VLOOKUP(AE725,recipe_ingred_list!$K$16:$M$25,3,0)</f>
        <v>1</v>
      </c>
      <c r="AG725" s="61" t="n">
        <f aca="false">O725</f>
        <v>0</v>
      </c>
      <c r="AH725" s="61" t="n">
        <f aca="false">P725</f>
        <v>0</v>
      </c>
      <c r="AI725" s="61" t="n">
        <f aca="false">VLOOKUP(AH725,recipe_ingred_list!$K$29:$M$34,3,0)</f>
        <v>3</v>
      </c>
      <c r="AJ725" s="61" t="str">
        <f aca="false">IF(Q725="","",Q725)</f>
        <v/>
      </c>
      <c r="AK725" s="61" t="n">
        <f aca="false">AK724+1</f>
        <v>725</v>
      </c>
      <c r="AL725" s="61" t="str">
        <f aca="false">Y725</f>
        <v>kapol chat masala</v>
      </c>
      <c r="AM725" s="81" t="str">
        <f aca="false">"a = Client().post('"&amp;W725&amp;"', {'recipe' : '"&amp;V725&amp;"', 'ingredient' : '"&amp;Z725&amp;"', 'name' : '"&amp;X725&amp;"', 'mass_unit' : '"&amp;AC725&amp;"', 'mass_quantity' : '"&amp;ROUND(AA725,3)&amp;"', 'volume_unit' : '"&amp;AF725&amp;"', 'volume_quantity' : '"&amp;ROUND(AD725,3)&amp;"', 'pieces_unit' : '"&amp;AI725&amp;"', 'pieces_quantity' : '"&amp;ROUND(AG725,3)&amp;"', 'cooking_notes' : '"&amp;AJ725&amp;"'}).status_code; print('%s :: %s :: %s :: %s :: %s' %(a,"&amp;G725&amp;",'"&amp;X725&amp;"','"&amp;Y725&amp;"','"&amp;U725&amp;"'))"</f>
        <v>a = Client().post('/recipes/biryani-dum-layer/detail/', {'recipe' : '10', 'ingredient' : '115', 'name' : 'Kapol Chat Masala', 'mass_unit' : '7', 'mass_quantity' : '80', 'volume_unit' : '1', 'volume_quantity' : '0', 'pieces_unit' : '3', 'pieces_quantity' : '0', 'cooking_notes' : ''}).status_code; print('%s :: %s :: %s :: %s :: %s' %(a,725,'Kapol Chat Masala','kapol chat masala','Biryani Dum Layer'))</v>
      </c>
    </row>
    <row r="726" customFormat="false" ht="13.8" hidden="false" customHeight="false" outlineLevel="0" collapsed="false">
      <c r="G726" s="80" t="n">
        <v>726</v>
      </c>
      <c r="I726" s="83" t="s">
        <v>136</v>
      </c>
      <c r="J726" s="83" t="s">
        <v>774</v>
      </c>
      <c r="K726" s="61" t="n">
        <v>100</v>
      </c>
      <c r="L726" s="61" t="s">
        <v>109</v>
      </c>
      <c r="R726" s="82" t="str">
        <f aca="false">VLOOKUP(J726,ingredient!$N$4:$O$553,2,0)</f>
        <v>black salt</v>
      </c>
      <c r="U726" s="81" t="str">
        <f aca="false">I726</f>
        <v>Biryani Dum Layer</v>
      </c>
      <c r="V726" s="81" t="n">
        <f aca="false">VLOOKUP(U726,recipe_ingred_list!$A$2:$B$300,2,0)</f>
        <v>10</v>
      </c>
      <c r="W726" s="81" t="str">
        <f aca="false">"/recipes/"&amp;VLOOKUP(U726,recipe_ingred_list!$A$2:$C$300,3,0)&amp;"/detail/"</f>
        <v>/recipes/biryani-dum-layer/detail/</v>
      </c>
      <c r="X726" s="81" t="str">
        <f aca="false">J726</f>
        <v>Black Salt Powder</v>
      </c>
      <c r="Y726" s="81" t="str">
        <f aca="false">R726</f>
        <v>black salt</v>
      </c>
      <c r="Z726" s="94" t="n">
        <f aca="false">VLOOKUP(Y726,recipe_ingred_list!$D$2:$E$500,2,0)</f>
        <v>32</v>
      </c>
      <c r="AA726" s="61" t="n">
        <f aca="false">K726</f>
        <v>100</v>
      </c>
      <c r="AB726" s="61" t="str">
        <f aca="false">L726</f>
        <v>gm</v>
      </c>
      <c r="AC726" s="61" t="n">
        <f aca="false">VLOOKUP(AB726,recipe_ingred_list!$K$2:$M$7,3,0)</f>
        <v>7</v>
      </c>
      <c r="AD726" s="61" t="n">
        <f aca="false">M726</f>
        <v>0</v>
      </c>
      <c r="AE726" s="61" t="n">
        <f aca="false">N726</f>
        <v>0</v>
      </c>
      <c r="AF726" s="61" t="n">
        <f aca="false">VLOOKUP(AE726,recipe_ingred_list!$K$16:$M$25,3,0)</f>
        <v>1</v>
      </c>
      <c r="AG726" s="61" t="n">
        <f aca="false">O726</f>
        <v>0</v>
      </c>
      <c r="AH726" s="61" t="n">
        <f aca="false">P726</f>
        <v>0</v>
      </c>
      <c r="AI726" s="61" t="n">
        <f aca="false">VLOOKUP(AH726,recipe_ingred_list!$K$29:$M$34,3,0)</f>
        <v>3</v>
      </c>
      <c r="AJ726" s="61" t="str">
        <f aca="false">IF(Q726="","",Q726)</f>
        <v/>
      </c>
      <c r="AK726" s="61" t="n">
        <f aca="false">AK725+1</f>
        <v>726</v>
      </c>
      <c r="AL726" s="61" t="str">
        <f aca="false">Y726</f>
        <v>black salt</v>
      </c>
      <c r="AM726" s="81" t="str">
        <f aca="false">"a = Client().post('"&amp;W726&amp;"', {'recipe' : '"&amp;V726&amp;"', 'ingredient' : '"&amp;Z726&amp;"', 'name' : '"&amp;X726&amp;"', 'mass_unit' : '"&amp;AC726&amp;"', 'mass_quantity' : '"&amp;ROUND(AA726,3)&amp;"', 'volume_unit' : '"&amp;AF726&amp;"', 'volume_quantity' : '"&amp;ROUND(AD726,3)&amp;"', 'pieces_unit' : '"&amp;AI726&amp;"', 'pieces_quantity' : '"&amp;ROUND(AG726,3)&amp;"', 'cooking_notes' : '"&amp;AJ726&amp;"'}).status_code; print('%s :: %s :: %s :: %s :: %s' %(a,"&amp;G726&amp;",'"&amp;X726&amp;"','"&amp;Y726&amp;"','"&amp;U726&amp;"'))"</f>
        <v>a = Client().post('/recipes/biryani-dum-layer/detail/', {'recipe' : '10', 'ingredient' : '32', 'name' : 'Black Salt Powder', 'mass_unit' : '7', 'mass_quantity' : '100', 'volume_unit' : '1', 'volume_quantity' : '0', 'pieces_unit' : '3', 'pieces_quantity' : '0', 'cooking_notes' : ''}).status_code; print('%s :: %s :: %s :: %s :: %s' %(a,726,'Black Salt Powder','black salt','Biryani Dum Layer'))</v>
      </c>
    </row>
    <row r="727" customFormat="false" ht="13.8" hidden="false" customHeight="false" outlineLevel="0" collapsed="false">
      <c r="G727" s="80" t="n">
        <v>727</v>
      </c>
      <c r="I727" s="83" t="s">
        <v>136</v>
      </c>
      <c r="J727" s="83" t="s">
        <v>775</v>
      </c>
      <c r="K727" s="61" t="n">
        <v>0.4</v>
      </c>
      <c r="L727" s="61" t="s">
        <v>7</v>
      </c>
      <c r="R727" s="82" t="str">
        <f aca="false">VLOOKUP(J727,ingredient!$N$4:$O$553,2,0)</f>
        <v>salt</v>
      </c>
      <c r="U727" s="81" t="str">
        <f aca="false">I727</f>
        <v>Biryani Dum Layer</v>
      </c>
      <c r="V727" s="81" t="n">
        <f aca="false">VLOOKUP(U727,recipe_ingred_list!$A$2:$B$300,2,0)</f>
        <v>10</v>
      </c>
      <c r="W727" s="81" t="str">
        <f aca="false">"/recipes/"&amp;VLOOKUP(U727,recipe_ingred_list!$A$2:$C$300,3,0)&amp;"/detail/"</f>
        <v>/recipes/biryani-dum-layer/detail/</v>
      </c>
      <c r="X727" s="81" t="str">
        <f aca="false">J727</f>
        <v>Tata salt</v>
      </c>
      <c r="Y727" s="81" t="str">
        <f aca="false">R727</f>
        <v>salt</v>
      </c>
      <c r="Z727" s="94" t="n">
        <f aca="false">VLOOKUP(Y727,recipe_ingred_list!$D$2:$E$500,2,0)</f>
        <v>177</v>
      </c>
      <c r="AA727" s="61" t="n">
        <f aca="false">K727</f>
        <v>0.4</v>
      </c>
      <c r="AB727" s="61" t="str">
        <f aca="false">L727</f>
        <v>kg</v>
      </c>
      <c r="AC727" s="61" t="n">
        <f aca="false">VLOOKUP(AB727,recipe_ingred_list!$K$2:$M$7,3,0)</f>
        <v>2</v>
      </c>
      <c r="AD727" s="61" t="n">
        <f aca="false">M727</f>
        <v>0</v>
      </c>
      <c r="AE727" s="61" t="n">
        <f aca="false">N727</f>
        <v>0</v>
      </c>
      <c r="AF727" s="61" t="n">
        <f aca="false">VLOOKUP(AE727,recipe_ingred_list!$K$16:$M$25,3,0)</f>
        <v>1</v>
      </c>
      <c r="AG727" s="61" t="n">
        <f aca="false">O727</f>
        <v>0</v>
      </c>
      <c r="AH727" s="61" t="n">
        <f aca="false">P727</f>
        <v>0</v>
      </c>
      <c r="AI727" s="61" t="n">
        <f aca="false">VLOOKUP(AH727,recipe_ingred_list!$K$29:$M$34,3,0)</f>
        <v>3</v>
      </c>
      <c r="AJ727" s="61" t="str">
        <f aca="false">IF(Q727="","",Q727)</f>
        <v/>
      </c>
      <c r="AK727" s="61" t="n">
        <f aca="false">AK726+1</f>
        <v>727</v>
      </c>
      <c r="AL727" s="61" t="str">
        <f aca="false">Y727</f>
        <v>salt</v>
      </c>
      <c r="AM727" s="81" t="str">
        <f aca="false">"a = Client().post('"&amp;W727&amp;"', {'recipe' : '"&amp;V727&amp;"', 'ingredient' : '"&amp;Z727&amp;"', 'name' : '"&amp;X727&amp;"', 'mass_unit' : '"&amp;AC727&amp;"', 'mass_quantity' : '"&amp;ROUND(AA727,3)&amp;"', 'volume_unit' : '"&amp;AF727&amp;"', 'volume_quantity' : '"&amp;ROUND(AD727,3)&amp;"', 'pieces_unit' : '"&amp;AI727&amp;"', 'pieces_quantity' : '"&amp;ROUND(AG727,3)&amp;"', 'cooking_notes' : '"&amp;AJ727&amp;"'}).status_code; print('%s :: %s :: %s :: %s :: %s' %(a,"&amp;G727&amp;",'"&amp;X727&amp;"','"&amp;Y727&amp;"','"&amp;U727&amp;"'))"</f>
        <v>a = Client().post('/recipes/biryani-dum-layer/detail/', {'recipe' : '10', 'ingredient' : '177', 'name' : 'Tata salt', 'mass_unit' : '2', 'mass_quantity' : '0.4', 'volume_unit' : '1', 'volume_quantity' : '0', 'pieces_unit' : '3', 'pieces_quantity' : '0', 'cooking_notes' : ''}).status_code; print('%s :: %s :: %s :: %s :: %s' %(a,727,'Tata salt','salt','Biryani Dum Layer'))</v>
      </c>
    </row>
    <row r="728" customFormat="false" ht="13.8" hidden="false" customHeight="false" outlineLevel="0" collapsed="false">
      <c r="G728" s="80" t="n">
        <v>728</v>
      </c>
      <c r="I728" s="83" t="s">
        <v>136</v>
      </c>
      <c r="J728" s="83" t="s">
        <v>776</v>
      </c>
      <c r="K728" s="61" t="n">
        <v>0.2</v>
      </c>
      <c r="L728" s="61" t="s">
        <v>7</v>
      </c>
      <c r="R728" s="82" t="str">
        <f aca="false">VLOOKUP(J728,ingredient!$N$4:$O$553,2,0)</f>
        <v>kaju kani</v>
      </c>
      <c r="U728" s="81" t="str">
        <f aca="false">I728</f>
        <v>Biryani Dum Layer</v>
      </c>
      <c r="V728" s="81" t="n">
        <f aca="false">VLOOKUP(U728,recipe_ingred_list!$A$2:$B$300,2,0)</f>
        <v>10</v>
      </c>
      <c r="W728" s="81" t="str">
        <f aca="false">"/recipes/"&amp;VLOOKUP(U728,recipe_ingred_list!$A$2:$C$300,3,0)&amp;"/detail/"</f>
        <v>/recipes/biryani-dum-layer/detail/</v>
      </c>
      <c r="X728" s="81" t="str">
        <f aca="false">J728</f>
        <v>Kaju Kani</v>
      </c>
      <c r="Y728" s="81" t="str">
        <f aca="false">R728</f>
        <v>kaju kani</v>
      </c>
      <c r="Z728" s="94" t="n">
        <f aca="false">VLOOKUP(Y728,recipe_ingred_list!$D$2:$E$500,2,0)</f>
        <v>109</v>
      </c>
      <c r="AA728" s="61" t="n">
        <f aca="false">K728</f>
        <v>0.2</v>
      </c>
      <c r="AB728" s="61" t="str">
        <f aca="false">L728</f>
        <v>kg</v>
      </c>
      <c r="AC728" s="61" t="n">
        <f aca="false">VLOOKUP(AB728,recipe_ingred_list!$K$2:$M$7,3,0)</f>
        <v>2</v>
      </c>
      <c r="AD728" s="61" t="n">
        <f aca="false">M728</f>
        <v>0</v>
      </c>
      <c r="AE728" s="61" t="n">
        <f aca="false">N728</f>
        <v>0</v>
      </c>
      <c r="AF728" s="61" t="n">
        <f aca="false">VLOOKUP(AE728,recipe_ingred_list!$K$16:$M$25,3,0)</f>
        <v>1</v>
      </c>
      <c r="AG728" s="61" t="n">
        <f aca="false">O728</f>
        <v>0</v>
      </c>
      <c r="AH728" s="61" t="n">
        <f aca="false">P728</f>
        <v>0</v>
      </c>
      <c r="AI728" s="61" t="n">
        <f aca="false">VLOOKUP(AH728,recipe_ingred_list!$K$29:$M$34,3,0)</f>
        <v>3</v>
      </c>
      <c r="AJ728" s="61" t="str">
        <f aca="false">IF(Q728="","",Q728)</f>
        <v/>
      </c>
      <c r="AK728" s="61" t="n">
        <f aca="false">AK727+1</f>
        <v>728</v>
      </c>
      <c r="AL728" s="61" t="str">
        <f aca="false">Y728</f>
        <v>kaju kani</v>
      </c>
      <c r="AM728" s="81" t="str">
        <f aca="false">"a = Client().post('"&amp;W728&amp;"', {'recipe' : '"&amp;V728&amp;"', 'ingredient' : '"&amp;Z728&amp;"', 'name' : '"&amp;X728&amp;"', 'mass_unit' : '"&amp;AC728&amp;"', 'mass_quantity' : '"&amp;ROUND(AA728,3)&amp;"', 'volume_unit' : '"&amp;AF728&amp;"', 'volume_quantity' : '"&amp;ROUND(AD728,3)&amp;"', 'pieces_unit' : '"&amp;AI728&amp;"', 'pieces_quantity' : '"&amp;ROUND(AG728,3)&amp;"', 'cooking_notes' : '"&amp;AJ728&amp;"'}).status_code; print('%s :: %s :: %s :: %s :: %s' %(a,"&amp;G728&amp;",'"&amp;X728&amp;"','"&amp;Y728&amp;"','"&amp;U728&amp;"'))"</f>
        <v>a = Client().post('/recipes/biryani-dum-layer/detail/', {'recipe' : '10', 'ingredient' : '109', 'name' : 'Kaju Kani', 'mass_unit' : '2', 'mass_quantity' : '0.2', 'volume_unit' : '1', 'volume_quantity' : '0', 'pieces_unit' : '3', 'pieces_quantity' : '0', 'cooking_notes' : ''}).status_code; print('%s :: %s :: %s :: %s :: %s' %(a,728,'Kaju Kani','kaju kani','Biryani Dum Layer'))</v>
      </c>
    </row>
    <row r="729" customFormat="false" ht="13.8" hidden="false" customHeight="false" outlineLevel="0" collapsed="false">
      <c r="G729" s="80" t="n">
        <v>729</v>
      </c>
      <c r="I729" s="83" t="s">
        <v>136</v>
      </c>
      <c r="J729" s="83" t="s">
        <v>777</v>
      </c>
      <c r="K729" s="61" t="n">
        <v>0.2</v>
      </c>
      <c r="L729" s="61" t="s">
        <v>7</v>
      </c>
      <c r="R729" s="82" t="str">
        <f aca="false">VLOOKUP(J729,ingredient!$N$4:$O$553,2,0)</f>
        <v>magaj</v>
      </c>
      <c r="U729" s="81" t="str">
        <f aca="false">I729</f>
        <v>Biryani Dum Layer</v>
      </c>
      <c r="V729" s="81" t="n">
        <f aca="false">VLOOKUP(U729,recipe_ingred_list!$A$2:$B$300,2,0)</f>
        <v>10</v>
      </c>
      <c r="W729" s="81" t="str">
        <f aca="false">"/recipes/"&amp;VLOOKUP(U729,recipe_ingred_list!$A$2:$C$300,3,0)&amp;"/detail/"</f>
        <v>/recipes/biryani-dum-layer/detail/</v>
      </c>
      <c r="X729" s="81" t="str">
        <f aca="false">J729</f>
        <v>Magaj</v>
      </c>
      <c r="Y729" s="81" t="str">
        <f aca="false">R729</f>
        <v>magaj</v>
      </c>
      <c r="Z729" s="94" t="n">
        <f aca="false">VLOOKUP(Y729,recipe_ingred_list!$D$2:$E$500,2,0)</f>
        <v>136</v>
      </c>
      <c r="AA729" s="61" t="n">
        <f aca="false">K729</f>
        <v>0.2</v>
      </c>
      <c r="AB729" s="61" t="str">
        <f aca="false">L729</f>
        <v>kg</v>
      </c>
      <c r="AC729" s="61" t="n">
        <f aca="false">VLOOKUP(AB729,recipe_ingred_list!$K$2:$M$7,3,0)</f>
        <v>2</v>
      </c>
      <c r="AD729" s="61" t="n">
        <f aca="false">M729</f>
        <v>0</v>
      </c>
      <c r="AE729" s="61" t="n">
        <f aca="false">N729</f>
        <v>0</v>
      </c>
      <c r="AF729" s="61" t="n">
        <f aca="false">VLOOKUP(AE729,recipe_ingred_list!$K$16:$M$25,3,0)</f>
        <v>1</v>
      </c>
      <c r="AG729" s="61" t="n">
        <f aca="false">O729</f>
        <v>0</v>
      </c>
      <c r="AH729" s="61" t="n">
        <f aca="false">P729</f>
        <v>0</v>
      </c>
      <c r="AI729" s="61" t="n">
        <f aca="false">VLOOKUP(AH729,recipe_ingred_list!$K$29:$M$34,3,0)</f>
        <v>3</v>
      </c>
      <c r="AJ729" s="61" t="str">
        <f aca="false">IF(Q729="","",Q729)</f>
        <v/>
      </c>
      <c r="AK729" s="61" t="n">
        <f aca="false">AK728+1</f>
        <v>729</v>
      </c>
      <c r="AL729" s="61" t="str">
        <f aca="false">Y729</f>
        <v>magaj</v>
      </c>
      <c r="AM729" s="81" t="str">
        <f aca="false">"a = Client().post('"&amp;W729&amp;"', {'recipe' : '"&amp;V729&amp;"', 'ingredient' : '"&amp;Z729&amp;"', 'name' : '"&amp;X729&amp;"', 'mass_unit' : '"&amp;AC729&amp;"', 'mass_quantity' : '"&amp;ROUND(AA729,3)&amp;"', 'volume_unit' : '"&amp;AF729&amp;"', 'volume_quantity' : '"&amp;ROUND(AD729,3)&amp;"', 'pieces_unit' : '"&amp;AI729&amp;"', 'pieces_quantity' : '"&amp;ROUND(AG729,3)&amp;"', 'cooking_notes' : '"&amp;AJ729&amp;"'}).status_code; print('%s :: %s :: %s :: %s :: %s' %(a,"&amp;G729&amp;",'"&amp;X729&amp;"','"&amp;Y729&amp;"','"&amp;U729&amp;"'))"</f>
        <v>a = Client().post('/recipes/biryani-dum-layer/detail/', {'recipe' : '10', 'ingredient' : '136', 'name' : 'Magaj', 'mass_unit' : '2', 'mass_quantity' : '0.2', 'volume_unit' : '1', 'volume_quantity' : '0', 'pieces_unit' : '3', 'pieces_quantity' : '0', 'cooking_notes' : ''}).status_code; print('%s :: %s :: %s :: %s :: %s' %(a,729,'Magaj','magaj','Biryani Dum Layer'))</v>
      </c>
    </row>
    <row r="730" customFormat="false" ht="13.8" hidden="false" customHeight="false" outlineLevel="0" collapsed="false">
      <c r="G730" s="80" t="n">
        <v>730</v>
      </c>
      <c r="I730" s="83" t="s">
        <v>136</v>
      </c>
      <c r="J730" s="83" t="s">
        <v>778</v>
      </c>
      <c r="K730" s="61" t="n">
        <v>100</v>
      </c>
      <c r="L730" s="61" t="s">
        <v>109</v>
      </c>
      <c r="R730" s="82" t="str">
        <f aca="false">VLOOKUP(J730,ingredient!$N$4:$O$553,2,0)</f>
        <v>white til</v>
      </c>
      <c r="U730" s="81" t="str">
        <f aca="false">I730</f>
        <v>Biryani Dum Layer</v>
      </c>
      <c r="V730" s="81" t="n">
        <f aca="false">VLOOKUP(U730,recipe_ingred_list!$A$2:$B$300,2,0)</f>
        <v>10</v>
      </c>
      <c r="W730" s="81" t="str">
        <f aca="false">"/recipes/"&amp;VLOOKUP(U730,recipe_ingred_list!$A$2:$C$300,3,0)&amp;"/detail/"</f>
        <v>/recipes/biryani-dum-layer/detail/</v>
      </c>
      <c r="X730" s="81" t="str">
        <f aca="false">J730</f>
        <v>White Teel</v>
      </c>
      <c r="Y730" s="81" t="str">
        <f aca="false">R730</f>
        <v>white til</v>
      </c>
      <c r="Z730" s="94" t="n">
        <f aca="false">VLOOKUP(Y730,recipe_ingred_list!$D$2:$E$500,2,0)</f>
        <v>206</v>
      </c>
      <c r="AA730" s="61" t="n">
        <f aca="false">K730</f>
        <v>100</v>
      </c>
      <c r="AB730" s="61" t="str">
        <f aca="false">L730</f>
        <v>gm</v>
      </c>
      <c r="AC730" s="61" t="n">
        <f aca="false">VLOOKUP(AB730,recipe_ingred_list!$K$2:$M$7,3,0)</f>
        <v>7</v>
      </c>
      <c r="AD730" s="61" t="n">
        <f aca="false">M730</f>
        <v>0</v>
      </c>
      <c r="AE730" s="61" t="n">
        <f aca="false">N730</f>
        <v>0</v>
      </c>
      <c r="AF730" s="61" t="n">
        <f aca="false">VLOOKUP(AE730,recipe_ingred_list!$K$16:$M$25,3,0)</f>
        <v>1</v>
      </c>
      <c r="AG730" s="61" t="n">
        <f aca="false">O730</f>
        <v>0</v>
      </c>
      <c r="AH730" s="61" t="n">
        <f aca="false">P730</f>
        <v>0</v>
      </c>
      <c r="AI730" s="61" t="n">
        <f aca="false">VLOOKUP(AH730,recipe_ingred_list!$K$29:$M$34,3,0)</f>
        <v>3</v>
      </c>
      <c r="AJ730" s="61" t="str">
        <f aca="false">IF(Q730="","",Q730)</f>
        <v/>
      </c>
      <c r="AK730" s="61" t="n">
        <f aca="false">AK729+1</f>
        <v>730</v>
      </c>
      <c r="AL730" s="61" t="str">
        <f aca="false">Y730</f>
        <v>white til</v>
      </c>
      <c r="AM730" s="81" t="str">
        <f aca="false">"a = Client().post('"&amp;W730&amp;"', {'recipe' : '"&amp;V730&amp;"', 'ingredient' : '"&amp;Z730&amp;"', 'name' : '"&amp;X730&amp;"', 'mass_unit' : '"&amp;AC730&amp;"', 'mass_quantity' : '"&amp;ROUND(AA730,3)&amp;"', 'volume_unit' : '"&amp;AF730&amp;"', 'volume_quantity' : '"&amp;ROUND(AD730,3)&amp;"', 'pieces_unit' : '"&amp;AI730&amp;"', 'pieces_quantity' : '"&amp;ROUND(AG730,3)&amp;"', 'cooking_notes' : '"&amp;AJ730&amp;"'}).status_code; print('%s :: %s :: %s :: %s :: %s' %(a,"&amp;G730&amp;",'"&amp;X730&amp;"','"&amp;Y730&amp;"','"&amp;U730&amp;"'))"</f>
        <v>a = Client().post('/recipes/biryani-dum-layer/detail/', {'recipe' : '10', 'ingredient' : '206', 'name' : 'White Teel', 'mass_unit' : '7', 'mass_quantity' : '100', 'volume_unit' : '1', 'volume_quantity' : '0', 'pieces_unit' : '3', 'pieces_quantity' : '0', 'cooking_notes' : ''}).status_code; print('%s :: %s :: %s :: %s :: %s' %(a,730,'White Teel','white til','Biryani Dum Layer'))</v>
      </c>
    </row>
    <row r="731" customFormat="false" ht="13.8" hidden="false" customHeight="false" outlineLevel="0" collapsed="false">
      <c r="G731" s="80" t="n">
        <v>731</v>
      </c>
      <c r="I731" s="83" t="s">
        <v>136</v>
      </c>
      <c r="J731" s="83" t="s">
        <v>779</v>
      </c>
      <c r="K731" s="61" t="n">
        <v>20</v>
      </c>
      <c r="L731" s="61" t="s">
        <v>109</v>
      </c>
      <c r="R731" s="82" t="str">
        <f aca="false">VLOOKUP(J731,ingredient!$N$4:$O$553,2,0)</f>
        <v>khas khas</v>
      </c>
      <c r="U731" s="81" t="str">
        <f aca="false">I731</f>
        <v>Biryani Dum Layer</v>
      </c>
      <c r="V731" s="81" t="n">
        <f aca="false">VLOOKUP(U731,recipe_ingred_list!$A$2:$B$300,2,0)</f>
        <v>10</v>
      </c>
      <c r="W731" s="81" t="str">
        <f aca="false">"/recipes/"&amp;VLOOKUP(U731,recipe_ingred_list!$A$2:$C$300,3,0)&amp;"/detail/"</f>
        <v>/recipes/biryani-dum-layer/detail/</v>
      </c>
      <c r="X731" s="81" t="str">
        <f aca="false">J731</f>
        <v>Khas Khas</v>
      </c>
      <c r="Y731" s="81" t="str">
        <f aca="false">R731</f>
        <v>khas khas</v>
      </c>
      <c r="Z731" s="94" t="n">
        <f aca="false">VLOOKUP(Y731,recipe_ingred_list!$D$2:$E$500,2,0)</f>
        <v>121</v>
      </c>
      <c r="AA731" s="61" t="n">
        <f aca="false">K731</f>
        <v>20</v>
      </c>
      <c r="AB731" s="61" t="str">
        <f aca="false">L731</f>
        <v>gm</v>
      </c>
      <c r="AC731" s="61" t="n">
        <f aca="false">VLOOKUP(AB731,recipe_ingred_list!$K$2:$M$7,3,0)</f>
        <v>7</v>
      </c>
      <c r="AD731" s="61" t="n">
        <f aca="false">M731</f>
        <v>0</v>
      </c>
      <c r="AE731" s="61" t="n">
        <f aca="false">N731</f>
        <v>0</v>
      </c>
      <c r="AF731" s="61" t="n">
        <f aca="false">VLOOKUP(AE731,recipe_ingred_list!$K$16:$M$25,3,0)</f>
        <v>1</v>
      </c>
      <c r="AG731" s="61" t="n">
        <f aca="false">O731</f>
        <v>0</v>
      </c>
      <c r="AH731" s="61" t="n">
        <f aca="false">P731</f>
        <v>0</v>
      </c>
      <c r="AI731" s="61" t="n">
        <f aca="false">VLOOKUP(AH731,recipe_ingred_list!$K$29:$M$34,3,0)</f>
        <v>3</v>
      </c>
      <c r="AJ731" s="61" t="str">
        <f aca="false">IF(Q731="","",Q731)</f>
        <v/>
      </c>
      <c r="AK731" s="61" t="n">
        <f aca="false">AK730+1</f>
        <v>731</v>
      </c>
      <c r="AL731" s="61" t="str">
        <f aca="false">Y731</f>
        <v>khas khas</v>
      </c>
      <c r="AM731" s="81" t="str">
        <f aca="false">"a = Client().post('"&amp;W731&amp;"', {'recipe' : '"&amp;V731&amp;"', 'ingredient' : '"&amp;Z731&amp;"', 'name' : '"&amp;X731&amp;"', 'mass_unit' : '"&amp;AC731&amp;"', 'mass_quantity' : '"&amp;ROUND(AA731,3)&amp;"', 'volume_unit' : '"&amp;AF731&amp;"', 'volume_quantity' : '"&amp;ROUND(AD731,3)&amp;"', 'pieces_unit' : '"&amp;AI731&amp;"', 'pieces_quantity' : '"&amp;ROUND(AG731,3)&amp;"', 'cooking_notes' : '"&amp;AJ731&amp;"'}).status_code; print('%s :: %s :: %s :: %s :: %s' %(a,"&amp;G731&amp;",'"&amp;X731&amp;"','"&amp;Y731&amp;"','"&amp;U731&amp;"'))"</f>
        <v>a = Client().post('/recipes/biryani-dum-layer/detail/', {'recipe' : '10', 'ingredient' : '121', 'name' : 'Khas Khas', 'mass_unit' : '7', 'mass_quantity' : '20', 'volume_unit' : '1', 'volume_quantity' : '0', 'pieces_unit' : '3', 'pieces_quantity' : '0', 'cooking_notes' : ''}).status_code; print('%s :: %s :: %s :: %s :: %s' %(a,731,'Khas Khas','khas khas','Biryani Dum Layer'))</v>
      </c>
    </row>
    <row r="732" customFormat="false" ht="13.8" hidden="false" customHeight="false" outlineLevel="0" collapsed="false">
      <c r="G732" s="80" t="n">
        <v>732</v>
      </c>
      <c r="I732" s="83" t="s">
        <v>136</v>
      </c>
      <c r="J732" s="83" t="s">
        <v>22</v>
      </c>
      <c r="K732" s="61" t="n">
        <v>2</v>
      </c>
      <c r="L732" s="61" t="s">
        <v>7</v>
      </c>
      <c r="R732" s="82" t="str">
        <f aca="false">VLOOKUP(J732,ingredient!$N$4:$O$553,2,0)</f>
        <v>ghee</v>
      </c>
      <c r="U732" s="81" t="str">
        <f aca="false">I732</f>
        <v>Biryani Dum Layer</v>
      </c>
      <c r="V732" s="81" t="n">
        <f aca="false">VLOOKUP(U732,recipe_ingred_list!$A$2:$B$300,2,0)</f>
        <v>10</v>
      </c>
      <c r="W732" s="81" t="str">
        <f aca="false">"/recipes/"&amp;VLOOKUP(U732,recipe_ingred_list!$A$2:$C$300,3,0)&amp;"/detail/"</f>
        <v>/recipes/biryani-dum-layer/detail/</v>
      </c>
      <c r="X732" s="81" t="str">
        <f aca="false">J732</f>
        <v>Ghee</v>
      </c>
      <c r="Y732" s="81" t="str">
        <f aca="false">R732</f>
        <v>ghee</v>
      </c>
      <c r="Z732" s="94" t="n">
        <f aca="false">VLOOKUP(Y732,recipe_ingred_list!$D$2:$E$500,2,0)</f>
        <v>81</v>
      </c>
      <c r="AA732" s="61" t="n">
        <f aca="false">K732</f>
        <v>2</v>
      </c>
      <c r="AB732" s="61" t="str">
        <f aca="false">L732</f>
        <v>kg</v>
      </c>
      <c r="AC732" s="61" t="n">
        <f aca="false">VLOOKUP(AB732,recipe_ingred_list!$K$2:$M$7,3,0)</f>
        <v>2</v>
      </c>
      <c r="AD732" s="61" t="n">
        <f aca="false">M732</f>
        <v>0</v>
      </c>
      <c r="AE732" s="61" t="n">
        <f aca="false">N732</f>
        <v>0</v>
      </c>
      <c r="AF732" s="61" t="n">
        <f aca="false">VLOOKUP(AE732,recipe_ingred_list!$K$16:$M$25,3,0)</f>
        <v>1</v>
      </c>
      <c r="AG732" s="61" t="n">
        <f aca="false">O732</f>
        <v>0</v>
      </c>
      <c r="AH732" s="61" t="n">
        <f aca="false">P732</f>
        <v>0</v>
      </c>
      <c r="AI732" s="61" t="n">
        <f aca="false">VLOOKUP(AH732,recipe_ingred_list!$K$29:$M$34,3,0)</f>
        <v>3</v>
      </c>
      <c r="AJ732" s="61" t="str">
        <f aca="false">IF(Q732="","",Q732)</f>
        <v/>
      </c>
      <c r="AK732" s="61" t="n">
        <f aca="false">AK731+1</f>
        <v>732</v>
      </c>
      <c r="AL732" s="61" t="str">
        <f aca="false">Y732</f>
        <v>ghee</v>
      </c>
      <c r="AM732" s="81" t="str">
        <f aca="false">"a = Client().post('"&amp;W732&amp;"', {'recipe' : '"&amp;V732&amp;"', 'ingredient' : '"&amp;Z732&amp;"', 'name' : '"&amp;X732&amp;"', 'mass_unit' : '"&amp;AC732&amp;"', 'mass_quantity' : '"&amp;ROUND(AA732,3)&amp;"', 'volume_unit' : '"&amp;AF732&amp;"', 'volume_quantity' : '"&amp;ROUND(AD732,3)&amp;"', 'pieces_unit' : '"&amp;AI732&amp;"', 'pieces_quantity' : '"&amp;ROUND(AG732,3)&amp;"', 'cooking_notes' : '"&amp;AJ732&amp;"'}).status_code; print('%s :: %s :: %s :: %s :: %s' %(a,"&amp;G732&amp;",'"&amp;X732&amp;"','"&amp;Y732&amp;"','"&amp;U732&amp;"'))"</f>
        <v>a = Client().post('/recipes/biryani-dum-layer/detail/', {'recipe' : '10', 'ingredient' : '81', 'name' : 'Ghee', 'mass_unit' : '2', 'mass_quantity' : '2', 'volume_unit' : '1', 'volume_quantity' : '0', 'pieces_unit' : '3', 'pieces_quantity' : '0', 'cooking_notes' : ''}).status_code; print('%s :: %s :: %s :: %s :: %s' %(a,732,'Ghee','ghee','Biryani Dum Layer'))</v>
      </c>
    </row>
    <row r="733" customFormat="false" ht="13.8" hidden="false" customHeight="false" outlineLevel="0" collapsed="false">
      <c r="G733" s="80" t="n">
        <v>733</v>
      </c>
      <c r="I733" s="83" t="s">
        <v>136</v>
      </c>
      <c r="J733" s="83" t="s">
        <v>553</v>
      </c>
      <c r="K733" s="61" t="n">
        <v>1</v>
      </c>
      <c r="L733" s="61" t="s">
        <v>7</v>
      </c>
      <c r="R733" s="82" t="str">
        <f aca="false">VLOOKUP(J733,ingredient!$N$4:$O$553,2,0)</f>
        <v>gound nut oil</v>
      </c>
      <c r="U733" s="81" t="str">
        <f aca="false">I733</f>
        <v>Biryani Dum Layer</v>
      </c>
      <c r="V733" s="81" t="n">
        <f aca="false">VLOOKUP(U733,recipe_ingred_list!$A$2:$B$300,2,0)</f>
        <v>10</v>
      </c>
      <c r="W733" s="81" t="str">
        <f aca="false">"/recipes/"&amp;VLOOKUP(U733,recipe_ingred_list!$A$2:$C$300,3,0)&amp;"/detail/"</f>
        <v>/recipes/biryani-dum-layer/detail/</v>
      </c>
      <c r="X733" s="81" t="str">
        <f aca="false">J733</f>
        <v>Oil</v>
      </c>
      <c r="Y733" s="81" t="str">
        <f aca="false">R733</f>
        <v>gound nut oil</v>
      </c>
      <c r="Z733" s="94" t="n">
        <f aca="false">VLOOKUP(Y733,recipe_ingred_list!$D$2:$E$500,2,0)</f>
        <v>83</v>
      </c>
      <c r="AA733" s="61" t="n">
        <f aca="false">K733</f>
        <v>1</v>
      </c>
      <c r="AB733" s="61" t="str">
        <f aca="false">L733</f>
        <v>kg</v>
      </c>
      <c r="AC733" s="61" t="n">
        <f aca="false">VLOOKUP(AB733,recipe_ingred_list!$K$2:$M$7,3,0)</f>
        <v>2</v>
      </c>
      <c r="AD733" s="61" t="n">
        <f aca="false">M733</f>
        <v>0</v>
      </c>
      <c r="AE733" s="61" t="n">
        <f aca="false">N733</f>
        <v>0</v>
      </c>
      <c r="AF733" s="61" t="n">
        <f aca="false">VLOOKUP(AE733,recipe_ingred_list!$K$16:$M$25,3,0)</f>
        <v>1</v>
      </c>
      <c r="AG733" s="61" t="n">
        <f aca="false">O733</f>
        <v>0</v>
      </c>
      <c r="AH733" s="61" t="n">
        <f aca="false">P733</f>
        <v>0</v>
      </c>
      <c r="AI733" s="61" t="n">
        <f aca="false">VLOOKUP(AH733,recipe_ingred_list!$K$29:$M$34,3,0)</f>
        <v>3</v>
      </c>
      <c r="AJ733" s="61" t="str">
        <f aca="false">IF(Q733="","",Q733)</f>
        <v/>
      </c>
      <c r="AK733" s="61" t="n">
        <f aca="false">AK732+1</f>
        <v>733</v>
      </c>
      <c r="AL733" s="61" t="str">
        <f aca="false">Y733</f>
        <v>gound nut oil</v>
      </c>
      <c r="AM733" s="81" t="str">
        <f aca="false">"a = Client().post('"&amp;W733&amp;"', {'recipe' : '"&amp;V733&amp;"', 'ingredient' : '"&amp;Z733&amp;"', 'name' : '"&amp;X733&amp;"', 'mass_unit' : '"&amp;AC733&amp;"', 'mass_quantity' : '"&amp;ROUND(AA733,3)&amp;"', 'volume_unit' : '"&amp;AF733&amp;"', 'volume_quantity' : '"&amp;ROUND(AD733,3)&amp;"', 'pieces_unit' : '"&amp;AI733&amp;"', 'pieces_quantity' : '"&amp;ROUND(AG733,3)&amp;"', 'cooking_notes' : '"&amp;AJ733&amp;"'}).status_code; print('%s :: %s :: %s :: %s :: %s' %(a,"&amp;G733&amp;",'"&amp;X733&amp;"','"&amp;Y733&amp;"','"&amp;U733&amp;"'))"</f>
        <v>a = Client().post('/recipes/biryani-dum-layer/detail/', {'recipe' : '10', 'ingredient' : '83', 'name' : 'Oil', 'mass_unit' : '2', 'mass_quantity' : '1', 'volume_unit' : '1', 'volume_quantity' : '0', 'pieces_unit' : '3', 'pieces_quantity' : '0', 'cooking_notes' : ''}).status_code; print('%s :: %s :: %s :: %s :: %s' %(a,733,'Oil','gound nut oil','Biryani Dum Layer'))</v>
      </c>
    </row>
    <row r="734" customFormat="false" ht="13.8" hidden="false" customHeight="false" outlineLevel="0" collapsed="false">
      <c r="G734" s="80" t="n">
        <v>734</v>
      </c>
      <c r="I734" s="83" t="s">
        <v>136</v>
      </c>
      <c r="J734" s="83" t="s">
        <v>780</v>
      </c>
      <c r="K734" s="0"/>
      <c r="L734" s="0"/>
      <c r="M734" s="61" t="n">
        <v>0.2</v>
      </c>
      <c r="N734" s="61" t="s">
        <v>147</v>
      </c>
      <c r="R734" s="82" t="str">
        <f aca="false">VLOOKUP(J734,ingredient!$N$4:$O$553,2,0)</f>
        <v>orange red colour</v>
      </c>
      <c r="U734" s="81" t="str">
        <f aca="false">I734</f>
        <v>Biryani Dum Layer</v>
      </c>
      <c r="V734" s="81" t="n">
        <f aca="false">VLOOKUP(U734,recipe_ingred_list!$A$2:$B$300,2,0)</f>
        <v>10</v>
      </c>
      <c r="W734" s="81" t="str">
        <f aca="false">"/recipes/"&amp;VLOOKUP(U734,recipe_ingred_list!$A$2:$C$300,3,0)&amp;"/detail/"</f>
        <v>/recipes/biryani-dum-layer/detail/</v>
      </c>
      <c r="X734" s="81" t="str">
        <f aca="false">J734</f>
        <v>Orange Red Colour</v>
      </c>
      <c r="Y734" s="81" t="str">
        <f aca="false">R734</f>
        <v>orange red colour</v>
      </c>
      <c r="Z734" s="94" t="n">
        <f aca="false">VLOOKUP(Y734,recipe_ingred_list!$D$2:$E$500,2,0)</f>
        <v>152</v>
      </c>
      <c r="AA734" s="61" t="n">
        <f aca="false">K734</f>
        <v>0</v>
      </c>
      <c r="AB734" s="61" t="n">
        <f aca="false">L734</f>
        <v>0</v>
      </c>
      <c r="AC734" s="61" t="n">
        <f aca="false">VLOOKUP(AB734,recipe_ingred_list!$K$2:$M$7,3,0)</f>
        <v>2</v>
      </c>
      <c r="AD734" s="61" t="n">
        <f aca="false">M734</f>
        <v>0.2</v>
      </c>
      <c r="AE734" s="61" t="str">
        <f aca="false">N734</f>
        <v>tin</v>
      </c>
      <c r="AF734" s="61" t="n">
        <f aca="false">VLOOKUP(AE734,recipe_ingred_list!$K$16:$M$25,3,0)</f>
        <v>13</v>
      </c>
      <c r="AG734" s="61" t="n">
        <f aca="false">O734</f>
        <v>0</v>
      </c>
      <c r="AH734" s="61" t="n">
        <f aca="false">P734</f>
        <v>0</v>
      </c>
      <c r="AI734" s="61" t="n">
        <f aca="false">VLOOKUP(AH734,recipe_ingred_list!$K$29:$M$34,3,0)</f>
        <v>3</v>
      </c>
      <c r="AJ734" s="61" t="str">
        <f aca="false">IF(Q734="","",Q734)</f>
        <v/>
      </c>
      <c r="AK734" s="61" t="n">
        <f aca="false">AK733+1</f>
        <v>734</v>
      </c>
      <c r="AL734" s="61" t="str">
        <f aca="false">Y734</f>
        <v>orange red colour</v>
      </c>
      <c r="AM734" s="81" t="str">
        <f aca="false">"a = Client().post('"&amp;W734&amp;"', {'recipe' : '"&amp;V734&amp;"', 'ingredient' : '"&amp;Z734&amp;"', 'name' : '"&amp;X734&amp;"', 'mass_unit' : '"&amp;AC734&amp;"', 'mass_quantity' : '"&amp;ROUND(AA734,3)&amp;"', 'volume_unit' : '"&amp;AF734&amp;"', 'volume_quantity' : '"&amp;ROUND(AD734,3)&amp;"', 'pieces_unit' : '"&amp;AI734&amp;"', 'pieces_quantity' : '"&amp;ROUND(AG734,3)&amp;"', 'cooking_notes' : '"&amp;AJ734&amp;"'}).status_code; print('%s :: %s :: %s :: %s :: %s' %(a,"&amp;G734&amp;",'"&amp;X734&amp;"','"&amp;Y734&amp;"','"&amp;U734&amp;"'))"</f>
        <v>a = Client().post('/recipes/biryani-dum-layer/detail/', {'recipe' : '10', 'ingredient' : '152', 'name' : 'Orange Red Colour', 'mass_unit' : '2', 'mass_quantity' : '0', 'volume_unit' : '13', 'volume_quantity' : '0.2', 'pieces_unit' : '3', 'pieces_quantity' : '0', 'cooking_notes' : ''}).status_code; print('%s :: %s :: %s :: %s :: %s' %(a,734,'Orange Red Colour','orange red colour','Biryani Dum Layer'))</v>
      </c>
    </row>
    <row r="735" customFormat="false" ht="13.8" hidden="false" customHeight="false" outlineLevel="0" collapsed="false">
      <c r="G735" s="80" t="n">
        <v>735</v>
      </c>
      <c r="I735" s="83" t="s">
        <v>136</v>
      </c>
      <c r="J735" s="83" t="s">
        <v>781</v>
      </c>
      <c r="K735" s="0"/>
      <c r="L735" s="0"/>
      <c r="M735" s="61" t="n">
        <v>0.2</v>
      </c>
      <c r="N735" s="61" t="s">
        <v>147</v>
      </c>
      <c r="R735" s="82" t="str">
        <f aca="false">VLOOKUP(J735,ingredient!$N$4:$O$553,2,0)</f>
        <v>lemon yellow colour</v>
      </c>
      <c r="U735" s="81" t="str">
        <f aca="false">I735</f>
        <v>Biryani Dum Layer</v>
      </c>
      <c r="V735" s="81" t="n">
        <f aca="false">VLOOKUP(U735,recipe_ingred_list!$A$2:$B$300,2,0)</f>
        <v>10</v>
      </c>
      <c r="W735" s="81" t="str">
        <f aca="false">"/recipes/"&amp;VLOOKUP(U735,recipe_ingred_list!$A$2:$C$300,3,0)&amp;"/detail/"</f>
        <v>/recipes/biryani-dum-layer/detail/</v>
      </c>
      <c r="X735" s="81" t="str">
        <f aca="false">J735</f>
        <v>Lemon Yellow Colour</v>
      </c>
      <c r="Y735" s="81" t="str">
        <f aca="false">R735</f>
        <v>lemon yellow colour</v>
      </c>
      <c r="Z735" s="94" t="n">
        <f aca="false">VLOOKUP(Y735,recipe_ingred_list!$D$2:$E$500,2,0)</f>
        <v>131</v>
      </c>
      <c r="AA735" s="61" t="n">
        <f aca="false">K735</f>
        <v>0</v>
      </c>
      <c r="AB735" s="61" t="n">
        <f aca="false">L735</f>
        <v>0</v>
      </c>
      <c r="AC735" s="61" t="n">
        <f aca="false">VLOOKUP(AB735,recipe_ingred_list!$K$2:$M$7,3,0)</f>
        <v>2</v>
      </c>
      <c r="AD735" s="61" t="n">
        <f aca="false">M735</f>
        <v>0.2</v>
      </c>
      <c r="AE735" s="61" t="str">
        <f aca="false">N735</f>
        <v>tin</v>
      </c>
      <c r="AF735" s="61" t="n">
        <f aca="false">VLOOKUP(AE735,recipe_ingred_list!$K$16:$M$25,3,0)</f>
        <v>13</v>
      </c>
      <c r="AG735" s="61" t="n">
        <f aca="false">O735</f>
        <v>0</v>
      </c>
      <c r="AH735" s="61" t="n">
        <f aca="false">P735</f>
        <v>0</v>
      </c>
      <c r="AI735" s="61" t="n">
        <f aca="false">VLOOKUP(AH735,recipe_ingred_list!$K$29:$M$34,3,0)</f>
        <v>3</v>
      </c>
      <c r="AJ735" s="61" t="str">
        <f aca="false">IF(Q735="","",Q735)</f>
        <v/>
      </c>
      <c r="AK735" s="61" t="n">
        <f aca="false">AK734+1</f>
        <v>735</v>
      </c>
      <c r="AL735" s="61" t="str">
        <f aca="false">Y735</f>
        <v>lemon yellow colour</v>
      </c>
      <c r="AM735" s="81" t="str">
        <f aca="false">"a = Client().post('"&amp;W735&amp;"', {'recipe' : '"&amp;V735&amp;"', 'ingredient' : '"&amp;Z735&amp;"', 'name' : '"&amp;X735&amp;"', 'mass_unit' : '"&amp;AC735&amp;"', 'mass_quantity' : '"&amp;ROUND(AA735,3)&amp;"', 'volume_unit' : '"&amp;AF735&amp;"', 'volume_quantity' : '"&amp;ROUND(AD735,3)&amp;"', 'pieces_unit' : '"&amp;AI735&amp;"', 'pieces_quantity' : '"&amp;ROUND(AG735,3)&amp;"', 'cooking_notes' : '"&amp;AJ735&amp;"'}).status_code; print('%s :: %s :: %s :: %s :: %s' %(a,"&amp;G735&amp;",'"&amp;X735&amp;"','"&amp;Y735&amp;"','"&amp;U735&amp;"'))"</f>
        <v>a = Client().post('/recipes/biryani-dum-layer/detail/', {'recipe' : '10', 'ingredient' : '131', 'name' : 'Lemon Yellow Colour', 'mass_unit' : '2', 'mass_quantity' : '0', 'volume_unit' : '13', 'volume_quantity' : '0.2', 'pieces_unit' : '3', 'pieces_quantity' : '0', 'cooking_notes' : ''}).status_code; print('%s :: %s :: %s :: %s :: %s' %(a,735,'Lemon Yellow Colour','lemon yellow colour','Biryani Dum Layer'))</v>
      </c>
    </row>
    <row r="736" customFormat="false" ht="13.8" hidden="false" customHeight="false" outlineLevel="0" collapsed="false">
      <c r="G736" s="80" t="n">
        <v>736</v>
      </c>
      <c r="I736" s="83" t="s">
        <v>136</v>
      </c>
      <c r="J736" s="83" t="s">
        <v>782</v>
      </c>
      <c r="K736" s="0"/>
      <c r="L736" s="0"/>
      <c r="M736" s="61" t="n">
        <v>0.2</v>
      </c>
      <c r="N736" s="61" t="s">
        <v>147</v>
      </c>
      <c r="R736" s="82" t="str">
        <f aca="false">VLOOKUP(J736,ingredient!$N$4:$O$553,2,0)</f>
        <v>apple green colour</v>
      </c>
      <c r="U736" s="81" t="str">
        <f aca="false">I736</f>
        <v>Biryani Dum Layer</v>
      </c>
      <c r="V736" s="81" t="n">
        <f aca="false">VLOOKUP(U736,recipe_ingred_list!$A$2:$B$300,2,0)</f>
        <v>10</v>
      </c>
      <c r="W736" s="81" t="str">
        <f aca="false">"/recipes/"&amp;VLOOKUP(U736,recipe_ingred_list!$A$2:$C$300,3,0)&amp;"/detail/"</f>
        <v>/recipes/biryani-dum-layer/detail/</v>
      </c>
      <c r="X736" s="81" t="str">
        <f aca="false">J736</f>
        <v>Apple Green Colour</v>
      </c>
      <c r="Y736" s="81" t="str">
        <f aca="false">R736</f>
        <v>apple green colour</v>
      </c>
      <c r="Z736" s="94" t="n">
        <f aca="false">VLOOKUP(Y736,recipe_ingred_list!$D$2:$E$500,2,0)</f>
        <v>15</v>
      </c>
      <c r="AA736" s="61" t="n">
        <f aca="false">K736</f>
        <v>0</v>
      </c>
      <c r="AB736" s="61" t="n">
        <f aca="false">L736</f>
        <v>0</v>
      </c>
      <c r="AC736" s="61" t="n">
        <f aca="false">VLOOKUP(AB736,recipe_ingred_list!$K$2:$M$7,3,0)</f>
        <v>2</v>
      </c>
      <c r="AD736" s="61" t="n">
        <f aca="false">M736</f>
        <v>0.2</v>
      </c>
      <c r="AE736" s="61" t="str">
        <f aca="false">N736</f>
        <v>tin</v>
      </c>
      <c r="AF736" s="61" t="n">
        <f aca="false">VLOOKUP(AE736,recipe_ingred_list!$K$16:$M$25,3,0)</f>
        <v>13</v>
      </c>
      <c r="AG736" s="61" t="n">
        <f aca="false">O736</f>
        <v>0</v>
      </c>
      <c r="AH736" s="61" t="n">
        <f aca="false">P736</f>
        <v>0</v>
      </c>
      <c r="AI736" s="61" t="n">
        <f aca="false">VLOOKUP(AH736,recipe_ingred_list!$K$29:$M$34,3,0)</f>
        <v>3</v>
      </c>
      <c r="AJ736" s="61" t="str">
        <f aca="false">IF(Q736="","",Q736)</f>
        <v/>
      </c>
      <c r="AK736" s="61" t="n">
        <f aca="false">AK735+1</f>
        <v>736</v>
      </c>
      <c r="AL736" s="61" t="str">
        <f aca="false">Y736</f>
        <v>apple green colour</v>
      </c>
      <c r="AM736" s="81" t="str">
        <f aca="false">"a = Client().post('"&amp;W736&amp;"', {'recipe' : '"&amp;V736&amp;"', 'ingredient' : '"&amp;Z736&amp;"', 'name' : '"&amp;X736&amp;"', 'mass_unit' : '"&amp;AC736&amp;"', 'mass_quantity' : '"&amp;ROUND(AA736,3)&amp;"', 'volume_unit' : '"&amp;AF736&amp;"', 'volume_quantity' : '"&amp;ROUND(AD736,3)&amp;"', 'pieces_unit' : '"&amp;AI736&amp;"', 'pieces_quantity' : '"&amp;ROUND(AG736,3)&amp;"', 'cooking_notes' : '"&amp;AJ736&amp;"'}).status_code; print('%s :: %s :: %s :: %s :: %s' %(a,"&amp;G736&amp;",'"&amp;X736&amp;"','"&amp;Y736&amp;"','"&amp;U736&amp;"'))"</f>
        <v>a = Client().post('/recipes/biryani-dum-layer/detail/', {'recipe' : '10', 'ingredient' : '15', 'name' : 'Apple Green Colour', 'mass_unit' : '2', 'mass_quantity' : '0', 'volume_unit' : '13', 'volume_quantity' : '0.2', 'pieces_unit' : '3', 'pieces_quantity' : '0', 'cooking_notes' : ''}).status_code; print('%s :: %s :: %s :: %s :: %s' %(a,736,'Apple Green Colour','apple green colour','Biryani Dum Layer'))</v>
      </c>
    </row>
    <row r="737" customFormat="false" ht="13.8" hidden="false" customHeight="false" outlineLevel="0" collapsed="false">
      <c r="G737" s="80" t="n">
        <v>737</v>
      </c>
      <c r="I737" s="83" t="s">
        <v>136</v>
      </c>
      <c r="J737" s="85" t="s">
        <v>783</v>
      </c>
      <c r="K737" s="146" t="n">
        <v>5</v>
      </c>
      <c r="L737" s="146" t="s">
        <v>7</v>
      </c>
      <c r="R737" s="82" t="str">
        <f aca="false">VLOOKUP(J737,ingredient!$N$4:$O$553,2,0)</f>
        <v>basmati rice</v>
      </c>
      <c r="U737" s="81" t="str">
        <f aca="false">I737</f>
        <v>Biryani Dum Layer</v>
      </c>
      <c r="V737" s="81" t="n">
        <f aca="false">VLOOKUP(U737,recipe_ingred_list!$A$2:$B$300,2,0)</f>
        <v>10</v>
      </c>
      <c r="W737" s="81" t="str">
        <f aca="false">"/recipes/"&amp;VLOOKUP(U737,recipe_ingred_list!$A$2:$C$300,3,0)&amp;"/detail/"</f>
        <v>/recipes/biryani-dum-layer/detail/</v>
      </c>
      <c r="X737" s="81" t="str">
        <f aca="false">J737</f>
        <v>Basmati Rice</v>
      </c>
      <c r="Y737" s="81" t="str">
        <f aca="false">R737</f>
        <v>basmati rice</v>
      </c>
      <c r="Z737" s="94" t="n">
        <f aca="false">VLOOKUP(Y737,recipe_ingred_list!$D$2:$E$500,2,0)</f>
        <v>25</v>
      </c>
      <c r="AA737" s="61" t="n">
        <f aca="false">K737</f>
        <v>5</v>
      </c>
      <c r="AB737" s="61" t="str">
        <f aca="false">L737</f>
        <v>kg</v>
      </c>
      <c r="AC737" s="61" t="n">
        <f aca="false">VLOOKUP(AB737,recipe_ingred_list!$K$2:$M$7,3,0)</f>
        <v>2</v>
      </c>
      <c r="AD737" s="61" t="n">
        <f aca="false">M737</f>
        <v>0</v>
      </c>
      <c r="AE737" s="61" t="n">
        <f aca="false">N737</f>
        <v>0</v>
      </c>
      <c r="AF737" s="61" t="n">
        <f aca="false">VLOOKUP(AE737,recipe_ingred_list!$K$16:$M$25,3,0)</f>
        <v>1</v>
      </c>
      <c r="AG737" s="61" t="n">
        <f aca="false">O737</f>
        <v>0</v>
      </c>
      <c r="AH737" s="61" t="n">
        <f aca="false">P737</f>
        <v>0</v>
      </c>
      <c r="AI737" s="61" t="n">
        <f aca="false">VLOOKUP(AH737,recipe_ingred_list!$K$29:$M$34,3,0)</f>
        <v>3</v>
      </c>
      <c r="AJ737" s="61" t="str">
        <f aca="false">IF(Q737="","",Q737)</f>
        <v/>
      </c>
      <c r="AK737" s="61" t="n">
        <f aca="false">AK736+1</f>
        <v>737</v>
      </c>
      <c r="AL737" s="61" t="str">
        <f aca="false">Y737</f>
        <v>basmati rice</v>
      </c>
      <c r="AM737" s="81" t="str">
        <f aca="false">"a = Client().post('"&amp;W737&amp;"', {'recipe' : '"&amp;V737&amp;"', 'ingredient' : '"&amp;Z737&amp;"', 'name' : '"&amp;X737&amp;"', 'mass_unit' : '"&amp;AC737&amp;"', 'mass_quantity' : '"&amp;ROUND(AA737,3)&amp;"', 'volume_unit' : '"&amp;AF737&amp;"', 'volume_quantity' : '"&amp;ROUND(AD737,3)&amp;"', 'pieces_unit' : '"&amp;AI737&amp;"', 'pieces_quantity' : '"&amp;ROUND(AG737,3)&amp;"', 'cooking_notes' : '"&amp;AJ737&amp;"'}).status_code; print('%s :: %s :: %s :: %s :: %s' %(a,"&amp;G737&amp;",'"&amp;X737&amp;"','"&amp;Y737&amp;"','"&amp;U737&amp;"'))"</f>
        <v>a = Client().post('/recipes/biryani-dum-layer/detail/', {'recipe' : '10', 'ingredient' : '25', 'name' : 'Basmati Rice', 'mass_unit' : '2', 'mass_quantity' : '5', 'volume_unit' : '1', 'volume_quantity' : '0', 'pieces_unit' : '3', 'pieces_quantity' : '0', 'cooking_notes' : ''}).status_code; print('%s :: %s :: %s :: %s :: %s' %(a,737,'Basmati Rice','basmati rice','Biryani Dum Layer'))</v>
      </c>
    </row>
    <row r="738" customFormat="false" ht="13.8" hidden="false" customHeight="false" outlineLevel="0" collapsed="false">
      <c r="G738" s="80" t="n">
        <v>738</v>
      </c>
      <c r="I738" s="83" t="s">
        <v>136</v>
      </c>
      <c r="J738" s="83" t="s">
        <v>784</v>
      </c>
      <c r="K738" s="61" t="n">
        <v>3</v>
      </c>
      <c r="L738" s="61" t="s">
        <v>7</v>
      </c>
      <c r="R738" s="82" t="str">
        <f aca="false">VLOOKUP(J738,ingredient!$N$4:$O$553,2,0)</f>
        <v>tomato</v>
      </c>
      <c r="U738" s="81" t="str">
        <f aca="false">I738</f>
        <v>Biryani Dum Layer</v>
      </c>
      <c r="V738" s="81" t="n">
        <f aca="false">VLOOKUP(U738,recipe_ingred_list!$A$2:$B$300,2,0)</f>
        <v>10</v>
      </c>
      <c r="W738" s="81" t="str">
        <f aca="false">"/recipes/"&amp;VLOOKUP(U738,recipe_ingred_list!$A$2:$C$300,3,0)&amp;"/detail/"</f>
        <v>/recipes/biryani-dum-layer/detail/</v>
      </c>
      <c r="X738" s="81" t="str">
        <f aca="false">J738</f>
        <v>Tomato 1</v>
      </c>
      <c r="Y738" s="81" t="str">
        <f aca="false">R738</f>
        <v>tomato</v>
      </c>
      <c r="Z738" s="94" t="n">
        <f aca="false">VLOOKUP(Y738,recipe_ingred_list!$D$2:$E$500,2,0)</f>
        <v>195</v>
      </c>
      <c r="AA738" s="61" t="n">
        <f aca="false">K738</f>
        <v>3</v>
      </c>
      <c r="AB738" s="61" t="str">
        <f aca="false">L738</f>
        <v>kg</v>
      </c>
      <c r="AC738" s="61" t="n">
        <f aca="false">VLOOKUP(AB738,recipe_ingred_list!$K$2:$M$7,3,0)</f>
        <v>2</v>
      </c>
      <c r="AD738" s="61" t="n">
        <f aca="false">M738</f>
        <v>0</v>
      </c>
      <c r="AE738" s="61" t="n">
        <f aca="false">N738</f>
        <v>0</v>
      </c>
      <c r="AF738" s="61" t="n">
        <f aca="false">VLOOKUP(AE738,recipe_ingred_list!$K$16:$M$25,3,0)</f>
        <v>1</v>
      </c>
      <c r="AG738" s="61" t="n">
        <f aca="false">O738</f>
        <v>0</v>
      </c>
      <c r="AH738" s="61" t="n">
        <f aca="false">P738</f>
        <v>0</v>
      </c>
      <c r="AI738" s="61" t="n">
        <f aca="false">VLOOKUP(AH738,recipe_ingred_list!$K$29:$M$34,3,0)</f>
        <v>3</v>
      </c>
      <c r="AJ738" s="61" t="str">
        <f aca="false">IF(Q738="","",Q738)</f>
        <v/>
      </c>
      <c r="AK738" s="61" t="n">
        <f aca="false">AK737+1</f>
        <v>738</v>
      </c>
      <c r="AL738" s="61" t="str">
        <f aca="false">Y738</f>
        <v>tomato</v>
      </c>
      <c r="AM738" s="81" t="str">
        <f aca="false">"a = Client().post('"&amp;W738&amp;"', {'recipe' : '"&amp;V738&amp;"', 'ingredient' : '"&amp;Z738&amp;"', 'name' : '"&amp;X738&amp;"', 'mass_unit' : '"&amp;AC738&amp;"', 'mass_quantity' : '"&amp;ROUND(AA738,3)&amp;"', 'volume_unit' : '"&amp;AF738&amp;"', 'volume_quantity' : '"&amp;ROUND(AD738,3)&amp;"', 'pieces_unit' : '"&amp;AI738&amp;"', 'pieces_quantity' : '"&amp;ROUND(AG738,3)&amp;"', 'cooking_notes' : '"&amp;AJ738&amp;"'}).status_code; print('%s :: %s :: %s :: %s :: %s' %(a,"&amp;G738&amp;",'"&amp;X738&amp;"','"&amp;Y738&amp;"','"&amp;U738&amp;"'))"</f>
        <v>a = Client().post('/recipes/biryani-dum-layer/detail/', {'recipe' : '10', 'ingredient' : '195', 'name' : 'Tomato 1', 'mass_unit' : '2', 'mass_quantity' : '3', 'volume_unit' : '1', 'volume_quantity' : '0', 'pieces_unit' : '3', 'pieces_quantity' : '0', 'cooking_notes' : ''}).status_code; print('%s :: %s :: %s :: %s :: %s' %(a,738,'Tomato 1','tomato','Biryani Dum Layer'))</v>
      </c>
    </row>
    <row r="739" customFormat="false" ht="13.8" hidden="false" customHeight="false" outlineLevel="0" collapsed="false">
      <c r="G739" s="80" t="n">
        <v>739</v>
      </c>
      <c r="I739" s="83" t="s">
        <v>136</v>
      </c>
      <c r="J739" s="83" t="s">
        <v>785</v>
      </c>
      <c r="K739" s="61" t="n">
        <v>0.6</v>
      </c>
      <c r="L739" s="61" t="s">
        <v>7</v>
      </c>
      <c r="R739" s="82" t="str">
        <f aca="false">VLOOKUP(J739,ingredient!$N$4:$O$553,2,0)</f>
        <v>tomato</v>
      </c>
      <c r="U739" s="81" t="str">
        <f aca="false">I739</f>
        <v>Biryani Dum Layer</v>
      </c>
      <c r="V739" s="81" t="n">
        <f aca="false">VLOOKUP(U739,recipe_ingred_list!$A$2:$B$300,2,0)</f>
        <v>10</v>
      </c>
      <c r="W739" s="81" t="str">
        <f aca="false">"/recipes/"&amp;VLOOKUP(U739,recipe_ingred_list!$A$2:$C$300,3,0)&amp;"/detail/"</f>
        <v>/recipes/biryani-dum-layer/detail/</v>
      </c>
      <c r="X739" s="81" t="str">
        <f aca="false">J739</f>
        <v>Tomato 2</v>
      </c>
      <c r="Y739" s="81" t="str">
        <f aca="false">R739</f>
        <v>tomato</v>
      </c>
      <c r="Z739" s="94" t="n">
        <f aca="false">VLOOKUP(Y739,recipe_ingred_list!$D$2:$E$500,2,0)</f>
        <v>195</v>
      </c>
      <c r="AA739" s="61" t="n">
        <f aca="false">K739</f>
        <v>0.6</v>
      </c>
      <c r="AB739" s="61" t="str">
        <f aca="false">L739</f>
        <v>kg</v>
      </c>
      <c r="AC739" s="61" t="n">
        <f aca="false">VLOOKUP(AB739,recipe_ingred_list!$K$2:$M$7,3,0)</f>
        <v>2</v>
      </c>
      <c r="AD739" s="61" t="n">
        <f aca="false">M739</f>
        <v>0</v>
      </c>
      <c r="AE739" s="61" t="n">
        <f aca="false">N739</f>
        <v>0</v>
      </c>
      <c r="AF739" s="61" t="n">
        <f aca="false">VLOOKUP(AE739,recipe_ingred_list!$K$16:$M$25,3,0)</f>
        <v>1</v>
      </c>
      <c r="AG739" s="61" t="n">
        <f aca="false">O739</f>
        <v>0</v>
      </c>
      <c r="AH739" s="61" t="n">
        <f aca="false">P739</f>
        <v>0</v>
      </c>
      <c r="AI739" s="61" t="n">
        <f aca="false">VLOOKUP(AH739,recipe_ingred_list!$K$29:$M$34,3,0)</f>
        <v>3</v>
      </c>
      <c r="AJ739" s="61" t="str">
        <f aca="false">IF(Q739="","",Q739)</f>
        <v/>
      </c>
      <c r="AK739" s="61" t="n">
        <f aca="false">AK738+1</f>
        <v>739</v>
      </c>
      <c r="AL739" s="61" t="str">
        <f aca="false">Y739</f>
        <v>tomato</v>
      </c>
      <c r="AM739" s="81" t="str">
        <f aca="false">"a = Client().post('"&amp;W739&amp;"', {'recipe' : '"&amp;V739&amp;"', 'ingredient' : '"&amp;Z739&amp;"', 'name' : '"&amp;X739&amp;"', 'mass_unit' : '"&amp;AC739&amp;"', 'mass_quantity' : '"&amp;ROUND(AA739,3)&amp;"', 'volume_unit' : '"&amp;AF739&amp;"', 'volume_quantity' : '"&amp;ROUND(AD739,3)&amp;"', 'pieces_unit' : '"&amp;AI739&amp;"', 'pieces_quantity' : '"&amp;ROUND(AG739,3)&amp;"', 'cooking_notes' : '"&amp;AJ739&amp;"'}).status_code; print('%s :: %s :: %s :: %s :: %s' %(a,"&amp;G739&amp;",'"&amp;X739&amp;"','"&amp;Y739&amp;"','"&amp;U739&amp;"'))"</f>
        <v>a = Client().post('/recipes/biryani-dum-layer/detail/', {'recipe' : '10', 'ingredient' : '195', 'name' : 'Tomato 2', 'mass_unit' : '2', 'mass_quantity' : '0.6', 'volume_unit' : '1', 'volume_quantity' : '0', 'pieces_unit' : '3', 'pieces_quantity' : '0', 'cooking_notes' : ''}).status_code; print('%s :: %s :: %s :: %s :: %s' %(a,739,'Tomato 2','tomato','Biryani Dum Layer'))</v>
      </c>
    </row>
    <row r="740" customFormat="false" ht="13.8" hidden="false" customHeight="false" outlineLevel="0" collapsed="false">
      <c r="G740" s="80" t="n">
        <v>740</v>
      </c>
      <c r="I740" s="83" t="s">
        <v>136</v>
      </c>
      <c r="J740" s="83" t="s">
        <v>527</v>
      </c>
      <c r="K740" s="61" t="n">
        <v>100</v>
      </c>
      <c r="L740" s="61" t="s">
        <v>109</v>
      </c>
      <c r="R740" s="82" t="str">
        <f aca="false">VLOOKUP(J740,ingredient!$N$4:$O$553,2,0)</f>
        <v>adrak</v>
      </c>
      <c r="U740" s="81" t="str">
        <f aca="false">I740</f>
        <v>Biryani Dum Layer</v>
      </c>
      <c r="V740" s="81" t="n">
        <f aca="false">VLOOKUP(U740,recipe_ingred_list!$A$2:$B$300,2,0)</f>
        <v>10</v>
      </c>
      <c r="W740" s="81" t="str">
        <f aca="false">"/recipes/"&amp;VLOOKUP(U740,recipe_ingred_list!$A$2:$C$300,3,0)&amp;"/detail/"</f>
        <v>/recipes/biryani-dum-layer/detail/</v>
      </c>
      <c r="X740" s="81" t="str">
        <f aca="false">J740</f>
        <v>Adrak</v>
      </c>
      <c r="Y740" s="81" t="str">
        <f aca="false">R740</f>
        <v>adrak</v>
      </c>
      <c r="Z740" s="94" t="n">
        <f aca="false">VLOOKUP(Y740,recipe_ingred_list!$D$2:$E$500,2,0)</f>
        <v>1</v>
      </c>
      <c r="AA740" s="61" t="n">
        <f aca="false">K740</f>
        <v>100</v>
      </c>
      <c r="AB740" s="61" t="str">
        <f aca="false">L740</f>
        <v>gm</v>
      </c>
      <c r="AC740" s="61" t="n">
        <f aca="false">VLOOKUP(AB740,recipe_ingred_list!$K$2:$M$7,3,0)</f>
        <v>7</v>
      </c>
      <c r="AD740" s="61" t="n">
        <f aca="false">M740</f>
        <v>0</v>
      </c>
      <c r="AE740" s="61" t="n">
        <f aca="false">N740</f>
        <v>0</v>
      </c>
      <c r="AF740" s="61" t="n">
        <f aca="false">VLOOKUP(AE740,recipe_ingred_list!$K$16:$M$25,3,0)</f>
        <v>1</v>
      </c>
      <c r="AG740" s="61" t="n">
        <f aca="false">O740</f>
        <v>0</v>
      </c>
      <c r="AH740" s="61" t="n">
        <f aca="false">P740</f>
        <v>0</v>
      </c>
      <c r="AI740" s="61" t="n">
        <f aca="false">VLOOKUP(AH740,recipe_ingred_list!$K$29:$M$34,3,0)</f>
        <v>3</v>
      </c>
      <c r="AJ740" s="61" t="str">
        <f aca="false">IF(Q740="","",Q740)</f>
        <v/>
      </c>
      <c r="AK740" s="61" t="n">
        <f aca="false">AK739+1</f>
        <v>740</v>
      </c>
      <c r="AL740" s="61" t="str">
        <f aca="false">Y740</f>
        <v>adrak</v>
      </c>
      <c r="AM740" s="81" t="str">
        <f aca="false">"a = Client().post('"&amp;W740&amp;"', {'recipe' : '"&amp;V740&amp;"', 'ingredient' : '"&amp;Z740&amp;"', 'name' : '"&amp;X740&amp;"', 'mass_unit' : '"&amp;AC740&amp;"', 'mass_quantity' : '"&amp;ROUND(AA740,3)&amp;"', 'volume_unit' : '"&amp;AF740&amp;"', 'volume_quantity' : '"&amp;ROUND(AD740,3)&amp;"', 'pieces_unit' : '"&amp;AI740&amp;"', 'pieces_quantity' : '"&amp;ROUND(AG740,3)&amp;"', 'cooking_notes' : '"&amp;AJ740&amp;"'}).status_code; print('%s :: %s :: %s :: %s :: %s' %(a,"&amp;G740&amp;",'"&amp;X740&amp;"','"&amp;Y740&amp;"','"&amp;U740&amp;"'))"</f>
        <v>a = Client().post('/recipes/biryani-dum-layer/detail/', {'recipe' : '10', 'ingredient' : '1', 'name' : 'Adrak', 'mass_unit' : '7', 'mass_quantity' : '100', 'volume_unit' : '1', 'volume_quantity' : '0', 'pieces_unit' : '3', 'pieces_quantity' : '0', 'cooking_notes' : ''}).status_code; print('%s :: %s :: %s :: %s :: %s' %(a,740,'Adrak','adrak','Biryani Dum Layer'))</v>
      </c>
    </row>
    <row r="741" customFormat="false" ht="13.8" hidden="false" customHeight="false" outlineLevel="0" collapsed="false">
      <c r="G741" s="80" t="n">
        <v>741</v>
      </c>
      <c r="I741" s="83" t="s">
        <v>136</v>
      </c>
      <c r="J741" s="83" t="s">
        <v>786</v>
      </c>
      <c r="K741" s="61" t="n">
        <v>100</v>
      </c>
      <c r="L741" s="61" t="s">
        <v>109</v>
      </c>
      <c r="R741" s="82" t="str">
        <f aca="false">VLOOKUP(J741,ingredient!$N$4:$O$553,2,0)</f>
        <v>hari mirchi</v>
      </c>
      <c r="U741" s="81" t="str">
        <f aca="false">I741</f>
        <v>Biryani Dum Layer</v>
      </c>
      <c r="V741" s="81" t="n">
        <f aca="false">VLOOKUP(U741,recipe_ingred_list!$A$2:$B$300,2,0)</f>
        <v>10</v>
      </c>
      <c r="W741" s="81" t="str">
        <f aca="false">"/recipes/"&amp;VLOOKUP(U741,recipe_ingred_list!$A$2:$C$300,3,0)&amp;"/detail/"</f>
        <v>/recipes/biryani-dum-layer/detail/</v>
      </c>
      <c r="X741" s="81" t="str">
        <f aca="false">J741</f>
        <v>Mirchi</v>
      </c>
      <c r="Y741" s="81" t="str">
        <f aca="false">R741</f>
        <v>hari mirchi</v>
      </c>
      <c r="Z741" s="94" t="n">
        <f aca="false">VLOOKUP(Y741,recipe_ingred_list!$D$2:$E$500,2,0)</f>
        <v>93</v>
      </c>
      <c r="AA741" s="61" t="n">
        <f aca="false">K741</f>
        <v>100</v>
      </c>
      <c r="AB741" s="61" t="str">
        <f aca="false">L741</f>
        <v>gm</v>
      </c>
      <c r="AC741" s="61" t="n">
        <f aca="false">VLOOKUP(AB741,recipe_ingred_list!$K$2:$M$7,3,0)</f>
        <v>7</v>
      </c>
      <c r="AD741" s="61" t="n">
        <f aca="false">M741</f>
        <v>0</v>
      </c>
      <c r="AE741" s="61" t="n">
        <f aca="false">N741</f>
        <v>0</v>
      </c>
      <c r="AF741" s="61" t="n">
        <f aca="false">VLOOKUP(AE741,recipe_ingred_list!$K$16:$M$25,3,0)</f>
        <v>1</v>
      </c>
      <c r="AG741" s="61" t="n">
        <f aca="false">O741</f>
        <v>0</v>
      </c>
      <c r="AH741" s="61" t="n">
        <f aca="false">P741</f>
        <v>0</v>
      </c>
      <c r="AI741" s="61" t="n">
        <f aca="false">VLOOKUP(AH741,recipe_ingred_list!$K$29:$M$34,3,0)</f>
        <v>3</v>
      </c>
      <c r="AJ741" s="61" t="str">
        <f aca="false">IF(Q741="","",Q741)</f>
        <v/>
      </c>
      <c r="AK741" s="61" t="n">
        <f aca="false">AK740+1</f>
        <v>741</v>
      </c>
      <c r="AL741" s="61" t="str">
        <f aca="false">Y741</f>
        <v>hari mirchi</v>
      </c>
      <c r="AM741" s="81" t="str">
        <f aca="false">"a = Client().post('"&amp;W741&amp;"', {'recipe' : '"&amp;V741&amp;"', 'ingredient' : '"&amp;Z741&amp;"', 'name' : '"&amp;X741&amp;"', 'mass_unit' : '"&amp;AC741&amp;"', 'mass_quantity' : '"&amp;ROUND(AA741,3)&amp;"', 'volume_unit' : '"&amp;AF741&amp;"', 'volume_quantity' : '"&amp;ROUND(AD741,3)&amp;"', 'pieces_unit' : '"&amp;AI741&amp;"', 'pieces_quantity' : '"&amp;ROUND(AG741,3)&amp;"', 'cooking_notes' : '"&amp;AJ741&amp;"'}).status_code; print('%s :: %s :: %s :: %s :: %s' %(a,"&amp;G741&amp;",'"&amp;X741&amp;"','"&amp;Y741&amp;"','"&amp;U741&amp;"'))"</f>
        <v>a = Client().post('/recipes/biryani-dum-layer/detail/', {'recipe' : '10', 'ingredient' : '93', 'name' : 'Mirchi', 'mass_unit' : '7', 'mass_quantity' : '100', 'volume_unit' : '1', 'volume_quantity' : '0', 'pieces_unit' : '3', 'pieces_quantity' : '0', 'cooking_notes' : ''}).status_code; print('%s :: %s :: %s :: %s :: %s' %(a,741,'Mirchi','hari mirchi','Biryani Dum Layer'))</v>
      </c>
    </row>
    <row r="742" customFormat="false" ht="13.8" hidden="false" customHeight="false" outlineLevel="0" collapsed="false">
      <c r="G742" s="80" t="n">
        <v>742</v>
      </c>
      <c r="I742" s="83" t="s">
        <v>136</v>
      </c>
      <c r="J742" s="83" t="s">
        <v>586</v>
      </c>
      <c r="K742" s="61" t="n">
        <v>0</v>
      </c>
      <c r="R742" s="82" t="str">
        <f aca="false">VLOOKUP(J742,ingredient!$N$4:$O$553,2,0)</f>
        <v>kadi patta</v>
      </c>
      <c r="U742" s="81" t="str">
        <f aca="false">I742</f>
        <v>Biryani Dum Layer</v>
      </c>
      <c r="V742" s="81" t="n">
        <f aca="false">VLOOKUP(U742,recipe_ingred_list!$A$2:$B$300,2,0)</f>
        <v>10</v>
      </c>
      <c r="W742" s="81" t="str">
        <f aca="false">"/recipes/"&amp;VLOOKUP(U742,recipe_ingred_list!$A$2:$C$300,3,0)&amp;"/detail/"</f>
        <v>/recipes/biryani-dum-layer/detail/</v>
      </c>
      <c r="X742" s="81" t="str">
        <f aca="false">J742</f>
        <v>Kadipatta</v>
      </c>
      <c r="Y742" s="81" t="str">
        <f aca="false">R742</f>
        <v>kadi patta</v>
      </c>
      <c r="Z742" s="94" t="n">
        <f aca="false">VLOOKUP(Y742,recipe_ingred_list!$D$2:$E$500,2,0)</f>
        <v>105</v>
      </c>
      <c r="AA742" s="61" t="n">
        <f aca="false">K742</f>
        <v>0</v>
      </c>
      <c r="AB742" s="61" t="n">
        <f aca="false">L742</f>
        <v>0</v>
      </c>
      <c r="AC742" s="61" t="n">
        <f aca="false">VLOOKUP(AB742,recipe_ingred_list!$K$2:$M$7,3,0)</f>
        <v>2</v>
      </c>
      <c r="AD742" s="61" t="n">
        <f aca="false">M742</f>
        <v>0</v>
      </c>
      <c r="AE742" s="61" t="n">
        <f aca="false">N742</f>
        <v>0</v>
      </c>
      <c r="AF742" s="61" t="n">
        <f aca="false">VLOOKUP(AE742,recipe_ingred_list!$K$16:$M$25,3,0)</f>
        <v>1</v>
      </c>
      <c r="AG742" s="61" t="n">
        <f aca="false">O742</f>
        <v>0</v>
      </c>
      <c r="AH742" s="61" t="n">
        <f aca="false">P742</f>
        <v>0</v>
      </c>
      <c r="AI742" s="61" t="n">
        <f aca="false">VLOOKUP(AH742,recipe_ingred_list!$K$29:$M$34,3,0)</f>
        <v>3</v>
      </c>
      <c r="AJ742" s="61" t="str">
        <f aca="false">IF(Q742="","",Q742)</f>
        <v/>
      </c>
      <c r="AK742" s="61" t="n">
        <f aca="false">AK741+1</f>
        <v>742</v>
      </c>
      <c r="AL742" s="61" t="str">
        <f aca="false">Y742</f>
        <v>kadi patta</v>
      </c>
      <c r="AM742" s="81" t="str">
        <f aca="false">"a = Client().post('"&amp;W742&amp;"', {'recipe' : '"&amp;V742&amp;"', 'ingredient' : '"&amp;Z742&amp;"', 'name' : '"&amp;X742&amp;"', 'mass_unit' : '"&amp;AC742&amp;"', 'mass_quantity' : '"&amp;ROUND(AA742,3)&amp;"', 'volume_unit' : '"&amp;AF742&amp;"', 'volume_quantity' : '"&amp;ROUND(AD742,3)&amp;"', 'pieces_unit' : '"&amp;AI742&amp;"', 'pieces_quantity' : '"&amp;ROUND(AG742,3)&amp;"', 'cooking_notes' : '"&amp;AJ742&amp;"'}).status_code; print('%s :: %s :: %s :: %s :: %s' %(a,"&amp;G742&amp;",'"&amp;X742&amp;"','"&amp;Y742&amp;"','"&amp;U742&amp;"'))"</f>
        <v>a = Client().post('/recipes/biryani-dum-layer/detail/', {'recipe' : '10', 'ingredient' : '105', 'name' : 'Kadipatta', 'mass_unit' : '2', 'mass_quantity' : '0', 'volume_unit' : '1', 'volume_quantity' : '0', 'pieces_unit' : '3', 'pieces_quantity' : '0', 'cooking_notes' : ''}).status_code; print('%s :: %s :: %s :: %s :: %s' %(a,742,'Kadipatta','kadi patta','Biryani Dum Layer'))</v>
      </c>
    </row>
    <row r="743" customFormat="false" ht="13.8" hidden="false" customHeight="false" outlineLevel="0" collapsed="false">
      <c r="G743" s="80" t="n">
        <v>743</v>
      </c>
      <c r="I743" s="83" t="s">
        <v>136</v>
      </c>
      <c r="J743" s="83" t="s">
        <v>787</v>
      </c>
      <c r="K743" s="0"/>
      <c r="L743" s="0"/>
      <c r="O743" s="61" t="n">
        <v>10</v>
      </c>
      <c r="P743" s="61" t="s">
        <v>127</v>
      </c>
      <c r="R743" s="82" t="str">
        <f aca="false">VLOOKUP(J743,ingredient!$N$4:$O$553,2,0)</f>
        <v>dhaniya patta</v>
      </c>
      <c r="U743" s="81" t="str">
        <f aca="false">I743</f>
        <v>Biryani Dum Layer</v>
      </c>
      <c r="V743" s="81" t="n">
        <f aca="false">VLOOKUP(U743,recipe_ingred_list!$A$2:$B$300,2,0)</f>
        <v>10</v>
      </c>
      <c r="W743" s="81" t="str">
        <f aca="false">"/recipes/"&amp;VLOOKUP(U743,recipe_ingred_list!$A$2:$C$300,3,0)&amp;"/detail/"</f>
        <v>/recipes/biryani-dum-layer/detail/</v>
      </c>
      <c r="X743" s="81" t="str">
        <f aca="false">J743</f>
        <v>Dhaniyapatta</v>
      </c>
      <c r="Y743" s="81" t="str">
        <f aca="false">R743</f>
        <v>dhaniya patta</v>
      </c>
      <c r="Z743" s="94" t="n">
        <f aca="false">VLOOKUP(Y743,recipe_ingred_list!$D$2:$E$500,2,0)</f>
        <v>66</v>
      </c>
      <c r="AA743" s="61" t="n">
        <f aca="false">K743</f>
        <v>0</v>
      </c>
      <c r="AB743" s="61" t="n">
        <f aca="false">L743</f>
        <v>0</v>
      </c>
      <c r="AC743" s="61" t="n">
        <f aca="false">VLOOKUP(AB743,recipe_ingred_list!$K$2:$M$7,3,0)</f>
        <v>2</v>
      </c>
      <c r="AD743" s="61" t="n">
        <f aca="false">M743</f>
        <v>0</v>
      </c>
      <c r="AE743" s="61" t="n">
        <f aca="false">N743</f>
        <v>0</v>
      </c>
      <c r="AF743" s="61" t="n">
        <f aca="false">VLOOKUP(AE743,recipe_ingred_list!$K$16:$M$25,3,0)</f>
        <v>1</v>
      </c>
      <c r="AG743" s="61" t="n">
        <f aca="false">O743</f>
        <v>10</v>
      </c>
      <c r="AH743" s="61" t="str">
        <f aca="false">P743</f>
        <v>bndl</v>
      </c>
      <c r="AI743" s="61" t="n">
        <f aca="false">VLOOKUP(AH743,recipe_ingred_list!$K$29:$M$34,3,0)</f>
        <v>8</v>
      </c>
      <c r="AJ743" s="61" t="str">
        <f aca="false">IF(Q743="","",Q743)</f>
        <v/>
      </c>
      <c r="AK743" s="61" t="n">
        <f aca="false">AK742+1</f>
        <v>743</v>
      </c>
      <c r="AL743" s="61" t="str">
        <f aca="false">Y743</f>
        <v>dhaniya patta</v>
      </c>
      <c r="AM743" s="81" t="str">
        <f aca="false">"a = Client().post('"&amp;W743&amp;"', {'recipe' : '"&amp;V743&amp;"', 'ingredient' : '"&amp;Z743&amp;"', 'name' : '"&amp;X743&amp;"', 'mass_unit' : '"&amp;AC743&amp;"', 'mass_quantity' : '"&amp;ROUND(AA743,3)&amp;"', 'volume_unit' : '"&amp;AF743&amp;"', 'volume_quantity' : '"&amp;ROUND(AD743,3)&amp;"', 'pieces_unit' : '"&amp;AI743&amp;"', 'pieces_quantity' : '"&amp;ROUND(AG743,3)&amp;"', 'cooking_notes' : '"&amp;AJ743&amp;"'}).status_code; print('%s :: %s :: %s :: %s :: %s' %(a,"&amp;G743&amp;",'"&amp;X743&amp;"','"&amp;Y743&amp;"','"&amp;U743&amp;"'))"</f>
        <v>a = Client().post('/recipes/biryani-dum-layer/detail/', {'recipe' : '10', 'ingredient' : '66', 'name' : 'Dhaniyapatta', 'mass_unit' : '2', 'mass_quantity' : '0', 'volume_unit' : '1', 'volume_quantity' : '0', 'pieces_unit' : '8', 'pieces_quantity' : '10', 'cooking_notes' : ''}).status_code; print('%s :: %s :: %s :: %s :: %s' %(a,743,'Dhaniyapatta','dhaniya patta','Biryani Dum Layer'))</v>
      </c>
    </row>
    <row r="744" customFormat="false" ht="13.8" hidden="false" customHeight="false" outlineLevel="0" collapsed="false">
      <c r="G744" s="80" t="n">
        <v>744</v>
      </c>
      <c r="I744" s="83" t="s">
        <v>136</v>
      </c>
      <c r="J744" s="83" t="s">
        <v>668</v>
      </c>
      <c r="K744" s="0"/>
      <c r="L744" s="0"/>
      <c r="O744" s="61" t="n">
        <v>10</v>
      </c>
      <c r="P744" s="61" t="s">
        <v>127</v>
      </c>
      <c r="R744" s="82" t="str">
        <f aca="false">VLOOKUP(J744,ingredient!$N$4:$O$553,2,0)</f>
        <v>pudina</v>
      </c>
      <c r="U744" s="81" t="str">
        <f aca="false">I744</f>
        <v>Biryani Dum Layer</v>
      </c>
      <c r="V744" s="81" t="n">
        <f aca="false">VLOOKUP(U744,recipe_ingred_list!$A$2:$B$300,2,0)</f>
        <v>10</v>
      </c>
      <c r="W744" s="81" t="str">
        <f aca="false">"/recipes/"&amp;VLOOKUP(U744,recipe_ingred_list!$A$2:$C$300,3,0)&amp;"/detail/"</f>
        <v>/recipes/biryani-dum-layer/detail/</v>
      </c>
      <c r="X744" s="81" t="str">
        <f aca="false">J744</f>
        <v>Pudina</v>
      </c>
      <c r="Y744" s="81" t="str">
        <f aca="false">R744</f>
        <v>pudina</v>
      </c>
      <c r="Z744" s="94" t="n">
        <f aca="false">VLOOKUP(Y744,recipe_ingred_list!$D$2:$E$500,2,0)</f>
        <v>162</v>
      </c>
      <c r="AA744" s="61" t="n">
        <f aca="false">K744</f>
        <v>0</v>
      </c>
      <c r="AB744" s="61" t="n">
        <f aca="false">L744</f>
        <v>0</v>
      </c>
      <c r="AC744" s="61" t="n">
        <f aca="false">VLOOKUP(AB744,recipe_ingred_list!$K$2:$M$7,3,0)</f>
        <v>2</v>
      </c>
      <c r="AD744" s="61" t="n">
        <f aca="false">M744</f>
        <v>0</v>
      </c>
      <c r="AE744" s="61" t="n">
        <f aca="false">N744</f>
        <v>0</v>
      </c>
      <c r="AF744" s="61" t="n">
        <f aca="false">VLOOKUP(AE744,recipe_ingred_list!$K$16:$M$25,3,0)</f>
        <v>1</v>
      </c>
      <c r="AG744" s="61" t="n">
        <f aca="false">O744</f>
        <v>10</v>
      </c>
      <c r="AH744" s="61" t="str">
        <f aca="false">P744</f>
        <v>bndl</v>
      </c>
      <c r="AI744" s="61" t="n">
        <f aca="false">VLOOKUP(AH744,recipe_ingred_list!$K$29:$M$34,3,0)</f>
        <v>8</v>
      </c>
      <c r="AJ744" s="61" t="str">
        <f aca="false">IF(Q744="","",Q744)</f>
        <v/>
      </c>
      <c r="AK744" s="61" t="n">
        <f aca="false">AK743+1</f>
        <v>744</v>
      </c>
      <c r="AL744" s="61" t="str">
        <f aca="false">Y744</f>
        <v>pudina</v>
      </c>
      <c r="AM744" s="81" t="str">
        <f aca="false">"a = Client().post('"&amp;W744&amp;"', {'recipe' : '"&amp;V744&amp;"', 'ingredient' : '"&amp;Z744&amp;"', 'name' : '"&amp;X744&amp;"', 'mass_unit' : '"&amp;AC744&amp;"', 'mass_quantity' : '"&amp;ROUND(AA744,3)&amp;"', 'volume_unit' : '"&amp;AF744&amp;"', 'volume_quantity' : '"&amp;ROUND(AD744,3)&amp;"', 'pieces_unit' : '"&amp;AI744&amp;"', 'pieces_quantity' : '"&amp;ROUND(AG744,3)&amp;"', 'cooking_notes' : '"&amp;AJ744&amp;"'}).status_code; print('%s :: %s :: %s :: %s :: %s' %(a,"&amp;G744&amp;",'"&amp;X744&amp;"','"&amp;Y744&amp;"','"&amp;U744&amp;"'))"</f>
        <v>a = Client().post('/recipes/biryani-dum-layer/detail/', {'recipe' : '10', 'ingredient' : '162', 'name' : 'Pudina', 'mass_unit' : '2', 'mass_quantity' : '0', 'volume_unit' : '1', 'volume_quantity' : '0', 'pieces_unit' : '8', 'pieces_quantity' : '10', 'cooking_notes' : ''}).status_code; print('%s :: %s :: %s :: %s :: %s' %(a,744,'Pudina','pudina','Biryani Dum Layer'))</v>
      </c>
    </row>
    <row r="745" customFormat="false" ht="13.8" hidden="false" customHeight="false" outlineLevel="0" collapsed="false">
      <c r="G745" s="80" t="n">
        <v>745</v>
      </c>
      <c r="I745" s="83" t="s">
        <v>136</v>
      </c>
      <c r="J745" s="83" t="s">
        <v>655</v>
      </c>
      <c r="K745" s="61" t="n">
        <v>0.5</v>
      </c>
      <c r="L745" s="61" t="s">
        <v>7</v>
      </c>
      <c r="R745" s="82" t="str">
        <f aca="false">VLOOKUP(J745,ingredient!$N$4:$O$553,2,0)</f>
        <v>beans</v>
      </c>
      <c r="U745" s="81" t="str">
        <f aca="false">I745</f>
        <v>Biryani Dum Layer</v>
      </c>
      <c r="V745" s="81" t="n">
        <f aca="false">VLOOKUP(U745,recipe_ingred_list!$A$2:$B$300,2,0)</f>
        <v>10</v>
      </c>
      <c r="W745" s="81" t="str">
        <f aca="false">"/recipes/"&amp;VLOOKUP(U745,recipe_ingred_list!$A$2:$C$300,3,0)&amp;"/detail/"</f>
        <v>/recipes/biryani-dum-layer/detail/</v>
      </c>
      <c r="X745" s="81" t="str">
        <f aca="false">J745</f>
        <v>Beans</v>
      </c>
      <c r="Y745" s="81" t="str">
        <f aca="false">R745</f>
        <v>beans</v>
      </c>
      <c r="Z745" s="94" t="n">
        <f aca="false">VLOOKUP(Y745,recipe_ingred_list!$D$2:$E$500,2,0)</f>
        <v>27</v>
      </c>
      <c r="AA745" s="61" t="n">
        <f aca="false">K745</f>
        <v>0.5</v>
      </c>
      <c r="AB745" s="61" t="str">
        <f aca="false">L745</f>
        <v>kg</v>
      </c>
      <c r="AC745" s="61" t="n">
        <f aca="false">VLOOKUP(AB745,recipe_ingred_list!$K$2:$M$7,3,0)</f>
        <v>2</v>
      </c>
      <c r="AD745" s="61" t="n">
        <f aca="false">M745</f>
        <v>0</v>
      </c>
      <c r="AE745" s="61" t="n">
        <f aca="false">N745</f>
        <v>0</v>
      </c>
      <c r="AF745" s="61" t="n">
        <f aca="false">VLOOKUP(AE745,recipe_ingred_list!$K$16:$M$25,3,0)</f>
        <v>1</v>
      </c>
      <c r="AG745" s="61" t="n">
        <f aca="false">O745</f>
        <v>0</v>
      </c>
      <c r="AH745" s="61" t="n">
        <f aca="false">P745</f>
        <v>0</v>
      </c>
      <c r="AI745" s="61" t="n">
        <f aca="false">VLOOKUP(AH745,recipe_ingred_list!$K$29:$M$34,3,0)</f>
        <v>3</v>
      </c>
      <c r="AJ745" s="61" t="str">
        <f aca="false">IF(Q745="","",Q745)</f>
        <v/>
      </c>
      <c r="AK745" s="61" t="n">
        <f aca="false">AK744+1</f>
        <v>745</v>
      </c>
      <c r="AL745" s="61" t="str">
        <f aca="false">Y745</f>
        <v>beans</v>
      </c>
      <c r="AM745" s="81" t="str">
        <f aca="false">"a = Client().post('"&amp;W745&amp;"', {'recipe' : '"&amp;V745&amp;"', 'ingredient' : '"&amp;Z745&amp;"', 'name' : '"&amp;X745&amp;"', 'mass_unit' : '"&amp;AC745&amp;"', 'mass_quantity' : '"&amp;ROUND(AA745,3)&amp;"', 'volume_unit' : '"&amp;AF745&amp;"', 'volume_quantity' : '"&amp;ROUND(AD745,3)&amp;"', 'pieces_unit' : '"&amp;AI745&amp;"', 'pieces_quantity' : '"&amp;ROUND(AG745,3)&amp;"', 'cooking_notes' : '"&amp;AJ745&amp;"'}).status_code; print('%s :: %s :: %s :: %s :: %s' %(a,"&amp;G745&amp;",'"&amp;X745&amp;"','"&amp;Y745&amp;"','"&amp;U745&amp;"'))"</f>
        <v>a = Client().post('/recipes/biryani-dum-layer/detail/', {'recipe' : '10', 'ingredient' : '27', 'name' : 'Beans', 'mass_unit' : '2', 'mass_quantity' : '0.5', 'volume_unit' : '1', 'volume_quantity' : '0', 'pieces_unit' : '3', 'pieces_quantity' : '0', 'cooking_notes' : ''}).status_code; print('%s :: %s :: %s :: %s :: %s' %(a,745,'Beans','beans','Biryani Dum Layer'))</v>
      </c>
    </row>
    <row r="746" customFormat="false" ht="13.8" hidden="false" customHeight="false" outlineLevel="0" collapsed="false">
      <c r="G746" s="80" t="n">
        <v>746</v>
      </c>
      <c r="I746" s="83" t="s">
        <v>136</v>
      </c>
      <c r="J746" s="83" t="s">
        <v>788</v>
      </c>
      <c r="K746" s="61" t="n">
        <v>1.4</v>
      </c>
      <c r="L746" s="61" t="s">
        <v>7</v>
      </c>
      <c r="R746" s="82" t="str">
        <f aca="false">VLOOKUP(J746,ingredient!$N$4:$O$553,2,0)</f>
        <v>cauli flower</v>
      </c>
      <c r="U746" s="81" t="str">
        <f aca="false">I746</f>
        <v>Biryani Dum Layer</v>
      </c>
      <c r="V746" s="81" t="n">
        <f aca="false">VLOOKUP(U746,recipe_ingred_list!$A$2:$B$300,2,0)</f>
        <v>10</v>
      </c>
      <c r="W746" s="81" t="str">
        <f aca="false">"/recipes/"&amp;VLOOKUP(U746,recipe_ingred_list!$A$2:$C$300,3,0)&amp;"/detail/"</f>
        <v>/recipes/biryani-dum-layer/detail/</v>
      </c>
      <c r="X746" s="81" t="str">
        <f aca="false">J746</f>
        <v>Cauli Flower</v>
      </c>
      <c r="Y746" s="81" t="str">
        <f aca="false">R746</f>
        <v>cauli flower</v>
      </c>
      <c r="Z746" s="94" t="n">
        <f aca="false">VLOOKUP(Y746,recipe_ingred_list!$D$2:$E$500,2,0)</f>
        <v>44</v>
      </c>
      <c r="AA746" s="61" t="n">
        <f aca="false">K746</f>
        <v>1.4</v>
      </c>
      <c r="AB746" s="61" t="str">
        <f aca="false">L746</f>
        <v>kg</v>
      </c>
      <c r="AC746" s="61" t="n">
        <f aca="false">VLOOKUP(AB746,recipe_ingred_list!$K$2:$M$7,3,0)</f>
        <v>2</v>
      </c>
      <c r="AD746" s="61" t="n">
        <f aca="false">M746</f>
        <v>0</v>
      </c>
      <c r="AE746" s="61" t="n">
        <f aca="false">N746</f>
        <v>0</v>
      </c>
      <c r="AF746" s="61" t="n">
        <f aca="false">VLOOKUP(AE746,recipe_ingred_list!$K$16:$M$25,3,0)</f>
        <v>1</v>
      </c>
      <c r="AG746" s="61" t="n">
        <f aca="false">O746</f>
        <v>0</v>
      </c>
      <c r="AH746" s="61" t="n">
        <f aca="false">P746</f>
        <v>0</v>
      </c>
      <c r="AI746" s="61" t="n">
        <f aca="false">VLOOKUP(AH746,recipe_ingred_list!$K$29:$M$34,3,0)</f>
        <v>3</v>
      </c>
      <c r="AJ746" s="61" t="str">
        <f aca="false">IF(Q746="","",Q746)</f>
        <v/>
      </c>
      <c r="AK746" s="61" t="n">
        <f aca="false">AK745+1</f>
        <v>746</v>
      </c>
      <c r="AL746" s="61" t="str">
        <f aca="false">Y746</f>
        <v>cauli flower</v>
      </c>
      <c r="AM746" s="81" t="str">
        <f aca="false">"a = Client().post('"&amp;W746&amp;"', {'recipe' : '"&amp;V746&amp;"', 'ingredient' : '"&amp;Z746&amp;"', 'name' : '"&amp;X746&amp;"', 'mass_unit' : '"&amp;AC746&amp;"', 'mass_quantity' : '"&amp;ROUND(AA746,3)&amp;"', 'volume_unit' : '"&amp;AF746&amp;"', 'volume_quantity' : '"&amp;ROUND(AD746,3)&amp;"', 'pieces_unit' : '"&amp;AI746&amp;"', 'pieces_quantity' : '"&amp;ROUND(AG746,3)&amp;"', 'cooking_notes' : '"&amp;AJ746&amp;"'}).status_code; print('%s :: %s :: %s :: %s :: %s' %(a,"&amp;G746&amp;",'"&amp;X746&amp;"','"&amp;Y746&amp;"','"&amp;U746&amp;"'))"</f>
        <v>a = Client().post('/recipes/biryani-dum-layer/detail/', {'recipe' : '10', 'ingredient' : '44', 'name' : 'Cauli Flower', 'mass_unit' : '2', 'mass_quantity' : '1.4', 'volume_unit' : '1', 'volume_quantity' : '0', 'pieces_unit' : '3', 'pieces_quantity' : '0', 'cooking_notes' : ''}).status_code; print('%s :: %s :: %s :: %s :: %s' %(a,746,'Cauli Flower','cauli flower','Biryani Dum Layer'))</v>
      </c>
    </row>
    <row r="747" customFormat="false" ht="13.8" hidden="false" customHeight="false" outlineLevel="0" collapsed="false">
      <c r="G747" s="80" t="n">
        <v>747</v>
      </c>
      <c r="I747" s="83" t="s">
        <v>136</v>
      </c>
      <c r="J747" s="83" t="s">
        <v>39</v>
      </c>
      <c r="K747" s="61" t="n">
        <v>0.6</v>
      </c>
      <c r="L747" s="61" t="s">
        <v>7</v>
      </c>
      <c r="R747" s="82" t="str">
        <f aca="false">VLOOKUP(J747,ingredient!$N$4:$O$553,2,0)</f>
        <v>cabbage</v>
      </c>
      <c r="U747" s="81" t="str">
        <f aca="false">I747</f>
        <v>Biryani Dum Layer</v>
      </c>
      <c r="V747" s="81" t="n">
        <f aca="false">VLOOKUP(U747,recipe_ingred_list!$A$2:$B$300,2,0)</f>
        <v>10</v>
      </c>
      <c r="W747" s="81" t="str">
        <f aca="false">"/recipes/"&amp;VLOOKUP(U747,recipe_ingred_list!$A$2:$C$300,3,0)&amp;"/detail/"</f>
        <v>/recipes/biryani-dum-layer/detail/</v>
      </c>
      <c r="X747" s="81" t="str">
        <f aca="false">J747</f>
        <v>Cabbage</v>
      </c>
      <c r="Y747" s="81" t="str">
        <f aca="false">R747</f>
        <v>cabbage</v>
      </c>
      <c r="Z747" s="94" t="n">
        <f aca="false">VLOOKUP(Y747,recipe_ingred_list!$D$2:$E$500,2,0)</f>
        <v>39</v>
      </c>
      <c r="AA747" s="61" t="n">
        <f aca="false">K747</f>
        <v>0.6</v>
      </c>
      <c r="AB747" s="61" t="str">
        <f aca="false">L747</f>
        <v>kg</v>
      </c>
      <c r="AC747" s="61" t="n">
        <f aca="false">VLOOKUP(AB747,recipe_ingred_list!$K$2:$M$7,3,0)</f>
        <v>2</v>
      </c>
      <c r="AD747" s="61" t="n">
        <f aca="false">M747</f>
        <v>0</v>
      </c>
      <c r="AE747" s="61" t="n">
        <f aca="false">N747</f>
        <v>0</v>
      </c>
      <c r="AF747" s="61" t="n">
        <f aca="false">VLOOKUP(AE747,recipe_ingred_list!$K$16:$M$25,3,0)</f>
        <v>1</v>
      </c>
      <c r="AG747" s="61" t="n">
        <f aca="false">O747</f>
        <v>0</v>
      </c>
      <c r="AH747" s="61" t="n">
        <f aca="false">P747</f>
        <v>0</v>
      </c>
      <c r="AI747" s="61" t="n">
        <f aca="false">VLOOKUP(AH747,recipe_ingred_list!$K$29:$M$34,3,0)</f>
        <v>3</v>
      </c>
      <c r="AJ747" s="61" t="str">
        <f aca="false">IF(Q747="","",Q747)</f>
        <v/>
      </c>
      <c r="AK747" s="61" t="n">
        <f aca="false">AK746+1</f>
        <v>747</v>
      </c>
      <c r="AL747" s="61" t="str">
        <f aca="false">Y747</f>
        <v>cabbage</v>
      </c>
      <c r="AM747" s="81" t="str">
        <f aca="false">"a = Client().post('"&amp;W747&amp;"', {'recipe' : '"&amp;V747&amp;"', 'ingredient' : '"&amp;Z747&amp;"', 'name' : '"&amp;X747&amp;"', 'mass_unit' : '"&amp;AC747&amp;"', 'mass_quantity' : '"&amp;ROUND(AA747,3)&amp;"', 'volume_unit' : '"&amp;AF747&amp;"', 'volume_quantity' : '"&amp;ROUND(AD747,3)&amp;"', 'pieces_unit' : '"&amp;AI747&amp;"', 'pieces_quantity' : '"&amp;ROUND(AG747,3)&amp;"', 'cooking_notes' : '"&amp;AJ747&amp;"'}).status_code; print('%s :: %s :: %s :: %s :: %s' %(a,"&amp;G747&amp;",'"&amp;X747&amp;"','"&amp;Y747&amp;"','"&amp;U747&amp;"'))"</f>
        <v>a = Client().post('/recipes/biryani-dum-layer/detail/', {'recipe' : '10', 'ingredient' : '39', 'name' : 'Cabbage', 'mass_unit' : '2', 'mass_quantity' : '0.6', 'volume_unit' : '1', 'volume_quantity' : '0', 'pieces_unit' : '3', 'pieces_quantity' : '0', 'cooking_notes' : ''}).status_code; print('%s :: %s :: %s :: %s :: %s' %(a,747,'Cabbage','cabbage','Biryani Dum Layer'))</v>
      </c>
    </row>
    <row r="748" customFormat="false" ht="13.8" hidden="false" customHeight="false" outlineLevel="0" collapsed="false">
      <c r="G748" s="80" t="n">
        <v>748</v>
      </c>
      <c r="I748" s="83" t="s">
        <v>136</v>
      </c>
      <c r="J748" s="83" t="s">
        <v>789</v>
      </c>
      <c r="K748" s="61" t="n">
        <v>0.5</v>
      </c>
      <c r="L748" s="61" t="s">
        <v>7</v>
      </c>
      <c r="R748" s="82" t="str">
        <f aca="false">VLOOKUP(J748,ingredient!$N$4:$O$553,2,0)</f>
        <v>carrot</v>
      </c>
      <c r="U748" s="81" t="str">
        <f aca="false">I748</f>
        <v>Biryani Dum Layer</v>
      </c>
      <c r="V748" s="81" t="n">
        <f aca="false">VLOOKUP(U748,recipe_ingred_list!$A$2:$B$300,2,0)</f>
        <v>10</v>
      </c>
      <c r="W748" s="81" t="str">
        <f aca="false">"/recipes/"&amp;VLOOKUP(U748,recipe_ingred_list!$A$2:$C$300,3,0)&amp;"/detail/"</f>
        <v>/recipes/biryani-dum-layer/detail/</v>
      </c>
      <c r="X748" s="81" t="str">
        <f aca="false">J748</f>
        <v>Carrot</v>
      </c>
      <c r="Y748" s="81" t="str">
        <f aca="false">R748</f>
        <v>carrot</v>
      </c>
      <c r="Z748" s="94" t="n">
        <f aca="false">VLOOKUP(Y748,recipe_ingred_list!$D$2:$E$500,2,0)</f>
        <v>43</v>
      </c>
      <c r="AA748" s="61" t="n">
        <f aca="false">K748</f>
        <v>0.5</v>
      </c>
      <c r="AB748" s="61" t="str">
        <f aca="false">L748</f>
        <v>kg</v>
      </c>
      <c r="AC748" s="61" t="n">
        <f aca="false">VLOOKUP(AB748,recipe_ingred_list!$K$2:$M$7,3,0)</f>
        <v>2</v>
      </c>
      <c r="AD748" s="61" t="n">
        <f aca="false">M748</f>
        <v>0</v>
      </c>
      <c r="AE748" s="61" t="n">
        <f aca="false">N748</f>
        <v>0</v>
      </c>
      <c r="AF748" s="61" t="n">
        <f aca="false">VLOOKUP(AE748,recipe_ingred_list!$K$16:$M$25,3,0)</f>
        <v>1</v>
      </c>
      <c r="AG748" s="61" t="n">
        <f aca="false">O748</f>
        <v>0</v>
      </c>
      <c r="AH748" s="61" t="n">
        <f aca="false">P748</f>
        <v>0</v>
      </c>
      <c r="AI748" s="61" t="n">
        <f aca="false">VLOOKUP(AH748,recipe_ingred_list!$K$29:$M$34,3,0)</f>
        <v>3</v>
      </c>
      <c r="AJ748" s="61" t="str">
        <f aca="false">IF(Q748="","",Q748)</f>
        <v/>
      </c>
      <c r="AK748" s="61" t="n">
        <f aca="false">AK747+1</f>
        <v>748</v>
      </c>
      <c r="AL748" s="61" t="str">
        <f aca="false">Y748</f>
        <v>carrot</v>
      </c>
      <c r="AM748" s="81" t="str">
        <f aca="false">"a = Client().post('"&amp;W748&amp;"', {'recipe' : '"&amp;V748&amp;"', 'ingredient' : '"&amp;Z748&amp;"', 'name' : '"&amp;X748&amp;"', 'mass_unit' : '"&amp;AC748&amp;"', 'mass_quantity' : '"&amp;ROUND(AA748,3)&amp;"', 'volume_unit' : '"&amp;AF748&amp;"', 'volume_quantity' : '"&amp;ROUND(AD748,3)&amp;"', 'pieces_unit' : '"&amp;AI748&amp;"', 'pieces_quantity' : '"&amp;ROUND(AG748,3)&amp;"', 'cooking_notes' : '"&amp;AJ748&amp;"'}).status_code; print('%s :: %s :: %s :: %s :: %s' %(a,"&amp;G748&amp;",'"&amp;X748&amp;"','"&amp;Y748&amp;"','"&amp;U748&amp;"'))"</f>
        <v>a = Client().post('/recipes/biryani-dum-layer/detail/', {'recipe' : '10', 'ingredient' : '43', 'name' : 'Carrot', 'mass_unit' : '2', 'mass_quantity' : '0.5', 'volume_unit' : '1', 'volume_quantity' : '0', 'pieces_unit' : '3', 'pieces_quantity' : '0', 'cooking_notes' : ''}).status_code; print('%s :: %s :: %s :: %s :: %s' %(a,748,'Carrot','carrot','Biryani Dum Layer'))</v>
      </c>
    </row>
    <row r="749" customFormat="false" ht="13.8" hidden="false" customHeight="false" outlineLevel="0" collapsed="false">
      <c r="G749" s="80" t="n">
        <v>749</v>
      </c>
      <c r="I749" s="83" t="s">
        <v>136</v>
      </c>
      <c r="J749" s="83" t="s">
        <v>790</v>
      </c>
      <c r="K749" s="61" t="n">
        <v>0.6</v>
      </c>
      <c r="L749" s="61" t="s">
        <v>7</v>
      </c>
      <c r="R749" s="82" t="str">
        <f aca="false">VLOOKUP(J749,ingredient!$N$4:$O$553,2,0)</f>
        <v>green peas</v>
      </c>
      <c r="U749" s="81" t="str">
        <f aca="false">I749</f>
        <v>Biryani Dum Layer</v>
      </c>
      <c r="V749" s="81" t="n">
        <f aca="false">VLOOKUP(U749,recipe_ingred_list!$A$2:$B$300,2,0)</f>
        <v>10</v>
      </c>
      <c r="W749" s="81" t="str">
        <f aca="false">"/recipes/"&amp;VLOOKUP(U749,recipe_ingred_list!$A$2:$C$300,3,0)&amp;"/detail/"</f>
        <v>/recipes/biryani-dum-layer/detail/</v>
      </c>
      <c r="X749" s="81" t="str">
        <f aca="false">J749</f>
        <v>Green Peas</v>
      </c>
      <c r="Y749" s="81" t="str">
        <f aca="false">R749</f>
        <v>green peas</v>
      </c>
      <c r="Z749" s="94" t="n">
        <f aca="false">VLOOKUP(Y749,recipe_ingred_list!$D$2:$E$500,2,0)</f>
        <v>88</v>
      </c>
      <c r="AA749" s="61" t="n">
        <f aca="false">K749</f>
        <v>0.6</v>
      </c>
      <c r="AB749" s="61" t="str">
        <f aca="false">L749</f>
        <v>kg</v>
      </c>
      <c r="AC749" s="61" t="n">
        <f aca="false">VLOOKUP(AB749,recipe_ingred_list!$K$2:$M$7,3,0)</f>
        <v>2</v>
      </c>
      <c r="AD749" s="61" t="n">
        <f aca="false">M749</f>
        <v>0</v>
      </c>
      <c r="AE749" s="61" t="n">
        <f aca="false">N749</f>
        <v>0</v>
      </c>
      <c r="AF749" s="61" t="n">
        <f aca="false">VLOOKUP(AE749,recipe_ingred_list!$K$16:$M$25,3,0)</f>
        <v>1</v>
      </c>
      <c r="AG749" s="61" t="n">
        <f aca="false">O749</f>
        <v>0</v>
      </c>
      <c r="AH749" s="61" t="n">
        <f aca="false">P749</f>
        <v>0</v>
      </c>
      <c r="AI749" s="61" t="n">
        <f aca="false">VLOOKUP(AH749,recipe_ingred_list!$K$29:$M$34,3,0)</f>
        <v>3</v>
      </c>
      <c r="AJ749" s="61" t="str">
        <f aca="false">IF(Q749="","",Q749)</f>
        <v/>
      </c>
      <c r="AK749" s="61" t="n">
        <f aca="false">AK748+1</f>
        <v>749</v>
      </c>
      <c r="AL749" s="61" t="str">
        <f aca="false">Y749</f>
        <v>green peas</v>
      </c>
      <c r="AM749" s="81" t="str">
        <f aca="false">"a = Client().post('"&amp;W749&amp;"', {'recipe' : '"&amp;V749&amp;"', 'ingredient' : '"&amp;Z749&amp;"', 'name' : '"&amp;X749&amp;"', 'mass_unit' : '"&amp;AC749&amp;"', 'mass_quantity' : '"&amp;ROUND(AA749,3)&amp;"', 'volume_unit' : '"&amp;AF749&amp;"', 'volume_quantity' : '"&amp;ROUND(AD749,3)&amp;"', 'pieces_unit' : '"&amp;AI749&amp;"', 'pieces_quantity' : '"&amp;ROUND(AG749,3)&amp;"', 'cooking_notes' : '"&amp;AJ749&amp;"'}).status_code; print('%s :: %s :: %s :: %s :: %s' %(a,"&amp;G749&amp;",'"&amp;X749&amp;"','"&amp;Y749&amp;"','"&amp;U749&amp;"'))"</f>
        <v>a = Client().post('/recipes/biryani-dum-layer/detail/', {'recipe' : '10', 'ingredient' : '88', 'name' : 'Green Peas', 'mass_unit' : '2', 'mass_quantity' : '0.6', 'volume_unit' : '1', 'volume_quantity' : '0', 'pieces_unit' : '3', 'pieces_quantity' : '0', 'cooking_notes' : ''}).status_code; print('%s :: %s :: %s :: %s :: %s' %(a,749,'Green Peas','green peas','Biryani Dum Layer'))</v>
      </c>
    </row>
    <row r="750" customFormat="false" ht="13.8" hidden="false" customHeight="false" outlineLevel="0" collapsed="false">
      <c r="G750" s="80" t="n">
        <v>750</v>
      </c>
      <c r="I750" s="83" t="s">
        <v>136</v>
      </c>
      <c r="J750" s="83" t="s">
        <v>791</v>
      </c>
      <c r="K750" s="61" t="n">
        <v>1.4</v>
      </c>
      <c r="L750" s="61" t="s">
        <v>7</v>
      </c>
      <c r="R750" s="82" t="str">
        <f aca="false">VLOOKUP(J750,ingredient!$N$4:$O$553,2,0)</f>
        <v>alu</v>
      </c>
      <c r="U750" s="81" t="str">
        <f aca="false">I750</f>
        <v>Biryani Dum Layer</v>
      </c>
      <c r="V750" s="81" t="n">
        <f aca="false">VLOOKUP(U750,recipe_ingred_list!$A$2:$B$300,2,0)</f>
        <v>10</v>
      </c>
      <c r="W750" s="81" t="str">
        <f aca="false">"/recipes/"&amp;VLOOKUP(U750,recipe_ingred_list!$A$2:$C$300,3,0)&amp;"/detail/"</f>
        <v>/recipes/biryani-dum-layer/detail/</v>
      </c>
      <c r="X750" s="81" t="str">
        <f aca="false">J750</f>
        <v>Potato</v>
      </c>
      <c r="Y750" s="81" t="str">
        <f aca="false">R750</f>
        <v>alu</v>
      </c>
      <c r="Z750" s="94" t="n">
        <f aca="false">VLOOKUP(Y750,recipe_ingred_list!$D$2:$E$500,2,0)</f>
        <v>8</v>
      </c>
      <c r="AA750" s="61" t="n">
        <f aca="false">K750</f>
        <v>1.4</v>
      </c>
      <c r="AB750" s="61" t="str">
        <f aca="false">L750</f>
        <v>kg</v>
      </c>
      <c r="AC750" s="61" t="n">
        <f aca="false">VLOOKUP(AB750,recipe_ingred_list!$K$2:$M$7,3,0)</f>
        <v>2</v>
      </c>
      <c r="AD750" s="61" t="n">
        <f aca="false">M750</f>
        <v>0</v>
      </c>
      <c r="AE750" s="61" t="n">
        <f aca="false">N750</f>
        <v>0</v>
      </c>
      <c r="AF750" s="61" t="n">
        <f aca="false">VLOOKUP(AE750,recipe_ingred_list!$K$16:$M$25,3,0)</f>
        <v>1</v>
      </c>
      <c r="AG750" s="61" t="n">
        <f aca="false">O750</f>
        <v>0</v>
      </c>
      <c r="AH750" s="61" t="n">
        <f aca="false">P750</f>
        <v>0</v>
      </c>
      <c r="AI750" s="61" t="n">
        <f aca="false">VLOOKUP(AH750,recipe_ingred_list!$K$29:$M$34,3,0)</f>
        <v>3</v>
      </c>
      <c r="AJ750" s="61" t="str">
        <f aca="false">IF(Q750="","",Q750)</f>
        <v/>
      </c>
      <c r="AK750" s="61" t="n">
        <f aca="false">AK749+1</f>
        <v>750</v>
      </c>
      <c r="AL750" s="61" t="str">
        <f aca="false">Y750</f>
        <v>alu</v>
      </c>
      <c r="AM750" s="81" t="str">
        <f aca="false">"a = Client().post('"&amp;W750&amp;"', {'recipe' : '"&amp;V750&amp;"', 'ingredient' : '"&amp;Z750&amp;"', 'name' : '"&amp;X750&amp;"', 'mass_unit' : '"&amp;AC750&amp;"', 'mass_quantity' : '"&amp;ROUND(AA750,3)&amp;"', 'volume_unit' : '"&amp;AF750&amp;"', 'volume_quantity' : '"&amp;ROUND(AD750,3)&amp;"', 'pieces_unit' : '"&amp;AI750&amp;"', 'pieces_quantity' : '"&amp;ROUND(AG750,3)&amp;"', 'cooking_notes' : '"&amp;AJ750&amp;"'}).status_code; print('%s :: %s :: %s :: %s :: %s' %(a,"&amp;G750&amp;",'"&amp;X750&amp;"','"&amp;Y750&amp;"','"&amp;U750&amp;"'))"</f>
        <v>a = Client().post('/recipes/biryani-dum-layer/detail/', {'recipe' : '10', 'ingredient' : '8', 'name' : 'Potato', 'mass_unit' : '2', 'mass_quantity' : '1.4', 'volume_unit' : '1', 'volume_quantity' : '0', 'pieces_unit' : '3', 'pieces_quantity' : '0', 'cooking_notes' : ''}).status_code; print('%s :: %s :: %s :: %s :: %s' %(a,750,'Potato','alu','Biryani Dum Layer'))</v>
      </c>
    </row>
    <row r="751" customFormat="false" ht="13.8" hidden="false" customHeight="false" outlineLevel="0" collapsed="false">
      <c r="G751" s="80" t="n">
        <v>751</v>
      </c>
      <c r="I751" s="83" t="s">
        <v>136</v>
      </c>
      <c r="J751" s="83" t="s">
        <v>792</v>
      </c>
      <c r="K751" s="61" t="n">
        <v>0.6</v>
      </c>
      <c r="L751" s="61" t="s">
        <v>7</v>
      </c>
      <c r="R751" s="82" t="str">
        <f aca="false">VLOOKUP(J751,ingredient!$N$4:$O$553,2,0)</f>
        <v>capsicum</v>
      </c>
      <c r="U751" s="81" t="str">
        <f aca="false">I751</f>
        <v>Biryani Dum Layer</v>
      </c>
      <c r="V751" s="81" t="n">
        <f aca="false">VLOOKUP(U751,recipe_ingred_list!$A$2:$B$300,2,0)</f>
        <v>10</v>
      </c>
      <c r="W751" s="81" t="str">
        <f aca="false">"/recipes/"&amp;VLOOKUP(U751,recipe_ingred_list!$A$2:$C$300,3,0)&amp;"/detail/"</f>
        <v>/recipes/biryani-dum-layer/detail/</v>
      </c>
      <c r="X751" s="81" t="str">
        <f aca="false">J751</f>
        <v>Simla</v>
      </c>
      <c r="Y751" s="81" t="str">
        <f aca="false">R751</f>
        <v>capsicum</v>
      </c>
      <c r="Z751" s="94" t="n">
        <f aca="false">VLOOKUP(Y751,recipe_ingred_list!$D$2:$E$500,2,0)</f>
        <v>42</v>
      </c>
      <c r="AA751" s="61" t="n">
        <f aca="false">K751</f>
        <v>0.6</v>
      </c>
      <c r="AB751" s="61" t="str">
        <f aca="false">L751</f>
        <v>kg</v>
      </c>
      <c r="AC751" s="61" t="n">
        <f aca="false">VLOOKUP(AB751,recipe_ingred_list!$K$2:$M$7,3,0)</f>
        <v>2</v>
      </c>
      <c r="AD751" s="61" t="n">
        <f aca="false">M751</f>
        <v>0</v>
      </c>
      <c r="AE751" s="61" t="n">
        <f aca="false">N751</f>
        <v>0</v>
      </c>
      <c r="AF751" s="61" t="n">
        <f aca="false">VLOOKUP(AE751,recipe_ingred_list!$K$16:$M$25,3,0)</f>
        <v>1</v>
      </c>
      <c r="AG751" s="61" t="n">
        <f aca="false">O751</f>
        <v>0</v>
      </c>
      <c r="AH751" s="61" t="n">
        <f aca="false">P751</f>
        <v>0</v>
      </c>
      <c r="AI751" s="61" t="n">
        <f aca="false">VLOOKUP(AH751,recipe_ingred_list!$K$29:$M$34,3,0)</f>
        <v>3</v>
      </c>
      <c r="AJ751" s="61" t="str">
        <f aca="false">IF(Q751="","",Q751)</f>
        <v/>
      </c>
      <c r="AK751" s="61" t="n">
        <f aca="false">AK750+1</f>
        <v>751</v>
      </c>
      <c r="AL751" s="61" t="str">
        <f aca="false">Y751</f>
        <v>capsicum</v>
      </c>
      <c r="AM751" s="81" t="str">
        <f aca="false">"a = Client().post('"&amp;W751&amp;"', {'recipe' : '"&amp;V751&amp;"', 'ingredient' : '"&amp;Z751&amp;"', 'name' : '"&amp;X751&amp;"', 'mass_unit' : '"&amp;AC751&amp;"', 'mass_quantity' : '"&amp;ROUND(AA751,3)&amp;"', 'volume_unit' : '"&amp;AF751&amp;"', 'volume_quantity' : '"&amp;ROUND(AD751,3)&amp;"', 'pieces_unit' : '"&amp;AI751&amp;"', 'pieces_quantity' : '"&amp;ROUND(AG751,3)&amp;"', 'cooking_notes' : '"&amp;AJ751&amp;"'}).status_code; print('%s :: %s :: %s :: %s :: %s' %(a,"&amp;G751&amp;",'"&amp;X751&amp;"','"&amp;Y751&amp;"','"&amp;U751&amp;"'))"</f>
        <v>a = Client().post('/recipes/biryani-dum-layer/detail/', {'recipe' : '10', 'ingredient' : '42', 'name' : 'Simla', 'mass_unit' : '2', 'mass_quantity' : '0.6', 'volume_unit' : '1', 'volume_quantity' : '0', 'pieces_unit' : '3', 'pieces_quantity' : '0', 'cooking_notes' : ''}).status_code; print('%s :: %s :: %s :: %s :: %s' %(a,751,'Simla','capsicum','Biryani Dum Layer'))</v>
      </c>
    </row>
    <row r="752" customFormat="false" ht="13.8" hidden="false" customHeight="false" outlineLevel="0" collapsed="false">
      <c r="G752" s="80" t="n">
        <v>752</v>
      </c>
      <c r="H752" s="98"/>
      <c r="I752" s="79" t="s">
        <v>136</v>
      </c>
      <c r="J752" s="105" t="s">
        <v>793</v>
      </c>
      <c r="K752" s="141"/>
      <c r="L752" s="100"/>
      <c r="M752" s="100"/>
      <c r="N752" s="100"/>
      <c r="O752" s="101"/>
      <c r="P752" s="100"/>
      <c r="Q752" s="102"/>
      <c r="R752" s="99" t="e">
        <f aca="false">VLOOKUP(J752,ingredient!$N$4:$O$553,2,0)</f>
        <v>#N/A</v>
      </c>
      <c r="S752" s="98"/>
      <c r="T752" s="98"/>
      <c r="U752" s="81" t="str">
        <f aca="false">I752</f>
        <v>Biryani Dum Layer</v>
      </c>
      <c r="V752" s="81" t="n">
        <f aca="false">VLOOKUP(U752,recipe_ingred_list!$A$2:$B$300,2,0)</f>
        <v>10</v>
      </c>
      <c r="W752" s="81" t="str">
        <f aca="false">"/recipes/"&amp;VLOOKUP(U752,recipe_ingred_list!$A$2:$C$300,3,0)&amp;"/detail/"</f>
        <v>/recipes/biryani-dum-layer/detail/</v>
      </c>
      <c r="X752" s="81" t="str">
        <f aca="false">J752</f>
        <v>Item no2</v>
      </c>
      <c r="Y752" s="81" t="e">
        <f aca="false">R752</f>
        <v>#N/A</v>
      </c>
      <c r="Z752" s="94" t="e">
        <f aca="false">VLOOKUP(Y752,recipe_ingred_list!$D$2:$E$500,2,0)</f>
        <v>#N/A</v>
      </c>
      <c r="AA752" s="61" t="n">
        <f aca="false">K752</f>
        <v>0</v>
      </c>
      <c r="AB752" s="61" t="n">
        <f aca="false">L752</f>
        <v>0</v>
      </c>
      <c r="AC752" s="61" t="n">
        <f aca="false">VLOOKUP(AB752,recipe_ingred_list!$K$2:$M$7,3,0)</f>
        <v>2</v>
      </c>
      <c r="AD752" s="61" t="n">
        <f aca="false">M752</f>
        <v>0</v>
      </c>
      <c r="AE752" s="61" t="n">
        <f aca="false">N752</f>
        <v>0</v>
      </c>
      <c r="AF752" s="61" t="n">
        <f aca="false">VLOOKUP(AE752,recipe_ingred_list!$K$16:$M$25,3,0)</f>
        <v>1</v>
      </c>
      <c r="AG752" s="61" t="n">
        <f aca="false">O752</f>
        <v>0</v>
      </c>
      <c r="AH752" s="61" t="n">
        <f aca="false">P752</f>
        <v>0</v>
      </c>
      <c r="AI752" s="61" t="n">
        <f aca="false">VLOOKUP(AH752,recipe_ingred_list!$K$29:$M$34,3,0)</f>
        <v>3</v>
      </c>
      <c r="AJ752" s="61" t="str">
        <f aca="false">IF(Q752="","",Q752)</f>
        <v/>
      </c>
      <c r="AK752" s="61" t="n">
        <f aca="false">AK751+1</f>
        <v>752</v>
      </c>
      <c r="AL752" s="61" t="e">
        <f aca="false">Y752</f>
        <v>#N/A</v>
      </c>
      <c r="AM752" s="81" t="e">
        <f aca="false">"a = Client().post('"&amp;W752&amp;"', {'recipe' : '"&amp;V752&amp;"', 'ingredient' : '"&amp;Z752&amp;"', 'name' : '"&amp;X752&amp;"', 'mass_unit' : '"&amp;AC752&amp;"', 'mass_quantity' : '"&amp;ROUND(AA752,3)&amp;"', 'volume_unit' : '"&amp;AF752&amp;"', 'volume_quantity' : '"&amp;ROUND(AD752,3)&amp;"', 'pieces_unit' : '"&amp;AI752&amp;"', 'pieces_quantity' : '"&amp;ROUND(AG752,3)&amp;"', 'cooking_notes' : '"&amp;AJ752&amp;"'}).status_code; print('%s :: %s :: %s :: %s :: %s' %(a,"&amp;G752&amp;",'"&amp;X752&amp;"','"&amp;Y752&amp;"','"&amp;U752&amp;"'))"</f>
        <v>#N/A</v>
      </c>
    </row>
    <row r="753" customFormat="false" ht="13.8" hidden="false" customHeight="false" outlineLevel="0" collapsed="false">
      <c r="G753" s="80" t="n">
        <v>753</v>
      </c>
      <c r="I753" s="83" t="s">
        <v>136</v>
      </c>
      <c r="J753" s="83" t="s">
        <v>794</v>
      </c>
      <c r="K753" s="61" t="n">
        <v>100</v>
      </c>
      <c r="L753" s="61" t="s">
        <v>109</v>
      </c>
      <c r="R753" s="82" t="str">
        <f aca="false">VLOOKUP(J753,ingredient!$N$4:$O$553,2,0)</f>
        <v>mawa</v>
      </c>
      <c r="U753" s="81" t="str">
        <f aca="false">I753</f>
        <v>Biryani Dum Layer</v>
      </c>
      <c r="V753" s="81" t="n">
        <f aca="false">VLOOKUP(U753,recipe_ingred_list!$A$2:$B$300,2,0)</f>
        <v>10</v>
      </c>
      <c r="W753" s="81" t="str">
        <f aca="false">"/recipes/"&amp;VLOOKUP(U753,recipe_ingred_list!$A$2:$C$300,3,0)&amp;"/detail/"</f>
        <v>/recipes/biryani-dum-layer/detail/</v>
      </c>
      <c r="X753" s="81" t="str">
        <f aca="false">J753</f>
        <v>Mawa</v>
      </c>
      <c r="Y753" s="81" t="str">
        <f aca="false">R753</f>
        <v>mawa</v>
      </c>
      <c r="Z753" s="94" t="n">
        <f aca="false">VLOOKUP(Y753,recipe_ingred_list!$D$2:$E$500,2,0)</f>
        <v>142</v>
      </c>
      <c r="AA753" s="61" t="n">
        <f aca="false">K753</f>
        <v>100</v>
      </c>
      <c r="AB753" s="61" t="str">
        <f aca="false">L753</f>
        <v>gm</v>
      </c>
      <c r="AC753" s="61" t="n">
        <f aca="false">VLOOKUP(AB753,recipe_ingred_list!$K$2:$M$7,3,0)</f>
        <v>7</v>
      </c>
      <c r="AD753" s="61" t="n">
        <f aca="false">M753</f>
        <v>0</v>
      </c>
      <c r="AE753" s="61" t="n">
        <f aca="false">N753</f>
        <v>0</v>
      </c>
      <c r="AF753" s="61" t="n">
        <f aca="false">VLOOKUP(AE753,recipe_ingred_list!$K$16:$M$25,3,0)</f>
        <v>1</v>
      </c>
      <c r="AG753" s="61" t="n">
        <f aca="false">O753</f>
        <v>0</v>
      </c>
      <c r="AH753" s="61" t="n">
        <f aca="false">P753</f>
        <v>0</v>
      </c>
      <c r="AI753" s="61" t="n">
        <f aca="false">VLOOKUP(AH753,recipe_ingred_list!$K$29:$M$34,3,0)</f>
        <v>3</v>
      </c>
      <c r="AJ753" s="61" t="str">
        <f aca="false">IF(Q753="","",Q753)</f>
        <v/>
      </c>
      <c r="AK753" s="61" t="n">
        <f aca="false">AK752+1</f>
        <v>753</v>
      </c>
      <c r="AL753" s="61" t="str">
        <f aca="false">Y753</f>
        <v>mawa</v>
      </c>
      <c r="AM753" s="81" t="str">
        <f aca="false">"a = Client().post('"&amp;W753&amp;"', {'recipe' : '"&amp;V753&amp;"', 'ingredient' : '"&amp;Z753&amp;"', 'name' : '"&amp;X753&amp;"', 'mass_unit' : '"&amp;AC753&amp;"', 'mass_quantity' : '"&amp;ROUND(AA753,3)&amp;"', 'volume_unit' : '"&amp;AF753&amp;"', 'volume_quantity' : '"&amp;ROUND(AD753,3)&amp;"', 'pieces_unit' : '"&amp;AI753&amp;"', 'pieces_quantity' : '"&amp;ROUND(AG753,3)&amp;"', 'cooking_notes' : '"&amp;AJ753&amp;"'}).status_code; print('%s :: %s :: %s :: %s :: %s' %(a,"&amp;G753&amp;",'"&amp;X753&amp;"','"&amp;Y753&amp;"','"&amp;U753&amp;"'))"</f>
        <v>a = Client().post('/recipes/biryani-dum-layer/detail/', {'recipe' : '10', 'ingredient' : '142', 'name' : 'Mawa', 'mass_unit' : '7', 'mass_quantity' : '100', 'volume_unit' : '1', 'volume_quantity' : '0', 'pieces_unit' : '3', 'pieces_quantity' : '0', 'cooking_notes' : ''}).status_code; print('%s :: %s :: %s :: %s :: %s' %(a,753,'Mawa','mawa','Biryani Dum Layer'))</v>
      </c>
    </row>
    <row r="754" customFormat="false" ht="13.8" hidden="false" customHeight="false" outlineLevel="0" collapsed="false">
      <c r="G754" s="80" t="n">
        <v>754</v>
      </c>
      <c r="I754" s="83" t="s">
        <v>136</v>
      </c>
      <c r="J754" s="83" t="s">
        <v>795</v>
      </c>
      <c r="K754" s="61" t="n">
        <v>0.5</v>
      </c>
      <c r="L754" s="61" t="s">
        <v>7</v>
      </c>
      <c r="R754" s="82" t="str">
        <f aca="false">VLOOKUP(J754,ingredient!$N$4:$O$553,2,0)</f>
        <v>amul butter</v>
      </c>
      <c r="U754" s="81" t="str">
        <f aca="false">I754</f>
        <v>Biryani Dum Layer</v>
      </c>
      <c r="V754" s="81" t="n">
        <f aca="false">VLOOKUP(U754,recipe_ingred_list!$A$2:$B$300,2,0)</f>
        <v>10</v>
      </c>
      <c r="W754" s="81" t="str">
        <f aca="false">"/recipes/"&amp;VLOOKUP(U754,recipe_ingred_list!$A$2:$C$300,3,0)&amp;"/detail/"</f>
        <v>/recipes/biryani-dum-layer/detail/</v>
      </c>
      <c r="X754" s="81" t="str">
        <f aca="false">J754</f>
        <v>Amul Butter</v>
      </c>
      <c r="Y754" s="81" t="str">
        <f aca="false">R754</f>
        <v>amul butter</v>
      </c>
      <c r="Z754" s="94" t="n">
        <f aca="false">VLOOKUP(Y754,recipe_ingred_list!$D$2:$E$500,2,0)</f>
        <v>12</v>
      </c>
      <c r="AA754" s="61" t="n">
        <f aca="false">K754</f>
        <v>0.5</v>
      </c>
      <c r="AB754" s="61" t="str">
        <f aca="false">L754</f>
        <v>kg</v>
      </c>
      <c r="AC754" s="61" t="n">
        <f aca="false">VLOOKUP(AB754,recipe_ingred_list!$K$2:$M$7,3,0)</f>
        <v>2</v>
      </c>
      <c r="AD754" s="61" t="n">
        <f aca="false">M754</f>
        <v>0</v>
      </c>
      <c r="AE754" s="61" t="n">
        <f aca="false">N754</f>
        <v>0</v>
      </c>
      <c r="AF754" s="61" t="n">
        <f aca="false">VLOOKUP(AE754,recipe_ingred_list!$K$16:$M$25,3,0)</f>
        <v>1</v>
      </c>
      <c r="AG754" s="61" t="n">
        <f aca="false">O754</f>
        <v>0</v>
      </c>
      <c r="AH754" s="61" t="n">
        <f aca="false">P754</f>
        <v>0</v>
      </c>
      <c r="AI754" s="61" t="n">
        <f aca="false">VLOOKUP(AH754,recipe_ingred_list!$K$29:$M$34,3,0)</f>
        <v>3</v>
      </c>
      <c r="AJ754" s="61" t="str">
        <f aca="false">IF(Q754="","",Q754)</f>
        <v/>
      </c>
      <c r="AK754" s="61" t="n">
        <f aca="false">AK753+1</f>
        <v>754</v>
      </c>
      <c r="AL754" s="61" t="str">
        <f aca="false">Y754</f>
        <v>amul butter</v>
      </c>
      <c r="AM754" s="81" t="str">
        <f aca="false">"a = Client().post('"&amp;W754&amp;"', {'recipe' : '"&amp;V754&amp;"', 'ingredient' : '"&amp;Z754&amp;"', 'name' : '"&amp;X754&amp;"', 'mass_unit' : '"&amp;AC754&amp;"', 'mass_quantity' : '"&amp;ROUND(AA754,3)&amp;"', 'volume_unit' : '"&amp;AF754&amp;"', 'volume_quantity' : '"&amp;ROUND(AD754,3)&amp;"', 'pieces_unit' : '"&amp;AI754&amp;"', 'pieces_quantity' : '"&amp;ROUND(AG754,3)&amp;"', 'cooking_notes' : '"&amp;AJ754&amp;"'}).status_code; print('%s :: %s :: %s :: %s :: %s' %(a,"&amp;G754&amp;",'"&amp;X754&amp;"','"&amp;Y754&amp;"','"&amp;U754&amp;"'))"</f>
        <v>a = Client().post('/recipes/biryani-dum-layer/detail/', {'recipe' : '10', 'ingredient' : '12', 'name' : 'Amul Butter', 'mass_unit' : '2', 'mass_quantity' : '0.5', 'volume_unit' : '1', 'volume_quantity' : '0', 'pieces_unit' : '3', 'pieces_quantity' : '0', 'cooking_notes' : ''}).status_code; print('%s :: %s :: %s :: %s :: %s' %(a,754,'Amul Butter','amul butter','Biryani Dum Layer'))</v>
      </c>
    </row>
    <row r="755" customFormat="false" ht="13.8" hidden="false" customHeight="false" outlineLevel="0" collapsed="false">
      <c r="G755" s="80" t="n">
        <v>755</v>
      </c>
      <c r="I755" s="83" t="s">
        <v>136</v>
      </c>
      <c r="J755" s="83" t="s">
        <v>796</v>
      </c>
      <c r="K755" s="0"/>
      <c r="L755" s="0"/>
      <c r="M755" s="61" t="n">
        <v>1</v>
      </c>
      <c r="N755" s="61" t="s">
        <v>13</v>
      </c>
      <c r="R755" s="82" t="str">
        <f aca="false">VLOOKUP(J755,ingredient!$N$4:$O$553,2,0)</f>
        <v>amul fresh cream</v>
      </c>
      <c r="U755" s="81" t="str">
        <f aca="false">I755</f>
        <v>Biryani Dum Layer</v>
      </c>
      <c r="V755" s="81" t="n">
        <f aca="false">VLOOKUP(U755,recipe_ingred_list!$A$2:$B$300,2,0)</f>
        <v>10</v>
      </c>
      <c r="W755" s="81" t="str">
        <f aca="false">"/recipes/"&amp;VLOOKUP(U755,recipe_ingred_list!$A$2:$C$300,3,0)&amp;"/detail/"</f>
        <v>/recipes/biryani-dum-layer/detail/</v>
      </c>
      <c r="X755" s="81" t="str">
        <f aca="false">J755</f>
        <v>Amul Fresh Cream</v>
      </c>
      <c r="Y755" s="81" t="str">
        <f aca="false">R755</f>
        <v>amul fresh cream</v>
      </c>
      <c r="Z755" s="94" t="n">
        <f aca="false">VLOOKUP(Y755,recipe_ingred_list!$D$2:$E$500,2,0)</f>
        <v>13</v>
      </c>
      <c r="AA755" s="61" t="n">
        <f aca="false">K755</f>
        <v>0</v>
      </c>
      <c r="AB755" s="61" t="n">
        <f aca="false">L755</f>
        <v>0</v>
      </c>
      <c r="AC755" s="61" t="n">
        <f aca="false">VLOOKUP(AB755,recipe_ingred_list!$K$2:$M$7,3,0)</f>
        <v>2</v>
      </c>
      <c r="AD755" s="61" t="n">
        <f aca="false">M755</f>
        <v>1</v>
      </c>
      <c r="AE755" s="61" t="str">
        <f aca="false">N755</f>
        <v>ltr</v>
      </c>
      <c r="AF755" s="61" t="n">
        <f aca="false">VLOOKUP(AE755,recipe_ingred_list!$K$16:$M$25,3,0)</f>
        <v>1</v>
      </c>
      <c r="AG755" s="61" t="n">
        <f aca="false">O755</f>
        <v>0</v>
      </c>
      <c r="AH755" s="61" t="n">
        <f aca="false">P755</f>
        <v>0</v>
      </c>
      <c r="AI755" s="61" t="n">
        <f aca="false">VLOOKUP(AH755,recipe_ingred_list!$K$29:$M$34,3,0)</f>
        <v>3</v>
      </c>
      <c r="AJ755" s="61" t="str">
        <f aca="false">IF(Q755="","",Q755)</f>
        <v/>
      </c>
      <c r="AK755" s="61" t="n">
        <f aca="false">AK754+1</f>
        <v>755</v>
      </c>
      <c r="AL755" s="61" t="str">
        <f aca="false">Y755</f>
        <v>amul fresh cream</v>
      </c>
      <c r="AM755" s="81" t="str">
        <f aca="false">"a = Client().post('"&amp;W755&amp;"', {'recipe' : '"&amp;V755&amp;"', 'ingredient' : '"&amp;Z755&amp;"', 'name' : '"&amp;X755&amp;"', 'mass_unit' : '"&amp;AC755&amp;"', 'mass_quantity' : '"&amp;ROUND(AA755,3)&amp;"', 'volume_unit' : '"&amp;AF755&amp;"', 'volume_quantity' : '"&amp;ROUND(AD755,3)&amp;"', 'pieces_unit' : '"&amp;AI755&amp;"', 'pieces_quantity' : '"&amp;ROUND(AG755,3)&amp;"', 'cooking_notes' : '"&amp;AJ755&amp;"'}).status_code; print('%s :: %s :: %s :: %s :: %s' %(a,"&amp;G755&amp;",'"&amp;X755&amp;"','"&amp;Y755&amp;"','"&amp;U755&amp;"'))"</f>
        <v>a = Client().post('/recipes/biryani-dum-layer/detail/', {'recipe' : '10', 'ingredient' : '13', 'name' : 'Amul Fresh Cream', 'mass_unit' : '2', 'mass_quantity' : '0', 'volume_unit' : '1', 'volume_quantity' : '1', 'pieces_unit' : '3', 'pieces_quantity' : '0', 'cooking_notes' : ''}).status_code; print('%s :: %s :: %s :: %s :: %s' %(a,755,'Amul Fresh Cream','amul fresh cream','Biryani Dum Layer'))</v>
      </c>
    </row>
    <row r="756" customFormat="false" ht="13.8" hidden="false" customHeight="false" outlineLevel="0" collapsed="false">
      <c r="G756" s="80" t="n">
        <v>756</v>
      </c>
      <c r="I756" s="83" t="s">
        <v>136</v>
      </c>
      <c r="J756" s="83" t="s">
        <v>797</v>
      </c>
      <c r="K756" s="0"/>
      <c r="L756" s="0"/>
      <c r="M756" s="61" t="n">
        <v>2</v>
      </c>
      <c r="N756" s="61" t="s">
        <v>13</v>
      </c>
      <c r="R756" s="82" t="str">
        <f aca="false">VLOOKUP(J756,ingredient!$N$4:$O$553,2,0)</f>
        <v>dahi</v>
      </c>
      <c r="U756" s="81" t="str">
        <f aca="false">I756</f>
        <v>Biryani Dum Layer</v>
      </c>
      <c r="V756" s="81" t="n">
        <f aca="false">VLOOKUP(U756,recipe_ingred_list!$A$2:$B$300,2,0)</f>
        <v>10</v>
      </c>
      <c r="W756" s="81" t="str">
        <f aca="false">"/recipes/"&amp;VLOOKUP(U756,recipe_ingred_list!$A$2:$C$300,3,0)&amp;"/detail/"</f>
        <v>/recipes/biryani-dum-layer/detail/</v>
      </c>
      <c r="X756" s="81" t="str">
        <f aca="false">J756</f>
        <v>Curd</v>
      </c>
      <c r="Y756" s="81" t="str">
        <f aca="false">R756</f>
        <v>dahi</v>
      </c>
      <c r="Z756" s="94" t="n">
        <f aca="false">VLOOKUP(Y756,recipe_ingred_list!$D$2:$E$500,2,0)</f>
        <v>59</v>
      </c>
      <c r="AA756" s="61" t="n">
        <f aca="false">K756</f>
        <v>0</v>
      </c>
      <c r="AB756" s="61" t="n">
        <f aca="false">L756</f>
        <v>0</v>
      </c>
      <c r="AC756" s="61" t="n">
        <f aca="false">VLOOKUP(AB756,recipe_ingred_list!$K$2:$M$7,3,0)</f>
        <v>2</v>
      </c>
      <c r="AD756" s="61" t="n">
        <f aca="false">M756</f>
        <v>2</v>
      </c>
      <c r="AE756" s="61" t="str">
        <f aca="false">N756</f>
        <v>ltr</v>
      </c>
      <c r="AF756" s="61" t="n">
        <f aca="false">VLOOKUP(AE756,recipe_ingred_list!$K$16:$M$25,3,0)</f>
        <v>1</v>
      </c>
      <c r="AG756" s="61" t="n">
        <f aca="false">O756</f>
        <v>0</v>
      </c>
      <c r="AH756" s="61" t="n">
        <f aca="false">P756</f>
        <v>0</v>
      </c>
      <c r="AI756" s="61" t="n">
        <f aca="false">VLOOKUP(AH756,recipe_ingred_list!$K$29:$M$34,3,0)</f>
        <v>3</v>
      </c>
      <c r="AJ756" s="61" t="str">
        <f aca="false">IF(Q756="","",Q756)</f>
        <v/>
      </c>
      <c r="AK756" s="61" t="n">
        <f aca="false">AK755+1</f>
        <v>756</v>
      </c>
      <c r="AL756" s="61" t="str">
        <f aca="false">Y756</f>
        <v>dahi</v>
      </c>
      <c r="AM756" s="81" t="str">
        <f aca="false">"a = Client().post('"&amp;W756&amp;"', {'recipe' : '"&amp;V756&amp;"', 'ingredient' : '"&amp;Z756&amp;"', 'name' : '"&amp;X756&amp;"', 'mass_unit' : '"&amp;AC756&amp;"', 'mass_quantity' : '"&amp;ROUND(AA756,3)&amp;"', 'volume_unit' : '"&amp;AF756&amp;"', 'volume_quantity' : '"&amp;ROUND(AD756,3)&amp;"', 'pieces_unit' : '"&amp;AI756&amp;"', 'pieces_quantity' : '"&amp;ROUND(AG756,3)&amp;"', 'cooking_notes' : '"&amp;AJ756&amp;"'}).status_code; print('%s :: %s :: %s :: %s :: %s' %(a,"&amp;G756&amp;",'"&amp;X756&amp;"','"&amp;Y756&amp;"','"&amp;U756&amp;"'))"</f>
        <v>a = Client().post('/recipes/biryani-dum-layer/detail/', {'recipe' : '10', 'ingredient' : '59', 'name' : 'Curd', 'mass_unit' : '2', 'mass_quantity' : '0', 'volume_unit' : '1', 'volume_quantity' : '2', 'pieces_unit' : '3', 'pieces_quantity' : '0', 'cooking_notes' : ''}).status_code; print('%s :: %s :: %s :: %s :: %s' %(a,756,'Curd','dahi','Biryani Dum Layer'))</v>
      </c>
    </row>
    <row r="757" customFormat="false" ht="13.8" hidden="false" customHeight="false" outlineLevel="0" collapsed="false">
      <c r="G757" s="80" t="n">
        <v>757</v>
      </c>
      <c r="H757" s="98"/>
      <c r="I757" s="79" t="s">
        <v>136</v>
      </c>
      <c r="J757" s="105" t="s">
        <v>798</v>
      </c>
      <c r="K757" s="141" t="n">
        <v>0</v>
      </c>
      <c r="L757" s="100"/>
      <c r="M757" s="100"/>
      <c r="N757" s="100"/>
      <c r="O757" s="101"/>
      <c r="P757" s="100"/>
      <c r="Q757" s="102"/>
      <c r="R757" s="99" t="e">
        <f aca="false">VLOOKUP(J757,ingredient!$N$4:$O$553,2,0)</f>
        <v>#N/A</v>
      </c>
      <c r="S757" s="98"/>
      <c r="T757" s="98"/>
      <c r="U757" s="81" t="str">
        <f aca="false">I757</f>
        <v>Biryani Dum Layer</v>
      </c>
      <c r="V757" s="81" t="n">
        <f aca="false">VLOOKUP(U757,recipe_ingred_list!$A$2:$B$300,2,0)</f>
        <v>10</v>
      </c>
      <c r="W757" s="81" t="str">
        <f aca="false">"/recipes/"&amp;VLOOKUP(U757,recipe_ingred_list!$A$2:$C$300,3,0)&amp;"/detail/"</f>
        <v>/recipes/biryani-dum-layer/detail/</v>
      </c>
      <c r="X757" s="81" t="str">
        <f aca="false">J757</f>
        <v>Item no3</v>
      </c>
      <c r="Y757" s="81" t="e">
        <f aca="false">R757</f>
        <v>#N/A</v>
      </c>
      <c r="Z757" s="94" t="e">
        <f aca="false">VLOOKUP(Y757,recipe_ingred_list!$D$2:$E$500,2,0)</f>
        <v>#N/A</v>
      </c>
      <c r="AA757" s="61" t="n">
        <f aca="false">K757</f>
        <v>0</v>
      </c>
      <c r="AB757" s="61" t="n">
        <f aca="false">L757</f>
        <v>0</v>
      </c>
      <c r="AC757" s="61" t="n">
        <f aca="false">VLOOKUP(AB757,recipe_ingred_list!$K$2:$M$7,3,0)</f>
        <v>2</v>
      </c>
      <c r="AD757" s="61" t="n">
        <f aca="false">M757</f>
        <v>0</v>
      </c>
      <c r="AE757" s="61" t="n">
        <f aca="false">N757</f>
        <v>0</v>
      </c>
      <c r="AF757" s="61" t="n">
        <f aca="false">VLOOKUP(AE757,recipe_ingred_list!$K$16:$M$25,3,0)</f>
        <v>1</v>
      </c>
      <c r="AG757" s="61" t="n">
        <f aca="false">O757</f>
        <v>0</v>
      </c>
      <c r="AH757" s="61" t="n">
        <f aca="false">P757</f>
        <v>0</v>
      </c>
      <c r="AI757" s="61" t="n">
        <f aca="false">VLOOKUP(AH757,recipe_ingred_list!$K$29:$M$34,3,0)</f>
        <v>3</v>
      </c>
      <c r="AJ757" s="61" t="str">
        <f aca="false">IF(Q757="","",Q757)</f>
        <v/>
      </c>
      <c r="AK757" s="61" t="n">
        <f aca="false">AK756+1</f>
        <v>757</v>
      </c>
      <c r="AL757" s="61" t="e">
        <f aca="false">Y757</f>
        <v>#N/A</v>
      </c>
      <c r="AM757" s="81" t="e">
        <f aca="false">"a = Client().post('"&amp;W757&amp;"', {'recipe' : '"&amp;V757&amp;"', 'ingredient' : '"&amp;Z757&amp;"', 'name' : '"&amp;X757&amp;"', 'mass_unit' : '"&amp;AC757&amp;"', 'mass_quantity' : '"&amp;ROUND(AA757,3)&amp;"', 'volume_unit' : '"&amp;AF757&amp;"', 'volume_quantity' : '"&amp;ROUND(AD757,3)&amp;"', 'pieces_unit' : '"&amp;AI757&amp;"', 'pieces_quantity' : '"&amp;ROUND(AG757,3)&amp;"', 'cooking_notes' : '"&amp;AJ757&amp;"'}).status_code; print('%s :: %s :: %s :: %s :: %s' %(a,"&amp;G757&amp;",'"&amp;X757&amp;"','"&amp;Y757&amp;"','"&amp;U757&amp;"'))"</f>
        <v>#N/A</v>
      </c>
    </row>
    <row r="758" customFormat="false" ht="13.8" hidden="false" customHeight="false" outlineLevel="0" collapsed="false">
      <c r="G758" s="80" t="n">
        <v>758</v>
      </c>
      <c r="I758" s="83" t="s">
        <v>136</v>
      </c>
      <c r="J758" s="83" t="s">
        <v>794</v>
      </c>
      <c r="K758" s="61" t="n">
        <v>100</v>
      </c>
      <c r="L758" s="61" t="s">
        <v>109</v>
      </c>
      <c r="R758" s="82" t="str">
        <f aca="false">VLOOKUP(J758,ingredient!$N$4:$O$553,2,0)</f>
        <v>mawa</v>
      </c>
      <c r="U758" s="81" t="str">
        <f aca="false">I758</f>
        <v>Biryani Dum Layer</v>
      </c>
      <c r="V758" s="81" t="n">
        <f aca="false">VLOOKUP(U758,recipe_ingred_list!$A$2:$B$300,2,0)</f>
        <v>10</v>
      </c>
      <c r="W758" s="81" t="str">
        <f aca="false">"/recipes/"&amp;VLOOKUP(U758,recipe_ingred_list!$A$2:$C$300,3,0)&amp;"/detail/"</f>
        <v>/recipes/biryani-dum-layer/detail/</v>
      </c>
      <c r="X758" s="81" t="str">
        <f aca="false">J758</f>
        <v>Mawa</v>
      </c>
      <c r="Y758" s="81" t="str">
        <f aca="false">R758</f>
        <v>mawa</v>
      </c>
      <c r="Z758" s="94" t="n">
        <f aca="false">VLOOKUP(Y758,recipe_ingred_list!$D$2:$E$500,2,0)</f>
        <v>142</v>
      </c>
      <c r="AA758" s="61" t="n">
        <f aca="false">K758</f>
        <v>100</v>
      </c>
      <c r="AB758" s="61" t="str">
        <f aca="false">L758</f>
        <v>gm</v>
      </c>
      <c r="AC758" s="61" t="n">
        <f aca="false">VLOOKUP(AB758,recipe_ingred_list!$K$2:$M$7,3,0)</f>
        <v>7</v>
      </c>
      <c r="AD758" s="61" t="n">
        <f aca="false">M758</f>
        <v>0</v>
      </c>
      <c r="AE758" s="61" t="n">
        <f aca="false">N758</f>
        <v>0</v>
      </c>
      <c r="AF758" s="61" t="n">
        <f aca="false">VLOOKUP(AE758,recipe_ingred_list!$K$16:$M$25,3,0)</f>
        <v>1</v>
      </c>
      <c r="AG758" s="61" t="n">
        <f aca="false">O758</f>
        <v>0</v>
      </c>
      <c r="AH758" s="61" t="n">
        <f aca="false">P758</f>
        <v>0</v>
      </c>
      <c r="AI758" s="61" t="n">
        <f aca="false">VLOOKUP(AH758,recipe_ingred_list!$K$29:$M$34,3,0)</f>
        <v>3</v>
      </c>
      <c r="AJ758" s="61" t="str">
        <f aca="false">IF(Q758="","",Q758)</f>
        <v/>
      </c>
      <c r="AK758" s="61" t="n">
        <f aca="false">AK757+1</f>
        <v>758</v>
      </c>
      <c r="AL758" s="61" t="str">
        <f aca="false">Y758</f>
        <v>mawa</v>
      </c>
      <c r="AM758" s="81" t="str">
        <f aca="false">"a = Client().post('"&amp;W758&amp;"', {'recipe' : '"&amp;V758&amp;"', 'ingredient' : '"&amp;Z758&amp;"', 'name' : '"&amp;X758&amp;"', 'mass_unit' : '"&amp;AC758&amp;"', 'mass_quantity' : '"&amp;ROUND(AA758,3)&amp;"', 'volume_unit' : '"&amp;AF758&amp;"', 'volume_quantity' : '"&amp;ROUND(AD758,3)&amp;"', 'pieces_unit' : '"&amp;AI758&amp;"', 'pieces_quantity' : '"&amp;ROUND(AG758,3)&amp;"', 'cooking_notes' : '"&amp;AJ758&amp;"'}).status_code; print('%s :: %s :: %s :: %s :: %s' %(a,"&amp;G758&amp;",'"&amp;X758&amp;"','"&amp;Y758&amp;"','"&amp;U758&amp;"'))"</f>
        <v>a = Client().post('/recipes/biryani-dum-layer/detail/', {'recipe' : '10', 'ingredient' : '142', 'name' : 'Mawa', 'mass_unit' : '7', 'mass_quantity' : '100', 'volume_unit' : '1', 'volume_quantity' : '0', 'pieces_unit' : '3', 'pieces_quantity' : '0', 'cooking_notes' : ''}).status_code; print('%s :: %s :: %s :: %s :: %s' %(a,758,'Mawa','mawa','Biryani Dum Layer'))</v>
      </c>
    </row>
    <row r="759" customFormat="false" ht="13.8" hidden="false" customHeight="false" outlineLevel="0" collapsed="false">
      <c r="G759" s="80" t="n">
        <v>759</v>
      </c>
      <c r="I759" s="83" t="s">
        <v>136</v>
      </c>
      <c r="J759" s="83" t="s">
        <v>795</v>
      </c>
      <c r="K759" s="61" t="n">
        <v>0.5</v>
      </c>
      <c r="L759" s="61" t="s">
        <v>7</v>
      </c>
      <c r="R759" s="82" t="str">
        <f aca="false">VLOOKUP(J759,ingredient!$N$4:$O$553,2,0)</f>
        <v>amul butter</v>
      </c>
      <c r="U759" s="81" t="str">
        <f aca="false">I759</f>
        <v>Biryani Dum Layer</v>
      </c>
      <c r="V759" s="81" t="n">
        <f aca="false">VLOOKUP(U759,recipe_ingred_list!$A$2:$B$300,2,0)</f>
        <v>10</v>
      </c>
      <c r="W759" s="81" t="str">
        <f aca="false">"/recipes/"&amp;VLOOKUP(U759,recipe_ingred_list!$A$2:$C$300,3,0)&amp;"/detail/"</f>
        <v>/recipes/biryani-dum-layer/detail/</v>
      </c>
      <c r="X759" s="81" t="str">
        <f aca="false">J759</f>
        <v>Amul Butter</v>
      </c>
      <c r="Y759" s="81" t="str">
        <f aca="false">R759</f>
        <v>amul butter</v>
      </c>
      <c r="Z759" s="94" t="n">
        <f aca="false">VLOOKUP(Y759,recipe_ingred_list!$D$2:$E$500,2,0)</f>
        <v>12</v>
      </c>
      <c r="AA759" s="61" t="n">
        <f aca="false">K759</f>
        <v>0.5</v>
      </c>
      <c r="AB759" s="61" t="str">
        <f aca="false">L759</f>
        <v>kg</v>
      </c>
      <c r="AC759" s="61" t="n">
        <f aca="false">VLOOKUP(AB759,recipe_ingred_list!$K$2:$M$7,3,0)</f>
        <v>2</v>
      </c>
      <c r="AD759" s="61" t="n">
        <f aca="false">M759</f>
        <v>0</v>
      </c>
      <c r="AE759" s="61" t="n">
        <f aca="false">N759</f>
        <v>0</v>
      </c>
      <c r="AF759" s="61" t="n">
        <f aca="false">VLOOKUP(AE759,recipe_ingred_list!$K$16:$M$25,3,0)</f>
        <v>1</v>
      </c>
      <c r="AG759" s="61" t="n">
        <f aca="false">O759</f>
        <v>0</v>
      </c>
      <c r="AH759" s="61" t="n">
        <f aca="false">P759</f>
        <v>0</v>
      </c>
      <c r="AI759" s="61" t="n">
        <f aca="false">VLOOKUP(AH759,recipe_ingred_list!$K$29:$M$34,3,0)</f>
        <v>3</v>
      </c>
      <c r="AJ759" s="61" t="str">
        <f aca="false">IF(Q759="","",Q759)</f>
        <v/>
      </c>
      <c r="AK759" s="61" t="n">
        <f aca="false">AK758+1</f>
        <v>759</v>
      </c>
      <c r="AL759" s="61" t="str">
        <f aca="false">Y759</f>
        <v>amul butter</v>
      </c>
      <c r="AM759" s="81" t="str">
        <f aca="false">"a = Client().post('"&amp;W759&amp;"', {'recipe' : '"&amp;V759&amp;"', 'ingredient' : '"&amp;Z759&amp;"', 'name' : '"&amp;X759&amp;"', 'mass_unit' : '"&amp;AC759&amp;"', 'mass_quantity' : '"&amp;ROUND(AA759,3)&amp;"', 'volume_unit' : '"&amp;AF759&amp;"', 'volume_quantity' : '"&amp;ROUND(AD759,3)&amp;"', 'pieces_unit' : '"&amp;AI759&amp;"', 'pieces_quantity' : '"&amp;ROUND(AG759,3)&amp;"', 'cooking_notes' : '"&amp;AJ759&amp;"'}).status_code; print('%s :: %s :: %s :: %s :: %s' %(a,"&amp;G759&amp;",'"&amp;X759&amp;"','"&amp;Y759&amp;"','"&amp;U759&amp;"'))"</f>
        <v>a = Client().post('/recipes/biryani-dum-layer/detail/', {'recipe' : '10', 'ingredient' : '12', 'name' : 'Amul Butter', 'mass_unit' : '2', 'mass_quantity' : '0.5', 'volume_unit' : '1', 'volume_quantity' : '0', 'pieces_unit' : '3', 'pieces_quantity' : '0', 'cooking_notes' : ''}).status_code; print('%s :: %s :: %s :: %s :: %s' %(a,759,'Amul Butter','amul butter','Biryani Dum Layer'))</v>
      </c>
    </row>
    <row r="760" customFormat="false" ht="13.8" hidden="false" customHeight="false" outlineLevel="0" collapsed="false">
      <c r="G760" s="80" t="n">
        <v>760</v>
      </c>
      <c r="I760" s="83" t="s">
        <v>136</v>
      </c>
      <c r="J760" s="83" t="s">
        <v>796</v>
      </c>
      <c r="K760" s="0"/>
      <c r="L760" s="0"/>
      <c r="M760" s="61" t="n">
        <v>0.2</v>
      </c>
      <c r="N760" s="61" t="s">
        <v>13</v>
      </c>
      <c r="R760" s="82" t="str">
        <f aca="false">VLOOKUP(J760,ingredient!$N$4:$O$553,2,0)</f>
        <v>amul fresh cream</v>
      </c>
      <c r="U760" s="81" t="str">
        <f aca="false">I760</f>
        <v>Biryani Dum Layer</v>
      </c>
      <c r="V760" s="81" t="n">
        <f aca="false">VLOOKUP(U760,recipe_ingred_list!$A$2:$B$300,2,0)</f>
        <v>10</v>
      </c>
      <c r="W760" s="81" t="str">
        <f aca="false">"/recipes/"&amp;VLOOKUP(U760,recipe_ingred_list!$A$2:$C$300,3,0)&amp;"/detail/"</f>
        <v>/recipes/biryani-dum-layer/detail/</v>
      </c>
      <c r="X760" s="81" t="str">
        <f aca="false">J760</f>
        <v>Amul Fresh Cream</v>
      </c>
      <c r="Y760" s="81" t="str">
        <f aca="false">R760</f>
        <v>amul fresh cream</v>
      </c>
      <c r="Z760" s="94" t="n">
        <f aca="false">VLOOKUP(Y760,recipe_ingred_list!$D$2:$E$500,2,0)</f>
        <v>13</v>
      </c>
      <c r="AA760" s="61" t="n">
        <f aca="false">K760</f>
        <v>0</v>
      </c>
      <c r="AB760" s="61" t="n">
        <f aca="false">L760</f>
        <v>0</v>
      </c>
      <c r="AC760" s="61" t="n">
        <f aca="false">VLOOKUP(AB760,recipe_ingred_list!$K$2:$M$7,3,0)</f>
        <v>2</v>
      </c>
      <c r="AD760" s="61" t="n">
        <f aca="false">M760</f>
        <v>0.2</v>
      </c>
      <c r="AE760" s="61" t="str">
        <f aca="false">N760</f>
        <v>ltr</v>
      </c>
      <c r="AF760" s="61" t="n">
        <f aca="false">VLOOKUP(AE760,recipe_ingred_list!$K$16:$M$25,3,0)</f>
        <v>1</v>
      </c>
      <c r="AG760" s="61" t="n">
        <f aca="false">O760</f>
        <v>0</v>
      </c>
      <c r="AH760" s="61" t="n">
        <f aca="false">P760</f>
        <v>0</v>
      </c>
      <c r="AI760" s="61" t="n">
        <f aca="false">VLOOKUP(AH760,recipe_ingred_list!$K$29:$M$34,3,0)</f>
        <v>3</v>
      </c>
      <c r="AJ760" s="61" t="str">
        <f aca="false">IF(Q760="","",Q760)</f>
        <v/>
      </c>
      <c r="AK760" s="61" t="n">
        <f aca="false">AK759+1</f>
        <v>760</v>
      </c>
      <c r="AL760" s="61" t="str">
        <f aca="false">Y760</f>
        <v>amul fresh cream</v>
      </c>
      <c r="AM760" s="81" t="str">
        <f aca="false">"a = Client().post('"&amp;W760&amp;"', {'recipe' : '"&amp;V760&amp;"', 'ingredient' : '"&amp;Z760&amp;"', 'name' : '"&amp;X760&amp;"', 'mass_unit' : '"&amp;AC760&amp;"', 'mass_quantity' : '"&amp;ROUND(AA760,3)&amp;"', 'volume_unit' : '"&amp;AF760&amp;"', 'volume_quantity' : '"&amp;ROUND(AD760,3)&amp;"', 'pieces_unit' : '"&amp;AI760&amp;"', 'pieces_quantity' : '"&amp;ROUND(AG760,3)&amp;"', 'cooking_notes' : '"&amp;AJ760&amp;"'}).status_code; print('%s :: %s :: %s :: %s :: %s' %(a,"&amp;G760&amp;",'"&amp;X760&amp;"','"&amp;Y760&amp;"','"&amp;U760&amp;"'))"</f>
        <v>a = Client().post('/recipes/biryani-dum-layer/detail/', {'recipe' : '10', 'ingredient' : '13', 'name' : 'Amul Fresh Cream', 'mass_unit' : '2', 'mass_quantity' : '0', 'volume_unit' : '1', 'volume_quantity' : '0.2', 'pieces_unit' : '3', 'pieces_quantity' : '0', 'cooking_notes' : ''}).status_code; print('%s :: %s :: %s :: %s :: %s' %(a,760,'Amul Fresh Cream','amul fresh cream','Biryani Dum Layer'))</v>
      </c>
    </row>
    <row r="761" customFormat="false" ht="13.8" hidden="false" customHeight="false" outlineLevel="0" collapsed="false">
      <c r="G761" s="80" t="n">
        <v>761</v>
      </c>
      <c r="I761" s="83" t="s">
        <v>136</v>
      </c>
      <c r="J761" s="83" t="s">
        <v>799</v>
      </c>
      <c r="K761" s="61" t="n">
        <v>1</v>
      </c>
      <c r="L761" s="61" t="s">
        <v>7</v>
      </c>
      <c r="R761" s="82" t="str">
        <f aca="false">VLOOKUP(J761,ingredient!$N$4:$O$553,2,0)</f>
        <v>chedder cheese</v>
      </c>
      <c r="U761" s="81" t="str">
        <f aca="false">I761</f>
        <v>Biryani Dum Layer</v>
      </c>
      <c r="V761" s="81" t="n">
        <f aca="false">VLOOKUP(U761,recipe_ingred_list!$A$2:$B$300,2,0)</f>
        <v>10</v>
      </c>
      <c r="W761" s="81" t="str">
        <f aca="false">"/recipes/"&amp;VLOOKUP(U761,recipe_ingred_list!$A$2:$C$300,3,0)&amp;"/detail/"</f>
        <v>/recipes/biryani-dum-layer/detail/</v>
      </c>
      <c r="X761" s="81" t="str">
        <f aca="false">J761</f>
        <v>Chedder cheese</v>
      </c>
      <c r="Y761" s="81" t="str">
        <f aca="false">R761</f>
        <v>chedder cheese</v>
      </c>
      <c r="Z761" s="94" t="n">
        <f aca="false">VLOOKUP(Y761,recipe_ingred_list!$D$2:$E$500,2,0)</f>
        <v>49</v>
      </c>
      <c r="AA761" s="61" t="n">
        <f aca="false">K761</f>
        <v>1</v>
      </c>
      <c r="AB761" s="61" t="str">
        <f aca="false">L761</f>
        <v>kg</v>
      </c>
      <c r="AC761" s="61" t="n">
        <f aca="false">VLOOKUP(AB761,recipe_ingred_list!$K$2:$M$7,3,0)</f>
        <v>2</v>
      </c>
      <c r="AD761" s="61" t="n">
        <f aca="false">M761</f>
        <v>0</v>
      </c>
      <c r="AE761" s="61" t="n">
        <f aca="false">N761</f>
        <v>0</v>
      </c>
      <c r="AF761" s="61" t="n">
        <f aca="false">VLOOKUP(AE761,recipe_ingred_list!$K$16:$M$25,3,0)</f>
        <v>1</v>
      </c>
      <c r="AG761" s="61" t="n">
        <f aca="false">O761</f>
        <v>0</v>
      </c>
      <c r="AH761" s="61" t="n">
        <f aca="false">P761</f>
        <v>0</v>
      </c>
      <c r="AI761" s="61" t="n">
        <f aca="false">VLOOKUP(AH761,recipe_ingred_list!$K$29:$M$34,3,0)</f>
        <v>3</v>
      </c>
      <c r="AJ761" s="61" t="str">
        <f aca="false">IF(Q761="","",Q761)</f>
        <v/>
      </c>
      <c r="AK761" s="61" t="n">
        <f aca="false">AK760+1</f>
        <v>761</v>
      </c>
      <c r="AL761" s="61" t="str">
        <f aca="false">Y761</f>
        <v>chedder cheese</v>
      </c>
      <c r="AM761" s="81" t="str">
        <f aca="false">"a = Client().post('"&amp;W761&amp;"', {'recipe' : '"&amp;V761&amp;"', 'ingredient' : '"&amp;Z761&amp;"', 'name' : '"&amp;X761&amp;"', 'mass_unit' : '"&amp;AC761&amp;"', 'mass_quantity' : '"&amp;ROUND(AA761,3)&amp;"', 'volume_unit' : '"&amp;AF761&amp;"', 'volume_quantity' : '"&amp;ROUND(AD761,3)&amp;"', 'pieces_unit' : '"&amp;AI761&amp;"', 'pieces_quantity' : '"&amp;ROUND(AG761,3)&amp;"', 'cooking_notes' : '"&amp;AJ761&amp;"'}).status_code; print('%s :: %s :: %s :: %s :: %s' %(a,"&amp;G761&amp;",'"&amp;X761&amp;"','"&amp;Y761&amp;"','"&amp;U761&amp;"'))"</f>
        <v>a = Client().post('/recipes/biryani-dum-layer/detail/', {'recipe' : '10', 'ingredient' : '49', 'name' : 'Chedder cheese', 'mass_unit' : '2', 'mass_quantity' : '1', 'volume_unit' : '1', 'volume_quantity' : '0', 'pieces_unit' : '3', 'pieces_quantity' : '0', 'cooking_notes' : ''}).status_code; print('%s :: %s :: %s :: %s :: %s' %(a,761,'Chedder cheese','chedder cheese','Biryani Dum Layer'))</v>
      </c>
    </row>
    <row r="762" customFormat="false" ht="13.8" hidden="false" customHeight="false" outlineLevel="0" collapsed="false">
      <c r="G762" s="80" t="n">
        <v>762</v>
      </c>
      <c r="I762" s="83" t="s">
        <v>136</v>
      </c>
      <c r="J762" s="85" t="s">
        <v>797</v>
      </c>
      <c r="K762" s="146" t="n">
        <v>0.6</v>
      </c>
      <c r="L762" s="146" t="s">
        <v>7</v>
      </c>
      <c r="R762" s="82" t="str">
        <f aca="false">VLOOKUP(J762,ingredient!$N$4:$O$553,2,0)</f>
        <v>dahi</v>
      </c>
      <c r="U762" s="81" t="str">
        <f aca="false">I762</f>
        <v>Biryani Dum Layer</v>
      </c>
      <c r="V762" s="81" t="n">
        <f aca="false">VLOOKUP(U762,recipe_ingred_list!$A$2:$B$300,2,0)</f>
        <v>10</v>
      </c>
      <c r="W762" s="81" t="str">
        <f aca="false">"/recipes/"&amp;VLOOKUP(U762,recipe_ingred_list!$A$2:$C$300,3,0)&amp;"/detail/"</f>
        <v>/recipes/biryani-dum-layer/detail/</v>
      </c>
      <c r="X762" s="81" t="str">
        <f aca="false">J762</f>
        <v>Curd</v>
      </c>
      <c r="Y762" s="81" t="str">
        <f aca="false">R762</f>
        <v>dahi</v>
      </c>
      <c r="Z762" s="94" t="n">
        <f aca="false">VLOOKUP(Y762,recipe_ingred_list!$D$2:$E$500,2,0)</f>
        <v>59</v>
      </c>
      <c r="AA762" s="61" t="n">
        <f aca="false">K762</f>
        <v>0.6</v>
      </c>
      <c r="AB762" s="61" t="str">
        <f aca="false">L762</f>
        <v>kg</v>
      </c>
      <c r="AC762" s="61" t="n">
        <f aca="false">VLOOKUP(AB762,recipe_ingred_list!$K$2:$M$7,3,0)</f>
        <v>2</v>
      </c>
      <c r="AD762" s="61" t="n">
        <f aca="false">M762</f>
        <v>0</v>
      </c>
      <c r="AE762" s="61" t="n">
        <f aca="false">N762</f>
        <v>0</v>
      </c>
      <c r="AF762" s="61" t="n">
        <f aca="false">VLOOKUP(AE762,recipe_ingred_list!$K$16:$M$25,3,0)</f>
        <v>1</v>
      </c>
      <c r="AG762" s="61" t="n">
        <f aca="false">O762</f>
        <v>0</v>
      </c>
      <c r="AH762" s="61" t="n">
        <f aca="false">P762</f>
        <v>0</v>
      </c>
      <c r="AI762" s="61" t="n">
        <f aca="false">VLOOKUP(AH762,recipe_ingred_list!$K$29:$M$34,3,0)</f>
        <v>3</v>
      </c>
      <c r="AJ762" s="61" t="str">
        <f aca="false">IF(Q762="","",Q762)</f>
        <v/>
      </c>
      <c r="AK762" s="61" t="n">
        <f aca="false">AK761+1</f>
        <v>762</v>
      </c>
      <c r="AL762" s="61" t="str">
        <f aca="false">Y762</f>
        <v>dahi</v>
      </c>
      <c r="AM762" s="81" t="str">
        <f aca="false">"a = Client().post('"&amp;W762&amp;"', {'recipe' : '"&amp;V762&amp;"', 'ingredient' : '"&amp;Z762&amp;"', 'name' : '"&amp;X762&amp;"', 'mass_unit' : '"&amp;AC762&amp;"', 'mass_quantity' : '"&amp;ROUND(AA762,3)&amp;"', 'volume_unit' : '"&amp;AF762&amp;"', 'volume_quantity' : '"&amp;ROUND(AD762,3)&amp;"', 'pieces_unit' : '"&amp;AI762&amp;"', 'pieces_quantity' : '"&amp;ROUND(AG762,3)&amp;"', 'cooking_notes' : '"&amp;AJ762&amp;"'}).status_code; print('%s :: %s :: %s :: %s :: %s' %(a,"&amp;G762&amp;",'"&amp;X762&amp;"','"&amp;Y762&amp;"','"&amp;U762&amp;"'))"</f>
        <v>a = Client().post('/recipes/biryani-dum-layer/detail/', {'recipe' : '10', 'ingredient' : '59', 'name' : 'Curd', 'mass_unit' : '2', 'mass_quantity' : '0.6', 'volume_unit' : '1', 'volume_quantity' : '0', 'pieces_unit' : '3', 'pieces_quantity' : '0', 'cooking_notes' : ''}).status_code; print('%s :: %s :: %s :: %s :: %s' %(a,762,'Curd','dahi','Biryani Dum Layer'))</v>
      </c>
    </row>
    <row r="763" customFormat="false" ht="13.8" hidden="false" customHeight="false" outlineLevel="0" collapsed="false">
      <c r="G763" s="80" t="n">
        <v>763</v>
      </c>
      <c r="H763" s="98"/>
      <c r="I763" s="99"/>
      <c r="J763" s="79"/>
      <c r="K763" s="100"/>
      <c r="L763" s="100"/>
      <c r="M763" s="100"/>
      <c r="N763" s="100"/>
      <c r="O763" s="101"/>
      <c r="P763" s="100"/>
      <c r="Q763" s="102"/>
      <c r="R763" s="99" t="e">
        <f aca="false">VLOOKUP(J763,ingredient!$N$4:$O$553,2,0)</f>
        <v>#N/A</v>
      </c>
      <c r="S763" s="98"/>
      <c r="T763" s="98"/>
      <c r="U763" s="81" t="n">
        <f aca="false">I763</f>
        <v>0</v>
      </c>
      <c r="V763" s="81" t="e">
        <f aca="false">VLOOKUP(U763,recipe_ingred_list!$A$2:$B$300,2,0)</f>
        <v>#N/A</v>
      </c>
      <c r="W763" s="81" t="e">
        <f aca="false">"/recipes/"&amp;VLOOKUP(U763,recipe_ingred_list!$A$2:$C$300,3,0)&amp;"/detail/"</f>
        <v>#N/A</v>
      </c>
      <c r="X763" s="81" t="n">
        <f aca="false">J763</f>
        <v>0</v>
      </c>
      <c r="Y763" s="81" t="e">
        <f aca="false">R763</f>
        <v>#N/A</v>
      </c>
      <c r="Z763" s="94" t="e">
        <f aca="false">VLOOKUP(Y763,recipe_ingred_list!$D$2:$E$500,2,0)</f>
        <v>#N/A</v>
      </c>
      <c r="AA763" s="61" t="n">
        <f aca="false">K763</f>
        <v>0</v>
      </c>
      <c r="AB763" s="61" t="n">
        <f aca="false">L763</f>
        <v>0</v>
      </c>
      <c r="AC763" s="61" t="n">
        <f aca="false">VLOOKUP(AB763,recipe_ingred_list!$K$2:$M$7,3,0)</f>
        <v>2</v>
      </c>
      <c r="AD763" s="61" t="n">
        <f aca="false">M763</f>
        <v>0</v>
      </c>
      <c r="AE763" s="61" t="n">
        <f aca="false">N763</f>
        <v>0</v>
      </c>
      <c r="AF763" s="61" t="n">
        <f aca="false">VLOOKUP(AE763,recipe_ingred_list!$K$16:$M$25,3,0)</f>
        <v>1</v>
      </c>
      <c r="AG763" s="61" t="n">
        <f aca="false">O763</f>
        <v>0</v>
      </c>
      <c r="AH763" s="61" t="n">
        <f aca="false">P763</f>
        <v>0</v>
      </c>
      <c r="AI763" s="61" t="n">
        <f aca="false">VLOOKUP(AH763,recipe_ingred_list!$K$29:$M$34,3,0)</f>
        <v>3</v>
      </c>
      <c r="AJ763" s="61" t="str">
        <f aca="false">IF(Q763="","",Q763)</f>
        <v/>
      </c>
      <c r="AK763" s="61" t="n">
        <f aca="false">AK762+1</f>
        <v>763</v>
      </c>
      <c r="AL763" s="61" t="e">
        <f aca="false">Y763</f>
        <v>#N/A</v>
      </c>
      <c r="AM763" s="81" t="e">
        <f aca="false">"a = Client().post('"&amp;W763&amp;"', {'recipe' : '"&amp;V763&amp;"', 'ingredient' : '"&amp;Z763&amp;"', 'name' : '"&amp;X763&amp;"', 'mass_unit' : '"&amp;AC763&amp;"', 'mass_quantity' : '"&amp;ROUND(AA763,3)&amp;"', 'volume_unit' : '"&amp;AF763&amp;"', 'volume_quantity' : '"&amp;ROUND(AD763,3)&amp;"', 'pieces_unit' : '"&amp;AI763&amp;"', 'pieces_quantity' : '"&amp;ROUND(AG763,3)&amp;"', 'cooking_notes' : '"&amp;AJ763&amp;"'}).status_code; print('%s :: %s :: %s :: %s :: %s' %(a,"&amp;G763&amp;",'"&amp;X763&amp;"','"&amp;Y763&amp;"','"&amp;U763&amp;"'))"</f>
        <v>#N/A</v>
      </c>
    </row>
    <row r="764" customFormat="false" ht="13.8" hidden="false" customHeight="false" outlineLevel="0" collapsed="false">
      <c r="G764" s="80" t="n">
        <v>764</v>
      </c>
      <c r="H764" s="98"/>
      <c r="I764" s="99"/>
      <c r="J764" s="79"/>
      <c r="K764" s="100"/>
      <c r="L764" s="100"/>
      <c r="M764" s="100"/>
      <c r="N764" s="100"/>
      <c r="O764" s="101"/>
      <c r="P764" s="100"/>
      <c r="Q764" s="102"/>
      <c r="R764" s="99" t="e">
        <f aca="false">VLOOKUP(J764,ingredient!$N$4:$O$553,2,0)</f>
        <v>#N/A</v>
      </c>
      <c r="S764" s="98"/>
      <c r="T764" s="98"/>
      <c r="U764" s="81" t="n">
        <f aca="false">I764</f>
        <v>0</v>
      </c>
      <c r="V764" s="81" t="e">
        <f aca="false">VLOOKUP(U764,recipe_ingred_list!$A$2:$B$300,2,0)</f>
        <v>#N/A</v>
      </c>
      <c r="W764" s="81" t="e">
        <f aca="false">"/recipes/"&amp;VLOOKUP(U764,recipe_ingred_list!$A$2:$C$300,3,0)&amp;"/detail/"</f>
        <v>#N/A</v>
      </c>
      <c r="X764" s="81" t="n">
        <f aca="false">J764</f>
        <v>0</v>
      </c>
      <c r="Y764" s="81" t="e">
        <f aca="false">R764</f>
        <v>#N/A</v>
      </c>
      <c r="Z764" s="94" t="e">
        <f aca="false">VLOOKUP(Y764,recipe_ingred_list!$D$2:$E$500,2,0)</f>
        <v>#N/A</v>
      </c>
      <c r="AA764" s="61" t="n">
        <f aca="false">K764</f>
        <v>0</v>
      </c>
      <c r="AB764" s="61" t="n">
        <f aca="false">L764</f>
        <v>0</v>
      </c>
      <c r="AC764" s="61" t="n">
        <f aca="false">VLOOKUP(AB764,recipe_ingred_list!$K$2:$M$7,3,0)</f>
        <v>2</v>
      </c>
      <c r="AD764" s="61" t="n">
        <f aca="false">M764</f>
        <v>0</v>
      </c>
      <c r="AE764" s="61" t="n">
        <f aca="false">N764</f>
        <v>0</v>
      </c>
      <c r="AF764" s="61" t="n">
        <f aca="false">VLOOKUP(AE764,recipe_ingred_list!$K$16:$M$25,3,0)</f>
        <v>1</v>
      </c>
      <c r="AG764" s="61" t="n">
        <f aca="false">O764</f>
        <v>0</v>
      </c>
      <c r="AH764" s="61" t="n">
        <f aca="false">P764</f>
        <v>0</v>
      </c>
      <c r="AI764" s="61" t="n">
        <f aca="false">VLOOKUP(AH764,recipe_ingred_list!$K$29:$M$34,3,0)</f>
        <v>3</v>
      </c>
      <c r="AJ764" s="61" t="str">
        <f aca="false">IF(Q764="","",Q764)</f>
        <v/>
      </c>
      <c r="AK764" s="61" t="n">
        <f aca="false">AK763+1</f>
        <v>764</v>
      </c>
      <c r="AL764" s="61" t="e">
        <f aca="false">Y764</f>
        <v>#N/A</v>
      </c>
      <c r="AM764" s="81" t="e">
        <f aca="false">"a = Client().post('"&amp;W764&amp;"', {'recipe' : '"&amp;V764&amp;"', 'ingredient' : '"&amp;Z764&amp;"', 'name' : '"&amp;X764&amp;"', 'mass_unit' : '"&amp;AC764&amp;"', 'mass_quantity' : '"&amp;ROUND(AA764,3)&amp;"', 'volume_unit' : '"&amp;AF764&amp;"', 'volume_quantity' : '"&amp;ROUND(AD764,3)&amp;"', 'pieces_unit' : '"&amp;AI764&amp;"', 'pieces_quantity' : '"&amp;ROUND(AG764,3)&amp;"', 'cooking_notes' : '"&amp;AJ764&amp;"'}).status_code; print('%s :: %s :: %s :: %s :: %s' %(a,"&amp;G764&amp;",'"&amp;X764&amp;"','"&amp;Y764&amp;"','"&amp;U764&amp;"'))"</f>
        <v>#N/A</v>
      </c>
    </row>
    <row r="765" customFormat="false" ht="13.8" hidden="false" customHeight="false" outlineLevel="0" collapsed="false">
      <c r="G765" s="80" t="n">
        <v>765</v>
      </c>
      <c r="H765" s="83"/>
      <c r="I765" s="83" t="s">
        <v>250</v>
      </c>
      <c r="J765" s="83" t="s">
        <v>11</v>
      </c>
      <c r="K765" s="61" t="n">
        <v>6</v>
      </c>
      <c r="L765" s="61" t="s">
        <v>7</v>
      </c>
      <c r="R765" s="82" t="str">
        <f aca="false">VLOOKUP(J765,ingredient!$N$4:$O$553,2,0)</f>
        <v>gajar</v>
      </c>
      <c r="U765" s="81" t="str">
        <f aca="false">I765</f>
        <v>Mix Veg Poha</v>
      </c>
      <c r="V765" s="81" t="n">
        <f aca="false">VLOOKUP(U765,recipe_ingred_list!$A$2:$B$300,2,0)</f>
        <v>47</v>
      </c>
      <c r="W765" s="81" t="str">
        <f aca="false">"/recipes/"&amp;VLOOKUP(U765,recipe_ingred_list!$A$2:$C$300,3,0)&amp;"/detail/"</f>
        <v>/recipes/mix-veg-poha/detail/</v>
      </c>
      <c r="X765" s="81" t="str">
        <f aca="false">J765</f>
        <v>Gajar</v>
      </c>
      <c r="Y765" s="81" t="str">
        <f aca="false">R765</f>
        <v>gajar</v>
      </c>
      <c r="Z765" s="94" t="n">
        <f aca="false">VLOOKUP(Y765,recipe_ingred_list!$D$2:$E$500,2,0)</f>
        <v>79</v>
      </c>
      <c r="AA765" s="61" t="n">
        <f aca="false">K765</f>
        <v>6</v>
      </c>
      <c r="AB765" s="61" t="str">
        <f aca="false">L765</f>
        <v>kg</v>
      </c>
      <c r="AC765" s="61" t="n">
        <f aca="false">VLOOKUP(AB765,recipe_ingred_list!$K$2:$M$7,3,0)</f>
        <v>2</v>
      </c>
      <c r="AD765" s="61" t="n">
        <f aca="false">M765</f>
        <v>0</v>
      </c>
      <c r="AE765" s="61" t="n">
        <f aca="false">N765</f>
        <v>0</v>
      </c>
      <c r="AF765" s="61" t="n">
        <f aca="false">VLOOKUP(AE765,recipe_ingred_list!$K$16:$M$25,3,0)</f>
        <v>1</v>
      </c>
      <c r="AG765" s="61" t="n">
        <f aca="false">O765</f>
        <v>0</v>
      </c>
      <c r="AH765" s="61" t="n">
        <f aca="false">P765</f>
        <v>0</v>
      </c>
      <c r="AI765" s="61" t="n">
        <f aca="false">VLOOKUP(AH765,recipe_ingred_list!$K$29:$M$34,3,0)</f>
        <v>3</v>
      </c>
      <c r="AJ765" s="61" t="str">
        <f aca="false">IF(Q765="","",Q765)</f>
        <v/>
      </c>
      <c r="AK765" s="61" t="n">
        <f aca="false">AK764+1</f>
        <v>765</v>
      </c>
      <c r="AL765" s="61" t="str">
        <f aca="false">Y765</f>
        <v>gajar</v>
      </c>
      <c r="AM765" s="81" t="str">
        <f aca="false">"a = Client().post('"&amp;W765&amp;"', {'recipe' : '"&amp;V765&amp;"', 'ingredient' : '"&amp;Z765&amp;"', 'name' : '"&amp;X765&amp;"', 'mass_unit' : '"&amp;AC765&amp;"', 'mass_quantity' : '"&amp;ROUND(AA765,3)&amp;"', 'volume_unit' : '"&amp;AF765&amp;"', 'volume_quantity' : '"&amp;ROUND(AD765,3)&amp;"', 'pieces_unit' : '"&amp;AI765&amp;"', 'pieces_quantity' : '"&amp;ROUND(AG765,3)&amp;"', 'cooking_notes' : '"&amp;AJ765&amp;"'}).status_code; print('%s :: %s :: %s :: %s :: %s' %(a,"&amp;G765&amp;",'"&amp;X765&amp;"','"&amp;Y765&amp;"','"&amp;U765&amp;"'))"</f>
        <v>a = Client().post('/recipes/mix-veg-poha/detail/', {'recipe' : '47', 'ingredient' : '79', 'name' : 'Gajar', 'mass_unit' : '2', 'mass_quantity' : '6', 'volume_unit' : '1', 'volume_quantity' : '0', 'pieces_unit' : '3', 'pieces_quantity' : '0', 'cooking_notes' : ''}).status_code; print('%s :: %s :: %s :: %s :: %s' %(a,765,'Gajar','gajar','Mix Veg Poha'))</v>
      </c>
    </row>
    <row r="766" customFormat="false" ht="13.8" hidden="false" customHeight="false" outlineLevel="0" collapsed="false">
      <c r="G766" s="80" t="n">
        <v>766</v>
      </c>
      <c r="H766" s="83"/>
      <c r="I766" s="83" t="s">
        <v>250</v>
      </c>
      <c r="J766" s="83" t="s">
        <v>800</v>
      </c>
      <c r="K766" s="61" t="n">
        <v>5</v>
      </c>
      <c r="L766" s="61" t="s">
        <v>7</v>
      </c>
      <c r="R766" s="82" t="str">
        <f aca="false">VLOOKUP(J766,ingredient!$N$4:$O$553,2,0)</f>
        <v>beans</v>
      </c>
      <c r="U766" s="81" t="str">
        <f aca="false">I766</f>
        <v>Mix Veg Poha</v>
      </c>
      <c r="V766" s="81" t="n">
        <f aca="false">VLOOKUP(U766,recipe_ingred_list!$A$2:$B$300,2,0)</f>
        <v>47</v>
      </c>
      <c r="W766" s="81" t="str">
        <f aca="false">"/recipes/"&amp;VLOOKUP(U766,recipe_ingred_list!$A$2:$C$300,3,0)&amp;"/detail/"</f>
        <v>/recipes/mix-veg-poha/detail/</v>
      </c>
      <c r="X766" s="81" t="str">
        <f aca="false">J766</f>
        <v>beans( optional when rate is low)</v>
      </c>
      <c r="Y766" s="81" t="str">
        <f aca="false">R766</f>
        <v>beans</v>
      </c>
      <c r="Z766" s="94" t="n">
        <f aca="false">VLOOKUP(Y766,recipe_ingred_list!$D$2:$E$500,2,0)</f>
        <v>27</v>
      </c>
      <c r="AA766" s="61" t="n">
        <f aca="false">K766</f>
        <v>5</v>
      </c>
      <c r="AB766" s="61" t="str">
        <f aca="false">L766</f>
        <v>kg</v>
      </c>
      <c r="AC766" s="61" t="n">
        <f aca="false">VLOOKUP(AB766,recipe_ingred_list!$K$2:$M$7,3,0)</f>
        <v>2</v>
      </c>
      <c r="AD766" s="61" t="n">
        <f aca="false">M766</f>
        <v>0</v>
      </c>
      <c r="AE766" s="61" t="n">
        <f aca="false">N766</f>
        <v>0</v>
      </c>
      <c r="AF766" s="61" t="n">
        <f aca="false">VLOOKUP(AE766,recipe_ingred_list!$K$16:$M$25,3,0)</f>
        <v>1</v>
      </c>
      <c r="AG766" s="61" t="n">
        <f aca="false">O766</f>
        <v>0</v>
      </c>
      <c r="AH766" s="61" t="n">
        <f aca="false">P766</f>
        <v>0</v>
      </c>
      <c r="AI766" s="61" t="n">
        <f aca="false">VLOOKUP(AH766,recipe_ingred_list!$K$29:$M$34,3,0)</f>
        <v>3</v>
      </c>
      <c r="AJ766" s="61" t="str">
        <f aca="false">IF(Q766="","",Q766)</f>
        <v/>
      </c>
      <c r="AK766" s="61" t="n">
        <f aca="false">AK765+1</f>
        <v>766</v>
      </c>
      <c r="AL766" s="61" t="str">
        <f aca="false">Y766</f>
        <v>beans</v>
      </c>
      <c r="AM766" s="81" t="str">
        <f aca="false">"a = Client().post('"&amp;W766&amp;"', {'recipe' : '"&amp;V766&amp;"', 'ingredient' : '"&amp;Z766&amp;"', 'name' : '"&amp;X766&amp;"', 'mass_unit' : '"&amp;AC766&amp;"', 'mass_quantity' : '"&amp;ROUND(AA766,3)&amp;"', 'volume_unit' : '"&amp;AF766&amp;"', 'volume_quantity' : '"&amp;ROUND(AD766,3)&amp;"', 'pieces_unit' : '"&amp;AI766&amp;"', 'pieces_quantity' : '"&amp;ROUND(AG766,3)&amp;"', 'cooking_notes' : '"&amp;AJ766&amp;"'}).status_code; print('%s :: %s :: %s :: %s :: %s' %(a,"&amp;G766&amp;",'"&amp;X766&amp;"','"&amp;Y766&amp;"','"&amp;U766&amp;"'))"</f>
        <v>a = Client().post('/recipes/mix-veg-poha/detail/', {'recipe' : '47', 'ingredient' : '27', 'name' : 'beans( optional when rate is low)', 'mass_unit' : '2', 'mass_quantity' : '5', 'volume_unit' : '1', 'volume_quantity' : '0', 'pieces_unit' : '3', 'pieces_quantity' : '0', 'cooking_notes' : ''}).status_code; print('%s :: %s :: %s :: %s :: %s' %(a,766,'beans( optional when rate is low)','beans','Mix Veg Poha'))</v>
      </c>
    </row>
    <row r="767" customFormat="false" ht="13.8" hidden="false" customHeight="false" outlineLevel="0" collapsed="false">
      <c r="G767" s="80" t="n">
        <v>767</v>
      </c>
      <c r="H767" s="83"/>
      <c r="I767" s="83" t="s">
        <v>250</v>
      </c>
      <c r="J767" s="83" t="s">
        <v>790</v>
      </c>
      <c r="K767" s="61" t="n">
        <v>6</v>
      </c>
      <c r="L767" s="61" t="s">
        <v>7</v>
      </c>
      <c r="R767" s="82" t="str">
        <f aca="false">VLOOKUP(J767,ingredient!$N$4:$O$553,2,0)</f>
        <v>green peas</v>
      </c>
      <c r="U767" s="81" t="str">
        <f aca="false">I767</f>
        <v>Mix Veg Poha</v>
      </c>
      <c r="V767" s="81" t="n">
        <f aca="false">VLOOKUP(U767,recipe_ingred_list!$A$2:$B$300,2,0)</f>
        <v>47</v>
      </c>
      <c r="W767" s="81" t="str">
        <f aca="false">"/recipes/"&amp;VLOOKUP(U767,recipe_ingred_list!$A$2:$C$300,3,0)&amp;"/detail/"</f>
        <v>/recipes/mix-veg-poha/detail/</v>
      </c>
      <c r="X767" s="81" t="str">
        <f aca="false">J767</f>
        <v>Green Peas</v>
      </c>
      <c r="Y767" s="81" t="str">
        <f aca="false">R767</f>
        <v>green peas</v>
      </c>
      <c r="Z767" s="94" t="n">
        <f aca="false">VLOOKUP(Y767,recipe_ingred_list!$D$2:$E$500,2,0)</f>
        <v>88</v>
      </c>
      <c r="AA767" s="61" t="n">
        <f aca="false">K767</f>
        <v>6</v>
      </c>
      <c r="AB767" s="61" t="str">
        <f aca="false">L767</f>
        <v>kg</v>
      </c>
      <c r="AC767" s="61" t="n">
        <f aca="false">VLOOKUP(AB767,recipe_ingred_list!$K$2:$M$7,3,0)</f>
        <v>2</v>
      </c>
      <c r="AD767" s="61" t="n">
        <f aca="false">M767</f>
        <v>0</v>
      </c>
      <c r="AE767" s="61" t="n">
        <f aca="false">N767</f>
        <v>0</v>
      </c>
      <c r="AF767" s="61" t="n">
        <f aca="false">VLOOKUP(AE767,recipe_ingred_list!$K$16:$M$25,3,0)</f>
        <v>1</v>
      </c>
      <c r="AG767" s="61" t="n">
        <f aca="false">O767</f>
        <v>0</v>
      </c>
      <c r="AH767" s="61" t="n">
        <f aca="false">P767</f>
        <v>0</v>
      </c>
      <c r="AI767" s="61" t="n">
        <f aca="false">VLOOKUP(AH767,recipe_ingred_list!$K$29:$M$34,3,0)</f>
        <v>3</v>
      </c>
      <c r="AJ767" s="61" t="str">
        <f aca="false">IF(Q767="","",Q767)</f>
        <v/>
      </c>
      <c r="AK767" s="61" t="n">
        <f aca="false">AK766+1</f>
        <v>767</v>
      </c>
      <c r="AL767" s="61" t="str">
        <f aca="false">Y767</f>
        <v>green peas</v>
      </c>
      <c r="AM767" s="81" t="str">
        <f aca="false">"a = Client().post('"&amp;W767&amp;"', {'recipe' : '"&amp;V767&amp;"', 'ingredient' : '"&amp;Z767&amp;"', 'name' : '"&amp;X767&amp;"', 'mass_unit' : '"&amp;AC767&amp;"', 'mass_quantity' : '"&amp;ROUND(AA767,3)&amp;"', 'volume_unit' : '"&amp;AF767&amp;"', 'volume_quantity' : '"&amp;ROUND(AD767,3)&amp;"', 'pieces_unit' : '"&amp;AI767&amp;"', 'pieces_quantity' : '"&amp;ROUND(AG767,3)&amp;"', 'cooking_notes' : '"&amp;AJ767&amp;"'}).status_code; print('%s :: %s :: %s :: %s :: %s' %(a,"&amp;G767&amp;",'"&amp;X767&amp;"','"&amp;Y767&amp;"','"&amp;U767&amp;"'))"</f>
        <v>a = Client().post('/recipes/mix-veg-poha/detail/', {'recipe' : '47', 'ingredient' : '88', 'name' : 'Green Peas', 'mass_unit' : '2', 'mass_quantity' : '6', 'volume_unit' : '1', 'volume_quantity' : '0', 'pieces_unit' : '3', 'pieces_quantity' : '0', 'cooking_notes' : ''}).status_code; print('%s :: %s :: %s :: %s :: %s' %(a,767,'Green Peas','green peas','Mix Veg Poha'))</v>
      </c>
    </row>
    <row r="768" customFormat="false" ht="13.8" hidden="false" customHeight="false" outlineLevel="0" collapsed="false">
      <c r="G768" s="80" t="n">
        <v>768</v>
      </c>
      <c r="H768" s="83"/>
      <c r="I768" s="83" t="s">
        <v>250</v>
      </c>
      <c r="J768" s="83" t="s">
        <v>10</v>
      </c>
      <c r="K768" s="61" t="n">
        <v>5</v>
      </c>
      <c r="L768" s="61" t="s">
        <v>7</v>
      </c>
      <c r="R768" s="82" t="str">
        <f aca="false">VLOOKUP(J768,ingredient!$N$4:$O$553,2,0)</f>
        <v>alu</v>
      </c>
      <c r="U768" s="81" t="str">
        <f aca="false">I768</f>
        <v>Mix Veg Poha</v>
      </c>
      <c r="V768" s="81" t="n">
        <f aca="false">VLOOKUP(U768,recipe_ingred_list!$A$2:$B$300,2,0)</f>
        <v>47</v>
      </c>
      <c r="W768" s="81" t="str">
        <f aca="false">"/recipes/"&amp;VLOOKUP(U768,recipe_ingred_list!$A$2:$C$300,3,0)&amp;"/detail/"</f>
        <v>/recipes/mix-veg-poha/detail/</v>
      </c>
      <c r="X768" s="81" t="str">
        <f aca="false">J768</f>
        <v>Alu</v>
      </c>
      <c r="Y768" s="81" t="str">
        <f aca="false">R768</f>
        <v>alu</v>
      </c>
      <c r="Z768" s="94" t="n">
        <f aca="false">VLOOKUP(Y768,recipe_ingred_list!$D$2:$E$500,2,0)</f>
        <v>8</v>
      </c>
      <c r="AA768" s="61" t="n">
        <f aca="false">K768</f>
        <v>5</v>
      </c>
      <c r="AB768" s="61" t="str">
        <f aca="false">L768</f>
        <v>kg</v>
      </c>
      <c r="AC768" s="61" t="n">
        <f aca="false">VLOOKUP(AB768,recipe_ingred_list!$K$2:$M$7,3,0)</f>
        <v>2</v>
      </c>
      <c r="AD768" s="61" t="n">
        <f aca="false">M768</f>
        <v>0</v>
      </c>
      <c r="AE768" s="61" t="n">
        <f aca="false">N768</f>
        <v>0</v>
      </c>
      <c r="AF768" s="61" t="n">
        <f aca="false">VLOOKUP(AE768,recipe_ingred_list!$K$16:$M$25,3,0)</f>
        <v>1</v>
      </c>
      <c r="AG768" s="61" t="n">
        <f aca="false">O768</f>
        <v>0</v>
      </c>
      <c r="AH768" s="61" t="n">
        <f aca="false">P768</f>
        <v>0</v>
      </c>
      <c r="AI768" s="61" t="n">
        <f aca="false">VLOOKUP(AH768,recipe_ingred_list!$K$29:$M$34,3,0)</f>
        <v>3</v>
      </c>
      <c r="AJ768" s="61" t="str">
        <f aca="false">IF(Q768="","",Q768)</f>
        <v/>
      </c>
      <c r="AK768" s="61" t="n">
        <f aca="false">AK767+1</f>
        <v>768</v>
      </c>
      <c r="AL768" s="61" t="str">
        <f aca="false">Y768</f>
        <v>alu</v>
      </c>
      <c r="AM768" s="81" t="str">
        <f aca="false">"a = Client().post('"&amp;W768&amp;"', {'recipe' : '"&amp;V768&amp;"', 'ingredient' : '"&amp;Z768&amp;"', 'name' : '"&amp;X768&amp;"', 'mass_unit' : '"&amp;AC768&amp;"', 'mass_quantity' : '"&amp;ROUND(AA768,3)&amp;"', 'volume_unit' : '"&amp;AF768&amp;"', 'volume_quantity' : '"&amp;ROUND(AD768,3)&amp;"', 'pieces_unit' : '"&amp;AI768&amp;"', 'pieces_quantity' : '"&amp;ROUND(AG768,3)&amp;"', 'cooking_notes' : '"&amp;AJ768&amp;"'}).status_code; print('%s :: %s :: %s :: %s :: %s' %(a,"&amp;G768&amp;",'"&amp;X768&amp;"','"&amp;Y768&amp;"','"&amp;U768&amp;"'))"</f>
        <v>a = Client().post('/recipes/mix-veg-poha/detail/', {'recipe' : '47', 'ingredient' : '8', 'name' : 'Alu', 'mass_unit' : '2', 'mass_quantity' : '5', 'volume_unit' : '1', 'volume_quantity' : '0', 'pieces_unit' : '3', 'pieces_quantity' : '0', 'cooking_notes' : ''}).status_code; print('%s :: %s :: %s :: %s :: %s' %(a,768,'Alu','alu','Mix Veg Poha'))</v>
      </c>
    </row>
    <row r="769" customFormat="false" ht="13.8" hidden="false" customHeight="false" outlineLevel="0" collapsed="false">
      <c r="G769" s="80" t="n">
        <v>769</v>
      </c>
      <c r="H769" s="83"/>
      <c r="I769" s="83" t="s">
        <v>250</v>
      </c>
      <c r="J769" s="83" t="s">
        <v>801</v>
      </c>
      <c r="M769" s="61" t="n">
        <v>1</v>
      </c>
      <c r="N769" s="61" t="s">
        <v>13</v>
      </c>
      <c r="R769" s="82" t="str">
        <f aca="false">VLOOKUP(J769,ingredient!$N$4:$O$553,2,0)</f>
        <v>hari mirchi</v>
      </c>
      <c r="U769" s="81" t="str">
        <f aca="false">I769</f>
        <v>Mix Veg Poha</v>
      </c>
      <c r="V769" s="81" t="n">
        <f aca="false">VLOOKUP(U769,recipe_ingred_list!$A$2:$B$300,2,0)</f>
        <v>47</v>
      </c>
      <c r="W769" s="81" t="str">
        <f aca="false">"/recipes/"&amp;VLOOKUP(U769,recipe_ingred_list!$A$2:$C$300,3,0)&amp;"/detail/"</f>
        <v>/recipes/mix-veg-poha/detail/</v>
      </c>
      <c r="X769" s="81" t="str">
        <f aca="false">J769</f>
        <v>green chilly</v>
      </c>
      <c r="Y769" s="81" t="str">
        <f aca="false">R769</f>
        <v>hari mirchi</v>
      </c>
      <c r="Z769" s="94" t="n">
        <f aca="false">VLOOKUP(Y769,recipe_ingred_list!$D$2:$E$500,2,0)</f>
        <v>93</v>
      </c>
      <c r="AA769" s="61" t="n">
        <f aca="false">K769</f>
        <v>0</v>
      </c>
      <c r="AB769" s="61" t="n">
        <f aca="false">L769</f>
        <v>0</v>
      </c>
      <c r="AC769" s="61" t="n">
        <f aca="false">VLOOKUP(AB769,recipe_ingred_list!$K$2:$M$7,3,0)</f>
        <v>2</v>
      </c>
      <c r="AD769" s="61" t="n">
        <f aca="false">M769</f>
        <v>1</v>
      </c>
      <c r="AE769" s="61" t="str">
        <f aca="false">N769</f>
        <v>ltr</v>
      </c>
      <c r="AF769" s="61" t="n">
        <f aca="false">VLOOKUP(AE769,recipe_ingred_list!$K$16:$M$25,3,0)</f>
        <v>1</v>
      </c>
      <c r="AG769" s="61" t="n">
        <f aca="false">O769</f>
        <v>0</v>
      </c>
      <c r="AH769" s="61" t="n">
        <f aca="false">P769</f>
        <v>0</v>
      </c>
      <c r="AI769" s="61" t="n">
        <f aca="false">VLOOKUP(AH769,recipe_ingred_list!$K$29:$M$34,3,0)</f>
        <v>3</v>
      </c>
      <c r="AJ769" s="61" t="str">
        <f aca="false">IF(Q769="","",Q769)</f>
        <v/>
      </c>
      <c r="AK769" s="61" t="n">
        <f aca="false">AK768+1</f>
        <v>769</v>
      </c>
      <c r="AL769" s="61" t="str">
        <f aca="false">Y769</f>
        <v>hari mirchi</v>
      </c>
      <c r="AM769" s="81" t="str">
        <f aca="false">"a = Client().post('"&amp;W769&amp;"', {'recipe' : '"&amp;V769&amp;"', 'ingredient' : '"&amp;Z769&amp;"', 'name' : '"&amp;X769&amp;"', 'mass_unit' : '"&amp;AC769&amp;"', 'mass_quantity' : '"&amp;ROUND(AA769,3)&amp;"', 'volume_unit' : '"&amp;AF769&amp;"', 'volume_quantity' : '"&amp;ROUND(AD769,3)&amp;"', 'pieces_unit' : '"&amp;AI769&amp;"', 'pieces_quantity' : '"&amp;ROUND(AG769,3)&amp;"', 'cooking_notes' : '"&amp;AJ769&amp;"'}).status_code; print('%s :: %s :: %s :: %s :: %s' %(a,"&amp;G769&amp;",'"&amp;X769&amp;"','"&amp;Y769&amp;"','"&amp;U769&amp;"'))"</f>
        <v>a = Client().post('/recipes/mix-veg-poha/detail/', {'recipe' : '47', 'ingredient' : '93', 'name' : 'green chilly', 'mass_unit' : '2', 'mass_quantity' : '0', 'volume_unit' : '1', 'volume_quantity' : '1', 'pieces_unit' : '3', 'pieces_quantity' : '0', 'cooking_notes' : ''}).status_code; print('%s :: %s :: %s :: %s :: %s' %(a,769,'green chilly','hari mirchi','Mix Veg Poha'))</v>
      </c>
    </row>
    <row r="770" customFormat="false" ht="13.8" hidden="false" customHeight="false" outlineLevel="0" collapsed="false">
      <c r="G770" s="80" t="n">
        <v>770</v>
      </c>
      <c r="H770" s="83"/>
      <c r="I770" s="83" t="s">
        <v>250</v>
      </c>
      <c r="J770" s="83" t="s">
        <v>23</v>
      </c>
      <c r="M770" s="61" t="n">
        <v>3</v>
      </c>
      <c r="N770" s="61" t="s">
        <v>13</v>
      </c>
      <c r="R770" s="82" t="str">
        <f aca="false">VLOOKUP(J770,ingredient!$N$4:$O$553,2,0)</f>
        <v>dhaniya patta</v>
      </c>
      <c r="U770" s="81" t="str">
        <f aca="false">I770</f>
        <v>Mix Veg Poha</v>
      </c>
      <c r="V770" s="81" t="n">
        <f aca="false">VLOOKUP(U770,recipe_ingred_list!$A$2:$B$300,2,0)</f>
        <v>47</v>
      </c>
      <c r="W770" s="81" t="str">
        <f aca="false">"/recipes/"&amp;VLOOKUP(U770,recipe_ingred_list!$A$2:$C$300,3,0)&amp;"/detail/"</f>
        <v>/recipes/mix-veg-poha/detail/</v>
      </c>
      <c r="X770" s="81" t="str">
        <f aca="false">J770</f>
        <v>Dhania patta</v>
      </c>
      <c r="Y770" s="81" t="str">
        <f aca="false">R770</f>
        <v>dhaniya patta</v>
      </c>
      <c r="Z770" s="94" t="n">
        <f aca="false">VLOOKUP(Y770,recipe_ingred_list!$D$2:$E$500,2,0)</f>
        <v>66</v>
      </c>
      <c r="AA770" s="61" t="n">
        <f aca="false">K770</f>
        <v>0</v>
      </c>
      <c r="AB770" s="61" t="n">
        <f aca="false">L770</f>
        <v>0</v>
      </c>
      <c r="AC770" s="61" t="n">
        <f aca="false">VLOOKUP(AB770,recipe_ingred_list!$K$2:$M$7,3,0)</f>
        <v>2</v>
      </c>
      <c r="AD770" s="61" t="n">
        <f aca="false">M770</f>
        <v>3</v>
      </c>
      <c r="AE770" s="61" t="str">
        <f aca="false">N770</f>
        <v>ltr</v>
      </c>
      <c r="AF770" s="61" t="n">
        <f aca="false">VLOOKUP(AE770,recipe_ingred_list!$K$16:$M$25,3,0)</f>
        <v>1</v>
      </c>
      <c r="AG770" s="61" t="n">
        <f aca="false">O770</f>
        <v>0</v>
      </c>
      <c r="AH770" s="61" t="n">
        <f aca="false">P770</f>
        <v>0</v>
      </c>
      <c r="AI770" s="61" t="n">
        <f aca="false">VLOOKUP(AH770,recipe_ingred_list!$K$29:$M$34,3,0)</f>
        <v>3</v>
      </c>
      <c r="AJ770" s="61" t="str">
        <f aca="false">IF(Q770="","",Q770)</f>
        <v/>
      </c>
      <c r="AK770" s="61" t="n">
        <f aca="false">AK769+1</f>
        <v>770</v>
      </c>
      <c r="AL770" s="61" t="str">
        <f aca="false">Y770</f>
        <v>dhaniya patta</v>
      </c>
      <c r="AM770" s="81" t="str">
        <f aca="false">"a = Client().post('"&amp;W770&amp;"', {'recipe' : '"&amp;V770&amp;"', 'ingredient' : '"&amp;Z770&amp;"', 'name' : '"&amp;X770&amp;"', 'mass_unit' : '"&amp;AC770&amp;"', 'mass_quantity' : '"&amp;ROUND(AA770,3)&amp;"', 'volume_unit' : '"&amp;AF770&amp;"', 'volume_quantity' : '"&amp;ROUND(AD770,3)&amp;"', 'pieces_unit' : '"&amp;AI770&amp;"', 'pieces_quantity' : '"&amp;ROUND(AG770,3)&amp;"', 'cooking_notes' : '"&amp;AJ770&amp;"'}).status_code; print('%s :: %s :: %s :: %s :: %s' %(a,"&amp;G770&amp;",'"&amp;X770&amp;"','"&amp;Y770&amp;"','"&amp;U770&amp;"'))"</f>
        <v>a = Client().post('/recipes/mix-veg-poha/detail/', {'recipe' : '47', 'ingredient' : '66', 'name' : 'Dhania patta', 'mass_unit' : '2', 'mass_quantity' : '0', 'volume_unit' : '1', 'volume_quantity' : '3', 'pieces_unit' : '3', 'pieces_quantity' : '0', 'cooking_notes' : ''}).status_code; print('%s :: %s :: %s :: %s :: %s' %(a,770,'Dhania patta','dhaniya patta','Mix Veg Poha'))</v>
      </c>
    </row>
    <row r="771" customFormat="false" ht="13.8" hidden="false" customHeight="false" outlineLevel="0" collapsed="false">
      <c r="G771" s="80" t="n">
        <v>771</v>
      </c>
      <c r="H771" s="83"/>
      <c r="I771" s="83" t="s">
        <v>250</v>
      </c>
      <c r="J771" s="83" t="s">
        <v>802</v>
      </c>
      <c r="M771" s="61" t="n">
        <v>1</v>
      </c>
      <c r="N771" s="61" t="s">
        <v>13</v>
      </c>
      <c r="R771" s="82" t="str">
        <f aca="false">VLOOKUP(J771,ingredient!$N$4:$O$553,2,0)</f>
        <v>adrak</v>
      </c>
      <c r="U771" s="81" t="str">
        <f aca="false">I771</f>
        <v>Mix Veg Poha</v>
      </c>
      <c r="V771" s="81" t="n">
        <f aca="false">VLOOKUP(U771,recipe_ingred_list!$A$2:$B$300,2,0)</f>
        <v>47</v>
      </c>
      <c r="W771" s="81" t="str">
        <f aca="false">"/recipes/"&amp;VLOOKUP(U771,recipe_ingred_list!$A$2:$C$300,3,0)&amp;"/detail/"</f>
        <v>/recipes/mix-veg-poha/detail/</v>
      </c>
      <c r="X771" s="81" t="str">
        <f aca="false">J771</f>
        <v>ginger</v>
      </c>
      <c r="Y771" s="81" t="str">
        <f aca="false">R771</f>
        <v>adrak</v>
      </c>
      <c r="Z771" s="94" t="n">
        <f aca="false">VLOOKUP(Y771,recipe_ingred_list!$D$2:$E$500,2,0)</f>
        <v>1</v>
      </c>
      <c r="AA771" s="61" t="n">
        <f aca="false">K771</f>
        <v>0</v>
      </c>
      <c r="AB771" s="61" t="n">
        <f aca="false">L771</f>
        <v>0</v>
      </c>
      <c r="AC771" s="61" t="n">
        <f aca="false">VLOOKUP(AB771,recipe_ingred_list!$K$2:$M$7,3,0)</f>
        <v>2</v>
      </c>
      <c r="AD771" s="61" t="n">
        <f aca="false">M771</f>
        <v>1</v>
      </c>
      <c r="AE771" s="61" t="str">
        <f aca="false">N771</f>
        <v>ltr</v>
      </c>
      <c r="AF771" s="61" t="n">
        <f aca="false">VLOOKUP(AE771,recipe_ingred_list!$K$16:$M$25,3,0)</f>
        <v>1</v>
      </c>
      <c r="AG771" s="61" t="n">
        <f aca="false">O771</f>
        <v>0</v>
      </c>
      <c r="AH771" s="61" t="n">
        <f aca="false">P771</f>
        <v>0</v>
      </c>
      <c r="AI771" s="61" t="n">
        <f aca="false">VLOOKUP(AH771,recipe_ingred_list!$K$29:$M$34,3,0)</f>
        <v>3</v>
      </c>
      <c r="AJ771" s="61" t="str">
        <f aca="false">IF(Q771="","",Q771)</f>
        <v/>
      </c>
      <c r="AK771" s="61" t="n">
        <f aca="false">AK770+1</f>
        <v>771</v>
      </c>
      <c r="AL771" s="61" t="str">
        <f aca="false">Y771</f>
        <v>adrak</v>
      </c>
      <c r="AM771" s="81" t="str">
        <f aca="false">"a = Client().post('"&amp;W771&amp;"', {'recipe' : '"&amp;V771&amp;"', 'ingredient' : '"&amp;Z771&amp;"', 'name' : '"&amp;X771&amp;"', 'mass_unit' : '"&amp;AC771&amp;"', 'mass_quantity' : '"&amp;ROUND(AA771,3)&amp;"', 'volume_unit' : '"&amp;AF771&amp;"', 'volume_quantity' : '"&amp;ROUND(AD771,3)&amp;"', 'pieces_unit' : '"&amp;AI771&amp;"', 'pieces_quantity' : '"&amp;ROUND(AG771,3)&amp;"', 'cooking_notes' : '"&amp;AJ771&amp;"'}).status_code; print('%s :: %s :: %s :: %s :: %s' %(a,"&amp;G771&amp;",'"&amp;X771&amp;"','"&amp;Y771&amp;"','"&amp;U771&amp;"'))"</f>
        <v>a = Client().post('/recipes/mix-veg-poha/detail/', {'recipe' : '47', 'ingredient' : '1', 'name' : 'ginger', 'mass_unit' : '2', 'mass_quantity' : '0', 'volume_unit' : '1', 'volume_quantity' : '1', 'pieces_unit' : '3', 'pieces_quantity' : '0', 'cooking_notes' : ''}).status_code; print('%s :: %s :: %s :: %s :: %s' %(a,771,'ginger','adrak','Mix Veg Poha'))</v>
      </c>
    </row>
    <row r="772" customFormat="false" ht="13.8" hidden="false" customHeight="false" outlineLevel="0" collapsed="false">
      <c r="G772" s="80" t="n">
        <v>772</v>
      </c>
      <c r="H772" s="83"/>
      <c r="I772" s="83" t="s">
        <v>250</v>
      </c>
      <c r="J772" s="83" t="s">
        <v>803</v>
      </c>
      <c r="M772" s="61" t="n">
        <v>2</v>
      </c>
      <c r="N772" s="61" t="s">
        <v>13</v>
      </c>
      <c r="R772" s="82" t="str">
        <f aca="false">VLOOKUP(J772,ingredient!$N$4:$O$553,2,0)</f>
        <v>kadi patta</v>
      </c>
      <c r="U772" s="81" t="str">
        <f aca="false">I772</f>
        <v>Mix Veg Poha</v>
      </c>
      <c r="V772" s="81" t="n">
        <f aca="false">VLOOKUP(U772,recipe_ingred_list!$A$2:$B$300,2,0)</f>
        <v>47</v>
      </c>
      <c r="W772" s="81" t="str">
        <f aca="false">"/recipes/"&amp;VLOOKUP(U772,recipe_ingred_list!$A$2:$C$300,3,0)&amp;"/detail/"</f>
        <v>/recipes/mix-veg-poha/detail/</v>
      </c>
      <c r="X772" s="81" t="str">
        <f aca="false">J772</f>
        <v>kadipatta</v>
      </c>
      <c r="Y772" s="81" t="str">
        <f aca="false">R772</f>
        <v>kadi patta</v>
      </c>
      <c r="Z772" s="94" t="n">
        <f aca="false">VLOOKUP(Y772,recipe_ingred_list!$D$2:$E$500,2,0)</f>
        <v>105</v>
      </c>
      <c r="AA772" s="61" t="n">
        <f aca="false">K772</f>
        <v>0</v>
      </c>
      <c r="AB772" s="61" t="n">
        <f aca="false">L772</f>
        <v>0</v>
      </c>
      <c r="AC772" s="61" t="n">
        <f aca="false">VLOOKUP(AB772,recipe_ingred_list!$K$2:$M$7,3,0)</f>
        <v>2</v>
      </c>
      <c r="AD772" s="61" t="n">
        <f aca="false">M772</f>
        <v>2</v>
      </c>
      <c r="AE772" s="61" t="str">
        <f aca="false">N772</f>
        <v>ltr</v>
      </c>
      <c r="AF772" s="61" t="n">
        <f aca="false">VLOOKUP(AE772,recipe_ingred_list!$K$16:$M$25,3,0)</f>
        <v>1</v>
      </c>
      <c r="AG772" s="61" t="n">
        <f aca="false">O772</f>
        <v>0</v>
      </c>
      <c r="AH772" s="61" t="n">
        <f aca="false">P772</f>
        <v>0</v>
      </c>
      <c r="AI772" s="61" t="n">
        <f aca="false">VLOOKUP(AH772,recipe_ingred_list!$K$29:$M$34,3,0)</f>
        <v>3</v>
      </c>
      <c r="AJ772" s="61" t="str">
        <f aca="false">IF(Q772="","",Q772)</f>
        <v/>
      </c>
      <c r="AK772" s="61" t="n">
        <f aca="false">AK771+1</f>
        <v>772</v>
      </c>
      <c r="AL772" s="61" t="str">
        <f aca="false">Y772</f>
        <v>kadi patta</v>
      </c>
      <c r="AM772" s="81" t="str">
        <f aca="false">"a = Client().post('"&amp;W772&amp;"', {'recipe' : '"&amp;V772&amp;"', 'ingredient' : '"&amp;Z772&amp;"', 'name' : '"&amp;X772&amp;"', 'mass_unit' : '"&amp;AC772&amp;"', 'mass_quantity' : '"&amp;ROUND(AA772,3)&amp;"', 'volume_unit' : '"&amp;AF772&amp;"', 'volume_quantity' : '"&amp;ROUND(AD772,3)&amp;"', 'pieces_unit' : '"&amp;AI772&amp;"', 'pieces_quantity' : '"&amp;ROUND(AG772,3)&amp;"', 'cooking_notes' : '"&amp;AJ772&amp;"'}).status_code; print('%s :: %s :: %s :: %s :: %s' %(a,"&amp;G772&amp;",'"&amp;X772&amp;"','"&amp;Y772&amp;"','"&amp;U772&amp;"'))"</f>
        <v>a = Client().post('/recipes/mix-veg-poha/detail/', {'recipe' : '47', 'ingredient' : '105', 'name' : 'kadipatta', 'mass_unit' : '2', 'mass_quantity' : '0', 'volume_unit' : '1', 'volume_quantity' : '2', 'pieces_unit' : '3', 'pieces_quantity' : '0', 'cooking_notes' : ''}).status_code; print('%s :: %s :: %s :: %s :: %s' %(a,772,'kadipatta','kadi patta','Mix Veg Poha'))</v>
      </c>
    </row>
    <row r="773" customFormat="false" ht="13.8" hidden="false" customHeight="false" outlineLevel="0" collapsed="false">
      <c r="G773" s="80" t="n">
        <v>773</v>
      </c>
      <c r="H773" s="83"/>
      <c r="I773" s="83" t="s">
        <v>250</v>
      </c>
      <c r="J773" s="83" t="s">
        <v>804</v>
      </c>
      <c r="K773" s="61" t="n">
        <v>25</v>
      </c>
      <c r="L773" s="61" t="s">
        <v>7</v>
      </c>
      <c r="R773" s="82" t="str">
        <f aca="false">VLOOKUP(J773,ingredient!$N$4:$O$553,2,0)</f>
        <v>jada poha</v>
      </c>
      <c r="U773" s="81" t="str">
        <f aca="false">I773</f>
        <v>Mix Veg Poha</v>
      </c>
      <c r="V773" s="81" t="n">
        <f aca="false">VLOOKUP(U773,recipe_ingred_list!$A$2:$B$300,2,0)</f>
        <v>47</v>
      </c>
      <c r="W773" s="81" t="str">
        <f aca="false">"/recipes/"&amp;VLOOKUP(U773,recipe_ingred_list!$A$2:$C$300,3,0)&amp;"/detail/"</f>
        <v>/recipes/mix-veg-poha/detail/</v>
      </c>
      <c r="X773" s="81" t="str">
        <f aca="false">J773</f>
        <v>Jada Poha   </v>
      </c>
      <c r="Y773" s="81" t="str">
        <f aca="false">R773</f>
        <v>jada poha</v>
      </c>
      <c r="Z773" s="94" t="n">
        <f aca="false">VLOOKUP(Y773,recipe_ingred_list!$D$2:$E$500,2,0)</f>
        <v>100</v>
      </c>
      <c r="AA773" s="61" t="n">
        <f aca="false">K773</f>
        <v>25</v>
      </c>
      <c r="AB773" s="61" t="str">
        <f aca="false">L773</f>
        <v>kg</v>
      </c>
      <c r="AC773" s="61" t="n">
        <f aca="false">VLOOKUP(AB773,recipe_ingred_list!$K$2:$M$7,3,0)</f>
        <v>2</v>
      </c>
      <c r="AD773" s="61" t="n">
        <f aca="false">M773</f>
        <v>0</v>
      </c>
      <c r="AE773" s="61" t="n">
        <f aca="false">N773</f>
        <v>0</v>
      </c>
      <c r="AF773" s="61" t="n">
        <f aca="false">VLOOKUP(AE773,recipe_ingred_list!$K$16:$M$25,3,0)</f>
        <v>1</v>
      </c>
      <c r="AG773" s="61" t="n">
        <f aca="false">O773</f>
        <v>0</v>
      </c>
      <c r="AH773" s="61" t="n">
        <f aca="false">P773</f>
        <v>0</v>
      </c>
      <c r="AI773" s="61" t="n">
        <f aca="false">VLOOKUP(AH773,recipe_ingred_list!$K$29:$M$34,3,0)</f>
        <v>3</v>
      </c>
      <c r="AJ773" s="61" t="str">
        <f aca="false">IF(Q773="","",Q773)</f>
        <v/>
      </c>
      <c r="AK773" s="61" t="n">
        <f aca="false">AK772+1</f>
        <v>773</v>
      </c>
      <c r="AL773" s="61" t="str">
        <f aca="false">Y773</f>
        <v>jada poha</v>
      </c>
      <c r="AM773" s="81" t="str">
        <f aca="false">"a = Client().post('"&amp;W773&amp;"', {'recipe' : '"&amp;V773&amp;"', 'ingredient' : '"&amp;Z773&amp;"', 'name' : '"&amp;X773&amp;"', 'mass_unit' : '"&amp;AC773&amp;"', 'mass_quantity' : '"&amp;ROUND(AA773,3)&amp;"', 'volume_unit' : '"&amp;AF773&amp;"', 'volume_quantity' : '"&amp;ROUND(AD773,3)&amp;"', 'pieces_unit' : '"&amp;AI773&amp;"', 'pieces_quantity' : '"&amp;ROUND(AG773,3)&amp;"', 'cooking_notes' : '"&amp;AJ773&amp;"'}).status_code; print('%s :: %s :: %s :: %s :: %s' %(a,"&amp;G773&amp;",'"&amp;X773&amp;"','"&amp;Y773&amp;"','"&amp;U773&amp;"'))"</f>
        <v>a = Client().post('/recipes/mix-veg-poha/detail/', {'recipe' : '47', 'ingredient' : '100', 'name' : 'Jada Poha   ', 'mass_unit' : '2', 'mass_quantity' : '25', 'volume_unit' : '1', 'volume_quantity' : '0', 'pieces_unit' : '3', 'pieces_quantity' : '0', 'cooking_notes' : ''}).status_code; print('%s :: %s :: %s :: %s :: %s' %(a,773,'Jada Poha   ','jada poha','Mix Veg Poha'))</v>
      </c>
    </row>
    <row r="774" customFormat="false" ht="13.8" hidden="false" customHeight="false" outlineLevel="0" collapsed="false">
      <c r="G774" s="80" t="n">
        <v>774</v>
      </c>
      <c r="H774" s="83"/>
      <c r="I774" s="83" t="s">
        <v>250</v>
      </c>
      <c r="J774" s="83" t="s">
        <v>805</v>
      </c>
      <c r="M774" s="61" t="n">
        <v>7.5</v>
      </c>
      <c r="N774" s="61" t="s">
        <v>13</v>
      </c>
      <c r="R774" s="82" t="str">
        <f aca="false">VLOOKUP(J774,ingredient!$N$4:$O$553,2,0)</f>
        <v>gound nut oil</v>
      </c>
      <c r="U774" s="81" t="str">
        <f aca="false">I774</f>
        <v>Mix Veg Poha</v>
      </c>
      <c r="V774" s="81" t="n">
        <f aca="false">VLOOKUP(U774,recipe_ingred_list!$A$2:$B$300,2,0)</f>
        <v>47</v>
      </c>
      <c r="W774" s="81" t="str">
        <f aca="false">"/recipes/"&amp;VLOOKUP(U774,recipe_ingred_list!$A$2:$C$300,3,0)&amp;"/detail/"</f>
        <v>/recipes/mix-veg-poha/detail/</v>
      </c>
      <c r="X774" s="81" t="str">
        <f aca="false">J774</f>
        <v>oil(groundnut)</v>
      </c>
      <c r="Y774" s="81" t="str">
        <f aca="false">R774</f>
        <v>gound nut oil</v>
      </c>
      <c r="Z774" s="94" t="n">
        <f aca="false">VLOOKUP(Y774,recipe_ingred_list!$D$2:$E$500,2,0)</f>
        <v>83</v>
      </c>
      <c r="AA774" s="61" t="n">
        <f aca="false">K774</f>
        <v>0</v>
      </c>
      <c r="AB774" s="61" t="n">
        <f aca="false">L774</f>
        <v>0</v>
      </c>
      <c r="AC774" s="61" t="n">
        <f aca="false">VLOOKUP(AB774,recipe_ingred_list!$K$2:$M$7,3,0)</f>
        <v>2</v>
      </c>
      <c r="AD774" s="61" t="n">
        <f aca="false">M774</f>
        <v>7.5</v>
      </c>
      <c r="AE774" s="61" t="str">
        <f aca="false">N774</f>
        <v>ltr</v>
      </c>
      <c r="AF774" s="61" t="n">
        <f aca="false">VLOOKUP(AE774,recipe_ingred_list!$K$16:$M$25,3,0)</f>
        <v>1</v>
      </c>
      <c r="AG774" s="61" t="n">
        <f aca="false">O774</f>
        <v>0</v>
      </c>
      <c r="AH774" s="61" t="n">
        <f aca="false">P774</f>
        <v>0</v>
      </c>
      <c r="AI774" s="61" t="n">
        <f aca="false">VLOOKUP(AH774,recipe_ingred_list!$K$29:$M$34,3,0)</f>
        <v>3</v>
      </c>
      <c r="AJ774" s="61" t="str">
        <f aca="false">IF(Q774="","",Q774)</f>
        <v/>
      </c>
      <c r="AK774" s="61" t="n">
        <f aca="false">AK773+1</f>
        <v>774</v>
      </c>
      <c r="AL774" s="61" t="str">
        <f aca="false">Y774</f>
        <v>gound nut oil</v>
      </c>
      <c r="AM774" s="81" t="str">
        <f aca="false">"a = Client().post('"&amp;W774&amp;"', {'recipe' : '"&amp;V774&amp;"', 'ingredient' : '"&amp;Z774&amp;"', 'name' : '"&amp;X774&amp;"', 'mass_unit' : '"&amp;AC774&amp;"', 'mass_quantity' : '"&amp;ROUND(AA774,3)&amp;"', 'volume_unit' : '"&amp;AF774&amp;"', 'volume_quantity' : '"&amp;ROUND(AD774,3)&amp;"', 'pieces_unit' : '"&amp;AI774&amp;"', 'pieces_quantity' : '"&amp;ROUND(AG774,3)&amp;"', 'cooking_notes' : '"&amp;AJ774&amp;"'}).status_code; print('%s :: %s :: %s :: %s :: %s' %(a,"&amp;G774&amp;",'"&amp;X774&amp;"','"&amp;Y774&amp;"','"&amp;U774&amp;"'))"</f>
        <v>a = Client().post('/recipes/mix-veg-poha/detail/', {'recipe' : '47', 'ingredient' : '83', 'name' : 'oil(groundnut)', 'mass_unit' : '2', 'mass_quantity' : '0', 'volume_unit' : '1', 'volume_quantity' : '7.5', 'pieces_unit' : '3', 'pieces_quantity' : '0', 'cooking_notes' : ''}).status_code; print('%s :: %s :: %s :: %s :: %s' %(a,774,'oil(groundnut)','gound nut oil','Mix Veg Poha'))</v>
      </c>
    </row>
    <row r="775" customFormat="false" ht="13.8" hidden="false" customHeight="false" outlineLevel="0" collapsed="false">
      <c r="G775" s="80" t="n">
        <v>775</v>
      </c>
      <c r="H775" s="83"/>
      <c r="I775" s="83" t="s">
        <v>250</v>
      </c>
      <c r="J775" s="83" t="s">
        <v>570</v>
      </c>
      <c r="M775" s="61" t="n">
        <v>2</v>
      </c>
      <c r="N775" s="61" t="s">
        <v>20</v>
      </c>
      <c r="R775" s="82" t="str">
        <f aca="false">VLOOKUP(J775,ingredient!$N$4:$O$553,2,0)</f>
        <v>rai</v>
      </c>
      <c r="U775" s="81" t="str">
        <f aca="false">I775</f>
        <v>Mix Veg Poha</v>
      </c>
      <c r="V775" s="81" t="n">
        <f aca="false">VLOOKUP(U775,recipe_ingred_list!$A$2:$B$300,2,0)</f>
        <v>47</v>
      </c>
      <c r="W775" s="81" t="str">
        <f aca="false">"/recipes/"&amp;VLOOKUP(U775,recipe_ingred_list!$A$2:$C$300,3,0)&amp;"/detail/"</f>
        <v>/recipes/mix-veg-poha/detail/</v>
      </c>
      <c r="X775" s="81" t="str">
        <f aca="false">J775</f>
        <v>Rai</v>
      </c>
      <c r="Y775" s="81" t="str">
        <f aca="false">R775</f>
        <v>rai</v>
      </c>
      <c r="Z775" s="94" t="n">
        <f aca="false">VLOOKUP(Y775,recipe_ingred_list!$D$2:$E$500,2,0)</f>
        <v>164</v>
      </c>
      <c r="AA775" s="61" t="n">
        <f aca="false">K775</f>
        <v>0</v>
      </c>
      <c r="AB775" s="61" t="n">
        <f aca="false">L775</f>
        <v>0</v>
      </c>
      <c r="AC775" s="61" t="n">
        <f aca="false">VLOOKUP(AB775,recipe_ingred_list!$K$2:$M$7,3,0)</f>
        <v>2</v>
      </c>
      <c r="AD775" s="61" t="n">
        <f aca="false">M775</f>
        <v>2</v>
      </c>
      <c r="AE775" s="61" t="str">
        <f aca="false">N775</f>
        <v>cup</v>
      </c>
      <c r="AF775" s="61" t="n">
        <f aca="false">VLOOKUP(AE775,recipe_ingred_list!$K$16:$M$25,3,0)</f>
        <v>5</v>
      </c>
      <c r="AG775" s="61" t="n">
        <f aca="false">O775</f>
        <v>0</v>
      </c>
      <c r="AH775" s="61" t="n">
        <f aca="false">P775</f>
        <v>0</v>
      </c>
      <c r="AI775" s="61" t="n">
        <f aca="false">VLOOKUP(AH775,recipe_ingred_list!$K$29:$M$34,3,0)</f>
        <v>3</v>
      </c>
      <c r="AJ775" s="61" t="str">
        <f aca="false">IF(Q775="","",Q775)</f>
        <v/>
      </c>
      <c r="AK775" s="61" t="n">
        <f aca="false">AK774+1</f>
        <v>775</v>
      </c>
      <c r="AL775" s="61" t="str">
        <f aca="false">Y775</f>
        <v>rai</v>
      </c>
      <c r="AM775" s="81" t="str">
        <f aca="false">"a = Client().post('"&amp;W775&amp;"', {'recipe' : '"&amp;V775&amp;"', 'ingredient' : '"&amp;Z775&amp;"', 'name' : '"&amp;X775&amp;"', 'mass_unit' : '"&amp;AC775&amp;"', 'mass_quantity' : '"&amp;ROUND(AA775,3)&amp;"', 'volume_unit' : '"&amp;AF775&amp;"', 'volume_quantity' : '"&amp;ROUND(AD775,3)&amp;"', 'pieces_unit' : '"&amp;AI775&amp;"', 'pieces_quantity' : '"&amp;ROUND(AG775,3)&amp;"', 'cooking_notes' : '"&amp;AJ775&amp;"'}).status_code; print('%s :: %s :: %s :: %s :: %s' %(a,"&amp;G775&amp;",'"&amp;X775&amp;"','"&amp;Y775&amp;"','"&amp;U775&amp;"'))"</f>
        <v>a = Client().post('/recipes/mix-veg-poha/detail/', {'recipe' : '47', 'ingredient' : '164', 'name' : 'Rai', 'mass_unit' : '2', 'mass_quantity' : '0', 'volume_unit' : '5', 'volume_quantity' : '2', 'pieces_unit' : '3', 'pieces_quantity' : '0', 'cooking_notes' : ''}).status_code; print('%s :: %s :: %s :: %s :: %s' %(a,775,'Rai','rai','Mix Veg Poha'))</v>
      </c>
    </row>
    <row r="776" customFormat="false" ht="13.8" hidden="false" customHeight="false" outlineLevel="0" collapsed="false">
      <c r="G776" s="80" t="n">
        <v>776</v>
      </c>
      <c r="H776" s="83"/>
      <c r="I776" s="83" t="s">
        <v>250</v>
      </c>
      <c r="J776" s="83" t="s">
        <v>14</v>
      </c>
      <c r="M776" s="61" t="n">
        <v>2</v>
      </c>
      <c r="N776" s="61" t="s">
        <v>20</v>
      </c>
      <c r="R776" s="82" t="str">
        <f aca="false">VLOOKUP(J776,ingredient!$N$4:$O$553,2,0)</f>
        <v>jeera</v>
      </c>
      <c r="U776" s="81" t="str">
        <f aca="false">I776</f>
        <v>Mix Veg Poha</v>
      </c>
      <c r="V776" s="81" t="n">
        <f aca="false">VLOOKUP(U776,recipe_ingred_list!$A$2:$B$300,2,0)</f>
        <v>47</v>
      </c>
      <c r="W776" s="81" t="str">
        <f aca="false">"/recipes/"&amp;VLOOKUP(U776,recipe_ingred_list!$A$2:$C$300,3,0)&amp;"/detail/"</f>
        <v>/recipes/mix-veg-poha/detail/</v>
      </c>
      <c r="X776" s="81" t="str">
        <f aca="false">J776</f>
        <v>Jeera</v>
      </c>
      <c r="Y776" s="81" t="str">
        <f aca="false">R776</f>
        <v>jeera</v>
      </c>
      <c r="Z776" s="94" t="n">
        <f aca="false">VLOOKUP(Y776,recipe_ingred_list!$D$2:$E$500,2,0)</f>
        <v>102</v>
      </c>
      <c r="AA776" s="61" t="n">
        <f aca="false">K776</f>
        <v>0</v>
      </c>
      <c r="AB776" s="61" t="n">
        <f aca="false">L776</f>
        <v>0</v>
      </c>
      <c r="AC776" s="61" t="n">
        <f aca="false">VLOOKUP(AB776,recipe_ingred_list!$K$2:$M$7,3,0)</f>
        <v>2</v>
      </c>
      <c r="AD776" s="61" t="n">
        <f aca="false">M776</f>
        <v>2</v>
      </c>
      <c r="AE776" s="61" t="str">
        <f aca="false">N776</f>
        <v>cup</v>
      </c>
      <c r="AF776" s="61" t="n">
        <f aca="false">VLOOKUP(AE776,recipe_ingred_list!$K$16:$M$25,3,0)</f>
        <v>5</v>
      </c>
      <c r="AG776" s="61" t="n">
        <f aca="false">O776</f>
        <v>0</v>
      </c>
      <c r="AH776" s="61" t="n">
        <f aca="false">P776</f>
        <v>0</v>
      </c>
      <c r="AI776" s="61" t="n">
        <f aca="false">VLOOKUP(AH776,recipe_ingred_list!$K$29:$M$34,3,0)</f>
        <v>3</v>
      </c>
      <c r="AJ776" s="61" t="str">
        <f aca="false">IF(Q776="","",Q776)</f>
        <v/>
      </c>
      <c r="AK776" s="61" t="n">
        <f aca="false">AK775+1</f>
        <v>776</v>
      </c>
      <c r="AL776" s="61" t="str">
        <f aca="false">Y776</f>
        <v>jeera</v>
      </c>
      <c r="AM776" s="81" t="str">
        <f aca="false">"a = Client().post('"&amp;W776&amp;"', {'recipe' : '"&amp;V776&amp;"', 'ingredient' : '"&amp;Z776&amp;"', 'name' : '"&amp;X776&amp;"', 'mass_unit' : '"&amp;AC776&amp;"', 'mass_quantity' : '"&amp;ROUND(AA776,3)&amp;"', 'volume_unit' : '"&amp;AF776&amp;"', 'volume_quantity' : '"&amp;ROUND(AD776,3)&amp;"', 'pieces_unit' : '"&amp;AI776&amp;"', 'pieces_quantity' : '"&amp;ROUND(AG776,3)&amp;"', 'cooking_notes' : '"&amp;AJ776&amp;"'}).status_code; print('%s :: %s :: %s :: %s :: %s' %(a,"&amp;G776&amp;",'"&amp;X776&amp;"','"&amp;Y776&amp;"','"&amp;U776&amp;"'))"</f>
        <v>a = Client().post('/recipes/mix-veg-poha/detail/', {'recipe' : '47', 'ingredient' : '102', 'name' : 'Jeera', 'mass_unit' : '2', 'mass_quantity' : '0', 'volume_unit' : '5', 'volume_quantity' : '2', 'pieces_unit' : '3', 'pieces_quantity' : '0', 'cooking_notes' : ''}).status_code; print('%s :: %s :: %s :: %s :: %s' %(a,776,'Jeera','jeera','Mix Veg Poha'))</v>
      </c>
    </row>
    <row r="777" customFormat="false" ht="13.8" hidden="false" customHeight="false" outlineLevel="0" collapsed="false">
      <c r="G777" s="80" t="n">
        <v>777</v>
      </c>
      <c r="H777" s="83"/>
      <c r="I777" s="83" t="s">
        <v>250</v>
      </c>
      <c r="J777" s="83" t="s">
        <v>806</v>
      </c>
      <c r="K777" s="61" t="n">
        <v>3</v>
      </c>
      <c r="L777" s="61" t="s">
        <v>7</v>
      </c>
      <c r="R777" s="82" t="str">
        <f aca="false">VLOOKUP(J777,ingredient!$N$4:$O$553,2,0)</f>
        <v>singdana</v>
      </c>
      <c r="U777" s="81" t="str">
        <f aca="false">I777</f>
        <v>Mix Veg Poha</v>
      </c>
      <c r="V777" s="81" t="n">
        <f aca="false">VLOOKUP(U777,recipe_ingred_list!$A$2:$B$300,2,0)</f>
        <v>47</v>
      </c>
      <c r="W777" s="81" t="str">
        <f aca="false">"/recipes/"&amp;VLOOKUP(U777,recipe_ingred_list!$A$2:$C$300,3,0)&amp;"/detail/"</f>
        <v>/recipes/mix-veg-poha/detail/</v>
      </c>
      <c r="X777" s="81" t="str">
        <f aca="false">J777</f>
        <v>akkha singdana</v>
      </c>
      <c r="Y777" s="81" t="str">
        <f aca="false">R777</f>
        <v>singdana</v>
      </c>
      <c r="Z777" s="94" t="n">
        <f aca="false">VLOOKUP(Y777,recipe_ingred_list!$D$2:$E$500,2,0)</f>
        <v>183</v>
      </c>
      <c r="AA777" s="61" t="n">
        <f aca="false">K777</f>
        <v>3</v>
      </c>
      <c r="AB777" s="61" t="str">
        <f aca="false">L777</f>
        <v>kg</v>
      </c>
      <c r="AC777" s="61" t="n">
        <f aca="false">VLOOKUP(AB777,recipe_ingred_list!$K$2:$M$7,3,0)</f>
        <v>2</v>
      </c>
      <c r="AD777" s="61" t="n">
        <f aca="false">M777</f>
        <v>0</v>
      </c>
      <c r="AE777" s="61" t="n">
        <f aca="false">N777</f>
        <v>0</v>
      </c>
      <c r="AF777" s="61" t="n">
        <f aca="false">VLOOKUP(AE777,recipe_ingred_list!$K$16:$M$25,3,0)</f>
        <v>1</v>
      </c>
      <c r="AG777" s="61" t="n">
        <f aca="false">O777</f>
        <v>0</v>
      </c>
      <c r="AH777" s="61" t="n">
        <f aca="false">P777</f>
        <v>0</v>
      </c>
      <c r="AI777" s="61" t="n">
        <f aca="false">VLOOKUP(AH777,recipe_ingred_list!$K$29:$M$34,3,0)</f>
        <v>3</v>
      </c>
      <c r="AJ777" s="61" t="str">
        <f aca="false">IF(Q777="","",Q777)</f>
        <v/>
      </c>
      <c r="AK777" s="61" t="n">
        <f aca="false">AK776+1</f>
        <v>777</v>
      </c>
      <c r="AL777" s="61" t="str">
        <f aca="false">Y777</f>
        <v>singdana</v>
      </c>
      <c r="AM777" s="81" t="str">
        <f aca="false">"a = Client().post('"&amp;W777&amp;"', {'recipe' : '"&amp;V777&amp;"', 'ingredient' : '"&amp;Z777&amp;"', 'name' : '"&amp;X777&amp;"', 'mass_unit' : '"&amp;AC777&amp;"', 'mass_quantity' : '"&amp;ROUND(AA777,3)&amp;"', 'volume_unit' : '"&amp;AF777&amp;"', 'volume_quantity' : '"&amp;ROUND(AD777,3)&amp;"', 'pieces_unit' : '"&amp;AI777&amp;"', 'pieces_quantity' : '"&amp;ROUND(AG777,3)&amp;"', 'cooking_notes' : '"&amp;AJ777&amp;"'}).status_code; print('%s :: %s :: %s :: %s :: %s' %(a,"&amp;G777&amp;",'"&amp;X777&amp;"','"&amp;Y777&amp;"','"&amp;U777&amp;"'))"</f>
        <v>a = Client().post('/recipes/mix-veg-poha/detail/', {'recipe' : '47', 'ingredient' : '183', 'name' : 'akkha singdana', 'mass_unit' : '2', 'mass_quantity' : '3', 'volume_unit' : '1', 'volume_quantity' : '0', 'pieces_unit' : '3', 'pieces_quantity' : '0', 'cooking_notes' : ''}).status_code; print('%s :: %s :: %s :: %s :: %s' %(a,777,'akkha singdana','singdana','Mix Veg Poha'))</v>
      </c>
    </row>
    <row r="778" customFormat="false" ht="13.8" hidden="false" customHeight="false" outlineLevel="0" collapsed="false">
      <c r="G778" s="80" t="n">
        <v>778</v>
      </c>
      <c r="H778" s="83"/>
      <c r="I778" s="83" t="s">
        <v>250</v>
      </c>
      <c r="J778" s="83" t="s">
        <v>382</v>
      </c>
      <c r="M778" s="61" t="n">
        <v>1.5</v>
      </c>
      <c r="N778" s="61" t="s">
        <v>20</v>
      </c>
      <c r="R778" s="82" t="str">
        <f aca="false">VLOOKUP(J778,ingredient!$N$4:$O$553,2,0)</f>
        <v>haldi</v>
      </c>
      <c r="U778" s="81" t="str">
        <f aca="false">I778</f>
        <v>Mix Veg Poha</v>
      </c>
      <c r="V778" s="81" t="n">
        <f aca="false">VLOOKUP(U778,recipe_ingred_list!$A$2:$B$300,2,0)</f>
        <v>47</v>
      </c>
      <c r="W778" s="81" t="str">
        <f aca="false">"/recipes/"&amp;VLOOKUP(U778,recipe_ingred_list!$A$2:$C$300,3,0)&amp;"/detail/"</f>
        <v>/recipes/mix-veg-poha/detail/</v>
      </c>
      <c r="X778" s="81" t="str">
        <f aca="false">J778</f>
        <v>haldi</v>
      </c>
      <c r="Y778" s="81" t="str">
        <f aca="false">R778</f>
        <v>haldi</v>
      </c>
      <c r="Z778" s="94" t="n">
        <f aca="false">VLOOKUP(Y778,recipe_ingred_list!$D$2:$E$500,2,0)</f>
        <v>91</v>
      </c>
      <c r="AA778" s="61" t="n">
        <f aca="false">K778</f>
        <v>0</v>
      </c>
      <c r="AB778" s="61" t="n">
        <f aca="false">L778</f>
        <v>0</v>
      </c>
      <c r="AC778" s="61" t="n">
        <f aca="false">VLOOKUP(AB778,recipe_ingred_list!$K$2:$M$7,3,0)</f>
        <v>2</v>
      </c>
      <c r="AD778" s="61" t="n">
        <f aca="false">M778</f>
        <v>1.5</v>
      </c>
      <c r="AE778" s="61" t="str">
        <f aca="false">N778</f>
        <v>cup</v>
      </c>
      <c r="AF778" s="61" t="n">
        <f aca="false">VLOOKUP(AE778,recipe_ingred_list!$K$16:$M$25,3,0)</f>
        <v>5</v>
      </c>
      <c r="AG778" s="61" t="n">
        <f aca="false">O778</f>
        <v>0</v>
      </c>
      <c r="AH778" s="61" t="n">
        <f aca="false">P778</f>
        <v>0</v>
      </c>
      <c r="AI778" s="61" t="n">
        <f aca="false">VLOOKUP(AH778,recipe_ingred_list!$K$29:$M$34,3,0)</f>
        <v>3</v>
      </c>
      <c r="AJ778" s="61" t="str">
        <f aca="false">IF(Q778="","",Q778)</f>
        <v/>
      </c>
      <c r="AK778" s="61" t="n">
        <f aca="false">AK777+1</f>
        <v>778</v>
      </c>
      <c r="AL778" s="61" t="str">
        <f aca="false">Y778</f>
        <v>haldi</v>
      </c>
      <c r="AM778" s="81" t="str">
        <f aca="false">"a = Client().post('"&amp;W778&amp;"', {'recipe' : '"&amp;V778&amp;"', 'ingredient' : '"&amp;Z778&amp;"', 'name' : '"&amp;X778&amp;"', 'mass_unit' : '"&amp;AC778&amp;"', 'mass_quantity' : '"&amp;ROUND(AA778,3)&amp;"', 'volume_unit' : '"&amp;AF778&amp;"', 'volume_quantity' : '"&amp;ROUND(AD778,3)&amp;"', 'pieces_unit' : '"&amp;AI778&amp;"', 'pieces_quantity' : '"&amp;ROUND(AG778,3)&amp;"', 'cooking_notes' : '"&amp;AJ778&amp;"'}).status_code; print('%s :: %s :: %s :: %s :: %s' %(a,"&amp;G778&amp;",'"&amp;X778&amp;"','"&amp;Y778&amp;"','"&amp;U778&amp;"'))"</f>
        <v>a = Client().post('/recipes/mix-veg-poha/detail/', {'recipe' : '47', 'ingredient' : '91', 'name' : 'haldi', 'mass_unit' : '2', 'mass_quantity' : '0', 'volume_unit' : '5', 'volume_quantity' : '1.5', 'pieces_unit' : '3', 'pieces_quantity' : '0', 'cooking_notes' : ''}).status_code; print('%s :: %s :: %s :: %s :: %s' %(a,778,'haldi','haldi','Mix Veg Poha'))</v>
      </c>
    </row>
    <row r="779" customFormat="false" ht="13.8" hidden="false" customHeight="false" outlineLevel="0" collapsed="false">
      <c r="G779" s="80" t="n">
        <v>779</v>
      </c>
      <c r="H779" s="83"/>
      <c r="I779" s="83" t="s">
        <v>250</v>
      </c>
      <c r="J779" s="83" t="s">
        <v>807</v>
      </c>
      <c r="M779" s="61" t="n">
        <v>1</v>
      </c>
      <c r="N779" s="61" t="s">
        <v>20</v>
      </c>
      <c r="R779" s="82" t="str">
        <f aca="false">VLOOKUP(J779,ingredient!$N$4:$O$553,2,0)</f>
        <v>madrasi mirchi powder</v>
      </c>
      <c r="U779" s="81" t="str">
        <f aca="false">I779</f>
        <v>Mix Veg Poha</v>
      </c>
      <c r="V779" s="81" t="n">
        <f aca="false">VLOOKUP(U779,recipe_ingred_list!$A$2:$B$300,2,0)</f>
        <v>47</v>
      </c>
      <c r="W779" s="81" t="str">
        <f aca="false">"/recipes/"&amp;VLOOKUP(U779,recipe_ingred_list!$A$2:$C$300,3,0)&amp;"/detail/"</f>
        <v>/recipes/mix-veg-poha/detail/</v>
      </c>
      <c r="X779" s="81" t="str">
        <f aca="false">J779</f>
        <v>madrasi chili powder</v>
      </c>
      <c r="Y779" s="81" t="str">
        <f aca="false">R779</f>
        <v>madrasi mirchi powder</v>
      </c>
      <c r="Z779" s="94" t="n">
        <f aca="false">VLOOKUP(Y779,recipe_ingred_list!$D$2:$E$500,2,0)</f>
        <v>135</v>
      </c>
      <c r="AA779" s="61" t="n">
        <f aca="false">K779</f>
        <v>0</v>
      </c>
      <c r="AB779" s="61" t="n">
        <f aca="false">L779</f>
        <v>0</v>
      </c>
      <c r="AC779" s="61" t="n">
        <f aca="false">VLOOKUP(AB779,recipe_ingred_list!$K$2:$M$7,3,0)</f>
        <v>2</v>
      </c>
      <c r="AD779" s="61" t="n">
        <f aca="false">M779</f>
        <v>1</v>
      </c>
      <c r="AE779" s="61" t="str">
        <f aca="false">N779</f>
        <v>cup</v>
      </c>
      <c r="AF779" s="61" t="n">
        <f aca="false">VLOOKUP(AE779,recipe_ingred_list!$K$16:$M$25,3,0)</f>
        <v>5</v>
      </c>
      <c r="AG779" s="61" t="n">
        <f aca="false">O779</f>
        <v>0</v>
      </c>
      <c r="AH779" s="61" t="n">
        <f aca="false">P779</f>
        <v>0</v>
      </c>
      <c r="AI779" s="61" t="n">
        <f aca="false">VLOOKUP(AH779,recipe_ingred_list!$K$29:$M$34,3,0)</f>
        <v>3</v>
      </c>
      <c r="AJ779" s="61" t="str">
        <f aca="false">IF(Q779="","",Q779)</f>
        <v/>
      </c>
      <c r="AK779" s="61" t="n">
        <f aca="false">AK778+1</f>
        <v>779</v>
      </c>
      <c r="AL779" s="61" t="str">
        <f aca="false">Y779</f>
        <v>madrasi mirchi powder</v>
      </c>
      <c r="AM779" s="81" t="str">
        <f aca="false">"a = Client().post('"&amp;W779&amp;"', {'recipe' : '"&amp;V779&amp;"', 'ingredient' : '"&amp;Z779&amp;"', 'name' : '"&amp;X779&amp;"', 'mass_unit' : '"&amp;AC779&amp;"', 'mass_quantity' : '"&amp;ROUND(AA779,3)&amp;"', 'volume_unit' : '"&amp;AF779&amp;"', 'volume_quantity' : '"&amp;ROUND(AD779,3)&amp;"', 'pieces_unit' : '"&amp;AI779&amp;"', 'pieces_quantity' : '"&amp;ROUND(AG779,3)&amp;"', 'cooking_notes' : '"&amp;AJ779&amp;"'}).status_code; print('%s :: %s :: %s :: %s :: %s' %(a,"&amp;G779&amp;",'"&amp;X779&amp;"','"&amp;Y779&amp;"','"&amp;U779&amp;"'))"</f>
        <v>a = Client().post('/recipes/mix-veg-poha/detail/', {'recipe' : '47', 'ingredient' : '135', 'name' : 'madrasi chili powder', 'mass_unit' : '2', 'mass_quantity' : '0', 'volume_unit' : '5', 'volume_quantity' : '1', 'pieces_unit' : '3', 'pieces_quantity' : '0', 'cooking_notes' : ''}).status_code; print('%s :: %s :: %s :: %s :: %s' %(a,779,'madrasi chili powder','madrasi mirchi powder','Mix Veg Poha'))</v>
      </c>
    </row>
    <row r="780" customFormat="false" ht="13.8" hidden="false" customHeight="false" outlineLevel="0" collapsed="false">
      <c r="G780" s="80" t="n">
        <v>780</v>
      </c>
      <c r="H780" s="83"/>
      <c r="I780" s="83" t="s">
        <v>250</v>
      </c>
      <c r="J780" s="83" t="s">
        <v>391</v>
      </c>
      <c r="M780" s="61" t="n">
        <v>0.75</v>
      </c>
      <c r="N780" s="61" t="s">
        <v>20</v>
      </c>
      <c r="R780" s="82" t="str">
        <f aca="false">VLOOKUP(J780,ingredient!$N$4:$O$553,2,0)</f>
        <v>hing</v>
      </c>
      <c r="U780" s="81" t="str">
        <f aca="false">I780</f>
        <v>Mix Veg Poha</v>
      </c>
      <c r="V780" s="81" t="n">
        <f aca="false">VLOOKUP(U780,recipe_ingred_list!$A$2:$B$300,2,0)</f>
        <v>47</v>
      </c>
      <c r="W780" s="81" t="str">
        <f aca="false">"/recipes/"&amp;VLOOKUP(U780,recipe_ingred_list!$A$2:$C$300,3,0)&amp;"/detail/"</f>
        <v>/recipes/mix-veg-poha/detail/</v>
      </c>
      <c r="X780" s="81" t="str">
        <f aca="false">J780</f>
        <v>hing</v>
      </c>
      <c r="Y780" s="81" t="str">
        <f aca="false">R780</f>
        <v>hing</v>
      </c>
      <c r="Z780" s="94" t="n">
        <f aca="false">VLOOKUP(Y780,recipe_ingred_list!$D$2:$E$500,2,0)</f>
        <v>95</v>
      </c>
      <c r="AA780" s="61" t="n">
        <f aca="false">K780</f>
        <v>0</v>
      </c>
      <c r="AB780" s="61" t="n">
        <f aca="false">L780</f>
        <v>0</v>
      </c>
      <c r="AC780" s="61" t="n">
        <f aca="false">VLOOKUP(AB780,recipe_ingred_list!$K$2:$M$7,3,0)</f>
        <v>2</v>
      </c>
      <c r="AD780" s="61" t="n">
        <f aca="false">M780</f>
        <v>0.75</v>
      </c>
      <c r="AE780" s="61" t="str">
        <f aca="false">N780</f>
        <v>cup</v>
      </c>
      <c r="AF780" s="61" t="n">
        <f aca="false">VLOOKUP(AE780,recipe_ingred_list!$K$16:$M$25,3,0)</f>
        <v>5</v>
      </c>
      <c r="AG780" s="61" t="n">
        <f aca="false">O780</f>
        <v>0</v>
      </c>
      <c r="AH780" s="61" t="n">
        <f aca="false">P780</f>
        <v>0</v>
      </c>
      <c r="AI780" s="61" t="n">
        <f aca="false">VLOOKUP(AH780,recipe_ingred_list!$K$29:$M$34,3,0)</f>
        <v>3</v>
      </c>
      <c r="AJ780" s="61" t="str">
        <f aca="false">IF(Q780="","",Q780)</f>
        <v/>
      </c>
      <c r="AK780" s="61" t="n">
        <f aca="false">AK779+1</f>
        <v>780</v>
      </c>
      <c r="AL780" s="61" t="str">
        <f aca="false">Y780</f>
        <v>hing</v>
      </c>
      <c r="AM780" s="81" t="str">
        <f aca="false">"a = Client().post('"&amp;W780&amp;"', {'recipe' : '"&amp;V780&amp;"', 'ingredient' : '"&amp;Z780&amp;"', 'name' : '"&amp;X780&amp;"', 'mass_unit' : '"&amp;AC780&amp;"', 'mass_quantity' : '"&amp;ROUND(AA780,3)&amp;"', 'volume_unit' : '"&amp;AF780&amp;"', 'volume_quantity' : '"&amp;ROUND(AD780,3)&amp;"', 'pieces_unit' : '"&amp;AI780&amp;"', 'pieces_quantity' : '"&amp;ROUND(AG780,3)&amp;"', 'cooking_notes' : '"&amp;AJ780&amp;"'}).status_code; print('%s :: %s :: %s :: %s :: %s' %(a,"&amp;G780&amp;",'"&amp;X780&amp;"','"&amp;Y780&amp;"','"&amp;U780&amp;"'))"</f>
        <v>a = Client().post('/recipes/mix-veg-poha/detail/', {'recipe' : '47', 'ingredient' : '95', 'name' : 'hing', 'mass_unit' : '2', 'mass_quantity' : '0', 'volume_unit' : '5', 'volume_quantity' : '0.75', 'pieces_unit' : '3', 'pieces_quantity' : '0', 'cooking_notes' : ''}).status_code; print('%s :: %s :: %s :: %s :: %s' %(a,780,'hing','hing','Mix Veg Poha'))</v>
      </c>
    </row>
    <row r="781" customFormat="false" ht="13.8" hidden="false" customHeight="false" outlineLevel="0" collapsed="false">
      <c r="G781" s="80" t="n">
        <v>781</v>
      </c>
      <c r="H781" s="83"/>
      <c r="I781" s="83" t="s">
        <v>250</v>
      </c>
      <c r="J781" s="83" t="s">
        <v>96</v>
      </c>
      <c r="M781" s="61" t="n">
        <v>0.5</v>
      </c>
      <c r="N781" s="61" t="s">
        <v>20</v>
      </c>
      <c r="R781" s="82" t="str">
        <f aca="false">VLOOKUP(J781,ingredient!$N$4:$O$553,2,0)</f>
        <v>salt</v>
      </c>
      <c r="U781" s="81" t="str">
        <f aca="false">I781</f>
        <v>Mix Veg Poha</v>
      </c>
      <c r="V781" s="81" t="n">
        <f aca="false">VLOOKUP(U781,recipe_ingred_list!$A$2:$B$300,2,0)</f>
        <v>47</v>
      </c>
      <c r="W781" s="81" t="str">
        <f aca="false">"/recipes/"&amp;VLOOKUP(U781,recipe_ingred_list!$A$2:$C$300,3,0)&amp;"/detail/"</f>
        <v>/recipes/mix-veg-poha/detail/</v>
      </c>
      <c r="X781" s="81" t="str">
        <f aca="false">J781</f>
        <v>salt</v>
      </c>
      <c r="Y781" s="81" t="str">
        <f aca="false">R781</f>
        <v>salt</v>
      </c>
      <c r="Z781" s="94" t="n">
        <f aca="false">VLOOKUP(Y781,recipe_ingred_list!$D$2:$E$500,2,0)</f>
        <v>177</v>
      </c>
      <c r="AA781" s="61" t="n">
        <f aca="false">K781</f>
        <v>0</v>
      </c>
      <c r="AB781" s="61" t="n">
        <f aca="false">L781</f>
        <v>0</v>
      </c>
      <c r="AC781" s="61" t="n">
        <f aca="false">VLOOKUP(AB781,recipe_ingred_list!$K$2:$M$7,3,0)</f>
        <v>2</v>
      </c>
      <c r="AD781" s="61" t="n">
        <f aca="false">M781</f>
        <v>0.5</v>
      </c>
      <c r="AE781" s="61" t="str">
        <f aca="false">N781</f>
        <v>cup</v>
      </c>
      <c r="AF781" s="61" t="n">
        <f aca="false">VLOOKUP(AE781,recipe_ingred_list!$K$16:$M$25,3,0)</f>
        <v>5</v>
      </c>
      <c r="AG781" s="61" t="n">
        <f aca="false">O781</f>
        <v>0</v>
      </c>
      <c r="AH781" s="61" t="n">
        <f aca="false">P781</f>
        <v>0</v>
      </c>
      <c r="AI781" s="61" t="n">
        <f aca="false">VLOOKUP(AH781,recipe_ingred_list!$K$29:$M$34,3,0)</f>
        <v>3</v>
      </c>
      <c r="AJ781" s="61" t="str">
        <f aca="false">IF(Q781="","",Q781)</f>
        <v/>
      </c>
      <c r="AK781" s="61" t="n">
        <f aca="false">AK780+1</f>
        <v>781</v>
      </c>
      <c r="AL781" s="61" t="str">
        <f aca="false">Y781</f>
        <v>salt</v>
      </c>
      <c r="AM781" s="81" t="str">
        <f aca="false">"a = Client().post('"&amp;W781&amp;"', {'recipe' : '"&amp;V781&amp;"', 'ingredient' : '"&amp;Z781&amp;"', 'name' : '"&amp;X781&amp;"', 'mass_unit' : '"&amp;AC781&amp;"', 'mass_quantity' : '"&amp;ROUND(AA781,3)&amp;"', 'volume_unit' : '"&amp;AF781&amp;"', 'volume_quantity' : '"&amp;ROUND(AD781,3)&amp;"', 'pieces_unit' : '"&amp;AI781&amp;"', 'pieces_quantity' : '"&amp;ROUND(AG781,3)&amp;"', 'cooking_notes' : '"&amp;AJ781&amp;"'}).status_code; print('%s :: %s :: %s :: %s :: %s' %(a,"&amp;G781&amp;",'"&amp;X781&amp;"','"&amp;Y781&amp;"','"&amp;U781&amp;"'))"</f>
        <v>a = Client().post('/recipes/mix-veg-poha/detail/', {'recipe' : '47', 'ingredient' : '177', 'name' : 'salt', 'mass_unit' : '2', 'mass_quantity' : '0', 'volume_unit' : '5', 'volume_quantity' : '0.5', 'pieces_unit' : '3', 'pieces_quantity' : '0', 'cooking_notes' : ''}).status_code; print('%s :: %s :: %s :: %s :: %s' %(a,781,'salt','salt','Mix Veg Poha'))</v>
      </c>
    </row>
    <row r="782" customFormat="false" ht="13.8" hidden="false" customHeight="false" outlineLevel="0" collapsed="false">
      <c r="G782" s="80" t="n">
        <v>782</v>
      </c>
      <c r="H782" s="79"/>
      <c r="I782" s="79"/>
      <c r="J782" s="79"/>
      <c r="K782" s="100"/>
      <c r="L782" s="100"/>
      <c r="M782" s="100"/>
      <c r="N782" s="100"/>
      <c r="O782" s="100"/>
      <c r="P782" s="100"/>
      <c r="Q782" s="102"/>
      <c r="R782" s="99" t="e">
        <f aca="false">VLOOKUP(J782,ingredient!$N$4:$O$553,2,0)</f>
        <v>#N/A</v>
      </c>
      <c r="S782" s="98"/>
      <c r="T782" s="98"/>
      <c r="U782" s="81" t="n">
        <f aca="false">I782</f>
        <v>0</v>
      </c>
      <c r="V782" s="81" t="e">
        <f aca="false">VLOOKUP(U782,recipe_ingred_list!$A$2:$B$300,2,0)</f>
        <v>#N/A</v>
      </c>
      <c r="W782" s="81" t="e">
        <f aca="false">"/recipes/"&amp;VLOOKUP(U782,recipe_ingred_list!$A$2:$C$300,3,0)&amp;"/detail/"</f>
        <v>#N/A</v>
      </c>
      <c r="X782" s="81" t="n">
        <f aca="false">J782</f>
        <v>0</v>
      </c>
      <c r="Y782" s="81" t="e">
        <f aca="false">R782</f>
        <v>#N/A</v>
      </c>
      <c r="Z782" s="94" t="e">
        <f aca="false">VLOOKUP(Y782,recipe_ingred_list!$D$2:$E$500,2,0)</f>
        <v>#N/A</v>
      </c>
      <c r="AA782" s="61" t="n">
        <f aca="false">K782</f>
        <v>0</v>
      </c>
      <c r="AB782" s="61" t="n">
        <f aca="false">L782</f>
        <v>0</v>
      </c>
      <c r="AC782" s="61" t="n">
        <f aca="false">VLOOKUP(AB782,recipe_ingred_list!$K$2:$M$7,3,0)</f>
        <v>2</v>
      </c>
      <c r="AD782" s="61" t="n">
        <f aca="false">M782</f>
        <v>0</v>
      </c>
      <c r="AE782" s="61" t="n">
        <f aca="false">N782</f>
        <v>0</v>
      </c>
      <c r="AF782" s="61" t="n">
        <f aca="false">VLOOKUP(AE782,recipe_ingred_list!$K$16:$M$25,3,0)</f>
        <v>1</v>
      </c>
      <c r="AG782" s="61" t="n">
        <f aca="false">O782</f>
        <v>0</v>
      </c>
      <c r="AH782" s="61" t="n">
        <f aca="false">P782</f>
        <v>0</v>
      </c>
      <c r="AI782" s="61" t="n">
        <f aca="false">VLOOKUP(AH782,recipe_ingred_list!$K$29:$M$34,3,0)</f>
        <v>3</v>
      </c>
      <c r="AJ782" s="61" t="str">
        <f aca="false">IF(Q782="","",Q782)</f>
        <v/>
      </c>
      <c r="AK782" s="61" t="n">
        <f aca="false">AK781+1</f>
        <v>782</v>
      </c>
      <c r="AL782" s="61" t="e">
        <f aca="false">Y782</f>
        <v>#N/A</v>
      </c>
      <c r="AM782" s="81" t="e">
        <f aca="false">"a = Client().post('"&amp;W782&amp;"', {'recipe' : '"&amp;V782&amp;"', 'ingredient' : '"&amp;Z782&amp;"', 'name' : '"&amp;X782&amp;"', 'mass_unit' : '"&amp;AC782&amp;"', 'mass_quantity' : '"&amp;ROUND(AA782,3)&amp;"', 'volume_unit' : '"&amp;AF782&amp;"', 'volume_quantity' : '"&amp;ROUND(AD782,3)&amp;"', 'pieces_unit' : '"&amp;AI782&amp;"', 'pieces_quantity' : '"&amp;ROUND(AG782,3)&amp;"', 'cooking_notes' : '"&amp;AJ782&amp;"'}).status_code; print('%s :: %s :: %s :: %s :: %s' %(a,"&amp;G782&amp;",'"&amp;X782&amp;"','"&amp;Y782&amp;"','"&amp;U782&amp;"'))"</f>
        <v>#N/A</v>
      </c>
    </row>
    <row r="783" customFormat="false" ht="13.8" hidden="false" customHeight="false" outlineLevel="0" collapsed="false">
      <c r="G783" s="80" t="n">
        <v>783</v>
      </c>
      <c r="H783" s="83"/>
      <c r="I783" s="83" t="s">
        <v>358</v>
      </c>
      <c r="J783" s="83" t="s">
        <v>11</v>
      </c>
      <c r="K783" s="61" t="n">
        <v>6</v>
      </c>
      <c r="L783" s="61" t="s">
        <v>7</v>
      </c>
      <c r="R783" s="82" t="str">
        <f aca="false">VLOOKUP(J783,ingredient!$N$4:$O$553,2,0)</f>
        <v>gajar</v>
      </c>
      <c r="U783" s="81" t="str">
        <f aca="false">I783</f>
        <v>Upma</v>
      </c>
      <c r="V783" s="81" t="n">
        <f aca="false">VLOOKUP(U783,recipe_ingred_list!$A$2:$B$300,2,0)</f>
        <v>83</v>
      </c>
      <c r="W783" s="81" t="str">
        <f aca="false">"/recipes/"&amp;VLOOKUP(U783,recipe_ingred_list!$A$2:$C$300,3,0)&amp;"/detail/"</f>
        <v>/recipes/upma/detail/</v>
      </c>
      <c r="X783" s="81" t="str">
        <f aca="false">J783</f>
        <v>Gajar</v>
      </c>
      <c r="Y783" s="81" t="str">
        <f aca="false">R783</f>
        <v>gajar</v>
      </c>
      <c r="Z783" s="94" t="n">
        <f aca="false">VLOOKUP(Y783,recipe_ingred_list!$D$2:$E$500,2,0)</f>
        <v>79</v>
      </c>
      <c r="AA783" s="61" t="n">
        <f aca="false">K783</f>
        <v>6</v>
      </c>
      <c r="AB783" s="61" t="str">
        <f aca="false">L783</f>
        <v>kg</v>
      </c>
      <c r="AC783" s="61" t="n">
        <f aca="false">VLOOKUP(AB783,recipe_ingred_list!$K$2:$M$7,3,0)</f>
        <v>2</v>
      </c>
      <c r="AD783" s="61" t="n">
        <f aca="false">M783</f>
        <v>0</v>
      </c>
      <c r="AE783" s="61" t="n">
        <f aca="false">N783</f>
        <v>0</v>
      </c>
      <c r="AF783" s="61" t="n">
        <f aca="false">VLOOKUP(AE783,recipe_ingred_list!$K$16:$M$25,3,0)</f>
        <v>1</v>
      </c>
      <c r="AG783" s="61" t="n">
        <f aca="false">O783</f>
        <v>0</v>
      </c>
      <c r="AH783" s="61" t="n">
        <f aca="false">P783</f>
        <v>0</v>
      </c>
      <c r="AI783" s="61" t="n">
        <f aca="false">VLOOKUP(AH783,recipe_ingred_list!$K$29:$M$34,3,0)</f>
        <v>3</v>
      </c>
      <c r="AJ783" s="61" t="str">
        <f aca="false">IF(Q783="","",Q783)</f>
        <v/>
      </c>
      <c r="AK783" s="61" t="n">
        <f aca="false">AK782+1</f>
        <v>783</v>
      </c>
      <c r="AL783" s="61" t="str">
        <f aca="false">Y783</f>
        <v>gajar</v>
      </c>
      <c r="AM783" s="81" t="str">
        <f aca="false">"a = Client().post('"&amp;W783&amp;"', {'recipe' : '"&amp;V783&amp;"', 'ingredient' : '"&amp;Z783&amp;"', 'name' : '"&amp;X783&amp;"', 'mass_unit' : '"&amp;AC783&amp;"', 'mass_quantity' : '"&amp;ROUND(AA783,3)&amp;"', 'volume_unit' : '"&amp;AF783&amp;"', 'volume_quantity' : '"&amp;ROUND(AD783,3)&amp;"', 'pieces_unit' : '"&amp;AI783&amp;"', 'pieces_quantity' : '"&amp;ROUND(AG783,3)&amp;"', 'cooking_notes' : '"&amp;AJ783&amp;"'}).status_code; print('%s :: %s :: %s :: %s :: %s' %(a,"&amp;G783&amp;",'"&amp;X783&amp;"','"&amp;Y783&amp;"','"&amp;U783&amp;"'))"</f>
        <v>a = Client().post('/recipes/upma/detail/', {'recipe' : '83', 'ingredient' : '79', 'name' : 'Gajar', 'mass_unit' : '2', 'mass_quantity' : '6', 'volume_unit' : '1', 'volume_quantity' : '0', 'pieces_unit' : '3', 'pieces_quantity' : '0', 'cooking_notes' : ''}).status_code; print('%s :: %s :: %s :: %s :: %s' %(a,783,'Gajar','gajar','Upma'))</v>
      </c>
    </row>
    <row r="784" customFormat="false" ht="13.8" hidden="false" customHeight="false" outlineLevel="0" collapsed="false">
      <c r="G784" s="80" t="n">
        <v>784</v>
      </c>
      <c r="H784" s="83"/>
      <c r="I784" s="83" t="s">
        <v>358</v>
      </c>
      <c r="J784" s="83" t="s">
        <v>800</v>
      </c>
      <c r="K784" s="61" t="n">
        <v>5</v>
      </c>
      <c r="L784" s="61" t="s">
        <v>7</v>
      </c>
      <c r="R784" s="82" t="str">
        <f aca="false">VLOOKUP(J784,ingredient!$N$4:$O$553,2,0)</f>
        <v>beans</v>
      </c>
      <c r="U784" s="81" t="str">
        <f aca="false">I784</f>
        <v>Upma</v>
      </c>
      <c r="V784" s="81" t="n">
        <f aca="false">VLOOKUP(U784,recipe_ingred_list!$A$2:$B$300,2,0)</f>
        <v>83</v>
      </c>
      <c r="W784" s="81" t="str">
        <f aca="false">"/recipes/"&amp;VLOOKUP(U784,recipe_ingred_list!$A$2:$C$300,3,0)&amp;"/detail/"</f>
        <v>/recipes/upma/detail/</v>
      </c>
      <c r="X784" s="81" t="str">
        <f aca="false">J784</f>
        <v>beans( optional when rate is low)</v>
      </c>
      <c r="Y784" s="81" t="str">
        <f aca="false">R784</f>
        <v>beans</v>
      </c>
      <c r="Z784" s="94" t="n">
        <f aca="false">VLOOKUP(Y784,recipe_ingred_list!$D$2:$E$500,2,0)</f>
        <v>27</v>
      </c>
      <c r="AA784" s="61" t="n">
        <f aca="false">K784</f>
        <v>5</v>
      </c>
      <c r="AB784" s="61" t="str">
        <f aca="false">L784</f>
        <v>kg</v>
      </c>
      <c r="AC784" s="61" t="n">
        <f aca="false">VLOOKUP(AB784,recipe_ingred_list!$K$2:$M$7,3,0)</f>
        <v>2</v>
      </c>
      <c r="AD784" s="61" t="n">
        <f aca="false">M784</f>
        <v>0</v>
      </c>
      <c r="AE784" s="61" t="n">
        <f aca="false">N784</f>
        <v>0</v>
      </c>
      <c r="AF784" s="61" t="n">
        <f aca="false">VLOOKUP(AE784,recipe_ingred_list!$K$16:$M$25,3,0)</f>
        <v>1</v>
      </c>
      <c r="AG784" s="61" t="n">
        <f aca="false">O784</f>
        <v>0</v>
      </c>
      <c r="AH784" s="61" t="n">
        <f aca="false">P784</f>
        <v>0</v>
      </c>
      <c r="AI784" s="61" t="n">
        <f aca="false">VLOOKUP(AH784,recipe_ingred_list!$K$29:$M$34,3,0)</f>
        <v>3</v>
      </c>
      <c r="AJ784" s="61" t="str">
        <f aca="false">IF(Q784="","",Q784)</f>
        <v/>
      </c>
      <c r="AK784" s="61" t="n">
        <f aca="false">AK783+1</f>
        <v>784</v>
      </c>
      <c r="AL784" s="61" t="str">
        <f aca="false">Y784</f>
        <v>beans</v>
      </c>
      <c r="AM784" s="81" t="str">
        <f aca="false">"a = Client().post('"&amp;W784&amp;"', {'recipe' : '"&amp;V784&amp;"', 'ingredient' : '"&amp;Z784&amp;"', 'name' : '"&amp;X784&amp;"', 'mass_unit' : '"&amp;AC784&amp;"', 'mass_quantity' : '"&amp;ROUND(AA784,3)&amp;"', 'volume_unit' : '"&amp;AF784&amp;"', 'volume_quantity' : '"&amp;ROUND(AD784,3)&amp;"', 'pieces_unit' : '"&amp;AI784&amp;"', 'pieces_quantity' : '"&amp;ROUND(AG784,3)&amp;"', 'cooking_notes' : '"&amp;AJ784&amp;"'}).status_code; print('%s :: %s :: %s :: %s :: %s' %(a,"&amp;G784&amp;",'"&amp;X784&amp;"','"&amp;Y784&amp;"','"&amp;U784&amp;"'))"</f>
        <v>a = Client().post('/recipes/upma/detail/', {'recipe' : '83', 'ingredient' : '27', 'name' : 'beans( optional when rate is low)', 'mass_unit' : '2', 'mass_quantity' : '5', 'volume_unit' : '1', 'volume_quantity' : '0', 'pieces_unit' : '3', 'pieces_quantity' : '0', 'cooking_notes' : ''}).status_code; print('%s :: %s :: %s :: %s :: %s' %(a,784,'beans( optional when rate is low)','beans','Upma'))</v>
      </c>
    </row>
    <row r="785" customFormat="false" ht="13.8" hidden="false" customHeight="false" outlineLevel="0" collapsed="false">
      <c r="G785" s="80" t="n">
        <v>785</v>
      </c>
      <c r="H785" s="83"/>
      <c r="I785" s="83" t="s">
        <v>358</v>
      </c>
      <c r="J785" s="83" t="s">
        <v>790</v>
      </c>
      <c r="K785" s="61" t="n">
        <v>6</v>
      </c>
      <c r="L785" s="61" t="s">
        <v>7</v>
      </c>
      <c r="R785" s="82" t="str">
        <f aca="false">VLOOKUP(J785,ingredient!$N$4:$O$553,2,0)</f>
        <v>green peas</v>
      </c>
      <c r="U785" s="81" t="str">
        <f aca="false">I785</f>
        <v>Upma</v>
      </c>
      <c r="V785" s="81" t="n">
        <f aca="false">VLOOKUP(U785,recipe_ingred_list!$A$2:$B$300,2,0)</f>
        <v>83</v>
      </c>
      <c r="W785" s="81" t="str">
        <f aca="false">"/recipes/"&amp;VLOOKUP(U785,recipe_ingred_list!$A$2:$C$300,3,0)&amp;"/detail/"</f>
        <v>/recipes/upma/detail/</v>
      </c>
      <c r="X785" s="81" t="str">
        <f aca="false">J785</f>
        <v>Green Peas</v>
      </c>
      <c r="Y785" s="81" t="str">
        <f aca="false">R785</f>
        <v>green peas</v>
      </c>
      <c r="Z785" s="94" t="n">
        <f aca="false">VLOOKUP(Y785,recipe_ingred_list!$D$2:$E$500,2,0)</f>
        <v>88</v>
      </c>
      <c r="AA785" s="61" t="n">
        <f aca="false">K785</f>
        <v>6</v>
      </c>
      <c r="AB785" s="61" t="str">
        <f aca="false">L785</f>
        <v>kg</v>
      </c>
      <c r="AC785" s="61" t="n">
        <f aca="false">VLOOKUP(AB785,recipe_ingred_list!$K$2:$M$7,3,0)</f>
        <v>2</v>
      </c>
      <c r="AD785" s="61" t="n">
        <f aca="false">M785</f>
        <v>0</v>
      </c>
      <c r="AE785" s="61" t="n">
        <f aca="false">N785</f>
        <v>0</v>
      </c>
      <c r="AF785" s="61" t="n">
        <f aca="false">VLOOKUP(AE785,recipe_ingred_list!$K$16:$M$25,3,0)</f>
        <v>1</v>
      </c>
      <c r="AG785" s="61" t="n">
        <f aca="false">O785</f>
        <v>0</v>
      </c>
      <c r="AH785" s="61" t="n">
        <f aca="false">P785</f>
        <v>0</v>
      </c>
      <c r="AI785" s="61" t="n">
        <f aca="false">VLOOKUP(AH785,recipe_ingred_list!$K$29:$M$34,3,0)</f>
        <v>3</v>
      </c>
      <c r="AJ785" s="61" t="str">
        <f aca="false">IF(Q785="","",Q785)</f>
        <v/>
      </c>
      <c r="AK785" s="61" t="n">
        <f aca="false">AK784+1</f>
        <v>785</v>
      </c>
      <c r="AL785" s="61" t="str">
        <f aca="false">Y785</f>
        <v>green peas</v>
      </c>
      <c r="AM785" s="81" t="str">
        <f aca="false">"a = Client().post('"&amp;W785&amp;"', {'recipe' : '"&amp;V785&amp;"', 'ingredient' : '"&amp;Z785&amp;"', 'name' : '"&amp;X785&amp;"', 'mass_unit' : '"&amp;AC785&amp;"', 'mass_quantity' : '"&amp;ROUND(AA785,3)&amp;"', 'volume_unit' : '"&amp;AF785&amp;"', 'volume_quantity' : '"&amp;ROUND(AD785,3)&amp;"', 'pieces_unit' : '"&amp;AI785&amp;"', 'pieces_quantity' : '"&amp;ROUND(AG785,3)&amp;"', 'cooking_notes' : '"&amp;AJ785&amp;"'}).status_code; print('%s :: %s :: %s :: %s :: %s' %(a,"&amp;G785&amp;",'"&amp;X785&amp;"','"&amp;Y785&amp;"','"&amp;U785&amp;"'))"</f>
        <v>a = Client().post('/recipes/upma/detail/', {'recipe' : '83', 'ingredient' : '88', 'name' : 'Green Peas', 'mass_unit' : '2', 'mass_quantity' : '6', 'volume_unit' : '1', 'volume_quantity' : '0', 'pieces_unit' : '3', 'pieces_quantity' : '0', 'cooking_notes' : ''}).status_code; print('%s :: %s :: %s :: %s :: %s' %(a,785,'Green Peas','green peas','Upma'))</v>
      </c>
    </row>
    <row r="786" customFormat="false" ht="13.8" hidden="false" customHeight="false" outlineLevel="0" collapsed="false">
      <c r="G786" s="80" t="n">
        <v>786</v>
      </c>
      <c r="H786" s="83"/>
      <c r="I786" s="83" t="s">
        <v>358</v>
      </c>
      <c r="J786" s="83" t="s">
        <v>801</v>
      </c>
      <c r="M786" s="61" t="n">
        <v>1</v>
      </c>
      <c r="N786" s="61" t="s">
        <v>13</v>
      </c>
      <c r="R786" s="82" t="str">
        <f aca="false">VLOOKUP(J786,ingredient!$N$4:$O$553,2,0)</f>
        <v>hari mirchi</v>
      </c>
      <c r="U786" s="81" t="str">
        <f aca="false">I786</f>
        <v>Upma</v>
      </c>
      <c r="V786" s="81" t="n">
        <f aca="false">VLOOKUP(U786,recipe_ingred_list!$A$2:$B$300,2,0)</f>
        <v>83</v>
      </c>
      <c r="W786" s="81" t="str">
        <f aca="false">"/recipes/"&amp;VLOOKUP(U786,recipe_ingred_list!$A$2:$C$300,3,0)&amp;"/detail/"</f>
        <v>/recipes/upma/detail/</v>
      </c>
      <c r="X786" s="81" t="str">
        <f aca="false">J786</f>
        <v>green chilly</v>
      </c>
      <c r="Y786" s="81" t="str">
        <f aca="false">R786</f>
        <v>hari mirchi</v>
      </c>
      <c r="Z786" s="94" t="n">
        <f aca="false">VLOOKUP(Y786,recipe_ingred_list!$D$2:$E$500,2,0)</f>
        <v>93</v>
      </c>
      <c r="AA786" s="61" t="n">
        <f aca="false">K786</f>
        <v>0</v>
      </c>
      <c r="AB786" s="61" t="n">
        <f aca="false">L786</f>
        <v>0</v>
      </c>
      <c r="AC786" s="61" t="n">
        <f aca="false">VLOOKUP(AB786,recipe_ingred_list!$K$2:$M$7,3,0)</f>
        <v>2</v>
      </c>
      <c r="AD786" s="61" t="n">
        <f aca="false">M786</f>
        <v>1</v>
      </c>
      <c r="AE786" s="61" t="str">
        <f aca="false">N786</f>
        <v>ltr</v>
      </c>
      <c r="AF786" s="61" t="n">
        <f aca="false">VLOOKUP(AE786,recipe_ingred_list!$K$16:$M$25,3,0)</f>
        <v>1</v>
      </c>
      <c r="AG786" s="61" t="n">
        <f aca="false">O786</f>
        <v>0</v>
      </c>
      <c r="AH786" s="61" t="n">
        <f aca="false">P786</f>
        <v>0</v>
      </c>
      <c r="AI786" s="61" t="n">
        <f aca="false">VLOOKUP(AH786,recipe_ingred_list!$K$29:$M$34,3,0)</f>
        <v>3</v>
      </c>
      <c r="AJ786" s="61" t="str">
        <f aca="false">IF(Q786="","",Q786)</f>
        <v/>
      </c>
      <c r="AK786" s="61" t="n">
        <f aca="false">AK785+1</f>
        <v>786</v>
      </c>
      <c r="AL786" s="61" t="str">
        <f aca="false">Y786</f>
        <v>hari mirchi</v>
      </c>
      <c r="AM786" s="81" t="str">
        <f aca="false">"a = Client().post('"&amp;W786&amp;"', {'recipe' : '"&amp;V786&amp;"', 'ingredient' : '"&amp;Z786&amp;"', 'name' : '"&amp;X786&amp;"', 'mass_unit' : '"&amp;AC786&amp;"', 'mass_quantity' : '"&amp;ROUND(AA786,3)&amp;"', 'volume_unit' : '"&amp;AF786&amp;"', 'volume_quantity' : '"&amp;ROUND(AD786,3)&amp;"', 'pieces_unit' : '"&amp;AI786&amp;"', 'pieces_quantity' : '"&amp;ROUND(AG786,3)&amp;"', 'cooking_notes' : '"&amp;AJ786&amp;"'}).status_code; print('%s :: %s :: %s :: %s :: %s' %(a,"&amp;G786&amp;",'"&amp;X786&amp;"','"&amp;Y786&amp;"','"&amp;U786&amp;"'))"</f>
        <v>a = Client().post('/recipes/upma/detail/', {'recipe' : '83', 'ingredient' : '93', 'name' : 'green chilly', 'mass_unit' : '2', 'mass_quantity' : '0', 'volume_unit' : '1', 'volume_quantity' : '1', 'pieces_unit' : '3', 'pieces_quantity' : '0', 'cooking_notes' : ''}).status_code; print('%s :: %s :: %s :: %s :: %s' %(a,786,'green chilly','hari mirchi','Upma'))</v>
      </c>
    </row>
    <row r="787" customFormat="false" ht="13.8" hidden="false" customHeight="false" outlineLevel="0" collapsed="false">
      <c r="G787" s="80" t="n">
        <v>787</v>
      </c>
      <c r="H787" s="83"/>
      <c r="I787" s="83" t="s">
        <v>358</v>
      </c>
      <c r="J787" s="83" t="s">
        <v>23</v>
      </c>
      <c r="M787" s="61" t="n">
        <v>3</v>
      </c>
      <c r="N787" s="61" t="s">
        <v>13</v>
      </c>
      <c r="R787" s="82" t="str">
        <f aca="false">VLOOKUP(J787,ingredient!$N$4:$O$553,2,0)</f>
        <v>dhaniya patta</v>
      </c>
      <c r="U787" s="81" t="str">
        <f aca="false">I787</f>
        <v>Upma</v>
      </c>
      <c r="V787" s="81" t="n">
        <f aca="false">VLOOKUP(U787,recipe_ingred_list!$A$2:$B$300,2,0)</f>
        <v>83</v>
      </c>
      <c r="W787" s="81" t="str">
        <f aca="false">"/recipes/"&amp;VLOOKUP(U787,recipe_ingred_list!$A$2:$C$300,3,0)&amp;"/detail/"</f>
        <v>/recipes/upma/detail/</v>
      </c>
      <c r="X787" s="81" t="str">
        <f aca="false">J787</f>
        <v>Dhania patta</v>
      </c>
      <c r="Y787" s="81" t="str">
        <f aca="false">R787</f>
        <v>dhaniya patta</v>
      </c>
      <c r="Z787" s="94" t="n">
        <f aca="false">VLOOKUP(Y787,recipe_ingred_list!$D$2:$E$500,2,0)</f>
        <v>66</v>
      </c>
      <c r="AA787" s="61" t="n">
        <f aca="false">K787</f>
        <v>0</v>
      </c>
      <c r="AB787" s="61" t="n">
        <f aca="false">L787</f>
        <v>0</v>
      </c>
      <c r="AC787" s="61" t="n">
        <f aca="false">VLOOKUP(AB787,recipe_ingred_list!$K$2:$M$7,3,0)</f>
        <v>2</v>
      </c>
      <c r="AD787" s="61" t="n">
        <f aca="false">M787</f>
        <v>3</v>
      </c>
      <c r="AE787" s="61" t="str">
        <f aca="false">N787</f>
        <v>ltr</v>
      </c>
      <c r="AF787" s="61" t="n">
        <f aca="false">VLOOKUP(AE787,recipe_ingred_list!$K$16:$M$25,3,0)</f>
        <v>1</v>
      </c>
      <c r="AG787" s="61" t="n">
        <f aca="false">O787</f>
        <v>0</v>
      </c>
      <c r="AH787" s="61" t="n">
        <f aca="false">P787</f>
        <v>0</v>
      </c>
      <c r="AI787" s="61" t="n">
        <f aca="false">VLOOKUP(AH787,recipe_ingred_list!$K$29:$M$34,3,0)</f>
        <v>3</v>
      </c>
      <c r="AJ787" s="61" t="str">
        <f aca="false">IF(Q787="","",Q787)</f>
        <v/>
      </c>
      <c r="AK787" s="61" t="n">
        <f aca="false">AK786+1</f>
        <v>787</v>
      </c>
      <c r="AL787" s="61" t="str">
        <f aca="false">Y787</f>
        <v>dhaniya patta</v>
      </c>
      <c r="AM787" s="81" t="str">
        <f aca="false">"a = Client().post('"&amp;W787&amp;"', {'recipe' : '"&amp;V787&amp;"', 'ingredient' : '"&amp;Z787&amp;"', 'name' : '"&amp;X787&amp;"', 'mass_unit' : '"&amp;AC787&amp;"', 'mass_quantity' : '"&amp;ROUND(AA787,3)&amp;"', 'volume_unit' : '"&amp;AF787&amp;"', 'volume_quantity' : '"&amp;ROUND(AD787,3)&amp;"', 'pieces_unit' : '"&amp;AI787&amp;"', 'pieces_quantity' : '"&amp;ROUND(AG787,3)&amp;"', 'cooking_notes' : '"&amp;AJ787&amp;"'}).status_code; print('%s :: %s :: %s :: %s :: %s' %(a,"&amp;G787&amp;",'"&amp;X787&amp;"','"&amp;Y787&amp;"','"&amp;U787&amp;"'))"</f>
        <v>a = Client().post('/recipes/upma/detail/', {'recipe' : '83', 'ingredient' : '66', 'name' : 'Dhania patta', 'mass_unit' : '2', 'mass_quantity' : '0', 'volume_unit' : '1', 'volume_quantity' : '3', 'pieces_unit' : '3', 'pieces_quantity' : '0', 'cooking_notes' : ''}).status_code; print('%s :: %s :: %s :: %s :: %s' %(a,787,'Dhania patta','dhaniya patta','Upma'))</v>
      </c>
    </row>
    <row r="788" customFormat="false" ht="13.8" hidden="false" customHeight="false" outlineLevel="0" collapsed="false">
      <c r="G788" s="80" t="n">
        <v>788</v>
      </c>
      <c r="H788" s="83"/>
      <c r="I788" s="83" t="s">
        <v>358</v>
      </c>
      <c r="J788" s="83" t="s">
        <v>802</v>
      </c>
      <c r="M788" s="61" t="n">
        <v>0.5</v>
      </c>
      <c r="N788" s="61" t="s">
        <v>13</v>
      </c>
      <c r="R788" s="82" t="str">
        <f aca="false">VLOOKUP(J788,ingredient!$N$4:$O$553,2,0)</f>
        <v>adrak</v>
      </c>
      <c r="U788" s="81" t="str">
        <f aca="false">I788</f>
        <v>Upma</v>
      </c>
      <c r="V788" s="81" t="n">
        <f aca="false">VLOOKUP(U788,recipe_ingred_list!$A$2:$B$300,2,0)</f>
        <v>83</v>
      </c>
      <c r="W788" s="81" t="str">
        <f aca="false">"/recipes/"&amp;VLOOKUP(U788,recipe_ingred_list!$A$2:$C$300,3,0)&amp;"/detail/"</f>
        <v>/recipes/upma/detail/</v>
      </c>
      <c r="X788" s="81" t="str">
        <f aca="false">J788</f>
        <v>ginger</v>
      </c>
      <c r="Y788" s="81" t="str">
        <f aca="false">R788</f>
        <v>adrak</v>
      </c>
      <c r="Z788" s="94" t="n">
        <f aca="false">VLOOKUP(Y788,recipe_ingred_list!$D$2:$E$500,2,0)</f>
        <v>1</v>
      </c>
      <c r="AA788" s="61" t="n">
        <f aca="false">K788</f>
        <v>0</v>
      </c>
      <c r="AB788" s="61" t="n">
        <f aca="false">L788</f>
        <v>0</v>
      </c>
      <c r="AC788" s="61" t="n">
        <f aca="false">VLOOKUP(AB788,recipe_ingred_list!$K$2:$M$7,3,0)</f>
        <v>2</v>
      </c>
      <c r="AD788" s="61" t="n">
        <f aca="false">M788</f>
        <v>0.5</v>
      </c>
      <c r="AE788" s="61" t="str">
        <f aca="false">N788</f>
        <v>ltr</v>
      </c>
      <c r="AF788" s="61" t="n">
        <f aca="false">VLOOKUP(AE788,recipe_ingred_list!$K$16:$M$25,3,0)</f>
        <v>1</v>
      </c>
      <c r="AG788" s="61" t="n">
        <f aca="false">O788</f>
        <v>0</v>
      </c>
      <c r="AH788" s="61" t="n">
        <f aca="false">P788</f>
        <v>0</v>
      </c>
      <c r="AI788" s="61" t="n">
        <f aca="false">VLOOKUP(AH788,recipe_ingred_list!$K$29:$M$34,3,0)</f>
        <v>3</v>
      </c>
      <c r="AJ788" s="61" t="str">
        <f aca="false">IF(Q788="","",Q788)</f>
        <v/>
      </c>
      <c r="AK788" s="61" t="n">
        <f aca="false">AK787+1</f>
        <v>788</v>
      </c>
      <c r="AL788" s="61" t="str">
        <f aca="false">Y788</f>
        <v>adrak</v>
      </c>
      <c r="AM788" s="81" t="str">
        <f aca="false">"a = Client().post('"&amp;W788&amp;"', {'recipe' : '"&amp;V788&amp;"', 'ingredient' : '"&amp;Z788&amp;"', 'name' : '"&amp;X788&amp;"', 'mass_unit' : '"&amp;AC788&amp;"', 'mass_quantity' : '"&amp;ROUND(AA788,3)&amp;"', 'volume_unit' : '"&amp;AF788&amp;"', 'volume_quantity' : '"&amp;ROUND(AD788,3)&amp;"', 'pieces_unit' : '"&amp;AI788&amp;"', 'pieces_quantity' : '"&amp;ROUND(AG788,3)&amp;"', 'cooking_notes' : '"&amp;AJ788&amp;"'}).status_code; print('%s :: %s :: %s :: %s :: %s' %(a,"&amp;G788&amp;",'"&amp;X788&amp;"','"&amp;Y788&amp;"','"&amp;U788&amp;"'))"</f>
        <v>a = Client().post('/recipes/upma/detail/', {'recipe' : '83', 'ingredient' : '1', 'name' : 'ginger', 'mass_unit' : '2', 'mass_quantity' : '0', 'volume_unit' : '1', 'volume_quantity' : '0.5', 'pieces_unit' : '3', 'pieces_quantity' : '0', 'cooking_notes' : ''}).status_code; print('%s :: %s :: %s :: %s :: %s' %(a,788,'ginger','adrak','Upma'))</v>
      </c>
    </row>
    <row r="789" customFormat="false" ht="13.8" hidden="false" customHeight="false" outlineLevel="0" collapsed="false">
      <c r="G789" s="80" t="n">
        <v>789</v>
      </c>
      <c r="H789" s="83"/>
      <c r="I789" s="83" t="s">
        <v>358</v>
      </c>
      <c r="J789" s="83" t="s">
        <v>803</v>
      </c>
      <c r="M789" s="61" t="n">
        <v>2</v>
      </c>
      <c r="N789" s="61" t="s">
        <v>13</v>
      </c>
      <c r="R789" s="82" t="str">
        <f aca="false">VLOOKUP(J789,ingredient!$N$4:$O$553,2,0)</f>
        <v>kadi patta</v>
      </c>
      <c r="U789" s="81" t="str">
        <f aca="false">I789</f>
        <v>Upma</v>
      </c>
      <c r="V789" s="81" t="n">
        <f aca="false">VLOOKUP(U789,recipe_ingred_list!$A$2:$B$300,2,0)</f>
        <v>83</v>
      </c>
      <c r="W789" s="81" t="str">
        <f aca="false">"/recipes/"&amp;VLOOKUP(U789,recipe_ingred_list!$A$2:$C$300,3,0)&amp;"/detail/"</f>
        <v>/recipes/upma/detail/</v>
      </c>
      <c r="X789" s="81" t="str">
        <f aca="false">J789</f>
        <v>kadipatta</v>
      </c>
      <c r="Y789" s="81" t="str">
        <f aca="false">R789</f>
        <v>kadi patta</v>
      </c>
      <c r="Z789" s="94" t="n">
        <f aca="false">VLOOKUP(Y789,recipe_ingred_list!$D$2:$E$500,2,0)</f>
        <v>105</v>
      </c>
      <c r="AA789" s="61" t="n">
        <f aca="false">K789</f>
        <v>0</v>
      </c>
      <c r="AB789" s="61" t="n">
        <f aca="false">L789</f>
        <v>0</v>
      </c>
      <c r="AC789" s="61" t="n">
        <f aca="false">VLOOKUP(AB789,recipe_ingred_list!$K$2:$M$7,3,0)</f>
        <v>2</v>
      </c>
      <c r="AD789" s="61" t="n">
        <f aca="false">M789</f>
        <v>2</v>
      </c>
      <c r="AE789" s="61" t="str">
        <f aca="false">N789</f>
        <v>ltr</v>
      </c>
      <c r="AF789" s="61" t="n">
        <f aca="false">VLOOKUP(AE789,recipe_ingred_list!$K$16:$M$25,3,0)</f>
        <v>1</v>
      </c>
      <c r="AG789" s="61" t="n">
        <f aca="false">O789</f>
        <v>0</v>
      </c>
      <c r="AH789" s="61" t="n">
        <f aca="false">P789</f>
        <v>0</v>
      </c>
      <c r="AI789" s="61" t="n">
        <f aca="false">VLOOKUP(AH789,recipe_ingred_list!$K$29:$M$34,3,0)</f>
        <v>3</v>
      </c>
      <c r="AJ789" s="61" t="str">
        <f aca="false">IF(Q789="","",Q789)</f>
        <v/>
      </c>
      <c r="AK789" s="61" t="n">
        <f aca="false">AK788+1</f>
        <v>789</v>
      </c>
      <c r="AL789" s="61" t="str">
        <f aca="false">Y789</f>
        <v>kadi patta</v>
      </c>
      <c r="AM789" s="81" t="str">
        <f aca="false">"a = Client().post('"&amp;W789&amp;"', {'recipe' : '"&amp;V789&amp;"', 'ingredient' : '"&amp;Z789&amp;"', 'name' : '"&amp;X789&amp;"', 'mass_unit' : '"&amp;AC789&amp;"', 'mass_quantity' : '"&amp;ROUND(AA789,3)&amp;"', 'volume_unit' : '"&amp;AF789&amp;"', 'volume_quantity' : '"&amp;ROUND(AD789,3)&amp;"', 'pieces_unit' : '"&amp;AI789&amp;"', 'pieces_quantity' : '"&amp;ROUND(AG789,3)&amp;"', 'cooking_notes' : '"&amp;AJ789&amp;"'}).status_code; print('%s :: %s :: %s :: %s :: %s' %(a,"&amp;G789&amp;",'"&amp;X789&amp;"','"&amp;Y789&amp;"','"&amp;U789&amp;"'))"</f>
        <v>a = Client().post('/recipes/upma/detail/', {'recipe' : '83', 'ingredient' : '105', 'name' : 'kadipatta', 'mass_unit' : '2', 'mass_quantity' : '0', 'volume_unit' : '1', 'volume_quantity' : '2', 'pieces_unit' : '3', 'pieces_quantity' : '0', 'cooking_notes' : ''}).status_code; print('%s :: %s :: %s :: %s :: %s' %(a,789,'kadipatta','kadi patta','Upma'))</v>
      </c>
    </row>
    <row r="790" customFormat="false" ht="13.8" hidden="false" customHeight="false" outlineLevel="0" collapsed="false">
      <c r="G790" s="80" t="n">
        <v>790</v>
      </c>
      <c r="H790" s="83"/>
      <c r="I790" s="83" t="s">
        <v>358</v>
      </c>
      <c r="J790" s="83" t="s">
        <v>393</v>
      </c>
      <c r="M790" s="61" t="n">
        <v>75</v>
      </c>
      <c r="N790" s="61" t="s">
        <v>13</v>
      </c>
      <c r="R790" s="82" t="str">
        <f aca="false">VLOOKUP(J790,ingredient!$N$4:$O$553,2,0)</f>
        <v>hot water</v>
      </c>
      <c r="U790" s="81" t="str">
        <f aca="false">I790</f>
        <v>Upma</v>
      </c>
      <c r="V790" s="81" t="n">
        <f aca="false">VLOOKUP(U790,recipe_ingred_list!$A$2:$B$300,2,0)</f>
        <v>83</v>
      </c>
      <c r="W790" s="81" t="str">
        <f aca="false">"/recipes/"&amp;VLOOKUP(U790,recipe_ingred_list!$A$2:$C$300,3,0)&amp;"/detail/"</f>
        <v>/recipes/upma/detail/</v>
      </c>
      <c r="X790" s="81" t="str">
        <f aca="false">J790</f>
        <v>hot water</v>
      </c>
      <c r="Y790" s="81" t="str">
        <f aca="false">R790</f>
        <v>hot water</v>
      </c>
      <c r="Z790" s="94" t="n">
        <f aca="false">VLOOKUP(Y790,recipe_ingred_list!$D$2:$E$500,2,0)</f>
        <v>97</v>
      </c>
      <c r="AA790" s="61" t="n">
        <f aca="false">K790</f>
        <v>0</v>
      </c>
      <c r="AB790" s="61" t="n">
        <f aca="false">L790</f>
        <v>0</v>
      </c>
      <c r="AC790" s="61" t="n">
        <f aca="false">VLOOKUP(AB790,recipe_ingred_list!$K$2:$M$7,3,0)</f>
        <v>2</v>
      </c>
      <c r="AD790" s="61" t="n">
        <f aca="false">M790</f>
        <v>75</v>
      </c>
      <c r="AE790" s="61" t="str">
        <f aca="false">N790</f>
        <v>ltr</v>
      </c>
      <c r="AF790" s="61" t="n">
        <f aca="false">VLOOKUP(AE790,recipe_ingred_list!$K$16:$M$25,3,0)</f>
        <v>1</v>
      </c>
      <c r="AG790" s="61" t="n">
        <f aca="false">O790</f>
        <v>0</v>
      </c>
      <c r="AH790" s="61" t="n">
        <f aca="false">P790</f>
        <v>0</v>
      </c>
      <c r="AI790" s="61" t="n">
        <f aca="false">VLOOKUP(AH790,recipe_ingred_list!$K$29:$M$34,3,0)</f>
        <v>3</v>
      </c>
      <c r="AJ790" s="61" t="str">
        <f aca="false">IF(Q790="","",Q790)</f>
        <v/>
      </c>
      <c r="AK790" s="61" t="n">
        <f aca="false">AK789+1</f>
        <v>790</v>
      </c>
      <c r="AL790" s="61" t="str">
        <f aca="false">Y790</f>
        <v>hot water</v>
      </c>
      <c r="AM790" s="81" t="str">
        <f aca="false">"a = Client().post('"&amp;W790&amp;"', {'recipe' : '"&amp;V790&amp;"', 'ingredient' : '"&amp;Z790&amp;"', 'name' : '"&amp;X790&amp;"', 'mass_unit' : '"&amp;AC790&amp;"', 'mass_quantity' : '"&amp;ROUND(AA790,3)&amp;"', 'volume_unit' : '"&amp;AF790&amp;"', 'volume_quantity' : '"&amp;ROUND(AD790,3)&amp;"', 'pieces_unit' : '"&amp;AI790&amp;"', 'pieces_quantity' : '"&amp;ROUND(AG790,3)&amp;"', 'cooking_notes' : '"&amp;AJ790&amp;"'}).status_code; print('%s :: %s :: %s :: %s :: %s' %(a,"&amp;G790&amp;",'"&amp;X790&amp;"','"&amp;Y790&amp;"','"&amp;U790&amp;"'))"</f>
        <v>a = Client().post('/recipes/upma/detail/', {'recipe' : '83', 'ingredient' : '97', 'name' : 'hot water', 'mass_unit' : '2', 'mass_quantity' : '0', 'volume_unit' : '1', 'volume_quantity' : '75', 'pieces_unit' : '3', 'pieces_quantity' : '0', 'cooking_notes' : ''}).status_code; print('%s :: %s :: %s :: %s :: %s' %(a,790,'hot water','hot water','Upma'))</v>
      </c>
    </row>
    <row r="791" customFormat="false" ht="13.8" hidden="false" customHeight="false" outlineLevel="0" collapsed="false">
      <c r="G791" s="80" t="n">
        <v>791</v>
      </c>
      <c r="H791" s="83"/>
      <c r="I791" s="83" t="s">
        <v>358</v>
      </c>
      <c r="J791" s="83" t="s">
        <v>808</v>
      </c>
      <c r="K791" s="61" t="n">
        <v>25</v>
      </c>
      <c r="L791" s="61" t="s">
        <v>7</v>
      </c>
      <c r="R791" s="82" t="str">
        <f aca="false">VLOOKUP(J791,ingredient!$N$4:$O$553,2,0)</f>
        <v>upma</v>
      </c>
      <c r="U791" s="81" t="str">
        <f aca="false">I791</f>
        <v>Upma</v>
      </c>
      <c r="V791" s="81" t="n">
        <f aca="false">VLOOKUP(U791,recipe_ingred_list!$A$2:$B$300,2,0)</f>
        <v>83</v>
      </c>
      <c r="W791" s="81" t="str">
        <f aca="false">"/recipes/"&amp;VLOOKUP(U791,recipe_ingred_list!$A$2:$C$300,3,0)&amp;"/detail/"</f>
        <v>/recipes/upma/detail/</v>
      </c>
      <c r="X791" s="81" t="str">
        <f aca="false">J791</f>
        <v>Upma      </v>
      </c>
      <c r="Y791" s="81" t="str">
        <f aca="false">R791</f>
        <v>upma</v>
      </c>
      <c r="Z791" s="94" t="n">
        <f aca="false">VLOOKUP(Y791,recipe_ingred_list!$D$2:$E$500,2,0)</f>
        <v>199</v>
      </c>
      <c r="AA791" s="61" t="n">
        <f aca="false">K791</f>
        <v>25</v>
      </c>
      <c r="AB791" s="61" t="str">
        <f aca="false">L791</f>
        <v>kg</v>
      </c>
      <c r="AC791" s="61" t="n">
        <f aca="false">VLOOKUP(AB791,recipe_ingred_list!$K$2:$M$7,3,0)</f>
        <v>2</v>
      </c>
      <c r="AD791" s="61" t="n">
        <f aca="false">M791</f>
        <v>0</v>
      </c>
      <c r="AE791" s="61" t="n">
        <f aca="false">N791</f>
        <v>0</v>
      </c>
      <c r="AF791" s="61" t="n">
        <f aca="false">VLOOKUP(AE791,recipe_ingred_list!$K$16:$M$25,3,0)</f>
        <v>1</v>
      </c>
      <c r="AG791" s="61" t="n">
        <f aca="false">O791</f>
        <v>0</v>
      </c>
      <c r="AH791" s="61" t="n">
        <f aca="false">P791</f>
        <v>0</v>
      </c>
      <c r="AI791" s="61" t="n">
        <f aca="false">VLOOKUP(AH791,recipe_ingred_list!$K$29:$M$34,3,0)</f>
        <v>3</v>
      </c>
      <c r="AJ791" s="61" t="str">
        <f aca="false">IF(Q791="","",Q791)</f>
        <v/>
      </c>
      <c r="AK791" s="61" t="n">
        <f aca="false">AK790+1</f>
        <v>791</v>
      </c>
      <c r="AL791" s="61" t="str">
        <f aca="false">Y791</f>
        <v>upma</v>
      </c>
      <c r="AM791" s="81" t="str">
        <f aca="false">"a = Client().post('"&amp;W791&amp;"', {'recipe' : '"&amp;V791&amp;"', 'ingredient' : '"&amp;Z791&amp;"', 'name' : '"&amp;X791&amp;"', 'mass_unit' : '"&amp;AC791&amp;"', 'mass_quantity' : '"&amp;ROUND(AA791,3)&amp;"', 'volume_unit' : '"&amp;AF791&amp;"', 'volume_quantity' : '"&amp;ROUND(AD791,3)&amp;"', 'pieces_unit' : '"&amp;AI791&amp;"', 'pieces_quantity' : '"&amp;ROUND(AG791,3)&amp;"', 'cooking_notes' : '"&amp;AJ791&amp;"'}).status_code; print('%s :: %s :: %s :: %s :: %s' %(a,"&amp;G791&amp;",'"&amp;X791&amp;"','"&amp;Y791&amp;"','"&amp;U791&amp;"'))"</f>
        <v>a = Client().post('/recipes/upma/detail/', {'recipe' : '83', 'ingredient' : '199', 'name' : 'Upma      ', 'mass_unit' : '2', 'mass_quantity' : '25', 'volume_unit' : '1', 'volume_quantity' : '0', 'pieces_unit' : '3', 'pieces_quantity' : '0', 'cooking_notes' : ''}).status_code; print('%s :: %s :: %s :: %s :: %s' %(a,791,'Upma      ','upma','Upma'))</v>
      </c>
    </row>
    <row r="792" customFormat="false" ht="13.8" hidden="false" customHeight="false" outlineLevel="0" collapsed="false">
      <c r="G792" s="80" t="n">
        <v>792</v>
      </c>
      <c r="H792" s="83"/>
      <c r="I792" s="83" t="s">
        <v>358</v>
      </c>
      <c r="J792" s="83" t="s">
        <v>805</v>
      </c>
      <c r="M792" s="61" t="n">
        <v>7</v>
      </c>
      <c r="N792" s="61" t="s">
        <v>13</v>
      </c>
      <c r="R792" s="82" t="str">
        <f aca="false">VLOOKUP(J792,ingredient!$N$4:$O$553,2,0)</f>
        <v>gound nut oil</v>
      </c>
      <c r="U792" s="81" t="str">
        <f aca="false">I792</f>
        <v>Upma</v>
      </c>
      <c r="V792" s="81" t="n">
        <f aca="false">VLOOKUP(U792,recipe_ingred_list!$A$2:$B$300,2,0)</f>
        <v>83</v>
      </c>
      <c r="W792" s="81" t="str">
        <f aca="false">"/recipes/"&amp;VLOOKUP(U792,recipe_ingred_list!$A$2:$C$300,3,0)&amp;"/detail/"</f>
        <v>/recipes/upma/detail/</v>
      </c>
      <c r="X792" s="81" t="str">
        <f aca="false">J792</f>
        <v>oil(groundnut)</v>
      </c>
      <c r="Y792" s="81" t="str">
        <f aca="false">R792</f>
        <v>gound nut oil</v>
      </c>
      <c r="Z792" s="94" t="n">
        <f aca="false">VLOOKUP(Y792,recipe_ingred_list!$D$2:$E$500,2,0)</f>
        <v>83</v>
      </c>
      <c r="AA792" s="61" t="n">
        <f aca="false">K792</f>
        <v>0</v>
      </c>
      <c r="AB792" s="61" t="n">
        <f aca="false">L792</f>
        <v>0</v>
      </c>
      <c r="AC792" s="61" t="n">
        <f aca="false">VLOOKUP(AB792,recipe_ingred_list!$K$2:$M$7,3,0)</f>
        <v>2</v>
      </c>
      <c r="AD792" s="61" t="n">
        <f aca="false">M792</f>
        <v>7</v>
      </c>
      <c r="AE792" s="61" t="str">
        <f aca="false">N792</f>
        <v>ltr</v>
      </c>
      <c r="AF792" s="61" t="n">
        <f aca="false">VLOOKUP(AE792,recipe_ingred_list!$K$16:$M$25,3,0)</f>
        <v>1</v>
      </c>
      <c r="AG792" s="61" t="n">
        <f aca="false">O792</f>
        <v>0</v>
      </c>
      <c r="AH792" s="61" t="n">
        <f aca="false">P792</f>
        <v>0</v>
      </c>
      <c r="AI792" s="61" t="n">
        <f aca="false">VLOOKUP(AH792,recipe_ingred_list!$K$29:$M$34,3,0)</f>
        <v>3</v>
      </c>
      <c r="AJ792" s="61" t="str">
        <f aca="false">IF(Q792="","",Q792)</f>
        <v/>
      </c>
      <c r="AK792" s="61" t="n">
        <f aca="false">AK791+1</f>
        <v>792</v>
      </c>
      <c r="AL792" s="61" t="str">
        <f aca="false">Y792</f>
        <v>gound nut oil</v>
      </c>
      <c r="AM792" s="81" t="str">
        <f aca="false">"a = Client().post('"&amp;W792&amp;"', {'recipe' : '"&amp;V792&amp;"', 'ingredient' : '"&amp;Z792&amp;"', 'name' : '"&amp;X792&amp;"', 'mass_unit' : '"&amp;AC792&amp;"', 'mass_quantity' : '"&amp;ROUND(AA792,3)&amp;"', 'volume_unit' : '"&amp;AF792&amp;"', 'volume_quantity' : '"&amp;ROUND(AD792,3)&amp;"', 'pieces_unit' : '"&amp;AI792&amp;"', 'pieces_quantity' : '"&amp;ROUND(AG792,3)&amp;"', 'cooking_notes' : '"&amp;AJ792&amp;"'}).status_code; print('%s :: %s :: %s :: %s :: %s' %(a,"&amp;G792&amp;",'"&amp;X792&amp;"','"&amp;Y792&amp;"','"&amp;U792&amp;"'))"</f>
        <v>a = Client().post('/recipes/upma/detail/', {'recipe' : '83', 'ingredient' : '83', 'name' : 'oil(groundnut)', 'mass_unit' : '2', 'mass_quantity' : '0', 'volume_unit' : '1', 'volume_quantity' : '7', 'pieces_unit' : '3', 'pieces_quantity' : '0', 'cooking_notes' : ''}).status_code; print('%s :: %s :: %s :: %s :: %s' %(a,792,'oil(groundnut)','gound nut oil','Upma'))</v>
      </c>
    </row>
    <row r="793" customFormat="false" ht="13.8" hidden="false" customHeight="false" outlineLevel="0" collapsed="false">
      <c r="G793" s="80" t="n">
        <v>793</v>
      </c>
      <c r="H793" s="83"/>
      <c r="I793" s="83" t="s">
        <v>358</v>
      </c>
      <c r="J793" s="83" t="s">
        <v>570</v>
      </c>
      <c r="M793" s="61" t="n">
        <v>2</v>
      </c>
      <c r="N793" s="61" t="s">
        <v>20</v>
      </c>
      <c r="R793" s="82" t="str">
        <f aca="false">VLOOKUP(J793,ingredient!$N$4:$O$553,2,0)</f>
        <v>rai</v>
      </c>
      <c r="U793" s="81" t="str">
        <f aca="false">I793</f>
        <v>Upma</v>
      </c>
      <c r="V793" s="81" t="n">
        <f aca="false">VLOOKUP(U793,recipe_ingred_list!$A$2:$B$300,2,0)</f>
        <v>83</v>
      </c>
      <c r="W793" s="81" t="str">
        <f aca="false">"/recipes/"&amp;VLOOKUP(U793,recipe_ingred_list!$A$2:$C$300,3,0)&amp;"/detail/"</f>
        <v>/recipes/upma/detail/</v>
      </c>
      <c r="X793" s="81" t="str">
        <f aca="false">J793</f>
        <v>Rai</v>
      </c>
      <c r="Y793" s="81" t="str">
        <f aca="false">R793</f>
        <v>rai</v>
      </c>
      <c r="Z793" s="94" t="n">
        <f aca="false">VLOOKUP(Y793,recipe_ingred_list!$D$2:$E$500,2,0)</f>
        <v>164</v>
      </c>
      <c r="AA793" s="61" t="n">
        <f aca="false">K793</f>
        <v>0</v>
      </c>
      <c r="AB793" s="61" t="n">
        <f aca="false">L793</f>
        <v>0</v>
      </c>
      <c r="AC793" s="61" t="n">
        <f aca="false">VLOOKUP(AB793,recipe_ingred_list!$K$2:$M$7,3,0)</f>
        <v>2</v>
      </c>
      <c r="AD793" s="61" t="n">
        <f aca="false">M793</f>
        <v>2</v>
      </c>
      <c r="AE793" s="61" t="str">
        <f aca="false">N793</f>
        <v>cup</v>
      </c>
      <c r="AF793" s="61" t="n">
        <f aca="false">VLOOKUP(AE793,recipe_ingred_list!$K$16:$M$25,3,0)</f>
        <v>5</v>
      </c>
      <c r="AG793" s="61" t="n">
        <f aca="false">O793</f>
        <v>0</v>
      </c>
      <c r="AH793" s="61" t="n">
        <f aca="false">P793</f>
        <v>0</v>
      </c>
      <c r="AI793" s="61" t="n">
        <f aca="false">VLOOKUP(AH793,recipe_ingred_list!$K$29:$M$34,3,0)</f>
        <v>3</v>
      </c>
      <c r="AJ793" s="61" t="str">
        <f aca="false">IF(Q793="","",Q793)</f>
        <v/>
      </c>
      <c r="AK793" s="61" t="n">
        <f aca="false">AK792+1</f>
        <v>793</v>
      </c>
      <c r="AL793" s="61" t="str">
        <f aca="false">Y793</f>
        <v>rai</v>
      </c>
      <c r="AM793" s="81" t="str">
        <f aca="false">"a = Client().post('"&amp;W793&amp;"', {'recipe' : '"&amp;V793&amp;"', 'ingredient' : '"&amp;Z793&amp;"', 'name' : '"&amp;X793&amp;"', 'mass_unit' : '"&amp;AC793&amp;"', 'mass_quantity' : '"&amp;ROUND(AA793,3)&amp;"', 'volume_unit' : '"&amp;AF793&amp;"', 'volume_quantity' : '"&amp;ROUND(AD793,3)&amp;"', 'pieces_unit' : '"&amp;AI793&amp;"', 'pieces_quantity' : '"&amp;ROUND(AG793,3)&amp;"', 'cooking_notes' : '"&amp;AJ793&amp;"'}).status_code; print('%s :: %s :: %s :: %s :: %s' %(a,"&amp;G793&amp;",'"&amp;X793&amp;"','"&amp;Y793&amp;"','"&amp;U793&amp;"'))"</f>
        <v>a = Client().post('/recipes/upma/detail/', {'recipe' : '83', 'ingredient' : '164', 'name' : 'Rai', 'mass_unit' : '2', 'mass_quantity' : '0', 'volume_unit' : '5', 'volume_quantity' : '2', 'pieces_unit' : '3', 'pieces_quantity' : '0', 'cooking_notes' : ''}).status_code; print('%s :: %s :: %s :: %s :: %s' %(a,793,'Rai','rai','Upma'))</v>
      </c>
    </row>
    <row r="794" customFormat="false" ht="13.8" hidden="false" customHeight="false" outlineLevel="0" collapsed="false">
      <c r="G794" s="80" t="n">
        <v>794</v>
      </c>
      <c r="H794" s="83"/>
      <c r="I794" s="83" t="s">
        <v>358</v>
      </c>
      <c r="J794" s="83" t="s">
        <v>249</v>
      </c>
      <c r="M794" s="61" t="n">
        <v>1</v>
      </c>
      <c r="N794" s="61" t="s">
        <v>13</v>
      </c>
      <c r="R794" s="82" t="str">
        <f aca="false">VLOOKUP(J794,ingredient!$N$4:$O$553,2,0)</f>
        <v>chana dal</v>
      </c>
      <c r="U794" s="81" t="str">
        <f aca="false">I794</f>
        <v>Upma</v>
      </c>
      <c r="V794" s="81" t="n">
        <f aca="false">VLOOKUP(U794,recipe_ingred_list!$A$2:$B$300,2,0)</f>
        <v>83</v>
      </c>
      <c r="W794" s="81" t="str">
        <f aca="false">"/recipes/"&amp;VLOOKUP(U794,recipe_ingred_list!$A$2:$C$300,3,0)&amp;"/detail/"</f>
        <v>/recipes/upma/detail/</v>
      </c>
      <c r="X794" s="81" t="str">
        <f aca="false">J794</f>
        <v>chana dal</v>
      </c>
      <c r="Y794" s="81" t="str">
        <f aca="false">R794</f>
        <v>chana dal</v>
      </c>
      <c r="Z794" s="94" t="n">
        <f aca="false">VLOOKUP(Y794,recipe_ingred_list!$D$2:$E$500,2,0)</f>
        <v>46</v>
      </c>
      <c r="AA794" s="61" t="n">
        <f aca="false">K794</f>
        <v>0</v>
      </c>
      <c r="AB794" s="61" t="n">
        <f aca="false">L794</f>
        <v>0</v>
      </c>
      <c r="AC794" s="61" t="n">
        <f aca="false">VLOOKUP(AB794,recipe_ingred_list!$K$2:$M$7,3,0)</f>
        <v>2</v>
      </c>
      <c r="AD794" s="61" t="n">
        <f aca="false">M794</f>
        <v>1</v>
      </c>
      <c r="AE794" s="61" t="str">
        <f aca="false">N794</f>
        <v>ltr</v>
      </c>
      <c r="AF794" s="61" t="n">
        <f aca="false">VLOOKUP(AE794,recipe_ingred_list!$K$16:$M$25,3,0)</f>
        <v>1</v>
      </c>
      <c r="AG794" s="61" t="n">
        <f aca="false">O794</f>
        <v>0</v>
      </c>
      <c r="AH794" s="61" t="n">
        <f aca="false">P794</f>
        <v>0</v>
      </c>
      <c r="AI794" s="61" t="n">
        <f aca="false">VLOOKUP(AH794,recipe_ingred_list!$K$29:$M$34,3,0)</f>
        <v>3</v>
      </c>
      <c r="AJ794" s="61" t="str">
        <f aca="false">IF(Q794="","",Q794)</f>
        <v/>
      </c>
      <c r="AK794" s="61" t="n">
        <f aca="false">AK793+1</f>
        <v>794</v>
      </c>
      <c r="AL794" s="61" t="str">
        <f aca="false">Y794</f>
        <v>chana dal</v>
      </c>
      <c r="AM794" s="81" t="str">
        <f aca="false">"a = Client().post('"&amp;W794&amp;"', {'recipe' : '"&amp;V794&amp;"', 'ingredient' : '"&amp;Z794&amp;"', 'name' : '"&amp;X794&amp;"', 'mass_unit' : '"&amp;AC794&amp;"', 'mass_quantity' : '"&amp;ROUND(AA794,3)&amp;"', 'volume_unit' : '"&amp;AF794&amp;"', 'volume_quantity' : '"&amp;ROUND(AD794,3)&amp;"', 'pieces_unit' : '"&amp;AI794&amp;"', 'pieces_quantity' : '"&amp;ROUND(AG794,3)&amp;"', 'cooking_notes' : '"&amp;AJ794&amp;"'}).status_code; print('%s :: %s :: %s :: %s :: %s' %(a,"&amp;G794&amp;",'"&amp;X794&amp;"','"&amp;Y794&amp;"','"&amp;U794&amp;"'))"</f>
        <v>a = Client().post('/recipes/upma/detail/', {'recipe' : '83', 'ingredient' : '46', 'name' : 'chana dal', 'mass_unit' : '2', 'mass_quantity' : '0', 'volume_unit' : '1', 'volume_quantity' : '1', 'pieces_unit' : '3', 'pieces_quantity' : '0', 'cooking_notes' : ''}).status_code; print('%s :: %s :: %s :: %s :: %s' %(a,794,'chana dal','chana dal','Upma'))</v>
      </c>
    </row>
    <row r="795" customFormat="false" ht="13.8" hidden="false" customHeight="false" outlineLevel="0" collapsed="false">
      <c r="G795" s="80" t="n">
        <v>795</v>
      </c>
      <c r="H795" s="83"/>
      <c r="I795" s="83" t="s">
        <v>358</v>
      </c>
      <c r="J795" s="83" t="s">
        <v>489</v>
      </c>
      <c r="M795" s="61" t="n">
        <v>1</v>
      </c>
      <c r="N795" s="61" t="s">
        <v>13</v>
      </c>
      <c r="R795" s="82" t="str">
        <f aca="false">VLOOKUP(J795,ingredient!$N$4:$O$553,2,0)</f>
        <v>urad dal</v>
      </c>
      <c r="U795" s="81" t="str">
        <f aca="false">I795</f>
        <v>Upma</v>
      </c>
      <c r="V795" s="81" t="n">
        <f aca="false">VLOOKUP(U795,recipe_ingred_list!$A$2:$B$300,2,0)</f>
        <v>83</v>
      </c>
      <c r="W795" s="81" t="str">
        <f aca="false">"/recipes/"&amp;VLOOKUP(U795,recipe_ingred_list!$A$2:$C$300,3,0)&amp;"/detail/"</f>
        <v>/recipes/upma/detail/</v>
      </c>
      <c r="X795" s="81" t="str">
        <f aca="false">J795</f>
        <v>urad dal</v>
      </c>
      <c r="Y795" s="81" t="str">
        <f aca="false">R795</f>
        <v>urad dal</v>
      </c>
      <c r="Z795" s="94" t="n">
        <f aca="false">VLOOKUP(Y795,recipe_ingred_list!$D$2:$E$500,2,0)</f>
        <v>200</v>
      </c>
      <c r="AA795" s="61" t="n">
        <f aca="false">K795</f>
        <v>0</v>
      </c>
      <c r="AB795" s="61" t="n">
        <f aca="false">L795</f>
        <v>0</v>
      </c>
      <c r="AC795" s="61" t="n">
        <f aca="false">VLOOKUP(AB795,recipe_ingred_list!$K$2:$M$7,3,0)</f>
        <v>2</v>
      </c>
      <c r="AD795" s="61" t="n">
        <f aca="false">M795</f>
        <v>1</v>
      </c>
      <c r="AE795" s="61" t="str">
        <f aca="false">N795</f>
        <v>ltr</v>
      </c>
      <c r="AF795" s="61" t="n">
        <f aca="false">VLOOKUP(AE795,recipe_ingred_list!$K$16:$M$25,3,0)</f>
        <v>1</v>
      </c>
      <c r="AG795" s="61" t="n">
        <f aca="false">O795</f>
        <v>0</v>
      </c>
      <c r="AH795" s="61" t="n">
        <f aca="false">P795</f>
        <v>0</v>
      </c>
      <c r="AI795" s="61" t="n">
        <f aca="false">VLOOKUP(AH795,recipe_ingred_list!$K$29:$M$34,3,0)</f>
        <v>3</v>
      </c>
      <c r="AJ795" s="61" t="str">
        <f aca="false">IF(Q795="","",Q795)</f>
        <v/>
      </c>
      <c r="AK795" s="61" t="n">
        <f aca="false">AK794+1</f>
        <v>795</v>
      </c>
      <c r="AL795" s="61" t="str">
        <f aca="false">Y795</f>
        <v>urad dal</v>
      </c>
      <c r="AM795" s="81" t="str">
        <f aca="false">"a = Client().post('"&amp;W795&amp;"', {'recipe' : '"&amp;V795&amp;"', 'ingredient' : '"&amp;Z795&amp;"', 'name' : '"&amp;X795&amp;"', 'mass_unit' : '"&amp;AC795&amp;"', 'mass_quantity' : '"&amp;ROUND(AA795,3)&amp;"', 'volume_unit' : '"&amp;AF795&amp;"', 'volume_quantity' : '"&amp;ROUND(AD795,3)&amp;"', 'pieces_unit' : '"&amp;AI795&amp;"', 'pieces_quantity' : '"&amp;ROUND(AG795,3)&amp;"', 'cooking_notes' : '"&amp;AJ795&amp;"'}).status_code; print('%s :: %s :: %s :: %s :: %s' %(a,"&amp;G795&amp;",'"&amp;X795&amp;"','"&amp;Y795&amp;"','"&amp;U795&amp;"'))"</f>
        <v>a = Client().post('/recipes/upma/detail/', {'recipe' : '83', 'ingredient' : '200', 'name' : 'urad dal', 'mass_unit' : '2', 'mass_quantity' : '0', 'volume_unit' : '1', 'volume_quantity' : '1', 'pieces_unit' : '3', 'pieces_quantity' : '0', 'cooking_notes' : ''}).status_code; print('%s :: %s :: %s :: %s :: %s' %(a,795,'urad dal','urad dal','Upma'))</v>
      </c>
    </row>
    <row r="796" customFormat="false" ht="13.8" hidden="false" customHeight="false" outlineLevel="0" collapsed="false">
      <c r="G796" s="80" t="n">
        <v>796</v>
      </c>
      <c r="H796" s="83"/>
      <c r="I796" s="83" t="s">
        <v>358</v>
      </c>
      <c r="J796" s="83" t="s">
        <v>382</v>
      </c>
      <c r="M796" s="61" t="n">
        <v>1</v>
      </c>
      <c r="N796" s="61" t="s">
        <v>20</v>
      </c>
      <c r="R796" s="82" t="str">
        <f aca="false">VLOOKUP(J796,ingredient!$N$4:$O$553,2,0)</f>
        <v>haldi</v>
      </c>
      <c r="U796" s="81" t="str">
        <f aca="false">I796</f>
        <v>Upma</v>
      </c>
      <c r="V796" s="81" t="n">
        <f aca="false">VLOOKUP(U796,recipe_ingred_list!$A$2:$B$300,2,0)</f>
        <v>83</v>
      </c>
      <c r="W796" s="81" t="str">
        <f aca="false">"/recipes/"&amp;VLOOKUP(U796,recipe_ingred_list!$A$2:$C$300,3,0)&amp;"/detail/"</f>
        <v>/recipes/upma/detail/</v>
      </c>
      <c r="X796" s="81" t="str">
        <f aca="false">J796</f>
        <v>haldi</v>
      </c>
      <c r="Y796" s="81" t="str">
        <f aca="false">R796</f>
        <v>haldi</v>
      </c>
      <c r="Z796" s="94" t="n">
        <f aca="false">VLOOKUP(Y796,recipe_ingred_list!$D$2:$E$500,2,0)</f>
        <v>91</v>
      </c>
      <c r="AA796" s="61" t="n">
        <f aca="false">K796</f>
        <v>0</v>
      </c>
      <c r="AB796" s="61" t="n">
        <f aca="false">L796</f>
        <v>0</v>
      </c>
      <c r="AC796" s="61" t="n">
        <f aca="false">VLOOKUP(AB796,recipe_ingred_list!$K$2:$M$7,3,0)</f>
        <v>2</v>
      </c>
      <c r="AD796" s="61" t="n">
        <f aca="false">M796</f>
        <v>1</v>
      </c>
      <c r="AE796" s="61" t="str">
        <f aca="false">N796</f>
        <v>cup</v>
      </c>
      <c r="AF796" s="61" t="n">
        <f aca="false">VLOOKUP(AE796,recipe_ingred_list!$K$16:$M$25,3,0)</f>
        <v>5</v>
      </c>
      <c r="AG796" s="61" t="n">
        <f aca="false">O796</f>
        <v>0</v>
      </c>
      <c r="AH796" s="61" t="n">
        <f aca="false">P796</f>
        <v>0</v>
      </c>
      <c r="AI796" s="61" t="n">
        <f aca="false">VLOOKUP(AH796,recipe_ingred_list!$K$29:$M$34,3,0)</f>
        <v>3</v>
      </c>
      <c r="AJ796" s="61" t="str">
        <f aca="false">IF(Q796="","",Q796)</f>
        <v/>
      </c>
      <c r="AK796" s="61" t="n">
        <f aca="false">AK795+1</f>
        <v>796</v>
      </c>
      <c r="AL796" s="61" t="str">
        <f aca="false">Y796</f>
        <v>haldi</v>
      </c>
      <c r="AM796" s="81" t="str">
        <f aca="false">"a = Client().post('"&amp;W796&amp;"', {'recipe' : '"&amp;V796&amp;"', 'ingredient' : '"&amp;Z796&amp;"', 'name' : '"&amp;X796&amp;"', 'mass_unit' : '"&amp;AC796&amp;"', 'mass_quantity' : '"&amp;ROUND(AA796,3)&amp;"', 'volume_unit' : '"&amp;AF796&amp;"', 'volume_quantity' : '"&amp;ROUND(AD796,3)&amp;"', 'pieces_unit' : '"&amp;AI796&amp;"', 'pieces_quantity' : '"&amp;ROUND(AG796,3)&amp;"', 'cooking_notes' : '"&amp;AJ796&amp;"'}).status_code; print('%s :: %s :: %s :: %s :: %s' %(a,"&amp;G796&amp;",'"&amp;X796&amp;"','"&amp;Y796&amp;"','"&amp;U796&amp;"'))"</f>
        <v>a = Client().post('/recipes/upma/detail/', {'recipe' : '83', 'ingredient' : '91', 'name' : 'haldi', 'mass_unit' : '2', 'mass_quantity' : '0', 'volume_unit' : '5', 'volume_quantity' : '1', 'pieces_unit' : '3', 'pieces_quantity' : '0', 'cooking_notes' : ''}).status_code; print('%s :: %s :: %s :: %s :: %s' %(a,796,'haldi','haldi','Upma'))</v>
      </c>
    </row>
    <row r="797" customFormat="false" ht="13.8" hidden="false" customHeight="false" outlineLevel="0" collapsed="false">
      <c r="G797" s="80" t="n">
        <v>797</v>
      </c>
      <c r="H797" s="83"/>
      <c r="I797" s="83" t="s">
        <v>358</v>
      </c>
      <c r="J797" s="83" t="s">
        <v>809</v>
      </c>
      <c r="M797" s="61" t="n">
        <v>0.5</v>
      </c>
      <c r="N797" s="61" t="s">
        <v>20</v>
      </c>
      <c r="R797" s="82" t="str">
        <f aca="false">VLOOKUP(J797,ingredient!$N$4:$O$553,2,0)</f>
        <v>kashmiri chilly powder</v>
      </c>
      <c r="U797" s="81" t="str">
        <f aca="false">I797</f>
        <v>Upma</v>
      </c>
      <c r="V797" s="81" t="n">
        <f aca="false">VLOOKUP(U797,recipe_ingred_list!$A$2:$B$300,2,0)</f>
        <v>83</v>
      </c>
      <c r="W797" s="81" t="str">
        <f aca="false">"/recipes/"&amp;VLOOKUP(U797,recipe_ingred_list!$A$2:$C$300,3,0)&amp;"/detail/"</f>
        <v>/recipes/upma/detail/</v>
      </c>
      <c r="X797" s="81" t="str">
        <f aca="false">J797</f>
        <v>kashmiri chili powder</v>
      </c>
      <c r="Y797" s="81" t="str">
        <f aca="false">R797</f>
        <v>kashmiri chilly powder</v>
      </c>
      <c r="Z797" s="94" t="n">
        <f aca="false">VLOOKUP(Y797,recipe_ingred_list!$D$2:$E$500,2,0)</f>
        <v>117</v>
      </c>
      <c r="AA797" s="61" t="n">
        <f aca="false">K797</f>
        <v>0</v>
      </c>
      <c r="AB797" s="61" t="n">
        <f aca="false">L797</f>
        <v>0</v>
      </c>
      <c r="AC797" s="61" t="n">
        <f aca="false">VLOOKUP(AB797,recipe_ingred_list!$K$2:$M$7,3,0)</f>
        <v>2</v>
      </c>
      <c r="AD797" s="61" t="n">
        <f aca="false">M797</f>
        <v>0.5</v>
      </c>
      <c r="AE797" s="61" t="str">
        <f aca="false">N797</f>
        <v>cup</v>
      </c>
      <c r="AF797" s="61" t="n">
        <f aca="false">VLOOKUP(AE797,recipe_ingred_list!$K$16:$M$25,3,0)</f>
        <v>5</v>
      </c>
      <c r="AG797" s="61" t="n">
        <f aca="false">O797</f>
        <v>0</v>
      </c>
      <c r="AH797" s="61" t="n">
        <f aca="false">P797</f>
        <v>0</v>
      </c>
      <c r="AI797" s="61" t="n">
        <f aca="false">VLOOKUP(AH797,recipe_ingred_list!$K$29:$M$34,3,0)</f>
        <v>3</v>
      </c>
      <c r="AJ797" s="61" t="str">
        <f aca="false">IF(Q797="","",Q797)</f>
        <v/>
      </c>
      <c r="AK797" s="61" t="n">
        <f aca="false">AK796+1</f>
        <v>797</v>
      </c>
      <c r="AL797" s="61" t="str">
        <f aca="false">Y797</f>
        <v>kashmiri chilly powder</v>
      </c>
      <c r="AM797" s="81" t="str">
        <f aca="false">"a = Client().post('"&amp;W797&amp;"', {'recipe' : '"&amp;V797&amp;"', 'ingredient' : '"&amp;Z797&amp;"', 'name' : '"&amp;X797&amp;"', 'mass_unit' : '"&amp;AC797&amp;"', 'mass_quantity' : '"&amp;ROUND(AA797,3)&amp;"', 'volume_unit' : '"&amp;AF797&amp;"', 'volume_quantity' : '"&amp;ROUND(AD797,3)&amp;"', 'pieces_unit' : '"&amp;AI797&amp;"', 'pieces_quantity' : '"&amp;ROUND(AG797,3)&amp;"', 'cooking_notes' : '"&amp;AJ797&amp;"'}).status_code; print('%s :: %s :: %s :: %s :: %s' %(a,"&amp;G797&amp;",'"&amp;X797&amp;"','"&amp;Y797&amp;"','"&amp;U797&amp;"'))"</f>
        <v>a = Client().post('/recipes/upma/detail/', {'recipe' : '83', 'ingredient' : '117', 'name' : 'kashmiri chili powder', 'mass_unit' : '2', 'mass_quantity' : '0', 'volume_unit' : '5', 'volume_quantity' : '0.5', 'pieces_unit' : '3', 'pieces_quantity' : '0', 'cooking_notes' : ''}).status_code; print('%s :: %s :: %s :: %s :: %s' %(a,797,'kashmiri chili powder','kashmiri chilly powder','Upma'))</v>
      </c>
    </row>
    <row r="798" customFormat="false" ht="13.8" hidden="false" customHeight="false" outlineLevel="0" collapsed="false">
      <c r="G798" s="80" t="n">
        <v>798</v>
      </c>
      <c r="H798" s="83"/>
      <c r="I798" s="83" t="s">
        <v>358</v>
      </c>
      <c r="J798" s="83" t="s">
        <v>391</v>
      </c>
      <c r="M798" s="61" t="n">
        <v>0.5</v>
      </c>
      <c r="N798" s="61" t="s">
        <v>20</v>
      </c>
      <c r="R798" s="82" t="str">
        <f aca="false">VLOOKUP(J798,ingredient!$N$4:$O$553,2,0)</f>
        <v>hing</v>
      </c>
      <c r="U798" s="81" t="str">
        <f aca="false">I798</f>
        <v>Upma</v>
      </c>
      <c r="V798" s="81" t="n">
        <f aca="false">VLOOKUP(U798,recipe_ingred_list!$A$2:$B$300,2,0)</f>
        <v>83</v>
      </c>
      <c r="W798" s="81" t="str">
        <f aca="false">"/recipes/"&amp;VLOOKUP(U798,recipe_ingred_list!$A$2:$C$300,3,0)&amp;"/detail/"</f>
        <v>/recipes/upma/detail/</v>
      </c>
      <c r="X798" s="81" t="str">
        <f aca="false">J798</f>
        <v>hing</v>
      </c>
      <c r="Y798" s="81" t="str">
        <f aca="false">R798</f>
        <v>hing</v>
      </c>
      <c r="Z798" s="94" t="n">
        <f aca="false">VLOOKUP(Y798,recipe_ingred_list!$D$2:$E$500,2,0)</f>
        <v>95</v>
      </c>
      <c r="AA798" s="61" t="n">
        <f aca="false">K798</f>
        <v>0</v>
      </c>
      <c r="AB798" s="61" t="n">
        <f aca="false">L798</f>
        <v>0</v>
      </c>
      <c r="AC798" s="61" t="n">
        <f aca="false">VLOOKUP(AB798,recipe_ingred_list!$K$2:$M$7,3,0)</f>
        <v>2</v>
      </c>
      <c r="AD798" s="61" t="n">
        <f aca="false">M798</f>
        <v>0.5</v>
      </c>
      <c r="AE798" s="61" t="str">
        <f aca="false">N798</f>
        <v>cup</v>
      </c>
      <c r="AF798" s="61" t="n">
        <f aca="false">VLOOKUP(AE798,recipe_ingred_list!$K$16:$M$25,3,0)</f>
        <v>5</v>
      </c>
      <c r="AG798" s="61" t="n">
        <f aca="false">O798</f>
        <v>0</v>
      </c>
      <c r="AH798" s="61" t="n">
        <f aca="false">P798</f>
        <v>0</v>
      </c>
      <c r="AI798" s="61" t="n">
        <f aca="false">VLOOKUP(AH798,recipe_ingred_list!$K$29:$M$34,3,0)</f>
        <v>3</v>
      </c>
      <c r="AJ798" s="61" t="str">
        <f aca="false">IF(Q798="","",Q798)</f>
        <v/>
      </c>
      <c r="AK798" s="61" t="n">
        <f aca="false">AK797+1</f>
        <v>798</v>
      </c>
      <c r="AL798" s="61" t="str">
        <f aca="false">Y798</f>
        <v>hing</v>
      </c>
      <c r="AM798" s="81" t="str">
        <f aca="false">"a = Client().post('"&amp;W798&amp;"', {'recipe' : '"&amp;V798&amp;"', 'ingredient' : '"&amp;Z798&amp;"', 'name' : '"&amp;X798&amp;"', 'mass_unit' : '"&amp;AC798&amp;"', 'mass_quantity' : '"&amp;ROUND(AA798,3)&amp;"', 'volume_unit' : '"&amp;AF798&amp;"', 'volume_quantity' : '"&amp;ROUND(AD798,3)&amp;"', 'pieces_unit' : '"&amp;AI798&amp;"', 'pieces_quantity' : '"&amp;ROUND(AG798,3)&amp;"', 'cooking_notes' : '"&amp;AJ798&amp;"'}).status_code; print('%s :: %s :: %s :: %s :: %s' %(a,"&amp;G798&amp;",'"&amp;X798&amp;"','"&amp;Y798&amp;"','"&amp;U798&amp;"'))"</f>
        <v>a = Client().post('/recipes/upma/detail/', {'recipe' : '83', 'ingredient' : '95', 'name' : 'hing', 'mass_unit' : '2', 'mass_quantity' : '0', 'volume_unit' : '5', 'volume_quantity' : '0.5', 'pieces_unit' : '3', 'pieces_quantity' : '0', 'cooking_notes' : ''}).status_code; print('%s :: %s :: %s :: %s :: %s' %(a,798,'hing','hing','Upma'))</v>
      </c>
    </row>
    <row r="799" customFormat="false" ht="13.8" hidden="false" customHeight="false" outlineLevel="0" collapsed="false">
      <c r="G799" s="80" t="n">
        <v>799</v>
      </c>
      <c r="H799" s="83"/>
      <c r="I799" s="83" t="s">
        <v>358</v>
      </c>
      <c r="J799" s="83" t="s">
        <v>96</v>
      </c>
      <c r="M799" s="61" t="n">
        <v>7</v>
      </c>
      <c r="N799" s="61" t="s">
        <v>20</v>
      </c>
      <c r="R799" s="82" t="str">
        <f aca="false">VLOOKUP(J799,ingredient!$N$4:$O$553,2,0)</f>
        <v>salt</v>
      </c>
      <c r="U799" s="81" t="str">
        <f aca="false">I799</f>
        <v>Upma</v>
      </c>
      <c r="V799" s="81" t="n">
        <f aca="false">VLOOKUP(U799,recipe_ingred_list!$A$2:$B$300,2,0)</f>
        <v>83</v>
      </c>
      <c r="W799" s="81" t="str">
        <f aca="false">"/recipes/"&amp;VLOOKUP(U799,recipe_ingred_list!$A$2:$C$300,3,0)&amp;"/detail/"</f>
        <v>/recipes/upma/detail/</v>
      </c>
      <c r="X799" s="81" t="str">
        <f aca="false">J799</f>
        <v>salt</v>
      </c>
      <c r="Y799" s="81" t="str">
        <f aca="false">R799</f>
        <v>salt</v>
      </c>
      <c r="Z799" s="94" t="n">
        <f aca="false">VLOOKUP(Y799,recipe_ingred_list!$D$2:$E$500,2,0)</f>
        <v>177</v>
      </c>
      <c r="AA799" s="61" t="n">
        <f aca="false">K799</f>
        <v>0</v>
      </c>
      <c r="AB799" s="61" t="n">
        <f aca="false">L799</f>
        <v>0</v>
      </c>
      <c r="AC799" s="61" t="n">
        <f aca="false">VLOOKUP(AB799,recipe_ingred_list!$K$2:$M$7,3,0)</f>
        <v>2</v>
      </c>
      <c r="AD799" s="61" t="n">
        <f aca="false">M799</f>
        <v>7</v>
      </c>
      <c r="AE799" s="61" t="str">
        <f aca="false">N799</f>
        <v>cup</v>
      </c>
      <c r="AF799" s="61" t="n">
        <f aca="false">VLOOKUP(AE799,recipe_ingred_list!$K$16:$M$25,3,0)</f>
        <v>5</v>
      </c>
      <c r="AG799" s="61" t="n">
        <f aca="false">O799</f>
        <v>0</v>
      </c>
      <c r="AH799" s="61" t="n">
        <f aca="false">P799</f>
        <v>0</v>
      </c>
      <c r="AI799" s="61" t="n">
        <f aca="false">VLOOKUP(AH799,recipe_ingred_list!$K$29:$M$34,3,0)</f>
        <v>3</v>
      </c>
      <c r="AJ799" s="61" t="str">
        <f aca="false">IF(Q799="","",Q799)</f>
        <v/>
      </c>
      <c r="AK799" s="61" t="n">
        <f aca="false">AK798+1</f>
        <v>799</v>
      </c>
      <c r="AL799" s="61" t="str">
        <f aca="false">Y799</f>
        <v>salt</v>
      </c>
      <c r="AM799" s="81" t="str">
        <f aca="false">"a = Client().post('"&amp;W799&amp;"', {'recipe' : '"&amp;V799&amp;"', 'ingredient' : '"&amp;Z799&amp;"', 'name' : '"&amp;X799&amp;"', 'mass_unit' : '"&amp;AC799&amp;"', 'mass_quantity' : '"&amp;ROUND(AA799,3)&amp;"', 'volume_unit' : '"&amp;AF799&amp;"', 'volume_quantity' : '"&amp;ROUND(AD799,3)&amp;"', 'pieces_unit' : '"&amp;AI799&amp;"', 'pieces_quantity' : '"&amp;ROUND(AG799,3)&amp;"', 'cooking_notes' : '"&amp;AJ799&amp;"'}).status_code; print('%s :: %s :: %s :: %s :: %s' %(a,"&amp;G799&amp;",'"&amp;X799&amp;"','"&amp;Y799&amp;"','"&amp;U799&amp;"'))"</f>
        <v>a = Client().post('/recipes/upma/detail/', {'recipe' : '83', 'ingredient' : '177', 'name' : 'salt', 'mass_unit' : '2', 'mass_quantity' : '0', 'volume_unit' : '5', 'volume_quantity' : '7', 'pieces_unit' : '3', 'pieces_quantity' : '0', 'cooking_notes' : ''}).status_code; print('%s :: %s :: %s :: %s :: %s' %(a,799,'salt','salt','Upma'))</v>
      </c>
    </row>
    <row r="800" customFormat="false" ht="13.8" hidden="false" customHeight="false" outlineLevel="0" collapsed="false">
      <c r="G800" s="80" t="n">
        <v>800</v>
      </c>
      <c r="H800" s="79"/>
      <c r="I800" s="79"/>
      <c r="J800" s="79"/>
      <c r="K800" s="100"/>
      <c r="L800" s="100"/>
      <c r="M800" s="100"/>
      <c r="N800" s="100"/>
      <c r="O800" s="100"/>
      <c r="P800" s="100"/>
      <c r="Q800" s="102"/>
      <c r="R800" s="99" t="e">
        <f aca="false">VLOOKUP(J800,ingredient!$N$4:$O$553,2,0)</f>
        <v>#N/A</v>
      </c>
      <c r="S800" s="98"/>
      <c r="T800" s="98"/>
      <c r="U800" s="81" t="n">
        <f aca="false">I800</f>
        <v>0</v>
      </c>
      <c r="V800" s="81" t="e">
        <f aca="false">VLOOKUP(U800,recipe_ingred_list!$A$2:$B$300,2,0)</f>
        <v>#N/A</v>
      </c>
      <c r="W800" s="81" t="e">
        <f aca="false">"/recipes/"&amp;VLOOKUP(U800,recipe_ingred_list!$A$2:$C$300,3,0)&amp;"/detail/"</f>
        <v>#N/A</v>
      </c>
      <c r="X800" s="81" t="n">
        <f aca="false">J800</f>
        <v>0</v>
      </c>
      <c r="Y800" s="81" t="e">
        <f aca="false">R800</f>
        <v>#N/A</v>
      </c>
      <c r="Z800" s="94" t="e">
        <f aca="false">VLOOKUP(Y800,recipe_ingred_list!$D$2:$E$500,2,0)</f>
        <v>#N/A</v>
      </c>
      <c r="AA800" s="61" t="n">
        <f aca="false">K800</f>
        <v>0</v>
      </c>
      <c r="AB800" s="61" t="n">
        <f aca="false">L800</f>
        <v>0</v>
      </c>
      <c r="AC800" s="61" t="n">
        <f aca="false">VLOOKUP(AB800,recipe_ingred_list!$K$2:$M$7,3,0)</f>
        <v>2</v>
      </c>
      <c r="AD800" s="61" t="n">
        <f aca="false">M800</f>
        <v>0</v>
      </c>
      <c r="AE800" s="61" t="n">
        <f aca="false">N800</f>
        <v>0</v>
      </c>
      <c r="AF800" s="61" t="n">
        <f aca="false">VLOOKUP(AE800,recipe_ingred_list!$K$16:$M$25,3,0)</f>
        <v>1</v>
      </c>
      <c r="AG800" s="61" t="n">
        <f aca="false">O800</f>
        <v>0</v>
      </c>
      <c r="AH800" s="61" t="n">
        <f aca="false">P800</f>
        <v>0</v>
      </c>
      <c r="AI800" s="61" t="n">
        <f aca="false">VLOOKUP(AH800,recipe_ingred_list!$K$29:$M$34,3,0)</f>
        <v>3</v>
      </c>
      <c r="AJ800" s="61" t="str">
        <f aca="false">IF(Q800="","",Q800)</f>
        <v/>
      </c>
      <c r="AK800" s="61" t="n">
        <f aca="false">AK799+1</f>
        <v>800</v>
      </c>
      <c r="AL800" s="61" t="e">
        <f aca="false">Y800</f>
        <v>#N/A</v>
      </c>
      <c r="AM800" s="81" t="e">
        <f aca="false">"a = Client().post('"&amp;W800&amp;"', {'recipe' : '"&amp;V800&amp;"', 'ingredient' : '"&amp;Z800&amp;"', 'name' : '"&amp;X800&amp;"', 'mass_unit' : '"&amp;AC800&amp;"', 'mass_quantity' : '"&amp;ROUND(AA800,3)&amp;"', 'volume_unit' : '"&amp;AF800&amp;"', 'volume_quantity' : '"&amp;ROUND(AD800,3)&amp;"', 'pieces_unit' : '"&amp;AI800&amp;"', 'pieces_quantity' : '"&amp;ROUND(AG800,3)&amp;"', 'cooking_notes' : '"&amp;AJ800&amp;"'}).status_code; print('%s :: %s :: %s :: %s :: %s' %(a,"&amp;G800&amp;",'"&amp;X800&amp;"','"&amp;Y800&amp;"','"&amp;U800&amp;"'))"</f>
        <v>#N/A</v>
      </c>
    </row>
    <row r="801" customFormat="false" ht="13.8" hidden="false" customHeight="false" outlineLevel="0" collapsed="false">
      <c r="G801" s="80" t="n">
        <v>801</v>
      </c>
      <c r="H801" s="83"/>
      <c r="I801" s="83" t="s">
        <v>372</v>
      </c>
      <c r="J801" s="83" t="s">
        <v>348</v>
      </c>
      <c r="K801" s="61" t="n">
        <v>6</v>
      </c>
      <c r="L801" s="61" t="s">
        <v>7</v>
      </c>
      <c r="R801" s="82" t="str">
        <f aca="false">VLOOKUP(J801,ingredient!$N$4:$O$553,2,0)</f>
        <v>gajar</v>
      </c>
      <c r="U801" s="81" t="str">
        <f aca="false">I801</f>
        <v>Vermicllly</v>
      </c>
      <c r="V801" s="81" t="n">
        <f aca="false">VLOOKUP(U801,recipe_ingred_list!$A$2:$B$300,2,0)</f>
        <v>88</v>
      </c>
      <c r="W801" s="81" t="str">
        <f aca="false">"/recipes/"&amp;VLOOKUP(U801,recipe_ingred_list!$A$2:$C$300,3,0)&amp;"/detail/"</f>
        <v>/recipes/vermicllly/detail/</v>
      </c>
      <c r="X801" s="81" t="str">
        <f aca="false">J801</f>
        <v>gajar</v>
      </c>
      <c r="Y801" s="81" t="str">
        <f aca="false">R801</f>
        <v>gajar</v>
      </c>
      <c r="Z801" s="94" t="n">
        <f aca="false">VLOOKUP(Y801,recipe_ingred_list!$D$2:$E$500,2,0)</f>
        <v>79</v>
      </c>
      <c r="AA801" s="61" t="n">
        <f aca="false">K801</f>
        <v>6</v>
      </c>
      <c r="AB801" s="61" t="str">
        <f aca="false">L801</f>
        <v>kg</v>
      </c>
      <c r="AC801" s="61" t="n">
        <f aca="false">VLOOKUP(AB801,recipe_ingred_list!$K$2:$M$7,3,0)</f>
        <v>2</v>
      </c>
      <c r="AD801" s="61" t="n">
        <f aca="false">M801</f>
        <v>0</v>
      </c>
      <c r="AE801" s="61" t="n">
        <f aca="false">N801</f>
        <v>0</v>
      </c>
      <c r="AF801" s="61" t="n">
        <f aca="false">VLOOKUP(AE801,recipe_ingred_list!$K$16:$M$25,3,0)</f>
        <v>1</v>
      </c>
      <c r="AG801" s="61" t="n">
        <f aca="false">O801</f>
        <v>0</v>
      </c>
      <c r="AH801" s="61" t="n">
        <f aca="false">P801</f>
        <v>0</v>
      </c>
      <c r="AI801" s="61" t="n">
        <f aca="false">VLOOKUP(AH801,recipe_ingred_list!$K$29:$M$34,3,0)</f>
        <v>3</v>
      </c>
      <c r="AJ801" s="61" t="str">
        <f aca="false">IF(Q801="","",Q801)</f>
        <v/>
      </c>
      <c r="AK801" s="61" t="n">
        <f aca="false">AK800+1</f>
        <v>801</v>
      </c>
      <c r="AL801" s="61" t="str">
        <f aca="false">Y801</f>
        <v>gajar</v>
      </c>
      <c r="AM801" s="81" t="str">
        <f aca="false">"a = Client().post('"&amp;W801&amp;"', {'recipe' : '"&amp;V801&amp;"', 'ingredient' : '"&amp;Z801&amp;"', 'name' : '"&amp;X801&amp;"', 'mass_unit' : '"&amp;AC801&amp;"', 'mass_quantity' : '"&amp;ROUND(AA801,3)&amp;"', 'volume_unit' : '"&amp;AF801&amp;"', 'volume_quantity' : '"&amp;ROUND(AD801,3)&amp;"', 'pieces_unit' : '"&amp;AI801&amp;"', 'pieces_quantity' : '"&amp;ROUND(AG801,3)&amp;"', 'cooking_notes' : '"&amp;AJ801&amp;"'}).status_code; print('%s :: %s :: %s :: %s :: %s' %(a,"&amp;G801&amp;",'"&amp;X801&amp;"','"&amp;Y801&amp;"','"&amp;U801&amp;"'))"</f>
        <v>a = Client().post('/recipes/vermicllly/detail/', {'recipe' : '88', 'ingredient' : '79', 'name' : 'gajar', 'mass_unit' : '2', 'mass_quantity' : '6', 'volume_unit' : '1', 'volume_quantity' : '0', 'pieces_unit' : '3', 'pieces_quantity' : '0', 'cooking_notes' : ''}).status_code; print('%s :: %s :: %s :: %s :: %s' %(a,801,'gajar','gajar','Vermicllly'))</v>
      </c>
    </row>
    <row r="802" customFormat="false" ht="13.8" hidden="false" customHeight="false" outlineLevel="0" collapsed="false">
      <c r="G802" s="80" t="n">
        <v>802</v>
      </c>
      <c r="H802" s="83"/>
      <c r="I802" s="83" t="s">
        <v>372</v>
      </c>
      <c r="J802" s="83" t="s">
        <v>800</v>
      </c>
      <c r="K802" s="61" t="n">
        <v>5</v>
      </c>
      <c r="L802" s="61" t="s">
        <v>7</v>
      </c>
      <c r="R802" s="82" t="str">
        <f aca="false">VLOOKUP(J802,ingredient!$N$4:$O$553,2,0)</f>
        <v>beans</v>
      </c>
      <c r="U802" s="81" t="str">
        <f aca="false">I802</f>
        <v>Vermicllly</v>
      </c>
      <c r="V802" s="81" t="n">
        <f aca="false">VLOOKUP(U802,recipe_ingred_list!$A$2:$B$300,2,0)</f>
        <v>88</v>
      </c>
      <c r="W802" s="81" t="str">
        <f aca="false">"/recipes/"&amp;VLOOKUP(U802,recipe_ingred_list!$A$2:$C$300,3,0)&amp;"/detail/"</f>
        <v>/recipes/vermicllly/detail/</v>
      </c>
      <c r="X802" s="81" t="str">
        <f aca="false">J802</f>
        <v>beans( optional when rate is low)</v>
      </c>
      <c r="Y802" s="81" t="str">
        <f aca="false">R802</f>
        <v>beans</v>
      </c>
      <c r="Z802" s="94" t="n">
        <f aca="false">VLOOKUP(Y802,recipe_ingred_list!$D$2:$E$500,2,0)</f>
        <v>27</v>
      </c>
      <c r="AA802" s="61" t="n">
        <f aca="false">K802</f>
        <v>5</v>
      </c>
      <c r="AB802" s="61" t="str">
        <f aca="false">L802</f>
        <v>kg</v>
      </c>
      <c r="AC802" s="61" t="n">
        <f aca="false">VLOOKUP(AB802,recipe_ingred_list!$K$2:$M$7,3,0)</f>
        <v>2</v>
      </c>
      <c r="AD802" s="61" t="n">
        <f aca="false">M802</f>
        <v>0</v>
      </c>
      <c r="AE802" s="61" t="n">
        <f aca="false">N802</f>
        <v>0</v>
      </c>
      <c r="AF802" s="61" t="n">
        <f aca="false">VLOOKUP(AE802,recipe_ingred_list!$K$16:$M$25,3,0)</f>
        <v>1</v>
      </c>
      <c r="AG802" s="61" t="n">
        <f aca="false">O802</f>
        <v>0</v>
      </c>
      <c r="AH802" s="61" t="n">
        <f aca="false">P802</f>
        <v>0</v>
      </c>
      <c r="AI802" s="61" t="n">
        <f aca="false">VLOOKUP(AH802,recipe_ingred_list!$K$29:$M$34,3,0)</f>
        <v>3</v>
      </c>
      <c r="AJ802" s="61" t="str">
        <f aca="false">IF(Q802="","",Q802)</f>
        <v/>
      </c>
      <c r="AK802" s="61" t="n">
        <f aca="false">AK801+1</f>
        <v>802</v>
      </c>
      <c r="AL802" s="61" t="str">
        <f aca="false">Y802</f>
        <v>beans</v>
      </c>
      <c r="AM802" s="81" t="str">
        <f aca="false">"a = Client().post('"&amp;W802&amp;"', {'recipe' : '"&amp;V802&amp;"', 'ingredient' : '"&amp;Z802&amp;"', 'name' : '"&amp;X802&amp;"', 'mass_unit' : '"&amp;AC802&amp;"', 'mass_quantity' : '"&amp;ROUND(AA802,3)&amp;"', 'volume_unit' : '"&amp;AF802&amp;"', 'volume_quantity' : '"&amp;ROUND(AD802,3)&amp;"', 'pieces_unit' : '"&amp;AI802&amp;"', 'pieces_quantity' : '"&amp;ROUND(AG802,3)&amp;"', 'cooking_notes' : '"&amp;AJ802&amp;"'}).status_code; print('%s :: %s :: %s :: %s :: %s' %(a,"&amp;G802&amp;",'"&amp;X802&amp;"','"&amp;Y802&amp;"','"&amp;U802&amp;"'))"</f>
        <v>a = Client().post('/recipes/vermicllly/detail/', {'recipe' : '88', 'ingredient' : '27', 'name' : 'beans( optional when rate is low)', 'mass_unit' : '2', 'mass_quantity' : '5', 'volume_unit' : '1', 'volume_quantity' : '0', 'pieces_unit' : '3', 'pieces_quantity' : '0', 'cooking_notes' : ''}).status_code; print('%s :: %s :: %s :: %s :: %s' %(a,802,'beans( optional when rate is low)','beans','Vermicllly'))</v>
      </c>
    </row>
    <row r="803" customFormat="false" ht="13.8" hidden="false" customHeight="false" outlineLevel="0" collapsed="false">
      <c r="G803" s="80" t="n">
        <v>803</v>
      </c>
      <c r="H803" s="83"/>
      <c r="I803" s="83" t="s">
        <v>372</v>
      </c>
      <c r="J803" s="83" t="s">
        <v>790</v>
      </c>
      <c r="K803" s="61" t="n">
        <v>6</v>
      </c>
      <c r="L803" s="61" t="s">
        <v>7</v>
      </c>
      <c r="R803" s="82" t="str">
        <f aca="false">VLOOKUP(J803,ingredient!$N$4:$O$553,2,0)</f>
        <v>green peas</v>
      </c>
      <c r="U803" s="81" t="str">
        <f aca="false">I803</f>
        <v>Vermicllly</v>
      </c>
      <c r="V803" s="81" t="n">
        <f aca="false">VLOOKUP(U803,recipe_ingred_list!$A$2:$B$300,2,0)</f>
        <v>88</v>
      </c>
      <c r="W803" s="81" t="str">
        <f aca="false">"/recipes/"&amp;VLOOKUP(U803,recipe_ingred_list!$A$2:$C$300,3,0)&amp;"/detail/"</f>
        <v>/recipes/vermicllly/detail/</v>
      </c>
      <c r="X803" s="81" t="str">
        <f aca="false">J803</f>
        <v>Green Peas</v>
      </c>
      <c r="Y803" s="81" t="str">
        <f aca="false">R803</f>
        <v>green peas</v>
      </c>
      <c r="Z803" s="94" t="n">
        <f aca="false">VLOOKUP(Y803,recipe_ingred_list!$D$2:$E$500,2,0)</f>
        <v>88</v>
      </c>
      <c r="AA803" s="61" t="n">
        <f aca="false">K803</f>
        <v>6</v>
      </c>
      <c r="AB803" s="61" t="str">
        <f aca="false">L803</f>
        <v>kg</v>
      </c>
      <c r="AC803" s="61" t="n">
        <f aca="false">VLOOKUP(AB803,recipe_ingred_list!$K$2:$M$7,3,0)</f>
        <v>2</v>
      </c>
      <c r="AD803" s="61" t="n">
        <f aca="false">M803</f>
        <v>0</v>
      </c>
      <c r="AE803" s="61" t="n">
        <f aca="false">N803</f>
        <v>0</v>
      </c>
      <c r="AF803" s="61" t="n">
        <f aca="false">VLOOKUP(AE803,recipe_ingred_list!$K$16:$M$25,3,0)</f>
        <v>1</v>
      </c>
      <c r="AG803" s="61" t="n">
        <f aca="false">O803</f>
        <v>0</v>
      </c>
      <c r="AH803" s="61" t="n">
        <f aca="false">P803</f>
        <v>0</v>
      </c>
      <c r="AI803" s="61" t="n">
        <f aca="false">VLOOKUP(AH803,recipe_ingred_list!$K$29:$M$34,3,0)</f>
        <v>3</v>
      </c>
      <c r="AJ803" s="61" t="str">
        <f aca="false">IF(Q803="","",Q803)</f>
        <v/>
      </c>
      <c r="AK803" s="61" t="n">
        <f aca="false">AK802+1</f>
        <v>803</v>
      </c>
      <c r="AL803" s="61" t="str">
        <f aca="false">Y803</f>
        <v>green peas</v>
      </c>
      <c r="AM803" s="81" t="str">
        <f aca="false">"a = Client().post('"&amp;W803&amp;"', {'recipe' : '"&amp;V803&amp;"', 'ingredient' : '"&amp;Z803&amp;"', 'name' : '"&amp;X803&amp;"', 'mass_unit' : '"&amp;AC803&amp;"', 'mass_quantity' : '"&amp;ROUND(AA803,3)&amp;"', 'volume_unit' : '"&amp;AF803&amp;"', 'volume_quantity' : '"&amp;ROUND(AD803,3)&amp;"', 'pieces_unit' : '"&amp;AI803&amp;"', 'pieces_quantity' : '"&amp;ROUND(AG803,3)&amp;"', 'cooking_notes' : '"&amp;AJ803&amp;"'}).status_code; print('%s :: %s :: %s :: %s :: %s' %(a,"&amp;G803&amp;",'"&amp;X803&amp;"','"&amp;Y803&amp;"','"&amp;U803&amp;"'))"</f>
        <v>a = Client().post('/recipes/vermicllly/detail/', {'recipe' : '88', 'ingredient' : '88', 'name' : 'Green Peas', 'mass_unit' : '2', 'mass_quantity' : '6', 'volume_unit' : '1', 'volume_quantity' : '0', 'pieces_unit' : '3', 'pieces_quantity' : '0', 'cooking_notes' : ''}).status_code; print('%s :: %s :: %s :: %s :: %s' %(a,803,'Green Peas','green peas','Vermicllly'))</v>
      </c>
    </row>
    <row r="804" customFormat="false" ht="13.8" hidden="false" customHeight="false" outlineLevel="0" collapsed="false">
      <c r="G804" s="80" t="n">
        <v>804</v>
      </c>
      <c r="H804" s="83"/>
      <c r="I804" s="83" t="s">
        <v>372</v>
      </c>
      <c r="J804" s="83" t="s">
        <v>801</v>
      </c>
      <c r="M804" s="61" t="n">
        <v>1</v>
      </c>
      <c r="N804" s="61" t="s">
        <v>13</v>
      </c>
      <c r="R804" s="82" t="str">
        <f aca="false">VLOOKUP(J804,ingredient!$N$4:$O$553,2,0)</f>
        <v>hari mirchi</v>
      </c>
      <c r="U804" s="81" t="str">
        <f aca="false">I804</f>
        <v>Vermicllly</v>
      </c>
      <c r="V804" s="81" t="n">
        <f aca="false">VLOOKUP(U804,recipe_ingred_list!$A$2:$B$300,2,0)</f>
        <v>88</v>
      </c>
      <c r="W804" s="81" t="str">
        <f aca="false">"/recipes/"&amp;VLOOKUP(U804,recipe_ingred_list!$A$2:$C$300,3,0)&amp;"/detail/"</f>
        <v>/recipes/vermicllly/detail/</v>
      </c>
      <c r="X804" s="81" t="str">
        <f aca="false">J804</f>
        <v>green chilly</v>
      </c>
      <c r="Y804" s="81" t="str">
        <f aca="false">R804</f>
        <v>hari mirchi</v>
      </c>
      <c r="Z804" s="94" t="n">
        <f aca="false">VLOOKUP(Y804,recipe_ingred_list!$D$2:$E$500,2,0)</f>
        <v>93</v>
      </c>
      <c r="AA804" s="61" t="n">
        <f aca="false">K804</f>
        <v>0</v>
      </c>
      <c r="AB804" s="61" t="n">
        <f aca="false">L804</f>
        <v>0</v>
      </c>
      <c r="AC804" s="61" t="n">
        <f aca="false">VLOOKUP(AB804,recipe_ingred_list!$K$2:$M$7,3,0)</f>
        <v>2</v>
      </c>
      <c r="AD804" s="61" t="n">
        <f aca="false">M804</f>
        <v>1</v>
      </c>
      <c r="AE804" s="61" t="str">
        <f aca="false">N804</f>
        <v>ltr</v>
      </c>
      <c r="AF804" s="61" t="n">
        <f aca="false">VLOOKUP(AE804,recipe_ingred_list!$K$16:$M$25,3,0)</f>
        <v>1</v>
      </c>
      <c r="AG804" s="61" t="n">
        <f aca="false">O804</f>
        <v>0</v>
      </c>
      <c r="AH804" s="61" t="n">
        <f aca="false">P804</f>
        <v>0</v>
      </c>
      <c r="AI804" s="61" t="n">
        <f aca="false">VLOOKUP(AH804,recipe_ingred_list!$K$29:$M$34,3,0)</f>
        <v>3</v>
      </c>
      <c r="AJ804" s="61" t="str">
        <f aca="false">IF(Q804="","",Q804)</f>
        <v/>
      </c>
      <c r="AK804" s="61" t="n">
        <f aca="false">AK803+1</f>
        <v>804</v>
      </c>
      <c r="AL804" s="61" t="str">
        <f aca="false">Y804</f>
        <v>hari mirchi</v>
      </c>
      <c r="AM804" s="81" t="str">
        <f aca="false">"a = Client().post('"&amp;W804&amp;"', {'recipe' : '"&amp;V804&amp;"', 'ingredient' : '"&amp;Z804&amp;"', 'name' : '"&amp;X804&amp;"', 'mass_unit' : '"&amp;AC804&amp;"', 'mass_quantity' : '"&amp;ROUND(AA804,3)&amp;"', 'volume_unit' : '"&amp;AF804&amp;"', 'volume_quantity' : '"&amp;ROUND(AD804,3)&amp;"', 'pieces_unit' : '"&amp;AI804&amp;"', 'pieces_quantity' : '"&amp;ROUND(AG804,3)&amp;"', 'cooking_notes' : '"&amp;AJ804&amp;"'}).status_code; print('%s :: %s :: %s :: %s :: %s' %(a,"&amp;G804&amp;",'"&amp;X804&amp;"','"&amp;Y804&amp;"','"&amp;U804&amp;"'))"</f>
        <v>a = Client().post('/recipes/vermicllly/detail/', {'recipe' : '88', 'ingredient' : '93', 'name' : 'green chilly', 'mass_unit' : '2', 'mass_quantity' : '0', 'volume_unit' : '1', 'volume_quantity' : '1', 'pieces_unit' : '3', 'pieces_quantity' : '0', 'cooking_notes' : ''}).status_code; print('%s :: %s :: %s :: %s :: %s' %(a,804,'green chilly','hari mirchi','Vermicllly'))</v>
      </c>
    </row>
    <row r="805" customFormat="false" ht="13.8" hidden="false" customHeight="false" outlineLevel="0" collapsed="false">
      <c r="G805" s="80" t="n">
        <v>805</v>
      </c>
      <c r="H805" s="83"/>
      <c r="I805" s="83" t="s">
        <v>372</v>
      </c>
      <c r="J805" s="83" t="s">
        <v>23</v>
      </c>
      <c r="M805" s="61" t="n">
        <v>3</v>
      </c>
      <c r="N805" s="61" t="s">
        <v>13</v>
      </c>
      <c r="R805" s="82" t="str">
        <f aca="false">VLOOKUP(J805,ingredient!$N$4:$O$553,2,0)</f>
        <v>dhaniya patta</v>
      </c>
      <c r="U805" s="81" t="str">
        <f aca="false">I805</f>
        <v>Vermicllly</v>
      </c>
      <c r="V805" s="81" t="n">
        <f aca="false">VLOOKUP(U805,recipe_ingred_list!$A$2:$B$300,2,0)</f>
        <v>88</v>
      </c>
      <c r="W805" s="81" t="str">
        <f aca="false">"/recipes/"&amp;VLOOKUP(U805,recipe_ingred_list!$A$2:$C$300,3,0)&amp;"/detail/"</f>
        <v>/recipes/vermicllly/detail/</v>
      </c>
      <c r="X805" s="81" t="str">
        <f aca="false">J805</f>
        <v>Dhania patta</v>
      </c>
      <c r="Y805" s="81" t="str">
        <f aca="false">R805</f>
        <v>dhaniya patta</v>
      </c>
      <c r="Z805" s="94" t="n">
        <f aca="false">VLOOKUP(Y805,recipe_ingred_list!$D$2:$E$500,2,0)</f>
        <v>66</v>
      </c>
      <c r="AA805" s="61" t="n">
        <f aca="false">K805</f>
        <v>0</v>
      </c>
      <c r="AB805" s="61" t="n">
        <f aca="false">L805</f>
        <v>0</v>
      </c>
      <c r="AC805" s="61" t="n">
        <f aca="false">VLOOKUP(AB805,recipe_ingred_list!$K$2:$M$7,3,0)</f>
        <v>2</v>
      </c>
      <c r="AD805" s="61" t="n">
        <f aca="false">M805</f>
        <v>3</v>
      </c>
      <c r="AE805" s="61" t="str">
        <f aca="false">N805</f>
        <v>ltr</v>
      </c>
      <c r="AF805" s="61" t="n">
        <f aca="false">VLOOKUP(AE805,recipe_ingred_list!$K$16:$M$25,3,0)</f>
        <v>1</v>
      </c>
      <c r="AG805" s="61" t="n">
        <f aca="false">O805</f>
        <v>0</v>
      </c>
      <c r="AH805" s="61" t="n">
        <f aca="false">P805</f>
        <v>0</v>
      </c>
      <c r="AI805" s="61" t="n">
        <f aca="false">VLOOKUP(AH805,recipe_ingred_list!$K$29:$M$34,3,0)</f>
        <v>3</v>
      </c>
      <c r="AJ805" s="61" t="str">
        <f aca="false">IF(Q805="","",Q805)</f>
        <v/>
      </c>
      <c r="AK805" s="61" t="n">
        <f aca="false">AK804+1</f>
        <v>805</v>
      </c>
      <c r="AL805" s="61" t="str">
        <f aca="false">Y805</f>
        <v>dhaniya patta</v>
      </c>
      <c r="AM805" s="81" t="str">
        <f aca="false">"a = Client().post('"&amp;W805&amp;"', {'recipe' : '"&amp;V805&amp;"', 'ingredient' : '"&amp;Z805&amp;"', 'name' : '"&amp;X805&amp;"', 'mass_unit' : '"&amp;AC805&amp;"', 'mass_quantity' : '"&amp;ROUND(AA805,3)&amp;"', 'volume_unit' : '"&amp;AF805&amp;"', 'volume_quantity' : '"&amp;ROUND(AD805,3)&amp;"', 'pieces_unit' : '"&amp;AI805&amp;"', 'pieces_quantity' : '"&amp;ROUND(AG805,3)&amp;"', 'cooking_notes' : '"&amp;AJ805&amp;"'}).status_code; print('%s :: %s :: %s :: %s :: %s' %(a,"&amp;G805&amp;",'"&amp;X805&amp;"','"&amp;Y805&amp;"','"&amp;U805&amp;"'))"</f>
        <v>a = Client().post('/recipes/vermicllly/detail/', {'recipe' : '88', 'ingredient' : '66', 'name' : 'Dhania patta', 'mass_unit' : '2', 'mass_quantity' : '0', 'volume_unit' : '1', 'volume_quantity' : '3', 'pieces_unit' : '3', 'pieces_quantity' : '0', 'cooking_notes' : ''}).status_code; print('%s :: %s :: %s :: %s :: %s' %(a,805,'Dhania patta','dhaniya patta','Vermicllly'))</v>
      </c>
    </row>
    <row r="806" customFormat="false" ht="13.8" hidden="false" customHeight="false" outlineLevel="0" collapsed="false">
      <c r="G806" s="80" t="n">
        <v>806</v>
      </c>
      <c r="H806" s="83"/>
      <c r="I806" s="83" t="s">
        <v>372</v>
      </c>
      <c r="J806" s="83" t="s">
        <v>802</v>
      </c>
      <c r="M806" s="61" t="n">
        <v>0.5</v>
      </c>
      <c r="N806" s="61" t="s">
        <v>13</v>
      </c>
      <c r="R806" s="82" t="str">
        <f aca="false">VLOOKUP(J806,ingredient!$N$4:$O$553,2,0)</f>
        <v>adrak</v>
      </c>
      <c r="U806" s="81" t="str">
        <f aca="false">I806</f>
        <v>Vermicllly</v>
      </c>
      <c r="V806" s="81" t="n">
        <f aca="false">VLOOKUP(U806,recipe_ingred_list!$A$2:$B$300,2,0)</f>
        <v>88</v>
      </c>
      <c r="W806" s="81" t="str">
        <f aca="false">"/recipes/"&amp;VLOOKUP(U806,recipe_ingred_list!$A$2:$C$300,3,0)&amp;"/detail/"</f>
        <v>/recipes/vermicllly/detail/</v>
      </c>
      <c r="X806" s="81" t="str">
        <f aca="false">J806</f>
        <v>ginger</v>
      </c>
      <c r="Y806" s="81" t="str">
        <f aca="false">R806</f>
        <v>adrak</v>
      </c>
      <c r="Z806" s="94" t="n">
        <f aca="false">VLOOKUP(Y806,recipe_ingred_list!$D$2:$E$500,2,0)</f>
        <v>1</v>
      </c>
      <c r="AA806" s="61" t="n">
        <f aca="false">K806</f>
        <v>0</v>
      </c>
      <c r="AB806" s="61" t="n">
        <f aca="false">L806</f>
        <v>0</v>
      </c>
      <c r="AC806" s="61" t="n">
        <f aca="false">VLOOKUP(AB806,recipe_ingred_list!$K$2:$M$7,3,0)</f>
        <v>2</v>
      </c>
      <c r="AD806" s="61" t="n">
        <f aca="false">M806</f>
        <v>0.5</v>
      </c>
      <c r="AE806" s="61" t="str">
        <f aca="false">N806</f>
        <v>ltr</v>
      </c>
      <c r="AF806" s="61" t="n">
        <f aca="false">VLOOKUP(AE806,recipe_ingred_list!$K$16:$M$25,3,0)</f>
        <v>1</v>
      </c>
      <c r="AG806" s="61" t="n">
        <f aca="false">O806</f>
        <v>0</v>
      </c>
      <c r="AH806" s="61" t="n">
        <f aca="false">P806</f>
        <v>0</v>
      </c>
      <c r="AI806" s="61" t="n">
        <f aca="false">VLOOKUP(AH806,recipe_ingred_list!$K$29:$M$34,3,0)</f>
        <v>3</v>
      </c>
      <c r="AJ806" s="61" t="str">
        <f aca="false">IF(Q806="","",Q806)</f>
        <v/>
      </c>
      <c r="AK806" s="61" t="n">
        <f aca="false">AK805+1</f>
        <v>806</v>
      </c>
      <c r="AL806" s="61" t="str">
        <f aca="false">Y806</f>
        <v>adrak</v>
      </c>
      <c r="AM806" s="81" t="str">
        <f aca="false">"a = Client().post('"&amp;W806&amp;"', {'recipe' : '"&amp;V806&amp;"', 'ingredient' : '"&amp;Z806&amp;"', 'name' : '"&amp;X806&amp;"', 'mass_unit' : '"&amp;AC806&amp;"', 'mass_quantity' : '"&amp;ROUND(AA806,3)&amp;"', 'volume_unit' : '"&amp;AF806&amp;"', 'volume_quantity' : '"&amp;ROUND(AD806,3)&amp;"', 'pieces_unit' : '"&amp;AI806&amp;"', 'pieces_quantity' : '"&amp;ROUND(AG806,3)&amp;"', 'cooking_notes' : '"&amp;AJ806&amp;"'}).status_code; print('%s :: %s :: %s :: %s :: %s' %(a,"&amp;G806&amp;",'"&amp;X806&amp;"','"&amp;Y806&amp;"','"&amp;U806&amp;"'))"</f>
        <v>a = Client().post('/recipes/vermicllly/detail/', {'recipe' : '88', 'ingredient' : '1', 'name' : 'ginger', 'mass_unit' : '2', 'mass_quantity' : '0', 'volume_unit' : '1', 'volume_quantity' : '0.5', 'pieces_unit' : '3', 'pieces_quantity' : '0', 'cooking_notes' : ''}).status_code; print('%s :: %s :: %s :: %s :: %s' %(a,806,'ginger','adrak','Vermicllly'))</v>
      </c>
    </row>
    <row r="807" customFormat="false" ht="13.8" hidden="false" customHeight="false" outlineLevel="0" collapsed="false">
      <c r="G807" s="80" t="n">
        <v>807</v>
      </c>
      <c r="H807" s="83"/>
      <c r="I807" s="83" t="s">
        <v>372</v>
      </c>
      <c r="J807" s="83" t="s">
        <v>803</v>
      </c>
      <c r="M807" s="61" t="n">
        <v>2</v>
      </c>
      <c r="N807" s="61" t="s">
        <v>13</v>
      </c>
      <c r="R807" s="82" t="str">
        <f aca="false">VLOOKUP(J807,ingredient!$N$4:$O$553,2,0)</f>
        <v>kadi patta</v>
      </c>
      <c r="U807" s="81" t="str">
        <f aca="false">I807</f>
        <v>Vermicllly</v>
      </c>
      <c r="V807" s="81" t="n">
        <f aca="false">VLOOKUP(U807,recipe_ingred_list!$A$2:$B$300,2,0)</f>
        <v>88</v>
      </c>
      <c r="W807" s="81" t="str">
        <f aca="false">"/recipes/"&amp;VLOOKUP(U807,recipe_ingred_list!$A$2:$C$300,3,0)&amp;"/detail/"</f>
        <v>/recipes/vermicllly/detail/</v>
      </c>
      <c r="X807" s="81" t="str">
        <f aca="false">J807</f>
        <v>kadipatta</v>
      </c>
      <c r="Y807" s="81" t="str">
        <f aca="false">R807</f>
        <v>kadi patta</v>
      </c>
      <c r="Z807" s="94" t="n">
        <f aca="false">VLOOKUP(Y807,recipe_ingred_list!$D$2:$E$500,2,0)</f>
        <v>105</v>
      </c>
      <c r="AA807" s="61" t="n">
        <f aca="false">K807</f>
        <v>0</v>
      </c>
      <c r="AB807" s="61" t="n">
        <f aca="false">L807</f>
        <v>0</v>
      </c>
      <c r="AC807" s="61" t="n">
        <f aca="false">VLOOKUP(AB807,recipe_ingred_list!$K$2:$M$7,3,0)</f>
        <v>2</v>
      </c>
      <c r="AD807" s="61" t="n">
        <f aca="false">M807</f>
        <v>2</v>
      </c>
      <c r="AE807" s="61" t="str">
        <f aca="false">N807</f>
        <v>ltr</v>
      </c>
      <c r="AF807" s="61" t="n">
        <f aca="false">VLOOKUP(AE807,recipe_ingred_list!$K$16:$M$25,3,0)</f>
        <v>1</v>
      </c>
      <c r="AG807" s="61" t="n">
        <f aca="false">O807</f>
        <v>0</v>
      </c>
      <c r="AH807" s="61" t="n">
        <f aca="false">P807</f>
        <v>0</v>
      </c>
      <c r="AI807" s="61" t="n">
        <f aca="false">VLOOKUP(AH807,recipe_ingred_list!$K$29:$M$34,3,0)</f>
        <v>3</v>
      </c>
      <c r="AJ807" s="61" t="str">
        <f aca="false">IF(Q807="","",Q807)</f>
        <v/>
      </c>
      <c r="AK807" s="61" t="n">
        <f aca="false">AK806+1</f>
        <v>807</v>
      </c>
      <c r="AL807" s="61" t="str">
        <f aca="false">Y807</f>
        <v>kadi patta</v>
      </c>
      <c r="AM807" s="81" t="str">
        <f aca="false">"a = Client().post('"&amp;W807&amp;"', {'recipe' : '"&amp;V807&amp;"', 'ingredient' : '"&amp;Z807&amp;"', 'name' : '"&amp;X807&amp;"', 'mass_unit' : '"&amp;AC807&amp;"', 'mass_quantity' : '"&amp;ROUND(AA807,3)&amp;"', 'volume_unit' : '"&amp;AF807&amp;"', 'volume_quantity' : '"&amp;ROUND(AD807,3)&amp;"', 'pieces_unit' : '"&amp;AI807&amp;"', 'pieces_quantity' : '"&amp;ROUND(AG807,3)&amp;"', 'cooking_notes' : '"&amp;AJ807&amp;"'}).status_code; print('%s :: %s :: %s :: %s :: %s' %(a,"&amp;G807&amp;",'"&amp;X807&amp;"','"&amp;Y807&amp;"','"&amp;U807&amp;"'))"</f>
        <v>a = Client().post('/recipes/vermicllly/detail/', {'recipe' : '88', 'ingredient' : '105', 'name' : 'kadipatta', 'mass_unit' : '2', 'mass_quantity' : '0', 'volume_unit' : '1', 'volume_quantity' : '2', 'pieces_unit' : '3', 'pieces_quantity' : '0', 'cooking_notes' : ''}).status_code; print('%s :: %s :: %s :: %s :: %s' %(a,807,'kadipatta','kadi patta','Vermicllly'))</v>
      </c>
    </row>
    <row r="808" customFormat="false" ht="13.8" hidden="false" customHeight="false" outlineLevel="0" collapsed="false">
      <c r="G808" s="80" t="n">
        <v>808</v>
      </c>
      <c r="H808" s="83"/>
      <c r="I808" s="83" t="s">
        <v>372</v>
      </c>
      <c r="J808" s="83" t="s">
        <v>393</v>
      </c>
      <c r="M808" s="61" t="n">
        <v>60</v>
      </c>
      <c r="N808" s="61" t="s">
        <v>13</v>
      </c>
      <c r="R808" s="82" t="str">
        <f aca="false">VLOOKUP(J808,ingredient!$N$4:$O$553,2,0)</f>
        <v>hot water</v>
      </c>
      <c r="U808" s="81" t="str">
        <f aca="false">I808</f>
        <v>Vermicllly</v>
      </c>
      <c r="V808" s="81" t="n">
        <f aca="false">VLOOKUP(U808,recipe_ingred_list!$A$2:$B$300,2,0)</f>
        <v>88</v>
      </c>
      <c r="W808" s="81" t="str">
        <f aca="false">"/recipes/"&amp;VLOOKUP(U808,recipe_ingred_list!$A$2:$C$300,3,0)&amp;"/detail/"</f>
        <v>/recipes/vermicllly/detail/</v>
      </c>
      <c r="X808" s="81" t="str">
        <f aca="false">J808</f>
        <v>hot water</v>
      </c>
      <c r="Y808" s="81" t="str">
        <f aca="false">R808</f>
        <v>hot water</v>
      </c>
      <c r="Z808" s="94" t="n">
        <f aca="false">VLOOKUP(Y808,recipe_ingred_list!$D$2:$E$500,2,0)</f>
        <v>97</v>
      </c>
      <c r="AA808" s="61" t="n">
        <f aca="false">K808</f>
        <v>0</v>
      </c>
      <c r="AB808" s="61" t="n">
        <f aca="false">L808</f>
        <v>0</v>
      </c>
      <c r="AC808" s="61" t="n">
        <f aca="false">VLOOKUP(AB808,recipe_ingred_list!$K$2:$M$7,3,0)</f>
        <v>2</v>
      </c>
      <c r="AD808" s="61" t="n">
        <f aca="false">M808</f>
        <v>60</v>
      </c>
      <c r="AE808" s="61" t="str">
        <f aca="false">N808</f>
        <v>ltr</v>
      </c>
      <c r="AF808" s="61" t="n">
        <f aca="false">VLOOKUP(AE808,recipe_ingred_list!$K$16:$M$25,3,0)</f>
        <v>1</v>
      </c>
      <c r="AG808" s="61" t="n">
        <f aca="false">O808</f>
        <v>0</v>
      </c>
      <c r="AH808" s="61" t="n">
        <f aca="false">P808</f>
        <v>0</v>
      </c>
      <c r="AI808" s="61" t="n">
        <f aca="false">VLOOKUP(AH808,recipe_ingred_list!$K$29:$M$34,3,0)</f>
        <v>3</v>
      </c>
      <c r="AJ808" s="61" t="str">
        <f aca="false">IF(Q808="","",Q808)</f>
        <v/>
      </c>
      <c r="AK808" s="61" t="n">
        <f aca="false">AK807+1</f>
        <v>808</v>
      </c>
      <c r="AL808" s="61" t="str">
        <f aca="false">Y808</f>
        <v>hot water</v>
      </c>
      <c r="AM808" s="81" t="str">
        <f aca="false">"a = Client().post('"&amp;W808&amp;"', {'recipe' : '"&amp;V808&amp;"', 'ingredient' : '"&amp;Z808&amp;"', 'name' : '"&amp;X808&amp;"', 'mass_unit' : '"&amp;AC808&amp;"', 'mass_quantity' : '"&amp;ROUND(AA808,3)&amp;"', 'volume_unit' : '"&amp;AF808&amp;"', 'volume_quantity' : '"&amp;ROUND(AD808,3)&amp;"', 'pieces_unit' : '"&amp;AI808&amp;"', 'pieces_quantity' : '"&amp;ROUND(AG808,3)&amp;"', 'cooking_notes' : '"&amp;AJ808&amp;"'}).status_code; print('%s :: %s :: %s :: %s :: %s' %(a,"&amp;G808&amp;",'"&amp;X808&amp;"','"&amp;Y808&amp;"','"&amp;U808&amp;"'))"</f>
        <v>a = Client().post('/recipes/vermicllly/detail/', {'recipe' : '88', 'ingredient' : '97', 'name' : 'hot water', 'mass_unit' : '2', 'mass_quantity' : '0', 'volume_unit' : '1', 'volume_quantity' : '60', 'pieces_unit' : '3', 'pieces_quantity' : '0', 'cooking_notes' : ''}).status_code; print('%s :: %s :: %s :: %s :: %s' %(a,808,'hot water','hot water','Vermicllly'))</v>
      </c>
    </row>
    <row r="809" customFormat="false" ht="13.8" hidden="false" customHeight="false" outlineLevel="0" collapsed="false">
      <c r="G809" s="80" t="n">
        <v>809</v>
      </c>
      <c r="H809" s="83"/>
      <c r="I809" s="83" t="s">
        <v>372</v>
      </c>
      <c r="J809" s="83" t="s">
        <v>810</v>
      </c>
      <c r="K809" s="61" t="n">
        <v>25</v>
      </c>
      <c r="L809" s="61" t="s">
        <v>7</v>
      </c>
      <c r="R809" s="82" t="str">
        <f aca="false">VLOOKUP(J809,ingredient!$N$4:$O$553,2,0)</f>
        <v>vermicilly</v>
      </c>
      <c r="U809" s="81" t="str">
        <f aca="false">I809</f>
        <v>Vermicllly</v>
      </c>
      <c r="V809" s="81" t="n">
        <f aca="false">VLOOKUP(U809,recipe_ingred_list!$A$2:$B$300,2,0)</f>
        <v>88</v>
      </c>
      <c r="W809" s="81" t="str">
        <f aca="false">"/recipes/"&amp;VLOOKUP(U809,recipe_ingred_list!$A$2:$C$300,3,0)&amp;"/detail/"</f>
        <v>/recipes/vermicllly/detail/</v>
      </c>
      <c r="X809" s="81" t="str">
        <f aca="false">J809</f>
        <v>Vermicilly </v>
      </c>
      <c r="Y809" s="81" t="str">
        <f aca="false">R809</f>
        <v>vermicilly</v>
      </c>
      <c r="Z809" s="94" t="n">
        <f aca="false">VLOOKUP(Y809,recipe_ingred_list!$D$2:$E$500,2,0)</f>
        <v>202</v>
      </c>
      <c r="AA809" s="61" t="n">
        <f aca="false">K809</f>
        <v>25</v>
      </c>
      <c r="AB809" s="61" t="str">
        <f aca="false">L809</f>
        <v>kg</v>
      </c>
      <c r="AC809" s="61" t="n">
        <f aca="false">VLOOKUP(AB809,recipe_ingred_list!$K$2:$M$7,3,0)</f>
        <v>2</v>
      </c>
      <c r="AD809" s="61" t="n">
        <f aca="false">M809</f>
        <v>0</v>
      </c>
      <c r="AE809" s="61" t="n">
        <f aca="false">N809</f>
        <v>0</v>
      </c>
      <c r="AF809" s="61" t="n">
        <f aca="false">VLOOKUP(AE809,recipe_ingred_list!$K$16:$M$25,3,0)</f>
        <v>1</v>
      </c>
      <c r="AG809" s="61" t="n">
        <f aca="false">O809</f>
        <v>0</v>
      </c>
      <c r="AH809" s="61" t="n">
        <f aca="false">P809</f>
        <v>0</v>
      </c>
      <c r="AI809" s="61" t="n">
        <f aca="false">VLOOKUP(AH809,recipe_ingred_list!$K$29:$M$34,3,0)</f>
        <v>3</v>
      </c>
      <c r="AJ809" s="61" t="str">
        <f aca="false">IF(Q809="","",Q809)</f>
        <v/>
      </c>
      <c r="AK809" s="61" t="n">
        <f aca="false">AK808+1</f>
        <v>809</v>
      </c>
      <c r="AL809" s="61" t="str">
        <f aca="false">Y809</f>
        <v>vermicilly</v>
      </c>
      <c r="AM809" s="81" t="str">
        <f aca="false">"a = Client().post('"&amp;W809&amp;"', {'recipe' : '"&amp;V809&amp;"', 'ingredient' : '"&amp;Z809&amp;"', 'name' : '"&amp;X809&amp;"', 'mass_unit' : '"&amp;AC809&amp;"', 'mass_quantity' : '"&amp;ROUND(AA809,3)&amp;"', 'volume_unit' : '"&amp;AF809&amp;"', 'volume_quantity' : '"&amp;ROUND(AD809,3)&amp;"', 'pieces_unit' : '"&amp;AI809&amp;"', 'pieces_quantity' : '"&amp;ROUND(AG809,3)&amp;"', 'cooking_notes' : '"&amp;AJ809&amp;"'}).status_code; print('%s :: %s :: %s :: %s :: %s' %(a,"&amp;G809&amp;",'"&amp;X809&amp;"','"&amp;Y809&amp;"','"&amp;U809&amp;"'))"</f>
        <v>a = Client().post('/recipes/vermicllly/detail/', {'recipe' : '88', 'ingredient' : '202', 'name' : 'Vermicilly ', 'mass_unit' : '2', 'mass_quantity' : '25', 'volume_unit' : '1', 'volume_quantity' : '0', 'pieces_unit' : '3', 'pieces_quantity' : '0', 'cooking_notes' : ''}).status_code; print('%s :: %s :: %s :: %s :: %s' %(a,809,'Vermicilly ','vermicilly','Vermicllly'))</v>
      </c>
    </row>
    <row r="810" customFormat="false" ht="13.8" hidden="false" customHeight="false" outlineLevel="0" collapsed="false">
      <c r="G810" s="80" t="n">
        <v>810</v>
      </c>
      <c r="H810" s="83"/>
      <c r="I810" s="83" t="s">
        <v>372</v>
      </c>
      <c r="J810" s="83" t="s">
        <v>805</v>
      </c>
      <c r="M810" s="61" t="n">
        <v>4.5</v>
      </c>
      <c r="N810" s="61" t="s">
        <v>13</v>
      </c>
      <c r="R810" s="82" t="str">
        <f aca="false">VLOOKUP(J810,ingredient!$N$4:$O$553,2,0)</f>
        <v>gound nut oil</v>
      </c>
      <c r="U810" s="81" t="str">
        <f aca="false">I810</f>
        <v>Vermicllly</v>
      </c>
      <c r="V810" s="81" t="n">
        <f aca="false">VLOOKUP(U810,recipe_ingred_list!$A$2:$B$300,2,0)</f>
        <v>88</v>
      </c>
      <c r="W810" s="81" t="str">
        <f aca="false">"/recipes/"&amp;VLOOKUP(U810,recipe_ingred_list!$A$2:$C$300,3,0)&amp;"/detail/"</f>
        <v>/recipes/vermicllly/detail/</v>
      </c>
      <c r="X810" s="81" t="str">
        <f aca="false">J810</f>
        <v>oil(groundnut)</v>
      </c>
      <c r="Y810" s="81" t="str">
        <f aca="false">R810</f>
        <v>gound nut oil</v>
      </c>
      <c r="Z810" s="94" t="n">
        <f aca="false">VLOOKUP(Y810,recipe_ingred_list!$D$2:$E$500,2,0)</f>
        <v>83</v>
      </c>
      <c r="AA810" s="61" t="n">
        <f aca="false">K810</f>
        <v>0</v>
      </c>
      <c r="AB810" s="61" t="n">
        <f aca="false">L810</f>
        <v>0</v>
      </c>
      <c r="AC810" s="61" t="n">
        <f aca="false">VLOOKUP(AB810,recipe_ingred_list!$K$2:$M$7,3,0)</f>
        <v>2</v>
      </c>
      <c r="AD810" s="61" t="n">
        <f aca="false">M810</f>
        <v>4.5</v>
      </c>
      <c r="AE810" s="61" t="str">
        <f aca="false">N810</f>
        <v>ltr</v>
      </c>
      <c r="AF810" s="61" t="n">
        <f aca="false">VLOOKUP(AE810,recipe_ingred_list!$K$16:$M$25,3,0)</f>
        <v>1</v>
      </c>
      <c r="AG810" s="61" t="n">
        <f aca="false">O810</f>
        <v>0</v>
      </c>
      <c r="AH810" s="61" t="n">
        <f aca="false">P810</f>
        <v>0</v>
      </c>
      <c r="AI810" s="61" t="n">
        <f aca="false">VLOOKUP(AH810,recipe_ingred_list!$K$29:$M$34,3,0)</f>
        <v>3</v>
      </c>
      <c r="AJ810" s="61" t="str">
        <f aca="false">IF(Q810="","",Q810)</f>
        <v/>
      </c>
      <c r="AK810" s="61" t="n">
        <f aca="false">AK809+1</f>
        <v>810</v>
      </c>
      <c r="AL810" s="61" t="str">
        <f aca="false">Y810</f>
        <v>gound nut oil</v>
      </c>
      <c r="AM810" s="81" t="str">
        <f aca="false">"a = Client().post('"&amp;W810&amp;"', {'recipe' : '"&amp;V810&amp;"', 'ingredient' : '"&amp;Z810&amp;"', 'name' : '"&amp;X810&amp;"', 'mass_unit' : '"&amp;AC810&amp;"', 'mass_quantity' : '"&amp;ROUND(AA810,3)&amp;"', 'volume_unit' : '"&amp;AF810&amp;"', 'volume_quantity' : '"&amp;ROUND(AD810,3)&amp;"', 'pieces_unit' : '"&amp;AI810&amp;"', 'pieces_quantity' : '"&amp;ROUND(AG810,3)&amp;"', 'cooking_notes' : '"&amp;AJ810&amp;"'}).status_code; print('%s :: %s :: %s :: %s :: %s' %(a,"&amp;G810&amp;",'"&amp;X810&amp;"','"&amp;Y810&amp;"','"&amp;U810&amp;"'))"</f>
        <v>a = Client().post('/recipes/vermicllly/detail/', {'recipe' : '88', 'ingredient' : '83', 'name' : 'oil(groundnut)', 'mass_unit' : '2', 'mass_quantity' : '0', 'volume_unit' : '1', 'volume_quantity' : '4.5', 'pieces_unit' : '3', 'pieces_quantity' : '0', 'cooking_notes' : ''}).status_code; print('%s :: %s :: %s :: %s :: %s' %(a,810,'oil(groundnut)','gound nut oil','Vermicllly'))</v>
      </c>
    </row>
    <row r="811" customFormat="false" ht="13.8" hidden="false" customHeight="false" outlineLevel="0" collapsed="false">
      <c r="G811" s="80" t="n">
        <v>811</v>
      </c>
      <c r="H811" s="83"/>
      <c r="I811" s="83" t="s">
        <v>372</v>
      </c>
      <c r="J811" s="83" t="s">
        <v>570</v>
      </c>
      <c r="M811" s="61" t="n">
        <v>2</v>
      </c>
      <c r="N811" s="61" t="s">
        <v>20</v>
      </c>
      <c r="R811" s="82" t="str">
        <f aca="false">VLOOKUP(J811,ingredient!$N$4:$O$553,2,0)</f>
        <v>rai</v>
      </c>
      <c r="U811" s="81" t="str">
        <f aca="false">I811</f>
        <v>Vermicllly</v>
      </c>
      <c r="V811" s="81" t="n">
        <f aca="false">VLOOKUP(U811,recipe_ingred_list!$A$2:$B$300,2,0)</f>
        <v>88</v>
      </c>
      <c r="W811" s="81" t="str">
        <f aca="false">"/recipes/"&amp;VLOOKUP(U811,recipe_ingred_list!$A$2:$C$300,3,0)&amp;"/detail/"</f>
        <v>/recipes/vermicllly/detail/</v>
      </c>
      <c r="X811" s="81" t="str">
        <f aca="false">J811</f>
        <v>Rai</v>
      </c>
      <c r="Y811" s="81" t="str">
        <f aca="false">R811</f>
        <v>rai</v>
      </c>
      <c r="Z811" s="94" t="n">
        <f aca="false">VLOOKUP(Y811,recipe_ingred_list!$D$2:$E$500,2,0)</f>
        <v>164</v>
      </c>
      <c r="AA811" s="61" t="n">
        <f aca="false">K811</f>
        <v>0</v>
      </c>
      <c r="AB811" s="61" t="n">
        <f aca="false">L811</f>
        <v>0</v>
      </c>
      <c r="AC811" s="61" t="n">
        <f aca="false">VLOOKUP(AB811,recipe_ingred_list!$K$2:$M$7,3,0)</f>
        <v>2</v>
      </c>
      <c r="AD811" s="61" t="n">
        <f aca="false">M811</f>
        <v>2</v>
      </c>
      <c r="AE811" s="61" t="str">
        <f aca="false">N811</f>
        <v>cup</v>
      </c>
      <c r="AF811" s="61" t="n">
        <f aca="false">VLOOKUP(AE811,recipe_ingred_list!$K$16:$M$25,3,0)</f>
        <v>5</v>
      </c>
      <c r="AG811" s="61" t="n">
        <f aca="false">O811</f>
        <v>0</v>
      </c>
      <c r="AH811" s="61" t="n">
        <f aca="false">P811</f>
        <v>0</v>
      </c>
      <c r="AI811" s="61" t="n">
        <f aca="false">VLOOKUP(AH811,recipe_ingred_list!$K$29:$M$34,3,0)</f>
        <v>3</v>
      </c>
      <c r="AJ811" s="61" t="str">
        <f aca="false">IF(Q811="","",Q811)</f>
        <v/>
      </c>
      <c r="AK811" s="61" t="n">
        <f aca="false">AK810+1</f>
        <v>811</v>
      </c>
      <c r="AL811" s="61" t="str">
        <f aca="false">Y811</f>
        <v>rai</v>
      </c>
      <c r="AM811" s="81" t="str">
        <f aca="false">"a = Client().post('"&amp;W811&amp;"', {'recipe' : '"&amp;V811&amp;"', 'ingredient' : '"&amp;Z811&amp;"', 'name' : '"&amp;X811&amp;"', 'mass_unit' : '"&amp;AC811&amp;"', 'mass_quantity' : '"&amp;ROUND(AA811,3)&amp;"', 'volume_unit' : '"&amp;AF811&amp;"', 'volume_quantity' : '"&amp;ROUND(AD811,3)&amp;"', 'pieces_unit' : '"&amp;AI811&amp;"', 'pieces_quantity' : '"&amp;ROUND(AG811,3)&amp;"', 'cooking_notes' : '"&amp;AJ811&amp;"'}).status_code; print('%s :: %s :: %s :: %s :: %s' %(a,"&amp;G811&amp;",'"&amp;X811&amp;"','"&amp;Y811&amp;"','"&amp;U811&amp;"'))"</f>
        <v>a = Client().post('/recipes/vermicllly/detail/', {'recipe' : '88', 'ingredient' : '164', 'name' : 'Rai', 'mass_unit' : '2', 'mass_quantity' : '0', 'volume_unit' : '5', 'volume_quantity' : '2', 'pieces_unit' : '3', 'pieces_quantity' : '0', 'cooking_notes' : ''}).status_code; print('%s :: %s :: %s :: %s :: %s' %(a,811,'Rai','rai','Vermicllly'))</v>
      </c>
    </row>
    <row r="812" customFormat="false" ht="13.8" hidden="false" customHeight="false" outlineLevel="0" collapsed="false">
      <c r="G812" s="80" t="n">
        <v>812</v>
      </c>
      <c r="H812" s="83"/>
      <c r="I812" s="83" t="s">
        <v>372</v>
      </c>
      <c r="J812" s="83" t="s">
        <v>249</v>
      </c>
      <c r="M812" s="61" t="n">
        <v>1</v>
      </c>
      <c r="N812" s="61" t="s">
        <v>13</v>
      </c>
      <c r="R812" s="82" t="str">
        <f aca="false">VLOOKUP(J812,ingredient!$N$4:$O$553,2,0)</f>
        <v>chana dal</v>
      </c>
      <c r="U812" s="81" t="str">
        <f aca="false">I812</f>
        <v>Vermicllly</v>
      </c>
      <c r="V812" s="81" t="n">
        <f aca="false">VLOOKUP(U812,recipe_ingred_list!$A$2:$B$300,2,0)</f>
        <v>88</v>
      </c>
      <c r="W812" s="81" t="str">
        <f aca="false">"/recipes/"&amp;VLOOKUP(U812,recipe_ingred_list!$A$2:$C$300,3,0)&amp;"/detail/"</f>
        <v>/recipes/vermicllly/detail/</v>
      </c>
      <c r="X812" s="81" t="str">
        <f aca="false">J812</f>
        <v>chana dal</v>
      </c>
      <c r="Y812" s="81" t="str">
        <f aca="false">R812</f>
        <v>chana dal</v>
      </c>
      <c r="Z812" s="94" t="n">
        <f aca="false">VLOOKUP(Y812,recipe_ingred_list!$D$2:$E$500,2,0)</f>
        <v>46</v>
      </c>
      <c r="AA812" s="61" t="n">
        <f aca="false">K812</f>
        <v>0</v>
      </c>
      <c r="AB812" s="61" t="n">
        <f aca="false">L812</f>
        <v>0</v>
      </c>
      <c r="AC812" s="61" t="n">
        <f aca="false">VLOOKUP(AB812,recipe_ingred_list!$K$2:$M$7,3,0)</f>
        <v>2</v>
      </c>
      <c r="AD812" s="61" t="n">
        <f aca="false">M812</f>
        <v>1</v>
      </c>
      <c r="AE812" s="61" t="str">
        <f aca="false">N812</f>
        <v>ltr</v>
      </c>
      <c r="AF812" s="61" t="n">
        <f aca="false">VLOOKUP(AE812,recipe_ingred_list!$K$16:$M$25,3,0)</f>
        <v>1</v>
      </c>
      <c r="AG812" s="61" t="n">
        <f aca="false">O812</f>
        <v>0</v>
      </c>
      <c r="AH812" s="61" t="n">
        <f aca="false">P812</f>
        <v>0</v>
      </c>
      <c r="AI812" s="61" t="n">
        <f aca="false">VLOOKUP(AH812,recipe_ingred_list!$K$29:$M$34,3,0)</f>
        <v>3</v>
      </c>
      <c r="AJ812" s="61" t="str">
        <f aca="false">IF(Q812="","",Q812)</f>
        <v/>
      </c>
      <c r="AK812" s="61" t="n">
        <f aca="false">AK811+1</f>
        <v>812</v>
      </c>
      <c r="AL812" s="61" t="str">
        <f aca="false">Y812</f>
        <v>chana dal</v>
      </c>
      <c r="AM812" s="81" t="str">
        <f aca="false">"a = Client().post('"&amp;W812&amp;"', {'recipe' : '"&amp;V812&amp;"', 'ingredient' : '"&amp;Z812&amp;"', 'name' : '"&amp;X812&amp;"', 'mass_unit' : '"&amp;AC812&amp;"', 'mass_quantity' : '"&amp;ROUND(AA812,3)&amp;"', 'volume_unit' : '"&amp;AF812&amp;"', 'volume_quantity' : '"&amp;ROUND(AD812,3)&amp;"', 'pieces_unit' : '"&amp;AI812&amp;"', 'pieces_quantity' : '"&amp;ROUND(AG812,3)&amp;"', 'cooking_notes' : '"&amp;AJ812&amp;"'}).status_code; print('%s :: %s :: %s :: %s :: %s' %(a,"&amp;G812&amp;",'"&amp;X812&amp;"','"&amp;Y812&amp;"','"&amp;U812&amp;"'))"</f>
        <v>a = Client().post('/recipes/vermicllly/detail/', {'recipe' : '88', 'ingredient' : '46', 'name' : 'chana dal', 'mass_unit' : '2', 'mass_quantity' : '0', 'volume_unit' : '1', 'volume_quantity' : '1', 'pieces_unit' : '3', 'pieces_quantity' : '0', 'cooking_notes' : ''}).status_code; print('%s :: %s :: %s :: %s :: %s' %(a,812,'chana dal','chana dal','Vermicllly'))</v>
      </c>
    </row>
    <row r="813" customFormat="false" ht="13.8" hidden="false" customHeight="false" outlineLevel="0" collapsed="false">
      <c r="G813" s="80" t="n">
        <v>813</v>
      </c>
      <c r="H813" s="83"/>
      <c r="I813" s="83" t="s">
        <v>372</v>
      </c>
      <c r="J813" s="83" t="s">
        <v>489</v>
      </c>
      <c r="M813" s="61" t="n">
        <v>1</v>
      </c>
      <c r="N813" s="61" t="s">
        <v>13</v>
      </c>
      <c r="R813" s="82" t="str">
        <f aca="false">VLOOKUP(J813,ingredient!$N$4:$O$553,2,0)</f>
        <v>urad dal</v>
      </c>
      <c r="U813" s="81" t="str">
        <f aca="false">I813</f>
        <v>Vermicllly</v>
      </c>
      <c r="V813" s="81" t="n">
        <f aca="false">VLOOKUP(U813,recipe_ingred_list!$A$2:$B$300,2,0)</f>
        <v>88</v>
      </c>
      <c r="W813" s="81" t="str">
        <f aca="false">"/recipes/"&amp;VLOOKUP(U813,recipe_ingred_list!$A$2:$C$300,3,0)&amp;"/detail/"</f>
        <v>/recipes/vermicllly/detail/</v>
      </c>
      <c r="X813" s="81" t="str">
        <f aca="false">J813</f>
        <v>urad dal</v>
      </c>
      <c r="Y813" s="81" t="str">
        <f aca="false">R813</f>
        <v>urad dal</v>
      </c>
      <c r="Z813" s="94" t="n">
        <f aca="false">VLOOKUP(Y813,recipe_ingred_list!$D$2:$E$500,2,0)</f>
        <v>200</v>
      </c>
      <c r="AA813" s="61" t="n">
        <f aca="false">K813</f>
        <v>0</v>
      </c>
      <c r="AB813" s="61" t="n">
        <f aca="false">L813</f>
        <v>0</v>
      </c>
      <c r="AC813" s="61" t="n">
        <f aca="false">VLOOKUP(AB813,recipe_ingred_list!$K$2:$M$7,3,0)</f>
        <v>2</v>
      </c>
      <c r="AD813" s="61" t="n">
        <f aca="false">M813</f>
        <v>1</v>
      </c>
      <c r="AE813" s="61" t="str">
        <f aca="false">N813</f>
        <v>ltr</v>
      </c>
      <c r="AF813" s="61" t="n">
        <f aca="false">VLOOKUP(AE813,recipe_ingred_list!$K$16:$M$25,3,0)</f>
        <v>1</v>
      </c>
      <c r="AG813" s="61" t="n">
        <f aca="false">O813</f>
        <v>0</v>
      </c>
      <c r="AH813" s="61" t="n">
        <f aca="false">P813</f>
        <v>0</v>
      </c>
      <c r="AI813" s="61" t="n">
        <f aca="false">VLOOKUP(AH813,recipe_ingred_list!$K$29:$M$34,3,0)</f>
        <v>3</v>
      </c>
      <c r="AJ813" s="61" t="str">
        <f aca="false">IF(Q813="","",Q813)</f>
        <v/>
      </c>
      <c r="AK813" s="61" t="n">
        <f aca="false">AK812+1</f>
        <v>813</v>
      </c>
      <c r="AL813" s="61" t="str">
        <f aca="false">Y813</f>
        <v>urad dal</v>
      </c>
      <c r="AM813" s="81" t="str">
        <f aca="false">"a = Client().post('"&amp;W813&amp;"', {'recipe' : '"&amp;V813&amp;"', 'ingredient' : '"&amp;Z813&amp;"', 'name' : '"&amp;X813&amp;"', 'mass_unit' : '"&amp;AC813&amp;"', 'mass_quantity' : '"&amp;ROUND(AA813,3)&amp;"', 'volume_unit' : '"&amp;AF813&amp;"', 'volume_quantity' : '"&amp;ROUND(AD813,3)&amp;"', 'pieces_unit' : '"&amp;AI813&amp;"', 'pieces_quantity' : '"&amp;ROUND(AG813,3)&amp;"', 'cooking_notes' : '"&amp;AJ813&amp;"'}).status_code; print('%s :: %s :: %s :: %s :: %s' %(a,"&amp;G813&amp;",'"&amp;X813&amp;"','"&amp;Y813&amp;"','"&amp;U813&amp;"'))"</f>
        <v>a = Client().post('/recipes/vermicllly/detail/', {'recipe' : '88', 'ingredient' : '200', 'name' : 'urad dal', 'mass_unit' : '2', 'mass_quantity' : '0', 'volume_unit' : '1', 'volume_quantity' : '1', 'pieces_unit' : '3', 'pieces_quantity' : '0', 'cooking_notes' : ''}).status_code; print('%s :: %s :: %s :: %s :: %s' %(a,813,'urad dal','urad dal','Vermicllly'))</v>
      </c>
    </row>
    <row r="814" customFormat="false" ht="13.8" hidden="false" customHeight="false" outlineLevel="0" collapsed="false">
      <c r="G814" s="80" t="n">
        <v>814</v>
      </c>
      <c r="H814" s="83"/>
      <c r="I814" s="83" t="s">
        <v>372</v>
      </c>
      <c r="J814" s="83" t="s">
        <v>382</v>
      </c>
      <c r="M814" s="61" t="n">
        <v>1</v>
      </c>
      <c r="N814" s="61" t="s">
        <v>20</v>
      </c>
      <c r="R814" s="82" t="str">
        <f aca="false">VLOOKUP(J814,ingredient!$N$4:$O$553,2,0)</f>
        <v>haldi</v>
      </c>
      <c r="U814" s="81" t="str">
        <f aca="false">I814</f>
        <v>Vermicllly</v>
      </c>
      <c r="V814" s="81" t="n">
        <f aca="false">VLOOKUP(U814,recipe_ingred_list!$A$2:$B$300,2,0)</f>
        <v>88</v>
      </c>
      <c r="W814" s="81" t="str">
        <f aca="false">"/recipes/"&amp;VLOOKUP(U814,recipe_ingred_list!$A$2:$C$300,3,0)&amp;"/detail/"</f>
        <v>/recipes/vermicllly/detail/</v>
      </c>
      <c r="X814" s="81" t="str">
        <f aca="false">J814</f>
        <v>haldi</v>
      </c>
      <c r="Y814" s="81" t="str">
        <f aca="false">R814</f>
        <v>haldi</v>
      </c>
      <c r="Z814" s="94" t="n">
        <f aca="false">VLOOKUP(Y814,recipe_ingred_list!$D$2:$E$500,2,0)</f>
        <v>91</v>
      </c>
      <c r="AA814" s="61" t="n">
        <f aca="false">K814</f>
        <v>0</v>
      </c>
      <c r="AB814" s="61" t="n">
        <f aca="false">L814</f>
        <v>0</v>
      </c>
      <c r="AC814" s="61" t="n">
        <f aca="false">VLOOKUP(AB814,recipe_ingred_list!$K$2:$M$7,3,0)</f>
        <v>2</v>
      </c>
      <c r="AD814" s="61" t="n">
        <f aca="false">M814</f>
        <v>1</v>
      </c>
      <c r="AE814" s="61" t="str">
        <f aca="false">N814</f>
        <v>cup</v>
      </c>
      <c r="AF814" s="61" t="n">
        <f aca="false">VLOOKUP(AE814,recipe_ingred_list!$K$16:$M$25,3,0)</f>
        <v>5</v>
      </c>
      <c r="AG814" s="61" t="n">
        <f aca="false">O814</f>
        <v>0</v>
      </c>
      <c r="AH814" s="61" t="n">
        <f aca="false">P814</f>
        <v>0</v>
      </c>
      <c r="AI814" s="61" t="n">
        <f aca="false">VLOOKUP(AH814,recipe_ingred_list!$K$29:$M$34,3,0)</f>
        <v>3</v>
      </c>
      <c r="AJ814" s="61" t="str">
        <f aca="false">IF(Q814="","",Q814)</f>
        <v/>
      </c>
      <c r="AK814" s="61" t="n">
        <f aca="false">AK813+1</f>
        <v>814</v>
      </c>
      <c r="AL814" s="61" t="str">
        <f aca="false">Y814</f>
        <v>haldi</v>
      </c>
      <c r="AM814" s="81" t="str">
        <f aca="false">"a = Client().post('"&amp;W814&amp;"', {'recipe' : '"&amp;V814&amp;"', 'ingredient' : '"&amp;Z814&amp;"', 'name' : '"&amp;X814&amp;"', 'mass_unit' : '"&amp;AC814&amp;"', 'mass_quantity' : '"&amp;ROUND(AA814,3)&amp;"', 'volume_unit' : '"&amp;AF814&amp;"', 'volume_quantity' : '"&amp;ROUND(AD814,3)&amp;"', 'pieces_unit' : '"&amp;AI814&amp;"', 'pieces_quantity' : '"&amp;ROUND(AG814,3)&amp;"', 'cooking_notes' : '"&amp;AJ814&amp;"'}).status_code; print('%s :: %s :: %s :: %s :: %s' %(a,"&amp;G814&amp;",'"&amp;X814&amp;"','"&amp;Y814&amp;"','"&amp;U814&amp;"'))"</f>
        <v>a = Client().post('/recipes/vermicllly/detail/', {'recipe' : '88', 'ingredient' : '91', 'name' : 'haldi', 'mass_unit' : '2', 'mass_quantity' : '0', 'volume_unit' : '5', 'volume_quantity' : '1', 'pieces_unit' : '3', 'pieces_quantity' : '0', 'cooking_notes' : ''}).status_code; print('%s :: %s :: %s :: %s :: %s' %(a,814,'haldi','haldi','Vermicllly'))</v>
      </c>
    </row>
    <row r="815" customFormat="false" ht="13.8" hidden="false" customHeight="false" outlineLevel="0" collapsed="false">
      <c r="G815" s="80" t="n">
        <v>815</v>
      </c>
      <c r="H815" s="83"/>
      <c r="I815" s="83" t="s">
        <v>372</v>
      </c>
      <c r="J815" s="83" t="s">
        <v>809</v>
      </c>
      <c r="M815" s="61" t="n">
        <v>0.5</v>
      </c>
      <c r="N815" s="61" t="s">
        <v>20</v>
      </c>
      <c r="R815" s="82" t="str">
        <f aca="false">VLOOKUP(J815,ingredient!$N$4:$O$553,2,0)</f>
        <v>kashmiri chilly powder</v>
      </c>
      <c r="U815" s="81" t="str">
        <f aca="false">I815</f>
        <v>Vermicllly</v>
      </c>
      <c r="V815" s="81" t="n">
        <f aca="false">VLOOKUP(U815,recipe_ingred_list!$A$2:$B$300,2,0)</f>
        <v>88</v>
      </c>
      <c r="W815" s="81" t="str">
        <f aca="false">"/recipes/"&amp;VLOOKUP(U815,recipe_ingred_list!$A$2:$C$300,3,0)&amp;"/detail/"</f>
        <v>/recipes/vermicllly/detail/</v>
      </c>
      <c r="X815" s="81" t="str">
        <f aca="false">J815</f>
        <v>kashmiri chili powder</v>
      </c>
      <c r="Y815" s="81" t="str">
        <f aca="false">R815</f>
        <v>kashmiri chilly powder</v>
      </c>
      <c r="Z815" s="94" t="n">
        <f aca="false">VLOOKUP(Y815,recipe_ingred_list!$D$2:$E$500,2,0)</f>
        <v>117</v>
      </c>
      <c r="AA815" s="61" t="n">
        <f aca="false">K815</f>
        <v>0</v>
      </c>
      <c r="AB815" s="61" t="n">
        <f aca="false">L815</f>
        <v>0</v>
      </c>
      <c r="AC815" s="61" t="n">
        <f aca="false">VLOOKUP(AB815,recipe_ingred_list!$K$2:$M$7,3,0)</f>
        <v>2</v>
      </c>
      <c r="AD815" s="61" t="n">
        <f aca="false">M815</f>
        <v>0.5</v>
      </c>
      <c r="AE815" s="61" t="str">
        <f aca="false">N815</f>
        <v>cup</v>
      </c>
      <c r="AF815" s="61" t="n">
        <f aca="false">VLOOKUP(AE815,recipe_ingred_list!$K$16:$M$25,3,0)</f>
        <v>5</v>
      </c>
      <c r="AG815" s="61" t="n">
        <f aca="false">O815</f>
        <v>0</v>
      </c>
      <c r="AH815" s="61" t="n">
        <f aca="false">P815</f>
        <v>0</v>
      </c>
      <c r="AI815" s="61" t="n">
        <f aca="false">VLOOKUP(AH815,recipe_ingred_list!$K$29:$M$34,3,0)</f>
        <v>3</v>
      </c>
      <c r="AJ815" s="61" t="str">
        <f aca="false">IF(Q815="","",Q815)</f>
        <v/>
      </c>
      <c r="AK815" s="61" t="n">
        <f aca="false">AK814+1</f>
        <v>815</v>
      </c>
      <c r="AL815" s="61" t="str">
        <f aca="false">Y815</f>
        <v>kashmiri chilly powder</v>
      </c>
      <c r="AM815" s="81" t="str">
        <f aca="false">"a = Client().post('"&amp;W815&amp;"', {'recipe' : '"&amp;V815&amp;"', 'ingredient' : '"&amp;Z815&amp;"', 'name' : '"&amp;X815&amp;"', 'mass_unit' : '"&amp;AC815&amp;"', 'mass_quantity' : '"&amp;ROUND(AA815,3)&amp;"', 'volume_unit' : '"&amp;AF815&amp;"', 'volume_quantity' : '"&amp;ROUND(AD815,3)&amp;"', 'pieces_unit' : '"&amp;AI815&amp;"', 'pieces_quantity' : '"&amp;ROUND(AG815,3)&amp;"', 'cooking_notes' : '"&amp;AJ815&amp;"'}).status_code; print('%s :: %s :: %s :: %s :: %s' %(a,"&amp;G815&amp;",'"&amp;X815&amp;"','"&amp;Y815&amp;"','"&amp;U815&amp;"'))"</f>
        <v>a = Client().post('/recipes/vermicllly/detail/', {'recipe' : '88', 'ingredient' : '117', 'name' : 'kashmiri chili powder', 'mass_unit' : '2', 'mass_quantity' : '0', 'volume_unit' : '5', 'volume_quantity' : '0.5', 'pieces_unit' : '3', 'pieces_quantity' : '0', 'cooking_notes' : ''}).status_code; print('%s :: %s :: %s :: %s :: %s' %(a,815,'kashmiri chili powder','kashmiri chilly powder','Vermicllly'))</v>
      </c>
    </row>
    <row r="816" customFormat="false" ht="13.8" hidden="false" customHeight="false" outlineLevel="0" collapsed="false">
      <c r="G816" s="80" t="n">
        <v>816</v>
      </c>
      <c r="H816" s="83"/>
      <c r="I816" s="83" t="s">
        <v>372</v>
      </c>
      <c r="J816" s="83" t="s">
        <v>391</v>
      </c>
      <c r="M816" s="61" t="n">
        <v>0.5</v>
      </c>
      <c r="N816" s="61" t="s">
        <v>20</v>
      </c>
      <c r="R816" s="82" t="str">
        <f aca="false">VLOOKUP(J816,ingredient!$N$4:$O$553,2,0)</f>
        <v>hing</v>
      </c>
      <c r="U816" s="81" t="str">
        <f aca="false">I816</f>
        <v>Vermicllly</v>
      </c>
      <c r="V816" s="81" t="n">
        <f aca="false">VLOOKUP(U816,recipe_ingred_list!$A$2:$B$300,2,0)</f>
        <v>88</v>
      </c>
      <c r="W816" s="81" t="str">
        <f aca="false">"/recipes/"&amp;VLOOKUP(U816,recipe_ingred_list!$A$2:$C$300,3,0)&amp;"/detail/"</f>
        <v>/recipes/vermicllly/detail/</v>
      </c>
      <c r="X816" s="81" t="str">
        <f aca="false">J816</f>
        <v>hing</v>
      </c>
      <c r="Y816" s="81" t="str">
        <f aca="false">R816</f>
        <v>hing</v>
      </c>
      <c r="Z816" s="94" t="n">
        <f aca="false">VLOOKUP(Y816,recipe_ingred_list!$D$2:$E$500,2,0)</f>
        <v>95</v>
      </c>
      <c r="AA816" s="61" t="n">
        <f aca="false">K816</f>
        <v>0</v>
      </c>
      <c r="AB816" s="61" t="n">
        <f aca="false">L816</f>
        <v>0</v>
      </c>
      <c r="AC816" s="61" t="n">
        <f aca="false">VLOOKUP(AB816,recipe_ingred_list!$K$2:$M$7,3,0)</f>
        <v>2</v>
      </c>
      <c r="AD816" s="61" t="n">
        <f aca="false">M816</f>
        <v>0.5</v>
      </c>
      <c r="AE816" s="61" t="str">
        <f aca="false">N816</f>
        <v>cup</v>
      </c>
      <c r="AF816" s="61" t="n">
        <f aca="false">VLOOKUP(AE816,recipe_ingred_list!$K$16:$M$25,3,0)</f>
        <v>5</v>
      </c>
      <c r="AG816" s="61" t="n">
        <f aca="false">O816</f>
        <v>0</v>
      </c>
      <c r="AH816" s="61" t="n">
        <f aca="false">P816</f>
        <v>0</v>
      </c>
      <c r="AI816" s="61" t="n">
        <f aca="false">VLOOKUP(AH816,recipe_ingred_list!$K$29:$M$34,3,0)</f>
        <v>3</v>
      </c>
      <c r="AJ816" s="61" t="str">
        <f aca="false">IF(Q816="","",Q816)</f>
        <v/>
      </c>
      <c r="AK816" s="61" t="n">
        <f aca="false">AK815+1</f>
        <v>816</v>
      </c>
      <c r="AL816" s="61" t="str">
        <f aca="false">Y816</f>
        <v>hing</v>
      </c>
      <c r="AM816" s="81" t="str">
        <f aca="false">"a = Client().post('"&amp;W816&amp;"', {'recipe' : '"&amp;V816&amp;"', 'ingredient' : '"&amp;Z816&amp;"', 'name' : '"&amp;X816&amp;"', 'mass_unit' : '"&amp;AC816&amp;"', 'mass_quantity' : '"&amp;ROUND(AA816,3)&amp;"', 'volume_unit' : '"&amp;AF816&amp;"', 'volume_quantity' : '"&amp;ROUND(AD816,3)&amp;"', 'pieces_unit' : '"&amp;AI816&amp;"', 'pieces_quantity' : '"&amp;ROUND(AG816,3)&amp;"', 'cooking_notes' : '"&amp;AJ816&amp;"'}).status_code; print('%s :: %s :: %s :: %s :: %s' %(a,"&amp;G816&amp;",'"&amp;X816&amp;"','"&amp;Y816&amp;"','"&amp;U816&amp;"'))"</f>
        <v>a = Client().post('/recipes/vermicllly/detail/', {'recipe' : '88', 'ingredient' : '95', 'name' : 'hing', 'mass_unit' : '2', 'mass_quantity' : '0', 'volume_unit' : '5', 'volume_quantity' : '0.5', 'pieces_unit' : '3', 'pieces_quantity' : '0', 'cooking_notes' : ''}).status_code; print('%s :: %s :: %s :: %s :: %s' %(a,816,'hing','hing','Vermicllly'))</v>
      </c>
    </row>
    <row r="817" customFormat="false" ht="13.8" hidden="false" customHeight="false" outlineLevel="0" collapsed="false">
      <c r="G817" s="80" t="n">
        <v>817</v>
      </c>
      <c r="H817" s="83"/>
      <c r="I817" s="83" t="s">
        <v>372</v>
      </c>
      <c r="J817" s="83" t="s">
        <v>452</v>
      </c>
      <c r="M817" s="61" t="n">
        <v>0.5</v>
      </c>
      <c r="N817" s="61" t="s">
        <v>13</v>
      </c>
      <c r="R817" s="82" t="str">
        <f aca="false">VLOOKUP(J817,ingredient!$N$4:$O$553,2,0)</f>
        <v>pav bhaji masala</v>
      </c>
      <c r="U817" s="81" t="str">
        <f aca="false">I817</f>
        <v>Vermicllly</v>
      </c>
      <c r="V817" s="81" t="n">
        <f aca="false">VLOOKUP(U817,recipe_ingred_list!$A$2:$B$300,2,0)</f>
        <v>88</v>
      </c>
      <c r="W817" s="81" t="str">
        <f aca="false">"/recipes/"&amp;VLOOKUP(U817,recipe_ingred_list!$A$2:$C$300,3,0)&amp;"/detail/"</f>
        <v>/recipes/vermicllly/detail/</v>
      </c>
      <c r="X817" s="81" t="str">
        <f aca="false">J817</f>
        <v>pav bhaji masala</v>
      </c>
      <c r="Y817" s="81" t="str">
        <f aca="false">R817</f>
        <v>pav bhaji masala</v>
      </c>
      <c r="Z817" s="94" t="n">
        <f aca="false">VLOOKUP(Y817,recipe_ingred_list!$D$2:$E$500,2,0)</f>
        <v>160</v>
      </c>
      <c r="AA817" s="61" t="n">
        <f aca="false">K817</f>
        <v>0</v>
      </c>
      <c r="AB817" s="61" t="n">
        <f aca="false">L817</f>
        <v>0</v>
      </c>
      <c r="AC817" s="61" t="n">
        <f aca="false">VLOOKUP(AB817,recipe_ingred_list!$K$2:$M$7,3,0)</f>
        <v>2</v>
      </c>
      <c r="AD817" s="61" t="n">
        <f aca="false">M817</f>
        <v>0.5</v>
      </c>
      <c r="AE817" s="61" t="str">
        <f aca="false">N817</f>
        <v>ltr</v>
      </c>
      <c r="AF817" s="61" t="n">
        <f aca="false">VLOOKUP(AE817,recipe_ingred_list!$K$16:$M$25,3,0)</f>
        <v>1</v>
      </c>
      <c r="AG817" s="61" t="n">
        <f aca="false">O817</f>
        <v>0</v>
      </c>
      <c r="AH817" s="61" t="n">
        <f aca="false">P817</f>
        <v>0</v>
      </c>
      <c r="AI817" s="61" t="n">
        <f aca="false">VLOOKUP(AH817,recipe_ingred_list!$K$29:$M$34,3,0)</f>
        <v>3</v>
      </c>
      <c r="AJ817" s="61" t="str">
        <f aca="false">IF(Q817="","",Q817)</f>
        <v/>
      </c>
      <c r="AK817" s="61" t="n">
        <f aca="false">AK816+1</f>
        <v>817</v>
      </c>
      <c r="AL817" s="61" t="str">
        <f aca="false">Y817</f>
        <v>pav bhaji masala</v>
      </c>
      <c r="AM817" s="81" t="str">
        <f aca="false">"a = Client().post('"&amp;W817&amp;"', {'recipe' : '"&amp;V817&amp;"', 'ingredient' : '"&amp;Z817&amp;"', 'name' : '"&amp;X817&amp;"', 'mass_unit' : '"&amp;AC817&amp;"', 'mass_quantity' : '"&amp;ROUND(AA817,3)&amp;"', 'volume_unit' : '"&amp;AF817&amp;"', 'volume_quantity' : '"&amp;ROUND(AD817,3)&amp;"', 'pieces_unit' : '"&amp;AI817&amp;"', 'pieces_quantity' : '"&amp;ROUND(AG817,3)&amp;"', 'cooking_notes' : '"&amp;AJ817&amp;"'}).status_code; print('%s :: %s :: %s :: %s :: %s' %(a,"&amp;G817&amp;",'"&amp;X817&amp;"','"&amp;Y817&amp;"','"&amp;U817&amp;"'))"</f>
        <v>a = Client().post('/recipes/vermicllly/detail/', {'recipe' : '88', 'ingredient' : '160', 'name' : 'pav bhaji masala', 'mass_unit' : '2', 'mass_quantity' : '0', 'volume_unit' : '1', 'volume_quantity' : '0.5', 'pieces_unit' : '3', 'pieces_quantity' : '0', 'cooking_notes' : ''}).status_code; print('%s :: %s :: %s :: %s :: %s' %(a,817,'pav bhaji masala','pav bhaji masala','Vermicllly'))</v>
      </c>
    </row>
    <row r="818" customFormat="false" ht="13.8" hidden="false" customHeight="false" outlineLevel="0" collapsed="false">
      <c r="G818" s="80" t="n">
        <v>818</v>
      </c>
      <c r="H818" s="83"/>
      <c r="I818" s="83" t="s">
        <v>372</v>
      </c>
      <c r="J818" s="83" t="s">
        <v>96</v>
      </c>
      <c r="M818" s="61" t="n">
        <v>6</v>
      </c>
      <c r="N818" s="61" t="s">
        <v>20</v>
      </c>
      <c r="R818" s="82" t="str">
        <f aca="false">VLOOKUP(J818,ingredient!$N$4:$O$553,2,0)</f>
        <v>salt</v>
      </c>
      <c r="U818" s="81" t="str">
        <f aca="false">I818</f>
        <v>Vermicllly</v>
      </c>
      <c r="V818" s="81" t="n">
        <f aca="false">VLOOKUP(U818,recipe_ingred_list!$A$2:$B$300,2,0)</f>
        <v>88</v>
      </c>
      <c r="W818" s="81" t="str">
        <f aca="false">"/recipes/"&amp;VLOOKUP(U818,recipe_ingred_list!$A$2:$C$300,3,0)&amp;"/detail/"</f>
        <v>/recipes/vermicllly/detail/</v>
      </c>
      <c r="X818" s="81" t="str">
        <f aca="false">J818</f>
        <v>salt</v>
      </c>
      <c r="Y818" s="81" t="str">
        <f aca="false">R818</f>
        <v>salt</v>
      </c>
      <c r="Z818" s="94" t="n">
        <f aca="false">VLOOKUP(Y818,recipe_ingred_list!$D$2:$E$500,2,0)</f>
        <v>177</v>
      </c>
      <c r="AA818" s="61" t="n">
        <f aca="false">K818</f>
        <v>0</v>
      </c>
      <c r="AB818" s="61" t="n">
        <f aca="false">L818</f>
        <v>0</v>
      </c>
      <c r="AC818" s="61" t="n">
        <f aca="false">VLOOKUP(AB818,recipe_ingred_list!$K$2:$M$7,3,0)</f>
        <v>2</v>
      </c>
      <c r="AD818" s="61" t="n">
        <f aca="false">M818</f>
        <v>6</v>
      </c>
      <c r="AE818" s="61" t="str">
        <f aca="false">N818</f>
        <v>cup</v>
      </c>
      <c r="AF818" s="61" t="n">
        <f aca="false">VLOOKUP(AE818,recipe_ingred_list!$K$16:$M$25,3,0)</f>
        <v>5</v>
      </c>
      <c r="AG818" s="61" t="n">
        <f aca="false">O818</f>
        <v>0</v>
      </c>
      <c r="AH818" s="61" t="n">
        <f aca="false">P818</f>
        <v>0</v>
      </c>
      <c r="AI818" s="61" t="n">
        <f aca="false">VLOOKUP(AH818,recipe_ingred_list!$K$29:$M$34,3,0)</f>
        <v>3</v>
      </c>
      <c r="AJ818" s="61" t="str">
        <f aca="false">IF(Q818="","",Q818)</f>
        <v/>
      </c>
      <c r="AK818" s="61" t="n">
        <f aca="false">AK817+1</f>
        <v>818</v>
      </c>
      <c r="AL818" s="61" t="str">
        <f aca="false">Y818</f>
        <v>salt</v>
      </c>
      <c r="AM818" s="81" t="str">
        <f aca="false">"a = Client().post('"&amp;W818&amp;"', {'recipe' : '"&amp;V818&amp;"', 'ingredient' : '"&amp;Z818&amp;"', 'name' : '"&amp;X818&amp;"', 'mass_unit' : '"&amp;AC818&amp;"', 'mass_quantity' : '"&amp;ROUND(AA818,3)&amp;"', 'volume_unit' : '"&amp;AF818&amp;"', 'volume_quantity' : '"&amp;ROUND(AD818,3)&amp;"', 'pieces_unit' : '"&amp;AI818&amp;"', 'pieces_quantity' : '"&amp;ROUND(AG818,3)&amp;"', 'cooking_notes' : '"&amp;AJ818&amp;"'}).status_code; print('%s :: %s :: %s :: %s :: %s' %(a,"&amp;G818&amp;",'"&amp;X818&amp;"','"&amp;Y818&amp;"','"&amp;U818&amp;"'))"</f>
        <v>a = Client().post('/recipes/vermicllly/detail/', {'recipe' : '88', 'ingredient' : '177', 'name' : 'salt', 'mass_unit' : '2', 'mass_quantity' : '0', 'volume_unit' : '5', 'volume_quantity' : '6', 'pieces_unit' : '3', 'pieces_quantity' : '0', 'cooking_notes' : ''}).status_code; print('%s :: %s :: %s :: %s :: %s' %(a,818,'salt','salt','Vermicllly'))</v>
      </c>
    </row>
    <row r="819" customFormat="false" ht="13.8" hidden="false" customHeight="false" outlineLevel="0" collapsed="false">
      <c r="G819" s="80" t="n">
        <v>819</v>
      </c>
      <c r="H819" s="79"/>
      <c r="I819" s="79"/>
      <c r="J819" s="79"/>
      <c r="K819" s="100"/>
      <c r="L819" s="100"/>
      <c r="M819" s="100"/>
      <c r="N819" s="100"/>
      <c r="O819" s="100"/>
      <c r="P819" s="100"/>
      <c r="Q819" s="102"/>
      <c r="R819" s="99" t="e">
        <f aca="false">VLOOKUP(J819,ingredient!$N$4:$O$553,2,0)</f>
        <v>#N/A</v>
      </c>
      <c r="S819" s="98"/>
      <c r="T819" s="98"/>
      <c r="U819" s="81" t="n">
        <f aca="false">I819</f>
        <v>0</v>
      </c>
      <c r="V819" s="81" t="e">
        <f aca="false">VLOOKUP(U819,recipe_ingred_list!$A$2:$B$300,2,0)</f>
        <v>#N/A</v>
      </c>
      <c r="W819" s="81" t="e">
        <f aca="false">"/recipes/"&amp;VLOOKUP(U819,recipe_ingred_list!$A$2:$C$300,3,0)&amp;"/detail/"</f>
        <v>#N/A</v>
      </c>
      <c r="X819" s="81" t="n">
        <f aca="false">J819</f>
        <v>0</v>
      </c>
      <c r="Y819" s="81" t="e">
        <f aca="false">R819</f>
        <v>#N/A</v>
      </c>
      <c r="Z819" s="94" t="e">
        <f aca="false">VLOOKUP(Y819,recipe_ingred_list!$D$2:$E$500,2,0)</f>
        <v>#N/A</v>
      </c>
      <c r="AA819" s="61" t="n">
        <f aca="false">K819</f>
        <v>0</v>
      </c>
      <c r="AB819" s="61" t="n">
        <f aca="false">L819</f>
        <v>0</v>
      </c>
      <c r="AC819" s="61" t="n">
        <f aca="false">VLOOKUP(AB819,recipe_ingred_list!$K$2:$M$7,3,0)</f>
        <v>2</v>
      </c>
      <c r="AD819" s="61" t="n">
        <f aca="false">M819</f>
        <v>0</v>
      </c>
      <c r="AE819" s="61" t="n">
        <f aca="false">N819</f>
        <v>0</v>
      </c>
      <c r="AF819" s="61" t="n">
        <f aca="false">VLOOKUP(AE819,recipe_ingred_list!$K$16:$M$25,3,0)</f>
        <v>1</v>
      </c>
      <c r="AG819" s="61" t="n">
        <f aca="false">O819</f>
        <v>0</v>
      </c>
      <c r="AH819" s="61" t="n">
        <f aca="false">P819</f>
        <v>0</v>
      </c>
      <c r="AI819" s="61" t="n">
        <f aca="false">VLOOKUP(AH819,recipe_ingred_list!$K$29:$M$34,3,0)</f>
        <v>3</v>
      </c>
      <c r="AJ819" s="61" t="str">
        <f aca="false">IF(Q819="","",Q819)</f>
        <v/>
      </c>
      <c r="AK819" s="61" t="n">
        <f aca="false">AK818+1</f>
        <v>819</v>
      </c>
      <c r="AL819" s="61" t="e">
        <f aca="false">Y819</f>
        <v>#N/A</v>
      </c>
      <c r="AM819" s="81" t="e">
        <f aca="false">"a = Client().post('"&amp;W819&amp;"', {'recipe' : '"&amp;V819&amp;"', 'ingredient' : '"&amp;Z819&amp;"', 'name' : '"&amp;X819&amp;"', 'mass_unit' : '"&amp;AC819&amp;"', 'mass_quantity' : '"&amp;ROUND(AA819,3)&amp;"', 'volume_unit' : '"&amp;AF819&amp;"', 'volume_quantity' : '"&amp;ROUND(AD819,3)&amp;"', 'pieces_unit' : '"&amp;AI819&amp;"', 'pieces_quantity' : '"&amp;ROUND(AG819,3)&amp;"', 'cooking_notes' : '"&amp;AJ819&amp;"'}).status_code; print('%s :: %s :: %s :: %s :: %s' %(a,"&amp;G819&amp;",'"&amp;X819&amp;"','"&amp;Y819&amp;"','"&amp;U819&amp;"'))"</f>
        <v>#N/A</v>
      </c>
    </row>
    <row r="820" customFormat="false" ht="13.8" hidden="false" customHeight="false" outlineLevel="0" collapsed="false">
      <c r="G820" s="80" t="n">
        <v>820</v>
      </c>
      <c r="H820" s="83"/>
      <c r="I820" s="83" t="s">
        <v>292</v>
      </c>
      <c r="J820" s="83" t="s">
        <v>273</v>
      </c>
      <c r="O820" s="61" t="n">
        <v>8</v>
      </c>
      <c r="P820" s="61" t="s">
        <v>107</v>
      </c>
      <c r="R820" s="82" t="str">
        <f aca="false">VLOOKUP(J820,ingredient!$N$4:$O$553,2,0)</f>
        <v>coconut</v>
      </c>
      <c r="U820" s="81" t="str">
        <f aca="false">I820</f>
        <v>Pongal</v>
      </c>
      <c r="V820" s="81" t="n">
        <f aca="false">VLOOKUP(U820,recipe_ingred_list!$A$2:$B$300,2,0)</f>
        <v>61</v>
      </c>
      <c r="W820" s="81" t="str">
        <f aca="false">"/recipes/"&amp;VLOOKUP(U820,recipe_ingred_list!$A$2:$C$300,3,0)&amp;"/detail/"</f>
        <v>/recipes/pongal/detail/</v>
      </c>
      <c r="X820" s="81" t="str">
        <f aca="false">J820</f>
        <v>coconut</v>
      </c>
      <c r="Y820" s="81" t="str">
        <f aca="false">R820</f>
        <v>coconut</v>
      </c>
      <c r="Z820" s="94" t="n">
        <f aca="false">VLOOKUP(Y820,recipe_ingred_list!$D$2:$E$500,2,0)</f>
        <v>54</v>
      </c>
      <c r="AA820" s="61" t="n">
        <f aca="false">K820</f>
        <v>0</v>
      </c>
      <c r="AB820" s="61" t="n">
        <f aca="false">L820</f>
        <v>0</v>
      </c>
      <c r="AC820" s="61" t="n">
        <f aca="false">VLOOKUP(AB820,recipe_ingred_list!$K$2:$M$7,3,0)</f>
        <v>2</v>
      </c>
      <c r="AD820" s="61" t="n">
        <f aca="false">M820</f>
        <v>0</v>
      </c>
      <c r="AE820" s="61" t="n">
        <f aca="false">N820</f>
        <v>0</v>
      </c>
      <c r="AF820" s="61" t="n">
        <f aca="false">VLOOKUP(AE820,recipe_ingred_list!$K$16:$M$25,3,0)</f>
        <v>1</v>
      </c>
      <c r="AG820" s="61" t="n">
        <f aca="false">O820</f>
        <v>8</v>
      </c>
      <c r="AH820" s="61" t="str">
        <f aca="false">P820</f>
        <v>pcs</v>
      </c>
      <c r="AI820" s="61" t="n">
        <f aca="false">VLOOKUP(AH820,recipe_ingred_list!$K$29:$M$34,3,0)</f>
        <v>3</v>
      </c>
      <c r="AJ820" s="61" t="str">
        <f aca="false">IF(Q820="","",Q820)</f>
        <v/>
      </c>
      <c r="AK820" s="61" t="n">
        <f aca="false">AK819+1</f>
        <v>820</v>
      </c>
      <c r="AL820" s="61" t="str">
        <f aca="false">Y820</f>
        <v>coconut</v>
      </c>
      <c r="AM820" s="81" t="str">
        <f aca="false">"a = Client().post('"&amp;W820&amp;"', {'recipe' : '"&amp;V820&amp;"', 'ingredient' : '"&amp;Z820&amp;"', 'name' : '"&amp;X820&amp;"', 'mass_unit' : '"&amp;AC820&amp;"', 'mass_quantity' : '"&amp;ROUND(AA820,3)&amp;"', 'volume_unit' : '"&amp;AF820&amp;"', 'volume_quantity' : '"&amp;ROUND(AD820,3)&amp;"', 'pieces_unit' : '"&amp;AI820&amp;"', 'pieces_quantity' : '"&amp;ROUND(AG820,3)&amp;"', 'cooking_notes' : '"&amp;AJ820&amp;"'}).status_code; print('%s :: %s :: %s :: %s :: %s' %(a,"&amp;G820&amp;",'"&amp;X820&amp;"','"&amp;Y820&amp;"','"&amp;U820&amp;"'))"</f>
        <v>a = Client().post('/recipes/pongal/detail/', {'recipe' : '61', 'ingredient' : '54', 'name' : 'coconut', 'mass_unit' : '2', 'mass_quantity' : '0', 'volume_unit' : '1', 'volume_quantity' : '0', 'pieces_unit' : '3', 'pieces_quantity' : '8', 'cooking_notes' : ''}).status_code; print('%s :: %s :: %s :: %s :: %s' %(a,820,'coconut','coconut','Pongal'))</v>
      </c>
    </row>
    <row r="821" customFormat="false" ht="13.8" hidden="false" customHeight="false" outlineLevel="0" collapsed="false">
      <c r="G821" s="80" t="n">
        <v>821</v>
      </c>
      <c r="H821" s="83"/>
      <c r="I821" s="83" t="s">
        <v>292</v>
      </c>
      <c r="J821" s="83" t="s">
        <v>803</v>
      </c>
      <c r="M821" s="61" t="n">
        <v>1</v>
      </c>
      <c r="N821" s="61" t="s">
        <v>13</v>
      </c>
      <c r="R821" s="82" t="str">
        <f aca="false">VLOOKUP(J821,ingredient!$N$4:$O$553,2,0)</f>
        <v>kadi patta</v>
      </c>
      <c r="U821" s="81" t="str">
        <f aca="false">I821</f>
        <v>Pongal</v>
      </c>
      <c r="V821" s="81" t="n">
        <f aca="false">VLOOKUP(U821,recipe_ingred_list!$A$2:$B$300,2,0)</f>
        <v>61</v>
      </c>
      <c r="W821" s="81" t="str">
        <f aca="false">"/recipes/"&amp;VLOOKUP(U821,recipe_ingred_list!$A$2:$C$300,3,0)&amp;"/detail/"</f>
        <v>/recipes/pongal/detail/</v>
      </c>
      <c r="X821" s="81" t="str">
        <f aca="false">J821</f>
        <v>kadipatta</v>
      </c>
      <c r="Y821" s="81" t="str">
        <f aca="false">R821</f>
        <v>kadi patta</v>
      </c>
      <c r="Z821" s="94" t="n">
        <f aca="false">VLOOKUP(Y821,recipe_ingred_list!$D$2:$E$500,2,0)</f>
        <v>105</v>
      </c>
      <c r="AA821" s="61" t="n">
        <f aca="false">K821</f>
        <v>0</v>
      </c>
      <c r="AB821" s="61" t="n">
        <f aca="false">L821</f>
        <v>0</v>
      </c>
      <c r="AC821" s="61" t="n">
        <f aca="false">VLOOKUP(AB821,recipe_ingred_list!$K$2:$M$7,3,0)</f>
        <v>2</v>
      </c>
      <c r="AD821" s="61" t="n">
        <f aca="false">M821</f>
        <v>1</v>
      </c>
      <c r="AE821" s="61" t="str">
        <f aca="false">N821</f>
        <v>ltr</v>
      </c>
      <c r="AF821" s="61" t="n">
        <f aca="false">VLOOKUP(AE821,recipe_ingred_list!$K$16:$M$25,3,0)</f>
        <v>1</v>
      </c>
      <c r="AG821" s="61" t="n">
        <f aca="false">O821</f>
        <v>0</v>
      </c>
      <c r="AH821" s="61" t="n">
        <f aca="false">P821</f>
        <v>0</v>
      </c>
      <c r="AI821" s="61" t="n">
        <f aca="false">VLOOKUP(AH821,recipe_ingred_list!$K$29:$M$34,3,0)</f>
        <v>3</v>
      </c>
      <c r="AJ821" s="61" t="str">
        <f aca="false">IF(Q821="","",Q821)</f>
        <v/>
      </c>
      <c r="AK821" s="61" t="n">
        <f aca="false">AK820+1</f>
        <v>821</v>
      </c>
      <c r="AL821" s="61" t="str">
        <f aca="false">Y821</f>
        <v>kadi patta</v>
      </c>
      <c r="AM821" s="81" t="str">
        <f aca="false">"a = Client().post('"&amp;W821&amp;"', {'recipe' : '"&amp;V821&amp;"', 'ingredient' : '"&amp;Z821&amp;"', 'name' : '"&amp;X821&amp;"', 'mass_unit' : '"&amp;AC821&amp;"', 'mass_quantity' : '"&amp;ROUND(AA821,3)&amp;"', 'volume_unit' : '"&amp;AF821&amp;"', 'volume_quantity' : '"&amp;ROUND(AD821,3)&amp;"', 'pieces_unit' : '"&amp;AI821&amp;"', 'pieces_quantity' : '"&amp;ROUND(AG821,3)&amp;"', 'cooking_notes' : '"&amp;AJ821&amp;"'}).status_code; print('%s :: %s :: %s :: %s :: %s' %(a,"&amp;G821&amp;",'"&amp;X821&amp;"','"&amp;Y821&amp;"','"&amp;U821&amp;"'))"</f>
        <v>a = Client().post('/recipes/pongal/detail/', {'recipe' : '61', 'ingredient' : '105', 'name' : 'kadipatta', 'mass_unit' : '2', 'mass_quantity' : '0', 'volume_unit' : '1', 'volume_quantity' : '1', 'pieces_unit' : '3', 'pieces_quantity' : '0', 'cooking_notes' : ''}).status_code; print('%s :: %s :: %s :: %s :: %s' %(a,821,'kadipatta','kadi patta','Pongal'))</v>
      </c>
    </row>
    <row r="822" customFormat="false" ht="13.8" hidden="false" customHeight="false" outlineLevel="0" collapsed="false">
      <c r="G822" s="80" t="n">
        <v>822</v>
      </c>
      <c r="H822" s="83"/>
      <c r="I822" s="83" t="s">
        <v>292</v>
      </c>
      <c r="J822" s="83" t="s">
        <v>811</v>
      </c>
      <c r="M822" s="61" t="n">
        <v>0.5</v>
      </c>
      <c r="N822" s="61" t="s">
        <v>13</v>
      </c>
      <c r="R822" s="82" t="str">
        <f aca="false">VLOOKUP(J822,ingredient!$N$4:$O$553,2,0)</f>
        <v>adrak</v>
      </c>
      <c r="U822" s="81" t="str">
        <f aca="false">I822</f>
        <v>Pongal</v>
      </c>
      <c r="V822" s="81" t="n">
        <f aca="false">VLOOKUP(U822,recipe_ingred_list!$A$2:$B$300,2,0)</f>
        <v>61</v>
      </c>
      <c r="W822" s="81" t="str">
        <f aca="false">"/recipes/"&amp;VLOOKUP(U822,recipe_ingred_list!$A$2:$C$300,3,0)&amp;"/detail/"</f>
        <v>/recipes/pongal/detail/</v>
      </c>
      <c r="X822" s="81" t="str">
        <f aca="false">J822</f>
        <v>Ginger</v>
      </c>
      <c r="Y822" s="81" t="str">
        <f aca="false">R822</f>
        <v>adrak</v>
      </c>
      <c r="Z822" s="94" t="n">
        <f aca="false">VLOOKUP(Y822,recipe_ingred_list!$D$2:$E$500,2,0)</f>
        <v>1</v>
      </c>
      <c r="AA822" s="61" t="n">
        <f aca="false">K822</f>
        <v>0</v>
      </c>
      <c r="AB822" s="61" t="n">
        <f aca="false">L822</f>
        <v>0</v>
      </c>
      <c r="AC822" s="61" t="n">
        <f aca="false">VLOOKUP(AB822,recipe_ingred_list!$K$2:$M$7,3,0)</f>
        <v>2</v>
      </c>
      <c r="AD822" s="61" t="n">
        <f aca="false">M822</f>
        <v>0.5</v>
      </c>
      <c r="AE822" s="61" t="str">
        <f aca="false">N822</f>
        <v>ltr</v>
      </c>
      <c r="AF822" s="61" t="n">
        <f aca="false">VLOOKUP(AE822,recipe_ingred_list!$K$16:$M$25,3,0)</f>
        <v>1</v>
      </c>
      <c r="AG822" s="61" t="n">
        <f aca="false">O822</f>
        <v>0</v>
      </c>
      <c r="AH822" s="61" t="n">
        <f aca="false">P822</f>
        <v>0</v>
      </c>
      <c r="AI822" s="61" t="n">
        <f aca="false">VLOOKUP(AH822,recipe_ingred_list!$K$29:$M$34,3,0)</f>
        <v>3</v>
      </c>
      <c r="AJ822" s="61" t="str">
        <f aca="false">IF(Q822="","",Q822)</f>
        <v/>
      </c>
      <c r="AK822" s="61" t="n">
        <f aca="false">AK821+1</f>
        <v>822</v>
      </c>
      <c r="AL822" s="61" t="str">
        <f aca="false">Y822</f>
        <v>adrak</v>
      </c>
      <c r="AM822" s="81" t="str">
        <f aca="false">"a = Client().post('"&amp;W822&amp;"', {'recipe' : '"&amp;V822&amp;"', 'ingredient' : '"&amp;Z822&amp;"', 'name' : '"&amp;X822&amp;"', 'mass_unit' : '"&amp;AC822&amp;"', 'mass_quantity' : '"&amp;ROUND(AA822,3)&amp;"', 'volume_unit' : '"&amp;AF822&amp;"', 'volume_quantity' : '"&amp;ROUND(AD822,3)&amp;"', 'pieces_unit' : '"&amp;AI822&amp;"', 'pieces_quantity' : '"&amp;ROUND(AG822,3)&amp;"', 'cooking_notes' : '"&amp;AJ822&amp;"'}).status_code; print('%s :: %s :: %s :: %s :: %s' %(a,"&amp;G822&amp;",'"&amp;X822&amp;"','"&amp;Y822&amp;"','"&amp;U822&amp;"'))"</f>
        <v>a = Client().post('/recipes/pongal/detail/', {'recipe' : '61', 'ingredient' : '1', 'name' : 'Ginger', 'mass_unit' : '2', 'mass_quantity' : '0', 'volume_unit' : '1', 'volume_quantity' : '0.5', 'pieces_unit' : '3', 'pieces_quantity' : '0', 'cooking_notes' : ''}).status_code; print('%s :: %s :: %s :: %s :: %s' %(a,822,'Ginger','adrak','Pongal'))</v>
      </c>
    </row>
    <row r="823" customFormat="false" ht="13.8" hidden="false" customHeight="false" outlineLevel="0" collapsed="false">
      <c r="G823" s="80" t="n">
        <v>823</v>
      </c>
      <c r="H823" s="83"/>
      <c r="I823" s="83" t="s">
        <v>292</v>
      </c>
      <c r="J823" s="83" t="s">
        <v>812</v>
      </c>
      <c r="K823" s="61" t="n">
        <v>14</v>
      </c>
      <c r="L823" s="61" t="s">
        <v>7</v>
      </c>
      <c r="R823" s="82" t="str">
        <f aca="false">VLOOKUP(J823,ingredient!$N$4:$O$553,2,0)</f>
        <v>khichadi rice</v>
      </c>
      <c r="U823" s="81" t="str">
        <f aca="false">I823</f>
        <v>Pongal</v>
      </c>
      <c r="V823" s="81" t="n">
        <f aca="false">VLOOKUP(U823,recipe_ingred_list!$A$2:$B$300,2,0)</f>
        <v>61</v>
      </c>
      <c r="W823" s="81" t="str">
        <f aca="false">"/recipes/"&amp;VLOOKUP(U823,recipe_ingred_list!$A$2:$C$300,3,0)&amp;"/detail/"</f>
        <v>/recipes/pongal/detail/</v>
      </c>
      <c r="X823" s="81" t="str">
        <f aca="false">J823</f>
        <v>kchidi Rice </v>
      </c>
      <c r="Y823" s="81" t="str">
        <f aca="false">R823</f>
        <v>khichadi rice</v>
      </c>
      <c r="Z823" s="94" t="n">
        <f aca="false">VLOOKUP(Y823,recipe_ingred_list!$D$2:$E$500,2,0)</f>
        <v>122</v>
      </c>
      <c r="AA823" s="61" t="n">
        <f aca="false">K823</f>
        <v>14</v>
      </c>
      <c r="AB823" s="61" t="str">
        <f aca="false">L823</f>
        <v>kg</v>
      </c>
      <c r="AC823" s="61" t="n">
        <f aca="false">VLOOKUP(AB823,recipe_ingred_list!$K$2:$M$7,3,0)</f>
        <v>2</v>
      </c>
      <c r="AD823" s="61" t="n">
        <f aca="false">M823</f>
        <v>0</v>
      </c>
      <c r="AE823" s="61" t="n">
        <f aca="false">N823</f>
        <v>0</v>
      </c>
      <c r="AF823" s="61" t="n">
        <f aca="false">VLOOKUP(AE823,recipe_ingred_list!$K$16:$M$25,3,0)</f>
        <v>1</v>
      </c>
      <c r="AG823" s="61" t="n">
        <f aca="false">O823</f>
        <v>0</v>
      </c>
      <c r="AH823" s="61" t="n">
        <f aca="false">P823</f>
        <v>0</v>
      </c>
      <c r="AI823" s="61" t="n">
        <f aca="false">VLOOKUP(AH823,recipe_ingred_list!$K$29:$M$34,3,0)</f>
        <v>3</v>
      </c>
      <c r="AJ823" s="61" t="str">
        <f aca="false">IF(Q823="","",Q823)</f>
        <v/>
      </c>
      <c r="AK823" s="61" t="n">
        <f aca="false">AK822+1</f>
        <v>823</v>
      </c>
      <c r="AL823" s="61" t="str">
        <f aca="false">Y823</f>
        <v>khichadi rice</v>
      </c>
      <c r="AM823" s="81" t="str">
        <f aca="false">"a = Client().post('"&amp;W823&amp;"', {'recipe' : '"&amp;V823&amp;"', 'ingredient' : '"&amp;Z823&amp;"', 'name' : '"&amp;X823&amp;"', 'mass_unit' : '"&amp;AC823&amp;"', 'mass_quantity' : '"&amp;ROUND(AA823,3)&amp;"', 'volume_unit' : '"&amp;AF823&amp;"', 'volume_quantity' : '"&amp;ROUND(AD823,3)&amp;"', 'pieces_unit' : '"&amp;AI823&amp;"', 'pieces_quantity' : '"&amp;ROUND(AG823,3)&amp;"', 'cooking_notes' : '"&amp;AJ823&amp;"'}).status_code; print('%s :: %s :: %s :: %s :: %s' %(a,"&amp;G823&amp;",'"&amp;X823&amp;"','"&amp;Y823&amp;"','"&amp;U823&amp;"'))"</f>
        <v>a = Client().post('/recipes/pongal/detail/', {'recipe' : '61', 'ingredient' : '122', 'name' : 'kchidi Rice ', 'mass_unit' : '2', 'mass_quantity' : '14', 'volume_unit' : '1', 'volume_quantity' : '0', 'pieces_unit' : '3', 'pieces_quantity' : '0', 'cooking_notes' : ''}).status_code; print('%s :: %s :: %s :: %s :: %s' %(a,823,'kchidi Rice ','khichadi rice','Pongal'))</v>
      </c>
    </row>
    <row r="824" customFormat="false" ht="13.8" hidden="false" customHeight="false" outlineLevel="0" collapsed="false">
      <c r="G824" s="80" t="n">
        <v>824</v>
      </c>
      <c r="H824" s="83"/>
      <c r="I824" s="83" t="s">
        <v>292</v>
      </c>
      <c r="J824" s="83" t="s">
        <v>813</v>
      </c>
      <c r="K824" s="61" t="n">
        <v>7</v>
      </c>
      <c r="L824" s="61" t="s">
        <v>7</v>
      </c>
      <c r="R824" s="82" t="str">
        <f aca="false">VLOOKUP(J824,ingredient!$N$4:$O$553,2,0)</f>
        <v>moong dal</v>
      </c>
      <c r="U824" s="81" t="str">
        <f aca="false">I824</f>
        <v>Pongal</v>
      </c>
      <c r="V824" s="81" t="n">
        <f aca="false">VLOOKUP(U824,recipe_ingred_list!$A$2:$B$300,2,0)</f>
        <v>61</v>
      </c>
      <c r="W824" s="81" t="str">
        <f aca="false">"/recipes/"&amp;VLOOKUP(U824,recipe_ingred_list!$A$2:$C$300,3,0)&amp;"/detail/"</f>
        <v>/recipes/pongal/detail/</v>
      </c>
      <c r="X824" s="81" t="str">
        <f aca="false">J824</f>
        <v>moong Daal  </v>
      </c>
      <c r="Y824" s="81" t="str">
        <f aca="false">R824</f>
        <v>moong dal</v>
      </c>
      <c r="Z824" s="94" t="n">
        <f aca="false">VLOOKUP(Y824,recipe_ingred_list!$D$2:$E$500,2,0)</f>
        <v>147</v>
      </c>
      <c r="AA824" s="61" t="n">
        <f aca="false">K824</f>
        <v>7</v>
      </c>
      <c r="AB824" s="61" t="str">
        <f aca="false">L824</f>
        <v>kg</v>
      </c>
      <c r="AC824" s="61" t="n">
        <f aca="false">VLOOKUP(AB824,recipe_ingred_list!$K$2:$M$7,3,0)</f>
        <v>2</v>
      </c>
      <c r="AD824" s="61" t="n">
        <f aca="false">M824</f>
        <v>0</v>
      </c>
      <c r="AE824" s="61" t="n">
        <f aca="false">N824</f>
        <v>0</v>
      </c>
      <c r="AF824" s="61" t="n">
        <f aca="false">VLOOKUP(AE824,recipe_ingred_list!$K$16:$M$25,3,0)</f>
        <v>1</v>
      </c>
      <c r="AG824" s="61" t="n">
        <f aca="false">O824</f>
        <v>0</v>
      </c>
      <c r="AH824" s="61" t="n">
        <f aca="false">P824</f>
        <v>0</v>
      </c>
      <c r="AI824" s="61" t="n">
        <f aca="false">VLOOKUP(AH824,recipe_ingred_list!$K$29:$M$34,3,0)</f>
        <v>3</v>
      </c>
      <c r="AJ824" s="61" t="str">
        <f aca="false">IF(Q824="","",Q824)</f>
        <v/>
      </c>
      <c r="AK824" s="61" t="n">
        <f aca="false">AK823+1</f>
        <v>824</v>
      </c>
      <c r="AL824" s="61" t="str">
        <f aca="false">Y824</f>
        <v>moong dal</v>
      </c>
      <c r="AM824" s="81" t="str">
        <f aca="false">"a = Client().post('"&amp;W824&amp;"', {'recipe' : '"&amp;V824&amp;"', 'ingredient' : '"&amp;Z824&amp;"', 'name' : '"&amp;X824&amp;"', 'mass_unit' : '"&amp;AC824&amp;"', 'mass_quantity' : '"&amp;ROUND(AA824,3)&amp;"', 'volume_unit' : '"&amp;AF824&amp;"', 'volume_quantity' : '"&amp;ROUND(AD824,3)&amp;"', 'pieces_unit' : '"&amp;AI824&amp;"', 'pieces_quantity' : '"&amp;ROUND(AG824,3)&amp;"', 'cooking_notes' : '"&amp;AJ824&amp;"'}).status_code; print('%s :: %s :: %s :: %s :: %s' %(a,"&amp;G824&amp;",'"&amp;X824&amp;"','"&amp;Y824&amp;"','"&amp;U824&amp;"'))"</f>
        <v>a = Client().post('/recipes/pongal/detail/', {'recipe' : '61', 'ingredient' : '147', 'name' : 'moong Daal  ', 'mass_unit' : '2', 'mass_quantity' : '7', 'volume_unit' : '1', 'volume_quantity' : '0', 'pieces_unit' : '3', 'pieces_quantity' : '0', 'cooking_notes' : ''}).status_code; print('%s :: %s :: %s :: %s :: %s' %(a,824,'moong Daal  ','moong dal','Pongal'))</v>
      </c>
    </row>
    <row r="825" customFormat="false" ht="13.8" hidden="false" customHeight="false" outlineLevel="0" collapsed="false">
      <c r="G825" s="80" t="n">
        <v>825</v>
      </c>
      <c r="H825" s="83"/>
      <c r="I825" s="83" t="s">
        <v>292</v>
      </c>
      <c r="J825" s="83" t="s">
        <v>814</v>
      </c>
      <c r="M825" s="61" t="n">
        <v>2</v>
      </c>
      <c r="N825" s="61" t="s">
        <v>13</v>
      </c>
      <c r="R825" s="82" t="str">
        <f aca="false">VLOOKUP(J825,ingredient!$N$4:$O$553,2,0)</f>
        <v>ghee</v>
      </c>
      <c r="U825" s="81" t="str">
        <f aca="false">I825</f>
        <v>Pongal</v>
      </c>
      <c r="V825" s="81" t="n">
        <f aca="false">VLOOKUP(U825,recipe_ingred_list!$A$2:$B$300,2,0)</f>
        <v>61</v>
      </c>
      <c r="W825" s="81" t="str">
        <f aca="false">"/recipes/"&amp;VLOOKUP(U825,recipe_ingred_list!$A$2:$C$300,3,0)&amp;"/detail/"</f>
        <v>/recipes/pongal/detail/</v>
      </c>
      <c r="X825" s="81" t="str">
        <f aca="false">J825</f>
        <v>Ghee      </v>
      </c>
      <c r="Y825" s="81" t="str">
        <f aca="false">R825</f>
        <v>ghee</v>
      </c>
      <c r="Z825" s="94" t="n">
        <f aca="false">VLOOKUP(Y825,recipe_ingred_list!$D$2:$E$500,2,0)</f>
        <v>81</v>
      </c>
      <c r="AA825" s="61" t="n">
        <f aca="false">K825</f>
        <v>0</v>
      </c>
      <c r="AB825" s="61" t="n">
        <f aca="false">L825</f>
        <v>0</v>
      </c>
      <c r="AC825" s="61" t="n">
        <f aca="false">VLOOKUP(AB825,recipe_ingred_list!$K$2:$M$7,3,0)</f>
        <v>2</v>
      </c>
      <c r="AD825" s="61" t="n">
        <f aca="false">M825</f>
        <v>2</v>
      </c>
      <c r="AE825" s="61" t="str">
        <f aca="false">N825</f>
        <v>ltr</v>
      </c>
      <c r="AF825" s="61" t="n">
        <f aca="false">VLOOKUP(AE825,recipe_ingred_list!$K$16:$M$25,3,0)</f>
        <v>1</v>
      </c>
      <c r="AG825" s="61" t="n">
        <f aca="false">O825</f>
        <v>0</v>
      </c>
      <c r="AH825" s="61" t="n">
        <f aca="false">P825</f>
        <v>0</v>
      </c>
      <c r="AI825" s="61" t="n">
        <f aca="false">VLOOKUP(AH825,recipe_ingred_list!$K$29:$M$34,3,0)</f>
        <v>3</v>
      </c>
      <c r="AJ825" s="61" t="str">
        <f aca="false">IF(Q825="","",Q825)</f>
        <v/>
      </c>
      <c r="AK825" s="61" t="n">
        <f aca="false">AK824+1</f>
        <v>825</v>
      </c>
      <c r="AL825" s="61" t="str">
        <f aca="false">Y825</f>
        <v>ghee</v>
      </c>
      <c r="AM825" s="81" t="str">
        <f aca="false">"a = Client().post('"&amp;W825&amp;"', {'recipe' : '"&amp;V825&amp;"', 'ingredient' : '"&amp;Z825&amp;"', 'name' : '"&amp;X825&amp;"', 'mass_unit' : '"&amp;AC825&amp;"', 'mass_quantity' : '"&amp;ROUND(AA825,3)&amp;"', 'volume_unit' : '"&amp;AF825&amp;"', 'volume_quantity' : '"&amp;ROUND(AD825,3)&amp;"', 'pieces_unit' : '"&amp;AI825&amp;"', 'pieces_quantity' : '"&amp;ROUND(AG825,3)&amp;"', 'cooking_notes' : '"&amp;AJ825&amp;"'}).status_code; print('%s :: %s :: %s :: %s :: %s' %(a,"&amp;G825&amp;",'"&amp;X825&amp;"','"&amp;Y825&amp;"','"&amp;U825&amp;"'))"</f>
        <v>a = Client().post('/recipes/pongal/detail/', {'recipe' : '61', 'ingredient' : '81', 'name' : 'Ghee      ', 'mass_unit' : '2', 'mass_quantity' : '0', 'volume_unit' : '1', 'volume_quantity' : '2', 'pieces_unit' : '3', 'pieces_quantity' : '0', 'cooking_notes' : ''}).status_code; print('%s :: %s :: %s :: %s :: %s' %(a,825,'Ghee      ','ghee','Pongal'))</v>
      </c>
    </row>
    <row r="826" customFormat="false" ht="13.8" hidden="false" customHeight="false" outlineLevel="0" collapsed="false">
      <c r="G826" s="80" t="n">
        <v>826</v>
      </c>
      <c r="H826" s="83"/>
      <c r="I826" s="83" t="s">
        <v>292</v>
      </c>
      <c r="J826" s="83" t="s">
        <v>805</v>
      </c>
      <c r="M826" s="61" t="n">
        <v>2.5</v>
      </c>
      <c r="N826" s="61" t="s">
        <v>13</v>
      </c>
      <c r="R826" s="82" t="str">
        <f aca="false">VLOOKUP(J826,ingredient!$N$4:$O$553,2,0)</f>
        <v>gound nut oil</v>
      </c>
      <c r="U826" s="81" t="str">
        <f aca="false">I826</f>
        <v>Pongal</v>
      </c>
      <c r="V826" s="81" t="n">
        <f aca="false">VLOOKUP(U826,recipe_ingred_list!$A$2:$B$300,2,0)</f>
        <v>61</v>
      </c>
      <c r="W826" s="81" t="str">
        <f aca="false">"/recipes/"&amp;VLOOKUP(U826,recipe_ingred_list!$A$2:$C$300,3,0)&amp;"/detail/"</f>
        <v>/recipes/pongal/detail/</v>
      </c>
      <c r="X826" s="81" t="str">
        <f aca="false">J826</f>
        <v>oil(groundnut)</v>
      </c>
      <c r="Y826" s="81" t="str">
        <f aca="false">R826</f>
        <v>gound nut oil</v>
      </c>
      <c r="Z826" s="94" t="n">
        <f aca="false">VLOOKUP(Y826,recipe_ingred_list!$D$2:$E$500,2,0)</f>
        <v>83</v>
      </c>
      <c r="AA826" s="61" t="n">
        <f aca="false">K826</f>
        <v>0</v>
      </c>
      <c r="AB826" s="61" t="n">
        <f aca="false">L826</f>
        <v>0</v>
      </c>
      <c r="AC826" s="61" t="n">
        <f aca="false">VLOOKUP(AB826,recipe_ingred_list!$K$2:$M$7,3,0)</f>
        <v>2</v>
      </c>
      <c r="AD826" s="61" t="n">
        <f aca="false">M826</f>
        <v>2.5</v>
      </c>
      <c r="AE826" s="61" t="str">
        <f aca="false">N826</f>
        <v>ltr</v>
      </c>
      <c r="AF826" s="61" t="n">
        <f aca="false">VLOOKUP(AE826,recipe_ingred_list!$K$16:$M$25,3,0)</f>
        <v>1</v>
      </c>
      <c r="AG826" s="61" t="n">
        <f aca="false">O826</f>
        <v>0</v>
      </c>
      <c r="AH826" s="61" t="n">
        <f aca="false">P826</f>
        <v>0</v>
      </c>
      <c r="AI826" s="61" t="n">
        <f aca="false">VLOOKUP(AH826,recipe_ingred_list!$K$29:$M$34,3,0)</f>
        <v>3</v>
      </c>
      <c r="AJ826" s="61" t="str">
        <f aca="false">IF(Q826="","",Q826)</f>
        <v/>
      </c>
      <c r="AK826" s="61" t="n">
        <f aca="false">AK825+1</f>
        <v>826</v>
      </c>
      <c r="AL826" s="61" t="str">
        <f aca="false">Y826</f>
        <v>gound nut oil</v>
      </c>
      <c r="AM826" s="81" t="str">
        <f aca="false">"a = Client().post('"&amp;W826&amp;"', {'recipe' : '"&amp;V826&amp;"', 'ingredient' : '"&amp;Z826&amp;"', 'name' : '"&amp;X826&amp;"', 'mass_unit' : '"&amp;AC826&amp;"', 'mass_quantity' : '"&amp;ROUND(AA826,3)&amp;"', 'volume_unit' : '"&amp;AF826&amp;"', 'volume_quantity' : '"&amp;ROUND(AD826,3)&amp;"', 'pieces_unit' : '"&amp;AI826&amp;"', 'pieces_quantity' : '"&amp;ROUND(AG826,3)&amp;"', 'cooking_notes' : '"&amp;AJ826&amp;"'}).status_code; print('%s :: %s :: %s :: %s :: %s' %(a,"&amp;G826&amp;",'"&amp;X826&amp;"','"&amp;Y826&amp;"','"&amp;U826&amp;"'))"</f>
        <v>a = Client().post('/recipes/pongal/detail/', {'recipe' : '61', 'ingredient' : '83', 'name' : 'oil(groundnut)', 'mass_unit' : '2', 'mass_quantity' : '0', 'volume_unit' : '1', 'volume_quantity' : '2.5', 'pieces_unit' : '3', 'pieces_quantity' : '0', 'cooking_notes' : ''}).status_code; print('%s :: %s :: %s :: %s :: %s' %(a,826,'oil(groundnut)','gound nut oil','Pongal'))</v>
      </c>
    </row>
    <row r="827" customFormat="false" ht="13.8" hidden="false" customHeight="false" outlineLevel="0" collapsed="false">
      <c r="G827" s="80" t="n">
        <v>827</v>
      </c>
      <c r="H827" s="83"/>
      <c r="I827" s="83" t="s">
        <v>292</v>
      </c>
      <c r="J827" s="83" t="s">
        <v>398</v>
      </c>
      <c r="M827" s="61" t="n">
        <v>2</v>
      </c>
      <c r="N827" s="61" t="s">
        <v>20</v>
      </c>
      <c r="R827" s="82" t="str">
        <f aca="false">VLOOKUP(J827,ingredient!$N$4:$O$553,2,0)</f>
        <v>jeera</v>
      </c>
      <c r="U827" s="81" t="str">
        <f aca="false">I827</f>
        <v>Pongal</v>
      </c>
      <c r="V827" s="81" t="n">
        <f aca="false">VLOOKUP(U827,recipe_ingred_list!$A$2:$B$300,2,0)</f>
        <v>61</v>
      </c>
      <c r="W827" s="81" t="str">
        <f aca="false">"/recipes/"&amp;VLOOKUP(U827,recipe_ingred_list!$A$2:$C$300,3,0)&amp;"/detail/"</f>
        <v>/recipes/pongal/detail/</v>
      </c>
      <c r="X827" s="81" t="str">
        <f aca="false">J827</f>
        <v>jeera</v>
      </c>
      <c r="Y827" s="81" t="str">
        <f aca="false">R827</f>
        <v>jeera</v>
      </c>
      <c r="Z827" s="94" t="n">
        <f aca="false">VLOOKUP(Y827,recipe_ingred_list!$D$2:$E$500,2,0)</f>
        <v>102</v>
      </c>
      <c r="AA827" s="61" t="n">
        <f aca="false">K827</f>
        <v>0</v>
      </c>
      <c r="AB827" s="61" t="n">
        <f aca="false">L827</f>
        <v>0</v>
      </c>
      <c r="AC827" s="61" t="n">
        <f aca="false">VLOOKUP(AB827,recipe_ingred_list!$K$2:$M$7,3,0)</f>
        <v>2</v>
      </c>
      <c r="AD827" s="61" t="n">
        <f aca="false">M827</f>
        <v>2</v>
      </c>
      <c r="AE827" s="61" t="str">
        <f aca="false">N827</f>
        <v>cup</v>
      </c>
      <c r="AF827" s="61" t="n">
        <f aca="false">VLOOKUP(AE827,recipe_ingred_list!$K$16:$M$25,3,0)</f>
        <v>5</v>
      </c>
      <c r="AG827" s="61" t="n">
        <f aca="false">O827</f>
        <v>0</v>
      </c>
      <c r="AH827" s="61" t="n">
        <f aca="false">P827</f>
        <v>0</v>
      </c>
      <c r="AI827" s="61" t="n">
        <f aca="false">VLOOKUP(AH827,recipe_ingred_list!$K$29:$M$34,3,0)</f>
        <v>3</v>
      </c>
      <c r="AJ827" s="61" t="str">
        <f aca="false">IF(Q827="","",Q827)</f>
        <v/>
      </c>
      <c r="AK827" s="61" t="n">
        <f aca="false">AK826+1</f>
        <v>827</v>
      </c>
      <c r="AL827" s="61" t="str">
        <f aca="false">Y827</f>
        <v>jeera</v>
      </c>
      <c r="AM827" s="81" t="str">
        <f aca="false">"a = Client().post('"&amp;W827&amp;"', {'recipe' : '"&amp;V827&amp;"', 'ingredient' : '"&amp;Z827&amp;"', 'name' : '"&amp;X827&amp;"', 'mass_unit' : '"&amp;AC827&amp;"', 'mass_quantity' : '"&amp;ROUND(AA827,3)&amp;"', 'volume_unit' : '"&amp;AF827&amp;"', 'volume_quantity' : '"&amp;ROUND(AD827,3)&amp;"', 'pieces_unit' : '"&amp;AI827&amp;"', 'pieces_quantity' : '"&amp;ROUND(AG827,3)&amp;"', 'cooking_notes' : '"&amp;AJ827&amp;"'}).status_code; print('%s :: %s :: %s :: %s :: %s' %(a,"&amp;G827&amp;",'"&amp;X827&amp;"','"&amp;Y827&amp;"','"&amp;U827&amp;"'))"</f>
        <v>a = Client().post('/recipes/pongal/detail/', {'recipe' : '61', 'ingredient' : '102', 'name' : 'jeera', 'mass_unit' : '2', 'mass_quantity' : '0', 'volume_unit' : '5', 'volume_quantity' : '2', 'pieces_unit' : '3', 'pieces_quantity' : '0', 'cooking_notes' : ''}).status_code; print('%s :: %s :: %s :: %s :: %s' %(a,827,'jeera','jeera','Pongal'))</v>
      </c>
    </row>
    <row r="828" customFormat="false" ht="13.8" hidden="false" customHeight="false" outlineLevel="0" collapsed="false">
      <c r="G828" s="80" t="n">
        <v>828</v>
      </c>
      <c r="H828" s="83"/>
      <c r="I828" s="83" t="s">
        <v>292</v>
      </c>
      <c r="J828" s="83" t="s">
        <v>391</v>
      </c>
      <c r="M828" s="61" t="n">
        <v>0.5</v>
      </c>
      <c r="N828" s="61" t="s">
        <v>20</v>
      </c>
      <c r="R828" s="82" t="str">
        <f aca="false">VLOOKUP(J828,ingredient!$N$4:$O$553,2,0)</f>
        <v>hing</v>
      </c>
      <c r="U828" s="81" t="str">
        <f aca="false">I828</f>
        <v>Pongal</v>
      </c>
      <c r="V828" s="81" t="n">
        <f aca="false">VLOOKUP(U828,recipe_ingred_list!$A$2:$B$300,2,0)</f>
        <v>61</v>
      </c>
      <c r="W828" s="81" t="str">
        <f aca="false">"/recipes/"&amp;VLOOKUP(U828,recipe_ingred_list!$A$2:$C$300,3,0)&amp;"/detail/"</f>
        <v>/recipes/pongal/detail/</v>
      </c>
      <c r="X828" s="81" t="str">
        <f aca="false">J828</f>
        <v>hing</v>
      </c>
      <c r="Y828" s="81" t="str">
        <f aca="false">R828</f>
        <v>hing</v>
      </c>
      <c r="Z828" s="94" t="n">
        <f aca="false">VLOOKUP(Y828,recipe_ingred_list!$D$2:$E$500,2,0)</f>
        <v>95</v>
      </c>
      <c r="AA828" s="61" t="n">
        <f aca="false">K828</f>
        <v>0</v>
      </c>
      <c r="AB828" s="61" t="n">
        <f aca="false">L828</f>
        <v>0</v>
      </c>
      <c r="AC828" s="61" t="n">
        <f aca="false">VLOOKUP(AB828,recipe_ingred_list!$K$2:$M$7,3,0)</f>
        <v>2</v>
      </c>
      <c r="AD828" s="61" t="n">
        <f aca="false">M828</f>
        <v>0.5</v>
      </c>
      <c r="AE828" s="61" t="str">
        <f aca="false">N828</f>
        <v>cup</v>
      </c>
      <c r="AF828" s="61" t="n">
        <f aca="false">VLOOKUP(AE828,recipe_ingred_list!$K$16:$M$25,3,0)</f>
        <v>5</v>
      </c>
      <c r="AG828" s="61" t="n">
        <f aca="false">O828</f>
        <v>0</v>
      </c>
      <c r="AH828" s="61" t="n">
        <f aca="false">P828</f>
        <v>0</v>
      </c>
      <c r="AI828" s="61" t="n">
        <f aca="false">VLOOKUP(AH828,recipe_ingred_list!$K$29:$M$34,3,0)</f>
        <v>3</v>
      </c>
      <c r="AJ828" s="61" t="str">
        <f aca="false">IF(Q828="","",Q828)</f>
        <v/>
      </c>
      <c r="AK828" s="61" t="n">
        <f aca="false">AK827+1</f>
        <v>828</v>
      </c>
      <c r="AL828" s="61" t="str">
        <f aca="false">Y828</f>
        <v>hing</v>
      </c>
      <c r="AM828" s="81" t="str">
        <f aca="false">"a = Client().post('"&amp;W828&amp;"', {'recipe' : '"&amp;V828&amp;"', 'ingredient' : '"&amp;Z828&amp;"', 'name' : '"&amp;X828&amp;"', 'mass_unit' : '"&amp;AC828&amp;"', 'mass_quantity' : '"&amp;ROUND(AA828,3)&amp;"', 'volume_unit' : '"&amp;AF828&amp;"', 'volume_quantity' : '"&amp;ROUND(AD828,3)&amp;"', 'pieces_unit' : '"&amp;AI828&amp;"', 'pieces_quantity' : '"&amp;ROUND(AG828,3)&amp;"', 'cooking_notes' : '"&amp;AJ828&amp;"'}).status_code; print('%s :: %s :: %s :: %s :: %s' %(a,"&amp;G828&amp;",'"&amp;X828&amp;"','"&amp;Y828&amp;"','"&amp;U828&amp;"'))"</f>
        <v>a = Client().post('/recipes/pongal/detail/', {'recipe' : '61', 'ingredient' : '95', 'name' : 'hing', 'mass_unit' : '2', 'mass_quantity' : '0', 'volume_unit' : '5', 'volume_quantity' : '0.5', 'pieces_unit' : '3', 'pieces_quantity' : '0', 'cooking_notes' : ''}).status_code; print('%s :: %s :: %s :: %s :: %s' %(a,828,'hing','hing','Pongal'))</v>
      </c>
    </row>
    <row r="829" customFormat="false" ht="13.8" hidden="false" customHeight="false" outlineLevel="0" collapsed="false">
      <c r="G829" s="80" t="n">
        <v>829</v>
      </c>
      <c r="H829" s="83"/>
      <c r="I829" s="83" t="s">
        <v>292</v>
      </c>
      <c r="J829" s="83" t="s">
        <v>402</v>
      </c>
      <c r="K829" s="61" t="n">
        <v>500</v>
      </c>
      <c r="L829" s="61" t="s">
        <v>109</v>
      </c>
      <c r="R829" s="82" t="str">
        <f aca="false">VLOOKUP(J829,ingredient!$N$4:$O$553,2,0)</f>
        <v>kaju</v>
      </c>
      <c r="U829" s="81" t="str">
        <f aca="false">I829</f>
        <v>Pongal</v>
      </c>
      <c r="V829" s="81" t="n">
        <f aca="false">VLOOKUP(U829,recipe_ingred_list!$A$2:$B$300,2,0)</f>
        <v>61</v>
      </c>
      <c r="W829" s="81" t="str">
        <f aca="false">"/recipes/"&amp;VLOOKUP(U829,recipe_ingred_list!$A$2:$C$300,3,0)&amp;"/detail/"</f>
        <v>/recipes/pongal/detail/</v>
      </c>
      <c r="X829" s="81" t="str">
        <f aca="false">J829</f>
        <v>kaju</v>
      </c>
      <c r="Y829" s="81" t="str">
        <f aca="false">R829</f>
        <v>kaju</v>
      </c>
      <c r="Z829" s="94" t="n">
        <f aca="false">VLOOKUP(Y829,recipe_ingred_list!$D$2:$E$500,2,0)</f>
        <v>107</v>
      </c>
      <c r="AA829" s="61" t="n">
        <f aca="false">K829</f>
        <v>500</v>
      </c>
      <c r="AB829" s="61" t="str">
        <f aca="false">L829</f>
        <v>gm</v>
      </c>
      <c r="AC829" s="61" t="n">
        <f aca="false">VLOOKUP(AB829,recipe_ingred_list!$K$2:$M$7,3,0)</f>
        <v>7</v>
      </c>
      <c r="AD829" s="61" t="n">
        <f aca="false">M829</f>
        <v>0</v>
      </c>
      <c r="AE829" s="61" t="n">
        <f aca="false">N829</f>
        <v>0</v>
      </c>
      <c r="AF829" s="61" t="n">
        <f aca="false">VLOOKUP(AE829,recipe_ingred_list!$K$16:$M$25,3,0)</f>
        <v>1</v>
      </c>
      <c r="AG829" s="61" t="n">
        <f aca="false">O829</f>
        <v>0</v>
      </c>
      <c r="AH829" s="61" t="n">
        <f aca="false">P829</f>
        <v>0</v>
      </c>
      <c r="AI829" s="61" t="n">
        <f aca="false">VLOOKUP(AH829,recipe_ingred_list!$K$29:$M$34,3,0)</f>
        <v>3</v>
      </c>
      <c r="AJ829" s="61" t="str">
        <f aca="false">IF(Q829="","",Q829)</f>
        <v/>
      </c>
      <c r="AK829" s="61" t="n">
        <f aca="false">AK828+1</f>
        <v>829</v>
      </c>
      <c r="AL829" s="61" t="str">
        <f aca="false">Y829</f>
        <v>kaju</v>
      </c>
      <c r="AM829" s="81" t="str">
        <f aca="false">"a = Client().post('"&amp;W829&amp;"', {'recipe' : '"&amp;V829&amp;"', 'ingredient' : '"&amp;Z829&amp;"', 'name' : '"&amp;X829&amp;"', 'mass_unit' : '"&amp;AC829&amp;"', 'mass_quantity' : '"&amp;ROUND(AA829,3)&amp;"', 'volume_unit' : '"&amp;AF829&amp;"', 'volume_quantity' : '"&amp;ROUND(AD829,3)&amp;"', 'pieces_unit' : '"&amp;AI829&amp;"', 'pieces_quantity' : '"&amp;ROUND(AG829,3)&amp;"', 'cooking_notes' : '"&amp;AJ829&amp;"'}).status_code; print('%s :: %s :: %s :: %s :: %s' %(a,"&amp;G829&amp;",'"&amp;X829&amp;"','"&amp;Y829&amp;"','"&amp;U829&amp;"'))"</f>
        <v>a = Client().post('/recipes/pongal/detail/', {'recipe' : '61', 'ingredient' : '107', 'name' : 'kaju', 'mass_unit' : '7', 'mass_quantity' : '500', 'volume_unit' : '1', 'volume_quantity' : '0', 'pieces_unit' : '3', 'pieces_quantity' : '0', 'cooking_notes' : ''}).status_code; print('%s :: %s :: %s :: %s :: %s' %(a,829,'kaju','kaju','Pongal'))</v>
      </c>
    </row>
    <row r="830" customFormat="false" ht="13.8" hidden="false" customHeight="false" outlineLevel="0" collapsed="false">
      <c r="G830" s="80" t="n">
        <v>830</v>
      </c>
      <c r="H830" s="83"/>
      <c r="I830" s="83" t="s">
        <v>292</v>
      </c>
      <c r="J830" s="83" t="s">
        <v>815</v>
      </c>
      <c r="M830" s="61" t="n">
        <v>1</v>
      </c>
      <c r="N830" s="61" t="s">
        <v>20</v>
      </c>
      <c r="R830" s="82" t="str">
        <f aca="false">VLOOKUP(J830,ingredient!$N$4:$O$553,2,0)</f>
        <v>black pepper</v>
      </c>
      <c r="U830" s="81" t="str">
        <f aca="false">I830</f>
        <v>Pongal</v>
      </c>
      <c r="V830" s="81" t="n">
        <f aca="false">VLOOKUP(U830,recipe_ingred_list!$A$2:$B$300,2,0)</f>
        <v>61</v>
      </c>
      <c r="W830" s="81" t="str">
        <f aca="false">"/recipes/"&amp;VLOOKUP(U830,recipe_ingred_list!$A$2:$C$300,3,0)&amp;"/detail/"</f>
        <v>/recipes/pongal/detail/</v>
      </c>
      <c r="X830" s="81" t="str">
        <f aca="false">J830</f>
        <v>black pepper akkha</v>
      </c>
      <c r="Y830" s="81" t="str">
        <f aca="false">R830</f>
        <v>black pepper</v>
      </c>
      <c r="Z830" s="94" t="n">
        <f aca="false">VLOOKUP(Y830,recipe_ingred_list!$D$2:$E$500,2,0)</f>
        <v>31</v>
      </c>
      <c r="AA830" s="61" t="n">
        <f aca="false">K830</f>
        <v>0</v>
      </c>
      <c r="AB830" s="61" t="n">
        <f aca="false">L830</f>
        <v>0</v>
      </c>
      <c r="AC830" s="61" t="n">
        <f aca="false">VLOOKUP(AB830,recipe_ingred_list!$K$2:$M$7,3,0)</f>
        <v>2</v>
      </c>
      <c r="AD830" s="61" t="n">
        <f aca="false">M830</f>
        <v>1</v>
      </c>
      <c r="AE830" s="61" t="str">
        <f aca="false">N830</f>
        <v>cup</v>
      </c>
      <c r="AF830" s="61" t="n">
        <f aca="false">VLOOKUP(AE830,recipe_ingred_list!$K$16:$M$25,3,0)</f>
        <v>5</v>
      </c>
      <c r="AG830" s="61" t="n">
        <f aca="false">O830</f>
        <v>0</v>
      </c>
      <c r="AH830" s="61" t="n">
        <f aca="false">P830</f>
        <v>0</v>
      </c>
      <c r="AI830" s="61" t="n">
        <f aca="false">VLOOKUP(AH830,recipe_ingred_list!$K$29:$M$34,3,0)</f>
        <v>3</v>
      </c>
      <c r="AJ830" s="61" t="str">
        <f aca="false">IF(Q830="","",Q830)</f>
        <v/>
      </c>
      <c r="AK830" s="61" t="n">
        <f aca="false">AK829+1</f>
        <v>830</v>
      </c>
      <c r="AL830" s="61" t="str">
        <f aca="false">Y830</f>
        <v>black pepper</v>
      </c>
      <c r="AM830" s="81" t="str">
        <f aca="false">"a = Client().post('"&amp;W830&amp;"', {'recipe' : '"&amp;V830&amp;"', 'ingredient' : '"&amp;Z830&amp;"', 'name' : '"&amp;X830&amp;"', 'mass_unit' : '"&amp;AC830&amp;"', 'mass_quantity' : '"&amp;ROUND(AA830,3)&amp;"', 'volume_unit' : '"&amp;AF830&amp;"', 'volume_quantity' : '"&amp;ROUND(AD830,3)&amp;"', 'pieces_unit' : '"&amp;AI830&amp;"', 'pieces_quantity' : '"&amp;ROUND(AG830,3)&amp;"', 'cooking_notes' : '"&amp;AJ830&amp;"'}).status_code; print('%s :: %s :: %s :: %s :: %s' %(a,"&amp;G830&amp;",'"&amp;X830&amp;"','"&amp;Y830&amp;"','"&amp;U830&amp;"'))"</f>
        <v>a = Client().post('/recipes/pongal/detail/', {'recipe' : '61', 'ingredient' : '31', 'name' : 'black pepper akkha', 'mass_unit' : '2', 'mass_quantity' : '0', 'volume_unit' : '5', 'volume_quantity' : '1', 'pieces_unit' : '3', 'pieces_quantity' : '0', 'cooking_notes' : ''}).status_code; print('%s :: %s :: %s :: %s :: %s' %(a,830,'black pepper akkha','black pepper','Pongal'))</v>
      </c>
    </row>
    <row r="831" customFormat="false" ht="13.8" hidden="false" customHeight="false" outlineLevel="0" collapsed="false">
      <c r="G831" s="80" t="n">
        <v>831</v>
      </c>
      <c r="H831" s="83"/>
      <c r="I831" s="83" t="s">
        <v>292</v>
      </c>
      <c r="J831" s="83" t="s">
        <v>96</v>
      </c>
      <c r="M831" s="61" t="n">
        <v>5</v>
      </c>
      <c r="N831" s="61" t="s">
        <v>20</v>
      </c>
      <c r="R831" s="82" t="str">
        <f aca="false">VLOOKUP(J831,ingredient!$N$4:$O$553,2,0)</f>
        <v>salt</v>
      </c>
      <c r="U831" s="81" t="str">
        <f aca="false">I831</f>
        <v>Pongal</v>
      </c>
      <c r="V831" s="81" t="n">
        <f aca="false">VLOOKUP(U831,recipe_ingred_list!$A$2:$B$300,2,0)</f>
        <v>61</v>
      </c>
      <c r="W831" s="81" t="str">
        <f aca="false">"/recipes/"&amp;VLOOKUP(U831,recipe_ingred_list!$A$2:$C$300,3,0)&amp;"/detail/"</f>
        <v>/recipes/pongal/detail/</v>
      </c>
      <c r="X831" s="81" t="str">
        <f aca="false">J831</f>
        <v>salt</v>
      </c>
      <c r="Y831" s="81" t="str">
        <f aca="false">R831</f>
        <v>salt</v>
      </c>
      <c r="Z831" s="94" t="n">
        <f aca="false">VLOOKUP(Y831,recipe_ingred_list!$D$2:$E$500,2,0)</f>
        <v>177</v>
      </c>
      <c r="AA831" s="61" t="n">
        <f aca="false">K831</f>
        <v>0</v>
      </c>
      <c r="AB831" s="61" t="n">
        <f aca="false">L831</f>
        <v>0</v>
      </c>
      <c r="AC831" s="61" t="n">
        <f aca="false">VLOOKUP(AB831,recipe_ingred_list!$K$2:$M$7,3,0)</f>
        <v>2</v>
      </c>
      <c r="AD831" s="61" t="n">
        <f aca="false">M831</f>
        <v>5</v>
      </c>
      <c r="AE831" s="61" t="str">
        <f aca="false">N831</f>
        <v>cup</v>
      </c>
      <c r="AF831" s="61" t="n">
        <f aca="false">VLOOKUP(AE831,recipe_ingred_list!$K$16:$M$25,3,0)</f>
        <v>5</v>
      </c>
      <c r="AG831" s="61" t="n">
        <f aca="false">O831</f>
        <v>0</v>
      </c>
      <c r="AH831" s="61" t="n">
        <f aca="false">P831</f>
        <v>0</v>
      </c>
      <c r="AI831" s="61" t="n">
        <f aca="false">VLOOKUP(AH831,recipe_ingred_list!$K$29:$M$34,3,0)</f>
        <v>3</v>
      </c>
      <c r="AJ831" s="61" t="str">
        <f aca="false">IF(Q831="","",Q831)</f>
        <v/>
      </c>
      <c r="AK831" s="61" t="n">
        <f aca="false">AK830+1</f>
        <v>831</v>
      </c>
      <c r="AL831" s="61" t="str">
        <f aca="false">Y831</f>
        <v>salt</v>
      </c>
      <c r="AM831" s="81" t="str">
        <f aca="false">"a = Client().post('"&amp;W831&amp;"', {'recipe' : '"&amp;V831&amp;"', 'ingredient' : '"&amp;Z831&amp;"', 'name' : '"&amp;X831&amp;"', 'mass_unit' : '"&amp;AC831&amp;"', 'mass_quantity' : '"&amp;ROUND(AA831,3)&amp;"', 'volume_unit' : '"&amp;AF831&amp;"', 'volume_quantity' : '"&amp;ROUND(AD831,3)&amp;"', 'pieces_unit' : '"&amp;AI831&amp;"', 'pieces_quantity' : '"&amp;ROUND(AG831,3)&amp;"', 'cooking_notes' : '"&amp;AJ831&amp;"'}).status_code; print('%s :: %s :: %s :: %s :: %s' %(a,"&amp;G831&amp;",'"&amp;X831&amp;"','"&amp;Y831&amp;"','"&amp;U831&amp;"'))"</f>
        <v>a = Client().post('/recipes/pongal/detail/', {'recipe' : '61', 'ingredient' : '177', 'name' : 'salt', 'mass_unit' : '2', 'mass_quantity' : '0', 'volume_unit' : '5', 'volume_quantity' : '5', 'pieces_unit' : '3', 'pieces_quantity' : '0', 'cooking_notes' : ''}).status_code; print('%s :: %s :: %s :: %s :: %s' %(a,831,'salt','salt','Pongal'))</v>
      </c>
    </row>
    <row r="832" customFormat="false" ht="13.8" hidden="false" customHeight="false" outlineLevel="0" collapsed="false">
      <c r="G832" s="80" t="n">
        <v>832</v>
      </c>
      <c r="H832" s="79"/>
      <c r="I832" s="79"/>
      <c r="J832" s="79"/>
      <c r="K832" s="100"/>
      <c r="L832" s="100"/>
      <c r="M832" s="100"/>
      <c r="N832" s="100"/>
      <c r="O832" s="100"/>
      <c r="P832" s="100"/>
      <c r="Q832" s="102"/>
      <c r="R832" s="99" t="e">
        <f aca="false">VLOOKUP(J832,ingredient!$N$4:$O$553,2,0)</f>
        <v>#N/A</v>
      </c>
      <c r="S832" s="98"/>
      <c r="T832" s="98"/>
      <c r="U832" s="81" t="n">
        <f aca="false">I832</f>
        <v>0</v>
      </c>
      <c r="V832" s="81" t="e">
        <f aca="false">VLOOKUP(U832,recipe_ingred_list!$A$2:$B$300,2,0)</f>
        <v>#N/A</v>
      </c>
      <c r="W832" s="81" t="e">
        <f aca="false">"/recipes/"&amp;VLOOKUP(U832,recipe_ingred_list!$A$2:$C$300,3,0)&amp;"/detail/"</f>
        <v>#N/A</v>
      </c>
      <c r="X832" s="81" t="n">
        <f aca="false">J832</f>
        <v>0</v>
      </c>
      <c r="Y832" s="81" t="e">
        <f aca="false">R832</f>
        <v>#N/A</v>
      </c>
      <c r="Z832" s="94" t="e">
        <f aca="false">VLOOKUP(Y832,recipe_ingred_list!$D$2:$E$500,2,0)</f>
        <v>#N/A</v>
      </c>
      <c r="AA832" s="61" t="n">
        <f aca="false">K832</f>
        <v>0</v>
      </c>
      <c r="AB832" s="61" t="n">
        <f aca="false">L832</f>
        <v>0</v>
      </c>
      <c r="AC832" s="61" t="n">
        <f aca="false">VLOOKUP(AB832,recipe_ingred_list!$K$2:$M$7,3,0)</f>
        <v>2</v>
      </c>
      <c r="AD832" s="61" t="n">
        <f aca="false">M832</f>
        <v>0</v>
      </c>
      <c r="AE832" s="61" t="n">
        <f aca="false">N832</f>
        <v>0</v>
      </c>
      <c r="AF832" s="61" t="n">
        <f aca="false">VLOOKUP(AE832,recipe_ingred_list!$K$16:$M$25,3,0)</f>
        <v>1</v>
      </c>
      <c r="AG832" s="61" t="n">
        <f aca="false">O832</f>
        <v>0</v>
      </c>
      <c r="AH832" s="61" t="n">
        <f aca="false">P832</f>
        <v>0</v>
      </c>
      <c r="AI832" s="61" t="n">
        <f aca="false">VLOOKUP(AH832,recipe_ingred_list!$K$29:$M$34,3,0)</f>
        <v>3</v>
      </c>
      <c r="AJ832" s="61" t="str">
        <f aca="false">IF(Q832="","",Q832)</f>
        <v/>
      </c>
      <c r="AK832" s="61" t="n">
        <f aca="false">AK831+1</f>
        <v>832</v>
      </c>
      <c r="AL832" s="61" t="e">
        <f aca="false">Y832</f>
        <v>#N/A</v>
      </c>
      <c r="AM832" s="81" t="e">
        <f aca="false">"a = Client().post('"&amp;W832&amp;"', {'recipe' : '"&amp;V832&amp;"', 'ingredient' : '"&amp;Z832&amp;"', 'name' : '"&amp;X832&amp;"', 'mass_unit' : '"&amp;AC832&amp;"', 'mass_quantity' : '"&amp;ROUND(AA832,3)&amp;"', 'volume_unit' : '"&amp;AF832&amp;"', 'volume_quantity' : '"&amp;ROUND(AD832,3)&amp;"', 'pieces_unit' : '"&amp;AI832&amp;"', 'pieces_quantity' : '"&amp;ROUND(AG832,3)&amp;"', 'cooking_notes' : '"&amp;AJ832&amp;"'}).status_code; print('%s :: %s :: %s :: %s :: %s' %(a,"&amp;G832&amp;",'"&amp;X832&amp;"','"&amp;Y832&amp;"','"&amp;U832&amp;"'))"</f>
        <v>#N/A</v>
      </c>
    </row>
    <row r="833" customFormat="false" ht="13.8" hidden="false" customHeight="false" outlineLevel="0" collapsed="false">
      <c r="G833" s="80" t="n">
        <v>833</v>
      </c>
      <c r="H833" s="83"/>
      <c r="I833" s="83" t="s">
        <v>355</v>
      </c>
      <c r="J833" s="83" t="s">
        <v>273</v>
      </c>
      <c r="O833" s="61" t="n">
        <v>45</v>
      </c>
      <c r="P833" s="61" t="s">
        <v>107</v>
      </c>
      <c r="R833" s="82" t="str">
        <f aca="false">VLOOKUP(J833,ingredient!$N$4:$O$553,2,0)</f>
        <v>coconut</v>
      </c>
      <c r="U833" s="81" t="str">
        <f aca="false">I833</f>
        <v>Udapi Poha</v>
      </c>
      <c r="V833" s="81" t="n">
        <f aca="false">VLOOKUP(U833,recipe_ingred_list!$A$2:$B$300,2,0)</f>
        <v>82</v>
      </c>
      <c r="W833" s="81" t="str">
        <f aca="false">"/recipes/"&amp;VLOOKUP(U833,recipe_ingred_list!$A$2:$C$300,3,0)&amp;"/detail/"</f>
        <v>/recipes/udapi-poha/detail/</v>
      </c>
      <c r="X833" s="81" t="str">
        <f aca="false">J833</f>
        <v>coconut</v>
      </c>
      <c r="Y833" s="81" t="str">
        <f aca="false">R833</f>
        <v>coconut</v>
      </c>
      <c r="Z833" s="94" t="n">
        <f aca="false">VLOOKUP(Y833,recipe_ingred_list!$D$2:$E$500,2,0)</f>
        <v>54</v>
      </c>
      <c r="AA833" s="61" t="n">
        <f aca="false">K833</f>
        <v>0</v>
      </c>
      <c r="AB833" s="61" t="n">
        <f aca="false">L833</f>
        <v>0</v>
      </c>
      <c r="AC833" s="61" t="n">
        <f aca="false">VLOOKUP(AB833,recipe_ingred_list!$K$2:$M$7,3,0)</f>
        <v>2</v>
      </c>
      <c r="AD833" s="61" t="n">
        <f aca="false">M833</f>
        <v>0</v>
      </c>
      <c r="AE833" s="61" t="n">
        <f aca="false">N833</f>
        <v>0</v>
      </c>
      <c r="AF833" s="61" t="n">
        <f aca="false">VLOOKUP(AE833,recipe_ingred_list!$K$16:$M$25,3,0)</f>
        <v>1</v>
      </c>
      <c r="AG833" s="61" t="n">
        <f aca="false">O833</f>
        <v>45</v>
      </c>
      <c r="AH833" s="61" t="str">
        <f aca="false">P833</f>
        <v>pcs</v>
      </c>
      <c r="AI833" s="61" t="n">
        <f aca="false">VLOOKUP(AH833,recipe_ingred_list!$K$29:$M$34,3,0)</f>
        <v>3</v>
      </c>
      <c r="AJ833" s="61" t="str">
        <f aca="false">IF(Q833="","",Q833)</f>
        <v/>
      </c>
      <c r="AK833" s="61" t="n">
        <f aca="false">AK832+1</f>
        <v>833</v>
      </c>
      <c r="AL833" s="61" t="str">
        <f aca="false">Y833</f>
        <v>coconut</v>
      </c>
      <c r="AM833" s="81" t="str">
        <f aca="false">"a = Client().post('"&amp;W833&amp;"', {'recipe' : '"&amp;V833&amp;"', 'ingredient' : '"&amp;Z833&amp;"', 'name' : '"&amp;X833&amp;"', 'mass_unit' : '"&amp;AC833&amp;"', 'mass_quantity' : '"&amp;ROUND(AA833,3)&amp;"', 'volume_unit' : '"&amp;AF833&amp;"', 'volume_quantity' : '"&amp;ROUND(AD833,3)&amp;"', 'pieces_unit' : '"&amp;AI833&amp;"', 'pieces_quantity' : '"&amp;ROUND(AG833,3)&amp;"', 'cooking_notes' : '"&amp;AJ833&amp;"'}).status_code; print('%s :: %s :: %s :: %s :: %s' %(a,"&amp;G833&amp;",'"&amp;X833&amp;"','"&amp;Y833&amp;"','"&amp;U833&amp;"'))"</f>
        <v>a = Client().post('/recipes/udapi-poha/detail/', {'recipe' : '82', 'ingredient' : '54', 'name' : 'coconut', 'mass_unit' : '2', 'mass_quantity' : '0', 'volume_unit' : '1', 'volume_quantity' : '0', 'pieces_unit' : '3', 'pieces_quantity' : '45', 'cooking_notes' : ''}).status_code; print('%s :: %s :: %s :: %s :: %s' %(a,833,'coconut','coconut','Udapi Poha'))</v>
      </c>
    </row>
    <row r="834" customFormat="false" ht="13.8" hidden="false" customHeight="false" outlineLevel="0" collapsed="false">
      <c r="G834" s="80" t="n">
        <v>834</v>
      </c>
      <c r="H834" s="83"/>
      <c r="I834" s="83" t="s">
        <v>355</v>
      </c>
      <c r="J834" s="83" t="s">
        <v>816</v>
      </c>
      <c r="O834" s="61" t="n">
        <v>75</v>
      </c>
      <c r="P834" s="61" t="s">
        <v>107</v>
      </c>
      <c r="R834" s="82" t="str">
        <f aca="false">VLOOKUP(J834,ingredient!$N$4:$O$553,2,0)</f>
        <v>banana</v>
      </c>
      <c r="U834" s="81" t="str">
        <f aca="false">I834</f>
        <v>Udapi Poha</v>
      </c>
      <c r="V834" s="81" t="n">
        <f aca="false">VLOOKUP(U834,recipe_ingred_list!$A$2:$B$300,2,0)</f>
        <v>82</v>
      </c>
      <c r="W834" s="81" t="str">
        <f aca="false">"/recipes/"&amp;VLOOKUP(U834,recipe_ingred_list!$A$2:$C$300,3,0)&amp;"/detail/"</f>
        <v>/recipes/udapi-poha/detail/</v>
      </c>
      <c r="X834" s="81" t="str">
        <f aca="false">J834</f>
        <v>banana(elaichi)</v>
      </c>
      <c r="Y834" s="81" t="str">
        <f aca="false">R834</f>
        <v>banana</v>
      </c>
      <c r="Z834" s="94" t="n">
        <f aca="false">VLOOKUP(Y834,recipe_ingred_list!$D$2:$E$500,2,0)</f>
        <v>22</v>
      </c>
      <c r="AA834" s="61" t="n">
        <f aca="false">K834</f>
        <v>0</v>
      </c>
      <c r="AB834" s="61" t="n">
        <f aca="false">L834</f>
        <v>0</v>
      </c>
      <c r="AC834" s="61" t="n">
        <f aca="false">VLOOKUP(AB834,recipe_ingred_list!$K$2:$M$7,3,0)</f>
        <v>2</v>
      </c>
      <c r="AD834" s="61" t="n">
        <f aca="false">M834</f>
        <v>0</v>
      </c>
      <c r="AE834" s="61" t="n">
        <f aca="false">N834</f>
        <v>0</v>
      </c>
      <c r="AF834" s="61" t="n">
        <f aca="false">VLOOKUP(AE834,recipe_ingred_list!$K$16:$M$25,3,0)</f>
        <v>1</v>
      </c>
      <c r="AG834" s="61" t="n">
        <f aca="false">O834</f>
        <v>75</v>
      </c>
      <c r="AH834" s="61" t="str">
        <f aca="false">P834</f>
        <v>pcs</v>
      </c>
      <c r="AI834" s="61" t="n">
        <f aca="false">VLOOKUP(AH834,recipe_ingred_list!$K$29:$M$34,3,0)</f>
        <v>3</v>
      </c>
      <c r="AJ834" s="61" t="str">
        <f aca="false">IF(Q834="","",Q834)</f>
        <v/>
      </c>
      <c r="AK834" s="61" t="n">
        <f aca="false">AK833+1</f>
        <v>834</v>
      </c>
      <c r="AL834" s="61" t="str">
        <f aca="false">Y834</f>
        <v>banana</v>
      </c>
      <c r="AM834" s="81" t="str">
        <f aca="false">"a = Client().post('"&amp;W834&amp;"', {'recipe' : '"&amp;V834&amp;"', 'ingredient' : '"&amp;Z834&amp;"', 'name' : '"&amp;X834&amp;"', 'mass_unit' : '"&amp;AC834&amp;"', 'mass_quantity' : '"&amp;ROUND(AA834,3)&amp;"', 'volume_unit' : '"&amp;AF834&amp;"', 'volume_quantity' : '"&amp;ROUND(AD834,3)&amp;"', 'pieces_unit' : '"&amp;AI834&amp;"', 'pieces_quantity' : '"&amp;ROUND(AG834,3)&amp;"', 'cooking_notes' : '"&amp;AJ834&amp;"'}).status_code; print('%s :: %s :: %s :: %s :: %s' %(a,"&amp;G834&amp;",'"&amp;X834&amp;"','"&amp;Y834&amp;"','"&amp;U834&amp;"'))"</f>
        <v>a = Client().post('/recipes/udapi-poha/detail/', {'recipe' : '82', 'ingredient' : '22', 'name' : 'banana(elaichi)', 'mass_unit' : '2', 'mass_quantity' : '0', 'volume_unit' : '1', 'volume_quantity' : '0', 'pieces_unit' : '3', 'pieces_quantity' : '75', 'cooking_notes' : ''}).status_code; print('%s :: %s :: %s :: %s :: %s' %(a,834,'banana(elaichi)','banana','Udapi Poha'))</v>
      </c>
    </row>
    <row r="835" customFormat="false" ht="13.8" hidden="false" customHeight="false" outlineLevel="0" collapsed="false">
      <c r="G835" s="80" t="n">
        <v>835</v>
      </c>
      <c r="H835" s="83"/>
      <c r="I835" s="83" t="s">
        <v>355</v>
      </c>
      <c r="J835" s="83" t="s">
        <v>817</v>
      </c>
      <c r="K835" s="61" t="n">
        <v>25</v>
      </c>
      <c r="L835" s="61" t="s">
        <v>7</v>
      </c>
      <c r="R835" s="82" t="str">
        <f aca="false">VLOOKUP(J835,ingredient!$N$4:$O$553,2,0)</f>
        <v>patala poha</v>
      </c>
      <c r="U835" s="81" t="str">
        <f aca="false">I835</f>
        <v>Udapi Poha</v>
      </c>
      <c r="V835" s="81" t="n">
        <f aca="false">VLOOKUP(U835,recipe_ingred_list!$A$2:$B$300,2,0)</f>
        <v>82</v>
      </c>
      <c r="W835" s="81" t="str">
        <f aca="false">"/recipes/"&amp;VLOOKUP(U835,recipe_ingred_list!$A$2:$C$300,3,0)&amp;"/detail/"</f>
        <v>/recipes/udapi-poha/detail/</v>
      </c>
      <c r="X835" s="81" t="str">
        <f aca="false">J835</f>
        <v>Patala Poha</v>
      </c>
      <c r="Y835" s="81" t="str">
        <f aca="false">R835</f>
        <v>patala poha</v>
      </c>
      <c r="Z835" s="94" t="n">
        <f aca="false">VLOOKUP(Y835,recipe_ingred_list!$D$2:$E$500,2,0)</f>
        <v>157</v>
      </c>
      <c r="AA835" s="61" t="n">
        <f aca="false">K835</f>
        <v>25</v>
      </c>
      <c r="AB835" s="61" t="str">
        <f aca="false">L835</f>
        <v>kg</v>
      </c>
      <c r="AC835" s="61" t="n">
        <f aca="false">VLOOKUP(AB835,recipe_ingred_list!$K$2:$M$7,3,0)</f>
        <v>2</v>
      </c>
      <c r="AD835" s="61" t="n">
        <f aca="false">M835</f>
        <v>0</v>
      </c>
      <c r="AE835" s="61" t="n">
        <f aca="false">N835</f>
        <v>0</v>
      </c>
      <c r="AF835" s="61" t="n">
        <f aca="false">VLOOKUP(AE835,recipe_ingred_list!$K$16:$M$25,3,0)</f>
        <v>1</v>
      </c>
      <c r="AG835" s="61" t="n">
        <f aca="false">O835</f>
        <v>0</v>
      </c>
      <c r="AH835" s="61" t="n">
        <f aca="false">P835</f>
        <v>0</v>
      </c>
      <c r="AI835" s="61" t="n">
        <f aca="false">VLOOKUP(AH835,recipe_ingred_list!$K$29:$M$34,3,0)</f>
        <v>3</v>
      </c>
      <c r="AJ835" s="61" t="str">
        <f aca="false">IF(Q835="","",Q835)</f>
        <v/>
      </c>
      <c r="AK835" s="61" t="n">
        <f aca="false">AK834+1</f>
        <v>835</v>
      </c>
      <c r="AL835" s="61" t="str">
        <f aca="false">Y835</f>
        <v>patala poha</v>
      </c>
      <c r="AM835" s="81" t="str">
        <f aca="false">"a = Client().post('"&amp;W835&amp;"', {'recipe' : '"&amp;V835&amp;"', 'ingredient' : '"&amp;Z835&amp;"', 'name' : '"&amp;X835&amp;"', 'mass_unit' : '"&amp;AC835&amp;"', 'mass_quantity' : '"&amp;ROUND(AA835,3)&amp;"', 'volume_unit' : '"&amp;AF835&amp;"', 'volume_quantity' : '"&amp;ROUND(AD835,3)&amp;"', 'pieces_unit' : '"&amp;AI835&amp;"', 'pieces_quantity' : '"&amp;ROUND(AG835,3)&amp;"', 'cooking_notes' : '"&amp;AJ835&amp;"'}).status_code; print('%s :: %s :: %s :: %s :: %s' %(a,"&amp;G835&amp;",'"&amp;X835&amp;"','"&amp;Y835&amp;"','"&amp;U835&amp;"'))"</f>
        <v>a = Client().post('/recipes/udapi-poha/detail/', {'recipe' : '82', 'ingredient' : '157', 'name' : 'Patala Poha', 'mass_unit' : '2', 'mass_quantity' : '25', 'volume_unit' : '1', 'volume_quantity' : '0', 'pieces_unit' : '3', 'pieces_quantity' : '0', 'cooking_notes' : ''}).status_code; print('%s :: %s :: %s :: %s :: %s' %(a,835,'Patala Poha','patala poha','Udapi Poha'))</v>
      </c>
    </row>
    <row r="836" customFormat="false" ht="14.9" hidden="false" customHeight="false" outlineLevel="0" collapsed="false">
      <c r="G836" s="80" t="n">
        <v>836</v>
      </c>
      <c r="H836" s="83"/>
      <c r="I836" s="83" t="s">
        <v>355</v>
      </c>
      <c r="J836" s="83" t="s">
        <v>210</v>
      </c>
      <c r="M836" s="61" t="n">
        <v>1</v>
      </c>
      <c r="N836" s="61" t="s">
        <v>13</v>
      </c>
      <c r="Q836" s="84" t="s">
        <v>818</v>
      </c>
      <c r="R836" s="82" t="str">
        <f aca="false">VLOOKUP(J836,ingredient!$N$4:$O$553,2,0)</f>
        <v>black til</v>
      </c>
      <c r="U836" s="81" t="str">
        <f aca="false">I836</f>
        <v>Udapi Poha</v>
      </c>
      <c r="V836" s="81" t="n">
        <f aca="false">VLOOKUP(U836,recipe_ingred_list!$A$2:$B$300,2,0)</f>
        <v>82</v>
      </c>
      <c r="W836" s="81" t="str">
        <f aca="false">"/recipes/"&amp;VLOOKUP(U836,recipe_ingred_list!$A$2:$C$300,3,0)&amp;"/detail/"</f>
        <v>/recipes/udapi-poha/detail/</v>
      </c>
      <c r="X836" s="81" t="str">
        <f aca="false">J836</f>
        <v>black til</v>
      </c>
      <c r="Y836" s="81" t="str">
        <f aca="false">R836</f>
        <v>black til</v>
      </c>
      <c r="Z836" s="94" t="n">
        <f aca="false">VLOOKUP(Y836,recipe_ingred_list!$D$2:$E$500,2,0)</f>
        <v>33</v>
      </c>
      <c r="AA836" s="61" t="n">
        <f aca="false">K836</f>
        <v>0</v>
      </c>
      <c r="AB836" s="61" t="n">
        <f aca="false">L836</f>
        <v>0</v>
      </c>
      <c r="AC836" s="61" t="n">
        <f aca="false">VLOOKUP(AB836,recipe_ingred_list!$K$2:$M$7,3,0)</f>
        <v>2</v>
      </c>
      <c r="AD836" s="61" t="n">
        <f aca="false">M836</f>
        <v>1</v>
      </c>
      <c r="AE836" s="61" t="str">
        <f aca="false">N836</f>
        <v>ltr</v>
      </c>
      <c r="AF836" s="61" t="n">
        <f aca="false">VLOOKUP(AE836,recipe_ingred_list!$K$16:$M$25,3,0)</f>
        <v>1</v>
      </c>
      <c r="AG836" s="61" t="n">
        <f aca="false">O836</f>
        <v>0</v>
      </c>
      <c r="AH836" s="61" t="n">
        <f aca="false">P836</f>
        <v>0</v>
      </c>
      <c r="AI836" s="61" t="n">
        <f aca="false">VLOOKUP(AH836,recipe_ingred_list!$K$29:$M$34,3,0)</f>
        <v>3</v>
      </c>
      <c r="AJ836" s="61" t="str">
        <f aca="false">IF(Q836="","",Q836)</f>
        <v>melt gud in hot </v>
      </c>
      <c r="AK836" s="61" t="n">
        <f aca="false">AK835+1</f>
        <v>836</v>
      </c>
      <c r="AL836" s="61" t="str">
        <f aca="false">Y836</f>
        <v>black til</v>
      </c>
      <c r="AM836" s="81" t="str">
        <f aca="false">"a = Client().post('"&amp;W836&amp;"', {'recipe' : '"&amp;V836&amp;"', 'ingredient' : '"&amp;Z836&amp;"', 'name' : '"&amp;X836&amp;"', 'mass_unit' : '"&amp;AC836&amp;"', 'mass_quantity' : '"&amp;ROUND(AA836,3)&amp;"', 'volume_unit' : '"&amp;AF836&amp;"', 'volume_quantity' : '"&amp;ROUND(AD836,3)&amp;"', 'pieces_unit' : '"&amp;AI836&amp;"', 'pieces_quantity' : '"&amp;ROUND(AG836,3)&amp;"', 'cooking_notes' : '"&amp;AJ836&amp;"'}).status_code; print('%s :: %s :: %s :: %s :: %s' %(a,"&amp;G836&amp;",'"&amp;X836&amp;"','"&amp;Y836&amp;"','"&amp;U836&amp;"'))"</f>
        <v>a = Client().post('/recipes/udapi-poha/detail/', {'recipe' : '82', 'ingredient' : '33', 'name' : 'black til', 'mass_unit' : '2', 'mass_quantity' : '0', 'volume_unit' : '1', 'volume_quantity' : '1', 'pieces_unit' : '3', 'pieces_quantity' : '0', 'cooking_notes' : 'melt gud in hot '}).status_code; print('%s :: %s :: %s :: %s :: %s' %(a,836,'black til','black til','Udapi Poha'))</v>
      </c>
    </row>
    <row r="837" customFormat="false" ht="14.9" hidden="false" customHeight="false" outlineLevel="0" collapsed="false">
      <c r="G837" s="80" t="n">
        <v>837</v>
      </c>
      <c r="H837" s="83"/>
      <c r="I837" s="83" t="s">
        <v>355</v>
      </c>
      <c r="J837" s="83" t="s">
        <v>495</v>
      </c>
      <c r="M837" s="61" t="n">
        <v>1</v>
      </c>
      <c r="N837" s="61" t="s">
        <v>13</v>
      </c>
      <c r="Q837" s="84" t="s">
        <v>819</v>
      </c>
      <c r="R837" s="82" t="str">
        <f aca="false">VLOOKUP(J837,ingredient!$N$4:$O$553,2,0)</f>
        <v>white til</v>
      </c>
      <c r="U837" s="81" t="str">
        <f aca="false">I837</f>
        <v>Udapi Poha</v>
      </c>
      <c r="V837" s="81" t="n">
        <f aca="false">VLOOKUP(U837,recipe_ingred_list!$A$2:$B$300,2,0)</f>
        <v>82</v>
      </c>
      <c r="W837" s="81" t="str">
        <f aca="false">"/recipes/"&amp;VLOOKUP(U837,recipe_ingred_list!$A$2:$C$300,3,0)&amp;"/detail/"</f>
        <v>/recipes/udapi-poha/detail/</v>
      </c>
      <c r="X837" s="81" t="str">
        <f aca="false">J837</f>
        <v>white til</v>
      </c>
      <c r="Y837" s="81" t="str">
        <f aca="false">R837</f>
        <v>white til</v>
      </c>
      <c r="Z837" s="94" t="n">
        <f aca="false">VLOOKUP(Y837,recipe_ingred_list!$D$2:$E$500,2,0)</f>
        <v>206</v>
      </c>
      <c r="AA837" s="61" t="n">
        <f aca="false">K837</f>
        <v>0</v>
      </c>
      <c r="AB837" s="61" t="n">
        <f aca="false">L837</f>
        <v>0</v>
      </c>
      <c r="AC837" s="61" t="n">
        <f aca="false">VLOOKUP(AB837,recipe_ingred_list!$K$2:$M$7,3,0)</f>
        <v>2</v>
      </c>
      <c r="AD837" s="61" t="n">
        <f aca="false">M837</f>
        <v>1</v>
      </c>
      <c r="AE837" s="61" t="str">
        <f aca="false">N837</f>
        <v>ltr</v>
      </c>
      <c r="AF837" s="61" t="n">
        <f aca="false">VLOOKUP(AE837,recipe_ingred_list!$K$16:$M$25,3,0)</f>
        <v>1</v>
      </c>
      <c r="AG837" s="61" t="n">
        <f aca="false">O837</f>
        <v>0</v>
      </c>
      <c r="AH837" s="61" t="n">
        <f aca="false">P837</f>
        <v>0</v>
      </c>
      <c r="AI837" s="61" t="n">
        <f aca="false">VLOOKUP(AH837,recipe_ingred_list!$K$29:$M$34,3,0)</f>
        <v>3</v>
      </c>
      <c r="AJ837" s="61" t="str">
        <f aca="false">IF(Q837="","",Q837)</f>
        <v>ghee,add coconut,</v>
      </c>
      <c r="AK837" s="61" t="n">
        <f aca="false">AK836+1</f>
        <v>837</v>
      </c>
      <c r="AL837" s="61" t="str">
        <f aca="false">Y837</f>
        <v>white til</v>
      </c>
      <c r="AM837" s="81" t="str">
        <f aca="false">"a = Client().post('"&amp;W837&amp;"', {'recipe' : '"&amp;V837&amp;"', 'ingredient' : '"&amp;Z837&amp;"', 'name' : '"&amp;X837&amp;"', 'mass_unit' : '"&amp;AC837&amp;"', 'mass_quantity' : '"&amp;ROUND(AA837,3)&amp;"', 'volume_unit' : '"&amp;AF837&amp;"', 'volume_quantity' : '"&amp;ROUND(AD837,3)&amp;"', 'pieces_unit' : '"&amp;AI837&amp;"', 'pieces_quantity' : '"&amp;ROUND(AG837,3)&amp;"', 'cooking_notes' : '"&amp;AJ837&amp;"'}).status_code; print('%s :: %s :: %s :: %s :: %s' %(a,"&amp;G837&amp;",'"&amp;X837&amp;"','"&amp;Y837&amp;"','"&amp;U837&amp;"'))"</f>
        <v>a = Client().post('/recipes/udapi-poha/detail/', {'recipe' : '82', 'ingredient' : '206', 'name' : 'white til', 'mass_unit' : '2', 'mass_quantity' : '0', 'volume_unit' : '1', 'volume_quantity' : '1', 'pieces_unit' : '3', 'pieces_quantity' : '0', 'cooking_notes' : 'ghee,add coconut,'}).status_code; print('%s :: %s :: %s :: %s :: %s' %(a,837,'white til','white til','Udapi Poha'))</v>
      </c>
    </row>
    <row r="838" customFormat="false" ht="14.9" hidden="false" customHeight="false" outlineLevel="0" collapsed="false">
      <c r="G838" s="80" t="n">
        <v>838</v>
      </c>
      <c r="H838" s="83"/>
      <c r="I838" s="83" t="s">
        <v>355</v>
      </c>
      <c r="J838" s="83" t="s">
        <v>354</v>
      </c>
      <c r="M838" s="61" t="n">
        <v>1</v>
      </c>
      <c r="N838" s="61" t="s">
        <v>13</v>
      </c>
      <c r="Q838" s="84" t="s">
        <v>820</v>
      </c>
      <c r="R838" s="82" t="str">
        <f aca="false">VLOOKUP(J838,ingredient!$N$4:$O$553,2,0)</f>
        <v>ghee</v>
      </c>
      <c r="U838" s="81" t="str">
        <f aca="false">I838</f>
        <v>Udapi Poha</v>
      </c>
      <c r="V838" s="81" t="n">
        <f aca="false">VLOOKUP(U838,recipe_ingred_list!$A$2:$B$300,2,0)</f>
        <v>82</v>
      </c>
      <c r="W838" s="81" t="str">
        <f aca="false">"/recipes/"&amp;VLOOKUP(U838,recipe_ingred_list!$A$2:$C$300,3,0)&amp;"/detail/"</f>
        <v>/recipes/udapi-poha/detail/</v>
      </c>
      <c r="X838" s="81" t="str">
        <f aca="false">J838</f>
        <v>ghee</v>
      </c>
      <c r="Y838" s="81" t="str">
        <f aca="false">R838</f>
        <v>ghee</v>
      </c>
      <c r="Z838" s="94" t="n">
        <f aca="false">VLOOKUP(Y838,recipe_ingred_list!$D$2:$E$500,2,0)</f>
        <v>81</v>
      </c>
      <c r="AA838" s="61" t="n">
        <f aca="false">K838</f>
        <v>0</v>
      </c>
      <c r="AB838" s="61" t="n">
        <f aca="false">L838</f>
        <v>0</v>
      </c>
      <c r="AC838" s="61" t="n">
        <f aca="false">VLOOKUP(AB838,recipe_ingred_list!$K$2:$M$7,3,0)</f>
        <v>2</v>
      </c>
      <c r="AD838" s="61" t="n">
        <f aca="false">M838</f>
        <v>1</v>
      </c>
      <c r="AE838" s="61" t="str">
        <f aca="false">N838</f>
        <v>ltr</v>
      </c>
      <c r="AF838" s="61" t="n">
        <f aca="false">VLOOKUP(AE838,recipe_ingred_list!$K$16:$M$25,3,0)</f>
        <v>1</v>
      </c>
      <c r="AG838" s="61" t="n">
        <f aca="false">O838</f>
        <v>0</v>
      </c>
      <c r="AH838" s="61" t="n">
        <f aca="false">P838</f>
        <v>0</v>
      </c>
      <c r="AI838" s="61" t="n">
        <f aca="false">VLOOKUP(AH838,recipe_ingred_list!$K$29:$M$34,3,0)</f>
        <v>3</v>
      </c>
      <c r="AJ838" s="61" t="str">
        <f aca="false">IF(Q838="","",Q838)</f>
        <v>poha,til,honey,elichi</v>
      </c>
      <c r="AK838" s="61" t="n">
        <f aca="false">AK837+1</f>
        <v>838</v>
      </c>
      <c r="AL838" s="61" t="str">
        <f aca="false">Y838</f>
        <v>ghee</v>
      </c>
      <c r="AM838" s="81" t="str">
        <f aca="false">"a = Client().post('"&amp;W838&amp;"', {'recipe' : '"&amp;V838&amp;"', 'ingredient' : '"&amp;Z838&amp;"', 'name' : '"&amp;X838&amp;"', 'mass_unit' : '"&amp;AC838&amp;"', 'mass_quantity' : '"&amp;ROUND(AA838,3)&amp;"', 'volume_unit' : '"&amp;AF838&amp;"', 'volume_quantity' : '"&amp;ROUND(AD838,3)&amp;"', 'pieces_unit' : '"&amp;AI838&amp;"', 'pieces_quantity' : '"&amp;ROUND(AG838,3)&amp;"', 'cooking_notes' : '"&amp;AJ838&amp;"'}).status_code; print('%s :: %s :: %s :: %s :: %s' %(a,"&amp;G838&amp;",'"&amp;X838&amp;"','"&amp;Y838&amp;"','"&amp;U838&amp;"'))"</f>
        <v>a = Client().post('/recipes/udapi-poha/detail/', {'recipe' : '82', 'ingredient' : '81', 'name' : 'ghee', 'mass_unit' : '2', 'mass_quantity' : '0', 'volume_unit' : '1', 'volume_quantity' : '1', 'pieces_unit' : '3', 'pieces_quantity' : '0', 'cooking_notes' : 'poha,til,honey,elichi'}).status_code; print('%s :: %s :: %s :: %s :: %s' %(a,838,'ghee','ghee','Udapi Poha'))</v>
      </c>
    </row>
    <row r="839" customFormat="false" ht="14.9" hidden="false" customHeight="false" outlineLevel="0" collapsed="false">
      <c r="G839" s="80" t="n">
        <v>839</v>
      </c>
      <c r="H839" s="83"/>
      <c r="I839" s="83" t="s">
        <v>355</v>
      </c>
      <c r="J839" s="83" t="s">
        <v>821</v>
      </c>
      <c r="K839" s="61" t="n">
        <v>15</v>
      </c>
      <c r="L839" s="61" t="s">
        <v>7</v>
      </c>
      <c r="Q839" s="84" t="s">
        <v>822</v>
      </c>
      <c r="R839" s="82" t="str">
        <f aca="false">VLOOKUP(J839,ingredient!$N$4:$O$553,2,0)</f>
        <v>gud</v>
      </c>
      <c r="U839" s="81" t="str">
        <f aca="false">I839</f>
        <v>Udapi Poha</v>
      </c>
      <c r="V839" s="81" t="n">
        <f aca="false">VLOOKUP(U839,recipe_ingred_list!$A$2:$B$300,2,0)</f>
        <v>82</v>
      </c>
      <c r="W839" s="81" t="str">
        <f aca="false">"/recipes/"&amp;VLOOKUP(U839,recipe_ingred_list!$A$2:$C$300,3,0)&amp;"/detail/"</f>
        <v>/recipes/udapi-poha/detail/</v>
      </c>
      <c r="X839" s="81" t="str">
        <f aca="false">J839</f>
        <v>jaggary</v>
      </c>
      <c r="Y839" s="81" t="str">
        <f aca="false">R839</f>
        <v>gud</v>
      </c>
      <c r="Z839" s="94" t="n">
        <f aca="false">VLOOKUP(Y839,recipe_ingred_list!$D$2:$E$500,2,0)</f>
        <v>90</v>
      </c>
      <c r="AA839" s="61" t="n">
        <f aca="false">K839</f>
        <v>15</v>
      </c>
      <c r="AB839" s="61" t="str">
        <f aca="false">L839</f>
        <v>kg</v>
      </c>
      <c r="AC839" s="61" t="n">
        <f aca="false">VLOOKUP(AB839,recipe_ingred_list!$K$2:$M$7,3,0)</f>
        <v>2</v>
      </c>
      <c r="AD839" s="61" t="n">
        <f aca="false">M839</f>
        <v>0</v>
      </c>
      <c r="AE839" s="61" t="n">
        <f aca="false">N839</f>
        <v>0</v>
      </c>
      <c r="AF839" s="61" t="n">
        <f aca="false">VLOOKUP(AE839,recipe_ingred_list!$K$16:$M$25,3,0)</f>
        <v>1</v>
      </c>
      <c r="AG839" s="61" t="n">
        <f aca="false">O839</f>
        <v>0</v>
      </c>
      <c r="AH839" s="61" t="n">
        <f aca="false">P839</f>
        <v>0</v>
      </c>
      <c r="AI839" s="61" t="n">
        <f aca="false">VLOOKUP(AH839,recipe_ingred_list!$K$29:$M$34,3,0)</f>
        <v>3</v>
      </c>
      <c r="AJ839" s="61" t="str">
        <f aca="false">IF(Q839="","",Q839)</f>
        <v>powdre.add banana </v>
      </c>
      <c r="AK839" s="61" t="n">
        <f aca="false">AK838+1</f>
        <v>839</v>
      </c>
      <c r="AL839" s="61" t="str">
        <f aca="false">Y839</f>
        <v>gud</v>
      </c>
      <c r="AM839" s="81" t="str">
        <f aca="false">"a = Client().post('"&amp;W839&amp;"', {'recipe' : '"&amp;V839&amp;"', 'ingredient' : '"&amp;Z839&amp;"', 'name' : '"&amp;X839&amp;"', 'mass_unit' : '"&amp;AC839&amp;"', 'mass_quantity' : '"&amp;ROUND(AA839,3)&amp;"', 'volume_unit' : '"&amp;AF839&amp;"', 'volume_quantity' : '"&amp;ROUND(AD839,3)&amp;"', 'pieces_unit' : '"&amp;AI839&amp;"', 'pieces_quantity' : '"&amp;ROUND(AG839,3)&amp;"', 'cooking_notes' : '"&amp;AJ839&amp;"'}).status_code; print('%s :: %s :: %s :: %s :: %s' %(a,"&amp;G839&amp;",'"&amp;X839&amp;"','"&amp;Y839&amp;"','"&amp;U839&amp;"'))"</f>
        <v>a = Client().post('/recipes/udapi-poha/detail/', {'recipe' : '82', 'ingredient' : '90', 'name' : 'jaggary', 'mass_unit' : '2', 'mass_quantity' : '15', 'volume_unit' : '1', 'volume_quantity' : '0', 'pieces_unit' : '3', 'pieces_quantity' : '0', 'cooking_notes' : 'powdre.add banana '}).status_code; print('%s :: %s :: %s :: %s :: %s' %(a,839,'jaggary','gud','Udapi Poha'))</v>
      </c>
    </row>
    <row r="840" customFormat="false" ht="14.9" hidden="false" customHeight="false" outlineLevel="0" collapsed="false">
      <c r="G840" s="80" t="n">
        <v>840</v>
      </c>
      <c r="H840" s="83"/>
      <c r="I840" s="83" t="s">
        <v>355</v>
      </c>
      <c r="J840" s="83" t="s">
        <v>392</v>
      </c>
      <c r="K840" s="61" t="n">
        <v>500</v>
      </c>
      <c r="L840" s="61" t="s">
        <v>109</v>
      </c>
      <c r="Q840" s="84" t="s">
        <v>823</v>
      </c>
      <c r="R840" s="82" t="str">
        <f aca="false">VLOOKUP(J840,ingredient!$N$4:$O$553,2,0)</f>
        <v>honey</v>
      </c>
      <c r="U840" s="81" t="str">
        <f aca="false">I840</f>
        <v>Udapi Poha</v>
      </c>
      <c r="V840" s="81" t="n">
        <f aca="false">VLOOKUP(U840,recipe_ingred_list!$A$2:$B$300,2,0)</f>
        <v>82</v>
      </c>
      <c r="W840" s="81" t="str">
        <f aca="false">"/recipes/"&amp;VLOOKUP(U840,recipe_ingred_list!$A$2:$C$300,3,0)&amp;"/detail/"</f>
        <v>/recipes/udapi-poha/detail/</v>
      </c>
      <c r="X840" s="81" t="str">
        <f aca="false">J840</f>
        <v>honey</v>
      </c>
      <c r="Y840" s="81" t="str">
        <f aca="false">R840</f>
        <v>honey</v>
      </c>
      <c r="Z840" s="94" t="n">
        <f aca="false">VLOOKUP(Y840,recipe_ingred_list!$D$2:$E$500,2,0)</f>
        <v>96</v>
      </c>
      <c r="AA840" s="61" t="n">
        <f aca="false">K840</f>
        <v>500</v>
      </c>
      <c r="AB840" s="61" t="str">
        <f aca="false">L840</f>
        <v>gm</v>
      </c>
      <c r="AC840" s="61" t="n">
        <f aca="false">VLOOKUP(AB840,recipe_ingred_list!$K$2:$M$7,3,0)</f>
        <v>7</v>
      </c>
      <c r="AD840" s="61" t="n">
        <f aca="false">M840</f>
        <v>0</v>
      </c>
      <c r="AE840" s="61" t="n">
        <f aca="false">N840</f>
        <v>0</v>
      </c>
      <c r="AF840" s="61" t="n">
        <f aca="false">VLOOKUP(AE840,recipe_ingred_list!$K$16:$M$25,3,0)</f>
        <v>1</v>
      </c>
      <c r="AG840" s="61" t="n">
        <f aca="false">O840</f>
        <v>0</v>
      </c>
      <c r="AH840" s="61" t="n">
        <f aca="false">P840</f>
        <v>0</v>
      </c>
      <c r="AI840" s="61" t="n">
        <f aca="false">VLOOKUP(AH840,recipe_ingred_list!$K$29:$M$34,3,0)</f>
        <v>3</v>
      </c>
      <c r="AJ840" s="61" t="str">
        <f aca="false">IF(Q840="","",Q840)</f>
        <v>at end.(roast til</v>
      </c>
      <c r="AK840" s="61" t="n">
        <f aca="false">AK839+1</f>
        <v>840</v>
      </c>
      <c r="AL840" s="61" t="str">
        <f aca="false">Y840</f>
        <v>honey</v>
      </c>
      <c r="AM840" s="81" t="str">
        <f aca="false">"a = Client().post('"&amp;W840&amp;"', {'recipe' : '"&amp;V840&amp;"', 'ingredient' : '"&amp;Z840&amp;"', 'name' : '"&amp;X840&amp;"', 'mass_unit' : '"&amp;AC840&amp;"', 'mass_quantity' : '"&amp;ROUND(AA840,3)&amp;"', 'volume_unit' : '"&amp;AF840&amp;"', 'volume_quantity' : '"&amp;ROUND(AD840,3)&amp;"', 'pieces_unit' : '"&amp;AI840&amp;"', 'pieces_quantity' : '"&amp;ROUND(AG840,3)&amp;"', 'cooking_notes' : '"&amp;AJ840&amp;"'}).status_code; print('%s :: %s :: %s :: %s :: %s' %(a,"&amp;G840&amp;",'"&amp;X840&amp;"','"&amp;Y840&amp;"','"&amp;U840&amp;"'))"</f>
        <v>a = Client().post('/recipes/udapi-poha/detail/', {'recipe' : '82', 'ingredient' : '96', 'name' : 'honey', 'mass_unit' : '7', 'mass_quantity' : '500', 'volume_unit' : '1', 'volume_quantity' : '0', 'pieces_unit' : '3', 'pieces_quantity' : '0', 'cooking_notes' : 'at end.(roast til'}).status_code; print('%s :: %s :: %s :: %s :: %s' %(a,840,'honey','honey','Udapi Poha'))</v>
      </c>
    </row>
    <row r="841" customFormat="false" ht="14.9" hidden="false" customHeight="false" outlineLevel="0" collapsed="false">
      <c r="G841" s="80" t="n">
        <v>841</v>
      </c>
      <c r="H841" s="83"/>
      <c r="I841" s="83" t="s">
        <v>355</v>
      </c>
      <c r="J841" s="83" t="s">
        <v>324</v>
      </c>
      <c r="M841" s="61" t="n">
        <v>1.5</v>
      </c>
      <c r="N841" s="61" t="s">
        <v>20</v>
      </c>
      <c r="Q841" s="84" t="s">
        <v>824</v>
      </c>
      <c r="R841" s="82" t="str">
        <f aca="false">VLOOKUP(J841,ingredient!$N$4:$O$553,2,0)</f>
        <v>elaichi powder</v>
      </c>
      <c r="U841" s="81" t="str">
        <f aca="false">I841</f>
        <v>Udapi Poha</v>
      </c>
      <c r="V841" s="81" t="n">
        <f aca="false">VLOOKUP(U841,recipe_ingred_list!$A$2:$B$300,2,0)</f>
        <v>82</v>
      </c>
      <c r="W841" s="81" t="str">
        <f aca="false">"/recipes/"&amp;VLOOKUP(U841,recipe_ingred_list!$A$2:$C$300,3,0)&amp;"/detail/"</f>
        <v>/recipes/udapi-poha/detail/</v>
      </c>
      <c r="X841" s="81" t="str">
        <f aca="false">J841</f>
        <v>elaichi powder</v>
      </c>
      <c r="Y841" s="81" t="str">
        <f aca="false">R841</f>
        <v>elaichi powder</v>
      </c>
      <c r="Z841" s="94" t="n">
        <f aca="false">VLOOKUP(Y841,recipe_ingred_list!$D$2:$E$500,2,0)</f>
        <v>71</v>
      </c>
      <c r="AA841" s="61" t="n">
        <f aca="false">K841</f>
        <v>0</v>
      </c>
      <c r="AB841" s="61" t="n">
        <f aca="false">L841</f>
        <v>0</v>
      </c>
      <c r="AC841" s="61" t="n">
        <f aca="false">VLOOKUP(AB841,recipe_ingred_list!$K$2:$M$7,3,0)</f>
        <v>2</v>
      </c>
      <c r="AD841" s="61" t="n">
        <f aca="false">M841</f>
        <v>1.5</v>
      </c>
      <c r="AE841" s="61" t="str">
        <f aca="false">N841</f>
        <v>cup</v>
      </c>
      <c r="AF841" s="61" t="n">
        <f aca="false">VLOOKUP(AE841,recipe_ingred_list!$K$16:$M$25,3,0)</f>
        <v>5</v>
      </c>
      <c r="AG841" s="61" t="n">
        <f aca="false">O841</f>
        <v>0</v>
      </c>
      <c r="AH841" s="61" t="n">
        <f aca="false">P841</f>
        <v>0</v>
      </c>
      <c r="AI841" s="61" t="n">
        <f aca="false">VLOOKUP(AH841,recipe_ingred_list!$K$29:$M$34,3,0)</f>
        <v>3</v>
      </c>
      <c r="AJ841" s="61" t="str">
        <f aca="false">IF(Q841="","",Q841)</f>
        <v>before adding)</v>
      </c>
      <c r="AK841" s="61" t="n">
        <f aca="false">AK840+1</f>
        <v>841</v>
      </c>
      <c r="AL841" s="61" t="str">
        <f aca="false">Y841</f>
        <v>elaichi powder</v>
      </c>
      <c r="AM841" s="81" t="str">
        <f aca="false">"a = Client().post('"&amp;W841&amp;"', {'recipe' : '"&amp;V841&amp;"', 'ingredient' : '"&amp;Z841&amp;"', 'name' : '"&amp;X841&amp;"', 'mass_unit' : '"&amp;AC841&amp;"', 'mass_quantity' : '"&amp;ROUND(AA841,3)&amp;"', 'volume_unit' : '"&amp;AF841&amp;"', 'volume_quantity' : '"&amp;ROUND(AD841,3)&amp;"', 'pieces_unit' : '"&amp;AI841&amp;"', 'pieces_quantity' : '"&amp;ROUND(AG841,3)&amp;"', 'cooking_notes' : '"&amp;AJ841&amp;"'}).status_code; print('%s :: %s :: %s :: %s :: %s' %(a,"&amp;G841&amp;",'"&amp;X841&amp;"','"&amp;Y841&amp;"','"&amp;U841&amp;"'))"</f>
        <v>a = Client().post('/recipes/udapi-poha/detail/', {'recipe' : '82', 'ingredient' : '71', 'name' : 'elaichi powder', 'mass_unit' : '2', 'mass_quantity' : '0', 'volume_unit' : '5', 'volume_quantity' : '1.5', 'pieces_unit' : '3', 'pieces_quantity' : '0', 'cooking_notes' : 'before adding)'}).status_code; print('%s :: %s :: %s :: %s :: %s' %(a,841,'elaichi powder','elaichi powder','Udapi Poha'))</v>
      </c>
    </row>
    <row r="842" customFormat="false" ht="13.8" hidden="false" customHeight="false" outlineLevel="0" collapsed="false">
      <c r="G842" s="80" t="n">
        <v>842</v>
      </c>
      <c r="H842" s="79"/>
      <c r="I842" s="79"/>
      <c r="J842" s="79"/>
      <c r="K842" s="100"/>
      <c r="L842" s="100"/>
      <c r="M842" s="100"/>
      <c r="N842" s="100"/>
      <c r="O842" s="100"/>
      <c r="P842" s="100"/>
      <c r="Q842" s="102"/>
      <c r="R842" s="99" t="e">
        <f aca="false">VLOOKUP(J842,ingredient!$N$4:$O$553,2,0)</f>
        <v>#N/A</v>
      </c>
      <c r="S842" s="98"/>
      <c r="T842" s="98"/>
      <c r="U842" s="81" t="n">
        <f aca="false">I842</f>
        <v>0</v>
      </c>
      <c r="V842" s="81" t="e">
        <f aca="false">VLOOKUP(U842,recipe_ingred_list!$A$2:$B$300,2,0)</f>
        <v>#N/A</v>
      </c>
      <c r="W842" s="81" t="e">
        <f aca="false">"/recipes/"&amp;VLOOKUP(U842,recipe_ingred_list!$A$2:$C$300,3,0)&amp;"/detail/"</f>
        <v>#N/A</v>
      </c>
      <c r="X842" s="81" t="n">
        <f aca="false">J842</f>
        <v>0</v>
      </c>
      <c r="Y842" s="81" t="e">
        <f aca="false">R842</f>
        <v>#N/A</v>
      </c>
      <c r="Z842" s="94" t="e">
        <f aca="false">VLOOKUP(Y842,recipe_ingred_list!$D$2:$E$500,2,0)</f>
        <v>#N/A</v>
      </c>
      <c r="AA842" s="61" t="n">
        <f aca="false">K842</f>
        <v>0</v>
      </c>
      <c r="AB842" s="61" t="n">
        <f aca="false">L842</f>
        <v>0</v>
      </c>
      <c r="AC842" s="61" t="n">
        <f aca="false">VLOOKUP(AB842,recipe_ingred_list!$K$2:$M$7,3,0)</f>
        <v>2</v>
      </c>
      <c r="AD842" s="61" t="n">
        <f aca="false">M842</f>
        <v>0</v>
      </c>
      <c r="AE842" s="61" t="n">
        <f aca="false">N842</f>
        <v>0</v>
      </c>
      <c r="AF842" s="61" t="n">
        <f aca="false">VLOOKUP(AE842,recipe_ingred_list!$K$16:$M$25,3,0)</f>
        <v>1</v>
      </c>
      <c r="AG842" s="61" t="n">
        <f aca="false">O842</f>
        <v>0</v>
      </c>
      <c r="AH842" s="61" t="n">
        <f aca="false">P842</f>
        <v>0</v>
      </c>
      <c r="AI842" s="61" t="n">
        <f aca="false">VLOOKUP(AH842,recipe_ingred_list!$K$29:$M$34,3,0)</f>
        <v>3</v>
      </c>
      <c r="AJ842" s="61" t="str">
        <f aca="false">IF(Q842="","",Q842)</f>
        <v/>
      </c>
      <c r="AK842" s="61" t="n">
        <f aca="false">AK841+1</f>
        <v>842</v>
      </c>
      <c r="AL842" s="61" t="e">
        <f aca="false">Y842</f>
        <v>#N/A</v>
      </c>
      <c r="AM842" s="81" t="e">
        <f aca="false">"a = Client().post('"&amp;W842&amp;"', {'recipe' : '"&amp;V842&amp;"', 'ingredient' : '"&amp;Z842&amp;"', 'name' : '"&amp;X842&amp;"', 'mass_unit' : '"&amp;AC842&amp;"', 'mass_quantity' : '"&amp;ROUND(AA842,3)&amp;"', 'volume_unit' : '"&amp;AF842&amp;"', 'volume_quantity' : '"&amp;ROUND(AD842,3)&amp;"', 'pieces_unit' : '"&amp;AI842&amp;"', 'pieces_quantity' : '"&amp;ROUND(AG842,3)&amp;"', 'cooking_notes' : '"&amp;AJ842&amp;"'}).status_code; print('%s :: %s :: %s :: %s :: %s' %(a,"&amp;G842&amp;",'"&amp;X842&amp;"','"&amp;Y842&amp;"','"&amp;U842&amp;"'))"</f>
        <v>#N/A</v>
      </c>
    </row>
    <row r="843" customFormat="false" ht="13.8" hidden="false" customHeight="false" outlineLevel="0" collapsed="false">
      <c r="G843" s="80" t="n">
        <v>843</v>
      </c>
      <c r="H843" s="83"/>
      <c r="I843" s="83" t="s">
        <v>232</v>
      </c>
      <c r="J843" s="83" t="s">
        <v>11</v>
      </c>
      <c r="K843" s="61" t="n">
        <v>6</v>
      </c>
      <c r="L843" s="61" t="s">
        <v>7</v>
      </c>
      <c r="R843" s="82" t="str">
        <f aca="false">VLOOKUP(J843,ingredient!$N$4:$O$553,2,0)</f>
        <v>gajar</v>
      </c>
      <c r="U843" s="81" t="str">
        <f aca="false">I843</f>
        <v>Lapsi</v>
      </c>
      <c r="V843" s="81" t="n">
        <f aca="false">VLOOKUP(U843,recipe_ingred_list!$A$2:$B$300,2,0)</f>
        <v>41</v>
      </c>
      <c r="W843" s="81" t="str">
        <f aca="false">"/recipes/"&amp;VLOOKUP(U843,recipe_ingred_list!$A$2:$C$300,3,0)&amp;"/detail/"</f>
        <v>/recipes/lapsi/detail/</v>
      </c>
      <c r="X843" s="81" t="str">
        <f aca="false">J843</f>
        <v>Gajar</v>
      </c>
      <c r="Y843" s="81" t="str">
        <f aca="false">R843</f>
        <v>gajar</v>
      </c>
      <c r="Z843" s="94" t="n">
        <f aca="false">VLOOKUP(Y843,recipe_ingred_list!$D$2:$E$500,2,0)</f>
        <v>79</v>
      </c>
      <c r="AA843" s="61" t="n">
        <f aca="false">K843</f>
        <v>6</v>
      </c>
      <c r="AB843" s="61" t="str">
        <f aca="false">L843</f>
        <v>kg</v>
      </c>
      <c r="AC843" s="61" t="n">
        <f aca="false">VLOOKUP(AB843,recipe_ingred_list!$K$2:$M$7,3,0)</f>
        <v>2</v>
      </c>
      <c r="AD843" s="61" t="n">
        <f aca="false">M843</f>
        <v>0</v>
      </c>
      <c r="AE843" s="61" t="n">
        <f aca="false">N843</f>
        <v>0</v>
      </c>
      <c r="AF843" s="61" t="n">
        <f aca="false">VLOOKUP(AE843,recipe_ingred_list!$K$16:$M$25,3,0)</f>
        <v>1</v>
      </c>
      <c r="AG843" s="61" t="n">
        <f aca="false">O843</f>
        <v>0</v>
      </c>
      <c r="AH843" s="61" t="n">
        <f aca="false">P843</f>
        <v>0</v>
      </c>
      <c r="AI843" s="61" t="n">
        <f aca="false">VLOOKUP(AH843,recipe_ingred_list!$K$29:$M$34,3,0)</f>
        <v>3</v>
      </c>
      <c r="AJ843" s="61" t="str">
        <f aca="false">IF(Q843="","",Q843)</f>
        <v/>
      </c>
      <c r="AK843" s="61" t="n">
        <f aca="false">AK842+1</f>
        <v>843</v>
      </c>
      <c r="AL843" s="61" t="str">
        <f aca="false">Y843</f>
        <v>gajar</v>
      </c>
      <c r="AM843" s="81" t="str">
        <f aca="false">"a = Client().post('"&amp;W843&amp;"', {'recipe' : '"&amp;V843&amp;"', 'ingredient' : '"&amp;Z843&amp;"', 'name' : '"&amp;X843&amp;"', 'mass_unit' : '"&amp;AC843&amp;"', 'mass_quantity' : '"&amp;ROUND(AA843,3)&amp;"', 'volume_unit' : '"&amp;AF843&amp;"', 'volume_quantity' : '"&amp;ROUND(AD843,3)&amp;"', 'pieces_unit' : '"&amp;AI843&amp;"', 'pieces_quantity' : '"&amp;ROUND(AG843,3)&amp;"', 'cooking_notes' : '"&amp;AJ843&amp;"'}).status_code; print('%s :: %s :: %s :: %s :: %s' %(a,"&amp;G843&amp;",'"&amp;X843&amp;"','"&amp;Y843&amp;"','"&amp;U843&amp;"'))"</f>
        <v>a = Client().post('/recipes/lapsi/detail/', {'recipe' : '41', 'ingredient' : '79', 'name' : 'Gajar', 'mass_unit' : '2', 'mass_quantity' : '6', 'volume_unit' : '1', 'volume_quantity' : '0', 'pieces_unit' : '3', 'pieces_quantity' : '0', 'cooking_notes' : ''}).status_code; print('%s :: %s :: %s :: %s :: %s' %(a,843,'Gajar','gajar','Lapsi'))</v>
      </c>
    </row>
    <row r="844" customFormat="false" ht="13.8" hidden="false" customHeight="false" outlineLevel="0" collapsed="false">
      <c r="G844" s="80" t="n">
        <v>844</v>
      </c>
      <c r="H844" s="83"/>
      <c r="I844" s="83" t="s">
        <v>232</v>
      </c>
      <c r="J844" s="83" t="s">
        <v>800</v>
      </c>
      <c r="K844" s="61" t="n">
        <v>5</v>
      </c>
      <c r="L844" s="61" t="s">
        <v>7</v>
      </c>
      <c r="R844" s="82" t="str">
        <f aca="false">VLOOKUP(J844,ingredient!$N$4:$O$553,2,0)</f>
        <v>beans</v>
      </c>
      <c r="U844" s="81" t="str">
        <f aca="false">I844</f>
        <v>Lapsi</v>
      </c>
      <c r="V844" s="81" t="n">
        <f aca="false">VLOOKUP(U844,recipe_ingred_list!$A$2:$B$300,2,0)</f>
        <v>41</v>
      </c>
      <c r="W844" s="81" t="str">
        <f aca="false">"/recipes/"&amp;VLOOKUP(U844,recipe_ingred_list!$A$2:$C$300,3,0)&amp;"/detail/"</f>
        <v>/recipes/lapsi/detail/</v>
      </c>
      <c r="X844" s="81" t="str">
        <f aca="false">J844</f>
        <v>beans( optional when rate is low)</v>
      </c>
      <c r="Y844" s="81" t="str">
        <f aca="false">R844</f>
        <v>beans</v>
      </c>
      <c r="Z844" s="94" t="n">
        <f aca="false">VLOOKUP(Y844,recipe_ingred_list!$D$2:$E$500,2,0)</f>
        <v>27</v>
      </c>
      <c r="AA844" s="61" t="n">
        <f aca="false">K844</f>
        <v>5</v>
      </c>
      <c r="AB844" s="61" t="str">
        <f aca="false">L844</f>
        <v>kg</v>
      </c>
      <c r="AC844" s="61" t="n">
        <f aca="false">VLOOKUP(AB844,recipe_ingred_list!$K$2:$M$7,3,0)</f>
        <v>2</v>
      </c>
      <c r="AD844" s="61" t="n">
        <f aca="false">M844</f>
        <v>0</v>
      </c>
      <c r="AE844" s="61" t="n">
        <f aca="false">N844</f>
        <v>0</v>
      </c>
      <c r="AF844" s="61" t="n">
        <f aca="false">VLOOKUP(AE844,recipe_ingred_list!$K$16:$M$25,3,0)</f>
        <v>1</v>
      </c>
      <c r="AG844" s="61" t="n">
        <f aca="false">O844</f>
        <v>0</v>
      </c>
      <c r="AH844" s="61" t="n">
        <f aca="false">P844</f>
        <v>0</v>
      </c>
      <c r="AI844" s="61" t="n">
        <f aca="false">VLOOKUP(AH844,recipe_ingred_list!$K$29:$M$34,3,0)</f>
        <v>3</v>
      </c>
      <c r="AJ844" s="61" t="str">
        <f aca="false">IF(Q844="","",Q844)</f>
        <v/>
      </c>
      <c r="AK844" s="61" t="n">
        <f aca="false">AK843+1</f>
        <v>844</v>
      </c>
      <c r="AL844" s="61" t="str">
        <f aca="false">Y844</f>
        <v>beans</v>
      </c>
      <c r="AM844" s="81" t="str">
        <f aca="false">"a = Client().post('"&amp;W844&amp;"', {'recipe' : '"&amp;V844&amp;"', 'ingredient' : '"&amp;Z844&amp;"', 'name' : '"&amp;X844&amp;"', 'mass_unit' : '"&amp;AC844&amp;"', 'mass_quantity' : '"&amp;ROUND(AA844,3)&amp;"', 'volume_unit' : '"&amp;AF844&amp;"', 'volume_quantity' : '"&amp;ROUND(AD844,3)&amp;"', 'pieces_unit' : '"&amp;AI844&amp;"', 'pieces_quantity' : '"&amp;ROUND(AG844,3)&amp;"', 'cooking_notes' : '"&amp;AJ844&amp;"'}).status_code; print('%s :: %s :: %s :: %s :: %s' %(a,"&amp;G844&amp;",'"&amp;X844&amp;"','"&amp;Y844&amp;"','"&amp;U844&amp;"'))"</f>
        <v>a = Client().post('/recipes/lapsi/detail/', {'recipe' : '41', 'ingredient' : '27', 'name' : 'beans( optional when rate is low)', 'mass_unit' : '2', 'mass_quantity' : '5', 'volume_unit' : '1', 'volume_quantity' : '0', 'pieces_unit' : '3', 'pieces_quantity' : '0', 'cooking_notes' : ''}).status_code; print('%s :: %s :: %s :: %s :: %s' %(a,844,'beans( optional when rate is low)','beans','Lapsi'))</v>
      </c>
    </row>
    <row r="845" customFormat="false" ht="13.8" hidden="false" customHeight="false" outlineLevel="0" collapsed="false">
      <c r="G845" s="80" t="n">
        <v>845</v>
      </c>
      <c r="H845" s="83"/>
      <c r="I845" s="83" t="s">
        <v>232</v>
      </c>
      <c r="J845" s="83" t="s">
        <v>790</v>
      </c>
      <c r="K845" s="61" t="n">
        <v>6</v>
      </c>
      <c r="L845" s="61" t="s">
        <v>7</v>
      </c>
      <c r="R845" s="82" t="str">
        <f aca="false">VLOOKUP(J845,ingredient!$N$4:$O$553,2,0)</f>
        <v>green peas</v>
      </c>
      <c r="U845" s="81" t="str">
        <f aca="false">I845</f>
        <v>Lapsi</v>
      </c>
      <c r="V845" s="81" t="n">
        <f aca="false">VLOOKUP(U845,recipe_ingred_list!$A$2:$B$300,2,0)</f>
        <v>41</v>
      </c>
      <c r="W845" s="81" t="str">
        <f aca="false">"/recipes/"&amp;VLOOKUP(U845,recipe_ingred_list!$A$2:$C$300,3,0)&amp;"/detail/"</f>
        <v>/recipes/lapsi/detail/</v>
      </c>
      <c r="X845" s="81" t="str">
        <f aca="false">J845</f>
        <v>Green Peas</v>
      </c>
      <c r="Y845" s="81" t="str">
        <f aca="false">R845</f>
        <v>green peas</v>
      </c>
      <c r="Z845" s="94" t="n">
        <f aca="false">VLOOKUP(Y845,recipe_ingred_list!$D$2:$E$500,2,0)</f>
        <v>88</v>
      </c>
      <c r="AA845" s="61" t="n">
        <f aca="false">K845</f>
        <v>6</v>
      </c>
      <c r="AB845" s="61" t="str">
        <f aca="false">L845</f>
        <v>kg</v>
      </c>
      <c r="AC845" s="61" t="n">
        <f aca="false">VLOOKUP(AB845,recipe_ingred_list!$K$2:$M$7,3,0)</f>
        <v>2</v>
      </c>
      <c r="AD845" s="61" t="n">
        <f aca="false">M845</f>
        <v>0</v>
      </c>
      <c r="AE845" s="61" t="n">
        <f aca="false">N845</f>
        <v>0</v>
      </c>
      <c r="AF845" s="61" t="n">
        <f aca="false">VLOOKUP(AE845,recipe_ingred_list!$K$16:$M$25,3,0)</f>
        <v>1</v>
      </c>
      <c r="AG845" s="61" t="n">
        <f aca="false">O845</f>
        <v>0</v>
      </c>
      <c r="AH845" s="61" t="n">
        <f aca="false">P845</f>
        <v>0</v>
      </c>
      <c r="AI845" s="61" t="n">
        <f aca="false">VLOOKUP(AH845,recipe_ingred_list!$K$29:$M$34,3,0)</f>
        <v>3</v>
      </c>
      <c r="AJ845" s="61" t="str">
        <f aca="false">IF(Q845="","",Q845)</f>
        <v/>
      </c>
      <c r="AK845" s="61" t="n">
        <f aca="false">AK844+1</f>
        <v>845</v>
      </c>
      <c r="AL845" s="61" t="str">
        <f aca="false">Y845</f>
        <v>green peas</v>
      </c>
      <c r="AM845" s="81" t="str">
        <f aca="false">"a = Client().post('"&amp;W845&amp;"', {'recipe' : '"&amp;V845&amp;"', 'ingredient' : '"&amp;Z845&amp;"', 'name' : '"&amp;X845&amp;"', 'mass_unit' : '"&amp;AC845&amp;"', 'mass_quantity' : '"&amp;ROUND(AA845,3)&amp;"', 'volume_unit' : '"&amp;AF845&amp;"', 'volume_quantity' : '"&amp;ROUND(AD845,3)&amp;"', 'pieces_unit' : '"&amp;AI845&amp;"', 'pieces_quantity' : '"&amp;ROUND(AG845,3)&amp;"', 'cooking_notes' : '"&amp;AJ845&amp;"'}).status_code; print('%s :: %s :: %s :: %s :: %s' %(a,"&amp;G845&amp;",'"&amp;X845&amp;"','"&amp;Y845&amp;"','"&amp;U845&amp;"'))"</f>
        <v>a = Client().post('/recipes/lapsi/detail/', {'recipe' : '41', 'ingredient' : '88', 'name' : 'Green Peas', 'mass_unit' : '2', 'mass_quantity' : '6', 'volume_unit' : '1', 'volume_quantity' : '0', 'pieces_unit' : '3', 'pieces_quantity' : '0', 'cooking_notes' : ''}).status_code; print('%s :: %s :: %s :: %s :: %s' %(a,845,'Green Peas','green peas','Lapsi'))</v>
      </c>
    </row>
    <row r="846" customFormat="false" ht="13.8" hidden="false" customHeight="false" outlineLevel="0" collapsed="false">
      <c r="G846" s="80" t="n">
        <v>846</v>
      </c>
      <c r="H846" s="83"/>
      <c r="I846" s="83" t="s">
        <v>232</v>
      </c>
      <c r="J846" s="83" t="s">
        <v>10</v>
      </c>
      <c r="K846" s="61" t="n">
        <v>5</v>
      </c>
      <c r="L846" s="61" t="s">
        <v>7</v>
      </c>
      <c r="R846" s="82" t="str">
        <f aca="false">VLOOKUP(J846,ingredient!$N$4:$O$553,2,0)</f>
        <v>alu</v>
      </c>
      <c r="U846" s="81" t="str">
        <f aca="false">I846</f>
        <v>Lapsi</v>
      </c>
      <c r="V846" s="81" t="n">
        <f aca="false">VLOOKUP(U846,recipe_ingred_list!$A$2:$B$300,2,0)</f>
        <v>41</v>
      </c>
      <c r="W846" s="81" t="str">
        <f aca="false">"/recipes/"&amp;VLOOKUP(U846,recipe_ingred_list!$A$2:$C$300,3,0)&amp;"/detail/"</f>
        <v>/recipes/lapsi/detail/</v>
      </c>
      <c r="X846" s="81" t="str">
        <f aca="false">J846</f>
        <v>Alu</v>
      </c>
      <c r="Y846" s="81" t="str">
        <f aca="false">R846</f>
        <v>alu</v>
      </c>
      <c r="Z846" s="94" t="n">
        <f aca="false">VLOOKUP(Y846,recipe_ingred_list!$D$2:$E$500,2,0)</f>
        <v>8</v>
      </c>
      <c r="AA846" s="61" t="n">
        <f aca="false">K846</f>
        <v>5</v>
      </c>
      <c r="AB846" s="61" t="str">
        <f aca="false">L846</f>
        <v>kg</v>
      </c>
      <c r="AC846" s="61" t="n">
        <f aca="false">VLOOKUP(AB846,recipe_ingred_list!$K$2:$M$7,3,0)</f>
        <v>2</v>
      </c>
      <c r="AD846" s="61" t="n">
        <f aca="false">M846</f>
        <v>0</v>
      </c>
      <c r="AE846" s="61" t="n">
        <f aca="false">N846</f>
        <v>0</v>
      </c>
      <c r="AF846" s="61" t="n">
        <f aca="false">VLOOKUP(AE846,recipe_ingred_list!$K$16:$M$25,3,0)</f>
        <v>1</v>
      </c>
      <c r="AG846" s="61" t="n">
        <f aca="false">O846</f>
        <v>0</v>
      </c>
      <c r="AH846" s="61" t="n">
        <f aca="false">P846</f>
        <v>0</v>
      </c>
      <c r="AI846" s="61" t="n">
        <f aca="false">VLOOKUP(AH846,recipe_ingred_list!$K$29:$M$34,3,0)</f>
        <v>3</v>
      </c>
      <c r="AJ846" s="61" t="str">
        <f aca="false">IF(Q846="","",Q846)</f>
        <v/>
      </c>
      <c r="AK846" s="61" t="n">
        <f aca="false">AK845+1</f>
        <v>846</v>
      </c>
      <c r="AL846" s="61" t="str">
        <f aca="false">Y846</f>
        <v>alu</v>
      </c>
      <c r="AM846" s="81" t="str">
        <f aca="false">"a = Client().post('"&amp;W846&amp;"', {'recipe' : '"&amp;V846&amp;"', 'ingredient' : '"&amp;Z846&amp;"', 'name' : '"&amp;X846&amp;"', 'mass_unit' : '"&amp;AC846&amp;"', 'mass_quantity' : '"&amp;ROUND(AA846,3)&amp;"', 'volume_unit' : '"&amp;AF846&amp;"', 'volume_quantity' : '"&amp;ROUND(AD846,3)&amp;"', 'pieces_unit' : '"&amp;AI846&amp;"', 'pieces_quantity' : '"&amp;ROUND(AG846,3)&amp;"', 'cooking_notes' : '"&amp;AJ846&amp;"'}).status_code; print('%s :: %s :: %s :: %s :: %s' %(a,"&amp;G846&amp;",'"&amp;X846&amp;"','"&amp;Y846&amp;"','"&amp;U846&amp;"'))"</f>
        <v>a = Client().post('/recipes/lapsi/detail/', {'recipe' : '41', 'ingredient' : '8', 'name' : 'Alu', 'mass_unit' : '2', 'mass_quantity' : '5', 'volume_unit' : '1', 'volume_quantity' : '0', 'pieces_unit' : '3', 'pieces_quantity' : '0', 'cooking_notes' : ''}).status_code; print('%s :: %s :: %s :: %s :: %s' %(a,846,'Alu','alu','Lapsi'))</v>
      </c>
    </row>
    <row r="847" customFormat="false" ht="13.8" hidden="false" customHeight="false" outlineLevel="0" collapsed="false">
      <c r="G847" s="80" t="n">
        <v>847</v>
      </c>
      <c r="H847" s="83"/>
      <c r="I847" s="83" t="s">
        <v>232</v>
      </c>
      <c r="J847" s="83" t="s">
        <v>21</v>
      </c>
      <c r="K847" s="61" t="n">
        <v>5</v>
      </c>
      <c r="L847" s="61" t="s">
        <v>7</v>
      </c>
      <c r="R847" s="82" t="str">
        <f aca="false">VLOOKUP(J847,ingredient!$N$4:$O$553,2,0)</f>
        <v>tomato</v>
      </c>
      <c r="U847" s="81" t="str">
        <f aca="false">I847</f>
        <v>Lapsi</v>
      </c>
      <c r="V847" s="81" t="n">
        <f aca="false">VLOOKUP(U847,recipe_ingred_list!$A$2:$B$300,2,0)</f>
        <v>41</v>
      </c>
      <c r="W847" s="81" t="str">
        <f aca="false">"/recipes/"&amp;VLOOKUP(U847,recipe_ingred_list!$A$2:$C$300,3,0)&amp;"/detail/"</f>
        <v>/recipes/lapsi/detail/</v>
      </c>
      <c r="X847" s="81" t="str">
        <f aca="false">J847</f>
        <v>Tomato</v>
      </c>
      <c r="Y847" s="81" t="str">
        <f aca="false">R847</f>
        <v>tomato</v>
      </c>
      <c r="Z847" s="94" t="n">
        <f aca="false">VLOOKUP(Y847,recipe_ingred_list!$D$2:$E$500,2,0)</f>
        <v>195</v>
      </c>
      <c r="AA847" s="61" t="n">
        <f aca="false">K847</f>
        <v>5</v>
      </c>
      <c r="AB847" s="61" t="str">
        <f aca="false">L847</f>
        <v>kg</v>
      </c>
      <c r="AC847" s="61" t="n">
        <f aca="false">VLOOKUP(AB847,recipe_ingred_list!$K$2:$M$7,3,0)</f>
        <v>2</v>
      </c>
      <c r="AD847" s="61" t="n">
        <f aca="false">M847</f>
        <v>0</v>
      </c>
      <c r="AE847" s="61" t="n">
        <f aca="false">N847</f>
        <v>0</v>
      </c>
      <c r="AF847" s="61" t="n">
        <f aca="false">VLOOKUP(AE847,recipe_ingred_list!$K$16:$M$25,3,0)</f>
        <v>1</v>
      </c>
      <c r="AG847" s="61" t="n">
        <f aca="false">O847</f>
        <v>0</v>
      </c>
      <c r="AH847" s="61" t="n">
        <f aca="false">P847</f>
        <v>0</v>
      </c>
      <c r="AI847" s="61" t="n">
        <f aca="false">VLOOKUP(AH847,recipe_ingred_list!$K$29:$M$34,3,0)</f>
        <v>3</v>
      </c>
      <c r="AJ847" s="61" t="str">
        <f aca="false">IF(Q847="","",Q847)</f>
        <v/>
      </c>
      <c r="AK847" s="61" t="n">
        <f aca="false">AK846+1</f>
        <v>847</v>
      </c>
      <c r="AL847" s="61" t="str">
        <f aca="false">Y847</f>
        <v>tomato</v>
      </c>
      <c r="AM847" s="81" t="str">
        <f aca="false">"a = Client().post('"&amp;W847&amp;"', {'recipe' : '"&amp;V847&amp;"', 'ingredient' : '"&amp;Z847&amp;"', 'name' : '"&amp;X847&amp;"', 'mass_unit' : '"&amp;AC847&amp;"', 'mass_quantity' : '"&amp;ROUND(AA847,3)&amp;"', 'volume_unit' : '"&amp;AF847&amp;"', 'volume_quantity' : '"&amp;ROUND(AD847,3)&amp;"', 'pieces_unit' : '"&amp;AI847&amp;"', 'pieces_quantity' : '"&amp;ROUND(AG847,3)&amp;"', 'cooking_notes' : '"&amp;AJ847&amp;"'}).status_code; print('%s :: %s :: %s :: %s :: %s' %(a,"&amp;G847&amp;",'"&amp;X847&amp;"','"&amp;Y847&amp;"','"&amp;U847&amp;"'))"</f>
        <v>a = Client().post('/recipes/lapsi/detail/', {'recipe' : '41', 'ingredient' : '195', 'name' : 'Tomato', 'mass_unit' : '2', 'mass_quantity' : '5', 'volume_unit' : '1', 'volume_quantity' : '0', 'pieces_unit' : '3', 'pieces_quantity' : '0', 'cooking_notes' : ''}).status_code; print('%s :: %s :: %s :: %s :: %s' %(a,847,'Tomato','tomato','Lapsi'))</v>
      </c>
    </row>
    <row r="848" customFormat="false" ht="13.8" hidden="false" customHeight="false" outlineLevel="0" collapsed="false">
      <c r="G848" s="80" t="n">
        <v>848</v>
      </c>
      <c r="H848" s="83"/>
      <c r="I848" s="83" t="s">
        <v>232</v>
      </c>
      <c r="J848" s="83" t="s">
        <v>801</v>
      </c>
      <c r="M848" s="61" t="n">
        <v>1</v>
      </c>
      <c r="N848" s="61" t="s">
        <v>13</v>
      </c>
      <c r="R848" s="82" t="str">
        <f aca="false">VLOOKUP(J848,ingredient!$N$4:$O$553,2,0)</f>
        <v>hari mirchi</v>
      </c>
      <c r="U848" s="81" t="str">
        <f aca="false">I848</f>
        <v>Lapsi</v>
      </c>
      <c r="V848" s="81" t="n">
        <f aca="false">VLOOKUP(U848,recipe_ingred_list!$A$2:$B$300,2,0)</f>
        <v>41</v>
      </c>
      <c r="W848" s="81" t="str">
        <f aca="false">"/recipes/"&amp;VLOOKUP(U848,recipe_ingred_list!$A$2:$C$300,3,0)&amp;"/detail/"</f>
        <v>/recipes/lapsi/detail/</v>
      </c>
      <c r="X848" s="81" t="str">
        <f aca="false">J848</f>
        <v>green chilly</v>
      </c>
      <c r="Y848" s="81" t="str">
        <f aca="false">R848</f>
        <v>hari mirchi</v>
      </c>
      <c r="Z848" s="94" t="n">
        <f aca="false">VLOOKUP(Y848,recipe_ingred_list!$D$2:$E$500,2,0)</f>
        <v>93</v>
      </c>
      <c r="AA848" s="61" t="n">
        <f aca="false">K848</f>
        <v>0</v>
      </c>
      <c r="AB848" s="61" t="n">
        <f aca="false">L848</f>
        <v>0</v>
      </c>
      <c r="AC848" s="61" t="n">
        <f aca="false">VLOOKUP(AB848,recipe_ingred_list!$K$2:$M$7,3,0)</f>
        <v>2</v>
      </c>
      <c r="AD848" s="61" t="n">
        <f aca="false">M848</f>
        <v>1</v>
      </c>
      <c r="AE848" s="61" t="str">
        <f aca="false">N848</f>
        <v>ltr</v>
      </c>
      <c r="AF848" s="61" t="n">
        <f aca="false">VLOOKUP(AE848,recipe_ingred_list!$K$16:$M$25,3,0)</f>
        <v>1</v>
      </c>
      <c r="AG848" s="61" t="n">
        <f aca="false">O848</f>
        <v>0</v>
      </c>
      <c r="AH848" s="61" t="n">
        <f aca="false">P848</f>
        <v>0</v>
      </c>
      <c r="AI848" s="61" t="n">
        <f aca="false">VLOOKUP(AH848,recipe_ingred_list!$K$29:$M$34,3,0)</f>
        <v>3</v>
      </c>
      <c r="AJ848" s="61" t="str">
        <f aca="false">IF(Q848="","",Q848)</f>
        <v/>
      </c>
      <c r="AK848" s="61" t="n">
        <f aca="false">AK847+1</f>
        <v>848</v>
      </c>
      <c r="AL848" s="61" t="str">
        <f aca="false">Y848</f>
        <v>hari mirchi</v>
      </c>
      <c r="AM848" s="81" t="str">
        <f aca="false">"a = Client().post('"&amp;W848&amp;"', {'recipe' : '"&amp;V848&amp;"', 'ingredient' : '"&amp;Z848&amp;"', 'name' : '"&amp;X848&amp;"', 'mass_unit' : '"&amp;AC848&amp;"', 'mass_quantity' : '"&amp;ROUND(AA848,3)&amp;"', 'volume_unit' : '"&amp;AF848&amp;"', 'volume_quantity' : '"&amp;ROUND(AD848,3)&amp;"', 'pieces_unit' : '"&amp;AI848&amp;"', 'pieces_quantity' : '"&amp;ROUND(AG848,3)&amp;"', 'cooking_notes' : '"&amp;AJ848&amp;"'}).status_code; print('%s :: %s :: %s :: %s :: %s' %(a,"&amp;G848&amp;",'"&amp;X848&amp;"','"&amp;Y848&amp;"','"&amp;U848&amp;"'))"</f>
        <v>a = Client().post('/recipes/lapsi/detail/', {'recipe' : '41', 'ingredient' : '93', 'name' : 'green chilly', 'mass_unit' : '2', 'mass_quantity' : '0', 'volume_unit' : '1', 'volume_quantity' : '1', 'pieces_unit' : '3', 'pieces_quantity' : '0', 'cooking_notes' : ''}).status_code; print('%s :: %s :: %s :: %s :: %s' %(a,848,'green chilly','hari mirchi','Lapsi'))</v>
      </c>
    </row>
    <row r="849" customFormat="false" ht="13.8" hidden="false" customHeight="false" outlineLevel="0" collapsed="false">
      <c r="G849" s="80" t="n">
        <v>849</v>
      </c>
      <c r="H849" s="83"/>
      <c r="I849" s="83" t="s">
        <v>232</v>
      </c>
      <c r="J849" s="83" t="s">
        <v>23</v>
      </c>
      <c r="M849" s="61" t="n">
        <v>3</v>
      </c>
      <c r="N849" s="61" t="s">
        <v>13</v>
      </c>
      <c r="R849" s="82" t="str">
        <f aca="false">VLOOKUP(J849,ingredient!$N$4:$O$553,2,0)</f>
        <v>dhaniya patta</v>
      </c>
      <c r="U849" s="81" t="str">
        <f aca="false">I849</f>
        <v>Lapsi</v>
      </c>
      <c r="V849" s="81" t="n">
        <f aca="false">VLOOKUP(U849,recipe_ingred_list!$A$2:$B$300,2,0)</f>
        <v>41</v>
      </c>
      <c r="W849" s="81" t="str">
        <f aca="false">"/recipes/"&amp;VLOOKUP(U849,recipe_ingred_list!$A$2:$C$300,3,0)&amp;"/detail/"</f>
        <v>/recipes/lapsi/detail/</v>
      </c>
      <c r="X849" s="81" t="str">
        <f aca="false">J849</f>
        <v>Dhania patta</v>
      </c>
      <c r="Y849" s="81" t="str">
        <f aca="false">R849</f>
        <v>dhaniya patta</v>
      </c>
      <c r="Z849" s="94" t="n">
        <f aca="false">VLOOKUP(Y849,recipe_ingred_list!$D$2:$E$500,2,0)</f>
        <v>66</v>
      </c>
      <c r="AA849" s="61" t="n">
        <f aca="false">K849</f>
        <v>0</v>
      </c>
      <c r="AB849" s="61" t="n">
        <f aca="false">L849</f>
        <v>0</v>
      </c>
      <c r="AC849" s="61" t="n">
        <f aca="false">VLOOKUP(AB849,recipe_ingred_list!$K$2:$M$7,3,0)</f>
        <v>2</v>
      </c>
      <c r="AD849" s="61" t="n">
        <f aca="false">M849</f>
        <v>3</v>
      </c>
      <c r="AE849" s="61" t="str">
        <f aca="false">N849</f>
        <v>ltr</v>
      </c>
      <c r="AF849" s="61" t="n">
        <f aca="false">VLOOKUP(AE849,recipe_ingred_list!$K$16:$M$25,3,0)</f>
        <v>1</v>
      </c>
      <c r="AG849" s="61" t="n">
        <f aca="false">O849</f>
        <v>0</v>
      </c>
      <c r="AH849" s="61" t="n">
        <f aca="false">P849</f>
        <v>0</v>
      </c>
      <c r="AI849" s="61" t="n">
        <f aca="false">VLOOKUP(AH849,recipe_ingred_list!$K$29:$M$34,3,0)</f>
        <v>3</v>
      </c>
      <c r="AJ849" s="61" t="str">
        <f aca="false">IF(Q849="","",Q849)</f>
        <v/>
      </c>
      <c r="AK849" s="61" t="n">
        <f aca="false">AK848+1</f>
        <v>849</v>
      </c>
      <c r="AL849" s="61" t="str">
        <f aca="false">Y849</f>
        <v>dhaniya patta</v>
      </c>
      <c r="AM849" s="81" t="str">
        <f aca="false">"a = Client().post('"&amp;W849&amp;"', {'recipe' : '"&amp;V849&amp;"', 'ingredient' : '"&amp;Z849&amp;"', 'name' : '"&amp;X849&amp;"', 'mass_unit' : '"&amp;AC849&amp;"', 'mass_quantity' : '"&amp;ROUND(AA849,3)&amp;"', 'volume_unit' : '"&amp;AF849&amp;"', 'volume_quantity' : '"&amp;ROUND(AD849,3)&amp;"', 'pieces_unit' : '"&amp;AI849&amp;"', 'pieces_quantity' : '"&amp;ROUND(AG849,3)&amp;"', 'cooking_notes' : '"&amp;AJ849&amp;"'}).status_code; print('%s :: %s :: %s :: %s :: %s' %(a,"&amp;G849&amp;",'"&amp;X849&amp;"','"&amp;Y849&amp;"','"&amp;U849&amp;"'))"</f>
        <v>a = Client().post('/recipes/lapsi/detail/', {'recipe' : '41', 'ingredient' : '66', 'name' : 'Dhania patta', 'mass_unit' : '2', 'mass_quantity' : '0', 'volume_unit' : '1', 'volume_quantity' : '3', 'pieces_unit' : '3', 'pieces_quantity' : '0', 'cooking_notes' : ''}).status_code; print('%s :: %s :: %s :: %s :: %s' %(a,849,'Dhania patta','dhaniya patta','Lapsi'))</v>
      </c>
    </row>
    <row r="850" customFormat="false" ht="13.8" hidden="false" customHeight="false" outlineLevel="0" collapsed="false">
      <c r="G850" s="80" t="n">
        <v>850</v>
      </c>
      <c r="H850" s="83"/>
      <c r="I850" s="83" t="s">
        <v>232</v>
      </c>
      <c r="J850" s="83" t="s">
        <v>802</v>
      </c>
      <c r="M850" s="61" t="n">
        <v>0.5</v>
      </c>
      <c r="N850" s="61" t="s">
        <v>13</v>
      </c>
      <c r="R850" s="82" t="str">
        <f aca="false">VLOOKUP(J850,ingredient!$N$4:$O$553,2,0)</f>
        <v>adrak</v>
      </c>
      <c r="U850" s="81" t="str">
        <f aca="false">I850</f>
        <v>Lapsi</v>
      </c>
      <c r="V850" s="81" t="n">
        <f aca="false">VLOOKUP(U850,recipe_ingred_list!$A$2:$B$300,2,0)</f>
        <v>41</v>
      </c>
      <c r="W850" s="81" t="str">
        <f aca="false">"/recipes/"&amp;VLOOKUP(U850,recipe_ingred_list!$A$2:$C$300,3,0)&amp;"/detail/"</f>
        <v>/recipes/lapsi/detail/</v>
      </c>
      <c r="X850" s="81" t="str">
        <f aca="false">J850</f>
        <v>ginger</v>
      </c>
      <c r="Y850" s="81" t="str">
        <f aca="false">R850</f>
        <v>adrak</v>
      </c>
      <c r="Z850" s="94" t="n">
        <f aca="false">VLOOKUP(Y850,recipe_ingred_list!$D$2:$E$500,2,0)</f>
        <v>1</v>
      </c>
      <c r="AA850" s="61" t="n">
        <f aca="false">K850</f>
        <v>0</v>
      </c>
      <c r="AB850" s="61" t="n">
        <f aca="false">L850</f>
        <v>0</v>
      </c>
      <c r="AC850" s="61" t="n">
        <f aca="false">VLOOKUP(AB850,recipe_ingred_list!$K$2:$M$7,3,0)</f>
        <v>2</v>
      </c>
      <c r="AD850" s="61" t="n">
        <f aca="false">M850</f>
        <v>0.5</v>
      </c>
      <c r="AE850" s="61" t="str">
        <f aca="false">N850</f>
        <v>ltr</v>
      </c>
      <c r="AF850" s="61" t="n">
        <f aca="false">VLOOKUP(AE850,recipe_ingred_list!$K$16:$M$25,3,0)</f>
        <v>1</v>
      </c>
      <c r="AG850" s="61" t="n">
        <f aca="false">O850</f>
        <v>0</v>
      </c>
      <c r="AH850" s="61" t="n">
        <f aca="false">P850</f>
        <v>0</v>
      </c>
      <c r="AI850" s="61" t="n">
        <f aca="false">VLOOKUP(AH850,recipe_ingred_list!$K$29:$M$34,3,0)</f>
        <v>3</v>
      </c>
      <c r="AJ850" s="61" t="str">
        <f aca="false">IF(Q850="","",Q850)</f>
        <v/>
      </c>
      <c r="AK850" s="61" t="n">
        <f aca="false">AK849+1</f>
        <v>850</v>
      </c>
      <c r="AL850" s="61" t="str">
        <f aca="false">Y850</f>
        <v>adrak</v>
      </c>
      <c r="AM850" s="81" t="str">
        <f aca="false">"a = Client().post('"&amp;W850&amp;"', {'recipe' : '"&amp;V850&amp;"', 'ingredient' : '"&amp;Z850&amp;"', 'name' : '"&amp;X850&amp;"', 'mass_unit' : '"&amp;AC850&amp;"', 'mass_quantity' : '"&amp;ROUND(AA850,3)&amp;"', 'volume_unit' : '"&amp;AF850&amp;"', 'volume_quantity' : '"&amp;ROUND(AD850,3)&amp;"', 'pieces_unit' : '"&amp;AI850&amp;"', 'pieces_quantity' : '"&amp;ROUND(AG850,3)&amp;"', 'cooking_notes' : '"&amp;AJ850&amp;"'}).status_code; print('%s :: %s :: %s :: %s :: %s' %(a,"&amp;G850&amp;",'"&amp;X850&amp;"','"&amp;Y850&amp;"','"&amp;U850&amp;"'))"</f>
        <v>a = Client().post('/recipes/lapsi/detail/', {'recipe' : '41', 'ingredient' : '1', 'name' : 'ginger', 'mass_unit' : '2', 'mass_quantity' : '0', 'volume_unit' : '1', 'volume_quantity' : '0.5', 'pieces_unit' : '3', 'pieces_quantity' : '0', 'cooking_notes' : ''}).status_code; print('%s :: %s :: %s :: %s :: %s' %(a,850,'ginger','adrak','Lapsi'))</v>
      </c>
    </row>
    <row r="851" customFormat="false" ht="13.8" hidden="false" customHeight="false" outlineLevel="0" collapsed="false">
      <c r="G851" s="80" t="n">
        <v>851</v>
      </c>
      <c r="H851" s="83"/>
      <c r="I851" s="83" t="s">
        <v>232</v>
      </c>
      <c r="J851" s="83" t="s">
        <v>803</v>
      </c>
      <c r="M851" s="61" t="n">
        <v>1</v>
      </c>
      <c r="N851" s="61" t="s">
        <v>13</v>
      </c>
      <c r="R851" s="82" t="str">
        <f aca="false">VLOOKUP(J851,ingredient!$N$4:$O$553,2,0)</f>
        <v>kadi patta</v>
      </c>
      <c r="U851" s="81" t="str">
        <f aca="false">I851</f>
        <v>Lapsi</v>
      </c>
      <c r="V851" s="81" t="n">
        <f aca="false">VLOOKUP(U851,recipe_ingred_list!$A$2:$B$300,2,0)</f>
        <v>41</v>
      </c>
      <c r="W851" s="81" t="str">
        <f aca="false">"/recipes/"&amp;VLOOKUP(U851,recipe_ingred_list!$A$2:$C$300,3,0)&amp;"/detail/"</f>
        <v>/recipes/lapsi/detail/</v>
      </c>
      <c r="X851" s="81" t="str">
        <f aca="false">J851</f>
        <v>kadipatta</v>
      </c>
      <c r="Y851" s="81" t="str">
        <f aca="false">R851</f>
        <v>kadi patta</v>
      </c>
      <c r="Z851" s="94" t="n">
        <f aca="false">VLOOKUP(Y851,recipe_ingred_list!$D$2:$E$500,2,0)</f>
        <v>105</v>
      </c>
      <c r="AA851" s="61" t="n">
        <f aca="false">K851</f>
        <v>0</v>
      </c>
      <c r="AB851" s="61" t="n">
        <f aca="false">L851</f>
        <v>0</v>
      </c>
      <c r="AC851" s="61" t="n">
        <f aca="false">VLOOKUP(AB851,recipe_ingred_list!$K$2:$M$7,3,0)</f>
        <v>2</v>
      </c>
      <c r="AD851" s="61" t="n">
        <f aca="false">M851</f>
        <v>1</v>
      </c>
      <c r="AE851" s="61" t="str">
        <f aca="false">N851</f>
        <v>ltr</v>
      </c>
      <c r="AF851" s="61" t="n">
        <f aca="false">VLOOKUP(AE851,recipe_ingred_list!$K$16:$M$25,3,0)</f>
        <v>1</v>
      </c>
      <c r="AG851" s="61" t="n">
        <f aca="false">O851</f>
        <v>0</v>
      </c>
      <c r="AH851" s="61" t="n">
        <f aca="false">P851</f>
        <v>0</v>
      </c>
      <c r="AI851" s="61" t="n">
        <f aca="false">VLOOKUP(AH851,recipe_ingred_list!$K$29:$M$34,3,0)</f>
        <v>3</v>
      </c>
      <c r="AJ851" s="61" t="str">
        <f aca="false">IF(Q851="","",Q851)</f>
        <v/>
      </c>
      <c r="AK851" s="61" t="n">
        <f aca="false">AK850+1</f>
        <v>851</v>
      </c>
      <c r="AL851" s="61" t="str">
        <f aca="false">Y851</f>
        <v>kadi patta</v>
      </c>
      <c r="AM851" s="81" t="str">
        <f aca="false">"a = Client().post('"&amp;W851&amp;"', {'recipe' : '"&amp;V851&amp;"', 'ingredient' : '"&amp;Z851&amp;"', 'name' : '"&amp;X851&amp;"', 'mass_unit' : '"&amp;AC851&amp;"', 'mass_quantity' : '"&amp;ROUND(AA851,3)&amp;"', 'volume_unit' : '"&amp;AF851&amp;"', 'volume_quantity' : '"&amp;ROUND(AD851,3)&amp;"', 'pieces_unit' : '"&amp;AI851&amp;"', 'pieces_quantity' : '"&amp;ROUND(AG851,3)&amp;"', 'cooking_notes' : '"&amp;AJ851&amp;"'}).status_code; print('%s :: %s :: %s :: %s :: %s' %(a,"&amp;G851&amp;",'"&amp;X851&amp;"','"&amp;Y851&amp;"','"&amp;U851&amp;"'))"</f>
        <v>a = Client().post('/recipes/lapsi/detail/', {'recipe' : '41', 'ingredient' : '105', 'name' : 'kadipatta', 'mass_unit' : '2', 'mass_quantity' : '0', 'volume_unit' : '1', 'volume_quantity' : '1', 'pieces_unit' : '3', 'pieces_quantity' : '0', 'cooking_notes' : ''}).status_code; print('%s :: %s :: %s :: %s :: %s' %(a,851,'kadipatta','kadi patta','Lapsi'))</v>
      </c>
    </row>
    <row r="852" customFormat="false" ht="13.8" hidden="false" customHeight="false" outlineLevel="0" collapsed="false">
      <c r="G852" s="80" t="n">
        <v>852</v>
      </c>
      <c r="H852" s="83"/>
      <c r="I852" s="83" t="s">
        <v>232</v>
      </c>
      <c r="J852" s="83" t="s">
        <v>393</v>
      </c>
      <c r="M852" s="61" t="n">
        <v>80</v>
      </c>
      <c r="N852" s="61" t="s">
        <v>13</v>
      </c>
      <c r="R852" s="82" t="str">
        <f aca="false">VLOOKUP(J852,ingredient!$N$4:$O$553,2,0)</f>
        <v>hot water</v>
      </c>
      <c r="U852" s="81" t="str">
        <f aca="false">I852</f>
        <v>Lapsi</v>
      </c>
      <c r="V852" s="81" t="n">
        <f aca="false">VLOOKUP(U852,recipe_ingred_list!$A$2:$B$300,2,0)</f>
        <v>41</v>
      </c>
      <c r="W852" s="81" t="str">
        <f aca="false">"/recipes/"&amp;VLOOKUP(U852,recipe_ingred_list!$A$2:$C$300,3,0)&amp;"/detail/"</f>
        <v>/recipes/lapsi/detail/</v>
      </c>
      <c r="X852" s="81" t="str">
        <f aca="false">J852</f>
        <v>hot water</v>
      </c>
      <c r="Y852" s="81" t="str">
        <f aca="false">R852</f>
        <v>hot water</v>
      </c>
      <c r="Z852" s="94" t="n">
        <f aca="false">VLOOKUP(Y852,recipe_ingred_list!$D$2:$E$500,2,0)</f>
        <v>97</v>
      </c>
      <c r="AA852" s="61" t="n">
        <f aca="false">K852</f>
        <v>0</v>
      </c>
      <c r="AB852" s="61" t="n">
        <f aca="false">L852</f>
        <v>0</v>
      </c>
      <c r="AC852" s="61" t="n">
        <f aca="false">VLOOKUP(AB852,recipe_ingred_list!$K$2:$M$7,3,0)</f>
        <v>2</v>
      </c>
      <c r="AD852" s="61" t="n">
        <f aca="false">M852</f>
        <v>80</v>
      </c>
      <c r="AE852" s="61" t="str">
        <f aca="false">N852</f>
        <v>ltr</v>
      </c>
      <c r="AF852" s="61" t="n">
        <f aca="false">VLOOKUP(AE852,recipe_ingred_list!$K$16:$M$25,3,0)</f>
        <v>1</v>
      </c>
      <c r="AG852" s="61" t="n">
        <f aca="false">O852</f>
        <v>0</v>
      </c>
      <c r="AH852" s="61" t="n">
        <f aca="false">P852</f>
        <v>0</v>
      </c>
      <c r="AI852" s="61" t="n">
        <f aca="false">VLOOKUP(AH852,recipe_ingred_list!$K$29:$M$34,3,0)</f>
        <v>3</v>
      </c>
      <c r="AJ852" s="61" t="str">
        <f aca="false">IF(Q852="","",Q852)</f>
        <v/>
      </c>
      <c r="AK852" s="61" t="n">
        <f aca="false">AK851+1</f>
        <v>852</v>
      </c>
      <c r="AL852" s="61" t="str">
        <f aca="false">Y852</f>
        <v>hot water</v>
      </c>
      <c r="AM852" s="81" t="str">
        <f aca="false">"a = Client().post('"&amp;W852&amp;"', {'recipe' : '"&amp;V852&amp;"', 'ingredient' : '"&amp;Z852&amp;"', 'name' : '"&amp;X852&amp;"', 'mass_unit' : '"&amp;AC852&amp;"', 'mass_quantity' : '"&amp;ROUND(AA852,3)&amp;"', 'volume_unit' : '"&amp;AF852&amp;"', 'volume_quantity' : '"&amp;ROUND(AD852,3)&amp;"', 'pieces_unit' : '"&amp;AI852&amp;"', 'pieces_quantity' : '"&amp;ROUND(AG852,3)&amp;"', 'cooking_notes' : '"&amp;AJ852&amp;"'}).status_code; print('%s :: %s :: %s :: %s :: %s' %(a,"&amp;G852&amp;",'"&amp;X852&amp;"','"&amp;Y852&amp;"','"&amp;U852&amp;"'))"</f>
        <v>a = Client().post('/recipes/lapsi/detail/', {'recipe' : '41', 'ingredient' : '97', 'name' : 'hot water', 'mass_unit' : '2', 'mass_quantity' : '0', 'volume_unit' : '1', 'volume_quantity' : '80', 'pieces_unit' : '3', 'pieces_quantity' : '0', 'cooking_notes' : ''}).status_code; print('%s :: %s :: %s :: %s :: %s' %(a,852,'hot water','hot water','Lapsi'))</v>
      </c>
    </row>
    <row r="853" customFormat="false" ht="13.8" hidden="false" customHeight="false" outlineLevel="0" collapsed="false">
      <c r="G853" s="80" t="n">
        <v>853</v>
      </c>
      <c r="H853" s="83"/>
      <c r="I853" s="83" t="s">
        <v>232</v>
      </c>
      <c r="J853" s="83" t="s">
        <v>232</v>
      </c>
      <c r="K853" s="61" t="n">
        <v>25</v>
      </c>
      <c r="L853" s="61" t="s">
        <v>7</v>
      </c>
      <c r="R853" s="82" t="str">
        <f aca="false">VLOOKUP(J853,ingredient!$N$4:$O$553,2,0)</f>
        <v>lapsi</v>
      </c>
      <c r="U853" s="81" t="str">
        <f aca="false">I853</f>
        <v>Lapsi</v>
      </c>
      <c r="V853" s="81" t="n">
        <f aca="false">VLOOKUP(U853,recipe_ingred_list!$A$2:$B$300,2,0)</f>
        <v>41</v>
      </c>
      <c r="W853" s="81" t="str">
        <f aca="false">"/recipes/"&amp;VLOOKUP(U853,recipe_ingred_list!$A$2:$C$300,3,0)&amp;"/detail/"</f>
        <v>/recipes/lapsi/detail/</v>
      </c>
      <c r="X853" s="81" t="str">
        <f aca="false">J853</f>
        <v>Lapsi</v>
      </c>
      <c r="Y853" s="81" t="str">
        <f aca="false">R853</f>
        <v>lapsi</v>
      </c>
      <c r="Z853" s="94" t="n">
        <f aca="false">VLOOKUP(Y853,recipe_ingred_list!$D$2:$E$500,2,0)</f>
        <v>127</v>
      </c>
      <c r="AA853" s="61" t="n">
        <f aca="false">K853</f>
        <v>25</v>
      </c>
      <c r="AB853" s="61" t="str">
        <f aca="false">L853</f>
        <v>kg</v>
      </c>
      <c r="AC853" s="61" t="n">
        <f aca="false">VLOOKUP(AB853,recipe_ingred_list!$K$2:$M$7,3,0)</f>
        <v>2</v>
      </c>
      <c r="AD853" s="61" t="n">
        <f aca="false">M853</f>
        <v>0</v>
      </c>
      <c r="AE853" s="61" t="n">
        <f aca="false">N853</f>
        <v>0</v>
      </c>
      <c r="AF853" s="61" t="n">
        <f aca="false">VLOOKUP(AE853,recipe_ingred_list!$K$16:$M$25,3,0)</f>
        <v>1</v>
      </c>
      <c r="AG853" s="61" t="n">
        <f aca="false">O853</f>
        <v>0</v>
      </c>
      <c r="AH853" s="61" t="n">
        <f aca="false">P853</f>
        <v>0</v>
      </c>
      <c r="AI853" s="61" t="n">
        <f aca="false">VLOOKUP(AH853,recipe_ingred_list!$K$29:$M$34,3,0)</f>
        <v>3</v>
      </c>
      <c r="AJ853" s="61" t="str">
        <f aca="false">IF(Q853="","",Q853)</f>
        <v/>
      </c>
      <c r="AK853" s="61" t="n">
        <f aca="false">AK852+1</f>
        <v>853</v>
      </c>
      <c r="AL853" s="61" t="str">
        <f aca="false">Y853</f>
        <v>lapsi</v>
      </c>
      <c r="AM853" s="81" t="str">
        <f aca="false">"a = Client().post('"&amp;W853&amp;"', {'recipe' : '"&amp;V853&amp;"', 'ingredient' : '"&amp;Z853&amp;"', 'name' : '"&amp;X853&amp;"', 'mass_unit' : '"&amp;AC853&amp;"', 'mass_quantity' : '"&amp;ROUND(AA853,3)&amp;"', 'volume_unit' : '"&amp;AF853&amp;"', 'volume_quantity' : '"&amp;ROUND(AD853,3)&amp;"', 'pieces_unit' : '"&amp;AI853&amp;"', 'pieces_quantity' : '"&amp;ROUND(AG853,3)&amp;"', 'cooking_notes' : '"&amp;AJ853&amp;"'}).status_code; print('%s :: %s :: %s :: %s :: %s' %(a,"&amp;G853&amp;",'"&amp;X853&amp;"','"&amp;Y853&amp;"','"&amp;U853&amp;"'))"</f>
        <v>a = Client().post('/recipes/lapsi/detail/', {'recipe' : '41', 'ingredient' : '127', 'name' : 'Lapsi', 'mass_unit' : '2', 'mass_quantity' : '25', 'volume_unit' : '1', 'volume_quantity' : '0', 'pieces_unit' : '3', 'pieces_quantity' : '0', 'cooking_notes' : ''}).status_code; print('%s :: %s :: %s :: %s :: %s' %(a,853,'Lapsi','lapsi','Lapsi'))</v>
      </c>
    </row>
    <row r="854" customFormat="false" ht="13.8" hidden="false" customHeight="false" outlineLevel="0" collapsed="false">
      <c r="G854" s="80" t="n">
        <v>854</v>
      </c>
      <c r="H854" s="83"/>
      <c r="I854" s="83" t="s">
        <v>232</v>
      </c>
      <c r="J854" s="83" t="s">
        <v>805</v>
      </c>
      <c r="M854" s="61" t="n">
        <v>5</v>
      </c>
      <c r="N854" s="61" t="s">
        <v>13</v>
      </c>
      <c r="R854" s="82" t="str">
        <f aca="false">VLOOKUP(J854,ingredient!$N$4:$O$553,2,0)</f>
        <v>gound nut oil</v>
      </c>
      <c r="U854" s="81" t="str">
        <f aca="false">I854</f>
        <v>Lapsi</v>
      </c>
      <c r="V854" s="81" t="n">
        <f aca="false">VLOOKUP(U854,recipe_ingred_list!$A$2:$B$300,2,0)</f>
        <v>41</v>
      </c>
      <c r="W854" s="81" t="str">
        <f aca="false">"/recipes/"&amp;VLOOKUP(U854,recipe_ingred_list!$A$2:$C$300,3,0)&amp;"/detail/"</f>
        <v>/recipes/lapsi/detail/</v>
      </c>
      <c r="X854" s="81" t="str">
        <f aca="false">J854</f>
        <v>oil(groundnut)</v>
      </c>
      <c r="Y854" s="81" t="str">
        <f aca="false">R854</f>
        <v>gound nut oil</v>
      </c>
      <c r="Z854" s="94" t="n">
        <f aca="false">VLOOKUP(Y854,recipe_ingred_list!$D$2:$E$500,2,0)</f>
        <v>83</v>
      </c>
      <c r="AA854" s="61" t="n">
        <f aca="false">K854</f>
        <v>0</v>
      </c>
      <c r="AB854" s="61" t="n">
        <f aca="false">L854</f>
        <v>0</v>
      </c>
      <c r="AC854" s="61" t="n">
        <f aca="false">VLOOKUP(AB854,recipe_ingred_list!$K$2:$M$7,3,0)</f>
        <v>2</v>
      </c>
      <c r="AD854" s="61" t="n">
        <f aca="false">M854</f>
        <v>5</v>
      </c>
      <c r="AE854" s="61" t="str">
        <f aca="false">N854</f>
        <v>ltr</v>
      </c>
      <c r="AF854" s="61" t="n">
        <f aca="false">VLOOKUP(AE854,recipe_ingred_list!$K$16:$M$25,3,0)</f>
        <v>1</v>
      </c>
      <c r="AG854" s="61" t="n">
        <f aca="false">O854</f>
        <v>0</v>
      </c>
      <c r="AH854" s="61" t="n">
        <f aca="false">P854</f>
        <v>0</v>
      </c>
      <c r="AI854" s="61" t="n">
        <f aca="false">VLOOKUP(AH854,recipe_ingred_list!$K$29:$M$34,3,0)</f>
        <v>3</v>
      </c>
      <c r="AJ854" s="61" t="str">
        <f aca="false">IF(Q854="","",Q854)</f>
        <v/>
      </c>
      <c r="AK854" s="61" t="n">
        <f aca="false">AK853+1</f>
        <v>854</v>
      </c>
      <c r="AL854" s="61" t="str">
        <f aca="false">Y854</f>
        <v>gound nut oil</v>
      </c>
      <c r="AM854" s="81" t="str">
        <f aca="false">"a = Client().post('"&amp;W854&amp;"', {'recipe' : '"&amp;V854&amp;"', 'ingredient' : '"&amp;Z854&amp;"', 'name' : '"&amp;X854&amp;"', 'mass_unit' : '"&amp;AC854&amp;"', 'mass_quantity' : '"&amp;ROUND(AA854,3)&amp;"', 'volume_unit' : '"&amp;AF854&amp;"', 'volume_quantity' : '"&amp;ROUND(AD854,3)&amp;"', 'pieces_unit' : '"&amp;AI854&amp;"', 'pieces_quantity' : '"&amp;ROUND(AG854,3)&amp;"', 'cooking_notes' : '"&amp;AJ854&amp;"'}).status_code; print('%s :: %s :: %s :: %s :: %s' %(a,"&amp;G854&amp;",'"&amp;X854&amp;"','"&amp;Y854&amp;"','"&amp;U854&amp;"'))"</f>
        <v>a = Client().post('/recipes/lapsi/detail/', {'recipe' : '41', 'ingredient' : '83', 'name' : 'oil(groundnut)', 'mass_unit' : '2', 'mass_quantity' : '0', 'volume_unit' : '1', 'volume_quantity' : '5', 'pieces_unit' : '3', 'pieces_quantity' : '0', 'cooking_notes' : ''}).status_code; print('%s :: %s :: %s :: %s :: %s' %(a,854,'oil(groundnut)','gound nut oil','Lapsi'))</v>
      </c>
    </row>
    <row r="855" customFormat="false" ht="13.8" hidden="false" customHeight="false" outlineLevel="0" collapsed="false">
      <c r="G855" s="80" t="n">
        <v>855</v>
      </c>
      <c r="H855" s="83"/>
      <c r="I855" s="83" t="s">
        <v>232</v>
      </c>
      <c r="J855" s="83" t="s">
        <v>570</v>
      </c>
      <c r="M855" s="61" t="n">
        <v>2</v>
      </c>
      <c r="N855" s="61" t="s">
        <v>20</v>
      </c>
      <c r="R855" s="82" t="str">
        <f aca="false">VLOOKUP(J855,ingredient!$N$4:$O$553,2,0)</f>
        <v>rai</v>
      </c>
      <c r="U855" s="81" t="str">
        <f aca="false">I855</f>
        <v>Lapsi</v>
      </c>
      <c r="V855" s="81" t="n">
        <f aca="false">VLOOKUP(U855,recipe_ingred_list!$A$2:$B$300,2,0)</f>
        <v>41</v>
      </c>
      <c r="W855" s="81" t="str">
        <f aca="false">"/recipes/"&amp;VLOOKUP(U855,recipe_ingred_list!$A$2:$C$300,3,0)&amp;"/detail/"</f>
        <v>/recipes/lapsi/detail/</v>
      </c>
      <c r="X855" s="81" t="str">
        <f aca="false">J855</f>
        <v>Rai</v>
      </c>
      <c r="Y855" s="81" t="str">
        <f aca="false">R855</f>
        <v>rai</v>
      </c>
      <c r="Z855" s="94" t="n">
        <f aca="false">VLOOKUP(Y855,recipe_ingred_list!$D$2:$E$500,2,0)</f>
        <v>164</v>
      </c>
      <c r="AA855" s="61" t="n">
        <f aca="false">K855</f>
        <v>0</v>
      </c>
      <c r="AB855" s="61" t="n">
        <f aca="false">L855</f>
        <v>0</v>
      </c>
      <c r="AC855" s="61" t="n">
        <f aca="false">VLOOKUP(AB855,recipe_ingred_list!$K$2:$M$7,3,0)</f>
        <v>2</v>
      </c>
      <c r="AD855" s="61" t="n">
        <f aca="false">M855</f>
        <v>2</v>
      </c>
      <c r="AE855" s="61" t="str">
        <f aca="false">N855</f>
        <v>cup</v>
      </c>
      <c r="AF855" s="61" t="n">
        <f aca="false">VLOOKUP(AE855,recipe_ingred_list!$K$16:$M$25,3,0)</f>
        <v>5</v>
      </c>
      <c r="AG855" s="61" t="n">
        <f aca="false">O855</f>
        <v>0</v>
      </c>
      <c r="AH855" s="61" t="n">
        <f aca="false">P855</f>
        <v>0</v>
      </c>
      <c r="AI855" s="61" t="n">
        <f aca="false">VLOOKUP(AH855,recipe_ingred_list!$K$29:$M$34,3,0)</f>
        <v>3</v>
      </c>
      <c r="AJ855" s="61" t="str">
        <f aca="false">IF(Q855="","",Q855)</f>
        <v/>
      </c>
      <c r="AK855" s="61" t="n">
        <f aca="false">AK854+1</f>
        <v>855</v>
      </c>
      <c r="AL855" s="61" t="str">
        <f aca="false">Y855</f>
        <v>rai</v>
      </c>
      <c r="AM855" s="81" t="str">
        <f aca="false">"a = Client().post('"&amp;W855&amp;"', {'recipe' : '"&amp;V855&amp;"', 'ingredient' : '"&amp;Z855&amp;"', 'name' : '"&amp;X855&amp;"', 'mass_unit' : '"&amp;AC855&amp;"', 'mass_quantity' : '"&amp;ROUND(AA855,3)&amp;"', 'volume_unit' : '"&amp;AF855&amp;"', 'volume_quantity' : '"&amp;ROUND(AD855,3)&amp;"', 'pieces_unit' : '"&amp;AI855&amp;"', 'pieces_quantity' : '"&amp;ROUND(AG855,3)&amp;"', 'cooking_notes' : '"&amp;AJ855&amp;"'}).status_code; print('%s :: %s :: %s :: %s :: %s' %(a,"&amp;G855&amp;",'"&amp;X855&amp;"','"&amp;Y855&amp;"','"&amp;U855&amp;"'))"</f>
        <v>a = Client().post('/recipes/lapsi/detail/', {'recipe' : '41', 'ingredient' : '164', 'name' : 'Rai', 'mass_unit' : '2', 'mass_quantity' : '0', 'volume_unit' : '5', 'volume_quantity' : '2', 'pieces_unit' : '3', 'pieces_quantity' : '0', 'cooking_notes' : ''}).status_code; print('%s :: %s :: %s :: %s :: %s' %(a,855,'Rai','rai','Lapsi'))</v>
      </c>
    </row>
    <row r="856" customFormat="false" ht="13.8" hidden="false" customHeight="false" outlineLevel="0" collapsed="false">
      <c r="G856" s="80" t="n">
        <v>856</v>
      </c>
      <c r="H856" s="83"/>
      <c r="I856" s="83" t="s">
        <v>232</v>
      </c>
      <c r="J856" s="83" t="s">
        <v>14</v>
      </c>
      <c r="M856" s="61" t="n">
        <v>2</v>
      </c>
      <c r="N856" s="61" t="s">
        <v>20</v>
      </c>
      <c r="R856" s="82" t="str">
        <f aca="false">VLOOKUP(J856,ingredient!$N$4:$O$553,2,0)</f>
        <v>jeera</v>
      </c>
      <c r="U856" s="81" t="str">
        <f aca="false">I856</f>
        <v>Lapsi</v>
      </c>
      <c r="V856" s="81" t="n">
        <f aca="false">VLOOKUP(U856,recipe_ingred_list!$A$2:$B$300,2,0)</f>
        <v>41</v>
      </c>
      <c r="W856" s="81" t="str">
        <f aca="false">"/recipes/"&amp;VLOOKUP(U856,recipe_ingred_list!$A$2:$C$300,3,0)&amp;"/detail/"</f>
        <v>/recipes/lapsi/detail/</v>
      </c>
      <c r="X856" s="81" t="str">
        <f aca="false">J856</f>
        <v>Jeera</v>
      </c>
      <c r="Y856" s="81" t="str">
        <f aca="false">R856</f>
        <v>jeera</v>
      </c>
      <c r="Z856" s="94" t="n">
        <f aca="false">VLOOKUP(Y856,recipe_ingred_list!$D$2:$E$500,2,0)</f>
        <v>102</v>
      </c>
      <c r="AA856" s="61" t="n">
        <f aca="false">K856</f>
        <v>0</v>
      </c>
      <c r="AB856" s="61" t="n">
        <f aca="false">L856</f>
        <v>0</v>
      </c>
      <c r="AC856" s="61" t="n">
        <f aca="false">VLOOKUP(AB856,recipe_ingred_list!$K$2:$M$7,3,0)</f>
        <v>2</v>
      </c>
      <c r="AD856" s="61" t="n">
        <f aca="false">M856</f>
        <v>2</v>
      </c>
      <c r="AE856" s="61" t="str">
        <f aca="false">N856</f>
        <v>cup</v>
      </c>
      <c r="AF856" s="61" t="n">
        <f aca="false">VLOOKUP(AE856,recipe_ingred_list!$K$16:$M$25,3,0)</f>
        <v>5</v>
      </c>
      <c r="AG856" s="61" t="n">
        <f aca="false">O856</f>
        <v>0</v>
      </c>
      <c r="AH856" s="61" t="n">
        <f aca="false">P856</f>
        <v>0</v>
      </c>
      <c r="AI856" s="61" t="n">
        <f aca="false">VLOOKUP(AH856,recipe_ingred_list!$K$29:$M$34,3,0)</f>
        <v>3</v>
      </c>
      <c r="AJ856" s="61" t="str">
        <f aca="false">IF(Q856="","",Q856)</f>
        <v/>
      </c>
      <c r="AK856" s="61" t="n">
        <f aca="false">AK855+1</f>
        <v>856</v>
      </c>
      <c r="AL856" s="61" t="str">
        <f aca="false">Y856</f>
        <v>jeera</v>
      </c>
      <c r="AM856" s="81" t="str">
        <f aca="false">"a = Client().post('"&amp;W856&amp;"', {'recipe' : '"&amp;V856&amp;"', 'ingredient' : '"&amp;Z856&amp;"', 'name' : '"&amp;X856&amp;"', 'mass_unit' : '"&amp;AC856&amp;"', 'mass_quantity' : '"&amp;ROUND(AA856,3)&amp;"', 'volume_unit' : '"&amp;AF856&amp;"', 'volume_quantity' : '"&amp;ROUND(AD856,3)&amp;"', 'pieces_unit' : '"&amp;AI856&amp;"', 'pieces_quantity' : '"&amp;ROUND(AG856,3)&amp;"', 'cooking_notes' : '"&amp;AJ856&amp;"'}).status_code; print('%s :: %s :: %s :: %s :: %s' %(a,"&amp;G856&amp;",'"&amp;X856&amp;"','"&amp;Y856&amp;"','"&amp;U856&amp;"'))"</f>
        <v>a = Client().post('/recipes/lapsi/detail/', {'recipe' : '41', 'ingredient' : '102', 'name' : 'Jeera', 'mass_unit' : '2', 'mass_quantity' : '0', 'volume_unit' : '5', 'volume_quantity' : '2', 'pieces_unit' : '3', 'pieces_quantity' : '0', 'cooking_notes' : ''}).status_code; print('%s :: %s :: %s :: %s :: %s' %(a,856,'Jeera','jeera','Lapsi'))</v>
      </c>
    </row>
    <row r="857" customFormat="false" ht="13.8" hidden="false" customHeight="false" outlineLevel="0" collapsed="false">
      <c r="G857" s="80" t="n">
        <v>857</v>
      </c>
      <c r="H857" s="83"/>
      <c r="I857" s="83" t="s">
        <v>232</v>
      </c>
      <c r="J857" s="83" t="s">
        <v>165</v>
      </c>
      <c r="M857" s="61" t="n">
        <v>2.5</v>
      </c>
      <c r="N857" s="61" t="s">
        <v>20</v>
      </c>
      <c r="R857" s="82" t="str">
        <f aca="false">VLOOKUP(J857,ingredient!$N$4:$O$553,2,0)</f>
        <v>badsah pulav masala</v>
      </c>
      <c r="U857" s="81" t="str">
        <f aca="false">I857</f>
        <v>Lapsi</v>
      </c>
      <c r="V857" s="81" t="n">
        <f aca="false">VLOOKUP(U857,recipe_ingred_list!$A$2:$B$300,2,0)</f>
        <v>41</v>
      </c>
      <c r="W857" s="81" t="str">
        <f aca="false">"/recipes/"&amp;VLOOKUP(U857,recipe_ingred_list!$A$2:$C$300,3,0)&amp;"/detail/"</f>
        <v>/recipes/lapsi/detail/</v>
      </c>
      <c r="X857" s="81" t="str">
        <f aca="false">J857</f>
        <v>badsah pulav masala</v>
      </c>
      <c r="Y857" s="81" t="str">
        <f aca="false">R857</f>
        <v>badsah pulav masala</v>
      </c>
      <c r="Z857" s="94" t="n">
        <f aca="false">VLOOKUP(Y857,recipe_ingred_list!$D$2:$E$500,2,0)</f>
        <v>18</v>
      </c>
      <c r="AA857" s="61" t="n">
        <f aca="false">K857</f>
        <v>0</v>
      </c>
      <c r="AB857" s="61" t="n">
        <f aca="false">L857</f>
        <v>0</v>
      </c>
      <c r="AC857" s="61" t="n">
        <f aca="false">VLOOKUP(AB857,recipe_ingred_list!$K$2:$M$7,3,0)</f>
        <v>2</v>
      </c>
      <c r="AD857" s="61" t="n">
        <f aca="false">M857</f>
        <v>2.5</v>
      </c>
      <c r="AE857" s="61" t="str">
        <f aca="false">N857</f>
        <v>cup</v>
      </c>
      <c r="AF857" s="61" t="n">
        <f aca="false">VLOOKUP(AE857,recipe_ingred_list!$K$16:$M$25,3,0)</f>
        <v>5</v>
      </c>
      <c r="AG857" s="61" t="n">
        <f aca="false">O857</f>
        <v>0</v>
      </c>
      <c r="AH857" s="61" t="n">
        <f aca="false">P857</f>
        <v>0</v>
      </c>
      <c r="AI857" s="61" t="n">
        <f aca="false">VLOOKUP(AH857,recipe_ingred_list!$K$29:$M$34,3,0)</f>
        <v>3</v>
      </c>
      <c r="AJ857" s="61" t="str">
        <f aca="false">IF(Q857="","",Q857)</f>
        <v/>
      </c>
      <c r="AK857" s="61" t="n">
        <f aca="false">AK856+1</f>
        <v>857</v>
      </c>
      <c r="AL857" s="61" t="str">
        <f aca="false">Y857</f>
        <v>badsah pulav masala</v>
      </c>
      <c r="AM857" s="81" t="str">
        <f aca="false">"a = Client().post('"&amp;W857&amp;"', {'recipe' : '"&amp;V857&amp;"', 'ingredient' : '"&amp;Z857&amp;"', 'name' : '"&amp;X857&amp;"', 'mass_unit' : '"&amp;AC857&amp;"', 'mass_quantity' : '"&amp;ROUND(AA857,3)&amp;"', 'volume_unit' : '"&amp;AF857&amp;"', 'volume_quantity' : '"&amp;ROUND(AD857,3)&amp;"', 'pieces_unit' : '"&amp;AI857&amp;"', 'pieces_quantity' : '"&amp;ROUND(AG857,3)&amp;"', 'cooking_notes' : '"&amp;AJ857&amp;"'}).status_code; print('%s :: %s :: %s :: %s :: %s' %(a,"&amp;G857&amp;",'"&amp;X857&amp;"','"&amp;Y857&amp;"','"&amp;U857&amp;"'))"</f>
        <v>a = Client().post('/recipes/lapsi/detail/', {'recipe' : '41', 'ingredient' : '18', 'name' : 'badsah pulav masala', 'mass_unit' : '2', 'mass_quantity' : '0', 'volume_unit' : '5', 'volume_quantity' : '2.5', 'pieces_unit' : '3', 'pieces_quantity' : '0', 'cooking_notes' : ''}).status_code; print('%s :: %s :: %s :: %s :: %s' %(a,857,'badsah pulav masala','badsah pulav masala','Lapsi'))</v>
      </c>
    </row>
    <row r="858" customFormat="false" ht="13.8" hidden="false" customHeight="false" outlineLevel="0" collapsed="false">
      <c r="G858" s="80" t="n">
        <v>858</v>
      </c>
      <c r="H858" s="83"/>
      <c r="I858" s="83" t="s">
        <v>232</v>
      </c>
      <c r="J858" s="83" t="s">
        <v>382</v>
      </c>
      <c r="M858" s="61" t="n">
        <v>1</v>
      </c>
      <c r="N858" s="61" t="s">
        <v>20</v>
      </c>
      <c r="R858" s="82" t="str">
        <f aca="false">VLOOKUP(J858,ingredient!$N$4:$O$553,2,0)</f>
        <v>haldi</v>
      </c>
      <c r="U858" s="81" t="str">
        <f aca="false">I858</f>
        <v>Lapsi</v>
      </c>
      <c r="V858" s="81" t="n">
        <f aca="false">VLOOKUP(U858,recipe_ingred_list!$A$2:$B$300,2,0)</f>
        <v>41</v>
      </c>
      <c r="W858" s="81" t="str">
        <f aca="false">"/recipes/"&amp;VLOOKUP(U858,recipe_ingred_list!$A$2:$C$300,3,0)&amp;"/detail/"</f>
        <v>/recipes/lapsi/detail/</v>
      </c>
      <c r="X858" s="81" t="str">
        <f aca="false">J858</f>
        <v>haldi</v>
      </c>
      <c r="Y858" s="81" t="str">
        <f aca="false">R858</f>
        <v>haldi</v>
      </c>
      <c r="Z858" s="94" t="n">
        <f aca="false">VLOOKUP(Y858,recipe_ingred_list!$D$2:$E$500,2,0)</f>
        <v>91</v>
      </c>
      <c r="AA858" s="61" t="n">
        <f aca="false">K858</f>
        <v>0</v>
      </c>
      <c r="AB858" s="61" t="n">
        <f aca="false">L858</f>
        <v>0</v>
      </c>
      <c r="AC858" s="61" t="n">
        <f aca="false">VLOOKUP(AB858,recipe_ingred_list!$K$2:$M$7,3,0)</f>
        <v>2</v>
      </c>
      <c r="AD858" s="61" t="n">
        <f aca="false">M858</f>
        <v>1</v>
      </c>
      <c r="AE858" s="61" t="str">
        <f aca="false">N858</f>
        <v>cup</v>
      </c>
      <c r="AF858" s="61" t="n">
        <f aca="false">VLOOKUP(AE858,recipe_ingred_list!$K$16:$M$25,3,0)</f>
        <v>5</v>
      </c>
      <c r="AG858" s="61" t="n">
        <f aca="false">O858</f>
        <v>0</v>
      </c>
      <c r="AH858" s="61" t="n">
        <f aca="false">P858</f>
        <v>0</v>
      </c>
      <c r="AI858" s="61" t="n">
        <f aca="false">VLOOKUP(AH858,recipe_ingred_list!$K$29:$M$34,3,0)</f>
        <v>3</v>
      </c>
      <c r="AJ858" s="61" t="str">
        <f aca="false">IF(Q858="","",Q858)</f>
        <v/>
      </c>
      <c r="AK858" s="61" t="n">
        <f aca="false">AK857+1</f>
        <v>858</v>
      </c>
      <c r="AL858" s="61" t="str">
        <f aca="false">Y858</f>
        <v>haldi</v>
      </c>
      <c r="AM858" s="81" t="str">
        <f aca="false">"a = Client().post('"&amp;W858&amp;"', {'recipe' : '"&amp;V858&amp;"', 'ingredient' : '"&amp;Z858&amp;"', 'name' : '"&amp;X858&amp;"', 'mass_unit' : '"&amp;AC858&amp;"', 'mass_quantity' : '"&amp;ROUND(AA858,3)&amp;"', 'volume_unit' : '"&amp;AF858&amp;"', 'volume_quantity' : '"&amp;ROUND(AD858,3)&amp;"', 'pieces_unit' : '"&amp;AI858&amp;"', 'pieces_quantity' : '"&amp;ROUND(AG858,3)&amp;"', 'cooking_notes' : '"&amp;AJ858&amp;"'}).status_code; print('%s :: %s :: %s :: %s :: %s' %(a,"&amp;G858&amp;",'"&amp;X858&amp;"','"&amp;Y858&amp;"','"&amp;U858&amp;"'))"</f>
        <v>a = Client().post('/recipes/lapsi/detail/', {'recipe' : '41', 'ingredient' : '91', 'name' : 'haldi', 'mass_unit' : '2', 'mass_quantity' : '0', 'volume_unit' : '5', 'volume_quantity' : '1', 'pieces_unit' : '3', 'pieces_quantity' : '0', 'cooking_notes' : ''}).status_code; print('%s :: %s :: %s :: %s :: %s' %(a,858,'haldi','haldi','Lapsi'))</v>
      </c>
    </row>
    <row r="859" customFormat="false" ht="13.8" hidden="false" customHeight="false" outlineLevel="0" collapsed="false">
      <c r="G859" s="80" t="n">
        <v>859</v>
      </c>
      <c r="H859" s="83"/>
      <c r="I859" s="83" t="s">
        <v>232</v>
      </c>
      <c r="J859" s="83" t="s">
        <v>825</v>
      </c>
      <c r="M859" s="61" t="n">
        <v>0.5</v>
      </c>
      <c r="N859" s="61" t="s">
        <v>20</v>
      </c>
      <c r="R859" s="82" t="str">
        <f aca="false">VLOOKUP(J859,ingredient!$N$4:$O$553,2,0)</f>
        <v>kashmiri chilly powder</v>
      </c>
      <c r="U859" s="81" t="str">
        <f aca="false">I859</f>
        <v>Lapsi</v>
      </c>
      <c r="V859" s="81" t="n">
        <f aca="false">VLOOKUP(U859,recipe_ingred_list!$A$2:$B$300,2,0)</f>
        <v>41</v>
      </c>
      <c r="W859" s="81" t="str">
        <f aca="false">"/recipes/"&amp;VLOOKUP(U859,recipe_ingred_list!$A$2:$C$300,3,0)&amp;"/detail/"</f>
        <v>/recipes/lapsi/detail/</v>
      </c>
      <c r="X859" s="81" t="str">
        <f aca="false">J859</f>
        <v>kashmiri chili powdre</v>
      </c>
      <c r="Y859" s="81" t="str">
        <f aca="false">R859</f>
        <v>kashmiri chilly powder</v>
      </c>
      <c r="Z859" s="94" t="n">
        <f aca="false">VLOOKUP(Y859,recipe_ingred_list!$D$2:$E$500,2,0)</f>
        <v>117</v>
      </c>
      <c r="AA859" s="61" t="n">
        <f aca="false">K859</f>
        <v>0</v>
      </c>
      <c r="AB859" s="61" t="n">
        <f aca="false">L859</f>
        <v>0</v>
      </c>
      <c r="AC859" s="61" t="n">
        <f aca="false">VLOOKUP(AB859,recipe_ingred_list!$K$2:$M$7,3,0)</f>
        <v>2</v>
      </c>
      <c r="AD859" s="61" t="n">
        <f aca="false">M859</f>
        <v>0.5</v>
      </c>
      <c r="AE859" s="61" t="str">
        <f aca="false">N859</f>
        <v>cup</v>
      </c>
      <c r="AF859" s="61" t="n">
        <f aca="false">VLOOKUP(AE859,recipe_ingred_list!$K$16:$M$25,3,0)</f>
        <v>5</v>
      </c>
      <c r="AG859" s="61" t="n">
        <f aca="false">O859</f>
        <v>0</v>
      </c>
      <c r="AH859" s="61" t="n">
        <f aca="false">P859</f>
        <v>0</v>
      </c>
      <c r="AI859" s="61" t="n">
        <f aca="false">VLOOKUP(AH859,recipe_ingred_list!$K$29:$M$34,3,0)</f>
        <v>3</v>
      </c>
      <c r="AJ859" s="61" t="str">
        <f aca="false">IF(Q859="","",Q859)</f>
        <v/>
      </c>
      <c r="AK859" s="61" t="n">
        <f aca="false">AK858+1</f>
        <v>859</v>
      </c>
      <c r="AL859" s="61" t="str">
        <f aca="false">Y859</f>
        <v>kashmiri chilly powder</v>
      </c>
      <c r="AM859" s="81" t="str">
        <f aca="false">"a = Client().post('"&amp;W859&amp;"', {'recipe' : '"&amp;V859&amp;"', 'ingredient' : '"&amp;Z859&amp;"', 'name' : '"&amp;X859&amp;"', 'mass_unit' : '"&amp;AC859&amp;"', 'mass_quantity' : '"&amp;ROUND(AA859,3)&amp;"', 'volume_unit' : '"&amp;AF859&amp;"', 'volume_quantity' : '"&amp;ROUND(AD859,3)&amp;"', 'pieces_unit' : '"&amp;AI859&amp;"', 'pieces_quantity' : '"&amp;ROUND(AG859,3)&amp;"', 'cooking_notes' : '"&amp;AJ859&amp;"'}).status_code; print('%s :: %s :: %s :: %s :: %s' %(a,"&amp;G859&amp;",'"&amp;X859&amp;"','"&amp;Y859&amp;"','"&amp;U859&amp;"'))"</f>
        <v>a = Client().post('/recipes/lapsi/detail/', {'recipe' : '41', 'ingredient' : '117', 'name' : 'kashmiri chili powdre', 'mass_unit' : '2', 'mass_quantity' : '0', 'volume_unit' : '5', 'volume_quantity' : '0.5', 'pieces_unit' : '3', 'pieces_quantity' : '0', 'cooking_notes' : ''}).status_code; print('%s :: %s :: %s :: %s :: %s' %(a,859,'kashmiri chili powdre','kashmiri chilly powder','Lapsi'))</v>
      </c>
    </row>
    <row r="860" customFormat="false" ht="13.8" hidden="false" customHeight="false" outlineLevel="0" collapsed="false">
      <c r="G860" s="80" t="n">
        <v>860</v>
      </c>
      <c r="H860" s="83"/>
      <c r="I860" s="83" t="s">
        <v>232</v>
      </c>
      <c r="J860" s="83" t="s">
        <v>826</v>
      </c>
      <c r="M860" s="61" t="n">
        <v>0.5</v>
      </c>
      <c r="N860" s="61" t="s">
        <v>13</v>
      </c>
      <c r="R860" s="82" t="str">
        <f aca="false">VLOOKUP(J860,ingredient!$N$4:$O$553,2,0)</f>
        <v>madrasi mirchi akkaha</v>
      </c>
      <c r="U860" s="81" t="str">
        <f aca="false">I860</f>
        <v>Lapsi</v>
      </c>
      <c r="V860" s="81" t="n">
        <f aca="false">VLOOKUP(U860,recipe_ingred_list!$A$2:$B$300,2,0)</f>
        <v>41</v>
      </c>
      <c r="W860" s="81" t="str">
        <f aca="false">"/recipes/"&amp;VLOOKUP(U860,recipe_ingred_list!$A$2:$C$300,3,0)&amp;"/detail/"</f>
        <v>/recipes/lapsi/detail/</v>
      </c>
      <c r="X860" s="81" t="str">
        <f aca="false">J860</f>
        <v>madrasi chili akkha</v>
      </c>
      <c r="Y860" s="81" t="str">
        <f aca="false">R860</f>
        <v>madrasi mirchi akkaha</v>
      </c>
      <c r="Z860" s="94" t="n">
        <f aca="false">VLOOKUP(Y860,recipe_ingred_list!$D$2:$E$500,2,0)</f>
        <v>134</v>
      </c>
      <c r="AA860" s="61" t="n">
        <f aca="false">K860</f>
        <v>0</v>
      </c>
      <c r="AB860" s="61" t="n">
        <f aca="false">L860</f>
        <v>0</v>
      </c>
      <c r="AC860" s="61" t="n">
        <f aca="false">VLOOKUP(AB860,recipe_ingred_list!$K$2:$M$7,3,0)</f>
        <v>2</v>
      </c>
      <c r="AD860" s="61" t="n">
        <f aca="false">M860</f>
        <v>0.5</v>
      </c>
      <c r="AE860" s="61" t="str">
        <f aca="false">N860</f>
        <v>ltr</v>
      </c>
      <c r="AF860" s="61" t="n">
        <f aca="false">VLOOKUP(AE860,recipe_ingred_list!$K$16:$M$25,3,0)</f>
        <v>1</v>
      </c>
      <c r="AG860" s="61" t="n">
        <f aca="false">O860</f>
        <v>0</v>
      </c>
      <c r="AH860" s="61" t="n">
        <f aca="false">P860</f>
        <v>0</v>
      </c>
      <c r="AI860" s="61" t="n">
        <f aca="false">VLOOKUP(AH860,recipe_ingred_list!$K$29:$M$34,3,0)</f>
        <v>3</v>
      </c>
      <c r="AJ860" s="61" t="str">
        <f aca="false">IF(Q860="","",Q860)</f>
        <v/>
      </c>
      <c r="AK860" s="61" t="n">
        <f aca="false">AK859+1</f>
        <v>860</v>
      </c>
      <c r="AL860" s="61" t="str">
        <f aca="false">Y860</f>
        <v>madrasi mirchi akkaha</v>
      </c>
      <c r="AM860" s="81" t="str">
        <f aca="false">"a = Client().post('"&amp;W860&amp;"', {'recipe' : '"&amp;V860&amp;"', 'ingredient' : '"&amp;Z860&amp;"', 'name' : '"&amp;X860&amp;"', 'mass_unit' : '"&amp;AC860&amp;"', 'mass_quantity' : '"&amp;ROUND(AA860,3)&amp;"', 'volume_unit' : '"&amp;AF860&amp;"', 'volume_quantity' : '"&amp;ROUND(AD860,3)&amp;"', 'pieces_unit' : '"&amp;AI860&amp;"', 'pieces_quantity' : '"&amp;ROUND(AG860,3)&amp;"', 'cooking_notes' : '"&amp;AJ860&amp;"'}).status_code; print('%s :: %s :: %s :: %s :: %s' %(a,"&amp;G860&amp;",'"&amp;X860&amp;"','"&amp;Y860&amp;"','"&amp;U860&amp;"'))"</f>
        <v>a = Client().post('/recipes/lapsi/detail/', {'recipe' : '41', 'ingredient' : '134', 'name' : 'madrasi chili akkha', 'mass_unit' : '2', 'mass_quantity' : '0', 'volume_unit' : '1', 'volume_quantity' : '0.5', 'pieces_unit' : '3', 'pieces_quantity' : '0', 'cooking_notes' : ''}).status_code; print('%s :: %s :: %s :: %s :: %s' %(a,860,'madrasi chili akkha','madrasi mirchi akkaha','Lapsi'))</v>
      </c>
    </row>
    <row r="861" customFormat="false" ht="13.8" hidden="false" customHeight="false" outlineLevel="0" collapsed="false">
      <c r="G861" s="80" t="n">
        <v>861</v>
      </c>
      <c r="H861" s="83"/>
      <c r="I861" s="83" t="s">
        <v>232</v>
      </c>
      <c r="J861" s="83" t="s">
        <v>391</v>
      </c>
      <c r="M861" s="61" t="n">
        <v>0.5</v>
      </c>
      <c r="N861" s="61" t="s">
        <v>20</v>
      </c>
      <c r="R861" s="82" t="str">
        <f aca="false">VLOOKUP(J861,ingredient!$N$4:$O$553,2,0)</f>
        <v>hing</v>
      </c>
      <c r="U861" s="81" t="str">
        <f aca="false">I861</f>
        <v>Lapsi</v>
      </c>
      <c r="V861" s="81" t="n">
        <f aca="false">VLOOKUP(U861,recipe_ingred_list!$A$2:$B$300,2,0)</f>
        <v>41</v>
      </c>
      <c r="W861" s="81" t="str">
        <f aca="false">"/recipes/"&amp;VLOOKUP(U861,recipe_ingred_list!$A$2:$C$300,3,0)&amp;"/detail/"</f>
        <v>/recipes/lapsi/detail/</v>
      </c>
      <c r="X861" s="81" t="str">
        <f aca="false">J861</f>
        <v>hing</v>
      </c>
      <c r="Y861" s="81" t="str">
        <f aca="false">R861</f>
        <v>hing</v>
      </c>
      <c r="Z861" s="94" t="n">
        <f aca="false">VLOOKUP(Y861,recipe_ingred_list!$D$2:$E$500,2,0)</f>
        <v>95</v>
      </c>
      <c r="AA861" s="61" t="n">
        <f aca="false">K861</f>
        <v>0</v>
      </c>
      <c r="AB861" s="61" t="n">
        <f aca="false">L861</f>
        <v>0</v>
      </c>
      <c r="AC861" s="61" t="n">
        <f aca="false">VLOOKUP(AB861,recipe_ingred_list!$K$2:$M$7,3,0)</f>
        <v>2</v>
      </c>
      <c r="AD861" s="61" t="n">
        <f aca="false">M861</f>
        <v>0.5</v>
      </c>
      <c r="AE861" s="61" t="str">
        <f aca="false">N861</f>
        <v>cup</v>
      </c>
      <c r="AF861" s="61" t="n">
        <f aca="false">VLOOKUP(AE861,recipe_ingred_list!$K$16:$M$25,3,0)</f>
        <v>5</v>
      </c>
      <c r="AG861" s="61" t="n">
        <f aca="false">O861</f>
        <v>0</v>
      </c>
      <c r="AH861" s="61" t="n">
        <f aca="false">P861</f>
        <v>0</v>
      </c>
      <c r="AI861" s="61" t="n">
        <f aca="false">VLOOKUP(AH861,recipe_ingred_list!$K$29:$M$34,3,0)</f>
        <v>3</v>
      </c>
      <c r="AJ861" s="61" t="str">
        <f aca="false">IF(Q861="","",Q861)</f>
        <v/>
      </c>
      <c r="AK861" s="61" t="n">
        <f aca="false">AK860+1</f>
        <v>861</v>
      </c>
      <c r="AL861" s="61" t="str">
        <f aca="false">Y861</f>
        <v>hing</v>
      </c>
      <c r="AM861" s="81" t="str">
        <f aca="false">"a = Client().post('"&amp;W861&amp;"', {'recipe' : '"&amp;V861&amp;"', 'ingredient' : '"&amp;Z861&amp;"', 'name' : '"&amp;X861&amp;"', 'mass_unit' : '"&amp;AC861&amp;"', 'mass_quantity' : '"&amp;ROUND(AA861,3)&amp;"', 'volume_unit' : '"&amp;AF861&amp;"', 'volume_quantity' : '"&amp;ROUND(AD861,3)&amp;"', 'pieces_unit' : '"&amp;AI861&amp;"', 'pieces_quantity' : '"&amp;ROUND(AG861,3)&amp;"', 'cooking_notes' : '"&amp;AJ861&amp;"'}).status_code; print('%s :: %s :: %s :: %s :: %s' %(a,"&amp;G861&amp;",'"&amp;X861&amp;"','"&amp;Y861&amp;"','"&amp;U861&amp;"'))"</f>
        <v>a = Client().post('/recipes/lapsi/detail/', {'recipe' : '41', 'ingredient' : '95', 'name' : 'hing', 'mass_unit' : '2', 'mass_quantity' : '0', 'volume_unit' : '5', 'volume_quantity' : '0.5', 'pieces_unit' : '3', 'pieces_quantity' : '0', 'cooking_notes' : ''}).status_code; print('%s :: %s :: %s :: %s :: %s' %(a,861,'hing','hing','Lapsi'))</v>
      </c>
    </row>
    <row r="862" customFormat="false" ht="13.8" hidden="false" customHeight="false" outlineLevel="0" collapsed="false">
      <c r="G862" s="80" t="n">
        <v>862</v>
      </c>
      <c r="H862" s="83"/>
      <c r="I862" s="83" t="s">
        <v>232</v>
      </c>
      <c r="J862" s="83" t="s">
        <v>96</v>
      </c>
      <c r="M862" s="61" t="n">
        <v>0.5</v>
      </c>
      <c r="N862" s="61" t="s">
        <v>20</v>
      </c>
      <c r="R862" s="82" t="str">
        <f aca="false">VLOOKUP(J862,ingredient!$N$4:$O$553,2,0)</f>
        <v>salt</v>
      </c>
      <c r="U862" s="81" t="str">
        <f aca="false">I862</f>
        <v>Lapsi</v>
      </c>
      <c r="V862" s="81" t="n">
        <f aca="false">VLOOKUP(U862,recipe_ingred_list!$A$2:$B$300,2,0)</f>
        <v>41</v>
      </c>
      <c r="W862" s="81" t="str">
        <f aca="false">"/recipes/"&amp;VLOOKUP(U862,recipe_ingred_list!$A$2:$C$300,3,0)&amp;"/detail/"</f>
        <v>/recipes/lapsi/detail/</v>
      </c>
      <c r="X862" s="81" t="str">
        <f aca="false">J862</f>
        <v>salt</v>
      </c>
      <c r="Y862" s="81" t="str">
        <f aca="false">R862</f>
        <v>salt</v>
      </c>
      <c r="Z862" s="94" t="n">
        <f aca="false">VLOOKUP(Y862,recipe_ingred_list!$D$2:$E$500,2,0)</f>
        <v>177</v>
      </c>
      <c r="AA862" s="61" t="n">
        <f aca="false">K862</f>
        <v>0</v>
      </c>
      <c r="AB862" s="61" t="n">
        <f aca="false">L862</f>
        <v>0</v>
      </c>
      <c r="AC862" s="61" t="n">
        <f aca="false">VLOOKUP(AB862,recipe_ingred_list!$K$2:$M$7,3,0)</f>
        <v>2</v>
      </c>
      <c r="AD862" s="61" t="n">
        <f aca="false">M862</f>
        <v>0.5</v>
      </c>
      <c r="AE862" s="61" t="str">
        <f aca="false">N862</f>
        <v>cup</v>
      </c>
      <c r="AF862" s="61" t="n">
        <f aca="false">VLOOKUP(AE862,recipe_ingred_list!$K$16:$M$25,3,0)</f>
        <v>5</v>
      </c>
      <c r="AG862" s="61" t="n">
        <f aca="false">O862</f>
        <v>0</v>
      </c>
      <c r="AH862" s="61" t="n">
        <f aca="false">P862</f>
        <v>0</v>
      </c>
      <c r="AI862" s="61" t="n">
        <f aca="false">VLOOKUP(AH862,recipe_ingred_list!$K$29:$M$34,3,0)</f>
        <v>3</v>
      </c>
      <c r="AJ862" s="61" t="str">
        <f aca="false">IF(Q862="","",Q862)</f>
        <v/>
      </c>
      <c r="AK862" s="61" t="n">
        <f aca="false">AK861+1</f>
        <v>862</v>
      </c>
      <c r="AL862" s="61" t="str">
        <f aca="false">Y862</f>
        <v>salt</v>
      </c>
      <c r="AM862" s="81" t="str">
        <f aca="false">"a = Client().post('"&amp;W862&amp;"', {'recipe' : '"&amp;V862&amp;"', 'ingredient' : '"&amp;Z862&amp;"', 'name' : '"&amp;X862&amp;"', 'mass_unit' : '"&amp;AC862&amp;"', 'mass_quantity' : '"&amp;ROUND(AA862,3)&amp;"', 'volume_unit' : '"&amp;AF862&amp;"', 'volume_quantity' : '"&amp;ROUND(AD862,3)&amp;"', 'pieces_unit' : '"&amp;AI862&amp;"', 'pieces_quantity' : '"&amp;ROUND(AG862,3)&amp;"', 'cooking_notes' : '"&amp;AJ862&amp;"'}).status_code; print('%s :: %s :: %s :: %s :: %s' %(a,"&amp;G862&amp;",'"&amp;X862&amp;"','"&amp;Y862&amp;"','"&amp;U862&amp;"'))"</f>
        <v>a = Client().post('/recipes/lapsi/detail/', {'recipe' : '41', 'ingredient' : '177', 'name' : 'salt', 'mass_unit' : '2', 'mass_quantity' : '0', 'volume_unit' : '5', 'volume_quantity' : '0.5', 'pieces_unit' : '3', 'pieces_quantity' : '0', 'cooking_notes' : ''}).status_code; print('%s :: %s :: %s :: %s :: %s' %(a,862,'salt','salt','Lapsi'))</v>
      </c>
    </row>
    <row r="863" customFormat="false" ht="13.8" hidden="false" customHeight="false" outlineLevel="0" collapsed="false">
      <c r="G863" s="80" t="n">
        <v>863</v>
      </c>
      <c r="H863" s="79"/>
      <c r="I863" s="79"/>
      <c r="J863" s="79"/>
      <c r="K863" s="100"/>
      <c r="L863" s="100"/>
      <c r="M863" s="100"/>
      <c r="N863" s="100"/>
      <c r="O863" s="100"/>
      <c r="P863" s="100"/>
      <c r="Q863" s="102"/>
      <c r="R863" s="99" t="e">
        <f aca="false">VLOOKUP(J863,ingredient!$N$4:$O$553,2,0)</f>
        <v>#N/A</v>
      </c>
      <c r="S863" s="98"/>
      <c r="T863" s="98"/>
      <c r="U863" s="81" t="n">
        <f aca="false">I863</f>
        <v>0</v>
      </c>
      <c r="V863" s="81" t="e">
        <f aca="false">VLOOKUP(U863,recipe_ingred_list!$A$2:$B$300,2,0)</f>
        <v>#N/A</v>
      </c>
      <c r="W863" s="81" t="e">
        <f aca="false">"/recipes/"&amp;VLOOKUP(U863,recipe_ingred_list!$A$2:$C$300,3,0)&amp;"/detail/"</f>
        <v>#N/A</v>
      </c>
      <c r="X863" s="81" t="n">
        <f aca="false">J863</f>
        <v>0</v>
      </c>
      <c r="Y863" s="81" t="e">
        <f aca="false">R863</f>
        <v>#N/A</v>
      </c>
      <c r="Z863" s="94" t="e">
        <f aca="false">VLOOKUP(Y863,recipe_ingred_list!$D$2:$E$500,2,0)</f>
        <v>#N/A</v>
      </c>
      <c r="AA863" s="61" t="n">
        <f aca="false">K863</f>
        <v>0</v>
      </c>
      <c r="AB863" s="61" t="n">
        <f aca="false">L863</f>
        <v>0</v>
      </c>
      <c r="AC863" s="61" t="n">
        <f aca="false">VLOOKUP(AB863,recipe_ingred_list!$K$2:$M$7,3,0)</f>
        <v>2</v>
      </c>
      <c r="AD863" s="61" t="n">
        <f aca="false">M863</f>
        <v>0</v>
      </c>
      <c r="AE863" s="61" t="n">
        <f aca="false">N863</f>
        <v>0</v>
      </c>
      <c r="AF863" s="61" t="n">
        <f aca="false">VLOOKUP(AE863,recipe_ingred_list!$K$16:$M$25,3,0)</f>
        <v>1</v>
      </c>
      <c r="AG863" s="61" t="n">
        <f aca="false">O863</f>
        <v>0</v>
      </c>
      <c r="AH863" s="61" t="n">
        <f aca="false">P863</f>
        <v>0</v>
      </c>
      <c r="AI863" s="61" t="n">
        <f aca="false">VLOOKUP(AH863,recipe_ingred_list!$K$29:$M$34,3,0)</f>
        <v>3</v>
      </c>
      <c r="AJ863" s="61" t="str">
        <f aca="false">IF(Q863="","",Q863)</f>
        <v/>
      </c>
      <c r="AK863" s="61" t="n">
        <f aca="false">AK862+1</f>
        <v>863</v>
      </c>
      <c r="AL863" s="61" t="e">
        <f aca="false">Y863</f>
        <v>#N/A</v>
      </c>
      <c r="AM863" s="81" t="e">
        <f aca="false">"a = Client().post('"&amp;W863&amp;"', {'recipe' : '"&amp;V863&amp;"', 'ingredient' : '"&amp;Z863&amp;"', 'name' : '"&amp;X863&amp;"', 'mass_unit' : '"&amp;AC863&amp;"', 'mass_quantity' : '"&amp;ROUND(AA863,3)&amp;"', 'volume_unit' : '"&amp;AF863&amp;"', 'volume_quantity' : '"&amp;ROUND(AD863,3)&amp;"', 'pieces_unit' : '"&amp;AI863&amp;"', 'pieces_quantity' : '"&amp;ROUND(AG863,3)&amp;"', 'cooking_notes' : '"&amp;AJ863&amp;"'}).status_code; print('%s :: %s :: %s :: %s :: %s' %(a,"&amp;G863&amp;",'"&amp;X863&amp;"','"&amp;Y863&amp;"','"&amp;U863&amp;"'))"</f>
        <v>#N/A</v>
      </c>
    </row>
    <row r="864" customFormat="false" ht="28.35" hidden="false" customHeight="false" outlineLevel="0" collapsed="false">
      <c r="G864" s="80" t="n">
        <v>864</v>
      </c>
      <c r="H864" s="83"/>
      <c r="I864" s="83" t="s">
        <v>265</v>
      </c>
      <c r="J864" s="83" t="s">
        <v>228</v>
      </c>
      <c r="K864" s="61" t="n">
        <v>5</v>
      </c>
      <c r="L864" s="61" t="s">
        <v>7</v>
      </c>
      <c r="Q864" s="84" t="s">
        <v>827</v>
      </c>
      <c r="R864" s="82" t="str">
        <f aca="false">VLOOKUP(J864,ingredient!$N$4:$O$553,2,0)</f>
        <v>cabbage</v>
      </c>
      <c r="U864" s="81" t="str">
        <f aca="false">I864</f>
        <v>Noodles</v>
      </c>
      <c r="V864" s="81" t="n">
        <f aca="false">VLOOKUP(U864,recipe_ingred_list!$A$2:$B$300,2,0)</f>
        <v>52</v>
      </c>
      <c r="W864" s="81" t="str">
        <f aca="false">"/recipes/"&amp;VLOOKUP(U864,recipe_ingred_list!$A$2:$C$300,3,0)&amp;"/detail/"</f>
        <v>/recipes/noodles/detail/</v>
      </c>
      <c r="X864" s="81" t="str">
        <f aca="false">J864</f>
        <v>cabbage</v>
      </c>
      <c r="Y864" s="81" t="str">
        <f aca="false">R864</f>
        <v>cabbage</v>
      </c>
      <c r="Z864" s="94" t="n">
        <f aca="false">VLOOKUP(Y864,recipe_ingred_list!$D$2:$E$500,2,0)</f>
        <v>39</v>
      </c>
      <c r="AA864" s="61" t="n">
        <f aca="false">K864</f>
        <v>5</v>
      </c>
      <c r="AB864" s="61" t="str">
        <f aca="false">L864</f>
        <v>kg</v>
      </c>
      <c r="AC864" s="61" t="n">
        <f aca="false">VLOOKUP(AB864,recipe_ingred_list!$K$2:$M$7,3,0)</f>
        <v>2</v>
      </c>
      <c r="AD864" s="61" t="n">
        <f aca="false">M864</f>
        <v>0</v>
      </c>
      <c r="AE864" s="61" t="n">
        <f aca="false">N864</f>
        <v>0</v>
      </c>
      <c r="AF864" s="61" t="n">
        <f aca="false">VLOOKUP(AE864,recipe_ingred_list!$K$16:$M$25,3,0)</f>
        <v>1</v>
      </c>
      <c r="AG864" s="61" t="n">
        <f aca="false">O864</f>
        <v>0</v>
      </c>
      <c r="AH864" s="61" t="n">
        <f aca="false">P864</f>
        <v>0</v>
      </c>
      <c r="AI864" s="61" t="n">
        <f aca="false">VLOOKUP(AH864,recipe_ingred_list!$K$29:$M$34,3,0)</f>
        <v>3</v>
      </c>
      <c r="AJ864" s="61" t="str">
        <f aca="false">IF(Q864="","",Q864)</f>
        <v>6 kg cookd noodles= 1 dabba=50 people</v>
      </c>
      <c r="AK864" s="61" t="n">
        <f aca="false">AK863+1</f>
        <v>864</v>
      </c>
      <c r="AL864" s="61" t="str">
        <f aca="false">Y864</f>
        <v>cabbage</v>
      </c>
      <c r="AM864" s="81" t="str">
        <f aca="false">"a = Client().post('"&amp;W864&amp;"', {'recipe' : '"&amp;V864&amp;"', 'ingredient' : '"&amp;Z864&amp;"', 'name' : '"&amp;X864&amp;"', 'mass_unit' : '"&amp;AC864&amp;"', 'mass_quantity' : '"&amp;ROUND(AA864,3)&amp;"', 'volume_unit' : '"&amp;AF864&amp;"', 'volume_quantity' : '"&amp;ROUND(AD864,3)&amp;"', 'pieces_unit' : '"&amp;AI864&amp;"', 'pieces_quantity' : '"&amp;ROUND(AG864,3)&amp;"', 'cooking_notes' : '"&amp;AJ864&amp;"'}).status_code; print('%s :: %s :: %s :: %s :: %s' %(a,"&amp;G864&amp;",'"&amp;X864&amp;"','"&amp;Y864&amp;"','"&amp;U864&amp;"'))"</f>
        <v>a = Client().post('/recipes/noodles/detail/', {'recipe' : '52', 'ingredient' : '39', 'name' : 'cabbage', 'mass_unit' : '2', 'mass_quantity' : '5', 'volume_unit' : '1', 'volume_quantity' : '0', 'pieces_unit' : '3', 'pieces_quantity' : '0', 'cooking_notes' : '6 kg cookd noodles= 1 dabba=50 people'}).status_code; print('%s :: %s :: %s :: %s :: %s' %(a,864,'cabbage','cabbage','Noodles'))</v>
      </c>
    </row>
    <row r="865" customFormat="false" ht="41.75" hidden="false" customHeight="false" outlineLevel="0" collapsed="false">
      <c r="G865" s="80" t="n">
        <v>865</v>
      </c>
      <c r="H865" s="83"/>
      <c r="I865" s="83" t="s">
        <v>265</v>
      </c>
      <c r="J865" s="83" t="s">
        <v>828</v>
      </c>
      <c r="K865" s="61" t="n">
        <v>5</v>
      </c>
      <c r="L865" s="61" t="s">
        <v>7</v>
      </c>
      <c r="Q865" s="84" t="s">
        <v>829</v>
      </c>
      <c r="R865" s="82" t="str">
        <f aca="false">VLOOKUP(J865,ingredient!$N$4:$O$553,2,0)</f>
        <v>capsicum</v>
      </c>
      <c r="U865" s="81" t="str">
        <f aca="false">I865</f>
        <v>Noodles</v>
      </c>
      <c r="V865" s="81" t="n">
        <f aca="false">VLOOKUP(U865,recipe_ingred_list!$A$2:$B$300,2,0)</f>
        <v>52</v>
      </c>
      <c r="W865" s="81" t="str">
        <f aca="false">"/recipes/"&amp;VLOOKUP(U865,recipe_ingred_list!$A$2:$C$300,3,0)&amp;"/detail/"</f>
        <v>/recipes/noodles/detail/</v>
      </c>
      <c r="X865" s="81" t="str">
        <f aca="false">J865</f>
        <v>capcicum</v>
      </c>
      <c r="Y865" s="81" t="str">
        <f aca="false">R865</f>
        <v>capsicum</v>
      </c>
      <c r="Z865" s="94" t="n">
        <f aca="false">VLOOKUP(Y865,recipe_ingred_list!$D$2:$E$500,2,0)</f>
        <v>42</v>
      </c>
      <c r="AA865" s="61" t="n">
        <f aca="false">K865</f>
        <v>5</v>
      </c>
      <c r="AB865" s="61" t="str">
        <f aca="false">L865</f>
        <v>kg</v>
      </c>
      <c r="AC865" s="61" t="n">
        <f aca="false">VLOOKUP(AB865,recipe_ingred_list!$K$2:$M$7,3,0)</f>
        <v>2</v>
      </c>
      <c r="AD865" s="61" t="n">
        <f aca="false">M865</f>
        <v>0</v>
      </c>
      <c r="AE865" s="61" t="n">
        <f aca="false">N865</f>
        <v>0</v>
      </c>
      <c r="AF865" s="61" t="n">
        <f aca="false">VLOOKUP(AE865,recipe_ingred_list!$K$16:$M$25,3,0)</f>
        <v>1</v>
      </c>
      <c r="AG865" s="61" t="n">
        <f aca="false">O865</f>
        <v>0</v>
      </c>
      <c r="AH865" s="61" t="n">
        <f aca="false">P865</f>
        <v>0</v>
      </c>
      <c r="AI865" s="61" t="n">
        <f aca="false">VLOOKUP(AH865,recipe_ingred_list!$K$29:$M$34,3,0)</f>
        <v>3</v>
      </c>
      <c r="AJ865" s="61" t="str">
        <f aca="false">IF(Q865="","",Q865)</f>
        <v>fresh tomato sauce(boil tomato,pury and roast in khadi fro 20 min)</v>
      </c>
      <c r="AK865" s="61" t="n">
        <f aca="false">AK864+1</f>
        <v>865</v>
      </c>
      <c r="AL865" s="61" t="str">
        <f aca="false">Y865</f>
        <v>capsicum</v>
      </c>
      <c r="AM865" s="81" t="str">
        <f aca="false">"a = Client().post('"&amp;W865&amp;"', {'recipe' : '"&amp;V865&amp;"', 'ingredient' : '"&amp;Z865&amp;"', 'name' : '"&amp;X865&amp;"', 'mass_unit' : '"&amp;AC865&amp;"', 'mass_quantity' : '"&amp;ROUND(AA865,3)&amp;"', 'volume_unit' : '"&amp;AF865&amp;"', 'volume_quantity' : '"&amp;ROUND(AD865,3)&amp;"', 'pieces_unit' : '"&amp;AI865&amp;"', 'pieces_quantity' : '"&amp;ROUND(AG865,3)&amp;"', 'cooking_notes' : '"&amp;AJ865&amp;"'}).status_code; print('%s :: %s :: %s :: %s :: %s' %(a,"&amp;G865&amp;",'"&amp;X865&amp;"','"&amp;Y865&amp;"','"&amp;U865&amp;"'))"</f>
        <v>a = Client().post('/recipes/noodles/detail/', {'recipe' : '52', 'ingredient' : '42', 'name' : 'capcicum', 'mass_unit' : '2', 'mass_quantity' : '5', 'volume_unit' : '1', 'volume_quantity' : '0', 'pieces_unit' : '3', 'pieces_quantity' : '0', 'cooking_notes' : 'fresh tomato sauce(boil tomato,pury and roast in khadi fro 20 min)'}).status_code; print('%s :: %s :: %s :: %s :: %s' %(a,865,'capcicum','capsicum','Noodles'))</v>
      </c>
    </row>
    <row r="866" customFormat="false" ht="28.35" hidden="false" customHeight="false" outlineLevel="0" collapsed="false">
      <c r="G866" s="80" t="n">
        <v>866</v>
      </c>
      <c r="H866" s="83"/>
      <c r="I866" s="83" t="s">
        <v>265</v>
      </c>
      <c r="J866" s="83" t="s">
        <v>348</v>
      </c>
      <c r="K866" s="61" t="n">
        <v>5</v>
      </c>
      <c r="L866" s="61" t="s">
        <v>7</v>
      </c>
      <c r="Q866" s="84" t="s">
        <v>830</v>
      </c>
      <c r="R866" s="82" t="str">
        <f aca="false">VLOOKUP(J866,ingredient!$N$4:$O$553,2,0)</f>
        <v>gajar</v>
      </c>
      <c r="U866" s="81" t="str">
        <f aca="false">I866</f>
        <v>Noodles</v>
      </c>
      <c r="V866" s="81" t="n">
        <f aca="false">VLOOKUP(U866,recipe_ingred_list!$A$2:$B$300,2,0)</f>
        <v>52</v>
      </c>
      <c r="W866" s="81" t="str">
        <f aca="false">"/recipes/"&amp;VLOOKUP(U866,recipe_ingred_list!$A$2:$C$300,3,0)&amp;"/detail/"</f>
        <v>/recipes/noodles/detail/</v>
      </c>
      <c r="X866" s="81" t="str">
        <f aca="false">J866</f>
        <v>gajar</v>
      </c>
      <c r="Y866" s="81" t="str">
        <f aca="false">R866</f>
        <v>gajar</v>
      </c>
      <c r="Z866" s="94" t="n">
        <f aca="false">VLOOKUP(Y866,recipe_ingred_list!$D$2:$E$500,2,0)</f>
        <v>79</v>
      </c>
      <c r="AA866" s="61" t="n">
        <f aca="false">K866</f>
        <v>5</v>
      </c>
      <c r="AB866" s="61" t="str">
        <f aca="false">L866</f>
        <v>kg</v>
      </c>
      <c r="AC866" s="61" t="n">
        <f aca="false">VLOOKUP(AB866,recipe_ingred_list!$K$2:$M$7,3,0)</f>
        <v>2</v>
      </c>
      <c r="AD866" s="61" t="n">
        <f aca="false">M866</f>
        <v>0</v>
      </c>
      <c r="AE866" s="61" t="n">
        <f aca="false">N866</f>
        <v>0</v>
      </c>
      <c r="AF866" s="61" t="n">
        <f aca="false">VLOOKUP(AE866,recipe_ingred_list!$K$16:$M$25,3,0)</f>
        <v>1</v>
      </c>
      <c r="AG866" s="61" t="n">
        <f aca="false">O866</f>
        <v>0</v>
      </c>
      <c r="AH866" s="61" t="n">
        <f aca="false">P866</f>
        <v>0</v>
      </c>
      <c r="AI866" s="61" t="n">
        <f aca="false">VLOOKUP(AH866,recipe_ingred_list!$K$29:$M$34,3,0)</f>
        <v>3</v>
      </c>
      <c r="AJ866" s="61" t="str">
        <f aca="false">IF(Q866="","",Q866)</f>
        <v>add all masala,lemon juice in choke after sabji is cooked</v>
      </c>
      <c r="AK866" s="61" t="n">
        <f aca="false">AK865+1</f>
        <v>866</v>
      </c>
      <c r="AL866" s="61" t="str">
        <f aca="false">Y866</f>
        <v>gajar</v>
      </c>
      <c r="AM866" s="81" t="str">
        <f aca="false">"a = Client().post('"&amp;W866&amp;"', {'recipe' : '"&amp;V866&amp;"', 'ingredient' : '"&amp;Z866&amp;"', 'name' : '"&amp;X866&amp;"', 'mass_unit' : '"&amp;AC866&amp;"', 'mass_quantity' : '"&amp;ROUND(AA866,3)&amp;"', 'volume_unit' : '"&amp;AF866&amp;"', 'volume_quantity' : '"&amp;ROUND(AD866,3)&amp;"', 'pieces_unit' : '"&amp;AI866&amp;"', 'pieces_quantity' : '"&amp;ROUND(AG866,3)&amp;"', 'cooking_notes' : '"&amp;AJ866&amp;"'}).status_code; print('%s :: %s :: %s :: %s :: %s' %(a,"&amp;G866&amp;",'"&amp;X866&amp;"','"&amp;Y866&amp;"','"&amp;U866&amp;"'))"</f>
        <v>a = Client().post('/recipes/noodles/detail/', {'recipe' : '52', 'ingredient' : '79', 'name' : 'gajar', 'mass_unit' : '2', 'mass_quantity' : '5', 'volume_unit' : '1', 'volume_quantity' : '0', 'pieces_unit' : '3', 'pieces_quantity' : '0', 'cooking_notes' : 'add all masala,lemon juice in choke after sabji is cooked'}).status_code; print('%s :: %s :: %s :: %s :: %s' %(a,866,'gajar','gajar','Noodles'))</v>
      </c>
    </row>
    <row r="867" customFormat="false" ht="13.8" hidden="false" customHeight="false" outlineLevel="0" collapsed="false">
      <c r="G867" s="80" t="n">
        <v>867</v>
      </c>
      <c r="H867" s="83"/>
      <c r="I867" s="83" t="s">
        <v>265</v>
      </c>
      <c r="J867" s="83" t="s">
        <v>192</v>
      </c>
      <c r="K867" s="61" t="n">
        <v>5</v>
      </c>
      <c r="L867" s="61" t="s">
        <v>7</v>
      </c>
      <c r="R867" s="82" t="str">
        <f aca="false">VLOOKUP(J867,ingredient!$N$4:$O$553,2,0)</f>
        <v>beans</v>
      </c>
      <c r="U867" s="81" t="str">
        <f aca="false">I867</f>
        <v>Noodles</v>
      </c>
      <c r="V867" s="81" t="n">
        <f aca="false">VLOOKUP(U867,recipe_ingred_list!$A$2:$B$300,2,0)</f>
        <v>52</v>
      </c>
      <c r="W867" s="81" t="str">
        <f aca="false">"/recipes/"&amp;VLOOKUP(U867,recipe_ingred_list!$A$2:$C$300,3,0)&amp;"/detail/"</f>
        <v>/recipes/noodles/detail/</v>
      </c>
      <c r="X867" s="81" t="str">
        <f aca="false">J867</f>
        <v>beans</v>
      </c>
      <c r="Y867" s="81" t="str">
        <f aca="false">R867</f>
        <v>beans</v>
      </c>
      <c r="Z867" s="94" t="n">
        <f aca="false">VLOOKUP(Y867,recipe_ingred_list!$D$2:$E$500,2,0)</f>
        <v>27</v>
      </c>
      <c r="AA867" s="61" t="n">
        <f aca="false">K867</f>
        <v>5</v>
      </c>
      <c r="AB867" s="61" t="str">
        <f aca="false">L867</f>
        <v>kg</v>
      </c>
      <c r="AC867" s="61" t="n">
        <f aca="false">VLOOKUP(AB867,recipe_ingred_list!$K$2:$M$7,3,0)</f>
        <v>2</v>
      </c>
      <c r="AD867" s="61" t="n">
        <f aca="false">M867</f>
        <v>0</v>
      </c>
      <c r="AE867" s="61" t="n">
        <f aca="false">N867</f>
        <v>0</v>
      </c>
      <c r="AF867" s="61" t="n">
        <f aca="false">VLOOKUP(AE867,recipe_ingred_list!$K$16:$M$25,3,0)</f>
        <v>1</v>
      </c>
      <c r="AG867" s="61" t="n">
        <f aca="false">O867</f>
        <v>0</v>
      </c>
      <c r="AH867" s="61" t="n">
        <f aca="false">P867</f>
        <v>0</v>
      </c>
      <c r="AI867" s="61" t="n">
        <f aca="false">VLOOKUP(AH867,recipe_ingred_list!$K$29:$M$34,3,0)</f>
        <v>3</v>
      </c>
      <c r="AJ867" s="61" t="str">
        <f aca="false">IF(Q867="","",Q867)</f>
        <v/>
      </c>
      <c r="AK867" s="61" t="n">
        <f aca="false">AK866+1</f>
        <v>867</v>
      </c>
      <c r="AL867" s="61" t="str">
        <f aca="false">Y867</f>
        <v>beans</v>
      </c>
      <c r="AM867" s="81" t="str">
        <f aca="false">"a = Client().post('"&amp;W867&amp;"', {'recipe' : '"&amp;V867&amp;"', 'ingredient' : '"&amp;Z867&amp;"', 'name' : '"&amp;X867&amp;"', 'mass_unit' : '"&amp;AC867&amp;"', 'mass_quantity' : '"&amp;ROUND(AA867,3)&amp;"', 'volume_unit' : '"&amp;AF867&amp;"', 'volume_quantity' : '"&amp;ROUND(AD867,3)&amp;"', 'pieces_unit' : '"&amp;AI867&amp;"', 'pieces_quantity' : '"&amp;ROUND(AG867,3)&amp;"', 'cooking_notes' : '"&amp;AJ867&amp;"'}).status_code; print('%s :: %s :: %s :: %s :: %s' %(a,"&amp;G867&amp;",'"&amp;X867&amp;"','"&amp;Y867&amp;"','"&amp;U867&amp;"'))"</f>
        <v>a = Client().post('/recipes/noodles/detail/', {'recipe' : '52', 'ingredient' : '27', 'name' : 'beans', 'mass_unit' : '2', 'mass_quantity' : '5', 'volume_unit' : '1', 'volume_quantity' : '0', 'pieces_unit' : '3', 'pieces_quantity' : '0', 'cooking_notes' : ''}).status_code; print('%s :: %s :: %s :: %s :: %s' %(a,867,'beans','beans','Noodles'))</v>
      </c>
    </row>
    <row r="868" customFormat="false" ht="13.8" hidden="false" customHeight="false" outlineLevel="0" collapsed="false">
      <c r="G868" s="80" t="n">
        <v>868</v>
      </c>
      <c r="H868" s="83"/>
      <c r="I868" s="83" t="s">
        <v>265</v>
      </c>
      <c r="J868" s="83" t="s">
        <v>831</v>
      </c>
      <c r="M868" s="61" t="n">
        <v>1.25</v>
      </c>
      <c r="N868" s="61" t="s">
        <v>13</v>
      </c>
      <c r="R868" s="82" t="str">
        <f aca="false">VLOOKUP(J868,ingredient!$N$4:$O$553,2,0)</f>
        <v>hari mirchi</v>
      </c>
      <c r="U868" s="81" t="str">
        <f aca="false">I868</f>
        <v>Noodles</v>
      </c>
      <c r="V868" s="81" t="n">
        <f aca="false">VLOOKUP(U868,recipe_ingred_list!$A$2:$B$300,2,0)</f>
        <v>52</v>
      </c>
      <c r="W868" s="81" t="str">
        <f aca="false">"/recipes/"&amp;VLOOKUP(U868,recipe_ingred_list!$A$2:$C$300,3,0)&amp;"/detail/"</f>
        <v>/recipes/noodles/detail/</v>
      </c>
      <c r="X868" s="81" t="str">
        <f aca="false">J868</f>
        <v>green chili ( chopp )</v>
      </c>
      <c r="Y868" s="81" t="str">
        <f aca="false">R868</f>
        <v>hari mirchi</v>
      </c>
      <c r="Z868" s="94" t="n">
        <f aca="false">VLOOKUP(Y868,recipe_ingred_list!$D$2:$E$500,2,0)</f>
        <v>93</v>
      </c>
      <c r="AA868" s="61" t="n">
        <f aca="false">K868</f>
        <v>0</v>
      </c>
      <c r="AB868" s="61" t="n">
        <f aca="false">L868</f>
        <v>0</v>
      </c>
      <c r="AC868" s="61" t="n">
        <f aca="false">VLOOKUP(AB868,recipe_ingred_list!$K$2:$M$7,3,0)</f>
        <v>2</v>
      </c>
      <c r="AD868" s="61" t="n">
        <f aca="false">M868</f>
        <v>1.25</v>
      </c>
      <c r="AE868" s="61" t="str">
        <f aca="false">N868</f>
        <v>ltr</v>
      </c>
      <c r="AF868" s="61" t="n">
        <f aca="false">VLOOKUP(AE868,recipe_ingred_list!$K$16:$M$25,3,0)</f>
        <v>1</v>
      </c>
      <c r="AG868" s="61" t="n">
        <f aca="false">O868</f>
        <v>0</v>
      </c>
      <c r="AH868" s="61" t="n">
        <f aca="false">P868</f>
        <v>0</v>
      </c>
      <c r="AI868" s="61" t="n">
        <f aca="false">VLOOKUP(AH868,recipe_ingred_list!$K$29:$M$34,3,0)</f>
        <v>3</v>
      </c>
      <c r="AJ868" s="61" t="str">
        <f aca="false">IF(Q868="","",Q868)</f>
        <v/>
      </c>
      <c r="AK868" s="61" t="n">
        <f aca="false">AK867+1</f>
        <v>868</v>
      </c>
      <c r="AL868" s="61" t="str">
        <f aca="false">Y868</f>
        <v>hari mirchi</v>
      </c>
      <c r="AM868" s="81" t="str">
        <f aca="false">"a = Client().post('"&amp;W868&amp;"', {'recipe' : '"&amp;V868&amp;"', 'ingredient' : '"&amp;Z868&amp;"', 'name' : '"&amp;X868&amp;"', 'mass_unit' : '"&amp;AC868&amp;"', 'mass_quantity' : '"&amp;ROUND(AA868,3)&amp;"', 'volume_unit' : '"&amp;AF868&amp;"', 'volume_quantity' : '"&amp;ROUND(AD868,3)&amp;"', 'pieces_unit' : '"&amp;AI868&amp;"', 'pieces_quantity' : '"&amp;ROUND(AG868,3)&amp;"', 'cooking_notes' : '"&amp;AJ868&amp;"'}).status_code; print('%s :: %s :: %s :: %s :: %s' %(a,"&amp;G868&amp;",'"&amp;X868&amp;"','"&amp;Y868&amp;"','"&amp;U868&amp;"'))"</f>
        <v>a = Client().post('/recipes/noodles/detail/', {'recipe' : '52', 'ingredient' : '93', 'name' : 'green chili ( chopp )', 'mass_unit' : '2', 'mass_quantity' : '0', 'volume_unit' : '1', 'volume_quantity' : '1.25', 'pieces_unit' : '3', 'pieces_quantity' : '0', 'cooking_notes' : ''}).status_code; print('%s :: %s :: %s :: %s :: %s' %(a,868,'green chili ( chopp )','hari mirchi','Noodles'))</v>
      </c>
    </row>
    <row r="869" customFormat="false" ht="13.8" hidden="false" customHeight="false" outlineLevel="0" collapsed="false">
      <c r="G869" s="80" t="n">
        <v>869</v>
      </c>
      <c r="H869" s="83"/>
      <c r="I869" s="83" t="s">
        <v>265</v>
      </c>
      <c r="J869" s="83" t="s">
        <v>832</v>
      </c>
      <c r="M869" s="61" t="n">
        <v>2</v>
      </c>
      <c r="N869" s="61" t="s">
        <v>13</v>
      </c>
      <c r="R869" s="82" t="str">
        <f aca="false">VLOOKUP(J869,ingredient!$N$4:$O$553,2,0)</f>
        <v>adrak</v>
      </c>
      <c r="U869" s="81" t="str">
        <f aca="false">I869</f>
        <v>Noodles</v>
      </c>
      <c r="V869" s="81" t="n">
        <f aca="false">VLOOKUP(U869,recipe_ingred_list!$A$2:$B$300,2,0)</f>
        <v>52</v>
      </c>
      <c r="W869" s="81" t="str">
        <f aca="false">"/recipes/"&amp;VLOOKUP(U869,recipe_ingred_list!$A$2:$C$300,3,0)&amp;"/detail/"</f>
        <v>/recipes/noodles/detail/</v>
      </c>
      <c r="X869" s="81" t="str">
        <f aca="false">J869</f>
        <v>adrak (grate in morning)</v>
      </c>
      <c r="Y869" s="81" t="str">
        <f aca="false">R869</f>
        <v>adrak</v>
      </c>
      <c r="Z869" s="94" t="n">
        <f aca="false">VLOOKUP(Y869,recipe_ingred_list!$D$2:$E$500,2,0)</f>
        <v>1</v>
      </c>
      <c r="AA869" s="61" t="n">
        <f aca="false">K869</f>
        <v>0</v>
      </c>
      <c r="AB869" s="61" t="n">
        <f aca="false">L869</f>
        <v>0</v>
      </c>
      <c r="AC869" s="61" t="n">
        <f aca="false">VLOOKUP(AB869,recipe_ingred_list!$K$2:$M$7,3,0)</f>
        <v>2</v>
      </c>
      <c r="AD869" s="61" t="n">
        <f aca="false">M869</f>
        <v>2</v>
      </c>
      <c r="AE869" s="61" t="str">
        <f aca="false">N869</f>
        <v>ltr</v>
      </c>
      <c r="AF869" s="61" t="n">
        <f aca="false">VLOOKUP(AE869,recipe_ingred_list!$K$16:$M$25,3,0)</f>
        <v>1</v>
      </c>
      <c r="AG869" s="61" t="n">
        <f aca="false">O869</f>
        <v>0</v>
      </c>
      <c r="AH869" s="61" t="n">
        <f aca="false">P869</f>
        <v>0</v>
      </c>
      <c r="AI869" s="61" t="n">
        <f aca="false">VLOOKUP(AH869,recipe_ingred_list!$K$29:$M$34,3,0)</f>
        <v>3</v>
      </c>
      <c r="AJ869" s="61" t="str">
        <f aca="false">IF(Q869="","",Q869)</f>
        <v/>
      </c>
      <c r="AK869" s="61" t="n">
        <f aca="false">AK868+1</f>
        <v>869</v>
      </c>
      <c r="AL869" s="61" t="str">
        <f aca="false">Y869</f>
        <v>adrak</v>
      </c>
      <c r="AM869" s="81" t="str">
        <f aca="false">"a = Client().post('"&amp;W869&amp;"', {'recipe' : '"&amp;V869&amp;"', 'ingredient' : '"&amp;Z869&amp;"', 'name' : '"&amp;X869&amp;"', 'mass_unit' : '"&amp;AC869&amp;"', 'mass_quantity' : '"&amp;ROUND(AA869,3)&amp;"', 'volume_unit' : '"&amp;AF869&amp;"', 'volume_quantity' : '"&amp;ROUND(AD869,3)&amp;"', 'pieces_unit' : '"&amp;AI869&amp;"', 'pieces_quantity' : '"&amp;ROUND(AG869,3)&amp;"', 'cooking_notes' : '"&amp;AJ869&amp;"'}).status_code; print('%s :: %s :: %s :: %s :: %s' %(a,"&amp;G869&amp;",'"&amp;X869&amp;"','"&amp;Y869&amp;"','"&amp;U869&amp;"'))"</f>
        <v>a = Client().post('/recipes/noodles/detail/', {'recipe' : '52', 'ingredient' : '1', 'name' : 'adrak (grate in morning)', 'mass_unit' : '2', 'mass_quantity' : '0', 'volume_unit' : '1', 'volume_quantity' : '2', 'pieces_unit' : '3', 'pieces_quantity' : '0', 'cooking_notes' : ''}).status_code; print('%s :: %s :: %s :: %s :: %s' %(a,869,'adrak (grate in morning)','adrak','Noodles'))</v>
      </c>
    </row>
    <row r="870" customFormat="false" ht="13.8" hidden="false" customHeight="false" outlineLevel="0" collapsed="false">
      <c r="G870" s="80" t="n">
        <v>870</v>
      </c>
      <c r="H870" s="83"/>
      <c r="I870" s="83" t="s">
        <v>265</v>
      </c>
      <c r="J870" s="83" t="s">
        <v>833</v>
      </c>
      <c r="M870" s="61" t="n">
        <v>2</v>
      </c>
      <c r="N870" s="61" t="s">
        <v>20</v>
      </c>
      <c r="R870" s="82" t="str">
        <f aca="false">VLOOKUP(J870,ingredient!$N$4:$O$553,2,0)</f>
        <v>lemon</v>
      </c>
      <c r="U870" s="81" t="str">
        <f aca="false">I870</f>
        <v>Noodles</v>
      </c>
      <c r="V870" s="81" t="n">
        <f aca="false">VLOOKUP(U870,recipe_ingred_list!$A$2:$B$300,2,0)</f>
        <v>52</v>
      </c>
      <c r="W870" s="81" t="str">
        <f aca="false">"/recipes/"&amp;VLOOKUP(U870,recipe_ingred_list!$A$2:$C$300,3,0)&amp;"/detail/"</f>
        <v>/recipes/noodles/detail/</v>
      </c>
      <c r="X870" s="81" t="str">
        <f aca="false">J870</f>
        <v>lemon juice</v>
      </c>
      <c r="Y870" s="81" t="str">
        <f aca="false">R870</f>
        <v>lemon</v>
      </c>
      <c r="Z870" s="94" t="n">
        <f aca="false">VLOOKUP(Y870,recipe_ingred_list!$D$2:$E$500,2,0)</f>
        <v>129</v>
      </c>
      <c r="AA870" s="61" t="n">
        <f aca="false">K870</f>
        <v>0</v>
      </c>
      <c r="AB870" s="61" t="n">
        <f aca="false">L870</f>
        <v>0</v>
      </c>
      <c r="AC870" s="61" t="n">
        <f aca="false">VLOOKUP(AB870,recipe_ingred_list!$K$2:$M$7,3,0)</f>
        <v>2</v>
      </c>
      <c r="AD870" s="61" t="n">
        <f aca="false">M870</f>
        <v>2</v>
      </c>
      <c r="AE870" s="61" t="str">
        <f aca="false">N870</f>
        <v>cup</v>
      </c>
      <c r="AF870" s="61" t="n">
        <f aca="false">VLOOKUP(AE870,recipe_ingred_list!$K$16:$M$25,3,0)</f>
        <v>5</v>
      </c>
      <c r="AG870" s="61" t="n">
        <f aca="false">O870</f>
        <v>0</v>
      </c>
      <c r="AH870" s="61" t="n">
        <f aca="false">P870</f>
        <v>0</v>
      </c>
      <c r="AI870" s="61" t="n">
        <f aca="false">VLOOKUP(AH870,recipe_ingred_list!$K$29:$M$34,3,0)</f>
        <v>3</v>
      </c>
      <c r="AJ870" s="61" t="str">
        <f aca="false">IF(Q870="","",Q870)</f>
        <v/>
      </c>
      <c r="AK870" s="61" t="n">
        <f aca="false">AK869+1</f>
        <v>870</v>
      </c>
      <c r="AL870" s="61" t="str">
        <f aca="false">Y870</f>
        <v>lemon</v>
      </c>
      <c r="AM870" s="81" t="str">
        <f aca="false">"a = Client().post('"&amp;W870&amp;"', {'recipe' : '"&amp;V870&amp;"', 'ingredient' : '"&amp;Z870&amp;"', 'name' : '"&amp;X870&amp;"', 'mass_unit' : '"&amp;AC870&amp;"', 'mass_quantity' : '"&amp;ROUND(AA870,3)&amp;"', 'volume_unit' : '"&amp;AF870&amp;"', 'volume_quantity' : '"&amp;ROUND(AD870,3)&amp;"', 'pieces_unit' : '"&amp;AI870&amp;"', 'pieces_quantity' : '"&amp;ROUND(AG870,3)&amp;"', 'cooking_notes' : '"&amp;AJ870&amp;"'}).status_code; print('%s :: %s :: %s :: %s :: %s' %(a,"&amp;G870&amp;",'"&amp;X870&amp;"','"&amp;Y870&amp;"','"&amp;U870&amp;"'))"</f>
        <v>a = Client().post('/recipes/noodles/detail/', {'recipe' : '52', 'ingredient' : '129', 'name' : 'lemon juice', 'mass_unit' : '2', 'mass_quantity' : '0', 'volume_unit' : '5', 'volume_quantity' : '2', 'pieces_unit' : '3', 'pieces_quantity' : '0', 'cooking_notes' : ''}).status_code; print('%s :: %s :: %s :: %s :: %s' %(a,870,'lemon juice','lemon','Noodles'))</v>
      </c>
    </row>
    <row r="871" customFormat="false" ht="13.8" hidden="false" customHeight="false" outlineLevel="0" collapsed="false">
      <c r="G871" s="80" t="n">
        <v>871</v>
      </c>
      <c r="H871" s="83"/>
      <c r="I871" s="83" t="s">
        <v>265</v>
      </c>
      <c r="J871" s="83" t="s">
        <v>485</v>
      </c>
      <c r="K871" s="61" t="n">
        <v>15</v>
      </c>
      <c r="L871" s="61" t="s">
        <v>7</v>
      </c>
      <c r="R871" s="82" t="str">
        <f aca="false">VLOOKUP(J871,ingredient!$N$4:$O$553,2,0)</f>
        <v>tomato</v>
      </c>
      <c r="U871" s="81" t="str">
        <f aca="false">I871</f>
        <v>Noodles</v>
      </c>
      <c r="V871" s="81" t="n">
        <f aca="false">VLOOKUP(U871,recipe_ingred_list!$A$2:$B$300,2,0)</f>
        <v>52</v>
      </c>
      <c r="W871" s="81" t="str">
        <f aca="false">"/recipes/"&amp;VLOOKUP(U871,recipe_ingred_list!$A$2:$C$300,3,0)&amp;"/detail/"</f>
        <v>/recipes/noodles/detail/</v>
      </c>
      <c r="X871" s="81" t="str">
        <f aca="false">J871</f>
        <v>tomato</v>
      </c>
      <c r="Y871" s="81" t="str">
        <f aca="false">R871</f>
        <v>tomato</v>
      </c>
      <c r="Z871" s="94" t="n">
        <f aca="false">VLOOKUP(Y871,recipe_ingred_list!$D$2:$E$500,2,0)</f>
        <v>195</v>
      </c>
      <c r="AA871" s="61" t="n">
        <f aca="false">K871</f>
        <v>15</v>
      </c>
      <c r="AB871" s="61" t="str">
        <f aca="false">L871</f>
        <v>kg</v>
      </c>
      <c r="AC871" s="61" t="n">
        <f aca="false">VLOOKUP(AB871,recipe_ingred_list!$K$2:$M$7,3,0)</f>
        <v>2</v>
      </c>
      <c r="AD871" s="61" t="n">
        <f aca="false">M871</f>
        <v>0</v>
      </c>
      <c r="AE871" s="61" t="n">
        <f aca="false">N871</f>
        <v>0</v>
      </c>
      <c r="AF871" s="61" t="n">
        <f aca="false">VLOOKUP(AE871,recipe_ingred_list!$K$16:$M$25,3,0)</f>
        <v>1</v>
      </c>
      <c r="AG871" s="61" t="n">
        <f aca="false">O871</f>
        <v>0</v>
      </c>
      <c r="AH871" s="61" t="n">
        <f aca="false">P871</f>
        <v>0</v>
      </c>
      <c r="AI871" s="61" t="n">
        <f aca="false">VLOOKUP(AH871,recipe_ingred_list!$K$29:$M$34,3,0)</f>
        <v>3</v>
      </c>
      <c r="AJ871" s="61" t="str">
        <f aca="false">IF(Q871="","",Q871)</f>
        <v/>
      </c>
      <c r="AK871" s="61" t="n">
        <f aca="false">AK870+1</f>
        <v>871</v>
      </c>
      <c r="AL871" s="61" t="str">
        <f aca="false">Y871</f>
        <v>tomato</v>
      </c>
      <c r="AM871" s="81" t="str">
        <f aca="false">"a = Client().post('"&amp;W871&amp;"', {'recipe' : '"&amp;V871&amp;"', 'ingredient' : '"&amp;Z871&amp;"', 'name' : '"&amp;X871&amp;"', 'mass_unit' : '"&amp;AC871&amp;"', 'mass_quantity' : '"&amp;ROUND(AA871,3)&amp;"', 'volume_unit' : '"&amp;AF871&amp;"', 'volume_quantity' : '"&amp;ROUND(AD871,3)&amp;"', 'pieces_unit' : '"&amp;AI871&amp;"', 'pieces_quantity' : '"&amp;ROUND(AG871,3)&amp;"', 'cooking_notes' : '"&amp;AJ871&amp;"'}).status_code; print('%s :: %s :: %s :: %s :: %s' %(a,"&amp;G871&amp;",'"&amp;X871&amp;"','"&amp;Y871&amp;"','"&amp;U871&amp;"'))"</f>
        <v>a = Client().post('/recipes/noodles/detail/', {'recipe' : '52', 'ingredient' : '195', 'name' : 'tomato', 'mass_unit' : '2', 'mass_quantity' : '15', 'volume_unit' : '1', 'volume_quantity' : '0', 'pieces_unit' : '3', 'pieces_quantity' : '0', 'cooking_notes' : ''}).status_code; print('%s :: %s :: %s :: %s :: %s' %(a,871,'tomato','tomato','Noodles'))</v>
      </c>
    </row>
    <row r="872" customFormat="false" ht="13.8" hidden="false" customHeight="false" outlineLevel="0" collapsed="false">
      <c r="G872" s="80" t="n">
        <v>872</v>
      </c>
      <c r="H872" s="79"/>
      <c r="I872" s="79" t="s">
        <v>265</v>
      </c>
      <c r="J872" s="79" t="s">
        <v>509</v>
      </c>
      <c r="K872" s="100" t="n">
        <v>6</v>
      </c>
      <c r="L872" s="100" t="s">
        <v>7</v>
      </c>
      <c r="M872" s="100" t="n">
        <v>1.5</v>
      </c>
      <c r="N872" s="100" t="s">
        <v>13</v>
      </c>
      <c r="O872" s="100"/>
      <c r="P872" s="100"/>
      <c r="Q872" s="102"/>
      <c r="R872" s="99" t="str">
        <f aca="false">VLOOKUP(J872,ingredient!$N$4:$O$553,2,0)</f>
        <v>masala for 6 kg batch</v>
      </c>
      <c r="S872" s="98"/>
      <c r="T872" s="98"/>
      <c r="U872" s="81" t="str">
        <f aca="false">I872</f>
        <v>Noodles</v>
      </c>
      <c r="V872" s="81" t="n">
        <f aca="false">VLOOKUP(U872,recipe_ingred_list!$A$2:$B$300,2,0)</f>
        <v>52</v>
      </c>
      <c r="W872" s="81" t="str">
        <f aca="false">"/recipes/"&amp;VLOOKUP(U872,recipe_ingred_list!$A$2:$C$300,3,0)&amp;"/detail/"</f>
        <v>/recipes/noodles/detail/</v>
      </c>
      <c r="X872" s="81" t="str">
        <f aca="false">J872</f>
        <v>masala for 6 kg batch</v>
      </c>
      <c r="Y872" s="81" t="str">
        <f aca="false">R872</f>
        <v>masala for 6 kg batch</v>
      </c>
      <c r="Z872" s="94" t="n">
        <f aca="false">VLOOKUP(Y872,recipe_ingred_list!$D$2:$E$500,2,0)</f>
        <v>222</v>
      </c>
      <c r="AA872" s="61" t="n">
        <f aca="false">K872</f>
        <v>6</v>
      </c>
      <c r="AB872" s="61" t="str">
        <f aca="false">L872</f>
        <v>kg</v>
      </c>
      <c r="AC872" s="61" t="n">
        <f aca="false">VLOOKUP(AB872,recipe_ingred_list!$K$2:$M$7,3,0)</f>
        <v>2</v>
      </c>
      <c r="AD872" s="61" t="n">
        <f aca="false">M872</f>
        <v>1.5</v>
      </c>
      <c r="AE872" s="61" t="str">
        <f aca="false">N872</f>
        <v>ltr</v>
      </c>
      <c r="AF872" s="61" t="n">
        <f aca="false">VLOOKUP(AE872,recipe_ingred_list!$K$16:$M$25,3,0)</f>
        <v>1</v>
      </c>
      <c r="AG872" s="61" t="n">
        <f aca="false">O872</f>
        <v>0</v>
      </c>
      <c r="AH872" s="61" t="n">
        <f aca="false">P872</f>
        <v>0</v>
      </c>
      <c r="AI872" s="61" t="n">
        <f aca="false">VLOOKUP(AH872,recipe_ingred_list!$K$29:$M$34,3,0)</f>
        <v>3</v>
      </c>
      <c r="AJ872" s="61" t="str">
        <f aca="false">IF(Q872="","",Q872)</f>
        <v/>
      </c>
      <c r="AK872" s="61" t="n">
        <f aca="false">AK871+1</f>
        <v>872</v>
      </c>
      <c r="AL872" s="61" t="str">
        <f aca="false">Y872</f>
        <v>masala for 6 kg batch</v>
      </c>
      <c r="AM872" s="81" t="str">
        <f aca="false">"a = Client().post('"&amp;W872&amp;"', {'recipe' : '"&amp;V872&amp;"', 'ingredient' : '"&amp;Z872&amp;"', 'name' : '"&amp;X872&amp;"', 'mass_unit' : '"&amp;AC872&amp;"', 'mass_quantity' : '"&amp;ROUND(AA872,3)&amp;"', 'volume_unit' : '"&amp;AF872&amp;"', 'volume_quantity' : '"&amp;ROUND(AD872,3)&amp;"', 'pieces_unit' : '"&amp;AI872&amp;"', 'pieces_quantity' : '"&amp;ROUND(AG872,3)&amp;"', 'cooking_notes' : '"&amp;AJ872&amp;"'}).status_code; print('%s :: %s :: %s :: %s :: %s' %(a,"&amp;G872&amp;",'"&amp;X872&amp;"','"&amp;Y872&amp;"','"&amp;U872&amp;"'))"</f>
        <v>a = Client().post('/recipes/noodles/detail/', {'recipe' : '52', 'ingredient' : '222', 'name' : 'masala for 6 kg batch', 'mass_unit' : '2', 'mass_quantity' : '6', 'volume_unit' : '1', 'volume_quantity' : '1.5', 'pieces_unit' : '3', 'pieces_quantity' : '0', 'cooking_notes' : ''}).status_code; print('%s :: %s :: %s :: %s :: %s' %(a,872,'masala for 6 kg batch','masala for 6 kg batch','Noodles'))</v>
      </c>
    </row>
    <row r="873" customFormat="false" ht="13.8" hidden="false" customHeight="false" outlineLevel="0" collapsed="false">
      <c r="G873" s="80" t="n">
        <v>873</v>
      </c>
      <c r="H873" s="83"/>
      <c r="I873" s="83" t="s">
        <v>265</v>
      </c>
      <c r="J873" s="83" t="s">
        <v>834</v>
      </c>
      <c r="K873" s="61" t="n">
        <v>6</v>
      </c>
      <c r="L873" s="61" t="s">
        <v>7</v>
      </c>
      <c r="M873" s="61" t="n">
        <v>1</v>
      </c>
      <c r="N873" s="61" t="s">
        <v>20</v>
      </c>
      <c r="R873" s="82" t="str">
        <f aca="false">VLOOKUP(J873,ingredient!$N$4:$O$553,2,0)</f>
        <v>tomato sauce</v>
      </c>
      <c r="U873" s="81" t="str">
        <f aca="false">I873</f>
        <v>Noodles</v>
      </c>
      <c r="V873" s="81" t="n">
        <f aca="false">VLOOKUP(U873,recipe_ingred_list!$A$2:$B$300,2,0)</f>
        <v>52</v>
      </c>
      <c r="W873" s="81" t="str">
        <f aca="false">"/recipes/"&amp;VLOOKUP(U873,recipe_ingred_list!$A$2:$C$300,3,0)&amp;"/detail/"</f>
        <v>/recipes/noodles/detail/</v>
      </c>
      <c r="X873" s="81" t="str">
        <f aca="false">J873</f>
        <v>fresh tomato sauce</v>
      </c>
      <c r="Y873" s="81" t="str">
        <f aca="false">R873</f>
        <v>tomato sauce</v>
      </c>
      <c r="Z873" s="94" t="n">
        <f aca="false">VLOOKUP(Y873,recipe_ingred_list!$D$2:$E$500,2,0)</f>
        <v>196</v>
      </c>
      <c r="AA873" s="61" t="n">
        <f aca="false">K873</f>
        <v>6</v>
      </c>
      <c r="AB873" s="61" t="str">
        <f aca="false">L873</f>
        <v>kg</v>
      </c>
      <c r="AC873" s="61" t="n">
        <f aca="false">VLOOKUP(AB873,recipe_ingred_list!$K$2:$M$7,3,0)</f>
        <v>2</v>
      </c>
      <c r="AD873" s="61" t="n">
        <f aca="false">M873</f>
        <v>1</v>
      </c>
      <c r="AE873" s="61" t="str">
        <f aca="false">N873</f>
        <v>cup</v>
      </c>
      <c r="AF873" s="61" t="n">
        <f aca="false">VLOOKUP(AE873,recipe_ingred_list!$K$16:$M$25,3,0)</f>
        <v>5</v>
      </c>
      <c r="AG873" s="61" t="n">
        <f aca="false">O873</f>
        <v>0</v>
      </c>
      <c r="AH873" s="61" t="n">
        <f aca="false">P873</f>
        <v>0</v>
      </c>
      <c r="AI873" s="61" t="n">
        <f aca="false">VLOOKUP(AH873,recipe_ingred_list!$K$29:$M$34,3,0)</f>
        <v>3</v>
      </c>
      <c r="AJ873" s="61" t="str">
        <f aca="false">IF(Q873="","",Q873)</f>
        <v/>
      </c>
      <c r="AK873" s="61" t="n">
        <f aca="false">AK872+1</f>
        <v>873</v>
      </c>
      <c r="AL873" s="61" t="str">
        <f aca="false">Y873</f>
        <v>tomato sauce</v>
      </c>
      <c r="AM873" s="81" t="str">
        <f aca="false">"a = Client().post('"&amp;W873&amp;"', {'recipe' : '"&amp;V873&amp;"', 'ingredient' : '"&amp;Z873&amp;"', 'name' : '"&amp;X873&amp;"', 'mass_unit' : '"&amp;AC873&amp;"', 'mass_quantity' : '"&amp;ROUND(AA873,3)&amp;"', 'volume_unit' : '"&amp;AF873&amp;"', 'volume_quantity' : '"&amp;ROUND(AD873,3)&amp;"', 'pieces_unit' : '"&amp;AI873&amp;"', 'pieces_quantity' : '"&amp;ROUND(AG873,3)&amp;"', 'cooking_notes' : '"&amp;AJ873&amp;"'}).status_code; print('%s :: %s :: %s :: %s :: %s' %(a,"&amp;G873&amp;",'"&amp;X873&amp;"','"&amp;Y873&amp;"','"&amp;U873&amp;"'))"</f>
        <v>a = Client().post('/recipes/noodles/detail/', {'recipe' : '52', 'ingredient' : '196', 'name' : 'fresh tomato sauce', 'mass_unit' : '2', 'mass_quantity' : '6', 'volume_unit' : '5', 'volume_quantity' : '1', 'pieces_unit' : '3', 'pieces_quantity' : '0', 'cooking_notes' : ''}).status_code; print('%s :: %s :: %s :: %s :: %s' %(a,873,'fresh tomato sauce','tomato sauce','Noodles'))</v>
      </c>
    </row>
    <row r="874" customFormat="false" ht="13.8" hidden="false" customHeight="false" outlineLevel="0" collapsed="false">
      <c r="G874" s="80" t="n">
        <v>874</v>
      </c>
      <c r="H874" s="83"/>
      <c r="I874" s="83" t="s">
        <v>265</v>
      </c>
      <c r="J874" s="83" t="s">
        <v>476</v>
      </c>
      <c r="K874" s="61" t="n">
        <v>6</v>
      </c>
      <c r="L874" s="61" t="s">
        <v>7</v>
      </c>
      <c r="R874" s="82" t="str">
        <f aca="false">VLOOKUP(J874,ingredient!$N$4:$O$553,2,0)</f>
        <v>soya sauce</v>
      </c>
      <c r="U874" s="81" t="str">
        <f aca="false">I874</f>
        <v>Noodles</v>
      </c>
      <c r="V874" s="81" t="n">
        <f aca="false">VLOOKUP(U874,recipe_ingred_list!$A$2:$B$300,2,0)</f>
        <v>52</v>
      </c>
      <c r="W874" s="81" t="str">
        <f aca="false">"/recipes/"&amp;VLOOKUP(U874,recipe_ingred_list!$A$2:$C$300,3,0)&amp;"/detail/"</f>
        <v>/recipes/noodles/detail/</v>
      </c>
      <c r="X874" s="81" t="str">
        <f aca="false">J874</f>
        <v>soya sauce</v>
      </c>
      <c r="Y874" s="81" t="str">
        <f aca="false">R874</f>
        <v>soya sauce</v>
      </c>
      <c r="Z874" s="94" t="n">
        <f aca="false">VLOOKUP(Y874,recipe_ingred_list!$D$2:$E$500,2,0)</f>
        <v>185</v>
      </c>
      <c r="AA874" s="61" t="n">
        <f aca="false">K874</f>
        <v>6</v>
      </c>
      <c r="AB874" s="61" t="str">
        <f aca="false">L874</f>
        <v>kg</v>
      </c>
      <c r="AC874" s="61" t="n">
        <f aca="false">VLOOKUP(AB874,recipe_ingred_list!$K$2:$M$7,3,0)</f>
        <v>2</v>
      </c>
      <c r="AD874" s="61" t="n">
        <f aca="false">M874</f>
        <v>0</v>
      </c>
      <c r="AE874" s="61" t="n">
        <f aca="false">N874</f>
        <v>0</v>
      </c>
      <c r="AF874" s="61" t="n">
        <f aca="false">VLOOKUP(AE874,recipe_ingred_list!$K$16:$M$25,3,0)</f>
        <v>1</v>
      </c>
      <c r="AG874" s="61" t="n">
        <f aca="false">O874</f>
        <v>0</v>
      </c>
      <c r="AH874" s="61" t="n">
        <f aca="false">P874</f>
        <v>0</v>
      </c>
      <c r="AI874" s="61" t="n">
        <f aca="false">VLOOKUP(AH874,recipe_ingred_list!$K$29:$M$34,3,0)</f>
        <v>3</v>
      </c>
      <c r="AJ874" s="61" t="str">
        <f aca="false">IF(Q874="","",Q874)</f>
        <v/>
      </c>
      <c r="AK874" s="61" t="n">
        <f aca="false">AK873+1</f>
        <v>874</v>
      </c>
      <c r="AL874" s="61" t="str">
        <f aca="false">Y874</f>
        <v>soya sauce</v>
      </c>
      <c r="AM874" s="81" t="str">
        <f aca="false">"a = Client().post('"&amp;W874&amp;"', {'recipe' : '"&amp;V874&amp;"', 'ingredient' : '"&amp;Z874&amp;"', 'name' : '"&amp;X874&amp;"', 'mass_unit' : '"&amp;AC874&amp;"', 'mass_quantity' : '"&amp;ROUND(AA874,3)&amp;"', 'volume_unit' : '"&amp;AF874&amp;"', 'volume_quantity' : '"&amp;ROUND(AD874,3)&amp;"', 'pieces_unit' : '"&amp;AI874&amp;"', 'pieces_quantity' : '"&amp;ROUND(AG874,3)&amp;"', 'cooking_notes' : '"&amp;AJ874&amp;"'}).status_code; print('%s :: %s :: %s :: %s :: %s' %(a,"&amp;G874&amp;",'"&amp;X874&amp;"','"&amp;Y874&amp;"','"&amp;U874&amp;"'))"</f>
        <v>a = Client().post('/recipes/noodles/detail/', {'recipe' : '52', 'ingredient' : '185', 'name' : 'soya sauce', 'mass_unit' : '2', 'mass_quantity' : '6', 'volume_unit' : '1', 'volume_quantity' : '0', 'pieces_unit' : '3', 'pieces_quantity' : '0', 'cooking_notes' : ''}).status_code; print('%s :: %s :: %s :: %s :: %s' %(a,874,'soya sauce','soya sauce','Noodles'))</v>
      </c>
    </row>
    <row r="875" customFormat="false" ht="13.8" hidden="false" customHeight="false" outlineLevel="0" collapsed="false">
      <c r="G875" s="80" t="n">
        <v>875</v>
      </c>
      <c r="H875" s="83"/>
      <c r="I875" s="83" t="s">
        <v>265</v>
      </c>
      <c r="J875" s="83" t="s">
        <v>266</v>
      </c>
      <c r="M875" s="61" t="n">
        <v>1.25</v>
      </c>
      <c r="N875" s="61" t="s">
        <v>13</v>
      </c>
      <c r="R875" s="82" t="str">
        <f aca="false">VLOOKUP(J875,ingredient!$N$4:$O$553,2,0)</f>
        <v>noodles</v>
      </c>
      <c r="U875" s="81" t="str">
        <f aca="false">I875</f>
        <v>Noodles</v>
      </c>
      <c r="V875" s="81" t="n">
        <f aca="false">VLOOKUP(U875,recipe_ingred_list!$A$2:$B$300,2,0)</f>
        <v>52</v>
      </c>
      <c r="W875" s="81" t="str">
        <f aca="false">"/recipes/"&amp;VLOOKUP(U875,recipe_ingred_list!$A$2:$C$300,3,0)&amp;"/detail/"</f>
        <v>/recipes/noodles/detail/</v>
      </c>
      <c r="X875" s="81" t="str">
        <f aca="false">J875</f>
        <v>noodles</v>
      </c>
      <c r="Y875" s="81" t="str">
        <f aca="false">R875</f>
        <v>noodles</v>
      </c>
      <c r="Z875" s="94" t="n">
        <f aca="false">VLOOKUP(Y875,recipe_ingred_list!$D$2:$E$500,2,0)</f>
        <v>151</v>
      </c>
      <c r="AA875" s="61" t="n">
        <f aca="false">K875</f>
        <v>0</v>
      </c>
      <c r="AB875" s="61" t="n">
        <f aca="false">L875</f>
        <v>0</v>
      </c>
      <c r="AC875" s="61" t="n">
        <f aca="false">VLOOKUP(AB875,recipe_ingred_list!$K$2:$M$7,3,0)</f>
        <v>2</v>
      </c>
      <c r="AD875" s="61" t="n">
        <f aca="false">M875</f>
        <v>1.25</v>
      </c>
      <c r="AE875" s="61" t="str">
        <f aca="false">N875</f>
        <v>ltr</v>
      </c>
      <c r="AF875" s="61" t="n">
        <f aca="false">VLOOKUP(AE875,recipe_ingred_list!$K$16:$M$25,3,0)</f>
        <v>1</v>
      </c>
      <c r="AG875" s="61" t="n">
        <f aca="false">O875</f>
        <v>0</v>
      </c>
      <c r="AH875" s="61" t="n">
        <f aca="false">P875</f>
        <v>0</v>
      </c>
      <c r="AI875" s="61" t="n">
        <f aca="false">VLOOKUP(AH875,recipe_ingred_list!$K$29:$M$34,3,0)</f>
        <v>3</v>
      </c>
      <c r="AJ875" s="61" t="str">
        <f aca="false">IF(Q875="","",Q875)</f>
        <v/>
      </c>
      <c r="AK875" s="61" t="n">
        <f aca="false">AK874+1</f>
        <v>875</v>
      </c>
      <c r="AL875" s="61" t="str">
        <f aca="false">Y875</f>
        <v>noodles</v>
      </c>
      <c r="AM875" s="81" t="str">
        <f aca="false">"a = Client().post('"&amp;W875&amp;"', {'recipe' : '"&amp;V875&amp;"', 'ingredient' : '"&amp;Z875&amp;"', 'name' : '"&amp;X875&amp;"', 'mass_unit' : '"&amp;AC875&amp;"', 'mass_quantity' : '"&amp;ROUND(AA875,3)&amp;"', 'volume_unit' : '"&amp;AF875&amp;"', 'volume_quantity' : '"&amp;ROUND(AD875,3)&amp;"', 'pieces_unit' : '"&amp;AI875&amp;"', 'pieces_quantity' : '"&amp;ROUND(AG875,3)&amp;"', 'cooking_notes' : '"&amp;AJ875&amp;"'}).status_code; print('%s :: %s :: %s :: %s :: %s' %(a,"&amp;G875&amp;",'"&amp;X875&amp;"','"&amp;Y875&amp;"','"&amp;U875&amp;"'))"</f>
        <v>a = Client().post('/recipes/noodles/detail/', {'recipe' : '52', 'ingredient' : '151', 'name' : 'noodles', 'mass_unit' : '2', 'mass_quantity' : '0', 'volume_unit' : '1', 'volume_quantity' : '1.25', 'pieces_unit' : '3', 'pieces_quantity' : '0', 'cooking_notes' : ''}).status_code; print('%s :: %s :: %s :: %s :: %s' %(a,875,'noodles','noodles','Noodles'))</v>
      </c>
    </row>
    <row r="876" customFormat="false" ht="13.8" hidden="false" customHeight="false" outlineLevel="0" collapsed="false">
      <c r="G876" s="80" t="n">
        <v>876</v>
      </c>
      <c r="H876" s="83"/>
      <c r="I876" s="83" t="s">
        <v>265</v>
      </c>
      <c r="J876" s="83" t="s">
        <v>377</v>
      </c>
      <c r="K876" s="61" t="n">
        <v>6</v>
      </c>
      <c r="L876" s="61" t="s">
        <v>7</v>
      </c>
      <c r="M876" s="61" t="n">
        <v>0.5</v>
      </c>
      <c r="N876" s="61" t="s">
        <v>13</v>
      </c>
      <c r="R876" s="82" t="str">
        <f aca="false">VLOOKUP(J876,ingredient!$N$4:$O$553,2,0)</f>
        <v>ground nut oil</v>
      </c>
      <c r="U876" s="81" t="str">
        <f aca="false">I876</f>
        <v>Noodles</v>
      </c>
      <c r="V876" s="81" t="n">
        <f aca="false">VLOOKUP(U876,recipe_ingred_list!$A$2:$B$300,2,0)</f>
        <v>52</v>
      </c>
      <c r="W876" s="81" t="str">
        <f aca="false">"/recipes/"&amp;VLOOKUP(U876,recipe_ingred_list!$A$2:$C$300,3,0)&amp;"/detail/"</f>
        <v>/recipes/noodles/detail/</v>
      </c>
      <c r="X876" s="81" t="str">
        <f aca="false">J876</f>
        <v>ground nut oil</v>
      </c>
      <c r="Y876" s="81" t="str">
        <f aca="false">R876</f>
        <v>ground nut oil</v>
      </c>
      <c r="Z876" s="94" t="n">
        <f aca="false">VLOOKUP(Y876,recipe_ingred_list!$D$2:$E$500,2,0)</f>
        <v>89</v>
      </c>
      <c r="AA876" s="61" t="n">
        <f aca="false">K876</f>
        <v>6</v>
      </c>
      <c r="AB876" s="61" t="str">
        <f aca="false">L876</f>
        <v>kg</v>
      </c>
      <c r="AC876" s="61" t="n">
        <f aca="false">VLOOKUP(AB876,recipe_ingred_list!$K$2:$M$7,3,0)</f>
        <v>2</v>
      </c>
      <c r="AD876" s="61" t="n">
        <f aca="false">M876</f>
        <v>0.5</v>
      </c>
      <c r="AE876" s="61" t="str">
        <f aca="false">N876</f>
        <v>ltr</v>
      </c>
      <c r="AF876" s="61" t="n">
        <f aca="false">VLOOKUP(AE876,recipe_ingred_list!$K$16:$M$25,3,0)</f>
        <v>1</v>
      </c>
      <c r="AG876" s="61" t="n">
        <f aca="false">O876</f>
        <v>0</v>
      </c>
      <c r="AH876" s="61" t="n">
        <f aca="false">P876</f>
        <v>0</v>
      </c>
      <c r="AI876" s="61" t="n">
        <f aca="false">VLOOKUP(AH876,recipe_ingred_list!$K$29:$M$34,3,0)</f>
        <v>3</v>
      </c>
      <c r="AJ876" s="61" t="str">
        <f aca="false">IF(Q876="","",Q876)</f>
        <v/>
      </c>
      <c r="AK876" s="61" t="n">
        <f aca="false">AK875+1</f>
        <v>876</v>
      </c>
      <c r="AL876" s="61" t="str">
        <f aca="false">Y876</f>
        <v>ground nut oil</v>
      </c>
      <c r="AM876" s="81" t="str">
        <f aca="false">"a = Client().post('"&amp;W876&amp;"', {'recipe' : '"&amp;V876&amp;"', 'ingredient' : '"&amp;Z876&amp;"', 'name' : '"&amp;X876&amp;"', 'mass_unit' : '"&amp;AC876&amp;"', 'mass_quantity' : '"&amp;ROUND(AA876,3)&amp;"', 'volume_unit' : '"&amp;AF876&amp;"', 'volume_quantity' : '"&amp;ROUND(AD876,3)&amp;"', 'pieces_unit' : '"&amp;AI876&amp;"', 'pieces_quantity' : '"&amp;ROUND(AG876,3)&amp;"', 'cooking_notes' : '"&amp;AJ876&amp;"'}).status_code; print('%s :: %s :: %s :: %s :: %s' %(a,"&amp;G876&amp;",'"&amp;X876&amp;"','"&amp;Y876&amp;"','"&amp;U876&amp;"'))"</f>
        <v>a = Client().post('/recipes/noodles/detail/', {'recipe' : '52', 'ingredient' : '89', 'name' : 'ground nut oil', 'mass_unit' : '2', 'mass_quantity' : '6', 'volume_unit' : '1', 'volume_quantity' : '0.5', 'pieces_unit' : '3', 'pieces_quantity' : '0', 'cooking_notes' : ''}).status_code; print('%s :: %s :: %s :: %s :: %s' %(a,876,'ground nut oil','ground nut oil','Noodles'))</v>
      </c>
    </row>
    <row r="877" customFormat="false" ht="13.8" hidden="false" customHeight="false" outlineLevel="0" collapsed="false">
      <c r="G877" s="80" t="n">
        <v>877</v>
      </c>
      <c r="H877" s="83"/>
      <c r="I877" s="83" t="s">
        <v>265</v>
      </c>
      <c r="J877" s="83" t="s">
        <v>494</v>
      </c>
      <c r="M877" s="61" t="n">
        <v>1.5</v>
      </c>
      <c r="N877" s="61" t="s">
        <v>20</v>
      </c>
      <c r="R877" s="82" t="str">
        <f aca="false">VLOOKUP(J877,ingredient!$N$4:$O$553,2,0)</f>
        <v>white pepper powder</v>
      </c>
      <c r="U877" s="81" t="str">
        <f aca="false">I877</f>
        <v>Noodles</v>
      </c>
      <c r="V877" s="81" t="n">
        <f aca="false">VLOOKUP(U877,recipe_ingred_list!$A$2:$B$300,2,0)</f>
        <v>52</v>
      </c>
      <c r="W877" s="81" t="str">
        <f aca="false">"/recipes/"&amp;VLOOKUP(U877,recipe_ingred_list!$A$2:$C$300,3,0)&amp;"/detail/"</f>
        <v>/recipes/noodles/detail/</v>
      </c>
      <c r="X877" s="81" t="str">
        <f aca="false">J877</f>
        <v>white pepper powder</v>
      </c>
      <c r="Y877" s="81" t="str">
        <f aca="false">R877</f>
        <v>white pepper powder</v>
      </c>
      <c r="Z877" s="94" t="n">
        <f aca="false">VLOOKUP(Y877,recipe_ingred_list!$D$2:$E$500,2,0)</f>
        <v>205</v>
      </c>
      <c r="AA877" s="61" t="n">
        <f aca="false">K877</f>
        <v>0</v>
      </c>
      <c r="AB877" s="61" t="n">
        <f aca="false">L877</f>
        <v>0</v>
      </c>
      <c r="AC877" s="61" t="n">
        <f aca="false">VLOOKUP(AB877,recipe_ingred_list!$K$2:$M$7,3,0)</f>
        <v>2</v>
      </c>
      <c r="AD877" s="61" t="n">
        <f aca="false">M877</f>
        <v>1.5</v>
      </c>
      <c r="AE877" s="61" t="str">
        <f aca="false">N877</f>
        <v>cup</v>
      </c>
      <c r="AF877" s="61" t="n">
        <f aca="false">VLOOKUP(AE877,recipe_ingred_list!$K$16:$M$25,3,0)</f>
        <v>5</v>
      </c>
      <c r="AG877" s="61" t="n">
        <f aca="false">O877</f>
        <v>0</v>
      </c>
      <c r="AH877" s="61" t="n">
        <f aca="false">P877</f>
        <v>0</v>
      </c>
      <c r="AI877" s="61" t="n">
        <f aca="false">VLOOKUP(AH877,recipe_ingred_list!$K$29:$M$34,3,0)</f>
        <v>3</v>
      </c>
      <c r="AJ877" s="61" t="str">
        <f aca="false">IF(Q877="","",Q877)</f>
        <v/>
      </c>
      <c r="AK877" s="61" t="n">
        <f aca="false">AK876+1</f>
        <v>877</v>
      </c>
      <c r="AL877" s="61" t="str">
        <f aca="false">Y877</f>
        <v>white pepper powder</v>
      </c>
      <c r="AM877" s="81" t="str">
        <f aca="false">"a = Client().post('"&amp;W877&amp;"', {'recipe' : '"&amp;V877&amp;"', 'ingredient' : '"&amp;Z877&amp;"', 'name' : '"&amp;X877&amp;"', 'mass_unit' : '"&amp;AC877&amp;"', 'mass_quantity' : '"&amp;ROUND(AA877,3)&amp;"', 'volume_unit' : '"&amp;AF877&amp;"', 'volume_quantity' : '"&amp;ROUND(AD877,3)&amp;"', 'pieces_unit' : '"&amp;AI877&amp;"', 'pieces_quantity' : '"&amp;ROUND(AG877,3)&amp;"', 'cooking_notes' : '"&amp;AJ877&amp;"'}).status_code; print('%s :: %s :: %s :: %s :: %s' %(a,"&amp;G877&amp;",'"&amp;X877&amp;"','"&amp;Y877&amp;"','"&amp;U877&amp;"'))"</f>
        <v>a = Client().post('/recipes/noodles/detail/', {'recipe' : '52', 'ingredient' : '205', 'name' : 'white pepper powder', 'mass_unit' : '2', 'mass_quantity' : '0', 'volume_unit' : '5', 'volume_quantity' : '1.5', 'pieces_unit' : '3', 'pieces_quantity' : '0', 'cooking_notes' : ''}).status_code; print('%s :: %s :: %s :: %s :: %s' %(a,877,'white pepper powder','white pepper powder','Noodles'))</v>
      </c>
    </row>
    <row r="878" customFormat="false" ht="13.8" hidden="false" customHeight="false" outlineLevel="0" collapsed="false">
      <c r="G878" s="80" t="n">
        <v>878</v>
      </c>
      <c r="H878" s="83"/>
      <c r="I878" s="83" t="s">
        <v>265</v>
      </c>
      <c r="J878" s="83" t="s">
        <v>835</v>
      </c>
      <c r="M878" s="61" t="n">
        <v>0.2</v>
      </c>
      <c r="N878" s="61" t="s">
        <v>20</v>
      </c>
      <c r="R878" s="82" t="str">
        <f aca="false">VLOOKUP(J878,ingredient!$N$4:$O$553,2,0)</f>
        <v>salt</v>
      </c>
      <c r="U878" s="81" t="str">
        <f aca="false">I878</f>
        <v>Noodles</v>
      </c>
      <c r="V878" s="81" t="n">
        <f aca="false">VLOOKUP(U878,recipe_ingred_list!$A$2:$B$300,2,0)</f>
        <v>52</v>
      </c>
      <c r="W878" s="81" t="str">
        <f aca="false">"/recipes/"&amp;VLOOKUP(U878,recipe_ingred_list!$A$2:$C$300,3,0)&amp;"/detail/"</f>
        <v>/recipes/noodles/detail/</v>
      </c>
      <c r="X878" s="81" t="str">
        <f aca="false">J878</f>
        <v>salt </v>
      </c>
      <c r="Y878" s="81" t="str">
        <f aca="false">R878</f>
        <v>salt</v>
      </c>
      <c r="Z878" s="94" t="n">
        <f aca="false">VLOOKUP(Y878,recipe_ingred_list!$D$2:$E$500,2,0)</f>
        <v>177</v>
      </c>
      <c r="AA878" s="61" t="n">
        <f aca="false">K878</f>
        <v>0</v>
      </c>
      <c r="AB878" s="61" t="n">
        <f aca="false">L878</f>
        <v>0</v>
      </c>
      <c r="AC878" s="61" t="n">
        <f aca="false">VLOOKUP(AB878,recipe_ingred_list!$K$2:$M$7,3,0)</f>
        <v>2</v>
      </c>
      <c r="AD878" s="61" t="n">
        <f aca="false">M878</f>
        <v>0.2</v>
      </c>
      <c r="AE878" s="61" t="str">
        <f aca="false">N878</f>
        <v>cup</v>
      </c>
      <c r="AF878" s="61" t="n">
        <f aca="false">VLOOKUP(AE878,recipe_ingred_list!$K$16:$M$25,3,0)</f>
        <v>5</v>
      </c>
      <c r="AG878" s="61" t="n">
        <f aca="false">O878</f>
        <v>0</v>
      </c>
      <c r="AH878" s="61" t="n">
        <f aca="false">P878</f>
        <v>0</v>
      </c>
      <c r="AI878" s="61" t="n">
        <f aca="false">VLOOKUP(AH878,recipe_ingred_list!$K$29:$M$34,3,0)</f>
        <v>3</v>
      </c>
      <c r="AJ878" s="61" t="str">
        <f aca="false">IF(Q878="","",Q878)</f>
        <v/>
      </c>
      <c r="AK878" s="61" t="n">
        <f aca="false">AK877+1</f>
        <v>878</v>
      </c>
      <c r="AL878" s="61" t="str">
        <f aca="false">Y878</f>
        <v>salt</v>
      </c>
      <c r="AM878" s="81" t="str">
        <f aca="false">"a = Client().post('"&amp;W878&amp;"', {'recipe' : '"&amp;V878&amp;"', 'ingredient' : '"&amp;Z878&amp;"', 'name' : '"&amp;X878&amp;"', 'mass_unit' : '"&amp;AC878&amp;"', 'mass_quantity' : '"&amp;ROUND(AA878,3)&amp;"', 'volume_unit' : '"&amp;AF878&amp;"', 'volume_quantity' : '"&amp;ROUND(AD878,3)&amp;"', 'pieces_unit' : '"&amp;AI878&amp;"', 'pieces_quantity' : '"&amp;ROUND(AG878,3)&amp;"', 'cooking_notes' : '"&amp;AJ878&amp;"'}).status_code; print('%s :: %s :: %s :: %s :: %s' %(a,"&amp;G878&amp;",'"&amp;X878&amp;"','"&amp;Y878&amp;"','"&amp;U878&amp;"'))"</f>
        <v>a = Client().post('/recipes/noodles/detail/', {'recipe' : '52', 'ingredient' : '177', 'name' : 'salt ', 'mass_unit' : '2', 'mass_quantity' : '0', 'volume_unit' : '5', 'volume_quantity' : '0.2', 'pieces_unit' : '3', 'pieces_quantity' : '0', 'cooking_notes' : ''}).status_code; print('%s :: %s :: %s :: %s :: %s' %(a,878,'salt ','salt','Noodles'))</v>
      </c>
    </row>
    <row r="879" customFormat="false" ht="13.8" hidden="false" customHeight="false" outlineLevel="0" collapsed="false">
      <c r="G879" s="80" t="n">
        <v>879</v>
      </c>
      <c r="H879" s="83"/>
      <c r="I879" s="83" t="s">
        <v>265</v>
      </c>
      <c r="J879" s="83" t="s">
        <v>534</v>
      </c>
      <c r="M879" s="61" t="n">
        <v>1</v>
      </c>
      <c r="N879" s="61" t="s">
        <v>20</v>
      </c>
      <c r="R879" s="82" t="str">
        <f aca="false">VLOOKUP(J879,ingredient!$N$4:$O$553,2,0)</f>
        <v>black pepper</v>
      </c>
      <c r="U879" s="81" t="str">
        <f aca="false">I879</f>
        <v>Noodles</v>
      </c>
      <c r="V879" s="81" t="n">
        <f aca="false">VLOOKUP(U879,recipe_ingred_list!$A$2:$B$300,2,0)</f>
        <v>52</v>
      </c>
      <c r="W879" s="81" t="str">
        <f aca="false">"/recipes/"&amp;VLOOKUP(U879,recipe_ingred_list!$A$2:$C$300,3,0)&amp;"/detail/"</f>
        <v>/recipes/noodles/detail/</v>
      </c>
      <c r="X879" s="81" t="str">
        <f aca="false">J879</f>
        <v>black pepper powder</v>
      </c>
      <c r="Y879" s="81" t="str">
        <f aca="false">R879</f>
        <v>black pepper</v>
      </c>
      <c r="Z879" s="94" t="n">
        <f aca="false">VLOOKUP(Y879,recipe_ingred_list!$D$2:$E$500,2,0)</f>
        <v>31</v>
      </c>
      <c r="AA879" s="61" t="n">
        <f aca="false">K879</f>
        <v>0</v>
      </c>
      <c r="AB879" s="61" t="n">
        <f aca="false">L879</f>
        <v>0</v>
      </c>
      <c r="AC879" s="61" t="n">
        <f aca="false">VLOOKUP(AB879,recipe_ingred_list!$K$2:$M$7,3,0)</f>
        <v>2</v>
      </c>
      <c r="AD879" s="61" t="n">
        <f aca="false">M879</f>
        <v>1</v>
      </c>
      <c r="AE879" s="61" t="str">
        <f aca="false">N879</f>
        <v>cup</v>
      </c>
      <c r="AF879" s="61" t="n">
        <f aca="false">VLOOKUP(AE879,recipe_ingred_list!$K$16:$M$25,3,0)</f>
        <v>5</v>
      </c>
      <c r="AG879" s="61" t="n">
        <f aca="false">O879</f>
        <v>0</v>
      </c>
      <c r="AH879" s="61" t="n">
        <f aca="false">P879</f>
        <v>0</v>
      </c>
      <c r="AI879" s="61" t="n">
        <f aca="false">VLOOKUP(AH879,recipe_ingred_list!$K$29:$M$34,3,0)</f>
        <v>3</v>
      </c>
      <c r="AJ879" s="61" t="str">
        <f aca="false">IF(Q879="","",Q879)</f>
        <v/>
      </c>
      <c r="AK879" s="61" t="n">
        <f aca="false">AK878+1</f>
        <v>879</v>
      </c>
      <c r="AL879" s="61" t="str">
        <f aca="false">Y879</f>
        <v>black pepper</v>
      </c>
      <c r="AM879" s="81" t="str">
        <f aca="false">"a = Client().post('"&amp;W879&amp;"', {'recipe' : '"&amp;V879&amp;"', 'ingredient' : '"&amp;Z879&amp;"', 'name' : '"&amp;X879&amp;"', 'mass_unit' : '"&amp;AC879&amp;"', 'mass_quantity' : '"&amp;ROUND(AA879,3)&amp;"', 'volume_unit' : '"&amp;AF879&amp;"', 'volume_quantity' : '"&amp;ROUND(AD879,3)&amp;"', 'pieces_unit' : '"&amp;AI879&amp;"', 'pieces_quantity' : '"&amp;ROUND(AG879,3)&amp;"', 'cooking_notes' : '"&amp;AJ879&amp;"'}).status_code; print('%s :: %s :: %s :: %s :: %s' %(a,"&amp;G879&amp;",'"&amp;X879&amp;"','"&amp;Y879&amp;"','"&amp;U879&amp;"'))"</f>
        <v>a = Client().post('/recipes/noodles/detail/', {'recipe' : '52', 'ingredient' : '31', 'name' : 'black pepper powder', 'mass_unit' : '2', 'mass_quantity' : '0', 'volume_unit' : '5', 'volume_quantity' : '1', 'pieces_unit' : '3', 'pieces_quantity' : '0', 'cooking_notes' : ''}).status_code; print('%s :: %s :: %s :: %s :: %s' %(a,879,'black pepper powder','black pepper','Noodles'))</v>
      </c>
    </row>
    <row r="880" customFormat="false" ht="13.8" hidden="false" customHeight="false" outlineLevel="0" collapsed="false">
      <c r="G880" s="80" t="n">
        <v>880</v>
      </c>
      <c r="H880" s="83"/>
      <c r="I880" s="83" t="s">
        <v>265</v>
      </c>
      <c r="J880" s="83" t="s">
        <v>222</v>
      </c>
      <c r="R880" s="82" t="str">
        <f aca="false">VLOOKUP(J880,ingredient!$N$4:$O$553,2,0)</f>
        <v>brown sugar</v>
      </c>
      <c r="U880" s="81" t="str">
        <f aca="false">I880</f>
        <v>Noodles</v>
      </c>
      <c r="V880" s="81" t="n">
        <f aca="false">VLOOKUP(U880,recipe_ingred_list!$A$2:$B$300,2,0)</f>
        <v>52</v>
      </c>
      <c r="W880" s="81" t="str">
        <f aca="false">"/recipes/"&amp;VLOOKUP(U880,recipe_ingred_list!$A$2:$C$300,3,0)&amp;"/detail/"</f>
        <v>/recipes/noodles/detail/</v>
      </c>
      <c r="X880" s="81" t="str">
        <f aca="false">J880</f>
        <v>brown sugar</v>
      </c>
      <c r="Y880" s="81" t="str">
        <f aca="false">R880</f>
        <v>brown sugar</v>
      </c>
      <c r="Z880" s="94" t="n">
        <f aca="false">VLOOKUP(Y880,recipe_ingred_list!$D$2:$E$500,2,0)</f>
        <v>37</v>
      </c>
      <c r="AA880" s="61" t="n">
        <f aca="false">K880</f>
        <v>0</v>
      </c>
      <c r="AB880" s="61" t="n">
        <f aca="false">L880</f>
        <v>0</v>
      </c>
      <c r="AC880" s="61" t="n">
        <f aca="false">VLOOKUP(AB880,recipe_ingred_list!$K$2:$M$7,3,0)</f>
        <v>2</v>
      </c>
      <c r="AD880" s="61" t="n">
        <f aca="false">M880</f>
        <v>0</v>
      </c>
      <c r="AE880" s="61" t="n">
        <f aca="false">N880</f>
        <v>0</v>
      </c>
      <c r="AF880" s="61" t="n">
        <f aca="false">VLOOKUP(AE880,recipe_ingred_list!$K$16:$M$25,3,0)</f>
        <v>1</v>
      </c>
      <c r="AG880" s="61" t="n">
        <f aca="false">O880</f>
        <v>0</v>
      </c>
      <c r="AH880" s="61" t="n">
        <f aca="false">P880</f>
        <v>0</v>
      </c>
      <c r="AI880" s="61" t="n">
        <f aca="false">VLOOKUP(AH880,recipe_ingred_list!$K$29:$M$34,3,0)</f>
        <v>3</v>
      </c>
      <c r="AJ880" s="61" t="str">
        <f aca="false">IF(Q880="","",Q880)</f>
        <v/>
      </c>
      <c r="AK880" s="61" t="n">
        <f aca="false">AK879+1</f>
        <v>880</v>
      </c>
      <c r="AL880" s="61" t="str">
        <f aca="false">Y880</f>
        <v>brown sugar</v>
      </c>
      <c r="AM880" s="81" t="str">
        <f aca="false">"a = Client().post('"&amp;W880&amp;"', {'recipe' : '"&amp;V880&amp;"', 'ingredient' : '"&amp;Z880&amp;"', 'name' : '"&amp;X880&amp;"', 'mass_unit' : '"&amp;AC880&amp;"', 'mass_quantity' : '"&amp;ROUND(AA880,3)&amp;"', 'volume_unit' : '"&amp;AF880&amp;"', 'volume_quantity' : '"&amp;ROUND(AD880,3)&amp;"', 'pieces_unit' : '"&amp;AI880&amp;"', 'pieces_quantity' : '"&amp;ROUND(AG880,3)&amp;"', 'cooking_notes' : '"&amp;AJ880&amp;"'}).status_code; print('%s :: %s :: %s :: %s :: %s' %(a,"&amp;G880&amp;",'"&amp;X880&amp;"','"&amp;Y880&amp;"','"&amp;U880&amp;"'))"</f>
        <v>a = Client().post('/recipes/noodles/detail/', {'recipe' : '52', 'ingredient' : '37', 'name' : 'brown sugar', 'mass_unit' : '2', 'mass_quantity' : '0', 'volume_unit' : '1', 'volume_quantity' : '0', 'pieces_unit' : '3', 'pieces_quantity' : '0', 'cooking_notes' : ''}).status_code; print('%s :: %s :: %s :: %s :: %s' %(a,880,'brown sugar','brown sugar','Noodles'))</v>
      </c>
    </row>
    <row r="881" customFormat="false" ht="13.8" hidden="false" customHeight="false" outlineLevel="0" collapsed="false">
      <c r="G881" s="80" t="n">
        <v>881</v>
      </c>
      <c r="H881" s="79"/>
      <c r="I881" s="79"/>
      <c r="J881" s="79"/>
      <c r="K881" s="100"/>
      <c r="L881" s="100"/>
      <c r="M881" s="100"/>
      <c r="N881" s="100"/>
      <c r="O881" s="100"/>
      <c r="P881" s="100"/>
      <c r="Q881" s="102"/>
      <c r="R881" s="99" t="e">
        <f aca="false">VLOOKUP(J881,ingredient!$N$4:$O$553,2,0)</f>
        <v>#N/A</v>
      </c>
      <c r="S881" s="98"/>
      <c r="T881" s="98"/>
      <c r="U881" s="81" t="n">
        <f aca="false">I881</f>
        <v>0</v>
      </c>
      <c r="V881" s="81" t="e">
        <f aca="false">VLOOKUP(U881,recipe_ingred_list!$A$2:$B$300,2,0)</f>
        <v>#N/A</v>
      </c>
      <c r="W881" s="81" t="e">
        <f aca="false">"/recipes/"&amp;VLOOKUP(U881,recipe_ingred_list!$A$2:$C$300,3,0)&amp;"/detail/"</f>
        <v>#N/A</v>
      </c>
      <c r="X881" s="81" t="n">
        <f aca="false">J881</f>
        <v>0</v>
      </c>
      <c r="Y881" s="81" t="e">
        <f aca="false">R881</f>
        <v>#N/A</v>
      </c>
      <c r="Z881" s="94" t="e">
        <f aca="false">VLOOKUP(Y881,recipe_ingred_list!$D$2:$E$500,2,0)</f>
        <v>#N/A</v>
      </c>
      <c r="AA881" s="61" t="n">
        <f aca="false">K881</f>
        <v>0</v>
      </c>
      <c r="AB881" s="61" t="n">
        <f aca="false">L881</f>
        <v>0</v>
      </c>
      <c r="AC881" s="61" t="n">
        <f aca="false">VLOOKUP(AB881,recipe_ingred_list!$K$2:$M$7,3,0)</f>
        <v>2</v>
      </c>
      <c r="AD881" s="61" t="n">
        <f aca="false">M881</f>
        <v>0</v>
      </c>
      <c r="AE881" s="61" t="n">
        <f aca="false">N881</f>
        <v>0</v>
      </c>
      <c r="AF881" s="61" t="n">
        <f aca="false">VLOOKUP(AE881,recipe_ingred_list!$K$16:$M$25,3,0)</f>
        <v>1</v>
      </c>
      <c r="AG881" s="61" t="n">
        <f aca="false">O881</f>
        <v>0</v>
      </c>
      <c r="AH881" s="61" t="n">
        <f aca="false">P881</f>
        <v>0</v>
      </c>
      <c r="AI881" s="61" t="n">
        <f aca="false">VLOOKUP(AH881,recipe_ingred_list!$K$29:$M$34,3,0)</f>
        <v>3</v>
      </c>
      <c r="AJ881" s="61" t="str">
        <f aca="false">IF(Q881="","",Q881)</f>
        <v/>
      </c>
      <c r="AK881" s="61" t="n">
        <f aca="false">AK880+1</f>
        <v>881</v>
      </c>
      <c r="AL881" s="61" t="e">
        <f aca="false">Y881</f>
        <v>#N/A</v>
      </c>
      <c r="AM881" s="81" t="e">
        <f aca="false">"a = Client().post('"&amp;W881&amp;"', {'recipe' : '"&amp;V881&amp;"', 'ingredient' : '"&amp;Z881&amp;"', 'name' : '"&amp;X881&amp;"', 'mass_unit' : '"&amp;AC881&amp;"', 'mass_quantity' : '"&amp;ROUND(AA881,3)&amp;"', 'volume_unit' : '"&amp;AF881&amp;"', 'volume_quantity' : '"&amp;ROUND(AD881,3)&amp;"', 'pieces_unit' : '"&amp;AI881&amp;"', 'pieces_quantity' : '"&amp;ROUND(AG881,3)&amp;"', 'cooking_notes' : '"&amp;AJ881&amp;"'}).status_code; print('%s :: %s :: %s :: %s :: %s' %(a,"&amp;G881&amp;",'"&amp;X881&amp;"','"&amp;Y881&amp;"','"&amp;U881&amp;"'))"</f>
        <v>#N/A</v>
      </c>
    </row>
    <row r="882" customFormat="false" ht="13.8" hidden="false" customHeight="false" outlineLevel="0" collapsed="false">
      <c r="G882" s="80" t="n">
        <v>882</v>
      </c>
      <c r="H882" s="83"/>
      <c r="I882" s="83" t="s">
        <v>361</v>
      </c>
      <c r="J882" s="83" t="s">
        <v>836</v>
      </c>
      <c r="K882" s="61" t="n">
        <v>7</v>
      </c>
      <c r="L882" s="61" t="s">
        <v>7</v>
      </c>
      <c r="R882" s="82" t="str">
        <f aca="false">VLOOKUP(J882,ingredient!$N$4:$O$553,2,0)</f>
        <v>tomato</v>
      </c>
      <c r="U882" s="81" t="str">
        <f aca="false">I882</f>
        <v>Usal Pav</v>
      </c>
      <c r="V882" s="81" t="n">
        <f aca="false">VLOOKUP(U882,recipe_ingred_list!$A$2:$B$300,2,0)</f>
        <v>84</v>
      </c>
      <c r="W882" s="81" t="str">
        <f aca="false">"/recipes/"&amp;VLOOKUP(U882,recipe_ingred_list!$A$2:$C$300,3,0)&amp;"/detail/"</f>
        <v>/recipes/usal-pav/detail/</v>
      </c>
      <c r="X882" s="81" t="str">
        <f aca="false">J882</f>
        <v>tomato(med jali)</v>
      </c>
      <c r="Y882" s="81" t="str">
        <f aca="false">R882</f>
        <v>tomato</v>
      </c>
      <c r="Z882" s="94" t="n">
        <f aca="false">VLOOKUP(Y882,recipe_ingred_list!$D$2:$E$500,2,0)</f>
        <v>195</v>
      </c>
      <c r="AA882" s="61" t="n">
        <f aca="false">K882</f>
        <v>7</v>
      </c>
      <c r="AB882" s="61" t="str">
        <f aca="false">L882</f>
        <v>kg</v>
      </c>
      <c r="AC882" s="61" t="n">
        <f aca="false">VLOOKUP(AB882,recipe_ingred_list!$K$2:$M$7,3,0)</f>
        <v>2</v>
      </c>
      <c r="AD882" s="61" t="n">
        <f aca="false">M882</f>
        <v>0</v>
      </c>
      <c r="AE882" s="61" t="n">
        <f aca="false">N882</f>
        <v>0</v>
      </c>
      <c r="AF882" s="61" t="n">
        <f aca="false">VLOOKUP(AE882,recipe_ingred_list!$K$16:$M$25,3,0)</f>
        <v>1</v>
      </c>
      <c r="AG882" s="61" t="n">
        <f aca="false">O882</f>
        <v>0</v>
      </c>
      <c r="AH882" s="61" t="n">
        <f aca="false">P882</f>
        <v>0</v>
      </c>
      <c r="AI882" s="61" t="n">
        <f aca="false">VLOOKUP(AH882,recipe_ingred_list!$K$29:$M$34,3,0)</f>
        <v>3</v>
      </c>
      <c r="AJ882" s="61" t="str">
        <f aca="false">IF(Q882="","",Q882)</f>
        <v/>
      </c>
      <c r="AK882" s="61" t="n">
        <f aca="false">AK881+1</f>
        <v>882</v>
      </c>
      <c r="AL882" s="61" t="str">
        <f aca="false">Y882</f>
        <v>tomato</v>
      </c>
      <c r="AM882" s="81" t="str">
        <f aca="false">"a = Client().post('"&amp;W882&amp;"', {'recipe' : '"&amp;V882&amp;"', 'ingredient' : '"&amp;Z882&amp;"', 'name' : '"&amp;X882&amp;"', 'mass_unit' : '"&amp;AC882&amp;"', 'mass_quantity' : '"&amp;ROUND(AA882,3)&amp;"', 'volume_unit' : '"&amp;AF882&amp;"', 'volume_quantity' : '"&amp;ROUND(AD882,3)&amp;"', 'pieces_unit' : '"&amp;AI882&amp;"', 'pieces_quantity' : '"&amp;ROUND(AG882,3)&amp;"', 'cooking_notes' : '"&amp;AJ882&amp;"'}).status_code; print('%s :: %s :: %s :: %s :: %s' %(a,"&amp;G882&amp;",'"&amp;X882&amp;"','"&amp;Y882&amp;"','"&amp;U882&amp;"'))"</f>
        <v>a = Client().post('/recipes/usal-pav/detail/', {'recipe' : '84', 'ingredient' : '195', 'name' : 'tomato(med jali)', 'mass_unit' : '2', 'mass_quantity' : '7', 'volume_unit' : '1', 'volume_quantity' : '0', 'pieces_unit' : '3', 'pieces_quantity' : '0', 'cooking_notes' : ''}).status_code; print('%s :: %s :: %s :: %s :: %s' %(a,882,'tomato(med jali)','tomato','Usal Pav'))</v>
      </c>
    </row>
    <row r="883" customFormat="false" ht="13.8" hidden="false" customHeight="false" outlineLevel="0" collapsed="false">
      <c r="G883" s="80" t="n">
        <v>883</v>
      </c>
      <c r="H883" s="83"/>
      <c r="I883" s="83" t="s">
        <v>361</v>
      </c>
      <c r="J883" s="83" t="s">
        <v>273</v>
      </c>
      <c r="O883" s="61" t="n">
        <v>8</v>
      </c>
      <c r="P883" s="61" t="s">
        <v>107</v>
      </c>
      <c r="R883" s="82" t="str">
        <f aca="false">VLOOKUP(J883,ingredient!$N$4:$O$553,2,0)</f>
        <v>coconut</v>
      </c>
      <c r="U883" s="81" t="str">
        <f aca="false">I883</f>
        <v>Usal Pav</v>
      </c>
      <c r="V883" s="81" t="n">
        <f aca="false">VLOOKUP(U883,recipe_ingred_list!$A$2:$B$300,2,0)</f>
        <v>84</v>
      </c>
      <c r="W883" s="81" t="str">
        <f aca="false">"/recipes/"&amp;VLOOKUP(U883,recipe_ingred_list!$A$2:$C$300,3,0)&amp;"/detail/"</f>
        <v>/recipes/usal-pav/detail/</v>
      </c>
      <c r="X883" s="81" t="str">
        <f aca="false">J883</f>
        <v>coconut</v>
      </c>
      <c r="Y883" s="81" t="str">
        <f aca="false">R883</f>
        <v>coconut</v>
      </c>
      <c r="Z883" s="94" t="n">
        <f aca="false">VLOOKUP(Y883,recipe_ingred_list!$D$2:$E$500,2,0)</f>
        <v>54</v>
      </c>
      <c r="AA883" s="61" t="n">
        <f aca="false">K883</f>
        <v>0</v>
      </c>
      <c r="AB883" s="61" t="n">
        <f aca="false">L883</f>
        <v>0</v>
      </c>
      <c r="AC883" s="61" t="n">
        <f aca="false">VLOOKUP(AB883,recipe_ingred_list!$K$2:$M$7,3,0)</f>
        <v>2</v>
      </c>
      <c r="AD883" s="61" t="n">
        <f aca="false">M883</f>
        <v>0</v>
      </c>
      <c r="AE883" s="61" t="n">
        <f aca="false">N883</f>
        <v>0</v>
      </c>
      <c r="AF883" s="61" t="n">
        <f aca="false">VLOOKUP(AE883,recipe_ingred_list!$K$16:$M$25,3,0)</f>
        <v>1</v>
      </c>
      <c r="AG883" s="61" t="n">
        <f aca="false">O883</f>
        <v>8</v>
      </c>
      <c r="AH883" s="61" t="str">
        <f aca="false">P883</f>
        <v>pcs</v>
      </c>
      <c r="AI883" s="61" t="n">
        <f aca="false">VLOOKUP(AH883,recipe_ingred_list!$K$29:$M$34,3,0)</f>
        <v>3</v>
      </c>
      <c r="AJ883" s="61" t="str">
        <f aca="false">IF(Q883="","",Q883)</f>
        <v/>
      </c>
      <c r="AK883" s="61" t="n">
        <f aca="false">AK882+1</f>
        <v>883</v>
      </c>
      <c r="AL883" s="61" t="str">
        <f aca="false">Y883</f>
        <v>coconut</v>
      </c>
      <c r="AM883" s="81" t="str">
        <f aca="false">"a = Client().post('"&amp;W883&amp;"', {'recipe' : '"&amp;V883&amp;"', 'ingredient' : '"&amp;Z883&amp;"', 'name' : '"&amp;X883&amp;"', 'mass_unit' : '"&amp;AC883&amp;"', 'mass_quantity' : '"&amp;ROUND(AA883,3)&amp;"', 'volume_unit' : '"&amp;AF883&amp;"', 'volume_quantity' : '"&amp;ROUND(AD883,3)&amp;"', 'pieces_unit' : '"&amp;AI883&amp;"', 'pieces_quantity' : '"&amp;ROUND(AG883,3)&amp;"', 'cooking_notes' : '"&amp;AJ883&amp;"'}).status_code; print('%s :: %s :: %s :: %s :: %s' %(a,"&amp;G883&amp;",'"&amp;X883&amp;"','"&amp;Y883&amp;"','"&amp;U883&amp;"'))"</f>
        <v>a = Client().post('/recipes/usal-pav/detail/', {'recipe' : '84', 'ingredient' : '54', 'name' : 'coconut', 'mass_unit' : '2', 'mass_quantity' : '0', 'volume_unit' : '1', 'volume_quantity' : '0', 'pieces_unit' : '3', 'pieces_quantity' : '8', 'cooking_notes' : ''}).status_code; print('%s :: %s :: %s :: %s :: %s' %(a,883,'coconut','coconut','Usal Pav'))</v>
      </c>
    </row>
    <row r="884" customFormat="false" ht="13.8" hidden="false" customHeight="false" outlineLevel="0" collapsed="false">
      <c r="G884" s="80" t="n">
        <v>884</v>
      </c>
      <c r="H884" s="83"/>
      <c r="I884" s="83" t="s">
        <v>361</v>
      </c>
      <c r="J884" s="83" t="s">
        <v>837</v>
      </c>
      <c r="O884" s="61" t="n">
        <v>20</v>
      </c>
      <c r="P884" s="61" t="s">
        <v>107</v>
      </c>
      <c r="R884" s="82" t="str">
        <f aca="false">VLOOKUP(J884,ingredient!$N$4:$O$553,2,0)</f>
        <v>lemon</v>
      </c>
      <c r="U884" s="81" t="str">
        <f aca="false">I884</f>
        <v>Usal Pav</v>
      </c>
      <c r="V884" s="81" t="n">
        <f aca="false">VLOOKUP(U884,recipe_ingred_list!$A$2:$B$300,2,0)</f>
        <v>84</v>
      </c>
      <c r="W884" s="81" t="str">
        <f aca="false">"/recipes/"&amp;VLOOKUP(U884,recipe_ingred_list!$A$2:$C$300,3,0)&amp;"/detail/"</f>
        <v>/recipes/usal-pav/detail/</v>
      </c>
      <c r="X884" s="81" t="str">
        <f aca="false">J884</f>
        <v>lemon </v>
      </c>
      <c r="Y884" s="81" t="str">
        <f aca="false">R884</f>
        <v>lemon</v>
      </c>
      <c r="Z884" s="94" t="n">
        <f aca="false">VLOOKUP(Y884,recipe_ingred_list!$D$2:$E$500,2,0)</f>
        <v>129</v>
      </c>
      <c r="AA884" s="61" t="n">
        <f aca="false">K884</f>
        <v>0</v>
      </c>
      <c r="AB884" s="61" t="n">
        <f aca="false">L884</f>
        <v>0</v>
      </c>
      <c r="AC884" s="61" t="n">
        <f aca="false">VLOOKUP(AB884,recipe_ingred_list!$K$2:$M$7,3,0)</f>
        <v>2</v>
      </c>
      <c r="AD884" s="61" t="n">
        <f aca="false">M884</f>
        <v>0</v>
      </c>
      <c r="AE884" s="61" t="n">
        <f aca="false">N884</f>
        <v>0</v>
      </c>
      <c r="AF884" s="61" t="n">
        <f aca="false">VLOOKUP(AE884,recipe_ingred_list!$K$16:$M$25,3,0)</f>
        <v>1</v>
      </c>
      <c r="AG884" s="61" t="n">
        <f aca="false">O884</f>
        <v>20</v>
      </c>
      <c r="AH884" s="61" t="str">
        <f aca="false">P884</f>
        <v>pcs</v>
      </c>
      <c r="AI884" s="61" t="n">
        <f aca="false">VLOOKUP(AH884,recipe_ingred_list!$K$29:$M$34,3,0)</f>
        <v>3</v>
      </c>
      <c r="AJ884" s="61" t="str">
        <f aca="false">IF(Q884="","",Q884)</f>
        <v/>
      </c>
      <c r="AK884" s="61" t="n">
        <f aca="false">AK883+1</f>
        <v>884</v>
      </c>
      <c r="AL884" s="61" t="str">
        <f aca="false">Y884</f>
        <v>lemon</v>
      </c>
      <c r="AM884" s="81" t="str">
        <f aca="false">"a = Client().post('"&amp;W884&amp;"', {'recipe' : '"&amp;V884&amp;"', 'ingredient' : '"&amp;Z884&amp;"', 'name' : '"&amp;X884&amp;"', 'mass_unit' : '"&amp;AC884&amp;"', 'mass_quantity' : '"&amp;ROUND(AA884,3)&amp;"', 'volume_unit' : '"&amp;AF884&amp;"', 'volume_quantity' : '"&amp;ROUND(AD884,3)&amp;"', 'pieces_unit' : '"&amp;AI884&amp;"', 'pieces_quantity' : '"&amp;ROUND(AG884,3)&amp;"', 'cooking_notes' : '"&amp;AJ884&amp;"'}).status_code; print('%s :: %s :: %s :: %s :: %s' %(a,"&amp;G884&amp;",'"&amp;X884&amp;"','"&amp;Y884&amp;"','"&amp;U884&amp;"'))"</f>
        <v>a = Client().post('/recipes/usal-pav/detail/', {'recipe' : '84', 'ingredient' : '129', 'name' : 'lemon ', 'mass_unit' : '2', 'mass_quantity' : '0', 'volume_unit' : '1', 'volume_quantity' : '0', 'pieces_unit' : '3', 'pieces_quantity' : '20', 'cooking_notes' : ''}).status_code; print('%s :: %s :: %s :: %s :: %s' %(a,884,'lemon ','lemon','Usal Pav'))</v>
      </c>
    </row>
    <row r="885" customFormat="false" ht="14.9" hidden="false" customHeight="false" outlineLevel="0" collapsed="false">
      <c r="G885" s="80" t="n">
        <v>885</v>
      </c>
      <c r="H885" s="83"/>
      <c r="I885" s="83" t="s">
        <v>361</v>
      </c>
      <c r="J885" s="83" t="s">
        <v>492</v>
      </c>
      <c r="K885" s="61" t="n">
        <v>10</v>
      </c>
      <c r="L885" s="61" t="s">
        <v>7</v>
      </c>
      <c r="Q885" s="84" t="s">
        <v>838</v>
      </c>
      <c r="R885" s="82" t="e">
        <f aca="false">VLOOKUP(J885,ingredient!$N$4:$O$553,2,0)</f>
        <v>#N/A</v>
      </c>
      <c r="U885" s="81" t="str">
        <f aca="false">I885</f>
        <v>Usal Pav</v>
      </c>
      <c r="V885" s="81" t="n">
        <f aca="false">VLOOKUP(U885,recipe_ingred_list!$A$2:$B$300,2,0)</f>
        <v>84</v>
      </c>
      <c r="W885" s="81" t="str">
        <f aca="false">"/recipes/"&amp;VLOOKUP(U885,recipe_ingred_list!$A$2:$C$300,3,0)&amp;"/detail/"</f>
        <v>/recipes/usal-pav/detail/</v>
      </c>
      <c r="X885" s="81" t="str">
        <f aca="false">J885</f>
        <v>watana</v>
      </c>
      <c r="Y885" s="81" t="e">
        <f aca="false">R885</f>
        <v>#N/A</v>
      </c>
      <c r="Z885" s="94" t="e">
        <f aca="false">VLOOKUP(Y885,recipe_ingred_list!$D$2:$E$500,2,0)</f>
        <v>#N/A</v>
      </c>
      <c r="AA885" s="61" t="n">
        <f aca="false">K885</f>
        <v>10</v>
      </c>
      <c r="AB885" s="61" t="str">
        <f aca="false">L885</f>
        <v>kg</v>
      </c>
      <c r="AC885" s="61" t="n">
        <f aca="false">VLOOKUP(AB885,recipe_ingred_list!$K$2:$M$7,3,0)</f>
        <v>2</v>
      </c>
      <c r="AD885" s="61" t="n">
        <f aca="false">M885</f>
        <v>0</v>
      </c>
      <c r="AE885" s="61" t="n">
        <f aca="false">N885</f>
        <v>0</v>
      </c>
      <c r="AF885" s="61" t="n">
        <f aca="false">VLOOKUP(AE885,recipe_ingred_list!$K$16:$M$25,3,0)</f>
        <v>1</v>
      </c>
      <c r="AG885" s="61" t="n">
        <f aca="false">O885</f>
        <v>0</v>
      </c>
      <c r="AH885" s="61" t="n">
        <f aca="false">P885</f>
        <v>0</v>
      </c>
      <c r="AI885" s="61" t="n">
        <f aca="false">VLOOKUP(AH885,recipe_ingred_list!$K$29:$M$34,3,0)</f>
        <v>3</v>
      </c>
      <c r="AJ885" s="61" t="str">
        <f aca="false">IF(Q885="","",Q885)</f>
        <v>(cookr fire stop aftr 1 citi)</v>
      </c>
      <c r="AK885" s="61" t="n">
        <f aca="false">AK884+1</f>
        <v>885</v>
      </c>
      <c r="AL885" s="61" t="e">
        <f aca="false">Y885</f>
        <v>#N/A</v>
      </c>
      <c r="AM885" s="81" t="e">
        <f aca="false">"a = Client().post('"&amp;W885&amp;"', {'recipe' : '"&amp;V885&amp;"', 'ingredient' : '"&amp;Z885&amp;"', 'name' : '"&amp;X885&amp;"', 'mass_unit' : '"&amp;AC885&amp;"', 'mass_quantity' : '"&amp;ROUND(AA885,3)&amp;"', 'volume_unit' : '"&amp;AF885&amp;"', 'volume_quantity' : '"&amp;ROUND(AD885,3)&amp;"', 'pieces_unit' : '"&amp;AI885&amp;"', 'pieces_quantity' : '"&amp;ROUND(AG885,3)&amp;"', 'cooking_notes' : '"&amp;AJ885&amp;"'}).status_code; print('%s :: %s :: %s :: %s :: %s' %(a,"&amp;G885&amp;",'"&amp;X885&amp;"','"&amp;Y885&amp;"','"&amp;U885&amp;"'))"</f>
        <v>#N/A</v>
      </c>
    </row>
    <row r="886" customFormat="false" ht="13.8" hidden="false" customHeight="false" outlineLevel="0" collapsed="false">
      <c r="G886" s="80" t="n">
        <v>886</v>
      </c>
      <c r="H886" s="79"/>
      <c r="I886" s="79" t="s">
        <v>361</v>
      </c>
      <c r="J886" s="79"/>
      <c r="K886" s="100"/>
      <c r="L886" s="100"/>
      <c r="M886" s="100"/>
      <c r="N886" s="100"/>
      <c r="O886" s="100"/>
      <c r="P886" s="100"/>
      <c r="Q886" s="102"/>
      <c r="R886" s="99" t="e">
        <f aca="false">VLOOKUP(J886,ingredient!$N$4:$O$553,2,0)</f>
        <v>#N/A</v>
      </c>
      <c r="S886" s="98"/>
      <c r="T886" s="98"/>
      <c r="U886" s="81" t="str">
        <f aca="false">I886</f>
        <v>Usal Pav</v>
      </c>
      <c r="V886" s="81" t="n">
        <f aca="false">VLOOKUP(U886,recipe_ingred_list!$A$2:$B$300,2,0)</f>
        <v>84</v>
      </c>
      <c r="W886" s="81" t="str">
        <f aca="false">"/recipes/"&amp;VLOOKUP(U886,recipe_ingred_list!$A$2:$C$300,3,0)&amp;"/detail/"</f>
        <v>/recipes/usal-pav/detail/</v>
      </c>
      <c r="X886" s="81" t="n">
        <f aca="false">J886</f>
        <v>0</v>
      </c>
      <c r="Y886" s="81" t="e">
        <f aca="false">R886</f>
        <v>#N/A</v>
      </c>
      <c r="Z886" s="94" t="e">
        <f aca="false">VLOOKUP(Y886,recipe_ingred_list!$D$2:$E$500,2,0)</f>
        <v>#N/A</v>
      </c>
      <c r="AA886" s="61" t="n">
        <f aca="false">K886</f>
        <v>0</v>
      </c>
      <c r="AB886" s="61" t="n">
        <f aca="false">L886</f>
        <v>0</v>
      </c>
      <c r="AC886" s="61" t="n">
        <f aca="false">VLOOKUP(AB886,recipe_ingred_list!$K$2:$M$7,3,0)</f>
        <v>2</v>
      </c>
      <c r="AD886" s="61" t="n">
        <f aca="false">M886</f>
        <v>0</v>
      </c>
      <c r="AE886" s="61" t="n">
        <f aca="false">N886</f>
        <v>0</v>
      </c>
      <c r="AF886" s="61" t="n">
        <f aca="false">VLOOKUP(AE886,recipe_ingred_list!$K$16:$M$25,3,0)</f>
        <v>1</v>
      </c>
      <c r="AG886" s="61" t="n">
        <f aca="false">O886</f>
        <v>0</v>
      </c>
      <c r="AH886" s="61" t="n">
        <f aca="false">P886</f>
        <v>0</v>
      </c>
      <c r="AI886" s="61" t="n">
        <f aca="false">VLOOKUP(AH886,recipe_ingred_list!$K$29:$M$34,3,0)</f>
        <v>3</v>
      </c>
      <c r="AJ886" s="61" t="str">
        <f aca="false">IF(Q886="","",Q886)</f>
        <v/>
      </c>
      <c r="AK886" s="61" t="n">
        <f aca="false">AK885+1</f>
        <v>886</v>
      </c>
      <c r="AL886" s="61" t="e">
        <f aca="false">Y886</f>
        <v>#N/A</v>
      </c>
      <c r="AM886" s="81" t="e">
        <f aca="false">"a = Client().post('"&amp;W886&amp;"', {'recipe' : '"&amp;V886&amp;"', 'ingredient' : '"&amp;Z886&amp;"', 'name' : '"&amp;X886&amp;"', 'mass_unit' : '"&amp;AC886&amp;"', 'mass_quantity' : '"&amp;ROUND(AA886,3)&amp;"', 'volume_unit' : '"&amp;AF886&amp;"', 'volume_quantity' : '"&amp;ROUND(AD886,3)&amp;"', 'pieces_unit' : '"&amp;AI886&amp;"', 'pieces_quantity' : '"&amp;ROUND(AG886,3)&amp;"', 'cooking_notes' : '"&amp;AJ886&amp;"'}).status_code; print('%s :: %s :: %s :: %s :: %s' %(a,"&amp;G886&amp;",'"&amp;X886&amp;"','"&amp;Y886&amp;"','"&amp;U886&amp;"'))"</f>
        <v>#N/A</v>
      </c>
    </row>
    <row r="887" customFormat="false" ht="13.8" hidden="false" customHeight="false" outlineLevel="0" collapsed="false">
      <c r="G887" s="80" t="n">
        <v>887</v>
      </c>
      <c r="H887" s="83"/>
      <c r="I887" s="83" t="s">
        <v>361</v>
      </c>
      <c r="J887" s="83" t="s">
        <v>839</v>
      </c>
      <c r="M887" s="61" t="n">
        <v>2</v>
      </c>
      <c r="N887" s="61" t="s">
        <v>13</v>
      </c>
      <c r="R887" s="82" t="str">
        <f aca="false">VLOOKUP(J887,ingredient!$N$4:$O$553,2,0)</f>
        <v>gound nut oil</v>
      </c>
      <c r="U887" s="81" t="str">
        <f aca="false">I887</f>
        <v>Usal Pav</v>
      </c>
      <c r="V887" s="81" t="n">
        <f aca="false">VLOOKUP(U887,recipe_ingred_list!$A$2:$B$300,2,0)</f>
        <v>84</v>
      </c>
      <c r="W887" s="81" t="str">
        <f aca="false">"/recipes/"&amp;VLOOKUP(U887,recipe_ingred_list!$A$2:$C$300,3,0)&amp;"/detail/"</f>
        <v>/recipes/usal-pav/detail/</v>
      </c>
      <c r="X887" s="81" t="str">
        <f aca="false">J887</f>
        <v>oil</v>
      </c>
      <c r="Y887" s="81" t="str">
        <f aca="false">R887</f>
        <v>gound nut oil</v>
      </c>
      <c r="Z887" s="94" t="n">
        <f aca="false">VLOOKUP(Y887,recipe_ingred_list!$D$2:$E$500,2,0)</f>
        <v>83</v>
      </c>
      <c r="AA887" s="61" t="n">
        <f aca="false">K887</f>
        <v>0</v>
      </c>
      <c r="AB887" s="61" t="n">
        <f aca="false">L887</f>
        <v>0</v>
      </c>
      <c r="AC887" s="61" t="n">
        <f aca="false">VLOOKUP(AB887,recipe_ingred_list!$K$2:$M$7,3,0)</f>
        <v>2</v>
      </c>
      <c r="AD887" s="61" t="n">
        <f aca="false">M887</f>
        <v>2</v>
      </c>
      <c r="AE887" s="61" t="str">
        <f aca="false">N887</f>
        <v>ltr</v>
      </c>
      <c r="AF887" s="61" t="n">
        <f aca="false">VLOOKUP(AE887,recipe_ingred_list!$K$16:$M$25,3,0)</f>
        <v>1</v>
      </c>
      <c r="AG887" s="61" t="n">
        <f aca="false">O887</f>
        <v>0</v>
      </c>
      <c r="AH887" s="61" t="n">
        <f aca="false">P887</f>
        <v>0</v>
      </c>
      <c r="AI887" s="61" t="n">
        <f aca="false">VLOOKUP(AH887,recipe_ingred_list!$K$29:$M$34,3,0)</f>
        <v>3</v>
      </c>
      <c r="AJ887" s="61" t="str">
        <f aca="false">IF(Q887="","",Q887)</f>
        <v/>
      </c>
      <c r="AK887" s="61" t="n">
        <f aca="false">AK886+1</f>
        <v>887</v>
      </c>
      <c r="AL887" s="61" t="str">
        <f aca="false">Y887</f>
        <v>gound nut oil</v>
      </c>
      <c r="AM887" s="81" t="str">
        <f aca="false">"a = Client().post('"&amp;W887&amp;"', {'recipe' : '"&amp;V887&amp;"', 'ingredient' : '"&amp;Z887&amp;"', 'name' : '"&amp;X887&amp;"', 'mass_unit' : '"&amp;AC887&amp;"', 'mass_quantity' : '"&amp;ROUND(AA887,3)&amp;"', 'volume_unit' : '"&amp;AF887&amp;"', 'volume_quantity' : '"&amp;ROUND(AD887,3)&amp;"', 'pieces_unit' : '"&amp;AI887&amp;"', 'pieces_quantity' : '"&amp;ROUND(AG887,3)&amp;"', 'cooking_notes' : '"&amp;AJ887&amp;"'}).status_code; print('%s :: %s :: %s :: %s :: %s' %(a,"&amp;G887&amp;",'"&amp;X887&amp;"','"&amp;Y887&amp;"','"&amp;U887&amp;"'))"</f>
        <v>a = Client().post('/recipes/usal-pav/detail/', {'recipe' : '84', 'ingredient' : '83', 'name' : 'oil', 'mass_unit' : '2', 'mass_quantity' : '0', 'volume_unit' : '1', 'volume_quantity' : '2', 'pieces_unit' : '3', 'pieces_quantity' : '0', 'cooking_notes' : ''}).status_code; print('%s :: %s :: %s :: %s :: %s' %(a,887,'oil','gound nut oil','Usal Pav'))</v>
      </c>
    </row>
    <row r="888" customFormat="false" ht="13.8" hidden="false" customHeight="false" outlineLevel="0" collapsed="false">
      <c r="G888" s="80" t="n">
        <v>888</v>
      </c>
      <c r="H888" s="83"/>
      <c r="I888" s="83" t="s">
        <v>361</v>
      </c>
      <c r="J888" s="83" t="s">
        <v>840</v>
      </c>
      <c r="M888" s="61" t="n">
        <v>2</v>
      </c>
      <c r="N888" s="61" t="s">
        <v>20</v>
      </c>
      <c r="R888" s="82" t="str">
        <f aca="false">VLOOKUP(J888,ingredient!$N$4:$O$553,2,0)</f>
        <v>tej patta</v>
      </c>
      <c r="U888" s="81" t="str">
        <f aca="false">I888</f>
        <v>Usal Pav</v>
      </c>
      <c r="V888" s="81" t="n">
        <f aca="false">VLOOKUP(U888,recipe_ingred_list!$A$2:$B$300,2,0)</f>
        <v>84</v>
      </c>
      <c r="W888" s="81" t="str">
        <f aca="false">"/recipes/"&amp;VLOOKUP(U888,recipe_ingred_list!$A$2:$C$300,3,0)&amp;"/detail/"</f>
        <v>/recipes/usal-pav/detail/</v>
      </c>
      <c r="X888" s="81" t="str">
        <f aca="false">J888</f>
        <v>tejpatta</v>
      </c>
      <c r="Y888" s="81" t="str">
        <f aca="false">R888</f>
        <v>tej patta</v>
      </c>
      <c r="Z888" s="94" t="n">
        <f aca="false">VLOOKUP(Y888,recipe_ingred_list!$D$2:$E$500,2,0)</f>
        <v>191</v>
      </c>
      <c r="AA888" s="61" t="n">
        <f aca="false">K888</f>
        <v>0</v>
      </c>
      <c r="AB888" s="61" t="n">
        <f aca="false">L888</f>
        <v>0</v>
      </c>
      <c r="AC888" s="61" t="n">
        <f aca="false">VLOOKUP(AB888,recipe_ingred_list!$K$2:$M$7,3,0)</f>
        <v>2</v>
      </c>
      <c r="AD888" s="61" t="n">
        <f aca="false">M888</f>
        <v>2</v>
      </c>
      <c r="AE888" s="61" t="str">
        <f aca="false">N888</f>
        <v>cup</v>
      </c>
      <c r="AF888" s="61" t="n">
        <f aca="false">VLOOKUP(AE888,recipe_ingred_list!$K$16:$M$25,3,0)</f>
        <v>5</v>
      </c>
      <c r="AG888" s="61" t="n">
        <f aca="false">O888</f>
        <v>0</v>
      </c>
      <c r="AH888" s="61" t="n">
        <f aca="false">P888</f>
        <v>0</v>
      </c>
      <c r="AI888" s="61" t="n">
        <f aca="false">VLOOKUP(AH888,recipe_ingred_list!$K$29:$M$34,3,0)</f>
        <v>3</v>
      </c>
      <c r="AJ888" s="61" t="str">
        <f aca="false">IF(Q888="","",Q888)</f>
        <v/>
      </c>
      <c r="AK888" s="61" t="n">
        <f aca="false">AK887+1</f>
        <v>888</v>
      </c>
      <c r="AL888" s="61" t="str">
        <f aca="false">Y888</f>
        <v>tej patta</v>
      </c>
      <c r="AM888" s="81" t="str">
        <f aca="false">"a = Client().post('"&amp;W888&amp;"', {'recipe' : '"&amp;V888&amp;"', 'ingredient' : '"&amp;Z888&amp;"', 'name' : '"&amp;X888&amp;"', 'mass_unit' : '"&amp;AC888&amp;"', 'mass_quantity' : '"&amp;ROUND(AA888,3)&amp;"', 'volume_unit' : '"&amp;AF888&amp;"', 'volume_quantity' : '"&amp;ROUND(AD888,3)&amp;"', 'pieces_unit' : '"&amp;AI888&amp;"', 'pieces_quantity' : '"&amp;ROUND(AG888,3)&amp;"', 'cooking_notes' : '"&amp;AJ888&amp;"'}).status_code; print('%s :: %s :: %s :: %s :: %s' %(a,"&amp;G888&amp;",'"&amp;X888&amp;"','"&amp;Y888&amp;"','"&amp;U888&amp;"'))"</f>
        <v>a = Client().post('/recipes/usal-pav/detail/', {'recipe' : '84', 'ingredient' : '191', 'name' : 'tejpatta', 'mass_unit' : '2', 'mass_quantity' : '0', 'volume_unit' : '5', 'volume_quantity' : '2', 'pieces_unit' : '3', 'pieces_quantity' : '0', 'cooking_notes' : ''}).status_code; print('%s :: %s :: %s :: %s :: %s' %(a,888,'tejpatta','tej patta','Usal Pav'))</v>
      </c>
    </row>
    <row r="889" customFormat="false" ht="13.8" hidden="false" customHeight="false" outlineLevel="0" collapsed="false">
      <c r="G889" s="80" t="n">
        <v>889</v>
      </c>
      <c r="H889" s="83"/>
      <c r="I889" s="83" t="s">
        <v>361</v>
      </c>
      <c r="J889" s="83" t="s">
        <v>456</v>
      </c>
      <c r="M889" s="61" t="n">
        <v>0.75</v>
      </c>
      <c r="N889" s="61" t="s">
        <v>13</v>
      </c>
      <c r="R889" s="82" t="str">
        <f aca="false">VLOOKUP(J889,ingredient!$N$4:$O$553,2,0)</f>
        <v>rai</v>
      </c>
      <c r="U889" s="81" t="str">
        <f aca="false">I889</f>
        <v>Usal Pav</v>
      </c>
      <c r="V889" s="81" t="n">
        <f aca="false">VLOOKUP(U889,recipe_ingred_list!$A$2:$B$300,2,0)</f>
        <v>84</v>
      </c>
      <c r="W889" s="81" t="str">
        <f aca="false">"/recipes/"&amp;VLOOKUP(U889,recipe_ingred_list!$A$2:$C$300,3,0)&amp;"/detail/"</f>
        <v>/recipes/usal-pav/detail/</v>
      </c>
      <c r="X889" s="81" t="str">
        <f aca="false">J889</f>
        <v>rai</v>
      </c>
      <c r="Y889" s="81" t="str">
        <f aca="false">R889</f>
        <v>rai</v>
      </c>
      <c r="Z889" s="94" t="n">
        <f aca="false">VLOOKUP(Y889,recipe_ingred_list!$D$2:$E$500,2,0)</f>
        <v>164</v>
      </c>
      <c r="AA889" s="61" t="n">
        <f aca="false">K889</f>
        <v>0</v>
      </c>
      <c r="AB889" s="61" t="n">
        <f aca="false">L889</f>
        <v>0</v>
      </c>
      <c r="AC889" s="61" t="n">
        <f aca="false">VLOOKUP(AB889,recipe_ingred_list!$K$2:$M$7,3,0)</f>
        <v>2</v>
      </c>
      <c r="AD889" s="61" t="n">
        <f aca="false">M889</f>
        <v>0.75</v>
      </c>
      <c r="AE889" s="61" t="str">
        <f aca="false">N889</f>
        <v>ltr</v>
      </c>
      <c r="AF889" s="61" t="n">
        <f aca="false">VLOOKUP(AE889,recipe_ingred_list!$K$16:$M$25,3,0)</f>
        <v>1</v>
      </c>
      <c r="AG889" s="61" t="n">
        <f aca="false">O889</f>
        <v>0</v>
      </c>
      <c r="AH889" s="61" t="n">
        <f aca="false">P889</f>
        <v>0</v>
      </c>
      <c r="AI889" s="61" t="n">
        <f aca="false">VLOOKUP(AH889,recipe_ingred_list!$K$29:$M$34,3,0)</f>
        <v>3</v>
      </c>
      <c r="AJ889" s="61" t="str">
        <f aca="false">IF(Q889="","",Q889)</f>
        <v/>
      </c>
      <c r="AK889" s="61" t="n">
        <f aca="false">AK888+1</f>
        <v>889</v>
      </c>
      <c r="AL889" s="61" t="str">
        <f aca="false">Y889</f>
        <v>rai</v>
      </c>
      <c r="AM889" s="81" t="str">
        <f aca="false">"a = Client().post('"&amp;W889&amp;"', {'recipe' : '"&amp;V889&amp;"', 'ingredient' : '"&amp;Z889&amp;"', 'name' : '"&amp;X889&amp;"', 'mass_unit' : '"&amp;AC889&amp;"', 'mass_quantity' : '"&amp;ROUND(AA889,3)&amp;"', 'volume_unit' : '"&amp;AF889&amp;"', 'volume_quantity' : '"&amp;ROUND(AD889,3)&amp;"', 'pieces_unit' : '"&amp;AI889&amp;"', 'pieces_quantity' : '"&amp;ROUND(AG889,3)&amp;"', 'cooking_notes' : '"&amp;AJ889&amp;"'}).status_code; print('%s :: %s :: %s :: %s :: %s' %(a,"&amp;G889&amp;",'"&amp;X889&amp;"','"&amp;Y889&amp;"','"&amp;U889&amp;"'))"</f>
        <v>a = Client().post('/recipes/usal-pav/detail/', {'recipe' : '84', 'ingredient' : '164', 'name' : 'rai', 'mass_unit' : '2', 'mass_quantity' : '0', 'volume_unit' : '1', 'volume_quantity' : '0.75', 'pieces_unit' : '3', 'pieces_quantity' : '0', 'cooking_notes' : ''}).status_code; print('%s :: %s :: %s :: %s :: %s' %(a,889,'rai','rai','Usal Pav'))</v>
      </c>
    </row>
    <row r="890" customFormat="false" ht="13.8" hidden="false" customHeight="false" outlineLevel="0" collapsed="false">
      <c r="G890" s="80" t="n">
        <v>890</v>
      </c>
      <c r="H890" s="83"/>
      <c r="I890" s="83" t="s">
        <v>361</v>
      </c>
      <c r="J890" s="83" t="s">
        <v>398</v>
      </c>
      <c r="M890" s="61" t="n">
        <v>1</v>
      </c>
      <c r="N890" s="61" t="s">
        <v>13</v>
      </c>
      <c r="R890" s="82" t="str">
        <f aca="false">VLOOKUP(J890,ingredient!$N$4:$O$553,2,0)</f>
        <v>jeera</v>
      </c>
      <c r="U890" s="81" t="str">
        <f aca="false">I890</f>
        <v>Usal Pav</v>
      </c>
      <c r="V890" s="81" t="n">
        <f aca="false">VLOOKUP(U890,recipe_ingred_list!$A$2:$B$300,2,0)</f>
        <v>84</v>
      </c>
      <c r="W890" s="81" t="str">
        <f aca="false">"/recipes/"&amp;VLOOKUP(U890,recipe_ingred_list!$A$2:$C$300,3,0)&amp;"/detail/"</f>
        <v>/recipes/usal-pav/detail/</v>
      </c>
      <c r="X890" s="81" t="str">
        <f aca="false">J890</f>
        <v>jeera</v>
      </c>
      <c r="Y890" s="81" t="str">
        <f aca="false">R890</f>
        <v>jeera</v>
      </c>
      <c r="Z890" s="94" t="n">
        <f aca="false">VLOOKUP(Y890,recipe_ingred_list!$D$2:$E$500,2,0)</f>
        <v>102</v>
      </c>
      <c r="AA890" s="61" t="n">
        <f aca="false">K890</f>
        <v>0</v>
      </c>
      <c r="AB890" s="61" t="n">
        <f aca="false">L890</f>
        <v>0</v>
      </c>
      <c r="AC890" s="61" t="n">
        <f aca="false">VLOOKUP(AB890,recipe_ingred_list!$K$2:$M$7,3,0)</f>
        <v>2</v>
      </c>
      <c r="AD890" s="61" t="n">
        <f aca="false">M890</f>
        <v>1</v>
      </c>
      <c r="AE890" s="61" t="str">
        <f aca="false">N890</f>
        <v>ltr</v>
      </c>
      <c r="AF890" s="61" t="n">
        <f aca="false">VLOOKUP(AE890,recipe_ingred_list!$K$16:$M$25,3,0)</f>
        <v>1</v>
      </c>
      <c r="AG890" s="61" t="n">
        <f aca="false">O890</f>
        <v>0</v>
      </c>
      <c r="AH890" s="61" t="n">
        <f aca="false">P890</f>
        <v>0</v>
      </c>
      <c r="AI890" s="61" t="n">
        <f aca="false">VLOOKUP(AH890,recipe_ingred_list!$K$29:$M$34,3,0)</f>
        <v>3</v>
      </c>
      <c r="AJ890" s="61" t="str">
        <f aca="false">IF(Q890="","",Q890)</f>
        <v/>
      </c>
      <c r="AK890" s="61" t="n">
        <f aca="false">AK889+1</f>
        <v>890</v>
      </c>
      <c r="AL890" s="61" t="str">
        <f aca="false">Y890</f>
        <v>jeera</v>
      </c>
      <c r="AM890" s="81" t="str">
        <f aca="false">"a = Client().post('"&amp;W890&amp;"', {'recipe' : '"&amp;V890&amp;"', 'ingredient' : '"&amp;Z890&amp;"', 'name' : '"&amp;X890&amp;"', 'mass_unit' : '"&amp;AC890&amp;"', 'mass_quantity' : '"&amp;ROUND(AA890,3)&amp;"', 'volume_unit' : '"&amp;AF890&amp;"', 'volume_quantity' : '"&amp;ROUND(AD890,3)&amp;"', 'pieces_unit' : '"&amp;AI890&amp;"', 'pieces_quantity' : '"&amp;ROUND(AG890,3)&amp;"', 'cooking_notes' : '"&amp;AJ890&amp;"'}).status_code; print('%s :: %s :: %s :: %s :: %s' %(a,"&amp;G890&amp;",'"&amp;X890&amp;"','"&amp;Y890&amp;"','"&amp;U890&amp;"'))"</f>
        <v>a = Client().post('/recipes/usal-pav/detail/', {'recipe' : '84', 'ingredient' : '102', 'name' : 'jeera', 'mass_unit' : '2', 'mass_quantity' : '0', 'volume_unit' : '1', 'volume_quantity' : '1', 'pieces_unit' : '3', 'pieces_quantity' : '0', 'cooking_notes' : ''}).status_code; print('%s :: %s :: %s :: %s :: %s' %(a,890,'jeera','jeera','Usal Pav'))</v>
      </c>
    </row>
    <row r="891" customFormat="false" ht="13.8" hidden="false" customHeight="false" outlineLevel="0" collapsed="false">
      <c r="G891" s="80" t="n">
        <v>891</v>
      </c>
      <c r="H891" s="83"/>
      <c r="I891" s="83" t="s">
        <v>361</v>
      </c>
      <c r="J891" s="83" t="s">
        <v>391</v>
      </c>
      <c r="M891" s="61" t="n">
        <v>0.75</v>
      </c>
      <c r="N891" s="61" t="s">
        <v>20</v>
      </c>
      <c r="R891" s="82" t="str">
        <f aca="false">VLOOKUP(J891,ingredient!$N$4:$O$553,2,0)</f>
        <v>hing</v>
      </c>
      <c r="U891" s="81" t="str">
        <f aca="false">I891</f>
        <v>Usal Pav</v>
      </c>
      <c r="V891" s="81" t="n">
        <f aca="false">VLOOKUP(U891,recipe_ingred_list!$A$2:$B$300,2,0)</f>
        <v>84</v>
      </c>
      <c r="W891" s="81" t="str">
        <f aca="false">"/recipes/"&amp;VLOOKUP(U891,recipe_ingred_list!$A$2:$C$300,3,0)&amp;"/detail/"</f>
        <v>/recipes/usal-pav/detail/</v>
      </c>
      <c r="X891" s="81" t="str">
        <f aca="false">J891</f>
        <v>hing</v>
      </c>
      <c r="Y891" s="81" t="str">
        <f aca="false">R891</f>
        <v>hing</v>
      </c>
      <c r="Z891" s="94" t="n">
        <f aca="false">VLOOKUP(Y891,recipe_ingred_list!$D$2:$E$500,2,0)</f>
        <v>95</v>
      </c>
      <c r="AA891" s="61" t="n">
        <f aca="false">K891</f>
        <v>0</v>
      </c>
      <c r="AB891" s="61" t="n">
        <f aca="false">L891</f>
        <v>0</v>
      </c>
      <c r="AC891" s="61" t="n">
        <f aca="false">VLOOKUP(AB891,recipe_ingred_list!$K$2:$M$7,3,0)</f>
        <v>2</v>
      </c>
      <c r="AD891" s="61" t="n">
        <f aca="false">M891</f>
        <v>0.75</v>
      </c>
      <c r="AE891" s="61" t="str">
        <f aca="false">N891</f>
        <v>cup</v>
      </c>
      <c r="AF891" s="61" t="n">
        <f aca="false">VLOOKUP(AE891,recipe_ingred_list!$K$16:$M$25,3,0)</f>
        <v>5</v>
      </c>
      <c r="AG891" s="61" t="n">
        <f aca="false">O891</f>
        <v>0</v>
      </c>
      <c r="AH891" s="61" t="n">
        <f aca="false">P891</f>
        <v>0</v>
      </c>
      <c r="AI891" s="61" t="n">
        <f aca="false">VLOOKUP(AH891,recipe_ingred_list!$K$29:$M$34,3,0)</f>
        <v>3</v>
      </c>
      <c r="AJ891" s="61" t="str">
        <f aca="false">IF(Q891="","",Q891)</f>
        <v/>
      </c>
      <c r="AK891" s="61" t="n">
        <f aca="false">AK890+1</f>
        <v>891</v>
      </c>
      <c r="AL891" s="61" t="str">
        <f aca="false">Y891</f>
        <v>hing</v>
      </c>
      <c r="AM891" s="81" t="str">
        <f aca="false">"a = Client().post('"&amp;W891&amp;"', {'recipe' : '"&amp;V891&amp;"', 'ingredient' : '"&amp;Z891&amp;"', 'name' : '"&amp;X891&amp;"', 'mass_unit' : '"&amp;AC891&amp;"', 'mass_quantity' : '"&amp;ROUND(AA891,3)&amp;"', 'volume_unit' : '"&amp;AF891&amp;"', 'volume_quantity' : '"&amp;ROUND(AD891,3)&amp;"', 'pieces_unit' : '"&amp;AI891&amp;"', 'pieces_quantity' : '"&amp;ROUND(AG891,3)&amp;"', 'cooking_notes' : '"&amp;AJ891&amp;"'}).status_code; print('%s :: %s :: %s :: %s :: %s' %(a,"&amp;G891&amp;",'"&amp;X891&amp;"','"&amp;Y891&amp;"','"&amp;U891&amp;"'))"</f>
        <v>a = Client().post('/recipes/usal-pav/detail/', {'recipe' : '84', 'ingredient' : '95', 'name' : 'hing', 'mass_unit' : '2', 'mass_quantity' : '0', 'volume_unit' : '5', 'volume_quantity' : '0.75', 'pieces_unit' : '3', 'pieces_quantity' : '0', 'cooking_notes' : ''}).status_code; print('%s :: %s :: %s :: %s :: %s' %(a,891,'hing','hing','Usal Pav'))</v>
      </c>
    </row>
    <row r="892" customFormat="false" ht="13.8" hidden="false" customHeight="false" outlineLevel="0" collapsed="false">
      <c r="G892" s="80" t="n">
        <v>892</v>
      </c>
      <c r="H892" s="83"/>
      <c r="I892" s="83" t="s">
        <v>361</v>
      </c>
      <c r="J892" s="83" t="s">
        <v>102</v>
      </c>
      <c r="M892" s="61" t="n">
        <v>0.75</v>
      </c>
      <c r="N892" s="61" t="s">
        <v>13</v>
      </c>
      <c r="R892" s="82" t="str">
        <f aca="false">VLOOKUP(J892,ingredient!$N$4:$O$553,2,0)</f>
        <v>adrak</v>
      </c>
      <c r="U892" s="81" t="str">
        <f aca="false">I892</f>
        <v>Usal Pav</v>
      </c>
      <c r="V892" s="81" t="n">
        <f aca="false">VLOOKUP(U892,recipe_ingred_list!$A$2:$B$300,2,0)</f>
        <v>84</v>
      </c>
      <c r="W892" s="81" t="str">
        <f aca="false">"/recipes/"&amp;VLOOKUP(U892,recipe_ingred_list!$A$2:$C$300,3,0)&amp;"/detail/"</f>
        <v>/recipes/usal-pav/detail/</v>
      </c>
      <c r="X892" s="81" t="str">
        <f aca="false">J892</f>
        <v>adrak</v>
      </c>
      <c r="Y892" s="81" t="str">
        <f aca="false">R892</f>
        <v>adrak</v>
      </c>
      <c r="Z892" s="94" t="n">
        <f aca="false">VLOOKUP(Y892,recipe_ingred_list!$D$2:$E$500,2,0)</f>
        <v>1</v>
      </c>
      <c r="AA892" s="61" t="n">
        <f aca="false">K892</f>
        <v>0</v>
      </c>
      <c r="AB892" s="61" t="n">
        <f aca="false">L892</f>
        <v>0</v>
      </c>
      <c r="AC892" s="61" t="n">
        <f aca="false">VLOOKUP(AB892,recipe_ingred_list!$K$2:$M$7,3,0)</f>
        <v>2</v>
      </c>
      <c r="AD892" s="61" t="n">
        <f aca="false">M892</f>
        <v>0.75</v>
      </c>
      <c r="AE892" s="61" t="str">
        <f aca="false">N892</f>
        <v>ltr</v>
      </c>
      <c r="AF892" s="61" t="n">
        <f aca="false">VLOOKUP(AE892,recipe_ingred_list!$K$16:$M$25,3,0)</f>
        <v>1</v>
      </c>
      <c r="AG892" s="61" t="n">
        <f aca="false">O892</f>
        <v>0</v>
      </c>
      <c r="AH892" s="61" t="n">
        <f aca="false">P892</f>
        <v>0</v>
      </c>
      <c r="AI892" s="61" t="n">
        <f aca="false">VLOOKUP(AH892,recipe_ingred_list!$K$29:$M$34,3,0)</f>
        <v>3</v>
      </c>
      <c r="AJ892" s="61" t="str">
        <f aca="false">IF(Q892="","",Q892)</f>
        <v/>
      </c>
      <c r="AK892" s="61" t="n">
        <f aca="false">AK891+1</f>
        <v>892</v>
      </c>
      <c r="AL892" s="61" t="str">
        <f aca="false">Y892</f>
        <v>adrak</v>
      </c>
      <c r="AM892" s="81" t="str">
        <f aca="false">"a = Client().post('"&amp;W892&amp;"', {'recipe' : '"&amp;V892&amp;"', 'ingredient' : '"&amp;Z892&amp;"', 'name' : '"&amp;X892&amp;"', 'mass_unit' : '"&amp;AC892&amp;"', 'mass_quantity' : '"&amp;ROUND(AA892,3)&amp;"', 'volume_unit' : '"&amp;AF892&amp;"', 'volume_quantity' : '"&amp;ROUND(AD892,3)&amp;"', 'pieces_unit' : '"&amp;AI892&amp;"', 'pieces_quantity' : '"&amp;ROUND(AG892,3)&amp;"', 'cooking_notes' : '"&amp;AJ892&amp;"'}).status_code; print('%s :: %s :: %s :: %s :: %s' %(a,"&amp;G892&amp;",'"&amp;X892&amp;"','"&amp;Y892&amp;"','"&amp;U892&amp;"'))"</f>
        <v>a = Client().post('/recipes/usal-pav/detail/', {'recipe' : '84', 'ingredient' : '1', 'name' : 'adrak', 'mass_unit' : '2', 'mass_quantity' : '0', 'volume_unit' : '1', 'volume_quantity' : '0.75', 'pieces_unit' : '3', 'pieces_quantity' : '0', 'cooking_notes' : ''}).status_code; print('%s :: %s :: %s :: %s :: %s' %(a,892,'adrak','adrak','Usal Pav'))</v>
      </c>
    </row>
    <row r="893" customFormat="false" ht="13.8" hidden="false" customHeight="false" outlineLevel="0" collapsed="false">
      <c r="G893" s="80" t="n">
        <v>893</v>
      </c>
      <c r="H893" s="83"/>
      <c r="I893" s="83" t="s">
        <v>361</v>
      </c>
      <c r="J893" s="83" t="s">
        <v>382</v>
      </c>
      <c r="M893" s="61" t="n">
        <v>1.5</v>
      </c>
      <c r="N893" s="61" t="s">
        <v>20</v>
      </c>
      <c r="R893" s="82" t="str">
        <f aca="false">VLOOKUP(J893,ingredient!$N$4:$O$553,2,0)</f>
        <v>haldi</v>
      </c>
      <c r="U893" s="81" t="str">
        <f aca="false">I893</f>
        <v>Usal Pav</v>
      </c>
      <c r="V893" s="81" t="n">
        <f aca="false">VLOOKUP(U893,recipe_ingred_list!$A$2:$B$300,2,0)</f>
        <v>84</v>
      </c>
      <c r="W893" s="81" t="str">
        <f aca="false">"/recipes/"&amp;VLOOKUP(U893,recipe_ingred_list!$A$2:$C$300,3,0)&amp;"/detail/"</f>
        <v>/recipes/usal-pav/detail/</v>
      </c>
      <c r="X893" s="81" t="str">
        <f aca="false">J893</f>
        <v>haldi</v>
      </c>
      <c r="Y893" s="81" t="str">
        <f aca="false">R893</f>
        <v>haldi</v>
      </c>
      <c r="Z893" s="94" t="n">
        <f aca="false">VLOOKUP(Y893,recipe_ingred_list!$D$2:$E$500,2,0)</f>
        <v>91</v>
      </c>
      <c r="AA893" s="61" t="n">
        <f aca="false">K893</f>
        <v>0</v>
      </c>
      <c r="AB893" s="61" t="n">
        <f aca="false">L893</f>
        <v>0</v>
      </c>
      <c r="AC893" s="61" t="n">
        <f aca="false">VLOOKUP(AB893,recipe_ingred_list!$K$2:$M$7,3,0)</f>
        <v>2</v>
      </c>
      <c r="AD893" s="61" t="n">
        <f aca="false">M893</f>
        <v>1.5</v>
      </c>
      <c r="AE893" s="61" t="str">
        <f aca="false">N893</f>
        <v>cup</v>
      </c>
      <c r="AF893" s="61" t="n">
        <f aca="false">VLOOKUP(AE893,recipe_ingred_list!$K$16:$M$25,3,0)</f>
        <v>5</v>
      </c>
      <c r="AG893" s="61" t="n">
        <f aca="false">O893</f>
        <v>0</v>
      </c>
      <c r="AH893" s="61" t="n">
        <f aca="false">P893</f>
        <v>0</v>
      </c>
      <c r="AI893" s="61" t="n">
        <f aca="false">VLOOKUP(AH893,recipe_ingred_list!$K$29:$M$34,3,0)</f>
        <v>3</v>
      </c>
      <c r="AJ893" s="61" t="str">
        <f aca="false">IF(Q893="","",Q893)</f>
        <v/>
      </c>
      <c r="AK893" s="61" t="n">
        <f aca="false">AK892+1</f>
        <v>893</v>
      </c>
      <c r="AL893" s="61" t="str">
        <f aca="false">Y893</f>
        <v>haldi</v>
      </c>
      <c r="AM893" s="81" t="str">
        <f aca="false">"a = Client().post('"&amp;W893&amp;"', {'recipe' : '"&amp;V893&amp;"', 'ingredient' : '"&amp;Z893&amp;"', 'name' : '"&amp;X893&amp;"', 'mass_unit' : '"&amp;AC893&amp;"', 'mass_quantity' : '"&amp;ROUND(AA893,3)&amp;"', 'volume_unit' : '"&amp;AF893&amp;"', 'volume_quantity' : '"&amp;ROUND(AD893,3)&amp;"', 'pieces_unit' : '"&amp;AI893&amp;"', 'pieces_quantity' : '"&amp;ROUND(AG893,3)&amp;"', 'cooking_notes' : '"&amp;AJ893&amp;"'}).status_code; print('%s :: %s :: %s :: %s :: %s' %(a,"&amp;G893&amp;",'"&amp;X893&amp;"','"&amp;Y893&amp;"','"&amp;U893&amp;"'))"</f>
        <v>a = Client().post('/recipes/usal-pav/detail/', {'recipe' : '84', 'ingredient' : '91', 'name' : 'haldi', 'mass_unit' : '2', 'mass_quantity' : '0', 'volume_unit' : '5', 'volume_quantity' : '1.5', 'pieces_unit' : '3', 'pieces_quantity' : '0', 'cooking_notes' : ''}).status_code; print('%s :: %s :: %s :: %s :: %s' %(a,893,'haldi','haldi','Usal Pav'))</v>
      </c>
    </row>
    <row r="894" customFormat="false" ht="13.8" hidden="false" customHeight="false" outlineLevel="0" collapsed="false">
      <c r="G894" s="80" t="n">
        <v>894</v>
      </c>
      <c r="H894" s="83"/>
      <c r="I894" s="83" t="s">
        <v>361</v>
      </c>
      <c r="J894" s="83" t="s">
        <v>841</v>
      </c>
      <c r="M894" s="61" t="n">
        <v>2</v>
      </c>
      <c r="N894" s="61" t="s">
        <v>20</v>
      </c>
      <c r="R894" s="82" t="str">
        <f aca="false">VLOOKUP(J894,ingredient!$N$4:$O$553,2,0)</f>
        <v>dhaniya powder</v>
      </c>
      <c r="U894" s="81" t="str">
        <f aca="false">I894</f>
        <v>Usal Pav</v>
      </c>
      <c r="V894" s="81" t="n">
        <f aca="false">VLOOKUP(U894,recipe_ingred_list!$A$2:$B$300,2,0)</f>
        <v>84</v>
      </c>
      <c r="W894" s="81" t="str">
        <f aca="false">"/recipes/"&amp;VLOOKUP(U894,recipe_ingred_list!$A$2:$C$300,3,0)&amp;"/detail/"</f>
        <v>/recipes/usal-pav/detail/</v>
      </c>
      <c r="X894" s="81" t="str">
        <f aca="false">J894</f>
        <v>dhania powder</v>
      </c>
      <c r="Y894" s="81" t="str">
        <f aca="false">R894</f>
        <v>dhaniya powder</v>
      </c>
      <c r="Z894" s="94" t="n">
        <f aca="false">VLOOKUP(Y894,recipe_ingred_list!$D$2:$E$500,2,0)</f>
        <v>67</v>
      </c>
      <c r="AA894" s="61" t="n">
        <f aca="false">K894</f>
        <v>0</v>
      </c>
      <c r="AB894" s="61" t="n">
        <f aca="false">L894</f>
        <v>0</v>
      </c>
      <c r="AC894" s="61" t="n">
        <f aca="false">VLOOKUP(AB894,recipe_ingred_list!$K$2:$M$7,3,0)</f>
        <v>2</v>
      </c>
      <c r="AD894" s="61" t="n">
        <f aca="false">M894</f>
        <v>2</v>
      </c>
      <c r="AE894" s="61" t="str">
        <f aca="false">N894</f>
        <v>cup</v>
      </c>
      <c r="AF894" s="61" t="n">
        <f aca="false">VLOOKUP(AE894,recipe_ingred_list!$K$16:$M$25,3,0)</f>
        <v>5</v>
      </c>
      <c r="AG894" s="61" t="n">
        <f aca="false">O894</f>
        <v>0</v>
      </c>
      <c r="AH894" s="61" t="n">
        <f aca="false">P894</f>
        <v>0</v>
      </c>
      <c r="AI894" s="61" t="n">
        <f aca="false">VLOOKUP(AH894,recipe_ingred_list!$K$29:$M$34,3,0)</f>
        <v>3</v>
      </c>
      <c r="AJ894" s="61" t="str">
        <f aca="false">IF(Q894="","",Q894)</f>
        <v/>
      </c>
      <c r="AK894" s="61" t="n">
        <f aca="false">AK893+1</f>
        <v>894</v>
      </c>
      <c r="AL894" s="61" t="str">
        <f aca="false">Y894</f>
        <v>dhaniya powder</v>
      </c>
      <c r="AM894" s="81" t="str">
        <f aca="false">"a = Client().post('"&amp;W894&amp;"', {'recipe' : '"&amp;V894&amp;"', 'ingredient' : '"&amp;Z894&amp;"', 'name' : '"&amp;X894&amp;"', 'mass_unit' : '"&amp;AC894&amp;"', 'mass_quantity' : '"&amp;ROUND(AA894,3)&amp;"', 'volume_unit' : '"&amp;AF894&amp;"', 'volume_quantity' : '"&amp;ROUND(AD894,3)&amp;"', 'pieces_unit' : '"&amp;AI894&amp;"', 'pieces_quantity' : '"&amp;ROUND(AG894,3)&amp;"', 'cooking_notes' : '"&amp;AJ894&amp;"'}).status_code; print('%s :: %s :: %s :: %s :: %s' %(a,"&amp;G894&amp;",'"&amp;X894&amp;"','"&amp;Y894&amp;"','"&amp;U894&amp;"'))"</f>
        <v>a = Client().post('/recipes/usal-pav/detail/', {'recipe' : '84', 'ingredient' : '67', 'name' : 'dhania powder', 'mass_unit' : '2', 'mass_quantity' : '0', 'volume_unit' : '5', 'volume_quantity' : '2', 'pieces_unit' : '3', 'pieces_quantity' : '0', 'cooking_notes' : ''}).status_code; print('%s :: %s :: %s :: %s :: %s' %(a,894,'dhania powder','dhaniya powder','Usal Pav'))</v>
      </c>
    </row>
    <row r="895" customFormat="false" ht="13.8" hidden="false" customHeight="false" outlineLevel="0" collapsed="false">
      <c r="G895" s="80" t="n">
        <v>895</v>
      </c>
      <c r="H895" s="83"/>
      <c r="I895" s="83" t="s">
        <v>361</v>
      </c>
      <c r="J895" s="83" t="s">
        <v>399</v>
      </c>
      <c r="M895" s="61" t="n">
        <v>0.75</v>
      </c>
      <c r="N895" s="61" t="s">
        <v>20</v>
      </c>
      <c r="R895" s="82" t="str">
        <f aca="false">VLOOKUP(J895,ingredient!$N$4:$O$553,2,0)</f>
        <v>jeera powder</v>
      </c>
      <c r="U895" s="81" t="str">
        <f aca="false">I895</f>
        <v>Usal Pav</v>
      </c>
      <c r="V895" s="81" t="n">
        <f aca="false">VLOOKUP(U895,recipe_ingred_list!$A$2:$B$300,2,0)</f>
        <v>84</v>
      </c>
      <c r="W895" s="81" t="str">
        <f aca="false">"/recipes/"&amp;VLOOKUP(U895,recipe_ingred_list!$A$2:$C$300,3,0)&amp;"/detail/"</f>
        <v>/recipes/usal-pav/detail/</v>
      </c>
      <c r="X895" s="81" t="str">
        <f aca="false">J895</f>
        <v>jeera powder</v>
      </c>
      <c r="Y895" s="81" t="str">
        <f aca="false">R895</f>
        <v>jeera powder</v>
      </c>
      <c r="Z895" s="94" t="n">
        <f aca="false">VLOOKUP(Y895,recipe_ingred_list!$D$2:$E$500,2,0)</f>
        <v>103</v>
      </c>
      <c r="AA895" s="61" t="n">
        <f aca="false">K895</f>
        <v>0</v>
      </c>
      <c r="AB895" s="61" t="n">
        <f aca="false">L895</f>
        <v>0</v>
      </c>
      <c r="AC895" s="61" t="n">
        <f aca="false">VLOOKUP(AB895,recipe_ingred_list!$K$2:$M$7,3,0)</f>
        <v>2</v>
      </c>
      <c r="AD895" s="61" t="n">
        <f aca="false">M895</f>
        <v>0.75</v>
      </c>
      <c r="AE895" s="61" t="str">
        <f aca="false">N895</f>
        <v>cup</v>
      </c>
      <c r="AF895" s="61" t="n">
        <f aca="false">VLOOKUP(AE895,recipe_ingred_list!$K$16:$M$25,3,0)</f>
        <v>5</v>
      </c>
      <c r="AG895" s="61" t="n">
        <f aca="false">O895</f>
        <v>0</v>
      </c>
      <c r="AH895" s="61" t="n">
        <f aca="false">P895</f>
        <v>0</v>
      </c>
      <c r="AI895" s="61" t="n">
        <f aca="false">VLOOKUP(AH895,recipe_ingred_list!$K$29:$M$34,3,0)</f>
        <v>3</v>
      </c>
      <c r="AJ895" s="61" t="str">
        <f aca="false">IF(Q895="","",Q895)</f>
        <v/>
      </c>
      <c r="AK895" s="61" t="n">
        <f aca="false">AK894+1</f>
        <v>895</v>
      </c>
      <c r="AL895" s="61" t="str">
        <f aca="false">Y895</f>
        <v>jeera powder</v>
      </c>
      <c r="AM895" s="81" t="str">
        <f aca="false">"a = Client().post('"&amp;W895&amp;"', {'recipe' : '"&amp;V895&amp;"', 'ingredient' : '"&amp;Z895&amp;"', 'name' : '"&amp;X895&amp;"', 'mass_unit' : '"&amp;AC895&amp;"', 'mass_quantity' : '"&amp;ROUND(AA895,3)&amp;"', 'volume_unit' : '"&amp;AF895&amp;"', 'volume_quantity' : '"&amp;ROUND(AD895,3)&amp;"', 'pieces_unit' : '"&amp;AI895&amp;"', 'pieces_quantity' : '"&amp;ROUND(AG895,3)&amp;"', 'cooking_notes' : '"&amp;AJ895&amp;"'}).status_code; print('%s :: %s :: %s :: %s :: %s' %(a,"&amp;G895&amp;",'"&amp;X895&amp;"','"&amp;Y895&amp;"','"&amp;U895&amp;"'))"</f>
        <v>a = Client().post('/recipes/usal-pav/detail/', {'recipe' : '84', 'ingredient' : '103', 'name' : 'jeera powder', 'mass_unit' : '2', 'mass_quantity' : '0', 'volume_unit' : '5', 'volume_quantity' : '0.75', 'pieces_unit' : '3', 'pieces_quantity' : '0', 'cooking_notes' : ''}).status_code; print('%s :: %s :: %s :: %s :: %s' %(a,895,'jeera powder','jeera powder','Usal Pav'))</v>
      </c>
    </row>
    <row r="896" customFormat="false" ht="13.8" hidden="false" customHeight="false" outlineLevel="0" collapsed="false">
      <c r="G896" s="80" t="n">
        <v>896</v>
      </c>
      <c r="H896" s="83"/>
      <c r="I896" s="83" t="s">
        <v>361</v>
      </c>
      <c r="J896" s="83" t="s">
        <v>842</v>
      </c>
      <c r="M896" s="61" t="n">
        <v>1</v>
      </c>
      <c r="N896" s="61" t="s">
        <v>20</v>
      </c>
      <c r="R896" s="82" t="str">
        <f aca="false">VLOOKUP(J896,ingredient!$N$4:$O$553,2,0)</f>
        <v>kashmiri chilly powder</v>
      </c>
      <c r="U896" s="81" t="str">
        <f aca="false">I896</f>
        <v>Usal Pav</v>
      </c>
      <c r="V896" s="81" t="n">
        <f aca="false">VLOOKUP(U896,recipe_ingred_list!$A$2:$B$300,2,0)</f>
        <v>84</v>
      </c>
      <c r="W896" s="81" t="str">
        <f aca="false">"/recipes/"&amp;VLOOKUP(U896,recipe_ingred_list!$A$2:$C$300,3,0)&amp;"/detail/"</f>
        <v>/recipes/usal-pav/detail/</v>
      </c>
      <c r="X896" s="81" t="str">
        <f aca="false">J896</f>
        <v>kashmiri mirchi powder</v>
      </c>
      <c r="Y896" s="81" t="str">
        <f aca="false">R896</f>
        <v>kashmiri chilly powder</v>
      </c>
      <c r="Z896" s="94" t="n">
        <f aca="false">VLOOKUP(Y896,recipe_ingred_list!$D$2:$E$500,2,0)</f>
        <v>117</v>
      </c>
      <c r="AA896" s="61" t="n">
        <f aca="false">K896</f>
        <v>0</v>
      </c>
      <c r="AB896" s="61" t="n">
        <f aca="false">L896</f>
        <v>0</v>
      </c>
      <c r="AC896" s="61" t="n">
        <f aca="false">VLOOKUP(AB896,recipe_ingred_list!$K$2:$M$7,3,0)</f>
        <v>2</v>
      </c>
      <c r="AD896" s="61" t="n">
        <f aca="false">M896</f>
        <v>1</v>
      </c>
      <c r="AE896" s="61" t="str">
        <f aca="false">N896</f>
        <v>cup</v>
      </c>
      <c r="AF896" s="61" t="n">
        <f aca="false">VLOOKUP(AE896,recipe_ingred_list!$K$16:$M$25,3,0)</f>
        <v>5</v>
      </c>
      <c r="AG896" s="61" t="n">
        <f aca="false">O896</f>
        <v>0</v>
      </c>
      <c r="AH896" s="61" t="n">
        <f aca="false">P896</f>
        <v>0</v>
      </c>
      <c r="AI896" s="61" t="n">
        <f aca="false">VLOOKUP(AH896,recipe_ingred_list!$K$29:$M$34,3,0)</f>
        <v>3</v>
      </c>
      <c r="AJ896" s="61" t="str">
        <f aca="false">IF(Q896="","",Q896)</f>
        <v/>
      </c>
      <c r="AK896" s="61" t="n">
        <f aca="false">AK895+1</f>
        <v>896</v>
      </c>
      <c r="AL896" s="61" t="str">
        <f aca="false">Y896</f>
        <v>kashmiri chilly powder</v>
      </c>
      <c r="AM896" s="81" t="str">
        <f aca="false">"a = Client().post('"&amp;W896&amp;"', {'recipe' : '"&amp;V896&amp;"', 'ingredient' : '"&amp;Z896&amp;"', 'name' : '"&amp;X896&amp;"', 'mass_unit' : '"&amp;AC896&amp;"', 'mass_quantity' : '"&amp;ROUND(AA896,3)&amp;"', 'volume_unit' : '"&amp;AF896&amp;"', 'volume_quantity' : '"&amp;ROUND(AD896,3)&amp;"', 'pieces_unit' : '"&amp;AI896&amp;"', 'pieces_quantity' : '"&amp;ROUND(AG896,3)&amp;"', 'cooking_notes' : '"&amp;AJ896&amp;"'}).status_code; print('%s :: %s :: %s :: %s :: %s' %(a,"&amp;G896&amp;",'"&amp;X896&amp;"','"&amp;Y896&amp;"','"&amp;U896&amp;"'))"</f>
        <v>a = Client().post('/recipes/usal-pav/detail/', {'recipe' : '84', 'ingredient' : '117', 'name' : 'kashmiri mirchi powder', 'mass_unit' : '2', 'mass_quantity' : '0', 'volume_unit' : '5', 'volume_quantity' : '1', 'pieces_unit' : '3', 'pieces_quantity' : '0', 'cooking_notes' : ''}).status_code; print('%s :: %s :: %s :: %s :: %s' %(a,896,'kashmiri mirchi powder','kashmiri chilly powder','Usal Pav'))</v>
      </c>
    </row>
    <row r="897" customFormat="false" ht="13.8" hidden="false" customHeight="false" outlineLevel="0" collapsed="false">
      <c r="G897" s="80" t="n">
        <v>897</v>
      </c>
      <c r="H897" s="83"/>
      <c r="I897" s="83" t="s">
        <v>361</v>
      </c>
      <c r="J897" s="83" t="s">
        <v>843</v>
      </c>
      <c r="M897" s="61" t="n">
        <v>1</v>
      </c>
      <c r="N897" s="61" t="s">
        <v>13</v>
      </c>
      <c r="R897" s="82" t="str">
        <f aca="false">VLOOKUP(J897,ingredient!$N$4:$O$553,2,0)</f>
        <v>kubal usal masala</v>
      </c>
      <c r="U897" s="81" t="str">
        <f aca="false">I897</f>
        <v>Usal Pav</v>
      </c>
      <c r="V897" s="81" t="n">
        <f aca="false">VLOOKUP(U897,recipe_ingred_list!$A$2:$B$300,2,0)</f>
        <v>84</v>
      </c>
      <c r="W897" s="81" t="str">
        <f aca="false">"/recipes/"&amp;VLOOKUP(U897,recipe_ingred_list!$A$2:$C$300,3,0)&amp;"/detail/"</f>
        <v>/recipes/usal-pav/detail/</v>
      </c>
      <c r="X897" s="81" t="str">
        <f aca="false">J897</f>
        <v>kubal usam masala</v>
      </c>
      <c r="Y897" s="81" t="str">
        <f aca="false">R897</f>
        <v>kubal usal masala</v>
      </c>
      <c r="Z897" s="94" t="n">
        <f aca="false">VLOOKUP(Y897,recipe_ingred_list!$D$2:$E$500,2,0)</f>
        <v>125</v>
      </c>
      <c r="AA897" s="61" t="n">
        <f aca="false">K897</f>
        <v>0</v>
      </c>
      <c r="AB897" s="61" t="n">
        <f aca="false">L897</f>
        <v>0</v>
      </c>
      <c r="AC897" s="61" t="n">
        <f aca="false">VLOOKUP(AB897,recipe_ingred_list!$K$2:$M$7,3,0)</f>
        <v>2</v>
      </c>
      <c r="AD897" s="61" t="n">
        <f aca="false">M897</f>
        <v>1</v>
      </c>
      <c r="AE897" s="61" t="str">
        <f aca="false">N897</f>
        <v>ltr</v>
      </c>
      <c r="AF897" s="61" t="n">
        <f aca="false">VLOOKUP(AE897,recipe_ingred_list!$K$16:$M$25,3,0)</f>
        <v>1</v>
      </c>
      <c r="AG897" s="61" t="n">
        <f aca="false">O897</f>
        <v>0</v>
      </c>
      <c r="AH897" s="61" t="n">
        <f aca="false">P897</f>
        <v>0</v>
      </c>
      <c r="AI897" s="61" t="n">
        <f aca="false">VLOOKUP(AH897,recipe_ingred_list!$K$29:$M$34,3,0)</f>
        <v>3</v>
      </c>
      <c r="AJ897" s="61" t="str">
        <f aca="false">IF(Q897="","",Q897)</f>
        <v/>
      </c>
      <c r="AK897" s="61" t="n">
        <f aca="false">AK896+1</f>
        <v>897</v>
      </c>
      <c r="AL897" s="61" t="str">
        <f aca="false">Y897</f>
        <v>kubal usal masala</v>
      </c>
      <c r="AM897" s="81" t="str">
        <f aca="false">"a = Client().post('"&amp;W897&amp;"', {'recipe' : '"&amp;V897&amp;"', 'ingredient' : '"&amp;Z897&amp;"', 'name' : '"&amp;X897&amp;"', 'mass_unit' : '"&amp;AC897&amp;"', 'mass_quantity' : '"&amp;ROUND(AA897,3)&amp;"', 'volume_unit' : '"&amp;AF897&amp;"', 'volume_quantity' : '"&amp;ROUND(AD897,3)&amp;"', 'pieces_unit' : '"&amp;AI897&amp;"', 'pieces_quantity' : '"&amp;ROUND(AG897,3)&amp;"', 'cooking_notes' : '"&amp;AJ897&amp;"'}).status_code; print('%s :: %s :: %s :: %s :: %s' %(a,"&amp;G897&amp;",'"&amp;X897&amp;"','"&amp;Y897&amp;"','"&amp;U897&amp;"'))"</f>
        <v>a = Client().post('/recipes/usal-pav/detail/', {'recipe' : '84', 'ingredient' : '125', 'name' : 'kubal usam masala', 'mass_unit' : '2', 'mass_quantity' : '0', 'volume_unit' : '1', 'volume_quantity' : '1', 'pieces_unit' : '3', 'pieces_quantity' : '0', 'cooking_notes' : ''}).status_code; print('%s :: %s :: %s :: %s :: %s' %(a,897,'kubal usam masala','kubal usal masala','Usal Pav'))</v>
      </c>
    </row>
    <row r="898" customFormat="false" ht="13.8" hidden="false" customHeight="false" outlineLevel="0" collapsed="false">
      <c r="G898" s="80" t="n">
        <v>898</v>
      </c>
      <c r="H898" s="83"/>
      <c r="I898" s="83" t="s">
        <v>361</v>
      </c>
      <c r="J898" s="83" t="s">
        <v>44</v>
      </c>
      <c r="M898" s="61" t="n">
        <v>1.5</v>
      </c>
      <c r="N898" s="61" t="s">
        <v>20</v>
      </c>
      <c r="R898" s="82" t="str">
        <f aca="false">VLOOKUP(J898,ingredient!$N$4:$O$553,2,0)</f>
        <v>sugar</v>
      </c>
      <c r="U898" s="81" t="str">
        <f aca="false">I898</f>
        <v>Usal Pav</v>
      </c>
      <c r="V898" s="81" t="n">
        <f aca="false">VLOOKUP(U898,recipe_ingred_list!$A$2:$B$300,2,0)</f>
        <v>84</v>
      </c>
      <c r="W898" s="81" t="str">
        <f aca="false">"/recipes/"&amp;VLOOKUP(U898,recipe_ingred_list!$A$2:$C$300,3,0)&amp;"/detail/"</f>
        <v>/recipes/usal-pav/detail/</v>
      </c>
      <c r="X898" s="81" t="str">
        <f aca="false">J898</f>
        <v>sugar</v>
      </c>
      <c r="Y898" s="81" t="str">
        <f aca="false">R898</f>
        <v>sugar</v>
      </c>
      <c r="Z898" s="94" t="n">
        <f aca="false">VLOOKUP(Y898,recipe_ingred_list!$D$2:$E$500,2,0)</f>
        <v>187</v>
      </c>
      <c r="AA898" s="61" t="n">
        <f aca="false">K898</f>
        <v>0</v>
      </c>
      <c r="AB898" s="61" t="n">
        <f aca="false">L898</f>
        <v>0</v>
      </c>
      <c r="AC898" s="61" t="n">
        <f aca="false">VLOOKUP(AB898,recipe_ingred_list!$K$2:$M$7,3,0)</f>
        <v>2</v>
      </c>
      <c r="AD898" s="61" t="n">
        <f aca="false">M898</f>
        <v>1.5</v>
      </c>
      <c r="AE898" s="61" t="str">
        <f aca="false">N898</f>
        <v>cup</v>
      </c>
      <c r="AF898" s="61" t="n">
        <f aca="false">VLOOKUP(AE898,recipe_ingred_list!$K$16:$M$25,3,0)</f>
        <v>5</v>
      </c>
      <c r="AG898" s="61" t="n">
        <f aca="false">O898</f>
        <v>0</v>
      </c>
      <c r="AH898" s="61" t="n">
        <f aca="false">P898</f>
        <v>0</v>
      </c>
      <c r="AI898" s="61" t="n">
        <f aca="false">VLOOKUP(AH898,recipe_ingred_list!$K$29:$M$34,3,0)</f>
        <v>3</v>
      </c>
      <c r="AJ898" s="61" t="str">
        <f aca="false">IF(Q898="","",Q898)</f>
        <v/>
      </c>
      <c r="AK898" s="61" t="n">
        <f aca="false">AK897+1</f>
        <v>898</v>
      </c>
      <c r="AL898" s="61" t="str">
        <f aca="false">Y898</f>
        <v>sugar</v>
      </c>
      <c r="AM898" s="81" t="str">
        <f aca="false">"a = Client().post('"&amp;W898&amp;"', {'recipe' : '"&amp;V898&amp;"', 'ingredient' : '"&amp;Z898&amp;"', 'name' : '"&amp;X898&amp;"', 'mass_unit' : '"&amp;AC898&amp;"', 'mass_quantity' : '"&amp;ROUND(AA898,3)&amp;"', 'volume_unit' : '"&amp;AF898&amp;"', 'volume_quantity' : '"&amp;ROUND(AD898,3)&amp;"', 'pieces_unit' : '"&amp;AI898&amp;"', 'pieces_quantity' : '"&amp;ROUND(AG898,3)&amp;"', 'cooking_notes' : '"&amp;AJ898&amp;"'}).status_code; print('%s :: %s :: %s :: %s :: %s' %(a,"&amp;G898&amp;",'"&amp;X898&amp;"','"&amp;Y898&amp;"','"&amp;U898&amp;"'))"</f>
        <v>a = Client().post('/recipes/usal-pav/detail/', {'recipe' : '84', 'ingredient' : '187', 'name' : 'sugar', 'mass_unit' : '2', 'mass_quantity' : '0', 'volume_unit' : '5', 'volume_quantity' : '1.5', 'pieces_unit' : '3', 'pieces_quantity' : '0', 'cooking_notes' : ''}).status_code; print('%s :: %s :: %s :: %s :: %s' %(a,898,'sugar','sugar','Usal Pav'))</v>
      </c>
    </row>
    <row r="899" customFormat="false" ht="13.8" hidden="false" customHeight="false" outlineLevel="0" collapsed="false">
      <c r="G899" s="80" t="n">
        <v>899</v>
      </c>
      <c r="H899" s="83"/>
      <c r="I899" s="83" t="s">
        <v>361</v>
      </c>
      <c r="J899" s="83" t="s">
        <v>96</v>
      </c>
      <c r="M899" s="61" t="n">
        <v>6</v>
      </c>
      <c r="N899" s="61" t="s">
        <v>20</v>
      </c>
      <c r="R899" s="82" t="str">
        <f aca="false">VLOOKUP(J899,ingredient!$N$4:$O$553,2,0)</f>
        <v>salt</v>
      </c>
      <c r="U899" s="81" t="str">
        <f aca="false">I899</f>
        <v>Usal Pav</v>
      </c>
      <c r="V899" s="81" t="n">
        <f aca="false">VLOOKUP(U899,recipe_ingred_list!$A$2:$B$300,2,0)</f>
        <v>84</v>
      </c>
      <c r="W899" s="81" t="str">
        <f aca="false">"/recipes/"&amp;VLOOKUP(U899,recipe_ingred_list!$A$2:$C$300,3,0)&amp;"/detail/"</f>
        <v>/recipes/usal-pav/detail/</v>
      </c>
      <c r="X899" s="81" t="str">
        <f aca="false">J899</f>
        <v>salt</v>
      </c>
      <c r="Y899" s="81" t="str">
        <f aca="false">R899</f>
        <v>salt</v>
      </c>
      <c r="Z899" s="94" t="n">
        <f aca="false">VLOOKUP(Y899,recipe_ingred_list!$D$2:$E$500,2,0)</f>
        <v>177</v>
      </c>
      <c r="AA899" s="61" t="n">
        <f aca="false">K899</f>
        <v>0</v>
      </c>
      <c r="AB899" s="61" t="n">
        <f aca="false">L899</f>
        <v>0</v>
      </c>
      <c r="AC899" s="61" t="n">
        <f aca="false">VLOOKUP(AB899,recipe_ingred_list!$K$2:$M$7,3,0)</f>
        <v>2</v>
      </c>
      <c r="AD899" s="61" t="n">
        <f aca="false">M899</f>
        <v>6</v>
      </c>
      <c r="AE899" s="61" t="str">
        <f aca="false">N899</f>
        <v>cup</v>
      </c>
      <c r="AF899" s="61" t="n">
        <f aca="false">VLOOKUP(AE899,recipe_ingred_list!$K$16:$M$25,3,0)</f>
        <v>5</v>
      </c>
      <c r="AG899" s="61" t="n">
        <f aca="false">O899</f>
        <v>0</v>
      </c>
      <c r="AH899" s="61" t="n">
        <f aca="false">P899</f>
        <v>0</v>
      </c>
      <c r="AI899" s="61" t="n">
        <f aca="false">VLOOKUP(AH899,recipe_ingred_list!$K$29:$M$34,3,0)</f>
        <v>3</v>
      </c>
      <c r="AJ899" s="61" t="str">
        <f aca="false">IF(Q899="","",Q899)</f>
        <v/>
      </c>
      <c r="AK899" s="61" t="n">
        <f aca="false">AK898+1</f>
        <v>899</v>
      </c>
      <c r="AL899" s="61" t="str">
        <f aca="false">Y899</f>
        <v>salt</v>
      </c>
      <c r="AM899" s="81" t="str">
        <f aca="false">"a = Client().post('"&amp;W899&amp;"', {'recipe' : '"&amp;V899&amp;"', 'ingredient' : '"&amp;Z899&amp;"', 'name' : '"&amp;X899&amp;"', 'mass_unit' : '"&amp;AC899&amp;"', 'mass_quantity' : '"&amp;ROUND(AA899,3)&amp;"', 'volume_unit' : '"&amp;AF899&amp;"', 'volume_quantity' : '"&amp;ROUND(AD899,3)&amp;"', 'pieces_unit' : '"&amp;AI899&amp;"', 'pieces_quantity' : '"&amp;ROUND(AG899,3)&amp;"', 'cooking_notes' : '"&amp;AJ899&amp;"'}).status_code; print('%s :: %s :: %s :: %s :: %s' %(a,"&amp;G899&amp;",'"&amp;X899&amp;"','"&amp;Y899&amp;"','"&amp;U899&amp;"'))"</f>
        <v>a = Client().post('/recipes/usal-pav/detail/', {'recipe' : '84', 'ingredient' : '177', 'name' : 'salt', 'mass_unit' : '2', 'mass_quantity' : '0', 'volume_unit' : '5', 'volume_quantity' : '6', 'pieces_unit' : '3', 'pieces_quantity' : '0', 'cooking_notes' : ''}).status_code; print('%s :: %s :: %s :: %s :: %s' %(a,899,'salt','salt','Usal Pav'))</v>
      </c>
    </row>
    <row r="900" customFormat="false" ht="13.8" hidden="false" customHeight="false" outlineLevel="0" collapsed="false">
      <c r="G900" s="80" t="n">
        <v>900</v>
      </c>
      <c r="H900" s="79"/>
      <c r="I900" s="79"/>
      <c r="J900" s="79"/>
      <c r="K900" s="100"/>
      <c r="L900" s="100"/>
      <c r="M900" s="100"/>
      <c r="N900" s="100"/>
      <c r="O900" s="100"/>
      <c r="P900" s="100"/>
      <c r="Q900" s="102"/>
      <c r="R900" s="99" t="e">
        <f aca="false">VLOOKUP(J900,ingredient!$N$4:$O$553,2,0)</f>
        <v>#N/A</v>
      </c>
      <c r="S900" s="98"/>
      <c r="T900" s="98"/>
      <c r="U900" s="81" t="n">
        <f aca="false">I900</f>
        <v>0</v>
      </c>
      <c r="V900" s="81" t="e">
        <f aca="false">VLOOKUP(U900,recipe_ingred_list!$A$2:$B$300,2,0)</f>
        <v>#N/A</v>
      </c>
      <c r="W900" s="81" t="e">
        <f aca="false">"/recipes/"&amp;VLOOKUP(U900,recipe_ingred_list!$A$2:$C$300,3,0)&amp;"/detail/"</f>
        <v>#N/A</v>
      </c>
      <c r="X900" s="81" t="n">
        <f aca="false">J900</f>
        <v>0</v>
      </c>
      <c r="Y900" s="81" t="e">
        <f aca="false">R900</f>
        <v>#N/A</v>
      </c>
      <c r="Z900" s="94" t="e">
        <f aca="false">VLOOKUP(Y900,recipe_ingred_list!$D$2:$E$500,2,0)</f>
        <v>#N/A</v>
      </c>
      <c r="AA900" s="61" t="n">
        <f aca="false">K900</f>
        <v>0</v>
      </c>
      <c r="AB900" s="61" t="n">
        <f aca="false">L900</f>
        <v>0</v>
      </c>
      <c r="AC900" s="61" t="n">
        <f aca="false">VLOOKUP(AB900,recipe_ingred_list!$K$2:$M$7,3,0)</f>
        <v>2</v>
      </c>
      <c r="AD900" s="61" t="n">
        <f aca="false">M900</f>
        <v>0</v>
      </c>
      <c r="AE900" s="61" t="n">
        <f aca="false">N900</f>
        <v>0</v>
      </c>
      <c r="AF900" s="61" t="n">
        <f aca="false">VLOOKUP(AE900,recipe_ingred_list!$K$16:$M$25,3,0)</f>
        <v>1</v>
      </c>
      <c r="AG900" s="61" t="n">
        <f aca="false">O900</f>
        <v>0</v>
      </c>
      <c r="AH900" s="61" t="n">
        <f aca="false">P900</f>
        <v>0</v>
      </c>
      <c r="AI900" s="61" t="n">
        <f aca="false">VLOOKUP(AH900,recipe_ingred_list!$K$29:$M$34,3,0)</f>
        <v>3</v>
      </c>
      <c r="AJ900" s="61" t="str">
        <f aca="false">IF(Q900="","",Q900)</f>
        <v/>
      </c>
      <c r="AK900" s="61" t="n">
        <f aca="false">AK899+1</f>
        <v>900</v>
      </c>
      <c r="AL900" s="61" t="e">
        <f aca="false">Y900</f>
        <v>#N/A</v>
      </c>
      <c r="AM900" s="81" t="e">
        <f aca="false">"a = Client().post('"&amp;W900&amp;"', {'recipe' : '"&amp;V900&amp;"', 'ingredient' : '"&amp;Z900&amp;"', 'name' : '"&amp;X900&amp;"', 'mass_unit' : '"&amp;AC900&amp;"', 'mass_quantity' : '"&amp;ROUND(AA900,3)&amp;"', 'volume_unit' : '"&amp;AF900&amp;"', 'volume_quantity' : '"&amp;ROUND(AD900,3)&amp;"', 'pieces_unit' : '"&amp;AI900&amp;"', 'pieces_quantity' : '"&amp;ROUND(AG900,3)&amp;"', 'cooking_notes' : '"&amp;AJ900&amp;"'}).status_code; print('%s :: %s :: %s :: %s :: %s' %(a,"&amp;G900&amp;",'"&amp;X900&amp;"','"&amp;Y900&amp;"','"&amp;U900&amp;"'))"</f>
        <v>#N/A</v>
      </c>
    </row>
    <row r="901" customFormat="false" ht="13.8" hidden="false" customHeight="false" outlineLevel="0" collapsed="false">
      <c r="G901" s="80" t="n">
        <v>901</v>
      </c>
      <c r="H901" s="83"/>
      <c r="I901" s="83" t="s">
        <v>202</v>
      </c>
      <c r="J901" s="83" t="s">
        <v>844</v>
      </c>
      <c r="K901" s="61" t="n">
        <v>24.75</v>
      </c>
      <c r="L901" s="61" t="s">
        <v>7</v>
      </c>
      <c r="R901" s="82" t="str">
        <f aca="false">VLOOKUP(J901,ingredient!$N$4:$O$553,2,0)</f>
        <v>rice</v>
      </c>
      <c r="U901" s="81" t="str">
        <f aca="false">I901</f>
        <v>Idli</v>
      </c>
      <c r="V901" s="81" t="n">
        <f aca="false">VLOOKUP(U901,recipe_ingred_list!$A$2:$B$300,2,0)</f>
        <v>31</v>
      </c>
      <c r="W901" s="81" t="str">
        <f aca="false">"/recipes/"&amp;VLOOKUP(U901,recipe_ingred_list!$A$2:$C$300,3,0)&amp;"/detail/"</f>
        <v>/recipes/idli/detail/</v>
      </c>
      <c r="X901" s="81" t="str">
        <f aca="false">J901</f>
        <v>RICE</v>
      </c>
      <c r="Y901" s="81" t="str">
        <f aca="false">R901</f>
        <v>rice</v>
      </c>
      <c r="Z901" s="94" t="n">
        <f aca="false">VLOOKUP(Y901,recipe_ingred_list!$D$2:$E$500,2,0)</f>
        <v>170</v>
      </c>
      <c r="AA901" s="61" t="n">
        <f aca="false">K901</f>
        <v>24.75</v>
      </c>
      <c r="AB901" s="61" t="str">
        <f aca="false">L901</f>
        <v>kg</v>
      </c>
      <c r="AC901" s="61" t="n">
        <f aca="false">VLOOKUP(AB901,recipe_ingred_list!$K$2:$M$7,3,0)</f>
        <v>2</v>
      </c>
      <c r="AD901" s="61" t="n">
        <f aca="false">M901</f>
        <v>0</v>
      </c>
      <c r="AE901" s="61" t="n">
        <f aca="false">N901</f>
        <v>0</v>
      </c>
      <c r="AF901" s="61" t="n">
        <f aca="false">VLOOKUP(AE901,recipe_ingred_list!$K$16:$M$25,3,0)</f>
        <v>1</v>
      </c>
      <c r="AG901" s="61" t="n">
        <f aca="false">O901</f>
        <v>0</v>
      </c>
      <c r="AH901" s="61" t="n">
        <f aca="false">P901</f>
        <v>0</v>
      </c>
      <c r="AI901" s="61" t="n">
        <f aca="false">VLOOKUP(AH901,recipe_ingred_list!$K$29:$M$34,3,0)</f>
        <v>3</v>
      </c>
      <c r="AJ901" s="61" t="str">
        <f aca="false">IF(Q901="","",Q901)</f>
        <v/>
      </c>
      <c r="AK901" s="61" t="n">
        <f aca="false">AK900+1</f>
        <v>901</v>
      </c>
      <c r="AL901" s="61" t="str">
        <f aca="false">Y901</f>
        <v>rice</v>
      </c>
      <c r="AM901" s="81" t="str">
        <f aca="false">"a = Client().post('"&amp;W901&amp;"', {'recipe' : '"&amp;V901&amp;"', 'ingredient' : '"&amp;Z901&amp;"', 'name' : '"&amp;X901&amp;"', 'mass_unit' : '"&amp;AC901&amp;"', 'mass_quantity' : '"&amp;ROUND(AA901,3)&amp;"', 'volume_unit' : '"&amp;AF901&amp;"', 'volume_quantity' : '"&amp;ROUND(AD901,3)&amp;"', 'pieces_unit' : '"&amp;AI901&amp;"', 'pieces_quantity' : '"&amp;ROUND(AG901,3)&amp;"', 'cooking_notes' : '"&amp;AJ901&amp;"'}).status_code; print('%s :: %s :: %s :: %s :: %s' %(a,"&amp;G901&amp;",'"&amp;X901&amp;"','"&amp;Y901&amp;"','"&amp;U901&amp;"'))"</f>
        <v>a = Client().post('/recipes/idli/detail/', {'recipe' : '31', 'ingredient' : '170', 'name' : 'RICE', 'mass_unit' : '2', 'mass_quantity' : '24.75', 'volume_unit' : '1', 'volume_quantity' : '0', 'pieces_unit' : '3', 'pieces_quantity' : '0', 'cooking_notes' : ''}).status_code; print('%s :: %s :: %s :: %s :: %s' %(a,901,'RICE','rice','Idli'))</v>
      </c>
    </row>
    <row r="902" customFormat="false" ht="55.2" hidden="false" customHeight="false" outlineLevel="0" collapsed="false">
      <c r="G902" s="80" t="n">
        <v>902</v>
      </c>
      <c r="H902" s="83"/>
      <c r="I902" s="83" t="s">
        <v>202</v>
      </c>
      <c r="J902" s="83" t="s">
        <v>489</v>
      </c>
      <c r="K902" s="61" t="n">
        <v>4.5</v>
      </c>
      <c r="L902" s="61" t="s">
        <v>7</v>
      </c>
      <c r="Q902" s="84" t="s">
        <v>845</v>
      </c>
      <c r="R902" s="82" t="str">
        <f aca="false">VLOOKUP(J902,ingredient!$N$4:$O$553,2,0)</f>
        <v>urad dal</v>
      </c>
      <c r="U902" s="81" t="str">
        <f aca="false">I902</f>
        <v>Idli</v>
      </c>
      <c r="V902" s="81" t="n">
        <f aca="false">VLOOKUP(U902,recipe_ingred_list!$A$2:$B$300,2,0)</f>
        <v>31</v>
      </c>
      <c r="W902" s="81" t="str">
        <f aca="false">"/recipes/"&amp;VLOOKUP(U902,recipe_ingred_list!$A$2:$C$300,3,0)&amp;"/detail/"</f>
        <v>/recipes/idli/detail/</v>
      </c>
      <c r="X902" s="81" t="str">
        <f aca="false">J902</f>
        <v>urad dal</v>
      </c>
      <c r="Y902" s="81" t="str">
        <f aca="false">R902</f>
        <v>urad dal</v>
      </c>
      <c r="Z902" s="94" t="n">
        <f aca="false">VLOOKUP(Y902,recipe_ingred_list!$D$2:$E$500,2,0)</f>
        <v>200</v>
      </c>
      <c r="AA902" s="61" t="n">
        <f aca="false">K902</f>
        <v>4.5</v>
      </c>
      <c r="AB902" s="61" t="str">
        <f aca="false">L902</f>
        <v>kg</v>
      </c>
      <c r="AC902" s="61" t="n">
        <f aca="false">VLOOKUP(AB902,recipe_ingred_list!$K$2:$M$7,3,0)</f>
        <v>2</v>
      </c>
      <c r="AD902" s="61" t="n">
        <f aca="false">M902</f>
        <v>0</v>
      </c>
      <c r="AE902" s="61" t="n">
        <f aca="false">N902</f>
        <v>0</v>
      </c>
      <c r="AF902" s="61" t="n">
        <f aca="false">VLOOKUP(AE902,recipe_ingred_list!$K$16:$M$25,3,0)</f>
        <v>1</v>
      </c>
      <c r="AG902" s="61" t="n">
        <f aca="false">O902</f>
        <v>0</v>
      </c>
      <c r="AH902" s="61" t="n">
        <f aca="false">P902</f>
        <v>0</v>
      </c>
      <c r="AI902" s="61" t="n">
        <f aca="false">VLOOKUP(AH902,recipe_ingred_list!$K$29:$M$34,3,0)</f>
        <v>3</v>
      </c>
      <c r="AJ902" s="61" t="str">
        <f aca="false">IF(Q902="","",Q902)</f>
        <v>add salt in dough only in winter or cold rainy season-to increase heat and fermentation; dont use salt in summer or hot rainy season</v>
      </c>
      <c r="AK902" s="61" t="n">
        <f aca="false">AK901+1</f>
        <v>902</v>
      </c>
      <c r="AL902" s="61" t="str">
        <f aca="false">Y902</f>
        <v>urad dal</v>
      </c>
      <c r="AM902" s="81" t="str">
        <f aca="false">"a = Client().post('"&amp;W902&amp;"', {'recipe' : '"&amp;V902&amp;"', 'ingredient' : '"&amp;Z902&amp;"', 'name' : '"&amp;X902&amp;"', 'mass_unit' : '"&amp;AC902&amp;"', 'mass_quantity' : '"&amp;ROUND(AA902,3)&amp;"', 'volume_unit' : '"&amp;AF902&amp;"', 'volume_quantity' : '"&amp;ROUND(AD902,3)&amp;"', 'pieces_unit' : '"&amp;AI902&amp;"', 'pieces_quantity' : '"&amp;ROUND(AG902,3)&amp;"', 'cooking_notes' : '"&amp;AJ902&amp;"'}).status_code; print('%s :: %s :: %s :: %s :: %s' %(a,"&amp;G902&amp;",'"&amp;X902&amp;"','"&amp;Y902&amp;"','"&amp;U902&amp;"'))"</f>
        <v>a = Client().post('/recipes/idli/detail/', {'recipe' : '31', 'ingredient' : '200', 'name' : 'urad dal', 'mass_unit' : '2', 'mass_quantity' : '4.5', 'volume_unit' : '1', 'volume_quantity' : '0', 'pieces_unit' : '3', 'pieces_quantity' : '0', 'cooking_notes' : 'add salt in dough only in winter or cold rainy season-to increase heat and fermentation; dont use salt in summer or hot rainy season'}).status_code; print('%s :: %s :: %s :: %s :: %s' %(a,902,'urad dal','urad dal','Idli'))</v>
      </c>
    </row>
    <row r="903" customFormat="false" ht="13.8" hidden="false" customHeight="false" outlineLevel="0" collapsed="false">
      <c r="G903" s="80" t="n">
        <v>903</v>
      </c>
      <c r="H903" s="83"/>
      <c r="I903" s="83" t="s">
        <v>202</v>
      </c>
      <c r="J903" s="83" t="s">
        <v>96</v>
      </c>
      <c r="K903" s="61" t="n">
        <v>500</v>
      </c>
      <c r="L903" s="61" t="s">
        <v>109</v>
      </c>
      <c r="R903" s="82" t="str">
        <f aca="false">VLOOKUP(J903,ingredient!$N$4:$O$553,2,0)</f>
        <v>salt</v>
      </c>
      <c r="U903" s="81" t="str">
        <f aca="false">I903</f>
        <v>Idli</v>
      </c>
      <c r="V903" s="81" t="n">
        <f aca="false">VLOOKUP(U903,recipe_ingred_list!$A$2:$B$300,2,0)</f>
        <v>31</v>
      </c>
      <c r="W903" s="81" t="str">
        <f aca="false">"/recipes/"&amp;VLOOKUP(U903,recipe_ingred_list!$A$2:$C$300,3,0)&amp;"/detail/"</f>
        <v>/recipes/idli/detail/</v>
      </c>
      <c r="X903" s="81" t="str">
        <f aca="false">J903</f>
        <v>salt</v>
      </c>
      <c r="Y903" s="81" t="str">
        <f aca="false">R903</f>
        <v>salt</v>
      </c>
      <c r="Z903" s="94" t="n">
        <f aca="false">VLOOKUP(Y903,recipe_ingred_list!$D$2:$E$500,2,0)</f>
        <v>177</v>
      </c>
      <c r="AA903" s="61" t="n">
        <f aca="false">K903</f>
        <v>500</v>
      </c>
      <c r="AB903" s="61" t="str">
        <f aca="false">L903</f>
        <v>gm</v>
      </c>
      <c r="AC903" s="61" t="n">
        <f aca="false">VLOOKUP(AB903,recipe_ingred_list!$K$2:$M$7,3,0)</f>
        <v>7</v>
      </c>
      <c r="AD903" s="61" t="n">
        <f aca="false">M903</f>
        <v>0</v>
      </c>
      <c r="AE903" s="61" t="n">
        <f aca="false">N903</f>
        <v>0</v>
      </c>
      <c r="AF903" s="61" t="n">
        <f aca="false">VLOOKUP(AE903,recipe_ingred_list!$K$16:$M$25,3,0)</f>
        <v>1</v>
      </c>
      <c r="AG903" s="61" t="n">
        <f aca="false">O903</f>
        <v>0</v>
      </c>
      <c r="AH903" s="61" t="n">
        <f aca="false">P903</f>
        <v>0</v>
      </c>
      <c r="AI903" s="61" t="n">
        <f aca="false">VLOOKUP(AH903,recipe_ingred_list!$K$29:$M$34,3,0)</f>
        <v>3</v>
      </c>
      <c r="AJ903" s="61" t="str">
        <f aca="false">IF(Q903="","",Q903)</f>
        <v/>
      </c>
      <c r="AK903" s="61" t="n">
        <f aca="false">AK902+1</f>
        <v>903</v>
      </c>
      <c r="AL903" s="61" t="str">
        <f aca="false">Y903</f>
        <v>salt</v>
      </c>
      <c r="AM903" s="81" t="str">
        <f aca="false">"a = Client().post('"&amp;W903&amp;"', {'recipe' : '"&amp;V903&amp;"', 'ingredient' : '"&amp;Z903&amp;"', 'name' : '"&amp;X903&amp;"', 'mass_unit' : '"&amp;AC903&amp;"', 'mass_quantity' : '"&amp;ROUND(AA903,3)&amp;"', 'volume_unit' : '"&amp;AF903&amp;"', 'volume_quantity' : '"&amp;ROUND(AD903,3)&amp;"', 'pieces_unit' : '"&amp;AI903&amp;"', 'pieces_quantity' : '"&amp;ROUND(AG903,3)&amp;"', 'cooking_notes' : '"&amp;AJ903&amp;"'}).status_code; print('%s :: %s :: %s :: %s :: %s' %(a,"&amp;G903&amp;",'"&amp;X903&amp;"','"&amp;Y903&amp;"','"&amp;U903&amp;"'))"</f>
        <v>a = Client().post('/recipes/idli/detail/', {'recipe' : '31', 'ingredient' : '177', 'name' : 'salt', 'mass_unit' : '7', 'mass_quantity' : '500', 'volume_unit' : '1', 'volume_quantity' : '0', 'pieces_unit' : '3', 'pieces_quantity' : '0', 'cooking_notes' : ''}).status_code; print('%s :: %s :: %s :: %s :: %s' %(a,903,'salt','salt','Idli'))</v>
      </c>
    </row>
    <row r="904" customFormat="false" ht="13.8" hidden="false" customHeight="false" outlineLevel="0" collapsed="false">
      <c r="G904" s="80" t="n">
        <v>904</v>
      </c>
      <c r="H904" s="79"/>
      <c r="I904" s="79"/>
      <c r="J904" s="79"/>
      <c r="K904" s="100"/>
      <c r="L904" s="100"/>
      <c r="M904" s="100"/>
      <c r="N904" s="100"/>
      <c r="O904" s="100"/>
      <c r="P904" s="100"/>
      <c r="Q904" s="102"/>
      <c r="R904" s="99" t="e">
        <f aca="false">VLOOKUP(J904,ingredient!$N$4:$O$553,2,0)</f>
        <v>#N/A</v>
      </c>
      <c r="S904" s="98"/>
      <c r="T904" s="98"/>
      <c r="U904" s="81" t="n">
        <f aca="false">I904</f>
        <v>0</v>
      </c>
      <c r="V904" s="81" t="e">
        <f aca="false">VLOOKUP(U904,recipe_ingred_list!$A$2:$B$300,2,0)</f>
        <v>#N/A</v>
      </c>
      <c r="W904" s="81" t="e">
        <f aca="false">"/recipes/"&amp;VLOOKUP(U904,recipe_ingred_list!$A$2:$C$300,3,0)&amp;"/detail/"</f>
        <v>#N/A</v>
      </c>
      <c r="X904" s="81" t="n">
        <f aca="false">J904</f>
        <v>0</v>
      </c>
      <c r="Y904" s="81" t="e">
        <f aca="false">R904</f>
        <v>#N/A</v>
      </c>
      <c r="Z904" s="94" t="e">
        <f aca="false">VLOOKUP(Y904,recipe_ingred_list!$D$2:$E$500,2,0)</f>
        <v>#N/A</v>
      </c>
      <c r="AA904" s="61" t="n">
        <f aca="false">K904</f>
        <v>0</v>
      </c>
      <c r="AB904" s="61" t="n">
        <f aca="false">L904</f>
        <v>0</v>
      </c>
      <c r="AC904" s="61" t="n">
        <f aca="false">VLOOKUP(AB904,recipe_ingred_list!$K$2:$M$7,3,0)</f>
        <v>2</v>
      </c>
      <c r="AD904" s="61" t="n">
        <f aca="false">M904</f>
        <v>0</v>
      </c>
      <c r="AE904" s="61" t="n">
        <f aca="false">N904</f>
        <v>0</v>
      </c>
      <c r="AF904" s="61" t="n">
        <f aca="false">VLOOKUP(AE904,recipe_ingred_list!$K$16:$M$25,3,0)</f>
        <v>1</v>
      </c>
      <c r="AG904" s="61" t="n">
        <f aca="false">O904</f>
        <v>0</v>
      </c>
      <c r="AH904" s="61" t="n">
        <f aca="false">P904</f>
        <v>0</v>
      </c>
      <c r="AI904" s="61" t="n">
        <f aca="false">VLOOKUP(AH904,recipe_ingred_list!$K$29:$M$34,3,0)</f>
        <v>3</v>
      </c>
      <c r="AJ904" s="61" t="str">
        <f aca="false">IF(Q904="","",Q904)</f>
        <v/>
      </c>
      <c r="AK904" s="61" t="n">
        <f aca="false">AK903+1</f>
        <v>904</v>
      </c>
      <c r="AL904" s="61" t="e">
        <f aca="false">Y904</f>
        <v>#N/A</v>
      </c>
      <c r="AM904" s="81" t="e">
        <f aca="false">"a = Client().post('"&amp;W904&amp;"', {'recipe' : '"&amp;V904&amp;"', 'ingredient' : '"&amp;Z904&amp;"', 'name' : '"&amp;X904&amp;"', 'mass_unit' : '"&amp;AC904&amp;"', 'mass_quantity' : '"&amp;ROUND(AA904,3)&amp;"', 'volume_unit' : '"&amp;AF904&amp;"', 'volume_quantity' : '"&amp;ROUND(AD904,3)&amp;"', 'pieces_unit' : '"&amp;AI904&amp;"', 'pieces_quantity' : '"&amp;ROUND(AG904,3)&amp;"', 'cooking_notes' : '"&amp;AJ904&amp;"'}).status_code; print('%s :: %s :: %s :: %s :: %s' %(a,"&amp;G904&amp;",'"&amp;X904&amp;"','"&amp;Y904&amp;"','"&amp;U904&amp;"'))"</f>
        <v>#N/A</v>
      </c>
    </row>
    <row r="905" customFormat="false" ht="13.8" hidden="false" customHeight="false" outlineLevel="0" collapsed="false">
      <c r="G905" s="80" t="n">
        <v>905</v>
      </c>
      <c r="H905" s="83"/>
      <c r="I905" s="83" t="s">
        <v>316</v>
      </c>
      <c r="J905" s="83" t="s">
        <v>273</v>
      </c>
      <c r="K905" s="61" t="n">
        <v>6</v>
      </c>
      <c r="L905" s="61" t="s">
        <v>7</v>
      </c>
      <c r="R905" s="82" t="str">
        <f aca="false">VLOOKUP(J905,ingredient!$N$4:$O$553,2,0)</f>
        <v>coconut</v>
      </c>
      <c r="U905" s="81" t="str">
        <f aca="false">I905</f>
        <v>Sambar</v>
      </c>
      <c r="V905" s="81" t="n">
        <f aca="false">VLOOKUP(U905,recipe_ingred_list!$A$2:$B$300,2,0)</f>
        <v>69</v>
      </c>
      <c r="W905" s="81" t="str">
        <f aca="false">"/recipes/"&amp;VLOOKUP(U905,recipe_ingred_list!$A$2:$C$300,3,0)&amp;"/detail/"</f>
        <v>/recipes/sambar/detail/</v>
      </c>
      <c r="X905" s="81" t="str">
        <f aca="false">J905</f>
        <v>coconut</v>
      </c>
      <c r="Y905" s="81" t="str">
        <f aca="false">R905</f>
        <v>coconut</v>
      </c>
      <c r="Z905" s="94" t="n">
        <f aca="false">VLOOKUP(Y905,recipe_ingred_list!$D$2:$E$500,2,0)</f>
        <v>54</v>
      </c>
      <c r="AA905" s="61" t="n">
        <f aca="false">K905</f>
        <v>6</v>
      </c>
      <c r="AB905" s="61" t="str">
        <f aca="false">L905</f>
        <v>kg</v>
      </c>
      <c r="AC905" s="61" t="n">
        <f aca="false">VLOOKUP(AB905,recipe_ingred_list!$K$2:$M$7,3,0)</f>
        <v>2</v>
      </c>
      <c r="AD905" s="61" t="n">
        <f aca="false">M905</f>
        <v>0</v>
      </c>
      <c r="AE905" s="61" t="n">
        <f aca="false">N905</f>
        <v>0</v>
      </c>
      <c r="AF905" s="61" t="n">
        <f aca="false">VLOOKUP(AE905,recipe_ingred_list!$K$16:$M$25,3,0)</f>
        <v>1</v>
      </c>
      <c r="AG905" s="61" t="n">
        <f aca="false">O905</f>
        <v>0</v>
      </c>
      <c r="AH905" s="61" t="n">
        <f aca="false">P905</f>
        <v>0</v>
      </c>
      <c r="AI905" s="61" t="n">
        <f aca="false">VLOOKUP(AH905,recipe_ingred_list!$K$29:$M$34,3,0)</f>
        <v>3</v>
      </c>
      <c r="AJ905" s="61" t="str">
        <f aca="false">IF(Q905="","",Q905)</f>
        <v/>
      </c>
      <c r="AK905" s="61" t="n">
        <f aca="false">AK904+1</f>
        <v>905</v>
      </c>
      <c r="AL905" s="61" t="str">
        <f aca="false">Y905</f>
        <v>coconut</v>
      </c>
      <c r="AM905" s="81" t="str">
        <f aca="false">"a = Client().post('"&amp;W905&amp;"', {'recipe' : '"&amp;V905&amp;"', 'ingredient' : '"&amp;Z905&amp;"', 'name' : '"&amp;X905&amp;"', 'mass_unit' : '"&amp;AC905&amp;"', 'mass_quantity' : '"&amp;ROUND(AA905,3)&amp;"', 'volume_unit' : '"&amp;AF905&amp;"', 'volume_quantity' : '"&amp;ROUND(AD905,3)&amp;"', 'pieces_unit' : '"&amp;AI905&amp;"', 'pieces_quantity' : '"&amp;ROUND(AG905,3)&amp;"', 'cooking_notes' : '"&amp;AJ905&amp;"'}).status_code; print('%s :: %s :: %s :: %s :: %s' %(a,"&amp;G905&amp;",'"&amp;X905&amp;"','"&amp;Y905&amp;"','"&amp;U905&amp;"'))"</f>
        <v>a = Client().post('/recipes/sambar/detail/', {'recipe' : '69', 'ingredient' : '54', 'name' : 'coconut', 'mass_unit' : '2', 'mass_quantity' : '6', 'volume_unit' : '1', 'volume_quantity' : '0', 'pieces_unit' : '3', 'pieces_quantity' : '0', 'cooking_notes' : ''}).status_code; print('%s :: %s :: %s :: %s :: %s' %(a,905,'coconut','coconut','Sambar'))</v>
      </c>
    </row>
    <row r="906" customFormat="false" ht="13.8" hidden="false" customHeight="false" outlineLevel="0" collapsed="false">
      <c r="G906" s="80" t="n">
        <v>906</v>
      </c>
      <c r="H906" s="83"/>
      <c r="I906" s="83" t="s">
        <v>316</v>
      </c>
      <c r="J906" s="83" t="s">
        <v>315</v>
      </c>
      <c r="K906" s="61" t="n">
        <v>2</v>
      </c>
      <c r="L906" s="61" t="s">
        <v>7</v>
      </c>
      <c r="R906" s="82" t="str">
        <f aca="false">VLOOKUP(J906,ingredient!$N$4:$O$553,2,0)</f>
        <v>drum stick</v>
      </c>
      <c r="U906" s="81" t="str">
        <f aca="false">I906</f>
        <v>Sambar</v>
      </c>
      <c r="V906" s="81" t="n">
        <f aca="false">VLOOKUP(U906,recipe_ingred_list!$A$2:$B$300,2,0)</f>
        <v>69</v>
      </c>
      <c r="W906" s="81" t="str">
        <f aca="false">"/recipes/"&amp;VLOOKUP(U906,recipe_ingred_list!$A$2:$C$300,3,0)&amp;"/detail/"</f>
        <v>/recipes/sambar/detail/</v>
      </c>
      <c r="X906" s="81" t="str">
        <f aca="false">J906</f>
        <v>drum stick</v>
      </c>
      <c r="Y906" s="81" t="str">
        <f aca="false">R906</f>
        <v>drum stick</v>
      </c>
      <c r="Z906" s="94" t="n">
        <f aca="false">VLOOKUP(Y906,recipe_ingred_list!$D$2:$E$500,2,0)</f>
        <v>68</v>
      </c>
      <c r="AA906" s="61" t="n">
        <f aca="false">K906</f>
        <v>2</v>
      </c>
      <c r="AB906" s="61" t="str">
        <f aca="false">L906</f>
        <v>kg</v>
      </c>
      <c r="AC906" s="61" t="n">
        <f aca="false">VLOOKUP(AB906,recipe_ingred_list!$K$2:$M$7,3,0)</f>
        <v>2</v>
      </c>
      <c r="AD906" s="61" t="n">
        <f aca="false">M906</f>
        <v>0</v>
      </c>
      <c r="AE906" s="61" t="n">
        <f aca="false">N906</f>
        <v>0</v>
      </c>
      <c r="AF906" s="61" t="n">
        <f aca="false">VLOOKUP(AE906,recipe_ingred_list!$K$16:$M$25,3,0)</f>
        <v>1</v>
      </c>
      <c r="AG906" s="61" t="n">
        <f aca="false">O906</f>
        <v>0</v>
      </c>
      <c r="AH906" s="61" t="n">
        <f aca="false">P906</f>
        <v>0</v>
      </c>
      <c r="AI906" s="61" t="n">
        <f aca="false">VLOOKUP(AH906,recipe_ingred_list!$K$29:$M$34,3,0)</f>
        <v>3</v>
      </c>
      <c r="AJ906" s="61" t="str">
        <f aca="false">IF(Q906="","",Q906)</f>
        <v/>
      </c>
      <c r="AK906" s="61" t="n">
        <f aca="false">AK905+1</f>
        <v>906</v>
      </c>
      <c r="AL906" s="61" t="str">
        <f aca="false">Y906</f>
        <v>drum stick</v>
      </c>
      <c r="AM906" s="81" t="str">
        <f aca="false">"a = Client().post('"&amp;W906&amp;"', {'recipe' : '"&amp;V906&amp;"', 'ingredient' : '"&amp;Z906&amp;"', 'name' : '"&amp;X906&amp;"', 'mass_unit' : '"&amp;AC906&amp;"', 'mass_quantity' : '"&amp;ROUND(AA906,3)&amp;"', 'volume_unit' : '"&amp;AF906&amp;"', 'volume_quantity' : '"&amp;ROUND(AD906,3)&amp;"', 'pieces_unit' : '"&amp;AI906&amp;"', 'pieces_quantity' : '"&amp;ROUND(AG906,3)&amp;"', 'cooking_notes' : '"&amp;AJ906&amp;"'}).status_code; print('%s :: %s :: %s :: %s :: %s' %(a,"&amp;G906&amp;",'"&amp;X906&amp;"','"&amp;Y906&amp;"','"&amp;U906&amp;"'))"</f>
        <v>a = Client().post('/recipes/sambar/detail/', {'recipe' : '69', 'ingredient' : '68', 'name' : 'drum stick', 'mass_unit' : '2', 'mass_quantity' : '2', 'volume_unit' : '1', 'volume_quantity' : '0', 'pieces_unit' : '3', 'pieces_quantity' : '0', 'cooking_notes' : ''}).status_code; print('%s :: %s :: %s :: %s :: %s' %(a,906,'drum stick','drum stick','Sambar'))</v>
      </c>
    </row>
    <row r="907" customFormat="false" ht="13.8" hidden="false" customHeight="false" outlineLevel="0" collapsed="false">
      <c r="G907" s="80" t="n">
        <v>907</v>
      </c>
      <c r="H907" s="83"/>
      <c r="I907" s="83" t="s">
        <v>316</v>
      </c>
      <c r="J907" s="83" t="s">
        <v>443</v>
      </c>
      <c r="K907" s="61" t="n">
        <v>2</v>
      </c>
      <c r="L907" s="61" t="s">
        <v>7</v>
      </c>
      <c r="R907" s="82" t="str">
        <f aca="false">VLOOKUP(J907,ingredient!$N$4:$O$553,2,0)</f>
        <v>mugi</v>
      </c>
      <c r="U907" s="81" t="str">
        <f aca="false">I907</f>
        <v>Sambar</v>
      </c>
      <c r="V907" s="81" t="n">
        <f aca="false">VLOOKUP(U907,recipe_ingred_list!$A$2:$B$300,2,0)</f>
        <v>69</v>
      </c>
      <c r="W907" s="81" t="str">
        <f aca="false">"/recipes/"&amp;VLOOKUP(U907,recipe_ingred_list!$A$2:$C$300,3,0)&amp;"/detail/"</f>
        <v>/recipes/sambar/detail/</v>
      </c>
      <c r="X907" s="81" t="str">
        <f aca="false">J907</f>
        <v>mugi</v>
      </c>
      <c r="Y907" s="81" t="str">
        <f aca="false">R907</f>
        <v>mugi</v>
      </c>
      <c r="Z907" s="94" t="n">
        <f aca="false">VLOOKUP(Y907,recipe_ingred_list!$D$2:$E$500,2,0)</f>
        <v>149</v>
      </c>
      <c r="AA907" s="61" t="n">
        <f aca="false">K907</f>
        <v>2</v>
      </c>
      <c r="AB907" s="61" t="str">
        <f aca="false">L907</f>
        <v>kg</v>
      </c>
      <c r="AC907" s="61" t="n">
        <f aca="false">VLOOKUP(AB907,recipe_ingred_list!$K$2:$M$7,3,0)</f>
        <v>2</v>
      </c>
      <c r="AD907" s="61" t="n">
        <f aca="false">M907</f>
        <v>0</v>
      </c>
      <c r="AE907" s="61" t="n">
        <f aca="false">N907</f>
        <v>0</v>
      </c>
      <c r="AF907" s="61" t="n">
        <f aca="false">VLOOKUP(AE907,recipe_ingred_list!$K$16:$M$25,3,0)</f>
        <v>1</v>
      </c>
      <c r="AG907" s="61" t="n">
        <f aca="false">O907</f>
        <v>0</v>
      </c>
      <c r="AH907" s="61" t="n">
        <f aca="false">P907</f>
        <v>0</v>
      </c>
      <c r="AI907" s="61" t="n">
        <f aca="false">VLOOKUP(AH907,recipe_ingred_list!$K$29:$M$34,3,0)</f>
        <v>3</v>
      </c>
      <c r="AJ907" s="61" t="str">
        <f aca="false">IF(Q907="","",Q907)</f>
        <v/>
      </c>
      <c r="AK907" s="61" t="n">
        <f aca="false">AK906+1</f>
        <v>907</v>
      </c>
      <c r="AL907" s="61" t="str">
        <f aca="false">Y907</f>
        <v>mugi</v>
      </c>
      <c r="AM907" s="81" t="str">
        <f aca="false">"a = Client().post('"&amp;W907&amp;"', {'recipe' : '"&amp;V907&amp;"', 'ingredient' : '"&amp;Z907&amp;"', 'name' : '"&amp;X907&amp;"', 'mass_unit' : '"&amp;AC907&amp;"', 'mass_quantity' : '"&amp;ROUND(AA907,3)&amp;"', 'volume_unit' : '"&amp;AF907&amp;"', 'volume_quantity' : '"&amp;ROUND(AD907,3)&amp;"', 'pieces_unit' : '"&amp;AI907&amp;"', 'pieces_quantity' : '"&amp;ROUND(AG907,3)&amp;"', 'cooking_notes' : '"&amp;AJ907&amp;"'}).status_code; print('%s :: %s :: %s :: %s :: %s' %(a,"&amp;G907&amp;",'"&amp;X907&amp;"','"&amp;Y907&amp;"','"&amp;U907&amp;"'))"</f>
        <v>a = Client().post('/recipes/sambar/detail/', {'recipe' : '69', 'ingredient' : '149', 'name' : 'mugi', 'mass_unit' : '2', 'mass_quantity' : '2', 'volume_unit' : '1', 'volume_quantity' : '0', 'pieces_unit' : '3', 'pieces_quantity' : '0', 'cooking_notes' : ''}).status_code; print('%s :: %s :: %s :: %s :: %s' %(a,907,'mugi','mugi','Sambar'))</v>
      </c>
    </row>
    <row r="908" customFormat="false" ht="13.8" hidden="false" customHeight="false" outlineLevel="0" collapsed="false">
      <c r="G908" s="80" t="n">
        <v>908</v>
      </c>
      <c r="H908" s="83"/>
      <c r="I908" s="83" t="s">
        <v>316</v>
      </c>
      <c r="J908" s="83" t="s">
        <v>201</v>
      </c>
      <c r="K908" s="61" t="n">
        <v>3</v>
      </c>
      <c r="L908" s="61" t="s">
        <v>7</v>
      </c>
      <c r="R908" s="82" t="str">
        <f aca="false">VLOOKUP(J908,ingredient!$N$4:$O$553,2,0)</f>
        <v>bhopla</v>
      </c>
      <c r="U908" s="81" t="str">
        <f aca="false">I908</f>
        <v>Sambar</v>
      </c>
      <c r="V908" s="81" t="n">
        <f aca="false">VLOOKUP(U908,recipe_ingred_list!$A$2:$B$300,2,0)</f>
        <v>69</v>
      </c>
      <c r="W908" s="81" t="str">
        <f aca="false">"/recipes/"&amp;VLOOKUP(U908,recipe_ingred_list!$A$2:$C$300,3,0)&amp;"/detail/"</f>
        <v>/recipes/sambar/detail/</v>
      </c>
      <c r="X908" s="81" t="str">
        <f aca="false">J908</f>
        <v>bhopla</v>
      </c>
      <c r="Y908" s="81" t="str">
        <f aca="false">R908</f>
        <v>bhopla</v>
      </c>
      <c r="Z908" s="94" t="n">
        <f aca="false">VLOOKUP(Y908,recipe_ingred_list!$D$2:$E$500,2,0)</f>
        <v>30</v>
      </c>
      <c r="AA908" s="61" t="n">
        <f aca="false">K908</f>
        <v>3</v>
      </c>
      <c r="AB908" s="61" t="str">
        <f aca="false">L908</f>
        <v>kg</v>
      </c>
      <c r="AC908" s="61" t="n">
        <f aca="false">VLOOKUP(AB908,recipe_ingred_list!$K$2:$M$7,3,0)</f>
        <v>2</v>
      </c>
      <c r="AD908" s="61" t="n">
        <f aca="false">M908</f>
        <v>0</v>
      </c>
      <c r="AE908" s="61" t="n">
        <f aca="false">N908</f>
        <v>0</v>
      </c>
      <c r="AF908" s="61" t="n">
        <f aca="false">VLOOKUP(AE908,recipe_ingred_list!$K$16:$M$25,3,0)</f>
        <v>1</v>
      </c>
      <c r="AG908" s="61" t="n">
        <f aca="false">O908</f>
        <v>0</v>
      </c>
      <c r="AH908" s="61" t="n">
        <f aca="false">P908</f>
        <v>0</v>
      </c>
      <c r="AI908" s="61" t="n">
        <f aca="false">VLOOKUP(AH908,recipe_ingred_list!$K$29:$M$34,3,0)</f>
        <v>3</v>
      </c>
      <c r="AJ908" s="61" t="str">
        <f aca="false">IF(Q908="","",Q908)</f>
        <v/>
      </c>
      <c r="AK908" s="61" t="n">
        <f aca="false">AK907+1</f>
        <v>908</v>
      </c>
      <c r="AL908" s="61" t="str">
        <f aca="false">Y908</f>
        <v>bhopla</v>
      </c>
      <c r="AM908" s="81" t="str">
        <f aca="false">"a = Client().post('"&amp;W908&amp;"', {'recipe' : '"&amp;V908&amp;"', 'ingredient' : '"&amp;Z908&amp;"', 'name' : '"&amp;X908&amp;"', 'mass_unit' : '"&amp;AC908&amp;"', 'mass_quantity' : '"&amp;ROUND(AA908,3)&amp;"', 'volume_unit' : '"&amp;AF908&amp;"', 'volume_quantity' : '"&amp;ROUND(AD908,3)&amp;"', 'pieces_unit' : '"&amp;AI908&amp;"', 'pieces_quantity' : '"&amp;ROUND(AG908,3)&amp;"', 'cooking_notes' : '"&amp;AJ908&amp;"'}).status_code; print('%s :: %s :: %s :: %s :: %s' %(a,"&amp;G908&amp;",'"&amp;X908&amp;"','"&amp;Y908&amp;"','"&amp;U908&amp;"'))"</f>
        <v>a = Client().post('/recipes/sambar/detail/', {'recipe' : '69', 'ingredient' : '30', 'name' : 'bhopla', 'mass_unit' : '2', 'mass_quantity' : '3', 'volume_unit' : '1', 'volume_quantity' : '0', 'pieces_unit' : '3', 'pieces_quantity' : '0', 'cooking_notes' : ''}).status_code; print('%s :: %s :: %s :: %s :: %s' %(a,908,'bhopla','bhopla','Sambar'))</v>
      </c>
    </row>
    <row r="909" customFormat="false" ht="13.8" hidden="false" customHeight="false" outlineLevel="0" collapsed="false">
      <c r="G909" s="80" t="n">
        <v>909</v>
      </c>
      <c r="H909" s="83"/>
      <c r="I909" s="83" t="s">
        <v>316</v>
      </c>
      <c r="J909" s="83" t="s">
        <v>846</v>
      </c>
      <c r="K909" s="61" t="n">
        <v>2</v>
      </c>
      <c r="L909" s="61" t="s">
        <v>7</v>
      </c>
      <c r="R909" s="82" t="str">
        <f aca="false">VLOOKUP(J909,ingredient!$N$4:$O$553,2,0)</f>
        <v>alu</v>
      </c>
      <c r="U909" s="81" t="str">
        <f aca="false">I909</f>
        <v>Sambar</v>
      </c>
      <c r="V909" s="81" t="n">
        <f aca="false">VLOOKUP(U909,recipe_ingred_list!$A$2:$B$300,2,0)</f>
        <v>69</v>
      </c>
      <c r="W909" s="81" t="str">
        <f aca="false">"/recipes/"&amp;VLOOKUP(U909,recipe_ingred_list!$A$2:$C$300,3,0)&amp;"/detail/"</f>
        <v>/recipes/sambar/detail/</v>
      </c>
      <c r="X909" s="81" t="str">
        <f aca="false">J909</f>
        <v>potato</v>
      </c>
      <c r="Y909" s="81" t="str">
        <f aca="false">R909</f>
        <v>alu</v>
      </c>
      <c r="Z909" s="94" t="n">
        <f aca="false">VLOOKUP(Y909,recipe_ingred_list!$D$2:$E$500,2,0)</f>
        <v>8</v>
      </c>
      <c r="AA909" s="61" t="n">
        <f aca="false">K909</f>
        <v>2</v>
      </c>
      <c r="AB909" s="61" t="str">
        <f aca="false">L909</f>
        <v>kg</v>
      </c>
      <c r="AC909" s="61" t="n">
        <f aca="false">VLOOKUP(AB909,recipe_ingred_list!$K$2:$M$7,3,0)</f>
        <v>2</v>
      </c>
      <c r="AD909" s="61" t="n">
        <f aca="false">M909</f>
        <v>0</v>
      </c>
      <c r="AE909" s="61" t="n">
        <f aca="false">N909</f>
        <v>0</v>
      </c>
      <c r="AF909" s="61" t="n">
        <f aca="false">VLOOKUP(AE909,recipe_ingred_list!$K$16:$M$25,3,0)</f>
        <v>1</v>
      </c>
      <c r="AG909" s="61" t="n">
        <f aca="false">O909</f>
        <v>0</v>
      </c>
      <c r="AH909" s="61" t="n">
        <f aca="false">P909</f>
        <v>0</v>
      </c>
      <c r="AI909" s="61" t="n">
        <f aca="false">VLOOKUP(AH909,recipe_ingred_list!$K$29:$M$34,3,0)</f>
        <v>3</v>
      </c>
      <c r="AJ909" s="61" t="str">
        <f aca="false">IF(Q909="","",Q909)</f>
        <v/>
      </c>
      <c r="AK909" s="61" t="n">
        <f aca="false">AK908+1</f>
        <v>909</v>
      </c>
      <c r="AL909" s="61" t="str">
        <f aca="false">Y909</f>
        <v>alu</v>
      </c>
      <c r="AM909" s="81" t="str">
        <f aca="false">"a = Client().post('"&amp;W909&amp;"', {'recipe' : '"&amp;V909&amp;"', 'ingredient' : '"&amp;Z909&amp;"', 'name' : '"&amp;X909&amp;"', 'mass_unit' : '"&amp;AC909&amp;"', 'mass_quantity' : '"&amp;ROUND(AA909,3)&amp;"', 'volume_unit' : '"&amp;AF909&amp;"', 'volume_quantity' : '"&amp;ROUND(AD909,3)&amp;"', 'pieces_unit' : '"&amp;AI909&amp;"', 'pieces_quantity' : '"&amp;ROUND(AG909,3)&amp;"', 'cooking_notes' : '"&amp;AJ909&amp;"'}).status_code; print('%s :: %s :: %s :: %s :: %s' %(a,"&amp;G909&amp;",'"&amp;X909&amp;"','"&amp;Y909&amp;"','"&amp;U909&amp;"'))"</f>
        <v>a = Client().post('/recipes/sambar/detail/', {'recipe' : '69', 'ingredient' : '8', 'name' : 'potato', 'mass_unit' : '2', 'mass_quantity' : '2', 'volume_unit' : '1', 'volume_quantity' : '0', 'pieces_unit' : '3', 'pieces_quantity' : '0', 'cooking_notes' : ''}).status_code; print('%s :: %s :: %s :: %s :: %s' %(a,909,'potato','alu','Sambar'))</v>
      </c>
    </row>
    <row r="910" customFormat="false" ht="13.8" hidden="false" customHeight="false" outlineLevel="0" collapsed="false">
      <c r="G910" s="80" t="n">
        <v>910</v>
      </c>
      <c r="H910" s="83"/>
      <c r="I910" s="83" t="s">
        <v>316</v>
      </c>
      <c r="J910" s="83" t="s">
        <v>803</v>
      </c>
      <c r="M910" s="61" t="n">
        <v>1</v>
      </c>
      <c r="N910" s="61" t="s">
        <v>13</v>
      </c>
      <c r="R910" s="82" t="str">
        <f aca="false">VLOOKUP(J910,ingredient!$N$4:$O$553,2,0)</f>
        <v>kadi patta</v>
      </c>
      <c r="U910" s="81" t="str">
        <f aca="false">I910</f>
        <v>Sambar</v>
      </c>
      <c r="V910" s="81" t="n">
        <f aca="false">VLOOKUP(U910,recipe_ingred_list!$A$2:$B$300,2,0)</f>
        <v>69</v>
      </c>
      <c r="W910" s="81" t="str">
        <f aca="false">"/recipes/"&amp;VLOOKUP(U910,recipe_ingred_list!$A$2:$C$300,3,0)&amp;"/detail/"</f>
        <v>/recipes/sambar/detail/</v>
      </c>
      <c r="X910" s="81" t="str">
        <f aca="false">J910</f>
        <v>kadipatta</v>
      </c>
      <c r="Y910" s="81" t="str">
        <f aca="false">R910</f>
        <v>kadi patta</v>
      </c>
      <c r="Z910" s="94" t="n">
        <f aca="false">VLOOKUP(Y910,recipe_ingred_list!$D$2:$E$500,2,0)</f>
        <v>105</v>
      </c>
      <c r="AA910" s="61" t="n">
        <f aca="false">K910</f>
        <v>0</v>
      </c>
      <c r="AB910" s="61" t="n">
        <f aca="false">L910</f>
        <v>0</v>
      </c>
      <c r="AC910" s="61" t="n">
        <f aca="false">VLOOKUP(AB910,recipe_ingred_list!$K$2:$M$7,3,0)</f>
        <v>2</v>
      </c>
      <c r="AD910" s="61" t="n">
        <f aca="false">M910</f>
        <v>1</v>
      </c>
      <c r="AE910" s="61" t="str">
        <f aca="false">N910</f>
        <v>ltr</v>
      </c>
      <c r="AF910" s="61" t="n">
        <f aca="false">VLOOKUP(AE910,recipe_ingred_list!$K$16:$M$25,3,0)</f>
        <v>1</v>
      </c>
      <c r="AG910" s="61" t="n">
        <f aca="false">O910</f>
        <v>0</v>
      </c>
      <c r="AH910" s="61" t="n">
        <f aca="false">P910</f>
        <v>0</v>
      </c>
      <c r="AI910" s="61" t="n">
        <f aca="false">VLOOKUP(AH910,recipe_ingred_list!$K$29:$M$34,3,0)</f>
        <v>3</v>
      </c>
      <c r="AJ910" s="61" t="str">
        <f aca="false">IF(Q910="","",Q910)</f>
        <v/>
      </c>
      <c r="AK910" s="61" t="n">
        <f aca="false">AK909+1</f>
        <v>910</v>
      </c>
      <c r="AL910" s="61" t="str">
        <f aca="false">Y910</f>
        <v>kadi patta</v>
      </c>
      <c r="AM910" s="81" t="str">
        <f aca="false">"a = Client().post('"&amp;W910&amp;"', {'recipe' : '"&amp;V910&amp;"', 'ingredient' : '"&amp;Z910&amp;"', 'name' : '"&amp;X910&amp;"', 'mass_unit' : '"&amp;AC910&amp;"', 'mass_quantity' : '"&amp;ROUND(AA910,3)&amp;"', 'volume_unit' : '"&amp;AF910&amp;"', 'volume_quantity' : '"&amp;ROUND(AD910,3)&amp;"', 'pieces_unit' : '"&amp;AI910&amp;"', 'pieces_quantity' : '"&amp;ROUND(AG910,3)&amp;"', 'cooking_notes' : '"&amp;AJ910&amp;"'}).status_code; print('%s :: %s :: %s :: %s :: %s' %(a,"&amp;G910&amp;",'"&amp;X910&amp;"','"&amp;Y910&amp;"','"&amp;U910&amp;"'))"</f>
        <v>a = Client().post('/recipes/sambar/detail/', {'recipe' : '69', 'ingredient' : '105', 'name' : 'kadipatta', 'mass_unit' : '2', 'mass_quantity' : '0', 'volume_unit' : '1', 'volume_quantity' : '1', 'pieces_unit' : '3', 'pieces_quantity' : '0', 'cooking_notes' : ''}).status_code; print('%s :: %s :: %s :: %s :: %s' %(a,910,'kadipatta','kadi patta','Sambar'))</v>
      </c>
    </row>
    <row r="911" customFormat="false" ht="13.8" hidden="false" customHeight="false" outlineLevel="0" collapsed="false">
      <c r="G911" s="80" t="n">
        <v>911</v>
      </c>
      <c r="H911" s="83"/>
      <c r="I911" s="83" t="s">
        <v>316</v>
      </c>
      <c r="J911" s="83" t="s">
        <v>485</v>
      </c>
      <c r="K911" s="61" t="n">
        <v>2</v>
      </c>
      <c r="L911" s="61" t="s">
        <v>7</v>
      </c>
      <c r="R911" s="82" t="str">
        <f aca="false">VLOOKUP(J911,ingredient!$N$4:$O$553,2,0)</f>
        <v>tomato</v>
      </c>
      <c r="U911" s="81" t="str">
        <f aca="false">I911</f>
        <v>Sambar</v>
      </c>
      <c r="V911" s="81" t="n">
        <f aca="false">VLOOKUP(U911,recipe_ingred_list!$A$2:$B$300,2,0)</f>
        <v>69</v>
      </c>
      <c r="W911" s="81" t="str">
        <f aca="false">"/recipes/"&amp;VLOOKUP(U911,recipe_ingred_list!$A$2:$C$300,3,0)&amp;"/detail/"</f>
        <v>/recipes/sambar/detail/</v>
      </c>
      <c r="X911" s="81" t="str">
        <f aca="false">J911</f>
        <v>tomato</v>
      </c>
      <c r="Y911" s="81" t="str">
        <f aca="false">R911</f>
        <v>tomato</v>
      </c>
      <c r="Z911" s="94" t="n">
        <f aca="false">VLOOKUP(Y911,recipe_ingred_list!$D$2:$E$500,2,0)</f>
        <v>195</v>
      </c>
      <c r="AA911" s="61" t="n">
        <f aca="false">K911</f>
        <v>2</v>
      </c>
      <c r="AB911" s="61" t="str">
        <f aca="false">L911</f>
        <v>kg</v>
      </c>
      <c r="AC911" s="61" t="n">
        <f aca="false">VLOOKUP(AB911,recipe_ingred_list!$K$2:$M$7,3,0)</f>
        <v>2</v>
      </c>
      <c r="AD911" s="61" t="n">
        <f aca="false">M911</f>
        <v>0</v>
      </c>
      <c r="AE911" s="61" t="n">
        <f aca="false">N911</f>
        <v>0</v>
      </c>
      <c r="AF911" s="61" t="n">
        <f aca="false">VLOOKUP(AE911,recipe_ingred_list!$K$16:$M$25,3,0)</f>
        <v>1</v>
      </c>
      <c r="AG911" s="61" t="n">
        <f aca="false">O911</f>
        <v>0</v>
      </c>
      <c r="AH911" s="61" t="n">
        <f aca="false">P911</f>
        <v>0</v>
      </c>
      <c r="AI911" s="61" t="n">
        <f aca="false">VLOOKUP(AH911,recipe_ingred_list!$K$29:$M$34,3,0)</f>
        <v>3</v>
      </c>
      <c r="AJ911" s="61" t="str">
        <f aca="false">IF(Q911="","",Q911)</f>
        <v/>
      </c>
      <c r="AK911" s="61" t="n">
        <f aca="false">AK910+1</f>
        <v>911</v>
      </c>
      <c r="AL911" s="61" t="str">
        <f aca="false">Y911</f>
        <v>tomato</v>
      </c>
      <c r="AM911" s="81" t="str">
        <f aca="false">"a = Client().post('"&amp;W911&amp;"', {'recipe' : '"&amp;V911&amp;"', 'ingredient' : '"&amp;Z911&amp;"', 'name' : '"&amp;X911&amp;"', 'mass_unit' : '"&amp;AC911&amp;"', 'mass_quantity' : '"&amp;ROUND(AA911,3)&amp;"', 'volume_unit' : '"&amp;AF911&amp;"', 'volume_quantity' : '"&amp;ROUND(AD911,3)&amp;"', 'pieces_unit' : '"&amp;AI911&amp;"', 'pieces_quantity' : '"&amp;ROUND(AG911,3)&amp;"', 'cooking_notes' : '"&amp;AJ911&amp;"'}).status_code; print('%s :: %s :: %s :: %s :: %s' %(a,"&amp;G911&amp;",'"&amp;X911&amp;"','"&amp;Y911&amp;"','"&amp;U911&amp;"'))"</f>
        <v>a = Client().post('/recipes/sambar/detail/', {'recipe' : '69', 'ingredient' : '195', 'name' : 'tomato', 'mass_unit' : '2', 'mass_quantity' : '2', 'volume_unit' : '1', 'volume_quantity' : '0', 'pieces_unit' : '3', 'pieces_quantity' : '0', 'cooking_notes' : ''}).status_code; print('%s :: %s :: %s :: %s :: %s' %(a,911,'tomato','tomato','Sambar'))</v>
      </c>
    </row>
    <row r="912" customFormat="false" ht="13.8" hidden="false" customHeight="false" outlineLevel="0" collapsed="false">
      <c r="G912" s="80" t="n">
        <v>912</v>
      </c>
      <c r="H912" s="83"/>
      <c r="I912" s="83" t="s">
        <v>316</v>
      </c>
      <c r="J912" s="83" t="s">
        <v>488</v>
      </c>
      <c r="K912" s="61" t="n">
        <v>2</v>
      </c>
      <c r="L912" s="61" t="s">
        <v>7</v>
      </c>
      <c r="R912" s="82" t="str">
        <f aca="false">VLOOKUP(J912,ingredient!$N$4:$O$553,2,0)</f>
        <v>tur dal</v>
      </c>
      <c r="U912" s="81" t="str">
        <f aca="false">I912</f>
        <v>Sambar</v>
      </c>
      <c r="V912" s="81" t="n">
        <f aca="false">VLOOKUP(U912,recipe_ingred_list!$A$2:$B$300,2,0)</f>
        <v>69</v>
      </c>
      <c r="W912" s="81" t="str">
        <f aca="false">"/recipes/"&amp;VLOOKUP(U912,recipe_ingred_list!$A$2:$C$300,3,0)&amp;"/detail/"</f>
        <v>/recipes/sambar/detail/</v>
      </c>
      <c r="X912" s="81" t="str">
        <f aca="false">J912</f>
        <v>tur dal</v>
      </c>
      <c r="Y912" s="81" t="str">
        <f aca="false">R912</f>
        <v>tur dal</v>
      </c>
      <c r="Z912" s="94" t="n">
        <f aca="false">VLOOKUP(Y912,recipe_ingred_list!$D$2:$E$500,2,0)</f>
        <v>198</v>
      </c>
      <c r="AA912" s="61" t="n">
        <f aca="false">K912</f>
        <v>2</v>
      </c>
      <c r="AB912" s="61" t="str">
        <f aca="false">L912</f>
        <v>kg</v>
      </c>
      <c r="AC912" s="61" t="n">
        <f aca="false">VLOOKUP(AB912,recipe_ingred_list!$K$2:$M$7,3,0)</f>
        <v>2</v>
      </c>
      <c r="AD912" s="61" t="n">
        <f aca="false">M912</f>
        <v>0</v>
      </c>
      <c r="AE912" s="61" t="n">
        <f aca="false">N912</f>
        <v>0</v>
      </c>
      <c r="AF912" s="61" t="n">
        <f aca="false">VLOOKUP(AE912,recipe_ingred_list!$K$16:$M$25,3,0)</f>
        <v>1</v>
      </c>
      <c r="AG912" s="61" t="n">
        <f aca="false">O912</f>
        <v>0</v>
      </c>
      <c r="AH912" s="61" t="n">
        <f aca="false">P912</f>
        <v>0</v>
      </c>
      <c r="AI912" s="61" t="n">
        <f aca="false">VLOOKUP(AH912,recipe_ingred_list!$K$29:$M$34,3,0)</f>
        <v>3</v>
      </c>
      <c r="AJ912" s="61" t="str">
        <f aca="false">IF(Q912="","",Q912)</f>
        <v/>
      </c>
      <c r="AK912" s="61" t="n">
        <f aca="false">AK911+1</f>
        <v>912</v>
      </c>
      <c r="AL912" s="61" t="str">
        <f aca="false">Y912</f>
        <v>tur dal</v>
      </c>
      <c r="AM912" s="81" t="str">
        <f aca="false">"a = Client().post('"&amp;W912&amp;"', {'recipe' : '"&amp;V912&amp;"', 'ingredient' : '"&amp;Z912&amp;"', 'name' : '"&amp;X912&amp;"', 'mass_unit' : '"&amp;AC912&amp;"', 'mass_quantity' : '"&amp;ROUND(AA912,3)&amp;"', 'volume_unit' : '"&amp;AF912&amp;"', 'volume_quantity' : '"&amp;ROUND(AD912,3)&amp;"', 'pieces_unit' : '"&amp;AI912&amp;"', 'pieces_quantity' : '"&amp;ROUND(AG912,3)&amp;"', 'cooking_notes' : '"&amp;AJ912&amp;"'}).status_code; print('%s :: %s :: %s :: %s :: %s' %(a,"&amp;G912&amp;",'"&amp;X912&amp;"','"&amp;Y912&amp;"','"&amp;U912&amp;"'))"</f>
        <v>a = Client().post('/recipes/sambar/detail/', {'recipe' : '69', 'ingredient' : '198', 'name' : 'tur dal', 'mass_unit' : '2', 'mass_quantity' : '2', 'volume_unit' : '1', 'volume_quantity' : '0', 'pieces_unit' : '3', 'pieces_quantity' : '0', 'cooking_notes' : ''}).status_code; print('%s :: %s :: %s :: %s :: %s' %(a,912,'tur dal','tur dal','Sambar'))</v>
      </c>
    </row>
    <row r="913" customFormat="false" ht="13.8" hidden="false" customHeight="false" outlineLevel="0" collapsed="false">
      <c r="G913" s="80" t="n">
        <v>913</v>
      </c>
      <c r="H913" s="83"/>
      <c r="I913" s="83" t="s">
        <v>316</v>
      </c>
      <c r="J913" s="83" t="s">
        <v>394</v>
      </c>
      <c r="K913" s="61" t="n">
        <v>300</v>
      </c>
      <c r="L913" s="61" t="s">
        <v>109</v>
      </c>
      <c r="R913" s="82" t="str">
        <f aca="false">VLOOKUP(J913,ingredient!$N$4:$O$553,2,0)</f>
        <v>imli</v>
      </c>
      <c r="U913" s="81" t="str">
        <f aca="false">I913</f>
        <v>Sambar</v>
      </c>
      <c r="V913" s="81" t="n">
        <f aca="false">VLOOKUP(U913,recipe_ingred_list!$A$2:$B$300,2,0)</f>
        <v>69</v>
      </c>
      <c r="W913" s="81" t="str">
        <f aca="false">"/recipes/"&amp;VLOOKUP(U913,recipe_ingred_list!$A$2:$C$300,3,0)&amp;"/detail/"</f>
        <v>/recipes/sambar/detail/</v>
      </c>
      <c r="X913" s="81" t="str">
        <f aca="false">J913</f>
        <v>imli</v>
      </c>
      <c r="Y913" s="81" t="str">
        <f aca="false">R913</f>
        <v>imli</v>
      </c>
      <c r="Z913" s="94" t="n">
        <f aca="false">VLOOKUP(Y913,recipe_ingred_list!$D$2:$E$500,2,0)</f>
        <v>98</v>
      </c>
      <c r="AA913" s="61" t="n">
        <f aca="false">K913</f>
        <v>300</v>
      </c>
      <c r="AB913" s="61" t="str">
        <f aca="false">L913</f>
        <v>gm</v>
      </c>
      <c r="AC913" s="61" t="n">
        <f aca="false">VLOOKUP(AB913,recipe_ingred_list!$K$2:$M$7,3,0)</f>
        <v>7</v>
      </c>
      <c r="AD913" s="61" t="n">
        <f aca="false">M913</f>
        <v>0</v>
      </c>
      <c r="AE913" s="61" t="n">
        <f aca="false">N913</f>
        <v>0</v>
      </c>
      <c r="AF913" s="61" t="n">
        <f aca="false">VLOOKUP(AE913,recipe_ingred_list!$K$16:$M$25,3,0)</f>
        <v>1</v>
      </c>
      <c r="AG913" s="61" t="n">
        <f aca="false">O913</f>
        <v>0</v>
      </c>
      <c r="AH913" s="61" t="n">
        <f aca="false">P913</f>
        <v>0</v>
      </c>
      <c r="AI913" s="61" t="n">
        <f aca="false">VLOOKUP(AH913,recipe_ingred_list!$K$29:$M$34,3,0)</f>
        <v>3</v>
      </c>
      <c r="AJ913" s="61" t="str">
        <f aca="false">IF(Q913="","",Q913)</f>
        <v/>
      </c>
      <c r="AK913" s="61" t="n">
        <f aca="false">AK912+1</f>
        <v>913</v>
      </c>
      <c r="AL913" s="61" t="str">
        <f aca="false">Y913</f>
        <v>imli</v>
      </c>
      <c r="AM913" s="81" t="str">
        <f aca="false">"a = Client().post('"&amp;W913&amp;"', {'recipe' : '"&amp;V913&amp;"', 'ingredient' : '"&amp;Z913&amp;"', 'name' : '"&amp;X913&amp;"', 'mass_unit' : '"&amp;AC913&amp;"', 'mass_quantity' : '"&amp;ROUND(AA913,3)&amp;"', 'volume_unit' : '"&amp;AF913&amp;"', 'volume_quantity' : '"&amp;ROUND(AD913,3)&amp;"', 'pieces_unit' : '"&amp;AI913&amp;"', 'pieces_quantity' : '"&amp;ROUND(AG913,3)&amp;"', 'cooking_notes' : '"&amp;AJ913&amp;"'}).status_code; print('%s :: %s :: %s :: %s :: %s' %(a,"&amp;G913&amp;",'"&amp;X913&amp;"','"&amp;Y913&amp;"','"&amp;U913&amp;"'))"</f>
        <v>a = Client().post('/recipes/sambar/detail/', {'recipe' : '69', 'ingredient' : '98', 'name' : 'imli', 'mass_unit' : '7', 'mass_quantity' : '300', 'volume_unit' : '1', 'volume_quantity' : '0', 'pieces_unit' : '3', 'pieces_quantity' : '0', 'cooking_notes' : ''}).status_code; print('%s :: %s :: %s :: %s :: %s' %(a,913,'imli','imli','Sambar'))</v>
      </c>
    </row>
    <row r="914" customFormat="false" ht="13.8" hidden="false" customHeight="false" outlineLevel="0" collapsed="false">
      <c r="G914" s="80" t="n">
        <v>914</v>
      </c>
      <c r="H914" s="83"/>
      <c r="I914" s="83" t="s">
        <v>316</v>
      </c>
      <c r="J914" s="83" t="s">
        <v>382</v>
      </c>
      <c r="M914" s="61" t="n">
        <v>0.5</v>
      </c>
      <c r="N914" s="61" t="s">
        <v>20</v>
      </c>
      <c r="R914" s="82" t="str">
        <f aca="false">VLOOKUP(J914,ingredient!$N$4:$O$553,2,0)</f>
        <v>haldi</v>
      </c>
      <c r="U914" s="81" t="str">
        <f aca="false">I914</f>
        <v>Sambar</v>
      </c>
      <c r="V914" s="81" t="n">
        <f aca="false">VLOOKUP(U914,recipe_ingred_list!$A$2:$B$300,2,0)</f>
        <v>69</v>
      </c>
      <c r="W914" s="81" t="str">
        <f aca="false">"/recipes/"&amp;VLOOKUP(U914,recipe_ingred_list!$A$2:$C$300,3,0)&amp;"/detail/"</f>
        <v>/recipes/sambar/detail/</v>
      </c>
      <c r="X914" s="81" t="str">
        <f aca="false">J914</f>
        <v>haldi</v>
      </c>
      <c r="Y914" s="81" t="str">
        <f aca="false">R914</f>
        <v>haldi</v>
      </c>
      <c r="Z914" s="94" t="n">
        <f aca="false">VLOOKUP(Y914,recipe_ingred_list!$D$2:$E$500,2,0)</f>
        <v>91</v>
      </c>
      <c r="AA914" s="61" t="n">
        <f aca="false">K914</f>
        <v>0</v>
      </c>
      <c r="AB914" s="61" t="n">
        <f aca="false">L914</f>
        <v>0</v>
      </c>
      <c r="AC914" s="61" t="n">
        <f aca="false">VLOOKUP(AB914,recipe_ingred_list!$K$2:$M$7,3,0)</f>
        <v>2</v>
      </c>
      <c r="AD914" s="61" t="n">
        <f aca="false">M914</f>
        <v>0.5</v>
      </c>
      <c r="AE914" s="61" t="str">
        <f aca="false">N914</f>
        <v>cup</v>
      </c>
      <c r="AF914" s="61" t="n">
        <f aca="false">VLOOKUP(AE914,recipe_ingred_list!$K$16:$M$25,3,0)</f>
        <v>5</v>
      </c>
      <c r="AG914" s="61" t="n">
        <f aca="false">O914</f>
        <v>0</v>
      </c>
      <c r="AH914" s="61" t="n">
        <f aca="false">P914</f>
        <v>0</v>
      </c>
      <c r="AI914" s="61" t="n">
        <f aca="false">VLOOKUP(AH914,recipe_ingred_list!$K$29:$M$34,3,0)</f>
        <v>3</v>
      </c>
      <c r="AJ914" s="61" t="str">
        <f aca="false">IF(Q914="","",Q914)</f>
        <v/>
      </c>
      <c r="AK914" s="61" t="n">
        <f aca="false">AK913+1</f>
        <v>914</v>
      </c>
      <c r="AL914" s="61" t="str">
        <f aca="false">Y914</f>
        <v>haldi</v>
      </c>
      <c r="AM914" s="81" t="str">
        <f aca="false">"a = Client().post('"&amp;W914&amp;"', {'recipe' : '"&amp;V914&amp;"', 'ingredient' : '"&amp;Z914&amp;"', 'name' : '"&amp;X914&amp;"', 'mass_unit' : '"&amp;AC914&amp;"', 'mass_quantity' : '"&amp;ROUND(AA914,3)&amp;"', 'volume_unit' : '"&amp;AF914&amp;"', 'volume_quantity' : '"&amp;ROUND(AD914,3)&amp;"', 'pieces_unit' : '"&amp;AI914&amp;"', 'pieces_quantity' : '"&amp;ROUND(AG914,3)&amp;"', 'cooking_notes' : '"&amp;AJ914&amp;"'}).status_code; print('%s :: %s :: %s :: %s :: %s' %(a,"&amp;G914&amp;",'"&amp;X914&amp;"','"&amp;Y914&amp;"','"&amp;U914&amp;"'))"</f>
        <v>a = Client().post('/recipes/sambar/detail/', {'recipe' : '69', 'ingredient' : '91', 'name' : 'haldi', 'mass_unit' : '2', 'mass_quantity' : '0', 'volume_unit' : '5', 'volume_quantity' : '0.5', 'pieces_unit' : '3', 'pieces_quantity' : '0', 'cooking_notes' : ''}).status_code; print('%s :: %s :: %s :: %s :: %s' %(a,914,'haldi','haldi','Sambar'))</v>
      </c>
    </row>
    <row r="915" customFormat="false" ht="13.8" hidden="false" customHeight="false" outlineLevel="0" collapsed="false">
      <c r="G915" s="80" t="n">
        <v>915</v>
      </c>
      <c r="H915" s="83"/>
      <c r="I915" s="83" t="s">
        <v>316</v>
      </c>
      <c r="J915" s="83" t="s">
        <v>391</v>
      </c>
      <c r="M915" s="61" t="n">
        <v>0.25</v>
      </c>
      <c r="N915" s="61" t="s">
        <v>20</v>
      </c>
      <c r="R915" s="82" t="str">
        <f aca="false">VLOOKUP(J915,ingredient!$N$4:$O$553,2,0)</f>
        <v>hing</v>
      </c>
      <c r="U915" s="81" t="str">
        <f aca="false">I915</f>
        <v>Sambar</v>
      </c>
      <c r="V915" s="81" t="n">
        <f aca="false">VLOOKUP(U915,recipe_ingred_list!$A$2:$B$300,2,0)</f>
        <v>69</v>
      </c>
      <c r="W915" s="81" t="str">
        <f aca="false">"/recipes/"&amp;VLOOKUP(U915,recipe_ingred_list!$A$2:$C$300,3,0)&amp;"/detail/"</f>
        <v>/recipes/sambar/detail/</v>
      </c>
      <c r="X915" s="81" t="str">
        <f aca="false">J915</f>
        <v>hing</v>
      </c>
      <c r="Y915" s="81" t="str">
        <f aca="false">R915</f>
        <v>hing</v>
      </c>
      <c r="Z915" s="94" t="n">
        <f aca="false">VLOOKUP(Y915,recipe_ingred_list!$D$2:$E$500,2,0)</f>
        <v>95</v>
      </c>
      <c r="AA915" s="61" t="n">
        <f aca="false">K915</f>
        <v>0</v>
      </c>
      <c r="AB915" s="61" t="n">
        <f aca="false">L915</f>
        <v>0</v>
      </c>
      <c r="AC915" s="61" t="n">
        <f aca="false">VLOOKUP(AB915,recipe_ingred_list!$K$2:$M$7,3,0)</f>
        <v>2</v>
      </c>
      <c r="AD915" s="61" t="n">
        <f aca="false">M915</f>
        <v>0.25</v>
      </c>
      <c r="AE915" s="61" t="str">
        <f aca="false">N915</f>
        <v>cup</v>
      </c>
      <c r="AF915" s="61" t="n">
        <f aca="false">VLOOKUP(AE915,recipe_ingred_list!$K$16:$M$25,3,0)</f>
        <v>5</v>
      </c>
      <c r="AG915" s="61" t="n">
        <f aca="false">O915</f>
        <v>0</v>
      </c>
      <c r="AH915" s="61" t="n">
        <f aca="false">P915</f>
        <v>0</v>
      </c>
      <c r="AI915" s="61" t="n">
        <f aca="false">VLOOKUP(AH915,recipe_ingred_list!$K$29:$M$34,3,0)</f>
        <v>3</v>
      </c>
      <c r="AJ915" s="61" t="str">
        <f aca="false">IF(Q915="","",Q915)</f>
        <v/>
      </c>
      <c r="AK915" s="61" t="n">
        <f aca="false">AK914+1</f>
        <v>915</v>
      </c>
      <c r="AL915" s="61" t="str">
        <f aca="false">Y915</f>
        <v>hing</v>
      </c>
      <c r="AM915" s="81" t="str">
        <f aca="false">"a = Client().post('"&amp;W915&amp;"', {'recipe' : '"&amp;V915&amp;"', 'ingredient' : '"&amp;Z915&amp;"', 'name' : '"&amp;X915&amp;"', 'mass_unit' : '"&amp;AC915&amp;"', 'mass_quantity' : '"&amp;ROUND(AA915,3)&amp;"', 'volume_unit' : '"&amp;AF915&amp;"', 'volume_quantity' : '"&amp;ROUND(AD915,3)&amp;"', 'pieces_unit' : '"&amp;AI915&amp;"', 'pieces_quantity' : '"&amp;ROUND(AG915,3)&amp;"', 'cooking_notes' : '"&amp;AJ915&amp;"'}).status_code; print('%s :: %s :: %s :: %s :: %s' %(a,"&amp;G915&amp;",'"&amp;X915&amp;"','"&amp;Y915&amp;"','"&amp;U915&amp;"'))"</f>
        <v>a = Client().post('/recipes/sambar/detail/', {'recipe' : '69', 'ingredient' : '95', 'name' : 'hing', 'mass_unit' : '2', 'mass_quantity' : '0', 'volume_unit' : '5', 'volume_quantity' : '0.25', 'pieces_unit' : '3', 'pieces_quantity' : '0', 'cooking_notes' : ''}).status_code; print('%s :: %s :: %s :: %s :: %s' %(a,915,'hing','hing','Sambar'))</v>
      </c>
    </row>
    <row r="916" customFormat="false" ht="13.8" hidden="false" customHeight="false" outlineLevel="0" collapsed="false">
      <c r="G916" s="80" t="n">
        <v>916</v>
      </c>
      <c r="H916" s="83"/>
      <c r="I916" s="83" t="s">
        <v>316</v>
      </c>
      <c r="J916" s="83" t="s">
        <v>821</v>
      </c>
      <c r="K916" s="61" t="n">
        <v>250</v>
      </c>
      <c r="L916" s="61" t="s">
        <v>109</v>
      </c>
      <c r="R916" s="82" t="str">
        <f aca="false">VLOOKUP(J916,ingredient!$N$4:$O$553,2,0)</f>
        <v>gud</v>
      </c>
      <c r="U916" s="81" t="str">
        <f aca="false">I916</f>
        <v>Sambar</v>
      </c>
      <c r="V916" s="81" t="n">
        <f aca="false">VLOOKUP(U916,recipe_ingred_list!$A$2:$B$300,2,0)</f>
        <v>69</v>
      </c>
      <c r="W916" s="81" t="str">
        <f aca="false">"/recipes/"&amp;VLOOKUP(U916,recipe_ingred_list!$A$2:$C$300,3,0)&amp;"/detail/"</f>
        <v>/recipes/sambar/detail/</v>
      </c>
      <c r="X916" s="81" t="str">
        <f aca="false">J916</f>
        <v>jaggary</v>
      </c>
      <c r="Y916" s="81" t="str">
        <f aca="false">R916</f>
        <v>gud</v>
      </c>
      <c r="Z916" s="94" t="n">
        <f aca="false">VLOOKUP(Y916,recipe_ingred_list!$D$2:$E$500,2,0)</f>
        <v>90</v>
      </c>
      <c r="AA916" s="61" t="n">
        <f aca="false">K916</f>
        <v>250</v>
      </c>
      <c r="AB916" s="61" t="str">
        <f aca="false">L916</f>
        <v>gm</v>
      </c>
      <c r="AC916" s="61" t="n">
        <f aca="false">VLOOKUP(AB916,recipe_ingred_list!$K$2:$M$7,3,0)</f>
        <v>7</v>
      </c>
      <c r="AD916" s="61" t="n">
        <f aca="false">M916</f>
        <v>0</v>
      </c>
      <c r="AE916" s="61" t="n">
        <f aca="false">N916</f>
        <v>0</v>
      </c>
      <c r="AF916" s="61" t="n">
        <f aca="false">VLOOKUP(AE916,recipe_ingred_list!$K$16:$M$25,3,0)</f>
        <v>1</v>
      </c>
      <c r="AG916" s="61" t="n">
        <f aca="false">O916</f>
        <v>0</v>
      </c>
      <c r="AH916" s="61" t="n">
        <f aca="false">P916</f>
        <v>0</v>
      </c>
      <c r="AI916" s="61" t="n">
        <f aca="false">VLOOKUP(AH916,recipe_ingred_list!$K$29:$M$34,3,0)</f>
        <v>3</v>
      </c>
      <c r="AJ916" s="61" t="str">
        <f aca="false">IF(Q916="","",Q916)</f>
        <v/>
      </c>
      <c r="AK916" s="61" t="n">
        <f aca="false">AK915+1</f>
        <v>916</v>
      </c>
      <c r="AL916" s="61" t="str">
        <f aca="false">Y916</f>
        <v>gud</v>
      </c>
      <c r="AM916" s="81" t="str">
        <f aca="false">"a = Client().post('"&amp;W916&amp;"', {'recipe' : '"&amp;V916&amp;"', 'ingredient' : '"&amp;Z916&amp;"', 'name' : '"&amp;X916&amp;"', 'mass_unit' : '"&amp;AC916&amp;"', 'mass_quantity' : '"&amp;ROUND(AA916,3)&amp;"', 'volume_unit' : '"&amp;AF916&amp;"', 'volume_quantity' : '"&amp;ROUND(AD916,3)&amp;"', 'pieces_unit' : '"&amp;AI916&amp;"', 'pieces_quantity' : '"&amp;ROUND(AG916,3)&amp;"', 'cooking_notes' : '"&amp;AJ916&amp;"'}).status_code; print('%s :: %s :: %s :: %s :: %s' %(a,"&amp;G916&amp;",'"&amp;X916&amp;"','"&amp;Y916&amp;"','"&amp;U916&amp;"'))"</f>
        <v>a = Client().post('/recipes/sambar/detail/', {'recipe' : '69', 'ingredient' : '90', 'name' : 'jaggary', 'mass_unit' : '7', 'mass_quantity' : '250', 'volume_unit' : '1', 'volume_quantity' : '0', 'pieces_unit' : '3', 'pieces_quantity' : '0', 'cooking_notes' : ''}).status_code; print('%s :: %s :: %s :: %s :: %s' %(a,916,'jaggary','gud','Sambar'))</v>
      </c>
    </row>
    <row r="917" customFormat="false" ht="13.8" hidden="false" customHeight="false" outlineLevel="0" collapsed="false">
      <c r="G917" s="80" t="n">
        <v>917</v>
      </c>
      <c r="H917" s="83"/>
      <c r="I917" s="83" t="s">
        <v>316</v>
      </c>
      <c r="J917" s="83" t="s">
        <v>456</v>
      </c>
      <c r="M917" s="61" t="n">
        <v>0.5</v>
      </c>
      <c r="N917" s="61" t="s">
        <v>20</v>
      </c>
      <c r="R917" s="82" t="str">
        <f aca="false">VLOOKUP(J917,ingredient!$N$4:$O$553,2,0)</f>
        <v>rai</v>
      </c>
      <c r="U917" s="81" t="str">
        <f aca="false">I917</f>
        <v>Sambar</v>
      </c>
      <c r="V917" s="81" t="n">
        <f aca="false">VLOOKUP(U917,recipe_ingred_list!$A$2:$B$300,2,0)</f>
        <v>69</v>
      </c>
      <c r="W917" s="81" t="str">
        <f aca="false">"/recipes/"&amp;VLOOKUP(U917,recipe_ingred_list!$A$2:$C$300,3,0)&amp;"/detail/"</f>
        <v>/recipes/sambar/detail/</v>
      </c>
      <c r="X917" s="81" t="str">
        <f aca="false">J917</f>
        <v>rai</v>
      </c>
      <c r="Y917" s="81" t="str">
        <f aca="false">R917</f>
        <v>rai</v>
      </c>
      <c r="Z917" s="94" t="n">
        <f aca="false">VLOOKUP(Y917,recipe_ingred_list!$D$2:$E$500,2,0)</f>
        <v>164</v>
      </c>
      <c r="AA917" s="61" t="n">
        <f aca="false">K917</f>
        <v>0</v>
      </c>
      <c r="AB917" s="61" t="n">
        <f aca="false">L917</f>
        <v>0</v>
      </c>
      <c r="AC917" s="61" t="n">
        <f aca="false">VLOOKUP(AB917,recipe_ingred_list!$K$2:$M$7,3,0)</f>
        <v>2</v>
      </c>
      <c r="AD917" s="61" t="n">
        <f aca="false">M917</f>
        <v>0.5</v>
      </c>
      <c r="AE917" s="61" t="str">
        <f aca="false">N917</f>
        <v>cup</v>
      </c>
      <c r="AF917" s="61" t="n">
        <f aca="false">VLOOKUP(AE917,recipe_ingred_list!$K$16:$M$25,3,0)</f>
        <v>5</v>
      </c>
      <c r="AG917" s="61" t="n">
        <f aca="false">O917</f>
        <v>0</v>
      </c>
      <c r="AH917" s="61" t="n">
        <f aca="false">P917</f>
        <v>0</v>
      </c>
      <c r="AI917" s="61" t="n">
        <f aca="false">VLOOKUP(AH917,recipe_ingred_list!$K$29:$M$34,3,0)</f>
        <v>3</v>
      </c>
      <c r="AJ917" s="61" t="str">
        <f aca="false">IF(Q917="","",Q917)</f>
        <v/>
      </c>
      <c r="AK917" s="61" t="n">
        <f aca="false">AK916+1</f>
        <v>917</v>
      </c>
      <c r="AL917" s="61" t="str">
        <f aca="false">Y917</f>
        <v>rai</v>
      </c>
      <c r="AM917" s="81" t="str">
        <f aca="false">"a = Client().post('"&amp;W917&amp;"', {'recipe' : '"&amp;V917&amp;"', 'ingredient' : '"&amp;Z917&amp;"', 'name' : '"&amp;X917&amp;"', 'mass_unit' : '"&amp;AC917&amp;"', 'mass_quantity' : '"&amp;ROUND(AA917,3)&amp;"', 'volume_unit' : '"&amp;AF917&amp;"', 'volume_quantity' : '"&amp;ROUND(AD917,3)&amp;"', 'pieces_unit' : '"&amp;AI917&amp;"', 'pieces_quantity' : '"&amp;ROUND(AG917,3)&amp;"', 'cooking_notes' : '"&amp;AJ917&amp;"'}).status_code; print('%s :: %s :: %s :: %s :: %s' %(a,"&amp;G917&amp;",'"&amp;X917&amp;"','"&amp;Y917&amp;"','"&amp;U917&amp;"'))"</f>
        <v>a = Client().post('/recipes/sambar/detail/', {'recipe' : '69', 'ingredient' : '164', 'name' : 'rai', 'mass_unit' : '2', 'mass_quantity' : '0', 'volume_unit' : '5', 'volume_quantity' : '0.5', 'pieces_unit' : '3', 'pieces_quantity' : '0', 'cooking_notes' : ''}).status_code; print('%s :: %s :: %s :: %s :: %s' %(a,917,'rai','rai','Sambar'))</v>
      </c>
    </row>
    <row r="918" customFormat="false" ht="13.8" hidden="false" customHeight="false" outlineLevel="0" collapsed="false">
      <c r="G918" s="80" t="n">
        <v>918</v>
      </c>
      <c r="H918" s="83"/>
      <c r="I918" s="83" t="s">
        <v>316</v>
      </c>
      <c r="J918" s="83" t="s">
        <v>847</v>
      </c>
      <c r="M918" s="61" t="n">
        <v>1.5</v>
      </c>
      <c r="N918" s="61" t="s">
        <v>20</v>
      </c>
      <c r="R918" s="82" t="str">
        <f aca="false">VLOOKUP(J918,ingredient!$N$4:$O$553,2,0)</f>
        <v>mtr rasam masala</v>
      </c>
      <c r="U918" s="81" t="str">
        <f aca="false">I918</f>
        <v>Sambar</v>
      </c>
      <c r="V918" s="81" t="n">
        <f aca="false">VLOOKUP(U918,recipe_ingred_list!$A$2:$B$300,2,0)</f>
        <v>69</v>
      </c>
      <c r="W918" s="81" t="str">
        <f aca="false">"/recipes/"&amp;VLOOKUP(U918,recipe_ingred_list!$A$2:$C$300,3,0)&amp;"/detail/"</f>
        <v>/recipes/sambar/detail/</v>
      </c>
      <c r="X918" s="81" t="str">
        <f aca="false">J918</f>
        <v>MTR masala</v>
      </c>
      <c r="Y918" s="81" t="str">
        <f aca="false">R918</f>
        <v>mtr rasam masala</v>
      </c>
      <c r="Z918" s="94" t="n">
        <f aca="false">VLOOKUP(Y918,recipe_ingred_list!$D$2:$E$500,2,0)</f>
        <v>148</v>
      </c>
      <c r="AA918" s="61" t="n">
        <f aca="false">K918</f>
        <v>0</v>
      </c>
      <c r="AB918" s="61" t="n">
        <f aca="false">L918</f>
        <v>0</v>
      </c>
      <c r="AC918" s="61" t="n">
        <f aca="false">VLOOKUP(AB918,recipe_ingred_list!$K$2:$M$7,3,0)</f>
        <v>2</v>
      </c>
      <c r="AD918" s="61" t="n">
        <f aca="false">M918</f>
        <v>1.5</v>
      </c>
      <c r="AE918" s="61" t="str">
        <f aca="false">N918</f>
        <v>cup</v>
      </c>
      <c r="AF918" s="61" t="n">
        <f aca="false">VLOOKUP(AE918,recipe_ingred_list!$K$16:$M$25,3,0)</f>
        <v>5</v>
      </c>
      <c r="AG918" s="61" t="n">
        <f aca="false">O918</f>
        <v>0</v>
      </c>
      <c r="AH918" s="61" t="n">
        <f aca="false">P918</f>
        <v>0</v>
      </c>
      <c r="AI918" s="61" t="n">
        <f aca="false">VLOOKUP(AH918,recipe_ingred_list!$K$29:$M$34,3,0)</f>
        <v>3</v>
      </c>
      <c r="AJ918" s="61" t="str">
        <f aca="false">IF(Q918="","",Q918)</f>
        <v/>
      </c>
      <c r="AK918" s="61" t="n">
        <f aca="false">AK917+1</f>
        <v>918</v>
      </c>
      <c r="AL918" s="61" t="str">
        <f aca="false">Y918</f>
        <v>mtr rasam masala</v>
      </c>
      <c r="AM918" s="81" t="str">
        <f aca="false">"a = Client().post('"&amp;W918&amp;"', {'recipe' : '"&amp;V918&amp;"', 'ingredient' : '"&amp;Z918&amp;"', 'name' : '"&amp;X918&amp;"', 'mass_unit' : '"&amp;AC918&amp;"', 'mass_quantity' : '"&amp;ROUND(AA918,3)&amp;"', 'volume_unit' : '"&amp;AF918&amp;"', 'volume_quantity' : '"&amp;ROUND(AD918,3)&amp;"', 'pieces_unit' : '"&amp;AI918&amp;"', 'pieces_quantity' : '"&amp;ROUND(AG918,3)&amp;"', 'cooking_notes' : '"&amp;AJ918&amp;"'}).status_code; print('%s :: %s :: %s :: %s :: %s' %(a,"&amp;G918&amp;",'"&amp;X918&amp;"','"&amp;Y918&amp;"','"&amp;U918&amp;"'))"</f>
        <v>a = Client().post('/recipes/sambar/detail/', {'recipe' : '69', 'ingredient' : '148', 'name' : 'MTR masala', 'mass_unit' : '2', 'mass_quantity' : '0', 'volume_unit' : '5', 'volume_quantity' : '1.5', 'pieces_unit' : '3', 'pieces_quantity' : '0', 'cooking_notes' : ''}).status_code; print('%s :: %s :: %s :: %s :: %s' %(a,918,'MTR masala','mtr rasam masala','Sambar'))</v>
      </c>
    </row>
    <row r="919" customFormat="false" ht="13.8" hidden="false" customHeight="false" outlineLevel="0" collapsed="false">
      <c r="G919" s="80" t="n">
        <v>919</v>
      </c>
      <c r="H919" s="83"/>
      <c r="I919" s="83" t="s">
        <v>316</v>
      </c>
      <c r="J919" s="83" t="s">
        <v>848</v>
      </c>
      <c r="M919" s="61" t="n">
        <v>1</v>
      </c>
      <c r="N919" s="61" t="s">
        <v>20</v>
      </c>
      <c r="R919" s="82" t="str">
        <f aca="false">VLOOKUP(J919,ingredient!$N$4:$O$553,2,0)</f>
        <v>annapoorna sambar masala</v>
      </c>
      <c r="U919" s="81" t="str">
        <f aca="false">I919</f>
        <v>Sambar</v>
      </c>
      <c r="V919" s="81" t="n">
        <f aca="false">VLOOKUP(U919,recipe_ingred_list!$A$2:$B$300,2,0)</f>
        <v>69</v>
      </c>
      <c r="W919" s="81" t="str">
        <f aca="false">"/recipes/"&amp;VLOOKUP(U919,recipe_ingred_list!$A$2:$C$300,3,0)&amp;"/detail/"</f>
        <v>/recipes/sambar/detail/</v>
      </c>
      <c r="X919" s="81" t="str">
        <f aca="false">J919</f>
        <v>anapoorna sambar ms</v>
      </c>
      <c r="Y919" s="81" t="str">
        <f aca="false">R919</f>
        <v>annapoorna sambar masala</v>
      </c>
      <c r="Z919" s="94" t="n">
        <f aca="false">VLOOKUP(Y919,recipe_ingred_list!$D$2:$E$500,2,0)</f>
        <v>14</v>
      </c>
      <c r="AA919" s="61" t="n">
        <f aca="false">K919</f>
        <v>0</v>
      </c>
      <c r="AB919" s="61" t="n">
        <f aca="false">L919</f>
        <v>0</v>
      </c>
      <c r="AC919" s="61" t="n">
        <f aca="false">VLOOKUP(AB919,recipe_ingred_list!$K$2:$M$7,3,0)</f>
        <v>2</v>
      </c>
      <c r="AD919" s="61" t="n">
        <f aca="false">M919</f>
        <v>1</v>
      </c>
      <c r="AE919" s="61" t="str">
        <f aca="false">N919</f>
        <v>cup</v>
      </c>
      <c r="AF919" s="61" t="n">
        <f aca="false">VLOOKUP(AE919,recipe_ingred_list!$K$16:$M$25,3,0)</f>
        <v>5</v>
      </c>
      <c r="AG919" s="61" t="n">
        <f aca="false">O919</f>
        <v>0</v>
      </c>
      <c r="AH919" s="61" t="n">
        <f aca="false">P919</f>
        <v>0</v>
      </c>
      <c r="AI919" s="61" t="n">
        <f aca="false">VLOOKUP(AH919,recipe_ingred_list!$K$29:$M$34,3,0)</f>
        <v>3</v>
      </c>
      <c r="AJ919" s="61" t="str">
        <f aca="false">IF(Q919="","",Q919)</f>
        <v/>
      </c>
      <c r="AK919" s="61" t="n">
        <f aca="false">AK918+1</f>
        <v>919</v>
      </c>
      <c r="AL919" s="61" t="str">
        <f aca="false">Y919</f>
        <v>annapoorna sambar masala</v>
      </c>
      <c r="AM919" s="81" t="str">
        <f aca="false">"a = Client().post('"&amp;W919&amp;"', {'recipe' : '"&amp;V919&amp;"', 'ingredient' : '"&amp;Z919&amp;"', 'name' : '"&amp;X919&amp;"', 'mass_unit' : '"&amp;AC919&amp;"', 'mass_quantity' : '"&amp;ROUND(AA919,3)&amp;"', 'volume_unit' : '"&amp;AF919&amp;"', 'volume_quantity' : '"&amp;ROUND(AD919,3)&amp;"', 'pieces_unit' : '"&amp;AI919&amp;"', 'pieces_quantity' : '"&amp;ROUND(AG919,3)&amp;"', 'cooking_notes' : '"&amp;AJ919&amp;"'}).status_code; print('%s :: %s :: %s :: %s :: %s' %(a,"&amp;G919&amp;",'"&amp;X919&amp;"','"&amp;Y919&amp;"','"&amp;U919&amp;"'))"</f>
        <v>a = Client().post('/recipes/sambar/detail/', {'recipe' : '69', 'ingredient' : '14', 'name' : 'anapoorna sambar ms', 'mass_unit' : '2', 'mass_quantity' : '0', 'volume_unit' : '5', 'volume_quantity' : '1', 'pieces_unit' : '3', 'pieces_quantity' : '0', 'cooking_notes' : ''}).status_code; print('%s :: %s :: %s :: %s :: %s' %(a,919,'anapoorna sambar ms','annapoorna sambar masala','Sambar'))</v>
      </c>
    </row>
    <row r="920" customFormat="false" ht="13.8" hidden="false" customHeight="false" outlineLevel="0" collapsed="false">
      <c r="G920" s="80" t="n">
        <v>920</v>
      </c>
      <c r="H920" s="83"/>
      <c r="I920" s="83" t="s">
        <v>316</v>
      </c>
      <c r="J920" s="83" t="s">
        <v>849</v>
      </c>
      <c r="M920" s="61" t="n">
        <v>0.5</v>
      </c>
      <c r="N920" s="61" t="s">
        <v>20</v>
      </c>
      <c r="R920" s="82" t="str">
        <f aca="false">VLOOKUP(J920,ingredient!$N$4:$O$553,2,0)</f>
        <v>ghee</v>
      </c>
      <c r="U920" s="81" t="str">
        <f aca="false">I920</f>
        <v>Sambar</v>
      </c>
      <c r="V920" s="81" t="n">
        <f aca="false">VLOOKUP(U920,recipe_ingred_list!$A$2:$B$300,2,0)</f>
        <v>69</v>
      </c>
      <c r="W920" s="81" t="str">
        <f aca="false">"/recipes/"&amp;VLOOKUP(U920,recipe_ingred_list!$A$2:$C$300,3,0)&amp;"/detail/"</f>
        <v>/recipes/sambar/detail/</v>
      </c>
      <c r="X920" s="81" t="str">
        <f aca="false">J920</f>
        <v>ghee/oil</v>
      </c>
      <c r="Y920" s="81" t="str">
        <f aca="false">R920</f>
        <v>ghee</v>
      </c>
      <c r="Z920" s="94" t="n">
        <f aca="false">VLOOKUP(Y920,recipe_ingred_list!$D$2:$E$500,2,0)</f>
        <v>81</v>
      </c>
      <c r="AA920" s="61" t="n">
        <f aca="false">K920</f>
        <v>0</v>
      </c>
      <c r="AB920" s="61" t="n">
        <f aca="false">L920</f>
        <v>0</v>
      </c>
      <c r="AC920" s="61" t="n">
        <f aca="false">VLOOKUP(AB920,recipe_ingred_list!$K$2:$M$7,3,0)</f>
        <v>2</v>
      </c>
      <c r="AD920" s="61" t="n">
        <f aca="false">M920</f>
        <v>0.5</v>
      </c>
      <c r="AE920" s="61" t="str">
        <f aca="false">N920</f>
        <v>cup</v>
      </c>
      <c r="AF920" s="61" t="n">
        <f aca="false">VLOOKUP(AE920,recipe_ingred_list!$K$16:$M$25,3,0)</f>
        <v>5</v>
      </c>
      <c r="AG920" s="61" t="n">
        <f aca="false">O920</f>
        <v>0</v>
      </c>
      <c r="AH920" s="61" t="n">
        <f aca="false">P920</f>
        <v>0</v>
      </c>
      <c r="AI920" s="61" t="n">
        <f aca="false">VLOOKUP(AH920,recipe_ingred_list!$K$29:$M$34,3,0)</f>
        <v>3</v>
      </c>
      <c r="AJ920" s="61" t="str">
        <f aca="false">IF(Q920="","",Q920)</f>
        <v/>
      </c>
      <c r="AK920" s="61" t="n">
        <f aca="false">AK919+1</f>
        <v>920</v>
      </c>
      <c r="AL920" s="61" t="str">
        <f aca="false">Y920</f>
        <v>ghee</v>
      </c>
      <c r="AM920" s="81" t="str">
        <f aca="false">"a = Client().post('"&amp;W920&amp;"', {'recipe' : '"&amp;V920&amp;"', 'ingredient' : '"&amp;Z920&amp;"', 'name' : '"&amp;X920&amp;"', 'mass_unit' : '"&amp;AC920&amp;"', 'mass_quantity' : '"&amp;ROUND(AA920,3)&amp;"', 'volume_unit' : '"&amp;AF920&amp;"', 'volume_quantity' : '"&amp;ROUND(AD920,3)&amp;"', 'pieces_unit' : '"&amp;AI920&amp;"', 'pieces_quantity' : '"&amp;ROUND(AG920,3)&amp;"', 'cooking_notes' : '"&amp;AJ920&amp;"'}).status_code; print('%s :: %s :: %s :: %s :: %s' %(a,"&amp;G920&amp;",'"&amp;X920&amp;"','"&amp;Y920&amp;"','"&amp;U920&amp;"'))"</f>
        <v>a = Client().post('/recipes/sambar/detail/', {'recipe' : '69', 'ingredient' : '81', 'name' : 'ghee/oil', 'mass_unit' : '2', 'mass_quantity' : '0', 'volume_unit' : '5', 'volume_quantity' : '0.5', 'pieces_unit' : '3', 'pieces_quantity' : '0', 'cooking_notes' : ''}).status_code; print('%s :: %s :: %s :: %s :: %s' %(a,920,'ghee/oil','ghee','Sambar'))</v>
      </c>
    </row>
    <row r="921" customFormat="false" ht="13.8" hidden="false" customHeight="false" outlineLevel="0" collapsed="false">
      <c r="G921" s="80" t="n">
        <v>921</v>
      </c>
      <c r="H921" s="83"/>
      <c r="I921" s="83" t="s">
        <v>316</v>
      </c>
      <c r="J921" s="83" t="s">
        <v>850</v>
      </c>
      <c r="M921" s="61" t="n">
        <v>1.8</v>
      </c>
      <c r="N921" s="61" t="s">
        <v>20</v>
      </c>
      <c r="R921" s="82" t="str">
        <f aca="false">VLOOKUP(J921,ingredient!$N$4:$O$553,2,0)</f>
        <v>salt</v>
      </c>
      <c r="U921" s="81" t="str">
        <f aca="false">I921</f>
        <v>Sambar</v>
      </c>
      <c r="V921" s="81" t="n">
        <f aca="false">VLOOKUP(U921,recipe_ingred_list!$A$2:$B$300,2,0)</f>
        <v>69</v>
      </c>
      <c r="W921" s="81" t="str">
        <f aca="false">"/recipes/"&amp;VLOOKUP(U921,recipe_ingred_list!$A$2:$C$300,3,0)&amp;"/detail/"</f>
        <v>/recipes/sambar/detail/</v>
      </c>
      <c r="X921" s="81" t="str">
        <f aca="false">J921</f>
        <v>salt (IF TATA THEN 1.5 cup)</v>
      </c>
      <c r="Y921" s="81" t="str">
        <f aca="false">R921</f>
        <v>salt</v>
      </c>
      <c r="Z921" s="94" t="n">
        <f aca="false">VLOOKUP(Y921,recipe_ingred_list!$D$2:$E$500,2,0)</f>
        <v>177</v>
      </c>
      <c r="AA921" s="61" t="n">
        <f aca="false">K921</f>
        <v>0</v>
      </c>
      <c r="AB921" s="61" t="n">
        <f aca="false">L921</f>
        <v>0</v>
      </c>
      <c r="AC921" s="61" t="n">
        <f aca="false">VLOOKUP(AB921,recipe_ingred_list!$K$2:$M$7,3,0)</f>
        <v>2</v>
      </c>
      <c r="AD921" s="61" t="n">
        <f aca="false">M921</f>
        <v>1.8</v>
      </c>
      <c r="AE921" s="61" t="str">
        <f aca="false">N921</f>
        <v>cup</v>
      </c>
      <c r="AF921" s="61" t="n">
        <f aca="false">VLOOKUP(AE921,recipe_ingred_list!$K$16:$M$25,3,0)</f>
        <v>5</v>
      </c>
      <c r="AG921" s="61" t="n">
        <f aca="false">O921</f>
        <v>0</v>
      </c>
      <c r="AH921" s="61" t="n">
        <f aca="false">P921</f>
        <v>0</v>
      </c>
      <c r="AI921" s="61" t="n">
        <f aca="false">VLOOKUP(AH921,recipe_ingred_list!$K$29:$M$34,3,0)</f>
        <v>3</v>
      </c>
      <c r="AJ921" s="61" t="str">
        <f aca="false">IF(Q921="","",Q921)</f>
        <v/>
      </c>
      <c r="AK921" s="61" t="n">
        <f aca="false">AK920+1</f>
        <v>921</v>
      </c>
      <c r="AL921" s="61" t="str">
        <f aca="false">Y921</f>
        <v>salt</v>
      </c>
      <c r="AM921" s="81" t="str">
        <f aca="false">"a = Client().post('"&amp;W921&amp;"', {'recipe' : '"&amp;V921&amp;"', 'ingredient' : '"&amp;Z921&amp;"', 'name' : '"&amp;X921&amp;"', 'mass_unit' : '"&amp;AC921&amp;"', 'mass_quantity' : '"&amp;ROUND(AA921,3)&amp;"', 'volume_unit' : '"&amp;AF921&amp;"', 'volume_quantity' : '"&amp;ROUND(AD921,3)&amp;"', 'pieces_unit' : '"&amp;AI921&amp;"', 'pieces_quantity' : '"&amp;ROUND(AG921,3)&amp;"', 'cooking_notes' : '"&amp;AJ921&amp;"'}).status_code; print('%s :: %s :: %s :: %s :: %s' %(a,"&amp;G921&amp;",'"&amp;X921&amp;"','"&amp;Y921&amp;"','"&amp;U921&amp;"'))"</f>
        <v>a = Client().post('/recipes/sambar/detail/', {'recipe' : '69', 'ingredient' : '177', 'name' : 'salt (IF TATA THEN 1.5 cup)', 'mass_unit' : '2', 'mass_quantity' : '0', 'volume_unit' : '5', 'volume_quantity' : '1.8', 'pieces_unit' : '3', 'pieces_quantity' : '0', 'cooking_notes' : ''}).status_code; print('%s :: %s :: %s :: %s :: %s' %(a,921,'salt (IF TATA THEN 1.5 cup)','salt','Sambar'))</v>
      </c>
    </row>
    <row r="922" customFormat="false" ht="13.8" hidden="false" customHeight="false" outlineLevel="0" collapsed="false">
      <c r="G922" s="80" t="n">
        <v>922</v>
      </c>
      <c r="H922" s="79"/>
      <c r="I922" s="79"/>
      <c r="J922" s="79"/>
      <c r="K922" s="100"/>
      <c r="L922" s="100"/>
      <c r="M922" s="100"/>
      <c r="N922" s="100"/>
      <c r="O922" s="100"/>
      <c r="P922" s="100"/>
      <c r="Q922" s="102"/>
      <c r="R922" s="99" t="e">
        <f aca="false">VLOOKUP(J922,ingredient!$N$4:$O$553,2,0)</f>
        <v>#N/A</v>
      </c>
      <c r="S922" s="98"/>
      <c r="T922" s="98"/>
      <c r="U922" s="81" t="n">
        <f aca="false">I922</f>
        <v>0</v>
      </c>
      <c r="V922" s="81" t="e">
        <f aca="false">VLOOKUP(U922,recipe_ingred_list!$A$2:$B$300,2,0)</f>
        <v>#N/A</v>
      </c>
      <c r="W922" s="81" t="e">
        <f aca="false">"/recipes/"&amp;VLOOKUP(U922,recipe_ingred_list!$A$2:$C$300,3,0)&amp;"/detail/"</f>
        <v>#N/A</v>
      </c>
      <c r="X922" s="81" t="n">
        <f aca="false">J922</f>
        <v>0</v>
      </c>
      <c r="Y922" s="81" t="e">
        <f aca="false">R922</f>
        <v>#N/A</v>
      </c>
      <c r="Z922" s="94" t="e">
        <f aca="false">VLOOKUP(Y922,recipe_ingred_list!$D$2:$E$500,2,0)</f>
        <v>#N/A</v>
      </c>
      <c r="AA922" s="61" t="n">
        <f aca="false">K922</f>
        <v>0</v>
      </c>
      <c r="AB922" s="61" t="n">
        <f aca="false">L922</f>
        <v>0</v>
      </c>
      <c r="AC922" s="61" t="n">
        <f aca="false">VLOOKUP(AB922,recipe_ingred_list!$K$2:$M$7,3,0)</f>
        <v>2</v>
      </c>
      <c r="AD922" s="61" t="n">
        <f aca="false">M922</f>
        <v>0</v>
      </c>
      <c r="AE922" s="61" t="n">
        <f aca="false">N922</f>
        <v>0</v>
      </c>
      <c r="AF922" s="61" t="n">
        <f aca="false">VLOOKUP(AE922,recipe_ingred_list!$K$16:$M$25,3,0)</f>
        <v>1</v>
      </c>
      <c r="AG922" s="61" t="n">
        <f aca="false">O922</f>
        <v>0</v>
      </c>
      <c r="AH922" s="61" t="n">
        <f aca="false">P922</f>
        <v>0</v>
      </c>
      <c r="AI922" s="61" t="n">
        <f aca="false">VLOOKUP(AH922,recipe_ingred_list!$K$29:$M$34,3,0)</f>
        <v>3</v>
      </c>
      <c r="AJ922" s="61" t="str">
        <f aca="false">IF(Q922="","",Q922)</f>
        <v/>
      </c>
      <c r="AK922" s="61" t="n">
        <f aca="false">AK921+1</f>
        <v>922</v>
      </c>
      <c r="AL922" s="61" t="e">
        <f aca="false">Y922</f>
        <v>#N/A</v>
      </c>
      <c r="AM922" s="81" t="e">
        <f aca="false">"a = Client().post('"&amp;W922&amp;"', {'recipe' : '"&amp;V922&amp;"', 'ingredient' : '"&amp;Z922&amp;"', 'name' : '"&amp;X922&amp;"', 'mass_unit' : '"&amp;AC922&amp;"', 'mass_quantity' : '"&amp;ROUND(AA922,3)&amp;"', 'volume_unit' : '"&amp;AF922&amp;"', 'volume_quantity' : '"&amp;ROUND(AD922,3)&amp;"', 'pieces_unit' : '"&amp;AI922&amp;"', 'pieces_quantity' : '"&amp;ROUND(AG922,3)&amp;"', 'cooking_notes' : '"&amp;AJ922&amp;"'}).status_code; print('%s :: %s :: %s :: %s :: %s' %(a,"&amp;G922&amp;",'"&amp;X922&amp;"','"&amp;Y922&amp;"','"&amp;U922&amp;"'))"</f>
        <v>#N/A</v>
      </c>
    </row>
    <row r="923" customFormat="false" ht="13.8" hidden="false" customHeight="false" outlineLevel="0" collapsed="false">
      <c r="G923" s="80" t="n">
        <v>923</v>
      </c>
      <c r="H923" s="83"/>
      <c r="I923" s="83" t="s">
        <v>241</v>
      </c>
      <c r="J923" s="83" t="s">
        <v>833</v>
      </c>
      <c r="M923" s="61" t="n">
        <v>2.5</v>
      </c>
      <c r="N923" s="61" t="s">
        <v>13</v>
      </c>
      <c r="R923" s="82" t="str">
        <f aca="false">VLOOKUP(J923,ingredient!$N$4:$O$553,2,0)</f>
        <v>lemon</v>
      </c>
      <c r="U923" s="81" t="str">
        <f aca="false">I923</f>
        <v>Lemon Rice</v>
      </c>
      <c r="V923" s="81" t="n">
        <f aca="false">VLOOKUP(U923,recipe_ingred_list!$A$2:$B$300,2,0)</f>
        <v>44</v>
      </c>
      <c r="W923" s="81" t="str">
        <f aca="false">"/recipes/"&amp;VLOOKUP(U923,recipe_ingred_list!$A$2:$C$300,3,0)&amp;"/detail/"</f>
        <v>/recipes/lemon-rice/detail/</v>
      </c>
      <c r="X923" s="81" t="str">
        <f aca="false">J923</f>
        <v>lemon juice</v>
      </c>
      <c r="Y923" s="81" t="str">
        <f aca="false">R923</f>
        <v>lemon</v>
      </c>
      <c r="Z923" s="94" t="n">
        <f aca="false">VLOOKUP(Y923,recipe_ingred_list!$D$2:$E$500,2,0)</f>
        <v>129</v>
      </c>
      <c r="AA923" s="61" t="n">
        <f aca="false">K923</f>
        <v>0</v>
      </c>
      <c r="AB923" s="61" t="n">
        <f aca="false">L923</f>
        <v>0</v>
      </c>
      <c r="AC923" s="61" t="n">
        <f aca="false">VLOOKUP(AB923,recipe_ingred_list!$K$2:$M$7,3,0)</f>
        <v>2</v>
      </c>
      <c r="AD923" s="61" t="n">
        <f aca="false">M923</f>
        <v>2.5</v>
      </c>
      <c r="AE923" s="61" t="str">
        <f aca="false">N923</f>
        <v>ltr</v>
      </c>
      <c r="AF923" s="61" t="n">
        <f aca="false">VLOOKUP(AE923,recipe_ingred_list!$K$16:$M$25,3,0)</f>
        <v>1</v>
      </c>
      <c r="AG923" s="61" t="n">
        <f aca="false">O923</f>
        <v>0</v>
      </c>
      <c r="AH923" s="61" t="n">
        <f aca="false">P923</f>
        <v>0</v>
      </c>
      <c r="AI923" s="61" t="n">
        <f aca="false">VLOOKUP(AH923,recipe_ingred_list!$K$29:$M$34,3,0)</f>
        <v>3</v>
      </c>
      <c r="AJ923" s="61" t="str">
        <f aca="false">IF(Q923="","",Q923)</f>
        <v/>
      </c>
      <c r="AK923" s="61" t="n">
        <f aca="false">AK922+1</f>
        <v>923</v>
      </c>
      <c r="AL923" s="61" t="str">
        <f aca="false">Y923</f>
        <v>lemon</v>
      </c>
      <c r="AM923" s="81" t="str">
        <f aca="false">"a = Client().post('"&amp;W923&amp;"', {'recipe' : '"&amp;V923&amp;"', 'ingredient' : '"&amp;Z923&amp;"', 'name' : '"&amp;X923&amp;"', 'mass_unit' : '"&amp;AC923&amp;"', 'mass_quantity' : '"&amp;ROUND(AA923,3)&amp;"', 'volume_unit' : '"&amp;AF923&amp;"', 'volume_quantity' : '"&amp;ROUND(AD923,3)&amp;"', 'pieces_unit' : '"&amp;AI923&amp;"', 'pieces_quantity' : '"&amp;ROUND(AG923,3)&amp;"', 'cooking_notes' : '"&amp;AJ923&amp;"'}).status_code; print('%s :: %s :: %s :: %s :: %s' %(a,"&amp;G923&amp;",'"&amp;X923&amp;"','"&amp;Y923&amp;"','"&amp;U923&amp;"'))"</f>
        <v>a = Client().post('/recipes/lemon-rice/detail/', {'recipe' : '44', 'ingredient' : '129', 'name' : 'lemon juice', 'mass_unit' : '2', 'mass_quantity' : '0', 'volume_unit' : '1', 'volume_quantity' : '2.5', 'pieces_unit' : '3', 'pieces_quantity' : '0', 'cooking_notes' : ''}).status_code; print('%s :: %s :: %s :: %s :: %s' %(a,923,'lemon juice','lemon','Lemon Rice'))</v>
      </c>
    </row>
    <row r="924" customFormat="false" ht="13.8" hidden="false" customHeight="false" outlineLevel="0" collapsed="false">
      <c r="G924" s="80" t="n">
        <v>924</v>
      </c>
      <c r="H924" s="83"/>
      <c r="I924" s="83" t="s">
        <v>241</v>
      </c>
      <c r="J924" s="83" t="s">
        <v>38</v>
      </c>
      <c r="M924" s="61" t="n">
        <v>2</v>
      </c>
      <c r="N924" s="61" t="s">
        <v>13</v>
      </c>
      <c r="R924" s="82" t="str">
        <f aca="false">VLOOKUP(J924,ingredient!$N$4:$O$553,2,0)</f>
        <v>kadi patta</v>
      </c>
      <c r="U924" s="81" t="str">
        <f aca="false">I924</f>
        <v>Lemon Rice</v>
      </c>
      <c r="V924" s="81" t="n">
        <f aca="false">VLOOKUP(U924,recipe_ingred_list!$A$2:$B$300,2,0)</f>
        <v>44</v>
      </c>
      <c r="W924" s="81" t="str">
        <f aca="false">"/recipes/"&amp;VLOOKUP(U924,recipe_ingred_list!$A$2:$C$300,3,0)&amp;"/detail/"</f>
        <v>/recipes/lemon-rice/detail/</v>
      </c>
      <c r="X924" s="81" t="str">
        <f aca="false">J924</f>
        <v>kadi patta</v>
      </c>
      <c r="Y924" s="81" t="str">
        <f aca="false">R924</f>
        <v>kadi patta</v>
      </c>
      <c r="Z924" s="94" t="n">
        <f aca="false">VLOOKUP(Y924,recipe_ingred_list!$D$2:$E$500,2,0)</f>
        <v>105</v>
      </c>
      <c r="AA924" s="61" t="n">
        <f aca="false">K924</f>
        <v>0</v>
      </c>
      <c r="AB924" s="61" t="n">
        <f aca="false">L924</f>
        <v>0</v>
      </c>
      <c r="AC924" s="61" t="n">
        <f aca="false">VLOOKUP(AB924,recipe_ingred_list!$K$2:$M$7,3,0)</f>
        <v>2</v>
      </c>
      <c r="AD924" s="61" t="n">
        <f aca="false">M924</f>
        <v>2</v>
      </c>
      <c r="AE924" s="61" t="str">
        <f aca="false">N924</f>
        <v>ltr</v>
      </c>
      <c r="AF924" s="61" t="n">
        <f aca="false">VLOOKUP(AE924,recipe_ingred_list!$K$16:$M$25,3,0)</f>
        <v>1</v>
      </c>
      <c r="AG924" s="61" t="n">
        <f aca="false">O924</f>
        <v>0</v>
      </c>
      <c r="AH924" s="61" t="n">
        <f aca="false">P924</f>
        <v>0</v>
      </c>
      <c r="AI924" s="61" t="n">
        <f aca="false">VLOOKUP(AH924,recipe_ingred_list!$K$29:$M$34,3,0)</f>
        <v>3</v>
      </c>
      <c r="AJ924" s="61" t="str">
        <f aca="false">IF(Q924="","",Q924)</f>
        <v/>
      </c>
      <c r="AK924" s="61" t="n">
        <f aca="false">AK923+1</f>
        <v>924</v>
      </c>
      <c r="AL924" s="61" t="str">
        <f aca="false">Y924</f>
        <v>kadi patta</v>
      </c>
      <c r="AM924" s="81" t="str">
        <f aca="false">"a = Client().post('"&amp;W924&amp;"', {'recipe' : '"&amp;V924&amp;"', 'ingredient' : '"&amp;Z924&amp;"', 'name' : '"&amp;X924&amp;"', 'mass_unit' : '"&amp;AC924&amp;"', 'mass_quantity' : '"&amp;ROUND(AA924,3)&amp;"', 'volume_unit' : '"&amp;AF924&amp;"', 'volume_quantity' : '"&amp;ROUND(AD924,3)&amp;"', 'pieces_unit' : '"&amp;AI924&amp;"', 'pieces_quantity' : '"&amp;ROUND(AG924,3)&amp;"', 'cooking_notes' : '"&amp;AJ924&amp;"'}).status_code; print('%s :: %s :: %s :: %s :: %s' %(a,"&amp;G924&amp;",'"&amp;X924&amp;"','"&amp;Y924&amp;"','"&amp;U924&amp;"'))"</f>
        <v>a = Client().post('/recipes/lemon-rice/detail/', {'recipe' : '44', 'ingredient' : '105', 'name' : 'kadi patta', 'mass_unit' : '2', 'mass_quantity' : '0', 'volume_unit' : '1', 'volume_quantity' : '2', 'pieces_unit' : '3', 'pieces_quantity' : '0', 'cooking_notes' : ''}).status_code; print('%s :: %s :: %s :: %s :: %s' %(a,924,'kadi patta','kadi patta','Lemon Rice'))</v>
      </c>
    </row>
    <row r="925" customFormat="false" ht="13.8" hidden="false" customHeight="false" outlineLevel="0" collapsed="false">
      <c r="G925" s="80" t="n">
        <v>925</v>
      </c>
      <c r="H925" s="83"/>
      <c r="I925" s="83" t="s">
        <v>241</v>
      </c>
      <c r="J925" s="83" t="s">
        <v>309</v>
      </c>
      <c r="M925" s="61" t="n">
        <v>5</v>
      </c>
      <c r="N925" s="61" t="s">
        <v>13</v>
      </c>
      <c r="R925" s="82" t="str">
        <f aca="false">VLOOKUP(J925,ingredient!$N$4:$O$553,2,0)</f>
        <v>dhaniya patta</v>
      </c>
      <c r="U925" s="81" t="str">
        <f aca="false">I925</f>
        <v>Lemon Rice</v>
      </c>
      <c r="V925" s="81" t="n">
        <f aca="false">VLOOKUP(U925,recipe_ingred_list!$A$2:$B$300,2,0)</f>
        <v>44</v>
      </c>
      <c r="W925" s="81" t="str">
        <f aca="false">"/recipes/"&amp;VLOOKUP(U925,recipe_ingred_list!$A$2:$C$300,3,0)&amp;"/detail/"</f>
        <v>/recipes/lemon-rice/detail/</v>
      </c>
      <c r="X925" s="81" t="str">
        <f aca="false">J925</f>
        <v>dhaniya patta</v>
      </c>
      <c r="Y925" s="81" t="str">
        <f aca="false">R925</f>
        <v>dhaniya patta</v>
      </c>
      <c r="Z925" s="94" t="n">
        <f aca="false">VLOOKUP(Y925,recipe_ingred_list!$D$2:$E$500,2,0)</f>
        <v>66</v>
      </c>
      <c r="AA925" s="61" t="n">
        <f aca="false">K925</f>
        <v>0</v>
      </c>
      <c r="AB925" s="61" t="n">
        <f aca="false">L925</f>
        <v>0</v>
      </c>
      <c r="AC925" s="61" t="n">
        <f aca="false">VLOOKUP(AB925,recipe_ingred_list!$K$2:$M$7,3,0)</f>
        <v>2</v>
      </c>
      <c r="AD925" s="61" t="n">
        <f aca="false">M925</f>
        <v>5</v>
      </c>
      <c r="AE925" s="61" t="str">
        <f aca="false">N925</f>
        <v>ltr</v>
      </c>
      <c r="AF925" s="61" t="n">
        <f aca="false">VLOOKUP(AE925,recipe_ingred_list!$K$16:$M$25,3,0)</f>
        <v>1</v>
      </c>
      <c r="AG925" s="61" t="n">
        <f aca="false">O925</f>
        <v>0</v>
      </c>
      <c r="AH925" s="61" t="n">
        <f aca="false">P925</f>
        <v>0</v>
      </c>
      <c r="AI925" s="61" t="n">
        <f aca="false">VLOOKUP(AH925,recipe_ingred_list!$K$29:$M$34,3,0)</f>
        <v>3</v>
      </c>
      <c r="AJ925" s="61" t="str">
        <f aca="false">IF(Q925="","",Q925)</f>
        <v/>
      </c>
      <c r="AK925" s="61" t="n">
        <f aca="false">AK924+1</f>
        <v>925</v>
      </c>
      <c r="AL925" s="61" t="str">
        <f aca="false">Y925</f>
        <v>dhaniya patta</v>
      </c>
      <c r="AM925" s="81" t="str">
        <f aca="false">"a = Client().post('"&amp;W925&amp;"', {'recipe' : '"&amp;V925&amp;"', 'ingredient' : '"&amp;Z925&amp;"', 'name' : '"&amp;X925&amp;"', 'mass_unit' : '"&amp;AC925&amp;"', 'mass_quantity' : '"&amp;ROUND(AA925,3)&amp;"', 'volume_unit' : '"&amp;AF925&amp;"', 'volume_quantity' : '"&amp;ROUND(AD925,3)&amp;"', 'pieces_unit' : '"&amp;AI925&amp;"', 'pieces_quantity' : '"&amp;ROUND(AG925,3)&amp;"', 'cooking_notes' : '"&amp;AJ925&amp;"'}).status_code; print('%s :: %s :: %s :: %s :: %s' %(a,"&amp;G925&amp;",'"&amp;X925&amp;"','"&amp;Y925&amp;"','"&amp;U925&amp;"'))"</f>
        <v>a = Client().post('/recipes/lemon-rice/detail/', {'recipe' : '44', 'ingredient' : '66', 'name' : 'dhaniya patta', 'mass_unit' : '2', 'mass_quantity' : '0', 'volume_unit' : '1', 'volume_quantity' : '5', 'pieces_unit' : '3', 'pieces_quantity' : '0', 'cooking_notes' : ''}).status_code; print('%s :: %s :: %s :: %s :: %s' %(a,925,'dhaniya patta','dhaniya patta','Lemon Rice'))</v>
      </c>
    </row>
    <row r="926" customFormat="false" ht="13.8" hidden="false" customHeight="false" outlineLevel="0" collapsed="false">
      <c r="G926" s="80" t="n">
        <v>926</v>
      </c>
      <c r="H926" s="83"/>
      <c r="I926" s="83" t="s">
        <v>241</v>
      </c>
      <c r="J926" s="83" t="s">
        <v>851</v>
      </c>
      <c r="M926" s="61" t="n">
        <v>4</v>
      </c>
      <c r="N926" s="61" t="s">
        <v>13</v>
      </c>
      <c r="R926" s="82" t="str">
        <f aca="false">VLOOKUP(J926,ingredient!$N$4:$O$553,2,0)</f>
        <v>hari mirchi</v>
      </c>
      <c r="U926" s="81" t="str">
        <f aca="false">I926</f>
        <v>Lemon Rice</v>
      </c>
      <c r="V926" s="81" t="n">
        <f aca="false">VLOOKUP(U926,recipe_ingred_list!$A$2:$B$300,2,0)</f>
        <v>44</v>
      </c>
      <c r="W926" s="81" t="str">
        <f aca="false">"/recipes/"&amp;VLOOKUP(U926,recipe_ingred_list!$A$2:$C$300,3,0)&amp;"/detail/"</f>
        <v>/recipes/lemon-rice/detail/</v>
      </c>
      <c r="X926" s="81" t="str">
        <f aca="false">J926</f>
        <v>green chily(long cut)</v>
      </c>
      <c r="Y926" s="81" t="str">
        <f aca="false">R926</f>
        <v>hari mirchi</v>
      </c>
      <c r="Z926" s="94" t="n">
        <f aca="false">VLOOKUP(Y926,recipe_ingred_list!$D$2:$E$500,2,0)</f>
        <v>93</v>
      </c>
      <c r="AA926" s="61" t="n">
        <f aca="false">K926</f>
        <v>0</v>
      </c>
      <c r="AB926" s="61" t="n">
        <f aca="false">L926</f>
        <v>0</v>
      </c>
      <c r="AC926" s="61" t="n">
        <f aca="false">VLOOKUP(AB926,recipe_ingred_list!$K$2:$M$7,3,0)</f>
        <v>2</v>
      </c>
      <c r="AD926" s="61" t="n">
        <f aca="false">M926</f>
        <v>4</v>
      </c>
      <c r="AE926" s="61" t="str">
        <f aca="false">N926</f>
        <v>ltr</v>
      </c>
      <c r="AF926" s="61" t="n">
        <f aca="false">VLOOKUP(AE926,recipe_ingred_list!$K$16:$M$25,3,0)</f>
        <v>1</v>
      </c>
      <c r="AG926" s="61" t="n">
        <f aca="false">O926</f>
        <v>0</v>
      </c>
      <c r="AH926" s="61" t="n">
        <f aca="false">P926</f>
        <v>0</v>
      </c>
      <c r="AI926" s="61" t="n">
        <f aca="false">VLOOKUP(AH926,recipe_ingred_list!$K$29:$M$34,3,0)</f>
        <v>3</v>
      </c>
      <c r="AJ926" s="61" t="str">
        <f aca="false">IF(Q926="","",Q926)</f>
        <v/>
      </c>
      <c r="AK926" s="61" t="n">
        <f aca="false">AK925+1</f>
        <v>926</v>
      </c>
      <c r="AL926" s="61" t="str">
        <f aca="false">Y926</f>
        <v>hari mirchi</v>
      </c>
      <c r="AM926" s="81" t="str">
        <f aca="false">"a = Client().post('"&amp;W926&amp;"', {'recipe' : '"&amp;V926&amp;"', 'ingredient' : '"&amp;Z926&amp;"', 'name' : '"&amp;X926&amp;"', 'mass_unit' : '"&amp;AC926&amp;"', 'mass_quantity' : '"&amp;ROUND(AA926,3)&amp;"', 'volume_unit' : '"&amp;AF926&amp;"', 'volume_quantity' : '"&amp;ROUND(AD926,3)&amp;"', 'pieces_unit' : '"&amp;AI926&amp;"', 'pieces_quantity' : '"&amp;ROUND(AG926,3)&amp;"', 'cooking_notes' : '"&amp;AJ926&amp;"'}).status_code; print('%s :: %s :: %s :: %s :: %s' %(a,"&amp;G926&amp;",'"&amp;X926&amp;"','"&amp;Y926&amp;"','"&amp;U926&amp;"'))"</f>
        <v>a = Client().post('/recipes/lemon-rice/detail/', {'recipe' : '44', 'ingredient' : '93', 'name' : 'green chily(long cut)', 'mass_unit' : '2', 'mass_quantity' : '0', 'volume_unit' : '1', 'volume_quantity' : '4', 'pieces_unit' : '3', 'pieces_quantity' : '0', 'cooking_notes' : ''}).status_code; print('%s :: %s :: %s :: %s :: %s' %(a,926,'green chily(long cut)','hari mirchi','Lemon Rice'))</v>
      </c>
    </row>
    <row r="927" customFormat="false" ht="13.8" hidden="false" customHeight="false" outlineLevel="0" collapsed="false">
      <c r="G927" s="80" t="n">
        <v>927</v>
      </c>
      <c r="H927" s="83"/>
      <c r="I927" s="83" t="s">
        <v>241</v>
      </c>
      <c r="J927" s="83" t="s">
        <v>102</v>
      </c>
      <c r="M927" s="61" t="n">
        <v>0.5</v>
      </c>
      <c r="N927" s="61" t="s">
        <v>13</v>
      </c>
      <c r="R927" s="82" t="str">
        <f aca="false">VLOOKUP(J927,ingredient!$N$4:$O$553,2,0)</f>
        <v>adrak</v>
      </c>
      <c r="U927" s="81" t="str">
        <f aca="false">I927</f>
        <v>Lemon Rice</v>
      </c>
      <c r="V927" s="81" t="n">
        <f aca="false">VLOOKUP(U927,recipe_ingred_list!$A$2:$B$300,2,0)</f>
        <v>44</v>
      </c>
      <c r="W927" s="81" t="str">
        <f aca="false">"/recipes/"&amp;VLOOKUP(U927,recipe_ingred_list!$A$2:$C$300,3,0)&amp;"/detail/"</f>
        <v>/recipes/lemon-rice/detail/</v>
      </c>
      <c r="X927" s="81" t="str">
        <f aca="false">J927</f>
        <v>adrak</v>
      </c>
      <c r="Y927" s="81" t="str">
        <f aca="false">R927</f>
        <v>adrak</v>
      </c>
      <c r="Z927" s="94" t="n">
        <f aca="false">VLOOKUP(Y927,recipe_ingred_list!$D$2:$E$500,2,0)</f>
        <v>1</v>
      </c>
      <c r="AA927" s="61" t="n">
        <f aca="false">K927</f>
        <v>0</v>
      </c>
      <c r="AB927" s="61" t="n">
        <f aca="false">L927</f>
        <v>0</v>
      </c>
      <c r="AC927" s="61" t="n">
        <f aca="false">VLOOKUP(AB927,recipe_ingred_list!$K$2:$M$7,3,0)</f>
        <v>2</v>
      </c>
      <c r="AD927" s="61" t="n">
        <f aca="false">M927</f>
        <v>0.5</v>
      </c>
      <c r="AE927" s="61" t="str">
        <f aca="false">N927</f>
        <v>ltr</v>
      </c>
      <c r="AF927" s="61" t="n">
        <f aca="false">VLOOKUP(AE927,recipe_ingred_list!$K$16:$M$25,3,0)</f>
        <v>1</v>
      </c>
      <c r="AG927" s="61" t="n">
        <f aca="false">O927</f>
        <v>0</v>
      </c>
      <c r="AH927" s="61" t="n">
        <f aca="false">P927</f>
        <v>0</v>
      </c>
      <c r="AI927" s="61" t="n">
        <f aca="false">VLOOKUP(AH927,recipe_ingred_list!$K$29:$M$34,3,0)</f>
        <v>3</v>
      </c>
      <c r="AJ927" s="61" t="str">
        <f aca="false">IF(Q927="","",Q927)</f>
        <v/>
      </c>
      <c r="AK927" s="61" t="n">
        <f aca="false">AK926+1</f>
        <v>927</v>
      </c>
      <c r="AL927" s="61" t="str">
        <f aca="false">Y927</f>
        <v>adrak</v>
      </c>
      <c r="AM927" s="81" t="str">
        <f aca="false">"a = Client().post('"&amp;W927&amp;"', {'recipe' : '"&amp;V927&amp;"', 'ingredient' : '"&amp;Z927&amp;"', 'name' : '"&amp;X927&amp;"', 'mass_unit' : '"&amp;AC927&amp;"', 'mass_quantity' : '"&amp;ROUND(AA927,3)&amp;"', 'volume_unit' : '"&amp;AF927&amp;"', 'volume_quantity' : '"&amp;ROUND(AD927,3)&amp;"', 'pieces_unit' : '"&amp;AI927&amp;"', 'pieces_quantity' : '"&amp;ROUND(AG927,3)&amp;"', 'cooking_notes' : '"&amp;AJ927&amp;"'}).status_code; print('%s :: %s :: %s :: %s :: %s' %(a,"&amp;G927&amp;",'"&amp;X927&amp;"','"&amp;Y927&amp;"','"&amp;U927&amp;"'))"</f>
        <v>a = Client().post('/recipes/lemon-rice/detail/', {'recipe' : '44', 'ingredient' : '1', 'name' : 'adrak', 'mass_unit' : '2', 'mass_quantity' : '0', 'volume_unit' : '1', 'volume_quantity' : '0.5', 'pieces_unit' : '3', 'pieces_quantity' : '0', 'cooking_notes' : ''}).status_code; print('%s :: %s :: %s :: %s :: %s' %(a,927,'adrak','adrak','Lemon Rice'))</v>
      </c>
    </row>
    <row r="928" customFormat="false" ht="13.8" hidden="false" customHeight="false" outlineLevel="0" collapsed="false">
      <c r="G928" s="80" t="n">
        <v>928</v>
      </c>
      <c r="H928" s="83"/>
      <c r="I928" s="83" t="s">
        <v>241</v>
      </c>
      <c r="J928" s="83" t="s">
        <v>575</v>
      </c>
      <c r="K928" s="61" t="n">
        <v>25</v>
      </c>
      <c r="L928" s="61" t="s">
        <v>7</v>
      </c>
      <c r="R928" s="82" t="str">
        <f aca="false">VLOOKUP(J928,ingredient!$N$4:$O$553,2,0)</f>
        <v>rice</v>
      </c>
      <c r="U928" s="81" t="str">
        <f aca="false">I928</f>
        <v>Lemon Rice</v>
      </c>
      <c r="V928" s="81" t="n">
        <f aca="false">VLOOKUP(U928,recipe_ingred_list!$A$2:$B$300,2,0)</f>
        <v>44</v>
      </c>
      <c r="W928" s="81" t="str">
        <f aca="false">"/recipes/"&amp;VLOOKUP(U928,recipe_ingred_list!$A$2:$C$300,3,0)&amp;"/detail/"</f>
        <v>/recipes/lemon-rice/detail/</v>
      </c>
      <c r="X928" s="81" t="str">
        <f aca="false">J928</f>
        <v>Rice</v>
      </c>
      <c r="Y928" s="81" t="str">
        <f aca="false">R928</f>
        <v>rice</v>
      </c>
      <c r="Z928" s="94" t="n">
        <f aca="false">VLOOKUP(Y928,recipe_ingred_list!$D$2:$E$500,2,0)</f>
        <v>170</v>
      </c>
      <c r="AA928" s="61" t="n">
        <f aca="false">K928</f>
        <v>25</v>
      </c>
      <c r="AB928" s="61" t="str">
        <f aca="false">L928</f>
        <v>kg</v>
      </c>
      <c r="AC928" s="61" t="n">
        <f aca="false">VLOOKUP(AB928,recipe_ingred_list!$K$2:$M$7,3,0)</f>
        <v>2</v>
      </c>
      <c r="AD928" s="61" t="n">
        <f aca="false">M928</f>
        <v>0</v>
      </c>
      <c r="AE928" s="61" t="n">
        <f aca="false">N928</f>
        <v>0</v>
      </c>
      <c r="AF928" s="61" t="n">
        <f aca="false">VLOOKUP(AE928,recipe_ingred_list!$K$16:$M$25,3,0)</f>
        <v>1</v>
      </c>
      <c r="AG928" s="61" t="n">
        <f aca="false">O928</f>
        <v>0</v>
      </c>
      <c r="AH928" s="61" t="n">
        <f aca="false">P928</f>
        <v>0</v>
      </c>
      <c r="AI928" s="61" t="n">
        <f aca="false">VLOOKUP(AH928,recipe_ingred_list!$K$29:$M$34,3,0)</f>
        <v>3</v>
      </c>
      <c r="AJ928" s="61" t="str">
        <f aca="false">IF(Q928="","",Q928)</f>
        <v/>
      </c>
      <c r="AK928" s="61" t="n">
        <f aca="false">AK927+1</f>
        <v>928</v>
      </c>
      <c r="AL928" s="61" t="str">
        <f aca="false">Y928</f>
        <v>rice</v>
      </c>
      <c r="AM928" s="81" t="str">
        <f aca="false">"a = Client().post('"&amp;W928&amp;"', {'recipe' : '"&amp;V928&amp;"', 'ingredient' : '"&amp;Z928&amp;"', 'name' : '"&amp;X928&amp;"', 'mass_unit' : '"&amp;AC928&amp;"', 'mass_quantity' : '"&amp;ROUND(AA928,3)&amp;"', 'volume_unit' : '"&amp;AF928&amp;"', 'volume_quantity' : '"&amp;ROUND(AD928,3)&amp;"', 'pieces_unit' : '"&amp;AI928&amp;"', 'pieces_quantity' : '"&amp;ROUND(AG928,3)&amp;"', 'cooking_notes' : '"&amp;AJ928&amp;"'}).status_code; print('%s :: %s :: %s :: %s :: %s' %(a,"&amp;G928&amp;",'"&amp;X928&amp;"','"&amp;Y928&amp;"','"&amp;U928&amp;"'))"</f>
        <v>a = Client().post('/recipes/lemon-rice/detail/', {'recipe' : '44', 'ingredient' : '170', 'name' : 'Rice', 'mass_unit' : '2', 'mass_quantity' : '25', 'volume_unit' : '1', 'volume_quantity' : '0', 'pieces_unit' : '3', 'pieces_quantity' : '0', 'cooking_notes' : ''}).status_code; print('%s :: %s :: %s :: %s :: %s' %(a,928,'Rice','rice','Lemon Rice'))</v>
      </c>
    </row>
    <row r="929" customFormat="false" ht="13.8" hidden="false" customHeight="false" outlineLevel="0" collapsed="false">
      <c r="G929" s="80" t="n">
        <v>929</v>
      </c>
      <c r="H929" s="83"/>
      <c r="I929" s="83" t="s">
        <v>241</v>
      </c>
      <c r="J929" s="83" t="s">
        <v>456</v>
      </c>
      <c r="M929" s="61" t="n">
        <v>2</v>
      </c>
      <c r="N929" s="61" t="s">
        <v>20</v>
      </c>
      <c r="R929" s="82" t="str">
        <f aca="false">VLOOKUP(J929,ingredient!$N$4:$O$553,2,0)</f>
        <v>rai</v>
      </c>
      <c r="U929" s="81" t="str">
        <f aca="false">I929</f>
        <v>Lemon Rice</v>
      </c>
      <c r="V929" s="81" t="n">
        <f aca="false">VLOOKUP(U929,recipe_ingred_list!$A$2:$B$300,2,0)</f>
        <v>44</v>
      </c>
      <c r="W929" s="81" t="str">
        <f aca="false">"/recipes/"&amp;VLOOKUP(U929,recipe_ingred_list!$A$2:$C$300,3,0)&amp;"/detail/"</f>
        <v>/recipes/lemon-rice/detail/</v>
      </c>
      <c r="X929" s="81" t="str">
        <f aca="false">J929</f>
        <v>rai</v>
      </c>
      <c r="Y929" s="81" t="str">
        <f aca="false">R929</f>
        <v>rai</v>
      </c>
      <c r="Z929" s="94" t="n">
        <f aca="false">VLOOKUP(Y929,recipe_ingred_list!$D$2:$E$500,2,0)</f>
        <v>164</v>
      </c>
      <c r="AA929" s="61" t="n">
        <f aca="false">K929</f>
        <v>0</v>
      </c>
      <c r="AB929" s="61" t="n">
        <f aca="false">L929</f>
        <v>0</v>
      </c>
      <c r="AC929" s="61" t="n">
        <f aca="false">VLOOKUP(AB929,recipe_ingred_list!$K$2:$M$7,3,0)</f>
        <v>2</v>
      </c>
      <c r="AD929" s="61" t="n">
        <f aca="false">M929</f>
        <v>2</v>
      </c>
      <c r="AE929" s="61" t="str">
        <f aca="false">N929</f>
        <v>cup</v>
      </c>
      <c r="AF929" s="61" t="n">
        <f aca="false">VLOOKUP(AE929,recipe_ingred_list!$K$16:$M$25,3,0)</f>
        <v>5</v>
      </c>
      <c r="AG929" s="61" t="n">
        <f aca="false">O929</f>
        <v>0</v>
      </c>
      <c r="AH929" s="61" t="n">
        <f aca="false">P929</f>
        <v>0</v>
      </c>
      <c r="AI929" s="61" t="n">
        <f aca="false">VLOOKUP(AH929,recipe_ingred_list!$K$29:$M$34,3,0)</f>
        <v>3</v>
      </c>
      <c r="AJ929" s="61" t="str">
        <f aca="false">IF(Q929="","",Q929)</f>
        <v/>
      </c>
      <c r="AK929" s="61" t="n">
        <f aca="false">AK928+1</f>
        <v>929</v>
      </c>
      <c r="AL929" s="61" t="str">
        <f aca="false">Y929</f>
        <v>rai</v>
      </c>
      <c r="AM929" s="81" t="str">
        <f aca="false">"a = Client().post('"&amp;W929&amp;"', {'recipe' : '"&amp;V929&amp;"', 'ingredient' : '"&amp;Z929&amp;"', 'name' : '"&amp;X929&amp;"', 'mass_unit' : '"&amp;AC929&amp;"', 'mass_quantity' : '"&amp;ROUND(AA929,3)&amp;"', 'volume_unit' : '"&amp;AF929&amp;"', 'volume_quantity' : '"&amp;ROUND(AD929,3)&amp;"', 'pieces_unit' : '"&amp;AI929&amp;"', 'pieces_quantity' : '"&amp;ROUND(AG929,3)&amp;"', 'cooking_notes' : '"&amp;AJ929&amp;"'}).status_code; print('%s :: %s :: %s :: %s :: %s' %(a,"&amp;G929&amp;",'"&amp;X929&amp;"','"&amp;Y929&amp;"','"&amp;U929&amp;"'))"</f>
        <v>a = Client().post('/recipes/lemon-rice/detail/', {'recipe' : '44', 'ingredient' : '164', 'name' : 'rai', 'mass_unit' : '2', 'mass_quantity' : '0', 'volume_unit' : '5', 'volume_quantity' : '2', 'pieces_unit' : '3', 'pieces_quantity' : '0', 'cooking_notes' : ''}).status_code; print('%s :: %s :: %s :: %s :: %s' %(a,929,'rai','rai','Lemon Rice'))</v>
      </c>
    </row>
    <row r="930" customFormat="false" ht="13.8" hidden="false" customHeight="false" outlineLevel="0" collapsed="false">
      <c r="G930" s="80" t="n">
        <v>930</v>
      </c>
      <c r="H930" s="83"/>
      <c r="I930" s="83" t="s">
        <v>241</v>
      </c>
      <c r="J930" s="83" t="s">
        <v>489</v>
      </c>
      <c r="M930" s="61" t="n">
        <v>1</v>
      </c>
      <c r="N930" s="61" t="s">
        <v>13</v>
      </c>
      <c r="R930" s="82" t="str">
        <f aca="false">VLOOKUP(J930,ingredient!$N$4:$O$553,2,0)</f>
        <v>urad dal</v>
      </c>
      <c r="U930" s="81" t="str">
        <f aca="false">I930</f>
        <v>Lemon Rice</v>
      </c>
      <c r="V930" s="81" t="n">
        <f aca="false">VLOOKUP(U930,recipe_ingred_list!$A$2:$B$300,2,0)</f>
        <v>44</v>
      </c>
      <c r="W930" s="81" t="str">
        <f aca="false">"/recipes/"&amp;VLOOKUP(U930,recipe_ingred_list!$A$2:$C$300,3,0)&amp;"/detail/"</f>
        <v>/recipes/lemon-rice/detail/</v>
      </c>
      <c r="X930" s="81" t="str">
        <f aca="false">J930</f>
        <v>urad dal</v>
      </c>
      <c r="Y930" s="81" t="str">
        <f aca="false">R930</f>
        <v>urad dal</v>
      </c>
      <c r="Z930" s="94" t="n">
        <f aca="false">VLOOKUP(Y930,recipe_ingred_list!$D$2:$E$500,2,0)</f>
        <v>200</v>
      </c>
      <c r="AA930" s="61" t="n">
        <f aca="false">K930</f>
        <v>0</v>
      </c>
      <c r="AB930" s="61" t="n">
        <f aca="false">L930</f>
        <v>0</v>
      </c>
      <c r="AC930" s="61" t="n">
        <f aca="false">VLOOKUP(AB930,recipe_ingred_list!$K$2:$M$7,3,0)</f>
        <v>2</v>
      </c>
      <c r="AD930" s="61" t="n">
        <f aca="false">M930</f>
        <v>1</v>
      </c>
      <c r="AE930" s="61" t="str">
        <f aca="false">N930</f>
        <v>ltr</v>
      </c>
      <c r="AF930" s="61" t="n">
        <f aca="false">VLOOKUP(AE930,recipe_ingred_list!$K$16:$M$25,3,0)</f>
        <v>1</v>
      </c>
      <c r="AG930" s="61" t="n">
        <f aca="false">O930</f>
        <v>0</v>
      </c>
      <c r="AH930" s="61" t="n">
        <f aca="false">P930</f>
        <v>0</v>
      </c>
      <c r="AI930" s="61" t="n">
        <f aca="false">VLOOKUP(AH930,recipe_ingred_list!$K$29:$M$34,3,0)</f>
        <v>3</v>
      </c>
      <c r="AJ930" s="61" t="str">
        <f aca="false">IF(Q930="","",Q930)</f>
        <v/>
      </c>
      <c r="AK930" s="61" t="n">
        <f aca="false">AK929+1</f>
        <v>930</v>
      </c>
      <c r="AL930" s="61" t="str">
        <f aca="false">Y930</f>
        <v>urad dal</v>
      </c>
      <c r="AM930" s="81" t="str">
        <f aca="false">"a = Client().post('"&amp;W930&amp;"', {'recipe' : '"&amp;V930&amp;"', 'ingredient' : '"&amp;Z930&amp;"', 'name' : '"&amp;X930&amp;"', 'mass_unit' : '"&amp;AC930&amp;"', 'mass_quantity' : '"&amp;ROUND(AA930,3)&amp;"', 'volume_unit' : '"&amp;AF930&amp;"', 'volume_quantity' : '"&amp;ROUND(AD930,3)&amp;"', 'pieces_unit' : '"&amp;AI930&amp;"', 'pieces_quantity' : '"&amp;ROUND(AG930,3)&amp;"', 'cooking_notes' : '"&amp;AJ930&amp;"'}).status_code; print('%s :: %s :: %s :: %s :: %s' %(a,"&amp;G930&amp;",'"&amp;X930&amp;"','"&amp;Y930&amp;"','"&amp;U930&amp;"'))"</f>
        <v>a = Client().post('/recipes/lemon-rice/detail/', {'recipe' : '44', 'ingredient' : '200', 'name' : 'urad dal', 'mass_unit' : '2', 'mass_quantity' : '0', 'volume_unit' : '1', 'volume_quantity' : '1', 'pieces_unit' : '3', 'pieces_quantity' : '0', 'cooking_notes' : ''}).status_code; print('%s :: %s :: %s :: %s :: %s' %(a,930,'urad dal','urad dal','Lemon Rice'))</v>
      </c>
    </row>
    <row r="931" customFormat="false" ht="13.8" hidden="false" customHeight="false" outlineLevel="0" collapsed="false">
      <c r="G931" s="80" t="n">
        <v>931</v>
      </c>
      <c r="H931" s="83"/>
      <c r="I931" s="83" t="s">
        <v>241</v>
      </c>
      <c r="J931" s="83" t="s">
        <v>249</v>
      </c>
      <c r="M931" s="61" t="n">
        <v>1</v>
      </c>
      <c r="N931" s="61" t="s">
        <v>13</v>
      </c>
      <c r="R931" s="82" t="str">
        <f aca="false">VLOOKUP(J931,ingredient!$N$4:$O$553,2,0)</f>
        <v>chana dal</v>
      </c>
      <c r="U931" s="81" t="str">
        <f aca="false">I931</f>
        <v>Lemon Rice</v>
      </c>
      <c r="V931" s="81" t="n">
        <f aca="false">VLOOKUP(U931,recipe_ingred_list!$A$2:$B$300,2,0)</f>
        <v>44</v>
      </c>
      <c r="W931" s="81" t="str">
        <f aca="false">"/recipes/"&amp;VLOOKUP(U931,recipe_ingred_list!$A$2:$C$300,3,0)&amp;"/detail/"</f>
        <v>/recipes/lemon-rice/detail/</v>
      </c>
      <c r="X931" s="81" t="str">
        <f aca="false">J931</f>
        <v>chana dal</v>
      </c>
      <c r="Y931" s="81" t="str">
        <f aca="false">R931</f>
        <v>chana dal</v>
      </c>
      <c r="Z931" s="94" t="n">
        <f aca="false">VLOOKUP(Y931,recipe_ingred_list!$D$2:$E$500,2,0)</f>
        <v>46</v>
      </c>
      <c r="AA931" s="61" t="n">
        <f aca="false">K931</f>
        <v>0</v>
      </c>
      <c r="AB931" s="61" t="n">
        <f aca="false">L931</f>
        <v>0</v>
      </c>
      <c r="AC931" s="61" t="n">
        <f aca="false">VLOOKUP(AB931,recipe_ingred_list!$K$2:$M$7,3,0)</f>
        <v>2</v>
      </c>
      <c r="AD931" s="61" t="n">
        <f aca="false">M931</f>
        <v>1</v>
      </c>
      <c r="AE931" s="61" t="str">
        <f aca="false">N931</f>
        <v>ltr</v>
      </c>
      <c r="AF931" s="61" t="n">
        <f aca="false">VLOOKUP(AE931,recipe_ingred_list!$K$16:$M$25,3,0)</f>
        <v>1</v>
      </c>
      <c r="AG931" s="61" t="n">
        <f aca="false">O931</f>
        <v>0</v>
      </c>
      <c r="AH931" s="61" t="n">
        <f aca="false">P931</f>
        <v>0</v>
      </c>
      <c r="AI931" s="61" t="n">
        <f aca="false">VLOOKUP(AH931,recipe_ingred_list!$K$29:$M$34,3,0)</f>
        <v>3</v>
      </c>
      <c r="AJ931" s="61" t="str">
        <f aca="false">IF(Q931="","",Q931)</f>
        <v/>
      </c>
      <c r="AK931" s="61" t="n">
        <f aca="false">AK930+1</f>
        <v>931</v>
      </c>
      <c r="AL931" s="61" t="str">
        <f aca="false">Y931</f>
        <v>chana dal</v>
      </c>
      <c r="AM931" s="81" t="str">
        <f aca="false">"a = Client().post('"&amp;W931&amp;"', {'recipe' : '"&amp;V931&amp;"', 'ingredient' : '"&amp;Z931&amp;"', 'name' : '"&amp;X931&amp;"', 'mass_unit' : '"&amp;AC931&amp;"', 'mass_quantity' : '"&amp;ROUND(AA931,3)&amp;"', 'volume_unit' : '"&amp;AF931&amp;"', 'volume_quantity' : '"&amp;ROUND(AD931,3)&amp;"', 'pieces_unit' : '"&amp;AI931&amp;"', 'pieces_quantity' : '"&amp;ROUND(AG931,3)&amp;"', 'cooking_notes' : '"&amp;AJ931&amp;"'}).status_code; print('%s :: %s :: %s :: %s :: %s' %(a,"&amp;G931&amp;",'"&amp;X931&amp;"','"&amp;Y931&amp;"','"&amp;U931&amp;"'))"</f>
        <v>a = Client().post('/recipes/lemon-rice/detail/', {'recipe' : '44', 'ingredient' : '46', 'name' : 'chana dal', 'mass_unit' : '2', 'mass_quantity' : '0', 'volume_unit' : '1', 'volume_quantity' : '1', 'pieces_unit' : '3', 'pieces_quantity' : '0', 'cooking_notes' : ''}).status_code; print('%s :: %s :: %s :: %s :: %s' %(a,931,'chana dal','chana dal','Lemon Rice'))</v>
      </c>
    </row>
    <row r="932" customFormat="false" ht="13.8" hidden="false" customHeight="false" outlineLevel="0" collapsed="false">
      <c r="G932" s="80" t="n">
        <v>932</v>
      </c>
      <c r="H932" s="83"/>
      <c r="I932" s="83" t="s">
        <v>241</v>
      </c>
      <c r="J932" s="83" t="s">
        <v>391</v>
      </c>
      <c r="M932" s="61" t="n">
        <v>0.5</v>
      </c>
      <c r="N932" s="61" t="s">
        <v>20</v>
      </c>
      <c r="R932" s="82" t="str">
        <f aca="false">VLOOKUP(J932,ingredient!$N$4:$O$553,2,0)</f>
        <v>hing</v>
      </c>
      <c r="U932" s="81" t="str">
        <f aca="false">I932</f>
        <v>Lemon Rice</v>
      </c>
      <c r="V932" s="81" t="n">
        <f aca="false">VLOOKUP(U932,recipe_ingred_list!$A$2:$B$300,2,0)</f>
        <v>44</v>
      </c>
      <c r="W932" s="81" t="str">
        <f aca="false">"/recipes/"&amp;VLOOKUP(U932,recipe_ingred_list!$A$2:$C$300,3,0)&amp;"/detail/"</f>
        <v>/recipes/lemon-rice/detail/</v>
      </c>
      <c r="X932" s="81" t="str">
        <f aca="false">J932</f>
        <v>hing</v>
      </c>
      <c r="Y932" s="81" t="str">
        <f aca="false">R932</f>
        <v>hing</v>
      </c>
      <c r="Z932" s="94" t="n">
        <f aca="false">VLOOKUP(Y932,recipe_ingred_list!$D$2:$E$500,2,0)</f>
        <v>95</v>
      </c>
      <c r="AA932" s="61" t="n">
        <f aca="false">K932</f>
        <v>0</v>
      </c>
      <c r="AB932" s="61" t="n">
        <f aca="false">L932</f>
        <v>0</v>
      </c>
      <c r="AC932" s="61" t="n">
        <f aca="false">VLOOKUP(AB932,recipe_ingred_list!$K$2:$M$7,3,0)</f>
        <v>2</v>
      </c>
      <c r="AD932" s="61" t="n">
        <f aca="false">M932</f>
        <v>0.5</v>
      </c>
      <c r="AE932" s="61" t="str">
        <f aca="false">N932</f>
        <v>cup</v>
      </c>
      <c r="AF932" s="61" t="n">
        <f aca="false">VLOOKUP(AE932,recipe_ingred_list!$K$16:$M$25,3,0)</f>
        <v>5</v>
      </c>
      <c r="AG932" s="61" t="n">
        <f aca="false">O932</f>
        <v>0</v>
      </c>
      <c r="AH932" s="61" t="n">
        <f aca="false">P932</f>
        <v>0</v>
      </c>
      <c r="AI932" s="61" t="n">
        <f aca="false">VLOOKUP(AH932,recipe_ingred_list!$K$29:$M$34,3,0)</f>
        <v>3</v>
      </c>
      <c r="AJ932" s="61" t="str">
        <f aca="false">IF(Q932="","",Q932)</f>
        <v/>
      </c>
      <c r="AK932" s="61" t="n">
        <f aca="false">AK931+1</f>
        <v>932</v>
      </c>
      <c r="AL932" s="61" t="str">
        <f aca="false">Y932</f>
        <v>hing</v>
      </c>
      <c r="AM932" s="81" t="str">
        <f aca="false">"a = Client().post('"&amp;W932&amp;"', {'recipe' : '"&amp;V932&amp;"', 'ingredient' : '"&amp;Z932&amp;"', 'name' : '"&amp;X932&amp;"', 'mass_unit' : '"&amp;AC932&amp;"', 'mass_quantity' : '"&amp;ROUND(AA932,3)&amp;"', 'volume_unit' : '"&amp;AF932&amp;"', 'volume_quantity' : '"&amp;ROUND(AD932,3)&amp;"', 'pieces_unit' : '"&amp;AI932&amp;"', 'pieces_quantity' : '"&amp;ROUND(AG932,3)&amp;"', 'cooking_notes' : '"&amp;AJ932&amp;"'}).status_code; print('%s :: %s :: %s :: %s :: %s' %(a,"&amp;G932&amp;",'"&amp;X932&amp;"','"&amp;Y932&amp;"','"&amp;U932&amp;"'))"</f>
        <v>a = Client().post('/recipes/lemon-rice/detail/', {'recipe' : '44', 'ingredient' : '95', 'name' : 'hing', 'mass_unit' : '2', 'mass_quantity' : '0', 'volume_unit' : '5', 'volume_quantity' : '0.5', 'pieces_unit' : '3', 'pieces_quantity' : '0', 'cooking_notes' : ''}).status_code; print('%s :: %s :: %s :: %s :: %s' %(a,932,'hing','hing','Lemon Rice'))</v>
      </c>
    </row>
    <row r="933" customFormat="false" ht="13.8" hidden="false" customHeight="false" outlineLevel="0" collapsed="false">
      <c r="G933" s="80" t="n">
        <v>933</v>
      </c>
      <c r="H933" s="83"/>
      <c r="I933" s="83" t="s">
        <v>241</v>
      </c>
      <c r="J933" s="83" t="s">
        <v>382</v>
      </c>
      <c r="M933" s="61" t="n">
        <v>1.5</v>
      </c>
      <c r="N933" s="61" t="s">
        <v>20</v>
      </c>
      <c r="R933" s="82" t="str">
        <f aca="false">VLOOKUP(J933,ingredient!$N$4:$O$553,2,0)</f>
        <v>haldi</v>
      </c>
      <c r="U933" s="81" t="str">
        <f aca="false">I933</f>
        <v>Lemon Rice</v>
      </c>
      <c r="V933" s="81" t="n">
        <f aca="false">VLOOKUP(U933,recipe_ingred_list!$A$2:$B$300,2,0)</f>
        <v>44</v>
      </c>
      <c r="W933" s="81" t="str">
        <f aca="false">"/recipes/"&amp;VLOOKUP(U933,recipe_ingred_list!$A$2:$C$300,3,0)&amp;"/detail/"</f>
        <v>/recipes/lemon-rice/detail/</v>
      </c>
      <c r="X933" s="81" t="str">
        <f aca="false">J933</f>
        <v>haldi</v>
      </c>
      <c r="Y933" s="81" t="str">
        <f aca="false">R933</f>
        <v>haldi</v>
      </c>
      <c r="Z933" s="94" t="n">
        <f aca="false">VLOOKUP(Y933,recipe_ingred_list!$D$2:$E$500,2,0)</f>
        <v>91</v>
      </c>
      <c r="AA933" s="61" t="n">
        <f aca="false">K933</f>
        <v>0</v>
      </c>
      <c r="AB933" s="61" t="n">
        <f aca="false">L933</f>
        <v>0</v>
      </c>
      <c r="AC933" s="61" t="n">
        <f aca="false">VLOOKUP(AB933,recipe_ingred_list!$K$2:$M$7,3,0)</f>
        <v>2</v>
      </c>
      <c r="AD933" s="61" t="n">
        <f aca="false">M933</f>
        <v>1.5</v>
      </c>
      <c r="AE933" s="61" t="str">
        <f aca="false">N933</f>
        <v>cup</v>
      </c>
      <c r="AF933" s="61" t="n">
        <f aca="false">VLOOKUP(AE933,recipe_ingred_list!$K$16:$M$25,3,0)</f>
        <v>5</v>
      </c>
      <c r="AG933" s="61" t="n">
        <f aca="false">O933</f>
        <v>0</v>
      </c>
      <c r="AH933" s="61" t="n">
        <f aca="false">P933</f>
        <v>0</v>
      </c>
      <c r="AI933" s="61" t="n">
        <f aca="false">VLOOKUP(AH933,recipe_ingred_list!$K$29:$M$34,3,0)</f>
        <v>3</v>
      </c>
      <c r="AJ933" s="61" t="str">
        <f aca="false">IF(Q933="","",Q933)</f>
        <v/>
      </c>
      <c r="AK933" s="61" t="n">
        <f aca="false">AK932+1</f>
        <v>933</v>
      </c>
      <c r="AL933" s="61" t="str">
        <f aca="false">Y933</f>
        <v>haldi</v>
      </c>
      <c r="AM933" s="81" t="str">
        <f aca="false">"a = Client().post('"&amp;W933&amp;"', {'recipe' : '"&amp;V933&amp;"', 'ingredient' : '"&amp;Z933&amp;"', 'name' : '"&amp;X933&amp;"', 'mass_unit' : '"&amp;AC933&amp;"', 'mass_quantity' : '"&amp;ROUND(AA933,3)&amp;"', 'volume_unit' : '"&amp;AF933&amp;"', 'volume_quantity' : '"&amp;ROUND(AD933,3)&amp;"', 'pieces_unit' : '"&amp;AI933&amp;"', 'pieces_quantity' : '"&amp;ROUND(AG933,3)&amp;"', 'cooking_notes' : '"&amp;AJ933&amp;"'}).status_code; print('%s :: %s :: %s :: %s :: %s' %(a,"&amp;G933&amp;",'"&amp;X933&amp;"','"&amp;Y933&amp;"','"&amp;U933&amp;"'))"</f>
        <v>a = Client().post('/recipes/lemon-rice/detail/', {'recipe' : '44', 'ingredient' : '91', 'name' : 'haldi', 'mass_unit' : '2', 'mass_quantity' : '0', 'volume_unit' : '5', 'volume_quantity' : '1.5', 'pieces_unit' : '3', 'pieces_quantity' : '0', 'cooking_notes' : ''}).status_code; print('%s :: %s :: %s :: %s :: %s' %(a,933,'haldi','haldi','Lemon Rice'))</v>
      </c>
    </row>
    <row r="934" customFormat="false" ht="13.8" hidden="false" customHeight="false" outlineLevel="0" collapsed="false">
      <c r="G934" s="80" t="n">
        <v>934</v>
      </c>
      <c r="H934" s="83"/>
      <c r="I934" s="83" t="s">
        <v>241</v>
      </c>
      <c r="J934" s="83" t="s">
        <v>852</v>
      </c>
      <c r="M934" s="61" t="n">
        <v>5</v>
      </c>
      <c r="N934" s="61" t="s">
        <v>13</v>
      </c>
      <c r="R934" s="82" t="str">
        <f aca="false">VLOOKUP(J934,ingredient!$N$4:$O$553,2,0)</f>
        <v>gound nut oil</v>
      </c>
      <c r="U934" s="81" t="str">
        <f aca="false">I934</f>
        <v>Lemon Rice</v>
      </c>
      <c r="V934" s="81" t="n">
        <f aca="false">VLOOKUP(U934,recipe_ingred_list!$A$2:$B$300,2,0)</f>
        <v>44</v>
      </c>
      <c r="W934" s="81" t="str">
        <f aca="false">"/recipes/"&amp;VLOOKUP(U934,recipe_ingred_list!$A$2:$C$300,3,0)&amp;"/detail/"</f>
        <v>/recipes/lemon-rice/detail/</v>
      </c>
      <c r="X934" s="81" t="str">
        <f aca="false">J934</f>
        <v>oil(ground nut)</v>
      </c>
      <c r="Y934" s="81" t="str">
        <f aca="false">R934</f>
        <v>gound nut oil</v>
      </c>
      <c r="Z934" s="94" t="n">
        <f aca="false">VLOOKUP(Y934,recipe_ingred_list!$D$2:$E$500,2,0)</f>
        <v>83</v>
      </c>
      <c r="AA934" s="61" t="n">
        <f aca="false">K934</f>
        <v>0</v>
      </c>
      <c r="AB934" s="61" t="n">
        <f aca="false">L934</f>
        <v>0</v>
      </c>
      <c r="AC934" s="61" t="n">
        <f aca="false">VLOOKUP(AB934,recipe_ingred_list!$K$2:$M$7,3,0)</f>
        <v>2</v>
      </c>
      <c r="AD934" s="61" t="n">
        <f aca="false">M934</f>
        <v>5</v>
      </c>
      <c r="AE934" s="61" t="str">
        <f aca="false">N934</f>
        <v>ltr</v>
      </c>
      <c r="AF934" s="61" t="n">
        <f aca="false">VLOOKUP(AE934,recipe_ingred_list!$K$16:$M$25,3,0)</f>
        <v>1</v>
      </c>
      <c r="AG934" s="61" t="n">
        <f aca="false">O934</f>
        <v>0</v>
      </c>
      <c r="AH934" s="61" t="n">
        <f aca="false">P934</f>
        <v>0</v>
      </c>
      <c r="AI934" s="61" t="n">
        <f aca="false">VLOOKUP(AH934,recipe_ingred_list!$K$29:$M$34,3,0)</f>
        <v>3</v>
      </c>
      <c r="AJ934" s="61" t="str">
        <f aca="false">IF(Q934="","",Q934)</f>
        <v/>
      </c>
      <c r="AK934" s="61" t="n">
        <f aca="false">AK933+1</f>
        <v>934</v>
      </c>
      <c r="AL934" s="61" t="str">
        <f aca="false">Y934</f>
        <v>gound nut oil</v>
      </c>
      <c r="AM934" s="81" t="str">
        <f aca="false">"a = Client().post('"&amp;W934&amp;"', {'recipe' : '"&amp;V934&amp;"', 'ingredient' : '"&amp;Z934&amp;"', 'name' : '"&amp;X934&amp;"', 'mass_unit' : '"&amp;AC934&amp;"', 'mass_quantity' : '"&amp;ROUND(AA934,3)&amp;"', 'volume_unit' : '"&amp;AF934&amp;"', 'volume_quantity' : '"&amp;ROUND(AD934,3)&amp;"', 'pieces_unit' : '"&amp;AI934&amp;"', 'pieces_quantity' : '"&amp;ROUND(AG934,3)&amp;"', 'cooking_notes' : '"&amp;AJ934&amp;"'}).status_code; print('%s :: %s :: %s :: %s :: %s' %(a,"&amp;G934&amp;",'"&amp;X934&amp;"','"&amp;Y934&amp;"','"&amp;U934&amp;"'))"</f>
        <v>a = Client().post('/recipes/lemon-rice/detail/', {'recipe' : '44', 'ingredient' : '83', 'name' : 'oil(ground nut)', 'mass_unit' : '2', 'mass_quantity' : '0', 'volume_unit' : '1', 'volume_quantity' : '5', 'pieces_unit' : '3', 'pieces_quantity' : '0', 'cooking_notes' : ''}).status_code; print('%s :: %s :: %s :: %s :: %s' %(a,934,'oil(ground nut)','gound nut oil','Lemon Rice'))</v>
      </c>
    </row>
    <row r="935" customFormat="false" ht="13.8" hidden="false" customHeight="false" outlineLevel="0" collapsed="false">
      <c r="G935" s="80" t="n">
        <v>935</v>
      </c>
      <c r="H935" s="83"/>
      <c r="I935" s="83" t="s">
        <v>241</v>
      </c>
      <c r="J935" s="83" t="s">
        <v>474</v>
      </c>
      <c r="K935" s="61" t="n">
        <v>4</v>
      </c>
      <c r="L935" s="61" t="s">
        <v>7</v>
      </c>
      <c r="R935" s="82" t="str">
        <f aca="false">VLOOKUP(J935,ingredient!$N$4:$O$553,2,0)</f>
        <v>singdana</v>
      </c>
      <c r="U935" s="81" t="str">
        <f aca="false">I935</f>
        <v>Lemon Rice</v>
      </c>
      <c r="V935" s="81" t="n">
        <f aca="false">VLOOKUP(U935,recipe_ingred_list!$A$2:$B$300,2,0)</f>
        <v>44</v>
      </c>
      <c r="W935" s="81" t="str">
        <f aca="false">"/recipes/"&amp;VLOOKUP(U935,recipe_ingred_list!$A$2:$C$300,3,0)&amp;"/detail/"</f>
        <v>/recipes/lemon-rice/detail/</v>
      </c>
      <c r="X935" s="81" t="str">
        <f aca="false">J935</f>
        <v>singdana</v>
      </c>
      <c r="Y935" s="81" t="str">
        <f aca="false">R935</f>
        <v>singdana</v>
      </c>
      <c r="Z935" s="94" t="n">
        <f aca="false">VLOOKUP(Y935,recipe_ingred_list!$D$2:$E$500,2,0)</f>
        <v>183</v>
      </c>
      <c r="AA935" s="61" t="n">
        <f aca="false">K935</f>
        <v>4</v>
      </c>
      <c r="AB935" s="61" t="str">
        <f aca="false">L935</f>
        <v>kg</v>
      </c>
      <c r="AC935" s="61" t="n">
        <f aca="false">VLOOKUP(AB935,recipe_ingred_list!$K$2:$M$7,3,0)</f>
        <v>2</v>
      </c>
      <c r="AD935" s="61" t="n">
        <f aca="false">M935</f>
        <v>0</v>
      </c>
      <c r="AE935" s="61" t="n">
        <f aca="false">N935</f>
        <v>0</v>
      </c>
      <c r="AF935" s="61" t="n">
        <f aca="false">VLOOKUP(AE935,recipe_ingred_list!$K$16:$M$25,3,0)</f>
        <v>1</v>
      </c>
      <c r="AG935" s="61" t="n">
        <f aca="false">O935</f>
        <v>0</v>
      </c>
      <c r="AH935" s="61" t="n">
        <f aca="false">P935</f>
        <v>0</v>
      </c>
      <c r="AI935" s="61" t="n">
        <f aca="false">VLOOKUP(AH935,recipe_ingred_list!$K$29:$M$34,3,0)</f>
        <v>3</v>
      </c>
      <c r="AJ935" s="61" t="str">
        <f aca="false">IF(Q935="","",Q935)</f>
        <v/>
      </c>
      <c r="AK935" s="61" t="n">
        <f aca="false">AK934+1</f>
        <v>935</v>
      </c>
      <c r="AL935" s="61" t="str">
        <f aca="false">Y935</f>
        <v>singdana</v>
      </c>
      <c r="AM935" s="81" t="str">
        <f aca="false">"a = Client().post('"&amp;W935&amp;"', {'recipe' : '"&amp;V935&amp;"', 'ingredient' : '"&amp;Z935&amp;"', 'name' : '"&amp;X935&amp;"', 'mass_unit' : '"&amp;AC935&amp;"', 'mass_quantity' : '"&amp;ROUND(AA935,3)&amp;"', 'volume_unit' : '"&amp;AF935&amp;"', 'volume_quantity' : '"&amp;ROUND(AD935,3)&amp;"', 'pieces_unit' : '"&amp;AI935&amp;"', 'pieces_quantity' : '"&amp;ROUND(AG935,3)&amp;"', 'cooking_notes' : '"&amp;AJ935&amp;"'}).status_code; print('%s :: %s :: %s :: %s :: %s' %(a,"&amp;G935&amp;",'"&amp;X935&amp;"','"&amp;Y935&amp;"','"&amp;U935&amp;"'))"</f>
        <v>a = Client().post('/recipes/lemon-rice/detail/', {'recipe' : '44', 'ingredient' : '183', 'name' : 'singdana', 'mass_unit' : '2', 'mass_quantity' : '4', 'volume_unit' : '1', 'volume_quantity' : '0', 'pieces_unit' : '3', 'pieces_quantity' : '0', 'cooking_notes' : ''}).status_code; print('%s :: %s :: %s :: %s :: %s' %(a,935,'singdana','singdana','Lemon Rice'))</v>
      </c>
    </row>
    <row r="936" customFormat="false" ht="13.8" hidden="false" customHeight="false" outlineLevel="0" collapsed="false">
      <c r="G936" s="80" t="n">
        <v>936</v>
      </c>
      <c r="H936" s="83"/>
      <c r="I936" s="83" t="s">
        <v>241</v>
      </c>
      <c r="J936" s="83" t="s">
        <v>96</v>
      </c>
      <c r="M936" s="61" t="n">
        <v>7.5</v>
      </c>
      <c r="N936" s="61" t="s">
        <v>20</v>
      </c>
      <c r="R936" s="82" t="str">
        <f aca="false">VLOOKUP(J936,ingredient!$N$4:$O$553,2,0)</f>
        <v>salt</v>
      </c>
      <c r="U936" s="81" t="str">
        <f aca="false">I936</f>
        <v>Lemon Rice</v>
      </c>
      <c r="V936" s="81" t="n">
        <f aca="false">VLOOKUP(U936,recipe_ingred_list!$A$2:$B$300,2,0)</f>
        <v>44</v>
      </c>
      <c r="W936" s="81" t="str">
        <f aca="false">"/recipes/"&amp;VLOOKUP(U936,recipe_ingred_list!$A$2:$C$300,3,0)&amp;"/detail/"</f>
        <v>/recipes/lemon-rice/detail/</v>
      </c>
      <c r="X936" s="81" t="str">
        <f aca="false">J936</f>
        <v>salt</v>
      </c>
      <c r="Y936" s="81" t="str">
        <f aca="false">R936</f>
        <v>salt</v>
      </c>
      <c r="Z936" s="94" t="n">
        <f aca="false">VLOOKUP(Y936,recipe_ingred_list!$D$2:$E$500,2,0)</f>
        <v>177</v>
      </c>
      <c r="AA936" s="61" t="n">
        <f aca="false">K936</f>
        <v>0</v>
      </c>
      <c r="AB936" s="61" t="n">
        <f aca="false">L936</f>
        <v>0</v>
      </c>
      <c r="AC936" s="61" t="n">
        <f aca="false">VLOOKUP(AB936,recipe_ingred_list!$K$2:$M$7,3,0)</f>
        <v>2</v>
      </c>
      <c r="AD936" s="61" t="n">
        <f aca="false">M936</f>
        <v>7.5</v>
      </c>
      <c r="AE936" s="61" t="str">
        <f aca="false">N936</f>
        <v>cup</v>
      </c>
      <c r="AF936" s="61" t="n">
        <f aca="false">VLOOKUP(AE936,recipe_ingred_list!$K$16:$M$25,3,0)</f>
        <v>5</v>
      </c>
      <c r="AG936" s="61" t="n">
        <f aca="false">O936</f>
        <v>0</v>
      </c>
      <c r="AH936" s="61" t="n">
        <f aca="false">P936</f>
        <v>0</v>
      </c>
      <c r="AI936" s="61" t="n">
        <f aca="false">VLOOKUP(AH936,recipe_ingred_list!$K$29:$M$34,3,0)</f>
        <v>3</v>
      </c>
      <c r="AJ936" s="61" t="str">
        <f aca="false">IF(Q936="","",Q936)</f>
        <v/>
      </c>
      <c r="AK936" s="61" t="n">
        <f aca="false">AK935+1</f>
        <v>936</v>
      </c>
      <c r="AL936" s="61" t="str">
        <f aca="false">Y936</f>
        <v>salt</v>
      </c>
      <c r="AM936" s="81" t="str">
        <f aca="false">"a = Client().post('"&amp;W936&amp;"', {'recipe' : '"&amp;V936&amp;"', 'ingredient' : '"&amp;Z936&amp;"', 'name' : '"&amp;X936&amp;"', 'mass_unit' : '"&amp;AC936&amp;"', 'mass_quantity' : '"&amp;ROUND(AA936,3)&amp;"', 'volume_unit' : '"&amp;AF936&amp;"', 'volume_quantity' : '"&amp;ROUND(AD936,3)&amp;"', 'pieces_unit' : '"&amp;AI936&amp;"', 'pieces_quantity' : '"&amp;ROUND(AG936,3)&amp;"', 'cooking_notes' : '"&amp;AJ936&amp;"'}).status_code; print('%s :: %s :: %s :: %s :: %s' %(a,"&amp;G936&amp;",'"&amp;X936&amp;"','"&amp;Y936&amp;"','"&amp;U936&amp;"'))"</f>
        <v>a = Client().post('/recipes/lemon-rice/detail/', {'recipe' : '44', 'ingredient' : '177', 'name' : 'salt', 'mass_unit' : '2', 'mass_quantity' : '0', 'volume_unit' : '5', 'volume_quantity' : '7.5', 'pieces_unit' : '3', 'pieces_quantity' : '0', 'cooking_notes' : ''}).status_code; print('%s :: %s :: %s :: %s :: %s' %(a,936,'salt','salt','Lemon Rice'))</v>
      </c>
    </row>
    <row r="937" customFormat="false" ht="13.8" hidden="false" customHeight="false" outlineLevel="0" collapsed="false">
      <c r="G937" s="80" t="n">
        <v>937</v>
      </c>
      <c r="H937" s="79"/>
      <c r="I937" s="79"/>
      <c r="J937" s="79"/>
      <c r="K937" s="100"/>
      <c r="L937" s="100"/>
      <c r="M937" s="100"/>
      <c r="N937" s="100"/>
      <c r="O937" s="100"/>
      <c r="P937" s="100"/>
      <c r="Q937" s="102"/>
      <c r="R937" s="99" t="e">
        <f aca="false">VLOOKUP(J937,ingredient!$N$4:$O$553,2,0)</f>
        <v>#N/A</v>
      </c>
      <c r="S937" s="98"/>
      <c r="T937" s="98"/>
      <c r="U937" s="81" t="n">
        <f aca="false">I937</f>
        <v>0</v>
      </c>
      <c r="V937" s="81" t="e">
        <f aca="false">VLOOKUP(U937,recipe_ingred_list!$A$2:$B$300,2,0)</f>
        <v>#N/A</v>
      </c>
      <c r="W937" s="81" t="e">
        <f aca="false">"/recipes/"&amp;VLOOKUP(U937,recipe_ingred_list!$A$2:$C$300,3,0)&amp;"/detail/"</f>
        <v>#N/A</v>
      </c>
      <c r="X937" s="81" t="n">
        <f aca="false">J937</f>
        <v>0</v>
      </c>
      <c r="Y937" s="81" t="e">
        <f aca="false">R937</f>
        <v>#N/A</v>
      </c>
      <c r="Z937" s="94" t="e">
        <f aca="false">VLOOKUP(Y937,recipe_ingred_list!$D$2:$E$500,2,0)</f>
        <v>#N/A</v>
      </c>
      <c r="AA937" s="61" t="n">
        <f aca="false">K937</f>
        <v>0</v>
      </c>
      <c r="AB937" s="61" t="n">
        <f aca="false">L937</f>
        <v>0</v>
      </c>
      <c r="AC937" s="61" t="n">
        <f aca="false">VLOOKUP(AB937,recipe_ingred_list!$K$2:$M$7,3,0)</f>
        <v>2</v>
      </c>
      <c r="AD937" s="61" t="n">
        <f aca="false">M937</f>
        <v>0</v>
      </c>
      <c r="AE937" s="61" t="n">
        <f aca="false">N937</f>
        <v>0</v>
      </c>
      <c r="AF937" s="61" t="n">
        <f aca="false">VLOOKUP(AE937,recipe_ingred_list!$K$16:$M$25,3,0)</f>
        <v>1</v>
      </c>
      <c r="AG937" s="61" t="n">
        <f aca="false">O937</f>
        <v>0</v>
      </c>
      <c r="AH937" s="61" t="n">
        <f aca="false">P937</f>
        <v>0</v>
      </c>
      <c r="AI937" s="61" t="n">
        <f aca="false">VLOOKUP(AH937,recipe_ingred_list!$K$29:$M$34,3,0)</f>
        <v>3</v>
      </c>
      <c r="AJ937" s="61" t="str">
        <f aca="false">IF(Q937="","",Q937)</f>
        <v/>
      </c>
      <c r="AK937" s="61" t="n">
        <f aca="false">AK936+1</f>
        <v>937</v>
      </c>
      <c r="AL937" s="61" t="e">
        <f aca="false">Y937</f>
        <v>#N/A</v>
      </c>
      <c r="AM937" s="81" t="e">
        <f aca="false">"a = Client().post('"&amp;W937&amp;"', {'recipe' : '"&amp;V937&amp;"', 'ingredient' : '"&amp;Z937&amp;"', 'name' : '"&amp;X937&amp;"', 'mass_unit' : '"&amp;AC937&amp;"', 'mass_quantity' : '"&amp;ROUND(AA937,3)&amp;"', 'volume_unit' : '"&amp;AF937&amp;"', 'volume_quantity' : '"&amp;ROUND(AD937,3)&amp;"', 'pieces_unit' : '"&amp;AI937&amp;"', 'pieces_quantity' : '"&amp;ROUND(AG937,3)&amp;"', 'cooking_notes' : '"&amp;AJ937&amp;"'}).status_code; print('%s :: %s :: %s :: %s :: %s' %(a,"&amp;G937&amp;",'"&amp;X937&amp;"','"&amp;Y937&amp;"','"&amp;U937&amp;"'))"</f>
        <v>#N/A</v>
      </c>
    </row>
    <row r="938" customFormat="false" ht="13.8" hidden="false" customHeight="false" outlineLevel="0" collapsed="false">
      <c r="G938" s="80" t="n">
        <v>938</v>
      </c>
      <c r="H938" s="83"/>
      <c r="I938" s="83" t="s">
        <v>346</v>
      </c>
      <c r="J938" s="83" t="s">
        <v>480</v>
      </c>
      <c r="K938" s="61" t="n">
        <v>2</v>
      </c>
      <c r="L938" s="61" t="s">
        <v>7</v>
      </c>
      <c r="R938" s="82" t="str">
        <f aca="false">VLOOKUP(J938,ingredient!$N$4:$O$553,2,0)</f>
        <v>tamrind</v>
      </c>
      <c r="U938" s="81" t="str">
        <f aca="false">I938</f>
        <v>Tamrind Rice</v>
      </c>
      <c r="V938" s="81" t="n">
        <f aca="false">VLOOKUP(U938,recipe_ingred_list!$A$2:$B$300,2,0)</f>
        <v>79</v>
      </c>
      <c r="W938" s="81" t="str">
        <f aca="false">"/recipes/"&amp;VLOOKUP(U938,recipe_ingred_list!$A$2:$C$300,3,0)&amp;"/detail/"</f>
        <v>/recipes/tamrind-rice/detail/</v>
      </c>
      <c r="X938" s="81" t="str">
        <f aca="false">J938</f>
        <v>tamrind</v>
      </c>
      <c r="Y938" s="81" t="str">
        <f aca="false">R938</f>
        <v>tamrind</v>
      </c>
      <c r="Z938" s="94" t="n">
        <f aca="false">VLOOKUP(Y938,recipe_ingred_list!$D$2:$E$500,2,0)</f>
        <v>190</v>
      </c>
      <c r="AA938" s="61" t="n">
        <f aca="false">K938</f>
        <v>2</v>
      </c>
      <c r="AB938" s="61" t="str">
        <f aca="false">L938</f>
        <v>kg</v>
      </c>
      <c r="AC938" s="61" t="n">
        <f aca="false">VLOOKUP(AB938,recipe_ingred_list!$K$2:$M$7,3,0)</f>
        <v>2</v>
      </c>
      <c r="AD938" s="61" t="n">
        <f aca="false">M938</f>
        <v>0</v>
      </c>
      <c r="AE938" s="61" t="n">
        <f aca="false">N938</f>
        <v>0</v>
      </c>
      <c r="AF938" s="61" t="n">
        <f aca="false">VLOOKUP(AE938,recipe_ingred_list!$K$16:$M$25,3,0)</f>
        <v>1</v>
      </c>
      <c r="AG938" s="61" t="n">
        <f aca="false">O938</f>
        <v>0</v>
      </c>
      <c r="AH938" s="61" t="n">
        <f aca="false">P938</f>
        <v>0</v>
      </c>
      <c r="AI938" s="61" t="n">
        <f aca="false">VLOOKUP(AH938,recipe_ingred_list!$K$29:$M$34,3,0)</f>
        <v>3</v>
      </c>
      <c r="AJ938" s="61" t="str">
        <f aca="false">IF(Q938="","",Q938)</f>
        <v/>
      </c>
      <c r="AK938" s="61" t="n">
        <f aca="false">AK937+1</f>
        <v>938</v>
      </c>
      <c r="AL938" s="61" t="str">
        <f aca="false">Y938</f>
        <v>tamrind</v>
      </c>
      <c r="AM938" s="81" t="str">
        <f aca="false">"a = Client().post('"&amp;W938&amp;"', {'recipe' : '"&amp;V938&amp;"', 'ingredient' : '"&amp;Z938&amp;"', 'name' : '"&amp;X938&amp;"', 'mass_unit' : '"&amp;AC938&amp;"', 'mass_quantity' : '"&amp;ROUND(AA938,3)&amp;"', 'volume_unit' : '"&amp;AF938&amp;"', 'volume_quantity' : '"&amp;ROUND(AD938,3)&amp;"', 'pieces_unit' : '"&amp;AI938&amp;"', 'pieces_quantity' : '"&amp;ROUND(AG938,3)&amp;"', 'cooking_notes' : '"&amp;AJ938&amp;"'}).status_code; print('%s :: %s :: %s :: %s :: %s' %(a,"&amp;G938&amp;",'"&amp;X938&amp;"','"&amp;Y938&amp;"','"&amp;U938&amp;"'))"</f>
        <v>a = Client().post('/recipes/tamrind-rice/detail/', {'recipe' : '79', 'ingredient' : '190', 'name' : 'tamrind', 'mass_unit' : '2', 'mass_quantity' : '2', 'volume_unit' : '1', 'volume_quantity' : '0', 'pieces_unit' : '3', 'pieces_quantity' : '0', 'cooking_notes' : ''}).status_code; print('%s :: %s :: %s :: %s :: %s' %(a,938,'tamrind','tamrind','Tamrind Rice'))</v>
      </c>
    </row>
    <row r="939" customFormat="false" ht="13.8" hidden="false" customHeight="false" outlineLevel="0" collapsed="false">
      <c r="G939" s="80" t="n">
        <v>939</v>
      </c>
      <c r="H939" s="83"/>
      <c r="I939" s="83" t="s">
        <v>346</v>
      </c>
      <c r="J939" s="83" t="s">
        <v>38</v>
      </c>
      <c r="M939" s="61" t="n">
        <v>2</v>
      </c>
      <c r="N939" s="61" t="s">
        <v>13</v>
      </c>
      <c r="R939" s="82" t="str">
        <f aca="false">VLOOKUP(J939,ingredient!$N$4:$O$553,2,0)</f>
        <v>kadi patta</v>
      </c>
      <c r="U939" s="81" t="str">
        <f aca="false">I939</f>
        <v>Tamrind Rice</v>
      </c>
      <c r="V939" s="81" t="n">
        <f aca="false">VLOOKUP(U939,recipe_ingred_list!$A$2:$B$300,2,0)</f>
        <v>79</v>
      </c>
      <c r="W939" s="81" t="str">
        <f aca="false">"/recipes/"&amp;VLOOKUP(U939,recipe_ingred_list!$A$2:$C$300,3,0)&amp;"/detail/"</f>
        <v>/recipes/tamrind-rice/detail/</v>
      </c>
      <c r="X939" s="81" t="str">
        <f aca="false">J939</f>
        <v>kadi patta</v>
      </c>
      <c r="Y939" s="81" t="str">
        <f aca="false">R939</f>
        <v>kadi patta</v>
      </c>
      <c r="Z939" s="94" t="n">
        <f aca="false">VLOOKUP(Y939,recipe_ingred_list!$D$2:$E$500,2,0)</f>
        <v>105</v>
      </c>
      <c r="AA939" s="61" t="n">
        <f aca="false">K939</f>
        <v>0</v>
      </c>
      <c r="AB939" s="61" t="n">
        <f aca="false">L939</f>
        <v>0</v>
      </c>
      <c r="AC939" s="61" t="n">
        <f aca="false">VLOOKUP(AB939,recipe_ingred_list!$K$2:$M$7,3,0)</f>
        <v>2</v>
      </c>
      <c r="AD939" s="61" t="n">
        <f aca="false">M939</f>
        <v>2</v>
      </c>
      <c r="AE939" s="61" t="str">
        <f aca="false">N939</f>
        <v>ltr</v>
      </c>
      <c r="AF939" s="61" t="n">
        <f aca="false">VLOOKUP(AE939,recipe_ingred_list!$K$16:$M$25,3,0)</f>
        <v>1</v>
      </c>
      <c r="AG939" s="61" t="n">
        <f aca="false">O939</f>
        <v>0</v>
      </c>
      <c r="AH939" s="61" t="n">
        <f aca="false">P939</f>
        <v>0</v>
      </c>
      <c r="AI939" s="61" t="n">
        <f aca="false">VLOOKUP(AH939,recipe_ingred_list!$K$29:$M$34,3,0)</f>
        <v>3</v>
      </c>
      <c r="AJ939" s="61" t="str">
        <f aca="false">IF(Q939="","",Q939)</f>
        <v/>
      </c>
      <c r="AK939" s="61" t="n">
        <f aca="false">AK938+1</f>
        <v>939</v>
      </c>
      <c r="AL939" s="61" t="str">
        <f aca="false">Y939</f>
        <v>kadi patta</v>
      </c>
      <c r="AM939" s="81" t="str">
        <f aca="false">"a = Client().post('"&amp;W939&amp;"', {'recipe' : '"&amp;V939&amp;"', 'ingredient' : '"&amp;Z939&amp;"', 'name' : '"&amp;X939&amp;"', 'mass_unit' : '"&amp;AC939&amp;"', 'mass_quantity' : '"&amp;ROUND(AA939,3)&amp;"', 'volume_unit' : '"&amp;AF939&amp;"', 'volume_quantity' : '"&amp;ROUND(AD939,3)&amp;"', 'pieces_unit' : '"&amp;AI939&amp;"', 'pieces_quantity' : '"&amp;ROUND(AG939,3)&amp;"', 'cooking_notes' : '"&amp;AJ939&amp;"'}).status_code; print('%s :: %s :: %s :: %s :: %s' %(a,"&amp;G939&amp;",'"&amp;X939&amp;"','"&amp;Y939&amp;"','"&amp;U939&amp;"'))"</f>
        <v>a = Client().post('/recipes/tamrind-rice/detail/', {'recipe' : '79', 'ingredient' : '105', 'name' : 'kadi patta', 'mass_unit' : '2', 'mass_quantity' : '0', 'volume_unit' : '1', 'volume_quantity' : '2', 'pieces_unit' : '3', 'pieces_quantity' : '0', 'cooking_notes' : ''}).status_code; print('%s :: %s :: %s :: %s :: %s' %(a,939,'kadi patta','kadi patta','Tamrind Rice'))</v>
      </c>
    </row>
    <row r="940" customFormat="false" ht="13.8" hidden="false" customHeight="false" outlineLevel="0" collapsed="false">
      <c r="G940" s="80" t="n">
        <v>940</v>
      </c>
      <c r="H940" s="83"/>
      <c r="I940" s="83" t="s">
        <v>346</v>
      </c>
      <c r="J940" s="83" t="s">
        <v>309</v>
      </c>
      <c r="M940" s="61" t="n">
        <v>5</v>
      </c>
      <c r="N940" s="61" t="s">
        <v>13</v>
      </c>
      <c r="R940" s="82" t="str">
        <f aca="false">VLOOKUP(J940,ingredient!$N$4:$O$553,2,0)</f>
        <v>dhaniya patta</v>
      </c>
      <c r="U940" s="81" t="str">
        <f aca="false">I940</f>
        <v>Tamrind Rice</v>
      </c>
      <c r="V940" s="81" t="n">
        <f aca="false">VLOOKUP(U940,recipe_ingred_list!$A$2:$B$300,2,0)</f>
        <v>79</v>
      </c>
      <c r="W940" s="81" t="str">
        <f aca="false">"/recipes/"&amp;VLOOKUP(U940,recipe_ingred_list!$A$2:$C$300,3,0)&amp;"/detail/"</f>
        <v>/recipes/tamrind-rice/detail/</v>
      </c>
      <c r="X940" s="81" t="str">
        <f aca="false">J940</f>
        <v>dhaniya patta</v>
      </c>
      <c r="Y940" s="81" t="str">
        <f aca="false">R940</f>
        <v>dhaniya patta</v>
      </c>
      <c r="Z940" s="94" t="n">
        <f aca="false">VLOOKUP(Y940,recipe_ingred_list!$D$2:$E$500,2,0)</f>
        <v>66</v>
      </c>
      <c r="AA940" s="61" t="n">
        <f aca="false">K940</f>
        <v>0</v>
      </c>
      <c r="AB940" s="61" t="n">
        <f aca="false">L940</f>
        <v>0</v>
      </c>
      <c r="AC940" s="61" t="n">
        <f aca="false">VLOOKUP(AB940,recipe_ingred_list!$K$2:$M$7,3,0)</f>
        <v>2</v>
      </c>
      <c r="AD940" s="61" t="n">
        <f aca="false">M940</f>
        <v>5</v>
      </c>
      <c r="AE940" s="61" t="str">
        <f aca="false">N940</f>
        <v>ltr</v>
      </c>
      <c r="AF940" s="61" t="n">
        <f aca="false">VLOOKUP(AE940,recipe_ingred_list!$K$16:$M$25,3,0)</f>
        <v>1</v>
      </c>
      <c r="AG940" s="61" t="n">
        <f aca="false">O940</f>
        <v>0</v>
      </c>
      <c r="AH940" s="61" t="n">
        <f aca="false">P940</f>
        <v>0</v>
      </c>
      <c r="AI940" s="61" t="n">
        <f aca="false">VLOOKUP(AH940,recipe_ingred_list!$K$29:$M$34,3,0)</f>
        <v>3</v>
      </c>
      <c r="AJ940" s="61" t="str">
        <f aca="false">IF(Q940="","",Q940)</f>
        <v/>
      </c>
      <c r="AK940" s="61" t="n">
        <f aca="false">AK939+1</f>
        <v>940</v>
      </c>
      <c r="AL940" s="61" t="str">
        <f aca="false">Y940</f>
        <v>dhaniya patta</v>
      </c>
      <c r="AM940" s="81" t="str">
        <f aca="false">"a = Client().post('"&amp;W940&amp;"', {'recipe' : '"&amp;V940&amp;"', 'ingredient' : '"&amp;Z940&amp;"', 'name' : '"&amp;X940&amp;"', 'mass_unit' : '"&amp;AC940&amp;"', 'mass_quantity' : '"&amp;ROUND(AA940,3)&amp;"', 'volume_unit' : '"&amp;AF940&amp;"', 'volume_quantity' : '"&amp;ROUND(AD940,3)&amp;"', 'pieces_unit' : '"&amp;AI940&amp;"', 'pieces_quantity' : '"&amp;ROUND(AG940,3)&amp;"', 'cooking_notes' : '"&amp;AJ940&amp;"'}).status_code; print('%s :: %s :: %s :: %s :: %s' %(a,"&amp;G940&amp;",'"&amp;X940&amp;"','"&amp;Y940&amp;"','"&amp;U940&amp;"'))"</f>
        <v>a = Client().post('/recipes/tamrind-rice/detail/', {'recipe' : '79', 'ingredient' : '66', 'name' : 'dhaniya patta', 'mass_unit' : '2', 'mass_quantity' : '0', 'volume_unit' : '1', 'volume_quantity' : '5', 'pieces_unit' : '3', 'pieces_quantity' : '0', 'cooking_notes' : ''}).status_code; print('%s :: %s :: %s :: %s :: %s' %(a,940,'dhaniya patta','dhaniya patta','Tamrind Rice'))</v>
      </c>
    </row>
    <row r="941" customFormat="false" ht="13.8" hidden="false" customHeight="false" outlineLevel="0" collapsed="false">
      <c r="G941" s="80" t="n">
        <v>941</v>
      </c>
      <c r="H941" s="83"/>
      <c r="I941" s="83" t="s">
        <v>346</v>
      </c>
      <c r="J941" s="83" t="s">
        <v>851</v>
      </c>
      <c r="M941" s="61" t="n">
        <v>1</v>
      </c>
      <c r="N941" s="61" t="s">
        <v>13</v>
      </c>
      <c r="R941" s="82" t="str">
        <f aca="false">VLOOKUP(J941,ingredient!$N$4:$O$553,2,0)</f>
        <v>hari mirchi</v>
      </c>
      <c r="U941" s="81" t="str">
        <f aca="false">I941</f>
        <v>Tamrind Rice</v>
      </c>
      <c r="V941" s="81" t="n">
        <f aca="false">VLOOKUP(U941,recipe_ingred_list!$A$2:$B$300,2,0)</f>
        <v>79</v>
      </c>
      <c r="W941" s="81" t="str">
        <f aca="false">"/recipes/"&amp;VLOOKUP(U941,recipe_ingred_list!$A$2:$C$300,3,0)&amp;"/detail/"</f>
        <v>/recipes/tamrind-rice/detail/</v>
      </c>
      <c r="X941" s="81" t="str">
        <f aca="false">J941</f>
        <v>green chily(long cut)</v>
      </c>
      <c r="Y941" s="81" t="str">
        <f aca="false">R941</f>
        <v>hari mirchi</v>
      </c>
      <c r="Z941" s="94" t="n">
        <f aca="false">VLOOKUP(Y941,recipe_ingred_list!$D$2:$E$500,2,0)</f>
        <v>93</v>
      </c>
      <c r="AA941" s="61" t="n">
        <f aca="false">K941</f>
        <v>0</v>
      </c>
      <c r="AB941" s="61" t="n">
        <f aca="false">L941</f>
        <v>0</v>
      </c>
      <c r="AC941" s="61" t="n">
        <f aca="false">VLOOKUP(AB941,recipe_ingred_list!$K$2:$M$7,3,0)</f>
        <v>2</v>
      </c>
      <c r="AD941" s="61" t="n">
        <f aca="false">M941</f>
        <v>1</v>
      </c>
      <c r="AE941" s="61" t="str">
        <f aca="false">N941</f>
        <v>ltr</v>
      </c>
      <c r="AF941" s="61" t="n">
        <f aca="false">VLOOKUP(AE941,recipe_ingred_list!$K$16:$M$25,3,0)</f>
        <v>1</v>
      </c>
      <c r="AG941" s="61" t="n">
        <f aca="false">O941</f>
        <v>0</v>
      </c>
      <c r="AH941" s="61" t="n">
        <f aca="false">P941</f>
        <v>0</v>
      </c>
      <c r="AI941" s="61" t="n">
        <f aca="false">VLOOKUP(AH941,recipe_ingred_list!$K$29:$M$34,3,0)</f>
        <v>3</v>
      </c>
      <c r="AJ941" s="61" t="str">
        <f aca="false">IF(Q941="","",Q941)</f>
        <v/>
      </c>
      <c r="AK941" s="61" t="n">
        <f aca="false">AK940+1</f>
        <v>941</v>
      </c>
      <c r="AL941" s="61" t="str">
        <f aca="false">Y941</f>
        <v>hari mirchi</v>
      </c>
      <c r="AM941" s="81" t="str">
        <f aca="false">"a = Client().post('"&amp;W941&amp;"', {'recipe' : '"&amp;V941&amp;"', 'ingredient' : '"&amp;Z941&amp;"', 'name' : '"&amp;X941&amp;"', 'mass_unit' : '"&amp;AC941&amp;"', 'mass_quantity' : '"&amp;ROUND(AA941,3)&amp;"', 'volume_unit' : '"&amp;AF941&amp;"', 'volume_quantity' : '"&amp;ROUND(AD941,3)&amp;"', 'pieces_unit' : '"&amp;AI941&amp;"', 'pieces_quantity' : '"&amp;ROUND(AG941,3)&amp;"', 'cooking_notes' : '"&amp;AJ941&amp;"'}).status_code; print('%s :: %s :: %s :: %s :: %s' %(a,"&amp;G941&amp;",'"&amp;X941&amp;"','"&amp;Y941&amp;"','"&amp;U941&amp;"'))"</f>
        <v>a = Client().post('/recipes/tamrind-rice/detail/', {'recipe' : '79', 'ingredient' : '93', 'name' : 'green chily(long cut)', 'mass_unit' : '2', 'mass_quantity' : '0', 'volume_unit' : '1', 'volume_quantity' : '1', 'pieces_unit' : '3', 'pieces_quantity' : '0', 'cooking_notes' : ''}).status_code; print('%s :: %s :: %s :: %s :: %s' %(a,941,'green chily(long cut)','hari mirchi','Tamrind Rice'))</v>
      </c>
    </row>
    <row r="942" customFormat="false" ht="13.8" hidden="false" customHeight="false" outlineLevel="0" collapsed="false">
      <c r="G942" s="80" t="n">
        <v>942</v>
      </c>
      <c r="H942" s="83"/>
      <c r="I942" s="83" t="s">
        <v>346</v>
      </c>
      <c r="J942" s="83" t="s">
        <v>575</v>
      </c>
      <c r="K942" s="61" t="n">
        <v>25</v>
      </c>
      <c r="L942" s="61" t="s">
        <v>7</v>
      </c>
      <c r="R942" s="82" t="str">
        <f aca="false">VLOOKUP(J942,ingredient!$N$4:$O$553,2,0)</f>
        <v>rice</v>
      </c>
      <c r="U942" s="81" t="str">
        <f aca="false">I942</f>
        <v>Tamrind Rice</v>
      </c>
      <c r="V942" s="81" t="n">
        <f aca="false">VLOOKUP(U942,recipe_ingred_list!$A$2:$B$300,2,0)</f>
        <v>79</v>
      </c>
      <c r="W942" s="81" t="str">
        <f aca="false">"/recipes/"&amp;VLOOKUP(U942,recipe_ingred_list!$A$2:$C$300,3,0)&amp;"/detail/"</f>
        <v>/recipes/tamrind-rice/detail/</v>
      </c>
      <c r="X942" s="81" t="str">
        <f aca="false">J942</f>
        <v>Rice</v>
      </c>
      <c r="Y942" s="81" t="str">
        <f aca="false">R942</f>
        <v>rice</v>
      </c>
      <c r="Z942" s="94" t="n">
        <f aca="false">VLOOKUP(Y942,recipe_ingred_list!$D$2:$E$500,2,0)</f>
        <v>170</v>
      </c>
      <c r="AA942" s="61" t="n">
        <f aca="false">K942</f>
        <v>25</v>
      </c>
      <c r="AB942" s="61" t="str">
        <f aca="false">L942</f>
        <v>kg</v>
      </c>
      <c r="AC942" s="61" t="n">
        <f aca="false">VLOOKUP(AB942,recipe_ingred_list!$K$2:$M$7,3,0)</f>
        <v>2</v>
      </c>
      <c r="AD942" s="61" t="n">
        <f aca="false">M942</f>
        <v>0</v>
      </c>
      <c r="AE942" s="61" t="n">
        <f aca="false">N942</f>
        <v>0</v>
      </c>
      <c r="AF942" s="61" t="n">
        <f aca="false">VLOOKUP(AE942,recipe_ingred_list!$K$16:$M$25,3,0)</f>
        <v>1</v>
      </c>
      <c r="AG942" s="61" t="n">
        <f aca="false">O942</f>
        <v>0</v>
      </c>
      <c r="AH942" s="61" t="n">
        <f aca="false">P942</f>
        <v>0</v>
      </c>
      <c r="AI942" s="61" t="n">
        <f aca="false">VLOOKUP(AH942,recipe_ingred_list!$K$29:$M$34,3,0)</f>
        <v>3</v>
      </c>
      <c r="AJ942" s="61" t="str">
        <f aca="false">IF(Q942="","",Q942)</f>
        <v/>
      </c>
      <c r="AK942" s="61" t="n">
        <f aca="false">AK941+1</f>
        <v>942</v>
      </c>
      <c r="AL942" s="61" t="str">
        <f aca="false">Y942</f>
        <v>rice</v>
      </c>
      <c r="AM942" s="81" t="str">
        <f aca="false">"a = Client().post('"&amp;W942&amp;"', {'recipe' : '"&amp;V942&amp;"', 'ingredient' : '"&amp;Z942&amp;"', 'name' : '"&amp;X942&amp;"', 'mass_unit' : '"&amp;AC942&amp;"', 'mass_quantity' : '"&amp;ROUND(AA942,3)&amp;"', 'volume_unit' : '"&amp;AF942&amp;"', 'volume_quantity' : '"&amp;ROUND(AD942,3)&amp;"', 'pieces_unit' : '"&amp;AI942&amp;"', 'pieces_quantity' : '"&amp;ROUND(AG942,3)&amp;"', 'cooking_notes' : '"&amp;AJ942&amp;"'}).status_code; print('%s :: %s :: %s :: %s :: %s' %(a,"&amp;G942&amp;",'"&amp;X942&amp;"','"&amp;Y942&amp;"','"&amp;U942&amp;"'))"</f>
        <v>a = Client().post('/recipes/tamrind-rice/detail/', {'recipe' : '79', 'ingredient' : '170', 'name' : 'Rice', 'mass_unit' : '2', 'mass_quantity' : '25', 'volume_unit' : '1', 'volume_quantity' : '0', 'pieces_unit' : '3', 'pieces_quantity' : '0', 'cooking_notes' : ''}).status_code; print('%s :: %s :: %s :: %s :: %s' %(a,942,'Rice','rice','Tamrind Rice'))</v>
      </c>
    </row>
    <row r="943" customFormat="false" ht="13.8" hidden="false" customHeight="false" outlineLevel="0" collapsed="false">
      <c r="G943" s="80" t="n">
        <v>943</v>
      </c>
      <c r="H943" s="83"/>
      <c r="I943" s="83" t="s">
        <v>346</v>
      </c>
      <c r="J943" s="83" t="s">
        <v>456</v>
      </c>
      <c r="M943" s="61" t="n">
        <v>2</v>
      </c>
      <c r="N943" s="61" t="s">
        <v>20</v>
      </c>
      <c r="R943" s="82" t="str">
        <f aca="false">VLOOKUP(J943,ingredient!$N$4:$O$553,2,0)</f>
        <v>rai</v>
      </c>
      <c r="U943" s="81" t="str">
        <f aca="false">I943</f>
        <v>Tamrind Rice</v>
      </c>
      <c r="V943" s="81" t="n">
        <f aca="false">VLOOKUP(U943,recipe_ingred_list!$A$2:$B$300,2,0)</f>
        <v>79</v>
      </c>
      <c r="W943" s="81" t="str">
        <f aca="false">"/recipes/"&amp;VLOOKUP(U943,recipe_ingred_list!$A$2:$C$300,3,0)&amp;"/detail/"</f>
        <v>/recipes/tamrind-rice/detail/</v>
      </c>
      <c r="X943" s="81" t="str">
        <f aca="false">J943</f>
        <v>rai</v>
      </c>
      <c r="Y943" s="81" t="str">
        <f aca="false">R943</f>
        <v>rai</v>
      </c>
      <c r="Z943" s="94" t="n">
        <f aca="false">VLOOKUP(Y943,recipe_ingred_list!$D$2:$E$500,2,0)</f>
        <v>164</v>
      </c>
      <c r="AA943" s="61" t="n">
        <f aca="false">K943</f>
        <v>0</v>
      </c>
      <c r="AB943" s="61" t="n">
        <f aca="false">L943</f>
        <v>0</v>
      </c>
      <c r="AC943" s="61" t="n">
        <f aca="false">VLOOKUP(AB943,recipe_ingred_list!$K$2:$M$7,3,0)</f>
        <v>2</v>
      </c>
      <c r="AD943" s="61" t="n">
        <f aca="false">M943</f>
        <v>2</v>
      </c>
      <c r="AE943" s="61" t="str">
        <f aca="false">N943</f>
        <v>cup</v>
      </c>
      <c r="AF943" s="61" t="n">
        <f aca="false">VLOOKUP(AE943,recipe_ingred_list!$K$16:$M$25,3,0)</f>
        <v>5</v>
      </c>
      <c r="AG943" s="61" t="n">
        <f aca="false">O943</f>
        <v>0</v>
      </c>
      <c r="AH943" s="61" t="n">
        <f aca="false">P943</f>
        <v>0</v>
      </c>
      <c r="AI943" s="61" t="n">
        <f aca="false">VLOOKUP(AH943,recipe_ingred_list!$K$29:$M$34,3,0)</f>
        <v>3</v>
      </c>
      <c r="AJ943" s="61" t="str">
        <f aca="false">IF(Q943="","",Q943)</f>
        <v/>
      </c>
      <c r="AK943" s="61" t="n">
        <f aca="false">AK942+1</f>
        <v>943</v>
      </c>
      <c r="AL943" s="61" t="str">
        <f aca="false">Y943</f>
        <v>rai</v>
      </c>
      <c r="AM943" s="81" t="str">
        <f aca="false">"a = Client().post('"&amp;W943&amp;"', {'recipe' : '"&amp;V943&amp;"', 'ingredient' : '"&amp;Z943&amp;"', 'name' : '"&amp;X943&amp;"', 'mass_unit' : '"&amp;AC943&amp;"', 'mass_quantity' : '"&amp;ROUND(AA943,3)&amp;"', 'volume_unit' : '"&amp;AF943&amp;"', 'volume_quantity' : '"&amp;ROUND(AD943,3)&amp;"', 'pieces_unit' : '"&amp;AI943&amp;"', 'pieces_quantity' : '"&amp;ROUND(AG943,3)&amp;"', 'cooking_notes' : '"&amp;AJ943&amp;"'}).status_code; print('%s :: %s :: %s :: %s :: %s' %(a,"&amp;G943&amp;",'"&amp;X943&amp;"','"&amp;Y943&amp;"','"&amp;U943&amp;"'))"</f>
        <v>a = Client().post('/recipes/tamrind-rice/detail/', {'recipe' : '79', 'ingredient' : '164', 'name' : 'rai', 'mass_unit' : '2', 'mass_quantity' : '0', 'volume_unit' : '5', 'volume_quantity' : '2', 'pieces_unit' : '3', 'pieces_quantity' : '0', 'cooking_notes' : ''}).status_code; print('%s :: %s :: %s :: %s :: %s' %(a,943,'rai','rai','Tamrind Rice'))</v>
      </c>
    </row>
    <row r="944" customFormat="false" ht="13.8" hidden="false" customHeight="false" outlineLevel="0" collapsed="false">
      <c r="G944" s="80" t="n">
        <v>944</v>
      </c>
      <c r="H944" s="83"/>
      <c r="I944" s="83" t="s">
        <v>346</v>
      </c>
      <c r="J944" s="83" t="s">
        <v>489</v>
      </c>
      <c r="M944" s="61" t="n">
        <v>1</v>
      </c>
      <c r="N944" s="61" t="s">
        <v>13</v>
      </c>
      <c r="R944" s="82" t="str">
        <f aca="false">VLOOKUP(J944,ingredient!$N$4:$O$553,2,0)</f>
        <v>urad dal</v>
      </c>
      <c r="U944" s="81" t="str">
        <f aca="false">I944</f>
        <v>Tamrind Rice</v>
      </c>
      <c r="V944" s="81" t="n">
        <f aca="false">VLOOKUP(U944,recipe_ingred_list!$A$2:$B$300,2,0)</f>
        <v>79</v>
      </c>
      <c r="W944" s="81" t="str">
        <f aca="false">"/recipes/"&amp;VLOOKUP(U944,recipe_ingred_list!$A$2:$C$300,3,0)&amp;"/detail/"</f>
        <v>/recipes/tamrind-rice/detail/</v>
      </c>
      <c r="X944" s="81" t="str">
        <f aca="false">J944</f>
        <v>urad dal</v>
      </c>
      <c r="Y944" s="81" t="str">
        <f aca="false">R944</f>
        <v>urad dal</v>
      </c>
      <c r="Z944" s="94" t="n">
        <f aca="false">VLOOKUP(Y944,recipe_ingred_list!$D$2:$E$500,2,0)</f>
        <v>200</v>
      </c>
      <c r="AA944" s="61" t="n">
        <f aca="false">K944</f>
        <v>0</v>
      </c>
      <c r="AB944" s="61" t="n">
        <f aca="false">L944</f>
        <v>0</v>
      </c>
      <c r="AC944" s="61" t="n">
        <f aca="false">VLOOKUP(AB944,recipe_ingred_list!$K$2:$M$7,3,0)</f>
        <v>2</v>
      </c>
      <c r="AD944" s="61" t="n">
        <f aca="false">M944</f>
        <v>1</v>
      </c>
      <c r="AE944" s="61" t="str">
        <f aca="false">N944</f>
        <v>ltr</v>
      </c>
      <c r="AF944" s="61" t="n">
        <f aca="false">VLOOKUP(AE944,recipe_ingred_list!$K$16:$M$25,3,0)</f>
        <v>1</v>
      </c>
      <c r="AG944" s="61" t="n">
        <f aca="false">O944</f>
        <v>0</v>
      </c>
      <c r="AH944" s="61" t="n">
        <f aca="false">P944</f>
        <v>0</v>
      </c>
      <c r="AI944" s="61" t="n">
        <f aca="false">VLOOKUP(AH944,recipe_ingred_list!$K$29:$M$34,3,0)</f>
        <v>3</v>
      </c>
      <c r="AJ944" s="61" t="str">
        <f aca="false">IF(Q944="","",Q944)</f>
        <v/>
      </c>
      <c r="AK944" s="61" t="n">
        <f aca="false">AK943+1</f>
        <v>944</v>
      </c>
      <c r="AL944" s="61" t="str">
        <f aca="false">Y944</f>
        <v>urad dal</v>
      </c>
      <c r="AM944" s="81" t="str">
        <f aca="false">"a = Client().post('"&amp;W944&amp;"', {'recipe' : '"&amp;V944&amp;"', 'ingredient' : '"&amp;Z944&amp;"', 'name' : '"&amp;X944&amp;"', 'mass_unit' : '"&amp;AC944&amp;"', 'mass_quantity' : '"&amp;ROUND(AA944,3)&amp;"', 'volume_unit' : '"&amp;AF944&amp;"', 'volume_quantity' : '"&amp;ROUND(AD944,3)&amp;"', 'pieces_unit' : '"&amp;AI944&amp;"', 'pieces_quantity' : '"&amp;ROUND(AG944,3)&amp;"', 'cooking_notes' : '"&amp;AJ944&amp;"'}).status_code; print('%s :: %s :: %s :: %s :: %s' %(a,"&amp;G944&amp;",'"&amp;X944&amp;"','"&amp;Y944&amp;"','"&amp;U944&amp;"'))"</f>
        <v>a = Client().post('/recipes/tamrind-rice/detail/', {'recipe' : '79', 'ingredient' : '200', 'name' : 'urad dal', 'mass_unit' : '2', 'mass_quantity' : '0', 'volume_unit' : '1', 'volume_quantity' : '1', 'pieces_unit' : '3', 'pieces_quantity' : '0', 'cooking_notes' : ''}).status_code; print('%s :: %s :: %s :: %s :: %s' %(a,944,'urad dal','urad dal','Tamrind Rice'))</v>
      </c>
    </row>
    <row r="945" customFormat="false" ht="13.8" hidden="false" customHeight="false" outlineLevel="0" collapsed="false">
      <c r="G945" s="80" t="n">
        <v>945</v>
      </c>
      <c r="H945" s="83"/>
      <c r="I945" s="83" t="s">
        <v>346</v>
      </c>
      <c r="J945" s="83" t="s">
        <v>249</v>
      </c>
      <c r="M945" s="61" t="n">
        <v>1</v>
      </c>
      <c r="N945" s="61" t="s">
        <v>13</v>
      </c>
      <c r="R945" s="82" t="str">
        <f aca="false">VLOOKUP(J945,ingredient!$N$4:$O$553,2,0)</f>
        <v>chana dal</v>
      </c>
      <c r="U945" s="81" t="str">
        <f aca="false">I945</f>
        <v>Tamrind Rice</v>
      </c>
      <c r="V945" s="81" t="n">
        <f aca="false">VLOOKUP(U945,recipe_ingred_list!$A$2:$B$300,2,0)</f>
        <v>79</v>
      </c>
      <c r="W945" s="81" t="str">
        <f aca="false">"/recipes/"&amp;VLOOKUP(U945,recipe_ingred_list!$A$2:$C$300,3,0)&amp;"/detail/"</f>
        <v>/recipes/tamrind-rice/detail/</v>
      </c>
      <c r="X945" s="81" t="str">
        <f aca="false">J945</f>
        <v>chana dal</v>
      </c>
      <c r="Y945" s="81" t="str">
        <f aca="false">R945</f>
        <v>chana dal</v>
      </c>
      <c r="Z945" s="94" t="n">
        <f aca="false">VLOOKUP(Y945,recipe_ingred_list!$D$2:$E$500,2,0)</f>
        <v>46</v>
      </c>
      <c r="AA945" s="61" t="n">
        <f aca="false">K945</f>
        <v>0</v>
      </c>
      <c r="AB945" s="61" t="n">
        <f aca="false">L945</f>
        <v>0</v>
      </c>
      <c r="AC945" s="61" t="n">
        <f aca="false">VLOOKUP(AB945,recipe_ingred_list!$K$2:$M$7,3,0)</f>
        <v>2</v>
      </c>
      <c r="AD945" s="61" t="n">
        <f aca="false">M945</f>
        <v>1</v>
      </c>
      <c r="AE945" s="61" t="str">
        <f aca="false">N945</f>
        <v>ltr</v>
      </c>
      <c r="AF945" s="61" t="n">
        <f aca="false">VLOOKUP(AE945,recipe_ingred_list!$K$16:$M$25,3,0)</f>
        <v>1</v>
      </c>
      <c r="AG945" s="61" t="n">
        <f aca="false">O945</f>
        <v>0</v>
      </c>
      <c r="AH945" s="61" t="n">
        <f aca="false">P945</f>
        <v>0</v>
      </c>
      <c r="AI945" s="61" t="n">
        <f aca="false">VLOOKUP(AH945,recipe_ingred_list!$K$29:$M$34,3,0)</f>
        <v>3</v>
      </c>
      <c r="AJ945" s="61" t="str">
        <f aca="false">IF(Q945="","",Q945)</f>
        <v/>
      </c>
      <c r="AK945" s="61" t="n">
        <f aca="false">AK944+1</f>
        <v>945</v>
      </c>
      <c r="AL945" s="61" t="str">
        <f aca="false">Y945</f>
        <v>chana dal</v>
      </c>
      <c r="AM945" s="81" t="str">
        <f aca="false">"a = Client().post('"&amp;W945&amp;"', {'recipe' : '"&amp;V945&amp;"', 'ingredient' : '"&amp;Z945&amp;"', 'name' : '"&amp;X945&amp;"', 'mass_unit' : '"&amp;AC945&amp;"', 'mass_quantity' : '"&amp;ROUND(AA945,3)&amp;"', 'volume_unit' : '"&amp;AF945&amp;"', 'volume_quantity' : '"&amp;ROUND(AD945,3)&amp;"', 'pieces_unit' : '"&amp;AI945&amp;"', 'pieces_quantity' : '"&amp;ROUND(AG945,3)&amp;"', 'cooking_notes' : '"&amp;AJ945&amp;"'}).status_code; print('%s :: %s :: %s :: %s :: %s' %(a,"&amp;G945&amp;",'"&amp;X945&amp;"','"&amp;Y945&amp;"','"&amp;U945&amp;"'))"</f>
        <v>a = Client().post('/recipes/tamrind-rice/detail/', {'recipe' : '79', 'ingredient' : '46', 'name' : 'chana dal', 'mass_unit' : '2', 'mass_quantity' : '0', 'volume_unit' : '1', 'volume_quantity' : '1', 'pieces_unit' : '3', 'pieces_quantity' : '0', 'cooking_notes' : ''}).status_code; print('%s :: %s :: %s :: %s :: %s' %(a,945,'chana dal','chana dal','Tamrind Rice'))</v>
      </c>
    </row>
    <row r="946" customFormat="false" ht="13.8" hidden="false" customHeight="false" outlineLevel="0" collapsed="false">
      <c r="G946" s="80" t="n">
        <v>946</v>
      </c>
      <c r="H946" s="83"/>
      <c r="I946" s="83" t="s">
        <v>346</v>
      </c>
      <c r="J946" s="83" t="s">
        <v>391</v>
      </c>
      <c r="M946" s="61" t="n">
        <v>1</v>
      </c>
      <c r="N946" s="61" t="s">
        <v>20</v>
      </c>
      <c r="R946" s="82" t="str">
        <f aca="false">VLOOKUP(J946,ingredient!$N$4:$O$553,2,0)</f>
        <v>hing</v>
      </c>
      <c r="U946" s="81" t="str">
        <f aca="false">I946</f>
        <v>Tamrind Rice</v>
      </c>
      <c r="V946" s="81" t="n">
        <f aca="false">VLOOKUP(U946,recipe_ingred_list!$A$2:$B$300,2,0)</f>
        <v>79</v>
      </c>
      <c r="W946" s="81" t="str">
        <f aca="false">"/recipes/"&amp;VLOOKUP(U946,recipe_ingred_list!$A$2:$C$300,3,0)&amp;"/detail/"</f>
        <v>/recipes/tamrind-rice/detail/</v>
      </c>
      <c r="X946" s="81" t="str">
        <f aca="false">J946</f>
        <v>hing</v>
      </c>
      <c r="Y946" s="81" t="str">
        <f aca="false">R946</f>
        <v>hing</v>
      </c>
      <c r="Z946" s="94" t="n">
        <f aca="false">VLOOKUP(Y946,recipe_ingred_list!$D$2:$E$500,2,0)</f>
        <v>95</v>
      </c>
      <c r="AA946" s="61" t="n">
        <f aca="false">K946</f>
        <v>0</v>
      </c>
      <c r="AB946" s="61" t="n">
        <f aca="false">L946</f>
        <v>0</v>
      </c>
      <c r="AC946" s="61" t="n">
        <f aca="false">VLOOKUP(AB946,recipe_ingred_list!$K$2:$M$7,3,0)</f>
        <v>2</v>
      </c>
      <c r="AD946" s="61" t="n">
        <f aca="false">M946</f>
        <v>1</v>
      </c>
      <c r="AE946" s="61" t="str">
        <f aca="false">N946</f>
        <v>cup</v>
      </c>
      <c r="AF946" s="61" t="n">
        <f aca="false">VLOOKUP(AE946,recipe_ingred_list!$K$16:$M$25,3,0)</f>
        <v>5</v>
      </c>
      <c r="AG946" s="61" t="n">
        <f aca="false">O946</f>
        <v>0</v>
      </c>
      <c r="AH946" s="61" t="n">
        <f aca="false">P946</f>
        <v>0</v>
      </c>
      <c r="AI946" s="61" t="n">
        <f aca="false">VLOOKUP(AH946,recipe_ingred_list!$K$29:$M$34,3,0)</f>
        <v>3</v>
      </c>
      <c r="AJ946" s="61" t="str">
        <f aca="false">IF(Q946="","",Q946)</f>
        <v/>
      </c>
      <c r="AK946" s="61" t="n">
        <f aca="false">AK945+1</f>
        <v>946</v>
      </c>
      <c r="AL946" s="61" t="str">
        <f aca="false">Y946</f>
        <v>hing</v>
      </c>
      <c r="AM946" s="81" t="str">
        <f aca="false">"a = Client().post('"&amp;W946&amp;"', {'recipe' : '"&amp;V946&amp;"', 'ingredient' : '"&amp;Z946&amp;"', 'name' : '"&amp;X946&amp;"', 'mass_unit' : '"&amp;AC946&amp;"', 'mass_quantity' : '"&amp;ROUND(AA946,3)&amp;"', 'volume_unit' : '"&amp;AF946&amp;"', 'volume_quantity' : '"&amp;ROUND(AD946,3)&amp;"', 'pieces_unit' : '"&amp;AI946&amp;"', 'pieces_quantity' : '"&amp;ROUND(AG946,3)&amp;"', 'cooking_notes' : '"&amp;AJ946&amp;"'}).status_code; print('%s :: %s :: %s :: %s :: %s' %(a,"&amp;G946&amp;",'"&amp;X946&amp;"','"&amp;Y946&amp;"','"&amp;U946&amp;"'))"</f>
        <v>a = Client().post('/recipes/tamrind-rice/detail/', {'recipe' : '79', 'ingredient' : '95', 'name' : 'hing', 'mass_unit' : '2', 'mass_quantity' : '0', 'volume_unit' : '5', 'volume_quantity' : '1', 'pieces_unit' : '3', 'pieces_quantity' : '0', 'cooking_notes' : ''}).status_code; print('%s :: %s :: %s :: %s :: %s' %(a,946,'hing','hing','Tamrind Rice'))</v>
      </c>
    </row>
    <row r="947" customFormat="false" ht="13.8" hidden="false" customHeight="false" outlineLevel="0" collapsed="false">
      <c r="G947" s="80" t="n">
        <v>947</v>
      </c>
      <c r="H947" s="83"/>
      <c r="I947" s="83" t="s">
        <v>346</v>
      </c>
      <c r="J947" s="83" t="s">
        <v>382</v>
      </c>
      <c r="M947" s="61" t="n">
        <v>1.5</v>
      </c>
      <c r="N947" s="61" t="s">
        <v>20</v>
      </c>
      <c r="R947" s="82" t="str">
        <f aca="false">VLOOKUP(J947,ingredient!$N$4:$O$553,2,0)</f>
        <v>haldi</v>
      </c>
      <c r="U947" s="81" t="str">
        <f aca="false">I947</f>
        <v>Tamrind Rice</v>
      </c>
      <c r="V947" s="81" t="n">
        <f aca="false">VLOOKUP(U947,recipe_ingred_list!$A$2:$B$300,2,0)</f>
        <v>79</v>
      </c>
      <c r="W947" s="81" t="str">
        <f aca="false">"/recipes/"&amp;VLOOKUP(U947,recipe_ingred_list!$A$2:$C$300,3,0)&amp;"/detail/"</f>
        <v>/recipes/tamrind-rice/detail/</v>
      </c>
      <c r="X947" s="81" t="str">
        <f aca="false">J947</f>
        <v>haldi</v>
      </c>
      <c r="Y947" s="81" t="str">
        <f aca="false">R947</f>
        <v>haldi</v>
      </c>
      <c r="Z947" s="94" t="n">
        <f aca="false">VLOOKUP(Y947,recipe_ingred_list!$D$2:$E$500,2,0)</f>
        <v>91</v>
      </c>
      <c r="AA947" s="61" t="n">
        <f aca="false">K947</f>
        <v>0</v>
      </c>
      <c r="AB947" s="61" t="n">
        <f aca="false">L947</f>
        <v>0</v>
      </c>
      <c r="AC947" s="61" t="n">
        <f aca="false">VLOOKUP(AB947,recipe_ingred_list!$K$2:$M$7,3,0)</f>
        <v>2</v>
      </c>
      <c r="AD947" s="61" t="n">
        <f aca="false">M947</f>
        <v>1.5</v>
      </c>
      <c r="AE947" s="61" t="str">
        <f aca="false">N947</f>
        <v>cup</v>
      </c>
      <c r="AF947" s="61" t="n">
        <f aca="false">VLOOKUP(AE947,recipe_ingred_list!$K$16:$M$25,3,0)</f>
        <v>5</v>
      </c>
      <c r="AG947" s="61" t="n">
        <f aca="false">O947</f>
        <v>0</v>
      </c>
      <c r="AH947" s="61" t="n">
        <f aca="false">P947</f>
        <v>0</v>
      </c>
      <c r="AI947" s="61" t="n">
        <f aca="false">VLOOKUP(AH947,recipe_ingred_list!$K$29:$M$34,3,0)</f>
        <v>3</v>
      </c>
      <c r="AJ947" s="61" t="str">
        <f aca="false">IF(Q947="","",Q947)</f>
        <v/>
      </c>
      <c r="AK947" s="61" t="n">
        <f aca="false">AK946+1</f>
        <v>947</v>
      </c>
      <c r="AL947" s="61" t="str">
        <f aca="false">Y947</f>
        <v>haldi</v>
      </c>
      <c r="AM947" s="81" t="str">
        <f aca="false">"a = Client().post('"&amp;W947&amp;"', {'recipe' : '"&amp;V947&amp;"', 'ingredient' : '"&amp;Z947&amp;"', 'name' : '"&amp;X947&amp;"', 'mass_unit' : '"&amp;AC947&amp;"', 'mass_quantity' : '"&amp;ROUND(AA947,3)&amp;"', 'volume_unit' : '"&amp;AF947&amp;"', 'volume_quantity' : '"&amp;ROUND(AD947,3)&amp;"', 'pieces_unit' : '"&amp;AI947&amp;"', 'pieces_quantity' : '"&amp;ROUND(AG947,3)&amp;"', 'cooking_notes' : '"&amp;AJ947&amp;"'}).status_code; print('%s :: %s :: %s :: %s :: %s' %(a,"&amp;G947&amp;",'"&amp;X947&amp;"','"&amp;Y947&amp;"','"&amp;U947&amp;"'))"</f>
        <v>a = Client().post('/recipes/tamrind-rice/detail/', {'recipe' : '79', 'ingredient' : '91', 'name' : 'haldi', 'mass_unit' : '2', 'mass_quantity' : '0', 'volume_unit' : '5', 'volume_quantity' : '1.5', 'pieces_unit' : '3', 'pieces_quantity' : '0', 'cooking_notes' : ''}).status_code; print('%s :: %s :: %s :: %s :: %s' %(a,947,'haldi','haldi','Tamrind Rice'))</v>
      </c>
    </row>
    <row r="948" customFormat="false" ht="13.8" hidden="false" customHeight="false" outlineLevel="0" collapsed="false">
      <c r="G948" s="80" t="n">
        <v>948</v>
      </c>
      <c r="H948" s="83"/>
      <c r="I948" s="83" t="s">
        <v>346</v>
      </c>
      <c r="J948" s="83" t="s">
        <v>852</v>
      </c>
      <c r="M948" s="61" t="n">
        <v>5</v>
      </c>
      <c r="N948" s="61" t="s">
        <v>13</v>
      </c>
      <c r="R948" s="82" t="str">
        <f aca="false">VLOOKUP(J948,ingredient!$N$4:$O$553,2,0)</f>
        <v>gound nut oil</v>
      </c>
      <c r="U948" s="81" t="str">
        <f aca="false">I948</f>
        <v>Tamrind Rice</v>
      </c>
      <c r="V948" s="81" t="n">
        <f aca="false">VLOOKUP(U948,recipe_ingred_list!$A$2:$B$300,2,0)</f>
        <v>79</v>
      </c>
      <c r="W948" s="81" t="str">
        <f aca="false">"/recipes/"&amp;VLOOKUP(U948,recipe_ingred_list!$A$2:$C$300,3,0)&amp;"/detail/"</f>
        <v>/recipes/tamrind-rice/detail/</v>
      </c>
      <c r="X948" s="81" t="str">
        <f aca="false">J948</f>
        <v>oil(ground nut)</v>
      </c>
      <c r="Y948" s="81" t="str">
        <f aca="false">R948</f>
        <v>gound nut oil</v>
      </c>
      <c r="Z948" s="94" t="n">
        <f aca="false">VLOOKUP(Y948,recipe_ingred_list!$D$2:$E$500,2,0)</f>
        <v>83</v>
      </c>
      <c r="AA948" s="61" t="n">
        <f aca="false">K948</f>
        <v>0</v>
      </c>
      <c r="AB948" s="61" t="n">
        <f aca="false">L948</f>
        <v>0</v>
      </c>
      <c r="AC948" s="61" t="n">
        <f aca="false">VLOOKUP(AB948,recipe_ingred_list!$K$2:$M$7,3,0)</f>
        <v>2</v>
      </c>
      <c r="AD948" s="61" t="n">
        <f aca="false">M948</f>
        <v>5</v>
      </c>
      <c r="AE948" s="61" t="str">
        <f aca="false">N948</f>
        <v>ltr</v>
      </c>
      <c r="AF948" s="61" t="n">
        <f aca="false">VLOOKUP(AE948,recipe_ingred_list!$K$16:$M$25,3,0)</f>
        <v>1</v>
      </c>
      <c r="AG948" s="61" t="n">
        <f aca="false">O948</f>
        <v>0</v>
      </c>
      <c r="AH948" s="61" t="n">
        <f aca="false">P948</f>
        <v>0</v>
      </c>
      <c r="AI948" s="61" t="n">
        <f aca="false">VLOOKUP(AH948,recipe_ingred_list!$K$29:$M$34,3,0)</f>
        <v>3</v>
      </c>
      <c r="AJ948" s="61" t="str">
        <f aca="false">IF(Q948="","",Q948)</f>
        <v/>
      </c>
      <c r="AK948" s="61" t="n">
        <f aca="false">AK947+1</f>
        <v>948</v>
      </c>
      <c r="AL948" s="61" t="str">
        <f aca="false">Y948</f>
        <v>gound nut oil</v>
      </c>
      <c r="AM948" s="81" t="str">
        <f aca="false">"a = Client().post('"&amp;W948&amp;"', {'recipe' : '"&amp;V948&amp;"', 'ingredient' : '"&amp;Z948&amp;"', 'name' : '"&amp;X948&amp;"', 'mass_unit' : '"&amp;AC948&amp;"', 'mass_quantity' : '"&amp;ROUND(AA948,3)&amp;"', 'volume_unit' : '"&amp;AF948&amp;"', 'volume_quantity' : '"&amp;ROUND(AD948,3)&amp;"', 'pieces_unit' : '"&amp;AI948&amp;"', 'pieces_quantity' : '"&amp;ROUND(AG948,3)&amp;"', 'cooking_notes' : '"&amp;AJ948&amp;"'}).status_code; print('%s :: %s :: %s :: %s :: %s' %(a,"&amp;G948&amp;",'"&amp;X948&amp;"','"&amp;Y948&amp;"','"&amp;U948&amp;"'))"</f>
        <v>a = Client().post('/recipes/tamrind-rice/detail/', {'recipe' : '79', 'ingredient' : '83', 'name' : 'oil(ground nut)', 'mass_unit' : '2', 'mass_quantity' : '0', 'volume_unit' : '1', 'volume_quantity' : '5', 'pieces_unit' : '3', 'pieces_quantity' : '0', 'cooking_notes' : ''}).status_code; print('%s :: %s :: %s :: %s :: %s' %(a,948,'oil(ground nut)','gound nut oil','Tamrind Rice'))</v>
      </c>
    </row>
    <row r="949" customFormat="false" ht="13.8" hidden="false" customHeight="false" outlineLevel="0" collapsed="false">
      <c r="G949" s="80" t="n">
        <v>949</v>
      </c>
      <c r="H949" s="83"/>
      <c r="I949" s="83" t="s">
        <v>346</v>
      </c>
      <c r="J949" s="83" t="s">
        <v>474</v>
      </c>
      <c r="K949" s="61" t="n">
        <v>4</v>
      </c>
      <c r="L949" s="61" t="s">
        <v>7</v>
      </c>
      <c r="R949" s="82" t="str">
        <f aca="false">VLOOKUP(J949,ingredient!$N$4:$O$553,2,0)</f>
        <v>singdana</v>
      </c>
      <c r="U949" s="81" t="str">
        <f aca="false">I949</f>
        <v>Tamrind Rice</v>
      </c>
      <c r="V949" s="81" t="n">
        <f aca="false">VLOOKUP(U949,recipe_ingred_list!$A$2:$B$300,2,0)</f>
        <v>79</v>
      </c>
      <c r="W949" s="81" t="str">
        <f aca="false">"/recipes/"&amp;VLOOKUP(U949,recipe_ingred_list!$A$2:$C$300,3,0)&amp;"/detail/"</f>
        <v>/recipes/tamrind-rice/detail/</v>
      </c>
      <c r="X949" s="81" t="str">
        <f aca="false">J949</f>
        <v>singdana</v>
      </c>
      <c r="Y949" s="81" t="str">
        <f aca="false">R949</f>
        <v>singdana</v>
      </c>
      <c r="Z949" s="94" t="n">
        <f aca="false">VLOOKUP(Y949,recipe_ingred_list!$D$2:$E$500,2,0)</f>
        <v>183</v>
      </c>
      <c r="AA949" s="61" t="n">
        <f aca="false">K949</f>
        <v>4</v>
      </c>
      <c r="AB949" s="61" t="str">
        <f aca="false">L949</f>
        <v>kg</v>
      </c>
      <c r="AC949" s="61" t="n">
        <f aca="false">VLOOKUP(AB949,recipe_ingred_list!$K$2:$M$7,3,0)</f>
        <v>2</v>
      </c>
      <c r="AD949" s="61" t="n">
        <f aca="false">M949</f>
        <v>0</v>
      </c>
      <c r="AE949" s="61" t="n">
        <f aca="false">N949</f>
        <v>0</v>
      </c>
      <c r="AF949" s="61" t="n">
        <f aca="false">VLOOKUP(AE949,recipe_ingred_list!$K$16:$M$25,3,0)</f>
        <v>1</v>
      </c>
      <c r="AG949" s="61" t="n">
        <f aca="false">O949</f>
        <v>0</v>
      </c>
      <c r="AH949" s="61" t="n">
        <f aca="false">P949</f>
        <v>0</v>
      </c>
      <c r="AI949" s="61" t="n">
        <f aca="false">VLOOKUP(AH949,recipe_ingred_list!$K$29:$M$34,3,0)</f>
        <v>3</v>
      </c>
      <c r="AJ949" s="61" t="str">
        <f aca="false">IF(Q949="","",Q949)</f>
        <v/>
      </c>
      <c r="AK949" s="61" t="n">
        <f aca="false">AK948+1</f>
        <v>949</v>
      </c>
      <c r="AL949" s="61" t="str">
        <f aca="false">Y949</f>
        <v>singdana</v>
      </c>
      <c r="AM949" s="81" t="str">
        <f aca="false">"a = Client().post('"&amp;W949&amp;"', {'recipe' : '"&amp;V949&amp;"', 'ingredient' : '"&amp;Z949&amp;"', 'name' : '"&amp;X949&amp;"', 'mass_unit' : '"&amp;AC949&amp;"', 'mass_quantity' : '"&amp;ROUND(AA949,3)&amp;"', 'volume_unit' : '"&amp;AF949&amp;"', 'volume_quantity' : '"&amp;ROUND(AD949,3)&amp;"', 'pieces_unit' : '"&amp;AI949&amp;"', 'pieces_quantity' : '"&amp;ROUND(AG949,3)&amp;"', 'cooking_notes' : '"&amp;AJ949&amp;"'}).status_code; print('%s :: %s :: %s :: %s :: %s' %(a,"&amp;G949&amp;",'"&amp;X949&amp;"','"&amp;Y949&amp;"','"&amp;U949&amp;"'))"</f>
        <v>a = Client().post('/recipes/tamrind-rice/detail/', {'recipe' : '79', 'ingredient' : '183', 'name' : 'singdana', 'mass_unit' : '2', 'mass_quantity' : '4', 'volume_unit' : '1', 'volume_quantity' : '0', 'pieces_unit' : '3', 'pieces_quantity' : '0', 'cooking_notes' : ''}).status_code; print('%s :: %s :: %s :: %s :: %s' %(a,949,'singdana','singdana','Tamrind Rice'))</v>
      </c>
    </row>
    <row r="950" customFormat="false" ht="13.8" hidden="false" customHeight="false" outlineLevel="0" collapsed="false">
      <c r="G950" s="80" t="n">
        <v>950</v>
      </c>
      <c r="H950" s="83"/>
      <c r="I950" s="83" t="s">
        <v>346</v>
      </c>
      <c r="J950" s="83" t="s">
        <v>96</v>
      </c>
      <c r="M950" s="61" t="n">
        <v>6.5</v>
      </c>
      <c r="N950" s="61" t="s">
        <v>20</v>
      </c>
      <c r="R950" s="82" t="str">
        <f aca="false">VLOOKUP(J950,ingredient!$N$4:$O$553,2,0)</f>
        <v>salt</v>
      </c>
      <c r="U950" s="81" t="str">
        <f aca="false">I950</f>
        <v>Tamrind Rice</v>
      </c>
      <c r="V950" s="81" t="n">
        <f aca="false">VLOOKUP(U950,recipe_ingred_list!$A$2:$B$300,2,0)</f>
        <v>79</v>
      </c>
      <c r="W950" s="81" t="str">
        <f aca="false">"/recipes/"&amp;VLOOKUP(U950,recipe_ingred_list!$A$2:$C$300,3,0)&amp;"/detail/"</f>
        <v>/recipes/tamrind-rice/detail/</v>
      </c>
      <c r="X950" s="81" t="str">
        <f aca="false">J950</f>
        <v>salt</v>
      </c>
      <c r="Y950" s="81" t="str">
        <f aca="false">R950</f>
        <v>salt</v>
      </c>
      <c r="Z950" s="94" t="n">
        <f aca="false">VLOOKUP(Y950,recipe_ingred_list!$D$2:$E$500,2,0)</f>
        <v>177</v>
      </c>
      <c r="AA950" s="61" t="n">
        <f aca="false">K950</f>
        <v>0</v>
      </c>
      <c r="AB950" s="61" t="n">
        <f aca="false">L950</f>
        <v>0</v>
      </c>
      <c r="AC950" s="61" t="n">
        <f aca="false">VLOOKUP(AB950,recipe_ingred_list!$K$2:$M$7,3,0)</f>
        <v>2</v>
      </c>
      <c r="AD950" s="61" t="n">
        <f aca="false">M950</f>
        <v>6.5</v>
      </c>
      <c r="AE950" s="61" t="str">
        <f aca="false">N950</f>
        <v>cup</v>
      </c>
      <c r="AF950" s="61" t="n">
        <f aca="false">VLOOKUP(AE950,recipe_ingred_list!$K$16:$M$25,3,0)</f>
        <v>5</v>
      </c>
      <c r="AG950" s="61" t="n">
        <f aca="false">O950</f>
        <v>0</v>
      </c>
      <c r="AH950" s="61" t="n">
        <f aca="false">P950</f>
        <v>0</v>
      </c>
      <c r="AI950" s="61" t="n">
        <f aca="false">VLOOKUP(AH950,recipe_ingred_list!$K$29:$M$34,3,0)</f>
        <v>3</v>
      </c>
      <c r="AJ950" s="61" t="str">
        <f aca="false">IF(Q950="","",Q950)</f>
        <v/>
      </c>
      <c r="AK950" s="61" t="n">
        <f aca="false">AK949+1</f>
        <v>950</v>
      </c>
      <c r="AL950" s="61" t="str">
        <f aca="false">Y950</f>
        <v>salt</v>
      </c>
      <c r="AM950" s="81" t="str">
        <f aca="false">"a = Client().post('"&amp;W950&amp;"', {'recipe' : '"&amp;V950&amp;"', 'ingredient' : '"&amp;Z950&amp;"', 'name' : '"&amp;X950&amp;"', 'mass_unit' : '"&amp;AC950&amp;"', 'mass_quantity' : '"&amp;ROUND(AA950,3)&amp;"', 'volume_unit' : '"&amp;AF950&amp;"', 'volume_quantity' : '"&amp;ROUND(AD950,3)&amp;"', 'pieces_unit' : '"&amp;AI950&amp;"', 'pieces_quantity' : '"&amp;ROUND(AG950,3)&amp;"', 'cooking_notes' : '"&amp;AJ950&amp;"'}).status_code; print('%s :: %s :: %s :: %s :: %s' %(a,"&amp;G950&amp;",'"&amp;X950&amp;"','"&amp;Y950&amp;"','"&amp;U950&amp;"'))"</f>
        <v>a = Client().post('/recipes/tamrind-rice/detail/', {'recipe' : '79', 'ingredient' : '177', 'name' : 'salt', 'mass_unit' : '2', 'mass_quantity' : '0', 'volume_unit' : '5', 'volume_quantity' : '6.5', 'pieces_unit' : '3', 'pieces_quantity' : '0', 'cooking_notes' : ''}).status_code; print('%s :: %s :: %s :: %s :: %s' %(a,950,'salt','salt','Tamrind Rice'))</v>
      </c>
    </row>
    <row r="951" customFormat="false" ht="13.8" hidden="false" customHeight="false" outlineLevel="0" collapsed="false">
      <c r="G951" s="80" t="n">
        <v>951</v>
      </c>
      <c r="H951" s="83"/>
      <c r="I951" s="83" t="s">
        <v>346</v>
      </c>
      <c r="J951" s="83" t="s">
        <v>821</v>
      </c>
      <c r="K951" s="61" t="n">
        <v>1</v>
      </c>
      <c r="L951" s="61" t="s">
        <v>7</v>
      </c>
      <c r="R951" s="82" t="str">
        <f aca="false">VLOOKUP(J951,ingredient!$N$4:$O$553,2,0)</f>
        <v>gud</v>
      </c>
      <c r="U951" s="81" t="str">
        <f aca="false">I951</f>
        <v>Tamrind Rice</v>
      </c>
      <c r="V951" s="81" t="n">
        <f aca="false">VLOOKUP(U951,recipe_ingred_list!$A$2:$B$300,2,0)</f>
        <v>79</v>
      </c>
      <c r="W951" s="81" t="str">
        <f aca="false">"/recipes/"&amp;VLOOKUP(U951,recipe_ingred_list!$A$2:$C$300,3,0)&amp;"/detail/"</f>
        <v>/recipes/tamrind-rice/detail/</v>
      </c>
      <c r="X951" s="81" t="str">
        <f aca="false">J951</f>
        <v>jaggary</v>
      </c>
      <c r="Y951" s="81" t="str">
        <f aca="false">R951</f>
        <v>gud</v>
      </c>
      <c r="Z951" s="94" t="n">
        <f aca="false">VLOOKUP(Y951,recipe_ingred_list!$D$2:$E$500,2,0)</f>
        <v>90</v>
      </c>
      <c r="AA951" s="61" t="n">
        <f aca="false">K951</f>
        <v>1</v>
      </c>
      <c r="AB951" s="61" t="str">
        <f aca="false">L951</f>
        <v>kg</v>
      </c>
      <c r="AC951" s="61" t="n">
        <f aca="false">VLOOKUP(AB951,recipe_ingred_list!$K$2:$M$7,3,0)</f>
        <v>2</v>
      </c>
      <c r="AD951" s="61" t="n">
        <f aca="false">M951</f>
        <v>0</v>
      </c>
      <c r="AE951" s="61" t="n">
        <f aca="false">N951</f>
        <v>0</v>
      </c>
      <c r="AF951" s="61" t="n">
        <f aca="false">VLOOKUP(AE951,recipe_ingred_list!$K$16:$M$25,3,0)</f>
        <v>1</v>
      </c>
      <c r="AG951" s="61" t="n">
        <f aca="false">O951</f>
        <v>0</v>
      </c>
      <c r="AH951" s="61" t="n">
        <f aca="false">P951</f>
        <v>0</v>
      </c>
      <c r="AI951" s="61" t="n">
        <f aca="false">VLOOKUP(AH951,recipe_ingred_list!$K$29:$M$34,3,0)</f>
        <v>3</v>
      </c>
      <c r="AJ951" s="61" t="str">
        <f aca="false">IF(Q951="","",Q951)</f>
        <v/>
      </c>
      <c r="AK951" s="61" t="n">
        <f aca="false">AK950+1</f>
        <v>951</v>
      </c>
      <c r="AL951" s="61" t="str">
        <f aca="false">Y951</f>
        <v>gud</v>
      </c>
      <c r="AM951" s="81" t="str">
        <f aca="false">"a = Client().post('"&amp;W951&amp;"', {'recipe' : '"&amp;V951&amp;"', 'ingredient' : '"&amp;Z951&amp;"', 'name' : '"&amp;X951&amp;"', 'mass_unit' : '"&amp;AC951&amp;"', 'mass_quantity' : '"&amp;ROUND(AA951,3)&amp;"', 'volume_unit' : '"&amp;AF951&amp;"', 'volume_quantity' : '"&amp;ROUND(AD951,3)&amp;"', 'pieces_unit' : '"&amp;AI951&amp;"', 'pieces_quantity' : '"&amp;ROUND(AG951,3)&amp;"', 'cooking_notes' : '"&amp;AJ951&amp;"'}).status_code; print('%s :: %s :: %s :: %s :: %s' %(a,"&amp;G951&amp;",'"&amp;X951&amp;"','"&amp;Y951&amp;"','"&amp;U951&amp;"'))"</f>
        <v>a = Client().post('/recipes/tamrind-rice/detail/', {'recipe' : '79', 'ingredient' : '90', 'name' : 'jaggary', 'mass_unit' : '2', 'mass_quantity' : '1', 'volume_unit' : '1', 'volume_quantity' : '0', 'pieces_unit' : '3', 'pieces_quantity' : '0', 'cooking_notes' : ''}).status_code; print('%s :: %s :: %s :: %s :: %s' %(a,951,'jaggary','gud','Tamrind Rice'))</v>
      </c>
    </row>
    <row r="952" customFormat="false" ht="13.8" hidden="false" customHeight="false" outlineLevel="0" collapsed="false">
      <c r="G952" s="80" t="n">
        <v>952</v>
      </c>
      <c r="H952" s="79"/>
      <c r="I952" s="79"/>
      <c r="J952" s="79"/>
      <c r="K952" s="100"/>
      <c r="L952" s="100"/>
      <c r="M952" s="100"/>
      <c r="N952" s="100"/>
      <c r="O952" s="100"/>
      <c r="P952" s="100"/>
      <c r="Q952" s="102"/>
      <c r="R952" s="99" t="e">
        <f aca="false">VLOOKUP(J952,ingredient!$N$4:$O$553,2,0)</f>
        <v>#N/A</v>
      </c>
      <c r="S952" s="98"/>
      <c r="T952" s="98"/>
      <c r="U952" s="81" t="n">
        <f aca="false">I952</f>
        <v>0</v>
      </c>
      <c r="V952" s="81" t="e">
        <f aca="false">VLOOKUP(U952,recipe_ingred_list!$A$2:$B$300,2,0)</f>
        <v>#N/A</v>
      </c>
      <c r="W952" s="81" t="e">
        <f aca="false">"/recipes/"&amp;VLOOKUP(U952,recipe_ingred_list!$A$2:$C$300,3,0)&amp;"/detail/"</f>
        <v>#N/A</v>
      </c>
      <c r="X952" s="81" t="n">
        <f aca="false">J952</f>
        <v>0</v>
      </c>
      <c r="Y952" s="81" t="e">
        <f aca="false">R952</f>
        <v>#N/A</v>
      </c>
      <c r="Z952" s="94" t="e">
        <f aca="false">VLOOKUP(Y952,recipe_ingred_list!$D$2:$E$500,2,0)</f>
        <v>#N/A</v>
      </c>
      <c r="AA952" s="61" t="n">
        <f aca="false">K952</f>
        <v>0</v>
      </c>
      <c r="AB952" s="61" t="n">
        <f aca="false">L952</f>
        <v>0</v>
      </c>
      <c r="AC952" s="61" t="n">
        <f aca="false">VLOOKUP(AB952,recipe_ingred_list!$K$2:$M$7,3,0)</f>
        <v>2</v>
      </c>
      <c r="AD952" s="61" t="n">
        <f aca="false">M952</f>
        <v>0</v>
      </c>
      <c r="AE952" s="61" t="n">
        <f aca="false">N952</f>
        <v>0</v>
      </c>
      <c r="AF952" s="61" t="n">
        <f aca="false">VLOOKUP(AE952,recipe_ingred_list!$K$16:$M$25,3,0)</f>
        <v>1</v>
      </c>
      <c r="AG952" s="61" t="n">
        <f aca="false">O952</f>
        <v>0</v>
      </c>
      <c r="AH952" s="61" t="n">
        <f aca="false">P952</f>
        <v>0</v>
      </c>
      <c r="AI952" s="61" t="n">
        <f aca="false">VLOOKUP(AH952,recipe_ingred_list!$K$29:$M$34,3,0)</f>
        <v>3</v>
      </c>
      <c r="AJ952" s="61" t="str">
        <f aca="false">IF(Q952="","",Q952)</f>
        <v/>
      </c>
      <c r="AK952" s="61" t="n">
        <f aca="false">AK951+1</f>
        <v>952</v>
      </c>
      <c r="AL952" s="61" t="e">
        <f aca="false">Y952</f>
        <v>#N/A</v>
      </c>
      <c r="AM952" s="81" t="e">
        <f aca="false">"a = Client().post('"&amp;W952&amp;"', {'recipe' : '"&amp;V952&amp;"', 'ingredient' : '"&amp;Z952&amp;"', 'name' : '"&amp;X952&amp;"', 'mass_unit' : '"&amp;AC952&amp;"', 'mass_quantity' : '"&amp;ROUND(AA952,3)&amp;"', 'volume_unit' : '"&amp;AF952&amp;"', 'volume_quantity' : '"&amp;ROUND(AD952,3)&amp;"', 'pieces_unit' : '"&amp;AI952&amp;"', 'pieces_quantity' : '"&amp;ROUND(AG952,3)&amp;"', 'cooking_notes' : '"&amp;AJ952&amp;"'}).status_code; print('%s :: %s :: %s :: %s :: %s' %(a,"&amp;G952&amp;",'"&amp;X952&amp;"','"&amp;Y952&amp;"','"&amp;U952&amp;"'))"</f>
        <v>#N/A</v>
      </c>
    </row>
    <row r="953" customFormat="false" ht="13.8" hidden="false" customHeight="false" outlineLevel="0" collapsed="false">
      <c r="G953" s="80" t="n">
        <v>953</v>
      </c>
      <c r="H953" s="83"/>
      <c r="I953" s="83" t="s">
        <v>364</v>
      </c>
      <c r="J953" s="83" t="s">
        <v>439</v>
      </c>
      <c r="M953" s="61" t="n">
        <v>60</v>
      </c>
      <c r="N953" s="61" t="s">
        <v>13</v>
      </c>
      <c r="R953" s="82" t="str">
        <f aca="false">VLOOKUP(J953,ingredient!$N$4:$O$553,2,0)</f>
        <v>milk</v>
      </c>
      <c r="U953" s="81" t="str">
        <f aca="false">I953</f>
        <v>Varai Kheer</v>
      </c>
      <c r="V953" s="81" t="n">
        <f aca="false">VLOOKUP(U953,recipe_ingred_list!$A$2:$B$300,2,0)</f>
        <v>85</v>
      </c>
      <c r="W953" s="81" t="str">
        <f aca="false">"/recipes/"&amp;VLOOKUP(U953,recipe_ingred_list!$A$2:$C$300,3,0)&amp;"/detail/"</f>
        <v>/recipes/varai-kheer/detail/</v>
      </c>
      <c r="X953" s="81" t="str">
        <f aca="false">J953</f>
        <v>milk</v>
      </c>
      <c r="Y953" s="81" t="str">
        <f aca="false">R953</f>
        <v>milk</v>
      </c>
      <c r="Z953" s="94" t="n">
        <f aca="false">VLOOKUP(Y953,recipe_ingred_list!$D$2:$E$500,2,0)</f>
        <v>145</v>
      </c>
      <c r="AA953" s="61" t="n">
        <f aca="false">K953</f>
        <v>0</v>
      </c>
      <c r="AB953" s="61" t="n">
        <f aca="false">L953</f>
        <v>0</v>
      </c>
      <c r="AC953" s="61" t="n">
        <f aca="false">VLOOKUP(AB953,recipe_ingred_list!$K$2:$M$7,3,0)</f>
        <v>2</v>
      </c>
      <c r="AD953" s="61" t="n">
        <f aca="false">M953</f>
        <v>60</v>
      </c>
      <c r="AE953" s="61" t="str">
        <f aca="false">N953</f>
        <v>ltr</v>
      </c>
      <c r="AF953" s="61" t="n">
        <f aca="false">VLOOKUP(AE953,recipe_ingred_list!$K$16:$M$25,3,0)</f>
        <v>1</v>
      </c>
      <c r="AG953" s="61" t="n">
        <f aca="false">O953</f>
        <v>0</v>
      </c>
      <c r="AH953" s="61" t="n">
        <f aca="false">P953</f>
        <v>0</v>
      </c>
      <c r="AI953" s="61" t="n">
        <f aca="false">VLOOKUP(AH953,recipe_ingred_list!$K$29:$M$34,3,0)</f>
        <v>3</v>
      </c>
      <c r="AJ953" s="61" t="str">
        <f aca="false">IF(Q953="","",Q953)</f>
        <v/>
      </c>
      <c r="AK953" s="61" t="n">
        <f aca="false">AK952+1</f>
        <v>953</v>
      </c>
      <c r="AL953" s="61" t="str">
        <f aca="false">Y953</f>
        <v>milk</v>
      </c>
      <c r="AM953" s="81" t="str">
        <f aca="false">"a = Client().post('"&amp;W953&amp;"', {'recipe' : '"&amp;V953&amp;"', 'ingredient' : '"&amp;Z953&amp;"', 'name' : '"&amp;X953&amp;"', 'mass_unit' : '"&amp;AC953&amp;"', 'mass_quantity' : '"&amp;ROUND(AA953,3)&amp;"', 'volume_unit' : '"&amp;AF953&amp;"', 'volume_quantity' : '"&amp;ROUND(AD953,3)&amp;"', 'pieces_unit' : '"&amp;AI953&amp;"', 'pieces_quantity' : '"&amp;ROUND(AG953,3)&amp;"', 'cooking_notes' : '"&amp;AJ953&amp;"'}).status_code; print('%s :: %s :: %s :: %s :: %s' %(a,"&amp;G953&amp;",'"&amp;X953&amp;"','"&amp;Y953&amp;"','"&amp;U953&amp;"'))"</f>
        <v>a = Client().post('/recipes/varai-kheer/detail/', {'recipe' : '85', 'ingredient' : '145', 'name' : 'milk', 'mass_unit' : '2', 'mass_quantity' : '0', 'volume_unit' : '1', 'volume_quantity' : '60', 'pieces_unit' : '3', 'pieces_quantity' : '0', 'cooking_notes' : ''}).status_code; print('%s :: %s :: %s :: %s :: %s' %(a,953,'milk','milk','Varai Kheer'))</v>
      </c>
    </row>
    <row r="954" customFormat="false" ht="13.8" hidden="false" customHeight="false" outlineLevel="0" collapsed="false">
      <c r="G954" s="80" t="n">
        <v>954</v>
      </c>
      <c r="H954" s="83"/>
      <c r="I954" s="83" t="s">
        <v>364</v>
      </c>
      <c r="J954" s="83" t="s">
        <v>414</v>
      </c>
      <c r="K954" s="61" t="n">
        <v>2</v>
      </c>
      <c r="L954" s="61" t="s">
        <v>7</v>
      </c>
      <c r="R954" s="82" t="str">
        <f aca="false">VLOOKUP(J954,ingredient!$N$4:$O$553,2,0)</f>
        <v>khajur</v>
      </c>
      <c r="U954" s="81" t="str">
        <f aca="false">I954</f>
        <v>Varai Kheer</v>
      </c>
      <c r="V954" s="81" t="n">
        <f aca="false">VLOOKUP(U954,recipe_ingred_list!$A$2:$B$300,2,0)</f>
        <v>85</v>
      </c>
      <c r="W954" s="81" t="str">
        <f aca="false">"/recipes/"&amp;VLOOKUP(U954,recipe_ingred_list!$A$2:$C$300,3,0)&amp;"/detail/"</f>
        <v>/recipes/varai-kheer/detail/</v>
      </c>
      <c r="X954" s="81" t="str">
        <f aca="false">J954</f>
        <v>khajur</v>
      </c>
      <c r="Y954" s="81" t="str">
        <f aca="false">R954</f>
        <v>khajur</v>
      </c>
      <c r="Z954" s="94" t="n">
        <f aca="false">VLOOKUP(Y954,recipe_ingred_list!$D$2:$E$500,2,0)</f>
        <v>119</v>
      </c>
      <c r="AA954" s="61" t="n">
        <f aca="false">K954</f>
        <v>2</v>
      </c>
      <c r="AB954" s="61" t="str">
        <f aca="false">L954</f>
        <v>kg</v>
      </c>
      <c r="AC954" s="61" t="n">
        <f aca="false">VLOOKUP(AB954,recipe_ingred_list!$K$2:$M$7,3,0)</f>
        <v>2</v>
      </c>
      <c r="AD954" s="61" t="n">
        <f aca="false">M954</f>
        <v>0</v>
      </c>
      <c r="AE954" s="61" t="n">
        <f aca="false">N954</f>
        <v>0</v>
      </c>
      <c r="AF954" s="61" t="n">
        <f aca="false">VLOOKUP(AE954,recipe_ingred_list!$K$16:$M$25,3,0)</f>
        <v>1</v>
      </c>
      <c r="AG954" s="61" t="n">
        <f aca="false">O954</f>
        <v>0</v>
      </c>
      <c r="AH954" s="61" t="n">
        <f aca="false">P954</f>
        <v>0</v>
      </c>
      <c r="AI954" s="61" t="n">
        <f aca="false">VLOOKUP(AH954,recipe_ingred_list!$K$29:$M$34,3,0)</f>
        <v>3</v>
      </c>
      <c r="AJ954" s="61" t="str">
        <f aca="false">IF(Q954="","",Q954)</f>
        <v/>
      </c>
      <c r="AK954" s="61" t="n">
        <f aca="false">AK953+1</f>
        <v>954</v>
      </c>
      <c r="AL954" s="61" t="str">
        <f aca="false">Y954</f>
        <v>khajur</v>
      </c>
      <c r="AM954" s="81" t="str">
        <f aca="false">"a = Client().post('"&amp;W954&amp;"', {'recipe' : '"&amp;V954&amp;"', 'ingredient' : '"&amp;Z954&amp;"', 'name' : '"&amp;X954&amp;"', 'mass_unit' : '"&amp;AC954&amp;"', 'mass_quantity' : '"&amp;ROUND(AA954,3)&amp;"', 'volume_unit' : '"&amp;AF954&amp;"', 'volume_quantity' : '"&amp;ROUND(AD954,3)&amp;"', 'pieces_unit' : '"&amp;AI954&amp;"', 'pieces_quantity' : '"&amp;ROUND(AG954,3)&amp;"', 'cooking_notes' : '"&amp;AJ954&amp;"'}).status_code; print('%s :: %s :: %s :: %s :: %s' %(a,"&amp;G954&amp;",'"&amp;X954&amp;"','"&amp;Y954&amp;"','"&amp;U954&amp;"'))"</f>
        <v>a = Client().post('/recipes/varai-kheer/detail/', {'recipe' : '85', 'ingredient' : '119', 'name' : 'khajur', 'mass_unit' : '2', 'mass_quantity' : '2', 'volume_unit' : '1', 'volume_quantity' : '0', 'pieces_unit' : '3', 'pieces_quantity' : '0', 'cooking_notes' : ''}).status_code; print('%s :: %s :: %s :: %s :: %s' %(a,954,'khajur','khajur','Varai Kheer'))</v>
      </c>
    </row>
    <row r="955" customFormat="false" ht="13.8" hidden="false" customHeight="false" outlineLevel="0" collapsed="false">
      <c r="G955" s="80" t="n">
        <v>955</v>
      </c>
      <c r="H955" s="83"/>
      <c r="I955" s="83" t="s">
        <v>364</v>
      </c>
      <c r="J955" s="83" t="s">
        <v>405</v>
      </c>
      <c r="K955" s="61" t="n">
        <v>500</v>
      </c>
      <c r="L955" s="61" t="s">
        <v>109</v>
      </c>
      <c r="R955" s="82" t="str">
        <f aca="false">VLOOKUP(J955,ingredient!$N$4:$O$553,2,0)</f>
        <v>kaju tukada</v>
      </c>
      <c r="U955" s="81" t="str">
        <f aca="false">I955</f>
        <v>Varai Kheer</v>
      </c>
      <c r="V955" s="81" t="n">
        <f aca="false">VLOOKUP(U955,recipe_ingred_list!$A$2:$B$300,2,0)</f>
        <v>85</v>
      </c>
      <c r="W955" s="81" t="str">
        <f aca="false">"/recipes/"&amp;VLOOKUP(U955,recipe_ingred_list!$A$2:$C$300,3,0)&amp;"/detail/"</f>
        <v>/recipes/varai-kheer/detail/</v>
      </c>
      <c r="X955" s="81" t="str">
        <f aca="false">J955</f>
        <v>kaju tukada</v>
      </c>
      <c r="Y955" s="81" t="str">
        <f aca="false">R955</f>
        <v>kaju tukada</v>
      </c>
      <c r="Z955" s="94" t="n">
        <f aca="false">VLOOKUP(Y955,recipe_ingred_list!$D$2:$E$500,2,0)</f>
        <v>110</v>
      </c>
      <c r="AA955" s="61" t="n">
        <f aca="false">K955</f>
        <v>500</v>
      </c>
      <c r="AB955" s="61" t="str">
        <f aca="false">L955</f>
        <v>gm</v>
      </c>
      <c r="AC955" s="61" t="n">
        <f aca="false">VLOOKUP(AB955,recipe_ingred_list!$K$2:$M$7,3,0)</f>
        <v>7</v>
      </c>
      <c r="AD955" s="61" t="n">
        <f aca="false">M955</f>
        <v>0</v>
      </c>
      <c r="AE955" s="61" t="n">
        <f aca="false">N955</f>
        <v>0</v>
      </c>
      <c r="AF955" s="61" t="n">
        <f aca="false">VLOOKUP(AE955,recipe_ingred_list!$K$16:$M$25,3,0)</f>
        <v>1</v>
      </c>
      <c r="AG955" s="61" t="n">
        <f aca="false">O955</f>
        <v>0</v>
      </c>
      <c r="AH955" s="61" t="n">
        <f aca="false">P955</f>
        <v>0</v>
      </c>
      <c r="AI955" s="61" t="n">
        <f aca="false">VLOOKUP(AH955,recipe_ingred_list!$K$29:$M$34,3,0)</f>
        <v>3</v>
      </c>
      <c r="AJ955" s="61" t="str">
        <f aca="false">IF(Q955="","",Q955)</f>
        <v/>
      </c>
      <c r="AK955" s="61" t="n">
        <f aca="false">AK954+1</f>
        <v>955</v>
      </c>
      <c r="AL955" s="61" t="str">
        <f aca="false">Y955</f>
        <v>kaju tukada</v>
      </c>
      <c r="AM955" s="81" t="str">
        <f aca="false">"a = Client().post('"&amp;W955&amp;"', {'recipe' : '"&amp;V955&amp;"', 'ingredient' : '"&amp;Z955&amp;"', 'name' : '"&amp;X955&amp;"', 'mass_unit' : '"&amp;AC955&amp;"', 'mass_quantity' : '"&amp;ROUND(AA955,3)&amp;"', 'volume_unit' : '"&amp;AF955&amp;"', 'volume_quantity' : '"&amp;ROUND(AD955,3)&amp;"', 'pieces_unit' : '"&amp;AI955&amp;"', 'pieces_quantity' : '"&amp;ROUND(AG955,3)&amp;"', 'cooking_notes' : '"&amp;AJ955&amp;"'}).status_code; print('%s :: %s :: %s :: %s :: %s' %(a,"&amp;G955&amp;",'"&amp;X955&amp;"','"&amp;Y955&amp;"','"&amp;U955&amp;"'))"</f>
        <v>a = Client().post('/recipes/varai-kheer/detail/', {'recipe' : '85', 'ingredient' : '110', 'name' : 'kaju tukada', 'mass_unit' : '7', 'mass_quantity' : '500', 'volume_unit' : '1', 'volume_quantity' : '0', 'pieces_unit' : '3', 'pieces_quantity' : '0', 'cooking_notes' : ''}).status_code; print('%s :: %s :: %s :: %s :: %s' %(a,955,'kaju tukada','kaju tukada','Varai Kheer'))</v>
      </c>
    </row>
    <row r="956" customFormat="false" ht="13.8" hidden="false" customHeight="false" outlineLevel="0" collapsed="false">
      <c r="G956" s="80" t="n">
        <v>956</v>
      </c>
      <c r="H956" s="83"/>
      <c r="I956" s="83" t="s">
        <v>364</v>
      </c>
      <c r="J956" s="83" t="s">
        <v>853</v>
      </c>
      <c r="K956" s="61" t="n">
        <v>7</v>
      </c>
      <c r="L956" s="61" t="s">
        <v>7</v>
      </c>
      <c r="R956" s="82" t="str">
        <f aca="false">VLOOKUP(J956,ingredient!$N$4:$O$553,2,0)</f>
        <v>varai</v>
      </c>
      <c r="U956" s="81" t="str">
        <f aca="false">I956</f>
        <v>Varai Kheer</v>
      </c>
      <c r="V956" s="81" t="n">
        <f aca="false">VLOOKUP(U956,recipe_ingred_list!$A$2:$B$300,2,0)</f>
        <v>85</v>
      </c>
      <c r="W956" s="81" t="str">
        <f aca="false">"/recipes/"&amp;VLOOKUP(U956,recipe_ingred_list!$A$2:$C$300,3,0)&amp;"/detail/"</f>
        <v>/recipes/varai-kheer/detail/</v>
      </c>
      <c r="X956" s="81" t="str">
        <f aca="false">J956</f>
        <v>varai rice</v>
      </c>
      <c r="Y956" s="81" t="str">
        <f aca="false">R956</f>
        <v>varai</v>
      </c>
      <c r="Z956" s="94" t="n">
        <f aca="false">VLOOKUP(Y956,recipe_ingred_list!$D$2:$E$500,2,0)</f>
        <v>201</v>
      </c>
      <c r="AA956" s="61" t="n">
        <f aca="false">K956</f>
        <v>7</v>
      </c>
      <c r="AB956" s="61" t="str">
        <f aca="false">L956</f>
        <v>kg</v>
      </c>
      <c r="AC956" s="61" t="n">
        <f aca="false">VLOOKUP(AB956,recipe_ingred_list!$K$2:$M$7,3,0)</f>
        <v>2</v>
      </c>
      <c r="AD956" s="61" t="n">
        <f aca="false">M956</f>
        <v>0</v>
      </c>
      <c r="AE956" s="61" t="n">
        <f aca="false">N956</f>
        <v>0</v>
      </c>
      <c r="AF956" s="61" t="n">
        <f aca="false">VLOOKUP(AE956,recipe_ingred_list!$K$16:$M$25,3,0)</f>
        <v>1</v>
      </c>
      <c r="AG956" s="61" t="n">
        <f aca="false">O956</f>
        <v>0</v>
      </c>
      <c r="AH956" s="61" t="n">
        <f aca="false">P956</f>
        <v>0</v>
      </c>
      <c r="AI956" s="61" t="n">
        <f aca="false">VLOOKUP(AH956,recipe_ingred_list!$K$29:$M$34,3,0)</f>
        <v>3</v>
      </c>
      <c r="AJ956" s="61" t="str">
        <f aca="false">IF(Q956="","",Q956)</f>
        <v/>
      </c>
      <c r="AK956" s="61" t="n">
        <f aca="false">AK955+1</f>
        <v>956</v>
      </c>
      <c r="AL956" s="61" t="str">
        <f aca="false">Y956</f>
        <v>varai</v>
      </c>
      <c r="AM956" s="81" t="str">
        <f aca="false">"a = Client().post('"&amp;W956&amp;"', {'recipe' : '"&amp;V956&amp;"', 'ingredient' : '"&amp;Z956&amp;"', 'name' : '"&amp;X956&amp;"', 'mass_unit' : '"&amp;AC956&amp;"', 'mass_quantity' : '"&amp;ROUND(AA956,3)&amp;"', 'volume_unit' : '"&amp;AF956&amp;"', 'volume_quantity' : '"&amp;ROUND(AD956,3)&amp;"', 'pieces_unit' : '"&amp;AI956&amp;"', 'pieces_quantity' : '"&amp;ROUND(AG956,3)&amp;"', 'cooking_notes' : '"&amp;AJ956&amp;"'}).status_code; print('%s :: %s :: %s :: %s :: %s' %(a,"&amp;G956&amp;",'"&amp;X956&amp;"','"&amp;Y956&amp;"','"&amp;U956&amp;"'))"</f>
        <v>a = Client().post('/recipes/varai-kheer/detail/', {'recipe' : '85', 'ingredient' : '201', 'name' : 'varai rice', 'mass_unit' : '2', 'mass_quantity' : '7', 'volume_unit' : '1', 'volume_quantity' : '0', 'pieces_unit' : '3', 'pieces_quantity' : '0', 'cooking_notes' : ''}).status_code; print('%s :: %s :: %s :: %s :: %s' %(a,956,'varai rice','varai','Varai Kheer'))</v>
      </c>
    </row>
    <row r="957" customFormat="false" ht="13.8" hidden="false" customHeight="false" outlineLevel="0" collapsed="false">
      <c r="G957" s="80" t="n">
        <v>957</v>
      </c>
      <c r="H957" s="83"/>
      <c r="I957" s="83" t="s">
        <v>364</v>
      </c>
      <c r="J957" s="83" t="s">
        <v>44</v>
      </c>
      <c r="K957" s="61" t="n">
        <v>5</v>
      </c>
      <c r="L957" s="61" t="s">
        <v>7</v>
      </c>
      <c r="R957" s="82" t="str">
        <f aca="false">VLOOKUP(J957,ingredient!$N$4:$O$553,2,0)</f>
        <v>sugar</v>
      </c>
      <c r="U957" s="81" t="str">
        <f aca="false">I957</f>
        <v>Varai Kheer</v>
      </c>
      <c r="V957" s="81" t="n">
        <f aca="false">VLOOKUP(U957,recipe_ingred_list!$A$2:$B$300,2,0)</f>
        <v>85</v>
      </c>
      <c r="W957" s="81" t="str">
        <f aca="false">"/recipes/"&amp;VLOOKUP(U957,recipe_ingred_list!$A$2:$C$300,3,0)&amp;"/detail/"</f>
        <v>/recipes/varai-kheer/detail/</v>
      </c>
      <c r="X957" s="81" t="str">
        <f aca="false">J957</f>
        <v>sugar</v>
      </c>
      <c r="Y957" s="81" t="str">
        <f aca="false">R957</f>
        <v>sugar</v>
      </c>
      <c r="Z957" s="94" t="n">
        <f aca="false">VLOOKUP(Y957,recipe_ingred_list!$D$2:$E$500,2,0)</f>
        <v>187</v>
      </c>
      <c r="AA957" s="61" t="n">
        <f aca="false">K957</f>
        <v>5</v>
      </c>
      <c r="AB957" s="61" t="str">
        <f aca="false">L957</f>
        <v>kg</v>
      </c>
      <c r="AC957" s="61" t="n">
        <f aca="false">VLOOKUP(AB957,recipe_ingred_list!$K$2:$M$7,3,0)</f>
        <v>2</v>
      </c>
      <c r="AD957" s="61" t="n">
        <f aca="false">M957</f>
        <v>0</v>
      </c>
      <c r="AE957" s="61" t="n">
        <f aca="false">N957</f>
        <v>0</v>
      </c>
      <c r="AF957" s="61" t="n">
        <f aca="false">VLOOKUP(AE957,recipe_ingred_list!$K$16:$M$25,3,0)</f>
        <v>1</v>
      </c>
      <c r="AG957" s="61" t="n">
        <f aca="false">O957</f>
        <v>0</v>
      </c>
      <c r="AH957" s="61" t="n">
        <f aca="false">P957</f>
        <v>0</v>
      </c>
      <c r="AI957" s="61" t="n">
        <f aca="false">VLOOKUP(AH957,recipe_ingred_list!$K$29:$M$34,3,0)</f>
        <v>3</v>
      </c>
      <c r="AJ957" s="61" t="str">
        <f aca="false">IF(Q957="","",Q957)</f>
        <v/>
      </c>
      <c r="AK957" s="61" t="n">
        <f aca="false">AK956+1</f>
        <v>957</v>
      </c>
      <c r="AL957" s="61" t="str">
        <f aca="false">Y957</f>
        <v>sugar</v>
      </c>
      <c r="AM957" s="81" t="str">
        <f aca="false">"a = Client().post('"&amp;W957&amp;"', {'recipe' : '"&amp;V957&amp;"', 'ingredient' : '"&amp;Z957&amp;"', 'name' : '"&amp;X957&amp;"', 'mass_unit' : '"&amp;AC957&amp;"', 'mass_quantity' : '"&amp;ROUND(AA957,3)&amp;"', 'volume_unit' : '"&amp;AF957&amp;"', 'volume_quantity' : '"&amp;ROUND(AD957,3)&amp;"', 'pieces_unit' : '"&amp;AI957&amp;"', 'pieces_quantity' : '"&amp;ROUND(AG957,3)&amp;"', 'cooking_notes' : '"&amp;AJ957&amp;"'}).status_code; print('%s :: %s :: %s :: %s :: %s' %(a,"&amp;G957&amp;",'"&amp;X957&amp;"','"&amp;Y957&amp;"','"&amp;U957&amp;"'))"</f>
        <v>a = Client().post('/recipes/varai-kheer/detail/', {'recipe' : '85', 'ingredient' : '187', 'name' : 'sugar', 'mass_unit' : '2', 'mass_quantity' : '5', 'volume_unit' : '1', 'volume_quantity' : '0', 'pieces_unit' : '3', 'pieces_quantity' : '0', 'cooking_notes' : ''}).status_code; print('%s :: %s :: %s :: %s :: %s' %(a,957,'sugar','sugar','Varai Kheer'))</v>
      </c>
    </row>
    <row r="958" customFormat="false" ht="13.8" hidden="false" customHeight="false" outlineLevel="0" collapsed="false">
      <c r="G958" s="80" t="n">
        <v>958</v>
      </c>
      <c r="H958" s="79"/>
      <c r="I958" s="79"/>
      <c r="J958" s="79"/>
      <c r="K958" s="100"/>
      <c r="L958" s="100"/>
      <c r="M958" s="100"/>
      <c r="N958" s="100"/>
      <c r="O958" s="100"/>
      <c r="P958" s="100"/>
      <c r="Q958" s="102"/>
      <c r="R958" s="99" t="e">
        <f aca="false">VLOOKUP(J958,ingredient!$N$4:$O$553,2,0)</f>
        <v>#N/A</v>
      </c>
      <c r="S958" s="98"/>
      <c r="T958" s="98"/>
      <c r="U958" s="81" t="n">
        <f aca="false">I958</f>
        <v>0</v>
      </c>
      <c r="V958" s="81" t="e">
        <f aca="false">VLOOKUP(U958,recipe_ingred_list!$A$2:$B$300,2,0)</f>
        <v>#N/A</v>
      </c>
      <c r="W958" s="81" t="e">
        <f aca="false">"/recipes/"&amp;VLOOKUP(U958,recipe_ingred_list!$A$2:$C$300,3,0)&amp;"/detail/"</f>
        <v>#N/A</v>
      </c>
      <c r="X958" s="81" t="n">
        <f aca="false">J958</f>
        <v>0</v>
      </c>
      <c r="Y958" s="81" t="e">
        <f aca="false">R958</f>
        <v>#N/A</v>
      </c>
      <c r="Z958" s="94" t="e">
        <f aca="false">VLOOKUP(Y958,recipe_ingred_list!$D$2:$E$500,2,0)</f>
        <v>#N/A</v>
      </c>
      <c r="AA958" s="61" t="n">
        <f aca="false">K958</f>
        <v>0</v>
      </c>
      <c r="AB958" s="61" t="n">
        <f aca="false">L958</f>
        <v>0</v>
      </c>
      <c r="AC958" s="61" t="n">
        <f aca="false">VLOOKUP(AB958,recipe_ingred_list!$K$2:$M$7,3,0)</f>
        <v>2</v>
      </c>
      <c r="AD958" s="61" t="n">
        <f aca="false">M958</f>
        <v>0</v>
      </c>
      <c r="AE958" s="61" t="n">
        <f aca="false">N958</f>
        <v>0</v>
      </c>
      <c r="AF958" s="61" t="n">
        <f aca="false">VLOOKUP(AE958,recipe_ingred_list!$K$16:$M$25,3,0)</f>
        <v>1</v>
      </c>
      <c r="AG958" s="61" t="n">
        <f aca="false">O958</f>
        <v>0</v>
      </c>
      <c r="AH958" s="61" t="n">
        <f aca="false">P958</f>
        <v>0</v>
      </c>
      <c r="AI958" s="61" t="n">
        <f aca="false">VLOOKUP(AH958,recipe_ingred_list!$K$29:$M$34,3,0)</f>
        <v>3</v>
      </c>
      <c r="AJ958" s="61" t="str">
        <f aca="false">IF(Q958="","",Q958)</f>
        <v/>
      </c>
      <c r="AK958" s="61" t="n">
        <f aca="false">AK957+1</f>
        <v>958</v>
      </c>
      <c r="AL958" s="61" t="e">
        <f aca="false">Y958</f>
        <v>#N/A</v>
      </c>
      <c r="AM958" s="81" t="e">
        <f aca="false">"a = Client().post('"&amp;W958&amp;"', {'recipe' : '"&amp;V958&amp;"', 'ingredient' : '"&amp;Z958&amp;"', 'name' : '"&amp;X958&amp;"', 'mass_unit' : '"&amp;AC958&amp;"', 'mass_quantity' : '"&amp;ROUND(AA958,3)&amp;"', 'volume_unit' : '"&amp;AF958&amp;"', 'volume_quantity' : '"&amp;ROUND(AD958,3)&amp;"', 'pieces_unit' : '"&amp;AI958&amp;"', 'pieces_quantity' : '"&amp;ROUND(AG958,3)&amp;"', 'cooking_notes' : '"&amp;AJ958&amp;"'}).status_code; print('%s :: %s :: %s :: %s :: %s' %(a,"&amp;G958&amp;",'"&amp;X958&amp;"','"&amp;Y958&amp;"','"&amp;U958&amp;"'))"</f>
        <v>#N/A</v>
      </c>
    </row>
    <row r="959" customFormat="false" ht="13.8" hidden="false" customHeight="false" outlineLevel="0" collapsed="false">
      <c r="G959" s="80" t="n">
        <v>959</v>
      </c>
      <c r="H959" s="83"/>
      <c r="I959" s="83" t="s">
        <v>220</v>
      </c>
      <c r="J959" s="83" t="s">
        <v>318</v>
      </c>
      <c r="K959" s="61" t="n">
        <v>4</v>
      </c>
      <c r="L959" s="61" t="s">
        <v>7</v>
      </c>
      <c r="R959" s="82" t="str">
        <f aca="false">VLOOKUP(J959,ingredient!$N$4:$O$553,2,0)</f>
        <v>dudhi</v>
      </c>
      <c r="U959" s="81" t="str">
        <f aca="false">I959</f>
        <v>Khichadi</v>
      </c>
      <c r="V959" s="81" t="n">
        <f aca="false">VLOOKUP(U959,recipe_ingred_list!$A$2:$B$300,2,0)</f>
        <v>37</v>
      </c>
      <c r="W959" s="81" t="str">
        <f aca="false">"/recipes/"&amp;VLOOKUP(U959,recipe_ingred_list!$A$2:$C$300,3,0)&amp;"/detail/"</f>
        <v>/recipes/khichadi/detail/</v>
      </c>
      <c r="X959" s="81" t="str">
        <f aca="false">J959</f>
        <v>dudhi</v>
      </c>
      <c r="Y959" s="81" t="str">
        <f aca="false">R959</f>
        <v>dudhi</v>
      </c>
      <c r="Z959" s="94" t="n">
        <f aca="false">VLOOKUP(Y959,recipe_ingred_list!$D$2:$E$500,2,0)</f>
        <v>69</v>
      </c>
      <c r="AA959" s="61" t="n">
        <f aca="false">K959</f>
        <v>4</v>
      </c>
      <c r="AB959" s="61" t="str">
        <f aca="false">L959</f>
        <v>kg</v>
      </c>
      <c r="AC959" s="61" t="n">
        <f aca="false">VLOOKUP(AB959,recipe_ingred_list!$K$2:$M$7,3,0)</f>
        <v>2</v>
      </c>
      <c r="AD959" s="61" t="n">
        <f aca="false">M959</f>
        <v>0</v>
      </c>
      <c r="AE959" s="61" t="n">
        <f aca="false">N959</f>
        <v>0</v>
      </c>
      <c r="AF959" s="61" t="n">
        <f aca="false">VLOOKUP(AE959,recipe_ingred_list!$K$16:$M$25,3,0)</f>
        <v>1</v>
      </c>
      <c r="AG959" s="61" t="n">
        <f aca="false">O959</f>
        <v>0</v>
      </c>
      <c r="AH959" s="61" t="n">
        <f aca="false">P959</f>
        <v>0</v>
      </c>
      <c r="AI959" s="61" t="n">
        <f aca="false">VLOOKUP(AH959,recipe_ingred_list!$K$29:$M$34,3,0)</f>
        <v>3</v>
      </c>
      <c r="AJ959" s="61" t="str">
        <f aca="false">IF(Q959="","",Q959)</f>
        <v/>
      </c>
      <c r="AK959" s="61" t="n">
        <f aca="false">AK958+1</f>
        <v>959</v>
      </c>
      <c r="AL959" s="61" t="str">
        <f aca="false">Y959</f>
        <v>dudhi</v>
      </c>
      <c r="AM959" s="81" t="str">
        <f aca="false">"a = Client().post('"&amp;W959&amp;"', {'recipe' : '"&amp;V959&amp;"', 'ingredient' : '"&amp;Z959&amp;"', 'name' : '"&amp;X959&amp;"', 'mass_unit' : '"&amp;AC959&amp;"', 'mass_quantity' : '"&amp;ROUND(AA959,3)&amp;"', 'volume_unit' : '"&amp;AF959&amp;"', 'volume_quantity' : '"&amp;ROUND(AD959,3)&amp;"', 'pieces_unit' : '"&amp;AI959&amp;"', 'pieces_quantity' : '"&amp;ROUND(AG959,3)&amp;"', 'cooking_notes' : '"&amp;AJ959&amp;"'}).status_code; print('%s :: %s :: %s :: %s :: %s' %(a,"&amp;G959&amp;",'"&amp;X959&amp;"','"&amp;Y959&amp;"','"&amp;U959&amp;"'))"</f>
        <v>a = Client().post('/recipes/khichadi/detail/', {'recipe' : '37', 'ingredient' : '69', 'name' : 'dudhi', 'mass_unit' : '2', 'mass_quantity' : '4', 'volume_unit' : '1', 'volume_quantity' : '0', 'pieces_unit' : '3', 'pieces_quantity' : '0', 'cooking_notes' : ''}).status_code; print('%s :: %s :: %s :: %s :: %s' %(a,959,'dudhi','dudhi','Khichadi'))</v>
      </c>
    </row>
    <row r="960" customFormat="false" ht="13.8" hidden="false" customHeight="false" outlineLevel="0" collapsed="false">
      <c r="G960" s="80" t="n">
        <v>960</v>
      </c>
      <c r="H960" s="83"/>
      <c r="I960" s="83" t="s">
        <v>220</v>
      </c>
      <c r="J960" s="83" t="s">
        <v>201</v>
      </c>
      <c r="K960" s="61" t="n">
        <v>4</v>
      </c>
      <c r="L960" s="61" t="s">
        <v>7</v>
      </c>
      <c r="R960" s="82" t="str">
        <f aca="false">VLOOKUP(J960,ingredient!$N$4:$O$553,2,0)</f>
        <v>bhopla</v>
      </c>
      <c r="U960" s="81" t="str">
        <f aca="false">I960</f>
        <v>Khichadi</v>
      </c>
      <c r="V960" s="81" t="n">
        <f aca="false">VLOOKUP(U960,recipe_ingred_list!$A$2:$B$300,2,0)</f>
        <v>37</v>
      </c>
      <c r="W960" s="81" t="str">
        <f aca="false">"/recipes/"&amp;VLOOKUP(U960,recipe_ingred_list!$A$2:$C$300,3,0)&amp;"/detail/"</f>
        <v>/recipes/khichadi/detail/</v>
      </c>
      <c r="X960" s="81" t="str">
        <f aca="false">J960</f>
        <v>bhopla</v>
      </c>
      <c r="Y960" s="81" t="str">
        <f aca="false">R960</f>
        <v>bhopla</v>
      </c>
      <c r="Z960" s="94" t="n">
        <f aca="false">VLOOKUP(Y960,recipe_ingred_list!$D$2:$E$500,2,0)</f>
        <v>30</v>
      </c>
      <c r="AA960" s="61" t="n">
        <f aca="false">K960</f>
        <v>4</v>
      </c>
      <c r="AB960" s="61" t="str">
        <f aca="false">L960</f>
        <v>kg</v>
      </c>
      <c r="AC960" s="61" t="n">
        <f aca="false">VLOOKUP(AB960,recipe_ingred_list!$K$2:$M$7,3,0)</f>
        <v>2</v>
      </c>
      <c r="AD960" s="61" t="n">
        <f aca="false">M960</f>
        <v>0</v>
      </c>
      <c r="AE960" s="61" t="n">
        <f aca="false">N960</f>
        <v>0</v>
      </c>
      <c r="AF960" s="61" t="n">
        <f aca="false">VLOOKUP(AE960,recipe_ingred_list!$K$16:$M$25,3,0)</f>
        <v>1</v>
      </c>
      <c r="AG960" s="61" t="n">
        <f aca="false">O960</f>
        <v>0</v>
      </c>
      <c r="AH960" s="61" t="n">
        <f aca="false">P960</f>
        <v>0</v>
      </c>
      <c r="AI960" s="61" t="n">
        <f aca="false">VLOOKUP(AH960,recipe_ingred_list!$K$29:$M$34,3,0)</f>
        <v>3</v>
      </c>
      <c r="AJ960" s="61" t="str">
        <f aca="false">IF(Q960="","",Q960)</f>
        <v/>
      </c>
      <c r="AK960" s="61" t="n">
        <f aca="false">AK959+1</f>
        <v>960</v>
      </c>
      <c r="AL960" s="61" t="str">
        <f aca="false">Y960</f>
        <v>bhopla</v>
      </c>
      <c r="AM960" s="81" t="str">
        <f aca="false">"a = Client().post('"&amp;W960&amp;"', {'recipe' : '"&amp;V960&amp;"', 'ingredient' : '"&amp;Z960&amp;"', 'name' : '"&amp;X960&amp;"', 'mass_unit' : '"&amp;AC960&amp;"', 'mass_quantity' : '"&amp;ROUND(AA960,3)&amp;"', 'volume_unit' : '"&amp;AF960&amp;"', 'volume_quantity' : '"&amp;ROUND(AD960,3)&amp;"', 'pieces_unit' : '"&amp;AI960&amp;"', 'pieces_quantity' : '"&amp;ROUND(AG960,3)&amp;"', 'cooking_notes' : '"&amp;AJ960&amp;"'}).status_code; print('%s :: %s :: %s :: %s :: %s' %(a,"&amp;G960&amp;",'"&amp;X960&amp;"','"&amp;Y960&amp;"','"&amp;U960&amp;"'))"</f>
        <v>a = Client().post('/recipes/khichadi/detail/', {'recipe' : '37', 'ingredient' : '30', 'name' : 'bhopla', 'mass_unit' : '2', 'mass_quantity' : '4', 'volume_unit' : '1', 'volume_quantity' : '0', 'pieces_unit' : '3', 'pieces_quantity' : '0', 'cooking_notes' : ''}).status_code; print('%s :: %s :: %s :: %s :: %s' %(a,960,'bhopla','bhopla','Khichadi'))</v>
      </c>
    </row>
    <row r="961" customFormat="false" ht="13.8" hidden="false" customHeight="false" outlineLevel="0" collapsed="false">
      <c r="G961" s="80" t="n">
        <v>961</v>
      </c>
      <c r="H961" s="83"/>
      <c r="I961" s="83" t="s">
        <v>220</v>
      </c>
      <c r="J961" s="83" t="s">
        <v>854</v>
      </c>
      <c r="M961" s="61" t="n">
        <v>20</v>
      </c>
      <c r="N961" s="61" t="s">
        <v>13</v>
      </c>
      <c r="R961" s="82" t="str">
        <f aca="false">VLOOKUP(J961,ingredient!$N$4:$O$553,2,0)</f>
        <v>water</v>
      </c>
      <c r="U961" s="81" t="str">
        <f aca="false">I961</f>
        <v>Khichadi</v>
      </c>
      <c r="V961" s="81" t="n">
        <f aca="false">VLOOKUP(U961,recipe_ingred_list!$A$2:$B$300,2,0)</f>
        <v>37</v>
      </c>
      <c r="W961" s="81" t="str">
        <f aca="false">"/recipes/"&amp;VLOOKUP(U961,recipe_ingred_list!$A$2:$C$300,3,0)&amp;"/detail/"</f>
        <v>/recipes/khichadi/detail/</v>
      </c>
      <c r="X961" s="81" t="str">
        <f aca="false">J961</f>
        <v>water(10 times)</v>
      </c>
      <c r="Y961" s="81" t="str">
        <f aca="false">R961</f>
        <v>water</v>
      </c>
      <c r="Z961" s="94" t="n">
        <f aca="false">VLOOKUP(Y961,recipe_ingred_list!$D$2:$E$500,2,0)</f>
        <v>214</v>
      </c>
      <c r="AA961" s="61" t="n">
        <f aca="false">K961</f>
        <v>0</v>
      </c>
      <c r="AB961" s="61" t="n">
        <f aca="false">L961</f>
        <v>0</v>
      </c>
      <c r="AC961" s="61" t="n">
        <f aca="false">VLOOKUP(AB961,recipe_ingred_list!$K$2:$M$7,3,0)</f>
        <v>2</v>
      </c>
      <c r="AD961" s="61" t="n">
        <f aca="false">M961</f>
        <v>20</v>
      </c>
      <c r="AE961" s="61" t="str">
        <f aca="false">N961</f>
        <v>ltr</v>
      </c>
      <c r="AF961" s="61" t="n">
        <f aca="false">VLOOKUP(AE961,recipe_ingred_list!$K$16:$M$25,3,0)</f>
        <v>1</v>
      </c>
      <c r="AG961" s="61" t="n">
        <f aca="false">O961</f>
        <v>0</v>
      </c>
      <c r="AH961" s="61" t="n">
        <f aca="false">P961</f>
        <v>0</v>
      </c>
      <c r="AI961" s="61" t="n">
        <f aca="false">VLOOKUP(AH961,recipe_ingred_list!$K$29:$M$34,3,0)</f>
        <v>3</v>
      </c>
      <c r="AJ961" s="61" t="str">
        <f aca="false">IF(Q961="","",Q961)</f>
        <v/>
      </c>
      <c r="AK961" s="61" t="n">
        <f aca="false">AK960+1</f>
        <v>961</v>
      </c>
      <c r="AL961" s="61" t="str">
        <f aca="false">Y961</f>
        <v>water</v>
      </c>
      <c r="AM961" s="81" t="str">
        <f aca="false">"a = Client().post('"&amp;W961&amp;"', {'recipe' : '"&amp;V961&amp;"', 'ingredient' : '"&amp;Z961&amp;"', 'name' : '"&amp;X961&amp;"', 'mass_unit' : '"&amp;AC961&amp;"', 'mass_quantity' : '"&amp;ROUND(AA961,3)&amp;"', 'volume_unit' : '"&amp;AF961&amp;"', 'volume_quantity' : '"&amp;ROUND(AD961,3)&amp;"', 'pieces_unit' : '"&amp;AI961&amp;"', 'pieces_quantity' : '"&amp;ROUND(AG961,3)&amp;"', 'cooking_notes' : '"&amp;AJ961&amp;"'}).status_code; print('%s :: %s :: %s :: %s :: %s' %(a,"&amp;G961&amp;",'"&amp;X961&amp;"','"&amp;Y961&amp;"','"&amp;U961&amp;"'))"</f>
        <v>a = Client().post('/recipes/khichadi/detail/', {'recipe' : '37', 'ingredient' : '214', 'name' : 'water(10 times)', 'mass_unit' : '2', 'mass_quantity' : '0', 'volume_unit' : '1', 'volume_quantity' : '20', 'pieces_unit' : '3', 'pieces_quantity' : '0', 'cooking_notes' : ''}).status_code; print('%s :: %s :: %s :: %s :: %s' %(a,961,'water(10 times)','water','Khichadi'))</v>
      </c>
    </row>
    <row r="962" customFormat="false" ht="13.8" hidden="false" customHeight="false" outlineLevel="0" collapsed="false">
      <c r="G962" s="80" t="n">
        <v>962</v>
      </c>
      <c r="H962" s="83"/>
      <c r="I962" s="83" t="s">
        <v>220</v>
      </c>
      <c r="J962" s="83" t="s">
        <v>803</v>
      </c>
      <c r="M962" s="61" t="n">
        <v>1</v>
      </c>
      <c r="N962" s="61" t="s">
        <v>20</v>
      </c>
      <c r="R962" s="82" t="str">
        <f aca="false">VLOOKUP(J962,ingredient!$N$4:$O$553,2,0)</f>
        <v>kadi patta</v>
      </c>
      <c r="U962" s="81" t="str">
        <f aca="false">I962</f>
        <v>Khichadi</v>
      </c>
      <c r="V962" s="81" t="n">
        <f aca="false">VLOOKUP(U962,recipe_ingred_list!$A$2:$B$300,2,0)</f>
        <v>37</v>
      </c>
      <c r="W962" s="81" t="str">
        <f aca="false">"/recipes/"&amp;VLOOKUP(U962,recipe_ingred_list!$A$2:$C$300,3,0)&amp;"/detail/"</f>
        <v>/recipes/khichadi/detail/</v>
      </c>
      <c r="X962" s="81" t="str">
        <f aca="false">J962</f>
        <v>kadipatta</v>
      </c>
      <c r="Y962" s="81" t="str">
        <f aca="false">R962</f>
        <v>kadi patta</v>
      </c>
      <c r="Z962" s="94" t="n">
        <f aca="false">VLOOKUP(Y962,recipe_ingred_list!$D$2:$E$500,2,0)</f>
        <v>105</v>
      </c>
      <c r="AA962" s="61" t="n">
        <f aca="false">K962</f>
        <v>0</v>
      </c>
      <c r="AB962" s="61" t="n">
        <f aca="false">L962</f>
        <v>0</v>
      </c>
      <c r="AC962" s="61" t="n">
        <f aca="false">VLOOKUP(AB962,recipe_ingred_list!$K$2:$M$7,3,0)</f>
        <v>2</v>
      </c>
      <c r="AD962" s="61" t="n">
        <f aca="false">M962</f>
        <v>1</v>
      </c>
      <c r="AE962" s="61" t="str">
        <f aca="false">N962</f>
        <v>cup</v>
      </c>
      <c r="AF962" s="61" t="n">
        <f aca="false">VLOOKUP(AE962,recipe_ingred_list!$K$16:$M$25,3,0)</f>
        <v>5</v>
      </c>
      <c r="AG962" s="61" t="n">
        <f aca="false">O962</f>
        <v>0</v>
      </c>
      <c r="AH962" s="61" t="n">
        <f aca="false">P962</f>
        <v>0</v>
      </c>
      <c r="AI962" s="61" t="n">
        <f aca="false">VLOOKUP(AH962,recipe_ingred_list!$K$29:$M$34,3,0)</f>
        <v>3</v>
      </c>
      <c r="AJ962" s="61" t="str">
        <f aca="false">IF(Q962="","",Q962)</f>
        <v/>
      </c>
      <c r="AK962" s="61" t="n">
        <f aca="false">AK961+1</f>
        <v>962</v>
      </c>
      <c r="AL962" s="61" t="str">
        <f aca="false">Y962</f>
        <v>kadi patta</v>
      </c>
      <c r="AM962" s="81" t="str">
        <f aca="false">"a = Client().post('"&amp;W962&amp;"', {'recipe' : '"&amp;V962&amp;"', 'ingredient' : '"&amp;Z962&amp;"', 'name' : '"&amp;X962&amp;"', 'mass_unit' : '"&amp;AC962&amp;"', 'mass_quantity' : '"&amp;ROUND(AA962,3)&amp;"', 'volume_unit' : '"&amp;AF962&amp;"', 'volume_quantity' : '"&amp;ROUND(AD962,3)&amp;"', 'pieces_unit' : '"&amp;AI962&amp;"', 'pieces_quantity' : '"&amp;ROUND(AG962,3)&amp;"', 'cooking_notes' : '"&amp;AJ962&amp;"'}).status_code; print('%s :: %s :: %s :: %s :: %s' %(a,"&amp;G962&amp;",'"&amp;X962&amp;"','"&amp;Y962&amp;"','"&amp;U962&amp;"'))"</f>
        <v>a = Client().post('/recipes/khichadi/detail/', {'recipe' : '37', 'ingredient' : '105', 'name' : 'kadipatta', 'mass_unit' : '2', 'mass_quantity' : '0', 'volume_unit' : '5', 'volume_quantity' : '1', 'pieces_unit' : '3', 'pieces_quantity' : '0', 'cooking_notes' : ''}).status_code; print('%s :: %s :: %s :: %s :: %s' %(a,962,'kadipatta','kadi patta','Khichadi'))</v>
      </c>
    </row>
    <row r="963" customFormat="false" ht="13.8" hidden="false" customHeight="false" outlineLevel="0" collapsed="false">
      <c r="G963" s="80" t="n">
        <v>963</v>
      </c>
      <c r="H963" s="83"/>
      <c r="I963" s="83" t="s">
        <v>220</v>
      </c>
      <c r="J963" s="83" t="s">
        <v>309</v>
      </c>
      <c r="M963" s="61" t="n">
        <v>0.5</v>
      </c>
      <c r="N963" s="61" t="s">
        <v>13</v>
      </c>
      <c r="R963" s="82" t="str">
        <f aca="false">VLOOKUP(J963,ingredient!$N$4:$O$553,2,0)</f>
        <v>dhaniya patta</v>
      </c>
      <c r="U963" s="81" t="str">
        <f aca="false">I963</f>
        <v>Khichadi</v>
      </c>
      <c r="V963" s="81" t="n">
        <f aca="false">VLOOKUP(U963,recipe_ingred_list!$A$2:$B$300,2,0)</f>
        <v>37</v>
      </c>
      <c r="W963" s="81" t="str">
        <f aca="false">"/recipes/"&amp;VLOOKUP(U963,recipe_ingred_list!$A$2:$C$300,3,0)&amp;"/detail/"</f>
        <v>/recipes/khichadi/detail/</v>
      </c>
      <c r="X963" s="81" t="str">
        <f aca="false">J963</f>
        <v>dhaniya patta</v>
      </c>
      <c r="Y963" s="81" t="str">
        <f aca="false">R963</f>
        <v>dhaniya patta</v>
      </c>
      <c r="Z963" s="94" t="n">
        <f aca="false">VLOOKUP(Y963,recipe_ingred_list!$D$2:$E$500,2,0)</f>
        <v>66</v>
      </c>
      <c r="AA963" s="61" t="n">
        <f aca="false">K963</f>
        <v>0</v>
      </c>
      <c r="AB963" s="61" t="n">
        <f aca="false">L963</f>
        <v>0</v>
      </c>
      <c r="AC963" s="61" t="n">
        <f aca="false">VLOOKUP(AB963,recipe_ingred_list!$K$2:$M$7,3,0)</f>
        <v>2</v>
      </c>
      <c r="AD963" s="61" t="n">
        <f aca="false">M963</f>
        <v>0.5</v>
      </c>
      <c r="AE963" s="61" t="str">
        <f aca="false">N963</f>
        <v>ltr</v>
      </c>
      <c r="AF963" s="61" t="n">
        <f aca="false">VLOOKUP(AE963,recipe_ingred_list!$K$16:$M$25,3,0)</f>
        <v>1</v>
      </c>
      <c r="AG963" s="61" t="n">
        <f aca="false">O963</f>
        <v>0</v>
      </c>
      <c r="AH963" s="61" t="n">
        <f aca="false">P963</f>
        <v>0</v>
      </c>
      <c r="AI963" s="61" t="n">
        <f aca="false">VLOOKUP(AH963,recipe_ingred_list!$K$29:$M$34,3,0)</f>
        <v>3</v>
      </c>
      <c r="AJ963" s="61" t="str">
        <f aca="false">IF(Q963="","",Q963)</f>
        <v/>
      </c>
      <c r="AK963" s="61" t="n">
        <f aca="false">AK962+1</f>
        <v>963</v>
      </c>
      <c r="AL963" s="61" t="str">
        <f aca="false">Y963</f>
        <v>dhaniya patta</v>
      </c>
      <c r="AM963" s="81" t="str">
        <f aca="false">"a = Client().post('"&amp;W963&amp;"', {'recipe' : '"&amp;V963&amp;"', 'ingredient' : '"&amp;Z963&amp;"', 'name' : '"&amp;X963&amp;"', 'mass_unit' : '"&amp;AC963&amp;"', 'mass_quantity' : '"&amp;ROUND(AA963,3)&amp;"', 'volume_unit' : '"&amp;AF963&amp;"', 'volume_quantity' : '"&amp;ROUND(AD963,3)&amp;"', 'pieces_unit' : '"&amp;AI963&amp;"', 'pieces_quantity' : '"&amp;ROUND(AG963,3)&amp;"', 'cooking_notes' : '"&amp;AJ963&amp;"'}).status_code; print('%s :: %s :: %s :: %s :: %s' %(a,"&amp;G963&amp;",'"&amp;X963&amp;"','"&amp;Y963&amp;"','"&amp;U963&amp;"'))"</f>
        <v>a = Client().post('/recipes/khichadi/detail/', {'recipe' : '37', 'ingredient' : '66', 'name' : 'dhaniya patta', 'mass_unit' : '2', 'mass_quantity' : '0', 'volume_unit' : '1', 'volume_quantity' : '0.5', 'pieces_unit' : '3', 'pieces_quantity' : '0', 'cooking_notes' : ''}).status_code; print('%s :: %s :: %s :: %s :: %s' %(a,963,'dhaniya patta','dhaniya patta','Khichadi'))</v>
      </c>
    </row>
    <row r="964" customFormat="false" ht="13.8" hidden="false" customHeight="false" outlineLevel="0" collapsed="false">
      <c r="G964" s="80" t="n">
        <v>964</v>
      </c>
      <c r="H964" s="83"/>
      <c r="I964" s="83" t="s">
        <v>220</v>
      </c>
      <c r="J964" s="83" t="s">
        <v>855</v>
      </c>
      <c r="M964" s="61" t="n">
        <v>1</v>
      </c>
      <c r="N964" s="61" t="s">
        <v>20</v>
      </c>
      <c r="R964" s="82" t="str">
        <f aca="false">VLOOKUP(J964,ingredient!$N$4:$O$553,2,0)</f>
        <v>adrak</v>
      </c>
      <c r="U964" s="81" t="str">
        <f aca="false">I964</f>
        <v>Khichadi</v>
      </c>
      <c r="V964" s="81" t="n">
        <f aca="false">VLOOKUP(U964,recipe_ingred_list!$A$2:$B$300,2,0)</f>
        <v>37</v>
      </c>
      <c r="W964" s="81" t="str">
        <f aca="false">"/recipes/"&amp;VLOOKUP(U964,recipe_ingred_list!$A$2:$C$300,3,0)&amp;"/detail/"</f>
        <v>/recipes/khichadi/detail/</v>
      </c>
      <c r="X964" s="81" t="str">
        <f aca="false">J964</f>
        <v>adrak paste</v>
      </c>
      <c r="Y964" s="81" t="str">
        <f aca="false">R964</f>
        <v>adrak</v>
      </c>
      <c r="Z964" s="94" t="n">
        <f aca="false">VLOOKUP(Y964,recipe_ingred_list!$D$2:$E$500,2,0)</f>
        <v>1</v>
      </c>
      <c r="AA964" s="61" t="n">
        <f aca="false">K964</f>
        <v>0</v>
      </c>
      <c r="AB964" s="61" t="n">
        <f aca="false">L964</f>
        <v>0</v>
      </c>
      <c r="AC964" s="61" t="n">
        <f aca="false">VLOOKUP(AB964,recipe_ingred_list!$K$2:$M$7,3,0)</f>
        <v>2</v>
      </c>
      <c r="AD964" s="61" t="n">
        <f aca="false">M964</f>
        <v>1</v>
      </c>
      <c r="AE964" s="61" t="str">
        <f aca="false">N964</f>
        <v>cup</v>
      </c>
      <c r="AF964" s="61" t="n">
        <f aca="false">VLOOKUP(AE964,recipe_ingred_list!$K$16:$M$25,3,0)</f>
        <v>5</v>
      </c>
      <c r="AG964" s="61" t="n">
        <f aca="false">O964</f>
        <v>0</v>
      </c>
      <c r="AH964" s="61" t="n">
        <f aca="false">P964</f>
        <v>0</v>
      </c>
      <c r="AI964" s="61" t="n">
        <f aca="false">VLOOKUP(AH964,recipe_ingred_list!$K$29:$M$34,3,0)</f>
        <v>3</v>
      </c>
      <c r="AJ964" s="61" t="str">
        <f aca="false">IF(Q964="","",Q964)</f>
        <v/>
      </c>
      <c r="AK964" s="61" t="n">
        <f aca="false">AK963+1</f>
        <v>964</v>
      </c>
      <c r="AL964" s="61" t="str">
        <f aca="false">Y964</f>
        <v>adrak</v>
      </c>
      <c r="AM964" s="81" t="str">
        <f aca="false">"a = Client().post('"&amp;W964&amp;"', {'recipe' : '"&amp;V964&amp;"', 'ingredient' : '"&amp;Z964&amp;"', 'name' : '"&amp;X964&amp;"', 'mass_unit' : '"&amp;AC964&amp;"', 'mass_quantity' : '"&amp;ROUND(AA964,3)&amp;"', 'volume_unit' : '"&amp;AF964&amp;"', 'volume_quantity' : '"&amp;ROUND(AD964,3)&amp;"', 'pieces_unit' : '"&amp;AI964&amp;"', 'pieces_quantity' : '"&amp;ROUND(AG964,3)&amp;"', 'cooking_notes' : '"&amp;AJ964&amp;"'}).status_code; print('%s :: %s :: %s :: %s :: %s' %(a,"&amp;G964&amp;",'"&amp;X964&amp;"','"&amp;Y964&amp;"','"&amp;U964&amp;"'))"</f>
        <v>a = Client().post('/recipes/khichadi/detail/', {'recipe' : '37', 'ingredient' : '1', 'name' : 'adrak paste', 'mass_unit' : '2', 'mass_quantity' : '0', 'volume_unit' : '5', 'volume_quantity' : '1', 'pieces_unit' : '3', 'pieces_quantity' : '0', 'cooking_notes' : ''}).status_code; print('%s :: %s :: %s :: %s :: %s' %(a,964,'adrak paste','adrak','Khichadi'))</v>
      </c>
    </row>
    <row r="965" customFormat="false" ht="13.8" hidden="false" customHeight="false" outlineLevel="0" collapsed="false">
      <c r="G965" s="80" t="n">
        <v>965</v>
      </c>
      <c r="H965" s="83"/>
      <c r="I965" s="83" t="s">
        <v>220</v>
      </c>
      <c r="J965" s="83" t="s">
        <v>462</v>
      </c>
      <c r="K965" s="61" t="n">
        <v>2</v>
      </c>
      <c r="L965" s="61" t="s">
        <v>7</v>
      </c>
      <c r="R965" s="82" t="str">
        <f aca="false">VLOOKUP(J965,ingredient!$N$4:$O$553,2,0)</f>
        <v>rice</v>
      </c>
      <c r="U965" s="81" t="str">
        <f aca="false">I965</f>
        <v>Khichadi</v>
      </c>
      <c r="V965" s="81" t="n">
        <f aca="false">VLOOKUP(U965,recipe_ingred_list!$A$2:$B$300,2,0)</f>
        <v>37</v>
      </c>
      <c r="W965" s="81" t="str">
        <f aca="false">"/recipes/"&amp;VLOOKUP(U965,recipe_ingred_list!$A$2:$C$300,3,0)&amp;"/detail/"</f>
        <v>/recipes/khichadi/detail/</v>
      </c>
      <c r="X965" s="81" t="str">
        <f aca="false">J965</f>
        <v>rice</v>
      </c>
      <c r="Y965" s="81" t="str">
        <f aca="false">R965</f>
        <v>rice</v>
      </c>
      <c r="Z965" s="94" t="n">
        <f aca="false">VLOOKUP(Y965,recipe_ingred_list!$D$2:$E$500,2,0)</f>
        <v>170</v>
      </c>
      <c r="AA965" s="61" t="n">
        <f aca="false">K965</f>
        <v>2</v>
      </c>
      <c r="AB965" s="61" t="str">
        <f aca="false">L965</f>
        <v>kg</v>
      </c>
      <c r="AC965" s="61" t="n">
        <f aca="false">VLOOKUP(AB965,recipe_ingred_list!$K$2:$M$7,3,0)</f>
        <v>2</v>
      </c>
      <c r="AD965" s="61" t="n">
        <f aca="false">M965</f>
        <v>0</v>
      </c>
      <c r="AE965" s="61" t="n">
        <f aca="false">N965</f>
        <v>0</v>
      </c>
      <c r="AF965" s="61" t="n">
        <f aca="false">VLOOKUP(AE965,recipe_ingred_list!$K$16:$M$25,3,0)</f>
        <v>1</v>
      </c>
      <c r="AG965" s="61" t="n">
        <f aca="false">O965</f>
        <v>0</v>
      </c>
      <c r="AH965" s="61" t="n">
        <f aca="false">P965</f>
        <v>0</v>
      </c>
      <c r="AI965" s="61" t="n">
        <f aca="false">VLOOKUP(AH965,recipe_ingred_list!$K$29:$M$34,3,0)</f>
        <v>3</v>
      </c>
      <c r="AJ965" s="61" t="str">
        <f aca="false">IF(Q965="","",Q965)</f>
        <v/>
      </c>
      <c r="AK965" s="61" t="n">
        <f aca="false">AK964+1</f>
        <v>965</v>
      </c>
      <c r="AL965" s="61" t="str">
        <f aca="false">Y965</f>
        <v>rice</v>
      </c>
      <c r="AM965" s="81" t="str">
        <f aca="false">"a = Client().post('"&amp;W965&amp;"', {'recipe' : '"&amp;V965&amp;"', 'ingredient' : '"&amp;Z965&amp;"', 'name' : '"&amp;X965&amp;"', 'mass_unit' : '"&amp;AC965&amp;"', 'mass_quantity' : '"&amp;ROUND(AA965,3)&amp;"', 'volume_unit' : '"&amp;AF965&amp;"', 'volume_quantity' : '"&amp;ROUND(AD965,3)&amp;"', 'pieces_unit' : '"&amp;AI965&amp;"', 'pieces_quantity' : '"&amp;ROUND(AG965,3)&amp;"', 'cooking_notes' : '"&amp;AJ965&amp;"'}).status_code; print('%s :: %s :: %s :: %s :: %s' %(a,"&amp;G965&amp;",'"&amp;X965&amp;"','"&amp;Y965&amp;"','"&amp;U965&amp;"'))"</f>
        <v>a = Client().post('/recipes/khichadi/detail/', {'recipe' : '37', 'ingredient' : '170', 'name' : 'rice', 'mass_unit' : '2', 'mass_quantity' : '2', 'volume_unit' : '1', 'volume_quantity' : '0', 'pieces_unit' : '3', 'pieces_quantity' : '0', 'cooking_notes' : ''}).status_code; print('%s :: %s :: %s :: %s :: %s' %(a,965,'rice','rice','Khichadi'))</v>
      </c>
    </row>
    <row r="966" customFormat="false" ht="13.8" hidden="false" customHeight="false" outlineLevel="0" collapsed="false">
      <c r="G966" s="80" t="n">
        <v>966</v>
      </c>
      <c r="H966" s="83"/>
      <c r="I966" s="83" t="s">
        <v>220</v>
      </c>
      <c r="J966" s="83" t="s">
        <v>291</v>
      </c>
      <c r="K966" s="61" t="n">
        <v>2</v>
      </c>
      <c r="L966" s="61" t="s">
        <v>7</v>
      </c>
      <c r="R966" s="82" t="str">
        <f aca="false">VLOOKUP(J966,ingredient!$N$4:$O$553,2,0)</f>
        <v>dal</v>
      </c>
      <c r="U966" s="81" t="str">
        <f aca="false">I966</f>
        <v>Khichadi</v>
      </c>
      <c r="V966" s="81" t="n">
        <f aca="false">VLOOKUP(U966,recipe_ingred_list!$A$2:$B$300,2,0)</f>
        <v>37</v>
      </c>
      <c r="W966" s="81" t="str">
        <f aca="false">"/recipes/"&amp;VLOOKUP(U966,recipe_ingred_list!$A$2:$C$300,3,0)&amp;"/detail/"</f>
        <v>/recipes/khichadi/detail/</v>
      </c>
      <c r="X966" s="81" t="str">
        <f aca="false">J966</f>
        <v>dal</v>
      </c>
      <c r="Y966" s="81" t="str">
        <f aca="false">R966</f>
        <v>dal</v>
      </c>
      <c r="Z966" s="94" t="n">
        <f aca="false">VLOOKUP(Y966,recipe_ingred_list!$D$2:$E$500,2,0)</f>
        <v>60</v>
      </c>
      <c r="AA966" s="61" t="n">
        <f aca="false">K966</f>
        <v>2</v>
      </c>
      <c r="AB966" s="61" t="str">
        <f aca="false">L966</f>
        <v>kg</v>
      </c>
      <c r="AC966" s="61" t="n">
        <f aca="false">VLOOKUP(AB966,recipe_ingred_list!$K$2:$M$7,3,0)</f>
        <v>2</v>
      </c>
      <c r="AD966" s="61" t="n">
        <f aca="false">M966</f>
        <v>0</v>
      </c>
      <c r="AE966" s="61" t="n">
        <f aca="false">N966</f>
        <v>0</v>
      </c>
      <c r="AF966" s="61" t="n">
        <f aca="false">VLOOKUP(AE966,recipe_ingred_list!$K$16:$M$25,3,0)</f>
        <v>1</v>
      </c>
      <c r="AG966" s="61" t="n">
        <f aca="false">O966</f>
        <v>0</v>
      </c>
      <c r="AH966" s="61" t="n">
        <f aca="false">P966</f>
        <v>0</v>
      </c>
      <c r="AI966" s="61" t="n">
        <f aca="false">VLOOKUP(AH966,recipe_ingred_list!$K$29:$M$34,3,0)</f>
        <v>3</v>
      </c>
      <c r="AJ966" s="61" t="str">
        <f aca="false">IF(Q966="","",Q966)</f>
        <v/>
      </c>
      <c r="AK966" s="61" t="n">
        <f aca="false">AK965+1</f>
        <v>966</v>
      </c>
      <c r="AL966" s="61" t="str">
        <f aca="false">Y966</f>
        <v>dal</v>
      </c>
      <c r="AM966" s="81" t="str">
        <f aca="false">"a = Client().post('"&amp;W966&amp;"', {'recipe' : '"&amp;V966&amp;"', 'ingredient' : '"&amp;Z966&amp;"', 'name' : '"&amp;X966&amp;"', 'mass_unit' : '"&amp;AC966&amp;"', 'mass_quantity' : '"&amp;ROUND(AA966,3)&amp;"', 'volume_unit' : '"&amp;AF966&amp;"', 'volume_quantity' : '"&amp;ROUND(AD966,3)&amp;"', 'pieces_unit' : '"&amp;AI966&amp;"', 'pieces_quantity' : '"&amp;ROUND(AG966,3)&amp;"', 'cooking_notes' : '"&amp;AJ966&amp;"'}).status_code; print('%s :: %s :: %s :: %s :: %s' %(a,"&amp;G966&amp;",'"&amp;X966&amp;"','"&amp;Y966&amp;"','"&amp;U966&amp;"'))"</f>
        <v>a = Client().post('/recipes/khichadi/detail/', {'recipe' : '37', 'ingredient' : '60', 'name' : 'dal', 'mass_unit' : '2', 'mass_quantity' : '2', 'volume_unit' : '1', 'volume_quantity' : '0', 'pieces_unit' : '3', 'pieces_quantity' : '0', 'cooking_notes' : ''}).status_code; print('%s :: %s :: %s :: %s :: %s' %(a,966,'dal','dal','Khichadi'))</v>
      </c>
    </row>
    <row r="967" customFormat="false" ht="13.8" hidden="false" customHeight="false" outlineLevel="0" collapsed="false">
      <c r="G967" s="80" t="n">
        <v>967</v>
      </c>
      <c r="H967" s="83"/>
      <c r="I967" s="83" t="s">
        <v>220</v>
      </c>
      <c r="J967" s="83" t="s">
        <v>96</v>
      </c>
      <c r="M967" s="61" t="n">
        <v>1.25</v>
      </c>
      <c r="N967" s="61" t="s">
        <v>20</v>
      </c>
      <c r="R967" s="82" t="str">
        <f aca="false">VLOOKUP(J967,ingredient!$N$4:$O$553,2,0)</f>
        <v>salt</v>
      </c>
      <c r="U967" s="81" t="str">
        <f aca="false">I967</f>
        <v>Khichadi</v>
      </c>
      <c r="V967" s="81" t="n">
        <f aca="false">VLOOKUP(U967,recipe_ingred_list!$A$2:$B$300,2,0)</f>
        <v>37</v>
      </c>
      <c r="W967" s="81" t="str">
        <f aca="false">"/recipes/"&amp;VLOOKUP(U967,recipe_ingred_list!$A$2:$C$300,3,0)&amp;"/detail/"</f>
        <v>/recipes/khichadi/detail/</v>
      </c>
      <c r="X967" s="81" t="str">
        <f aca="false">J967</f>
        <v>salt</v>
      </c>
      <c r="Y967" s="81" t="str">
        <f aca="false">R967</f>
        <v>salt</v>
      </c>
      <c r="Z967" s="94" t="n">
        <f aca="false">VLOOKUP(Y967,recipe_ingred_list!$D$2:$E$500,2,0)</f>
        <v>177</v>
      </c>
      <c r="AA967" s="61" t="n">
        <f aca="false">K967</f>
        <v>0</v>
      </c>
      <c r="AB967" s="61" t="n">
        <f aca="false">L967</f>
        <v>0</v>
      </c>
      <c r="AC967" s="61" t="n">
        <f aca="false">VLOOKUP(AB967,recipe_ingred_list!$K$2:$M$7,3,0)</f>
        <v>2</v>
      </c>
      <c r="AD967" s="61" t="n">
        <f aca="false">M967</f>
        <v>1.25</v>
      </c>
      <c r="AE967" s="61" t="str">
        <f aca="false">N967</f>
        <v>cup</v>
      </c>
      <c r="AF967" s="61" t="n">
        <f aca="false">VLOOKUP(AE967,recipe_ingred_list!$K$16:$M$25,3,0)</f>
        <v>5</v>
      </c>
      <c r="AG967" s="61" t="n">
        <f aca="false">O967</f>
        <v>0</v>
      </c>
      <c r="AH967" s="61" t="n">
        <f aca="false">P967</f>
        <v>0</v>
      </c>
      <c r="AI967" s="61" t="n">
        <f aca="false">VLOOKUP(AH967,recipe_ingred_list!$K$29:$M$34,3,0)</f>
        <v>3</v>
      </c>
      <c r="AJ967" s="61" t="str">
        <f aca="false">IF(Q967="","",Q967)</f>
        <v/>
      </c>
      <c r="AK967" s="61" t="n">
        <f aca="false">AK966+1</f>
        <v>967</v>
      </c>
      <c r="AL967" s="61" t="str">
        <f aca="false">Y967</f>
        <v>salt</v>
      </c>
      <c r="AM967" s="81" t="str">
        <f aca="false">"a = Client().post('"&amp;W967&amp;"', {'recipe' : '"&amp;V967&amp;"', 'ingredient' : '"&amp;Z967&amp;"', 'name' : '"&amp;X967&amp;"', 'mass_unit' : '"&amp;AC967&amp;"', 'mass_quantity' : '"&amp;ROUND(AA967,3)&amp;"', 'volume_unit' : '"&amp;AF967&amp;"', 'volume_quantity' : '"&amp;ROUND(AD967,3)&amp;"', 'pieces_unit' : '"&amp;AI967&amp;"', 'pieces_quantity' : '"&amp;ROUND(AG967,3)&amp;"', 'cooking_notes' : '"&amp;AJ967&amp;"'}).status_code; print('%s :: %s :: %s :: %s :: %s' %(a,"&amp;G967&amp;",'"&amp;X967&amp;"','"&amp;Y967&amp;"','"&amp;U967&amp;"'))"</f>
        <v>a = Client().post('/recipes/khichadi/detail/', {'recipe' : '37', 'ingredient' : '177', 'name' : 'salt', 'mass_unit' : '2', 'mass_quantity' : '0', 'volume_unit' : '5', 'volume_quantity' : '1.25', 'pieces_unit' : '3', 'pieces_quantity' : '0', 'cooking_notes' : ''}).status_code; print('%s :: %s :: %s :: %s :: %s' %(a,967,'salt','salt','Khichadi'))</v>
      </c>
    </row>
    <row r="968" customFormat="false" ht="13.8" hidden="false" customHeight="false" outlineLevel="0" collapsed="false">
      <c r="G968" s="80" t="n">
        <v>968</v>
      </c>
      <c r="H968" s="83"/>
      <c r="I968" s="83" t="s">
        <v>220</v>
      </c>
      <c r="J968" s="83" t="s">
        <v>382</v>
      </c>
      <c r="M968" s="61" t="n">
        <v>0.25</v>
      </c>
      <c r="N968" s="61" t="s">
        <v>20</v>
      </c>
      <c r="R968" s="82" t="str">
        <f aca="false">VLOOKUP(J968,ingredient!$N$4:$O$553,2,0)</f>
        <v>haldi</v>
      </c>
      <c r="U968" s="81" t="str">
        <f aca="false">I968</f>
        <v>Khichadi</v>
      </c>
      <c r="V968" s="81" t="n">
        <f aca="false">VLOOKUP(U968,recipe_ingred_list!$A$2:$B$300,2,0)</f>
        <v>37</v>
      </c>
      <c r="W968" s="81" t="str">
        <f aca="false">"/recipes/"&amp;VLOOKUP(U968,recipe_ingred_list!$A$2:$C$300,3,0)&amp;"/detail/"</f>
        <v>/recipes/khichadi/detail/</v>
      </c>
      <c r="X968" s="81" t="str">
        <f aca="false">J968</f>
        <v>haldi</v>
      </c>
      <c r="Y968" s="81" t="str">
        <f aca="false">R968</f>
        <v>haldi</v>
      </c>
      <c r="Z968" s="94" t="n">
        <f aca="false">VLOOKUP(Y968,recipe_ingred_list!$D$2:$E$500,2,0)</f>
        <v>91</v>
      </c>
      <c r="AA968" s="61" t="n">
        <f aca="false">K968</f>
        <v>0</v>
      </c>
      <c r="AB968" s="61" t="n">
        <f aca="false">L968</f>
        <v>0</v>
      </c>
      <c r="AC968" s="61" t="n">
        <f aca="false">VLOOKUP(AB968,recipe_ingred_list!$K$2:$M$7,3,0)</f>
        <v>2</v>
      </c>
      <c r="AD968" s="61" t="n">
        <f aca="false">M968</f>
        <v>0.25</v>
      </c>
      <c r="AE968" s="61" t="str">
        <f aca="false">N968</f>
        <v>cup</v>
      </c>
      <c r="AF968" s="61" t="n">
        <f aca="false">VLOOKUP(AE968,recipe_ingred_list!$K$16:$M$25,3,0)</f>
        <v>5</v>
      </c>
      <c r="AG968" s="61" t="n">
        <f aca="false">O968</f>
        <v>0</v>
      </c>
      <c r="AH968" s="61" t="n">
        <f aca="false">P968</f>
        <v>0</v>
      </c>
      <c r="AI968" s="61" t="n">
        <f aca="false">VLOOKUP(AH968,recipe_ingred_list!$K$29:$M$34,3,0)</f>
        <v>3</v>
      </c>
      <c r="AJ968" s="61" t="str">
        <f aca="false">IF(Q968="","",Q968)</f>
        <v/>
      </c>
      <c r="AK968" s="61" t="n">
        <f aca="false">AK967+1</f>
        <v>968</v>
      </c>
      <c r="AL968" s="61" t="str">
        <f aca="false">Y968</f>
        <v>haldi</v>
      </c>
      <c r="AM968" s="81" t="str">
        <f aca="false">"a = Client().post('"&amp;W968&amp;"', {'recipe' : '"&amp;V968&amp;"', 'ingredient' : '"&amp;Z968&amp;"', 'name' : '"&amp;X968&amp;"', 'mass_unit' : '"&amp;AC968&amp;"', 'mass_quantity' : '"&amp;ROUND(AA968,3)&amp;"', 'volume_unit' : '"&amp;AF968&amp;"', 'volume_quantity' : '"&amp;ROUND(AD968,3)&amp;"', 'pieces_unit' : '"&amp;AI968&amp;"', 'pieces_quantity' : '"&amp;ROUND(AG968,3)&amp;"', 'cooking_notes' : '"&amp;AJ968&amp;"'}).status_code; print('%s :: %s :: %s :: %s :: %s' %(a,"&amp;G968&amp;",'"&amp;X968&amp;"','"&amp;Y968&amp;"','"&amp;U968&amp;"'))"</f>
        <v>a = Client().post('/recipes/khichadi/detail/', {'recipe' : '37', 'ingredient' : '91', 'name' : 'haldi', 'mass_unit' : '2', 'mass_quantity' : '0', 'volume_unit' : '5', 'volume_quantity' : '0.25', 'pieces_unit' : '3', 'pieces_quantity' : '0', 'cooking_notes' : ''}).status_code; print('%s :: %s :: %s :: %s :: %s' %(a,968,'haldi','haldi','Khichadi'))</v>
      </c>
    </row>
    <row r="969" customFormat="false" ht="13.8" hidden="false" customHeight="false" outlineLevel="0" collapsed="false">
      <c r="G969" s="80" t="n">
        <v>969</v>
      </c>
      <c r="H969" s="83"/>
      <c r="I969" s="83" t="s">
        <v>220</v>
      </c>
      <c r="J969" s="83" t="s">
        <v>456</v>
      </c>
      <c r="M969" s="61" t="n">
        <v>0.3</v>
      </c>
      <c r="N969" s="61" t="s">
        <v>20</v>
      </c>
      <c r="R969" s="82" t="str">
        <f aca="false">VLOOKUP(J969,ingredient!$N$4:$O$553,2,0)</f>
        <v>rai</v>
      </c>
      <c r="U969" s="81" t="str">
        <f aca="false">I969</f>
        <v>Khichadi</v>
      </c>
      <c r="V969" s="81" t="n">
        <f aca="false">VLOOKUP(U969,recipe_ingred_list!$A$2:$B$300,2,0)</f>
        <v>37</v>
      </c>
      <c r="W969" s="81" t="str">
        <f aca="false">"/recipes/"&amp;VLOOKUP(U969,recipe_ingred_list!$A$2:$C$300,3,0)&amp;"/detail/"</f>
        <v>/recipes/khichadi/detail/</v>
      </c>
      <c r="X969" s="81" t="str">
        <f aca="false">J969</f>
        <v>rai</v>
      </c>
      <c r="Y969" s="81" t="str">
        <f aca="false">R969</f>
        <v>rai</v>
      </c>
      <c r="Z969" s="94" t="n">
        <f aca="false">VLOOKUP(Y969,recipe_ingred_list!$D$2:$E$500,2,0)</f>
        <v>164</v>
      </c>
      <c r="AA969" s="61" t="n">
        <f aca="false">K969</f>
        <v>0</v>
      </c>
      <c r="AB969" s="61" t="n">
        <f aca="false">L969</f>
        <v>0</v>
      </c>
      <c r="AC969" s="61" t="n">
        <f aca="false">VLOOKUP(AB969,recipe_ingred_list!$K$2:$M$7,3,0)</f>
        <v>2</v>
      </c>
      <c r="AD969" s="61" t="n">
        <f aca="false">M969</f>
        <v>0.3</v>
      </c>
      <c r="AE969" s="61" t="str">
        <f aca="false">N969</f>
        <v>cup</v>
      </c>
      <c r="AF969" s="61" t="n">
        <f aca="false">VLOOKUP(AE969,recipe_ingred_list!$K$16:$M$25,3,0)</f>
        <v>5</v>
      </c>
      <c r="AG969" s="61" t="n">
        <f aca="false">O969</f>
        <v>0</v>
      </c>
      <c r="AH969" s="61" t="n">
        <f aca="false">P969</f>
        <v>0</v>
      </c>
      <c r="AI969" s="61" t="n">
        <f aca="false">VLOOKUP(AH969,recipe_ingred_list!$K$29:$M$34,3,0)</f>
        <v>3</v>
      </c>
      <c r="AJ969" s="61" t="str">
        <f aca="false">IF(Q969="","",Q969)</f>
        <v/>
      </c>
      <c r="AK969" s="61" t="n">
        <f aca="false">AK968+1</f>
        <v>969</v>
      </c>
      <c r="AL969" s="61" t="str">
        <f aca="false">Y969</f>
        <v>rai</v>
      </c>
      <c r="AM969" s="81" t="str">
        <f aca="false">"a = Client().post('"&amp;W969&amp;"', {'recipe' : '"&amp;V969&amp;"', 'ingredient' : '"&amp;Z969&amp;"', 'name' : '"&amp;X969&amp;"', 'mass_unit' : '"&amp;AC969&amp;"', 'mass_quantity' : '"&amp;ROUND(AA969,3)&amp;"', 'volume_unit' : '"&amp;AF969&amp;"', 'volume_quantity' : '"&amp;ROUND(AD969,3)&amp;"', 'pieces_unit' : '"&amp;AI969&amp;"', 'pieces_quantity' : '"&amp;ROUND(AG969,3)&amp;"', 'cooking_notes' : '"&amp;AJ969&amp;"'}).status_code; print('%s :: %s :: %s :: %s :: %s' %(a,"&amp;G969&amp;",'"&amp;X969&amp;"','"&amp;Y969&amp;"','"&amp;U969&amp;"'))"</f>
        <v>a = Client().post('/recipes/khichadi/detail/', {'recipe' : '37', 'ingredient' : '164', 'name' : 'rai', 'mass_unit' : '2', 'mass_quantity' : '0', 'volume_unit' : '5', 'volume_quantity' : '0.3', 'pieces_unit' : '3', 'pieces_quantity' : '0', 'cooking_notes' : ''}).status_code; print('%s :: %s :: %s :: %s :: %s' %(a,969,'rai','rai','Khichadi'))</v>
      </c>
    </row>
    <row r="970" customFormat="false" ht="13.8" hidden="false" customHeight="false" outlineLevel="0" collapsed="false">
      <c r="G970" s="80" t="n">
        <v>970</v>
      </c>
      <c r="H970" s="83"/>
      <c r="I970" s="83" t="s">
        <v>220</v>
      </c>
      <c r="J970" s="83" t="s">
        <v>398</v>
      </c>
      <c r="M970" s="61" t="n">
        <v>0.4</v>
      </c>
      <c r="N970" s="61" t="s">
        <v>20</v>
      </c>
      <c r="R970" s="82" t="str">
        <f aca="false">VLOOKUP(J970,ingredient!$N$4:$O$553,2,0)</f>
        <v>jeera</v>
      </c>
      <c r="U970" s="81" t="str">
        <f aca="false">I970</f>
        <v>Khichadi</v>
      </c>
      <c r="V970" s="81" t="n">
        <f aca="false">VLOOKUP(U970,recipe_ingred_list!$A$2:$B$300,2,0)</f>
        <v>37</v>
      </c>
      <c r="W970" s="81" t="str">
        <f aca="false">"/recipes/"&amp;VLOOKUP(U970,recipe_ingred_list!$A$2:$C$300,3,0)&amp;"/detail/"</f>
        <v>/recipes/khichadi/detail/</v>
      </c>
      <c r="X970" s="81" t="str">
        <f aca="false">J970</f>
        <v>jeera</v>
      </c>
      <c r="Y970" s="81" t="str">
        <f aca="false">R970</f>
        <v>jeera</v>
      </c>
      <c r="Z970" s="94" t="n">
        <f aca="false">VLOOKUP(Y970,recipe_ingred_list!$D$2:$E$500,2,0)</f>
        <v>102</v>
      </c>
      <c r="AA970" s="61" t="n">
        <f aca="false">K970</f>
        <v>0</v>
      </c>
      <c r="AB970" s="61" t="n">
        <f aca="false">L970</f>
        <v>0</v>
      </c>
      <c r="AC970" s="61" t="n">
        <f aca="false">VLOOKUP(AB970,recipe_ingred_list!$K$2:$M$7,3,0)</f>
        <v>2</v>
      </c>
      <c r="AD970" s="61" t="n">
        <f aca="false">M970</f>
        <v>0.4</v>
      </c>
      <c r="AE970" s="61" t="str">
        <f aca="false">N970</f>
        <v>cup</v>
      </c>
      <c r="AF970" s="61" t="n">
        <f aca="false">VLOOKUP(AE970,recipe_ingred_list!$K$16:$M$25,3,0)</f>
        <v>5</v>
      </c>
      <c r="AG970" s="61" t="n">
        <f aca="false">O970</f>
        <v>0</v>
      </c>
      <c r="AH970" s="61" t="n">
        <f aca="false">P970</f>
        <v>0</v>
      </c>
      <c r="AI970" s="61" t="n">
        <f aca="false">VLOOKUP(AH970,recipe_ingred_list!$K$29:$M$34,3,0)</f>
        <v>3</v>
      </c>
      <c r="AJ970" s="61" t="str">
        <f aca="false">IF(Q970="","",Q970)</f>
        <v/>
      </c>
      <c r="AK970" s="61" t="n">
        <f aca="false">AK969+1</f>
        <v>970</v>
      </c>
      <c r="AL970" s="61" t="str">
        <f aca="false">Y970</f>
        <v>jeera</v>
      </c>
      <c r="AM970" s="81" t="str">
        <f aca="false">"a = Client().post('"&amp;W970&amp;"', {'recipe' : '"&amp;V970&amp;"', 'ingredient' : '"&amp;Z970&amp;"', 'name' : '"&amp;X970&amp;"', 'mass_unit' : '"&amp;AC970&amp;"', 'mass_quantity' : '"&amp;ROUND(AA970,3)&amp;"', 'volume_unit' : '"&amp;AF970&amp;"', 'volume_quantity' : '"&amp;ROUND(AD970,3)&amp;"', 'pieces_unit' : '"&amp;AI970&amp;"', 'pieces_quantity' : '"&amp;ROUND(AG970,3)&amp;"', 'cooking_notes' : '"&amp;AJ970&amp;"'}).status_code; print('%s :: %s :: %s :: %s :: %s' %(a,"&amp;G970&amp;",'"&amp;X970&amp;"','"&amp;Y970&amp;"','"&amp;U970&amp;"'))"</f>
        <v>a = Client().post('/recipes/khichadi/detail/', {'recipe' : '37', 'ingredient' : '102', 'name' : 'jeera', 'mass_unit' : '2', 'mass_quantity' : '0', 'volume_unit' : '5', 'volume_quantity' : '0.4', 'pieces_unit' : '3', 'pieces_quantity' : '0', 'cooking_notes' : ''}).status_code; print('%s :: %s :: %s :: %s :: %s' %(a,970,'jeera','jeera','Khichadi'))</v>
      </c>
    </row>
    <row r="971" customFormat="false" ht="13.8" hidden="false" customHeight="false" outlineLevel="0" collapsed="false">
      <c r="G971" s="80" t="n">
        <v>971</v>
      </c>
      <c r="H971" s="83"/>
      <c r="I971" s="83" t="s">
        <v>220</v>
      </c>
      <c r="J971" s="83" t="s">
        <v>391</v>
      </c>
      <c r="M971" s="61" t="n">
        <v>0.1</v>
      </c>
      <c r="N971" s="61" t="s">
        <v>20</v>
      </c>
      <c r="R971" s="82" t="str">
        <f aca="false">VLOOKUP(J971,ingredient!$N$4:$O$553,2,0)</f>
        <v>hing</v>
      </c>
      <c r="U971" s="81" t="str">
        <f aca="false">I971</f>
        <v>Khichadi</v>
      </c>
      <c r="V971" s="81" t="n">
        <f aca="false">VLOOKUP(U971,recipe_ingred_list!$A$2:$B$300,2,0)</f>
        <v>37</v>
      </c>
      <c r="W971" s="81" t="str">
        <f aca="false">"/recipes/"&amp;VLOOKUP(U971,recipe_ingred_list!$A$2:$C$300,3,0)&amp;"/detail/"</f>
        <v>/recipes/khichadi/detail/</v>
      </c>
      <c r="X971" s="81" t="str">
        <f aca="false">J971</f>
        <v>hing</v>
      </c>
      <c r="Y971" s="81" t="str">
        <f aca="false">R971</f>
        <v>hing</v>
      </c>
      <c r="Z971" s="94" t="n">
        <f aca="false">VLOOKUP(Y971,recipe_ingred_list!$D$2:$E$500,2,0)</f>
        <v>95</v>
      </c>
      <c r="AA971" s="61" t="n">
        <f aca="false">K971</f>
        <v>0</v>
      </c>
      <c r="AB971" s="61" t="n">
        <f aca="false">L971</f>
        <v>0</v>
      </c>
      <c r="AC971" s="61" t="n">
        <f aca="false">VLOOKUP(AB971,recipe_ingred_list!$K$2:$M$7,3,0)</f>
        <v>2</v>
      </c>
      <c r="AD971" s="61" t="n">
        <f aca="false">M971</f>
        <v>0.1</v>
      </c>
      <c r="AE971" s="61" t="str">
        <f aca="false">N971</f>
        <v>cup</v>
      </c>
      <c r="AF971" s="61" t="n">
        <f aca="false">VLOOKUP(AE971,recipe_ingred_list!$K$16:$M$25,3,0)</f>
        <v>5</v>
      </c>
      <c r="AG971" s="61" t="n">
        <f aca="false">O971</f>
        <v>0</v>
      </c>
      <c r="AH971" s="61" t="n">
        <f aca="false">P971</f>
        <v>0</v>
      </c>
      <c r="AI971" s="61" t="n">
        <f aca="false">VLOOKUP(AH971,recipe_ingred_list!$K$29:$M$34,3,0)</f>
        <v>3</v>
      </c>
      <c r="AJ971" s="61" t="str">
        <f aca="false">IF(Q971="","",Q971)</f>
        <v/>
      </c>
      <c r="AK971" s="61" t="n">
        <f aca="false">AK970+1</f>
        <v>971</v>
      </c>
      <c r="AL971" s="61" t="str">
        <f aca="false">Y971</f>
        <v>hing</v>
      </c>
      <c r="AM971" s="81" t="str">
        <f aca="false">"a = Client().post('"&amp;W971&amp;"', {'recipe' : '"&amp;V971&amp;"', 'ingredient' : '"&amp;Z971&amp;"', 'name' : '"&amp;X971&amp;"', 'mass_unit' : '"&amp;AC971&amp;"', 'mass_quantity' : '"&amp;ROUND(AA971,3)&amp;"', 'volume_unit' : '"&amp;AF971&amp;"', 'volume_quantity' : '"&amp;ROUND(AD971,3)&amp;"', 'pieces_unit' : '"&amp;AI971&amp;"', 'pieces_quantity' : '"&amp;ROUND(AG971,3)&amp;"', 'cooking_notes' : '"&amp;AJ971&amp;"'}).status_code; print('%s :: %s :: %s :: %s :: %s' %(a,"&amp;G971&amp;",'"&amp;X971&amp;"','"&amp;Y971&amp;"','"&amp;U971&amp;"'))"</f>
        <v>a = Client().post('/recipes/khichadi/detail/', {'recipe' : '37', 'ingredient' : '95', 'name' : 'hing', 'mass_unit' : '2', 'mass_quantity' : '0', 'volume_unit' : '5', 'volume_quantity' : '0.1', 'pieces_unit' : '3', 'pieces_quantity' : '0', 'cooking_notes' : ''}).status_code; print('%s :: %s :: %s :: %s :: %s' %(a,971,'hing','hing','Khichadi'))</v>
      </c>
    </row>
    <row r="972" customFormat="false" ht="13.8" hidden="false" customHeight="false" outlineLevel="0" collapsed="false">
      <c r="G972" s="80" t="n">
        <v>972</v>
      </c>
      <c r="H972" s="83"/>
      <c r="I972" s="83" t="s">
        <v>220</v>
      </c>
      <c r="J972" s="83" t="s">
        <v>354</v>
      </c>
      <c r="M972" s="61" t="n">
        <v>300</v>
      </c>
      <c r="N972" s="61" t="s">
        <v>143</v>
      </c>
      <c r="R972" s="82" t="str">
        <f aca="false">VLOOKUP(J972,ingredient!$N$4:$O$553,2,0)</f>
        <v>ghee</v>
      </c>
      <c r="U972" s="81" t="str">
        <f aca="false">I972</f>
        <v>Khichadi</v>
      </c>
      <c r="V972" s="81" t="n">
        <f aca="false">VLOOKUP(U972,recipe_ingred_list!$A$2:$B$300,2,0)</f>
        <v>37</v>
      </c>
      <c r="W972" s="81" t="str">
        <f aca="false">"/recipes/"&amp;VLOOKUP(U972,recipe_ingred_list!$A$2:$C$300,3,0)&amp;"/detail/"</f>
        <v>/recipes/khichadi/detail/</v>
      </c>
      <c r="X972" s="81" t="str">
        <f aca="false">J972</f>
        <v>ghee</v>
      </c>
      <c r="Y972" s="81" t="str">
        <f aca="false">R972</f>
        <v>ghee</v>
      </c>
      <c r="Z972" s="94" t="n">
        <f aca="false">VLOOKUP(Y972,recipe_ingred_list!$D$2:$E$500,2,0)</f>
        <v>81</v>
      </c>
      <c r="AA972" s="61" t="n">
        <f aca="false">K972</f>
        <v>0</v>
      </c>
      <c r="AB972" s="61" t="n">
        <f aca="false">L972</f>
        <v>0</v>
      </c>
      <c r="AC972" s="61" t="n">
        <f aca="false">VLOOKUP(AB972,recipe_ingred_list!$K$2:$M$7,3,0)</f>
        <v>2</v>
      </c>
      <c r="AD972" s="61" t="n">
        <f aca="false">M972</f>
        <v>300</v>
      </c>
      <c r="AE972" s="61" t="str">
        <f aca="false">N972</f>
        <v>ml</v>
      </c>
      <c r="AF972" s="61" t="n">
        <f aca="false">VLOOKUP(AE972,recipe_ingred_list!$K$16:$M$25,3,0)</f>
        <v>12</v>
      </c>
      <c r="AG972" s="61" t="n">
        <f aca="false">O972</f>
        <v>0</v>
      </c>
      <c r="AH972" s="61" t="n">
        <f aca="false">P972</f>
        <v>0</v>
      </c>
      <c r="AI972" s="61" t="n">
        <f aca="false">VLOOKUP(AH972,recipe_ingred_list!$K$29:$M$34,3,0)</f>
        <v>3</v>
      </c>
      <c r="AJ972" s="61" t="str">
        <f aca="false">IF(Q972="","",Q972)</f>
        <v/>
      </c>
      <c r="AK972" s="61" t="n">
        <f aca="false">AK971+1</f>
        <v>972</v>
      </c>
      <c r="AL972" s="61" t="str">
        <f aca="false">Y972</f>
        <v>ghee</v>
      </c>
      <c r="AM972" s="81" t="str">
        <f aca="false">"a = Client().post('"&amp;W972&amp;"', {'recipe' : '"&amp;V972&amp;"', 'ingredient' : '"&amp;Z972&amp;"', 'name' : '"&amp;X972&amp;"', 'mass_unit' : '"&amp;AC972&amp;"', 'mass_quantity' : '"&amp;ROUND(AA972,3)&amp;"', 'volume_unit' : '"&amp;AF972&amp;"', 'volume_quantity' : '"&amp;ROUND(AD972,3)&amp;"', 'pieces_unit' : '"&amp;AI972&amp;"', 'pieces_quantity' : '"&amp;ROUND(AG972,3)&amp;"', 'cooking_notes' : '"&amp;AJ972&amp;"'}).status_code; print('%s :: %s :: %s :: %s :: %s' %(a,"&amp;G972&amp;",'"&amp;X972&amp;"','"&amp;Y972&amp;"','"&amp;U972&amp;"'))"</f>
        <v>a = Client().post('/recipes/khichadi/detail/', {'recipe' : '37', 'ingredient' : '81', 'name' : 'ghee', 'mass_unit' : '2', 'mass_quantity' : '0', 'volume_unit' : '12', 'volume_quantity' : '300', 'pieces_unit' : '3', 'pieces_quantity' : '0', 'cooking_notes' : ''}).status_code; print('%s :: %s :: %s :: %s :: %s' %(a,972,'ghee','ghee','Khichadi'))</v>
      </c>
    </row>
    <row r="973" customFormat="false" ht="13.8" hidden="false" customHeight="false" outlineLevel="0" collapsed="false">
      <c r="G973" s="80" t="n">
        <v>973</v>
      </c>
      <c r="H973" s="79"/>
      <c r="I973" s="79"/>
      <c r="J973" s="79"/>
      <c r="K973" s="100"/>
      <c r="L973" s="100"/>
      <c r="M973" s="100"/>
      <c r="N973" s="100"/>
      <c r="O973" s="100"/>
      <c r="P973" s="100"/>
      <c r="Q973" s="102"/>
      <c r="R973" s="99" t="e">
        <f aca="false">VLOOKUP(J973,ingredient!$N$4:$O$553,2,0)</f>
        <v>#N/A</v>
      </c>
      <c r="S973" s="98"/>
      <c r="T973" s="98"/>
      <c r="U973" s="81" t="n">
        <f aca="false">I973</f>
        <v>0</v>
      </c>
      <c r="V973" s="81" t="e">
        <f aca="false">VLOOKUP(U973,recipe_ingred_list!$A$2:$B$300,2,0)</f>
        <v>#N/A</v>
      </c>
      <c r="W973" s="81" t="e">
        <f aca="false">"/recipes/"&amp;VLOOKUP(U973,recipe_ingred_list!$A$2:$C$300,3,0)&amp;"/detail/"</f>
        <v>#N/A</v>
      </c>
      <c r="X973" s="81" t="n">
        <f aca="false">J973</f>
        <v>0</v>
      </c>
      <c r="Y973" s="81" t="e">
        <f aca="false">R973</f>
        <v>#N/A</v>
      </c>
      <c r="Z973" s="94" t="e">
        <f aca="false">VLOOKUP(Y973,recipe_ingred_list!$D$2:$E$500,2,0)</f>
        <v>#N/A</v>
      </c>
      <c r="AA973" s="61" t="n">
        <f aca="false">K973</f>
        <v>0</v>
      </c>
      <c r="AB973" s="61" t="n">
        <f aca="false">L973</f>
        <v>0</v>
      </c>
      <c r="AC973" s="61" t="n">
        <f aca="false">VLOOKUP(AB973,recipe_ingred_list!$K$2:$M$7,3,0)</f>
        <v>2</v>
      </c>
      <c r="AD973" s="61" t="n">
        <f aca="false">M973</f>
        <v>0</v>
      </c>
      <c r="AE973" s="61" t="n">
        <f aca="false">N973</f>
        <v>0</v>
      </c>
      <c r="AF973" s="61" t="n">
        <f aca="false">VLOOKUP(AE973,recipe_ingred_list!$K$16:$M$25,3,0)</f>
        <v>1</v>
      </c>
      <c r="AG973" s="61" t="n">
        <f aca="false">O973</f>
        <v>0</v>
      </c>
      <c r="AH973" s="61" t="n">
        <f aca="false">P973</f>
        <v>0</v>
      </c>
      <c r="AI973" s="61" t="n">
        <f aca="false">VLOOKUP(AH973,recipe_ingred_list!$K$29:$M$34,3,0)</f>
        <v>3</v>
      </c>
      <c r="AJ973" s="61" t="str">
        <f aca="false">IF(Q973="","",Q973)</f>
        <v/>
      </c>
      <c r="AK973" s="61" t="n">
        <f aca="false">AK972+1</f>
        <v>973</v>
      </c>
      <c r="AL973" s="61" t="e">
        <f aca="false">Y973</f>
        <v>#N/A</v>
      </c>
      <c r="AM973" s="81" t="e">
        <f aca="false">"a = Client().post('"&amp;W973&amp;"', {'recipe' : '"&amp;V973&amp;"', 'ingredient' : '"&amp;Z973&amp;"', 'name' : '"&amp;X973&amp;"', 'mass_unit' : '"&amp;AC973&amp;"', 'mass_quantity' : '"&amp;ROUND(AA973,3)&amp;"', 'volume_unit' : '"&amp;AF973&amp;"', 'volume_quantity' : '"&amp;ROUND(AD973,3)&amp;"', 'pieces_unit' : '"&amp;AI973&amp;"', 'pieces_quantity' : '"&amp;ROUND(AG973,3)&amp;"', 'cooking_notes' : '"&amp;AJ973&amp;"'}).status_code; print('%s :: %s :: %s :: %s :: %s' %(a,"&amp;G973&amp;",'"&amp;X973&amp;"','"&amp;Y973&amp;"','"&amp;U973&amp;"'))"</f>
        <v>#N/A</v>
      </c>
    </row>
    <row r="974" customFormat="false" ht="13.8" hidden="false" customHeight="false" outlineLevel="0" collapsed="false">
      <c r="G974" s="80" t="n">
        <v>974</v>
      </c>
      <c r="H974" s="83"/>
      <c r="I974" s="83" t="s">
        <v>172</v>
      </c>
      <c r="J974" s="83" t="s">
        <v>485</v>
      </c>
      <c r="K974" s="61" t="n">
        <v>3</v>
      </c>
      <c r="L974" s="61" t="s">
        <v>7</v>
      </c>
      <c r="R974" s="82" t="str">
        <f aca="false">VLOOKUP(J974,ingredient!$N$4:$O$553,2,0)</f>
        <v>tomato</v>
      </c>
      <c r="U974" s="81" t="str">
        <f aca="false">I974</f>
        <v>Dwadashi / Spicy Khichadi</v>
      </c>
      <c r="V974" s="81" t="n">
        <f aca="false">VLOOKUP(U974,recipe_ingred_list!$A$2:$B$300,2,0)</f>
        <v>21</v>
      </c>
      <c r="W974" s="81" t="str">
        <f aca="false">"/recipes/"&amp;VLOOKUP(U974,recipe_ingred_list!$A$2:$C$300,3,0)&amp;"/detail/"</f>
        <v>/recipes/dwadashi-spicy-khichadi/detail/</v>
      </c>
      <c r="X974" s="81" t="str">
        <f aca="false">J974</f>
        <v>tomato</v>
      </c>
      <c r="Y974" s="81" t="str">
        <f aca="false">R974</f>
        <v>tomato</v>
      </c>
      <c r="Z974" s="94" t="n">
        <f aca="false">VLOOKUP(Y974,recipe_ingred_list!$D$2:$E$500,2,0)</f>
        <v>195</v>
      </c>
      <c r="AA974" s="61" t="n">
        <f aca="false">K974</f>
        <v>3</v>
      </c>
      <c r="AB974" s="61" t="str">
        <f aca="false">L974</f>
        <v>kg</v>
      </c>
      <c r="AC974" s="61" t="n">
        <f aca="false">VLOOKUP(AB974,recipe_ingred_list!$K$2:$M$7,3,0)</f>
        <v>2</v>
      </c>
      <c r="AD974" s="61" t="n">
        <f aca="false">M974</f>
        <v>0</v>
      </c>
      <c r="AE974" s="61" t="n">
        <f aca="false">N974</f>
        <v>0</v>
      </c>
      <c r="AF974" s="61" t="n">
        <f aca="false">VLOOKUP(AE974,recipe_ingred_list!$K$16:$M$25,3,0)</f>
        <v>1</v>
      </c>
      <c r="AG974" s="61" t="n">
        <f aca="false">O974</f>
        <v>0</v>
      </c>
      <c r="AH974" s="61" t="n">
        <f aca="false">P974</f>
        <v>0</v>
      </c>
      <c r="AI974" s="61" t="n">
        <f aca="false">VLOOKUP(AH974,recipe_ingred_list!$K$29:$M$34,3,0)</f>
        <v>3</v>
      </c>
      <c r="AJ974" s="61" t="str">
        <f aca="false">IF(Q974="","",Q974)</f>
        <v/>
      </c>
      <c r="AK974" s="61" t="n">
        <f aca="false">AK973+1</f>
        <v>974</v>
      </c>
      <c r="AL974" s="61" t="str">
        <f aca="false">Y974</f>
        <v>tomato</v>
      </c>
      <c r="AM974" s="81" t="str">
        <f aca="false">"a = Client().post('"&amp;W974&amp;"', {'recipe' : '"&amp;V974&amp;"', 'ingredient' : '"&amp;Z974&amp;"', 'name' : '"&amp;X974&amp;"', 'mass_unit' : '"&amp;AC974&amp;"', 'mass_quantity' : '"&amp;ROUND(AA974,3)&amp;"', 'volume_unit' : '"&amp;AF974&amp;"', 'volume_quantity' : '"&amp;ROUND(AD974,3)&amp;"', 'pieces_unit' : '"&amp;AI974&amp;"', 'pieces_quantity' : '"&amp;ROUND(AG974,3)&amp;"', 'cooking_notes' : '"&amp;AJ974&amp;"'}).status_code; print('%s :: %s :: %s :: %s :: %s' %(a,"&amp;G974&amp;",'"&amp;X974&amp;"','"&amp;Y974&amp;"','"&amp;U974&amp;"'))"</f>
        <v>a = Client().post('/recipes/dwadashi-spicy-khichadi/detail/', {'recipe' : '21', 'ingredient' : '195', 'name' : 'tomato', 'mass_unit' : '2', 'mass_quantity' : '3', 'volume_unit' : '1', 'volume_quantity' : '0', 'pieces_unit' : '3', 'pieces_quantity' : '0', 'cooking_notes' : ''}).status_code; print('%s :: %s :: %s :: %s :: %s' %(a,974,'tomato','tomato','Dwadashi / Spicy Khichadi'))</v>
      </c>
    </row>
    <row r="975" customFormat="false" ht="13.8" hidden="false" customHeight="false" outlineLevel="0" collapsed="false">
      <c r="G975" s="80" t="n">
        <v>975</v>
      </c>
      <c r="H975" s="83"/>
      <c r="I975" s="83" t="s">
        <v>172</v>
      </c>
      <c r="J975" s="83" t="s">
        <v>192</v>
      </c>
      <c r="K975" s="61" t="n">
        <v>1</v>
      </c>
      <c r="L975" s="61" t="s">
        <v>7</v>
      </c>
      <c r="R975" s="82" t="str">
        <f aca="false">VLOOKUP(J975,ingredient!$N$4:$O$553,2,0)</f>
        <v>beans</v>
      </c>
      <c r="U975" s="81" t="str">
        <f aca="false">I975</f>
        <v>Dwadashi / Spicy Khichadi</v>
      </c>
      <c r="V975" s="81" t="n">
        <f aca="false">VLOOKUP(U975,recipe_ingred_list!$A$2:$B$300,2,0)</f>
        <v>21</v>
      </c>
      <c r="W975" s="81" t="str">
        <f aca="false">"/recipes/"&amp;VLOOKUP(U975,recipe_ingred_list!$A$2:$C$300,3,0)&amp;"/detail/"</f>
        <v>/recipes/dwadashi-spicy-khichadi/detail/</v>
      </c>
      <c r="X975" s="81" t="str">
        <f aca="false">J975</f>
        <v>beans</v>
      </c>
      <c r="Y975" s="81" t="str">
        <f aca="false">R975</f>
        <v>beans</v>
      </c>
      <c r="Z975" s="94" t="n">
        <f aca="false">VLOOKUP(Y975,recipe_ingred_list!$D$2:$E$500,2,0)</f>
        <v>27</v>
      </c>
      <c r="AA975" s="61" t="n">
        <f aca="false">K975</f>
        <v>1</v>
      </c>
      <c r="AB975" s="61" t="str">
        <f aca="false">L975</f>
        <v>kg</v>
      </c>
      <c r="AC975" s="61" t="n">
        <f aca="false">VLOOKUP(AB975,recipe_ingred_list!$K$2:$M$7,3,0)</f>
        <v>2</v>
      </c>
      <c r="AD975" s="61" t="n">
        <f aca="false">M975</f>
        <v>0</v>
      </c>
      <c r="AE975" s="61" t="n">
        <f aca="false">N975</f>
        <v>0</v>
      </c>
      <c r="AF975" s="61" t="n">
        <f aca="false">VLOOKUP(AE975,recipe_ingred_list!$K$16:$M$25,3,0)</f>
        <v>1</v>
      </c>
      <c r="AG975" s="61" t="n">
        <f aca="false">O975</f>
        <v>0</v>
      </c>
      <c r="AH975" s="61" t="n">
        <f aca="false">P975</f>
        <v>0</v>
      </c>
      <c r="AI975" s="61" t="n">
        <f aca="false">VLOOKUP(AH975,recipe_ingred_list!$K$29:$M$34,3,0)</f>
        <v>3</v>
      </c>
      <c r="AJ975" s="61" t="str">
        <f aca="false">IF(Q975="","",Q975)</f>
        <v/>
      </c>
      <c r="AK975" s="61" t="n">
        <f aca="false">AK974+1</f>
        <v>975</v>
      </c>
      <c r="AL975" s="61" t="str">
        <f aca="false">Y975</f>
        <v>beans</v>
      </c>
      <c r="AM975" s="81" t="str">
        <f aca="false">"a = Client().post('"&amp;W975&amp;"', {'recipe' : '"&amp;V975&amp;"', 'ingredient' : '"&amp;Z975&amp;"', 'name' : '"&amp;X975&amp;"', 'mass_unit' : '"&amp;AC975&amp;"', 'mass_quantity' : '"&amp;ROUND(AA975,3)&amp;"', 'volume_unit' : '"&amp;AF975&amp;"', 'volume_quantity' : '"&amp;ROUND(AD975,3)&amp;"', 'pieces_unit' : '"&amp;AI975&amp;"', 'pieces_quantity' : '"&amp;ROUND(AG975,3)&amp;"', 'cooking_notes' : '"&amp;AJ975&amp;"'}).status_code; print('%s :: %s :: %s :: %s :: %s' %(a,"&amp;G975&amp;",'"&amp;X975&amp;"','"&amp;Y975&amp;"','"&amp;U975&amp;"'))"</f>
        <v>a = Client().post('/recipes/dwadashi-spicy-khichadi/detail/', {'recipe' : '21', 'ingredient' : '27', 'name' : 'beans', 'mass_unit' : '2', 'mass_quantity' : '1', 'volume_unit' : '1', 'volume_quantity' : '0', 'pieces_unit' : '3', 'pieces_quantity' : '0', 'cooking_notes' : ''}).status_code; print('%s :: %s :: %s :: %s :: %s' %(a,975,'beans','beans','Dwadashi / Spicy Khichadi'))</v>
      </c>
    </row>
    <row r="976" customFormat="false" ht="13.8" hidden="false" customHeight="false" outlineLevel="0" collapsed="false">
      <c r="G976" s="80" t="n">
        <v>976</v>
      </c>
      <c r="H976" s="83"/>
      <c r="I976" s="83" t="s">
        <v>172</v>
      </c>
      <c r="J976" s="83" t="s">
        <v>348</v>
      </c>
      <c r="K976" s="61" t="n">
        <v>1</v>
      </c>
      <c r="L976" s="61" t="s">
        <v>7</v>
      </c>
      <c r="R976" s="82" t="str">
        <f aca="false">VLOOKUP(J976,ingredient!$N$4:$O$553,2,0)</f>
        <v>gajar</v>
      </c>
      <c r="U976" s="81" t="str">
        <f aca="false">I976</f>
        <v>Dwadashi / Spicy Khichadi</v>
      </c>
      <c r="V976" s="81" t="n">
        <f aca="false">VLOOKUP(U976,recipe_ingred_list!$A$2:$B$300,2,0)</f>
        <v>21</v>
      </c>
      <c r="W976" s="81" t="str">
        <f aca="false">"/recipes/"&amp;VLOOKUP(U976,recipe_ingred_list!$A$2:$C$300,3,0)&amp;"/detail/"</f>
        <v>/recipes/dwadashi-spicy-khichadi/detail/</v>
      </c>
      <c r="X976" s="81" t="str">
        <f aca="false">J976</f>
        <v>gajar</v>
      </c>
      <c r="Y976" s="81" t="str">
        <f aca="false">R976</f>
        <v>gajar</v>
      </c>
      <c r="Z976" s="94" t="n">
        <f aca="false">VLOOKUP(Y976,recipe_ingred_list!$D$2:$E$500,2,0)</f>
        <v>79</v>
      </c>
      <c r="AA976" s="61" t="n">
        <f aca="false">K976</f>
        <v>1</v>
      </c>
      <c r="AB976" s="61" t="str">
        <f aca="false">L976</f>
        <v>kg</v>
      </c>
      <c r="AC976" s="61" t="n">
        <f aca="false">VLOOKUP(AB976,recipe_ingred_list!$K$2:$M$7,3,0)</f>
        <v>2</v>
      </c>
      <c r="AD976" s="61" t="n">
        <f aca="false">M976</f>
        <v>0</v>
      </c>
      <c r="AE976" s="61" t="n">
        <f aca="false">N976</f>
        <v>0</v>
      </c>
      <c r="AF976" s="61" t="n">
        <f aca="false">VLOOKUP(AE976,recipe_ingred_list!$K$16:$M$25,3,0)</f>
        <v>1</v>
      </c>
      <c r="AG976" s="61" t="n">
        <f aca="false">O976</f>
        <v>0</v>
      </c>
      <c r="AH976" s="61" t="n">
        <f aca="false">P976</f>
        <v>0</v>
      </c>
      <c r="AI976" s="61" t="n">
        <f aca="false">VLOOKUP(AH976,recipe_ingred_list!$K$29:$M$34,3,0)</f>
        <v>3</v>
      </c>
      <c r="AJ976" s="61" t="str">
        <f aca="false">IF(Q976="","",Q976)</f>
        <v/>
      </c>
      <c r="AK976" s="61" t="n">
        <f aca="false">AK975+1</f>
        <v>976</v>
      </c>
      <c r="AL976" s="61" t="str">
        <f aca="false">Y976</f>
        <v>gajar</v>
      </c>
      <c r="AM976" s="81" t="str">
        <f aca="false">"a = Client().post('"&amp;W976&amp;"', {'recipe' : '"&amp;V976&amp;"', 'ingredient' : '"&amp;Z976&amp;"', 'name' : '"&amp;X976&amp;"', 'mass_unit' : '"&amp;AC976&amp;"', 'mass_quantity' : '"&amp;ROUND(AA976,3)&amp;"', 'volume_unit' : '"&amp;AF976&amp;"', 'volume_quantity' : '"&amp;ROUND(AD976,3)&amp;"', 'pieces_unit' : '"&amp;AI976&amp;"', 'pieces_quantity' : '"&amp;ROUND(AG976,3)&amp;"', 'cooking_notes' : '"&amp;AJ976&amp;"'}).status_code; print('%s :: %s :: %s :: %s :: %s' %(a,"&amp;G976&amp;",'"&amp;X976&amp;"','"&amp;Y976&amp;"','"&amp;U976&amp;"'))"</f>
        <v>a = Client().post('/recipes/dwadashi-spicy-khichadi/detail/', {'recipe' : '21', 'ingredient' : '79', 'name' : 'gajar', 'mass_unit' : '2', 'mass_quantity' : '1', 'volume_unit' : '1', 'volume_quantity' : '0', 'pieces_unit' : '3', 'pieces_quantity' : '0', 'cooking_notes' : ''}).status_code; print('%s :: %s :: %s :: %s :: %s' %(a,976,'gajar','gajar','Dwadashi / Spicy Khichadi'))</v>
      </c>
    </row>
    <row r="977" customFormat="false" ht="13.8" hidden="false" customHeight="false" outlineLevel="0" collapsed="false">
      <c r="G977" s="80" t="n">
        <v>977</v>
      </c>
      <c r="H977" s="83"/>
      <c r="I977" s="83" t="s">
        <v>172</v>
      </c>
      <c r="J977" s="83" t="s">
        <v>374</v>
      </c>
      <c r="K977" s="61" t="n">
        <v>1</v>
      </c>
      <c r="L977" s="61" t="s">
        <v>7</v>
      </c>
      <c r="R977" s="82" t="str">
        <f aca="false">VLOOKUP(J977,ingredient!$N$4:$O$553,2,0)</f>
        <v>green peas</v>
      </c>
      <c r="U977" s="81" t="str">
        <f aca="false">I977</f>
        <v>Dwadashi / Spicy Khichadi</v>
      </c>
      <c r="V977" s="81" t="n">
        <f aca="false">VLOOKUP(U977,recipe_ingred_list!$A$2:$B$300,2,0)</f>
        <v>21</v>
      </c>
      <c r="W977" s="81" t="str">
        <f aca="false">"/recipes/"&amp;VLOOKUP(U977,recipe_ingred_list!$A$2:$C$300,3,0)&amp;"/detail/"</f>
        <v>/recipes/dwadashi-spicy-khichadi/detail/</v>
      </c>
      <c r="X977" s="81" t="str">
        <f aca="false">J977</f>
        <v>green peas</v>
      </c>
      <c r="Y977" s="81" t="str">
        <f aca="false">R977</f>
        <v>green peas</v>
      </c>
      <c r="Z977" s="94" t="n">
        <f aca="false">VLOOKUP(Y977,recipe_ingred_list!$D$2:$E$500,2,0)</f>
        <v>88</v>
      </c>
      <c r="AA977" s="61" t="n">
        <f aca="false">K977</f>
        <v>1</v>
      </c>
      <c r="AB977" s="61" t="str">
        <f aca="false">L977</f>
        <v>kg</v>
      </c>
      <c r="AC977" s="61" t="n">
        <f aca="false">VLOOKUP(AB977,recipe_ingred_list!$K$2:$M$7,3,0)</f>
        <v>2</v>
      </c>
      <c r="AD977" s="61" t="n">
        <f aca="false">M977</f>
        <v>0</v>
      </c>
      <c r="AE977" s="61" t="n">
        <f aca="false">N977</f>
        <v>0</v>
      </c>
      <c r="AF977" s="61" t="n">
        <f aca="false">VLOOKUP(AE977,recipe_ingred_list!$K$16:$M$25,3,0)</f>
        <v>1</v>
      </c>
      <c r="AG977" s="61" t="n">
        <f aca="false">O977</f>
        <v>0</v>
      </c>
      <c r="AH977" s="61" t="n">
        <f aca="false">P977</f>
        <v>0</v>
      </c>
      <c r="AI977" s="61" t="n">
        <f aca="false">VLOOKUP(AH977,recipe_ingred_list!$K$29:$M$34,3,0)</f>
        <v>3</v>
      </c>
      <c r="AJ977" s="61" t="str">
        <f aca="false">IF(Q977="","",Q977)</f>
        <v/>
      </c>
      <c r="AK977" s="61" t="n">
        <f aca="false">AK976+1</f>
        <v>977</v>
      </c>
      <c r="AL977" s="61" t="str">
        <f aca="false">Y977</f>
        <v>green peas</v>
      </c>
      <c r="AM977" s="81" t="str">
        <f aca="false">"a = Client().post('"&amp;W977&amp;"', {'recipe' : '"&amp;V977&amp;"', 'ingredient' : '"&amp;Z977&amp;"', 'name' : '"&amp;X977&amp;"', 'mass_unit' : '"&amp;AC977&amp;"', 'mass_quantity' : '"&amp;ROUND(AA977,3)&amp;"', 'volume_unit' : '"&amp;AF977&amp;"', 'volume_quantity' : '"&amp;ROUND(AD977,3)&amp;"', 'pieces_unit' : '"&amp;AI977&amp;"', 'pieces_quantity' : '"&amp;ROUND(AG977,3)&amp;"', 'cooking_notes' : '"&amp;AJ977&amp;"'}).status_code; print('%s :: %s :: %s :: %s :: %s' %(a,"&amp;G977&amp;",'"&amp;X977&amp;"','"&amp;Y977&amp;"','"&amp;U977&amp;"'))"</f>
        <v>a = Client().post('/recipes/dwadashi-spicy-khichadi/detail/', {'recipe' : '21', 'ingredient' : '88', 'name' : 'green peas', 'mass_unit' : '2', 'mass_quantity' : '1', 'volume_unit' : '1', 'volume_quantity' : '0', 'pieces_unit' : '3', 'pieces_quantity' : '0', 'cooking_notes' : ''}).status_code; print('%s :: %s :: %s :: %s :: %s' %(a,977,'green peas','green peas','Dwadashi / Spicy Khichadi'))</v>
      </c>
    </row>
    <row r="978" customFormat="false" ht="13.8" hidden="false" customHeight="false" outlineLevel="0" collapsed="false">
      <c r="G978" s="80" t="n">
        <v>978</v>
      </c>
      <c r="H978" s="83"/>
      <c r="I978" s="83" t="s">
        <v>172</v>
      </c>
      <c r="J978" s="83" t="s">
        <v>318</v>
      </c>
      <c r="K978" s="61" t="n">
        <v>2</v>
      </c>
      <c r="L978" s="61" t="s">
        <v>7</v>
      </c>
      <c r="R978" s="82" t="str">
        <f aca="false">VLOOKUP(J978,ingredient!$N$4:$O$553,2,0)</f>
        <v>dudhi</v>
      </c>
      <c r="U978" s="81" t="str">
        <f aca="false">I978</f>
        <v>Dwadashi / Spicy Khichadi</v>
      </c>
      <c r="V978" s="81" t="n">
        <f aca="false">VLOOKUP(U978,recipe_ingred_list!$A$2:$B$300,2,0)</f>
        <v>21</v>
      </c>
      <c r="W978" s="81" t="str">
        <f aca="false">"/recipes/"&amp;VLOOKUP(U978,recipe_ingred_list!$A$2:$C$300,3,0)&amp;"/detail/"</f>
        <v>/recipes/dwadashi-spicy-khichadi/detail/</v>
      </c>
      <c r="X978" s="81" t="str">
        <f aca="false">J978</f>
        <v>dudhi</v>
      </c>
      <c r="Y978" s="81" t="str">
        <f aca="false">R978</f>
        <v>dudhi</v>
      </c>
      <c r="Z978" s="94" t="n">
        <f aca="false">VLOOKUP(Y978,recipe_ingred_list!$D$2:$E$500,2,0)</f>
        <v>69</v>
      </c>
      <c r="AA978" s="61" t="n">
        <f aca="false">K978</f>
        <v>2</v>
      </c>
      <c r="AB978" s="61" t="str">
        <f aca="false">L978</f>
        <v>kg</v>
      </c>
      <c r="AC978" s="61" t="n">
        <f aca="false">VLOOKUP(AB978,recipe_ingred_list!$K$2:$M$7,3,0)</f>
        <v>2</v>
      </c>
      <c r="AD978" s="61" t="n">
        <f aca="false">M978</f>
        <v>0</v>
      </c>
      <c r="AE978" s="61" t="n">
        <f aca="false">N978</f>
        <v>0</v>
      </c>
      <c r="AF978" s="61" t="n">
        <f aca="false">VLOOKUP(AE978,recipe_ingred_list!$K$16:$M$25,3,0)</f>
        <v>1</v>
      </c>
      <c r="AG978" s="61" t="n">
        <f aca="false">O978</f>
        <v>0</v>
      </c>
      <c r="AH978" s="61" t="n">
        <f aca="false">P978</f>
        <v>0</v>
      </c>
      <c r="AI978" s="61" t="n">
        <f aca="false">VLOOKUP(AH978,recipe_ingred_list!$K$29:$M$34,3,0)</f>
        <v>3</v>
      </c>
      <c r="AJ978" s="61" t="str">
        <f aca="false">IF(Q978="","",Q978)</f>
        <v/>
      </c>
      <c r="AK978" s="61" t="n">
        <f aca="false">AK977+1</f>
        <v>978</v>
      </c>
      <c r="AL978" s="61" t="str">
        <f aca="false">Y978</f>
        <v>dudhi</v>
      </c>
      <c r="AM978" s="81" t="str">
        <f aca="false">"a = Client().post('"&amp;W978&amp;"', {'recipe' : '"&amp;V978&amp;"', 'ingredient' : '"&amp;Z978&amp;"', 'name' : '"&amp;X978&amp;"', 'mass_unit' : '"&amp;AC978&amp;"', 'mass_quantity' : '"&amp;ROUND(AA978,3)&amp;"', 'volume_unit' : '"&amp;AF978&amp;"', 'volume_quantity' : '"&amp;ROUND(AD978,3)&amp;"', 'pieces_unit' : '"&amp;AI978&amp;"', 'pieces_quantity' : '"&amp;ROUND(AG978,3)&amp;"', 'cooking_notes' : '"&amp;AJ978&amp;"'}).status_code; print('%s :: %s :: %s :: %s :: %s' %(a,"&amp;G978&amp;",'"&amp;X978&amp;"','"&amp;Y978&amp;"','"&amp;U978&amp;"'))"</f>
        <v>a = Client().post('/recipes/dwadashi-spicy-khichadi/detail/', {'recipe' : '21', 'ingredient' : '69', 'name' : 'dudhi', 'mass_unit' : '2', 'mass_quantity' : '2', 'volume_unit' : '1', 'volume_quantity' : '0', 'pieces_unit' : '3', 'pieces_quantity' : '0', 'cooking_notes' : ''}).status_code; print('%s :: %s :: %s :: %s :: %s' %(a,978,'dudhi','dudhi','Dwadashi / Spicy Khichadi'))</v>
      </c>
    </row>
    <row r="979" customFormat="false" ht="13.8" hidden="false" customHeight="false" outlineLevel="0" collapsed="false">
      <c r="G979" s="80" t="n">
        <v>979</v>
      </c>
      <c r="H979" s="83"/>
      <c r="I979" s="83" t="s">
        <v>172</v>
      </c>
      <c r="J979" s="83" t="s">
        <v>201</v>
      </c>
      <c r="K979" s="61" t="n">
        <v>2</v>
      </c>
      <c r="L979" s="61" t="s">
        <v>7</v>
      </c>
      <c r="R979" s="82" t="str">
        <f aca="false">VLOOKUP(J979,ingredient!$N$4:$O$553,2,0)</f>
        <v>bhopla</v>
      </c>
      <c r="U979" s="81" t="str">
        <f aca="false">I979</f>
        <v>Dwadashi / Spicy Khichadi</v>
      </c>
      <c r="V979" s="81" t="n">
        <f aca="false">VLOOKUP(U979,recipe_ingred_list!$A$2:$B$300,2,0)</f>
        <v>21</v>
      </c>
      <c r="W979" s="81" t="str">
        <f aca="false">"/recipes/"&amp;VLOOKUP(U979,recipe_ingred_list!$A$2:$C$300,3,0)&amp;"/detail/"</f>
        <v>/recipes/dwadashi-spicy-khichadi/detail/</v>
      </c>
      <c r="X979" s="81" t="str">
        <f aca="false">J979</f>
        <v>bhopla</v>
      </c>
      <c r="Y979" s="81" t="str">
        <f aca="false">R979</f>
        <v>bhopla</v>
      </c>
      <c r="Z979" s="94" t="n">
        <f aca="false">VLOOKUP(Y979,recipe_ingred_list!$D$2:$E$500,2,0)</f>
        <v>30</v>
      </c>
      <c r="AA979" s="61" t="n">
        <f aca="false">K979</f>
        <v>2</v>
      </c>
      <c r="AB979" s="61" t="str">
        <f aca="false">L979</f>
        <v>kg</v>
      </c>
      <c r="AC979" s="61" t="n">
        <f aca="false">VLOOKUP(AB979,recipe_ingred_list!$K$2:$M$7,3,0)</f>
        <v>2</v>
      </c>
      <c r="AD979" s="61" t="n">
        <f aca="false">M979</f>
        <v>0</v>
      </c>
      <c r="AE979" s="61" t="n">
        <f aca="false">N979</f>
        <v>0</v>
      </c>
      <c r="AF979" s="61" t="n">
        <f aca="false">VLOOKUP(AE979,recipe_ingred_list!$K$16:$M$25,3,0)</f>
        <v>1</v>
      </c>
      <c r="AG979" s="61" t="n">
        <f aca="false">O979</f>
        <v>0</v>
      </c>
      <c r="AH979" s="61" t="n">
        <f aca="false">P979</f>
        <v>0</v>
      </c>
      <c r="AI979" s="61" t="n">
        <f aca="false">VLOOKUP(AH979,recipe_ingred_list!$K$29:$M$34,3,0)</f>
        <v>3</v>
      </c>
      <c r="AJ979" s="61" t="str">
        <f aca="false">IF(Q979="","",Q979)</f>
        <v/>
      </c>
      <c r="AK979" s="61" t="n">
        <f aca="false">AK978+1</f>
        <v>979</v>
      </c>
      <c r="AL979" s="61" t="str">
        <f aca="false">Y979</f>
        <v>bhopla</v>
      </c>
      <c r="AM979" s="81" t="str">
        <f aca="false">"a = Client().post('"&amp;W979&amp;"', {'recipe' : '"&amp;V979&amp;"', 'ingredient' : '"&amp;Z979&amp;"', 'name' : '"&amp;X979&amp;"', 'mass_unit' : '"&amp;AC979&amp;"', 'mass_quantity' : '"&amp;ROUND(AA979,3)&amp;"', 'volume_unit' : '"&amp;AF979&amp;"', 'volume_quantity' : '"&amp;ROUND(AD979,3)&amp;"', 'pieces_unit' : '"&amp;AI979&amp;"', 'pieces_quantity' : '"&amp;ROUND(AG979,3)&amp;"', 'cooking_notes' : '"&amp;AJ979&amp;"'}).status_code; print('%s :: %s :: %s :: %s :: %s' %(a,"&amp;G979&amp;",'"&amp;X979&amp;"','"&amp;Y979&amp;"','"&amp;U979&amp;"'))"</f>
        <v>a = Client().post('/recipes/dwadashi-spicy-khichadi/detail/', {'recipe' : '21', 'ingredient' : '30', 'name' : 'bhopla', 'mass_unit' : '2', 'mass_quantity' : '2', 'volume_unit' : '1', 'volume_quantity' : '0', 'pieces_unit' : '3', 'pieces_quantity' : '0', 'cooking_notes' : ''}).status_code; print('%s :: %s :: %s :: %s :: %s' %(a,979,'bhopla','bhopla','Dwadashi / Spicy Khichadi'))</v>
      </c>
    </row>
    <row r="980" customFormat="false" ht="13.8" hidden="false" customHeight="false" outlineLevel="0" collapsed="false">
      <c r="G980" s="80" t="n">
        <v>980</v>
      </c>
      <c r="H980" s="83"/>
      <c r="I980" s="83" t="s">
        <v>172</v>
      </c>
      <c r="J980" s="83" t="s">
        <v>345</v>
      </c>
      <c r="K980" s="61" t="n">
        <v>4</v>
      </c>
      <c r="L980" s="61" t="s">
        <v>7</v>
      </c>
      <c r="R980" s="82" t="str">
        <f aca="false">VLOOKUP(J980,ingredient!$N$4:$O$553,2,0)</f>
        <v>flower</v>
      </c>
      <c r="U980" s="81" t="str">
        <f aca="false">I980</f>
        <v>Dwadashi / Spicy Khichadi</v>
      </c>
      <c r="V980" s="81" t="n">
        <f aca="false">VLOOKUP(U980,recipe_ingred_list!$A$2:$B$300,2,0)</f>
        <v>21</v>
      </c>
      <c r="W980" s="81" t="str">
        <f aca="false">"/recipes/"&amp;VLOOKUP(U980,recipe_ingred_list!$A$2:$C$300,3,0)&amp;"/detail/"</f>
        <v>/recipes/dwadashi-spicy-khichadi/detail/</v>
      </c>
      <c r="X980" s="81" t="str">
        <f aca="false">J980</f>
        <v>flower</v>
      </c>
      <c r="Y980" s="81" t="str">
        <f aca="false">R980</f>
        <v>flower</v>
      </c>
      <c r="Z980" s="94" t="n">
        <f aca="false">VLOOKUP(Y980,recipe_ingred_list!$D$2:$E$500,2,0)</f>
        <v>78</v>
      </c>
      <c r="AA980" s="61" t="n">
        <f aca="false">K980</f>
        <v>4</v>
      </c>
      <c r="AB980" s="61" t="str">
        <f aca="false">L980</f>
        <v>kg</v>
      </c>
      <c r="AC980" s="61" t="n">
        <f aca="false">VLOOKUP(AB980,recipe_ingred_list!$K$2:$M$7,3,0)</f>
        <v>2</v>
      </c>
      <c r="AD980" s="61" t="n">
        <f aca="false">M980</f>
        <v>0</v>
      </c>
      <c r="AE980" s="61" t="n">
        <f aca="false">N980</f>
        <v>0</v>
      </c>
      <c r="AF980" s="61" t="n">
        <f aca="false">VLOOKUP(AE980,recipe_ingred_list!$K$16:$M$25,3,0)</f>
        <v>1</v>
      </c>
      <c r="AG980" s="61" t="n">
        <f aca="false">O980</f>
        <v>0</v>
      </c>
      <c r="AH980" s="61" t="n">
        <f aca="false">P980</f>
        <v>0</v>
      </c>
      <c r="AI980" s="61" t="n">
        <f aca="false">VLOOKUP(AH980,recipe_ingred_list!$K$29:$M$34,3,0)</f>
        <v>3</v>
      </c>
      <c r="AJ980" s="61" t="str">
        <f aca="false">IF(Q980="","",Q980)</f>
        <v/>
      </c>
      <c r="AK980" s="61" t="n">
        <f aca="false">AK979+1</f>
        <v>980</v>
      </c>
      <c r="AL980" s="61" t="str">
        <f aca="false">Y980</f>
        <v>flower</v>
      </c>
      <c r="AM980" s="81" t="str">
        <f aca="false">"a = Client().post('"&amp;W980&amp;"', {'recipe' : '"&amp;V980&amp;"', 'ingredient' : '"&amp;Z980&amp;"', 'name' : '"&amp;X980&amp;"', 'mass_unit' : '"&amp;AC980&amp;"', 'mass_quantity' : '"&amp;ROUND(AA980,3)&amp;"', 'volume_unit' : '"&amp;AF980&amp;"', 'volume_quantity' : '"&amp;ROUND(AD980,3)&amp;"', 'pieces_unit' : '"&amp;AI980&amp;"', 'pieces_quantity' : '"&amp;ROUND(AG980,3)&amp;"', 'cooking_notes' : '"&amp;AJ980&amp;"'}).status_code; print('%s :: %s :: %s :: %s :: %s' %(a,"&amp;G980&amp;",'"&amp;X980&amp;"','"&amp;Y980&amp;"','"&amp;U980&amp;"'))"</f>
        <v>a = Client().post('/recipes/dwadashi-spicy-khichadi/detail/', {'recipe' : '21', 'ingredient' : '78', 'name' : 'flower', 'mass_unit' : '2', 'mass_quantity' : '4', 'volume_unit' : '1', 'volume_quantity' : '0', 'pieces_unit' : '3', 'pieces_quantity' : '0', 'cooking_notes' : ''}).status_code; print('%s :: %s :: %s :: %s :: %s' %(a,980,'flower','flower','Dwadashi / Spicy Khichadi'))</v>
      </c>
    </row>
    <row r="981" customFormat="false" ht="13.8" hidden="false" customHeight="false" outlineLevel="0" collapsed="false">
      <c r="G981" s="80" t="n">
        <v>981</v>
      </c>
      <c r="H981" s="83"/>
      <c r="I981" s="83" t="s">
        <v>172</v>
      </c>
      <c r="J981" s="83" t="s">
        <v>854</v>
      </c>
      <c r="M981" s="61" t="n">
        <v>20</v>
      </c>
      <c r="N981" s="61" t="s">
        <v>13</v>
      </c>
      <c r="R981" s="82" t="str">
        <f aca="false">VLOOKUP(J981,ingredient!$N$4:$O$553,2,0)</f>
        <v>water</v>
      </c>
      <c r="U981" s="81" t="str">
        <f aca="false">I981</f>
        <v>Dwadashi / Spicy Khichadi</v>
      </c>
      <c r="V981" s="81" t="n">
        <f aca="false">VLOOKUP(U981,recipe_ingred_list!$A$2:$B$300,2,0)</f>
        <v>21</v>
      </c>
      <c r="W981" s="81" t="str">
        <f aca="false">"/recipes/"&amp;VLOOKUP(U981,recipe_ingred_list!$A$2:$C$300,3,0)&amp;"/detail/"</f>
        <v>/recipes/dwadashi-spicy-khichadi/detail/</v>
      </c>
      <c r="X981" s="81" t="str">
        <f aca="false">J981</f>
        <v>water(10 times)</v>
      </c>
      <c r="Y981" s="81" t="str">
        <f aca="false">R981</f>
        <v>water</v>
      </c>
      <c r="Z981" s="94" t="n">
        <f aca="false">VLOOKUP(Y981,recipe_ingred_list!$D$2:$E$500,2,0)</f>
        <v>214</v>
      </c>
      <c r="AA981" s="61" t="n">
        <f aca="false">K981</f>
        <v>0</v>
      </c>
      <c r="AB981" s="61" t="n">
        <f aca="false">L981</f>
        <v>0</v>
      </c>
      <c r="AC981" s="61" t="n">
        <f aca="false">VLOOKUP(AB981,recipe_ingred_list!$K$2:$M$7,3,0)</f>
        <v>2</v>
      </c>
      <c r="AD981" s="61" t="n">
        <f aca="false">M981</f>
        <v>20</v>
      </c>
      <c r="AE981" s="61" t="str">
        <f aca="false">N981</f>
        <v>ltr</v>
      </c>
      <c r="AF981" s="61" t="n">
        <f aca="false">VLOOKUP(AE981,recipe_ingred_list!$K$16:$M$25,3,0)</f>
        <v>1</v>
      </c>
      <c r="AG981" s="61" t="n">
        <f aca="false">O981</f>
        <v>0</v>
      </c>
      <c r="AH981" s="61" t="n">
        <f aca="false">P981</f>
        <v>0</v>
      </c>
      <c r="AI981" s="61" t="n">
        <f aca="false">VLOOKUP(AH981,recipe_ingred_list!$K$29:$M$34,3,0)</f>
        <v>3</v>
      </c>
      <c r="AJ981" s="61" t="str">
        <f aca="false">IF(Q981="","",Q981)</f>
        <v/>
      </c>
      <c r="AK981" s="61" t="n">
        <f aca="false">AK980+1</f>
        <v>981</v>
      </c>
      <c r="AL981" s="61" t="str">
        <f aca="false">Y981</f>
        <v>water</v>
      </c>
      <c r="AM981" s="81" t="str">
        <f aca="false">"a = Client().post('"&amp;W981&amp;"', {'recipe' : '"&amp;V981&amp;"', 'ingredient' : '"&amp;Z981&amp;"', 'name' : '"&amp;X981&amp;"', 'mass_unit' : '"&amp;AC981&amp;"', 'mass_quantity' : '"&amp;ROUND(AA981,3)&amp;"', 'volume_unit' : '"&amp;AF981&amp;"', 'volume_quantity' : '"&amp;ROUND(AD981,3)&amp;"', 'pieces_unit' : '"&amp;AI981&amp;"', 'pieces_quantity' : '"&amp;ROUND(AG981,3)&amp;"', 'cooking_notes' : '"&amp;AJ981&amp;"'}).status_code; print('%s :: %s :: %s :: %s :: %s' %(a,"&amp;G981&amp;",'"&amp;X981&amp;"','"&amp;Y981&amp;"','"&amp;U981&amp;"'))"</f>
        <v>a = Client().post('/recipes/dwadashi-spicy-khichadi/detail/', {'recipe' : '21', 'ingredient' : '214', 'name' : 'water(10 times)', 'mass_unit' : '2', 'mass_quantity' : '0', 'volume_unit' : '1', 'volume_quantity' : '20', 'pieces_unit' : '3', 'pieces_quantity' : '0', 'cooking_notes' : ''}).status_code; print('%s :: %s :: %s :: %s :: %s' %(a,981,'water(10 times)','water','Dwadashi / Spicy Khichadi'))</v>
      </c>
    </row>
    <row r="982" customFormat="false" ht="13.8" hidden="false" customHeight="false" outlineLevel="0" collapsed="false">
      <c r="G982" s="80" t="n">
        <v>982</v>
      </c>
      <c r="H982" s="83"/>
      <c r="I982" s="83" t="s">
        <v>172</v>
      </c>
      <c r="J982" s="83" t="s">
        <v>803</v>
      </c>
      <c r="M982" s="61" t="n">
        <v>2</v>
      </c>
      <c r="N982" s="61" t="s">
        <v>20</v>
      </c>
      <c r="R982" s="82" t="str">
        <f aca="false">VLOOKUP(J982,ingredient!$N$4:$O$553,2,0)</f>
        <v>kadi patta</v>
      </c>
      <c r="U982" s="81" t="str">
        <f aca="false">I982</f>
        <v>Dwadashi / Spicy Khichadi</v>
      </c>
      <c r="V982" s="81" t="n">
        <f aca="false">VLOOKUP(U982,recipe_ingred_list!$A$2:$B$300,2,0)</f>
        <v>21</v>
      </c>
      <c r="W982" s="81" t="str">
        <f aca="false">"/recipes/"&amp;VLOOKUP(U982,recipe_ingred_list!$A$2:$C$300,3,0)&amp;"/detail/"</f>
        <v>/recipes/dwadashi-spicy-khichadi/detail/</v>
      </c>
      <c r="X982" s="81" t="str">
        <f aca="false">J982</f>
        <v>kadipatta</v>
      </c>
      <c r="Y982" s="81" t="str">
        <f aca="false">R982</f>
        <v>kadi patta</v>
      </c>
      <c r="Z982" s="94" t="n">
        <f aca="false">VLOOKUP(Y982,recipe_ingred_list!$D$2:$E$500,2,0)</f>
        <v>105</v>
      </c>
      <c r="AA982" s="61" t="n">
        <f aca="false">K982</f>
        <v>0</v>
      </c>
      <c r="AB982" s="61" t="n">
        <f aca="false">L982</f>
        <v>0</v>
      </c>
      <c r="AC982" s="61" t="n">
        <f aca="false">VLOOKUP(AB982,recipe_ingred_list!$K$2:$M$7,3,0)</f>
        <v>2</v>
      </c>
      <c r="AD982" s="61" t="n">
        <f aca="false">M982</f>
        <v>2</v>
      </c>
      <c r="AE982" s="61" t="str">
        <f aca="false">N982</f>
        <v>cup</v>
      </c>
      <c r="AF982" s="61" t="n">
        <f aca="false">VLOOKUP(AE982,recipe_ingred_list!$K$16:$M$25,3,0)</f>
        <v>5</v>
      </c>
      <c r="AG982" s="61" t="n">
        <f aca="false">O982</f>
        <v>0</v>
      </c>
      <c r="AH982" s="61" t="n">
        <f aca="false">P982</f>
        <v>0</v>
      </c>
      <c r="AI982" s="61" t="n">
        <f aca="false">VLOOKUP(AH982,recipe_ingred_list!$K$29:$M$34,3,0)</f>
        <v>3</v>
      </c>
      <c r="AJ982" s="61" t="str">
        <f aca="false">IF(Q982="","",Q982)</f>
        <v/>
      </c>
      <c r="AK982" s="61" t="n">
        <f aca="false">AK981+1</f>
        <v>982</v>
      </c>
      <c r="AL982" s="61" t="str">
        <f aca="false">Y982</f>
        <v>kadi patta</v>
      </c>
      <c r="AM982" s="81" t="str">
        <f aca="false">"a = Client().post('"&amp;W982&amp;"', {'recipe' : '"&amp;V982&amp;"', 'ingredient' : '"&amp;Z982&amp;"', 'name' : '"&amp;X982&amp;"', 'mass_unit' : '"&amp;AC982&amp;"', 'mass_quantity' : '"&amp;ROUND(AA982,3)&amp;"', 'volume_unit' : '"&amp;AF982&amp;"', 'volume_quantity' : '"&amp;ROUND(AD982,3)&amp;"', 'pieces_unit' : '"&amp;AI982&amp;"', 'pieces_quantity' : '"&amp;ROUND(AG982,3)&amp;"', 'cooking_notes' : '"&amp;AJ982&amp;"'}).status_code; print('%s :: %s :: %s :: %s :: %s' %(a,"&amp;G982&amp;",'"&amp;X982&amp;"','"&amp;Y982&amp;"','"&amp;U982&amp;"'))"</f>
        <v>a = Client().post('/recipes/dwadashi-spicy-khichadi/detail/', {'recipe' : '21', 'ingredient' : '105', 'name' : 'kadipatta', 'mass_unit' : '2', 'mass_quantity' : '0', 'volume_unit' : '5', 'volume_quantity' : '2', 'pieces_unit' : '3', 'pieces_quantity' : '0', 'cooking_notes' : ''}).status_code; print('%s :: %s :: %s :: %s :: %s' %(a,982,'kadipatta','kadi patta','Dwadashi / Spicy Khichadi'))</v>
      </c>
    </row>
    <row r="983" customFormat="false" ht="13.8" hidden="false" customHeight="false" outlineLevel="0" collapsed="false">
      <c r="G983" s="80" t="n">
        <v>983</v>
      </c>
      <c r="H983" s="83"/>
      <c r="I983" s="83" t="s">
        <v>172</v>
      </c>
      <c r="J983" s="83" t="s">
        <v>309</v>
      </c>
      <c r="M983" s="61" t="n">
        <v>0.5</v>
      </c>
      <c r="N983" s="61" t="s">
        <v>13</v>
      </c>
      <c r="R983" s="82" t="str">
        <f aca="false">VLOOKUP(J983,ingredient!$N$4:$O$553,2,0)</f>
        <v>dhaniya patta</v>
      </c>
      <c r="U983" s="81" t="str">
        <f aca="false">I983</f>
        <v>Dwadashi / Spicy Khichadi</v>
      </c>
      <c r="V983" s="81" t="n">
        <f aca="false">VLOOKUP(U983,recipe_ingred_list!$A$2:$B$300,2,0)</f>
        <v>21</v>
      </c>
      <c r="W983" s="81" t="str">
        <f aca="false">"/recipes/"&amp;VLOOKUP(U983,recipe_ingred_list!$A$2:$C$300,3,0)&amp;"/detail/"</f>
        <v>/recipes/dwadashi-spicy-khichadi/detail/</v>
      </c>
      <c r="X983" s="81" t="str">
        <f aca="false">J983</f>
        <v>dhaniya patta</v>
      </c>
      <c r="Y983" s="81" t="str">
        <f aca="false">R983</f>
        <v>dhaniya patta</v>
      </c>
      <c r="Z983" s="94" t="n">
        <f aca="false">VLOOKUP(Y983,recipe_ingred_list!$D$2:$E$500,2,0)</f>
        <v>66</v>
      </c>
      <c r="AA983" s="61" t="n">
        <f aca="false">K983</f>
        <v>0</v>
      </c>
      <c r="AB983" s="61" t="n">
        <f aca="false">L983</f>
        <v>0</v>
      </c>
      <c r="AC983" s="61" t="n">
        <f aca="false">VLOOKUP(AB983,recipe_ingred_list!$K$2:$M$7,3,0)</f>
        <v>2</v>
      </c>
      <c r="AD983" s="61" t="n">
        <f aca="false">M983</f>
        <v>0.5</v>
      </c>
      <c r="AE983" s="61" t="str">
        <f aca="false">N983</f>
        <v>ltr</v>
      </c>
      <c r="AF983" s="61" t="n">
        <f aca="false">VLOOKUP(AE983,recipe_ingred_list!$K$16:$M$25,3,0)</f>
        <v>1</v>
      </c>
      <c r="AG983" s="61" t="n">
        <f aca="false">O983</f>
        <v>0</v>
      </c>
      <c r="AH983" s="61" t="n">
        <f aca="false">P983</f>
        <v>0</v>
      </c>
      <c r="AI983" s="61" t="n">
        <f aca="false">VLOOKUP(AH983,recipe_ingred_list!$K$29:$M$34,3,0)</f>
        <v>3</v>
      </c>
      <c r="AJ983" s="61" t="str">
        <f aca="false">IF(Q983="","",Q983)</f>
        <v/>
      </c>
      <c r="AK983" s="61" t="n">
        <f aca="false">AK982+1</f>
        <v>983</v>
      </c>
      <c r="AL983" s="61" t="str">
        <f aca="false">Y983</f>
        <v>dhaniya patta</v>
      </c>
      <c r="AM983" s="81" t="str">
        <f aca="false">"a = Client().post('"&amp;W983&amp;"', {'recipe' : '"&amp;V983&amp;"', 'ingredient' : '"&amp;Z983&amp;"', 'name' : '"&amp;X983&amp;"', 'mass_unit' : '"&amp;AC983&amp;"', 'mass_quantity' : '"&amp;ROUND(AA983,3)&amp;"', 'volume_unit' : '"&amp;AF983&amp;"', 'volume_quantity' : '"&amp;ROUND(AD983,3)&amp;"', 'pieces_unit' : '"&amp;AI983&amp;"', 'pieces_quantity' : '"&amp;ROUND(AG983,3)&amp;"', 'cooking_notes' : '"&amp;AJ983&amp;"'}).status_code; print('%s :: %s :: %s :: %s :: %s' %(a,"&amp;G983&amp;",'"&amp;X983&amp;"','"&amp;Y983&amp;"','"&amp;U983&amp;"'))"</f>
        <v>a = Client().post('/recipes/dwadashi-spicy-khichadi/detail/', {'recipe' : '21', 'ingredient' : '66', 'name' : 'dhaniya patta', 'mass_unit' : '2', 'mass_quantity' : '0', 'volume_unit' : '1', 'volume_quantity' : '0.5', 'pieces_unit' : '3', 'pieces_quantity' : '0', 'cooking_notes' : ''}).status_code; print('%s :: %s :: %s :: %s :: %s' %(a,983,'dhaniya patta','dhaniya patta','Dwadashi / Spicy Khichadi'))</v>
      </c>
    </row>
    <row r="984" customFormat="false" ht="13.8" hidden="false" customHeight="false" outlineLevel="0" collapsed="false">
      <c r="G984" s="80" t="n">
        <v>984</v>
      </c>
      <c r="H984" s="83"/>
      <c r="I984" s="83" t="s">
        <v>172</v>
      </c>
      <c r="J984" s="83" t="s">
        <v>855</v>
      </c>
      <c r="M984" s="61" t="n">
        <v>1</v>
      </c>
      <c r="N984" s="61" t="s">
        <v>20</v>
      </c>
      <c r="R984" s="82" t="str">
        <f aca="false">VLOOKUP(J984,ingredient!$N$4:$O$553,2,0)</f>
        <v>adrak</v>
      </c>
      <c r="U984" s="81" t="str">
        <f aca="false">I984</f>
        <v>Dwadashi / Spicy Khichadi</v>
      </c>
      <c r="V984" s="81" t="n">
        <f aca="false">VLOOKUP(U984,recipe_ingred_list!$A$2:$B$300,2,0)</f>
        <v>21</v>
      </c>
      <c r="W984" s="81" t="str">
        <f aca="false">"/recipes/"&amp;VLOOKUP(U984,recipe_ingred_list!$A$2:$C$300,3,0)&amp;"/detail/"</f>
        <v>/recipes/dwadashi-spicy-khichadi/detail/</v>
      </c>
      <c r="X984" s="81" t="str">
        <f aca="false">J984</f>
        <v>adrak paste</v>
      </c>
      <c r="Y984" s="81" t="str">
        <f aca="false">R984</f>
        <v>adrak</v>
      </c>
      <c r="Z984" s="94" t="n">
        <f aca="false">VLOOKUP(Y984,recipe_ingred_list!$D$2:$E$500,2,0)</f>
        <v>1</v>
      </c>
      <c r="AA984" s="61" t="n">
        <f aca="false">K984</f>
        <v>0</v>
      </c>
      <c r="AB984" s="61" t="n">
        <f aca="false">L984</f>
        <v>0</v>
      </c>
      <c r="AC984" s="61" t="n">
        <f aca="false">VLOOKUP(AB984,recipe_ingred_list!$K$2:$M$7,3,0)</f>
        <v>2</v>
      </c>
      <c r="AD984" s="61" t="n">
        <f aca="false">M984</f>
        <v>1</v>
      </c>
      <c r="AE984" s="61" t="str">
        <f aca="false">N984</f>
        <v>cup</v>
      </c>
      <c r="AF984" s="61" t="n">
        <f aca="false">VLOOKUP(AE984,recipe_ingred_list!$K$16:$M$25,3,0)</f>
        <v>5</v>
      </c>
      <c r="AG984" s="61" t="n">
        <f aca="false">O984</f>
        <v>0</v>
      </c>
      <c r="AH984" s="61" t="n">
        <f aca="false">P984</f>
        <v>0</v>
      </c>
      <c r="AI984" s="61" t="n">
        <f aca="false">VLOOKUP(AH984,recipe_ingred_list!$K$29:$M$34,3,0)</f>
        <v>3</v>
      </c>
      <c r="AJ984" s="61" t="str">
        <f aca="false">IF(Q984="","",Q984)</f>
        <v/>
      </c>
      <c r="AK984" s="61" t="n">
        <f aca="false">AK983+1</f>
        <v>984</v>
      </c>
      <c r="AL984" s="61" t="str">
        <f aca="false">Y984</f>
        <v>adrak</v>
      </c>
      <c r="AM984" s="81" t="str">
        <f aca="false">"a = Client().post('"&amp;W984&amp;"', {'recipe' : '"&amp;V984&amp;"', 'ingredient' : '"&amp;Z984&amp;"', 'name' : '"&amp;X984&amp;"', 'mass_unit' : '"&amp;AC984&amp;"', 'mass_quantity' : '"&amp;ROUND(AA984,3)&amp;"', 'volume_unit' : '"&amp;AF984&amp;"', 'volume_quantity' : '"&amp;ROUND(AD984,3)&amp;"', 'pieces_unit' : '"&amp;AI984&amp;"', 'pieces_quantity' : '"&amp;ROUND(AG984,3)&amp;"', 'cooking_notes' : '"&amp;AJ984&amp;"'}).status_code; print('%s :: %s :: %s :: %s :: %s' %(a,"&amp;G984&amp;",'"&amp;X984&amp;"','"&amp;Y984&amp;"','"&amp;U984&amp;"'))"</f>
        <v>a = Client().post('/recipes/dwadashi-spicy-khichadi/detail/', {'recipe' : '21', 'ingredient' : '1', 'name' : 'adrak paste', 'mass_unit' : '2', 'mass_quantity' : '0', 'volume_unit' : '5', 'volume_quantity' : '1', 'pieces_unit' : '3', 'pieces_quantity' : '0', 'cooking_notes' : ''}).status_code; print('%s :: %s :: %s :: %s :: %s' %(a,984,'adrak paste','adrak','Dwadashi / Spicy Khichadi'))</v>
      </c>
    </row>
    <row r="985" customFormat="false" ht="13.8" hidden="false" customHeight="false" outlineLevel="0" collapsed="false">
      <c r="G985" s="80" t="n">
        <v>985</v>
      </c>
      <c r="H985" s="83"/>
      <c r="I985" s="83" t="s">
        <v>172</v>
      </c>
      <c r="J985" s="83" t="s">
        <v>856</v>
      </c>
      <c r="M985" s="61" t="n">
        <v>1</v>
      </c>
      <c r="N985" s="61" t="s">
        <v>20</v>
      </c>
      <c r="R985" s="82" t="str">
        <f aca="false">VLOOKUP(J985,ingredient!$N$4:$O$553,2,0)</f>
        <v>hari mirchi</v>
      </c>
      <c r="U985" s="81" t="str">
        <f aca="false">I985</f>
        <v>Dwadashi / Spicy Khichadi</v>
      </c>
      <c r="V985" s="81" t="n">
        <f aca="false">VLOOKUP(U985,recipe_ingred_list!$A$2:$B$300,2,0)</f>
        <v>21</v>
      </c>
      <c r="W985" s="81" t="str">
        <f aca="false">"/recipes/"&amp;VLOOKUP(U985,recipe_ingred_list!$A$2:$C$300,3,0)&amp;"/detail/"</f>
        <v>/recipes/dwadashi-spicy-khichadi/detail/</v>
      </c>
      <c r="X985" s="81" t="str">
        <f aca="false">J985</f>
        <v>green chily</v>
      </c>
      <c r="Y985" s="81" t="str">
        <f aca="false">R985</f>
        <v>hari mirchi</v>
      </c>
      <c r="Z985" s="94" t="n">
        <f aca="false">VLOOKUP(Y985,recipe_ingred_list!$D$2:$E$500,2,0)</f>
        <v>93</v>
      </c>
      <c r="AA985" s="61" t="n">
        <f aca="false">K985</f>
        <v>0</v>
      </c>
      <c r="AB985" s="61" t="n">
        <f aca="false">L985</f>
        <v>0</v>
      </c>
      <c r="AC985" s="61" t="n">
        <f aca="false">VLOOKUP(AB985,recipe_ingred_list!$K$2:$M$7,3,0)</f>
        <v>2</v>
      </c>
      <c r="AD985" s="61" t="n">
        <f aca="false">M985</f>
        <v>1</v>
      </c>
      <c r="AE985" s="61" t="str">
        <f aca="false">N985</f>
        <v>cup</v>
      </c>
      <c r="AF985" s="61" t="n">
        <f aca="false">VLOOKUP(AE985,recipe_ingred_list!$K$16:$M$25,3,0)</f>
        <v>5</v>
      </c>
      <c r="AG985" s="61" t="n">
        <f aca="false">O985</f>
        <v>0</v>
      </c>
      <c r="AH985" s="61" t="n">
        <f aca="false">P985</f>
        <v>0</v>
      </c>
      <c r="AI985" s="61" t="n">
        <f aca="false">VLOOKUP(AH985,recipe_ingred_list!$K$29:$M$34,3,0)</f>
        <v>3</v>
      </c>
      <c r="AJ985" s="61" t="str">
        <f aca="false">IF(Q985="","",Q985)</f>
        <v/>
      </c>
      <c r="AK985" s="61" t="n">
        <f aca="false">AK984+1</f>
        <v>985</v>
      </c>
      <c r="AL985" s="61" t="str">
        <f aca="false">Y985</f>
        <v>hari mirchi</v>
      </c>
      <c r="AM985" s="81" t="str">
        <f aca="false">"a = Client().post('"&amp;W985&amp;"', {'recipe' : '"&amp;V985&amp;"', 'ingredient' : '"&amp;Z985&amp;"', 'name' : '"&amp;X985&amp;"', 'mass_unit' : '"&amp;AC985&amp;"', 'mass_quantity' : '"&amp;ROUND(AA985,3)&amp;"', 'volume_unit' : '"&amp;AF985&amp;"', 'volume_quantity' : '"&amp;ROUND(AD985,3)&amp;"', 'pieces_unit' : '"&amp;AI985&amp;"', 'pieces_quantity' : '"&amp;ROUND(AG985,3)&amp;"', 'cooking_notes' : '"&amp;AJ985&amp;"'}).status_code; print('%s :: %s :: %s :: %s :: %s' %(a,"&amp;G985&amp;",'"&amp;X985&amp;"','"&amp;Y985&amp;"','"&amp;U985&amp;"'))"</f>
        <v>a = Client().post('/recipes/dwadashi-spicy-khichadi/detail/', {'recipe' : '21', 'ingredient' : '93', 'name' : 'green chily', 'mass_unit' : '2', 'mass_quantity' : '0', 'volume_unit' : '5', 'volume_quantity' : '1', 'pieces_unit' : '3', 'pieces_quantity' : '0', 'cooking_notes' : ''}).status_code; print('%s :: %s :: %s :: %s :: %s' %(a,985,'green chily','hari mirchi','Dwadashi / Spicy Khichadi'))</v>
      </c>
    </row>
    <row r="986" customFormat="false" ht="13.8" hidden="false" customHeight="false" outlineLevel="0" collapsed="false">
      <c r="G986" s="80" t="n">
        <v>986</v>
      </c>
      <c r="H986" s="83"/>
      <c r="I986" s="83" t="s">
        <v>172</v>
      </c>
      <c r="J986" s="83" t="s">
        <v>462</v>
      </c>
      <c r="K986" s="61" t="n">
        <v>2</v>
      </c>
      <c r="L986" s="61" t="s">
        <v>7</v>
      </c>
      <c r="R986" s="82" t="str">
        <f aca="false">VLOOKUP(J986,ingredient!$N$4:$O$553,2,0)</f>
        <v>rice</v>
      </c>
      <c r="U986" s="81" t="str">
        <f aca="false">I986</f>
        <v>Dwadashi / Spicy Khichadi</v>
      </c>
      <c r="V986" s="81" t="n">
        <f aca="false">VLOOKUP(U986,recipe_ingred_list!$A$2:$B$300,2,0)</f>
        <v>21</v>
      </c>
      <c r="W986" s="81" t="str">
        <f aca="false">"/recipes/"&amp;VLOOKUP(U986,recipe_ingred_list!$A$2:$C$300,3,0)&amp;"/detail/"</f>
        <v>/recipes/dwadashi-spicy-khichadi/detail/</v>
      </c>
      <c r="X986" s="81" t="str">
        <f aca="false">J986</f>
        <v>rice</v>
      </c>
      <c r="Y986" s="81" t="str">
        <f aca="false">R986</f>
        <v>rice</v>
      </c>
      <c r="Z986" s="94" t="n">
        <f aca="false">VLOOKUP(Y986,recipe_ingred_list!$D$2:$E$500,2,0)</f>
        <v>170</v>
      </c>
      <c r="AA986" s="61" t="n">
        <f aca="false">K986</f>
        <v>2</v>
      </c>
      <c r="AB986" s="61" t="str">
        <f aca="false">L986</f>
        <v>kg</v>
      </c>
      <c r="AC986" s="61" t="n">
        <f aca="false">VLOOKUP(AB986,recipe_ingred_list!$K$2:$M$7,3,0)</f>
        <v>2</v>
      </c>
      <c r="AD986" s="61" t="n">
        <f aca="false">M986</f>
        <v>0</v>
      </c>
      <c r="AE986" s="61" t="n">
        <f aca="false">N986</f>
        <v>0</v>
      </c>
      <c r="AF986" s="61" t="n">
        <f aca="false">VLOOKUP(AE986,recipe_ingred_list!$K$16:$M$25,3,0)</f>
        <v>1</v>
      </c>
      <c r="AG986" s="61" t="n">
        <f aca="false">O986</f>
        <v>0</v>
      </c>
      <c r="AH986" s="61" t="n">
        <f aca="false">P986</f>
        <v>0</v>
      </c>
      <c r="AI986" s="61" t="n">
        <f aca="false">VLOOKUP(AH986,recipe_ingred_list!$K$29:$M$34,3,0)</f>
        <v>3</v>
      </c>
      <c r="AJ986" s="61" t="str">
        <f aca="false">IF(Q986="","",Q986)</f>
        <v/>
      </c>
      <c r="AK986" s="61" t="n">
        <f aca="false">AK985+1</f>
        <v>986</v>
      </c>
      <c r="AL986" s="61" t="str">
        <f aca="false">Y986</f>
        <v>rice</v>
      </c>
      <c r="AM986" s="81" t="str">
        <f aca="false">"a = Client().post('"&amp;W986&amp;"', {'recipe' : '"&amp;V986&amp;"', 'ingredient' : '"&amp;Z986&amp;"', 'name' : '"&amp;X986&amp;"', 'mass_unit' : '"&amp;AC986&amp;"', 'mass_quantity' : '"&amp;ROUND(AA986,3)&amp;"', 'volume_unit' : '"&amp;AF986&amp;"', 'volume_quantity' : '"&amp;ROUND(AD986,3)&amp;"', 'pieces_unit' : '"&amp;AI986&amp;"', 'pieces_quantity' : '"&amp;ROUND(AG986,3)&amp;"', 'cooking_notes' : '"&amp;AJ986&amp;"'}).status_code; print('%s :: %s :: %s :: %s :: %s' %(a,"&amp;G986&amp;",'"&amp;X986&amp;"','"&amp;Y986&amp;"','"&amp;U986&amp;"'))"</f>
        <v>a = Client().post('/recipes/dwadashi-spicy-khichadi/detail/', {'recipe' : '21', 'ingredient' : '170', 'name' : 'rice', 'mass_unit' : '2', 'mass_quantity' : '2', 'volume_unit' : '1', 'volume_quantity' : '0', 'pieces_unit' : '3', 'pieces_quantity' : '0', 'cooking_notes' : ''}).status_code; print('%s :: %s :: %s :: %s :: %s' %(a,986,'rice','rice','Dwadashi / Spicy Khichadi'))</v>
      </c>
    </row>
    <row r="987" customFormat="false" ht="13.8" hidden="false" customHeight="false" outlineLevel="0" collapsed="false">
      <c r="G987" s="80" t="n">
        <v>987</v>
      </c>
      <c r="H987" s="83"/>
      <c r="I987" s="83" t="s">
        <v>172</v>
      </c>
      <c r="J987" s="83" t="s">
        <v>291</v>
      </c>
      <c r="K987" s="61" t="n">
        <v>2</v>
      </c>
      <c r="L987" s="61" t="s">
        <v>7</v>
      </c>
      <c r="R987" s="82" t="str">
        <f aca="false">VLOOKUP(J987,ingredient!$N$4:$O$553,2,0)</f>
        <v>dal</v>
      </c>
      <c r="U987" s="81" t="str">
        <f aca="false">I987</f>
        <v>Dwadashi / Spicy Khichadi</v>
      </c>
      <c r="V987" s="81" t="n">
        <f aca="false">VLOOKUP(U987,recipe_ingred_list!$A$2:$B$300,2,0)</f>
        <v>21</v>
      </c>
      <c r="W987" s="81" t="str">
        <f aca="false">"/recipes/"&amp;VLOOKUP(U987,recipe_ingred_list!$A$2:$C$300,3,0)&amp;"/detail/"</f>
        <v>/recipes/dwadashi-spicy-khichadi/detail/</v>
      </c>
      <c r="X987" s="81" t="str">
        <f aca="false">J987</f>
        <v>dal</v>
      </c>
      <c r="Y987" s="81" t="str">
        <f aca="false">R987</f>
        <v>dal</v>
      </c>
      <c r="Z987" s="94" t="n">
        <f aca="false">VLOOKUP(Y987,recipe_ingred_list!$D$2:$E$500,2,0)</f>
        <v>60</v>
      </c>
      <c r="AA987" s="61" t="n">
        <f aca="false">K987</f>
        <v>2</v>
      </c>
      <c r="AB987" s="61" t="str">
        <f aca="false">L987</f>
        <v>kg</v>
      </c>
      <c r="AC987" s="61" t="n">
        <f aca="false">VLOOKUP(AB987,recipe_ingred_list!$K$2:$M$7,3,0)</f>
        <v>2</v>
      </c>
      <c r="AD987" s="61" t="n">
        <f aca="false">M987</f>
        <v>0</v>
      </c>
      <c r="AE987" s="61" t="n">
        <f aca="false">N987</f>
        <v>0</v>
      </c>
      <c r="AF987" s="61" t="n">
        <f aca="false">VLOOKUP(AE987,recipe_ingred_list!$K$16:$M$25,3,0)</f>
        <v>1</v>
      </c>
      <c r="AG987" s="61" t="n">
        <f aca="false">O987</f>
        <v>0</v>
      </c>
      <c r="AH987" s="61" t="n">
        <f aca="false">P987</f>
        <v>0</v>
      </c>
      <c r="AI987" s="61" t="n">
        <f aca="false">VLOOKUP(AH987,recipe_ingred_list!$K$29:$M$34,3,0)</f>
        <v>3</v>
      </c>
      <c r="AJ987" s="61" t="str">
        <f aca="false">IF(Q987="","",Q987)</f>
        <v/>
      </c>
      <c r="AK987" s="61" t="n">
        <f aca="false">AK986+1</f>
        <v>987</v>
      </c>
      <c r="AL987" s="61" t="str">
        <f aca="false">Y987</f>
        <v>dal</v>
      </c>
      <c r="AM987" s="81" t="str">
        <f aca="false">"a = Client().post('"&amp;W987&amp;"', {'recipe' : '"&amp;V987&amp;"', 'ingredient' : '"&amp;Z987&amp;"', 'name' : '"&amp;X987&amp;"', 'mass_unit' : '"&amp;AC987&amp;"', 'mass_quantity' : '"&amp;ROUND(AA987,3)&amp;"', 'volume_unit' : '"&amp;AF987&amp;"', 'volume_quantity' : '"&amp;ROUND(AD987,3)&amp;"', 'pieces_unit' : '"&amp;AI987&amp;"', 'pieces_quantity' : '"&amp;ROUND(AG987,3)&amp;"', 'cooking_notes' : '"&amp;AJ987&amp;"'}).status_code; print('%s :: %s :: %s :: %s :: %s' %(a,"&amp;G987&amp;",'"&amp;X987&amp;"','"&amp;Y987&amp;"','"&amp;U987&amp;"'))"</f>
        <v>a = Client().post('/recipes/dwadashi-spicy-khichadi/detail/', {'recipe' : '21', 'ingredient' : '60', 'name' : 'dal', 'mass_unit' : '2', 'mass_quantity' : '2', 'volume_unit' : '1', 'volume_quantity' : '0', 'pieces_unit' : '3', 'pieces_quantity' : '0', 'cooking_notes' : ''}).status_code; print('%s :: %s :: %s :: %s :: %s' %(a,987,'dal','dal','Dwadashi / Spicy Khichadi'))</v>
      </c>
    </row>
    <row r="988" customFormat="false" ht="13.8" hidden="false" customHeight="false" outlineLevel="0" collapsed="false">
      <c r="G988" s="80" t="n">
        <v>988</v>
      </c>
      <c r="H988" s="83"/>
      <c r="I988" s="83" t="s">
        <v>172</v>
      </c>
      <c r="J988" s="83" t="s">
        <v>96</v>
      </c>
      <c r="M988" s="61" t="n">
        <v>1.5</v>
      </c>
      <c r="N988" s="61" t="s">
        <v>20</v>
      </c>
      <c r="R988" s="82" t="str">
        <f aca="false">VLOOKUP(J988,ingredient!$N$4:$O$553,2,0)</f>
        <v>salt</v>
      </c>
      <c r="U988" s="81" t="str">
        <f aca="false">I988</f>
        <v>Dwadashi / Spicy Khichadi</v>
      </c>
      <c r="V988" s="81" t="n">
        <f aca="false">VLOOKUP(U988,recipe_ingred_list!$A$2:$B$300,2,0)</f>
        <v>21</v>
      </c>
      <c r="W988" s="81" t="str">
        <f aca="false">"/recipes/"&amp;VLOOKUP(U988,recipe_ingred_list!$A$2:$C$300,3,0)&amp;"/detail/"</f>
        <v>/recipes/dwadashi-spicy-khichadi/detail/</v>
      </c>
      <c r="X988" s="81" t="str">
        <f aca="false">J988</f>
        <v>salt</v>
      </c>
      <c r="Y988" s="81" t="str">
        <f aca="false">R988</f>
        <v>salt</v>
      </c>
      <c r="Z988" s="94" t="n">
        <f aca="false">VLOOKUP(Y988,recipe_ingred_list!$D$2:$E$500,2,0)</f>
        <v>177</v>
      </c>
      <c r="AA988" s="61" t="n">
        <f aca="false">K988</f>
        <v>0</v>
      </c>
      <c r="AB988" s="61" t="n">
        <f aca="false">L988</f>
        <v>0</v>
      </c>
      <c r="AC988" s="61" t="n">
        <f aca="false">VLOOKUP(AB988,recipe_ingred_list!$K$2:$M$7,3,0)</f>
        <v>2</v>
      </c>
      <c r="AD988" s="61" t="n">
        <f aca="false">M988</f>
        <v>1.5</v>
      </c>
      <c r="AE988" s="61" t="str">
        <f aca="false">N988</f>
        <v>cup</v>
      </c>
      <c r="AF988" s="61" t="n">
        <f aca="false">VLOOKUP(AE988,recipe_ingred_list!$K$16:$M$25,3,0)</f>
        <v>5</v>
      </c>
      <c r="AG988" s="61" t="n">
        <f aca="false">O988</f>
        <v>0</v>
      </c>
      <c r="AH988" s="61" t="n">
        <f aca="false">P988</f>
        <v>0</v>
      </c>
      <c r="AI988" s="61" t="n">
        <f aca="false">VLOOKUP(AH988,recipe_ingred_list!$K$29:$M$34,3,0)</f>
        <v>3</v>
      </c>
      <c r="AJ988" s="61" t="str">
        <f aca="false">IF(Q988="","",Q988)</f>
        <v/>
      </c>
      <c r="AK988" s="61" t="n">
        <f aca="false">AK987+1</f>
        <v>988</v>
      </c>
      <c r="AL988" s="61" t="str">
        <f aca="false">Y988</f>
        <v>salt</v>
      </c>
      <c r="AM988" s="81" t="str">
        <f aca="false">"a = Client().post('"&amp;W988&amp;"', {'recipe' : '"&amp;V988&amp;"', 'ingredient' : '"&amp;Z988&amp;"', 'name' : '"&amp;X988&amp;"', 'mass_unit' : '"&amp;AC988&amp;"', 'mass_quantity' : '"&amp;ROUND(AA988,3)&amp;"', 'volume_unit' : '"&amp;AF988&amp;"', 'volume_quantity' : '"&amp;ROUND(AD988,3)&amp;"', 'pieces_unit' : '"&amp;AI988&amp;"', 'pieces_quantity' : '"&amp;ROUND(AG988,3)&amp;"', 'cooking_notes' : '"&amp;AJ988&amp;"'}).status_code; print('%s :: %s :: %s :: %s :: %s' %(a,"&amp;G988&amp;",'"&amp;X988&amp;"','"&amp;Y988&amp;"','"&amp;U988&amp;"'))"</f>
        <v>a = Client().post('/recipes/dwadashi-spicy-khichadi/detail/', {'recipe' : '21', 'ingredient' : '177', 'name' : 'salt', 'mass_unit' : '2', 'mass_quantity' : '0', 'volume_unit' : '5', 'volume_quantity' : '1.5', 'pieces_unit' : '3', 'pieces_quantity' : '0', 'cooking_notes' : ''}).status_code; print('%s :: %s :: %s :: %s :: %s' %(a,988,'salt','salt','Dwadashi / Spicy Khichadi'))</v>
      </c>
    </row>
    <row r="989" customFormat="false" ht="13.8" hidden="false" customHeight="false" outlineLevel="0" collapsed="false">
      <c r="G989" s="80" t="n">
        <v>989</v>
      </c>
      <c r="H989" s="83"/>
      <c r="I989" s="83" t="s">
        <v>172</v>
      </c>
      <c r="J989" s="83" t="s">
        <v>382</v>
      </c>
      <c r="M989" s="61" t="n">
        <v>0.2</v>
      </c>
      <c r="N989" s="61" t="s">
        <v>20</v>
      </c>
      <c r="R989" s="82" t="str">
        <f aca="false">VLOOKUP(J989,ingredient!$N$4:$O$553,2,0)</f>
        <v>haldi</v>
      </c>
      <c r="U989" s="81" t="str">
        <f aca="false">I989</f>
        <v>Dwadashi / Spicy Khichadi</v>
      </c>
      <c r="V989" s="81" t="n">
        <f aca="false">VLOOKUP(U989,recipe_ingred_list!$A$2:$B$300,2,0)</f>
        <v>21</v>
      </c>
      <c r="W989" s="81" t="str">
        <f aca="false">"/recipes/"&amp;VLOOKUP(U989,recipe_ingred_list!$A$2:$C$300,3,0)&amp;"/detail/"</f>
        <v>/recipes/dwadashi-spicy-khichadi/detail/</v>
      </c>
      <c r="X989" s="81" t="str">
        <f aca="false">J989</f>
        <v>haldi</v>
      </c>
      <c r="Y989" s="81" t="str">
        <f aca="false">R989</f>
        <v>haldi</v>
      </c>
      <c r="Z989" s="94" t="n">
        <f aca="false">VLOOKUP(Y989,recipe_ingred_list!$D$2:$E$500,2,0)</f>
        <v>91</v>
      </c>
      <c r="AA989" s="61" t="n">
        <f aca="false">K989</f>
        <v>0</v>
      </c>
      <c r="AB989" s="61" t="n">
        <f aca="false">L989</f>
        <v>0</v>
      </c>
      <c r="AC989" s="61" t="n">
        <f aca="false">VLOOKUP(AB989,recipe_ingred_list!$K$2:$M$7,3,0)</f>
        <v>2</v>
      </c>
      <c r="AD989" s="61" t="n">
        <f aca="false">M989</f>
        <v>0.2</v>
      </c>
      <c r="AE989" s="61" t="str">
        <f aca="false">N989</f>
        <v>cup</v>
      </c>
      <c r="AF989" s="61" t="n">
        <f aca="false">VLOOKUP(AE989,recipe_ingred_list!$K$16:$M$25,3,0)</f>
        <v>5</v>
      </c>
      <c r="AG989" s="61" t="n">
        <f aca="false">O989</f>
        <v>0</v>
      </c>
      <c r="AH989" s="61" t="n">
        <f aca="false">P989</f>
        <v>0</v>
      </c>
      <c r="AI989" s="61" t="n">
        <f aca="false">VLOOKUP(AH989,recipe_ingred_list!$K$29:$M$34,3,0)</f>
        <v>3</v>
      </c>
      <c r="AJ989" s="61" t="str">
        <f aca="false">IF(Q989="","",Q989)</f>
        <v/>
      </c>
      <c r="AK989" s="61" t="n">
        <f aca="false">AK988+1</f>
        <v>989</v>
      </c>
      <c r="AL989" s="61" t="str">
        <f aca="false">Y989</f>
        <v>haldi</v>
      </c>
      <c r="AM989" s="81" t="str">
        <f aca="false">"a = Client().post('"&amp;W989&amp;"', {'recipe' : '"&amp;V989&amp;"', 'ingredient' : '"&amp;Z989&amp;"', 'name' : '"&amp;X989&amp;"', 'mass_unit' : '"&amp;AC989&amp;"', 'mass_quantity' : '"&amp;ROUND(AA989,3)&amp;"', 'volume_unit' : '"&amp;AF989&amp;"', 'volume_quantity' : '"&amp;ROUND(AD989,3)&amp;"', 'pieces_unit' : '"&amp;AI989&amp;"', 'pieces_quantity' : '"&amp;ROUND(AG989,3)&amp;"', 'cooking_notes' : '"&amp;AJ989&amp;"'}).status_code; print('%s :: %s :: %s :: %s :: %s' %(a,"&amp;G989&amp;",'"&amp;X989&amp;"','"&amp;Y989&amp;"','"&amp;U989&amp;"'))"</f>
        <v>a = Client().post('/recipes/dwadashi-spicy-khichadi/detail/', {'recipe' : '21', 'ingredient' : '91', 'name' : 'haldi', 'mass_unit' : '2', 'mass_quantity' : '0', 'volume_unit' : '5', 'volume_quantity' : '0.2', 'pieces_unit' : '3', 'pieces_quantity' : '0', 'cooking_notes' : ''}).status_code; print('%s :: %s :: %s :: %s :: %s' %(a,989,'haldi','haldi','Dwadashi / Spicy Khichadi'))</v>
      </c>
    </row>
    <row r="990" customFormat="false" ht="13.8" hidden="false" customHeight="false" outlineLevel="0" collapsed="false">
      <c r="G990" s="80" t="n">
        <v>990</v>
      </c>
      <c r="H990" s="83"/>
      <c r="I990" s="83" t="s">
        <v>172</v>
      </c>
      <c r="J990" s="83" t="s">
        <v>456</v>
      </c>
      <c r="M990" s="61" t="n">
        <v>0.25</v>
      </c>
      <c r="N990" s="61" t="s">
        <v>20</v>
      </c>
      <c r="R990" s="82" t="str">
        <f aca="false">VLOOKUP(J990,ingredient!$N$4:$O$553,2,0)</f>
        <v>rai</v>
      </c>
      <c r="U990" s="81" t="str">
        <f aca="false">I990</f>
        <v>Dwadashi / Spicy Khichadi</v>
      </c>
      <c r="V990" s="81" t="n">
        <f aca="false">VLOOKUP(U990,recipe_ingred_list!$A$2:$B$300,2,0)</f>
        <v>21</v>
      </c>
      <c r="W990" s="81" t="str">
        <f aca="false">"/recipes/"&amp;VLOOKUP(U990,recipe_ingred_list!$A$2:$C$300,3,0)&amp;"/detail/"</f>
        <v>/recipes/dwadashi-spicy-khichadi/detail/</v>
      </c>
      <c r="X990" s="81" t="str">
        <f aca="false">J990</f>
        <v>rai</v>
      </c>
      <c r="Y990" s="81" t="str">
        <f aca="false">R990</f>
        <v>rai</v>
      </c>
      <c r="Z990" s="94" t="n">
        <f aca="false">VLOOKUP(Y990,recipe_ingred_list!$D$2:$E$500,2,0)</f>
        <v>164</v>
      </c>
      <c r="AA990" s="61" t="n">
        <f aca="false">K990</f>
        <v>0</v>
      </c>
      <c r="AB990" s="61" t="n">
        <f aca="false">L990</f>
        <v>0</v>
      </c>
      <c r="AC990" s="61" t="n">
        <f aca="false">VLOOKUP(AB990,recipe_ingred_list!$K$2:$M$7,3,0)</f>
        <v>2</v>
      </c>
      <c r="AD990" s="61" t="n">
        <f aca="false">M990</f>
        <v>0.25</v>
      </c>
      <c r="AE990" s="61" t="str">
        <f aca="false">N990</f>
        <v>cup</v>
      </c>
      <c r="AF990" s="61" t="n">
        <f aca="false">VLOOKUP(AE990,recipe_ingred_list!$K$16:$M$25,3,0)</f>
        <v>5</v>
      </c>
      <c r="AG990" s="61" t="n">
        <f aca="false">O990</f>
        <v>0</v>
      </c>
      <c r="AH990" s="61" t="n">
        <f aca="false">P990</f>
        <v>0</v>
      </c>
      <c r="AI990" s="61" t="n">
        <f aca="false">VLOOKUP(AH990,recipe_ingred_list!$K$29:$M$34,3,0)</f>
        <v>3</v>
      </c>
      <c r="AJ990" s="61" t="str">
        <f aca="false">IF(Q990="","",Q990)</f>
        <v/>
      </c>
      <c r="AK990" s="61" t="n">
        <f aca="false">AK989+1</f>
        <v>990</v>
      </c>
      <c r="AL990" s="61" t="str">
        <f aca="false">Y990</f>
        <v>rai</v>
      </c>
      <c r="AM990" s="81" t="str">
        <f aca="false">"a = Client().post('"&amp;W990&amp;"', {'recipe' : '"&amp;V990&amp;"', 'ingredient' : '"&amp;Z990&amp;"', 'name' : '"&amp;X990&amp;"', 'mass_unit' : '"&amp;AC990&amp;"', 'mass_quantity' : '"&amp;ROUND(AA990,3)&amp;"', 'volume_unit' : '"&amp;AF990&amp;"', 'volume_quantity' : '"&amp;ROUND(AD990,3)&amp;"', 'pieces_unit' : '"&amp;AI990&amp;"', 'pieces_quantity' : '"&amp;ROUND(AG990,3)&amp;"', 'cooking_notes' : '"&amp;AJ990&amp;"'}).status_code; print('%s :: %s :: %s :: %s :: %s' %(a,"&amp;G990&amp;",'"&amp;X990&amp;"','"&amp;Y990&amp;"','"&amp;U990&amp;"'))"</f>
        <v>a = Client().post('/recipes/dwadashi-spicy-khichadi/detail/', {'recipe' : '21', 'ingredient' : '164', 'name' : 'rai', 'mass_unit' : '2', 'mass_quantity' : '0', 'volume_unit' : '5', 'volume_quantity' : '0.25', 'pieces_unit' : '3', 'pieces_quantity' : '0', 'cooking_notes' : ''}).status_code; print('%s :: %s :: %s :: %s :: %s' %(a,990,'rai','rai','Dwadashi / Spicy Khichadi'))</v>
      </c>
    </row>
    <row r="991" customFormat="false" ht="13.8" hidden="false" customHeight="false" outlineLevel="0" collapsed="false">
      <c r="G991" s="80" t="n">
        <v>991</v>
      </c>
      <c r="H991" s="83"/>
      <c r="I991" s="83" t="s">
        <v>172</v>
      </c>
      <c r="J991" s="83" t="s">
        <v>398</v>
      </c>
      <c r="M991" s="61" t="n">
        <v>0.4</v>
      </c>
      <c r="N991" s="61" t="s">
        <v>20</v>
      </c>
      <c r="R991" s="82" t="str">
        <f aca="false">VLOOKUP(J991,ingredient!$N$4:$O$553,2,0)</f>
        <v>jeera</v>
      </c>
      <c r="U991" s="81" t="str">
        <f aca="false">I991</f>
        <v>Dwadashi / Spicy Khichadi</v>
      </c>
      <c r="V991" s="81" t="n">
        <f aca="false">VLOOKUP(U991,recipe_ingred_list!$A$2:$B$300,2,0)</f>
        <v>21</v>
      </c>
      <c r="W991" s="81" t="str">
        <f aca="false">"/recipes/"&amp;VLOOKUP(U991,recipe_ingred_list!$A$2:$C$300,3,0)&amp;"/detail/"</f>
        <v>/recipes/dwadashi-spicy-khichadi/detail/</v>
      </c>
      <c r="X991" s="81" t="str">
        <f aca="false">J991</f>
        <v>jeera</v>
      </c>
      <c r="Y991" s="81" t="str">
        <f aca="false">R991</f>
        <v>jeera</v>
      </c>
      <c r="Z991" s="94" t="n">
        <f aca="false">VLOOKUP(Y991,recipe_ingred_list!$D$2:$E$500,2,0)</f>
        <v>102</v>
      </c>
      <c r="AA991" s="61" t="n">
        <f aca="false">K991</f>
        <v>0</v>
      </c>
      <c r="AB991" s="61" t="n">
        <f aca="false">L991</f>
        <v>0</v>
      </c>
      <c r="AC991" s="61" t="n">
        <f aca="false">VLOOKUP(AB991,recipe_ingred_list!$K$2:$M$7,3,0)</f>
        <v>2</v>
      </c>
      <c r="AD991" s="61" t="n">
        <f aca="false">M991</f>
        <v>0.4</v>
      </c>
      <c r="AE991" s="61" t="str">
        <f aca="false">N991</f>
        <v>cup</v>
      </c>
      <c r="AF991" s="61" t="n">
        <f aca="false">VLOOKUP(AE991,recipe_ingred_list!$K$16:$M$25,3,0)</f>
        <v>5</v>
      </c>
      <c r="AG991" s="61" t="n">
        <f aca="false">O991</f>
        <v>0</v>
      </c>
      <c r="AH991" s="61" t="n">
        <f aca="false">P991</f>
        <v>0</v>
      </c>
      <c r="AI991" s="61" t="n">
        <f aca="false">VLOOKUP(AH991,recipe_ingred_list!$K$29:$M$34,3,0)</f>
        <v>3</v>
      </c>
      <c r="AJ991" s="61" t="str">
        <f aca="false">IF(Q991="","",Q991)</f>
        <v/>
      </c>
      <c r="AK991" s="61" t="n">
        <f aca="false">AK990+1</f>
        <v>991</v>
      </c>
      <c r="AL991" s="61" t="str">
        <f aca="false">Y991</f>
        <v>jeera</v>
      </c>
      <c r="AM991" s="81" t="str">
        <f aca="false">"a = Client().post('"&amp;W991&amp;"', {'recipe' : '"&amp;V991&amp;"', 'ingredient' : '"&amp;Z991&amp;"', 'name' : '"&amp;X991&amp;"', 'mass_unit' : '"&amp;AC991&amp;"', 'mass_quantity' : '"&amp;ROUND(AA991,3)&amp;"', 'volume_unit' : '"&amp;AF991&amp;"', 'volume_quantity' : '"&amp;ROUND(AD991,3)&amp;"', 'pieces_unit' : '"&amp;AI991&amp;"', 'pieces_quantity' : '"&amp;ROUND(AG991,3)&amp;"', 'cooking_notes' : '"&amp;AJ991&amp;"'}).status_code; print('%s :: %s :: %s :: %s :: %s' %(a,"&amp;G991&amp;",'"&amp;X991&amp;"','"&amp;Y991&amp;"','"&amp;U991&amp;"'))"</f>
        <v>a = Client().post('/recipes/dwadashi-spicy-khichadi/detail/', {'recipe' : '21', 'ingredient' : '102', 'name' : 'jeera', 'mass_unit' : '2', 'mass_quantity' : '0', 'volume_unit' : '5', 'volume_quantity' : '0.4', 'pieces_unit' : '3', 'pieces_quantity' : '0', 'cooking_notes' : ''}).status_code; print('%s :: %s :: %s :: %s :: %s' %(a,991,'jeera','jeera','Dwadashi / Spicy Khichadi'))</v>
      </c>
    </row>
    <row r="992" customFormat="false" ht="13.8" hidden="false" customHeight="false" outlineLevel="0" collapsed="false">
      <c r="G992" s="80" t="n">
        <v>992</v>
      </c>
      <c r="H992" s="83"/>
      <c r="I992" s="83" t="s">
        <v>172</v>
      </c>
      <c r="J992" s="83" t="s">
        <v>391</v>
      </c>
      <c r="M992" s="61" t="n">
        <v>0.1</v>
      </c>
      <c r="N992" s="61" t="s">
        <v>20</v>
      </c>
      <c r="R992" s="82" t="str">
        <f aca="false">VLOOKUP(J992,ingredient!$N$4:$O$553,2,0)</f>
        <v>hing</v>
      </c>
      <c r="U992" s="81" t="str">
        <f aca="false">I992</f>
        <v>Dwadashi / Spicy Khichadi</v>
      </c>
      <c r="V992" s="81" t="n">
        <f aca="false">VLOOKUP(U992,recipe_ingred_list!$A$2:$B$300,2,0)</f>
        <v>21</v>
      </c>
      <c r="W992" s="81" t="str">
        <f aca="false">"/recipes/"&amp;VLOOKUP(U992,recipe_ingred_list!$A$2:$C$300,3,0)&amp;"/detail/"</f>
        <v>/recipes/dwadashi-spicy-khichadi/detail/</v>
      </c>
      <c r="X992" s="81" t="str">
        <f aca="false">J992</f>
        <v>hing</v>
      </c>
      <c r="Y992" s="81" t="str">
        <f aca="false">R992</f>
        <v>hing</v>
      </c>
      <c r="Z992" s="94" t="n">
        <f aca="false">VLOOKUP(Y992,recipe_ingred_list!$D$2:$E$500,2,0)</f>
        <v>95</v>
      </c>
      <c r="AA992" s="61" t="n">
        <f aca="false">K992</f>
        <v>0</v>
      </c>
      <c r="AB992" s="61" t="n">
        <f aca="false">L992</f>
        <v>0</v>
      </c>
      <c r="AC992" s="61" t="n">
        <f aca="false">VLOOKUP(AB992,recipe_ingred_list!$K$2:$M$7,3,0)</f>
        <v>2</v>
      </c>
      <c r="AD992" s="61" t="n">
        <f aca="false">M992</f>
        <v>0.1</v>
      </c>
      <c r="AE992" s="61" t="str">
        <f aca="false">N992</f>
        <v>cup</v>
      </c>
      <c r="AF992" s="61" t="n">
        <f aca="false">VLOOKUP(AE992,recipe_ingred_list!$K$16:$M$25,3,0)</f>
        <v>5</v>
      </c>
      <c r="AG992" s="61" t="n">
        <f aca="false">O992</f>
        <v>0</v>
      </c>
      <c r="AH992" s="61" t="n">
        <f aca="false">P992</f>
        <v>0</v>
      </c>
      <c r="AI992" s="61" t="n">
        <f aca="false">VLOOKUP(AH992,recipe_ingred_list!$K$29:$M$34,3,0)</f>
        <v>3</v>
      </c>
      <c r="AJ992" s="61" t="str">
        <f aca="false">IF(Q992="","",Q992)</f>
        <v/>
      </c>
      <c r="AK992" s="61" t="n">
        <f aca="false">AK991+1</f>
        <v>992</v>
      </c>
      <c r="AL992" s="61" t="str">
        <f aca="false">Y992</f>
        <v>hing</v>
      </c>
      <c r="AM992" s="81" t="str">
        <f aca="false">"a = Client().post('"&amp;W992&amp;"', {'recipe' : '"&amp;V992&amp;"', 'ingredient' : '"&amp;Z992&amp;"', 'name' : '"&amp;X992&amp;"', 'mass_unit' : '"&amp;AC992&amp;"', 'mass_quantity' : '"&amp;ROUND(AA992,3)&amp;"', 'volume_unit' : '"&amp;AF992&amp;"', 'volume_quantity' : '"&amp;ROUND(AD992,3)&amp;"', 'pieces_unit' : '"&amp;AI992&amp;"', 'pieces_quantity' : '"&amp;ROUND(AG992,3)&amp;"', 'cooking_notes' : '"&amp;AJ992&amp;"'}).status_code; print('%s :: %s :: %s :: %s :: %s' %(a,"&amp;G992&amp;",'"&amp;X992&amp;"','"&amp;Y992&amp;"','"&amp;U992&amp;"'))"</f>
        <v>a = Client().post('/recipes/dwadashi-spicy-khichadi/detail/', {'recipe' : '21', 'ingredient' : '95', 'name' : 'hing', 'mass_unit' : '2', 'mass_quantity' : '0', 'volume_unit' : '5', 'volume_quantity' : '0.1', 'pieces_unit' : '3', 'pieces_quantity' : '0', 'cooking_notes' : ''}).status_code; print('%s :: %s :: %s :: %s :: %s' %(a,992,'hing','hing','Dwadashi / Spicy Khichadi'))</v>
      </c>
    </row>
    <row r="993" customFormat="false" ht="13.8" hidden="false" customHeight="false" outlineLevel="0" collapsed="false">
      <c r="G993" s="80" t="n">
        <v>993</v>
      </c>
      <c r="H993" s="83"/>
      <c r="I993" s="83" t="s">
        <v>172</v>
      </c>
      <c r="J993" s="83" t="s">
        <v>312</v>
      </c>
      <c r="M993" s="61" t="n">
        <v>0.7</v>
      </c>
      <c r="N993" s="61" t="s">
        <v>20</v>
      </c>
      <c r="R993" s="82" t="str">
        <f aca="false">VLOOKUP(J993,ingredient!$N$4:$O$553,2,0)</f>
        <v>dhaniya powder</v>
      </c>
      <c r="U993" s="81" t="str">
        <f aca="false">I993</f>
        <v>Dwadashi / Spicy Khichadi</v>
      </c>
      <c r="V993" s="81" t="n">
        <f aca="false">VLOOKUP(U993,recipe_ingred_list!$A$2:$B$300,2,0)</f>
        <v>21</v>
      </c>
      <c r="W993" s="81" t="str">
        <f aca="false">"/recipes/"&amp;VLOOKUP(U993,recipe_ingred_list!$A$2:$C$300,3,0)&amp;"/detail/"</f>
        <v>/recipes/dwadashi-spicy-khichadi/detail/</v>
      </c>
      <c r="X993" s="81" t="str">
        <f aca="false">J993</f>
        <v>dhaniya powder</v>
      </c>
      <c r="Y993" s="81" t="str">
        <f aca="false">R993</f>
        <v>dhaniya powder</v>
      </c>
      <c r="Z993" s="94" t="n">
        <f aca="false">VLOOKUP(Y993,recipe_ingred_list!$D$2:$E$500,2,0)</f>
        <v>67</v>
      </c>
      <c r="AA993" s="61" t="n">
        <f aca="false">K993</f>
        <v>0</v>
      </c>
      <c r="AB993" s="61" t="n">
        <f aca="false">L993</f>
        <v>0</v>
      </c>
      <c r="AC993" s="61" t="n">
        <f aca="false">VLOOKUP(AB993,recipe_ingred_list!$K$2:$M$7,3,0)</f>
        <v>2</v>
      </c>
      <c r="AD993" s="61" t="n">
        <f aca="false">M993</f>
        <v>0.7</v>
      </c>
      <c r="AE993" s="61" t="str">
        <f aca="false">N993</f>
        <v>cup</v>
      </c>
      <c r="AF993" s="61" t="n">
        <f aca="false">VLOOKUP(AE993,recipe_ingred_list!$K$16:$M$25,3,0)</f>
        <v>5</v>
      </c>
      <c r="AG993" s="61" t="n">
        <f aca="false">O993</f>
        <v>0</v>
      </c>
      <c r="AH993" s="61" t="n">
        <f aca="false">P993</f>
        <v>0</v>
      </c>
      <c r="AI993" s="61" t="n">
        <f aca="false">VLOOKUP(AH993,recipe_ingred_list!$K$29:$M$34,3,0)</f>
        <v>3</v>
      </c>
      <c r="AJ993" s="61" t="str">
        <f aca="false">IF(Q993="","",Q993)</f>
        <v/>
      </c>
      <c r="AK993" s="61" t="n">
        <f aca="false">AK992+1</f>
        <v>993</v>
      </c>
      <c r="AL993" s="61" t="str">
        <f aca="false">Y993</f>
        <v>dhaniya powder</v>
      </c>
      <c r="AM993" s="81" t="str">
        <f aca="false">"a = Client().post('"&amp;W993&amp;"', {'recipe' : '"&amp;V993&amp;"', 'ingredient' : '"&amp;Z993&amp;"', 'name' : '"&amp;X993&amp;"', 'mass_unit' : '"&amp;AC993&amp;"', 'mass_quantity' : '"&amp;ROUND(AA993,3)&amp;"', 'volume_unit' : '"&amp;AF993&amp;"', 'volume_quantity' : '"&amp;ROUND(AD993,3)&amp;"', 'pieces_unit' : '"&amp;AI993&amp;"', 'pieces_quantity' : '"&amp;ROUND(AG993,3)&amp;"', 'cooking_notes' : '"&amp;AJ993&amp;"'}).status_code; print('%s :: %s :: %s :: %s :: %s' %(a,"&amp;G993&amp;",'"&amp;X993&amp;"','"&amp;Y993&amp;"','"&amp;U993&amp;"'))"</f>
        <v>a = Client().post('/recipes/dwadashi-spicy-khichadi/detail/', {'recipe' : '21', 'ingredient' : '67', 'name' : 'dhaniya powder', 'mass_unit' : '2', 'mass_quantity' : '0', 'volume_unit' : '5', 'volume_quantity' : '0.7', 'pieces_unit' : '3', 'pieces_quantity' : '0', 'cooking_notes' : ''}).status_code; print('%s :: %s :: %s :: %s :: %s' %(a,993,'dhaniya powder','dhaniya powder','Dwadashi / Spicy Khichadi'))</v>
      </c>
    </row>
    <row r="994" customFormat="false" ht="13.8" hidden="false" customHeight="false" outlineLevel="0" collapsed="false">
      <c r="G994" s="80" t="n">
        <v>994</v>
      </c>
      <c r="H994" s="83"/>
      <c r="I994" s="83" t="s">
        <v>172</v>
      </c>
      <c r="J994" s="83" t="s">
        <v>399</v>
      </c>
      <c r="M994" s="61" t="n">
        <v>0.7</v>
      </c>
      <c r="N994" s="61" t="s">
        <v>20</v>
      </c>
      <c r="R994" s="82" t="str">
        <f aca="false">VLOOKUP(J994,ingredient!$N$4:$O$553,2,0)</f>
        <v>jeera powder</v>
      </c>
      <c r="U994" s="81" t="str">
        <f aca="false">I994</f>
        <v>Dwadashi / Spicy Khichadi</v>
      </c>
      <c r="V994" s="81" t="n">
        <f aca="false">VLOOKUP(U994,recipe_ingred_list!$A$2:$B$300,2,0)</f>
        <v>21</v>
      </c>
      <c r="W994" s="81" t="str">
        <f aca="false">"/recipes/"&amp;VLOOKUP(U994,recipe_ingred_list!$A$2:$C$300,3,0)&amp;"/detail/"</f>
        <v>/recipes/dwadashi-spicy-khichadi/detail/</v>
      </c>
      <c r="X994" s="81" t="str">
        <f aca="false">J994</f>
        <v>jeera powder</v>
      </c>
      <c r="Y994" s="81" t="str">
        <f aca="false">R994</f>
        <v>jeera powder</v>
      </c>
      <c r="Z994" s="94" t="n">
        <f aca="false">VLOOKUP(Y994,recipe_ingred_list!$D$2:$E$500,2,0)</f>
        <v>103</v>
      </c>
      <c r="AA994" s="61" t="n">
        <f aca="false">K994</f>
        <v>0</v>
      </c>
      <c r="AB994" s="61" t="n">
        <f aca="false">L994</f>
        <v>0</v>
      </c>
      <c r="AC994" s="61" t="n">
        <f aca="false">VLOOKUP(AB994,recipe_ingred_list!$K$2:$M$7,3,0)</f>
        <v>2</v>
      </c>
      <c r="AD994" s="61" t="n">
        <f aca="false">M994</f>
        <v>0.7</v>
      </c>
      <c r="AE994" s="61" t="str">
        <f aca="false">N994</f>
        <v>cup</v>
      </c>
      <c r="AF994" s="61" t="n">
        <f aca="false">VLOOKUP(AE994,recipe_ingred_list!$K$16:$M$25,3,0)</f>
        <v>5</v>
      </c>
      <c r="AG994" s="61" t="n">
        <f aca="false">O994</f>
        <v>0</v>
      </c>
      <c r="AH994" s="61" t="n">
        <f aca="false">P994</f>
        <v>0</v>
      </c>
      <c r="AI994" s="61" t="n">
        <f aca="false">VLOOKUP(AH994,recipe_ingred_list!$K$29:$M$34,3,0)</f>
        <v>3</v>
      </c>
      <c r="AJ994" s="61" t="str">
        <f aca="false">IF(Q994="","",Q994)</f>
        <v/>
      </c>
      <c r="AK994" s="61" t="n">
        <f aca="false">AK993+1</f>
        <v>994</v>
      </c>
      <c r="AL994" s="61" t="str">
        <f aca="false">Y994</f>
        <v>jeera powder</v>
      </c>
      <c r="AM994" s="81" t="str">
        <f aca="false">"a = Client().post('"&amp;W994&amp;"', {'recipe' : '"&amp;V994&amp;"', 'ingredient' : '"&amp;Z994&amp;"', 'name' : '"&amp;X994&amp;"', 'mass_unit' : '"&amp;AC994&amp;"', 'mass_quantity' : '"&amp;ROUND(AA994,3)&amp;"', 'volume_unit' : '"&amp;AF994&amp;"', 'volume_quantity' : '"&amp;ROUND(AD994,3)&amp;"', 'pieces_unit' : '"&amp;AI994&amp;"', 'pieces_quantity' : '"&amp;ROUND(AG994,3)&amp;"', 'cooking_notes' : '"&amp;AJ994&amp;"'}).status_code; print('%s :: %s :: %s :: %s :: %s' %(a,"&amp;G994&amp;",'"&amp;X994&amp;"','"&amp;Y994&amp;"','"&amp;U994&amp;"'))"</f>
        <v>a = Client().post('/recipes/dwadashi-spicy-khichadi/detail/', {'recipe' : '21', 'ingredient' : '103', 'name' : 'jeera powder', 'mass_unit' : '2', 'mass_quantity' : '0', 'volume_unit' : '5', 'volume_quantity' : '0.7', 'pieces_unit' : '3', 'pieces_quantity' : '0', 'cooking_notes' : ''}).status_code; print('%s :: %s :: %s :: %s :: %s' %(a,994,'jeera powder','jeera powder','Dwadashi / Spicy Khichadi'))</v>
      </c>
    </row>
    <row r="995" customFormat="false" ht="13.8" hidden="false" customHeight="false" outlineLevel="0" collapsed="false">
      <c r="G995" s="80" t="n">
        <v>995</v>
      </c>
      <c r="H995" s="83"/>
      <c r="I995" s="83" t="s">
        <v>172</v>
      </c>
      <c r="J995" s="83" t="s">
        <v>857</v>
      </c>
      <c r="M995" s="61" t="n">
        <v>0.4</v>
      </c>
      <c r="N995" s="61" t="s">
        <v>20</v>
      </c>
      <c r="R995" s="82" t="str">
        <f aca="false">VLOOKUP(J995,ingredient!$N$4:$O$553,2,0)</f>
        <v>kashmiri chilly powder</v>
      </c>
      <c r="U995" s="81" t="str">
        <f aca="false">I995</f>
        <v>Dwadashi / Spicy Khichadi</v>
      </c>
      <c r="V995" s="81" t="n">
        <f aca="false">VLOOKUP(U995,recipe_ingred_list!$A$2:$B$300,2,0)</f>
        <v>21</v>
      </c>
      <c r="W995" s="81" t="str">
        <f aca="false">"/recipes/"&amp;VLOOKUP(U995,recipe_ingred_list!$A$2:$C$300,3,0)&amp;"/detail/"</f>
        <v>/recipes/dwadashi-spicy-khichadi/detail/</v>
      </c>
      <c r="X995" s="81" t="str">
        <f aca="false">J995</f>
        <v>kashmiri chily pwder</v>
      </c>
      <c r="Y995" s="81" t="str">
        <f aca="false">R995</f>
        <v>kashmiri chilly powder</v>
      </c>
      <c r="Z995" s="94" t="n">
        <f aca="false">VLOOKUP(Y995,recipe_ingred_list!$D$2:$E$500,2,0)</f>
        <v>117</v>
      </c>
      <c r="AA995" s="61" t="n">
        <f aca="false">K995</f>
        <v>0</v>
      </c>
      <c r="AB995" s="61" t="n">
        <f aca="false">L995</f>
        <v>0</v>
      </c>
      <c r="AC995" s="61" t="n">
        <f aca="false">VLOOKUP(AB995,recipe_ingred_list!$K$2:$M$7,3,0)</f>
        <v>2</v>
      </c>
      <c r="AD995" s="61" t="n">
        <f aca="false">M995</f>
        <v>0.4</v>
      </c>
      <c r="AE995" s="61" t="str">
        <f aca="false">N995</f>
        <v>cup</v>
      </c>
      <c r="AF995" s="61" t="n">
        <f aca="false">VLOOKUP(AE995,recipe_ingred_list!$K$16:$M$25,3,0)</f>
        <v>5</v>
      </c>
      <c r="AG995" s="61" t="n">
        <f aca="false">O995</f>
        <v>0</v>
      </c>
      <c r="AH995" s="61" t="n">
        <f aca="false">P995</f>
        <v>0</v>
      </c>
      <c r="AI995" s="61" t="n">
        <f aca="false">VLOOKUP(AH995,recipe_ingred_list!$K$29:$M$34,3,0)</f>
        <v>3</v>
      </c>
      <c r="AJ995" s="61" t="str">
        <f aca="false">IF(Q995="","",Q995)</f>
        <v/>
      </c>
      <c r="AK995" s="61" t="n">
        <f aca="false">AK994+1</f>
        <v>995</v>
      </c>
      <c r="AL995" s="61" t="str">
        <f aca="false">Y995</f>
        <v>kashmiri chilly powder</v>
      </c>
      <c r="AM995" s="81" t="str">
        <f aca="false">"a = Client().post('"&amp;W995&amp;"', {'recipe' : '"&amp;V995&amp;"', 'ingredient' : '"&amp;Z995&amp;"', 'name' : '"&amp;X995&amp;"', 'mass_unit' : '"&amp;AC995&amp;"', 'mass_quantity' : '"&amp;ROUND(AA995,3)&amp;"', 'volume_unit' : '"&amp;AF995&amp;"', 'volume_quantity' : '"&amp;ROUND(AD995,3)&amp;"', 'pieces_unit' : '"&amp;AI995&amp;"', 'pieces_quantity' : '"&amp;ROUND(AG995,3)&amp;"', 'cooking_notes' : '"&amp;AJ995&amp;"'}).status_code; print('%s :: %s :: %s :: %s :: %s' %(a,"&amp;G995&amp;",'"&amp;X995&amp;"','"&amp;Y995&amp;"','"&amp;U995&amp;"'))"</f>
        <v>a = Client().post('/recipes/dwadashi-spicy-khichadi/detail/', {'recipe' : '21', 'ingredient' : '117', 'name' : 'kashmiri chily pwder', 'mass_unit' : '2', 'mass_quantity' : '0', 'volume_unit' : '5', 'volume_quantity' : '0.4', 'pieces_unit' : '3', 'pieces_quantity' : '0', 'cooking_notes' : ''}).status_code; print('%s :: %s :: %s :: %s :: %s' %(a,995,'kashmiri chily pwder','kashmiri chilly powder','Dwadashi / Spicy Khichadi'))</v>
      </c>
    </row>
    <row r="996" customFormat="false" ht="13.8" hidden="false" customHeight="false" outlineLevel="0" collapsed="false">
      <c r="G996" s="80" t="n">
        <v>996</v>
      </c>
      <c r="H996" s="83"/>
      <c r="I996" s="83" t="s">
        <v>172</v>
      </c>
      <c r="J996" s="83" t="s">
        <v>807</v>
      </c>
      <c r="M996" s="61" t="n">
        <v>0.3</v>
      </c>
      <c r="N996" s="61" t="s">
        <v>20</v>
      </c>
      <c r="R996" s="82" t="str">
        <f aca="false">VLOOKUP(J996,ingredient!$N$4:$O$553,2,0)</f>
        <v>madrasi mirchi powder</v>
      </c>
      <c r="U996" s="81" t="str">
        <f aca="false">I996</f>
        <v>Dwadashi / Spicy Khichadi</v>
      </c>
      <c r="V996" s="81" t="n">
        <f aca="false">VLOOKUP(U996,recipe_ingred_list!$A$2:$B$300,2,0)</f>
        <v>21</v>
      </c>
      <c r="W996" s="81" t="str">
        <f aca="false">"/recipes/"&amp;VLOOKUP(U996,recipe_ingred_list!$A$2:$C$300,3,0)&amp;"/detail/"</f>
        <v>/recipes/dwadashi-spicy-khichadi/detail/</v>
      </c>
      <c r="X996" s="81" t="str">
        <f aca="false">J996</f>
        <v>madrasi chili powder</v>
      </c>
      <c r="Y996" s="81" t="str">
        <f aca="false">R996</f>
        <v>madrasi mirchi powder</v>
      </c>
      <c r="Z996" s="94" t="n">
        <f aca="false">VLOOKUP(Y996,recipe_ingred_list!$D$2:$E$500,2,0)</f>
        <v>135</v>
      </c>
      <c r="AA996" s="61" t="n">
        <f aca="false">K996</f>
        <v>0</v>
      </c>
      <c r="AB996" s="61" t="n">
        <f aca="false">L996</f>
        <v>0</v>
      </c>
      <c r="AC996" s="61" t="n">
        <f aca="false">VLOOKUP(AB996,recipe_ingred_list!$K$2:$M$7,3,0)</f>
        <v>2</v>
      </c>
      <c r="AD996" s="61" t="n">
        <f aca="false">M996</f>
        <v>0.3</v>
      </c>
      <c r="AE996" s="61" t="str">
        <f aca="false">N996</f>
        <v>cup</v>
      </c>
      <c r="AF996" s="61" t="n">
        <f aca="false">VLOOKUP(AE996,recipe_ingred_list!$K$16:$M$25,3,0)</f>
        <v>5</v>
      </c>
      <c r="AG996" s="61" t="n">
        <f aca="false">O996</f>
        <v>0</v>
      </c>
      <c r="AH996" s="61" t="n">
        <f aca="false">P996</f>
        <v>0</v>
      </c>
      <c r="AI996" s="61" t="n">
        <f aca="false">VLOOKUP(AH996,recipe_ingred_list!$K$29:$M$34,3,0)</f>
        <v>3</v>
      </c>
      <c r="AJ996" s="61" t="str">
        <f aca="false">IF(Q996="","",Q996)</f>
        <v/>
      </c>
      <c r="AK996" s="61" t="n">
        <f aca="false">AK995+1</f>
        <v>996</v>
      </c>
      <c r="AL996" s="61" t="str">
        <f aca="false">Y996</f>
        <v>madrasi mirchi powder</v>
      </c>
      <c r="AM996" s="81" t="str">
        <f aca="false">"a = Client().post('"&amp;W996&amp;"', {'recipe' : '"&amp;V996&amp;"', 'ingredient' : '"&amp;Z996&amp;"', 'name' : '"&amp;X996&amp;"', 'mass_unit' : '"&amp;AC996&amp;"', 'mass_quantity' : '"&amp;ROUND(AA996,3)&amp;"', 'volume_unit' : '"&amp;AF996&amp;"', 'volume_quantity' : '"&amp;ROUND(AD996,3)&amp;"', 'pieces_unit' : '"&amp;AI996&amp;"', 'pieces_quantity' : '"&amp;ROUND(AG996,3)&amp;"', 'cooking_notes' : '"&amp;AJ996&amp;"'}).status_code; print('%s :: %s :: %s :: %s :: %s' %(a,"&amp;G996&amp;",'"&amp;X996&amp;"','"&amp;Y996&amp;"','"&amp;U996&amp;"'))"</f>
        <v>a = Client().post('/recipes/dwadashi-spicy-khichadi/detail/', {'recipe' : '21', 'ingredient' : '135', 'name' : 'madrasi chili powder', 'mass_unit' : '2', 'mass_quantity' : '0', 'volume_unit' : '5', 'volume_quantity' : '0.3', 'pieces_unit' : '3', 'pieces_quantity' : '0', 'cooking_notes' : ''}).status_code; print('%s :: %s :: %s :: %s :: %s' %(a,996,'madrasi chili powder','madrasi mirchi powder','Dwadashi / Spicy Khichadi'))</v>
      </c>
    </row>
    <row r="997" customFormat="false" ht="13.8" hidden="false" customHeight="false" outlineLevel="0" collapsed="false">
      <c r="G997" s="80" t="n">
        <v>997</v>
      </c>
      <c r="H997" s="83"/>
      <c r="I997" s="83" t="s">
        <v>172</v>
      </c>
      <c r="J997" s="83" t="s">
        <v>858</v>
      </c>
      <c r="M997" s="61" t="n">
        <v>1</v>
      </c>
      <c r="N997" s="61" t="s">
        <v>20</v>
      </c>
      <c r="R997" s="82" t="str">
        <f aca="false">VLOOKUP(J997,ingredient!$N$4:$O$553,2,0)</f>
        <v>akkha madrasi mirchi</v>
      </c>
      <c r="U997" s="81" t="str">
        <f aca="false">I997</f>
        <v>Dwadashi / Spicy Khichadi</v>
      </c>
      <c r="V997" s="81" t="n">
        <f aca="false">VLOOKUP(U997,recipe_ingred_list!$A$2:$B$300,2,0)</f>
        <v>21</v>
      </c>
      <c r="W997" s="81" t="str">
        <f aca="false">"/recipes/"&amp;VLOOKUP(U997,recipe_ingred_list!$A$2:$C$300,3,0)&amp;"/detail/"</f>
        <v>/recipes/dwadashi-spicy-khichadi/detail/</v>
      </c>
      <c r="X997" s="81" t="str">
        <f aca="false">J997</f>
        <v>akkha madrasi mirch</v>
      </c>
      <c r="Y997" s="81" t="str">
        <f aca="false">R997</f>
        <v>akkha madrasi mirchi</v>
      </c>
      <c r="Z997" s="94" t="n">
        <f aca="false">VLOOKUP(Y997,recipe_ingred_list!$D$2:$E$500,2,0)</f>
        <v>6</v>
      </c>
      <c r="AA997" s="61" t="n">
        <f aca="false">K997</f>
        <v>0</v>
      </c>
      <c r="AB997" s="61" t="n">
        <f aca="false">L997</f>
        <v>0</v>
      </c>
      <c r="AC997" s="61" t="n">
        <f aca="false">VLOOKUP(AB997,recipe_ingred_list!$K$2:$M$7,3,0)</f>
        <v>2</v>
      </c>
      <c r="AD997" s="61" t="n">
        <f aca="false">M997</f>
        <v>1</v>
      </c>
      <c r="AE997" s="61" t="str">
        <f aca="false">N997</f>
        <v>cup</v>
      </c>
      <c r="AF997" s="61" t="n">
        <f aca="false">VLOOKUP(AE997,recipe_ingred_list!$K$16:$M$25,3,0)</f>
        <v>5</v>
      </c>
      <c r="AG997" s="61" t="n">
        <f aca="false">O997</f>
        <v>0</v>
      </c>
      <c r="AH997" s="61" t="n">
        <f aca="false">P997</f>
        <v>0</v>
      </c>
      <c r="AI997" s="61" t="n">
        <f aca="false">VLOOKUP(AH997,recipe_ingred_list!$K$29:$M$34,3,0)</f>
        <v>3</v>
      </c>
      <c r="AJ997" s="61" t="str">
        <f aca="false">IF(Q997="","",Q997)</f>
        <v/>
      </c>
      <c r="AK997" s="61" t="n">
        <f aca="false">AK996+1</f>
        <v>997</v>
      </c>
      <c r="AL997" s="61" t="str">
        <f aca="false">Y997</f>
        <v>akkha madrasi mirchi</v>
      </c>
      <c r="AM997" s="81" t="str">
        <f aca="false">"a = Client().post('"&amp;W997&amp;"', {'recipe' : '"&amp;V997&amp;"', 'ingredient' : '"&amp;Z997&amp;"', 'name' : '"&amp;X997&amp;"', 'mass_unit' : '"&amp;AC997&amp;"', 'mass_quantity' : '"&amp;ROUND(AA997,3)&amp;"', 'volume_unit' : '"&amp;AF997&amp;"', 'volume_quantity' : '"&amp;ROUND(AD997,3)&amp;"', 'pieces_unit' : '"&amp;AI997&amp;"', 'pieces_quantity' : '"&amp;ROUND(AG997,3)&amp;"', 'cooking_notes' : '"&amp;AJ997&amp;"'}).status_code; print('%s :: %s :: %s :: %s :: %s' %(a,"&amp;G997&amp;",'"&amp;X997&amp;"','"&amp;Y997&amp;"','"&amp;U997&amp;"'))"</f>
        <v>a = Client().post('/recipes/dwadashi-spicy-khichadi/detail/', {'recipe' : '21', 'ingredient' : '6', 'name' : 'akkha madrasi mirch', 'mass_unit' : '2', 'mass_quantity' : '0', 'volume_unit' : '5', 'volume_quantity' : '1', 'pieces_unit' : '3', 'pieces_quantity' : '0', 'cooking_notes' : ''}).status_code; print('%s :: %s :: %s :: %s :: %s' %(a,997,'akkha madrasi mirch','akkha madrasi mirchi','Dwadashi / Spicy Khichadi'))</v>
      </c>
    </row>
    <row r="998" customFormat="false" ht="13.8" hidden="false" customHeight="false" outlineLevel="0" collapsed="false">
      <c r="G998" s="80" t="n">
        <v>998</v>
      </c>
      <c r="H998" s="83"/>
      <c r="I998" s="83" t="s">
        <v>172</v>
      </c>
      <c r="J998" s="83" t="s">
        <v>859</v>
      </c>
      <c r="M998" s="61" t="n">
        <v>500</v>
      </c>
      <c r="N998" s="61" t="s">
        <v>143</v>
      </c>
      <c r="R998" s="82" t="str">
        <f aca="false">VLOOKUP(J998,ingredient!$N$4:$O$553,2,0)</f>
        <v>gound nut oil</v>
      </c>
      <c r="U998" s="81" t="str">
        <f aca="false">I998</f>
        <v>Dwadashi / Spicy Khichadi</v>
      </c>
      <c r="V998" s="81" t="n">
        <f aca="false">VLOOKUP(U998,recipe_ingred_list!$A$2:$B$300,2,0)</f>
        <v>21</v>
      </c>
      <c r="W998" s="81" t="str">
        <f aca="false">"/recipes/"&amp;VLOOKUP(U998,recipe_ingred_list!$A$2:$C$300,3,0)&amp;"/detail/"</f>
        <v>/recipes/dwadashi-spicy-khichadi/detail/</v>
      </c>
      <c r="X998" s="81" t="str">
        <f aca="false">J998</f>
        <v>OIL</v>
      </c>
      <c r="Y998" s="81" t="str">
        <f aca="false">R998</f>
        <v>gound nut oil</v>
      </c>
      <c r="Z998" s="94" t="n">
        <f aca="false">VLOOKUP(Y998,recipe_ingred_list!$D$2:$E$500,2,0)</f>
        <v>83</v>
      </c>
      <c r="AA998" s="61" t="n">
        <f aca="false">K998</f>
        <v>0</v>
      </c>
      <c r="AB998" s="61" t="n">
        <f aca="false">L998</f>
        <v>0</v>
      </c>
      <c r="AC998" s="61" t="n">
        <f aca="false">VLOOKUP(AB998,recipe_ingred_list!$K$2:$M$7,3,0)</f>
        <v>2</v>
      </c>
      <c r="AD998" s="61" t="n">
        <f aca="false">M998</f>
        <v>500</v>
      </c>
      <c r="AE998" s="61" t="str">
        <f aca="false">N998</f>
        <v>ml</v>
      </c>
      <c r="AF998" s="61" t="n">
        <f aca="false">VLOOKUP(AE998,recipe_ingred_list!$K$16:$M$25,3,0)</f>
        <v>12</v>
      </c>
      <c r="AG998" s="61" t="n">
        <f aca="false">O998</f>
        <v>0</v>
      </c>
      <c r="AH998" s="61" t="n">
        <f aca="false">P998</f>
        <v>0</v>
      </c>
      <c r="AI998" s="61" t="n">
        <f aca="false">VLOOKUP(AH998,recipe_ingred_list!$K$29:$M$34,3,0)</f>
        <v>3</v>
      </c>
      <c r="AJ998" s="61" t="str">
        <f aca="false">IF(Q998="","",Q998)</f>
        <v/>
      </c>
      <c r="AK998" s="61" t="n">
        <f aca="false">AK997+1</f>
        <v>998</v>
      </c>
      <c r="AL998" s="61" t="str">
        <f aca="false">Y998</f>
        <v>gound nut oil</v>
      </c>
      <c r="AM998" s="81" t="str">
        <f aca="false">"a = Client().post('"&amp;W998&amp;"', {'recipe' : '"&amp;V998&amp;"', 'ingredient' : '"&amp;Z998&amp;"', 'name' : '"&amp;X998&amp;"', 'mass_unit' : '"&amp;AC998&amp;"', 'mass_quantity' : '"&amp;ROUND(AA998,3)&amp;"', 'volume_unit' : '"&amp;AF998&amp;"', 'volume_quantity' : '"&amp;ROUND(AD998,3)&amp;"', 'pieces_unit' : '"&amp;AI998&amp;"', 'pieces_quantity' : '"&amp;ROUND(AG998,3)&amp;"', 'cooking_notes' : '"&amp;AJ998&amp;"'}).status_code; print('%s :: %s :: %s :: %s :: %s' %(a,"&amp;G998&amp;",'"&amp;X998&amp;"','"&amp;Y998&amp;"','"&amp;U998&amp;"'))"</f>
        <v>a = Client().post('/recipes/dwadashi-spicy-khichadi/detail/', {'recipe' : '21', 'ingredient' : '83', 'name' : 'OIL', 'mass_unit' : '2', 'mass_quantity' : '0', 'volume_unit' : '12', 'volume_quantity' : '500', 'pieces_unit' : '3', 'pieces_quantity' : '0', 'cooking_notes' : ''}).status_code; print('%s :: %s :: %s :: %s :: %s' %(a,998,'OIL','gound nut oil','Dwadashi / Spicy Khichadi'))</v>
      </c>
    </row>
    <row r="999" customFormat="false" ht="13.8" hidden="false" customHeight="false" outlineLevel="0" collapsed="false">
      <c r="G999" s="80" t="n">
        <v>999</v>
      </c>
      <c r="H999" s="83"/>
      <c r="I999" s="83" t="s">
        <v>172</v>
      </c>
      <c r="J999" s="83" t="s">
        <v>44</v>
      </c>
      <c r="M999" s="61" t="n">
        <v>1</v>
      </c>
      <c r="N999" s="61" t="s">
        <v>20</v>
      </c>
      <c r="R999" s="82" t="str">
        <f aca="false">VLOOKUP(J999,ingredient!$N$4:$O$553,2,0)</f>
        <v>sugar</v>
      </c>
      <c r="U999" s="81" t="str">
        <f aca="false">I999</f>
        <v>Dwadashi / Spicy Khichadi</v>
      </c>
      <c r="V999" s="81" t="n">
        <f aca="false">VLOOKUP(U999,recipe_ingred_list!$A$2:$B$300,2,0)</f>
        <v>21</v>
      </c>
      <c r="W999" s="81" t="str">
        <f aca="false">"/recipes/"&amp;VLOOKUP(U999,recipe_ingred_list!$A$2:$C$300,3,0)&amp;"/detail/"</f>
        <v>/recipes/dwadashi-spicy-khichadi/detail/</v>
      </c>
      <c r="X999" s="81" t="str">
        <f aca="false">J999</f>
        <v>sugar</v>
      </c>
      <c r="Y999" s="81" t="str">
        <f aca="false">R999</f>
        <v>sugar</v>
      </c>
      <c r="Z999" s="94" t="n">
        <f aca="false">VLOOKUP(Y999,recipe_ingred_list!$D$2:$E$500,2,0)</f>
        <v>187</v>
      </c>
      <c r="AA999" s="61" t="n">
        <f aca="false">K999</f>
        <v>0</v>
      </c>
      <c r="AB999" s="61" t="n">
        <f aca="false">L999</f>
        <v>0</v>
      </c>
      <c r="AC999" s="61" t="n">
        <f aca="false">VLOOKUP(AB999,recipe_ingred_list!$K$2:$M$7,3,0)</f>
        <v>2</v>
      </c>
      <c r="AD999" s="61" t="n">
        <f aca="false">M999</f>
        <v>1</v>
      </c>
      <c r="AE999" s="61" t="str">
        <f aca="false">N999</f>
        <v>cup</v>
      </c>
      <c r="AF999" s="61" t="n">
        <f aca="false">VLOOKUP(AE999,recipe_ingred_list!$K$16:$M$25,3,0)</f>
        <v>5</v>
      </c>
      <c r="AG999" s="61" t="n">
        <f aca="false">O999</f>
        <v>0</v>
      </c>
      <c r="AH999" s="61" t="n">
        <f aca="false">P999</f>
        <v>0</v>
      </c>
      <c r="AI999" s="61" t="n">
        <f aca="false">VLOOKUP(AH999,recipe_ingred_list!$K$29:$M$34,3,0)</f>
        <v>3</v>
      </c>
      <c r="AJ999" s="61" t="str">
        <f aca="false">IF(Q999="","",Q999)</f>
        <v/>
      </c>
      <c r="AK999" s="61" t="n">
        <f aca="false">AK998+1</f>
        <v>999</v>
      </c>
      <c r="AL999" s="61" t="str">
        <f aca="false">Y999</f>
        <v>sugar</v>
      </c>
      <c r="AM999" s="81" t="str">
        <f aca="false">"a = Client().post('"&amp;W999&amp;"', {'recipe' : '"&amp;V999&amp;"', 'ingredient' : '"&amp;Z999&amp;"', 'name' : '"&amp;X999&amp;"', 'mass_unit' : '"&amp;AC999&amp;"', 'mass_quantity' : '"&amp;ROUND(AA999,3)&amp;"', 'volume_unit' : '"&amp;AF999&amp;"', 'volume_quantity' : '"&amp;ROUND(AD999,3)&amp;"', 'pieces_unit' : '"&amp;AI999&amp;"', 'pieces_quantity' : '"&amp;ROUND(AG999,3)&amp;"', 'cooking_notes' : '"&amp;AJ999&amp;"'}).status_code; print('%s :: %s :: %s :: %s :: %s' %(a,"&amp;G999&amp;",'"&amp;X999&amp;"','"&amp;Y999&amp;"','"&amp;U999&amp;"'))"</f>
        <v>a = Client().post('/recipes/dwadashi-spicy-khichadi/detail/', {'recipe' : '21', 'ingredient' : '187', 'name' : 'sugar', 'mass_unit' : '2', 'mass_quantity' : '0', 'volume_unit' : '5', 'volume_quantity' : '1', 'pieces_unit' : '3', 'pieces_quantity' : '0', 'cooking_notes' : ''}).status_code; print('%s :: %s :: %s :: %s :: %s' %(a,999,'sugar','sugar','Dwadashi / Spicy Khichadi'))</v>
      </c>
    </row>
    <row r="1000" customFormat="false" ht="13.8" hidden="false" customHeight="false" outlineLevel="0" collapsed="false">
      <c r="G1000" s="80" t="n">
        <v>1000</v>
      </c>
      <c r="H1000" s="79"/>
      <c r="I1000" s="79"/>
      <c r="J1000" s="79"/>
      <c r="K1000" s="100"/>
      <c r="L1000" s="100"/>
      <c r="M1000" s="100"/>
      <c r="N1000" s="100"/>
      <c r="O1000" s="100"/>
      <c r="P1000" s="100"/>
      <c r="Q1000" s="102"/>
      <c r="R1000" s="99" t="e">
        <f aca="false">VLOOKUP(J1000,ingredient!$N$4:$O$553,2,0)</f>
        <v>#N/A</v>
      </c>
      <c r="S1000" s="98"/>
      <c r="T1000" s="98"/>
      <c r="U1000" s="81" t="n">
        <f aca="false">I1000</f>
        <v>0</v>
      </c>
      <c r="V1000" s="81" t="e">
        <f aca="false">VLOOKUP(U1000,recipe_ingred_list!$A$2:$B$300,2,0)</f>
        <v>#N/A</v>
      </c>
      <c r="W1000" s="81" t="e">
        <f aca="false">"/recipes/"&amp;VLOOKUP(U1000,recipe_ingred_list!$A$2:$C$300,3,0)&amp;"/detail/"</f>
        <v>#N/A</v>
      </c>
      <c r="X1000" s="81" t="n">
        <f aca="false">J1000</f>
        <v>0</v>
      </c>
      <c r="Y1000" s="81" t="e">
        <f aca="false">R1000</f>
        <v>#N/A</v>
      </c>
      <c r="Z1000" s="94" t="e">
        <f aca="false">VLOOKUP(Y1000,recipe_ingred_list!$D$2:$E$500,2,0)</f>
        <v>#N/A</v>
      </c>
      <c r="AA1000" s="61" t="n">
        <f aca="false">K1000</f>
        <v>0</v>
      </c>
      <c r="AB1000" s="61" t="n">
        <f aca="false">L1000</f>
        <v>0</v>
      </c>
      <c r="AC1000" s="61" t="n">
        <f aca="false">VLOOKUP(AB1000,recipe_ingred_list!$K$2:$M$7,3,0)</f>
        <v>2</v>
      </c>
      <c r="AD1000" s="61" t="n">
        <f aca="false">M1000</f>
        <v>0</v>
      </c>
      <c r="AE1000" s="61" t="n">
        <f aca="false">N1000</f>
        <v>0</v>
      </c>
      <c r="AF1000" s="61" t="n">
        <f aca="false">VLOOKUP(AE1000,recipe_ingred_list!$K$16:$M$25,3,0)</f>
        <v>1</v>
      </c>
      <c r="AG1000" s="61" t="n">
        <f aca="false">O1000</f>
        <v>0</v>
      </c>
      <c r="AH1000" s="61" t="n">
        <f aca="false">P1000</f>
        <v>0</v>
      </c>
      <c r="AI1000" s="61" t="n">
        <f aca="false">VLOOKUP(AH1000,recipe_ingred_list!$K$29:$M$34,3,0)</f>
        <v>3</v>
      </c>
      <c r="AJ1000" s="61" t="str">
        <f aca="false">IF(Q1000="","",Q1000)</f>
        <v/>
      </c>
      <c r="AK1000" s="61" t="n">
        <f aca="false">AK999+1</f>
        <v>1000</v>
      </c>
      <c r="AL1000" s="61" t="e">
        <f aca="false">Y1000</f>
        <v>#N/A</v>
      </c>
      <c r="AM1000" s="81" t="e">
        <f aca="false">"a = Client().post('"&amp;W1000&amp;"', {'recipe' : '"&amp;V1000&amp;"', 'ingredient' : '"&amp;Z1000&amp;"', 'name' : '"&amp;X1000&amp;"', 'mass_unit' : '"&amp;AC1000&amp;"', 'mass_quantity' : '"&amp;ROUND(AA1000,3)&amp;"', 'volume_unit' : '"&amp;AF1000&amp;"', 'volume_quantity' : '"&amp;ROUND(AD1000,3)&amp;"', 'pieces_unit' : '"&amp;AI1000&amp;"', 'pieces_quantity' : '"&amp;ROUND(AG1000,3)&amp;"', 'cooking_notes' : '"&amp;AJ1000&amp;"'}).status_code; print('%s :: %s :: %s :: %s :: %s' %(a,"&amp;G1000&amp;",'"&amp;X1000&amp;"','"&amp;Y1000&amp;"','"&amp;U1000&amp;"'))"</f>
        <v>#N/A</v>
      </c>
    </row>
    <row r="1001" customFormat="false" ht="13.8" hidden="false" customHeight="false" outlineLevel="0" collapsed="false">
      <c r="G1001" s="80" t="n">
        <v>1001</v>
      </c>
      <c r="H1001" s="83"/>
      <c r="I1001" s="83" t="s">
        <v>310</v>
      </c>
      <c r="J1001" s="83" t="s">
        <v>11</v>
      </c>
      <c r="K1001" s="61" t="n">
        <v>6</v>
      </c>
      <c r="L1001" s="61" t="s">
        <v>7</v>
      </c>
      <c r="R1001" s="82" t="str">
        <f aca="false">VLOOKUP(J1001,ingredient!$N$4:$O$553,2,0)</f>
        <v>gajar</v>
      </c>
      <c r="U1001" s="81" t="str">
        <f aca="false">I1001</f>
        <v>Rice Sevai</v>
      </c>
      <c r="V1001" s="81" t="n">
        <f aca="false">VLOOKUP(U1001,recipe_ingred_list!$A$2:$B$300,2,0)</f>
        <v>67</v>
      </c>
      <c r="W1001" s="81" t="str">
        <f aca="false">"/recipes/"&amp;VLOOKUP(U1001,recipe_ingred_list!$A$2:$C$300,3,0)&amp;"/detail/"</f>
        <v>/recipes/rice-sevai/detail/</v>
      </c>
      <c r="X1001" s="81" t="str">
        <f aca="false">J1001</f>
        <v>Gajar</v>
      </c>
      <c r="Y1001" s="81" t="str">
        <f aca="false">R1001</f>
        <v>gajar</v>
      </c>
      <c r="Z1001" s="94" t="n">
        <f aca="false">VLOOKUP(Y1001,recipe_ingred_list!$D$2:$E$500,2,0)</f>
        <v>79</v>
      </c>
      <c r="AA1001" s="61" t="n">
        <f aca="false">K1001</f>
        <v>6</v>
      </c>
      <c r="AB1001" s="61" t="str">
        <f aca="false">L1001</f>
        <v>kg</v>
      </c>
      <c r="AC1001" s="61" t="n">
        <f aca="false">VLOOKUP(AB1001,recipe_ingred_list!$K$2:$M$7,3,0)</f>
        <v>2</v>
      </c>
      <c r="AD1001" s="61" t="n">
        <f aca="false">M1001</f>
        <v>0</v>
      </c>
      <c r="AE1001" s="61" t="n">
        <f aca="false">N1001</f>
        <v>0</v>
      </c>
      <c r="AF1001" s="61" t="n">
        <f aca="false">VLOOKUP(AE1001,recipe_ingred_list!$K$16:$M$25,3,0)</f>
        <v>1</v>
      </c>
      <c r="AG1001" s="61" t="n">
        <f aca="false">O1001</f>
        <v>0</v>
      </c>
      <c r="AH1001" s="61" t="n">
        <f aca="false">P1001</f>
        <v>0</v>
      </c>
      <c r="AI1001" s="61" t="n">
        <f aca="false">VLOOKUP(AH1001,recipe_ingred_list!$K$29:$M$34,3,0)</f>
        <v>3</v>
      </c>
      <c r="AJ1001" s="61" t="str">
        <f aca="false">IF(Q1001="","",Q1001)</f>
        <v/>
      </c>
      <c r="AK1001" s="61" t="n">
        <f aca="false">AK1000+1</f>
        <v>1001</v>
      </c>
      <c r="AL1001" s="61" t="str">
        <f aca="false">Y1001</f>
        <v>gajar</v>
      </c>
      <c r="AM1001" s="81" t="str">
        <f aca="false">"a = Client().post('"&amp;W1001&amp;"', {'recipe' : '"&amp;V1001&amp;"', 'ingredient' : '"&amp;Z1001&amp;"', 'name' : '"&amp;X1001&amp;"', 'mass_unit' : '"&amp;AC1001&amp;"', 'mass_quantity' : '"&amp;ROUND(AA1001,3)&amp;"', 'volume_unit' : '"&amp;AF1001&amp;"', 'volume_quantity' : '"&amp;ROUND(AD1001,3)&amp;"', 'pieces_unit' : '"&amp;AI1001&amp;"', 'pieces_quantity' : '"&amp;ROUND(AG1001,3)&amp;"', 'cooking_notes' : '"&amp;AJ1001&amp;"'}).status_code; print('%s :: %s :: %s :: %s :: %s' %(a,"&amp;G1001&amp;",'"&amp;X1001&amp;"','"&amp;Y1001&amp;"','"&amp;U1001&amp;"'))"</f>
        <v>a = Client().post('/recipes/rice-sevai/detail/', {'recipe' : '67', 'ingredient' : '79', 'name' : 'Gajar', 'mass_unit' : '2', 'mass_quantity' : '6', 'volume_unit' : '1', 'volume_quantity' : '0', 'pieces_unit' : '3', 'pieces_quantity' : '0', 'cooking_notes' : ''}).status_code; print('%s :: %s :: %s :: %s :: %s' %(a,1001,'Gajar','gajar','Rice Sevai'))</v>
      </c>
    </row>
    <row r="1002" customFormat="false" ht="13.8" hidden="false" customHeight="false" outlineLevel="0" collapsed="false">
      <c r="G1002" s="80" t="n">
        <v>1002</v>
      </c>
      <c r="H1002" s="83"/>
      <c r="I1002" s="83" t="s">
        <v>310</v>
      </c>
      <c r="J1002" s="83" t="s">
        <v>192</v>
      </c>
      <c r="K1002" s="61" t="n">
        <v>5</v>
      </c>
      <c r="L1002" s="61" t="s">
        <v>7</v>
      </c>
      <c r="R1002" s="82" t="str">
        <f aca="false">VLOOKUP(J1002,ingredient!$N$4:$O$553,2,0)</f>
        <v>beans</v>
      </c>
      <c r="U1002" s="81" t="str">
        <f aca="false">I1002</f>
        <v>Rice Sevai</v>
      </c>
      <c r="V1002" s="81" t="n">
        <f aca="false">VLOOKUP(U1002,recipe_ingred_list!$A$2:$B$300,2,0)</f>
        <v>67</v>
      </c>
      <c r="W1002" s="81" t="str">
        <f aca="false">"/recipes/"&amp;VLOOKUP(U1002,recipe_ingred_list!$A$2:$C$300,3,0)&amp;"/detail/"</f>
        <v>/recipes/rice-sevai/detail/</v>
      </c>
      <c r="X1002" s="81" t="str">
        <f aca="false">J1002</f>
        <v>beans</v>
      </c>
      <c r="Y1002" s="81" t="str">
        <f aca="false">R1002</f>
        <v>beans</v>
      </c>
      <c r="Z1002" s="94" t="n">
        <f aca="false">VLOOKUP(Y1002,recipe_ingred_list!$D$2:$E$500,2,0)</f>
        <v>27</v>
      </c>
      <c r="AA1002" s="61" t="n">
        <f aca="false">K1002</f>
        <v>5</v>
      </c>
      <c r="AB1002" s="61" t="str">
        <f aca="false">L1002</f>
        <v>kg</v>
      </c>
      <c r="AC1002" s="61" t="n">
        <f aca="false">VLOOKUP(AB1002,recipe_ingred_list!$K$2:$M$7,3,0)</f>
        <v>2</v>
      </c>
      <c r="AD1002" s="61" t="n">
        <f aca="false">M1002</f>
        <v>0</v>
      </c>
      <c r="AE1002" s="61" t="n">
        <f aca="false">N1002</f>
        <v>0</v>
      </c>
      <c r="AF1002" s="61" t="n">
        <f aca="false">VLOOKUP(AE1002,recipe_ingred_list!$K$16:$M$25,3,0)</f>
        <v>1</v>
      </c>
      <c r="AG1002" s="61" t="n">
        <f aca="false">O1002</f>
        <v>0</v>
      </c>
      <c r="AH1002" s="61" t="n">
        <f aca="false">P1002</f>
        <v>0</v>
      </c>
      <c r="AI1002" s="61" t="n">
        <f aca="false">VLOOKUP(AH1002,recipe_ingred_list!$K$29:$M$34,3,0)</f>
        <v>3</v>
      </c>
      <c r="AJ1002" s="61" t="str">
        <f aca="false">IF(Q1002="","",Q1002)</f>
        <v/>
      </c>
      <c r="AK1002" s="61" t="n">
        <f aca="false">AK1001+1</f>
        <v>1002</v>
      </c>
      <c r="AL1002" s="61" t="str">
        <f aca="false">Y1002</f>
        <v>beans</v>
      </c>
      <c r="AM1002" s="81" t="str">
        <f aca="false">"a = Client().post('"&amp;W1002&amp;"', {'recipe' : '"&amp;V1002&amp;"', 'ingredient' : '"&amp;Z1002&amp;"', 'name' : '"&amp;X1002&amp;"', 'mass_unit' : '"&amp;AC1002&amp;"', 'mass_quantity' : '"&amp;ROUND(AA1002,3)&amp;"', 'volume_unit' : '"&amp;AF1002&amp;"', 'volume_quantity' : '"&amp;ROUND(AD1002,3)&amp;"', 'pieces_unit' : '"&amp;AI1002&amp;"', 'pieces_quantity' : '"&amp;ROUND(AG1002,3)&amp;"', 'cooking_notes' : '"&amp;AJ1002&amp;"'}).status_code; print('%s :: %s :: %s :: %s :: %s' %(a,"&amp;G1002&amp;",'"&amp;X1002&amp;"','"&amp;Y1002&amp;"','"&amp;U1002&amp;"'))"</f>
        <v>a = Client().post('/recipes/rice-sevai/detail/', {'recipe' : '67', 'ingredient' : '27', 'name' : 'beans', 'mass_unit' : '2', 'mass_quantity' : '5', 'volume_unit' : '1', 'volume_quantity' : '0', 'pieces_unit' : '3', 'pieces_quantity' : '0', 'cooking_notes' : ''}).status_code; print('%s :: %s :: %s :: %s :: %s' %(a,1002,'beans','beans','Rice Sevai'))</v>
      </c>
    </row>
    <row r="1003" customFormat="false" ht="13.8" hidden="false" customHeight="false" outlineLevel="0" collapsed="false">
      <c r="G1003" s="80" t="n">
        <v>1003</v>
      </c>
      <c r="H1003" s="83"/>
      <c r="I1003" s="83" t="s">
        <v>310</v>
      </c>
      <c r="J1003" s="83" t="s">
        <v>790</v>
      </c>
      <c r="K1003" s="61" t="n">
        <v>6</v>
      </c>
      <c r="L1003" s="61" t="s">
        <v>7</v>
      </c>
      <c r="R1003" s="82" t="str">
        <f aca="false">VLOOKUP(J1003,ingredient!$N$4:$O$553,2,0)</f>
        <v>green peas</v>
      </c>
      <c r="U1003" s="81" t="str">
        <f aca="false">I1003</f>
        <v>Rice Sevai</v>
      </c>
      <c r="V1003" s="81" t="n">
        <f aca="false">VLOOKUP(U1003,recipe_ingred_list!$A$2:$B$300,2,0)</f>
        <v>67</v>
      </c>
      <c r="W1003" s="81" t="str">
        <f aca="false">"/recipes/"&amp;VLOOKUP(U1003,recipe_ingred_list!$A$2:$C$300,3,0)&amp;"/detail/"</f>
        <v>/recipes/rice-sevai/detail/</v>
      </c>
      <c r="X1003" s="81" t="str">
        <f aca="false">J1003</f>
        <v>Green Peas</v>
      </c>
      <c r="Y1003" s="81" t="str">
        <f aca="false">R1003</f>
        <v>green peas</v>
      </c>
      <c r="Z1003" s="94" t="n">
        <f aca="false">VLOOKUP(Y1003,recipe_ingred_list!$D$2:$E$500,2,0)</f>
        <v>88</v>
      </c>
      <c r="AA1003" s="61" t="n">
        <f aca="false">K1003</f>
        <v>6</v>
      </c>
      <c r="AB1003" s="61" t="str">
        <f aca="false">L1003</f>
        <v>kg</v>
      </c>
      <c r="AC1003" s="61" t="n">
        <f aca="false">VLOOKUP(AB1003,recipe_ingred_list!$K$2:$M$7,3,0)</f>
        <v>2</v>
      </c>
      <c r="AD1003" s="61" t="n">
        <f aca="false">M1003</f>
        <v>0</v>
      </c>
      <c r="AE1003" s="61" t="n">
        <f aca="false">N1003</f>
        <v>0</v>
      </c>
      <c r="AF1003" s="61" t="n">
        <f aca="false">VLOOKUP(AE1003,recipe_ingred_list!$K$16:$M$25,3,0)</f>
        <v>1</v>
      </c>
      <c r="AG1003" s="61" t="n">
        <f aca="false">O1003</f>
        <v>0</v>
      </c>
      <c r="AH1003" s="61" t="n">
        <f aca="false">P1003</f>
        <v>0</v>
      </c>
      <c r="AI1003" s="61" t="n">
        <f aca="false">VLOOKUP(AH1003,recipe_ingred_list!$K$29:$M$34,3,0)</f>
        <v>3</v>
      </c>
      <c r="AJ1003" s="61" t="str">
        <f aca="false">IF(Q1003="","",Q1003)</f>
        <v/>
      </c>
      <c r="AK1003" s="61" t="n">
        <f aca="false">AK1002+1</f>
        <v>1003</v>
      </c>
      <c r="AL1003" s="61" t="str">
        <f aca="false">Y1003</f>
        <v>green peas</v>
      </c>
      <c r="AM1003" s="81" t="str">
        <f aca="false">"a = Client().post('"&amp;W1003&amp;"', {'recipe' : '"&amp;V1003&amp;"', 'ingredient' : '"&amp;Z1003&amp;"', 'name' : '"&amp;X1003&amp;"', 'mass_unit' : '"&amp;AC1003&amp;"', 'mass_quantity' : '"&amp;ROUND(AA1003,3)&amp;"', 'volume_unit' : '"&amp;AF1003&amp;"', 'volume_quantity' : '"&amp;ROUND(AD1003,3)&amp;"', 'pieces_unit' : '"&amp;AI1003&amp;"', 'pieces_quantity' : '"&amp;ROUND(AG1003,3)&amp;"', 'cooking_notes' : '"&amp;AJ1003&amp;"'}).status_code; print('%s :: %s :: %s :: %s :: %s' %(a,"&amp;G1003&amp;",'"&amp;X1003&amp;"','"&amp;Y1003&amp;"','"&amp;U1003&amp;"'))"</f>
        <v>a = Client().post('/recipes/rice-sevai/detail/', {'recipe' : '67', 'ingredient' : '88', 'name' : 'Green Peas', 'mass_unit' : '2', 'mass_quantity' : '6', 'volume_unit' : '1', 'volume_quantity' : '0', 'pieces_unit' : '3', 'pieces_quantity' : '0', 'cooking_notes' : ''}).status_code; print('%s :: %s :: %s :: %s :: %s' %(a,1003,'Green Peas','green peas','Rice Sevai'))</v>
      </c>
    </row>
    <row r="1004" customFormat="false" ht="13.8" hidden="false" customHeight="false" outlineLevel="0" collapsed="false">
      <c r="G1004" s="80" t="n">
        <v>1004</v>
      </c>
      <c r="H1004" s="83"/>
      <c r="I1004" s="83" t="s">
        <v>310</v>
      </c>
      <c r="J1004" s="83" t="s">
        <v>801</v>
      </c>
      <c r="M1004" s="61" t="n">
        <v>1</v>
      </c>
      <c r="N1004" s="61" t="s">
        <v>13</v>
      </c>
      <c r="R1004" s="82" t="str">
        <f aca="false">VLOOKUP(J1004,ingredient!$N$4:$O$553,2,0)</f>
        <v>hari mirchi</v>
      </c>
      <c r="U1004" s="81" t="str">
        <f aca="false">I1004</f>
        <v>Rice Sevai</v>
      </c>
      <c r="V1004" s="81" t="n">
        <f aca="false">VLOOKUP(U1004,recipe_ingred_list!$A$2:$B$300,2,0)</f>
        <v>67</v>
      </c>
      <c r="W1004" s="81" t="str">
        <f aca="false">"/recipes/"&amp;VLOOKUP(U1004,recipe_ingred_list!$A$2:$C$300,3,0)&amp;"/detail/"</f>
        <v>/recipes/rice-sevai/detail/</v>
      </c>
      <c r="X1004" s="81" t="str">
        <f aca="false">J1004</f>
        <v>green chilly</v>
      </c>
      <c r="Y1004" s="81" t="str">
        <f aca="false">R1004</f>
        <v>hari mirchi</v>
      </c>
      <c r="Z1004" s="94" t="n">
        <f aca="false">VLOOKUP(Y1004,recipe_ingred_list!$D$2:$E$500,2,0)</f>
        <v>93</v>
      </c>
      <c r="AA1004" s="61" t="n">
        <f aca="false">K1004</f>
        <v>0</v>
      </c>
      <c r="AB1004" s="61" t="n">
        <f aca="false">L1004</f>
        <v>0</v>
      </c>
      <c r="AC1004" s="61" t="n">
        <f aca="false">VLOOKUP(AB1004,recipe_ingred_list!$K$2:$M$7,3,0)</f>
        <v>2</v>
      </c>
      <c r="AD1004" s="61" t="n">
        <f aca="false">M1004</f>
        <v>1</v>
      </c>
      <c r="AE1004" s="61" t="str">
        <f aca="false">N1004</f>
        <v>ltr</v>
      </c>
      <c r="AF1004" s="61" t="n">
        <f aca="false">VLOOKUP(AE1004,recipe_ingred_list!$K$16:$M$25,3,0)</f>
        <v>1</v>
      </c>
      <c r="AG1004" s="61" t="n">
        <f aca="false">O1004</f>
        <v>0</v>
      </c>
      <c r="AH1004" s="61" t="n">
        <f aca="false">P1004</f>
        <v>0</v>
      </c>
      <c r="AI1004" s="61" t="n">
        <f aca="false">VLOOKUP(AH1004,recipe_ingred_list!$K$29:$M$34,3,0)</f>
        <v>3</v>
      </c>
      <c r="AJ1004" s="61" t="str">
        <f aca="false">IF(Q1004="","",Q1004)</f>
        <v/>
      </c>
      <c r="AK1004" s="61" t="n">
        <f aca="false">AK1003+1</f>
        <v>1004</v>
      </c>
      <c r="AL1004" s="61" t="str">
        <f aca="false">Y1004</f>
        <v>hari mirchi</v>
      </c>
      <c r="AM1004" s="81" t="str">
        <f aca="false">"a = Client().post('"&amp;W1004&amp;"', {'recipe' : '"&amp;V1004&amp;"', 'ingredient' : '"&amp;Z1004&amp;"', 'name' : '"&amp;X1004&amp;"', 'mass_unit' : '"&amp;AC1004&amp;"', 'mass_quantity' : '"&amp;ROUND(AA1004,3)&amp;"', 'volume_unit' : '"&amp;AF1004&amp;"', 'volume_quantity' : '"&amp;ROUND(AD1004,3)&amp;"', 'pieces_unit' : '"&amp;AI1004&amp;"', 'pieces_quantity' : '"&amp;ROUND(AG1004,3)&amp;"', 'cooking_notes' : '"&amp;AJ1004&amp;"'}).status_code; print('%s :: %s :: %s :: %s :: %s' %(a,"&amp;G1004&amp;",'"&amp;X1004&amp;"','"&amp;Y1004&amp;"','"&amp;U1004&amp;"'))"</f>
        <v>a = Client().post('/recipes/rice-sevai/detail/', {'recipe' : '67', 'ingredient' : '93', 'name' : 'green chilly', 'mass_unit' : '2', 'mass_quantity' : '0', 'volume_unit' : '1', 'volume_quantity' : '1', 'pieces_unit' : '3', 'pieces_quantity' : '0', 'cooking_notes' : ''}).status_code; print('%s :: %s :: %s :: %s :: %s' %(a,1004,'green chilly','hari mirchi','Rice Sevai'))</v>
      </c>
    </row>
    <row r="1005" customFormat="false" ht="13.8" hidden="false" customHeight="false" outlineLevel="0" collapsed="false">
      <c r="G1005" s="80" t="n">
        <v>1005</v>
      </c>
      <c r="H1005" s="83"/>
      <c r="I1005" s="83" t="s">
        <v>310</v>
      </c>
      <c r="J1005" s="83" t="s">
        <v>23</v>
      </c>
      <c r="M1005" s="61" t="n">
        <v>3</v>
      </c>
      <c r="N1005" s="61" t="s">
        <v>13</v>
      </c>
      <c r="R1005" s="82" t="str">
        <f aca="false">VLOOKUP(J1005,ingredient!$N$4:$O$553,2,0)</f>
        <v>dhaniya patta</v>
      </c>
      <c r="U1005" s="81" t="str">
        <f aca="false">I1005</f>
        <v>Rice Sevai</v>
      </c>
      <c r="V1005" s="81" t="n">
        <f aca="false">VLOOKUP(U1005,recipe_ingred_list!$A$2:$B$300,2,0)</f>
        <v>67</v>
      </c>
      <c r="W1005" s="81" t="str">
        <f aca="false">"/recipes/"&amp;VLOOKUP(U1005,recipe_ingred_list!$A$2:$C$300,3,0)&amp;"/detail/"</f>
        <v>/recipes/rice-sevai/detail/</v>
      </c>
      <c r="X1005" s="81" t="str">
        <f aca="false">J1005</f>
        <v>Dhania patta</v>
      </c>
      <c r="Y1005" s="81" t="str">
        <f aca="false">R1005</f>
        <v>dhaniya patta</v>
      </c>
      <c r="Z1005" s="94" t="n">
        <f aca="false">VLOOKUP(Y1005,recipe_ingred_list!$D$2:$E$500,2,0)</f>
        <v>66</v>
      </c>
      <c r="AA1005" s="61" t="n">
        <f aca="false">K1005</f>
        <v>0</v>
      </c>
      <c r="AB1005" s="61" t="n">
        <f aca="false">L1005</f>
        <v>0</v>
      </c>
      <c r="AC1005" s="61" t="n">
        <f aca="false">VLOOKUP(AB1005,recipe_ingred_list!$K$2:$M$7,3,0)</f>
        <v>2</v>
      </c>
      <c r="AD1005" s="61" t="n">
        <f aca="false">M1005</f>
        <v>3</v>
      </c>
      <c r="AE1005" s="61" t="str">
        <f aca="false">N1005</f>
        <v>ltr</v>
      </c>
      <c r="AF1005" s="61" t="n">
        <f aca="false">VLOOKUP(AE1005,recipe_ingred_list!$K$16:$M$25,3,0)</f>
        <v>1</v>
      </c>
      <c r="AG1005" s="61" t="n">
        <f aca="false">O1005</f>
        <v>0</v>
      </c>
      <c r="AH1005" s="61" t="n">
        <f aca="false">P1005</f>
        <v>0</v>
      </c>
      <c r="AI1005" s="61" t="n">
        <f aca="false">VLOOKUP(AH1005,recipe_ingred_list!$K$29:$M$34,3,0)</f>
        <v>3</v>
      </c>
      <c r="AJ1005" s="61" t="str">
        <f aca="false">IF(Q1005="","",Q1005)</f>
        <v/>
      </c>
      <c r="AK1005" s="61" t="n">
        <f aca="false">AK1004+1</f>
        <v>1005</v>
      </c>
      <c r="AL1005" s="61" t="str">
        <f aca="false">Y1005</f>
        <v>dhaniya patta</v>
      </c>
      <c r="AM1005" s="81" t="str">
        <f aca="false">"a = Client().post('"&amp;W1005&amp;"', {'recipe' : '"&amp;V1005&amp;"', 'ingredient' : '"&amp;Z1005&amp;"', 'name' : '"&amp;X1005&amp;"', 'mass_unit' : '"&amp;AC1005&amp;"', 'mass_quantity' : '"&amp;ROUND(AA1005,3)&amp;"', 'volume_unit' : '"&amp;AF1005&amp;"', 'volume_quantity' : '"&amp;ROUND(AD1005,3)&amp;"', 'pieces_unit' : '"&amp;AI1005&amp;"', 'pieces_quantity' : '"&amp;ROUND(AG1005,3)&amp;"', 'cooking_notes' : '"&amp;AJ1005&amp;"'}).status_code; print('%s :: %s :: %s :: %s :: %s' %(a,"&amp;G1005&amp;",'"&amp;X1005&amp;"','"&amp;Y1005&amp;"','"&amp;U1005&amp;"'))"</f>
        <v>a = Client().post('/recipes/rice-sevai/detail/', {'recipe' : '67', 'ingredient' : '66', 'name' : 'Dhania patta', 'mass_unit' : '2', 'mass_quantity' : '0', 'volume_unit' : '1', 'volume_quantity' : '3', 'pieces_unit' : '3', 'pieces_quantity' : '0', 'cooking_notes' : ''}).status_code; print('%s :: %s :: %s :: %s :: %s' %(a,1005,'Dhania patta','dhaniya patta','Rice Sevai'))</v>
      </c>
    </row>
    <row r="1006" customFormat="false" ht="13.8" hidden="false" customHeight="false" outlineLevel="0" collapsed="false">
      <c r="G1006" s="80" t="n">
        <v>1006</v>
      </c>
      <c r="H1006" s="83"/>
      <c r="I1006" s="83" t="s">
        <v>310</v>
      </c>
      <c r="J1006" s="83" t="s">
        <v>802</v>
      </c>
      <c r="M1006" s="61" t="n">
        <v>0.5</v>
      </c>
      <c r="N1006" s="61" t="s">
        <v>13</v>
      </c>
      <c r="R1006" s="82" t="str">
        <f aca="false">VLOOKUP(J1006,ingredient!$N$4:$O$553,2,0)</f>
        <v>adrak</v>
      </c>
      <c r="U1006" s="81" t="str">
        <f aca="false">I1006</f>
        <v>Rice Sevai</v>
      </c>
      <c r="V1006" s="81" t="n">
        <f aca="false">VLOOKUP(U1006,recipe_ingred_list!$A$2:$B$300,2,0)</f>
        <v>67</v>
      </c>
      <c r="W1006" s="81" t="str">
        <f aca="false">"/recipes/"&amp;VLOOKUP(U1006,recipe_ingred_list!$A$2:$C$300,3,0)&amp;"/detail/"</f>
        <v>/recipes/rice-sevai/detail/</v>
      </c>
      <c r="X1006" s="81" t="str">
        <f aca="false">J1006</f>
        <v>ginger</v>
      </c>
      <c r="Y1006" s="81" t="str">
        <f aca="false">R1006</f>
        <v>adrak</v>
      </c>
      <c r="Z1006" s="94" t="n">
        <f aca="false">VLOOKUP(Y1006,recipe_ingred_list!$D$2:$E$500,2,0)</f>
        <v>1</v>
      </c>
      <c r="AA1006" s="61" t="n">
        <f aca="false">K1006</f>
        <v>0</v>
      </c>
      <c r="AB1006" s="61" t="n">
        <f aca="false">L1006</f>
        <v>0</v>
      </c>
      <c r="AC1006" s="61" t="n">
        <f aca="false">VLOOKUP(AB1006,recipe_ingred_list!$K$2:$M$7,3,0)</f>
        <v>2</v>
      </c>
      <c r="AD1006" s="61" t="n">
        <f aca="false">M1006</f>
        <v>0.5</v>
      </c>
      <c r="AE1006" s="61" t="str">
        <f aca="false">N1006</f>
        <v>ltr</v>
      </c>
      <c r="AF1006" s="61" t="n">
        <f aca="false">VLOOKUP(AE1006,recipe_ingred_list!$K$16:$M$25,3,0)</f>
        <v>1</v>
      </c>
      <c r="AG1006" s="61" t="n">
        <f aca="false">O1006</f>
        <v>0</v>
      </c>
      <c r="AH1006" s="61" t="n">
        <f aca="false">P1006</f>
        <v>0</v>
      </c>
      <c r="AI1006" s="61" t="n">
        <f aca="false">VLOOKUP(AH1006,recipe_ingred_list!$K$29:$M$34,3,0)</f>
        <v>3</v>
      </c>
      <c r="AJ1006" s="61" t="str">
        <f aca="false">IF(Q1006="","",Q1006)</f>
        <v/>
      </c>
      <c r="AK1006" s="61" t="n">
        <f aca="false">AK1005+1</f>
        <v>1006</v>
      </c>
      <c r="AL1006" s="61" t="str">
        <f aca="false">Y1006</f>
        <v>adrak</v>
      </c>
      <c r="AM1006" s="81" t="str">
        <f aca="false">"a = Client().post('"&amp;W1006&amp;"', {'recipe' : '"&amp;V1006&amp;"', 'ingredient' : '"&amp;Z1006&amp;"', 'name' : '"&amp;X1006&amp;"', 'mass_unit' : '"&amp;AC1006&amp;"', 'mass_quantity' : '"&amp;ROUND(AA1006,3)&amp;"', 'volume_unit' : '"&amp;AF1006&amp;"', 'volume_quantity' : '"&amp;ROUND(AD1006,3)&amp;"', 'pieces_unit' : '"&amp;AI1006&amp;"', 'pieces_quantity' : '"&amp;ROUND(AG1006,3)&amp;"', 'cooking_notes' : '"&amp;AJ1006&amp;"'}).status_code; print('%s :: %s :: %s :: %s :: %s' %(a,"&amp;G1006&amp;",'"&amp;X1006&amp;"','"&amp;Y1006&amp;"','"&amp;U1006&amp;"'))"</f>
        <v>a = Client().post('/recipes/rice-sevai/detail/', {'recipe' : '67', 'ingredient' : '1', 'name' : 'ginger', 'mass_unit' : '2', 'mass_quantity' : '0', 'volume_unit' : '1', 'volume_quantity' : '0.5', 'pieces_unit' : '3', 'pieces_quantity' : '0', 'cooking_notes' : ''}).status_code; print('%s :: %s :: %s :: %s :: %s' %(a,1006,'ginger','adrak','Rice Sevai'))</v>
      </c>
    </row>
    <row r="1007" customFormat="false" ht="13.8" hidden="false" customHeight="false" outlineLevel="0" collapsed="false">
      <c r="G1007" s="80" t="n">
        <v>1007</v>
      </c>
      <c r="H1007" s="83"/>
      <c r="I1007" s="83" t="s">
        <v>310</v>
      </c>
      <c r="J1007" s="83" t="s">
        <v>803</v>
      </c>
      <c r="M1007" s="61" t="n">
        <v>2</v>
      </c>
      <c r="N1007" s="61" t="s">
        <v>13</v>
      </c>
      <c r="R1007" s="82" t="str">
        <f aca="false">VLOOKUP(J1007,ingredient!$N$4:$O$553,2,0)</f>
        <v>kadi patta</v>
      </c>
      <c r="U1007" s="81" t="str">
        <f aca="false">I1007</f>
        <v>Rice Sevai</v>
      </c>
      <c r="V1007" s="81" t="n">
        <f aca="false">VLOOKUP(U1007,recipe_ingred_list!$A$2:$B$300,2,0)</f>
        <v>67</v>
      </c>
      <c r="W1007" s="81" t="str">
        <f aca="false">"/recipes/"&amp;VLOOKUP(U1007,recipe_ingred_list!$A$2:$C$300,3,0)&amp;"/detail/"</f>
        <v>/recipes/rice-sevai/detail/</v>
      </c>
      <c r="X1007" s="81" t="str">
        <f aca="false">J1007</f>
        <v>kadipatta</v>
      </c>
      <c r="Y1007" s="81" t="str">
        <f aca="false">R1007</f>
        <v>kadi patta</v>
      </c>
      <c r="Z1007" s="94" t="n">
        <f aca="false">VLOOKUP(Y1007,recipe_ingred_list!$D$2:$E$500,2,0)</f>
        <v>105</v>
      </c>
      <c r="AA1007" s="61" t="n">
        <f aca="false">K1007</f>
        <v>0</v>
      </c>
      <c r="AB1007" s="61" t="n">
        <f aca="false">L1007</f>
        <v>0</v>
      </c>
      <c r="AC1007" s="61" t="n">
        <f aca="false">VLOOKUP(AB1007,recipe_ingred_list!$K$2:$M$7,3,0)</f>
        <v>2</v>
      </c>
      <c r="AD1007" s="61" t="n">
        <f aca="false">M1007</f>
        <v>2</v>
      </c>
      <c r="AE1007" s="61" t="str">
        <f aca="false">N1007</f>
        <v>ltr</v>
      </c>
      <c r="AF1007" s="61" t="n">
        <f aca="false">VLOOKUP(AE1007,recipe_ingred_list!$K$16:$M$25,3,0)</f>
        <v>1</v>
      </c>
      <c r="AG1007" s="61" t="n">
        <f aca="false">O1007</f>
        <v>0</v>
      </c>
      <c r="AH1007" s="61" t="n">
        <f aca="false">P1007</f>
        <v>0</v>
      </c>
      <c r="AI1007" s="61" t="n">
        <f aca="false">VLOOKUP(AH1007,recipe_ingred_list!$K$29:$M$34,3,0)</f>
        <v>3</v>
      </c>
      <c r="AJ1007" s="61" t="str">
        <f aca="false">IF(Q1007="","",Q1007)</f>
        <v/>
      </c>
      <c r="AK1007" s="61" t="n">
        <f aca="false">AK1006+1</f>
        <v>1007</v>
      </c>
      <c r="AL1007" s="61" t="str">
        <f aca="false">Y1007</f>
        <v>kadi patta</v>
      </c>
      <c r="AM1007" s="81" t="str">
        <f aca="false">"a = Client().post('"&amp;W1007&amp;"', {'recipe' : '"&amp;V1007&amp;"', 'ingredient' : '"&amp;Z1007&amp;"', 'name' : '"&amp;X1007&amp;"', 'mass_unit' : '"&amp;AC1007&amp;"', 'mass_quantity' : '"&amp;ROUND(AA1007,3)&amp;"', 'volume_unit' : '"&amp;AF1007&amp;"', 'volume_quantity' : '"&amp;ROUND(AD1007,3)&amp;"', 'pieces_unit' : '"&amp;AI1007&amp;"', 'pieces_quantity' : '"&amp;ROUND(AG1007,3)&amp;"', 'cooking_notes' : '"&amp;AJ1007&amp;"'}).status_code; print('%s :: %s :: %s :: %s :: %s' %(a,"&amp;G1007&amp;",'"&amp;X1007&amp;"','"&amp;Y1007&amp;"','"&amp;U1007&amp;"'))"</f>
        <v>a = Client().post('/recipes/rice-sevai/detail/', {'recipe' : '67', 'ingredient' : '105', 'name' : 'kadipatta', 'mass_unit' : '2', 'mass_quantity' : '0', 'volume_unit' : '1', 'volume_quantity' : '2', 'pieces_unit' : '3', 'pieces_quantity' : '0', 'cooking_notes' : ''}).status_code; print('%s :: %s :: %s :: %s :: %s' %(a,1007,'kadipatta','kadi patta','Rice Sevai'))</v>
      </c>
    </row>
    <row r="1008" customFormat="false" ht="13.8" hidden="false" customHeight="false" outlineLevel="0" collapsed="false">
      <c r="G1008" s="80" t="n">
        <v>1008</v>
      </c>
      <c r="H1008" s="83"/>
      <c r="I1008" s="83" t="s">
        <v>310</v>
      </c>
      <c r="J1008" s="83" t="s">
        <v>310</v>
      </c>
      <c r="K1008" s="61" t="n">
        <v>25</v>
      </c>
      <c r="L1008" s="61" t="s">
        <v>7</v>
      </c>
      <c r="R1008" s="82" t="str">
        <f aca="false">VLOOKUP(J1008,ingredient!$N$4:$O$553,2,0)</f>
        <v>rice sevai</v>
      </c>
      <c r="U1008" s="81" t="str">
        <f aca="false">I1008</f>
        <v>Rice Sevai</v>
      </c>
      <c r="V1008" s="81" t="n">
        <f aca="false">VLOOKUP(U1008,recipe_ingred_list!$A$2:$B$300,2,0)</f>
        <v>67</v>
      </c>
      <c r="W1008" s="81" t="str">
        <f aca="false">"/recipes/"&amp;VLOOKUP(U1008,recipe_ingred_list!$A$2:$C$300,3,0)&amp;"/detail/"</f>
        <v>/recipes/rice-sevai/detail/</v>
      </c>
      <c r="X1008" s="81" t="str">
        <f aca="false">J1008</f>
        <v>Rice Sevai</v>
      </c>
      <c r="Y1008" s="81" t="str">
        <f aca="false">R1008</f>
        <v>rice sevai</v>
      </c>
      <c r="Z1008" s="94" t="n">
        <f aca="false">VLOOKUP(Y1008,recipe_ingred_list!$D$2:$E$500,2,0)</f>
        <v>172</v>
      </c>
      <c r="AA1008" s="61" t="n">
        <f aca="false">K1008</f>
        <v>25</v>
      </c>
      <c r="AB1008" s="61" t="str">
        <f aca="false">L1008</f>
        <v>kg</v>
      </c>
      <c r="AC1008" s="61" t="n">
        <f aca="false">VLOOKUP(AB1008,recipe_ingred_list!$K$2:$M$7,3,0)</f>
        <v>2</v>
      </c>
      <c r="AD1008" s="61" t="n">
        <f aca="false">M1008</f>
        <v>0</v>
      </c>
      <c r="AE1008" s="61" t="n">
        <f aca="false">N1008</f>
        <v>0</v>
      </c>
      <c r="AF1008" s="61" t="n">
        <f aca="false">VLOOKUP(AE1008,recipe_ingred_list!$K$16:$M$25,3,0)</f>
        <v>1</v>
      </c>
      <c r="AG1008" s="61" t="n">
        <f aca="false">O1008</f>
        <v>0</v>
      </c>
      <c r="AH1008" s="61" t="n">
        <f aca="false">P1008</f>
        <v>0</v>
      </c>
      <c r="AI1008" s="61" t="n">
        <f aca="false">VLOOKUP(AH1008,recipe_ingred_list!$K$29:$M$34,3,0)</f>
        <v>3</v>
      </c>
      <c r="AJ1008" s="61" t="str">
        <f aca="false">IF(Q1008="","",Q1008)</f>
        <v/>
      </c>
      <c r="AK1008" s="61" t="n">
        <f aca="false">AK1007+1</f>
        <v>1008</v>
      </c>
      <c r="AL1008" s="61" t="str">
        <f aca="false">Y1008</f>
        <v>rice sevai</v>
      </c>
      <c r="AM1008" s="81" t="str">
        <f aca="false">"a = Client().post('"&amp;W1008&amp;"', {'recipe' : '"&amp;V1008&amp;"', 'ingredient' : '"&amp;Z1008&amp;"', 'name' : '"&amp;X1008&amp;"', 'mass_unit' : '"&amp;AC1008&amp;"', 'mass_quantity' : '"&amp;ROUND(AA1008,3)&amp;"', 'volume_unit' : '"&amp;AF1008&amp;"', 'volume_quantity' : '"&amp;ROUND(AD1008,3)&amp;"', 'pieces_unit' : '"&amp;AI1008&amp;"', 'pieces_quantity' : '"&amp;ROUND(AG1008,3)&amp;"', 'cooking_notes' : '"&amp;AJ1008&amp;"'}).status_code; print('%s :: %s :: %s :: %s :: %s' %(a,"&amp;G1008&amp;",'"&amp;X1008&amp;"','"&amp;Y1008&amp;"','"&amp;U1008&amp;"'))"</f>
        <v>a = Client().post('/recipes/rice-sevai/detail/', {'recipe' : '67', 'ingredient' : '172', 'name' : 'Rice Sevai', 'mass_unit' : '2', 'mass_quantity' : '25', 'volume_unit' : '1', 'volume_quantity' : '0', 'pieces_unit' : '3', 'pieces_quantity' : '0', 'cooking_notes' : ''}).status_code; print('%s :: %s :: %s :: %s :: %s' %(a,1008,'Rice Sevai','rice sevai','Rice Sevai'))</v>
      </c>
    </row>
    <row r="1009" customFormat="false" ht="13.8" hidden="false" customHeight="false" outlineLevel="0" collapsed="false">
      <c r="G1009" s="80" t="n">
        <v>1009</v>
      </c>
      <c r="H1009" s="83"/>
      <c r="I1009" s="83" t="s">
        <v>310</v>
      </c>
      <c r="J1009" s="83" t="s">
        <v>805</v>
      </c>
      <c r="M1009" s="61" t="n">
        <v>4.5</v>
      </c>
      <c r="N1009" s="61" t="s">
        <v>13</v>
      </c>
      <c r="R1009" s="82" t="str">
        <f aca="false">VLOOKUP(J1009,ingredient!$N$4:$O$553,2,0)</f>
        <v>gound nut oil</v>
      </c>
      <c r="U1009" s="81" t="str">
        <f aca="false">I1009</f>
        <v>Rice Sevai</v>
      </c>
      <c r="V1009" s="81" t="n">
        <f aca="false">VLOOKUP(U1009,recipe_ingred_list!$A$2:$B$300,2,0)</f>
        <v>67</v>
      </c>
      <c r="W1009" s="81" t="str">
        <f aca="false">"/recipes/"&amp;VLOOKUP(U1009,recipe_ingred_list!$A$2:$C$300,3,0)&amp;"/detail/"</f>
        <v>/recipes/rice-sevai/detail/</v>
      </c>
      <c r="X1009" s="81" t="str">
        <f aca="false">J1009</f>
        <v>oil(groundnut)</v>
      </c>
      <c r="Y1009" s="81" t="str">
        <f aca="false">R1009</f>
        <v>gound nut oil</v>
      </c>
      <c r="Z1009" s="94" t="n">
        <f aca="false">VLOOKUP(Y1009,recipe_ingred_list!$D$2:$E$500,2,0)</f>
        <v>83</v>
      </c>
      <c r="AA1009" s="61" t="n">
        <f aca="false">K1009</f>
        <v>0</v>
      </c>
      <c r="AB1009" s="61" t="n">
        <f aca="false">L1009</f>
        <v>0</v>
      </c>
      <c r="AC1009" s="61" t="n">
        <f aca="false">VLOOKUP(AB1009,recipe_ingred_list!$K$2:$M$7,3,0)</f>
        <v>2</v>
      </c>
      <c r="AD1009" s="61" t="n">
        <f aca="false">M1009</f>
        <v>4.5</v>
      </c>
      <c r="AE1009" s="61" t="str">
        <f aca="false">N1009</f>
        <v>ltr</v>
      </c>
      <c r="AF1009" s="61" t="n">
        <f aca="false">VLOOKUP(AE1009,recipe_ingred_list!$K$16:$M$25,3,0)</f>
        <v>1</v>
      </c>
      <c r="AG1009" s="61" t="n">
        <f aca="false">O1009</f>
        <v>0</v>
      </c>
      <c r="AH1009" s="61" t="n">
        <f aca="false">P1009</f>
        <v>0</v>
      </c>
      <c r="AI1009" s="61" t="n">
        <f aca="false">VLOOKUP(AH1009,recipe_ingred_list!$K$29:$M$34,3,0)</f>
        <v>3</v>
      </c>
      <c r="AJ1009" s="61" t="str">
        <f aca="false">IF(Q1009="","",Q1009)</f>
        <v/>
      </c>
      <c r="AK1009" s="61" t="n">
        <f aca="false">AK1008+1</f>
        <v>1009</v>
      </c>
      <c r="AL1009" s="61" t="str">
        <f aca="false">Y1009</f>
        <v>gound nut oil</v>
      </c>
      <c r="AM1009" s="81" t="str">
        <f aca="false">"a = Client().post('"&amp;W1009&amp;"', {'recipe' : '"&amp;V1009&amp;"', 'ingredient' : '"&amp;Z1009&amp;"', 'name' : '"&amp;X1009&amp;"', 'mass_unit' : '"&amp;AC1009&amp;"', 'mass_quantity' : '"&amp;ROUND(AA1009,3)&amp;"', 'volume_unit' : '"&amp;AF1009&amp;"', 'volume_quantity' : '"&amp;ROUND(AD1009,3)&amp;"', 'pieces_unit' : '"&amp;AI1009&amp;"', 'pieces_quantity' : '"&amp;ROUND(AG1009,3)&amp;"', 'cooking_notes' : '"&amp;AJ1009&amp;"'}).status_code; print('%s :: %s :: %s :: %s :: %s' %(a,"&amp;G1009&amp;",'"&amp;X1009&amp;"','"&amp;Y1009&amp;"','"&amp;U1009&amp;"'))"</f>
        <v>a = Client().post('/recipes/rice-sevai/detail/', {'recipe' : '67', 'ingredient' : '83', 'name' : 'oil(groundnut)', 'mass_unit' : '2', 'mass_quantity' : '0', 'volume_unit' : '1', 'volume_quantity' : '4.5', 'pieces_unit' : '3', 'pieces_quantity' : '0', 'cooking_notes' : ''}).status_code; print('%s :: %s :: %s :: %s :: %s' %(a,1009,'oil(groundnut)','gound nut oil','Rice Sevai'))</v>
      </c>
    </row>
    <row r="1010" customFormat="false" ht="13.8" hidden="false" customHeight="false" outlineLevel="0" collapsed="false">
      <c r="G1010" s="80" t="n">
        <v>1010</v>
      </c>
      <c r="H1010" s="83"/>
      <c r="I1010" s="83" t="s">
        <v>310</v>
      </c>
      <c r="J1010" s="83" t="s">
        <v>570</v>
      </c>
      <c r="M1010" s="61" t="n">
        <v>2</v>
      </c>
      <c r="N1010" s="61" t="s">
        <v>20</v>
      </c>
      <c r="R1010" s="82" t="str">
        <f aca="false">VLOOKUP(J1010,ingredient!$N$4:$O$553,2,0)</f>
        <v>rai</v>
      </c>
      <c r="U1010" s="81" t="str">
        <f aca="false">I1010</f>
        <v>Rice Sevai</v>
      </c>
      <c r="V1010" s="81" t="n">
        <f aca="false">VLOOKUP(U1010,recipe_ingred_list!$A$2:$B$300,2,0)</f>
        <v>67</v>
      </c>
      <c r="W1010" s="81" t="str">
        <f aca="false">"/recipes/"&amp;VLOOKUP(U1010,recipe_ingred_list!$A$2:$C$300,3,0)&amp;"/detail/"</f>
        <v>/recipes/rice-sevai/detail/</v>
      </c>
      <c r="X1010" s="81" t="str">
        <f aca="false">J1010</f>
        <v>Rai</v>
      </c>
      <c r="Y1010" s="81" t="str">
        <f aca="false">R1010</f>
        <v>rai</v>
      </c>
      <c r="Z1010" s="94" t="n">
        <f aca="false">VLOOKUP(Y1010,recipe_ingred_list!$D$2:$E$500,2,0)</f>
        <v>164</v>
      </c>
      <c r="AA1010" s="61" t="n">
        <f aca="false">K1010</f>
        <v>0</v>
      </c>
      <c r="AB1010" s="61" t="n">
        <f aca="false">L1010</f>
        <v>0</v>
      </c>
      <c r="AC1010" s="61" t="n">
        <f aca="false">VLOOKUP(AB1010,recipe_ingred_list!$K$2:$M$7,3,0)</f>
        <v>2</v>
      </c>
      <c r="AD1010" s="61" t="n">
        <f aca="false">M1010</f>
        <v>2</v>
      </c>
      <c r="AE1010" s="61" t="str">
        <f aca="false">N1010</f>
        <v>cup</v>
      </c>
      <c r="AF1010" s="61" t="n">
        <f aca="false">VLOOKUP(AE1010,recipe_ingred_list!$K$16:$M$25,3,0)</f>
        <v>5</v>
      </c>
      <c r="AG1010" s="61" t="n">
        <f aca="false">O1010</f>
        <v>0</v>
      </c>
      <c r="AH1010" s="61" t="n">
        <f aca="false">P1010</f>
        <v>0</v>
      </c>
      <c r="AI1010" s="61" t="n">
        <f aca="false">VLOOKUP(AH1010,recipe_ingred_list!$K$29:$M$34,3,0)</f>
        <v>3</v>
      </c>
      <c r="AJ1010" s="61" t="str">
        <f aca="false">IF(Q1010="","",Q1010)</f>
        <v/>
      </c>
      <c r="AK1010" s="61" t="n">
        <f aca="false">AK1009+1</f>
        <v>1010</v>
      </c>
      <c r="AL1010" s="61" t="str">
        <f aca="false">Y1010</f>
        <v>rai</v>
      </c>
      <c r="AM1010" s="81" t="str">
        <f aca="false">"a = Client().post('"&amp;W1010&amp;"', {'recipe' : '"&amp;V1010&amp;"', 'ingredient' : '"&amp;Z1010&amp;"', 'name' : '"&amp;X1010&amp;"', 'mass_unit' : '"&amp;AC1010&amp;"', 'mass_quantity' : '"&amp;ROUND(AA1010,3)&amp;"', 'volume_unit' : '"&amp;AF1010&amp;"', 'volume_quantity' : '"&amp;ROUND(AD1010,3)&amp;"', 'pieces_unit' : '"&amp;AI1010&amp;"', 'pieces_quantity' : '"&amp;ROUND(AG1010,3)&amp;"', 'cooking_notes' : '"&amp;AJ1010&amp;"'}).status_code; print('%s :: %s :: %s :: %s :: %s' %(a,"&amp;G1010&amp;",'"&amp;X1010&amp;"','"&amp;Y1010&amp;"','"&amp;U1010&amp;"'))"</f>
        <v>a = Client().post('/recipes/rice-sevai/detail/', {'recipe' : '67', 'ingredient' : '164', 'name' : 'Rai', 'mass_unit' : '2', 'mass_quantity' : '0', 'volume_unit' : '5', 'volume_quantity' : '2', 'pieces_unit' : '3', 'pieces_quantity' : '0', 'cooking_notes' : ''}).status_code; print('%s :: %s :: %s :: %s :: %s' %(a,1010,'Rai','rai','Rice Sevai'))</v>
      </c>
    </row>
    <row r="1011" customFormat="false" ht="13.8" hidden="false" customHeight="false" outlineLevel="0" collapsed="false">
      <c r="G1011" s="80" t="n">
        <v>1011</v>
      </c>
      <c r="H1011" s="83"/>
      <c r="I1011" s="83" t="s">
        <v>310</v>
      </c>
      <c r="J1011" s="83" t="s">
        <v>249</v>
      </c>
      <c r="M1011" s="61" t="n">
        <v>1</v>
      </c>
      <c r="N1011" s="61" t="s">
        <v>13</v>
      </c>
      <c r="R1011" s="82" t="str">
        <f aca="false">VLOOKUP(J1011,ingredient!$N$4:$O$553,2,0)</f>
        <v>chana dal</v>
      </c>
      <c r="U1011" s="81" t="str">
        <f aca="false">I1011</f>
        <v>Rice Sevai</v>
      </c>
      <c r="V1011" s="81" t="n">
        <f aca="false">VLOOKUP(U1011,recipe_ingred_list!$A$2:$B$300,2,0)</f>
        <v>67</v>
      </c>
      <c r="W1011" s="81" t="str">
        <f aca="false">"/recipes/"&amp;VLOOKUP(U1011,recipe_ingred_list!$A$2:$C$300,3,0)&amp;"/detail/"</f>
        <v>/recipes/rice-sevai/detail/</v>
      </c>
      <c r="X1011" s="81" t="str">
        <f aca="false">J1011</f>
        <v>chana dal</v>
      </c>
      <c r="Y1011" s="81" t="str">
        <f aca="false">R1011</f>
        <v>chana dal</v>
      </c>
      <c r="Z1011" s="94" t="n">
        <f aca="false">VLOOKUP(Y1011,recipe_ingred_list!$D$2:$E$500,2,0)</f>
        <v>46</v>
      </c>
      <c r="AA1011" s="61" t="n">
        <f aca="false">K1011</f>
        <v>0</v>
      </c>
      <c r="AB1011" s="61" t="n">
        <f aca="false">L1011</f>
        <v>0</v>
      </c>
      <c r="AC1011" s="61" t="n">
        <f aca="false">VLOOKUP(AB1011,recipe_ingred_list!$K$2:$M$7,3,0)</f>
        <v>2</v>
      </c>
      <c r="AD1011" s="61" t="n">
        <f aca="false">M1011</f>
        <v>1</v>
      </c>
      <c r="AE1011" s="61" t="str">
        <f aca="false">N1011</f>
        <v>ltr</v>
      </c>
      <c r="AF1011" s="61" t="n">
        <f aca="false">VLOOKUP(AE1011,recipe_ingred_list!$K$16:$M$25,3,0)</f>
        <v>1</v>
      </c>
      <c r="AG1011" s="61" t="n">
        <f aca="false">O1011</f>
        <v>0</v>
      </c>
      <c r="AH1011" s="61" t="n">
        <f aca="false">P1011</f>
        <v>0</v>
      </c>
      <c r="AI1011" s="61" t="n">
        <f aca="false">VLOOKUP(AH1011,recipe_ingred_list!$K$29:$M$34,3,0)</f>
        <v>3</v>
      </c>
      <c r="AJ1011" s="61" t="str">
        <f aca="false">IF(Q1011="","",Q1011)</f>
        <v/>
      </c>
      <c r="AK1011" s="61" t="n">
        <f aca="false">AK1010+1</f>
        <v>1011</v>
      </c>
      <c r="AL1011" s="61" t="str">
        <f aca="false">Y1011</f>
        <v>chana dal</v>
      </c>
      <c r="AM1011" s="81" t="str">
        <f aca="false">"a = Client().post('"&amp;W1011&amp;"', {'recipe' : '"&amp;V1011&amp;"', 'ingredient' : '"&amp;Z1011&amp;"', 'name' : '"&amp;X1011&amp;"', 'mass_unit' : '"&amp;AC1011&amp;"', 'mass_quantity' : '"&amp;ROUND(AA1011,3)&amp;"', 'volume_unit' : '"&amp;AF1011&amp;"', 'volume_quantity' : '"&amp;ROUND(AD1011,3)&amp;"', 'pieces_unit' : '"&amp;AI1011&amp;"', 'pieces_quantity' : '"&amp;ROUND(AG1011,3)&amp;"', 'cooking_notes' : '"&amp;AJ1011&amp;"'}).status_code; print('%s :: %s :: %s :: %s :: %s' %(a,"&amp;G1011&amp;",'"&amp;X1011&amp;"','"&amp;Y1011&amp;"','"&amp;U1011&amp;"'))"</f>
        <v>a = Client().post('/recipes/rice-sevai/detail/', {'recipe' : '67', 'ingredient' : '46', 'name' : 'chana dal', 'mass_unit' : '2', 'mass_quantity' : '0', 'volume_unit' : '1', 'volume_quantity' : '1', 'pieces_unit' : '3', 'pieces_quantity' : '0', 'cooking_notes' : ''}).status_code; print('%s :: %s :: %s :: %s :: %s' %(a,1011,'chana dal','chana dal','Rice Sevai'))</v>
      </c>
    </row>
    <row r="1012" customFormat="false" ht="13.8" hidden="false" customHeight="false" outlineLevel="0" collapsed="false">
      <c r="G1012" s="80" t="n">
        <v>1012</v>
      </c>
      <c r="H1012" s="83"/>
      <c r="I1012" s="83" t="s">
        <v>310</v>
      </c>
      <c r="J1012" s="83" t="s">
        <v>489</v>
      </c>
      <c r="M1012" s="61" t="n">
        <v>1</v>
      </c>
      <c r="N1012" s="61" t="s">
        <v>13</v>
      </c>
      <c r="R1012" s="82" t="str">
        <f aca="false">VLOOKUP(J1012,ingredient!$N$4:$O$553,2,0)</f>
        <v>urad dal</v>
      </c>
      <c r="U1012" s="81" t="str">
        <f aca="false">I1012</f>
        <v>Rice Sevai</v>
      </c>
      <c r="V1012" s="81" t="n">
        <f aca="false">VLOOKUP(U1012,recipe_ingred_list!$A$2:$B$300,2,0)</f>
        <v>67</v>
      </c>
      <c r="W1012" s="81" t="str">
        <f aca="false">"/recipes/"&amp;VLOOKUP(U1012,recipe_ingred_list!$A$2:$C$300,3,0)&amp;"/detail/"</f>
        <v>/recipes/rice-sevai/detail/</v>
      </c>
      <c r="X1012" s="81" t="str">
        <f aca="false">J1012</f>
        <v>urad dal</v>
      </c>
      <c r="Y1012" s="81" t="str">
        <f aca="false">R1012</f>
        <v>urad dal</v>
      </c>
      <c r="Z1012" s="94" t="n">
        <f aca="false">VLOOKUP(Y1012,recipe_ingred_list!$D$2:$E$500,2,0)</f>
        <v>200</v>
      </c>
      <c r="AA1012" s="61" t="n">
        <f aca="false">K1012</f>
        <v>0</v>
      </c>
      <c r="AB1012" s="61" t="n">
        <f aca="false">L1012</f>
        <v>0</v>
      </c>
      <c r="AC1012" s="61" t="n">
        <f aca="false">VLOOKUP(AB1012,recipe_ingred_list!$K$2:$M$7,3,0)</f>
        <v>2</v>
      </c>
      <c r="AD1012" s="61" t="n">
        <f aca="false">M1012</f>
        <v>1</v>
      </c>
      <c r="AE1012" s="61" t="str">
        <f aca="false">N1012</f>
        <v>ltr</v>
      </c>
      <c r="AF1012" s="61" t="n">
        <f aca="false">VLOOKUP(AE1012,recipe_ingred_list!$K$16:$M$25,3,0)</f>
        <v>1</v>
      </c>
      <c r="AG1012" s="61" t="n">
        <f aca="false">O1012</f>
        <v>0</v>
      </c>
      <c r="AH1012" s="61" t="n">
        <f aca="false">P1012</f>
        <v>0</v>
      </c>
      <c r="AI1012" s="61" t="n">
        <f aca="false">VLOOKUP(AH1012,recipe_ingred_list!$K$29:$M$34,3,0)</f>
        <v>3</v>
      </c>
      <c r="AJ1012" s="61" t="str">
        <f aca="false">IF(Q1012="","",Q1012)</f>
        <v/>
      </c>
      <c r="AK1012" s="61" t="n">
        <f aca="false">AK1011+1</f>
        <v>1012</v>
      </c>
      <c r="AL1012" s="61" t="str">
        <f aca="false">Y1012</f>
        <v>urad dal</v>
      </c>
      <c r="AM1012" s="81" t="str">
        <f aca="false">"a = Client().post('"&amp;W1012&amp;"', {'recipe' : '"&amp;V1012&amp;"', 'ingredient' : '"&amp;Z1012&amp;"', 'name' : '"&amp;X1012&amp;"', 'mass_unit' : '"&amp;AC1012&amp;"', 'mass_quantity' : '"&amp;ROUND(AA1012,3)&amp;"', 'volume_unit' : '"&amp;AF1012&amp;"', 'volume_quantity' : '"&amp;ROUND(AD1012,3)&amp;"', 'pieces_unit' : '"&amp;AI1012&amp;"', 'pieces_quantity' : '"&amp;ROUND(AG1012,3)&amp;"', 'cooking_notes' : '"&amp;AJ1012&amp;"'}).status_code; print('%s :: %s :: %s :: %s :: %s' %(a,"&amp;G1012&amp;",'"&amp;X1012&amp;"','"&amp;Y1012&amp;"','"&amp;U1012&amp;"'))"</f>
        <v>a = Client().post('/recipes/rice-sevai/detail/', {'recipe' : '67', 'ingredient' : '200', 'name' : 'urad dal', 'mass_unit' : '2', 'mass_quantity' : '0', 'volume_unit' : '1', 'volume_quantity' : '1', 'pieces_unit' : '3', 'pieces_quantity' : '0', 'cooking_notes' : ''}).status_code; print('%s :: %s :: %s :: %s :: %s' %(a,1012,'urad dal','urad dal','Rice Sevai'))</v>
      </c>
    </row>
    <row r="1013" customFormat="false" ht="13.8" hidden="false" customHeight="false" outlineLevel="0" collapsed="false">
      <c r="G1013" s="80" t="n">
        <v>1013</v>
      </c>
      <c r="H1013" s="83"/>
      <c r="I1013" s="83" t="s">
        <v>310</v>
      </c>
      <c r="J1013" s="83" t="s">
        <v>382</v>
      </c>
      <c r="M1013" s="61" t="n">
        <v>1</v>
      </c>
      <c r="N1013" s="61" t="s">
        <v>20</v>
      </c>
      <c r="R1013" s="82" t="str">
        <f aca="false">VLOOKUP(J1013,ingredient!$N$4:$O$553,2,0)</f>
        <v>haldi</v>
      </c>
      <c r="U1013" s="81" t="str">
        <f aca="false">I1013</f>
        <v>Rice Sevai</v>
      </c>
      <c r="V1013" s="81" t="n">
        <f aca="false">VLOOKUP(U1013,recipe_ingred_list!$A$2:$B$300,2,0)</f>
        <v>67</v>
      </c>
      <c r="W1013" s="81" t="str">
        <f aca="false">"/recipes/"&amp;VLOOKUP(U1013,recipe_ingred_list!$A$2:$C$300,3,0)&amp;"/detail/"</f>
        <v>/recipes/rice-sevai/detail/</v>
      </c>
      <c r="X1013" s="81" t="str">
        <f aca="false">J1013</f>
        <v>haldi</v>
      </c>
      <c r="Y1013" s="81" t="str">
        <f aca="false">R1013</f>
        <v>haldi</v>
      </c>
      <c r="Z1013" s="94" t="n">
        <f aca="false">VLOOKUP(Y1013,recipe_ingred_list!$D$2:$E$500,2,0)</f>
        <v>91</v>
      </c>
      <c r="AA1013" s="61" t="n">
        <f aca="false">K1013</f>
        <v>0</v>
      </c>
      <c r="AB1013" s="61" t="n">
        <f aca="false">L1013</f>
        <v>0</v>
      </c>
      <c r="AC1013" s="61" t="n">
        <f aca="false">VLOOKUP(AB1013,recipe_ingred_list!$K$2:$M$7,3,0)</f>
        <v>2</v>
      </c>
      <c r="AD1013" s="61" t="n">
        <f aca="false">M1013</f>
        <v>1</v>
      </c>
      <c r="AE1013" s="61" t="str">
        <f aca="false">N1013</f>
        <v>cup</v>
      </c>
      <c r="AF1013" s="61" t="n">
        <f aca="false">VLOOKUP(AE1013,recipe_ingred_list!$K$16:$M$25,3,0)</f>
        <v>5</v>
      </c>
      <c r="AG1013" s="61" t="n">
        <f aca="false">O1013</f>
        <v>0</v>
      </c>
      <c r="AH1013" s="61" t="n">
        <f aca="false">P1013</f>
        <v>0</v>
      </c>
      <c r="AI1013" s="61" t="n">
        <f aca="false">VLOOKUP(AH1013,recipe_ingred_list!$K$29:$M$34,3,0)</f>
        <v>3</v>
      </c>
      <c r="AJ1013" s="61" t="str">
        <f aca="false">IF(Q1013="","",Q1013)</f>
        <v/>
      </c>
      <c r="AK1013" s="61" t="n">
        <f aca="false">AK1012+1</f>
        <v>1013</v>
      </c>
      <c r="AL1013" s="61" t="str">
        <f aca="false">Y1013</f>
        <v>haldi</v>
      </c>
      <c r="AM1013" s="81" t="str">
        <f aca="false">"a = Client().post('"&amp;W1013&amp;"', {'recipe' : '"&amp;V1013&amp;"', 'ingredient' : '"&amp;Z1013&amp;"', 'name' : '"&amp;X1013&amp;"', 'mass_unit' : '"&amp;AC1013&amp;"', 'mass_quantity' : '"&amp;ROUND(AA1013,3)&amp;"', 'volume_unit' : '"&amp;AF1013&amp;"', 'volume_quantity' : '"&amp;ROUND(AD1013,3)&amp;"', 'pieces_unit' : '"&amp;AI1013&amp;"', 'pieces_quantity' : '"&amp;ROUND(AG1013,3)&amp;"', 'cooking_notes' : '"&amp;AJ1013&amp;"'}).status_code; print('%s :: %s :: %s :: %s :: %s' %(a,"&amp;G1013&amp;",'"&amp;X1013&amp;"','"&amp;Y1013&amp;"','"&amp;U1013&amp;"'))"</f>
        <v>a = Client().post('/recipes/rice-sevai/detail/', {'recipe' : '67', 'ingredient' : '91', 'name' : 'haldi', 'mass_unit' : '2', 'mass_quantity' : '0', 'volume_unit' : '5', 'volume_quantity' : '1', 'pieces_unit' : '3', 'pieces_quantity' : '0', 'cooking_notes' : ''}).status_code; print('%s :: %s :: %s :: %s :: %s' %(a,1013,'haldi','haldi','Rice Sevai'))</v>
      </c>
    </row>
    <row r="1014" customFormat="false" ht="13.8" hidden="false" customHeight="false" outlineLevel="0" collapsed="false">
      <c r="G1014" s="80" t="n">
        <v>1014</v>
      </c>
      <c r="H1014" s="83"/>
      <c r="I1014" s="83" t="s">
        <v>310</v>
      </c>
      <c r="J1014" s="83" t="s">
        <v>809</v>
      </c>
      <c r="M1014" s="61" t="n">
        <v>0.5</v>
      </c>
      <c r="N1014" s="61" t="s">
        <v>20</v>
      </c>
      <c r="R1014" s="82" t="str">
        <f aca="false">VLOOKUP(J1014,ingredient!$N$4:$O$553,2,0)</f>
        <v>kashmiri chilly powder</v>
      </c>
      <c r="U1014" s="81" t="str">
        <f aca="false">I1014</f>
        <v>Rice Sevai</v>
      </c>
      <c r="V1014" s="81" t="n">
        <f aca="false">VLOOKUP(U1014,recipe_ingred_list!$A$2:$B$300,2,0)</f>
        <v>67</v>
      </c>
      <c r="W1014" s="81" t="str">
        <f aca="false">"/recipes/"&amp;VLOOKUP(U1014,recipe_ingred_list!$A$2:$C$300,3,0)&amp;"/detail/"</f>
        <v>/recipes/rice-sevai/detail/</v>
      </c>
      <c r="X1014" s="81" t="str">
        <f aca="false">J1014</f>
        <v>kashmiri chili powder</v>
      </c>
      <c r="Y1014" s="81" t="str">
        <f aca="false">R1014</f>
        <v>kashmiri chilly powder</v>
      </c>
      <c r="Z1014" s="94" t="n">
        <f aca="false">VLOOKUP(Y1014,recipe_ingred_list!$D$2:$E$500,2,0)</f>
        <v>117</v>
      </c>
      <c r="AA1014" s="61" t="n">
        <f aca="false">K1014</f>
        <v>0</v>
      </c>
      <c r="AB1014" s="61" t="n">
        <f aca="false">L1014</f>
        <v>0</v>
      </c>
      <c r="AC1014" s="61" t="n">
        <f aca="false">VLOOKUP(AB1014,recipe_ingred_list!$K$2:$M$7,3,0)</f>
        <v>2</v>
      </c>
      <c r="AD1014" s="61" t="n">
        <f aca="false">M1014</f>
        <v>0.5</v>
      </c>
      <c r="AE1014" s="61" t="str">
        <f aca="false">N1014</f>
        <v>cup</v>
      </c>
      <c r="AF1014" s="61" t="n">
        <f aca="false">VLOOKUP(AE1014,recipe_ingred_list!$K$16:$M$25,3,0)</f>
        <v>5</v>
      </c>
      <c r="AG1014" s="61" t="n">
        <f aca="false">O1014</f>
        <v>0</v>
      </c>
      <c r="AH1014" s="61" t="n">
        <f aca="false">P1014</f>
        <v>0</v>
      </c>
      <c r="AI1014" s="61" t="n">
        <f aca="false">VLOOKUP(AH1014,recipe_ingred_list!$K$29:$M$34,3,0)</f>
        <v>3</v>
      </c>
      <c r="AJ1014" s="61" t="str">
        <f aca="false">IF(Q1014="","",Q1014)</f>
        <v/>
      </c>
      <c r="AK1014" s="61" t="n">
        <f aca="false">AK1013+1</f>
        <v>1014</v>
      </c>
      <c r="AL1014" s="61" t="str">
        <f aca="false">Y1014</f>
        <v>kashmiri chilly powder</v>
      </c>
      <c r="AM1014" s="81" t="str">
        <f aca="false">"a = Client().post('"&amp;W1014&amp;"', {'recipe' : '"&amp;V1014&amp;"', 'ingredient' : '"&amp;Z1014&amp;"', 'name' : '"&amp;X1014&amp;"', 'mass_unit' : '"&amp;AC1014&amp;"', 'mass_quantity' : '"&amp;ROUND(AA1014,3)&amp;"', 'volume_unit' : '"&amp;AF1014&amp;"', 'volume_quantity' : '"&amp;ROUND(AD1014,3)&amp;"', 'pieces_unit' : '"&amp;AI1014&amp;"', 'pieces_quantity' : '"&amp;ROUND(AG1014,3)&amp;"', 'cooking_notes' : '"&amp;AJ1014&amp;"'}).status_code; print('%s :: %s :: %s :: %s :: %s' %(a,"&amp;G1014&amp;",'"&amp;X1014&amp;"','"&amp;Y1014&amp;"','"&amp;U1014&amp;"'))"</f>
        <v>a = Client().post('/recipes/rice-sevai/detail/', {'recipe' : '67', 'ingredient' : '117', 'name' : 'kashmiri chili powder', 'mass_unit' : '2', 'mass_quantity' : '0', 'volume_unit' : '5', 'volume_quantity' : '0.5', 'pieces_unit' : '3', 'pieces_quantity' : '0', 'cooking_notes' : ''}).status_code; print('%s :: %s :: %s :: %s :: %s' %(a,1014,'kashmiri chili powder','kashmiri chilly powder','Rice Sevai'))</v>
      </c>
    </row>
    <row r="1015" customFormat="false" ht="13.8" hidden="false" customHeight="false" outlineLevel="0" collapsed="false">
      <c r="G1015" s="80" t="n">
        <v>1015</v>
      </c>
      <c r="H1015" s="83"/>
      <c r="I1015" s="83" t="s">
        <v>310</v>
      </c>
      <c r="J1015" s="83" t="s">
        <v>391</v>
      </c>
      <c r="M1015" s="61" t="n">
        <v>0.5</v>
      </c>
      <c r="N1015" s="61" t="s">
        <v>20</v>
      </c>
      <c r="R1015" s="82" t="str">
        <f aca="false">VLOOKUP(J1015,ingredient!$N$4:$O$553,2,0)</f>
        <v>hing</v>
      </c>
      <c r="U1015" s="81" t="str">
        <f aca="false">I1015</f>
        <v>Rice Sevai</v>
      </c>
      <c r="V1015" s="81" t="n">
        <f aca="false">VLOOKUP(U1015,recipe_ingred_list!$A$2:$B$300,2,0)</f>
        <v>67</v>
      </c>
      <c r="W1015" s="81" t="str">
        <f aca="false">"/recipes/"&amp;VLOOKUP(U1015,recipe_ingred_list!$A$2:$C$300,3,0)&amp;"/detail/"</f>
        <v>/recipes/rice-sevai/detail/</v>
      </c>
      <c r="X1015" s="81" t="str">
        <f aca="false">J1015</f>
        <v>hing</v>
      </c>
      <c r="Y1015" s="81" t="str">
        <f aca="false">R1015</f>
        <v>hing</v>
      </c>
      <c r="Z1015" s="94" t="n">
        <f aca="false">VLOOKUP(Y1015,recipe_ingred_list!$D$2:$E$500,2,0)</f>
        <v>95</v>
      </c>
      <c r="AA1015" s="61" t="n">
        <f aca="false">K1015</f>
        <v>0</v>
      </c>
      <c r="AB1015" s="61" t="n">
        <f aca="false">L1015</f>
        <v>0</v>
      </c>
      <c r="AC1015" s="61" t="n">
        <f aca="false">VLOOKUP(AB1015,recipe_ingred_list!$K$2:$M$7,3,0)</f>
        <v>2</v>
      </c>
      <c r="AD1015" s="61" t="n">
        <f aca="false">M1015</f>
        <v>0.5</v>
      </c>
      <c r="AE1015" s="61" t="str">
        <f aca="false">N1015</f>
        <v>cup</v>
      </c>
      <c r="AF1015" s="61" t="n">
        <f aca="false">VLOOKUP(AE1015,recipe_ingred_list!$K$16:$M$25,3,0)</f>
        <v>5</v>
      </c>
      <c r="AG1015" s="61" t="n">
        <f aca="false">O1015</f>
        <v>0</v>
      </c>
      <c r="AH1015" s="61" t="n">
        <f aca="false">P1015</f>
        <v>0</v>
      </c>
      <c r="AI1015" s="61" t="n">
        <f aca="false">VLOOKUP(AH1015,recipe_ingred_list!$K$29:$M$34,3,0)</f>
        <v>3</v>
      </c>
      <c r="AJ1015" s="61" t="str">
        <f aca="false">IF(Q1015="","",Q1015)</f>
        <v/>
      </c>
      <c r="AK1015" s="61" t="n">
        <f aca="false">AK1014+1</f>
        <v>1015</v>
      </c>
      <c r="AL1015" s="61" t="str">
        <f aca="false">Y1015</f>
        <v>hing</v>
      </c>
      <c r="AM1015" s="81" t="str">
        <f aca="false">"a = Client().post('"&amp;W1015&amp;"', {'recipe' : '"&amp;V1015&amp;"', 'ingredient' : '"&amp;Z1015&amp;"', 'name' : '"&amp;X1015&amp;"', 'mass_unit' : '"&amp;AC1015&amp;"', 'mass_quantity' : '"&amp;ROUND(AA1015,3)&amp;"', 'volume_unit' : '"&amp;AF1015&amp;"', 'volume_quantity' : '"&amp;ROUND(AD1015,3)&amp;"', 'pieces_unit' : '"&amp;AI1015&amp;"', 'pieces_quantity' : '"&amp;ROUND(AG1015,3)&amp;"', 'cooking_notes' : '"&amp;AJ1015&amp;"'}).status_code; print('%s :: %s :: %s :: %s :: %s' %(a,"&amp;G1015&amp;",'"&amp;X1015&amp;"','"&amp;Y1015&amp;"','"&amp;U1015&amp;"'))"</f>
        <v>a = Client().post('/recipes/rice-sevai/detail/', {'recipe' : '67', 'ingredient' : '95', 'name' : 'hing', 'mass_unit' : '2', 'mass_quantity' : '0', 'volume_unit' : '5', 'volume_quantity' : '0.5', 'pieces_unit' : '3', 'pieces_quantity' : '0', 'cooking_notes' : ''}).status_code; print('%s :: %s :: %s :: %s :: %s' %(a,1015,'hing','hing','Rice Sevai'))</v>
      </c>
    </row>
    <row r="1016" customFormat="false" ht="13.8" hidden="false" customHeight="false" outlineLevel="0" collapsed="false">
      <c r="G1016" s="80" t="n">
        <v>1016</v>
      </c>
      <c r="H1016" s="83"/>
      <c r="I1016" s="83" t="s">
        <v>310</v>
      </c>
      <c r="J1016" s="83" t="s">
        <v>96</v>
      </c>
      <c r="M1016" s="61" t="n">
        <v>6</v>
      </c>
      <c r="N1016" s="61" t="s">
        <v>20</v>
      </c>
      <c r="R1016" s="82" t="str">
        <f aca="false">VLOOKUP(J1016,ingredient!$N$4:$O$553,2,0)</f>
        <v>salt</v>
      </c>
      <c r="U1016" s="81" t="str">
        <f aca="false">I1016</f>
        <v>Rice Sevai</v>
      </c>
      <c r="V1016" s="81" t="n">
        <f aca="false">VLOOKUP(U1016,recipe_ingred_list!$A$2:$B$300,2,0)</f>
        <v>67</v>
      </c>
      <c r="W1016" s="81" t="str">
        <f aca="false">"/recipes/"&amp;VLOOKUP(U1016,recipe_ingred_list!$A$2:$C$300,3,0)&amp;"/detail/"</f>
        <v>/recipes/rice-sevai/detail/</v>
      </c>
      <c r="X1016" s="81" t="str">
        <f aca="false">J1016</f>
        <v>salt</v>
      </c>
      <c r="Y1016" s="81" t="str">
        <f aca="false">R1016</f>
        <v>salt</v>
      </c>
      <c r="Z1016" s="94" t="n">
        <f aca="false">VLOOKUP(Y1016,recipe_ingred_list!$D$2:$E$500,2,0)</f>
        <v>177</v>
      </c>
      <c r="AA1016" s="61" t="n">
        <f aca="false">K1016</f>
        <v>0</v>
      </c>
      <c r="AB1016" s="61" t="n">
        <f aca="false">L1016</f>
        <v>0</v>
      </c>
      <c r="AC1016" s="61" t="n">
        <f aca="false">VLOOKUP(AB1016,recipe_ingred_list!$K$2:$M$7,3,0)</f>
        <v>2</v>
      </c>
      <c r="AD1016" s="61" t="n">
        <f aca="false">M1016</f>
        <v>6</v>
      </c>
      <c r="AE1016" s="61" t="str">
        <f aca="false">N1016</f>
        <v>cup</v>
      </c>
      <c r="AF1016" s="61" t="n">
        <f aca="false">VLOOKUP(AE1016,recipe_ingred_list!$K$16:$M$25,3,0)</f>
        <v>5</v>
      </c>
      <c r="AG1016" s="61" t="n">
        <f aca="false">O1016</f>
        <v>0</v>
      </c>
      <c r="AH1016" s="61" t="n">
        <f aca="false">P1016</f>
        <v>0</v>
      </c>
      <c r="AI1016" s="61" t="n">
        <f aca="false">VLOOKUP(AH1016,recipe_ingred_list!$K$29:$M$34,3,0)</f>
        <v>3</v>
      </c>
      <c r="AJ1016" s="61" t="str">
        <f aca="false">IF(Q1016="","",Q1016)</f>
        <v/>
      </c>
      <c r="AK1016" s="61" t="n">
        <f aca="false">AK1015+1</f>
        <v>1016</v>
      </c>
      <c r="AL1016" s="61" t="str">
        <f aca="false">Y1016</f>
        <v>salt</v>
      </c>
      <c r="AM1016" s="81" t="str">
        <f aca="false">"a = Client().post('"&amp;W1016&amp;"', {'recipe' : '"&amp;V1016&amp;"', 'ingredient' : '"&amp;Z1016&amp;"', 'name' : '"&amp;X1016&amp;"', 'mass_unit' : '"&amp;AC1016&amp;"', 'mass_quantity' : '"&amp;ROUND(AA1016,3)&amp;"', 'volume_unit' : '"&amp;AF1016&amp;"', 'volume_quantity' : '"&amp;ROUND(AD1016,3)&amp;"', 'pieces_unit' : '"&amp;AI1016&amp;"', 'pieces_quantity' : '"&amp;ROUND(AG1016,3)&amp;"', 'cooking_notes' : '"&amp;AJ1016&amp;"'}).status_code; print('%s :: %s :: %s :: %s :: %s' %(a,"&amp;G1016&amp;",'"&amp;X1016&amp;"','"&amp;Y1016&amp;"','"&amp;U1016&amp;"'))"</f>
        <v>a = Client().post('/recipes/rice-sevai/detail/', {'recipe' : '67', 'ingredient' : '177', 'name' : 'salt', 'mass_unit' : '2', 'mass_quantity' : '0', 'volume_unit' : '5', 'volume_quantity' : '6', 'pieces_unit' : '3', 'pieces_quantity' : '0', 'cooking_notes' : ''}).status_code; print('%s :: %s :: %s :: %s :: %s' %(a,1016,'salt','salt','Rice Sevai'))</v>
      </c>
    </row>
    <row r="1017" customFormat="false" ht="13.8" hidden="false" customHeight="false" outlineLevel="0" collapsed="false">
      <c r="G1017" s="80" t="n">
        <v>1017</v>
      </c>
      <c r="H1017" s="79"/>
      <c r="I1017" s="79"/>
      <c r="J1017" s="79"/>
      <c r="K1017" s="100"/>
      <c r="L1017" s="100"/>
      <c r="M1017" s="100"/>
      <c r="N1017" s="100"/>
      <c r="O1017" s="100"/>
      <c r="P1017" s="100"/>
      <c r="Q1017" s="102"/>
      <c r="R1017" s="99" t="e">
        <f aca="false">VLOOKUP(J1017,ingredient!$N$4:$O$553,2,0)</f>
        <v>#N/A</v>
      </c>
      <c r="S1017" s="98"/>
      <c r="T1017" s="98"/>
      <c r="U1017" s="81" t="n">
        <f aca="false">I1017</f>
        <v>0</v>
      </c>
      <c r="V1017" s="81" t="e">
        <f aca="false">VLOOKUP(U1017,recipe_ingred_list!$A$2:$B$300,2,0)</f>
        <v>#N/A</v>
      </c>
      <c r="W1017" s="81" t="e">
        <f aca="false">"/recipes/"&amp;VLOOKUP(U1017,recipe_ingred_list!$A$2:$C$300,3,0)&amp;"/detail/"</f>
        <v>#N/A</v>
      </c>
      <c r="X1017" s="81" t="n">
        <f aca="false">J1017</f>
        <v>0</v>
      </c>
      <c r="Y1017" s="81" t="e">
        <f aca="false">R1017</f>
        <v>#N/A</v>
      </c>
      <c r="Z1017" s="94" t="e">
        <f aca="false">VLOOKUP(Y1017,recipe_ingred_list!$D$2:$E$500,2,0)</f>
        <v>#N/A</v>
      </c>
      <c r="AA1017" s="61" t="n">
        <f aca="false">K1017</f>
        <v>0</v>
      </c>
      <c r="AB1017" s="61" t="n">
        <f aca="false">L1017</f>
        <v>0</v>
      </c>
      <c r="AC1017" s="61" t="n">
        <f aca="false">VLOOKUP(AB1017,recipe_ingred_list!$K$2:$M$7,3,0)</f>
        <v>2</v>
      </c>
      <c r="AD1017" s="61" t="n">
        <f aca="false">M1017</f>
        <v>0</v>
      </c>
      <c r="AE1017" s="61" t="n">
        <f aca="false">N1017</f>
        <v>0</v>
      </c>
      <c r="AF1017" s="61" t="n">
        <f aca="false">VLOOKUP(AE1017,recipe_ingred_list!$K$16:$M$25,3,0)</f>
        <v>1</v>
      </c>
      <c r="AG1017" s="61" t="n">
        <f aca="false">O1017</f>
        <v>0</v>
      </c>
      <c r="AH1017" s="61" t="n">
        <f aca="false">P1017</f>
        <v>0</v>
      </c>
      <c r="AI1017" s="61" t="n">
        <f aca="false">VLOOKUP(AH1017,recipe_ingred_list!$K$29:$M$34,3,0)</f>
        <v>3</v>
      </c>
      <c r="AJ1017" s="61" t="str">
        <f aca="false">IF(Q1017="","",Q1017)</f>
        <v/>
      </c>
      <c r="AK1017" s="61" t="n">
        <f aca="false">AK1016+1</f>
        <v>1017</v>
      </c>
      <c r="AL1017" s="61" t="e">
        <f aca="false">Y1017</f>
        <v>#N/A</v>
      </c>
      <c r="AM1017" s="81" t="e">
        <f aca="false">"a = Client().post('"&amp;W1017&amp;"', {'recipe' : '"&amp;V1017&amp;"', 'ingredient' : '"&amp;Z1017&amp;"', 'name' : '"&amp;X1017&amp;"', 'mass_unit' : '"&amp;AC1017&amp;"', 'mass_quantity' : '"&amp;ROUND(AA1017,3)&amp;"', 'volume_unit' : '"&amp;AF1017&amp;"', 'volume_quantity' : '"&amp;ROUND(AD1017,3)&amp;"', 'pieces_unit' : '"&amp;AI1017&amp;"', 'pieces_quantity' : '"&amp;ROUND(AG1017,3)&amp;"', 'cooking_notes' : '"&amp;AJ1017&amp;"'}).status_code; print('%s :: %s :: %s :: %s :: %s' %(a,"&amp;G1017&amp;",'"&amp;X1017&amp;"','"&amp;Y1017&amp;"','"&amp;U1017&amp;"'))"</f>
        <v>#N/A</v>
      </c>
    </row>
    <row r="1018" customFormat="false" ht="13.8" hidden="false" customHeight="false" outlineLevel="0" collapsed="false">
      <c r="G1018" s="80" t="n">
        <v>1018</v>
      </c>
      <c r="H1018" s="83"/>
      <c r="I1018" s="83" t="s">
        <v>331</v>
      </c>
      <c r="J1018" s="83" t="s">
        <v>860</v>
      </c>
      <c r="K1018" s="61" t="n">
        <v>10</v>
      </c>
      <c r="L1018" s="61" t="s">
        <v>7</v>
      </c>
      <c r="R1018" s="82" t="str">
        <f aca="false">VLOOKUP(J1018,ingredient!$N$4:$O$553,2,0)</f>
        <v>kakdi</v>
      </c>
      <c r="U1018" s="81" t="str">
        <f aca="false">I1018</f>
        <v>Sushila Bhel</v>
      </c>
      <c r="V1018" s="81" t="n">
        <f aca="false">VLOOKUP(U1018,recipe_ingred_list!$A$2:$B$300,2,0)</f>
        <v>74</v>
      </c>
      <c r="W1018" s="81" t="str">
        <f aca="false">"/recipes/"&amp;VLOOKUP(U1018,recipe_ingred_list!$A$2:$C$300,3,0)&amp;"/detail/"</f>
        <v>/recipes/sushila-bhel/detail/</v>
      </c>
      <c r="X1018" s="81" t="str">
        <f aca="false">J1018</f>
        <v>kakdi/green peas/beans</v>
      </c>
      <c r="Y1018" s="81" t="str">
        <f aca="false">R1018</f>
        <v>kakdi</v>
      </c>
      <c r="Z1018" s="94" t="n">
        <f aca="false">VLOOKUP(Y1018,recipe_ingred_list!$D$2:$E$500,2,0)</f>
        <v>111</v>
      </c>
      <c r="AA1018" s="61" t="n">
        <f aca="false">K1018</f>
        <v>10</v>
      </c>
      <c r="AB1018" s="61" t="str">
        <f aca="false">L1018</f>
        <v>kg</v>
      </c>
      <c r="AC1018" s="61" t="n">
        <f aca="false">VLOOKUP(AB1018,recipe_ingred_list!$K$2:$M$7,3,0)</f>
        <v>2</v>
      </c>
      <c r="AD1018" s="61" t="n">
        <f aca="false">M1018</f>
        <v>0</v>
      </c>
      <c r="AE1018" s="61" t="n">
        <f aca="false">N1018</f>
        <v>0</v>
      </c>
      <c r="AF1018" s="61" t="n">
        <f aca="false">VLOOKUP(AE1018,recipe_ingred_list!$K$16:$M$25,3,0)</f>
        <v>1</v>
      </c>
      <c r="AG1018" s="61" t="n">
        <f aca="false">O1018</f>
        <v>0</v>
      </c>
      <c r="AH1018" s="61" t="n">
        <f aca="false">P1018</f>
        <v>0</v>
      </c>
      <c r="AI1018" s="61" t="n">
        <f aca="false">VLOOKUP(AH1018,recipe_ingred_list!$K$29:$M$34,3,0)</f>
        <v>3</v>
      </c>
      <c r="AJ1018" s="61" t="str">
        <f aca="false">IF(Q1018="","",Q1018)</f>
        <v/>
      </c>
      <c r="AK1018" s="61" t="n">
        <f aca="false">AK1017+1</f>
        <v>1018</v>
      </c>
      <c r="AL1018" s="61" t="str">
        <f aca="false">Y1018</f>
        <v>kakdi</v>
      </c>
      <c r="AM1018" s="81" t="str">
        <f aca="false">"a = Client().post('"&amp;W1018&amp;"', {'recipe' : '"&amp;V1018&amp;"', 'ingredient' : '"&amp;Z1018&amp;"', 'name' : '"&amp;X1018&amp;"', 'mass_unit' : '"&amp;AC1018&amp;"', 'mass_quantity' : '"&amp;ROUND(AA1018,3)&amp;"', 'volume_unit' : '"&amp;AF1018&amp;"', 'volume_quantity' : '"&amp;ROUND(AD1018,3)&amp;"', 'pieces_unit' : '"&amp;AI1018&amp;"', 'pieces_quantity' : '"&amp;ROUND(AG1018,3)&amp;"', 'cooking_notes' : '"&amp;AJ1018&amp;"'}).status_code; print('%s :: %s :: %s :: %s :: %s' %(a,"&amp;G1018&amp;",'"&amp;X1018&amp;"','"&amp;Y1018&amp;"','"&amp;U1018&amp;"'))"</f>
        <v>a = Client().post('/recipes/sushila-bhel/detail/', {'recipe' : '74', 'ingredient' : '111', 'name' : 'kakdi/green peas/beans', 'mass_unit' : '2', 'mass_quantity' : '10', 'volume_unit' : '1', 'volume_quantity' : '0', 'pieces_unit' : '3', 'pieces_quantity' : '0', 'cooking_notes' : ''}).status_code; print('%s :: %s :: %s :: %s :: %s' %(a,1018,'kakdi/green peas/beans','kakdi','Sushila Bhel'))</v>
      </c>
    </row>
    <row r="1019" customFormat="false" ht="13.8" hidden="false" customHeight="false" outlineLevel="0" collapsed="false">
      <c r="G1019" s="80" t="n">
        <v>1019</v>
      </c>
      <c r="H1019" s="83"/>
      <c r="I1019" s="83" t="s">
        <v>331</v>
      </c>
      <c r="J1019" s="83" t="s">
        <v>371</v>
      </c>
      <c r="K1019" s="61" t="n">
        <v>6</v>
      </c>
      <c r="L1019" s="61" t="s">
        <v>7</v>
      </c>
      <c r="R1019" s="82" t="str">
        <f aca="false">VLOOKUP(J1019,ingredient!$N$4:$O$553,2,0)</f>
        <v>green mung</v>
      </c>
      <c r="U1019" s="81" t="str">
        <f aca="false">I1019</f>
        <v>Sushila Bhel</v>
      </c>
      <c r="V1019" s="81" t="n">
        <f aca="false">VLOOKUP(U1019,recipe_ingred_list!$A$2:$B$300,2,0)</f>
        <v>74</v>
      </c>
      <c r="W1019" s="81" t="str">
        <f aca="false">"/recipes/"&amp;VLOOKUP(U1019,recipe_ingred_list!$A$2:$C$300,3,0)&amp;"/detail/"</f>
        <v>/recipes/sushila-bhel/detail/</v>
      </c>
      <c r="X1019" s="81" t="str">
        <f aca="false">J1019</f>
        <v>green mung</v>
      </c>
      <c r="Y1019" s="81" t="str">
        <f aca="false">R1019</f>
        <v>green mung</v>
      </c>
      <c r="Z1019" s="94" t="n">
        <f aca="false">VLOOKUP(Y1019,recipe_ingred_list!$D$2:$E$500,2,0)</f>
        <v>87</v>
      </c>
      <c r="AA1019" s="61" t="n">
        <f aca="false">K1019</f>
        <v>6</v>
      </c>
      <c r="AB1019" s="61" t="str">
        <f aca="false">L1019</f>
        <v>kg</v>
      </c>
      <c r="AC1019" s="61" t="n">
        <f aca="false">VLOOKUP(AB1019,recipe_ingred_list!$K$2:$M$7,3,0)</f>
        <v>2</v>
      </c>
      <c r="AD1019" s="61" t="n">
        <f aca="false">M1019</f>
        <v>0</v>
      </c>
      <c r="AE1019" s="61" t="n">
        <f aca="false">N1019</f>
        <v>0</v>
      </c>
      <c r="AF1019" s="61" t="n">
        <f aca="false">VLOOKUP(AE1019,recipe_ingred_list!$K$16:$M$25,3,0)</f>
        <v>1</v>
      </c>
      <c r="AG1019" s="61" t="n">
        <f aca="false">O1019</f>
        <v>0</v>
      </c>
      <c r="AH1019" s="61" t="n">
        <f aca="false">P1019</f>
        <v>0</v>
      </c>
      <c r="AI1019" s="61" t="n">
        <f aca="false">VLOOKUP(AH1019,recipe_ingred_list!$K$29:$M$34,3,0)</f>
        <v>3</v>
      </c>
      <c r="AJ1019" s="61" t="str">
        <f aca="false">IF(Q1019="","",Q1019)</f>
        <v/>
      </c>
      <c r="AK1019" s="61" t="n">
        <f aca="false">AK1018+1</f>
        <v>1019</v>
      </c>
      <c r="AL1019" s="61" t="str">
        <f aca="false">Y1019</f>
        <v>green mung</v>
      </c>
      <c r="AM1019" s="81" t="str">
        <f aca="false">"a = Client().post('"&amp;W1019&amp;"', {'recipe' : '"&amp;V1019&amp;"', 'ingredient' : '"&amp;Z1019&amp;"', 'name' : '"&amp;X1019&amp;"', 'mass_unit' : '"&amp;AC1019&amp;"', 'mass_quantity' : '"&amp;ROUND(AA1019,3)&amp;"', 'volume_unit' : '"&amp;AF1019&amp;"', 'volume_quantity' : '"&amp;ROUND(AD1019,3)&amp;"', 'pieces_unit' : '"&amp;AI1019&amp;"', 'pieces_quantity' : '"&amp;ROUND(AG1019,3)&amp;"', 'cooking_notes' : '"&amp;AJ1019&amp;"'}).status_code; print('%s :: %s :: %s :: %s :: %s' %(a,"&amp;G1019&amp;",'"&amp;X1019&amp;"','"&amp;Y1019&amp;"','"&amp;U1019&amp;"'))"</f>
        <v>a = Client().post('/recipes/sushila-bhel/detail/', {'recipe' : '74', 'ingredient' : '87', 'name' : 'green mung', 'mass_unit' : '2', 'mass_quantity' : '6', 'volume_unit' : '1', 'volume_quantity' : '0', 'pieces_unit' : '3', 'pieces_quantity' : '0', 'cooking_notes' : ''}).status_code; print('%s :: %s :: %s :: %s :: %s' %(a,1019,'green mung','green mung','Sushila Bhel'))</v>
      </c>
    </row>
    <row r="1020" customFormat="false" ht="13.8" hidden="false" customHeight="false" outlineLevel="0" collapsed="false">
      <c r="G1020" s="80" t="n">
        <v>1020</v>
      </c>
      <c r="H1020" s="83"/>
      <c r="I1020" s="83" t="s">
        <v>331</v>
      </c>
      <c r="J1020" s="83" t="s">
        <v>856</v>
      </c>
      <c r="M1020" s="61" t="n">
        <v>1</v>
      </c>
      <c r="N1020" s="61" t="s">
        <v>13</v>
      </c>
      <c r="R1020" s="82" t="str">
        <f aca="false">VLOOKUP(J1020,ingredient!$N$4:$O$553,2,0)</f>
        <v>hari mirchi</v>
      </c>
      <c r="U1020" s="81" t="str">
        <f aca="false">I1020</f>
        <v>Sushila Bhel</v>
      </c>
      <c r="V1020" s="81" t="n">
        <f aca="false">VLOOKUP(U1020,recipe_ingred_list!$A$2:$B$300,2,0)</f>
        <v>74</v>
      </c>
      <c r="W1020" s="81" t="str">
        <f aca="false">"/recipes/"&amp;VLOOKUP(U1020,recipe_ingred_list!$A$2:$C$300,3,0)&amp;"/detail/"</f>
        <v>/recipes/sushila-bhel/detail/</v>
      </c>
      <c r="X1020" s="81" t="str">
        <f aca="false">J1020</f>
        <v>green chily</v>
      </c>
      <c r="Y1020" s="81" t="str">
        <f aca="false">R1020</f>
        <v>hari mirchi</v>
      </c>
      <c r="Z1020" s="94" t="n">
        <f aca="false">VLOOKUP(Y1020,recipe_ingred_list!$D$2:$E$500,2,0)</f>
        <v>93</v>
      </c>
      <c r="AA1020" s="61" t="n">
        <f aca="false">K1020</f>
        <v>0</v>
      </c>
      <c r="AB1020" s="61" t="n">
        <f aca="false">L1020</f>
        <v>0</v>
      </c>
      <c r="AC1020" s="61" t="n">
        <f aca="false">VLOOKUP(AB1020,recipe_ingred_list!$K$2:$M$7,3,0)</f>
        <v>2</v>
      </c>
      <c r="AD1020" s="61" t="n">
        <f aca="false">M1020</f>
        <v>1</v>
      </c>
      <c r="AE1020" s="61" t="str">
        <f aca="false">N1020</f>
        <v>ltr</v>
      </c>
      <c r="AF1020" s="61" t="n">
        <f aca="false">VLOOKUP(AE1020,recipe_ingred_list!$K$16:$M$25,3,0)</f>
        <v>1</v>
      </c>
      <c r="AG1020" s="61" t="n">
        <f aca="false">O1020</f>
        <v>0</v>
      </c>
      <c r="AH1020" s="61" t="n">
        <f aca="false">P1020</f>
        <v>0</v>
      </c>
      <c r="AI1020" s="61" t="n">
        <f aca="false">VLOOKUP(AH1020,recipe_ingred_list!$K$29:$M$34,3,0)</f>
        <v>3</v>
      </c>
      <c r="AJ1020" s="61" t="str">
        <f aca="false">IF(Q1020="","",Q1020)</f>
        <v/>
      </c>
      <c r="AK1020" s="61" t="n">
        <f aca="false">AK1019+1</f>
        <v>1020</v>
      </c>
      <c r="AL1020" s="61" t="str">
        <f aca="false">Y1020</f>
        <v>hari mirchi</v>
      </c>
      <c r="AM1020" s="81" t="str">
        <f aca="false">"a = Client().post('"&amp;W1020&amp;"', {'recipe' : '"&amp;V1020&amp;"', 'ingredient' : '"&amp;Z1020&amp;"', 'name' : '"&amp;X1020&amp;"', 'mass_unit' : '"&amp;AC1020&amp;"', 'mass_quantity' : '"&amp;ROUND(AA1020,3)&amp;"', 'volume_unit' : '"&amp;AF1020&amp;"', 'volume_quantity' : '"&amp;ROUND(AD1020,3)&amp;"', 'pieces_unit' : '"&amp;AI1020&amp;"', 'pieces_quantity' : '"&amp;ROUND(AG1020,3)&amp;"', 'cooking_notes' : '"&amp;AJ1020&amp;"'}).status_code; print('%s :: %s :: %s :: %s :: %s' %(a,"&amp;G1020&amp;",'"&amp;X1020&amp;"','"&amp;Y1020&amp;"','"&amp;U1020&amp;"'))"</f>
        <v>a = Client().post('/recipes/sushila-bhel/detail/', {'recipe' : '74', 'ingredient' : '93', 'name' : 'green chily', 'mass_unit' : '2', 'mass_quantity' : '0', 'volume_unit' : '1', 'volume_quantity' : '1', 'pieces_unit' : '3', 'pieces_quantity' : '0', 'cooking_notes' : ''}).status_code; print('%s :: %s :: %s :: %s :: %s' %(a,1020,'green chily','hari mirchi','Sushila Bhel'))</v>
      </c>
    </row>
    <row r="1021" customFormat="false" ht="13.8" hidden="false" customHeight="false" outlineLevel="0" collapsed="false">
      <c r="G1021" s="80" t="n">
        <v>1021</v>
      </c>
      <c r="H1021" s="83"/>
      <c r="I1021" s="83" t="s">
        <v>331</v>
      </c>
      <c r="J1021" s="83" t="s">
        <v>485</v>
      </c>
      <c r="K1021" s="61" t="n">
        <v>6</v>
      </c>
      <c r="L1021" s="61" t="s">
        <v>7</v>
      </c>
      <c r="R1021" s="82" t="str">
        <f aca="false">VLOOKUP(J1021,ingredient!$N$4:$O$553,2,0)</f>
        <v>tomato</v>
      </c>
      <c r="U1021" s="81" t="str">
        <f aca="false">I1021</f>
        <v>Sushila Bhel</v>
      </c>
      <c r="V1021" s="81" t="n">
        <f aca="false">VLOOKUP(U1021,recipe_ingred_list!$A$2:$B$300,2,0)</f>
        <v>74</v>
      </c>
      <c r="W1021" s="81" t="str">
        <f aca="false">"/recipes/"&amp;VLOOKUP(U1021,recipe_ingred_list!$A$2:$C$300,3,0)&amp;"/detail/"</f>
        <v>/recipes/sushila-bhel/detail/</v>
      </c>
      <c r="X1021" s="81" t="str">
        <f aca="false">J1021</f>
        <v>tomato</v>
      </c>
      <c r="Y1021" s="81" t="str">
        <f aca="false">R1021</f>
        <v>tomato</v>
      </c>
      <c r="Z1021" s="94" t="n">
        <f aca="false">VLOOKUP(Y1021,recipe_ingred_list!$D$2:$E$500,2,0)</f>
        <v>195</v>
      </c>
      <c r="AA1021" s="61" t="n">
        <f aca="false">K1021</f>
        <v>6</v>
      </c>
      <c r="AB1021" s="61" t="str">
        <f aca="false">L1021</f>
        <v>kg</v>
      </c>
      <c r="AC1021" s="61" t="n">
        <f aca="false">VLOOKUP(AB1021,recipe_ingred_list!$K$2:$M$7,3,0)</f>
        <v>2</v>
      </c>
      <c r="AD1021" s="61" t="n">
        <f aca="false">M1021</f>
        <v>0</v>
      </c>
      <c r="AE1021" s="61" t="n">
        <f aca="false">N1021</f>
        <v>0</v>
      </c>
      <c r="AF1021" s="61" t="n">
        <f aca="false">VLOOKUP(AE1021,recipe_ingred_list!$K$16:$M$25,3,0)</f>
        <v>1</v>
      </c>
      <c r="AG1021" s="61" t="n">
        <f aca="false">O1021</f>
        <v>0</v>
      </c>
      <c r="AH1021" s="61" t="n">
        <f aca="false">P1021</f>
        <v>0</v>
      </c>
      <c r="AI1021" s="61" t="n">
        <f aca="false">VLOOKUP(AH1021,recipe_ingred_list!$K$29:$M$34,3,0)</f>
        <v>3</v>
      </c>
      <c r="AJ1021" s="61" t="str">
        <f aca="false">IF(Q1021="","",Q1021)</f>
        <v/>
      </c>
      <c r="AK1021" s="61" t="n">
        <f aca="false">AK1020+1</f>
        <v>1021</v>
      </c>
      <c r="AL1021" s="61" t="str">
        <f aca="false">Y1021</f>
        <v>tomato</v>
      </c>
      <c r="AM1021" s="81" t="str">
        <f aca="false">"a = Client().post('"&amp;W1021&amp;"', {'recipe' : '"&amp;V1021&amp;"', 'ingredient' : '"&amp;Z1021&amp;"', 'name' : '"&amp;X1021&amp;"', 'mass_unit' : '"&amp;AC1021&amp;"', 'mass_quantity' : '"&amp;ROUND(AA1021,3)&amp;"', 'volume_unit' : '"&amp;AF1021&amp;"', 'volume_quantity' : '"&amp;ROUND(AD1021,3)&amp;"', 'pieces_unit' : '"&amp;AI1021&amp;"', 'pieces_quantity' : '"&amp;ROUND(AG1021,3)&amp;"', 'cooking_notes' : '"&amp;AJ1021&amp;"'}).status_code; print('%s :: %s :: %s :: %s :: %s' %(a,"&amp;G1021&amp;",'"&amp;X1021&amp;"','"&amp;Y1021&amp;"','"&amp;U1021&amp;"'))"</f>
        <v>a = Client().post('/recipes/sushila-bhel/detail/', {'recipe' : '74', 'ingredient' : '195', 'name' : 'tomato', 'mass_unit' : '2', 'mass_quantity' : '6', 'volume_unit' : '1', 'volume_quantity' : '0', 'pieces_unit' : '3', 'pieces_quantity' : '0', 'cooking_notes' : ''}).status_code; print('%s :: %s :: %s :: %s :: %s' %(a,1021,'tomato','tomato','Sushila Bhel'))</v>
      </c>
    </row>
    <row r="1022" customFormat="false" ht="13.8" hidden="false" customHeight="false" outlineLevel="0" collapsed="false">
      <c r="G1022" s="80" t="n">
        <v>1022</v>
      </c>
      <c r="H1022" s="83"/>
      <c r="I1022" s="83" t="s">
        <v>331</v>
      </c>
      <c r="J1022" s="83" t="s">
        <v>846</v>
      </c>
      <c r="K1022" s="61" t="n">
        <v>7</v>
      </c>
      <c r="L1022" s="61" t="s">
        <v>7</v>
      </c>
      <c r="R1022" s="82" t="str">
        <f aca="false">VLOOKUP(J1022,ingredient!$N$4:$O$553,2,0)</f>
        <v>alu</v>
      </c>
      <c r="U1022" s="81" t="str">
        <f aca="false">I1022</f>
        <v>Sushila Bhel</v>
      </c>
      <c r="V1022" s="81" t="n">
        <f aca="false">VLOOKUP(U1022,recipe_ingred_list!$A$2:$B$300,2,0)</f>
        <v>74</v>
      </c>
      <c r="W1022" s="81" t="str">
        <f aca="false">"/recipes/"&amp;VLOOKUP(U1022,recipe_ingred_list!$A$2:$C$300,3,0)&amp;"/detail/"</f>
        <v>/recipes/sushila-bhel/detail/</v>
      </c>
      <c r="X1022" s="81" t="str">
        <f aca="false">J1022</f>
        <v>potato</v>
      </c>
      <c r="Y1022" s="81" t="str">
        <f aca="false">R1022</f>
        <v>alu</v>
      </c>
      <c r="Z1022" s="94" t="n">
        <f aca="false">VLOOKUP(Y1022,recipe_ingred_list!$D$2:$E$500,2,0)</f>
        <v>8</v>
      </c>
      <c r="AA1022" s="61" t="n">
        <f aca="false">K1022</f>
        <v>7</v>
      </c>
      <c r="AB1022" s="61" t="str">
        <f aca="false">L1022</f>
        <v>kg</v>
      </c>
      <c r="AC1022" s="61" t="n">
        <f aca="false">VLOOKUP(AB1022,recipe_ingred_list!$K$2:$M$7,3,0)</f>
        <v>2</v>
      </c>
      <c r="AD1022" s="61" t="n">
        <f aca="false">M1022</f>
        <v>0</v>
      </c>
      <c r="AE1022" s="61" t="n">
        <f aca="false">N1022</f>
        <v>0</v>
      </c>
      <c r="AF1022" s="61" t="n">
        <f aca="false">VLOOKUP(AE1022,recipe_ingred_list!$K$16:$M$25,3,0)</f>
        <v>1</v>
      </c>
      <c r="AG1022" s="61" t="n">
        <f aca="false">O1022</f>
        <v>0</v>
      </c>
      <c r="AH1022" s="61" t="n">
        <f aca="false">P1022</f>
        <v>0</v>
      </c>
      <c r="AI1022" s="61" t="n">
        <f aca="false">VLOOKUP(AH1022,recipe_ingred_list!$K$29:$M$34,3,0)</f>
        <v>3</v>
      </c>
      <c r="AJ1022" s="61" t="str">
        <f aca="false">IF(Q1022="","",Q1022)</f>
        <v/>
      </c>
      <c r="AK1022" s="61" t="n">
        <f aca="false">AK1021+1</f>
        <v>1022</v>
      </c>
      <c r="AL1022" s="61" t="str">
        <f aca="false">Y1022</f>
        <v>alu</v>
      </c>
      <c r="AM1022" s="81" t="str">
        <f aca="false">"a = Client().post('"&amp;W1022&amp;"', {'recipe' : '"&amp;V1022&amp;"', 'ingredient' : '"&amp;Z1022&amp;"', 'name' : '"&amp;X1022&amp;"', 'mass_unit' : '"&amp;AC1022&amp;"', 'mass_quantity' : '"&amp;ROUND(AA1022,3)&amp;"', 'volume_unit' : '"&amp;AF1022&amp;"', 'volume_quantity' : '"&amp;ROUND(AD1022,3)&amp;"', 'pieces_unit' : '"&amp;AI1022&amp;"', 'pieces_quantity' : '"&amp;ROUND(AG1022,3)&amp;"', 'cooking_notes' : '"&amp;AJ1022&amp;"'}).status_code; print('%s :: %s :: %s :: %s :: %s' %(a,"&amp;G1022&amp;",'"&amp;X1022&amp;"','"&amp;Y1022&amp;"','"&amp;U1022&amp;"'))"</f>
        <v>a = Client().post('/recipes/sushila-bhel/detail/', {'recipe' : '74', 'ingredient' : '8', 'name' : 'potato', 'mass_unit' : '2', 'mass_quantity' : '7', 'volume_unit' : '1', 'volume_quantity' : '0', 'pieces_unit' : '3', 'pieces_quantity' : '0', 'cooking_notes' : ''}).status_code; print('%s :: %s :: %s :: %s :: %s' %(a,1022,'potato','alu','Sushila Bhel'))</v>
      </c>
    </row>
    <row r="1023" customFormat="false" ht="13.8" hidden="false" customHeight="false" outlineLevel="0" collapsed="false">
      <c r="G1023" s="80" t="n">
        <v>1023</v>
      </c>
      <c r="H1023" s="83"/>
      <c r="I1023" s="83" t="s">
        <v>331</v>
      </c>
      <c r="J1023" s="83" t="s">
        <v>309</v>
      </c>
      <c r="M1023" s="61" t="n">
        <v>4</v>
      </c>
      <c r="N1023" s="61" t="s">
        <v>13</v>
      </c>
      <c r="R1023" s="82" t="str">
        <f aca="false">VLOOKUP(J1023,ingredient!$N$4:$O$553,2,0)</f>
        <v>dhaniya patta</v>
      </c>
      <c r="U1023" s="81" t="str">
        <f aca="false">I1023</f>
        <v>Sushila Bhel</v>
      </c>
      <c r="V1023" s="81" t="n">
        <f aca="false">VLOOKUP(U1023,recipe_ingred_list!$A$2:$B$300,2,0)</f>
        <v>74</v>
      </c>
      <c r="W1023" s="81" t="str">
        <f aca="false">"/recipes/"&amp;VLOOKUP(U1023,recipe_ingred_list!$A$2:$C$300,3,0)&amp;"/detail/"</f>
        <v>/recipes/sushila-bhel/detail/</v>
      </c>
      <c r="X1023" s="81" t="str">
        <f aca="false">J1023</f>
        <v>dhaniya patta</v>
      </c>
      <c r="Y1023" s="81" t="str">
        <f aca="false">R1023</f>
        <v>dhaniya patta</v>
      </c>
      <c r="Z1023" s="94" t="n">
        <f aca="false">VLOOKUP(Y1023,recipe_ingred_list!$D$2:$E$500,2,0)</f>
        <v>66</v>
      </c>
      <c r="AA1023" s="61" t="n">
        <f aca="false">K1023</f>
        <v>0</v>
      </c>
      <c r="AB1023" s="61" t="n">
        <f aca="false">L1023</f>
        <v>0</v>
      </c>
      <c r="AC1023" s="61" t="n">
        <f aca="false">VLOOKUP(AB1023,recipe_ingred_list!$K$2:$M$7,3,0)</f>
        <v>2</v>
      </c>
      <c r="AD1023" s="61" t="n">
        <f aca="false">M1023</f>
        <v>4</v>
      </c>
      <c r="AE1023" s="61" t="str">
        <f aca="false">N1023</f>
        <v>ltr</v>
      </c>
      <c r="AF1023" s="61" t="n">
        <f aca="false">VLOOKUP(AE1023,recipe_ingred_list!$K$16:$M$25,3,0)</f>
        <v>1</v>
      </c>
      <c r="AG1023" s="61" t="n">
        <f aca="false">O1023</f>
        <v>0</v>
      </c>
      <c r="AH1023" s="61" t="n">
        <f aca="false">P1023</f>
        <v>0</v>
      </c>
      <c r="AI1023" s="61" t="n">
        <f aca="false">VLOOKUP(AH1023,recipe_ingred_list!$K$29:$M$34,3,0)</f>
        <v>3</v>
      </c>
      <c r="AJ1023" s="61" t="str">
        <f aca="false">IF(Q1023="","",Q1023)</f>
        <v/>
      </c>
      <c r="AK1023" s="61" t="n">
        <f aca="false">AK1022+1</f>
        <v>1023</v>
      </c>
      <c r="AL1023" s="61" t="str">
        <f aca="false">Y1023</f>
        <v>dhaniya patta</v>
      </c>
      <c r="AM1023" s="81" t="str">
        <f aca="false">"a = Client().post('"&amp;W1023&amp;"', {'recipe' : '"&amp;V1023&amp;"', 'ingredient' : '"&amp;Z1023&amp;"', 'name' : '"&amp;X1023&amp;"', 'mass_unit' : '"&amp;AC1023&amp;"', 'mass_quantity' : '"&amp;ROUND(AA1023,3)&amp;"', 'volume_unit' : '"&amp;AF1023&amp;"', 'volume_quantity' : '"&amp;ROUND(AD1023,3)&amp;"', 'pieces_unit' : '"&amp;AI1023&amp;"', 'pieces_quantity' : '"&amp;ROUND(AG1023,3)&amp;"', 'cooking_notes' : '"&amp;AJ1023&amp;"'}).status_code; print('%s :: %s :: %s :: %s :: %s' %(a,"&amp;G1023&amp;",'"&amp;X1023&amp;"','"&amp;Y1023&amp;"','"&amp;U1023&amp;"'))"</f>
        <v>a = Client().post('/recipes/sushila-bhel/detail/', {'recipe' : '74', 'ingredient' : '66', 'name' : 'dhaniya patta', 'mass_unit' : '2', 'mass_quantity' : '0', 'volume_unit' : '1', 'volume_quantity' : '4', 'pieces_unit' : '3', 'pieces_quantity' : '0', 'cooking_notes' : ''}).status_code; print('%s :: %s :: %s :: %s :: %s' %(a,1023,'dhaniya patta','dhaniya patta','Sushila Bhel'))</v>
      </c>
    </row>
    <row r="1024" customFormat="false" ht="13.8" hidden="false" customHeight="false" outlineLevel="0" collapsed="false">
      <c r="G1024" s="80" t="n">
        <v>1024</v>
      </c>
      <c r="H1024" s="83"/>
      <c r="I1024" s="83" t="s">
        <v>331</v>
      </c>
      <c r="J1024" s="83" t="s">
        <v>102</v>
      </c>
      <c r="M1024" s="61" t="n">
        <v>1</v>
      </c>
      <c r="N1024" s="61" t="s">
        <v>13</v>
      </c>
      <c r="R1024" s="82" t="str">
        <f aca="false">VLOOKUP(J1024,ingredient!$N$4:$O$553,2,0)</f>
        <v>adrak</v>
      </c>
      <c r="U1024" s="81" t="str">
        <f aca="false">I1024</f>
        <v>Sushila Bhel</v>
      </c>
      <c r="V1024" s="81" t="n">
        <f aca="false">VLOOKUP(U1024,recipe_ingred_list!$A$2:$B$300,2,0)</f>
        <v>74</v>
      </c>
      <c r="W1024" s="81" t="str">
        <f aca="false">"/recipes/"&amp;VLOOKUP(U1024,recipe_ingred_list!$A$2:$C$300,3,0)&amp;"/detail/"</f>
        <v>/recipes/sushila-bhel/detail/</v>
      </c>
      <c r="X1024" s="81" t="str">
        <f aca="false">J1024</f>
        <v>adrak</v>
      </c>
      <c r="Y1024" s="81" t="str">
        <f aca="false">R1024</f>
        <v>adrak</v>
      </c>
      <c r="Z1024" s="94" t="n">
        <f aca="false">VLOOKUP(Y1024,recipe_ingred_list!$D$2:$E$500,2,0)</f>
        <v>1</v>
      </c>
      <c r="AA1024" s="61" t="n">
        <f aca="false">K1024</f>
        <v>0</v>
      </c>
      <c r="AB1024" s="61" t="n">
        <f aca="false">L1024</f>
        <v>0</v>
      </c>
      <c r="AC1024" s="61" t="n">
        <f aca="false">VLOOKUP(AB1024,recipe_ingred_list!$K$2:$M$7,3,0)</f>
        <v>2</v>
      </c>
      <c r="AD1024" s="61" t="n">
        <f aca="false">M1024</f>
        <v>1</v>
      </c>
      <c r="AE1024" s="61" t="str">
        <f aca="false">N1024</f>
        <v>ltr</v>
      </c>
      <c r="AF1024" s="61" t="n">
        <f aca="false">VLOOKUP(AE1024,recipe_ingred_list!$K$16:$M$25,3,0)</f>
        <v>1</v>
      </c>
      <c r="AG1024" s="61" t="n">
        <f aca="false">O1024</f>
        <v>0</v>
      </c>
      <c r="AH1024" s="61" t="n">
        <f aca="false">P1024</f>
        <v>0</v>
      </c>
      <c r="AI1024" s="61" t="n">
        <f aca="false">VLOOKUP(AH1024,recipe_ingred_list!$K$29:$M$34,3,0)</f>
        <v>3</v>
      </c>
      <c r="AJ1024" s="61" t="str">
        <f aca="false">IF(Q1024="","",Q1024)</f>
        <v/>
      </c>
      <c r="AK1024" s="61" t="n">
        <f aca="false">AK1023+1</f>
        <v>1024</v>
      </c>
      <c r="AL1024" s="61" t="str">
        <f aca="false">Y1024</f>
        <v>adrak</v>
      </c>
      <c r="AM1024" s="81" t="str">
        <f aca="false">"a = Client().post('"&amp;W1024&amp;"', {'recipe' : '"&amp;V1024&amp;"', 'ingredient' : '"&amp;Z1024&amp;"', 'name' : '"&amp;X1024&amp;"', 'mass_unit' : '"&amp;AC1024&amp;"', 'mass_quantity' : '"&amp;ROUND(AA1024,3)&amp;"', 'volume_unit' : '"&amp;AF1024&amp;"', 'volume_quantity' : '"&amp;ROUND(AD1024,3)&amp;"', 'pieces_unit' : '"&amp;AI1024&amp;"', 'pieces_quantity' : '"&amp;ROUND(AG1024,3)&amp;"', 'cooking_notes' : '"&amp;AJ1024&amp;"'}).status_code; print('%s :: %s :: %s :: %s :: %s' %(a,"&amp;G1024&amp;",'"&amp;X1024&amp;"','"&amp;Y1024&amp;"','"&amp;U1024&amp;"'))"</f>
        <v>a = Client().post('/recipes/sushila-bhel/detail/', {'recipe' : '74', 'ingredient' : '1', 'name' : 'adrak', 'mass_unit' : '2', 'mass_quantity' : '0', 'volume_unit' : '1', 'volume_quantity' : '1', 'pieces_unit' : '3', 'pieces_quantity' : '0', 'cooking_notes' : ''}).status_code; print('%s :: %s :: %s :: %s :: %s' %(a,1024,'adrak','adrak','Sushila Bhel'))</v>
      </c>
    </row>
    <row r="1025" customFormat="false" ht="13.8" hidden="false" customHeight="false" outlineLevel="0" collapsed="false">
      <c r="G1025" s="80" t="n">
        <v>1025</v>
      </c>
      <c r="H1025" s="83"/>
      <c r="I1025" s="83" t="s">
        <v>331</v>
      </c>
      <c r="J1025" s="83" t="s">
        <v>38</v>
      </c>
      <c r="M1025" s="61" t="n">
        <v>1</v>
      </c>
      <c r="N1025" s="61" t="s">
        <v>13</v>
      </c>
      <c r="R1025" s="82" t="str">
        <f aca="false">VLOOKUP(J1025,ingredient!$N$4:$O$553,2,0)</f>
        <v>kadi patta</v>
      </c>
      <c r="U1025" s="81" t="str">
        <f aca="false">I1025</f>
        <v>Sushila Bhel</v>
      </c>
      <c r="V1025" s="81" t="n">
        <f aca="false">VLOOKUP(U1025,recipe_ingred_list!$A$2:$B$300,2,0)</f>
        <v>74</v>
      </c>
      <c r="W1025" s="81" t="str">
        <f aca="false">"/recipes/"&amp;VLOOKUP(U1025,recipe_ingred_list!$A$2:$C$300,3,0)&amp;"/detail/"</f>
        <v>/recipes/sushila-bhel/detail/</v>
      </c>
      <c r="X1025" s="81" t="str">
        <f aca="false">J1025</f>
        <v>kadi patta</v>
      </c>
      <c r="Y1025" s="81" t="str">
        <f aca="false">R1025</f>
        <v>kadi patta</v>
      </c>
      <c r="Z1025" s="94" t="n">
        <f aca="false">VLOOKUP(Y1025,recipe_ingred_list!$D$2:$E$500,2,0)</f>
        <v>105</v>
      </c>
      <c r="AA1025" s="61" t="n">
        <f aca="false">K1025</f>
        <v>0</v>
      </c>
      <c r="AB1025" s="61" t="n">
        <f aca="false">L1025</f>
        <v>0</v>
      </c>
      <c r="AC1025" s="61" t="n">
        <f aca="false">VLOOKUP(AB1025,recipe_ingred_list!$K$2:$M$7,3,0)</f>
        <v>2</v>
      </c>
      <c r="AD1025" s="61" t="n">
        <f aca="false">M1025</f>
        <v>1</v>
      </c>
      <c r="AE1025" s="61" t="str">
        <f aca="false">N1025</f>
        <v>ltr</v>
      </c>
      <c r="AF1025" s="61" t="n">
        <f aca="false">VLOOKUP(AE1025,recipe_ingred_list!$K$16:$M$25,3,0)</f>
        <v>1</v>
      </c>
      <c r="AG1025" s="61" t="n">
        <f aca="false">O1025</f>
        <v>0</v>
      </c>
      <c r="AH1025" s="61" t="n">
        <f aca="false">P1025</f>
        <v>0</v>
      </c>
      <c r="AI1025" s="61" t="n">
        <f aca="false">VLOOKUP(AH1025,recipe_ingred_list!$K$29:$M$34,3,0)</f>
        <v>3</v>
      </c>
      <c r="AJ1025" s="61" t="str">
        <f aca="false">IF(Q1025="","",Q1025)</f>
        <v/>
      </c>
      <c r="AK1025" s="61" t="n">
        <f aca="false">AK1024+1</f>
        <v>1025</v>
      </c>
      <c r="AL1025" s="61" t="str">
        <f aca="false">Y1025</f>
        <v>kadi patta</v>
      </c>
      <c r="AM1025" s="81" t="str">
        <f aca="false">"a = Client().post('"&amp;W1025&amp;"', {'recipe' : '"&amp;V1025&amp;"', 'ingredient' : '"&amp;Z1025&amp;"', 'name' : '"&amp;X1025&amp;"', 'mass_unit' : '"&amp;AC1025&amp;"', 'mass_quantity' : '"&amp;ROUND(AA1025,3)&amp;"', 'volume_unit' : '"&amp;AF1025&amp;"', 'volume_quantity' : '"&amp;ROUND(AD1025,3)&amp;"', 'pieces_unit' : '"&amp;AI1025&amp;"', 'pieces_quantity' : '"&amp;ROUND(AG1025,3)&amp;"', 'cooking_notes' : '"&amp;AJ1025&amp;"'}).status_code; print('%s :: %s :: %s :: %s :: %s' %(a,"&amp;G1025&amp;",'"&amp;X1025&amp;"','"&amp;Y1025&amp;"','"&amp;U1025&amp;"'))"</f>
        <v>a = Client().post('/recipes/sushila-bhel/detail/', {'recipe' : '74', 'ingredient' : '105', 'name' : 'kadi patta', 'mass_unit' : '2', 'mass_quantity' : '0', 'volume_unit' : '1', 'volume_quantity' : '1', 'pieces_unit' : '3', 'pieces_quantity' : '0', 'cooking_notes' : ''}).status_code; print('%s :: %s :: %s :: %s :: %s' %(a,1025,'kadi patta','kadi patta','Sushila Bhel'))</v>
      </c>
    </row>
    <row r="1026" customFormat="false" ht="13.8" hidden="false" customHeight="false" outlineLevel="0" collapsed="false">
      <c r="G1026" s="80" t="n">
        <v>1026</v>
      </c>
      <c r="H1026" s="83"/>
      <c r="I1026" s="83" t="s">
        <v>331</v>
      </c>
      <c r="J1026" s="83" t="s">
        <v>861</v>
      </c>
      <c r="K1026" s="61" t="n">
        <v>20</v>
      </c>
      <c r="L1026" s="61" t="s">
        <v>7</v>
      </c>
      <c r="R1026" s="82" t="str">
        <f aca="false">VLOOKUP(J1026,ingredient!$N$4:$O$553,2,0)</f>
        <v>kurmura</v>
      </c>
      <c r="U1026" s="81" t="str">
        <f aca="false">I1026</f>
        <v>Sushila Bhel</v>
      </c>
      <c r="V1026" s="81" t="n">
        <f aca="false">VLOOKUP(U1026,recipe_ingred_list!$A$2:$B$300,2,0)</f>
        <v>74</v>
      </c>
      <c r="W1026" s="81" t="str">
        <f aca="false">"/recipes/"&amp;VLOOKUP(U1026,recipe_ingred_list!$A$2:$C$300,3,0)&amp;"/detail/"</f>
        <v>/recipes/sushila-bhel/detail/</v>
      </c>
      <c r="X1026" s="81" t="str">
        <f aca="false">J1026</f>
        <v>KURMURA</v>
      </c>
      <c r="Y1026" s="81" t="str">
        <f aca="false">R1026</f>
        <v>kurmura</v>
      </c>
      <c r="Z1026" s="94" t="n">
        <f aca="false">VLOOKUP(Y1026,recipe_ingred_list!$D$2:$E$500,2,0)</f>
        <v>126</v>
      </c>
      <c r="AA1026" s="61" t="n">
        <f aca="false">K1026</f>
        <v>20</v>
      </c>
      <c r="AB1026" s="61" t="str">
        <f aca="false">L1026</f>
        <v>kg</v>
      </c>
      <c r="AC1026" s="61" t="n">
        <f aca="false">VLOOKUP(AB1026,recipe_ingred_list!$K$2:$M$7,3,0)</f>
        <v>2</v>
      </c>
      <c r="AD1026" s="61" t="n">
        <f aca="false">M1026</f>
        <v>0</v>
      </c>
      <c r="AE1026" s="61" t="n">
        <f aca="false">N1026</f>
        <v>0</v>
      </c>
      <c r="AF1026" s="61" t="n">
        <f aca="false">VLOOKUP(AE1026,recipe_ingred_list!$K$16:$M$25,3,0)</f>
        <v>1</v>
      </c>
      <c r="AG1026" s="61" t="n">
        <f aca="false">O1026</f>
        <v>0</v>
      </c>
      <c r="AH1026" s="61" t="n">
        <f aca="false">P1026</f>
        <v>0</v>
      </c>
      <c r="AI1026" s="61" t="n">
        <f aca="false">VLOOKUP(AH1026,recipe_ingred_list!$K$29:$M$34,3,0)</f>
        <v>3</v>
      </c>
      <c r="AJ1026" s="61" t="str">
        <f aca="false">IF(Q1026="","",Q1026)</f>
        <v/>
      </c>
      <c r="AK1026" s="61" t="n">
        <f aca="false">AK1025+1</f>
        <v>1026</v>
      </c>
      <c r="AL1026" s="61" t="str">
        <f aca="false">Y1026</f>
        <v>kurmura</v>
      </c>
      <c r="AM1026" s="81" t="str">
        <f aca="false">"a = Client().post('"&amp;W1026&amp;"', {'recipe' : '"&amp;V1026&amp;"', 'ingredient' : '"&amp;Z1026&amp;"', 'name' : '"&amp;X1026&amp;"', 'mass_unit' : '"&amp;AC1026&amp;"', 'mass_quantity' : '"&amp;ROUND(AA1026,3)&amp;"', 'volume_unit' : '"&amp;AF1026&amp;"', 'volume_quantity' : '"&amp;ROUND(AD1026,3)&amp;"', 'pieces_unit' : '"&amp;AI1026&amp;"', 'pieces_quantity' : '"&amp;ROUND(AG1026,3)&amp;"', 'cooking_notes' : '"&amp;AJ1026&amp;"'}).status_code; print('%s :: %s :: %s :: %s :: %s' %(a,"&amp;G1026&amp;",'"&amp;X1026&amp;"','"&amp;Y1026&amp;"','"&amp;U1026&amp;"'))"</f>
        <v>a = Client().post('/recipes/sushila-bhel/detail/', {'recipe' : '74', 'ingredient' : '126', 'name' : 'KURMURA', 'mass_unit' : '2', 'mass_quantity' : '20', 'volume_unit' : '1', 'volume_quantity' : '0', 'pieces_unit' : '3', 'pieces_quantity' : '0', 'cooking_notes' : ''}).status_code; print('%s :: %s :: %s :: %s :: %s' %(a,1026,'KURMURA','kurmura','Sushila Bhel'))</v>
      </c>
    </row>
    <row r="1027" customFormat="false" ht="13.8" hidden="false" customHeight="false" outlineLevel="0" collapsed="false">
      <c r="G1027" s="80" t="n">
        <v>1027</v>
      </c>
      <c r="H1027" s="83"/>
      <c r="I1027" s="83" t="s">
        <v>331</v>
      </c>
      <c r="J1027" s="83" t="s">
        <v>805</v>
      </c>
      <c r="M1027" s="61" t="n">
        <v>7</v>
      </c>
      <c r="N1027" s="61" t="s">
        <v>13</v>
      </c>
      <c r="R1027" s="82" t="str">
        <f aca="false">VLOOKUP(J1027,ingredient!$N$4:$O$553,2,0)</f>
        <v>gound nut oil</v>
      </c>
      <c r="U1027" s="81" t="str">
        <f aca="false">I1027</f>
        <v>Sushila Bhel</v>
      </c>
      <c r="V1027" s="81" t="n">
        <f aca="false">VLOOKUP(U1027,recipe_ingred_list!$A$2:$B$300,2,0)</f>
        <v>74</v>
      </c>
      <c r="W1027" s="81" t="str">
        <f aca="false">"/recipes/"&amp;VLOOKUP(U1027,recipe_ingred_list!$A$2:$C$300,3,0)&amp;"/detail/"</f>
        <v>/recipes/sushila-bhel/detail/</v>
      </c>
      <c r="X1027" s="81" t="str">
        <f aca="false">J1027</f>
        <v>oil(groundnut)</v>
      </c>
      <c r="Y1027" s="81" t="str">
        <f aca="false">R1027</f>
        <v>gound nut oil</v>
      </c>
      <c r="Z1027" s="94" t="n">
        <f aca="false">VLOOKUP(Y1027,recipe_ingred_list!$D$2:$E$500,2,0)</f>
        <v>83</v>
      </c>
      <c r="AA1027" s="61" t="n">
        <f aca="false">K1027</f>
        <v>0</v>
      </c>
      <c r="AB1027" s="61" t="n">
        <f aca="false">L1027</f>
        <v>0</v>
      </c>
      <c r="AC1027" s="61" t="n">
        <f aca="false">VLOOKUP(AB1027,recipe_ingred_list!$K$2:$M$7,3,0)</f>
        <v>2</v>
      </c>
      <c r="AD1027" s="61" t="n">
        <f aca="false">M1027</f>
        <v>7</v>
      </c>
      <c r="AE1027" s="61" t="str">
        <f aca="false">N1027</f>
        <v>ltr</v>
      </c>
      <c r="AF1027" s="61" t="n">
        <f aca="false">VLOOKUP(AE1027,recipe_ingred_list!$K$16:$M$25,3,0)</f>
        <v>1</v>
      </c>
      <c r="AG1027" s="61" t="n">
        <f aca="false">O1027</f>
        <v>0</v>
      </c>
      <c r="AH1027" s="61" t="n">
        <f aca="false">P1027</f>
        <v>0</v>
      </c>
      <c r="AI1027" s="61" t="n">
        <f aca="false">VLOOKUP(AH1027,recipe_ingred_list!$K$29:$M$34,3,0)</f>
        <v>3</v>
      </c>
      <c r="AJ1027" s="61" t="str">
        <f aca="false">IF(Q1027="","",Q1027)</f>
        <v/>
      </c>
      <c r="AK1027" s="61" t="n">
        <f aca="false">AK1026+1</f>
        <v>1027</v>
      </c>
      <c r="AL1027" s="61" t="str">
        <f aca="false">Y1027</f>
        <v>gound nut oil</v>
      </c>
      <c r="AM1027" s="81" t="str">
        <f aca="false">"a = Client().post('"&amp;W1027&amp;"', {'recipe' : '"&amp;V1027&amp;"', 'ingredient' : '"&amp;Z1027&amp;"', 'name' : '"&amp;X1027&amp;"', 'mass_unit' : '"&amp;AC1027&amp;"', 'mass_quantity' : '"&amp;ROUND(AA1027,3)&amp;"', 'volume_unit' : '"&amp;AF1027&amp;"', 'volume_quantity' : '"&amp;ROUND(AD1027,3)&amp;"', 'pieces_unit' : '"&amp;AI1027&amp;"', 'pieces_quantity' : '"&amp;ROUND(AG1027,3)&amp;"', 'cooking_notes' : '"&amp;AJ1027&amp;"'}).status_code; print('%s :: %s :: %s :: %s :: %s' %(a,"&amp;G1027&amp;",'"&amp;X1027&amp;"','"&amp;Y1027&amp;"','"&amp;U1027&amp;"'))"</f>
        <v>a = Client().post('/recipes/sushila-bhel/detail/', {'recipe' : '74', 'ingredient' : '83', 'name' : 'oil(groundnut)', 'mass_unit' : '2', 'mass_quantity' : '0', 'volume_unit' : '1', 'volume_quantity' : '7', 'pieces_unit' : '3', 'pieces_quantity' : '0', 'cooking_notes' : ''}).status_code; print('%s :: %s :: %s :: %s :: %s' %(a,1027,'oil(groundnut)','gound nut oil','Sushila Bhel'))</v>
      </c>
    </row>
    <row r="1028" customFormat="false" ht="13.8" hidden="false" customHeight="false" outlineLevel="0" collapsed="false">
      <c r="G1028" s="80" t="n">
        <v>1028</v>
      </c>
      <c r="H1028" s="83"/>
      <c r="I1028" s="83" t="s">
        <v>331</v>
      </c>
      <c r="J1028" s="83" t="s">
        <v>570</v>
      </c>
      <c r="M1028" s="61" t="n">
        <v>2</v>
      </c>
      <c r="N1028" s="61" t="s">
        <v>20</v>
      </c>
      <c r="R1028" s="82" t="str">
        <f aca="false">VLOOKUP(J1028,ingredient!$N$4:$O$553,2,0)</f>
        <v>rai</v>
      </c>
      <c r="U1028" s="81" t="str">
        <f aca="false">I1028</f>
        <v>Sushila Bhel</v>
      </c>
      <c r="V1028" s="81" t="n">
        <f aca="false">VLOOKUP(U1028,recipe_ingred_list!$A$2:$B$300,2,0)</f>
        <v>74</v>
      </c>
      <c r="W1028" s="81" t="str">
        <f aca="false">"/recipes/"&amp;VLOOKUP(U1028,recipe_ingred_list!$A$2:$C$300,3,0)&amp;"/detail/"</f>
        <v>/recipes/sushila-bhel/detail/</v>
      </c>
      <c r="X1028" s="81" t="str">
        <f aca="false">J1028</f>
        <v>Rai</v>
      </c>
      <c r="Y1028" s="81" t="str">
        <f aca="false">R1028</f>
        <v>rai</v>
      </c>
      <c r="Z1028" s="94" t="n">
        <f aca="false">VLOOKUP(Y1028,recipe_ingred_list!$D$2:$E$500,2,0)</f>
        <v>164</v>
      </c>
      <c r="AA1028" s="61" t="n">
        <f aca="false">K1028</f>
        <v>0</v>
      </c>
      <c r="AB1028" s="61" t="n">
        <f aca="false">L1028</f>
        <v>0</v>
      </c>
      <c r="AC1028" s="61" t="n">
        <f aca="false">VLOOKUP(AB1028,recipe_ingred_list!$K$2:$M$7,3,0)</f>
        <v>2</v>
      </c>
      <c r="AD1028" s="61" t="n">
        <f aca="false">M1028</f>
        <v>2</v>
      </c>
      <c r="AE1028" s="61" t="str">
        <f aca="false">N1028</f>
        <v>cup</v>
      </c>
      <c r="AF1028" s="61" t="n">
        <f aca="false">VLOOKUP(AE1028,recipe_ingred_list!$K$16:$M$25,3,0)</f>
        <v>5</v>
      </c>
      <c r="AG1028" s="61" t="n">
        <f aca="false">O1028</f>
        <v>0</v>
      </c>
      <c r="AH1028" s="61" t="n">
        <f aca="false">P1028</f>
        <v>0</v>
      </c>
      <c r="AI1028" s="61" t="n">
        <f aca="false">VLOOKUP(AH1028,recipe_ingred_list!$K$29:$M$34,3,0)</f>
        <v>3</v>
      </c>
      <c r="AJ1028" s="61" t="str">
        <f aca="false">IF(Q1028="","",Q1028)</f>
        <v/>
      </c>
      <c r="AK1028" s="61" t="n">
        <f aca="false">AK1027+1</f>
        <v>1028</v>
      </c>
      <c r="AL1028" s="61" t="str">
        <f aca="false">Y1028</f>
        <v>rai</v>
      </c>
      <c r="AM1028" s="81" t="str">
        <f aca="false">"a = Client().post('"&amp;W1028&amp;"', {'recipe' : '"&amp;V1028&amp;"', 'ingredient' : '"&amp;Z1028&amp;"', 'name' : '"&amp;X1028&amp;"', 'mass_unit' : '"&amp;AC1028&amp;"', 'mass_quantity' : '"&amp;ROUND(AA1028,3)&amp;"', 'volume_unit' : '"&amp;AF1028&amp;"', 'volume_quantity' : '"&amp;ROUND(AD1028,3)&amp;"', 'pieces_unit' : '"&amp;AI1028&amp;"', 'pieces_quantity' : '"&amp;ROUND(AG1028,3)&amp;"', 'cooking_notes' : '"&amp;AJ1028&amp;"'}).status_code; print('%s :: %s :: %s :: %s :: %s' %(a,"&amp;G1028&amp;",'"&amp;X1028&amp;"','"&amp;Y1028&amp;"','"&amp;U1028&amp;"'))"</f>
        <v>a = Client().post('/recipes/sushila-bhel/detail/', {'recipe' : '74', 'ingredient' : '164', 'name' : 'Rai', 'mass_unit' : '2', 'mass_quantity' : '0', 'volume_unit' : '5', 'volume_quantity' : '2', 'pieces_unit' : '3', 'pieces_quantity' : '0', 'cooking_notes' : ''}).status_code; print('%s :: %s :: %s :: %s :: %s' %(a,1028,'Rai','rai','Sushila Bhel'))</v>
      </c>
    </row>
    <row r="1029" customFormat="false" ht="13.8" hidden="false" customHeight="false" outlineLevel="0" collapsed="false">
      <c r="G1029" s="80" t="n">
        <v>1029</v>
      </c>
      <c r="H1029" s="83"/>
      <c r="I1029" s="83" t="s">
        <v>331</v>
      </c>
      <c r="J1029" s="83" t="s">
        <v>14</v>
      </c>
      <c r="M1029" s="61" t="n">
        <v>2</v>
      </c>
      <c r="N1029" s="61" t="s">
        <v>20</v>
      </c>
      <c r="R1029" s="82" t="str">
        <f aca="false">VLOOKUP(J1029,ingredient!$N$4:$O$553,2,0)</f>
        <v>jeera</v>
      </c>
      <c r="U1029" s="81" t="str">
        <f aca="false">I1029</f>
        <v>Sushila Bhel</v>
      </c>
      <c r="V1029" s="81" t="n">
        <f aca="false">VLOOKUP(U1029,recipe_ingred_list!$A$2:$B$300,2,0)</f>
        <v>74</v>
      </c>
      <c r="W1029" s="81" t="str">
        <f aca="false">"/recipes/"&amp;VLOOKUP(U1029,recipe_ingred_list!$A$2:$C$300,3,0)&amp;"/detail/"</f>
        <v>/recipes/sushila-bhel/detail/</v>
      </c>
      <c r="X1029" s="81" t="str">
        <f aca="false">J1029</f>
        <v>Jeera</v>
      </c>
      <c r="Y1029" s="81" t="str">
        <f aca="false">R1029</f>
        <v>jeera</v>
      </c>
      <c r="Z1029" s="94" t="n">
        <f aca="false">VLOOKUP(Y1029,recipe_ingred_list!$D$2:$E$500,2,0)</f>
        <v>102</v>
      </c>
      <c r="AA1029" s="61" t="n">
        <f aca="false">K1029</f>
        <v>0</v>
      </c>
      <c r="AB1029" s="61" t="n">
        <f aca="false">L1029</f>
        <v>0</v>
      </c>
      <c r="AC1029" s="61" t="n">
        <f aca="false">VLOOKUP(AB1029,recipe_ingred_list!$K$2:$M$7,3,0)</f>
        <v>2</v>
      </c>
      <c r="AD1029" s="61" t="n">
        <f aca="false">M1029</f>
        <v>2</v>
      </c>
      <c r="AE1029" s="61" t="str">
        <f aca="false">N1029</f>
        <v>cup</v>
      </c>
      <c r="AF1029" s="61" t="n">
        <f aca="false">VLOOKUP(AE1029,recipe_ingred_list!$K$16:$M$25,3,0)</f>
        <v>5</v>
      </c>
      <c r="AG1029" s="61" t="n">
        <f aca="false">O1029</f>
        <v>0</v>
      </c>
      <c r="AH1029" s="61" t="n">
        <f aca="false">P1029</f>
        <v>0</v>
      </c>
      <c r="AI1029" s="61" t="n">
        <f aca="false">VLOOKUP(AH1029,recipe_ingred_list!$K$29:$M$34,3,0)</f>
        <v>3</v>
      </c>
      <c r="AJ1029" s="61" t="str">
        <f aca="false">IF(Q1029="","",Q1029)</f>
        <v/>
      </c>
      <c r="AK1029" s="61" t="n">
        <f aca="false">AK1028+1</f>
        <v>1029</v>
      </c>
      <c r="AL1029" s="61" t="str">
        <f aca="false">Y1029</f>
        <v>jeera</v>
      </c>
      <c r="AM1029" s="81" t="str">
        <f aca="false">"a = Client().post('"&amp;W1029&amp;"', {'recipe' : '"&amp;V1029&amp;"', 'ingredient' : '"&amp;Z1029&amp;"', 'name' : '"&amp;X1029&amp;"', 'mass_unit' : '"&amp;AC1029&amp;"', 'mass_quantity' : '"&amp;ROUND(AA1029,3)&amp;"', 'volume_unit' : '"&amp;AF1029&amp;"', 'volume_quantity' : '"&amp;ROUND(AD1029,3)&amp;"', 'pieces_unit' : '"&amp;AI1029&amp;"', 'pieces_quantity' : '"&amp;ROUND(AG1029,3)&amp;"', 'cooking_notes' : '"&amp;AJ1029&amp;"'}).status_code; print('%s :: %s :: %s :: %s :: %s' %(a,"&amp;G1029&amp;",'"&amp;X1029&amp;"','"&amp;Y1029&amp;"','"&amp;U1029&amp;"'))"</f>
        <v>a = Client().post('/recipes/sushila-bhel/detail/', {'recipe' : '74', 'ingredient' : '102', 'name' : 'Jeera', 'mass_unit' : '2', 'mass_quantity' : '0', 'volume_unit' : '5', 'volume_quantity' : '2', 'pieces_unit' : '3', 'pieces_quantity' : '0', 'cooking_notes' : ''}).status_code; print('%s :: %s :: %s :: %s :: %s' %(a,1029,'Jeera','jeera','Sushila Bhel'))</v>
      </c>
    </row>
    <row r="1030" customFormat="false" ht="13.8" hidden="false" customHeight="false" outlineLevel="0" collapsed="false">
      <c r="G1030" s="80" t="n">
        <v>1030</v>
      </c>
      <c r="H1030" s="83"/>
      <c r="I1030" s="83" t="s">
        <v>331</v>
      </c>
      <c r="J1030" s="83" t="s">
        <v>806</v>
      </c>
      <c r="K1030" s="61" t="n">
        <v>3</v>
      </c>
      <c r="L1030" s="61" t="s">
        <v>7</v>
      </c>
      <c r="R1030" s="82" t="str">
        <f aca="false">VLOOKUP(J1030,ingredient!$N$4:$O$553,2,0)</f>
        <v>singdana</v>
      </c>
      <c r="U1030" s="81" t="str">
        <f aca="false">I1030</f>
        <v>Sushila Bhel</v>
      </c>
      <c r="V1030" s="81" t="n">
        <f aca="false">VLOOKUP(U1030,recipe_ingred_list!$A$2:$B$300,2,0)</f>
        <v>74</v>
      </c>
      <c r="W1030" s="81" t="str">
        <f aca="false">"/recipes/"&amp;VLOOKUP(U1030,recipe_ingred_list!$A$2:$C$300,3,0)&amp;"/detail/"</f>
        <v>/recipes/sushila-bhel/detail/</v>
      </c>
      <c r="X1030" s="81" t="str">
        <f aca="false">J1030</f>
        <v>akkha singdana</v>
      </c>
      <c r="Y1030" s="81" t="str">
        <f aca="false">R1030</f>
        <v>singdana</v>
      </c>
      <c r="Z1030" s="94" t="n">
        <f aca="false">VLOOKUP(Y1030,recipe_ingred_list!$D$2:$E$500,2,0)</f>
        <v>183</v>
      </c>
      <c r="AA1030" s="61" t="n">
        <f aca="false">K1030</f>
        <v>3</v>
      </c>
      <c r="AB1030" s="61" t="str">
        <f aca="false">L1030</f>
        <v>kg</v>
      </c>
      <c r="AC1030" s="61" t="n">
        <f aca="false">VLOOKUP(AB1030,recipe_ingred_list!$K$2:$M$7,3,0)</f>
        <v>2</v>
      </c>
      <c r="AD1030" s="61" t="n">
        <f aca="false">M1030</f>
        <v>0</v>
      </c>
      <c r="AE1030" s="61" t="n">
        <f aca="false">N1030</f>
        <v>0</v>
      </c>
      <c r="AF1030" s="61" t="n">
        <f aca="false">VLOOKUP(AE1030,recipe_ingred_list!$K$16:$M$25,3,0)</f>
        <v>1</v>
      </c>
      <c r="AG1030" s="61" t="n">
        <f aca="false">O1030</f>
        <v>0</v>
      </c>
      <c r="AH1030" s="61" t="n">
        <f aca="false">P1030</f>
        <v>0</v>
      </c>
      <c r="AI1030" s="61" t="n">
        <f aca="false">VLOOKUP(AH1030,recipe_ingred_list!$K$29:$M$34,3,0)</f>
        <v>3</v>
      </c>
      <c r="AJ1030" s="61" t="str">
        <f aca="false">IF(Q1030="","",Q1030)</f>
        <v/>
      </c>
      <c r="AK1030" s="61" t="n">
        <f aca="false">AK1029+1</f>
        <v>1030</v>
      </c>
      <c r="AL1030" s="61" t="str">
        <f aca="false">Y1030</f>
        <v>singdana</v>
      </c>
      <c r="AM1030" s="81" t="str">
        <f aca="false">"a = Client().post('"&amp;W1030&amp;"', {'recipe' : '"&amp;V1030&amp;"', 'ingredient' : '"&amp;Z1030&amp;"', 'name' : '"&amp;X1030&amp;"', 'mass_unit' : '"&amp;AC1030&amp;"', 'mass_quantity' : '"&amp;ROUND(AA1030,3)&amp;"', 'volume_unit' : '"&amp;AF1030&amp;"', 'volume_quantity' : '"&amp;ROUND(AD1030,3)&amp;"', 'pieces_unit' : '"&amp;AI1030&amp;"', 'pieces_quantity' : '"&amp;ROUND(AG1030,3)&amp;"', 'cooking_notes' : '"&amp;AJ1030&amp;"'}).status_code; print('%s :: %s :: %s :: %s :: %s' %(a,"&amp;G1030&amp;",'"&amp;X1030&amp;"','"&amp;Y1030&amp;"','"&amp;U1030&amp;"'))"</f>
        <v>a = Client().post('/recipes/sushila-bhel/detail/', {'recipe' : '74', 'ingredient' : '183', 'name' : 'akkha singdana', 'mass_unit' : '2', 'mass_quantity' : '3', 'volume_unit' : '1', 'volume_quantity' : '0', 'pieces_unit' : '3', 'pieces_quantity' : '0', 'cooking_notes' : ''}).status_code; print('%s :: %s :: %s :: %s :: %s' %(a,1030,'akkha singdana','singdana','Sushila Bhel'))</v>
      </c>
    </row>
    <row r="1031" customFormat="false" ht="13.8" hidden="false" customHeight="false" outlineLevel="0" collapsed="false">
      <c r="G1031" s="80" t="n">
        <v>1031</v>
      </c>
      <c r="H1031" s="83"/>
      <c r="I1031" s="83" t="s">
        <v>331</v>
      </c>
      <c r="J1031" s="83" t="s">
        <v>382</v>
      </c>
      <c r="M1031" s="61" t="n">
        <v>1.5</v>
      </c>
      <c r="N1031" s="61" t="s">
        <v>20</v>
      </c>
      <c r="R1031" s="82" t="str">
        <f aca="false">VLOOKUP(J1031,ingredient!$N$4:$O$553,2,0)</f>
        <v>haldi</v>
      </c>
      <c r="U1031" s="81" t="str">
        <f aca="false">I1031</f>
        <v>Sushila Bhel</v>
      </c>
      <c r="V1031" s="81" t="n">
        <f aca="false">VLOOKUP(U1031,recipe_ingred_list!$A$2:$B$300,2,0)</f>
        <v>74</v>
      </c>
      <c r="W1031" s="81" t="str">
        <f aca="false">"/recipes/"&amp;VLOOKUP(U1031,recipe_ingred_list!$A$2:$C$300,3,0)&amp;"/detail/"</f>
        <v>/recipes/sushila-bhel/detail/</v>
      </c>
      <c r="X1031" s="81" t="str">
        <f aca="false">J1031</f>
        <v>haldi</v>
      </c>
      <c r="Y1031" s="81" t="str">
        <f aca="false">R1031</f>
        <v>haldi</v>
      </c>
      <c r="Z1031" s="94" t="n">
        <f aca="false">VLOOKUP(Y1031,recipe_ingred_list!$D$2:$E$500,2,0)</f>
        <v>91</v>
      </c>
      <c r="AA1031" s="61" t="n">
        <f aca="false">K1031</f>
        <v>0</v>
      </c>
      <c r="AB1031" s="61" t="n">
        <f aca="false">L1031</f>
        <v>0</v>
      </c>
      <c r="AC1031" s="61" t="n">
        <f aca="false">VLOOKUP(AB1031,recipe_ingred_list!$K$2:$M$7,3,0)</f>
        <v>2</v>
      </c>
      <c r="AD1031" s="61" t="n">
        <f aca="false">M1031</f>
        <v>1.5</v>
      </c>
      <c r="AE1031" s="61" t="str">
        <f aca="false">N1031</f>
        <v>cup</v>
      </c>
      <c r="AF1031" s="61" t="n">
        <f aca="false">VLOOKUP(AE1031,recipe_ingred_list!$K$16:$M$25,3,0)</f>
        <v>5</v>
      </c>
      <c r="AG1031" s="61" t="n">
        <f aca="false">O1031</f>
        <v>0</v>
      </c>
      <c r="AH1031" s="61" t="n">
        <f aca="false">P1031</f>
        <v>0</v>
      </c>
      <c r="AI1031" s="61" t="n">
        <f aca="false">VLOOKUP(AH1031,recipe_ingred_list!$K$29:$M$34,3,0)</f>
        <v>3</v>
      </c>
      <c r="AJ1031" s="61" t="str">
        <f aca="false">IF(Q1031="","",Q1031)</f>
        <v/>
      </c>
      <c r="AK1031" s="61" t="n">
        <f aca="false">AK1030+1</f>
        <v>1031</v>
      </c>
      <c r="AL1031" s="61" t="str">
        <f aca="false">Y1031</f>
        <v>haldi</v>
      </c>
      <c r="AM1031" s="81" t="str">
        <f aca="false">"a = Client().post('"&amp;W1031&amp;"', {'recipe' : '"&amp;V1031&amp;"', 'ingredient' : '"&amp;Z1031&amp;"', 'name' : '"&amp;X1031&amp;"', 'mass_unit' : '"&amp;AC1031&amp;"', 'mass_quantity' : '"&amp;ROUND(AA1031,3)&amp;"', 'volume_unit' : '"&amp;AF1031&amp;"', 'volume_quantity' : '"&amp;ROUND(AD1031,3)&amp;"', 'pieces_unit' : '"&amp;AI1031&amp;"', 'pieces_quantity' : '"&amp;ROUND(AG1031,3)&amp;"', 'cooking_notes' : '"&amp;AJ1031&amp;"'}).status_code; print('%s :: %s :: %s :: %s :: %s' %(a,"&amp;G1031&amp;",'"&amp;X1031&amp;"','"&amp;Y1031&amp;"','"&amp;U1031&amp;"'))"</f>
        <v>a = Client().post('/recipes/sushila-bhel/detail/', {'recipe' : '74', 'ingredient' : '91', 'name' : 'haldi', 'mass_unit' : '2', 'mass_quantity' : '0', 'volume_unit' : '5', 'volume_quantity' : '1.5', 'pieces_unit' : '3', 'pieces_quantity' : '0', 'cooking_notes' : ''}).status_code; print('%s :: %s :: %s :: %s :: %s' %(a,1031,'haldi','haldi','Sushila Bhel'))</v>
      </c>
    </row>
    <row r="1032" customFormat="false" ht="13.8" hidden="false" customHeight="false" outlineLevel="0" collapsed="false">
      <c r="G1032" s="80" t="n">
        <v>1032</v>
      </c>
      <c r="H1032" s="83"/>
      <c r="I1032" s="83" t="s">
        <v>331</v>
      </c>
      <c r="J1032" s="83" t="s">
        <v>807</v>
      </c>
      <c r="M1032" s="61" t="n">
        <v>1</v>
      </c>
      <c r="N1032" s="61" t="s">
        <v>20</v>
      </c>
      <c r="R1032" s="82" t="str">
        <f aca="false">VLOOKUP(J1032,ingredient!$N$4:$O$553,2,0)</f>
        <v>madrasi mirchi powder</v>
      </c>
      <c r="U1032" s="81" t="str">
        <f aca="false">I1032</f>
        <v>Sushila Bhel</v>
      </c>
      <c r="V1032" s="81" t="n">
        <f aca="false">VLOOKUP(U1032,recipe_ingred_list!$A$2:$B$300,2,0)</f>
        <v>74</v>
      </c>
      <c r="W1032" s="81" t="str">
        <f aca="false">"/recipes/"&amp;VLOOKUP(U1032,recipe_ingred_list!$A$2:$C$300,3,0)&amp;"/detail/"</f>
        <v>/recipes/sushila-bhel/detail/</v>
      </c>
      <c r="X1032" s="81" t="str">
        <f aca="false">J1032</f>
        <v>madrasi chili powder</v>
      </c>
      <c r="Y1032" s="81" t="str">
        <f aca="false">R1032</f>
        <v>madrasi mirchi powder</v>
      </c>
      <c r="Z1032" s="94" t="n">
        <f aca="false">VLOOKUP(Y1032,recipe_ingred_list!$D$2:$E$500,2,0)</f>
        <v>135</v>
      </c>
      <c r="AA1032" s="61" t="n">
        <f aca="false">K1032</f>
        <v>0</v>
      </c>
      <c r="AB1032" s="61" t="n">
        <f aca="false">L1032</f>
        <v>0</v>
      </c>
      <c r="AC1032" s="61" t="n">
        <f aca="false">VLOOKUP(AB1032,recipe_ingred_list!$K$2:$M$7,3,0)</f>
        <v>2</v>
      </c>
      <c r="AD1032" s="61" t="n">
        <f aca="false">M1032</f>
        <v>1</v>
      </c>
      <c r="AE1032" s="61" t="str">
        <f aca="false">N1032</f>
        <v>cup</v>
      </c>
      <c r="AF1032" s="61" t="n">
        <f aca="false">VLOOKUP(AE1032,recipe_ingred_list!$K$16:$M$25,3,0)</f>
        <v>5</v>
      </c>
      <c r="AG1032" s="61" t="n">
        <f aca="false">O1032</f>
        <v>0</v>
      </c>
      <c r="AH1032" s="61" t="n">
        <f aca="false">P1032</f>
        <v>0</v>
      </c>
      <c r="AI1032" s="61" t="n">
        <f aca="false">VLOOKUP(AH1032,recipe_ingred_list!$K$29:$M$34,3,0)</f>
        <v>3</v>
      </c>
      <c r="AJ1032" s="61" t="str">
        <f aca="false">IF(Q1032="","",Q1032)</f>
        <v/>
      </c>
      <c r="AK1032" s="61" t="n">
        <f aca="false">AK1031+1</f>
        <v>1032</v>
      </c>
      <c r="AL1032" s="61" t="str">
        <f aca="false">Y1032</f>
        <v>madrasi mirchi powder</v>
      </c>
      <c r="AM1032" s="81" t="str">
        <f aca="false">"a = Client().post('"&amp;W1032&amp;"', {'recipe' : '"&amp;V1032&amp;"', 'ingredient' : '"&amp;Z1032&amp;"', 'name' : '"&amp;X1032&amp;"', 'mass_unit' : '"&amp;AC1032&amp;"', 'mass_quantity' : '"&amp;ROUND(AA1032,3)&amp;"', 'volume_unit' : '"&amp;AF1032&amp;"', 'volume_quantity' : '"&amp;ROUND(AD1032,3)&amp;"', 'pieces_unit' : '"&amp;AI1032&amp;"', 'pieces_quantity' : '"&amp;ROUND(AG1032,3)&amp;"', 'cooking_notes' : '"&amp;AJ1032&amp;"'}).status_code; print('%s :: %s :: %s :: %s :: %s' %(a,"&amp;G1032&amp;",'"&amp;X1032&amp;"','"&amp;Y1032&amp;"','"&amp;U1032&amp;"'))"</f>
        <v>a = Client().post('/recipes/sushila-bhel/detail/', {'recipe' : '74', 'ingredient' : '135', 'name' : 'madrasi chili powder', 'mass_unit' : '2', 'mass_quantity' : '0', 'volume_unit' : '5', 'volume_quantity' : '1', 'pieces_unit' : '3', 'pieces_quantity' : '0', 'cooking_notes' : ''}).status_code; print('%s :: %s :: %s :: %s :: %s' %(a,1032,'madrasi chili powder','madrasi mirchi powder','Sushila Bhel'))</v>
      </c>
    </row>
    <row r="1033" customFormat="false" ht="13.8" hidden="false" customHeight="false" outlineLevel="0" collapsed="false">
      <c r="G1033" s="80" t="n">
        <v>1033</v>
      </c>
      <c r="H1033" s="83"/>
      <c r="I1033" s="83" t="s">
        <v>331</v>
      </c>
      <c r="J1033" s="83" t="s">
        <v>391</v>
      </c>
      <c r="M1033" s="61" t="n">
        <v>0.75</v>
      </c>
      <c r="N1033" s="61" t="s">
        <v>20</v>
      </c>
      <c r="R1033" s="82" t="str">
        <f aca="false">VLOOKUP(J1033,ingredient!$N$4:$O$553,2,0)</f>
        <v>hing</v>
      </c>
      <c r="U1033" s="81" t="str">
        <f aca="false">I1033</f>
        <v>Sushila Bhel</v>
      </c>
      <c r="V1033" s="81" t="n">
        <f aca="false">VLOOKUP(U1033,recipe_ingred_list!$A$2:$B$300,2,0)</f>
        <v>74</v>
      </c>
      <c r="W1033" s="81" t="str">
        <f aca="false">"/recipes/"&amp;VLOOKUP(U1033,recipe_ingred_list!$A$2:$C$300,3,0)&amp;"/detail/"</f>
        <v>/recipes/sushila-bhel/detail/</v>
      </c>
      <c r="X1033" s="81" t="str">
        <f aca="false">J1033</f>
        <v>hing</v>
      </c>
      <c r="Y1033" s="81" t="str">
        <f aca="false">R1033</f>
        <v>hing</v>
      </c>
      <c r="Z1033" s="94" t="n">
        <f aca="false">VLOOKUP(Y1033,recipe_ingred_list!$D$2:$E$500,2,0)</f>
        <v>95</v>
      </c>
      <c r="AA1033" s="61" t="n">
        <f aca="false">K1033</f>
        <v>0</v>
      </c>
      <c r="AB1033" s="61" t="n">
        <f aca="false">L1033</f>
        <v>0</v>
      </c>
      <c r="AC1033" s="61" t="n">
        <f aca="false">VLOOKUP(AB1033,recipe_ingred_list!$K$2:$M$7,3,0)</f>
        <v>2</v>
      </c>
      <c r="AD1033" s="61" t="n">
        <f aca="false">M1033</f>
        <v>0.75</v>
      </c>
      <c r="AE1033" s="61" t="str">
        <f aca="false">N1033</f>
        <v>cup</v>
      </c>
      <c r="AF1033" s="61" t="n">
        <f aca="false">VLOOKUP(AE1033,recipe_ingred_list!$K$16:$M$25,3,0)</f>
        <v>5</v>
      </c>
      <c r="AG1033" s="61" t="n">
        <f aca="false">O1033</f>
        <v>0</v>
      </c>
      <c r="AH1033" s="61" t="n">
        <f aca="false">P1033</f>
        <v>0</v>
      </c>
      <c r="AI1033" s="61" t="n">
        <f aca="false">VLOOKUP(AH1033,recipe_ingred_list!$K$29:$M$34,3,0)</f>
        <v>3</v>
      </c>
      <c r="AJ1033" s="61" t="str">
        <f aca="false">IF(Q1033="","",Q1033)</f>
        <v/>
      </c>
      <c r="AK1033" s="61" t="n">
        <f aca="false">AK1032+1</f>
        <v>1033</v>
      </c>
      <c r="AL1033" s="61" t="str">
        <f aca="false">Y1033</f>
        <v>hing</v>
      </c>
      <c r="AM1033" s="81" t="str">
        <f aca="false">"a = Client().post('"&amp;W1033&amp;"', {'recipe' : '"&amp;V1033&amp;"', 'ingredient' : '"&amp;Z1033&amp;"', 'name' : '"&amp;X1033&amp;"', 'mass_unit' : '"&amp;AC1033&amp;"', 'mass_quantity' : '"&amp;ROUND(AA1033,3)&amp;"', 'volume_unit' : '"&amp;AF1033&amp;"', 'volume_quantity' : '"&amp;ROUND(AD1033,3)&amp;"', 'pieces_unit' : '"&amp;AI1033&amp;"', 'pieces_quantity' : '"&amp;ROUND(AG1033,3)&amp;"', 'cooking_notes' : '"&amp;AJ1033&amp;"'}).status_code; print('%s :: %s :: %s :: %s :: %s' %(a,"&amp;G1033&amp;",'"&amp;X1033&amp;"','"&amp;Y1033&amp;"','"&amp;U1033&amp;"'))"</f>
        <v>a = Client().post('/recipes/sushila-bhel/detail/', {'recipe' : '74', 'ingredient' : '95', 'name' : 'hing', 'mass_unit' : '2', 'mass_quantity' : '0', 'volume_unit' : '5', 'volume_quantity' : '0.75', 'pieces_unit' : '3', 'pieces_quantity' : '0', 'cooking_notes' : ''}).status_code; print('%s :: %s :: %s :: %s :: %s' %(a,1033,'hing','hing','Sushila Bhel'))</v>
      </c>
    </row>
    <row r="1034" customFormat="false" ht="13.8" hidden="false" customHeight="false" outlineLevel="0" collapsed="false">
      <c r="G1034" s="80" t="n">
        <v>1034</v>
      </c>
      <c r="H1034" s="83"/>
      <c r="I1034" s="83" t="s">
        <v>331</v>
      </c>
      <c r="J1034" s="83" t="s">
        <v>96</v>
      </c>
      <c r="M1034" s="61" t="n">
        <v>6.5</v>
      </c>
      <c r="N1034" s="61" t="s">
        <v>20</v>
      </c>
      <c r="R1034" s="82" t="str">
        <f aca="false">VLOOKUP(J1034,ingredient!$N$4:$O$553,2,0)</f>
        <v>salt</v>
      </c>
      <c r="U1034" s="81" t="str">
        <f aca="false">I1034</f>
        <v>Sushila Bhel</v>
      </c>
      <c r="V1034" s="81" t="n">
        <f aca="false">VLOOKUP(U1034,recipe_ingred_list!$A$2:$B$300,2,0)</f>
        <v>74</v>
      </c>
      <c r="W1034" s="81" t="str">
        <f aca="false">"/recipes/"&amp;VLOOKUP(U1034,recipe_ingred_list!$A$2:$C$300,3,0)&amp;"/detail/"</f>
        <v>/recipes/sushila-bhel/detail/</v>
      </c>
      <c r="X1034" s="81" t="str">
        <f aca="false">J1034</f>
        <v>salt</v>
      </c>
      <c r="Y1034" s="81" t="str">
        <f aca="false">R1034</f>
        <v>salt</v>
      </c>
      <c r="Z1034" s="94" t="n">
        <f aca="false">VLOOKUP(Y1034,recipe_ingred_list!$D$2:$E$500,2,0)</f>
        <v>177</v>
      </c>
      <c r="AA1034" s="61" t="n">
        <f aca="false">K1034</f>
        <v>0</v>
      </c>
      <c r="AB1034" s="61" t="n">
        <f aca="false">L1034</f>
        <v>0</v>
      </c>
      <c r="AC1034" s="61" t="n">
        <f aca="false">VLOOKUP(AB1034,recipe_ingred_list!$K$2:$M$7,3,0)</f>
        <v>2</v>
      </c>
      <c r="AD1034" s="61" t="n">
        <f aca="false">M1034</f>
        <v>6.5</v>
      </c>
      <c r="AE1034" s="61" t="str">
        <f aca="false">N1034</f>
        <v>cup</v>
      </c>
      <c r="AF1034" s="61" t="n">
        <f aca="false">VLOOKUP(AE1034,recipe_ingred_list!$K$16:$M$25,3,0)</f>
        <v>5</v>
      </c>
      <c r="AG1034" s="61" t="n">
        <f aca="false">O1034</f>
        <v>0</v>
      </c>
      <c r="AH1034" s="61" t="n">
        <f aca="false">P1034</f>
        <v>0</v>
      </c>
      <c r="AI1034" s="61" t="n">
        <f aca="false">VLOOKUP(AH1034,recipe_ingred_list!$K$29:$M$34,3,0)</f>
        <v>3</v>
      </c>
      <c r="AJ1034" s="61" t="str">
        <f aca="false">IF(Q1034="","",Q1034)</f>
        <v/>
      </c>
      <c r="AK1034" s="61" t="n">
        <f aca="false">AK1033+1</f>
        <v>1034</v>
      </c>
      <c r="AL1034" s="61" t="str">
        <f aca="false">Y1034</f>
        <v>salt</v>
      </c>
      <c r="AM1034" s="81" t="str">
        <f aca="false">"a = Client().post('"&amp;W1034&amp;"', {'recipe' : '"&amp;V1034&amp;"', 'ingredient' : '"&amp;Z1034&amp;"', 'name' : '"&amp;X1034&amp;"', 'mass_unit' : '"&amp;AC1034&amp;"', 'mass_quantity' : '"&amp;ROUND(AA1034,3)&amp;"', 'volume_unit' : '"&amp;AF1034&amp;"', 'volume_quantity' : '"&amp;ROUND(AD1034,3)&amp;"', 'pieces_unit' : '"&amp;AI1034&amp;"', 'pieces_quantity' : '"&amp;ROUND(AG1034,3)&amp;"', 'cooking_notes' : '"&amp;AJ1034&amp;"'}).status_code; print('%s :: %s :: %s :: %s :: %s' %(a,"&amp;G1034&amp;",'"&amp;X1034&amp;"','"&amp;Y1034&amp;"','"&amp;U1034&amp;"'))"</f>
        <v>a = Client().post('/recipes/sushila-bhel/detail/', {'recipe' : '74', 'ingredient' : '177', 'name' : 'salt', 'mass_unit' : '2', 'mass_quantity' : '0', 'volume_unit' : '5', 'volume_quantity' : '6.5', 'pieces_unit' : '3', 'pieces_quantity' : '0', 'cooking_notes' : ''}).status_code; print('%s :: %s :: %s :: %s :: %s' %(a,1034,'salt','salt','Sushila Bhel'))</v>
      </c>
    </row>
    <row r="1035" customFormat="false" ht="13.8" hidden="false" customHeight="false" outlineLevel="0" collapsed="false">
      <c r="G1035" s="80" t="n">
        <v>1035</v>
      </c>
      <c r="H1035" s="83"/>
      <c r="I1035" s="83" t="s">
        <v>331</v>
      </c>
      <c r="J1035" s="83" t="s">
        <v>862</v>
      </c>
      <c r="O1035" s="61" t="n">
        <v>2</v>
      </c>
      <c r="P1035" s="61" t="s">
        <v>139</v>
      </c>
      <c r="R1035" s="82" t="str">
        <f aca="false">VLOOKUP(J1035,ingredient!$N$4:$O$553,2,0)</f>
        <v>mdh garam masala</v>
      </c>
      <c r="U1035" s="81" t="str">
        <f aca="false">I1035</f>
        <v>Sushila Bhel</v>
      </c>
      <c r="V1035" s="81" t="n">
        <f aca="false">VLOOKUP(U1035,recipe_ingred_list!$A$2:$B$300,2,0)</f>
        <v>74</v>
      </c>
      <c r="W1035" s="81" t="str">
        <f aca="false">"/recipes/"&amp;VLOOKUP(U1035,recipe_ingred_list!$A$2:$C$300,3,0)&amp;"/detail/"</f>
        <v>/recipes/sushila-bhel/detail/</v>
      </c>
      <c r="X1035" s="81" t="str">
        <f aca="false">J1035</f>
        <v>MDH garam masala</v>
      </c>
      <c r="Y1035" s="81" t="str">
        <f aca="false">R1035</f>
        <v>mdh garam masala</v>
      </c>
      <c r="Z1035" s="94" t="n">
        <f aca="false">VLOOKUP(Y1035,recipe_ingred_list!$D$2:$E$500,2,0)</f>
        <v>143</v>
      </c>
      <c r="AA1035" s="61" t="n">
        <f aca="false">K1035</f>
        <v>0</v>
      </c>
      <c r="AB1035" s="61" t="n">
        <f aca="false">L1035</f>
        <v>0</v>
      </c>
      <c r="AC1035" s="61" t="n">
        <f aca="false">VLOOKUP(AB1035,recipe_ingred_list!$K$2:$M$7,3,0)</f>
        <v>2</v>
      </c>
      <c r="AD1035" s="61" t="n">
        <f aca="false">M1035</f>
        <v>0</v>
      </c>
      <c r="AE1035" s="61" t="n">
        <f aca="false">N1035</f>
        <v>0</v>
      </c>
      <c r="AF1035" s="61" t="n">
        <f aca="false">VLOOKUP(AE1035,recipe_ingred_list!$K$16:$M$25,3,0)</f>
        <v>1</v>
      </c>
      <c r="AG1035" s="61" t="n">
        <f aca="false">O1035</f>
        <v>2</v>
      </c>
      <c r="AH1035" s="61" t="str">
        <f aca="false">P1035</f>
        <v>pkt</v>
      </c>
      <c r="AI1035" s="61" t="n">
        <f aca="false">VLOOKUP(AH1035,recipe_ingred_list!$K$29:$M$34,3,0)</f>
        <v>11</v>
      </c>
      <c r="AJ1035" s="61" t="str">
        <f aca="false">IF(Q1035="","",Q1035)</f>
        <v/>
      </c>
      <c r="AK1035" s="61" t="n">
        <f aca="false">AK1034+1</f>
        <v>1035</v>
      </c>
      <c r="AL1035" s="61" t="str">
        <f aca="false">Y1035</f>
        <v>mdh garam masala</v>
      </c>
      <c r="AM1035" s="81" t="str">
        <f aca="false">"a = Client().post('"&amp;W1035&amp;"', {'recipe' : '"&amp;V1035&amp;"', 'ingredient' : '"&amp;Z1035&amp;"', 'name' : '"&amp;X1035&amp;"', 'mass_unit' : '"&amp;AC1035&amp;"', 'mass_quantity' : '"&amp;ROUND(AA1035,3)&amp;"', 'volume_unit' : '"&amp;AF1035&amp;"', 'volume_quantity' : '"&amp;ROUND(AD1035,3)&amp;"', 'pieces_unit' : '"&amp;AI1035&amp;"', 'pieces_quantity' : '"&amp;ROUND(AG1035,3)&amp;"', 'cooking_notes' : '"&amp;AJ1035&amp;"'}).status_code; print('%s :: %s :: %s :: %s :: %s' %(a,"&amp;G1035&amp;",'"&amp;X1035&amp;"','"&amp;Y1035&amp;"','"&amp;U1035&amp;"'))"</f>
        <v>a = Client().post('/recipes/sushila-bhel/detail/', {'recipe' : '74', 'ingredient' : '143', 'name' : 'MDH garam masala', 'mass_unit' : '2', 'mass_quantity' : '0', 'volume_unit' : '1', 'volume_quantity' : '0', 'pieces_unit' : '11', 'pieces_quantity' : '2', 'cooking_notes' : ''}).status_code; print('%s :: %s :: %s :: %s :: %s' %(a,1035,'MDH garam masala','mdh garam masala','Sushila Bhel'))</v>
      </c>
    </row>
    <row r="1036" customFormat="false" ht="13.8" hidden="false" customHeight="false" outlineLevel="0" collapsed="false">
      <c r="G1036" s="80" t="n">
        <v>1036</v>
      </c>
      <c r="H1036" s="83"/>
      <c r="I1036" s="83" t="s">
        <v>331</v>
      </c>
      <c r="J1036" s="83" t="s">
        <v>44</v>
      </c>
      <c r="M1036" s="61" t="n">
        <v>1</v>
      </c>
      <c r="N1036" s="61" t="s">
        <v>13</v>
      </c>
      <c r="R1036" s="82" t="str">
        <f aca="false">VLOOKUP(J1036,ingredient!$N$4:$O$553,2,0)</f>
        <v>sugar</v>
      </c>
      <c r="U1036" s="81" t="str">
        <f aca="false">I1036</f>
        <v>Sushila Bhel</v>
      </c>
      <c r="V1036" s="81" t="n">
        <f aca="false">VLOOKUP(U1036,recipe_ingred_list!$A$2:$B$300,2,0)</f>
        <v>74</v>
      </c>
      <c r="W1036" s="81" t="str">
        <f aca="false">"/recipes/"&amp;VLOOKUP(U1036,recipe_ingred_list!$A$2:$C$300,3,0)&amp;"/detail/"</f>
        <v>/recipes/sushila-bhel/detail/</v>
      </c>
      <c r="X1036" s="81" t="str">
        <f aca="false">J1036</f>
        <v>sugar</v>
      </c>
      <c r="Y1036" s="81" t="str">
        <f aca="false">R1036</f>
        <v>sugar</v>
      </c>
      <c r="Z1036" s="94" t="n">
        <f aca="false">VLOOKUP(Y1036,recipe_ingred_list!$D$2:$E$500,2,0)</f>
        <v>187</v>
      </c>
      <c r="AA1036" s="61" t="n">
        <f aca="false">K1036</f>
        <v>0</v>
      </c>
      <c r="AB1036" s="61" t="n">
        <f aca="false">L1036</f>
        <v>0</v>
      </c>
      <c r="AC1036" s="61" t="n">
        <f aca="false">VLOOKUP(AB1036,recipe_ingred_list!$K$2:$M$7,3,0)</f>
        <v>2</v>
      </c>
      <c r="AD1036" s="61" t="n">
        <f aca="false">M1036</f>
        <v>1</v>
      </c>
      <c r="AE1036" s="61" t="str">
        <f aca="false">N1036</f>
        <v>ltr</v>
      </c>
      <c r="AF1036" s="61" t="n">
        <f aca="false">VLOOKUP(AE1036,recipe_ingred_list!$K$16:$M$25,3,0)</f>
        <v>1</v>
      </c>
      <c r="AG1036" s="61" t="n">
        <f aca="false">O1036</f>
        <v>0</v>
      </c>
      <c r="AH1036" s="61" t="n">
        <f aca="false">P1036</f>
        <v>0</v>
      </c>
      <c r="AI1036" s="61" t="n">
        <f aca="false">VLOOKUP(AH1036,recipe_ingred_list!$K$29:$M$34,3,0)</f>
        <v>3</v>
      </c>
      <c r="AJ1036" s="61" t="str">
        <f aca="false">IF(Q1036="","",Q1036)</f>
        <v/>
      </c>
      <c r="AK1036" s="61" t="n">
        <f aca="false">AK1035+1</f>
        <v>1036</v>
      </c>
      <c r="AL1036" s="61" t="str">
        <f aca="false">Y1036</f>
        <v>sugar</v>
      </c>
      <c r="AM1036" s="81" t="str">
        <f aca="false">"a = Client().post('"&amp;W1036&amp;"', {'recipe' : '"&amp;V1036&amp;"', 'ingredient' : '"&amp;Z1036&amp;"', 'name' : '"&amp;X1036&amp;"', 'mass_unit' : '"&amp;AC1036&amp;"', 'mass_quantity' : '"&amp;ROUND(AA1036,3)&amp;"', 'volume_unit' : '"&amp;AF1036&amp;"', 'volume_quantity' : '"&amp;ROUND(AD1036,3)&amp;"', 'pieces_unit' : '"&amp;AI1036&amp;"', 'pieces_quantity' : '"&amp;ROUND(AG1036,3)&amp;"', 'cooking_notes' : '"&amp;AJ1036&amp;"'}).status_code; print('%s :: %s :: %s :: %s :: %s' %(a,"&amp;G1036&amp;",'"&amp;X1036&amp;"','"&amp;Y1036&amp;"','"&amp;U1036&amp;"'))"</f>
        <v>a = Client().post('/recipes/sushila-bhel/detail/', {'recipe' : '74', 'ingredient' : '187', 'name' : 'sugar', 'mass_unit' : '2', 'mass_quantity' : '0', 'volume_unit' : '1', 'volume_quantity' : '1', 'pieces_unit' : '3', 'pieces_quantity' : '0', 'cooking_notes' : ''}).status_code; print('%s :: %s :: %s :: %s :: %s' %(a,1036,'sugar','sugar','Sushila Bhel'))</v>
      </c>
    </row>
    <row r="1037" customFormat="false" ht="13.8" hidden="false" customHeight="false" outlineLevel="0" collapsed="false">
      <c r="G1037" s="80" t="n">
        <v>1037</v>
      </c>
      <c r="H1037" s="83"/>
      <c r="I1037" s="83" t="s">
        <v>331</v>
      </c>
      <c r="J1037" s="83" t="s">
        <v>809</v>
      </c>
      <c r="M1037" s="61" t="n">
        <v>1</v>
      </c>
      <c r="N1037" s="61" t="s">
        <v>20</v>
      </c>
      <c r="R1037" s="82" t="str">
        <f aca="false">VLOOKUP(J1037,ingredient!$N$4:$O$553,2,0)</f>
        <v>kashmiri chilly powder</v>
      </c>
      <c r="U1037" s="81" t="str">
        <f aca="false">I1037</f>
        <v>Sushila Bhel</v>
      </c>
      <c r="V1037" s="81" t="n">
        <f aca="false">VLOOKUP(U1037,recipe_ingred_list!$A$2:$B$300,2,0)</f>
        <v>74</v>
      </c>
      <c r="W1037" s="81" t="str">
        <f aca="false">"/recipes/"&amp;VLOOKUP(U1037,recipe_ingred_list!$A$2:$C$300,3,0)&amp;"/detail/"</f>
        <v>/recipes/sushila-bhel/detail/</v>
      </c>
      <c r="X1037" s="81" t="str">
        <f aca="false">J1037</f>
        <v>kashmiri chili powder</v>
      </c>
      <c r="Y1037" s="81" t="str">
        <f aca="false">R1037</f>
        <v>kashmiri chilly powder</v>
      </c>
      <c r="Z1037" s="94" t="n">
        <f aca="false">VLOOKUP(Y1037,recipe_ingred_list!$D$2:$E$500,2,0)</f>
        <v>117</v>
      </c>
      <c r="AA1037" s="61" t="n">
        <f aca="false">K1037</f>
        <v>0</v>
      </c>
      <c r="AB1037" s="61" t="n">
        <f aca="false">L1037</f>
        <v>0</v>
      </c>
      <c r="AC1037" s="61" t="n">
        <f aca="false">VLOOKUP(AB1037,recipe_ingred_list!$K$2:$M$7,3,0)</f>
        <v>2</v>
      </c>
      <c r="AD1037" s="61" t="n">
        <f aca="false">M1037</f>
        <v>1</v>
      </c>
      <c r="AE1037" s="61" t="str">
        <f aca="false">N1037</f>
        <v>cup</v>
      </c>
      <c r="AF1037" s="61" t="n">
        <f aca="false">VLOOKUP(AE1037,recipe_ingred_list!$K$16:$M$25,3,0)</f>
        <v>5</v>
      </c>
      <c r="AG1037" s="61" t="n">
        <f aca="false">O1037</f>
        <v>0</v>
      </c>
      <c r="AH1037" s="61" t="n">
        <f aca="false">P1037</f>
        <v>0</v>
      </c>
      <c r="AI1037" s="61" t="n">
        <f aca="false">VLOOKUP(AH1037,recipe_ingred_list!$K$29:$M$34,3,0)</f>
        <v>3</v>
      </c>
      <c r="AJ1037" s="61" t="str">
        <f aca="false">IF(Q1037="","",Q1037)</f>
        <v/>
      </c>
      <c r="AK1037" s="61" t="n">
        <f aca="false">AK1036+1</f>
        <v>1037</v>
      </c>
      <c r="AL1037" s="61" t="str">
        <f aca="false">Y1037</f>
        <v>kashmiri chilly powder</v>
      </c>
      <c r="AM1037" s="81" t="str">
        <f aca="false">"a = Client().post('"&amp;W1037&amp;"', {'recipe' : '"&amp;V1037&amp;"', 'ingredient' : '"&amp;Z1037&amp;"', 'name' : '"&amp;X1037&amp;"', 'mass_unit' : '"&amp;AC1037&amp;"', 'mass_quantity' : '"&amp;ROUND(AA1037,3)&amp;"', 'volume_unit' : '"&amp;AF1037&amp;"', 'volume_quantity' : '"&amp;ROUND(AD1037,3)&amp;"', 'pieces_unit' : '"&amp;AI1037&amp;"', 'pieces_quantity' : '"&amp;ROUND(AG1037,3)&amp;"', 'cooking_notes' : '"&amp;AJ1037&amp;"'}).status_code; print('%s :: %s :: %s :: %s :: %s' %(a,"&amp;G1037&amp;",'"&amp;X1037&amp;"','"&amp;Y1037&amp;"','"&amp;U1037&amp;"'))"</f>
        <v>a = Client().post('/recipes/sushila-bhel/detail/', {'recipe' : '74', 'ingredient' : '117', 'name' : 'kashmiri chili powder', 'mass_unit' : '2', 'mass_quantity' : '0', 'volume_unit' : '5', 'volume_quantity' : '1', 'pieces_unit' : '3', 'pieces_quantity' : '0', 'cooking_notes' : ''}).status_code; print('%s :: %s :: %s :: %s :: %s' %(a,1037,'kashmiri chili powder','kashmiri chilly powder','Sushila Bhel'))</v>
      </c>
    </row>
    <row r="1038" customFormat="false" ht="13.8" hidden="false" customHeight="false" outlineLevel="0" collapsed="false">
      <c r="G1038" s="80" t="n">
        <v>1038</v>
      </c>
      <c r="H1038" s="83"/>
      <c r="I1038" s="83" t="s">
        <v>331</v>
      </c>
      <c r="J1038" s="83" t="s">
        <v>96</v>
      </c>
      <c r="M1038" s="61" t="n">
        <v>6</v>
      </c>
      <c r="N1038" s="61" t="s">
        <v>20</v>
      </c>
      <c r="R1038" s="82" t="str">
        <f aca="false">VLOOKUP(J1038,ingredient!$N$4:$O$553,2,0)</f>
        <v>salt</v>
      </c>
      <c r="U1038" s="81" t="str">
        <f aca="false">I1038</f>
        <v>Sushila Bhel</v>
      </c>
      <c r="V1038" s="81" t="n">
        <f aca="false">VLOOKUP(U1038,recipe_ingred_list!$A$2:$B$300,2,0)</f>
        <v>74</v>
      </c>
      <c r="W1038" s="81" t="str">
        <f aca="false">"/recipes/"&amp;VLOOKUP(U1038,recipe_ingred_list!$A$2:$C$300,3,0)&amp;"/detail/"</f>
        <v>/recipes/sushila-bhel/detail/</v>
      </c>
      <c r="X1038" s="81" t="str">
        <f aca="false">J1038</f>
        <v>salt</v>
      </c>
      <c r="Y1038" s="81" t="str">
        <f aca="false">R1038</f>
        <v>salt</v>
      </c>
      <c r="Z1038" s="94" t="n">
        <f aca="false">VLOOKUP(Y1038,recipe_ingred_list!$D$2:$E$500,2,0)</f>
        <v>177</v>
      </c>
      <c r="AA1038" s="61" t="n">
        <f aca="false">K1038</f>
        <v>0</v>
      </c>
      <c r="AB1038" s="61" t="n">
        <f aca="false">L1038</f>
        <v>0</v>
      </c>
      <c r="AC1038" s="61" t="n">
        <f aca="false">VLOOKUP(AB1038,recipe_ingred_list!$K$2:$M$7,3,0)</f>
        <v>2</v>
      </c>
      <c r="AD1038" s="61" t="n">
        <f aca="false">M1038</f>
        <v>6</v>
      </c>
      <c r="AE1038" s="61" t="str">
        <f aca="false">N1038</f>
        <v>cup</v>
      </c>
      <c r="AF1038" s="61" t="n">
        <f aca="false">VLOOKUP(AE1038,recipe_ingred_list!$K$16:$M$25,3,0)</f>
        <v>5</v>
      </c>
      <c r="AG1038" s="61" t="n">
        <f aca="false">O1038</f>
        <v>0</v>
      </c>
      <c r="AH1038" s="61" t="n">
        <f aca="false">P1038</f>
        <v>0</v>
      </c>
      <c r="AI1038" s="61" t="n">
        <f aca="false">VLOOKUP(AH1038,recipe_ingred_list!$K$29:$M$34,3,0)</f>
        <v>3</v>
      </c>
      <c r="AJ1038" s="61" t="str">
        <f aca="false">IF(Q1038="","",Q1038)</f>
        <v/>
      </c>
      <c r="AK1038" s="61" t="n">
        <f aca="false">AK1037+1</f>
        <v>1038</v>
      </c>
      <c r="AL1038" s="61" t="str">
        <f aca="false">Y1038</f>
        <v>salt</v>
      </c>
      <c r="AM1038" s="81" t="str">
        <f aca="false">"a = Client().post('"&amp;W1038&amp;"', {'recipe' : '"&amp;V1038&amp;"', 'ingredient' : '"&amp;Z1038&amp;"', 'name' : '"&amp;X1038&amp;"', 'mass_unit' : '"&amp;AC1038&amp;"', 'mass_quantity' : '"&amp;ROUND(AA1038,3)&amp;"', 'volume_unit' : '"&amp;AF1038&amp;"', 'volume_quantity' : '"&amp;ROUND(AD1038,3)&amp;"', 'pieces_unit' : '"&amp;AI1038&amp;"', 'pieces_quantity' : '"&amp;ROUND(AG1038,3)&amp;"', 'cooking_notes' : '"&amp;AJ1038&amp;"'}).status_code; print('%s :: %s :: %s :: %s :: %s' %(a,"&amp;G1038&amp;",'"&amp;X1038&amp;"','"&amp;Y1038&amp;"','"&amp;U1038&amp;"'))"</f>
        <v>a = Client().post('/recipes/sushila-bhel/detail/', {'recipe' : '74', 'ingredient' : '177', 'name' : 'salt', 'mass_unit' : '2', 'mass_quantity' : '0', 'volume_unit' : '5', 'volume_quantity' : '6', 'pieces_unit' : '3', 'pieces_quantity' : '0', 'cooking_notes' : ''}).status_code; print('%s :: %s :: %s :: %s :: %s' %(a,1038,'salt','salt','Sushila Bhel'))</v>
      </c>
    </row>
    <row r="1039" customFormat="false" ht="13.8" hidden="false" customHeight="false" outlineLevel="0" collapsed="false">
      <c r="G1039" s="80" t="n">
        <v>1039</v>
      </c>
      <c r="H1039" s="83"/>
      <c r="I1039" s="83" t="s">
        <v>331</v>
      </c>
      <c r="J1039" s="83" t="s">
        <v>863</v>
      </c>
      <c r="K1039" s="61" t="n">
        <v>3</v>
      </c>
      <c r="L1039" s="61" t="s">
        <v>7</v>
      </c>
      <c r="R1039" s="82" t="str">
        <f aca="false">VLOOKUP(J1039,ingredient!$N$4:$O$553,2,0)</f>
        <v>daliya</v>
      </c>
      <c r="U1039" s="81" t="str">
        <f aca="false">I1039</f>
        <v>Sushila Bhel</v>
      </c>
      <c r="V1039" s="81" t="n">
        <f aca="false">VLOOKUP(U1039,recipe_ingred_list!$A$2:$B$300,2,0)</f>
        <v>74</v>
      </c>
      <c r="W1039" s="81" t="str">
        <f aca="false">"/recipes/"&amp;VLOOKUP(U1039,recipe_ingred_list!$A$2:$C$300,3,0)&amp;"/detail/"</f>
        <v>/recipes/sushila-bhel/detail/</v>
      </c>
      <c r="X1039" s="81" t="str">
        <f aca="false">J1039</f>
        <v>daliya (roasted chana dal)</v>
      </c>
      <c r="Y1039" s="81" t="str">
        <f aca="false">R1039</f>
        <v>daliya</v>
      </c>
      <c r="Z1039" s="94" t="n">
        <f aca="false">VLOOKUP(Y1039,recipe_ingred_list!$D$2:$E$500,2,0)</f>
        <v>62</v>
      </c>
      <c r="AA1039" s="61" t="n">
        <f aca="false">K1039</f>
        <v>3</v>
      </c>
      <c r="AB1039" s="61" t="str">
        <f aca="false">L1039</f>
        <v>kg</v>
      </c>
      <c r="AC1039" s="61" t="n">
        <f aca="false">VLOOKUP(AB1039,recipe_ingred_list!$K$2:$M$7,3,0)</f>
        <v>2</v>
      </c>
      <c r="AD1039" s="61" t="n">
        <f aca="false">M1039</f>
        <v>0</v>
      </c>
      <c r="AE1039" s="61" t="n">
        <f aca="false">N1039</f>
        <v>0</v>
      </c>
      <c r="AF1039" s="61" t="n">
        <f aca="false">VLOOKUP(AE1039,recipe_ingred_list!$K$16:$M$25,3,0)</f>
        <v>1</v>
      </c>
      <c r="AG1039" s="61" t="n">
        <f aca="false">O1039</f>
        <v>0</v>
      </c>
      <c r="AH1039" s="61" t="n">
        <f aca="false">P1039</f>
        <v>0</v>
      </c>
      <c r="AI1039" s="61" t="n">
        <f aca="false">VLOOKUP(AH1039,recipe_ingred_list!$K$29:$M$34,3,0)</f>
        <v>3</v>
      </c>
      <c r="AJ1039" s="61" t="str">
        <f aca="false">IF(Q1039="","",Q1039)</f>
        <v/>
      </c>
      <c r="AK1039" s="61" t="n">
        <f aca="false">AK1038+1</f>
        <v>1039</v>
      </c>
      <c r="AL1039" s="61" t="str">
        <f aca="false">Y1039</f>
        <v>daliya</v>
      </c>
      <c r="AM1039" s="81" t="str">
        <f aca="false">"a = Client().post('"&amp;W1039&amp;"', {'recipe' : '"&amp;V1039&amp;"', 'ingredient' : '"&amp;Z1039&amp;"', 'name' : '"&amp;X1039&amp;"', 'mass_unit' : '"&amp;AC1039&amp;"', 'mass_quantity' : '"&amp;ROUND(AA1039,3)&amp;"', 'volume_unit' : '"&amp;AF1039&amp;"', 'volume_quantity' : '"&amp;ROUND(AD1039,3)&amp;"', 'pieces_unit' : '"&amp;AI1039&amp;"', 'pieces_quantity' : '"&amp;ROUND(AG1039,3)&amp;"', 'cooking_notes' : '"&amp;AJ1039&amp;"'}).status_code; print('%s :: %s :: %s :: %s :: %s' %(a,"&amp;G1039&amp;",'"&amp;X1039&amp;"','"&amp;Y1039&amp;"','"&amp;U1039&amp;"'))"</f>
        <v>a = Client().post('/recipes/sushila-bhel/detail/', {'recipe' : '74', 'ingredient' : '62', 'name' : 'daliya (roasted chana dal)', 'mass_unit' : '2', 'mass_quantity' : '3', 'volume_unit' : '1', 'volume_quantity' : '0', 'pieces_unit' : '3', 'pieces_quantity' : '0', 'cooking_notes' : ''}).status_code; print('%s :: %s :: %s :: %s :: %s' %(a,1039,'daliya (roasted chana dal)','daliya','Sushila Bhel'))</v>
      </c>
    </row>
    <row r="1040" customFormat="false" ht="13.8" hidden="false" customHeight="false" outlineLevel="0" collapsed="false">
      <c r="G1040" s="80" t="n">
        <v>1040</v>
      </c>
      <c r="H1040" s="79"/>
      <c r="I1040" s="79"/>
      <c r="J1040" s="79"/>
      <c r="K1040" s="100"/>
      <c r="L1040" s="100"/>
      <c r="M1040" s="100"/>
      <c r="N1040" s="100"/>
      <c r="O1040" s="100"/>
      <c r="P1040" s="100"/>
      <c r="Q1040" s="102"/>
      <c r="R1040" s="99" t="e">
        <f aca="false">VLOOKUP(J1040,ingredient!$N$4:$O$553,2,0)</f>
        <v>#N/A</v>
      </c>
      <c r="S1040" s="98"/>
      <c r="T1040" s="98"/>
      <c r="U1040" s="81" t="n">
        <f aca="false">I1040</f>
        <v>0</v>
      </c>
      <c r="V1040" s="81" t="e">
        <f aca="false">VLOOKUP(U1040,recipe_ingred_list!$A$2:$B$300,2,0)</f>
        <v>#N/A</v>
      </c>
      <c r="W1040" s="81" t="e">
        <f aca="false">"/recipes/"&amp;VLOOKUP(U1040,recipe_ingred_list!$A$2:$C$300,3,0)&amp;"/detail/"</f>
        <v>#N/A</v>
      </c>
      <c r="X1040" s="81" t="n">
        <f aca="false">J1040</f>
        <v>0</v>
      </c>
      <c r="Y1040" s="81" t="e">
        <f aca="false">R1040</f>
        <v>#N/A</v>
      </c>
      <c r="Z1040" s="94" t="e">
        <f aca="false">VLOOKUP(Y1040,recipe_ingred_list!$D$2:$E$500,2,0)</f>
        <v>#N/A</v>
      </c>
      <c r="AA1040" s="61" t="n">
        <f aca="false">K1040</f>
        <v>0</v>
      </c>
      <c r="AB1040" s="61" t="n">
        <f aca="false">L1040</f>
        <v>0</v>
      </c>
      <c r="AC1040" s="61" t="n">
        <f aca="false">VLOOKUP(AB1040,recipe_ingred_list!$K$2:$M$7,3,0)</f>
        <v>2</v>
      </c>
      <c r="AD1040" s="61" t="n">
        <f aca="false">M1040</f>
        <v>0</v>
      </c>
      <c r="AE1040" s="61" t="n">
        <f aca="false">N1040</f>
        <v>0</v>
      </c>
      <c r="AF1040" s="61" t="n">
        <f aca="false">VLOOKUP(AE1040,recipe_ingred_list!$K$16:$M$25,3,0)</f>
        <v>1</v>
      </c>
      <c r="AG1040" s="61" t="n">
        <f aca="false">O1040</f>
        <v>0</v>
      </c>
      <c r="AH1040" s="61" t="n">
        <f aca="false">P1040</f>
        <v>0</v>
      </c>
      <c r="AI1040" s="61" t="n">
        <f aca="false">VLOOKUP(AH1040,recipe_ingred_list!$K$29:$M$34,3,0)</f>
        <v>3</v>
      </c>
      <c r="AJ1040" s="61" t="str">
        <f aca="false">IF(Q1040="","",Q1040)</f>
        <v/>
      </c>
      <c r="AK1040" s="61" t="n">
        <f aca="false">AK1039+1</f>
        <v>1040</v>
      </c>
      <c r="AL1040" s="61" t="e">
        <f aca="false">Y1040</f>
        <v>#N/A</v>
      </c>
      <c r="AM1040" s="81" t="e">
        <f aca="false">"a = Client().post('"&amp;W1040&amp;"', {'recipe' : '"&amp;V1040&amp;"', 'ingredient' : '"&amp;Z1040&amp;"', 'name' : '"&amp;X1040&amp;"', 'mass_unit' : '"&amp;AC1040&amp;"', 'mass_quantity' : '"&amp;ROUND(AA1040,3)&amp;"', 'volume_unit' : '"&amp;AF1040&amp;"', 'volume_quantity' : '"&amp;ROUND(AD1040,3)&amp;"', 'pieces_unit' : '"&amp;AI1040&amp;"', 'pieces_quantity' : '"&amp;ROUND(AG1040,3)&amp;"', 'cooking_notes' : '"&amp;AJ1040&amp;"'}).status_code; print('%s :: %s :: %s :: %s :: %s' %(a,"&amp;G1040&amp;",'"&amp;X1040&amp;"','"&amp;Y1040&amp;"','"&amp;U1040&amp;"'))"</f>
        <v>#N/A</v>
      </c>
    </row>
    <row r="1041" customFormat="false" ht="13.8" hidden="false" customHeight="false" outlineLevel="0" collapsed="false">
      <c r="G1041" s="80" t="n">
        <v>1041</v>
      </c>
      <c r="H1041" s="83"/>
      <c r="I1041" s="83" t="s">
        <v>295</v>
      </c>
      <c r="J1041" s="83" t="s">
        <v>238</v>
      </c>
      <c r="M1041" s="61" t="n">
        <v>1</v>
      </c>
      <c r="N1041" s="61" t="s">
        <v>13</v>
      </c>
      <c r="R1041" s="82" t="str">
        <f aca="false">VLOOKUP(J1041,ingredient!$N$4:$O$553,2,0)</f>
        <v>lemon</v>
      </c>
      <c r="U1041" s="81" t="str">
        <f aca="false">I1041</f>
        <v>Pudina Lemon Juice</v>
      </c>
      <c r="V1041" s="81" t="n">
        <f aca="false">VLOOKUP(U1041,recipe_ingred_list!$A$2:$B$300,2,0)</f>
        <v>62</v>
      </c>
      <c r="W1041" s="81" t="str">
        <f aca="false">"/recipes/"&amp;VLOOKUP(U1041,recipe_ingred_list!$A$2:$C$300,3,0)&amp;"/detail/"</f>
        <v>/recipes/pudina-lemon-juice/detail/</v>
      </c>
      <c r="X1041" s="81" t="str">
        <f aca="false">J1041</f>
        <v>LEMON JUICE</v>
      </c>
      <c r="Y1041" s="81" t="str">
        <f aca="false">R1041</f>
        <v>lemon</v>
      </c>
      <c r="Z1041" s="94" t="n">
        <f aca="false">VLOOKUP(Y1041,recipe_ingred_list!$D$2:$E$500,2,0)</f>
        <v>129</v>
      </c>
      <c r="AA1041" s="61" t="n">
        <f aca="false">K1041</f>
        <v>0</v>
      </c>
      <c r="AB1041" s="61" t="n">
        <f aca="false">L1041</f>
        <v>0</v>
      </c>
      <c r="AC1041" s="61" t="n">
        <f aca="false">VLOOKUP(AB1041,recipe_ingred_list!$K$2:$M$7,3,0)</f>
        <v>2</v>
      </c>
      <c r="AD1041" s="61" t="n">
        <f aca="false">M1041</f>
        <v>1</v>
      </c>
      <c r="AE1041" s="61" t="str">
        <f aca="false">N1041</f>
        <v>ltr</v>
      </c>
      <c r="AF1041" s="61" t="n">
        <f aca="false">VLOOKUP(AE1041,recipe_ingred_list!$K$16:$M$25,3,0)</f>
        <v>1</v>
      </c>
      <c r="AG1041" s="61" t="n">
        <f aca="false">O1041</f>
        <v>0</v>
      </c>
      <c r="AH1041" s="61" t="n">
        <f aca="false">P1041</f>
        <v>0</v>
      </c>
      <c r="AI1041" s="61" t="n">
        <f aca="false">VLOOKUP(AH1041,recipe_ingred_list!$K$29:$M$34,3,0)</f>
        <v>3</v>
      </c>
      <c r="AJ1041" s="61" t="str">
        <f aca="false">IF(Q1041="","",Q1041)</f>
        <v/>
      </c>
      <c r="AK1041" s="61" t="n">
        <f aca="false">AK1040+1</f>
        <v>1041</v>
      </c>
      <c r="AL1041" s="61" t="str">
        <f aca="false">Y1041</f>
        <v>lemon</v>
      </c>
      <c r="AM1041" s="81" t="str">
        <f aca="false">"a = Client().post('"&amp;W1041&amp;"', {'recipe' : '"&amp;V1041&amp;"', 'ingredient' : '"&amp;Z1041&amp;"', 'name' : '"&amp;X1041&amp;"', 'mass_unit' : '"&amp;AC1041&amp;"', 'mass_quantity' : '"&amp;ROUND(AA1041,3)&amp;"', 'volume_unit' : '"&amp;AF1041&amp;"', 'volume_quantity' : '"&amp;ROUND(AD1041,3)&amp;"', 'pieces_unit' : '"&amp;AI1041&amp;"', 'pieces_quantity' : '"&amp;ROUND(AG1041,3)&amp;"', 'cooking_notes' : '"&amp;AJ1041&amp;"'}).status_code; print('%s :: %s :: %s :: %s :: %s' %(a,"&amp;G1041&amp;",'"&amp;X1041&amp;"','"&amp;Y1041&amp;"','"&amp;U1041&amp;"'))"</f>
        <v>a = Client().post('/recipes/pudina-lemon-juice/detail/', {'recipe' : '62', 'ingredient' : '129', 'name' : 'LEMON JUICE', 'mass_unit' : '2', 'mass_quantity' : '0', 'volume_unit' : '1', 'volume_quantity' : '1', 'pieces_unit' : '3', 'pieces_quantity' : '0', 'cooking_notes' : ''}).status_code; print('%s :: %s :: %s :: %s :: %s' %(a,1041,'LEMON JUICE','lemon','Pudina Lemon Juice'))</v>
      </c>
    </row>
    <row r="1042" customFormat="false" ht="13.8" hidden="false" customHeight="false" outlineLevel="0" collapsed="false">
      <c r="G1042" s="80" t="n">
        <v>1042</v>
      </c>
      <c r="H1042" s="83"/>
      <c r="I1042" s="83" t="s">
        <v>295</v>
      </c>
      <c r="J1042" s="83" t="s">
        <v>503</v>
      </c>
      <c r="M1042" s="61" t="n">
        <v>30</v>
      </c>
      <c r="N1042" s="61" t="s">
        <v>13</v>
      </c>
      <c r="R1042" s="82" t="str">
        <f aca="false">VLOOKUP(J1042,ingredient!$N$4:$O$553,2,0)</f>
        <v>water</v>
      </c>
      <c r="U1042" s="81" t="str">
        <f aca="false">I1042</f>
        <v>Pudina Lemon Juice</v>
      </c>
      <c r="V1042" s="81" t="n">
        <f aca="false">VLOOKUP(U1042,recipe_ingred_list!$A$2:$B$300,2,0)</f>
        <v>62</v>
      </c>
      <c r="W1042" s="81" t="str">
        <f aca="false">"/recipes/"&amp;VLOOKUP(U1042,recipe_ingred_list!$A$2:$C$300,3,0)&amp;"/detail/"</f>
        <v>/recipes/pudina-lemon-juice/detail/</v>
      </c>
      <c r="X1042" s="81" t="str">
        <f aca="false">J1042</f>
        <v>water</v>
      </c>
      <c r="Y1042" s="81" t="str">
        <f aca="false">R1042</f>
        <v>water</v>
      </c>
      <c r="Z1042" s="94" t="n">
        <f aca="false">VLOOKUP(Y1042,recipe_ingred_list!$D$2:$E$500,2,0)</f>
        <v>214</v>
      </c>
      <c r="AA1042" s="61" t="n">
        <f aca="false">K1042</f>
        <v>0</v>
      </c>
      <c r="AB1042" s="61" t="n">
        <f aca="false">L1042</f>
        <v>0</v>
      </c>
      <c r="AC1042" s="61" t="n">
        <f aca="false">VLOOKUP(AB1042,recipe_ingred_list!$K$2:$M$7,3,0)</f>
        <v>2</v>
      </c>
      <c r="AD1042" s="61" t="n">
        <f aca="false">M1042</f>
        <v>30</v>
      </c>
      <c r="AE1042" s="61" t="str">
        <f aca="false">N1042</f>
        <v>ltr</v>
      </c>
      <c r="AF1042" s="61" t="n">
        <f aca="false">VLOOKUP(AE1042,recipe_ingred_list!$K$16:$M$25,3,0)</f>
        <v>1</v>
      </c>
      <c r="AG1042" s="61" t="n">
        <f aca="false">O1042</f>
        <v>0</v>
      </c>
      <c r="AH1042" s="61" t="n">
        <f aca="false">P1042</f>
        <v>0</v>
      </c>
      <c r="AI1042" s="61" t="n">
        <f aca="false">VLOOKUP(AH1042,recipe_ingred_list!$K$29:$M$34,3,0)</f>
        <v>3</v>
      </c>
      <c r="AJ1042" s="61" t="str">
        <f aca="false">IF(Q1042="","",Q1042)</f>
        <v/>
      </c>
      <c r="AK1042" s="61" t="n">
        <f aca="false">AK1041+1</f>
        <v>1042</v>
      </c>
      <c r="AL1042" s="61" t="str">
        <f aca="false">Y1042</f>
        <v>water</v>
      </c>
      <c r="AM1042" s="81" t="str">
        <f aca="false">"a = Client().post('"&amp;W1042&amp;"', {'recipe' : '"&amp;V1042&amp;"', 'ingredient' : '"&amp;Z1042&amp;"', 'name' : '"&amp;X1042&amp;"', 'mass_unit' : '"&amp;AC1042&amp;"', 'mass_quantity' : '"&amp;ROUND(AA1042,3)&amp;"', 'volume_unit' : '"&amp;AF1042&amp;"', 'volume_quantity' : '"&amp;ROUND(AD1042,3)&amp;"', 'pieces_unit' : '"&amp;AI1042&amp;"', 'pieces_quantity' : '"&amp;ROUND(AG1042,3)&amp;"', 'cooking_notes' : '"&amp;AJ1042&amp;"'}).status_code; print('%s :: %s :: %s :: %s :: %s' %(a,"&amp;G1042&amp;",'"&amp;X1042&amp;"','"&amp;Y1042&amp;"','"&amp;U1042&amp;"'))"</f>
        <v>a = Client().post('/recipes/pudina-lemon-juice/detail/', {'recipe' : '62', 'ingredient' : '214', 'name' : 'water', 'mass_unit' : '2', 'mass_quantity' : '0', 'volume_unit' : '1', 'volume_quantity' : '30', 'pieces_unit' : '3', 'pieces_quantity' : '0', 'cooking_notes' : ''}).status_code; print('%s :: %s :: %s :: %s :: %s' %(a,1042,'water','water','Pudina Lemon Juice'))</v>
      </c>
    </row>
    <row r="1043" customFormat="false" ht="13.8" hidden="false" customHeight="false" outlineLevel="0" collapsed="false">
      <c r="G1043" s="80" t="n">
        <v>1043</v>
      </c>
      <c r="H1043" s="83"/>
      <c r="I1043" s="83" t="s">
        <v>295</v>
      </c>
      <c r="J1043" s="83" t="s">
        <v>864</v>
      </c>
      <c r="M1043" s="61" t="n">
        <v>7</v>
      </c>
      <c r="N1043" s="61" t="s">
        <v>13</v>
      </c>
      <c r="R1043" s="82" t="str">
        <f aca="false">VLOOKUP(J1043,ingredient!$N$4:$O$553,2,0)</f>
        <v>pudina leaves</v>
      </c>
      <c r="U1043" s="81" t="str">
        <f aca="false">I1043</f>
        <v>Pudina Lemon Juice</v>
      </c>
      <c r="V1043" s="81" t="n">
        <f aca="false">VLOOKUP(U1043,recipe_ingred_list!$A$2:$B$300,2,0)</f>
        <v>62</v>
      </c>
      <c r="W1043" s="81" t="str">
        <f aca="false">"/recipes/"&amp;VLOOKUP(U1043,recipe_ingred_list!$A$2:$C$300,3,0)&amp;"/detail/"</f>
        <v>/recipes/pudina-lemon-juice/detail/</v>
      </c>
      <c r="X1043" s="81" t="str">
        <f aca="false">J1043</f>
        <v>PUDINA LEAVES</v>
      </c>
      <c r="Y1043" s="81" t="str">
        <f aca="false">R1043</f>
        <v>pudina leaves</v>
      </c>
      <c r="Z1043" s="94" t="n">
        <f aca="false">VLOOKUP(Y1043,recipe_ingred_list!$D$2:$E$500,2,0)</f>
        <v>163</v>
      </c>
      <c r="AA1043" s="61" t="n">
        <f aca="false">K1043</f>
        <v>0</v>
      </c>
      <c r="AB1043" s="61" t="n">
        <f aca="false">L1043</f>
        <v>0</v>
      </c>
      <c r="AC1043" s="61" t="n">
        <f aca="false">VLOOKUP(AB1043,recipe_ingred_list!$K$2:$M$7,3,0)</f>
        <v>2</v>
      </c>
      <c r="AD1043" s="61" t="n">
        <f aca="false">M1043</f>
        <v>7</v>
      </c>
      <c r="AE1043" s="61" t="str">
        <f aca="false">N1043</f>
        <v>ltr</v>
      </c>
      <c r="AF1043" s="61" t="n">
        <f aca="false">VLOOKUP(AE1043,recipe_ingred_list!$K$16:$M$25,3,0)</f>
        <v>1</v>
      </c>
      <c r="AG1043" s="61" t="n">
        <f aca="false">O1043</f>
        <v>0</v>
      </c>
      <c r="AH1043" s="61" t="n">
        <f aca="false">P1043</f>
        <v>0</v>
      </c>
      <c r="AI1043" s="61" t="n">
        <f aca="false">VLOOKUP(AH1043,recipe_ingred_list!$K$29:$M$34,3,0)</f>
        <v>3</v>
      </c>
      <c r="AJ1043" s="61" t="str">
        <f aca="false">IF(Q1043="","",Q1043)</f>
        <v/>
      </c>
      <c r="AK1043" s="61" t="n">
        <f aca="false">AK1042+1</f>
        <v>1043</v>
      </c>
      <c r="AL1043" s="61" t="str">
        <f aca="false">Y1043</f>
        <v>pudina leaves</v>
      </c>
      <c r="AM1043" s="81" t="str">
        <f aca="false">"a = Client().post('"&amp;W1043&amp;"', {'recipe' : '"&amp;V1043&amp;"', 'ingredient' : '"&amp;Z1043&amp;"', 'name' : '"&amp;X1043&amp;"', 'mass_unit' : '"&amp;AC1043&amp;"', 'mass_quantity' : '"&amp;ROUND(AA1043,3)&amp;"', 'volume_unit' : '"&amp;AF1043&amp;"', 'volume_quantity' : '"&amp;ROUND(AD1043,3)&amp;"', 'pieces_unit' : '"&amp;AI1043&amp;"', 'pieces_quantity' : '"&amp;ROUND(AG1043,3)&amp;"', 'cooking_notes' : '"&amp;AJ1043&amp;"'}).status_code; print('%s :: %s :: %s :: %s :: %s' %(a,"&amp;G1043&amp;",'"&amp;X1043&amp;"','"&amp;Y1043&amp;"','"&amp;U1043&amp;"'))"</f>
        <v>a = Client().post('/recipes/pudina-lemon-juice/detail/', {'recipe' : '62', 'ingredient' : '163', 'name' : 'PUDINA LEAVES', 'mass_unit' : '2', 'mass_quantity' : '0', 'volume_unit' : '1', 'volume_quantity' : '7', 'pieces_unit' : '3', 'pieces_quantity' : '0', 'cooking_notes' : ''}).status_code; print('%s :: %s :: %s :: %s :: %s' %(a,1043,'PUDINA LEAVES','pudina leaves','Pudina Lemon Juice'))</v>
      </c>
    </row>
    <row r="1044" customFormat="false" ht="13.8" hidden="false" customHeight="false" outlineLevel="0" collapsed="false">
      <c r="G1044" s="80" t="n">
        <v>1044</v>
      </c>
      <c r="H1044" s="83"/>
      <c r="I1044" s="83" t="s">
        <v>295</v>
      </c>
      <c r="J1044" s="83" t="s">
        <v>865</v>
      </c>
      <c r="M1044" s="61" t="n">
        <v>0.5</v>
      </c>
      <c r="N1044" s="61" t="s">
        <v>20</v>
      </c>
      <c r="R1044" s="82" t="str">
        <f aca="false">VLOOKUP(J1044,ingredient!$N$4:$O$553,2,0)</f>
        <v>salt</v>
      </c>
      <c r="U1044" s="81" t="str">
        <f aca="false">I1044</f>
        <v>Pudina Lemon Juice</v>
      </c>
      <c r="V1044" s="81" t="n">
        <f aca="false">VLOOKUP(U1044,recipe_ingred_list!$A$2:$B$300,2,0)</f>
        <v>62</v>
      </c>
      <c r="W1044" s="81" t="str">
        <f aca="false">"/recipes/"&amp;VLOOKUP(U1044,recipe_ingred_list!$A$2:$C$300,3,0)&amp;"/detail/"</f>
        <v>/recipes/pudina-lemon-juice/detail/</v>
      </c>
      <c r="X1044" s="81" t="str">
        <f aca="false">J1044</f>
        <v>regular salt</v>
      </c>
      <c r="Y1044" s="81" t="str">
        <f aca="false">R1044</f>
        <v>salt</v>
      </c>
      <c r="Z1044" s="94" t="n">
        <f aca="false">VLOOKUP(Y1044,recipe_ingred_list!$D$2:$E$500,2,0)</f>
        <v>177</v>
      </c>
      <c r="AA1044" s="61" t="n">
        <f aca="false">K1044</f>
        <v>0</v>
      </c>
      <c r="AB1044" s="61" t="n">
        <f aca="false">L1044</f>
        <v>0</v>
      </c>
      <c r="AC1044" s="61" t="n">
        <f aca="false">VLOOKUP(AB1044,recipe_ingred_list!$K$2:$M$7,3,0)</f>
        <v>2</v>
      </c>
      <c r="AD1044" s="61" t="n">
        <f aca="false">M1044</f>
        <v>0.5</v>
      </c>
      <c r="AE1044" s="61" t="str">
        <f aca="false">N1044</f>
        <v>cup</v>
      </c>
      <c r="AF1044" s="61" t="n">
        <f aca="false">VLOOKUP(AE1044,recipe_ingred_list!$K$16:$M$25,3,0)</f>
        <v>5</v>
      </c>
      <c r="AG1044" s="61" t="n">
        <f aca="false">O1044</f>
        <v>0</v>
      </c>
      <c r="AH1044" s="61" t="n">
        <f aca="false">P1044</f>
        <v>0</v>
      </c>
      <c r="AI1044" s="61" t="n">
        <f aca="false">VLOOKUP(AH1044,recipe_ingred_list!$K$29:$M$34,3,0)</f>
        <v>3</v>
      </c>
      <c r="AJ1044" s="61" t="str">
        <f aca="false">IF(Q1044="","",Q1044)</f>
        <v/>
      </c>
      <c r="AK1044" s="61" t="n">
        <f aca="false">AK1043+1</f>
        <v>1044</v>
      </c>
      <c r="AL1044" s="61" t="str">
        <f aca="false">Y1044</f>
        <v>salt</v>
      </c>
      <c r="AM1044" s="81" t="str">
        <f aca="false">"a = Client().post('"&amp;W1044&amp;"', {'recipe' : '"&amp;V1044&amp;"', 'ingredient' : '"&amp;Z1044&amp;"', 'name' : '"&amp;X1044&amp;"', 'mass_unit' : '"&amp;AC1044&amp;"', 'mass_quantity' : '"&amp;ROUND(AA1044,3)&amp;"', 'volume_unit' : '"&amp;AF1044&amp;"', 'volume_quantity' : '"&amp;ROUND(AD1044,3)&amp;"', 'pieces_unit' : '"&amp;AI1044&amp;"', 'pieces_quantity' : '"&amp;ROUND(AG1044,3)&amp;"', 'cooking_notes' : '"&amp;AJ1044&amp;"'}).status_code; print('%s :: %s :: %s :: %s :: %s' %(a,"&amp;G1044&amp;",'"&amp;X1044&amp;"','"&amp;Y1044&amp;"','"&amp;U1044&amp;"'))"</f>
        <v>a = Client().post('/recipes/pudina-lemon-juice/detail/', {'recipe' : '62', 'ingredient' : '177', 'name' : 'regular salt', 'mass_unit' : '2', 'mass_quantity' : '0', 'volume_unit' : '5', 'volume_quantity' : '0.5', 'pieces_unit' : '3', 'pieces_quantity' : '0', 'cooking_notes' : ''}).status_code; print('%s :: %s :: %s :: %s :: %s' %(a,1044,'regular salt','salt','Pudina Lemon Juice'))</v>
      </c>
    </row>
    <row r="1045" customFormat="false" ht="13.8" hidden="false" customHeight="false" outlineLevel="0" collapsed="false">
      <c r="G1045" s="80" t="n">
        <v>1045</v>
      </c>
      <c r="H1045" s="83"/>
      <c r="I1045" s="83" t="s">
        <v>295</v>
      </c>
      <c r="J1045" s="83" t="s">
        <v>207</v>
      </c>
      <c r="M1045" s="61" t="n">
        <v>0.5</v>
      </c>
      <c r="N1045" s="61" t="s">
        <v>20</v>
      </c>
      <c r="R1045" s="82" t="str">
        <f aca="false">VLOOKUP(J1045,ingredient!$N$4:$O$553,2,0)</f>
        <v>black salt</v>
      </c>
      <c r="U1045" s="81" t="str">
        <f aca="false">I1045</f>
        <v>Pudina Lemon Juice</v>
      </c>
      <c r="V1045" s="81" t="n">
        <f aca="false">VLOOKUP(U1045,recipe_ingred_list!$A$2:$B$300,2,0)</f>
        <v>62</v>
      </c>
      <c r="W1045" s="81" t="str">
        <f aca="false">"/recipes/"&amp;VLOOKUP(U1045,recipe_ingred_list!$A$2:$C$300,3,0)&amp;"/detail/"</f>
        <v>/recipes/pudina-lemon-juice/detail/</v>
      </c>
      <c r="X1045" s="81" t="str">
        <f aca="false">J1045</f>
        <v>black salt</v>
      </c>
      <c r="Y1045" s="81" t="str">
        <f aca="false">R1045</f>
        <v>black salt</v>
      </c>
      <c r="Z1045" s="94" t="n">
        <f aca="false">VLOOKUP(Y1045,recipe_ingred_list!$D$2:$E$500,2,0)</f>
        <v>32</v>
      </c>
      <c r="AA1045" s="61" t="n">
        <f aca="false">K1045</f>
        <v>0</v>
      </c>
      <c r="AB1045" s="61" t="n">
        <f aca="false">L1045</f>
        <v>0</v>
      </c>
      <c r="AC1045" s="61" t="n">
        <f aca="false">VLOOKUP(AB1045,recipe_ingred_list!$K$2:$M$7,3,0)</f>
        <v>2</v>
      </c>
      <c r="AD1045" s="61" t="n">
        <f aca="false">M1045</f>
        <v>0.5</v>
      </c>
      <c r="AE1045" s="61" t="str">
        <f aca="false">N1045</f>
        <v>cup</v>
      </c>
      <c r="AF1045" s="61" t="n">
        <f aca="false">VLOOKUP(AE1045,recipe_ingred_list!$K$16:$M$25,3,0)</f>
        <v>5</v>
      </c>
      <c r="AG1045" s="61" t="n">
        <f aca="false">O1045</f>
        <v>0</v>
      </c>
      <c r="AH1045" s="61" t="n">
        <f aca="false">P1045</f>
        <v>0</v>
      </c>
      <c r="AI1045" s="61" t="n">
        <f aca="false">VLOOKUP(AH1045,recipe_ingred_list!$K$29:$M$34,3,0)</f>
        <v>3</v>
      </c>
      <c r="AJ1045" s="61" t="str">
        <f aca="false">IF(Q1045="","",Q1045)</f>
        <v/>
      </c>
      <c r="AK1045" s="61" t="n">
        <f aca="false">AK1044+1</f>
        <v>1045</v>
      </c>
      <c r="AL1045" s="61" t="str">
        <f aca="false">Y1045</f>
        <v>black salt</v>
      </c>
      <c r="AM1045" s="81" t="str">
        <f aca="false">"a = Client().post('"&amp;W1045&amp;"', {'recipe' : '"&amp;V1045&amp;"', 'ingredient' : '"&amp;Z1045&amp;"', 'name' : '"&amp;X1045&amp;"', 'mass_unit' : '"&amp;AC1045&amp;"', 'mass_quantity' : '"&amp;ROUND(AA1045,3)&amp;"', 'volume_unit' : '"&amp;AF1045&amp;"', 'volume_quantity' : '"&amp;ROUND(AD1045,3)&amp;"', 'pieces_unit' : '"&amp;AI1045&amp;"', 'pieces_quantity' : '"&amp;ROUND(AG1045,3)&amp;"', 'cooking_notes' : '"&amp;AJ1045&amp;"'}).status_code; print('%s :: %s :: %s :: %s :: %s' %(a,"&amp;G1045&amp;",'"&amp;X1045&amp;"','"&amp;Y1045&amp;"','"&amp;U1045&amp;"'))"</f>
        <v>a = Client().post('/recipes/pudina-lemon-juice/detail/', {'recipe' : '62', 'ingredient' : '32', 'name' : 'black salt', 'mass_unit' : '2', 'mass_quantity' : '0', 'volume_unit' : '5', 'volume_quantity' : '0.5', 'pieces_unit' : '3', 'pieces_quantity' : '0', 'cooking_notes' : ''}).status_code; print('%s :: %s :: %s :: %s :: %s' %(a,1045,'black salt','black salt','Pudina Lemon Juice'))</v>
      </c>
    </row>
    <row r="1046" customFormat="false" ht="13.8" hidden="false" customHeight="false" outlineLevel="0" collapsed="false">
      <c r="G1046" s="80" t="n">
        <v>1046</v>
      </c>
      <c r="H1046" s="83"/>
      <c r="I1046" s="83" t="s">
        <v>295</v>
      </c>
      <c r="J1046" s="83" t="s">
        <v>44</v>
      </c>
      <c r="K1046" s="61" t="n">
        <v>3.5</v>
      </c>
      <c r="L1046" s="61" t="s">
        <v>7</v>
      </c>
      <c r="R1046" s="82" t="str">
        <f aca="false">VLOOKUP(J1046,ingredient!$N$4:$O$553,2,0)</f>
        <v>sugar</v>
      </c>
      <c r="U1046" s="81" t="str">
        <f aca="false">I1046</f>
        <v>Pudina Lemon Juice</v>
      </c>
      <c r="V1046" s="81" t="n">
        <f aca="false">VLOOKUP(U1046,recipe_ingred_list!$A$2:$B$300,2,0)</f>
        <v>62</v>
      </c>
      <c r="W1046" s="81" t="str">
        <f aca="false">"/recipes/"&amp;VLOOKUP(U1046,recipe_ingred_list!$A$2:$C$300,3,0)&amp;"/detail/"</f>
        <v>/recipes/pudina-lemon-juice/detail/</v>
      </c>
      <c r="X1046" s="81" t="str">
        <f aca="false">J1046</f>
        <v>sugar</v>
      </c>
      <c r="Y1046" s="81" t="str">
        <f aca="false">R1046</f>
        <v>sugar</v>
      </c>
      <c r="Z1046" s="94" t="n">
        <f aca="false">VLOOKUP(Y1046,recipe_ingred_list!$D$2:$E$500,2,0)</f>
        <v>187</v>
      </c>
      <c r="AA1046" s="61" t="n">
        <f aca="false">K1046</f>
        <v>3.5</v>
      </c>
      <c r="AB1046" s="61" t="str">
        <f aca="false">L1046</f>
        <v>kg</v>
      </c>
      <c r="AC1046" s="61" t="n">
        <f aca="false">VLOOKUP(AB1046,recipe_ingred_list!$K$2:$M$7,3,0)</f>
        <v>2</v>
      </c>
      <c r="AD1046" s="61" t="n">
        <f aca="false">M1046</f>
        <v>0</v>
      </c>
      <c r="AE1046" s="61" t="n">
        <f aca="false">N1046</f>
        <v>0</v>
      </c>
      <c r="AF1046" s="61" t="n">
        <f aca="false">VLOOKUP(AE1046,recipe_ingred_list!$K$16:$M$25,3,0)</f>
        <v>1</v>
      </c>
      <c r="AG1046" s="61" t="n">
        <f aca="false">O1046</f>
        <v>0</v>
      </c>
      <c r="AH1046" s="61" t="n">
        <f aca="false">P1046</f>
        <v>0</v>
      </c>
      <c r="AI1046" s="61" t="n">
        <f aca="false">VLOOKUP(AH1046,recipe_ingred_list!$K$29:$M$34,3,0)</f>
        <v>3</v>
      </c>
      <c r="AJ1046" s="61" t="str">
        <f aca="false">IF(Q1046="","",Q1046)</f>
        <v/>
      </c>
      <c r="AK1046" s="61" t="n">
        <f aca="false">AK1045+1</f>
        <v>1046</v>
      </c>
      <c r="AL1046" s="61" t="str">
        <f aca="false">Y1046</f>
        <v>sugar</v>
      </c>
      <c r="AM1046" s="81" t="str">
        <f aca="false">"a = Client().post('"&amp;W1046&amp;"', {'recipe' : '"&amp;V1046&amp;"', 'ingredient' : '"&amp;Z1046&amp;"', 'name' : '"&amp;X1046&amp;"', 'mass_unit' : '"&amp;AC1046&amp;"', 'mass_quantity' : '"&amp;ROUND(AA1046,3)&amp;"', 'volume_unit' : '"&amp;AF1046&amp;"', 'volume_quantity' : '"&amp;ROUND(AD1046,3)&amp;"', 'pieces_unit' : '"&amp;AI1046&amp;"', 'pieces_quantity' : '"&amp;ROUND(AG1046,3)&amp;"', 'cooking_notes' : '"&amp;AJ1046&amp;"'}).status_code; print('%s :: %s :: %s :: %s :: %s' %(a,"&amp;G1046&amp;",'"&amp;X1046&amp;"','"&amp;Y1046&amp;"','"&amp;U1046&amp;"'))"</f>
        <v>a = Client().post('/recipes/pudina-lemon-juice/detail/', {'recipe' : '62', 'ingredient' : '187', 'name' : 'sugar', 'mass_unit' : '2', 'mass_quantity' : '3.5', 'volume_unit' : '1', 'volume_quantity' : '0', 'pieces_unit' : '3', 'pieces_quantity' : '0', 'cooking_notes' : ''}).status_code; print('%s :: %s :: %s :: %s :: %s' %(a,1046,'sugar','sugar','Pudina Lemon Juice'))</v>
      </c>
    </row>
    <row r="1047" customFormat="false" ht="13.8" hidden="false" customHeight="false" outlineLevel="0" collapsed="false">
      <c r="G1047" s="80" t="n">
        <v>1047</v>
      </c>
      <c r="H1047" s="79"/>
      <c r="I1047" s="79"/>
      <c r="J1047" s="79"/>
      <c r="K1047" s="100"/>
      <c r="L1047" s="100"/>
      <c r="M1047" s="100"/>
      <c r="N1047" s="100"/>
      <c r="O1047" s="100"/>
      <c r="P1047" s="100"/>
      <c r="Q1047" s="102"/>
      <c r="R1047" s="99" t="e">
        <f aca="false">VLOOKUP(J1047,ingredient!$N$4:$O$553,2,0)</f>
        <v>#N/A</v>
      </c>
      <c r="S1047" s="98"/>
      <c r="T1047" s="98"/>
      <c r="U1047" s="81" t="n">
        <f aca="false">I1047</f>
        <v>0</v>
      </c>
      <c r="V1047" s="81" t="e">
        <f aca="false">VLOOKUP(U1047,recipe_ingred_list!$A$2:$B$300,2,0)</f>
        <v>#N/A</v>
      </c>
      <c r="W1047" s="81" t="e">
        <f aca="false">"/recipes/"&amp;VLOOKUP(U1047,recipe_ingred_list!$A$2:$C$300,3,0)&amp;"/detail/"</f>
        <v>#N/A</v>
      </c>
      <c r="X1047" s="81" t="n">
        <f aca="false">J1047</f>
        <v>0</v>
      </c>
      <c r="Y1047" s="81" t="e">
        <f aca="false">R1047</f>
        <v>#N/A</v>
      </c>
      <c r="Z1047" s="94" t="e">
        <f aca="false">VLOOKUP(Y1047,recipe_ingred_list!$D$2:$E$500,2,0)</f>
        <v>#N/A</v>
      </c>
      <c r="AA1047" s="61" t="n">
        <f aca="false">K1047</f>
        <v>0</v>
      </c>
      <c r="AB1047" s="61" t="n">
        <f aca="false">L1047</f>
        <v>0</v>
      </c>
      <c r="AC1047" s="61" t="n">
        <f aca="false">VLOOKUP(AB1047,recipe_ingred_list!$K$2:$M$7,3,0)</f>
        <v>2</v>
      </c>
      <c r="AD1047" s="61" t="n">
        <f aca="false">M1047</f>
        <v>0</v>
      </c>
      <c r="AE1047" s="61" t="n">
        <f aca="false">N1047</f>
        <v>0</v>
      </c>
      <c r="AF1047" s="61" t="n">
        <f aca="false">VLOOKUP(AE1047,recipe_ingred_list!$K$16:$M$25,3,0)</f>
        <v>1</v>
      </c>
      <c r="AG1047" s="61" t="n">
        <f aca="false">O1047</f>
        <v>0</v>
      </c>
      <c r="AH1047" s="61" t="n">
        <f aca="false">P1047</f>
        <v>0</v>
      </c>
      <c r="AI1047" s="61" t="n">
        <f aca="false">VLOOKUP(AH1047,recipe_ingred_list!$K$29:$M$34,3,0)</f>
        <v>3</v>
      </c>
      <c r="AJ1047" s="61" t="str">
        <f aca="false">IF(Q1047="","",Q1047)</f>
        <v/>
      </c>
      <c r="AK1047" s="61" t="n">
        <f aca="false">AK1046+1</f>
        <v>1047</v>
      </c>
      <c r="AL1047" s="61" t="e">
        <f aca="false">Y1047</f>
        <v>#N/A</v>
      </c>
      <c r="AM1047" s="81" t="e">
        <f aca="false">"a = Client().post('"&amp;W1047&amp;"', {'recipe' : '"&amp;V1047&amp;"', 'ingredient' : '"&amp;Z1047&amp;"', 'name' : '"&amp;X1047&amp;"', 'mass_unit' : '"&amp;AC1047&amp;"', 'mass_quantity' : '"&amp;ROUND(AA1047,3)&amp;"', 'volume_unit' : '"&amp;AF1047&amp;"', 'volume_quantity' : '"&amp;ROUND(AD1047,3)&amp;"', 'pieces_unit' : '"&amp;AI1047&amp;"', 'pieces_quantity' : '"&amp;ROUND(AG1047,3)&amp;"', 'cooking_notes' : '"&amp;AJ1047&amp;"'}).status_code; print('%s :: %s :: %s :: %s :: %s' %(a,"&amp;G1047&amp;",'"&amp;X1047&amp;"','"&amp;Y1047&amp;"','"&amp;U1047&amp;"'))"</f>
        <v>#N/A</v>
      </c>
    </row>
    <row r="1048" customFormat="false" ht="13.8" hidden="false" customHeight="false" outlineLevel="0" collapsed="false">
      <c r="G1048" s="80" t="n">
        <v>1048</v>
      </c>
      <c r="H1048" s="83"/>
      <c r="I1048" s="83" t="s">
        <v>369</v>
      </c>
      <c r="J1048" s="83" t="s">
        <v>162</v>
      </c>
      <c r="K1048" s="61" t="n">
        <v>1</v>
      </c>
      <c r="L1048" s="61" t="s">
        <v>7</v>
      </c>
      <c r="R1048" s="82" t="str">
        <f aca="false">VLOOKUP(J1048,ingredient!$N$4:$O$553,2,0)</f>
        <v>badi sauf</v>
      </c>
      <c r="U1048" s="81" t="str">
        <f aca="false">I1048</f>
        <v>Variyali</v>
      </c>
      <c r="V1048" s="81" t="n">
        <f aca="false">VLOOKUP(U1048,recipe_ingred_list!$A$2:$B$300,2,0)</f>
        <v>87</v>
      </c>
      <c r="W1048" s="81" t="str">
        <f aca="false">"/recipes/"&amp;VLOOKUP(U1048,recipe_ingred_list!$A$2:$C$300,3,0)&amp;"/detail/"</f>
        <v>/recipes/variyali/detail/</v>
      </c>
      <c r="X1048" s="81" t="str">
        <f aca="false">J1048</f>
        <v>badi sauf</v>
      </c>
      <c r="Y1048" s="81" t="str">
        <f aca="false">R1048</f>
        <v>badi sauf</v>
      </c>
      <c r="Z1048" s="94" t="n">
        <f aca="false">VLOOKUP(Y1048,recipe_ingred_list!$D$2:$E$500,2,0)</f>
        <v>17</v>
      </c>
      <c r="AA1048" s="61" t="n">
        <f aca="false">K1048</f>
        <v>1</v>
      </c>
      <c r="AB1048" s="61" t="str">
        <f aca="false">L1048</f>
        <v>kg</v>
      </c>
      <c r="AC1048" s="61" t="n">
        <f aca="false">VLOOKUP(AB1048,recipe_ingred_list!$K$2:$M$7,3,0)</f>
        <v>2</v>
      </c>
      <c r="AD1048" s="61" t="n">
        <f aca="false">M1048</f>
        <v>0</v>
      </c>
      <c r="AE1048" s="61" t="n">
        <f aca="false">N1048</f>
        <v>0</v>
      </c>
      <c r="AF1048" s="61" t="n">
        <f aca="false">VLOOKUP(AE1048,recipe_ingred_list!$K$16:$M$25,3,0)</f>
        <v>1</v>
      </c>
      <c r="AG1048" s="61" t="n">
        <f aca="false">O1048</f>
        <v>0</v>
      </c>
      <c r="AH1048" s="61" t="n">
        <f aca="false">P1048</f>
        <v>0</v>
      </c>
      <c r="AI1048" s="61" t="n">
        <f aca="false">VLOOKUP(AH1048,recipe_ingred_list!$K$29:$M$34,3,0)</f>
        <v>3</v>
      </c>
      <c r="AJ1048" s="61" t="str">
        <f aca="false">IF(Q1048="","",Q1048)</f>
        <v/>
      </c>
      <c r="AK1048" s="61" t="n">
        <f aca="false">AK1047+1</f>
        <v>1048</v>
      </c>
      <c r="AL1048" s="61" t="str">
        <f aca="false">Y1048</f>
        <v>badi sauf</v>
      </c>
      <c r="AM1048" s="81" t="str">
        <f aca="false">"a = Client().post('"&amp;W1048&amp;"', {'recipe' : '"&amp;V1048&amp;"', 'ingredient' : '"&amp;Z1048&amp;"', 'name' : '"&amp;X1048&amp;"', 'mass_unit' : '"&amp;AC1048&amp;"', 'mass_quantity' : '"&amp;ROUND(AA1048,3)&amp;"', 'volume_unit' : '"&amp;AF1048&amp;"', 'volume_quantity' : '"&amp;ROUND(AD1048,3)&amp;"', 'pieces_unit' : '"&amp;AI1048&amp;"', 'pieces_quantity' : '"&amp;ROUND(AG1048,3)&amp;"', 'cooking_notes' : '"&amp;AJ1048&amp;"'}).status_code; print('%s :: %s :: %s :: %s :: %s' %(a,"&amp;G1048&amp;",'"&amp;X1048&amp;"','"&amp;Y1048&amp;"','"&amp;U1048&amp;"'))"</f>
        <v>a = Client().post('/recipes/variyali/detail/', {'recipe' : '87', 'ingredient' : '17', 'name' : 'badi sauf', 'mass_unit' : '2', 'mass_quantity' : '1', 'volume_unit' : '1', 'volume_quantity' : '0', 'pieces_unit' : '3', 'pieces_quantity' : '0', 'cooking_notes' : ''}).status_code; print('%s :: %s :: %s :: %s :: %s' %(a,1048,'badi sauf','badi sauf','Variyali'))</v>
      </c>
    </row>
    <row r="1049" customFormat="false" ht="13.8" hidden="false" customHeight="false" outlineLevel="0" collapsed="false">
      <c r="G1049" s="80" t="n">
        <v>1049</v>
      </c>
      <c r="H1049" s="83"/>
      <c r="I1049" s="83" t="s">
        <v>369</v>
      </c>
      <c r="J1049" s="83" t="s">
        <v>503</v>
      </c>
      <c r="M1049" s="61" t="n">
        <v>35</v>
      </c>
      <c r="N1049" s="61" t="s">
        <v>13</v>
      </c>
      <c r="R1049" s="82" t="str">
        <f aca="false">VLOOKUP(J1049,ingredient!$N$4:$O$553,2,0)</f>
        <v>water</v>
      </c>
      <c r="U1049" s="81" t="str">
        <f aca="false">I1049</f>
        <v>Variyali</v>
      </c>
      <c r="V1049" s="81" t="n">
        <f aca="false">VLOOKUP(U1049,recipe_ingred_list!$A$2:$B$300,2,0)</f>
        <v>87</v>
      </c>
      <c r="W1049" s="81" t="str">
        <f aca="false">"/recipes/"&amp;VLOOKUP(U1049,recipe_ingred_list!$A$2:$C$300,3,0)&amp;"/detail/"</f>
        <v>/recipes/variyali/detail/</v>
      </c>
      <c r="X1049" s="81" t="str">
        <f aca="false">J1049</f>
        <v>water</v>
      </c>
      <c r="Y1049" s="81" t="str">
        <f aca="false">R1049</f>
        <v>water</v>
      </c>
      <c r="Z1049" s="94" t="n">
        <f aca="false">VLOOKUP(Y1049,recipe_ingred_list!$D$2:$E$500,2,0)</f>
        <v>214</v>
      </c>
      <c r="AA1049" s="61" t="n">
        <f aca="false">K1049</f>
        <v>0</v>
      </c>
      <c r="AB1049" s="61" t="n">
        <f aca="false">L1049</f>
        <v>0</v>
      </c>
      <c r="AC1049" s="61" t="n">
        <f aca="false">VLOOKUP(AB1049,recipe_ingred_list!$K$2:$M$7,3,0)</f>
        <v>2</v>
      </c>
      <c r="AD1049" s="61" t="n">
        <f aca="false">M1049</f>
        <v>35</v>
      </c>
      <c r="AE1049" s="61" t="str">
        <f aca="false">N1049</f>
        <v>ltr</v>
      </c>
      <c r="AF1049" s="61" t="n">
        <f aca="false">VLOOKUP(AE1049,recipe_ingred_list!$K$16:$M$25,3,0)</f>
        <v>1</v>
      </c>
      <c r="AG1049" s="61" t="n">
        <f aca="false">O1049</f>
        <v>0</v>
      </c>
      <c r="AH1049" s="61" t="n">
        <f aca="false">P1049</f>
        <v>0</v>
      </c>
      <c r="AI1049" s="61" t="n">
        <f aca="false">VLOOKUP(AH1049,recipe_ingred_list!$K$29:$M$34,3,0)</f>
        <v>3</v>
      </c>
      <c r="AJ1049" s="61" t="str">
        <f aca="false">IF(Q1049="","",Q1049)</f>
        <v/>
      </c>
      <c r="AK1049" s="61" t="n">
        <f aca="false">AK1048+1</f>
        <v>1049</v>
      </c>
      <c r="AL1049" s="61" t="str">
        <f aca="false">Y1049</f>
        <v>water</v>
      </c>
      <c r="AM1049" s="81" t="str">
        <f aca="false">"a = Client().post('"&amp;W1049&amp;"', {'recipe' : '"&amp;V1049&amp;"', 'ingredient' : '"&amp;Z1049&amp;"', 'name' : '"&amp;X1049&amp;"', 'mass_unit' : '"&amp;AC1049&amp;"', 'mass_quantity' : '"&amp;ROUND(AA1049,3)&amp;"', 'volume_unit' : '"&amp;AF1049&amp;"', 'volume_quantity' : '"&amp;ROUND(AD1049,3)&amp;"', 'pieces_unit' : '"&amp;AI1049&amp;"', 'pieces_quantity' : '"&amp;ROUND(AG1049,3)&amp;"', 'cooking_notes' : '"&amp;AJ1049&amp;"'}).status_code; print('%s :: %s :: %s :: %s :: %s' %(a,"&amp;G1049&amp;",'"&amp;X1049&amp;"','"&amp;Y1049&amp;"','"&amp;U1049&amp;"'))"</f>
        <v>a = Client().post('/recipes/variyali/detail/', {'recipe' : '87', 'ingredient' : '214', 'name' : 'water', 'mass_unit' : '2', 'mass_quantity' : '0', 'volume_unit' : '1', 'volume_quantity' : '35', 'pieces_unit' : '3', 'pieces_quantity' : '0', 'cooking_notes' : ''}).status_code; print('%s :: %s :: %s :: %s :: %s' %(a,1049,'water','water','Variyali'))</v>
      </c>
    </row>
    <row r="1050" customFormat="false" ht="13.8" hidden="false" customHeight="false" outlineLevel="0" collapsed="false">
      <c r="G1050" s="80" t="n">
        <v>1050</v>
      </c>
      <c r="H1050" s="83"/>
      <c r="I1050" s="83" t="s">
        <v>369</v>
      </c>
      <c r="J1050" s="83" t="s">
        <v>44</v>
      </c>
      <c r="K1050" s="61" t="n">
        <v>3</v>
      </c>
      <c r="L1050" s="61" t="s">
        <v>7</v>
      </c>
      <c r="R1050" s="82" t="str">
        <f aca="false">VLOOKUP(J1050,ingredient!$N$4:$O$553,2,0)</f>
        <v>sugar</v>
      </c>
      <c r="U1050" s="81" t="str">
        <f aca="false">I1050</f>
        <v>Variyali</v>
      </c>
      <c r="V1050" s="81" t="n">
        <f aca="false">VLOOKUP(U1050,recipe_ingred_list!$A$2:$B$300,2,0)</f>
        <v>87</v>
      </c>
      <c r="W1050" s="81" t="str">
        <f aca="false">"/recipes/"&amp;VLOOKUP(U1050,recipe_ingred_list!$A$2:$C$300,3,0)&amp;"/detail/"</f>
        <v>/recipes/variyali/detail/</v>
      </c>
      <c r="X1050" s="81" t="str">
        <f aca="false">J1050</f>
        <v>sugar</v>
      </c>
      <c r="Y1050" s="81" t="str">
        <f aca="false">R1050</f>
        <v>sugar</v>
      </c>
      <c r="Z1050" s="94" t="n">
        <f aca="false">VLOOKUP(Y1050,recipe_ingred_list!$D$2:$E$500,2,0)</f>
        <v>187</v>
      </c>
      <c r="AA1050" s="61" t="n">
        <f aca="false">K1050</f>
        <v>3</v>
      </c>
      <c r="AB1050" s="61" t="str">
        <f aca="false">L1050</f>
        <v>kg</v>
      </c>
      <c r="AC1050" s="61" t="n">
        <f aca="false">VLOOKUP(AB1050,recipe_ingred_list!$K$2:$M$7,3,0)</f>
        <v>2</v>
      </c>
      <c r="AD1050" s="61" t="n">
        <f aca="false">M1050</f>
        <v>0</v>
      </c>
      <c r="AE1050" s="61" t="n">
        <f aca="false">N1050</f>
        <v>0</v>
      </c>
      <c r="AF1050" s="61" t="n">
        <f aca="false">VLOOKUP(AE1050,recipe_ingred_list!$K$16:$M$25,3,0)</f>
        <v>1</v>
      </c>
      <c r="AG1050" s="61" t="n">
        <f aca="false">O1050</f>
        <v>0</v>
      </c>
      <c r="AH1050" s="61" t="n">
        <f aca="false">P1050</f>
        <v>0</v>
      </c>
      <c r="AI1050" s="61" t="n">
        <f aca="false">VLOOKUP(AH1050,recipe_ingred_list!$K$29:$M$34,3,0)</f>
        <v>3</v>
      </c>
      <c r="AJ1050" s="61" t="str">
        <f aca="false">IF(Q1050="","",Q1050)</f>
        <v/>
      </c>
      <c r="AK1050" s="61" t="n">
        <f aca="false">AK1049+1</f>
        <v>1050</v>
      </c>
      <c r="AL1050" s="61" t="str">
        <f aca="false">Y1050</f>
        <v>sugar</v>
      </c>
      <c r="AM1050" s="81" t="str">
        <f aca="false">"a = Client().post('"&amp;W1050&amp;"', {'recipe' : '"&amp;V1050&amp;"', 'ingredient' : '"&amp;Z1050&amp;"', 'name' : '"&amp;X1050&amp;"', 'mass_unit' : '"&amp;AC1050&amp;"', 'mass_quantity' : '"&amp;ROUND(AA1050,3)&amp;"', 'volume_unit' : '"&amp;AF1050&amp;"', 'volume_quantity' : '"&amp;ROUND(AD1050,3)&amp;"', 'pieces_unit' : '"&amp;AI1050&amp;"', 'pieces_quantity' : '"&amp;ROUND(AG1050,3)&amp;"', 'cooking_notes' : '"&amp;AJ1050&amp;"'}).status_code; print('%s :: %s :: %s :: %s :: %s' %(a,"&amp;G1050&amp;",'"&amp;X1050&amp;"','"&amp;Y1050&amp;"','"&amp;U1050&amp;"'))"</f>
        <v>a = Client().post('/recipes/variyali/detail/', {'recipe' : '87', 'ingredient' : '187', 'name' : 'sugar', 'mass_unit' : '2', 'mass_quantity' : '3', 'volume_unit' : '1', 'volume_quantity' : '0', 'pieces_unit' : '3', 'pieces_quantity' : '0', 'cooking_notes' : ''}).status_code; print('%s :: %s :: %s :: %s :: %s' %(a,1050,'sugar','sugar','Variyali'))</v>
      </c>
    </row>
    <row r="1051" customFormat="false" ht="13.8" hidden="false" customHeight="false" outlineLevel="0" collapsed="false">
      <c r="G1051" s="80" t="n">
        <v>1051</v>
      </c>
      <c r="H1051" s="79"/>
      <c r="I1051" s="79"/>
      <c r="J1051" s="79"/>
      <c r="K1051" s="100"/>
      <c r="L1051" s="100"/>
      <c r="M1051" s="100"/>
      <c r="N1051" s="100"/>
      <c r="O1051" s="100"/>
      <c r="P1051" s="100"/>
      <c r="Q1051" s="102"/>
      <c r="R1051" s="99" t="e">
        <f aca="false">VLOOKUP(J1051,ingredient!$N$4:$O$553,2,0)</f>
        <v>#N/A</v>
      </c>
      <c r="S1051" s="98"/>
      <c r="T1051" s="98"/>
      <c r="U1051" s="81" t="n">
        <f aca="false">I1051</f>
        <v>0</v>
      </c>
      <c r="V1051" s="81" t="e">
        <f aca="false">VLOOKUP(U1051,recipe_ingred_list!$A$2:$B$300,2,0)</f>
        <v>#N/A</v>
      </c>
      <c r="W1051" s="81" t="e">
        <f aca="false">"/recipes/"&amp;VLOOKUP(U1051,recipe_ingred_list!$A$2:$C$300,3,0)&amp;"/detail/"</f>
        <v>#N/A</v>
      </c>
      <c r="X1051" s="81" t="n">
        <f aca="false">J1051</f>
        <v>0</v>
      </c>
      <c r="Y1051" s="81" t="e">
        <f aca="false">R1051</f>
        <v>#N/A</v>
      </c>
      <c r="Z1051" s="94" t="e">
        <f aca="false">VLOOKUP(Y1051,recipe_ingred_list!$D$2:$E$500,2,0)</f>
        <v>#N/A</v>
      </c>
      <c r="AA1051" s="61" t="n">
        <f aca="false">K1051</f>
        <v>0</v>
      </c>
      <c r="AB1051" s="61" t="n">
        <f aca="false">L1051</f>
        <v>0</v>
      </c>
      <c r="AC1051" s="61" t="n">
        <f aca="false">VLOOKUP(AB1051,recipe_ingred_list!$K$2:$M$7,3,0)</f>
        <v>2</v>
      </c>
      <c r="AD1051" s="61" t="n">
        <f aca="false">M1051</f>
        <v>0</v>
      </c>
      <c r="AE1051" s="61" t="n">
        <f aca="false">N1051</f>
        <v>0</v>
      </c>
      <c r="AF1051" s="61" t="n">
        <f aca="false">VLOOKUP(AE1051,recipe_ingred_list!$K$16:$M$25,3,0)</f>
        <v>1</v>
      </c>
      <c r="AG1051" s="61" t="n">
        <f aca="false">O1051</f>
        <v>0</v>
      </c>
      <c r="AH1051" s="61" t="n">
        <f aca="false">P1051</f>
        <v>0</v>
      </c>
      <c r="AI1051" s="61" t="n">
        <f aca="false">VLOOKUP(AH1051,recipe_ingred_list!$K$29:$M$34,3,0)</f>
        <v>3</v>
      </c>
      <c r="AJ1051" s="61" t="str">
        <f aca="false">IF(Q1051="","",Q1051)</f>
        <v/>
      </c>
      <c r="AK1051" s="61" t="n">
        <f aca="false">AK1050+1</f>
        <v>1051</v>
      </c>
      <c r="AL1051" s="61" t="e">
        <f aca="false">Y1051</f>
        <v>#N/A</v>
      </c>
      <c r="AM1051" s="81" t="e">
        <f aca="false">"a = Client().post('"&amp;W1051&amp;"', {'recipe' : '"&amp;V1051&amp;"', 'ingredient' : '"&amp;Z1051&amp;"', 'name' : '"&amp;X1051&amp;"', 'mass_unit' : '"&amp;AC1051&amp;"', 'mass_quantity' : '"&amp;ROUND(AA1051,3)&amp;"', 'volume_unit' : '"&amp;AF1051&amp;"', 'volume_quantity' : '"&amp;ROUND(AD1051,3)&amp;"', 'pieces_unit' : '"&amp;AI1051&amp;"', 'pieces_quantity' : '"&amp;ROUND(AG1051,3)&amp;"', 'cooking_notes' : '"&amp;AJ1051&amp;"'}).status_code; print('%s :: %s :: %s :: %s :: %s' %(a,"&amp;G1051&amp;",'"&amp;X1051&amp;"','"&amp;Y1051&amp;"','"&amp;U1051&amp;"'))"</f>
        <v>#N/A</v>
      </c>
    </row>
    <row r="1052" customFormat="false" ht="13.8" hidden="false" customHeight="false" outlineLevel="0" collapsed="false">
      <c r="G1052" s="80" t="n">
        <v>1052</v>
      </c>
      <c r="H1052" s="83"/>
      <c r="I1052" s="83" t="s">
        <v>340</v>
      </c>
      <c r="J1052" s="83" t="s">
        <v>478</v>
      </c>
      <c r="K1052" s="61" t="n">
        <v>3.5</v>
      </c>
      <c r="L1052" s="61" t="s">
        <v>7</v>
      </c>
      <c r="R1052" s="82" t="str">
        <f aca="false">VLOOKUP(J1052,ingredient!$N$4:$O$553,2,0)</f>
        <v>sweet corn</v>
      </c>
      <c r="U1052" s="81" t="str">
        <f aca="false">I1052</f>
        <v>Sweet Corn Soup</v>
      </c>
      <c r="V1052" s="81" t="n">
        <f aca="false">VLOOKUP(U1052,recipe_ingred_list!$A$2:$B$300,2,0)</f>
        <v>77</v>
      </c>
      <c r="W1052" s="81" t="str">
        <f aca="false">"/recipes/"&amp;VLOOKUP(U1052,recipe_ingred_list!$A$2:$C$300,3,0)&amp;"/detail/"</f>
        <v>/recipes/sweet-corn-soup/detail/</v>
      </c>
      <c r="X1052" s="81" t="str">
        <f aca="false">J1052</f>
        <v>sweet corn</v>
      </c>
      <c r="Y1052" s="81" t="str">
        <f aca="false">R1052</f>
        <v>sweet corn</v>
      </c>
      <c r="Z1052" s="94" t="n">
        <f aca="false">VLOOKUP(Y1052,recipe_ingred_list!$D$2:$E$500,2,0)</f>
        <v>188</v>
      </c>
      <c r="AA1052" s="61" t="n">
        <f aca="false">K1052</f>
        <v>3.5</v>
      </c>
      <c r="AB1052" s="61" t="str">
        <f aca="false">L1052</f>
        <v>kg</v>
      </c>
      <c r="AC1052" s="61" t="n">
        <f aca="false">VLOOKUP(AB1052,recipe_ingred_list!$K$2:$M$7,3,0)</f>
        <v>2</v>
      </c>
      <c r="AD1052" s="61" t="n">
        <f aca="false">M1052</f>
        <v>0</v>
      </c>
      <c r="AE1052" s="61" t="n">
        <f aca="false">N1052</f>
        <v>0</v>
      </c>
      <c r="AF1052" s="61" t="n">
        <f aca="false">VLOOKUP(AE1052,recipe_ingred_list!$K$16:$M$25,3,0)</f>
        <v>1</v>
      </c>
      <c r="AG1052" s="61" t="n">
        <f aca="false">O1052</f>
        <v>0</v>
      </c>
      <c r="AH1052" s="61" t="n">
        <f aca="false">P1052</f>
        <v>0</v>
      </c>
      <c r="AI1052" s="61" t="n">
        <f aca="false">VLOOKUP(AH1052,recipe_ingred_list!$K$29:$M$34,3,0)</f>
        <v>3</v>
      </c>
      <c r="AJ1052" s="61" t="str">
        <f aca="false">IF(Q1052="","",Q1052)</f>
        <v/>
      </c>
      <c r="AK1052" s="61" t="n">
        <f aca="false">AK1051+1</f>
        <v>1052</v>
      </c>
      <c r="AL1052" s="61" t="str">
        <f aca="false">Y1052</f>
        <v>sweet corn</v>
      </c>
      <c r="AM1052" s="81" t="str">
        <f aca="false">"a = Client().post('"&amp;W1052&amp;"', {'recipe' : '"&amp;V1052&amp;"', 'ingredient' : '"&amp;Z1052&amp;"', 'name' : '"&amp;X1052&amp;"', 'mass_unit' : '"&amp;AC1052&amp;"', 'mass_quantity' : '"&amp;ROUND(AA1052,3)&amp;"', 'volume_unit' : '"&amp;AF1052&amp;"', 'volume_quantity' : '"&amp;ROUND(AD1052,3)&amp;"', 'pieces_unit' : '"&amp;AI1052&amp;"', 'pieces_quantity' : '"&amp;ROUND(AG1052,3)&amp;"', 'cooking_notes' : '"&amp;AJ1052&amp;"'}).status_code; print('%s :: %s :: %s :: %s :: %s' %(a,"&amp;G1052&amp;",'"&amp;X1052&amp;"','"&amp;Y1052&amp;"','"&amp;U1052&amp;"'))"</f>
        <v>a = Client().post('/recipes/sweet-corn-soup/detail/', {'recipe' : '77', 'ingredient' : '188', 'name' : 'sweet corn', 'mass_unit' : '2', 'mass_quantity' : '3.5', 'volume_unit' : '1', 'volume_quantity' : '0', 'pieces_unit' : '3', 'pieces_quantity' : '0', 'cooking_notes' : ''}).status_code; print('%s :: %s :: %s :: %s :: %s' %(a,1052,'sweet corn','sweet corn','Sweet Corn Soup'))</v>
      </c>
    </row>
    <row r="1053" customFormat="false" ht="13.8" hidden="false" customHeight="false" outlineLevel="0" collapsed="false">
      <c r="G1053" s="80" t="n">
        <v>1053</v>
      </c>
      <c r="H1053" s="83"/>
      <c r="I1053" s="83" t="s">
        <v>340</v>
      </c>
      <c r="J1053" s="83" t="s">
        <v>393</v>
      </c>
      <c r="M1053" s="61" t="n">
        <v>30</v>
      </c>
      <c r="N1053" s="61" t="s">
        <v>13</v>
      </c>
      <c r="R1053" s="82" t="str">
        <f aca="false">VLOOKUP(J1053,ingredient!$N$4:$O$553,2,0)</f>
        <v>hot water</v>
      </c>
      <c r="U1053" s="81" t="str">
        <f aca="false">I1053</f>
        <v>Sweet Corn Soup</v>
      </c>
      <c r="V1053" s="81" t="n">
        <f aca="false">VLOOKUP(U1053,recipe_ingred_list!$A$2:$B$300,2,0)</f>
        <v>77</v>
      </c>
      <c r="W1053" s="81" t="str">
        <f aca="false">"/recipes/"&amp;VLOOKUP(U1053,recipe_ingred_list!$A$2:$C$300,3,0)&amp;"/detail/"</f>
        <v>/recipes/sweet-corn-soup/detail/</v>
      </c>
      <c r="X1053" s="81" t="str">
        <f aca="false">J1053</f>
        <v>hot water</v>
      </c>
      <c r="Y1053" s="81" t="str">
        <f aca="false">R1053</f>
        <v>hot water</v>
      </c>
      <c r="Z1053" s="94" t="n">
        <f aca="false">VLOOKUP(Y1053,recipe_ingred_list!$D$2:$E$500,2,0)</f>
        <v>97</v>
      </c>
      <c r="AA1053" s="61" t="n">
        <f aca="false">K1053</f>
        <v>0</v>
      </c>
      <c r="AB1053" s="61" t="n">
        <f aca="false">L1053</f>
        <v>0</v>
      </c>
      <c r="AC1053" s="61" t="n">
        <f aca="false">VLOOKUP(AB1053,recipe_ingred_list!$K$2:$M$7,3,0)</f>
        <v>2</v>
      </c>
      <c r="AD1053" s="61" t="n">
        <f aca="false">M1053</f>
        <v>30</v>
      </c>
      <c r="AE1053" s="61" t="str">
        <f aca="false">N1053</f>
        <v>ltr</v>
      </c>
      <c r="AF1053" s="61" t="n">
        <f aca="false">VLOOKUP(AE1053,recipe_ingred_list!$K$16:$M$25,3,0)</f>
        <v>1</v>
      </c>
      <c r="AG1053" s="61" t="n">
        <f aca="false">O1053</f>
        <v>0</v>
      </c>
      <c r="AH1053" s="61" t="n">
        <f aca="false">P1053</f>
        <v>0</v>
      </c>
      <c r="AI1053" s="61" t="n">
        <f aca="false">VLOOKUP(AH1053,recipe_ingred_list!$K$29:$M$34,3,0)</f>
        <v>3</v>
      </c>
      <c r="AJ1053" s="61" t="str">
        <f aca="false">IF(Q1053="","",Q1053)</f>
        <v/>
      </c>
      <c r="AK1053" s="61" t="n">
        <f aca="false">AK1052+1</f>
        <v>1053</v>
      </c>
      <c r="AL1053" s="61" t="str">
        <f aca="false">Y1053</f>
        <v>hot water</v>
      </c>
      <c r="AM1053" s="81" t="str">
        <f aca="false">"a = Client().post('"&amp;W1053&amp;"', {'recipe' : '"&amp;V1053&amp;"', 'ingredient' : '"&amp;Z1053&amp;"', 'name' : '"&amp;X1053&amp;"', 'mass_unit' : '"&amp;AC1053&amp;"', 'mass_quantity' : '"&amp;ROUND(AA1053,3)&amp;"', 'volume_unit' : '"&amp;AF1053&amp;"', 'volume_quantity' : '"&amp;ROUND(AD1053,3)&amp;"', 'pieces_unit' : '"&amp;AI1053&amp;"', 'pieces_quantity' : '"&amp;ROUND(AG1053,3)&amp;"', 'cooking_notes' : '"&amp;AJ1053&amp;"'}).status_code; print('%s :: %s :: %s :: %s :: %s' %(a,"&amp;G1053&amp;",'"&amp;X1053&amp;"','"&amp;Y1053&amp;"','"&amp;U1053&amp;"'))"</f>
        <v>a = Client().post('/recipes/sweet-corn-soup/detail/', {'recipe' : '77', 'ingredient' : '97', 'name' : 'hot water', 'mass_unit' : '2', 'mass_quantity' : '0', 'volume_unit' : '1', 'volume_quantity' : '30', 'pieces_unit' : '3', 'pieces_quantity' : '0', 'cooking_notes' : ''}).status_code; print('%s :: %s :: %s :: %s :: %s' %(a,1053,'hot water','hot water','Sweet Corn Soup'))</v>
      </c>
    </row>
    <row r="1054" customFormat="false" ht="13.8" hidden="false" customHeight="false" outlineLevel="0" collapsed="false">
      <c r="G1054" s="80" t="n">
        <v>1054</v>
      </c>
      <c r="H1054" s="79"/>
      <c r="I1054" s="83" t="s">
        <v>340</v>
      </c>
      <c r="J1054" s="79" t="s">
        <v>207</v>
      </c>
      <c r="K1054" s="100"/>
      <c r="L1054" s="100"/>
      <c r="M1054" s="100"/>
      <c r="N1054" s="100"/>
      <c r="O1054" s="100"/>
      <c r="P1054" s="100"/>
      <c r="Q1054" s="102"/>
      <c r="R1054" s="99" t="str">
        <f aca="false">VLOOKUP(J1054,ingredient!$N$4:$O$553,2,0)</f>
        <v>black salt</v>
      </c>
      <c r="S1054" s="98"/>
      <c r="T1054" s="98"/>
      <c r="U1054" s="81" t="str">
        <f aca="false">I1054</f>
        <v>Sweet Corn Soup</v>
      </c>
      <c r="V1054" s="81" t="n">
        <f aca="false">VLOOKUP(U1054,recipe_ingred_list!$A$2:$B$300,2,0)</f>
        <v>77</v>
      </c>
      <c r="W1054" s="81" t="str">
        <f aca="false">"/recipes/"&amp;VLOOKUP(U1054,recipe_ingred_list!$A$2:$C$300,3,0)&amp;"/detail/"</f>
        <v>/recipes/sweet-corn-soup/detail/</v>
      </c>
      <c r="X1054" s="81" t="str">
        <f aca="false">J1054</f>
        <v>black salt</v>
      </c>
      <c r="Y1054" s="81" t="str">
        <f aca="false">R1054</f>
        <v>black salt</v>
      </c>
      <c r="Z1054" s="94" t="n">
        <f aca="false">VLOOKUP(Y1054,recipe_ingred_list!$D$2:$E$500,2,0)</f>
        <v>32</v>
      </c>
      <c r="AA1054" s="61" t="n">
        <f aca="false">K1054</f>
        <v>0</v>
      </c>
      <c r="AB1054" s="61" t="n">
        <f aca="false">L1054</f>
        <v>0</v>
      </c>
      <c r="AC1054" s="61" t="n">
        <f aca="false">VLOOKUP(AB1054,recipe_ingred_list!$K$2:$M$7,3,0)</f>
        <v>2</v>
      </c>
      <c r="AD1054" s="61" t="n">
        <f aca="false">M1054</f>
        <v>0</v>
      </c>
      <c r="AE1054" s="61" t="n">
        <f aca="false">N1054</f>
        <v>0</v>
      </c>
      <c r="AF1054" s="61" t="n">
        <f aca="false">VLOOKUP(AE1054,recipe_ingred_list!$K$16:$M$25,3,0)</f>
        <v>1</v>
      </c>
      <c r="AG1054" s="61" t="n">
        <f aca="false">O1054</f>
        <v>0</v>
      </c>
      <c r="AH1054" s="61" t="n">
        <f aca="false">P1054</f>
        <v>0</v>
      </c>
      <c r="AI1054" s="61" t="n">
        <f aca="false">VLOOKUP(AH1054,recipe_ingred_list!$K$29:$M$34,3,0)</f>
        <v>3</v>
      </c>
      <c r="AJ1054" s="61" t="str">
        <f aca="false">IF(Q1054="","",Q1054)</f>
        <v/>
      </c>
      <c r="AK1054" s="61" t="n">
        <f aca="false">AK1053+1</f>
        <v>1054</v>
      </c>
      <c r="AL1054" s="61" t="str">
        <f aca="false">Y1054</f>
        <v>black salt</v>
      </c>
      <c r="AM1054" s="81" t="str">
        <f aca="false">"a = Client().post('"&amp;W1054&amp;"', {'recipe' : '"&amp;V1054&amp;"', 'ingredient' : '"&amp;Z1054&amp;"', 'name' : '"&amp;X1054&amp;"', 'mass_unit' : '"&amp;AC1054&amp;"', 'mass_quantity' : '"&amp;ROUND(AA1054,3)&amp;"', 'volume_unit' : '"&amp;AF1054&amp;"', 'volume_quantity' : '"&amp;ROUND(AD1054,3)&amp;"', 'pieces_unit' : '"&amp;AI1054&amp;"', 'pieces_quantity' : '"&amp;ROUND(AG1054,3)&amp;"', 'cooking_notes' : '"&amp;AJ1054&amp;"'}).status_code; print('%s :: %s :: %s :: %s :: %s' %(a,"&amp;G1054&amp;",'"&amp;X1054&amp;"','"&amp;Y1054&amp;"','"&amp;U1054&amp;"'))"</f>
        <v>a = Client().post('/recipes/sweet-corn-soup/detail/', {'recipe' : '77', 'ingredient' : '32', 'name' : 'black salt', 'mass_unit' : '2', 'mass_quantity' : '0', 'volume_unit' : '1', 'volume_quantity' : '0', 'pieces_unit' : '3', 'pieces_quantity' : '0', 'cooking_notes' : ''}).status_code; print('%s :: %s :: %s :: %s :: %s' %(a,1054,'black salt','black salt','Sweet Corn Soup'))</v>
      </c>
    </row>
    <row r="1055" customFormat="false" ht="13.8" hidden="false" customHeight="false" outlineLevel="0" collapsed="false">
      <c r="G1055" s="80" t="n">
        <v>1055</v>
      </c>
      <c r="H1055" s="79"/>
      <c r="I1055" s="83" t="s">
        <v>340</v>
      </c>
      <c r="J1055" s="79" t="s">
        <v>282</v>
      </c>
      <c r="K1055" s="100"/>
      <c r="L1055" s="100"/>
      <c r="M1055" s="100"/>
      <c r="N1055" s="100"/>
      <c r="O1055" s="100"/>
      <c r="P1055" s="100"/>
      <c r="Q1055" s="102"/>
      <c r="R1055" s="99" t="str">
        <f aca="false">VLOOKUP(J1055,ingredient!$N$4:$O$553,2,0)</f>
        <v>corn flour</v>
      </c>
      <c r="S1055" s="98"/>
      <c r="T1055" s="98"/>
      <c r="U1055" s="81" t="str">
        <f aca="false">I1055</f>
        <v>Sweet Corn Soup</v>
      </c>
      <c r="V1055" s="81" t="n">
        <f aca="false">VLOOKUP(U1055,recipe_ingred_list!$A$2:$B$300,2,0)</f>
        <v>77</v>
      </c>
      <c r="W1055" s="81" t="str">
        <f aca="false">"/recipes/"&amp;VLOOKUP(U1055,recipe_ingred_list!$A$2:$C$300,3,0)&amp;"/detail/"</f>
        <v>/recipes/sweet-corn-soup/detail/</v>
      </c>
      <c r="X1055" s="81" t="str">
        <f aca="false">J1055</f>
        <v>corn flour</v>
      </c>
      <c r="Y1055" s="81" t="str">
        <f aca="false">R1055</f>
        <v>corn flour</v>
      </c>
      <c r="Z1055" s="94" t="n">
        <f aca="false">VLOOKUP(Y1055,recipe_ingred_list!$D$2:$E$500,2,0)</f>
        <v>57</v>
      </c>
      <c r="AA1055" s="61" t="n">
        <f aca="false">K1055</f>
        <v>0</v>
      </c>
      <c r="AB1055" s="61" t="n">
        <f aca="false">L1055</f>
        <v>0</v>
      </c>
      <c r="AC1055" s="61" t="n">
        <f aca="false">VLOOKUP(AB1055,recipe_ingred_list!$K$2:$M$7,3,0)</f>
        <v>2</v>
      </c>
      <c r="AD1055" s="61" t="n">
        <f aca="false">M1055</f>
        <v>0</v>
      </c>
      <c r="AE1055" s="61" t="n">
        <f aca="false">N1055</f>
        <v>0</v>
      </c>
      <c r="AF1055" s="61" t="n">
        <f aca="false">VLOOKUP(AE1055,recipe_ingred_list!$K$16:$M$25,3,0)</f>
        <v>1</v>
      </c>
      <c r="AG1055" s="61" t="n">
        <f aca="false">O1055</f>
        <v>0</v>
      </c>
      <c r="AH1055" s="61" t="n">
        <f aca="false">P1055</f>
        <v>0</v>
      </c>
      <c r="AI1055" s="61" t="n">
        <f aca="false">VLOOKUP(AH1055,recipe_ingred_list!$K$29:$M$34,3,0)</f>
        <v>3</v>
      </c>
      <c r="AJ1055" s="61" t="str">
        <f aca="false">IF(Q1055="","",Q1055)</f>
        <v/>
      </c>
      <c r="AK1055" s="61" t="n">
        <f aca="false">AK1054+1</f>
        <v>1055</v>
      </c>
      <c r="AL1055" s="61" t="str">
        <f aca="false">Y1055</f>
        <v>corn flour</v>
      </c>
      <c r="AM1055" s="81" t="str">
        <f aca="false">"a = Client().post('"&amp;W1055&amp;"', {'recipe' : '"&amp;V1055&amp;"', 'ingredient' : '"&amp;Z1055&amp;"', 'name' : '"&amp;X1055&amp;"', 'mass_unit' : '"&amp;AC1055&amp;"', 'mass_quantity' : '"&amp;ROUND(AA1055,3)&amp;"', 'volume_unit' : '"&amp;AF1055&amp;"', 'volume_quantity' : '"&amp;ROUND(AD1055,3)&amp;"', 'pieces_unit' : '"&amp;AI1055&amp;"', 'pieces_quantity' : '"&amp;ROUND(AG1055,3)&amp;"', 'cooking_notes' : '"&amp;AJ1055&amp;"'}).status_code; print('%s :: %s :: %s :: %s :: %s' %(a,"&amp;G1055&amp;",'"&amp;X1055&amp;"','"&amp;Y1055&amp;"','"&amp;U1055&amp;"'))"</f>
        <v>a = Client().post('/recipes/sweet-corn-soup/detail/', {'recipe' : '77', 'ingredient' : '57', 'name' : 'corn flour', 'mass_unit' : '2', 'mass_quantity' : '0', 'volume_unit' : '1', 'volume_quantity' : '0', 'pieces_unit' : '3', 'pieces_quantity' : '0', 'cooking_notes' : ''}).status_code; print('%s :: %s :: %s :: %s :: %s' %(a,1055,'corn flour','corn flour','Sweet Corn Soup'))</v>
      </c>
    </row>
    <row r="1056" customFormat="false" ht="13.8" hidden="false" customHeight="false" outlineLevel="0" collapsed="false">
      <c r="G1056" s="80" t="n">
        <v>1056</v>
      </c>
      <c r="H1056" s="79"/>
      <c r="I1056" s="79"/>
      <c r="J1056" s="79"/>
      <c r="K1056" s="100"/>
      <c r="L1056" s="100"/>
      <c r="M1056" s="100"/>
      <c r="N1056" s="100"/>
      <c r="O1056" s="100"/>
      <c r="P1056" s="100"/>
      <c r="Q1056" s="102"/>
      <c r="R1056" s="99" t="e">
        <f aca="false">VLOOKUP(J1056,ingredient!$N$4:$O$553,2,0)</f>
        <v>#N/A</v>
      </c>
      <c r="S1056" s="98"/>
      <c r="T1056" s="98"/>
      <c r="U1056" s="81" t="n">
        <f aca="false">I1056</f>
        <v>0</v>
      </c>
      <c r="V1056" s="81" t="e">
        <f aca="false">VLOOKUP(U1056,recipe_ingred_list!$A$2:$B$300,2,0)</f>
        <v>#N/A</v>
      </c>
      <c r="W1056" s="81" t="e">
        <f aca="false">"/recipes/"&amp;VLOOKUP(U1056,recipe_ingred_list!$A$2:$C$300,3,0)&amp;"/detail/"</f>
        <v>#N/A</v>
      </c>
      <c r="X1056" s="81" t="n">
        <f aca="false">J1056</f>
        <v>0</v>
      </c>
      <c r="Y1056" s="81" t="e">
        <f aca="false">R1056</f>
        <v>#N/A</v>
      </c>
      <c r="Z1056" s="94" t="e">
        <f aca="false">VLOOKUP(Y1056,recipe_ingred_list!$D$2:$E$500,2,0)</f>
        <v>#N/A</v>
      </c>
      <c r="AA1056" s="61" t="n">
        <f aca="false">K1056</f>
        <v>0</v>
      </c>
      <c r="AB1056" s="61" t="n">
        <f aca="false">L1056</f>
        <v>0</v>
      </c>
      <c r="AC1056" s="61" t="n">
        <f aca="false">VLOOKUP(AB1056,recipe_ingred_list!$K$2:$M$7,3,0)</f>
        <v>2</v>
      </c>
      <c r="AD1056" s="61" t="n">
        <f aca="false">M1056</f>
        <v>0</v>
      </c>
      <c r="AE1056" s="61" t="n">
        <f aca="false">N1056</f>
        <v>0</v>
      </c>
      <c r="AF1056" s="61" t="n">
        <f aca="false">VLOOKUP(AE1056,recipe_ingred_list!$K$16:$M$25,3,0)</f>
        <v>1</v>
      </c>
      <c r="AG1056" s="61" t="n">
        <f aca="false">O1056</f>
        <v>0</v>
      </c>
      <c r="AH1056" s="61" t="n">
        <f aca="false">P1056</f>
        <v>0</v>
      </c>
      <c r="AI1056" s="61" t="n">
        <f aca="false">VLOOKUP(AH1056,recipe_ingred_list!$K$29:$M$34,3,0)</f>
        <v>3</v>
      </c>
      <c r="AJ1056" s="61" t="str">
        <f aca="false">IF(Q1056="","",Q1056)</f>
        <v/>
      </c>
      <c r="AK1056" s="61" t="n">
        <f aca="false">AK1055+1</f>
        <v>1056</v>
      </c>
      <c r="AL1056" s="61" t="e">
        <f aca="false">Y1056</f>
        <v>#N/A</v>
      </c>
      <c r="AM1056" s="81" t="e">
        <f aca="false">"a = Client().post('"&amp;W1056&amp;"', {'recipe' : '"&amp;V1056&amp;"', 'ingredient' : '"&amp;Z1056&amp;"', 'name' : '"&amp;X1056&amp;"', 'mass_unit' : '"&amp;AC1056&amp;"', 'mass_quantity' : '"&amp;ROUND(AA1056,3)&amp;"', 'volume_unit' : '"&amp;AF1056&amp;"', 'volume_quantity' : '"&amp;ROUND(AD1056,3)&amp;"', 'pieces_unit' : '"&amp;AI1056&amp;"', 'pieces_quantity' : '"&amp;ROUND(AG1056,3)&amp;"', 'cooking_notes' : '"&amp;AJ1056&amp;"'}).status_code; print('%s :: %s :: %s :: %s :: %s' %(a,"&amp;G1056&amp;",'"&amp;X1056&amp;"','"&amp;Y1056&amp;"','"&amp;U1056&amp;"'))"</f>
        <v>#N/A</v>
      </c>
    </row>
    <row r="1057" customFormat="false" ht="13.8" hidden="false" customHeight="false" outlineLevel="0" collapsed="false">
      <c r="G1057" s="80" t="n">
        <v>1057</v>
      </c>
      <c r="H1057" s="83"/>
      <c r="I1057" s="83" t="s">
        <v>199</v>
      </c>
      <c r="J1057" s="83" t="s">
        <v>439</v>
      </c>
      <c r="M1057" s="61" t="n">
        <v>50</v>
      </c>
      <c r="N1057" s="61" t="s">
        <v>13</v>
      </c>
      <c r="R1057" s="82" t="str">
        <f aca="false">VLOOKUP(J1057,ingredient!$N$4:$O$553,2,0)</f>
        <v>milk</v>
      </c>
      <c r="U1057" s="81" t="str">
        <f aca="false">I1057</f>
        <v>Herbal Tea</v>
      </c>
      <c r="V1057" s="81" t="n">
        <f aca="false">VLOOKUP(U1057,recipe_ingred_list!$A$2:$B$300,2,0)</f>
        <v>30</v>
      </c>
      <c r="W1057" s="81" t="str">
        <f aca="false">"/recipes/"&amp;VLOOKUP(U1057,recipe_ingred_list!$A$2:$C$300,3,0)&amp;"/detail/"</f>
        <v>/recipes/herbal-tea/detail/</v>
      </c>
      <c r="X1057" s="81" t="str">
        <f aca="false">J1057</f>
        <v>milk</v>
      </c>
      <c r="Y1057" s="81" t="str">
        <f aca="false">R1057</f>
        <v>milk</v>
      </c>
      <c r="Z1057" s="94" t="n">
        <f aca="false">VLOOKUP(Y1057,recipe_ingred_list!$D$2:$E$500,2,0)</f>
        <v>145</v>
      </c>
      <c r="AA1057" s="61" t="n">
        <f aca="false">K1057</f>
        <v>0</v>
      </c>
      <c r="AB1057" s="61" t="n">
        <f aca="false">L1057</f>
        <v>0</v>
      </c>
      <c r="AC1057" s="61" t="n">
        <f aca="false">VLOOKUP(AB1057,recipe_ingred_list!$K$2:$M$7,3,0)</f>
        <v>2</v>
      </c>
      <c r="AD1057" s="61" t="n">
        <f aca="false">M1057</f>
        <v>50</v>
      </c>
      <c r="AE1057" s="61" t="str">
        <f aca="false">N1057</f>
        <v>ltr</v>
      </c>
      <c r="AF1057" s="61" t="n">
        <f aca="false">VLOOKUP(AE1057,recipe_ingred_list!$K$16:$M$25,3,0)</f>
        <v>1</v>
      </c>
      <c r="AG1057" s="61" t="n">
        <f aca="false">O1057</f>
        <v>0</v>
      </c>
      <c r="AH1057" s="61" t="n">
        <f aca="false">P1057</f>
        <v>0</v>
      </c>
      <c r="AI1057" s="61" t="n">
        <f aca="false">VLOOKUP(AH1057,recipe_ingred_list!$K$29:$M$34,3,0)</f>
        <v>3</v>
      </c>
      <c r="AJ1057" s="61" t="str">
        <f aca="false">IF(Q1057="","",Q1057)</f>
        <v/>
      </c>
      <c r="AK1057" s="61" t="n">
        <f aca="false">AK1056+1</f>
        <v>1057</v>
      </c>
      <c r="AL1057" s="61" t="str">
        <f aca="false">Y1057</f>
        <v>milk</v>
      </c>
      <c r="AM1057" s="81" t="str">
        <f aca="false">"a = Client().post('"&amp;W1057&amp;"', {'recipe' : '"&amp;V1057&amp;"', 'ingredient' : '"&amp;Z1057&amp;"', 'name' : '"&amp;X1057&amp;"', 'mass_unit' : '"&amp;AC1057&amp;"', 'mass_quantity' : '"&amp;ROUND(AA1057,3)&amp;"', 'volume_unit' : '"&amp;AF1057&amp;"', 'volume_quantity' : '"&amp;ROUND(AD1057,3)&amp;"', 'pieces_unit' : '"&amp;AI1057&amp;"', 'pieces_quantity' : '"&amp;ROUND(AG1057,3)&amp;"', 'cooking_notes' : '"&amp;AJ1057&amp;"'}).status_code; print('%s :: %s :: %s :: %s :: %s' %(a,"&amp;G1057&amp;",'"&amp;X1057&amp;"','"&amp;Y1057&amp;"','"&amp;U1057&amp;"'))"</f>
        <v>a = Client().post('/recipes/herbal-tea/detail/', {'recipe' : '30', 'ingredient' : '145', 'name' : 'milk', 'mass_unit' : '2', 'mass_quantity' : '0', 'volume_unit' : '1', 'volume_quantity' : '50', 'pieces_unit' : '3', 'pieces_quantity' : '0', 'cooking_notes' : ''}).status_code; print('%s :: %s :: %s :: %s :: %s' %(a,1057,'milk','milk','Herbal Tea'))</v>
      </c>
    </row>
    <row r="1058" customFormat="false" ht="13.8" hidden="false" customHeight="false" outlineLevel="0" collapsed="false">
      <c r="G1058" s="80" t="n">
        <v>1058</v>
      </c>
      <c r="H1058" s="83"/>
      <c r="I1058" s="83" t="s">
        <v>199</v>
      </c>
      <c r="J1058" s="83" t="s">
        <v>503</v>
      </c>
      <c r="M1058" s="61" t="n">
        <v>10</v>
      </c>
      <c r="N1058" s="61" t="s">
        <v>13</v>
      </c>
      <c r="R1058" s="82" t="str">
        <f aca="false">VLOOKUP(J1058,ingredient!$N$4:$O$553,2,0)</f>
        <v>water</v>
      </c>
      <c r="U1058" s="81" t="str">
        <f aca="false">I1058</f>
        <v>Herbal Tea</v>
      </c>
      <c r="V1058" s="81" t="n">
        <f aca="false">VLOOKUP(U1058,recipe_ingred_list!$A$2:$B$300,2,0)</f>
        <v>30</v>
      </c>
      <c r="W1058" s="81" t="str">
        <f aca="false">"/recipes/"&amp;VLOOKUP(U1058,recipe_ingred_list!$A$2:$C$300,3,0)&amp;"/detail/"</f>
        <v>/recipes/herbal-tea/detail/</v>
      </c>
      <c r="X1058" s="81" t="str">
        <f aca="false">J1058</f>
        <v>water</v>
      </c>
      <c r="Y1058" s="81" t="str">
        <f aca="false">R1058</f>
        <v>water</v>
      </c>
      <c r="Z1058" s="94" t="n">
        <f aca="false">VLOOKUP(Y1058,recipe_ingred_list!$D$2:$E$500,2,0)</f>
        <v>214</v>
      </c>
      <c r="AA1058" s="61" t="n">
        <f aca="false">K1058</f>
        <v>0</v>
      </c>
      <c r="AB1058" s="61" t="n">
        <f aca="false">L1058</f>
        <v>0</v>
      </c>
      <c r="AC1058" s="61" t="n">
        <f aca="false">VLOOKUP(AB1058,recipe_ingred_list!$K$2:$M$7,3,0)</f>
        <v>2</v>
      </c>
      <c r="AD1058" s="61" t="n">
        <f aca="false">M1058</f>
        <v>10</v>
      </c>
      <c r="AE1058" s="61" t="str">
        <f aca="false">N1058</f>
        <v>ltr</v>
      </c>
      <c r="AF1058" s="61" t="n">
        <f aca="false">VLOOKUP(AE1058,recipe_ingred_list!$K$16:$M$25,3,0)</f>
        <v>1</v>
      </c>
      <c r="AG1058" s="61" t="n">
        <f aca="false">O1058</f>
        <v>0</v>
      </c>
      <c r="AH1058" s="61" t="n">
        <f aca="false">P1058</f>
        <v>0</v>
      </c>
      <c r="AI1058" s="61" t="n">
        <f aca="false">VLOOKUP(AH1058,recipe_ingred_list!$K$29:$M$34,3,0)</f>
        <v>3</v>
      </c>
      <c r="AJ1058" s="61" t="str">
        <f aca="false">IF(Q1058="","",Q1058)</f>
        <v/>
      </c>
      <c r="AK1058" s="61" t="n">
        <f aca="false">AK1057+1</f>
        <v>1058</v>
      </c>
      <c r="AL1058" s="61" t="str">
        <f aca="false">Y1058</f>
        <v>water</v>
      </c>
      <c r="AM1058" s="81" t="str">
        <f aca="false">"a = Client().post('"&amp;W1058&amp;"', {'recipe' : '"&amp;V1058&amp;"', 'ingredient' : '"&amp;Z1058&amp;"', 'name' : '"&amp;X1058&amp;"', 'mass_unit' : '"&amp;AC1058&amp;"', 'mass_quantity' : '"&amp;ROUND(AA1058,3)&amp;"', 'volume_unit' : '"&amp;AF1058&amp;"', 'volume_quantity' : '"&amp;ROUND(AD1058,3)&amp;"', 'pieces_unit' : '"&amp;AI1058&amp;"', 'pieces_quantity' : '"&amp;ROUND(AG1058,3)&amp;"', 'cooking_notes' : '"&amp;AJ1058&amp;"'}).status_code; print('%s :: %s :: %s :: %s :: %s' %(a,"&amp;G1058&amp;",'"&amp;X1058&amp;"','"&amp;Y1058&amp;"','"&amp;U1058&amp;"'))"</f>
        <v>a = Client().post('/recipes/herbal-tea/detail/', {'recipe' : '30', 'ingredient' : '214', 'name' : 'water', 'mass_unit' : '2', 'mass_quantity' : '0', 'volume_unit' : '1', 'volume_quantity' : '10', 'pieces_unit' : '3', 'pieces_quantity' : '0', 'cooking_notes' : ''}).status_code; print('%s :: %s :: %s :: %s :: %s' %(a,1058,'water','water','Herbal Tea'))</v>
      </c>
    </row>
    <row r="1059" customFormat="false" ht="13.8" hidden="false" customHeight="false" outlineLevel="0" collapsed="false">
      <c r="G1059" s="80" t="n">
        <v>1059</v>
      </c>
      <c r="H1059" s="83"/>
      <c r="I1059" s="83" t="s">
        <v>199</v>
      </c>
      <c r="J1059" s="83" t="s">
        <v>388</v>
      </c>
      <c r="K1059" s="61" t="n">
        <v>400</v>
      </c>
      <c r="L1059" s="61" t="s">
        <v>109</v>
      </c>
      <c r="R1059" s="82" t="str">
        <f aca="false">VLOOKUP(J1059,ingredient!$N$4:$O$553,2,0)</f>
        <v>herbal tea powder</v>
      </c>
      <c r="U1059" s="81" t="str">
        <f aca="false">I1059</f>
        <v>Herbal Tea</v>
      </c>
      <c r="V1059" s="81" t="n">
        <f aca="false">VLOOKUP(U1059,recipe_ingred_list!$A$2:$B$300,2,0)</f>
        <v>30</v>
      </c>
      <c r="W1059" s="81" t="str">
        <f aca="false">"/recipes/"&amp;VLOOKUP(U1059,recipe_ingred_list!$A$2:$C$300,3,0)&amp;"/detail/"</f>
        <v>/recipes/herbal-tea/detail/</v>
      </c>
      <c r="X1059" s="81" t="str">
        <f aca="false">J1059</f>
        <v>herbal tea powder</v>
      </c>
      <c r="Y1059" s="81" t="str">
        <f aca="false">R1059</f>
        <v>herbal tea powder</v>
      </c>
      <c r="Z1059" s="94" t="n">
        <f aca="false">VLOOKUP(Y1059,recipe_ingred_list!$D$2:$E$500,2,0)</f>
        <v>94</v>
      </c>
      <c r="AA1059" s="61" t="n">
        <f aca="false">K1059</f>
        <v>400</v>
      </c>
      <c r="AB1059" s="61" t="str">
        <f aca="false">L1059</f>
        <v>gm</v>
      </c>
      <c r="AC1059" s="61" t="n">
        <f aca="false">VLOOKUP(AB1059,recipe_ingred_list!$K$2:$M$7,3,0)</f>
        <v>7</v>
      </c>
      <c r="AD1059" s="61" t="n">
        <f aca="false">M1059</f>
        <v>0</v>
      </c>
      <c r="AE1059" s="61" t="n">
        <f aca="false">N1059</f>
        <v>0</v>
      </c>
      <c r="AF1059" s="61" t="n">
        <f aca="false">VLOOKUP(AE1059,recipe_ingred_list!$K$16:$M$25,3,0)</f>
        <v>1</v>
      </c>
      <c r="AG1059" s="61" t="n">
        <f aca="false">O1059</f>
        <v>0</v>
      </c>
      <c r="AH1059" s="61" t="n">
        <f aca="false">P1059</f>
        <v>0</v>
      </c>
      <c r="AI1059" s="61" t="n">
        <f aca="false">VLOOKUP(AH1059,recipe_ingred_list!$K$29:$M$34,3,0)</f>
        <v>3</v>
      </c>
      <c r="AJ1059" s="61" t="str">
        <f aca="false">IF(Q1059="","",Q1059)</f>
        <v/>
      </c>
      <c r="AK1059" s="61" t="n">
        <f aca="false">AK1058+1</f>
        <v>1059</v>
      </c>
      <c r="AL1059" s="61" t="str">
        <f aca="false">Y1059</f>
        <v>herbal tea powder</v>
      </c>
      <c r="AM1059" s="81" t="str">
        <f aca="false">"a = Client().post('"&amp;W1059&amp;"', {'recipe' : '"&amp;V1059&amp;"', 'ingredient' : '"&amp;Z1059&amp;"', 'name' : '"&amp;X1059&amp;"', 'mass_unit' : '"&amp;AC1059&amp;"', 'mass_quantity' : '"&amp;ROUND(AA1059,3)&amp;"', 'volume_unit' : '"&amp;AF1059&amp;"', 'volume_quantity' : '"&amp;ROUND(AD1059,3)&amp;"', 'pieces_unit' : '"&amp;AI1059&amp;"', 'pieces_quantity' : '"&amp;ROUND(AG1059,3)&amp;"', 'cooking_notes' : '"&amp;AJ1059&amp;"'}).status_code; print('%s :: %s :: %s :: %s :: %s' %(a,"&amp;G1059&amp;",'"&amp;X1059&amp;"','"&amp;Y1059&amp;"','"&amp;U1059&amp;"'))"</f>
        <v>a = Client().post('/recipes/herbal-tea/detail/', {'recipe' : '30', 'ingredient' : '94', 'name' : 'herbal tea powder', 'mass_unit' : '7', 'mass_quantity' : '400', 'volume_unit' : '1', 'volume_quantity' : '0', 'pieces_unit' : '3', 'pieces_quantity' : '0', 'cooking_notes' : ''}).status_code; print('%s :: %s :: %s :: %s :: %s' %(a,1059,'herbal tea powder','herbal tea powder','Herbal Tea'))</v>
      </c>
    </row>
    <row r="1060" customFormat="false" ht="13.8" hidden="false" customHeight="false" outlineLevel="0" collapsed="false">
      <c r="G1060" s="80" t="n">
        <v>1060</v>
      </c>
      <c r="H1060" s="83"/>
      <c r="I1060" s="83" t="s">
        <v>199</v>
      </c>
      <c r="J1060" s="83" t="s">
        <v>44</v>
      </c>
      <c r="K1060" s="61" t="n">
        <v>5.5</v>
      </c>
      <c r="L1060" s="61" t="s">
        <v>7</v>
      </c>
      <c r="R1060" s="82" t="str">
        <f aca="false">VLOOKUP(J1060,ingredient!$N$4:$O$553,2,0)</f>
        <v>sugar</v>
      </c>
      <c r="U1060" s="81" t="str">
        <f aca="false">I1060</f>
        <v>Herbal Tea</v>
      </c>
      <c r="V1060" s="81" t="n">
        <f aca="false">VLOOKUP(U1060,recipe_ingred_list!$A$2:$B$300,2,0)</f>
        <v>30</v>
      </c>
      <c r="W1060" s="81" t="str">
        <f aca="false">"/recipes/"&amp;VLOOKUP(U1060,recipe_ingred_list!$A$2:$C$300,3,0)&amp;"/detail/"</f>
        <v>/recipes/herbal-tea/detail/</v>
      </c>
      <c r="X1060" s="81" t="str">
        <f aca="false">J1060</f>
        <v>sugar</v>
      </c>
      <c r="Y1060" s="81" t="str">
        <f aca="false">R1060</f>
        <v>sugar</v>
      </c>
      <c r="Z1060" s="94" t="n">
        <f aca="false">VLOOKUP(Y1060,recipe_ingred_list!$D$2:$E$500,2,0)</f>
        <v>187</v>
      </c>
      <c r="AA1060" s="61" t="n">
        <f aca="false">K1060</f>
        <v>5.5</v>
      </c>
      <c r="AB1060" s="61" t="str">
        <f aca="false">L1060</f>
        <v>kg</v>
      </c>
      <c r="AC1060" s="61" t="n">
        <f aca="false">VLOOKUP(AB1060,recipe_ingred_list!$K$2:$M$7,3,0)</f>
        <v>2</v>
      </c>
      <c r="AD1060" s="61" t="n">
        <f aca="false">M1060</f>
        <v>0</v>
      </c>
      <c r="AE1060" s="61" t="n">
        <f aca="false">N1060</f>
        <v>0</v>
      </c>
      <c r="AF1060" s="61" t="n">
        <f aca="false">VLOOKUP(AE1060,recipe_ingred_list!$K$16:$M$25,3,0)</f>
        <v>1</v>
      </c>
      <c r="AG1060" s="61" t="n">
        <f aca="false">O1060</f>
        <v>0</v>
      </c>
      <c r="AH1060" s="61" t="n">
        <f aca="false">P1060</f>
        <v>0</v>
      </c>
      <c r="AI1060" s="61" t="n">
        <f aca="false">VLOOKUP(AH1060,recipe_ingred_list!$K$29:$M$34,3,0)</f>
        <v>3</v>
      </c>
      <c r="AJ1060" s="61" t="str">
        <f aca="false">IF(Q1060="","",Q1060)</f>
        <v/>
      </c>
      <c r="AK1060" s="61" t="n">
        <f aca="false">AK1059+1</f>
        <v>1060</v>
      </c>
      <c r="AL1060" s="61" t="str">
        <f aca="false">Y1060</f>
        <v>sugar</v>
      </c>
      <c r="AM1060" s="81" t="str">
        <f aca="false">"a = Client().post('"&amp;W1060&amp;"', {'recipe' : '"&amp;V1060&amp;"', 'ingredient' : '"&amp;Z1060&amp;"', 'name' : '"&amp;X1060&amp;"', 'mass_unit' : '"&amp;AC1060&amp;"', 'mass_quantity' : '"&amp;ROUND(AA1060,3)&amp;"', 'volume_unit' : '"&amp;AF1060&amp;"', 'volume_quantity' : '"&amp;ROUND(AD1060,3)&amp;"', 'pieces_unit' : '"&amp;AI1060&amp;"', 'pieces_quantity' : '"&amp;ROUND(AG1060,3)&amp;"', 'cooking_notes' : '"&amp;AJ1060&amp;"'}).status_code; print('%s :: %s :: %s :: %s :: %s' %(a,"&amp;G1060&amp;",'"&amp;X1060&amp;"','"&amp;Y1060&amp;"','"&amp;U1060&amp;"'))"</f>
        <v>a = Client().post('/recipes/herbal-tea/detail/', {'recipe' : '30', 'ingredient' : '187', 'name' : 'sugar', 'mass_unit' : '2', 'mass_quantity' : '5.5', 'volume_unit' : '1', 'volume_quantity' : '0', 'pieces_unit' : '3', 'pieces_quantity' : '0', 'cooking_notes' : ''}).status_code; print('%s :: %s :: %s :: %s :: %s' %(a,1060,'sugar','sugar','Herbal Tea'))</v>
      </c>
    </row>
    <row r="1061" customFormat="false" ht="13.8" hidden="false" customHeight="false" outlineLevel="0" collapsed="false">
      <c r="G1061" s="80" t="n">
        <v>1061</v>
      </c>
      <c r="H1061" s="83"/>
      <c r="I1061" s="83" t="s">
        <v>199</v>
      </c>
      <c r="J1061" s="83" t="s">
        <v>324</v>
      </c>
      <c r="M1061" s="61" t="n">
        <v>0.25</v>
      </c>
      <c r="N1061" s="61" t="s">
        <v>20</v>
      </c>
      <c r="R1061" s="82" t="str">
        <f aca="false">VLOOKUP(J1061,ingredient!$N$4:$O$553,2,0)</f>
        <v>elaichi powder</v>
      </c>
      <c r="U1061" s="81" t="str">
        <f aca="false">I1061</f>
        <v>Herbal Tea</v>
      </c>
      <c r="V1061" s="81" t="n">
        <f aca="false">VLOOKUP(U1061,recipe_ingred_list!$A$2:$B$300,2,0)</f>
        <v>30</v>
      </c>
      <c r="W1061" s="81" t="str">
        <f aca="false">"/recipes/"&amp;VLOOKUP(U1061,recipe_ingred_list!$A$2:$C$300,3,0)&amp;"/detail/"</f>
        <v>/recipes/herbal-tea/detail/</v>
      </c>
      <c r="X1061" s="81" t="str">
        <f aca="false">J1061</f>
        <v>elaichi powder</v>
      </c>
      <c r="Y1061" s="81" t="str">
        <f aca="false">R1061</f>
        <v>elaichi powder</v>
      </c>
      <c r="Z1061" s="94" t="n">
        <f aca="false">VLOOKUP(Y1061,recipe_ingred_list!$D$2:$E$500,2,0)</f>
        <v>71</v>
      </c>
      <c r="AA1061" s="61" t="n">
        <f aca="false">K1061</f>
        <v>0</v>
      </c>
      <c r="AB1061" s="61" t="n">
        <f aca="false">L1061</f>
        <v>0</v>
      </c>
      <c r="AC1061" s="61" t="n">
        <f aca="false">VLOOKUP(AB1061,recipe_ingred_list!$K$2:$M$7,3,0)</f>
        <v>2</v>
      </c>
      <c r="AD1061" s="61" t="n">
        <f aca="false">M1061</f>
        <v>0.25</v>
      </c>
      <c r="AE1061" s="61" t="str">
        <f aca="false">N1061</f>
        <v>cup</v>
      </c>
      <c r="AF1061" s="61" t="n">
        <f aca="false">VLOOKUP(AE1061,recipe_ingred_list!$K$16:$M$25,3,0)</f>
        <v>5</v>
      </c>
      <c r="AG1061" s="61" t="n">
        <f aca="false">O1061</f>
        <v>0</v>
      </c>
      <c r="AH1061" s="61" t="n">
        <f aca="false">P1061</f>
        <v>0</v>
      </c>
      <c r="AI1061" s="61" t="n">
        <f aca="false">VLOOKUP(AH1061,recipe_ingred_list!$K$29:$M$34,3,0)</f>
        <v>3</v>
      </c>
      <c r="AJ1061" s="61" t="str">
        <f aca="false">IF(Q1061="","",Q1061)</f>
        <v/>
      </c>
      <c r="AK1061" s="61" t="n">
        <f aca="false">AK1060+1</f>
        <v>1061</v>
      </c>
      <c r="AL1061" s="61" t="str">
        <f aca="false">Y1061</f>
        <v>elaichi powder</v>
      </c>
      <c r="AM1061" s="81" t="str">
        <f aca="false">"a = Client().post('"&amp;W1061&amp;"', {'recipe' : '"&amp;V1061&amp;"', 'ingredient' : '"&amp;Z1061&amp;"', 'name' : '"&amp;X1061&amp;"', 'mass_unit' : '"&amp;AC1061&amp;"', 'mass_quantity' : '"&amp;ROUND(AA1061,3)&amp;"', 'volume_unit' : '"&amp;AF1061&amp;"', 'volume_quantity' : '"&amp;ROUND(AD1061,3)&amp;"', 'pieces_unit' : '"&amp;AI1061&amp;"', 'pieces_quantity' : '"&amp;ROUND(AG1061,3)&amp;"', 'cooking_notes' : '"&amp;AJ1061&amp;"'}).status_code; print('%s :: %s :: %s :: %s :: %s' %(a,"&amp;G1061&amp;",'"&amp;X1061&amp;"','"&amp;Y1061&amp;"','"&amp;U1061&amp;"'))"</f>
        <v>a = Client().post('/recipes/herbal-tea/detail/', {'recipe' : '30', 'ingredient' : '71', 'name' : 'elaichi powder', 'mass_unit' : '2', 'mass_quantity' : '0', 'volume_unit' : '5', 'volume_quantity' : '0.25', 'pieces_unit' : '3', 'pieces_quantity' : '0', 'cooking_notes' : ''}).status_code; print('%s :: %s :: %s :: %s :: %s' %(a,1061,'elaichi powder','elaichi powder','Herbal Tea'))</v>
      </c>
    </row>
    <row r="1062" customFormat="false" ht="13.8" hidden="false" customHeight="false" outlineLevel="0" collapsed="false">
      <c r="G1062" s="80" t="n">
        <v>1062</v>
      </c>
      <c r="H1062" s="79"/>
      <c r="I1062" s="79"/>
      <c r="J1062" s="79"/>
      <c r="K1062" s="100"/>
      <c r="L1062" s="100"/>
      <c r="M1062" s="100"/>
      <c r="N1062" s="100"/>
      <c r="O1062" s="100"/>
      <c r="P1062" s="100"/>
      <c r="Q1062" s="102"/>
      <c r="R1062" s="99" t="e">
        <f aca="false">VLOOKUP(J1062,ingredient!$N$4:$O$553,2,0)</f>
        <v>#N/A</v>
      </c>
      <c r="S1062" s="98"/>
      <c r="T1062" s="98"/>
      <c r="U1062" s="81" t="n">
        <f aca="false">I1062</f>
        <v>0</v>
      </c>
      <c r="V1062" s="81" t="e">
        <f aca="false">VLOOKUP(U1062,recipe_ingred_list!$A$2:$B$300,2,0)</f>
        <v>#N/A</v>
      </c>
      <c r="W1062" s="81" t="e">
        <f aca="false">"/recipes/"&amp;VLOOKUP(U1062,recipe_ingred_list!$A$2:$C$300,3,0)&amp;"/detail/"</f>
        <v>#N/A</v>
      </c>
      <c r="X1062" s="81" t="n">
        <f aca="false">J1062</f>
        <v>0</v>
      </c>
      <c r="Y1062" s="81" t="e">
        <f aca="false">R1062</f>
        <v>#N/A</v>
      </c>
      <c r="Z1062" s="94" t="e">
        <f aca="false">VLOOKUP(Y1062,recipe_ingred_list!$D$2:$E$500,2,0)</f>
        <v>#N/A</v>
      </c>
      <c r="AA1062" s="61" t="n">
        <f aca="false">K1062</f>
        <v>0</v>
      </c>
      <c r="AB1062" s="61" t="n">
        <f aca="false">L1062</f>
        <v>0</v>
      </c>
      <c r="AC1062" s="61" t="n">
        <f aca="false">VLOOKUP(AB1062,recipe_ingred_list!$K$2:$M$7,3,0)</f>
        <v>2</v>
      </c>
      <c r="AD1062" s="61" t="n">
        <f aca="false">M1062</f>
        <v>0</v>
      </c>
      <c r="AE1062" s="61" t="n">
        <f aca="false">N1062</f>
        <v>0</v>
      </c>
      <c r="AF1062" s="61" t="n">
        <f aca="false">VLOOKUP(AE1062,recipe_ingred_list!$K$16:$M$25,3,0)</f>
        <v>1</v>
      </c>
      <c r="AG1062" s="61" t="n">
        <f aca="false">O1062</f>
        <v>0</v>
      </c>
      <c r="AH1062" s="61" t="n">
        <f aca="false">P1062</f>
        <v>0</v>
      </c>
      <c r="AI1062" s="61" t="n">
        <f aca="false">VLOOKUP(AH1062,recipe_ingred_list!$K$29:$M$34,3,0)</f>
        <v>3</v>
      </c>
      <c r="AJ1062" s="61" t="str">
        <f aca="false">IF(Q1062="","",Q1062)</f>
        <v/>
      </c>
      <c r="AK1062" s="61" t="n">
        <f aca="false">AK1061+1</f>
        <v>1062</v>
      </c>
      <c r="AL1062" s="61" t="e">
        <f aca="false">Y1062</f>
        <v>#N/A</v>
      </c>
      <c r="AM1062" s="81" t="e">
        <f aca="false">"a = Client().post('"&amp;W1062&amp;"', {'recipe' : '"&amp;V1062&amp;"', 'ingredient' : '"&amp;Z1062&amp;"', 'name' : '"&amp;X1062&amp;"', 'mass_unit' : '"&amp;AC1062&amp;"', 'mass_quantity' : '"&amp;ROUND(AA1062,3)&amp;"', 'volume_unit' : '"&amp;AF1062&amp;"', 'volume_quantity' : '"&amp;ROUND(AD1062,3)&amp;"', 'pieces_unit' : '"&amp;AI1062&amp;"', 'pieces_quantity' : '"&amp;ROUND(AG1062,3)&amp;"', 'cooking_notes' : '"&amp;AJ1062&amp;"'}).status_code; print('%s :: %s :: %s :: %s :: %s' %(a,"&amp;G1062&amp;",'"&amp;X1062&amp;"','"&amp;Y1062&amp;"','"&amp;U1062&amp;"'))"</f>
        <v>#N/A</v>
      </c>
    </row>
    <row r="1063" customFormat="false" ht="13.8" hidden="false" customHeight="false" outlineLevel="0" collapsed="false">
      <c r="G1063" s="80" t="n">
        <v>1063</v>
      </c>
      <c r="H1063" s="83"/>
      <c r="I1063" s="83" t="s">
        <v>124</v>
      </c>
      <c r="J1063" s="83" t="s">
        <v>503</v>
      </c>
      <c r="M1063" s="61" t="n">
        <v>30</v>
      </c>
      <c r="N1063" s="61" t="s">
        <v>13</v>
      </c>
      <c r="R1063" s="82" t="str">
        <f aca="false">VLOOKUP(J1063,ingredient!$N$4:$O$553,2,0)</f>
        <v>water</v>
      </c>
      <c r="U1063" s="81" t="str">
        <f aca="false">I1063</f>
        <v>Barley / Ragi / Regira Malt</v>
      </c>
      <c r="V1063" s="81" t="n">
        <f aca="false">VLOOKUP(U1063,recipe_ingred_list!$A$2:$B$300,2,0)</f>
        <v>7</v>
      </c>
      <c r="W1063" s="81" t="str">
        <f aca="false">"/recipes/"&amp;VLOOKUP(U1063,recipe_ingred_list!$A$2:$C$300,3,0)&amp;"/detail/"</f>
        <v>/recipes/barley-ragi-regira-malt/detail/</v>
      </c>
      <c r="X1063" s="81" t="str">
        <f aca="false">J1063</f>
        <v>water</v>
      </c>
      <c r="Y1063" s="81" t="str">
        <f aca="false">R1063</f>
        <v>water</v>
      </c>
      <c r="Z1063" s="94" t="n">
        <f aca="false">VLOOKUP(Y1063,recipe_ingred_list!$D$2:$E$500,2,0)</f>
        <v>214</v>
      </c>
      <c r="AA1063" s="61" t="n">
        <f aca="false">K1063</f>
        <v>0</v>
      </c>
      <c r="AB1063" s="61" t="n">
        <f aca="false">L1063</f>
        <v>0</v>
      </c>
      <c r="AC1063" s="61" t="n">
        <f aca="false">VLOOKUP(AB1063,recipe_ingred_list!$K$2:$M$7,3,0)</f>
        <v>2</v>
      </c>
      <c r="AD1063" s="61" t="n">
        <f aca="false">M1063</f>
        <v>30</v>
      </c>
      <c r="AE1063" s="61" t="str">
        <f aca="false">N1063</f>
        <v>ltr</v>
      </c>
      <c r="AF1063" s="61" t="n">
        <f aca="false">VLOOKUP(AE1063,recipe_ingred_list!$K$16:$M$25,3,0)</f>
        <v>1</v>
      </c>
      <c r="AG1063" s="61" t="n">
        <f aca="false">O1063</f>
        <v>0</v>
      </c>
      <c r="AH1063" s="61" t="n">
        <f aca="false">P1063</f>
        <v>0</v>
      </c>
      <c r="AI1063" s="61" t="n">
        <f aca="false">VLOOKUP(AH1063,recipe_ingred_list!$K$29:$M$34,3,0)</f>
        <v>3</v>
      </c>
      <c r="AJ1063" s="61" t="str">
        <f aca="false">IF(Q1063="","",Q1063)</f>
        <v/>
      </c>
      <c r="AK1063" s="61" t="n">
        <f aca="false">AK1062+1</f>
        <v>1063</v>
      </c>
      <c r="AL1063" s="61" t="str">
        <f aca="false">Y1063</f>
        <v>water</v>
      </c>
      <c r="AM1063" s="81" t="str">
        <f aca="false">"a = Client().post('"&amp;W1063&amp;"', {'recipe' : '"&amp;V1063&amp;"', 'ingredient' : '"&amp;Z1063&amp;"', 'name' : '"&amp;X1063&amp;"', 'mass_unit' : '"&amp;AC1063&amp;"', 'mass_quantity' : '"&amp;ROUND(AA1063,3)&amp;"', 'volume_unit' : '"&amp;AF1063&amp;"', 'volume_quantity' : '"&amp;ROUND(AD1063,3)&amp;"', 'pieces_unit' : '"&amp;AI1063&amp;"', 'pieces_quantity' : '"&amp;ROUND(AG1063,3)&amp;"', 'cooking_notes' : '"&amp;AJ1063&amp;"'}).status_code; print('%s :: %s :: %s :: %s :: %s' %(a,"&amp;G1063&amp;",'"&amp;X1063&amp;"','"&amp;Y1063&amp;"','"&amp;U1063&amp;"'))"</f>
        <v>a = Client().post('/recipes/barley-ragi-regira-malt/detail/', {'recipe' : '7', 'ingredient' : '214', 'name' : 'water', 'mass_unit' : '2', 'mass_quantity' : '0', 'volume_unit' : '1', 'volume_quantity' : '30', 'pieces_unit' : '3', 'pieces_quantity' : '0', 'cooking_notes' : ''}).status_code; print('%s :: %s :: %s :: %s :: %s' %(a,1063,'water','water','Barley / Ragi / Regira Malt'))</v>
      </c>
    </row>
    <row r="1064" customFormat="false" ht="13.8" hidden="false" customHeight="false" outlineLevel="0" collapsed="false">
      <c r="G1064" s="80" t="n">
        <v>1064</v>
      </c>
      <c r="H1064" s="83"/>
      <c r="I1064" s="83" t="s">
        <v>124</v>
      </c>
      <c r="J1064" s="83" t="s">
        <v>866</v>
      </c>
      <c r="K1064" s="61" t="n">
        <v>1</v>
      </c>
      <c r="L1064" s="61" t="s">
        <v>7</v>
      </c>
      <c r="R1064" s="82" t="str">
        <f aca="false">VLOOKUP(J1064,ingredient!$N$4:$O$553,2,0)</f>
        <v>barley</v>
      </c>
      <c r="U1064" s="81" t="str">
        <f aca="false">I1064</f>
        <v>Barley / Ragi / Regira Malt</v>
      </c>
      <c r="V1064" s="81" t="n">
        <f aca="false">VLOOKUP(U1064,recipe_ingred_list!$A$2:$B$300,2,0)</f>
        <v>7</v>
      </c>
      <c r="W1064" s="81" t="str">
        <f aca="false">"/recipes/"&amp;VLOOKUP(U1064,recipe_ingred_list!$A$2:$C$300,3,0)&amp;"/detail/"</f>
        <v>/recipes/barley-ragi-regira-malt/detail/</v>
      </c>
      <c r="X1064" s="81" t="str">
        <f aca="false">J1064</f>
        <v>BARLEY/RAGI/RAJGIRA</v>
      </c>
      <c r="Y1064" s="81" t="str">
        <f aca="false">R1064</f>
        <v>barley</v>
      </c>
      <c r="Z1064" s="94" t="n">
        <f aca="false">VLOOKUP(Y1064,recipe_ingred_list!$D$2:$E$500,2,0)</f>
        <v>23</v>
      </c>
      <c r="AA1064" s="61" t="n">
        <f aca="false">K1064</f>
        <v>1</v>
      </c>
      <c r="AB1064" s="61" t="str">
        <f aca="false">L1064</f>
        <v>kg</v>
      </c>
      <c r="AC1064" s="61" t="n">
        <f aca="false">VLOOKUP(AB1064,recipe_ingred_list!$K$2:$M$7,3,0)</f>
        <v>2</v>
      </c>
      <c r="AD1064" s="61" t="n">
        <f aca="false">M1064</f>
        <v>0</v>
      </c>
      <c r="AE1064" s="61" t="n">
        <f aca="false">N1064</f>
        <v>0</v>
      </c>
      <c r="AF1064" s="61" t="n">
        <f aca="false">VLOOKUP(AE1064,recipe_ingred_list!$K$16:$M$25,3,0)</f>
        <v>1</v>
      </c>
      <c r="AG1064" s="61" t="n">
        <f aca="false">O1064</f>
        <v>0</v>
      </c>
      <c r="AH1064" s="61" t="n">
        <f aca="false">P1064</f>
        <v>0</v>
      </c>
      <c r="AI1064" s="61" t="n">
        <f aca="false">VLOOKUP(AH1064,recipe_ingred_list!$K$29:$M$34,3,0)</f>
        <v>3</v>
      </c>
      <c r="AJ1064" s="61" t="str">
        <f aca="false">IF(Q1064="","",Q1064)</f>
        <v/>
      </c>
      <c r="AK1064" s="61" t="n">
        <f aca="false">AK1063+1</f>
        <v>1064</v>
      </c>
      <c r="AL1064" s="61" t="str">
        <f aca="false">Y1064</f>
        <v>barley</v>
      </c>
      <c r="AM1064" s="81" t="str">
        <f aca="false">"a = Client().post('"&amp;W1064&amp;"', {'recipe' : '"&amp;V1064&amp;"', 'ingredient' : '"&amp;Z1064&amp;"', 'name' : '"&amp;X1064&amp;"', 'mass_unit' : '"&amp;AC1064&amp;"', 'mass_quantity' : '"&amp;ROUND(AA1064,3)&amp;"', 'volume_unit' : '"&amp;AF1064&amp;"', 'volume_quantity' : '"&amp;ROUND(AD1064,3)&amp;"', 'pieces_unit' : '"&amp;AI1064&amp;"', 'pieces_quantity' : '"&amp;ROUND(AG1064,3)&amp;"', 'cooking_notes' : '"&amp;AJ1064&amp;"'}).status_code; print('%s :: %s :: %s :: %s :: %s' %(a,"&amp;G1064&amp;",'"&amp;X1064&amp;"','"&amp;Y1064&amp;"','"&amp;U1064&amp;"'))"</f>
        <v>a = Client().post('/recipes/barley-ragi-regira-malt/detail/', {'recipe' : '7', 'ingredient' : '23', 'name' : 'BARLEY/RAGI/RAJGIRA', 'mass_unit' : '2', 'mass_quantity' : '1', 'volume_unit' : '1', 'volume_quantity' : '0', 'pieces_unit' : '3', 'pieces_quantity' : '0', 'cooking_notes' : ''}).status_code; print('%s :: %s :: %s :: %s :: %s' %(a,1064,'BARLEY/RAGI/RAJGIRA','barley','Barley / Ragi / Regira Malt'))</v>
      </c>
    </row>
    <row r="1065" customFormat="false" ht="13.8" hidden="false" customHeight="false" outlineLevel="0" collapsed="false">
      <c r="G1065" s="80" t="n">
        <v>1065</v>
      </c>
      <c r="H1065" s="83"/>
      <c r="I1065" s="83" t="s">
        <v>124</v>
      </c>
      <c r="J1065" s="83" t="s">
        <v>821</v>
      </c>
      <c r="K1065" s="61" t="n">
        <v>4.5</v>
      </c>
      <c r="L1065" s="61" t="s">
        <v>7</v>
      </c>
      <c r="R1065" s="82" t="str">
        <f aca="false">VLOOKUP(J1065,ingredient!$N$4:$O$553,2,0)</f>
        <v>gud</v>
      </c>
      <c r="U1065" s="81" t="str">
        <f aca="false">I1065</f>
        <v>Barley / Ragi / Regira Malt</v>
      </c>
      <c r="V1065" s="81" t="n">
        <f aca="false">VLOOKUP(U1065,recipe_ingred_list!$A$2:$B$300,2,0)</f>
        <v>7</v>
      </c>
      <c r="W1065" s="81" t="str">
        <f aca="false">"/recipes/"&amp;VLOOKUP(U1065,recipe_ingred_list!$A$2:$C$300,3,0)&amp;"/detail/"</f>
        <v>/recipes/barley-ragi-regira-malt/detail/</v>
      </c>
      <c r="X1065" s="81" t="str">
        <f aca="false">J1065</f>
        <v>jaggary</v>
      </c>
      <c r="Y1065" s="81" t="str">
        <f aca="false">R1065</f>
        <v>gud</v>
      </c>
      <c r="Z1065" s="94" t="n">
        <f aca="false">VLOOKUP(Y1065,recipe_ingred_list!$D$2:$E$500,2,0)</f>
        <v>90</v>
      </c>
      <c r="AA1065" s="61" t="n">
        <f aca="false">K1065</f>
        <v>4.5</v>
      </c>
      <c r="AB1065" s="61" t="str">
        <f aca="false">L1065</f>
        <v>kg</v>
      </c>
      <c r="AC1065" s="61" t="n">
        <f aca="false">VLOOKUP(AB1065,recipe_ingred_list!$K$2:$M$7,3,0)</f>
        <v>2</v>
      </c>
      <c r="AD1065" s="61" t="n">
        <f aca="false">M1065</f>
        <v>0</v>
      </c>
      <c r="AE1065" s="61" t="n">
        <f aca="false">N1065</f>
        <v>0</v>
      </c>
      <c r="AF1065" s="61" t="n">
        <f aca="false">VLOOKUP(AE1065,recipe_ingred_list!$K$16:$M$25,3,0)</f>
        <v>1</v>
      </c>
      <c r="AG1065" s="61" t="n">
        <f aca="false">O1065</f>
        <v>0</v>
      </c>
      <c r="AH1065" s="61" t="n">
        <f aca="false">P1065</f>
        <v>0</v>
      </c>
      <c r="AI1065" s="61" t="n">
        <f aca="false">VLOOKUP(AH1065,recipe_ingred_list!$K$29:$M$34,3,0)</f>
        <v>3</v>
      </c>
      <c r="AJ1065" s="61" t="str">
        <f aca="false">IF(Q1065="","",Q1065)</f>
        <v/>
      </c>
      <c r="AK1065" s="61" t="n">
        <f aca="false">AK1064+1</f>
        <v>1065</v>
      </c>
      <c r="AL1065" s="61" t="str">
        <f aca="false">Y1065</f>
        <v>gud</v>
      </c>
      <c r="AM1065" s="81" t="str">
        <f aca="false">"a = Client().post('"&amp;W1065&amp;"', {'recipe' : '"&amp;V1065&amp;"', 'ingredient' : '"&amp;Z1065&amp;"', 'name' : '"&amp;X1065&amp;"', 'mass_unit' : '"&amp;AC1065&amp;"', 'mass_quantity' : '"&amp;ROUND(AA1065,3)&amp;"', 'volume_unit' : '"&amp;AF1065&amp;"', 'volume_quantity' : '"&amp;ROUND(AD1065,3)&amp;"', 'pieces_unit' : '"&amp;AI1065&amp;"', 'pieces_quantity' : '"&amp;ROUND(AG1065,3)&amp;"', 'cooking_notes' : '"&amp;AJ1065&amp;"'}).status_code; print('%s :: %s :: %s :: %s :: %s' %(a,"&amp;G1065&amp;",'"&amp;X1065&amp;"','"&amp;Y1065&amp;"','"&amp;U1065&amp;"'))"</f>
        <v>a = Client().post('/recipes/barley-ragi-regira-malt/detail/', {'recipe' : '7', 'ingredient' : '90', 'name' : 'jaggary', 'mass_unit' : '2', 'mass_quantity' : '4.5', 'volume_unit' : '1', 'volume_quantity' : '0', 'pieces_unit' : '3', 'pieces_quantity' : '0', 'cooking_notes' : ''}).status_code; print('%s :: %s :: %s :: %s :: %s' %(a,1065,'jaggary','gud','Barley / Ragi / Regira Malt'))</v>
      </c>
    </row>
    <row r="1066" customFormat="false" ht="13.8" hidden="false" customHeight="false" outlineLevel="0" collapsed="false">
      <c r="G1066" s="80" t="n">
        <v>1066</v>
      </c>
      <c r="H1066" s="83"/>
      <c r="I1066" s="83" t="s">
        <v>124</v>
      </c>
      <c r="J1066" s="83" t="s">
        <v>303</v>
      </c>
      <c r="K1066" s="61" t="n">
        <v>1</v>
      </c>
      <c r="L1066" s="61" t="s">
        <v>7</v>
      </c>
      <c r="R1066" s="82" t="str">
        <f aca="false">VLOOKUP(J1066,ingredient!$N$4:$O$553,2,0)</f>
        <v>dates</v>
      </c>
      <c r="U1066" s="81" t="str">
        <f aca="false">I1066</f>
        <v>Barley / Ragi / Regira Malt</v>
      </c>
      <c r="V1066" s="81" t="n">
        <f aca="false">VLOOKUP(U1066,recipe_ingred_list!$A$2:$B$300,2,0)</f>
        <v>7</v>
      </c>
      <c r="W1066" s="81" t="str">
        <f aca="false">"/recipes/"&amp;VLOOKUP(U1066,recipe_ingred_list!$A$2:$C$300,3,0)&amp;"/detail/"</f>
        <v>/recipes/barley-ragi-regira-malt/detail/</v>
      </c>
      <c r="X1066" s="81" t="str">
        <f aca="false">J1066</f>
        <v>dates</v>
      </c>
      <c r="Y1066" s="81" t="str">
        <f aca="false">R1066</f>
        <v>dates</v>
      </c>
      <c r="Z1066" s="94" t="n">
        <f aca="false">VLOOKUP(Y1066,recipe_ingred_list!$D$2:$E$500,2,0)</f>
        <v>64</v>
      </c>
      <c r="AA1066" s="61" t="n">
        <f aca="false">K1066</f>
        <v>1</v>
      </c>
      <c r="AB1066" s="61" t="str">
        <f aca="false">L1066</f>
        <v>kg</v>
      </c>
      <c r="AC1066" s="61" t="n">
        <f aca="false">VLOOKUP(AB1066,recipe_ingred_list!$K$2:$M$7,3,0)</f>
        <v>2</v>
      </c>
      <c r="AD1066" s="61" t="n">
        <f aca="false">M1066</f>
        <v>0</v>
      </c>
      <c r="AE1066" s="61" t="n">
        <f aca="false">N1066</f>
        <v>0</v>
      </c>
      <c r="AF1066" s="61" t="n">
        <f aca="false">VLOOKUP(AE1066,recipe_ingred_list!$K$16:$M$25,3,0)</f>
        <v>1</v>
      </c>
      <c r="AG1066" s="61" t="n">
        <f aca="false">O1066</f>
        <v>0</v>
      </c>
      <c r="AH1066" s="61" t="n">
        <f aca="false">P1066</f>
        <v>0</v>
      </c>
      <c r="AI1066" s="61" t="n">
        <f aca="false">VLOOKUP(AH1066,recipe_ingred_list!$K$29:$M$34,3,0)</f>
        <v>3</v>
      </c>
      <c r="AJ1066" s="61" t="str">
        <f aca="false">IF(Q1066="","",Q1066)</f>
        <v/>
      </c>
      <c r="AK1066" s="61" t="n">
        <f aca="false">AK1065+1</f>
        <v>1066</v>
      </c>
      <c r="AL1066" s="61" t="str">
        <f aca="false">Y1066</f>
        <v>dates</v>
      </c>
      <c r="AM1066" s="81" t="str">
        <f aca="false">"a = Client().post('"&amp;W1066&amp;"', {'recipe' : '"&amp;V1066&amp;"', 'ingredient' : '"&amp;Z1066&amp;"', 'name' : '"&amp;X1066&amp;"', 'mass_unit' : '"&amp;AC1066&amp;"', 'mass_quantity' : '"&amp;ROUND(AA1066,3)&amp;"', 'volume_unit' : '"&amp;AF1066&amp;"', 'volume_quantity' : '"&amp;ROUND(AD1066,3)&amp;"', 'pieces_unit' : '"&amp;AI1066&amp;"', 'pieces_quantity' : '"&amp;ROUND(AG1066,3)&amp;"', 'cooking_notes' : '"&amp;AJ1066&amp;"'}).status_code; print('%s :: %s :: %s :: %s :: %s' %(a,"&amp;G1066&amp;",'"&amp;X1066&amp;"','"&amp;Y1066&amp;"','"&amp;U1066&amp;"'))"</f>
        <v>a = Client().post('/recipes/barley-ragi-regira-malt/detail/', {'recipe' : '7', 'ingredient' : '64', 'name' : 'dates', 'mass_unit' : '2', 'mass_quantity' : '1', 'volume_unit' : '1', 'volume_quantity' : '0', 'pieces_unit' : '3', 'pieces_quantity' : '0', 'cooking_notes' : ''}).status_code; print('%s :: %s :: %s :: %s :: %s' %(a,1066,'dates','dates','Barley / Ragi / Regira Malt'))</v>
      </c>
    </row>
    <row r="1067" customFormat="false" ht="13.8" hidden="false" customHeight="false" outlineLevel="0" collapsed="false">
      <c r="G1067" s="80" t="n">
        <v>1067</v>
      </c>
      <c r="H1067" s="83"/>
      <c r="I1067" s="83" t="s">
        <v>124</v>
      </c>
      <c r="J1067" s="83" t="s">
        <v>324</v>
      </c>
      <c r="M1067" s="61" t="n">
        <v>0.25</v>
      </c>
      <c r="N1067" s="61" t="s">
        <v>20</v>
      </c>
      <c r="R1067" s="82" t="str">
        <f aca="false">VLOOKUP(J1067,ingredient!$N$4:$O$553,2,0)</f>
        <v>elaichi powder</v>
      </c>
      <c r="U1067" s="81" t="str">
        <f aca="false">I1067</f>
        <v>Barley / Ragi / Regira Malt</v>
      </c>
      <c r="V1067" s="81" t="n">
        <f aca="false">VLOOKUP(U1067,recipe_ingred_list!$A$2:$B$300,2,0)</f>
        <v>7</v>
      </c>
      <c r="W1067" s="81" t="str">
        <f aca="false">"/recipes/"&amp;VLOOKUP(U1067,recipe_ingred_list!$A$2:$C$300,3,0)&amp;"/detail/"</f>
        <v>/recipes/barley-ragi-regira-malt/detail/</v>
      </c>
      <c r="X1067" s="81" t="str">
        <f aca="false">J1067</f>
        <v>elaichi powder</v>
      </c>
      <c r="Y1067" s="81" t="str">
        <f aca="false">R1067</f>
        <v>elaichi powder</v>
      </c>
      <c r="Z1067" s="94" t="n">
        <f aca="false">VLOOKUP(Y1067,recipe_ingred_list!$D$2:$E$500,2,0)</f>
        <v>71</v>
      </c>
      <c r="AA1067" s="61" t="n">
        <f aca="false">K1067</f>
        <v>0</v>
      </c>
      <c r="AB1067" s="61" t="n">
        <f aca="false">L1067</f>
        <v>0</v>
      </c>
      <c r="AC1067" s="61" t="n">
        <f aca="false">VLOOKUP(AB1067,recipe_ingred_list!$K$2:$M$7,3,0)</f>
        <v>2</v>
      </c>
      <c r="AD1067" s="61" t="n">
        <f aca="false">M1067</f>
        <v>0.25</v>
      </c>
      <c r="AE1067" s="61" t="str">
        <f aca="false">N1067</f>
        <v>cup</v>
      </c>
      <c r="AF1067" s="61" t="n">
        <f aca="false">VLOOKUP(AE1067,recipe_ingred_list!$K$16:$M$25,3,0)</f>
        <v>5</v>
      </c>
      <c r="AG1067" s="61" t="n">
        <f aca="false">O1067</f>
        <v>0</v>
      </c>
      <c r="AH1067" s="61" t="n">
        <f aca="false">P1067</f>
        <v>0</v>
      </c>
      <c r="AI1067" s="61" t="n">
        <f aca="false">VLOOKUP(AH1067,recipe_ingred_list!$K$29:$M$34,3,0)</f>
        <v>3</v>
      </c>
      <c r="AJ1067" s="61" t="str">
        <f aca="false">IF(Q1067="","",Q1067)</f>
        <v/>
      </c>
      <c r="AK1067" s="61" t="n">
        <f aca="false">AK1066+1</f>
        <v>1067</v>
      </c>
      <c r="AL1067" s="61" t="str">
        <f aca="false">Y1067</f>
        <v>elaichi powder</v>
      </c>
      <c r="AM1067" s="81" t="str">
        <f aca="false">"a = Client().post('"&amp;W1067&amp;"', {'recipe' : '"&amp;V1067&amp;"', 'ingredient' : '"&amp;Z1067&amp;"', 'name' : '"&amp;X1067&amp;"', 'mass_unit' : '"&amp;AC1067&amp;"', 'mass_quantity' : '"&amp;ROUND(AA1067,3)&amp;"', 'volume_unit' : '"&amp;AF1067&amp;"', 'volume_quantity' : '"&amp;ROUND(AD1067,3)&amp;"', 'pieces_unit' : '"&amp;AI1067&amp;"', 'pieces_quantity' : '"&amp;ROUND(AG1067,3)&amp;"', 'cooking_notes' : '"&amp;AJ1067&amp;"'}).status_code; print('%s :: %s :: %s :: %s :: %s' %(a,"&amp;G1067&amp;",'"&amp;X1067&amp;"','"&amp;Y1067&amp;"','"&amp;U1067&amp;"'))"</f>
        <v>a = Client().post('/recipes/barley-ragi-regira-malt/detail/', {'recipe' : '7', 'ingredient' : '71', 'name' : 'elaichi powder', 'mass_unit' : '2', 'mass_quantity' : '0', 'volume_unit' : '5', 'volume_quantity' : '0.25', 'pieces_unit' : '3', 'pieces_quantity' : '0', 'cooking_notes' : ''}).status_code; print('%s :: %s :: %s :: %s :: %s' %(a,1067,'elaichi powder','elaichi powder','Barley / Ragi / Regira Malt'))</v>
      </c>
    </row>
    <row r="1068" customFormat="false" ht="13.8" hidden="false" customHeight="false" outlineLevel="0" collapsed="false">
      <c r="G1068" s="80" t="n">
        <v>1068</v>
      </c>
      <c r="H1068" s="79"/>
      <c r="I1068" s="79"/>
      <c r="J1068" s="79"/>
      <c r="K1068" s="100"/>
      <c r="L1068" s="100"/>
      <c r="M1068" s="100"/>
      <c r="N1068" s="100"/>
      <c r="O1068" s="100"/>
      <c r="P1068" s="100"/>
      <c r="Q1068" s="102"/>
      <c r="R1068" s="99" t="e">
        <f aca="false">VLOOKUP(J1068,ingredient!$N$4:$O$553,2,0)</f>
        <v>#N/A</v>
      </c>
      <c r="S1068" s="98"/>
      <c r="T1068" s="98"/>
      <c r="U1068" s="81" t="n">
        <f aca="false">I1068</f>
        <v>0</v>
      </c>
      <c r="V1068" s="81" t="e">
        <f aca="false">VLOOKUP(U1068,recipe_ingred_list!$A$2:$B$300,2,0)</f>
        <v>#N/A</v>
      </c>
      <c r="W1068" s="81" t="e">
        <f aca="false">"/recipes/"&amp;VLOOKUP(U1068,recipe_ingred_list!$A$2:$C$300,3,0)&amp;"/detail/"</f>
        <v>#N/A</v>
      </c>
      <c r="X1068" s="81" t="n">
        <f aca="false">J1068</f>
        <v>0</v>
      </c>
      <c r="Y1068" s="81" t="e">
        <f aca="false">R1068</f>
        <v>#N/A</v>
      </c>
      <c r="Z1068" s="94" t="e">
        <f aca="false">VLOOKUP(Y1068,recipe_ingred_list!$D$2:$E$500,2,0)</f>
        <v>#N/A</v>
      </c>
      <c r="AA1068" s="61" t="n">
        <f aca="false">K1068</f>
        <v>0</v>
      </c>
      <c r="AB1068" s="61" t="n">
        <f aca="false">L1068</f>
        <v>0</v>
      </c>
      <c r="AC1068" s="61" t="n">
        <f aca="false">VLOOKUP(AB1068,recipe_ingred_list!$K$2:$M$7,3,0)</f>
        <v>2</v>
      </c>
      <c r="AD1068" s="61" t="n">
        <f aca="false">M1068</f>
        <v>0</v>
      </c>
      <c r="AE1068" s="61" t="n">
        <f aca="false">N1068</f>
        <v>0</v>
      </c>
      <c r="AF1068" s="61" t="n">
        <f aca="false">VLOOKUP(AE1068,recipe_ingred_list!$K$16:$M$25,3,0)</f>
        <v>1</v>
      </c>
      <c r="AG1068" s="61" t="n">
        <f aca="false">O1068</f>
        <v>0</v>
      </c>
      <c r="AH1068" s="61" t="n">
        <f aca="false">P1068</f>
        <v>0</v>
      </c>
      <c r="AI1068" s="61" t="n">
        <f aca="false">VLOOKUP(AH1068,recipe_ingred_list!$K$29:$M$34,3,0)</f>
        <v>3</v>
      </c>
      <c r="AJ1068" s="61" t="str">
        <f aca="false">IF(Q1068="","",Q1068)</f>
        <v/>
      </c>
      <c r="AK1068" s="61" t="n">
        <f aca="false">AK1067+1</f>
        <v>1068</v>
      </c>
      <c r="AL1068" s="61" t="e">
        <f aca="false">Y1068</f>
        <v>#N/A</v>
      </c>
      <c r="AM1068" s="81" t="e">
        <f aca="false">"a = Client().post('"&amp;W1068&amp;"', {'recipe' : '"&amp;V1068&amp;"', 'ingredient' : '"&amp;Z1068&amp;"', 'name' : '"&amp;X1068&amp;"', 'mass_unit' : '"&amp;AC1068&amp;"', 'mass_quantity' : '"&amp;ROUND(AA1068,3)&amp;"', 'volume_unit' : '"&amp;AF1068&amp;"', 'volume_quantity' : '"&amp;ROUND(AD1068,3)&amp;"', 'pieces_unit' : '"&amp;AI1068&amp;"', 'pieces_quantity' : '"&amp;ROUND(AG1068,3)&amp;"', 'cooking_notes' : '"&amp;AJ1068&amp;"'}).status_code; print('%s :: %s :: %s :: %s :: %s' %(a,"&amp;G1068&amp;",'"&amp;X1068&amp;"','"&amp;Y1068&amp;"','"&amp;U1068&amp;"'))"</f>
        <v>#N/A</v>
      </c>
    </row>
    <row r="1069" customFormat="false" ht="13.8" hidden="false" customHeight="false" outlineLevel="0" collapsed="false">
      <c r="G1069" s="80" t="n">
        <v>1069</v>
      </c>
      <c r="H1069" s="83"/>
      <c r="I1069" s="83" t="s">
        <v>235</v>
      </c>
      <c r="J1069" s="83" t="s">
        <v>424</v>
      </c>
      <c r="K1069" s="61" t="n">
        <v>3</v>
      </c>
      <c r="L1069" s="61" t="s">
        <v>7</v>
      </c>
      <c r="R1069" s="82" t="str">
        <f aca="false">VLOOKUP(J1069,ingredient!$N$4:$O$553,2,0)</f>
        <v>lemon grass</v>
      </c>
      <c r="U1069" s="81" t="str">
        <f aca="false">I1069</f>
        <v>Lemon Grass</v>
      </c>
      <c r="V1069" s="81" t="n">
        <f aca="false">VLOOKUP(U1069,recipe_ingred_list!$A$2:$B$300,2,0)</f>
        <v>42</v>
      </c>
      <c r="W1069" s="81" t="str">
        <f aca="false">"/recipes/"&amp;VLOOKUP(U1069,recipe_ingred_list!$A$2:$C$300,3,0)&amp;"/detail/"</f>
        <v>/recipes/lemon-grass/detail/</v>
      </c>
      <c r="X1069" s="81" t="str">
        <f aca="false">J1069</f>
        <v>lemon grass</v>
      </c>
      <c r="Y1069" s="81" t="str">
        <f aca="false">R1069</f>
        <v>lemon grass</v>
      </c>
      <c r="Z1069" s="94" t="n">
        <f aca="false">VLOOKUP(Y1069,recipe_ingred_list!$D$2:$E$500,2,0)</f>
        <v>130</v>
      </c>
      <c r="AA1069" s="61" t="n">
        <f aca="false">K1069</f>
        <v>3</v>
      </c>
      <c r="AB1069" s="61" t="str">
        <f aca="false">L1069</f>
        <v>kg</v>
      </c>
      <c r="AC1069" s="61" t="n">
        <f aca="false">VLOOKUP(AB1069,recipe_ingred_list!$K$2:$M$7,3,0)</f>
        <v>2</v>
      </c>
      <c r="AD1069" s="61" t="n">
        <f aca="false">M1069</f>
        <v>0</v>
      </c>
      <c r="AE1069" s="61" t="n">
        <f aca="false">N1069</f>
        <v>0</v>
      </c>
      <c r="AF1069" s="61" t="n">
        <f aca="false">VLOOKUP(AE1069,recipe_ingred_list!$K$16:$M$25,3,0)</f>
        <v>1</v>
      </c>
      <c r="AG1069" s="61" t="n">
        <f aca="false">O1069</f>
        <v>0</v>
      </c>
      <c r="AH1069" s="61" t="n">
        <f aca="false">P1069</f>
        <v>0</v>
      </c>
      <c r="AI1069" s="61" t="n">
        <f aca="false">VLOOKUP(AH1069,recipe_ingred_list!$K$29:$M$34,3,0)</f>
        <v>3</v>
      </c>
      <c r="AJ1069" s="61" t="str">
        <f aca="false">IF(Q1069="","",Q1069)</f>
        <v/>
      </c>
      <c r="AK1069" s="61" t="n">
        <f aca="false">AK1068+1</f>
        <v>1069</v>
      </c>
      <c r="AL1069" s="61" t="str">
        <f aca="false">Y1069</f>
        <v>lemon grass</v>
      </c>
      <c r="AM1069" s="81" t="str">
        <f aca="false">"a = Client().post('"&amp;W1069&amp;"', {'recipe' : '"&amp;V1069&amp;"', 'ingredient' : '"&amp;Z1069&amp;"', 'name' : '"&amp;X1069&amp;"', 'mass_unit' : '"&amp;AC1069&amp;"', 'mass_quantity' : '"&amp;ROUND(AA1069,3)&amp;"', 'volume_unit' : '"&amp;AF1069&amp;"', 'volume_quantity' : '"&amp;ROUND(AD1069,3)&amp;"', 'pieces_unit' : '"&amp;AI1069&amp;"', 'pieces_quantity' : '"&amp;ROUND(AG1069,3)&amp;"', 'cooking_notes' : '"&amp;AJ1069&amp;"'}).status_code; print('%s :: %s :: %s :: %s :: %s' %(a,"&amp;G1069&amp;",'"&amp;X1069&amp;"','"&amp;Y1069&amp;"','"&amp;U1069&amp;"'))"</f>
        <v>a = Client().post('/recipes/lemon-grass/detail/', {'recipe' : '42', 'ingredient' : '130', 'name' : 'lemon grass', 'mass_unit' : '2', 'mass_quantity' : '3', 'volume_unit' : '1', 'volume_quantity' : '0', 'pieces_unit' : '3', 'pieces_quantity' : '0', 'cooking_notes' : ''}).status_code; print('%s :: %s :: %s :: %s :: %s' %(a,1069,'lemon grass','lemon grass','Lemon Grass'))</v>
      </c>
    </row>
    <row r="1070" customFormat="false" ht="13.8" hidden="false" customHeight="false" outlineLevel="0" collapsed="false">
      <c r="G1070" s="80" t="n">
        <v>1070</v>
      </c>
      <c r="H1070" s="83"/>
      <c r="I1070" s="83" t="s">
        <v>235</v>
      </c>
      <c r="J1070" s="83" t="s">
        <v>833</v>
      </c>
      <c r="M1070" s="61" t="n">
        <v>3</v>
      </c>
      <c r="N1070" s="61" t="s">
        <v>20</v>
      </c>
      <c r="R1070" s="82" t="str">
        <f aca="false">VLOOKUP(J1070,ingredient!$N$4:$O$553,2,0)</f>
        <v>lemon</v>
      </c>
      <c r="U1070" s="81" t="str">
        <f aca="false">I1070</f>
        <v>Lemon Grass</v>
      </c>
      <c r="V1070" s="81" t="n">
        <f aca="false">VLOOKUP(U1070,recipe_ingred_list!$A$2:$B$300,2,0)</f>
        <v>42</v>
      </c>
      <c r="W1070" s="81" t="str">
        <f aca="false">"/recipes/"&amp;VLOOKUP(U1070,recipe_ingred_list!$A$2:$C$300,3,0)&amp;"/detail/"</f>
        <v>/recipes/lemon-grass/detail/</v>
      </c>
      <c r="X1070" s="81" t="str">
        <f aca="false">J1070</f>
        <v>lemon juice</v>
      </c>
      <c r="Y1070" s="81" t="str">
        <f aca="false">R1070</f>
        <v>lemon</v>
      </c>
      <c r="Z1070" s="94" t="n">
        <f aca="false">VLOOKUP(Y1070,recipe_ingred_list!$D$2:$E$500,2,0)</f>
        <v>129</v>
      </c>
      <c r="AA1070" s="61" t="n">
        <f aca="false">K1070</f>
        <v>0</v>
      </c>
      <c r="AB1070" s="61" t="n">
        <f aca="false">L1070</f>
        <v>0</v>
      </c>
      <c r="AC1070" s="61" t="n">
        <f aca="false">VLOOKUP(AB1070,recipe_ingred_list!$K$2:$M$7,3,0)</f>
        <v>2</v>
      </c>
      <c r="AD1070" s="61" t="n">
        <f aca="false">M1070</f>
        <v>3</v>
      </c>
      <c r="AE1070" s="61" t="str">
        <f aca="false">N1070</f>
        <v>cup</v>
      </c>
      <c r="AF1070" s="61" t="n">
        <f aca="false">VLOOKUP(AE1070,recipe_ingred_list!$K$16:$M$25,3,0)</f>
        <v>5</v>
      </c>
      <c r="AG1070" s="61" t="n">
        <f aca="false">O1070</f>
        <v>0</v>
      </c>
      <c r="AH1070" s="61" t="n">
        <f aca="false">P1070</f>
        <v>0</v>
      </c>
      <c r="AI1070" s="61" t="n">
        <f aca="false">VLOOKUP(AH1070,recipe_ingred_list!$K$29:$M$34,3,0)</f>
        <v>3</v>
      </c>
      <c r="AJ1070" s="61" t="str">
        <f aca="false">IF(Q1070="","",Q1070)</f>
        <v/>
      </c>
      <c r="AK1070" s="61" t="n">
        <f aca="false">AK1069+1</f>
        <v>1070</v>
      </c>
      <c r="AL1070" s="61" t="str">
        <f aca="false">Y1070</f>
        <v>lemon</v>
      </c>
      <c r="AM1070" s="81" t="str">
        <f aca="false">"a = Client().post('"&amp;W1070&amp;"', {'recipe' : '"&amp;V1070&amp;"', 'ingredient' : '"&amp;Z1070&amp;"', 'name' : '"&amp;X1070&amp;"', 'mass_unit' : '"&amp;AC1070&amp;"', 'mass_quantity' : '"&amp;ROUND(AA1070,3)&amp;"', 'volume_unit' : '"&amp;AF1070&amp;"', 'volume_quantity' : '"&amp;ROUND(AD1070,3)&amp;"', 'pieces_unit' : '"&amp;AI1070&amp;"', 'pieces_quantity' : '"&amp;ROUND(AG1070,3)&amp;"', 'cooking_notes' : '"&amp;AJ1070&amp;"'}).status_code; print('%s :: %s :: %s :: %s :: %s' %(a,"&amp;G1070&amp;",'"&amp;X1070&amp;"','"&amp;Y1070&amp;"','"&amp;U1070&amp;"'))"</f>
        <v>a = Client().post('/recipes/lemon-grass/detail/', {'recipe' : '42', 'ingredient' : '129', 'name' : 'lemon juice', 'mass_unit' : '2', 'mass_quantity' : '0', 'volume_unit' : '5', 'volume_quantity' : '3', 'pieces_unit' : '3', 'pieces_quantity' : '0', 'cooking_notes' : ''}).status_code; print('%s :: %s :: %s :: %s :: %s' %(a,1070,'lemon juice','lemon','Lemon Grass'))</v>
      </c>
    </row>
    <row r="1071" customFormat="false" ht="13.8" hidden="false" customHeight="false" outlineLevel="0" collapsed="false">
      <c r="G1071" s="80" t="n">
        <v>1071</v>
      </c>
      <c r="H1071" s="83"/>
      <c r="I1071" s="83" t="s">
        <v>235</v>
      </c>
      <c r="J1071" s="83" t="s">
        <v>802</v>
      </c>
      <c r="M1071" s="61" t="n">
        <v>2</v>
      </c>
      <c r="N1071" s="61" t="s">
        <v>20</v>
      </c>
      <c r="R1071" s="82" t="str">
        <f aca="false">VLOOKUP(J1071,ingredient!$N$4:$O$553,2,0)</f>
        <v>adrak</v>
      </c>
      <c r="U1071" s="81" t="str">
        <f aca="false">I1071</f>
        <v>Lemon Grass</v>
      </c>
      <c r="V1071" s="81" t="n">
        <f aca="false">VLOOKUP(U1071,recipe_ingred_list!$A$2:$B$300,2,0)</f>
        <v>42</v>
      </c>
      <c r="W1071" s="81" t="str">
        <f aca="false">"/recipes/"&amp;VLOOKUP(U1071,recipe_ingred_list!$A$2:$C$300,3,0)&amp;"/detail/"</f>
        <v>/recipes/lemon-grass/detail/</v>
      </c>
      <c r="X1071" s="81" t="str">
        <f aca="false">J1071</f>
        <v>ginger</v>
      </c>
      <c r="Y1071" s="81" t="str">
        <f aca="false">R1071</f>
        <v>adrak</v>
      </c>
      <c r="Z1071" s="94" t="n">
        <f aca="false">VLOOKUP(Y1071,recipe_ingred_list!$D$2:$E$500,2,0)</f>
        <v>1</v>
      </c>
      <c r="AA1071" s="61" t="n">
        <f aca="false">K1071</f>
        <v>0</v>
      </c>
      <c r="AB1071" s="61" t="n">
        <f aca="false">L1071</f>
        <v>0</v>
      </c>
      <c r="AC1071" s="61" t="n">
        <f aca="false">VLOOKUP(AB1071,recipe_ingred_list!$K$2:$M$7,3,0)</f>
        <v>2</v>
      </c>
      <c r="AD1071" s="61" t="n">
        <f aca="false">M1071</f>
        <v>2</v>
      </c>
      <c r="AE1071" s="61" t="str">
        <f aca="false">N1071</f>
        <v>cup</v>
      </c>
      <c r="AF1071" s="61" t="n">
        <f aca="false">VLOOKUP(AE1071,recipe_ingred_list!$K$16:$M$25,3,0)</f>
        <v>5</v>
      </c>
      <c r="AG1071" s="61" t="n">
        <f aca="false">O1071</f>
        <v>0</v>
      </c>
      <c r="AH1071" s="61" t="n">
        <f aca="false">P1071</f>
        <v>0</v>
      </c>
      <c r="AI1071" s="61" t="n">
        <f aca="false">VLOOKUP(AH1071,recipe_ingred_list!$K$29:$M$34,3,0)</f>
        <v>3</v>
      </c>
      <c r="AJ1071" s="61" t="str">
        <f aca="false">IF(Q1071="","",Q1071)</f>
        <v/>
      </c>
      <c r="AK1071" s="61" t="n">
        <f aca="false">AK1070+1</f>
        <v>1071</v>
      </c>
      <c r="AL1071" s="61" t="str">
        <f aca="false">Y1071</f>
        <v>adrak</v>
      </c>
      <c r="AM1071" s="81" t="str">
        <f aca="false">"a = Client().post('"&amp;W1071&amp;"', {'recipe' : '"&amp;V1071&amp;"', 'ingredient' : '"&amp;Z1071&amp;"', 'name' : '"&amp;X1071&amp;"', 'mass_unit' : '"&amp;AC1071&amp;"', 'mass_quantity' : '"&amp;ROUND(AA1071,3)&amp;"', 'volume_unit' : '"&amp;AF1071&amp;"', 'volume_quantity' : '"&amp;ROUND(AD1071,3)&amp;"', 'pieces_unit' : '"&amp;AI1071&amp;"', 'pieces_quantity' : '"&amp;ROUND(AG1071,3)&amp;"', 'cooking_notes' : '"&amp;AJ1071&amp;"'}).status_code; print('%s :: %s :: %s :: %s :: %s' %(a,"&amp;G1071&amp;",'"&amp;X1071&amp;"','"&amp;Y1071&amp;"','"&amp;U1071&amp;"'))"</f>
        <v>a = Client().post('/recipes/lemon-grass/detail/', {'recipe' : '42', 'ingredient' : '1', 'name' : 'ginger', 'mass_unit' : '2', 'mass_quantity' : '0', 'volume_unit' : '5', 'volume_quantity' : '2', 'pieces_unit' : '3', 'pieces_quantity' : '0', 'cooking_notes' : ''}).status_code; print('%s :: %s :: %s :: %s :: %s' %(a,1071,'ginger','adrak','Lemon Grass'))</v>
      </c>
    </row>
    <row r="1072" customFormat="false" ht="13.8" hidden="false" customHeight="false" outlineLevel="0" collapsed="false">
      <c r="G1072" s="80" t="n">
        <v>1072</v>
      </c>
      <c r="H1072" s="83"/>
      <c r="I1072" s="83" t="s">
        <v>235</v>
      </c>
      <c r="J1072" s="83" t="s">
        <v>44</v>
      </c>
      <c r="K1072" s="61" t="n">
        <v>3</v>
      </c>
      <c r="L1072" s="61" t="s">
        <v>7</v>
      </c>
      <c r="R1072" s="82" t="str">
        <f aca="false">VLOOKUP(J1072,ingredient!$N$4:$O$553,2,0)</f>
        <v>sugar</v>
      </c>
      <c r="U1072" s="81" t="str">
        <f aca="false">I1072</f>
        <v>Lemon Grass</v>
      </c>
      <c r="V1072" s="81" t="n">
        <f aca="false">VLOOKUP(U1072,recipe_ingred_list!$A$2:$B$300,2,0)</f>
        <v>42</v>
      </c>
      <c r="W1072" s="81" t="str">
        <f aca="false">"/recipes/"&amp;VLOOKUP(U1072,recipe_ingred_list!$A$2:$C$300,3,0)&amp;"/detail/"</f>
        <v>/recipes/lemon-grass/detail/</v>
      </c>
      <c r="X1072" s="81" t="str">
        <f aca="false">J1072</f>
        <v>sugar</v>
      </c>
      <c r="Y1072" s="81" t="str">
        <f aca="false">R1072</f>
        <v>sugar</v>
      </c>
      <c r="Z1072" s="94" t="n">
        <f aca="false">VLOOKUP(Y1072,recipe_ingred_list!$D$2:$E$500,2,0)</f>
        <v>187</v>
      </c>
      <c r="AA1072" s="61" t="n">
        <f aca="false">K1072</f>
        <v>3</v>
      </c>
      <c r="AB1072" s="61" t="str">
        <f aca="false">L1072</f>
        <v>kg</v>
      </c>
      <c r="AC1072" s="61" t="n">
        <f aca="false">VLOOKUP(AB1072,recipe_ingred_list!$K$2:$M$7,3,0)</f>
        <v>2</v>
      </c>
      <c r="AD1072" s="61" t="n">
        <f aca="false">M1072</f>
        <v>0</v>
      </c>
      <c r="AE1072" s="61" t="n">
        <f aca="false">N1072</f>
        <v>0</v>
      </c>
      <c r="AF1072" s="61" t="n">
        <f aca="false">VLOOKUP(AE1072,recipe_ingred_list!$K$16:$M$25,3,0)</f>
        <v>1</v>
      </c>
      <c r="AG1072" s="61" t="n">
        <f aca="false">O1072</f>
        <v>0</v>
      </c>
      <c r="AH1072" s="61" t="n">
        <f aca="false">P1072</f>
        <v>0</v>
      </c>
      <c r="AI1072" s="61" t="n">
        <f aca="false">VLOOKUP(AH1072,recipe_ingred_list!$K$29:$M$34,3,0)</f>
        <v>3</v>
      </c>
      <c r="AJ1072" s="61" t="str">
        <f aca="false">IF(Q1072="","",Q1072)</f>
        <v/>
      </c>
      <c r="AK1072" s="61" t="n">
        <f aca="false">AK1071+1</f>
        <v>1072</v>
      </c>
      <c r="AL1072" s="61" t="str">
        <f aca="false">Y1072</f>
        <v>sugar</v>
      </c>
      <c r="AM1072" s="81" t="str">
        <f aca="false">"a = Client().post('"&amp;W1072&amp;"', {'recipe' : '"&amp;V1072&amp;"', 'ingredient' : '"&amp;Z1072&amp;"', 'name' : '"&amp;X1072&amp;"', 'mass_unit' : '"&amp;AC1072&amp;"', 'mass_quantity' : '"&amp;ROUND(AA1072,3)&amp;"', 'volume_unit' : '"&amp;AF1072&amp;"', 'volume_quantity' : '"&amp;ROUND(AD1072,3)&amp;"', 'pieces_unit' : '"&amp;AI1072&amp;"', 'pieces_quantity' : '"&amp;ROUND(AG1072,3)&amp;"', 'cooking_notes' : '"&amp;AJ1072&amp;"'}).status_code; print('%s :: %s :: %s :: %s :: %s' %(a,"&amp;G1072&amp;",'"&amp;X1072&amp;"','"&amp;Y1072&amp;"','"&amp;U1072&amp;"'))"</f>
        <v>a = Client().post('/recipes/lemon-grass/detail/', {'recipe' : '42', 'ingredient' : '187', 'name' : 'sugar', 'mass_unit' : '2', 'mass_quantity' : '3', 'volume_unit' : '1', 'volume_quantity' : '0', 'pieces_unit' : '3', 'pieces_quantity' : '0', 'cooking_notes' : ''}).status_code; print('%s :: %s :: %s :: %s :: %s' %(a,1072,'sugar','sugar','Lemon Grass'))</v>
      </c>
    </row>
    <row r="1073" customFormat="false" ht="13.8" hidden="false" customHeight="false" outlineLevel="0" collapsed="false">
      <c r="G1073" s="80" t="n">
        <v>1073</v>
      </c>
      <c r="H1073" s="79"/>
      <c r="I1073" s="79"/>
      <c r="J1073" s="79"/>
      <c r="K1073" s="100"/>
      <c r="L1073" s="100"/>
      <c r="M1073" s="100"/>
      <c r="N1073" s="100"/>
      <c r="O1073" s="100"/>
      <c r="P1073" s="100"/>
      <c r="Q1073" s="102"/>
      <c r="R1073" s="99" t="e">
        <f aca="false">VLOOKUP(J1073,ingredient!$N$4:$O$553,2,0)</f>
        <v>#N/A</v>
      </c>
      <c r="S1073" s="98"/>
      <c r="T1073" s="98"/>
      <c r="U1073" s="81" t="n">
        <f aca="false">I1073</f>
        <v>0</v>
      </c>
      <c r="V1073" s="81" t="e">
        <f aca="false">VLOOKUP(U1073,recipe_ingred_list!$A$2:$B$300,2,0)</f>
        <v>#N/A</v>
      </c>
      <c r="W1073" s="81" t="e">
        <f aca="false">"/recipes/"&amp;VLOOKUP(U1073,recipe_ingred_list!$A$2:$C$300,3,0)&amp;"/detail/"</f>
        <v>#N/A</v>
      </c>
      <c r="X1073" s="81" t="n">
        <f aca="false">J1073</f>
        <v>0</v>
      </c>
      <c r="Y1073" s="81" t="e">
        <f aca="false">R1073</f>
        <v>#N/A</v>
      </c>
      <c r="Z1073" s="94" t="e">
        <f aca="false">VLOOKUP(Y1073,recipe_ingred_list!$D$2:$E$500,2,0)</f>
        <v>#N/A</v>
      </c>
      <c r="AA1073" s="61" t="n">
        <f aca="false">K1073</f>
        <v>0</v>
      </c>
      <c r="AB1073" s="61" t="n">
        <f aca="false">L1073</f>
        <v>0</v>
      </c>
      <c r="AC1073" s="61" t="n">
        <f aca="false">VLOOKUP(AB1073,recipe_ingred_list!$K$2:$M$7,3,0)</f>
        <v>2</v>
      </c>
      <c r="AD1073" s="61" t="n">
        <f aca="false">M1073</f>
        <v>0</v>
      </c>
      <c r="AE1073" s="61" t="n">
        <f aca="false">N1073</f>
        <v>0</v>
      </c>
      <c r="AF1073" s="61" t="n">
        <f aca="false">VLOOKUP(AE1073,recipe_ingred_list!$K$16:$M$25,3,0)</f>
        <v>1</v>
      </c>
      <c r="AG1073" s="61" t="n">
        <f aca="false">O1073</f>
        <v>0</v>
      </c>
      <c r="AH1073" s="61" t="n">
        <f aca="false">P1073</f>
        <v>0</v>
      </c>
      <c r="AI1073" s="61" t="n">
        <f aca="false">VLOOKUP(AH1073,recipe_ingred_list!$K$29:$M$34,3,0)</f>
        <v>3</v>
      </c>
      <c r="AJ1073" s="61" t="str">
        <f aca="false">IF(Q1073="","",Q1073)</f>
        <v/>
      </c>
      <c r="AK1073" s="61" t="n">
        <f aca="false">AK1072+1</f>
        <v>1073</v>
      </c>
      <c r="AL1073" s="61" t="e">
        <f aca="false">Y1073</f>
        <v>#N/A</v>
      </c>
      <c r="AM1073" s="81" t="e">
        <f aca="false">"a = Client().post('"&amp;W1073&amp;"', {'recipe' : '"&amp;V1073&amp;"', 'ingredient' : '"&amp;Z1073&amp;"', 'name' : '"&amp;X1073&amp;"', 'mass_unit' : '"&amp;AC1073&amp;"', 'mass_quantity' : '"&amp;ROUND(AA1073,3)&amp;"', 'volume_unit' : '"&amp;AF1073&amp;"', 'volume_quantity' : '"&amp;ROUND(AD1073,3)&amp;"', 'pieces_unit' : '"&amp;AI1073&amp;"', 'pieces_quantity' : '"&amp;ROUND(AG1073,3)&amp;"', 'cooking_notes' : '"&amp;AJ1073&amp;"'}).status_code; print('%s :: %s :: %s :: %s :: %s' %(a,"&amp;G1073&amp;",'"&amp;X1073&amp;"','"&amp;Y1073&amp;"','"&amp;U1073&amp;"'))"</f>
        <v>#N/A</v>
      </c>
    </row>
    <row r="1074" customFormat="false" ht="13.8" hidden="false" customHeight="false" outlineLevel="0" collapsed="false">
      <c r="G1074" s="80" t="n">
        <v>1074</v>
      </c>
      <c r="H1074" s="83"/>
      <c r="I1074" s="83" t="s">
        <v>151</v>
      </c>
      <c r="J1074" s="83" t="s">
        <v>867</v>
      </c>
      <c r="O1074" s="61" t="n">
        <v>12</v>
      </c>
      <c r="P1074" s="61" t="s">
        <v>107</v>
      </c>
      <c r="R1074" s="82" t="str">
        <f aca="false">VLOOKUP(J1074,ingredient!$N$4:$O$553,2,0)</f>
        <v>coconut</v>
      </c>
      <c r="U1074" s="81" t="str">
        <f aca="false">I1074</f>
        <v>Coconut Chutney</v>
      </c>
      <c r="V1074" s="81" t="n">
        <f aca="false">VLOOKUP(U1074,recipe_ingred_list!$A$2:$B$300,2,0)</f>
        <v>14</v>
      </c>
      <c r="W1074" s="81" t="str">
        <f aca="false">"/recipes/"&amp;VLOOKUP(U1074,recipe_ingred_list!$A$2:$C$300,3,0)&amp;"/detail/"</f>
        <v>/recipes/coconut-chutney/detail/</v>
      </c>
      <c r="X1074" s="81" t="str">
        <f aca="false">J1074</f>
        <v>COCONUT</v>
      </c>
      <c r="Y1074" s="81" t="str">
        <f aca="false">R1074</f>
        <v>coconut</v>
      </c>
      <c r="Z1074" s="94" t="n">
        <f aca="false">VLOOKUP(Y1074,recipe_ingred_list!$D$2:$E$500,2,0)</f>
        <v>54</v>
      </c>
      <c r="AA1074" s="61" t="n">
        <f aca="false">K1074</f>
        <v>0</v>
      </c>
      <c r="AB1074" s="61" t="n">
        <f aca="false">L1074</f>
        <v>0</v>
      </c>
      <c r="AC1074" s="61" t="n">
        <f aca="false">VLOOKUP(AB1074,recipe_ingred_list!$K$2:$M$7,3,0)</f>
        <v>2</v>
      </c>
      <c r="AD1074" s="61" t="n">
        <f aca="false">M1074</f>
        <v>0</v>
      </c>
      <c r="AE1074" s="61" t="n">
        <f aca="false">N1074</f>
        <v>0</v>
      </c>
      <c r="AF1074" s="61" t="n">
        <f aca="false">VLOOKUP(AE1074,recipe_ingred_list!$K$16:$M$25,3,0)</f>
        <v>1</v>
      </c>
      <c r="AG1074" s="61" t="n">
        <f aca="false">O1074</f>
        <v>12</v>
      </c>
      <c r="AH1074" s="61" t="str">
        <f aca="false">P1074</f>
        <v>pcs</v>
      </c>
      <c r="AI1074" s="61" t="n">
        <f aca="false">VLOOKUP(AH1074,recipe_ingred_list!$K$29:$M$34,3,0)</f>
        <v>3</v>
      </c>
      <c r="AJ1074" s="61" t="str">
        <f aca="false">IF(Q1074="","",Q1074)</f>
        <v/>
      </c>
      <c r="AK1074" s="61" t="n">
        <f aca="false">AK1073+1</f>
        <v>1074</v>
      </c>
      <c r="AL1074" s="61" t="str">
        <f aca="false">Y1074</f>
        <v>coconut</v>
      </c>
      <c r="AM1074" s="81" t="str">
        <f aca="false">"a = Client().post('"&amp;W1074&amp;"', {'recipe' : '"&amp;V1074&amp;"', 'ingredient' : '"&amp;Z1074&amp;"', 'name' : '"&amp;X1074&amp;"', 'mass_unit' : '"&amp;AC1074&amp;"', 'mass_quantity' : '"&amp;ROUND(AA1074,3)&amp;"', 'volume_unit' : '"&amp;AF1074&amp;"', 'volume_quantity' : '"&amp;ROUND(AD1074,3)&amp;"', 'pieces_unit' : '"&amp;AI1074&amp;"', 'pieces_quantity' : '"&amp;ROUND(AG1074,3)&amp;"', 'cooking_notes' : '"&amp;AJ1074&amp;"'}).status_code; print('%s :: %s :: %s :: %s :: %s' %(a,"&amp;G1074&amp;",'"&amp;X1074&amp;"','"&amp;Y1074&amp;"','"&amp;U1074&amp;"'))"</f>
        <v>a = Client().post('/recipes/coconut-chutney/detail/', {'recipe' : '14', 'ingredient' : '54', 'name' : 'COCONUT', 'mass_unit' : '2', 'mass_quantity' : '0', 'volume_unit' : '1', 'volume_quantity' : '0', 'pieces_unit' : '3', 'pieces_quantity' : '12', 'cooking_notes' : ''}).status_code; print('%s :: %s :: %s :: %s :: %s' %(a,1074,'COCONUT','coconut','Coconut Chutney'))</v>
      </c>
    </row>
    <row r="1075" customFormat="false" ht="13.8" hidden="false" customHeight="false" outlineLevel="0" collapsed="false">
      <c r="G1075" s="80" t="n">
        <v>1075</v>
      </c>
      <c r="H1075" s="83"/>
      <c r="I1075" s="83" t="s">
        <v>151</v>
      </c>
      <c r="J1075" s="83" t="s">
        <v>868</v>
      </c>
      <c r="M1075" s="61" t="n">
        <v>0.3</v>
      </c>
      <c r="N1075" s="61" t="s">
        <v>13</v>
      </c>
      <c r="R1075" s="82" t="str">
        <f aca="false">VLOOKUP(J1075,ingredient!$N$4:$O$553,2,0)</f>
        <v>hari mirchi</v>
      </c>
      <c r="U1075" s="81" t="str">
        <f aca="false">I1075</f>
        <v>Coconut Chutney</v>
      </c>
      <c r="V1075" s="81" t="n">
        <f aca="false">VLOOKUP(U1075,recipe_ingred_list!$A$2:$B$300,2,0)</f>
        <v>14</v>
      </c>
      <c r="W1075" s="81" t="str">
        <f aca="false">"/recipes/"&amp;VLOOKUP(U1075,recipe_ingred_list!$A$2:$C$300,3,0)&amp;"/detail/"</f>
        <v>/recipes/coconut-chutney/detail/</v>
      </c>
      <c r="X1075" s="81" t="str">
        <f aca="false">J1075</f>
        <v>green chili</v>
      </c>
      <c r="Y1075" s="81" t="str">
        <f aca="false">R1075</f>
        <v>hari mirchi</v>
      </c>
      <c r="Z1075" s="94" t="n">
        <f aca="false">VLOOKUP(Y1075,recipe_ingred_list!$D$2:$E$500,2,0)</f>
        <v>93</v>
      </c>
      <c r="AA1075" s="61" t="n">
        <f aca="false">K1075</f>
        <v>0</v>
      </c>
      <c r="AB1075" s="61" t="n">
        <f aca="false">L1075</f>
        <v>0</v>
      </c>
      <c r="AC1075" s="61" t="n">
        <f aca="false">VLOOKUP(AB1075,recipe_ingred_list!$K$2:$M$7,3,0)</f>
        <v>2</v>
      </c>
      <c r="AD1075" s="61" t="n">
        <f aca="false">M1075</f>
        <v>0.3</v>
      </c>
      <c r="AE1075" s="61" t="str">
        <f aca="false">N1075</f>
        <v>ltr</v>
      </c>
      <c r="AF1075" s="61" t="n">
        <f aca="false">VLOOKUP(AE1075,recipe_ingred_list!$K$16:$M$25,3,0)</f>
        <v>1</v>
      </c>
      <c r="AG1075" s="61" t="n">
        <f aca="false">O1075</f>
        <v>0</v>
      </c>
      <c r="AH1075" s="61" t="n">
        <f aca="false">P1075</f>
        <v>0</v>
      </c>
      <c r="AI1075" s="61" t="n">
        <f aca="false">VLOOKUP(AH1075,recipe_ingred_list!$K$29:$M$34,3,0)</f>
        <v>3</v>
      </c>
      <c r="AJ1075" s="61" t="str">
        <f aca="false">IF(Q1075="","",Q1075)</f>
        <v/>
      </c>
      <c r="AK1075" s="61" t="n">
        <f aca="false">AK1074+1</f>
        <v>1075</v>
      </c>
      <c r="AL1075" s="61" t="str">
        <f aca="false">Y1075</f>
        <v>hari mirchi</v>
      </c>
      <c r="AM1075" s="81" t="str">
        <f aca="false">"a = Client().post('"&amp;W1075&amp;"', {'recipe' : '"&amp;V1075&amp;"', 'ingredient' : '"&amp;Z1075&amp;"', 'name' : '"&amp;X1075&amp;"', 'mass_unit' : '"&amp;AC1075&amp;"', 'mass_quantity' : '"&amp;ROUND(AA1075,3)&amp;"', 'volume_unit' : '"&amp;AF1075&amp;"', 'volume_quantity' : '"&amp;ROUND(AD1075,3)&amp;"', 'pieces_unit' : '"&amp;AI1075&amp;"', 'pieces_quantity' : '"&amp;ROUND(AG1075,3)&amp;"', 'cooking_notes' : '"&amp;AJ1075&amp;"'}).status_code; print('%s :: %s :: %s :: %s :: %s' %(a,"&amp;G1075&amp;",'"&amp;X1075&amp;"','"&amp;Y1075&amp;"','"&amp;U1075&amp;"'))"</f>
        <v>a = Client().post('/recipes/coconut-chutney/detail/', {'recipe' : '14', 'ingredient' : '93', 'name' : 'green chili', 'mass_unit' : '2', 'mass_quantity' : '0', 'volume_unit' : '1', 'volume_quantity' : '0.3', 'pieces_unit' : '3', 'pieces_quantity' : '0', 'cooking_notes' : ''}).status_code; print('%s :: %s :: %s :: %s :: %s' %(a,1075,'green chili','hari mirchi','Coconut Chutney'))</v>
      </c>
    </row>
    <row r="1076" customFormat="false" ht="13.8" hidden="false" customHeight="false" outlineLevel="0" collapsed="false">
      <c r="G1076" s="80" t="n">
        <v>1076</v>
      </c>
      <c r="H1076" s="83"/>
      <c r="I1076" s="83" t="s">
        <v>151</v>
      </c>
      <c r="J1076" s="83" t="s">
        <v>309</v>
      </c>
      <c r="M1076" s="61" t="n">
        <v>1</v>
      </c>
      <c r="N1076" s="61" t="s">
        <v>13</v>
      </c>
      <c r="R1076" s="82" t="str">
        <f aca="false">VLOOKUP(J1076,ingredient!$N$4:$O$553,2,0)</f>
        <v>dhaniya patta</v>
      </c>
      <c r="U1076" s="81" t="str">
        <f aca="false">I1076</f>
        <v>Coconut Chutney</v>
      </c>
      <c r="V1076" s="81" t="n">
        <f aca="false">VLOOKUP(U1076,recipe_ingred_list!$A$2:$B$300,2,0)</f>
        <v>14</v>
      </c>
      <c r="W1076" s="81" t="str">
        <f aca="false">"/recipes/"&amp;VLOOKUP(U1076,recipe_ingred_list!$A$2:$C$300,3,0)&amp;"/detail/"</f>
        <v>/recipes/coconut-chutney/detail/</v>
      </c>
      <c r="X1076" s="81" t="str">
        <f aca="false">J1076</f>
        <v>dhaniya patta</v>
      </c>
      <c r="Y1076" s="81" t="str">
        <f aca="false">R1076</f>
        <v>dhaniya patta</v>
      </c>
      <c r="Z1076" s="94" t="n">
        <f aca="false">VLOOKUP(Y1076,recipe_ingred_list!$D$2:$E$500,2,0)</f>
        <v>66</v>
      </c>
      <c r="AA1076" s="61" t="n">
        <f aca="false">K1076</f>
        <v>0</v>
      </c>
      <c r="AB1076" s="61" t="n">
        <f aca="false">L1076</f>
        <v>0</v>
      </c>
      <c r="AC1076" s="61" t="n">
        <f aca="false">VLOOKUP(AB1076,recipe_ingred_list!$K$2:$M$7,3,0)</f>
        <v>2</v>
      </c>
      <c r="AD1076" s="61" t="n">
        <f aca="false">M1076</f>
        <v>1</v>
      </c>
      <c r="AE1076" s="61" t="str">
        <f aca="false">N1076</f>
        <v>ltr</v>
      </c>
      <c r="AF1076" s="61" t="n">
        <f aca="false">VLOOKUP(AE1076,recipe_ingred_list!$K$16:$M$25,3,0)</f>
        <v>1</v>
      </c>
      <c r="AG1076" s="61" t="n">
        <f aca="false">O1076</f>
        <v>0</v>
      </c>
      <c r="AH1076" s="61" t="n">
        <f aca="false">P1076</f>
        <v>0</v>
      </c>
      <c r="AI1076" s="61" t="n">
        <f aca="false">VLOOKUP(AH1076,recipe_ingred_list!$K$29:$M$34,3,0)</f>
        <v>3</v>
      </c>
      <c r="AJ1076" s="61" t="str">
        <f aca="false">IF(Q1076="","",Q1076)</f>
        <v/>
      </c>
      <c r="AK1076" s="61" t="n">
        <f aca="false">AK1075+1</f>
        <v>1076</v>
      </c>
      <c r="AL1076" s="61" t="str">
        <f aca="false">Y1076</f>
        <v>dhaniya patta</v>
      </c>
      <c r="AM1076" s="81" t="str">
        <f aca="false">"a = Client().post('"&amp;W1076&amp;"', {'recipe' : '"&amp;V1076&amp;"', 'ingredient' : '"&amp;Z1076&amp;"', 'name' : '"&amp;X1076&amp;"', 'mass_unit' : '"&amp;AC1076&amp;"', 'mass_quantity' : '"&amp;ROUND(AA1076,3)&amp;"', 'volume_unit' : '"&amp;AF1076&amp;"', 'volume_quantity' : '"&amp;ROUND(AD1076,3)&amp;"', 'pieces_unit' : '"&amp;AI1076&amp;"', 'pieces_quantity' : '"&amp;ROUND(AG1076,3)&amp;"', 'cooking_notes' : '"&amp;AJ1076&amp;"'}).status_code; print('%s :: %s :: %s :: %s :: %s' %(a,"&amp;G1076&amp;",'"&amp;X1076&amp;"','"&amp;Y1076&amp;"','"&amp;U1076&amp;"'))"</f>
        <v>a = Client().post('/recipes/coconut-chutney/detail/', {'recipe' : '14', 'ingredient' : '66', 'name' : 'dhaniya patta', 'mass_unit' : '2', 'mass_quantity' : '0', 'volume_unit' : '1', 'volume_quantity' : '1', 'pieces_unit' : '3', 'pieces_quantity' : '0', 'cooking_notes' : ''}).status_code; print('%s :: %s :: %s :: %s :: %s' %(a,1076,'dhaniya patta','dhaniya patta','Coconut Chutney'))</v>
      </c>
    </row>
    <row r="1077" customFormat="false" ht="13.8" hidden="false" customHeight="false" outlineLevel="0" collapsed="false">
      <c r="G1077" s="80" t="n">
        <v>1077</v>
      </c>
      <c r="H1077" s="83"/>
      <c r="I1077" s="83" t="s">
        <v>151</v>
      </c>
      <c r="J1077" s="83" t="s">
        <v>297</v>
      </c>
      <c r="K1077" s="61" t="n">
        <v>1.5</v>
      </c>
      <c r="L1077" s="61" t="s">
        <v>7</v>
      </c>
      <c r="R1077" s="82" t="str">
        <f aca="false">VLOOKUP(J1077,ingredient!$N$4:$O$553,2,0)</f>
        <v>daliya</v>
      </c>
      <c r="U1077" s="81" t="str">
        <f aca="false">I1077</f>
        <v>Coconut Chutney</v>
      </c>
      <c r="V1077" s="81" t="n">
        <f aca="false">VLOOKUP(U1077,recipe_ingred_list!$A$2:$B$300,2,0)</f>
        <v>14</v>
      </c>
      <c r="W1077" s="81" t="str">
        <f aca="false">"/recipes/"&amp;VLOOKUP(U1077,recipe_ingred_list!$A$2:$C$300,3,0)&amp;"/detail/"</f>
        <v>/recipes/coconut-chutney/detail/</v>
      </c>
      <c r="X1077" s="81" t="str">
        <f aca="false">J1077</f>
        <v>daliya</v>
      </c>
      <c r="Y1077" s="81" t="str">
        <f aca="false">R1077</f>
        <v>daliya</v>
      </c>
      <c r="Z1077" s="94" t="n">
        <f aca="false">VLOOKUP(Y1077,recipe_ingred_list!$D$2:$E$500,2,0)</f>
        <v>62</v>
      </c>
      <c r="AA1077" s="61" t="n">
        <f aca="false">K1077</f>
        <v>1.5</v>
      </c>
      <c r="AB1077" s="61" t="str">
        <f aca="false">L1077</f>
        <v>kg</v>
      </c>
      <c r="AC1077" s="61" t="n">
        <f aca="false">VLOOKUP(AB1077,recipe_ingred_list!$K$2:$M$7,3,0)</f>
        <v>2</v>
      </c>
      <c r="AD1077" s="61" t="n">
        <f aca="false">M1077</f>
        <v>0</v>
      </c>
      <c r="AE1077" s="61" t="n">
        <f aca="false">N1077</f>
        <v>0</v>
      </c>
      <c r="AF1077" s="61" t="n">
        <f aca="false">VLOOKUP(AE1077,recipe_ingred_list!$K$16:$M$25,3,0)</f>
        <v>1</v>
      </c>
      <c r="AG1077" s="61" t="n">
        <f aca="false">O1077</f>
        <v>0</v>
      </c>
      <c r="AH1077" s="61" t="n">
        <f aca="false">P1077</f>
        <v>0</v>
      </c>
      <c r="AI1077" s="61" t="n">
        <f aca="false">VLOOKUP(AH1077,recipe_ingred_list!$K$29:$M$34,3,0)</f>
        <v>3</v>
      </c>
      <c r="AJ1077" s="61" t="str">
        <f aca="false">IF(Q1077="","",Q1077)</f>
        <v/>
      </c>
      <c r="AK1077" s="61" t="n">
        <f aca="false">AK1076+1</f>
        <v>1077</v>
      </c>
      <c r="AL1077" s="61" t="str">
        <f aca="false">Y1077</f>
        <v>daliya</v>
      </c>
      <c r="AM1077" s="81" t="str">
        <f aca="false">"a = Client().post('"&amp;W1077&amp;"', {'recipe' : '"&amp;V1077&amp;"', 'ingredient' : '"&amp;Z1077&amp;"', 'name' : '"&amp;X1077&amp;"', 'mass_unit' : '"&amp;AC1077&amp;"', 'mass_quantity' : '"&amp;ROUND(AA1077,3)&amp;"', 'volume_unit' : '"&amp;AF1077&amp;"', 'volume_quantity' : '"&amp;ROUND(AD1077,3)&amp;"', 'pieces_unit' : '"&amp;AI1077&amp;"', 'pieces_quantity' : '"&amp;ROUND(AG1077,3)&amp;"', 'cooking_notes' : '"&amp;AJ1077&amp;"'}).status_code; print('%s :: %s :: %s :: %s :: %s' %(a,"&amp;G1077&amp;",'"&amp;X1077&amp;"','"&amp;Y1077&amp;"','"&amp;U1077&amp;"'))"</f>
        <v>a = Client().post('/recipes/coconut-chutney/detail/', {'recipe' : '14', 'ingredient' : '62', 'name' : 'daliya', 'mass_unit' : '2', 'mass_quantity' : '1.5', 'volume_unit' : '1', 'volume_quantity' : '0', 'pieces_unit' : '3', 'pieces_quantity' : '0', 'cooking_notes' : ''}).status_code; print('%s :: %s :: %s :: %s :: %s' %(a,1077,'daliya','daliya','Coconut Chutney'))</v>
      </c>
    </row>
    <row r="1078" customFormat="false" ht="13.8" hidden="false" customHeight="false" outlineLevel="0" collapsed="false">
      <c r="G1078" s="80" t="n">
        <v>1078</v>
      </c>
      <c r="H1078" s="83"/>
      <c r="I1078" s="83" t="s">
        <v>151</v>
      </c>
      <c r="J1078" s="83" t="s">
        <v>96</v>
      </c>
      <c r="M1078" s="61" t="n">
        <v>0.75</v>
      </c>
      <c r="N1078" s="61" t="s">
        <v>20</v>
      </c>
      <c r="R1078" s="82" t="str">
        <f aca="false">VLOOKUP(J1078,ingredient!$N$4:$O$553,2,0)</f>
        <v>salt</v>
      </c>
      <c r="U1078" s="81" t="str">
        <f aca="false">I1078</f>
        <v>Coconut Chutney</v>
      </c>
      <c r="V1078" s="81" t="n">
        <f aca="false">VLOOKUP(U1078,recipe_ingred_list!$A$2:$B$300,2,0)</f>
        <v>14</v>
      </c>
      <c r="W1078" s="81" t="str">
        <f aca="false">"/recipes/"&amp;VLOOKUP(U1078,recipe_ingred_list!$A$2:$C$300,3,0)&amp;"/detail/"</f>
        <v>/recipes/coconut-chutney/detail/</v>
      </c>
      <c r="X1078" s="81" t="str">
        <f aca="false">J1078</f>
        <v>salt</v>
      </c>
      <c r="Y1078" s="81" t="str">
        <f aca="false">R1078</f>
        <v>salt</v>
      </c>
      <c r="Z1078" s="94" t="n">
        <f aca="false">VLOOKUP(Y1078,recipe_ingred_list!$D$2:$E$500,2,0)</f>
        <v>177</v>
      </c>
      <c r="AA1078" s="61" t="n">
        <f aca="false">K1078</f>
        <v>0</v>
      </c>
      <c r="AB1078" s="61" t="n">
        <f aca="false">L1078</f>
        <v>0</v>
      </c>
      <c r="AC1078" s="61" t="n">
        <f aca="false">VLOOKUP(AB1078,recipe_ingred_list!$K$2:$M$7,3,0)</f>
        <v>2</v>
      </c>
      <c r="AD1078" s="61" t="n">
        <f aca="false">M1078</f>
        <v>0.75</v>
      </c>
      <c r="AE1078" s="61" t="str">
        <f aca="false">N1078</f>
        <v>cup</v>
      </c>
      <c r="AF1078" s="61" t="n">
        <f aca="false">VLOOKUP(AE1078,recipe_ingred_list!$K$16:$M$25,3,0)</f>
        <v>5</v>
      </c>
      <c r="AG1078" s="61" t="n">
        <f aca="false">O1078</f>
        <v>0</v>
      </c>
      <c r="AH1078" s="61" t="n">
        <f aca="false">P1078</f>
        <v>0</v>
      </c>
      <c r="AI1078" s="61" t="n">
        <f aca="false">VLOOKUP(AH1078,recipe_ingred_list!$K$29:$M$34,3,0)</f>
        <v>3</v>
      </c>
      <c r="AJ1078" s="61" t="str">
        <f aca="false">IF(Q1078="","",Q1078)</f>
        <v/>
      </c>
      <c r="AK1078" s="61" t="n">
        <f aca="false">AK1077+1</f>
        <v>1078</v>
      </c>
      <c r="AL1078" s="61" t="str">
        <f aca="false">Y1078</f>
        <v>salt</v>
      </c>
      <c r="AM1078" s="81" t="str">
        <f aca="false">"a = Client().post('"&amp;W1078&amp;"', {'recipe' : '"&amp;V1078&amp;"', 'ingredient' : '"&amp;Z1078&amp;"', 'name' : '"&amp;X1078&amp;"', 'mass_unit' : '"&amp;AC1078&amp;"', 'mass_quantity' : '"&amp;ROUND(AA1078,3)&amp;"', 'volume_unit' : '"&amp;AF1078&amp;"', 'volume_quantity' : '"&amp;ROUND(AD1078,3)&amp;"', 'pieces_unit' : '"&amp;AI1078&amp;"', 'pieces_quantity' : '"&amp;ROUND(AG1078,3)&amp;"', 'cooking_notes' : '"&amp;AJ1078&amp;"'}).status_code; print('%s :: %s :: %s :: %s :: %s' %(a,"&amp;G1078&amp;",'"&amp;X1078&amp;"','"&amp;Y1078&amp;"','"&amp;U1078&amp;"'))"</f>
        <v>a = Client().post('/recipes/coconut-chutney/detail/', {'recipe' : '14', 'ingredient' : '177', 'name' : 'salt', 'mass_unit' : '2', 'mass_quantity' : '0', 'volume_unit' : '5', 'volume_quantity' : '0.75', 'pieces_unit' : '3', 'pieces_quantity' : '0', 'cooking_notes' : ''}).status_code; print('%s :: %s :: %s :: %s :: %s' %(a,1078,'salt','salt','Coconut Chutney'))</v>
      </c>
    </row>
    <row r="1079" customFormat="false" ht="13.8" hidden="false" customHeight="false" outlineLevel="0" collapsed="false">
      <c r="G1079" s="80" t="n">
        <v>1079</v>
      </c>
      <c r="H1079" s="83"/>
      <c r="I1079" s="83" t="s">
        <v>151</v>
      </c>
      <c r="J1079" s="83" t="s">
        <v>480</v>
      </c>
      <c r="K1079" s="61" t="n">
        <v>50</v>
      </c>
      <c r="L1079" s="61" t="s">
        <v>109</v>
      </c>
      <c r="R1079" s="82" t="str">
        <f aca="false">VLOOKUP(J1079,ingredient!$N$4:$O$553,2,0)</f>
        <v>tamrind</v>
      </c>
      <c r="U1079" s="81" t="str">
        <f aca="false">I1079</f>
        <v>Coconut Chutney</v>
      </c>
      <c r="V1079" s="81" t="n">
        <f aca="false">VLOOKUP(U1079,recipe_ingred_list!$A$2:$B$300,2,0)</f>
        <v>14</v>
      </c>
      <c r="W1079" s="81" t="str">
        <f aca="false">"/recipes/"&amp;VLOOKUP(U1079,recipe_ingred_list!$A$2:$C$300,3,0)&amp;"/detail/"</f>
        <v>/recipes/coconut-chutney/detail/</v>
      </c>
      <c r="X1079" s="81" t="str">
        <f aca="false">J1079</f>
        <v>tamrind</v>
      </c>
      <c r="Y1079" s="81" t="str">
        <f aca="false">R1079</f>
        <v>tamrind</v>
      </c>
      <c r="Z1079" s="94" t="n">
        <f aca="false">VLOOKUP(Y1079,recipe_ingred_list!$D$2:$E$500,2,0)</f>
        <v>190</v>
      </c>
      <c r="AA1079" s="61" t="n">
        <f aca="false">K1079</f>
        <v>50</v>
      </c>
      <c r="AB1079" s="61" t="str">
        <f aca="false">L1079</f>
        <v>gm</v>
      </c>
      <c r="AC1079" s="61" t="n">
        <f aca="false">VLOOKUP(AB1079,recipe_ingred_list!$K$2:$M$7,3,0)</f>
        <v>7</v>
      </c>
      <c r="AD1079" s="61" t="n">
        <f aca="false">M1079</f>
        <v>0</v>
      </c>
      <c r="AE1079" s="61" t="n">
        <f aca="false">N1079</f>
        <v>0</v>
      </c>
      <c r="AF1079" s="61" t="n">
        <f aca="false">VLOOKUP(AE1079,recipe_ingred_list!$K$16:$M$25,3,0)</f>
        <v>1</v>
      </c>
      <c r="AG1079" s="61" t="n">
        <f aca="false">O1079</f>
        <v>0</v>
      </c>
      <c r="AH1079" s="61" t="n">
        <f aca="false">P1079</f>
        <v>0</v>
      </c>
      <c r="AI1079" s="61" t="n">
        <f aca="false">VLOOKUP(AH1079,recipe_ingred_list!$K$29:$M$34,3,0)</f>
        <v>3</v>
      </c>
      <c r="AJ1079" s="61" t="str">
        <f aca="false">IF(Q1079="","",Q1079)</f>
        <v/>
      </c>
      <c r="AK1079" s="61" t="n">
        <f aca="false">AK1078+1</f>
        <v>1079</v>
      </c>
      <c r="AL1079" s="61" t="str">
        <f aca="false">Y1079</f>
        <v>tamrind</v>
      </c>
      <c r="AM1079" s="81" t="str">
        <f aca="false">"a = Client().post('"&amp;W1079&amp;"', {'recipe' : '"&amp;V1079&amp;"', 'ingredient' : '"&amp;Z1079&amp;"', 'name' : '"&amp;X1079&amp;"', 'mass_unit' : '"&amp;AC1079&amp;"', 'mass_quantity' : '"&amp;ROUND(AA1079,3)&amp;"', 'volume_unit' : '"&amp;AF1079&amp;"', 'volume_quantity' : '"&amp;ROUND(AD1079,3)&amp;"', 'pieces_unit' : '"&amp;AI1079&amp;"', 'pieces_quantity' : '"&amp;ROUND(AG1079,3)&amp;"', 'cooking_notes' : '"&amp;AJ1079&amp;"'}).status_code; print('%s :: %s :: %s :: %s :: %s' %(a,"&amp;G1079&amp;",'"&amp;X1079&amp;"','"&amp;Y1079&amp;"','"&amp;U1079&amp;"'))"</f>
        <v>a = Client().post('/recipes/coconut-chutney/detail/', {'recipe' : '14', 'ingredient' : '190', 'name' : 'tamrind', 'mass_unit' : '7', 'mass_quantity' : '50', 'volume_unit' : '1', 'volume_quantity' : '0', 'pieces_unit' : '3', 'pieces_quantity' : '0', 'cooking_notes' : ''}).status_code; print('%s :: %s :: %s :: %s :: %s' %(a,1079,'tamrind','tamrind','Coconut Chutney'))</v>
      </c>
    </row>
    <row r="1080" customFormat="false" ht="13.8" hidden="false" customHeight="false" outlineLevel="0" collapsed="false">
      <c r="G1080" s="80" t="n">
        <v>1080</v>
      </c>
      <c r="H1080" s="83"/>
      <c r="I1080" s="83" t="s">
        <v>151</v>
      </c>
      <c r="J1080" s="83" t="s">
        <v>276</v>
      </c>
      <c r="M1080" s="61" t="n">
        <v>200</v>
      </c>
      <c r="N1080" s="61" t="s">
        <v>143</v>
      </c>
      <c r="R1080" s="82" t="str">
        <f aca="false">VLOOKUP(J1080,ingredient!$N$4:$O$553,2,0)</f>
        <v>coconut oil</v>
      </c>
      <c r="U1080" s="81" t="str">
        <f aca="false">I1080</f>
        <v>Coconut Chutney</v>
      </c>
      <c r="V1080" s="81" t="n">
        <f aca="false">VLOOKUP(U1080,recipe_ingred_list!$A$2:$B$300,2,0)</f>
        <v>14</v>
      </c>
      <c r="W1080" s="81" t="str">
        <f aca="false">"/recipes/"&amp;VLOOKUP(U1080,recipe_ingred_list!$A$2:$C$300,3,0)&amp;"/detail/"</f>
        <v>/recipes/coconut-chutney/detail/</v>
      </c>
      <c r="X1080" s="81" t="str">
        <f aca="false">J1080</f>
        <v>coconut oil</v>
      </c>
      <c r="Y1080" s="81" t="str">
        <f aca="false">R1080</f>
        <v>coconut oil</v>
      </c>
      <c r="Z1080" s="94" t="n">
        <f aca="false">VLOOKUP(Y1080,recipe_ingred_list!$D$2:$E$500,2,0)</f>
        <v>55</v>
      </c>
      <c r="AA1080" s="61" t="n">
        <f aca="false">K1080</f>
        <v>0</v>
      </c>
      <c r="AB1080" s="61" t="n">
        <f aca="false">L1080</f>
        <v>0</v>
      </c>
      <c r="AC1080" s="61" t="n">
        <f aca="false">VLOOKUP(AB1080,recipe_ingred_list!$K$2:$M$7,3,0)</f>
        <v>2</v>
      </c>
      <c r="AD1080" s="61" t="n">
        <f aca="false">M1080</f>
        <v>200</v>
      </c>
      <c r="AE1080" s="61" t="str">
        <f aca="false">N1080</f>
        <v>ml</v>
      </c>
      <c r="AF1080" s="61" t="n">
        <f aca="false">VLOOKUP(AE1080,recipe_ingred_list!$K$16:$M$25,3,0)</f>
        <v>12</v>
      </c>
      <c r="AG1080" s="61" t="n">
        <f aca="false">O1080</f>
        <v>0</v>
      </c>
      <c r="AH1080" s="61" t="n">
        <f aca="false">P1080</f>
        <v>0</v>
      </c>
      <c r="AI1080" s="61" t="n">
        <f aca="false">VLOOKUP(AH1080,recipe_ingred_list!$K$29:$M$34,3,0)</f>
        <v>3</v>
      </c>
      <c r="AJ1080" s="61" t="str">
        <f aca="false">IF(Q1080="","",Q1080)</f>
        <v/>
      </c>
      <c r="AK1080" s="61" t="n">
        <f aca="false">AK1079+1</f>
        <v>1080</v>
      </c>
      <c r="AL1080" s="61" t="str">
        <f aca="false">Y1080</f>
        <v>coconut oil</v>
      </c>
      <c r="AM1080" s="81" t="str">
        <f aca="false">"a = Client().post('"&amp;W1080&amp;"', {'recipe' : '"&amp;V1080&amp;"', 'ingredient' : '"&amp;Z1080&amp;"', 'name' : '"&amp;X1080&amp;"', 'mass_unit' : '"&amp;AC1080&amp;"', 'mass_quantity' : '"&amp;ROUND(AA1080,3)&amp;"', 'volume_unit' : '"&amp;AF1080&amp;"', 'volume_quantity' : '"&amp;ROUND(AD1080,3)&amp;"', 'pieces_unit' : '"&amp;AI1080&amp;"', 'pieces_quantity' : '"&amp;ROUND(AG1080,3)&amp;"', 'cooking_notes' : '"&amp;AJ1080&amp;"'}).status_code; print('%s :: %s :: %s :: %s :: %s' %(a,"&amp;G1080&amp;",'"&amp;X1080&amp;"','"&amp;Y1080&amp;"','"&amp;U1080&amp;"'))"</f>
        <v>a = Client().post('/recipes/coconut-chutney/detail/', {'recipe' : '14', 'ingredient' : '55', 'name' : 'coconut oil', 'mass_unit' : '2', 'mass_quantity' : '0', 'volume_unit' : '12', 'volume_quantity' : '200', 'pieces_unit' : '3', 'pieces_quantity' : '0', 'cooking_notes' : ''}).status_code; print('%s :: %s :: %s :: %s :: %s' %(a,1080,'coconut oil','coconut oil','Coconut Chutney'))</v>
      </c>
    </row>
    <row r="1081" customFormat="false" ht="13.8" hidden="false" customHeight="false" outlineLevel="0" collapsed="false">
      <c r="G1081" s="80" t="n">
        <v>1081</v>
      </c>
      <c r="H1081" s="83"/>
      <c r="I1081" s="83" t="s">
        <v>151</v>
      </c>
      <c r="J1081" s="83" t="s">
        <v>249</v>
      </c>
      <c r="M1081" s="61" t="n">
        <v>0.7</v>
      </c>
      <c r="N1081" s="61" t="s">
        <v>20</v>
      </c>
      <c r="R1081" s="82" t="str">
        <f aca="false">VLOOKUP(J1081,ingredient!$N$4:$O$553,2,0)</f>
        <v>chana dal</v>
      </c>
      <c r="U1081" s="81" t="str">
        <f aca="false">I1081</f>
        <v>Coconut Chutney</v>
      </c>
      <c r="V1081" s="81" t="n">
        <f aca="false">VLOOKUP(U1081,recipe_ingred_list!$A$2:$B$300,2,0)</f>
        <v>14</v>
      </c>
      <c r="W1081" s="81" t="str">
        <f aca="false">"/recipes/"&amp;VLOOKUP(U1081,recipe_ingred_list!$A$2:$C$300,3,0)&amp;"/detail/"</f>
        <v>/recipes/coconut-chutney/detail/</v>
      </c>
      <c r="X1081" s="81" t="str">
        <f aca="false">J1081</f>
        <v>chana dal</v>
      </c>
      <c r="Y1081" s="81" t="str">
        <f aca="false">R1081</f>
        <v>chana dal</v>
      </c>
      <c r="Z1081" s="94" t="n">
        <f aca="false">VLOOKUP(Y1081,recipe_ingred_list!$D$2:$E$500,2,0)</f>
        <v>46</v>
      </c>
      <c r="AA1081" s="61" t="n">
        <f aca="false">K1081</f>
        <v>0</v>
      </c>
      <c r="AB1081" s="61" t="n">
        <f aca="false">L1081</f>
        <v>0</v>
      </c>
      <c r="AC1081" s="61" t="n">
        <f aca="false">VLOOKUP(AB1081,recipe_ingred_list!$K$2:$M$7,3,0)</f>
        <v>2</v>
      </c>
      <c r="AD1081" s="61" t="n">
        <f aca="false">M1081</f>
        <v>0.7</v>
      </c>
      <c r="AE1081" s="61" t="str">
        <f aca="false">N1081</f>
        <v>cup</v>
      </c>
      <c r="AF1081" s="61" t="n">
        <f aca="false">VLOOKUP(AE1081,recipe_ingred_list!$K$16:$M$25,3,0)</f>
        <v>5</v>
      </c>
      <c r="AG1081" s="61" t="n">
        <f aca="false">O1081</f>
        <v>0</v>
      </c>
      <c r="AH1081" s="61" t="n">
        <f aca="false">P1081</f>
        <v>0</v>
      </c>
      <c r="AI1081" s="61" t="n">
        <f aca="false">VLOOKUP(AH1081,recipe_ingred_list!$K$29:$M$34,3,0)</f>
        <v>3</v>
      </c>
      <c r="AJ1081" s="61" t="str">
        <f aca="false">IF(Q1081="","",Q1081)</f>
        <v/>
      </c>
      <c r="AK1081" s="61" t="n">
        <f aca="false">AK1080+1</f>
        <v>1081</v>
      </c>
      <c r="AL1081" s="61" t="str">
        <f aca="false">Y1081</f>
        <v>chana dal</v>
      </c>
      <c r="AM1081" s="81" t="str">
        <f aca="false">"a = Client().post('"&amp;W1081&amp;"', {'recipe' : '"&amp;V1081&amp;"', 'ingredient' : '"&amp;Z1081&amp;"', 'name' : '"&amp;X1081&amp;"', 'mass_unit' : '"&amp;AC1081&amp;"', 'mass_quantity' : '"&amp;ROUND(AA1081,3)&amp;"', 'volume_unit' : '"&amp;AF1081&amp;"', 'volume_quantity' : '"&amp;ROUND(AD1081,3)&amp;"', 'pieces_unit' : '"&amp;AI1081&amp;"', 'pieces_quantity' : '"&amp;ROUND(AG1081,3)&amp;"', 'cooking_notes' : '"&amp;AJ1081&amp;"'}).status_code; print('%s :: %s :: %s :: %s :: %s' %(a,"&amp;G1081&amp;",'"&amp;X1081&amp;"','"&amp;Y1081&amp;"','"&amp;U1081&amp;"'))"</f>
        <v>a = Client().post('/recipes/coconut-chutney/detail/', {'recipe' : '14', 'ingredient' : '46', 'name' : 'chana dal', 'mass_unit' : '2', 'mass_quantity' : '0', 'volume_unit' : '5', 'volume_quantity' : '0.7', 'pieces_unit' : '3', 'pieces_quantity' : '0', 'cooking_notes' : ''}).status_code; print('%s :: %s :: %s :: %s :: %s' %(a,1081,'chana dal','chana dal','Coconut Chutney'))</v>
      </c>
    </row>
    <row r="1082" customFormat="false" ht="13.8" hidden="false" customHeight="false" outlineLevel="0" collapsed="false">
      <c r="G1082" s="80" t="n">
        <v>1082</v>
      </c>
      <c r="H1082" s="83"/>
      <c r="I1082" s="83" t="s">
        <v>151</v>
      </c>
      <c r="J1082" s="83" t="s">
        <v>489</v>
      </c>
      <c r="M1082" s="61" t="n">
        <v>0.7</v>
      </c>
      <c r="N1082" s="61" t="s">
        <v>20</v>
      </c>
      <c r="R1082" s="82" t="str">
        <f aca="false">VLOOKUP(J1082,ingredient!$N$4:$O$553,2,0)</f>
        <v>urad dal</v>
      </c>
      <c r="U1082" s="81" t="str">
        <f aca="false">I1082</f>
        <v>Coconut Chutney</v>
      </c>
      <c r="V1082" s="81" t="n">
        <f aca="false">VLOOKUP(U1082,recipe_ingred_list!$A$2:$B$300,2,0)</f>
        <v>14</v>
      </c>
      <c r="W1082" s="81" t="str">
        <f aca="false">"/recipes/"&amp;VLOOKUP(U1082,recipe_ingred_list!$A$2:$C$300,3,0)&amp;"/detail/"</f>
        <v>/recipes/coconut-chutney/detail/</v>
      </c>
      <c r="X1082" s="81" t="str">
        <f aca="false">J1082</f>
        <v>urad dal</v>
      </c>
      <c r="Y1082" s="81" t="str">
        <f aca="false">R1082</f>
        <v>urad dal</v>
      </c>
      <c r="Z1082" s="94" t="n">
        <f aca="false">VLOOKUP(Y1082,recipe_ingred_list!$D$2:$E$500,2,0)</f>
        <v>200</v>
      </c>
      <c r="AA1082" s="61" t="n">
        <f aca="false">K1082</f>
        <v>0</v>
      </c>
      <c r="AB1082" s="61" t="n">
        <f aca="false">L1082</f>
        <v>0</v>
      </c>
      <c r="AC1082" s="61" t="n">
        <f aca="false">VLOOKUP(AB1082,recipe_ingred_list!$K$2:$M$7,3,0)</f>
        <v>2</v>
      </c>
      <c r="AD1082" s="61" t="n">
        <f aca="false">M1082</f>
        <v>0.7</v>
      </c>
      <c r="AE1082" s="61" t="str">
        <f aca="false">N1082</f>
        <v>cup</v>
      </c>
      <c r="AF1082" s="61" t="n">
        <f aca="false">VLOOKUP(AE1082,recipe_ingred_list!$K$16:$M$25,3,0)</f>
        <v>5</v>
      </c>
      <c r="AG1082" s="61" t="n">
        <f aca="false">O1082</f>
        <v>0</v>
      </c>
      <c r="AH1082" s="61" t="n">
        <f aca="false">P1082</f>
        <v>0</v>
      </c>
      <c r="AI1082" s="61" t="n">
        <f aca="false">VLOOKUP(AH1082,recipe_ingred_list!$K$29:$M$34,3,0)</f>
        <v>3</v>
      </c>
      <c r="AJ1082" s="61" t="str">
        <f aca="false">IF(Q1082="","",Q1082)</f>
        <v/>
      </c>
      <c r="AK1082" s="61" t="n">
        <f aca="false">AK1081+1</f>
        <v>1082</v>
      </c>
      <c r="AL1082" s="61" t="str">
        <f aca="false">Y1082</f>
        <v>urad dal</v>
      </c>
      <c r="AM1082" s="81" t="str">
        <f aca="false">"a = Client().post('"&amp;W1082&amp;"', {'recipe' : '"&amp;V1082&amp;"', 'ingredient' : '"&amp;Z1082&amp;"', 'name' : '"&amp;X1082&amp;"', 'mass_unit' : '"&amp;AC1082&amp;"', 'mass_quantity' : '"&amp;ROUND(AA1082,3)&amp;"', 'volume_unit' : '"&amp;AF1082&amp;"', 'volume_quantity' : '"&amp;ROUND(AD1082,3)&amp;"', 'pieces_unit' : '"&amp;AI1082&amp;"', 'pieces_quantity' : '"&amp;ROUND(AG1082,3)&amp;"', 'cooking_notes' : '"&amp;AJ1082&amp;"'}).status_code; print('%s :: %s :: %s :: %s :: %s' %(a,"&amp;G1082&amp;",'"&amp;X1082&amp;"','"&amp;Y1082&amp;"','"&amp;U1082&amp;"'))"</f>
        <v>a = Client().post('/recipes/coconut-chutney/detail/', {'recipe' : '14', 'ingredient' : '200', 'name' : 'urad dal', 'mass_unit' : '2', 'mass_quantity' : '0', 'volume_unit' : '5', 'volume_quantity' : '0.7', 'pieces_unit' : '3', 'pieces_quantity' : '0', 'cooking_notes' : ''}).status_code; print('%s :: %s :: %s :: %s :: %s' %(a,1082,'urad dal','urad dal','Coconut Chutney'))</v>
      </c>
    </row>
    <row r="1083" customFormat="false" ht="13.8" hidden="false" customHeight="false" outlineLevel="0" collapsed="false">
      <c r="G1083" s="80" t="n">
        <v>1083</v>
      </c>
      <c r="H1083" s="83"/>
      <c r="I1083" s="83" t="s">
        <v>151</v>
      </c>
      <c r="J1083" s="83" t="s">
        <v>428</v>
      </c>
      <c r="M1083" s="61" t="n">
        <v>1</v>
      </c>
      <c r="N1083" s="61" t="s">
        <v>20</v>
      </c>
      <c r="R1083" s="82" t="str">
        <f aca="false">VLOOKUP(J1083,ingredient!$N$4:$O$553,2,0)</f>
        <v>madrasi mirchi akkaha</v>
      </c>
      <c r="U1083" s="81" t="str">
        <f aca="false">I1083</f>
        <v>Coconut Chutney</v>
      </c>
      <c r="V1083" s="81" t="n">
        <f aca="false">VLOOKUP(U1083,recipe_ingred_list!$A$2:$B$300,2,0)</f>
        <v>14</v>
      </c>
      <c r="W1083" s="81" t="str">
        <f aca="false">"/recipes/"&amp;VLOOKUP(U1083,recipe_ingred_list!$A$2:$C$300,3,0)&amp;"/detail/"</f>
        <v>/recipes/coconut-chutney/detail/</v>
      </c>
      <c r="X1083" s="81" t="str">
        <f aca="false">J1083</f>
        <v>madrasi mirchi akkaha</v>
      </c>
      <c r="Y1083" s="81" t="str">
        <f aca="false">R1083</f>
        <v>madrasi mirchi akkaha</v>
      </c>
      <c r="Z1083" s="94" t="n">
        <f aca="false">VLOOKUP(Y1083,recipe_ingred_list!$D$2:$E$500,2,0)</f>
        <v>134</v>
      </c>
      <c r="AA1083" s="61" t="n">
        <f aca="false">K1083</f>
        <v>0</v>
      </c>
      <c r="AB1083" s="61" t="n">
        <f aca="false">L1083</f>
        <v>0</v>
      </c>
      <c r="AC1083" s="61" t="n">
        <f aca="false">VLOOKUP(AB1083,recipe_ingred_list!$K$2:$M$7,3,0)</f>
        <v>2</v>
      </c>
      <c r="AD1083" s="61" t="n">
        <f aca="false">M1083</f>
        <v>1</v>
      </c>
      <c r="AE1083" s="61" t="str">
        <f aca="false">N1083</f>
        <v>cup</v>
      </c>
      <c r="AF1083" s="61" t="n">
        <f aca="false">VLOOKUP(AE1083,recipe_ingred_list!$K$16:$M$25,3,0)</f>
        <v>5</v>
      </c>
      <c r="AG1083" s="61" t="n">
        <f aca="false">O1083</f>
        <v>0</v>
      </c>
      <c r="AH1083" s="61" t="n">
        <f aca="false">P1083</f>
        <v>0</v>
      </c>
      <c r="AI1083" s="61" t="n">
        <f aca="false">VLOOKUP(AH1083,recipe_ingred_list!$K$29:$M$34,3,0)</f>
        <v>3</v>
      </c>
      <c r="AJ1083" s="61" t="str">
        <f aca="false">IF(Q1083="","",Q1083)</f>
        <v/>
      </c>
      <c r="AK1083" s="61" t="n">
        <f aca="false">AK1082+1</f>
        <v>1083</v>
      </c>
      <c r="AL1083" s="61" t="str">
        <f aca="false">Y1083</f>
        <v>madrasi mirchi akkaha</v>
      </c>
      <c r="AM1083" s="81" t="str">
        <f aca="false">"a = Client().post('"&amp;W1083&amp;"', {'recipe' : '"&amp;V1083&amp;"', 'ingredient' : '"&amp;Z1083&amp;"', 'name' : '"&amp;X1083&amp;"', 'mass_unit' : '"&amp;AC1083&amp;"', 'mass_quantity' : '"&amp;ROUND(AA1083,3)&amp;"', 'volume_unit' : '"&amp;AF1083&amp;"', 'volume_quantity' : '"&amp;ROUND(AD1083,3)&amp;"', 'pieces_unit' : '"&amp;AI1083&amp;"', 'pieces_quantity' : '"&amp;ROUND(AG1083,3)&amp;"', 'cooking_notes' : '"&amp;AJ1083&amp;"'}).status_code; print('%s :: %s :: %s :: %s :: %s' %(a,"&amp;G1083&amp;",'"&amp;X1083&amp;"','"&amp;Y1083&amp;"','"&amp;U1083&amp;"'))"</f>
        <v>a = Client().post('/recipes/coconut-chutney/detail/', {'recipe' : '14', 'ingredient' : '134', 'name' : 'madrasi mirchi akkaha', 'mass_unit' : '2', 'mass_quantity' : '0', 'volume_unit' : '5', 'volume_quantity' : '1', 'pieces_unit' : '3', 'pieces_quantity' : '0', 'cooking_notes' : ''}).status_code; print('%s :: %s :: %s :: %s :: %s' %(a,1083,'madrasi mirchi akkaha','madrasi mirchi akkaha','Coconut Chutney'))</v>
      </c>
    </row>
    <row r="1084" customFormat="false" ht="13.8" hidden="false" customHeight="false" outlineLevel="0" collapsed="false">
      <c r="G1084" s="80" t="n">
        <v>1084</v>
      </c>
      <c r="H1084" s="79"/>
      <c r="I1084" s="79"/>
      <c r="J1084" s="79"/>
      <c r="K1084" s="100"/>
      <c r="L1084" s="100"/>
      <c r="M1084" s="100"/>
      <c r="N1084" s="100"/>
      <c r="O1084" s="100"/>
      <c r="P1084" s="100"/>
      <c r="Q1084" s="102"/>
      <c r="R1084" s="99" t="e">
        <f aca="false">VLOOKUP(J1084,ingredient!$N$4:$O$553,2,0)</f>
        <v>#N/A</v>
      </c>
      <c r="S1084" s="98"/>
      <c r="T1084" s="98"/>
      <c r="U1084" s="81" t="n">
        <f aca="false">I1084</f>
        <v>0</v>
      </c>
      <c r="V1084" s="81" t="e">
        <f aca="false">VLOOKUP(U1084,recipe_ingred_list!$A$2:$B$300,2,0)</f>
        <v>#N/A</v>
      </c>
      <c r="W1084" s="81" t="e">
        <f aca="false">"/recipes/"&amp;VLOOKUP(U1084,recipe_ingred_list!$A$2:$C$300,3,0)&amp;"/detail/"</f>
        <v>#N/A</v>
      </c>
      <c r="X1084" s="81" t="n">
        <f aca="false">J1084</f>
        <v>0</v>
      </c>
      <c r="Y1084" s="81" t="e">
        <f aca="false">R1084</f>
        <v>#N/A</v>
      </c>
      <c r="Z1084" s="94" t="e">
        <f aca="false">VLOOKUP(Y1084,recipe_ingred_list!$D$2:$E$500,2,0)</f>
        <v>#N/A</v>
      </c>
      <c r="AA1084" s="61" t="n">
        <f aca="false">K1084</f>
        <v>0</v>
      </c>
      <c r="AB1084" s="61" t="n">
        <f aca="false">L1084</f>
        <v>0</v>
      </c>
      <c r="AC1084" s="61" t="n">
        <f aca="false">VLOOKUP(AB1084,recipe_ingred_list!$K$2:$M$7,3,0)</f>
        <v>2</v>
      </c>
      <c r="AD1084" s="61" t="n">
        <f aca="false">M1084</f>
        <v>0</v>
      </c>
      <c r="AE1084" s="61" t="n">
        <f aca="false">N1084</f>
        <v>0</v>
      </c>
      <c r="AF1084" s="61" t="n">
        <f aca="false">VLOOKUP(AE1084,recipe_ingred_list!$K$16:$M$25,3,0)</f>
        <v>1</v>
      </c>
      <c r="AG1084" s="61" t="n">
        <f aca="false">O1084</f>
        <v>0</v>
      </c>
      <c r="AH1084" s="61" t="n">
        <f aca="false">P1084</f>
        <v>0</v>
      </c>
      <c r="AI1084" s="61" t="n">
        <f aca="false">VLOOKUP(AH1084,recipe_ingred_list!$K$29:$M$34,3,0)</f>
        <v>3</v>
      </c>
      <c r="AJ1084" s="61" t="str">
        <f aca="false">IF(Q1084="","",Q1084)</f>
        <v/>
      </c>
      <c r="AK1084" s="61" t="n">
        <f aca="false">AK1083+1</f>
        <v>1084</v>
      </c>
      <c r="AL1084" s="61" t="e">
        <f aca="false">Y1084</f>
        <v>#N/A</v>
      </c>
      <c r="AM1084" s="81" t="e">
        <f aca="false">"a = Client().post('"&amp;W1084&amp;"', {'recipe' : '"&amp;V1084&amp;"', 'ingredient' : '"&amp;Z1084&amp;"', 'name' : '"&amp;X1084&amp;"', 'mass_unit' : '"&amp;AC1084&amp;"', 'mass_quantity' : '"&amp;ROUND(AA1084,3)&amp;"', 'volume_unit' : '"&amp;AF1084&amp;"', 'volume_quantity' : '"&amp;ROUND(AD1084,3)&amp;"', 'pieces_unit' : '"&amp;AI1084&amp;"', 'pieces_quantity' : '"&amp;ROUND(AG1084,3)&amp;"', 'cooking_notes' : '"&amp;AJ1084&amp;"'}).status_code; print('%s :: %s :: %s :: %s :: %s' %(a,"&amp;G1084&amp;",'"&amp;X1084&amp;"','"&amp;Y1084&amp;"','"&amp;U1084&amp;"'))"</f>
        <v>#N/A</v>
      </c>
    </row>
    <row r="1085" customFormat="false" ht="13.8" hidden="false" customHeight="false" outlineLevel="0" collapsed="false">
      <c r="G1085" s="80" t="n">
        <v>1085</v>
      </c>
      <c r="H1085" s="79"/>
      <c r="I1085" s="79"/>
      <c r="J1085" s="79"/>
      <c r="K1085" s="100"/>
      <c r="L1085" s="100"/>
      <c r="M1085" s="100"/>
      <c r="N1085" s="100"/>
      <c r="O1085" s="100"/>
      <c r="P1085" s="100"/>
      <c r="Q1085" s="102"/>
      <c r="R1085" s="99" t="e">
        <f aca="false">VLOOKUP(J1085,ingredient!$N$4:$O$553,2,0)</f>
        <v>#N/A</v>
      </c>
      <c r="S1085" s="98"/>
      <c r="T1085" s="98"/>
      <c r="U1085" s="81" t="n">
        <f aca="false">I1085</f>
        <v>0</v>
      </c>
      <c r="V1085" s="81" t="e">
        <f aca="false">VLOOKUP(U1085,recipe_ingred_list!$A$2:$B$300,2,0)</f>
        <v>#N/A</v>
      </c>
      <c r="W1085" s="81" t="e">
        <f aca="false">"/recipes/"&amp;VLOOKUP(U1085,recipe_ingred_list!$A$2:$C$300,3,0)&amp;"/detail/"</f>
        <v>#N/A</v>
      </c>
      <c r="X1085" s="81" t="n">
        <f aca="false">J1085</f>
        <v>0</v>
      </c>
      <c r="Y1085" s="81" t="e">
        <f aca="false">R1085</f>
        <v>#N/A</v>
      </c>
      <c r="Z1085" s="94" t="e">
        <f aca="false">VLOOKUP(Y1085,recipe_ingred_list!$D$2:$E$500,2,0)</f>
        <v>#N/A</v>
      </c>
      <c r="AA1085" s="61" t="n">
        <f aca="false">K1085</f>
        <v>0</v>
      </c>
      <c r="AB1085" s="61" t="n">
        <f aca="false">L1085</f>
        <v>0</v>
      </c>
      <c r="AC1085" s="61" t="n">
        <f aca="false">VLOOKUP(AB1085,recipe_ingred_list!$K$2:$M$7,3,0)</f>
        <v>2</v>
      </c>
      <c r="AD1085" s="61" t="n">
        <f aca="false">M1085</f>
        <v>0</v>
      </c>
      <c r="AE1085" s="61" t="n">
        <f aca="false">N1085</f>
        <v>0</v>
      </c>
      <c r="AF1085" s="61" t="n">
        <f aca="false">VLOOKUP(AE1085,recipe_ingred_list!$K$16:$M$25,3,0)</f>
        <v>1</v>
      </c>
      <c r="AG1085" s="61" t="n">
        <f aca="false">O1085</f>
        <v>0</v>
      </c>
      <c r="AH1085" s="61" t="n">
        <f aca="false">P1085</f>
        <v>0</v>
      </c>
      <c r="AI1085" s="61" t="n">
        <f aca="false">VLOOKUP(AH1085,recipe_ingred_list!$K$29:$M$34,3,0)</f>
        <v>3</v>
      </c>
      <c r="AJ1085" s="61" t="str">
        <f aca="false">IF(Q1085="","",Q1085)</f>
        <v/>
      </c>
      <c r="AK1085" s="61" t="n">
        <f aca="false">AK1084+1</f>
        <v>1085</v>
      </c>
      <c r="AL1085" s="61" t="e">
        <f aca="false">Y1085</f>
        <v>#N/A</v>
      </c>
      <c r="AM1085" s="81" t="e">
        <f aca="false">"a = Client().post('"&amp;W1085&amp;"', {'recipe' : '"&amp;V1085&amp;"', 'ingredient' : '"&amp;Z1085&amp;"', 'name' : '"&amp;X1085&amp;"', 'mass_unit' : '"&amp;AC1085&amp;"', 'mass_quantity' : '"&amp;ROUND(AA1085,3)&amp;"', 'volume_unit' : '"&amp;AF1085&amp;"', 'volume_quantity' : '"&amp;ROUND(AD1085,3)&amp;"', 'pieces_unit' : '"&amp;AI1085&amp;"', 'pieces_quantity' : '"&amp;ROUND(AG1085,3)&amp;"', 'cooking_notes' : '"&amp;AJ1085&amp;"'}).status_code; print('%s :: %s :: %s :: %s :: %s' %(a,"&amp;G1085&amp;",'"&amp;X1085&amp;"','"&amp;Y1085&amp;"','"&amp;U1085&amp;"'))"</f>
        <v>#N/A</v>
      </c>
    </row>
    <row r="1086" customFormat="false" ht="13.8" hidden="false" customHeight="false" outlineLevel="0" collapsed="false">
      <c r="G1086" s="80" t="n">
        <v>1086</v>
      </c>
      <c r="H1086" s="79"/>
      <c r="I1086" s="79"/>
      <c r="J1086" s="79"/>
      <c r="K1086" s="100"/>
      <c r="L1086" s="100"/>
      <c r="M1086" s="100"/>
      <c r="N1086" s="100"/>
      <c r="O1086" s="100"/>
      <c r="P1086" s="100"/>
      <c r="Q1086" s="102"/>
      <c r="R1086" s="99" t="e">
        <f aca="false">VLOOKUP(J1086,ingredient!$N$4:$O$553,2,0)</f>
        <v>#N/A</v>
      </c>
      <c r="S1086" s="98"/>
      <c r="T1086" s="98"/>
      <c r="U1086" s="81" t="n">
        <f aca="false">I1086</f>
        <v>0</v>
      </c>
      <c r="V1086" s="81" t="e">
        <f aca="false">VLOOKUP(U1086,recipe_ingred_list!$A$2:$B$300,2,0)</f>
        <v>#N/A</v>
      </c>
      <c r="W1086" s="81" t="e">
        <f aca="false">"/recipes/"&amp;VLOOKUP(U1086,recipe_ingred_list!$A$2:$C$300,3,0)&amp;"/detail/"</f>
        <v>#N/A</v>
      </c>
      <c r="X1086" s="81" t="n">
        <f aca="false">J1086</f>
        <v>0</v>
      </c>
      <c r="Y1086" s="81" t="e">
        <f aca="false">R1086</f>
        <v>#N/A</v>
      </c>
      <c r="Z1086" s="94" t="e">
        <f aca="false">VLOOKUP(Y1086,recipe_ingred_list!$D$2:$E$500,2,0)</f>
        <v>#N/A</v>
      </c>
      <c r="AA1086" s="61" t="n">
        <f aca="false">K1086</f>
        <v>0</v>
      </c>
      <c r="AB1086" s="61" t="n">
        <f aca="false">L1086</f>
        <v>0</v>
      </c>
      <c r="AC1086" s="61" t="n">
        <f aca="false">VLOOKUP(AB1086,recipe_ingred_list!$K$2:$M$7,3,0)</f>
        <v>2</v>
      </c>
      <c r="AD1086" s="61" t="n">
        <f aca="false">M1086</f>
        <v>0</v>
      </c>
      <c r="AE1086" s="61" t="n">
        <f aca="false">N1086</f>
        <v>0</v>
      </c>
      <c r="AF1086" s="61" t="n">
        <f aca="false">VLOOKUP(AE1086,recipe_ingred_list!$K$16:$M$25,3,0)</f>
        <v>1</v>
      </c>
      <c r="AG1086" s="61" t="n">
        <f aca="false">O1086</f>
        <v>0</v>
      </c>
      <c r="AH1086" s="61" t="n">
        <f aca="false">P1086</f>
        <v>0</v>
      </c>
      <c r="AI1086" s="61" t="n">
        <f aca="false">VLOOKUP(AH1086,recipe_ingred_list!$K$29:$M$34,3,0)</f>
        <v>3</v>
      </c>
      <c r="AJ1086" s="61" t="str">
        <f aca="false">IF(Q1086="","",Q1086)</f>
        <v/>
      </c>
      <c r="AK1086" s="61" t="n">
        <f aca="false">AK1085+1</f>
        <v>1086</v>
      </c>
      <c r="AL1086" s="61" t="e">
        <f aca="false">Y1086</f>
        <v>#N/A</v>
      </c>
      <c r="AM1086" s="81" t="e">
        <f aca="false">"a = Client().post('"&amp;W1086&amp;"', {'recipe' : '"&amp;V1086&amp;"', 'ingredient' : '"&amp;Z1086&amp;"', 'name' : '"&amp;X1086&amp;"', 'mass_unit' : '"&amp;AC1086&amp;"', 'mass_quantity' : '"&amp;ROUND(AA1086,3)&amp;"', 'volume_unit' : '"&amp;AF1086&amp;"', 'volume_quantity' : '"&amp;ROUND(AD1086,3)&amp;"', 'pieces_unit' : '"&amp;AI1086&amp;"', 'pieces_quantity' : '"&amp;ROUND(AG1086,3)&amp;"', 'cooking_notes' : '"&amp;AJ1086&amp;"'}).status_code; print('%s :: %s :: %s :: %s :: %s' %(a,"&amp;G1086&amp;",'"&amp;X1086&amp;"','"&amp;Y1086&amp;"','"&amp;U1086&amp;"'))"</f>
        <v>#N/A</v>
      </c>
    </row>
    <row r="1087" customFormat="false" ht="13.8" hidden="false" customHeight="false" outlineLevel="0" collapsed="false">
      <c r="G1087" s="80" t="n">
        <v>1087</v>
      </c>
      <c r="H1087" s="79"/>
      <c r="I1087" s="79"/>
      <c r="J1087" s="79"/>
      <c r="K1087" s="100"/>
      <c r="L1087" s="100"/>
      <c r="M1087" s="100"/>
      <c r="N1087" s="100"/>
      <c r="O1087" s="100"/>
      <c r="P1087" s="100"/>
      <c r="Q1087" s="102"/>
      <c r="R1087" s="99" t="e">
        <f aca="false">VLOOKUP(J1087,ingredient!$N$4:$O$553,2,0)</f>
        <v>#N/A</v>
      </c>
      <c r="S1087" s="98"/>
      <c r="T1087" s="98"/>
      <c r="U1087" s="81" t="n">
        <f aca="false">I1087</f>
        <v>0</v>
      </c>
      <c r="V1087" s="81" t="e">
        <f aca="false">VLOOKUP(U1087,recipe_ingred_list!$A$2:$B$300,2,0)</f>
        <v>#N/A</v>
      </c>
      <c r="W1087" s="81" t="e">
        <f aca="false">"/recipes/"&amp;VLOOKUP(U1087,recipe_ingred_list!$A$2:$C$300,3,0)&amp;"/detail/"</f>
        <v>#N/A</v>
      </c>
      <c r="X1087" s="81" t="n">
        <f aca="false">J1087</f>
        <v>0</v>
      </c>
      <c r="Y1087" s="81" t="e">
        <f aca="false">R1087</f>
        <v>#N/A</v>
      </c>
      <c r="Z1087" s="94" t="e">
        <f aca="false">VLOOKUP(Y1087,recipe_ingred_list!$D$2:$E$500,2,0)</f>
        <v>#N/A</v>
      </c>
      <c r="AA1087" s="61" t="n">
        <f aca="false">K1087</f>
        <v>0</v>
      </c>
      <c r="AB1087" s="61" t="n">
        <f aca="false">L1087</f>
        <v>0</v>
      </c>
      <c r="AC1087" s="61" t="n">
        <f aca="false">VLOOKUP(AB1087,recipe_ingred_list!$K$2:$M$7,3,0)</f>
        <v>2</v>
      </c>
      <c r="AD1087" s="61" t="n">
        <f aca="false">M1087</f>
        <v>0</v>
      </c>
      <c r="AE1087" s="61" t="n">
        <f aca="false">N1087</f>
        <v>0</v>
      </c>
      <c r="AF1087" s="61" t="n">
        <f aca="false">VLOOKUP(AE1087,recipe_ingred_list!$K$16:$M$25,3,0)</f>
        <v>1</v>
      </c>
      <c r="AG1087" s="61" t="n">
        <f aca="false">O1087</f>
        <v>0</v>
      </c>
      <c r="AH1087" s="61" t="n">
        <f aca="false">P1087</f>
        <v>0</v>
      </c>
      <c r="AI1087" s="61" t="n">
        <f aca="false">VLOOKUP(AH1087,recipe_ingred_list!$K$29:$M$34,3,0)</f>
        <v>3</v>
      </c>
      <c r="AJ1087" s="61" t="str">
        <f aca="false">IF(Q1087="","",Q1087)</f>
        <v/>
      </c>
      <c r="AK1087" s="61" t="n">
        <f aca="false">AK1086+1</f>
        <v>1087</v>
      </c>
      <c r="AL1087" s="61" t="e">
        <f aca="false">Y1087</f>
        <v>#N/A</v>
      </c>
      <c r="AM1087" s="81" t="e">
        <f aca="false">"a = Client().post('"&amp;W1087&amp;"', {'recipe' : '"&amp;V1087&amp;"', 'ingredient' : '"&amp;Z1087&amp;"', 'name' : '"&amp;X1087&amp;"', 'mass_unit' : '"&amp;AC1087&amp;"', 'mass_quantity' : '"&amp;ROUND(AA1087,3)&amp;"', 'volume_unit' : '"&amp;AF1087&amp;"', 'volume_quantity' : '"&amp;ROUND(AD1087,3)&amp;"', 'pieces_unit' : '"&amp;AI1087&amp;"', 'pieces_quantity' : '"&amp;ROUND(AG1087,3)&amp;"', 'cooking_notes' : '"&amp;AJ1087&amp;"'}).status_code; print('%s :: %s :: %s :: %s :: %s' %(a,"&amp;G1087&amp;",'"&amp;X1087&amp;"','"&amp;Y1087&amp;"','"&amp;U1087&amp;"'))"</f>
        <v>#N/A</v>
      </c>
    </row>
    <row r="1088" customFormat="false" ht="13.8" hidden="false" customHeight="false" outlineLevel="0" collapsed="false">
      <c r="G1088" s="80" t="n">
        <v>1088</v>
      </c>
      <c r="H1088" s="79"/>
      <c r="I1088" s="79"/>
      <c r="J1088" s="79"/>
      <c r="K1088" s="100"/>
      <c r="L1088" s="100"/>
      <c r="M1088" s="100"/>
      <c r="N1088" s="100"/>
      <c r="O1088" s="100"/>
      <c r="P1088" s="100"/>
      <c r="Q1088" s="102"/>
      <c r="R1088" s="99" t="e">
        <f aca="false">VLOOKUP(J1088,ingredient!$N$4:$O$553,2,0)</f>
        <v>#N/A</v>
      </c>
      <c r="S1088" s="98"/>
      <c r="T1088" s="98"/>
      <c r="U1088" s="81" t="n">
        <f aca="false">I1088</f>
        <v>0</v>
      </c>
      <c r="V1088" s="81" t="e">
        <f aca="false">VLOOKUP(U1088,recipe_ingred_list!$A$2:$B$300,2,0)</f>
        <v>#N/A</v>
      </c>
      <c r="W1088" s="81" t="e">
        <f aca="false">"/recipes/"&amp;VLOOKUP(U1088,recipe_ingred_list!$A$2:$C$300,3,0)&amp;"/detail/"</f>
        <v>#N/A</v>
      </c>
      <c r="X1088" s="81" t="n">
        <f aca="false">J1088</f>
        <v>0</v>
      </c>
      <c r="Y1088" s="81" t="e">
        <f aca="false">R1088</f>
        <v>#N/A</v>
      </c>
      <c r="Z1088" s="94" t="e">
        <f aca="false">VLOOKUP(Y1088,recipe_ingred_list!$D$2:$E$500,2,0)</f>
        <v>#N/A</v>
      </c>
      <c r="AA1088" s="61" t="n">
        <f aca="false">K1088</f>
        <v>0</v>
      </c>
      <c r="AB1088" s="61" t="n">
        <f aca="false">L1088</f>
        <v>0</v>
      </c>
      <c r="AC1088" s="61" t="n">
        <f aca="false">VLOOKUP(AB1088,recipe_ingred_list!$K$2:$M$7,3,0)</f>
        <v>2</v>
      </c>
      <c r="AD1088" s="61" t="n">
        <f aca="false">M1088</f>
        <v>0</v>
      </c>
      <c r="AE1088" s="61" t="n">
        <f aca="false">N1088</f>
        <v>0</v>
      </c>
      <c r="AF1088" s="61" t="n">
        <f aca="false">VLOOKUP(AE1088,recipe_ingred_list!$K$16:$M$25,3,0)</f>
        <v>1</v>
      </c>
      <c r="AG1088" s="61" t="n">
        <f aca="false">O1088</f>
        <v>0</v>
      </c>
      <c r="AH1088" s="61" t="n">
        <f aca="false">P1088</f>
        <v>0</v>
      </c>
      <c r="AI1088" s="61" t="n">
        <f aca="false">VLOOKUP(AH1088,recipe_ingred_list!$K$29:$M$34,3,0)</f>
        <v>3</v>
      </c>
      <c r="AJ1088" s="61" t="str">
        <f aca="false">IF(Q1088="","",Q1088)</f>
        <v/>
      </c>
      <c r="AK1088" s="61" t="n">
        <f aca="false">AK1087+1</f>
        <v>1088</v>
      </c>
      <c r="AL1088" s="61" t="e">
        <f aca="false">Y1088</f>
        <v>#N/A</v>
      </c>
      <c r="AM1088" s="81" t="e">
        <f aca="false">"a = Client().post('"&amp;W1088&amp;"', {'recipe' : '"&amp;V1088&amp;"', 'ingredient' : '"&amp;Z1088&amp;"', 'name' : '"&amp;X1088&amp;"', 'mass_unit' : '"&amp;AC1088&amp;"', 'mass_quantity' : '"&amp;ROUND(AA1088,3)&amp;"', 'volume_unit' : '"&amp;AF1088&amp;"', 'volume_quantity' : '"&amp;ROUND(AD1088,3)&amp;"', 'pieces_unit' : '"&amp;AI1088&amp;"', 'pieces_quantity' : '"&amp;ROUND(AG1088,3)&amp;"', 'cooking_notes' : '"&amp;AJ1088&amp;"'}).status_code; print('%s :: %s :: %s :: %s :: %s' %(a,"&amp;G1088&amp;",'"&amp;X1088&amp;"','"&amp;Y1088&amp;"','"&amp;U1088&amp;"'))"</f>
        <v>#N/A</v>
      </c>
    </row>
    <row r="1089" customFormat="false" ht="13.8" hidden="false" customHeight="false" outlineLevel="0" collapsed="false">
      <c r="G1089" s="80" t="n">
        <v>1089</v>
      </c>
      <c r="H1089" s="83"/>
      <c r="I1089" s="83" t="s">
        <v>121</v>
      </c>
      <c r="J1089" s="83" t="s">
        <v>846</v>
      </c>
      <c r="K1089" s="61" t="n">
        <v>40</v>
      </c>
      <c r="L1089" s="61" t="s">
        <v>7</v>
      </c>
      <c r="R1089" s="82" t="str">
        <f aca="false">VLOOKUP(J1089,ingredient!$N$4:$O$553,2,0)</f>
        <v>alu</v>
      </c>
      <c r="U1089" s="81" t="str">
        <f aca="false">I1089</f>
        <v>ALU PARATHA</v>
      </c>
      <c r="V1089" s="81" t="n">
        <f aca="false">VLOOKUP(U1089,recipe_ingred_list!$A$2:$B$300,2,0)</f>
        <v>6</v>
      </c>
      <c r="W1089" s="81" t="str">
        <f aca="false">"/recipes/"&amp;VLOOKUP(U1089,recipe_ingred_list!$A$2:$C$300,3,0)&amp;"/detail/"</f>
        <v>/recipes/alu-paratha/detail/</v>
      </c>
      <c r="X1089" s="81" t="str">
        <f aca="false">J1089</f>
        <v>potato</v>
      </c>
      <c r="Y1089" s="81" t="str">
        <f aca="false">R1089</f>
        <v>alu</v>
      </c>
      <c r="Z1089" s="94" t="n">
        <f aca="false">VLOOKUP(Y1089,recipe_ingred_list!$D$2:$E$500,2,0)</f>
        <v>8</v>
      </c>
      <c r="AA1089" s="61" t="n">
        <f aca="false">K1089</f>
        <v>40</v>
      </c>
      <c r="AB1089" s="61" t="str">
        <f aca="false">L1089</f>
        <v>kg</v>
      </c>
      <c r="AC1089" s="61" t="n">
        <f aca="false">VLOOKUP(AB1089,recipe_ingred_list!$K$2:$M$7,3,0)</f>
        <v>2</v>
      </c>
      <c r="AD1089" s="61" t="n">
        <f aca="false">M1089</f>
        <v>0</v>
      </c>
      <c r="AE1089" s="61" t="n">
        <f aca="false">N1089</f>
        <v>0</v>
      </c>
      <c r="AF1089" s="61" t="n">
        <f aca="false">VLOOKUP(AE1089,recipe_ingred_list!$K$16:$M$25,3,0)</f>
        <v>1</v>
      </c>
      <c r="AG1089" s="61" t="n">
        <f aca="false">O1089</f>
        <v>0</v>
      </c>
      <c r="AH1089" s="61" t="n">
        <f aca="false">P1089</f>
        <v>0</v>
      </c>
      <c r="AI1089" s="61" t="n">
        <f aca="false">VLOOKUP(AH1089,recipe_ingred_list!$K$29:$M$34,3,0)</f>
        <v>3</v>
      </c>
      <c r="AJ1089" s="61" t="str">
        <f aca="false">IF(Q1089="","",Q1089)</f>
        <v/>
      </c>
      <c r="AK1089" s="61" t="n">
        <f aca="false">AK1088+1</f>
        <v>1089</v>
      </c>
      <c r="AL1089" s="61" t="str">
        <f aca="false">Y1089</f>
        <v>alu</v>
      </c>
      <c r="AM1089" s="81" t="str">
        <f aca="false">"a = Client().post('"&amp;W1089&amp;"', {'recipe' : '"&amp;V1089&amp;"', 'ingredient' : '"&amp;Z1089&amp;"', 'name' : '"&amp;X1089&amp;"', 'mass_unit' : '"&amp;AC1089&amp;"', 'mass_quantity' : '"&amp;ROUND(AA1089,3)&amp;"', 'volume_unit' : '"&amp;AF1089&amp;"', 'volume_quantity' : '"&amp;ROUND(AD1089,3)&amp;"', 'pieces_unit' : '"&amp;AI1089&amp;"', 'pieces_quantity' : '"&amp;ROUND(AG1089,3)&amp;"', 'cooking_notes' : '"&amp;AJ1089&amp;"'}).status_code; print('%s :: %s :: %s :: %s :: %s' %(a,"&amp;G1089&amp;",'"&amp;X1089&amp;"','"&amp;Y1089&amp;"','"&amp;U1089&amp;"'))"</f>
        <v>a = Client().post('/recipes/alu-paratha/detail/', {'recipe' : '6', 'ingredient' : '8', 'name' : 'potato', 'mass_unit' : '2', 'mass_quantity' : '40', 'volume_unit' : '1', 'volume_quantity' : '0', 'pieces_unit' : '3', 'pieces_quantity' : '0', 'cooking_notes' : ''}).status_code; print('%s :: %s :: %s :: %s :: %s' %(a,1089,'potato','alu','ALU PARATHA'))</v>
      </c>
    </row>
    <row r="1090" customFormat="false" ht="13.8" hidden="false" customHeight="false" outlineLevel="0" collapsed="false">
      <c r="G1090" s="80" t="n">
        <v>1090</v>
      </c>
      <c r="H1090" s="83"/>
      <c r="I1090" s="83" t="s">
        <v>121</v>
      </c>
      <c r="J1090" s="83" t="s">
        <v>869</v>
      </c>
      <c r="M1090" s="61" t="n">
        <v>1</v>
      </c>
      <c r="N1090" s="61" t="s">
        <v>13</v>
      </c>
      <c r="R1090" s="82" t="str">
        <f aca="false">VLOOKUP(J1090,ingredient!$N$4:$O$553,2,0)</f>
        <v>hari mirchi</v>
      </c>
      <c r="U1090" s="81" t="str">
        <f aca="false">I1090</f>
        <v>ALU PARATHA</v>
      </c>
      <c r="V1090" s="81" t="n">
        <f aca="false">VLOOKUP(U1090,recipe_ingred_list!$A$2:$B$300,2,0)</f>
        <v>6</v>
      </c>
      <c r="W1090" s="81" t="str">
        <f aca="false">"/recipes/"&amp;VLOOKUP(U1090,recipe_ingred_list!$A$2:$C$300,3,0)&amp;"/detail/"</f>
        <v>/recipes/alu-paratha/detail/</v>
      </c>
      <c r="X1090" s="81" t="str">
        <f aca="false">J1090</f>
        <v>green chili choppd</v>
      </c>
      <c r="Y1090" s="81" t="str">
        <f aca="false">R1090</f>
        <v>hari mirchi</v>
      </c>
      <c r="Z1090" s="94" t="n">
        <f aca="false">VLOOKUP(Y1090,recipe_ingred_list!$D$2:$E$500,2,0)</f>
        <v>93</v>
      </c>
      <c r="AA1090" s="61" t="n">
        <f aca="false">K1090</f>
        <v>0</v>
      </c>
      <c r="AB1090" s="61" t="n">
        <f aca="false">L1090</f>
        <v>0</v>
      </c>
      <c r="AC1090" s="61" t="n">
        <f aca="false">VLOOKUP(AB1090,recipe_ingred_list!$K$2:$M$7,3,0)</f>
        <v>2</v>
      </c>
      <c r="AD1090" s="61" t="n">
        <f aca="false">M1090</f>
        <v>1</v>
      </c>
      <c r="AE1090" s="61" t="str">
        <f aca="false">N1090</f>
        <v>ltr</v>
      </c>
      <c r="AF1090" s="61" t="n">
        <f aca="false">VLOOKUP(AE1090,recipe_ingred_list!$K$16:$M$25,3,0)</f>
        <v>1</v>
      </c>
      <c r="AG1090" s="61" t="n">
        <f aca="false">O1090</f>
        <v>0</v>
      </c>
      <c r="AH1090" s="61" t="n">
        <f aca="false">P1090</f>
        <v>0</v>
      </c>
      <c r="AI1090" s="61" t="n">
        <f aca="false">VLOOKUP(AH1090,recipe_ingred_list!$K$29:$M$34,3,0)</f>
        <v>3</v>
      </c>
      <c r="AJ1090" s="61" t="str">
        <f aca="false">IF(Q1090="","",Q1090)</f>
        <v/>
      </c>
      <c r="AK1090" s="61" t="n">
        <f aca="false">AK1089+1</f>
        <v>1090</v>
      </c>
      <c r="AL1090" s="61" t="str">
        <f aca="false">Y1090</f>
        <v>hari mirchi</v>
      </c>
      <c r="AM1090" s="81" t="str">
        <f aca="false">"a = Client().post('"&amp;W1090&amp;"', {'recipe' : '"&amp;V1090&amp;"', 'ingredient' : '"&amp;Z1090&amp;"', 'name' : '"&amp;X1090&amp;"', 'mass_unit' : '"&amp;AC1090&amp;"', 'mass_quantity' : '"&amp;ROUND(AA1090,3)&amp;"', 'volume_unit' : '"&amp;AF1090&amp;"', 'volume_quantity' : '"&amp;ROUND(AD1090,3)&amp;"', 'pieces_unit' : '"&amp;AI1090&amp;"', 'pieces_quantity' : '"&amp;ROUND(AG1090,3)&amp;"', 'cooking_notes' : '"&amp;AJ1090&amp;"'}).status_code; print('%s :: %s :: %s :: %s :: %s' %(a,"&amp;G1090&amp;",'"&amp;X1090&amp;"','"&amp;Y1090&amp;"','"&amp;U1090&amp;"'))"</f>
        <v>a = Client().post('/recipes/alu-paratha/detail/', {'recipe' : '6', 'ingredient' : '93', 'name' : 'green chili choppd', 'mass_unit' : '2', 'mass_quantity' : '0', 'volume_unit' : '1', 'volume_quantity' : '1', 'pieces_unit' : '3', 'pieces_quantity' : '0', 'cooking_notes' : ''}).status_code; print('%s :: %s :: %s :: %s :: %s' %(a,1090,'green chili choppd','hari mirchi','ALU PARATHA'))</v>
      </c>
    </row>
    <row r="1091" customFormat="false" ht="13.8" hidden="false" customHeight="false" outlineLevel="0" collapsed="false">
      <c r="G1091" s="80" t="n">
        <v>1091</v>
      </c>
      <c r="H1091" s="83"/>
      <c r="I1091" s="83" t="s">
        <v>121</v>
      </c>
      <c r="J1091" s="83" t="s">
        <v>309</v>
      </c>
      <c r="M1091" s="61" t="n">
        <v>5</v>
      </c>
      <c r="N1091" s="61" t="s">
        <v>13</v>
      </c>
      <c r="R1091" s="82" t="str">
        <f aca="false">VLOOKUP(J1091,ingredient!$N$4:$O$553,2,0)</f>
        <v>dhaniya patta</v>
      </c>
      <c r="U1091" s="81" t="str">
        <f aca="false">I1091</f>
        <v>ALU PARATHA</v>
      </c>
      <c r="V1091" s="81" t="n">
        <f aca="false">VLOOKUP(U1091,recipe_ingred_list!$A$2:$B$300,2,0)</f>
        <v>6</v>
      </c>
      <c r="W1091" s="81" t="str">
        <f aca="false">"/recipes/"&amp;VLOOKUP(U1091,recipe_ingred_list!$A$2:$C$300,3,0)&amp;"/detail/"</f>
        <v>/recipes/alu-paratha/detail/</v>
      </c>
      <c r="X1091" s="81" t="str">
        <f aca="false">J1091</f>
        <v>dhaniya patta</v>
      </c>
      <c r="Y1091" s="81" t="str">
        <f aca="false">R1091</f>
        <v>dhaniya patta</v>
      </c>
      <c r="Z1091" s="94" t="n">
        <f aca="false">VLOOKUP(Y1091,recipe_ingred_list!$D$2:$E$500,2,0)</f>
        <v>66</v>
      </c>
      <c r="AA1091" s="61" t="n">
        <f aca="false">K1091</f>
        <v>0</v>
      </c>
      <c r="AB1091" s="61" t="n">
        <f aca="false">L1091</f>
        <v>0</v>
      </c>
      <c r="AC1091" s="61" t="n">
        <f aca="false">VLOOKUP(AB1091,recipe_ingred_list!$K$2:$M$7,3,0)</f>
        <v>2</v>
      </c>
      <c r="AD1091" s="61" t="n">
        <f aca="false">M1091</f>
        <v>5</v>
      </c>
      <c r="AE1091" s="61" t="str">
        <f aca="false">N1091</f>
        <v>ltr</v>
      </c>
      <c r="AF1091" s="61" t="n">
        <f aca="false">VLOOKUP(AE1091,recipe_ingred_list!$K$16:$M$25,3,0)</f>
        <v>1</v>
      </c>
      <c r="AG1091" s="61" t="n">
        <f aca="false">O1091</f>
        <v>0</v>
      </c>
      <c r="AH1091" s="61" t="n">
        <f aca="false">P1091</f>
        <v>0</v>
      </c>
      <c r="AI1091" s="61" t="n">
        <f aca="false">VLOOKUP(AH1091,recipe_ingred_list!$K$29:$M$34,3,0)</f>
        <v>3</v>
      </c>
      <c r="AJ1091" s="61" t="str">
        <f aca="false">IF(Q1091="","",Q1091)</f>
        <v/>
      </c>
      <c r="AK1091" s="61" t="n">
        <f aca="false">AK1090+1</f>
        <v>1091</v>
      </c>
      <c r="AL1091" s="61" t="str">
        <f aca="false">Y1091</f>
        <v>dhaniya patta</v>
      </c>
      <c r="AM1091" s="81" t="str">
        <f aca="false">"a = Client().post('"&amp;W1091&amp;"', {'recipe' : '"&amp;V1091&amp;"', 'ingredient' : '"&amp;Z1091&amp;"', 'name' : '"&amp;X1091&amp;"', 'mass_unit' : '"&amp;AC1091&amp;"', 'mass_quantity' : '"&amp;ROUND(AA1091,3)&amp;"', 'volume_unit' : '"&amp;AF1091&amp;"', 'volume_quantity' : '"&amp;ROUND(AD1091,3)&amp;"', 'pieces_unit' : '"&amp;AI1091&amp;"', 'pieces_quantity' : '"&amp;ROUND(AG1091,3)&amp;"', 'cooking_notes' : '"&amp;AJ1091&amp;"'}).status_code; print('%s :: %s :: %s :: %s :: %s' %(a,"&amp;G1091&amp;",'"&amp;X1091&amp;"','"&amp;Y1091&amp;"','"&amp;U1091&amp;"'))"</f>
        <v>a = Client().post('/recipes/alu-paratha/detail/', {'recipe' : '6', 'ingredient' : '66', 'name' : 'dhaniya patta', 'mass_unit' : '2', 'mass_quantity' : '0', 'volume_unit' : '1', 'volume_quantity' : '5', 'pieces_unit' : '3', 'pieces_quantity' : '0', 'cooking_notes' : ''}).status_code; print('%s :: %s :: %s :: %s :: %s' %(a,1091,'dhaniya patta','dhaniya patta','ALU PARATHA'))</v>
      </c>
    </row>
    <row r="1092" customFormat="false" ht="13.8" hidden="false" customHeight="false" outlineLevel="0" collapsed="false">
      <c r="G1092" s="80" t="n">
        <v>1092</v>
      </c>
      <c r="H1092" s="83"/>
      <c r="I1092" s="83" t="s">
        <v>121</v>
      </c>
      <c r="J1092" s="83" t="s">
        <v>855</v>
      </c>
      <c r="M1092" s="61" t="n">
        <v>1</v>
      </c>
      <c r="N1092" s="61" t="s">
        <v>13</v>
      </c>
      <c r="R1092" s="82" t="str">
        <f aca="false">VLOOKUP(J1092,ingredient!$N$4:$O$553,2,0)</f>
        <v>adrak</v>
      </c>
      <c r="U1092" s="81" t="str">
        <f aca="false">I1092</f>
        <v>ALU PARATHA</v>
      </c>
      <c r="V1092" s="81" t="n">
        <f aca="false">VLOOKUP(U1092,recipe_ingred_list!$A$2:$B$300,2,0)</f>
        <v>6</v>
      </c>
      <c r="W1092" s="81" t="str">
        <f aca="false">"/recipes/"&amp;VLOOKUP(U1092,recipe_ingred_list!$A$2:$C$300,3,0)&amp;"/detail/"</f>
        <v>/recipes/alu-paratha/detail/</v>
      </c>
      <c r="X1092" s="81" t="str">
        <f aca="false">J1092</f>
        <v>adrak paste</v>
      </c>
      <c r="Y1092" s="81" t="str">
        <f aca="false">R1092</f>
        <v>adrak</v>
      </c>
      <c r="Z1092" s="94" t="n">
        <f aca="false">VLOOKUP(Y1092,recipe_ingred_list!$D$2:$E$500,2,0)</f>
        <v>1</v>
      </c>
      <c r="AA1092" s="61" t="n">
        <f aca="false">K1092</f>
        <v>0</v>
      </c>
      <c r="AB1092" s="61" t="n">
        <f aca="false">L1092</f>
        <v>0</v>
      </c>
      <c r="AC1092" s="61" t="n">
        <f aca="false">VLOOKUP(AB1092,recipe_ingred_list!$K$2:$M$7,3,0)</f>
        <v>2</v>
      </c>
      <c r="AD1092" s="61" t="n">
        <f aca="false">M1092</f>
        <v>1</v>
      </c>
      <c r="AE1092" s="61" t="str">
        <f aca="false">N1092</f>
        <v>ltr</v>
      </c>
      <c r="AF1092" s="61" t="n">
        <f aca="false">VLOOKUP(AE1092,recipe_ingred_list!$K$16:$M$25,3,0)</f>
        <v>1</v>
      </c>
      <c r="AG1092" s="61" t="n">
        <f aca="false">O1092</f>
        <v>0</v>
      </c>
      <c r="AH1092" s="61" t="n">
        <f aca="false">P1092</f>
        <v>0</v>
      </c>
      <c r="AI1092" s="61" t="n">
        <f aca="false">VLOOKUP(AH1092,recipe_ingred_list!$K$29:$M$34,3,0)</f>
        <v>3</v>
      </c>
      <c r="AJ1092" s="61" t="str">
        <f aca="false">IF(Q1092="","",Q1092)</f>
        <v/>
      </c>
      <c r="AK1092" s="61" t="n">
        <f aca="false">AK1091+1</f>
        <v>1092</v>
      </c>
      <c r="AL1092" s="61" t="str">
        <f aca="false">Y1092</f>
        <v>adrak</v>
      </c>
      <c r="AM1092" s="81" t="str">
        <f aca="false">"a = Client().post('"&amp;W1092&amp;"', {'recipe' : '"&amp;V1092&amp;"', 'ingredient' : '"&amp;Z1092&amp;"', 'name' : '"&amp;X1092&amp;"', 'mass_unit' : '"&amp;AC1092&amp;"', 'mass_quantity' : '"&amp;ROUND(AA1092,3)&amp;"', 'volume_unit' : '"&amp;AF1092&amp;"', 'volume_quantity' : '"&amp;ROUND(AD1092,3)&amp;"', 'pieces_unit' : '"&amp;AI1092&amp;"', 'pieces_quantity' : '"&amp;ROUND(AG1092,3)&amp;"', 'cooking_notes' : '"&amp;AJ1092&amp;"'}).status_code; print('%s :: %s :: %s :: %s :: %s' %(a,"&amp;G1092&amp;",'"&amp;X1092&amp;"','"&amp;Y1092&amp;"','"&amp;U1092&amp;"'))"</f>
        <v>a = Client().post('/recipes/alu-paratha/detail/', {'recipe' : '6', 'ingredient' : '1', 'name' : 'adrak paste', 'mass_unit' : '2', 'mass_quantity' : '0', 'volume_unit' : '1', 'volume_quantity' : '1', 'pieces_unit' : '3', 'pieces_quantity' : '0', 'cooking_notes' : ''}).status_code; print('%s :: %s :: %s :: %s :: %s' %(a,1092,'adrak paste','adrak','ALU PARATHA'))</v>
      </c>
    </row>
    <row r="1093" customFormat="false" ht="13.8" hidden="false" customHeight="false" outlineLevel="0" collapsed="false">
      <c r="G1093" s="80" t="n">
        <v>1093</v>
      </c>
      <c r="H1093" s="83"/>
      <c r="I1093" s="83" t="s">
        <v>121</v>
      </c>
      <c r="J1093" s="83" t="s">
        <v>493</v>
      </c>
      <c r="K1093" s="61" t="n">
        <v>15</v>
      </c>
      <c r="L1093" s="61" t="s">
        <v>7</v>
      </c>
      <c r="R1093" s="82" t="str">
        <f aca="false">VLOOKUP(J1093,ingredient!$N$4:$O$553,2,0)</f>
        <v>wheat flour</v>
      </c>
      <c r="U1093" s="81" t="str">
        <f aca="false">I1093</f>
        <v>ALU PARATHA</v>
      </c>
      <c r="V1093" s="81" t="n">
        <f aca="false">VLOOKUP(U1093,recipe_ingred_list!$A$2:$B$300,2,0)</f>
        <v>6</v>
      </c>
      <c r="W1093" s="81" t="str">
        <f aca="false">"/recipes/"&amp;VLOOKUP(U1093,recipe_ingred_list!$A$2:$C$300,3,0)&amp;"/detail/"</f>
        <v>/recipes/alu-paratha/detail/</v>
      </c>
      <c r="X1093" s="81" t="str">
        <f aca="false">J1093</f>
        <v>wheat flour</v>
      </c>
      <c r="Y1093" s="81" t="str">
        <f aca="false">R1093</f>
        <v>wheat flour</v>
      </c>
      <c r="Z1093" s="94" t="n">
        <f aca="false">VLOOKUP(Y1093,recipe_ingred_list!$D$2:$E$500,2,0)</f>
        <v>204</v>
      </c>
      <c r="AA1093" s="61" t="n">
        <f aca="false">K1093</f>
        <v>15</v>
      </c>
      <c r="AB1093" s="61" t="str">
        <f aca="false">L1093</f>
        <v>kg</v>
      </c>
      <c r="AC1093" s="61" t="n">
        <f aca="false">VLOOKUP(AB1093,recipe_ingred_list!$K$2:$M$7,3,0)</f>
        <v>2</v>
      </c>
      <c r="AD1093" s="61" t="n">
        <f aca="false">M1093</f>
        <v>0</v>
      </c>
      <c r="AE1093" s="61" t="n">
        <f aca="false">N1093</f>
        <v>0</v>
      </c>
      <c r="AF1093" s="61" t="n">
        <f aca="false">VLOOKUP(AE1093,recipe_ingred_list!$K$16:$M$25,3,0)</f>
        <v>1</v>
      </c>
      <c r="AG1093" s="61" t="n">
        <f aca="false">O1093</f>
        <v>0</v>
      </c>
      <c r="AH1093" s="61" t="n">
        <f aca="false">P1093</f>
        <v>0</v>
      </c>
      <c r="AI1093" s="61" t="n">
        <f aca="false">VLOOKUP(AH1093,recipe_ingred_list!$K$29:$M$34,3,0)</f>
        <v>3</v>
      </c>
      <c r="AJ1093" s="61" t="str">
        <f aca="false">IF(Q1093="","",Q1093)</f>
        <v/>
      </c>
      <c r="AK1093" s="61" t="n">
        <f aca="false">AK1092+1</f>
        <v>1093</v>
      </c>
      <c r="AL1093" s="61" t="str">
        <f aca="false">Y1093</f>
        <v>wheat flour</v>
      </c>
      <c r="AM1093" s="81" t="str">
        <f aca="false">"a = Client().post('"&amp;W1093&amp;"', {'recipe' : '"&amp;V1093&amp;"', 'ingredient' : '"&amp;Z1093&amp;"', 'name' : '"&amp;X1093&amp;"', 'mass_unit' : '"&amp;AC1093&amp;"', 'mass_quantity' : '"&amp;ROUND(AA1093,3)&amp;"', 'volume_unit' : '"&amp;AF1093&amp;"', 'volume_quantity' : '"&amp;ROUND(AD1093,3)&amp;"', 'pieces_unit' : '"&amp;AI1093&amp;"', 'pieces_quantity' : '"&amp;ROUND(AG1093,3)&amp;"', 'cooking_notes' : '"&amp;AJ1093&amp;"'}).status_code; print('%s :: %s :: %s :: %s :: %s' %(a,"&amp;G1093&amp;",'"&amp;X1093&amp;"','"&amp;Y1093&amp;"','"&amp;U1093&amp;"'))"</f>
        <v>a = Client().post('/recipes/alu-paratha/detail/', {'recipe' : '6', 'ingredient' : '204', 'name' : 'wheat flour', 'mass_unit' : '2', 'mass_quantity' : '15', 'volume_unit' : '1', 'volume_quantity' : '0', 'pieces_unit' : '3', 'pieces_quantity' : '0', 'cooking_notes' : ''}).status_code; print('%s :: %s :: %s :: %s :: %s' %(a,1093,'wheat flour','wheat flour','ALU PARATHA'))</v>
      </c>
    </row>
    <row r="1094" customFormat="false" ht="13.8" hidden="false" customHeight="false" outlineLevel="0" collapsed="false">
      <c r="G1094" s="80" t="n">
        <v>1094</v>
      </c>
      <c r="H1094" s="79"/>
      <c r="I1094" s="79"/>
      <c r="J1094" s="79"/>
      <c r="K1094" s="100"/>
      <c r="L1094" s="100"/>
      <c r="M1094" s="100"/>
      <c r="N1094" s="100"/>
      <c r="O1094" s="100"/>
      <c r="P1094" s="100"/>
      <c r="Q1094" s="102"/>
      <c r="R1094" s="99" t="e">
        <f aca="false">VLOOKUP(J1094,ingredient!$N$4:$O$553,2,0)</f>
        <v>#N/A</v>
      </c>
      <c r="S1094" s="98"/>
      <c r="T1094" s="98"/>
      <c r="U1094" s="81" t="n">
        <f aca="false">I1094</f>
        <v>0</v>
      </c>
      <c r="V1094" s="81" t="e">
        <f aca="false">VLOOKUP(U1094,recipe_ingred_list!$A$2:$B$300,2,0)</f>
        <v>#N/A</v>
      </c>
      <c r="W1094" s="81" t="e">
        <f aca="false">"/recipes/"&amp;VLOOKUP(U1094,recipe_ingred_list!$A$2:$C$300,3,0)&amp;"/detail/"</f>
        <v>#N/A</v>
      </c>
      <c r="X1094" s="81" t="n">
        <f aca="false">J1094</f>
        <v>0</v>
      </c>
      <c r="Y1094" s="81" t="e">
        <f aca="false">R1094</f>
        <v>#N/A</v>
      </c>
      <c r="Z1094" s="94" t="e">
        <f aca="false">VLOOKUP(Y1094,recipe_ingred_list!$D$2:$E$500,2,0)</f>
        <v>#N/A</v>
      </c>
      <c r="AA1094" s="61" t="n">
        <f aca="false">K1094</f>
        <v>0</v>
      </c>
      <c r="AB1094" s="61" t="n">
        <f aca="false">L1094</f>
        <v>0</v>
      </c>
      <c r="AC1094" s="61" t="n">
        <f aca="false">VLOOKUP(AB1094,recipe_ingred_list!$K$2:$M$7,3,0)</f>
        <v>2</v>
      </c>
      <c r="AD1094" s="61" t="n">
        <f aca="false">M1094</f>
        <v>0</v>
      </c>
      <c r="AE1094" s="61" t="n">
        <f aca="false">N1094</f>
        <v>0</v>
      </c>
      <c r="AF1094" s="61" t="n">
        <f aca="false">VLOOKUP(AE1094,recipe_ingred_list!$K$16:$M$25,3,0)</f>
        <v>1</v>
      </c>
      <c r="AG1094" s="61" t="n">
        <f aca="false">O1094</f>
        <v>0</v>
      </c>
      <c r="AH1094" s="61" t="n">
        <f aca="false">P1094</f>
        <v>0</v>
      </c>
      <c r="AI1094" s="61" t="n">
        <f aca="false">VLOOKUP(AH1094,recipe_ingred_list!$K$29:$M$34,3,0)</f>
        <v>3</v>
      </c>
      <c r="AJ1094" s="61" t="str">
        <f aca="false">IF(Q1094="","",Q1094)</f>
        <v/>
      </c>
      <c r="AK1094" s="61" t="n">
        <f aca="false">AK1093+1</f>
        <v>1094</v>
      </c>
      <c r="AL1094" s="61" t="e">
        <f aca="false">Y1094</f>
        <v>#N/A</v>
      </c>
      <c r="AM1094" s="81" t="e">
        <f aca="false">"a = Client().post('"&amp;W1094&amp;"', {'recipe' : '"&amp;V1094&amp;"', 'ingredient' : '"&amp;Z1094&amp;"', 'name' : '"&amp;X1094&amp;"', 'mass_unit' : '"&amp;AC1094&amp;"', 'mass_quantity' : '"&amp;ROUND(AA1094,3)&amp;"', 'volume_unit' : '"&amp;AF1094&amp;"', 'volume_quantity' : '"&amp;ROUND(AD1094,3)&amp;"', 'pieces_unit' : '"&amp;AI1094&amp;"', 'pieces_quantity' : '"&amp;ROUND(AG1094,3)&amp;"', 'cooking_notes' : '"&amp;AJ1094&amp;"'}).status_code; print('%s :: %s :: %s :: %s :: %s' %(a,"&amp;G1094&amp;",'"&amp;X1094&amp;"','"&amp;Y1094&amp;"','"&amp;U1094&amp;"'))"</f>
        <v>#N/A</v>
      </c>
    </row>
    <row r="1095" customFormat="false" ht="13.8" hidden="false" customHeight="false" outlineLevel="0" collapsed="false">
      <c r="G1095" s="80" t="n">
        <v>1095</v>
      </c>
      <c r="H1095" s="79"/>
      <c r="I1095" s="79"/>
      <c r="J1095" s="79"/>
      <c r="K1095" s="100"/>
      <c r="L1095" s="100"/>
      <c r="M1095" s="100"/>
      <c r="N1095" s="100"/>
      <c r="O1095" s="100"/>
      <c r="P1095" s="100"/>
      <c r="Q1095" s="102"/>
      <c r="R1095" s="99" t="e">
        <f aca="false">VLOOKUP(J1095,ingredient!$N$4:$O$553,2,0)</f>
        <v>#N/A</v>
      </c>
      <c r="S1095" s="98"/>
      <c r="T1095" s="98"/>
      <c r="U1095" s="81" t="n">
        <f aca="false">I1095</f>
        <v>0</v>
      </c>
      <c r="V1095" s="81" t="e">
        <f aca="false">VLOOKUP(U1095,recipe_ingred_list!$A$2:$B$300,2,0)</f>
        <v>#N/A</v>
      </c>
      <c r="W1095" s="81" t="e">
        <f aca="false">"/recipes/"&amp;VLOOKUP(U1095,recipe_ingred_list!$A$2:$C$300,3,0)&amp;"/detail/"</f>
        <v>#N/A</v>
      </c>
      <c r="X1095" s="81" t="n">
        <f aca="false">J1095</f>
        <v>0</v>
      </c>
      <c r="Y1095" s="81" t="e">
        <f aca="false">R1095</f>
        <v>#N/A</v>
      </c>
      <c r="Z1095" s="94" t="e">
        <f aca="false">VLOOKUP(Y1095,recipe_ingred_list!$D$2:$E$500,2,0)</f>
        <v>#N/A</v>
      </c>
      <c r="AA1095" s="61" t="n">
        <f aca="false">K1095</f>
        <v>0</v>
      </c>
      <c r="AB1095" s="61" t="n">
        <f aca="false">L1095</f>
        <v>0</v>
      </c>
      <c r="AC1095" s="61" t="n">
        <f aca="false">VLOOKUP(AB1095,recipe_ingred_list!$K$2:$M$7,3,0)</f>
        <v>2</v>
      </c>
      <c r="AD1095" s="61" t="n">
        <f aca="false">M1095</f>
        <v>0</v>
      </c>
      <c r="AE1095" s="61" t="n">
        <f aca="false">N1095</f>
        <v>0</v>
      </c>
      <c r="AF1095" s="61" t="n">
        <f aca="false">VLOOKUP(AE1095,recipe_ingred_list!$K$16:$M$25,3,0)</f>
        <v>1</v>
      </c>
      <c r="AG1095" s="61" t="n">
        <f aca="false">O1095</f>
        <v>0</v>
      </c>
      <c r="AH1095" s="61" t="n">
        <f aca="false">P1095</f>
        <v>0</v>
      </c>
      <c r="AI1095" s="61" t="n">
        <f aca="false">VLOOKUP(AH1095,recipe_ingred_list!$K$29:$M$34,3,0)</f>
        <v>3</v>
      </c>
      <c r="AJ1095" s="61" t="str">
        <f aca="false">IF(Q1095="","",Q1095)</f>
        <v/>
      </c>
      <c r="AK1095" s="61" t="n">
        <f aca="false">AK1094+1</f>
        <v>1095</v>
      </c>
      <c r="AL1095" s="61" t="e">
        <f aca="false">Y1095</f>
        <v>#N/A</v>
      </c>
      <c r="AM1095" s="81" t="e">
        <f aca="false">"a = Client().post('"&amp;W1095&amp;"', {'recipe' : '"&amp;V1095&amp;"', 'ingredient' : '"&amp;Z1095&amp;"', 'name' : '"&amp;X1095&amp;"', 'mass_unit' : '"&amp;AC1095&amp;"', 'mass_quantity' : '"&amp;ROUND(AA1095,3)&amp;"', 'volume_unit' : '"&amp;AF1095&amp;"', 'volume_quantity' : '"&amp;ROUND(AD1095,3)&amp;"', 'pieces_unit' : '"&amp;AI1095&amp;"', 'pieces_quantity' : '"&amp;ROUND(AG1095,3)&amp;"', 'cooking_notes' : '"&amp;AJ1095&amp;"'}).status_code; print('%s :: %s :: %s :: %s :: %s' %(a,"&amp;G1095&amp;",'"&amp;X1095&amp;"','"&amp;Y1095&amp;"','"&amp;U1095&amp;"'))"</f>
        <v>#N/A</v>
      </c>
    </row>
    <row r="1096" customFormat="false" ht="13.8" hidden="false" customHeight="false" outlineLevel="0" collapsed="false">
      <c r="G1096" s="80" t="n">
        <v>1096</v>
      </c>
      <c r="H1096" s="83"/>
      <c r="I1096" s="83" t="s">
        <v>166</v>
      </c>
      <c r="J1096" s="83" t="s">
        <v>273</v>
      </c>
      <c r="O1096" s="61" t="n">
        <v>5</v>
      </c>
      <c r="P1096" s="61" t="s">
        <v>107</v>
      </c>
      <c r="R1096" s="82" t="str">
        <f aca="false">VLOOKUP(J1096,ingredient!$N$4:$O$553,2,0)</f>
        <v>coconut</v>
      </c>
      <c r="U1096" s="81" t="str">
        <f aca="false">I1096</f>
        <v>DHOKLA</v>
      </c>
      <c r="V1096" s="81" t="n">
        <f aca="false">VLOOKUP(U1096,recipe_ingred_list!$A$2:$B$300,2,0)</f>
        <v>19</v>
      </c>
      <c r="W1096" s="81" t="str">
        <f aca="false">"/recipes/"&amp;VLOOKUP(U1096,recipe_ingred_list!$A$2:$C$300,3,0)&amp;"/detail/"</f>
        <v>/recipes/dhokla/detail/</v>
      </c>
      <c r="X1096" s="81" t="str">
        <f aca="false">J1096</f>
        <v>coconut</v>
      </c>
      <c r="Y1096" s="81" t="str">
        <f aca="false">R1096</f>
        <v>coconut</v>
      </c>
      <c r="Z1096" s="94" t="n">
        <f aca="false">VLOOKUP(Y1096,recipe_ingred_list!$D$2:$E$500,2,0)</f>
        <v>54</v>
      </c>
      <c r="AA1096" s="61" t="n">
        <f aca="false">K1096</f>
        <v>0</v>
      </c>
      <c r="AB1096" s="61" t="n">
        <f aca="false">L1096</f>
        <v>0</v>
      </c>
      <c r="AC1096" s="61" t="n">
        <f aca="false">VLOOKUP(AB1096,recipe_ingred_list!$K$2:$M$7,3,0)</f>
        <v>2</v>
      </c>
      <c r="AD1096" s="61" t="n">
        <f aca="false">M1096</f>
        <v>0</v>
      </c>
      <c r="AE1096" s="61" t="n">
        <f aca="false">N1096</f>
        <v>0</v>
      </c>
      <c r="AF1096" s="61" t="n">
        <f aca="false">VLOOKUP(AE1096,recipe_ingred_list!$K$16:$M$25,3,0)</f>
        <v>1</v>
      </c>
      <c r="AG1096" s="61" t="n">
        <f aca="false">O1096</f>
        <v>5</v>
      </c>
      <c r="AH1096" s="61" t="str">
        <f aca="false">P1096</f>
        <v>pcs</v>
      </c>
      <c r="AI1096" s="61" t="n">
        <f aca="false">VLOOKUP(AH1096,recipe_ingred_list!$K$29:$M$34,3,0)</f>
        <v>3</v>
      </c>
      <c r="AJ1096" s="61" t="str">
        <f aca="false">IF(Q1096="","",Q1096)</f>
        <v/>
      </c>
      <c r="AK1096" s="61" t="n">
        <f aca="false">AK1095+1</f>
        <v>1096</v>
      </c>
      <c r="AL1096" s="61" t="str">
        <f aca="false">Y1096</f>
        <v>coconut</v>
      </c>
      <c r="AM1096" s="81" t="str">
        <f aca="false">"a = Client().post('"&amp;W1096&amp;"', {'recipe' : '"&amp;V1096&amp;"', 'ingredient' : '"&amp;Z1096&amp;"', 'name' : '"&amp;X1096&amp;"', 'mass_unit' : '"&amp;AC1096&amp;"', 'mass_quantity' : '"&amp;ROUND(AA1096,3)&amp;"', 'volume_unit' : '"&amp;AF1096&amp;"', 'volume_quantity' : '"&amp;ROUND(AD1096,3)&amp;"', 'pieces_unit' : '"&amp;AI1096&amp;"', 'pieces_quantity' : '"&amp;ROUND(AG1096,3)&amp;"', 'cooking_notes' : '"&amp;AJ1096&amp;"'}).status_code; print('%s :: %s :: %s :: %s :: %s' %(a,"&amp;G1096&amp;",'"&amp;X1096&amp;"','"&amp;Y1096&amp;"','"&amp;U1096&amp;"'))"</f>
        <v>a = Client().post('/recipes/dhokla/detail/', {'recipe' : '19', 'ingredient' : '54', 'name' : 'coconut', 'mass_unit' : '2', 'mass_quantity' : '0', 'volume_unit' : '1', 'volume_quantity' : '0', 'pieces_unit' : '3', 'pieces_quantity' : '5', 'cooking_notes' : ''}).status_code; print('%s :: %s :: %s :: %s :: %s' %(a,1096,'coconut','coconut','DHOKLA'))</v>
      </c>
    </row>
    <row r="1097" customFormat="false" ht="13.8" hidden="false" customHeight="false" outlineLevel="0" collapsed="false">
      <c r="G1097" s="80" t="n">
        <v>1097</v>
      </c>
      <c r="H1097" s="83"/>
      <c r="I1097" s="83" t="s">
        <v>166</v>
      </c>
      <c r="J1097" s="83" t="s">
        <v>309</v>
      </c>
      <c r="M1097" s="61" t="n">
        <v>4</v>
      </c>
      <c r="N1097" s="61" t="s">
        <v>13</v>
      </c>
      <c r="R1097" s="82" t="str">
        <f aca="false">VLOOKUP(J1097,ingredient!$N$4:$O$553,2,0)</f>
        <v>dhaniya patta</v>
      </c>
      <c r="U1097" s="81" t="str">
        <f aca="false">I1097</f>
        <v>DHOKLA</v>
      </c>
      <c r="V1097" s="81" t="n">
        <f aca="false">VLOOKUP(U1097,recipe_ingred_list!$A$2:$B$300,2,0)</f>
        <v>19</v>
      </c>
      <c r="W1097" s="81" t="str">
        <f aca="false">"/recipes/"&amp;VLOOKUP(U1097,recipe_ingred_list!$A$2:$C$300,3,0)&amp;"/detail/"</f>
        <v>/recipes/dhokla/detail/</v>
      </c>
      <c r="X1097" s="81" t="str">
        <f aca="false">J1097</f>
        <v>dhaniya patta</v>
      </c>
      <c r="Y1097" s="81" t="str">
        <f aca="false">R1097</f>
        <v>dhaniya patta</v>
      </c>
      <c r="Z1097" s="94" t="n">
        <f aca="false">VLOOKUP(Y1097,recipe_ingred_list!$D$2:$E$500,2,0)</f>
        <v>66</v>
      </c>
      <c r="AA1097" s="61" t="n">
        <f aca="false">K1097</f>
        <v>0</v>
      </c>
      <c r="AB1097" s="61" t="n">
        <f aca="false">L1097</f>
        <v>0</v>
      </c>
      <c r="AC1097" s="61" t="n">
        <f aca="false">VLOOKUP(AB1097,recipe_ingred_list!$K$2:$M$7,3,0)</f>
        <v>2</v>
      </c>
      <c r="AD1097" s="61" t="n">
        <f aca="false">M1097</f>
        <v>4</v>
      </c>
      <c r="AE1097" s="61" t="str">
        <f aca="false">N1097</f>
        <v>ltr</v>
      </c>
      <c r="AF1097" s="61" t="n">
        <f aca="false">VLOOKUP(AE1097,recipe_ingred_list!$K$16:$M$25,3,0)</f>
        <v>1</v>
      </c>
      <c r="AG1097" s="61" t="n">
        <f aca="false">O1097</f>
        <v>0</v>
      </c>
      <c r="AH1097" s="61" t="n">
        <f aca="false">P1097</f>
        <v>0</v>
      </c>
      <c r="AI1097" s="61" t="n">
        <f aca="false">VLOOKUP(AH1097,recipe_ingred_list!$K$29:$M$34,3,0)</f>
        <v>3</v>
      </c>
      <c r="AJ1097" s="61" t="str">
        <f aca="false">IF(Q1097="","",Q1097)</f>
        <v/>
      </c>
      <c r="AK1097" s="61" t="n">
        <f aca="false">AK1096+1</f>
        <v>1097</v>
      </c>
      <c r="AL1097" s="61" t="str">
        <f aca="false">Y1097</f>
        <v>dhaniya patta</v>
      </c>
      <c r="AM1097" s="81" t="str">
        <f aca="false">"a = Client().post('"&amp;W1097&amp;"', {'recipe' : '"&amp;V1097&amp;"', 'ingredient' : '"&amp;Z1097&amp;"', 'name' : '"&amp;X1097&amp;"', 'mass_unit' : '"&amp;AC1097&amp;"', 'mass_quantity' : '"&amp;ROUND(AA1097,3)&amp;"', 'volume_unit' : '"&amp;AF1097&amp;"', 'volume_quantity' : '"&amp;ROUND(AD1097,3)&amp;"', 'pieces_unit' : '"&amp;AI1097&amp;"', 'pieces_quantity' : '"&amp;ROUND(AG1097,3)&amp;"', 'cooking_notes' : '"&amp;AJ1097&amp;"'}).status_code; print('%s :: %s :: %s :: %s :: %s' %(a,"&amp;G1097&amp;",'"&amp;X1097&amp;"','"&amp;Y1097&amp;"','"&amp;U1097&amp;"'))"</f>
        <v>a = Client().post('/recipes/dhokla/detail/', {'recipe' : '19', 'ingredient' : '66', 'name' : 'dhaniya patta', 'mass_unit' : '2', 'mass_quantity' : '0', 'volume_unit' : '1', 'volume_quantity' : '4', 'pieces_unit' : '3', 'pieces_quantity' : '0', 'cooking_notes' : ''}).status_code; print('%s :: %s :: %s :: %s :: %s' %(a,1097,'dhaniya patta','dhaniya patta','DHOKLA'))</v>
      </c>
    </row>
    <row r="1098" customFormat="false" ht="13.8" hidden="false" customHeight="false" outlineLevel="0" collapsed="false">
      <c r="G1098" s="80" t="n">
        <v>1098</v>
      </c>
      <c r="H1098" s="83"/>
      <c r="I1098" s="83" t="s">
        <v>166</v>
      </c>
      <c r="J1098" s="83" t="s">
        <v>870</v>
      </c>
      <c r="M1098" s="61" t="n">
        <v>2</v>
      </c>
      <c r="N1098" s="61" t="s">
        <v>13</v>
      </c>
      <c r="R1098" s="82" t="str">
        <f aca="false">VLOOKUP(J1098,ingredient!$N$4:$O$553,2,0)</f>
        <v>water</v>
      </c>
      <c r="U1098" s="81" t="str">
        <f aca="false">I1098</f>
        <v>DHOKLA</v>
      </c>
      <c r="V1098" s="81" t="n">
        <f aca="false">VLOOKUP(U1098,recipe_ingred_list!$A$2:$B$300,2,0)</f>
        <v>19</v>
      </c>
      <c r="W1098" s="81" t="str">
        <f aca="false">"/recipes/"&amp;VLOOKUP(U1098,recipe_ingred_list!$A$2:$C$300,3,0)&amp;"/detail/"</f>
        <v>/recipes/dhokla/detail/</v>
      </c>
      <c r="X1098" s="81" t="str">
        <f aca="false">J1098</f>
        <v>water( for dough of besan)</v>
      </c>
      <c r="Y1098" s="81" t="str">
        <f aca="false">R1098</f>
        <v>water</v>
      </c>
      <c r="Z1098" s="94" t="n">
        <f aca="false">VLOOKUP(Y1098,recipe_ingred_list!$D$2:$E$500,2,0)</f>
        <v>214</v>
      </c>
      <c r="AA1098" s="61" t="n">
        <f aca="false">K1098</f>
        <v>0</v>
      </c>
      <c r="AB1098" s="61" t="n">
        <f aca="false">L1098</f>
        <v>0</v>
      </c>
      <c r="AC1098" s="61" t="n">
        <f aca="false">VLOOKUP(AB1098,recipe_ingred_list!$K$2:$M$7,3,0)</f>
        <v>2</v>
      </c>
      <c r="AD1098" s="61" t="n">
        <f aca="false">M1098</f>
        <v>2</v>
      </c>
      <c r="AE1098" s="61" t="str">
        <f aca="false">N1098</f>
        <v>ltr</v>
      </c>
      <c r="AF1098" s="61" t="n">
        <f aca="false">VLOOKUP(AE1098,recipe_ingred_list!$K$16:$M$25,3,0)</f>
        <v>1</v>
      </c>
      <c r="AG1098" s="61" t="n">
        <f aca="false">O1098</f>
        <v>0</v>
      </c>
      <c r="AH1098" s="61" t="n">
        <f aca="false">P1098</f>
        <v>0</v>
      </c>
      <c r="AI1098" s="61" t="n">
        <f aca="false">VLOOKUP(AH1098,recipe_ingred_list!$K$29:$M$34,3,0)</f>
        <v>3</v>
      </c>
      <c r="AJ1098" s="61" t="str">
        <f aca="false">IF(Q1098="","",Q1098)</f>
        <v/>
      </c>
      <c r="AK1098" s="61" t="n">
        <f aca="false">AK1097+1</f>
        <v>1098</v>
      </c>
      <c r="AL1098" s="61" t="str">
        <f aca="false">Y1098</f>
        <v>water</v>
      </c>
      <c r="AM1098" s="81" t="str">
        <f aca="false">"a = Client().post('"&amp;W1098&amp;"', {'recipe' : '"&amp;V1098&amp;"', 'ingredient' : '"&amp;Z1098&amp;"', 'name' : '"&amp;X1098&amp;"', 'mass_unit' : '"&amp;AC1098&amp;"', 'mass_quantity' : '"&amp;ROUND(AA1098,3)&amp;"', 'volume_unit' : '"&amp;AF1098&amp;"', 'volume_quantity' : '"&amp;ROUND(AD1098,3)&amp;"', 'pieces_unit' : '"&amp;AI1098&amp;"', 'pieces_quantity' : '"&amp;ROUND(AG1098,3)&amp;"', 'cooking_notes' : '"&amp;AJ1098&amp;"'}).status_code; print('%s :: %s :: %s :: %s :: %s' %(a,"&amp;G1098&amp;",'"&amp;X1098&amp;"','"&amp;Y1098&amp;"','"&amp;U1098&amp;"'))"</f>
        <v>a = Client().post('/recipes/dhokla/detail/', {'recipe' : '19', 'ingredient' : '214', 'name' : 'water( for dough of besan)', 'mass_unit' : '2', 'mass_quantity' : '0', 'volume_unit' : '1', 'volume_quantity' : '2', 'pieces_unit' : '3', 'pieces_quantity' : '0', 'cooking_notes' : ''}).status_code; print('%s :: %s :: %s :: %s :: %s' %(a,1098,'water( for dough of besan)','water','DHOKLA'))</v>
      </c>
    </row>
    <row r="1099" customFormat="false" ht="13.8" hidden="false" customHeight="false" outlineLevel="0" collapsed="false">
      <c r="G1099" s="80" t="n">
        <v>1099</v>
      </c>
      <c r="H1099" s="83"/>
      <c r="I1099" s="83" t="s">
        <v>166</v>
      </c>
      <c r="J1099" s="83" t="s">
        <v>871</v>
      </c>
      <c r="M1099" s="61" t="n">
        <v>20</v>
      </c>
      <c r="N1099" s="61" t="s">
        <v>13</v>
      </c>
      <c r="R1099" s="82" t="str">
        <f aca="false">VLOOKUP(J1099,ingredient!$N$4:$O$553,2,0)</f>
        <v>water</v>
      </c>
      <c r="U1099" s="81" t="str">
        <f aca="false">I1099</f>
        <v>DHOKLA</v>
      </c>
      <c r="V1099" s="81" t="n">
        <f aca="false">VLOOKUP(U1099,recipe_ingred_list!$A$2:$B$300,2,0)</f>
        <v>19</v>
      </c>
      <c r="W1099" s="81" t="str">
        <f aca="false">"/recipes/"&amp;VLOOKUP(U1099,recipe_ingred_list!$A$2:$C$300,3,0)&amp;"/detail/"</f>
        <v>/recipes/dhokla/detail/</v>
      </c>
      <c r="X1099" s="81" t="str">
        <f aca="false">J1099</f>
        <v>water for stem</v>
      </c>
      <c r="Y1099" s="81" t="str">
        <f aca="false">R1099</f>
        <v>water</v>
      </c>
      <c r="Z1099" s="94" t="n">
        <f aca="false">VLOOKUP(Y1099,recipe_ingred_list!$D$2:$E$500,2,0)</f>
        <v>214</v>
      </c>
      <c r="AA1099" s="61" t="n">
        <f aca="false">K1099</f>
        <v>0</v>
      </c>
      <c r="AB1099" s="61" t="n">
        <f aca="false">L1099</f>
        <v>0</v>
      </c>
      <c r="AC1099" s="61" t="n">
        <f aca="false">VLOOKUP(AB1099,recipe_ingred_list!$K$2:$M$7,3,0)</f>
        <v>2</v>
      </c>
      <c r="AD1099" s="61" t="n">
        <f aca="false">M1099</f>
        <v>20</v>
      </c>
      <c r="AE1099" s="61" t="str">
        <f aca="false">N1099</f>
        <v>ltr</v>
      </c>
      <c r="AF1099" s="61" t="n">
        <f aca="false">VLOOKUP(AE1099,recipe_ingred_list!$K$16:$M$25,3,0)</f>
        <v>1</v>
      </c>
      <c r="AG1099" s="61" t="n">
        <f aca="false">O1099</f>
        <v>0</v>
      </c>
      <c r="AH1099" s="61" t="n">
        <f aca="false">P1099</f>
        <v>0</v>
      </c>
      <c r="AI1099" s="61" t="n">
        <f aca="false">VLOOKUP(AH1099,recipe_ingred_list!$K$29:$M$34,3,0)</f>
        <v>3</v>
      </c>
      <c r="AJ1099" s="61" t="str">
        <f aca="false">IF(Q1099="","",Q1099)</f>
        <v/>
      </c>
      <c r="AK1099" s="61" t="n">
        <f aca="false">AK1098+1</f>
        <v>1099</v>
      </c>
      <c r="AL1099" s="61" t="str">
        <f aca="false">Y1099</f>
        <v>water</v>
      </c>
      <c r="AM1099" s="81" t="str">
        <f aca="false">"a = Client().post('"&amp;W1099&amp;"', {'recipe' : '"&amp;V1099&amp;"', 'ingredient' : '"&amp;Z1099&amp;"', 'name' : '"&amp;X1099&amp;"', 'mass_unit' : '"&amp;AC1099&amp;"', 'mass_quantity' : '"&amp;ROUND(AA1099,3)&amp;"', 'volume_unit' : '"&amp;AF1099&amp;"', 'volume_quantity' : '"&amp;ROUND(AD1099,3)&amp;"', 'pieces_unit' : '"&amp;AI1099&amp;"', 'pieces_quantity' : '"&amp;ROUND(AG1099,3)&amp;"', 'cooking_notes' : '"&amp;AJ1099&amp;"'}).status_code; print('%s :: %s :: %s :: %s :: %s' %(a,"&amp;G1099&amp;",'"&amp;X1099&amp;"','"&amp;Y1099&amp;"','"&amp;U1099&amp;"'))"</f>
        <v>a = Client().post('/recipes/dhokla/detail/', {'recipe' : '19', 'ingredient' : '214', 'name' : 'water for stem', 'mass_unit' : '2', 'mass_quantity' : '0', 'volume_unit' : '1', 'volume_quantity' : '20', 'pieces_unit' : '3', 'pieces_quantity' : '0', 'cooking_notes' : ''}).status_code; print('%s :: %s :: %s :: %s :: %s' %(a,1099,'water for stem','water','DHOKLA'))</v>
      </c>
    </row>
    <row r="1100" customFormat="false" ht="13.8" hidden="false" customHeight="false" outlineLevel="0" collapsed="false">
      <c r="G1100" s="80" t="n">
        <v>1100</v>
      </c>
      <c r="H1100" s="83"/>
      <c r="I1100" s="83" t="s">
        <v>166</v>
      </c>
      <c r="J1100" s="83" t="s">
        <v>872</v>
      </c>
      <c r="K1100" s="61" t="n">
        <v>1.75</v>
      </c>
      <c r="L1100" s="61" t="s">
        <v>7</v>
      </c>
      <c r="O1100" s="61" t="n">
        <v>120</v>
      </c>
      <c r="P1100" s="61" t="s">
        <v>107</v>
      </c>
      <c r="R1100" s="82" t="str">
        <f aca="false">VLOOKUP(J1100,ingredient!$N$4:$O$553,2,0)</f>
        <v>besan</v>
      </c>
      <c r="U1100" s="81" t="str">
        <f aca="false">I1100</f>
        <v>DHOKLA</v>
      </c>
      <c r="V1100" s="81" t="n">
        <f aca="false">VLOOKUP(U1100,recipe_ingred_list!$A$2:$B$300,2,0)</f>
        <v>19</v>
      </c>
      <c r="W1100" s="81" t="str">
        <f aca="false">"/recipes/"&amp;VLOOKUP(U1100,recipe_ingred_list!$A$2:$C$300,3,0)&amp;"/detail/"</f>
        <v>/recipes/dhokla/detail/</v>
      </c>
      <c r="X1100" s="81" t="str">
        <f aca="false">J1100</f>
        <v>barik besan flour</v>
      </c>
      <c r="Y1100" s="81" t="str">
        <f aca="false">R1100</f>
        <v>besan</v>
      </c>
      <c r="Z1100" s="94" t="n">
        <f aca="false">VLOOKUP(Y1100,recipe_ingred_list!$D$2:$E$500,2,0)</f>
        <v>28</v>
      </c>
      <c r="AA1100" s="61" t="n">
        <f aca="false">K1100</f>
        <v>1.75</v>
      </c>
      <c r="AB1100" s="61" t="str">
        <f aca="false">L1100</f>
        <v>kg</v>
      </c>
      <c r="AC1100" s="61" t="n">
        <f aca="false">VLOOKUP(AB1100,recipe_ingred_list!$K$2:$M$7,3,0)</f>
        <v>2</v>
      </c>
      <c r="AD1100" s="61" t="n">
        <f aca="false">M1100</f>
        <v>0</v>
      </c>
      <c r="AE1100" s="61" t="n">
        <f aca="false">N1100</f>
        <v>0</v>
      </c>
      <c r="AF1100" s="61" t="n">
        <f aca="false">VLOOKUP(AE1100,recipe_ingred_list!$K$16:$M$25,3,0)</f>
        <v>1</v>
      </c>
      <c r="AG1100" s="61" t="n">
        <f aca="false">O1100</f>
        <v>120</v>
      </c>
      <c r="AH1100" s="61" t="str">
        <f aca="false">P1100</f>
        <v>pcs</v>
      </c>
      <c r="AI1100" s="61" t="n">
        <f aca="false">VLOOKUP(AH1100,recipe_ingred_list!$K$29:$M$34,3,0)</f>
        <v>3</v>
      </c>
      <c r="AJ1100" s="61" t="str">
        <f aca="false">IF(Q1100="","",Q1100)</f>
        <v/>
      </c>
      <c r="AK1100" s="61" t="n">
        <f aca="false">AK1099+1</f>
        <v>1100</v>
      </c>
      <c r="AL1100" s="61" t="str">
        <f aca="false">Y1100</f>
        <v>besan</v>
      </c>
      <c r="AM1100" s="81" t="str">
        <f aca="false">"a = Client().post('"&amp;W1100&amp;"', {'recipe' : '"&amp;V1100&amp;"', 'ingredient' : '"&amp;Z1100&amp;"', 'name' : '"&amp;X1100&amp;"', 'mass_unit' : '"&amp;AC1100&amp;"', 'mass_quantity' : '"&amp;ROUND(AA1100,3)&amp;"', 'volume_unit' : '"&amp;AF1100&amp;"', 'volume_quantity' : '"&amp;ROUND(AD1100,3)&amp;"', 'pieces_unit' : '"&amp;AI1100&amp;"', 'pieces_quantity' : '"&amp;ROUND(AG1100,3)&amp;"', 'cooking_notes' : '"&amp;AJ1100&amp;"'}).status_code; print('%s :: %s :: %s :: %s :: %s' %(a,"&amp;G1100&amp;",'"&amp;X1100&amp;"','"&amp;Y1100&amp;"','"&amp;U1100&amp;"'))"</f>
        <v>a = Client().post('/recipes/dhokla/detail/', {'recipe' : '19', 'ingredient' : '28', 'name' : 'barik besan flour', 'mass_unit' : '2', 'mass_quantity' : '1.75', 'volume_unit' : '1', 'volume_quantity' : '0', 'pieces_unit' : '3', 'pieces_quantity' : '120', 'cooking_notes' : ''}).status_code; print('%s :: %s :: %s :: %s :: %s' %(a,1100,'barik besan flour','besan','DHOKLA'))</v>
      </c>
    </row>
    <row r="1101" customFormat="false" ht="13.8" hidden="false" customHeight="false" outlineLevel="0" collapsed="false">
      <c r="G1101" s="80" t="n">
        <v>1101</v>
      </c>
      <c r="H1101" s="83"/>
      <c r="I1101" s="83" t="s">
        <v>166</v>
      </c>
      <c r="J1101" s="83" t="s">
        <v>377</v>
      </c>
      <c r="M1101" s="61" t="n">
        <v>200</v>
      </c>
      <c r="N1101" s="61" t="s">
        <v>143</v>
      </c>
      <c r="R1101" s="82" t="str">
        <f aca="false">VLOOKUP(J1101,ingredient!$N$4:$O$553,2,0)</f>
        <v>ground nut oil</v>
      </c>
      <c r="U1101" s="81" t="str">
        <f aca="false">I1101</f>
        <v>DHOKLA</v>
      </c>
      <c r="V1101" s="81" t="n">
        <f aca="false">VLOOKUP(U1101,recipe_ingred_list!$A$2:$B$300,2,0)</f>
        <v>19</v>
      </c>
      <c r="W1101" s="81" t="str">
        <f aca="false">"/recipes/"&amp;VLOOKUP(U1101,recipe_ingred_list!$A$2:$C$300,3,0)&amp;"/detail/"</f>
        <v>/recipes/dhokla/detail/</v>
      </c>
      <c r="X1101" s="81" t="str">
        <f aca="false">J1101</f>
        <v>ground nut oil</v>
      </c>
      <c r="Y1101" s="81" t="str">
        <f aca="false">R1101</f>
        <v>ground nut oil</v>
      </c>
      <c r="Z1101" s="94" t="n">
        <f aca="false">VLOOKUP(Y1101,recipe_ingred_list!$D$2:$E$500,2,0)</f>
        <v>89</v>
      </c>
      <c r="AA1101" s="61" t="n">
        <f aca="false">K1101</f>
        <v>0</v>
      </c>
      <c r="AB1101" s="61" t="n">
        <f aca="false">L1101</f>
        <v>0</v>
      </c>
      <c r="AC1101" s="61" t="n">
        <f aca="false">VLOOKUP(AB1101,recipe_ingred_list!$K$2:$M$7,3,0)</f>
        <v>2</v>
      </c>
      <c r="AD1101" s="61" t="n">
        <f aca="false">M1101</f>
        <v>200</v>
      </c>
      <c r="AE1101" s="61" t="str">
        <f aca="false">N1101</f>
        <v>ml</v>
      </c>
      <c r="AF1101" s="61" t="n">
        <f aca="false">VLOOKUP(AE1101,recipe_ingred_list!$K$16:$M$25,3,0)</f>
        <v>12</v>
      </c>
      <c r="AG1101" s="61" t="n">
        <f aca="false">O1101</f>
        <v>0</v>
      </c>
      <c r="AH1101" s="61" t="n">
        <f aca="false">P1101</f>
        <v>0</v>
      </c>
      <c r="AI1101" s="61" t="n">
        <f aca="false">VLOOKUP(AH1101,recipe_ingred_list!$K$29:$M$34,3,0)</f>
        <v>3</v>
      </c>
      <c r="AJ1101" s="61" t="str">
        <f aca="false">IF(Q1101="","",Q1101)</f>
        <v/>
      </c>
      <c r="AK1101" s="61" t="n">
        <f aca="false">AK1100+1</f>
        <v>1101</v>
      </c>
      <c r="AL1101" s="61" t="str">
        <f aca="false">Y1101</f>
        <v>ground nut oil</v>
      </c>
      <c r="AM1101" s="81" t="str">
        <f aca="false">"a = Client().post('"&amp;W1101&amp;"', {'recipe' : '"&amp;V1101&amp;"', 'ingredient' : '"&amp;Z1101&amp;"', 'name' : '"&amp;X1101&amp;"', 'mass_unit' : '"&amp;AC1101&amp;"', 'mass_quantity' : '"&amp;ROUND(AA1101,3)&amp;"', 'volume_unit' : '"&amp;AF1101&amp;"', 'volume_quantity' : '"&amp;ROUND(AD1101,3)&amp;"', 'pieces_unit' : '"&amp;AI1101&amp;"', 'pieces_quantity' : '"&amp;ROUND(AG1101,3)&amp;"', 'cooking_notes' : '"&amp;AJ1101&amp;"'}).status_code; print('%s :: %s :: %s :: %s :: %s' %(a,"&amp;G1101&amp;",'"&amp;X1101&amp;"','"&amp;Y1101&amp;"','"&amp;U1101&amp;"'))"</f>
        <v>a = Client().post('/recipes/dhokla/detail/', {'recipe' : '19', 'ingredient' : '89', 'name' : 'ground nut oil', 'mass_unit' : '2', 'mass_quantity' : '0', 'volume_unit' : '12', 'volume_quantity' : '200', 'pieces_unit' : '3', 'pieces_quantity' : '0', 'cooking_notes' : ''}).status_code; print('%s :: %s :: %s :: %s :: %s' %(a,1101,'ground nut oil','ground nut oil','DHOKLA'))</v>
      </c>
    </row>
    <row r="1102" customFormat="false" ht="13.8" hidden="false" customHeight="false" outlineLevel="0" collapsed="false">
      <c r="G1102" s="80" t="n">
        <v>1102</v>
      </c>
      <c r="H1102" s="83"/>
      <c r="I1102" s="83" t="s">
        <v>166</v>
      </c>
      <c r="J1102" s="83" t="s">
        <v>44</v>
      </c>
      <c r="K1102" s="61" t="n">
        <v>250</v>
      </c>
      <c r="L1102" s="61" t="s">
        <v>109</v>
      </c>
      <c r="R1102" s="82" t="str">
        <f aca="false">VLOOKUP(J1102,ingredient!$N$4:$O$553,2,0)</f>
        <v>sugar</v>
      </c>
      <c r="U1102" s="81" t="str">
        <f aca="false">I1102</f>
        <v>DHOKLA</v>
      </c>
      <c r="V1102" s="81" t="n">
        <f aca="false">VLOOKUP(U1102,recipe_ingred_list!$A$2:$B$300,2,0)</f>
        <v>19</v>
      </c>
      <c r="W1102" s="81" t="str">
        <f aca="false">"/recipes/"&amp;VLOOKUP(U1102,recipe_ingred_list!$A$2:$C$300,3,0)&amp;"/detail/"</f>
        <v>/recipes/dhokla/detail/</v>
      </c>
      <c r="X1102" s="81" t="str">
        <f aca="false">J1102</f>
        <v>sugar</v>
      </c>
      <c r="Y1102" s="81" t="str">
        <f aca="false">R1102</f>
        <v>sugar</v>
      </c>
      <c r="Z1102" s="94" t="n">
        <f aca="false">VLOOKUP(Y1102,recipe_ingred_list!$D$2:$E$500,2,0)</f>
        <v>187</v>
      </c>
      <c r="AA1102" s="61" t="n">
        <f aca="false">K1102</f>
        <v>250</v>
      </c>
      <c r="AB1102" s="61" t="str">
        <f aca="false">L1102</f>
        <v>gm</v>
      </c>
      <c r="AC1102" s="61" t="n">
        <f aca="false">VLOOKUP(AB1102,recipe_ingred_list!$K$2:$M$7,3,0)</f>
        <v>7</v>
      </c>
      <c r="AD1102" s="61" t="n">
        <f aca="false">M1102</f>
        <v>0</v>
      </c>
      <c r="AE1102" s="61" t="n">
        <f aca="false">N1102</f>
        <v>0</v>
      </c>
      <c r="AF1102" s="61" t="n">
        <f aca="false">VLOOKUP(AE1102,recipe_ingred_list!$K$16:$M$25,3,0)</f>
        <v>1</v>
      </c>
      <c r="AG1102" s="61" t="n">
        <f aca="false">O1102</f>
        <v>0</v>
      </c>
      <c r="AH1102" s="61" t="n">
        <f aca="false">P1102</f>
        <v>0</v>
      </c>
      <c r="AI1102" s="61" t="n">
        <f aca="false">VLOOKUP(AH1102,recipe_ingred_list!$K$29:$M$34,3,0)</f>
        <v>3</v>
      </c>
      <c r="AJ1102" s="61" t="str">
        <f aca="false">IF(Q1102="","",Q1102)</f>
        <v/>
      </c>
      <c r="AK1102" s="61" t="n">
        <f aca="false">AK1101+1</f>
        <v>1102</v>
      </c>
      <c r="AL1102" s="61" t="str">
        <f aca="false">Y1102</f>
        <v>sugar</v>
      </c>
      <c r="AM1102" s="81" t="str">
        <f aca="false">"a = Client().post('"&amp;W1102&amp;"', {'recipe' : '"&amp;V1102&amp;"', 'ingredient' : '"&amp;Z1102&amp;"', 'name' : '"&amp;X1102&amp;"', 'mass_unit' : '"&amp;AC1102&amp;"', 'mass_quantity' : '"&amp;ROUND(AA1102,3)&amp;"', 'volume_unit' : '"&amp;AF1102&amp;"', 'volume_quantity' : '"&amp;ROUND(AD1102,3)&amp;"', 'pieces_unit' : '"&amp;AI1102&amp;"', 'pieces_quantity' : '"&amp;ROUND(AG1102,3)&amp;"', 'cooking_notes' : '"&amp;AJ1102&amp;"'}).status_code; print('%s :: %s :: %s :: %s :: %s' %(a,"&amp;G1102&amp;",'"&amp;X1102&amp;"','"&amp;Y1102&amp;"','"&amp;U1102&amp;"'))"</f>
        <v>a = Client().post('/recipes/dhokla/detail/', {'recipe' : '19', 'ingredient' : '187', 'name' : 'sugar', 'mass_unit' : '7', 'mass_quantity' : '250', 'volume_unit' : '1', 'volume_quantity' : '0', 'pieces_unit' : '3', 'pieces_quantity' : '0', 'cooking_notes' : ''}).status_code; print('%s :: %s :: %s :: %s :: %s' %(a,1102,'sugar','sugar','DHOKLA'))</v>
      </c>
    </row>
    <row r="1103" customFormat="false" ht="13.8" hidden="false" customHeight="false" outlineLevel="0" collapsed="false">
      <c r="G1103" s="80" t="n">
        <v>1103</v>
      </c>
      <c r="H1103" s="83"/>
      <c r="I1103" s="83" t="s">
        <v>166</v>
      </c>
      <c r="J1103" s="83" t="s">
        <v>873</v>
      </c>
      <c r="K1103" s="61" t="n">
        <v>50</v>
      </c>
      <c r="L1103" s="61" t="s">
        <v>109</v>
      </c>
      <c r="R1103" s="82" t="str">
        <f aca="false">VLOOKUP(J1103,ingredient!$N$4:$O$553,2,0)</f>
        <v>nimbu fool</v>
      </c>
      <c r="U1103" s="81" t="str">
        <f aca="false">I1103</f>
        <v>DHOKLA</v>
      </c>
      <c r="V1103" s="81" t="n">
        <f aca="false">VLOOKUP(U1103,recipe_ingred_list!$A$2:$B$300,2,0)</f>
        <v>19</v>
      </c>
      <c r="W1103" s="81" t="str">
        <f aca="false">"/recipes/"&amp;VLOOKUP(U1103,recipe_ingred_list!$A$2:$C$300,3,0)&amp;"/detail/"</f>
        <v>/recipes/dhokla/detail/</v>
      </c>
      <c r="X1103" s="81" t="str">
        <f aca="false">J1103</f>
        <v>citric acid( NIMBU FOOL)</v>
      </c>
      <c r="Y1103" s="81" t="str">
        <f aca="false">R1103</f>
        <v>nimbu fool</v>
      </c>
      <c r="Z1103" s="94" t="n">
        <f aca="false">VLOOKUP(Y1103,recipe_ingred_list!$D$2:$E$500,2,0)</f>
        <v>150</v>
      </c>
      <c r="AA1103" s="61" t="n">
        <f aca="false">K1103</f>
        <v>50</v>
      </c>
      <c r="AB1103" s="61" t="str">
        <f aca="false">L1103</f>
        <v>gm</v>
      </c>
      <c r="AC1103" s="61" t="n">
        <f aca="false">VLOOKUP(AB1103,recipe_ingred_list!$K$2:$M$7,3,0)</f>
        <v>7</v>
      </c>
      <c r="AD1103" s="61" t="n">
        <f aca="false">M1103</f>
        <v>0</v>
      </c>
      <c r="AE1103" s="61" t="n">
        <f aca="false">N1103</f>
        <v>0</v>
      </c>
      <c r="AF1103" s="61" t="n">
        <f aca="false">VLOOKUP(AE1103,recipe_ingred_list!$K$16:$M$25,3,0)</f>
        <v>1</v>
      </c>
      <c r="AG1103" s="61" t="n">
        <f aca="false">O1103</f>
        <v>0</v>
      </c>
      <c r="AH1103" s="61" t="n">
        <f aca="false">P1103</f>
        <v>0</v>
      </c>
      <c r="AI1103" s="61" t="n">
        <f aca="false">VLOOKUP(AH1103,recipe_ingred_list!$K$29:$M$34,3,0)</f>
        <v>3</v>
      </c>
      <c r="AJ1103" s="61" t="str">
        <f aca="false">IF(Q1103="","",Q1103)</f>
        <v/>
      </c>
      <c r="AK1103" s="61" t="n">
        <f aca="false">AK1102+1</f>
        <v>1103</v>
      </c>
      <c r="AL1103" s="61" t="str">
        <f aca="false">Y1103</f>
        <v>nimbu fool</v>
      </c>
      <c r="AM1103" s="81" t="str">
        <f aca="false">"a = Client().post('"&amp;W1103&amp;"', {'recipe' : '"&amp;V1103&amp;"', 'ingredient' : '"&amp;Z1103&amp;"', 'name' : '"&amp;X1103&amp;"', 'mass_unit' : '"&amp;AC1103&amp;"', 'mass_quantity' : '"&amp;ROUND(AA1103,3)&amp;"', 'volume_unit' : '"&amp;AF1103&amp;"', 'volume_quantity' : '"&amp;ROUND(AD1103,3)&amp;"', 'pieces_unit' : '"&amp;AI1103&amp;"', 'pieces_quantity' : '"&amp;ROUND(AG1103,3)&amp;"', 'cooking_notes' : '"&amp;AJ1103&amp;"'}).status_code; print('%s :: %s :: %s :: %s :: %s' %(a,"&amp;G1103&amp;",'"&amp;X1103&amp;"','"&amp;Y1103&amp;"','"&amp;U1103&amp;"'))"</f>
        <v>a = Client().post('/recipes/dhokla/detail/', {'recipe' : '19', 'ingredient' : '150', 'name' : 'citric acid( NIMBU FOOL)', 'mass_unit' : '7', 'mass_quantity' : '50', 'volume_unit' : '1', 'volume_quantity' : '0', 'pieces_unit' : '3', 'pieces_quantity' : '0', 'cooking_notes' : ''}).status_code; print('%s :: %s :: %s :: %s :: %s' %(a,1103,'citric acid( NIMBU FOOL)','nimbu fool','DHOKLA'))</v>
      </c>
    </row>
    <row r="1104" customFormat="false" ht="13.8" hidden="false" customHeight="false" outlineLevel="0" collapsed="false">
      <c r="G1104" s="80" t="n">
        <v>1104</v>
      </c>
      <c r="H1104" s="83"/>
      <c r="I1104" s="83" t="s">
        <v>166</v>
      </c>
      <c r="J1104" s="83" t="s">
        <v>96</v>
      </c>
      <c r="K1104" s="61" t="n">
        <v>50</v>
      </c>
      <c r="L1104" s="61" t="s">
        <v>109</v>
      </c>
      <c r="R1104" s="82" t="str">
        <f aca="false">VLOOKUP(J1104,ingredient!$N$4:$O$553,2,0)</f>
        <v>salt</v>
      </c>
      <c r="U1104" s="81" t="str">
        <f aca="false">I1104</f>
        <v>DHOKLA</v>
      </c>
      <c r="V1104" s="81" t="n">
        <f aca="false">VLOOKUP(U1104,recipe_ingred_list!$A$2:$B$300,2,0)</f>
        <v>19</v>
      </c>
      <c r="W1104" s="81" t="str">
        <f aca="false">"/recipes/"&amp;VLOOKUP(U1104,recipe_ingred_list!$A$2:$C$300,3,0)&amp;"/detail/"</f>
        <v>/recipes/dhokla/detail/</v>
      </c>
      <c r="X1104" s="81" t="str">
        <f aca="false">J1104</f>
        <v>salt</v>
      </c>
      <c r="Y1104" s="81" t="str">
        <f aca="false">R1104</f>
        <v>salt</v>
      </c>
      <c r="Z1104" s="94" t="n">
        <f aca="false">VLOOKUP(Y1104,recipe_ingred_list!$D$2:$E$500,2,0)</f>
        <v>177</v>
      </c>
      <c r="AA1104" s="61" t="n">
        <f aca="false">K1104</f>
        <v>50</v>
      </c>
      <c r="AB1104" s="61" t="str">
        <f aca="false">L1104</f>
        <v>gm</v>
      </c>
      <c r="AC1104" s="61" t="n">
        <f aca="false">VLOOKUP(AB1104,recipe_ingred_list!$K$2:$M$7,3,0)</f>
        <v>7</v>
      </c>
      <c r="AD1104" s="61" t="n">
        <f aca="false">M1104</f>
        <v>0</v>
      </c>
      <c r="AE1104" s="61" t="n">
        <f aca="false">N1104</f>
        <v>0</v>
      </c>
      <c r="AF1104" s="61" t="n">
        <f aca="false">VLOOKUP(AE1104,recipe_ingred_list!$K$16:$M$25,3,0)</f>
        <v>1</v>
      </c>
      <c r="AG1104" s="61" t="n">
        <f aca="false">O1104</f>
        <v>0</v>
      </c>
      <c r="AH1104" s="61" t="n">
        <f aca="false">P1104</f>
        <v>0</v>
      </c>
      <c r="AI1104" s="61" t="n">
        <f aca="false">VLOOKUP(AH1104,recipe_ingred_list!$K$29:$M$34,3,0)</f>
        <v>3</v>
      </c>
      <c r="AJ1104" s="61" t="str">
        <f aca="false">IF(Q1104="","",Q1104)</f>
        <v/>
      </c>
      <c r="AK1104" s="61" t="n">
        <f aca="false">AK1103+1</f>
        <v>1104</v>
      </c>
      <c r="AL1104" s="61" t="str">
        <f aca="false">Y1104</f>
        <v>salt</v>
      </c>
      <c r="AM1104" s="81" t="str">
        <f aca="false">"a = Client().post('"&amp;W1104&amp;"', {'recipe' : '"&amp;V1104&amp;"', 'ingredient' : '"&amp;Z1104&amp;"', 'name' : '"&amp;X1104&amp;"', 'mass_unit' : '"&amp;AC1104&amp;"', 'mass_quantity' : '"&amp;ROUND(AA1104,3)&amp;"', 'volume_unit' : '"&amp;AF1104&amp;"', 'volume_quantity' : '"&amp;ROUND(AD1104,3)&amp;"', 'pieces_unit' : '"&amp;AI1104&amp;"', 'pieces_quantity' : '"&amp;ROUND(AG1104,3)&amp;"', 'cooking_notes' : '"&amp;AJ1104&amp;"'}).status_code; print('%s :: %s :: %s :: %s :: %s' %(a,"&amp;G1104&amp;",'"&amp;X1104&amp;"','"&amp;Y1104&amp;"','"&amp;U1104&amp;"'))"</f>
        <v>a = Client().post('/recipes/dhokla/detail/', {'recipe' : '19', 'ingredient' : '177', 'name' : 'salt', 'mass_unit' : '7', 'mass_quantity' : '50', 'volume_unit' : '1', 'volume_quantity' : '0', 'pieces_unit' : '3', 'pieces_quantity' : '0', 'cooking_notes' : ''}).status_code; print('%s :: %s :: %s :: %s :: %s' %(a,1104,'salt','salt','DHOKLA'))</v>
      </c>
    </row>
    <row r="1105" customFormat="false" ht="13.8" hidden="false" customHeight="false" outlineLevel="0" collapsed="false">
      <c r="G1105" s="80" t="n">
        <v>1105</v>
      </c>
      <c r="H1105" s="83"/>
      <c r="I1105" s="83" t="s">
        <v>166</v>
      </c>
      <c r="J1105" s="83" t="s">
        <v>382</v>
      </c>
      <c r="M1105" s="61" t="n">
        <v>1</v>
      </c>
      <c r="N1105" s="61" t="s">
        <v>135</v>
      </c>
      <c r="O1105" s="0"/>
      <c r="P1105" s="0"/>
      <c r="R1105" s="82" t="str">
        <f aca="false">VLOOKUP(J1105,ingredient!$N$4:$O$553,2,0)</f>
        <v>haldi</v>
      </c>
      <c r="U1105" s="81" t="str">
        <f aca="false">I1105</f>
        <v>DHOKLA</v>
      </c>
      <c r="V1105" s="81" t="n">
        <f aca="false">VLOOKUP(U1105,recipe_ingred_list!$A$2:$B$300,2,0)</f>
        <v>19</v>
      </c>
      <c r="W1105" s="81" t="str">
        <f aca="false">"/recipes/"&amp;VLOOKUP(U1105,recipe_ingred_list!$A$2:$C$300,3,0)&amp;"/detail/"</f>
        <v>/recipes/dhokla/detail/</v>
      </c>
      <c r="X1105" s="81" t="str">
        <f aca="false">J1105</f>
        <v>haldi</v>
      </c>
      <c r="Y1105" s="81" t="str">
        <f aca="false">R1105</f>
        <v>haldi</v>
      </c>
      <c r="Z1105" s="94" t="n">
        <f aca="false">VLOOKUP(Y1105,recipe_ingred_list!$D$2:$E$500,2,0)</f>
        <v>91</v>
      </c>
      <c r="AA1105" s="61" t="n">
        <f aca="false">K1105</f>
        <v>0</v>
      </c>
      <c r="AB1105" s="61" t="n">
        <f aca="false">L1105</f>
        <v>0</v>
      </c>
      <c r="AC1105" s="61" t="n">
        <f aca="false">VLOOKUP(AB1105,recipe_ingred_list!$K$2:$M$7,3,0)</f>
        <v>2</v>
      </c>
      <c r="AD1105" s="61" t="n">
        <f aca="false">M1105</f>
        <v>1</v>
      </c>
      <c r="AE1105" s="61" t="str">
        <f aca="false">N1105</f>
        <v>tsp</v>
      </c>
      <c r="AF1105" s="61" t="n">
        <f aca="false">VLOOKUP(AE1105,recipe_ingred_list!$K$16:$M$25,3,0)</f>
        <v>10</v>
      </c>
      <c r="AG1105" s="61" t="n">
        <f aca="false">O1105</f>
        <v>0</v>
      </c>
      <c r="AH1105" s="61" t="n">
        <f aca="false">P1105</f>
        <v>0</v>
      </c>
      <c r="AI1105" s="61" t="n">
        <f aca="false">VLOOKUP(AH1105,recipe_ingred_list!$K$29:$M$34,3,0)</f>
        <v>3</v>
      </c>
      <c r="AJ1105" s="61" t="str">
        <f aca="false">IF(Q1105="","",Q1105)</f>
        <v/>
      </c>
      <c r="AK1105" s="61" t="n">
        <f aca="false">AK1104+1</f>
        <v>1105</v>
      </c>
      <c r="AL1105" s="61" t="str">
        <f aca="false">Y1105</f>
        <v>haldi</v>
      </c>
      <c r="AM1105" s="81" t="str">
        <f aca="false">"a = Client().post('"&amp;W1105&amp;"', {'recipe' : '"&amp;V1105&amp;"', 'ingredient' : '"&amp;Z1105&amp;"', 'name' : '"&amp;X1105&amp;"', 'mass_unit' : '"&amp;AC1105&amp;"', 'mass_quantity' : '"&amp;ROUND(AA1105,3)&amp;"', 'volume_unit' : '"&amp;AF1105&amp;"', 'volume_quantity' : '"&amp;ROUND(AD1105,3)&amp;"', 'pieces_unit' : '"&amp;AI1105&amp;"', 'pieces_quantity' : '"&amp;ROUND(AG1105,3)&amp;"', 'cooking_notes' : '"&amp;AJ1105&amp;"'}).status_code; print('%s :: %s :: %s :: %s :: %s' %(a,"&amp;G1105&amp;",'"&amp;X1105&amp;"','"&amp;Y1105&amp;"','"&amp;U1105&amp;"'))"</f>
        <v>a = Client().post('/recipes/dhokla/detail/', {'recipe' : '19', 'ingredient' : '91', 'name' : 'haldi', 'mass_unit' : '2', 'mass_quantity' : '0', 'volume_unit' : '10', 'volume_quantity' : '1', 'pieces_unit' : '3', 'pieces_quantity' : '0', 'cooking_notes' : ''}).status_code; print('%s :: %s :: %s :: %s :: %s' %(a,1105,'haldi','haldi','DHOKLA'))</v>
      </c>
    </row>
    <row r="1106" customFormat="false" ht="13.8" hidden="false" customHeight="false" outlineLevel="0" collapsed="false">
      <c r="G1106" s="80" t="n">
        <v>1106</v>
      </c>
      <c r="H1106" s="83"/>
      <c r="I1106" s="83" t="s">
        <v>166</v>
      </c>
      <c r="J1106" s="83" t="s">
        <v>874</v>
      </c>
      <c r="M1106" s="61" t="n">
        <v>3</v>
      </c>
      <c r="N1106" s="61" t="s">
        <v>135</v>
      </c>
      <c r="O1106" s="0"/>
      <c r="P1106" s="0"/>
      <c r="R1106" s="82" t="str">
        <f aca="false">VLOOKUP(J1106,ingredient!$N$4:$O$553,2,0)</f>
        <v>khane ka soda</v>
      </c>
      <c r="U1106" s="81" t="str">
        <f aca="false">I1106</f>
        <v>DHOKLA</v>
      </c>
      <c r="V1106" s="81" t="n">
        <f aca="false">VLOOKUP(U1106,recipe_ingred_list!$A$2:$B$300,2,0)</f>
        <v>19</v>
      </c>
      <c r="W1106" s="81" t="str">
        <f aca="false">"/recipes/"&amp;VLOOKUP(U1106,recipe_ingred_list!$A$2:$C$300,3,0)&amp;"/detail/"</f>
        <v>/recipes/dhokla/detail/</v>
      </c>
      <c r="X1106" s="81" t="str">
        <f aca="false">J1106</f>
        <v> khane ka soda</v>
      </c>
      <c r="Y1106" s="81" t="str">
        <f aca="false">R1106</f>
        <v>khane ka soda</v>
      </c>
      <c r="Z1106" s="94" t="n">
        <f aca="false">VLOOKUP(Y1106,recipe_ingred_list!$D$2:$E$500,2,0)</f>
        <v>120</v>
      </c>
      <c r="AA1106" s="61" t="n">
        <f aca="false">K1106</f>
        <v>0</v>
      </c>
      <c r="AB1106" s="61" t="n">
        <f aca="false">L1106</f>
        <v>0</v>
      </c>
      <c r="AC1106" s="61" t="n">
        <f aca="false">VLOOKUP(AB1106,recipe_ingred_list!$K$2:$M$7,3,0)</f>
        <v>2</v>
      </c>
      <c r="AD1106" s="61" t="n">
        <f aca="false">M1106</f>
        <v>3</v>
      </c>
      <c r="AE1106" s="61" t="str">
        <f aca="false">N1106</f>
        <v>tsp</v>
      </c>
      <c r="AF1106" s="61" t="n">
        <f aca="false">VLOOKUP(AE1106,recipe_ingred_list!$K$16:$M$25,3,0)</f>
        <v>10</v>
      </c>
      <c r="AG1106" s="61" t="n">
        <f aca="false">O1106</f>
        <v>0</v>
      </c>
      <c r="AH1106" s="61" t="n">
        <f aca="false">P1106</f>
        <v>0</v>
      </c>
      <c r="AI1106" s="61" t="n">
        <f aca="false">VLOOKUP(AH1106,recipe_ingred_list!$K$29:$M$34,3,0)</f>
        <v>3</v>
      </c>
      <c r="AJ1106" s="61" t="str">
        <f aca="false">IF(Q1106="","",Q1106)</f>
        <v/>
      </c>
      <c r="AK1106" s="61" t="n">
        <f aca="false">AK1105+1</f>
        <v>1106</v>
      </c>
      <c r="AL1106" s="61" t="str">
        <f aca="false">Y1106</f>
        <v>khane ka soda</v>
      </c>
      <c r="AM1106" s="81" t="str">
        <f aca="false">"a = Client().post('"&amp;W1106&amp;"', {'recipe' : '"&amp;V1106&amp;"', 'ingredient' : '"&amp;Z1106&amp;"', 'name' : '"&amp;X1106&amp;"', 'mass_unit' : '"&amp;AC1106&amp;"', 'mass_quantity' : '"&amp;ROUND(AA1106,3)&amp;"', 'volume_unit' : '"&amp;AF1106&amp;"', 'volume_quantity' : '"&amp;ROUND(AD1106,3)&amp;"', 'pieces_unit' : '"&amp;AI1106&amp;"', 'pieces_quantity' : '"&amp;ROUND(AG1106,3)&amp;"', 'cooking_notes' : '"&amp;AJ1106&amp;"'}).status_code; print('%s :: %s :: %s :: %s :: %s' %(a,"&amp;G1106&amp;",'"&amp;X1106&amp;"','"&amp;Y1106&amp;"','"&amp;U1106&amp;"'))"</f>
        <v>a = Client().post('/recipes/dhokla/detail/', {'recipe' : '19', 'ingredient' : '120', 'name' : ' khane ka soda', 'mass_unit' : '2', 'mass_quantity' : '0', 'volume_unit' : '10', 'volume_quantity' : '3', 'pieces_unit' : '3', 'pieces_quantity' : '0', 'cooking_notes' : ''}).status_code; print('%s :: %s :: %s :: %s :: %s' %(a,1106,' khane ka soda','khane ka soda','DHOKLA'))</v>
      </c>
    </row>
    <row r="1107" customFormat="false" ht="13.8" hidden="false" customHeight="false" outlineLevel="0" collapsed="false">
      <c r="G1107" s="80" t="n">
        <v>1107</v>
      </c>
      <c r="H1107" s="83"/>
      <c r="I1107" s="83" t="s">
        <v>166</v>
      </c>
      <c r="J1107" s="83" t="s">
        <v>470</v>
      </c>
      <c r="M1107" s="61" t="n">
        <v>0.5</v>
      </c>
      <c r="N1107" s="61" t="s">
        <v>20</v>
      </c>
      <c r="R1107" s="82" t="str">
        <f aca="false">VLOOKUP(J1107,ingredient!$N$4:$O$553,2,0)</f>
        <v>sauf</v>
      </c>
      <c r="U1107" s="81" t="str">
        <f aca="false">I1107</f>
        <v>DHOKLA</v>
      </c>
      <c r="V1107" s="81" t="n">
        <f aca="false">VLOOKUP(U1107,recipe_ingred_list!$A$2:$B$300,2,0)</f>
        <v>19</v>
      </c>
      <c r="W1107" s="81" t="str">
        <f aca="false">"/recipes/"&amp;VLOOKUP(U1107,recipe_ingred_list!$A$2:$C$300,3,0)&amp;"/detail/"</f>
        <v>/recipes/dhokla/detail/</v>
      </c>
      <c r="X1107" s="81" t="str">
        <f aca="false">J1107</f>
        <v>sauf</v>
      </c>
      <c r="Y1107" s="81" t="str">
        <f aca="false">R1107</f>
        <v>sauf</v>
      </c>
      <c r="Z1107" s="94" t="n">
        <f aca="false">VLOOKUP(Y1107,recipe_ingred_list!$D$2:$E$500,2,0)</f>
        <v>179</v>
      </c>
      <c r="AA1107" s="61" t="n">
        <f aca="false">K1107</f>
        <v>0</v>
      </c>
      <c r="AB1107" s="61" t="n">
        <f aca="false">L1107</f>
        <v>0</v>
      </c>
      <c r="AC1107" s="61" t="n">
        <f aca="false">VLOOKUP(AB1107,recipe_ingred_list!$K$2:$M$7,3,0)</f>
        <v>2</v>
      </c>
      <c r="AD1107" s="61" t="n">
        <f aca="false">M1107</f>
        <v>0.5</v>
      </c>
      <c r="AE1107" s="61" t="str">
        <f aca="false">N1107</f>
        <v>cup</v>
      </c>
      <c r="AF1107" s="61" t="n">
        <f aca="false">VLOOKUP(AE1107,recipe_ingred_list!$K$16:$M$25,3,0)</f>
        <v>5</v>
      </c>
      <c r="AG1107" s="61" t="n">
        <f aca="false">O1107</f>
        <v>0</v>
      </c>
      <c r="AH1107" s="61" t="n">
        <f aca="false">P1107</f>
        <v>0</v>
      </c>
      <c r="AI1107" s="61" t="n">
        <f aca="false">VLOOKUP(AH1107,recipe_ingred_list!$K$29:$M$34,3,0)</f>
        <v>3</v>
      </c>
      <c r="AJ1107" s="61" t="str">
        <f aca="false">IF(Q1107="","",Q1107)</f>
        <v/>
      </c>
      <c r="AK1107" s="61" t="n">
        <f aca="false">AK1106+1</f>
        <v>1107</v>
      </c>
      <c r="AL1107" s="61" t="str">
        <f aca="false">Y1107</f>
        <v>sauf</v>
      </c>
      <c r="AM1107" s="81" t="str">
        <f aca="false">"a = Client().post('"&amp;W1107&amp;"', {'recipe' : '"&amp;V1107&amp;"', 'ingredient' : '"&amp;Z1107&amp;"', 'name' : '"&amp;X1107&amp;"', 'mass_unit' : '"&amp;AC1107&amp;"', 'mass_quantity' : '"&amp;ROUND(AA1107,3)&amp;"', 'volume_unit' : '"&amp;AF1107&amp;"', 'volume_quantity' : '"&amp;ROUND(AD1107,3)&amp;"', 'pieces_unit' : '"&amp;AI1107&amp;"', 'pieces_quantity' : '"&amp;ROUND(AG1107,3)&amp;"', 'cooking_notes' : '"&amp;AJ1107&amp;"'}).status_code; print('%s :: %s :: %s :: %s :: %s' %(a,"&amp;G1107&amp;",'"&amp;X1107&amp;"','"&amp;Y1107&amp;"','"&amp;U1107&amp;"'))"</f>
        <v>a = Client().post('/recipes/dhokla/detail/', {'recipe' : '19', 'ingredient' : '179', 'name' : 'sauf', 'mass_unit' : '2', 'mass_quantity' : '0', 'volume_unit' : '5', 'volume_quantity' : '0.5', 'pieces_unit' : '3', 'pieces_quantity' : '0', 'cooking_notes' : ''}).status_code; print('%s :: %s :: %s :: %s :: %s' %(a,1107,'sauf','sauf','DHOKLA'))</v>
      </c>
    </row>
    <row r="1108" customFormat="false" ht="13.8" hidden="false" customHeight="false" outlineLevel="0" collapsed="false">
      <c r="G1108" s="80" t="n">
        <v>1108</v>
      </c>
      <c r="H1108" s="83"/>
      <c r="I1108" s="83" t="s">
        <v>166</v>
      </c>
      <c r="J1108" s="83" t="s">
        <v>456</v>
      </c>
      <c r="M1108" s="61" t="n">
        <v>0.5</v>
      </c>
      <c r="N1108" s="61" t="s">
        <v>20</v>
      </c>
      <c r="R1108" s="82" t="str">
        <f aca="false">VLOOKUP(J1108,ingredient!$N$4:$O$553,2,0)</f>
        <v>rai</v>
      </c>
      <c r="U1108" s="81" t="str">
        <f aca="false">I1108</f>
        <v>DHOKLA</v>
      </c>
      <c r="V1108" s="81" t="n">
        <f aca="false">VLOOKUP(U1108,recipe_ingred_list!$A$2:$B$300,2,0)</f>
        <v>19</v>
      </c>
      <c r="W1108" s="81" t="str">
        <f aca="false">"/recipes/"&amp;VLOOKUP(U1108,recipe_ingred_list!$A$2:$C$300,3,0)&amp;"/detail/"</f>
        <v>/recipes/dhokla/detail/</v>
      </c>
      <c r="X1108" s="81" t="str">
        <f aca="false">J1108</f>
        <v>rai</v>
      </c>
      <c r="Y1108" s="81" t="str">
        <f aca="false">R1108</f>
        <v>rai</v>
      </c>
      <c r="Z1108" s="94" t="n">
        <f aca="false">VLOOKUP(Y1108,recipe_ingred_list!$D$2:$E$500,2,0)</f>
        <v>164</v>
      </c>
      <c r="AA1108" s="61" t="n">
        <f aca="false">K1108</f>
        <v>0</v>
      </c>
      <c r="AB1108" s="61" t="n">
        <f aca="false">L1108</f>
        <v>0</v>
      </c>
      <c r="AC1108" s="61" t="n">
        <f aca="false">VLOOKUP(AB1108,recipe_ingred_list!$K$2:$M$7,3,0)</f>
        <v>2</v>
      </c>
      <c r="AD1108" s="61" t="n">
        <f aca="false">M1108</f>
        <v>0.5</v>
      </c>
      <c r="AE1108" s="61" t="str">
        <f aca="false">N1108</f>
        <v>cup</v>
      </c>
      <c r="AF1108" s="61" t="n">
        <f aca="false">VLOOKUP(AE1108,recipe_ingred_list!$K$16:$M$25,3,0)</f>
        <v>5</v>
      </c>
      <c r="AG1108" s="61" t="n">
        <f aca="false">O1108</f>
        <v>0</v>
      </c>
      <c r="AH1108" s="61" t="n">
        <f aca="false">P1108</f>
        <v>0</v>
      </c>
      <c r="AI1108" s="61" t="n">
        <f aca="false">VLOOKUP(AH1108,recipe_ingred_list!$K$29:$M$34,3,0)</f>
        <v>3</v>
      </c>
      <c r="AJ1108" s="61" t="str">
        <f aca="false">IF(Q1108="","",Q1108)</f>
        <v/>
      </c>
      <c r="AK1108" s="61" t="n">
        <f aca="false">AK1107+1</f>
        <v>1108</v>
      </c>
      <c r="AL1108" s="61" t="str">
        <f aca="false">Y1108</f>
        <v>rai</v>
      </c>
      <c r="AM1108" s="81" t="str">
        <f aca="false">"a = Client().post('"&amp;W1108&amp;"', {'recipe' : '"&amp;V1108&amp;"', 'ingredient' : '"&amp;Z1108&amp;"', 'name' : '"&amp;X1108&amp;"', 'mass_unit' : '"&amp;AC1108&amp;"', 'mass_quantity' : '"&amp;ROUND(AA1108,3)&amp;"', 'volume_unit' : '"&amp;AF1108&amp;"', 'volume_quantity' : '"&amp;ROUND(AD1108,3)&amp;"', 'pieces_unit' : '"&amp;AI1108&amp;"', 'pieces_quantity' : '"&amp;ROUND(AG1108,3)&amp;"', 'cooking_notes' : '"&amp;AJ1108&amp;"'}).status_code; print('%s :: %s :: %s :: %s :: %s' %(a,"&amp;G1108&amp;",'"&amp;X1108&amp;"','"&amp;Y1108&amp;"','"&amp;U1108&amp;"'))"</f>
        <v>a = Client().post('/recipes/dhokla/detail/', {'recipe' : '19', 'ingredient' : '164', 'name' : 'rai', 'mass_unit' : '2', 'mass_quantity' : '0', 'volume_unit' : '5', 'volume_quantity' : '0.5', 'pieces_unit' : '3', 'pieces_quantity' : '0', 'cooking_notes' : ''}).status_code; print('%s :: %s :: %s :: %s :: %s' %(a,1108,'rai','rai','DHOKLA'))</v>
      </c>
    </row>
    <row r="1109" customFormat="false" ht="13.8" hidden="false" customHeight="false" outlineLevel="0" collapsed="false">
      <c r="G1109" s="80" t="n">
        <v>1109</v>
      </c>
      <c r="H1109" s="83"/>
      <c r="I1109" s="83" t="s">
        <v>166</v>
      </c>
      <c r="J1109" s="83" t="s">
        <v>839</v>
      </c>
      <c r="M1109" s="61" t="n">
        <v>200</v>
      </c>
      <c r="N1109" s="61" t="s">
        <v>143</v>
      </c>
      <c r="R1109" s="82" t="str">
        <f aca="false">VLOOKUP(J1109,ingredient!$N$4:$O$553,2,0)</f>
        <v>gound nut oil</v>
      </c>
      <c r="U1109" s="81" t="str">
        <f aca="false">I1109</f>
        <v>DHOKLA</v>
      </c>
      <c r="V1109" s="81" t="n">
        <f aca="false">VLOOKUP(U1109,recipe_ingred_list!$A$2:$B$300,2,0)</f>
        <v>19</v>
      </c>
      <c r="W1109" s="81" t="str">
        <f aca="false">"/recipes/"&amp;VLOOKUP(U1109,recipe_ingred_list!$A$2:$C$300,3,0)&amp;"/detail/"</f>
        <v>/recipes/dhokla/detail/</v>
      </c>
      <c r="X1109" s="81" t="str">
        <f aca="false">J1109</f>
        <v>oil</v>
      </c>
      <c r="Y1109" s="81" t="str">
        <f aca="false">R1109</f>
        <v>gound nut oil</v>
      </c>
      <c r="Z1109" s="94" t="n">
        <f aca="false">VLOOKUP(Y1109,recipe_ingred_list!$D$2:$E$500,2,0)</f>
        <v>83</v>
      </c>
      <c r="AA1109" s="61" t="n">
        <f aca="false">K1109</f>
        <v>0</v>
      </c>
      <c r="AB1109" s="61" t="n">
        <f aca="false">L1109</f>
        <v>0</v>
      </c>
      <c r="AC1109" s="61" t="n">
        <f aca="false">VLOOKUP(AB1109,recipe_ingred_list!$K$2:$M$7,3,0)</f>
        <v>2</v>
      </c>
      <c r="AD1109" s="61" t="n">
        <f aca="false">M1109</f>
        <v>200</v>
      </c>
      <c r="AE1109" s="61" t="str">
        <f aca="false">N1109</f>
        <v>ml</v>
      </c>
      <c r="AF1109" s="61" t="n">
        <f aca="false">VLOOKUP(AE1109,recipe_ingred_list!$K$16:$M$25,3,0)</f>
        <v>12</v>
      </c>
      <c r="AG1109" s="61" t="n">
        <f aca="false">O1109</f>
        <v>0</v>
      </c>
      <c r="AH1109" s="61" t="n">
        <f aca="false">P1109</f>
        <v>0</v>
      </c>
      <c r="AI1109" s="61" t="n">
        <f aca="false">VLOOKUP(AH1109,recipe_ingred_list!$K$29:$M$34,3,0)</f>
        <v>3</v>
      </c>
      <c r="AJ1109" s="61" t="str">
        <f aca="false">IF(Q1109="","",Q1109)</f>
        <v/>
      </c>
      <c r="AK1109" s="61" t="n">
        <f aca="false">AK1108+1</f>
        <v>1109</v>
      </c>
      <c r="AL1109" s="61" t="str">
        <f aca="false">Y1109</f>
        <v>gound nut oil</v>
      </c>
      <c r="AM1109" s="81" t="str">
        <f aca="false">"a = Client().post('"&amp;W1109&amp;"', {'recipe' : '"&amp;V1109&amp;"', 'ingredient' : '"&amp;Z1109&amp;"', 'name' : '"&amp;X1109&amp;"', 'mass_unit' : '"&amp;AC1109&amp;"', 'mass_quantity' : '"&amp;ROUND(AA1109,3)&amp;"', 'volume_unit' : '"&amp;AF1109&amp;"', 'volume_quantity' : '"&amp;ROUND(AD1109,3)&amp;"', 'pieces_unit' : '"&amp;AI1109&amp;"', 'pieces_quantity' : '"&amp;ROUND(AG1109,3)&amp;"', 'cooking_notes' : '"&amp;AJ1109&amp;"'}).status_code; print('%s :: %s :: %s :: %s :: %s' %(a,"&amp;G1109&amp;",'"&amp;X1109&amp;"','"&amp;Y1109&amp;"','"&amp;U1109&amp;"'))"</f>
        <v>a = Client().post('/recipes/dhokla/detail/', {'recipe' : '19', 'ingredient' : '83', 'name' : 'oil', 'mass_unit' : '2', 'mass_quantity' : '0', 'volume_unit' : '12', 'volume_quantity' : '200', 'pieces_unit' : '3', 'pieces_quantity' : '0', 'cooking_notes' : ''}).status_code; print('%s :: %s :: %s :: %s :: %s' %(a,1109,'oil','gound nut oil','DHOKLA'))</v>
      </c>
    </row>
    <row r="1110" customFormat="false" ht="13.8" hidden="false" customHeight="false" outlineLevel="0" collapsed="false">
      <c r="G1110" s="80" t="n">
        <v>1110</v>
      </c>
      <c r="H1110" s="83"/>
      <c r="I1110" s="83" t="s">
        <v>166</v>
      </c>
      <c r="J1110" s="83" t="s">
        <v>44</v>
      </c>
      <c r="K1110" s="61" t="n">
        <v>500</v>
      </c>
      <c r="L1110" s="61" t="s">
        <v>109</v>
      </c>
      <c r="R1110" s="82" t="str">
        <f aca="false">VLOOKUP(J1110,ingredient!$N$4:$O$553,2,0)</f>
        <v>sugar</v>
      </c>
      <c r="U1110" s="81" t="str">
        <f aca="false">I1110</f>
        <v>DHOKLA</v>
      </c>
      <c r="V1110" s="81" t="n">
        <f aca="false">VLOOKUP(U1110,recipe_ingred_list!$A$2:$B$300,2,0)</f>
        <v>19</v>
      </c>
      <c r="W1110" s="81" t="str">
        <f aca="false">"/recipes/"&amp;VLOOKUP(U1110,recipe_ingred_list!$A$2:$C$300,3,0)&amp;"/detail/"</f>
        <v>/recipes/dhokla/detail/</v>
      </c>
      <c r="X1110" s="81" t="str">
        <f aca="false">J1110</f>
        <v>sugar</v>
      </c>
      <c r="Y1110" s="81" t="str">
        <f aca="false">R1110</f>
        <v>sugar</v>
      </c>
      <c r="Z1110" s="94" t="n">
        <f aca="false">VLOOKUP(Y1110,recipe_ingred_list!$D$2:$E$500,2,0)</f>
        <v>187</v>
      </c>
      <c r="AA1110" s="61" t="n">
        <f aca="false">K1110</f>
        <v>500</v>
      </c>
      <c r="AB1110" s="61" t="str">
        <f aca="false">L1110</f>
        <v>gm</v>
      </c>
      <c r="AC1110" s="61" t="n">
        <f aca="false">VLOOKUP(AB1110,recipe_ingred_list!$K$2:$M$7,3,0)</f>
        <v>7</v>
      </c>
      <c r="AD1110" s="61" t="n">
        <f aca="false">M1110</f>
        <v>0</v>
      </c>
      <c r="AE1110" s="61" t="n">
        <f aca="false">N1110</f>
        <v>0</v>
      </c>
      <c r="AF1110" s="61" t="n">
        <f aca="false">VLOOKUP(AE1110,recipe_ingred_list!$K$16:$M$25,3,0)</f>
        <v>1</v>
      </c>
      <c r="AG1110" s="61" t="n">
        <f aca="false">O1110</f>
        <v>0</v>
      </c>
      <c r="AH1110" s="61" t="n">
        <f aca="false">P1110</f>
        <v>0</v>
      </c>
      <c r="AI1110" s="61" t="n">
        <f aca="false">VLOOKUP(AH1110,recipe_ingred_list!$K$29:$M$34,3,0)</f>
        <v>3</v>
      </c>
      <c r="AJ1110" s="61" t="str">
        <f aca="false">IF(Q1110="","",Q1110)</f>
        <v/>
      </c>
      <c r="AK1110" s="61" t="n">
        <f aca="false">AK1109+1</f>
        <v>1110</v>
      </c>
      <c r="AL1110" s="61" t="str">
        <f aca="false">Y1110</f>
        <v>sugar</v>
      </c>
      <c r="AM1110" s="81" t="str">
        <f aca="false">"a = Client().post('"&amp;W1110&amp;"', {'recipe' : '"&amp;V1110&amp;"', 'ingredient' : '"&amp;Z1110&amp;"', 'name' : '"&amp;X1110&amp;"', 'mass_unit' : '"&amp;AC1110&amp;"', 'mass_quantity' : '"&amp;ROUND(AA1110,3)&amp;"', 'volume_unit' : '"&amp;AF1110&amp;"', 'volume_quantity' : '"&amp;ROUND(AD1110,3)&amp;"', 'pieces_unit' : '"&amp;AI1110&amp;"', 'pieces_quantity' : '"&amp;ROUND(AG1110,3)&amp;"', 'cooking_notes' : '"&amp;AJ1110&amp;"'}).status_code; print('%s :: %s :: %s :: %s :: %s' %(a,"&amp;G1110&amp;",'"&amp;X1110&amp;"','"&amp;Y1110&amp;"','"&amp;U1110&amp;"'))"</f>
        <v>a = Client().post('/recipes/dhokla/detail/', {'recipe' : '19', 'ingredient' : '187', 'name' : 'sugar', 'mass_unit' : '7', 'mass_quantity' : '500', 'volume_unit' : '1', 'volume_quantity' : '0', 'pieces_unit' : '3', 'pieces_quantity' : '0', 'cooking_notes' : ''}).status_code; print('%s :: %s :: %s :: %s :: %s' %(a,1110,'sugar','sugar','DHOKLA'))</v>
      </c>
    </row>
    <row r="1111" customFormat="false" ht="13.8" hidden="false" customHeight="false" outlineLevel="0" collapsed="false">
      <c r="G1111" s="80" t="n">
        <v>1111</v>
      </c>
      <c r="H1111" s="83"/>
      <c r="I1111" s="83" t="s">
        <v>166</v>
      </c>
      <c r="J1111" s="83" t="s">
        <v>503</v>
      </c>
      <c r="M1111" s="61" t="n">
        <v>3</v>
      </c>
      <c r="N1111" s="61" t="s">
        <v>13</v>
      </c>
      <c r="R1111" s="82" t="str">
        <f aca="false">VLOOKUP(J1111,ingredient!$N$4:$O$553,2,0)</f>
        <v>water</v>
      </c>
      <c r="U1111" s="81" t="str">
        <f aca="false">I1111</f>
        <v>DHOKLA</v>
      </c>
      <c r="V1111" s="81" t="n">
        <f aca="false">VLOOKUP(U1111,recipe_ingred_list!$A$2:$B$300,2,0)</f>
        <v>19</v>
      </c>
      <c r="W1111" s="81" t="str">
        <f aca="false">"/recipes/"&amp;VLOOKUP(U1111,recipe_ingred_list!$A$2:$C$300,3,0)&amp;"/detail/"</f>
        <v>/recipes/dhokla/detail/</v>
      </c>
      <c r="X1111" s="81" t="str">
        <f aca="false">J1111</f>
        <v>water</v>
      </c>
      <c r="Y1111" s="81" t="str">
        <f aca="false">R1111</f>
        <v>water</v>
      </c>
      <c r="Z1111" s="94" t="n">
        <f aca="false">VLOOKUP(Y1111,recipe_ingred_list!$D$2:$E$500,2,0)</f>
        <v>214</v>
      </c>
      <c r="AA1111" s="61" t="n">
        <f aca="false">K1111</f>
        <v>0</v>
      </c>
      <c r="AB1111" s="61" t="n">
        <f aca="false">L1111</f>
        <v>0</v>
      </c>
      <c r="AC1111" s="61" t="n">
        <f aca="false">VLOOKUP(AB1111,recipe_ingred_list!$K$2:$M$7,3,0)</f>
        <v>2</v>
      </c>
      <c r="AD1111" s="61" t="n">
        <f aca="false">M1111</f>
        <v>3</v>
      </c>
      <c r="AE1111" s="61" t="str">
        <f aca="false">N1111</f>
        <v>ltr</v>
      </c>
      <c r="AF1111" s="61" t="n">
        <f aca="false">VLOOKUP(AE1111,recipe_ingred_list!$K$16:$M$25,3,0)</f>
        <v>1</v>
      </c>
      <c r="AG1111" s="61" t="n">
        <f aca="false">O1111</f>
        <v>0</v>
      </c>
      <c r="AH1111" s="61" t="n">
        <f aca="false">P1111</f>
        <v>0</v>
      </c>
      <c r="AI1111" s="61" t="n">
        <f aca="false">VLOOKUP(AH1111,recipe_ingred_list!$K$29:$M$34,3,0)</f>
        <v>3</v>
      </c>
      <c r="AJ1111" s="61" t="str">
        <f aca="false">IF(Q1111="","",Q1111)</f>
        <v/>
      </c>
      <c r="AK1111" s="61" t="n">
        <f aca="false">AK1110+1</f>
        <v>1111</v>
      </c>
      <c r="AL1111" s="61" t="str">
        <f aca="false">Y1111</f>
        <v>water</v>
      </c>
      <c r="AM1111" s="81" t="str">
        <f aca="false">"a = Client().post('"&amp;W1111&amp;"', {'recipe' : '"&amp;V1111&amp;"', 'ingredient' : '"&amp;Z1111&amp;"', 'name' : '"&amp;X1111&amp;"', 'mass_unit' : '"&amp;AC1111&amp;"', 'mass_quantity' : '"&amp;ROUND(AA1111,3)&amp;"', 'volume_unit' : '"&amp;AF1111&amp;"', 'volume_quantity' : '"&amp;ROUND(AD1111,3)&amp;"', 'pieces_unit' : '"&amp;AI1111&amp;"', 'pieces_quantity' : '"&amp;ROUND(AG1111,3)&amp;"', 'cooking_notes' : '"&amp;AJ1111&amp;"'}).status_code; print('%s :: %s :: %s :: %s :: %s' %(a,"&amp;G1111&amp;",'"&amp;X1111&amp;"','"&amp;Y1111&amp;"','"&amp;U1111&amp;"'))"</f>
        <v>a = Client().post('/recipes/dhokla/detail/', {'recipe' : '19', 'ingredient' : '214', 'name' : 'water', 'mass_unit' : '2', 'mass_quantity' : '0', 'volume_unit' : '1', 'volume_quantity' : '3', 'pieces_unit' : '3', 'pieces_quantity' : '0', 'cooking_notes' : ''}).status_code; print('%s :: %s :: %s :: %s :: %s' %(a,1111,'water','water','DHOKLA'))</v>
      </c>
    </row>
    <row r="1112" customFormat="false" ht="13.8" hidden="false" customHeight="false" outlineLevel="0" collapsed="false">
      <c r="G1112" s="80" t="n">
        <v>1112</v>
      </c>
      <c r="H1112" s="79"/>
      <c r="I1112" s="79"/>
      <c r="J1112" s="79"/>
      <c r="K1112" s="100"/>
      <c r="L1112" s="100"/>
      <c r="M1112" s="100"/>
      <c r="N1112" s="100"/>
      <c r="O1112" s="100"/>
      <c r="P1112" s="100"/>
      <c r="Q1112" s="102"/>
      <c r="R1112" s="99" t="e">
        <f aca="false">VLOOKUP(J1112,ingredient!$N$4:$O$553,2,0)</f>
        <v>#N/A</v>
      </c>
      <c r="S1112" s="98"/>
      <c r="T1112" s="98"/>
      <c r="U1112" s="81" t="n">
        <f aca="false">I1112</f>
        <v>0</v>
      </c>
      <c r="V1112" s="81" t="e">
        <f aca="false">VLOOKUP(U1112,recipe_ingred_list!$A$2:$B$300,2,0)</f>
        <v>#N/A</v>
      </c>
      <c r="W1112" s="81" t="e">
        <f aca="false">"/recipes/"&amp;VLOOKUP(U1112,recipe_ingred_list!$A$2:$C$300,3,0)&amp;"/detail/"</f>
        <v>#N/A</v>
      </c>
      <c r="X1112" s="81" t="n">
        <f aca="false">J1112</f>
        <v>0</v>
      </c>
      <c r="Y1112" s="81" t="e">
        <f aca="false">R1112</f>
        <v>#N/A</v>
      </c>
      <c r="Z1112" s="94" t="e">
        <f aca="false">VLOOKUP(Y1112,recipe_ingred_list!$D$2:$E$500,2,0)</f>
        <v>#N/A</v>
      </c>
      <c r="AA1112" s="61" t="n">
        <f aca="false">K1112</f>
        <v>0</v>
      </c>
      <c r="AB1112" s="61" t="n">
        <f aca="false">L1112</f>
        <v>0</v>
      </c>
      <c r="AC1112" s="61" t="n">
        <f aca="false">VLOOKUP(AB1112,recipe_ingred_list!$K$2:$M$7,3,0)</f>
        <v>2</v>
      </c>
      <c r="AD1112" s="61" t="n">
        <f aca="false">M1112</f>
        <v>0</v>
      </c>
      <c r="AE1112" s="61" t="n">
        <f aca="false">N1112</f>
        <v>0</v>
      </c>
      <c r="AF1112" s="61" t="n">
        <f aca="false">VLOOKUP(AE1112,recipe_ingred_list!$K$16:$M$25,3,0)</f>
        <v>1</v>
      </c>
      <c r="AG1112" s="61" t="n">
        <f aca="false">O1112</f>
        <v>0</v>
      </c>
      <c r="AH1112" s="61" t="n">
        <f aca="false">P1112</f>
        <v>0</v>
      </c>
      <c r="AI1112" s="61" t="n">
        <f aca="false">VLOOKUP(AH1112,recipe_ingred_list!$K$29:$M$34,3,0)</f>
        <v>3</v>
      </c>
      <c r="AJ1112" s="61" t="str">
        <f aca="false">IF(Q1112="","",Q1112)</f>
        <v/>
      </c>
      <c r="AK1112" s="61" t="n">
        <f aca="false">AK1111+1</f>
        <v>1112</v>
      </c>
      <c r="AL1112" s="61" t="e">
        <f aca="false">Y1112</f>
        <v>#N/A</v>
      </c>
      <c r="AM1112" s="81" t="e">
        <f aca="false">"a = Client().post('"&amp;W1112&amp;"', {'recipe' : '"&amp;V1112&amp;"', 'ingredient' : '"&amp;Z1112&amp;"', 'name' : '"&amp;X1112&amp;"', 'mass_unit' : '"&amp;AC1112&amp;"', 'mass_quantity' : '"&amp;ROUND(AA1112,3)&amp;"', 'volume_unit' : '"&amp;AF1112&amp;"', 'volume_quantity' : '"&amp;ROUND(AD1112,3)&amp;"', 'pieces_unit' : '"&amp;AI1112&amp;"', 'pieces_quantity' : '"&amp;ROUND(AG1112,3)&amp;"', 'cooking_notes' : '"&amp;AJ1112&amp;"'}).status_code; print('%s :: %s :: %s :: %s :: %s' %(a,"&amp;G1112&amp;",'"&amp;X1112&amp;"','"&amp;Y1112&amp;"','"&amp;U1112&amp;"'))"</f>
        <v>#N/A</v>
      </c>
    </row>
    <row r="1113" customFormat="false" ht="13.8" hidden="false" customHeight="false" outlineLevel="0" collapsed="false">
      <c r="G1113" s="80" t="n">
        <v>1113</v>
      </c>
      <c r="H1113" s="83"/>
      <c r="I1113" s="83" t="s">
        <v>193</v>
      </c>
      <c r="J1113" s="83" t="s">
        <v>309</v>
      </c>
      <c r="O1113" s="61" t="n">
        <v>8</v>
      </c>
      <c r="P1113" s="61" t="s">
        <v>127</v>
      </c>
      <c r="R1113" s="82" t="str">
        <f aca="false">VLOOKUP(J1113,ingredient!$N$4:$O$553,2,0)</f>
        <v>dhaniya patta</v>
      </c>
      <c r="U1113" s="81" t="str">
        <f aca="false">I1113</f>
        <v>green chutney -Dhokla AND MUMBAI  BHEL</v>
      </c>
      <c r="V1113" s="81" t="n">
        <f aca="false">VLOOKUP(U1113,recipe_ingred_list!$A$2:$B$300,2,0)</f>
        <v>28</v>
      </c>
      <c r="W1113" s="81" t="str">
        <f aca="false">"/recipes/"&amp;VLOOKUP(U1113,recipe_ingred_list!$A$2:$C$300,3,0)&amp;"/detail/"</f>
        <v>/recipes/green-chutney-dhokla-and-mumbai-bhel/detail/</v>
      </c>
      <c r="X1113" s="81" t="str">
        <f aca="false">J1113</f>
        <v>dhaniya patta</v>
      </c>
      <c r="Y1113" s="81" t="str">
        <f aca="false">R1113</f>
        <v>dhaniya patta</v>
      </c>
      <c r="Z1113" s="94" t="n">
        <f aca="false">VLOOKUP(Y1113,recipe_ingred_list!$D$2:$E$500,2,0)</f>
        <v>66</v>
      </c>
      <c r="AA1113" s="61" t="n">
        <f aca="false">K1113</f>
        <v>0</v>
      </c>
      <c r="AB1113" s="61" t="n">
        <f aca="false">L1113</f>
        <v>0</v>
      </c>
      <c r="AC1113" s="61" t="n">
        <f aca="false">VLOOKUP(AB1113,recipe_ingred_list!$K$2:$M$7,3,0)</f>
        <v>2</v>
      </c>
      <c r="AD1113" s="61" t="n">
        <f aca="false">M1113</f>
        <v>0</v>
      </c>
      <c r="AE1113" s="61" t="n">
        <f aca="false">N1113</f>
        <v>0</v>
      </c>
      <c r="AF1113" s="61" t="n">
        <f aca="false">VLOOKUP(AE1113,recipe_ingred_list!$K$16:$M$25,3,0)</f>
        <v>1</v>
      </c>
      <c r="AG1113" s="61" t="n">
        <f aca="false">O1113</f>
        <v>8</v>
      </c>
      <c r="AH1113" s="61" t="str">
        <f aca="false">P1113</f>
        <v>bndl</v>
      </c>
      <c r="AI1113" s="61" t="n">
        <f aca="false">VLOOKUP(AH1113,recipe_ingred_list!$K$29:$M$34,3,0)</f>
        <v>8</v>
      </c>
      <c r="AJ1113" s="61" t="str">
        <f aca="false">IF(Q1113="","",Q1113)</f>
        <v/>
      </c>
      <c r="AK1113" s="61" t="n">
        <f aca="false">AK1112+1</f>
        <v>1113</v>
      </c>
      <c r="AL1113" s="61" t="str">
        <f aca="false">Y1113</f>
        <v>dhaniya patta</v>
      </c>
      <c r="AM1113" s="81" t="str">
        <f aca="false">"a = Client().post('"&amp;W1113&amp;"', {'recipe' : '"&amp;V1113&amp;"', 'ingredient' : '"&amp;Z1113&amp;"', 'name' : '"&amp;X1113&amp;"', 'mass_unit' : '"&amp;AC1113&amp;"', 'mass_quantity' : '"&amp;ROUND(AA1113,3)&amp;"', 'volume_unit' : '"&amp;AF1113&amp;"', 'volume_quantity' : '"&amp;ROUND(AD1113,3)&amp;"', 'pieces_unit' : '"&amp;AI1113&amp;"', 'pieces_quantity' : '"&amp;ROUND(AG1113,3)&amp;"', 'cooking_notes' : '"&amp;AJ1113&amp;"'}).status_code; print('%s :: %s :: %s :: %s :: %s' %(a,"&amp;G1113&amp;",'"&amp;X1113&amp;"','"&amp;Y1113&amp;"','"&amp;U1113&amp;"'))"</f>
        <v>a = Client().post('/recipes/green-chutney-dhokla-and-mumbai-bhel/detail/', {'recipe' : '28', 'ingredient' : '66', 'name' : 'dhaniya patta', 'mass_unit' : '2', 'mass_quantity' : '0', 'volume_unit' : '1', 'volume_quantity' : '0', 'pieces_unit' : '8', 'pieces_quantity' : '8', 'cooking_notes' : ''}).status_code; print('%s :: %s :: %s :: %s :: %s' %(a,1113,'dhaniya patta','dhaniya patta','green chutney -Dhokla AND MUMBAI  BHEL'))</v>
      </c>
    </row>
    <row r="1114" customFormat="false" ht="14.9" hidden="false" customHeight="false" outlineLevel="0" collapsed="false">
      <c r="G1114" s="80" t="n">
        <v>1114</v>
      </c>
      <c r="H1114" s="83"/>
      <c r="I1114" s="83" t="s">
        <v>193</v>
      </c>
      <c r="J1114" s="83" t="s">
        <v>875</v>
      </c>
      <c r="K1114" s="61" t="n">
        <v>250</v>
      </c>
      <c r="Q1114" s="84" t="s">
        <v>876</v>
      </c>
      <c r="R1114" s="82" t="str">
        <f aca="false">VLOOKUP(J1114,ingredient!$N$4:$O$553,2,0)</f>
        <v>daliya</v>
      </c>
      <c r="U1114" s="81" t="str">
        <f aca="false">I1114</f>
        <v>green chutney -Dhokla AND MUMBAI  BHEL</v>
      </c>
      <c r="V1114" s="81" t="n">
        <f aca="false">VLOOKUP(U1114,recipe_ingred_list!$A$2:$B$300,2,0)</f>
        <v>28</v>
      </c>
      <c r="W1114" s="81" t="str">
        <f aca="false">"/recipes/"&amp;VLOOKUP(U1114,recipe_ingred_list!$A$2:$C$300,3,0)&amp;"/detail/"</f>
        <v>/recipes/green-chutney-dhokla-and-mumbai-bhel/detail/</v>
      </c>
      <c r="X1114" s="81" t="str">
        <f aca="false">J1114</f>
        <v>dalia</v>
      </c>
      <c r="Y1114" s="81" t="str">
        <f aca="false">R1114</f>
        <v>daliya</v>
      </c>
      <c r="Z1114" s="94" t="n">
        <f aca="false">VLOOKUP(Y1114,recipe_ingred_list!$D$2:$E$500,2,0)</f>
        <v>62</v>
      </c>
      <c r="AA1114" s="61" t="n">
        <f aca="false">K1114</f>
        <v>250</v>
      </c>
      <c r="AB1114" s="61" t="n">
        <f aca="false">L1114</f>
        <v>0</v>
      </c>
      <c r="AC1114" s="61" t="n">
        <f aca="false">VLOOKUP(AB1114,recipe_ingred_list!$K$2:$M$7,3,0)</f>
        <v>2</v>
      </c>
      <c r="AD1114" s="61" t="n">
        <f aca="false">M1114</f>
        <v>0</v>
      </c>
      <c r="AE1114" s="61" t="n">
        <f aca="false">N1114</f>
        <v>0</v>
      </c>
      <c r="AF1114" s="61" t="n">
        <f aca="false">VLOOKUP(AE1114,recipe_ingred_list!$K$16:$M$25,3,0)</f>
        <v>1</v>
      </c>
      <c r="AG1114" s="61" t="n">
        <f aca="false">O1114</f>
        <v>0</v>
      </c>
      <c r="AH1114" s="61" t="n">
        <f aca="false">P1114</f>
        <v>0</v>
      </c>
      <c r="AI1114" s="61" t="n">
        <f aca="false">VLOOKUP(AH1114,recipe_ingred_list!$K$29:$M$34,3,0)</f>
        <v>3</v>
      </c>
      <c r="AJ1114" s="61" t="str">
        <f aca="false">IF(Q1114="","",Q1114)</f>
        <v>when u take  this chutney for </v>
      </c>
      <c r="AK1114" s="61" t="n">
        <f aca="false">AK1113+1</f>
        <v>1114</v>
      </c>
      <c r="AL1114" s="61" t="str">
        <f aca="false">Y1114</f>
        <v>daliya</v>
      </c>
      <c r="AM1114" s="81" t="str">
        <f aca="false">"a = Client().post('"&amp;W1114&amp;"', {'recipe' : '"&amp;V1114&amp;"', 'ingredient' : '"&amp;Z1114&amp;"', 'name' : '"&amp;X1114&amp;"', 'mass_unit' : '"&amp;AC1114&amp;"', 'mass_quantity' : '"&amp;ROUND(AA1114,3)&amp;"', 'volume_unit' : '"&amp;AF1114&amp;"', 'volume_quantity' : '"&amp;ROUND(AD1114,3)&amp;"', 'pieces_unit' : '"&amp;AI1114&amp;"', 'pieces_quantity' : '"&amp;ROUND(AG1114,3)&amp;"', 'cooking_notes' : '"&amp;AJ1114&amp;"'}).status_code; print('%s :: %s :: %s :: %s :: %s' %(a,"&amp;G1114&amp;",'"&amp;X1114&amp;"','"&amp;Y1114&amp;"','"&amp;U1114&amp;"'))"</f>
        <v>a = Client().post('/recipes/green-chutney-dhokla-and-mumbai-bhel/detail/', {'recipe' : '28', 'ingredient' : '62', 'name' : 'dalia', 'mass_unit' : '2', 'mass_quantity' : '250', 'volume_unit' : '1', 'volume_quantity' : '0', 'pieces_unit' : '3', 'pieces_quantity' : '0', 'cooking_notes' : 'when u take  this chutney for '}).status_code; print('%s :: %s :: %s :: %s :: %s' %(a,1114,'dalia','daliya','green chutney -Dhokla AND MUMBAI  BHEL'))</v>
      </c>
    </row>
    <row r="1115" customFormat="false" ht="14.9" hidden="false" customHeight="false" outlineLevel="0" collapsed="false">
      <c r="G1115" s="80" t="n">
        <v>1115</v>
      </c>
      <c r="H1115" s="83"/>
      <c r="I1115" s="83" t="s">
        <v>193</v>
      </c>
      <c r="J1115" s="83" t="s">
        <v>455</v>
      </c>
      <c r="O1115" s="61" t="n">
        <v>2</v>
      </c>
      <c r="P1115" s="61" t="s">
        <v>127</v>
      </c>
      <c r="Q1115" s="84" t="s">
        <v>877</v>
      </c>
      <c r="R1115" s="82" t="str">
        <f aca="false">VLOOKUP(J1115,ingredient!$N$4:$O$553,2,0)</f>
        <v>pudina leaves</v>
      </c>
      <c r="U1115" s="81" t="str">
        <f aca="false">I1115</f>
        <v>green chutney -Dhokla AND MUMBAI  BHEL</v>
      </c>
      <c r="V1115" s="81" t="n">
        <f aca="false">VLOOKUP(U1115,recipe_ingred_list!$A$2:$B$300,2,0)</f>
        <v>28</v>
      </c>
      <c r="W1115" s="81" t="str">
        <f aca="false">"/recipes/"&amp;VLOOKUP(U1115,recipe_ingred_list!$A$2:$C$300,3,0)&amp;"/detail/"</f>
        <v>/recipes/green-chutney-dhokla-and-mumbai-bhel/detail/</v>
      </c>
      <c r="X1115" s="81" t="str">
        <f aca="false">J1115</f>
        <v>pudina leaves</v>
      </c>
      <c r="Y1115" s="81" t="str">
        <f aca="false">R1115</f>
        <v>pudina leaves</v>
      </c>
      <c r="Z1115" s="94" t="n">
        <f aca="false">VLOOKUP(Y1115,recipe_ingred_list!$D$2:$E$500,2,0)</f>
        <v>163</v>
      </c>
      <c r="AA1115" s="61" t="n">
        <f aca="false">K1115</f>
        <v>0</v>
      </c>
      <c r="AB1115" s="61" t="n">
        <f aca="false">L1115</f>
        <v>0</v>
      </c>
      <c r="AC1115" s="61" t="n">
        <f aca="false">VLOOKUP(AB1115,recipe_ingred_list!$K$2:$M$7,3,0)</f>
        <v>2</v>
      </c>
      <c r="AD1115" s="61" t="n">
        <f aca="false">M1115</f>
        <v>0</v>
      </c>
      <c r="AE1115" s="61" t="n">
        <f aca="false">N1115</f>
        <v>0</v>
      </c>
      <c r="AF1115" s="61" t="n">
        <f aca="false">VLOOKUP(AE1115,recipe_ingred_list!$K$16:$M$25,3,0)</f>
        <v>1</v>
      </c>
      <c r="AG1115" s="61" t="n">
        <f aca="false">O1115</f>
        <v>2</v>
      </c>
      <c r="AH1115" s="61" t="str">
        <f aca="false">P1115</f>
        <v>bndl</v>
      </c>
      <c r="AI1115" s="61" t="n">
        <f aca="false">VLOOKUP(AH1115,recipe_ingred_list!$K$29:$M$34,3,0)</f>
        <v>8</v>
      </c>
      <c r="AJ1115" s="61" t="str">
        <f aca="false">IF(Q1115="","",Q1115)</f>
        <v>mumbai bhel add 50 gm chilli</v>
      </c>
      <c r="AK1115" s="61" t="n">
        <f aca="false">AK1114+1</f>
        <v>1115</v>
      </c>
      <c r="AL1115" s="61" t="str">
        <f aca="false">Y1115</f>
        <v>pudina leaves</v>
      </c>
      <c r="AM1115" s="81" t="str">
        <f aca="false">"a = Client().post('"&amp;W1115&amp;"', {'recipe' : '"&amp;V1115&amp;"', 'ingredient' : '"&amp;Z1115&amp;"', 'name' : '"&amp;X1115&amp;"', 'mass_unit' : '"&amp;AC1115&amp;"', 'mass_quantity' : '"&amp;ROUND(AA1115,3)&amp;"', 'volume_unit' : '"&amp;AF1115&amp;"', 'volume_quantity' : '"&amp;ROUND(AD1115,3)&amp;"', 'pieces_unit' : '"&amp;AI1115&amp;"', 'pieces_quantity' : '"&amp;ROUND(AG1115,3)&amp;"', 'cooking_notes' : '"&amp;AJ1115&amp;"'}).status_code; print('%s :: %s :: %s :: %s :: %s' %(a,"&amp;G1115&amp;",'"&amp;X1115&amp;"','"&amp;Y1115&amp;"','"&amp;U1115&amp;"'))"</f>
        <v>a = Client().post('/recipes/green-chutney-dhokla-and-mumbai-bhel/detail/', {'recipe' : '28', 'ingredient' : '163', 'name' : 'pudina leaves', 'mass_unit' : '2', 'mass_quantity' : '0', 'volume_unit' : '1', 'volume_quantity' : '0', 'pieces_unit' : '8', 'pieces_quantity' : '2', 'cooking_notes' : 'mumbai bhel add 50 gm chilli'}).status_code; print('%s :: %s :: %s :: %s :: %s' %(a,1115,'pudina leaves','pudina leaves','green chutney -Dhokla AND MUMBAI  BHEL'))</v>
      </c>
    </row>
    <row r="1116" customFormat="false" ht="13.8" hidden="false" customHeight="false" outlineLevel="0" collapsed="false">
      <c r="G1116" s="80" t="n">
        <v>1116</v>
      </c>
      <c r="H1116" s="83"/>
      <c r="I1116" s="83" t="s">
        <v>193</v>
      </c>
      <c r="J1116" s="83" t="s">
        <v>833</v>
      </c>
      <c r="M1116" s="61" t="n">
        <v>0.5</v>
      </c>
      <c r="N1116" s="61" t="s">
        <v>20</v>
      </c>
      <c r="R1116" s="82" t="str">
        <f aca="false">VLOOKUP(J1116,ingredient!$N$4:$O$553,2,0)</f>
        <v>lemon</v>
      </c>
      <c r="U1116" s="81" t="str">
        <f aca="false">I1116</f>
        <v>green chutney -Dhokla AND MUMBAI  BHEL</v>
      </c>
      <c r="V1116" s="81" t="n">
        <f aca="false">VLOOKUP(U1116,recipe_ingred_list!$A$2:$B$300,2,0)</f>
        <v>28</v>
      </c>
      <c r="W1116" s="81" t="str">
        <f aca="false">"/recipes/"&amp;VLOOKUP(U1116,recipe_ingred_list!$A$2:$C$300,3,0)&amp;"/detail/"</f>
        <v>/recipes/green-chutney-dhokla-and-mumbai-bhel/detail/</v>
      </c>
      <c r="X1116" s="81" t="str">
        <f aca="false">J1116</f>
        <v>lemon juice</v>
      </c>
      <c r="Y1116" s="81" t="str">
        <f aca="false">R1116</f>
        <v>lemon</v>
      </c>
      <c r="Z1116" s="94" t="n">
        <f aca="false">VLOOKUP(Y1116,recipe_ingred_list!$D$2:$E$500,2,0)</f>
        <v>129</v>
      </c>
      <c r="AA1116" s="61" t="n">
        <f aca="false">K1116</f>
        <v>0</v>
      </c>
      <c r="AB1116" s="61" t="n">
        <f aca="false">L1116</f>
        <v>0</v>
      </c>
      <c r="AC1116" s="61" t="n">
        <f aca="false">VLOOKUP(AB1116,recipe_ingred_list!$K$2:$M$7,3,0)</f>
        <v>2</v>
      </c>
      <c r="AD1116" s="61" t="n">
        <f aca="false">M1116</f>
        <v>0.5</v>
      </c>
      <c r="AE1116" s="61" t="str">
        <f aca="false">N1116</f>
        <v>cup</v>
      </c>
      <c r="AF1116" s="61" t="n">
        <f aca="false">VLOOKUP(AE1116,recipe_ingred_list!$K$16:$M$25,3,0)</f>
        <v>5</v>
      </c>
      <c r="AG1116" s="61" t="n">
        <f aca="false">O1116</f>
        <v>0</v>
      </c>
      <c r="AH1116" s="61" t="n">
        <f aca="false">P1116</f>
        <v>0</v>
      </c>
      <c r="AI1116" s="61" t="n">
        <f aca="false">VLOOKUP(AH1116,recipe_ingred_list!$K$29:$M$34,3,0)</f>
        <v>3</v>
      </c>
      <c r="AJ1116" s="61" t="str">
        <f aca="false">IF(Q1116="","",Q1116)</f>
        <v/>
      </c>
      <c r="AK1116" s="61" t="n">
        <f aca="false">AK1115+1</f>
        <v>1116</v>
      </c>
      <c r="AL1116" s="61" t="str">
        <f aca="false">Y1116</f>
        <v>lemon</v>
      </c>
      <c r="AM1116" s="81" t="str">
        <f aca="false">"a = Client().post('"&amp;W1116&amp;"', {'recipe' : '"&amp;V1116&amp;"', 'ingredient' : '"&amp;Z1116&amp;"', 'name' : '"&amp;X1116&amp;"', 'mass_unit' : '"&amp;AC1116&amp;"', 'mass_quantity' : '"&amp;ROUND(AA1116,3)&amp;"', 'volume_unit' : '"&amp;AF1116&amp;"', 'volume_quantity' : '"&amp;ROUND(AD1116,3)&amp;"', 'pieces_unit' : '"&amp;AI1116&amp;"', 'pieces_quantity' : '"&amp;ROUND(AG1116,3)&amp;"', 'cooking_notes' : '"&amp;AJ1116&amp;"'}).status_code; print('%s :: %s :: %s :: %s :: %s' %(a,"&amp;G1116&amp;",'"&amp;X1116&amp;"','"&amp;Y1116&amp;"','"&amp;U1116&amp;"'))"</f>
        <v>a = Client().post('/recipes/green-chutney-dhokla-and-mumbai-bhel/detail/', {'recipe' : '28', 'ingredient' : '129', 'name' : 'lemon juice', 'mass_unit' : '2', 'mass_quantity' : '0', 'volume_unit' : '5', 'volume_quantity' : '0.5', 'pieces_unit' : '3', 'pieces_quantity' : '0', 'cooking_notes' : ''}).status_code; print('%s :: %s :: %s :: %s :: %s' %(a,1116,'lemon juice','lemon','green chutney -Dhokla AND MUMBAI  BHEL'))</v>
      </c>
    </row>
    <row r="1117" customFormat="false" ht="13.8" hidden="false" customHeight="false" outlineLevel="0" collapsed="false">
      <c r="G1117" s="80" t="n">
        <v>1117</v>
      </c>
      <c r="H1117" s="83"/>
      <c r="I1117" s="83" t="s">
        <v>193</v>
      </c>
      <c r="J1117" s="83" t="s">
        <v>96</v>
      </c>
      <c r="M1117" s="61" t="n">
        <v>0.5</v>
      </c>
      <c r="N1117" s="61" t="s">
        <v>20</v>
      </c>
      <c r="R1117" s="82" t="str">
        <f aca="false">VLOOKUP(J1117,ingredient!$N$4:$O$553,2,0)</f>
        <v>salt</v>
      </c>
      <c r="U1117" s="81" t="str">
        <f aca="false">I1117</f>
        <v>green chutney -Dhokla AND MUMBAI  BHEL</v>
      </c>
      <c r="V1117" s="81" t="n">
        <f aca="false">VLOOKUP(U1117,recipe_ingred_list!$A$2:$B$300,2,0)</f>
        <v>28</v>
      </c>
      <c r="W1117" s="81" t="str">
        <f aca="false">"/recipes/"&amp;VLOOKUP(U1117,recipe_ingred_list!$A$2:$C$300,3,0)&amp;"/detail/"</f>
        <v>/recipes/green-chutney-dhokla-and-mumbai-bhel/detail/</v>
      </c>
      <c r="X1117" s="81" t="str">
        <f aca="false">J1117</f>
        <v>salt</v>
      </c>
      <c r="Y1117" s="81" t="str">
        <f aca="false">R1117</f>
        <v>salt</v>
      </c>
      <c r="Z1117" s="94" t="n">
        <f aca="false">VLOOKUP(Y1117,recipe_ingred_list!$D$2:$E$500,2,0)</f>
        <v>177</v>
      </c>
      <c r="AA1117" s="61" t="n">
        <f aca="false">K1117</f>
        <v>0</v>
      </c>
      <c r="AB1117" s="61" t="n">
        <f aca="false">L1117</f>
        <v>0</v>
      </c>
      <c r="AC1117" s="61" t="n">
        <f aca="false">VLOOKUP(AB1117,recipe_ingred_list!$K$2:$M$7,3,0)</f>
        <v>2</v>
      </c>
      <c r="AD1117" s="61" t="n">
        <f aca="false">M1117</f>
        <v>0.5</v>
      </c>
      <c r="AE1117" s="61" t="str">
        <f aca="false">N1117</f>
        <v>cup</v>
      </c>
      <c r="AF1117" s="61" t="n">
        <f aca="false">VLOOKUP(AE1117,recipe_ingred_list!$K$16:$M$25,3,0)</f>
        <v>5</v>
      </c>
      <c r="AG1117" s="61" t="n">
        <f aca="false">O1117</f>
        <v>0</v>
      </c>
      <c r="AH1117" s="61" t="n">
        <f aca="false">P1117</f>
        <v>0</v>
      </c>
      <c r="AI1117" s="61" t="n">
        <f aca="false">VLOOKUP(AH1117,recipe_ingred_list!$K$29:$M$34,3,0)</f>
        <v>3</v>
      </c>
      <c r="AJ1117" s="61" t="str">
        <f aca="false">IF(Q1117="","",Q1117)</f>
        <v/>
      </c>
      <c r="AK1117" s="61" t="n">
        <f aca="false">AK1116+1</f>
        <v>1117</v>
      </c>
      <c r="AL1117" s="61" t="str">
        <f aca="false">Y1117</f>
        <v>salt</v>
      </c>
      <c r="AM1117" s="81" t="str">
        <f aca="false">"a = Client().post('"&amp;W1117&amp;"', {'recipe' : '"&amp;V1117&amp;"', 'ingredient' : '"&amp;Z1117&amp;"', 'name' : '"&amp;X1117&amp;"', 'mass_unit' : '"&amp;AC1117&amp;"', 'mass_quantity' : '"&amp;ROUND(AA1117,3)&amp;"', 'volume_unit' : '"&amp;AF1117&amp;"', 'volume_quantity' : '"&amp;ROUND(AD1117,3)&amp;"', 'pieces_unit' : '"&amp;AI1117&amp;"', 'pieces_quantity' : '"&amp;ROUND(AG1117,3)&amp;"', 'cooking_notes' : '"&amp;AJ1117&amp;"'}).status_code; print('%s :: %s :: %s :: %s :: %s' %(a,"&amp;G1117&amp;",'"&amp;X1117&amp;"','"&amp;Y1117&amp;"','"&amp;U1117&amp;"'))"</f>
        <v>a = Client().post('/recipes/green-chutney-dhokla-and-mumbai-bhel/detail/', {'recipe' : '28', 'ingredient' : '177', 'name' : 'salt', 'mass_unit' : '2', 'mass_quantity' : '0', 'volume_unit' : '5', 'volume_quantity' : '0.5', 'pieces_unit' : '3', 'pieces_quantity' : '0', 'cooking_notes' : ''}).status_code; print('%s :: %s :: %s :: %s :: %s' %(a,1117,'salt','salt','green chutney -Dhokla AND MUMBAI  BHEL'))</v>
      </c>
    </row>
    <row r="1118" customFormat="false" ht="13.8" hidden="false" customHeight="false" outlineLevel="0" collapsed="false">
      <c r="G1118" s="80" t="n">
        <v>1118</v>
      </c>
      <c r="H1118" s="83"/>
      <c r="I1118" s="83" t="s">
        <v>193</v>
      </c>
      <c r="J1118" s="83" t="s">
        <v>878</v>
      </c>
      <c r="K1118" s="61" t="n">
        <v>50</v>
      </c>
      <c r="L1118" s="61" t="s">
        <v>109</v>
      </c>
      <c r="R1118" s="82" t="str">
        <f aca="false">VLOOKUP(J1118,ingredient!$N$4:$O$553,2,0)</f>
        <v>hari mirchi</v>
      </c>
      <c r="U1118" s="81" t="str">
        <f aca="false">I1118</f>
        <v>green chutney -Dhokla AND MUMBAI  BHEL</v>
      </c>
      <c r="V1118" s="81" t="n">
        <f aca="false">VLOOKUP(U1118,recipe_ingred_list!$A$2:$B$300,2,0)</f>
        <v>28</v>
      </c>
      <c r="W1118" s="81" t="str">
        <f aca="false">"/recipes/"&amp;VLOOKUP(U1118,recipe_ingred_list!$A$2:$C$300,3,0)&amp;"/detail/"</f>
        <v>/recipes/green-chutney-dhokla-and-mumbai-bhel/detail/</v>
      </c>
      <c r="X1118" s="81" t="str">
        <f aca="false">J1118</f>
        <v>chili (only for Bhel)</v>
      </c>
      <c r="Y1118" s="81" t="str">
        <f aca="false">R1118</f>
        <v>hari mirchi</v>
      </c>
      <c r="Z1118" s="94" t="n">
        <f aca="false">VLOOKUP(Y1118,recipe_ingred_list!$D$2:$E$500,2,0)</f>
        <v>93</v>
      </c>
      <c r="AA1118" s="61" t="n">
        <f aca="false">K1118</f>
        <v>50</v>
      </c>
      <c r="AB1118" s="61" t="str">
        <f aca="false">L1118</f>
        <v>gm</v>
      </c>
      <c r="AC1118" s="61" t="n">
        <f aca="false">VLOOKUP(AB1118,recipe_ingred_list!$K$2:$M$7,3,0)</f>
        <v>7</v>
      </c>
      <c r="AD1118" s="61" t="n">
        <f aca="false">M1118</f>
        <v>0</v>
      </c>
      <c r="AE1118" s="61" t="n">
        <f aca="false">N1118</f>
        <v>0</v>
      </c>
      <c r="AF1118" s="61" t="n">
        <f aca="false">VLOOKUP(AE1118,recipe_ingred_list!$K$16:$M$25,3,0)</f>
        <v>1</v>
      </c>
      <c r="AG1118" s="61" t="n">
        <f aca="false">O1118</f>
        <v>0</v>
      </c>
      <c r="AH1118" s="61" t="n">
        <f aca="false">P1118</f>
        <v>0</v>
      </c>
      <c r="AI1118" s="61" t="n">
        <f aca="false">VLOOKUP(AH1118,recipe_ingred_list!$K$29:$M$34,3,0)</f>
        <v>3</v>
      </c>
      <c r="AJ1118" s="61" t="str">
        <f aca="false">IF(Q1118="","",Q1118)</f>
        <v/>
      </c>
      <c r="AK1118" s="61" t="n">
        <f aca="false">AK1117+1</f>
        <v>1118</v>
      </c>
      <c r="AL1118" s="61" t="str">
        <f aca="false">Y1118</f>
        <v>hari mirchi</v>
      </c>
      <c r="AM1118" s="81" t="str">
        <f aca="false">"a = Client().post('"&amp;W1118&amp;"', {'recipe' : '"&amp;V1118&amp;"', 'ingredient' : '"&amp;Z1118&amp;"', 'name' : '"&amp;X1118&amp;"', 'mass_unit' : '"&amp;AC1118&amp;"', 'mass_quantity' : '"&amp;ROUND(AA1118,3)&amp;"', 'volume_unit' : '"&amp;AF1118&amp;"', 'volume_quantity' : '"&amp;ROUND(AD1118,3)&amp;"', 'pieces_unit' : '"&amp;AI1118&amp;"', 'pieces_quantity' : '"&amp;ROUND(AG1118,3)&amp;"', 'cooking_notes' : '"&amp;AJ1118&amp;"'}).status_code; print('%s :: %s :: %s :: %s :: %s' %(a,"&amp;G1118&amp;",'"&amp;X1118&amp;"','"&amp;Y1118&amp;"','"&amp;U1118&amp;"'))"</f>
        <v>a = Client().post('/recipes/green-chutney-dhokla-and-mumbai-bhel/detail/', {'recipe' : '28', 'ingredient' : '93', 'name' : 'chili (only for Bhel)', 'mass_unit' : '7', 'mass_quantity' : '50', 'volume_unit' : '1', 'volume_quantity' : '0', 'pieces_unit' : '3', 'pieces_quantity' : '0', 'cooking_notes' : ''}).status_code; print('%s :: %s :: %s :: %s :: %s' %(a,1118,'chili (only for Bhel)','hari mirchi','green chutney -Dhokla AND MUMBAI  BHEL'))</v>
      </c>
    </row>
    <row r="1119" customFormat="false" ht="13.8" hidden="false" customHeight="false" outlineLevel="0" collapsed="false">
      <c r="G1119" s="80" t="n">
        <v>1119</v>
      </c>
      <c r="H1119" s="79"/>
      <c r="I1119" s="79"/>
      <c r="J1119" s="79"/>
      <c r="K1119" s="100"/>
      <c r="L1119" s="100"/>
      <c r="M1119" s="100"/>
      <c r="N1119" s="100"/>
      <c r="O1119" s="100"/>
      <c r="P1119" s="100"/>
      <c r="Q1119" s="102"/>
      <c r="R1119" s="99" t="e">
        <f aca="false">VLOOKUP(J1119,ingredient!$N$4:$O$553,2,0)</f>
        <v>#N/A</v>
      </c>
      <c r="S1119" s="98"/>
      <c r="T1119" s="98"/>
      <c r="U1119" s="81" t="n">
        <f aca="false">I1119</f>
        <v>0</v>
      </c>
      <c r="V1119" s="81" t="e">
        <f aca="false">VLOOKUP(U1119,recipe_ingred_list!$A$2:$B$300,2,0)</f>
        <v>#N/A</v>
      </c>
      <c r="W1119" s="81" t="e">
        <f aca="false">"/recipes/"&amp;VLOOKUP(U1119,recipe_ingred_list!$A$2:$C$300,3,0)&amp;"/detail/"</f>
        <v>#N/A</v>
      </c>
      <c r="X1119" s="81" t="n">
        <f aca="false">J1119</f>
        <v>0</v>
      </c>
      <c r="Y1119" s="81" t="e">
        <f aca="false">R1119</f>
        <v>#N/A</v>
      </c>
      <c r="Z1119" s="94" t="e">
        <f aca="false">VLOOKUP(Y1119,recipe_ingred_list!$D$2:$E$500,2,0)</f>
        <v>#N/A</v>
      </c>
      <c r="AA1119" s="61" t="n">
        <f aca="false">K1119</f>
        <v>0</v>
      </c>
      <c r="AB1119" s="61" t="n">
        <f aca="false">L1119</f>
        <v>0</v>
      </c>
      <c r="AC1119" s="61" t="n">
        <f aca="false">VLOOKUP(AB1119,recipe_ingred_list!$K$2:$M$7,3,0)</f>
        <v>2</v>
      </c>
      <c r="AD1119" s="61" t="n">
        <f aca="false">M1119</f>
        <v>0</v>
      </c>
      <c r="AE1119" s="61" t="n">
        <f aca="false">N1119</f>
        <v>0</v>
      </c>
      <c r="AF1119" s="61" t="n">
        <f aca="false">VLOOKUP(AE1119,recipe_ingred_list!$K$16:$M$25,3,0)</f>
        <v>1</v>
      </c>
      <c r="AG1119" s="61" t="n">
        <f aca="false">O1119</f>
        <v>0</v>
      </c>
      <c r="AH1119" s="61" t="n">
        <f aca="false">P1119</f>
        <v>0</v>
      </c>
      <c r="AI1119" s="61" t="n">
        <f aca="false">VLOOKUP(AH1119,recipe_ingred_list!$K$29:$M$34,3,0)</f>
        <v>3</v>
      </c>
      <c r="AJ1119" s="61" t="str">
        <f aca="false">IF(Q1119="","",Q1119)</f>
        <v/>
      </c>
      <c r="AK1119" s="61" t="n">
        <f aca="false">AK1118+1</f>
        <v>1119</v>
      </c>
      <c r="AL1119" s="61" t="e">
        <f aca="false">Y1119</f>
        <v>#N/A</v>
      </c>
      <c r="AM1119" s="81" t="e">
        <f aca="false">"a = Client().post('"&amp;W1119&amp;"', {'recipe' : '"&amp;V1119&amp;"', 'ingredient' : '"&amp;Z1119&amp;"', 'name' : '"&amp;X1119&amp;"', 'mass_unit' : '"&amp;AC1119&amp;"', 'mass_quantity' : '"&amp;ROUND(AA1119,3)&amp;"', 'volume_unit' : '"&amp;AF1119&amp;"', 'volume_quantity' : '"&amp;ROUND(AD1119,3)&amp;"', 'pieces_unit' : '"&amp;AI1119&amp;"', 'pieces_quantity' : '"&amp;ROUND(AG1119,3)&amp;"', 'cooking_notes' : '"&amp;AJ1119&amp;"'}).status_code; print('%s :: %s :: %s :: %s :: %s' %(a,"&amp;G1119&amp;",'"&amp;X1119&amp;"','"&amp;Y1119&amp;"','"&amp;U1119&amp;"'))"</f>
        <v>#N/A</v>
      </c>
    </row>
    <row r="1120" customFormat="false" ht="13.8" hidden="false" customHeight="false" outlineLevel="0" collapsed="false">
      <c r="G1120" s="80" t="n">
        <v>1120</v>
      </c>
      <c r="H1120" s="83"/>
      <c r="I1120" s="83" t="s">
        <v>274</v>
      </c>
      <c r="J1120" s="83" t="s">
        <v>434</v>
      </c>
      <c r="K1120" s="61" t="n">
        <v>5</v>
      </c>
      <c r="L1120" s="61" t="s">
        <v>7</v>
      </c>
      <c r="R1120" s="82" t="str">
        <f aca="false">VLOOKUP(J1120,ingredient!$N$4:$O$553,2,0)</f>
        <v>matar</v>
      </c>
      <c r="U1120" s="81" t="str">
        <f aca="false">I1120</f>
        <v>PATLA POHA</v>
      </c>
      <c r="V1120" s="81" t="n">
        <f aca="false">VLOOKUP(U1120,recipe_ingred_list!$A$2:$B$300,2,0)</f>
        <v>55</v>
      </c>
      <c r="W1120" s="81" t="str">
        <f aca="false">"/recipes/"&amp;VLOOKUP(U1120,recipe_ingred_list!$A$2:$C$300,3,0)&amp;"/detail/"</f>
        <v>/recipes/patla-poha/detail/</v>
      </c>
      <c r="X1120" s="81" t="str">
        <f aca="false">J1120</f>
        <v>matar</v>
      </c>
      <c r="Y1120" s="81" t="str">
        <f aca="false">R1120</f>
        <v>matar</v>
      </c>
      <c r="Z1120" s="94" t="n">
        <f aca="false">VLOOKUP(Y1120,recipe_ingred_list!$D$2:$E$500,2,0)</f>
        <v>140</v>
      </c>
      <c r="AA1120" s="61" t="n">
        <f aca="false">K1120</f>
        <v>5</v>
      </c>
      <c r="AB1120" s="61" t="str">
        <f aca="false">L1120</f>
        <v>kg</v>
      </c>
      <c r="AC1120" s="61" t="n">
        <f aca="false">VLOOKUP(AB1120,recipe_ingred_list!$K$2:$M$7,3,0)</f>
        <v>2</v>
      </c>
      <c r="AD1120" s="61" t="n">
        <f aca="false">M1120</f>
        <v>0</v>
      </c>
      <c r="AE1120" s="61" t="n">
        <f aca="false">N1120</f>
        <v>0</v>
      </c>
      <c r="AF1120" s="61" t="n">
        <f aca="false">VLOOKUP(AE1120,recipe_ingred_list!$K$16:$M$25,3,0)</f>
        <v>1</v>
      </c>
      <c r="AG1120" s="61" t="n">
        <f aca="false">O1120</f>
        <v>0</v>
      </c>
      <c r="AH1120" s="61" t="n">
        <f aca="false">P1120</f>
        <v>0</v>
      </c>
      <c r="AI1120" s="61" t="n">
        <f aca="false">VLOOKUP(AH1120,recipe_ingred_list!$K$29:$M$34,3,0)</f>
        <v>3</v>
      </c>
      <c r="AJ1120" s="61" t="str">
        <f aca="false">IF(Q1120="","",Q1120)</f>
        <v/>
      </c>
      <c r="AK1120" s="61" t="n">
        <f aca="false">AK1119+1</f>
        <v>1120</v>
      </c>
      <c r="AL1120" s="61" t="str">
        <f aca="false">Y1120</f>
        <v>matar</v>
      </c>
      <c r="AM1120" s="81" t="str">
        <f aca="false">"a = Client().post('"&amp;W1120&amp;"', {'recipe' : '"&amp;V1120&amp;"', 'ingredient' : '"&amp;Z1120&amp;"', 'name' : '"&amp;X1120&amp;"', 'mass_unit' : '"&amp;AC1120&amp;"', 'mass_quantity' : '"&amp;ROUND(AA1120,3)&amp;"', 'volume_unit' : '"&amp;AF1120&amp;"', 'volume_quantity' : '"&amp;ROUND(AD1120,3)&amp;"', 'pieces_unit' : '"&amp;AI1120&amp;"', 'pieces_quantity' : '"&amp;ROUND(AG1120,3)&amp;"', 'cooking_notes' : '"&amp;AJ1120&amp;"'}).status_code; print('%s :: %s :: %s :: %s :: %s' %(a,"&amp;G1120&amp;",'"&amp;X1120&amp;"','"&amp;Y1120&amp;"','"&amp;U1120&amp;"'))"</f>
        <v>a = Client().post('/recipes/patla-poha/detail/', {'recipe' : '55', 'ingredient' : '140', 'name' : 'matar', 'mass_unit' : '2', 'mass_quantity' : '5', 'volume_unit' : '1', 'volume_quantity' : '0', 'pieces_unit' : '3', 'pieces_quantity' : '0', 'cooking_notes' : ''}).status_code; print('%s :: %s :: %s :: %s :: %s' %(a,1120,'matar','matar','PATLA POHA'))</v>
      </c>
    </row>
    <row r="1121" customFormat="false" ht="13.8" hidden="false" customHeight="false" outlineLevel="0" collapsed="false">
      <c r="G1121" s="80" t="n">
        <v>1121</v>
      </c>
      <c r="H1121" s="83"/>
      <c r="I1121" s="83" t="s">
        <v>274</v>
      </c>
      <c r="J1121" s="83" t="s">
        <v>348</v>
      </c>
      <c r="K1121" s="61" t="n">
        <v>10</v>
      </c>
      <c r="L1121" s="61" t="s">
        <v>7</v>
      </c>
      <c r="R1121" s="82" t="str">
        <f aca="false">VLOOKUP(J1121,ingredient!$N$4:$O$553,2,0)</f>
        <v>gajar</v>
      </c>
      <c r="U1121" s="81" t="str">
        <f aca="false">I1121</f>
        <v>PATLA POHA</v>
      </c>
      <c r="V1121" s="81" t="n">
        <f aca="false">VLOOKUP(U1121,recipe_ingred_list!$A$2:$B$300,2,0)</f>
        <v>55</v>
      </c>
      <c r="W1121" s="81" t="str">
        <f aca="false">"/recipes/"&amp;VLOOKUP(U1121,recipe_ingred_list!$A$2:$C$300,3,0)&amp;"/detail/"</f>
        <v>/recipes/patla-poha/detail/</v>
      </c>
      <c r="X1121" s="81" t="str">
        <f aca="false">J1121</f>
        <v>gajar</v>
      </c>
      <c r="Y1121" s="81" t="str">
        <f aca="false">R1121</f>
        <v>gajar</v>
      </c>
      <c r="Z1121" s="94" t="n">
        <f aca="false">VLOOKUP(Y1121,recipe_ingred_list!$D$2:$E$500,2,0)</f>
        <v>79</v>
      </c>
      <c r="AA1121" s="61" t="n">
        <f aca="false">K1121</f>
        <v>10</v>
      </c>
      <c r="AB1121" s="61" t="str">
        <f aca="false">L1121</f>
        <v>kg</v>
      </c>
      <c r="AC1121" s="61" t="n">
        <f aca="false">VLOOKUP(AB1121,recipe_ingred_list!$K$2:$M$7,3,0)</f>
        <v>2</v>
      </c>
      <c r="AD1121" s="61" t="n">
        <f aca="false">M1121</f>
        <v>0</v>
      </c>
      <c r="AE1121" s="61" t="n">
        <f aca="false">N1121</f>
        <v>0</v>
      </c>
      <c r="AF1121" s="61" t="n">
        <f aca="false">VLOOKUP(AE1121,recipe_ingred_list!$K$16:$M$25,3,0)</f>
        <v>1</v>
      </c>
      <c r="AG1121" s="61" t="n">
        <f aca="false">O1121</f>
        <v>0</v>
      </c>
      <c r="AH1121" s="61" t="n">
        <f aca="false">P1121</f>
        <v>0</v>
      </c>
      <c r="AI1121" s="61" t="n">
        <f aca="false">VLOOKUP(AH1121,recipe_ingred_list!$K$29:$M$34,3,0)</f>
        <v>3</v>
      </c>
      <c r="AJ1121" s="61" t="str">
        <f aca="false">IF(Q1121="","",Q1121)</f>
        <v/>
      </c>
      <c r="AK1121" s="61" t="n">
        <f aca="false">AK1120+1</f>
        <v>1121</v>
      </c>
      <c r="AL1121" s="61" t="str">
        <f aca="false">Y1121</f>
        <v>gajar</v>
      </c>
      <c r="AM1121" s="81" t="str">
        <f aca="false">"a = Client().post('"&amp;W1121&amp;"', {'recipe' : '"&amp;V1121&amp;"', 'ingredient' : '"&amp;Z1121&amp;"', 'name' : '"&amp;X1121&amp;"', 'mass_unit' : '"&amp;AC1121&amp;"', 'mass_quantity' : '"&amp;ROUND(AA1121,3)&amp;"', 'volume_unit' : '"&amp;AF1121&amp;"', 'volume_quantity' : '"&amp;ROUND(AD1121,3)&amp;"', 'pieces_unit' : '"&amp;AI1121&amp;"', 'pieces_quantity' : '"&amp;ROUND(AG1121,3)&amp;"', 'cooking_notes' : '"&amp;AJ1121&amp;"'}).status_code; print('%s :: %s :: %s :: %s :: %s' %(a,"&amp;G1121&amp;",'"&amp;X1121&amp;"','"&amp;Y1121&amp;"','"&amp;U1121&amp;"'))"</f>
        <v>a = Client().post('/recipes/patla-poha/detail/', {'recipe' : '55', 'ingredient' : '79', 'name' : 'gajar', 'mass_unit' : '2', 'mass_quantity' : '10', 'volume_unit' : '1', 'volume_quantity' : '0', 'pieces_unit' : '3', 'pieces_quantity' : '0', 'cooking_notes' : ''}).status_code; print('%s :: %s :: %s :: %s :: %s' %(a,1121,'gajar','gajar','PATLA POHA'))</v>
      </c>
    </row>
    <row r="1122" customFormat="false" ht="13.8" hidden="false" customHeight="false" outlineLevel="0" collapsed="false">
      <c r="G1122" s="80" t="n">
        <v>1122</v>
      </c>
      <c r="H1122" s="83"/>
      <c r="I1122" s="83" t="s">
        <v>274</v>
      </c>
      <c r="J1122" s="83" t="s">
        <v>406</v>
      </c>
      <c r="K1122" s="61" t="n">
        <v>15</v>
      </c>
      <c r="L1122" s="61" t="s">
        <v>7</v>
      </c>
      <c r="R1122" s="82" t="str">
        <f aca="false">VLOOKUP(J1122,ingredient!$N$4:$O$553,2,0)</f>
        <v>kakdi</v>
      </c>
      <c r="U1122" s="81" t="str">
        <f aca="false">I1122</f>
        <v>PATLA POHA</v>
      </c>
      <c r="V1122" s="81" t="n">
        <f aca="false">VLOOKUP(U1122,recipe_ingred_list!$A$2:$B$300,2,0)</f>
        <v>55</v>
      </c>
      <c r="W1122" s="81" t="str">
        <f aca="false">"/recipes/"&amp;VLOOKUP(U1122,recipe_ingred_list!$A$2:$C$300,3,0)&amp;"/detail/"</f>
        <v>/recipes/patla-poha/detail/</v>
      </c>
      <c r="X1122" s="81" t="str">
        <f aca="false">J1122</f>
        <v>kakdi</v>
      </c>
      <c r="Y1122" s="81" t="str">
        <f aca="false">R1122</f>
        <v>kakdi</v>
      </c>
      <c r="Z1122" s="94" t="n">
        <f aca="false">VLOOKUP(Y1122,recipe_ingred_list!$D$2:$E$500,2,0)</f>
        <v>111</v>
      </c>
      <c r="AA1122" s="61" t="n">
        <f aca="false">K1122</f>
        <v>15</v>
      </c>
      <c r="AB1122" s="61" t="str">
        <f aca="false">L1122</f>
        <v>kg</v>
      </c>
      <c r="AC1122" s="61" t="n">
        <f aca="false">VLOOKUP(AB1122,recipe_ingred_list!$K$2:$M$7,3,0)</f>
        <v>2</v>
      </c>
      <c r="AD1122" s="61" t="n">
        <f aca="false">M1122</f>
        <v>0</v>
      </c>
      <c r="AE1122" s="61" t="n">
        <f aca="false">N1122</f>
        <v>0</v>
      </c>
      <c r="AF1122" s="61" t="n">
        <f aca="false">VLOOKUP(AE1122,recipe_ingred_list!$K$16:$M$25,3,0)</f>
        <v>1</v>
      </c>
      <c r="AG1122" s="61" t="n">
        <f aca="false">O1122</f>
        <v>0</v>
      </c>
      <c r="AH1122" s="61" t="n">
        <f aca="false">P1122</f>
        <v>0</v>
      </c>
      <c r="AI1122" s="61" t="n">
        <f aca="false">VLOOKUP(AH1122,recipe_ingred_list!$K$29:$M$34,3,0)</f>
        <v>3</v>
      </c>
      <c r="AJ1122" s="61" t="str">
        <f aca="false">IF(Q1122="","",Q1122)</f>
        <v/>
      </c>
      <c r="AK1122" s="61" t="n">
        <f aca="false">AK1121+1</f>
        <v>1122</v>
      </c>
      <c r="AL1122" s="61" t="str">
        <f aca="false">Y1122</f>
        <v>kakdi</v>
      </c>
      <c r="AM1122" s="81" t="str">
        <f aca="false">"a = Client().post('"&amp;W1122&amp;"', {'recipe' : '"&amp;V1122&amp;"', 'ingredient' : '"&amp;Z1122&amp;"', 'name' : '"&amp;X1122&amp;"', 'mass_unit' : '"&amp;AC1122&amp;"', 'mass_quantity' : '"&amp;ROUND(AA1122,3)&amp;"', 'volume_unit' : '"&amp;AF1122&amp;"', 'volume_quantity' : '"&amp;ROUND(AD1122,3)&amp;"', 'pieces_unit' : '"&amp;AI1122&amp;"', 'pieces_quantity' : '"&amp;ROUND(AG1122,3)&amp;"', 'cooking_notes' : '"&amp;AJ1122&amp;"'}).status_code; print('%s :: %s :: %s :: %s :: %s' %(a,"&amp;G1122&amp;",'"&amp;X1122&amp;"','"&amp;Y1122&amp;"','"&amp;U1122&amp;"'))"</f>
        <v>a = Client().post('/recipes/patla-poha/detail/', {'recipe' : '55', 'ingredient' : '111', 'name' : 'kakdi', 'mass_unit' : '2', 'mass_quantity' : '15', 'volume_unit' : '1', 'volume_quantity' : '0', 'pieces_unit' : '3', 'pieces_quantity' : '0', 'cooking_notes' : ''}).status_code; print('%s :: %s :: %s :: %s :: %s' %(a,1122,'kakdi','kakdi','PATLA POHA'))</v>
      </c>
    </row>
    <row r="1123" customFormat="false" ht="13.8" hidden="false" customHeight="false" outlineLevel="0" collapsed="false">
      <c r="G1123" s="80" t="n">
        <v>1123</v>
      </c>
      <c r="H1123" s="83"/>
      <c r="I1123" s="83" t="s">
        <v>274</v>
      </c>
      <c r="J1123" s="83" t="s">
        <v>485</v>
      </c>
      <c r="K1123" s="61" t="n">
        <v>8</v>
      </c>
      <c r="L1123" s="61" t="s">
        <v>7</v>
      </c>
      <c r="R1123" s="82" t="str">
        <f aca="false">VLOOKUP(J1123,ingredient!$N$4:$O$553,2,0)</f>
        <v>tomato</v>
      </c>
      <c r="U1123" s="81" t="str">
        <f aca="false">I1123</f>
        <v>PATLA POHA</v>
      </c>
      <c r="V1123" s="81" t="n">
        <f aca="false">VLOOKUP(U1123,recipe_ingred_list!$A$2:$B$300,2,0)</f>
        <v>55</v>
      </c>
      <c r="W1123" s="81" t="str">
        <f aca="false">"/recipes/"&amp;VLOOKUP(U1123,recipe_ingred_list!$A$2:$C$300,3,0)&amp;"/detail/"</f>
        <v>/recipes/patla-poha/detail/</v>
      </c>
      <c r="X1123" s="81" t="str">
        <f aca="false">J1123</f>
        <v>tomato</v>
      </c>
      <c r="Y1123" s="81" t="str">
        <f aca="false">R1123</f>
        <v>tomato</v>
      </c>
      <c r="Z1123" s="94" t="n">
        <f aca="false">VLOOKUP(Y1123,recipe_ingred_list!$D$2:$E$500,2,0)</f>
        <v>195</v>
      </c>
      <c r="AA1123" s="61" t="n">
        <f aca="false">K1123</f>
        <v>8</v>
      </c>
      <c r="AB1123" s="61" t="str">
        <f aca="false">L1123</f>
        <v>kg</v>
      </c>
      <c r="AC1123" s="61" t="n">
        <f aca="false">VLOOKUP(AB1123,recipe_ingred_list!$K$2:$M$7,3,0)</f>
        <v>2</v>
      </c>
      <c r="AD1123" s="61" t="n">
        <f aca="false">M1123</f>
        <v>0</v>
      </c>
      <c r="AE1123" s="61" t="n">
        <f aca="false">N1123</f>
        <v>0</v>
      </c>
      <c r="AF1123" s="61" t="n">
        <f aca="false">VLOOKUP(AE1123,recipe_ingred_list!$K$16:$M$25,3,0)</f>
        <v>1</v>
      </c>
      <c r="AG1123" s="61" t="n">
        <f aca="false">O1123</f>
        <v>0</v>
      </c>
      <c r="AH1123" s="61" t="n">
        <f aca="false">P1123</f>
        <v>0</v>
      </c>
      <c r="AI1123" s="61" t="n">
        <f aca="false">VLOOKUP(AH1123,recipe_ingred_list!$K$29:$M$34,3,0)</f>
        <v>3</v>
      </c>
      <c r="AJ1123" s="61" t="str">
        <f aca="false">IF(Q1123="","",Q1123)</f>
        <v/>
      </c>
      <c r="AK1123" s="61" t="n">
        <f aca="false">AK1122+1</f>
        <v>1123</v>
      </c>
      <c r="AL1123" s="61" t="str">
        <f aca="false">Y1123</f>
        <v>tomato</v>
      </c>
      <c r="AM1123" s="81" t="str">
        <f aca="false">"a = Client().post('"&amp;W1123&amp;"', {'recipe' : '"&amp;V1123&amp;"', 'ingredient' : '"&amp;Z1123&amp;"', 'name' : '"&amp;X1123&amp;"', 'mass_unit' : '"&amp;AC1123&amp;"', 'mass_quantity' : '"&amp;ROUND(AA1123,3)&amp;"', 'volume_unit' : '"&amp;AF1123&amp;"', 'volume_quantity' : '"&amp;ROUND(AD1123,3)&amp;"', 'pieces_unit' : '"&amp;AI1123&amp;"', 'pieces_quantity' : '"&amp;ROUND(AG1123,3)&amp;"', 'cooking_notes' : '"&amp;AJ1123&amp;"'}).status_code; print('%s :: %s :: %s :: %s :: %s' %(a,"&amp;G1123&amp;",'"&amp;X1123&amp;"','"&amp;Y1123&amp;"','"&amp;U1123&amp;"'))"</f>
        <v>a = Client().post('/recipes/patla-poha/detail/', {'recipe' : '55', 'ingredient' : '195', 'name' : 'tomato', 'mass_unit' : '2', 'mass_quantity' : '8', 'volume_unit' : '1', 'volume_quantity' : '0', 'pieces_unit' : '3', 'pieces_quantity' : '0', 'cooking_notes' : ''}).status_code; print('%s :: %s :: %s :: %s :: %s' %(a,1123,'tomato','tomato','PATLA POHA'))</v>
      </c>
    </row>
    <row r="1124" customFormat="false" ht="13.8" hidden="false" customHeight="false" outlineLevel="0" collapsed="false">
      <c r="G1124" s="80" t="n">
        <v>1124</v>
      </c>
      <c r="H1124" s="83"/>
      <c r="I1124" s="83" t="s">
        <v>274</v>
      </c>
      <c r="J1124" s="83" t="s">
        <v>273</v>
      </c>
      <c r="O1124" s="61" t="n">
        <v>10</v>
      </c>
      <c r="P1124" s="61" t="s">
        <v>107</v>
      </c>
      <c r="R1124" s="82" t="str">
        <f aca="false">VLOOKUP(J1124,ingredient!$N$4:$O$553,2,0)</f>
        <v>coconut</v>
      </c>
      <c r="U1124" s="81" t="str">
        <f aca="false">I1124</f>
        <v>PATLA POHA</v>
      </c>
      <c r="V1124" s="81" t="n">
        <f aca="false">VLOOKUP(U1124,recipe_ingred_list!$A$2:$B$300,2,0)</f>
        <v>55</v>
      </c>
      <c r="W1124" s="81" t="str">
        <f aca="false">"/recipes/"&amp;VLOOKUP(U1124,recipe_ingred_list!$A$2:$C$300,3,0)&amp;"/detail/"</f>
        <v>/recipes/patla-poha/detail/</v>
      </c>
      <c r="X1124" s="81" t="str">
        <f aca="false">J1124</f>
        <v>coconut</v>
      </c>
      <c r="Y1124" s="81" t="str">
        <f aca="false">R1124</f>
        <v>coconut</v>
      </c>
      <c r="Z1124" s="94" t="n">
        <f aca="false">VLOOKUP(Y1124,recipe_ingred_list!$D$2:$E$500,2,0)</f>
        <v>54</v>
      </c>
      <c r="AA1124" s="61" t="n">
        <f aca="false">K1124</f>
        <v>0</v>
      </c>
      <c r="AB1124" s="61" t="n">
        <f aca="false">L1124</f>
        <v>0</v>
      </c>
      <c r="AC1124" s="61" t="n">
        <f aca="false">VLOOKUP(AB1124,recipe_ingred_list!$K$2:$M$7,3,0)</f>
        <v>2</v>
      </c>
      <c r="AD1124" s="61" t="n">
        <f aca="false">M1124</f>
        <v>0</v>
      </c>
      <c r="AE1124" s="61" t="n">
        <f aca="false">N1124</f>
        <v>0</v>
      </c>
      <c r="AF1124" s="61" t="n">
        <f aca="false">VLOOKUP(AE1124,recipe_ingred_list!$K$16:$M$25,3,0)</f>
        <v>1</v>
      </c>
      <c r="AG1124" s="61" t="n">
        <f aca="false">O1124</f>
        <v>10</v>
      </c>
      <c r="AH1124" s="61" t="str">
        <f aca="false">P1124</f>
        <v>pcs</v>
      </c>
      <c r="AI1124" s="61" t="n">
        <f aca="false">VLOOKUP(AH1124,recipe_ingred_list!$K$29:$M$34,3,0)</f>
        <v>3</v>
      </c>
      <c r="AJ1124" s="61" t="str">
        <f aca="false">IF(Q1124="","",Q1124)</f>
        <v/>
      </c>
      <c r="AK1124" s="61" t="n">
        <f aca="false">AK1123+1</f>
        <v>1124</v>
      </c>
      <c r="AL1124" s="61" t="str">
        <f aca="false">Y1124</f>
        <v>coconut</v>
      </c>
      <c r="AM1124" s="81" t="str">
        <f aca="false">"a = Client().post('"&amp;W1124&amp;"', {'recipe' : '"&amp;V1124&amp;"', 'ingredient' : '"&amp;Z1124&amp;"', 'name' : '"&amp;X1124&amp;"', 'mass_unit' : '"&amp;AC1124&amp;"', 'mass_quantity' : '"&amp;ROUND(AA1124,3)&amp;"', 'volume_unit' : '"&amp;AF1124&amp;"', 'volume_quantity' : '"&amp;ROUND(AD1124,3)&amp;"', 'pieces_unit' : '"&amp;AI1124&amp;"', 'pieces_quantity' : '"&amp;ROUND(AG1124,3)&amp;"', 'cooking_notes' : '"&amp;AJ1124&amp;"'}).status_code; print('%s :: %s :: %s :: %s :: %s' %(a,"&amp;G1124&amp;",'"&amp;X1124&amp;"','"&amp;Y1124&amp;"','"&amp;U1124&amp;"'))"</f>
        <v>a = Client().post('/recipes/patla-poha/detail/', {'recipe' : '55', 'ingredient' : '54', 'name' : 'coconut', 'mass_unit' : '2', 'mass_quantity' : '0', 'volume_unit' : '1', 'volume_quantity' : '0', 'pieces_unit' : '3', 'pieces_quantity' : '10', 'cooking_notes' : ''}).status_code; print('%s :: %s :: %s :: %s :: %s' %(a,1124,'coconut','coconut','PATLA POHA'))</v>
      </c>
    </row>
    <row r="1125" customFormat="false" ht="13.8" hidden="false" customHeight="false" outlineLevel="0" collapsed="false">
      <c r="G1125" s="80" t="n">
        <v>1125</v>
      </c>
      <c r="H1125" s="83"/>
      <c r="I1125" s="83" t="s">
        <v>274</v>
      </c>
      <c r="J1125" s="83" t="s">
        <v>309</v>
      </c>
      <c r="M1125" s="61" t="n">
        <v>3</v>
      </c>
      <c r="N1125" s="61" t="s">
        <v>13</v>
      </c>
      <c r="R1125" s="82" t="str">
        <f aca="false">VLOOKUP(J1125,ingredient!$N$4:$O$553,2,0)</f>
        <v>dhaniya patta</v>
      </c>
      <c r="U1125" s="81" t="str">
        <f aca="false">I1125</f>
        <v>PATLA POHA</v>
      </c>
      <c r="V1125" s="81" t="n">
        <f aca="false">VLOOKUP(U1125,recipe_ingred_list!$A$2:$B$300,2,0)</f>
        <v>55</v>
      </c>
      <c r="W1125" s="81" t="str">
        <f aca="false">"/recipes/"&amp;VLOOKUP(U1125,recipe_ingred_list!$A$2:$C$300,3,0)&amp;"/detail/"</f>
        <v>/recipes/patla-poha/detail/</v>
      </c>
      <c r="X1125" s="81" t="str">
        <f aca="false">J1125</f>
        <v>dhaniya patta</v>
      </c>
      <c r="Y1125" s="81" t="str">
        <f aca="false">R1125</f>
        <v>dhaniya patta</v>
      </c>
      <c r="Z1125" s="94" t="n">
        <f aca="false">VLOOKUP(Y1125,recipe_ingred_list!$D$2:$E$500,2,0)</f>
        <v>66</v>
      </c>
      <c r="AA1125" s="61" t="n">
        <f aca="false">K1125</f>
        <v>0</v>
      </c>
      <c r="AB1125" s="61" t="n">
        <f aca="false">L1125</f>
        <v>0</v>
      </c>
      <c r="AC1125" s="61" t="n">
        <f aca="false">VLOOKUP(AB1125,recipe_ingred_list!$K$2:$M$7,3,0)</f>
        <v>2</v>
      </c>
      <c r="AD1125" s="61" t="n">
        <f aca="false">M1125</f>
        <v>3</v>
      </c>
      <c r="AE1125" s="61" t="str">
        <f aca="false">N1125</f>
        <v>ltr</v>
      </c>
      <c r="AF1125" s="61" t="n">
        <f aca="false">VLOOKUP(AE1125,recipe_ingred_list!$K$16:$M$25,3,0)</f>
        <v>1</v>
      </c>
      <c r="AG1125" s="61" t="n">
        <f aca="false">O1125</f>
        <v>0</v>
      </c>
      <c r="AH1125" s="61" t="n">
        <f aca="false">P1125</f>
        <v>0</v>
      </c>
      <c r="AI1125" s="61" t="n">
        <f aca="false">VLOOKUP(AH1125,recipe_ingred_list!$K$29:$M$34,3,0)</f>
        <v>3</v>
      </c>
      <c r="AJ1125" s="61" t="str">
        <f aca="false">IF(Q1125="","",Q1125)</f>
        <v/>
      </c>
      <c r="AK1125" s="61" t="n">
        <f aca="false">AK1124+1</f>
        <v>1125</v>
      </c>
      <c r="AL1125" s="61" t="str">
        <f aca="false">Y1125</f>
        <v>dhaniya patta</v>
      </c>
      <c r="AM1125" s="81" t="str">
        <f aca="false">"a = Client().post('"&amp;W1125&amp;"', {'recipe' : '"&amp;V1125&amp;"', 'ingredient' : '"&amp;Z1125&amp;"', 'name' : '"&amp;X1125&amp;"', 'mass_unit' : '"&amp;AC1125&amp;"', 'mass_quantity' : '"&amp;ROUND(AA1125,3)&amp;"', 'volume_unit' : '"&amp;AF1125&amp;"', 'volume_quantity' : '"&amp;ROUND(AD1125,3)&amp;"', 'pieces_unit' : '"&amp;AI1125&amp;"', 'pieces_quantity' : '"&amp;ROUND(AG1125,3)&amp;"', 'cooking_notes' : '"&amp;AJ1125&amp;"'}).status_code; print('%s :: %s :: %s :: %s :: %s' %(a,"&amp;G1125&amp;",'"&amp;X1125&amp;"','"&amp;Y1125&amp;"','"&amp;U1125&amp;"'))"</f>
        <v>a = Client().post('/recipes/patla-poha/detail/', {'recipe' : '55', 'ingredient' : '66', 'name' : 'dhaniya patta', 'mass_unit' : '2', 'mass_quantity' : '0', 'volume_unit' : '1', 'volume_quantity' : '3', 'pieces_unit' : '3', 'pieces_quantity' : '0', 'cooking_notes' : ''}).status_code; print('%s :: %s :: %s :: %s :: %s' %(a,1125,'dhaniya patta','dhaniya patta','PATLA POHA'))</v>
      </c>
    </row>
    <row r="1126" customFormat="false" ht="13.8" hidden="false" customHeight="false" outlineLevel="0" collapsed="false">
      <c r="G1126" s="80" t="n">
        <v>1126</v>
      </c>
      <c r="H1126" s="83"/>
      <c r="I1126" s="83" t="s">
        <v>274</v>
      </c>
      <c r="J1126" s="83" t="s">
        <v>879</v>
      </c>
      <c r="M1126" s="61" t="n">
        <v>1</v>
      </c>
      <c r="N1126" s="61" t="s">
        <v>13</v>
      </c>
      <c r="R1126" s="82" t="str">
        <f aca="false">VLOOKUP(J1126,ingredient!$N$4:$O$553,2,0)</f>
        <v>hari mirchi</v>
      </c>
      <c r="U1126" s="81" t="str">
        <f aca="false">I1126</f>
        <v>PATLA POHA</v>
      </c>
      <c r="V1126" s="81" t="n">
        <f aca="false">VLOOKUP(U1126,recipe_ingred_list!$A$2:$B$300,2,0)</f>
        <v>55</v>
      </c>
      <c r="W1126" s="81" t="str">
        <f aca="false">"/recipes/"&amp;VLOOKUP(U1126,recipe_ingred_list!$A$2:$C$300,3,0)&amp;"/detail/"</f>
        <v>/recipes/patla-poha/detail/</v>
      </c>
      <c r="X1126" s="81" t="str">
        <f aca="false">J1126</f>
        <v>green chilly long cut</v>
      </c>
      <c r="Y1126" s="81" t="str">
        <f aca="false">R1126</f>
        <v>hari mirchi</v>
      </c>
      <c r="Z1126" s="94" t="n">
        <f aca="false">VLOOKUP(Y1126,recipe_ingred_list!$D$2:$E$500,2,0)</f>
        <v>93</v>
      </c>
      <c r="AA1126" s="61" t="n">
        <f aca="false">K1126</f>
        <v>0</v>
      </c>
      <c r="AB1126" s="61" t="n">
        <f aca="false">L1126</f>
        <v>0</v>
      </c>
      <c r="AC1126" s="61" t="n">
        <f aca="false">VLOOKUP(AB1126,recipe_ingred_list!$K$2:$M$7,3,0)</f>
        <v>2</v>
      </c>
      <c r="AD1126" s="61" t="n">
        <f aca="false">M1126</f>
        <v>1</v>
      </c>
      <c r="AE1126" s="61" t="str">
        <f aca="false">N1126</f>
        <v>ltr</v>
      </c>
      <c r="AF1126" s="61" t="n">
        <f aca="false">VLOOKUP(AE1126,recipe_ingred_list!$K$16:$M$25,3,0)</f>
        <v>1</v>
      </c>
      <c r="AG1126" s="61" t="n">
        <f aca="false">O1126</f>
        <v>0</v>
      </c>
      <c r="AH1126" s="61" t="n">
        <f aca="false">P1126</f>
        <v>0</v>
      </c>
      <c r="AI1126" s="61" t="n">
        <f aca="false">VLOOKUP(AH1126,recipe_ingred_list!$K$29:$M$34,3,0)</f>
        <v>3</v>
      </c>
      <c r="AJ1126" s="61" t="str">
        <f aca="false">IF(Q1126="","",Q1126)</f>
        <v/>
      </c>
      <c r="AK1126" s="61" t="n">
        <f aca="false">AK1125+1</f>
        <v>1126</v>
      </c>
      <c r="AL1126" s="61" t="str">
        <f aca="false">Y1126</f>
        <v>hari mirchi</v>
      </c>
      <c r="AM1126" s="81" t="str">
        <f aca="false">"a = Client().post('"&amp;W1126&amp;"', {'recipe' : '"&amp;V1126&amp;"', 'ingredient' : '"&amp;Z1126&amp;"', 'name' : '"&amp;X1126&amp;"', 'mass_unit' : '"&amp;AC1126&amp;"', 'mass_quantity' : '"&amp;ROUND(AA1126,3)&amp;"', 'volume_unit' : '"&amp;AF1126&amp;"', 'volume_quantity' : '"&amp;ROUND(AD1126,3)&amp;"', 'pieces_unit' : '"&amp;AI1126&amp;"', 'pieces_quantity' : '"&amp;ROUND(AG1126,3)&amp;"', 'cooking_notes' : '"&amp;AJ1126&amp;"'}).status_code; print('%s :: %s :: %s :: %s :: %s' %(a,"&amp;G1126&amp;",'"&amp;X1126&amp;"','"&amp;Y1126&amp;"','"&amp;U1126&amp;"'))"</f>
        <v>a = Client().post('/recipes/patla-poha/detail/', {'recipe' : '55', 'ingredient' : '93', 'name' : 'green chilly long cut', 'mass_unit' : '2', 'mass_quantity' : '0', 'volume_unit' : '1', 'volume_quantity' : '1', 'pieces_unit' : '3', 'pieces_quantity' : '0', 'cooking_notes' : ''}).status_code; print('%s :: %s :: %s :: %s :: %s' %(a,1126,'green chilly long cut','hari mirchi','PATLA POHA'))</v>
      </c>
    </row>
    <row r="1127" customFormat="false" ht="13.8" hidden="false" customHeight="false" outlineLevel="0" collapsed="false">
      <c r="G1127" s="80" t="n">
        <v>1127</v>
      </c>
      <c r="H1127" s="83"/>
      <c r="I1127" s="83" t="s">
        <v>274</v>
      </c>
      <c r="J1127" s="83" t="s">
        <v>803</v>
      </c>
      <c r="M1127" s="61" t="n">
        <v>1</v>
      </c>
      <c r="N1127" s="61" t="s">
        <v>13</v>
      </c>
      <c r="R1127" s="82" t="str">
        <f aca="false">VLOOKUP(J1127,ingredient!$N$4:$O$553,2,0)</f>
        <v>kadi patta</v>
      </c>
      <c r="U1127" s="81" t="str">
        <f aca="false">I1127</f>
        <v>PATLA POHA</v>
      </c>
      <c r="V1127" s="81" t="n">
        <f aca="false">VLOOKUP(U1127,recipe_ingred_list!$A$2:$B$300,2,0)</f>
        <v>55</v>
      </c>
      <c r="W1127" s="81" t="str">
        <f aca="false">"/recipes/"&amp;VLOOKUP(U1127,recipe_ingred_list!$A$2:$C$300,3,0)&amp;"/detail/"</f>
        <v>/recipes/patla-poha/detail/</v>
      </c>
      <c r="X1127" s="81" t="str">
        <f aca="false">J1127</f>
        <v>kadipatta</v>
      </c>
      <c r="Y1127" s="81" t="str">
        <f aca="false">R1127</f>
        <v>kadi patta</v>
      </c>
      <c r="Z1127" s="94" t="n">
        <f aca="false">VLOOKUP(Y1127,recipe_ingred_list!$D$2:$E$500,2,0)</f>
        <v>105</v>
      </c>
      <c r="AA1127" s="61" t="n">
        <f aca="false">K1127</f>
        <v>0</v>
      </c>
      <c r="AB1127" s="61" t="n">
        <f aca="false">L1127</f>
        <v>0</v>
      </c>
      <c r="AC1127" s="61" t="n">
        <f aca="false">VLOOKUP(AB1127,recipe_ingred_list!$K$2:$M$7,3,0)</f>
        <v>2</v>
      </c>
      <c r="AD1127" s="61" t="n">
        <f aca="false">M1127</f>
        <v>1</v>
      </c>
      <c r="AE1127" s="61" t="str">
        <f aca="false">N1127</f>
        <v>ltr</v>
      </c>
      <c r="AF1127" s="61" t="n">
        <f aca="false">VLOOKUP(AE1127,recipe_ingred_list!$K$16:$M$25,3,0)</f>
        <v>1</v>
      </c>
      <c r="AG1127" s="61" t="n">
        <f aca="false">O1127</f>
        <v>0</v>
      </c>
      <c r="AH1127" s="61" t="n">
        <f aca="false">P1127</f>
        <v>0</v>
      </c>
      <c r="AI1127" s="61" t="n">
        <f aca="false">VLOOKUP(AH1127,recipe_ingred_list!$K$29:$M$34,3,0)</f>
        <v>3</v>
      </c>
      <c r="AJ1127" s="61" t="str">
        <f aca="false">IF(Q1127="","",Q1127)</f>
        <v/>
      </c>
      <c r="AK1127" s="61" t="n">
        <f aca="false">AK1126+1</f>
        <v>1127</v>
      </c>
      <c r="AL1127" s="61" t="str">
        <f aca="false">Y1127</f>
        <v>kadi patta</v>
      </c>
      <c r="AM1127" s="81" t="str">
        <f aca="false">"a = Client().post('"&amp;W1127&amp;"', {'recipe' : '"&amp;V1127&amp;"', 'ingredient' : '"&amp;Z1127&amp;"', 'name' : '"&amp;X1127&amp;"', 'mass_unit' : '"&amp;AC1127&amp;"', 'mass_quantity' : '"&amp;ROUND(AA1127,3)&amp;"', 'volume_unit' : '"&amp;AF1127&amp;"', 'volume_quantity' : '"&amp;ROUND(AD1127,3)&amp;"', 'pieces_unit' : '"&amp;AI1127&amp;"', 'pieces_quantity' : '"&amp;ROUND(AG1127,3)&amp;"', 'cooking_notes' : '"&amp;AJ1127&amp;"'}).status_code; print('%s :: %s :: %s :: %s :: %s' %(a,"&amp;G1127&amp;",'"&amp;X1127&amp;"','"&amp;Y1127&amp;"','"&amp;U1127&amp;"'))"</f>
        <v>a = Client().post('/recipes/patla-poha/detail/', {'recipe' : '55', 'ingredient' : '105', 'name' : 'kadipatta', 'mass_unit' : '2', 'mass_quantity' : '0', 'volume_unit' : '1', 'volume_quantity' : '1', 'pieces_unit' : '3', 'pieces_quantity' : '0', 'cooking_notes' : ''}).status_code; print('%s :: %s :: %s :: %s :: %s' %(a,1127,'kadipatta','kadi patta','PATLA POHA'))</v>
      </c>
    </row>
    <row r="1128" customFormat="false" ht="13.8" hidden="false" customHeight="false" outlineLevel="0" collapsed="false">
      <c r="G1128" s="80" t="n">
        <v>1128</v>
      </c>
      <c r="H1128" s="83"/>
      <c r="I1128" s="83" t="s">
        <v>274</v>
      </c>
      <c r="J1128" s="83" t="s">
        <v>450</v>
      </c>
      <c r="K1128" s="61" t="n">
        <v>25</v>
      </c>
      <c r="R1128" s="82" t="str">
        <f aca="false">VLOOKUP(J1128,ingredient!$N$4:$O$553,2,0)</f>
        <v>patala poha</v>
      </c>
      <c r="U1128" s="81" t="str">
        <f aca="false">I1128</f>
        <v>PATLA POHA</v>
      </c>
      <c r="V1128" s="81" t="n">
        <f aca="false">VLOOKUP(U1128,recipe_ingred_list!$A$2:$B$300,2,0)</f>
        <v>55</v>
      </c>
      <c r="W1128" s="81" t="str">
        <f aca="false">"/recipes/"&amp;VLOOKUP(U1128,recipe_ingred_list!$A$2:$C$300,3,0)&amp;"/detail/"</f>
        <v>/recipes/patla-poha/detail/</v>
      </c>
      <c r="X1128" s="81" t="str">
        <f aca="false">J1128</f>
        <v>patala poha</v>
      </c>
      <c r="Y1128" s="81" t="str">
        <f aca="false">R1128</f>
        <v>patala poha</v>
      </c>
      <c r="Z1128" s="94" t="n">
        <f aca="false">VLOOKUP(Y1128,recipe_ingred_list!$D$2:$E$500,2,0)</f>
        <v>157</v>
      </c>
      <c r="AA1128" s="61" t="n">
        <f aca="false">K1128</f>
        <v>25</v>
      </c>
      <c r="AB1128" s="61" t="n">
        <f aca="false">L1128</f>
        <v>0</v>
      </c>
      <c r="AC1128" s="61" t="n">
        <f aca="false">VLOOKUP(AB1128,recipe_ingred_list!$K$2:$M$7,3,0)</f>
        <v>2</v>
      </c>
      <c r="AD1128" s="61" t="n">
        <f aca="false">M1128</f>
        <v>0</v>
      </c>
      <c r="AE1128" s="61" t="n">
        <f aca="false">N1128</f>
        <v>0</v>
      </c>
      <c r="AF1128" s="61" t="n">
        <f aca="false">VLOOKUP(AE1128,recipe_ingred_list!$K$16:$M$25,3,0)</f>
        <v>1</v>
      </c>
      <c r="AG1128" s="61" t="n">
        <f aca="false">O1128</f>
        <v>0</v>
      </c>
      <c r="AH1128" s="61" t="n">
        <f aca="false">P1128</f>
        <v>0</v>
      </c>
      <c r="AI1128" s="61" t="n">
        <f aca="false">VLOOKUP(AH1128,recipe_ingred_list!$K$29:$M$34,3,0)</f>
        <v>3</v>
      </c>
      <c r="AJ1128" s="61" t="str">
        <f aca="false">IF(Q1128="","",Q1128)</f>
        <v/>
      </c>
      <c r="AK1128" s="61" t="n">
        <f aca="false">AK1127+1</f>
        <v>1128</v>
      </c>
      <c r="AL1128" s="61" t="str">
        <f aca="false">Y1128</f>
        <v>patala poha</v>
      </c>
      <c r="AM1128" s="81" t="str">
        <f aca="false">"a = Client().post('"&amp;W1128&amp;"', {'recipe' : '"&amp;V1128&amp;"', 'ingredient' : '"&amp;Z1128&amp;"', 'name' : '"&amp;X1128&amp;"', 'mass_unit' : '"&amp;AC1128&amp;"', 'mass_quantity' : '"&amp;ROUND(AA1128,3)&amp;"', 'volume_unit' : '"&amp;AF1128&amp;"', 'volume_quantity' : '"&amp;ROUND(AD1128,3)&amp;"', 'pieces_unit' : '"&amp;AI1128&amp;"', 'pieces_quantity' : '"&amp;ROUND(AG1128,3)&amp;"', 'cooking_notes' : '"&amp;AJ1128&amp;"'}).status_code; print('%s :: %s :: %s :: %s :: %s' %(a,"&amp;G1128&amp;",'"&amp;X1128&amp;"','"&amp;Y1128&amp;"','"&amp;U1128&amp;"'))"</f>
        <v>a = Client().post('/recipes/patla-poha/detail/', {'recipe' : '55', 'ingredient' : '157', 'name' : 'patala poha', 'mass_unit' : '2', 'mass_quantity' : '25', 'volume_unit' : '1', 'volume_quantity' : '0', 'pieces_unit' : '3', 'pieces_quantity' : '0', 'cooking_notes' : ''}).status_code; print('%s :: %s :: %s :: %s :: %s' %(a,1128,'patala poha','patala poha','PATLA POHA'))</v>
      </c>
    </row>
    <row r="1129" customFormat="false" ht="13.8" hidden="false" customHeight="false" outlineLevel="0" collapsed="false">
      <c r="G1129" s="80" t="n">
        <v>1129</v>
      </c>
      <c r="H1129" s="83"/>
      <c r="I1129" s="83" t="s">
        <v>274</v>
      </c>
      <c r="J1129" s="83" t="s">
        <v>44</v>
      </c>
      <c r="K1129" s="61" t="n">
        <v>2</v>
      </c>
      <c r="R1129" s="82" t="str">
        <f aca="false">VLOOKUP(J1129,ingredient!$N$4:$O$553,2,0)</f>
        <v>sugar</v>
      </c>
      <c r="U1129" s="81" t="str">
        <f aca="false">I1129</f>
        <v>PATLA POHA</v>
      </c>
      <c r="V1129" s="81" t="n">
        <f aca="false">VLOOKUP(U1129,recipe_ingred_list!$A$2:$B$300,2,0)</f>
        <v>55</v>
      </c>
      <c r="W1129" s="81" t="str">
        <f aca="false">"/recipes/"&amp;VLOOKUP(U1129,recipe_ingred_list!$A$2:$C$300,3,0)&amp;"/detail/"</f>
        <v>/recipes/patla-poha/detail/</v>
      </c>
      <c r="X1129" s="81" t="str">
        <f aca="false">J1129</f>
        <v>sugar</v>
      </c>
      <c r="Y1129" s="81" t="str">
        <f aca="false">R1129</f>
        <v>sugar</v>
      </c>
      <c r="Z1129" s="94" t="n">
        <f aca="false">VLOOKUP(Y1129,recipe_ingred_list!$D$2:$E$500,2,0)</f>
        <v>187</v>
      </c>
      <c r="AA1129" s="61" t="n">
        <f aca="false">K1129</f>
        <v>2</v>
      </c>
      <c r="AB1129" s="61" t="n">
        <f aca="false">L1129</f>
        <v>0</v>
      </c>
      <c r="AC1129" s="61" t="n">
        <f aca="false">VLOOKUP(AB1129,recipe_ingred_list!$K$2:$M$7,3,0)</f>
        <v>2</v>
      </c>
      <c r="AD1129" s="61" t="n">
        <f aca="false">M1129</f>
        <v>0</v>
      </c>
      <c r="AE1129" s="61" t="n">
        <f aca="false">N1129</f>
        <v>0</v>
      </c>
      <c r="AF1129" s="61" t="n">
        <f aca="false">VLOOKUP(AE1129,recipe_ingred_list!$K$16:$M$25,3,0)</f>
        <v>1</v>
      </c>
      <c r="AG1129" s="61" t="n">
        <f aca="false">O1129</f>
        <v>0</v>
      </c>
      <c r="AH1129" s="61" t="n">
        <f aca="false">P1129</f>
        <v>0</v>
      </c>
      <c r="AI1129" s="61" t="n">
        <f aca="false">VLOOKUP(AH1129,recipe_ingred_list!$K$29:$M$34,3,0)</f>
        <v>3</v>
      </c>
      <c r="AJ1129" s="61" t="str">
        <f aca="false">IF(Q1129="","",Q1129)</f>
        <v/>
      </c>
      <c r="AK1129" s="61" t="n">
        <f aca="false">AK1128+1</f>
        <v>1129</v>
      </c>
      <c r="AL1129" s="61" t="str">
        <f aca="false">Y1129</f>
        <v>sugar</v>
      </c>
      <c r="AM1129" s="81" t="str">
        <f aca="false">"a = Client().post('"&amp;W1129&amp;"', {'recipe' : '"&amp;V1129&amp;"', 'ingredient' : '"&amp;Z1129&amp;"', 'name' : '"&amp;X1129&amp;"', 'mass_unit' : '"&amp;AC1129&amp;"', 'mass_quantity' : '"&amp;ROUND(AA1129,3)&amp;"', 'volume_unit' : '"&amp;AF1129&amp;"', 'volume_quantity' : '"&amp;ROUND(AD1129,3)&amp;"', 'pieces_unit' : '"&amp;AI1129&amp;"', 'pieces_quantity' : '"&amp;ROUND(AG1129,3)&amp;"', 'cooking_notes' : '"&amp;AJ1129&amp;"'}).status_code; print('%s :: %s :: %s :: %s :: %s' %(a,"&amp;G1129&amp;",'"&amp;X1129&amp;"','"&amp;Y1129&amp;"','"&amp;U1129&amp;"'))"</f>
        <v>a = Client().post('/recipes/patla-poha/detail/', {'recipe' : '55', 'ingredient' : '187', 'name' : 'sugar', 'mass_unit' : '2', 'mass_quantity' : '2', 'volume_unit' : '1', 'volume_quantity' : '0', 'pieces_unit' : '3', 'pieces_quantity' : '0', 'cooking_notes' : ''}).status_code; print('%s :: %s :: %s :: %s :: %s' %(a,1129,'sugar','sugar','PATLA POHA'))</v>
      </c>
    </row>
    <row r="1130" customFormat="false" ht="13.8" hidden="false" customHeight="false" outlineLevel="0" collapsed="false">
      <c r="G1130" s="80" t="n">
        <v>1130</v>
      </c>
      <c r="H1130" s="83"/>
      <c r="I1130" s="83" t="s">
        <v>274</v>
      </c>
      <c r="J1130" s="83" t="s">
        <v>96</v>
      </c>
      <c r="M1130" s="61" t="n">
        <v>5</v>
      </c>
      <c r="N1130" s="61" t="s">
        <v>20</v>
      </c>
      <c r="R1130" s="82" t="str">
        <f aca="false">VLOOKUP(J1130,ingredient!$N$4:$O$553,2,0)</f>
        <v>salt</v>
      </c>
      <c r="U1130" s="81" t="str">
        <f aca="false">I1130</f>
        <v>PATLA POHA</v>
      </c>
      <c r="V1130" s="81" t="n">
        <f aca="false">VLOOKUP(U1130,recipe_ingred_list!$A$2:$B$300,2,0)</f>
        <v>55</v>
      </c>
      <c r="W1130" s="81" t="str">
        <f aca="false">"/recipes/"&amp;VLOOKUP(U1130,recipe_ingred_list!$A$2:$C$300,3,0)&amp;"/detail/"</f>
        <v>/recipes/patla-poha/detail/</v>
      </c>
      <c r="X1130" s="81" t="str">
        <f aca="false">J1130</f>
        <v>salt</v>
      </c>
      <c r="Y1130" s="81" t="str">
        <f aca="false">R1130</f>
        <v>salt</v>
      </c>
      <c r="Z1130" s="94" t="n">
        <f aca="false">VLOOKUP(Y1130,recipe_ingred_list!$D$2:$E$500,2,0)</f>
        <v>177</v>
      </c>
      <c r="AA1130" s="61" t="n">
        <f aca="false">K1130</f>
        <v>0</v>
      </c>
      <c r="AB1130" s="61" t="n">
        <f aca="false">L1130</f>
        <v>0</v>
      </c>
      <c r="AC1130" s="61" t="n">
        <f aca="false">VLOOKUP(AB1130,recipe_ingred_list!$K$2:$M$7,3,0)</f>
        <v>2</v>
      </c>
      <c r="AD1130" s="61" t="n">
        <f aca="false">M1130</f>
        <v>5</v>
      </c>
      <c r="AE1130" s="61" t="str">
        <f aca="false">N1130</f>
        <v>cup</v>
      </c>
      <c r="AF1130" s="61" t="n">
        <f aca="false">VLOOKUP(AE1130,recipe_ingred_list!$K$16:$M$25,3,0)</f>
        <v>5</v>
      </c>
      <c r="AG1130" s="61" t="n">
        <f aca="false">O1130</f>
        <v>0</v>
      </c>
      <c r="AH1130" s="61" t="n">
        <f aca="false">P1130</f>
        <v>0</v>
      </c>
      <c r="AI1130" s="61" t="n">
        <f aca="false">VLOOKUP(AH1130,recipe_ingred_list!$K$29:$M$34,3,0)</f>
        <v>3</v>
      </c>
      <c r="AJ1130" s="61" t="str">
        <f aca="false">IF(Q1130="","",Q1130)</f>
        <v/>
      </c>
      <c r="AK1130" s="61" t="n">
        <f aca="false">AK1129+1</f>
        <v>1130</v>
      </c>
      <c r="AL1130" s="61" t="str">
        <f aca="false">Y1130</f>
        <v>salt</v>
      </c>
      <c r="AM1130" s="81" t="str">
        <f aca="false">"a = Client().post('"&amp;W1130&amp;"', {'recipe' : '"&amp;V1130&amp;"', 'ingredient' : '"&amp;Z1130&amp;"', 'name' : '"&amp;X1130&amp;"', 'mass_unit' : '"&amp;AC1130&amp;"', 'mass_quantity' : '"&amp;ROUND(AA1130,3)&amp;"', 'volume_unit' : '"&amp;AF1130&amp;"', 'volume_quantity' : '"&amp;ROUND(AD1130,3)&amp;"', 'pieces_unit' : '"&amp;AI1130&amp;"', 'pieces_quantity' : '"&amp;ROUND(AG1130,3)&amp;"', 'cooking_notes' : '"&amp;AJ1130&amp;"'}).status_code; print('%s :: %s :: %s :: %s :: %s' %(a,"&amp;G1130&amp;",'"&amp;X1130&amp;"','"&amp;Y1130&amp;"','"&amp;U1130&amp;"'))"</f>
        <v>a = Client().post('/recipes/patla-poha/detail/', {'recipe' : '55', 'ingredient' : '177', 'name' : 'salt', 'mass_unit' : '2', 'mass_quantity' : '0', 'volume_unit' : '5', 'volume_quantity' : '5', 'pieces_unit' : '3', 'pieces_quantity' : '0', 'cooking_notes' : ''}).status_code; print('%s :: %s :: %s :: %s :: %s' %(a,1130,'salt','salt','PATLA POHA'))</v>
      </c>
    </row>
    <row r="1131" customFormat="false" ht="13.8" hidden="false" customHeight="false" outlineLevel="0" collapsed="false">
      <c r="G1131" s="80" t="n">
        <v>1131</v>
      </c>
      <c r="H1131" s="83"/>
      <c r="I1131" s="83" t="s">
        <v>274</v>
      </c>
      <c r="J1131" s="83" t="s">
        <v>474</v>
      </c>
      <c r="K1131" s="61" t="n">
        <v>3</v>
      </c>
      <c r="L1131" s="61" t="s">
        <v>7</v>
      </c>
      <c r="R1131" s="82" t="str">
        <f aca="false">VLOOKUP(J1131,ingredient!$N$4:$O$553,2,0)</f>
        <v>singdana</v>
      </c>
      <c r="U1131" s="81" t="str">
        <f aca="false">I1131</f>
        <v>PATLA POHA</v>
      </c>
      <c r="V1131" s="81" t="n">
        <f aca="false">VLOOKUP(U1131,recipe_ingred_list!$A$2:$B$300,2,0)</f>
        <v>55</v>
      </c>
      <c r="W1131" s="81" t="str">
        <f aca="false">"/recipes/"&amp;VLOOKUP(U1131,recipe_ingred_list!$A$2:$C$300,3,0)&amp;"/detail/"</f>
        <v>/recipes/patla-poha/detail/</v>
      </c>
      <c r="X1131" s="81" t="str">
        <f aca="false">J1131</f>
        <v>singdana</v>
      </c>
      <c r="Y1131" s="81" t="str">
        <f aca="false">R1131</f>
        <v>singdana</v>
      </c>
      <c r="Z1131" s="94" t="n">
        <f aca="false">VLOOKUP(Y1131,recipe_ingred_list!$D$2:$E$500,2,0)</f>
        <v>183</v>
      </c>
      <c r="AA1131" s="61" t="n">
        <f aca="false">K1131</f>
        <v>3</v>
      </c>
      <c r="AB1131" s="61" t="str">
        <f aca="false">L1131</f>
        <v>kg</v>
      </c>
      <c r="AC1131" s="61" t="n">
        <f aca="false">VLOOKUP(AB1131,recipe_ingred_list!$K$2:$M$7,3,0)</f>
        <v>2</v>
      </c>
      <c r="AD1131" s="61" t="n">
        <f aca="false">M1131</f>
        <v>0</v>
      </c>
      <c r="AE1131" s="61" t="n">
        <f aca="false">N1131</f>
        <v>0</v>
      </c>
      <c r="AF1131" s="61" t="n">
        <f aca="false">VLOOKUP(AE1131,recipe_ingred_list!$K$16:$M$25,3,0)</f>
        <v>1</v>
      </c>
      <c r="AG1131" s="61" t="n">
        <f aca="false">O1131</f>
        <v>0</v>
      </c>
      <c r="AH1131" s="61" t="n">
        <f aca="false">P1131</f>
        <v>0</v>
      </c>
      <c r="AI1131" s="61" t="n">
        <f aca="false">VLOOKUP(AH1131,recipe_ingred_list!$K$29:$M$34,3,0)</f>
        <v>3</v>
      </c>
      <c r="AJ1131" s="61" t="str">
        <f aca="false">IF(Q1131="","",Q1131)</f>
        <v/>
      </c>
      <c r="AK1131" s="61" t="n">
        <f aca="false">AK1130+1</f>
        <v>1131</v>
      </c>
      <c r="AL1131" s="61" t="str">
        <f aca="false">Y1131</f>
        <v>singdana</v>
      </c>
      <c r="AM1131" s="81" t="str">
        <f aca="false">"a = Client().post('"&amp;W1131&amp;"', {'recipe' : '"&amp;V1131&amp;"', 'ingredient' : '"&amp;Z1131&amp;"', 'name' : '"&amp;X1131&amp;"', 'mass_unit' : '"&amp;AC1131&amp;"', 'mass_quantity' : '"&amp;ROUND(AA1131,3)&amp;"', 'volume_unit' : '"&amp;AF1131&amp;"', 'volume_quantity' : '"&amp;ROUND(AD1131,3)&amp;"', 'pieces_unit' : '"&amp;AI1131&amp;"', 'pieces_quantity' : '"&amp;ROUND(AG1131,3)&amp;"', 'cooking_notes' : '"&amp;AJ1131&amp;"'}).status_code; print('%s :: %s :: %s :: %s :: %s' %(a,"&amp;G1131&amp;",'"&amp;X1131&amp;"','"&amp;Y1131&amp;"','"&amp;U1131&amp;"'))"</f>
        <v>a = Client().post('/recipes/patla-poha/detail/', {'recipe' : '55', 'ingredient' : '183', 'name' : 'singdana', 'mass_unit' : '2', 'mass_quantity' : '3', 'volume_unit' : '1', 'volume_quantity' : '0', 'pieces_unit' : '3', 'pieces_quantity' : '0', 'cooking_notes' : ''}).status_code; print('%s :: %s :: %s :: %s :: %s' %(a,1131,'singdana','singdana','PATLA POHA'))</v>
      </c>
    </row>
    <row r="1132" customFormat="false" ht="13.8" hidden="false" customHeight="false" outlineLevel="0" collapsed="false">
      <c r="G1132" s="80" t="n">
        <v>1132</v>
      </c>
      <c r="H1132" s="83"/>
      <c r="I1132" s="83" t="s">
        <v>274</v>
      </c>
      <c r="J1132" s="83" t="s">
        <v>377</v>
      </c>
      <c r="M1132" s="61" t="n">
        <v>5</v>
      </c>
      <c r="N1132" s="61" t="s">
        <v>13</v>
      </c>
      <c r="R1132" s="82" t="str">
        <f aca="false">VLOOKUP(J1132,ingredient!$N$4:$O$553,2,0)</f>
        <v>ground nut oil</v>
      </c>
      <c r="U1132" s="81" t="str">
        <f aca="false">I1132</f>
        <v>PATLA POHA</v>
      </c>
      <c r="V1132" s="81" t="n">
        <f aca="false">VLOOKUP(U1132,recipe_ingred_list!$A$2:$B$300,2,0)</f>
        <v>55</v>
      </c>
      <c r="W1132" s="81" t="str">
        <f aca="false">"/recipes/"&amp;VLOOKUP(U1132,recipe_ingred_list!$A$2:$C$300,3,0)&amp;"/detail/"</f>
        <v>/recipes/patla-poha/detail/</v>
      </c>
      <c r="X1132" s="81" t="str">
        <f aca="false">J1132</f>
        <v>ground nut oil</v>
      </c>
      <c r="Y1132" s="81" t="str">
        <f aca="false">R1132</f>
        <v>ground nut oil</v>
      </c>
      <c r="Z1132" s="94" t="n">
        <f aca="false">VLOOKUP(Y1132,recipe_ingred_list!$D$2:$E$500,2,0)</f>
        <v>89</v>
      </c>
      <c r="AA1132" s="61" t="n">
        <f aca="false">K1132</f>
        <v>0</v>
      </c>
      <c r="AB1132" s="61" t="n">
        <f aca="false">L1132</f>
        <v>0</v>
      </c>
      <c r="AC1132" s="61" t="n">
        <f aca="false">VLOOKUP(AB1132,recipe_ingred_list!$K$2:$M$7,3,0)</f>
        <v>2</v>
      </c>
      <c r="AD1132" s="61" t="n">
        <f aca="false">M1132</f>
        <v>5</v>
      </c>
      <c r="AE1132" s="61" t="str">
        <f aca="false">N1132</f>
        <v>ltr</v>
      </c>
      <c r="AF1132" s="61" t="n">
        <f aca="false">VLOOKUP(AE1132,recipe_ingred_list!$K$16:$M$25,3,0)</f>
        <v>1</v>
      </c>
      <c r="AG1132" s="61" t="n">
        <f aca="false">O1132</f>
        <v>0</v>
      </c>
      <c r="AH1132" s="61" t="n">
        <f aca="false">P1132</f>
        <v>0</v>
      </c>
      <c r="AI1132" s="61" t="n">
        <f aca="false">VLOOKUP(AH1132,recipe_ingred_list!$K$29:$M$34,3,0)</f>
        <v>3</v>
      </c>
      <c r="AJ1132" s="61" t="str">
        <f aca="false">IF(Q1132="","",Q1132)</f>
        <v/>
      </c>
      <c r="AK1132" s="61" t="n">
        <f aca="false">AK1131+1</f>
        <v>1132</v>
      </c>
      <c r="AL1132" s="61" t="str">
        <f aca="false">Y1132</f>
        <v>ground nut oil</v>
      </c>
      <c r="AM1132" s="81" t="str">
        <f aca="false">"a = Client().post('"&amp;W1132&amp;"', {'recipe' : '"&amp;V1132&amp;"', 'ingredient' : '"&amp;Z1132&amp;"', 'name' : '"&amp;X1132&amp;"', 'mass_unit' : '"&amp;AC1132&amp;"', 'mass_quantity' : '"&amp;ROUND(AA1132,3)&amp;"', 'volume_unit' : '"&amp;AF1132&amp;"', 'volume_quantity' : '"&amp;ROUND(AD1132,3)&amp;"', 'pieces_unit' : '"&amp;AI1132&amp;"', 'pieces_quantity' : '"&amp;ROUND(AG1132,3)&amp;"', 'cooking_notes' : '"&amp;AJ1132&amp;"'}).status_code; print('%s :: %s :: %s :: %s :: %s' %(a,"&amp;G1132&amp;",'"&amp;X1132&amp;"','"&amp;Y1132&amp;"','"&amp;U1132&amp;"'))"</f>
        <v>a = Client().post('/recipes/patla-poha/detail/', {'recipe' : '55', 'ingredient' : '89', 'name' : 'ground nut oil', 'mass_unit' : '2', 'mass_quantity' : '0', 'volume_unit' : '1', 'volume_quantity' : '5', 'pieces_unit' : '3', 'pieces_quantity' : '0', 'cooking_notes' : ''}).status_code; print('%s :: %s :: %s :: %s :: %s' %(a,1132,'ground nut oil','ground nut oil','PATLA POHA'))</v>
      </c>
    </row>
    <row r="1133" customFormat="false" ht="13.8" hidden="false" customHeight="false" outlineLevel="0" collapsed="false">
      <c r="G1133" s="80" t="n">
        <v>1133</v>
      </c>
      <c r="H1133" s="83"/>
      <c r="I1133" s="83" t="s">
        <v>274</v>
      </c>
      <c r="J1133" s="83" t="s">
        <v>456</v>
      </c>
      <c r="M1133" s="61" t="n">
        <v>2</v>
      </c>
      <c r="N1133" s="61" t="s">
        <v>20</v>
      </c>
      <c r="R1133" s="82" t="str">
        <f aca="false">VLOOKUP(J1133,ingredient!$N$4:$O$553,2,0)</f>
        <v>rai</v>
      </c>
      <c r="U1133" s="81" t="str">
        <f aca="false">I1133</f>
        <v>PATLA POHA</v>
      </c>
      <c r="V1133" s="81" t="n">
        <f aca="false">VLOOKUP(U1133,recipe_ingred_list!$A$2:$B$300,2,0)</f>
        <v>55</v>
      </c>
      <c r="W1133" s="81" t="str">
        <f aca="false">"/recipes/"&amp;VLOOKUP(U1133,recipe_ingred_list!$A$2:$C$300,3,0)&amp;"/detail/"</f>
        <v>/recipes/patla-poha/detail/</v>
      </c>
      <c r="X1133" s="81" t="str">
        <f aca="false">J1133</f>
        <v>rai</v>
      </c>
      <c r="Y1133" s="81" t="str">
        <f aca="false">R1133</f>
        <v>rai</v>
      </c>
      <c r="Z1133" s="94" t="n">
        <f aca="false">VLOOKUP(Y1133,recipe_ingred_list!$D$2:$E$500,2,0)</f>
        <v>164</v>
      </c>
      <c r="AA1133" s="61" t="n">
        <f aca="false">K1133</f>
        <v>0</v>
      </c>
      <c r="AB1133" s="61" t="n">
        <f aca="false">L1133</f>
        <v>0</v>
      </c>
      <c r="AC1133" s="61" t="n">
        <f aca="false">VLOOKUP(AB1133,recipe_ingred_list!$K$2:$M$7,3,0)</f>
        <v>2</v>
      </c>
      <c r="AD1133" s="61" t="n">
        <f aca="false">M1133</f>
        <v>2</v>
      </c>
      <c r="AE1133" s="61" t="str">
        <f aca="false">N1133</f>
        <v>cup</v>
      </c>
      <c r="AF1133" s="61" t="n">
        <f aca="false">VLOOKUP(AE1133,recipe_ingred_list!$K$16:$M$25,3,0)</f>
        <v>5</v>
      </c>
      <c r="AG1133" s="61" t="n">
        <f aca="false">O1133</f>
        <v>0</v>
      </c>
      <c r="AH1133" s="61" t="n">
        <f aca="false">P1133</f>
        <v>0</v>
      </c>
      <c r="AI1133" s="61" t="n">
        <f aca="false">VLOOKUP(AH1133,recipe_ingred_list!$K$29:$M$34,3,0)</f>
        <v>3</v>
      </c>
      <c r="AJ1133" s="61" t="str">
        <f aca="false">IF(Q1133="","",Q1133)</f>
        <v/>
      </c>
      <c r="AK1133" s="61" t="n">
        <f aca="false">AK1132+1</f>
        <v>1133</v>
      </c>
      <c r="AL1133" s="61" t="str">
        <f aca="false">Y1133</f>
        <v>rai</v>
      </c>
      <c r="AM1133" s="81" t="str">
        <f aca="false">"a = Client().post('"&amp;W1133&amp;"', {'recipe' : '"&amp;V1133&amp;"', 'ingredient' : '"&amp;Z1133&amp;"', 'name' : '"&amp;X1133&amp;"', 'mass_unit' : '"&amp;AC1133&amp;"', 'mass_quantity' : '"&amp;ROUND(AA1133,3)&amp;"', 'volume_unit' : '"&amp;AF1133&amp;"', 'volume_quantity' : '"&amp;ROUND(AD1133,3)&amp;"', 'pieces_unit' : '"&amp;AI1133&amp;"', 'pieces_quantity' : '"&amp;ROUND(AG1133,3)&amp;"', 'cooking_notes' : '"&amp;AJ1133&amp;"'}).status_code; print('%s :: %s :: %s :: %s :: %s' %(a,"&amp;G1133&amp;",'"&amp;X1133&amp;"','"&amp;Y1133&amp;"','"&amp;U1133&amp;"'))"</f>
        <v>a = Client().post('/recipes/patla-poha/detail/', {'recipe' : '55', 'ingredient' : '164', 'name' : 'rai', 'mass_unit' : '2', 'mass_quantity' : '0', 'volume_unit' : '5', 'volume_quantity' : '2', 'pieces_unit' : '3', 'pieces_quantity' : '0', 'cooking_notes' : ''}).status_code; print('%s :: %s :: %s :: %s :: %s' %(a,1133,'rai','rai','PATLA POHA'))</v>
      </c>
    </row>
    <row r="1134" customFormat="false" ht="13.8" hidden="false" customHeight="false" outlineLevel="0" collapsed="false">
      <c r="G1134" s="80" t="n">
        <v>1134</v>
      </c>
      <c r="H1134" s="83"/>
      <c r="I1134" s="83" t="s">
        <v>274</v>
      </c>
      <c r="J1134" s="83" t="s">
        <v>880</v>
      </c>
      <c r="M1134" s="61" t="n">
        <v>2</v>
      </c>
      <c r="N1134" s="61" t="s">
        <v>20</v>
      </c>
      <c r="R1134" s="82" t="str">
        <f aca="false">VLOOKUP(J1134,ingredient!$N$4:$O$553,2,0)</f>
        <v>jeera</v>
      </c>
      <c r="U1134" s="81" t="str">
        <f aca="false">I1134</f>
        <v>PATLA POHA</v>
      </c>
      <c r="V1134" s="81" t="n">
        <f aca="false">VLOOKUP(U1134,recipe_ingred_list!$A$2:$B$300,2,0)</f>
        <v>55</v>
      </c>
      <c r="W1134" s="81" t="str">
        <f aca="false">"/recipes/"&amp;VLOOKUP(U1134,recipe_ingred_list!$A$2:$C$300,3,0)&amp;"/detail/"</f>
        <v>/recipes/patla-poha/detail/</v>
      </c>
      <c r="X1134" s="81" t="str">
        <f aca="false">J1134</f>
        <v>jeera </v>
      </c>
      <c r="Y1134" s="81" t="str">
        <f aca="false">R1134</f>
        <v>jeera</v>
      </c>
      <c r="Z1134" s="94" t="n">
        <f aca="false">VLOOKUP(Y1134,recipe_ingred_list!$D$2:$E$500,2,0)</f>
        <v>102</v>
      </c>
      <c r="AA1134" s="61" t="n">
        <f aca="false">K1134</f>
        <v>0</v>
      </c>
      <c r="AB1134" s="61" t="n">
        <f aca="false">L1134</f>
        <v>0</v>
      </c>
      <c r="AC1134" s="61" t="n">
        <f aca="false">VLOOKUP(AB1134,recipe_ingred_list!$K$2:$M$7,3,0)</f>
        <v>2</v>
      </c>
      <c r="AD1134" s="61" t="n">
        <f aca="false">M1134</f>
        <v>2</v>
      </c>
      <c r="AE1134" s="61" t="str">
        <f aca="false">N1134</f>
        <v>cup</v>
      </c>
      <c r="AF1134" s="61" t="n">
        <f aca="false">VLOOKUP(AE1134,recipe_ingred_list!$K$16:$M$25,3,0)</f>
        <v>5</v>
      </c>
      <c r="AG1134" s="61" t="n">
        <f aca="false">O1134</f>
        <v>0</v>
      </c>
      <c r="AH1134" s="61" t="n">
        <f aca="false">P1134</f>
        <v>0</v>
      </c>
      <c r="AI1134" s="61" t="n">
        <f aca="false">VLOOKUP(AH1134,recipe_ingred_list!$K$29:$M$34,3,0)</f>
        <v>3</v>
      </c>
      <c r="AJ1134" s="61" t="str">
        <f aca="false">IF(Q1134="","",Q1134)</f>
        <v/>
      </c>
      <c r="AK1134" s="61" t="n">
        <f aca="false">AK1133+1</f>
        <v>1134</v>
      </c>
      <c r="AL1134" s="61" t="str">
        <f aca="false">Y1134</f>
        <v>jeera</v>
      </c>
      <c r="AM1134" s="81" t="str">
        <f aca="false">"a = Client().post('"&amp;W1134&amp;"', {'recipe' : '"&amp;V1134&amp;"', 'ingredient' : '"&amp;Z1134&amp;"', 'name' : '"&amp;X1134&amp;"', 'mass_unit' : '"&amp;AC1134&amp;"', 'mass_quantity' : '"&amp;ROUND(AA1134,3)&amp;"', 'volume_unit' : '"&amp;AF1134&amp;"', 'volume_quantity' : '"&amp;ROUND(AD1134,3)&amp;"', 'pieces_unit' : '"&amp;AI1134&amp;"', 'pieces_quantity' : '"&amp;ROUND(AG1134,3)&amp;"', 'cooking_notes' : '"&amp;AJ1134&amp;"'}).status_code; print('%s :: %s :: %s :: %s :: %s' %(a,"&amp;G1134&amp;",'"&amp;X1134&amp;"','"&amp;Y1134&amp;"','"&amp;U1134&amp;"'))"</f>
        <v>a = Client().post('/recipes/patla-poha/detail/', {'recipe' : '55', 'ingredient' : '102', 'name' : 'jeera ', 'mass_unit' : '2', 'mass_quantity' : '0', 'volume_unit' : '5', 'volume_quantity' : '2', 'pieces_unit' : '3', 'pieces_quantity' : '0', 'cooking_notes' : ''}).status_code; print('%s :: %s :: %s :: %s :: %s' %(a,1134,'jeera ','jeera','PATLA POHA'))</v>
      </c>
    </row>
    <row r="1135" customFormat="false" ht="13.8" hidden="false" customHeight="false" outlineLevel="0" collapsed="false">
      <c r="G1135" s="80" t="n">
        <v>1135</v>
      </c>
      <c r="H1135" s="83"/>
      <c r="I1135" s="83" t="s">
        <v>274</v>
      </c>
      <c r="J1135" s="83" t="s">
        <v>382</v>
      </c>
      <c r="M1135" s="61" t="n">
        <v>1.5</v>
      </c>
      <c r="N1135" s="61" t="s">
        <v>20</v>
      </c>
      <c r="R1135" s="82" t="str">
        <f aca="false">VLOOKUP(J1135,ingredient!$N$4:$O$553,2,0)</f>
        <v>haldi</v>
      </c>
      <c r="U1135" s="81" t="str">
        <f aca="false">I1135</f>
        <v>PATLA POHA</v>
      </c>
      <c r="V1135" s="81" t="n">
        <f aca="false">VLOOKUP(U1135,recipe_ingred_list!$A$2:$B$300,2,0)</f>
        <v>55</v>
      </c>
      <c r="W1135" s="81" t="str">
        <f aca="false">"/recipes/"&amp;VLOOKUP(U1135,recipe_ingred_list!$A$2:$C$300,3,0)&amp;"/detail/"</f>
        <v>/recipes/patla-poha/detail/</v>
      </c>
      <c r="X1135" s="81" t="str">
        <f aca="false">J1135</f>
        <v>haldi</v>
      </c>
      <c r="Y1135" s="81" t="str">
        <f aca="false">R1135</f>
        <v>haldi</v>
      </c>
      <c r="Z1135" s="94" t="n">
        <f aca="false">VLOOKUP(Y1135,recipe_ingred_list!$D$2:$E$500,2,0)</f>
        <v>91</v>
      </c>
      <c r="AA1135" s="61" t="n">
        <f aca="false">K1135</f>
        <v>0</v>
      </c>
      <c r="AB1135" s="61" t="n">
        <f aca="false">L1135</f>
        <v>0</v>
      </c>
      <c r="AC1135" s="61" t="n">
        <f aca="false">VLOOKUP(AB1135,recipe_ingred_list!$K$2:$M$7,3,0)</f>
        <v>2</v>
      </c>
      <c r="AD1135" s="61" t="n">
        <f aca="false">M1135</f>
        <v>1.5</v>
      </c>
      <c r="AE1135" s="61" t="str">
        <f aca="false">N1135</f>
        <v>cup</v>
      </c>
      <c r="AF1135" s="61" t="n">
        <f aca="false">VLOOKUP(AE1135,recipe_ingred_list!$K$16:$M$25,3,0)</f>
        <v>5</v>
      </c>
      <c r="AG1135" s="61" t="n">
        <f aca="false">O1135</f>
        <v>0</v>
      </c>
      <c r="AH1135" s="61" t="n">
        <f aca="false">P1135</f>
        <v>0</v>
      </c>
      <c r="AI1135" s="61" t="n">
        <f aca="false">VLOOKUP(AH1135,recipe_ingred_list!$K$29:$M$34,3,0)</f>
        <v>3</v>
      </c>
      <c r="AJ1135" s="61" t="str">
        <f aca="false">IF(Q1135="","",Q1135)</f>
        <v/>
      </c>
      <c r="AK1135" s="61" t="n">
        <f aca="false">AK1134+1</f>
        <v>1135</v>
      </c>
      <c r="AL1135" s="61" t="str">
        <f aca="false">Y1135</f>
        <v>haldi</v>
      </c>
      <c r="AM1135" s="81" t="str">
        <f aca="false">"a = Client().post('"&amp;W1135&amp;"', {'recipe' : '"&amp;V1135&amp;"', 'ingredient' : '"&amp;Z1135&amp;"', 'name' : '"&amp;X1135&amp;"', 'mass_unit' : '"&amp;AC1135&amp;"', 'mass_quantity' : '"&amp;ROUND(AA1135,3)&amp;"', 'volume_unit' : '"&amp;AF1135&amp;"', 'volume_quantity' : '"&amp;ROUND(AD1135,3)&amp;"', 'pieces_unit' : '"&amp;AI1135&amp;"', 'pieces_quantity' : '"&amp;ROUND(AG1135,3)&amp;"', 'cooking_notes' : '"&amp;AJ1135&amp;"'}).status_code; print('%s :: %s :: %s :: %s :: %s' %(a,"&amp;G1135&amp;",'"&amp;X1135&amp;"','"&amp;Y1135&amp;"','"&amp;U1135&amp;"'))"</f>
        <v>a = Client().post('/recipes/patla-poha/detail/', {'recipe' : '55', 'ingredient' : '91', 'name' : 'haldi', 'mass_unit' : '2', 'mass_quantity' : '0', 'volume_unit' : '5', 'volume_quantity' : '1.5', 'pieces_unit' : '3', 'pieces_quantity' : '0', 'cooking_notes' : ''}).status_code; print('%s :: %s :: %s :: %s :: %s' %(a,1135,'haldi','haldi','PATLA POHA'))</v>
      </c>
    </row>
    <row r="1136" customFormat="false" ht="13.8" hidden="false" customHeight="false" outlineLevel="0" collapsed="false">
      <c r="G1136" s="80" t="n">
        <v>1136</v>
      </c>
      <c r="H1136" s="79"/>
      <c r="I1136" s="79"/>
      <c r="J1136" s="79"/>
      <c r="K1136" s="100"/>
      <c r="L1136" s="100"/>
      <c r="M1136" s="100"/>
      <c r="N1136" s="100"/>
      <c r="O1136" s="100"/>
      <c r="P1136" s="100"/>
      <c r="Q1136" s="102"/>
      <c r="R1136" s="99" t="e">
        <f aca="false">VLOOKUP(J1136,ingredient!$N$4:$O$553,2,0)</f>
        <v>#N/A</v>
      </c>
      <c r="S1136" s="98"/>
      <c r="T1136" s="98"/>
      <c r="U1136" s="81" t="n">
        <f aca="false">I1136</f>
        <v>0</v>
      </c>
      <c r="V1136" s="81" t="e">
        <f aca="false">VLOOKUP(U1136,recipe_ingred_list!$A$2:$B$300,2,0)</f>
        <v>#N/A</v>
      </c>
      <c r="W1136" s="81" t="e">
        <f aca="false">"/recipes/"&amp;VLOOKUP(U1136,recipe_ingred_list!$A$2:$C$300,3,0)&amp;"/detail/"</f>
        <v>#N/A</v>
      </c>
      <c r="X1136" s="81" t="n">
        <f aca="false">J1136</f>
        <v>0</v>
      </c>
      <c r="Y1136" s="81" t="e">
        <f aca="false">R1136</f>
        <v>#N/A</v>
      </c>
      <c r="Z1136" s="94" t="e">
        <f aca="false">VLOOKUP(Y1136,recipe_ingred_list!$D$2:$E$500,2,0)</f>
        <v>#N/A</v>
      </c>
      <c r="AA1136" s="61" t="n">
        <f aca="false">K1136</f>
        <v>0</v>
      </c>
      <c r="AB1136" s="61" t="n">
        <f aca="false">L1136</f>
        <v>0</v>
      </c>
      <c r="AC1136" s="61" t="n">
        <f aca="false">VLOOKUP(AB1136,recipe_ingred_list!$K$2:$M$7,3,0)</f>
        <v>2</v>
      </c>
      <c r="AD1136" s="61" t="n">
        <f aca="false">M1136</f>
        <v>0</v>
      </c>
      <c r="AE1136" s="61" t="n">
        <f aca="false">N1136</f>
        <v>0</v>
      </c>
      <c r="AF1136" s="61" t="n">
        <f aca="false">VLOOKUP(AE1136,recipe_ingred_list!$K$16:$M$25,3,0)</f>
        <v>1</v>
      </c>
      <c r="AG1136" s="61" t="n">
        <f aca="false">O1136</f>
        <v>0</v>
      </c>
      <c r="AH1136" s="61" t="n">
        <f aca="false">P1136</f>
        <v>0</v>
      </c>
      <c r="AI1136" s="61" t="n">
        <f aca="false">VLOOKUP(AH1136,recipe_ingred_list!$K$29:$M$34,3,0)</f>
        <v>3</v>
      </c>
      <c r="AJ1136" s="61" t="str">
        <f aca="false">IF(Q1136="","",Q1136)</f>
        <v/>
      </c>
      <c r="AK1136" s="61" t="n">
        <f aca="false">AK1135+1</f>
        <v>1136</v>
      </c>
      <c r="AL1136" s="61" t="e">
        <f aca="false">Y1136</f>
        <v>#N/A</v>
      </c>
      <c r="AM1136" s="81" t="e">
        <f aca="false">"a = Client().post('"&amp;W1136&amp;"', {'recipe' : '"&amp;V1136&amp;"', 'ingredient' : '"&amp;Z1136&amp;"', 'name' : '"&amp;X1136&amp;"', 'mass_unit' : '"&amp;AC1136&amp;"', 'mass_quantity' : '"&amp;ROUND(AA1136,3)&amp;"', 'volume_unit' : '"&amp;AF1136&amp;"', 'volume_quantity' : '"&amp;ROUND(AD1136,3)&amp;"', 'pieces_unit' : '"&amp;AI1136&amp;"', 'pieces_quantity' : '"&amp;ROUND(AG1136,3)&amp;"', 'cooking_notes' : '"&amp;AJ1136&amp;"'}).status_code; print('%s :: %s :: %s :: %s :: %s' %(a,"&amp;G1136&amp;",'"&amp;X1136&amp;"','"&amp;Y1136&amp;"','"&amp;U1136&amp;"'))"</f>
        <v>#N/A</v>
      </c>
    </row>
    <row r="1137" customFormat="false" ht="13.8" hidden="false" customHeight="false" outlineLevel="0" collapsed="false">
      <c r="G1137" s="80" t="n">
        <v>1137</v>
      </c>
      <c r="H1137" s="79"/>
      <c r="I1137" s="79"/>
      <c r="J1137" s="79"/>
      <c r="K1137" s="100"/>
      <c r="L1137" s="100"/>
      <c r="M1137" s="100"/>
      <c r="N1137" s="100"/>
      <c r="O1137" s="100"/>
      <c r="P1137" s="100"/>
      <c r="Q1137" s="102"/>
      <c r="R1137" s="99" t="e">
        <f aca="false">VLOOKUP(J1137,ingredient!$N$4:$O$553,2,0)</f>
        <v>#N/A</v>
      </c>
      <c r="S1137" s="98"/>
      <c r="T1137" s="98"/>
      <c r="U1137" s="81" t="n">
        <f aca="false">I1137</f>
        <v>0</v>
      </c>
      <c r="V1137" s="81" t="e">
        <f aca="false">VLOOKUP(U1137,recipe_ingred_list!$A$2:$B$300,2,0)</f>
        <v>#N/A</v>
      </c>
      <c r="W1137" s="81" t="e">
        <f aca="false">"/recipes/"&amp;VLOOKUP(U1137,recipe_ingred_list!$A$2:$C$300,3,0)&amp;"/detail/"</f>
        <v>#N/A</v>
      </c>
      <c r="X1137" s="81" t="n">
        <f aca="false">J1137</f>
        <v>0</v>
      </c>
      <c r="Y1137" s="81" t="e">
        <f aca="false">R1137</f>
        <v>#N/A</v>
      </c>
      <c r="Z1137" s="94" t="e">
        <f aca="false">VLOOKUP(Y1137,recipe_ingred_list!$D$2:$E$500,2,0)</f>
        <v>#N/A</v>
      </c>
      <c r="AA1137" s="61" t="n">
        <f aca="false">K1137</f>
        <v>0</v>
      </c>
      <c r="AB1137" s="61" t="n">
        <f aca="false">L1137</f>
        <v>0</v>
      </c>
      <c r="AC1137" s="61" t="n">
        <f aca="false">VLOOKUP(AB1137,recipe_ingred_list!$K$2:$M$7,3,0)</f>
        <v>2</v>
      </c>
      <c r="AD1137" s="61" t="n">
        <f aca="false">M1137</f>
        <v>0</v>
      </c>
      <c r="AE1137" s="61" t="n">
        <f aca="false">N1137</f>
        <v>0</v>
      </c>
      <c r="AF1137" s="61" t="n">
        <f aca="false">VLOOKUP(AE1137,recipe_ingred_list!$K$16:$M$25,3,0)</f>
        <v>1</v>
      </c>
      <c r="AG1137" s="61" t="n">
        <f aca="false">O1137</f>
        <v>0</v>
      </c>
      <c r="AH1137" s="61" t="n">
        <f aca="false">P1137</f>
        <v>0</v>
      </c>
      <c r="AI1137" s="61" t="n">
        <f aca="false">VLOOKUP(AH1137,recipe_ingred_list!$K$29:$M$34,3,0)</f>
        <v>3</v>
      </c>
      <c r="AJ1137" s="61" t="str">
        <f aca="false">IF(Q1137="","",Q1137)</f>
        <v/>
      </c>
      <c r="AK1137" s="61" t="n">
        <f aca="false">AK1136+1</f>
        <v>1137</v>
      </c>
      <c r="AL1137" s="61" t="e">
        <f aca="false">Y1137</f>
        <v>#N/A</v>
      </c>
      <c r="AM1137" s="81" t="e">
        <f aca="false">"a = Client().post('"&amp;W1137&amp;"', {'recipe' : '"&amp;V1137&amp;"', 'ingredient' : '"&amp;Z1137&amp;"', 'name' : '"&amp;X1137&amp;"', 'mass_unit' : '"&amp;AC1137&amp;"', 'mass_quantity' : '"&amp;ROUND(AA1137,3)&amp;"', 'volume_unit' : '"&amp;AF1137&amp;"', 'volume_quantity' : '"&amp;ROUND(AD1137,3)&amp;"', 'pieces_unit' : '"&amp;AI1137&amp;"', 'pieces_quantity' : '"&amp;ROUND(AG1137,3)&amp;"', 'cooking_notes' : '"&amp;AJ1137&amp;"'}).status_code; print('%s :: %s :: %s :: %s :: %s' %(a,"&amp;G1137&amp;",'"&amp;X1137&amp;"','"&amp;Y1137&amp;"','"&amp;U1137&amp;"'))"</f>
        <v>#N/A</v>
      </c>
    </row>
    <row r="1138" customFormat="false" ht="13.8" hidden="false" customHeight="false" outlineLevel="0" collapsed="false">
      <c r="G1138" s="80" t="n">
        <v>1138</v>
      </c>
      <c r="H1138" s="79"/>
      <c r="I1138" s="79"/>
      <c r="J1138" s="79"/>
      <c r="K1138" s="100"/>
      <c r="L1138" s="100"/>
      <c r="M1138" s="100"/>
      <c r="N1138" s="100"/>
      <c r="O1138" s="100"/>
      <c r="P1138" s="100"/>
      <c r="Q1138" s="102"/>
      <c r="R1138" s="99" t="e">
        <f aca="false">VLOOKUP(J1138,ingredient!$N$4:$O$553,2,0)</f>
        <v>#N/A</v>
      </c>
      <c r="S1138" s="98"/>
      <c r="T1138" s="98"/>
      <c r="U1138" s="81" t="n">
        <f aca="false">I1138</f>
        <v>0</v>
      </c>
      <c r="V1138" s="81" t="e">
        <f aca="false">VLOOKUP(U1138,recipe_ingred_list!$A$2:$B$300,2,0)</f>
        <v>#N/A</v>
      </c>
      <c r="W1138" s="81" t="e">
        <f aca="false">"/recipes/"&amp;VLOOKUP(U1138,recipe_ingred_list!$A$2:$C$300,3,0)&amp;"/detail/"</f>
        <v>#N/A</v>
      </c>
      <c r="X1138" s="81" t="n">
        <f aca="false">J1138</f>
        <v>0</v>
      </c>
      <c r="Y1138" s="81" t="e">
        <f aca="false">R1138</f>
        <v>#N/A</v>
      </c>
      <c r="Z1138" s="94" t="e">
        <f aca="false">VLOOKUP(Y1138,recipe_ingred_list!$D$2:$E$500,2,0)</f>
        <v>#N/A</v>
      </c>
      <c r="AA1138" s="61" t="n">
        <f aca="false">K1138</f>
        <v>0</v>
      </c>
      <c r="AB1138" s="61" t="n">
        <f aca="false">L1138</f>
        <v>0</v>
      </c>
      <c r="AC1138" s="61" t="n">
        <f aca="false">VLOOKUP(AB1138,recipe_ingred_list!$K$2:$M$7,3,0)</f>
        <v>2</v>
      </c>
      <c r="AD1138" s="61" t="n">
        <f aca="false">M1138</f>
        <v>0</v>
      </c>
      <c r="AE1138" s="61" t="n">
        <f aca="false">N1138</f>
        <v>0</v>
      </c>
      <c r="AF1138" s="61" t="n">
        <f aca="false">VLOOKUP(AE1138,recipe_ingred_list!$K$16:$M$25,3,0)</f>
        <v>1</v>
      </c>
      <c r="AG1138" s="61" t="n">
        <f aca="false">O1138</f>
        <v>0</v>
      </c>
      <c r="AH1138" s="61" t="n">
        <f aca="false">P1138</f>
        <v>0</v>
      </c>
      <c r="AI1138" s="61" t="n">
        <f aca="false">VLOOKUP(AH1138,recipe_ingred_list!$K$29:$M$34,3,0)</f>
        <v>3</v>
      </c>
      <c r="AJ1138" s="61" t="str">
        <f aca="false">IF(Q1138="","",Q1138)</f>
        <v/>
      </c>
      <c r="AK1138" s="61" t="n">
        <f aca="false">AK1137+1</f>
        <v>1138</v>
      </c>
      <c r="AL1138" s="61" t="e">
        <f aca="false">Y1138</f>
        <v>#N/A</v>
      </c>
      <c r="AM1138" s="81" t="e">
        <f aca="false">"a = Client().post('"&amp;W1138&amp;"', {'recipe' : '"&amp;V1138&amp;"', 'ingredient' : '"&amp;Z1138&amp;"', 'name' : '"&amp;X1138&amp;"', 'mass_unit' : '"&amp;AC1138&amp;"', 'mass_quantity' : '"&amp;ROUND(AA1138,3)&amp;"', 'volume_unit' : '"&amp;AF1138&amp;"', 'volume_quantity' : '"&amp;ROUND(AD1138,3)&amp;"', 'pieces_unit' : '"&amp;AI1138&amp;"', 'pieces_quantity' : '"&amp;ROUND(AG1138,3)&amp;"', 'cooking_notes' : '"&amp;AJ1138&amp;"'}).status_code; print('%s :: %s :: %s :: %s :: %s' %(a,"&amp;G1138&amp;",'"&amp;X1138&amp;"','"&amp;Y1138&amp;"','"&amp;U1138&amp;"'))"</f>
        <v>#N/A</v>
      </c>
    </row>
    <row r="1139" customFormat="false" ht="13.8" hidden="false" customHeight="false" outlineLevel="0" collapsed="false">
      <c r="G1139" s="80" t="n">
        <v>1139</v>
      </c>
      <c r="H1139" s="79"/>
      <c r="I1139" s="79"/>
      <c r="J1139" s="79"/>
      <c r="K1139" s="100"/>
      <c r="L1139" s="100"/>
      <c r="M1139" s="100"/>
      <c r="N1139" s="100"/>
      <c r="O1139" s="100"/>
      <c r="P1139" s="100"/>
      <c r="Q1139" s="102"/>
      <c r="R1139" s="99" t="e">
        <f aca="false">VLOOKUP(J1139,ingredient!$N$4:$O$553,2,0)</f>
        <v>#N/A</v>
      </c>
      <c r="S1139" s="98"/>
      <c r="T1139" s="98"/>
      <c r="U1139" s="81" t="n">
        <f aca="false">I1139</f>
        <v>0</v>
      </c>
      <c r="V1139" s="81" t="e">
        <f aca="false">VLOOKUP(U1139,recipe_ingred_list!$A$2:$B$300,2,0)</f>
        <v>#N/A</v>
      </c>
      <c r="W1139" s="81" t="e">
        <f aca="false">"/recipes/"&amp;VLOOKUP(U1139,recipe_ingred_list!$A$2:$C$300,3,0)&amp;"/detail/"</f>
        <v>#N/A</v>
      </c>
      <c r="X1139" s="81" t="n">
        <f aca="false">J1139</f>
        <v>0</v>
      </c>
      <c r="Y1139" s="81" t="e">
        <f aca="false">R1139</f>
        <v>#N/A</v>
      </c>
      <c r="Z1139" s="94" t="e">
        <f aca="false">VLOOKUP(Y1139,recipe_ingred_list!$D$2:$E$500,2,0)</f>
        <v>#N/A</v>
      </c>
      <c r="AA1139" s="61" t="n">
        <f aca="false">K1139</f>
        <v>0</v>
      </c>
      <c r="AB1139" s="61" t="n">
        <f aca="false">L1139</f>
        <v>0</v>
      </c>
      <c r="AC1139" s="61" t="n">
        <f aca="false">VLOOKUP(AB1139,recipe_ingred_list!$K$2:$M$7,3,0)</f>
        <v>2</v>
      </c>
      <c r="AD1139" s="61" t="n">
        <f aca="false">M1139</f>
        <v>0</v>
      </c>
      <c r="AE1139" s="61" t="n">
        <f aca="false">N1139</f>
        <v>0</v>
      </c>
      <c r="AF1139" s="61" t="n">
        <f aca="false">VLOOKUP(AE1139,recipe_ingred_list!$K$16:$M$25,3,0)</f>
        <v>1</v>
      </c>
      <c r="AG1139" s="61" t="n">
        <f aca="false">O1139</f>
        <v>0</v>
      </c>
      <c r="AH1139" s="61" t="n">
        <f aca="false">P1139</f>
        <v>0</v>
      </c>
      <c r="AI1139" s="61" t="n">
        <f aca="false">VLOOKUP(AH1139,recipe_ingred_list!$K$29:$M$34,3,0)</f>
        <v>3</v>
      </c>
      <c r="AJ1139" s="61" t="str">
        <f aca="false">IF(Q1139="","",Q1139)</f>
        <v/>
      </c>
      <c r="AK1139" s="61" t="n">
        <f aca="false">AK1138+1</f>
        <v>1139</v>
      </c>
      <c r="AL1139" s="61" t="e">
        <f aca="false">Y1139</f>
        <v>#N/A</v>
      </c>
      <c r="AM1139" s="81" t="e">
        <f aca="false">"a = Client().post('"&amp;W1139&amp;"', {'recipe' : '"&amp;V1139&amp;"', 'ingredient' : '"&amp;Z1139&amp;"', 'name' : '"&amp;X1139&amp;"', 'mass_unit' : '"&amp;AC1139&amp;"', 'mass_quantity' : '"&amp;ROUND(AA1139,3)&amp;"', 'volume_unit' : '"&amp;AF1139&amp;"', 'volume_quantity' : '"&amp;ROUND(AD1139,3)&amp;"', 'pieces_unit' : '"&amp;AI1139&amp;"', 'pieces_quantity' : '"&amp;ROUND(AG1139,3)&amp;"', 'cooking_notes' : '"&amp;AJ1139&amp;"'}).status_code; print('%s :: %s :: %s :: %s :: %s' %(a,"&amp;G1139&amp;",'"&amp;X1139&amp;"','"&amp;Y1139&amp;"','"&amp;U1139&amp;"'))"</f>
        <v>#N/A</v>
      </c>
    </row>
    <row r="1140" customFormat="false" ht="13.8" hidden="false" customHeight="false" outlineLevel="0" collapsed="false">
      <c r="G1140" s="80" t="n">
        <v>1140</v>
      </c>
      <c r="H1140" s="83"/>
      <c r="I1140" s="83" t="s">
        <v>256</v>
      </c>
      <c r="J1140" s="83" t="s">
        <v>881</v>
      </c>
      <c r="M1140" s="61" t="n">
        <v>1</v>
      </c>
      <c r="N1140" s="61" t="s">
        <v>13</v>
      </c>
      <c r="R1140" s="82" t="str">
        <f aca="false">VLOOKUP(J1140,ingredient!$N$4:$O$553,2,0)</f>
        <v>hari mirchi</v>
      </c>
      <c r="U1140" s="81" t="str">
        <f aca="false">I1140</f>
        <v>MUMBAI BHEL</v>
      </c>
      <c r="V1140" s="81" t="n">
        <f aca="false">VLOOKUP(U1140,recipe_ingred_list!$A$2:$B$300,2,0)</f>
        <v>49</v>
      </c>
      <c r="W1140" s="81" t="str">
        <f aca="false">"/recipes/"&amp;VLOOKUP(U1140,recipe_ingred_list!$A$2:$C$300,3,0)&amp;"/detail/"</f>
        <v>/recipes/mumbai-bhel/detail/</v>
      </c>
      <c r="X1140" s="81" t="str">
        <f aca="false">J1140</f>
        <v>green chili chopped</v>
      </c>
      <c r="Y1140" s="81" t="str">
        <f aca="false">R1140</f>
        <v>hari mirchi</v>
      </c>
      <c r="Z1140" s="94" t="n">
        <f aca="false">VLOOKUP(Y1140,recipe_ingred_list!$D$2:$E$500,2,0)</f>
        <v>93</v>
      </c>
      <c r="AA1140" s="61" t="n">
        <f aca="false">K1140</f>
        <v>0</v>
      </c>
      <c r="AB1140" s="61" t="n">
        <f aca="false">L1140</f>
        <v>0</v>
      </c>
      <c r="AC1140" s="61" t="n">
        <f aca="false">VLOOKUP(AB1140,recipe_ingred_list!$K$2:$M$7,3,0)</f>
        <v>2</v>
      </c>
      <c r="AD1140" s="61" t="n">
        <f aca="false">M1140</f>
        <v>1</v>
      </c>
      <c r="AE1140" s="61" t="str">
        <f aca="false">N1140</f>
        <v>ltr</v>
      </c>
      <c r="AF1140" s="61" t="n">
        <f aca="false">VLOOKUP(AE1140,recipe_ingred_list!$K$16:$M$25,3,0)</f>
        <v>1</v>
      </c>
      <c r="AG1140" s="61" t="n">
        <f aca="false">O1140</f>
        <v>0</v>
      </c>
      <c r="AH1140" s="61" t="n">
        <f aca="false">P1140</f>
        <v>0</v>
      </c>
      <c r="AI1140" s="61" t="n">
        <f aca="false">VLOOKUP(AH1140,recipe_ingred_list!$K$29:$M$34,3,0)</f>
        <v>3</v>
      </c>
      <c r="AJ1140" s="61" t="str">
        <f aca="false">IF(Q1140="","",Q1140)</f>
        <v/>
      </c>
      <c r="AK1140" s="61" t="n">
        <f aca="false">AK1139+1</f>
        <v>1140</v>
      </c>
      <c r="AL1140" s="61" t="str">
        <f aca="false">Y1140</f>
        <v>hari mirchi</v>
      </c>
      <c r="AM1140" s="81" t="str">
        <f aca="false">"a = Client().post('"&amp;W1140&amp;"', {'recipe' : '"&amp;V1140&amp;"', 'ingredient' : '"&amp;Z1140&amp;"', 'name' : '"&amp;X1140&amp;"', 'mass_unit' : '"&amp;AC1140&amp;"', 'mass_quantity' : '"&amp;ROUND(AA1140,3)&amp;"', 'volume_unit' : '"&amp;AF1140&amp;"', 'volume_quantity' : '"&amp;ROUND(AD1140,3)&amp;"', 'pieces_unit' : '"&amp;AI1140&amp;"', 'pieces_quantity' : '"&amp;ROUND(AG1140,3)&amp;"', 'cooking_notes' : '"&amp;AJ1140&amp;"'}).status_code; print('%s :: %s :: %s :: %s :: %s' %(a,"&amp;G1140&amp;",'"&amp;X1140&amp;"','"&amp;Y1140&amp;"','"&amp;U1140&amp;"'))"</f>
        <v>a = Client().post('/recipes/mumbai-bhel/detail/', {'recipe' : '49', 'ingredient' : '93', 'name' : 'green chili chopped', 'mass_unit' : '2', 'mass_quantity' : '0', 'volume_unit' : '1', 'volume_quantity' : '1', 'pieces_unit' : '3', 'pieces_quantity' : '0', 'cooking_notes' : ''}).status_code; print('%s :: %s :: %s :: %s :: %s' %(a,1140,'green chili chopped','hari mirchi','MUMBAI BHEL'))</v>
      </c>
    </row>
    <row r="1141" customFormat="false" ht="14.9" hidden="false" customHeight="false" outlineLevel="0" collapsed="false">
      <c r="G1141" s="80" t="n">
        <v>1141</v>
      </c>
      <c r="H1141" s="83"/>
      <c r="I1141" s="83" t="s">
        <v>256</v>
      </c>
      <c r="J1141" s="83" t="s">
        <v>882</v>
      </c>
      <c r="M1141" s="61" t="n">
        <v>2</v>
      </c>
      <c r="N1141" s="61" t="s">
        <v>13</v>
      </c>
      <c r="Q1141" s="84" t="s">
        <v>883</v>
      </c>
      <c r="R1141" s="82" t="str">
        <f aca="false">VLOOKUP(J1141,ingredient!$N$4:$O$553,2,0)</f>
        <v>hari mirchi</v>
      </c>
      <c r="U1141" s="81" t="str">
        <f aca="false">I1141</f>
        <v>MUMBAI BHEL</v>
      </c>
      <c r="V1141" s="81" t="n">
        <f aca="false">VLOOKUP(U1141,recipe_ingred_list!$A$2:$B$300,2,0)</f>
        <v>49</v>
      </c>
      <c r="W1141" s="81" t="str">
        <f aca="false">"/recipes/"&amp;VLOOKUP(U1141,recipe_ingred_list!$A$2:$C$300,3,0)&amp;"/detail/"</f>
        <v>/recipes/mumbai-bhel/detail/</v>
      </c>
      <c r="X1141" s="81" t="str">
        <f aca="false">J1141</f>
        <v>greeen chilly long cut</v>
      </c>
      <c r="Y1141" s="81" t="str">
        <f aca="false">R1141</f>
        <v>hari mirchi</v>
      </c>
      <c r="Z1141" s="94" t="n">
        <f aca="false">VLOOKUP(Y1141,recipe_ingred_list!$D$2:$E$500,2,0)</f>
        <v>93</v>
      </c>
      <c r="AA1141" s="61" t="n">
        <f aca="false">K1141</f>
        <v>0</v>
      </c>
      <c r="AB1141" s="61" t="n">
        <f aca="false">L1141</f>
        <v>0</v>
      </c>
      <c r="AC1141" s="61" t="n">
        <f aca="false">VLOOKUP(AB1141,recipe_ingred_list!$K$2:$M$7,3,0)</f>
        <v>2</v>
      </c>
      <c r="AD1141" s="61" t="n">
        <f aca="false">M1141</f>
        <v>2</v>
      </c>
      <c r="AE1141" s="61" t="str">
        <f aca="false">N1141</f>
        <v>ltr</v>
      </c>
      <c r="AF1141" s="61" t="n">
        <f aca="false">VLOOKUP(AE1141,recipe_ingred_list!$K$16:$M$25,3,0)</f>
        <v>1</v>
      </c>
      <c r="AG1141" s="61" t="n">
        <f aca="false">O1141</f>
        <v>0</v>
      </c>
      <c r="AH1141" s="61" t="n">
        <f aca="false">P1141</f>
        <v>0</v>
      </c>
      <c r="AI1141" s="61" t="n">
        <f aca="false">VLOOKUP(AH1141,recipe_ingred_list!$K$29:$M$34,3,0)</f>
        <v>3</v>
      </c>
      <c r="AJ1141" s="61" t="str">
        <f aca="false">IF(Q1141="","",Q1141)</f>
        <v>1 DAY BEFORE</v>
      </c>
      <c r="AK1141" s="61" t="n">
        <f aca="false">AK1140+1</f>
        <v>1141</v>
      </c>
      <c r="AL1141" s="61" t="str">
        <f aca="false">Y1141</f>
        <v>hari mirchi</v>
      </c>
      <c r="AM1141" s="81" t="str">
        <f aca="false">"a = Client().post('"&amp;W1141&amp;"', {'recipe' : '"&amp;V1141&amp;"', 'ingredient' : '"&amp;Z1141&amp;"', 'name' : '"&amp;X1141&amp;"', 'mass_unit' : '"&amp;AC1141&amp;"', 'mass_quantity' : '"&amp;ROUND(AA1141,3)&amp;"', 'volume_unit' : '"&amp;AF1141&amp;"', 'volume_quantity' : '"&amp;ROUND(AD1141,3)&amp;"', 'pieces_unit' : '"&amp;AI1141&amp;"', 'pieces_quantity' : '"&amp;ROUND(AG1141,3)&amp;"', 'cooking_notes' : '"&amp;AJ1141&amp;"'}).status_code; print('%s :: %s :: %s :: %s :: %s' %(a,"&amp;G1141&amp;",'"&amp;X1141&amp;"','"&amp;Y1141&amp;"','"&amp;U1141&amp;"'))"</f>
        <v>a = Client().post('/recipes/mumbai-bhel/detail/', {'recipe' : '49', 'ingredient' : '93', 'name' : 'greeen chilly long cut', 'mass_unit' : '2', 'mass_quantity' : '0', 'volume_unit' : '1', 'volume_quantity' : '2', 'pieces_unit' : '3', 'pieces_quantity' : '0', 'cooking_notes' : '1 DAY BEFORE'}).status_code; print('%s :: %s :: %s :: %s :: %s' %(a,1141,'greeen chilly long cut','hari mirchi','MUMBAI BHEL'))</v>
      </c>
    </row>
    <row r="1142" customFormat="false" ht="14.9" hidden="false" customHeight="false" outlineLevel="0" collapsed="false">
      <c r="G1142" s="80" t="n">
        <v>1142</v>
      </c>
      <c r="H1142" s="83"/>
      <c r="I1142" s="83" t="s">
        <v>256</v>
      </c>
      <c r="J1142" s="83" t="s">
        <v>833</v>
      </c>
      <c r="M1142" s="61" t="n">
        <v>1</v>
      </c>
      <c r="N1142" s="61" t="s">
        <v>13</v>
      </c>
      <c r="Q1142" s="84" t="s">
        <v>884</v>
      </c>
      <c r="R1142" s="82" t="str">
        <f aca="false">VLOOKUP(J1142,ingredient!$N$4:$O$553,2,0)</f>
        <v>lemon</v>
      </c>
      <c r="U1142" s="81" t="str">
        <f aca="false">I1142</f>
        <v>MUMBAI BHEL</v>
      </c>
      <c r="V1142" s="81" t="n">
        <f aca="false">VLOOKUP(U1142,recipe_ingred_list!$A$2:$B$300,2,0)</f>
        <v>49</v>
      </c>
      <c r="W1142" s="81" t="str">
        <f aca="false">"/recipes/"&amp;VLOOKUP(U1142,recipe_ingred_list!$A$2:$C$300,3,0)&amp;"/detail/"</f>
        <v>/recipes/mumbai-bhel/detail/</v>
      </c>
      <c r="X1142" s="81" t="str">
        <f aca="false">J1142</f>
        <v>lemon juice</v>
      </c>
      <c r="Y1142" s="81" t="str">
        <f aca="false">R1142</f>
        <v>lemon</v>
      </c>
      <c r="Z1142" s="94" t="n">
        <f aca="false">VLOOKUP(Y1142,recipe_ingred_list!$D$2:$E$500,2,0)</f>
        <v>129</v>
      </c>
      <c r="AA1142" s="61" t="n">
        <f aca="false">K1142</f>
        <v>0</v>
      </c>
      <c r="AB1142" s="61" t="n">
        <f aca="false">L1142</f>
        <v>0</v>
      </c>
      <c r="AC1142" s="61" t="n">
        <f aca="false">VLOOKUP(AB1142,recipe_ingred_list!$K$2:$M$7,3,0)</f>
        <v>2</v>
      </c>
      <c r="AD1142" s="61" t="n">
        <f aca="false">M1142</f>
        <v>1</v>
      </c>
      <c r="AE1142" s="61" t="str">
        <f aca="false">N1142</f>
        <v>ltr</v>
      </c>
      <c r="AF1142" s="61" t="n">
        <f aca="false">VLOOKUP(AE1142,recipe_ingred_list!$K$16:$M$25,3,0)</f>
        <v>1</v>
      </c>
      <c r="AG1142" s="61" t="n">
        <f aca="false">O1142</f>
        <v>0</v>
      </c>
      <c r="AH1142" s="61" t="n">
        <f aca="false">P1142</f>
        <v>0</v>
      </c>
      <c r="AI1142" s="61" t="n">
        <f aca="false">VLOOKUP(AH1142,recipe_ingred_list!$K$29:$M$34,3,0)</f>
        <v>3</v>
      </c>
      <c r="AJ1142" s="61" t="str">
        <f aca="false">IF(Q1142="","",Q1142)</f>
        <v>in oil roast ALL  kurmura,singdana</v>
      </c>
      <c r="AK1142" s="61" t="n">
        <f aca="false">AK1141+1</f>
        <v>1142</v>
      </c>
      <c r="AL1142" s="61" t="str">
        <f aca="false">Y1142</f>
        <v>lemon</v>
      </c>
      <c r="AM1142" s="81" t="str">
        <f aca="false">"a = Client().post('"&amp;W1142&amp;"', {'recipe' : '"&amp;V1142&amp;"', 'ingredient' : '"&amp;Z1142&amp;"', 'name' : '"&amp;X1142&amp;"', 'mass_unit' : '"&amp;AC1142&amp;"', 'mass_quantity' : '"&amp;ROUND(AA1142,3)&amp;"', 'volume_unit' : '"&amp;AF1142&amp;"', 'volume_quantity' : '"&amp;ROUND(AD1142,3)&amp;"', 'pieces_unit' : '"&amp;AI1142&amp;"', 'pieces_quantity' : '"&amp;ROUND(AG1142,3)&amp;"', 'cooking_notes' : '"&amp;AJ1142&amp;"'}).status_code; print('%s :: %s :: %s :: %s :: %s' %(a,"&amp;G1142&amp;",'"&amp;X1142&amp;"','"&amp;Y1142&amp;"','"&amp;U1142&amp;"'))"</f>
        <v>a = Client().post('/recipes/mumbai-bhel/detail/', {'recipe' : '49', 'ingredient' : '129', 'name' : 'lemon juice', 'mass_unit' : '2', 'mass_quantity' : '0', 'volume_unit' : '1', 'volume_quantity' : '1', 'pieces_unit' : '3', 'pieces_quantity' : '0', 'cooking_notes' : 'in oil roast ALL  kurmura,singdana'}).status_code; print('%s :: %s :: %s :: %s :: %s' %(a,1142,'lemon juice','lemon','MUMBAI BHEL'))</v>
      </c>
    </row>
    <row r="1143" customFormat="false" ht="14.9" hidden="false" customHeight="false" outlineLevel="0" collapsed="false">
      <c r="G1143" s="80" t="n">
        <v>1143</v>
      </c>
      <c r="H1143" s="83"/>
      <c r="I1143" s="83" t="s">
        <v>256</v>
      </c>
      <c r="J1143" s="83" t="s">
        <v>471</v>
      </c>
      <c r="K1143" s="61" t="n">
        <v>6</v>
      </c>
      <c r="L1143" s="61" t="s">
        <v>7</v>
      </c>
      <c r="Q1143" s="84" t="s">
        <v>885</v>
      </c>
      <c r="R1143" s="82" t="str">
        <f aca="false">VLOOKUP(J1143,ingredient!$N$4:$O$553,2,0)</f>
        <v>sev</v>
      </c>
      <c r="U1143" s="81" t="str">
        <f aca="false">I1143</f>
        <v>MUMBAI BHEL</v>
      </c>
      <c r="V1143" s="81" t="n">
        <f aca="false">VLOOKUP(U1143,recipe_ingred_list!$A$2:$B$300,2,0)</f>
        <v>49</v>
      </c>
      <c r="W1143" s="81" t="str">
        <f aca="false">"/recipes/"&amp;VLOOKUP(U1143,recipe_ingred_list!$A$2:$C$300,3,0)&amp;"/detail/"</f>
        <v>/recipes/mumbai-bhel/detail/</v>
      </c>
      <c r="X1143" s="81" t="str">
        <f aca="false">J1143</f>
        <v>sev</v>
      </c>
      <c r="Y1143" s="81" t="str">
        <f aca="false">R1143</f>
        <v>sev</v>
      </c>
      <c r="Z1143" s="94" t="n">
        <f aca="false">VLOOKUP(Y1143,recipe_ingred_list!$D$2:$E$500,2,0)</f>
        <v>180</v>
      </c>
      <c r="AA1143" s="61" t="n">
        <f aca="false">K1143</f>
        <v>6</v>
      </c>
      <c r="AB1143" s="61" t="str">
        <f aca="false">L1143</f>
        <v>kg</v>
      </c>
      <c r="AC1143" s="61" t="n">
        <f aca="false">VLOOKUP(AB1143,recipe_ingred_list!$K$2:$M$7,3,0)</f>
        <v>2</v>
      </c>
      <c r="AD1143" s="61" t="n">
        <f aca="false">M1143</f>
        <v>0</v>
      </c>
      <c r="AE1143" s="61" t="n">
        <f aca="false">N1143</f>
        <v>0</v>
      </c>
      <c r="AF1143" s="61" t="n">
        <f aca="false">VLOOKUP(AE1143,recipe_ingred_list!$K$16:$M$25,3,0)</f>
        <v>1</v>
      </c>
      <c r="AG1143" s="61" t="n">
        <f aca="false">O1143</f>
        <v>0</v>
      </c>
      <c r="AH1143" s="61" t="n">
        <f aca="false">P1143</f>
        <v>0</v>
      </c>
      <c r="AI1143" s="61" t="n">
        <f aca="false">VLOOKUP(AH1143,recipe_ingred_list!$K$29:$M$34,3,0)</f>
        <v>3</v>
      </c>
      <c r="AJ1143" s="61" t="str">
        <f aca="false">IF(Q1143="","",Q1143)</f>
        <v>,daliya,green chili(1 ltr)</v>
      </c>
      <c r="AK1143" s="61" t="n">
        <f aca="false">AK1142+1</f>
        <v>1143</v>
      </c>
      <c r="AL1143" s="61" t="str">
        <f aca="false">Y1143</f>
        <v>sev</v>
      </c>
      <c r="AM1143" s="81" t="str">
        <f aca="false">"a = Client().post('"&amp;W1143&amp;"', {'recipe' : '"&amp;V1143&amp;"', 'ingredient' : '"&amp;Z1143&amp;"', 'name' : '"&amp;X1143&amp;"', 'mass_unit' : '"&amp;AC1143&amp;"', 'mass_quantity' : '"&amp;ROUND(AA1143,3)&amp;"', 'volume_unit' : '"&amp;AF1143&amp;"', 'volume_quantity' : '"&amp;ROUND(AD1143,3)&amp;"', 'pieces_unit' : '"&amp;AI1143&amp;"', 'pieces_quantity' : '"&amp;ROUND(AG1143,3)&amp;"', 'cooking_notes' : '"&amp;AJ1143&amp;"'}).status_code; print('%s :: %s :: %s :: %s :: %s' %(a,"&amp;G1143&amp;",'"&amp;X1143&amp;"','"&amp;Y1143&amp;"','"&amp;U1143&amp;"'))"</f>
        <v>a = Client().post('/recipes/mumbai-bhel/detail/', {'recipe' : '49', 'ingredient' : '180', 'name' : 'sev', 'mass_unit' : '2', 'mass_quantity' : '6', 'volume_unit' : '1', 'volume_quantity' : '0', 'pieces_unit' : '3', 'pieces_quantity' : '0', 'cooking_notes' : ',daliya,green chili(1 ltr)'}).status_code; print('%s :: %s :: %s :: %s :: %s' %(a,1143,'sev','sev','MUMBAI BHEL'))</v>
      </c>
    </row>
    <row r="1144" customFormat="false" ht="14.9" hidden="false" customHeight="false" outlineLevel="0" collapsed="false">
      <c r="G1144" s="80" t="n">
        <v>1144</v>
      </c>
      <c r="H1144" s="83"/>
      <c r="I1144" s="83" t="s">
        <v>256</v>
      </c>
      <c r="J1144" s="83" t="s">
        <v>485</v>
      </c>
      <c r="K1144" s="61" t="n">
        <v>10</v>
      </c>
      <c r="L1144" s="61" t="s">
        <v>7</v>
      </c>
      <c r="Q1144" s="84" t="s">
        <v>886</v>
      </c>
      <c r="R1144" s="82" t="str">
        <f aca="false">VLOOKUP(J1144,ingredient!$N$4:$O$553,2,0)</f>
        <v>tomato</v>
      </c>
      <c r="U1144" s="81" t="str">
        <f aca="false">I1144</f>
        <v>MUMBAI BHEL</v>
      </c>
      <c r="V1144" s="81" t="n">
        <f aca="false">VLOOKUP(U1144,recipe_ingred_list!$A$2:$B$300,2,0)</f>
        <v>49</v>
      </c>
      <c r="W1144" s="81" t="str">
        <f aca="false">"/recipes/"&amp;VLOOKUP(U1144,recipe_ingred_list!$A$2:$C$300,3,0)&amp;"/detail/"</f>
        <v>/recipes/mumbai-bhel/detail/</v>
      </c>
      <c r="X1144" s="81" t="str">
        <f aca="false">J1144</f>
        <v>tomato</v>
      </c>
      <c r="Y1144" s="81" t="str">
        <f aca="false">R1144</f>
        <v>tomato</v>
      </c>
      <c r="Z1144" s="94" t="n">
        <f aca="false">VLOOKUP(Y1144,recipe_ingred_list!$D$2:$E$500,2,0)</f>
        <v>195</v>
      </c>
      <c r="AA1144" s="61" t="n">
        <f aca="false">K1144</f>
        <v>10</v>
      </c>
      <c r="AB1144" s="61" t="str">
        <f aca="false">L1144</f>
        <v>kg</v>
      </c>
      <c r="AC1144" s="61" t="n">
        <f aca="false">VLOOKUP(AB1144,recipe_ingred_list!$K$2:$M$7,3,0)</f>
        <v>2</v>
      </c>
      <c r="AD1144" s="61" t="n">
        <f aca="false">M1144</f>
        <v>0</v>
      </c>
      <c r="AE1144" s="61" t="n">
        <f aca="false">N1144</f>
        <v>0</v>
      </c>
      <c r="AF1144" s="61" t="n">
        <f aca="false">VLOOKUP(AE1144,recipe_ingred_list!$K$16:$M$25,3,0)</f>
        <v>1</v>
      </c>
      <c r="AG1144" s="61" t="n">
        <f aca="false">O1144</f>
        <v>0</v>
      </c>
      <c r="AH1144" s="61" t="n">
        <f aca="false">P1144</f>
        <v>0</v>
      </c>
      <c r="AI1144" s="61" t="n">
        <f aca="false">VLOOKUP(AH1144,recipe_ingred_list!$K$29:$M$34,3,0)</f>
        <v>3</v>
      </c>
      <c r="AJ1144" s="61" t="str">
        <f aca="false">IF(Q1144="","",Q1144)</f>
        <v>with haldi,kashmiri chili pwd</v>
      </c>
      <c r="AK1144" s="61" t="n">
        <f aca="false">AK1143+1</f>
        <v>1144</v>
      </c>
      <c r="AL1144" s="61" t="str">
        <f aca="false">Y1144</f>
        <v>tomato</v>
      </c>
      <c r="AM1144" s="81" t="str">
        <f aca="false">"a = Client().post('"&amp;W1144&amp;"', {'recipe' : '"&amp;V1144&amp;"', 'ingredient' : '"&amp;Z1144&amp;"', 'name' : '"&amp;X1144&amp;"', 'mass_unit' : '"&amp;AC1144&amp;"', 'mass_quantity' : '"&amp;ROUND(AA1144,3)&amp;"', 'volume_unit' : '"&amp;AF1144&amp;"', 'volume_quantity' : '"&amp;ROUND(AD1144,3)&amp;"', 'pieces_unit' : '"&amp;AI1144&amp;"', 'pieces_quantity' : '"&amp;ROUND(AG1144,3)&amp;"', 'cooking_notes' : '"&amp;AJ1144&amp;"'}).status_code; print('%s :: %s :: %s :: %s :: %s' %(a,"&amp;G1144&amp;",'"&amp;X1144&amp;"','"&amp;Y1144&amp;"','"&amp;U1144&amp;"'))"</f>
        <v>a = Client().post('/recipes/mumbai-bhel/detail/', {'recipe' : '49', 'ingredient' : '195', 'name' : 'tomato', 'mass_unit' : '2', 'mass_quantity' : '10', 'volume_unit' : '1', 'volume_quantity' : '0', 'pieces_unit' : '3', 'pieces_quantity' : '0', 'cooking_notes' : 'with haldi,kashmiri chili pwd'}).status_code; print('%s :: %s :: %s :: %s :: %s' %(a,1144,'tomato','tomato','MUMBAI BHEL'))</v>
      </c>
    </row>
    <row r="1145" customFormat="false" ht="14.9" hidden="false" customHeight="false" outlineLevel="0" collapsed="false">
      <c r="G1145" s="80" t="n">
        <v>1145</v>
      </c>
      <c r="H1145" s="83"/>
      <c r="I1145" s="83" t="s">
        <v>256</v>
      </c>
      <c r="J1145" s="83" t="s">
        <v>846</v>
      </c>
      <c r="K1145" s="61" t="n">
        <v>10</v>
      </c>
      <c r="L1145" s="61" t="s">
        <v>7</v>
      </c>
      <c r="Q1145" s="84" t="s">
        <v>887</v>
      </c>
      <c r="R1145" s="82" t="str">
        <f aca="false">VLOOKUP(J1145,ingredient!$N$4:$O$553,2,0)</f>
        <v>alu</v>
      </c>
      <c r="U1145" s="81" t="str">
        <f aca="false">I1145</f>
        <v>MUMBAI BHEL</v>
      </c>
      <c r="V1145" s="81" t="n">
        <f aca="false">VLOOKUP(U1145,recipe_ingred_list!$A$2:$B$300,2,0)</f>
        <v>49</v>
      </c>
      <c r="W1145" s="81" t="str">
        <f aca="false">"/recipes/"&amp;VLOOKUP(U1145,recipe_ingred_list!$A$2:$C$300,3,0)&amp;"/detail/"</f>
        <v>/recipes/mumbai-bhel/detail/</v>
      </c>
      <c r="X1145" s="81" t="str">
        <f aca="false">J1145</f>
        <v>potato</v>
      </c>
      <c r="Y1145" s="81" t="str">
        <f aca="false">R1145</f>
        <v>alu</v>
      </c>
      <c r="Z1145" s="94" t="n">
        <f aca="false">VLOOKUP(Y1145,recipe_ingred_list!$D$2:$E$500,2,0)</f>
        <v>8</v>
      </c>
      <c r="AA1145" s="61" t="n">
        <f aca="false">K1145</f>
        <v>10</v>
      </c>
      <c r="AB1145" s="61" t="str">
        <f aca="false">L1145</f>
        <v>kg</v>
      </c>
      <c r="AC1145" s="61" t="n">
        <f aca="false">VLOOKUP(AB1145,recipe_ingred_list!$K$2:$M$7,3,0)</f>
        <v>2</v>
      </c>
      <c r="AD1145" s="61" t="n">
        <f aca="false">M1145</f>
        <v>0</v>
      </c>
      <c r="AE1145" s="61" t="n">
        <f aca="false">N1145</f>
        <v>0</v>
      </c>
      <c r="AF1145" s="61" t="n">
        <f aca="false">VLOOKUP(AE1145,recipe_ingred_list!$K$16:$M$25,3,0)</f>
        <v>1</v>
      </c>
      <c r="AG1145" s="61" t="n">
        <f aca="false">O1145</f>
        <v>0</v>
      </c>
      <c r="AH1145" s="61" t="n">
        <f aca="false">P1145</f>
        <v>0</v>
      </c>
      <c r="AI1145" s="61" t="n">
        <f aca="false">VLOOKUP(AH1145,recipe_ingred_list!$K$29:$M$34,3,0)</f>
        <v>3</v>
      </c>
      <c r="AJ1145" s="61" t="str">
        <f aca="false">IF(Q1145="","",Q1145)</f>
        <v>nxt morning add other item</v>
      </c>
      <c r="AK1145" s="61" t="n">
        <f aca="false">AK1144+1</f>
        <v>1145</v>
      </c>
      <c r="AL1145" s="61" t="str">
        <f aca="false">Y1145</f>
        <v>alu</v>
      </c>
      <c r="AM1145" s="81" t="str">
        <f aca="false">"a = Client().post('"&amp;W1145&amp;"', {'recipe' : '"&amp;V1145&amp;"', 'ingredient' : '"&amp;Z1145&amp;"', 'name' : '"&amp;X1145&amp;"', 'mass_unit' : '"&amp;AC1145&amp;"', 'mass_quantity' : '"&amp;ROUND(AA1145,3)&amp;"', 'volume_unit' : '"&amp;AF1145&amp;"', 'volume_quantity' : '"&amp;ROUND(AD1145,3)&amp;"', 'pieces_unit' : '"&amp;AI1145&amp;"', 'pieces_quantity' : '"&amp;ROUND(AG1145,3)&amp;"', 'cooking_notes' : '"&amp;AJ1145&amp;"'}).status_code; print('%s :: %s :: %s :: %s :: %s' %(a,"&amp;G1145&amp;",'"&amp;X1145&amp;"','"&amp;Y1145&amp;"','"&amp;U1145&amp;"'))"</f>
        <v>a = Client().post('/recipes/mumbai-bhel/detail/', {'recipe' : '49', 'ingredient' : '8', 'name' : 'potato', 'mass_unit' : '2', 'mass_quantity' : '10', 'volume_unit' : '1', 'volume_quantity' : '0', 'pieces_unit' : '3', 'pieces_quantity' : '0', 'cooking_notes' : 'nxt morning add other item'}).status_code; print('%s :: %s :: %s :: %s :: %s' %(a,1145,'potato','alu','MUMBAI BHEL'))</v>
      </c>
    </row>
    <row r="1146" customFormat="false" ht="13.8" hidden="false" customHeight="false" outlineLevel="0" collapsed="false">
      <c r="G1146" s="80" t="n">
        <v>1146</v>
      </c>
      <c r="H1146" s="83"/>
      <c r="I1146" s="83" t="s">
        <v>256</v>
      </c>
      <c r="J1146" s="83" t="s">
        <v>406</v>
      </c>
      <c r="K1146" s="61" t="n">
        <v>10</v>
      </c>
      <c r="L1146" s="61" t="s">
        <v>7</v>
      </c>
      <c r="R1146" s="82" t="str">
        <f aca="false">VLOOKUP(J1146,ingredient!$N$4:$O$553,2,0)</f>
        <v>kakdi</v>
      </c>
      <c r="U1146" s="81" t="str">
        <f aca="false">I1146</f>
        <v>MUMBAI BHEL</v>
      </c>
      <c r="V1146" s="81" t="n">
        <f aca="false">VLOOKUP(U1146,recipe_ingred_list!$A$2:$B$300,2,0)</f>
        <v>49</v>
      </c>
      <c r="W1146" s="81" t="str">
        <f aca="false">"/recipes/"&amp;VLOOKUP(U1146,recipe_ingred_list!$A$2:$C$300,3,0)&amp;"/detail/"</f>
        <v>/recipes/mumbai-bhel/detail/</v>
      </c>
      <c r="X1146" s="81" t="str">
        <f aca="false">J1146</f>
        <v>kakdi</v>
      </c>
      <c r="Y1146" s="81" t="str">
        <f aca="false">R1146</f>
        <v>kakdi</v>
      </c>
      <c r="Z1146" s="94" t="n">
        <f aca="false">VLOOKUP(Y1146,recipe_ingred_list!$D$2:$E$500,2,0)</f>
        <v>111</v>
      </c>
      <c r="AA1146" s="61" t="n">
        <f aca="false">K1146</f>
        <v>10</v>
      </c>
      <c r="AB1146" s="61" t="str">
        <f aca="false">L1146</f>
        <v>kg</v>
      </c>
      <c r="AC1146" s="61" t="n">
        <f aca="false">VLOOKUP(AB1146,recipe_ingred_list!$K$2:$M$7,3,0)</f>
        <v>2</v>
      </c>
      <c r="AD1146" s="61" t="n">
        <f aca="false">M1146</f>
        <v>0</v>
      </c>
      <c r="AE1146" s="61" t="n">
        <f aca="false">N1146</f>
        <v>0</v>
      </c>
      <c r="AF1146" s="61" t="n">
        <f aca="false">VLOOKUP(AE1146,recipe_ingred_list!$K$16:$M$25,3,0)</f>
        <v>1</v>
      </c>
      <c r="AG1146" s="61" t="n">
        <f aca="false">O1146</f>
        <v>0</v>
      </c>
      <c r="AH1146" s="61" t="n">
        <f aca="false">P1146</f>
        <v>0</v>
      </c>
      <c r="AI1146" s="61" t="n">
        <f aca="false">VLOOKUP(AH1146,recipe_ingred_list!$K$29:$M$34,3,0)</f>
        <v>3</v>
      </c>
      <c r="AJ1146" s="61" t="str">
        <f aca="false">IF(Q1146="","",Q1146)</f>
        <v/>
      </c>
      <c r="AK1146" s="61" t="n">
        <f aca="false">AK1145+1</f>
        <v>1146</v>
      </c>
      <c r="AL1146" s="61" t="str">
        <f aca="false">Y1146</f>
        <v>kakdi</v>
      </c>
      <c r="AM1146" s="81" t="str">
        <f aca="false">"a = Client().post('"&amp;W1146&amp;"', {'recipe' : '"&amp;V1146&amp;"', 'ingredient' : '"&amp;Z1146&amp;"', 'name' : '"&amp;X1146&amp;"', 'mass_unit' : '"&amp;AC1146&amp;"', 'mass_quantity' : '"&amp;ROUND(AA1146,3)&amp;"', 'volume_unit' : '"&amp;AF1146&amp;"', 'volume_quantity' : '"&amp;ROUND(AD1146,3)&amp;"', 'pieces_unit' : '"&amp;AI1146&amp;"', 'pieces_quantity' : '"&amp;ROUND(AG1146,3)&amp;"', 'cooking_notes' : '"&amp;AJ1146&amp;"'}).status_code; print('%s :: %s :: %s :: %s :: %s' %(a,"&amp;G1146&amp;",'"&amp;X1146&amp;"','"&amp;Y1146&amp;"','"&amp;U1146&amp;"'))"</f>
        <v>a = Client().post('/recipes/mumbai-bhel/detail/', {'recipe' : '49', 'ingredient' : '111', 'name' : 'kakdi', 'mass_unit' : '2', 'mass_quantity' : '10', 'volume_unit' : '1', 'volume_quantity' : '0', 'pieces_unit' : '3', 'pieces_quantity' : '0', 'cooking_notes' : ''}).status_code; print('%s :: %s :: %s :: %s :: %s' %(a,1146,'kakdi','kakdi','MUMBAI BHEL'))</v>
      </c>
    </row>
    <row r="1147" customFormat="false" ht="13.8" hidden="false" customHeight="false" outlineLevel="0" collapsed="false">
      <c r="G1147" s="80" t="n">
        <v>1147</v>
      </c>
      <c r="H1147" s="83"/>
      <c r="I1147" s="83" t="s">
        <v>256</v>
      </c>
      <c r="J1147" s="83" t="s">
        <v>309</v>
      </c>
      <c r="M1147" s="61" t="n">
        <v>4</v>
      </c>
      <c r="N1147" s="61" t="s">
        <v>13</v>
      </c>
      <c r="R1147" s="82" t="str">
        <f aca="false">VLOOKUP(J1147,ingredient!$N$4:$O$553,2,0)</f>
        <v>dhaniya patta</v>
      </c>
      <c r="U1147" s="81" t="str">
        <f aca="false">I1147</f>
        <v>MUMBAI BHEL</v>
      </c>
      <c r="V1147" s="81" t="n">
        <f aca="false">VLOOKUP(U1147,recipe_ingred_list!$A$2:$B$300,2,0)</f>
        <v>49</v>
      </c>
      <c r="W1147" s="81" t="str">
        <f aca="false">"/recipes/"&amp;VLOOKUP(U1147,recipe_ingred_list!$A$2:$C$300,3,0)&amp;"/detail/"</f>
        <v>/recipes/mumbai-bhel/detail/</v>
      </c>
      <c r="X1147" s="81" t="str">
        <f aca="false">J1147</f>
        <v>dhaniya patta</v>
      </c>
      <c r="Y1147" s="81" t="str">
        <f aca="false">R1147</f>
        <v>dhaniya patta</v>
      </c>
      <c r="Z1147" s="94" t="n">
        <f aca="false">VLOOKUP(Y1147,recipe_ingred_list!$D$2:$E$500,2,0)</f>
        <v>66</v>
      </c>
      <c r="AA1147" s="61" t="n">
        <f aca="false">K1147</f>
        <v>0</v>
      </c>
      <c r="AB1147" s="61" t="n">
        <f aca="false">L1147</f>
        <v>0</v>
      </c>
      <c r="AC1147" s="61" t="n">
        <f aca="false">VLOOKUP(AB1147,recipe_ingred_list!$K$2:$M$7,3,0)</f>
        <v>2</v>
      </c>
      <c r="AD1147" s="61" t="n">
        <f aca="false">M1147</f>
        <v>4</v>
      </c>
      <c r="AE1147" s="61" t="str">
        <f aca="false">N1147</f>
        <v>ltr</v>
      </c>
      <c r="AF1147" s="61" t="n">
        <f aca="false">VLOOKUP(AE1147,recipe_ingred_list!$K$16:$M$25,3,0)</f>
        <v>1</v>
      </c>
      <c r="AG1147" s="61" t="n">
        <f aca="false">O1147</f>
        <v>0</v>
      </c>
      <c r="AH1147" s="61" t="n">
        <f aca="false">P1147</f>
        <v>0</v>
      </c>
      <c r="AI1147" s="61" t="n">
        <f aca="false">VLOOKUP(AH1147,recipe_ingred_list!$K$29:$M$34,3,0)</f>
        <v>3</v>
      </c>
      <c r="AJ1147" s="61" t="str">
        <f aca="false">IF(Q1147="","",Q1147)</f>
        <v/>
      </c>
      <c r="AK1147" s="61" t="n">
        <f aca="false">AK1146+1</f>
        <v>1147</v>
      </c>
      <c r="AL1147" s="61" t="str">
        <f aca="false">Y1147</f>
        <v>dhaniya patta</v>
      </c>
      <c r="AM1147" s="81" t="str">
        <f aca="false">"a = Client().post('"&amp;W1147&amp;"', {'recipe' : '"&amp;V1147&amp;"', 'ingredient' : '"&amp;Z1147&amp;"', 'name' : '"&amp;X1147&amp;"', 'mass_unit' : '"&amp;AC1147&amp;"', 'mass_quantity' : '"&amp;ROUND(AA1147,3)&amp;"', 'volume_unit' : '"&amp;AF1147&amp;"', 'volume_quantity' : '"&amp;ROUND(AD1147,3)&amp;"', 'pieces_unit' : '"&amp;AI1147&amp;"', 'pieces_quantity' : '"&amp;ROUND(AG1147,3)&amp;"', 'cooking_notes' : '"&amp;AJ1147&amp;"'}).status_code; print('%s :: %s :: %s :: %s :: %s' %(a,"&amp;G1147&amp;",'"&amp;X1147&amp;"','"&amp;Y1147&amp;"','"&amp;U1147&amp;"'))"</f>
        <v>a = Client().post('/recipes/mumbai-bhel/detail/', {'recipe' : '49', 'ingredient' : '66', 'name' : 'dhaniya patta', 'mass_unit' : '2', 'mass_quantity' : '0', 'volume_unit' : '1', 'volume_quantity' : '4', 'pieces_unit' : '3', 'pieces_quantity' : '0', 'cooking_notes' : ''}).status_code; print('%s :: %s :: %s :: %s :: %s' %(a,1147,'dhaniya patta','dhaniya patta','MUMBAI BHEL'))</v>
      </c>
    </row>
    <row r="1148" customFormat="false" ht="13.8" hidden="false" customHeight="false" outlineLevel="0" collapsed="false">
      <c r="G1148" s="80" t="n">
        <v>1148</v>
      </c>
      <c r="H1148" s="83"/>
      <c r="I1148" s="83" t="s">
        <v>256</v>
      </c>
      <c r="J1148" s="83" t="s">
        <v>803</v>
      </c>
      <c r="M1148" s="61" t="n">
        <v>2</v>
      </c>
      <c r="N1148" s="61" t="s">
        <v>13</v>
      </c>
      <c r="R1148" s="82" t="str">
        <f aca="false">VLOOKUP(J1148,ingredient!$N$4:$O$553,2,0)</f>
        <v>kadi patta</v>
      </c>
      <c r="U1148" s="81" t="str">
        <f aca="false">I1148</f>
        <v>MUMBAI BHEL</v>
      </c>
      <c r="V1148" s="81" t="n">
        <f aca="false">VLOOKUP(U1148,recipe_ingred_list!$A$2:$B$300,2,0)</f>
        <v>49</v>
      </c>
      <c r="W1148" s="81" t="str">
        <f aca="false">"/recipes/"&amp;VLOOKUP(U1148,recipe_ingred_list!$A$2:$C$300,3,0)&amp;"/detail/"</f>
        <v>/recipes/mumbai-bhel/detail/</v>
      </c>
      <c r="X1148" s="81" t="str">
        <f aca="false">J1148</f>
        <v>kadipatta</v>
      </c>
      <c r="Y1148" s="81" t="str">
        <f aca="false">R1148</f>
        <v>kadi patta</v>
      </c>
      <c r="Z1148" s="94" t="n">
        <f aca="false">VLOOKUP(Y1148,recipe_ingred_list!$D$2:$E$500,2,0)</f>
        <v>105</v>
      </c>
      <c r="AA1148" s="61" t="n">
        <f aca="false">K1148</f>
        <v>0</v>
      </c>
      <c r="AB1148" s="61" t="n">
        <f aca="false">L1148</f>
        <v>0</v>
      </c>
      <c r="AC1148" s="61" t="n">
        <f aca="false">VLOOKUP(AB1148,recipe_ingred_list!$K$2:$M$7,3,0)</f>
        <v>2</v>
      </c>
      <c r="AD1148" s="61" t="n">
        <f aca="false">M1148</f>
        <v>2</v>
      </c>
      <c r="AE1148" s="61" t="str">
        <f aca="false">N1148</f>
        <v>ltr</v>
      </c>
      <c r="AF1148" s="61" t="n">
        <f aca="false">VLOOKUP(AE1148,recipe_ingred_list!$K$16:$M$25,3,0)</f>
        <v>1</v>
      </c>
      <c r="AG1148" s="61" t="n">
        <f aca="false">O1148</f>
        <v>0</v>
      </c>
      <c r="AH1148" s="61" t="n">
        <f aca="false">P1148</f>
        <v>0</v>
      </c>
      <c r="AI1148" s="61" t="n">
        <f aca="false">VLOOKUP(AH1148,recipe_ingred_list!$K$29:$M$34,3,0)</f>
        <v>3</v>
      </c>
      <c r="AJ1148" s="61" t="str">
        <f aca="false">IF(Q1148="","",Q1148)</f>
        <v/>
      </c>
      <c r="AK1148" s="61" t="n">
        <f aca="false">AK1147+1</f>
        <v>1148</v>
      </c>
      <c r="AL1148" s="61" t="str">
        <f aca="false">Y1148</f>
        <v>kadi patta</v>
      </c>
      <c r="AM1148" s="81" t="str">
        <f aca="false">"a = Client().post('"&amp;W1148&amp;"', {'recipe' : '"&amp;V1148&amp;"', 'ingredient' : '"&amp;Z1148&amp;"', 'name' : '"&amp;X1148&amp;"', 'mass_unit' : '"&amp;AC1148&amp;"', 'mass_quantity' : '"&amp;ROUND(AA1148,3)&amp;"', 'volume_unit' : '"&amp;AF1148&amp;"', 'volume_quantity' : '"&amp;ROUND(AD1148,3)&amp;"', 'pieces_unit' : '"&amp;AI1148&amp;"', 'pieces_quantity' : '"&amp;ROUND(AG1148,3)&amp;"', 'cooking_notes' : '"&amp;AJ1148&amp;"'}).status_code; print('%s :: %s :: %s :: %s :: %s' %(a,"&amp;G1148&amp;",'"&amp;X1148&amp;"','"&amp;Y1148&amp;"','"&amp;U1148&amp;"'))"</f>
        <v>a = Client().post('/recipes/mumbai-bhel/detail/', {'recipe' : '49', 'ingredient' : '105', 'name' : 'kadipatta', 'mass_unit' : '2', 'mass_quantity' : '0', 'volume_unit' : '1', 'volume_quantity' : '2', 'pieces_unit' : '3', 'pieces_quantity' : '0', 'cooking_notes' : ''}).status_code; print('%s :: %s :: %s :: %s :: %s' %(a,1148,'kadipatta','kadi patta','MUMBAI BHEL'))</v>
      </c>
    </row>
    <row r="1149" customFormat="false" ht="13.8" hidden="false" customHeight="false" outlineLevel="0" collapsed="false">
      <c r="G1149" s="80" t="n">
        <v>1149</v>
      </c>
      <c r="H1149" s="83"/>
      <c r="I1149" s="83" t="s">
        <v>256</v>
      </c>
      <c r="J1149" s="83" t="s">
        <v>888</v>
      </c>
      <c r="K1149" s="61" t="n">
        <v>20</v>
      </c>
      <c r="L1149" s="61" t="s">
        <v>7</v>
      </c>
      <c r="R1149" s="82" t="str">
        <f aca="false">VLOOKUP(J1149,ingredient!$N$4:$O$553,2,0)</f>
        <v>kurmura</v>
      </c>
      <c r="U1149" s="81" t="str">
        <f aca="false">I1149</f>
        <v>MUMBAI BHEL</v>
      </c>
      <c r="V1149" s="81" t="n">
        <f aca="false">VLOOKUP(U1149,recipe_ingred_list!$A$2:$B$300,2,0)</f>
        <v>49</v>
      </c>
      <c r="W1149" s="81" t="str">
        <f aca="false">"/recipes/"&amp;VLOOKUP(U1149,recipe_ingred_list!$A$2:$C$300,3,0)&amp;"/detail/"</f>
        <v>/recipes/mumbai-bhel/detail/</v>
      </c>
      <c r="X1149" s="81" t="str">
        <f aca="false">J1149</f>
        <v>KURMURA </v>
      </c>
      <c r="Y1149" s="81" t="str">
        <f aca="false">R1149</f>
        <v>kurmura</v>
      </c>
      <c r="Z1149" s="94" t="n">
        <f aca="false">VLOOKUP(Y1149,recipe_ingred_list!$D$2:$E$500,2,0)</f>
        <v>126</v>
      </c>
      <c r="AA1149" s="61" t="n">
        <f aca="false">K1149</f>
        <v>20</v>
      </c>
      <c r="AB1149" s="61" t="str">
        <f aca="false">L1149</f>
        <v>kg</v>
      </c>
      <c r="AC1149" s="61" t="n">
        <f aca="false">VLOOKUP(AB1149,recipe_ingred_list!$K$2:$M$7,3,0)</f>
        <v>2</v>
      </c>
      <c r="AD1149" s="61" t="n">
        <f aca="false">M1149</f>
        <v>0</v>
      </c>
      <c r="AE1149" s="61" t="n">
        <f aca="false">N1149</f>
        <v>0</v>
      </c>
      <c r="AF1149" s="61" t="n">
        <f aca="false">VLOOKUP(AE1149,recipe_ingred_list!$K$16:$M$25,3,0)</f>
        <v>1</v>
      </c>
      <c r="AG1149" s="61" t="n">
        <f aca="false">O1149</f>
        <v>0</v>
      </c>
      <c r="AH1149" s="61" t="n">
        <f aca="false">P1149</f>
        <v>0</v>
      </c>
      <c r="AI1149" s="61" t="n">
        <f aca="false">VLOOKUP(AH1149,recipe_ingred_list!$K$29:$M$34,3,0)</f>
        <v>3</v>
      </c>
      <c r="AJ1149" s="61" t="str">
        <f aca="false">IF(Q1149="","",Q1149)</f>
        <v/>
      </c>
      <c r="AK1149" s="61" t="n">
        <f aca="false">AK1148+1</f>
        <v>1149</v>
      </c>
      <c r="AL1149" s="61" t="str">
        <f aca="false">Y1149</f>
        <v>kurmura</v>
      </c>
      <c r="AM1149" s="81" t="str">
        <f aca="false">"a = Client().post('"&amp;W1149&amp;"', {'recipe' : '"&amp;V1149&amp;"', 'ingredient' : '"&amp;Z1149&amp;"', 'name' : '"&amp;X1149&amp;"', 'mass_unit' : '"&amp;AC1149&amp;"', 'mass_quantity' : '"&amp;ROUND(AA1149,3)&amp;"', 'volume_unit' : '"&amp;AF1149&amp;"', 'volume_quantity' : '"&amp;ROUND(AD1149,3)&amp;"', 'pieces_unit' : '"&amp;AI1149&amp;"', 'pieces_quantity' : '"&amp;ROUND(AG1149,3)&amp;"', 'cooking_notes' : '"&amp;AJ1149&amp;"'}).status_code; print('%s :: %s :: %s :: %s :: %s' %(a,"&amp;G1149&amp;",'"&amp;X1149&amp;"','"&amp;Y1149&amp;"','"&amp;U1149&amp;"'))"</f>
        <v>a = Client().post('/recipes/mumbai-bhel/detail/', {'recipe' : '49', 'ingredient' : '126', 'name' : 'KURMURA ', 'mass_unit' : '2', 'mass_quantity' : '20', 'volume_unit' : '1', 'volume_quantity' : '0', 'pieces_unit' : '3', 'pieces_quantity' : '0', 'cooking_notes' : ''}).status_code; print('%s :: %s :: %s :: %s :: %s' %(a,1149,'KURMURA ','kurmura','MUMBAI BHEL'))</v>
      </c>
    </row>
    <row r="1150" customFormat="false" ht="13.8" hidden="false" customHeight="false" outlineLevel="0" collapsed="false">
      <c r="G1150" s="80" t="n">
        <v>1150</v>
      </c>
      <c r="H1150" s="83"/>
      <c r="I1150" s="83" t="s">
        <v>256</v>
      </c>
      <c r="J1150" s="83" t="s">
        <v>96</v>
      </c>
      <c r="M1150" s="61" t="n">
        <v>2</v>
      </c>
      <c r="N1150" s="61" t="s">
        <v>20</v>
      </c>
      <c r="R1150" s="82" t="str">
        <f aca="false">VLOOKUP(J1150,ingredient!$N$4:$O$553,2,0)</f>
        <v>salt</v>
      </c>
      <c r="U1150" s="81" t="str">
        <f aca="false">I1150</f>
        <v>MUMBAI BHEL</v>
      </c>
      <c r="V1150" s="81" t="n">
        <f aca="false">VLOOKUP(U1150,recipe_ingred_list!$A$2:$B$300,2,0)</f>
        <v>49</v>
      </c>
      <c r="W1150" s="81" t="str">
        <f aca="false">"/recipes/"&amp;VLOOKUP(U1150,recipe_ingred_list!$A$2:$C$300,3,0)&amp;"/detail/"</f>
        <v>/recipes/mumbai-bhel/detail/</v>
      </c>
      <c r="X1150" s="81" t="str">
        <f aca="false">J1150</f>
        <v>salt</v>
      </c>
      <c r="Y1150" s="81" t="str">
        <f aca="false">R1150</f>
        <v>salt</v>
      </c>
      <c r="Z1150" s="94" t="n">
        <f aca="false">VLOOKUP(Y1150,recipe_ingred_list!$D$2:$E$500,2,0)</f>
        <v>177</v>
      </c>
      <c r="AA1150" s="61" t="n">
        <f aca="false">K1150</f>
        <v>0</v>
      </c>
      <c r="AB1150" s="61" t="n">
        <f aca="false">L1150</f>
        <v>0</v>
      </c>
      <c r="AC1150" s="61" t="n">
        <f aca="false">VLOOKUP(AB1150,recipe_ingred_list!$K$2:$M$7,3,0)</f>
        <v>2</v>
      </c>
      <c r="AD1150" s="61" t="n">
        <f aca="false">M1150</f>
        <v>2</v>
      </c>
      <c r="AE1150" s="61" t="str">
        <f aca="false">N1150</f>
        <v>cup</v>
      </c>
      <c r="AF1150" s="61" t="n">
        <f aca="false">VLOOKUP(AE1150,recipe_ingred_list!$K$16:$M$25,3,0)</f>
        <v>5</v>
      </c>
      <c r="AG1150" s="61" t="n">
        <f aca="false">O1150</f>
        <v>0</v>
      </c>
      <c r="AH1150" s="61" t="n">
        <f aca="false">P1150</f>
        <v>0</v>
      </c>
      <c r="AI1150" s="61" t="n">
        <f aca="false">VLOOKUP(AH1150,recipe_ingred_list!$K$29:$M$34,3,0)</f>
        <v>3</v>
      </c>
      <c r="AJ1150" s="61" t="str">
        <f aca="false">IF(Q1150="","",Q1150)</f>
        <v/>
      </c>
      <c r="AK1150" s="61" t="n">
        <f aca="false">AK1149+1</f>
        <v>1150</v>
      </c>
      <c r="AL1150" s="61" t="str">
        <f aca="false">Y1150</f>
        <v>salt</v>
      </c>
      <c r="AM1150" s="81" t="str">
        <f aca="false">"a = Client().post('"&amp;W1150&amp;"', {'recipe' : '"&amp;V1150&amp;"', 'ingredient' : '"&amp;Z1150&amp;"', 'name' : '"&amp;X1150&amp;"', 'mass_unit' : '"&amp;AC1150&amp;"', 'mass_quantity' : '"&amp;ROUND(AA1150,3)&amp;"', 'volume_unit' : '"&amp;AF1150&amp;"', 'volume_quantity' : '"&amp;ROUND(AD1150,3)&amp;"', 'pieces_unit' : '"&amp;AI1150&amp;"', 'pieces_quantity' : '"&amp;ROUND(AG1150,3)&amp;"', 'cooking_notes' : '"&amp;AJ1150&amp;"'}).status_code; print('%s :: %s :: %s :: %s :: %s' %(a,"&amp;G1150&amp;",'"&amp;X1150&amp;"','"&amp;Y1150&amp;"','"&amp;U1150&amp;"'))"</f>
        <v>a = Client().post('/recipes/mumbai-bhel/detail/', {'recipe' : '49', 'ingredient' : '177', 'name' : 'salt', 'mass_unit' : '2', 'mass_quantity' : '0', 'volume_unit' : '5', 'volume_quantity' : '2', 'pieces_unit' : '3', 'pieces_quantity' : '0', 'cooking_notes' : ''}).status_code; print('%s :: %s :: %s :: %s :: %s' %(a,1150,'salt','salt','MUMBAI BHEL'))</v>
      </c>
    </row>
    <row r="1151" customFormat="false" ht="13.8" hidden="false" customHeight="false" outlineLevel="0" collapsed="false">
      <c r="G1151" s="80" t="n">
        <v>1151</v>
      </c>
      <c r="H1151" s="83"/>
      <c r="I1151" s="83" t="s">
        <v>256</v>
      </c>
      <c r="J1151" s="83" t="s">
        <v>889</v>
      </c>
      <c r="M1151" s="61" t="n">
        <v>2.5</v>
      </c>
      <c r="N1151" s="61" t="s">
        <v>20</v>
      </c>
      <c r="R1151" s="82" t="str">
        <f aca="false">VLOOKUP(J1151,ingredient!$N$4:$O$553,2,0)</f>
        <v>madrasi mirchi powder</v>
      </c>
      <c r="U1151" s="81" t="str">
        <f aca="false">I1151</f>
        <v>MUMBAI BHEL</v>
      </c>
      <c r="V1151" s="81" t="n">
        <f aca="false">VLOOKUP(U1151,recipe_ingred_list!$A$2:$B$300,2,0)</f>
        <v>49</v>
      </c>
      <c r="W1151" s="81" t="str">
        <f aca="false">"/recipes/"&amp;VLOOKUP(U1151,recipe_ingred_list!$A$2:$C$300,3,0)&amp;"/detail/"</f>
        <v>/recipes/mumbai-bhel/detail/</v>
      </c>
      <c r="X1151" s="81" t="str">
        <f aca="false">J1151</f>
        <v>madrasi chilli powder</v>
      </c>
      <c r="Y1151" s="81" t="str">
        <f aca="false">R1151</f>
        <v>madrasi mirchi powder</v>
      </c>
      <c r="Z1151" s="94" t="n">
        <f aca="false">VLOOKUP(Y1151,recipe_ingred_list!$D$2:$E$500,2,0)</f>
        <v>135</v>
      </c>
      <c r="AA1151" s="61" t="n">
        <f aca="false">K1151</f>
        <v>0</v>
      </c>
      <c r="AB1151" s="61" t="n">
        <f aca="false">L1151</f>
        <v>0</v>
      </c>
      <c r="AC1151" s="61" t="n">
        <f aca="false">VLOOKUP(AB1151,recipe_ingred_list!$K$2:$M$7,3,0)</f>
        <v>2</v>
      </c>
      <c r="AD1151" s="61" t="n">
        <f aca="false">M1151</f>
        <v>2.5</v>
      </c>
      <c r="AE1151" s="61" t="str">
        <f aca="false">N1151</f>
        <v>cup</v>
      </c>
      <c r="AF1151" s="61" t="n">
        <f aca="false">VLOOKUP(AE1151,recipe_ingred_list!$K$16:$M$25,3,0)</f>
        <v>5</v>
      </c>
      <c r="AG1151" s="61" t="n">
        <f aca="false">O1151</f>
        <v>0</v>
      </c>
      <c r="AH1151" s="61" t="n">
        <f aca="false">P1151</f>
        <v>0</v>
      </c>
      <c r="AI1151" s="61" t="n">
        <f aca="false">VLOOKUP(AH1151,recipe_ingred_list!$K$29:$M$34,3,0)</f>
        <v>3</v>
      </c>
      <c r="AJ1151" s="61" t="str">
        <f aca="false">IF(Q1151="","",Q1151)</f>
        <v/>
      </c>
      <c r="AK1151" s="61" t="n">
        <f aca="false">AK1150+1</f>
        <v>1151</v>
      </c>
      <c r="AL1151" s="61" t="str">
        <f aca="false">Y1151</f>
        <v>madrasi mirchi powder</v>
      </c>
      <c r="AM1151" s="81" t="str">
        <f aca="false">"a = Client().post('"&amp;W1151&amp;"', {'recipe' : '"&amp;V1151&amp;"', 'ingredient' : '"&amp;Z1151&amp;"', 'name' : '"&amp;X1151&amp;"', 'mass_unit' : '"&amp;AC1151&amp;"', 'mass_quantity' : '"&amp;ROUND(AA1151,3)&amp;"', 'volume_unit' : '"&amp;AF1151&amp;"', 'volume_quantity' : '"&amp;ROUND(AD1151,3)&amp;"', 'pieces_unit' : '"&amp;AI1151&amp;"', 'pieces_quantity' : '"&amp;ROUND(AG1151,3)&amp;"', 'cooking_notes' : '"&amp;AJ1151&amp;"'}).status_code; print('%s :: %s :: %s :: %s :: %s' %(a,"&amp;G1151&amp;",'"&amp;X1151&amp;"','"&amp;Y1151&amp;"','"&amp;U1151&amp;"'))"</f>
        <v>a = Client().post('/recipes/mumbai-bhel/detail/', {'recipe' : '49', 'ingredient' : '135', 'name' : 'madrasi chilli powder', 'mass_unit' : '2', 'mass_quantity' : '0', 'volume_unit' : '5', 'volume_quantity' : '2.5', 'pieces_unit' : '3', 'pieces_quantity' : '0', 'cooking_notes' : ''}).status_code; print('%s :: %s :: %s :: %s :: %s' %(a,1151,'madrasi chilli powder','madrasi mirchi powder','MUMBAI BHEL'))</v>
      </c>
    </row>
    <row r="1152" customFormat="false" ht="13.8" hidden="false" customHeight="false" outlineLevel="0" collapsed="false">
      <c r="G1152" s="80" t="n">
        <v>1152</v>
      </c>
      <c r="H1152" s="83"/>
      <c r="I1152" s="83" t="s">
        <v>256</v>
      </c>
      <c r="J1152" s="83" t="s">
        <v>890</v>
      </c>
      <c r="M1152" s="61" t="n">
        <v>2.5</v>
      </c>
      <c r="N1152" s="61" t="s">
        <v>20</v>
      </c>
      <c r="R1152" s="82" t="str">
        <f aca="false">VLOOKUP(J1152,ingredient!$N$4:$O$553,2,0)</f>
        <v>haldi</v>
      </c>
      <c r="U1152" s="81" t="str">
        <f aca="false">I1152</f>
        <v>MUMBAI BHEL</v>
      </c>
      <c r="V1152" s="81" t="n">
        <f aca="false">VLOOKUP(U1152,recipe_ingred_list!$A$2:$B$300,2,0)</f>
        <v>49</v>
      </c>
      <c r="W1152" s="81" t="str">
        <f aca="false">"/recipes/"&amp;VLOOKUP(U1152,recipe_ingred_list!$A$2:$C$300,3,0)&amp;"/detail/"</f>
        <v>/recipes/mumbai-bhel/detail/</v>
      </c>
      <c r="X1152" s="81" t="str">
        <f aca="false">J1152</f>
        <v>haldi powder</v>
      </c>
      <c r="Y1152" s="81" t="str">
        <f aca="false">R1152</f>
        <v>haldi</v>
      </c>
      <c r="Z1152" s="94" t="n">
        <f aca="false">VLOOKUP(Y1152,recipe_ingred_list!$D$2:$E$500,2,0)</f>
        <v>91</v>
      </c>
      <c r="AA1152" s="61" t="n">
        <f aca="false">K1152</f>
        <v>0</v>
      </c>
      <c r="AB1152" s="61" t="n">
        <f aca="false">L1152</f>
        <v>0</v>
      </c>
      <c r="AC1152" s="61" t="n">
        <f aca="false">VLOOKUP(AB1152,recipe_ingred_list!$K$2:$M$7,3,0)</f>
        <v>2</v>
      </c>
      <c r="AD1152" s="61" t="n">
        <f aca="false">M1152</f>
        <v>2.5</v>
      </c>
      <c r="AE1152" s="61" t="str">
        <f aca="false">N1152</f>
        <v>cup</v>
      </c>
      <c r="AF1152" s="61" t="n">
        <f aca="false">VLOOKUP(AE1152,recipe_ingred_list!$K$16:$M$25,3,0)</f>
        <v>5</v>
      </c>
      <c r="AG1152" s="61" t="n">
        <f aca="false">O1152</f>
        <v>0</v>
      </c>
      <c r="AH1152" s="61" t="n">
        <f aca="false">P1152</f>
        <v>0</v>
      </c>
      <c r="AI1152" s="61" t="n">
        <f aca="false">VLOOKUP(AH1152,recipe_ingred_list!$K$29:$M$34,3,0)</f>
        <v>3</v>
      </c>
      <c r="AJ1152" s="61" t="str">
        <f aca="false">IF(Q1152="","",Q1152)</f>
        <v/>
      </c>
      <c r="AK1152" s="61" t="n">
        <f aca="false">AK1151+1</f>
        <v>1152</v>
      </c>
      <c r="AL1152" s="61" t="str">
        <f aca="false">Y1152</f>
        <v>haldi</v>
      </c>
      <c r="AM1152" s="81" t="str">
        <f aca="false">"a = Client().post('"&amp;W1152&amp;"', {'recipe' : '"&amp;V1152&amp;"', 'ingredient' : '"&amp;Z1152&amp;"', 'name' : '"&amp;X1152&amp;"', 'mass_unit' : '"&amp;AC1152&amp;"', 'mass_quantity' : '"&amp;ROUND(AA1152,3)&amp;"', 'volume_unit' : '"&amp;AF1152&amp;"', 'volume_quantity' : '"&amp;ROUND(AD1152,3)&amp;"', 'pieces_unit' : '"&amp;AI1152&amp;"', 'pieces_quantity' : '"&amp;ROUND(AG1152,3)&amp;"', 'cooking_notes' : '"&amp;AJ1152&amp;"'}).status_code; print('%s :: %s :: %s :: %s :: %s' %(a,"&amp;G1152&amp;",'"&amp;X1152&amp;"','"&amp;Y1152&amp;"','"&amp;U1152&amp;"'))"</f>
        <v>a = Client().post('/recipes/mumbai-bhel/detail/', {'recipe' : '49', 'ingredient' : '91', 'name' : 'haldi powder', 'mass_unit' : '2', 'mass_quantity' : '0', 'volume_unit' : '5', 'volume_quantity' : '2.5', 'pieces_unit' : '3', 'pieces_quantity' : '0', 'cooking_notes' : ''}).status_code; print('%s :: %s :: %s :: %s :: %s' %(a,1152,'haldi powder','haldi','MUMBAI BHEL'))</v>
      </c>
    </row>
    <row r="1153" customFormat="false" ht="13.8" hidden="false" customHeight="false" outlineLevel="0" collapsed="false">
      <c r="G1153" s="80" t="n">
        <v>1153</v>
      </c>
      <c r="H1153" s="83"/>
      <c r="I1153" s="83" t="s">
        <v>256</v>
      </c>
      <c r="J1153" s="83" t="s">
        <v>456</v>
      </c>
      <c r="M1153" s="61" t="n">
        <v>1</v>
      </c>
      <c r="N1153" s="61" t="s">
        <v>20</v>
      </c>
      <c r="R1153" s="82" t="str">
        <f aca="false">VLOOKUP(J1153,ingredient!$N$4:$O$553,2,0)</f>
        <v>rai</v>
      </c>
      <c r="U1153" s="81" t="str">
        <f aca="false">I1153</f>
        <v>MUMBAI BHEL</v>
      </c>
      <c r="V1153" s="81" t="n">
        <f aca="false">VLOOKUP(U1153,recipe_ingred_list!$A$2:$B$300,2,0)</f>
        <v>49</v>
      </c>
      <c r="W1153" s="81" t="str">
        <f aca="false">"/recipes/"&amp;VLOOKUP(U1153,recipe_ingred_list!$A$2:$C$300,3,0)&amp;"/detail/"</f>
        <v>/recipes/mumbai-bhel/detail/</v>
      </c>
      <c r="X1153" s="81" t="str">
        <f aca="false">J1153</f>
        <v>rai</v>
      </c>
      <c r="Y1153" s="81" t="str">
        <f aca="false">R1153</f>
        <v>rai</v>
      </c>
      <c r="Z1153" s="94" t="n">
        <f aca="false">VLOOKUP(Y1153,recipe_ingred_list!$D$2:$E$500,2,0)</f>
        <v>164</v>
      </c>
      <c r="AA1153" s="61" t="n">
        <f aca="false">K1153</f>
        <v>0</v>
      </c>
      <c r="AB1153" s="61" t="n">
        <f aca="false">L1153</f>
        <v>0</v>
      </c>
      <c r="AC1153" s="61" t="n">
        <f aca="false">VLOOKUP(AB1153,recipe_ingred_list!$K$2:$M$7,3,0)</f>
        <v>2</v>
      </c>
      <c r="AD1153" s="61" t="n">
        <f aca="false">M1153</f>
        <v>1</v>
      </c>
      <c r="AE1153" s="61" t="str">
        <f aca="false">N1153</f>
        <v>cup</v>
      </c>
      <c r="AF1153" s="61" t="n">
        <f aca="false">VLOOKUP(AE1153,recipe_ingred_list!$K$16:$M$25,3,0)</f>
        <v>5</v>
      </c>
      <c r="AG1153" s="61" t="n">
        <f aca="false">O1153</f>
        <v>0</v>
      </c>
      <c r="AH1153" s="61" t="n">
        <f aca="false">P1153</f>
        <v>0</v>
      </c>
      <c r="AI1153" s="61" t="n">
        <f aca="false">VLOOKUP(AH1153,recipe_ingred_list!$K$29:$M$34,3,0)</f>
        <v>3</v>
      </c>
      <c r="AJ1153" s="61" t="str">
        <f aca="false">IF(Q1153="","",Q1153)</f>
        <v/>
      </c>
      <c r="AK1153" s="61" t="n">
        <f aca="false">AK1152+1</f>
        <v>1153</v>
      </c>
      <c r="AL1153" s="61" t="str">
        <f aca="false">Y1153</f>
        <v>rai</v>
      </c>
      <c r="AM1153" s="81" t="str">
        <f aca="false">"a = Client().post('"&amp;W1153&amp;"', {'recipe' : '"&amp;V1153&amp;"', 'ingredient' : '"&amp;Z1153&amp;"', 'name' : '"&amp;X1153&amp;"', 'mass_unit' : '"&amp;AC1153&amp;"', 'mass_quantity' : '"&amp;ROUND(AA1153,3)&amp;"', 'volume_unit' : '"&amp;AF1153&amp;"', 'volume_quantity' : '"&amp;ROUND(AD1153,3)&amp;"', 'pieces_unit' : '"&amp;AI1153&amp;"', 'pieces_quantity' : '"&amp;ROUND(AG1153,3)&amp;"', 'cooking_notes' : '"&amp;AJ1153&amp;"'}).status_code; print('%s :: %s :: %s :: %s :: %s' %(a,"&amp;G1153&amp;",'"&amp;X1153&amp;"','"&amp;Y1153&amp;"','"&amp;U1153&amp;"'))"</f>
        <v>a = Client().post('/recipes/mumbai-bhel/detail/', {'recipe' : '49', 'ingredient' : '164', 'name' : 'rai', 'mass_unit' : '2', 'mass_quantity' : '0', 'volume_unit' : '5', 'volume_quantity' : '1', 'pieces_unit' : '3', 'pieces_quantity' : '0', 'cooking_notes' : ''}).status_code; print('%s :: %s :: %s :: %s :: %s' %(a,1153,'rai','rai','MUMBAI BHEL'))</v>
      </c>
    </row>
    <row r="1154" customFormat="false" ht="13.8" hidden="false" customHeight="false" outlineLevel="0" collapsed="false">
      <c r="G1154" s="80" t="n">
        <v>1154</v>
      </c>
      <c r="H1154" s="83"/>
      <c r="I1154" s="83" t="s">
        <v>256</v>
      </c>
      <c r="J1154" s="83" t="s">
        <v>398</v>
      </c>
      <c r="M1154" s="61" t="n">
        <v>2</v>
      </c>
      <c r="N1154" s="61" t="s">
        <v>20</v>
      </c>
      <c r="R1154" s="82" t="str">
        <f aca="false">VLOOKUP(J1154,ingredient!$N$4:$O$553,2,0)</f>
        <v>jeera</v>
      </c>
      <c r="U1154" s="81" t="str">
        <f aca="false">I1154</f>
        <v>MUMBAI BHEL</v>
      </c>
      <c r="V1154" s="81" t="n">
        <f aca="false">VLOOKUP(U1154,recipe_ingred_list!$A$2:$B$300,2,0)</f>
        <v>49</v>
      </c>
      <c r="W1154" s="81" t="str">
        <f aca="false">"/recipes/"&amp;VLOOKUP(U1154,recipe_ingred_list!$A$2:$C$300,3,0)&amp;"/detail/"</f>
        <v>/recipes/mumbai-bhel/detail/</v>
      </c>
      <c r="X1154" s="81" t="str">
        <f aca="false">J1154</f>
        <v>jeera</v>
      </c>
      <c r="Y1154" s="81" t="str">
        <f aca="false">R1154</f>
        <v>jeera</v>
      </c>
      <c r="Z1154" s="94" t="n">
        <f aca="false">VLOOKUP(Y1154,recipe_ingred_list!$D$2:$E$500,2,0)</f>
        <v>102</v>
      </c>
      <c r="AA1154" s="61" t="n">
        <f aca="false">K1154</f>
        <v>0</v>
      </c>
      <c r="AB1154" s="61" t="n">
        <f aca="false">L1154</f>
        <v>0</v>
      </c>
      <c r="AC1154" s="61" t="n">
        <f aca="false">VLOOKUP(AB1154,recipe_ingred_list!$K$2:$M$7,3,0)</f>
        <v>2</v>
      </c>
      <c r="AD1154" s="61" t="n">
        <f aca="false">M1154</f>
        <v>2</v>
      </c>
      <c r="AE1154" s="61" t="str">
        <f aca="false">N1154</f>
        <v>cup</v>
      </c>
      <c r="AF1154" s="61" t="n">
        <f aca="false">VLOOKUP(AE1154,recipe_ingred_list!$K$16:$M$25,3,0)</f>
        <v>5</v>
      </c>
      <c r="AG1154" s="61" t="n">
        <f aca="false">O1154</f>
        <v>0</v>
      </c>
      <c r="AH1154" s="61" t="n">
        <f aca="false">P1154</f>
        <v>0</v>
      </c>
      <c r="AI1154" s="61" t="n">
        <f aca="false">VLOOKUP(AH1154,recipe_ingred_list!$K$29:$M$34,3,0)</f>
        <v>3</v>
      </c>
      <c r="AJ1154" s="61" t="str">
        <f aca="false">IF(Q1154="","",Q1154)</f>
        <v/>
      </c>
      <c r="AK1154" s="61" t="n">
        <f aca="false">AK1153+1</f>
        <v>1154</v>
      </c>
      <c r="AL1154" s="61" t="str">
        <f aca="false">Y1154</f>
        <v>jeera</v>
      </c>
      <c r="AM1154" s="81" t="str">
        <f aca="false">"a = Client().post('"&amp;W1154&amp;"', {'recipe' : '"&amp;V1154&amp;"', 'ingredient' : '"&amp;Z1154&amp;"', 'name' : '"&amp;X1154&amp;"', 'mass_unit' : '"&amp;AC1154&amp;"', 'mass_quantity' : '"&amp;ROUND(AA1154,3)&amp;"', 'volume_unit' : '"&amp;AF1154&amp;"', 'volume_quantity' : '"&amp;ROUND(AD1154,3)&amp;"', 'pieces_unit' : '"&amp;AI1154&amp;"', 'pieces_quantity' : '"&amp;ROUND(AG1154,3)&amp;"', 'cooking_notes' : '"&amp;AJ1154&amp;"'}).status_code; print('%s :: %s :: %s :: %s :: %s' %(a,"&amp;G1154&amp;",'"&amp;X1154&amp;"','"&amp;Y1154&amp;"','"&amp;U1154&amp;"'))"</f>
        <v>a = Client().post('/recipes/mumbai-bhel/detail/', {'recipe' : '49', 'ingredient' : '102', 'name' : 'jeera', 'mass_unit' : '2', 'mass_quantity' : '0', 'volume_unit' : '5', 'volume_quantity' : '2', 'pieces_unit' : '3', 'pieces_quantity' : '0', 'cooking_notes' : ''}).status_code; print('%s :: %s :: %s :: %s :: %s' %(a,1154,'jeera','jeera','MUMBAI BHEL'))</v>
      </c>
    </row>
    <row r="1155" customFormat="false" ht="13.8" hidden="false" customHeight="false" outlineLevel="0" collapsed="false">
      <c r="G1155" s="80" t="n">
        <v>1155</v>
      </c>
      <c r="H1155" s="83"/>
      <c r="I1155" s="83" t="s">
        <v>256</v>
      </c>
      <c r="J1155" s="83" t="s">
        <v>891</v>
      </c>
      <c r="M1155" s="61" t="n">
        <v>1</v>
      </c>
      <c r="N1155" s="61" t="s">
        <v>13</v>
      </c>
      <c r="R1155" s="82" t="str">
        <f aca="false">VLOOKUP(J1155,ingredient!$N$4:$O$553,2,0)</f>
        <v>akkha madrasi mirchi</v>
      </c>
      <c r="U1155" s="81" t="str">
        <f aca="false">I1155</f>
        <v>MUMBAI BHEL</v>
      </c>
      <c r="V1155" s="81" t="n">
        <f aca="false">VLOOKUP(U1155,recipe_ingred_list!$A$2:$B$300,2,0)</f>
        <v>49</v>
      </c>
      <c r="W1155" s="81" t="str">
        <f aca="false">"/recipes/"&amp;VLOOKUP(U1155,recipe_ingred_list!$A$2:$C$300,3,0)&amp;"/detail/"</f>
        <v>/recipes/mumbai-bhel/detail/</v>
      </c>
      <c r="X1155" s="81" t="str">
        <f aca="false">J1155</f>
        <v>akkha madrasi mirh dry </v>
      </c>
      <c r="Y1155" s="81" t="str">
        <f aca="false">R1155</f>
        <v>akkha madrasi mirchi</v>
      </c>
      <c r="Z1155" s="94" t="n">
        <f aca="false">VLOOKUP(Y1155,recipe_ingred_list!$D$2:$E$500,2,0)</f>
        <v>6</v>
      </c>
      <c r="AA1155" s="61" t="n">
        <f aca="false">K1155</f>
        <v>0</v>
      </c>
      <c r="AB1155" s="61" t="n">
        <f aca="false">L1155</f>
        <v>0</v>
      </c>
      <c r="AC1155" s="61" t="n">
        <f aca="false">VLOOKUP(AB1155,recipe_ingred_list!$K$2:$M$7,3,0)</f>
        <v>2</v>
      </c>
      <c r="AD1155" s="61" t="n">
        <f aca="false">M1155</f>
        <v>1</v>
      </c>
      <c r="AE1155" s="61" t="str">
        <f aca="false">N1155</f>
        <v>ltr</v>
      </c>
      <c r="AF1155" s="61" t="n">
        <f aca="false">VLOOKUP(AE1155,recipe_ingred_list!$K$16:$M$25,3,0)</f>
        <v>1</v>
      </c>
      <c r="AG1155" s="61" t="n">
        <f aca="false">O1155</f>
        <v>0</v>
      </c>
      <c r="AH1155" s="61" t="n">
        <f aca="false">P1155</f>
        <v>0</v>
      </c>
      <c r="AI1155" s="61" t="n">
        <f aca="false">VLOOKUP(AH1155,recipe_ingred_list!$K$29:$M$34,3,0)</f>
        <v>3</v>
      </c>
      <c r="AJ1155" s="61" t="str">
        <f aca="false">IF(Q1155="","",Q1155)</f>
        <v/>
      </c>
      <c r="AK1155" s="61" t="n">
        <f aca="false">AK1154+1</f>
        <v>1155</v>
      </c>
      <c r="AL1155" s="61" t="str">
        <f aca="false">Y1155</f>
        <v>akkha madrasi mirchi</v>
      </c>
      <c r="AM1155" s="81" t="str">
        <f aca="false">"a = Client().post('"&amp;W1155&amp;"', {'recipe' : '"&amp;V1155&amp;"', 'ingredient' : '"&amp;Z1155&amp;"', 'name' : '"&amp;X1155&amp;"', 'mass_unit' : '"&amp;AC1155&amp;"', 'mass_quantity' : '"&amp;ROUND(AA1155,3)&amp;"', 'volume_unit' : '"&amp;AF1155&amp;"', 'volume_quantity' : '"&amp;ROUND(AD1155,3)&amp;"', 'pieces_unit' : '"&amp;AI1155&amp;"', 'pieces_quantity' : '"&amp;ROUND(AG1155,3)&amp;"', 'cooking_notes' : '"&amp;AJ1155&amp;"'}).status_code; print('%s :: %s :: %s :: %s :: %s' %(a,"&amp;G1155&amp;",'"&amp;X1155&amp;"','"&amp;Y1155&amp;"','"&amp;U1155&amp;"'))"</f>
        <v>a = Client().post('/recipes/mumbai-bhel/detail/', {'recipe' : '49', 'ingredient' : '6', 'name' : 'akkha madrasi mirh dry ', 'mass_unit' : '2', 'mass_quantity' : '0', 'volume_unit' : '1', 'volume_quantity' : '1', 'pieces_unit' : '3', 'pieces_quantity' : '0', 'cooking_notes' : ''}).status_code; print('%s :: %s :: %s :: %s :: %s' %(a,1155,'akkha madrasi mirh dry ','akkha madrasi mirchi','MUMBAI BHEL'))</v>
      </c>
    </row>
    <row r="1156" customFormat="false" ht="13.8" hidden="false" customHeight="false" outlineLevel="0" collapsed="false">
      <c r="G1156" s="80" t="n">
        <v>1156</v>
      </c>
      <c r="H1156" s="83"/>
      <c r="I1156" s="83" t="s">
        <v>256</v>
      </c>
      <c r="J1156" s="83" t="s">
        <v>839</v>
      </c>
      <c r="M1156" s="61" t="n">
        <v>5</v>
      </c>
      <c r="N1156" s="61" t="s">
        <v>13</v>
      </c>
      <c r="R1156" s="82" t="str">
        <f aca="false">VLOOKUP(J1156,ingredient!$N$4:$O$553,2,0)</f>
        <v>gound nut oil</v>
      </c>
      <c r="U1156" s="81" t="str">
        <f aca="false">I1156</f>
        <v>MUMBAI BHEL</v>
      </c>
      <c r="V1156" s="81" t="n">
        <f aca="false">VLOOKUP(U1156,recipe_ingred_list!$A$2:$B$300,2,0)</f>
        <v>49</v>
      </c>
      <c r="W1156" s="81" t="str">
        <f aca="false">"/recipes/"&amp;VLOOKUP(U1156,recipe_ingred_list!$A$2:$C$300,3,0)&amp;"/detail/"</f>
        <v>/recipes/mumbai-bhel/detail/</v>
      </c>
      <c r="X1156" s="81" t="str">
        <f aca="false">J1156</f>
        <v>oil</v>
      </c>
      <c r="Y1156" s="81" t="str">
        <f aca="false">R1156</f>
        <v>gound nut oil</v>
      </c>
      <c r="Z1156" s="94" t="n">
        <f aca="false">VLOOKUP(Y1156,recipe_ingred_list!$D$2:$E$500,2,0)</f>
        <v>83</v>
      </c>
      <c r="AA1156" s="61" t="n">
        <f aca="false">K1156</f>
        <v>0</v>
      </c>
      <c r="AB1156" s="61" t="n">
        <f aca="false">L1156</f>
        <v>0</v>
      </c>
      <c r="AC1156" s="61" t="n">
        <f aca="false">VLOOKUP(AB1156,recipe_ingred_list!$K$2:$M$7,3,0)</f>
        <v>2</v>
      </c>
      <c r="AD1156" s="61" t="n">
        <f aca="false">M1156</f>
        <v>5</v>
      </c>
      <c r="AE1156" s="61" t="str">
        <f aca="false">N1156</f>
        <v>ltr</v>
      </c>
      <c r="AF1156" s="61" t="n">
        <f aca="false">VLOOKUP(AE1156,recipe_ingred_list!$K$16:$M$25,3,0)</f>
        <v>1</v>
      </c>
      <c r="AG1156" s="61" t="n">
        <f aca="false">O1156</f>
        <v>0</v>
      </c>
      <c r="AH1156" s="61" t="n">
        <f aca="false">P1156</f>
        <v>0</v>
      </c>
      <c r="AI1156" s="61" t="n">
        <f aca="false">VLOOKUP(AH1156,recipe_ingred_list!$K$29:$M$34,3,0)</f>
        <v>3</v>
      </c>
      <c r="AJ1156" s="61" t="str">
        <f aca="false">IF(Q1156="","",Q1156)</f>
        <v/>
      </c>
      <c r="AK1156" s="61" t="n">
        <f aca="false">AK1155+1</f>
        <v>1156</v>
      </c>
      <c r="AL1156" s="61" t="str">
        <f aca="false">Y1156</f>
        <v>gound nut oil</v>
      </c>
      <c r="AM1156" s="81" t="str">
        <f aca="false">"a = Client().post('"&amp;W1156&amp;"', {'recipe' : '"&amp;V1156&amp;"', 'ingredient' : '"&amp;Z1156&amp;"', 'name' : '"&amp;X1156&amp;"', 'mass_unit' : '"&amp;AC1156&amp;"', 'mass_quantity' : '"&amp;ROUND(AA1156,3)&amp;"', 'volume_unit' : '"&amp;AF1156&amp;"', 'volume_quantity' : '"&amp;ROUND(AD1156,3)&amp;"', 'pieces_unit' : '"&amp;AI1156&amp;"', 'pieces_quantity' : '"&amp;ROUND(AG1156,3)&amp;"', 'cooking_notes' : '"&amp;AJ1156&amp;"'}).status_code; print('%s :: %s :: %s :: %s :: %s' %(a,"&amp;G1156&amp;",'"&amp;X1156&amp;"','"&amp;Y1156&amp;"','"&amp;U1156&amp;"'))"</f>
        <v>a = Client().post('/recipes/mumbai-bhel/detail/', {'recipe' : '49', 'ingredient' : '83', 'name' : 'oil', 'mass_unit' : '2', 'mass_quantity' : '0', 'volume_unit' : '1', 'volume_quantity' : '5', 'pieces_unit' : '3', 'pieces_quantity' : '0', 'cooking_notes' : ''}).status_code; print('%s :: %s :: %s :: %s :: %s' %(a,1156,'oil','gound nut oil','MUMBAI BHEL'))</v>
      </c>
    </row>
    <row r="1157" customFormat="false" ht="13.8" hidden="false" customHeight="false" outlineLevel="0" collapsed="false">
      <c r="G1157" s="80" t="n">
        <v>1157</v>
      </c>
      <c r="H1157" s="83"/>
      <c r="I1157" s="83" t="s">
        <v>256</v>
      </c>
      <c r="J1157" s="83" t="s">
        <v>892</v>
      </c>
      <c r="K1157" s="61" t="n">
        <v>4</v>
      </c>
      <c r="L1157" s="61" t="s">
        <v>7</v>
      </c>
      <c r="R1157" s="82" t="str">
        <f aca="false">VLOOKUP(J1157,ingredient!$N$4:$O$553,2,0)</f>
        <v>singdana</v>
      </c>
      <c r="U1157" s="81" t="str">
        <f aca="false">I1157</f>
        <v>MUMBAI BHEL</v>
      </c>
      <c r="V1157" s="81" t="n">
        <f aca="false">VLOOKUP(U1157,recipe_ingred_list!$A$2:$B$300,2,0)</f>
        <v>49</v>
      </c>
      <c r="W1157" s="81" t="str">
        <f aca="false">"/recipes/"&amp;VLOOKUP(U1157,recipe_ingred_list!$A$2:$C$300,3,0)&amp;"/detail/"</f>
        <v>/recipes/mumbai-bhel/detail/</v>
      </c>
      <c r="X1157" s="81" t="str">
        <f aca="false">J1157</f>
        <v> singdana</v>
      </c>
      <c r="Y1157" s="81" t="str">
        <f aca="false">R1157</f>
        <v>singdana</v>
      </c>
      <c r="Z1157" s="94" t="n">
        <f aca="false">VLOOKUP(Y1157,recipe_ingred_list!$D$2:$E$500,2,0)</f>
        <v>183</v>
      </c>
      <c r="AA1157" s="61" t="n">
        <f aca="false">K1157</f>
        <v>4</v>
      </c>
      <c r="AB1157" s="61" t="str">
        <f aca="false">L1157</f>
        <v>kg</v>
      </c>
      <c r="AC1157" s="61" t="n">
        <f aca="false">VLOOKUP(AB1157,recipe_ingred_list!$K$2:$M$7,3,0)</f>
        <v>2</v>
      </c>
      <c r="AD1157" s="61" t="n">
        <f aca="false">M1157</f>
        <v>0</v>
      </c>
      <c r="AE1157" s="61" t="n">
        <f aca="false">N1157</f>
        <v>0</v>
      </c>
      <c r="AF1157" s="61" t="n">
        <f aca="false">VLOOKUP(AE1157,recipe_ingred_list!$K$16:$M$25,3,0)</f>
        <v>1</v>
      </c>
      <c r="AG1157" s="61" t="n">
        <f aca="false">O1157</f>
        <v>0</v>
      </c>
      <c r="AH1157" s="61" t="n">
        <f aca="false">P1157</f>
        <v>0</v>
      </c>
      <c r="AI1157" s="61" t="n">
        <f aca="false">VLOOKUP(AH1157,recipe_ingred_list!$K$29:$M$34,3,0)</f>
        <v>3</v>
      </c>
      <c r="AJ1157" s="61" t="str">
        <f aca="false">IF(Q1157="","",Q1157)</f>
        <v/>
      </c>
      <c r="AK1157" s="61" t="n">
        <f aca="false">AK1156+1</f>
        <v>1157</v>
      </c>
      <c r="AL1157" s="61" t="str">
        <f aca="false">Y1157</f>
        <v>singdana</v>
      </c>
      <c r="AM1157" s="81" t="str">
        <f aca="false">"a = Client().post('"&amp;W1157&amp;"', {'recipe' : '"&amp;V1157&amp;"', 'ingredient' : '"&amp;Z1157&amp;"', 'name' : '"&amp;X1157&amp;"', 'mass_unit' : '"&amp;AC1157&amp;"', 'mass_quantity' : '"&amp;ROUND(AA1157,3)&amp;"', 'volume_unit' : '"&amp;AF1157&amp;"', 'volume_quantity' : '"&amp;ROUND(AD1157,3)&amp;"', 'pieces_unit' : '"&amp;AI1157&amp;"', 'pieces_quantity' : '"&amp;ROUND(AG1157,3)&amp;"', 'cooking_notes' : '"&amp;AJ1157&amp;"'}).status_code; print('%s :: %s :: %s :: %s :: %s' %(a,"&amp;G1157&amp;",'"&amp;X1157&amp;"','"&amp;Y1157&amp;"','"&amp;U1157&amp;"'))"</f>
        <v>a = Client().post('/recipes/mumbai-bhel/detail/', {'recipe' : '49', 'ingredient' : '183', 'name' : ' singdana', 'mass_unit' : '2', 'mass_quantity' : '4', 'volume_unit' : '1', 'volume_quantity' : '0', 'pieces_unit' : '3', 'pieces_quantity' : '0', 'cooking_notes' : ''}).status_code; print('%s :: %s :: %s :: %s :: %s' %(a,1157,' singdana','singdana','MUMBAI BHEL'))</v>
      </c>
    </row>
    <row r="1158" customFormat="false" ht="13.8" hidden="false" customHeight="false" outlineLevel="0" collapsed="false">
      <c r="G1158" s="80" t="n">
        <v>1158</v>
      </c>
      <c r="H1158" s="83"/>
      <c r="I1158" s="83" t="s">
        <v>256</v>
      </c>
      <c r="J1158" s="83" t="s">
        <v>893</v>
      </c>
      <c r="K1158" s="61" t="n">
        <v>2</v>
      </c>
      <c r="L1158" s="61" t="s">
        <v>7</v>
      </c>
      <c r="R1158" s="82" t="str">
        <f aca="false">VLOOKUP(J1158,ingredient!$N$4:$O$553,2,0)</f>
        <v>daliya</v>
      </c>
      <c r="U1158" s="81" t="str">
        <f aca="false">I1158</f>
        <v>MUMBAI BHEL</v>
      </c>
      <c r="V1158" s="81" t="n">
        <f aca="false">VLOOKUP(U1158,recipe_ingred_list!$A$2:$B$300,2,0)</f>
        <v>49</v>
      </c>
      <c r="W1158" s="81" t="str">
        <f aca="false">"/recipes/"&amp;VLOOKUP(U1158,recipe_ingred_list!$A$2:$C$300,3,0)&amp;"/detail/"</f>
        <v>/recipes/mumbai-bhel/detail/</v>
      </c>
      <c r="X1158" s="81" t="str">
        <f aca="false">J1158</f>
        <v>daliya </v>
      </c>
      <c r="Y1158" s="81" t="str">
        <f aca="false">R1158</f>
        <v>daliya</v>
      </c>
      <c r="Z1158" s="94" t="n">
        <f aca="false">VLOOKUP(Y1158,recipe_ingred_list!$D$2:$E$500,2,0)</f>
        <v>62</v>
      </c>
      <c r="AA1158" s="61" t="n">
        <f aca="false">K1158</f>
        <v>2</v>
      </c>
      <c r="AB1158" s="61" t="str">
        <f aca="false">L1158</f>
        <v>kg</v>
      </c>
      <c r="AC1158" s="61" t="n">
        <f aca="false">VLOOKUP(AB1158,recipe_ingred_list!$K$2:$M$7,3,0)</f>
        <v>2</v>
      </c>
      <c r="AD1158" s="61" t="n">
        <f aca="false">M1158</f>
        <v>0</v>
      </c>
      <c r="AE1158" s="61" t="n">
        <f aca="false">N1158</f>
        <v>0</v>
      </c>
      <c r="AF1158" s="61" t="n">
        <f aca="false">VLOOKUP(AE1158,recipe_ingred_list!$K$16:$M$25,3,0)</f>
        <v>1</v>
      </c>
      <c r="AG1158" s="61" t="n">
        <f aca="false">O1158</f>
        <v>0</v>
      </c>
      <c r="AH1158" s="61" t="n">
        <f aca="false">P1158</f>
        <v>0</v>
      </c>
      <c r="AI1158" s="61" t="n">
        <f aca="false">VLOOKUP(AH1158,recipe_ingred_list!$K$29:$M$34,3,0)</f>
        <v>3</v>
      </c>
      <c r="AJ1158" s="61" t="str">
        <f aca="false">IF(Q1158="","",Q1158)</f>
        <v/>
      </c>
      <c r="AK1158" s="61" t="n">
        <f aca="false">AK1157+1</f>
        <v>1158</v>
      </c>
      <c r="AL1158" s="61" t="str">
        <f aca="false">Y1158</f>
        <v>daliya</v>
      </c>
      <c r="AM1158" s="81" t="str">
        <f aca="false">"a = Client().post('"&amp;W1158&amp;"', {'recipe' : '"&amp;V1158&amp;"', 'ingredient' : '"&amp;Z1158&amp;"', 'name' : '"&amp;X1158&amp;"', 'mass_unit' : '"&amp;AC1158&amp;"', 'mass_quantity' : '"&amp;ROUND(AA1158,3)&amp;"', 'volume_unit' : '"&amp;AF1158&amp;"', 'volume_quantity' : '"&amp;ROUND(AD1158,3)&amp;"', 'pieces_unit' : '"&amp;AI1158&amp;"', 'pieces_quantity' : '"&amp;ROUND(AG1158,3)&amp;"', 'cooking_notes' : '"&amp;AJ1158&amp;"'}).status_code; print('%s :: %s :: %s :: %s :: %s' %(a,"&amp;G1158&amp;",'"&amp;X1158&amp;"','"&amp;Y1158&amp;"','"&amp;U1158&amp;"'))"</f>
        <v>a = Client().post('/recipes/mumbai-bhel/detail/', {'recipe' : '49', 'ingredient' : '62', 'name' : 'daliya ', 'mass_unit' : '2', 'mass_quantity' : '2', 'volume_unit' : '1', 'volume_quantity' : '0', 'pieces_unit' : '3', 'pieces_quantity' : '0', 'cooking_notes' : ''}).status_code; print('%s :: %s :: %s :: %s :: %s' %(a,1158,'daliya ','daliya','MUMBAI BHEL'))</v>
      </c>
    </row>
    <row r="1159" customFormat="false" ht="13.8" hidden="false" customHeight="false" outlineLevel="0" collapsed="false">
      <c r="G1159" s="80" t="n">
        <v>1159</v>
      </c>
      <c r="H1159" s="79"/>
      <c r="I1159" s="79" t="s">
        <v>256</v>
      </c>
      <c r="J1159" s="79" t="s">
        <v>894</v>
      </c>
      <c r="K1159" s="100"/>
      <c r="L1159" s="100"/>
      <c r="M1159" s="100"/>
      <c r="N1159" s="100"/>
      <c r="O1159" s="100"/>
      <c r="P1159" s="100"/>
      <c r="Q1159" s="102"/>
      <c r="R1159" s="99" t="str">
        <f aca="false">VLOOKUP(J1159,ingredient!$N$4:$O$553,2,0)</f>
        <v>masala for bhel sabji</v>
      </c>
      <c r="S1159" s="98"/>
      <c r="T1159" s="98"/>
      <c r="U1159" s="81" t="str">
        <f aca="false">I1159</f>
        <v>MUMBAI BHEL</v>
      </c>
      <c r="V1159" s="81" t="n">
        <f aca="false">VLOOKUP(U1159,recipe_ingred_list!$A$2:$B$300,2,0)</f>
        <v>49</v>
      </c>
      <c r="W1159" s="81" t="str">
        <f aca="false">"/recipes/"&amp;VLOOKUP(U1159,recipe_ingred_list!$A$2:$C$300,3,0)&amp;"/detail/"</f>
        <v>/recipes/mumbai-bhel/detail/</v>
      </c>
      <c r="X1159" s="81" t="str">
        <f aca="false">J1159</f>
        <v>MASALA FOR BHEL SABJI</v>
      </c>
      <c r="Y1159" s="81" t="str">
        <f aca="false">R1159</f>
        <v>masala for bhel sabji</v>
      </c>
      <c r="Z1159" s="94" t="n">
        <f aca="false">VLOOKUP(Y1159,recipe_ingred_list!$D$2:$E$500,2,0)</f>
        <v>221</v>
      </c>
      <c r="AA1159" s="61" t="n">
        <f aca="false">K1159</f>
        <v>0</v>
      </c>
      <c r="AB1159" s="61" t="n">
        <f aca="false">L1159</f>
        <v>0</v>
      </c>
      <c r="AC1159" s="61" t="n">
        <f aca="false">VLOOKUP(AB1159,recipe_ingred_list!$K$2:$M$7,3,0)</f>
        <v>2</v>
      </c>
      <c r="AD1159" s="61" t="n">
        <f aca="false">M1159</f>
        <v>0</v>
      </c>
      <c r="AE1159" s="61" t="n">
        <f aca="false">N1159</f>
        <v>0</v>
      </c>
      <c r="AF1159" s="61" t="n">
        <f aca="false">VLOOKUP(AE1159,recipe_ingred_list!$K$16:$M$25,3,0)</f>
        <v>1</v>
      </c>
      <c r="AG1159" s="61" t="n">
        <f aca="false">O1159</f>
        <v>0</v>
      </c>
      <c r="AH1159" s="61" t="n">
        <f aca="false">P1159</f>
        <v>0</v>
      </c>
      <c r="AI1159" s="61" t="n">
        <f aca="false">VLOOKUP(AH1159,recipe_ingred_list!$K$29:$M$34,3,0)</f>
        <v>3</v>
      </c>
      <c r="AJ1159" s="61" t="str">
        <f aca="false">IF(Q1159="","",Q1159)</f>
        <v/>
      </c>
      <c r="AK1159" s="61" t="n">
        <f aca="false">AK1158+1</f>
        <v>1159</v>
      </c>
      <c r="AL1159" s="61" t="str">
        <f aca="false">Y1159</f>
        <v>masala for bhel sabji</v>
      </c>
      <c r="AM1159" s="81" t="str">
        <f aca="false">"a = Client().post('"&amp;W1159&amp;"', {'recipe' : '"&amp;V1159&amp;"', 'ingredient' : '"&amp;Z1159&amp;"', 'name' : '"&amp;X1159&amp;"', 'mass_unit' : '"&amp;AC1159&amp;"', 'mass_quantity' : '"&amp;ROUND(AA1159,3)&amp;"', 'volume_unit' : '"&amp;AF1159&amp;"', 'volume_quantity' : '"&amp;ROUND(AD1159,3)&amp;"', 'pieces_unit' : '"&amp;AI1159&amp;"', 'pieces_quantity' : '"&amp;ROUND(AG1159,3)&amp;"', 'cooking_notes' : '"&amp;AJ1159&amp;"'}).status_code; print('%s :: %s :: %s :: %s :: %s' %(a,"&amp;G1159&amp;",'"&amp;X1159&amp;"','"&amp;Y1159&amp;"','"&amp;U1159&amp;"'))"</f>
        <v>a = Client().post('/recipes/mumbai-bhel/detail/', {'recipe' : '49', 'ingredient' : '221', 'name' : 'MASALA FOR BHEL SABJI', 'mass_unit' : '2', 'mass_quantity' : '0', 'volume_unit' : '1', 'volume_quantity' : '0', 'pieces_unit' : '3', 'pieces_quantity' : '0', 'cooking_notes' : ''}).status_code; print('%s :: %s :: %s :: %s :: %s' %(a,1159,'MASALA FOR BHEL SABJI','masala for bhel sabji','MUMBAI BHEL'))</v>
      </c>
    </row>
    <row r="1160" customFormat="false" ht="13.8" hidden="false" customHeight="false" outlineLevel="0" collapsed="false">
      <c r="G1160" s="80" t="n">
        <v>1160</v>
      </c>
      <c r="H1160" s="83"/>
      <c r="I1160" s="83" t="s">
        <v>256</v>
      </c>
      <c r="J1160" s="83" t="s">
        <v>252</v>
      </c>
      <c r="M1160" s="61" t="n">
        <v>2</v>
      </c>
      <c r="N1160" s="61" t="s">
        <v>20</v>
      </c>
      <c r="R1160" s="82" t="str">
        <f aca="false">VLOOKUP(J1160,ingredient!$N$4:$O$553,2,0)</f>
        <v>chat masala</v>
      </c>
      <c r="U1160" s="81" t="str">
        <f aca="false">I1160</f>
        <v>MUMBAI BHEL</v>
      </c>
      <c r="V1160" s="81" t="n">
        <f aca="false">VLOOKUP(U1160,recipe_ingred_list!$A$2:$B$300,2,0)</f>
        <v>49</v>
      </c>
      <c r="W1160" s="81" t="str">
        <f aca="false">"/recipes/"&amp;VLOOKUP(U1160,recipe_ingred_list!$A$2:$C$300,3,0)&amp;"/detail/"</f>
        <v>/recipes/mumbai-bhel/detail/</v>
      </c>
      <c r="X1160" s="81" t="str">
        <f aca="false">J1160</f>
        <v>chat masala</v>
      </c>
      <c r="Y1160" s="81" t="str">
        <f aca="false">R1160</f>
        <v>chat masala</v>
      </c>
      <c r="Z1160" s="94" t="n">
        <f aca="false">VLOOKUP(Y1160,recipe_ingred_list!$D$2:$E$500,2,0)</f>
        <v>47</v>
      </c>
      <c r="AA1160" s="61" t="n">
        <f aca="false">K1160</f>
        <v>0</v>
      </c>
      <c r="AB1160" s="61" t="n">
        <f aca="false">L1160</f>
        <v>0</v>
      </c>
      <c r="AC1160" s="61" t="n">
        <f aca="false">VLOOKUP(AB1160,recipe_ingred_list!$K$2:$M$7,3,0)</f>
        <v>2</v>
      </c>
      <c r="AD1160" s="61" t="n">
        <f aca="false">M1160</f>
        <v>2</v>
      </c>
      <c r="AE1160" s="61" t="str">
        <f aca="false">N1160</f>
        <v>cup</v>
      </c>
      <c r="AF1160" s="61" t="n">
        <f aca="false">VLOOKUP(AE1160,recipe_ingred_list!$K$16:$M$25,3,0)</f>
        <v>5</v>
      </c>
      <c r="AG1160" s="61" t="n">
        <f aca="false">O1160</f>
        <v>0</v>
      </c>
      <c r="AH1160" s="61" t="n">
        <f aca="false">P1160</f>
        <v>0</v>
      </c>
      <c r="AI1160" s="61" t="n">
        <f aca="false">VLOOKUP(AH1160,recipe_ingred_list!$K$29:$M$34,3,0)</f>
        <v>3</v>
      </c>
      <c r="AJ1160" s="61" t="str">
        <f aca="false">IF(Q1160="","",Q1160)</f>
        <v/>
      </c>
      <c r="AK1160" s="61" t="n">
        <f aca="false">AK1159+1</f>
        <v>1160</v>
      </c>
      <c r="AL1160" s="61" t="str">
        <f aca="false">Y1160</f>
        <v>chat masala</v>
      </c>
      <c r="AM1160" s="81" t="str">
        <f aca="false">"a = Client().post('"&amp;W1160&amp;"', {'recipe' : '"&amp;V1160&amp;"', 'ingredient' : '"&amp;Z1160&amp;"', 'name' : '"&amp;X1160&amp;"', 'mass_unit' : '"&amp;AC1160&amp;"', 'mass_quantity' : '"&amp;ROUND(AA1160,3)&amp;"', 'volume_unit' : '"&amp;AF1160&amp;"', 'volume_quantity' : '"&amp;ROUND(AD1160,3)&amp;"', 'pieces_unit' : '"&amp;AI1160&amp;"', 'pieces_quantity' : '"&amp;ROUND(AG1160,3)&amp;"', 'cooking_notes' : '"&amp;AJ1160&amp;"'}).status_code; print('%s :: %s :: %s :: %s :: %s' %(a,"&amp;G1160&amp;",'"&amp;X1160&amp;"','"&amp;Y1160&amp;"','"&amp;U1160&amp;"'))"</f>
        <v>a = Client().post('/recipes/mumbai-bhel/detail/', {'recipe' : '49', 'ingredient' : '47', 'name' : 'chat masala', 'mass_unit' : '2', 'mass_quantity' : '0', 'volume_unit' : '5', 'volume_quantity' : '2', 'pieces_unit' : '3', 'pieces_quantity' : '0', 'cooking_notes' : ''}).status_code; print('%s :: %s :: %s :: %s :: %s' %(a,1160,'chat masala','chat masala','MUMBAI BHEL'))</v>
      </c>
    </row>
    <row r="1161" customFormat="false" ht="13.8" hidden="false" customHeight="false" outlineLevel="0" collapsed="false">
      <c r="G1161" s="80" t="n">
        <v>1161</v>
      </c>
      <c r="H1161" s="83"/>
      <c r="I1161" s="83" t="s">
        <v>256</v>
      </c>
      <c r="J1161" s="83" t="s">
        <v>865</v>
      </c>
      <c r="M1161" s="61" t="n">
        <v>0.5</v>
      </c>
      <c r="N1161" s="61" t="s">
        <v>20</v>
      </c>
      <c r="R1161" s="82" t="str">
        <f aca="false">VLOOKUP(J1161,ingredient!$N$4:$O$553,2,0)</f>
        <v>salt</v>
      </c>
      <c r="U1161" s="81" t="str">
        <f aca="false">I1161</f>
        <v>MUMBAI BHEL</v>
      </c>
      <c r="V1161" s="81" t="n">
        <f aca="false">VLOOKUP(U1161,recipe_ingred_list!$A$2:$B$300,2,0)</f>
        <v>49</v>
      </c>
      <c r="W1161" s="81" t="str">
        <f aca="false">"/recipes/"&amp;VLOOKUP(U1161,recipe_ingred_list!$A$2:$C$300,3,0)&amp;"/detail/"</f>
        <v>/recipes/mumbai-bhel/detail/</v>
      </c>
      <c r="X1161" s="81" t="str">
        <f aca="false">J1161</f>
        <v>regular salt</v>
      </c>
      <c r="Y1161" s="81" t="str">
        <f aca="false">R1161</f>
        <v>salt</v>
      </c>
      <c r="Z1161" s="94" t="n">
        <f aca="false">VLOOKUP(Y1161,recipe_ingred_list!$D$2:$E$500,2,0)</f>
        <v>177</v>
      </c>
      <c r="AA1161" s="61" t="n">
        <f aca="false">K1161</f>
        <v>0</v>
      </c>
      <c r="AB1161" s="61" t="n">
        <f aca="false">L1161</f>
        <v>0</v>
      </c>
      <c r="AC1161" s="61" t="n">
        <f aca="false">VLOOKUP(AB1161,recipe_ingred_list!$K$2:$M$7,3,0)</f>
        <v>2</v>
      </c>
      <c r="AD1161" s="61" t="n">
        <f aca="false">M1161</f>
        <v>0.5</v>
      </c>
      <c r="AE1161" s="61" t="str">
        <f aca="false">N1161</f>
        <v>cup</v>
      </c>
      <c r="AF1161" s="61" t="n">
        <f aca="false">VLOOKUP(AE1161,recipe_ingred_list!$K$16:$M$25,3,0)</f>
        <v>5</v>
      </c>
      <c r="AG1161" s="61" t="n">
        <f aca="false">O1161</f>
        <v>0</v>
      </c>
      <c r="AH1161" s="61" t="n">
        <f aca="false">P1161</f>
        <v>0</v>
      </c>
      <c r="AI1161" s="61" t="n">
        <f aca="false">VLOOKUP(AH1161,recipe_ingred_list!$K$29:$M$34,3,0)</f>
        <v>3</v>
      </c>
      <c r="AJ1161" s="61" t="str">
        <f aca="false">IF(Q1161="","",Q1161)</f>
        <v/>
      </c>
      <c r="AK1161" s="61" t="n">
        <f aca="false">AK1160+1</f>
        <v>1161</v>
      </c>
      <c r="AL1161" s="61" t="str">
        <f aca="false">Y1161</f>
        <v>salt</v>
      </c>
      <c r="AM1161" s="81" t="str">
        <f aca="false">"a = Client().post('"&amp;W1161&amp;"', {'recipe' : '"&amp;V1161&amp;"', 'ingredient' : '"&amp;Z1161&amp;"', 'name' : '"&amp;X1161&amp;"', 'mass_unit' : '"&amp;AC1161&amp;"', 'mass_quantity' : '"&amp;ROUND(AA1161,3)&amp;"', 'volume_unit' : '"&amp;AF1161&amp;"', 'volume_quantity' : '"&amp;ROUND(AD1161,3)&amp;"', 'pieces_unit' : '"&amp;AI1161&amp;"', 'pieces_quantity' : '"&amp;ROUND(AG1161,3)&amp;"', 'cooking_notes' : '"&amp;AJ1161&amp;"'}).status_code; print('%s :: %s :: %s :: %s :: %s' %(a,"&amp;G1161&amp;",'"&amp;X1161&amp;"','"&amp;Y1161&amp;"','"&amp;U1161&amp;"'))"</f>
        <v>a = Client().post('/recipes/mumbai-bhel/detail/', {'recipe' : '49', 'ingredient' : '177', 'name' : 'regular salt', 'mass_unit' : '2', 'mass_quantity' : '0', 'volume_unit' : '5', 'volume_quantity' : '0.5', 'pieces_unit' : '3', 'pieces_quantity' : '0', 'cooking_notes' : ''}).status_code; print('%s :: %s :: %s :: %s :: %s' %(a,1161,'regular salt','salt','MUMBAI BHEL'))</v>
      </c>
    </row>
    <row r="1162" customFormat="false" ht="13.8" hidden="false" customHeight="false" outlineLevel="0" collapsed="false">
      <c r="G1162" s="80" t="n">
        <v>1162</v>
      </c>
      <c r="H1162" s="83"/>
      <c r="I1162" s="83" t="s">
        <v>256</v>
      </c>
      <c r="J1162" s="83" t="s">
        <v>207</v>
      </c>
      <c r="M1162" s="61" t="n">
        <v>1</v>
      </c>
      <c r="N1162" s="61" t="s">
        <v>20</v>
      </c>
      <c r="R1162" s="82" t="str">
        <f aca="false">VLOOKUP(J1162,ingredient!$N$4:$O$553,2,0)</f>
        <v>black salt</v>
      </c>
      <c r="U1162" s="81" t="str">
        <f aca="false">I1162</f>
        <v>MUMBAI BHEL</v>
      </c>
      <c r="V1162" s="81" t="n">
        <f aca="false">VLOOKUP(U1162,recipe_ingred_list!$A$2:$B$300,2,0)</f>
        <v>49</v>
      </c>
      <c r="W1162" s="81" t="str">
        <f aca="false">"/recipes/"&amp;VLOOKUP(U1162,recipe_ingred_list!$A$2:$C$300,3,0)&amp;"/detail/"</f>
        <v>/recipes/mumbai-bhel/detail/</v>
      </c>
      <c r="X1162" s="81" t="str">
        <f aca="false">J1162</f>
        <v>black salt</v>
      </c>
      <c r="Y1162" s="81" t="str">
        <f aca="false">R1162</f>
        <v>black salt</v>
      </c>
      <c r="Z1162" s="94" t="n">
        <f aca="false">VLOOKUP(Y1162,recipe_ingred_list!$D$2:$E$500,2,0)</f>
        <v>32</v>
      </c>
      <c r="AA1162" s="61" t="n">
        <f aca="false">K1162</f>
        <v>0</v>
      </c>
      <c r="AB1162" s="61" t="n">
        <f aca="false">L1162</f>
        <v>0</v>
      </c>
      <c r="AC1162" s="61" t="n">
        <f aca="false">VLOOKUP(AB1162,recipe_ingred_list!$K$2:$M$7,3,0)</f>
        <v>2</v>
      </c>
      <c r="AD1162" s="61" t="n">
        <f aca="false">M1162</f>
        <v>1</v>
      </c>
      <c r="AE1162" s="61" t="str">
        <f aca="false">N1162</f>
        <v>cup</v>
      </c>
      <c r="AF1162" s="61" t="n">
        <f aca="false">VLOOKUP(AE1162,recipe_ingred_list!$K$16:$M$25,3,0)</f>
        <v>5</v>
      </c>
      <c r="AG1162" s="61" t="n">
        <f aca="false">O1162</f>
        <v>0</v>
      </c>
      <c r="AH1162" s="61" t="n">
        <f aca="false">P1162</f>
        <v>0</v>
      </c>
      <c r="AI1162" s="61" t="n">
        <f aca="false">VLOOKUP(AH1162,recipe_ingred_list!$K$29:$M$34,3,0)</f>
        <v>3</v>
      </c>
      <c r="AJ1162" s="61" t="str">
        <f aca="false">IF(Q1162="","",Q1162)</f>
        <v/>
      </c>
      <c r="AK1162" s="61" t="n">
        <f aca="false">AK1161+1</f>
        <v>1162</v>
      </c>
      <c r="AL1162" s="61" t="str">
        <f aca="false">Y1162</f>
        <v>black salt</v>
      </c>
      <c r="AM1162" s="81" t="str">
        <f aca="false">"a = Client().post('"&amp;W1162&amp;"', {'recipe' : '"&amp;V1162&amp;"', 'ingredient' : '"&amp;Z1162&amp;"', 'name' : '"&amp;X1162&amp;"', 'mass_unit' : '"&amp;AC1162&amp;"', 'mass_quantity' : '"&amp;ROUND(AA1162,3)&amp;"', 'volume_unit' : '"&amp;AF1162&amp;"', 'volume_quantity' : '"&amp;ROUND(AD1162,3)&amp;"', 'pieces_unit' : '"&amp;AI1162&amp;"', 'pieces_quantity' : '"&amp;ROUND(AG1162,3)&amp;"', 'cooking_notes' : '"&amp;AJ1162&amp;"'}).status_code; print('%s :: %s :: %s :: %s :: %s' %(a,"&amp;G1162&amp;",'"&amp;X1162&amp;"','"&amp;Y1162&amp;"','"&amp;U1162&amp;"'))"</f>
        <v>a = Client().post('/recipes/mumbai-bhel/detail/', {'recipe' : '49', 'ingredient' : '32', 'name' : 'black salt', 'mass_unit' : '2', 'mass_quantity' : '0', 'volume_unit' : '5', 'volume_quantity' : '1', 'pieces_unit' : '3', 'pieces_quantity' : '0', 'cooking_notes' : ''}).status_code; print('%s :: %s :: %s :: %s :: %s' %(a,1162,'black salt','black salt','MUMBAI BHEL'))</v>
      </c>
    </row>
    <row r="1163" s="181" customFormat="true" ht="13.8" hidden="false" customHeight="false" outlineLevel="0" collapsed="false">
      <c r="A1163" s="0"/>
      <c r="B1163" s="0"/>
      <c r="C1163" s="0"/>
      <c r="D1163" s="0"/>
      <c r="E1163" s="0"/>
      <c r="F1163" s="0"/>
      <c r="G1163" s="80" t="n">
        <v>1163</v>
      </c>
      <c r="H1163" s="79"/>
      <c r="I1163" s="79"/>
      <c r="J1163" s="79"/>
      <c r="K1163" s="100"/>
      <c r="L1163" s="100"/>
      <c r="M1163" s="100"/>
      <c r="N1163" s="100"/>
      <c r="O1163" s="100"/>
      <c r="P1163" s="100"/>
      <c r="Q1163" s="102"/>
      <c r="R1163" s="99" t="e">
        <f aca="false">VLOOKUP(J1163,ingredient!$N$4:$O$553,2,0)</f>
        <v>#N/A</v>
      </c>
      <c r="S1163" s="98"/>
      <c r="T1163" s="98"/>
      <c r="U1163" s="81" t="n">
        <f aca="false">I1163</f>
        <v>0</v>
      </c>
      <c r="V1163" s="81" t="e">
        <f aca="false">VLOOKUP(U1163,recipe_ingred_list!$A$2:$B$300,2,0)</f>
        <v>#N/A</v>
      </c>
      <c r="W1163" s="81" t="e">
        <f aca="false">"/recipes/"&amp;VLOOKUP(U1163,recipe_ingred_list!$A$2:$C$300,3,0)&amp;"/detail/"</f>
        <v>#N/A</v>
      </c>
      <c r="X1163" s="81" t="n">
        <f aca="false">J1163</f>
        <v>0</v>
      </c>
      <c r="Y1163" s="81" t="e">
        <f aca="false">R1163</f>
        <v>#N/A</v>
      </c>
      <c r="Z1163" s="94" t="e">
        <f aca="false">VLOOKUP(Y1163,recipe_ingred_list!$D$2:$E$500,2,0)</f>
        <v>#N/A</v>
      </c>
      <c r="AA1163" s="61" t="n">
        <f aca="false">K1163</f>
        <v>0</v>
      </c>
      <c r="AB1163" s="61" t="n">
        <f aca="false">L1163</f>
        <v>0</v>
      </c>
      <c r="AC1163" s="61" t="n">
        <f aca="false">VLOOKUP(AB1163,recipe_ingred_list!$K$2:$M$7,3,0)</f>
        <v>2</v>
      </c>
      <c r="AD1163" s="61" t="n">
        <f aca="false">M1163</f>
        <v>0</v>
      </c>
      <c r="AE1163" s="61" t="n">
        <f aca="false">N1163</f>
        <v>0</v>
      </c>
      <c r="AF1163" s="61" t="n">
        <f aca="false">VLOOKUP(AE1163,recipe_ingred_list!$K$16:$M$25,3,0)</f>
        <v>1</v>
      </c>
      <c r="AG1163" s="61" t="n">
        <f aca="false">O1163</f>
        <v>0</v>
      </c>
      <c r="AH1163" s="61" t="n">
        <f aca="false">P1163</f>
        <v>0</v>
      </c>
      <c r="AI1163" s="61" t="n">
        <f aca="false">VLOOKUP(AH1163,recipe_ingred_list!$K$29:$M$34,3,0)</f>
        <v>3</v>
      </c>
      <c r="AJ1163" s="61" t="str">
        <f aca="false">IF(Q1163="","",Q1163)</f>
        <v/>
      </c>
      <c r="AK1163" s="61" t="n">
        <f aca="false">AK1162+1</f>
        <v>1163</v>
      </c>
      <c r="AL1163" s="61" t="e">
        <f aca="false">Y1163</f>
        <v>#N/A</v>
      </c>
      <c r="AM1163" s="81" t="e">
        <f aca="false">"a = Client().post('"&amp;W1163&amp;"', {'recipe' : '"&amp;V1163&amp;"', 'ingredient' : '"&amp;Z1163&amp;"', 'name' : '"&amp;X1163&amp;"', 'mass_unit' : '"&amp;AC1163&amp;"', 'mass_quantity' : '"&amp;ROUND(AA1163,3)&amp;"', 'volume_unit' : '"&amp;AF1163&amp;"', 'volume_quantity' : '"&amp;ROUND(AD1163,3)&amp;"', 'pieces_unit' : '"&amp;AI1163&amp;"', 'pieces_quantity' : '"&amp;ROUND(AG1163,3)&amp;"', 'cooking_notes' : '"&amp;AJ1163&amp;"'}).status_code; print('%s :: %s :: %s :: %s :: %s' %(a,"&amp;G1163&amp;",'"&amp;X1163&amp;"','"&amp;Y1163&amp;"','"&amp;U1163&amp;"'))"</f>
        <v>#N/A</v>
      </c>
      <c r="AMJ1163" s="0"/>
    </row>
    <row r="1164" s="181" customFormat="true" ht="13.8" hidden="false" customHeight="false" outlineLevel="0" collapsed="false">
      <c r="A1164" s="0"/>
      <c r="B1164" s="0"/>
      <c r="C1164" s="0"/>
      <c r="D1164" s="0"/>
      <c r="E1164" s="0"/>
      <c r="F1164" s="0"/>
      <c r="G1164" s="80" t="n">
        <v>1164</v>
      </c>
      <c r="H1164" s="79"/>
      <c r="I1164" s="79"/>
      <c r="J1164" s="79"/>
      <c r="K1164" s="100"/>
      <c r="L1164" s="100"/>
      <c r="M1164" s="100"/>
      <c r="N1164" s="100"/>
      <c r="O1164" s="100"/>
      <c r="P1164" s="100"/>
      <c r="Q1164" s="102"/>
      <c r="R1164" s="99" t="e">
        <f aca="false">VLOOKUP(J1164,ingredient!$N$4:$O$553,2,0)</f>
        <v>#N/A</v>
      </c>
      <c r="S1164" s="98"/>
      <c r="T1164" s="98"/>
      <c r="U1164" s="81" t="n">
        <f aca="false">I1164</f>
        <v>0</v>
      </c>
      <c r="V1164" s="81" t="e">
        <f aca="false">VLOOKUP(U1164,recipe_ingred_list!$A$2:$B$300,2,0)</f>
        <v>#N/A</v>
      </c>
      <c r="W1164" s="81" t="e">
        <f aca="false">"/recipes/"&amp;VLOOKUP(U1164,recipe_ingred_list!$A$2:$C$300,3,0)&amp;"/detail/"</f>
        <v>#N/A</v>
      </c>
      <c r="X1164" s="81" t="n">
        <f aca="false">J1164</f>
        <v>0</v>
      </c>
      <c r="Y1164" s="81" t="e">
        <f aca="false">R1164</f>
        <v>#N/A</v>
      </c>
      <c r="Z1164" s="94" t="e">
        <f aca="false">VLOOKUP(Y1164,recipe_ingred_list!$D$2:$E$500,2,0)</f>
        <v>#N/A</v>
      </c>
      <c r="AA1164" s="61" t="n">
        <f aca="false">K1164</f>
        <v>0</v>
      </c>
      <c r="AB1164" s="61" t="n">
        <f aca="false">L1164</f>
        <v>0</v>
      </c>
      <c r="AC1164" s="61" t="n">
        <f aca="false">VLOOKUP(AB1164,recipe_ingred_list!$K$2:$M$7,3,0)</f>
        <v>2</v>
      </c>
      <c r="AD1164" s="61" t="n">
        <f aca="false">M1164</f>
        <v>0</v>
      </c>
      <c r="AE1164" s="61" t="n">
        <f aca="false">N1164</f>
        <v>0</v>
      </c>
      <c r="AF1164" s="61" t="n">
        <f aca="false">VLOOKUP(AE1164,recipe_ingred_list!$K$16:$M$25,3,0)</f>
        <v>1</v>
      </c>
      <c r="AG1164" s="61" t="n">
        <f aca="false">O1164</f>
        <v>0</v>
      </c>
      <c r="AH1164" s="61" t="n">
        <f aca="false">P1164</f>
        <v>0</v>
      </c>
      <c r="AI1164" s="61" t="n">
        <f aca="false">VLOOKUP(AH1164,recipe_ingred_list!$K$29:$M$34,3,0)</f>
        <v>3</v>
      </c>
      <c r="AJ1164" s="61" t="str">
        <f aca="false">IF(Q1164="","",Q1164)</f>
        <v/>
      </c>
      <c r="AK1164" s="61" t="n">
        <f aca="false">AK1163+1</f>
        <v>1164</v>
      </c>
      <c r="AL1164" s="61" t="e">
        <f aca="false">Y1164</f>
        <v>#N/A</v>
      </c>
      <c r="AM1164" s="81" t="e">
        <f aca="false">"a = Client().post('"&amp;W1164&amp;"', {'recipe' : '"&amp;V1164&amp;"', 'ingredient' : '"&amp;Z1164&amp;"', 'name' : '"&amp;X1164&amp;"', 'mass_unit' : '"&amp;AC1164&amp;"', 'mass_quantity' : '"&amp;ROUND(AA1164,3)&amp;"', 'volume_unit' : '"&amp;AF1164&amp;"', 'volume_quantity' : '"&amp;ROUND(AD1164,3)&amp;"', 'pieces_unit' : '"&amp;AI1164&amp;"', 'pieces_quantity' : '"&amp;ROUND(AG1164,3)&amp;"', 'cooking_notes' : '"&amp;AJ1164&amp;"'}).status_code; print('%s :: %s :: %s :: %s :: %s' %(a,"&amp;G1164&amp;",'"&amp;X1164&amp;"','"&amp;Y1164&amp;"','"&amp;U1164&amp;"'))"</f>
        <v>#N/A</v>
      </c>
      <c r="AMJ1164" s="0"/>
    </row>
    <row r="1165" customFormat="false" ht="13.8" hidden="false" customHeight="false" outlineLevel="0" collapsed="false">
      <c r="G1165" s="80" t="n">
        <v>1165</v>
      </c>
      <c r="H1165" s="83"/>
      <c r="I1165" s="83" t="s">
        <v>187</v>
      </c>
      <c r="J1165" s="83" t="s">
        <v>348</v>
      </c>
      <c r="K1165" s="61" t="n">
        <v>6</v>
      </c>
      <c r="L1165" s="61" t="s">
        <v>7</v>
      </c>
      <c r="R1165" s="82" t="str">
        <f aca="false">VLOOKUP(J1165,ingredient!$N$4:$O$553,2,0)</f>
        <v>gajar</v>
      </c>
      <c r="U1165" s="81" t="str">
        <f aca="false">I1165</f>
        <v>Gauranga fried  Rice</v>
      </c>
      <c r="V1165" s="81" t="n">
        <f aca="false">VLOOKUP(U1165,recipe_ingred_list!$A$2:$B$300,2,0)</f>
        <v>26</v>
      </c>
      <c r="W1165" s="81" t="str">
        <f aca="false">"/recipes/"&amp;VLOOKUP(U1165,recipe_ingred_list!$A$2:$C$300,3,0)&amp;"/detail/"</f>
        <v>/recipes/gauranga-fried-rice/detail/</v>
      </c>
      <c r="X1165" s="81" t="str">
        <f aca="false">J1165</f>
        <v>gajar</v>
      </c>
      <c r="Y1165" s="81" t="str">
        <f aca="false">R1165</f>
        <v>gajar</v>
      </c>
      <c r="Z1165" s="94" t="n">
        <f aca="false">VLOOKUP(Y1165,recipe_ingred_list!$D$2:$E$500,2,0)</f>
        <v>79</v>
      </c>
      <c r="AA1165" s="61" t="n">
        <f aca="false">K1165</f>
        <v>6</v>
      </c>
      <c r="AB1165" s="61" t="str">
        <f aca="false">L1165</f>
        <v>kg</v>
      </c>
      <c r="AC1165" s="61" t="n">
        <f aca="false">VLOOKUP(AB1165,recipe_ingred_list!$K$2:$M$7,3,0)</f>
        <v>2</v>
      </c>
      <c r="AD1165" s="61" t="n">
        <f aca="false">M1165</f>
        <v>0</v>
      </c>
      <c r="AE1165" s="61" t="n">
        <f aca="false">N1165</f>
        <v>0</v>
      </c>
      <c r="AF1165" s="61" t="n">
        <f aca="false">VLOOKUP(AE1165,recipe_ingred_list!$K$16:$M$25,3,0)</f>
        <v>1</v>
      </c>
      <c r="AG1165" s="61" t="n">
        <f aca="false">O1165</f>
        <v>0</v>
      </c>
      <c r="AH1165" s="61" t="n">
        <f aca="false">P1165</f>
        <v>0</v>
      </c>
      <c r="AI1165" s="61" t="n">
        <f aca="false">VLOOKUP(AH1165,recipe_ingred_list!$K$29:$M$34,3,0)</f>
        <v>3</v>
      </c>
      <c r="AJ1165" s="61" t="str">
        <f aca="false">IF(Q1165="","",Q1165)</f>
        <v/>
      </c>
      <c r="AK1165" s="61" t="n">
        <f aca="false">AK1164+1</f>
        <v>1165</v>
      </c>
      <c r="AL1165" s="61" t="str">
        <f aca="false">Y1165</f>
        <v>gajar</v>
      </c>
      <c r="AM1165" s="81" t="str">
        <f aca="false">"a = Client().post('"&amp;W1165&amp;"', {'recipe' : '"&amp;V1165&amp;"', 'ingredient' : '"&amp;Z1165&amp;"', 'name' : '"&amp;X1165&amp;"', 'mass_unit' : '"&amp;AC1165&amp;"', 'mass_quantity' : '"&amp;ROUND(AA1165,3)&amp;"', 'volume_unit' : '"&amp;AF1165&amp;"', 'volume_quantity' : '"&amp;ROUND(AD1165,3)&amp;"', 'pieces_unit' : '"&amp;AI1165&amp;"', 'pieces_quantity' : '"&amp;ROUND(AG1165,3)&amp;"', 'cooking_notes' : '"&amp;AJ1165&amp;"'}).status_code; print('%s :: %s :: %s :: %s :: %s' %(a,"&amp;G1165&amp;",'"&amp;X1165&amp;"','"&amp;Y1165&amp;"','"&amp;U1165&amp;"'))"</f>
        <v>a = Client().post('/recipes/gauranga-fried-rice/detail/', {'recipe' : '26', 'ingredient' : '79', 'name' : 'gajar', 'mass_unit' : '2', 'mass_quantity' : '6', 'volume_unit' : '1', 'volume_quantity' : '0', 'pieces_unit' : '3', 'pieces_quantity' : '0', 'cooking_notes' : ''}).status_code; print('%s :: %s :: %s :: %s :: %s' %(a,1165,'gajar','gajar','Gauranga fried  Rice'))</v>
      </c>
    </row>
    <row r="1166" customFormat="false" ht="13.8" hidden="false" customHeight="false" outlineLevel="0" collapsed="false">
      <c r="G1166" s="80" t="n">
        <v>1166</v>
      </c>
      <c r="H1166" s="83"/>
      <c r="I1166" s="83" t="s">
        <v>187</v>
      </c>
      <c r="J1166" s="83" t="s">
        <v>655</v>
      </c>
      <c r="K1166" s="61" t="n">
        <v>6</v>
      </c>
      <c r="L1166" s="61" t="s">
        <v>7</v>
      </c>
      <c r="R1166" s="82" t="str">
        <f aca="false">VLOOKUP(J1166,ingredient!$N$4:$O$553,2,0)</f>
        <v>beans</v>
      </c>
      <c r="U1166" s="81" t="str">
        <f aca="false">I1166</f>
        <v>Gauranga fried  Rice</v>
      </c>
      <c r="V1166" s="81" t="n">
        <f aca="false">VLOOKUP(U1166,recipe_ingred_list!$A$2:$B$300,2,0)</f>
        <v>26</v>
      </c>
      <c r="W1166" s="81" t="str">
        <f aca="false">"/recipes/"&amp;VLOOKUP(U1166,recipe_ingred_list!$A$2:$C$300,3,0)&amp;"/detail/"</f>
        <v>/recipes/gauranga-fried-rice/detail/</v>
      </c>
      <c r="X1166" s="81" t="str">
        <f aca="false">J1166</f>
        <v>Beans</v>
      </c>
      <c r="Y1166" s="81" t="str">
        <f aca="false">R1166</f>
        <v>beans</v>
      </c>
      <c r="Z1166" s="94" t="n">
        <f aca="false">VLOOKUP(Y1166,recipe_ingred_list!$D$2:$E$500,2,0)</f>
        <v>27</v>
      </c>
      <c r="AA1166" s="61" t="n">
        <f aca="false">K1166</f>
        <v>6</v>
      </c>
      <c r="AB1166" s="61" t="str">
        <f aca="false">L1166</f>
        <v>kg</v>
      </c>
      <c r="AC1166" s="61" t="n">
        <f aca="false">VLOOKUP(AB1166,recipe_ingred_list!$K$2:$M$7,3,0)</f>
        <v>2</v>
      </c>
      <c r="AD1166" s="61" t="n">
        <f aca="false">M1166</f>
        <v>0</v>
      </c>
      <c r="AE1166" s="61" t="n">
        <f aca="false">N1166</f>
        <v>0</v>
      </c>
      <c r="AF1166" s="61" t="n">
        <f aca="false">VLOOKUP(AE1166,recipe_ingred_list!$K$16:$M$25,3,0)</f>
        <v>1</v>
      </c>
      <c r="AG1166" s="61" t="n">
        <f aca="false">O1166</f>
        <v>0</v>
      </c>
      <c r="AH1166" s="61" t="n">
        <f aca="false">P1166</f>
        <v>0</v>
      </c>
      <c r="AI1166" s="61" t="n">
        <f aca="false">VLOOKUP(AH1166,recipe_ingred_list!$K$29:$M$34,3,0)</f>
        <v>3</v>
      </c>
      <c r="AJ1166" s="61" t="str">
        <f aca="false">IF(Q1166="","",Q1166)</f>
        <v/>
      </c>
      <c r="AK1166" s="61" t="n">
        <f aca="false">AK1165+1</f>
        <v>1166</v>
      </c>
      <c r="AL1166" s="61" t="str">
        <f aca="false">Y1166</f>
        <v>beans</v>
      </c>
      <c r="AM1166" s="81" t="str">
        <f aca="false">"a = Client().post('"&amp;W1166&amp;"', {'recipe' : '"&amp;V1166&amp;"', 'ingredient' : '"&amp;Z1166&amp;"', 'name' : '"&amp;X1166&amp;"', 'mass_unit' : '"&amp;AC1166&amp;"', 'mass_quantity' : '"&amp;ROUND(AA1166,3)&amp;"', 'volume_unit' : '"&amp;AF1166&amp;"', 'volume_quantity' : '"&amp;ROUND(AD1166,3)&amp;"', 'pieces_unit' : '"&amp;AI1166&amp;"', 'pieces_quantity' : '"&amp;ROUND(AG1166,3)&amp;"', 'cooking_notes' : '"&amp;AJ1166&amp;"'}).status_code; print('%s :: %s :: %s :: %s :: %s' %(a,"&amp;G1166&amp;",'"&amp;X1166&amp;"','"&amp;Y1166&amp;"','"&amp;U1166&amp;"'))"</f>
        <v>a = Client().post('/recipes/gauranga-fried-rice/detail/', {'recipe' : '26', 'ingredient' : '27', 'name' : 'Beans', 'mass_unit' : '2', 'mass_quantity' : '6', 'volume_unit' : '1', 'volume_quantity' : '0', 'pieces_unit' : '3', 'pieces_quantity' : '0', 'cooking_notes' : ''}).status_code; print('%s :: %s :: %s :: %s :: %s' %(a,1166,'Beans','beans','Gauranga fried  Rice'))</v>
      </c>
    </row>
    <row r="1167" customFormat="false" ht="28.35" hidden="false" customHeight="false" outlineLevel="0" collapsed="false">
      <c r="G1167" s="80" t="n">
        <v>1167</v>
      </c>
      <c r="H1167" s="83"/>
      <c r="I1167" s="83" t="s">
        <v>187</v>
      </c>
      <c r="J1167" s="83" t="s">
        <v>549</v>
      </c>
      <c r="K1167" s="61" t="n">
        <v>6</v>
      </c>
      <c r="L1167" s="61" t="s">
        <v>7</v>
      </c>
      <c r="Q1167" s="84" t="s">
        <v>895</v>
      </c>
      <c r="R1167" s="82" t="str">
        <f aca="false">VLOOKUP(J1167,ingredient!$N$4:$O$553,2,0)</f>
        <v>green peas</v>
      </c>
      <c r="U1167" s="81" t="str">
        <f aca="false">I1167</f>
        <v>Gauranga fried  Rice</v>
      </c>
      <c r="V1167" s="81" t="n">
        <f aca="false">VLOOKUP(U1167,recipe_ingred_list!$A$2:$B$300,2,0)</f>
        <v>26</v>
      </c>
      <c r="W1167" s="81" t="str">
        <f aca="false">"/recipes/"&amp;VLOOKUP(U1167,recipe_ingred_list!$A$2:$C$300,3,0)&amp;"/detail/"</f>
        <v>/recipes/gauranga-fried-rice/detail/</v>
      </c>
      <c r="X1167" s="81" t="str">
        <f aca="false">J1167</f>
        <v>Green peas</v>
      </c>
      <c r="Y1167" s="81" t="str">
        <f aca="false">R1167</f>
        <v>green peas</v>
      </c>
      <c r="Z1167" s="94" t="n">
        <f aca="false">VLOOKUP(Y1167,recipe_ingred_list!$D$2:$E$500,2,0)</f>
        <v>88</v>
      </c>
      <c r="AA1167" s="61" t="n">
        <f aca="false">K1167</f>
        <v>6</v>
      </c>
      <c r="AB1167" s="61" t="str">
        <f aca="false">L1167</f>
        <v>kg</v>
      </c>
      <c r="AC1167" s="61" t="n">
        <f aca="false">VLOOKUP(AB1167,recipe_ingred_list!$K$2:$M$7,3,0)</f>
        <v>2</v>
      </c>
      <c r="AD1167" s="61" t="n">
        <f aca="false">M1167</f>
        <v>0</v>
      </c>
      <c r="AE1167" s="61" t="n">
        <f aca="false">N1167</f>
        <v>0</v>
      </c>
      <c r="AF1167" s="61" t="n">
        <f aca="false">VLOOKUP(AE1167,recipe_ingred_list!$K$16:$M$25,3,0)</f>
        <v>1</v>
      </c>
      <c r="AG1167" s="61" t="n">
        <f aca="false">O1167</f>
        <v>0</v>
      </c>
      <c r="AH1167" s="61" t="n">
        <f aca="false">P1167</f>
        <v>0</v>
      </c>
      <c r="AI1167" s="61" t="n">
        <f aca="false">VLOOKUP(AH1167,recipe_ingred_list!$K$29:$M$34,3,0)</f>
        <v>3</v>
      </c>
      <c r="AJ1167" s="61" t="str">
        <f aca="false">IF(Q1167="","",Q1167)</f>
        <v>note -sabji  given in nxt coloumn are for 25 kg rice,</v>
      </c>
      <c r="AK1167" s="61" t="n">
        <f aca="false">AK1166+1</f>
        <v>1167</v>
      </c>
      <c r="AL1167" s="61" t="str">
        <f aca="false">Y1167</f>
        <v>green peas</v>
      </c>
      <c r="AM1167" s="81" t="str">
        <f aca="false">"a = Client().post('"&amp;W1167&amp;"', {'recipe' : '"&amp;V1167&amp;"', 'ingredient' : '"&amp;Z1167&amp;"', 'name' : '"&amp;X1167&amp;"', 'mass_unit' : '"&amp;AC1167&amp;"', 'mass_quantity' : '"&amp;ROUND(AA1167,3)&amp;"', 'volume_unit' : '"&amp;AF1167&amp;"', 'volume_quantity' : '"&amp;ROUND(AD1167,3)&amp;"', 'pieces_unit' : '"&amp;AI1167&amp;"', 'pieces_quantity' : '"&amp;ROUND(AG1167,3)&amp;"', 'cooking_notes' : '"&amp;AJ1167&amp;"'}).status_code; print('%s :: %s :: %s :: %s :: %s' %(a,"&amp;G1167&amp;",'"&amp;X1167&amp;"','"&amp;Y1167&amp;"','"&amp;U1167&amp;"'))"</f>
        <v>a = Client().post('/recipes/gauranga-fried-rice/detail/', {'recipe' : '26', 'ingredient' : '88', 'name' : 'Green peas', 'mass_unit' : '2', 'mass_quantity' : '6', 'volume_unit' : '1', 'volume_quantity' : '0', 'pieces_unit' : '3', 'pieces_quantity' : '0', 'cooking_notes' : 'note -sabji  given in nxt coloumn are for 25 kg rice,'}).status_code; print('%s :: %s :: %s :: %s :: %s' %(a,1167,'Green peas','green peas','Gauranga fried  Rice'))</v>
      </c>
    </row>
    <row r="1168" customFormat="false" ht="28.35" hidden="false" customHeight="false" outlineLevel="0" collapsed="false">
      <c r="G1168" s="80" t="n">
        <v>1168</v>
      </c>
      <c r="H1168" s="83"/>
      <c r="I1168" s="83" t="s">
        <v>187</v>
      </c>
      <c r="J1168" s="83" t="s">
        <v>896</v>
      </c>
      <c r="M1168" s="61" t="n">
        <v>2</v>
      </c>
      <c r="N1168" s="61" t="s">
        <v>13</v>
      </c>
      <c r="Q1168" s="84" t="s">
        <v>897</v>
      </c>
      <c r="R1168" s="82" t="str">
        <f aca="false">VLOOKUP(J1168,ingredient!$N$4:$O$553,2,0)</f>
        <v>hari mirchi</v>
      </c>
      <c r="U1168" s="81" t="str">
        <f aca="false">I1168</f>
        <v>Gauranga fried  Rice</v>
      </c>
      <c r="V1168" s="81" t="n">
        <f aca="false">VLOOKUP(U1168,recipe_ingred_list!$A$2:$B$300,2,0)</f>
        <v>26</v>
      </c>
      <c r="W1168" s="81" t="str">
        <f aca="false">"/recipes/"&amp;VLOOKUP(U1168,recipe_ingred_list!$A$2:$C$300,3,0)&amp;"/detail/"</f>
        <v>/recipes/gauranga-fried-rice/detail/</v>
      </c>
      <c r="X1168" s="81" t="str">
        <f aca="false">J1168</f>
        <v>green chili </v>
      </c>
      <c r="Y1168" s="81" t="str">
        <f aca="false">R1168</f>
        <v>hari mirchi</v>
      </c>
      <c r="Z1168" s="94" t="n">
        <f aca="false">VLOOKUP(Y1168,recipe_ingred_list!$D$2:$E$500,2,0)</f>
        <v>93</v>
      </c>
      <c r="AA1168" s="61" t="n">
        <f aca="false">K1168</f>
        <v>0</v>
      </c>
      <c r="AB1168" s="61" t="n">
        <f aca="false">L1168</f>
        <v>0</v>
      </c>
      <c r="AC1168" s="61" t="n">
        <f aca="false">VLOOKUP(AB1168,recipe_ingred_list!$K$2:$M$7,3,0)</f>
        <v>2</v>
      </c>
      <c r="AD1168" s="61" t="n">
        <f aca="false">M1168</f>
        <v>2</v>
      </c>
      <c r="AE1168" s="61" t="str">
        <f aca="false">N1168</f>
        <v>ltr</v>
      </c>
      <c r="AF1168" s="61" t="n">
        <f aca="false">VLOOKUP(AE1168,recipe_ingred_list!$K$16:$M$25,3,0)</f>
        <v>1</v>
      </c>
      <c r="AG1168" s="61" t="n">
        <f aca="false">O1168</f>
        <v>0</v>
      </c>
      <c r="AH1168" s="61" t="n">
        <f aca="false">P1168</f>
        <v>0</v>
      </c>
      <c r="AI1168" s="61" t="n">
        <f aca="false">VLOOKUP(AH1168,recipe_ingred_list!$K$29:$M$34,3,0)</f>
        <v>3</v>
      </c>
      <c r="AJ1168" s="61" t="str">
        <f aca="false">IF(Q1168="","",Q1168)</f>
        <v>and masala and grains given in other </v>
      </c>
      <c r="AK1168" s="61" t="n">
        <f aca="false">AK1167+1</f>
        <v>1168</v>
      </c>
      <c r="AL1168" s="61" t="str">
        <f aca="false">Y1168</f>
        <v>hari mirchi</v>
      </c>
      <c r="AM1168" s="81" t="str">
        <f aca="false">"a = Client().post('"&amp;W1168&amp;"', {'recipe' : '"&amp;V1168&amp;"', 'ingredient' : '"&amp;Z1168&amp;"', 'name' : '"&amp;X1168&amp;"', 'mass_unit' : '"&amp;AC1168&amp;"', 'mass_quantity' : '"&amp;ROUND(AA1168,3)&amp;"', 'volume_unit' : '"&amp;AF1168&amp;"', 'volume_quantity' : '"&amp;ROUND(AD1168,3)&amp;"', 'pieces_unit' : '"&amp;AI1168&amp;"', 'pieces_quantity' : '"&amp;ROUND(AG1168,3)&amp;"', 'cooking_notes' : '"&amp;AJ1168&amp;"'}).status_code; print('%s :: %s :: %s :: %s :: %s' %(a,"&amp;G1168&amp;",'"&amp;X1168&amp;"','"&amp;Y1168&amp;"','"&amp;U1168&amp;"'))"</f>
        <v>a = Client().post('/recipes/gauranga-fried-rice/detail/', {'recipe' : '26', 'ingredient' : '93', 'name' : 'green chili ', 'mass_unit' : '2', 'mass_quantity' : '0', 'volume_unit' : '1', 'volume_quantity' : '2', 'pieces_unit' : '3', 'pieces_quantity' : '0', 'cooking_notes' : 'and masala and grains given in other '}).status_code; print('%s :: %s :: %s :: %s :: %s' %(a,1168,'green chili ','hari mirchi','Gauranga fried  Rice'))</v>
      </c>
    </row>
    <row r="1169" customFormat="false" ht="28.35" hidden="false" customHeight="false" outlineLevel="0" collapsed="false">
      <c r="G1169" s="80" t="n">
        <v>1169</v>
      </c>
      <c r="H1169" s="83"/>
      <c r="I1169" s="83" t="s">
        <v>187</v>
      </c>
      <c r="J1169" s="83" t="s">
        <v>102</v>
      </c>
      <c r="M1169" s="61" t="n">
        <v>2</v>
      </c>
      <c r="N1169" s="61" t="s">
        <v>13</v>
      </c>
      <c r="Q1169" s="84" t="s">
        <v>898</v>
      </c>
      <c r="R1169" s="82" t="str">
        <f aca="false">VLOOKUP(J1169,ingredient!$N$4:$O$553,2,0)</f>
        <v>adrak</v>
      </c>
      <c r="U1169" s="81" t="str">
        <f aca="false">I1169</f>
        <v>Gauranga fried  Rice</v>
      </c>
      <c r="V1169" s="81" t="n">
        <f aca="false">VLOOKUP(U1169,recipe_ingred_list!$A$2:$B$300,2,0)</f>
        <v>26</v>
      </c>
      <c r="W1169" s="81" t="str">
        <f aca="false">"/recipes/"&amp;VLOOKUP(U1169,recipe_ingred_list!$A$2:$C$300,3,0)&amp;"/detail/"</f>
        <v>/recipes/gauranga-fried-rice/detail/</v>
      </c>
      <c r="X1169" s="81" t="str">
        <f aca="false">J1169</f>
        <v>adrak</v>
      </c>
      <c r="Y1169" s="81" t="str">
        <f aca="false">R1169</f>
        <v>adrak</v>
      </c>
      <c r="Z1169" s="94" t="n">
        <f aca="false">VLOOKUP(Y1169,recipe_ingred_list!$D$2:$E$500,2,0)</f>
        <v>1</v>
      </c>
      <c r="AA1169" s="61" t="n">
        <f aca="false">K1169</f>
        <v>0</v>
      </c>
      <c r="AB1169" s="61" t="n">
        <f aca="false">L1169</f>
        <v>0</v>
      </c>
      <c r="AC1169" s="61" t="n">
        <f aca="false">VLOOKUP(AB1169,recipe_ingred_list!$K$2:$M$7,3,0)</f>
        <v>2</v>
      </c>
      <c r="AD1169" s="61" t="n">
        <f aca="false">M1169</f>
        <v>2</v>
      </c>
      <c r="AE1169" s="61" t="str">
        <f aca="false">N1169</f>
        <v>ltr</v>
      </c>
      <c r="AF1169" s="61" t="n">
        <f aca="false">VLOOKUP(AE1169,recipe_ingred_list!$K$16:$M$25,3,0)</f>
        <v>1</v>
      </c>
      <c r="AG1169" s="61" t="n">
        <f aca="false">O1169</f>
        <v>0</v>
      </c>
      <c r="AH1169" s="61" t="n">
        <f aca="false">P1169</f>
        <v>0</v>
      </c>
      <c r="AI1169" s="61" t="n">
        <f aca="false">VLOOKUP(AH1169,recipe_ingred_list!$K$29:$M$34,3,0)</f>
        <v>3</v>
      </c>
      <c r="AJ1169" s="61" t="str">
        <f aca="false">IF(Q1169="","",Q1169)</f>
        <v>coloumn are for 6.25 kg  and 4.25 kg rice</v>
      </c>
      <c r="AK1169" s="61" t="n">
        <f aca="false">AK1168+1</f>
        <v>1169</v>
      </c>
      <c r="AL1169" s="61" t="str">
        <f aca="false">Y1169</f>
        <v>adrak</v>
      </c>
      <c r="AM1169" s="81" t="str">
        <f aca="false">"a = Client().post('"&amp;W1169&amp;"', {'recipe' : '"&amp;V1169&amp;"', 'ingredient' : '"&amp;Z1169&amp;"', 'name' : '"&amp;X1169&amp;"', 'mass_unit' : '"&amp;AC1169&amp;"', 'mass_quantity' : '"&amp;ROUND(AA1169,3)&amp;"', 'volume_unit' : '"&amp;AF1169&amp;"', 'volume_quantity' : '"&amp;ROUND(AD1169,3)&amp;"', 'pieces_unit' : '"&amp;AI1169&amp;"', 'pieces_quantity' : '"&amp;ROUND(AG1169,3)&amp;"', 'cooking_notes' : '"&amp;AJ1169&amp;"'}).status_code; print('%s :: %s :: %s :: %s :: %s' %(a,"&amp;G1169&amp;",'"&amp;X1169&amp;"','"&amp;Y1169&amp;"','"&amp;U1169&amp;"'))"</f>
        <v>a = Client().post('/recipes/gauranga-fried-rice/detail/', {'recipe' : '26', 'ingredient' : '1', 'name' : 'adrak', 'mass_unit' : '2', 'mass_quantity' : '0', 'volume_unit' : '1', 'volume_quantity' : '2', 'pieces_unit' : '3', 'pieces_quantity' : '0', 'cooking_notes' : 'coloumn are for 6.25 kg  and 4.25 kg rice'}).status_code; print('%s :: %s :: %s :: %s :: %s' %(a,1169,'adrak','adrak','Gauranga fried  Rice'))</v>
      </c>
    </row>
    <row r="1170" customFormat="false" ht="13.8" hidden="false" customHeight="false" outlineLevel="0" collapsed="false">
      <c r="G1170" s="80" t="n">
        <v>1170</v>
      </c>
      <c r="H1170" s="83"/>
      <c r="I1170" s="83" t="s">
        <v>187</v>
      </c>
      <c r="J1170" s="83" t="s">
        <v>803</v>
      </c>
      <c r="M1170" s="61" t="n">
        <v>2</v>
      </c>
      <c r="N1170" s="61" t="s">
        <v>13</v>
      </c>
      <c r="R1170" s="82" t="str">
        <f aca="false">VLOOKUP(J1170,ingredient!$N$4:$O$553,2,0)</f>
        <v>kadi patta</v>
      </c>
      <c r="U1170" s="81" t="str">
        <f aca="false">I1170</f>
        <v>Gauranga fried  Rice</v>
      </c>
      <c r="V1170" s="81" t="n">
        <f aca="false">VLOOKUP(U1170,recipe_ingred_list!$A$2:$B$300,2,0)</f>
        <v>26</v>
      </c>
      <c r="W1170" s="81" t="str">
        <f aca="false">"/recipes/"&amp;VLOOKUP(U1170,recipe_ingred_list!$A$2:$C$300,3,0)&amp;"/detail/"</f>
        <v>/recipes/gauranga-fried-rice/detail/</v>
      </c>
      <c r="X1170" s="81" t="str">
        <f aca="false">J1170</f>
        <v>kadipatta</v>
      </c>
      <c r="Y1170" s="81" t="str">
        <f aca="false">R1170</f>
        <v>kadi patta</v>
      </c>
      <c r="Z1170" s="94" t="n">
        <f aca="false">VLOOKUP(Y1170,recipe_ingred_list!$D$2:$E$500,2,0)</f>
        <v>105</v>
      </c>
      <c r="AA1170" s="61" t="n">
        <f aca="false">K1170</f>
        <v>0</v>
      </c>
      <c r="AB1170" s="61" t="n">
        <f aca="false">L1170</f>
        <v>0</v>
      </c>
      <c r="AC1170" s="61" t="n">
        <f aca="false">VLOOKUP(AB1170,recipe_ingred_list!$K$2:$M$7,3,0)</f>
        <v>2</v>
      </c>
      <c r="AD1170" s="61" t="n">
        <f aca="false">M1170</f>
        <v>2</v>
      </c>
      <c r="AE1170" s="61" t="str">
        <f aca="false">N1170</f>
        <v>ltr</v>
      </c>
      <c r="AF1170" s="61" t="n">
        <f aca="false">VLOOKUP(AE1170,recipe_ingred_list!$K$16:$M$25,3,0)</f>
        <v>1</v>
      </c>
      <c r="AG1170" s="61" t="n">
        <f aca="false">O1170</f>
        <v>0</v>
      </c>
      <c r="AH1170" s="61" t="n">
        <f aca="false">P1170</f>
        <v>0</v>
      </c>
      <c r="AI1170" s="61" t="n">
        <f aca="false">VLOOKUP(AH1170,recipe_ingred_list!$K$29:$M$34,3,0)</f>
        <v>3</v>
      </c>
      <c r="AJ1170" s="61" t="str">
        <f aca="false">IF(Q1170="","",Q1170)</f>
        <v/>
      </c>
      <c r="AK1170" s="61" t="n">
        <f aca="false">AK1169+1</f>
        <v>1170</v>
      </c>
      <c r="AL1170" s="61" t="str">
        <f aca="false">Y1170</f>
        <v>kadi patta</v>
      </c>
      <c r="AM1170" s="81" t="str">
        <f aca="false">"a = Client().post('"&amp;W1170&amp;"', {'recipe' : '"&amp;V1170&amp;"', 'ingredient' : '"&amp;Z1170&amp;"', 'name' : '"&amp;X1170&amp;"', 'mass_unit' : '"&amp;AC1170&amp;"', 'mass_quantity' : '"&amp;ROUND(AA1170,3)&amp;"', 'volume_unit' : '"&amp;AF1170&amp;"', 'volume_quantity' : '"&amp;ROUND(AD1170,3)&amp;"', 'pieces_unit' : '"&amp;AI1170&amp;"', 'pieces_quantity' : '"&amp;ROUND(AG1170,3)&amp;"', 'cooking_notes' : '"&amp;AJ1170&amp;"'}).status_code; print('%s :: %s :: %s :: %s :: %s' %(a,"&amp;G1170&amp;",'"&amp;X1170&amp;"','"&amp;Y1170&amp;"','"&amp;U1170&amp;"'))"</f>
        <v>a = Client().post('/recipes/gauranga-fried-rice/detail/', {'recipe' : '26', 'ingredient' : '105', 'name' : 'kadipatta', 'mass_unit' : '2', 'mass_quantity' : '0', 'volume_unit' : '1', 'volume_quantity' : '2', 'pieces_unit' : '3', 'pieces_quantity' : '0', 'cooking_notes' : ''}).status_code; print('%s :: %s :: %s :: %s :: %s' %(a,1170,'kadipatta','kadi patta','Gauranga fried  Rice'))</v>
      </c>
    </row>
    <row r="1171" customFormat="false" ht="13.8" hidden="false" customHeight="false" outlineLevel="0" collapsed="false">
      <c r="G1171" s="80" t="n">
        <v>1171</v>
      </c>
      <c r="H1171" s="83"/>
      <c r="I1171" s="83" t="s">
        <v>187</v>
      </c>
      <c r="J1171" s="83" t="s">
        <v>485</v>
      </c>
      <c r="K1171" s="61" t="n">
        <v>6</v>
      </c>
      <c r="L1171" s="61" t="s">
        <v>7</v>
      </c>
      <c r="R1171" s="82" t="str">
        <f aca="false">VLOOKUP(J1171,ingredient!$N$4:$O$553,2,0)</f>
        <v>tomato</v>
      </c>
      <c r="U1171" s="81" t="str">
        <f aca="false">I1171</f>
        <v>Gauranga fried  Rice</v>
      </c>
      <c r="V1171" s="81" t="n">
        <f aca="false">VLOOKUP(U1171,recipe_ingred_list!$A$2:$B$300,2,0)</f>
        <v>26</v>
      </c>
      <c r="W1171" s="81" t="str">
        <f aca="false">"/recipes/"&amp;VLOOKUP(U1171,recipe_ingred_list!$A$2:$C$300,3,0)&amp;"/detail/"</f>
        <v>/recipes/gauranga-fried-rice/detail/</v>
      </c>
      <c r="X1171" s="81" t="str">
        <f aca="false">J1171</f>
        <v>tomato</v>
      </c>
      <c r="Y1171" s="81" t="str">
        <f aca="false">R1171</f>
        <v>tomato</v>
      </c>
      <c r="Z1171" s="94" t="n">
        <f aca="false">VLOOKUP(Y1171,recipe_ingred_list!$D$2:$E$500,2,0)</f>
        <v>195</v>
      </c>
      <c r="AA1171" s="61" t="n">
        <f aca="false">K1171</f>
        <v>6</v>
      </c>
      <c r="AB1171" s="61" t="str">
        <f aca="false">L1171</f>
        <v>kg</v>
      </c>
      <c r="AC1171" s="61" t="n">
        <f aca="false">VLOOKUP(AB1171,recipe_ingred_list!$K$2:$M$7,3,0)</f>
        <v>2</v>
      </c>
      <c r="AD1171" s="61" t="n">
        <f aca="false">M1171</f>
        <v>0</v>
      </c>
      <c r="AE1171" s="61" t="n">
        <f aca="false">N1171</f>
        <v>0</v>
      </c>
      <c r="AF1171" s="61" t="n">
        <f aca="false">VLOOKUP(AE1171,recipe_ingred_list!$K$16:$M$25,3,0)</f>
        <v>1</v>
      </c>
      <c r="AG1171" s="61" t="n">
        <f aca="false">O1171</f>
        <v>0</v>
      </c>
      <c r="AH1171" s="61" t="n">
        <f aca="false">P1171</f>
        <v>0</v>
      </c>
      <c r="AI1171" s="61" t="n">
        <f aca="false">VLOOKUP(AH1171,recipe_ingred_list!$K$29:$M$34,3,0)</f>
        <v>3</v>
      </c>
      <c r="AJ1171" s="61" t="str">
        <f aca="false">IF(Q1171="","",Q1171)</f>
        <v/>
      </c>
      <c r="AK1171" s="61" t="n">
        <f aca="false">AK1170+1</f>
        <v>1171</v>
      </c>
      <c r="AL1171" s="61" t="str">
        <f aca="false">Y1171</f>
        <v>tomato</v>
      </c>
      <c r="AM1171" s="81" t="str">
        <f aca="false">"a = Client().post('"&amp;W1171&amp;"', {'recipe' : '"&amp;V1171&amp;"', 'ingredient' : '"&amp;Z1171&amp;"', 'name' : '"&amp;X1171&amp;"', 'mass_unit' : '"&amp;AC1171&amp;"', 'mass_quantity' : '"&amp;ROUND(AA1171,3)&amp;"', 'volume_unit' : '"&amp;AF1171&amp;"', 'volume_quantity' : '"&amp;ROUND(AD1171,3)&amp;"', 'pieces_unit' : '"&amp;AI1171&amp;"', 'pieces_quantity' : '"&amp;ROUND(AG1171,3)&amp;"', 'cooking_notes' : '"&amp;AJ1171&amp;"'}).status_code; print('%s :: %s :: %s :: %s :: %s' %(a,"&amp;G1171&amp;",'"&amp;X1171&amp;"','"&amp;Y1171&amp;"','"&amp;U1171&amp;"'))"</f>
        <v>a = Client().post('/recipes/gauranga-fried-rice/detail/', {'recipe' : '26', 'ingredient' : '195', 'name' : 'tomato', 'mass_unit' : '2', 'mass_quantity' : '6', 'volume_unit' : '1', 'volume_quantity' : '0', 'pieces_unit' : '3', 'pieces_quantity' : '0', 'cooking_notes' : ''}).status_code; print('%s :: %s :: %s :: %s :: %s' %(a,1171,'tomato','tomato','Gauranga fried  Rice'))</v>
      </c>
    </row>
    <row r="1172" customFormat="false" ht="13.8" hidden="false" customHeight="false" outlineLevel="0" collapsed="false">
      <c r="G1172" s="80" t="n">
        <v>1172</v>
      </c>
      <c r="H1172" s="83"/>
      <c r="I1172" s="83" t="s">
        <v>187</v>
      </c>
      <c r="J1172" s="83" t="s">
        <v>309</v>
      </c>
      <c r="M1172" s="61" t="n">
        <v>5</v>
      </c>
      <c r="N1172" s="61" t="s">
        <v>13</v>
      </c>
      <c r="R1172" s="82" t="str">
        <f aca="false">VLOOKUP(J1172,ingredient!$N$4:$O$553,2,0)</f>
        <v>dhaniya patta</v>
      </c>
      <c r="U1172" s="81" t="str">
        <f aca="false">I1172</f>
        <v>Gauranga fried  Rice</v>
      </c>
      <c r="V1172" s="81" t="n">
        <f aca="false">VLOOKUP(U1172,recipe_ingred_list!$A$2:$B$300,2,0)</f>
        <v>26</v>
      </c>
      <c r="W1172" s="81" t="str">
        <f aca="false">"/recipes/"&amp;VLOOKUP(U1172,recipe_ingred_list!$A$2:$C$300,3,0)&amp;"/detail/"</f>
        <v>/recipes/gauranga-fried-rice/detail/</v>
      </c>
      <c r="X1172" s="81" t="str">
        <f aca="false">J1172</f>
        <v>dhaniya patta</v>
      </c>
      <c r="Y1172" s="81" t="str">
        <f aca="false">R1172</f>
        <v>dhaniya patta</v>
      </c>
      <c r="Z1172" s="94" t="n">
        <f aca="false">VLOOKUP(Y1172,recipe_ingred_list!$D$2:$E$500,2,0)</f>
        <v>66</v>
      </c>
      <c r="AA1172" s="61" t="n">
        <f aca="false">K1172</f>
        <v>0</v>
      </c>
      <c r="AB1172" s="61" t="n">
        <f aca="false">L1172</f>
        <v>0</v>
      </c>
      <c r="AC1172" s="61" t="n">
        <f aca="false">VLOOKUP(AB1172,recipe_ingred_list!$K$2:$M$7,3,0)</f>
        <v>2</v>
      </c>
      <c r="AD1172" s="61" t="n">
        <f aca="false">M1172</f>
        <v>5</v>
      </c>
      <c r="AE1172" s="61" t="str">
        <f aca="false">N1172</f>
        <v>ltr</v>
      </c>
      <c r="AF1172" s="61" t="n">
        <f aca="false">VLOOKUP(AE1172,recipe_ingred_list!$K$16:$M$25,3,0)</f>
        <v>1</v>
      </c>
      <c r="AG1172" s="61" t="n">
        <f aca="false">O1172</f>
        <v>0</v>
      </c>
      <c r="AH1172" s="61" t="n">
        <f aca="false">P1172</f>
        <v>0</v>
      </c>
      <c r="AI1172" s="61" t="n">
        <f aca="false">VLOOKUP(AH1172,recipe_ingred_list!$K$29:$M$34,3,0)</f>
        <v>3</v>
      </c>
      <c r="AJ1172" s="61" t="str">
        <f aca="false">IF(Q1172="","",Q1172)</f>
        <v/>
      </c>
      <c r="AK1172" s="61" t="n">
        <f aca="false">AK1171+1</f>
        <v>1172</v>
      </c>
      <c r="AL1172" s="61" t="str">
        <f aca="false">Y1172</f>
        <v>dhaniya patta</v>
      </c>
      <c r="AM1172" s="81" t="str">
        <f aca="false">"a = Client().post('"&amp;W1172&amp;"', {'recipe' : '"&amp;V1172&amp;"', 'ingredient' : '"&amp;Z1172&amp;"', 'name' : '"&amp;X1172&amp;"', 'mass_unit' : '"&amp;AC1172&amp;"', 'mass_quantity' : '"&amp;ROUND(AA1172,3)&amp;"', 'volume_unit' : '"&amp;AF1172&amp;"', 'volume_quantity' : '"&amp;ROUND(AD1172,3)&amp;"', 'pieces_unit' : '"&amp;AI1172&amp;"', 'pieces_quantity' : '"&amp;ROUND(AG1172,3)&amp;"', 'cooking_notes' : '"&amp;AJ1172&amp;"'}).status_code; print('%s :: %s :: %s :: %s :: %s' %(a,"&amp;G1172&amp;",'"&amp;X1172&amp;"','"&amp;Y1172&amp;"','"&amp;U1172&amp;"'))"</f>
        <v>a = Client().post('/recipes/gauranga-fried-rice/detail/', {'recipe' : '26', 'ingredient' : '66', 'name' : 'dhaniya patta', 'mass_unit' : '2', 'mass_quantity' : '0', 'volume_unit' : '1', 'volume_quantity' : '5', 'pieces_unit' : '3', 'pieces_quantity' : '0', 'cooking_notes' : ''}).status_code; print('%s :: %s :: %s :: %s :: %s' %(a,1172,'dhaniya patta','dhaniya patta','Gauranga fried  Rice'))</v>
      </c>
    </row>
    <row r="1173" customFormat="false" ht="28.35" hidden="false" customHeight="false" outlineLevel="0" collapsed="false">
      <c r="G1173" s="80" t="n">
        <v>1173</v>
      </c>
      <c r="H1173" s="83"/>
      <c r="I1173" s="83" t="s">
        <v>187</v>
      </c>
      <c r="J1173" s="83" t="s">
        <v>899</v>
      </c>
      <c r="M1173" s="61" t="n">
        <v>1.5</v>
      </c>
      <c r="N1173" s="61" t="s">
        <v>13</v>
      </c>
      <c r="Q1173" s="84" t="s">
        <v>900</v>
      </c>
      <c r="R1173" s="82" t="str">
        <f aca="false">VLOOKUP(J1173,ingredient!$N$4:$O$553,2,0)</f>
        <v>gound nut oil</v>
      </c>
      <c r="U1173" s="81" t="str">
        <f aca="false">I1173</f>
        <v>Gauranga fried  Rice</v>
      </c>
      <c r="V1173" s="81" t="n">
        <f aca="false">VLOOKUP(U1173,recipe_ingred_list!$A$2:$B$300,2,0)</f>
        <v>26</v>
      </c>
      <c r="W1173" s="81" t="str">
        <f aca="false">"/recipes/"&amp;VLOOKUP(U1173,recipe_ingred_list!$A$2:$C$300,3,0)&amp;"/detail/"</f>
        <v>/recipes/gauranga-fried-rice/detail/</v>
      </c>
      <c r="X1173" s="81" t="str">
        <f aca="false">J1173</f>
        <v>oil 1.5 ltr for 6.25 kg batch</v>
      </c>
      <c r="Y1173" s="81" t="str">
        <f aca="false">R1173</f>
        <v>gound nut oil</v>
      </c>
      <c r="Z1173" s="94" t="n">
        <f aca="false">VLOOKUP(Y1173,recipe_ingred_list!$D$2:$E$500,2,0)</f>
        <v>83</v>
      </c>
      <c r="AA1173" s="61" t="n">
        <f aca="false">K1173</f>
        <v>0</v>
      </c>
      <c r="AB1173" s="61" t="n">
        <f aca="false">L1173</f>
        <v>0</v>
      </c>
      <c r="AC1173" s="61" t="n">
        <f aca="false">VLOOKUP(AB1173,recipe_ingred_list!$K$2:$M$7,3,0)</f>
        <v>2</v>
      </c>
      <c r="AD1173" s="61" t="n">
        <f aca="false">M1173</f>
        <v>1.5</v>
      </c>
      <c r="AE1173" s="61" t="str">
        <f aca="false">N1173</f>
        <v>ltr</v>
      </c>
      <c r="AF1173" s="61" t="n">
        <f aca="false">VLOOKUP(AE1173,recipe_ingred_list!$K$16:$M$25,3,0)</f>
        <v>1</v>
      </c>
      <c r="AG1173" s="61" t="n">
        <f aca="false">O1173</f>
        <v>0</v>
      </c>
      <c r="AH1173" s="61" t="n">
        <f aca="false">P1173</f>
        <v>0</v>
      </c>
      <c r="AI1173" s="61" t="n">
        <f aca="false">VLOOKUP(AH1173,recipe_ingred_list!$K$29:$M$34,3,0)</f>
        <v>3</v>
      </c>
      <c r="AJ1173" s="61" t="str">
        <f aca="false">IF(Q1173="","",Q1173)</f>
        <v>in 4.25 kg rice batch add 0.8 cup salt</v>
      </c>
      <c r="AK1173" s="61" t="n">
        <f aca="false">AK1172+1</f>
        <v>1173</v>
      </c>
      <c r="AL1173" s="61" t="str">
        <f aca="false">Y1173</f>
        <v>gound nut oil</v>
      </c>
      <c r="AM1173" s="81" t="str">
        <f aca="false">"a = Client().post('"&amp;W1173&amp;"', {'recipe' : '"&amp;V1173&amp;"', 'ingredient' : '"&amp;Z1173&amp;"', 'name' : '"&amp;X1173&amp;"', 'mass_unit' : '"&amp;AC1173&amp;"', 'mass_quantity' : '"&amp;ROUND(AA1173,3)&amp;"', 'volume_unit' : '"&amp;AF1173&amp;"', 'volume_quantity' : '"&amp;ROUND(AD1173,3)&amp;"', 'pieces_unit' : '"&amp;AI1173&amp;"', 'pieces_quantity' : '"&amp;ROUND(AG1173,3)&amp;"', 'cooking_notes' : '"&amp;AJ1173&amp;"'}).status_code; print('%s :: %s :: %s :: %s :: %s' %(a,"&amp;G1173&amp;",'"&amp;X1173&amp;"','"&amp;Y1173&amp;"','"&amp;U1173&amp;"'))"</f>
        <v>a = Client().post('/recipes/gauranga-fried-rice/detail/', {'recipe' : '26', 'ingredient' : '83', 'name' : 'oil 1.5 ltr for 6.25 kg batch', 'mass_unit' : '2', 'mass_quantity' : '0', 'volume_unit' : '1', 'volume_quantity' : '1.5', 'pieces_unit' : '3', 'pieces_quantity' : '0', 'cooking_notes' : 'in 4.25 kg rice batch add 0.8 cup salt'}).status_code; print('%s :: %s :: %s :: %s :: %s' %(a,1173,'oil 1.5 ltr for 6.25 kg batch','gound nut oil','Gauranga fried  Rice'))</v>
      </c>
    </row>
    <row r="1174" customFormat="false" ht="28.35" hidden="false" customHeight="false" outlineLevel="0" collapsed="false">
      <c r="G1174" s="80" t="n">
        <v>1174</v>
      </c>
      <c r="H1174" s="83"/>
      <c r="I1174" s="83" t="s">
        <v>187</v>
      </c>
      <c r="J1174" s="83" t="s">
        <v>462</v>
      </c>
      <c r="K1174" s="61" t="n">
        <v>6.25</v>
      </c>
      <c r="L1174" s="61" t="s">
        <v>7</v>
      </c>
      <c r="Q1174" s="84" t="s">
        <v>901</v>
      </c>
      <c r="R1174" s="82" t="str">
        <f aca="false">VLOOKUP(J1174,ingredient!$N$4:$O$553,2,0)</f>
        <v>rice</v>
      </c>
      <c r="U1174" s="81" t="str">
        <f aca="false">I1174</f>
        <v>Gauranga fried  Rice</v>
      </c>
      <c r="V1174" s="81" t="n">
        <f aca="false">VLOOKUP(U1174,recipe_ingred_list!$A$2:$B$300,2,0)</f>
        <v>26</v>
      </c>
      <c r="W1174" s="81" t="str">
        <f aca="false">"/recipes/"&amp;VLOOKUP(U1174,recipe_ingred_list!$A$2:$C$300,3,0)&amp;"/detail/"</f>
        <v>/recipes/gauranga-fried-rice/detail/</v>
      </c>
      <c r="X1174" s="81" t="str">
        <f aca="false">J1174</f>
        <v>rice</v>
      </c>
      <c r="Y1174" s="81" t="str">
        <f aca="false">R1174</f>
        <v>rice</v>
      </c>
      <c r="Z1174" s="94" t="n">
        <f aca="false">VLOOKUP(Y1174,recipe_ingred_list!$D$2:$E$500,2,0)</f>
        <v>170</v>
      </c>
      <c r="AA1174" s="61" t="n">
        <f aca="false">K1174</f>
        <v>6.25</v>
      </c>
      <c r="AB1174" s="61" t="str">
        <f aca="false">L1174</f>
        <v>kg</v>
      </c>
      <c r="AC1174" s="61" t="n">
        <f aca="false">VLOOKUP(AB1174,recipe_ingred_list!$K$2:$M$7,3,0)</f>
        <v>2</v>
      </c>
      <c r="AD1174" s="61" t="n">
        <f aca="false">M1174</f>
        <v>0</v>
      </c>
      <c r="AE1174" s="61" t="n">
        <f aca="false">N1174</f>
        <v>0</v>
      </c>
      <c r="AF1174" s="61" t="n">
        <f aca="false">VLOOKUP(AE1174,recipe_ingred_list!$K$16:$M$25,3,0)</f>
        <v>1</v>
      </c>
      <c r="AG1174" s="61" t="n">
        <f aca="false">O1174</f>
        <v>0</v>
      </c>
      <c r="AH1174" s="61" t="n">
        <f aca="false">P1174</f>
        <v>0</v>
      </c>
      <c r="AI1174" s="61" t="n">
        <f aca="false">VLOOKUP(AH1174,recipe_ingred_list!$K$29:$M$34,3,0)</f>
        <v>3</v>
      </c>
      <c r="AJ1174" s="61" t="str">
        <f aca="false">IF(Q1174="","",Q1174)</f>
        <v>in 1 kadhai sabji add 1 cup salt ( this sabji is for 2 batches of rice </v>
      </c>
      <c r="AK1174" s="61" t="n">
        <f aca="false">AK1173+1</f>
        <v>1174</v>
      </c>
      <c r="AL1174" s="61" t="str">
        <f aca="false">Y1174</f>
        <v>rice</v>
      </c>
      <c r="AM1174" s="81" t="str">
        <f aca="false">"a = Client().post('"&amp;W1174&amp;"', {'recipe' : '"&amp;V1174&amp;"', 'ingredient' : '"&amp;Z1174&amp;"', 'name' : '"&amp;X1174&amp;"', 'mass_unit' : '"&amp;AC1174&amp;"', 'mass_quantity' : '"&amp;ROUND(AA1174,3)&amp;"', 'volume_unit' : '"&amp;AF1174&amp;"', 'volume_quantity' : '"&amp;ROUND(AD1174,3)&amp;"', 'pieces_unit' : '"&amp;AI1174&amp;"', 'pieces_quantity' : '"&amp;ROUND(AG1174,3)&amp;"', 'cooking_notes' : '"&amp;AJ1174&amp;"'}).status_code; print('%s :: %s :: %s :: %s :: %s' %(a,"&amp;G1174&amp;",'"&amp;X1174&amp;"','"&amp;Y1174&amp;"','"&amp;U1174&amp;"'))"</f>
        <v>a = Client().post('/recipes/gauranga-fried-rice/detail/', {'recipe' : '26', 'ingredient' : '170', 'name' : 'rice', 'mass_unit' : '2', 'mass_quantity' : '6.25', 'volume_unit' : '1', 'volume_quantity' : '0', 'pieces_unit' : '3', 'pieces_quantity' : '0', 'cooking_notes' : 'in 1 kadhai sabji add 1 cup salt ( this sabji is for 2 batches of rice '}).status_code; print('%s :: %s :: %s :: %s :: %s' %(a,1174,'rice','rice','Gauranga fried  Rice'))</v>
      </c>
    </row>
    <row r="1175" customFormat="false" ht="14.9" hidden="false" customHeight="false" outlineLevel="0" collapsed="false">
      <c r="G1175" s="80" t="n">
        <v>1175</v>
      </c>
      <c r="H1175" s="83"/>
      <c r="I1175" s="83" t="s">
        <v>187</v>
      </c>
      <c r="J1175" s="83" t="s">
        <v>382</v>
      </c>
      <c r="M1175" s="61" t="n">
        <v>0.5</v>
      </c>
      <c r="N1175" s="61" t="s">
        <v>20</v>
      </c>
      <c r="Q1175" s="84" t="s">
        <v>902</v>
      </c>
      <c r="R1175" s="82" t="str">
        <f aca="false">VLOOKUP(J1175,ingredient!$N$4:$O$553,2,0)</f>
        <v>haldi</v>
      </c>
      <c r="U1175" s="81" t="str">
        <f aca="false">I1175</f>
        <v>Gauranga fried  Rice</v>
      </c>
      <c r="V1175" s="81" t="n">
        <f aca="false">VLOOKUP(U1175,recipe_ingred_list!$A$2:$B$300,2,0)</f>
        <v>26</v>
      </c>
      <c r="W1175" s="81" t="str">
        <f aca="false">"/recipes/"&amp;VLOOKUP(U1175,recipe_ingred_list!$A$2:$C$300,3,0)&amp;"/detail/"</f>
        <v>/recipes/gauranga-fried-rice/detail/</v>
      </c>
      <c r="X1175" s="81" t="str">
        <f aca="false">J1175</f>
        <v>haldi</v>
      </c>
      <c r="Y1175" s="81" t="str">
        <f aca="false">R1175</f>
        <v>haldi</v>
      </c>
      <c r="Z1175" s="94" t="n">
        <f aca="false">VLOOKUP(Y1175,recipe_ingred_list!$D$2:$E$500,2,0)</f>
        <v>91</v>
      </c>
      <c r="AA1175" s="61" t="n">
        <f aca="false">K1175</f>
        <v>0</v>
      </c>
      <c r="AB1175" s="61" t="n">
        <f aca="false">L1175</f>
        <v>0</v>
      </c>
      <c r="AC1175" s="61" t="n">
        <f aca="false">VLOOKUP(AB1175,recipe_ingred_list!$K$2:$M$7,3,0)</f>
        <v>2</v>
      </c>
      <c r="AD1175" s="61" t="n">
        <f aca="false">M1175</f>
        <v>0.5</v>
      </c>
      <c r="AE1175" s="61" t="str">
        <f aca="false">N1175</f>
        <v>cup</v>
      </c>
      <c r="AF1175" s="61" t="n">
        <f aca="false">VLOOKUP(AE1175,recipe_ingred_list!$K$16:$M$25,3,0)</f>
        <v>5</v>
      </c>
      <c r="AG1175" s="61" t="n">
        <f aca="false">O1175</f>
        <v>0</v>
      </c>
      <c r="AH1175" s="61" t="n">
        <f aca="false">P1175</f>
        <v>0</v>
      </c>
      <c r="AI1175" s="61" t="n">
        <f aca="false">VLOOKUP(AH1175,recipe_ingred_list!$K$29:$M$34,3,0)</f>
        <v>3</v>
      </c>
      <c r="AJ1175" s="61" t="str">
        <f aca="false">IF(Q1175="","",Q1175)</f>
        <v>of 4.25 kg each)</v>
      </c>
      <c r="AK1175" s="61" t="n">
        <f aca="false">AK1174+1</f>
        <v>1175</v>
      </c>
      <c r="AL1175" s="61" t="str">
        <f aca="false">Y1175</f>
        <v>haldi</v>
      </c>
      <c r="AM1175" s="81" t="str">
        <f aca="false">"a = Client().post('"&amp;W1175&amp;"', {'recipe' : '"&amp;V1175&amp;"', 'ingredient' : '"&amp;Z1175&amp;"', 'name' : '"&amp;X1175&amp;"', 'mass_unit' : '"&amp;AC1175&amp;"', 'mass_quantity' : '"&amp;ROUND(AA1175,3)&amp;"', 'volume_unit' : '"&amp;AF1175&amp;"', 'volume_quantity' : '"&amp;ROUND(AD1175,3)&amp;"', 'pieces_unit' : '"&amp;AI1175&amp;"', 'pieces_quantity' : '"&amp;ROUND(AG1175,3)&amp;"', 'cooking_notes' : '"&amp;AJ1175&amp;"'}).status_code; print('%s :: %s :: %s :: %s :: %s' %(a,"&amp;G1175&amp;",'"&amp;X1175&amp;"','"&amp;Y1175&amp;"','"&amp;U1175&amp;"'))"</f>
        <v>a = Client().post('/recipes/gauranga-fried-rice/detail/', {'recipe' : '26', 'ingredient' : '91', 'name' : 'haldi', 'mass_unit' : '2', 'mass_quantity' : '0', 'volume_unit' : '5', 'volume_quantity' : '0.5', 'pieces_unit' : '3', 'pieces_quantity' : '0', 'cooking_notes' : 'of 4.25 kg each)'}).status_code; print('%s :: %s :: %s :: %s :: %s' %(a,1175,'haldi','haldi','Gauranga fried  Rice'))</v>
      </c>
    </row>
    <row r="1176" customFormat="false" ht="13.8" hidden="false" customHeight="false" outlineLevel="0" collapsed="false">
      <c r="G1176" s="80" t="n">
        <v>1176</v>
      </c>
      <c r="H1176" s="83"/>
      <c r="I1176" s="83" t="s">
        <v>187</v>
      </c>
      <c r="J1176" s="83" t="s">
        <v>456</v>
      </c>
      <c r="M1176" s="61" t="n">
        <v>0.4</v>
      </c>
      <c r="N1176" s="61" t="s">
        <v>20</v>
      </c>
      <c r="R1176" s="82" t="str">
        <f aca="false">VLOOKUP(J1176,ingredient!$N$4:$O$553,2,0)</f>
        <v>rai</v>
      </c>
      <c r="U1176" s="81" t="str">
        <f aca="false">I1176</f>
        <v>Gauranga fried  Rice</v>
      </c>
      <c r="V1176" s="81" t="n">
        <f aca="false">VLOOKUP(U1176,recipe_ingred_list!$A$2:$B$300,2,0)</f>
        <v>26</v>
      </c>
      <c r="W1176" s="81" t="str">
        <f aca="false">"/recipes/"&amp;VLOOKUP(U1176,recipe_ingred_list!$A$2:$C$300,3,0)&amp;"/detail/"</f>
        <v>/recipes/gauranga-fried-rice/detail/</v>
      </c>
      <c r="X1176" s="81" t="str">
        <f aca="false">J1176</f>
        <v>rai</v>
      </c>
      <c r="Y1176" s="81" t="str">
        <f aca="false">R1176</f>
        <v>rai</v>
      </c>
      <c r="Z1176" s="94" t="n">
        <f aca="false">VLOOKUP(Y1176,recipe_ingred_list!$D$2:$E$500,2,0)</f>
        <v>164</v>
      </c>
      <c r="AA1176" s="61" t="n">
        <f aca="false">K1176</f>
        <v>0</v>
      </c>
      <c r="AB1176" s="61" t="n">
        <f aca="false">L1176</f>
        <v>0</v>
      </c>
      <c r="AC1176" s="61" t="n">
        <f aca="false">VLOOKUP(AB1176,recipe_ingred_list!$K$2:$M$7,3,0)</f>
        <v>2</v>
      </c>
      <c r="AD1176" s="61" t="n">
        <f aca="false">M1176</f>
        <v>0.4</v>
      </c>
      <c r="AE1176" s="61" t="str">
        <f aca="false">N1176</f>
        <v>cup</v>
      </c>
      <c r="AF1176" s="61" t="n">
        <f aca="false">VLOOKUP(AE1176,recipe_ingred_list!$K$16:$M$25,3,0)</f>
        <v>5</v>
      </c>
      <c r="AG1176" s="61" t="n">
        <f aca="false">O1176</f>
        <v>0</v>
      </c>
      <c r="AH1176" s="61" t="n">
        <f aca="false">P1176</f>
        <v>0</v>
      </c>
      <c r="AI1176" s="61" t="n">
        <f aca="false">VLOOKUP(AH1176,recipe_ingred_list!$K$29:$M$34,3,0)</f>
        <v>3</v>
      </c>
      <c r="AJ1176" s="61" t="str">
        <f aca="false">IF(Q1176="","",Q1176)</f>
        <v/>
      </c>
      <c r="AK1176" s="61" t="n">
        <f aca="false">AK1175+1</f>
        <v>1176</v>
      </c>
      <c r="AL1176" s="61" t="str">
        <f aca="false">Y1176</f>
        <v>rai</v>
      </c>
      <c r="AM1176" s="81" t="str">
        <f aca="false">"a = Client().post('"&amp;W1176&amp;"', {'recipe' : '"&amp;V1176&amp;"', 'ingredient' : '"&amp;Z1176&amp;"', 'name' : '"&amp;X1176&amp;"', 'mass_unit' : '"&amp;AC1176&amp;"', 'mass_quantity' : '"&amp;ROUND(AA1176,3)&amp;"', 'volume_unit' : '"&amp;AF1176&amp;"', 'volume_quantity' : '"&amp;ROUND(AD1176,3)&amp;"', 'pieces_unit' : '"&amp;AI1176&amp;"', 'pieces_quantity' : '"&amp;ROUND(AG1176,3)&amp;"', 'cooking_notes' : '"&amp;AJ1176&amp;"'}).status_code; print('%s :: %s :: %s :: %s :: %s' %(a,"&amp;G1176&amp;",'"&amp;X1176&amp;"','"&amp;Y1176&amp;"','"&amp;U1176&amp;"'))"</f>
        <v>a = Client().post('/recipes/gauranga-fried-rice/detail/', {'recipe' : '26', 'ingredient' : '164', 'name' : 'rai', 'mass_unit' : '2', 'mass_quantity' : '0', 'volume_unit' : '5', 'volume_quantity' : '0.4', 'pieces_unit' : '3', 'pieces_quantity' : '0', 'cooking_notes' : ''}).status_code; print('%s :: %s :: %s :: %s :: %s' %(a,1176,'rai','rai','Gauranga fried  Rice'))</v>
      </c>
    </row>
    <row r="1177" customFormat="false" ht="13.8" hidden="false" customHeight="false" outlineLevel="0" collapsed="false">
      <c r="G1177" s="80" t="n">
        <v>1177</v>
      </c>
      <c r="H1177" s="83"/>
      <c r="I1177" s="83" t="s">
        <v>187</v>
      </c>
      <c r="J1177" s="83" t="s">
        <v>398</v>
      </c>
      <c r="M1177" s="61" t="n">
        <v>0.4</v>
      </c>
      <c r="N1177" s="61" t="s">
        <v>20</v>
      </c>
      <c r="R1177" s="82" t="str">
        <f aca="false">VLOOKUP(J1177,ingredient!$N$4:$O$553,2,0)</f>
        <v>jeera</v>
      </c>
      <c r="U1177" s="81" t="str">
        <f aca="false">I1177</f>
        <v>Gauranga fried  Rice</v>
      </c>
      <c r="V1177" s="81" t="n">
        <f aca="false">VLOOKUP(U1177,recipe_ingred_list!$A$2:$B$300,2,0)</f>
        <v>26</v>
      </c>
      <c r="W1177" s="81" t="str">
        <f aca="false">"/recipes/"&amp;VLOOKUP(U1177,recipe_ingred_list!$A$2:$C$300,3,0)&amp;"/detail/"</f>
        <v>/recipes/gauranga-fried-rice/detail/</v>
      </c>
      <c r="X1177" s="81" t="str">
        <f aca="false">J1177</f>
        <v>jeera</v>
      </c>
      <c r="Y1177" s="81" t="str">
        <f aca="false">R1177</f>
        <v>jeera</v>
      </c>
      <c r="Z1177" s="94" t="n">
        <f aca="false">VLOOKUP(Y1177,recipe_ingred_list!$D$2:$E$500,2,0)</f>
        <v>102</v>
      </c>
      <c r="AA1177" s="61" t="n">
        <f aca="false">K1177</f>
        <v>0</v>
      </c>
      <c r="AB1177" s="61" t="n">
        <f aca="false">L1177</f>
        <v>0</v>
      </c>
      <c r="AC1177" s="61" t="n">
        <f aca="false">VLOOKUP(AB1177,recipe_ingred_list!$K$2:$M$7,3,0)</f>
        <v>2</v>
      </c>
      <c r="AD1177" s="61" t="n">
        <f aca="false">M1177</f>
        <v>0.4</v>
      </c>
      <c r="AE1177" s="61" t="str">
        <f aca="false">N1177</f>
        <v>cup</v>
      </c>
      <c r="AF1177" s="61" t="n">
        <f aca="false">VLOOKUP(AE1177,recipe_ingred_list!$K$16:$M$25,3,0)</f>
        <v>5</v>
      </c>
      <c r="AG1177" s="61" t="n">
        <f aca="false">O1177</f>
        <v>0</v>
      </c>
      <c r="AH1177" s="61" t="n">
        <f aca="false">P1177</f>
        <v>0</v>
      </c>
      <c r="AI1177" s="61" t="n">
        <f aca="false">VLOOKUP(AH1177,recipe_ingred_list!$K$29:$M$34,3,0)</f>
        <v>3</v>
      </c>
      <c r="AJ1177" s="61" t="str">
        <f aca="false">IF(Q1177="","",Q1177)</f>
        <v/>
      </c>
      <c r="AK1177" s="61" t="n">
        <f aca="false">AK1176+1</f>
        <v>1177</v>
      </c>
      <c r="AL1177" s="61" t="str">
        <f aca="false">Y1177</f>
        <v>jeera</v>
      </c>
      <c r="AM1177" s="81" t="str">
        <f aca="false">"a = Client().post('"&amp;W1177&amp;"', {'recipe' : '"&amp;V1177&amp;"', 'ingredient' : '"&amp;Z1177&amp;"', 'name' : '"&amp;X1177&amp;"', 'mass_unit' : '"&amp;AC1177&amp;"', 'mass_quantity' : '"&amp;ROUND(AA1177,3)&amp;"', 'volume_unit' : '"&amp;AF1177&amp;"', 'volume_quantity' : '"&amp;ROUND(AD1177,3)&amp;"', 'pieces_unit' : '"&amp;AI1177&amp;"', 'pieces_quantity' : '"&amp;ROUND(AG1177,3)&amp;"', 'cooking_notes' : '"&amp;AJ1177&amp;"'}).status_code; print('%s :: %s :: %s :: %s :: %s' %(a,"&amp;G1177&amp;",'"&amp;X1177&amp;"','"&amp;Y1177&amp;"','"&amp;U1177&amp;"'))"</f>
        <v>a = Client().post('/recipes/gauranga-fried-rice/detail/', {'recipe' : '26', 'ingredient' : '102', 'name' : 'jeera', 'mass_unit' : '2', 'mass_quantity' : '0', 'volume_unit' : '5', 'volume_quantity' : '0.4', 'pieces_unit' : '3', 'pieces_quantity' : '0', 'cooking_notes' : ''}).status_code; print('%s :: %s :: %s :: %s :: %s' %(a,1177,'jeera','jeera','Gauranga fried  Rice'))</v>
      </c>
    </row>
    <row r="1178" customFormat="false" ht="13.8" hidden="false" customHeight="false" outlineLevel="0" collapsed="false">
      <c r="G1178" s="80" t="n">
        <v>1178</v>
      </c>
      <c r="H1178" s="83"/>
      <c r="I1178" s="83" t="s">
        <v>187</v>
      </c>
      <c r="J1178" s="83" t="s">
        <v>903</v>
      </c>
      <c r="M1178" s="61" t="n">
        <v>0.6</v>
      </c>
      <c r="N1178" s="61" t="s">
        <v>20</v>
      </c>
      <c r="R1178" s="82" t="str">
        <f aca="false">VLOOKUP(J1178,ingredient!$N$4:$O$553,2,0)</f>
        <v>kashmiri chilly powder</v>
      </c>
      <c r="U1178" s="81" t="str">
        <f aca="false">I1178</f>
        <v>Gauranga fried  Rice</v>
      </c>
      <c r="V1178" s="81" t="n">
        <f aca="false">VLOOKUP(U1178,recipe_ingred_list!$A$2:$B$300,2,0)</f>
        <v>26</v>
      </c>
      <c r="W1178" s="81" t="str">
        <f aca="false">"/recipes/"&amp;VLOOKUP(U1178,recipe_ingred_list!$A$2:$C$300,3,0)&amp;"/detail/"</f>
        <v>/recipes/gauranga-fried-rice/detail/</v>
      </c>
      <c r="X1178" s="81" t="str">
        <f aca="false">J1178</f>
        <v>kashmiri chilly PWD</v>
      </c>
      <c r="Y1178" s="81" t="str">
        <f aca="false">R1178</f>
        <v>kashmiri chilly powder</v>
      </c>
      <c r="Z1178" s="94" t="n">
        <f aca="false">VLOOKUP(Y1178,recipe_ingred_list!$D$2:$E$500,2,0)</f>
        <v>117</v>
      </c>
      <c r="AA1178" s="61" t="n">
        <f aca="false">K1178</f>
        <v>0</v>
      </c>
      <c r="AB1178" s="61" t="n">
        <f aca="false">L1178</f>
        <v>0</v>
      </c>
      <c r="AC1178" s="61" t="n">
        <f aca="false">VLOOKUP(AB1178,recipe_ingred_list!$K$2:$M$7,3,0)</f>
        <v>2</v>
      </c>
      <c r="AD1178" s="61" t="n">
        <f aca="false">M1178</f>
        <v>0.6</v>
      </c>
      <c r="AE1178" s="61" t="str">
        <f aca="false">N1178</f>
        <v>cup</v>
      </c>
      <c r="AF1178" s="61" t="n">
        <f aca="false">VLOOKUP(AE1178,recipe_ingred_list!$K$16:$M$25,3,0)</f>
        <v>5</v>
      </c>
      <c r="AG1178" s="61" t="n">
        <f aca="false">O1178</f>
        <v>0</v>
      </c>
      <c r="AH1178" s="61" t="n">
        <f aca="false">P1178</f>
        <v>0</v>
      </c>
      <c r="AI1178" s="61" t="n">
        <f aca="false">VLOOKUP(AH1178,recipe_ingred_list!$K$29:$M$34,3,0)</f>
        <v>3</v>
      </c>
      <c r="AJ1178" s="61" t="str">
        <f aca="false">IF(Q1178="","",Q1178)</f>
        <v/>
      </c>
      <c r="AK1178" s="61" t="n">
        <f aca="false">AK1177+1</f>
        <v>1178</v>
      </c>
      <c r="AL1178" s="61" t="str">
        <f aca="false">Y1178</f>
        <v>kashmiri chilly powder</v>
      </c>
      <c r="AM1178" s="81" t="str">
        <f aca="false">"a = Client().post('"&amp;W1178&amp;"', {'recipe' : '"&amp;V1178&amp;"', 'ingredient' : '"&amp;Z1178&amp;"', 'name' : '"&amp;X1178&amp;"', 'mass_unit' : '"&amp;AC1178&amp;"', 'mass_quantity' : '"&amp;ROUND(AA1178,3)&amp;"', 'volume_unit' : '"&amp;AF1178&amp;"', 'volume_quantity' : '"&amp;ROUND(AD1178,3)&amp;"', 'pieces_unit' : '"&amp;AI1178&amp;"', 'pieces_quantity' : '"&amp;ROUND(AG1178,3)&amp;"', 'cooking_notes' : '"&amp;AJ1178&amp;"'}).status_code; print('%s :: %s :: %s :: %s :: %s' %(a,"&amp;G1178&amp;",'"&amp;X1178&amp;"','"&amp;Y1178&amp;"','"&amp;U1178&amp;"'))"</f>
        <v>a = Client().post('/recipes/gauranga-fried-rice/detail/', {'recipe' : '26', 'ingredient' : '117', 'name' : 'kashmiri chilly PWD', 'mass_unit' : '2', 'mass_quantity' : '0', 'volume_unit' : '5', 'volume_quantity' : '0.6', 'pieces_unit' : '3', 'pieces_quantity' : '0', 'cooking_notes' : ''}).status_code; print('%s :: %s :: %s :: %s :: %s' %(a,1178,'kashmiri chilly PWD','kashmiri chilly powder','Gauranga fried  Rice'))</v>
      </c>
    </row>
    <row r="1179" customFormat="false" ht="13.8" hidden="false" customHeight="false" outlineLevel="0" collapsed="false">
      <c r="G1179" s="80" t="n">
        <v>1179</v>
      </c>
      <c r="H1179" s="83"/>
      <c r="I1179" s="83" t="s">
        <v>187</v>
      </c>
      <c r="J1179" s="83" t="s">
        <v>391</v>
      </c>
      <c r="M1179" s="61" t="n">
        <v>0.3</v>
      </c>
      <c r="N1179" s="61" t="s">
        <v>20</v>
      </c>
      <c r="R1179" s="82" t="str">
        <f aca="false">VLOOKUP(J1179,ingredient!$N$4:$O$553,2,0)</f>
        <v>hing</v>
      </c>
      <c r="U1179" s="81" t="str">
        <f aca="false">I1179</f>
        <v>Gauranga fried  Rice</v>
      </c>
      <c r="V1179" s="81" t="n">
        <f aca="false">VLOOKUP(U1179,recipe_ingred_list!$A$2:$B$300,2,0)</f>
        <v>26</v>
      </c>
      <c r="W1179" s="81" t="str">
        <f aca="false">"/recipes/"&amp;VLOOKUP(U1179,recipe_ingred_list!$A$2:$C$300,3,0)&amp;"/detail/"</f>
        <v>/recipes/gauranga-fried-rice/detail/</v>
      </c>
      <c r="X1179" s="81" t="str">
        <f aca="false">J1179</f>
        <v>hing</v>
      </c>
      <c r="Y1179" s="81" t="str">
        <f aca="false">R1179</f>
        <v>hing</v>
      </c>
      <c r="Z1179" s="94" t="n">
        <f aca="false">VLOOKUP(Y1179,recipe_ingred_list!$D$2:$E$500,2,0)</f>
        <v>95</v>
      </c>
      <c r="AA1179" s="61" t="n">
        <f aca="false">K1179</f>
        <v>0</v>
      </c>
      <c r="AB1179" s="61" t="n">
        <f aca="false">L1179</f>
        <v>0</v>
      </c>
      <c r="AC1179" s="61" t="n">
        <f aca="false">VLOOKUP(AB1179,recipe_ingred_list!$K$2:$M$7,3,0)</f>
        <v>2</v>
      </c>
      <c r="AD1179" s="61" t="n">
        <f aca="false">M1179</f>
        <v>0.3</v>
      </c>
      <c r="AE1179" s="61" t="str">
        <f aca="false">N1179</f>
        <v>cup</v>
      </c>
      <c r="AF1179" s="61" t="n">
        <f aca="false">VLOOKUP(AE1179,recipe_ingred_list!$K$16:$M$25,3,0)</f>
        <v>5</v>
      </c>
      <c r="AG1179" s="61" t="n">
        <f aca="false">O1179</f>
        <v>0</v>
      </c>
      <c r="AH1179" s="61" t="n">
        <f aca="false">P1179</f>
        <v>0</v>
      </c>
      <c r="AI1179" s="61" t="n">
        <f aca="false">VLOOKUP(AH1179,recipe_ingred_list!$K$29:$M$34,3,0)</f>
        <v>3</v>
      </c>
      <c r="AJ1179" s="61" t="str">
        <f aca="false">IF(Q1179="","",Q1179)</f>
        <v/>
      </c>
      <c r="AK1179" s="61" t="n">
        <f aca="false">AK1178+1</f>
        <v>1179</v>
      </c>
      <c r="AL1179" s="61" t="str">
        <f aca="false">Y1179</f>
        <v>hing</v>
      </c>
      <c r="AM1179" s="81" t="str">
        <f aca="false">"a = Client().post('"&amp;W1179&amp;"', {'recipe' : '"&amp;V1179&amp;"', 'ingredient' : '"&amp;Z1179&amp;"', 'name' : '"&amp;X1179&amp;"', 'mass_unit' : '"&amp;AC1179&amp;"', 'mass_quantity' : '"&amp;ROUND(AA1179,3)&amp;"', 'volume_unit' : '"&amp;AF1179&amp;"', 'volume_quantity' : '"&amp;ROUND(AD1179,3)&amp;"', 'pieces_unit' : '"&amp;AI1179&amp;"', 'pieces_quantity' : '"&amp;ROUND(AG1179,3)&amp;"', 'cooking_notes' : '"&amp;AJ1179&amp;"'}).status_code; print('%s :: %s :: %s :: %s :: %s' %(a,"&amp;G1179&amp;",'"&amp;X1179&amp;"','"&amp;Y1179&amp;"','"&amp;U1179&amp;"'))"</f>
        <v>a = Client().post('/recipes/gauranga-fried-rice/detail/', {'recipe' : '26', 'ingredient' : '95', 'name' : 'hing', 'mass_unit' : '2', 'mass_quantity' : '0', 'volume_unit' : '5', 'volume_quantity' : '0.3', 'pieces_unit' : '3', 'pieces_quantity' : '0', 'cooking_notes' : ''}).status_code; print('%s :: %s :: %s :: %s :: %s' %(a,1179,'hing','hing','Gauranga fried  Rice'))</v>
      </c>
    </row>
    <row r="1180" customFormat="false" ht="13.8" hidden="false" customHeight="false" outlineLevel="0" collapsed="false">
      <c r="G1180" s="80" t="n">
        <v>1180</v>
      </c>
      <c r="H1180" s="83"/>
      <c r="I1180" s="83" t="s">
        <v>187</v>
      </c>
      <c r="J1180" s="83" t="s">
        <v>96</v>
      </c>
      <c r="M1180" s="61" t="n">
        <v>1.7</v>
      </c>
      <c r="N1180" s="61" t="s">
        <v>20</v>
      </c>
      <c r="R1180" s="82" t="str">
        <f aca="false">VLOOKUP(J1180,ingredient!$N$4:$O$553,2,0)</f>
        <v>salt</v>
      </c>
      <c r="U1180" s="81" t="str">
        <f aca="false">I1180</f>
        <v>Gauranga fried  Rice</v>
      </c>
      <c r="V1180" s="81" t="n">
        <f aca="false">VLOOKUP(U1180,recipe_ingred_list!$A$2:$B$300,2,0)</f>
        <v>26</v>
      </c>
      <c r="W1180" s="81" t="str">
        <f aca="false">"/recipes/"&amp;VLOOKUP(U1180,recipe_ingred_list!$A$2:$C$300,3,0)&amp;"/detail/"</f>
        <v>/recipes/gauranga-fried-rice/detail/</v>
      </c>
      <c r="X1180" s="81" t="str">
        <f aca="false">J1180</f>
        <v>salt</v>
      </c>
      <c r="Y1180" s="81" t="str">
        <f aca="false">R1180</f>
        <v>salt</v>
      </c>
      <c r="Z1180" s="94" t="n">
        <f aca="false">VLOOKUP(Y1180,recipe_ingred_list!$D$2:$E$500,2,0)</f>
        <v>177</v>
      </c>
      <c r="AA1180" s="61" t="n">
        <f aca="false">K1180</f>
        <v>0</v>
      </c>
      <c r="AB1180" s="61" t="n">
        <f aca="false">L1180</f>
        <v>0</v>
      </c>
      <c r="AC1180" s="61" t="n">
        <f aca="false">VLOOKUP(AB1180,recipe_ingred_list!$K$2:$M$7,3,0)</f>
        <v>2</v>
      </c>
      <c r="AD1180" s="61" t="n">
        <f aca="false">M1180</f>
        <v>1.7</v>
      </c>
      <c r="AE1180" s="61" t="str">
        <f aca="false">N1180</f>
        <v>cup</v>
      </c>
      <c r="AF1180" s="61" t="n">
        <f aca="false">VLOOKUP(AE1180,recipe_ingred_list!$K$16:$M$25,3,0)</f>
        <v>5</v>
      </c>
      <c r="AG1180" s="61" t="n">
        <f aca="false">O1180</f>
        <v>0</v>
      </c>
      <c r="AH1180" s="61" t="n">
        <f aca="false">P1180</f>
        <v>0</v>
      </c>
      <c r="AI1180" s="61" t="n">
        <f aca="false">VLOOKUP(AH1180,recipe_ingred_list!$K$29:$M$34,3,0)</f>
        <v>3</v>
      </c>
      <c r="AJ1180" s="61" t="str">
        <f aca="false">IF(Q1180="","",Q1180)</f>
        <v/>
      </c>
      <c r="AK1180" s="61" t="n">
        <f aca="false">AK1179+1</f>
        <v>1180</v>
      </c>
      <c r="AL1180" s="61" t="str">
        <f aca="false">Y1180</f>
        <v>salt</v>
      </c>
      <c r="AM1180" s="81" t="str">
        <f aca="false">"a = Client().post('"&amp;W1180&amp;"', {'recipe' : '"&amp;V1180&amp;"', 'ingredient' : '"&amp;Z1180&amp;"', 'name' : '"&amp;X1180&amp;"', 'mass_unit' : '"&amp;AC1180&amp;"', 'mass_quantity' : '"&amp;ROUND(AA1180,3)&amp;"', 'volume_unit' : '"&amp;AF1180&amp;"', 'volume_quantity' : '"&amp;ROUND(AD1180,3)&amp;"', 'pieces_unit' : '"&amp;AI1180&amp;"', 'pieces_quantity' : '"&amp;ROUND(AG1180,3)&amp;"', 'cooking_notes' : '"&amp;AJ1180&amp;"'}).status_code; print('%s :: %s :: %s :: %s :: %s' %(a,"&amp;G1180&amp;",'"&amp;X1180&amp;"','"&amp;Y1180&amp;"','"&amp;U1180&amp;"'))"</f>
        <v>a = Client().post('/recipes/gauranga-fried-rice/detail/', {'recipe' : '26', 'ingredient' : '177', 'name' : 'salt', 'mass_unit' : '2', 'mass_quantity' : '0', 'volume_unit' : '5', 'volume_quantity' : '1.7', 'pieces_unit' : '3', 'pieces_quantity' : '0', 'cooking_notes' : ''}).status_code; print('%s :: %s :: %s :: %s :: %s' %(a,1180,'salt','salt','Gauranga fried  Rice'))</v>
      </c>
    </row>
    <row r="1181" customFormat="false" ht="13.8" hidden="false" customHeight="false" outlineLevel="0" collapsed="false">
      <c r="G1181" s="80" t="n">
        <v>1181</v>
      </c>
      <c r="H1181" s="83"/>
      <c r="I1181" s="83" t="s">
        <v>187</v>
      </c>
      <c r="J1181" s="83" t="s">
        <v>462</v>
      </c>
      <c r="K1181" s="61" t="n">
        <v>4.25</v>
      </c>
      <c r="L1181" s="61" t="s">
        <v>7</v>
      </c>
      <c r="R1181" s="82" t="str">
        <f aca="false">VLOOKUP(J1181,ingredient!$N$4:$O$553,2,0)</f>
        <v>rice</v>
      </c>
      <c r="U1181" s="81" t="str">
        <f aca="false">I1181</f>
        <v>Gauranga fried  Rice</v>
      </c>
      <c r="V1181" s="81" t="n">
        <f aca="false">VLOOKUP(U1181,recipe_ingred_list!$A$2:$B$300,2,0)</f>
        <v>26</v>
      </c>
      <c r="W1181" s="81" t="str">
        <f aca="false">"/recipes/"&amp;VLOOKUP(U1181,recipe_ingred_list!$A$2:$C$300,3,0)&amp;"/detail/"</f>
        <v>/recipes/gauranga-fried-rice/detail/</v>
      </c>
      <c r="X1181" s="81" t="str">
        <f aca="false">J1181</f>
        <v>rice</v>
      </c>
      <c r="Y1181" s="81" t="str">
        <f aca="false">R1181</f>
        <v>rice</v>
      </c>
      <c r="Z1181" s="94" t="n">
        <f aca="false">VLOOKUP(Y1181,recipe_ingred_list!$D$2:$E$500,2,0)</f>
        <v>170</v>
      </c>
      <c r="AA1181" s="61" t="n">
        <f aca="false">K1181</f>
        <v>4.25</v>
      </c>
      <c r="AB1181" s="61" t="str">
        <f aca="false">L1181</f>
        <v>kg</v>
      </c>
      <c r="AC1181" s="61" t="n">
        <f aca="false">VLOOKUP(AB1181,recipe_ingred_list!$K$2:$M$7,3,0)</f>
        <v>2</v>
      </c>
      <c r="AD1181" s="61" t="n">
        <f aca="false">M1181</f>
        <v>0</v>
      </c>
      <c r="AE1181" s="61" t="n">
        <f aca="false">N1181</f>
        <v>0</v>
      </c>
      <c r="AF1181" s="61" t="n">
        <f aca="false">VLOOKUP(AE1181,recipe_ingred_list!$K$16:$M$25,3,0)</f>
        <v>1</v>
      </c>
      <c r="AG1181" s="61" t="n">
        <f aca="false">O1181</f>
        <v>0</v>
      </c>
      <c r="AH1181" s="61" t="n">
        <f aca="false">P1181</f>
        <v>0</v>
      </c>
      <c r="AI1181" s="61" t="n">
        <f aca="false">VLOOKUP(AH1181,recipe_ingred_list!$K$29:$M$34,3,0)</f>
        <v>3</v>
      </c>
      <c r="AJ1181" s="61" t="str">
        <f aca="false">IF(Q1181="","",Q1181)</f>
        <v/>
      </c>
      <c r="AK1181" s="61" t="n">
        <f aca="false">AK1180+1</f>
        <v>1181</v>
      </c>
      <c r="AL1181" s="61" t="str">
        <f aca="false">Y1181</f>
        <v>rice</v>
      </c>
      <c r="AM1181" s="81" t="str">
        <f aca="false">"a = Client().post('"&amp;W1181&amp;"', {'recipe' : '"&amp;V1181&amp;"', 'ingredient' : '"&amp;Z1181&amp;"', 'name' : '"&amp;X1181&amp;"', 'mass_unit' : '"&amp;AC1181&amp;"', 'mass_quantity' : '"&amp;ROUND(AA1181,3)&amp;"', 'volume_unit' : '"&amp;AF1181&amp;"', 'volume_quantity' : '"&amp;ROUND(AD1181,3)&amp;"', 'pieces_unit' : '"&amp;AI1181&amp;"', 'pieces_quantity' : '"&amp;ROUND(AG1181,3)&amp;"', 'cooking_notes' : '"&amp;AJ1181&amp;"'}).status_code; print('%s :: %s :: %s :: %s :: %s' %(a,"&amp;G1181&amp;",'"&amp;X1181&amp;"','"&amp;Y1181&amp;"','"&amp;U1181&amp;"'))"</f>
        <v>a = Client().post('/recipes/gauranga-fried-rice/detail/', {'recipe' : '26', 'ingredient' : '170', 'name' : 'rice', 'mass_unit' : '2', 'mass_quantity' : '4.25', 'volume_unit' : '1', 'volume_quantity' : '0', 'pieces_unit' : '3', 'pieces_quantity' : '0', 'cooking_notes' : ''}).status_code; print('%s :: %s :: %s :: %s :: %s' %(a,1181,'rice','rice','Gauranga fried  Rice'))</v>
      </c>
    </row>
    <row r="1182" customFormat="false" ht="13.8" hidden="false" customHeight="false" outlineLevel="0" collapsed="false">
      <c r="G1182" s="80" t="n">
        <v>1182</v>
      </c>
      <c r="H1182" s="83"/>
      <c r="I1182" s="83" t="s">
        <v>187</v>
      </c>
      <c r="J1182" s="83" t="s">
        <v>382</v>
      </c>
      <c r="M1182" s="61" t="n">
        <v>0.3</v>
      </c>
      <c r="N1182" s="61" t="s">
        <v>20</v>
      </c>
      <c r="R1182" s="82" t="str">
        <f aca="false">VLOOKUP(J1182,ingredient!$N$4:$O$553,2,0)</f>
        <v>haldi</v>
      </c>
      <c r="U1182" s="81" t="str">
        <f aca="false">I1182</f>
        <v>Gauranga fried  Rice</v>
      </c>
      <c r="V1182" s="81" t="n">
        <f aca="false">VLOOKUP(U1182,recipe_ingred_list!$A$2:$B$300,2,0)</f>
        <v>26</v>
      </c>
      <c r="W1182" s="81" t="str">
        <f aca="false">"/recipes/"&amp;VLOOKUP(U1182,recipe_ingred_list!$A$2:$C$300,3,0)&amp;"/detail/"</f>
        <v>/recipes/gauranga-fried-rice/detail/</v>
      </c>
      <c r="X1182" s="81" t="str">
        <f aca="false">J1182</f>
        <v>haldi</v>
      </c>
      <c r="Y1182" s="81" t="str">
        <f aca="false">R1182</f>
        <v>haldi</v>
      </c>
      <c r="Z1182" s="94" t="n">
        <f aca="false">VLOOKUP(Y1182,recipe_ingred_list!$D$2:$E$500,2,0)</f>
        <v>91</v>
      </c>
      <c r="AA1182" s="61" t="n">
        <f aca="false">K1182</f>
        <v>0</v>
      </c>
      <c r="AB1182" s="61" t="n">
        <f aca="false">L1182</f>
        <v>0</v>
      </c>
      <c r="AC1182" s="61" t="n">
        <f aca="false">VLOOKUP(AB1182,recipe_ingred_list!$K$2:$M$7,3,0)</f>
        <v>2</v>
      </c>
      <c r="AD1182" s="61" t="n">
        <f aca="false">M1182</f>
        <v>0.3</v>
      </c>
      <c r="AE1182" s="61" t="str">
        <f aca="false">N1182</f>
        <v>cup</v>
      </c>
      <c r="AF1182" s="61" t="n">
        <f aca="false">VLOOKUP(AE1182,recipe_ingred_list!$K$16:$M$25,3,0)</f>
        <v>5</v>
      </c>
      <c r="AG1182" s="61" t="n">
        <f aca="false">O1182</f>
        <v>0</v>
      </c>
      <c r="AH1182" s="61" t="n">
        <f aca="false">P1182</f>
        <v>0</v>
      </c>
      <c r="AI1182" s="61" t="n">
        <f aca="false">VLOOKUP(AH1182,recipe_ingred_list!$K$29:$M$34,3,0)</f>
        <v>3</v>
      </c>
      <c r="AJ1182" s="61" t="str">
        <f aca="false">IF(Q1182="","",Q1182)</f>
        <v/>
      </c>
      <c r="AK1182" s="61" t="n">
        <f aca="false">AK1181+1</f>
        <v>1182</v>
      </c>
      <c r="AL1182" s="61" t="str">
        <f aca="false">Y1182</f>
        <v>haldi</v>
      </c>
      <c r="AM1182" s="81" t="str">
        <f aca="false">"a = Client().post('"&amp;W1182&amp;"', {'recipe' : '"&amp;V1182&amp;"', 'ingredient' : '"&amp;Z1182&amp;"', 'name' : '"&amp;X1182&amp;"', 'mass_unit' : '"&amp;AC1182&amp;"', 'mass_quantity' : '"&amp;ROUND(AA1182,3)&amp;"', 'volume_unit' : '"&amp;AF1182&amp;"', 'volume_quantity' : '"&amp;ROUND(AD1182,3)&amp;"', 'pieces_unit' : '"&amp;AI1182&amp;"', 'pieces_quantity' : '"&amp;ROUND(AG1182,3)&amp;"', 'cooking_notes' : '"&amp;AJ1182&amp;"'}).status_code; print('%s :: %s :: %s :: %s :: %s' %(a,"&amp;G1182&amp;",'"&amp;X1182&amp;"','"&amp;Y1182&amp;"','"&amp;U1182&amp;"'))"</f>
        <v>a = Client().post('/recipes/gauranga-fried-rice/detail/', {'recipe' : '26', 'ingredient' : '91', 'name' : 'haldi', 'mass_unit' : '2', 'mass_quantity' : '0', 'volume_unit' : '5', 'volume_quantity' : '0.3', 'pieces_unit' : '3', 'pieces_quantity' : '0', 'cooking_notes' : ''}).status_code; print('%s :: %s :: %s :: %s :: %s' %(a,1182,'haldi','haldi','Gauranga fried  Rice'))</v>
      </c>
    </row>
    <row r="1183" customFormat="false" ht="13.8" hidden="false" customHeight="false" outlineLevel="0" collapsed="false">
      <c r="G1183" s="80" t="n">
        <v>1183</v>
      </c>
      <c r="H1183" s="83"/>
      <c r="I1183" s="83" t="s">
        <v>187</v>
      </c>
      <c r="J1183" s="83" t="s">
        <v>456</v>
      </c>
      <c r="M1183" s="61" t="n">
        <v>0.3</v>
      </c>
      <c r="N1183" s="61" t="s">
        <v>20</v>
      </c>
      <c r="R1183" s="82" t="str">
        <f aca="false">VLOOKUP(J1183,ingredient!$N$4:$O$553,2,0)</f>
        <v>rai</v>
      </c>
      <c r="U1183" s="81" t="str">
        <f aca="false">I1183</f>
        <v>Gauranga fried  Rice</v>
      </c>
      <c r="V1183" s="81" t="n">
        <f aca="false">VLOOKUP(U1183,recipe_ingred_list!$A$2:$B$300,2,0)</f>
        <v>26</v>
      </c>
      <c r="W1183" s="81" t="str">
        <f aca="false">"/recipes/"&amp;VLOOKUP(U1183,recipe_ingred_list!$A$2:$C$300,3,0)&amp;"/detail/"</f>
        <v>/recipes/gauranga-fried-rice/detail/</v>
      </c>
      <c r="X1183" s="81" t="str">
        <f aca="false">J1183</f>
        <v>rai</v>
      </c>
      <c r="Y1183" s="81" t="str">
        <f aca="false">R1183</f>
        <v>rai</v>
      </c>
      <c r="Z1183" s="94" t="n">
        <f aca="false">VLOOKUP(Y1183,recipe_ingred_list!$D$2:$E$500,2,0)</f>
        <v>164</v>
      </c>
      <c r="AA1183" s="61" t="n">
        <f aca="false">K1183</f>
        <v>0</v>
      </c>
      <c r="AB1183" s="61" t="n">
        <f aca="false">L1183</f>
        <v>0</v>
      </c>
      <c r="AC1183" s="61" t="n">
        <f aca="false">VLOOKUP(AB1183,recipe_ingred_list!$K$2:$M$7,3,0)</f>
        <v>2</v>
      </c>
      <c r="AD1183" s="61" t="n">
        <f aca="false">M1183</f>
        <v>0.3</v>
      </c>
      <c r="AE1183" s="61" t="str">
        <f aca="false">N1183</f>
        <v>cup</v>
      </c>
      <c r="AF1183" s="61" t="n">
        <f aca="false">VLOOKUP(AE1183,recipe_ingred_list!$K$16:$M$25,3,0)</f>
        <v>5</v>
      </c>
      <c r="AG1183" s="61" t="n">
        <f aca="false">O1183</f>
        <v>0</v>
      </c>
      <c r="AH1183" s="61" t="n">
        <f aca="false">P1183</f>
        <v>0</v>
      </c>
      <c r="AI1183" s="61" t="n">
        <f aca="false">VLOOKUP(AH1183,recipe_ingred_list!$K$29:$M$34,3,0)</f>
        <v>3</v>
      </c>
      <c r="AJ1183" s="61" t="str">
        <f aca="false">IF(Q1183="","",Q1183)</f>
        <v/>
      </c>
      <c r="AK1183" s="61" t="n">
        <f aca="false">AK1182+1</f>
        <v>1183</v>
      </c>
      <c r="AL1183" s="61" t="str">
        <f aca="false">Y1183</f>
        <v>rai</v>
      </c>
      <c r="AM1183" s="81" t="str">
        <f aca="false">"a = Client().post('"&amp;W1183&amp;"', {'recipe' : '"&amp;V1183&amp;"', 'ingredient' : '"&amp;Z1183&amp;"', 'name' : '"&amp;X1183&amp;"', 'mass_unit' : '"&amp;AC1183&amp;"', 'mass_quantity' : '"&amp;ROUND(AA1183,3)&amp;"', 'volume_unit' : '"&amp;AF1183&amp;"', 'volume_quantity' : '"&amp;ROUND(AD1183,3)&amp;"', 'pieces_unit' : '"&amp;AI1183&amp;"', 'pieces_quantity' : '"&amp;ROUND(AG1183,3)&amp;"', 'cooking_notes' : '"&amp;AJ1183&amp;"'}).status_code; print('%s :: %s :: %s :: %s :: %s' %(a,"&amp;G1183&amp;",'"&amp;X1183&amp;"','"&amp;Y1183&amp;"','"&amp;U1183&amp;"'))"</f>
        <v>a = Client().post('/recipes/gauranga-fried-rice/detail/', {'recipe' : '26', 'ingredient' : '164', 'name' : 'rai', 'mass_unit' : '2', 'mass_quantity' : '0', 'volume_unit' : '5', 'volume_quantity' : '0.3', 'pieces_unit' : '3', 'pieces_quantity' : '0', 'cooking_notes' : ''}).status_code; print('%s :: %s :: %s :: %s :: %s' %(a,1183,'rai','rai','Gauranga fried  Rice'))</v>
      </c>
    </row>
    <row r="1184" customFormat="false" ht="13.8" hidden="false" customHeight="false" outlineLevel="0" collapsed="false">
      <c r="G1184" s="80" t="n">
        <v>1184</v>
      </c>
      <c r="H1184" s="83"/>
      <c r="I1184" s="83" t="s">
        <v>187</v>
      </c>
      <c r="J1184" s="83" t="s">
        <v>398</v>
      </c>
      <c r="M1184" s="61" t="n">
        <v>0.3</v>
      </c>
      <c r="N1184" s="61" t="s">
        <v>20</v>
      </c>
      <c r="R1184" s="82" t="str">
        <f aca="false">VLOOKUP(J1184,ingredient!$N$4:$O$553,2,0)</f>
        <v>jeera</v>
      </c>
      <c r="U1184" s="81" t="str">
        <f aca="false">I1184</f>
        <v>Gauranga fried  Rice</v>
      </c>
      <c r="V1184" s="81" t="n">
        <f aca="false">VLOOKUP(U1184,recipe_ingred_list!$A$2:$B$300,2,0)</f>
        <v>26</v>
      </c>
      <c r="W1184" s="81" t="str">
        <f aca="false">"/recipes/"&amp;VLOOKUP(U1184,recipe_ingred_list!$A$2:$C$300,3,0)&amp;"/detail/"</f>
        <v>/recipes/gauranga-fried-rice/detail/</v>
      </c>
      <c r="X1184" s="81" t="str">
        <f aca="false">J1184</f>
        <v>jeera</v>
      </c>
      <c r="Y1184" s="81" t="str">
        <f aca="false">R1184</f>
        <v>jeera</v>
      </c>
      <c r="Z1184" s="94" t="n">
        <f aca="false">VLOOKUP(Y1184,recipe_ingred_list!$D$2:$E$500,2,0)</f>
        <v>102</v>
      </c>
      <c r="AA1184" s="61" t="n">
        <f aca="false">K1184</f>
        <v>0</v>
      </c>
      <c r="AB1184" s="61" t="n">
        <f aca="false">L1184</f>
        <v>0</v>
      </c>
      <c r="AC1184" s="61" t="n">
        <f aca="false">VLOOKUP(AB1184,recipe_ingred_list!$K$2:$M$7,3,0)</f>
        <v>2</v>
      </c>
      <c r="AD1184" s="61" t="n">
        <f aca="false">M1184</f>
        <v>0.3</v>
      </c>
      <c r="AE1184" s="61" t="str">
        <f aca="false">N1184</f>
        <v>cup</v>
      </c>
      <c r="AF1184" s="61" t="n">
        <f aca="false">VLOOKUP(AE1184,recipe_ingred_list!$K$16:$M$25,3,0)</f>
        <v>5</v>
      </c>
      <c r="AG1184" s="61" t="n">
        <f aca="false">O1184</f>
        <v>0</v>
      </c>
      <c r="AH1184" s="61" t="n">
        <f aca="false">P1184</f>
        <v>0</v>
      </c>
      <c r="AI1184" s="61" t="n">
        <f aca="false">VLOOKUP(AH1184,recipe_ingred_list!$K$29:$M$34,3,0)</f>
        <v>3</v>
      </c>
      <c r="AJ1184" s="61" t="str">
        <f aca="false">IF(Q1184="","",Q1184)</f>
        <v/>
      </c>
      <c r="AK1184" s="61" t="n">
        <f aca="false">AK1183+1</f>
        <v>1184</v>
      </c>
      <c r="AL1184" s="61" t="str">
        <f aca="false">Y1184</f>
        <v>jeera</v>
      </c>
      <c r="AM1184" s="81" t="str">
        <f aca="false">"a = Client().post('"&amp;W1184&amp;"', {'recipe' : '"&amp;V1184&amp;"', 'ingredient' : '"&amp;Z1184&amp;"', 'name' : '"&amp;X1184&amp;"', 'mass_unit' : '"&amp;AC1184&amp;"', 'mass_quantity' : '"&amp;ROUND(AA1184,3)&amp;"', 'volume_unit' : '"&amp;AF1184&amp;"', 'volume_quantity' : '"&amp;ROUND(AD1184,3)&amp;"', 'pieces_unit' : '"&amp;AI1184&amp;"', 'pieces_quantity' : '"&amp;ROUND(AG1184,3)&amp;"', 'cooking_notes' : '"&amp;AJ1184&amp;"'}).status_code; print('%s :: %s :: %s :: %s :: %s' %(a,"&amp;G1184&amp;",'"&amp;X1184&amp;"','"&amp;Y1184&amp;"','"&amp;U1184&amp;"'))"</f>
        <v>a = Client().post('/recipes/gauranga-fried-rice/detail/', {'recipe' : '26', 'ingredient' : '102', 'name' : 'jeera', 'mass_unit' : '2', 'mass_quantity' : '0', 'volume_unit' : '5', 'volume_quantity' : '0.3', 'pieces_unit' : '3', 'pieces_quantity' : '0', 'cooking_notes' : ''}).status_code; print('%s :: %s :: %s :: %s :: %s' %(a,1184,'jeera','jeera','Gauranga fried  Rice'))</v>
      </c>
    </row>
    <row r="1185" customFormat="false" ht="13.8" hidden="false" customHeight="false" outlineLevel="0" collapsed="false">
      <c r="G1185" s="80" t="n">
        <v>1185</v>
      </c>
      <c r="H1185" s="83"/>
      <c r="I1185" s="83" t="s">
        <v>187</v>
      </c>
      <c r="J1185" s="83" t="s">
        <v>903</v>
      </c>
      <c r="M1185" s="61" t="n">
        <v>0.3</v>
      </c>
      <c r="N1185" s="61" t="s">
        <v>20</v>
      </c>
      <c r="R1185" s="82" t="str">
        <f aca="false">VLOOKUP(J1185,ingredient!$N$4:$O$553,2,0)</f>
        <v>kashmiri chilly powder</v>
      </c>
      <c r="U1185" s="81" t="str">
        <f aca="false">I1185</f>
        <v>Gauranga fried  Rice</v>
      </c>
      <c r="V1185" s="81" t="n">
        <f aca="false">VLOOKUP(U1185,recipe_ingred_list!$A$2:$B$300,2,0)</f>
        <v>26</v>
      </c>
      <c r="W1185" s="81" t="str">
        <f aca="false">"/recipes/"&amp;VLOOKUP(U1185,recipe_ingred_list!$A$2:$C$300,3,0)&amp;"/detail/"</f>
        <v>/recipes/gauranga-fried-rice/detail/</v>
      </c>
      <c r="X1185" s="81" t="str">
        <f aca="false">J1185</f>
        <v>kashmiri chilly PWD</v>
      </c>
      <c r="Y1185" s="81" t="str">
        <f aca="false">R1185</f>
        <v>kashmiri chilly powder</v>
      </c>
      <c r="Z1185" s="94" t="n">
        <f aca="false">VLOOKUP(Y1185,recipe_ingred_list!$D$2:$E$500,2,0)</f>
        <v>117</v>
      </c>
      <c r="AA1185" s="61" t="n">
        <f aca="false">K1185</f>
        <v>0</v>
      </c>
      <c r="AB1185" s="61" t="n">
        <f aca="false">L1185</f>
        <v>0</v>
      </c>
      <c r="AC1185" s="61" t="n">
        <f aca="false">VLOOKUP(AB1185,recipe_ingred_list!$K$2:$M$7,3,0)</f>
        <v>2</v>
      </c>
      <c r="AD1185" s="61" t="n">
        <f aca="false">M1185</f>
        <v>0.3</v>
      </c>
      <c r="AE1185" s="61" t="str">
        <f aca="false">N1185</f>
        <v>cup</v>
      </c>
      <c r="AF1185" s="61" t="n">
        <f aca="false">VLOOKUP(AE1185,recipe_ingred_list!$K$16:$M$25,3,0)</f>
        <v>5</v>
      </c>
      <c r="AG1185" s="61" t="n">
        <f aca="false">O1185</f>
        <v>0</v>
      </c>
      <c r="AH1185" s="61" t="n">
        <f aca="false">P1185</f>
        <v>0</v>
      </c>
      <c r="AI1185" s="61" t="n">
        <f aca="false">VLOOKUP(AH1185,recipe_ingred_list!$K$29:$M$34,3,0)</f>
        <v>3</v>
      </c>
      <c r="AJ1185" s="61" t="str">
        <f aca="false">IF(Q1185="","",Q1185)</f>
        <v/>
      </c>
      <c r="AK1185" s="61" t="n">
        <f aca="false">AK1184+1</f>
        <v>1185</v>
      </c>
      <c r="AL1185" s="61" t="str">
        <f aca="false">Y1185</f>
        <v>kashmiri chilly powder</v>
      </c>
      <c r="AM1185" s="81" t="str">
        <f aca="false">"a = Client().post('"&amp;W1185&amp;"', {'recipe' : '"&amp;V1185&amp;"', 'ingredient' : '"&amp;Z1185&amp;"', 'name' : '"&amp;X1185&amp;"', 'mass_unit' : '"&amp;AC1185&amp;"', 'mass_quantity' : '"&amp;ROUND(AA1185,3)&amp;"', 'volume_unit' : '"&amp;AF1185&amp;"', 'volume_quantity' : '"&amp;ROUND(AD1185,3)&amp;"', 'pieces_unit' : '"&amp;AI1185&amp;"', 'pieces_quantity' : '"&amp;ROUND(AG1185,3)&amp;"', 'cooking_notes' : '"&amp;AJ1185&amp;"'}).status_code; print('%s :: %s :: %s :: %s :: %s' %(a,"&amp;G1185&amp;",'"&amp;X1185&amp;"','"&amp;Y1185&amp;"','"&amp;U1185&amp;"'))"</f>
        <v>a = Client().post('/recipes/gauranga-fried-rice/detail/', {'recipe' : '26', 'ingredient' : '117', 'name' : 'kashmiri chilly PWD', 'mass_unit' : '2', 'mass_quantity' : '0', 'volume_unit' : '5', 'volume_quantity' : '0.3', 'pieces_unit' : '3', 'pieces_quantity' : '0', 'cooking_notes' : ''}).status_code; print('%s :: %s :: %s :: %s :: %s' %(a,1185,'kashmiri chilly PWD','kashmiri chilly powder','Gauranga fried  Rice'))</v>
      </c>
    </row>
    <row r="1186" customFormat="false" ht="13.8" hidden="false" customHeight="false" outlineLevel="0" collapsed="false">
      <c r="G1186" s="80" t="n">
        <v>1186</v>
      </c>
      <c r="H1186" s="83"/>
      <c r="I1186" s="83" t="s">
        <v>187</v>
      </c>
      <c r="J1186" s="83" t="s">
        <v>391</v>
      </c>
      <c r="M1186" s="61" t="n">
        <v>0.2</v>
      </c>
      <c r="N1186" s="61" t="s">
        <v>20</v>
      </c>
      <c r="R1186" s="82" t="str">
        <f aca="false">VLOOKUP(J1186,ingredient!$N$4:$O$553,2,0)</f>
        <v>hing</v>
      </c>
      <c r="U1186" s="81" t="str">
        <f aca="false">I1186</f>
        <v>Gauranga fried  Rice</v>
      </c>
      <c r="V1186" s="81" t="n">
        <f aca="false">VLOOKUP(U1186,recipe_ingred_list!$A$2:$B$300,2,0)</f>
        <v>26</v>
      </c>
      <c r="W1186" s="81" t="str">
        <f aca="false">"/recipes/"&amp;VLOOKUP(U1186,recipe_ingred_list!$A$2:$C$300,3,0)&amp;"/detail/"</f>
        <v>/recipes/gauranga-fried-rice/detail/</v>
      </c>
      <c r="X1186" s="81" t="str">
        <f aca="false">J1186</f>
        <v>hing</v>
      </c>
      <c r="Y1186" s="81" t="str">
        <f aca="false">R1186</f>
        <v>hing</v>
      </c>
      <c r="Z1186" s="94" t="n">
        <f aca="false">VLOOKUP(Y1186,recipe_ingred_list!$D$2:$E$500,2,0)</f>
        <v>95</v>
      </c>
      <c r="AA1186" s="61" t="n">
        <f aca="false">K1186</f>
        <v>0</v>
      </c>
      <c r="AB1186" s="61" t="n">
        <f aca="false">L1186</f>
        <v>0</v>
      </c>
      <c r="AC1186" s="61" t="n">
        <f aca="false">VLOOKUP(AB1186,recipe_ingred_list!$K$2:$M$7,3,0)</f>
        <v>2</v>
      </c>
      <c r="AD1186" s="61" t="n">
        <f aca="false">M1186</f>
        <v>0.2</v>
      </c>
      <c r="AE1186" s="61" t="str">
        <f aca="false">N1186</f>
        <v>cup</v>
      </c>
      <c r="AF1186" s="61" t="n">
        <f aca="false">VLOOKUP(AE1186,recipe_ingred_list!$K$16:$M$25,3,0)</f>
        <v>5</v>
      </c>
      <c r="AG1186" s="61" t="n">
        <f aca="false">O1186</f>
        <v>0</v>
      </c>
      <c r="AH1186" s="61" t="n">
        <f aca="false">P1186</f>
        <v>0</v>
      </c>
      <c r="AI1186" s="61" t="n">
        <f aca="false">VLOOKUP(AH1186,recipe_ingred_list!$K$29:$M$34,3,0)</f>
        <v>3</v>
      </c>
      <c r="AJ1186" s="61" t="str">
        <f aca="false">IF(Q1186="","",Q1186)</f>
        <v/>
      </c>
      <c r="AK1186" s="61" t="n">
        <f aca="false">AK1185+1</f>
        <v>1186</v>
      </c>
      <c r="AL1186" s="61" t="str">
        <f aca="false">Y1186</f>
        <v>hing</v>
      </c>
      <c r="AM1186" s="81" t="str">
        <f aca="false">"a = Client().post('"&amp;W1186&amp;"', {'recipe' : '"&amp;V1186&amp;"', 'ingredient' : '"&amp;Z1186&amp;"', 'name' : '"&amp;X1186&amp;"', 'mass_unit' : '"&amp;AC1186&amp;"', 'mass_quantity' : '"&amp;ROUND(AA1186,3)&amp;"', 'volume_unit' : '"&amp;AF1186&amp;"', 'volume_quantity' : '"&amp;ROUND(AD1186,3)&amp;"', 'pieces_unit' : '"&amp;AI1186&amp;"', 'pieces_quantity' : '"&amp;ROUND(AG1186,3)&amp;"', 'cooking_notes' : '"&amp;AJ1186&amp;"'}).status_code; print('%s :: %s :: %s :: %s :: %s' %(a,"&amp;G1186&amp;",'"&amp;X1186&amp;"','"&amp;Y1186&amp;"','"&amp;U1186&amp;"'))"</f>
        <v>a = Client().post('/recipes/gauranga-fried-rice/detail/', {'recipe' : '26', 'ingredient' : '95', 'name' : 'hing', 'mass_unit' : '2', 'mass_quantity' : '0', 'volume_unit' : '5', 'volume_quantity' : '0.2', 'pieces_unit' : '3', 'pieces_quantity' : '0', 'cooking_notes' : ''}).status_code; print('%s :: %s :: %s :: %s :: %s' %(a,1186,'hing','hing','Gauranga fried  Rice'))</v>
      </c>
    </row>
    <row r="1187" customFormat="false" ht="13.8" hidden="false" customHeight="false" outlineLevel="0" collapsed="false">
      <c r="G1187" s="80" t="n">
        <v>1187</v>
      </c>
      <c r="H1187" s="83"/>
      <c r="I1187" s="83" t="s">
        <v>187</v>
      </c>
      <c r="J1187" s="83" t="s">
        <v>96</v>
      </c>
      <c r="M1187" s="61" t="n">
        <v>1.2</v>
      </c>
      <c r="N1187" s="61" t="s">
        <v>20</v>
      </c>
      <c r="R1187" s="82" t="str">
        <f aca="false">VLOOKUP(J1187,ingredient!$N$4:$O$553,2,0)</f>
        <v>salt</v>
      </c>
      <c r="U1187" s="81" t="str">
        <f aca="false">I1187</f>
        <v>Gauranga fried  Rice</v>
      </c>
      <c r="V1187" s="81" t="n">
        <f aca="false">VLOOKUP(U1187,recipe_ingred_list!$A$2:$B$300,2,0)</f>
        <v>26</v>
      </c>
      <c r="W1187" s="81" t="str">
        <f aca="false">"/recipes/"&amp;VLOOKUP(U1187,recipe_ingred_list!$A$2:$C$300,3,0)&amp;"/detail/"</f>
        <v>/recipes/gauranga-fried-rice/detail/</v>
      </c>
      <c r="X1187" s="81" t="str">
        <f aca="false">J1187</f>
        <v>salt</v>
      </c>
      <c r="Y1187" s="81" t="str">
        <f aca="false">R1187</f>
        <v>salt</v>
      </c>
      <c r="Z1187" s="94" t="n">
        <f aca="false">VLOOKUP(Y1187,recipe_ingred_list!$D$2:$E$500,2,0)</f>
        <v>177</v>
      </c>
      <c r="AA1187" s="61" t="n">
        <f aca="false">K1187</f>
        <v>0</v>
      </c>
      <c r="AB1187" s="61" t="n">
        <f aca="false">L1187</f>
        <v>0</v>
      </c>
      <c r="AC1187" s="61" t="n">
        <f aca="false">VLOOKUP(AB1187,recipe_ingred_list!$K$2:$M$7,3,0)</f>
        <v>2</v>
      </c>
      <c r="AD1187" s="61" t="n">
        <f aca="false">M1187</f>
        <v>1.2</v>
      </c>
      <c r="AE1187" s="61" t="str">
        <f aca="false">N1187</f>
        <v>cup</v>
      </c>
      <c r="AF1187" s="61" t="n">
        <f aca="false">VLOOKUP(AE1187,recipe_ingred_list!$K$16:$M$25,3,0)</f>
        <v>5</v>
      </c>
      <c r="AG1187" s="61" t="n">
        <f aca="false">O1187</f>
        <v>0</v>
      </c>
      <c r="AH1187" s="61" t="n">
        <f aca="false">P1187</f>
        <v>0</v>
      </c>
      <c r="AI1187" s="61" t="n">
        <f aca="false">VLOOKUP(AH1187,recipe_ingred_list!$K$29:$M$34,3,0)</f>
        <v>3</v>
      </c>
      <c r="AJ1187" s="61" t="str">
        <f aca="false">IF(Q1187="","",Q1187)</f>
        <v/>
      </c>
      <c r="AK1187" s="61" t="n">
        <f aca="false">AK1186+1</f>
        <v>1187</v>
      </c>
      <c r="AL1187" s="61" t="str">
        <f aca="false">Y1187</f>
        <v>salt</v>
      </c>
      <c r="AM1187" s="81" t="str">
        <f aca="false">"a = Client().post('"&amp;W1187&amp;"', {'recipe' : '"&amp;V1187&amp;"', 'ingredient' : '"&amp;Z1187&amp;"', 'name' : '"&amp;X1187&amp;"', 'mass_unit' : '"&amp;AC1187&amp;"', 'mass_quantity' : '"&amp;ROUND(AA1187,3)&amp;"', 'volume_unit' : '"&amp;AF1187&amp;"', 'volume_quantity' : '"&amp;ROUND(AD1187,3)&amp;"', 'pieces_unit' : '"&amp;AI1187&amp;"', 'pieces_quantity' : '"&amp;ROUND(AG1187,3)&amp;"', 'cooking_notes' : '"&amp;AJ1187&amp;"'}).status_code; print('%s :: %s :: %s :: %s :: %s' %(a,"&amp;G1187&amp;",'"&amp;X1187&amp;"','"&amp;Y1187&amp;"','"&amp;U1187&amp;"'))"</f>
        <v>a = Client().post('/recipes/gauranga-fried-rice/detail/', {'recipe' : '26', 'ingredient' : '177', 'name' : 'salt', 'mass_unit' : '2', 'mass_quantity' : '0', 'volume_unit' : '5', 'volume_quantity' : '1.2', 'pieces_unit' : '3', 'pieces_quantity' : '0', 'cooking_notes' : ''}).status_code; print('%s :: %s :: %s :: %s :: %s' %(a,1187,'salt','salt','Gauranga fried  Rice'))</v>
      </c>
    </row>
    <row r="1188" customFormat="false" ht="13.8" hidden="false" customHeight="false" outlineLevel="0" collapsed="false">
      <c r="G1188" s="80" t="n">
        <v>1188</v>
      </c>
      <c r="H1188" s="79"/>
      <c r="I1188" s="79"/>
      <c r="J1188" s="79"/>
      <c r="K1188" s="100"/>
      <c r="L1188" s="100"/>
      <c r="M1188" s="100"/>
      <c r="N1188" s="100"/>
      <c r="O1188" s="100"/>
      <c r="P1188" s="100"/>
      <c r="Q1188" s="102"/>
      <c r="R1188" s="99" t="e">
        <f aca="false">VLOOKUP(J1188,ingredient!$N$4:$O$553,2,0)</f>
        <v>#N/A</v>
      </c>
      <c r="S1188" s="98"/>
      <c r="T1188" s="98"/>
      <c r="U1188" s="81" t="n">
        <f aca="false">I1188</f>
        <v>0</v>
      </c>
      <c r="V1188" s="81" t="e">
        <f aca="false">VLOOKUP(U1188,recipe_ingred_list!$A$2:$B$300,2,0)</f>
        <v>#N/A</v>
      </c>
      <c r="W1188" s="81" t="e">
        <f aca="false">"/recipes/"&amp;VLOOKUP(U1188,recipe_ingred_list!$A$2:$C$300,3,0)&amp;"/detail/"</f>
        <v>#N/A</v>
      </c>
      <c r="X1188" s="81" t="n">
        <f aca="false">J1188</f>
        <v>0</v>
      </c>
      <c r="Y1188" s="81" t="e">
        <f aca="false">R1188</f>
        <v>#N/A</v>
      </c>
      <c r="Z1188" s="94" t="e">
        <f aca="false">VLOOKUP(Y1188,recipe_ingred_list!$D$2:$E$500,2,0)</f>
        <v>#N/A</v>
      </c>
      <c r="AA1188" s="61" t="n">
        <f aca="false">K1188</f>
        <v>0</v>
      </c>
      <c r="AB1188" s="61" t="n">
        <f aca="false">L1188</f>
        <v>0</v>
      </c>
      <c r="AC1188" s="61" t="n">
        <f aca="false">VLOOKUP(AB1188,recipe_ingred_list!$K$2:$M$7,3,0)</f>
        <v>2</v>
      </c>
      <c r="AD1188" s="61" t="n">
        <f aca="false">M1188</f>
        <v>0</v>
      </c>
      <c r="AE1188" s="61" t="n">
        <f aca="false">N1188</f>
        <v>0</v>
      </c>
      <c r="AF1188" s="61" t="n">
        <f aca="false">VLOOKUP(AE1188,recipe_ingred_list!$K$16:$M$25,3,0)</f>
        <v>1</v>
      </c>
      <c r="AG1188" s="61" t="n">
        <f aca="false">O1188</f>
        <v>0</v>
      </c>
      <c r="AH1188" s="61" t="n">
        <f aca="false">P1188</f>
        <v>0</v>
      </c>
      <c r="AI1188" s="61" t="n">
        <f aca="false">VLOOKUP(AH1188,recipe_ingred_list!$K$29:$M$34,3,0)</f>
        <v>3</v>
      </c>
      <c r="AJ1188" s="61" t="str">
        <f aca="false">IF(Q1188="","",Q1188)</f>
        <v/>
      </c>
      <c r="AK1188" s="61" t="n">
        <f aca="false">AK1187+1</f>
        <v>1188</v>
      </c>
      <c r="AL1188" s="61" t="e">
        <f aca="false">Y1188</f>
        <v>#N/A</v>
      </c>
      <c r="AM1188" s="81" t="e">
        <f aca="false">"a = Client().post('"&amp;W1188&amp;"', {'recipe' : '"&amp;V1188&amp;"', 'ingredient' : '"&amp;Z1188&amp;"', 'name' : '"&amp;X1188&amp;"', 'mass_unit' : '"&amp;AC1188&amp;"', 'mass_quantity' : '"&amp;ROUND(AA1188,3)&amp;"', 'volume_unit' : '"&amp;AF1188&amp;"', 'volume_quantity' : '"&amp;ROUND(AD1188,3)&amp;"', 'pieces_unit' : '"&amp;AI1188&amp;"', 'pieces_quantity' : '"&amp;ROUND(AG1188,3)&amp;"', 'cooking_notes' : '"&amp;AJ1188&amp;"'}).status_code; print('%s :: %s :: %s :: %s :: %s' %(a,"&amp;G1188&amp;",'"&amp;X1188&amp;"','"&amp;Y1188&amp;"','"&amp;U1188&amp;"'))"</f>
        <v>#N/A</v>
      </c>
    </row>
    <row r="1189" customFormat="false" ht="13.8" hidden="false" customHeight="false" outlineLevel="0" collapsed="false">
      <c r="G1189" s="80" t="n">
        <v>1189</v>
      </c>
      <c r="H1189" s="83"/>
      <c r="I1189" s="83" t="s">
        <v>181</v>
      </c>
      <c r="J1189" s="83" t="s">
        <v>11</v>
      </c>
      <c r="K1189" s="61" t="n">
        <v>6</v>
      </c>
      <c r="L1189" s="61" t="s">
        <v>7</v>
      </c>
      <c r="R1189" s="82" t="str">
        <f aca="false">VLOOKUP(J1189,ingredient!$N$4:$O$553,2,0)</f>
        <v>gajar</v>
      </c>
      <c r="U1189" s="81" t="str">
        <f aca="false">I1189</f>
        <v>EKADASHI UPMA</v>
      </c>
      <c r="V1189" s="81" t="n">
        <f aca="false">VLOOKUP(U1189,recipe_ingred_list!$A$2:$B$300,2,0)</f>
        <v>24</v>
      </c>
      <c r="W1189" s="81" t="str">
        <f aca="false">"/recipes/"&amp;VLOOKUP(U1189,recipe_ingred_list!$A$2:$C$300,3,0)&amp;"/detail/"</f>
        <v>/recipes/ekadashi-upma/detail/</v>
      </c>
      <c r="X1189" s="81" t="str">
        <f aca="false">J1189</f>
        <v>Gajar</v>
      </c>
      <c r="Y1189" s="81" t="str">
        <f aca="false">R1189</f>
        <v>gajar</v>
      </c>
      <c r="Z1189" s="94" t="n">
        <f aca="false">VLOOKUP(Y1189,recipe_ingred_list!$D$2:$E$500,2,0)</f>
        <v>79</v>
      </c>
      <c r="AA1189" s="61" t="n">
        <f aca="false">K1189</f>
        <v>6</v>
      </c>
      <c r="AB1189" s="61" t="str">
        <f aca="false">L1189</f>
        <v>kg</v>
      </c>
      <c r="AC1189" s="61" t="n">
        <f aca="false">VLOOKUP(AB1189,recipe_ingred_list!$K$2:$M$7,3,0)</f>
        <v>2</v>
      </c>
      <c r="AD1189" s="61" t="n">
        <f aca="false">M1189</f>
        <v>0</v>
      </c>
      <c r="AE1189" s="61" t="n">
        <f aca="false">N1189</f>
        <v>0</v>
      </c>
      <c r="AF1189" s="61" t="n">
        <f aca="false">VLOOKUP(AE1189,recipe_ingred_list!$K$16:$M$25,3,0)</f>
        <v>1</v>
      </c>
      <c r="AG1189" s="61" t="n">
        <f aca="false">O1189</f>
        <v>0</v>
      </c>
      <c r="AH1189" s="61" t="n">
        <f aca="false">P1189</f>
        <v>0</v>
      </c>
      <c r="AI1189" s="61" t="n">
        <f aca="false">VLOOKUP(AH1189,recipe_ingred_list!$K$29:$M$34,3,0)</f>
        <v>3</v>
      </c>
      <c r="AJ1189" s="61" t="str">
        <f aca="false">IF(Q1189="","",Q1189)</f>
        <v/>
      </c>
      <c r="AK1189" s="61" t="n">
        <f aca="false">AK1188+1</f>
        <v>1189</v>
      </c>
      <c r="AL1189" s="61" t="str">
        <f aca="false">Y1189</f>
        <v>gajar</v>
      </c>
      <c r="AM1189" s="81" t="str">
        <f aca="false">"a = Client().post('"&amp;W1189&amp;"', {'recipe' : '"&amp;V1189&amp;"', 'ingredient' : '"&amp;Z1189&amp;"', 'name' : '"&amp;X1189&amp;"', 'mass_unit' : '"&amp;AC1189&amp;"', 'mass_quantity' : '"&amp;ROUND(AA1189,3)&amp;"', 'volume_unit' : '"&amp;AF1189&amp;"', 'volume_quantity' : '"&amp;ROUND(AD1189,3)&amp;"', 'pieces_unit' : '"&amp;AI1189&amp;"', 'pieces_quantity' : '"&amp;ROUND(AG1189,3)&amp;"', 'cooking_notes' : '"&amp;AJ1189&amp;"'}).status_code; print('%s :: %s :: %s :: %s :: %s' %(a,"&amp;G1189&amp;",'"&amp;X1189&amp;"','"&amp;Y1189&amp;"','"&amp;U1189&amp;"'))"</f>
        <v>a = Client().post('/recipes/ekadashi-upma/detail/', {'recipe' : '24', 'ingredient' : '79', 'name' : 'Gajar', 'mass_unit' : '2', 'mass_quantity' : '6', 'volume_unit' : '1', 'volume_quantity' : '0', 'pieces_unit' : '3', 'pieces_quantity' : '0', 'cooking_notes' : ''}).status_code; print('%s :: %s :: %s :: %s :: %s' %(a,1189,'Gajar','gajar','EKADASHI UPMA'))</v>
      </c>
    </row>
    <row r="1190" customFormat="false" ht="13.8" hidden="false" customHeight="false" outlineLevel="0" collapsed="false">
      <c r="G1190" s="80" t="n">
        <v>1190</v>
      </c>
      <c r="H1190" s="83"/>
      <c r="I1190" s="83" t="s">
        <v>181</v>
      </c>
      <c r="J1190" s="83" t="s">
        <v>801</v>
      </c>
      <c r="M1190" s="61" t="n">
        <v>1</v>
      </c>
      <c r="N1190" s="61" t="s">
        <v>13</v>
      </c>
      <c r="R1190" s="82" t="str">
        <f aca="false">VLOOKUP(J1190,ingredient!$N$4:$O$553,2,0)</f>
        <v>hari mirchi</v>
      </c>
      <c r="U1190" s="81" t="str">
        <f aca="false">I1190</f>
        <v>EKADASHI UPMA</v>
      </c>
      <c r="V1190" s="81" t="n">
        <f aca="false">VLOOKUP(U1190,recipe_ingred_list!$A$2:$B$300,2,0)</f>
        <v>24</v>
      </c>
      <c r="W1190" s="81" t="str">
        <f aca="false">"/recipes/"&amp;VLOOKUP(U1190,recipe_ingred_list!$A$2:$C$300,3,0)&amp;"/detail/"</f>
        <v>/recipes/ekadashi-upma/detail/</v>
      </c>
      <c r="X1190" s="81" t="str">
        <f aca="false">J1190</f>
        <v>green chilly</v>
      </c>
      <c r="Y1190" s="81" t="str">
        <f aca="false">R1190</f>
        <v>hari mirchi</v>
      </c>
      <c r="Z1190" s="94" t="n">
        <f aca="false">VLOOKUP(Y1190,recipe_ingred_list!$D$2:$E$500,2,0)</f>
        <v>93</v>
      </c>
      <c r="AA1190" s="61" t="n">
        <f aca="false">K1190</f>
        <v>0</v>
      </c>
      <c r="AB1190" s="61" t="n">
        <f aca="false">L1190</f>
        <v>0</v>
      </c>
      <c r="AC1190" s="61" t="n">
        <f aca="false">VLOOKUP(AB1190,recipe_ingred_list!$K$2:$M$7,3,0)</f>
        <v>2</v>
      </c>
      <c r="AD1190" s="61" t="n">
        <f aca="false">M1190</f>
        <v>1</v>
      </c>
      <c r="AE1190" s="61" t="str">
        <f aca="false">N1190</f>
        <v>ltr</v>
      </c>
      <c r="AF1190" s="61" t="n">
        <f aca="false">VLOOKUP(AE1190,recipe_ingred_list!$K$16:$M$25,3,0)</f>
        <v>1</v>
      </c>
      <c r="AG1190" s="61" t="n">
        <f aca="false">O1190</f>
        <v>0</v>
      </c>
      <c r="AH1190" s="61" t="n">
        <f aca="false">P1190</f>
        <v>0</v>
      </c>
      <c r="AI1190" s="61" t="n">
        <f aca="false">VLOOKUP(AH1190,recipe_ingred_list!$K$29:$M$34,3,0)</f>
        <v>3</v>
      </c>
      <c r="AJ1190" s="61" t="str">
        <f aca="false">IF(Q1190="","",Q1190)</f>
        <v/>
      </c>
      <c r="AK1190" s="61" t="n">
        <f aca="false">AK1189+1</f>
        <v>1190</v>
      </c>
      <c r="AL1190" s="61" t="str">
        <f aca="false">Y1190</f>
        <v>hari mirchi</v>
      </c>
      <c r="AM1190" s="81" t="str">
        <f aca="false">"a = Client().post('"&amp;W1190&amp;"', {'recipe' : '"&amp;V1190&amp;"', 'ingredient' : '"&amp;Z1190&amp;"', 'name' : '"&amp;X1190&amp;"', 'mass_unit' : '"&amp;AC1190&amp;"', 'mass_quantity' : '"&amp;ROUND(AA1190,3)&amp;"', 'volume_unit' : '"&amp;AF1190&amp;"', 'volume_quantity' : '"&amp;ROUND(AD1190,3)&amp;"', 'pieces_unit' : '"&amp;AI1190&amp;"', 'pieces_quantity' : '"&amp;ROUND(AG1190,3)&amp;"', 'cooking_notes' : '"&amp;AJ1190&amp;"'}).status_code; print('%s :: %s :: %s :: %s :: %s' %(a,"&amp;G1190&amp;",'"&amp;X1190&amp;"','"&amp;Y1190&amp;"','"&amp;U1190&amp;"'))"</f>
        <v>a = Client().post('/recipes/ekadashi-upma/detail/', {'recipe' : '24', 'ingredient' : '93', 'name' : 'green chilly', 'mass_unit' : '2', 'mass_quantity' : '0', 'volume_unit' : '1', 'volume_quantity' : '1', 'pieces_unit' : '3', 'pieces_quantity' : '0', 'cooking_notes' : ''}).status_code; print('%s :: %s :: %s :: %s :: %s' %(a,1190,'green chilly','hari mirchi','EKADASHI UPMA'))</v>
      </c>
    </row>
    <row r="1191" customFormat="false" ht="14.9" hidden="false" customHeight="false" outlineLevel="0" collapsed="false">
      <c r="G1191" s="80" t="n">
        <v>1191</v>
      </c>
      <c r="H1191" s="83"/>
      <c r="I1191" s="83" t="s">
        <v>181</v>
      </c>
      <c r="J1191" s="83" t="s">
        <v>23</v>
      </c>
      <c r="M1191" s="61" t="n">
        <v>3</v>
      </c>
      <c r="N1191" s="61" t="s">
        <v>13</v>
      </c>
      <c r="Q1191" s="84" t="s">
        <v>904</v>
      </c>
      <c r="R1191" s="82" t="str">
        <f aca="false">VLOOKUP(J1191,ingredient!$N$4:$O$553,2,0)</f>
        <v>dhaniya patta</v>
      </c>
      <c r="U1191" s="81" t="str">
        <f aca="false">I1191</f>
        <v>EKADASHI UPMA</v>
      </c>
      <c r="V1191" s="81" t="n">
        <f aca="false">VLOOKUP(U1191,recipe_ingred_list!$A$2:$B$300,2,0)</f>
        <v>24</v>
      </c>
      <c r="W1191" s="81" t="str">
        <f aca="false">"/recipes/"&amp;VLOOKUP(U1191,recipe_ingred_list!$A$2:$C$300,3,0)&amp;"/detail/"</f>
        <v>/recipes/ekadashi-upma/detail/</v>
      </c>
      <c r="X1191" s="81" t="str">
        <f aca="false">J1191</f>
        <v>Dhania patta</v>
      </c>
      <c r="Y1191" s="81" t="str">
        <f aca="false">R1191</f>
        <v>dhaniya patta</v>
      </c>
      <c r="Z1191" s="94" t="n">
        <f aca="false">VLOOKUP(Y1191,recipe_ingred_list!$D$2:$E$500,2,0)</f>
        <v>66</v>
      </c>
      <c r="AA1191" s="61" t="n">
        <f aca="false">K1191</f>
        <v>0</v>
      </c>
      <c r="AB1191" s="61" t="n">
        <f aca="false">L1191</f>
        <v>0</v>
      </c>
      <c r="AC1191" s="61" t="n">
        <f aca="false">VLOOKUP(AB1191,recipe_ingred_list!$K$2:$M$7,3,0)</f>
        <v>2</v>
      </c>
      <c r="AD1191" s="61" t="n">
        <f aca="false">M1191</f>
        <v>3</v>
      </c>
      <c r="AE1191" s="61" t="str">
        <f aca="false">N1191</f>
        <v>ltr</v>
      </c>
      <c r="AF1191" s="61" t="n">
        <f aca="false">VLOOKUP(AE1191,recipe_ingred_list!$K$16:$M$25,3,0)</f>
        <v>1</v>
      </c>
      <c r="AG1191" s="61" t="n">
        <f aca="false">O1191</f>
        <v>0</v>
      </c>
      <c r="AH1191" s="61" t="n">
        <f aca="false">P1191</f>
        <v>0</v>
      </c>
      <c r="AI1191" s="61" t="n">
        <f aca="false">VLOOKUP(AH1191,recipe_ingred_list!$K$29:$M$34,3,0)</f>
        <v>3</v>
      </c>
      <c r="AJ1191" s="61" t="str">
        <f aca="false">IF(Q1191="","",Q1191)</f>
        <v>WATER CALCUL</v>
      </c>
      <c r="AK1191" s="61" t="n">
        <f aca="false">AK1190+1</f>
        <v>1191</v>
      </c>
      <c r="AL1191" s="61" t="str">
        <f aca="false">Y1191</f>
        <v>dhaniya patta</v>
      </c>
      <c r="AM1191" s="81" t="str">
        <f aca="false">"a = Client().post('"&amp;W1191&amp;"', {'recipe' : '"&amp;V1191&amp;"', 'ingredient' : '"&amp;Z1191&amp;"', 'name' : '"&amp;X1191&amp;"', 'mass_unit' : '"&amp;AC1191&amp;"', 'mass_quantity' : '"&amp;ROUND(AA1191,3)&amp;"', 'volume_unit' : '"&amp;AF1191&amp;"', 'volume_quantity' : '"&amp;ROUND(AD1191,3)&amp;"', 'pieces_unit' : '"&amp;AI1191&amp;"', 'pieces_quantity' : '"&amp;ROUND(AG1191,3)&amp;"', 'cooking_notes' : '"&amp;AJ1191&amp;"'}).status_code; print('%s :: %s :: %s :: %s :: %s' %(a,"&amp;G1191&amp;",'"&amp;X1191&amp;"','"&amp;Y1191&amp;"','"&amp;U1191&amp;"'))"</f>
        <v>a = Client().post('/recipes/ekadashi-upma/detail/', {'recipe' : '24', 'ingredient' : '66', 'name' : 'Dhania patta', 'mass_unit' : '2', 'mass_quantity' : '0', 'volume_unit' : '1', 'volume_quantity' : '3', 'pieces_unit' : '3', 'pieces_quantity' : '0', 'cooking_notes' : 'WATER CALCUL'}).status_code; print('%s :: %s :: %s :: %s :: %s' %(a,1191,'Dhania patta','dhaniya patta','EKADASHI UPMA'))</v>
      </c>
    </row>
    <row r="1192" customFormat="false" ht="14.9" hidden="false" customHeight="false" outlineLevel="0" collapsed="false">
      <c r="G1192" s="80" t="n">
        <v>1192</v>
      </c>
      <c r="H1192" s="83"/>
      <c r="I1192" s="83" t="s">
        <v>181</v>
      </c>
      <c r="J1192" s="83" t="s">
        <v>802</v>
      </c>
      <c r="M1192" s="61" t="n">
        <v>0.5</v>
      </c>
      <c r="N1192" s="61" t="s">
        <v>13</v>
      </c>
      <c r="Q1192" s="84" t="s">
        <v>905</v>
      </c>
      <c r="R1192" s="82" t="str">
        <f aca="false">VLOOKUP(J1192,ingredient!$N$4:$O$553,2,0)</f>
        <v>adrak</v>
      </c>
      <c r="U1192" s="81" t="str">
        <f aca="false">I1192</f>
        <v>EKADASHI UPMA</v>
      </c>
      <c r="V1192" s="81" t="n">
        <f aca="false">VLOOKUP(U1192,recipe_ingred_list!$A$2:$B$300,2,0)</f>
        <v>24</v>
      </c>
      <c r="W1192" s="81" t="str">
        <f aca="false">"/recipes/"&amp;VLOOKUP(U1192,recipe_ingred_list!$A$2:$C$300,3,0)&amp;"/detail/"</f>
        <v>/recipes/ekadashi-upma/detail/</v>
      </c>
      <c r="X1192" s="81" t="str">
        <f aca="false">J1192</f>
        <v>ginger</v>
      </c>
      <c r="Y1192" s="81" t="str">
        <f aca="false">R1192</f>
        <v>adrak</v>
      </c>
      <c r="Z1192" s="94" t="n">
        <f aca="false">VLOOKUP(Y1192,recipe_ingred_list!$D$2:$E$500,2,0)</f>
        <v>1</v>
      </c>
      <c r="AA1192" s="61" t="n">
        <f aca="false">K1192</f>
        <v>0</v>
      </c>
      <c r="AB1192" s="61" t="n">
        <f aca="false">L1192</f>
        <v>0</v>
      </c>
      <c r="AC1192" s="61" t="n">
        <f aca="false">VLOOKUP(AB1192,recipe_ingred_list!$K$2:$M$7,3,0)</f>
        <v>2</v>
      </c>
      <c r="AD1192" s="61" t="n">
        <f aca="false">M1192</f>
        <v>0.5</v>
      </c>
      <c r="AE1192" s="61" t="str">
        <f aca="false">N1192</f>
        <v>ltr</v>
      </c>
      <c r="AF1192" s="61" t="n">
        <f aca="false">VLOOKUP(AE1192,recipe_ingred_list!$K$16:$M$25,3,0)</f>
        <v>1</v>
      </c>
      <c r="AG1192" s="61" t="n">
        <f aca="false">O1192</f>
        <v>0</v>
      </c>
      <c r="AH1192" s="61" t="n">
        <f aca="false">P1192</f>
        <v>0</v>
      </c>
      <c r="AI1192" s="61" t="n">
        <f aca="false">VLOOKUP(AH1192,recipe_ingred_list!$K$29:$M$34,3,0)</f>
        <v>3</v>
      </c>
      <c r="AJ1192" s="61" t="str">
        <f aca="false">IF(Q1192="","",Q1192)</f>
        <v>1 tub-30 ltr </v>
      </c>
      <c r="AK1192" s="61" t="n">
        <f aca="false">AK1191+1</f>
        <v>1192</v>
      </c>
      <c r="AL1192" s="61" t="str">
        <f aca="false">Y1192</f>
        <v>adrak</v>
      </c>
      <c r="AM1192" s="81" t="str">
        <f aca="false">"a = Client().post('"&amp;W1192&amp;"', {'recipe' : '"&amp;V1192&amp;"', 'ingredient' : '"&amp;Z1192&amp;"', 'name' : '"&amp;X1192&amp;"', 'mass_unit' : '"&amp;AC1192&amp;"', 'mass_quantity' : '"&amp;ROUND(AA1192,3)&amp;"', 'volume_unit' : '"&amp;AF1192&amp;"', 'volume_quantity' : '"&amp;ROUND(AD1192,3)&amp;"', 'pieces_unit' : '"&amp;AI1192&amp;"', 'pieces_quantity' : '"&amp;ROUND(AG1192,3)&amp;"', 'cooking_notes' : '"&amp;AJ1192&amp;"'}).status_code; print('%s :: %s :: %s :: %s :: %s' %(a,"&amp;G1192&amp;",'"&amp;X1192&amp;"','"&amp;Y1192&amp;"','"&amp;U1192&amp;"'))"</f>
        <v>a = Client().post('/recipes/ekadashi-upma/detail/', {'recipe' : '24', 'ingredient' : '1', 'name' : 'ginger', 'mass_unit' : '2', 'mass_quantity' : '0', 'volume_unit' : '1', 'volume_quantity' : '0.5', 'pieces_unit' : '3', 'pieces_quantity' : '0', 'cooking_notes' : '1 tub-30 ltr '}).status_code; print('%s :: %s :: %s :: %s :: %s' %(a,1192,'ginger','adrak','EKADASHI UPMA'))</v>
      </c>
    </row>
    <row r="1193" customFormat="false" ht="14.9" hidden="false" customHeight="false" outlineLevel="0" collapsed="false">
      <c r="G1193" s="80" t="n">
        <v>1193</v>
      </c>
      <c r="H1193" s="83"/>
      <c r="I1193" s="83" t="s">
        <v>181</v>
      </c>
      <c r="J1193" s="83" t="s">
        <v>803</v>
      </c>
      <c r="M1193" s="61" t="n">
        <v>2</v>
      </c>
      <c r="N1193" s="61" t="s">
        <v>13</v>
      </c>
      <c r="Q1193" s="84" t="s">
        <v>906</v>
      </c>
      <c r="R1193" s="82" t="str">
        <f aca="false">VLOOKUP(J1193,ingredient!$N$4:$O$553,2,0)</f>
        <v>kadi patta</v>
      </c>
      <c r="U1193" s="81" t="str">
        <f aca="false">I1193</f>
        <v>EKADASHI UPMA</v>
      </c>
      <c r="V1193" s="81" t="n">
        <f aca="false">VLOOKUP(U1193,recipe_ingred_list!$A$2:$B$300,2,0)</f>
        <v>24</v>
      </c>
      <c r="W1193" s="81" t="str">
        <f aca="false">"/recipes/"&amp;VLOOKUP(U1193,recipe_ingred_list!$A$2:$C$300,3,0)&amp;"/detail/"</f>
        <v>/recipes/ekadashi-upma/detail/</v>
      </c>
      <c r="X1193" s="81" t="str">
        <f aca="false">J1193</f>
        <v>kadipatta</v>
      </c>
      <c r="Y1193" s="81" t="str">
        <f aca="false">R1193</f>
        <v>kadi patta</v>
      </c>
      <c r="Z1193" s="94" t="n">
        <f aca="false">VLOOKUP(Y1193,recipe_ingred_list!$D$2:$E$500,2,0)</f>
        <v>105</v>
      </c>
      <c r="AA1193" s="61" t="n">
        <f aca="false">K1193</f>
        <v>0</v>
      </c>
      <c r="AB1193" s="61" t="n">
        <f aca="false">L1193</f>
        <v>0</v>
      </c>
      <c r="AC1193" s="61" t="n">
        <f aca="false">VLOOKUP(AB1193,recipe_ingred_list!$K$2:$M$7,3,0)</f>
        <v>2</v>
      </c>
      <c r="AD1193" s="61" t="n">
        <f aca="false">M1193</f>
        <v>2</v>
      </c>
      <c r="AE1193" s="61" t="str">
        <f aca="false">N1193</f>
        <v>ltr</v>
      </c>
      <c r="AF1193" s="61" t="n">
        <f aca="false">VLOOKUP(AE1193,recipe_ingred_list!$K$16:$M$25,3,0)</f>
        <v>1</v>
      </c>
      <c r="AG1193" s="61" t="n">
        <f aca="false">O1193</f>
        <v>0</v>
      </c>
      <c r="AH1193" s="61" t="n">
        <f aca="false">P1193</f>
        <v>0</v>
      </c>
      <c r="AI1193" s="61" t="n">
        <f aca="false">VLOOKUP(AH1193,recipe_ingred_list!$K$29:$M$34,3,0)</f>
        <v>3</v>
      </c>
      <c r="AJ1193" s="61" t="str">
        <f aca="false">IF(Q1193="","",Q1193)</f>
        <v>(below line) THIS </v>
      </c>
      <c r="AK1193" s="61" t="n">
        <f aca="false">AK1192+1</f>
        <v>1193</v>
      </c>
      <c r="AL1193" s="61" t="str">
        <f aca="false">Y1193</f>
        <v>kadi patta</v>
      </c>
      <c r="AM1193" s="81" t="str">
        <f aca="false">"a = Client().post('"&amp;W1193&amp;"', {'recipe' : '"&amp;V1193&amp;"', 'ingredient' : '"&amp;Z1193&amp;"', 'name' : '"&amp;X1193&amp;"', 'mass_unit' : '"&amp;AC1193&amp;"', 'mass_quantity' : '"&amp;ROUND(AA1193,3)&amp;"', 'volume_unit' : '"&amp;AF1193&amp;"', 'volume_quantity' : '"&amp;ROUND(AD1193,3)&amp;"', 'pieces_unit' : '"&amp;AI1193&amp;"', 'pieces_quantity' : '"&amp;ROUND(AG1193,3)&amp;"', 'cooking_notes' : '"&amp;AJ1193&amp;"'}).status_code; print('%s :: %s :: %s :: %s :: %s' %(a,"&amp;G1193&amp;",'"&amp;X1193&amp;"','"&amp;Y1193&amp;"','"&amp;U1193&amp;"'))"</f>
        <v>a = Client().post('/recipes/ekadashi-upma/detail/', {'recipe' : '24', 'ingredient' : '105', 'name' : 'kadipatta', 'mass_unit' : '2', 'mass_quantity' : '0', 'volume_unit' : '1', 'volume_quantity' : '2', 'pieces_unit' : '3', 'pieces_quantity' : '0', 'cooking_notes' : '(below line) THIS '}).status_code; print('%s :: %s :: %s :: %s :: %s' %(a,1193,'kadipatta','kadi patta','EKADASHI UPMA'))</v>
      </c>
    </row>
    <row r="1194" customFormat="false" ht="14.9" hidden="false" customHeight="false" outlineLevel="0" collapsed="false">
      <c r="G1194" s="80" t="n">
        <v>1194</v>
      </c>
      <c r="H1194" s="83"/>
      <c r="I1194" s="83" t="s">
        <v>181</v>
      </c>
      <c r="J1194" s="83" t="s">
        <v>393</v>
      </c>
      <c r="M1194" s="61" t="n">
        <v>60</v>
      </c>
      <c r="N1194" s="61" t="s">
        <v>13</v>
      </c>
      <c r="Q1194" s="84" t="s">
        <v>907</v>
      </c>
      <c r="R1194" s="82" t="str">
        <f aca="false">VLOOKUP(J1194,ingredient!$N$4:$O$553,2,0)</f>
        <v>hot water</v>
      </c>
      <c r="U1194" s="81" t="str">
        <f aca="false">I1194</f>
        <v>EKADASHI UPMA</v>
      </c>
      <c r="V1194" s="81" t="n">
        <f aca="false">VLOOKUP(U1194,recipe_ingred_list!$A$2:$B$300,2,0)</f>
        <v>24</v>
      </c>
      <c r="W1194" s="81" t="str">
        <f aca="false">"/recipes/"&amp;VLOOKUP(U1194,recipe_ingred_list!$A$2:$C$300,3,0)&amp;"/detail/"</f>
        <v>/recipes/ekadashi-upma/detail/</v>
      </c>
      <c r="X1194" s="81" t="str">
        <f aca="false">J1194</f>
        <v>hot water</v>
      </c>
      <c r="Y1194" s="81" t="str">
        <f aca="false">R1194</f>
        <v>hot water</v>
      </c>
      <c r="Z1194" s="94" t="n">
        <f aca="false">VLOOKUP(Y1194,recipe_ingred_list!$D$2:$E$500,2,0)</f>
        <v>97</v>
      </c>
      <c r="AA1194" s="61" t="n">
        <f aca="false">K1194</f>
        <v>0</v>
      </c>
      <c r="AB1194" s="61" t="n">
        <f aca="false">L1194</f>
        <v>0</v>
      </c>
      <c r="AC1194" s="61" t="n">
        <f aca="false">VLOOKUP(AB1194,recipe_ingred_list!$K$2:$M$7,3,0)</f>
        <v>2</v>
      </c>
      <c r="AD1194" s="61" t="n">
        <f aca="false">M1194</f>
        <v>60</v>
      </c>
      <c r="AE1194" s="61" t="str">
        <f aca="false">N1194</f>
        <v>ltr</v>
      </c>
      <c r="AF1194" s="61" t="n">
        <f aca="false">VLOOKUP(AE1194,recipe_ingred_list!$K$16:$M$25,3,0)</f>
        <v>1</v>
      </c>
      <c r="AG1194" s="61" t="n">
        <f aca="false">O1194</f>
        <v>0</v>
      </c>
      <c r="AH1194" s="61" t="n">
        <f aca="false">P1194</f>
        <v>0</v>
      </c>
      <c r="AI1194" s="61" t="n">
        <f aca="false">VLOOKUP(AH1194,recipe_ingred_list!$K$29:$M$34,3,0)</f>
        <v>3</v>
      </c>
      <c r="AJ1194" s="61" t="str">
        <f aca="false">IF(Q1194="","",Q1194)</f>
        <v>TYPE WE USE MOSTLY</v>
      </c>
      <c r="AK1194" s="61" t="n">
        <f aca="false">AK1193+1</f>
        <v>1194</v>
      </c>
      <c r="AL1194" s="61" t="str">
        <f aca="false">Y1194</f>
        <v>hot water</v>
      </c>
      <c r="AM1194" s="81" t="str">
        <f aca="false">"a = Client().post('"&amp;W1194&amp;"', {'recipe' : '"&amp;V1194&amp;"', 'ingredient' : '"&amp;Z1194&amp;"', 'name' : '"&amp;X1194&amp;"', 'mass_unit' : '"&amp;AC1194&amp;"', 'mass_quantity' : '"&amp;ROUND(AA1194,3)&amp;"', 'volume_unit' : '"&amp;AF1194&amp;"', 'volume_quantity' : '"&amp;ROUND(AD1194,3)&amp;"', 'pieces_unit' : '"&amp;AI1194&amp;"', 'pieces_quantity' : '"&amp;ROUND(AG1194,3)&amp;"', 'cooking_notes' : '"&amp;AJ1194&amp;"'}).status_code; print('%s :: %s :: %s :: %s :: %s' %(a,"&amp;G1194&amp;",'"&amp;X1194&amp;"','"&amp;Y1194&amp;"','"&amp;U1194&amp;"'))"</f>
        <v>a = Client().post('/recipes/ekadashi-upma/detail/', {'recipe' : '24', 'ingredient' : '97', 'name' : 'hot water', 'mass_unit' : '2', 'mass_quantity' : '0', 'volume_unit' : '1', 'volume_quantity' : '60', 'pieces_unit' : '3', 'pieces_quantity' : '0', 'cooking_notes' : 'TYPE WE USE MOSTLY'}).status_code; print('%s :: %s :: %s :: %s :: %s' %(a,1194,'hot water','hot water','EKADASHI UPMA'))</v>
      </c>
    </row>
    <row r="1195" customFormat="false" ht="14.9" hidden="false" customHeight="false" outlineLevel="0" collapsed="false">
      <c r="G1195" s="80" t="n">
        <v>1195</v>
      </c>
      <c r="H1195" s="79"/>
      <c r="I1195" s="79" t="s">
        <v>181</v>
      </c>
      <c r="J1195" s="79"/>
      <c r="K1195" s="100"/>
      <c r="L1195" s="100"/>
      <c r="M1195" s="100"/>
      <c r="N1195" s="100"/>
      <c r="O1195" s="100"/>
      <c r="P1195" s="100"/>
      <c r="Q1195" s="102" t="s">
        <v>908</v>
      </c>
      <c r="R1195" s="99" t="e">
        <f aca="false">VLOOKUP(J1195,ingredient!$N$4:$O$553,2,0)</f>
        <v>#N/A</v>
      </c>
      <c r="S1195" s="98"/>
      <c r="T1195" s="98"/>
      <c r="U1195" s="81" t="str">
        <f aca="false">I1195</f>
        <v>EKADASHI UPMA</v>
      </c>
      <c r="V1195" s="81" t="n">
        <f aca="false">VLOOKUP(U1195,recipe_ingred_list!$A$2:$B$300,2,0)</f>
        <v>24</v>
      </c>
      <c r="W1195" s="81" t="str">
        <f aca="false">"/recipes/"&amp;VLOOKUP(U1195,recipe_ingred_list!$A$2:$C$300,3,0)&amp;"/detail/"</f>
        <v>/recipes/ekadashi-upma/detail/</v>
      </c>
      <c r="X1195" s="81" t="n">
        <f aca="false">J1195</f>
        <v>0</v>
      </c>
      <c r="Y1195" s="81" t="e">
        <f aca="false">R1195</f>
        <v>#N/A</v>
      </c>
      <c r="Z1195" s="94" t="e">
        <f aca="false">VLOOKUP(Y1195,recipe_ingred_list!$D$2:$E$500,2,0)</f>
        <v>#N/A</v>
      </c>
      <c r="AA1195" s="61" t="n">
        <f aca="false">K1195</f>
        <v>0</v>
      </c>
      <c r="AB1195" s="61" t="n">
        <f aca="false">L1195</f>
        <v>0</v>
      </c>
      <c r="AC1195" s="61" t="n">
        <f aca="false">VLOOKUP(AB1195,recipe_ingred_list!$K$2:$M$7,3,0)</f>
        <v>2</v>
      </c>
      <c r="AD1195" s="61" t="n">
        <f aca="false">M1195</f>
        <v>0</v>
      </c>
      <c r="AE1195" s="61" t="n">
        <f aca="false">N1195</f>
        <v>0</v>
      </c>
      <c r="AF1195" s="61" t="n">
        <f aca="false">VLOOKUP(AE1195,recipe_ingred_list!$K$16:$M$25,3,0)</f>
        <v>1</v>
      </c>
      <c r="AG1195" s="61" t="n">
        <f aca="false">O1195</f>
        <v>0</v>
      </c>
      <c r="AH1195" s="61" t="n">
        <f aca="false">P1195</f>
        <v>0</v>
      </c>
      <c r="AI1195" s="61" t="n">
        <f aca="false">VLOOKUP(AH1195,recipe_ingred_list!$K$29:$M$34,3,0)</f>
        <v>3</v>
      </c>
      <c r="AJ1195" s="61" t="str">
        <f aca="false">IF(Q1195="","",Q1195)</f>
        <v>1 tub-35 ltr( go </v>
      </c>
      <c r="AK1195" s="61" t="n">
        <f aca="false">AK1194+1</f>
        <v>1195</v>
      </c>
      <c r="AL1195" s="61" t="e">
        <f aca="false">Y1195</f>
        <v>#N/A</v>
      </c>
      <c r="AM1195" s="81" t="e">
        <f aca="false">"a = Client().post('"&amp;W1195&amp;"', {'recipe' : '"&amp;V1195&amp;"', 'ingredient' : '"&amp;Z1195&amp;"', 'name' : '"&amp;X1195&amp;"', 'mass_unit' : '"&amp;AC1195&amp;"', 'mass_quantity' : '"&amp;ROUND(AA1195,3)&amp;"', 'volume_unit' : '"&amp;AF1195&amp;"', 'volume_quantity' : '"&amp;ROUND(AD1195,3)&amp;"', 'pieces_unit' : '"&amp;AI1195&amp;"', 'pieces_quantity' : '"&amp;ROUND(AG1195,3)&amp;"', 'cooking_notes' : '"&amp;AJ1195&amp;"'}).status_code; print('%s :: %s :: %s :: %s :: %s' %(a,"&amp;G1195&amp;",'"&amp;X1195&amp;"','"&amp;Y1195&amp;"','"&amp;U1195&amp;"'))"</f>
        <v>#N/A</v>
      </c>
    </row>
    <row r="1196" customFormat="false" ht="14.9" hidden="false" customHeight="false" outlineLevel="0" collapsed="false">
      <c r="G1196" s="80" t="n">
        <v>1196</v>
      </c>
      <c r="H1196" s="83"/>
      <c r="I1196" s="83" t="s">
        <v>181</v>
      </c>
      <c r="J1196" s="83" t="s">
        <v>490</v>
      </c>
      <c r="K1196" s="61" t="n">
        <v>25</v>
      </c>
      <c r="L1196" s="61" t="s">
        <v>7</v>
      </c>
      <c r="Q1196" s="84" t="s">
        <v>909</v>
      </c>
      <c r="R1196" s="82" t="str">
        <f aca="false">VLOOKUP(J1196,ingredient!$N$4:$O$553,2,0)</f>
        <v>varai</v>
      </c>
      <c r="U1196" s="81" t="str">
        <f aca="false">I1196</f>
        <v>EKADASHI UPMA</v>
      </c>
      <c r="V1196" s="81" t="n">
        <f aca="false">VLOOKUP(U1196,recipe_ingred_list!$A$2:$B$300,2,0)</f>
        <v>24</v>
      </c>
      <c r="W1196" s="81" t="str">
        <f aca="false">"/recipes/"&amp;VLOOKUP(U1196,recipe_ingred_list!$A$2:$C$300,3,0)&amp;"/detail/"</f>
        <v>/recipes/ekadashi-upma/detail/</v>
      </c>
      <c r="X1196" s="81" t="str">
        <f aca="false">J1196</f>
        <v>varai</v>
      </c>
      <c r="Y1196" s="81" t="str">
        <f aca="false">R1196</f>
        <v>varai</v>
      </c>
      <c r="Z1196" s="94" t="n">
        <f aca="false">VLOOKUP(Y1196,recipe_ingred_list!$D$2:$E$500,2,0)</f>
        <v>201</v>
      </c>
      <c r="AA1196" s="61" t="n">
        <f aca="false">K1196</f>
        <v>25</v>
      </c>
      <c r="AB1196" s="61" t="str">
        <f aca="false">L1196</f>
        <v>kg</v>
      </c>
      <c r="AC1196" s="61" t="n">
        <f aca="false">VLOOKUP(AB1196,recipe_ingred_list!$K$2:$M$7,3,0)</f>
        <v>2</v>
      </c>
      <c r="AD1196" s="61" t="n">
        <f aca="false">M1196</f>
        <v>0</v>
      </c>
      <c r="AE1196" s="61" t="n">
        <f aca="false">N1196</f>
        <v>0</v>
      </c>
      <c r="AF1196" s="61" t="n">
        <f aca="false">VLOOKUP(AE1196,recipe_ingred_list!$K$16:$M$25,3,0)</f>
        <v>1</v>
      </c>
      <c r="AG1196" s="61" t="n">
        <f aca="false">O1196</f>
        <v>0</v>
      </c>
      <c r="AH1196" s="61" t="n">
        <f aca="false">P1196</f>
        <v>0</v>
      </c>
      <c r="AI1196" s="61" t="n">
        <f aca="false">VLOOKUP(AH1196,recipe_ingred_list!$K$29:$M$34,3,0)</f>
        <v>3</v>
      </c>
      <c r="AJ1196" s="61" t="str">
        <f aca="false">IF(Q1196="","",Q1196)</f>
        <v>above line -till </v>
      </c>
      <c r="AK1196" s="61" t="n">
        <f aca="false">AK1195+1</f>
        <v>1196</v>
      </c>
      <c r="AL1196" s="61" t="str">
        <f aca="false">Y1196</f>
        <v>varai</v>
      </c>
      <c r="AM1196" s="81" t="str">
        <f aca="false">"a = Client().post('"&amp;W1196&amp;"', {'recipe' : '"&amp;V1196&amp;"', 'ingredient' : '"&amp;Z1196&amp;"', 'name' : '"&amp;X1196&amp;"', 'mass_unit' : '"&amp;AC1196&amp;"', 'mass_quantity' : '"&amp;ROUND(AA1196,3)&amp;"', 'volume_unit' : '"&amp;AF1196&amp;"', 'volume_quantity' : '"&amp;ROUND(AD1196,3)&amp;"', 'pieces_unit' : '"&amp;AI1196&amp;"', 'pieces_quantity' : '"&amp;ROUND(AG1196,3)&amp;"', 'cooking_notes' : '"&amp;AJ1196&amp;"'}).status_code; print('%s :: %s :: %s :: %s :: %s' %(a,"&amp;G1196&amp;",'"&amp;X1196&amp;"','"&amp;Y1196&amp;"','"&amp;U1196&amp;"'))"</f>
        <v>a = Client().post('/recipes/ekadashi-upma/detail/', {'recipe' : '24', 'ingredient' : '201', 'name' : 'varai', 'mass_unit' : '2', 'mass_quantity' : '25', 'volume_unit' : '1', 'volume_quantity' : '0', 'pieces_unit' : '3', 'pieces_quantity' : '0', 'cooking_notes' : 'above line -till '}).status_code; print('%s :: %s :: %s :: %s :: %s' %(a,1196,'varai','varai','EKADASHI UPMA'))</v>
      </c>
    </row>
    <row r="1197" customFormat="false" ht="14.9" hidden="false" customHeight="false" outlineLevel="0" collapsed="false">
      <c r="G1197" s="80" t="n">
        <v>1197</v>
      </c>
      <c r="H1197" s="83"/>
      <c r="I1197" s="83" t="s">
        <v>181</v>
      </c>
      <c r="J1197" s="83" t="s">
        <v>805</v>
      </c>
      <c r="M1197" s="61" t="n">
        <v>7</v>
      </c>
      <c r="N1197" s="61" t="s">
        <v>13</v>
      </c>
      <c r="Q1197" s="84" t="s">
        <v>910</v>
      </c>
      <c r="R1197" s="82" t="str">
        <f aca="false">VLOOKUP(J1197,ingredient!$N$4:$O$553,2,0)</f>
        <v>gound nut oil</v>
      </c>
      <c r="U1197" s="81" t="str">
        <f aca="false">I1197</f>
        <v>EKADASHI UPMA</v>
      </c>
      <c r="V1197" s="81" t="n">
        <f aca="false">VLOOKUP(U1197,recipe_ingred_list!$A$2:$B$300,2,0)</f>
        <v>24</v>
      </c>
      <c r="W1197" s="81" t="str">
        <f aca="false">"/recipes/"&amp;VLOOKUP(U1197,recipe_ingred_list!$A$2:$C$300,3,0)&amp;"/detail/"</f>
        <v>/recipes/ekadashi-upma/detail/</v>
      </c>
      <c r="X1197" s="81" t="str">
        <f aca="false">J1197</f>
        <v>oil(groundnut)</v>
      </c>
      <c r="Y1197" s="81" t="str">
        <f aca="false">R1197</f>
        <v>gound nut oil</v>
      </c>
      <c r="Z1197" s="94" t="n">
        <f aca="false">VLOOKUP(Y1197,recipe_ingred_list!$D$2:$E$500,2,0)</f>
        <v>83</v>
      </c>
      <c r="AA1197" s="61" t="n">
        <f aca="false">K1197</f>
        <v>0</v>
      </c>
      <c r="AB1197" s="61" t="n">
        <f aca="false">L1197</f>
        <v>0</v>
      </c>
      <c r="AC1197" s="61" t="n">
        <f aca="false">VLOOKUP(AB1197,recipe_ingred_list!$K$2:$M$7,3,0)</f>
        <v>2</v>
      </c>
      <c r="AD1197" s="61" t="n">
        <f aca="false">M1197</f>
        <v>7</v>
      </c>
      <c r="AE1197" s="61" t="str">
        <f aca="false">N1197</f>
        <v>ltr</v>
      </c>
      <c r="AF1197" s="61" t="n">
        <f aca="false">VLOOKUP(AE1197,recipe_ingred_list!$K$16:$M$25,3,0)</f>
        <v>1</v>
      </c>
      <c r="AG1197" s="61" t="n">
        <f aca="false">O1197</f>
        <v>0</v>
      </c>
      <c r="AH1197" s="61" t="n">
        <f aca="false">P1197</f>
        <v>0</v>
      </c>
      <c r="AI1197" s="61" t="n">
        <f aca="false">VLOOKUP(AH1197,recipe_ingred_list!$K$29:$M$34,3,0)</f>
        <v>3</v>
      </c>
      <c r="AJ1197" s="61" t="str">
        <f aca="false">IF(Q1197="","",Q1197)</f>
        <v>tub is full)</v>
      </c>
      <c r="AK1197" s="61" t="n">
        <f aca="false">AK1196+1</f>
        <v>1197</v>
      </c>
      <c r="AL1197" s="61" t="str">
        <f aca="false">Y1197</f>
        <v>gound nut oil</v>
      </c>
      <c r="AM1197" s="81" t="str">
        <f aca="false">"a = Client().post('"&amp;W1197&amp;"', {'recipe' : '"&amp;V1197&amp;"', 'ingredient' : '"&amp;Z1197&amp;"', 'name' : '"&amp;X1197&amp;"', 'mass_unit' : '"&amp;AC1197&amp;"', 'mass_quantity' : '"&amp;ROUND(AA1197,3)&amp;"', 'volume_unit' : '"&amp;AF1197&amp;"', 'volume_quantity' : '"&amp;ROUND(AD1197,3)&amp;"', 'pieces_unit' : '"&amp;AI1197&amp;"', 'pieces_quantity' : '"&amp;ROUND(AG1197,3)&amp;"', 'cooking_notes' : '"&amp;AJ1197&amp;"'}).status_code; print('%s :: %s :: %s :: %s :: %s' %(a,"&amp;G1197&amp;",'"&amp;X1197&amp;"','"&amp;Y1197&amp;"','"&amp;U1197&amp;"'))"</f>
        <v>a = Client().post('/recipes/ekadashi-upma/detail/', {'recipe' : '24', 'ingredient' : '83', 'name' : 'oil(groundnut)', 'mass_unit' : '2', 'mass_quantity' : '0', 'volume_unit' : '1', 'volume_quantity' : '7', 'pieces_unit' : '3', 'pieces_quantity' : '0', 'cooking_notes' : 'tub is full)'}).status_code; print('%s :: %s :: %s :: %s :: %s' %(a,1197,'oil(groundnut)','gound nut oil','EKADASHI UPMA'))</v>
      </c>
    </row>
    <row r="1198" customFormat="false" ht="13.8" hidden="false" customHeight="false" outlineLevel="0" collapsed="false">
      <c r="G1198" s="80" t="n">
        <v>1198</v>
      </c>
      <c r="H1198" s="83"/>
      <c r="I1198" s="83" t="s">
        <v>181</v>
      </c>
      <c r="J1198" s="83" t="s">
        <v>809</v>
      </c>
      <c r="M1198" s="61" t="n">
        <v>0.5</v>
      </c>
      <c r="N1198" s="61" t="s">
        <v>20</v>
      </c>
      <c r="R1198" s="82" t="str">
        <f aca="false">VLOOKUP(J1198,ingredient!$N$4:$O$553,2,0)</f>
        <v>kashmiri chilly powder</v>
      </c>
      <c r="U1198" s="81" t="str">
        <f aca="false">I1198</f>
        <v>EKADASHI UPMA</v>
      </c>
      <c r="V1198" s="81" t="n">
        <f aca="false">VLOOKUP(U1198,recipe_ingred_list!$A$2:$B$300,2,0)</f>
        <v>24</v>
      </c>
      <c r="W1198" s="81" t="str">
        <f aca="false">"/recipes/"&amp;VLOOKUP(U1198,recipe_ingred_list!$A$2:$C$300,3,0)&amp;"/detail/"</f>
        <v>/recipes/ekadashi-upma/detail/</v>
      </c>
      <c r="X1198" s="81" t="str">
        <f aca="false">J1198</f>
        <v>kashmiri chili powder</v>
      </c>
      <c r="Y1198" s="81" t="str">
        <f aca="false">R1198</f>
        <v>kashmiri chilly powder</v>
      </c>
      <c r="Z1198" s="94" t="n">
        <f aca="false">VLOOKUP(Y1198,recipe_ingred_list!$D$2:$E$500,2,0)</f>
        <v>117</v>
      </c>
      <c r="AA1198" s="61" t="n">
        <f aca="false">K1198</f>
        <v>0</v>
      </c>
      <c r="AB1198" s="61" t="n">
        <f aca="false">L1198</f>
        <v>0</v>
      </c>
      <c r="AC1198" s="61" t="n">
        <f aca="false">VLOOKUP(AB1198,recipe_ingred_list!$K$2:$M$7,3,0)</f>
        <v>2</v>
      </c>
      <c r="AD1198" s="61" t="n">
        <f aca="false">M1198</f>
        <v>0.5</v>
      </c>
      <c r="AE1198" s="61" t="str">
        <f aca="false">N1198</f>
        <v>cup</v>
      </c>
      <c r="AF1198" s="61" t="n">
        <f aca="false">VLOOKUP(AE1198,recipe_ingred_list!$K$16:$M$25,3,0)</f>
        <v>5</v>
      </c>
      <c r="AG1198" s="61" t="n">
        <f aca="false">O1198</f>
        <v>0</v>
      </c>
      <c r="AH1198" s="61" t="n">
        <f aca="false">P1198</f>
        <v>0</v>
      </c>
      <c r="AI1198" s="61" t="n">
        <f aca="false">VLOOKUP(AH1198,recipe_ingred_list!$K$29:$M$34,3,0)</f>
        <v>3</v>
      </c>
      <c r="AJ1198" s="61" t="str">
        <f aca="false">IF(Q1198="","",Q1198)</f>
        <v/>
      </c>
      <c r="AK1198" s="61" t="n">
        <f aca="false">AK1197+1</f>
        <v>1198</v>
      </c>
      <c r="AL1198" s="61" t="str">
        <f aca="false">Y1198</f>
        <v>kashmiri chilly powder</v>
      </c>
      <c r="AM1198" s="81" t="str">
        <f aca="false">"a = Client().post('"&amp;W1198&amp;"', {'recipe' : '"&amp;V1198&amp;"', 'ingredient' : '"&amp;Z1198&amp;"', 'name' : '"&amp;X1198&amp;"', 'mass_unit' : '"&amp;AC1198&amp;"', 'mass_quantity' : '"&amp;ROUND(AA1198,3)&amp;"', 'volume_unit' : '"&amp;AF1198&amp;"', 'volume_quantity' : '"&amp;ROUND(AD1198,3)&amp;"', 'pieces_unit' : '"&amp;AI1198&amp;"', 'pieces_quantity' : '"&amp;ROUND(AG1198,3)&amp;"', 'cooking_notes' : '"&amp;AJ1198&amp;"'}).status_code; print('%s :: %s :: %s :: %s :: %s' %(a,"&amp;G1198&amp;",'"&amp;X1198&amp;"','"&amp;Y1198&amp;"','"&amp;U1198&amp;"'))"</f>
        <v>a = Client().post('/recipes/ekadashi-upma/detail/', {'recipe' : '24', 'ingredient' : '117', 'name' : 'kashmiri chili powder', 'mass_unit' : '2', 'mass_quantity' : '0', 'volume_unit' : '5', 'volume_quantity' : '0.5', 'pieces_unit' : '3', 'pieces_quantity' : '0', 'cooking_notes' : ''}).status_code; print('%s :: %s :: %s :: %s :: %s' %(a,1198,'kashmiri chili powder','kashmiri chilly powder','EKADASHI UPMA'))</v>
      </c>
    </row>
    <row r="1199" customFormat="false" ht="13.8" hidden="false" customHeight="false" outlineLevel="0" collapsed="false">
      <c r="G1199" s="80" t="n">
        <v>1199</v>
      </c>
      <c r="H1199" s="83"/>
      <c r="I1199" s="83" t="s">
        <v>181</v>
      </c>
      <c r="J1199" s="83" t="s">
        <v>96</v>
      </c>
      <c r="M1199" s="61" t="n">
        <v>6</v>
      </c>
      <c r="N1199" s="61" t="s">
        <v>20</v>
      </c>
      <c r="R1199" s="82" t="str">
        <f aca="false">VLOOKUP(J1199,ingredient!$N$4:$O$553,2,0)</f>
        <v>salt</v>
      </c>
      <c r="U1199" s="81" t="str">
        <f aca="false">I1199</f>
        <v>EKADASHI UPMA</v>
      </c>
      <c r="V1199" s="81" t="n">
        <f aca="false">VLOOKUP(U1199,recipe_ingred_list!$A$2:$B$300,2,0)</f>
        <v>24</v>
      </c>
      <c r="W1199" s="81" t="str">
        <f aca="false">"/recipes/"&amp;VLOOKUP(U1199,recipe_ingred_list!$A$2:$C$300,3,0)&amp;"/detail/"</f>
        <v>/recipes/ekadashi-upma/detail/</v>
      </c>
      <c r="X1199" s="81" t="str">
        <f aca="false">J1199</f>
        <v>salt</v>
      </c>
      <c r="Y1199" s="81" t="str">
        <f aca="false">R1199</f>
        <v>salt</v>
      </c>
      <c r="Z1199" s="94" t="n">
        <f aca="false">VLOOKUP(Y1199,recipe_ingred_list!$D$2:$E$500,2,0)</f>
        <v>177</v>
      </c>
      <c r="AA1199" s="61" t="n">
        <f aca="false">K1199</f>
        <v>0</v>
      </c>
      <c r="AB1199" s="61" t="n">
        <f aca="false">L1199</f>
        <v>0</v>
      </c>
      <c r="AC1199" s="61" t="n">
        <f aca="false">VLOOKUP(AB1199,recipe_ingred_list!$K$2:$M$7,3,0)</f>
        <v>2</v>
      </c>
      <c r="AD1199" s="61" t="n">
        <f aca="false">M1199</f>
        <v>6</v>
      </c>
      <c r="AE1199" s="61" t="str">
        <f aca="false">N1199</f>
        <v>cup</v>
      </c>
      <c r="AF1199" s="61" t="n">
        <f aca="false">VLOOKUP(AE1199,recipe_ingred_list!$K$16:$M$25,3,0)</f>
        <v>5</v>
      </c>
      <c r="AG1199" s="61" t="n">
        <f aca="false">O1199</f>
        <v>0</v>
      </c>
      <c r="AH1199" s="61" t="n">
        <f aca="false">P1199</f>
        <v>0</v>
      </c>
      <c r="AI1199" s="61" t="n">
        <f aca="false">VLOOKUP(AH1199,recipe_ingred_list!$K$29:$M$34,3,0)</f>
        <v>3</v>
      </c>
      <c r="AJ1199" s="61" t="str">
        <f aca="false">IF(Q1199="","",Q1199)</f>
        <v/>
      </c>
      <c r="AK1199" s="61" t="n">
        <f aca="false">AK1198+1</f>
        <v>1199</v>
      </c>
      <c r="AL1199" s="61" t="str">
        <f aca="false">Y1199</f>
        <v>salt</v>
      </c>
      <c r="AM1199" s="81" t="str">
        <f aca="false">"a = Client().post('"&amp;W1199&amp;"', {'recipe' : '"&amp;V1199&amp;"', 'ingredient' : '"&amp;Z1199&amp;"', 'name' : '"&amp;X1199&amp;"', 'mass_unit' : '"&amp;AC1199&amp;"', 'mass_quantity' : '"&amp;ROUND(AA1199,3)&amp;"', 'volume_unit' : '"&amp;AF1199&amp;"', 'volume_quantity' : '"&amp;ROUND(AD1199,3)&amp;"', 'pieces_unit' : '"&amp;AI1199&amp;"', 'pieces_quantity' : '"&amp;ROUND(AG1199,3)&amp;"', 'cooking_notes' : '"&amp;AJ1199&amp;"'}).status_code; print('%s :: %s :: %s :: %s :: %s' %(a,"&amp;G1199&amp;",'"&amp;X1199&amp;"','"&amp;Y1199&amp;"','"&amp;U1199&amp;"'))"</f>
        <v>a = Client().post('/recipes/ekadashi-upma/detail/', {'recipe' : '24', 'ingredient' : '177', 'name' : 'salt', 'mass_unit' : '2', 'mass_quantity' : '0', 'volume_unit' : '5', 'volume_quantity' : '6', 'pieces_unit' : '3', 'pieces_quantity' : '0', 'cooking_notes' : ''}).status_code; print('%s :: %s :: %s :: %s :: %s' %(a,1199,'salt','salt','EKADASHI UPMA'))</v>
      </c>
    </row>
    <row r="1200" customFormat="false" ht="13.8" hidden="false" customHeight="false" outlineLevel="0" collapsed="false">
      <c r="G1200" s="80" t="n">
        <v>1200</v>
      </c>
      <c r="H1200" s="83"/>
      <c r="I1200" s="83" t="s">
        <v>181</v>
      </c>
      <c r="J1200" s="83" t="s">
        <v>333</v>
      </c>
      <c r="M1200" s="61" t="n">
        <v>1.5</v>
      </c>
      <c r="N1200" s="61" t="s">
        <v>20</v>
      </c>
      <c r="R1200" s="82" t="str">
        <f aca="false">VLOOKUP(J1200,ingredient!$N$4:$O$553,2,0)</f>
        <v>everest pulav masala</v>
      </c>
      <c r="U1200" s="81" t="str">
        <f aca="false">I1200</f>
        <v>EKADASHI UPMA</v>
      </c>
      <c r="V1200" s="81" t="n">
        <f aca="false">VLOOKUP(U1200,recipe_ingred_list!$A$2:$B$300,2,0)</f>
        <v>24</v>
      </c>
      <c r="W1200" s="81" t="str">
        <f aca="false">"/recipes/"&amp;VLOOKUP(U1200,recipe_ingred_list!$A$2:$C$300,3,0)&amp;"/detail/"</f>
        <v>/recipes/ekadashi-upma/detail/</v>
      </c>
      <c r="X1200" s="81" t="str">
        <f aca="false">J1200</f>
        <v>everest pulav masala</v>
      </c>
      <c r="Y1200" s="81" t="str">
        <f aca="false">R1200</f>
        <v>everest pulav masala</v>
      </c>
      <c r="Z1200" s="94" t="n">
        <f aca="false">VLOOKUP(Y1200,recipe_ingred_list!$D$2:$E$500,2,0)</f>
        <v>74</v>
      </c>
      <c r="AA1200" s="61" t="n">
        <f aca="false">K1200</f>
        <v>0</v>
      </c>
      <c r="AB1200" s="61" t="n">
        <f aca="false">L1200</f>
        <v>0</v>
      </c>
      <c r="AC1200" s="61" t="n">
        <f aca="false">VLOOKUP(AB1200,recipe_ingred_list!$K$2:$M$7,3,0)</f>
        <v>2</v>
      </c>
      <c r="AD1200" s="61" t="n">
        <f aca="false">M1200</f>
        <v>1.5</v>
      </c>
      <c r="AE1200" s="61" t="str">
        <f aca="false">N1200</f>
        <v>cup</v>
      </c>
      <c r="AF1200" s="61" t="n">
        <f aca="false">VLOOKUP(AE1200,recipe_ingred_list!$K$16:$M$25,3,0)</f>
        <v>5</v>
      </c>
      <c r="AG1200" s="61" t="n">
        <f aca="false">O1200</f>
        <v>0</v>
      </c>
      <c r="AH1200" s="61" t="n">
        <f aca="false">P1200</f>
        <v>0</v>
      </c>
      <c r="AI1200" s="61" t="n">
        <f aca="false">VLOOKUP(AH1200,recipe_ingred_list!$K$29:$M$34,3,0)</f>
        <v>3</v>
      </c>
      <c r="AJ1200" s="61" t="str">
        <f aca="false">IF(Q1200="","",Q1200)</f>
        <v/>
      </c>
      <c r="AK1200" s="61" t="n">
        <f aca="false">AK1199+1</f>
        <v>1200</v>
      </c>
      <c r="AL1200" s="61" t="str">
        <f aca="false">Y1200</f>
        <v>everest pulav masala</v>
      </c>
      <c r="AM1200" s="81" t="str">
        <f aca="false">"a = Client().post('"&amp;W1200&amp;"', {'recipe' : '"&amp;V1200&amp;"', 'ingredient' : '"&amp;Z1200&amp;"', 'name' : '"&amp;X1200&amp;"', 'mass_unit' : '"&amp;AC1200&amp;"', 'mass_quantity' : '"&amp;ROUND(AA1200,3)&amp;"', 'volume_unit' : '"&amp;AF1200&amp;"', 'volume_quantity' : '"&amp;ROUND(AD1200,3)&amp;"', 'pieces_unit' : '"&amp;AI1200&amp;"', 'pieces_quantity' : '"&amp;ROUND(AG1200,3)&amp;"', 'cooking_notes' : '"&amp;AJ1200&amp;"'}).status_code; print('%s :: %s :: %s :: %s :: %s' %(a,"&amp;G1200&amp;",'"&amp;X1200&amp;"','"&amp;Y1200&amp;"','"&amp;U1200&amp;"'))"</f>
        <v>a = Client().post('/recipes/ekadashi-upma/detail/', {'recipe' : '24', 'ingredient' : '74', 'name' : 'everest pulav masala', 'mass_unit' : '2', 'mass_quantity' : '0', 'volume_unit' : '5', 'volume_quantity' : '1.5', 'pieces_unit' : '3', 'pieces_quantity' : '0', 'cooking_notes' : ''}).status_code; print('%s :: %s :: %s :: %s :: %s' %(a,1200,'everest pulav masala','everest pulav masala','EKADASHI UPMA'))</v>
      </c>
    </row>
    <row r="1201" customFormat="false" ht="13.8" hidden="false" customHeight="false" outlineLevel="0" collapsed="false">
      <c r="G1201" s="80" t="n">
        <v>1201</v>
      </c>
      <c r="H1201" s="83"/>
      <c r="I1201" s="83" t="s">
        <v>181</v>
      </c>
      <c r="J1201" s="83" t="s">
        <v>398</v>
      </c>
      <c r="M1201" s="61" t="n">
        <v>2</v>
      </c>
      <c r="N1201" s="61" t="s">
        <v>20</v>
      </c>
      <c r="R1201" s="82" t="str">
        <f aca="false">VLOOKUP(J1201,ingredient!$N$4:$O$553,2,0)</f>
        <v>jeera</v>
      </c>
      <c r="U1201" s="81" t="str">
        <f aca="false">I1201</f>
        <v>EKADASHI UPMA</v>
      </c>
      <c r="V1201" s="81" t="n">
        <f aca="false">VLOOKUP(U1201,recipe_ingred_list!$A$2:$B$300,2,0)</f>
        <v>24</v>
      </c>
      <c r="W1201" s="81" t="str">
        <f aca="false">"/recipes/"&amp;VLOOKUP(U1201,recipe_ingred_list!$A$2:$C$300,3,0)&amp;"/detail/"</f>
        <v>/recipes/ekadashi-upma/detail/</v>
      </c>
      <c r="X1201" s="81" t="str">
        <f aca="false">J1201</f>
        <v>jeera</v>
      </c>
      <c r="Y1201" s="81" t="str">
        <f aca="false">R1201</f>
        <v>jeera</v>
      </c>
      <c r="Z1201" s="94" t="n">
        <f aca="false">VLOOKUP(Y1201,recipe_ingred_list!$D$2:$E$500,2,0)</f>
        <v>102</v>
      </c>
      <c r="AA1201" s="61" t="n">
        <f aca="false">K1201</f>
        <v>0</v>
      </c>
      <c r="AB1201" s="61" t="n">
        <f aca="false">L1201</f>
        <v>0</v>
      </c>
      <c r="AC1201" s="61" t="n">
        <f aca="false">VLOOKUP(AB1201,recipe_ingred_list!$K$2:$M$7,3,0)</f>
        <v>2</v>
      </c>
      <c r="AD1201" s="61" t="n">
        <f aca="false">M1201</f>
        <v>2</v>
      </c>
      <c r="AE1201" s="61" t="str">
        <f aca="false">N1201</f>
        <v>cup</v>
      </c>
      <c r="AF1201" s="61" t="n">
        <f aca="false">VLOOKUP(AE1201,recipe_ingred_list!$K$16:$M$25,3,0)</f>
        <v>5</v>
      </c>
      <c r="AG1201" s="61" t="n">
        <f aca="false">O1201</f>
        <v>0</v>
      </c>
      <c r="AH1201" s="61" t="n">
        <f aca="false">P1201</f>
        <v>0</v>
      </c>
      <c r="AI1201" s="61" t="n">
        <f aca="false">VLOOKUP(AH1201,recipe_ingred_list!$K$29:$M$34,3,0)</f>
        <v>3</v>
      </c>
      <c r="AJ1201" s="61" t="str">
        <f aca="false">IF(Q1201="","",Q1201)</f>
        <v/>
      </c>
      <c r="AK1201" s="61" t="n">
        <f aca="false">AK1200+1</f>
        <v>1201</v>
      </c>
      <c r="AL1201" s="61" t="str">
        <f aca="false">Y1201</f>
        <v>jeera</v>
      </c>
      <c r="AM1201" s="81" t="str">
        <f aca="false">"a = Client().post('"&amp;W1201&amp;"', {'recipe' : '"&amp;V1201&amp;"', 'ingredient' : '"&amp;Z1201&amp;"', 'name' : '"&amp;X1201&amp;"', 'mass_unit' : '"&amp;AC1201&amp;"', 'mass_quantity' : '"&amp;ROUND(AA1201,3)&amp;"', 'volume_unit' : '"&amp;AF1201&amp;"', 'volume_quantity' : '"&amp;ROUND(AD1201,3)&amp;"', 'pieces_unit' : '"&amp;AI1201&amp;"', 'pieces_quantity' : '"&amp;ROUND(AG1201,3)&amp;"', 'cooking_notes' : '"&amp;AJ1201&amp;"'}).status_code; print('%s :: %s :: %s :: %s :: %s' %(a,"&amp;G1201&amp;",'"&amp;X1201&amp;"','"&amp;Y1201&amp;"','"&amp;U1201&amp;"'))"</f>
        <v>a = Client().post('/recipes/ekadashi-upma/detail/', {'recipe' : '24', 'ingredient' : '102', 'name' : 'jeera', 'mass_unit' : '2', 'mass_quantity' : '0', 'volume_unit' : '5', 'volume_quantity' : '2', 'pieces_unit' : '3', 'pieces_quantity' : '0', 'cooking_notes' : ''}).status_code; print('%s :: %s :: %s :: %s :: %s' %(a,1201,'jeera','jeera','EKADASHI UPMA'))</v>
      </c>
    </row>
    <row r="1202" customFormat="false" ht="13.8" hidden="false" customHeight="false" outlineLevel="0" collapsed="false">
      <c r="G1202" s="80" t="n">
        <v>1202</v>
      </c>
      <c r="H1202" s="79"/>
      <c r="I1202" s="79"/>
      <c r="J1202" s="79"/>
      <c r="K1202" s="100"/>
      <c r="L1202" s="100"/>
      <c r="M1202" s="100"/>
      <c r="N1202" s="100"/>
      <c r="O1202" s="100"/>
      <c r="P1202" s="100"/>
      <c r="Q1202" s="102"/>
      <c r="R1202" s="99" t="e">
        <f aca="false">VLOOKUP(J1202,ingredient!$N$4:$O$553,2,0)</f>
        <v>#N/A</v>
      </c>
      <c r="S1202" s="98"/>
      <c r="T1202" s="98"/>
      <c r="U1202" s="81" t="n">
        <f aca="false">I1202</f>
        <v>0</v>
      </c>
      <c r="V1202" s="81" t="e">
        <f aca="false">VLOOKUP(U1202,recipe_ingred_list!$A$2:$B$300,2,0)</f>
        <v>#N/A</v>
      </c>
      <c r="W1202" s="81" t="e">
        <f aca="false">"/recipes/"&amp;VLOOKUP(U1202,recipe_ingred_list!$A$2:$C$300,3,0)&amp;"/detail/"</f>
        <v>#N/A</v>
      </c>
      <c r="X1202" s="81" t="n">
        <f aca="false">J1202</f>
        <v>0</v>
      </c>
      <c r="Y1202" s="81" t="e">
        <f aca="false">R1202</f>
        <v>#N/A</v>
      </c>
      <c r="Z1202" s="94" t="e">
        <f aca="false">VLOOKUP(Y1202,recipe_ingred_list!$D$2:$E$500,2,0)</f>
        <v>#N/A</v>
      </c>
      <c r="AA1202" s="61" t="n">
        <f aca="false">K1202</f>
        <v>0</v>
      </c>
      <c r="AB1202" s="61" t="n">
        <f aca="false">L1202</f>
        <v>0</v>
      </c>
      <c r="AC1202" s="61" t="n">
        <f aca="false">VLOOKUP(AB1202,recipe_ingred_list!$K$2:$M$7,3,0)</f>
        <v>2</v>
      </c>
      <c r="AD1202" s="61" t="n">
        <f aca="false">M1202</f>
        <v>0</v>
      </c>
      <c r="AE1202" s="61" t="n">
        <f aca="false">N1202</f>
        <v>0</v>
      </c>
      <c r="AF1202" s="61" t="n">
        <f aca="false">VLOOKUP(AE1202,recipe_ingred_list!$K$16:$M$25,3,0)</f>
        <v>1</v>
      </c>
      <c r="AG1202" s="61" t="n">
        <f aca="false">O1202</f>
        <v>0</v>
      </c>
      <c r="AH1202" s="61" t="n">
        <f aca="false">P1202</f>
        <v>0</v>
      </c>
      <c r="AI1202" s="61" t="n">
        <f aca="false">VLOOKUP(AH1202,recipe_ingred_list!$K$29:$M$34,3,0)</f>
        <v>3</v>
      </c>
      <c r="AJ1202" s="61" t="str">
        <f aca="false">IF(Q1202="","",Q1202)</f>
        <v/>
      </c>
      <c r="AK1202" s="61" t="n">
        <f aca="false">AK1201+1</f>
        <v>1202</v>
      </c>
      <c r="AL1202" s="61" t="e">
        <f aca="false">Y1202</f>
        <v>#N/A</v>
      </c>
      <c r="AM1202" s="81" t="e">
        <f aca="false">"a = Client().post('"&amp;W1202&amp;"', {'recipe' : '"&amp;V1202&amp;"', 'ingredient' : '"&amp;Z1202&amp;"', 'name' : '"&amp;X1202&amp;"', 'mass_unit' : '"&amp;AC1202&amp;"', 'mass_quantity' : '"&amp;ROUND(AA1202,3)&amp;"', 'volume_unit' : '"&amp;AF1202&amp;"', 'volume_quantity' : '"&amp;ROUND(AD1202,3)&amp;"', 'pieces_unit' : '"&amp;AI1202&amp;"', 'pieces_quantity' : '"&amp;ROUND(AG1202,3)&amp;"', 'cooking_notes' : '"&amp;AJ1202&amp;"'}).status_code; print('%s :: %s :: %s :: %s :: %s' %(a,"&amp;G1202&amp;",'"&amp;X1202&amp;"','"&amp;Y1202&amp;"','"&amp;U1202&amp;"'))"</f>
        <v>#N/A</v>
      </c>
    </row>
    <row r="1203" customFormat="false" ht="14.9" hidden="false" customHeight="false" outlineLevel="0" collapsed="false">
      <c r="G1203" s="80" t="n">
        <v>1203</v>
      </c>
      <c r="H1203" s="83"/>
      <c r="I1203" s="83" t="s">
        <v>104</v>
      </c>
      <c r="J1203" s="83" t="s">
        <v>318</v>
      </c>
      <c r="K1203" s="61" t="n">
        <v>4</v>
      </c>
      <c r="L1203" s="61" t="s">
        <v>7</v>
      </c>
      <c r="Q1203" s="84" t="s">
        <v>911</v>
      </c>
      <c r="R1203" s="82" t="str">
        <f aca="false">VLOOKUP(J1203,ingredient!$N$4:$O$553,2,0)</f>
        <v>dudhi</v>
      </c>
      <c r="U1203" s="81" t="str">
        <f aca="false">I1203</f>
        <v>EKADASI KHICHDI NON-SPICY</v>
      </c>
      <c r="V1203" s="81" t="n">
        <f aca="false">VLOOKUP(U1203,recipe_ingred_list!$A$2:$B$300,2,0)</f>
        <v>2</v>
      </c>
      <c r="W1203" s="81" t="str">
        <f aca="false">"/recipes/"&amp;VLOOKUP(U1203,recipe_ingred_list!$A$2:$C$300,3,0)&amp;"/detail/"</f>
        <v>/recipes/ekadasi-khichdi-non-spicy/detail/</v>
      </c>
      <c r="X1203" s="81" t="str">
        <f aca="false">J1203</f>
        <v>dudhi</v>
      </c>
      <c r="Y1203" s="81" t="str">
        <f aca="false">R1203</f>
        <v>dudhi</v>
      </c>
      <c r="Z1203" s="94" t="n">
        <f aca="false">VLOOKUP(Y1203,recipe_ingred_list!$D$2:$E$500,2,0)</f>
        <v>69</v>
      </c>
      <c r="AA1203" s="61" t="n">
        <f aca="false">K1203</f>
        <v>4</v>
      </c>
      <c r="AB1203" s="61" t="str">
        <f aca="false">L1203</f>
        <v>kg</v>
      </c>
      <c r="AC1203" s="61" t="n">
        <f aca="false">VLOOKUP(AB1203,recipe_ingred_list!$K$2:$M$7,3,0)</f>
        <v>2</v>
      </c>
      <c r="AD1203" s="61" t="n">
        <f aca="false">M1203</f>
        <v>0</v>
      </c>
      <c r="AE1203" s="61" t="n">
        <f aca="false">N1203</f>
        <v>0</v>
      </c>
      <c r="AF1203" s="61" t="n">
        <f aca="false">VLOOKUP(AE1203,recipe_ingred_list!$K$16:$M$25,3,0)</f>
        <v>1</v>
      </c>
      <c r="AG1203" s="61" t="n">
        <f aca="false">O1203</f>
        <v>0</v>
      </c>
      <c r="AH1203" s="61" t="n">
        <f aca="false">P1203</f>
        <v>0</v>
      </c>
      <c r="AI1203" s="61" t="n">
        <f aca="false">VLOOKUP(AH1203,recipe_ingred_list!$K$29:$M$34,3,0)</f>
        <v>3</v>
      </c>
      <c r="AJ1203" s="61" t="str">
        <f aca="false">IF(Q1203="","",Q1203)</f>
        <v>1 tub</v>
      </c>
      <c r="AK1203" s="61" t="n">
        <f aca="false">AK1202+1</f>
        <v>1203</v>
      </c>
      <c r="AL1203" s="61" t="str">
        <f aca="false">Y1203</f>
        <v>dudhi</v>
      </c>
      <c r="AM1203" s="81" t="str">
        <f aca="false">"a = Client().post('"&amp;W1203&amp;"', {'recipe' : '"&amp;V1203&amp;"', 'ingredient' : '"&amp;Z1203&amp;"', 'name' : '"&amp;X1203&amp;"', 'mass_unit' : '"&amp;AC1203&amp;"', 'mass_quantity' : '"&amp;ROUND(AA1203,3)&amp;"', 'volume_unit' : '"&amp;AF1203&amp;"', 'volume_quantity' : '"&amp;ROUND(AD1203,3)&amp;"', 'pieces_unit' : '"&amp;AI1203&amp;"', 'pieces_quantity' : '"&amp;ROUND(AG1203,3)&amp;"', 'cooking_notes' : '"&amp;AJ1203&amp;"'}).status_code; print('%s :: %s :: %s :: %s :: %s' %(a,"&amp;G1203&amp;",'"&amp;X1203&amp;"','"&amp;Y1203&amp;"','"&amp;U1203&amp;"'))"</f>
        <v>a = Client().post('/recipes/ekadasi-khichdi-non-spicy/detail/', {'recipe' : '2', 'ingredient' : '69', 'name' : 'dudhi', 'mass_unit' : '2', 'mass_quantity' : '4', 'volume_unit' : '1', 'volume_quantity' : '0', 'pieces_unit' : '3', 'pieces_quantity' : '0', 'cooking_notes' : '1 tub'}).status_code; print('%s :: %s :: %s :: %s :: %s' %(a,1203,'dudhi','dudhi','EKADASI KHICHDI NON-SPICY'))</v>
      </c>
    </row>
    <row r="1204" customFormat="false" ht="14.9" hidden="false" customHeight="false" outlineLevel="0" collapsed="false">
      <c r="G1204" s="80" t="n">
        <v>1204</v>
      </c>
      <c r="H1204" s="83"/>
      <c r="I1204" s="83" t="s">
        <v>104</v>
      </c>
      <c r="J1204" s="83" t="s">
        <v>201</v>
      </c>
      <c r="K1204" s="61" t="n">
        <v>4</v>
      </c>
      <c r="L1204" s="61" t="s">
        <v>7</v>
      </c>
      <c r="Q1204" s="84" t="s">
        <v>912</v>
      </c>
      <c r="R1204" s="82" t="str">
        <f aca="false">VLOOKUP(J1204,ingredient!$N$4:$O$553,2,0)</f>
        <v>bhopla</v>
      </c>
      <c r="U1204" s="81" t="str">
        <f aca="false">I1204</f>
        <v>EKADASI KHICHDI NON-SPICY</v>
      </c>
      <c r="V1204" s="81" t="n">
        <f aca="false">VLOOKUP(U1204,recipe_ingred_list!$A$2:$B$300,2,0)</f>
        <v>2</v>
      </c>
      <c r="W1204" s="81" t="str">
        <f aca="false">"/recipes/"&amp;VLOOKUP(U1204,recipe_ingred_list!$A$2:$C$300,3,0)&amp;"/detail/"</f>
        <v>/recipes/ekadasi-khichdi-non-spicy/detail/</v>
      </c>
      <c r="X1204" s="81" t="str">
        <f aca="false">J1204</f>
        <v>bhopla</v>
      </c>
      <c r="Y1204" s="81" t="str">
        <f aca="false">R1204</f>
        <v>bhopla</v>
      </c>
      <c r="Z1204" s="94" t="n">
        <f aca="false">VLOOKUP(Y1204,recipe_ingred_list!$D$2:$E$500,2,0)</f>
        <v>30</v>
      </c>
      <c r="AA1204" s="61" t="n">
        <f aca="false">K1204</f>
        <v>4</v>
      </c>
      <c r="AB1204" s="61" t="str">
        <f aca="false">L1204</f>
        <v>kg</v>
      </c>
      <c r="AC1204" s="61" t="n">
        <f aca="false">VLOOKUP(AB1204,recipe_ingred_list!$K$2:$M$7,3,0)</f>
        <v>2</v>
      </c>
      <c r="AD1204" s="61" t="n">
        <f aca="false">M1204</f>
        <v>0</v>
      </c>
      <c r="AE1204" s="61" t="n">
        <f aca="false">N1204</f>
        <v>0</v>
      </c>
      <c r="AF1204" s="61" t="n">
        <f aca="false">VLOOKUP(AE1204,recipe_ingred_list!$K$16:$M$25,3,0)</f>
        <v>1</v>
      </c>
      <c r="AG1204" s="61" t="n">
        <f aca="false">O1204</f>
        <v>0</v>
      </c>
      <c r="AH1204" s="61" t="n">
        <f aca="false">P1204</f>
        <v>0</v>
      </c>
      <c r="AI1204" s="61" t="n">
        <f aca="false">VLOOKUP(AH1204,recipe_ingred_list!$K$29:$M$34,3,0)</f>
        <v>3</v>
      </c>
      <c r="AJ1204" s="61" t="str">
        <f aca="false">IF(Q1204="","",Q1204)</f>
        <v>veg-doubl of grains</v>
      </c>
      <c r="AK1204" s="61" t="n">
        <f aca="false">AK1203+1</f>
        <v>1204</v>
      </c>
      <c r="AL1204" s="61" t="str">
        <f aca="false">Y1204</f>
        <v>bhopla</v>
      </c>
      <c r="AM1204" s="81" t="str">
        <f aca="false">"a = Client().post('"&amp;W1204&amp;"', {'recipe' : '"&amp;V1204&amp;"', 'ingredient' : '"&amp;Z1204&amp;"', 'name' : '"&amp;X1204&amp;"', 'mass_unit' : '"&amp;AC1204&amp;"', 'mass_quantity' : '"&amp;ROUND(AA1204,3)&amp;"', 'volume_unit' : '"&amp;AF1204&amp;"', 'volume_quantity' : '"&amp;ROUND(AD1204,3)&amp;"', 'pieces_unit' : '"&amp;AI1204&amp;"', 'pieces_quantity' : '"&amp;ROUND(AG1204,3)&amp;"', 'cooking_notes' : '"&amp;AJ1204&amp;"'}).status_code; print('%s :: %s :: %s :: %s :: %s' %(a,"&amp;G1204&amp;",'"&amp;X1204&amp;"','"&amp;Y1204&amp;"','"&amp;U1204&amp;"'))"</f>
        <v>a = Client().post('/recipes/ekadasi-khichdi-non-spicy/detail/', {'recipe' : '2', 'ingredient' : '30', 'name' : 'bhopla', 'mass_unit' : '2', 'mass_quantity' : '4', 'volume_unit' : '1', 'volume_quantity' : '0', 'pieces_unit' : '3', 'pieces_quantity' : '0', 'cooking_notes' : 'veg-doubl of grains'}).status_code; print('%s :: %s :: %s :: %s :: %s' %(a,1204,'bhopla','bhopla','EKADASI KHICHDI NON-SPICY'))</v>
      </c>
    </row>
    <row r="1205" customFormat="false" ht="13.8" hidden="false" customHeight="false" outlineLevel="0" collapsed="false">
      <c r="G1205" s="80" t="n">
        <v>1205</v>
      </c>
      <c r="H1205" s="83"/>
      <c r="I1205" s="83" t="s">
        <v>104</v>
      </c>
      <c r="J1205" s="83" t="s">
        <v>854</v>
      </c>
      <c r="M1205" s="61" t="n">
        <v>20</v>
      </c>
      <c r="N1205" s="61" t="s">
        <v>13</v>
      </c>
      <c r="R1205" s="82" t="str">
        <f aca="false">VLOOKUP(J1205,ingredient!$N$4:$O$553,2,0)</f>
        <v>water</v>
      </c>
      <c r="U1205" s="81" t="str">
        <f aca="false">I1205</f>
        <v>EKADASI KHICHDI NON-SPICY</v>
      </c>
      <c r="V1205" s="81" t="n">
        <f aca="false">VLOOKUP(U1205,recipe_ingred_list!$A$2:$B$300,2,0)</f>
        <v>2</v>
      </c>
      <c r="W1205" s="81" t="str">
        <f aca="false">"/recipes/"&amp;VLOOKUP(U1205,recipe_ingred_list!$A$2:$C$300,3,0)&amp;"/detail/"</f>
        <v>/recipes/ekadasi-khichdi-non-spicy/detail/</v>
      </c>
      <c r="X1205" s="81" t="str">
        <f aca="false">J1205</f>
        <v>water(10 times)</v>
      </c>
      <c r="Y1205" s="81" t="str">
        <f aca="false">R1205</f>
        <v>water</v>
      </c>
      <c r="Z1205" s="94" t="n">
        <f aca="false">VLOOKUP(Y1205,recipe_ingred_list!$D$2:$E$500,2,0)</f>
        <v>214</v>
      </c>
      <c r="AA1205" s="61" t="n">
        <f aca="false">K1205</f>
        <v>0</v>
      </c>
      <c r="AB1205" s="61" t="n">
        <f aca="false">L1205</f>
        <v>0</v>
      </c>
      <c r="AC1205" s="61" t="n">
        <f aca="false">VLOOKUP(AB1205,recipe_ingred_list!$K$2:$M$7,3,0)</f>
        <v>2</v>
      </c>
      <c r="AD1205" s="61" t="n">
        <f aca="false">M1205</f>
        <v>20</v>
      </c>
      <c r="AE1205" s="61" t="str">
        <f aca="false">N1205</f>
        <v>ltr</v>
      </c>
      <c r="AF1205" s="61" t="n">
        <f aca="false">VLOOKUP(AE1205,recipe_ingred_list!$K$16:$M$25,3,0)</f>
        <v>1</v>
      </c>
      <c r="AG1205" s="61" t="n">
        <f aca="false">O1205</f>
        <v>0</v>
      </c>
      <c r="AH1205" s="61" t="n">
        <f aca="false">P1205</f>
        <v>0</v>
      </c>
      <c r="AI1205" s="61" t="n">
        <f aca="false">VLOOKUP(AH1205,recipe_ingred_list!$K$29:$M$34,3,0)</f>
        <v>3</v>
      </c>
      <c r="AJ1205" s="61" t="str">
        <f aca="false">IF(Q1205="","",Q1205)</f>
        <v/>
      </c>
      <c r="AK1205" s="61" t="n">
        <f aca="false">AK1204+1</f>
        <v>1205</v>
      </c>
      <c r="AL1205" s="61" t="str">
        <f aca="false">Y1205</f>
        <v>water</v>
      </c>
      <c r="AM1205" s="81" t="str">
        <f aca="false">"a = Client().post('"&amp;W1205&amp;"', {'recipe' : '"&amp;V1205&amp;"', 'ingredient' : '"&amp;Z1205&amp;"', 'name' : '"&amp;X1205&amp;"', 'mass_unit' : '"&amp;AC1205&amp;"', 'mass_quantity' : '"&amp;ROUND(AA1205,3)&amp;"', 'volume_unit' : '"&amp;AF1205&amp;"', 'volume_quantity' : '"&amp;ROUND(AD1205,3)&amp;"', 'pieces_unit' : '"&amp;AI1205&amp;"', 'pieces_quantity' : '"&amp;ROUND(AG1205,3)&amp;"', 'cooking_notes' : '"&amp;AJ1205&amp;"'}).status_code; print('%s :: %s :: %s :: %s :: %s' %(a,"&amp;G1205&amp;",'"&amp;X1205&amp;"','"&amp;Y1205&amp;"','"&amp;U1205&amp;"'))"</f>
        <v>a = Client().post('/recipes/ekadasi-khichdi-non-spicy/detail/', {'recipe' : '2', 'ingredient' : '214', 'name' : 'water(10 times)', 'mass_unit' : '2', 'mass_quantity' : '0', 'volume_unit' : '1', 'volume_quantity' : '20', 'pieces_unit' : '3', 'pieces_quantity' : '0', 'cooking_notes' : ''}).status_code; print('%s :: %s :: %s :: %s :: %s' %(a,1205,'water(10 times)','water','EKADASI KHICHDI NON-SPICY'))</v>
      </c>
    </row>
    <row r="1206" customFormat="false" ht="13.8" hidden="false" customHeight="false" outlineLevel="0" collapsed="false">
      <c r="G1206" s="80" t="n">
        <v>1206</v>
      </c>
      <c r="H1206" s="83"/>
      <c r="I1206" s="83" t="s">
        <v>104</v>
      </c>
      <c r="J1206" s="83" t="s">
        <v>803</v>
      </c>
      <c r="M1206" s="61" t="n">
        <v>1</v>
      </c>
      <c r="N1206" s="61" t="s">
        <v>20</v>
      </c>
      <c r="R1206" s="82" t="str">
        <f aca="false">VLOOKUP(J1206,ingredient!$N$4:$O$553,2,0)</f>
        <v>kadi patta</v>
      </c>
      <c r="U1206" s="81" t="str">
        <f aca="false">I1206</f>
        <v>EKADASI KHICHDI NON-SPICY</v>
      </c>
      <c r="V1206" s="81" t="n">
        <f aca="false">VLOOKUP(U1206,recipe_ingred_list!$A$2:$B$300,2,0)</f>
        <v>2</v>
      </c>
      <c r="W1206" s="81" t="str">
        <f aca="false">"/recipes/"&amp;VLOOKUP(U1206,recipe_ingred_list!$A$2:$C$300,3,0)&amp;"/detail/"</f>
        <v>/recipes/ekadasi-khichdi-non-spicy/detail/</v>
      </c>
      <c r="X1206" s="81" t="str">
        <f aca="false">J1206</f>
        <v>kadipatta</v>
      </c>
      <c r="Y1206" s="81" t="str">
        <f aca="false">R1206</f>
        <v>kadi patta</v>
      </c>
      <c r="Z1206" s="94" t="n">
        <f aca="false">VLOOKUP(Y1206,recipe_ingred_list!$D$2:$E$500,2,0)</f>
        <v>105</v>
      </c>
      <c r="AA1206" s="61" t="n">
        <f aca="false">K1206</f>
        <v>0</v>
      </c>
      <c r="AB1206" s="61" t="n">
        <f aca="false">L1206</f>
        <v>0</v>
      </c>
      <c r="AC1206" s="61" t="n">
        <f aca="false">VLOOKUP(AB1206,recipe_ingred_list!$K$2:$M$7,3,0)</f>
        <v>2</v>
      </c>
      <c r="AD1206" s="61" t="n">
        <f aca="false">M1206</f>
        <v>1</v>
      </c>
      <c r="AE1206" s="61" t="str">
        <f aca="false">N1206</f>
        <v>cup</v>
      </c>
      <c r="AF1206" s="61" t="n">
        <f aca="false">VLOOKUP(AE1206,recipe_ingred_list!$K$16:$M$25,3,0)</f>
        <v>5</v>
      </c>
      <c r="AG1206" s="61" t="n">
        <f aca="false">O1206</f>
        <v>0</v>
      </c>
      <c r="AH1206" s="61" t="n">
        <f aca="false">P1206</f>
        <v>0</v>
      </c>
      <c r="AI1206" s="61" t="n">
        <f aca="false">VLOOKUP(AH1206,recipe_ingred_list!$K$29:$M$34,3,0)</f>
        <v>3</v>
      </c>
      <c r="AJ1206" s="61" t="str">
        <f aca="false">IF(Q1206="","",Q1206)</f>
        <v/>
      </c>
      <c r="AK1206" s="61" t="n">
        <f aca="false">AK1205+1</f>
        <v>1206</v>
      </c>
      <c r="AL1206" s="61" t="str">
        <f aca="false">Y1206</f>
        <v>kadi patta</v>
      </c>
      <c r="AM1206" s="81" t="str">
        <f aca="false">"a = Client().post('"&amp;W1206&amp;"', {'recipe' : '"&amp;V1206&amp;"', 'ingredient' : '"&amp;Z1206&amp;"', 'name' : '"&amp;X1206&amp;"', 'mass_unit' : '"&amp;AC1206&amp;"', 'mass_quantity' : '"&amp;ROUND(AA1206,3)&amp;"', 'volume_unit' : '"&amp;AF1206&amp;"', 'volume_quantity' : '"&amp;ROUND(AD1206,3)&amp;"', 'pieces_unit' : '"&amp;AI1206&amp;"', 'pieces_quantity' : '"&amp;ROUND(AG1206,3)&amp;"', 'cooking_notes' : '"&amp;AJ1206&amp;"'}).status_code; print('%s :: %s :: %s :: %s :: %s' %(a,"&amp;G1206&amp;",'"&amp;X1206&amp;"','"&amp;Y1206&amp;"','"&amp;U1206&amp;"'))"</f>
        <v>a = Client().post('/recipes/ekadasi-khichdi-non-spicy/detail/', {'recipe' : '2', 'ingredient' : '105', 'name' : 'kadipatta', 'mass_unit' : '2', 'mass_quantity' : '0', 'volume_unit' : '5', 'volume_quantity' : '1', 'pieces_unit' : '3', 'pieces_quantity' : '0', 'cooking_notes' : ''}).status_code; print('%s :: %s :: %s :: %s :: %s' %(a,1206,'kadipatta','kadi patta','EKADASI KHICHDI NON-SPICY'))</v>
      </c>
    </row>
    <row r="1207" customFormat="false" ht="13.8" hidden="false" customHeight="false" outlineLevel="0" collapsed="false">
      <c r="G1207" s="80" t="n">
        <v>1207</v>
      </c>
      <c r="H1207" s="83"/>
      <c r="I1207" s="83" t="s">
        <v>104</v>
      </c>
      <c r="J1207" s="83" t="s">
        <v>309</v>
      </c>
      <c r="M1207" s="61" t="n">
        <v>0.5</v>
      </c>
      <c r="N1207" s="61" t="s">
        <v>13</v>
      </c>
      <c r="R1207" s="82" t="str">
        <f aca="false">VLOOKUP(J1207,ingredient!$N$4:$O$553,2,0)</f>
        <v>dhaniya patta</v>
      </c>
      <c r="U1207" s="81" t="str">
        <f aca="false">I1207</f>
        <v>EKADASI KHICHDI NON-SPICY</v>
      </c>
      <c r="V1207" s="81" t="n">
        <f aca="false">VLOOKUP(U1207,recipe_ingred_list!$A$2:$B$300,2,0)</f>
        <v>2</v>
      </c>
      <c r="W1207" s="81" t="str">
        <f aca="false">"/recipes/"&amp;VLOOKUP(U1207,recipe_ingred_list!$A$2:$C$300,3,0)&amp;"/detail/"</f>
        <v>/recipes/ekadasi-khichdi-non-spicy/detail/</v>
      </c>
      <c r="X1207" s="81" t="str">
        <f aca="false">J1207</f>
        <v>dhaniya patta</v>
      </c>
      <c r="Y1207" s="81" t="str">
        <f aca="false">R1207</f>
        <v>dhaniya patta</v>
      </c>
      <c r="Z1207" s="94" t="n">
        <f aca="false">VLOOKUP(Y1207,recipe_ingred_list!$D$2:$E$500,2,0)</f>
        <v>66</v>
      </c>
      <c r="AA1207" s="61" t="n">
        <f aca="false">K1207</f>
        <v>0</v>
      </c>
      <c r="AB1207" s="61" t="n">
        <f aca="false">L1207</f>
        <v>0</v>
      </c>
      <c r="AC1207" s="61" t="n">
        <f aca="false">VLOOKUP(AB1207,recipe_ingred_list!$K$2:$M$7,3,0)</f>
        <v>2</v>
      </c>
      <c r="AD1207" s="61" t="n">
        <f aca="false">M1207</f>
        <v>0.5</v>
      </c>
      <c r="AE1207" s="61" t="str">
        <f aca="false">N1207</f>
        <v>ltr</v>
      </c>
      <c r="AF1207" s="61" t="n">
        <f aca="false">VLOOKUP(AE1207,recipe_ingred_list!$K$16:$M$25,3,0)</f>
        <v>1</v>
      </c>
      <c r="AG1207" s="61" t="n">
        <f aca="false">O1207</f>
        <v>0</v>
      </c>
      <c r="AH1207" s="61" t="n">
        <f aca="false">P1207</f>
        <v>0</v>
      </c>
      <c r="AI1207" s="61" t="n">
        <f aca="false">VLOOKUP(AH1207,recipe_ingred_list!$K$29:$M$34,3,0)</f>
        <v>3</v>
      </c>
      <c r="AJ1207" s="61" t="str">
        <f aca="false">IF(Q1207="","",Q1207)</f>
        <v/>
      </c>
      <c r="AK1207" s="61" t="n">
        <f aca="false">AK1206+1</f>
        <v>1207</v>
      </c>
      <c r="AL1207" s="61" t="str">
        <f aca="false">Y1207</f>
        <v>dhaniya patta</v>
      </c>
      <c r="AM1207" s="81" t="str">
        <f aca="false">"a = Client().post('"&amp;W1207&amp;"', {'recipe' : '"&amp;V1207&amp;"', 'ingredient' : '"&amp;Z1207&amp;"', 'name' : '"&amp;X1207&amp;"', 'mass_unit' : '"&amp;AC1207&amp;"', 'mass_quantity' : '"&amp;ROUND(AA1207,3)&amp;"', 'volume_unit' : '"&amp;AF1207&amp;"', 'volume_quantity' : '"&amp;ROUND(AD1207,3)&amp;"', 'pieces_unit' : '"&amp;AI1207&amp;"', 'pieces_quantity' : '"&amp;ROUND(AG1207,3)&amp;"', 'cooking_notes' : '"&amp;AJ1207&amp;"'}).status_code; print('%s :: %s :: %s :: %s :: %s' %(a,"&amp;G1207&amp;",'"&amp;X1207&amp;"','"&amp;Y1207&amp;"','"&amp;U1207&amp;"'))"</f>
        <v>a = Client().post('/recipes/ekadasi-khichdi-non-spicy/detail/', {'recipe' : '2', 'ingredient' : '66', 'name' : 'dhaniya patta', 'mass_unit' : '2', 'mass_quantity' : '0', 'volume_unit' : '1', 'volume_quantity' : '0.5', 'pieces_unit' : '3', 'pieces_quantity' : '0', 'cooking_notes' : ''}).status_code; print('%s :: %s :: %s :: %s :: %s' %(a,1207,'dhaniya patta','dhaniya patta','EKADASI KHICHDI NON-SPICY'))</v>
      </c>
    </row>
    <row r="1208" customFormat="false" ht="13.8" hidden="false" customHeight="false" outlineLevel="0" collapsed="false">
      <c r="G1208" s="80" t="n">
        <v>1208</v>
      </c>
      <c r="H1208" s="83"/>
      <c r="I1208" s="83" t="s">
        <v>104</v>
      </c>
      <c r="J1208" s="83" t="s">
        <v>855</v>
      </c>
      <c r="M1208" s="61" t="n">
        <v>1</v>
      </c>
      <c r="N1208" s="61" t="s">
        <v>20</v>
      </c>
      <c r="R1208" s="82" t="str">
        <f aca="false">VLOOKUP(J1208,ingredient!$N$4:$O$553,2,0)</f>
        <v>adrak</v>
      </c>
      <c r="U1208" s="81" t="str">
        <f aca="false">I1208</f>
        <v>EKADASI KHICHDI NON-SPICY</v>
      </c>
      <c r="V1208" s="81" t="n">
        <f aca="false">VLOOKUP(U1208,recipe_ingred_list!$A$2:$B$300,2,0)</f>
        <v>2</v>
      </c>
      <c r="W1208" s="81" t="str">
        <f aca="false">"/recipes/"&amp;VLOOKUP(U1208,recipe_ingred_list!$A$2:$C$300,3,0)&amp;"/detail/"</f>
        <v>/recipes/ekadasi-khichdi-non-spicy/detail/</v>
      </c>
      <c r="X1208" s="81" t="str">
        <f aca="false">J1208</f>
        <v>adrak paste</v>
      </c>
      <c r="Y1208" s="81" t="str">
        <f aca="false">R1208</f>
        <v>adrak</v>
      </c>
      <c r="Z1208" s="94" t="n">
        <f aca="false">VLOOKUP(Y1208,recipe_ingred_list!$D$2:$E$500,2,0)</f>
        <v>1</v>
      </c>
      <c r="AA1208" s="61" t="n">
        <f aca="false">K1208</f>
        <v>0</v>
      </c>
      <c r="AB1208" s="61" t="n">
        <f aca="false">L1208</f>
        <v>0</v>
      </c>
      <c r="AC1208" s="61" t="n">
        <f aca="false">VLOOKUP(AB1208,recipe_ingred_list!$K$2:$M$7,3,0)</f>
        <v>2</v>
      </c>
      <c r="AD1208" s="61" t="n">
        <f aca="false">M1208</f>
        <v>1</v>
      </c>
      <c r="AE1208" s="61" t="str">
        <f aca="false">N1208</f>
        <v>cup</v>
      </c>
      <c r="AF1208" s="61" t="n">
        <f aca="false">VLOOKUP(AE1208,recipe_ingred_list!$K$16:$M$25,3,0)</f>
        <v>5</v>
      </c>
      <c r="AG1208" s="61" t="n">
        <f aca="false">O1208</f>
        <v>0</v>
      </c>
      <c r="AH1208" s="61" t="n">
        <f aca="false">P1208</f>
        <v>0</v>
      </c>
      <c r="AI1208" s="61" t="n">
        <f aca="false">VLOOKUP(AH1208,recipe_ingred_list!$K$29:$M$34,3,0)</f>
        <v>3</v>
      </c>
      <c r="AJ1208" s="61" t="str">
        <f aca="false">IF(Q1208="","",Q1208)</f>
        <v/>
      </c>
      <c r="AK1208" s="61" t="n">
        <f aca="false">AK1207+1</f>
        <v>1208</v>
      </c>
      <c r="AL1208" s="61" t="str">
        <f aca="false">Y1208</f>
        <v>adrak</v>
      </c>
      <c r="AM1208" s="81" t="str">
        <f aca="false">"a = Client().post('"&amp;W1208&amp;"', {'recipe' : '"&amp;V1208&amp;"', 'ingredient' : '"&amp;Z1208&amp;"', 'name' : '"&amp;X1208&amp;"', 'mass_unit' : '"&amp;AC1208&amp;"', 'mass_quantity' : '"&amp;ROUND(AA1208,3)&amp;"', 'volume_unit' : '"&amp;AF1208&amp;"', 'volume_quantity' : '"&amp;ROUND(AD1208,3)&amp;"', 'pieces_unit' : '"&amp;AI1208&amp;"', 'pieces_quantity' : '"&amp;ROUND(AG1208,3)&amp;"', 'cooking_notes' : '"&amp;AJ1208&amp;"'}).status_code; print('%s :: %s :: %s :: %s :: %s' %(a,"&amp;G1208&amp;",'"&amp;X1208&amp;"','"&amp;Y1208&amp;"','"&amp;U1208&amp;"'))"</f>
        <v>a = Client().post('/recipes/ekadasi-khichdi-non-spicy/detail/', {'recipe' : '2', 'ingredient' : '1', 'name' : 'adrak paste', 'mass_unit' : '2', 'mass_quantity' : '0', 'volume_unit' : '5', 'volume_quantity' : '1', 'pieces_unit' : '3', 'pieces_quantity' : '0', 'cooking_notes' : ''}).status_code; print('%s :: %s :: %s :: %s :: %s' %(a,1208,'adrak paste','adrak','EKADASI KHICHDI NON-SPICY'))</v>
      </c>
    </row>
    <row r="1209" customFormat="false" ht="13.8" hidden="false" customHeight="false" outlineLevel="0" collapsed="false">
      <c r="G1209" s="80" t="n">
        <v>1209</v>
      </c>
      <c r="H1209" s="83"/>
      <c r="I1209" s="83" t="s">
        <v>104</v>
      </c>
      <c r="J1209" s="83" t="s">
        <v>913</v>
      </c>
      <c r="K1209" s="61" t="n">
        <v>3.5</v>
      </c>
      <c r="L1209" s="61" t="s">
        <v>7</v>
      </c>
      <c r="R1209" s="82" t="str">
        <f aca="false">VLOOKUP(J1209,ingredient!$N$4:$O$553,2,0)</f>
        <v>varai</v>
      </c>
      <c r="U1209" s="81" t="str">
        <f aca="false">I1209</f>
        <v>EKADASI KHICHDI NON-SPICY</v>
      </c>
      <c r="V1209" s="81" t="n">
        <f aca="false">VLOOKUP(U1209,recipe_ingred_list!$A$2:$B$300,2,0)</f>
        <v>2</v>
      </c>
      <c r="W1209" s="81" t="str">
        <f aca="false">"/recipes/"&amp;VLOOKUP(U1209,recipe_ingred_list!$A$2:$C$300,3,0)&amp;"/detail/"</f>
        <v>/recipes/ekadasi-khichdi-non-spicy/detail/</v>
      </c>
      <c r="X1209" s="81" t="str">
        <f aca="false">J1209</f>
        <v>VARAI</v>
      </c>
      <c r="Y1209" s="81" t="str">
        <f aca="false">R1209</f>
        <v>varai</v>
      </c>
      <c r="Z1209" s="94" t="n">
        <f aca="false">VLOOKUP(Y1209,recipe_ingred_list!$D$2:$E$500,2,0)</f>
        <v>201</v>
      </c>
      <c r="AA1209" s="61" t="n">
        <f aca="false">K1209</f>
        <v>3.5</v>
      </c>
      <c r="AB1209" s="61" t="str">
        <f aca="false">L1209</f>
        <v>kg</v>
      </c>
      <c r="AC1209" s="61" t="n">
        <f aca="false">VLOOKUP(AB1209,recipe_ingred_list!$K$2:$M$7,3,0)</f>
        <v>2</v>
      </c>
      <c r="AD1209" s="61" t="n">
        <f aca="false">M1209</f>
        <v>0</v>
      </c>
      <c r="AE1209" s="61" t="n">
        <f aca="false">N1209</f>
        <v>0</v>
      </c>
      <c r="AF1209" s="61" t="n">
        <f aca="false">VLOOKUP(AE1209,recipe_ingred_list!$K$16:$M$25,3,0)</f>
        <v>1</v>
      </c>
      <c r="AG1209" s="61" t="n">
        <f aca="false">O1209</f>
        <v>0</v>
      </c>
      <c r="AH1209" s="61" t="n">
        <f aca="false">P1209</f>
        <v>0</v>
      </c>
      <c r="AI1209" s="61" t="n">
        <f aca="false">VLOOKUP(AH1209,recipe_ingred_list!$K$29:$M$34,3,0)</f>
        <v>3</v>
      </c>
      <c r="AJ1209" s="61" t="str">
        <f aca="false">IF(Q1209="","",Q1209)</f>
        <v/>
      </c>
      <c r="AK1209" s="61" t="n">
        <f aca="false">AK1208+1</f>
        <v>1209</v>
      </c>
      <c r="AL1209" s="61" t="str">
        <f aca="false">Y1209</f>
        <v>varai</v>
      </c>
      <c r="AM1209" s="81" t="str">
        <f aca="false">"a = Client().post('"&amp;W1209&amp;"', {'recipe' : '"&amp;V1209&amp;"', 'ingredient' : '"&amp;Z1209&amp;"', 'name' : '"&amp;X1209&amp;"', 'mass_unit' : '"&amp;AC1209&amp;"', 'mass_quantity' : '"&amp;ROUND(AA1209,3)&amp;"', 'volume_unit' : '"&amp;AF1209&amp;"', 'volume_quantity' : '"&amp;ROUND(AD1209,3)&amp;"', 'pieces_unit' : '"&amp;AI1209&amp;"', 'pieces_quantity' : '"&amp;ROUND(AG1209,3)&amp;"', 'cooking_notes' : '"&amp;AJ1209&amp;"'}).status_code; print('%s :: %s :: %s :: %s :: %s' %(a,"&amp;G1209&amp;",'"&amp;X1209&amp;"','"&amp;Y1209&amp;"','"&amp;U1209&amp;"'))"</f>
        <v>a = Client().post('/recipes/ekadasi-khichdi-non-spicy/detail/', {'recipe' : '2', 'ingredient' : '201', 'name' : 'VARAI', 'mass_unit' : '2', 'mass_quantity' : '3.5', 'volume_unit' : '1', 'volume_quantity' : '0', 'pieces_unit' : '3', 'pieces_quantity' : '0', 'cooking_notes' : ''}).status_code; print('%s :: %s :: %s :: %s :: %s' %(a,1209,'VARAI','varai','EKADASI KHICHDI NON-SPICY'))</v>
      </c>
    </row>
    <row r="1210" customFormat="false" ht="13.8" hidden="false" customHeight="false" outlineLevel="0" collapsed="false">
      <c r="G1210" s="80" t="n">
        <v>1210</v>
      </c>
      <c r="H1210" s="83"/>
      <c r="I1210" s="83" t="s">
        <v>104</v>
      </c>
      <c r="J1210" s="83" t="s">
        <v>96</v>
      </c>
      <c r="M1210" s="61" t="n">
        <v>1.25</v>
      </c>
      <c r="N1210" s="61" t="s">
        <v>20</v>
      </c>
      <c r="R1210" s="82" t="str">
        <f aca="false">VLOOKUP(J1210,ingredient!$N$4:$O$553,2,0)</f>
        <v>salt</v>
      </c>
      <c r="U1210" s="81" t="str">
        <f aca="false">I1210</f>
        <v>EKADASI KHICHDI NON-SPICY</v>
      </c>
      <c r="V1210" s="81" t="n">
        <f aca="false">VLOOKUP(U1210,recipe_ingred_list!$A$2:$B$300,2,0)</f>
        <v>2</v>
      </c>
      <c r="W1210" s="81" t="str">
        <f aca="false">"/recipes/"&amp;VLOOKUP(U1210,recipe_ingred_list!$A$2:$C$300,3,0)&amp;"/detail/"</f>
        <v>/recipes/ekadasi-khichdi-non-spicy/detail/</v>
      </c>
      <c r="X1210" s="81" t="str">
        <f aca="false">J1210</f>
        <v>salt</v>
      </c>
      <c r="Y1210" s="81" t="str">
        <f aca="false">R1210</f>
        <v>salt</v>
      </c>
      <c r="Z1210" s="94" t="n">
        <f aca="false">VLOOKUP(Y1210,recipe_ingred_list!$D$2:$E$500,2,0)</f>
        <v>177</v>
      </c>
      <c r="AA1210" s="61" t="n">
        <f aca="false">K1210</f>
        <v>0</v>
      </c>
      <c r="AB1210" s="61" t="n">
        <f aca="false">L1210</f>
        <v>0</v>
      </c>
      <c r="AC1210" s="61" t="n">
        <f aca="false">VLOOKUP(AB1210,recipe_ingred_list!$K$2:$M$7,3,0)</f>
        <v>2</v>
      </c>
      <c r="AD1210" s="61" t="n">
        <f aca="false">M1210</f>
        <v>1.25</v>
      </c>
      <c r="AE1210" s="61" t="str">
        <f aca="false">N1210</f>
        <v>cup</v>
      </c>
      <c r="AF1210" s="61" t="n">
        <f aca="false">VLOOKUP(AE1210,recipe_ingred_list!$K$16:$M$25,3,0)</f>
        <v>5</v>
      </c>
      <c r="AG1210" s="61" t="n">
        <f aca="false">O1210</f>
        <v>0</v>
      </c>
      <c r="AH1210" s="61" t="n">
        <f aca="false">P1210</f>
        <v>0</v>
      </c>
      <c r="AI1210" s="61" t="n">
        <f aca="false">VLOOKUP(AH1210,recipe_ingred_list!$K$29:$M$34,3,0)</f>
        <v>3</v>
      </c>
      <c r="AJ1210" s="61" t="str">
        <f aca="false">IF(Q1210="","",Q1210)</f>
        <v/>
      </c>
      <c r="AK1210" s="61" t="n">
        <f aca="false">AK1209+1</f>
        <v>1210</v>
      </c>
      <c r="AL1210" s="61" t="str">
        <f aca="false">Y1210</f>
        <v>salt</v>
      </c>
      <c r="AM1210" s="81" t="str">
        <f aca="false">"a = Client().post('"&amp;W1210&amp;"', {'recipe' : '"&amp;V1210&amp;"', 'ingredient' : '"&amp;Z1210&amp;"', 'name' : '"&amp;X1210&amp;"', 'mass_unit' : '"&amp;AC1210&amp;"', 'mass_quantity' : '"&amp;ROUND(AA1210,3)&amp;"', 'volume_unit' : '"&amp;AF1210&amp;"', 'volume_quantity' : '"&amp;ROUND(AD1210,3)&amp;"', 'pieces_unit' : '"&amp;AI1210&amp;"', 'pieces_quantity' : '"&amp;ROUND(AG1210,3)&amp;"', 'cooking_notes' : '"&amp;AJ1210&amp;"'}).status_code; print('%s :: %s :: %s :: %s :: %s' %(a,"&amp;G1210&amp;",'"&amp;X1210&amp;"','"&amp;Y1210&amp;"','"&amp;U1210&amp;"'))"</f>
        <v>a = Client().post('/recipes/ekadasi-khichdi-non-spicy/detail/', {'recipe' : '2', 'ingredient' : '177', 'name' : 'salt', 'mass_unit' : '2', 'mass_quantity' : '0', 'volume_unit' : '5', 'volume_quantity' : '1.25', 'pieces_unit' : '3', 'pieces_quantity' : '0', 'cooking_notes' : ''}).status_code; print('%s :: %s :: %s :: %s :: %s' %(a,1210,'salt','salt','EKADASI KHICHDI NON-SPICY'))</v>
      </c>
    </row>
    <row r="1211" customFormat="false" ht="13.8" hidden="false" customHeight="false" outlineLevel="0" collapsed="false">
      <c r="G1211" s="80" t="n">
        <v>1211</v>
      </c>
      <c r="H1211" s="83"/>
      <c r="I1211" s="83" t="s">
        <v>104</v>
      </c>
      <c r="J1211" s="83" t="s">
        <v>398</v>
      </c>
      <c r="M1211" s="61" t="n">
        <v>0.4</v>
      </c>
      <c r="N1211" s="61" t="s">
        <v>20</v>
      </c>
      <c r="R1211" s="82" t="str">
        <f aca="false">VLOOKUP(J1211,ingredient!$N$4:$O$553,2,0)</f>
        <v>jeera</v>
      </c>
      <c r="U1211" s="81" t="str">
        <f aca="false">I1211</f>
        <v>EKADASI KHICHDI NON-SPICY</v>
      </c>
      <c r="V1211" s="81" t="n">
        <f aca="false">VLOOKUP(U1211,recipe_ingred_list!$A$2:$B$300,2,0)</f>
        <v>2</v>
      </c>
      <c r="W1211" s="81" t="str">
        <f aca="false">"/recipes/"&amp;VLOOKUP(U1211,recipe_ingred_list!$A$2:$C$300,3,0)&amp;"/detail/"</f>
        <v>/recipes/ekadasi-khichdi-non-spicy/detail/</v>
      </c>
      <c r="X1211" s="81" t="str">
        <f aca="false">J1211</f>
        <v>jeera</v>
      </c>
      <c r="Y1211" s="81" t="str">
        <f aca="false">R1211</f>
        <v>jeera</v>
      </c>
      <c r="Z1211" s="94" t="n">
        <f aca="false">VLOOKUP(Y1211,recipe_ingred_list!$D$2:$E$500,2,0)</f>
        <v>102</v>
      </c>
      <c r="AA1211" s="61" t="n">
        <f aca="false">K1211</f>
        <v>0</v>
      </c>
      <c r="AB1211" s="61" t="n">
        <f aca="false">L1211</f>
        <v>0</v>
      </c>
      <c r="AC1211" s="61" t="n">
        <f aca="false">VLOOKUP(AB1211,recipe_ingred_list!$K$2:$M$7,3,0)</f>
        <v>2</v>
      </c>
      <c r="AD1211" s="61" t="n">
        <f aca="false">M1211</f>
        <v>0.4</v>
      </c>
      <c r="AE1211" s="61" t="str">
        <f aca="false">N1211</f>
        <v>cup</v>
      </c>
      <c r="AF1211" s="61" t="n">
        <f aca="false">VLOOKUP(AE1211,recipe_ingred_list!$K$16:$M$25,3,0)</f>
        <v>5</v>
      </c>
      <c r="AG1211" s="61" t="n">
        <f aca="false">O1211</f>
        <v>0</v>
      </c>
      <c r="AH1211" s="61" t="n">
        <f aca="false">P1211</f>
        <v>0</v>
      </c>
      <c r="AI1211" s="61" t="n">
        <f aca="false">VLOOKUP(AH1211,recipe_ingred_list!$K$29:$M$34,3,0)</f>
        <v>3</v>
      </c>
      <c r="AJ1211" s="61" t="str">
        <f aca="false">IF(Q1211="","",Q1211)</f>
        <v/>
      </c>
      <c r="AK1211" s="61" t="n">
        <f aca="false">AK1210+1</f>
        <v>1211</v>
      </c>
      <c r="AL1211" s="61" t="str">
        <f aca="false">Y1211</f>
        <v>jeera</v>
      </c>
      <c r="AM1211" s="81" t="str">
        <f aca="false">"a = Client().post('"&amp;W1211&amp;"', {'recipe' : '"&amp;V1211&amp;"', 'ingredient' : '"&amp;Z1211&amp;"', 'name' : '"&amp;X1211&amp;"', 'mass_unit' : '"&amp;AC1211&amp;"', 'mass_quantity' : '"&amp;ROUND(AA1211,3)&amp;"', 'volume_unit' : '"&amp;AF1211&amp;"', 'volume_quantity' : '"&amp;ROUND(AD1211,3)&amp;"', 'pieces_unit' : '"&amp;AI1211&amp;"', 'pieces_quantity' : '"&amp;ROUND(AG1211,3)&amp;"', 'cooking_notes' : '"&amp;AJ1211&amp;"'}).status_code; print('%s :: %s :: %s :: %s :: %s' %(a,"&amp;G1211&amp;",'"&amp;X1211&amp;"','"&amp;Y1211&amp;"','"&amp;U1211&amp;"'))"</f>
        <v>a = Client().post('/recipes/ekadasi-khichdi-non-spicy/detail/', {'recipe' : '2', 'ingredient' : '102', 'name' : 'jeera', 'mass_unit' : '2', 'mass_quantity' : '0', 'volume_unit' : '5', 'volume_quantity' : '0.4', 'pieces_unit' : '3', 'pieces_quantity' : '0', 'cooking_notes' : ''}).status_code; print('%s :: %s :: %s :: %s :: %s' %(a,1211,'jeera','jeera','EKADASI KHICHDI NON-SPICY'))</v>
      </c>
    </row>
    <row r="1212" customFormat="false" ht="13.8" hidden="false" customHeight="false" outlineLevel="0" collapsed="false">
      <c r="G1212" s="80" t="n">
        <v>1212</v>
      </c>
      <c r="H1212" s="83"/>
      <c r="I1212" s="83" t="s">
        <v>104</v>
      </c>
      <c r="J1212" s="83" t="s">
        <v>354</v>
      </c>
      <c r="M1212" s="61" t="n">
        <v>300</v>
      </c>
      <c r="N1212" s="61" t="s">
        <v>143</v>
      </c>
      <c r="R1212" s="82" t="str">
        <f aca="false">VLOOKUP(J1212,ingredient!$N$4:$O$553,2,0)</f>
        <v>ghee</v>
      </c>
      <c r="U1212" s="81" t="str">
        <f aca="false">I1212</f>
        <v>EKADASI KHICHDI NON-SPICY</v>
      </c>
      <c r="V1212" s="81" t="n">
        <f aca="false">VLOOKUP(U1212,recipe_ingred_list!$A$2:$B$300,2,0)</f>
        <v>2</v>
      </c>
      <c r="W1212" s="81" t="str">
        <f aca="false">"/recipes/"&amp;VLOOKUP(U1212,recipe_ingred_list!$A$2:$C$300,3,0)&amp;"/detail/"</f>
        <v>/recipes/ekadasi-khichdi-non-spicy/detail/</v>
      </c>
      <c r="X1212" s="81" t="str">
        <f aca="false">J1212</f>
        <v>ghee</v>
      </c>
      <c r="Y1212" s="81" t="str">
        <f aca="false">R1212</f>
        <v>ghee</v>
      </c>
      <c r="Z1212" s="94" t="n">
        <f aca="false">VLOOKUP(Y1212,recipe_ingred_list!$D$2:$E$500,2,0)</f>
        <v>81</v>
      </c>
      <c r="AA1212" s="61" t="n">
        <f aca="false">K1212</f>
        <v>0</v>
      </c>
      <c r="AB1212" s="61" t="n">
        <f aca="false">L1212</f>
        <v>0</v>
      </c>
      <c r="AC1212" s="61" t="n">
        <f aca="false">VLOOKUP(AB1212,recipe_ingred_list!$K$2:$M$7,3,0)</f>
        <v>2</v>
      </c>
      <c r="AD1212" s="61" t="n">
        <f aca="false">M1212</f>
        <v>300</v>
      </c>
      <c r="AE1212" s="61" t="str">
        <f aca="false">N1212</f>
        <v>ml</v>
      </c>
      <c r="AF1212" s="61" t="n">
        <f aca="false">VLOOKUP(AE1212,recipe_ingred_list!$K$16:$M$25,3,0)</f>
        <v>12</v>
      </c>
      <c r="AG1212" s="61" t="n">
        <f aca="false">O1212</f>
        <v>0</v>
      </c>
      <c r="AH1212" s="61" t="n">
        <f aca="false">P1212</f>
        <v>0</v>
      </c>
      <c r="AI1212" s="61" t="n">
        <f aca="false">VLOOKUP(AH1212,recipe_ingred_list!$K$29:$M$34,3,0)</f>
        <v>3</v>
      </c>
      <c r="AJ1212" s="61" t="str">
        <f aca="false">IF(Q1212="","",Q1212)</f>
        <v/>
      </c>
      <c r="AK1212" s="61" t="n">
        <f aca="false">AK1211+1</f>
        <v>1212</v>
      </c>
      <c r="AL1212" s="61" t="str">
        <f aca="false">Y1212</f>
        <v>ghee</v>
      </c>
      <c r="AM1212" s="81" t="str">
        <f aca="false">"a = Client().post('"&amp;W1212&amp;"', {'recipe' : '"&amp;V1212&amp;"', 'ingredient' : '"&amp;Z1212&amp;"', 'name' : '"&amp;X1212&amp;"', 'mass_unit' : '"&amp;AC1212&amp;"', 'mass_quantity' : '"&amp;ROUND(AA1212,3)&amp;"', 'volume_unit' : '"&amp;AF1212&amp;"', 'volume_quantity' : '"&amp;ROUND(AD1212,3)&amp;"', 'pieces_unit' : '"&amp;AI1212&amp;"', 'pieces_quantity' : '"&amp;ROUND(AG1212,3)&amp;"', 'cooking_notes' : '"&amp;AJ1212&amp;"'}).status_code; print('%s :: %s :: %s :: %s :: %s' %(a,"&amp;G1212&amp;",'"&amp;X1212&amp;"','"&amp;Y1212&amp;"','"&amp;U1212&amp;"'))"</f>
        <v>a = Client().post('/recipes/ekadasi-khichdi-non-spicy/detail/', {'recipe' : '2', 'ingredient' : '81', 'name' : 'ghee', 'mass_unit' : '2', 'mass_quantity' : '0', 'volume_unit' : '12', 'volume_quantity' : '300', 'pieces_unit' : '3', 'pieces_quantity' : '0', 'cooking_notes' : ''}).status_code; print('%s :: %s :: %s :: %s :: %s' %(a,1212,'ghee','ghee','EKADASI KHICHDI NON-SPICY'))</v>
      </c>
    </row>
    <row r="1213" customFormat="false" ht="13.8" hidden="false" customHeight="false" outlineLevel="0" collapsed="false">
      <c r="G1213" s="80" t="n">
        <v>1213</v>
      </c>
      <c r="H1213" s="79"/>
      <c r="I1213" s="79"/>
      <c r="J1213" s="79"/>
      <c r="K1213" s="100"/>
      <c r="L1213" s="100"/>
      <c r="M1213" s="100"/>
      <c r="N1213" s="100"/>
      <c r="O1213" s="100"/>
      <c r="P1213" s="100"/>
      <c r="Q1213" s="102"/>
      <c r="R1213" s="99" t="e">
        <f aca="false">VLOOKUP(J1213,ingredient!$N$4:$O$553,2,0)</f>
        <v>#N/A</v>
      </c>
      <c r="S1213" s="98"/>
      <c r="T1213" s="98"/>
      <c r="U1213" s="81" t="n">
        <f aca="false">I1213</f>
        <v>0</v>
      </c>
      <c r="V1213" s="81" t="e">
        <f aca="false">VLOOKUP(U1213,recipe_ingred_list!$A$2:$B$300,2,0)</f>
        <v>#N/A</v>
      </c>
      <c r="W1213" s="81" t="e">
        <f aca="false">"/recipes/"&amp;VLOOKUP(U1213,recipe_ingred_list!$A$2:$C$300,3,0)&amp;"/detail/"</f>
        <v>#N/A</v>
      </c>
      <c r="X1213" s="81" t="n">
        <f aca="false">J1213</f>
        <v>0</v>
      </c>
      <c r="Y1213" s="81" t="e">
        <f aca="false">R1213</f>
        <v>#N/A</v>
      </c>
      <c r="Z1213" s="94" t="e">
        <f aca="false">VLOOKUP(Y1213,recipe_ingred_list!$D$2:$E$500,2,0)</f>
        <v>#N/A</v>
      </c>
      <c r="AA1213" s="61" t="n">
        <f aca="false">K1213</f>
        <v>0</v>
      </c>
      <c r="AB1213" s="61" t="n">
        <f aca="false">L1213</f>
        <v>0</v>
      </c>
      <c r="AC1213" s="61" t="n">
        <f aca="false">VLOOKUP(AB1213,recipe_ingred_list!$K$2:$M$7,3,0)</f>
        <v>2</v>
      </c>
      <c r="AD1213" s="61" t="n">
        <f aca="false">M1213</f>
        <v>0</v>
      </c>
      <c r="AE1213" s="61" t="n">
        <f aca="false">N1213</f>
        <v>0</v>
      </c>
      <c r="AF1213" s="61" t="n">
        <f aca="false">VLOOKUP(AE1213,recipe_ingred_list!$K$16:$M$25,3,0)</f>
        <v>1</v>
      </c>
      <c r="AG1213" s="61" t="n">
        <f aca="false">O1213</f>
        <v>0</v>
      </c>
      <c r="AH1213" s="61" t="n">
        <f aca="false">P1213</f>
        <v>0</v>
      </c>
      <c r="AI1213" s="61" t="n">
        <f aca="false">VLOOKUP(AH1213,recipe_ingred_list!$K$29:$M$34,3,0)</f>
        <v>3</v>
      </c>
      <c r="AJ1213" s="61" t="str">
        <f aca="false">IF(Q1213="","",Q1213)</f>
        <v/>
      </c>
      <c r="AK1213" s="61" t="n">
        <f aca="false">AK1212+1</f>
        <v>1213</v>
      </c>
      <c r="AL1213" s="61" t="e">
        <f aca="false">Y1213</f>
        <v>#N/A</v>
      </c>
      <c r="AM1213" s="81" t="e">
        <f aca="false">"a = Client().post('"&amp;W1213&amp;"', {'recipe' : '"&amp;V1213&amp;"', 'ingredient' : '"&amp;Z1213&amp;"', 'name' : '"&amp;X1213&amp;"', 'mass_unit' : '"&amp;AC1213&amp;"', 'mass_quantity' : '"&amp;ROUND(AA1213,3)&amp;"', 'volume_unit' : '"&amp;AF1213&amp;"', 'volume_quantity' : '"&amp;ROUND(AD1213,3)&amp;"', 'pieces_unit' : '"&amp;AI1213&amp;"', 'pieces_quantity' : '"&amp;ROUND(AG1213,3)&amp;"', 'cooking_notes' : '"&amp;AJ1213&amp;"'}).status_code; print('%s :: %s :: %s :: %s :: %s' %(a,"&amp;G1213&amp;",'"&amp;X1213&amp;"','"&amp;Y1213&amp;"','"&amp;U1213&amp;"'))"</f>
        <v>#N/A</v>
      </c>
    </row>
    <row r="1214" customFormat="false" ht="13.8" hidden="false" customHeight="false" outlineLevel="0" collapsed="false">
      <c r="G1214" s="80" t="n">
        <v>1214</v>
      </c>
      <c r="H1214" s="79"/>
      <c r="I1214" s="79"/>
      <c r="J1214" s="79"/>
      <c r="K1214" s="100"/>
      <c r="L1214" s="100"/>
      <c r="M1214" s="100"/>
      <c r="N1214" s="100"/>
      <c r="O1214" s="100"/>
      <c r="P1214" s="100"/>
      <c r="Q1214" s="102"/>
      <c r="R1214" s="99" t="e">
        <f aca="false">VLOOKUP(J1214,ingredient!$N$4:$O$553,2,0)</f>
        <v>#N/A</v>
      </c>
      <c r="S1214" s="98"/>
      <c r="T1214" s="98"/>
      <c r="U1214" s="81" t="n">
        <f aca="false">I1214</f>
        <v>0</v>
      </c>
      <c r="V1214" s="81" t="e">
        <f aca="false">VLOOKUP(U1214,recipe_ingred_list!$A$2:$B$300,2,0)</f>
        <v>#N/A</v>
      </c>
      <c r="W1214" s="81" t="e">
        <f aca="false">"/recipes/"&amp;VLOOKUP(U1214,recipe_ingred_list!$A$2:$C$300,3,0)&amp;"/detail/"</f>
        <v>#N/A</v>
      </c>
      <c r="X1214" s="81" t="n">
        <f aca="false">J1214</f>
        <v>0</v>
      </c>
      <c r="Y1214" s="81" t="e">
        <f aca="false">R1214</f>
        <v>#N/A</v>
      </c>
      <c r="Z1214" s="94" t="e">
        <f aca="false">VLOOKUP(Y1214,recipe_ingred_list!$D$2:$E$500,2,0)</f>
        <v>#N/A</v>
      </c>
      <c r="AA1214" s="61" t="n">
        <f aca="false">K1214</f>
        <v>0</v>
      </c>
      <c r="AB1214" s="61" t="n">
        <f aca="false">L1214</f>
        <v>0</v>
      </c>
      <c r="AC1214" s="61" t="n">
        <f aca="false">VLOOKUP(AB1214,recipe_ingred_list!$K$2:$M$7,3,0)</f>
        <v>2</v>
      </c>
      <c r="AD1214" s="61" t="n">
        <f aca="false">M1214</f>
        <v>0</v>
      </c>
      <c r="AE1214" s="61" t="n">
        <f aca="false">N1214</f>
        <v>0</v>
      </c>
      <c r="AF1214" s="61" t="n">
        <f aca="false">VLOOKUP(AE1214,recipe_ingred_list!$K$16:$M$25,3,0)</f>
        <v>1</v>
      </c>
      <c r="AG1214" s="61" t="n">
        <f aca="false">O1214</f>
        <v>0</v>
      </c>
      <c r="AH1214" s="61" t="n">
        <f aca="false">P1214</f>
        <v>0</v>
      </c>
      <c r="AI1214" s="61" t="n">
        <f aca="false">VLOOKUP(AH1214,recipe_ingred_list!$K$29:$M$34,3,0)</f>
        <v>3</v>
      </c>
      <c r="AJ1214" s="61" t="str">
        <f aca="false">IF(Q1214="","",Q1214)</f>
        <v/>
      </c>
      <c r="AK1214" s="61" t="n">
        <f aca="false">AK1213+1</f>
        <v>1214</v>
      </c>
      <c r="AL1214" s="61" t="e">
        <f aca="false">Y1214</f>
        <v>#N/A</v>
      </c>
      <c r="AM1214" s="81" t="e">
        <f aca="false">"a = Client().post('"&amp;W1214&amp;"', {'recipe' : '"&amp;V1214&amp;"', 'ingredient' : '"&amp;Z1214&amp;"', 'name' : '"&amp;X1214&amp;"', 'mass_unit' : '"&amp;AC1214&amp;"', 'mass_quantity' : '"&amp;ROUND(AA1214,3)&amp;"', 'volume_unit' : '"&amp;AF1214&amp;"', 'volume_quantity' : '"&amp;ROUND(AD1214,3)&amp;"', 'pieces_unit' : '"&amp;AI1214&amp;"', 'pieces_quantity' : '"&amp;ROUND(AG1214,3)&amp;"', 'cooking_notes' : '"&amp;AJ1214&amp;"'}).status_code; print('%s :: %s :: %s :: %s :: %s' %(a,"&amp;G1214&amp;",'"&amp;X1214&amp;"','"&amp;Y1214&amp;"','"&amp;U1214&amp;"'))"</f>
        <v>#N/A</v>
      </c>
    </row>
    <row r="1215" customFormat="false" ht="13.8" hidden="false" customHeight="false" outlineLevel="0" collapsed="false">
      <c r="G1215" s="80" t="n">
        <v>1215</v>
      </c>
      <c r="H1215" s="83"/>
      <c r="I1215" s="83" t="s">
        <v>178</v>
      </c>
      <c r="J1215" s="83" t="s">
        <v>485</v>
      </c>
      <c r="K1215" s="61" t="n">
        <v>3</v>
      </c>
      <c r="L1215" s="61" t="s">
        <v>7</v>
      </c>
      <c r="R1215" s="82" t="str">
        <f aca="false">VLOOKUP(J1215,ingredient!$N$4:$O$553,2,0)</f>
        <v>tomato</v>
      </c>
      <c r="U1215" s="81" t="str">
        <f aca="false">I1215</f>
        <v>EKADASHI KHICHDI  SPICY</v>
      </c>
      <c r="V1215" s="81" t="n">
        <f aca="false">VLOOKUP(U1215,recipe_ingred_list!$A$2:$B$300,2,0)</f>
        <v>23</v>
      </c>
      <c r="W1215" s="81" t="str">
        <f aca="false">"/recipes/"&amp;VLOOKUP(U1215,recipe_ingred_list!$A$2:$C$300,3,0)&amp;"/detail/"</f>
        <v>/recipes/ekadashi-khichdi-spicy/detail/</v>
      </c>
      <c r="X1215" s="81" t="str">
        <f aca="false">J1215</f>
        <v>tomato</v>
      </c>
      <c r="Y1215" s="81" t="str">
        <f aca="false">R1215</f>
        <v>tomato</v>
      </c>
      <c r="Z1215" s="94" t="n">
        <f aca="false">VLOOKUP(Y1215,recipe_ingred_list!$D$2:$E$500,2,0)</f>
        <v>195</v>
      </c>
      <c r="AA1215" s="61" t="n">
        <f aca="false">K1215</f>
        <v>3</v>
      </c>
      <c r="AB1215" s="61" t="str">
        <f aca="false">L1215</f>
        <v>kg</v>
      </c>
      <c r="AC1215" s="61" t="n">
        <f aca="false">VLOOKUP(AB1215,recipe_ingred_list!$K$2:$M$7,3,0)</f>
        <v>2</v>
      </c>
      <c r="AD1215" s="61" t="n">
        <f aca="false">M1215</f>
        <v>0</v>
      </c>
      <c r="AE1215" s="61" t="n">
        <f aca="false">N1215</f>
        <v>0</v>
      </c>
      <c r="AF1215" s="61" t="n">
        <f aca="false">VLOOKUP(AE1215,recipe_ingred_list!$K$16:$M$25,3,0)</f>
        <v>1</v>
      </c>
      <c r="AG1215" s="61" t="n">
        <f aca="false">O1215</f>
        <v>0</v>
      </c>
      <c r="AH1215" s="61" t="n">
        <f aca="false">P1215</f>
        <v>0</v>
      </c>
      <c r="AI1215" s="61" t="n">
        <f aca="false">VLOOKUP(AH1215,recipe_ingred_list!$K$29:$M$34,3,0)</f>
        <v>3</v>
      </c>
      <c r="AJ1215" s="61" t="str">
        <f aca="false">IF(Q1215="","",Q1215)</f>
        <v/>
      </c>
      <c r="AK1215" s="61" t="n">
        <f aca="false">AK1214+1</f>
        <v>1215</v>
      </c>
      <c r="AL1215" s="61" t="str">
        <f aca="false">Y1215</f>
        <v>tomato</v>
      </c>
      <c r="AM1215" s="81" t="str">
        <f aca="false">"a = Client().post('"&amp;W1215&amp;"', {'recipe' : '"&amp;V1215&amp;"', 'ingredient' : '"&amp;Z1215&amp;"', 'name' : '"&amp;X1215&amp;"', 'mass_unit' : '"&amp;AC1215&amp;"', 'mass_quantity' : '"&amp;ROUND(AA1215,3)&amp;"', 'volume_unit' : '"&amp;AF1215&amp;"', 'volume_quantity' : '"&amp;ROUND(AD1215,3)&amp;"', 'pieces_unit' : '"&amp;AI1215&amp;"', 'pieces_quantity' : '"&amp;ROUND(AG1215,3)&amp;"', 'cooking_notes' : '"&amp;AJ1215&amp;"'}).status_code; print('%s :: %s :: %s :: %s :: %s' %(a,"&amp;G1215&amp;",'"&amp;X1215&amp;"','"&amp;Y1215&amp;"','"&amp;U1215&amp;"'))"</f>
        <v>a = Client().post('/recipes/ekadashi-khichdi-spicy/detail/', {'recipe' : '23', 'ingredient' : '195', 'name' : 'tomato', 'mass_unit' : '2', 'mass_quantity' : '3', 'volume_unit' : '1', 'volume_quantity' : '0', 'pieces_unit' : '3', 'pieces_quantity' : '0', 'cooking_notes' : ''}).status_code; print('%s :: %s :: %s :: %s :: %s' %(a,1215,'tomato','tomato','EKADASHI KHICHDI  SPICY'))</v>
      </c>
    </row>
    <row r="1216" customFormat="false" ht="13.8" hidden="false" customHeight="false" outlineLevel="0" collapsed="false">
      <c r="G1216" s="80" t="n">
        <v>1216</v>
      </c>
      <c r="H1216" s="83"/>
      <c r="I1216" s="83" t="s">
        <v>178</v>
      </c>
      <c r="J1216" s="83" t="s">
        <v>348</v>
      </c>
      <c r="K1216" s="61" t="n">
        <v>1</v>
      </c>
      <c r="L1216" s="61" t="s">
        <v>7</v>
      </c>
      <c r="R1216" s="82" t="str">
        <f aca="false">VLOOKUP(J1216,ingredient!$N$4:$O$553,2,0)</f>
        <v>gajar</v>
      </c>
      <c r="U1216" s="81" t="str">
        <f aca="false">I1216</f>
        <v>EKADASHI KHICHDI  SPICY</v>
      </c>
      <c r="V1216" s="81" t="n">
        <f aca="false">VLOOKUP(U1216,recipe_ingred_list!$A$2:$B$300,2,0)</f>
        <v>23</v>
      </c>
      <c r="W1216" s="81" t="str">
        <f aca="false">"/recipes/"&amp;VLOOKUP(U1216,recipe_ingred_list!$A$2:$C$300,3,0)&amp;"/detail/"</f>
        <v>/recipes/ekadashi-khichdi-spicy/detail/</v>
      </c>
      <c r="X1216" s="81" t="str">
        <f aca="false">J1216</f>
        <v>gajar</v>
      </c>
      <c r="Y1216" s="81" t="str">
        <f aca="false">R1216</f>
        <v>gajar</v>
      </c>
      <c r="Z1216" s="94" t="n">
        <f aca="false">VLOOKUP(Y1216,recipe_ingred_list!$D$2:$E$500,2,0)</f>
        <v>79</v>
      </c>
      <c r="AA1216" s="61" t="n">
        <f aca="false">K1216</f>
        <v>1</v>
      </c>
      <c r="AB1216" s="61" t="str">
        <f aca="false">L1216</f>
        <v>kg</v>
      </c>
      <c r="AC1216" s="61" t="n">
        <f aca="false">VLOOKUP(AB1216,recipe_ingred_list!$K$2:$M$7,3,0)</f>
        <v>2</v>
      </c>
      <c r="AD1216" s="61" t="n">
        <f aca="false">M1216</f>
        <v>0</v>
      </c>
      <c r="AE1216" s="61" t="n">
        <f aca="false">N1216</f>
        <v>0</v>
      </c>
      <c r="AF1216" s="61" t="n">
        <f aca="false">VLOOKUP(AE1216,recipe_ingred_list!$K$16:$M$25,3,0)</f>
        <v>1</v>
      </c>
      <c r="AG1216" s="61" t="n">
        <f aca="false">O1216</f>
        <v>0</v>
      </c>
      <c r="AH1216" s="61" t="n">
        <f aca="false">P1216</f>
        <v>0</v>
      </c>
      <c r="AI1216" s="61" t="n">
        <f aca="false">VLOOKUP(AH1216,recipe_ingred_list!$K$29:$M$34,3,0)</f>
        <v>3</v>
      </c>
      <c r="AJ1216" s="61" t="str">
        <f aca="false">IF(Q1216="","",Q1216)</f>
        <v/>
      </c>
      <c r="AK1216" s="61" t="n">
        <f aca="false">AK1215+1</f>
        <v>1216</v>
      </c>
      <c r="AL1216" s="61" t="str">
        <f aca="false">Y1216</f>
        <v>gajar</v>
      </c>
      <c r="AM1216" s="81" t="str">
        <f aca="false">"a = Client().post('"&amp;W1216&amp;"', {'recipe' : '"&amp;V1216&amp;"', 'ingredient' : '"&amp;Z1216&amp;"', 'name' : '"&amp;X1216&amp;"', 'mass_unit' : '"&amp;AC1216&amp;"', 'mass_quantity' : '"&amp;ROUND(AA1216,3)&amp;"', 'volume_unit' : '"&amp;AF1216&amp;"', 'volume_quantity' : '"&amp;ROUND(AD1216,3)&amp;"', 'pieces_unit' : '"&amp;AI1216&amp;"', 'pieces_quantity' : '"&amp;ROUND(AG1216,3)&amp;"', 'cooking_notes' : '"&amp;AJ1216&amp;"'}).status_code; print('%s :: %s :: %s :: %s :: %s' %(a,"&amp;G1216&amp;",'"&amp;X1216&amp;"','"&amp;Y1216&amp;"','"&amp;U1216&amp;"'))"</f>
        <v>a = Client().post('/recipes/ekadashi-khichdi-spicy/detail/', {'recipe' : '23', 'ingredient' : '79', 'name' : 'gajar', 'mass_unit' : '2', 'mass_quantity' : '1', 'volume_unit' : '1', 'volume_quantity' : '0', 'pieces_unit' : '3', 'pieces_quantity' : '0', 'cooking_notes' : ''}).status_code; print('%s :: %s :: %s :: %s :: %s' %(a,1216,'gajar','gajar','EKADASHI KHICHDI  SPICY'))</v>
      </c>
    </row>
    <row r="1217" customFormat="false" ht="13.8" hidden="false" customHeight="false" outlineLevel="0" collapsed="false">
      <c r="G1217" s="80" t="n">
        <v>1217</v>
      </c>
      <c r="H1217" s="83"/>
      <c r="I1217" s="83" t="s">
        <v>178</v>
      </c>
      <c r="J1217" s="83" t="s">
        <v>318</v>
      </c>
      <c r="K1217" s="61" t="n">
        <v>2</v>
      </c>
      <c r="L1217" s="61" t="s">
        <v>7</v>
      </c>
      <c r="R1217" s="82" t="str">
        <f aca="false">VLOOKUP(J1217,ingredient!$N$4:$O$553,2,0)</f>
        <v>dudhi</v>
      </c>
      <c r="U1217" s="81" t="str">
        <f aca="false">I1217</f>
        <v>EKADASHI KHICHDI  SPICY</v>
      </c>
      <c r="V1217" s="81" t="n">
        <f aca="false">VLOOKUP(U1217,recipe_ingred_list!$A$2:$B$300,2,0)</f>
        <v>23</v>
      </c>
      <c r="W1217" s="81" t="str">
        <f aca="false">"/recipes/"&amp;VLOOKUP(U1217,recipe_ingred_list!$A$2:$C$300,3,0)&amp;"/detail/"</f>
        <v>/recipes/ekadashi-khichdi-spicy/detail/</v>
      </c>
      <c r="X1217" s="81" t="str">
        <f aca="false">J1217</f>
        <v>dudhi</v>
      </c>
      <c r="Y1217" s="81" t="str">
        <f aca="false">R1217</f>
        <v>dudhi</v>
      </c>
      <c r="Z1217" s="94" t="n">
        <f aca="false">VLOOKUP(Y1217,recipe_ingred_list!$D$2:$E$500,2,0)</f>
        <v>69</v>
      </c>
      <c r="AA1217" s="61" t="n">
        <f aca="false">K1217</f>
        <v>2</v>
      </c>
      <c r="AB1217" s="61" t="str">
        <f aca="false">L1217</f>
        <v>kg</v>
      </c>
      <c r="AC1217" s="61" t="n">
        <f aca="false">VLOOKUP(AB1217,recipe_ingred_list!$K$2:$M$7,3,0)</f>
        <v>2</v>
      </c>
      <c r="AD1217" s="61" t="n">
        <f aca="false">M1217</f>
        <v>0</v>
      </c>
      <c r="AE1217" s="61" t="n">
        <f aca="false">N1217</f>
        <v>0</v>
      </c>
      <c r="AF1217" s="61" t="n">
        <f aca="false">VLOOKUP(AE1217,recipe_ingred_list!$K$16:$M$25,3,0)</f>
        <v>1</v>
      </c>
      <c r="AG1217" s="61" t="n">
        <f aca="false">O1217</f>
        <v>0</v>
      </c>
      <c r="AH1217" s="61" t="n">
        <f aca="false">P1217</f>
        <v>0</v>
      </c>
      <c r="AI1217" s="61" t="n">
        <f aca="false">VLOOKUP(AH1217,recipe_ingred_list!$K$29:$M$34,3,0)</f>
        <v>3</v>
      </c>
      <c r="AJ1217" s="61" t="str">
        <f aca="false">IF(Q1217="","",Q1217)</f>
        <v/>
      </c>
      <c r="AK1217" s="61" t="n">
        <f aca="false">AK1216+1</f>
        <v>1217</v>
      </c>
      <c r="AL1217" s="61" t="str">
        <f aca="false">Y1217</f>
        <v>dudhi</v>
      </c>
      <c r="AM1217" s="81" t="str">
        <f aca="false">"a = Client().post('"&amp;W1217&amp;"', {'recipe' : '"&amp;V1217&amp;"', 'ingredient' : '"&amp;Z1217&amp;"', 'name' : '"&amp;X1217&amp;"', 'mass_unit' : '"&amp;AC1217&amp;"', 'mass_quantity' : '"&amp;ROUND(AA1217,3)&amp;"', 'volume_unit' : '"&amp;AF1217&amp;"', 'volume_quantity' : '"&amp;ROUND(AD1217,3)&amp;"', 'pieces_unit' : '"&amp;AI1217&amp;"', 'pieces_quantity' : '"&amp;ROUND(AG1217,3)&amp;"', 'cooking_notes' : '"&amp;AJ1217&amp;"'}).status_code; print('%s :: %s :: %s :: %s :: %s' %(a,"&amp;G1217&amp;",'"&amp;X1217&amp;"','"&amp;Y1217&amp;"','"&amp;U1217&amp;"'))"</f>
        <v>a = Client().post('/recipes/ekadashi-khichdi-spicy/detail/', {'recipe' : '23', 'ingredient' : '69', 'name' : 'dudhi', 'mass_unit' : '2', 'mass_quantity' : '2', 'volume_unit' : '1', 'volume_quantity' : '0', 'pieces_unit' : '3', 'pieces_quantity' : '0', 'cooking_notes' : ''}).status_code; print('%s :: %s :: %s :: %s :: %s' %(a,1217,'dudhi','dudhi','EKADASHI KHICHDI  SPICY'))</v>
      </c>
    </row>
    <row r="1218" customFormat="false" ht="13.8" hidden="false" customHeight="false" outlineLevel="0" collapsed="false">
      <c r="G1218" s="80" t="n">
        <v>1218</v>
      </c>
      <c r="H1218" s="83"/>
      <c r="I1218" s="83" t="s">
        <v>178</v>
      </c>
      <c r="J1218" s="83" t="s">
        <v>201</v>
      </c>
      <c r="K1218" s="61" t="n">
        <v>2</v>
      </c>
      <c r="L1218" s="61" t="s">
        <v>7</v>
      </c>
      <c r="R1218" s="82" t="str">
        <f aca="false">VLOOKUP(J1218,ingredient!$N$4:$O$553,2,0)</f>
        <v>bhopla</v>
      </c>
      <c r="U1218" s="81" t="str">
        <f aca="false">I1218</f>
        <v>EKADASHI KHICHDI  SPICY</v>
      </c>
      <c r="V1218" s="81" t="n">
        <f aca="false">VLOOKUP(U1218,recipe_ingred_list!$A$2:$B$300,2,0)</f>
        <v>23</v>
      </c>
      <c r="W1218" s="81" t="str">
        <f aca="false">"/recipes/"&amp;VLOOKUP(U1218,recipe_ingred_list!$A$2:$C$300,3,0)&amp;"/detail/"</f>
        <v>/recipes/ekadashi-khichdi-spicy/detail/</v>
      </c>
      <c r="X1218" s="81" t="str">
        <f aca="false">J1218</f>
        <v>bhopla</v>
      </c>
      <c r="Y1218" s="81" t="str">
        <f aca="false">R1218</f>
        <v>bhopla</v>
      </c>
      <c r="Z1218" s="94" t="n">
        <f aca="false">VLOOKUP(Y1218,recipe_ingred_list!$D$2:$E$500,2,0)</f>
        <v>30</v>
      </c>
      <c r="AA1218" s="61" t="n">
        <f aca="false">K1218</f>
        <v>2</v>
      </c>
      <c r="AB1218" s="61" t="str">
        <f aca="false">L1218</f>
        <v>kg</v>
      </c>
      <c r="AC1218" s="61" t="n">
        <f aca="false">VLOOKUP(AB1218,recipe_ingred_list!$K$2:$M$7,3,0)</f>
        <v>2</v>
      </c>
      <c r="AD1218" s="61" t="n">
        <f aca="false">M1218</f>
        <v>0</v>
      </c>
      <c r="AE1218" s="61" t="n">
        <f aca="false">N1218</f>
        <v>0</v>
      </c>
      <c r="AF1218" s="61" t="n">
        <f aca="false">VLOOKUP(AE1218,recipe_ingred_list!$K$16:$M$25,3,0)</f>
        <v>1</v>
      </c>
      <c r="AG1218" s="61" t="n">
        <f aca="false">O1218</f>
        <v>0</v>
      </c>
      <c r="AH1218" s="61" t="n">
        <f aca="false">P1218</f>
        <v>0</v>
      </c>
      <c r="AI1218" s="61" t="n">
        <f aca="false">VLOOKUP(AH1218,recipe_ingred_list!$K$29:$M$34,3,0)</f>
        <v>3</v>
      </c>
      <c r="AJ1218" s="61" t="str">
        <f aca="false">IF(Q1218="","",Q1218)</f>
        <v/>
      </c>
      <c r="AK1218" s="61" t="n">
        <f aca="false">AK1217+1</f>
        <v>1218</v>
      </c>
      <c r="AL1218" s="61" t="str">
        <f aca="false">Y1218</f>
        <v>bhopla</v>
      </c>
      <c r="AM1218" s="81" t="str">
        <f aca="false">"a = Client().post('"&amp;W1218&amp;"', {'recipe' : '"&amp;V1218&amp;"', 'ingredient' : '"&amp;Z1218&amp;"', 'name' : '"&amp;X1218&amp;"', 'mass_unit' : '"&amp;AC1218&amp;"', 'mass_quantity' : '"&amp;ROUND(AA1218,3)&amp;"', 'volume_unit' : '"&amp;AF1218&amp;"', 'volume_quantity' : '"&amp;ROUND(AD1218,3)&amp;"', 'pieces_unit' : '"&amp;AI1218&amp;"', 'pieces_quantity' : '"&amp;ROUND(AG1218,3)&amp;"', 'cooking_notes' : '"&amp;AJ1218&amp;"'}).status_code; print('%s :: %s :: %s :: %s :: %s' %(a,"&amp;G1218&amp;",'"&amp;X1218&amp;"','"&amp;Y1218&amp;"','"&amp;U1218&amp;"'))"</f>
        <v>a = Client().post('/recipes/ekadashi-khichdi-spicy/detail/', {'recipe' : '23', 'ingredient' : '30', 'name' : 'bhopla', 'mass_unit' : '2', 'mass_quantity' : '2', 'volume_unit' : '1', 'volume_quantity' : '0', 'pieces_unit' : '3', 'pieces_quantity' : '0', 'cooking_notes' : ''}).status_code; print('%s :: %s :: %s :: %s :: %s' %(a,1218,'bhopla','bhopla','EKADASHI KHICHDI  SPICY'))</v>
      </c>
    </row>
    <row r="1219" customFormat="false" ht="13.8" hidden="false" customHeight="false" outlineLevel="0" collapsed="false">
      <c r="G1219" s="80" t="n">
        <v>1219</v>
      </c>
      <c r="H1219" s="83"/>
      <c r="I1219" s="83" t="s">
        <v>178</v>
      </c>
      <c r="J1219" s="83" t="s">
        <v>854</v>
      </c>
      <c r="M1219" s="61" t="n">
        <v>20</v>
      </c>
      <c r="N1219" s="61" t="s">
        <v>13</v>
      </c>
      <c r="R1219" s="82" t="str">
        <f aca="false">VLOOKUP(J1219,ingredient!$N$4:$O$553,2,0)</f>
        <v>water</v>
      </c>
      <c r="U1219" s="81" t="str">
        <f aca="false">I1219</f>
        <v>EKADASHI KHICHDI  SPICY</v>
      </c>
      <c r="V1219" s="81" t="n">
        <f aca="false">VLOOKUP(U1219,recipe_ingred_list!$A$2:$B$300,2,0)</f>
        <v>23</v>
      </c>
      <c r="W1219" s="81" t="str">
        <f aca="false">"/recipes/"&amp;VLOOKUP(U1219,recipe_ingred_list!$A$2:$C$300,3,0)&amp;"/detail/"</f>
        <v>/recipes/ekadashi-khichdi-spicy/detail/</v>
      </c>
      <c r="X1219" s="81" t="str">
        <f aca="false">J1219</f>
        <v>water(10 times)</v>
      </c>
      <c r="Y1219" s="81" t="str">
        <f aca="false">R1219</f>
        <v>water</v>
      </c>
      <c r="Z1219" s="94" t="n">
        <f aca="false">VLOOKUP(Y1219,recipe_ingred_list!$D$2:$E$500,2,0)</f>
        <v>214</v>
      </c>
      <c r="AA1219" s="61" t="n">
        <f aca="false">K1219</f>
        <v>0</v>
      </c>
      <c r="AB1219" s="61" t="n">
        <f aca="false">L1219</f>
        <v>0</v>
      </c>
      <c r="AC1219" s="61" t="n">
        <f aca="false">VLOOKUP(AB1219,recipe_ingred_list!$K$2:$M$7,3,0)</f>
        <v>2</v>
      </c>
      <c r="AD1219" s="61" t="n">
        <f aca="false">M1219</f>
        <v>20</v>
      </c>
      <c r="AE1219" s="61" t="str">
        <f aca="false">N1219</f>
        <v>ltr</v>
      </c>
      <c r="AF1219" s="61" t="n">
        <f aca="false">VLOOKUP(AE1219,recipe_ingred_list!$K$16:$M$25,3,0)</f>
        <v>1</v>
      </c>
      <c r="AG1219" s="61" t="n">
        <f aca="false">O1219</f>
        <v>0</v>
      </c>
      <c r="AH1219" s="61" t="n">
        <f aca="false">P1219</f>
        <v>0</v>
      </c>
      <c r="AI1219" s="61" t="n">
        <f aca="false">VLOOKUP(AH1219,recipe_ingred_list!$K$29:$M$34,3,0)</f>
        <v>3</v>
      </c>
      <c r="AJ1219" s="61" t="str">
        <f aca="false">IF(Q1219="","",Q1219)</f>
        <v/>
      </c>
      <c r="AK1219" s="61" t="n">
        <f aca="false">AK1218+1</f>
        <v>1219</v>
      </c>
      <c r="AL1219" s="61" t="str">
        <f aca="false">Y1219</f>
        <v>water</v>
      </c>
      <c r="AM1219" s="81" t="str">
        <f aca="false">"a = Client().post('"&amp;W1219&amp;"', {'recipe' : '"&amp;V1219&amp;"', 'ingredient' : '"&amp;Z1219&amp;"', 'name' : '"&amp;X1219&amp;"', 'mass_unit' : '"&amp;AC1219&amp;"', 'mass_quantity' : '"&amp;ROUND(AA1219,3)&amp;"', 'volume_unit' : '"&amp;AF1219&amp;"', 'volume_quantity' : '"&amp;ROUND(AD1219,3)&amp;"', 'pieces_unit' : '"&amp;AI1219&amp;"', 'pieces_quantity' : '"&amp;ROUND(AG1219,3)&amp;"', 'cooking_notes' : '"&amp;AJ1219&amp;"'}).status_code; print('%s :: %s :: %s :: %s :: %s' %(a,"&amp;G1219&amp;",'"&amp;X1219&amp;"','"&amp;Y1219&amp;"','"&amp;U1219&amp;"'))"</f>
        <v>a = Client().post('/recipes/ekadashi-khichdi-spicy/detail/', {'recipe' : '23', 'ingredient' : '214', 'name' : 'water(10 times)', 'mass_unit' : '2', 'mass_quantity' : '0', 'volume_unit' : '1', 'volume_quantity' : '20', 'pieces_unit' : '3', 'pieces_quantity' : '0', 'cooking_notes' : ''}).status_code; print('%s :: %s :: %s :: %s :: %s' %(a,1219,'water(10 times)','water','EKADASHI KHICHDI  SPICY'))</v>
      </c>
    </row>
    <row r="1220" customFormat="false" ht="13.8" hidden="false" customHeight="false" outlineLevel="0" collapsed="false">
      <c r="G1220" s="80" t="n">
        <v>1220</v>
      </c>
      <c r="H1220" s="83"/>
      <c r="I1220" s="83" t="s">
        <v>178</v>
      </c>
      <c r="J1220" s="83" t="s">
        <v>803</v>
      </c>
      <c r="M1220" s="61" t="n">
        <v>2</v>
      </c>
      <c r="N1220" s="61" t="s">
        <v>20</v>
      </c>
      <c r="R1220" s="82" t="str">
        <f aca="false">VLOOKUP(J1220,ingredient!$N$4:$O$553,2,0)</f>
        <v>kadi patta</v>
      </c>
      <c r="U1220" s="81" t="str">
        <f aca="false">I1220</f>
        <v>EKADASHI KHICHDI  SPICY</v>
      </c>
      <c r="V1220" s="81" t="n">
        <f aca="false">VLOOKUP(U1220,recipe_ingred_list!$A$2:$B$300,2,0)</f>
        <v>23</v>
      </c>
      <c r="W1220" s="81" t="str">
        <f aca="false">"/recipes/"&amp;VLOOKUP(U1220,recipe_ingred_list!$A$2:$C$300,3,0)&amp;"/detail/"</f>
        <v>/recipes/ekadashi-khichdi-spicy/detail/</v>
      </c>
      <c r="X1220" s="81" t="str">
        <f aca="false">J1220</f>
        <v>kadipatta</v>
      </c>
      <c r="Y1220" s="81" t="str">
        <f aca="false">R1220</f>
        <v>kadi patta</v>
      </c>
      <c r="Z1220" s="94" t="n">
        <f aca="false">VLOOKUP(Y1220,recipe_ingred_list!$D$2:$E$500,2,0)</f>
        <v>105</v>
      </c>
      <c r="AA1220" s="61" t="n">
        <f aca="false">K1220</f>
        <v>0</v>
      </c>
      <c r="AB1220" s="61" t="n">
        <f aca="false">L1220</f>
        <v>0</v>
      </c>
      <c r="AC1220" s="61" t="n">
        <f aca="false">VLOOKUP(AB1220,recipe_ingred_list!$K$2:$M$7,3,0)</f>
        <v>2</v>
      </c>
      <c r="AD1220" s="61" t="n">
        <f aca="false">M1220</f>
        <v>2</v>
      </c>
      <c r="AE1220" s="61" t="str">
        <f aca="false">N1220</f>
        <v>cup</v>
      </c>
      <c r="AF1220" s="61" t="n">
        <f aca="false">VLOOKUP(AE1220,recipe_ingred_list!$K$16:$M$25,3,0)</f>
        <v>5</v>
      </c>
      <c r="AG1220" s="61" t="n">
        <f aca="false">O1220</f>
        <v>0</v>
      </c>
      <c r="AH1220" s="61" t="n">
        <f aca="false">P1220</f>
        <v>0</v>
      </c>
      <c r="AI1220" s="61" t="n">
        <f aca="false">VLOOKUP(AH1220,recipe_ingred_list!$K$29:$M$34,3,0)</f>
        <v>3</v>
      </c>
      <c r="AJ1220" s="61" t="str">
        <f aca="false">IF(Q1220="","",Q1220)</f>
        <v/>
      </c>
      <c r="AK1220" s="61" t="n">
        <f aca="false">AK1219+1</f>
        <v>1220</v>
      </c>
      <c r="AL1220" s="61" t="str">
        <f aca="false">Y1220</f>
        <v>kadi patta</v>
      </c>
      <c r="AM1220" s="81" t="str">
        <f aca="false">"a = Client().post('"&amp;W1220&amp;"', {'recipe' : '"&amp;V1220&amp;"', 'ingredient' : '"&amp;Z1220&amp;"', 'name' : '"&amp;X1220&amp;"', 'mass_unit' : '"&amp;AC1220&amp;"', 'mass_quantity' : '"&amp;ROUND(AA1220,3)&amp;"', 'volume_unit' : '"&amp;AF1220&amp;"', 'volume_quantity' : '"&amp;ROUND(AD1220,3)&amp;"', 'pieces_unit' : '"&amp;AI1220&amp;"', 'pieces_quantity' : '"&amp;ROUND(AG1220,3)&amp;"', 'cooking_notes' : '"&amp;AJ1220&amp;"'}).status_code; print('%s :: %s :: %s :: %s :: %s' %(a,"&amp;G1220&amp;",'"&amp;X1220&amp;"','"&amp;Y1220&amp;"','"&amp;U1220&amp;"'))"</f>
        <v>a = Client().post('/recipes/ekadashi-khichdi-spicy/detail/', {'recipe' : '23', 'ingredient' : '105', 'name' : 'kadipatta', 'mass_unit' : '2', 'mass_quantity' : '0', 'volume_unit' : '5', 'volume_quantity' : '2', 'pieces_unit' : '3', 'pieces_quantity' : '0', 'cooking_notes' : ''}).status_code; print('%s :: %s :: %s :: %s :: %s' %(a,1220,'kadipatta','kadi patta','EKADASHI KHICHDI  SPICY'))</v>
      </c>
    </row>
    <row r="1221" customFormat="false" ht="13.8" hidden="false" customHeight="false" outlineLevel="0" collapsed="false">
      <c r="G1221" s="80" t="n">
        <v>1221</v>
      </c>
      <c r="H1221" s="83"/>
      <c r="I1221" s="83" t="s">
        <v>178</v>
      </c>
      <c r="J1221" s="83" t="s">
        <v>309</v>
      </c>
      <c r="M1221" s="61" t="n">
        <v>0.5</v>
      </c>
      <c r="N1221" s="61" t="s">
        <v>13</v>
      </c>
      <c r="R1221" s="82" t="str">
        <f aca="false">VLOOKUP(J1221,ingredient!$N$4:$O$553,2,0)</f>
        <v>dhaniya patta</v>
      </c>
      <c r="U1221" s="81" t="str">
        <f aca="false">I1221</f>
        <v>EKADASHI KHICHDI  SPICY</v>
      </c>
      <c r="V1221" s="81" t="n">
        <f aca="false">VLOOKUP(U1221,recipe_ingred_list!$A$2:$B$300,2,0)</f>
        <v>23</v>
      </c>
      <c r="W1221" s="81" t="str">
        <f aca="false">"/recipes/"&amp;VLOOKUP(U1221,recipe_ingred_list!$A$2:$C$300,3,0)&amp;"/detail/"</f>
        <v>/recipes/ekadashi-khichdi-spicy/detail/</v>
      </c>
      <c r="X1221" s="81" t="str">
        <f aca="false">J1221</f>
        <v>dhaniya patta</v>
      </c>
      <c r="Y1221" s="81" t="str">
        <f aca="false">R1221</f>
        <v>dhaniya patta</v>
      </c>
      <c r="Z1221" s="94" t="n">
        <f aca="false">VLOOKUP(Y1221,recipe_ingred_list!$D$2:$E$500,2,0)</f>
        <v>66</v>
      </c>
      <c r="AA1221" s="61" t="n">
        <f aca="false">K1221</f>
        <v>0</v>
      </c>
      <c r="AB1221" s="61" t="n">
        <f aca="false">L1221</f>
        <v>0</v>
      </c>
      <c r="AC1221" s="61" t="n">
        <f aca="false">VLOOKUP(AB1221,recipe_ingred_list!$K$2:$M$7,3,0)</f>
        <v>2</v>
      </c>
      <c r="AD1221" s="61" t="n">
        <f aca="false">M1221</f>
        <v>0.5</v>
      </c>
      <c r="AE1221" s="61" t="str">
        <f aca="false">N1221</f>
        <v>ltr</v>
      </c>
      <c r="AF1221" s="61" t="n">
        <f aca="false">VLOOKUP(AE1221,recipe_ingred_list!$K$16:$M$25,3,0)</f>
        <v>1</v>
      </c>
      <c r="AG1221" s="61" t="n">
        <f aca="false">O1221</f>
        <v>0</v>
      </c>
      <c r="AH1221" s="61" t="n">
        <f aca="false">P1221</f>
        <v>0</v>
      </c>
      <c r="AI1221" s="61" t="n">
        <f aca="false">VLOOKUP(AH1221,recipe_ingred_list!$K$29:$M$34,3,0)</f>
        <v>3</v>
      </c>
      <c r="AJ1221" s="61" t="str">
        <f aca="false">IF(Q1221="","",Q1221)</f>
        <v/>
      </c>
      <c r="AK1221" s="61" t="n">
        <f aca="false">AK1220+1</f>
        <v>1221</v>
      </c>
      <c r="AL1221" s="61" t="str">
        <f aca="false">Y1221</f>
        <v>dhaniya patta</v>
      </c>
      <c r="AM1221" s="81" t="str">
        <f aca="false">"a = Client().post('"&amp;W1221&amp;"', {'recipe' : '"&amp;V1221&amp;"', 'ingredient' : '"&amp;Z1221&amp;"', 'name' : '"&amp;X1221&amp;"', 'mass_unit' : '"&amp;AC1221&amp;"', 'mass_quantity' : '"&amp;ROUND(AA1221,3)&amp;"', 'volume_unit' : '"&amp;AF1221&amp;"', 'volume_quantity' : '"&amp;ROUND(AD1221,3)&amp;"', 'pieces_unit' : '"&amp;AI1221&amp;"', 'pieces_quantity' : '"&amp;ROUND(AG1221,3)&amp;"', 'cooking_notes' : '"&amp;AJ1221&amp;"'}).status_code; print('%s :: %s :: %s :: %s :: %s' %(a,"&amp;G1221&amp;",'"&amp;X1221&amp;"','"&amp;Y1221&amp;"','"&amp;U1221&amp;"'))"</f>
        <v>a = Client().post('/recipes/ekadashi-khichdi-spicy/detail/', {'recipe' : '23', 'ingredient' : '66', 'name' : 'dhaniya patta', 'mass_unit' : '2', 'mass_quantity' : '0', 'volume_unit' : '1', 'volume_quantity' : '0.5', 'pieces_unit' : '3', 'pieces_quantity' : '0', 'cooking_notes' : ''}).status_code; print('%s :: %s :: %s :: %s :: %s' %(a,1221,'dhaniya patta','dhaniya patta','EKADASHI KHICHDI  SPICY'))</v>
      </c>
    </row>
    <row r="1222" customFormat="false" ht="13.8" hidden="false" customHeight="false" outlineLevel="0" collapsed="false">
      <c r="G1222" s="80" t="n">
        <v>1222</v>
      </c>
      <c r="H1222" s="83"/>
      <c r="I1222" s="83" t="s">
        <v>178</v>
      </c>
      <c r="J1222" s="83" t="s">
        <v>855</v>
      </c>
      <c r="M1222" s="61" t="n">
        <v>1</v>
      </c>
      <c r="N1222" s="61" t="s">
        <v>20</v>
      </c>
      <c r="R1222" s="82" t="str">
        <f aca="false">VLOOKUP(J1222,ingredient!$N$4:$O$553,2,0)</f>
        <v>adrak</v>
      </c>
      <c r="U1222" s="81" t="str">
        <f aca="false">I1222</f>
        <v>EKADASHI KHICHDI  SPICY</v>
      </c>
      <c r="V1222" s="81" t="n">
        <f aca="false">VLOOKUP(U1222,recipe_ingred_list!$A$2:$B$300,2,0)</f>
        <v>23</v>
      </c>
      <c r="W1222" s="81" t="str">
        <f aca="false">"/recipes/"&amp;VLOOKUP(U1222,recipe_ingred_list!$A$2:$C$300,3,0)&amp;"/detail/"</f>
        <v>/recipes/ekadashi-khichdi-spicy/detail/</v>
      </c>
      <c r="X1222" s="81" t="str">
        <f aca="false">J1222</f>
        <v>adrak paste</v>
      </c>
      <c r="Y1222" s="81" t="str">
        <f aca="false">R1222</f>
        <v>adrak</v>
      </c>
      <c r="Z1222" s="94" t="n">
        <f aca="false">VLOOKUP(Y1222,recipe_ingred_list!$D$2:$E$500,2,0)</f>
        <v>1</v>
      </c>
      <c r="AA1222" s="61" t="n">
        <f aca="false">K1222</f>
        <v>0</v>
      </c>
      <c r="AB1222" s="61" t="n">
        <f aca="false">L1222</f>
        <v>0</v>
      </c>
      <c r="AC1222" s="61" t="n">
        <f aca="false">VLOOKUP(AB1222,recipe_ingred_list!$K$2:$M$7,3,0)</f>
        <v>2</v>
      </c>
      <c r="AD1222" s="61" t="n">
        <f aca="false">M1222</f>
        <v>1</v>
      </c>
      <c r="AE1222" s="61" t="str">
        <f aca="false">N1222</f>
        <v>cup</v>
      </c>
      <c r="AF1222" s="61" t="n">
        <f aca="false">VLOOKUP(AE1222,recipe_ingred_list!$K$16:$M$25,3,0)</f>
        <v>5</v>
      </c>
      <c r="AG1222" s="61" t="n">
        <f aca="false">O1222</f>
        <v>0</v>
      </c>
      <c r="AH1222" s="61" t="n">
        <f aca="false">P1222</f>
        <v>0</v>
      </c>
      <c r="AI1222" s="61" t="n">
        <f aca="false">VLOOKUP(AH1222,recipe_ingred_list!$K$29:$M$34,3,0)</f>
        <v>3</v>
      </c>
      <c r="AJ1222" s="61" t="str">
        <f aca="false">IF(Q1222="","",Q1222)</f>
        <v/>
      </c>
      <c r="AK1222" s="61" t="n">
        <f aca="false">AK1221+1</f>
        <v>1222</v>
      </c>
      <c r="AL1222" s="61" t="str">
        <f aca="false">Y1222</f>
        <v>adrak</v>
      </c>
      <c r="AM1222" s="81" t="str">
        <f aca="false">"a = Client().post('"&amp;W1222&amp;"', {'recipe' : '"&amp;V1222&amp;"', 'ingredient' : '"&amp;Z1222&amp;"', 'name' : '"&amp;X1222&amp;"', 'mass_unit' : '"&amp;AC1222&amp;"', 'mass_quantity' : '"&amp;ROUND(AA1222,3)&amp;"', 'volume_unit' : '"&amp;AF1222&amp;"', 'volume_quantity' : '"&amp;ROUND(AD1222,3)&amp;"', 'pieces_unit' : '"&amp;AI1222&amp;"', 'pieces_quantity' : '"&amp;ROUND(AG1222,3)&amp;"', 'cooking_notes' : '"&amp;AJ1222&amp;"'}).status_code; print('%s :: %s :: %s :: %s :: %s' %(a,"&amp;G1222&amp;",'"&amp;X1222&amp;"','"&amp;Y1222&amp;"','"&amp;U1222&amp;"'))"</f>
        <v>a = Client().post('/recipes/ekadashi-khichdi-spicy/detail/', {'recipe' : '23', 'ingredient' : '1', 'name' : 'adrak paste', 'mass_unit' : '2', 'mass_quantity' : '0', 'volume_unit' : '5', 'volume_quantity' : '1', 'pieces_unit' : '3', 'pieces_quantity' : '0', 'cooking_notes' : ''}).status_code; print('%s :: %s :: %s :: %s :: %s' %(a,1222,'adrak paste','adrak','EKADASHI KHICHDI  SPICY'))</v>
      </c>
    </row>
    <row r="1223" customFormat="false" ht="13.8" hidden="false" customHeight="false" outlineLevel="0" collapsed="false">
      <c r="G1223" s="80" t="n">
        <v>1223</v>
      </c>
      <c r="H1223" s="83"/>
      <c r="I1223" s="83" t="s">
        <v>178</v>
      </c>
      <c r="J1223" s="83" t="s">
        <v>856</v>
      </c>
      <c r="M1223" s="61" t="n">
        <v>0.5</v>
      </c>
      <c r="N1223" s="61" t="s">
        <v>20</v>
      </c>
      <c r="R1223" s="82" t="str">
        <f aca="false">VLOOKUP(J1223,ingredient!$N$4:$O$553,2,0)</f>
        <v>hari mirchi</v>
      </c>
      <c r="U1223" s="81" t="str">
        <f aca="false">I1223</f>
        <v>EKADASHI KHICHDI  SPICY</v>
      </c>
      <c r="V1223" s="81" t="n">
        <f aca="false">VLOOKUP(U1223,recipe_ingred_list!$A$2:$B$300,2,0)</f>
        <v>23</v>
      </c>
      <c r="W1223" s="81" t="str">
        <f aca="false">"/recipes/"&amp;VLOOKUP(U1223,recipe_ingred_list!$A$2:$C$300,3,0)&amp;"/detail/"</f>
        <v>/recipes/ekadashi-khichdi-spicy/detail/</v>
      </c>
      <c r="X1223" s="81" t="str">
        <f aca="false">J1223</f>
        <v>green chily</v>
      </c>
      <c r="Y1223" s="81" t="str">
        <f aca="false">R1223</f>
        <v>hari mirchi</v>
      </c>
      <c r="Z1223" s="94" t="n">
        <f aca="false">VLOOKUP(Y1223,recipe_ingred_list!$D$2:$E$500,2,0)</f>
        <v>93</v>
      </c>
      <c r="AA1223" s="61" t="n">
        <f aca="false">K1223</f>
        <v>0</v>
      </c>
      <c r="AB1223" s="61" t="n">
        <f aca="false">L1223</f>
        <v>0</v>
      </c>
      <c r="AC1223" s="61" t="n">
        <f aca="false">VLOOKUP(AB1223,recipe_ingred_list!$K$2:$M$7,3,0)</f>
        <v>2</v>
      </c>
      <c r="AD1223" s="61" t="n">
        <f aca="false">M1223</f>
        <v>0.5</v>
      </c>
      <c r="AE1223" s="61" t="str">
        <f aca="false">N1223</f>
        <v>cup</v>
      </c>
      <c r="AF1223" s="61" t="n">
        <f aca="false">VLOOKUP(AE1223,recipe_ingred_list!$K$16:$M$25,3,0)</f>
        <v>5</v>
      </c>
      <c r="AG1223" s="61" t="n">
        <f aca="false">O1223</f>
        <v>0</v>
      </c>
      <c r="AH1223" s="61" t="n">
        <f aca="false">P1223</f>
        <v>0</v>
      </c>
      <c r="AI1223" s="61" t="n">
        <f aca="false">VLOOKUP(AH1223,recipe_ingred_list!$K$29:$M$34,3,0)</f>
        <v>3</v>
      </c>
      <c r="AJ1223" s="61" t="str">
        <f aca="false">IF(Q1223="","",Q1223)</f>
        <v/>
      </c>
      <c r="AK1223" s="61" t="n">
        <f aca="false">AK1222+1</f>
        <v>1223</v>
      </c>
      <c r="AL1223" s="61" t="str">
        <f aca="false">Y1223</f>
        <v>hari mirchi</v>
      </c>
      <c r="AM1223" s="81" t="str">
        <f aca="false">"a = Client().post('"&amp;W1223&amp;"', {'recipe' : '"&amp;V1223&amp;"', 'ingredient' : '"&amp;Z1223&amp;"', 'name' : '"&amp;X1223&amp;"', 'mass_unit' : '"&amp;AC1223&amp;"', 'mass_quantity' : '"&amp;ROUND(AA1223,3)&amp;"', 'volume_unit' : '"&amp;AF1223&amp;"', 'volume_quantity' : '"&amp;ROUND(AD1223,3)&amp;"', 'pieces_unit' : '"&amp;AI1223&amp;"', 'pieces_quantity' : '"&amp;ROUND(AG1223,3)&amp;"', 'cooking_notes' : '"&amp;AJ1223&amp;"'}).status_code; print('%s :: %s :: %s :: %s :: %s' %(a,"&amp;G1223&amp;",'"&amp;X1223&amp;"','"&amp;Y1223&amp;"','"&amp;U1223&amp;"'))"</f>
        <v>a = Client().post('/recipes/ekadashi-khichdi-spicy/detail/', {'recipe' : '23', 'ingredient' : '93', 'name' : 'green chily', 'mass_unit' : '2', 'mass_quantity' : '0', 'volume_unit' : '5', 'volume_quantity' : '0.5', 'pieces_unit' : '3', 'pieces_quantity' : '0', 'cooking_notes' : ''}).status_code; print('%s :: %s :: %s :: %s :: %s' %(a,1223,'green chily','hari mirchi','EKADASHI KHICHDI  SPICY'))</v>
      </c>
    </row>
    <row r="1224" customFormat="false" ht="13.8" hidden="false" customHeight="false" outlineLevel="0" collapsed="false">
      <c r="G1224" s="80" t="n">
        <v>1224</v>
      </c>
      <c r="H1224" s="83"/>
      <c r="I1224" s="83" t="s">
        <v>178</v>
      </c>
      <c r="J1224" s="83" t="s">
        <v>913</v>
      </c>
      <c r="K1224" s="61" t="n">
        <v>3.5</v>
      </c>
      <c r="L1224" s="61" t="s">
        <v>7</v>
      </c>
      <c r="R1224" s="82" t="str">
        <f aca="false">VLOOKUP(J1224,ingredient!$N$4:$O$553,2,0)</f>
        <v>varai</v>
      </c>
      <c r="U1224" s="81" t="str">
        <f aca="false">I1224</f>
        <v>EKADASHI KHICHDI  SPICY</v>
      </c>
      <c r="V1224" s="81" t="n">
        <f aca="false">VLOOKUP(U1224,recipe_ingred_list!$A$2:$B$300,2,0)</f>
        <v>23</v>
      </c>
      <c r="W1224" s="81" t="str">
        <f aca="false">"/recipes/"&amp;VLOOKUP(U1224,recipe_ingred_list!$A$2:$C$300,3,0)&amp;"/detail/"</f>
        <v>/recipes/ekadashi-khichdi-spicy/detail/</v>
      </c>
      <c r="X1224" s="81" t="str">
        <f aca="false">J1224</f>
        <v>VARAI</v>
      </c>
      <c r="Y1224" s="81" t="str">
        <f aca="false">R1224</f>
        <v>varai</v>
      </c>
      <c r="Z1224" s="94" t="n">
        <f aca="false">VLOOKUP(Y1224,recipe_ingred_list!$D$2:$E$500,2,0)</f>
        <v>201</v>
      </c>
      <c r="AA1224" s="61" t="n">
        <f aca="false">K1224</f>
        <v>3.5</v>
      </c>
      <c r="AB1224" s="61" t="str">
        <f aca="false">L1224</f>
        <v>kg</v>
      </c>
      <c r="AC1224" s="61" t="n">
        <f aca="false">VLOOKUP(AB1224,recipe_ingred_list!$K$2:$M$7,3,0)</f>
        <v>2</v>
      </c>
      <c r="AD1224" s="61" t="n">
        <f aca="false">M1224</f>
        <v>0</v>
      </c>
      <c r="AE1224" s="61" t="n">
        <f aca="false">N1224</f>
        <v>0</v>
      </c>
      <c r="AF1224" s="61" t="n">
        <f aca="false">VLOOKUP(AE1224,recipe_ingred_list!$K$16:$M$25,3,0)</f>
        <v>1</v>
      </c>
      <c r="AG1224" s="61" t="n">
        <f aca="false">O1224</f>
        <v>0</v>
      </c>
      <c r="AH1224" s="61" t="n">
        <f aca="false">P1224</f>
        <v>0</v>
      </c>
      <c r="AI1224" s="61" t="n">
        <f aca="false">VLOOKUP(AH1224,recipe_ingred_list!$K$29:$M$34,3,0)</f>
        <v>3</v>
      </c>
      <c r="AJ1224" s="61" t="str">
        <f aca="false">IF(Q1224="","",Q1224)</f>
        <v/>
      </c>
      <c r="AK1224" s="61" t="n">
        <f aca="false">AK1223+1</f>
        <v>1224</v>
      </c>
      <c r="AL1224" s="61" t="str">
        <f aca="false">Y1224</f>
        <v>varai</v>
      </c>
      <c r="AM1224" s="81" t="str">
        <f aca="false">"a = Client().post('"&amp;W1224&amp;"', {'recipe' : '"&amp;V1224&amp;"', 'ingredient' : '"&amp;Z1224&amp;"', 'name' : '"&amp;X1224&amp;"', 'mass_unit' : '"&amp;AC1224&amp;"', 'mass_quantity' : '"&amp;ROUND(AA1224,3)&amp;"', 'volume_unit' : '"&amp;AF1224&amp;"', 'volume_quantity' : '"&amp;ROUND(AD1224,3)&amp;"', 'pieces_unit' : '"&amp;AI1224&amp;"', 'pieces_quantity' : '"&amp;ROUND(AG1224,3)&amp;"', 'cooking_notes' : '"&amp;AJ1224&amp;"'}).status_code; print('%s :: %s :: %s :: %s :: %s' %(a,"&amp;G1224&amp;",'"&amp;X1224&amp;"','"&amp;Y1224&amp;"','"&amp;U1224&amp;"'))"</f>
        <v>a = Client().post('/recipes/ekadashi-khichdi-spicy/detail/', {'recipe' : '23', 'ingredient' : '201', 'name' : 'VARAI', 'mass_unit' : '2', 'mass_quantity' : '3.5', 'volume_unit' : '1', 'volume_quantity' : '0', 'pieces_unit' : '3', 'pieces_quantity' : '0', 'cooking_notes' : ''}).status_code; print('%s :: %s :: %s :: %s :: %s' %(a,1224,'VARAI','varai','EKADASHI KHICHDI  SPICY'))</v>
      </c>
    </row>
    <row r="1225" customFormat="false" ht="13.8" hidden="false" customHeight="false" outlineLevel="0" collapsed="false">
      <c r="G1225" s="80" t="n">
        <v>1225</v>
      </c>
      <c r="H1225" s="83"/>
      <c r="I1225" s="83" t="s">
        <v>178</v>
      </c>
      <c r="J1225" s="83" t="s">
        <v>96</v>
      </c>
      <c r="M1225" s="61" t="n">
        <v>1.5</v>
      </c>
      <c r="N1225" s="61" t="s">
        <v>20</v>
      </c>
      <c r="R1225" s="82" t="str">
        <f aca="false">VLOOKUP(J1225,ingredient!$N$4:$O$553,2,0)</f>
        <v>salt</v>
      </c>
      <c r="U1225" s="81" t="str">
        <f aca="false">I1225</f>
        <v>EKADASHI KHICHDI  SPICY</v>
      </c>
      <c r="V1225" s="81" t="n">
        <f aca="false">VLOOKUP(U1225,recipe_ingred_list!$A$2:$B$300,2,0)</f>
        <v>23</v>
      </c>
      <c r="W1225" s="81" t="str">
        <f aca="false">"/recipes/"&amp;VLOOKUP(U1225,recipe_ingred_list!$A$2:$C$300,3,0)&amp;"/detail/"</f>
        <v>/recipes/ekadashi-khichdi-spicy/detail/</v>
      </c>
      <c r="X1225" s="81" t="str">
        <f aca="false">J1225</f>
        <v>salt</v>
      </c>
      <c r="Y1225" s="81" t="str">
        <f aca="false">R1225</f>
        <v>salt</v>
      </c>
      <c r="Z1225" s="94" t="n">
        <f aca="false">VLOOKUP(Y1225,recipe_ingred_list!$D$2:$E$500,2,0)</f>
        <v>177</v>
      </c>
      <c r="AA1225" s="61" t="n">
        <f aca="false">K1225</f>
        <v>0</v>
      </c>
      <c r="AB1225" s="61" t="n">
        <f aca="false">L1225</f>
        <v>0</v>
      </c>
      <c r="AC1225" s="61" t="n">
        <f aca="false">VLOOKUP(AB1225,recipe_ingred_list!$K$2:$M$7,3,0)</f>
        <v>2</v>
      </c>
      <c r="AD1225" s="61" t="n">
        <f aca="false">M1225</f>
        <v>1.5</v>
      </c>
      <c r="AE1225" s="61" t="str">
        <f aca="false">N1225</f>
        <v>cup</v>
      </c>
      <c r="AF1225" s="61" t="n">
        <f aca="false">VLOOKUP(AE1225,recipe_ingred_list!$K$16:$M$25,3,0)</f>
        <v>5</v>
      </c>
      <c r="AG1225" s="61" t="n">
        <f aca="false">O1225</f>
        <v>0</v>
      </c>
      <c r="AH1225" s="61" t="n">
        <f aca="false">P1225</f>
        <v>0</v>
      </c>
      <c r="AI1225" s="61" t="n">
        <f aca="false">VLOOKUP(AH1225,recipe_ingred_list!$K$29:$M$34,3,0)</f>
        <v>3</v>
      </c>
      <c r="AJ1225" s="61" t="str">
        <f aca="false">IF(Q1225="","",Q1225)</f>
        <v/>
      </c>
      <c r="AK1225" s="61" t="n">
        <f aca="false">AK1224+1</f>
        <v>1225</v>
      </c>
      <c r="AL1225" s="61" t="str">
        <f aca="false">Y1225</f>
        <v>salt</v>
      </c>
      <c r="AM1225" s="81" t="str">
        <f aca="false">"a = Client().post('"&amp;W1225&amp;"', {'recipe' : '"&amp;V1225&amp;"', 'ingredient' : '"&amp;Z1225&amp;"', 'name' : '"&amp;X1225&amp;"', 'mass_unit' : '"&amp;AC1225&amp;"', 'mass_quantity' : '"&amp;ROUND(AA1225,3)&amp;"', 'volume_unit' : '"&amp;AF1225&amp;"', 'volume_quantity' : '"&amp;ROUND(AD1225,3)&amp;"', 'pieces_unit' : '"&amp;AI1225&amp;"', 'pieces_quantity' : '"&amp;ROUND(AG1225,3)&amp;"', 'cooking_notes' : '"&amp;AJ1225&amp;"'}).status_code; print('%s :: %s :: %s :: %s :: %s' %(a,"&amp;G1225&amp;",'"&amp;X1225&amp;"','"&amp;Y1225&amp;"','"&amp;U1225&amp;"'))"</f>
        <v>a = Client().post('/recipes/ekadashi-khichdi-spicy/detail/', {'recipe' : '23', 'ingredient' : '177', 'name' : 'salt', 'mass_unit' : '2', 'mass_quantity' : '0', 'volume_unit' : '5', 'volume_quantity' : '1.5', 'pieces_unit' : '3', 'pieces_quantity' : '0', 'cooking_notes' : ''}).status_code; print('%s :: %s :: %s :: %s :: %s' %(a,1225,'salt','salt','EKADASHI KHICHDI  SPICY'))</v>
      </c>
    </row>
    <row r="1226" customFormat="false" ht="13.8" hidden="false" customHeight="false" outlineLevel="0" collapsed="false">
      <c r="G1226" s="80" t="n">
        <v>1226</v>
      </c>
      <c r="H1226" s="83"/>
      <c r="I1226" s="83" t="s">
        <v>178</v>
      </c>
      <c r="J1226" s="83" t="s">
        <v>398</v>
      </c>
      <c r="M1226" s="61" t="n">
        <v>0.4</v>
      </c>
      <c r="N1226" s="61" t="s">
        <v>20</v>
      </c>
      <c r="R1226" s="82" t="str">
        <f aca="false">VLOOKUP(J1226,ingredient!$N$4:$O$553,2,0)</f>
        <v>jeera</v>
      </c>
      <c r="U1226" s="81" t="str">
        <f aca="false">I1226</f>
        <v>EKADASHI KHICHDI  SPICY</v>
      </c>
      <c r="V1226" s="81" t="n">
        <f aca="false">VLOOKUP(U1226,recipe_ingred_list!$A$2:$B$300,2,0)</f>
        <v>23</v>
      </c>
      <c r="W1226" s="81" t="str">
        <f aca="false">"/recipes/"&amp;VLOOKUP(U1226,recipe_ingred_list!$A$2:$C$300,3,0)&amp;"/detail/"</f>
        <v>/recipes/ekadashi-khichdi-spicy/detail/</v>
      </c>
      <c r="X1226" s="81" t="str">
        <f aca="false">J1226</f>
        <v>jeera</v>
      </c>
      <c r="Y1226" s="81" t="str">
        <f aca="false">R1226</f>
        <v>jeera</v>
      </c>
      <c r="Z1226" s="94" t="n">
        <f aca="false">VLOOKUP(Y1226,recipe_ingred_list!$D$2:$E$500,2,0)</f>
        <v>102</v>
      </c>
      <c r="AA1226" s="61" t="n">
        <f aca="false">K1226</f>
        <v>0</v>
      </c>
      <c r="AB1226" s="61" t="n">
        <f aca="false">L1226</f>
        <v>0</v>
      </c>
      <c r="AC1226" s="61" t="n">
        <f aca="false">VLOOKUP(AB1226,recipe_ingred_list!$K$2:$M$7,3,0)</f>
        <v>2</v>
      </c>
      <c r="AD1226" s="61" t="n">
        <f aca="false">M1226</f>
        <v>0.4</v>
      </c>
      <c r="AE1226" s="61" t="str">
        <f aca="false">N1226</f>
        <v>cup</v>
      </c>
      <c r="AF1226" s="61" t="n">
        <f aca="false">VLOOKUP(AE1226,recipe_ingred_list!$K$16:$M$25,3,0)</f>
        <v>5</v>
      </c>
      <c r="AG1226" s="61" t="n">
        <f aca="false">O1226</f>
        <v>0</v>
      </c>
      <c r="AH1226" s="61" t="n">
        <f aca="false">P1226</f>
        <v>0</v>
      </c>
      <c r="AI1226" s="61" t="n">
        <f aca="false">VLOOKUP(AH1226,recipe_ingred_list!$K$29:$M$34,3,0)</f>
        <v>3</v>
      </c>
      <c r="AJ1226" s="61" t="str">
        <f aca="false">IF(Q1226="","",Q1226)</f>
        <v/>
      </c>
      <c r="AK1226" s="61" t="n">
        <f aca="false">AK1225+1</f>
        <v>1226</v>
      </c>
      <c r="AL1226" s="61" t="str">
        <f aca="false">Y1226</f>
        <v>jeera</v>
      </c>
      <c r="AM1226" s="81" t="str">
        <f aca="false">"a = Client().post('"&amp;W1226&amp;"', {'recipe' : '"&amp;V1226&amp;"', 'ingredient' : '"&amp;Z1226&amp;"', 'name' : '"&amp;X1226&amp;"', 'mass_unit' : '"&amp;AC1226&amp;"', 'mass_quantity' : '"&amp;ROUND(AA1226,3)&amp;"', 'volume_unit' : '"&amp;AF1226&amp;"', 'volume_quantity' : '"&amp;ROUND(AD1226,3)&amp;"', 'pieces_unit' : '"&amp;AI1226&amp;"', 'pieces_quantity' : '"&amp;ROUND(AG1226,3)&amp;"', 'cooking_notes' : '"&amp;AJ1226&amp;"'}).status_code; print('%s :: %s :: %s :: %s :: %s' %(a,"&amp;G1226&amp;",'"&amp;X1226&amp;"','"&amp;Y1226&amp;"','"&amp;U1226&amp;"'))"</f>
        <v>a = Client().post('/recipes/ekadashi-khichdi-spicy/detail/', {'recipe' : '23', 'ingredient' : '102', 'name' : 'jeera', 'mass_unit' : '2', 'mass_quantity' : '0', 'volume_unit' : '5', 'volume_quantity' : '0.4', 'pieces_unit' : '3', 'pieces_quantity' : '0', 'cooking_notes' : ''}).status_code; print('%s :: %s :: %s :: %s :: %s' %(a,1226,'jeera','jeera','EKADASHI KHICHDI  SPICY'))</v>
      </c>
    </row>
    <row r="1227" customFormat="false" ht="13.8" hidden="false" customHeight="false" outlineLevel="0" collapsed="false">
      <c r="G1227" s="80" t="n">
        <v>1227</v>
      </c>
      <c r="H1227" s="83"/>
      <c r="I1227" s="83" t="s">
        <v>178</v>
      </c>
      <c r="J1227" s="83" t="s">
        <v>312</v>
      </c>
      <c r="M1227" s="61" t="n">
        <v>0.5</v>
      </c>
      <c r="N1227" s="61" t="s">
        <v>20</v>
      </c>
      <c r="R1227" s="82" t="str">
        <f aca="false">VLOOKUP(J1227,ingredient!$N$4:$O$553,2,0)</f>
        <v>dhaniya powder</v>
      </c>
      <c r="U1227" s="81" t="str">
        <f aca="false">I1227</f>
        <v>EKADASHI KHICHDI  SPICY</v>
      </c>
      <c r="V1227" s="81" t="n">
        <f aca="false">VLOOKUP(U1227,recipe_ingred_list!$A$2:$B$300,2,0)</f>
        <v>23</v>
      </c>
      <c r="W1227" s="81" t="str">
        <f aca="false">"/recipes/"&amp;VLOOKUP(U1227,recipe_ingred_list!$A$2:$C$300,3,0)&amp;"/detail/"</f>
        <v>/recipes/ekadashi-khichdi-spicy/detail/</v>
      </c>
      <c r="X1227" s="81" t="str">
        <f aca="false">J1227</f>
        <v>dhaniya powder</v>
      </c>
      <c r="Y1227" s="81" t="str">
        <f aca="false">R1227</f>
        <v>dhaniya powder</v>
      </c>
      <c r="Z1227" s="94" t="n">
        <f aca="false">VLOOKUP(Y1227,recipe_ingred_list!$D$2:$E$500,2,0)</f>
        <v>67</v>
      </c>
      <c r="AA1227" s="61" t="n">
        <f aca="false">K1227</f>
        <v>0</v>
      </c>
      <c r="AB1227" s="61" t="n">
        <f aca="false">L1227</f>
        <v>0</v>
      </c>
      <c r="AC1227" s="61" t="n">
        <f aca="false">VLOOKUP(AB1227,recipe_ingred_list!$K$2:$M$7,3,0)</f>
        <v>2</v>
      </c>
      <c r="AD1227" s="61" t="n">
        <f aca="false">M1227</f>
        <v>0.5</v>
      </c>
      <c r="AE1227" s="61" t="str">
        <f aca="false">N1227</f>
        <v>cup</v>
      </c>
      <c r="AF1227" s="61" t="n">
        <f aca="false">VLOOKUP(AE1227,recipe_ingred_list!$K$16:$M$25,3,0)</f>
        <v>5</v>
      </c>
      <c r="AG1227" s="61" t="n">
        <f aca="false">O1227</f>
        <v>0</v>
      </c>
      <c r="AH1227" s="61" t="n">
        <f aca="false">P1227</f>
        <v>0</v>
      </c>
      <c r="AI1227" s="61" t="n">
        <f aca="false">VLOOKUP(AH1227,recipe_ingred_list!$K$29:$M$34,3,0)</f>
        <v>3</v>
      </c>
      <c r="AJ1227" s="61" t="str">
        <f aca="false">IF(Q1227="","",Q1227)</f>
        <v/>
      </c>
      <c r="AK1227" s="61" t="n">
        <f aca="false">AK1226+1</f>
        <v>1227</v>
      </c>
      <c r="AL1227" s="61" t="str">
        <f aca="false">Y1227</f>
        <v>dhaniya powder</v>
      </c>
      <c r="AM1227" s="81" t="str">
        <f aca="false">"a = Client().post('"&amp;W1227&amp;"', {'recipe' : '"&amp;V1227&amp;"', 'ingredient' : '"&amp;Z1227&amp;"', 'name' : '"&amp;X1227&amp;"', 'mass_unit' : '"&amp;AC1227&amp;"', 'mass_quantity' : '"&amp;ROUND(AA1227,3)&amp;"', 'volume_unit' : '"&amp;AF1227&amp;"', 'volume_quantity' : '"&amp;ROUND(AD1227,3)&amp;"', 'pieces_unit' : '"&amp;AI1227&amp;"', 'pieces_quantity' : '"&amp;ROUND(AG1227,3)&amp;"', 'cooking_notes' : '"&amp;AJ1227&amp;"'}).status_code; print('%s :: %s :: %s :: %s :: %s' %(a,"&amp;G1227&amp;",'"&amp;X1227&amp;"','"&amp;Y1227&amp;"','"&amp;U1227&amp;"'))"</f>
        <v>a = Client().post('/recipes/ekadashi-khichdi-spicy/detail/', {'recipe' : '23', 'ingredient' : '67', 'name' : 'dhaniya powder', 'mass_unit' : '2', 'mass_quantity' : '0', 'volume_unit' : '5', 'volume_quantity' : '0.5', 'pieces_unit' : '3', 'pieces_quantity' : '0', 'cooking_notes' : ''}).status_code; print('%s :: %s :: %s :: %s :: %s' %(a,1227,'dhaniya powder','dhaniya powder','EKADASHI KHICHDI  SPICY'))</v>
      </c>
    </row>
    <row r="1228" customFormat="false" ht="13.8" hidden="false" customHeight="false" outlineLevel="0" collapsed="false">
      <c r="G1228" s="80" t="n">
        <v>1228</v>
      </c>
      <c r="H1228" s="83"/>
      <c r="I1228" s="83" t="s">
        <v>178</v>
      </c>
      <c r="J1228" s="83" t="s">
        <v>399</v>
      </c>
      <c r="M1228" s="61" t="n">
        <v>0.5</v>
      </c>
      <c r="N1228" s="61" t="s">
        <v>20</v>
      </c>
      <c r="R1228" s="82" t="str">
        <f aca="false">VLOOKUP(J1228,ingredient!$N$4:$O$553,2,0)</f>
        <v>jeera powder</v>
      </c>
      <c r="U1228" s="81" t="str">
        <f aca="false">I1228</f>
        <v>EKADASHI KHICHDI  SPICY</v>
      </c>
      <c r="V1228" s="81" t="n">
        <f aca="false">VLOOKUP(U1228,recipe_ingred_list!$A$2:$B$300,2,0)</f>
        <v>23</v>
      </c>
      <c r="W1228" s="81" t="str">
        <f aca="false">"/recipes/"&amp;VLOOKUP(U1228,recipe_ingred_list!$A$2:$C$300,3,0)&amp;"/detail/"</f>
        <v>/recipes/ekadashi-khichdi-spicy/detail/</v>
      </c>
      <c r="X1228" s="81" t="str">
        <f aca="false">J1228</f>
        <v>jeera powder</v>
      </c>
      <c r="Y1228" s="81" t="str">
        <f aca="false">R1228</f>
        <v>jeera powder</v>
      </c>
      <c r="Z1228" s="94" t="n">
        <f aca="false">VLOOKUP(Y1228,recipe_ingred_list!$D$2:$E$500,2,0)</f>
        <v>103</v>
      </c>
      <c r="AA1228" s="61" t="n">
        <f aca="false">K1228</f>
        <v>0</v>
      </c>
      <c r="AB1228" s="61" t="n">
        <f aca="false">L1228</f>
        <v>0</v>
      </c>
      <c r="AC1228" s="61" t="n">
        <f aca="false">VLOOKUP(AB1228,recipe_ingred_list!$K$2:$M$7,3,0)</f>
        <v>2</v>
      </c>
      <c r="AD1228" s="61" t="n">
        <f aca="false">M1228</f>
        <v>0.5</v>
      </c>
      <c r="AE1228" s="61" t="str">
        <f aca="false">N1228</f>
        <v>cup</v>
      </c>
      <c r="AF1228" s="61" t="n">
        <f aca="false">VLOOKUP(AE1228,recipe_ingred_list!$K$16:$M$25,3,0)</f>
        <v>5</v>
      </c>
      <c r="AG1228" s="61" t="n">
        <f aca="false">O1228</f>
        <v>0</v>
      </c>
      <c r="AH1228" s="61" t="n">
        <f aca="false">P1228</f>
        <v>0</v>
      </c>
      <c r="AI1228" s="61" t="n">
        <f aca="false">VLOOKUP(AH1228,recipe_ingred_list!$K$29:$M$34,3,0)</f>
        <v>3</v>
      </c>
      <c r="AJ1228" s="61" t="str">
        <f aca="false">IF(Q1228="","",Q1228)</f>
        <v/>
      </c>
      <c r="AK1228" s="61" t="n">
        <f aca="false">AK1227+1</f>
        <v>1228</v>
      </c>
      <c r="AL1228" s="61" t="str">
        <f aca="false">Y1228</f>
        <v>jeera powder</v>
      </c>
      <c r="AM1228" s="81" t="str">
        <f aca="false">"a = Client().post('"&amp;W1228&amp;"', {'recipe' : '"&amp;V1228&amp;"', 'ingredient' : '"&amp;Z1228&amp;"', 'name' : '"&amp;X1228&amp;"', 'mass_unit' : '"&amp;AC1228&amp;"', 'mass_quantity' : '"&amp;ROUND(AA1228,3)&amp;"', 'volume_unit' : '"&amp;AF1228&amp;"', 'volume_quantity' : '"&amp;ROUND(AD1228,3)&amp;"', 'pieces_unit' : '"&amp;AI1228&amp;"', 'pieces_quantity' : '"&amp;ROUND(AG1228,3)&amp;"', 'cooking_notes' : '"&amp;AJ1228&amp;"'}).status_code; print('%s :: %s :: %s :: %s :: %s' %(a,"&amp;G1228&amp;",'"&amp;X1228&amp;"','"&amp;Y1228&amp;"','"&amp;U1228&amp;"'))"</f>
        <v>a = Client().post('/recipes/ekadashi-khichdi-spicy/detail/', {'recipe' : '23', 'ingredient' : '103', 'name' : 'jeera powder', 'mass_unit' : '2', 'mass_quantity' : '0', 'volume_unit' : '5', 'volume_quantity' : '0.5', 'pieces_unit' : '3', 'pieces_quantity' : '0', 'cooking_notes' : ''}).status_code; print('%s :: %s :: %s :: %s :: %s' %(a,1228,'jeera powder','jeera powder','EKADASHI KHICHDI  SPICY'))</v>
      </c>
    </row>
    <row r="1229" customFormat="false" ht="13.8" hidden="false" customHeight="false" outlineLevel="0" collapsed="false">
      <c r="G1229" s="80" t="n">
        <v>1229</v>
      </c>
      <c r="H1229" s="83"/>
      <c r="I1229" s="83" t="s">
        <v>178</v>
      </c>
      <c r="J1229" s="83" t="s">
        <v>857</v>
      </c>
      <c r="M1229" s="61" t="n">
        <v>0.4</v>
      </c>
      <c r="N1229" s="61" t="s">
        <v>20</v>
      </c>
      <c r="R1229" s="82" t="str">
        <f aca="false">VLOOKUP(J1229,ingredient!$N$4:$O$553,2,0)</f>
        <v>kashmiri chilly powder</v>
      </c>
      <c r="U1229" s="81" t="str">
        <f aca="false">I1229</f>
        <v>EKADASHI KHICHDI  SPICY</v>
      </c>
      <c r="V1229" s="81" t="n">
        <f aca="false">VLOOKUP(U1229,recipe_ingred_list!$A$2:$B$300,2,0)</f>
        <v>23</v>
      </c>
      <c r="W1229" s="81" t="str">
        <f aca="false">"/recipes/"&amp;VLOOKUP(U1229,recipe_ingred_list!$A$2:$C$300,3,0)&amp;"/detail/"</f>
        <v>/recipes/ekadashi-khichdi-spicy/detail/</v>
      </c>
      <c r="X1229" s="81" t="str">
        <f aca="false">J1229</f>
        <v>kashmiri chily pwder</v>
      </c>
      <c r="Y1229" s="81" t="str">
        <f aca="false">R1229</f>
        <v>kashmiri chilly powder</v>
      </c>
      <c r="Z1229" s="94" t="n">
        <f aca="false">VLOOKUP(Y1229,recipe_ingred_list!$D$2:$E$500,2,0)</f>
        <v>117</v>
      </c>
      <c r="AA1229" s="61" t="n">
        <f aca="false">K1229</f>
        <v>0</v>
      </c>
      <c r="AB1229" s="61" t="n">
        <f aca="false">L1229</f>
        <v>0</v>
      </c>
      <c r="AC1229" s="61" t="n">
        <f aca="false">VLOOKUP(AB1229,recipe_ingred_list!$K$2:$M$7,3,0)</f>
        <v>2</v>
      </c>
      <c r="AD1229" s="61" t="n">
        <f aca="false">M1229</f>
        <v>0.4</v>
      </c>
      <c r="AE1229" s="61" t="str">
        <f aca="false">N1229</f>
        <v>cup</v>
      </c>
      <c r="AF1229" s="61" t="n">
        <f aca="false">VLOOKUP(AE1229,recipe_ingred_list!$K$16:$M$25,3,0)</f>
        <v>5</v>
      </c>
      <c r="AG1229" s="61" t="n">
        <f aca="false">O1229</f>
        <v>0</v>
      </c>
      <c r="AH1229" s="61" t="n">
        <f aca="false">P1229</f>
        <v>0</v>
      </c>
      <c r="AI1229" s="61" t="n">
        <f aca="false">VLOOKUP(AH1229,recipe_ingred_list!$K$29:$M$34,3,0)</f>
        <v>3</v>
      </c>
      <c r="AJ1229" s="61" t="str">
        <f aca="false">IF(Q1229="","",Q1229)</f>
        <v/>
      </c>
      <c r="AK1229" s="61" t="n">
        <f aca="false">AK1228+1</f>
        <v>1229</v>
      </c>
      <c r="AL1229" s="61" t="str">
        <f aca="false">Y1229</f>
        <v>kashmiri chilly powder</v>
      </c>
      <c r="AM1229" s="81" t="str">
        <f aca="false">"a = Client().post('"&amp;W1229&amp;"', {'recipe' : '"&amp;V1229&amp;"', 'ingredient' : '"&amp;Z1229&amp;"', 'name' : '"&amp;X1229&amp;"', 'mass_unit' : '"&amp;AC1229&amp;"', 'mass_quantity' : '"&amp;ROUND(AA1229,3)&amp;"', 'volume_unit' : '"&amp;AF1229&amp;"', 'volume_quantity' : '"&amp;ROUND(AD1229,3)&amp;"', 'pieces_unit' : '"&amp;AI1229&amp;"', 'pieces_quantity' : '"&amp;ROUND(AG1229,3)&amp;"', 'cooking_notes' : '"&amp;AJ1229&amp;"'}).status_code; print('%s :: %s :: %s :: %s :: %s' %(a,"&amp;G1229&amp;",'"&amp;X1229&amp;"','"&amp;Y1229&amp;"','"&amp;U1229&amp;"'))"</f>
        <v>a = Client().post('/recipes/ekadashi-khichdi-spicy/detail/', {'recipe' : '23', 'ingredient' : '117', 'name' : 'kashmiri chily pwder', 'mass_unit' : '2', 'mass_quantity' : '0', 'volume_unit' : '5', 'volume_quantity' : '0.4', 'pieces_unit' : '3', 'pieces_quantity' : '0', 'cooking_notes' : ''}).status_code; print('%s :: %s :: %s :: %s :: %s' %(a,1229,'kashmiri chily pwder','kashmiri chilly powder','EKADASHI KHICHDI  SPICY'))</v>
      </c>
    </row>
    <row r="1230" customFormat="false" ht="13.8" hidden="false" customHeight="false" outlineLevel="0" collapsed="false">
      <c r="G1230" s="80" t="n">
        <v>1230</v>
      </c>
      <c r="H1230" s="83"/>
      <c r="I1230" s="83" t="s">
        <v>178</v>
      </c>
      <c r="J1230" s="83" t="s">
        <v>807</v>
      </c>
      <c r="M1230" s="61" t="n">
        <v>0.3</v>
      </c>
      <c r="N1230" s="61" t="s">
        <v>20</v>
      </c>
      <c r="R1230" s="82" t="str">
        <f aca="false">VLOOKUP(J1230,ingredient!$N$4:$O$553,2,0)</f>
        <v>madrasi mirchi powder</v>
      </c>
      <c r="U1230" s="81" t="str">
        <f aca="false">I1230</f>
        <v>EKADASHI KHICHDI  SPICY</v>
      </c>
      <c r="V1230" s="81" t="n">
        <f aca="false">VLOOKUP(U1230,recipe_ingred_list!$A$2:$B$300,2,0)</f>
        <v>23</v>
      </c>
      <c r="W1230" s="81" t="str">
        <f aca="false">"/recipes/"&amp;VLOOKUP(U1230,recipe_ingred_list!$A$2:$C$300,3,0)&amp;"/detail/"</f>
        <v>/recipes/ekadashi-khichdi-spicy/detail/</v>
      </c>
      <c r="X1230" s="81" t="str">
        <f aca="false">J1230</f>
        <v>madrasi chili powder</v>
      </c>
      <c r="Y1230" s="81" t="str">
        <f aca="false">R1230</f>
        <v>madrasi mirchi powder</v>
      </c>
      <c r="Z1230" s="94" t="n">
        <f aca="false">VLOOKUP(Y1230,recipe_ingred_list!$D$2:$E$500,2,0)</f>
        <v>135</v>
      </c>
      <c r="AA1230" s="61" t="n">
        <f aca="false">K1230</f>
        <v>0</v>
      </c>
      <c r="AB1230" s="61" t="n">
        <f aca="false">L1230</f>
        <v>0</v>
      </c>
      <c r="AC1230" s="61" t="n">
        <f aca="false">VLOOKUP(AB1230,recipe_ingred_list!$K$2:$M$7,3,0)</f>
        <v>2</v>
      </c>
      <c r="AD1230" s="61" t="n">
        <f aca="false">M1230</f>
        <v>0.3</v>
      </c>
      <c r="AE1230" s="61" t="str">
        <f aca="false">N1230</f>
        <v>cup</v>
      </c>
      <c r="AF1230" s="61" t="n">
        <f aca="false">VLOOKUP(AE1230,recipe_ingred_list!$K$16:$M$25,3,0)</f>
        <v>5</v>
      </c>
      <c r="AG1230" s="61" t="n">
        <f aca="false">O1230</f>
        <v>0</v>
      </c>
      <c r="AH1230" s="61" t="n">
        <f aca="false">P1230</f>
        <v>0</v>
      </c>
      <c r="AI1230" s="61" t="n">
        <f aca="false">VLOOKUP(AH1230,recipe_ingred_list!$K$29:$M$34,3,0)</f>
        <v>3</v>
      </c>
      <c r="AJ1230" s="61" t="str">
        <f aca="false">IF(Q1230="","",Q1230)</f>
        <v/>
      </c>
      <c r="AK1230" s="61" t="n">
        <f aca="false">AK1229+1</f>
        <v>1230</v>
      </c>
      <c r="AL1230" s="61" t="str">
        <f aca="false">Y1230</f>
        <v>madrasi mirchi powder</v>
      </c>
      <c r="AM1230" s="81" t="str">
        <f aca="false">"a = Client().post('"&amp;W1230&amp;"', {'recipe' : '"&amp;V1230&amp;"', 'ingredient' : '"&amp;Z1230&amp;"', 'name' : '"&amp;X1230&amp;"', 'mass_unit' : '"&amp;AC1230&amp;"', 'mass_quantity' : '"&amp;ROUND(AA1230,3)&amp;"', 'volume_unit' : '"&amp;AF1230&amp;"', 'volume_quantity' : '"&amp;ROUND(AD1230,3)&amp;"', 'pieces_unit' : '"&amp;AI1230&amp;"', 'pieces_quantity' : '"&amp;ROUND(AG1230,3)&amp;"', 'cooking_notes' : '"&amp;AJ1230&amp;"'}).status_code; print('%s :: %s :: %s :: %s :: %s' %(a,"&amp;G1230&amp;",'"&amp;X1230&amp;"','"&amp;Y1230&amp;"','"&amp;U1230&amp;"'))"</f>
        <v>a = Client().post('/recipes/ekadashi-khichdi-spicy/detail/', {'recipe' : '23', 'ingredient' : '135', 'name' : 'madrasi chili powder', 'mass_unit' : '2', 'mass_quantity' : '0', 'volume_unit' : '5', 'volume_quantity' : '0.3', 'pieces_unit' : '3', 'pieces_quantity' : '0', 'cooking_notes' : ''}).status_code; print('%s :: %s :: %s :: %s :: %s' %(a,1230,'madrasi chili powder','madrasi mirchi powder','EKADASHI KHICHDI  SPICY'))</v>
      </c>
    </row>
    <row r="1231" customFormat="false" ht="13.8" hidden="false" customHeight="false" outlineLevel="0" collapsed="false">
      <c r="G1231" s="80" t="n">
        <v>1231</v>
      </c>
      <c r="H1231" s="83"/>
      <c r="I1231" s="83" t="s">
        <v>178</v>
      </c>
      <c r="J1231" s="83" t="s">
        <v>858</v>
      </c>
      <c r="M1231" s="61" t="n">
        <v>1</v>
      </c>
      <c r="N1231" s="61" t="s">
        <v>20</v>
      </c>
      <c r="R1231" s="82" t="str">
        <f aca="false">VLOOKUP(J1231,ingredient!$N$4:$O$553,2,0)</f>
        <v>akkha madrasi mirchi</v>
      </c>
      <c r="U1231" s="81" t="str">
        <f aca="false">I1231</f>
        <v>EKADASHI KHICHDI  SPICY</v>
      </c>
      <c r="V1231" s="81" t="n">
        <f aca="false">VLOOKUP(U1231,recipe_ingred_list!$A$2:$B$300,2,0)</f>
        <v>23</v>
      </c>
      <c r="W1231" s="81" t="str">
        <f aca="false">"/recipes/"&amp;VLOOKUP(U1231,recipe_ingred_list!$A$2:$C$300,3,0)&amp;"/detail/"</f>
        <v>/recipes/ekadashi-khichdi-spicy/detail/</v>
      </c>
      <c r="X1231" s="81" t="str">
        <f aca="false">J1231</f>
        <v>akkha madrasi mirch</v>
      </c>
      <c r="Y1231" s="81" t="str">
        <f aca="false">R1231</f>
        <v>akkha madrasi mirchi</v>
      </c>
      <c r="Z1231" s="94" t="n">
        <f aca="false">VLOOKUP(Y1231,recipe_ingred_list!$D$2:$E$500,2,0)</f>
        <v>6</v>
      </c>
      <c r="AA1231" s="61" t="n">
        <f aca="false">K1231</f>
        <v>0</v>
      </c>
      <c r="AB1231" s="61" t="n">
        <f aca="false">L1231</f>
        <v>0</v>
      </c>
      <c r="AC1231" s="61" t="n">
        <f aca="false">VLOOKUP(AB1231,recipe_ingred_list!$K$2:$M$7,3,0)</f>
        <v>2</v>
      </c>
      <c r="AD1231" s="61" t="n">
        <f aca="false">M1231</f>
        <v>1</v>
      </c>
      <c r="AE1231" s="61" t="str">
        <f aca="false">N1231</f>
        <v>cup</v>
      </c>
      <c r="AF1231" s="61" t="n">
        <f aca="false">VLOOKUP(AE1231,recipe_ingred_list!$K$16:$M$25,3,0)</f>
        <v>5</v>
      </c>
      <c r="AG1231" s="61" t="n">
        <f aca="false">O1231</f>
        <v>0</v>
      </c>
      <c r="AH1231" s="61" t="n">
        <f aca="false">P1231</f>
        <v>0</v>
      </c>
      <c r="AI1231" s="61" t="n">
        <f aca="false">VLOOKUP(AH1231,recipe_ingred_list!$K$29:$M$34,3,0)</f>
        <v>3</v>
      </c>
      <c r="AJ1231" s="61" t="str">
        <f aca="false">IF(Q1231="","",Q1231)</f>
        <v/>
      </c>
      <c r="AK1231" s="61" t="n">
        <f aca="false">AK1230+1</f>
        <v>1231</v>
      </c>
      <c r="AL1231" s="61" t="str">
        <f aca="false">Y1231</f>
        <v>akkha madrasi mirchi</v>
      </c>
      <c r="AM1231" s="81" t="str">
        <f aca="false">"a = Client().post('"&amp;W1231&amp;"', {'recipe' : '"&amp;V1231&amp;"', 'ingredient' : '"&amp;Z1231&amp;"', 'name' : '"&amp;X1231&amp;"', 'mass_unit' : '"&amp;AC1231&amp;"', 'mass_quantity' : '"&amp;ROUND(AA1231,3)&amp;"', 'volume_unit' : '"&amp;AF1231&amp;"', 'volume_quantity' : '"&amp;ROUND(AD1231,3)&amp;"', 'pieces_unit' : '"&amp;AI1231&amp;"', 'pieces_quantity' : '"&amp;ROUND(AG1231,3)&amp;"', 'cooking_notes' : '"&amp;AJ1231&amp;"'}).status_code; print('%s :: %s :: %s :: %s :: %s' %(a,"&amp;G1231&amp;",'"&amp;X1231&amp;"','"&amp;Y1231&amp;"','"&amp;U1231&amp;"'))"</f>
        <v>a = Client().post('/recipes/ekadashi-khichdi-spicy/detail/', {'recipe' : '23', 'ingredient' : '6', 'name' : 'akkha madrasi mirch', 'mass_unit' : '2', 'mass_quantity' : '0', 'volume_unit' : '5', 'volume_quantity' : '1', 'pieces_unit' : '3', 'pieces_quantity' : '0', 'cooking_notes' : ''}).status_code; print('%s :: %s :: %s :: %s :: %s' %(a,1231,'akkha madrasi mirch','akkha madrasi mirchi','EKADASHI KHICHDI  SPICY'))</v>
      </c>
    </row>
    <row r="1232" customFormat="false" ht="13.8" hidden="false" customHeight="false" outlineLevel="0" collapsed="false">
      <c r="G1232" s="80" t="n">
        <v>1232</v>
      </c>
      <c r="H1232" s="83"/>
      <c r="I1232" s="83" t="s">
        <v>178</v>
      </c>
      <c r="J1232" s="83" t="s">
        <v>839</v>
      </c>
      <c r="M1232" s="61" t="n">
        <v>500</v>
      </c>
      <c r="N1232" s="61" t="s">
        <v>143</v>
      </c>
      <c r="R1232" s="82" t="str">
        <f aca="false">VLOOKUP(J1232,ingredient!$N$4:$O$553,2,0)</f>
        <v>gound nut oil</v>
      </c>
      <c r="U1232" s="81" t="str">
        <f aca="false">I1232</f>
        <v>EKADASHI KHICHDI  SPICY</v>
      </c>
      <c r="V1232" s="81" t="n">
        <f aca="false">VLOOKUP(U1232,recipe_ingred_list!$A$2:$B$300,2,0)</f>
        <v>23</v>
      </c>
      <c r="W1232" s="81" t="str">
        <f aca="false">"/recipes/"&amp;VLOOKUP(U1232,recipe_ingred_list!$A$2:$C$300,3,0)&amp;"/detail/"</f>
        <v>/recipes/ekadashi-khichdi-spicy/detail/</v>
      </c>
      <c r="X1232" s="81" t="str">
        <f aca="false">J1232</f>
        <v>oil</v>
      </c>
      <c r="Y1232" s="81" t="str">
        <f aca="false">R1232</f>
        <v>gound nut oil</v>
      </c>
      <c r="Z1232" s="94" t="n">
        <f aca="false">VLOOKUP(Y1232,recipe_ingred_list!$D$2:$E$500,2,0)</f>
        <v>83</v>
      </c>
      <c r="AA1232" s="61" t="n">
        <f aca="false">K1232</f>
        <v>0</v>
      </c>
      <c r="AB1232" s="61" t="n">
        <f aca="false">L1232</f>
        <v>0</v>
      </c>
      <c r="AC1232" s="61" t="n">
        <f aca="false">VLOOKUP(AB1232,recipe_ingred_list!$K$2:$M$7,3,0)</f>
        <v>2</v>
      </c>
      <c r="AD1232" s="61" t="n">
        <f aca="false">M1232</f>
        <v>500</v>
      </c>
      <c r="AE1232" s="61" t="str">
        <f aca="false">N1232</f>
        <v>ml</v>
      </c>
      <c r="AF1232" s="61" t="n">
        <f aca="false">VLOOKUP(AE1232,recipe_ingred_list!$K$16:$M$25,3,0)</f>
        <v>12</v>
      </c>
      <c r="AG1232" s="61" t="n">
        <f aca="false">O1232</f>
        <v>0</v>
      </c>
      <c r="AH1232" s="61" t="n">
        <f aca="false">P1232</f>
        <v>0</v>
      </c>
      <c r="AI1232" s="61" t="n">
        <f aca="false">VLOOKUP(AH1232,recipe_ingred_list!$K$29:$M$34,3,0)</f>
        <v>3</v>
      </c>
      <c r="AJ1232" s="61" t="str">
        <f aca="false">IF(Q1232="","",Q1232)</f>
        <v/>
      </c>
      <c r="AK1232" s="61" t="n">
        <f aca="false">AK1231+1</f>
        <v>1232</v>
      </c>
      <c r="AL1232" s="61" t="str">
        <f aca="false">Y1232</f>
        <v>gound nut oil</v>
      </c>
      <c r="AM1232" s="81" t="str">
        <f aca="false">"a = Client().post('"&amp;W1232&amp;"', {'recipe' : '"&amp;V1232&amp;"', 'ingredient' : '"&amp;Z1232&amp;"', 'name' : '"&amp;X1232&amp;"', 'mass_unit' : '"&amp;AC1232&amp;"', 'mass_quantity' : '"&amp;ROUND(AA1232,3)&amp;"', 'volume_unit' : '"&amp;AF1232&amp;"', 'volume_quantity' : '"&amp;ROUND(AD1232,3)&amp;"', 'pieces_unit' : '"&amp;AI1232&amp;"', 'pieces_quantity' : '"&amp;ROUND(AG1232,3)&amp;"', 'cooking_notes' : '"&amp;AJ1232&amp;"'}).status_code; print('%s :: %s :: %s :: %s :: %s' %(a,"&amp;G1232&amp;",'"&amp;X1232&amp;"','"&amp;Y1232&amp;"','"&amp;U1232&amp;"'))"</f>
        <v>a = Client().post('/recipes/ekadashi-khichdi-spicy/detail/', {'recipe' : '23', 'ingredient' : '83', 'name' : 'oil', 'mass_unit' : '2', 'mass_quantity' : '0', 'volume_unit' : '12', 'volume_quantity' : '500', 'pieces_unit' : '3', 'pieces_quantity' : '0', 'cooking_notes' : ''}).status_code; print('%s :: %s :: %s :: %s :: %s' %(a,1232,'oil','gound nut oil','EKADASHI KHICHDI  SPICY'))</v>
      </c>
    </row>
    <row r="1233" customFormat="false" ht="13.8" hidden="false" customHeight="false" outlineLevel="0" collapsed="false">
      <c r="G1233" s="80" t="n">
        <v>1233</v>
      </c>
      <c r="H1233" s="79"/>
      <c r="I1233" s="83" t="s">
        <v>178</v>
      </c>
      <c r="J1233" s="79" t="s">
        <v>44</v>
      </c>
      <c r="K1233" s="100"/>
      <c r="L1233" s="100"/>
      <c r="M1233" s="100" t="n">
        <v>1</v>
      </c>
      <c r="N1233" s="100" t="s">
        <v>20</v>
      </c>
      <c r="O1233" s="100"/>
      <c r="P1233" s="100"/>
      <c r="Q1233" s="102"/>
      <c r="R1233" s="99" t="str">
        <f aca="false">VLOOKUP(J1233,ingredient!$N$4:$O$553,2,0)</f>
        <v>sugar</v>
      </c>
      <c r="S1233" s="98"/>
      <c r="T1233" s="98"/>
      <c r="U1233" s="81" t="str">
        <f aca="false">I1233</f>
        <v>EKADASHI KHICHDI  SPICY</v>
      </c>
      <c r="V1233" s="81" t="n">
        <f aca="false">VLOOKUP(U1233,recipe_ingred_list!$A$2:$B$300,2,0)</f>
        <v>23</v>
      </c>
      <c r="W1233" s="81" t="str">
        <f aca="false">"/recipes/"&amp;VLOOKUP(U1233,recipe_ingred_list!$A$2:$C$300,3,0)&amp;"/detail/"</f>
        <v>/recipes/ekadashi-khichdi-spicy/detail/</v>
      </c>
      <c r="X1233" s="81" t="str">
        <f aca="false">J1233</f>
        <v>sugar</v>
      </c>
      <c r="Y1233" s="81" t="str">
        <f aca="false">R1233</f>
        <v>sugar</v>
      </c>
      <c r="Z1233" s="94" t="n">
        <f aca="false">VLOOKUP(Y1233,recipe_ingred_list!$D$2:$E$500,2,0)</f>
        <v>187</v>
      </c>
      <c r="AA1233" s="61" t="n">
        <f aca="false">K1233</f>
        <v>0</v>
      </c>
      <c r="AB1233" s="61" t="n">
        <f aca="false">L1233</f>
        <v>0</v>
      </c>
      <c r="AC1233" s="61" t="n">
        <f aca="false">VLOOKUP(AB1233,recipe_ingred_list!$K$2:$M$7,3,0)</f>
        <v>2</v>
      </c>
      <c r="AD1233" s="61" t="n">
        <f aca="false">M1233</f>
        <v>1</v>
      </c>
      <c r="AE1233" s="61" t="str">
        <f aca="false">N1233</f>
        <v>cup</v>
      </c>
      <c r="AF1233" s="61" t="n">
        <f aca="false">VLOOKUP(AE1233,recipe_ingred_list!$K$16:$M$25,3,0)</f>
        <v>5</v>
      </c>
      <c r="AG1233" s="61" t="n">
        <f aca="false">O1233</f>
        <v>0</v>
      </c>
      <c r="AH1233" s="61" t="n">
        <f aca="false">P1233</f>
        <v>0</v>
      </c>
      <c r="AI1233" s="61" t="n">
        <f aca="false">VLOOKUP(AH1233,recipe_ingred_list!$K$29:$M$34,3,0)</f>
        <v>3</v>
      </c>
      <c r="AJ1233" s="61" t="str">
        <f aca="false">IF(Q1233="","",Q1233)</f>
        <v/>
      </c>
      <c r="AK1233" s="61" t="n">
        <f aca="false">AK1232+1</f>
        <v>1233</v>
      </c>
      <c r="AL1233" s="61" t="str">
        <f aca="false">Y1233</f>
        <v>sugar</v>
      </c>
      <c r="AM1233" s="81" t="str">
        <f aca="false">"a = Client().post('"&amp;W1233&amp;"', {'recipe' : '"&amp;V1233&amp;"', 'ingredient' : '"&amp;Z1233&amp;"', 'name' : '"&amp;X1233&amp;"', 'mass_unit' : '"&amp;AC1233&amp;"', 'mass_quantity' : '"&amp;ROUND(AA1233,3)&amp;"', 'volume_unit' : '"&amp;AF1233&amp;"', 'volume_quantity' : '"&amp;ROUND(AD1233,3)&amp;"', 'pieces_unit' : '"&amp;AI1233&amp;"', 'pieces_quantity' : '"&amp;ROUND(AG1233,3)&amp;"', 'cooking_notes' : '"&amp;AJ1233&amp;"'}).status_code; print('%s :: %s :: %s :: %s :: %s' %(a,"&amp;G1233&amp;",'"&amp;X1233&amp;"','"&amp;Y1233&amp;"','"&amp;U1233&amp;"'))"</f>
        <v>a = Client().post('/recipes/ekadashi-khichdi-spicy/detail/', {'recipe' : '23', 'ingredient' : '187', 'name' : 'sugar', 'mass_unit' : '2', 'mass_quantity' : '0', 'volume_unit' : '5', 'volume_quantity' : '1', 'pieces_unit' : '3', 'pieces_quantity' : '0', 'cooking_notes' : ''}).status_code; print('%s :: %s :: %s :: %s :: %s' %(a,1233,'sugar','sugar','EKADASHI KHICHDI  SPICY'))</v>
      </c>
    </row>
    <row r="1234" customFormat="false" ht="13.8" hidden="false" customHeight="false" outlineLevel="0" collapsed="false">
      <c r="G1234" s="80" t="n">
        <v>1234</v>
      </c>
      <c r="H1234" s="79"/>
      <c r="I1234" s="79"/>
      <c r="J1234" s="79"/>
      <c r="K1234" s="100"/>
      <c r="L1234" s="100"/>
      <c r="M1234" s="100"/>
      <c r="N1234" s="100"/>
      <c r="O1234" s="100"/>
      <c r="P1234" s="100"/>
      <c r="Q1234" s="102"/>
      <c r="R1234" s="99" t="e">
        <f aca="false">VLOOKUP(J1234,ingredient!$N$4:$O$553,2,0)</f>
        <v>#N/A</v>
      </c>
      <c r="S1234" s="98"/>
      <c r="T1234" s="98"/>
      <c r="U1234" s="81" t="n">
        <f aca="false">I1234</f>
        <v>0</v>
      </c>
      <c r="V1234" s="81" t="e">
        <f aca="false">VLOOKUP(U1234,recipe_ingred_list!$A$2:$B$300,2,0)</f>
        <v>#N/A</v>
      </c>
      <c r="W1234" s="81" t="e">
        <f aca="false">"/recipes/"&amp;VLOOKUP(U1234,recipe_ingred_list!$A$2:$C$300,3,0)&amp;"/detail/"</f>
        <v>#N/A</v>
      </c>
      <c r="X1234" s="81" t="n">
        <f aca="false">J1234</f>
        <v>0</v>
      </c>
      <c r="Y1234" s="81" t="e">
        <f aca="false">R1234</f>
        <v>#N/A</v>
      </c>
      <c r="Z1234" s="94" t="e">
        <f aca="false">VLOOKUP(Y1234,recipe_ingred_list!$D$2:$E$500,2,0)</f>
        <v>#N/A</v>
      </c>
      <c r="AA1234" s="61" t="n">
        <f aca="false">K1234</f>
        <v>0</v>
      </c>
      <c r="AB1234" s="61" t="n">
        <f aca="false">L1234</f>
        <v>0</v>
      </c>
      <c r="AC1234" s="61" t="n">
        <f aca="false">VLOOKUP(AB1234,recipe_ingred_list!$K$2:$M$7,3,0)</f>
        <v>2</v>
      </c>
      <c r="AD1234" s="61" t="n">
        <f aca="false">M1234</f>
        <v>0</v>
      </c>
      <c r="AE1234" s="61" t="n">
        <f aca="false">N1234</f>
        <v>0</v>
      </c>
      <c r="AF1234" s="61" t="n">
        <f aca="false">VLOOKUP(AE1234,recipe_ingred_list!$K$16:$M$25,3,0)</f>
        <v>1</v>
      </c>
      <c r="AG1234" s="61" t="n">
        <f aca="false">O1234</f>
        <v>0</v>
      </c>
      <c r="AH1234" s="61" t="n">
        <f aca="false">P1234</f>
        <v>0</v>
      </c>
      <c r="AI1234" s="61" t="n">
        <f aca="false">VLOOKUP(AH1234,recipe_ingred_list!$K$29:$M$34,3,0)</f>
        <v>3</v>
      </c>
      <c r="AJ1234" s="61" t="str">
        <f aca="false">IF(Q1234="","",Q1234)</f>
        <v/>
      </c>
      <c r="AK1234" s="61" t="n">
        <f aca="false">AK1233+1</f>
        <v>1234</v>
      </c>
      <c r="AL1234" s="61" t="e">
        <f aca="false">Y1234</f>
        <v>#N/A</v>
      </c>
      <c r="AM1234" s="81" t="e">
        <f aca="false">"a = Client().post('"&amp;W1234&amp;"', {'recipe' : '"&amp;V1234&amp;"', 'ingredient' : '"&amp;Z1234&amp;"', 'name' : '"&amp;X1234&amp;"', 'mass_unit' : '"&amp;AC1234&amp;"', 'mass_quantity' : '"&amp;ROUND(AA1234,3)&amp;"', 'volume_unit' : '"&amp;AF1234&amp;"', 'volume_quantity' : '"&amp;ROUND(AD1234,3)&amp;"', 'pieces_unit' : '"&amp;AI1234&amp;"', 'pieces_quantity' : '"&amp;ROUND(AG1234,3)&amp;"', 'cooking_notes' : '"&amp;AJ1234&amp;"'}).status_code; print('%s :: %s :: %s :: %s :: %s' %(a,"&amp;G1234&amp;",'"&amp;X1234&amp;"','"&amp;Y1234&amp;"','"&amp;U1234&amp;"'))"</f>
        <v>#N/A</v>
      </c>
    </row>
    <row r="1235" customFormat="false" ht="13.8" hidden="false" customHeight="false" outlineLevel="0" collapsed="false">
      <c r="G1235" s="80" t="n">
        <v>1235</v>
      </c>
      <c r="H1235" s="83"/>
      <c r="I1235" s="83" t="s">
        <v>229</v>
      </c>
      <c r="J1235" s="83" t="s">
        <v>914</v>
      </c>
      <c r="M1235" s="61" t="n">
        <v>1</v>
      </c>
      <c r="N1235" s="61" t="s">
        <v>13</v>
      </c>
      <c r="R1235" s="82" t="str">
        <f aca="false">VLOOKUP(J1235,ingredient!$N$4:$O$553,2,0)</f>
        <v>hari mirchi</v>
      </c>
      <c r="U1235" s="81" t="str">
        <f aca="false">I1235</f>
        <v>KURMURA SPICY</v>
      </c>
      <c r="V1235" s="81" t="n">
        <f aca="false">VLOOKUP(U1235,recipe_ingred_list!$A$2:$B$300,2,0)</f>
        <v>40</v>
      </c>
      <c r="W1235" s="81" t="str">
        <f aca="false">"/recipes/"&amp;VLOOKUP(U1235,recipe_ingred_list!$A$2:$C$300,3,0)&amp;"/detail/"</f>
        <v>/recipes/kurmura-spicy/detail/</v>
      </c>
      <c r="X1235" s="81" t="str">
        <f aca="false">J1235</f>
        <v>green chily (long cut)</v>
      </c>
      <c r="Y1235" s="81" t="str">
        <f aca="false">R1235</f>
        <v>hari mirchi</v>
      </c>
      <c r="Z1235" s="94" t="n">
        <f aca="false">VLOOKUP(Y1235,recipe_ingred_list!$D$2:$E$500,2,0)</f>
        <v>93</v>
      </c>
      <c r="AA1235" s="61" t="n">
        <f aca="false">K1235</f>
        <v>0</v>
      </c>
      <c r="AB1235" s="61" t="n">
        <f aca="false">L1235</f>
        <v>0</v>
      </c>
      <c r="AC1235" s="61" t="n">
        <f aca="false">VLOOKUP(AB1235,recipe_ingred_list!$K$2:$M$7,3,0)</f>
        <v>2</v>
      </c>
      <c r="AD1235" s="61" t="n">
        <f aca="false">M1235</f>
        <v>1</v>
      </c>
      <c r="AE1235" s="61" t="str">
        <f aca="false">N1235</f>
        <v>ltr</v>
      </c>
      <c r="AF1235" s="61" t="n">
        <f aca="false">VLOOKUP(AE1235,recipe_ingred_list!$K$16:$M$25,3,0)</f>
        <v>1</v>
      </c>
      <c r="AG1235" s="61" t="n">
        <f aca="false">O1235</f>
        <v>0</v>
      </c>
      <c r="AH1235" s="61" t="n">
        <f aca="false">P1235</f>
        <v>0</v>
      </c>
      <c r="AI1235" s="61" t="n">
        <f aca="false">VLOOKUP(AH1235,recipe_ingred_list!$K$29:$M$34,3,0)</f>
        <v>3</v>
      </c>
      <c r="AJ1235" s="61" t="str">
        <f aca="false">IF(Q1235="","",Q1235)</f>
        <v/>
      </c>
      <c r="AK1235" s="61" t="n">
        <f aca="false">AK1234+1</f>
        <v>1235</v>
      </c>
      <c r="AL1235" s="61" t="str">
        <f aca="false">Y1235</f>
        <v>hari mirchi</v>
      </c>
      <c r="AM1235" s="81" t="str">
        <f aca="false">"a = Client().post('"&amp;W1235&amp;"', {'recipe' : '"&amp;V1235&amp;"', 'ingredient' : '"&amp;Z1235&amp;"', 'name' : '"&amp;X1235&amp;"', 'mass_unit' : '"&amp;AC1235&amp;"', 'mass_quantity' : '"&amp;ROUND(AA1235,3)&amp;"', 'volume_unit' : '"&amp;AF1235&amp;"', 'volume_quantity' : '"&amp;ROUND(AD1235,3)&amp;"', 'pieces_unit' : '"&amp;AI1235&amp;"', 'pieces_quantity' : '"&amp;ROUND(AG1235,3)&amp;"', 'cooking_notes' : '"&amp;AJ1235&amp;"'}).status_code; print('%s :: %s :: %s :: %s :: %s' %(a,"&amp;G1235&amp;",'"&amp;X1235&amp;"','"&amp;Y1235&amp;"','"&amp;U1235&amp;"'))"</f>
        <v>a = Client().post('/recipes/kurmura-spicy/detail/', {'recipe' : '40', 'ingredient' : '93', 'name' : 'green chily (long cut)', 'mass_unit' : '2', 'mass_quantity' : '0', 'volume_unit' : '1', 'volume_quantity' : '1', 'pieces_unit' : '3', 'pieces_quantity' : '0', 'cooking_notes' : ''}).status_code; print('%s :: %s :: %s :: %s :: %s' %(a,1235,'green chily (long cut)','hari mirchi','KURMURA SPICY'))</v>
      </c>
    </row>
    <row r="1236" customFormat="false" ht="13.8" hidden="false" customHeight="false" outlineLevel="0" collapsed="false">
      <c r="G1236" s="80" t="n">
        <v>1236</v>
      </c>
      <c r="H1236" s="83"/>
      <c r="I1236" s="83" t="s">
        <v>229</v>
      </c>
      <c r="J1236" s="83" t="s">
        <v>38</v>
      </c>
      <c r="M1236" s="61" t="n">
        <v>1</v>
      </c>
      <c r="N1236" s="61" t="s">
        <v>13</v>
      </c>
      <c r="R1236" s="82" t="str">
        <f aca="false">VLOOKUP(J1236,ingredient!$N$4:$O$553,2,0)</f>
        <v>kadi patta</v>
      </c>
      <c r="U1236" s="81" t="str">
        <f aca="false">I1236</f>
        <v>KURMURA SPICY</v>
      </c>
      <c r="V1236" s="81" t="n">
        <f aca="false">VLOOKUP(U1236,recipe_ingred_list!$A$2:$B$300,2,0)</f>
        <v>40</v>
      </c>
      <c r="W1236" s="81" t="str">
        <f aca="false">"/recipes/"&amp;VLOOKUP(U1236,recipe_ingred_list!$A$2:$C$300,3,0)&amp;"/detail/"</f>
        <v>/recipes/kurmura-spicy/detail/</v>
      </c>
      <c r="X1236" s="81" t="str">
        <f aca="false">J1236</f>
        <v>kadi patta</v>
      </c>
      <c r="Y1236" s="81" t="str">
        <f aca="false">R1236</f>
        <v>kadi patta</v>
      </c>
      <c r="Z1236" s="94" t="n">
        <f aca="false">VLOOKUP(Y1236,recipe_ingred_list!$D$2:$E$500,2,0)</f>
        <v>105</v>
      </c>
      <c r="AA1236" s="61" t="n">
        <f aca="false">K1236</f>
        <v>0</v>
      </c>
      <c r="AB1236" s="61" t="n">
        <f aca="false">L1236</f>
        <v>0</v>
      </c>
      <c r="AC1236" s="61" t="n">
        <f aca="false">VLOOKUP(AB1236,recipe_ingred_list!$K$2:$M$7,3,0)</f>
        <v>2</v>
      </c>
      <c r="AD1236" s="61" t="n">
        <f aca="false">M1236</f>
        <v>1</v>
      </c>
      <c r="AE1236" s="61" t="str">
        <f aca="false">N1236</f>
        <v>ltr</v>
      </c>
      <c r="AF1236" s="61" t="n">
        <f aca="false">VLOOKUP(AE1236,recipe_ingred_list!$K$16:$M$25,3,0)</f>
        <v>1</v>
      </c>
      <c r="AG1236" s="61" t="n">
        <f aca="false">O1236</f>
        <v>0</v>
      </c>
      <c r="AH1236" s="61" t="n">
        <f aca="false">P1236</f>
        <v>0</v>
      </c>
      <c r="AI1236" s="61" t="n">
        <f aca="false">VLOOKUP(AH1236,recipe_ingred_list!$K$29:$M$34,3,0)</f>
        <v>3</v>
      </c>
      <c r="AJ1236" s="61" t="str">
        <f aca="false">IF(Q1236="","",Q1236)</f>
        <v/>
      </c>
      <c r="AK1236" s="61" t="n">
        <f aca="false">AK1235+1</f>
        <v>1236</v>
      </c>
      <c r="AL1236" s="61" t="str">
        <f aca="false">Y1236</f>
        <v>kadi patta</v>
      </c>
      <c r="AM1236" s="81" t="str">
        <f aca="false">"a = Client().post('"&amp;W1236&amp;"', {'recipe' : '"&amp;V1236&amp;"', 'ingredient' : '"&amp;Z1236&amp;"', 'name' : '"&amp;X1236&amp;"', 'mass_unit' : '"&amp;AC1236&amp;"', 'mass_quantity' : '"&amp;ROUND(AA1236,3)&amp;"', 'volume_unit' : '"&amp;AF1236&amp;"', 'volume_quantity' : '"&amp;ROUND(AD1236,3)&amp;"', 'pieces_unit' : '"&amp;AI1236&amp;"', 'pieces_quantity' : '"&amp;ROUND(AG1236,3)&amp;"', 'cooking_notes' : '"&amp;AJ1236&amp;"'}).status_code; print('%s :: %s :: %s :: %s :: %s' %(a,"&amp;G1236&amp;",'"&amp;X1236&amp;"','"&amp;Y1236&amp;"','"&amp;U1236&amp;"'))"</f>
        <v>a = Client().post('/recipes/kurmura-spicy/detail/', {'recipe' : '40', 'ingredient' : '105', 'name' : 'kadi patta', 'mass_unit' : '2', 'mass_quantity' : '0', 'volume_unit' : '1', 'volume_quantity' : '1', 'pieces_unit' : '3', 'pieces_quantity' : '0', 'cooking_notes' : ''}).status_code; print('%s :: %s :: %s :: %s :: %s' %(a,1236,'kadi patta','kadi patta','KURMURA SPICY'))</v>
      </c>
    </row>
    <row r="1237" customFormat="false" ht="13.8" hidden="false" customHeight="false" outlineLevel="0" collapsed="false">
      <c r="G1237" s="80" t="n">
        <v>1237</v>
      </c>
      <c r="H1237" s="83"/>
      <c r="I1237" s="83" t="s">
        <v>229</v>
      </c>
      <c r="J1237" s="83" t="s">
        <v>421</v>
      </c>
      <c r="K1237" s="61" t="n">
        <v>10</v>
      </c>
      <c r="L1237" s="61" t="s">
        <v>7</v>
      </c>
      <c r="R1237" s="82" t="str">
        <f aca="false">VLOOKUP(J1237,ingredient!$N$4:$O$553,2,0)</f>
        <v>kurmura</v>
      </c>
      <c r="U1237" s="81" t="str">
        <f aca="false">I1237</f>
        <v>KURMURA SPICY</v>
      </c>
      <c r="V1237" s="81" t="n">
        <f aca="false">VLOOKUP(U1237,recipe_ingred_list!$A$2:$B$300,2,0)</f>
        <v>40</v>
      </c>
      <c r="W1237" s="81" t="str">
        <f aca="false">"/recipes/"&amp;VLOOKUP(U1237,recipe_ingred_list!$A$2:$C$300,3,0)&amp;"/detail/"</f>
        <v>/recipes/kurmura-spicy/detail/</v>
      </c>
      <c r="X1237" s="81" t="str">
        <f aca="false">J1237</f>
        <v>kurmura</v>
      </c>
      <c r="Y1237" s="81" t="str">
        <f aca="false">R1237</f>
        <v>kurmura</v>
      </c>
      <c r="Z1237" s="94" t="n">
        <f aca="false">VLOOKUP(Y1237,recipe_ingred_list!$D$2:$E$500,2,0)</f>
        <v>126</v>
      </c>
      <c r="AA1237" s="61" t="n">
        <f aca="false">K1237</f>
        <v>10</v>
      </c>
      <c r="AB1237" s="61" t="str">
        <f aca="false">L1237</f>
        <v>kg</v>
      </c>
      <c r="AC1237" s="61" t="n">
        <f aca="false">VLOOKUP(AB1237,recipe_ingred_list!$K$2:$M$7,3,0)</f>
        <v>2</v>
      </c>
      <c r="AD1237" s="61" t="n">
        <f aca="false">M1237</f>
        <v>0</v>
      </c>
      <c r="AE1237" s="61" t="n">
        <f aca="false">N1237</f>
        <v>0</v>
      </c>
      <c r="AF1237" s="61" t="n">
        <f aca="false">VLOOKUP(AE1237,recipe_ingred_list!$K$16:$M$25,3,0)</f>
        <v>1</v>
      </c>
      <c r="AG1237" s="61" t="n">
        <f aca="false">O1237</f>
        <v>0</v>
      </c>
      <c r="AH1237" s="61" t="n">
        <f aca="false">P1237</f>
        <v>0</v>
      </c>
      <c r="AI1237" s="61" t="n">
        <f aca="false">VLOOKUP(AH1237,recipe_ingred_list!$K$29:$M$34,3,0)</f>
        <v>3</v>
      </c>
      <c r="AJ1237" s="61" t="str">
        <f aca="false">IF(Q1237="","",Q1237)</f>
        <v/>
      </c>
      <c r="AK1237" s="61" t="n">
        <f aca="false">AK1236+1</f>
        <v>1237</v>
      </c>
      <c r="AL1237" s="61" t="str">
        <f aca="false">Y1237</f>
        <v>kurmura</v>
      </c>
      <c r="AM1237" s="81" t="str">
        <f aca="false">"a = Client().post('"&amp;W1237&amp;"', {'recipe' : '"&amp;V1237&amp;"', 'ingredient' : '"&amp;Z1237&amp;"', 'name' : '"&amp;X1237&amp;"', 'mass_unit' : '"&amp;AC1237&amp;"', 'mass_quantity' : '"&amp;ROUND(AA1237,3)&amp;"', 'volume_unit' : '"&amp;AF1237&amp;"', 'volume_quantity' : '"&amp;ROUND(AD1237,3)&amp;"', 'pieces_unit' : '"&amp;AI1237&amp;"', 'pieces_quantity' : '"&amp;ROUND(AG1237,3)&amp;"', 'cooking_notes' : '"&amp;AJ1237&amp;"'}).status_code; print('%s :: %s :: %s :: %s :: %s' %(a,"&amp;G1237&amp;",'"&amp;X1237&amp;"','"&amp;Y1237&amp;"','"&amp;U1237&amp;"'))"</f>
        <v>a = Client().post('/recipes/kurmura-spicy/detail/', {'recipe' : '40', 'ingredient' : '126', 'name' : 'kurmura', 'mass_unit' : '2', 'mass_quantity' : '10', 'volume_unit' : '1', 'volume_quantity' : '0', 'pieces_unit' : '3', 'pieces_quantity' : '0', 'cooking_notes' : ''}).status_code; print('%s :: %s :: %s :: %s :: %s' %(a,1237,'kurmura','kurmura','KURMURA SPICY'))</v>
      </c>
    </row>
    <row r="1238" customFormat="false" ht="13.8" hidden="false" customHeight="false" outlineLevel="0" collapsed="false">
      <c r="G1238" s="80" t="n">
        <v>1238</v>
      </c>
      <c r="H1238" s="83"/>
      <c r="I1238" s="83" t="s">
        <v>229</v>
      </c>
      <c r="J1238" s="83" t="s">
        <v>915</v>
      </c>
      <c r="K1238" s="61" t="n">
        <v>2</v>
      </c>
      <c r="L1238" s="61" t="s">
        <v>7</v>
      </c>
      <c r="R1238" s="82" t="str">
        <f aca="false">VLOOKUP(J1238,ingredient!$N$4:$O$553,2,0)</f>
        <v>singdana</v>
      </c>
      <c r="U1238" s="81" t="str">
        <f aca="false">I1238</f>
        <v>KURMURA SPICY</v>
      </c>
      <c r="V1238" s="81" t="n">
        <f aca="false">VLOOKUP(U1238,recipe_ingred_list!$A$2:$B$300,2,0)</f>
        <v>40</v>
      </c>
      <c r="W1238" s="81" t="str">
        <f aca="false">"/recipes/"&amp;VLOOKUP(U1238,recipe_ingred_list!$A$2:$C$300,3,0)&amp;"/detail/"</f>
        <v>/recipes/kurmura-spicy/detail/</v>
      </c>
      <c r="X1238" s="81" t="str">
        <f aca="false">J1238</f>
        <v>ground nut akkha</v>
      </c>
      <c r="Y1238" s="81" t="str">
        <f aca="false">R1238</f>
        <v>singdana</v>
      </c>
      <c r="Z1238" s="94" t="n">
        <f aca="false">VLOOKUP(Y1238,recipe_ingred_list!$D$2:$E$500,2,0)</f>
        <v>183</v>
      </c>
      <c r="AA1238" s="61" t="n">
        <f aca="false">K1238</f>
        <v>2</v>
      </c>
      <c r="AB1238" s="61" t="str">
        <f aca="false">L1238</f>
        <v>kg</v>
      </c>
      <c r="AC1238" s="61" t="n">
        <f aca="false">VLOOKUP(AB1238,recipe_ingred_list!$K$2:$M$7,3,0)</f>
        <v>2</v>
      </c>
      <c r="AD1238" s="61" t="n">
        <f aca="false">M1238</f>
        <v>0</v>
      </c>
      <c r="AE1238" s="61" t="n">
        <f aca="false">N1238</f>
        <v>0</v>
      </c>
      <c r="AF1238" s="61" t="n">
        <f aca="false">VLOOKUP(AE1238,recipe_ingred_list!$K$16:$M$25,3,0)</f>
        <v>1</v>
      </c>
      <c r="AG1238" s="61" t="n">
        <f aca="false">O1238</f>
        <v>0</v>
      </c>
      <c r="AH1238" s="61" t="n">
        <f aca="false">P1238</f>
        <v>0</v>
      </c>
      <c r="AI1238" s="61" t="n">
        <f aca="false">VLOOKUP(AH1238,recipe_ingred_list!$K$29:$M$34,3,0)</f>
        <v>3</v>
      </c>
      <c r="AJ1238" s="61" t="str">
        <f aca="false">IF(Q1238="","",Q1238)</f>
        <v/>
      </c>
      <c r="AK1238" s="61" t="n">
        <f aca="false">AK1237+1</f>
        <v>1238</v>
      </c>
      <c r="AL1238" s="61" t="str">
        <f aca="false">Y1238</f>
        <v>singdana</v>
      </c>
      <c r="AM1238" s="81" t="str">
        <f aca="false">"a = Client().post('"&amp;W1238&amp;"', {'recipe' : '"&amp;V1238&amp;"', 'ingredient' : '"&amp;Z1238&amp;"', 'name' : '"&amp;X1238&amp;"', 'mass_unit' : '"&amp;AC1238&amp;"', 'mass_quantity' : '"&amp;ROUND(AA1238,3)&amp;"', 'volume_unit' : '"&amp;AF1238&amp;"', 'volume_quantity' : '"&amp;ROUND(AD1238,3)&amp;"', 'pieces_unit' : '"&amp;AI1238&amp;"', 'pieces_quantity' : '"&amp;ROUND(AG1238,3)&amp;"', 'cooking_notes' : '"&amp;AJ1238&amp;"'}).status_code; print('%s :: %s :: %s :: %s :: %s' %(a,"&amp;G1238&amp;",'"&amp;X1238&amp;"','"&amp;Y1238&amp;"','"&amp;U1238&amp;"'))"</f>
        <v>a = Client().post('/recipes/kurmura-spicy/detail/', {'recipe' : '40', 'ingredient' : '183', 'name' : 'ground nut akkha', 'mass_unit' : '2', 'mass_quantity' : '2', 'volume_unit' : '1', 'volume_quantity' : '0', 'pieces_unit' : '3', 'pieces_quantity' : '0', 'cooking_notes' : ''}).status_code; print('%s :: %s :: %s :: %s :: %s' %(a,1238,'ground nut akkha','singdana','KURMURA SPICY'))</v>
      </c>
    </row>
    <row r="1239" customFormat="false" ht="13.8" hidden="false" customHeight="false" outlineLevel="0" collapsed="false">
      <c r="G1239" s="80" t="n">
        <v>1239</v>
      </c>
      <c r="H1239" s="83"/>
      <c r="I1239" s="83" t="s">
        <v>229</v>
      </c>
      <c r="J1239" s="83" t="s">
        <v>916</v>
      </c>
      <c r="K1239" s="61" t="n">
        <v>1.5</v>
      </c>
      <c r="L1239" s="61" t="s">
        <v>7</v>
      </c>
      <c r="R1239" s="82" t="str">
        <f aca="false">VLOOKUP(J1239,ingredient!$N$4:$O$553,2,0)</f>
        <v>daliya</v>
      </c>
      <c r="U1239" s="81" t="str">
        <f aca="false">I1239</f>
        <v>KURMURA SPICY</v>
      </c>
      <c r="V1239" s="81" t="n">
        <f aca="false">VLOOKUP(U1239,recipe_ingred_list!$A$2:$B$300,2,0)</f>
        <v>40</v>
      </c>
      <c r="W1239" s="81" t="str">
        <f aca="false">"/recipes/"&amp;VLOOKUP(U1239,recipe_ingred_list!$A$2:$C$300,3,0)&amp;"/detail/"</f>
        <v>/recipes/kurmura-spicy/detail/</v>
      </c>
      <c r="X1239" s="81" t="str">
        <f aca="false">J1239</f>
        <v>daliya roasted</v>
      </c>
      <c r="Y1239" s="81" t="str">
        <f aca="false">R1239</f>
        <v>daliya</v>
      </c>
      <c r="Z1239" s="94" t="n">
        <f aca="false">VLOOKUP(Y1239,recipe_ingred_list!$D$2:$E$500,2,0)</f>
        <v>62</v>
      </c>
      <c r="AA1239" s="61" t="n">
        <f aca="false">K1239</f>
        <v>1.5</v>
      </c>
      <c r="AB1239" s="61" t="str">
        <f aca="false">L1239</f>
        <v>kg</v>
      </c>
      <c r="AC1239" s="61" t="n">
        <f aca="false">VLOOKUP(AB1239,recipe_ingred_list!$K$2:$M$7,3,0)</f>
        <v>2</v>
      </c>
      <c r="AD1239" s="61" t="n">
        <f aca="false">M1239</f>
        <v>0</v>
      </c>
      <c r="AE1239" s="61" t="n">
        <f aca="false">N1239</f>
        <v>0</v>
      </c>
      <c r="AF1239" s="61" t="n">
        <f aca="false">VLOOKUP(AE1239,recipe_ingred_list!$K$16:$M$25,3,0)</f>
        <v>1</v>
      </c>
      <c r="AG1239" s="61" t="n">
        <f aca="false">O1239</f>
        <v>0</v>
      </c>
      <c r="AH1239" s="61" t="n">
        <f aca="false">P1239</f>
        <v>0</v>
      </c>
      <c r="AI1239" s="61" t="n">
        <f aca="false">VLOOKUP(AH1239,recipe_ingred_list!$K$29:$M$34,3,0)</f>
        <v>3</v>
      </c>
      <c r="AJ1239" s="61" t="str">
        <f aca="false">IF(Q1239="","",Q1239)</f>
        <v/>
      </c>
      <c r="AK1239" s="61" t="n">
        <f aca="false">AK1238+1</f>
        <v>1239</v>
      </c>
      <c r="AL1239" s="61" t="str">
        <f aca="false">Y1239</f>
        <v>daliya</v>
      </c>
      <c r="AM1239" s="81" t="str">
        <f aca="false">"a = Client().post('"&amp;W1239&amp;"', {'recipe' : '"&amp;V1239&amp;"', 'ingredient' : '"&amp;Z1239&amp;"', 'name' : '"&amp;X1239&amp;"', 'mass_unit' : '"&amp;AC1239&amp;"', 'mass_quantity' : '"&amp;ROUND(AA1239,3)&amp;"', 'volume_unit' : '"&amp;AF1239&amp;"', 'volume_quantity' : '"&amp;ROUND(AD1239,3)&amp;"', 'pieces_unit' : '"&amp;AI1239&amp;"', 'pieces_quantity' : '"&amp;ROUND(AG1239,3)&amp;"', 'cooking_notes' : '"&amp;AJ1239&amp;"'}).status_code; print('%s :: %s :: %s :: %s :: %s' %(a,"&amp;G1239&amp;",'"&amp;X1239&amp;"','"&amp;Y1239&amp;"','"&amp;U1239&amp;"'))"</f>
        <v>a = Client().post('/recipes/kurmura-spicy/detail/', {'recipe' : '40', 'ingredient' : '62', 'name' : 'daliya roasted', 'mass_unit' : '2', 'mass_quantity' : '1.5', 'volume_unit' : '1', 'volume_quantity' : '0', 'pieces_unit' : '3', 'pieces_quantity' : '0', 'cooking_notes' : ''}).status_code; print('%s :: %s :: %s :: %s :: %s' %(a,1239,'daliya roasted','daliya','KURMURA SPICY'))</v>
      </c>
    </row>
    <row r="1240" customFormat="false" ht="13.8" hidden="false" customHeight="false" outlineLevel="0" collapsed="false">
      <c r="G1240" s="80" t="n">
        <v>1240</v>
      </c>
      <c r="H1240" s="83"/>
      <c r="I1240" s="83" t="s">
        <v>229</v>
      </c>
      <c r="J1240" s="83" t="s">
        <v>377</v>
      </c>
      <c r="M1240" s="61" t="n">
        <v>0.5</v>
      </c>
      <c r="N1240" s="61" t="s">
        <v>13</v>
      </c>
      <c r="R1240" s="82" t="str">
        <f aca="false">VLOOKUP(J1240,ingredient!$N$4:$O$553,2,0)</f>
        <v>ground nut oil</v>
      </c>
      <c r="U1240" s="81" t="str">
        <f aca="false">I1240</f>
        <v>KURMURA SPICY</v>
      </c>
      <c r="V1240" s="81" t="n">
        <f aca="false">VLOOKUP(U1240,recipe_ingred_list!$A$2:$B$300,2,0)</f>
        <v>40</v>
      </c>
      <c r="W1240" s="81" t="str">
        <f aca="false">"/recipes/"&amp;VLOOKUP(U1240,recipe_ingred_list!$A$2:$C$300,3,0)&amp;"/detail/"</f>
        <v>/recipes/kurmura-spicy/detail/</v>
      </c>
      <c r="X1240" s="81" t="str">
        <f aca="false">J1240</f>
        <v>ground nut oil</v>
      </c>
      <c r="Y1240" s="81" t="str">
        <f aca="false">R1240</f>
        <v>ground nut oil</v>
      </c>
      <c r="Z1240" s="94" t="n">
        <f aca="false">VLOOKUP(Y1240,recipe_ingred_list!$D$2:$E$500,2,0)</f>
        <v>89</v>
      </c>
      <c r="AA1240" s="61" t="n">
        <f aca="false">K1240</f>
        <v>0</v>
      </c>
      <c r="AB1240" s="61" t="n">
        <f aca="false">L1240</f>
        <v>0</v>
      </c>
      <c r="AC1240" s="61" t="n">
        <f aca="false">VLOOKUP(AB1240,recipe_ingred_list!$K$2:$M$7,3,0)</f>
        <v>2</v>
      </c>
      <c r="AD1240" s="61" t="n">
        <f aca="false">M1240</f>
        <v>0.5</v>
      </c>
      <c r="AE1240" s="61" t="str">
        <f aca="false">N1240</f>
        <v>ltr</v>
      </c>
      <c r="AF1240" s="61" t="n">
        <f aca="false">VLOOKUP(AE1240,recipe_ingred_list!$K$16:$M$25,3,0)</f>
        <v>1</v>
      </c>
      <c r="AG1240" s="61" t="n">
        <f aca="false">O1240</f>
        <v>0</v>
      </c>
      <c r="AH1240" s="61" t="n">
        <f aca="false">P1240</f>
        <v>0</v>
      </c>
      <c r="AI1240" s="61" t="n">
        <f aca="false">VLOOKUP(AH1240,recipe_ingred_list!$K$29:$M$34,3,0)</f>
        <v>3</v>
      </c>
      <c r="AJ1240" s="61" t="str">
        <f aca="false">IF(Q1240="","",Q1240)</f>
        <v/>
      </c>
      <c r="AK1240" s="61" t="n">
        <f aca="false">AK1239+1</f>
        <v>1240</v>
      </c>
      <c r="AL1240" s="61" t="str">
        <f aca="false">Y1240</f>
        <v>ground nut oil</v>
      </c>
      <c r="AM1240" s="81" t="str">
        <f aca="false">"a = Client().post('"&amp;W1240&amp;"', {'recipe' : '"&amp;V1240&amp;"', 'ingredient' : '"&amp;Z1240&amp;"', 'name' : '"&amp;X1240&amp;"', 'mass_unit' : '"&amp;AC1240&amp;"', 'mass_quantity' : '"&amp;ROUND(AA1240,3)&amp;"', 'volume_unit' : '"&amp;AF1240&amp;"', 'volume_quantity' : '"&amp;ROUND(AD1240,3)&amp;"', 'pieces_unit' : '"&amp;AI1240&amp;"', 'pieces_quantity' : '"&amp;ROUND(AG1240,3)&amp;"', 'cooking_notes' : '"&amp;AJ1240&amp;"'}).status_code; print('%s :: %s :: %s :: %s :: %s' %(a,"&amp;G1240&amp;",'"&amp;X1240&amp;"','"&amp;Y1240&amp;"','"&amp;U1240&amp;"'))"</f>
        <v>a = Client().post('/recipes/kurmura-spicy/detail/', {'recipe' : '40', 'ingredient' : '89', 'name' : 'ground nut oil', 'mass_unit' : '2', 'mass_quantity' : '0', 'volume_unit' : '1', 'volume_quantity' : '0.5', 'pieces_unit' : '3', 'pieces_quantity' : '0', 'cooking_notes' : ''}).status_code; print('%s :: %s :: %s :: %s :: %s' %(a,1240,'ground nut oil','ground nut oil','KURMURA SPICY'))</v>
      </c>
    </row>
    <row r="1241" customFormat="false" ht="13.8" hidden="false" customHeight="false" outlineLevel="0" collapsed="false">
      <c r="G1241" s="80" t="n">
        <v>1241</v>
      </c>
      <c r="H1241" s="83"/>
      <c r="I1241" s="83" t="s">
        <v>229</v>
      </c>
      <c r="J1241" s="83" t="s">
        <v>96</v>
      </c>
      <c r="M1241" s="61" t="n">
        <v>1</v>
      </c>
      <c r="N1241" s="61" t="s">
        <v>20</v>
      </c>
      <c r="R1241" s="82" t="str">
        <f aca="false">VLOOKUP(J1241,ingredient!$N$4:$O$553,2,0)</f>
        <v>salt</v>
      </c>
      <c r="U1241" s="81" t="str">
        <f aca="false">I1241</f>
        <v>KURMURA SPICY</v>
      </c>
      <c r="V1241" s="81" t="n">
        <f aca="false">VLOOKUP(U1241,recipe_ingred_list!$A$2:$B$300,2,0)</f>
        <v>40</v>
      </c>
      <c r="W1241" s="81" t="str">
        <f aca="false">"/recipes/"&amp;VLOOKUP(U1241,recipe_ingred_list!$A$2:$C$300,3,0)&amp;"/detail/"</f>
        <v>/recipes/kurmura-spicy/detail/</v>
      </c>
      <c r="X1241" s="81" t="str">
        <f aca="false">J1241</f>
        <v>salt</v>
      </c>
      <c r="Y1241" s="81" t="str">
        <f aca="false">R1241</f>
        <v>salt</v>
      </c>
      <c r="Z1241" s="94" t="n">
        <f aca="false">VLOOKUP(Y1241,recipe_ingred_list!$D$2:$E$500,2,0)</f>
        <v>177</v>
      </c>
      <c r="AA1241" s="61" t="n">
        <f aca="false">K1241</f>
        <v>0</v>
      </c>
      <c r="AB1241" s="61" t="n">
        <f aca="false">L1241</f>
        <v>0</v>
      </c>
      <c r="AC1241" s="61" t="n">
        <f aca="false">VLOOKUP(AB1241,recipe_ingred_list!$K$2:$M$7,3,0)</f>
        <v>2</v>
      </c>
      <c r="AD1241" s="61" t="n">
        <f aca="false">M1241</f>
        <v>1</v>
      </c>
      <c r="AE1241" s="61" t="str">
        <f aca="false">N1241</f>
        <v>cup</v>
      </c>
      <c r="AF1241" s="61" t="n">
        <f aca="false">VLOOKUP(AE1241,recipe_ingred_list!$K$16:$M$25,3,0)</f>
        <v>5</v>
      </c>
      <c r="AG1241" s="61" t="n">
        <f aca="false">O1241</f>
        <v>0</v>
      </c>
      <c r="AH1241" s="61" t="n">
        <f aca="false">P1241</f>
        <v>0</v>
      </c>
      <c r="AI1241" s="61" t="n">
        <f aca="false">VLOOKUP(AH1241,recipe_ingred_list!$K$29:$M$34,3,0)</f>
        <v>3</v>
      </c>
      <c r="AJ1241" s="61" t="str">
        <f aca="false">IF(Q1241="","",Q1241)</f>
        <v/>
      </c>
      <c r="AK1241" s="61" t="n">
        <f aca="false">AK1240+1</f>
        <v>1241</v>
      </c>
      <c r="AL1241" s="61" t="str">
        <f aca="false">Y1241</f>
        <v>salt</v>
      </c>
      <c r="AM1241" s="81" t="str">
        <f aca="false">"a = Client().post('"&amp;W1241&amp;"', {'recipe' : '"&amp;V1241&amp;"', 'ingredient' : '"&amp;Z1241&amp;"', 'name' : '"&amp;X1241&amp;"', 'mass_unit' : '"&amp;AC1241&amp;"', 'mass_quantity' : '"&amp;ROUND(AA1241,3)&amp;"', 'volume_unit' : '"&amp;AF1241&amp;"', 'volume_quantity' : '"&amp;ROUND(AD1241,3)&amp;"', 'pieces_unit' : '"&amp;AI1241&amp;"', 'pieces_quantity' : '"&amp;ROUND(AG1241,3)&amp;"', 'cooking_notes' : '"&amp;AJ1241&amp;"'}).status_code; print('%s :: %s :: %s :: %s :: %s' %(a,"&amp;G1241&amp;",'"&amp;X1241&amp;"','"&amp;Y1241&amp;"','"&amp;U1241&amp;"'))"</f>
        <v>a = Client().post('/recipes/kurmura-spicy/detail/', {'recipe' : '40', 'ingredient' : '177', 'name' : 'salt', 'mass_unit' : '2', 'mass_quantity' : '0', 'volume_unit' : '5', 'volume_quantity' : '1', 'pieces_unit' : '3', 'pieces_quantity' : '0', 'cooking_notes' : ''}).status_code; print('%s :: %s :: %s :: %s :: %s' %(a,1241,'salt','salt','KURMURA SPICY'))</v>
      </c>
    </row>
    <row r="1242" customFormat="false" ht="13.8" hidden="false" customHeight="false" outlineLevel="0" collapsed="false">
      <c r="G1242" s="80" t="n">
        <v>1242</v>
      </c>
      <c r="H1242" s="83"/>
      <c r="I1242" s="83" t="s">
        <v>229</v>
      </c>
      <c r="J1242" s="83" t="s">
        <v>858</v>
      </c>
      <c r="M1242" s="61" t="n">
        <v>1</v>
      </c>
      <c r="N1242" s="61" t="s">
        <v>13</v>
      </c>
      <c r="R1242" s="82" t="str">
        <f aca="false">VLOOKUP(J1242,ingredient!$N$4:$O$553,2,0)</f>
        <v>akkha madrasi mirchi</v>
      </c>
      <c r="U1242" s="81" t="str">
        <f aca="false">I1242</f>
        <v>KURMURA SPICY</v>
      </c>
      <c r="V1242" s="81" t="n">
        <f aca="false">VLOOKUP(U1242,recipe_ingred_list!$A$2:$B$300,2,0)</f>
        <v>40</v>
      </c>
      <c r="W1242" s="81" t="str">
        <f aca="false">"/recipes/"&amp;VLOOKUP(U1242,recipe_ingred_list!$A$2:$C$300,3,0)&amp;"/detail/"</f>
        <v>/recipes/kurmura-spicy/detail/</v>
      </c>
      <c r="X1242" s="81" t="str">
        <f aca="false">J1242</f>
        <v>akkha madrasi mirch</v>
      </c>
      <c r="Y1242" s="81" t="str">
        <f aca="false">R1242</f>
        <v>akkha madrasi mirchi</v>
      </c>
      <c r="Z1242" s="94" t="n">
        <f aca="false">VLOOKUP(Y1242,recipe_ingred_list!$D$2:$E$500,2,0)</f>
        <v>6</v>
      </c>
      <c r="AA1242" s="61" t="n">
        <f aca="false">K1242</f>
        <v>0</v>
      </c>
      <c r="AB1242" s="61" t="n">
        <f aca="false">L1242</f>
        <v>0</v>
      </c>
      <c r="AC1242" s="61" t="n">
        <f aca="false">VLOOKUP(AB1242,recipe_ingred_list!$K$2:$M$7,3,0)</f>
        <v>2</v>
      </c>
      <c r="AD1242" s="61" t="n">
        <f aca="false">M1242</f>
        <v>1</v>
      </c>
      <c r="AE1242" s="61" t="str">
        <f aca="false">N1242</f>
        <v>ltr</v>
      </c>
      <c r="AF1242" s="61" t="n">
        <f aca="false">VLOOKUP(AE1242,recipe_ingred_list!$K$16:$M$25,3,0)</f>
        <v>1</v>
      </c>
      <c r="AG1242" s="61" t="n">
        <f aca="false">O1242</f>
        <v>0</v>
      </c>
      <c r="AH1242" s="61" t="n">
        <f aca="false">P1242</f>
        <v>0</v>
      </c>
      <c r="AI1242" s="61" t="n">
        <f aca="false">VLOOKUP(AH1242,recipe_ingred_list!$K$29:$M$34,3,0)</f>
        <v>3</v>
      </c>
      <c r="AJ1242" s="61" t="str">
        <f aca="false">IF(Q1242="","",Q1242)</f>
        <v/>
      </c>
      <c r="AK1242" s="61" t="n">
        <f aca="false">AK1241+1</f>
        <v>1242</v>
      </c>
      <c r="AL1242" s="61" t="str">
        <f aca="false">Y1242</f>
        <v>akkha madrasi mirchi</v>
      </c>
      <c r="AM1242" s="81" t="str">
        <f aca="false">"a = Client().post('"&amp;W1242&amp;"', {'recipe' : '"&amp;V1242&amp;"', 'ingredient' : '"&amp;Z1242&amp;"', 'name' : '"&amp;X1242&amp;"', 'mass_unit' : '"&amp;AC1242&amp;"', 'mass_quantity' : '"&amp;ROUND(AA1242,3)&amp;"', 'volume_unit' : '"&amp;AF1242&amp;"', 'volume_quantity' : '"&amp;ROUND(AD1242,3)&amp;"', 'pieces_unit' : '"&amp;AI1242&amp;"', 'pieces_quantity' : '"&amp;ROUND(AG1242,3)&amp;"', 'cooking_notes' : '"&amp;AJ1242&amp;"'}).status_code; print('%s :: %s :: %s :: %s :: %s' %(a,"&amp;G1242&amp;",'"&amp;X1242&amp;"','"&amp;Y1242&amp;"','"&amp;U1242&amp;"'))"</f>
        <v>a = Client().post('/recipes/kurmura-spicy/detail/', {'recipe' : '40', 'ingredient' : '6', 'name' : 'akkha madrasi mirch', 'mass_unit' : '2', 'mass_quantity' : '0', 'volume_unit' : '1', 'volume_quantity' : '1', 'pieces_unit' : '3', 'pieces_quantity' : '0', 'cooking_notes' : ''}).status_code; print('%s :: %s :: %s :: %s :: %s' %(a,1242,'akkha madrasi mirch','akkha madrasi mirchi','KURMURA SPICY'))</v>
      </c>
    </row>
    <row r="1243" customFormat="false" ht="13.8" hidden="false" customHeight="false" outlineLevel="0" collapsed="false">
      <c r="G1243" s="80" t="n">
        <v>1243</v>
      </c>
      <c r="H1243" s="79"/>
      <c r="I1243" s="79"/>
      <c r="J1243" s="79"/>
      <c r="K1243" s="100"/>
      <c r="L1243" s="100"/>
      <c r="M1243" s="100"/>
      <c r="N1243" s="100"/>
      <c r="O1243" s="100"/>
      <c r="P1243" s="100"/>
      <c r="Q1243" s="102"/>
      <c r="R1243" s="99" t="e">
        <f aca="false">VLOOKUP(J1243,ingredient!$N$4:$O$553,2,0)</f>
        <v>#N/A</v>
      </c>
      <c r="S1243" s="98"/>
      <c r="T1243" s="98"/>
      <c r="U1243" s="81" t="n">
        <f aca="false">I1243</f>
        <v>0</v>
      </c>
      <c r="V1243" s="81" t="e">
        <f aca="false">VLOOKUP(U1243,recipe_ingred_list!$A$2:$B$300,2,0)</f>
        <v>#N/A</v>
      </c>
      <c r="W1243" s="81" t="e">
        <f aca="false">"/recipes/"&amp;VLOOKUP(U1243,recipe_ingred_list!$A$2:$C$300,3,0)&amp;"/detail/"</f>
        <v>#N/A</v>
      </c>
      <c r="X1243" s="81" t="n">
        <f aca="false">J1243</f>
        <v>0</v>
      </c>
      <c r="Y1243" s="81" t="e">
        <f aca="false">R1243</f>
        <v>#N/A</v>
      </c>
      <c r="Z1243" s="94" t="e">
        <f aca="false">VLOOKUP(Y1243,recipe_ingred_list!$D$2:$E$500,2,0)</f>
        <v>#N/A</v>
      </c>
      <c r="AA1243" s="61" t="n">
        <f aca="false">K1243</f>
        <v>0</v>
      </c>
      <c r="AB1243" s="61" t="n">
        <f aca="false">L1243</f>
        <v>0</v>
      </c>
      <c r="AC1243" s="61" t="n">
        <f aca="false">VLOOKUP(AB1243,recipe_ingred_list!$K$2:$M$7,3,0)</f>
        <v>2</v>
      </c>
      <c r="AD1243" s="61" t="n">
        <f aca="false">M1243</f>
        <v>0</v>
      </c>
      <c r="AE1243" s="61" t="n">
        <f aca="false">N1243</f>
        <v>0</v>
      </c>
      <c r="AF1243" s="61" t="n">
        <f aca="false">VLOOKUP(AE1243,recipe_ingred_list!$K$16:$M$25,3,0)</f>
        <v>1</v>
      </c>
      <c r="AG1243" s="61" t="n">
        <f aca="false">O1243</f>
        <v>0</v>
      </c>
      <c r="AH1243" s="61" t="n">
        <f aca="false">P1243</f>
        <v>0</v>
      </c>
      <c r="AI1243" s="61" t="n">
        <f aca="false">VLOOKUP(AH1243,recipe_ingred_list!$K$29:$M$34,3,0)</f>
        <v>3</v>
      </c>
      <c r="AJ1243" s="61" t="str">
        <f aca="false">IF(Q1243="","",Q1243)</f>
        <v/>
      </c>
      <c r="AK1243" s="61" t="n">
        <f aca="false">AK1242+1</f>
        <v>1243</v>
      </c>
      <c r="AL1243" s="61" t="e">
        <f aca="false">Y1243</f>
        <v>#N/A</v>
      </c>
      <c r="AM1243" s="81" t="e">
        <f aca="false">"a = Client().post('"&amp;W1243&amp;"', {'recipe' : '"&amp;V1243&amp;"', 'ingredient' : '"&amp;Z1243&amp;"', 'name' : '"&amp;X1243&amp;"', 'mass_unit' : '"&amp;AC1243&amp;"', 'mass_quantity' : '"&amp;ROUND(AA1243,3)&amp;"', 'volume_unit' : '"&amp;AF1243&amp;"', 'volume_quantity' : '"&amp;ROUND(AD1243,3)&amp;"', 'pieces_unit' : '"&amp;AI1243&amp;"', 'pieces_quantity' : '"&amp;ROUND(AG1243,3)&amp;"', 'cooking_notes' : '"&amp;AJ1243&amp;"'}).status_code; print('%s :: %s :: %s :: %s :: %s' %(a,"&amp;G1243&amp;",'"&amp;X1243&amp;"','"&amp;Y1243&amp;"','"&amp;U1243&amp;"'))"</f>
        <v>#N/A</v>
      </c>
    </row>
    <row r="1244" customFormat="false" ht="13.8" hidden="false" customHeight="false" outlineLevel="0" collapsed="false">
      <c r="G1244" s="80" t="n">
        <v>1244</v>
      </c>
      <c r="H1244" s="83"/>
      <c r="I1244" s="83" t="s">
        <v>334</v>
      </c>
      <c r="J1244" s="83" t="s">
        <v>478</v>
      </c>
      <c r="O1244" s="61" t="n">
        <v>80</v>
      </c>
      <c r="P1244" s="61" t="s">
        <v>107</v>
      </c>
      <c r="R1244" s="82" t="str">
        <f aca="false">VLOOKUP(J1244,ingredient!$N$4:$O$553,2,0)</f>
        <v>sweet corn</v>
      </c>
      <c r="U1244" s="81" t="str">
        <f aca="false">I1244</f>
        <v>SWEET CORN BOILD BHUTTA</v>
      </c>
      <c r="V1244" s="81" t="n">
        <f aca="false">VLOOKUP(U1244,recipe_ingred_list!$A$2:$B$300,2,0)</f>
        <v>75</v>
      </c>
      <c r="W1244" s="81" t="str">
        <f aca="false">"/recipes/"&amp;VLOOKUP(U1244,recipe_ingred_list!$A$2:$C$300,3,0)&amp;"/detail/"</f>
        <v>/recipes/sweet-corn-boild-bhutta/detail/</v>
      </c>
      <c r="X1244" s="81" t="str">
        <f aca="false">J1244</f>
        <v>sweet corn</v>
      </c>
      <c r="Y1244" s="81" t="str">
        <f aca="false">R1244</f>
        <v>sweet corn</v>
      </c>
      <c r="Z1244" s="94" t="n">
        <f aca="false">VLOOKUP(Y1244,recipe_ingred_list!$D$2:$E$500,2,0)</f>
        <v>188</v>
      </c>
      <c r="AA1244" s="61" t="n">
        <f aca="false">K1244</f>
        <v>0</v>
      </c>
      <c r="AB1244" s="61" t="n">
        <f aca="false">L1244</f>
        <v>0</v>
      </c>
      <c r="AC1244" s="61" t="n">
        <f aca="false">VLOOKUP(AB1244,recipe_ingred_list!$K$2:$M$7,3,0)</f>
        <v>2</v>
      </c>
      <c r="AD1244" s="61" t="n">
        <f aca="false">M1244</f>
        <v>0</v>
      </c>
      <c r="AE1244" s="61" t="n">
        <f aca="false">N1244</f>
        <v>0</v>
      </c>
      <c r="AF1244" s="61" t="n">
        <f aca="false">VLOOKUP(AE1244,recipe_ingred_list!$K$16:$M$25,3,0)</f>
        <v>1</v>
      </c>
      <c r="AG1244" s="61" t="n">
        <f aca="false">O1244</f>
        <v>80</v>
      </c>
      <c r="AH1244" s="61" t="str">
        <f aca="false">P1244</f>
        <v>pcs</v>
      </c>
      <c r="AI1244" s="61" t="n">
        <f aca="false">VLOOKUP(AH1244,recipe_ingred_list!$K$29:$M$34,3,0)</f>
        <v>3</v>
      </c>
      <c r="AJ1244" s="61" t="str">
        <f aca="false">IF(Q1244="","",Q1244)</f>
        <v/>
      </c>
      <c r="AK1244" s="61" t="n">
        <f aca="false">AK1243+1</f>
        <v>1244</v>
      </c>
      <c r="AL1244" s="61" t="str">
        <f aca="false">Y1244</f>
        <v>sweet corn</v>
      </c>
      <c r="AM1244" s="81" t="str">
        <f aca="false">"a = Client().post('"&amp;W1244&amp;"', {'recipe' : '"&amp;V1244&amp;"', 'ingredient' : '"&amp;Z1244&amp;"', 'name' : '"&amp;X1244&amp;"', 'mass_unit' : '"&amp;AC1244&amp;"', 'mass_quantity' : '"&amp;ROUND(AA1244,3)&amp;"', 'volume_unit' : '"&amp;AF1244&amp;"', 'volume_quantity' : '"&amp;ROUND(AD1244,3)&amp;"', 'pieces_unit' : '"&amp;AI1244&amp;"', 'pieces_quantity' : '"&amp;ROUND(AG1244,3)&amp;"', 'cooking_notes' : '"&amp;AJ1244&amp;"'}).status_code; print('%s :: %s :: %s :: %s :: %s' %(a,"&amp;G1244&amp;",'"&amp;X1244&amp;"','"&amp;Y1244&amp;"','"&amp;U1244&amp;"'))"</f>
        <v>a = Client().post('/recipes/sweet-corn-boild-bhutta/detail/', {'recipe' : '75', 'ingredient' : '188', 'name' : 'sweet corn', 'mass_unit' : '2', 'mass_quantity' : '0', 'volume_unit' : '1', 'volume_quantity' : '0', 'pieces_unit' : '3', 'pieces_quantity' : '80', 'cooking_notes' : ''}).status_code; print('%s :: %s :: %s :: %s :: %s' %(a,1244,'sweet corn','sweet corn','SWEET CORN BOILD BHUTTA'))</v>
      </c>
    </row>
    <row r="1245" customFormat="false" ht="13.8" hidden="false" customHeight="false" outlineLevel="0" collapsed="false">
      <c r="G1245" s="80" t="n">
        <v>1245</v>
      </c>
      <c r="H1245" s="83"/>
      <c r="I1245" s="83" t="s">
        <v>334</v>
      </c>
      <c r="J1245" s="83" t="s">
        <v>207</v>
      </c>
      <c r="M1245" s="61" t="n">
        <v>0.5</v>
      </c>
      <c r="N1245" s="61" t="s">
        <v>20</v>
      </c>
      <c r="R1245" s="82" t="str">
        <f aca="false">VLOOKUP(J1245,ingredient!$N$4:$O$553,2,0)</f>
        <v>black salt</v>
      </c>
      <c r="U1245" s="81" t="str">
        <f aca="false">I1245</f>
        <v>SWEET CORN BOILD BHUTTA</v>
      </c>
      <c r="V1245" s="81" t="n">
        <f aca="false">VLOOKUP(U1245,recipe_ingred_list!$A$2:$B$300,2,0)</f>
        <v>75</v>
      </c>
      <c r="W1245" s="81" t="str">
        <f aca="false">"/recipes/"&amp;VLOOKUP(U1245,recipe_ingred_list!$A$2:$C$300,3,0)&amp;"/detail/"</f>
        <v>/recipes/sweet-corn-boild-bhutta/detail/</v>
      </c>
      <c r="X1245" s="81" t="str">
        <f aca="false">J1245</f>
        <v>black salt</v>
      </c>
      <c r="Y1245" s="81" t="str">
        <f aca="false">R1245</f>
        <v>black salt</v>
      </c>
      <c r="Z1245" s="94" t="n">
        <f aca="false">VLOOKUP(Y1245,recipe_ingred_list!$D$2:$E$500,2,0)</f>
        <v>32</v>
      </c>
      <c r="AA1245" s="61" t="n">
        <f aca="false">K1245</f>
        <v>0</v>
      </c>
      <c r="AB1245" s="61" t="n">
        <f aca="false">L1245</f>
        <v>0</v>
      </c>
      <c r="AC1245" s="61" t="n">
        <f aca="false">VLOOKUP(AB1245,recipe_ingred_list!$K$2:$M$7,3,0)</f>
        <v>2</v>
      </c>
      <c r="AD1245" s="61" t="n">
        <f aca="false">M1245</f>
        <v>0.5</v>
      </c>
      <c r="AE1245" s="61" t="str">
        <f aca="false">N1245</f>
        <v>cup</v>
      </c>
      <c r="AF1245" s="61" t="n">
        <f aca="false">VLOOKUP(AE1245,recipe_ingred_list!$K$16:$M$25,3,0)</f>
        <v>5</v>
      </c>
      <c r="AG1245" s="61" t="n">
        <f aca="false">O1245</f>
        <v>0</v>
      </c>
      <c r="AH1245" s="61" t="n">
        <f aca="false">P1245</f>
        <v>0</v>
      </c>
      <c r="AI1245" s="61" t="n">
        <f aca="false">VLOOKUP(AH1245,recipe_ingred_list!$K$29:$M$34,3,0)</f>
        <v>3</v>
      </c>
      <c r="AJ1245" s="61" t="str">
        <f aca="false">IF(Q1245="","",Q1245)</f>
        <v/>
      </c>
      <c r="AK1245" s="61" t="n">
        <f aca="false">AK1244+1</f>
        <v>1245</v>
      </c>
      <c r="AL1245" s="61" t="str">
        <f aca="false">Y1245</f>
        <v>black salt</v>
      </c>
      <c r="AM1245" s="81" t="str">
        <f aca="false">"a = Client().post('"&amp;W1245&amp;"', {'recipe' : '"&amp;V1245&amp;"', 'ingredient' : '"&amp;Z1245&amp;"', 'name' : '"&amp;X1245&amp;"', 'mass_unit' : '"&amp;AC1245&amp;"', 'mass_quantity' : '"&amp;ROUND(AA1245,3)&amp;"', 'volume_unit' : '"&amp;AF1245&amp;"', 'volume_quantity' : '"&amp;ROUND(AD1245,3)&amp;"', 'pieces_unit' : '"&amp;AI1245&amp;"', 'pieces_quantity' : '"&amp;ROUND(AG1245,3)&amp;"', 'cooking_notes' : '"&amp;AJ1245&amp;"'}).status_code; print('%s :: %s :: %s :: %s :: %s' %(a,"&amp;G1245&amp;",'"&amp;X1245&amp;"','"&amp;Y1245&amp;"','"&amp;U1245&amp;"'))"</f>
        <v>a = Client().post('/recipes/sweet-corn-boild-bhutta/detail/', {'recipe' : '75', 'ingredient' : '32', 'name' : 'black salt', 'mass_unit' : '2', 'mass_quantity' : '0', 'volume_unit' : '5', 'volume_quantity' : '0.5', 'pieces_unit' : '3', 'pieces_quantity' : '0', 'cooking_notes' : ''}).status_code; print('%s :: %s :: %s :: %s :: %s' %(a,1245,'black salt','black salt','SWEET CORN BOILD BHUTTA'))</v>
      </c>
    </row>
    <row r="1246" customFormat="false" ht="13.8" hidden="false" customHeight="false" outlineLevel="0" collapsed="false">
      <c r="G1246" s="80" t="n">
        <v>1246</v>
      </c>
      <c r="H1246" s="79"/>
      <c r="I1246" s="79"/>
      <c r="J1246" s="79"/>
      <c r="K1246" s="100"/>
      <c r="L1246" s="100"/>
      <c r="M1246" s="100"/>
      <c r="N1246" s="100"/>
      <c r="O1246" s="100"/>
      <c r="P1246" s="100"/>
      <c r="Q1246" s="102"/>
      <c r="R1246" s="99" t="e">
        <f aca="false">VLOOKUP(J1246,ingredient!$N$4:$O$553,2,0)</f>
        <v>#N/A</v>
      </c>
      <c r="S1246" s="98"/>
      <c r="T1246" s="98"/>
      <c r="U1246" s="81" t="n">
        <f aca="false">I1246</f>
        <v>0</v>
      </c>
      <c r="V1246" s="81" t="e">
        <f aca="false">VLOOKUP(U1246,recipe_ingred_list!$A$2:$B$300,2,0)</f>
        <v>#N/A</v>
      </c>
      <c r="W1246" s="81" t="e">
        <f aca="false">"/recipes/"&amp;VLOOKUP(U1246,recipe_ingred_list!$A$2:$C$300,3,0)&amp;"/detail/"</f>
        <v>#N/A</v>
      </c>
      <c r="X1246" s="81" t="n">
        <f aca="false">J1246</f>
        <v>0</v>
      </c>
      <c r="Y1246" s="81" t="e">
        <f aca="false">R1246</f>
        <v>#N/A</v>
      </c>
      <c r="Z1246" s="94" t="e">
        <f aca="false">VLOOKUP(Y1246,recipe_ingred_list!$D$2:$E$500,2,0)</f>
        <v>#N/A</v>
      </c>
      <c r="AA1246" s="61" t="n">
        <f aca="false">K1246</f>
        <v>0</v>
      </c>
      <c r="AB1246" s="61" t="n">
        <f aca="false">L1246</f>
        <v>0</v>
      </c>
      <c r="AC1246" s="61" t="n">
        <f aca="false">VLOOKUP(AB1246,recipe_ingred_list!$K$2:$M$7,3,0)</f>
        <v>2</v>
      </c>
      <c r="AD1246" s="61" t="n">
        <f aca="false">M1246</f>
        <v>0</v>
      </c>
      <c r="AE1246" s="61" t="n">
        <f aca="false">N1246</f>
        <v>0</v>
      </c>
      <c r="AF1246" s="61" t="n">
        <f aca="false">VLOOKUP(AE1246,recipe_ingred_list!$K$16:$M$25,3,0)</f>
        <v>1</v>
      </c>
      <c r="AG1246" s="61" t="n">
        <f aca="false">O1246</f>
        <v>0</v>
      </c>
      <c r="AH1246" s="61" t="n">
        <f aca="false">P1246</f>
        <v>0</v>
      </c>
      <c r="AI1246" s="61" t="n">
        <f aca="false">VLOOKUP(AH1246,recipe_ingred_list!$K$29:$M$34,3,0)</f>
        <v>3</v>
      </c>
      <c r="AJ1246" s="61" t="str">
        <f aca="false">IF(Q1246="","",Q1246)</f>
        <v/>
      </c>
      <c r="AK1246" s="61" t="n">
        <f aca="false">AK1245+1</f>
        <v>1246</v>
      </c>
      <c r="AL1246" s="61" t="e">
        <f aca="false">Y1246</f>
        <v>#N/A</v>
      </c>
      <c r="AM1246" s="81" t="e">
        <f aca="false">"a = Client().post('"&amp;W1246&amp;"', {'recipe' : '"&amp;V1246&amp;"', 'ingredient' : '"&amp;Z1246&amp;"', 'name' : '"&amp;X1246&amp;"', 'mass_unit' : '"&amp;AC1246&amp;"', 'mass_quantity' : '"&amp;ROUND(AA1246,3)&amp;"', 'volume_unit' : '"&amp;AF1246&amp;"', 'volume_quantity' : '"&amp;ROUND(AD1246,3)&amp;"', 'pieces_unit' : '"&amp;AI1246&amp;"', 'pieces_quantity' : '"&amp;ROUND(AG1246,3)&amp;"', 'cooking_notes' : '"&amp;AJ1246&amp;"'}).status_code; print('%s :: %s :: %s :: %s :: %s' %(a,"&amp;G1246&amp;",'"&amp;X1246&amp;"','"&amp;Y1246&amp;"','"&amp;U1246&amp;"'))"</f>
        <v>#N/A</v>
      </c>
    </row>
    <row r="1247" customFormat="false" ht="13.8" hidden="false" customHeight="false" outlineLevel="0" collapsed="false">
      <c r="G1247" s="80" t="n">
        <v>1247</v>
      </c>
      <c r="H1247" s="83"/>
      <c r="I1247" s="83" t="s">
        <v>110</v>
      </c>
      <c r="J1247" s="83" t="s">
        <v>846</v>
      </c>
      <c r="K1247" s="61" t="n">
        <v>12</v>
      </c>
      <c r="L1247" s="61" t="s">
        <v>7</v>
      </c>
      <c r="R1247" s="82" t="str">
        <f aca="false">VLOOKUP(J1247,ingredient!$N$4:$O$553,2,0)</f>
        <v>alu</v>
      </c>
      <c r="U1247" s="81" t="str">
        <f aca="false">I1247</f>
        <v>ALU CHURCHURY</v>
      </c>
      <c r="V1247" s="81" t="n">
        <f aca="false">VLOOKUP(U1247,recipe_ingred_list!$A$2:$B$300,2,0)</f>
        <v>3</v>
      </c>
      <c r="W1247" s="81" t="str">
        <f aca="false">"/recipes/"&amp;VLOOKUP(U1247,recipe_ingred_list!$A$2:$C$300,3,0)&amp;"/detail/"</f>
        <v>/recipes/alu-churchury/detail/</v>
      </c>
      <c r="X1247" s="81" t="str">
        <f aca="false">J1247</f>
        <v>potato</v>
      </c>
      <c r="Y1247" s="81" t="str">
        <f aca="false">R1247</f>
        <v>alu</v>
      </c>
      <c r="Z1247" s="94" t="n">
        <f aca="false">VLOOKUP(Y1247,recipe_ingred_list!$D$2:$E$500,2,0)</f>
        <v>8</v>
      </c>
      <c r="AA1247" s="61" t="n">
        <f aca="false">K1247</f>
        <v>12</v>
      </c>
      <c r="AB1247" s="61" t="str">
        <f aca="false">L1247</f>
        <v>kg</v>
      </c>
      <c r="AC1247" s="61" t="n">
        <f aca="false">VLOOKUP(AB1247,recipe_ingred_list!$K$2:$M$7,3,0)</f>
        <v>2</v>
      </c>
      <c r="AD1247" s="61" t="n">
        <f aca="false">M1247</f>
        <v>0</v>
      </c>
      <c r="AE1247" s="61" t="n">
        <f aca="false">N1247</f>
        <v>0</v>
      </c>
      <c r="AF1247" s="61" t="n">
        <f aca="false">VLOOKUP(AE1247,recipe_ingred_list!$K$16:$M$25,3,0)</f>
        <v>1</v>
      </c>
      <c r="AG1247" s="61" t="n">
        <f aca="false">O1247</f>
        <v>0</v>
      </c>
      <c r="AH1247" s="61" t="n">
        <f aca="false">P1247</f>
        <v>0</v>
      </c>
      <c r="AI1247" s="61" t="n">
        <f aca="false">VLOOKUP(AH1247,recipe_ingred_list!$K$29:$M$34,3,0)</f>
        <v>3</v>
      </c>
      <c r="AJ1247" s="61" t="str">
        <f aca="false">IF(Q1247="","",Q1247)</f>
        <v/>
      </c>
      <c r="AK1247" s="61" t="n">
        <f aca="false">AK1246+1</f>
        <v>1247</v>
      </c>
      <c r="AL1247" s="61" t="str">
        <f aca="false">Y1247</f>
        <v>alu</v>
      </c>
      <c r="AM1247" s="81" t="str">
        <f aca="false">"a = Client().post('"&amp;W1247&amp;"', {'recipe' : '"&amp;V1247&amp;"', 'ingredient' : '"&amp;Z1247&amp;"', 'name' : '"&amp;X1247&amp;"', 'mass_unit' : '"&amp;AC1247&amp;"', 'mass_quantity' : '"&amp;ROUND(AA1247,3)&amp;"', 'volume_unit' : '"&amp;AF1247&amp;"', 'volume_quantity' : '"&amp;ROUND(AD1247,3)&amp;"', 'pieces_unit' : '"&amp;AI1247&amp;"', 'pieces_quantity' : '"&amp;ROUND(AG1247,3)&amp;"', 'cooking_notes' : '"&amp;AJ1247&amp;"'}).status_code; print('%s :: %s :: %s :: %s :: %s' %(a,"&amp;G1247&amp;",'"&amp;X1247&amp;"','"&amp;Y1247&amp;"','"&amp;U1247&amp;"'))"</f>
        <v>a = Client().post('/recipes/alu-churchury/detail/', {'recipe' : '3', 'ingredient' : '8', 'name' : 'potato', 'mass_unit' : '2', 'mass_quantity' : '12', 'volume_unit' : '1', 'volume_quantity' : '0', 'pieces_unit' : '3', 'pieces_quantity' : '0', 'cooking_notes' : ''}).status_code; print('%s :: %s :: %s :: %s :: %s' %(a,1247,'potato','alu','ALU CHURCHURY'))</v>
      </c>
    </row>
    <row r="1248" customFormat="false" ht="13.8" hidden="false" customHeight="false" outlineLevel="0" collapsed="false">
      <c r="G1248" s="80" t="n">
        <v>1248</v>
      </c>
      <c r="H1248" s="83"/>
      <c r="I1248" s="83" t="s">
        <v>110</v>
      </c>
      <c r="J1248" s="83" t="s">
        <v>309</v>
      </c>
      <c r="M1248" s="61" t="n">
        <v>0.5</v>
      </c>
      <c r="N1248" s="61" t="s">
        <v>13</v>
      </c>
      <c r="R1248" s="82" t="str">
        <f aca="false">VLOOKUP(J1248,ingredient!$N$4:$O$553,2,0)</f>
        <v>dhaniya patta</v>
      </c>
      <c r="U1248" s="81" t="str">
        <f aca="false">I1248</f>
        <v>ALU CHURCHURY</v>
      </c>
      <c r="V1248" s="81" t="n">
        <f aca="false">VLOOKUP(U1248,recipe_ingred_list!$A$2:$B$300,2,0)</f>
        <v>3</v>
      </c>
      <c r="W1248" s="81" t="str">
        <f aca="false">"/recipes/"&amp;VLOOKUP(U1248,recipe_ingred_list!$A$2:$C$300,3,0)&amp;"/detail/"</f>
        <v>/recipes/alu-churchury/detail/</v>
      </c>
      <c r="X1248" s="81" t="str">
        <f aca="false">J1248</f>
        <v>dhaniya patta</v>
      </c>
      <c r="Y1248" s="81" t="str">
        <f aca="false">R1248</f>
        <v>dhaniya patta</v>
      </c>
      <c r="Z1248" s="94" t="n">
        <f aca="false">VLOOKUP(Y1248,recipe_ingred_list!$D$2:$E$500,2,0)</f>
        <v>66</v>
      </c>
      <c r="AA1248" s="61" t="n">
        <f aca="false">K1248</f>
        <v>0</v>
      </c>
      <c r="AB1248" s="61" t="n">
        <f aca="false">L1248</f>
        <v>0</v>
      </c>
      <c r="AC1248" s="61" t="n">
        <f aca="false">VLOOKUP(AB1248,recipe_ingred_list!$K$2:$M$7,3,0)</f>
        <v>2</v>
      </c>
      <c r="AD1248" s="61" t="n">
        <f aca="false">M1248</f>
        <v>0.5</v>
      </c>
      <c r="AE1248" s="61" t="str">
        <f aca="false">N1248</f>
        <v>ltr</v>
      </c>
      <c r="AF1248" s="61" t="n">
        <f aca="false">VLOOKUP(AE1248,recipe_ingred_list!$K$16:$M$25,3,0)</f>
        <v>1</v>
      </c>
      <c r="AG1248" s="61" t="n">
        <f aca="false">O1248</f>
        <v>0</v>
      </c>
      <c r="AH1248" s="61" t="n">
        <f aca="false">P1248</f>
        <v>0</v>
      </c>
      <c r="AI1248" s="61" t="n">
        <f aca="false">VLOOKUP(AH1248,recipe_ingred_list!$K$29:$M$34,3,0)</f>
        <v>3</v>
      </c>
      <c r="AJ1248" s="61" t="str">
        <f aca="false">IF(Q1248="","",Q1248)</f>
        <v/>
      </c>
      <c r="AK1248" s="61" t="n">
        <f aca="false">AK1247+1</f>
        <v>1248</v>
      </c>
      <c r="AL1248" s="61" t="str">
        <f aca="false">Y1248</f>
        <v>dhaniya patta</v>
      </c>
      <c r="AM1248" s="81" t="str">
        <f aca="false">"a = Client().post('"&amp;W1248&amp;"', {'recipe' : '"&amp;V1248&amp;"', 'ingredient' : '"&amp;Z1248&amp;"', 'name' : '"&amp;X1248&amp;"', 'mass_unit' : '"&amp;AC1248&amp;"', 'mass_quantity' : '"&amp;ROUND(AA1248,3)&amp;"', 'volume_unit' : '"&amp;AF1248&amp;"', 'volume_quantity' : '"&amp;ROUND(AD1248,3)&amp;"', 'pieces_unit' : '"&amp;AI1248&amp;"', 'pieces_quantity' : '"&amp;ROUND(AG1248,3)&amp;"', 'cooking_notes' : '"&amp;AJ1248&amp;"'}).status_code; print('%s :: %s :: %s :: %s :: %s' %(a,"&amp;G1248&amp;",'"&amp;X1248&amp;"','"&amp;Y1248&amp;"','"&amp;U1248&amp;"'))"</f>
        <v>a = Client().post('/recipes/alu-churchury/detail/', {'recipe' : '3', 'ingredient' : '66', 'name' : 'dhaniya patta', 'mass_unit' : '2', 'mass_quantity' : '0', 'volume_unit' : '1', 'volume_quantity' : '0.5', 'pieces_unit' : '3', 'pieces_quantity' : '0', 'cooking_notes' : ''}).status_code; print('%s :: %s :: %s :: %s :: %s' %(a,1248,'dhaniya patta','dhaniya patta','ALU CHURCHURY'))</v>
      </c>
    </row>
    <row r="1249" customFormat="false" ht="13.8" hidden="false" customHeight="false" outlineLevel="0" collapsed="false">
      <c r="G1249" s="80" t="n">
        <v>1249</v>
      </c>
      <c r="H1249" s="83"/>
      <c r="I1249" s="83" t="s">
        <v>110</v>
      </c>
      <c r="J1249" s="83" t="s">
        <v>456</v>
      </c>
      <c r="M1249" s="61" t="n">
        <v>0.5</v>
      </c>
      <c r="N1249" s="61" t="s">
        <v>20</v>
      </c>
      <c r="R1249" s="82" t="str">
        <f aca="false">VLOOKUP(J1249,ingredient!$N$4:$O$553,2,0)</f>
        <v>rai</v>
      </c>
      <c r="U1249" s="81" t="str">
        <f aca="false">I1249</f>
        <v>ALU CHURCHURY</v>
      </c>
      <c r="V1249" s="81" t="n">
        <f aca="false">VLOOKUP(U1249,recipe_ingred_list!$A$2:$B$300,2,0)</f>
        <v>3</v>
      </c>
      <c r="W1249" s="81" t="str">
        <f aca="false">"/recipes/"&amp;VLOOKUP(U1249,recipe_ingred_list!$A$2:$C$300,3,0)&amp;"/detail/"</f>
        <v>/recipes/alu-churchury/detail/</v>
      </c>
      <c r="X1249" s="81" t="str">
        <f aca="false">J1249</f>
        <v>rai</v>
      </c>
      <c r="Y1249" s="81" t="str">
        <f aca="false">R1249</f>
        <v>rai</v>
      </c>
      <c r="Z1249" s="94" t="n">
        <f aca="false">VLOOKUP(Y1249,recipe_ingred_list!$D$2:$E$500,2,0)</f>
        <v>164</v>
      </c>
      <c r="AA1249" s="61" t="n">
        <f aca="false">K1249</f>
        <v>0</v>
      </c>
      <c r="AB1249" s="61" t="n">
        <f aca="false">L1249</f>
        <v>0</v>
      </c>
      <c r="AC1249" s="61" t="n">
        <f aca="false">VLOOKUP(AB1249,recipe_ingred_list!$K$2:$M$7,3,0)</f>
        <v>2</v>
      </c>
      <c r="AD1249" s="61" t="n">
        <f aca="false">M1249</f>
        <v>0.5</v>
      </c>
      <c r="AE1249" s="61" t="str">
        <f aca="false">N1249</f>
        <v>cup</v>
      </c>
      <c r="AF1249" s="61" t="n">
        <f aca="false">VLOOKUP(AE1249,recipe_ingred_list!$K$16:$M$25,3,0)</f>
        <v>5</v>
      </c>
      <c r="AG1249" s="61" t="n">
        <f aca="false">O1249</f>
        <v>0</v>
      </c>
      <c r="AH1249" s="61" t="n">
        <f aca="false">P1249</f>
        <v>0</v>
      </c>
      <c r="AI1249" s="61" t="n">
        <f aca="false">VLOOKUP(AH1249,recipe_ingred_list!$K$29:$M$34,3,0)</f>
        <v>3</v>
      </c>
      <c r="AJ1249" s="61" t="str">
        <f aca="false">IF(Q1249="","",Q1249)</f>
        <v/>
      </c>
      <c r="AK1249" s="61" t="n">
        <f aca="false">AK1248+1</f>
        <v>1249</v>
      </c>
      <c r="AL1249" s="61" t="str">
        <f aca="false">Y1249</f>
        <v>rai</v>
      </c>
      <c r="AM1249" s="81" t="str">
        <f aca="false">"a = Client().post('"&amp;W1249&amp;"', {'recipe' : '"&amp;V1249&amp;"', 'ingredient' : '"&amp;Z1249&amp;"', 'name' : '"&amp;X1249&amp;"', 'mass_unit' : '"&amp;AC1249&amp;"', 'mass_quantity' : '"&amp;ROUND(AA1249,3)&amp;"', 'volume_unit' : '"&amp;AF1249&amp;"', 'volume_quantity' : '"&amp;ROUND(AD1249,3)&amp;"', 'pieces_unit' : '"&amp;AI1249&amp;"', 'pieces_quantity' : '"&amp;ROUND(AG1249,3)&amp;"', 'cooking_notes' : '"&amp;AJ1249&amp;"'}).status_code; print('%s :: %s :: %s :: %s :: %s' %(a,"&amp;G1249&amp;",'"&amp;X1249&amp;"','"&amp;Y1249&amp;"','"&amp;U1249&amp;"'))"</f>
        <v>a = Client().post('/recipes/alu-churchury/detail/', {'recipe' : '3', 'ingredient' : '164', 'name' : 'rai', 'mass_unit' : '2', 'mass_quantity' : '0', 'volume_unit' : '5', 'volume_quantity' : '0.5', 'pieces_unit' : '3', 'pieces_quantity' : '0', 'cooking_notes' : ''}).status_code; print('%s :: %s :: %s :: %s :: %s' %(a,1249,'rai','rai','ALU CHURCHURY'))</v>
      </c>
    </row>
    <row r="1250" customFormat="false" ht="13.8" hidden="false" customHeight="false" outlineLevel="0" collapsed="false">
      <c r="G1250" s="80" t="n">
        <v>1250</v>
      </c>
      <c r="H1250" s="83"/>
      <c r="I1250" s="83" t="s">
        <v>110</v>
      </c>
      <c r="J1250" s="83" t="s">
        <v>391</v>
      </c>
      <c r="M1250" s="61" t="n">
        <v>0.25</v>
      </c>
      <c r="N1250" s="61" t="s">
        <v>20</v>
      </c>
      <c r="R1250" s="82" t="str">
        <f aca="false">VLOOKUP(J1250,ingredient!$N$4:$O$553,2,0)</f>
        <v>hing</v>
      </c>
      <c r="U1250" s="81" t="str">
        <f aca="false">I1250</f>
        <v>ALU CHURCHURY</v>
      </c>
      <c r="V1250" s="81" t="n">
        <f aca="false">VLOOKUP(U1250,recipe_ingred_list!$A$2:$B$300,2,0)</f>
        <v>3</v>
      </c>
      <c r="W1250" s="81" t="str">
        <f aca="false">"/recipes/"&amp;VLOOKUP(U1250,recipe_ingred_list!$A$2:$C$300,3,0)&amp;"/detail/"</f>
        <v>/recipes/alu-churchury/detail/</v>
      </c>
      <c r="X1250" s="81" t="str">
        <f aca="false">J1250</f>
        <v>hing</v>
      </c>
      <c r="Y1250" s="81" t="str">
        <f aca="false">R1250</f>
        <v>hing</v>
      </c>
      <c r="Z1250" s="94" t="n">
        <f aca="false">VLOOKUP(Y1250,recipe_ingred_list!$D$2:$E$500,2,0)</f>
        <v>95</v>
      </c>
      <c r="AA1250" s="61" t="n">
        <f aca="false">K1250</f>
        <v>0</v>
      </c>
      <c r="AB1250" s="61" t="n">
        <f aca="false">L1250</f>
        <v>0</v>
      </c>
      <c r="AC1250" s="61" t="n">
        <f aca="false">VLOOKUP(AB1250,recipe_ingred_list!$K$2:$M$7,3,0)</f>
        <v>2</v>
      </c>
      <c r="AD1250" s="61" t="n">
        <f aca="false">M1250</f>
        <v>0.25</v>
      </c>
      <c r="AE1250" s="61" t="str">
        <f aca="false">N1250</f>
        <v>cup</v>
      </c>
      <c r="AF1250" s="61" t="n">
        <f aca="false">VLOOKUP(AE1250,recipe_ingred_list!$K$16:$M$25,3,0)</f>
        <v>5</v>
      </c>
      <c r="AG1250" s="61" t="n">
        <f aca="false">O1250</f>
        <v>0</v>
      </c>
      <c r="AH1250" s="61" t="n">
        <f aca="false">P1250</f>
        <v>0</v>
      </c>
      <c r="AI1250" s="61" t="n">
        <f aca="false">VLOOKUP(AH1250,recipe_ingred_list!$K$29:$M$34,3,0)</f>
        <v>3</v>
      </c>
      <c r="AJ1250" s="61" t="str">
        <f aca="false">IF(Q1250="","",Q1250)</f>
        <v/>
      </c>
      <c r="AK1250" s="61" t="n">
        <f aca="false">AK1249+1</f>
        <v>1250</v>
      </c>
      <c r="AL1250" s="61" t="str">
        <f aca="false">Y1250</f>
        <v>hing</v>
      </c>
      <c r="AM1250" s="81" t="str">
        <f aca="false">"a = Client().post('"&amp;W1250&amp;"', {'recipe' : '"&amp;V1250&amp;"', 'ingredient' : '"&amp;Z1250&amp;"', 'name' : '"&amp;X1250&amp;"', 'mass_unit' : '"&amp;AC1250&amp;"', 'mass_quantity' : '"&amp;ROUND(AA1250,3)&amp;"', 'volume_unit' : '"&amp;AF1250&amp;"', 'volume_quantity' : '"&amp;ROUND(AD1250,3)&amp;"', 'pieces_unit' : '"&amp;AI1250&amp;"', 'pieces_quantity' : '"&amp;ROUND(AG1250,3)&amp;"', 'cooking_notes' : '"&amp;AJ1250&amp;"'}).status_code; print('%s :: %s :: %s :: %s :: %s' %(a,"&amp;G1250&amp;",'"&amp;X1250&amp;"','"&amp;Y1250&amp;"','"&amp;U1250&amp;"'))"</f>
        <v>a = Client().post('/recipes/alu-churchury/detail/', {'recipe' : '3', 'ingredient' : '95', 'name' : 'hing', 'mass_unit' : '2', 'mass_quantity' : '0', 'volume_unit' : '5', 'volume_quantity' : '0.25', 'pieces_unit' : '3', 'pieces_quantity' : '0', 'cooking_notes' : ''}).status_code; print('%s :: %s :: %s :: %s :: %s' %(a,1250,'hing','hing','ALU CHURCHURY'))</v>
      </c>
    </row>
    <row r="1251" customFormat="false" ht="13.8" hidden="false" customHeight="false" outlineLevel="0" collapsed="false">
      <c r="G1251" s="80" t="n">
        <v>1251</v>
      </c>
      <c r="H1251" s="83"/>
      <c r="I1251" s="83" t="s">
        <v>110</v>
      </c>
      <c r="J1251" s="83" t="s">
        <v>382</v>
      </c>
      <c r="M1251" s="61" t="n">
        <v>0.5</v>
      </c>
      <c r="N1251" s="61" t="s">
        <v>20</v>
      </c>
      <c r="R1251" s="82" t="str">
        <f aca="false">VLOOKUP(J1251,ingredient!$N$4:$O$553,2,0)</f>
        <v>haldi</v>
      </c>
      <c r="U1251" s="81" t="str">
        <f aca="false">I1251</f>
        <v>ALU CHURCHURY</v>
      </c>
      <c r="V1251" s="81" t="n">
        <f aca="false">VLOOKUP(U1251,recipe_ingred_list!$A$2:$B$300,2,0)</f>
        <v>3</v>
      </c>
      <c r="W1251" s="81" t="str">
        <f aca="false">"/recipes/"&amp;VLOOKUP(U1251,recipe_ingred_list!$A$2:$C$300,3,0)&amp;"/detail/"</f>
        <v>/recipes/alu-churchury/detail/</v>
      </c>
      <c r="X1251" s="81" t="str">
        <f aca="false">J1251</f>
        <v>haldi</v>
      </c>
      <c r="Y1251" s="81" t="str">
        <f aca="false">R1251</f>
        <v>haldi</v>
      </c>
      <c r="Z1251" s="94" t="n">
        <f aca="false">VLOOKUP(Y1251,recipe_ingred_list!$D$2:$E$500,2,0)</f>
        <v>91</v>
      </c>
      <c r="AA1251" s="61" t="n">
        <f aca="false">K1251</f>
        <v>0</v>
      </c>
      <c r="AB1251" s="61" t="n">
        <f aca="false">L1251</f>
        <v>0</v>
      </c>
      <c r="AC1251" s="61" t="n">
        <f aca="false">VLOOKUP(AB1251,recipe_ingred_list!$K$2:$M$7,3,0)</f>
        <v>2</v>
      </c>
      <c r="AD1251" s="61" t="n">
        <f aca="false">M1251</f>
        <v>0.5</v>
      </c>
      <c r="AE1251" s="61" t="str">
        <f aca="false">N1251</f>
        <v>cup</v>
      </c>
      <c r="AF1251" s="61" t="n">
        <f aca="false">VLOOKUP(AE1251,recipe_ingred_list!$K$16:$M$25,3,0)</f>
        <v>5</v>
      </c>
      <c r="AG1251" s="61" t="n">
        <f aca="false">O1251</f>
        <v>0</v>
      </c>
      <c r="AH1251" s="61" t="n">
        <f aca="false">P1251</f>
        <v>0</v>
      </c>
      <c r="AI1251" s="61" t="n">
        <f aca="false">VLOOKUP(AH1251,recipe_ingred_list!$K$29:$M$34,3,0)</f>
        <v>3</v>
      </c>
      <c r="AJ1251" s="61" t="str">
        <f aca="false">IF(Q1251="","",Q1251)</f>
        <v/>
      </c>
      <c r="AK1251" s="61" t="n">
        <f aca="false">AK1250+1</f>
        <v>1251</v>
      </c>
      <c r="AL1251" s="61" t="str">
        <f aca="false">Y1251</f>
        <v>haldi</v>
      </c>
      <c r="AM1251" s="81" t="str">
        <f aca="false">"a = Client().post('"&amp;W1251&amp;"', {'recipe' : '"&amp;V1251&amp;"', 'ingredient' : '"&amp;Z1251&amp;"', 'name' : '"&amp;X1251&amp;"', 'mass_unit' : '"&amp;AC1251&amp;"', 'mass_quantity' : '"&amp;ROUND(AA1251,3)&amp;"', 'volume_unit' : '"&amp;AF1251&amp;"', 'volume_quantity' : '"&amp;ROUND(AD1251,3)&amp;"', 'pieces_unit' : '"&amp;AI1251&amp;"', 'pieces_quantity' : '"&amp;ROUND(AG1251,3)&amp;"', 'cooking_notes' : '"&amp;AJ1251&amp;"'}).status_code; print('%s :: %s :: %s :: %s :: %s' %(a,"&amp;G1251&amp;",'"&amp;X1251&amp;"','"&amp;Y1251&amp;"','"&amp;U1251&amp;"'))"</f>
        <v>a = Client().post('/recipes/alu-churchury/detail/', {'recipe' : '3', 'ingredient' : '91', 'name' : 'haldi', 'mass_unit' : '2', 'mass_quantity' : '0', 'volume_unit' : '5', 'volume_quantity' : '0.5', 'pieces_unit' : '3', 'pieces_quantity' : '0', 'cooking_notes' : ''}).status_code; print('%s :: %s :: %s :: %s :: %s' %(a,1251,'haldi','haldi','ALU CHURCHURY'))</v>
      </c>
    </row>
    <row r="1252" customFormat="false" ht="13.8" hidden="false" customHeight="false" outlineLevel="0" collapsed="false">
      <c r="G1252" s="80" t="n">
        <v>1252</v>
      </c>
      <c r="H1252" s="83"/>
      <c r="I1252" s="83" t="s">
        <v>110</v>
      </c>
      <c r="J1252" s="83" t="s">
        <v>889</v>
      </c>
      <c r="M1252" s="61" t="n">
        <v>0.5</v>
      </c>
      <c r="N1252" s="61" t="s">
        <v>20</v>
      </c>
      <c r="R1252" s="82" t="str">
        <f aca="false">VLOOKUP(J1252,ingredient!$N$4:$O$553,2,0)</f>
        <v>madrasi mirchi powder</v>
      </c>
      <c r="U1252" s="81" t="str">
        <f aca="false">I1252</f>
        <v>ALU CHURCHURY</v>
      </c>
      <c r="V1252" s="81" t="n">
        <f aca="false">VLOOKUP(U1252,recipe_ingred_list!$A$2:$B$300,2,0)</f>
        <v>3</v>
      </c>
      <c r="W1252" s="81" t="str">
        <f aca="false">"/recipes/"&amp;VLOOKUP(U1252,recipe_ingred_list!$A$2:$C$300,3,0)&amp;"/detail/"</f>
        <v>/recipes/alu-churchury/detail/</v>
      </c>
      <c r="X1252" s="81" t="str">
        <f aca="false">J1252</f>
        <v>madrasi chilli powder</v>
      </c>
      <c r="Y1252" s="81" t="str">
        <f aca="false">R1252</f>
        <v>madrasi mirchi powder</v>
      </c>
      <c r="Z1252" s="94" t="n">
        <f aca="false">VLOOKUP(Y1252,recipe_ingred_list!$D$2:$E$500,2,0)</f>
        <v>135</v>
      </c>
      <c r="AA1252" s="61" t="n">
        <f aca="false">K1252</f>
        <v>0</v>
      </c>
      <c r="AB1252" s="61" t="n">
        <f aca="false">L1252</f>
        <v>0</v>
      </c>
      <c r="AC1252" s="61" t="n">
        <f aca="false">VLOOKUP(AB1252,recipe_ingred_list!$K$2:$M$7,3,0)</f>
        <v>2</v>
      </c>
      <c r="AD1252" s="61" t="n">
        <f aca="false">M1252</f>
        <v>0.5</v>
      </c>
      <c r="AE1252" s="61" t="str">
        <f aca="false">N1252</f>
        <v>cup</v>
      </c>
      <c r="AF1252" s="61" t="n">
        <f aca="false">VLOOKUP(AE1252,recipe_ingred_list!$K$16:$M$25,3,0)</f>
        <v>5</v>
      </c>
      <c r="AG1252" s="61" t="n">
        <f aca="false">O1252</f>
        <v>0</v>
      </c>
      <c r="AH1252" s="61" t="n">
        <f aca="false">P1252</f>
        <v>0</v>
      </c>
      <c r="AI1252" s="61" t="n">
        <f aca="false">VLOOKUP(AH1252,recipe_ingred_list!$K$29:$M$34,3,0)</f>
        <v>3</v>
      </c>
      <c r="AJ1252" s="61" t="str">
        <f aca="false">IF(Q1252="","",Q1252)</f>
        <v/>
      </c>
      <c r="AK1252" s="61" t="n">
        <f aca="false">AK1251+1</f>
        <v>1252</v>
      </c>
      <c r="AL1252" s="61" t="str">
        <f aca="false">Y1252</f>
        <v>madrasi mirchi powder</v>
      </c>
      <c r="AM1252" s="81" t="str">
        <f aca="false">"a = Client().post('"&amp;W1252&amp;"', {'recipe' : '"&amp;V1252&amp;"', 'ingredient' : '"&amp;Z1252&amp;"', 'name' : '"&amp;X1252&amp;"', 'mass_unit' : '"&amp;AC1252&amp;"', 'mass_quantity' : '"&amp;ROUND(AA1252,3)&amp;"', 'volume_unit' : '"&amp;AF1252&amp;"', 'volume_quantity' : '"&amp;ROUND(AD1252,3)&amp;"', 'pieces_unit' : '"&amp;AI1252&amp;"', 'pieces_quantity' : '"&amp;ROUND(AG1252,3)&amp;"', 'cooking_notes' : '"&amp;AJ1252&amp;"'}).status_code; print('%s :: %s :: %s :: %s :: %s' %(a,"&amp;G1252&amp;",'"&amp;X1252&amp;"','"&amp;Y1252&amp;"','"&amp;U1252&amp;"'))"</f>
        <v>a = Client().post('/recipes/alu-churchury/detail/', {'recipe' : '3', 'ingredient' : '135', 'name' : 'madrasi chilli powder', 'mass_unit' : '2', 'mass_quantity' : '0', 'volume_unit' : '5', 'volume_quantity' : '0.5', 'pieces_unit' : '3', 'pieces_quantity' : '0', 'cooking_notes' : ''}).status_code; print('%s :: %s :: %s :: %s :: %s' %(a,1252,'madrasi chilli powder','madrasi mirchi powder','ALU CHURCHURY'))</v>
      </c>
    </row>
    <row r="1253" customFormat="false" ht="13.8" hidden="false" customHeight="false" outlineLevel="0" collapsed="false">
      <c r="G1253" s="80" t="n">
        <v>1253</v>
      </c>
      <c r="H1253" s="83"/>
      <c r="I1253" s="83" t="s">
        <v>110</v>
      </c>
      <c r="J1253" s="83" t="s">
        <v>412</v>
      </c>
      <c r="M1253" s="61" t="n">
        <v>0.5</v>
      </c>
      <c r="N1253" s="61" t="s">
        <v>20</v>
      </c>
      <c r="R1253" s="82" t="str">
        <f aca="false">VLOOKUP(J1253,ingredient!$N$4:$O$553,2,0)</f>
        <v>kashmiri chilly powder</v>
      </c>
      <c r="U1253" s="81" t="str">
        <f aca="false">I1253</f>
        <v>ALU CHURCHURY</v>
      </c>
      <c r="V1253" s="81" t="n">
        <f aca="false">VLOOKUP(U1253,recipe_ingred_list!$A$2:$B$300,2,0)</f>
        <v>3</v>
      </c>
      <c r="W1253" s="81" t="str">
        <f aca="false">"/recipes/"&amp;VLOOKUP(U1253,recipe_ingred_list!$A$2:$C$300,3,0)&amp;"/detail/"</f>
        <v>/recipes/alu-churchury/detail/</v>
      </c>
      <c r="X1253" s="81" t="str">
        <f aca="false">J1253</f>
        <v>kashmiri chilly powder</v>
      </c>
      <c r="Y1253" s="81" t="str">
        <f aca="false">R1253</f>
        <v>kashmiri chilly powder</v>
      </c>
      <c r="Z1253" s="94" t="n">
        <f aca="false">VLOOKUP(Y1253,recipe_ingred_list!$D$2:$E$500,2,0)</f>
        <v>117</v>
      </c>
      <c r="AA1253" s="61" t="n">
        <f aca="false">K1253</f>
        <v>0</v>
      </c>
      <c r="AB1253" s="61" t="n">
        <f aca="false">L1253</f>
        <v>0</v>
      </c>
      <c r="AC1253" s="61" t="n">
        <f aca="false">VLOOKUP(AB1253,recipe_ingred_list!$K$2:$M$7,3,0)</f>
        <v>2</v>
      </c>
      <c r="AD1253" s="61" t="n">
        <f aca="false">M1253</f>
        <v>0.5</v>
      </c>
      <c r="AE1253" s="61" t="str">
        <f aca="false">N1253</f>
        <v>cup</v>
      </c>
      <c r="AF1253" s="61" t="n">
        <f aca="false">VLOOKUP(AE1253,recipe_ingred_list!$K$16:$M$25,3,0)</f>
        <v>5</v>
      </c>
      <c r="AG1253" s="61" t="n">
        <f aca="false">O1253</f>
        <v>0</v>
      </c>
      <c r="AH1253" s="61" t="n">
        <f aca="false">P1253</f>
        <v>0</v>
      </c>
      <c r="AI1253" s="61" t="n">
        <f aca="false">VLOOKUP(AH1253,recipe_ingred_list!$K$29:$M$34,3,0)</f>
        <v>3</v>
      </c>
      <c r="AJ1253" s="61" t="str">
        <f aca="false">IF(Q1253="","",Q1253)</f>
        <v/>
      </c>
      <c r="AK1253" s="61" t="n">
        <f aca="false">AK1252+1</f>
        <v>1253</v>
      </c>
      <c r="AL1253" s="61" t="str">
        <f aca="false">Y1253</f>
        <v>kashmiri chilly powder</v>
      </c>
      <c r="AM1253" s="81" t="str">
        <f aca="false">"a = Client().post('"&amp;W1253&amp;"', {'recipe' : '"&amp;V1253&amp;"', 'ingredient' : '"&amp;Z1253&amp;"', 'name' : '"&amp;X1253&amp;"', 'mass_unit' : '"&amp;AC1253&amp;"', 'mass_quantity' : '"&amp;ROUND(AA1253,3)&amp;"', 'volume_unit' : '"&amp;AF1253&amp;"', 'volume_quantity' : '"&amp;ROUND(AD1253,3)&amp;"', 'pieces_unit' : '"&amp;AI1253&amp;"', 'pieces_quantity' : '"&amp;ROUND(AG1253,3)&amp;"', 'cooking_notes' : '"&amp;AJ1253&amp;"'}).status_code; print('%s :: %s :: %s :: %s :: %s' %(a,"&amp;G1253&amp;",'"&amp;X1253&amp;"','"&amp;Y1253&amp;"','"&amp;U1253&amp;"'))"</f>
        <v>a = Client().post('/recipes/alu-churchury/detail/', {'recipe' : '3', 'ingredient' : '117', 'name' : 'kashmiri chilly powder', 'mass_unit' : '2', 'mass_quantity' : '0', 'volume_unit' : '5', 'volume_quantity' : '0.5', 'pieces_unit' : '3', 'pieces_quantity' : '0', 'cooking_notes' : ''}).status_code; print('%s :: %s :: %s :: %s :: %s' %(a,1253,'kashmiri chilly powder','kashmiri chilly powder','ALU CHURCHURY'))</v>
      </c>
    </row>
    <row r="1254" customFormat="false" ht="13.8" hidden="false" customHeight="false" outlineLevel="0" collapsed="false">
      <c r="G1254" s="80" t="n">
        <v>1254</v>
      </c>
      <c r="H1254" s="83"/>
      <c r="I1254" s="83" t="s">
        <v>110</v>
      </c>
      <c r="J1254" s="83" t="s">
        <v>917</v>
      </c>
      <c r="M1254" s="61" t="n">
        <v>1.5</v>
      </c>
      <c r="N1254" s="61" t="s">
        <v>13</v>
      </c>
      <c r="R1254" s="82" t="str">
        <f aca="false">VLOOKUP(J1254,ingredient!$N$4:$O$553,2,0)</f>
        <v>gound nut oil</v>
      </c>
      <c r="U1254" s="81" t="str">
        <f aca="false">I1254</f>
        <v>ALU CHURCHURY</v>
      </c>
      <c r="V1254" s="81" t="n">
        <f aca="false">VLOOKUP(U1254,recipe_ingred_list!$A$2:$B$300,2,0)</f>
        <v>3</v>
      </c>
      <c r="W1254" s="81" t="str">
        <f aca="false">"/recipes/"&amp;VLOOKUP(U1254,recipe_ingred_list!$A$2:$C$300,3,0)&amp;"/detail/"</f>
        <v>/recipes/alu-churchury/detail/</v>
      </c>
      <c r="X1254" s="81" t="str">
        <f aca="false">J1254</f>
        <v>oil (ground nut)</v>
      </c>
      <c r="Y1254" s="81" t="str">
        <f aca="false">R1254</f>
        <v>gound nut oil</v>
      </c>
      <c r="Z1254" s="94" t="n">
        <f aca="false">VLOOKUP(Y1254,recipe_ingred_list!$D$2:$E$500,2,0)</f>
        <v>83</v>
      </c>
      <c r="AA1254" s="61" t="n">
        <f aca="false">K1254</f>
        <v>0</v>
      </c>
      <c r="AB1254" s="61" t="n">
        <f aca="false">L1254</f>
        <v>0</v>
      </c>
      <c r="AC1254" s="61" t="n">
        <f aca="false">VLOOKUP(AB1254,recipe_ingred_list!$K$2:$M$7,3,0)</f>
        <v>2</v>
      </c>
      <c r="AD1254" s="61" t="n">
        <f aca="false">M1254</f>
        <v>1.5</v>
      </c>
      <c r="AE1254" s="61" t="str">
        <f aca="false">N1254</f>
        <v>ltr</v>
      </c>
      <c r="AF1254" s="61" t="n">
        <f aca="false">VLOOKUP(AE1254,recipe_ingred_list!$K$16:$M$25,3,0)</f>
        <v>1</v>
      </c>
      <c r="AG1254" s="61" t="n">
        <f aca="false">O1254</f>
        <v>0</v>
      </c>
      <c r="AH1254" s="61" t="n">
        <f aca="false">P1254</f>
        <v>0</v>
      </c>
      <c r="AI1254" s="61" t="n">
        <f aca="false">VLOOKUP(AH1254,recipe_ingred_list!$K$29:$M$34,3,0)</f>
        <v>3</v>
      </c>
      <c r="AJ1254" s="61" t="str">
        <f aca="false">IF(Q1254="","",Q1254)</f>
        <v/>
      </c>
      <c r="AK1254" s="61" t="n">
        <f aca="false">AK1253+1</f>
        <v>1254</v>
      </c>
      <c r="AL1254" s="61" t="str">
        <f aca="false">Y1254</f>
        <v>gound nut oil</v>
      </c>
      <c r="AM1254" s="81" t="str">
        <f aca="false">"a = Client().post('"&amp;W1254&amp;"', {'recipe' : '"&amp;V1254&amp;"', 'ingredient' : '"&amp;Z1254&amp;"', 'name' : '"&amp;X1254&amp;"', 'mass_unit' : '"&amp;AC1254&amp;"', 'mass_quantity' : '"&amp;ROUND(AA1254,3)&amp;"', 'volume_unit' : '"&amp;AF1254&amp;"', 'volume_quantity' : '"&amp;ROUND(AD1254,3)&amp;"', 'pieces_unit' : '"&amp;AI1254&amp;"', 'pieces_quantity' : '"&amp;ROUND(AG1254,3)&amp;"', 'cooking_notes' : '"&amp;AJ1254&amp;"'}).status_code; print('%s :: %s :: %s :: %s :: %s' %(a,"&amp;G1254&amp;",'"&amp;X1254&amp;"','"&amp;Y1254&amp;"','"&amp;U1254&amp;"'))"</f>
        <v>a = Client().post('/recipes/alu-churchury/detail/', {'recipe' : '3', 'ingredient' : '83', 'name' : 'oil (ground nut)', 'mass_unit' : '2', 'mass_quantity' : '0', 'volume_unit' : '1', 'volume_quantity' : '1.5', 'pieces_unit' : '3', 'pieces_quantity' : '0', 'cooking_notes' : ''}).status_code; print('%s :: %s :: %s :: %s :: %s' %(a,1254,'oil (ground nut)','gound nut oil','ALU CHURCHURY'))</v>
      </c>
    </row>
    <row r="1255" customFormat="false" ht="13.8" hidden="false" customHeight="false" outlineLevel="0" collapsed="false">
      <c r="G1255" s="80" t="n">
        <v>1255</v>
      </c>
      <c r="H1255" s="83"/>
      <c r="I1255" s="83" t="s">
        <v>110</v>
      </c>
      <c r="J1255" s="83" t="s">
        <v>96</v>
      </c>
      <c r="M1255" s="61" t="n">
        <v>0.8</v>
      </c>
      <c r="N1255" s="61" t="s">
        <v>20</v>
      </c>
      <c r="R1255" s="82" t="str">
        <f aca="false">VLOOKUP(J1255,ingredient!$N$4:$O$553,2,0)</f>
        <v>salt</v>
      </c>
      <c r="U1255" s="81" t="str">
        <f aca="false">I1255</f>
        <v>ALU CHURCHURY</v>
      </c>
      <c r="V1255" s="81" t="n">
        <f aca="false">VLOOKUP(U1255,recipe_ingred_list!$A$2:$B$300,2,0)</f>
        <v>3</v>
      </c>
      <c r="W1255" s="81" t="str">
        <f aca="false">"/recipes/"&amp;VLOOKUP(U1255,recipe_ingred_list!$A$2:$C$300,3,0)&amp;"/detail/"</f>
        <v>/recipes/alu-churchury/detail/</v>
      </c>
      <c r="X1255" s="81" t="str">
        <f aca="false">J1255</f>
        <v>salt</v>
      </c>
      <c r="Y1255" s="81" t="str">
        <f aca="false">R1255</f>
        <v>salt</v>
      </c>
      <c r="Z1255" s="94" t="n">
        <f aca="false">VLOOKUP(Y1255,recipe_ingred_list!$D$2:$E$500,2,0)</f>
        <v>177</v>
      </c>
      <c r="AA1255" s="61" t="n">
        <f aca="false">K1255</f>
        <v>0</v>
      </c>
      <c r="AB1255" s="61" t="n">
        <f aca="false">L1255</f>
        <v>0</v>
      </c>
      <c r="AC1255" s="61" t="n">
        <f aca="false">VLOOKUP(AB1255,recipe_ingred_list!$K$2:$M$7,3,0)</f>
        <v>2</v>
      </c>
      <c r="AD1255" s="61" t="n">
        <f aca="false">M1255</f>
        <v>0.8</v>
      </c>
      <c r="AE1255" s="61" t="str">
        <f aca="false">N1255</f>
        <v>cup</v>
      </c>
      <c r="AF1255" s="61" t="n">
        <f aca="false">VLOOKUP(AE1255,recipe_ingred_list!$K$16:$M$25,3,0)</f>
        <v>5</v>
      </c>
      <c r="AG1255" s="61" t="n">
        <f aca="false">O1255</f>
        <v>0</v>
      </c>
      <c r="AH1255" s="61" t="n">
        <f aca="false">P1255</f>
        <v>0</v>
      </c>
      <c r="AI1255" s="61" t="n">
        <f aca="false">VLOOKUP(AH1255,recipe_ingred_list!$K$29:$M$34,3,0)</f>
        <v>3</v>
      </c>
      <c r="AJ1255" s="61" t="str">
        <f aca="false">IF(Q1255="","",Q1255)</f>
        <v/>
      </c>
      <c r="AK1255" s="61" t="n">
        <f aca="false">AK1254+1</f>
        <v>1255</v>
      </c>
      <c r="AL1255" s="61" t="str">
        <f aca="false">Y1255</f>
        <v>salt</v>
      </c>
      <c r="AM1255" s="81" t="str">
        <f aca="false">"a = Client().post('"&amp;W1255&amp;"', {'recipe' : '"&amp;V1255&amp;"', 'ingredient' : '"&amp;Z1255&amp;"', 'name' : '"&amp;X1255&amp;"', 'mass_unit' : '"&amp;AC1255&amp;"', 'mass_quantity' : '"&amp;ROUND(AA1255,3)&amp;"', 'volume_unit' : '"&amp;AF1255&amp;"', 'volume_quantity' : '"&amp;ROUND(AD1255,3)&amp;"', 'pieces_unit' : '"&amp;AI1255&amp;"', 'pieces_quantity' : '"&amp;ROUND(AG1255,3)&amp;"', 'cooking_notes' : '"&amp;AJ1255&amp;"'}).status_code; print('%s :: %s :: %s :: %s :: %s' %(a,"&amp;G1255&amp;",'"&amp;X1255&amp;"','"&amp;Y1255&amp;"','"&amp;U1255&amp;"'))"</f>
        <v>a = Client().post('/recipes/alu-churchury/detail/', {'recipe' : '3', 'ingredient' : '177', 'name' : 'salt', 'mass_unit' : '2', 'mass_quantity' : '0', 'volume_unit' : '5', 'volume_quantity' : '0.8', 'pieces_unit' : '3', 'pieces_quantity' : '0', 'cooking_notes' : ''}).status_code; print('%s :: %s :: %s :: %s :: %s' %(a,1255,'salt','salt','ALU CHURCHURY'))</v>
      </c>
    </row>
    <row r="1256" customFormat="false" ht="13.8" hidden="false" customHeight="false" outlineLevel="0" collapsed="false">
      <c r="G1256" s="80" t="n">
        <v>1256</v>
      </c>
      <c r="H1256" s="79"/>
      <c r="I1256" s="79"/>
      <c r="J1256" s="79"/>
      <c r="K1256" s="100"/>
      <c r="L1256" s="100"/>
      <c r="M1256" s="100"/>
      <c r="N1256" s="100"/>
      <c r="O1256" s="100"/>
      <c r="P1256" s="100"/>
      <c r="Q1256" s="102"/>
      <c r="R1256" s="99" t="e">
        <f aca="false">VLOOKUP(J1256,ingredient!$N$4:$O$553,2,0)</f>
        <v>#N/A</v>
      </c>
      <c r="S1256" s="98"/>
      <c r="T1256" s="98"/>
      <c r="U1256" s="81" t="n">
        <f aca="false">I1256</f>
        <v>0</v>
      </c>
      <c r="V1256" s="81" t="e">
        <f aca="false">VLOOKUP(U1256,recipe_ingred_list!$A$2:$B$300,2,0)</f>
        <v>#N/A</v>
      </c>
      <c r="W1256" s="81" t="e">
        <f aca="false">"/recipes/"&amp;VLOOKUP(U1256,recipe_ingred_list!$A$2:$C$300,3,0)&amp;"/detail/"</f>
        <v>#N/A</v>
      </c>
      <c r="X1256" s="81" t="n">
        <f aca="false">J1256</f>
        <v>0</v>
      </c>
      <c r="Y1256" s="81" t="e">
        <f aca="false">R1256</f>
        <v>#N/A</v>
      </c>
      <c r="Z1256" s="94" t="e">
        <f aca="false">VLOOKUP(Y1256,recipe_ingred_list!$D$2:$E$500,2,0)</f>
        <v>#N/A</v>
      </c>
      <c r="AA1256" s="61" t="n">
        <f aca="false">K1256</f>
        <v>0</v>
      </c>
      <c r="AB1256" s="61" t="n">
        <f aca="false">L1256</f>
        <v>0</v>
      </c>
      <c r="AC1256" s="61" t="n">
        <f aca="false">VLOOKUP(AB1256,recipe_ingred_list!$K$2:$M$7,3,0)</f>
        <v>2</v>
      </c>
      <c r="AD1256" s="61" t="n">
        <f aca="false">M1256</f>
        <v>0</v>
      </c>
      <c r="AE1256" s="61" t="n">
        <f aca="false">N1256</f>
        <v>0</v>
      </c>
      <c r="AF1256" s="61" t="n">
        <f aca="false">VLOOKUP(AE1256,recipe_ingred_list!$K$16:$M$25,3,0)</f>
        <v>1</v>
      </c>
      <c r="AG1256" s="61" t="n">
        <f aca="false">O1256</f>
        <v>0</v>
      </c>
      <c r="AH1256" s="61" t="n">
        <f aca="false">P1256</f>
        <v>0</v>
      </c>
      <c r="AI1256" s="61" t="n">
        <f aca="false">VLOOKUP(AH1256,recipe_ingred_list!$K$29:$M$34,3,0)</f>
        <v>3</v>
      </c>
      <c r="AJ1256" s="61" t="str">
        <f aca="false">IF(Q1256="","",Q1256)</f>
        <v/>
      </c>
      <c r="AK1256" s="61" t="n">
        <f aca="false">AK1255+1</f>
        <v>1256</v>
      </c>
      <c r="AL1256" s="61" t="e">
        <f aca="false">Y1256</f>
        <v>#N/A</v>
      </c>
      <c r="AM1256" s="81" t="e">
        <f aca="false">"a = Client().post('"&amp;W1256&amp;"', {'recipe' : '"&amp;V1256&amp;"', 'ingredient' : '"&amp;Z1256&amp;"', 'name' : '"&amp;X1256&amp;"', 'mass_unit' : '"&amp;AC1256&amp;"', 'mass_quantity' : '"&amp;ROUND(AA1256,3)&amp;"', 'volume_unit' : '"&amp;AF1256&amp;"', 'volume_quantity' : '"&amp;ROUND(AD1256,3)&amp;"', 'pieces_unit' : '"&amp;AI1256&amp;"', 'pieces_quantity' : '"&amp;ROUND(AG1256,3)&amp;"', 'cooking_notes' : '"&amp;AJ1256&amp;"'}).status_code; print('%s :: %s :: %s :: %s :: %s' %(a,"&amp;G1256&amp;",'"&amp;X1256&amp;"','"&amp;Y1256&amp;"','"&amp;U1256&amp;"'))"</f>
        <v>#N/A</v>
      </c>
    </row>
    <row r="1257" customFormat="false" ht="13.8" hidden="false" customHeight="false" outlineLevel="0" collapsed="false">
      <c r="G1257" s="80" t="n">
        <v>1257</v>
      </c>
      <c r="H1257" s="83"/>
      <c r="I1257" s="83" t="s">
        <v>280</v>
      </c>
      <c r="J1257" s="83" t="s">
        <v>496</v>
      </c>
      <c r="K1257" s="61" t="n">
        <v>3</v>
      </c>
      <c r="L1257" s="61" t="s">
        <v>7</v>
      </c>
      <c r="R1257" s="82" t="str">
        <f aca="false">VLOOKUP(J1257,ingredient!$N$4:$O$553,2,0)</f>
        <v>whole wheat flour</v>
      </c>
      <c r="U1257" s="81" t="str">
        <f aca="false">I1257</f>
        <v>PAV</v>
      </c>
      <c r="V1257" s="81" t="n">
        <f aca="false">VLOOKUP(U1257,recipe_ingred_list!$A$2:$B$300,2,0)</f>
        <v>57</v>
      </c>
      <c r="W1257" s="81" t="str">
        <f aca="false">"/recipes/"&amp;VLOOKUP(U1257,recipe_ingred_list!$A$2:$C$300,3,0)&amp;"/detail/"</f>
        <v>/recipes/pav/detail/</v>
      </c>
      <c r="X1257" s="81" t="str">
        <f aca="false">J1257</f>
        <v>whole wheat flour</v>
      </c>
      <c r="Y1257" s="81" t="str">
        <f aca="false">R1257</f>
        <v>whole wheat flour</v>
      </c>
      <c r="Z1257" s="94" t="n">
        <f aca="false">VLOOKUP(Y1257,recipe_ingred_list!$D$2:$E$500,2,0)</f>
        <v>207</v>
      </c>
      <c r="AA1257" s="61" t="n">
        <f aca="false">K1257</f>
        <v>3</v>
      </c>
      <c r="AB1257" s="61" t="str">
        <f aca="false">L1257</f>
        <v>kg</v>
      </c>
      <c r="AC1257" s="61" t="n">
        <f aca="false">VLOOKUP(AB1257,recipe_ingred_list!$K$2:$M$7,3,0)</f>
        <v>2</v>
      </c>
      <c r="AD1257" s="61" t="n">
        <f aca="false">M1257</f>
        <v>0</v>
      </c>
      <c r="AE1257" s="61" t="n">
        <f aca="false">N1257</f>
        <v>0</v>
      </c>
      <c r="AF1257" s="61" t="n">
        <f aca="false">VLOOKUP(AE1257,recipe_ingred_list!$K$16:$M$25,3,0)</f>
        <v>1</v>
      </c>
      <c r="AG1257" s="61" t="n">
        <f aca="false">O1257</f>
        <v>0</v>
      </c>
      <c r="AH1257" s="61" t="n">
        <f aca="false">P1257</f>
        <v>0</v>
      </c>
      <c r="AI1257" s="61" t="n">
        <f aca="false">VLOOKUP(AH1257,recipe_ingred_list!$K$29:$M$34,3,0)</f>
        <v>3</v>
      </c>
      <c r="AJ1257" s="61" t="str">
        <f aca="false">IF(Q1257="","",Q1257)</f>
        <v/>
      </c>
      <c r="AK1257" s="61" t="n">
        <f aca="false">AK1256+1</f>
        <v>1257</v>
      </c>
      <c r="AL1257" s="61" t="str">
        <f aca="false">Y1257</f>
        <v>whole wheat flour</v>
      </c>
      <c r="AM1257" s="81" t="str">
        <f aca="false">"a = Client().post('"&amp;W1257&amp;"', {'recipe' : '"&amp;V1257&amp;"', 'ingredient' : '"&amp;Z1257&amp;"', 'name' : '"&amp;X1257&amp;"', 'mass_unit' : '"&amp;AC1257&amp;"', 'mass_quantity' : '"&amp;ROUND(AA1257,3)&amp;"', 'volume_unit' : '"&amp;AF1257&amp;"', 'volume_quantity' : '"&amp;ROUND(AD1257,3)&amp;"', 'pieces_unit' : '"&amp;AI1257&amp;"', 'pieces_quantity' : '"&amp;ROUND(AG1257,3)&amp;"', 'cooking_notes' : '"&amp;AJ1257&amp;"'}).status_code; print('%s :: %s :: %s :: %s :: %s' %(a,"&amp;G1257&amp;",'"&amp;X1257&amp;"','"&amp;Y1257&amp;"','"&amp;U1257&amp;"'))"</f>
        <v>a = Client().post('/recipes/pav/detail/', {'recipe' : '57', 'ingredient' : '207', 'name' : 'whole wheat flour', 'mass_unit' : '2', 'mass_quantity' : '3', 'volume_unit' : '1', 'volume_quantity' : '0', 'pieces_unit' : '3', 'pieces_quantity' : '0', 'cooking_notes' : ''}).status_code; print('%s :: %s :: %s :: %s :: %s' %(a,1257,'whole wheat flour','whole wheat flour','PAV'))</v>
      </c>
    </row>
    <row r="1258" customFormat="false" ht="13.8" hidden="false" customHeight="false" outlineLevel="0" collapsed="false">
      <c r="G1258" s="80" t="n">
        <v>1258</v>
      </c>
      <c r="H1258" s="83"/>
      <c r="I1258" s="83" t="s">
        <v>280</v>
      </c>
      <c r="J1258" s="83" t="s">
        <v>433</v>
      </c>
      <c r="K1258" s="61" t="n">
        <v>2</v>
      </c>
      <c r="L1258" s="61" t="s">
        <v>7</v>
      </c>
      <c r="R1258" s="82" t="str">
        <f aca="false">VLOOKUP(J1258,ingredient!$N$4:$O$553,2,0)</f>
        <v>maida</v>
      </c>
      <c r="U1258" s="81" t="str">
        <f aca="false">I1258</f>
        <v>PAV</v>
      </c>
      <c r="V1258" s="81" t="n">
        <f aca="false">VLOOKUP(U1258,recipe_ingred_list!$A$2:$B$300,2,0)</f>
        <v>57</v>
      </c>
      <c r="W1258" s="81" t="str">
        <f aca="false">"/recipes/"&amp;VLOOKUP(U1258,recipe_ingred_list!$A$2:$C$300,3,0)&amp;"/detail/"</f>
        <v>/recipes/pav/detail/</v>
      </c>
      <c r="X1258" s="81" t="str">
        <f aca="false">J1258</f>
        <v>maida</v>
      </c>
      <c r="Y1258" s="81" t="str">
        <f aca="false">R1258</f>
        <v>maida</v>
      </c>
      <c r="Z1258" s="94" t="n">
        <f aca="false">VLOOKUP(Y1258,recipe_ingred_list!$D$2:$E$500,2,0)</f>
        <v>139</v>
      </c>
      <c r="AA1258" s="61" t="n">
        <f aca="false">K1258</f>
        <v>2</v>
      </c>
      <c r="AB1258" s="61" t="str">
        <f aca="false">L1258</f>
        <v>kg</v>
      </c>
      <c r="AC1258" s="61" t="n">
        <f aca="false">VLOOKUP(AB1258,recipe_ingred_list!$K$2:$M$7,3,0)</f>
        <v>2</v>
      </c>
      <c r="AD1258" s="61" t="n">
        <f aca="false">M1258</f>
        <v>0</v>
      </c>
      <c r="AE1258" s="61" t="n">
        <f aca="false">N1258</f>
        <v>0</v>
      </c>
      <c r="AF1258" s="61" t="n">
        <f aca="false">VLOOKUP(AE1258,recipe_ingred_list!$K$16:$M$25,3,0)</f>
        <v>1</v>
      </c>
      <c r="AG1258" s="61" t="n">
        <f aca="false">O1258</f>
        <v>0</v>
      </c>
      <c r="AH1258" s="61" t="n">
        <f aca="false">P1258</f>
        <v>0</v>
      </c>
      <c r="AI1258" s="61" t="n">
        <f aca="false">VLOOKUP(AH1258,recipe_ingred_list!$K$29:$M$34,3,0)</f>
        <v>3</v>
      </c>
      <c r="AJ1258" s="61" t="str">
        <f aca="false">IF(Q1258="","",Q1258)</f>
        <v/>
      </c>
      <c r="AK1258" s="61" t="n">
        <f aca="false">AK1257+1</f>
        <v>1258</v>
      </c>
      <c r="AL1258" s="61" t="str">
        <f aca="false">Y1258</f>
        <v>maida</v>
      </c>
      <c r="AM1258" s="81" t="str">
        <f aca="false">"a = Client().post('"&amp;W1258&amp;"', {'recipe' : '"&amp;V1258&amp;"', 'ingredient' : '"&amp;Z1258&amp;"', 'name' : '"&amp;X1258&amp;"', 'mass_unit' : '"&amp;AC1258&amp;"', 'mass_quantity' : '"&amp;ROUND(AA1258,3)&amp;"', 'volume_unit' : '"&amp;AF1258&amp;"', 'volume_quantity' : '"&amp;ROUND(AD1258,3)&amp;"', 'pieces_unit' : '"&amp;AI1258&amp;"', 'pieces_quantity' : '"&amp;ROUND(AG1258,3)&amp;"', 'cooking_notes' : '"&amp;AJ1258&amp;"'}).status_code; print('%s :: %s :: %s :: %s :: %s' %(a,"&amp;G1258&amp;",'"&amp;X1258&amp;"','"&amp;Y1258&amp;"','"&amp;U1258&amp;"'))"</f>
        <v>a = Client().post('/recipes/pav/detail/', {'recipe' : '57', 'ingredient' : '139', 'name' : 'maida', 'mass_unit' : '2', 'mass_quantity' : '2', 'volume_unit' : '1', 'volume_quantity' : '0', 'pieces_unit' : '3', 'pieces_quantity' : '0', 'cooking_notes' : ''}).status_code; print('%s :: %s :: %s :: %s :: %s' %(a,1258,'maida','maida','PAV'))</v>
      </c>
    </row>
    <row r="1259" customFormat="false" ht="13.8" hidden="false" customHeight="false" outlineLevel="0" collapsed="false">
      <c r="G1259" s="80" t="n">
        <v>1259</v>
      </c>
      <c r="H1259" s="83"/>
      <c r="I1259" s="83" t="s">
        <v>280</v>
      </c>
      <c r="J1259" s="83" t="s">
        <v>216</v>
      </c>
      <c r="K1259" s="61" t="n">
        <v>12</v>
      </c>
      <c r="L1259" s="61" t="s">
        <v>109</v>
      </c>
      <c r="R1259" s="82" t="str">
        <f aca="false">VLOOKUP(J1259,ingredient!$N$4:$O$553,2,0)</f>
        <v>bread improver</v>
      </c>
      <c r="U1259" s="81" t="str">
        <f aca="false">I1259</f>
        <v>PAV</v>
      </c>
      <c r="V1259" s="81" t="n">
        <f aca="false">VLOOKUP(U1259,recipe_ingred_list!$A$2:$B$300,2,0)</f>
        <v>57</v>
      </c>
      <c r="W1259" s="81" t="str">
        <f aca="false">"/recipes/"&amp;VLOOKUP(U1259,recipe_ingred_list!$A$2:$C$300,3,0)&amp;"/detail/"</f>
        <v>/recipes/pav/detail/</v>
      </c>
      <c r="X1259" s="81" t="str">
        <f aca="false">J1259</f>
        <v>bread improver</v>
      </c>
      <c r="Y1259" s="81" t="str">
        <f aca="false">R1259</f>
        <v>bread improver</v>
      </c>
      <c r="Z1259" s="94" t="n">
        <f aca="false">VLOOKUP(Y1259,recipe_ingred_list!$D$2:$E$500,2,0)</f>
        <v>35</v>
      </c>
      <c r="AA1259" s="61" t="n">
        <f aca="false">K1259</f>
        <v>12</v>
      </c>
      <c r="AB1259" s="61" t="str">
        <f aca="false">L1259</f>
        <v>gm</v>
      </c>
      <c r="AC1259" s="61" t="n">
        <f aca="false">VLOOKUP(AB1259,recipe_ingred_list!$K$2:$M$7,3,0)</f>
        <v>7</v>
      </c>
      <c r="AD1259" s="61" t="n">
        <f aca="false">M1259</f>
        <v>0</v>
      </c>
      <c r="AE1259" s="61" t="n">
        <f aca="false">N1259</f>
        <v>0</v>
      </c>
      <c r="AF1259" s="61" t="n">
        <f aca="false">VLOOKUP(AE1259,recipe_ingred_list!$K$16:$M$25,3,0)</f>
        <v>1</v>
      </c>
      <c r="AG1259" s="61" t="n">
        <f aca="false">O1259</f>
        <v>0</v>
      </c>
      <c r="AH1259" s="61" t="n">
        <f aca="false">P1259</f>
        <v>0</v>
      </c>
      <c r="AI1259" s="61" t="n">
        <f aca="false">VLOOKUP(AH1259,recipe_ingred_list!$K$29:$M$34,3,0)</f>
        <v>3</v>
      </c>
      <c r="AJ1259" s="61" t="str">
        <f aca="false">IF(Q1259="","",Q1259)</f>
        <v/>
      </c>
      <c r="AK1259" s="61" t="n">
        <f aca="false">AK1258+1</f>
        <v>1259</v>
      </c>
      <c r="AL1259" s="61" t="str">
        <f aca="false">Y1259</f>
        <v>bread improver</v>
      </c>
      <c r="AM1259" s="81" t="str">
        <f aca="false">"a = Client().post('"&amp;W1259&amp;"', {'recipe' : '"&amp;V1259&amp;"', 'ingredient' : '"&amp;Z1259&amp;"', 'name' : '"&amp;X1259&amp;"', 'mass_unit' : '"&amp;AC1259&amp;"', 'mass_quantity' : '"&amp;ROUND(AA1259,3)&amp;"', 'volume_unit' : '"&amp;AF1259&amp;"', 'volume_quantity' : '"&amp;ROUND(AD1259,3)&amp;"', 'pieces_unit' : '"&amp;AI1259&amp;"', 'pieces_quantity' : '"&amp;ROUND(AG1259,3)&amp;"', 'cooking_notes' : '"&amp;AJ1259&amp;"'}).status_code; print('%s :: %s :: %s :: %s :: %s' %(a,"&amp;G1259&amp;",'"&amp;X1259&amp;"','"&amp;Y1259&amp;"','"&amp;U1259&amp;"'))"</f>
        <v>a = Client().post('/recipes/pav/detail/', {'recipe' : '57', 'ingredient' : '35', 'name' : 'bread improver', 'mass_unit' : '7', 'mass_quantity' : '12', 'volume_unit' : '1', 'volume_quantity' : '0', 'pieces_unit' : '3', 'pieces_quantity' : '0', 'cooking_notes' : ''}).status_code; print('%s :: %s :: %s :: %s :: %s' %(a,1259,'bread improver','bread improver','PAV'))</v>
      </c>
    </row>
    <row r="1260" customFormat="false" ht="13.8" hidden="false" customHeight="false" outlineLevel="0" collapsed="false">
      <c r="G1260" s="80" t="n">
        <v>1260</v>
      </c>
      <c r="H1260" s="83"/>
      <c r="I1260" s="83" t="s">
        <v>280</v>
      </c>
      <c r="J1260" s="83" t="s">
        <v>234</v>
      </c>
      <c r="K1260" s="61" t="n">
        <v>12</v>
      </c>
      <c r="L1260" s="61" t="s">
        <v>109</v>
      </c>
      <c r="R1260" s="82" t="str">
        <f aca="false">VLOOKUP(J1260,ingredient!$N$4:$O$553,2,0)</f>
        <v>calcium</v>
      </c>
      <c r="U1260" s="81" t="str">
        <f aca="false">I1260</f>
        <v>PAV</v>
      </c>
      <c r="V1260" s="81" t="n">
        <f aca="false">VLOOKUP(U1260,recipe_ingred_list!$A$2:$B$300,2,0)</f>
        <v>57</v>
      </c>
      <c r="W1260" s="81" t="str">
        <f aca="false">"/recipes/"&amp;VLOOKUP(U1260,recipe_ingred_list!$A$2:$C$300,3,0)&amp;"/detail/"</f>
        <v>/recipes/pav/detail/</v>
      </c>
      <c r="X1260" s="81" t="str">
        <f aca="false">J1260</f>
        <v>calcium</v>
      </c>
      <c r="Y1260" s="81" t="str">
        <f aca="false">R1260</f>
        <v>calcium</v>
      </c>
      <c r="Z1260" s="94" t="n">
        <f aca="false">VLOOKUP(Y1260,recipe_ingred_list!$D$2:$E$500,2,0)</f>
        <v>41</v>
      </c>
      <c r="AA1260" s="61" t="n">
        <f aca="false">K1260</f>
        <v>12</v>
      </c>
      <c r="AB1260" s="61" t="str">
        <f aca="false">L1260</f>
        <v>gm</v>
      </c>
      <c r="AC1260" s="61" t="n">
        <f aca="false">VLOOKUP(AB1260,recipe_ingred_list!$K$2:$M$7,3,0)</f>
        <v>7</v>
      </c>
      <c r="AD1260" s="61" t="n">
        <f aca="false">M1260</f>
        <v>0</v>
      </c>
      <c r="AE1260" s="61" t="n">
        <f aca="false">N1260</f>
        <v>0</v>
      </c>
      <c r="AF1260" s="61" t="n">
        <f aca="false">VLOOKUP(AE1260,recipe_ingred_list!$K$16:$M$25,3,0)</f>
        <v>1</v>
      </c>
      <c r="AG1260" s="61" t="n">
        <f aca="false">O1260</f>
        <v>0</v>
      </c>
      <c r="AH1260" s="61" t="n">
        <f aca="false">P1260</f>
        <v>0</v>
      </c>
      <c r="AI1260" s="61" t="n">
        <f aca="false">VLOOKUP(AH1260,recipe_ingred_list!$K$29:$M$34,3,0)</f>
        <v>3</v>
      </c>
      <c r="AJ1260" s="61" t="str">
        <f aca="false">IF(Q1260="","",Q1260)</f>
        <v/>
      </c>
      <c r="AK1260" s="61" t="n">
        <f aca="false">AK1259+1</f>
        <v>1260</v>
      </c>
      <c r="AL1260" s="61" t="str">
        <f aca="false">Y1260</f>
        <v>calcium</v>
      </c>
      <c r="AM1260" s="81" t="str">
        <f aca="false">"a = Client().post('"&amp;W1260&amp;"', {'recipe' : '"&amp;V1260&amp;"', 'ingredient' : '"&amp;Z1260&amp;"', 'name' : '"&amp;X1260&amp;"', 'mass_unit' : '"&amp;AC1260&amp;"', 'mass_quantity' : '"&amp;ROUND(AA1260,3)&amp;"', 'volume_unit' : '"&amp;AF1260&amp;"', 'volume_quantity' : '"&amp;ROUND(AD1260,3)&amp;"', 'pieces_unit' : '"&amp;AI1260&amp;"', 'pieces_quantity' : '"&amp;ROUND(AG1260,3)&amp;"', 'cooking_notes' : '"&amp;AJ1260&amp;"'}).status_code; print('%s :: %s :: %s :: %s :: %s' %(a,"&amp;G1260&amp;",'"&amp;X1260&amp;"','"&amp;Y1260&amp;"','"&amp;U1260&amp;"'))"</f>
        <v>a = Client().post('/recipes/pav/detail/', {'recipe' : '57', 'ingredient' : '41', 'name' : 'calcium', 'mass_unit' : '7', 'mass_quantity' : '12', 'volume_unit' : '1', 'volume_quantity' : '0', 'pieces_unit' : '3', 'pieces_quantity' : '0', 'cooking_notes' : ''}).status_code; print('%s :: %s :: %s :: %s :: %s' %(a,1260,'calcium','calcium','PAV'))</v>
      </c>
    </row>
    <row r="1261" customFormat="false" ht="13.8" hidden="false" customHeight="false" outlineLevel="0" collapsed="false">
      <c r="G1261" s="80" t="n">
        <v>1261</v>
      </c>
      <c r="H1261" s="83"/>
      <c r="I1261" s="83" t="s">
        <v>280</v>
      </c>
      <c r="J1261" s="83" t="s">
        <v>497</v>
      </c>
      <c r="K1261" s="61" t="n">
        <v>36</v>
      </c>
      <c r="L1261" s="61" t="s">
        <v>109</v>
      </c>
      <c r="R1261" s="82" t="str">
        <f aca="false">VLOOKUP(J1261,ingredient!$N$4:$O$553,2,0)</f>
        <v>yeast</v>
      </c>
      <c r="U1261" s="81" t="str">
        <f aca="false">I1261</f>
        <v>PAV</v>
      </c>
      <c r="V1261" s="81" t="n">
        <f aca="false">VLOOKUP(U1261,recipe_ingred_list!$A$2:$B$300,2,0)</f>
        <v>57</v>
      </c>
      <c r="W1261" s="81" t="str">
        <f aca="false">"/recipes/"&amp;VLOOKUP(U1261,recipe_ingred_list!$A$2:$C$300,3,0)&amp;"/detail/"</f>
        <v>/recipes/pav/detail/</v>
      </c>
      <c r="X1261" s="81" t="str">
        <f aca="false">J1261</f>
        <v>yeast</v>
      </c>
      <c r="Y1261" s="81" t="str">
        <f aca="false">R1261</f>
        <v>yeast</v>
      </c>
      <c r="Z1261" s="94" t="n">
        <f aca="false">VLOOKUP(Y1261,recipe_ingred_list!$D$2:$E$500,2,0)</f>
        <v>208</v>
      </c>
      <c r="AA1261" s="61" t="n">
        <f aca="false">K1261</f>
        <v>36</v>
      </c>
      <c r="AB1261" s="61" t="str">
        <f aca="false">L1261</f>
        <v>gm</v>
      </c>
      <c r="AC1261" s="61" t="n">
        <f aca="false">VLOOKUP(AB1261,recipe_ingred_list!$K$2:$M$7,3,0)</f>
        <v>7</v>
      </c>
      <c r="AD1261" s="61" t="n">
        <f aca="false">M1261</f>
        <v>0</v>
      </c>
      <c r="AE1261" s="61" t="n">
        <f aca="false">N1261</f>
        <v>0</v>
      </c>
      <c r="AF1261" s="61" t="n">
        <f aca="false">VLOOKUP(AE1261,recipe_ingred_list!$K$16:$M$25,3,0)</f>
        <v>1</v>
      </c>
      <c r="AG1261" s="61" t="n">
        <f aca="false">O1261</f>
        <v>0</v>
      </c>
      <c r="AH1261" s="61" t="n">
        <f aca="false">P1261</f>
        <v>0</v>
      </c>
      <c r="AI1261" s="61" t="n">
        <f aca="false">VLOOKUP(AH1261,recipe_ingred_list!$K$29:$M$34,3,0)</f>
        <v>3</v>
      </c>
      <c r="AJ1261" s="61" t="str">
        <f aca="false">IF(Q1261="","",Q1261)</f>
        <v/>
      </c>
      <c r="AK1261" s="61" t="n">
        <f aca="false">AK1260+1</f>
        <v>1261</v>
      </c>
      <c r="AL1261" s="61" t="str">
        <f aca="false">Y1261</f>
        <v>yeast</v>
      </c>
      <c r="AM1261" s="81" t="str">
        <f aca="false">"a = Client().post('"&amp;W1261&amp;"', {'recipe' : '"&amp;V1261&amp;"', 'ingredient' : '"&amp;Z1261&amp;"', 'name' : '"&amp;X1261&amp;"', 'mass_unit' : '"&amp;AC1261&amp;"', 'mass_quantity' : '"&amp;ROUND(AA1261,3)&amp;"', 'volume_unit' : '"&amp;AF1261&amp;"', 'volume_quantity' : '"&amp;ROUND(AD1261,3)&amp;"', 'pieces_unit' : '"&amp;AI1261&amp;"', 'pieces_quantity' : '"&amp;ROUND(AG1261,3)&amp;"', 'cooking_notes' : '"&amp;AJ1261&amp;"'}).status_code; print('%s :: %s :: %s :: %s :: %s' %(a,"&amp;G1261&amp;",'"&amp;X1261&amp;"','"&amp;Y1261&amp;"','"&amp;U1261&amp;"'))"</f>
        <v>a = Client().post('/recipes/pav/detail/', {'recipe' : '57', 'ingredient' : '208', 'name' : 'yeast', 'mass_unit' : '7', 'mass_quantity' : '36', 'volume_unit' : '1', 'volume_quantity' : '0', 'pieces_unit' : '3', 'pieces_quantity' : '0', 'cooking_notes' : ''}).status_code; print('%s :: %s :: %s :: %s :: %s' %(a,1261,'yeast','yeast','PAV'))</v>
      </c>
    </row>
    <row r="1262" customFormat="false" ht="13.8" hidden="false" customHeight="false" outlineLevel="0" collapsed="false">
      <c r="G1262" s="80" t="n">
        <v>1262</v>
      </c>
      <c r="H1262" s="83"/>
      <c r="I1262" s="83" t="s">
        <v>280</v>
      </c>
      <c r="J1262" s="83" t="s">
        <v>44</v>
      </c>
      <c r="K1262" s="61" t="n">
        <v>125</v>
      </c>
      <c r="L1262" s="61" t="s">
        <v>109</v>
      </c>
      <c r="R1262" s="82" t="str">
        <f aca="false">VLOOKUP(J1262,ingredient!$N$4:$O$553,2,0)</f>
        <v>sugar</v>
      </c>
      <c r="U1262" s="81" t="str">
        <f aca="false">I1262</f>
        <v>PAV</v>
      </c>
      <c r="V1262" s="81" t="n">
        <f aca="false">VLOOKUP(U1262,recipe_ingred_list!$A$2:$B$300,2,0)</f>
        <v>57</v>
      </c>
      <c r="W1262" s="81" t="str">
        <f aca="false">"/recipes/"&amp;VLOOKUP(U1262,recipe_ingred_list!$A$2:$C$300,3,0)&amp;"/detail/"</f>
        <v>/recipes/pav/detail/</v>
      </c>
      <c r="X1262" s="81" t="str">
        <f aca="false">J1262</f>
        <v>sugar</v>
      </c>
      <c r="Y1262" s="81" t="str">
        <f aca="false">R1262</f>
        <v>sugar</v>
      </c>
      <c r="Z1262" s="94" t="n">
        <f aca="false">VLOOKUP(Y1262,recipe_ingred_list!$D$2:$E$500,2,0)</f>
        <v>187</v>
      </c>
      <c r="AA1262" s="61" t="n">
        <f aca="false">K1262</f>
        <v>125</v>
      </c>
      <c r="AB1262" s="61" t="str">
        <f aca="false">L1262</f>
        <v>gm</v>
      </c>
      <c r="AC1262" s="61" t="n">
        <f aca="false">VLOOKUP(AB1262,recipe_ingred_list!$K$2:$M$7,3,0)</f>
        <v>7</v>
      </c>
      <c r="AD1262" s="61" t="n">
        <f aca="false">M1262</f>
        <v>0</v>
      </c>
      <c r="AE1262" s="61" t="n">
        <f aca="false">N1262</f>
        <v>0</v>
      </c>
      <c r="AF1262" s="61" t="n">
        <f aca="false">VLOOKUP(AE1262,recipe_ingred_list!$K$16:$M$25,3,0)</f>
        <v>1</v>
      </c>
      <c r="AG1262" s="61" t="n">
        <f aca="false">O1262</f>
        <v>0</v>
      </c>
      <c r="AH1262" s="61" t="n">
        <f aca="false">P1262</f>
        <v>0</v>
      </c>
      <c r="AI1262" s="61" t="n">
        <f aca="false">VLOOKUP(AH1262,recipe_ingred_list!$K$29:$M$34,3,0)</f>
        <v>3</v>
      </c>
      <c r="AJ1262" s="61" t="str">
        <f aca="false">IF(Q1262="","",Q1262)</f>
        <v/>
      </c>
      <c r="AK1262" s="61" t="n">
        <f aca="false">AK1261+1</f>
        <v>1262</v>
      </c>
      <c r="AL1262" s="61" t="str">
        <f aca="false">Y1262</f>
        <v>sugar</v>
      </c>
      <c r="AM1262" s="81" t="str">
        <f aca="false">"a = Client().post('"&amp;W1262&amp;"', {'recipe' : '"&amp;V1262&amp;"', 'ingredient' : '"&amp;Z1262&amp;"', 'name' : '"&amp;X1262&amp;"', 'mass_unit' : '"&amp;AC1262&amp;"', 'mass_quantity' : '"&amp;ROUND(AA1262,3)&amp;"', 'volume_unit' : '"&amp;AF1262&amp;"', 'volume_quantity' : '"&amp;ROUND(AD1262,3)&amp;"', 'pieces_unit' : '"&amp;AI1262&amp;"', 'pieces_quantity' : '"&amp;ROUND(AG1262,3)&amp;"', 'cooking_notes' : '"&amp;AJ1262&amp;"'}).status_code; print('%s :: %s :: %s :: %s :: %s' %(a,"&amp;G1262&amp;",'"&amp;X1262&amp;"','"&amp;Y1262&amp;"','"&amp;U1262&amp;"'))"</f>
        <v>a = Client().post('/recipes/pav/detail/', {'recipe' : '57', 'ingredient' : '187', 'name' : 'sugar', 'mass_unit' : '7', 'mass_quantity' : '125', 'volume_unit' : '1', 'volume_quantity' : '0', 'pieces_unit' : '3', 'pieces_quantity' : '0', 'cooking_notes' : ''}).status_code; print('%s :: %s :: %s :: %s :: %s' %(a,1262,'sugar','sugar','PAV'))</v>
      </c>
    </row>
    <row r="1263" customFormat="false" ht="13.8" hidden="false" customHeight="false" outlineLevel="0" collapsed="false">
      <c r="G1263" s="80" t="n">
        <v>1263</v>
      </c>
      <c r="H1263" s="83"/>
      <c r="I1263" s="83" t="s">
        <v>280</v>
      </c>
      <c r="J1263" s="83" t="s">
        <v>377</v>
      </c>
      <c r="M1263" s="61" t="n">
        <v>1</v>
      </c>
      <c r="N1263" s="61" t="s">
        <v>20</v>
      </c>
      <c r="R1263" s="82" t="str">
        <f aca="false">VLOOKUP(J1263,ingredient!$N$4:$O$553,2,0)</f>
        <v>ground nut oil</v>
      </c>
      <c r="U1263" s="81" t="str">
        <f aca="false">I1263</f>
        <v>PAV</v>
      </c>
      <c r="V1263" s="81" t="n">
        <f aca="false">VLOOKUP(U1263,recipe_ingred_list!$A$2:$B$300,2,0)</f>
        <v>57</v>
      </c>
      <c r="W1263" s="81" t="str">
        <f aca="false">"/recipes/"&amp;VLOOKUP(U1263,recipe_ingred_list!$A$2:$C$300,3,0)&amp;"/detail/"</f>
        <v>/recipes/pav/detail/</v>
      </c>
      <c r="X1263" s="81" t="str">
        <f aca="false">J1263</f>
        <v>ground nut oil</v>
      </c>
      <c r="Y1263" s="81" t="str">
        <f aca="false">R1263</f>
        <v>ground nut oil</v>
      </c>
      <c r="Z1263" s="94" t="n">
        <f aca="false">VLOOKUP(Y1263,recipe_ingred_list!$D$2:$E$500,2,0)</f>
        <v>89</v>
      </c>
      <c r="AA1263" s="61" t="n">
        <f aca="false">K1263</f>
        <v>0</v>
      </c>
      <c r="AB1263" s="61" t="n">
        <f aca="false">L1263</f>
        <v>0</v>
      </c>
      <c r="AC1263" s="61" t="n">
        <f aca="false">VLOOKUP(AB1263,recipe_ingred_list!$K$2:$M$7,3,0)</f>
        <v>2</v>
      </c>
      <c r="AD1263" s="61" t="n">
        <f aca="false">M1263</f>
        <v>1</v>
      </c>
      <c r="AE1263" s="61" t="str">
        <f aca="false">N1263</f>
        <v>cup</v>
      </c>
      <c r="AF1263" s="61" t="n">
        <f aca="false">VLOOKUP(AE1263,recipe_ingred_list!$K$16:$M$25,3,0)</f>
        <v>5</v>
      </c>
      <c r="AG1263" s="61" t="n">
        <f aca="false">O1263</f>
        <v>0</v>
      </c>
      <c r="AH1263" s="61" t="n">
        <f aca="false">P1263</f>
        <v>0</v>
      </c>
      <c r="AI1263" s="61" t="n">
        <f aca="false">VLOOKUP(AH1263,recipe_ingred_list!$K$29:$M$34,3,0)</f>
        <v>3</v>
      </c>
      <c r="AJ1263" s="61" t="str">
        <f aca="false">IF(Q1263="","",Q1263)</f>
        <v/>
      </c>
      <c r="AK1263" s="61" t="n">
        <f aca="false">AK1262+1</f>
        <v>1263</v>
      </c>
      <c r="AL1263" s="61" t="str">
        <f aca="false">Y1263</f>
        <v>ground nut oil</v>
      </c>
      <c r="AM1263" s="81" t="str">
        <f aca="false">"a = Client().post('"&amp;W1263&amp;"', {'recipe' : '"&amp;V1263&amp;"', 'ingredient' : '"&amp;Z1263&amp;"', 'name' : '"&amp;X1263&amp;"', 'mass_unit' : '"&amp;AC1263&amp;"', 'mass_quantity' : '"&amp;ROUND(AA1263,3)&amp;"', 'volume_unit' : '"&amp;AF1263&amp;"', 'volume_quantity' : '"&amp;ROUND(AD1263,3)&amp;"', 'pieces_unit' : '"&amp;AI1263&amp;"', 'pieces_quantity' : '"&amp;ROUND(AG1263,3)&amp;"', 'cooking_notes' : '"&amp;AJ1263&amp;"'}).status_code; print('%s :: %s :: %s :: %s :: %s' %(a,"&amp;G1263&amp;",'"&amp;X1263&amp;"','"&amp;Y1263&amp;"','"&amp;U1263&amp;"'))"</f>
        <v>a = Client().post('/recipes/pav/detail/', {'recipe' : '57', 'ingredient' : '89', 'name' : 'ground nut oil', 'mass_unit' : '2', 'mass_quantity' : '0', 'volume_unit' : '5', 'volume_quantity' : '1', 'pieces_unit' : '3', 'pieces_quantity' : '0', 'cooking_notes' : ''}).status_code; print('%s :: %s :: %s :: %s :: %s' %(a,1263,'ground nut oil','ground nut oil','PAV'))</v>
      </c>
    </row>
    <row r="1264" customFormat="false" ht="13.8" hidden="false" customHeight="false" outlineLevel="0" collapsed="false">
      <c r="G1264" s="80" t="n">
        <v>1264</v>
      </c>
      <c r="H1264" s="83"/>
      <c r="I1264" s="83" t="s">
        <v>280</v>
      </c>
      <c r="J1264" s="83" t="s">
        <v>96</v>
      </c>
      <c r="M1264" s="61" t="n">
        <v>0.7</v>
      </c>
      <c r="N1264" s="61" t="s">
        <v>20</v>
      </c>
      <c r="R1264" s="82" t="str">
        <f aca="false">VLOOKUP(J1264,ingredient!$N$4:$O$553,2,0)</f>
        <v>salt</v>
      </c>
      <c r="U1264" s="81" t="str">
        <f aca="false">I1264</f>
        <v>PAV</v>
      </c>
      <c r="V1264" s="81" t="n">
        <f aca="false">VLOOKUP(U1264,recipe_ingred_list!$A$2:$B$300,2,0)</f>
        <v>57</v>
      </c>
      <c r="W1264" s="81" t="str">
        <f aca="false">"/recipes/"&amp;VLOOKUP(U1264,recipe_ingred_list!$A$2:$C$300,3,0)&amp;"/detail/"</f>
        <v>/recipes/pav/detail/</v>
      </c>
      <c r="X1264" s="81" t="str">
        <f aca="false">J1264</f>
        <v>salt</v>
      </c>
      <c r="Y1264" s="81" t="str">
        <f aca="false">R1264</f>
        <v>salt</v>
      </c>
      <c r="Z1264" s="94" t="n">
        <f aca="false">VLOOKUP(Y1264,recipe_ingred_list!$D$2:$E$500,2,0)</f>
        <v>177</v>
      </c>
      <c r="AA1264" s="61" t="n">
        <f aca="false">K1264</f>
        <v>0</v>
      </c>
      <c r="AB1264" s="61" t="n">
        <f aca="false">L1264</f>
        <v>0</v>
      </c>
      <c r="AC1264" s="61" t="n">
        <f aca="false">VLOOKUP(AB1264,recipe_ingred_list!$K$2:$M$7,3,0)</f>
        <v>2</v>
      </c>
      <c r="AD1264" s="61" t="n">
        <f aca="false">M1264</f>
        <v>0.7</v>
      </c>
      <c r="AE1264" s="61" t="str">
        <f aca="false">N1264</f>
        <v>cup</v>
      </c>
      <c r="AF1264" s="61" t="n">
        <f aca="false">VLOOKUP(AE1264,recipe_ingred_list!$K$16:$M$25,3,0)</f>
        <v>5</v>
      </c>
      <c r="AG1264" s="61" t="n">
        <f aca="false">O1264</f>
        <v>0</v>
      </c>
      <c r="AH1264" s="61" t="n">
        <f aca="false">P1264</f>
        <v>0</v>
      </c>
      <c r="AI1264" s="61" t="n">
        <f aca="false">VLOOKUP(AH1264,recipe_ingred_list!$K$29:$M$34,3,0)</f>
        <v>3</v>
      </c>
      <c r="AJ1264" s="61" t="str">
        <f aca="false">IF(Q1264="","",Q1264)</f>
        <v/>
      </c>
      <c r="AK1264" s="61" t="n">
        <f aca="false">AK1263+1</f>
        <v>1264</v>
      </c>
      <c r="AL1264" s="61" t="str">
        <f aca="false">Y1264</f>
        <v>salt</v>
      </c>
      <c r="AM1264" s="81" t="str">
        <f aca="false">"a = Client().post('"&amp;W1264&amp;"', {'recipe' : '"&amp;V1264&amp;"', 'ingredient' : '"&amp;Z1264&amp;"', 'name' : '"&amp;X1264&amp;"', 'mass_unit' : '"&amp;AC1264&amp;"', 'mass_quantity' : '"&amp;ROUND(AA1264,3)&amp;"', 'volume_unit' : '"&amp;AF1264&amp;"', 'volume_quantity' : '"&amp;ROUND(AD1264,3)&amp;"', 'pieces_unit' : '"&amp;AI1264&amp;"', 'pieces_quantity' : '"&amp;ROUND(AG1264,3)&amp;"', 'cooking_notes' : '"&amp;AJ1264&amp;"'}).status_code; print('%s :: %s :: %s :: %s :: %s' %(a,"&amp;G1264&amp;",'"&amp;X1264&amp;"','"&amp;Y1264&amp;"','"&amp;U1264&amp;"'))"</f>
        <v>a = Client().post('/recipes/pav/detail/', {'recipe' : '57', 'ingredient' : '177', 'name' : 'salt', 'mass_unit' : '2', 'mass_quantity' : '0', 'volume_unit' : '5', 'volume_quantity' : '0.7', 'pieces_unit' : '3', 'pieces_quantity' : '0', 'cooking_notes' : ''}).status_code; print('%s :: %s :: %s :: %s :: %s' %(a,1264,'salt','salt','PAV'))</v>
      </c>
    </row>
    <row r="1265" customFormat="false" ht="13.8" hidden="false" customHeight="false" outlineLevel="0" collapsed="false">
      <c r="G1265" s="80" t="n">
        <v>1265</v>
      </c>
      <c r="H1265" s="79"/>
      <c r="I1265" s="83" t="s">
        <v>280</v>
      </c>
      <c r="J1265" s="79" t="s">
        <v>503</v>
      </c>
      <c r="K1265" s="100"/>
      <c r="L1265" s="100"/>
      <c r="M1265" s="100" t="n">
        <v>3.5</v>
      </c>
      <c r="N1265" s="100" t="s">
        <v>13</v>
      </c>
      <c r="O1265" s="100"/>
      <c r="P1265" s="100"/>
      <c r="Q1265" s="102"/>
      <c r="R1265" s="99" t="str">
        <f aca="false">VLOOKUP(J1265,ingredient!$N$4:$O$553,2,0)</f>
        <v>water</v>
      </c>
      <c r="S1265" s="98"/>
      <c r="T1265" s="98"/>
      <c r="U1265" s="81" t="str">
        <f aca="false">I1265</f>
        <v>PAV</v>
      </c>
      <c r="V1265" s="81" t="n">
        <f aca="false">VLOOKUP(U1265,recipe_ingred_list!$A$2:$B$300,2,0)</f>
        <v>57</v>
      </c>
      <c r="W1265" s="81" t="str">
        <f aca="false">"/recipes/"&amp;VLOOKUP(U1265,recipe_ingred_list!$A$2:$C$300,3,0)&amp;"/detail/"</f>
        <v>/recipes/pav/detail/</v>
      </c>
      <c r="X1265" s="81" t="str">
        <f aca="false">J1265</f>
        <v>water</v>
      </c>
      <c r="Y1265" s="81" t="str">
        <f aca="false">R1265</f>
        <v>water</v>
      </c>
      <c r="Z1265" s="94" t="n">
        <f aca="false">VLOOKUP(Y1265,recipe_ingred_list!$D$2:$E$500,2,0)</f>
        <v>214</v>
      </c>
      <c r="AA1265" s="61" t="n">
        <f aca="false">K1265</f>
        <v>0</v>
      </c>
      <c r="AB1265" s="61" t="n">
        <f aca="false">L1265</f>
        <v>0</v>
      </c>
      <c r="AC1265" s="61" t="n">
        <f aca="false">VLOOKUP(AB1265,recipe_ingred_list!$K$2:$M$7,3,0)</f>
        <v>2</v>
      </c>
      <c r="AD1265" s="61" t="n">
        <f aca="false">M1265</f>
        <v>3.5</v>
      </c>
      <c r="AE1265" s="61" t="str">
        <f aca="false">N1265</f>
        <v>ltr</v>
      </c>
      <c r="AF1265" s="61" t="n">
        <f aca="false">VLOOKUP(AE1265,recipe_ingred_list!$K$16:$M$25,3,0)</f>
        <v>1</v>
      </c>
      <c r="AG1265" s="61" t="n">
        <f aca="false">O1265</f>
        <v>0</v>
      </c>
      <c r="AH1265" s="61" t="n">
        <f aca="false">P1265</f>
        <v>0</v>
      </c>
      <c r="AI1265" s="61" t="n">
        <f aca="false">VLOOKUP(AH1265,recipe_ingred_list!$K$29:$M$34,3,0)</f>
        <v>3</v>
      </c>
      <c r="AJ1265" s="61" t="str">
        <f aca="false">IF(Q1265="","",Q1265)</f>
        <v/>
      </c>
      <c r="AK1265" s="61" t="n">
        <f aca="false">AK1264+1</f>
        <v>1265</v>
      </c>
      <c r="AL1265" s="61" t="str">
        <f aca="false">Y1265</f>
        <v>water</v>
      </c>
      <c r="AM1265" s="81" t="str">
        <f aca="false">"a = Client().post('"&amp;W1265&amp;"', {'recipe' : '"&amp;V1265&amp;"', 'ingredient' : '"&amp;Z1265&amp;"', 'name' : '"&amp;X1265&amp;"', 'mass_unit' : '"&amp;AC1265&amp;"', 'mass_quantity' : '"&amp;ROUND(AA1265,3)&amp;"', 'volume_unit' : '"&amp;AF1265&amp;"', 'volume_quantity' : '"&amp;ROUND(AD1265,3)&amp;"', 'pieces_unit' : '"&amp;AI1265&amp;"', 'pieces_quantity' : '"&amp;ROUND(AG1265,3)&amp;"', 'cooking_notes' : '"&amp;AJ1265&amp;"'}).status_code; print('%s :: %s :: %s :: %s :: %s' %(a,"&amp;G1265&amp;",'"&amp;X1265&amp;"','"&amp;Y1265&amp;"','"&amp;U1265&amp;"'))"</f>
        <v>a = Client().post('/recipes/pav/detail/', {'recipe' : '57', 'ingredient' : '214', 'name' : 'water', 'mass_unit' : '2', 'mass_quantity' : '0', 'volume_unit' : '1', 'volume_quantity' : '3.5', 'pieces_unit' : '3', 'pieces_quantity' : '0', 'cooking_notes' : ''}).status_code; print('%s :: %s :: %s :: %s :: %s' %(a,1265,'water','water','PAV'))</v>
      </c>
    </row>
    <row r="1266" customFormat="false" ht="13.8" hidden="false" customHeight="false" outlineLevel="0" collapsed="false">
      <c r="G1266" s="80" t="n">
        <v>1266</v>
      </c>
      <c r="H1266" s="79"/>
      <c r="I1266" s="79"/>
      <c r="J1266" s="79"/>
      <c r="K1266" s="100"/>
      <c r="L1266" s="100"/>
      <c r="M1266" s="100"/>
      <c r="N1266" s="100"/>
      <c r="O1266" s="100"/>
      <c r="P1266" s="100"/>
      <c r="Q1266" s="102"/>
      <c r="R1266" s="99" t="e">
        <f aca="false">VLOOKUP(J1266,ingredient!$N$4:$O$553,2,0)</f>
        <v>#N/A</v>
      </c>
      <c r="S1266" s="98"/>
      <c r="T1266" s="98"/>
      <c r="U1266" s="81" t="n">
        <f aca="false">I1266</f>
        <v>0</v>
      </c>
      <c r="V1266" s="81" t="e">
        <f aca="false">VLOOKUP(U1266,recipe_ingred_list!$A$2:$B$300,2,0)</f>
        <v>#N/A</v>
      </c>
      <c r="W1266" s="81" t="e">
        <f aca="false">"/recipes/"&amp;VLOOKUP(U1266,recipe_ingred_list!$A$2:$C$300,3,0)&amp;"/detail/"</f>
        <v>#N/A</v>
      </c>
      <c r="X1266" s="81" t="n">
        <f aca="false">J1266</f>
        <v>0</v>
      </c>
      <c r="Y1266" s="81" t="e">
        <f aca="false">R1266</f>
        <v>#N/A</v>
      </c>
      <c r="Z1266" s="94" t="e">
        <f aca="false">VLOOKUP(Y1266,recipe_ingred_list!$D$2:$E$500,2,0)</f>
        <v>#N/A</v>
      </c>
      <c r="AA1266" s="61" t="n">
        <f aca="false">K1266</f>
        <v>0</v>
      </c>
      <c r="AB1266" s="61" t="n">
        <f aca="false">L1266</f>
        <v>0</v>
      </c>
      <c r="AC1266" s="61" t="n">
        <f aca="false">VLOOKUP(AB1266,recipe_ingred_list!$K$2:$M$7,3,0)</f>
        <v>2</v>
      </c>
      <c r="AD1266" s="61" t="n">
        <f aca="false">M1266</f>
        <v>0</v>
      </c>
      <c r="AE1266" s="61" t="n">
        <f aca="false">N1266</f>
        <v>0</v>
      </c>
      <c r="AF1266" s="61" t="n">
        <f aca="false">VLOOKUP(AE1266,recipe_ingred_list!$K$16:$M$25,3,0)</f>
        <v>1</v>
      </c>
      <c r="AG1266" s="61" t="n">
        <f aca="false">O1266</f>
        <v>0</v>
      </c>
      <c r="AH1266" s="61" t="n">
        <f aca="false">P1266</f>
        <v>0</v>
      </c>
      <c r="AI1266" s="61" t="n">
        <f aca="false">VLOOKUP(AH1266,recipe_ingred_list!$K$29:$M$34,3,0)</f>
        <v>3</v>
      </c>
      <c r="AJ1266" s="61" t="str">
        <f aca="false">IF(Q1266="","",Q1266)</f>
        <v/>
      </c>
      <c r="AK1266" s="61" t="n">
        <f aca="false">AK1265+1</f>
        <v>1266</v>
      </c>
      <c r="AL1266" s="61" t="e">
        <f aca="false">Y1266</f>
        <v>#N/A</v>
      </c>
      <c r="AM1266" s="81" t="e">
        <f aca="false">"a = Client().post('"&amp;W1266&amp;"', {'recipe' : '"&amp;V1266&amp;"', 'ingredient' : '"&amp;Z1266&amp;"', 'name' : '"&amp;X1266&amp;"', 'mass_unit' : '"&amp;AC1266&amp;"', 'mass_quantity' : '"&amp;ROUND(AA1266,3)&amp;"', 'volume_unit' : '"&amp;AF1266&amp;"', 'volume_quantity' : '"&amp;ROUND(AD1266,3)&amp;"', 'pieces_unit' : '"&amp;AI1266&amp;"', 'pieces_quantity' : '"&amp;ROUND(AG1266,3)&amp;"', 'cooking_notes' : '"&amp;AJ1266&amp;"'}).status_code; print('%s :: %s :: %s :: %s :: %s' %(a,"&amp;G1266&amp;",'"&amp;X1266&amp;"','"&amp;Y1266&amp;"','"&amp;U1266&amp;"'))"</f>
        <v>#N/A</v>
      </c>
    </row>
    <row r="1267" customFormat="false" ht="13.8" hidden="false" customHeight="false" outlineLevel="0" collapsed="false">
      <c r="G1267" s="80" t="n">
        <v>1267</v>
      </c>
      <c r="H1267" s="83"/>
      <c r="I1267" s="83" t="s">
        <v>301</v>
      </c>
      <c r="J1267" s="83" t="s">
        <v>918</v>
      </c>
      <c r="K1267" s="61" t="n">
        <v>3.5</v>
      </c>
      <c r="L1267" s="61" t="s">
        <v>7</v>
      </c>
      <c r="R1267" s="82" t="str">
        <f aca="false">VLOOKUP(J1267,ingredient!$N$4:$O$553,2,0)</f>
        <v>tomato</v>
      </c>
      <c r="U1267" s="81" t="str">
        <f aca="false">I1267</f>
        <v>RASAM</v>
      </c>
      <c r="V1267" s="81" t="n">
        <f aca="false">VLOOKUP(U1267,recipe_ingred_list!$A$2:$B$300,2,0)</f>
        <v>64</v>
      </c>
      <c r="W1267" s="81" t="str">
        <f aca="false">"/recipes/"&amp;VLOOKUP(U1267,recipe_ingred_list!$A$2:$C$300,3,0)&amp;"/detail/"</f>
        <v>/recipes/rasam/detail/</v>
      </c>
      <c r="X1267" s="81" t="str">
        <f aca="false">J1267</f>
        <v>tomato -pulvarize w/o jali</v>
      </c>
      <c r="Y1267" s="81" t="str">
        <f aca="false">R1267</f>
        <v>tomato</v>
      </c>
      <c r="Z1267" s="94" t="n">
        <f aca="false">VLOOKUP(Y1267,recipe_ingred_list!$D$2:$E$500,2,0)</f>
        <v>195</v>
      </c>
      <c r="AA1267" s="61" t="n">
        <f aca="false">K1267</f>
        <v>3.5</v>
      </c>
      <c r="AB1267" s="61" t="str">
        <f aca="false">L1267</f>
        <v>kg</v>
      </c>
      <c r="AC1267" s="61" t="n">
        <f aca="false">VLOOKUP(AB1267,recipe_ingred_list!$K$2:$M$7,3,0)</f>
        <v>2</v>
      </c>
      <c r="AD1267" s="61" t="n">
        <f aca="false">M1267</f>
        <v>0</v>
      </c>
      <c r="AE1267" s="61" t="n">
        <f aca="false">N1267</f>
        <v>0</v>
      </c>
      <c r="AF1267" s="61" t="n">
        <f aca="false">VLOOKUP(AE1267,recipe_ingred_list!$K$16:$M$25,3,0)</f>
        <v>1</v>
      </c>
      <c r="AG1267" s="61" t="n">
        <f aca="false">O1267</f>
        <v>0</v>
      </c>
      <c r="AH1267" s="61" t="n">
        <f aca="false">P1267</f>
        <v>0</v>
      </c>
      <c r="AI1267" s="61" t="n">
        <f aca="false">VLOOKUP(AH1267,recipe_ingred_list!$K$29:$M$34,3,0)</f>
        <v>3</v>
      </c>
      <c r="AJ1267" s="61" t="str">
        <f aca="false">IF(Q1267="","",Q1267)</f>
        <v/>
      </c>
      <c r="AK1267" s="61" t="n">
        <f aca="false">AK1266+1</f>
        <v>1267</v>
      </c>
      <c r="AL1267" s="61" t="str">
        <f aca="false">Y1267</f>
        <v>tomato</v>
      </c>
      <c r="AM1267" s="81" t="str">
        <f aca="false">"a = Client().post('"&amp;W1267&amp;"', {'recipe' : '"&amp;V1267&amp;"', 'ingredient' : '"&amp;Z1267&amp;"', 'name' : '"&amp;X1267&amp;"', 'mass_unit' : '"&amp;AC1267&amp;"', 'mass_quantity' : '"&amp;ROUND(AA1267,3)&amp;"', 'volume_unit' : '"&amp;AF1267&amp;"', 'volume_quantity' : '"&amp;ROUND(AD1267,3)&amp;"', 'pieces_unit' : '"&amp;AI1267&amp;"', 'pieces_quantity' : '"&amp;ROUND(AG1267,3)&amp;"', 'cooking_notes' : '"&amp;AJ1267&amp;"'}).status_code; print('%s :: %s :: %s :: %s :: %s' %(a,"&amp;G1267&amp;",'"&amp;X1267&amp;"','"&amp;Y1267&amp;"','"&amp;U1267&amp;"'))"</f>
        <v>a = Client().post('/recipes/rasam/detail/', {'recipe' : '64', 'ingredient' : '195', 'name' : 'tomato -pulvarize w/o jali', 'mass_unit' : '2', 'mass_quantity' : '3.5', 'volume_unit' : '1', 'volume_quantity' : '0', 'pieces_unit' : '3', 'pieces_quantity' : '0', 'cooking_notes' : ''}).status_code; print('%s :: %s :: %s :: %s :: %s' %(a,1267,'tomato -pulvarize w/o jali','tomato','RASAM'))</v>
      </c>
    </row>
    <row r="1268" customFormat="false" ht="13.8" hidden="false" customHeight="false" outlineLevel="0" collapsed="false">
      <c r="G1268" s="80" t="n">
        <v>1268</v>
      </c>
      <c r="H1268" s="83"/>
      <c r="I1268" s="83" t="s">
        <v>301</v>
      </c>
      <c r="J1268" s="83" t="s">
        <v>919</v>
      </c>
      <c r="M1268" s="61" t="n">
        <v>1</v>
      </c>
      <c r="N1268" s="61" t="s">
        <v>13</v>
      </c>
      <c r="R1268" s="82" t="str">
        <f aca="false">VLOOKUP(J1268,ingredient!$N$4:$O$553,2,0)</f>
        <v>dhaniya patta</v>
      </c>
      <c r="U1268" s="81" t="str">
        <f aca="false">I1268</f>
        <v>RASAM</v>
      </c>
      <c r="V1268" s="81" t="n">
        <f aca="false">VLOOKUP(U1268,recipe_ingred_list!$A$2:$B$300,2,0)</f>
        <v>64</v>
      </c>
      <c r="W1268" s="81" t="str">
        <f aca="false">"/recipes/"&amp;VLOOKUP(U1268,recipe_ingred_list!$A$2:$C$300,3,0)&amp;"/detail/"</f>
        <v>/recipes/rasam/detail/</v>
      </c>
      <c r="X1268" s="81" t="str">
        <f aca="false">J1268</f>
        <v>dhania patta</v>
      </c>
      <c r="Y1268" s="81" t="str">
        <f aca="false">R1268</f>
        <v>dhaniya patta</v>
      </c>
      <c r="Z1268" s="94" t="n">
        <f aca="false">VLOOKUP(Y1268,recipe_ingred_list!$D$2:$E$500,2,0)</f>
        <v>66</v>
      </c>
      <c r="AA1268" s="61" t="n">
        <f aca="false">K1268</f>
        <v>0</v>
      </c>
      <c r="AB1268" s="61" t="n">
        <f aca="false">L1268</f>
        <v>0</v>
      </c>
      <c r="AC1268" s="61" t="n">
        <f aca="false">VLOOKUP(AB1268,recipe_ingred_list!$K$2:$M$7,3,0)</f>
        <v>2</v>
      </c>
      <c r="AD1268" s="61" t="n">
        <f aca="false">M1268</f>
        <v>1</v>
      </c>
      <c r="AE1268" s="61" t="str">
        <f aca="false">N1268</f>
        <v>ltr</v>
      </c>
      <c r="AF1268" s="61" t="n">
        <f aca="false">VLOOKUP(AE1268,recipe_ingred_list!$K$16:$M$25,3,0)</f>
        <v>1</v>
      </c>
      <c r="AG1268" s="61" t="n">
        <f aca="false">O1268</f>
        <v>0</v>
      </c>
      <c r="AH1268" s="61" t="n">
        <f aca="false">P1268</f>
        <v>0</v>
      </c>
      <c r="AI1268" s="61" t="n">
        <f aca="false">VLOOKUP(AH1268,recipe_ingred_list!$K$29:$M$34,3,0)</f>
        <v>3</v>
      </c>
      <c r="AJ1268" s="61" t="str">
        <f aca="false">IF(Q1268="","",Q1268)</f>
        <v/>
      </c>
      <c r="AK1268" s="61" t="n">
        <f aca="false">AK1267+1</f>
        <v>1268</v>
      </c>
      <c r="AL1268" s="61" t="str">
        <f aca="false">Y1268</f>
        <v>dhaniya patta</v>
      </c>
      <c r="AM1268" s="81" t="str">
        <f aca="false">"a = Client().post('"&amp;W1268&amp;"', {'recipe' : '"&amp;V1268&amp;"', 'ingredient' : '"&amp;Z1268&amp;"', 'name' : '"&amp;X1268&amp;"', 'mass_unit' : '"&amp;AC1268&amp;"', 'mass_quantity' : '"&amp;ROUND(AA1268,3)&amp;"', 'volume_unit' : '"&amp;AF1268&amp;"', 'volume_quantity' : '"&amp;ROUND(AD1268,3)&amp;"', 'pieces_unit' : '"&amp;AI1268&amp;"', 'pieces_quantity' : '"&amp;ROUND(AG1268,3)&amp;"', 'cooking_notes' : '"&amp;AJ1268&amp;"'}).status_code; print('%s :: %s :: %s :: %s :: %s' %(a,"&amp;G1268&amp;",'"&amp;X1268&amp;"','"&amp;Y1268&amp;"','"&amp;U1268&amp;"'))"</f>
        <v>a = Client().post('/recipes/rasam/detail/', {'recipe' : '64', 'ingredient' : '66', 'name' : 'dhania patta', 'mass_unit' : '2', 'mass_quantity' : '0', 'volume_unit' : '1', 'volume_quantity' : '1', 'pieces_unit' : '3', 'pieces_quantity' : '0', 'cooking_notes' : ''}).status_code; print('%s :: %s :: %s :: %s :: %s' %(a,1268,'dhania patta','dhaniya patta','RASAM'))</v>
      </c>
    </row>
    <row r="1269" customFormat="false" ht="13.8" hidden="false" customHeight="false" outlineLevel="0" collapsed="false">
      <c r="G1269" s="80" t="n">
        <v>1269</v>
      </c>
      <c r="H1269" s="83"/>
      <c r="I1269" s="83" t="s">
        <v>301</v>
      </c>
      <c r="J1269" s="83" t="s">
        <v>803</v>
      </c>
      <c r="M1269" s="61" t="n">
        <v>1</v>
      </c>
      <c r="N1269" s="61" t="s">
        <v>13</v>
      </c>
      <c r="R1269" s="82" t="str">
        <f aca="false">VLOOKUP(J1269,ingredient!$N$4:$O$553,2,0)</f>
        <v>kadi patta</v>
      </c>
      <c r="U1269" s="81" t="str">
        <f aca="false">I1269</f>
        <v>RASAM</v>
      </c>
      <c r="V1269" s="81" t="n">
        <f aca="false">VLOOKUP(U1269,recipe_ingred_list!$A$2:$B$300,2,0)</f>
        <v>64</v>
      </c>
      <c r="W1269" s="81" t="str">
        <f aca="false">"/recipes/"&amp;VLOOKUP(U1269,recipe_ingred_list!$A$2:$C$300,3,0)&amp;"/detail/"</f>
        <v>/recipes/rasam/detail/</v>
      </c>
      <c r="X1269" s="81" t="str">
        <f aca="false">J1269</f>
        <v>kadipatta</v>
      </c>
      <c r="Y1269" s="81" t="str">
        <f aca="false">R1269</f>
        <v>kadi patta</v>
      </c>
      <c r="Z1269" s="94" t="n">
        <f aca="false">VLOOKUP(Y1269,recipe_ingred_list!$D$2:$E$500,2,0)</f>
        <v>105</v>
      </c>
      <c r="AA1269" s="61" t="n">
        <f aca="false">K1269</f>
        <v>0</v>
      </c>
      <c r="AB1269" s="61" t="n">
        <f aca="false">L1269</f>
        <v>0</v>
      </c>
      <c r="AC1269" s="61" t="n">
        <f aca="false">VLOOKUP(AB1269,recipe_ingred_list!$K$2:$M$7,3,0)</f>
        <v>2</v>
      </c>
      <c r="AD1269" s="61" t="n">
        <f aca="false">M1269</f>
        <v>1</v>
      </c>
      <c r="AE1269" s="61" t="str">
        <f aca="false">N1269</f>
        <v>ltr</v>
      </c>
      <c r="AF1269" s="61" t="n">
        <f aca="false">VLOOKUP(AE1269,recipe_ingred_list!$K$16:$M$25,3,0)</f>
        <v>1</v>
      </c>
      <c r="AG1269" s="61" t="n">
        <f aca="false">O1269</f>
        <v>0</v>
      </c>
      <c r="AH1269" s="61" t="n">
        <f aca="false">P1269</f>
        <v>0</v>
      </c>
      <c r="AI1269" s="61" t="n">
        <f aca="false">VLOOKUP(AH1269,recipe_ingred_list!$K$29:$M$34,3,0)</f>
        <v>3</v>
      </c>
      <c r="AJ1269" s="61" t="str">
        <f aca="false">IF(Q1269="","",Q1269)</f>
        <v/>
      </c>
      <c r="AK1269" s="61" t="n">
        <f aca="false">AK1268+1</f>
        <v>1269</v>
      </c>
      <c r="AL1269" s="61" t="str">
        <f aca="false">Y1269</f>
        <v>kadi patta</v>
      </c>
      <c r="AM1269" s="81" t="str">
        <f aca="false">"a = Client().post('"&amp;W1269&amp;"', {'recipe' : '"&amp;V1269&amp;"', 'ingredient' : '"&amp;Z1269&amp;"', 'name' : '"&amp;X1269&amp;"', 'mass_unit' : '"&amp;AC1269&amp;"', 'mass_quantity' : '"&amp;ROUND(AA1269,3)&amp;"', 'volume_unit' : '"&amp;AF1269&amp;"', 'volume_quantity' : '"&amp;ROUND(AD1269,3)&amp;"', 'pieces_unit' : '"&amp;AI1269&amp;"', 'pieces_quantity' : '"&amp;ROUND(AG1269,3)&amp;"', 'cooking_notes' : '"&amp;AJ1269&amp;"'}).status_code; print('%s :: %s :: %s :: %s :: %s' %(a,"&amp;G1269&amp;",'"&amp;X1269&amp;"','"&amp;Y1269&amp;"','"&amp;U1269&amp;"'))"</f>
        <v>a = Client().post('/recipes/rasam/detail/', {'recipe' : '64', 'ingredient' : '105', 'name' : 'kadipatta', 'mass_unit' : '2', 'mass_quantity' : '0', 'volume_unit' : '1', 'volume_quantity' : '1', 'pieces_unit' : '3', 'pieces_quantity' : '0', 'cooking_notes' : ''}).status_code; print('%s :: %s :: %s :: %s :: %s' %(a,1269,'kadipatta','kadi patta','RASAM'))</v>
      </c>
    </row>
    <row r="1270" customFormat="false" ht="13.8" hidden="false" customHeight="false" outlineLevel="0" collapsed="false">
      <c r="G1270" s="80" t="n">
        <v>1270</v>
      </c>
      <c r="H1270" s="83"/>
      <c r="I1270" s="83" t="s">
        <v>301</v>
      </c>
      <c r="J1270" s="83" t="s">
        <v>488</v>
      </c>
      <c r="K1270" s="61" t="n">
        <v>1</v>
      </c>
      <c r="L1270" s="61" t="s">
        <v>7</v>
      </c>
      <c r="R1270" s="82" t="str">
        <f aca="false">VLOOKUP(J1270,ingredient!$N$4:$O$553,2,0)</f>
        <v>tur dal</v>
      </c>
      <c r="U1270" s="81" t="str">
        <f aca="false">I1270</f>
        <v>RASAM</v>
      </c>
      <c r="V1270" s="81" t="n">
        <f aca="false">VLOOKUP(U1270,recipe_ingred_list!$A$2:$B$300,2,0)</f>
        <v>64</v>
      </c>
      <c r="W1270" s="81" t="str">
        <f aca="false">"/recipes/"&amp;VLOOKUP(U1270,recipe_ingred_list!$A$2:$C$300,3,0)&amp;"/detail/"</f>
        <v>/recipes/rasam/detail/</v>
      </c>
      <c r="X1270" s="81" t="str">
        <f aca="false">J1270</f>
        <v>tur dal</v>
      </c>
      <c r="Y1270" s="81" t="str">
        <f aca="false">R1270</f>
        <v>tur dal</v>
      </c>
      <c r="Z1270" s="94" t="n">
        <f aca="false">VLOOKUP(Y1270,recipe_ingred_list!$D$2:$E$500,2,0)</f>
        <v>198</v>
      </c>
      <c r="AA1270" s="61" t="n">
        <f aca="false">K1270</f>
        <v>1</v>
      </c>
      <c r="AB1270" s="61" t="str">
        <f aca="false">L1270</f>
        <v>kg</v>
      </c>
      <c r="AC1270" s="61" t="n">
        <f aca="false">VLOOKUP(AB1270,recipe_ingred_list!$K$2:$M$7,3,0)</f>
        <v>2</v>
      </c>
      <c r="AD1270" s="61" t="n">
        <f aca="false">M1270</f>
        <v>0</v>
      </c>
      <c r="AE1270" s="61" t="n">
        <f aca="false">N1270</f>
        <v>0</v>
      </c>
      <c r="AF1270" s="61" t="n">
        <f aca="false">VLOOKUP(AE1270,recipe_ingred_list!$K$16:$M$25,3,0)</f>
        <v>1</v>
      </c>
      <c r="AG1270" s="61" t="n">
        <f aca="false">O1270</f>
        <v>0</v>
      </c>
      <c r="AH1270" s="61" t="n">
        <f aca="false">P1270</f>
        <v>0</v>
      </c>
      <c r="AI1270" s="61" t="n">
        <f aca="false">VLOOKUP(AH1270,recipe_ingred_list!$K$29:$M$34,3,0)</f>
        <v>3</v>
      </c>
      <c r="AJ1270" s="61" t="str">
        <f aca="false">IF(Q1270="","",Q1270)</f>
        <v/>
      </c>
      <c r="AK1270" s="61" t="n">
        <f aca="false">AK1269+1</f>
        <v>1270</v>
      </c>
      <c r="AL1270" s="61" t="str">
        <f aca="false">Y1270</f>
        <v>tur dal</v>
      </c>
      <c r="AM1270" s="81" t="str">
        <f aca="false">"a = Client().post('"&amp;W1270&amp;"', {'recipe' : '"&amp;V1270&amp;"', 'ingredient' : '"&amp;Z1270&amp;"', 'name' : '"&amp;X1270&amp;"', 'mass_unit' : '"&amp;AC1270&amp;"', 'mass_quantity' : '"&amp;ROUND(AA1270,3)&amp;"', 'volume_unit' : '"&amp;AF1270&amp;"', 'volume_quantity' : '"&amp;ROUND(AD1270,3)&amp;"', 'pieces_unit' : '"&amp;AI1270&amp;"', 'pieces_quantity' : '"&amp;ROUND(AG1270,3)&amp;"', 'cooking_notes' : '"&amp;AJ1270&amp;"'}).status_code; print('%s :: %s :: %s :: %s :: %s' %(a,"&amp;G1270&amp;",'"&amp;X1270&amp;"','"&amp;Y1270&amp;"','"&amp;U1270&amp;"'))"</f>
        <v>a = Client().post('/recipes/rasam/detail/', {'recipe' : '64', 'ingredient' : '198', 'name' : 'tur dal', 'mass_unit' : '2', 'mass_quantity' : '1', 'volume_unit' : '1', 'volume_quantity' : '0', 'pieces_unit' : '3', 'pieces_quantity' : '0', 'cooking_notes' : ''}).status_code; print('%s :: %s :: %s :: %s :: %s' %(a,1270,'tur dal','tur dal','RASAM'))</v>
      </c>
    </row>
    <row r="1271" customFormat="false" ht="13.8" hidden="false" customHeight="false" outlineLevel="0" collapsed="false">
      <c r="G1271" s="80" t="n">
        <v>1271</v>
      </c>
      <c r="H1271" s="83"/>
      <c r="I1271" s="83" t="s">
        <v>301</v>
      </c>
      <c r="J1271" s="83" t="s">
        <v>394</v>
      </c>
      <c r="K1271" s="61" t="n">
        <v>200</v>
      </c>
      <c r="L1271" s="61" t="s">
        <v>109</v>
      </c>
      <c r="R1271" s="82" t="str">
        <f aca="false">VLOOKUP(J1271,ingredient!$N$4:$O$553,2,0)</f>
        <v>imli</v>
      </c>
      <c r="U1271" s="81" t="str">
        <f aca="false">I1271</f>
        <v>RASAM</v>
      </c>
      <c r="V1271" s="81" t="n">
        <f aca="false">VLOOKUP(U1271,recipe_ingred_list!$A$2:$B$300,2,0)</f>
        <v>64</v>
      </c>
      <c r="W1271" s="81" t="str">
        <f aca="false">"/recipes/"&amp;VLOOKUP(U1271,recipe_ingred_list!$A$2:$C$300,3,0)&amp;"/detail/"</f>
        <v>/recipes/rasam/detail/</v>
      </c>
      <c r="X1271" s="81" t="str">
        <f aca="false">J1271</f>
        <v>imli</v>
      </c>
      <c r="Y1271" s="81" t="str">
        <f aca="false">R1271</f>
        <v>imli</v>
      </c>
      <c r="Z1271" s="94" t="n">
        <f aca="false">VLOOKUP(Y1271,recipe_ingred_list!$D$2:$E$500,2,0)</f>
        <v>98</v>
      </c>
      <c r="AA1271" s="61" t="n">
        <f aca="false">K1271</f>
        <v>200</v>
      </c>
      <c r="AB1271" s="61" t="str">
        <f aca="false">L1271</f>
        <v>gm</v>
      </c>
      <c r="AC1271" s="61" t="n">
        <f aca="false">VLOOKUP(AB1271,recipe_ingred_list!$K$2:$M$7,3,0)</f>
        <v>7</v>
      </c>
      <c r="AD1271" s="61" t="n">
        <f aca="false">M1271</f>
        <v>0</v>
      </c>
      <c r="AE1271" s="61" t="n">
        <f aca="false">N1271</f>
        <v>0</v>
      </c>
      <c r="AF1271" s="61" t="n">
        <f aca="false">VLOOKUP(AE1271,recipe_ingred_list!$K$16:$M$25,3,0)</f>
        <v>1</v>
      </c>
      <c r="AG1271" s="61" t="n">
        <f aca="false">O1271</f>
        <v>0</v>
      </c>
      <c r="AH1271" s="61" t="n">
        <f aca="false">P1271</f>
        <v>0</v>
      </c>
      <c r="AI1271" s="61" t="n">
        <f aca="false">VLOOKUP(AH1271,recipe_ingred_list!$K$29:$M$34,3,0)</f>
        <v>3</v>
      </c>
      <c r="AJ1271" s="61" t="str">
        <f aca="false">IF(Q1271="","",Q1271)</f>
        <v/>
      </c>
      <c r="AK1271" s="61" t="n">
        <f aca="false">AK1270+1</f>
        <v>1271</v>
      </c>
      <c r="AL1271" s="61" t="str">
        <f aca="false">Y1271</f>
        <v>imli</v>
      </c>
      <c r="AM1271" s="81" t="str">
        <f aca="false">"a = Client().post('"&amp;W1271&amp;"', {'recipe' : '"&amp;V1271&amp;"', 'ingredient' : '"&amp;Z1271&amp;"', 'name' : '"&amp;X1271&amp;"', 'mass_unit' : '"&amp;AC1271&amp;"', 'mass_quantity' : '"&amp;ROUND(AA1271,3)&amp;"', 'volume_unit' : '"&amp;AF1271&amp;"', 'volume_quantity' : '"&amp;ROUND(AD1271,3)&amp;"', 'pieces_unit' : '"&amp;AI1271&amp;"', 'pieces_quantity' : '"&amp;ROUND(AG1271,3)&amp;"', 'cooking_notes' : '"&amp;AJ1271&amp;"'}).status_code; print('%s :: %s :: %s :: %s :: %s' %(a,"&amp;G1271&amp;",'"&amp;X1271&amp;"','"&amp;Y1271&amp;"','"&amp;U1271&amp;"'))"</f>
        <v>a = Client().post('/recipes/rasam/detail/', {'recipe' : '64', 'ingredient' : '98', 'name' : 'imli', 'mass_unit' : '7', 'mass_quantity' : '200', 'volume_unit' : '1', 'volume_quantity' : '0', 'pieces_unit' : '3', 'pieces_quantity' : '0', 'cooking_notes' : ''}).status_code; print('%s :: %s :: %s :: %s :: %s' %(a,1271,'imli','imli','RASAM'))</v>
      </c>
    </row>
    <row r="1272" customFormat="false" ht="13.8" hidden="false" customHeight="false" outlineLevel="0" collapsed="false">
      <c r="G1272" s="80" t="n">
        <v>1272</v>
      </c>
      <c r="H1272" s="83"/>
      <c r="I1272" s="83" t="s">
        <v>301</v>
      </c>
      <c r="J1272" s="83" t="s">
        <v>382</v>
      </c>
      <c r="M1272" s="61" t="n">
        <v>0.5</v>
      </c>
      <c r="N1272" s="61" t="s">
        <v>20</v>
      </c>
      <c r="R1272" s="82" t="str">
        <f aca="false">VLOOKUP(J1272,ingredient!$N$4:$O$553,2,0)</f>
        <v>haldi</v>
      </c>
      <c r="U1272" s="81" t="str">
        <f aca="false">I1272</f>
        <v>RASAM</v>
      </c>
      <c r="V1272" s="81" t="n">
        <f aca="false">VLOOKUP(U1272,recipe_ingred_list!$A$2:$B$300,2,0)</f>
        <v>64</v>
      </c>
      <c r="W1272" s="81" t="str">
        <f aca="false">"/recipes/"&amp;VLOOKUP(U1272,recipe_ingred_list!$A$2:$C$300,3,0)&amp;"/detail/"</f>
        <v>/recipes/rasam/detail/</v>
      </c>
      <c r="X1272" s="81" t="str">
        <f aca="false">J1272</f>
        <v>haldi</v>
      </c>
      <c r="Y1272" s="81" t="str">
        <f aca="false">R1272</f>
        <v>haldi</v>
      </c>
      <c r="Z1272" s="94" t="n">
        <f aca="false">VLOOKUP(Y1272,recipe_ingred_list!$D$2:$E$500,2,0)</f>
        <v>91</v>
      </c>
      <c r="AA1272" s="61" t="n">
        <f aca="false">K1272</f>
        <v>0</v>
      </c>
      <c r="AB1272" s="61" t="n">
        <f aca="false">L1272</f>
        <v>0</v>
      </c>
      <c r="AC1272" s="61" t="n">
        <f aca="false">VLOOKUP(AB1272,recipe_ingred_list!$K$2:$M$7,3,0)</f>
        <v>2</v>
      </c>
      <c r="AD1272" s="61" t="n">
        <f aca="false">M1272</f>
        <v>0.5</v>
      </c>
      <c r="AE1272" s="61" t="str">
        <f aca="false">N1272</f>
        <v>cup</v>
      </c>
      <c r="AF1272" s="61" t="n">
        <f aca="false">VLOOKUP(AE1272,recipe_ingred_list!$K$16:$M$25,3,0)</f>
        <v>5</v>
      </c>
      <c r="AG1272" s="61" t="n">
        <f aca="false">O1272</f>
        <v>0</v>
      </c>
      <c r="AH1272" s="61" t="n">
        <f aca="false">P1272</f>
        <v>0</v>
      </c>
      <c r="AI1272" s="61" t="n">
        <f aca="false">VLOOKUP(AH1272,recipe_ingred_list!$K$29:$M$34,3,0)</f>
        <v>3</v>
      </c>
      <c r="AJ1272" s="61" t="str">
        <f aca="false">IF(Q1272="","",Q1272)</f>
        <v/>
      </c>
      <c r="AK1272" s="61" t="n">
        <f aca="false">AK1271+1</f>
        <v>1272</v>
      </c>
      <c r="AL1272" s="61" t="str">
        <f aca="false">Y1272</f>
        <v>haldi</v>
      </c>
      <c r="AM1272" s="81" t="str">
        <f aca="false">"a = Client().post('"&amp;W1272&amp;"', {'recipe' : '"&amp;V1272&amp;"', 'ingredient' : '"&amp;Z1272&amp;"', 'name' : '"&amp;X1272&amp;"', 'mass_unit' : '"&amp;AC1272&amp;"', 'mass_quantity' : '"&amp;ROUND(AA1272,3)&amp;"', 'volume_unit' : '"&amp;AF1272&amp;"', 'volume_quantity' : '"&amp;ROUND(AD1272,3)&amp;"', 'pieces_unit' : '"&amp;AI1272&amp;"', 'pieces_quantity' : '"&amp;ROUND(AG1272,3)&amp;"', 'cooking_notes' : '"&amp;AJ1272&amp;"'}).status_code; print('%s :: %s :: %s :: %s :: %s' %(a,"&amp;G1272&amp;",'"&amp;X1272&amp;"','"&amp;Y1272&amp;"','"&amp;U1272&amp;"'))"</f>
        <v>a = Client().post('/recipes/rasam/detail/', {'recipe' : '64', 'ingredient' : '91', 'name' : 'haldi', 'mass_unit' : '2', 'mass_quantity' : '0', 'volume_unit' : '5', 'volume_quantity' : '0.5', 'pieces_unit' : '3', 'pieces_quantity' : '0', 'cooking_notes' : ''}).status_code; print('%s :: %s :: %s :: %s :: %s' %(a,1272,'haldi','haldi','RASAM'))</v>
      </c>
    </row>
    <row r="1273" customFormat="false" ht="13.8" hidden="false" customHeight="false" outlineLevel="0" collapsed="false">
      <c r="G1273" s="80" t="n">
        <v>1273</v>
      </c>
      <c r="H1273" s="83"/>
      <c r="I1273" s="83" t="s">
        <v>301</v>
      </c>
      <c r="J1273" s="83" t="s">
        <v>391</v>
      </c>
      <c r="M1273" s="61" t="n">
        <v>0.25</v>
      </c>
      <c r="N1273" s="61" t="s">
        <v>20</v>
      </c>
      <c r="R1273" s="82" t="str">
        <f aca="false">VLOOKUP(J1273,ingredient!$N$4:$O$553,2,0)</f>
        <v>hing</v>
      </c>
      <c r="U1273" s="81" t="str">
        <f aca="false">I1273</f>
        <v>RASAM</v>
      </c>
      <c r="V1273" s="81" t="n">
        <f aca="false">VLOOKUP(U1273,recipe_ingred_list!$A$2:$B$300,2,0)</f>
        <v>64</v>
      </c>
      <c r="W1273" s="81" t="str">
        <f aca="false">"/recipes/"&amp;VLOOKUP(U1273,recipe_ingred_list!$A$2:$C$300,3,0)&amp;"/detail/"</f>
        <v>/recipes/rasam/detail/</v>
      </c>
      <c r="X1273" s="81" t="str">
        <f aca="false">J1273</f>
        <v>hing</v>
      </c>
      <c r="Y1273" s="81" t="str">
        <f aca="false">R1273</f>
        <v>hing</v>
      </c>
      <c r="Z1273" s="94" t="n">
        <f aca="false">VLOOKUP(Y1273,recipe_ingred_list!$D$2:$E$500,2,0)</f>
        <v>95</v>
      </c>
      <c r="AA1273" s="61" t="n">
        <f aca="false">K1273</f>
        <v>0</v>
      </c>
      <c r="AB1273" s="61" t="n">
        <f aca="false">L1273</f>
        <v>0</v>
      </c>
      <c r="AC1273" s="61" t="n">
        <f aca="false">VLOOKUP(AB1273,recipe_ingred_list!$K$2:$M$7,3,0)</f>
        <v>2</v>
      </c>
      <c r="AD1273" s="61" t="n">
        <f aca="false">M1273</f>
        <v>0.25</v>
      </c>
      <c r="AE1273" s="61" t="str">
        <f aca="false">N1273</f>
        <v>cup</v>
      </c>
      <c r="AF1273" s="61" t="n">
        <f aca="false">VLOOKUP(AE1273,recipe_ingred_list!$K$16:$M$25,3,0)</f>
        <v>5</v>
      </c>
      <c r="AG1273" s="61" t="n">
        <f aca="false">O1273</f>
        <v>0</v>
      </c>
      <c r="AH1273" s="61" t="n">
        <f aca="false">P1273</f>
        <v>0</v>
      </c>
      <c r="AI1273" s="61" t="n">
        <f aca="false">VLOOKUP(AH1273,recipe_ingred_list!$K$29:$M$34,3,0)</f>
        <v>3</v>
      </c>
      <c r="AJ1273" s="61" t="str">
        <f aca="false">IF(Q1273="","",Q1273)</f>
        <v/>
      </c>
      <c r="AK1273" s="61" t="n">
        <f aca="false">AK1272+1</f>
        <v>1273</v>
      </c>
      <c r="AL1273" s="61" t="str">
        <f aca="false">Y1273</f>
        <v>hing</v>
      </c>
      <c r="AM1273" s="81" t="str">
        <f aca="false">"a = Client().post('"&amp;W1273&amp;"', {'recipe' : '"&amp;V1273&amp;"', 'ingredient' : '"&amp;Z1273&amp;"', 'name' : '"&amp;X1273&amp;"', 'mass_unit' : '"&amp;AC1273&amp;"', 'mass_quantity' : '"&amp;ROUND(AA1273,3)&amp;"', 'volume_unit' : '"&amp;AF1273&amp;"', 'volume_quantity' : '"&amp;ROUND(AD1273,3)&amp;"', 'pieces_unit' : '"&amp;AI1273&amp;"', 'pieces_quantity' : '"&amp;ROUND(AG1273,3)&amp;"', 'cooking_notes' : '"&amp;AJ1273&amp;"'}).status_code; print('%s :: %s :: %s :: %s :: %s' %(a,"&amp;G1273&amp;",'"&amp;X1273&amp;"','"&amp;Y1273&amp;"','"&amp;U1273&amp;"'))"</f>
        <v>a = Client().post('/recipes/rasam/detail/', {'recipe' : '64', 'ingredient' : '95', 'name' : 'hing', 'mass_unit' : '2', 'mass_quantity' : '0', 'volume_unit' : '5', 'volume_quantity' : '0.25', 'pieces_unit' : '3', 'pieces_quantity' : '0', 'cooking_notes' : ''}).status_code; print('%s :: %s :: %s :: %s :: %s' %(a,1273,'hing','hing','RASAM'))</v>
      </c>
    </row>
    <row r="1274" customFormat="false" ht="13.8" hidden="false" customHeight="false" outlineLevel="0" collapsed="false">
      <c r="G1274" s="80" t="n">
        <v>1274</v>
      </c>
      <c r="H1274" s="83"/>
      <c r="I1274" s="83" t="s">
        <v>301</v>
      </c>
      <c r="J1274" s="83" t="s">
        <v>920</v>
      </c>
      <c r="M1274" s="61" t="n">
        <v>1.5</v>
      </c>
      <c r="N1274" s="61" t="s">
        <v>20</v>
      </c>
      <c r="R1274" s="82" t="str">
        <f aca="false">VLOOKUP(J1274,ingredient!$N$4:$O$553,2,0)</f>
        <v>mtr rasam masala</v>
      </c>
      <c r="U1274" s="81" t="str">
        <f aca="false">I1274</f>
        <v>RASAM</v>
      </c>
      <c r="V1274" s="81" t="n">
        <f aca="false">VLOOKUP(U1274,recipe_ingred_list!$A$2:$B$300,2,0)</f>
        <v>64</v>
      </c>
      <c r="W1274" s="81" t="str">
        <f aca="false">"/recipes/"&amp;VLOOKUP(U1274,recipe_ingred_list!$A$2:$C$300,3,0)&amp;"/detail/"</f>
        <v>/recipes/rasam/detail/</v>
      </c>
      <c r="X1274" s="81" t="str">
        <f aca="false">J1274</f>
        <v>MTR rasam masala</v>
      </c>
      <c r="Y1274" s="81" t="str">
        <f aca="false">R1274</f>
        <v>mtr rasam masala</v>
      </c>
      <c r="Z1274" s="94" t="n">
        <f aca="false">VLOOKUP(Y1274,recipe_ingred_list!$D$2:$E$500,2,0)</f>
        <v>148</v>
      </c>
      <c r="AA1274" s="61" t="n">
        <f aca="false">K1274</f>
        <v>0</v>
      </c>
      <c r="AB1274" s="61" t="n">
        <f aca="false">L1274</f>
        <v>0</v>
      </c>
      <c r="AC1274" s="61" t="n">
        <f aca="false">VLOOKUP(AB1274,recipe_ingred_list!$K$2:$M$7,3,0)</f>
        <v>2</v>
      </c>
      <c r="AD1274" s="61" t="n">
        <f aca="false">M1274</f>
        <v>1.5</v>
      </c>
      <c r="AE1274" s="61" t="str">
        <f aca="false">N1274</f>
        <v>cup</v>
      </c>
      <c r="AF1274" s="61" t="n">
        <f aca="false">VLOOKUP(AE1274,recipe_ingred_list!$K$16:$M$25,3,0)</f>
        <v>5</v>
      </c>
      <c r="AG1274" s="61" t="n">
        <f aca="false">O1274</f>
        <v>0</v>
      </c>
      <c r="AH1274" s="61" t="n">
        <f aca="false">P1274</f>
        <v>0</v>
      </c>
      <c r="AI1274" s="61" t="n">
        <f aca="false">VLOOKUP(AH1274,recipe_ingred_list!$K$29:$M$34,3,0)</f>
        <v>3</v>
      </c>
      <c r="AJ1274" s="61" t="str">
        <f aca="false">IF(Q1274="","",Q1274)</f>
        <v/>
      </c>
      <c r="AK1274" s="61" t="n">
        <f aca="false">AK1273+1</f>
        <v>1274</v>
      </c>
      <c r="AL1274" s="61" t="str">
        <f aca="false">Y1274</f>
        <v>mtr rasam masala</v>
      </c>
      <c r="AM1274" s="81" t="str">
        <f aca="false">"a = Client().post('"&amp;W1274&amp;"', {'recipe' : '"&amp;V1274&amp;"', 'ingredient' : '"&amp;Z1274&amp;"', 'name' : '"&amp;X1274&amp;"', 'mass_unit' : '"&amp;AC1274&amp;"', 'mass_quantity' : '"&amp;ROUND(AA1274,3)&amp;"', 'volume_unit' : '"&amp;AF1274&amp;"', 'volume_quantity' : '"&amp;ROUND(AD1274,3)&amp;"', 'pieces_unit' : '"&amp;AI1274&amp;"', 'pieces_quantity' : '"&amp;ROUND(AG1274,3)&amp;"', 'cooking_notes' : '"&amp;AJ1274&amp;"'}).status_code; print('%s :: %s :: %s :: %s :: %s' %(a,"&amp;G1274&amp;",'"&amp;X1274&amp;"','"&amp;Y1274&amp;"','"&amp;U1274&amp;"'))"</f>
        <v>a = Client().post('/recipes/rasam/detail/', {'recipe' : '64', 'ingredient' : '148', 'name' : 'MTR rasam masala', 'mass_unit' : '2', 'mass_quantity' : '0', 'volume_unit' : '5', 'volume_quantity' : '1.5', 'pieces_unit' : '3', 'pieces_quantity' : '0', 'cooking_notes' : ''}).status_code; print('%s :: %s :: %s :: %s :: %s' %(a,1274,'MTR rasam masala','mtr rasam masala','RASAM'))</v>
      </c>
    </row>
    <row r="1275" customFormat="false" ht="13.8" hidden="false" customHeight="false" outlineLevel="0" collapsed="false">
      <c r="G1275" s="80" t="n">
        <v>1275</v>
      </c>
      <c r="H1275" s="83"/>
      <c r="I1275" s="83" t="s">
        <v>301</v>
      </c>
      <c r="J1275" s="83" t="s">
        <v>96</v>
      </c>
      <c r="M1275" s="61" t="n">
        <v>1.7</v>
      </c>
      <c r="N1275" s="61" t="s">
        <v>20</v>
      </c>
      <c r="R1275" s="82" t="str">
        <f aca="false">VLOOKUP(J1275,ingredient!$N$4:$O$553,2,0)</f>
        <v>salt</v>
      </c>
      <c r="U1275" s="81" t="str">
        <f aca="false">I1275</f>
        <v>RASAM</v>
      </c>
      <c r="V1275" s="81" t="n">
        <f aca="false">VLOOKUP(U1275,recipe_ingred_list!$A$2:$B$300,2,0)</f>
        <v>64</v>
      </c>
      <c r="W1275" s="81" t="str">
        <f aca="false">"/recipes/"&amp;VLOOKUP(U1275,recipe_ingred_list!$A$2:$C$300,3,0)&amp;"/detail/"</f>
        <v>/recipes/rasam/detail/</v>
      </c>
      <c r="X1275" s="81" t="str">
        <f aca="false">J1275</f>
        <v>salt</v>
      </c>
      <c r="Y1275" s="81" t="str">
        <f aca="false">R1275</f>
        <v>salt</v>
      </c>
      <c r="Z1275" s="94" t="n">
        <f aca="false">VLOOKUP(Y1275,recipe_ingred_list!$D$2:$E$500,2,0)</f>
        <v>177</v>
      </c>
      <c r="AA1275" s="61" t="n">
        <f aca="false">K1275</f>
        <v>0</v>
      </c>
      <c r="AB1275" s="61" t="n">
        <f aca="false">L1275</f>
        <v>0</v>
      </c>
      <c r="AC1275" s="61" t="n">
        <f aca="false">VLOOKUP(AB1275,recipe_ingred_list!$K$2:$M$7,3,0)</f>
        <v>2</v>
      </c>
      <c r="AD1275" s="61" t="n">
        <f aca="false">M1275</f>
        <v>1.7</v>
      </c>
      <c r="AE1275" s="61" t="str">
        <f aca="false">N1275</f>
        <v>cup</v>
      </c>
      <c r="AF1275" s="61" t="n">
        <f aca="false">VLOOKUP(AE1275,recipe_ingred_list!$K$16:$M$25,3,0)</f>
        <v>5</v>
      </c>
      <c r="AG1275" s="61" t="n">
        <f aca="false">O1275</f>
        <v>0</v>
      </c>
      <c r="AH1275" s="61" t="n">
        <f aca="false">P1275</f>
        <v>0</v>
      </c>
      <c r="AI1275" s="61" t="n">
        <f aca="false">VLOOKUP(AH1275,recipe_ingred_list!$K$29:$M$34,3,0)</f>
        <v>3</v>
      </c>
      <c r="AJ1275" s="61" t="str">
        <f aca="false">IF(Q1275="","",Q1275)</f>
        <v/>
      </c>
      <c r="AK1275" s="61" t="n">
        <f aca="false">AK1274+1</f>
        <v>1275</v>
      </c>
      <c r="AL1275" s="61" t="str">
        <f aca="false">Y1275</f>
        <v>salt</v>
      </c>
      <c r="AM1275" s="81" t="str">
        <f aca="false">"a = Client().post('"&amp;W1275&amp;"', {'recipe' : '"&amp;V1275&amp;"', 'ingredient' : '"&amp;Z1275&amp;"', 'name' : '"&amp;X1275&amp;"', 'mass_unit' : '"&amp;AC1275&amp;"', 'mass_quantity' : '"&amp;ROUND(AA1275,3)&amp;"', 'volume_unit' : '"&amp;AF1275&amp;"', 'volume_quantity' : '"&amp;ROUND(AD1275,3)&amp;"', 'pieces_unit' : '"&amp;AI1275&amp;"', 'pieces_quantity' : '"&amp;ROUND(AG1275,3)&amp;"', 'cooking_notes' : '"&amp;AJ1275&amp;"'}).status_code; print('%s :: %s :: %s :: %s :: %s' %(a,"&amp;G1275&amp;",'"&amp;X1275&amp;"','"&amp;Y1275&amp;"','"&amp;U1275&amp;"'))"</f>
        <v>a = Client().post('/recipes/rasam/detail/', {'recipe' : '64', 'ingredient' : '177', 'name' : 'salt', 'mass_unit' : '2', 'mass_quantity' : '0', 'volume_unit' : '5', 'volume_quantity' : '1.7', 'pieces_unit' : '3', 'pieces_quantity' : '0', 'cooking_notes' : ''}).status_code; print('%s :: %s :: %s :: %s :: %s' %(a,1275,'salt','salt','RASAM'))</v>
      </c>
    </row>
    <row r="1276" customFormat="false" ht="13.8" hidden="false" customHeight="false" outlineLevel="0" collapsed="false">
      <c r="G1276" s="80" t="n">
        <v>1276</v>
      </c>
      <c r="H1276" s="83"/>
      <c r="I1276" s="83" t="s">
        <v>301</v>
      </c>
      <c r="J1276" s="83" t="s">
        <v>380</v>
      </c>
      <c r="K1276" s="61" t="n">
        <v>300</v>
      </c>
      <c r="L1276" s="61" t="s">
        <v>109</v>
      </c>
      <c r="R1276" s="82" t="str">
        <f aca="false">VLOOKUP(J1276,ingredient!$N$4:$O$553,2,0)</f>
        <v>gud</v>
      </c>
      <c r="U1276" s="81" t="str">
        <f aca="false">I1276</f>
        <v>RASAM</v>
      </c>
      <c r="V1276" s="81" t="n">
        <f aca="false">VLOOKUP(U1276,recipe_ingred_list!$A$2:$B$300,2,0)</f>
        <v>64</v>
      </c>
      <c r="W1276" s="81" t="str">
        <f aca="false">"/recipes/"&amp;VLOOKUP(U1276,recipe_ingred_list!$A$2:$C$300,3,0)&amp;"/detail/"</f>
        <v>/recipes/rasam/detail/</v>
      </c>
      <c r="X1276" s="81" t="str">
        <f aca="false">J1276</f>
        <v>gud</v>
      </c>
      <c r="Y1276" s="81" t="str">
        <f aca="false">R1276</f>
        <v>gud</v>
      </c>
      <c r="Z1276" s="94" t="n">
        <f aca="false">VLOOKUP(Y1276,recipe_ingred_list!$D$2:$E$500,2,0)</f>
        <v>90</v>
      </c>
      <c r="AA1276" s="61" t="n">
        <f aca="false">K1276</f>
        <v>300</v>
      </c>
      <c r="AB1276" s="61" t="str">
        <f aca="false">L1276</f>
        <v>gm</v>
      </c>
      <c r="AC1276" s="61" t="n">
        <f aca="false">VLOOKUP(AB1276,recipe_ingred_list!$K$2:$M$7,3,0)</f>
        <v>7</v>
      </c>
      <c r="AD1276" s="61" t="n">
        <f aca="false">M1276</f>
        <v>0</v>
      </c>
      <c r="AE1276" s="61" t="n">
        <f aca="false">N1276</f>
        <v>0</v>
      </c>
      <c r="AF1276" s="61" t="n">
        <f aca="false">VLOOKUP(AE1276,recipe_ingred_list!$K$16:$M$25,3,0)</f>
        <v>1</v>
      </c>
      <c r="AG1276" s="61" t="n">
        <f aca="false">O1276</f>
        <v>0</v>
      </c>
      <c r="AH1276" s="61" t="n">
        <f aca="false">P1276</f>
        <v>0</v>
      </c>
      <c r="AI1276" s="61" t="n">
        <f aca="false">VLOOKUP(AH1276,recipe_ingred_list!$K$29:$M$34,3,0)</f>
        <v>3</v>
      </c>
      <c r="AJ1276" s="61" t="str">
        <f aca="false">IF(Q1276="","",Q1276)</f>
        <v/>
      </c>
      <c r="AK1276" s="61" t="n">
        <f aca="false">AK1275+1</f>
        <v>1276</v>
      </c>
      <c r="AL1276" s="61" t="str">
        <f aca="false">Y1276</f>
        <v>gud</v>
      </c>
      <c r="AM1276" s="81" t="str">
        <f aca="false">"a = Client().post('"&amp;W1276&amp;"', {'recipe' : '"&amp;V1276&amp;"', 'ingredient' : '"&amp;Z1276&amp;"', 'name' : '"&amp;X1276&amp;"', 'mass_unit' : '"&amp;AC1276&amp;"', 'mass_quantity' : '"&amp;ROUND(AA1276,3)&amp;"', 'volume_unit' : '"&amp;AF1276&amp;"', 'volume_quantity' : '"&amp;ROUND(AD1276,3)&amp;"', 'pieces_unit' : '"&amp;AI1276&amp;"', 'pieces_quantity' : '"&amp;ROUND(AG1276,3)&amp;"', 'cooking_notes' : '"&amp;AJ1276&amp;"'}).status_code; print('%s :: %s :: %s :: %s :: %s' %(a,"&amp;G1276&amp;",'"&amp;X1276&amp;"','"&amp;Y1276&amp;"','"&amp;U1276&amp;"'))"</f>
        <v>a = Client().post('/recipes/rasam/detail/', {'recipe' : '64', 'ingredient' : '90', 'name' : 'gud', 'mass_unit' : '7', 'mass_quantity' : '300', 'volume_unit' : '1', 'volume_quantity' : '0', 'pieces_unit' : '3', 'pieces_quantity' : '0', 'cooking_notes' : ''}).status_code; print('%s :: %s :: %s :: %s :: %s' %(a,1276,'gud','gud','RASAM'))</v>
      </c>
    </row>
    <row r="1277" customFormat="false" ht="13.8" hidden="false" customHeight="false" outlineLevel="0" collapsed="false">
      <c r="G1277" s="80" t="n">
        <v>1277</v>
      </c>
      <c r="H1277" s="83"/>
      <c r="I1277" s="83" t="s">
        <v>301</v>
      </c>
      <c r="J1277" s="83" t="s">
        <v>377</v>
      </c>
      <c r="M1277" s="61" t="n">
        <v>0.5</v>
      </c>
      <c r="N1277" s="61" t="s">
        <v>13</v>
      </c>
      <c r="R1277" s="82" t="str">
        <f aca="false">VLOOKUP(J1277,ingredient!$N$4:$O$553,2,0)</f>
        <v>ground nut oil</v>
      </c>
      <c r="U1277" s="81" t="str">
        <f aca="false">I1277</f>
        <v>RASAM</v>
      </c>
      <c r="V1277" s="81" t="n">
        <f aca="false">VLOOKUP(U1277,recipe_ingred_list!$A$2:$B$300,2,0)</f>
        <v>64</v>
      </c>
      <c r="W1277" s="81" t="str">
        <f aca="false">"/recipes/"&amp;VLOOKUP(U1277,recipe_ingred_list!$A$2:$C$300,3,0)&amp;"/detail/"</f>
        <v>/recipes/rasam/detail/</v>
      </c>
      <c r="X1277" s="81" t="str">
        <f aca="false">J1277</f>
        <v>ground nut oil</v>
      </c>
      <c r="Y1277" s="81" t="str">
        <f aca="false">R1277</f>
        <v>ground nut oil</v>
      </c>
      <c r="Z1277" s="94" t="n">
        <f aca="false">VLOOKUP(Y1277,recipe_ingred_list!$D$2:$E$500,2,0)</f>
        <v>89</v>
      </c>
      <c r="AA1277" s="61" t="n">
        <f aca="false">K1277</f>
        <v>0</v>
      </c>
      <c r="AB1277" s="61" t="n">
        <f aca="false">L1277</f>
        <v>0</v>
      </c>
      <c r="AC1277" s="61" t="n">
        <f aca="false">VLOOKUP(AB1277,recipe_ingred_list!$K$2:$M$7,3,0)</f>
        <v>2</v>
      </c>
      <c r="AD1277" s="61" t="n">
        <f aca="false">M1277</f>
        <v>0.5</v>
      </c>
      <c r="AE1277" s="61" t="str">
        <f aca="false">N1277</f>
        <v>ltr</v>
      </c>
      <c r="AF1277" s="61" t="n">
        <f aca="false">VLOOKUP(AE1277,recipe_ingred_list!$K$16:$M$25,3,0)</f>
        <v>1</v>
      </c>
      <c r="AG1277" s="61" t="n">
        <f aca="false">O1277</f>
        <v>0</v>
      </c>
      <c r="AH1277" s="61" t="n">
        <f aca="false">P1277</f>
        <v>0</v>
      </c>
      <c r="AI1277" s="61" t="n">
        <f aca="false">VLOOKUP(AH1277,recipe_ingred_list!$K$29:$M$34,3,0)</f>
        <v>3</v>
      </c>
      <c r="AJ1277" s="61" t="str">
        <f aca="false">IF(Q1277="","",Q1277)</f>
        <v/>
      </c>
      <c r="AK1277" s="61" t="n">
        <f aca="false">AK1276+1</f>
        <v>1277</v>
      </c>
      <c r="AL1277" s="61" t="str">
        <f aca="false">Y1277</f>
        <v>ground nut oil</v>
      </c>
      <c r="AM1277" s="81" t="str">
        <f aca="false">"a = Client().post('"&amp;W1277&amp;"', {'recipe' : '"&amp;V1277&amp;"', 'ingredient' : '"&amp;Z1277&amp;"', 'name' : '"&amp;X1277&amp;"', 'mass_unit' : '"&amp;AC1277&amp;"', 'mass_quantity' : '"&amp;ROUND(AA1277,3)&amp;"', 'volume_unit' : '"&amp;AF1277&amp;"', 'volume_quantity' : '"&amp;ROUND(AD1277,3)&amp;"', 'pieces_unit' : '"&amp;AI1277&amp;"', 'pieces_quantity' : '"&amp;ROUND(AG1277,3)&amp;"', 'cooking_notes' : '"&amp;AJ1277&amp;"'}).status_code; print('%s :: %s :: %s :: %s :: %s' %(a,"&amp;G1277&amp;",'"&amp;X1277&amp;"','"&amp;Y1277&amp;"','"&amp;U1277&amp;"'))"</f>
        <v>a = Client().post('/recipes/rasam/detail/', {'recipe' : '64', 'ingredient' : '89', 'name' : 'ground nut oil', 'mass_unit' : '2', 'mass_quantity' : '0', 'volume_unit' : '1', 'volume_quantity' : '0.5', 'pieces_unit' : '3', 'pieces_quantity' : '0', 'cooking_notes' : ''}).status_code; print('%s :: %s :: %s :: %s :: %s' %(a,1277,'ground nut oil','ground nut oil','RASAM'))</v>
      </c>
    </row>
    <row r="1278" customFormat="false" ht="13.8" hidden="false" customHeight="false" outlineLevel="0" collapsed="false">
      <c r="G1278" s="80" t="n">
        <v>1278</v>
      </c>
      <c r="H1278" s="83"/>
      <c r="I1278" s="83" t="s">
        <v>301</v>
      </c>
      <c r="J1278" s="83" t="s">
        <v>456</v>
      </c>
      <c r="M1278" s="61" t="n">
        <v>0.75</v>
      </c>
      <c r="N1278" s="61" t="s">
        <v>20</v>
      </c>
      <c r="R1278" s="82" t="str">
        <f aca="false">VLOOKUP(J1278,ingredient!$N$4:$O$553,2,0)</f>
        <v>rai</v>
      </c>
      <c r="U1278" s="81" t="str">
        <f aca="false">I1278</f>
        <v>RASAM</v>
      </c>
      <c r="V1278" s="81" t="n">
        <f aca="false">VLOOKUP(U1278,recipe_ingred_list!$A$2:$B$300,2,0)</f>
        <v>64</v>
      </c>
      <c r="W1278" s="81" t="str">
        <f aca="false">"/recipes/"&amp;VLOOKUP(U1278,recipe_ingred_list!$A$2:$C$300,3,0)&amp;"/detail/"</f>
        <v>/recipes/rasam/detail/</v>
      </c>
      <c r="X1278" s="81" t="str">
        <f aca="false">J1278</f>
        <v>rai</v>
      </c>
      <c r="Y1278" s="81" t="str">
        <f aca="false">R1278</f>
        <v>rai</v>
      </c>
      <c r="Z1278" s="94" t="n">
        <f aca="false">VLOOKUP(Y1278,recipe_ingred_list!$D$2:$E$500,2,0)</f>
        <v>164</v>
      </c>
      <c r="AA1278" s="61" t="n">
        <f aca="false">K1278</f>
        <v>0</v>
      </c>
      <c r="AB1278" s="61" t="n">
        <f aca="false">L1278</f>
        <v>0</v>
      </c>
      <c r="AC1278" s="61" t="n">
        <f aca="false">VLOOKUP(AB1278,recipe_ingred_list!$K$2:$M$7,3,0)</f>
        <v>2</v>
      </c>
      <c r="AD1278" s="61" t="n">
        <f aca="false">M1278</f>
        <v>0.75</v>
      </c>
      <c r="AE1278" s="61" t="str">
        <f aca="false">N1278</f>
        <v>cup</v>
      </c>
      <c r="AF1278" s="61" t="n">
        <f aca="false">VLOOKUP(AE1278,recipe_ingred_list!$K$16:$M$25,3,0)</f>
        <v>5</v>
      </c>
      <c r="AG1278" s="61" t="n">
        <f aca="false">O1278</f>
        <v>0</v>
      </c>
      <c r="AH1278" s="61" t="n">
        <f aca="false">P1278</f>
        <v>0</v>
      </c>
      <c r="AI1278" s="61" t="n">
        <f aca="false">VLOOKUP(AH1278,recipe_ingred_list!$K$29:$M$34,3,0)</f>
        <v>3</v>
      </c>
      <c r="AJ1278" s="61" t="str">
        <f aca="false">IF(Q1278="","",Q1278)</f>
        <v/>
      </c>
      <c r="AK1278" s="61" t="n">
        <f aca="false">AK1277+1</f>
        <v>1278</v>
      </c>
      <c r="AL1278" s="61" t="str">
        <f aca="false">Y1278</f>
        <v>rai</v>
      </c>
      <c r="AM1278" s="81" t="str">
        <f aca="false">"a = Client().post('"&amp;W1278&amp;"', {'recipe' : '"&amp;V1278&amp;"', 'ingredient' : '"&amp;Z1278&amp;"', 'name' : '"&amp;X1278&amp;"', 'mass_unit' : '"&amp;AC1278&amp;"', 'mass_quantity' : '"&amp;ROUND(AA1278,3)&amp;"', 'volume_unit' : '"&amp;AF1278&amp;"', 'volume_quantity' : '"&amp;ROUND(AD1278,3)&amp;"', 'pieces_unit' : '"&amp;AI1278&amp;"', 'pieces_quantity' : '"&amp;ROUND(AG1278,3)&amp;"', 'cooking_notes' : '"&amp;AJ1278&amp;"'}).status_code; print('%s :: %s :: %s :: %s :: %s' %(a,"&amp;G1278&amp;",'"&amp;X1278&amp;"','"&amp;Y1278&amp;"','"&amp;U1278&amp;"'))"</f>
        <v>a = Client().post('/recipes/rasam/detail/', {'recipe' : '64', 'ingredient' : '164', 'name' : 'rai', 'mass_unit' : '2', 'mass_quantity' : '0', 'volume_unit' : '5', 'volume_quantity' : '0.75', 'pieces_unit' : '3', 'pieces_quantity' : '0', 'cooking_notes' : ''}).status_code; print('%s :: %s :: %s :: %s :: %s' %(a,1278,'rai','rai','RASAM'))</v>
      </c>
    </row>
    <row r="1279" customFormat="false" ht="13.8" hidden="false" customHeight="false" outlineLevel="0" collapsed="false">
      <c r="G1279" s="80" t="n">
        <v>1279</v>
      </c>
      <c r="H1279" s="79"/>
      <c r="I1279" s="79"/>
      <c r="J1279" s="79"/>
      <c r="K1279" s="100"/>
      <c r="L1279" s="100"/>
      <c r="M1279" s="100"/>
      <c r="N1279" s="100"/>
      <c r="O1279" s="100"/>
      <c r="P1279" s="100"/>
      <c r="Q1279" s="102"/>
      <c r="R1279" s="99" t="e">
        <f aca="false">VLOOKUP(J1279,ingredient!$N$4:$O$553,2,0)</f>
        <v>#N/A</v>
      </c>
      <c r="S1279" s="98"/>
      <c r="T1279" s="98"/>
      <c r="U1279" s="81" t="n">
        <f aca="false">I1279</f>
        <v>0</v>
      </c>
      <c r="V1279" s="81" t="e">
        <f aca="false">VLOOKUP(U1279,recipe_ingred_list!$A$2:$B$300,2,0)</f>
        <v>#N/A</v>
      </c>
      <c r="W1279" s="81" t="e">
        <f aca="false">"/recipes/"&amp;VLOOKUP(U1279,recipe_ingred_list!$A$2:$C$300,3,0)&amp;"/detail/"</f>
        <v>#N/A</v>
      </c>
      <c r="X1279" s="81" t="n">
        <f aca="false">J1279</f>
        <v>0</v>
      </c>
      <c r="Y1279" s="81" t="e">
        <f aca="false">R1279</f>
        <v>#N/A</v>
      </c>
      <c r="Z1279" s="94" t="e">
        <f aca="false">VLOOKUP(Y1279,recipe_ingred_list!$D$2:$E$500,2,0)</f>
        <v>#N/A</v>
      </c>
      <c r="AA1279" s="61" t="n">
        <f aca="false">K1279</f>
        <v>0</v>
      </c>
      <c r="AB1279" s="61" t="n">
        <f aca="false">L1279</f>
        <v>0</v>
      </c>
      <c r="AC1279" s="61" t="n">
        <f aca="false">VLOOKUP(AB1279,recipe_ingred_list!$K$2:$M$7,3,0)</f>
        <v>2</v>
      </c>
      <c r="AD1279" s="61" t="n">
        <f aca="false">M1279</f>
        <v>0</v>
      </c>
      <c r="AE1279" s="61" t="n">
        <f aca="false">N1279</f>
        <v>0</v>
      </c>
      <c r="AF1279" s="61" t="n">
        <f aca="false">VLOOKUP(AE1279,recipe_ingred_list!$K$16:$M$25,3,0)</f>
        <v>1</v>
      </c>
      <c r="AG1279" s="61" t="n">
        <f aca="false">O1279</f>
        <v>0</v>
      </c>
      <c r="AH1279" s="61" t="n">
        <f aca="false">P1279</f>
        <v>0</v>
      </c>
      <c r="AI1279" s="61" t="n">
        <f aca="false">VLOOKUP(AH1279,recipe_ingred_list!$K$29:$M$34,3,0)</f>
        <v>3</v>
      </c>
      <c r="AJ1279" s="61" t="str">
        <f aca="false">IF(Q1279="","",Q1279)</f>
        <v/>
      </c>
      <c r="AK1279" s="61" t="n">
        <f aca="false">AK1278+1</f>
        <v>1279</v>
      </c>
      <c r="AL1279" s="61" t="e">
        <f aca="false">Y1279</f>
        <v>#N/A</v>
      </c>
      <c r="AM1279" s="81" t="e">
        <f aca="false">"a = Client().post('"&amp;W1279&amp;"', {'recipe' : '"&amp;V1279&amp;"', 'ingredient' : '"&amp;Z1279&amp;"', 'name' : '"&amp;X1279&amp;"', 'mass_unit' : '"&amp;AC1279&amp;"', 'mass_quantity' : '"&amp;ROUND(AA1279,3)&amp;"', 'volume_unit' : '"&amp;AF1279&amp;"', 'volume_quantity' : '"&amp;ROUND(AD1279,3)&amp;"', 'pieces_unit' : '"&amp;AI1279&amp;"', 'pieces_quantity' : '"&amp;ROUND(AG1279,3)&amp;"', 'cooking_notes' : '"&amp;AJ1279&amp;"'}).status_code; print('%s :: %s :: %s :: %s :: %s' %(a,"&amp;G1279&amp;",'"&amp;X1279&amp;"','"&amp;Y1279&amp;"','"&amp;U1279&amp;"'))"</f>
        <v>#N/A</v>
      </c>
    </row>
    <row r="1280" customFormat="false" ht="13.8" hidden="false" customHeight="false" outlineLevel="0" collapsed="false">
      <c r="G1280" s="80" t="n">
        <v>1280</v>
      </c>
      <c r="H1280" s="83"/>
      <c r="I1280" s="83" t="s">
        <v>175</v>
      </c>
      <c r="J1280" s="83" t="s">
        <v>273</v>
      </c>
      <c r="O1280" s="61" t="n">
        <v>7</v>
      </c>
      <c r="P1280" s="61" t="s">
        <v>107</v>
      </c>
      <c r="R1280" s="82" t="str">
        <f aca="false">VLOOKUP(J1280,ingredient!$N$4:$O$553,2,0)</f>
        <v>coconut</v>
      </c>
      <c r="U1280" s="81" t="str">
        <f aca="false">I1280</f>
        <v>EKADASHI CHUTNEY</v>
      </c>
      <c r="V1280" s="81" t="n">
        <f aca="false">VLOOKUP(U1280,recipe_ingred_list!$A$2:$B$300,2,0)</f>
        <v>22</v>
      </c>
      <c r="W1280" s="81" t="str">
        <f aca="false">"/recipes/"&amp;VLOOKUP(U1280,recipe_ingred_list!$A$2:$C$300,3,0)&amp;"/detail/"</f>
        <v>/recipes/ekadashi-chutney/detail/</v>
      </c>
      <c r="X1280" s="81" t="str">
        <f aca="false">J1280</f>
        <v>coconut</v>
      </c>
      <c r="Y1280" s="81" t="str">
        <f aca="false">R1280</f>
        <v>coconut</v>
      </c>
      <c r="Z1280" s="94" t="n">
        <f aca="false">VLOOKUP(Y1280,recipe_ingred_list!$D$2:$E$500,2,0)</f>
        <v>54</v>
      </c>
      <c r="AA1280" s="61" t="n">
        <f aca="false">K1280</f>
        <v>0</v>
      </c>
      <c r="AB1280" s="61" t="n">
        <f aca="false">L1280</f>
        <v>0</v>
      </c>
      <c r="AC1280" s="61" t="n">
        <f aca="false">VLOOKUP(AB1280,recipe_ingred_list!$K$2:$M$7,3,0)</f>
        <v>2</v>
      </c>
      <c r="AD1280" s="61" t="n">
        <f aca="false">M1280</f>
        <v>0</v>
      </c>
      <c r="AE1280" s="61" t="n">
        <f aca="false">N1280</f>
        <v>0</v>
      </c>
      <c r="AF1280" s="61" t="n">
        <f aca="false">VLOOKUP(AE1280,recipe_ingred_list!$K$16:$M$25,3,0)</f>
        <v>1</v>
      </c>
      <c r="AG1280" s="61" t="n">
        <f aca="false">O1280</f>
        <v>7</v>
      </c>
      <c r="AH1280" s="61" t="str">
        <f aca="false">P1280</f>
        <v>pcs</v>
      </c>
      <c r="AI1280" s="61" t="n">
        <f aca="false">VLOOKUP(AH1280,recipe_ingred_list!$K$29:$M$34,3,0)</f>
        <v>3</v>
      </c>
      <c r="AJ1280" s="61" t="str">
        <f aca="false">IF(Q1280="","",Q1280)</f>
        <v/>
      </c>
      <c r="AK1280" s="61" t="n">
        <f aca="false">AK1279+1</f>
        <v>1280</v>
      </c>
      <c r="AL1280" s="61" t="str">
        <f aca="false">Y1280</f>
        <v>coconut</v>
      </c>
      <c r="AM1280" s="81" t="str">
        <f aca="false">"a = Client().post('"&amp;W1280&amp;"', {'recipe' : '"&amp;V1280&amp;"', 'ingredient' : '"&amp;Z1280&amp;"', 'name' : '"&amp;X1280&amp;"', 'mass_unit' : '"&amp;AC1280&amp;"', 'mass_quantity' : '"&amp;ROUND(AA1280,3)&amp;"', 'volume_unit' : '"&amp;AF1280&amp;"', 'volume_quantity' : '"&amp;ROUND(AD1280,3)&amp;"', 'pieces_unit' : '"&amp;AI1280&amp;"', 'pieces_quantity' : '"&amp;ROUND(AG1280,3)&amp;"', 'cooking_notes' : '"&amp;AJ1280&amp;"'}).status_code; print('%s :: %s :: %s :: %s :: %s' %(a,"&amp;G1280&amp;",'"&amp;X1280&amp;"','"&amp;Y1280&amp;"','"&amp;U1280&amp;"'))"</f>
        <v>a = Client().post('/recipes/ekadashi-chutney/detail/', {'recipe' : '22', 'ingredient' : '54', 'name' : 'coconut', 'mass_unit' : '2', 'mass_quantity' : '0', 'volume_unit' : '1', 'volume_quantity' : '0', 'pieces_unit' : '3', 'pieces_quantity' : '7', 'cooking_notes' : ''}).status_code; print('%s :: %s :: %s :: %s :: %s' %(a,1280,'coconut','coconut','EKADASHI CHUTNEY'))</v>
      </c>
    </row>
    <row r="1281" customFormat="false" ht="13.8" hidden="false" customHeight="false" outlineLevel="0" collapsed="false">
      <c r="G1281" s="80" t="n">
        <v>1281</v>
      </c>
      <c r="H1281" s="83"/>
      <c r="I1281" s="83" t="s">
        <v>175</v>
      </c>
      <c r="J1281" s="83" t="s">
        <v>454</v>
      </c>
      <c r="O1281" s="61" t="n">
        <v>2</v>
      </c>
      <c r="P1281" s="61" t="s">
        <v>127</v>
      </c>
      <c r="R1281" s="82" t="str">
        <f aca="false">VLOOKUP(J1281,ingredient!$N$4:$O$553,2,0)</f>
        <v>pudina</v>
      </c>
      <c r="U1281" s="81" t="str">
        <f aca="false">I1281</f>
        <v>EKADASHI CHUTNEY</v>
      </c>
      <c r="V1281" s="81" t="n">
        <f aca="false">VLOOKUP(U1281,recipe_ingred_list!$A$2:$B$300,2,0)</f>
        <v>22</v>
      </c>
      <c r="W1281" s="81" t="str">
        <f aca="false">"/recipes/"&amp;VLOOKUP(U1281,recipe_ingred_list!$A$2:$C$300,3,0)&amp;"/detail/"</f>
        <v>/recipes/ekadashi-chutney/detail/</v>
      </c>
      <c r="X1281" s="81" t="str">
        <f aca="false">J1281</f>
        <v>pudina</v>
      </c>
      <c r="Y1281" s="81" t="str">
        <f aca="false">R1281</f>
        <v>pudina</v>
      </c>
      <c r="Z1281" s="94" t="n">
        <f aca="false">VLOOKUP(Y1281,recipe_ingred_list!$D$2:$E$500,2,0)</f>
        <v>162</v>
      </c>
      <c r="AA1281" s="61" t="n">
        <f aca="false">K1281</f>
        <v>0</v>
      </c>
      <c r="AB1281" s="61" t="n">
        <f aca="false">L1281</f>
        <v>0</v>
      </c>
      <c r="AC1281" s="61" t="n">
        <f aca="false">VLOOKUP(AB1281,recipe_ingred_list!$K$2:$M$7,3,0)</f>
        <v>2</v>
      </c>
      <c r="AD1281" s="61" t="n">
        <f aca="false">M1281</f>
        <v>0</v>
      </c>
      <c r="AE1281" s="61" t="n">
        <f aca="false">N1281</f>
        <v>0</v>
      </c>
      <c r="AF1281" s="61" t="n">
        <f aca="false">VLOOKUP(AE1281,recipe_ingred_list!$K$16:$M$25,3,0)</f>
        <v>1</v>
      </c>
      <c r="AG1281" s="61" t="n">
        <f aca="false">O1281</f>
        <v>2</v>
      </c>
      <c r="AH1281" s="61" t="str">
        <f aca="false">P1281</f>
        <v>bndl</v>
      </c>
      <c r="AI1281" s="61" t="n">
        <f aca="false">VLOOKUP(AH1281,recipe_ingred_list!$K$29:$M$34,3,0)</f>
        <v>8</v>
      </c>
      <c r="AJ1281" s="61" t="str">
        <f aca="false">IF(Q1281="","",Q1281)</f>
        <v/>
      </c>
      <c r="AK1281" s="61" t="n">
        <f aca="false">AK1280+1</f>
        <v>1281</v>
      </c>
      <c r="AL1281" s="61" t="str">
        <f aca="false">Y1281</f>
        <v>pudina</v>
      </c>
      <c r="AM1281" s="81" t="str">
        <f aca="false">"a = Client().post('"&amp;W1281&amp;"', {'recipe' : '"&amp;V1281&amp;"', 'ingredient' : '"&amp;Z1281&amp;"', 'name' : '"&amp;X1281&amp;"', 'mass_unit' : '"&amp;AC1281&amp;"', 'mass_quantity' : '"&amp;ROUND(AA1281,3)&amp;"', 'volume_unit' : '"&amp;AF1281&amp;"', 'volume_quantity' : '"&amp;ROUND(AD1281,3)&amp;"', 'pieces_unit' : '"&amp;AI1281&amp;"', 'pieces_quantity' : '"&amp;ROUND(AG1281,3)&amp;"', 'cooking_notes' : '"&amp;AJ1281&amp;"'}).status_code; print('%s :: %s :: %s :: %s :: %s' %(a,"&amp;G1281&amp;",'"&amp;X1281&amp;"','"&amp;Y1281&amp;"','"&amp;U1281&amp;"'))"</f>
        <v>a = Client().post('/recipes/ekadashi-chutney/detail/', {'recipe' : '22', 'ingredient' : '162', 'name' : 'pudina', 'mass_unit' : '2', 'mass_quantity' : '0', 'volume_unit' : '1', 'volume_quantity' : '0', 'pieces_unit' : '8', 'pieces_quantity' : '2', 'cooking_notes' : ''}).status_code; print('%s :: %s :: %s :: %s :: %s' %(a,1281,'pudina','pudina','EKADASHI CHUTNEY'))</v>
      </c>
    </row>
    <row r="1282" customFormat="false" ht="13.8" hidden="false" customHeight="false" outlineLevel="0" collapsed="false">
      <c r="G1282" s="80" t="n">
        <v>1282</v>
      </c>
      <c r="H1282" s="83"/>
      <c r="I1282" s="83" t="s">
        <v>175</v>
      </c>
      <c r="J1282" s="83" t="s">
        <v>833</v>
      </c>
      <c r="M1282" s="61" t="n">
        <v>1</v>
      </c>
      <c r="N1282" s="61" t="s">
        <v>20</v>
      </c>
      <c r="R1282" s="82" t="str">
        <f aca="false">VLOOKUP(J1282,ingredient!$N$4:$O$553,2,0)</f>
        <v>lemon</v>
      </c>
      <c r="U1282" s="81" t="str">
        <f aca="false">I1282</f>
        <v>EKADASHI CHUTNEY</v>
      </c>
      <c r="V1282" s="81" t="n">
        <f aca="false">VLOOKUP(U1282,recipe_ingred_list!$A$2:$B$300,2,0)</f>
        <v>22</v>
      </c>
      <c r="W1282" s="81" t="str">
        <f aca="false">"/recipes/"&amp;VLOOKUP(U1282,recipe_ingred_list!$A$2:$C$300,3,0)&amp;"/detail/"</f>
        <v>/recipes/ekadashi-chutney/detail/</v>
      </c>
      <c r="X1282" s="81" t="str">
        <f aca="false">J1282</f>
        <v>lemon juice</v>
      </c>
      <c r="Y1282" s="81" t="str">
        <f aca="false">R1282</f>
        <v>lemon</v>
      </c>
      <c r="Z1282" s="94" t="n">
        <f aca="false">VLOOKUP(Y1282,recipe_ingred_list!$D$2:$E$500,2,0)</f>
        <v>129</v>
      </c>
      <c r="AA1282" s="61" t="n">
        <f aca="false">K1282</f>
        <v>0</v>
      </c>
      <c r="AB1282" s="61" t="n">
        <f aca="false">L1282</f>
        <v>0</v>
      </c>
      <c r="AC1282" s="61" t="n">
        <f aca="false">VLOOKUP(AB1282,recipe_ingred_list!$K$2:$M$7,3,0)</f>
        <v>2</v>
      </c>
      <c r="AD1282" s="61" t="n">
        <f aca="false">M1282</f>
        <v>1</v>
      </c>
      <c r="AE1282" s="61" t="str">
        <f aca="false">N1282</f>
        <v>cup</v>
      </c>
      <c r="AF1282" s="61" t="n">
        <f aca="false">VLOOKUP(AE1282,recipe_ingred_list!$K$16:$M$25,3,0)</f>
        <v>5</v>
      </c>
      <c r="AG1282" s="61" t="n">
        <f aca="false">O1282</f>
        <v>0</v>
      </c>
      <c r="AH1282" s="61" t="n">
        <f aca="false">P1282</f>
        <v>0</v>
      </c>
      <c r="AI1282" s="61" t="n">
        <f aca="false">VLOOKUP(AH1282,recipe_ingred_list!$K$29:$M$34,3,0)</f>
        <v>3</v>
      </c>
      <c r="AJ1282" s="61" t="str">
        <f aca="false">IF(Q1282="","",Q1282)</f>
        <v/>
      </c>
      <c r="AK1282" s="61" t="n">
        <f aca="false">AK1281+1</f>
        <v>1282</v>
      </c>
      <c r="AL1282" s="61" t="str">
        <f aca="false">Y1282</f>
        <v>lemon</v>
      </c>
      <c r="AM1282" s="81" t="str">
        <f aca="false">"a = Client().post('"&amp;W1282&amp;"', {'recipe' : '"&amp;V1282&amp;"', 'ingredient' : '"&amp;Z1282&amp;"', 'name' : '"&amp;X1282&amp;"', 'mass_unit' : '"&amp;AC1282&amp;"', 'mass_quantity' : '"&amp;ROUND(AA1282,3)&amp;"', 'volume_unit' : '"&amp;AF1282&amp;"', 'volume_quantity' : '"&amp;ROUND(AD1282,3)&amp;"', 'pieces_unit' : '"&amp;AI1282&amp;"', 'pieces_quantity' : '"&amp;ROUND(AG1282,3)&amp;"', 'cooking_notes' : '"&amp;AJ1282&amp;"'}).status_code; print('%s :: %s :: %s :: %s :: %s' %(a,"&amp;G1282&amp;",'"&amp;X1282&amp;"','"&amp;Y1282&amp;"','"&amp;U1282&amp;"'))"</f>
        <v>a = Client().post('/recipes/ekadashi-chutney/detail/', {'recipe' : '22', 'ingredient' : '129', 'name' : 'lemon juice', 'mass_unit' : '2', 'mass_quantity' : '0', 'volume_unit' : '5', 'volume_quantity' : '1', 'pieces_unit' : '3', 'pieces_quantity' : '0', 'cooking_notes' : ''}).status_code; print('%s :: %s :: %s :: %s :: %s' %(a,1282,'lemon juice','lemon','EKADASHI CHUTNEY'))</v>
      </c>
    </row>
    <row r="1283" customFormat="false" ht="13.8" hidden="false" customHeight="false" outlineLevel="0" collapsed="false">
      <c r="G1283" s="80" t="n">
        <v>1283</v>
      </c>
      <c r="H1283" s="83"/>
      <c r="I1283" s="83" t="s">
        <v>175</v>
      </c>
      <c r="J1283" s="83" t="s">
        <v>309</v>
      </c>
      <c r="O1283" s="61" t="n">
        <v>1</v>
      </c>
      <c r="P1283" s="61" t="s">
        <v>127</v>
      </c>
      <c r="R1283" s="82" t="str">
        <f aca="false">VLOOKUP(J1283,ingredient!$N$4:$O$553,2,0)</f>
        <v>dhaniya patta</v>
      </c>
      <c r="U1283" s="81" t="str">
        <f aca="false">I1283</f>
        <v>EKADASHI CHUTNEY</v>
      </c>
      <c r="V1283" s="81" t="n">
        <f aca="false">VLOOKUP(U1283,recipe_ingred_list!$A$2:$B$300,2,0)</f>
        <v>22</v>
      </c>
      <c r="W1283" s="81" t="str">
        <f aca="false">"/recipes/"&amp;VLOOKUP(U1283,recipe_ingred_list!$A$2:$C$300,3,0)&amp;"/detail/"</f>
        <v>/recipes/ekadashi-chutney/detail/</v>
      </c>
      <c r="X1283" s="81" t="str">
        <f aca="false">J1283</f>
        <v>dhaniya patta</v>
      </c>
      <c r="Y1283" s="81" t="str">
        <f aca="false">R1283</f>
        <v>dhaniya patta</v>
      </c>
      <c r="Z1283" s="94" t="n">
        <f aca="false">VLOOKUP(Y1283,recipe_ingred_list!$D$2:$E$500,2,0)</f>
        <v>66</v>
      </c>
      <c r="AA1283" s="61" t="n">
        <f aca="false">K1283</f>
        <v>0</v>
      </c>
      <c r="AB1283" s="61" t="n">
        <f aca="false">L1283</f>
        <v>0</v>
      </c>
      <c r="AC1283" s="61" t="n">
        <f aca="false">VLOOKUP(AB1283,recipe_ingred_list!$K$2:$M$7,3,0)</f>
        <v>2</v>
      </c>
      <c r="AD1283" s="61" t="n">
        <f aca="false">M1283</f>
        <v>0</v>
      </c>
      <c r="AE1283" s="61" t="n">
        <f aca="false">N1283</f>
        <v>0</v>
      </c>
      <c r="AF1283" s="61" t="n">
        <f aca="false">VLOOKUP(AE1283,recipe_ingred_list!$K$16:$M$25,3,0)</f>
        <v>1</v>
      </c>
      <c r="AG1283" s="61" t="n">
        <f aca="false">O1283</f>
        <v>1</v>
      </c>
      <c r="AH1283" s="61" t="str">
        <f aca="false">P1283</f>
        <v>bndl</v>
      </c>
      <c r="AI1283" s="61" t="n">
        <f aca="false">VLOOKUP(AH1283,recipe_ingred_list!$K$29:$M$34,3,0)</f>
        <v>8</v>
      </c>
      <c r="AJ1283" s="61" t="str">
        <f aca="false">IF(Q1283="","",Q1283)</f>
        <v/>
      </c>
      <c r="AK1283" s="61" t="n">
        <f aca="false">AK1282+1</f>
        <v>1283</v>
      </c>
      <c r="AL1283" s="61" t="str">
        <f aca="false">Y1283</f>
        <v>dhaniya patta</v>
      </c>
      <c r="AM1283" s="81" t="str">
        <f aca="false">"a = Client().post('"&amp;W1283&amp;"', {'recipe' : '"&amp;V1283&amp;"', 'ingredient' : '"&amp;Z1283&amp;"', 'name' : '"&amp;X1283&amp;"', 'mass_unit' : '"&amp;AC1283&amp;"', 'mass_quantity' : '"&amp;ROUND(AA1283,3)&amp;"', 'volume_unit' : '"&amp;AF1283&amp;"', 'volume_quantity' : '"&amp;ROUND(AD1283,3)&amp;"', 'pieces_unit' : '"&amp;AI1283&amp;"', 'pieces_quantity' : '"&amp;ROUND(AG1283,3)&amp;"', 'cooking_notes' : '"&amp;AJ1283&amp;"'}).status_code; print('%s :: %s :: %s :: %s :: %s' %(a,"&amp;G1283&amp;",'"&amp;X1283&amp;"','"&amp;Y1283&amp;"','"&amp;U1283&amp;"'))"</f>
        <v>a = Client().post('/recipes/ekadashi-chutney/detail/', {'recipe' : '22', 'ingredient' : '66', 'name' : 'dhaniya patta', 'mass_unit' : '2', 'mass_quantity' : '0', 'volume_unit' : '1', 'volume_quantity' : '0', 'pieces_unit' : '8', 'pieces_quantity' : '1', 'cooking_notes' : ''}).status_code; print('%s :: %s :: %s :: %s :: %s' %(a,1283,'dhaniya patta','dhaniya patta','EKADASHI CHUTNEY'))</v>
      </c>
    </row>
    <row r="1284" customFormat="false" ht="13.8" hidden="false" customHeight="false" outlineLevel="0" collapsed="false">
      <c r="G1284" s="80" t="n">
        <v>1284</v>
      </c>
      <c r="H1284" s="83"/>
      <c r="I1284" s="83" t="s">
        <v>175</v>
      </c>
      <c r="J1284" s="83" t="s">
        <v>855</v>
      </c>
      <c r="M1284" s="61" t="n">
        <v>1</v>
      </c>
      <c r="N1284" s="61" t="s">
        <v>20</v>
      </c>
      <c r="R1284" s="82" t="str">
        <f aca="false">VLOOKUP(J1284,ingredient!$N$4:$O$553,2,0)</f>
        <v>adrak</v>
      </c>
      <c r="U1284" s="81" t="str">
        <f aca="false">I1284</f>
        <v>EKADASHI CHUTNEY</v>
      </c>
      <c r="V1284" s="81" t="n">
        <f aca="false">VLOOKUP(U1284,recipe_ingred_list!$A$2:$B$300,2,0)</f>
        <v>22</v>
      </c>
      <c r="W1284" s="81" t="str">
        <f aca="false">"/recipes/"&amp;VLOOKUP(U1284,recipe_ingred_list!$A$2:$C$300,3,0)&amp;"/detail/"</f>
        <v>/recipes/ekadashi-chutney/detail/</v>
      </c>
      <c r="X1284" s="81" t="str">
        <f aca="false">J1284</f>
        <v>adrak paste</v>
      </c>
      <c r="Y1284" s="81" t="str">
        <f aca="false">R1284</f>
        <v>adrak</v>
      </c>
      <c r="Z1284" s="94" t="n">
        <f aca="false">VLOOKUP(Y1284,recipe_ingred_list!$D$2:$E$500,2,0)</f>
        <v>1</v>
      </c>
      <c r="AA1284" s="61" t="n">
        <f aca="false">K1284</f>
        <v>0</v>
      </c>
      <c r="AB1284" s="61" t="n">
        <f aca="false">L1284</f>
        <v>0</v>
      </c>
      <c r="AC1284" s="61" t="n">
        <f aca="false">VLOOKUP(AB1284,recipe_ingred_list!$K$2:$M$7,3,0)</f>
        <v>2</v>
      </c>
      <c r="AD1284" s="61" t="n">
        <f aca="false">M1284</f>
        <v>1</v>
      </c>
      <c r="AE1284" s="61" t="str">
        <f aca="false">N1284</f>
        <v>cup</v>
      </c>
      <c r="AF1284" s="61" t="n">
        <f aca="false">VLOOKUP(AE1284,recipe_ingred_list!$K$16:$M$25,3,0)</f>
        <v>5</v>
      </c>
      <c r="AG1284" s="61" t="n">
        <f aca="false">O1284</f>
        <v>0</v>
      </c>
      <c r="AH1284" s="61" t="n">
        <f aca="false">P1284</f>
        <v>0</v>
      </c>
      <c r="AI1284" s="61" t="n">
        <f aca="false">VLOOKUP(AH1284,recipe_ingred_list!$K$29:$M$34,3,0)</f>
        <v>3</v>
      </c>
      <c r="AJ1284" s="61" t="str">
        <f aca="false">IF(Q1284="","",Q1284)</f>
        <v/>
      </c>
      <c r="AK1284" s="61" t="n">
        <f aca="false">AK1283+1</f>
        <v>1284</v>
      </c>
      <c r="AL1284" s="61" t="str">
        <f aca="false">Y1284</f>
        <v>adrak</v>
      </c>
      <c r="AM1284" s="81" t="str">
        <f aca="false">"a = Client().post('"&amp;W1284&amp;"', {'recipe' : '"&amp;V1284&amp;"', 'ingredient' : '"&amp;Z1284&amp;"', 'name' : '"&amp;X1284&amp;"', 'mass_unit' : '"&amp;AC1284&amp;"', 'mass_quantity' : '"&amp;ROUND(AA1284,3)&amp;"', 'volume_unit' : '"&amp;AF1284&amp;"', 'volume_quantity' : '"&amp;ROUND(AD1284,3)&amp;"', 'pieces_unit' : '"&amp;AI1284&amp;"', 'pieces_quantity' : '"&amp;ROUND(AG1284,3)&amp;"', 'cooking_notes' : '"&amp;AJ1284&amp;"'}).status_code; print('%s :: %s :: %s :: %s :: %s' %(a,"&amp;G1284&amp;",'"&amp;X1284&amp;"','"&amp;Y1284&amp;"','"&amp;U1284&amp;"'))"</f>
        <v>a = Client().post('/recipes/ekadashi-chutney/detail/', {'recipe' : '22', 'ingredient' : '1', 'name' : 'adrak paste', 'mass_unit' : '2', 'mass_quantity' : '0', 'volume_unit' : '5', 'volume_quantity' : '1', 'pieces_unit' : '3', 'pieces_quantity' : '0', 'cooking_notes' : ''}).status_code; print('%s :: %s :: %s :: %s :: %s' %(a,1284,'adrak paste','adrak','EKADASHI CHUTNEY'))</v>
      </c>
    </row>
    <row r="1285" customFormat="false" ht="13.8" hidden="false" customHeight="false" outlineLevel="0" collapsed="false">
      <c r="G1285" s="80" t="n">
        <v>1285</v>
      </c>
      <c r="H1285" s="83"/>
      <c r="I1285" s="83" t="s">
        <v>175</v>
      </c>
      <c r="J1285" s="83" t="s">
        <v>803</v>
      </c>
      <c r="M1285" s="61" t="n">
        <v>1</v>
      </c>
      <c r="N1285" s="61" t="s">
        <v>20</v>
      </c>
      <c r="R1285" s="82" t="str">
        <f aca="false">VLOOKUP(J1285,ingredient!$N$4:$O$553,2,0)</f>
        <v>kadi patta</v>
      </c>
      <c r="U1285" s="81" t="str">
        <f aca="false">I1285</f>
        <v>EKADASHI CHUTNEY</v>
      </c>
      <c r="V1285" s="81" t="n">
        <f aca="false">VLOOKUP(U1285,recipe_ingred_list!$A$2:$B$300,2,0)</f>
        <v>22</v>
      </c>
      <c r="W1285" s="81" t="str">
        <f aca="false">"/recipes/"&amp;VLOOKUP(U1285,recipe_ingred_list!$A$2:$C$300,3,0)&amp;"/detail/"</f>
        <v>/recipes/ekadashi-chutney/detail/</v>
      </c>
      <c r="X1285" s="81" t="str">
        <f aca="false">J1285</f>
        <v>kadipatta</v>
      </c>
      <c r="Y1285" s="81" t="str">
        <f aca="false">R1285</f>
        <v>kadi patta</v>
      </c>
      <c r="Z1285" s="94" t="n">
        <f aca="false">VLOOKUP(Y1285,recipe_ingred_list!$D$2:$E$500,2,0)</f>
        <v>105</v>
      </c>
      <c r="AA1285" s="61" t="n">
        <f aca="false">K1285</f>
        <v>0</v>
      </c>
      <c r="AB1285" s="61" t="n">
        <f aca="false">L1285</f>
        <v>0</v>
      </c>
      <c r="AC1285" s="61" t="n">
        <f aca="false">VLOOKUP(AB1285,recipe_ingred_list!$K$2:$M$7,3,0)</f>
        <v>2</v>
      </c>
      <c r="AD1285" s="61" t="n">
        <f aca="false">M1285</f>
        <v>1</v>
      </c>
      <c r="AE1285" s="61" t="str">
        <f aca="false">N1285</f>
        <v>cup</v>
      </c>
      <c r="AF1285" s="61" t="n">
        <f aca="false">VLOOKUP(AE1285,recipe_ingred_list!$K$16:$M$25,3,0)</f>
        <v>5</v>
      </c>
      <c r="AG1285" s="61" t="n">
        <f aca="false">O1285</f>
        <v>0</v>
      </c>
      <c r="AH1285" s="61" t="n">
        <f aca="false">P1285</f>
        <v>0</v>
      </c>
      <c r="AI1285" s="61" t="n">
        <f aca="false">VLOOKUP(AH1285,recipe_ingred_list!$K$29:$M$34,3,0)</f>
        <v>3</v>
      </c>
      <c r="AJ1285" s="61" t="str">
        <f aca="false">IF(Q1285="","",Q1285)</f>
        <v/>
      </c>
      <c r="AK1285" s="61" t="n">
        <f aca="false">AK1284+1</f>
        <v>1285</v>
      </c>
      <c r="AL1285" s="61" t="str">
        <f aca="false">Y1285</f>
        <v>kadi patta</v>
      </c>
      <c r="AM1285" s="81" t="str">
        <f aca="false">"a = Client().post('"&amp;W1285&amp;"', {'recipe' : '"&amp;V1285&amp;"', 'ingredient' : '"&amp;Z1285&amp;"', 'name' : '"&amp;X1285&amp;"', 'mass_unit' : '"&amp;AC1285&amp;"', 'mass_quantity' : '"&amp;ROUND(AA1285,3)&amp;"', 'volume_unit' : '"&amp;AF1285&amp;"', 'volume_quantity' : '"&amp;ROUND(AD1285,3)&amp;"', 'pieces_unit' : '"&amp;AI1285&amp;"', 'pieces_quantity' : '"&amp;ROUND(AG1285,3)&amp;"', 'cooking_notes' : '"&amp;AJ1285&amp;"'}).status_code; print('%s :: %s :: %s :: %s :: %s' %(a,"&amp;G1285&amp;",'"&amp;X1285&amp;"','"&amp;Y1285&amp;"','"&amp;U1285&amp;"'))"</f>
        <v>a = Client().post('/recipes/ekadashi-chutney/detail/', {'recipe' : '22', 'ingredient' : '105', 'name' : 'kadipatta', 'mass_unit' : '2', 'mass_quantity' : '0', 'volume_unit' : '5', 'volume_quantity' : '1', 'pieces_unit' : '3', 'pieces_quantity' : '0', 'cooking_notes' : ''}).status_code; print('%s :: %s :: %s :: %s :: %s' %(a,1285,'kadipatta','kadi patta','EKADASHI CHUTNEY'))</v>
      </c>
    </row>
    <row r="1286" customFormat="false" ht="13.8" hidden="false" customHeight="false" outlineLevel="0" collapsed="false">
      <c r="G1286" s="80" t="n">
        <v>1286</v>
      </c>
      <c r="H1286" s="83"/>
      <c r="I1286" s="83" t="s">
        <v>175</v>
      </c>
      <c r="J1286" s="83" t="s">
        <v>276</v>
      </c>
      <c r="M1286" s="61" t="n">
        <v>250</v>
      </c>
      <c r="N1286" s="61" t="s">
        <v>143</v>
      </c>
      <c r="R1286" s="82" t="str">
        <f aca="false">VLOOKUP(J1286,ingredient!$N$4:$O$553,2,0)</f>
        <v>coconut oil</v>
      </c>
      <c r="U1286" s="81" t="str">
        <f aca="false">I1286</f>
        <v>EKADASHI CHUTNEY</v>
      </c>
      <c r="V1286" s="81" t="n">
        <f aca="false">VLOOKUP(U1286,recipe_ingred_list!$A$2:$B$300,2,0)</f>
        <v>22</v>
      </c>
      <c r="W1286" s="81" t="str">
        <f aca="false">"/recipes/"&amp;VLOOKUP(U1286,recipe_ingred_list!$A$2:$C$300,3,0)&amp;"/detail/"</f>
        <v>/recipes/ekadashi-chutney/detail/</v>
      </c>
      <c r="X1286" s="81" t="str">
        <f aca="false">J1286</f>
        <v>coconut oil</v>
      </c>
      <c r="Y1286" s="81" t="str">
        <f aca="false">R1286</f>
        <v>coconut oil</v>
      </c>
      <c r="Z1286" s="94" t="n">
        <f aca="false">VLOOKUP(Y1286,recipe_ingred_list!$D$2:$E$500,2,0)</f>
        <v>55</v>
      </c>
      <c r="AA1286" s="61" t="n">
        <f aca="false">K1286</f>
        <v>0</v>
      </c>
      <c r="AB1286" s="61" t="n">
        <f aca="false">L1286</f>
        <v>0</v>
      </c>
      <c r="AC1286" s="61" t="n">
        <f aca="false">VLOOKUP(AB1286,recipe_ingred_list!$K$2:$M$7,3,0)</f>
        <v>2</v>
      </c>
      <c r="AD1286" s="61" t="n">
        <f aca="false">M1286</f>
        <v>250</v>
      </c>
      <c r="AE1286" s="61" t="str">
        <f aca="false">N1286</f>
        <v>ml</v>
      </c>
      <c r="AF1286" s="61" t="n">
        <f aca="false">VLOOKUP(AE1286,recipe_ingred_list!$K$16:$M$25,3,0)</f>
        <v>12</v>
      </c>
      <c r="AG1286" s="61" t="n">
        <f aca="false">O1286</f>
        <v>0</v>
      </c>
      <c r="AH1286" s="61" t="n">
        <f aca="false">P1286</f>
        <v>0</v>
      </c>
      <c r="AI1286" s="61" t="n">
        <f aca="false">VLOOKUP(AH1286,recipe_ingred_list!$K$29:$M$34,3,0)</f>
        <v>3</v>
      </c>
      <c r="AJ1286" s="61" t="str">
        <f aca="false">IF(Q1286="","",Q1286)</f>
        <v/>
      </c>
      <c r="AK1286" s="61" t="n">
        <f aca="false">AK1285+1</f>
        <v>1286</v>
      </c>
      <c r="AL1286" s="61" t="str">
        <f aca="false">Y1286</f>
        <v>coconut oil</v>
      </c>
      <c r="AM1286" s="81" t="str">
        <f aca="false">"a = Client().post('"&amp;W1286&amp;"', {'recipe' : '"&amp;V1286&amp;"', 'ingredient' : '"&amp;Z1286&amp;"', 'name' : '"&amp;X1286&amp;"', 'mass_unit' : '"&amp;AC1286&amp;"', 'mass_quantity' : '"&amp;ROUND(AA1286,3)&amp;"', 'volume_unit' : '"&amp;AF1286&amp;"', 'volume_quantity' : '"&amp;ROUND(AD1286,3)&amp;"', 'pieces_unit' : '"&amp;AI1286&amp;"', 'pieces_quantity' : '"&amp;ROUND(AG1286,3)&amp;"', 'cooking_notes' : '"&amp;AJ1286&amp;"'}).status_code; print('%s :: %s :: %s :: %s :: %s' %(a,"&amp;G1286&amp;",'"&amp;X1286&amp;"','"&amp;Y1286&amp;"','"&amp;U1286&amp;"'))"</f>
        <v>a = Client().post('/recipes/ekadashi-chutney/detail/', {'recipe' : '22', 'ingredient' : '55', 'name' : 'coconut oil', 'mass_unit' : '2', 'mass_quantity' : '0', 'volume_unit' : '12', 'volume_quantity' : '250', 'pieces_unit' : '3', 'pieces_quantity' : '0', 'cooking_notes' : ''}).status_code; print('%s :: %s :: %s :: %s :: %s' %(a,1286,'coconut oil','coconut oil','EKADASHI CHUTNEY'))</v>
      </c>
    </row>
    <row r="1287" customFormat="false" ht="13.8" hidden="false" customHeight="false" outlineLevel="0" collapsed="false">
      <c r="G1287" s="80" t="n">
        <v>1287</v>
      </c>
      <c r="H1287" s="83"/>
      <c r="I1287" s="83" t="s">
        <v>175</v>
      </c>
      <c r="J1287" s="83" t="s">
        <v>398</v>
      </c>
      <c r="M1287" s="61" t="n">
        <v>0.5</v>
      </c>
      <c r="N1287" s="61" t="s">
        <v>20</v>
      </c>
      <c r="R1287" s="82" t="str">
        <f aca="false">VLOOKUP(J1287,ingredient!$N$4:$O$553,2,0)</f>
        <v>jeera</v>
      </c>
      <c r="U1287" s="81" t="str">
        <f aca="false">I1287</f>
        <v>EKADASHI CHUTNEY</v>
      </c>
      <c r="V1287" s="81" t="n">
        <f aca="false">VLOOKUP(U1287,recipe_ingred_list!$A$2:$B$300,2,0)</f>
        <v>22</v>
      </c>
      <c r="W1287" s="81" t="str">
        <f aca="false">"/recipes/"&amp;VLOOKUP(U1287,recipe_ingred_list!$A$2:$C$300,3,0)&amp;"/detail/"</f>
        <v>/recipes/ekadashi-chutney/detail/</v>
      </c>
      <c r="X1287" s="81" t="str">
        <f aca="false">J1287</f>
        <v>jeera</v>
      </c>
      <c r="Y1287" s="81" t="str">
        <f aca="false">R1287</f>
        <v>jeera</v>
      </c>
      <c r="Z1287" s="94" t="n">
        <f aca="false">VLOOKUP(Y1287,recipe_ingred_list!$D$2:$E$500,2,0)</f>
        <v>102</v>
      </c>
      <c r="AA1287" s="61" t="n">
        <f aca="false">K1287</f>
        <v>0</v>
      </c>
      <c r="AB1287" s="61" t="n">
        <f aca="false">L1287</f>
        <v>0</v>
      </c>
      <c r="AC1287" s="61" t="n">
        <f aca="false">VLOOKUP(AB1287,recipe_ingred_list!$K$2:$M$7,3,0)</f>
        <v>2</v>
      </c>
      <c r="AD1287" s="61" t="n">
        <f aca="false">M1287</f>
        <v>0.5</v>
      </c>
      <c r="AE1287" s="61" t="str">
        <f aca="false">N1287</f>
        <v>cup</v>
      </c>
      <c r="AF1287" s="61" t="n">
        <f aca="false">VLOOKUP(AE1287,recipe_ingred_list!$K$16:$M$25,3,0)</f>
        <v>5</v>
      </c>
      <c r="AG1287" s="61" t="n">
        <f aca="false">O1287</f>
        <v>0</v>
      </c>
      <c r="AH1287" s="61" t="n">
        <f aca="false">P1287</f>
        <v>0</v>
      </c>
      <c r="AI1287" s="61" t="n">
        <f aca="false">VLOOKUP(AH1287,recipe_ingred_list!$K$29:$M$34,3,0)</f>
        <v>3</v>
      </c>
      <c r="AJ1287" s="61" t="str">
        <f aca="false">IF(Q1287="","",Q1287)</f>
        <v/>
      </c>
      <c r="AK1287" s="61" t="n">
        <f aca="false">AK1286+1</f>
        <v>1287</v>
      </c>
      <c r="AL1287" s="61" t="str">
        <f aca="false">Y1287</f>
        <v>jeera</v>
      </c>
      <c r="AM1287" s="81" t="str">
        <f aca="false">"a = Client().post('"&amp;W1287&amp;"', {'recipe' : '"&amp;V1287&amp;"', 'ingredient' : '"&amp;Z1287&amp;"', 'name' : '"&amp;X1287&amp;"', 'mass_unit' : '"&amp;AC1287&amp;"', 'mass_quantity' : '"&amp;ROUND(AA1287,3)&amp;"', 'volume_unit' : '"&amp;AF1287&amp;"', 'volume_quantity' : '"&amp;ROUND(AD1287,3)&amp;"', 'pieces_unit' : '"&amp;AI1287&amp;"', 'pieces_quantity' : '"&amp;ROUND(AG1287,3)&amp;"', 'cooking_notes' : '"&amp;AJ1287&amp;"'}).status_code; print('%s :: %s :: %s :: %s :: %s' %(a,"&amp;G1287&amp;",'"&amp;X1287&amp;"','"&amp;Y1287&amp;"','"&amp;U1287&amp;"'))"</f>
        <v>a = Client().post('/recipes/ekadashi-chutney/detail/', {'recipe' : '22', 'ingredient' : '102', 'name' : 'jeera', 'mass_unit' : '2', 'mass_quantity' : '0', 'volume_unit' : '5', 'volume_quantity' : '0.5', 'pieces_unit' : '3', 'pieces_quantity' : '0', 'cooking_notes' : ''}).status_code; print('%s :: %s :: %s :: %s :: %s' %(a,1287,'jeera','jeera','EKADASHI CHUTNEY'))</v>
      </c>
    </row>
    <row r="1288" customFormat="false" ht="13.8" hidden="false" customHeight="false" outlineLevel="0" collapsed="false">
      <c r="G1288" s="80" t="n">
        <v>1288</v>
      </c>
      <c r="H1288" s="83"/>
      <c r="I1288" s="83" t="s">
        <v>175</v>
      </c>
      <c r="J1288" s="83" t="s">
        <v>921</v>
      </c>
      <c r="M1288" s="61" t="n">
        <v>1</v>
      </c>
      <c r="N1288" s="61" t="s">
        <v>20</v>
      </c>
      <c r="R1288" s="82" t="str">
        <f aca="false">VLOOKUP(J1288,ingredient!$N$4:$O$553,2,0)</f>
        <v>akkha madrasi mirchi</v>
      </c>
      <c r="U1288" s="81" t="str">
        <f aca="false">I1288</f>
        <v>EKADASHI CHUTNEY</v>
      </c>
      <c r="V1288" s="81" t="n">
        <f aca="false">VLOOKUP(U1288,recipe_ingred_list!$A$2:$B$300,2,0)</f>
        <v>22</v>
      </c>
      <c r="W1288" s="81" t="str">
        <f aca="false">"/recipes/"&amp;VLOOKUP(U1288,recipe_ingred_list!$A$2:$C$300,3,0)&amp;"/detail/"</f>
        <v>/recipes/ekadashi-chutney/detail/</v>
      </c>
      <c r="X1288" s="81" t="str">
        <f aca="false">J1288</f>
        <v>akkha madrasi/kashmiri mirch</v>
      </c>
      <c r="Y1288" s="81" t="str">
        <f aca="false">R1288</f>
        <v>akkha madrasi mirchi</v>
      </c>
      <c r="Z1288" s="94" t="n">
        <f aca="false">VLOOKUP(Y1288,recipe_ingred_list!$D$2:$E$500,2,0)</f>
        <v>6</v>
      </c>
      <c r="AA1288" s="61" t="n">
        <f aca="false">K1288</f>
        <v>0</v>
      </c>
      <c r="AB1288" s="61" t="n">
        <f aca="false">L1288</f>
        <v>0</v>
      </c>
      <c r="AC1288" s="61" t="n">
        <f aca="false">VLOOKUP(AB1288,recipe_ingred_list!$K$2:$M$7,3,0)</f>
        <v>2</v>
      </c>
      <c r="AD1288" s="61" t="n">
        <f aca="false">M1288</f>
        <v>1</v>
      </c>
      <c r="AE1288" s="61" t="str">
        <f aca="false">N1288</f>
        <v>cup</v>
      </c>
      <c r="AF1288" s="61" t="n">
        <f aca="false">VLOOKUP(AE1288,recipe_ingred_list!$K$16:$M$25,3,0)</f>
        <v>5</v>
      </c>
      <c r="AG1288" s="61" t="n">
        <f aca="false">O1288</f>
        <v>0</v>
      </c>
      <c r="AH1288" s="61" t="n">
        <f aca="false">P1288</f>
        <v>0</v>
      </c>
      <c r="AI1288" s="61" t="n">
        <f aca="false">VLOOKUP(AH1288,recipe_ingred_list!$K$29:$M$34,3,0)</f>
        <v>3</v>
      </c>
      <c r="AJ1288" s="61" t="str">
        <f aca="false">IF(Q1288="","",Q1288)</f>
        <v/>
      </c>
      <c r="AK1288" s="61" t="n">
        <f aca="false">AK1287+1</f>
        <v>1288</v>
      </c>
      <c r="AL1288" s="61" t="str">
        <f aca="false">Y1288</f>
        <v>akkha madrasi mirchi</v>
      </c>
      <c r="AM1288" s="81" t="str">
        <f aca="false">"a = Client().post('"&amp;W1288&amp;"', {'recipe' : '"&amp;V1288&amp;"', 'ingredient' : '"&amp;Z1288&amp;"', 'name' : '"&amp;X1288&amp;"', 'mass_unit' : '"&amp;AC1288&amp;"', 'mass_quantity' : '"&amp;ROUND(AA1288,3)&amp;"', 'volume_unit' : '"&amp;AF1288&amp;"', 'volume_quantity' : '"&amp;ROUND(AD1288,3)&amp;"', 'pieces_unit' : '"&amp;AI1288&amp;"', 'pieces_quantity' : '"&amp;ROUND(AG1288,3)&amp;"', 'cooking_notes' : '"&amp;AJ1288&amp;"'}).status_code; print('%s :: %s :: %s :: %s :: %s' %(a,"&amp;G1288&amp;",'"&amp;X1288&amp;"','"&amp;Y1288&amp;"','"&amp;U1288&amp;"'))"</f>
        <v>a = Client().post('/recipes/ekadashi-chutney/detail/', {'recipe' : '22', 'ingredient' : '6', 'name' : 'akkha madrasi/kashmiri mirch', 'mass_unit' : '2', 'mass_quantity' : '0', 'volume_unit' : '5', 'volume_quantity' : '1', 'pieces_unit' : '3', 'pieces_quantity' : '0', 'cooking_notes' : ''}).status_code; print('%s :: %s :: %s :: %s :: %s' %(a,1288,'akkha madrasi/kashmiri mirch','akkha madrasi mirchi','EKADASHI CHUTNEY'))</v>
      </c>
    </row>
    <row r="1289" customFormat="false" ht="13.8" hidden="false" customHeight="false" outlineLevel="0" collapsed="false">
      <c r="G1289" s="80" t="n">
        <v>1289</v>
      </c>
      <c r="H1289" s="79"/>
      <c r="I1289" s="79"/>
      <c r="J1289" s="79"/>
      <c r="K1289" s="100"/>
      <c r="L1289" s="100"/>
      <c r="M1289" s="100"/>
      <c r="N1289" s="100"/>
      <c r="O1289" s="100"/>
      <c r="P1289" s="100"/>
      <c r="Q1289" s="102"/>
      <c r="R1289" s="99" t="e">
        <f aca="false">VLOOKUP(J1289,ingredient!$N$4:$O$553,2,0)</f>
        <v>#N/A</v>
      </c>
      <c r="S1289" s="98"/>
      <c r="T1289" s="98"/>
      <c r="U1289" s="81" t="n">
        <f aca="false">I1289</f>
        <v>0</v>
      </c>
      <c r="V1289" s="81" t="e">
        <f aca="false">VLOOKUP(U1289,recipe_ingred_list!$A$2:$B$300,2,0)</f>
        <v>#N/A</v>
      </c>
      <c r="W1289" s="81" t="e">
        <f aca="false">"/recipes/"&amp;VLOOKUP(U1289,recipe_ingred_list!$A$2:$C$300,3,0)&amp;"/detail/"</f>
        <v>#N/A</v>
      </c>
      <c r="X1289" s="81" t="n">
        <f aca="false">J1289</f>
        <v>0</v>
      </c>
      <c r="Y1289" s="81" t="e">
        <f aca="false">R1289</f>
        <v>#N/A</v>
      </c>
      <c r="Z1289" s="94" t="e">
        <f aca="false">VLOOKUP(Y1289,recipe_ingred_list!$D$2:$E$500,2,0)</f>
        <v>#N/A</v>
      </c>
      <c r="AA1289" s="61" t="n">
        <f aca="false">K1289</f>
        <v>0</v>
      </c>
      <c r="AB1289" s="61" t="n">
        <f aca="false">L1289</f>
        <v>0</v>
      </c>
      <c r="AC1289" s="61" t="n">
        <f aca="false">VLOOKUP(AB1289,recipe_ingred_list!$K$2:$M$7,3,0)</f>
        <v>2</v>
      </c>
      <c r="AD1289" s="61" t="n">
        <f aca="false">M1289</f>
        <v>0</v>
      </c>
      <c r="AE1289" s="61" t="n">
        <f aca="false">N1289</f>
        <v>0</v>
      </c>
      <c r="AF1289" s="61" t="n">
        <f aca="false">VLOOKUP(AE1289,recipe_ingred_list!$K$16:$M$25,3,0)</f>
        <v>1</v>
      </c>
      <c r="AG1289" s="61" t="n">
        <f aca="false">O1289</f>
        <v>0</v>
      </c>
      <c r="AH1289" s="61" t="n">
        <f aca="false">P1289</f>
        <v>0</v>
      </c>
      <c r="AI1289" s="61" t="n">
        <f aca="false">VLOOKUP(AH1289,recipe_ingred_list!$K$29:$M$34,3,0)</f>
        <v>3</v>
      </c>
      <c r="AJ1289" s="61" t="str">
        <f aca="false">IF(Q1289="","",Q1289)</f>
        <v/>
      </c>
      <c r="AK1289" s="61" t="n">
        <f aca="false">AK1288+1</f>
        <v>1289</v>
      </c>
      <c r="AL1289" s="61" t="e">
        <f aca="false">Y1289</f>
        <v>#N/A</v>
      </c>
      <c r="AM1289" s="81" t="e">
        <f aca="false">"a = Client().post('"&amp;W1289&amp;"', {'recipe' : '"&amp;V1289&amp;"', 'ingredient' : '"&amp;Z1289&amp;"', 'name' : '"&amp;X1289&amp;"', 'mass_unit' : '"&amp;AC1289&amp;"', 'mass_quantity' : '"&amp;ROUND(AA1289,3)&amp;"', 'volume_unit' : '"&amp;AF1289&amp;"', 'volume_quantity' : '"&amp;ROUND(AD1289,3)&amp;"', 'pieces_unit' : '"&amp;AI1289&amp;"', 'pieces_quantity' : '"&amp;ROUND(AG1289,3)&amp;"', 'cooking_notes' : '"&amp;AJ1289&amp;"'}).status_code; print('%s :: %s :: %s :: %s :: %s' %(a,"&amp;G1289&amp;",'"&amp;X1289&amp;"','"&amp;Y1289&amp;"','"&amp;U1289&amp;"'))"</f>
        <v>#N/A</v>
      </c>
    </row>
    <row r="1290" customFormat="false" ht="13.8" hidden="false" customHeight="false" outlineLevel="0" collapsed="false">
      <c r="G1290" s="80" t="n">
        <v>1290</v>
      </c>
      <c r="H1290" s="83"/>
      <c r="I1290" s="83" t="s">
        <v>298</v>
      </c>
      <c r="J1290" s="83" t="s">
        <v>503</v>
      </c>
      <c r="M1290" s="61" t="n">
        <v>60</v>
      </c>
      <c r="N1290" s="61" t="s">
        <v>13</v>
      </c>
      <c r="R1290" s="82" t="str">
        <f aca="false">VLOOKUP(J1290,ingredient!$N$4:$O$553,2,0)</f>
        <v>water</v>
      </c>
      <c r="U1290" s="81" t="str">
        <f aca="false">I1290</f>
        <v>RAJGIRA  MALT FOR EKADASHI</v>
      </c>
      <c r="V1290" s="81" t="n">
        <f aca="false">VLOOKUP(U1290,recipe_ingred_list!$A$2:$B$300,2,0)</f>
        <v>63</v>
      </c>
      <c r="W1290" s="81" t="str">
        <f aca="false">"/recipes/"&amp;VLOOKUP(U1290,recipe_ingred_list!$A$2:$C$300,3,0)&amp;"/detail/"</f>
        <v>/recipes/rajgira-malt-for-ekadashi/detail/</v>
      </c>
      <c r="X1290" s="81" t="str">
        <f aca="false">J1290</f>
        <v>water</v>
      </c>
      <c r="Y1290" s="81" t="str">
        <f aca="false">R1290</f>
        <v>water</v>
      </c>
      <c r="Z1290" s="94" t="n">
        <f aca="false">VLOOKUP(Y1290,recipe_ingred_list!$D$2:$E$500,2,0)</f>
        <v>214</v>
      </c>
      <c r="AA1290" s="61" t="n">
        <f aca="false">K1290</f>
        <v>0</v>
      </c>
      <c r="AB1290" s="61" t="n">
        <f aca="false">L1290</f>
        <v>0</v>
      </c>
      <c r="AC1290" s="61" t="n">
        <f aca="false">VLOOKUP(AB1290,recipe_ingred_list!$K$2:$M$7,3,0)</f>
        <v>2</v>
      </c>
      <c r="AD1290" s="61" t="n">
        <f aca="false">M1290</f>
        <v>60</v>
      </c>
      <c r="AE1290" s="61" t="str">
        <f aca="false">N1290</f>
        <v>ltr</v>
      </c>
      <c r="AF1290" s="61" t="n">
        <f aca="false">VLOOKUP(AE1290,recipe_ingred_list!$K$16:$M$25,3,0)</f>
        <v>1</v>
      </c>
      <c r="AG1290" s="61" t="n">
        <f aca="false">O1290</f>
        <v>0</v>
      </c>
      <c r="AH1290" s="61" t="n">
        <f aca="false">P1290</f>
        <v>0</v>
      </c>
      <c r="AI1290" s="61" t="n">
        <f aca="false">VLOOKUP(AH1290,recipe_ingred_list!$K$29:$M$34,3,0)</f>
        <v>3</v>
      </c>
      <c r="AJ1290" s="61" t="str">
        <f aca="false">IF(Q1290="","",Q1290)</f>
        <v/>
      </c>
      <c r="AK1290" s="61" t="n">
        <f aca="false">AK1289+1</f>
        <v>1290</v>
      </c>
      <c r="AL1290" s="61" t="str">
        <f aca="false">Y1290</f>
        <v>water</v>
      </c>
      <c r="AM1290" s="81" t="str">
        <f aca="false">"a = Client().post('"&amp;W1290&amp;"', {'recipe' : '"&amp;V1290&amp;"', 'ingredient' : '"&amp;Z1290&amp;"', 'name' : '"&amp;X1290&amp;"', 'mass_unit' : '"&amp;AC1290&amp;"', 'mass_quantity' : '"&amp;ROUND(AA1290,3)&amp;"', 'volume_unit' : '"&amp;AF1290&amp;"', 'volume_quantity' : '"&amp;ROUND(AD1290,3)&amp;"', 'pieces_unit' : '"&amp;AI1290&amp;"', 'pieces_quantity' : '"&amp;ROUND(AG1290,3)&amp;"', 'cooking_notes' : '"&amp;AJ1290&amp;"'}).status_code; print('%s :: %s :: %s :: %s :: %s' %(a,"&amp;G1290&amp;",'"&amp;X1290&amp;"','"&amp;Y1290&amp;"','"&amp;U1290&amp;"'))"</f>
        <v>a = Client().post('/recipes/rajgira-malt-for-ekadashi/detail/', {'recipe' : '63', 'ingredient' : '214', 'name' : 'water', 'mass_unit' : '2', 'mass_quantity' : '0', 'volume_unit' : '1', 'volume_quantity' : '60', 'pieces_unit' : '3', 'pieces_quantity' : '0', 'cooking_notes' : ''}).status_code; print('%s :: %s :: %s :: %s :: %s' %(a,1290,'water','water','RAJGIRA  MALT FOR EKADASHI'))</v>
      </c>
    </row>
    <row r="1291" customFormat="false" ht="13.8" hidden="false" customHeight="false" outlineLevel="0" collapsed="false">
      <c r="G1291" s="80" t="n">
        <v>1291</v>
      </c>
      <c r="H1291" s="83"/>
      <c r="I1291" s="83" t="s">
        <v>298</v>
      </c>
      <c r="J1291" s="83" t="s">
        <v>458</v>
      </c>
      <c r="K1291" s="61" t="n">
        <v>2</v>
      </c>
      <c r="L1291" s="61" t="s">
        <v>7</v>
      </c>
      <c r="R1291" s="82" t="str">
        <f aca="false">VLOOKUP(J1291,ingredient!$N$4:$O$553,2,0)</f>
        <v>rajgira atta</v>
      </c>
      <c r="U1291" s="81" t="str">
        <f aca="false">I1291</f>
        <v>RAJGIRA  MALT FOR EKADASHI</v>
      </c>
      <c r="V1291" s="81" t="n">
        <f aca="false">VLOOKUP(U1291,recipe_ingred_list!$A$2:$B$300,2,0)</f>
        <v>63</v>
      </c>
      <c r="W1291" s="81" t="str">
        <f aca="false">"/recipes/"&amp;VLOOKUP(U1291,recipe_ingred_list!$A$2:$C$300,3,0)&amp;"/detail/"</f>
        <v>/recipes/rajgira-malt-for-ekadashi/detail/</v>
      </c>
      <c r="X1291" s="81" t="str">
        <f aca="false">J1291</f>
        <v>rajgira atta</v>
      </c>
      <c r="Y1291" s="81" t="str">
        <f aca="false">R1291</f>
        <v>rajgira atta</v>
      </c>
      <c r="Z1291" s="94" t="n">
        <f aca="false">VLOOKUP(Y1291,recipe_ingred_list!$D$2:$E$500,2,0)</f>
        <v>166</v>
      </c>
      <c r="AA1291" s="61" t="n">
        <f aca="false">K1291</f>
        <v>2</v>
      </c>
      <c r="AB1291" s="61" t="str">
        <f aca="false">L1291</f>
        <v>kg</v>
      </c>
      <c r="AC1291" s="61" t="n">
        <f aca="false">VLOOKUP(AB1291,recipe_ingred_list!$K$2:$M$7,3,0)</f>
        <v>2</v>
      </c>
      <c r="AD1291" s="61" t="n">
        <f aca="false">M1291</f>
        <v>0</v>
      </c>
      <c r="AE1291" s="61" t="n">
        <f aca="false">N1291</f>
        <v>0</v>
      </c>
      <c r="AF1291" s="61" t="n">
        <f aca="false">VLOOKUP(AE1291,recipe_ingred_list!$K$16:$M$25,3,0)</f>
        <v>1</v>
      </c>
      <c r="AG1291" s="61" t="n">
        <f aca="false">O1291</f>
        <v>0</v>
      </c>
      <c r="AH1291" s="61" t="n">
        <f aca="false">P1291</f>
        <v>0</v>
      </c>
      <c r="AI1291" s="61" t="n">
        <f aca="false">VLOOKUP(AH1291,recipe_ingred_list!$K$29:$M$34,3,0)</f>
        <v>3</v>
      </c>
      <c r="AJ1291" s="61" t="str">
        <f aca="false">IF(Q1291="","",Q1291)</f>
        <v/>
      </c>
      <c r="AK1291" s="61" t="n">
        <f aca="false">AK1290+1</f>
        <v>1291</v>
      </c>
      <c r="AL1291" s="61" t="str">
        <f aca="false">Y1291</f>
        <v>rajgira atta</v>
      </c>
      <c r="AM1291" s="81" t="str">
        <f aca="false">"a = Client().post('"&amp;W1291&amp;"', {'recipe' : '"&amp;V1291&amp;"', 'ingredient' : '"&amp;Z1291&amp;"', 'name' : '"&amp;X1291&amp;"', 'mass_unit' : '"&amp;AC1291&amp;"', 'mass_quantity' : '"&amp;ROUND(AA1291,3)&amp;"', 'volume_unit' : '"&amp;AF1291&amp;"', 'volume_quantity' : '"&amp;ROUND(AD1291,3)&amp;"', 'pieces_unit' : '"&amp;AI1291&amp;"', 'pieces_quantity' : '"&amp;ROUND(AG1291,3)&amp;"', 'cooking_notes' : '"&amp;AJ1291&amp;"'}).status_code; print('%s :: %s :: %s :: %s :: %s' %(a,"&amp;G1291&amp;",'"&amp;X1291&amp;"','"&amp;Y1291&amp;"','"&amp;U1291&amp;"'))"</f>
        <v>a = Client().post('/recipes/rajgira-malt-for-ekadashi/detail/', {'recipe' : '63', 'ingredient' : '166', 'name' : 'rajgira atta', 'mass_unit' : '2', 'mass_quantity' : '2', 'volume_unit' : '1', 'volume_quantity' : '0', 'pieces_unit' : '3', 'pieces_quantity' : '0', 'cooking_notes' : ''}).status_code; print('%s :: %s :: %s :: %s :: %s' %(a,1291,'rajgira atta','rajgira atta','RAJGIRA  MALT FOR EKADASHI'))</v>
      </c>
    </row>
    <row r="1292" customFormat="false" ht="13.8" hidden="false" customHeight="false" outlineLevel="0" collapsed="false">
      <c r="G1292" s="80" t="n">
        <v>1292</v>
      </c>
      <c r="H1292" s="83"/>
      <c r="I1292" s="83" t="s">
        <v>298</v>
      </c>
      <c r="J1292" s="83" t="s">
        <v>821</v>
      </c>
      <c r="K1292" s="61" t="n">
        <v>7</v>
      </c>
      <c r="L1292" s="61" t="s">
        <v>7</v>
      </c>
      <c r="R1292" s="82" t="str">
        <f aca="false">VLOOKUP(J1292,ingredient!$N$4:$O$553,2,0)</f>
        <v>gud</v>
      </c>
      <c r="U1292" s="81" t="str">
        <f aca="false">I1292</f>
        <v>RAJGIRA  MALT FOR EKADASHI</v>
      </c>
      <c r="V1292" s="81" t="n">
        <f aca="false">VLOOKUP(U1292,recipe_ingred_list!$A$2:$B$300,2,0)</f>
        <v>63</v>
      </c>
      <c r="W1292" s="81" t="str">
        <f aca="false">"/recipes/"&amp;VLOOKUP(U1292,recipe_ingred_list!$A$2:$C$300,3,0)&amp;"/detail/"</f>
        <v>/recipes/rajgira-malt-for-ekadashi/detail/</v>
      </c>
      <c r="X1292" s="81" t="str">
        <f aca="false">J1292</f>
        <v>jaggary</v>
      </c>
      <c r="Y1292" s="81" t="str">
        <f aca="false">R1292</f>
        <v>gud</v>
      </c>
      <c r="Z1292" s="94" t="n">
        <f aca="false">VLOOKUP(Y1292,recipe_ingred_list!$D$2:$E$500,2,0)</f>
        <v>90</v>
      </c>
      <c r="AA1292" s="61" t="n">
        <f aca="false">K1292</f>
        <v>7</v>
      </c>
      <c r="AB1292" s="61" t="str">
        <f aca="false">L1292</f>
        <v>kg</v>
      </c>
      <c r="AC1292" s="61" t="n">
        <f aca="false">VLOOKUP(AB1292,recipe_ingred_list!$K$2:$M$7,3,0)</f>
        <v>2</v>
      </c>
      <c r="AD1292" s="61" t="n">
        <f aca="false">M1292</f>
        <v>0</v>
      </c>
      <c r="AE1292" s="61" t="n">
        <f aca="false">N1292</f>
        <v>0</v>
      </c>
      <c r="AF1292" s="61" t="n">
        <f aca="false">VLOOKUP(AE1292,recipe_ingred_list!$K$16:$M$25,3,0)</f>
        <v>1</v>
      </c>
      <c r="AG1292" s="61" t="n">
        <f aca="false">O1292</f>
        <v>0</v>
      </c>
      <c r="AH1292" s="61" t="n">
        <f aca="false">P1292</f>
        <v>0</v>
      </c>
      <c r="AI1292" s="61" t="n">
        <f aca="false">VLOOKUP(AH1292,recipe_ingred_list!$K$29:$M$34,3,0)</f>
        <v>3</v>
      </c>
      <c r="AJ1292" s="61" t="str">
        <f aca="false">IF(Q1292="","",Q1292)</f>
        <v/>
      </c>
      <c r="AK1292" s="61" t="n">
        <f aca="false">AK1291+1</f>
        <v>1292</v>
      </c>
      <c r="AL1292" s="61" t="str">
        <f aca="false">Y1292</f>
        <v>gud</v>
      </c>
      <c r="AM1292" s="81" t="str">
        <f aca="false">"a = Client().post('"&amp;W1292&amp;"', {'recipe' : '"&amp;V1292&amp;"', 'ingredient' : '"&amp;Z1292&amp;"', 'name' : '"&amp;X1292&amp;"', 'mass_unit' : '"&amp;AC1292&amp;"', 'mass_quantity' : '"&amp;ROUND(AA1292,3)&amp;"', 'volume_unit' : '"&amp;AF1292&amp;"', 'volume_quantity' : '"&amp;ROUND(AD1292,3)&amp;"', 'pieces_unit' : '"&amp;AI1292&amp;"', 'pieces_quantity' : '"&amp;ROUND(AG1292,3)&amp;"', 'cooking_notes' : '"&amp;AJ1292&amp;"'}).status_code; print('%s :: %s :: %s :: %s :: %s' %(a,"&amp;G1292&amp;",'"&amp;X1292&amp;"','"&amp;Y1292&amp;"','"&amp;U1292&amp;"'))"</f>
        <v>a = Client().post('/recipes/rajgira-malt-for-ekadashi/detail/', {'recipe' : '63', 'ingredient' : '90', 'name' : 'jaggary', 'mass_unit' : '2', 'mass_quantity' : '7', 'volume_unit' : '1', 'volume_quantity' : '0', 'pieces_unit' : '3', 'pieces_quantity' : '0', 'cooking_notes' : ''}).status_code; print('%s :: %s :: %s :: %s :: %s' %(a,1292,'jaggary','gud','RAJGIRA  MALT FOR EKADASHI'))</v>
      </c>
    </row>
    <row r="1293" customFormat="false" ht="13.8" hidden="false" customHeight="false" outlineLevel="0" collapsed="false">
      <c r="G1293" s="80" t="n">
        <v>1293</v>
      </c>
      <c r="H1293" s="79"/>
      <c r="I1293" s="79"/>
      <c r="J1293" s="79"/>
      <c r="K1293" s="100"/>
      <c r="L1293" s="100"/>
      <c r="M1293" s="100"/>
      <c r="N1293" s="100"/>
      <c r="O1293" s="100"/>
      <c r="P1293" s="100"/>
      <c r="Q1293" s="102"/>
      <c r="R1293" s="99" t="e">
        <f aca="false">VLOOKUP(J1293,ingredient!$N$4:$O$553,2,0)</f>
        <v>#N/A</v>
      </c>
      <c r="S1293" s="98"/>
      <c r="T1293" s="98"/>
      <c r="U1293" s="81" t="n">
        <f aca="false">I1293</f>
        <v>0</v>
      </c>
      <c r="V1293" s="81" t="e">
        <f aca="false">VLOOKUP(U1293,recipe_ingred_list!$A$2:$B$300,2,0)</f>
        <v>#N/A</v>
      </c>
      <c r="W1293" s="81" t="e">
        <f aca="false">"/recipes/"&amp;VLOOKUP(U1293,recipe_ingred_list!$A$2:$C$300,3,0)&amp;"/detail/"</f>
        <v>#N/A</v>
      </c>
      <c r="X1293" s="81" t="n">
        <f aca="false">J1293</f>
        <v>0</v>
      </c>
      <c r="Y1293" s="81" t="e">
        <f aca="false">R1293</f>
        <v>#N/A</v>
      </c>
      <c r="Z1293" s="94" t="e">
        <f aca="false">VLOOKUP(Y1293,recipe_ingred_list!$D$2:$E$500,2,0)</f>
        <v>#N/A</v>
      </c>
      <c r="AA1293" s="61" t="n">
        <f aca="false">K1293</f>
        <v>0</v>
      </c>
      <c r="AB1293" s="61" t="n">
        <f aca="false">L1293</f>
        <v>0</v>
      </c>
      <c r="AC1293" s="61" t="n">
        <f aca="false">VLOOKUP(AB1293,recipe_ingred_list!$K$2:$M$7,3,0)</f>
        <v>2</v>
      </c>
      <c r="AD1293" s="61" t="n">
        <f aca="false">M1293</f>
        <v>0</v>
      </c>
      <c r="AE1293" s="61" t="n">
        <f aca="false">N1293</f>
        <v>0</v>
      </c>
      <c r="AF1293" s="61" t="n">
        <f aca="false">VLOOKUP(AE1293,recipe_ingred_list!$K$16:$M$25,3,0)</f>
        <v>1</v>
      </c>
      <c r="AG1293" s="61" t="n">
        <f aca="false">O1293</f>
        <v>0</v>
      </c>
      <c r="AH1293" s="61" t="n">
        <f aca="false">P1293</f>
        <v>0</v>
      </c>
      <c r="AI1293" s="61" t="n">
        <f aca="false">VLOOKUP(AH1293,recipe_ingred_list!$K$29:$M$34,3,0)</f>
        <v>3</v>
      </c>
      <c r="AJ1293" s="61" t="str">
        <f aca="false">IF(Q1293="","",Q1293)</f>
        <v/>
      </c>
      <c r="AK1293" s="61" t="n">
        <f aca="false">AK1292+1</f>
        <v>1293</v>
      </c>
      <c r="AL1293" s="61" t="e">
        <f aca="false">Y1293</f>
        <v>#N/A</v>
      </c>
      <c r="AM1293" s="81" t="e">
        <f aca="false">"a = Client().post('"&amp;W1293&amp;"', {'recipe' : '"&amp;V1293&amp;"', 'ingredient' : '"&amp;Z1293&amp;"', 'name' : '"&amp;X1293&amp;"', 'mass_unit' : '"&amp;AC1293&amp;"', 'mass_quantity' : '"&amp;ROUND(AA1293,3)&amp;"', 'volume_unit' : '"&amp;AF1293&amp;"', 'volume_quantity' : '"&amp;ROUND(AD1293,3)&amp;"', 'pieces_unit' : '"&amp;AI1293&amp;"', 'pieces_quantity' : '"&amp;ROUND(AG1293,3)&amp;"', 'cooking_notes' : '"&amp;AJ1293&amp;"'}).status_code; print('%s :: %s :: %s :: %s :: %s' %(a,"&amp;G1293&amp;",'"&amp;X1293&amp;"','"&amp;Y1293&amp;"','"&amp;U1293&amp;"'))"</f>
        <v>#N/A</v>
      </c>
    </row>
    <row r="1294" customFormat="false" ht="13.8" hidden="false" customHeight="false" outlineLevel="0" collapsed="false">
      <c r="G1294" s="80" t="n">
        <v>1294</v>
      </c>
      <c r="H1294" s="83"/>
      <c r="I1294" s="83" t="s">
        <v>238</v>
      </c>
      <c r="J1294" s="83" t="s">
        <v>833</v>
      </c>
      <c r="M1294" s="61" t="n">
        <v>1</v>
      </c>
      <c r="N1294" s="61" t="s">
        <v>13</v>
      </c>
      <c r="R1294" s="82" t="str">
        <f aca="false">VLOOKUP(J1294,ingredient!$N$4:$O$553,2,0)</f>
        <v>lemon</v>
      </c>
      <c r="U1294" s="81" t="str">
        <f aca="false">I1294</f>
        <v>LEMON JUICE</v>
      </c>
      <c r="V1294" s="81" t="n">
        <f aca="false">VLOOKUP(U1294,recipe_ingred_list!$A$2:$B$300,2,0)</f>
        <v>43</v>
      </c>
      <c r="W1294" s="81" t="str">
        <f aca="false">"/recipes/"&amp;VLOOKUP(U1294,recipe_ingred_list!$A$2:$C$300,3,0)&amp;"/detail/"</f>
        <v>/recipes/lemon-juice/detail/</v>
      </c>
      <c r="X1294" s="81" t="str">
        <f aca="false">J1294</f>
        <v>lemon juice</v>
      </c>
      <c r="Y1294" s="81" t="str">
        <f aca="false">R1294</f>
        <v>lemon</v>
      </c>
      <c r="Z1294" s="94" t="n">
        <f aca="false">VLOOKUP(Y1294,recipe_ingred_list!$D$2:$E$500,2,0)</f>
        <v>129</v>
      </c>
      <c r="AA1294" s="61" t="n">
        <f aca="false">K1294</f>
        <v>0</v>
      </c>
      <c r="AB1294" s="61" t="n">
        <f aca="false">L1294</f>
        <v>0</v>
      </c>
      <c r="AC1294" s="61" t="n">
        <f aca="false">VLOOKUP(AB1294,recipe_ingred_list!$K$2:$M$7,3,0)</f>
        <v>2</v>
      </c>
      <c r="AD1294" s="61" t="n">
        <f aca="false">M1294</f>
        <v>1</v>
      </c>
      <c r="AE1294" s="61" t="str">
        <f aca="false">N1294</f>
        <v>ltr</v>
      </c>
      <c r="AF1294" s="61" t="n">
        <f aca="false">VLOOKUP(AE1294,recipe_ingred_list!$K$16:$M$25,3,0)</f>
        <v>1</v>
      </c>
      <c r="AG1294" s="61" t="n">
        <f aca="false">O1294</f>
        <v>0</v>
      </c>
      <c r="AH1294" s="61" t="n">
        <f aca="false">P1294</f>
        <v>0</v>
      </c>
      <c r="AI1294" s="61" t="n">
        <f aca="false">VLOOKUP(AH1294,recipe_ingred_list!$K$29:$M$34,3,0)</f>
        <v>3</v>
      </c>
      <c r="AJ1294" s="61" t="str">
        <f aca="false">IF(Q1294="","",Q1294)</f>
        <v/>
      </c>
      <c r="AK1294" s="61" t="n">
        <f aca="false">AK1293+1</f>
        <v>1294</v>
      </c>
      <c r="AL1294" s="61" t="str">
        <f aca="false">Y1294</f>
        <v>lemon</v>
      </c>
      <c r="AM1294" s="81" t="str">
        <f aca="false">"a = Client().post('"&amp;W1294&amp;"', {'recipe' : '"&amp;V1294&amp;"', 'ingredient' : '"&amp;Z1294&amp;"', 'name' : '"&amp;X1294&amp;"', 'mass_unit' : '"&amp;AC1294&amp;"', 'mass_quantity' : '"&amp;ROUND(AA1294,3)&amp;"', 'volume_unit' : '"&amp;AF1294&amp;"', 'volume_quantity' : '"&amp;ROUND(AD1294,3)&amp;"', 'pieces_unit' : '"&amp;AI1294&amp;"', 'pieces_quantity' : '"&amp;ROUND(AG1294,3)&amp;"', 'cooking_notes' : '"&amp;AJ1294&amp;"'}).status_code; print('%s :: %s :: %s :: %s :: %s' %(a,"&amp;G1294&amp;",'"&amp;X1294&amp;"','"&amp;Y1294&amp;"','"&amp;U1294&amp;"'))"</f>
        <v>a = Client().post('/recipes/lemon-juice/detail/', {'recipe' : '43', 'ingredient' : '129', 'name' : 'lemon juice', 'mass_unit' : '2', 'mass_quantity' : '0', 'volume_unit' : '1', 'volume_quantity' : '1', 'pieces_unit' : '3', 'pieces_quantity' : '0', 'cooking_notes' : ''}).status_code; print('%s :: %s :: %s :: %s :: %s' %(a,1294,'lemon juice','lemon','LEMON JUICE'))</v>
      </c>
    </row>
    <row r="1295" customFormat="false" ht="13.8" hidden="false" customHeight="false" outlineLevel="0" collapsed="false">
      <c r="G1295" s="80" t="n">
        <v>1295</v>
      </c>
      <c r="H1295" s="83"/>
      <c r="I1295" s="83" t="s">
        <v>238</v>
      </c>
      <c r="J1295" s="83" t="s">
        <v>503</v>
      </c>
      <c r="M1295" s="61" t="n">
        <v>35</v>
      </c>
      <c r="N1295" s="61" t="s">
        <v>13</v>
      </c>
      <c r="R1295" s="82" t="str">
        <f aca="false">VLOOKUP(J1295,ingredient!$N$4:$O$553,2,0)</f>
        <v>water</v>
      </c>
      <c r="U1295" s="81" t="str">
        <f aca="false">I1295</f>
        <v>LEMON JUICE</v>
      </c>
      <c r="V1295" s="81" t="n">
        <f aca="false">VLOOKUP(U1295,recipe_ingred_list!$A$2:$B$300,2,0)</f>
        <v>43</v>
      </c>
      <c r="W1295" s="81" t="str">
        <f aca="false">"/recipes/"&amp;VLOOKUP(U1295,recipe_ingred_list!$A$2:$C$300,3,0)&amp;"/detail/"</f>
        <v>/recipes/lemon-juice/detail/</v>
      </c>
      <c r="X1295" s="81" t="str">
        <f aca="false">J1295</f>
        <v>water</v>
      </c>
      <c r="Y1295" s="81" t="str">
        <f aca="false">R1295</f>
        <v>water</v>
      </c>
      <c r="Z1295" s="94" t="n">
        <f aca="false">VLOOKUP(Y1295,recipe_ingred_list!$D$2:$E$500,2,0)</f>
        <v>214</v>
      </c>
      <c r="AA1295" s="61" t="n">
        <f aca="false">K1295</f>
        <v>0</v>
      </c>
      <c r="AB1295" s="61" t="n">
        <f aca="false">L1295</f>
        <v>0</v>
      </c>
      <c r="AC1295" s="61" t="n">
        <f aca="false">VLOOKUP(AB1295,recipe_ingred_list!$K$2:$M$7,3,0)</f>
        <v>2</v>
      </c>
      <c r="AD1295" s="61" t="n">
        <f aca="false">M1295</f>
        <v>35</v>
      </c>
      <c r="AE1295" s="61" t="str">
        <f aca="false">N1295</f>
        <v>ltr</v>
      </c>
      <c r="AF1295" s="61" t="n">
        <f aca="false">VLOOKUP(AE1295,recipe_ingred_list!$K$16:$M$25,3,0)</f>
        <v>1</v>
      </c>
      <c r="AG1295" s="61" t="n">
        <f aca="false">O1295</f>
        <v>0</v>
      </c>
      <c r="AH1295" s="61" t="n">
        <f aca="false">P1295</f>
        <v>0</v>
      </c>
      <c r="AI1295" s="61" t="n">
        <f aca="false">VLOOKUP(AH1295,recipe_ingred_list!$K$29:$M$34,3,0)</f>
        <v>3</v>
      </c>
      <c r="AJ1295" s="61" t="str">
        <f aca="false">IF(Q1295="","",Q1295)</f>
        <v/>
      </c>
      <c r="AK1295" s="61" t="n">
        <f aca="false">AK1294+1</f>
        <v>1295</v>
      </c>
      <c r="AL1295" s="61" t="str">
        <f aca="false">Y1295</f>
        <v>water</v>
      </c>
      <c r="AM1295" s="81" t="str">
        <f aca="false">"a = Client().post('"&amp;W1295&amp;"', {'recipe' : '"&amp;V1295&amp;"', 'ingredient' : '"&amp;Z1295&amp;"', 'name' : '"&amp;X1295&amp;"', 'mass_unit' : '"&amp;AC1295&amp;"', 'mass_quantity' : '"&amp;ROUND(AA1295,3)&amp;"', 'volume_unit' : '"&amp;AF1295&amp;"', 'volume_quantity' : '"&amp;ROUND(AD1295,3)&amp;"', 'pieces_unit' : '"&amp;AI1295&amp;"', 'pieces_quantity' : '"&amp;ROUND(AG1295,3)&amp;"', 'cooking_notes' : '"&amp;AJ1295&amp;"'}).status_code; print('%s :: %s :: %s :: %s :: %s' %(a,"&amp;G1295&amp;",'"&amp;X1295&amp;"','"&amp;Y1295&amp;"','"&amp;U1295&amp;"'))"</f>
        <v>a = Client().post('/recipes/lemon-juice/detail/', {'recipe' : '43', 'ingredient' : '214', 'name' : 'water', 'mass_unit' : '2', 'mass_quantity' : '0', 'volume_unit' : '1', 'volume_quantity' : '35', 'pieces_unit' : '3', 'pieces_quantity' : '0', 'cooking_notes' : ''}).status_code; print('%s :: %s :: %s :: %s :: %s' %(a,1295,'water','water','LEMON JUICE'))</v>
      </c>
    </row>
    <row r="1296" customFormat="false" ht="13.8" hidden="false" customHeight="false" outlineLevel="0" collapsed="false">
      <c r="G1296" s="80" t="n">
        <v>1296</v>
      </c>
      <c r="H1296" s="83"/>
      <c r="I1296" s="83" t="s">
        <v>238</v>
      </c>
      <c r="J1296" s="83" t="s">
        <v>44</v>
      </c>
      <c r="K1296" s="61" t="n">
        <v>3</v>
      </c>
      <c r="L1296" s="61" t="s">
        <v>7</v>
      </c>
      <c r="R1296" s="82" t="str">
        <f aca="false">VLOOKUP(J1296,ingredient!$N$4:$O$553,2,0)</f>
        <v>sugar</v>
      </c>
      <c r="U1296" s="81" t="str">
        <f aca="false">I1296</f>
        <v>LEMON JUICE</v>
      </c>
      <c r="V1296" s="81" t="n">
        <f aca="false">VLOOKUP(U1296,recipe_ingred_list!$A$2:$B$300,2,0)</f>
        <v>43</v>
      </c>
      <c r="W1296" s="81" t="str">
        <f aca="false">"/recipes/"&amp;VLOOKUP(U1296,recipe_ingred_list!$A$2:$C$300,3,0)&amp;"/detail/"</f>
        <v>/recipes/lemon-juice/detail/</v>
      </c>
      <c r="X1296" s="81" t="str">
        <f aca="false">J1296</f>
        <v>sugar</v>
      </c>
      <c r="Y1296" s="81" t="str">
        <f aca="false">R1296</f>
        <v>sugar</v>
      </c>
      <c r="Z1296" s="94" t="n">
        <f aca="false">VLOOKUP(Y1296,recipe_ingred_list!$D$2:$E$500,2,0)</f>
        <v>187</v>
      </c>
      <c r="AA1296" s="61" t="n">
        <f aca="false">K1296</f>
        <v>3</v>
      </c>
      <c r="AB1296" s="61" t="str">
        <f aca="false">L1296</f>
        <v>kg</v>
      </c>
      <c r="AC1296" s="61" t="n">
        <f aca="false">VLOOKUP(AB1296,recipe_ingred_list!$K$2:$M$7,3,0)</f>
        <v>2</v>
      </c>
      <c r="AD1296" s="61" t="n">
        <f aca="false">M1296</f>
        <v>0</v>
      </c>
      <c r="AE1296" s="61" t="n">
        <f aca="false">N1296</f>
        <v>0</v>
      </c>
      <c r="AF1296" s="61" t="n">
        <f aca="false">VLOOKUP(AE1296,recipe_ingred_list!$K$16:$M$25,3,0)</f>
        <v>1</v>
      </c>
      <c r="AG1296" s="61" t="n">
        <f aca="false">O1296</f>
        <v>0</v>
      </c>
      <c r="AH1296" s="61" t="n">
        <f aca="false">P1296</f>
        <v>0</v>
      </c>
      <c r="AI1296" s="61" t="n">
        <f aca="false">VLOOKUP(AH1296,recipe_ingred_list!$K$29:$M$34,3,0)</f>
        <v>3</v>
      </c>
      <c r="AJ1296" s="61" t="str">
        <f aca="false">IF(Q1296="","",Q1296)</f>
        <v/>
      </c>
      <c r="AK1296" s="61" t="n">
        <f aca="false">AK1295+1</f>
        <v>1296</v>
      </c>
      <c r="AL1296" s="61" t="str">
        <f aca="false">Y1296</f>
        <v>sugar</v>
      </c>
      <c r="AM1296" s="81" t="str">
        <f aca="false">"a = Client().post('"&amp;W1296&amp;"', {'recipe' : '"&amp;V1296&amp;"', 'ingredient' : '"&amp;Z1296&amp;"', 'name' : '"&amp;X1296&amp;"', 'mass_unit' : '"&amp;AC1296&amp;"', 'mass_quantity' : '"&amp;ROUND(AA1296,3)&amp;"', 'volume_unit' : '"&amp;AF1296&amp;"', 'volume_quantity' : '"&amp;ROUND(AD1296,3)&amp;"', 'pieces_unit' : '"&amp;AI1296&amp;"', 'pieces_quantity' : '"&amp;ROUND(AG1296,3)&amp;"', 'cooking_notes' : '"&amp;AJ1296&amp;"'}).status_code; print('%s :: %s :: %s :: %s :: %s' %(a,"&amp;G1296&amp;",'"&amp;X1296&amp;"','"&amp;Y1296&amp;"','"&amp;U1296&amp;"'))"</f>
        <v>a = Client().post('/recipes/lemon-juice/detail/', {'recipe' : '43', 'ingredient' : '187', 'name' : 'sugar', 'mass_unit' : '2', 'mass_quantity' : '3', 'volume_unit' : '1', 'volume_quantity' : '0', 'pieces_unit' : '3', 'pieces_quantity' : '0', 'cooking_notes' : ''}).status_code; print('%s :: %s :: %s :: %s :: %s' %(a,1296,'sugar','sugar','LEMON JUICE'))</v>
      </c>
    </row>
    <row r="1297" customFormat="false" ht="13.8" hidden="false" customHeight="false" outlineLevel="0" collapsed="false">
      <c r="G1297" s="80" t="n">
        <v>1297</v>
      </c>
      <c r="H1297" s="83"/>
      <c r="I1297" s="83" t="s">
        <v>238</v>
      </c>
      <c r="J1297" s="83" t="s">
        <v>207</v>
      </c>
      <c r="M1297" s="61" t="n">
        <v>0.5</v>
      </c>
      <c r="N1297" s="61" t="s">
        <v>20</v>
      </c>
      <c r="R1297" s="82" t="str">
        <f aca="false">VLOOKUP(J1297,ingredient!$N$4:$O$553,2,0)</f>
        <v>black salt</v>
      </c>
      <c r="U1297" s="81" t="str">
        <f aca="false">I1297</f>
        <v>LEMON JUICE</v>
      </c>
      <c r="V1297" s="81" t="n">
        <f aca="false">VLOOKUP(U1297,recipe_ingred_list!$A$2:$B$300,2,0)</f>
        <v>43</v>
      </c>
      <c r="W1297" s="81" t="str">
        <f aca="false">"/recipes/"&amp;VLOOKUP(U1297,recipe_ingred_list!$A$2:$C$300,3,0)&amp;"/detail/"</f>
        <v>/recipes/lemon-juice/detail/</v>
      </c>
      <c r="X1297" s="81" t="str">
        <f aca="false">J1297</f>
        <v>black salt</v>
      </c>
      <c r="Y1297" s="81" t="str">
        <f aca="false">R1297</f>
        <v>black salt</v>
      </c>
      <c r="Z1297" s="94" t="n">
        <f aca="false">VLOOKUP(Y1297,recipe_ingred_list!$D$2:$E$500,2,0)</f>
        <v>32</v>
      </c>
      <c r="AA1297" s="61" t="n">
        <f aca="false">K1297</f>
        <v>0</v>
      </c>
      <c r="AB1297" s="61" t="n">
        <f aca="false">L1297</f>
        <v>0</v>
      </c>
      <c r="AC1297" s="61" t="n">
        <f aca="false">VLOOKUP(AB1297,recipe_ingred_list!$K$2:$M$7,3,0)</f>
        <v>2</v>
      </c>
      <c r="AD1297" s="61" t="n">
        <f aca="false">M1297</f>
        <v>0.5</v>
      </c>
      <c r="AE1297" s="61" t="str">
        <f aca="false">N1297</f>
        <v>cup</v>
      </c>
      <c r="AF1297" s="61" t="n">
        <f aca="false">VLOOKUP(AE1297,recipe_ingred_list!$K$16:$M$25,3,0)</f>
        <v>5</v>
      </c>
      <c r="AG1297" s="61" t="n">
        <f aca="false">O1297</f>
        <v>0</v>
      </c>
      <c r="AH1297" s="61" t="n">
        <f aca="false">P1297</f>
        <v>0</v>
      </c>
      <c r="AI1297" s="61" t="n">
        <f aca="false">VLOOKUP(AH1297,recipe_ingred_list!$K$29:$M$34,3,0)</f>
        <v>3</v>
      </c>
      <c r="AJ1297" s="61" t="str">
        <f aca="false">IF(Q1297="","",Q1297)</f>
        <v/>
      </c>
      <c r="AK1297" s="61" t="n">
        <f aca="false">AK1296+1</f>
        <v>1297</v>
      </c>
      <c r="AL1297" s="61" t="str">
        <f aca="false">Y1297</f>
        <v>black salt</v>
      </c>
      <c r="AM1297" s="81" t="str">
        <f aca="false">"a = Client().post('"&amp;W1297&amp;"', {'recipe' : '"&amp;V1297&amp;"', 'ingredient' : '"&amp;Z1297&amp;"', 'name' : '"&amp;X1297&amp;"', 'mass_unit' : '"&amp;AC1297&amp;"', 'mass_quantity' : '"&amp;ROUND(AA1297,3)&amp;"', 'volume_unit' : '"&amp;AF1297&amp;"', 'volume_quantity' : '"&amp;ROUND(AD1297,3)&amp;"', 'pieces_unit' : '"&amp;AI1297&amp;"', 'pieces_quantity' : '"&amp;ROUND(AG1297,3)&amp;"', 'cooking_notes' : '"&amp;AJ1297&amp;"'}).status_code; print('%s :: %s :: %s :: %s :: %s' %(a,"&amp;G1297&amp;",'"&amp;X1297&amp;"','"&amp;Y1297&amp;"','"&amp;U1297&amp;"'))"</f>
        <v>a = Client().post('/recipes/lemon-juice/detail/', {'recipe' : '43', 'ingredient' : '32', 'name' : 'black salt', 'mass_unit' : '2', 'mass_quantity' : '0', 'volume_unit' : '5', 'volume_quantity' : '0.5', 'pieces_unit' : '3', 'pieces_quantity' : '0', 'cooking_notes' : ''}).status_code; print('%s :: %s :: %s :: %s :: %s' %(a,1297,'black salt','black salt','LEMON JUICE'))</v>
      </c>
    </row>
    <row r="1298" customFormat="false" ht="13.8" hidden="false" customHeight="false" outlineLevel="0" collapsed="false">
      <c r="G1298" s="80" t="n">
        <v>1298</v>
      </c>
      <c r="H1298" s="83"/>
      <c r="I1298" s="83" t="s">
        <v>238</v>
      </c>
      <c r="J1298" s="83" t="s">
        <v>865</v>
      </c>
      <c r="M1298" s="61" t="n">
        <v>0.5</v>
      </c>
      <c r="N1298" s="61" t="s">
        <v>20</v>
      </c>
      <c r="R1298" s="82" t="str">
        <f aca="false">VLOOKUP(J1298,ingredient!$N$4:$O$553,2,0)</f>
        <v>salt</v>
      </c>
      <c r="U1298" s="81" t="str">
        <f aca="false">I1298</f>
        <v>LEMON JUICE</v>
      </c>
      <c r="V1298" s="81" t="n">
        <f aca="false">VLOOKUP(U1298,recipe_ingred_list!$A$2:$B$300,2,0)</f>
        <v>43</v>
      </c>
      <c r="W1298" s="81" t="str">
        <f aca="false">"/recipes/"&amp;VLOOKUP(U1298,recipe_ingred_list!$A$2:$C$300,3,0)&amp;"/detail/"</f>
        <v>/recipes/lemon-juice/detail/</v>
      </c>
      <c r="X1298" s="81" t="str">
        <f aca="false">J1298</f>
        <v>regular salt</v>
      </c>
      <c r="Y1298" s="81" t="str">
        <f aca="false">R1298</f>
        <v>salt</v>
      </c>
      <c r="Z1298" s="94" t="n">
        <f aca="false">VLOOKUP(Y1298,recipe_ingred_list!$D$2:$E$500,2,0)</f>
        <v>177</v>
      </c>
      <c r="AA1298" s="61" t="n">
        <f aca="false">K1298</f>
        <v>0</v>
      </c>
      <c r="AB1298" s="61" t="n">
        <f aca="false">L1298</f>
        <v>0</v>
      </c>
      <c r="AC1298" s="61" t="n">
        <f aca="false">VLOOKUP(AB1298,recipe_ingred_list!$K$2:$M$7,3,0)</f>
        <v>2</v>
      </c>
      <c r="AD1298" s="61" t="n">
        <f aca="false">M1298</f>
        <v>0.5</v>
      </c>
      <c r="AE1298" s="61" t="str">
        <f aca="false">N1298</f>
        <v>cup</v>
      </c>
      <c r="AF1298" s="61" t="n">
        <f aca="false">VLOOKUP(AE1298,recipe_ingred_list!$K$16:$M$25,3,0)</f>
        <v>5</v>
      </c>
      <c r="AG1298" s="61" t="n">
        <f aca="false">O1298</f>
        <v>0</v>
      </c>
      <c r="AH1298" s="61" t="n">
        <f aca="false">P1298</f>
        <v>0</v>
      </c>
      <c r="AI1298" s="61" t="n">
        <f aca="false">VLOOKUP(AH1298,recipe_ingred_list!$K$29:$M$34,3,0)</f>
        <v>3</v>
      </c>
      <c r="AJ1298" s="61" t="str">
        <f aca="false">IF(Q1298="","",Q1298)</f>
        <v/>
      </c>
      <c r="AK1298" s="61" t="n">
        <f aca="false">AK1297+1</f>
        <v>1298</v>
      </c>
      <c r="AL1298" s="61" t="str">
        <f aca="false">Y1298</f>
        <v>salt</v>
      </c>
      <c r="AM1298" s="81" t="str">
        <f aca="false">"a = Client().post('"&amp;W1298&amp;"', {'recipe' : '"&amp;V1298&amp;"', 'ingredient' : '"&amp;Z1298&amp;"', 'name' : '"&amp;X1298&amp;"', 'mass_unit' : '"&amp;AC1298&amp;"', 'mass_quantity' : '"&amp;ROUND(AA1298,3)&amp;"', 'volume_unit' : '"&amp;AF1298&amp;"', 'volume_quantity' : '"&amp;ROUND(AD1298,3)&amp;"', 'pieces_unit' : '"&amp;AI1298&amp;"', 'pieces_quantity' : '"&amp;ROUND(AG1298,3)&amp;"', 'cooking_notes' : '"&amp;AJ1298&amp;"'}).status_code; print('%s :: %s :: %s :: %s :: %s' %(a,"&amp;G1298&amp;",'"&amp;X1298&amp;"','"&amp;Y1298&amp;"','"&amp;U1298&amp;"'))"</f>
        <v>a = Client().post('/recipes/lemon-juice/detail/', {'recipe' : '43', 'ingredient' : '177', 'name' : 'regular salt', 'mass_unit' : '2', 'mass_quantity' : '0', 'volume_unit' : '5', 'volume_quantity' : '0.5', 'pieces_unit' : '3', 'pieces_quantity' : '0', 'cooking_notes' : ''}).status_code; print('%s :: %s :: %s :: %s :: %s' %(a,1298,'regular salt','salt','LEMON JUICE'))</v>
      </c>
    </row>
    <row r="1299" customFormat="false" ht="13.8" hidden="false" customHeight="false" outlineLevel="0" collapsed="false">
      <c r="G1299" s="80" t="n">
        <v>1299</v>
      </c>
      <c r="H1299" s="79"/>
      <c r="I1299" s="79"/>
      <c r="J1299" s="79"/>
      <c r="K1299" s="100"/>
      <c r="L1299" s="100"/>
      <c r="M1299" s="100"/>
      <c r="N1299" s="100"/>
      <c r="O1299" s="100"/>
      <c r="P1299" s="100"/>
      <c r="Q1299" s="102"/>
      <c r="R1299" s="99" t="e">
        <f aca="false">VLOOKUP(J1299,ingredient!$N$4:$O$553,2,0)</f>
        <v>#N/A</v>
      </c>
      <c r="S1299" s="98"/>
      <c r="T1299" s="98"/>
      <c r="U1299" s="81" t="n">
        <f aca="false">I1299</f>
        <v>0</v>
      </c>
      <c r="V1299" s="81" t="e">
        <f aca="false">VLOOKUP(U1299,recipe_ingred_list!$A$2:$B$300,2,0)</f>
        <v>#N/A</v>
      </c>
      <c r="W1299" s="81" t="e">
        <f aca="false">"/recipes/"&amp;VLOOKUP(U1299,recipe_ingred_list!$A$2:$C$300,3,0)&amp;"/detail/"</f>
        <v>#N/A</v>
      </c>
      <c r="X1299" s="81" t="n">
        <f aca="false">J1299</f>
        <v>0</v>
      </c>
      <c r="Y1299" s="81" t="e">
        <f aca="false">R1299</f>
        <v>#N/A</v>
      </c>
      <c r="Z1299" s="94" t="e">
        <f aca="false">VLOOKUP(Y1299,recipe_ingred_list!$D$2:$E$500,2,0)</f>
        <v>#N/A</v>
      </c>
      <c r="AA1299" s="61" t="n">
        <f aca="false">K1299</f>
        <v>0</v>
      </c>
      <c r="AB1299" s="61" t="n">
        <f aca="false">L1299</f>
        <v>0</v>
      </c>
      <c r="AC1299" s="61" t="n">
        <f aca="false">VLOOKUP(AB1299,recipe_ingred_list!$K$2:$M$7,3,0)</f>
        <v>2</v>
      </c>
      <c r="AD1299" s="61" t="n">
        <f aca="false">M1299</f>
        <v>0</v>
      </c>
      <c r="AE1299" s="61" t="n">
        <f aca="false">N1299</f>
        <v>0</v>
      </c>
      <c r="AF1299" s="61" t="n">
        <f aca="false">VLOOKUP(AE1299,recipe_ingred_list!$K$16:$M$25,3,0)</f>
        <v>1</v>
      </c>
      <c r="AG1299" s="61" t="n">
        <f aca="false">O1299</f>
        <v>0</v>
      </c>
      <c r="AH1299" s="61" t="n">
        <f aca="false">P1299</f>
        <v>0</v>
      </c>
      <c r="AI1299" s="61" t="n">
        <f aca="false">VLOOKUP(AH1299,recipe_ingred_list!$K$29:$M$34,3,0)</f>
        <v>3</v>
      </c>
      <c r="AJ1299" s="61" t="str">
        <f aca="false">IF(Q1299="","",Q1299)</f>
        <v/>
      </c>
      <c r="AK1299" s="61" t="n">
        <f aca="false">AK1298+1</f>
        <v>1299</v>
      </c>
      <c r="AL1299" s="61" t="e">
        <f aca="false">Y1299</f>
        <v>#N/A</v>
      </c>
      <c r="AM1299" s="81" t="e">
        <f aca="false">"a = Client().post('"&amp;W1299&amp;"', {'recipe' : '"&amp;V1299&amp;"', 'ingredient' : '"&amp;Z1299&amp;"', 'name' : '"&amp;X1299&amp;"', 'mass_unit' : '"&amp;AC1299&amp;"', 'mass_quantity' : '"&amp;ROUND(AA1299,3)&amp;"', 'volume_unit' : '"&amp;AF1299&amp;"', 'volume_quantity' : '"&amp;ROUND(AD1299,3)&amp;"', 'pieces_unit' : '"&amp;AI1299&amp;"', 'pieces_quantity' : '"&amp;ROUND(AG1299,3)&amp;"', 'cooking_notes' : '"&amp;AJ1299&amp;"'}).status_code; print('%s :: %s :: %s :: %s :: %s' %(a,"&amp;G1299&amp;",'"&amp;X1299&amp;"','"&amp;Y1299&amp;"','"&amp;U1299&amp;"'))"</f>
        <v>#N/A</v>
      </c>
    </row>
    <row r="1300" customFormat="false" ht="13.8" hidden="false" customHeight="false" outlineLevel="0" collapsed="false">
      <c r="G1300" s="80" t="n">
        <v>1300</v>
      </c>
      <c r="H1300" s="83"/>
      <c r="I1300" s="83" t="s">
        <v>190</v>
      </c>
      <c r="J1300" s="83" t="s">
        <v>922</v>
      </c>
      <c r="M1300" s="61" t="n">
        <v>1</v>
      </c>
      <c r="N1300" s="61" t="s">
        <v>13</v>
      </c>
      <c r="R1300" s="82" t="str">
        <f aca="false">VLOOKUP(J1300,ingredient!$N$4:$O$553,2,0)</f>
        <v>adrak</v>
      </c>
      <c r="U1300" s="81" t="str">
        <f aca="false">I1300</f>
        <v>GINGER LEMON TEA</v>
      </c>
      <c r="V1300" s="81" t="n">
        <f aca="false">VLOOKUP(U1300,recipe_ingred_list!$A$2:$B$300,2,0)</f>
        <v>27</v>
      </c>
      <c r="W1300" s="81" t="str">
        <f aca="false">"/recipes/"&amp;VLOOKUP(U1300,recipe_ingred_list!$A$2:$C$300,3,0)&amp;"/detail/"</f>
        <v>/recipes/ginger-lemon-tea/detail/</v>
      </c>
      <c r="X1300" s="81" t="str">
        <f aca="false">J1300</f>
        <v>ginger paste</v>
      </c>
      <c r="Y1300" s="81" t="str">
        <f aca="false">R1300</f>
        <v>adrak</v>
      </c>
      <c r="Z1300" s="94" t="n">
        <f aca="false">VLOOKUP(Y1300,recipe_ingred_list!$D$2:$E$500,2,0)</f>
        <v>1</v>
      </c>
      <c r="AA1300" s="61" t="n">
        <f aca="false">K1300</f>
        <v>0</v>
      </c>
      <c r="AB1300" s="61" t="n">
        <f aca="false">L1300</f>
        <v>0</v>
      </c>
      <c r="AC1300" s="61" t="n">
        <f aca="false">VLOOKUP(AB1300,recipe_ingred_list!$K$2:$M$7,3,0)</f>
        <v>2</v>
      </c>
      <c r="AD1300" s="61" t="n">
        <f aca="false">M1300</f>
        <v>1</v>
      </c>
      <c r="AE1300" s="61" t="str">
        <f aca="false">N1300</f>
        <v>ltr</v>
      </c>
      <c r="AF1300" s="61" t="n">
        <f aca="false">VLOOKUP(AE1300,recipe_ingred_list!$K$16:$M$25,3,0)</f>
        <v>1</v>
      </c>
      <c r="AG1300" s="61" t="n">
        <f aca="false">O1300</f>
        <v>0</v>
      </c>
      <c r="AH1300" s="61" t="n">
        <f aca="false">P1300</f>
        <v>0</v>
      </c>
      <c r="AI1300" s="61" t="n">
        <f aca="false">VLOOKUP(AH1300,recipe_ingred_list!$K$29:$M$34,3,0)</f>
        <v>3</v>
      </c>
      <c r="AJ1300" s="61" t="str">
        <f aca="false">IF(Q1300="","",Q1300)</f>
        <v/>
      </c>
      <c r="AK1300" s="61" t="n">
        <f aca="false">AK1299+1</f>
        <v>1300</v>
      </c>
      <c r="AL1300" s="61" t="str">
        <f aca="false">Y1300</f>
        <v>adrak</v>
      </c>
      <c r="AM1300" s="81" t="str">
        <f aca="false">"a = Client().post('"&amp;W1300&amp;"', {'recipe' : '"&amp;V1300&amp;"', 'ingredient' : '"&amp;Z1300&amp;"', 'name' : '"&amp;X1300&amp;"', 'mass_unit' : '"&amp;AC1300&amp;"', 'mass_quantity' : '"&amp;ROUND(AA1300,3)&amp;"', 'volume_unit' : '"&amp;AF1300&amp;"', 'volume_quantity' : '"&amp;ROUND(AD1300,3)&amp;"', 'pieces_unit' : '"&amp;AI1300&amp;"', 'pieces_quantity' : '"&amp;ROUND(AG1300,3)&amp;"', 'cooking_notes' : '"&amp;AJ1300&amp;"'}).status_code; print('%s :: %s :: %s :: %s :: %s' %(a,"&amp;G1300&amp;",'"&amp;X1300&amp;"','"&amp;Y1300&amp;"','"&amp;U1300&amp;"'))"</f>
        <v>a = Client().post('/recipes/ginger-lemon-tea/detail/', {'recipe' : '27', 'ingredient' : '1', 'name' : 'ginger paste', 'mass_unit' : '2', 'mass_quantity' : '0', 'volume_unit' : '1', 'volume_quantity' : '1', 'pieces_unit' : '3', 'pieces_quantity' : '0', 'cooking_notes' : ''}).status_code; print('%s :: %s :: %s :: %s :: %s' %(a,1300,'ginger paste','adrak','GINGER LEMON TEA'))</v>
      </c>
    </row>
    <row r="1301" customFormat="false" ht="13.8" hidden="false" customHeight="false" outlineLevel="0" collapsed="false">
      <c r="G1301" s="80" t="n">
        <v>1301</v>
      </c>
      <c r="H1301" s="83"/>
      <c r="I1301" s="83" t="s">
        <v>190</v>
      </c>
      <c r="J1301" s="83" t="s">
        <v>821</v>
      </c>
      <c r="K1301" s="61" t="n">
        <v>4</v>
      </c>
      <c r="L1301" s="61" t="s">
        <v>7</v>
      </c>
      <c r="R1301" s="82" t="str">
        <f aca="false">VLOOKUP(J1301,ingredient!$N$4:$O$553,2,0)</f>
        <v>gud</v>
      </c>
      <c r="U1301" s="81" t="str">
        <f aca="false">I1301</f>
        <v>GINGER LEMON TEA</v>
      </c>
      <c r="V1301" s="81" t="n">
        <f aca="false">VLOOKUP(U1301,recipe_ingred_list!$A$2:$B$300,2,0)</f>
        <v>27</v>
      </c>
      <c r="W1301" s="81" t="str">
        <f aca="false">"/recipes/"&amp;VLOOKUP(U1301,recipe_ingred_list!$A$2:$C$300,3,0)&amp;"/detail/"</f>
        <v>/recipes/ginger-lemon-tea/detail/</v>
      </c>
      <c r="X1301" s="81" t="str">
        <f aca="false">J1301</f>
        <v>jaggary</v>
      </c>
      <c r="Y1301" s="81" t="str">
        <f aca="false">R1301</f>
        <v>gud</v>
      </c>
      <c r="Z1301" s="94" t="n">
        <f aca="false">VLOOKUP(Y1301,recipe_ingred_list!$D$2:$E$500,2,0)</f>
        <v>90</v>
      </c>
      <c r="AA1301" s="61" t="n">
        <f aca="false">K1301</f>
        <v>4</v>
      </c>
      <c r="AB1301" s="61" t="str">
        <f aca="false">L1301</f>
        <v>kg</v>
      </c>
      <c r="AC1301" s="61" t="n">
        <f aca="false">VLOOKUP(AB1301,recipe_ingred_list!$K$2:$M$7,3,0)</f>
        <v>2</v>
      </c>
      <c r="AD1301" s="61" t="n">
        <f aca="false">M1301</f>
        <v>0</v>
      </c>
      <c r="AE1301" s="61" t="n">
        <f aca="false">N1301</f>
        <v>0</v>
      </c>
      <c r="AF1301" s="61" t="n">
        <f aca="false">VLOOKUP(AE1301,recipe_ingred_list!$K$16:$M$25,3,0)</f>
        <v>1</v>
      </c>
      <c r="AG1301" s="61" t="n">
        <f aca="false">O1301</f>
        <v>0</v>
      </c>
      <c r="AH1301" s="61" t="n">
        <f aca="false">P1301</f>
        <v>0</v>
      </c>
      <c r="AI1301" s="61" t="n">
        <f aca="false">VLOOKUP(AH1301,recipe_ingred_list!$K$29:$M$34,3,0)</f>
        <v>3</v>
      </c>
      <c r="AJ1301" s="61" t="str">
        <f aca="false">IF(Q1301="","",Q1301)</f>
        <v/>
      </c>
      <c r="AK1301" s="61" t="n">
        <f aca="false">AK1300+1</f>
        <v>1301</v>
      </c>
      <c r="AL1301" s="61" t="str">
        <f aca="false">Y1301</f>
        <v>gud</v>
      </c>
      <c r="AM1301" s="81" t="str">
        <f aca="false">"a = Client().post('"&amp;W1301&amp;"', {'recipe' : '"&amp;V1301&amp;"', 'ingredient' : '"&amp;Z1301&amp;"', 'name' : '"&amp;X1301&amp;"', 'mass_unit' : '"&amp;AC1301&amp;"', 'mass_quantity' : '"&amp;ROUND(AA1301,3)&amp;"', 'volume_unit' : '"&amp;AF1301&amp;"', 'volume_quantity' : '"&amp;ROUND(AD1301,3)&amp;"', 'pieces_unit' : '"&amp;AI1301&amp;"', 'pieces_quantity' : '"&amp;ROUND(AG1301,3)&amp;"', 'cooking_notes' : '"&amp;AJ1301&amp;"'}).status_code; print('%s :: %s :: %s :: %s :: %s' %(a,"&amp;G1301&amp;",'"&amp;X1301&amp;"','"&amp;Y1301&amp;"','"&amp;U1301&amp;"'))"</f>
        <v>a = Client().post('/recipes/ginger-lemon-tea/detail/', {'recipe' : '27', 'ingredient' : '90', 'name' : 'jaggary', 'mass_unit' : '2', 'mass_quantity' : '4', 'volume_unit' : '1', 'volume_quantity' : '0', 'pieces_unit' : '3', 'pieces_quantity' : '0', 'cooking_notes' : ''}).status_code; print('%s :: %s :: %s :: %s :: %s' %(a,1301,'jaggary','gud','GINGER LEMON TEA'))</v>
      </c>
    </row>
    <row r="1302" customFormat="false" ht="13.8" hidden="false" customHeight="false" outlineLevel="0" collapsed="false">
      <c r="G1302" s="80" t="n">
        <v>1302</v>
      </c>
      <c r="H1302" s="83"/>
      <c r="I1302" s="83" t="s">
        <v>190</v>
      </c>
      <c r="J1302" s="83" t="s">
        <v>833</v>
      </c>
      <c r="M1302" s="61" t="n">
        <v>1.5</v>
      </c>
      <c r="N1302" s="61" t="s">
        <v>20</v>
      </c>
      <c r="R1302" s="82" t="str">
        <f aca="false">VLOOKUP(J1302,ingredient!$N$4:$O$553,2,0)</f>
        <v>lemon</v>
      </c>
      <c r="U1302" s="81" t="str">
        <f aca="false">I1302</f>
        <v>GINGER LEMON TEA</v>
      </c>
      <c r="V1302" s="81" t="n">
        <f aca="false">VLOOKUP(U1302,recipe_ingred_list!$A$2:$B$300,2,0)</f>
        <v>27</v>
      </c>
      <c r="W1302" s="81" t="str">
        <f aca="false">"/recipes/"&amp;VLOOKUP(U1302,recipe_ingred_list!$A$2:$C$300,3,0)&amp;"/detail/"</f>
        <v>/recipes/ginger-lemon-tea/detail/</v>
      </c>
      <c r="X1302" s="81" t="str">
        <f aca="false">J1302</f>
        <v>lemon juice</v>
      </c>
      <c r="Y1302" s="81" t="str">
        <f aca="false">R1302</f>
        <v>lemon</v>
      </c>
      <c r="Z1302" s="94" t="n">
        <f aca="false">VLOOKUP(Y1302,recipe_ingred_list!$D$2:$E$500,2,0)</f>
        <v>129</v>
      </c>
      <c r="AA1302" s="61" t="n">
        <f aca="false">K1302</f>
        <v>0</v>
      </c>
      <c r="AB1302" s="61" t="n">
        <f aca="false">L1302</f>
        <v>0</v>
      </c>
      <c r="AC1302" s="61" t="n">
        <f aca="false">VLOOKUP(AB1302,recipe_ingred_list!$K$2:$M$7,3,0)</f>
        <v>2</v>
      </c>
      <c r="AD1302" s="61" t="n">
        <f aca="false">M1302</f>
        <v>1.5</v>
      </c>
      <c r="AE1302" s="61" t="str">
        <f aca="false">N1302</f>
        <v>cup</v>
      </c>
      <c r="AF1302" s="61" t="n">
        <f aca="false">VLOOKUP(AE1302,recipe_ingred_list!$K$16:$M$25,3,0)</f>
        <v>5</v>
      </c>
      <c r="AG1302" s="61" t="n">
        <f aca="false">O1302</f>
        <v>0</v>
      </c>
      <c r="AH1302" s="61" t="n">
        <f aca="false">P1302</f>
        <v>0</v>
      </c>
      <c r="AI1302" s="61" t="n">
        <f aca="false">VLOOKUP(AH1302,recipe_ingred_list!$K$29:$M$34,3,0)</f>
        <v>3</v>
      </c>
      <c r="AJ1302" s="61" t="str">
        <f aca="false">IF(Q1302="","",Q1302)</f>
        <v/>
      </c>
      <c r="AK1302" s="61" t="n">
        <f aca="false">AK1301+1</f>
        <v>1302</v>
      </c>
      <c r="AL1302" s="61" t="str">
        <f aca="false">Y1302</f>
        <v>lemon</v>
      </c>
      <c r="AM1302" s="81" t="str">
        <f aca="false">"a = Client().post('"&amp;W1302&amp;"', {'recipe' : '"&amp;V1302&amp;"', 'ingredient' : '"&amp;Z1302&amp;"', 'name' : '"&amp;X1302&amp;"', 'mass_unit' : '"&amp;AC1302&amp;"', 'mass_quantity' : '"&amp;ROUND(AA1302,3)&amp;"', 'volume_unit' : '"&amp;AF1302&amp;"', 'volume_quantity' : '"&amp;ROUND(AD1302,3)&amp;"', 'pieces_unit' : '"&amp;AI1302&amp;"', 'pieces_quantity' : '"&amp;ROUND(AG1302,3)&amp;"', 'cooking_notes' : '"&amp;AJ1302&amp;"'}).status_code; print('%s :: %s :: %s :: %s :: %s' %(a,"&amp;G1302&amp;",'"&amp;X1302&amp;"','"&amp;Y1302&amp;"','"&amp;U1302&amp;"'))"</f>
        <v>a = Client().post('/recipes/ginger-lemon-tea/detail/', {'recipe' : '27', 'ingredient' : '129', 'name' : 'lemon juice', 'mass_unit' : '2', 'mass_quantity' : '0', 'volume_unit' : '5', 'volume_quantity' : '1.5', 'pieces_unit' : '3', 'pieces_quantity' : '0', 'cooking_notes' : ''}).status_code; print('%s :: %s :: %s :: %s :: %s' %(a,1302,'lemon juice','lemon','GINGER LEMON TEA'))</v>
      </c>
    </row>
    <row r="1303" customFormat="false" ht="13.8" hidden="false" customHeight="false" outlineLevel="0" collapsed="false">
      <c r="G1303" s="80" t="n">
        <v>1303</v>
      </c>
      <c r="H1303" s="83"/>
      <c r="I1303" s="83" t="s">
        <v>190</v>
      </c>
      <c r="J1303" s="83" t="s">
        <v>503</v>
      </c>
      <c r="M1303" s="61" t="n">
        <v>35</v>
      </c>
      <c r="N1303" s="61" t="s">
        <v>13</v>
      </c>
      <c r="R1303" s="82" t="str">
        <f aca="false">VLOOKUP(J1303,ingredient!$N$4:$O$553,2,0)</f>
        <v>water</v>
      </c>
      <c r="U1303" s="81" t="str">
        <f aca="false">I1303</f>
        <v>GINGER LEMON TEA</v>
      </c>
      <c r="V1303" s="81" t="n">
        <f aca="false">VLOOKUP(U1303,recipe_ingred_list!$A$2:$B$300,2,0)</f>
        <v>27</v>
      </c>
      <c r="W1303" s="81" t="str">
        <f aca="false">"/recipes/"&amp;VLOOKUP(U1303,recipe_ingred_list!$A$2:$C$300,3,0)&amp;"/detail/"</f>
        <v>/recipes/ginger-lemon-tea/detail/</v>
      </c>
      <c r="X1303" s="81" t="str">
        <f aca="false">J1303</f>
        <v>water</v>
      </c>
      <c r="Y1303" s="81" t="str">
        <f aca="false">R1303</f>
        <v>water</v>
      </c>
      <c r="Z1303" s="94" t="n">
        <f aca="false">VLOOKUP(Y1303,recipe_ingred_list!$D$2:$E$500,2,0)</f>
        <v>214</v>
      </c>
      <c r="AA1303" s="61" t="n">
        <f aca="false">K1303</f>
        <v>0</v>
      </c>
      <c r="AB1303" s="61" t="n">
        <f aca="false">L1303</f>
        <v>0</v>
      </c>
      <c r="AC1303" s="61" t="n">
        <f aca="false">VLOOKUP(AB1303,recipe_ingred_list!$K$2:$M$7,3,0)</f>
        <v>2</v>
      </c>
      <c r="AD1303" s="61" t="n">
        <f aca="false">M1303</f>
        <v>35</v>
      </c>
      <c r="AE1303" s="61" t="str">
        <f aca="false">N1303</f>
        <v>ltr</v>
      </c>
      <c r="AF1303" s="61" t="n">
        <f aca="false">VLOOKUP(AE1303,recipe_ingred_list!$K$16:$M$25,3,0)</f>
        <v>1</v>
      </c>
      <c r="AG1303" s="61" t="n">
        <f aca="false">O1303</f>
        <v>0</v>
      </c>
      <c r="AH1303" s="61" t="n">
        <f aca="false">P1303</f>
        <v>0</v>
      </c>
      <c r="AI1303" s="61" t="n">
        <f aca="false">VLOOKUP(AH1303,recipe_ingred_list!$K$29:$M$34,3,0)</f>
        <v>3</v>
      </c>
      <c r="AJ1303" s="61" t="str">
        <f aca="false">IF(Q1303="","",Q1303)</f>
        <v/>
      </c>
      <c r="AK1303" s="61" t="n">
        <f aca="false">AK1302+1</f>
        <v>1303</v>
      </c>
      <c r="AL1303" s="61" t="str">
        <f aca="false">Y1303</f>
        <v>water</v>
      </c>
      <c r="AM1303" s="81" t="str">
        <f aca="false">"a = Client().post('"&amp;W1303&amp;"', {'recipe' : '"&amp;V1303&amp;"', 'ingredient' : '"&amp;Z1303&amp;"', 'name' : '"&amp;X1303&amp;"', 'mass_unit' : '"&amp;AC1303&amp;"', 'mass_quantity' : '"&amp;ROUND(AA1303,3)&amp;"', 'volume_unit' : '"&amp;AF1303&amp;"', 'volume_quantity' : '"&amp;ROUND(AD1303,3)&amp;"', 'pieces_unit' : '"&amp;AI1303&amp;"', 'pieces_quantity' : '"&amp;ROUND(AG1303,3)&amp;"', 'cooking_notes' : '"&amp;AJ1303&amp;"'}).status_code; print('%s :: %s :: %s :: %s :: %s' %(a,"&amp;G1303&amp;",'"&amp;X1303&amp;"','"&amp;Y1303&amp;"','"&amp;U1303&amp;"'))"</f>
        <v>a = Client().post('/recipes/ginger-lemon-tea/detail/', {'recipe' : '27', 'ingredient' : '214', 'name' : 'water', 'mass_unit' : '2', 'mass_quantity' : '0', 'volume_unit' : '1', 'volume_quantity' : '35', 'pieces_unit' : '3', 'pieces_quantity' : '0', 'cooking_notes' : ''}).status_code; print('%s :: %s :: %s :: %s :: %s' %(a,1303,'water','water','GINGER LEMON TEA'))</v>
      </c>
    </row>
    <row r="1304" customFormat="false" ht="13.8" hidden="false" customHeight="false" outlineLevel="0" collapsed="false">
      <c r="G1304" s="80" t="n">
        <v>1304</v>
      </c>
      <c r="H1304" s="83"/>
      <c r="I1304" s="83" t="s">
        <v>190</v>
      </c>
      <c r="J1304" s="83" t="s">
        <v>923</v>
      </c>
      <c r="M1304" s="61" t="n">
        <v>0.15</v>
      </c>
      <c r="N1304" s="61" t="s">
        <v>20</v>
      </c>
      <c r="R1304" s="82" t="str">
        <f aca="false">VLOOKUP(J1304,ingredient!$N$4:$O$553,2,0)</f>
        <v>black pepper</v>
      </c>
      <c r="U1304" s="81" t="str">
        <f aca="false">I1304</f>
        <v>GINGER LEMON TEA</v>
      </c>
      <c r="V1304" s="81" t="n">
        <f aca="false">VLOOKUP(U1304,recipe_ingred_list!$A$2:$B$300,2,0)</f>
        <v>27</v>
      </c>
      <c r="W1304" s="81" t="str">
        <f aca="false">"/recipes/"&amp;VLOOKUP(U1304,recipe_ingred_list!$A$2:$C$300,3,0)&amp;"/detail/"</f>
        <v>/recipes/ginger-lemon-tea/detail/</v>
      </c>
      <c r="X1304" s="81" t="str">
        <f aca="false">J1304</f>
        <v>black pepper AKKHA</v>
      </c>
      <c r="Y1304" s="81" t="str">
        <f aca="false">R1304</f>
        <v>black pepper</v>
      </c>
      <c r="Z1304" s="94" t="n">
        <f aca="false">VLOOKUP(Y1304,recipe_ingred_list!$D$2:$E$500,2,0)</f>
        <v>31</v>
      </c>
      <c r="AA1304" s="61" t="n">
        <f aca="false">K1304</f>
        <v>0</v>
      </c>
      <c r="AB1304" s="61" t="n">
        <f aca="false">L1304</f>
        <v>0</v>
      </c>
      <c r="AC1304" s="61" t="n">
        <f aca="false">VLOOKUP(AB1304,recipe_ingred_list!$K$2:$M$7,3,0)</f>
        <v>2</v>
      </c>
      <c r="AD1304" s="61" t="n">
        <f aca="false">M1304</f>
        <v>0.15</v>
      </c>
      <c r="AE1304" s="61" t="str">
        <f aca="false">N1304</f>
        <v>cup</v>
      </c>
      <c r="AF1304" s="61" t="n">
        <f aca="false">VLOOKUP(AE1304,recipe_ingred_list!$K$16:$M$25,3,0)</f>
        <v>5</v>
      </c>
      <c r="AG1304" s="61" t="n">
        <f aca="false">O1304</f>
        <v>0</v>
      </c>
      <c r="AH1304" s="61" t="n">
        <f aca="false">P1304</f>
        <v>0</v>
      </c>
      <c r="AI1304" s="61" t="n">
        <f aca="false">VLOOKUP(AH1304,recipe_ingred_list!$K$29:$M$34,3,0)</f>
        <v>3</v>
      </c>
      <c r="AJ1304" s="61" t="str">
        <f aca="false">IF(Q1304="","",Q1304)</f>
        <v/>
      </c>
      <c r="AK1304" s="61" t="n">
        <f aca="false">AK1303+1</f>
        <v>1304</v>
      </c>
      <c r="AL1304" s="61" t="str">
        <f aca="false">Y1304</f>
        <v>black pepper</v>
      </c>
      <c r="AM1304" s="81" t="str">
        <f aca="false">"a = Client().post('"&amp;W1304&amp;"', {'recipe' : '"&amp;V1304&amp;"', 'ingredient' : '"&amp;Z1304&amp;"', 'name' : '"&amp;X1304&amp;"', 'mass_unit' : '"&amp;AC1304&amp;"', 'mass_quantity' : '"&amp;ROUND(AA1304,3)&amp;"', 'volume_unit' : '"&amp;AF1304&amp;"', 'volume_quantity' : '"&amp;ROUND(AD1304,3)&amp;"', 'pieces_unit' : '"&amp;AI1304&amp;"', 'pieces_quantity' : '"&amp;ROUND(AG1304,3)&amp;"', 'cooking_notes' : '"&amp;AJ1304&amp;"'}).status_code; print('%s :: %s :: %s :: %s :: %s' %(a,"&amp;G1304&amp;",'"&amp;X1304&amp;"','"&amp;Y1304&amp;"','"&amp;U1304&amp;"'))"</f>
        <v>a = Client().post('/recipes/ginger-lemon-tea/detail/', {'recipe' : '27', 'ingredient' : '31', 'name' : 'black pepper AKKHA', 'mass_unit' : '2', 'mass_quantity' : '0', 'volume_unit' : '5', 'volume_quantity' : '0.15', 'pieces_unit' : '3', 'pieces_quantity' : '0', 'cooking_notes' : ''}).status_code; print('%s :: %s :: %s :: %s :: %s' %(a,1304,'black pepper AKKHA','black pepper','GINGER LEMON TEA'))</v>
      </c>
    </row>
    <row r="1305" customFormat="false" ht="13.8" hidden="false" customHeight="false" outlineLevel="0" collapsed="false">
      <c r="G1305" s="80" t="n">
        <v>1305</v>
      </c>
      <c r="H1305" s="83"/>
      <c r="I1305" s="83" t="s">
        <v>190</v>
      </c>
      <c r="J1305" s="83" t="s">
        <v>481</v>
      </c>
      <c r="M1305" s="61" t="n">
        <v>0.5</v>
      </c>
      <c r="N1305" s="61" t="s">
        <v>13</v>
      </c>
      <c r="R1305" s="82" t="str">
        <f aca="false">VLOOKUP(J1305,ingredient!$N$4:$O$553,2,0)</f>
        <v>tej patta</v>
      </c>
      <c r="U1305" s="81" t="str">
        <f aca="false">I1305</f>
        <v>GINGER LEMON TEA</v>
      </c>
      <c r="V1305" s="81" t="n">
        <f aca="false">VLOOKUP(U1305,recipe_ingred_list!$A$2:$B$300,2,0)</f>
        <v>27</v>
      </c>
      <c r="W1305" s="81" t="str">
        <f aca="false">"/recipes/"&amp;VLOOKUP(U1305,recipe_ingred_list!$A$2:$C$300,3,0)&amp;"/detail/"</f>
        <v>/recipes/ginger-lemon-tea/detail/</v>
      </c>
      <c r="X1305" s="81" t="str">
        <f aca="false">J1305</f>
        <v>tej patta</v>
      </c>
      <c r="Y1305" s="81" t="str">
        <f aca="false">R1305</f>
        <v>tej patta</v>
      </c>
      <c r="Z1305" s="94" t="n">
        <f aca="false">VLOOKUP(Y1305,recipe_ingred_list!$D$2:$E$500,2,0)</f>
        <v>191</v>
      </c>
      <c r="AA1305" s="61" t="n">
        <f aca="false">K1305</f>
        <v>0</v>
      </c>
      <c r="AB1305" s="61" t="n">
        <f aca="false">L1305</f>
        <v>0</v>
      </c>
      <c r="AC1305" s="61" t="n">
        <f aca="false">VLOOKUP(AB1305,recipe_ingred_list!$K$2:$M$7,3,0)</f>
        <v>2</v>
      </c>
      <c r="AD1305" s="61" t="n">
        <f aca="false">M1305</f>
        <v>0.5</v>
      </c>
      <c r="AE1305" s="61" t="str">
        <f aca="false">N1305</f>
        <v>ltr</v>
      </c>
      <c r="AF1305" s="61" t="n">
        <f aca="false">VLOOKUP(AE1305,recipe_ingred_list!$K$16:$M$25,3,0)</f>
        <v>1</v>
      </c>
      <c r="AG1305" s="61" t="n">
        <f aca="false">O1305</f>
        <v>0</v>
      </c>
      <c r="AH1305" s="61" t="n">
        <f aca="false">P1305</f>
        <v>0</v>
      </c>
      <c r="AI1305" s="61" t="n">
        <f aca="false">VLOOKUP(AH1305,recipe_ingred_list!$K$29:$M$34,3,0)</f>
        <v>3</v>
      </c>
      <c r="AJ1305" s="61" t="str">
        <f aca="false">IF(Q1305="","",Q1305)</f>
        <v/>
      </c>
      <c r="AK1305" s="61" t="n">
        <f aca="false">AK1304+1</f>
        <v>1305</v>
      </c>
      <c r="AL1305" s="61" t="str">
        <f aca="false">Y1305</f>
        <v>tej patta</v>
      </c>
      <c r="AM1305" s="81" t="str">
        <f aca="false">"a = Client().post('"&amp;W1305&amp;"', {'recipe' : '"&amp;V1305&amp;"', 'ingredient' : '"&amp;Z1305&amp;"', 'name' : '"&amp;X1305&amp;"', 'mass_unit' : '"&amp;AC1305&amp;"', 'mass_quantity' : '"&amp;ROUND(AA1305,3)&amp;"', 'volume_unit' : '"&amp;AF1305&amp;"', 'volume_quantity' : '"&amp;ROUND(AD1305,3)&amp;"', 'pieces_unit' : '"&amp;AI1305&amp;"', 'pieces_quantity' : '"&amp;ROUND(AG1305,3)&amp;"', 'cooking_notes' : '"&amp;AJ1305&amp;"'}).status_code; print('%s :: %s :: %s :: %s :: %s' %(a,"&amp;G1305&amp;",'"&amp;X1305&amp;"','"&amp;Y1305&amp;"','"&amp;U1305&amp;"'))"</f>
        <v>a = Client().post('/recipes/ginger-lemon-tea/detail/', {'recipe' : '27', 'ingredient' : '191', 'name' : 'tej patta', 'mass_unit' : '2', 'mass_quantity' : '0', 'volume_unit' : '1', 'volume_quantity' : '0.5', 'pieces_unit' : '3', 'pieces_quantity' : '0', 'cooking_notes' : ''}).status_code; print('%s :: %s :: %s :: %s :: %s' %(a,1305,'tej patta','tej patta','GINGER LEMON TEA'))</v>
      </c>
    </row>
    <row r="1306" customFormat="false" ht="13.8" hidden="false" customHeight="false" outlineLevel="0" collapsed="false">
      <c r="G1306" s="80" t="n">
        <v>1306</v>
      </c>
      <c r="H1306" s="83"/>
      <c r="I1306" s="83" t="s">
        <v>190</v>
      </c>
      <c r="J1306" s="83" t="s">
        <v>924</v>
      </c>
      <c r="M1306" s="61" t="n">
        <v>0.15</v>
      </c>
      <c r="N1306" s="61" t="s">
        <v>20</v>
      </c>
      <c r="R1306" s="82" t="str">
        <f aca="false">VLOOKUP(J1306,ingredient!$N$4:$O$553,2,0)</f>
        <v>dalchini</v>
      </c>
      <c r="U1306" s="81" t="str">
        <f aca="false">I1306</f>
        <v>GINGER LEMON TEA</v>
      </c>
      <c r="V1306" s="81" t="n">
        <f aca="false">VLOOKUP(U1306,recipe_ingred_list!$A$2:$B$300,2,0)</f>
        <v>27</v>
      </c>
      <c r="W1306" s="81" t="str">
        <f aca="false">"/recipes/"&amp;VLOOKUP(U1306,recipe_ingred_list!$A$2:$C$300,3,0)&amp;"/detail/"</f>
        <v>/recipes/ginger-lemon-tea/detail/</v>
      </c>
      <c r="X1306" s="81" t="str">
        <f aca="false">J1306</f>
        <v>DALCHINI</v>
      </c>
      <c r="Y1306" s="81" t="str">
        <f aca="false">R1306</f>
        <v>dalchini</v>
      </c>
      <c r="Z1306" s="94" t="n">
        <f aca="false">VLOOKUP(Y1306,recipe_ingred_list!$D$2:$E$500,2,0)</f>
        <v>61</v>
      </c>
      <c r="AA1306" s="61" t="n">
        <f aca="false">K1306</f>
        <v>0</v>
      </c>
      <c r="AB1306" s="61" t="n">
        <f aca="false">L1306</f>
        <v>0</v>
      </c>
      <c r="AC1306" s="61" t="n">
        <f aca="false">VLOOKUP(AB1306,recipe_ingred_list!$K$2:$M$7,3,0)</f>
        <v>2</v>
      </c>
      <c r="AD1306" s="61" t="n">
        <f aca="false">M1306</f>
        <v>0.15</v>
      </c>
      <c r="AE1306" s="61" t="str">
        <f aca="false">N1306</f>
        <v>cup</v>
      </c>
      <c r="AF1306" s="61" t="n">
        <f aca="false">VLOOKUP(AE1306,recipe_ingred_list!$K$16:$M$25,3,0)</f>
        <v>5</v>
      </c>
      <c r="AG1306" s="61" t="n">
        <f aca="false">O1306</f>
        <v>0</v>
      </c>
      <c r="AH1306" s="61" t="n">
        <f aca="false">P1306</f>
        <v>0</v>
      </c>
      <c r="AI1306" s="61" t="n">
        <f aca="false">VLOOKUP(AH1306,recipe_ingred_list!$K$29:$M$34,3,0)</f>
        <v>3</v>
      </c>
      <c r="AJ1306" s="61" t="str">
        <f aca="false">IF(Q1306="","",Q1306)</f>
        <v/>
      </c>
      <c r="AK1306" s="61" t="n">
        <f aca="false">AK1305+1</f>
        <v>1306</v>
      </c>
      <c r="AL1306" s="61" t="str">
        <f aca="false">Y1306</f>
        <v>dalchini</v>
      </c>
      <c r="AM1306" s="81" t="str">
        <f aca="false">"a = Client().post('"&amp;W1306&amp;"', {'recipe' : '"&amp;V1306&amp;"', 'ingredient' : '"&amp;Z1306&amp;"', 'name' : '"&amp;X1306&amp;"', 'mass_unit' : '"&amp;AC1306&amp;"', 'mass_quantity' : '"&amp;ROUND(AA1306,3)&amp;"', 'volume_unit' : '"&amp;AF1306&amp;"', 'volume_quantity' : '"&amp;ROUND(AD1306,3)&amp;"', 'pieces_unit' : '"&amp;AI1306&amp;"', 'pieces_quantity' : '"&amp;ROUND(AG1306,3)&amp;"', 'cooking_notes' : '"&amp;AJ1306&amp;"'}).status_code; print('%s :: %s :: %s :: %s :: %s' %(a,"&amp;G1306&amp;",'"&amp;X1306&amp;"','"&amp;Y1306&amp;"','"&amp;U1306&amp;"'))"</f>
        <v>a = Client().post('/recipes/ginger-lemon-tea/detail/', {'recipe' : '27', 'ingredient' : '61', 'name' : 'DALCHINI', 'mass_unit' : '2', 'mass_quantity' : '0', 'volume_unit' : '5', 'volume_quantity' : '0.15', 'pieces_unit' : '3', 'pieces_quantity' : '0', 'cooking_notes' : ''}).status_code; print('%s :: %s :: %s :: %s :: %s' %(a,1306,'DALCHINI','dalchini','GINGER LEMON TEA'))</v>
      </c>
    </row>
    <row r="1307" customFormat="false" ht="13.8" hidden="false" customHeight="false" outlineLevel="0" collapsed="false">
      <c r="G1307" s="80" t="n">
        <v>1307</v>
      </c>
      <c r="H1307" s="79"/>
      <c r="I1307" s="79"/>
      <c r="J1307" s="79"/>
      <c r="K1307" s="100"/>
      <c r="L1307" s="100"/>
      <c r="M1307" s="100"/>
      <c r="N1307" s="100"/>
      <c r="O1307" s="100"/>
      <c r="P1307" s="100"/>
      <c r="Q1307" s="102"/>
      <c r="R1307" s="99" t="e">
        <f aca="false">VLOOKUP(J1307,ingredient!$N$4:$O$553,2,0)</f>
        <v>#N/A</v>
      </c>
      <c r="S1307" s="98"/>
      <c r="T1307" s="98"/>
      <c r="U1307" s="81" t="n">
        <f aca="false">I1307</f>
        <v>0</v>
      </c>
      <c r="V1307" s="81" t="e">
        <f aca="false">VLOOKUP(U1307,recipe_ingred_list!$A$2:$B$300,2,0)</f>
        <v>#N/A</v>
      </c>
      <c r="W1307" s="81" t="e">
        <f aca="false">"/recipes/"&amp;VLOOKUP(U1307,recipe_ingred_list!$A$2:$C$300,3,0)&amp;"/detail/"</f>
        <v>#N/A</v>
      </c>
      <c r="X1307" s="81" t="n">
        <f aca="false">J1307</f>
        <v>0</v>
      </c>
      <c r="Y1307" s="81" t="e">
        <f aca="false">R1307</f>
        <v>#N/A</v>
      </c>
      <c r="Z1307" s="94" t="e">
        <f aca="false">VLOOKUP(Y1307,recipe_ingred_list!$D$2:$E$500,2,0)</f>
        <v>#N/A</v>
      </c>
      <c r="AA1307" s="61" t="n">
        <f aca="false">K1307</f>
        <v>0</v>
      </c>
      <c r="AB1307" s="61" t="n">
        <f aca="false">L1307</f>
        <v>0</v>
      </c>
      <c r="AC1307" s="61" t="n">
        <f aca="false">VLOOKUP(AB1307,recipe_ingred_list!$K$2:$M$7,3,0)</f>
        <v>2</v>
      </c>
      <c r="AD1307" s="61" t="n">
        <f aca="false">M1307</f>
        <v>0</v>
      </c>
      <c r="AE1307" s="61" t="n">
        <f aca="false">N1307</f>
        <v>0</v>
      </c>
      <c r="AF1307" s="61" t="n">
        <f aca="false">VLOOKUP(AE1307,recipe_ingred_list!$K$16:$M$25,3,0)</f>
        <v>1</v>
      </c>
      <c r="AG1307" s="61" t="n">
        <f aca="false">O1307</f>
        <v>0</v>
      </c>
      <c r="AH1307" s="61" t="n">
        <f aca="false">P1307</f>
        <v>0</v>
      </c>
      <c r="AI1307" s="61" t="n">
        <f aca="false">VLOOKUP(AH1307,recipe_ingred_list!$K$29:$M$34,3,0)</f>
        <v>3</v>
      </c>
      <c r="AJ1307" s="61" t="str">
        <f aca="false">IF(Q1307="","",Q1307)</f>
        <v/>
      </c>
      <c r="AK1307" s="61" t="n">
        <f aca="false">AK1306+1</f>
        <v>1307</v>
      </c>
      <c r="AL1307" s="61" t="e">
        <f aca="false">Y1307</f>
        <v>#N/A</v>
      </c>
      <c r="AM1307" s="81" t="e">
        <f aca="false">"a = Client().post('"&amp;W1307&amp;"', {'recipe' : '"&amp;V1307&amp;"', 'ingredient' : '"&amp;Z1307&amp;"', 'name' : '"&amp;X1307&amp;"', 'mass_unit' : '"&amp;AC1307&amp;"', 'mass_quantity' : '"&amp;ROUND(AA1307,3)&amp;"', 'volume_unit' : '"&amp;AF1307&amp;"', 'volume_quantity' : '"&amp;ROUND(AD1307,3)&amp;"', 'pieces_unit' : '"&amp;AI1307&amp;"', 'pieces_quantity' : '"&amp;ROUND(AG1307,3)&amp;"', 'cooking_notes' : '"&amp;AJ1307&amp;"'}).status_code; print('%s :: %s :: %s :: %s :: %s' %(a,"&amp;G1307&amp;",'"&amp;X1307&amp;"','"&amp;Y1307&amp;"','"&amp;U1307&amp;"'))"</f>
        <v>#N/A</v>
      </c>
    </row>
    <row r="1308" customFormat="false" ht="13.8" hidden="false" customHeight="false" outlineLevel="0" collapsed="false">
      <c r="G1308" s="80" t="n">
        <v>1308</v>
      </c>
      <c r="H1308" s="83"/>
      <c r="I1308" s="83" t="s">
        <v>271</v>
      </c>
      <c r="J1308" s="83" t="s">
        <v>925</v>
      </c>
      <c r="K1308" s="61" t="n">
        <v>4</v>
      </c>
      <c r="L1308" s="61" t="s">
        <v>7</v>
      </c>
      <c r="R1308" s="82" t="str">
        <f aca="false">VLOOKUP(J1308,ingredient!$N$4:$O$553,2,0)</f>
        <v>kaccha aam</v>
      </c>
      <c r="U1308" s="81" t="str">
        <f aca="false">I1308</f>
        <v>PANNA</v>
      </c>
      <c r="V1308" s="81" t="n">
        <f aca="false">VLOOKUP(U1308,recipe_ingred_list!$A$2:$B$300,2,0)</f>
        <v>54</v>
      </c>
      <c r="W1308" s="81" t="str">
        <f aca="false">"/recipes/"&amp;VLOOKUP(U1308,recipe_ingred_list!$A$2:$C$300,3,0)&amp;"/detail/"</f>
        <v>/recipes/panna/detail/</v>
      </c>
      <c r="X1308" s="81" t="str">
        <f aca="false">J1308</f>
        <v>kacca Aam</v>
      </c>
      <c r="Y1308" s="81" t="str">
        <f aca="false">R1308</f>
        <v>kaccha aam</v>
      </c>
      <c r="Z1308" s="94" t="n">
        <f aca="false">VLOOKUP(Y1308,recipe_ingred_list!$D$2:$E$500,2,0)</f>
        <v>104</v>
      </c>
      <c r="AA1308" s="61" t="n">
        <f aca="false">K1308</f>
        <v>4</v>
      </c>
      <c r="AB1308" s="61" t="str">
        <f aca="false">L1308</f>
        <v>kg</v>
      </c>
      <c r="AC1308" s="61" t="n">
        <f aca="false">VLOOKUP(AB1308,recipe_ingred_list!$K$2:$M$7,3,0)</f>
        <v>2</v>
      </c>
      <c r="AD1308" s="61" t="n">
        <f aca="false">M1308</f>
        <v>0</v>
      </c>
      <c r="AE1308" s="61" t="n">
        <f aca="false">N1308</f>
        <v>0</v>
      </c>
      <c r="AF1308" s="61" t="n">
        <f aca="false">VLOOKUP(AE1308,recipe_ingred_list!$K$16:$M$25,3,0)</f>
        <v>1</v>
      </c>
      <c r="AG1308" s="61" t="n">
        <f aca="false">O1308</f>
        <v>0</v>
      </c>
      <c r="AH1308" s="61" t="n">
        <f aca="false">P1308</f>
        <v>0</v>
      </c>
      <c r="AI1308" s="61" t="n">
        <f aca="false">VLOOKUP(AH1308,recipe_ingred_list!$K$29:$M$34,3,0)</f>
        <v>3</v>
      </c>
      <c r="AJ1308" s="61" t="str">
        <f aca="false">IF(Q1308="","",Q1308)</f>
        <v/>
      </c>
      <c r="AK1308" s="61" t="n">
        <f aca="false">AK1307+1</f>
        <v>1308</v>
      </c>
      <c r="AL1308" s="61" t="str">
        <f aca="false">Y1308</f>
        <v>kaccha aam</v>
      </c>
      <c r="AM1308" s="81" t="str">
        <f aca="false">"a = Client().post('"&amp;W1308&amp;"', {'recipe' : '"&amp;V1308&amp;"', 'ingredient' : '"&amp;Z1308&amp;"', 'name' : '"&amp;X1308&amp;"', 'mass_unit' : '"&amp;AC1308&amp;"', 'mass_quantity' : '"&amp;ROUND(AA1308,3)&amp;"', 'volume_unit' : '"&amp;AF1308&amp;"', 'volume_quantity' : '"&amp;ROUND(AD1308,3)&amp;"', 'pieces_unit' : '"&amp;AI1308&amp;"', 'pieces_quantity' : '"&amp;ROUND(AG1308,3)&amp;"', 'cooking_notes' : '"&amp;AJ1308&amp;"'}).status_code; print('%s :: %s :: %s :: %s :: %s' %(a,"&amp;G1308&amp;",'"&amp;X1308&amp;"','"&amp;Y1308&amp;"','"&amp;U1308&amp;"'))"</f>
        <v>a = Client().post('/recipes/panna/detail/', {'recipe' : '54', 'ingredient' : '104', 'name' : 'kacca Aam', 'mass_unit' : '2', 'mass_quantity' : '4', 'volume_unit' : '1', 'volume_quantity' : '0', 'pieces_unit' : '3', 'pieces_quantity' : '0', 'cooking_notes' : ''}).status_code; print('%s :: %s :: %s :: %s :: %s' %(a,1308,'kacca Aam','kaccha aam','PANNA'))</v>
      </c>
    </row>
    <row r="1309" customFormat="false" ht="13.8" hidden="false" customHeight="false" outlineLevel="0" collapsed="false">
      <c r="G1309" s="80" t="n">
        <v>1309</v>
      </c>
      <c r="H1309" s="83"/>
      <c r="I1309" s="83" t="s">
        <v>271</v>
      </c>
      <c r="J1309" s="83" t="s">
        <v>454</v>
      </c>
      <c r="M1309" s="61" t="n">
        <v>2</v>
      </c>
      <c r="N1309" s="61" t="s">
        <v>20</v>
      </c>
      <c r="R1309" s="82" t="str">
        <f aca="false">VLOOKUP(J1309,ingredient!$N$4:$O$553,2,0)</f>
        <v>pudina</v>
      </c>
      <c r="U1309" s="81" t="str">
        <f aca="false">I1309</f>
        <v>PANNA</v>
      </c>
      <c r="V1309" s="81" t="n">
        <f aca="false">VLOOKUP(U1309,recipe_ingred_list!$A$2:$B$300,2,0)</f>
        <v>54</v>
      </c>
      <c r="W1309" s="81" t="str">
        <f aca="false">"/recipes/"&amp;VLOOKUP(U1309,recipe_ingred_list!$A$2:$C$300,3,0)&amp;"/detail/"</f>
        <v>/recipes/panna/detail/</v>
      </c>
      <c r="X1309" s="81" t="str">
        <f aca="false">J1309</f>
        <v>pudina</v>
      </c>
      <c r="Y1309" s="81" t="str">
        <f aca="false">R1309</f>
        <v>pudina</v>
      </c>
      <c r="Z1309" s="94" t="n">
        <f aca="false">VLOOKUP(Y1309,recipe_ingred_list!$D$2:$E$500,2,0)</f>
        <v>162</v>
      </c>
      <c r="AA1309" s="61" t="n">
        <f aca="false">K1309</f>
        <v>0</v>
      </c>
      <c r="AB1309" s="61" t="n">
        <f aca="false">L1309</f>
        <v>0</v>
      </c>
      <c r="AC1309" s="61" t="n">
        <f aca="false">VLOOKUP(AB1309,recipe_ingred_list!$K$2:$M$7,3,0)</f>
        <v>2</v>
      </c>
      <c r="AD1309" s="61" t="n">
        <f aca="false">M1309</f>
        <v>2</v>
      </c>
      <c r="AE1309" s="61" t="str">
        <f aca="false">N1309</f>
        <v>cup</v>
      </c>
      <c r="AF1309" s="61" t="n">
        <f aca="false">VLOOKUP(AE1309,recipe_ingred_list!$K$16:$M$25,3,0)</f>
        <v>5</v>
      </c>
      <c r="AG1309" s="61" t="n">
        <f aca="false">O1309</f>
        <v>0</v>
      </c>
      <c r="AH1309" s="61" t="n">
        <f aca="false">P1309</f>
        <v>0</v>
      </c>
      <c r="AI1309" s="61" t="n">
        <f aca="false">VLOOKUP(AH1309,recipe_ingred_list!$K$29:$M$34,3,0)</f>
        <v>3</v>
      </c>
      <c r="AJ1309" s="61" t="str">
        <f aca="false">IF(Q1309="","",Q1309)</f>
        <v/>
      </c>
      <c r="AK1309" s="61" t="n">
        <f aca="false">AK1308+1</f>
        <v>1309</v>
      </c>
      <c r="AL1309" s="61" t="str">
        <f aca="false">Y1309</f>
        <v>pudina</v>
      </c>
      <c r="AM1309" s="81" t="str">
        <f aca="false">"a = Client().post('"&amp;W1309&amp;"', {'recipe' : '"&amp;V1309&amp;"', 'ingredient' : '"&amp;Z1309&amp;"', 'name' : '"&amp;X1309&amp;"', 'mass_unit' : '"&amp;AC1309&amp;"', 'mass_quantity' : '"&amp;ROUND(AA1309,3)&amp;"', 'volume_unit' : '"&amp;AF1309&amp;"', 'volume_quantity' : '"&amp;ROUND(AD1309,3)&amp;"', 'pieces_unit' : '"&amp;AI1309&amp;"', 'pieces_quantity' : '"&amp;ROUND(AG1309,3)&amp;"', 'cooking_notes' : '"&amp;AJ1309&amp;"'}).status_code; print('%s :: %s :: %s :: %s :: %s' %(a,"&amp;G1309&amp;",'"&amp;X1309&amp;"','"&amp;Y1309&amp;"','"&amp;U1309&amp;"'))"</f>
        <v>a = Client().post('/recipes/panna/detail/', {'recipe' : '54', 'ingredient' : '162', 'name' : 'pudina', 'mass_unit' : '2', 'mass_quantity' : '0', 'volume_unit' : '5', 'volume_quantity' : '2', 'pieces_unit' : '3', 'pieces_quantity' : '0', 'cooking_notes' : ''}).status_code; print('%s :: %s :: %s :: %s :: %s' %(a,1309,'pudina','pudina','PANNA'))</v>
      </c>
    </row>
    <row r="1310" customFormat="false" ht="13.8" hidden="false" customHeight="false" outlineLevel="0" collapsed="false">
      <c r="G1310" s="80" t="n">
        <v>1310</v>
      </c>
      <c r="H1310" s="83"/>
      <c r="I1310" s="83" t="s">
        <v>271</v>
      </c>
      <c r="J1310" s="83" t="s">
        <v>503</v>
      </c>
      <c r="M1310" s="61" t="n">
        <v>35</v>
      </c>
      <c r="N1310" s="61" t="s">
        <v>13</v>
      </c>
      <c r="R1310" s="82" t="str">
        <f aca="false">VLOOKUP(J1310,ingredient!$N$4:$O$553,2,0)</f>
        <v>water</v>
      </c>
      <c r="U1310" s="81" t="str">
        <f aca="false">I1310</f>
        <v>PANNA</v>
      </c>
      <c r="V1310" s="81" t="n">
        <f aca="false">VLOOKUP(U1310,recipe_ingred_list!$A$2:$B$300,2,0)</f>
        <v>54</v>
      </c>
      <c r="W1310" s="81" t="str">
        <f aca="false">"/recipes/"&amp;VLOOKUP(U1310,recipe_ingred_list!$A$2:$C$300,3,0)&amp;"/detail/"</f>
        <v>/recipes/panna/detail/</v>
      </c>
      <c r="X1310" s="81" t="str">
        <f aca="false">J1310</f>
        <v>water</v>
      </c>
      <c r="Y1310" s="81" t="str">
        <f aca="false">R1310</f>
        <v>water</v>
      </c>
      <c r="Z1310" s="94" t="n">
        <f aca="false">VLOOKUP(Y1310,recipe_ingred_list!$D$2:$E$500,2,0)</f>
        <v>214</v>
      </c>
      <c r="AA1310" s="61" t="n">
        <f aca="false">K1310</f>
        <v>0</v>
      </c>
      <c r="AB1310" s="61" t="n">
        <f aca="false">L1310</f>
        <v>0</v>
      </c>
      <c r="AC1310" s="61" t="n">
        <f aca="false">VLOOKUP(AB1310,recipe_ingred_list!$K$2:$M$7,3,0)</f>
        <v>2</v>
      </c>
      <c r="AD1310" s="61" t="n">
        <f aca="false">M1310</f>
        <v>35</v>
      </c>
      <c r="AE1310" s="61" t="str">
        <f aca="false">N1310</f>
        <v>ltr</v>
      </c>
      <c r="AF1310" s="61" t="n">
        <f aca="false">VLOOKUP(AE1310,recipe_ingred_list!$K$16:$M$25,3,0)</f>
        <v>1</v>
      </c>
      <c r="AG1310" s="61" t="n">
        <f aca="false">O1310</f>
        <v>0</v>
      </c>
      <c r="AH1310" s="61" t="n">
        <f aca="false">P1310</f>
        <v>0</v>
      </c>
      <c r="AI1310" s="61" t="n">
        <f aca="false">VLOOKUP(AH1310,recipe_ingred_list!$K$29:$M$34,3,0)</f>
        <v>3</v>
      </c>
      <c r="AJ1310" s="61" t="str">
        <f aca="false">IF(Q1310="","",Q1310)</f>
        <v/>
      </c>
      <c r="AK1310" s="61" t="n">
        <f aca="false">AK1309+1</f>
        <v>1310</v>
      </c>
      <c r="AL1310" s="61" t="str">
        <f aca="false">Y1310</f>
        <v>water</v>
      </c>
      <c r="AM1310" s="81" t="str">
        <f aca="false">"a = Client().post('"&amp;W1310&amp;"', {'recipe' : '"&amp;V1310&amp;"', 'ingredient' : '"&amp;Z1310&amp;"', 'name' : '"&amp;X1310&amp;"', 'mass_unit' : '"&amp;AC1310&amp;"', 'mass_quantity' : '"&amp;ROUND(AA1310,3)&amp;"', 'volume_unit' : '"&amp;AF1310&amp;"', 'volume_quantity' : '"&amp;ROUND(AD1310,3)&amp;"', 'pieces_unit' : '"&amp;AI1310&amp;"', 'pieces_quantity' : '"&amp;ROUND(AG1310,3)&amp;"', 'cooking_notes' : '"&amp;AJ1310&amp;"'}).status_code; print('%s :: %s :: %s :: %s :: %s' %(a,"&amp;G1310&amp;",'"&amp;X1310&amp;"','"&amp;Y1310&amp;"','"&amp;U1310&amp;"'))"</f>
        <v>a = Client().post('/recipes/panna/detail/', {'recipe' : '54', 'ingredient' : '214', 'name' : 'water', 'mass_unit' : '2', 'mass_quantity' : '0', 'volume_unit' : '1', 'volume_quantity' : '35', 'pieces_unit' : '3', 'pieces_quantity' : '0', 'cooking_notes' : ''}).status_code; print('%s :: %s :: %s :: %s :: %s' %(a,1310,'water','water','PANNA'))</v>
      </c>
    </row>
    <row r="1311" customFormat="false" ht="13.8" hidden="false" customHeight="false" outlineLevel="0" collapsed="false">
      <c r="G1311" s="80" t="n">
        <v>1311</v>
      </c>
      <c r="H1311" s="83"/>
      <c r="I1311" s="83" t="s">
        <v>271</v>
      </c>
      <c r="J1311" s="83" t="s">
        <v>44</v>
      </c>
      <c r="K1311" s="61" t="n">
        <v>4</v>
      </c>
      <c r="L1311" s="61" t="s">
        <v>7</v>
      </c>
      <c r="R1311" s="82" t="str">
        <f aca="false">VLOOKUP(J1311,ingredient!$N$4:$O$553,2,0)</f>
        <v>sugar</v>
      </c>
      <c r="U1311" s="81" t="str">
        <f aca="false">I1311</f>
        <v>PANNA</v>
      </c>
      <c r="V1311" s="81" t="n">
        <f aca="false">VLOOKUP(U1311,recipe_ingred_list!$A$2:$B$300,2,0)</f>
        <v>54</v>
      </c>
      <c r="W1311" s="81" t="str">
        <f aca="false">"/recipes/"&amp;VLOOKUP(U1311,recipe_ingred_list!$A$2:$C$300,3,0)&amp;"/detail/"</f>
        <v>/recipes/panna/detail/</v>
      </c>
      <c r="X1311" s="81" t="str">
        <f aca="false">J1311</f>
        <v>sugar</v>
      </c>
      <c r="Y1311" s="81" t="str">
        <f aca="false">R1311</f>
        <v>sugar</v>
      </c>
      <c r="Z1311" s="94" t="n">
        <f aca="false">VLOOKUP(Y1311,recipe_ingred_list!$D$2:$E$500,2,0)</f>
        <v>187</v>
      </c>
      <c r="AA1311" s="61" t="n">
        <f aca="false">K1311</f>
        <v>4</v>
      </c>
      <c r="AB1311" s="61" t="str">
        <f aca="false">L1311</f>
        <v>kg</v>
      </c>
      <c r="AC1311" s="61" t="n">
        <f aca="false">VLOOKUP(AB1311,recipe_ingred_list!$K$2:$M$7,3,0)</f>
        <v>2</v>
      </c>
      <c r="AD1311" s="61" t="n">
        <f aca="false">M1311</f>
        <v>0</v>
      </c>
      <c r="AE1311" s="61" t="n">
        <f aca="false">N1311</f>
        <v>0</v>
      </c>
      <c r="AF1311" s="61" t="n">
        <f aca="false">VLOOKUP(AE1311,recipe_ingred_list!$K$16:$M$25,3,0)</f>
        <v>1</v>
      </c>
      <c r="AG1311" s="61" t="n">
        <f aca="false">O1311</f>
        <v>0</v>
      </c>
      <c r="AH1311" s="61" t="n">
        <f aca="false">P1311</f>
        <v>0</v>
      </c>
      <c r="AI1311" s="61" t="n">
        <f aca="false">VLOOKUP(AH1311,recipe_ingred_list!$K$29:$M$34,3,0)</f>
        <v>3</v>
      </c>
      <c r="AJ1311" s="61" t="str">
        <f aca="false">IF(Q1311="","",Q1311)</f>
        <v/>
      </c>
      <c r="AK1311" s="61" t="n">
        <f aca="false">AK1310+1</f>
        <v>1311</v>
      </c>
      <c r="AL1311" s="61" t="str">
        <f aca="false">Y1311</f>
        <v>sugar</v>
      </c>
      <c r="AM1311" s="81" t="str">
        <f aca="false">"a = Client().post('"&amp;W1311&amp;"', {'recipe' : '"&amp;V1311&amp;"', 'ingredient' : '"&amp;Z1311&amp;"', 'name' : '"&amp;X1311&amp;"', 'mass_unit' : '"&amp;AC1311&amp;"', 'mass_quantity' : '"&amp;ROUND(AA1311,3)&amp;"', 'volume_unit' : '"&amp;AF1311&amp;"', 'volume_quantity' : '"&amp;ROUND(AD1311,3)&amp;"', 'pieces_unit' : '"&amp;AI1311&amp;"', 'pieces_quantity' : '"&amp;ROUND(AG1311,3)&amp;"', 'cooking_notes' : '"&amp;AJ1311&amp;"'}).status_code; print('%s :: %s :: %s :: %s :: %s' %(a,"&amp;G1311&amp;",'"&amp;X1311&amp;"','"&amp;Y1311&amp;"','"&amp;U1311&amp;"'))"</f>
        <v>a = Client().post('/recipes/panna/detail/', {'recipe' : '54', 'ingredient' : '187', 'name' : 'sugar', 'mass_unit' : '2', 'mass_quantity' : '4', 'volume_unit' : '1', 'volume_quantity' : '0', 'pieces_unit' : '3', 'pieces_quantity' : '0', 'cooking_notes' : ''}).status_code; print('%s :: %s :: %s :: %s :: %s' %(a,1311,'sugar','sugar','PANNA'))</v>
      </c>
    </row>
    <row r="1312" customFormat="false" ht="13.8" hidden="false" customHeight="false" outlineLevel="0" collapsed="false">
      <c r="G1312" s="80" t="n">
        <v>1312</v>
      </c>
      <c r="H1312" s="83"/>
      <c r="I1312" s="83" t="s">
        <v>271</v>
      </c>
      <c r="J1312" s="83" t="s">
        <v>207</v>
      </c>
      <c r="M1312" s="61" t="n">
        <v>0.5</v>
      </c>
      <c r="N1312" s="61" t="s">
        <v>20</v>
      </c>
      <c r="R1312" s="82" t="str">
        <f aca="false">VLOOKUP(J1312,ingredient!$N$4:$O$553,2,0)</f>
        <v>black salt</v>
      </c>
      <c r="U1312" s="81" t="str">
        <f aca="false">I1312</f>
        <v>PANNA</v>
      </c>
      <c r="V1312" s="81" t="n">
        <f aca="false">VLOOKUP(U1312,recipe_ingred_list!$A$2:$B$300,2,0)</f>
        <v>54</v>
      </c>
      <c r="W1312" s="81" t="str">
        <f aca="false">"/recipes/"&amp;VLOOKUP(U1312,recipe_ingred_list!$A$2:$C$300,3,0)&amp;"/detail/"</f>
        <v>/recipes/panna/detail/</v>
      </c>
      <c r="X1312" s="81" t="str">
        <f aca="false">J1312</f>
        <v>black salt</v>
      </c>
      <c r="Y1312" s="81" t="str">
        <f aca="false">R1312</f>
        <v>black salt</v>
      </c>
      <c r="Z1312" s="94" t="n">
        <f aca="false">VLOOKUP(Y1312,recipe_ingred_list!$D$2:$E$500,2,0)</f>
        <v>32</v>
      </c>
      <c r="AA1312" s="61" t="n">
        <f aca="false">K1312</f>
        <v>0</v>
      </c>
      <c r="AB1312" s="61" t="n">
        <f aca="false">L1312</f>
        <v>0</v>
      </c>
      <c r="AC1312" s="61" t="n">
        <f aca="false">VLOOKUP(AB1312,recipe_ingred_list!$K$2:$M$7,3,0)</f>
        <v>2</v>
      </c>
      <c r="AD1312" s="61" t="n">
        <f aca="false">M1312</f>
        <v>0.5</v>
      </c>
      <c r="AE1312" s="61" t="str">
        <f aca="false">N1312</f>
        <v>cup</v>
      </c>
      <c r="AF1312" s="61" t="n">
        <f aca="false">VLOOKUP(AE1312,recipe_ingred_list!$K$16:$M$25,3,0)</f>
        <v>5</v>
      </c>
      <c r="AG1312" s="61" t="n">
        <f aca="false">O1312</f>
        <v>0</v>
      </c>
      <c r="AH1312" s="61" t="n">
        <f aca="false">P1312</f>
        <v>0</v>
      </c>
      <c r="AI1312" s="61" t="n">
        <f aca="false">VLOOKUP(AH1312,recipe_ingred_list!$K$29:$M$34,3,0)</f>
        <v>3</v>
      </c>
      <c r="AJ1312" s="61" t="str">
        <f aca="false">IF(Q1312="","",Q1312)</f>
        <v/>
      </c>
      <c r="AK1312" s="61" t="n">
        <f aca="false">AK1311+1</f>
        <v>1312</v>
      </c>
      <c r="AL1312" s="61" t="str">
        <f aca="false">Y1312</f>
        <v>black salt</v>
      </c>
      <c r="AM1312" s="81" t="str">
        <f aca="false">"a = Client().post('"&amp;W1312&amp;"', {'recipe' : '"&amp;V1312&amp;"', 'ingredient' : '"&amp;Z1312&amp;"', 'name' : '"&amp;X1312&amp;"', 'mass_unit' : '"&amp;AC1312&amp;"', 'mass_quantity' : '"&amp;ROUND(AA1312,3)&amp;"', 'volume_unit' : '"&amp;AF1312&amp;"', 'volume_quantity' : '"&amp;ROUND(AD1312,3)&amp;"', 'pieces_unit' : '"&amp;AI1312&amp;"', 'pieces_quantity' : '"&amp;ROUND(AG1312,3)&amp;"', 'cooking_notes' : '"&amp;AJ1312&amp;"'}).status_code; print('%s :: %s :: %s :: %s :: %s' %(a,"&amp;G1312&amp;",'"&amp;X1312&amp;"','"&amp;Y1312&amp;"','"&amp;U1312&amp;"'))"</f>
        <v>a = Client().post('/recipes/panna/detail/', {'recipe' : '54', 'ingredient' : '32', 'name' : 'black salt', 'mass_unit' : '2', 'mass_quantity' : '0', 'volume_unit' : '5', 'volume_quantity' : '0.5', 'pieces_unit' : '3', 'pieces_quantity' : '0', 'cooking_notes' : ''}).status_code; print('%s :: %s :: %s :: %s :: %s' %(a,1312,'black salt','black salt','PANNA'))</v>
      </c>
    </row>
    <row r="1313" customFormat="false" ht="13.8" hidden="false" customHeight="false" outlineLevel="0" collapsed="false">
      <c r="G1313" s="80" t="n">
        <v>1313</v>
      </c>
      <c r="H1313" s="79"/>
      <c r="I1313" s="79"/>
      <c r="J1313" s="79"/>
      <c r="K1313" s="100"/>
      <c r="L1313" s="100"/>
      <c r="M1313" s="100"/>
      <c r="N1313" s="100"/>
      <c r="O1313" s="100"/>
      <c r="P1313" s="100"/>
      <c r="Q1313" s="102"/>
      <c r="R1313" s="99" t="e">
        <f aca="false">VLOOKUP(J1313,ingredient!$N$4:$O$553,2,0)</f>
        <v>#N/A</v>
      </c>
      <c r="S1313" s="98"/>
      <c r="T1313" s="98"/>
      <c r="U1313" s="81" t="n">
        <f aca="false">I1313</f>
        <v>0</v>
      </c>
      <c r="V1313" s="81" t="e">
        <f aca="false">VLOOKUP(U1313,recipe_ingred_list!$A$2:$B$300,2,0)</f>
        <v>#N/A</v>
      </c>
      <c r="W1313" s="81" t="e">
        <f aca="false">"/recipes/"&amp;VLOOKUP(U1313,recipe_ingred_list!$A$2:$C$300,3,0)&amp;"/detail/"</f>
        <v>#N/A</v>
      </c>
      <c r="X1313" s="81" t="n">
        <f aca="false">J1313</f>
        <v>0</v>
      </c>
      <c r="Y1313" s="81" t="e">
        <f aca="false">R1313</f>
        <v>#N/A</v>
      </c>
      <c r="Z1313" s="94" t="e">
        <f aca="false">VLOOKUP(Y1313,recipe_ingred_list!$D$2:$E$500,2,0)</f>
        <v>#N/A</v>
      </c>
      <c r="AA1313" s="61" t="n">
        <f aca="false">K1313</f>
        <v>0</v>
      </c>
      <c r="AB1313" s="61" t="n">
        <f aca="false">L1313</f>
        <v>0</v>
      </c>
      <c r="AC1313" s="61" t="n">
        <f aca="false">VLOOKUP(AB1313,recipe_ingred_list!$K$2:$M$7,3,0)</f>
        <v>2</v>
      </c>
      <c r="AD1313" s="61" t="n">
        <f aca="false">M1313</f>
        <v>0</v>
      </c>
      <c r="AE1313" s="61" t="n">
        <f aca="false">N1313</f>
        <v>0</v>
      </c>
      <c r="AF1313" s="61" t="n">
        <f aca="false">VLOOKUP(AE1313,recipe_ingred_list!$K$16:$M$25,3,0)</f>
        <v>1</v>
      </c>
      <c r="AG1313" s="61" t="n">
        <f aca="false">O1313</f>
        <v>0</v>
      </c>
      <c r="AH1313" s="61" t="n">
        <f aca="false">P1313</f>
        <v>0</v>
      </c>
      <c r="AI1313" s="61" t="n">
        <f aca="false">VLOOKUP(AH1313,recipe_ingred_list!$K$29:$M$34,3,0)</f>
        <v>3</v>
      </c>
      <c r="AJ1313" s="61" t="str">
        <f aca="false">IF(Q1313="","",Q1313)</f>
        <v/>
      </c>
      <c r="AK1313" s="61" t="n">
        <f aca="false">AK1312+1</f>
        <v>1313</v>
      </c>
      <c r="AL1313" s="61" t="e">
        <f aca="false">Y1313</f>
        <v>#N/A</v>
      </c>
      <c r="AM1313" s="81" t="e">
        <f aca="false">"a = Client().post('"&amp;W1313&amp;"', {'recipe' : '"&amp;V1313&amp;"', 'ingredient' : '"&amp;Z1313&amp;"', 'name' : '"&amp;X1313&amp;"', 'mass_unit' : '"&amp;AC1313&amp;"', 'mass_quantity' : '"&amp;ROUND(AA1313,3)&amp;"', 'volume_unit' : '"&amp;AF1313&amp;"', 'volume_quantity' : '"&amp;ROUND(AD1313,3)&amp;"', 'pieces_unit' : '"&amp;AI1313&amp;"', 'pieces_quantity' : '"&amp;ROUND(AG1313,3)&amp;"', 'cooking_notes' : '"&amp;AJ1313&amp;"'}).status_code; print('%s :: %s :: %s :: %s :: %s' %(a,"&amp;G1313&amp;",'"&amp;X1313&amp;"','"&amp;Y1313&amp;"','"&amp;U1313&amp;"'))"</f>
        <v>#N/A</v>
      </c>
    </row>
    <row r="1314" s="181" customFormat="true" ht="13.8" hidden="false" customHeight="false" outlineLevel="0" collapsed="false">
      <c r="A1314" s="0"/>
      <c r="B1314" s="0"/>
      <c r="C1314" s="0"/>
      <c r="D1314" s="0"/>
      <c r="E1314" s="0"/>
      <c r="F1314" s="0"/>
      <c r="G1314" s="80" t="n">
        <v>1314</v>
      </c>
      <c r="H1314" s="182"/>
      <c r="I1314" s="182" t="s">
        <v>223</v>
      </c>
      <c r="J1314" s="182" t="s">
        <v>419</v>
      </c>
      <c r="K1314" s="75"/>
      <c r="L1314" s="75"/>
      <c r="M1314" s="75" t="n">
        <v>0.5</v>
      </c>
      <c r="N1314" s="75" t="s">
        <v>13</v>
      </c>
      <c r="O1314" s="75"/>
      <c r="P1314" s="75"/>
      <c r="Q1314" s="183"/>
      <c r="R1314" s="82" t="str">
        <f aca="false">VLOOKUP(J1314,ingredient!$N$4:$O$553,2,0)</f>
        <v>kokam juice</v>
      </c>
      <c r="U1314" s="81" t="str">
        <f aca="false">I1314</f>
        <v>KOKAM</v>
      </c>
      <c r="V1314" s="81" t="n">
        <f aca="false">VLOOKUP(U1314,recipe_ingred_list!$A$2:$B$300,2,0)</f>
        <v>38</v>
      </c>
      <c r="W1314" s="81" t="str">
        <f aca="false">"/recipes/"&amp;VLOOKUP(U1314,recipe_ingred_list!$A$2:$C$300,3,0)&amp;"/detail/"</f>
        <v>/recipes/kokam/detail/</v>
      </c>
      <c r="X1314" s="81" t="str">
        <f aca="false">J1314</f>
        <v>kokam juice</v>
      </c>
      <c r="Y1314" s="81" t="str">
        <f aca="false">R1314</f>
        <v>kokam juice</v>
      </c>
      <c r="Z1314" s="94" t="n">
        <f aca="false">VLOOKUP(Y1314,recipe_ingred_list!$D$2:$E$500,2,0)</f>
        <v>124</v>
      </c>
      <c r="AA1314" s="61" t="n">
        <f aca="false">K1314</f>
        <v>0</v>
      </c>
      <c r="AB1314" s="61" t="n">
        <f aca="false">L1314</f>
        <v>0</v>
      </c>
      <c r="AC1314" s="61" t="n">
        <f aca="false">VLOOKUP(AB1314,recipe_ingred_list!$K$2:$M$7,3,0)</f>
        <v>2</v>
      </c>
      <c r="AD1314" s="61" t="n">
        <f aca="false">M1314</f>
        <v>0.5</v>
      </c>
      <c r="AE1314" s="61" t="str">
        <f aca="false">N1314</f>
        <v>ltr</v>
      </c>
      <c r="AF1314" s="61" t="n">
        <f aca="false">VLOOKUP(AE1314,recipe_ingred_list!$K$16:$M$25,3,0)</f>
        <v>1</v>
      </c>
      <c r="AG1314" s="61" t="n">
        <f aca="false">O1314</f>
        <v>0</v>
      </c>
      <c r="AH1314" s="61" t="n">
        <f aca="false">P1314</f>
        <v>0</v>
      </c>
      <c r="AI1314" s="61" t="n">
        <f aca="false">VLOOKUP(AH1314,recipe_ingred_list!$K$29:$M$34,3,0)</f>
        <v>3</v>
      </c>
      <c r="AJ1314" s="61" t="str">
        <f aca="false">IF(Q1314="","",Q1314)</f>
        <v/>
      </c>
      <c r="AK1314" s="61" t="n">
        <f aca="false">AK1313+1</f>
        <v>1314</v>
      </c>
      <c r="AL1314" s="61" t="str">
        <f aca="false">Y1314</f>
        <v>kokam juice</v>
      </c>
      <c r="AM1314" s="81" t="str">
        <f aca="false">"a = Client().post('"&amp;W1314&amp;"', {'recipe' : '"&amp;V1314&amp;"', 'ingredient' : '"&amp;Z1314&amp;"', 'name' : '"&amp;X1314&amp;"', 'mass_unit' : '"&amp;AC1314&amp;"', 'mass_quantity' : '"&amp;ROUND(AA1314,3)&amp;"', 'volume_unit' : '"&amp;AF1314&amp;"', 'volume_quantity' : '"&amp;ROUND(AD1314,3)&amp;"', 'pieces_unit' : '"&amp;AI1314&amp;"', 'pieces_quantity' : '"&amp;ROUND(AG1314,3)&amp;"', 'cooking_notes' : '"&amp;AJ1314&amp;"'}).status_code; print('%s :: %s :: %s :: %s :: %s' %(a,"&amp;G1314&amp;",'"&amp;X1314&amp;"','"&amp;Y1314&amp;"','"&amp;U1314&amp;"'))"</f>
        <v>a = Client().post('/recipes/kokam/detail/', {'recipe' : '38', 'ingredient' : '124', 'name' : 'kokam juice', 'mass_unit' : '2', 'mass_quantity' : '0', 'volume_unit' : '1', 'volume_quantity' : '0.5', 'pieces_unit' : '3', 'pieces_quantity' : '0', 'cooking_notes' : ''}).status_code; print('%s :: %s :: %s :: %s :: %s' %(a,1314,'kokam juice','kokam juice','KOKAM'))</v>
      </c>
      <c r="AMJ1314" s="0"/>
    </row>
    <row r="1315" s="181" customFormat="true" ht="13.8" hidden="false" customHeight="false" outlineLevel="0" collapsed="false">
      <c r="A1315" s="0"/>
      <c r="B1315" s="0"/>
      <c r="C1315" s="0"/>
      <c r="D1315" s="0"/>
      <c r="E1315" s="0"/>
      <c r="F1315" s="0"/>
      <c r="G1315" s="80" t="n">
        <v>1315</v>
      </c>
      <c r="H1315" s="182"/>
      <c r="I1315" s="182" t="s">
        <v>223</v>
      </c>
      <c r="J1315" s="182" t="s">
        <v>503</v>
      </c>
      <c r="K1315" s="75"/>
      <c r="L1315" s="75"/>
      <c r="M1315" s="75" t="n">
        <v>35</v>
      </c>
      <c r="N1315" s="75" t="s">
        <v>13</v>
      </c>
      <c r="O1315" s="75"/>
      <c r="P1315" s="75"/>
      <c r="Q1315" s="183"/>
      <c r="R1315" s="82" t="str">
        <f aca="false">VLOOKUP(J1315,ingredient!$N$4:$O$553,2,0)</f>
        <v>water</v>
      </c>
      <c r="U1315" s="81" t="str">
        <f aca="false">I1315</f>
        <v>KOKAM</v>
      </c>
      <c r="V1315" s="81" t="n">
        <f aca="false">VLOOKUP(U1315,recipe_ingred_list!$A$2:$B$300,2,0)</f>
        <v>38</v>
      </c>
      <c r="W1315" s="81" t="str">
        <f aca="false">"/recipes/"&amp;VLOOKUP(U1315,recipe_ingred_list!$A$2:$C$300,3,0)&amp;"/detail/"</f>
        <v>/recipes/kokam/detail/</v>
      </c>
      <c r="X1315" s="81" t="str">
        <f aca="false">J1315</f>
        <v>water</v>
      </c>
      <c r="Y1315" s="81" t="str">
        <f aca="false">R1315</f>
        <v>water</v>
      </c>
      <c r="Z1315" s="94" t="n">
        <f aca="false">VLOOKUP(Y1315,recipe_ingred_list!$D$2:$E$500,2,0)</f>
        <v>214</v>
      </c>
      <c r="AA1315" s="61" t="n">
        <f aca="false">K1315</f>
        <v>0</v>
      </c>
      <c r="AB1315" s="61" t="n">
        <f aca="false">L1315</f>
        <v>0</v>
      </c>
      <c r="AC1315" s="61" t="n">
        <f aca="false">VLOOKUP(AB1315,recipe_ingred_list!$K$2:$M$7,3,0)</f>
        <v>2</v>
      </c>
      <c r="AD1315" s="61" t="n">
        <f aca="false">M1315</f>
        <v>35</v>
      </c>
      <c r="AE1315" s="61" t="str">
        <f aca="false">N1315</f>
        <v>ltr</v>
      </c>
      <c r="AF1315" s="61" t="n">
        <f aca="false">VLOOKUP(AE1315,recipe_ingred_list!$K$16:$M$25,3,0)</f>
        <v>1</v>
      </c>
      <c r="AG1315" s="61" t="n">
        <f aca="false">O1315</f>
        <v>0</v>
      </c>
      <c r="AH1315" s="61" t="n">
        <f aca="false">P1315</f>
        <v>0</v>
      </c>
      <c r="AI1315" s="61" t="n">
        <f aca="false">VLOOKUP(AH1315,recipe_ingred_list!$K$29:$M$34,3,0)</f>
        <v>3</v>
      </c>
      <c r="AJ1315" s="61" t="str">
        <f aca="false">IF(Q1315="","",Q1315)</f>
        <v/>
      </c>
      <c r="AK1315" s="61" t="n">
        <f aca="false">AK1314+1</f>
        <v>1315</v>
      </c>
      <c r="AL1315" s="61" t="str">
        <f aca="false">Y1315</f>
        <v>water</v>
      </c>
      <c r="AM1315" s="81" t="str">
        <f aca="false">"a = Client().post('"&amp;W1315&amp;"', {'recipe' : '"&amp;V1315&amp;"', 'ingredient' : '"&amp;Z1315&amp;"', 'name' : '"&amp;X1315&amp;"', 'mass_unit' : '"&amp;AC1315&amp;"', 'mass_quantity' : '"&amp;ROUND(AA1315,3)&amp;"', 'volume_unit' : '"&amp;AF1315&amp;"', 'volume_quantity' : '"&amp;ROUND(AD1315,3)&amp;"', 'pieces_unit' : '"&amp;AI1315&amp;"', 'pieces_quantity' : '"&amp;ROUND(AG1315,3)&amp;"', 'cooking_notes' : '"&amp;AJ1315&amp;"'}).status_code; print('%s :: %s :: %s :: %s :: %s' %(a,"&amp;G1315&amp;",'"&amp;X1315&amp;"','"&amp;Y1315&amp;"','"&amp;U1315&amp;"'))"</f>
        <v>a = Client().post('/recipes/kokam/detail/', {'recipe' : '38', 'ingredient' : '214', 'name' : 'water', 'mass_unit' : '2', 'mass_quantity' : '0', 'volume_unit' : '1', 'volume_quantity' : '35', 'pieces_unit' : '3', 'pieces_quantity' : '0', 'cooking_notes' : ''}).status_code; print('%s :: %s :: %s :: %s :: %s' %(a,1315,'water','water','KOKAM'))</v>
      </c>
      <c r="AMJ1315" s="0"/>
    </row>
    <row r="1316" s="181" customFormat="true" ht="13.8" hidden="false" customHeight="false" outlineLevel="0" collapsed="false">
      <c r="A1316" s="0"/>
      <c r="B1316" s="0"/>
      <c r="C1316" s="0"/>
      <c r="D1316" s="0"/>
      <c r="E1316" s="0"/>
      <c r="F1316" s="0"/>
      <c r="G1316" s="80" t="n">
        <v>1316</v>
      </c>
      <c r="H1316" s="182"/>
      <c r="I1316" s="182" t="s">
        <v>223</v>
      </c>
      <c r="J1316" s="182" t="s">
        <v>44</v>
      </c>
      <c r="K1316" s="75" t="n">
        <v>3</v>
      </c>
      <c r="L1316" s="75" t="s">
        <v>7</v>
      </c>
      <c r="M1316" s="75"/>
      <c r="N1316" s="75"/>
      <c r="O1316" s="75"/>
      <c r="P1316" s="75"/>
      <c r="Q1316" s="183"/>
      <c r="R1316" s="82" t="str">
        <f aca="false">VLOOKUP(J1316,ingredient!$N$4:$O$553,2,0)</f>
        <v>sugar</v>
      </c>
      <c r="U1316" s="81" t="str">
        <f aca="false">I1316</f>
        <v>KOKAM</v>
      </c>
      <c r="V1316" s="81" t="n">
        <f aca="false">VLOOKUP(U1316,recipe_ingred_list!$A$2:$B$300,2,0)</f>
        <v>38</v>
      </c>
      <c r="W1316" s="81" t="str">
        <f aca="false">"/recipes/"&amp;VLOOKUP(U1316,recipe_ingred_list!$A$2:$C$300,3,0)&amp;"/detail/"</f>
        <v>/recipes/kokam/detail/</v>
      </c>
      <c r="X1316" s="81" t="str">
        <f aca="false">J1316</f>
        <v>sugar</v>
      </c>
      <c r="Y1316" s="81" t="str">
        <f aca="false">R1316</f>
        <v>sugar</v>
      </c>
      <c r="Z1316" s="94" t="n">
        <f aca="false">VLOOKUP(Y1316,recipe_ingred_list!$D$2:$E$500,2,0)</f>
        <v>187</v>
      </c>
      <c r="AA1316" s="61" t="n">
        <f aca="false">K1316</f>
        <v>3</v>
      </c>
      <c r="AB1316" s="61" t="str">
        <f aca="false">L1316</f>
        <v>kg</v>
      </c>
      <c r="AC1316" s="61" t="n">
        <f aca="false">VLOOKUP(AB1316,recipe_ingred_list!$K$2:$M$7,3,0)</f>
        <v>2</v>
      </c>
      <c r="AD1316" s="61" t="n">
        <f aca="false">M1316</f>
        <v>0</v>
      </c>
      <c r="AE1316" s="61" t="n">
        <f aca="false">N1316</f>
        <v>0</v>
      </c>
      <c r="AF1316" s="61" t="n">
        <f aca="false">VLOOKUP(AE1316,recipe_ingred_list!$K$16:$M$25,3,0)</f>
        <v>1</v>
      </c>
      <c r="AG1316" s="61" t="n">
        <f aca="false">O1316</f>
        <v>0</v>
      </c>
      <c r="AH1316" s="61" t="n">
        <f aca="false">P1316</f>
        <v>0</v>
      </c>
      <c r="AI1316" s="61" t="n">
        <f aca="false">VLOOKUP(AH1316,recipe_ingred_list!$K$29:$M$34,3,0)</f>
        <v>3</v>
      </c>
      <c r="AJ1316" s="61" t="str">
        <f aca="false">IF(Q1316="","",Q1316)</f>
        <v/>
      </c>
      <c r="AK1316" s="61" t="n">
        <f aca="false">AK1315+1</f>
        <v>1316</v>
      </c>
      <c r="AL1316" s="61" t="str">
        <f aca="false">Y1316</f>
        <v>sugar</v>
      </c>
      <c r="AM1316" s="81" t="str">
        <f aca="false">"a = Client().post('"&amp;W1316&amp;"', {'recipe' : '"&amp;V1316&amp;"', 'ingredient' : '"&amp;Z1316&amp;"', 'name' : '"&amp;X1316&amp;"', 'mass_unit' : '"&amp;AC1316&amp;"', 'mass_quantity' : '"&amp;ROUND(AA1316,3)&amp;"', 'volume_unit' : '"&amp;AF1316&amp;"', 'volume_quantity' : '"&amp;ROUND(AD1316,3)&amp;"', 'pieces_unit' : '"&amp;AI1316&amp;"', 'pieces_quantity' : '"&amp;ROUND(AG1316,3)&amp;"', 'cooking_notes' : '"&amp;AJ1316&amp;"'}).status_code; print('%s :: %s :: %s :: %s :: %s' %(a,"&amp;G1316&amp;",'"&amp;X1316&amp;"','"&amp;Y1316&amp;"','"&amp;U1316&amp;"'))"</f>
        <v>a = Client().post('/recipes/kokam/detail/', {'recipe' : '38', 'ingredient' : '187', 'name' : 'sugar', 'mass_unit' : '2', 'mass_quantity' : '3', 'volume_unit' : '1', 'volume_quantity' : '0', 'pieces_unit' : '3', 'pieces_quantity' : '0', 'cooking_notes' : ''}).status_code; print('%s :: %s :: %s :: %s :: %s' %(a,1316,'sugar','sugar','KOKAM'))</v>
      </c>
      <c r="AMJ1316" s="0"/>
    </row>
    <row r="1317" s="181" customFormat="true" ht="13.8" hidden="false" customHeight="false" outlineLevel="0" collapsed="false">
      <c r="A1317" s="0"/>
      <c r="B1317" s="0"/>
      <c r="C1317" s="0"/>
      <c r="D1317" s="0"/>
      <c r="E1317" s="0"/>
      <c r="F1317" s="0"/>
      <c r="G1317" s="80" t="n">
        <v>1317</v>
      </c>
      <c r="H1317" s="182"/>
      <c r="I1317" s="182" t="s">
        <v>223</v>
      </c>
      <c r="J1317" s="182" t="s">
        <v>207</v>
      </c>
      <c r="K1317" s="75"/>
      <c r="L1317" s="75"/>
      <c r="M1317" s="75" t="n">
        <v>0.75</v>
      </c>
      <c r="N1317" s="75" t="s">
        <v>20</v>
      </c>
      <c r="O1317" s="75"/>
      <c r="P1317" s="75"/>
      <c r="Q1317" s="183"/>
      <c r="R1317" s="82" t="str">
        <f aca="false">VLOOKUP(J1317,ingredient!$N$4:$O$553,2,0)</f>
        <v>black salt</v>
      </c>
      <c r="U1317" s="81" t="str">
        <f aca="false">I1317</f>
        <v>KOKAM</v>
      </c>
      <c r="V1317" s="81" t="n">
        <f aca="false">VLOOKUP(U1317,recipe_ingred_list!$A$2:$B$300,2,0)</f>
        <v>38</v>
      </c>
      <c r="W1317" s="81" t="str">
        <f aca="false">"/recipes/"&amp;VLOOKUP(U1317,recipe_ingred_list!$A$2:$C$300,3,0)&amp;"/detail/"</f>
        <v>/recipes/kokam/detail/</v>
      </c>
      <c r="X1317" s="81" t="str">
        <f aca="false">J1317</f>
        <v>black salt</v>
      </c>
      <c r="Y1317" s="81" t="str">
        <f aca="false">R1317</f>
        <v>black salt</v>
      </c>
      <c r="Z1317" s="94" t="n">
        <f aca="false">VLOOKUP(Y1317,recipe_ingred_list!$D$2:$E$500,2,0)</f>
        <v>32</v>
      </c>
      <c r="AA1317" s="61" t="n">
        <f aca="false">K1317</f>
        <v>0</v>
      </c>
      <c r="AB1317" s="61" t="n">
        <f aca="false">L1317</f>
        <v>0</v>
      </c>
      <c r="AC1317" s="61" t="n">
        <f aca="false">VLOOKUP(AB1317,recipe_ingred_list!$K$2:$M$7,3,0)</f>
        <v>2</v>
      </c>
      <c r="AD1317" s="61" t="n">
        <f aca="false">M1317</f>
        <v>0.75</v>
      </c>
      <c r="AE1317" s="61" t="str">
        <f aca="false">N1317</f>
        <v>cup</v>
      </c>
      <c r="AF1317" s="61" t="n">
        <f aca="false">VLOOKUP(AE1317,recipe_ingred_list!$K$16:$M$25,3,0)</f>
        <v>5</v>
      </c>
      <c r="AG1317" s="61" t="n">
        <f aca="false">O1317</f>
        <v>0</v>
      </c>
      <c r="AH1317" s="61" t="n">
        <f aca="false">P1317</f>
        <v>0</v>
      </c>
      <c r="AI1317" s="61" t="n">
        <f aca="false">VLOOKUP(AH1317,recipe_ingred_list!$K$29:$M$34,3,0)</f>
        <v>3</v>
      </c>
      <c r="AJ1317" s="61" t="str">
        <f aca="false">IF(Q1317="","",Q1317)</f>
        <v/>
      </c>
      <c r="AK1317" s="61" t="n">
        <f aca="false">AK1316+1</f>
        <v>1317</v>
      </c>
      <c r="AL1317" s="61" t="str">
        <f aca="false">Y1317</f>
        <v>black salt</v>
      </c>
      <c r="AM1317" s="81" t="str">
        <f aca="false">"a = Client().post('"&amp;W1317&amp;"', {'recipe' : '"&amp;V1317&amp;"', 'ingredient' : '"&amp;Z1317&amp;"', 'name' : '"&amp;X1317&amp;"', 'mass_unit' : '"&amp;AC1317&amp;"', 'mass_quantity' : '"&amp;ROUND(AA1317,3)&amp;"', 'volume_unit' : '"&amp;AF1317&amp;"', 'volume_quantity' : '"&amp;ROUND(AD1317,3)&amp;"', 'pieces_unit' : '"&amp;AI1317&amp;"', 'pieces_quantity' : '"&amp;ROUND(AG1317,3)&amp;"', 'cooking_notes' : '"&amp;AJ1317&amp;"'}).status_code; print('%s :: %s :: %s :: %s :: %s' %(a,"&amp;G1317&amp;",'"&amp;X1317&amp;"','"&amp;Y1317&amp;"','"&amp;U1317&amp;"'))"</f>
        <v>a = Client().post('/recipes/kokam/detail/', {'recipe' : '38', 'ingredient' : '32', 'name' : 'black salt', 'mass_unit' : '2', 'mass_quantity' : '0', 'volume_unit' : '5', 'volume_quantity' : '0.75', 'pieces_unit' : '3', 'pieces_quantity' : '0', 'cooking_notes' : ''}).status_code; print('%s :: %s :: %s :: %s :: %s' %(a,1317,'black salt','black salt','KOKAM'))</v>
      </c>
      <c r="AMJ1317" s="0"/>
    </row>
    <row r="1318" s="181" customFormat="true" ht="13.8" hidden="false" customHeight="false" outlineLevel="0" collapsed="false">
      <c r="A1318" s="0"/>
      <c r="B1318" s="0"/>
      <c r="C1318" s="0"/>
      <c r="D1318" s="0"/>
      <c r="E1318" s="0"/>
      <c r="F1318" s="0"/>
      <c r="G1318" s="80" t="n">
        <v>1318</v>
      </c>
      <c r="H1318" s="182"/>
      <c r="I1318" s="182" t="s">
        <v>223</v>
      </c>
      <c r="J1318" s="182" t="s">
        <v>399</v>
      </c>
      <c r="K1318" s="75"/>
      <c r="L1318" s="75"/>
      <c r="M1318" s="75" t="n">
        <v>0.5</v>
      </c>
      <c r="N1318" s="75" t="s">
        <v>20</v>
      </c>
      <c r="O1318" s="75"/>
      <c r="P1318" s="75"/>
      <c r="Q1318" s="183"/>
      <c r="R1318" s="82" t="str">
        <f aca="false">VLOOKUP(J1318,ingredient!$N$4:$O$553,2,0)</f>
        <v>jeera powder</v>
      </c>
      <c r="U1318" s="81" t="str">
        <f aca="false">I1318</f>
        <v>KOKAM</v>
      </c>
      <c r="V1318" s="81" t="n">
        <f aca="false">VLOOKUP(U1318,recipe_ingred_list!$A$2:$B$300,2,0)</f>
        <v>38</v>
      </c>
      <c r="W1318" s="81" t="str">
        <f aca="false">"/recipes/"&amp;VLOOKUP(U1318,recipe_ingred_list!$A$2:$C$300,3,0)&amp;"/detail/"</f>
        <v>/recipes/kokam/detail/</v>
      </c>
      <c r="X1318" s="81" t="str">
        <f aca="false">J1318</f>
        <v>jeera powder</v>
      </c>
      <c r="Y1318" s="81" t="str">
        <f aca="false">R1318</f>
        <v>jeera powder</v>
      </c>
      <c r="Z1318" s="94" t="n">
        <f aca="false">VLOOKUP(Y1318,recipe_ingred_list!$D$2:$E$500,2,0)</f>
        <v>103</v>
      </c>
      <c r="AA1318" s="61" t="n">
        <f aca="false">K1318</f>
        <v>0</v>
      </c>
      <c r="AB1318" s="61" t="n">
        <f aca="false">L1318</f>
        <v>0</v>
      </c>
      <c r="AC1318" s="61" t="n">
        <f aca="false">VLOOKUP(AB1318,recipe_ingred_list!$K$2:$M$7,3,0)</f>
        <v>2</v>
      </c>
      <c r="AD1318" s="61" t="n">
        <f aca="false">M1318</f>
        <v>0.5</v>
      </c>
      <c r="AE1318" s="61" t="str">
        <f aca="false">N1318</f>
        <v>cup</v>
      </c>
      <c r="AF1318" s="61" t="n">
        <f aca="false">VLOOKUP(AE1318,recipe_ingred_list!$K$16:$M$25,3,0)</f>
        <v>5</v>
      </c>
      <c r="AG1318" s="61" t="n">
        <f aca="false">O1318</f>
        <v>0</v>
      </c>
      <c r="AH1318" s="61" t="n">
        <f aca="false">P1318</f>
        <v>0</v>
      </c>
      <c r="AI1318" s="61" t="n">
        <f aca="false">VLOOKUP(AH1318,recipe_ingred_list!$K$29:$M$34,3,0)</f>
        <v>3</v>
      </c>
      <c r="AJ1318" s="61" t="str">
        <f aca="false">IF(Q1318="","",Q1318)</f>
        <v/>
      </c>
      <c r="AK1318" s="61" t="n">
        <f aca="false">AK1317+1</f>
        <v>1318</v>
      </c>
      <c r="AL1318" s="61" t="str">
        <f aca="false">Y1318</f>
        <v>jeera powder</v>
      </c>
      <c r="AM1318" s="81" t="str">
        <f aca="false">"a = Client().post('"&amp;W1318&amp;"', {'recipe' : '"&amp;V1318&amp;"', 'ingredient' : '"&amp;Z1318&amp;"', 'name' : '"&amp;X1318&amp;"', 'mass_unit' : '"&amp;AC1318&amp;"', 'mass_quantity' : '"&amp;ROUND(AA1318,3)&amp;"', 'volume_unit' : '"&amp;AF1318&amp;"', 'volume_quantity' : '"&amp;ROUND(AD1318,3)&amp;"', 'pieces_unit' : '"&amp;AI1318&amp;"', 'pieces_quantity' : '"&amp;ROUND(AG1318,3)&amp;"', 'cooking_notes' : '"&amp;AJ1318&amp;"'}).status_code; print('%s :: %s :: %s :: %s :: %s' %(a,"&amp;G1318&amp;",'"&amp;X1318&amp;"','"&amp;Y1318&amp;"','"&amp;U1318&amp;"'))"</f>
        <v>a = Client().post('/recipes/kokam/detail/', {'recipe' : '38', 'ingredient' : '103', 'name' : 'jeera powder', 'mass_unit' : '2', 'mass_quantity' : '0', 'volume_unit' : '5', 'volume_quantity' : '0.5', 'pieces_unit' : '3', 'pieces_quantity' : '0', 'cooking_notes' : ''}).status_code; print('%s :: %s :: %s :: %s :: %s' %(a,1318,'jeera powder','jeera powder','KOKAM'))</v>
      </c>
      <c r="AMJ1318" s="0"/>
    </row>
    <row r="1319" customFormat="false" ht="13.8" hidden="false" customHeight="false" outlineLevel="0" collapsed="false">
      <c r="G1319" s="80" t="n">
        <v>1319</v>
      </c>
      <c r="H1319" s="79"/>
      <c r="I1319" s="79"/>
      <c r="J1319" s="79"/>
      <c r="K1319" s="100"/>
      <c r="L1319" s="100"/>
      <c r="M1319" s="100"/>
      <c r="N1319" s="100"/>
      <c r="O1319" s="100"/>
      <c r="P1319" s="100"/>
      <c r="Q1319" s="102"/>
      <c r="R1319" s="99" t="e">
        <f aca="false">VLOOKUP(J1319,ingredient!$N$4:$O$553,2,0)</f>
        <v>#N/A</v>
      </c>
      <c r="S1319" s="98"/>
      <c r="T1319" s="98"/>
      <c r="U1319" s="81" t="n">
        <f aca="false">I1319</f>
        <v>0</v>
      </c>
      <c r="V1319" s="81" t="e">
        <f aca="false">VLOOKUP(U1319,recipe_ingred_list!$A$2:$B$300,2,0)</f>
        <v>#N/A</v>
      </c>
      <c r="W1319" s="81" t="e">
        <f aca="false">"/recipes/"&amp;VLOOKUP(U1319,recipe_ingred_list!$A$2:$C$300,3,0)&amp;"/detail/"</f>
        <v>#N/A</v>
      </c>
      <c r="X1319" s="81" t="n">
        <f aca="false">J1319</f>
        <v>0</v>
      </c>
      <c r="Y1319" s="81" t="e">
        <f aca="false">R1319</f>
        <v>#N/A</v>
      </c>
      <c r="Z1319" s="94" t="e">
        <f aca="false">VLOOKUP(Y1319,recipe_ingred_list!$D$2:$E$500,2,0)</f>
        <v>#N/A</v>
      </c>
      <c r="AA1319" s="61" t="n">
        <f aca="false">K1319</f>
        <v>0</v>
      </c>
      <c r="AB1319" s="61" t="n">
        <f aca="false">L1319</f>
        <v>0</v>
      </c>
      <c r="AC1319" s="61" t="n">
        <f aca="false">VLOOKUP(AB1319,recipe_ingred_list!$K$2:$M$7,3,0)</f>
        <v>2</v>
      </c>
      <c r="AD1319" s="61" t="n">
        <f aca="false">M1319</f>
        <v>0</v>
      </c>
      <c r="AE1319" s="61" t="n">
        <f aca="false">N1319</f>
        <v>0</v>
      </c>
      <c r="AF1319" s="61" t="n">
        <f aca="false">VLOOKUP(AE1319,recipe_ingred_list!$K$16:$M$25,3,0)</f>
        <v>1</v>
      </c>
      <c r="AG1319" s="61" t="n">
        <f aca="false">O1319</f>
        <v>0</v>
      </c>
      <c r="AH1319" s="61" t="n">
        <f aca="false">P1319</f>
        <v>0</v>
      </c>
      <c r="AI1319" s="61" t="n">
        <f aca="false">VLOOKUP(AH1319,recipe_ingred_list!$K$29:$M$34,3,0)</f>
        <v>3</v>
      </c>
      <c r="AJ1319" s="61" t="str">
        <f aca="false">IF(Q1319="","",Q1319)</f>
        <v/>
      </c>
      <c r="AK1319" s="61" t="n">
        <f aca="false">AK1318+1</f>
        <v>1319</v>
      </c>
      <c r="AL1319" s="61" t="e">
        <f aca="false">Y1319</f>
        <v>#N/A</v>
      </c>
      <c r="AM1319" s="81" t="e">
        <f aca="false">"a = Client().post('"&amp;W1319&amp;"', {'recipe' : '"&amp;V1319&amp;"', 'ingredient' : '"&amp;Z1319&amp;"', 'name' : '"&amp;X1319&amp;"', 'mass_unit' : '"&amp;AC1319&amp;"', 'mass_quantity' : '"&amp;ROUND(AA1319,3)&amp;"', 'volume_unit' : '"&amp;AF1319&amp;"', 'volume_quantity' : '"&amp;ROUND(AD1319,3)&amp;"', 'pieces_unit' : '"&amp;AI1319&amp;"', 'pieces_quantity' : '"&amp;ROUND(AG1319,3)&amp;"', 'cooking_notes' : '"&amp;AJ1319&amp;"'}).status_code; print('%s :: %s :: %s :: %s :: %s' %(a,"&amp;G1319&amp;",'"&amp;X1319&amp;"','"&amp;Y1319&amp;"','"&amp;U1319&amp;"'))"</f>
        <v>#N/A</v>
      </c>
    </row>
    <row r="1320" s="181" customFormat="true" ht="13.8" hidden="false" customHeight="false" outlineLevel="0" collapsed="false">
      <c r="A1320" s="0"/>
      <c r="B1320" s="0"/>
      <c r="C1320" s="0"/>
      <c r="D1320" s="0"/>
      <c r="E1320" s="0"/>
      <c r="F1320" s="0"/>
      <c r="G1320" s="80" t="n">
        <v>1320</v>
      </c>
      <c r="H1320" s="182"/>
      <c r="I1320" s="182" t="s">
        <v>283</v>
      </c>
      <c r="J1320" s="182" t="s">
        <v>280</v>
      </c>
      <c r="K1320" s="75"/>
      <c r="L1320" s="75"/>
      <c r="M1320" s="75"/>
      <c r="N1320" s="75"/>
      <c r="O1320" s="75" t="n">
        <v>400</v>
      </c>
      <c r="P1320" s="75" t="s">
        <v>107</v>
      </c>
      <c r="Q1320" s="183"/>
      <c r="R1320" s="82" t="str">
        <f aca="false">VLOOKUP(J1320,ingredient!$N$4:$O$553,2,0)</f>
        <v>pav</v>
      </c>
      <c r="U1320" s="81" t="str">
        <f aca="false">I1320</f>
        <v>PAV - HERBAL TEA</v>
      </c>
      <c r="V1320" s="81" t="n">
        <f aca="false">VLOOKUP(U1320,recipe_ingred_list!$A$2:$B$300,2,0)</f>
        <v>58</v>
      </c>
      <c r="W1320" s="81" t="str">
        <f aca="false">"/recipes/"&amp;VLOOKUP(U1320,recipe_ingred_list!$A$2:$C$300,3,0)&amp;"/detail/"</f>
        <v>/recipes/pav-herbal-tea/detail/</v>
      </c>
      <c r="X1320" s="81" t="str">
        <f aca="false">J1320</f>
        <v>PAV</v>
      </c>
      <c r="Y1320" s="81" t="str">
        <f aca="false">R1320</f>
        <v>pav</v>
      </c>
      <c r="Z1320" s="94" t="n">
        <f aca="false">VLOOKUP(Y1320,recipe_ingred_list!$D$2:$E$500,2,0)</f>
        <v>159</v>
      </c>
      <c r="AA1320" s="61" t="n">
        <f aca="false">K1320</f>
        <v>0</v>
      </c>
      <c r="AB1320" s="61" t="n">
        <f aca="false">L1320</f>
        <v>0</v>
      </c>
      <c r="AC1320" s="61" t="n">
        <f aca="false">VLOOKUP(AB1320,recipe_ingred_list!$K$2:$M$7,3,0)</f>
        <v>2</v>
      </c>
      <c r="AD1320" s="61" t="n">
        <f aca="false">M1320</f>
        <v>0</v>
      </c>
      <c r="AE1320" s="61" t="n">
        <f aca="false">N1320</f>
        <v>0</v>
      </c>
      <c r="AF1320" s="61" t="n">
        <f aca="false">VLOOKUP(AE1320,recipe_ingred_list!$K$16:$M$25,3,0)</f>
        <v>1</v>
      </c>
      <c r="AG1320" s="61" t="n">
        <f aca="false">O1320</f>
        <v>400</v>
      </c>
      <c r="AH1320" s="61" t="str">
        <f aca="false">P1320</f>
        <v>pcs</v>
      </c>
      <c r="AI1320" s="61" t="n">
        <f aca="false">VLOOKUP(AH1320,recipe_ingred_list!$K$29:$M$34,3,0)</f>
        <v>3</v>
      </c>
      <c r="AJ1320" s="61" t="str">
        <f aca="false">IF(Q1320="","",Q1320)</f>
        <v/>
      </c>
      <c r="AK1320" s="61" t="n">
        <f aca="false">AK1319+1</f>
        <v>1320</v>
      </c>
      <c r="AL1320" s="61" t="str">
        <f aca="false">Y1320</f>
        <v>pav</v>
      </c>
      <c r="AM1320" s="81" t="str">
        <f aca="false">"a = Client().post('"&amp;W1320&amp;"', {'recipe' : '"&amp;V1320&amp;"', 'ingredient' : '"&amp;Z1320&amp;"', 'name' : '"&amp;X1320&amp;"', 'mass_unit' : '"&amp;AC1320&amp;"', 'mass_quantity' : '"&amp;ROUND(AA1320,3)&amp;"', 'volume_unit' : '"&amp;AF1320&amp;"', 'volume_quantity' : '"&amp;ROUND(AD1320,3)&amp;"', 'pieces_unit' : '"&amp;AI1320&amp;"', 'pieces_quantity' : '"&amp;ROUND(AG1320,3)&amp;"', 'cooking_notes' : '"&amp;AJ1320&amp;"'}).status_code; print('%s :: %s :: %s :: %s :: %s' %(a,"&amp;G1320&amp;",'"&amp;X1320&amp;"','"&amp;Y1320&amp;"','"&amp;U1320&amp;"'))"</f>
        <v>a = Client().post('/recipes/pav-herbal-tea/detail/', {'recipe' : '58', 'ingredient' : '159', 'name' : 'PAV', 'mass_unit' : '2', 'mass_quantity' : '0', 'volume_unit' : '1', 'volume_quantity' : '0', 'pieces_unit' : '3', 'pieces_quantity' : '400', 'cooking_notes' : ''}).status_code; print('%s :: %s :: %s :: %s :: %s' %(a,1320,'PAV','pav','PAV - HERBAL TEA'))</v>
      </c>
      <c r="AMJ1320" s="0"/>
    </row>
    <row r="1321" s="181" customFormat="true" ht="13.8" hidden="false" customHeight="false" outlineLevel="0" collapsed="false">
      <c r="A1321" s="0"/>
      <c r="B1321" s="0"/>
      <c r="C1321" s="0"/>
      <c r="D1321" s="0"/>
      <c r="E1321" s="0"/>
      <c r="F1321" s="0"/>
      <c r="G1321" s="80" t="n">
        <v>1321</v>
      </c>
      <c r="H1321" s="182"/>
      <c r="I1321" s="182" t="s">
        <v>286</v>
      </c>
      <c r="J1321" s="182" t="s">
        <v>926</v>
      </c>
      <c r="K1321" s="75"/>
      <c r="L1321" s="75"/>
      <c r="M1321" s="75" t="n">
        <v>60</v>
      </c>
      <c r="N1321" s="75" t="s">
        <v>13</v>
      </c>
      <c r="O1321" s="75"/>
      <c r="P1321" s="75"/>
      <c r="Q1321" s="183"/>
      <c r="R1321" s="82" t="str">
        <f aca="false">VLOOKUP(J1321,ingredient!$N$4:$O$553,2,0)</f>
        <v>herbal tea powder</v>
      </c>
      <c r="U1321" s="81" t="str">
        <f aca="false">I1321</f>
        <v>Pav Bhaji</v>
      </c>
      <c r="V1321" s="81" t="n">
        <f aca="false">VLOOKUP(U1321,recipe_ingred_list!$A$2:$B$300,2,0)</f>
        <v>59</v>
      </c>
      <c r="W1321" s="81" t="str">
        <f aca="false">"/recipes/"&amp;VLOOKUP(U1321,recipe_ingred_list!$A$2:$C$300,3,0)&amp;"/detail/"</f>
        <v>/recipes/pav-bhaji/detail/</v>
      </c>
      <c r="X1321" s="81" t="str">
        <f aca="false">J1321</f>
        <v>herbal tea</v>
      </c>
      <c r="Y1321" s="81" t="str">
        <f aca="false">R1321</f>
        <v>herbal tea powder</v>
      </c>
      <c r="Z1321" s="94" t="n">
        <f aca="false">VLOOKUP(Y1321,recipe_ingred_list!$D$2:$E$500,2,0)</f>
        <v>94</v>
      </c>
      <c r="AA1321" s="61" t="n">
        <f aca="false">K1321</f>
        <v>0</v>
      </c>
      <c r="AB1321" s="61" t="n">
        <f aca="false">L1321</f>
        <v>0</v>
      </c>
      <c r="AC1321" s="61" t="n">
        <f aca="false">VLOOKUP(AB1321,recipe_ingred_list!$K$2:$M$7,3,0)</f>
        <v>2</v>
      </c>
      <c r="AD1321" s="61" t="n">
        <f aca="false">M1321</f>
        <v>60</v>
      </c>
      <c r="AE1321" s="61" t="str">
        <f aca="false">N1321</f>
        <v>ltr</v>
      </c>
      <c r="AF1321" s="61" t="n">
        <f aca="false">VLOOKUP(AE1321,recipe_ingred_list!$K$16:$M$25,3,0)</f>
        <v>1</v>
      </c>
      <c r="AG1321" s="61" t="n">
        <f aca="false">O1321</f>
        <v>0</v>
      </c>
      <c r="AH1321" s="61" t="n">
        <f aca="false">P1321</f>
        <v>0</v>
      </c>
      <c r="AI1321" s="61" t="n">
        <f aca="false">VLOOKUP(AH1321,recipe_ingred_list!$K$29:$M$34,3,0)</f>
        <v>3</v>
      </c>
      <c r="AJ1321" s="61" t="str">
        <f aca="false">IF(Q1321="","",Q1321)</f>
        <v/>
      </c>
      <c r="AK1321" s="61" t="n">
        <f aca="false">AK1320+1</f>
        <v>1321</v>
      </c>
      <c r="AL1321" s="61" t="str">
        <f aca="false">Y1321</f>
        <v>herbal tea powder</v>
      </c>
      <c r="AM1321" s="81" t="str">
        <f aca="false">"a = Client().post('"&amp;W1321&amp;"', {'recipe' : '"&amp;V1321&amp;"', 'ingredient' : '"&amp;Z1321&amp;"', 'name' : '"&amp;X1321&amp;"', 'mass_unit' : '"&amp;AC1321&amp;"', 'mass_quantity' : '"&amp;ROUND(AA1321,3)&amp;"', 'volume_unit' : '"&amp;AF1321&amp;"', 'volume_quantity' : '"&amp;ROUND(AD1321,3)&amp;"', 'pieces_unit' : '"&amp;AI1321&amp;"', 'pieces_quantity' : '"&amp;ROUND(AG1321,3)&amp;"', 'cooking_notes' : '"&amp;AJ1321&amp;"'}).status_code; print('%s :: %s :: %s :: %s :: %s' %(a,"&amp;G1321&amp;",'"&amp;X1321&amp;"','"&amp;Y1321&amp;"','"&amp;U1321&amp;"'))"</f>
        <v>a = Client().post('/recipes/pav-bhaji/detail/', {'recipe' : '59', 'ingredient' : '94', 'name' : 'herbal tea', 'mass_unit' : '2', 'mass_quantity' : '0', 'volume_unit' : '1', 'volume_quantity' : '60', 'pieces_unit' : '3', 'pieces_quantity' : '0', 'cooking_notes' : ''}).status_code; print('%s :: %s :: %s :: %s :: %s' %(a,1321,'herbal tea','herbal tea powder','Pav Bhaji'))</v>
      </c>
      <c r="AMJ1321" s="0"/>
    </row>
    <row r="1322" customFormat="false" ht="13.8" hidden="false" customHeight="false" outlineLevel="0" collapsed="false">
      <c r="G1322" s="80" t="n">
        <v>1322</v>
      </c>
      <c r="H1322" s="79"/>
      <c r="I1322" s="79"/>
      <c r="J1322" s="79"/>
      <c r="K1322" s="100"/>
      <c r="L1322" s="100"/>
      <c r="M1322" s="100"/>
      <c r="N1322" s="100"/>
      <c r="O1322" s="100"/>
      <c r="P1322" s="100"/>
      <c r="Q1322" s="102"/>
      <c r="R1322" s="99" t="e">
        <f aca="false">VLOOKUP(J1322,ingredient!$N$4:$O$553,2,0)</f>
        <v>#N/A</v>
      </c>
      <c r="S1322" s="98"/>
      <c r="T1322" s="98"/>
      <c r="U1322" s="81" t="n">
        <f aca="false">I1322</f>
        <v>0</v>
      </c>
      <c r="V1322" s="81" t="e">
        <f aca="false">VLOOKUP(U1322,recipe_ingred_list!$A$2:$B$300,2,0)</f>
        <v>#N/A</v>
      </c>
      <c r="W1322" s="81" t="e">
        <f aca="false">"/recipes/"&amp;VLOOKUP(U1322,recipe_ingred_list!$A$2:$C$300,3,0)&amp;"/detail/"</f>
        <v>#N/A</v>
      </c>
      <c r="X1322" s="81" t="n">
        <f aca="false">J1322</f>
        <v>0</v>
      </c>
      <c r="Y1322" s="81" t="e">
        <f aca="false">R1322</f>
        <v>#N/A</v>
      </c>
      <c r="Z1322" s="94" t="e">
        <f aca="false">VLOOKUP(Y1322,recipe_ingred_list!$D$2:$E$500,2,0)</f>
        <v>#N/A</v>
      </c>
      <c r="AA1322" s="61" t="n">
        <f aca="false">K1322</f>
        <v>0</v>
      </c>
      <c r="AB1322" s="61" t="n">
        <f aca="false">L1322</f>
        <v>0</v>
      </c>
      <c r="AC1322" s="61" t="n">
        <f aca="false">VLOOKUP(AB1322,recipe_ingred_list!$K$2:$M$7,3,0)</f>
        <v>2</v>
      </c>
      <c r="AD1322" s="61" t="n">
        <f aca="false">M1322</f>
        <v>0</v>
      </c>
      <c r="AE1322" s="61" t="n">
        <f aca="false">N1322</f>
        <v>0</v>
      </c>
      <c r="AF1322" s="61" t="n">
        <f aca="false">VLOOKUP(AE1322,recipe_ingred_list!$K$16:$M$25,3,0)</f>
        <v>1</v>
      </c>
      <c r="AG1322" s="61" t="n">
        <f aca="false">O1322</f>
        <v>0</v>
      </c>
      <c r="AH1322" s="61" t="n">
        <f aca="false">P1322</f>
        <v>0</v>
      </c>
      <c r="AI1322" s="61" t="n">
        <f aca="false">VLOOKUP(AH1322,recipe_ingred_list!$K$29:$M$34,3,0)</f>
        <v>3</v>
      </c>
      <c r="AJ1322" s="61" t="str">
        <f aca="false">IF(Q1322="","",Q1322)</f>
        <v/>
      </c>
      <c r="AK1322" s="61" t="n">
        <f aca="false">AK1321+1</f>
        <v>1322</v>
      </c>
      <c r="AL1322" s="61" t="e">
        <f aca="false">Y1322</f>
        <v>#N/A</v>
      </c>
      <c r="AM1322" s="81" t="e">
        <f aca="false">"a = Client().post('"&amp;W1322&amp;"', {'recipe' : '"&amp;V1322&amp;"', 'ingredient' : '"&amp;Z1322&amp;"', 'name' : '"&amp;X1322&amp;"', 'mass_unit' : '"&amp;AC1322&amp;"', 'mass_quantity' : '"&amp;ROUND(AA1322,3)&amp;"', 'volume_unit' : '"&amp;AF1322&amp;"', 'volume_quantity' : '"&amp;ROUND(AD1322,3)&amp;"', 'pieces_unit' : '"&amp;AI1322&amp;"', 'pieces_quantity' : '"&amp;ROUND(AG1322,3)&amp;"', 'cooking_notes' : '"&amp;AJ1322&amp;"'}).status_code; print('%s :: %s :: %s :: %s :: %s' %(a,"&amp;G1322&amp;",'"&amp;X1322&amp;"','"&amp;Y1322&amp;"','"&amp;U1322&amp;"'))"</f>
        <v>#N/A</v>
      </c>
    </row>
    <row r="1323" s="181" customFormat="true" ht="13.8" hidden="false" customHeight="false" outlineLevel="0" collapsed="false">
      <c r="A1323" s="0"/>
      <c r="B1323" s="0"/>
      <c r="C1323" s="0"/>
      <c r="D1323" s="0"/>
      <c r="E1323" s="0"/>
      <c r="F1323" s="0"/>
      <c r="G1323" s="80" t="n">
        <v>1323</v>
      </c>
      <c r="H1323" s="182"/>
      <c r="I1323" s="182" t="s">
        <v>313</v>
      </c>
      <c r="J1323" s="182" t="s">
        <v>927</v>
      </c>
      <c r="K1323" s="75"/>
      <c r="L1323" s="75"/>
      <c r="M1323" s="75" t="n">
        <v>3</v>
      </c>
      <c r="N1323" s="75" t="s">
        <v>13</v>
      </c>
      <c r="O1323" s="75"/>
      <c r="P1323" s="75"/>
      <c r="Q1323" s="183"/>
      <c r="R1323" s="82" t="str">
        <f aca="false">VLOOKUP(J1323,ingredient!$N$4:$O$553,2,0)</f>
        <v>rose water</v>
      </c>
      <c r="U1323" s="81" t="str">
        <f aca="false">I1323</f>
        <v>ROSE  LEMON SABJA</v>
      </c>
      <c r="V1323" s="81" t="n">
        <f aca="false">VLOOKUP(U1323,recipe_ingred_list!$A$2:$B$300,2,0)</f>
        <v>68</v>
      </c>
      <c r="W1323" s="81" t="str">
        <f aca="false">"/recipes/"&amp;VLOOKUP(U1323,recipe_ingred_list!$A$2:$C$300,3,0)&amp;"/detail/"</f>
        <v>/recipes/rose-lemon-sabja/detail/</v>
      </c>
      <c r="X1323" s="81" t="str">
        <f aca="false">J1323</f>
        <v>ROSE WATER</v>
      </c>
      <c r="Y1323" s="81" t="str">
        <f aca="false">R1323</f>
        <v>rose water</v>
      </c>
      <c r="Z1323" s="94" t="n">
        <f aca="false">VLOOKUP(Y1323,recipe_ingred_list!$D$2:$E$500,2,0)</f>
        <v>174</v>
      </c>
      <c r="AA1323" s="61" t="n">
        <f aca="false">K1323</f>
        <v>0</v>
      </c>
      <c r="AB1323" s="61" t="n">
        <f aca="false">L1323</f>
        <v>0</v>
      </c>
      <c r="AC1323" s="61" t="n">
        <f aca="false">VLOOKUP(AB1323,recipe_ingred_list!$K$2:$M$7,3,0)</f>
        <v>2</v>
      </c>
      <c r="AD1323" s="61" t="n">
        <f aca="false">M1323</f>
        <v>3</v>
      </c>
      <c r="AE1323" s="61" t="str">
        <f aca="false">N1323</f>
        <v>ltr</v>
      </c>
      <c r="AF1323" s="61" t="n">
        <f aca="false">VLOOKUP(AE1323,recipe_ingred_list!$K$16:$M$25,3,0)</f>
        <v>1</v>
      </c>
      <c r="AG1323" s="61" t="n">
        <f aca="false">O1323</f>
        <v>0</v>
      </c>
      <c r="AH1323" s="61" t="n">
        <f aca="false">P1323</f>
        <v>0</v>
      </c>
      <c r="AI1323" s="61" t="n">
        <f aca="false">VLOOKUP(AH1323,recipe_ingred_list!$K$29:$M$34,3,0)</f>
        <v>3</v>
      </c>
      <c r="AJ1323" s="61" t="str">
        <f aca="false">IF(Q1323="","",Q1323)</f>
        <v/>
      </c>
      <c r="AK1323" s="61" t="n">
        <f aca="false">AK1322+1</f>
        <v>1323</v>
      </c>
      <c r="AL1323" s="61" t="str">
        <f aca="false">Y1323</f>
        <v>rose water</v>
      </c>
      <c r="AM1323" s="81" t="str">
        <f aca="false">"a = Client().post('"&amp;W1323&amp;"', {'recipe' : '"&amp;V1323&amp;"', 'ingredient' : '"&amp;Z1323&amp;"', 'name' : '"&amp;X1323&amp;"', 'mass_unit' : '"&amp;AC1323&amp;"', 'mass_quantity' : '"&amp;ROUND(AA1323,3)&amp;"', 'volume_unit' : '"&amp;AF1323&amp;"', 'volume_quantity' : '"&amp;ROUND(AD1323,3)&amp;"', 'pieces_unit' : '"&amp;AI1323&amp;"', 'pieces_quantity' : '"&amp;ROUND(AG1323,3)&amp;"', 'cooking_notes' : '"&amp;AJ1323&amp;"'}).status_code; print('%s :: %s :: %s :: %s :: %s' %(a,"&amp;G1323&amp;",'"&amp;X1323&amp;"','"&amp;Y1323&amp;"','"&amp;U1323&amp;"'))"</f>
        <v>a = Client().post('/recipes/rose-lemon-sabja/detail/', {'recipe' : '68', 'ingredient' : '174', 'name' : 'ROSE WATER', 'mass_unit' : '2', 'mass_quantity' : '0', 'volume_unit' : '1', 'volume_quantity' : '3', 'pieces_unit' : '3', 'pieces_quantity' : '0', 'cooking_notes' : ''}).status_code; print('%s :: %s :: %s :: %s :: %s' %(a,1323,'ROSE WATER','rose water','ROSE  LEMON SABJA'))</v>
      </c>
      <c r="AMJ1323" s="0"/>
    </row>
    <row r="1324" s="181" customFormat="true" ht="13.8" hidden="false" customHeight="false" outlineLevel="0" collapsed="false">
      <c r="A1324" s="0"/>
      <c r="B1324" s="0"/>
      <c r="C1324" s="0"/>
      <c r="D1324" s="0"/>
      <c r="E1324" s="0"/>
      <c r="F1324" s="0"/>
      <c r="G1324" s="80" t="n">
        <v>1324</v>
      </c>
      <c r="H1324" s="182"/>
      <c r="I1324" s="182" t="s">
        <v>313</v>
      </c>
      <c r="J1324" s="182" t="s">
        <v>928</v>
      </c>
      <c r="K1324" s="75"/>
      <c r="L1324" s="75"/>
      <c r="M1324" s="75" t="n">
        <v>1</v>
      </c>
      <c r="N1324" s="75" t="s">
        <v>20</v>
      </c>
      <c r="O1324" s="75"/>
      <c r="P1324" s="75"/>
      <c r="Q1324" s="183"/>
      <c r="R1324" s="82" t="str">
        <f aca="false">VLOOKUP(J1324,ingredient!$N$4:$O$553,2,0)</f>
        <v>lemon</v>
      </c>
      <c r="U1324" s="81" t="str">
        <f aca="false">I1324</f>
        <v>ROSE  LEMON SABJA</v>
      </c>
      <c r="V1324" s="81" t="n">
        <f aca="false">VLOOKUP(U1324,recipe_ingred_list!$A$2:$B$300,2,0)</f>
        <v>68</v>
      </c>
      <c r="W1324" s="81" t="str">
        <f aca="false">"/recipes/"&amp;VLOOKUP(U1324,recipe_ingred_list!$A$2:$C$300,3,0)&amp;"/detail/"</f>
        <v>/recipes/rose-lemon-sabja/detail/</v>
      </c>
      <c r="X1324" s="81" t="str">
        <f aca="false">J1324</f>
        <v>LEMON</v>
      </c>
      <c r="Y1324" s="81" t="str">
        <f aca="false">R1324</f>
        <v>lemon</v>
      </c>
      <c r="Z1324" s="94" t="n">
        <f aca="false">VLOOKUP(Y1324,recipe_ingred_list!$D$2:$E$500,2,0)</f>
        <v>129</v>
      </c>
      <c r="AA1324" s="61" t="n">
        <f aca="false">K1324</f>
        <v>0</v>
      </c>
      <c r="AB1324" s="61" t="n">
        <f aca="false">L1324</f>
        <v>0</v>
      </c>
      <c r="AC1324" s="61" t="n">
        <f aca="false">VLOOKUP(AB1324,recipe_ingred_list!$K$2:$M$7,3,0)</f>
        <v>2</v>
      </c>
      <c r="AD1324" s="61" t="n">
        <f aca="false">M1324</f>
        <v>1</v>
      </c>
      <c r="AE1324" s="61" t="str">
        <f aca="false">N1324</f>
        <v>cup</v>
      </c>
      <c r="AF1324" s="61" t="n">
        <f aca="false">VLOOKUP(AE1324,recipe_ingred_list!$K$16:$M$25,3,0)</f>
        <v>5</v>
      </c>
      <c r="AG1324" s="61" t="n">
        <f aca="false">O1324</f>
        <v>0</v>
      </c>
      <c r="AH1324" s="61" t="n">
        <f aca="false">P1324</f>
        <v>0</v>
      </c>
      <c r="AI1324" s="61" t="n">
        <f aca="false">VLOOKUP(AH1324,recipe_ingred_list!$K$29:$M$34,3,0)</f>
        <v>3</v>
      </c>
      <c r="AJ1324" s="61" t="str">
        <f aca="false">IF(Q1324="","",Q1324)</f>
        <v/>
      </c>
      <c r="AK1324" s="61" t="n">
        <f aca="false">AK1323+1</f>
        <v>1324</v>
      </c>
      <c r="AL1324" s="61" t="str">
        <f aca="false">Y1324</f>
        <v>lemon</v>
      </c>
      <c r="AM1324" s="81" t="str">
        <f aca="false">"a = Client().post('"&amp;W1324&amp;"', {'recipe' : '"&amp;V1324&amp;"', 'ingredient' : '"&amp;Z1324&amp;"', 'name' : '"&amp;X1324&amp;"', 'mass_unit' : '"&amp;AC1324&amp;"', 'mass_quantity' : '"&amp;ROUND(AA1324,3)&amp;"', 'volume_unit' : '"&amp;AF1324&amp;"', 'volume_quantity' : '"&amp;ROUND(AD1324,3)&amp;"', 'pieces_unit' : '"&amp;AI1324&amp;"', 'pieces_quantity' : '"&amp;ROUND(AG1324,3)&amp;"', 'cooking_notes' : '"&amp;AJ1324&amp;"'}).status_code; print('%s :: %s :: %s :: %s :: %s' %(a,"&amp;G1324&amp;",'"&amp;X1324&amp;"','"&amp;Y1324&amp;"','"&amp;U1324&amp;"'))"</f>
        <v>a = Client().post('/recipes/rose-lemon-sabja/detail/', {'recipe' : '68', 'ingredient' : '129', 'name' : 'LEMON', 'mass_unit' : '2', 'mass_quantity' : '0', 'volume_unit' : '5', 'volume_quantity' : '1', 'pieces_unit' : '3', 'pieces_quantity' : '0', 'cooking_notes' : ''}).status_code; print('%s :: %s :: %s :: %s :: %s' %(a,1324,'LEMON','lemon','ROSE  LEMON SABJA'))</v>
      </c>
      <c r="AMJ1324" s="0"/>
    </row>
    <row r="1325" s="181" customFormat="true" ht="13.8" hidden="false" customHeight="false" outlineLevel="0" collapsed="false">
      <c r="A1325" s="0"/>
      <c r="B1325" s="0"/>
      <c r="C1325" s="0"/>
      <c r="D1325" s="0"/>
      <c r="E1325" s="0"/>
      <c r="F1325" s="0"/>
      <c r="G1325" s="80" t="n">
        <v>1325</v>
      </c>
      <c r="H1325" s="182"/>
      <c r="I1325" s="182" t="s">
        <v>313</v>
      </c>
      <c r="J1325" s="182" t="s">
        <v>929</v>
      </c>
      <c r="K1325" s="0"/>
      <c r="L1325" s="0"/>
      <c r="M1325" s="75" t="n">
        <v>1</v>
      </c>
      <c r="N1325" s="75" t="s">
        <v>930</v>
      </c>
      <c r="O1325" s="75"/>
      <c r="P1325" s="75"/>
      <c r="Q1325" s="183"/>
      <c r="R1325" s="82" t="str">
        <f aca="false">VLOOKUP(J1325,ingredient!$N$4:$O$553,2,0)</f>
        <v>sabja</v>
      </c>
      <c r="U1325" s="81" t="str">
        <f aca="false">I1325</f>
        <v>ROSE  LEMON SABJA</v>
      </c>
      <c r="V1325" s="81" t="n">
        <f aca="false">VLOOKUP(U1325,recipe_ingred_list!$A$2:$B$300,2,0)</f>
        <v>68</v>
      </c>
      <c r="W1325" s="81" t="str">
        <f aca="false">"/recipes/"&amp;VLOOKUP(U1325,recipe_ingred_list!$A$2:$C$300,3,0)&amp;"/detail/"</f>
        <v>/recipes/rose-lemon-sabja/detail/</v>
      </c>
      <c r="X1325" s="81" t="str">
        <f aca="false">J1325</f>
        <v>SABJA</v>
      </c>
      <c r="Y1325" s="81" t="str">
        <f aca="false">R1325</f>
        <v>sabja</v>
      </c>
      <c r="Z1325" s="94" t="n">
        <f aca="false">VLOOKUP(Y1325,recipe_ingred_list!$D$2:$E$500,2,0)</f>
        <v>175</v>
      </c>
      <c r="AA1325" s="61" t="n">
        <f aca="false">K1325</f>
        <v>0</v>
      </c>
      <c r="AB1325" s="61" t="n">
        <f aca="false">L1325</f>
        <v>0</v>
      </c>
      <c r="AC1325" s="61" t="n">
        <f aca="false">VLOOKUP(AB1325,recipe_ingred_list!$K$2:$M$7,3,0)</f>
        <v>2</v>
      </c>
      <c r="AD1325" s="61" t="n">
        <f aca="false">M1325</f>
        <v>1</v>
      </c>
      <c r="AE1325" s="61" t="str">
        <f aca="false">N1325</f>
        <v>MUTTHI</v>
      </c>
      <c r="AF1325" s="61" t="n">
        <f aca="false">VLOOKUP(AE1325,recipe_ingred_list!$K$16:$M$25,3,0)</f>
        <v>9</v>
      </c>
      <c r="AG1325" s="61" t="n">
        <f aca="false">O1325</f>
        <v>0</v>
      </c>
      <c r="AH1325" s="61" t="n">
        <f aca="false">P1325</f>
        <v>0</v>
      </c>
      <c r="AI1325" s="61" t="n">
        <f aca="false">VLOOKUP(AH1325,recipe_ingred_list!$K$29:$M$34,3,0)</f>
        <v>3</v>
      </c>
      <c r="AJ1325" s="61" t="str">
        <f aca="false">IF(Q1325="","",Q1325)</f>
        <v/>
      </c>
      <c r="AK1325" s="61" t="n">
        <f aca="false">AK1324+1</f>
        <v>1325</v>
      </c>
      <c r="AL1325" s="61" t="str">
        <f aca="false">Y1325</f>
        <v>sabja</v>
      </c>
      <c r="AM1325" s="81" t="str">
        <f aca="false">"a = Client().post('"&amp;W1325&amp;"', {'recipe' : '"&amp;V1325&amp;"', 'ingredient' : '"&amp;Z1325&amp;"', 'name' : '"&amp;X1325&amp;"', 'mass_unit' : '"&amp;AC1325&amp;"', 'mass_quantity' : '"&amp;ROUND(AA1325,3)&amp;"', 'volume_unit' : '"&amp;AF1325&amp;"', 'volume_quantity' : '"&amp;ROUND(AD1325,3)&amp;"', 'pieces_unit' : '"&amp;AI1325&amp;"', 'pieces_quantity' : '"&amp;ROUND(AG1325,3)&amp;"', 'cooking_notes' : '"&amp;AJ1325&amp;"'}).status_code; print('%s :: %s :: %s :: %s :: %s' %(a,"&amp;G1325&amp;",'"&amp;X1325&amp;"','"&amp;Y1325&amp;"','"&amp;U1325&amp;"'))"</f>
        <v>a = Client().post('/recipes/rose-lemon-sabja/detail/', {'recipe' : '68', 'ingredient' : '175', 'name' : 'SABJA', 'mass_unit' : '2', 'mass_quantity' : '0', 'volume_unit' : '9', 'volume_quantity' : '1', 'pieces_unit' : '3', 'pieces_quantity' : '0', 'cooking_notes' : ''}).status_code; print('%s :: %s :: %s :: %s :: %s' %(a,1325,'SABJA','sabja','ROSE  LEMON SABJA'))</v>
      </c>
      <c r="AMJ1325" s="0"/>
    </row>
    <row r="1326" s="181" customFormat="true" ht="13.8" hidden="false" customHeight="false" outlineLevel="0" collapsed="false">
      <c r="A1326" s="0"/>
      <c r="B1326" s="0"/>
      <c r="C1326" s="0"/>
      <c r="D1326" s="0"/>
      <c r="E1326" s="0"/>
      <c r="F1326" s="0"/>
      <c r="G1326" s="80" t="n">
        <v>1326</v>
      </c>
      <c r="H1326" s="182"/>
      <c r="I1326" s="182" t="s">
        <v>313</v>
      </c>
      <c r="J1326" s="182" t="s">
        <v>931</v>
      </c>
      <c r="K1326" s="75" t="n">
        <v>2</v>
      </c>
      <c r="L1326" s="75" t="s">
        <v>7</v>
      </c>
      <c r="M1326" s="75"/>
      <c r="N1326" s="75"/>
      <c r="O1326" s="75"/>
      <c r="P1326" s="75"/>
      <c r="Q1326" s="183"/>
      <c r="R1326" s="82" t="str">
        <f aca="false">VLOOKUP(J1326,ingredient!$N$4:$O$553,2,0)</f>
        <v>sugar</v>
      </c>
      <c r="U1326" s="81" t="str">
        <f aca="false">I1326</f>
        <v>ROSE  LEMON SABJA</v>
      </c>
      <c r="V1326" s="81" t="n">
        <f aca="false">VLOOKUP(U1326,recipe_ingred_list!$A$2:$B$300,2,0)</f>
        <v>68</v>
      </c>
      <c r="W1326" s="81" t="str">
        <f aca="false">"/recipes/"&amp;VLOOKUP(U1326,recipe_ingred_list!$A$2:$C$300,3,0)&amp;"/detail/"</f>
        <v>/recipes/rose-lemon-sabja/detail/</v>
      </c>
      <c r="X1326" s="81" t="str">
        <f aca="false">J1326</f>
        <v>SUGAR</v>
      </c>
      <c r="Y1326" s="81" t="str">
        <f aca="false">R1326</f>
        <v>sugar</v>
      </c>
      <c r="Z1326" s="94" t="n">
        <f aca="false">VLOOKUP(Y1326,recipe_ingred_list!$D$2:$E$500,2,0)</f>
        <v>187</v>
      </c>
      <c r="AA1326" s="61" t="n">
        <f aca="false">K1326</f>
        <v>2</v>
      </c>
      <c r="AB1326" s="61" t="str">
        <f aca="false">L1326</f>
        <v>kg</v>
      </c>
      <c r="AC1326" s="61" t="n">
        <f aca="false">VLOOKUP(AB1326,recipe_ingred_list!$K$2:$M$7,3,0)</f>
        <v>2</v>
      </c>
      <c r="AD1326" s="61" t="n">
        <f aca="false">M1326</f>
        <v>0</v>
      </c>
      <c r="AE1326" s="61" t="n">
        <f aca="false">N1326</f>
        <v>0</v>
      </c>
      <c r="AF1326" s="61" t="n">
        <f aca="false">VLOOKUP(AE1326,recipe_ingred_list!$K$16:$M$25,3,0)</f>
        <v>1</v>
      </c>
      <c r="AG1326" s="61" t="n">
        <f aca="false">O1326</f>
        <v>0</v>
      </c>
      <c r="AH1326" s="61" t="n">
        <f aca="false">P1326</f>
        <v>0</v>
      </c>
      <c r="AI1326" s="61" t="n">
        <f aca="false">VLOOKUP(AH1326,recipe_ingred_list!$K$29:$M$34,3,0)</f>
        <v>3</v>
      </c>
      <c r="AJ1326" s="61" t="str">
        <f aca="false">IF(Q1326="","",Q1326)</f>
        <v/>
      </c>
      <c r="AK1326" s="61" t="n">
        <f aca="false">AK1325+1</f>
        <v>1326</v>
      </c>
      <c r="AL1326" s="61" t="str">
        <f aca="false">Y1326</f>
        <v>sugar</v>
      </c>
      <c r="AM1326" s="81" t="str">
        <f aca="false">"a = Client().post('"&amp;W1326&amp;"', {'recipe' : '"&amp;V1326&amp;"', 'ingredient' : '"&amp;Z1326&amp;"', 'name' : '"&amp;X1326&amp;"', 'mass_unit' : '"&amp;AC1326&amp;"', 'mass_quantity' : '"&amp;ROUND(AA1326,3)&amp;"', 'volume_unit' : '"&amp;AF1326&amp;"', 'volume_quantity' : '"&amp;ROUND(AD1326,3)&amp;"', 'pieces_unit' : '"&amp;AI1326&amp;"', 'pieces_quantity' : '"&amp;ROUND(AG1326,3)&amp;"', 'cooking_notes' : '"&amp;AJ1326&amp;"'}).status_code; print('%s :: %s :: %s :: %s :: %s' %(a,"&amp;G1326&amp;",'"&amp;X1326&amp;"','"&amp;Y1326&amp;"','"&amp;U1326&amp;"'))"</f>
        <v>a = Client().post('/recipes/rose-lemon-sabja/detail/', {'recipe' : '68', 'ingredient' : '187', 'name' : 'SUGAR', 'mass_unit' : '2', 'mass_quantity' : '2', 'volume_unit' : '1', 'volume_quantity' : '0', 'pieces_unit' : '3', 'pieces_quantity' : '0', 'cooking_notes' : ''}).status_code; print('%s :: %s :: %s :: %s :: %s' %(a,1326,'SUGAR','sugar','ROSE  LEMON SABJA'))</v>
      </c>
      <c r="AMJ1326" s="0"/>
    </row>
    <row r="1327" customFormat="false" ht="13.8" hidden="false" customHeight="false" outlineLevel="0" collapsed="false">
      <c r="G1327" s="80" t="n">
        <v>1327</v>
      </c>
      <c r="H1327" s="79"/>
      <c r="I1327" s="79"/>
      <c r="J1327" s="79"/>
      <c r="K1327" s="100"/>
      <c r="L1327" s="100"/>
      <c r="M1327" s="100"/>
      <c r="N1327" s="100"/>
      <c r="O1327" s="100"/>
      <c r="P1327" s="100"/>
      <c r="Q1327" s="102"/>
      <c r="R1327" s="99" t="e">
        <f aca="false">VLOOKUP(J1327,ingredient!$N$4:$O$553,2,0)</f>
        <v>#N/A</v>
      </c>
      <c r="S1327" s="98"/>
      <c r="T1327" s="98"/>
      <c r="U1327" s="81" t="n">
        <f aca="false">I1327</f>
        <v>0</v>
      </c>
      <c r="V1327" s="81" t="e">
        <f aca="false">VLOOKUP(U1327,recipe_ingred_list!$A$2:$B$300,2,0)</f>
        <v>#N/A</v>
      </c>
      <c r="W1327" s="81" t="e">
        <f aca="false">"/recipes/"&amp;VLOOKUP(U1327,recipe_ingred_list!$A$2:$C$300,3,0)&amp;"/detail/"</f>
        <v>#N/A</v>
      </c>
      <c r="X1327" s="81" t="n">
        <f aca="false">J1327</f>
        <v>0</v>
      </c>
      <c r="Y1327" s="81" t="e">
        <f aca="false">R1327</f>
        <v>#N/A</v>
      </c>
      <c r="Z1327" s="94" t="e">
        <f aca="false">VLOOKUP(Y1327,recipe_ingred_list!$D$2:$E$500,2,0)</f>
        <v>#N/A</v>
      </c>
      <c r="AA1327" s="61" t="n">
        <f aca="false">K1327</f>
        <v>0</v>
      </c>
      <c r="AB1327" s="61" t="n">
        <f aca="false">L1327</f>
        <v>0</v>
      </c>
      <c r="AC1327" s="61" t="n">
        <f aca="false">VLOOKUP(AB1327,recipe_ingred_list!$K$2:$M$7,3,0)</f>
        <v>2</v>
      </c>
      <c r="AD1327" s="61" t="n">
        <f aca="false">M1327</f>
        <v>0</v>
      </c>
      <c r="AE1327" s="61" t="n">
        <f aca="false">N1327</f>
        <v>0</v>
      </c>
      <c r="AF1327" s="61" t="n">
        <f aca="false">VLOOKUP(AE1327,recipe_ingred_list!$K$16:$M$25,3,0)</f>
        <v>1</v>
      </c>
      <c r="AG1327" s="61" t="n">
        <f aca="false">O1327</f>
        <v>0</v>
      </c>
      <c r="AH1327" s="61" t="n">
        <f aca="false">P1327</f>
        <v>0</v>
      </c>
      <c r="AI1327" s="61" t="n">
        <f aca="false">VLOOKUP(AH1327,recipe_ingred_list!$K$29:$M$34,3,0)</f>
        <v>3</v>
      </c>
      <c r="AJ1327" s="61" t="str">
        <f aca="false">IF(Q1327="","",Q1327)</f>
        <v/>
      </c>
      <c r="AK1327" s="61" t="n">
        <f aca="false">AK1326+1</f>
        <v>1327</v>
      </c>
      <c r="AL1327" s="61" t="e">
        <f aca="false">Y1327</f>
        <v>#N/A</v>
      </c>
      <c r="AM1327" s="81" t="e">
        <f aca="false">"a = Client().post('"&amp;W1327&amp;"', {'recipe' : '"&amp;V1327&amp;"', 'ingredient' : '"&amp;Z1327&amp;"', 'name' : '"&amp;X1327&amp;"', 'mass_unit' : '"&amp;AC1327&amp;"', 'mass_quantity' : '"&amp;ROUND(AA1327,3)&amp;"', 'volume_unit' : '"&amp;AF1327&amp;"', 'volume_quantity' : '"&amp;ROUND(AD1327,3)&amp;"', 'pieces_unit' : '"&amp;AI1327&amp;"', 'pieces_quantity' : '"&amp;ROUND(AG1327,3)&amp;"', 'cooking_notes' : '"&amp;AJ1327&amp;"'}).status_code; print('%s :: %s :: %s :: %s :: %s' %(a,"&amp;G1327&amp;",'"&amp;X1327&amp;"','"&amp;Y1327&amp;"','"&amp;U1327&amp;"'))"</f>
        <v>#N/A</v>
      </c>
    </row>
    <row r="1328" s="181" customFormat="true" ht="13.8" hidden="false" customHeight="false" outlineLevel="0" collapsed="false">
      <c r="A1328" s="0"/>
      <c r="B1328" s="0"/>
      <c r="C1328" s="0"/>
      <c r="D1328" s="0"/>
      <c r="E1328" s="0"/>
      <c r="F1328" s="0"/>
      <c r="G1328" s="80" t="n">
        <v>1328</v>
      </c>
      <c r="H1328" s="182"/>
      <c r="I1328" s="182" t="s">
        <v>349</v>
      </c>
      <c r="J1328" s="182" t="s">
        <v>485</v>
      </c>
      <c r="K1328" s="75" t="n">
        <v>12</v>
      </c>
      <c r="L1328" s="75" t="s">
        <v>7</v>
      </c>
      <c r="M1328" s="75"/>
      <c r="N1328" s="75"/>
      <c r="O1328" s="75"/>
      <c r="P1328" s="75"/>
      <c r="Q1328" s="183"/>
      <c r="R1328" s="82" t="str">
        <f aca="false">VLOOKUP(J1328,ingredient!$N$4:$O$553,2,0)</f>
        <v>tomato</v>
      </c>
      <c r="U1328" s="81" t="str">
        <f aca="false">I1328</f>
        <v>TOMATO  CHUTNEY FOR NOODLES</v>
      </c>
      <c r="V1328" s="81" t="n">
        <f aca="false">VLOOKUP(U1328,recipe_ingred_list!$A$2:$B$300,2,0)</f>
        <v>80</v>
      </c>
      <c r="W1328" s="81" t="str">
        <f aca="false">"/recipes/"&amp;VLOOKUP(U1328,recipe_ingred_list!$A$2:$C$300,3,0)&amp;"/detail/"</f>
        <v>/recipes/tomato-chutney-for-noodles/detail/</v>
      </c>
      <c r="X1328" s="81" t="str">
        <f aca="false">J1328</f>
        <v>tomato</v>
      </c>
      <c r="Y1328" s="81" t="str">
        <f aca="false">R1328</f>
        <v>tomato</v>
      </c>
      <c r="Z1328" s="94" t="n">
        <f aca="false">VLOOKUP(Y1328,recipe_ingred_list!$D$2:$E$500,2,0)</f>
        <v>195</v>
      </c>
      <c r="AA1328" s="61" t="n">
        <f aca="false">K1328</f>
        <v>12</v>
      </c>
      <c r="AB1328" s="61" t="str">
        <f aca="false">L1328</f>
        <v>kg</v>
      </c>
      <c r="AC1328" s="61" t="n">
        <f aca="false">VLOOKUP(AB1328,recipe_ingred_list!$K$2:$M$7,3,0)</f>
        <v>2</v>
      </c>
      <c r="AD1328" s="61" t="n">
        <f aca="false">M1328</f>
        <v>0</v>
      </c>
      <c r="AE1328" s="61" t="n">
        <f aca="false">N1328</f>
        <v>0</v>
      </c>
      <c r="AF1328" s="61" t="n">
        <f aca="false">VLOOKUP(AE1328,recipe_ingred_list!$K$16:$M$25,3,0)</f>
        <v>1</v>
      </c>
      <c r="AG1328" s="61" t="n">
        <f aca="false">O1328</f>
        <v>0</v>
      </c>
      <c r="AH1328" s="61" t="n">
        <f aca="false">P1328</f>
        <v>0</v>
      </c>
      <c r="AI1328" s="61" t="n">
        <f aca="false">VLOOKUP(AH1328,recipe_ingred_list!$K$29:$M$34,3,0)</f>
        <v>3</v>
      </c>
      <c r="AJ1328" s="61" t="str">
        <f aca="false">IF(Q1328="","",Q1328)</f>
        <v/>
      </c>
      <c r="AK1328" s="61" t="n">
        <f aca="false">AK1327+1</f>
        <v>1328</v>
      </c>
      <c r="AL1328" s="61" t="str">
        <f aca="false">Y1328</f>
        <v>tomato</v>
      </c>
      <c r="AM1328" s="81" t="str">
        <f aca="false">"a = Client().post('"&amp;W1328&amp;"', {'recipe' : '"&amp;V1328&amp;"', 'ingredient' : '"&amp;Z1328&amp;"', 'name' : '"&amp;X1328&amp;"', 'mass_unit' : '"&amp;AC1328&amp;"', 'mass_quantity' : '"&amp;ROUND(AA1328,3)&amp;"', 'volume_unit' : '"&amp;AF1328&amp;"', 'volume_quantity' : '"&amp;ROUND(AD1328,3)&amp;"', 'pieces_unit' : '"&amp;AI1328&amp;"', 'pieces_quantity' : '"&amp;ROUND(AG1328,3)&amp;"', 'cooking_notes' : '"&amp;AJ1328&amp;"'}).status_code; print('%s :: %s :: %s :: %s :: %s' %(a,"&amp;G1328&amp;",'"&amp;X1328&amp;"','"&amp;Y1328&amp;"','"&amp;U1328&amp;"'))"</f>
        <v>a = Client().post('/recipes/tomato-chutney-for-noodles/detail/', {'recipe' : '80', 'ingredient' : '195', 'name' : 'tomato', 'mass_unit' : '2', 'mass_quantity' : '12', 'volume_unit' : '1', 'volume_quantity' : '0', 'pieces_unit' : '3', 'pieces_quantity' : '0', 'cooking_notes' : ''}).status_code; print('%s :: %s :: %s :: %s :: %s' %(a,1328,'tomato','tomato','TOMATO  CHUTNEY FOR NOODLES'))</v>
      </c>
      <c r="AMJ1328" s="0"/>
    </row>
    <row r="1329" s="181" customFormat="true" ht="13.8" hidden="false" customHeight="false" outlineLevel="0" collapsed="false">
      <c r="A1329" s="0"/>
      <c r="B1329" s="0"/>
      <c r="C1329" s="0"/>
      <c r="D1329" s="0"/>
      <c r="E1329" s="0"/>
      <c r="F1329" s="0"/>
      <c r="G1329" s="80" t="n">
        <v>1329</v>
      </c>
      <c r="H1329" s="182"/>
      <c r="I1329" s="182" t="s">
        <v>349</v>
      </c>
      <c r="J1329" s="182" t="s">
        <v>839</v>
      </c>
      <c r="K1329" s="75"/>
      <c r="L1329" s="75"/>
      <c r="M1329" s="75" t="n">
        <v>200</v>
      </c>
      <c r="N1329" s="75" t="s">
        <v>143</v>
      </c>
      <c r="O1329" s="75"/>
      <c r="P1329" s="75"/>
      <c r="Q1329" s="183"/>
      <c r="R1329" s="82" t="str">
        <f aca="false">VLOOKUP(J1329,ingredient!$N$4:$O$553,2,0)</f>
        <v>gound nut oil</v>
      </c>
      <c r="U1329" s="81" t="str">
        <f aca="false">I1329</f>
        <v>TOMATO  CHUTNEY FOR NOODLES</v>
      </c>
      <c r="V1329" s="81" t="n">
        <f aca="false">VLOOKUP(U1329,recipe_ingred_list!$A$2:$B$300,2,0)</f>
        <v>80</v>
      </c>
      <c r="W1329" s="81" t="str">
        <f aca="false">"/recipes/"&amp;VLOOKUP(U1329,recipe_ingred_list!$A$2:$C$300,3,0)&amp;"/detail/"</f>
        <v>/recipes/tomato-chutney-for-noodles/detail/</v>
      </c>
      <c r="X1329" s="81" t="str">
        <f aca="false">J1329</f>
        <v>oil</v>
      </c>
      <c r="Y1329" s="81" t="str">
        <f aca="false">R1329</f>
        <v>gound nut oil</v>
      </c>
      <c r="Z1329" s="94" t="n">
        <f aca="false">VLOOKUP(Y1329,recipe_ingred_list!$D$2:$E$500,2,0)</f>
        <v>83</v>
      </c>
      <c r="AA1329" s="61" t="n">
        <f aca="false">K1329</f>
        <v>0</v>
      </c>
      <c r="AB1329" s="61" t="n">
        <f aca="false">L1329</f>
        <v>0</v>
      </c>
      <c r="AC1329" s="61" t="n">
        <f aca="false">VLOOKUP(AB1329,recipe_ingred_list!$K$2:$M$7,3,0)</f>
        <v>2</v>
      </c>
      <c r="AD1329" s="61" t="n">
        <f aca="false">M1329</f>
        <v>200</v>
      </c>
      <c r="AE1329" s="61" t="str">
        <f aca="false">N1329</f>
        <v>ml</v>
      </c>
      <c r="AF1329" s="61" t="n">
        <f aca="false">VLOOKUP(AE1329,recipe_ingred_list!$K$16:$M$25,3,0)</f>
        <v>12</v>
      </c>
      <c r="AG1329" s="61" t="n">
        <f aca="false">O1329</f>
        <v>0</v>
      </c>
      <c r="AH1329" s="61" t="n">
        <f aca="false">P1329</f>
        <v>0</v>
      </c>
      <c r="AI1329" s="61" t="n">
        <f aca="false">VLOOKUP(AH1329,recipe_ingred_list!$K$29:$M$34,3,0)</f>
        <v>3</v>
      </c>
      <c r="AJ1329" s="61" t="str">
        <f aca="false">IF(Q1329="","",Q1329)</f>
        <v/>
      </c>
      <c r="AK1329" s="61" t="n">
        <f aca="false">AK1328+1</f>
        <v>1329</v>
      </c>
      <c r="AL1329" s="61" t="str">
        <f aca="false">Y1329</f>
        <v>gound nut oil</v>
      </c>
      <c r="AM1329" s="81" t="str">
        <f aca="false">"a = Client().post('"&amp;W1329&amp;"', {'recipe' : '"&amp;V1329&amp;"', 'ingredient' : '"&amp;Z1329&amp;"', 'name' : '"&amp;X1329&amp;"', 'mass_unit' : '"&amp;AC1329&amp;"', 'mass_quantity' : '"&amp;ROUND(AA1329,3)&amp;"', 'volume_unit' : '"&amp;AF1329&amp;"', 'volume_quantity' : '"&amp;ROUND(AD1329,3)&amp;"', 'pieces_unit' : '"&amp;AI1329&amp;"', 'pieces_quantity' : '"&amp;ROUND(AG1329,3)&amp;"', 'cooking_notes' : '"&amp;AJ1329&amp;"'}).status_code; print('%s :: %s :: %s :: %s :: %s' %(a,"&amp;G1329&amp;",'"&amp;X1329&amp;"','"&amp;Y1329&amp;"','"&amp;U1329&amp;"'))"</f>
        <v>a = Client().post('/recipes/tomato-chutney-for-noodles/detail/', {'recipe' : '80', 'ingredient' : '83', 'name' : 'oil', 'mass_unit' : '2', 'mass_quantity' : '0', 'volume_unit' : '12', 'volume_quantity' : '200', 'pieces_unit' : '3', 'pieces_quantity' : '0', 'cooking_notes' : ''}).status_code; print('%s :: %s :: %s :: %s :: %s' %(a,1329,'oil','gound nut oil','TOMATO  CHUTNEY FOR NOODLES'))</v>
      </c>
      <c r="AMJ1329" s="0"/>
    </row>
    <row r="1330" s="181" customFormat="true" ht="13.8" hidden="false" customHeight="false" outlineLevel="0" collapsed="false">
      <c r="A1330" s="0"/>
      <c r="B1330" s="0"/>
      <c r="C1330" s="0"/>
      <c r="D1330" s="0"/>
      <c r="E1330" s="0"/>
      <c r="F1330" s="0"/>
      <c r="G1330" s="80" t="n">
        <v>1330</v>
      </c>
      <c r="H1330" s="182"/>
      <c r="I1330" s="182" t="s">
        <v>349</v>
      </c>
      <c r="J1330" s="182" t="s">
        <v>391</v>
      </c>
      <c r="K1330" s="75"/>
      <c r="L1330" s="75"/>
      <c r="M1330" s="75" t="n">
        <v>0.1</v>
      </c>
      <c r="N1330" s="75" t="s">
        <v>20</v>
      </c>
      <c r="O1330" s="75"/>
      <c r="P1330" s="75"/>
      <c r="Q1330" s="183"/>
      <c r="R1330" s="82" t="str">
        <f aca="false">VLOOKUP(J1330,ingredient!$N$4:$O$553,2,0)</f>
        <v>hing</v>
      </c>
      <c r="U1330" s="81" t="str">
        <f aca="false">I1330</f>
        <v>TOMATO  CHUTNEY FOR NOODLES</v>
      </c>
      <c r="V1330" s="81" t="n">
        <f aca="false">VLOOKUP(U1330,recipe_ingred_list!$A$2:$B$300,2,0)</f>
        <v>80</v>
      </c>
      <c r="W1330" s="81" t="str">
        <f aca="false">"/recipes/"&amp;VLOOKUP(U1330,recipe_ingred_list!$A$2:$C$300,3,0)&amp;"/detail/"</f>
        <v>/recipes/tomato-chutney-for-noodles/detail/</v>
      </c>
      <c r="X1330" s="81" t="str">
        <f aca="false">J1330</f>
        <v>hing</v>
      </c>
      <c r="Y1330" s="81" t="str">
        <f aca="false">R1330</f>
        <v>hing</v>
      </c>
      <c r="Z1330" s="94" t="n">
        <f aca="false">VLOOKUP(Y1330,recipe_ingred_list!$D$2:$E$500,2,0)</f>
        <v>95</v>
      </c>
      <c r="AA1330" s="61" t="n">
        <f aca="false">K1330</f>
        <v>0</v>
      </c>
      <c r="AB1330" s="61" t="n">
        <f aca="false">L1330</f>
        <v>0</v>
      </c>
      <c r="AC1330" s="61" t="n">
        <f aca="false">VLOOKUP(AB1330,recipe_ingred_list!$K$2:$M$7,3,0)</f>
        <v>2</v>
      </c>
      <c r="AD1330" s="61" t="n">
        <f aca="false">M1330</f>
        <v>0.1</v>
      </c>
      <c r="AE1330" s="61" t="str">
        <f aca="false">N1330</f>
        <v>cup</v>
      </c>
      <c r="AF1330" s="61" t="n">
        <f aca="false">VLOOKUP(AE1330,recipe_ingred_list!$K$16:$M$25,3,0)</f>
        <v>5</v>
      </c>
      <c r="AG1330" s="61" t="n">
        <f aca="false">O1330</f>
        <v>0</v>
      </c>
      <c r="AH1330" s="61" t="n">
        <f aca="false">P1330</f>
        <v>0</v>
      </c>
      <c r="AI1330" s="61" t="n">
        <f aca="false">VLOOKUP(AH1330,recipe_ingred_list!$K$29:$M$34,3,0)</f>
        <v>3</v>
      </c>
      <c r="AJ1330" s="61" t="str">
        <f aca="false">IF(Q1330="","",Q1330)</f>
        <v/>
      </c>
      <c r="AK1330" s="61" t="n">
        <f aca="false">AK1329+1</f>
        <v>1330</v>
      </c>
      <c r="AL1330" s="61" t="str">
        <f aca="false">Y1330</f>
        <v>hing</v>
      </c>
      <c r="AM1330" s="81" t="str">
        <f aca="false">"a = Client().post('"&amp;W1330&amp;"', {'recipe' : '"&amp;V1330&amp;"', 'ingredient' : '"&amp;Z1330&amp;"', 'name' : '"&amp;X1330&amp;"', 'mass_unit' : '"&amp;AC1330&amp;"', 'mass_quantity' : '"&amp;ROUND(AA1330,3)&amp;"', 'volume_unit' : '"&amp;AF1330&amp;"', 'volume_quantity' : '"&amp;ROUND(AD1330,3)&amp;"', 'pieces_unit' : '"&amp;AI1330&amp;"', 'pieces_quantity' : '"&amp;ROUND(AG1330,3)&amp;"', 'cooking_notes' : '"&amp;AJ1330&amp;"'}).status_code; print('%s :: %s :: %s :: %s :: %s' %(a,"&amp;G1330&amp;",'"&amp;X1330&amp;"','"&amp;Y1330&amp;"','"&amp;U1330&amp;"'))"</f>
        <v>a = Client().post('/recipes/tomato-chutney-for-noodles/detail/', {'recipe' : '80', 'ingredient' : '95', 'name' : 'hing', 'mass_unit' : '2', 'mass_quantity' : '0', 'volume_unit' : '5', 'volume_quantity' : '0.1', 'pieces_unit' : '3', 'pieces_quantity' : '0', 'cooking_notes' : ''}).status_code; print('%s :: %s :: %s :: %s :: %s' %(a,1330,'hing','hing','TOMATO  CHUTNEY FOR NOODLES'))</v>
      </c>
      <c r="AMJ1330" s="0"/>
    </row>
    <row r="1331" s="181" customFormat="true" ht="13.8" hidden="false" customHeight="false" outlineLevel="0" collapsed="false">
      <c r="A1331" s="0"/>
      <c r="B1331" s="0"/>
      <c r="C1331" s="0"/>
      <c r="D1331" s="0"/>
      <c r="E1331" s="0"/>
      <c r="F1331" s="0"/>
      <c r="G1331" s="80" t="n">
        <v>1331</v>
      </c>
      <c r="H1331" s="182"/>
      <c r="I1331" s="182" t="s">
        <v>349</v>
      </c>
      <c r="J1331" s="182" t="s">
        <v>932</v>
      </c>
      <c r="K1331" s="75"/>
      <c r="L1331" s="75"/>
      <c r="M1331" s="75" t="n">
        <v>0.5</v>
      </c>
      <c r="N1331" s="75" t="s">
        <v>20</v>
      </c>
      <c r="O1331" s="75"/>
      <c r="P1331" s="75"/>
      <c r="Q1331" s="183"/>
      <c r="R1331" s="82" t="str">
        <f aca="false">VLOOKUP(J1331,ingredient!$N$4:$O$553,2,0)</f>
        <v>kashmiri chilly powder</v>
      </c>
      <c r="U1331" s="81" t="str">
        <f aca="false">I1331</f>
        <v>TOMATO  CHUTNEY FOR NOODLES</v>
      </c>
      <c r="V1331" s="81" t="n">
        <f aca="false">VLOOKUP(U1331,recipe_ingred_list!$A$2:$B$300,2,0)</f>
        <v>80</v>
      </c>
      <c r="W1331" s="81" t="str">
        <f aca="false">"/recipes/"&amp;VLOOKUP(U1331,recipe_ingred_list!$A$2:$C$300,3,0)&amp;"/detail/"</f>
        <v>/recipes/tomato-chutney-for-noodles/detail/</v>
      </c>
      <c r="X1331" s="81" t="str">
        <f aca="false">J1331</f>
        <v>kashmiri powder</v>
      </c>
      <c r="Y1331" s="81" t="str">
        <f aca="false">R1331</f>
        <v>kashmiri chilly powder</v>
      </c>
      <c r="Z1331" s="94" t="n">
        <f aca="false">VLOOKUP(Y1331,recipe_ingred_list!$D$2:$E$500,2,0)</f>
        <v>117</v>
      </c>
      <c r="AA1331" s="61" t="n">
        <f aca="false">K1331</f>
        <v>0</v>
      </c>
      <c r="AB1331" s="61" t="n">
        <f aca="false">L1331</f>
        <v>0</v>
      </c>
      <c r="AC1331" s="61" t="n">
        <f aca="false">VLOOKUP(AB1331,recipe_ingred_list!$K$2:$M$7,3,0)</f>
        <v>2</v>
      </c>
      <c r="AD1331" s="61" t="n">
        <f aca="false">M1331</f>
        <v>0.5</v>
      </c>
      <c r="AE1331" s="61" t="str">
        <f aca="false">N1331</f>
        <v>cup</v>
      </c>
      <c r="AF1331" s="61" t="n">
        <f aca="false">VLOOKUP(AE1331,recipe_ingred_list!$K$16:$M$25,3,0)</f>
        <v>5</v>
      </c>
      <c r="AG1331" s="61" t="n">
        <f aca="false">O1331</f>
        <v>0</v>
      </c>
      <c r="AH1331" s="61" t="n">
        <f aca="false">P1331</f>
        <v>0</v>
      </c>
      <c r="AI1331" s="61" t="n">
        <f aca="false">VLOOKUP(AH1331,recipe_ingred_list!$K$29:$M$34,3,0)</f>
        <v>3</v>
      </c>
      <c r="AJ1331" s="61" t="str">
        <f aca="false">IF(Q1331="","",Q1331)</f>
        <v/>
      </c>
      <c r="AK1331" s="61" t="n">
        <f aca="false">AK1330+1</f>
        <v>1331</v>
      </c>
      <c r="AL1331" s="61" t="str">
        <f aca="false">Y1331</f>
        <v>kashmiri chilly powder</v>
      </c>
      <c r="AM1331" s="81" t="str">
        <f aca="false">"a = Client().post('"&amp;W1331&amp;"', {'recipe' : '"&amp;V1331&amp;"', 'ingredient' : '"&amp;Z1331&amp;"', 'name' : '"&amp;X1331&amp;"', 'mass_unit' : '"&amp;AC1331&amp;"', 'mass_quantity' : '"&amp;ROUND(AA1331,3)&amp;"', 'volume_unit' : '"&amp;AF1331&amp;"', 'volume_quantity' : '"&amp;ROUND(AD1331,3)&amp;"', 'pieces_unit' : '"&amp;AI1331&amp;"', 'pieces_quantity' : '"&amp;ROUND(AG1331,3)&amp;"', 'cooking_notes' : '"&amp;AJ1331&amp;"'}).status_code; print('%s :: %s :: %s :: %s :: %s' %(a,"&amp;G1331&amp;",'"&amp;X1331&amp;"','"&amp;Y1331&amp;"','"&amp;U1331&amp;"'))"</f>
        <v>a = Client().post('/recipes/tomato-chutney-for-noodles/detail/', {'recipe' : '80', 'ingredient' : '117', 'name' : 'kashmiri powder', 'mass_unit' : '2', 'mass_quantity' : '0', 'volume_unit' : '5', 'volume_quantity' : '0.5', 'pieces_unit' : '3', 'pieces_quantity' : '0', 'cooking_notes' : ''}).status_code; print('%s :: %s :: %s :: %s :: %s' %(a,1331,'kashmiri powder','kashmiri chilly powder','TOMATO  CHUTNEY FOR NOODLES'))</v>
      </c>
      <c r="AMJ1331" s="0"/>
    </row>
    <row r="1332" s="181" customFormat="true" ht="13.8" hidden="false" customHeight="false" outlineLevel="0" collapsed="false">
      <c r="A1332" s="0"/>
      <c r="B1332" s="0"/>
      <c r="C1332" s="0"/>
      <c r="D1332" s="0"/>
      <c r="E1332" s="0"/>
      <c r="F1332" s="0"/>
      <c r="G1332" s="80" t="n">
        <v>1332</v>
      </c>
      <c r="H1332" s="182"/>
      <c r="I1332" s="182" t="s">
        <v>349</v>
      </c>
      <c r="J1332" s="182" t="s">
        <v>44</v>
      </c>
      <c r="K1332" s="75" t="n">
        <v>2</v>
      </c>
      <c r="L1332" s="75" t="s">
        <v>7</v>
      </c>
      <c r="M1332" s="75"/>
      <c r="N1332" s="75"/>
      <c r="O1332" s="75"/>
      <c r="P1332" s="75"/>
      <c r="Q1332" s="183"/>
      <c r="R1332" s="82" t="str">
        <f aca="false">VLOOKUP(J1332,ingredient!$N$4:$O$553,2,0)</f>
        <v>sugar</v>
      </c>
      <c r="U1332" s="81" t="str">
        <f aca="false">I1332</f>
        <v>TOMATO  CHUTNEY FOR NOODLES</v>
      </c>
      <c r="V1332" s="81" t="n">
        <f aca="false">VLOOKUP(U1332,recipe_ingred_list!$A$2:$B$300,2,0)</f>
        <v>80</v>
      </c>
      <c r="W1332" s="81" t="str">
        <f aca="false">"/recipes/"&amp;VLOOKUP(U1332,recipe_ingred_list!$A$2:$C$300,3,0)&amp;"/detail/"</f>
        <v>/recipes/tomato-chutney-for-noodles/detail/</v>
      </c>
      <c r="X1332" s="81" t="str">
        <f aca="false">J1332</f>
        <v>sugar</v>
      </c>
      <c r="Y1332" s="81" t="str">
        <f aca="false">R1332</f>
        <v>sugar</v>
      </c>
      <c r="Z1332" s="94" t="n">
        <f aca="false">VLOOKUP(Y1332,recipe_ingred_list!$D$2:$E$500,2,0)</f>
        <v>187</v>
      </c>
      <c r="AA1332" s="61" t="n">
        <f aca="false">K1332</f>
        <v>2</v>
      </c>
      <c r="AB1332" s="61" t="str">
        <f aca="false">L1332</f>
        <v>kg</v>
      </c>
      <c r="AC1332" s="61" t="n">
        <f aca="false">VLOOKUP(AB1332,recipe_ingred_list!$K$2:$M$7,3,0)</f>
        <v>2</v>
      </c>
      <c r="AD1332" s="61" t="n">
        <f aca="false">M1332</f>
        <v>0</v>
      </c>
      <c r="AE1332" s="61" t="n">
        <f aca="false">N1332</f>
        <v>0</v>
      </c>
      <c r="AF1332" s="61" t="n">
        <f aca="false">VLOOKUP(AE1332,recipe_ingred_list!$K$16:$M$25,3,0)</f>
        <v>1</v>
      </c>
      <c r="AG1332" s="61" t="n">
        <f aca="false">O1332</f>
        <v>0</v>
      </c>
      <c r="AH1332" s="61" t="n">
        <f aca="false">P1332</f>
        <v>0</v>
      </c>
      <c r="AI1332" s="61" t="n">
        <f aca="false">VLOOKUP(AH1332,recipe_ingred_list!$K$29:$M$34,3,0)</f>
        <v>3</v>
      </c>
      <c r="AJ1332" s="61" t="str">
        <f aca="false">IF(Q1332="","",Q1332)</f>
        <v/>
      </c>
      <c r="AK1332" s="61" t="n">
        <f aca="false">AK1331+1</f>
        <v>1332</v>
      </c>
      <c r="AL1332" s="61" t="str">
        <f aca="false">Y1332</f>
        <v>sugar</v>
      </c>
      <c r="AM1332" s="81" t="str">
        <f aca="false">"a = Client().post('"&amp;W1332&amp;"', {'recipe' : '"&amp;V1332&amp;"', 'ingredient' : '"&amp;Z1332&amp;"', 'name' : '"&amp;X1332&amp;"', 'mass_unit' : '"&amp;AC1332&amp;"', 'mass_quantity' : '"&amp;ROUND(AA1332,3)&amp;"', 'volume_unit' : '"&amp;AF1332&amp;"', 'volume_quantity' : '"&amp;ROUND(AD1332,3)&amp;"', 'pieces_unit' : '"&amp;AI1332&amp;"', 'pieces_quantity' : '"&amp;ROUND(AG1332,3)&amp;"', 'cooking_notes' : '"&amp;AJ1332&amp;"'}).status_code; print('%s :: %s :: %s :: %s :: %s' %(a,"&amp;G1332&amp;",'"&amp;X1332&amp;"','"&amp;Y1332&amp;"','"&amp;U1332&amp;"'))"</f>
        <v>a = Client().post('/recipes/tomato-chutney-for-noodles/detail/', {'recipe' : '80', 'ingredient' : '187', 'name' : 'sugar', 'mass_unit' : '2', 'mass_quantity' : '2', 'volume_unit' : '1', 'volume_quantity' : '0', 'pieces_unit' : '3', 'pieces_quantity' : '0', 'cooking_notes' : ''}).status_code; print('%s :: %s :: %s :: %s :: %s' %(a,1332,'sugar','sugar','TOMATO  CHUTNEY FOR NOODLES'))</v>
      </c>
      <c r="AMJ1332" s="0"/>
    </row>
    <row r="1333" s="181" customFormat="true" ht="13.8" hidden="false" customHeight="false" outlineLevel="0" collapsed="false">
      <c r="A1333" s="0"/>
      <c r="B1333" s="0"/>
      <c r="C1333" s="0"/>
      <c r="D1333" s="0"/>
      <c r="E1333" s="0"/>
      <c r="F1333" s="0"/>
      <c r="G1333" s="80" t="n">
        <v>1333</v>
      </c>
      <c r="H1333" s="182"/>
      <c r="I1333" s="182" t="s">
        <v>349</v>
      </c>
      <c r="J1333" s="182" t="s">
        <v>470</v>
      </c>
      <c r="K1333" s="75"/>
      <c r="L1333" s="75"/>
      <c r="M1333" s="75" t="n">
        <v>0.5</v>
      </c>
      <c r="N1333" s="75" t="s">
        <v>20</v>
      </c>
      <c r="O1333" s="75"/>
      <c r="P1333" s="75"/>
      <c r="Q1333" s="183"/>
      <c r="R1333" s="82" t="str">
        <f aca="false">VLOOKUP(J1333,ingredient!$N$4:$O$553,2,0)</f>
        <v>sauf</v>
      </c>
      <c r="U1333" s="81" t="str">
        <f aca="false">I1333</f>
        <v>TOMATO  CHUTNEY FOR NOODLES</v>
      </c>
      <c r="V1333" s="81" t="n">
        <f aca="false">VLOOKUP(U1333,recipe_ingred_list!$A$2:$B$300,2,0)</f>
        <v>80</v>
      </c>
      <c r="W1333" s="81" t="str">
        <f aca="false">"/recipes/"&amp;VLOOKUP(U1333,recipe_ingred_list!$A$2:$C$300,3,0)&amp;"/detail/"</f>
        <v>/recipes/tomato-chutney-for-noodles/detail/</v>
      </c>
      <c r="X1333" s="81" t="str">
        <f aca="false">J1333</f>
        <v>sauf</v>
      </c>
      <c r="Y1333" s="81" t="str">
        <f aca="false">R1333</f>
        <v>sauf</v>
      </c>
      <c r="Z1333" s="94" t="n">
        <f aca="false">VLOOKUP(Y1333,recipe_ingred_list!$D$2:$E$500,2,0)</f>
        <v>179</v>
      </c>
      <c r="AA1333" s="61" t="n">
        <f aca="false">K1333</f>
        <v>0</v>
      </c>
      <c r="AB1333" s="61" t="n">
        <f aca="false">L1333</f>
        <v>0</v>
      </c>
      <c r="AC1333" s="61" t="n">
        <f aca="false">VLOOKUP(AB1333,recipe_ingred_list!$K$2:$M$7,3,0)</f>
        <v>2</v>
      </c>
      <c r="AD1333" s="61" t="n">
        <f aca="false">M1333</f>
        <v>0.5</v>
      </c>
      <c r="AE1333" s="61" t="str">
        <f aca="false">N1333</f>
        <v>cup</v>
      </c>
      <c r="AF1333" s="61" t="n">
        <f aca="false">VLOOKUP(AE1333,recipe_ingred_list!$K$16:$M$25,3,0)</f>
        <v>5</v>
      </c>
      <c r="AG1333" s="61" t="n">
        <f aca="false">O1333</f>
        <v>0</v>
      </c>
      <c r="AH1333" s="61" t="n">
        <f aca="false">P1333</f>
        <v>0</v>
      </c>
      <c r="AI1333" s="61" t="n">
        <f aca="false">VLOOKUP(AH1333,recipe_ingred_list!$K$29:$M$34,3,0)</f>
        <v>3</v>
      </c>
      <c r="AJ1333" s="61" t="str">
        <f aca="false">IF(Q1333="","",Q1333)</f>
        <v/>
      </c>
      <c r="AK1333" s="61" t="n">
        <f aca="false">AK1332+1</f>
        <v>1333</v>
      </c>
      <c r="AL1333" s="61" t="str">
        <f aca="false">Y1333</f>
        <v>sauf</v>
      </c>
      <c r="AM1333" s="81" t="str">
        <f aca="false">"a = Client().post('"&amp;W1333&amp;"', {'recipe' : '"&amp;V1333&amp;"', 'ingredient' : '"&amp;Z1333&amp;"', 'name' : '"&amp;X1333&amp;"', 'mass_unit' : '"&amp;AC1333&amp;"', 'mass_quantity' : '"&amp;ROUND(AA1333,3)&amp;"', 'volume_unit' : '"&amp;AF1333&amp;"', 'volume_quantity' : '"&amp;ROUND(AD1333,3)&amp;"', 'pieces_unit' : '"&amp;AI1333&amp;"', 'pieces_quantity' : '"&amp;ROUND(AG1333,3)&amp;"', 'cooking_notes' : '"&amp;AJ1333&amp;"'}).status_code; print('%s :: %s :: %s :: %s :: %s' %(a,"&amp;G1333&amp;",'"&amp;X1333&amp;"','"&amp;Y1333&amp;"','"&amp;U1333&amp;"'))"</f>
        <v>a = Client().post('/recipes/tomato-chutney-for-noodles/detail/', {'recipe' : '80', 'ingredient' : '179', 'name' : 'sauf', 'mass_unit' : '2', 'mass_quantity' : '0', 'volume_unit' : '5', 'volume_quantity' : '0.5', 'pieces_unit' : '3', 'pieces_quantity' : '0', 'cooking_notes' : ''}).status_code; print('%s :: %s :: %s :: %s :: %s' %(a,1333,'sauf','sauf','TOMATO  CHUTNEY FOR NOODLES'))</v>
      </c>
      <c r="AMJ1333" s="0"/>
    </row>
    <row r="1334" s="181" customFormat="true" ht="13.8" hidden="false" customHeight="false" outlineLevel="0" collapsed="false">
      <c r="A1334" s="0"/>
      <c r="B1334" s="0"/>
      <c r="C1334" s="0"/>
      <c r="D1334" s="0"/>
      <c r="E1334" s="0"/>
      <c r="F1334" s="0"/>
      <c r="G1334" s="80" t="n">
        <v>1334</v>
      </c>
      <c r="H1334" s="182"/>
      <c r="I1334" s="182" t="s">
        <v>349</v>
      </c>
      <c r="J1334" s="182" t="s">
        <v>933</v>
      </c>
      <c r="K1334" s="75"/>
      <c r="L1334" s="75"/>
      <c r="M1334" s="75" t="n">
        <v>1</v>
      </c>
      <c r="N1334" s="75" t="s">
        <v>20</v>
      </c>
      <c r="O1334" s="75"/>
      <c r="P1334" s="75"/>
      <c r="Q1334" s="183"/>
      <c r="R1334" s="82" t="str">
        <f aca="false">VLOOKUP(J1334,ingredient!$N$4:$O$553,2,0)</f>
        <v>tej patta</v>
      </c>
      <c r="U1334" s="81" t="str">
        <f aca="false">I1334</f>
        <v>TOMATO  CHUTNEY FOR NOODLES</v>
      </c>
      <c r="V1334" s="81" t="n">
        <f aca="false">VLOOKUP(U1334,recipe_ingred_list!$A$2:$B$300,2,0)</f>
        <v>80</v>
      </c>
      <c r="W1334" s="81" t="str">
        <f aca="false">"/recipes/"&amp;VLOOKUP(U1334,recipe_ingred_list!$A$2:$C$300,3,0)&amp;"/detail/"</f>
        <v>/recipes/tomato-chutney-for-noodles/detail/</v>
      </c>
      <c r="X1334" s="81" t="str">
        <f aca="false">J1334</f>
        <v>tejpat</v>
      </c>
      <c r="Y1334" s="81" t="str">
        <f aca="false">R1334</f>
        <v>tej patta</v>
      </c>
      <c r="Z1334" s="94" t="n">
        <f aca="false">VLOOKUP(Y1334,recipe_ingred_list!$D$2:$E$500,2,0)</f>
        <v>191</v>
      </c>
      <c r="AA1334" s="61" t="n">
        <f aca="false">K1334</f>
        <v>0</v>
      </c>
      <c r="AB1334" s="61" t="n">
        <f aca="false">L1334</f>
        <v>0</v>
      </c>
      <c r="AC1334" s="61" t="n">
        <f aca="false">VLOOKUP(AB1334,recipe_ingred_list!$K$2:$M$7,3,0)</f>
        <v>2</v>
      </c>
      <c r="AD1334" s="61" t="n">
        <f aca="false">M1334</f>
        <v>1</v>
      </c>
      <c r="AE1334" s="61" t="str">
        <f aca="false">N1334</f>
        <v>cup</v>
      </c>
      <c r="AF1334" s="61" t="n">
        <f aca="false">VLOOKUP(AE1334,recipe_ingred_list!$K$16:$M$25,3,0)</f>
        <v>5</v>
      </c>
      <c r="AG1334" s="61" t="n">
        <f aca="false">O1334</f>
        <v>0</v>
      </c>
      <c r="AH1334" s="61" t="n">
        <f aca="false">P1334</f>
        <v>0</v>
      </c>
      <c r="AI1334" s="61" t="n">
        <f aca="false">VLOOKUP(AH1334,recipe_ingred_list!$K$29:$M$34,3,0)</f>
        <v>3</v>
      </c>
      <c r="AJ1334" s="61" t="str">
        <f aca="false">IF(Q1334="","",Q1334)</f>
        <v/>
      </c>
      <c r="AK1334" s="61" t="n">
        <f aca="false">AK1333+1</f>
        <v>1334</v>
      </c>
      <c r="AL1334" s="61" t="str">
        <f aca="false">Y1334</f>
        <v>tej patta</v>
      </c>
      <c r="AM1334" s="81" t="str">
        <f aca="false">"a = Client().post('"&amp;W1334&amp;"', {'recipe' : '"&amp;V1334&amp;"', 'ingredient' : '"&amp;Z1334&amp;"', 'name' : '"&amp;X1334&amp;"', 'mass_unit' : '"&amp;AC1334&amp;"', 'mass_quantity' : '"&amp;ROUND(AA1334,3)&amp;"', 'volume_unit' : '"&amp;AF1334&amp;"', 'volume_quantity' : '"&amp;ROUND(AD1334,3)&amp;"', 'pieces_unit' : '"&amp;AI1334&amp;"', 'pieces_quantity' : '"&amp;ROUND(AG1334,3)&amp;"', 'cooking_notes' : '"&amp;AJ1334&amp;"'}).status_code; print('%s :: %s :: %s :: %s :: %s' %(a,"&amp;G1334&amp;",'"&amp;X1334&amp;"','"&amp;Y1334&amp;"','"&amp;U1334&amp;"'))"</f>
        <v>a = Client().post('/recipes/tomato-chutney-for-noodles/detail/', {'recipe' : '80', 'ingredient' : '191', 'name' : 'tejpat', 'mass_unit' : '2', 'mass_quantity' : '0', 'volume_unit' : '5', 'volume_quantity' : '1', 'pieces_unit' : '3', 'pieces_quantity' : '0', 'cooking_notes' : ''}).status_code; print('%s :: %s :: %s :: %s :: %s' %(a,1334,'tejpat','tej patta','TOMATO  CHUTNEY FOR NOODLES'))</v>
      </c>
      <c r="AMJ1334" s="0"/>
    </row>
    <row r="1335" s="181" customFormat="true" ht="13.8" hidden="false" customHeight="false" outlineLevel="0" collapsed="false">
      <c r="A1335" s="0"/>
      <c r="B1335" s="0"/>
      <c r="C1335" s="0"/>
      <c r="D1335" s="0"/>
      <c r="E1335" s="0"/>
      <c r="F1335" s="0"/>
      <c r="G1335" s="80" t="n">
        <v>1335</v>
      </c>
      <c r="H1335" s="182"/>
      <c r="I1335" s="182" t="s">
        <v>349</v>
      </c>
      <c r="J1335" s="182" t="s">
        <v>96</v>
      </c>
      <c r="K1335" s="75"/>
      <c r="L1335" s="75"/>
      <c r="M1335" s="75" t="n">
        <v>0.7</v>
      </c>
      <c r="N1335" s="75" t="s">
        <v>20</v>
      </c>
      <c r="O1335" s="75"/>
      <c r="P1335" s="75"/>
      <c r="Q1335" s="183"/>
      <c r="R1335" s="82" t="str">
        <f aca="false">VLOOKUP(J1335,ingredient!$N$4:$O$553,2,0)</f>
        <v>salt</v>
      </c>
      <c r="U1335" s="81" t="str">
        <f aca="false">I1335</f>
        <v>TOMATO  CHUTNEY FOR NOODLES</v>
      </c>
      <c r="V1335" s="81" t="n">
        <f aca="false">VLOOKUP(U1335,recipe_ingred_list!$A$2:$B$300,2,0)</f>
        <v>80</v>
      </c>
      <c r="W1335" s="81" t="str">
        <f aca="false">"/recipes/"&amp;VLOOKUP(U1335,recipe_ingred_list!$A$2:$C$300,3,0)&amp;"/detail/"</f>
        <v>/recipes/tomato-chutney-for-noodles/detail/</v>
      </c>
      <c r="X1335" s="81" t="str">
        <f aca="false">J1335</f>
        <v>salt</v>
      </c>
      <c r="Y1335" s="81" t="str">
        <f aca="false">R1335</f>
        <v>salt</v>
      </c>
      <c r="Z1335" s="94" t="n">
        <f aca="false">VLOOKUP(Y1335,recipe_ingred_list!$D$2:$E$500,2,0)</f>
        <v>177</v>
      </c>
      <c r="AA1335" s="61" t="n">
        <f aca="false">K1335</f>
        <v>0</v>
      </c>
      <c r="AB1335" s="61" t="n">
        <f aca="false">L1335</f>
        <v>0</v>
      </c>
      <c r="AC1335" s="61" t="n">
        <f aca="false">VLOOKUP(AB1335,recipe_ingred_list!$K$2:$M$7,3,0)</f>
        <v>2</v>
      </c>
      <c r="AD1335" s="61" t="n">
        <f aca="false">M1335</f>
        <v>0.7</v>
      </c>
      <c r="AE1335" s="61" t="str">
        <f aca="false">N1335</f>
        <v>cup</v>
      </c>
      <c r="AF1335" s="61" t="n">
        <f aca="false">VLOOKUP(AE1335,recipe_ingred_list!$K$16:$M$25,3,0)</f>
        <v>5</v>
      </c>
      <c r="AG1335" s="61" t="n">
        <f aca="false">O1335</f>
        <v>0</v>
      </c>
      <c r="AH1335" s="61" t="n">
        <f aca="false">P1335</f>
        <v>0</v>
      </c>
      <c r="AI1335" s="61" t="n">
        <f aca="false">VLOOKUP(AH1335,recipe_ingred_list!$K$29:$M$34,3,0)</f>
        <v>3</v>
      </c>
      <c r="AJ1335" s="61" t="str">
        <f aca="false">IF(Q1335="","",Q1335)</f>
        <v/>
      </c>
      <c r="AK1335" s="61" t="n">
        <f aca="false">AK1334+1</f>
        <v>1335</v>
      </c>
      <c r="AL1335" s="61" t="str">
        <f aca="false">Y1335</f>
        <v>salt</v>
      </c>
      <c r="AM1335" s="81" t="str">
        <f aca="false">"a = Client().post('"&amp;W1335&amp;"', {'recipe' : '"&amp;V1335&amp;"', 'ingredient' : '"&amp;Z1335&amp;"', 'name' : '"&amp;X1335&amp;"', 'mass_unit' : '"&amp;AC1335&amp;"', 'mass_quantity' : '"&amp;ROUND(AA1335,3)&amp;"', 'volume_unit' : '"&amp;AF1335&amp;"', 'volume_quantity' : '"&amp;ROUND(AD1335,3)&amp;"', 'pieces_unit' : '"&amp;AI1335&amp;"', 'pieces_quantity' : '"&amp;ROUND(AG1335,3)&amp;"', 'cooking_notes' : '"&amp;AJ1335&amp;"'}).status_code; print('%s :: %s :: %s :: %s :: %s' %(a,"&amp;G1335&amp;",'"&amp;X1335&amp;"','"&amp;Y1335&amp;"','"&amp;U1335&amp;"'))"</f>
        <v>a = Client().post('/recipes/tomato-chutney-for-noodles/detail/', {'recipe' : '80', 'ingredient' : '177', 'name' : 'salt', 'mass_unit' : '2', 'mass_quantity' : '0', 'volume_unit' : '5', 'volume_quantity' : '0.7', 'pieces_unit' : '3', 'pieces_quantity' : '0', 'cooking_notes' : ''}).status_code; print('%s :: %s :: %s :: %s :: %s' %(a,1335,'salt','salt','TOMATO  CHUTNEY FOR NOODLES'))</v>
      </c>
      <c r="AMJ1335" s="0"/>
    </row>
    <row r="1336" s="181" customFormat="true" ht="13.8" hidden="false" customHeight="false" outlineLevel="0" collapsed="false">
      <c r="A1336" s="0"/>
      <c r="B1336" s="0"/>
      <c r="C1336" s="0"/>
      <c r="D1336" s="0"/>
      <c r="E1336" s="0"/>
      <c r="F1336" s="0"/>
      <c r="G1336" s="80" t="n">
        <v>1336</v>
      </c>
      <c r="H1336" s="182"/>
      <c r="I1336" s="182" t="s">
        <v>349</v>
      </c>
      <c r="J1336" s="182" t="s">
        <v>934</v>
      </c>
      <c r="K1336" s="75"/>
      <c r="L1336" s="75"/>
      <c r="M1336" s="75" t="n">
        <v>0.5</v>
      </c>
      <c r="N1336" s="75" t="s">
        <v>20</v>
      </c>
      <c r="O1336" s="75"/>
      <c r="P1336" s="75"/>
      <c r="Q1336" s="183"/>
      <c r="R1336" s="82" t="str">
        <f aca="false">VLOOKUP(J1336,ingredient!$N$4:$O$553,2,0)</f>
        <v>madrasi mirchi powder</v>
      </c>
      <c r="U1336" s="81" t="str">
        <f aca="false">I1336</f>
        <v>TOMATO  CHUTNEY FOR NOODLES</v>
      </c>
      <c r="V1336" s="81" t="n">
        <f aca="false">VLOOKUP(U1336,recipe_ingred_list!$A$2:$B$300,2,0)</f>
        <v>80</v>
      </c>
      <c r="W1336" s="81" t="str">
        <f aca="false">"/recipes/"&amp;VLOOKUP(U1336,recipe_ingred_list!$A$2:$C$300,3,0)&amp;"/detail/"</f>
        <v>/recipes/tomato-chutney-for-noodles/detail/</v>
      </c>
      <c r="X1336" s="81" t="str">
        <f aca="false">J1336</f>
        <v>madrsi pw</v>
      </c>
      <c r="Y1336" s="81" t="str">
        <f aca="false">R1336</f>
        <v>madrasi mirchi powder</v>
      </c>
      <c r="Z1336" s="94" t="n">
        <f aca="false">VLOOKUP(Y1336,recipe_ingred_list!$D$2:$E$500,2,0)</f>
        <v>135</v>
      </c>
      <c r="AA1336" s="61" t="n">
        <f aca="false">K1336</f>
        <v>0</v>
      </c>
      <c r="AB1336" s="61" t="n">
        <f aca="false">L1336</f>
        <v>0</v>
      </c>
      <c r="AC1336" s="61" t="n">
        <f aca="false">VLOOKUP(AB1336,recipe_ingred_list!$K$2:$M$7,3,0)</f>
        <v>2</v>
      </c>
      <c r="AD1336" s="61" t="n">
        <f aca="false">M1336</f>
        <v>0.5</v>
      </c>
      <c r="AE1336" s="61" t="str">
        <f aca="false">N1336</f>
        <v>cup</v>
      </c>
      <c r="AF1336" s="61" t="n">
        <f aca="false">VLOOKUP(AE1336,recipe_ingred_list!$K$16:$M$25,3,0)</f>
        <v>5</v>
      </c>
      <c r="AG1336" s="61" t="n">
        <f aca="false">O1336</f>
        <v>0</v>
      </c>
      <c r="AH1336" s="61" t="n">
        <f aca="false">P1336</f>
        <v>0</v>
      </c>
      <c r="AI1336" s="61" t="n">
        <f aca="false">VLOOKUP(AH1336,recipe_ingred_list!$K$29:$M$34,3,0)</f>
        <v>3</v>
      </c>
      <c r="AJ1336" s="61" t="str">
        <f aca="false">IF(Q1336="","",Q1336)</f>
        <v/>
      </c>
      <c r="AK1336" s="61" t="n">
        <f aca="false">AK1335+1</f>
        <v>1336</v>
      </c>
      <c r="AL1336" s="61" t="str">
        <f aca="false">Y1336</f>
        <v>madrasi mirchi powder</v>
      </c>
      <c r="AM1336" s="81" t="str">
        <f aca="false">"a = Client().post('"&amp;W1336&amp;"', {'recipe' : '"&amp;V1336&amp;"', 'ingredient' : '"&amp;Z1336&amp;"', 'name' : '"&amp;X1336&amp;"', 'mass_unit' : '"&amp;AC1336&amp;"', 'mass_quantity' : '"&amp;ROUND(AA1336,3)&amp;"', 'volume_unit' : '"&amp;AF1336&amp;"', 'volume_quantity' : '"&amp;ROUND(AD1336,3)&amp;"', 'pieces_unit' : '"&amp;AI1336&amp;"', 'pieces_quantity' : '"&amp;ROUND(AG1336,3)&amp;"', 'cooking_notes' : '"&amp;AJ1336&amp;"'}).status_code; print('%s :: %s :: %s :: %s :: %s' %(a,"&amp;G1336&amp;",'"&amp;X1336&amp;"','"&amp;Y1336&amp;"','"&amp;U1336&amp;"'))"</f>
        <v>a = Client().post('/recipes/tomato-chutney-for-noodles/detail/', {'recipe' : '80', 'ingredient' : '135', 'name' : 'madrsi pw', 'mass_unit' : '2', 'mass_quantity' : '0', 'volume_unit' : '5', 'volume_quantity' : '0.5', 'pieces_unit' : '3', 'pieces_quantity' : '0', 'cooking_notes' : ''}).status_code; print('%s :: %s :: %s :: %s :: %s' %(a,1336,'madrsi pw','madrasi mirchi powder','TOMATO  CHUTNEY FOR NOODLES'))</v>
      </c>
      <c r="AMJ1336" s="0"/>
    </row>
    <row r="1337" customFormat="false" ht="13.8" hidden="false" customHeight="false" outlineLevel="0" collapsed="false">
      <c r="G1337" s="80" t="n">
        <v>1337</v>
      </c>
      <c r="H1337" s="79"/>
      <c r="I1337" s="79"/>
      <c r="J1337" s="79"/>
      <c r="K1337" s="100"/>
      <c r="L1337" s="100"/>
      <c r="M1337" s="100"/>
      <c r="N1337" s="100"/>
      <c r="O1337" s="100"/>
      <c r="P1337" s="100"/>
      <c r="Q1337" s="102"/>
      <c r="R1337" s="99" t="e">
        <f aca="false">VLOOKUP(J1337,ingredient!$N$4:$O$553,2,0)</f>
        <v>#N/A</v>
      </c>
      <c r="S1337" s="98"/>
      <c r="T1337" s="98"/>
      <c r="U1337" s="81" t="n">
        <f aca="false">I1337</f>
        <v>0</v>
      </c>
      <c r="V1337" s="81" t="e">
        <f aca="false">VLOOKUP(U1337,recipe_ingred_list!$A$2:$B$300,2,0)</f>
        <v>#N/A</v>
      </c>
      <c r="W1337" s="81" t="e">
        <f aca="false">"/recipes/"&amp;VLOOKUP(U1337,recipe_ingred_list!$A$2:$C$300,3,0)&amp;"/detail/"</f>
        <v>#N/A</v>
      </c>
      <c r="X1337" s="81" t="n">
        <f aca="false">J1337</f>
        <v>0</v>
      </c>
      <c r="Y1337" s="81" t="e">
        <f aca="false">R1337</f>
        <v>#N/A</v>
      </c>
      <c r="Z1337" s="94" t="e">
        <f aca="false">VLOOKUP(Y1337,recipe_ingred_list!$D$2:$E$500,2,0)</f>
        <v>#N/A</v>
      </c>
      <c r="AA1337" s="61" t="n">
        <f aca="false">K1337</f>
        <v>0</v>
      </c>
      <c r="AB1337" s="61" t="n">
        <f aca="false">L1337</f>
        <v>0</v>
      </c>
      <c r="AC1337" s="61" t="n">
        <f aca="false">VLOOKUP(AB1337,recipe_ingred_list!$K$2:$M$7,3,0)</f>
        <v>2</v>
      </c>
      <c r="AD1337" s="61" t="n">
        <f aca="false">M1337</f>
        <v>0</v>
      </c>
      <c r="AE1337" s="61" t="n">
        <f aca="false">N1337</f>
        <v>0</v>
      </c>
      <c r="AF1337" s="61" t="n">
        <f aca="false">VLOOKUP(AE1337,recipe_ingred_list!$K$16:$M$25,3,0)</f>
        <v>1</v>
      </c>
      <c r="AG1337" s="61" t="n">
        <f aca="false">O1337</f>
        <v>0</v>
      </c>
      <c r="AH1337" s="61" t="n">
        <f aca="false">P1337</f>
        <v>0</v>
      </c>
      <c r="AI1337" s="61" t="n">
        <f aca="false">VLOOKUP(AH1337,recipe_ingred_list!$K$29:$M$34,3,0)</f>
        <v>3</v>
      </c>
      <c r="AJ1337" s="61" t="str">
        <f aca="false">IF(Q1337="","",Q1337)</f>
        <v/>
      </c>
      <c r="AK1337" s="61" t="n">
        <f aca="false">AK1336+1</f>
        <v>1337</v>
      </c>
      <c r="AL1337" s="61" t="e">
        <f aca="false">Y1337</f>
        <v>#N/A</v>
      </c>
      <c r="AM1337" s="81" t="e">
        <f aca="false">"a = Client().post('"&amp;W1337&amp;"', {'recipe' : '"&amp;V1337&amp;"', 'ingredient' : '"&amp;Z1337&amp;"', 'name' : '"&amp;X1337&amp;"', 'mass_unit' : '"&amp;AC1337&amp;"', 'mass_quantity' : '"&amp;ROUND(AA1337,3)&amp;"', 'volume_unit' : '"&amp;AF1337&amp;"', 'volume_quantity' : '"&amp;ROUND(AD1337,3)&amp;"', 'pieces_unit' : '"&amp;AI1337&amp;"', 'pieces_quantity' : '"&amp;ROUND(AG1337,3)&amp;"', 'cooking_notes' : '"&amp;AJ1337&amp;"'}).status_code; print('%s :: %s :: %s :: %s :: %s' %(a,"&amp;G1337&amp;",'"&amp;X1337&amp;"','"&amp;Y1337&amp;"','"&amp;U1337&amp;"'))"</f>
        <v>#N/A</v>
      </c>
    </row>
    <row r="1338" s="94" customFormat="true" ht="14.9" hidden="false" customHeight="false" outlineLevel="0" collapsed="false">
      <c r="A1338" s="0"/>
      <c r="B1338" s="0"/>
      <c r="C1338" s="0"/>
      <c r="D1338" s="0"/>
      <c r="E1338" s="0"/>
      <c r="F1338" s="0"/>
      <c r="G1338" s="80" t="n">
        <v>1338</v>
      </c>
      <c r="H1338" s="184"/>
      <c r="I1338" s="184" t="s">
        <v>304</v>
      </c>
      <c r="J1338" s="184" t="s">
        <v>303</v>
      </c>
      <c r="K1338" s="185" t="n">
        <v>2</v>
      </c>
      <c r="L1338" s="185" t="s">
        <v>7</v>
      </c>
      <c r="M1338" s="185"/>
      <c r="N1338" s="185"/>
      <c r="O1338" s="185"/>
      <c r="P1338" s="185"/>
      <c r="Q1338" s="186" t="s">
        <v>935</v>
      </c>
      <c r="R1338" s="82" t="str">
        <f aca="false">VLOOKUP(J1338,ingredient!$N$4:$O$553,2,0)</f>
        <v>dates</v>
      </c>
      <c r="U1338" s="81" t="str">
        <f aca="false">I1338</f>
        <v>RED CHUTNEY</v>
      </c>
      <c r="V1338" s="81" t="n">
        <f aca="false">VLOOKUP(U1338,recipe_ingred_list!$A$2:$B$300,2,0)</f>
        <v>65</v>
      </c>
      <c r="W1338" s="81" t="str">
        <f aca="false">"/recipes/"&amp;VLOOKUP(U1338,recipe_ingred_list!$A$2:$C$300,3,0)&amp;"/detail/"</f>
        <v>/recipes/red-chutney/detail/</v>
      </c>
      <c r="X1338" s="81" t="str">
        <f aca="false">J1338</f>
        <v>dates</v>
      </c>
      <c r="Y1338" s="81" t="str">
        <f aca="false">R1338</f>
        <v>dates</v>
      </c>
      <c r="Z1338" s="94" t="n">
        <f aca="false">VLOOKUP(Y1338,recipe_ingred_list!$D$2:$E$500,2,0)</f>
        <v>64</v>
      </c>
      <c r="AA1338" s="61" t="n">
        <f aca="false">K1338</f>
        <v>2</v>
      </c>
      <c r="AB1338" s="61" t="str">
        <f aca="false">L1338</f>
        <v>kg</v>
      </c>
      <c r="AC1338" s="61" t="n">
        <f aca="false">VLOOKUP(AB1338,recipe_ingred_list!$K$2:$M$7,3,0)</f>
        <v>2</v>
      </c>
      <c r="AD1338" s="61" t="n">
        <f aca="false">M1338</f>
        <v>0</v>
      </c>
      <c r="AE1338" s="61" t="n">
        <f aca="false">N1338</f>
        <v>0</v>
      </c>
      <c r="AF1338" s="61" t="n">
        <f aca="false">VLOOKUP(AE1338,recipe_ingred_list!$K$16:$M$25,3,0)</f>
        <v>1</v>
      </c>
      <c r="AG1338" s="61" t="n">
        <f aca="false">O1338</f>
        <v>0</v>
      </c>
      <c r="AH1338" s="61" t="n">
        <f aca="false">P1338</f>
        <v>0</v>
      </c>
      <c r="AI1338" s="61" t="n">
        <f aca="false">VLOOKUP(AH1338,recipe_ingred_list!$K$29:$M$34,3,0)</f>
        <v>3</v>
      </c>
      <c r="AJ1338" s="61" t="str">
        <f aca="false">IF(Q1338="","",Q1338)</f>
        <v>1st boil dates,jaggary,imli </v>
      </c>
      <c r="AK1338" s="61" t="n">
        <f aca="false">AK1337+1</f>
        <v>1338</v>
      </c>
      <c r="AL1338" s="61" t="str">
        <f aca="false">Y1338</f>
        <v>dates</v>
      </c>
      <c r="AM1338" s="81" t="str">
        <f aca="false">"a = Client().post('"&amp;W1338&amp;"', {'recipe' : '"&amp;V1338&amp;"', 'ingredient' : '"&amp;Z1338&amp;"', 'name' : '"&amp;X1338&amp;"', 'mass_unit' : '"&amp;AC1338&amp;"', 'mass_quantity' : '"&amp;ROUND(AA1338,3)&amp;"', 'volume_unit' : '"&amp;AF1338&amp;"', 'volume_quantity' : '"&amp;ROUND(AD1338,3)&amp;"', 'pieces_unit' : '"&amp;AI1338&amp;"', 'pieces_quantity' : '"&amp;ROUND(AG1338,3)&amp;"', 'cooking_notes' : '"&amp;AJ1338&amp;"'}).status_code; print('%s :: %s :: %s :: %s :: %s' %(a,"&amp;G1338&amp;",'"&amp;X1338&amp;"','"&amp;Y1338&amp;"','"&amp;U1338&amp;"'))"</f>
        <v>a = Client().post('/recipes/red-chutney/detail/', {'recipe' : '65', 'ingredient' : '64', 'name' : 'dates', 'mass_unit' : '2', 'mass_quantity' : '2', 'volume_unit' : '1', 'volume_quantity' : '0', 'pieces_unit' : '3', 'pieces_quantity' : '0', 'cooking_notes' : '1st boil dates,jaggary,imli '}).status_code; print('%s :: %s :: %s :: %s :: %s' %(a,1338,'dates','dates','RED CHUTNEY'))</v>
      </c>
      <c r="AMJ1338" s="0"/>
    </row>
    <row r="1339" s="94" customFormat="true" ht="14.9" hidden="false" customHeight="false" outlineLevel="0" collapsed="false">
      <c r="A1339" s="0"/>
      <c r="B1339" s="0"/>
      <c r="C1339" s="0"/>
      <c r="D1339" s="0"/>
      <c r="E1339" s="0"/>
      <c r="F1339" s="0"/>
      <c r="G1339" s="80" t="n">
        <v>1339</v>
      </c>
      <c r="H1339" s="184"/>
      <c r="I1339" s="184" t="s">
        <v>304</v>
      </c>
      <c r="J1339" s="184" t="s">
        <v>821</v>
      </c>
      <c r="K1339" s="185" t="n">
        <v>2</v>
      </c>
      <c r="L1339" s="185" t="s">
        <v>7</v>
      </c>
      <c r="M1339" s="185"/>
      <c r="N1339" s="185"/>
      <c r="O1339" s="185"/>
      <c r="P1339" s="185"/>
      <c r="Q1339" s="186" t="s">
        <v>936</v>
      </c>
      <c r="R1339" s="82" t="str">
        <f aca="false">VLOOKUP(J1339,ingredient!$N$4:$O$553,2,0)</f>
        <v>gud</v>
      </c>
      <c r="U1339" s="81" t="str">
        <f aca="false">I1339</f>
        <v>RED CHUTNEY</v>
      </c>
      <c r="V1339" s="81" t="n">
        <f aca="false">VLOOKUP(U1339,recipe_ingred_list!$A$2:$B$300,2,0)</f>
        <v>65</v>
      </c>
      <c r="W1339" s="81" t="str">
        <f aca="false">"/recipes/"&amp;VLOOKUP(U1339,recipe_ingred_list!$A$2:$C$300,3,0)&amp;"/detail/"</f>
        <v>/recipes/red-chutney/detail/</v>
      </c>
      <c r="X1339" s="81" t="str">
        <f aca="false">J1339</f>
        <v>jaggary</v>
      </c>
      <c r="Y1339" s="81" t="str">
        <f aca="false">R1339</f>
        <v>gud</v>
      </c>
      <c r="Z1339" s="94" t="n">
        <f aca="false">VLOOKUP(Y1339,recipe_ingred_list!$D$2:$E$500,2,0)</f>
        <v>90</v>
      </c>
      <c r="AA1339" s="61" t="n">
        <f aca="false">K1339</f>
        <v>2</v>
      </c>
      <c r="AB1339" s="61" t="str">
        <f aca="false">L1339</f>
        <v>kg</v>
      </c>
      <c r="AC1339" s="61" t="n">
        <f aca="false">VLOOKUP(AB1339,recipe_ingred_list!$K$2:$M$7,3,0)</f>
        <v>2</v>
      </c>
      <c r="AD1339" s="61" t="n">
        <f aca="false">M1339</f>
        <v>0</v>
      </c>
      <c r="AE1339" s="61" t="n">
        <f aca="false">N1339</f>
        <v>0</v>
      </c>
      <c r="AF1339" s="61" t="n">
        <f aca="false">VLOOKUP(AE1339,recipe_ingred_list!$K$16:$M$25,3,0)</f>
        <v>1</v>
      </c>
      <c r="AG1339" s="61" t="n">
        <f aca="false">O1339</f>
        <v>0</v>
      </c>
      <c r="AH1339" s="61" t="n">
        <f aca="false">P1339</f>
        <v>0</v>
      </c>
      <c r="AI1339" s="61" t="n">
        <f aca="false">VLOOKUP(AH1339,recipe_ingred_list!$K$29:$M$34,3,0)</f>
        <v>3</v>
      </c>
      <c r="AJ1339" s="61" t="str">
        <f aca="false">IF(Q1339="","",Q1339)</f>
        <v>and then grind and put in chok</v>
      </c>
      <c r="AK1339" s="61" t="n">
        <f aca="false">AK1338+1</f>
        <v>1339</v>
      </c>
      <c r="AL1339" s="61" t="str">
        <f aca="false">Y1339</f>
        <v>gud</v>
      </c>
      <c r="AM1339" s="81" t="str">
        <f aca="false">"a = Client().post('"&amp;W1339&amp;"', {'recipe' : '"&amp;V1339&amp;"', 'ingredient' : '"&amp;Z1339&amp;"', 'name' : '"&amp;X1339&amp;"', 'mass_unit' : '"&amp;AC1339&amp;"', 'mass_quantity' : '"&amp;ROUND(AA1339,3)&amp;"', 'volume_unit' : '"&amp;AF1339&amp;"', 'volume_quantity' : '"&amp;ROUND(AD1339,3)&amp;"', 'pieces_unit' : '"&amp;AI1339&amp;"', 'pieces_quantity' : '"&amp;ROUND(AG1339,3)&amp;"', 'cooking_notes' : '"&amp;AJ1339&amp;"'}).status_code; print('%s :: %s :: %s :: %s :: %s' %(a,"&amp;G1339&amp;",'"&amp;X1339&amp;"','"&amp;Y1339&amp;"','"&amp;U1339&amp;"'))"</f>
        <v>a = Client().post('/recipes/red-chutney/detail/', {'recipe' : '65', 'ingredient' : '90', 'name' : 'jaggary', 'mass_unit' : '2', 'mass_quantity' : '2', 'volume_unit' : '1', 'volume_quantity' : '0', 'pieces_unit' : '3', 'pieces_quantity' : '0', 'cooking_notes' : 'and then grind and put in chok'}).status_code; print('%s :: %s :: %s :: %s :: %s' %(a,1339,'jaggary','gud','RED CHUTNEY'))</v>
      </c>
      <c r="AMJ1339" s="0"/>
    </row>
    <row r="1340" s="94" customFormat="true" ht="13.8" hidden="false" customHeight="false" outlineLevel="0" collapsed="false">
      <c r="A1340" s="0"/>
      <c r="B1340" s="0"/>
      <c r="C1340" s="0"/>
      <c r="D1340" s="0"/>
      <c r="E1340" s="0"/>
      <c r="F1340" s="0"/>
      <c r="G1340" s="80" t="n">
        <v>1340</v>
      </c>
      <c r="H1340" s="184"/>
      <c r="I1340" s="184" t="s">
        <v>304</v>
      </c>
      <c r="J1340" s="184" t="s">
        <v>394</v>
      </c>
      <c r="K1340" s="185" t="n">
        <v>500</v>
      </c>
      <c r="L1340" s="185" t="s">
        <v>109</v>
      </c>
      <c r="M1340" s="185"/>
      <c r="N1340" s="185"/>
      <c r="O1340" s="185"/>
      <c r="P1340" s="185"/>
      <c r="Q1340" s="186"/>
      <c r="R1340" s="82" t="str">
        <f aca="false">VLOOKUP(J1340,ingredient!$N$4:$O$553,2,0)</f>
        <v>imli</v>
      </c>
      <c r="U1340" s="81" t="str">
        <f aca="false">I1340</f>
        <v>RED CHUTNEY</v>
      </c>
      <c r="V1340" s="81" t="n">
        <f aca="false">VLOOKUP(U1340,recipe_ingred_list!$A$2:$B$300,2,0)</f>
        <v>65</v>
      </c>
      <c r="W1340" s="81" t="str">
        <f aca="false">"/recipes/"&amp;VLOOKUP(U1340,recipe_ingred_list!$A$2:$C$300,3,0)&amp;"/detail/"</f>
        <v>/recipes/red-chutney/detail/</v>
      </c>
      <c r="X1340" s="81" t="str">
        <f aca="false">J1340</f>
        <v>imli</v>
      </c>
      <c r="Y1340" s="81" t="str">
        <f aca="false">R1340</f>
        <v>imli</v>
      </c>
      <c r="Z1340" s="94" t="n">
        <f aca="false">VLOOKUP(Y1340,recipe_ingred_list!$D$2:$E$500,2,0)</f>
        <v>98</v>
      </c>
      <c r="AA1340" s="61" t="n">
        <f aca="false">K1340</f>
        <v>500</v>
      </c>
      <c r="AB1340" s="61" t="str">
        <f aca="false">L1340</f>
        <v>gm</v>
      </c>
      <c r="AC1340" s="61" t="n">
        <f aca="false">VLOOKUP(AB1340,recipe_ingred_list!$K$2:$M$7,3,0)</f>
        <v>7</v>
      </c>
      <c r="AD1340" s="61" t="n">
        <f aca="false">M1340</f>
        <v>0</v>
      </c>
      <c r="AE1340" s="61" t="n">
        <f aca="false">N1340</f>
        <v>0</v>
      </c>
      <c r="AF1340" s="61" t="n">
        <f aca="false">VLOOKUP(AE1340,recipe_ingred_list!$K$16:$M$25,3,0)</f>
        <v>1</v>
      </c>
      <c r="AG1340" s="61" t="n">
        <f aca="false">O1340</f>
        <v>0</v>
      </c>
      <c r="AH1340" s="61" t="n">
        <f aca="false">P1340</f>
        <v>0</v>
      </c>
      <c r="AI1340" s="61" t="n">
        <f aca="false">VLOOKUP(AH1340,recipe_ingred_list!$K$29:$M$34,3,0)</f>
        <v>3</v>
      </c>
      <c r="AJ1340" s="61" t="str">
        <f aca="false">IF(Q1340="","",Q1340)</f>
        <v/>
      </c>
      <c r="AK1340" s="61" t="n">
        <f aca="false">AK1339+1</f>
        <v>1340</v>
      </c>
      <c r="AL1340" s="61" t="str">
        <f aca="false">Y1340</f>
        <v>imli</v>
      </c>
      <c r="AM1340" s="81" t="str">
        <f aca="false">"a = Client().post('"&amp;W1340&amp;"', {'recipe' : '"&amp;V1340&amp;"', 'ingredient' : '"&amp;Z1340&amp;"', 'name' : '"&amp;X1340&amp;"', 'mass_unit' : '"&amp;AC1340&amp;"', 'mass_quantity' : '"&amp;ROUND(AA1340,3)&amp;"', 'volume_unit' : '"&amp;AF1340&amp;"', 'volume_quantity' : '"&amp;ROUND(AD1340,3)&amp;"', 'pieces_unit' : '"&amp;AI1340&amp;"', 'pieces_quantity' : '"&amp;ROUND(AG1340,3)&amp;"', 'cooking_notes' : '"&amp;AJ1340&amp;"'}).status_code; print('%s :: %s :: %s :: %s :: %s' %(a,"&amp;G1340&amp;",'"&amp;X1340&amp;"','"&amp;Y1340&amp;"','"&amp;U1340&amp;"'))"</f>
        <v>a = Client().post('/recipes/red-chutney/detail/', {'recipe' : '65', 'ingredient' : '98', 'name' : 'imli', 'mass_unit' : '7', 'mass_quantity' : '500', 'volume_unit' : '1', 'volume_quantity' : '0', 'pieces_unit' : '3', 'pieces_quantity' : '0', 'cooking_notes' : ''}).status_code; print('%s :: %s :: %s :: %s :: %s' %(a,1340,'imli','imli','RED CHUTNEY'))</v>
      </c>
      <c r="AMJ1340" s="0"/>
    </row>
    <row r="1341" s="94" customFormat="true" ht="13.8" hidden="false" customHeight="false" outlineLevel="0" collapsed="false">
      <c r="A1341" s="0"/>
      <c r="B1341" s="0"/>
      <c r="C1341" s="0"/>
      <c r="D1341" s="0"/>
      <c r="E1341" s="0"/>
      <c r="F1341" s="0"/>
      <c r="G1341" s="80" t="n">
        <v>1341</v>
      </c>
      <c r="H1341" s="184"/>
      <c r="I1341" s="184" t="s">
        <v>304</v>
      </c>
      <c r="J1341" s="184" t="s">
        <v>500</v>
      </c>
      <c r="K1341" s="185"/>
      <c r="L1341" s="185"/>
      <c r="M1341" s="185"/>
      <c r="N1341" s="185"/>
      <c r="O1341" s="185"/>
      <c r="P1341" s="185"/>
      <c r="Q1341" s="186"/>
      <c r="R1341" s="82" t="str">
        <f aca="false">VLOOKUP(J1341,ingredient!$N$4:$O$553,2,0)</f>
        <v>chok</v>
      </c>
      <c r="U1341" s="81" t="str">
        <f aca="false">I1341</f>
        <v>RED CHUTNEY</v>
      </c>
      <c r="V1341" s="81" t="n">
        <f aca="false">VLOOKUP(U1341,recipe_ingred_list!$A$2:$B$300,2,0)</f>
        <v>65</v>
      </c>
      <c r="W1341" s="81" t="str">
        <f aca="false">"/recipes/"&amp;VLOOKUP(U1341,recipe_ingred_list!$A$2:$C$300,3,0)&amp;"/detail/"</f>
        <v>/recipes/red-chutney/detail/</v>
      </c>
      <c r="X1341" s="81" t="str">
        <f aca="false">J1341</f>
        <v>chok</v>
      </c>
      <c r="Y1341" s="81" t="str">
        <f aca="false">R1341</f>
        <v>chok</v>
      </c>
      <c r="Z1341" s="94" t="n">
        <f aca="false">VLOOKUP(Y1341,recipe_ingred_list!$D$2:$E$500,2,0)</f>
        <v>211</v>
      </c>
      <c r="AA1341" s="61" t="n">
        <f aca="false">K1341</f>
        <v>0</v>
      </c>
      <c r="AB1341" s="61" t="n">
        <f aca="false">L1341</f>
        <v>0</v>
      </c>
      <c r="AC1341" s="61" t="n">
        <f aca="false">VLOOKUP(AB1341,recipe_ingred_list!$K$2:$M$7,3,0)</f>
        <v>2</v>
      </c>
      <c r="AD1341" s="61" t="n">
        <f aca="false">M1341</f>
        <v>0</v>
      </c>
      <c r="AE1341" s="61" t="n">
        <f aca="false">N1341</f>
        <v>0</v>
      </c>
      <c r="AF1341" s="61" t="n">
        <f aca="false">VLOOKUP(AE1341,recipe_ingred_list!$K$16:$M$25,3,0)</f>
        <v>1</v>
      </c>
      <c r="AG1341" s="61" t="n">
        <f aca="false">O1341</f>
        <v>0</v>
      </c>
      <c r="AH1341" s="61" t="n">
        <f aca="false">P1341</f>
        <v>0</v>
      </c>
      <c r="AI1341" s="61" t="n">
        <f aca="false">VLOOKUP(AH1341,recipe_ingred_list!$K$29:$M$34,3,0)</f>
        <v>3</v>
      </c>
      <c r="AJ1341" s="61" t="str">
        <f aca="false">IF(Q1341="","",Q1341)</f>
        <v/>
      </c>
      <c r="AK1341" s="61" t="n">
        <f aca="false">AK1340+1</f>
        <v>1341</v>
      </c>
      <c r="AL1341" s="61" t="str">
        <f aca="false">Y1341</f>
        <v>chok</v>
      </c>
      <c r="AM1341" s="81" t="str">
        <f aca="false">"a = Client().post('"&amp;W1341&amp;"', {'recipe' : '"&amp;V1341&amp;"', 'ingredient' : '"&amp;Z1341&amp;"', 'name' : '"&amp;X1341&amp;"', 'mass_unit' : '"&amp;AC1341&amp;"', 'mass_quantity' : '"&amp;ROUND(AA1341,3)&amp;"', 'volume_unit' : '"&amp;AF1341&amp;"', 'volume_quantity' : '"&amp;ROUND(AD1341,3)&amp;"', 'pieces_unit' : '"&amp;AI1341&amp;"', 'pieces_quantity' : '"&amp;ROUND(AG1341,3)&amp;"', 'cooking_notes' : '"&amp;AJ1341&amp;"'}).status_code; print('%s :: %s :: %s :: %s :: %s' %(a,"&amp;G1341&amp;",'"&amp;X1341&amp;"','"&amp;Y1341&amp;"','"&amp;U1341&amp;"'))"</f>
        <v>a = Client().post('/recipes/red-chutney/detail/', {'recipe' : '65', 'ingredient' : '211', 'name' : 'chok', 'mass_unit' : '2', 'mass_quantity' : '0', 'volume_unit' : '1', 'volume_quantity' : '0', 'pieces_unit' : '3', 'pieces_quantity' : '0', 'cooking_notes' : ''}).status_code; print('%s :: %s :: %s :: %s :: %s' %(a,1341,'chok','chok','RED CHUTNEY'))</v>
      </c>
      <c r="AMJ1341" s="0"/>
    </row>
    <row r="1342" s="94" customFormat="true" ht="13.8" hidden="false" customHeight="false" outlineLevel="0" collapsed="false">
      <c r="A1342" s="0"/>
      <c r="B1342" s="0"/>
      <c r="C1342" s="0"/>
      <c r="D1342" s="0"/>
      <c r="E1342" s="0"/>
      <c r="F1342" s="0"/>
      <c r="G1342" s="80" t="n">
        <v>1342</v>
      </c>
      <c r="H1342" s="184"/>
      <c r="I1342" s="184" t="s">
        <v>304</v>
      </c>
      <c r="J1342" s="184" t="s">
        <v>839</v>
      </c>
      <c r="K1342" s="185"/>
      <c r="L1342" s="185"/>
      <c r="M1342" s="185" t="n">
        <v>200</v>
      </c>
      <c r="N1342" s="185" t="s">
        <v>143</v>
      </c>
      <c r="O1342" s="185"/>
      <c r="P1342" s="185"/>
      <c r="Q1342" s="186"/>
      <c r="R1342" s="82" t="str">
        <f aca="false">VLOOKUP(J1342,ingredient!$N$4:$O$553,2,0)</f>
        <v>gound nut oil</v>
      </c>
      <c r="U1342" s="81" t="str">
        <f aca="false">I1342</f>
        <v>RED CHUTNEY</v>
      </c>
      <c r="V1342" s="81" t="n">
        <f aca="false">VLOOKUP(U1342,recipe_ingred_list!$A$2:$B$300,2,0)</f>
        <v>65</v>
      </c>
      <c r="W1342" s="81" t="str">
        <f aca="false">"/recipes/"&amp;VLOOKUP(U1342,recipe_ingred_list!$A$2:$C$300,3,0)&amp;"/detail/"</f>
        <v>/recipes/red-chutney/detail/</v>
      </c>
      <c r="X1342" s="81" t="str">
        <f aca="false">J1342</f>
        <v>oil</v>
      </c>
      <c r="Y1342" s="81" t="str">
        <f aca="false">R1342</f>
        <v>gound nut oil</v>
      </c>
      <c r="Z1342" s="94" t="n">
        <f aca="false">VLOOKUP(Y1342,recipe_ingred_list!$D$2:$E$500,2,0)</f>
        <v>83</v>
      </c>
      <c r="AA1342" s="61" t="n">
        <f aca="false">K1342</f>
        <v>0</v>
      </c>
      <c r="AB1342" s="61" t="n">
        <f aca="false">L1342</f>
        <v>0</v>
      </c>
      <c r="AC1342" s="61" t="n">
        <f aca="false">VLOOKUP(AB1342,recipe_ingred_list!$K$2:$M$7,3,0)</f>
        <v>2</v>
      </c>
      <c r="AD1342" s="61" t="n">
        <f aca="false">M1342</f>
        <v>200</v>
      </c>
      <c r="AE1342" s="61" t="str">
        <f aca="false">N1342</f>
        <v>ml</v>
      </c>
      <c r="AF1342" s="61" t="n">
        <f aca="false">VLOOKUP(AE1342,recipe_ingred_list!$K$16:$M$25,3,0)</f>
        <v>12</v>
      </c>
      <c r="AG1342" s="61" t="n">
        <f aca="false">O1342</f>
        <v>0</v>
      </c>
      <c r="AH1342" s="61" t="n">
        <f aca="false">P1342</f>
        <v>0</v>
      </c>
      <c r="AI1342" s="61" t="n">
        <f aca="false">VLOOKUP(AH1342,recipe_ingred_list!$K$29:$M$34,3,0)</f>
        <v>3</v>
      </c>
      <c r="AJ1342" s="61" t="str">
        <f aca="false">IF(Q1342="","",Q1342)</f>
        <v/>
      </c>
      <c r="AK1342" s="61" t="n">
        <f aca="false">AK1341+1</f>
        <v>1342</v>
      </c>
      <c r="AL1342" s="61" t="str">
        <f aca="false">Y1342</f>
        <v>gound nut oil</v>
      </c>
      <c r="AM1342" s="81" t="str">
        <f aca="false">"a = Client().post('"&amp;W1342&amp;"', {'recipe' : '"&amp;V1342&amp;"', 'ingredient' : '"&amp;Z1342&amp;"', 'name' : '"&amp;X1342&amp;"', 'mass_unit' : '"&amp;AC1342&amp;"', 'mass_quantity' : '"&amp;ROUND(AA1342,3)&amp;"', 'volume_unit' : '"&amp;AF1342&amp;"', 'volume_quantity' : '"&amp;ROUND(AD1342,3)&amp;"', 'pieces_unit' : '"&amp;AI1342&amp;"', 'pieces_quantity' : '"&amp;ROUND(AG1342,3)&amp;"', 'cooking_notes' : '"&amp;AJ1342&amp;"'}).status_code; print('%s :: %s :: %s :: %s :: %s' %(a,"&amp;G1342&amp;",'"&amp;X1342&amp;"','"&amp;Y1342&amp;"','"&amp;U1342&amp;"'))"</f>
        <v>a = Client().post('/recipes/red-chutney/detail/', {'recipe' : '65', 'ingredient' : '83', 'name' : 'oil', 'mass_unit' : '2', 'mass_quantity' : '0', 'volume_unit' : '12', 'volume_quantity' : '200', 'pieces_unit' : '3', 'pieces_quantity' : '0', 'cooking_notes' : ''}).status_code; print('%s :: %s :: %s :: %s :: %s' %(a,1342,'oil','gound nut oil','RED CHUTNEY'))</v>
      </c>
      <c r="AMJ1342" s="0"/>
    </row>
    <row r="1343" s="94" customFormat="true" ht="13.8" hidden="false" customHeight="false" outlineLevel="0" collapsed="false">
      <c r="A1343" s="0"/>
      <c r="B1343" s="0"/>
      <c r="C1343" s="0"/>
      <c r="D1343" s="0"/>
      <c r="E1343" s="0"/>
      <c r="F1343" s="0"/>
      <c r="G1343" s="80" t="n">
        <v>1343</v>
      </c>
      <c r="H1343" s="184"/>
      <c r="I1343" s="184" t="s">
        <v>304</v>
      </c>
      <c r="J1343" s="184" t="s">
        <v>391</v>
      </c>
      <c r="K1343" s="185"/>
      <c r="L1343" s="185"/>
      <c r="M1343" s="185" t="n">
        <v>0.1</v>
      </c>
      <c r="N1343" s="185" t="s">
        <v>20</v>
      </c>
      <c r="O1343" s="185"/>
      <c r="P1343" s="185"/>
      <c r="Q1343" s="186"/>
      <c r="R1343" s="82" t="str">
        <f aca="false">VLOOKUP(J1343,ingredient!$N$4:$O$553,2,0)</f>
        <v>hing</v>
      </c>
      <c r="U1343" s="81" t="str">
        <f aca="false">I1343</f>
        <v>RED CHUTNEY</v>
      </c>
      <c r="V1343" s="81" t="n">
        <f aca="false">VLOOKUP(U1343,recipe_ingred_list!$A$2:$B$300,2,0)</f>
        <v>65</v>
      </c>
      <c r="W1343" s="81" t="str">
        <f aca="false">"/recipes/"&amp;VLOOKUP(U1343,recipe_ingred_list!$A$2:$C$300,3,0)&amp;"/detail/"</f>
        <v>/recipes/red-chutney/detail/</v>
      </c>
      <c r="X1343" s="81" t="str">
        <f aca="false">J1343</f>
        <v>hing</v>
      </c>
      <c r="Y1343" s="81" t="str">
        <f aca="false">R1343</f>
        <v>hing</v>
      </c>
      <c r="Z1343" s="94" t="n">
        <f aca="false">VLOOKUP(Y1343,recipe_ingred_list!$D$2:$E$500,2,0)</f>
        <v>95</v>
      </c>
      <c r="AA1343" s="61" t="n">
        <f aca="false">K1343</f>
        <v>0</v>
      </c>
      <c r="AB1343" s="61" t="n">
        <f aca="false">L1343</f>
        <v>0</v>
      </c>
      <c r="AC1343" s="61" t="n">
        <f aca="false">VLOOKUP(AB1343,recipe_ingred_list!$K$2:$M$7,3,0)</f>
        <v>2</v>
      </c>
      <c r="AD1343" s="61" t="n">
        <f aca="false">M1343</f>
        <v>0.1</v>
      </c>
      <c r="AE1343" s="61" t="str">
        <f aca="false">N1343</f>
        <v>cup</v>
      </c>
      <c r="AF1343" s="61" t="n">
        <f aca="false">VLOOKUP(AE1343,recipe_ingred_list!$K$16:$M$25,3,0)</f>
        <v>5</v>
      </c>
      <c r="AG1343" s="61" t="n">
        <f aca="false">O1343</f>
        <v>0</v>
      </c>
      <c r="AH1343" s="61" t="n">
        <f aca="false">P1343</f>
        <v>0</v>
      </c>
      <c r="AI1343" s="61" t="n">
        <f aca="false">VLOOKUP(AH1343,recipe_ingred_list!$K$29:$M$34,3,0)</f>
        <v>3</v>
      </c>
      <c r="AJ1343" s="61" t="str">
        <f aca="false">IF(Q1343="","",Q1343)</f>
        <v/>
      </c>
      <c r="AK1343" s="61" t="n">
        <f aca="false">AK1342+1</f>
        <v>1343</v>
      </c>
      <c r="AL1343" s="61" t="str">
        <f aca="false">Y1343</f>
        <v>hing</v>
      </c>
      <c r="AM1343" s="81" t="str">
        <f aca="false">"a = Client().post('"&amp;W1343&amp;"', {'recipe' : '"&amp;V1343&amp;"', 'ingredient' : '"&amp;Z1343&amp;"', 'name' : '"&amp;X1343&amp;"', 'mass_unit' : '"&amp;AC1343&amp;"', 'mass_quantity' : '"&amp;ROUND(AA1343,3)&amp;"', 'volume_unit' : '"&amp;AF1343&amp;"', 'volume_quantity' : '"&amp;ROUND(AD1343,3)&amp;"', 'pieces_unit' : '"&amp;AI1343&amp;"', 'pieces_quantity' : '"&amp;ROUND(AG1343,3)&amp;"', 'cooking_notes' : '"&amp;AJ1343&amp;"'}).status_code; print('%s :: %s :: %s :: %s :: %s' %(a,"&amp;G1343&amp;",'"&amp;X1343&amp;"','"&amp;Y1343&amp;"','"&amp;U1343&amp;"'))"</f>
        <v>a = Client().post('/recipes/red-chutney/detail/', {'recipe' : '65', 'ingredient' : '95', 'name' : 'hing', 'mass_unit' : '2', 'mass_quantity' : '0', 'volume_unit' : '5', 'volume_quantity' : '0.1', 'pieces_unit' : '3', 'pieces_quantity' : '0', 'cooking_notes' : ''}).status_code; print('%s :: %s :: %s :: %s :: %s' %(a,1343,'hing','hing','RED CHUTNEY'))</v>
      </c>
      <c r="AMJ1343" s="0"/>
    </row>
    <row r="1344" s="94" customFormat="true" ht="13.8" hidden="false" customHeight="false" outlineLevel="0" collapsed="false">
      <c r="A1344" s="0"/>
      <c r="B1344" s="0"/>
      <c r="C1344" s="0"/>
      <c r="D1344" s="0"/>
      <c r="E1344" s="0"/>
      <c r="F1344" s="0"/>
      <c r="G1344" s="80" t="n">
        <v>1344</v>
      </c>
      <c r="H1344" s="184"/>
      <c r="I1344" s="184" t="s">
        <v>304</v>
      </c>
      <c r="J1344" s="184" t="s">
        <v>932</v>
      </c>
      <c r="K1344" s="185"/>
      <c r="L1344" s="185"/>
      <c r="M1344" s="185" t="n">
        <v>0.5</v>
      </c>
      <c r="N1344" s="185"/>
      <c r="O1344" s="185"/>
      <c r="P1344" s="185"/>
      <c r="Q1344" s="186"/>
      <c r="R1344" s="82" t="str">
        <f aca="false">VLOOKUP(J1344,ingredient!$N$4:$O$553,2,0)</f>
        <v>kashmiri chilly powder</v>
      </c>
      <c r="U1344" s="81" t="str">
        <f aca="false">I1344</f>
        <v>RED CHUTNEY</v>
      </c>
      <c r="V1344" s="81" t="n">
        <f aca="false">VLOOKUP(U1344,recipe_ingred_list!$A$2:$B$300,2,0)</f>
        <v>65</v>
      </c>
      <c r="W1344" s="81" t="str">
        <f aca="false">"/recipes/"&amp;VLOOKUP(U1344,recipe_ingred_list!$A$2:$C$300,3,0)&amp;"/detail/"</f>
        <v>/recipes/red-chutney/detail/</v>
      </c>
      <c r="X1344" s="81" t="str">
        <f aca="false">J1344</f>
        <v>kashmiri powder</v>
      </c>
      <c r="Y1344" s="81" t="str">
        <f aca="false">R1344</f>
        <v>kashmiri chilly powder</v>
      </c>
      <c r="Z1344" s="94" t="n">
        <f aca="false">VLOOKUP(Y1344,recipe_ingred_list!$D$2:$E$500,2,0)</f>
        <v>117</v>
      </c>
      <c r="AA1344" s="61" t="n">
        <f aca="false">K1344</f>
        <v>0</v>
      </c>
      <c r="AB1344" s="61" t="n">
        <f aca="false">L1344</f>
        <v>0</v>
      </c>
      <c r="AC1344" s="61" t="n">
        <f aca="false">VLOOKUP(AB1344,recipe_ingred_list!$K$2:$M$7,3,0)</f>
        <v>2</v>
      </c>
      <c r="AD1344" s="61" t="n">
        <f aca="false">M1344</f>
        <v>0.5</v>
      </c>
      <c r="AE1344" s="61" t="n">
        <f aca="false">N1344</f>
        <v>0</v>
      </c>
      <c r="AF1344" s="61" t="n">
        <f aca="false">VLOOKUP(AE1344,recipe_ingred_list!$K$16:$M$25,3,0)</f>
        <v>1</v>
      </c>
      <c r="AG1344" s="61" t="n">
        <f aca="false">O1344</f>
        <v>0</v>
      </c>
      <c r="AH1344" s="61" t="n">
        <f aca="false">P1344</f>
        <v>0</v>
      </c>
      <c r="AI1344" s="61" t="n">
        <f aca="false">VLOOKUP(AH1344,recipe_ingred_list!$K$29:$M$34,3,0)</f>
        <v>3</v>
      </c>
      <c r="AJ1344" s="61" t="str">
        <f aca="false">IF(Q1344="","",Q1344)</f>
        <v/>
      </c>
      <c r="AK1344" s="61" t="n">
        <f aca="false">AK1343+1</f>
        <v>1344</v>
      </c>
      <c r="AL1344" s="61" t="str">
        <f aca="false">Y1344</f>
        <v>kashmiri chilly powder</v>
      </c>
      <c r="AM1344" s="81" t="str">
        <f aca="false">"a = Client().post('"&amp;W1344&amp;"', {'recipe' : '"&amp;V1344&amp;"', 'ingredient' : '"&amp;Z1344&amp;"', 'name' : '"&amp;X1344&amp;"', 'mass_unit' : '"&amp;AC1344&amp;"', 'mass_quantity' : '"&amp;ROUND(AA1344,3)&amp;"', 'volume_unit' : '"&amp;AF1344&amp;"', 'volume_quantity' : '"&amp;ROUND(AD1344,3)&amp;"', 'pieces_unit' : '"&amp;AI1344&amp;"', 'pieces_quantity' : '"&amp;ROUND(AG1344,3)&amp;"', 'cooking_notes' : '"&amp;AJ1344&amp;"'}).status_code; print('%s :: %s :: %s :: %s :: %s' %(a,"&amp;G1344&amp;",'"&amp;X1344&amp;"','"&amp;Y1344&amp;"','"&amp;U1344&amp;"'))"</f>
        <v>a = Client().post('/recipes/red-chutney/detail/', {'recipe' : '65', 'ingredient' : '117', 'name' : 'kashmiri powder', 'mass_unit' : '2', 'mass_quantity' : '0', 'volume_unit' : '1', 'volume_quantity' : '0.5', 'pieces_unit' : '3', 'pieces_quantity' : '0', 'cooking_notes' : ''}).status_code; print('%s :: %s :: %s :: %s :: %s' %(a,1344,'kashmiri powder','kashmiri chilly powder','RED CHUTNEY'))</v>
      </c>
      <c r="AMJ1344" s="0"/>
    </row>
    <row r="1345" s="94" customFormat="true" ht="13.8" hidden="false" customHeight="false" outlineLevel="0" collapsed="false">
      <c r="A1345" s="0"/>
      <c r="B1345" s="0"/>
      <c r="C1345" s="0"/>
      <c r="D1345" s="0"/>
      <c r="E1345" s="0"/>
      <c r="F1345" s="0"/>
      <c r="G1345" s="80" t="n">
        <v>1345</v>
      </c>
      <c r="H1345" s="184"/>
      <c r="I1345" s="184" t="s">
        <v>304</v>
      </c>
      <c r="J1345" s="184" t="s">
        <v>44</v>
      </c>
      <c r="K1345" s="185" t="n">
        <v>2</v>
      </c>
      <c r="L1345" s="185" t="s">
        <v>7</v>
      </c>
      <c r="M1345" s="185"/>
      <c r="N1345" s="185"/>
      <c r="O1345" s="185"/>
      <c r="P1345" s="185"/>
      <c r="Q1345" s="186"/>
      <c r="R1345" s="82" t="str">
        <f aca="false">VLOOKUP(J1345,ingredient!$N$4:$O$553,2,0)</f>
        <v>sugar</v>
      </c>
      <c r="U1345" s="81" t="str">
        <f aca="false">I1345</f>
        <v>RED CHUTNEY</v>
      </c>
      <c r="V1345" s="81" t="n">
        <f aca="false">VLOOKUP(U1345,recipe_ingred_list!$A$2:$B$300,2,0)</f>
        <v>65</v>
      </c>
      <c r="W1345" s="81" t="str">
        <f aca="false">"/recipes/"&amp;VLOOKUP(U1345,recipe_ingred_list!$A$2:$C$300,3,0)&amp;"/detail/"</f>
        <v>/recipes/red-chutney/detail/</v>
      </c>
      <c r="X1345" s="81" t="str">
        <f aca="false">J1345</f>
        <v>sugar</v>
      </c>
      <c r="Y1345" s="81" t="str">
        <f aca="false">R1345</f>
        <v>sugar</v>
      </c>
      <c r="Z1345" s="94" t="n">
        <f aca="false">VLOOKUP(Y1345,recipe_ingred_list!$D$2:$E$500,2,0)</f>
        <v>187</v>
      </c>
      <c r="AA1345" s="61" t="n">
        <f aca="false">K1345</f>
        <v>2</v>
      </c>
      <c r="AB1345" s="61" t="str">
        <f aca="false">L1345</f>
        <v>kg</v>
      </c>
      <c r="AC1345" s="61" t="n">
        <f aca="false">VLOOKUP(AB1345,recipe_ingred_list!$K$2:$M$7,3,0)</f>
        <v>2</v>
      </c>
      <c r="AD1345" s="61" t="n">
        <f aca="false">M1345</f>
        <v>0</v>
      </c>
      <c r="AE1345" s="61" t="n">
        <f aca="false">N1345</f>
        <v>0</v>
      </c>
      <c r="AF1345" s="61" t="n">
        <f aca="false">VLOOKUP(AE1345,recipe_ingred_list!$K$16:$M$25,3,0)</f>
        <v>1</v>
      </c>
      <c r="AG1345" s="61" t="n">
        <f aca="false">O1345</f>
        <v>0</v>
      </c>
      <c r="AH1345" s="61" t="n">
        <f aca="false">P1345</f>
        <v>0</v>
      </c>
      <c r="AI1345" s="61" t="n">
        <f aca="false">VLOOKUP(AH1345,recipe_ingred_list!$K$29:$M$34,3,0)</f>
        <v>3</v>
      </c>
      <c r="AJ1345" s="61" t="str">
        <f aca="false">IF(Q1345="","",Q1345)</f>
        <v/>
      </c>
      <c r="AK1345" s="61" t="n">
        <f aca="false">AK1344+1</f>
        <v>1345</v>
      </c>
      <c r="AL1345" s="61" t="str">
        <f aca="false">Y1345</f>
        <v>sugar</v>
      </c>
      <c r="AM1345" s="81" t="str">
        <f aca="false">"a = Client().post('"&amp;W1345&amp;"', {'recipe' : '"&amp;V1345&amp;"', 'ingredient' : '"&amp;Z1345&amp;"', 'name' : '"&amp;X1345&amp;"', 'mass_unit' : '"&amp;AC1345&amp;"', 'mass_quantity' : '"&amp;ROUND(AA1345,3)&amp;"', 'volume_unit' : '"&amp;AF1345&amp;"', 'volume_quantity' : '"&amp;ROUND(AD1345,3)&amp;"', 'pieces_unit' : '"&amp;AI1345&amp;"', 'pieces_quantity' : '"&amp;ROUND(AG1345,3)&amp;"', 'cooking_notes' : '"&amp;AJ1345&amp;"'}).status_code; print('%s :: %s :: %s :: %s :: %s' %(a,"&amp;G1345&amp;",'"&amp;X1345&amp;"','"&amp;Y1345&amp;"','"&amp;U1345&amp;"'))"</f>
        <v>a = Client().post('/recipes/red-chutney/detail/', {'recipe' : '65', 'ingredient' : '187', 'name' : 'sugar', 'mass_unit' : '2', 'mass_quantity' : '2', 'volume_unit' : '1', 'volume_quantity' : '0', 'pieces_unit' : '3', 'pieces_quantity' : '0', 'cooking_notes' : ''}).status_code; print('%s :: %s :: %s :: %s :: %s' %(a,1345,'sugar','sugar','RED CHUTNEY'))</v>
      </c>
      <c r="AMJ1345" s="0"/>
    </row>
    <row r="1346" s="94" customFormat="true" ht="13.8" hidden="false" customHeight="false" outlineLevel="0" collapsed="false">
      <c r="A1346" s="0"/>
      <c r="B1346" s="0"/>
      <c r="C1346" s="0"/>
      <c r="D1346" s="0"/>
      <c r="E1346" s="0"/>
      <c r="F1346" s="0"/>
      <c r="G1346" s="80" t="n">
        <v>1346</v>
      </c>
      <c r="H1346" s="184"/>
      <c r="I1346" s="184" t="s">
        <v>304</v>
      </c>
      <c r="J1346" s="184" t="s">
        <v>470</v>
      </c>
      <c r="K1346" s="185"/>
      <c r="L1346" s="185"/>
      <c r="M1346" s="185" t="n">
        <v>0.5</v>
      </c>
      <c r="N1346" s="185" t="s">
        <v>20</v>
      </c>
      <c r="O1346" s="185"/>
      <c r="P1346" s="185"/>
      <c r="Q1346" s="186"/>
      <c r="R1346" s="82" t="str">
        <f aca="false">VLOOKUP(J1346,ingredient!$N$4:$O$553,2,0)</f>
        <v>sauf</v>
      </c>
      <c r="U1346" s="81" t="str">
        <f aca="false">I1346</f>
        <v>RED CHUTNEY</v>
      </c>
      <c r="V1346" s="81" t="n">
        <f aca="false">VLOOKUP(U1346,recipe_ingred_list!$A$2:$B$300,2,0)</f>
        <v>65</v>
      </c>
      <c r="W1346" s="81" t="str">
        <f aca="false">"/recipes/"&amp;VLOOKUP(U1346,recipe_ingred_list!$A$2:$C$300,3,0)&amp;"/detail/"</f>
        <v>/recipes/red-chutney/detail/</v>
      </c>
      <c r="X1346" s="81" t="str">
        <f aca="false">J1346</f>
        <v>sauf</v>
      </c>
      <c r="Y1346" s="81" t="str">
        <f aca="false">R1346</f>
        <v>sauf</v>
      </c>
      <c r="Z1346" s="94" t="n">
        <f aca="false">VLOOKUP(Y1346,recipe_ingred_list!$D$2:$E$500,2,0)</f>
        <v>179</v>
      </c>
      <c r="AA1346" s="61" t="n">
        <f aca="false">K1346</f>
        <v>0</v>
      </c>
      <c r="AB1346" s="61" t="n">
        <f aca="false">L1346</f>
        <v>0</v>
      </c>
      <c r="AC1346" s="61" t="n">
        <f aca="false">VLOOKUP(AB1346,recipe_ingred_list!$K$2:$M$7,3,0)</f>
        <v>2</v>
      </c>
      <c r="AD1346" s="61" t="n">
        <f aca="false">M1346</f>
        <v>0.5</v>
      </c>
      <c r="AE1346" s="61" t="str">
        <f aca="false">N1346</f>
        <v>cup</v>
      </c>
      <c r="AF1346" s="61" t="n">
        <f aca="false">VLOOKUP(AE1346,recipe_ingred_list!$K$16:$M$25,3,0)</f>
        <v>5</v>
      </c>
      <c r="AG1346" s="61" t="n">
        <f aca="false">O1346</f>
        <v>0</v>
      </c>
      <c r="AH1346" s="61" t="n">
        <f aca="false">P1346</f>
        <v>0</v>
      </c>
      <c r="AI1346" s="61" t="n">
        <f aca="false">VLOOKUP(AH1346,recipe_ingred_list!$K$29:$M$34,3,0)</f>
        <v>3</v>
      </c>
      <c r="AJ1346" s="61" t="str">
        <f aca="false">IF(Q1346="","",Q1346)</f>
        <v/>
      </c>
      <c r="AK1346" s="61" t="n">
        <f aca="false">AK1345+1</f>
        <v>1346</v>
      </c>
      <c r="AL1346" s="61" t="str">
        <f aca="false">Y1346</f>
        <v>sauf</v>
      </c>
      <c r="AM1346" s="81" t="str">
        <f aca="false">"a = Client().post('"&amp;W1346&amp;"', {'recipe' : '"&amp;V1346&amp;"', 'ingredient' : '"&amp;Z1346&amp;"', 'name' : '"&amp;X1346&amp;"', 'mass_unit' : '"&amp;AC1346&amp;"', 'mass_quantity' : '"&amp;ROUND(AA1346,3)&amp;"', 'volume_unit' : '"&amp;AF1346&amp;"', 'volume_quantity' : '"&amp;ROUND(AD1346,3)&amp;"', 'pieces_unit' : '"&amp;AI1346&amp;"', 'pieces_quantity' : '"&amp;ROUND(AG1346,3)&amp;"', 'cooking_notes' : '"&amp;AJ1346&amp;"'}).status_code; print('%s :: %s :: %s :: %s :: %s' %(a,"&amp;G1346&amp;",'"&amp;X1346&amp;"','"&amp;Y1346&amp;"','"&amp;U1346&amp;"'))"</f>
        <v>a = Client().post('/recipes/red-chutney/detail/', {'recipe' : '65', 'ingredient' : '179', 'name' : 'sauf', 'mass_unit' : '2', 'mass_quantity' : '0', 'volume_unit' : '5', 'volume_quantity' : '0.5', 'pieces_unit' : '3', 'pieces_quantity' : '0', 'cooking_notes' : ''}).status_code; print('%s :: %s :: %s :: %s :: %s' %(a,1346,'sauf','sauf','RED CHUTNEY'))</v>
      </c>
      <c r="AMJ1346" s="0"/>
    </row>
    <row r="1347" s="94" customFormat="true" ht="13.8" hidden="false" customHeight="false" outlineLevel="0" collapsed="false">
      <c r="A1347" s="0"/>
      <c r="B1347" s="0"/>
      <c r="C1347" s="0"/>
      <c r="D1347" s="0"/>
      <c r="E1347" s="0"/>
      <c r="F1347" s="0"/>
      <c r="G1347" s="80" t="n">
        <v>1347</v>
      </c>
      <c r="H1347" s="184"/>
      <c r="I1347" s="184" t="s">
        <v>304</v>
      </c>
      <c r="J1347" s="184" t="s">
        <v>933</v>
      </c>
      <c r="K1347" s="185"/>
      <c r="L1347" s="185"/>
      <c r="M1347" s="185" t="n">
        <v>1</v>
      </c>
      <c r="N1347" s="185" t="s">
        <v>20</v>
      </c>
      <c r="O1347" s="185"/>
      <c r="P1347" s="185"/>
      <c r="Q1347" s="186"/>
      <c r="R1347" s="82" t="str">
        <f aca="false">VLOOKUP(J1347,ingredient!$N$4:$O$553,2,0)</f>
        <v>tej patta</v>
      </c>
      <c r="U1347" s="81" t="str">
        <f aca="false">I1347</f>
        <v>RED CHUTNEY</v>
      </c>
      <c r="V1347" s="81" t="n">
        <f aca="false">VLOOKUP(U1347,recipe_ingred_list!$A$2:$B$300,2,0)</f>
        <v>65</v>
      </c>
      <c r="W1347" s="81" t="str">
        <f aca="false">"/recipes/"&amp;VLOOKUP(U1347,recipe_ingred_list!$A$2:$C$300,3,0)&amp;"/detail/"</f>
        <v>/recipes/red-chutney/detail/</v>
      </c>
      <c r="X1347" s="81" t="str">
        <f aca="false">J1347</f>
        <v>tejpat</v>
      </c>
      <c r="Y1347" s="81" t="str">
        <f aca="false">R1347</f>
        <v>tej patta</v>
      </c>
      <c r="Z1347" s="94" t="n">
        <f aca="false">VLOOKUP(Y1347,recipe_ingred_list!$D$2:$E$500,2,0)</f>
        <v>191</v>
      </c>
      <c r="AA1347" s="61" t="n">
        <f aca="false">K1347</f>
        <v>0</v>
      </c>
      <c r="AB1347" s="61" t="n">
        <f aca="false">L1347</f>
        <v>0</v>
      </c>
      <c r="AC1347" s="61" t="n">
        <f aca="false">VLOOKUP(AB1347,recipe_ingred_list!$K$2:$M$7,3,0)</f>
        <v>2</v>
      </c>
      <c r="AD1347" s="61" t="n">
        <f aca="false">M1347</f>
        <v>1</v>
      </c>
      <c r="AE1347" s="61" t="str">
        <f aca="false">N1347</f>
        <v>cup</v>
      </c>
      <c r="AF1347" s="61" t="n">
        <f aca="false">VLOOKUP(AE1347,recipe_ingred_list!$K$16:$M$25,3,0)</f>
        <v>5</v>
      </c>
      <c r="AG1347" s="61" t="n">
        <f aca="false">O1347</f>
        <v>0</v>
      </c>
      <c r="AH1347" s="61" t="n">
        <f aca="false">P1347</f>
        <v>0</v>
      </c>
      <c r="AI1347" s="61" t="n">
        <f aca="false">VLOOKUP(AH1347,recipe_ingred_list!$K$29:$M$34,3,0)</f>
        <v>3</v>
      </c>
      <c r="AJ1347" s="61" t="str">
        <f aca="false">IF(Q1347="","",Q1347)</f>
        <v/>
      </c>
      <c r="AK1347" s="61" t="n">
        <f aca="false">AK1346+1</f>
        <v>1347</v>
      </c>
      <c r="AL1347" s="61" t="str">
        <f aca="false">Y1347</f>
        <v>tej patta</v>
      </c>
      <c r="AM1347" s="81" t="str">
        <f aca="false">"a = Client().post('"&amp;W1347&amp;"', {'recipe' : '"&amp;V1347&amp;"', 'ingredient' : '"&amp;Z1347&amp;"', 'name' : '"&amp;X1347&amp;"', 'mass_unit' : '"&amp;AC1347&amp;"', 'mass_quantity' : '"&amp;ROUND(AA1347,3)&amp;"', 'volume_unit' : '"&amp;AF1347&amp;"', 'volume_quantity' : '"&amp;ROUND(AD1347,3)&amp;"', 'pieces_unit' : '"&amp;AI1347&amp;"', 'pieces_quantity' : '"&amp;ROUND(AG1347,3)&amp;"', 'cooking_notes' : '"&amp;AJ1347&amp;"'}).status_code; print('%s :: %s :: %s :: %s :: %s' %(a,"&amp;G1347&amp;",'"&amp;X1347&amp;"','"&amp;Y1347&amp;"','"&amp;U1347&amp;"'))"</f>
        <v>a = Client().post('/recipes/red-chutney/detail/', {'recipe' : '65', 'ingredient' : '191', 'name' : 'tejpat', 'mass_unit' : '2', 'mass_quantity' : '0', 'volume_unit' : '5', 'volume_quantity' : '1', 'pieces_unit' : '3', 'pieces_quantity' : '0', 'cooking_notes' : ''}).status_code; print('%s :: %s :: %s :: %s :: %s' %(a,1347,'tejpat','tej patta','RED CHUTNEY'))</v>
      </c>
      <c r="AMJ1347" s="0"/>
    </row>
    <row r="1348" s="94" customFormat="true" ht="13.8" hidden="false" customHeight="false" outlineLevel="0" collapsed="false">
      <c r="A1348" s="0"/>
      <c r="B1348" s="0"/>
      <c r="C1348" s="0"/>
      <c r="D1348" s="0"/>
      <c r="E1348" s="0"/>
      <c r="F1348" s="0"/>
      <c r="G1348" s="80" t="n">
        <v>1348</v>
      </c>
      <c r="H1348" s="184"/>
      <c r="I1348" s="184" t="s">
        <v>304</v>
      </c>
      <c r="J1348" s="184" t="s">
        <v>96</v>
      </c>
      <c r="K1348" s="185"/>
      <c r="L1348" s="185"/>
      <c r="M1348" s="185" t="n">
        <v>0.7</v>
      </c>
      <c r="N1348" s="185" t="s">
        <v>20</v>
      </c>
      <c r="O1348" s="185"/>
      <c r="P1348" s="185"/>
      <c r="Q1348" s="186"/>
      <c r="R1348" s="82" t="str">
        <f aca="false">VLOOKUP(J1348,ingredient!$N$4:$O$553,2,0)</f>
        <v>salt</v>
      </c>
      <c r="U1348" s="81" t="str">
        <f aca="false">I1348</f>
        <v>RED CHUTNEY</v>
      </c>
      <c r="V1348" s="81" t="n">
        <f aca="false">VLOOKUP(U1348,recipe_ingred_list!$A$2:$B$300,2,0)</f>
        <v>65</v>
      </c>
      <c r="W1348" s="81" t="str">
        <f aca="false">"/recipes/"&amp;VLOOKUP(U1348,recipe_ingred_list!$A$2:$C$300,3,0)&amp;"/detail/"</f>
        <v>/recipes/red-chutney/detail/</v>
      </c>
      <c r="X1348" s="81" t="str">
        <f aca="false">J1348</f>
        <v>salt</v>
      </c>
      <c r="Y1348" s="81" t="str">
        <f aca="false">R1348</f>
        <v>salt</v>
      </c>
      <c r="Z1348" s="94" t="n">
        <f aca="false">VLOOKUP(Y1348,recipe_ingred_list!$D$2:$E$500,2,0)</f>
        <v>177</v>
      </c>
      <c r="AA1348" s="61" t="n">
        <f aca="false">K1348</f>
        <v>0</v>
      </c>
      <c r="AB1348" s="61" t="n">
        <f aca="false">L1348</f>
        <v>0</v>
      </c>
      <c r="AC1348" s="61" t="n">
        <f aca="false">VLOOKUP(AB1348,recipe_ingred_list!$K$2:$M$7,3,0)</f>
        <v>2</v>
      </c>
      <c r="AD1348" s="61" t="n">
        <f aca="false">M1348</f>
        <v>0.7</v>
      </c>
      <c r="AE1348" s="61" t="str">
        <f aca="false">N1348</f>
        <v>cup</v>
      </c>
      <c r="AF1348" s="61" t="n">
        <f aca="false">VLOOKUP(AE1348,recipe_ingred_list!$K$16:$M$25,3,0)</f>
        <v>5</v>
      </c>
      <c r="AG1348" s="61" t="n">
        <f aca="false">O1348</f>
        <v>0</v>
      </c>
      <c r="AH1348" s="61" t="n">
        <f aca="false">P1348</f>
        <v>0</v>
      </c>
      <c r="AI1348" s="61" t="n">
        <f aca="false">VLOOKUP(AH1348,recipe_ingred_list!$K$29:$M$34,3,0)</f>
        <v>3</v>
      </c>
      <c r="AJ1348" s="61" t="str">
        <f aca="false">IF(Q1348="","",Q1348)</f>
        <v/>
      </c>
      <c r="AK1348" s="61" t="n">
        <f aca="false">AK1347+1</f>
        <v>1348</v>
      </c>
      <c r="AL1348" s="61" t="str">
        <f aca="false">Y1348</f>
        <v>salt</v>
      </c>
      <c r="AM1348" s="81" t="str">
        <f aca="false">"a = Client().post('"&amp;W1348&amp;"', {'recipe' : '"&amp;V1348&amp;"', 'ingredient' : '"&amp;Z1348&amp;"', 'name' : '"&amp;X1348&amp;"', 'mass_unit' : '"&amp;AC1348&amp;"', 'mass_quantity' : '"&amp;ROUND(AA1348,3)&amp;"', 'volume_unit' : '"&amp;AF1348&amp;"', 'volume_quantity' : '"&amp;ROUND(AD1348,3)&amp;"', 'pieces_unit' : '"&amp;AI1348&amp;"', 'pieces_quantity' : '"&amp;ROUND(AG1348,3)&amp;"', 'cooking_notes' : '"&amp;AJ1348&amp;"'}).status_code; print('%s :: %s :: %s :: %s :: %s' %(a,"&amp;G1348&amp;",'"&amp;X1348&amp;"','"&amp;Y1348&amp;"','"&amp;U1348&amp;"'))"</f>
        <v>a = Client().post('/recipes/red-chutney/detail/', {'recipe' : '65', 'ingredient' : '177', 'name' : 'salt', 'mass_unit' : '2', 'mass_quantity' : '0', 'volume_unit' : '5', 'volume_quantity' : '0.7', 'pieces_unit' : '3', 'pieces_quantity' : '0', 'cooking_notes' : ''}).status_code; print('%s :: %s :: %s :: %s :: %s' %(a,1348,'salt','salt','RED CHUTNEY'))</v>
      </c>
      <c r="AMJ1348" s="0"/>
    </row>
    <row r="1349" s="94" customFormat="true" ht="13.8" hidden="false" customHeight="false" outlineLevel="0" collapsed="false">
      <c r="A1349" s="0"/>
      <c r="B1349" s="0"/>
      <c r="C1349" s="0"/>
      <c r="D1349" s="0"/>
      <c r="E1349" s="0"/>
      <c r="F1349" s="0"/>
      <c r="G1349" s="80" t="n">
        <v>1349</v>
      </c>
      <c r="H1349" s="184"/>
      <c r="I1349" s="184" t="s">
        <v>304</v>
      </c>
      <c r="J1349" s="184" t="s">
        <v>937</v>
      </c>
      <c r="K1349" s="185"/>
      <c r="L1349" s="185"/>
      <c r="M1349" s="185" t="n">
        <v>0.5</v>
      </c>
      <c r="N1349" s="185" t="s">
        <v>20</v>
      </c>
      <c r="O1349" s="185"/>
      <c r="P1349" s="185"/>
      <c r="Q1349" s="186"/>
      <c r="R1349" s="82" t="str">
        <f aca="false">VLOOKUP(J1349,ingredient!$N$4:$O$553,2,0)</f>
        <v>madrasi mirchi powder</v>
      </c>
      <c r="U1349" s="81" t="str">
        <f aca="false">I1349</f>
        <v>RED CHUTNEY</v>
      </c>
      <c r="V1349" s="81" t="n">
        <f aca="false">VLOOKUP(U1349,recipe_ingred_list!$A$2:$B$300,2,0)</f>
        <v>65</v>
      </c>
      <c r="W1349" s="81" t="str">
        <f aca="false">"/recipes/"&amp;VLOOKUP(U1349,recipe_ingred_list!$A$2:$C$300,3,0)&amp;"/detail/"</f>
        <v>/recipes/red-chutney/detail/</v>
      </c>
      <c r="X1349" s="81" t="str">
        <f aca="false">J1349</f>
        <v>madrsi mirchi  pw</v>
      </c>
      <c r="Y1349" s="81" t="str">
        <f aca="false">R1349</f>
        <v>madrasi mirchi powder</v>
      </c>
      <c r="Z1349" s="94" t="n">
        <f aca="false">VLOOKUP(Y1349,recipe_ingred_list!$D$2:$E$500,2,0)</f>
        <v>135</v>
      </c>
      <c r="AA1349" s="61" t="n">
        <f aca="false">K1349</f>
        <v>0</v>
      </c>
      <c r="AB1349" s="61" t="n">
        <f aca="false">L1349</f>
        <v>0</v>
      </c>
      <c r="AC1349" s="61" t="n">
        <f aca="false">VLOOKUP(AB1349,recipe_ingred_list!$K$2:$M$7,3,0)</f>
        <v>2</v>
      </c>
      <c r="AD1349" s="61" t="n">
        <f aca="false">M1349</f>
        <v>0.5</v>
      </c>
      <c r="AE1349" s="61" t="str">
        <f aca="false">N1349</f>
        <v>cup</v>
      </c>
      <c r="AF1349" s="61" t="n">
        <f aca="false">VLOOKUP(AE1349,recipe_ingred_list!$K$16:$M$25,3,0)</f>
        <v>5</v>
      </c>
      <c r="AG1349" s="61" t="n">
        <f aca="false">O1349</f>
        <v>0</v>
      </c>
      <c r="AH1349" s="61" t="n">
        <f aca="false">P1349</f>
        <v>0</v>
      </c>
      <c r="AI1349" s="61" t="n">
        <f aca="false">VLOOKUP(AH1349,recipe_ingred_list!$K$29:$M$34,3,0)</f>
        <v>3</v>
      </c>
      <c r="AJ1349" s="61" t="str">
        <f aca="false">IF(Q1349="","",Q1349)</f>
        <v/>
      </c>
      <c r="AK1349" s="61" t="n">
        <f aca="false">AK1348+1</f>
        <v>1349</v>
      </c>
      <c r="AL1349" s="61" t="str">
        <f aca="false">Y1349</f>
        <v>madrasi mirchi powder</v>
      </c>
      <c r="AM1349" s="81" t="str">
        <f aca="false">"a = Client().post('"&amp;W1349&amp;"', {'recipe' : '"&amp;V1349&amp;"', 'ingredient' : '"&amp;Z1349&amp;"', 'name' : '"&amp;X1349&amp;"', 'mass_unit' : '"&amp;AC1349&amp;"', 'mass_quantity' : '"&amp;ROUND(AA1349,3)&amp;"', 'volume_unit' : '"&amp;AF1349&amp;"', 'volume_quantity' : '"&amp;ROUND(AD1349,3)&amp;"', 'pieces_unit' : '"&amp;AI1349&amp;"', 'pieces_quantity' : '"&amp;ROUND(AG1349,3)&amp;"', 'cooking_notes' : '"&amp;AJ1349&amp;"'}).status_code; print('%s :: %s :: %s :: %s :: %s' %(a,"&amp;G1349&amp;",'"&amp;X1349&amp;"','"&amp;Y1349&amp;"','"&amp;U1349&amp;"'))"</f>
        <v>a = Client().post('/recipes/red-chutney/detail/', {'recipe' : '65', 'ingredient' : '135', 'name' : 'madrsi mirchi  pw', 'mass_unit' : '2', 'mass_quantity' : '0', 'volume_unit' : '5', 'volume_quantity' : '0.5', 'pieces_unit' : '3', 'pieces_quantity' : '0', 'cooking_notes' : ''}).status_code; print('%s :: %s :: %s :: %s :: %s' %(a,1349,'madrsi mirchi  pw','madrasi mirchi powder','RED CHUTNEY'))</v>
      </c>
      <c r="AMJ1349" s="0"/>
    </row>
    <row r="1350" s="94" customFormat="true" ht="13.8" hidden="false" customHeight="false" outlineLevel="0" collapsed="false">
      <c r="A1350" s="0"/>
      <c r="B1350" s="0"/>
      <c r="C1350" s="0"/>
      <c r="D1350" s="0"/>
      <c r="E1350" s="0"/>
      <c r="F1350" s="0"/>
      <c r="G1350" s="80" t="n">
        <v>1350</v>
      </c>
      <c r="H1350" s="184"/>
      <c r="I1350" s="184" t="s">
        <v>304</v>
      </c>
      <c r="J1350" s="184" t="s">
        <v>312</v>
      </c>
      <c r="K1350" s="185"/>
      <c r="L1350" s="185"/>
      <c r="M1350" s="185"/>
      <c r="N1350" s="185"/>
      <c r="O1350" s="185"/>
      <c r="P1350" s="185"/>
      <c r="Q1350" s="186"/>
      <c r="R1350" s="82" t="str">
        <f aca="false">VLOOKUP(J1350,ingredient!$N$4:$O$553,2,0)</f>
        <v>dhaniya powder</v>
      </c>
      <c r="U1350" s="81" t="str">
        <f aca="false">I1350</f>
        <v>RED CHUTNEY</v>
      </c>
      <c r="V1350" s="81" t="n">
        <f aca="false">VLOOKUP(U1350,recipe_ingred_list!$A$2:$B$300,2,0)</f>
        <v>65</v>
      </c>
      <c r="W1350" s="81" t="str">
        <f aca="false">"/recipes/"&amp;VLOOKUP(U1350,recipe_ingred_list!$A$2:$C$300,3,0)&amp;"/detail/"</f>
        <v>/recipes/red-chutney/detail/</v>
      </c>
      <c r="X1350" s="81" t="str">
        <f aca="false">J1350</f>
        <v>dhaniya powder</v>
      </c>
      <c r="Y1350" s="81" t="str">
        <f aca="false">R1350</f>
        <v>dhaniya powder</v>
      </c>
      <c r="Z1350" s="94" t="n">
        <f aca="false">VLOOKUP(Y1350,recipe_ingred_list!$D$2:$E$500,2,0)</f>
        <v>67</v>
      </c>
      <c r="AA1350" s="61" t="n">
        <f aca="false">K1350</f>
        <v>0</v>
      </c>
      <c r="AB1350" s="61" t="n">
        <f aca="false">L1350</f>
        <v>0</v>
      </c>
      <c r="AC1350" s="61" t="n">
        <f aca="false">VLOOKUP(AB1350,recipe_ingred_list!$K$2:$M$7,3,0)</f>
        <v>2</v>
      </c>
      <c r="AD1350" s="61" t="n">
        <f aca="false">M1350</f>
        <v>0</v>
      </c>
      <c r="AE1350" s="61" t="n">
        <f aca="false">N1350</f>
        <v>0</v>
      </c>
      <c r="AF1350" s="61" t="n">
        <f aca="false">VLOOKUP(AE1350,recipe_ingred_list!$K$16:$M$25,3,0)</f>
        <v>1</v>
      </c>
      <c r="AG1350" s="61" t="n">
        <f aca="false">O1350</f>
        <v>0</v>
      </c>
      <c r="AH1350" s="61" t="n">
        <f aca="false">P1350</f>
        <v>0</v>
      </c>
      <c r="AI1350" s="61" t="n">
        <f aca="false">VLOOKUP(AH1350,recipe_ingred_list!$K$29:$M$34,3,0)</f>
        <v>3</v>
      </c>
      <c r="AJ1350" s="61" t="str">
        <f aca="false">IF(Q1350="","",Q1350)</f>
        <v/>
      </c>
      <c r="AK1350" s="61" t="n">
        <f aca="false">AK1349+1</f>
        <v>1350</v>
      </c>
      <c r="AL1350" s="61" t="str">
        <f aca="false">Y1350</f>
        <v>dhaniya powder</v>
      </c>
      <c r="AM1350" s="81" t="str">
        <f aca="false">"a = Client().post('"&amp;W1350&amp;"', {'recipe' : '"&amp;V1350&amp;"', 'ingredient' : '"&amp;Z1350&amp;"', 'name' : '"&amp;X1350&amp;"', 'mass_unit' : '"&amp;AC1350&amp;"', 'mass_quantity' : '"&amp;ROUND(AA1350,3)&amp;"', 'volume_unit' : '"&amp;AF1350&amp;"', 'volume_quantity' : '"&amp;ROUND(AD1350,3)&amp;"', 'pieces_unit' : '"&amp;AI1350&amp;"', 'pieces_quantity' : '"&amp;ROUND(AG1350,3)&amp;"', 'cooking_notes' : '"&amp;AJ1350&amp;"'}).status_code; print('%s :: %s :: %s :: %s :: %s' %(a,"&amp;G1350&amp;",'"&amp;X1350&amp;"','"&amp;Y1350&amp;"','"&amp;U1350&amp;"'))"</f>
        <v>a = Client().post('/recipes/red-chutney/detail/', {'recipe' : '65', 'ingredient' : '67', 'name' : 'dhaniya powder', 'mass_unit' : '2', 'mass_quantity' : '0', 'volume_unit' : '1', 'volume_quantity' : '0', 'pieces_unit' : '3', 'pieces_quantity' : '0', 'cooking_notes' : ''}).status_code; print('%s :: %s :: %s :: %s :: %s' %(a,1350,'dhaniya powder','dhaniya powder','RED CHUTNEY'))</v>
      </c>
      <c r="AMJ1350" s="0"/>
    </row>
    <row r="1351" s="94" customFormat="true" ht="13.8" hidden="false" customHeight="false" outlineLevel="0" collapsed="false">
      <c r="A1351" s="0"/>
      <c r="B1351" s="0"/>
      <c r="C1351" s="0"/>
      <c r="D1351" s="0"/>
      <c r="E1351" s="0"/>
      <c r="F1351" s="0"/>
      <c r="G1351" s="80" t="n">
        <v>1351</v>
      </c>
      <c r="H1351" s="184"/>
      <c r="I1351" s="184" t="s">
        <v>304</v>
      </c>
      <c r="J1351" s="184" t="s">
        <v>399</v>
      </c>
      <c r="K1351" s="185"/>
      <c r="L1351" s="185"/>
      <c r="M1351" s="185"/>
      <c r="N1351" s="185"/>
      <c r="O1351" s="185"/>
      <c r="P1351" s="185"/>
      <c r="Q1351" s="186"/>
      <c r="R1351" s="82" t="str">
        <f aca="false">VLOOKUP(J1351,ingredient!$N$4:$O$553,2,0)</f>
        <v>jeera powder</v>
      </c>
      <c r="U1351" s="81" t="str">
        <f aca="false">I1351</f>
        <v>RED CHUTNEY</v>
      </c>
      <c r="V1351" s="81" t="n">
        <f aca="false">VLOOKUP(U1351,recipe_ingred_list!$A$2:$B$300,2,0)</f>
        <v>65</v>
      </c>
      <c r="W1351" s="81" t="str">
        <f aca="false">"/recipes/"&amp;VLOOKUP(U1351,recipe_ingred_list!$A$2:$C$300,3,0)&amp;"/detail/"</f>
        <v>/recipes/red-chutney/detail/</v>
      </c>
      <c r="X1351" s="81" t="str">
        <f aca="false">J1351</f>
        <v>jeera powder</v>
      </c>
      <c r="Y1351" s="81" t="str">
        <f aca="false">R1351</f>
        <v>jeera powder</v>
      </c>
      <c r="Z1351" s="94" t="n">
        <f aca="false">VLOOKUP(Y1351,recipe_ingred_list!$D$2:$E$500,2,0)</f>
        <v>103</v>
      </c>
      <c r="AA1351" s="61" t="n">
        <f aca="false">K1351</f>
        <v>0</v>
      </c>
      <c r="AB1351" s="61" t="n">
        <f aca="false">L1351</f>
        <v>0</v>
      </c>
      <c r="AC1351" s="61" t="n">
        <f aca="false">VLOOKUP(AB1351,recipe_ingred_list!$K$2:$M$7,3,0)</f>
        <v>2</v>
      </c>
      <c r="AD1351" s="61" t="n">
        <f aca="false">M1351</f>
        <v>0</v>
      </c>
      <c r="AE1351" s="61" t="n">
        <f aca="false">N1351</f>
        <v>0</v>
      </c>
      <c r="AF1351" s="61" t="n">
        <f aca="false">VLOOKUP(AE1351,recipe_ingred_list!$K$16:$M$25,3,0)</f>
        <v>1</v>
      </c>
      <c r="AG1351" s="61" t="n">
        <f aca="false">O1351</f>
        <v>0</v>
      </c>
      <c r="AH1351" s="61" t="n">
        <f aca="false">P1351</f>
        <v>0</v>
      </c>
      <c r="AI1351" s="61" t="n">
        <f aca="false">VLOOKUP(AH1351,recipe_ingred_list!$K$29:$M$34,3,0)</f>
        <v>3</v>
      </c>
      <c r="AJ1351" s="61" t="str">
        <f aca="false">IF(Q1351="","",Q1351)</f>
        <v/>
      </c>
      <c r="AK1351" s="61" t="n">
        <f aca="false">AK1350+1</f>
        <v>1351</v>
      </c>
      <c r="AL1351" s="61" t="str">
        <f aca="false">Y1351</f>
        <v>jeera powder</v>
      </c>
      <c r="AM1351" s="81" t="str">
        <f aca="false">"a = Client().post('"&amp;W1351&amp;"', {'recipe' : '"&amp;V1351&amp;"', 'ingredient' : '"&amp;Z1351&amp;"', 'name' : '"&amp;X1351&amp;"', 'mass_unit' : '"&amp;AC1351&amp;"', 'mass_quantity' : '"&amp;ROUND(AA1351,3)&amp;"', 'volume_unit' : '"&amp;AF1351&amp;"', 'volume_quantity' : '"&amp;ROUND(AD1351,3)&amp;"', 'pieces_unit' : '"&amp;AI1351&amp;"', 'pieces_quantity' : '"&amp;ROUND(AG1351,3)&amp;"', 'cooking_notes' : '"&amp;AJ1351&amp;"'}).status_code; print('%s :: %s :: %s :: %s :: %s' %(a,"&amp;G1351&amp;",'"&amp;X1351&amp;"','"&amp;Y1351&amp;"','"&amp;U1351&amp;"'))"</f>
        <v>a = Client().post('/recipes/red-chutney/detail/', {'recipe' : '65', 'ingredient' : '103', 'name' : 'jeera powder', 'mass_unit' : '2', 'mass_quantity' : '0', 'volume_unit' : '1', 'volume_quantity' : '0', 'pieces_unit' : '3', 'pieces_quantity' : '0', 'cooking_notes' : ''}).status_code; print('%s :: %s :: %s :: %s :: %s' %(a,1351,'jeera powder','jeera powder','RED CHUTNEY'))</v>
      </c>
      <c r="AMJ1351" s="0"/>
    </row>
    <row r="1352" s="94" customFormat="true" ht="13.8" hidden="false" customHeight="false" outlineLevel="0" collapsed="false">
      <c r="A1352" s="0"/>
      <c r="B1352" s="0"/>
      <c r="C1352" s="0"/>
      <c r="D1352" s="0"/>
      <c r="E1352" s="0"/>
      <c r="F1352" s="0"/>
      <c r="G1352" s="80" t="n">
        <v>1352</v>
      </c>
      <c r="H1352" s="184"/>
      <c r="I1352" s="184" t="s">
        <v>304</v>
      </c>
      <c r="J1352" s="184" t="s">
        <v>351</v>
      </c>
      <c r="K1352" s="185"/>
      <c r="L1352" s="185"/>
      <c r="M1352" s="185"/>
      <c r="N1352" s="185"/>
      <c r="O1352" s="185"/>
      <c r="P1352" s="185"/>
      <c r="Q1352" s="186"/>
      <c r="R1352" s="82" t="str">
        <f aca="false">VLOOKUP(J1352,ingredient!$N$4:$O$553,2,0)</f>
        <v>garam masala</v>
      </c>
      <c r="U1352" s="81" t="str">
        <f aca="false">I1352</f>
        <v>RED CHUTNEY</v>
      </c>
      <c r="V1352" s="81" t="n">
        <f aca="false">VLOOKUP(U1352,recipe_ingred_list!$A$2:$B$300,2,0)</f>
        <v>65</v>
      </c>
      <c r="W1352" s="81" t="str">
        <f aca="false">"/recipes/"&amp;VLOOKUP(U1352,recipe_ingred_list!$A$2:$C$300,3,0)&amp;"/detail/"</f>
        <v>/recipes/red-chutney/detail/</v>
      </c>
      <c r="X1352" s="81" t="str">
        <f aca="false">J1352</f>
        <v>garam masala</v>
      </c>
      <c r="Y1352" s="81" t="str">
        <f aca="false">R1352</f>
        <v>garam masala</v>
      </c>
      <c r="Z1352" s="94" t="n">
        <f aca="false">VLOOKUP(Y1352,recipe_ingred_list!$D$2:$E$500,2,0)</f>
        <v>80</v>
      </c>
      <c r="AA1352" s="61" t="n">
        <f aca="false">K1352</f>
        <v>0</v>
      </c>
      <c r="AB1352" s="61" t="n">
        <f aca="false">L1352</f>
        <v>0</v>
      </c>
      <c r="AC1352" s="61" t="n">
        <f aca="false">VLOOKUP(AB1352,recipe_ingred_list!$K$2:$M$7,3,0)</f>
        <v>2</v>
      </c>
      <c r="AD1352" s="61" t="n">
        <f aca="false">M1352</f>
        <v>0</v>
      </c>
      <c r="AE1352" s="61" t="n">
        <f aca="false">N1352</f>
        <v>0</v>
      </c>
      <c r="AF1352" s="61" t="n">
        <f aca="false">VLOOKUP(AE1352,recipe_ingred_list!$K$16:$M$25,3,0)</f>
        <v>1</v>
      </c>
      <c r="AG1352" s="61" t="n">
        <f aca="false">O1352</f>
        <v>0</v>
      </c>
      <c r="AH1352" s="61" t="n">
        <f aca="false">P1352</f>
        <v>0</v>
      </c>
      <c r="AI1352" s="61" t="n">
        <f aca="false">VLOOKUP(AH1352,recipe_ingred_list!$K$29:$M$34,3,0)</f>
        <v>3</v>
      </c>
      <c r="AJ1352" s="61" t="str">
        <f aca="false">IF(Q1352="","",Q1352)</f>
        <v/>
      </c>
      <c r="AK1352" s="61" t="n">
        <f aca="false">AK1351+1</f>
        <v>1352</v>
      </c>
      <c r="AL1352" s="61" t="str">
        <f aca="false">Y1352</f>
        <v>garam masala</v>
      </c>
      <c r="AM1352" s="81" t="str">
        <f aca="false">"a = Client().post('"&amp;W1352&amp;"', {'recipe' : '"&amp;V1352&amp;"', 'ingredient' : '"&amp;Z1352&amp;"', 'name' : '"&amp;X1352&amp;"', 'mass_unit' : '"&amp;AC1352&amp;"', 'mass_quantity' : '"&amp;ROUND(AA1352,3)&amp;"', 'volume_unit' : '"&amp;AF1352&amp;"', 'volume_quantity' : '"&amp;ROUND(AD1352,3)&amp;"', 'pieces_unit' : '"&amp;AI1352&amp;"', 'pieces_quantity' : '"&amp;ROUND(AG1352,3)&amp;"', 'cooking_notes' : '"&amp;AJ1352&amp;"'}).status_code; print('%s :: %s :: %s :: %s :: %s' %(a,"&amp;G1352&amp;",'"&amp;X1352&amp;"','"&amp;Y1352&amp;"','"&amp;U1352&amp;"'))"</f>
        <v>a = Client().post('/recipes/red-chutney/detail/', {'recipe' : '65', 'ingredient' : '80', 'name' : 'garam masala', 'mass_unit' : '2', 'mass_quantity' : '0', 'volume_unit' : '1', 'volume_quantity' : '0', 'pieces_unit' : '3', 'pieces_quantity' : '0', 'cooking_notes' : ''}).status_code; print('%s :: %s :: %s :: %s :: %s' %(a,1352,'garam masala','garam masala','RED CHUTNEY'))</v>
      </c>
      <c r="AMJ1352" s="0"/>
    </row>
    <row r="1353" s="181" customFormat="true" ht="13.8" hidden="false" customHeight="false" outlineLevel="0" collapsed="false">
      <c r="A1353" s="0"/>
      <c r="B1353" s="0"/>
      <c r="C1353" s="0"/>
      <c r="D1353" s="0"/>
      <c r="E1353" s="0"/>
      <c r="F1353" s="0"/>
      <c r="G1353" s="80" t="n">
        <v>1353</v>
      </c>
      <c r="H1353" s="79"/>
      <c r="I1353" s="79"/>
      <c r="J1353" s="79"/>
      <c r="K1353" s="100"/>
      <c r="L1353" s="100"/>
      <c r="M1353" s="100"/>
      <c r="N1353" s="100"/>
      <c r="O1353" s="100"/>
      <c r="P1353" s="100"/>
      <c r="Q1353" s="102"/>
      <c r="R1353" s="99" t="e">
        <f aca="false">VLOOKUP(J1353,ingredient!$N$4:$O$553,2,0)</f>
        <v>#N/A</v>
      </c>
      <c r="S1353" s="98"/>
      <c r="T1353" s="98"/>
      <c r="U1353" s="81" t="n">
        <f aca="false">I1353</f>
        <v>0</v>
      </c>
      <c r="V1353" s="81" t="e">
        <f aca="false">VLOOKUP(U1353,recipe_ingred_list!$A$2:$B$300,2,0)</f>
        <v>#N/A</v>
      </c>
      <c r="W1353" s="81" t="e">
        <f aca="false">"/recipes/"&amp;VLOOKUP(U1353,recipe_ingred_list!$A$2:$C$300,3,0)&amp;"/detail/"</f>
        <v>#N/A</v>
      </c>
      <c r="X1353" s="81" t="n">
        <f aca="false">J1353</f>
        <v>0</v>
      </c>
      <c r="Y1353" s="81" t="e">
        <f aca="false">R1353</f>
        <v>#N/A</v>
      </c>
      <c r="Z1353" s="94" t="e">
        <f aca="false">VLOOKUP(Y1353,recipe_ingred_list!$D$2:$E$500,2,0)</f>
        <v>#N/A</v>
      </c>
      <c r="AA1353" s="61" t="n">
        <f aca="false">K1353</f>
        <v>0</v>
      </c>
      <c r="AB1353" s="61" t="n">
        <f aca="false">L1353</f>
        <v>0</v>
      </c>
      <c r="AC1353" s="61" t="n">
        <f aca="false">VLOOKUP(AB1353,recipe_ingred_list!$K$2:$M$7,3,0)</f>
        <v>2</v>
      </c>
      <c r="AD1353" s="61" t="n">
        <f aca="false">M1353</f>
        <v>0</v>
      </c>
      <c r="AE1353" s="61" t="n">
        <f aca="false">N1353</f>
        <v>0</v>
      </c>
      <c r="AF1353" s="61" t="n">
        <f aca="false">VLOOKUP(AE1353,recipe_ingred_list!$K$16:$M$25,3,0)</f>
        <v>1</v>
      </c>
      <c r="AG1353" s="61" t="n">
        <f aca="false">O1353</f>
        <v>0</v>
      </c>
      <c r="AH1353" s="61" t="n">
        <f aca="false">P1353</f>
        <v>0</v>
      </c>
      <c r="AI1353" s="61" t="n">
        <f aca="false">VLOOKUP(AH1353,recipe_ingred_list!$K$29:$M$34,3,0)</f>
        <v>3</v>
      </c>
      <c r="AJ1353" s="61" t="str">
        <f aca="false">IF(Q1353="","",Q1353)</f>
        <v/>
      </c>
      <c r="AK1353" s="61" t="n">
        <f aca="false">AK1352+1</f>
        <v>1353</v>
      </c>
      <c r="AL1353" s="61" t="e">
        <f aca="false">Y1353</f>
        <v>#N/A</v>
      </c>
      <c r="AM1353" s="81" t="e">
        <f aca="false">"a = Client().post('"&amp;W1353&amp;"', {'recipe' : '"&amp;V1353&amp;"', 'ingredient' : '"&amp;Z1353&amp;"', 'name' : '"&amp;X1353&amp;"', 'mass_unit' : '"&amp;AC1353&amp;"', 'mass_quantity' : '"&amp;ROUND(AA1353,3)&amp;"', 'volume_unit' : '"&amp;AF1353&amp;"', 'volume_quantity' : '"&amp;ROUND(AD1353,3)&amp;"', 'pieces_unit' : '"&amp;AI1353&amp;"', 'pieces_quantity' : '"&amp;ROUND(AG1353,3)&amp;"', 'cooking_notes' : '"&amp;AJ1353&amp;"'}).status_code; print('%s :: %s :: %s :: %s :: %s' %(a,"&amp;G1353&amp;",'"&amp;X1353&amp;"','"&amp;Y1353&amp;"','"&amp;U1353&amp;"'))"</f>
        <v>#N/A</v>
      </c>
      <c r="AMJ1353" s="0"/>
    </row>
    <row r="1354" s="190" customFormat="true" ht="13.8" hidden="false" customHeight="false" outlineLevel="0" collapsed="false">
      <c r="A1354" s="0"/>
      <c r="B1354" s="0"/>
      <c r="C1354" s="0"/>
      <c r="D1354" s="0"/>
      <c r="E1354" s="0"/>
      <c r="F1354" s="0"/>
      <c r="G1354" s="80" t="n">
        <v>1354</v>
      </c>
      <c r="H1354" s="187"/>
      <c r="I1354" s="187" t="s">
        <v>184</v>
      </c>
      <c r="J1354" s="187" t="s">
        <v>238</v>
      </c>
      <c r="K1354" s="188"/>
      <c r="L1354" s="188"/>
      <c r="M1354" s="188" t="n">
        <v>2.5</v>
      </c>
      <c r="N1354" s="188" t="s">
        <v>20</v>
      </c>
      <c r="O1354" s="188"/>
      <c r="P1354" s="188"/>
      <c r="Q1354" s="189"/>
      <c r="R1354" s="82" t="str">
        <f aca="false">VLOOKUP(J1354,ingredient!$N$4:$O$553,2,0)</f>
        <v>lemon</v>
      </c>
      <c r="U1354" s="81" t="str">
        <f aca="false">I1354</f>
        <v>FENNEL TEA</v>
      </c>
      <c r="V1354" s="81" t="n">
        <f aca="false">VLOOKUP(U1354,recipe_ingred_list!$A$2:$B$300,2,0)</f>
        <v>25</v>
      </c>
      <c r="W1354" s="81" t="str">
        <f aca="false">"/recipes/"&amp;VLOOKUP(U1354,recipe_ingred_list!$A$2:$C$300,3,0)&amp;"/detail/"</f>
        <v>/recipes/fennel-tea/detail/</v>
      </c>
      <c r="X1354" s="81" t="str">
        <f aca="false">J1354</f>
        <v>LEMON JUICE</v>
      </c>
      <c r="Y1354" s="81" t="str">
        <f aca="false">R1354</f>
        <v>lemon</v>
      </c>
      <c r="Z1354" s="94" t="n">
        <f aca="false">VLOOKUP(Y1354,recipe_ingred_list!$D$2:$E$500,2,0)</f>
        <v>129</v>
      </c>
      <c r="AA1354" s="61" t="n">
        <f aca="false">K1354</f>
        <v>0</v>
      </c>
      <c r="AB1354" s="61" t="n">
        <f aca="false">L1354</f>
        <v>0</v>
      </c>
      <c r="AC1354" s="61" t="n">
        <f aca="false">VLOOKUP(AB1354,recipe_ingred_list!$K$2:$M$7,3,0)</f>
        <v>2</v>
      </c>
      <c r="AD1354" s="61" t="n">
        <f aca="false">M1354</f>
        <v>2.5</v>
      </c>
      <c r="AE1354" s="61" t="str">
        <f aca="false">N1354</f>
        <v>cup</v>
      </c>
      <c r="AF1354" s="61" t="n">
        <f aca="false">VLOOKUP(AE1354,recipe_ingred_list!$K$16:$M$25,3,0)</f>
        <v>5</v>
      </c>
      <c r="AG1354" s="61" t="n">
        <f aca="false">O1354</f>
        <v>0</v>
      </c>
      <c r="AH1354" s="61" t="n">
        <f aca="false">P1354</f>
        <v>0</v>
      </c>
      <c r="AI1354" s="61" t="n">
        <f aca="false">VLOOKUP(AH1354,recipe_ingred_list!$K$29:$M$34,3,0)</f>
        <v>3</v>
      </c>
      <c r="AJ1354" s="61" t="str">
        <f aca="false">IF(Q1354="","",Q1354)</f>
        <v/>
      </c>
      <c r="AK1354" s="61" t="n">
        <f aca="false">AK1353+1</f>
        <v>1354</v>
      </c>
      <c r="AL1354" s="61" t="str">
        <f aca="false">Y1354</f>
        <v>lemon</v>
      </c>
      <c r="AM1354" s="81" t="str">
        <f aca="false">"a = Client().post('"&amp;W1354&amp;"', {'recipe' : '"&amp;V1354&amp;"', 'ingredient' : '"&amp;Z1354&amp;"', 'name' : '"&amp;X1354&amp;"', 'mass_unit' : '"&amp;AC1354&amp;"', 'mass_quantity' : '"&amp;ROUND(AA1354,3)&amp;"', 'volume_unit' : '"&amp;AF1354&amp;"', 'volume_quantity' : '"&amp;ROUND(AD1354,3)&amp;"', 'pieces_unit' : '"&amp;AI1354&amp;"', 'pieces_quantity' : '"&amp;ROUND(AG1354,3)&amp;"', 'cooking_notes' : '"&amp;AJ1354&amp;"'}).status_code; print('%s :: %s :: %s :: %s :: %s' %(a,"&amp;G1354&amp;",'"&amp;X1354&amp;"','"&amp;Y1354&amp;"','"&amp;U1354&amp;"'))"</f>
        <v>a = Client().post('/recipes/fennel-tea/detail/', {'recipe' : '25', 'ingredient' : '129', 'name' : 'LEMON JUICE', 'mass_unit' : '2', 'mass_quantity' : '0', 'volume_unit' : '5', 'volume_quantity' : '2.5', 'pieces_unit' : '3', 'pieces_quantity' : '0', 'cooking_notes' : ''}).status_code; print('%s :: %s :: %s :: %s :: %s' %(a,1354,'LEMON JUICE','lemon','FENNEL TEA'))</v>
      </c>
      <c r="AMJ1354" s="0"/>
    </row>
    <row r="1355" s="190" customFormat="true" ht="13.8" hidden="false" customHeight="false" outlineLevel="0" collapsed="false">
      <c r="A1355" s="0"/>
      <c r="B1355" s="0"/>
      <c r="C1355" s="0"/>
      <c r="D1355" s="0"/>
      <c r="E1355" s="0"/>
      <c r="F1355" s="0"/>
      <c r="G1355" s="80" t="n">
        <v>1355</v>
      </c>
      <c r="H1355" s="187"/>
      <c r="I1355" s="187" t="s">
        <v>184</v>
      </c>
      <c r="J1355" s="187" t="s">
        <v>938</v>
      </c>
      <c r="K1355" s="188"/>
      <c r="L1355" s="188"/>
      <c r="M1355" s="188" t="n">
        <v>0.5</v>
      </c>
      <c r="N1355" s="188" t="s">
        <v>13</v>
      </c>
      <c r="O1355" s="188"/>
      <c r="P1355" s="188"/>
      <c r="Q1355" s="189"/>
      <c r="R1355" s="82" t="str">
        <f aca="false">VLOOKUP(J1355,ingredient!$N$4:$O$553,2,0)</f>
        <v>adrak</v>
      </c>
      <c r="U1355" s="81" t="str">
        <f aca="false">I1355</f>
        <v>FENNEL TEA</v>
      </c>
      <c r="V1355" s="81" t="n">
        <f aca="false">VLOOKUP(U1355,recipe_ingred_list!$A$2:$B$300,2,0)</f>
        <v>25</v>
      </c>
      <c r="W1355" s="81" t="str">
        <f aca="false">"/recipes/"&amp;VLOOKUP(U1355,recipe_ingred_list!$A$2:$C$300,3,0)&amp;"/detail/"</f>
        <v>/recipes/fennel-tea/detail/</v>
      </c>
      <c r="X1355" s="81" t="str">
        <f aca="false">J1355</f>
        <v>ADRAK</v>
      </c>
      <c r="Y1355" s="81" t="str">
        <f aca="false">R1355</f>
        <v>adrak</v>
      </c>
      <c r="Z1355" s="94" t="n">
        <f aca="false">VLOOKUP(Y1355,recipe_ingred_list!$D$2:$E$500,2,0)</f>
        <v>1</v>
      </c>
      <c r="AA1355" s="61" t="n">
        <f aca="false">K1355</f>
        <v>0</v>
      </c>
      <c r="AB1355" s="61" t="n">
        <f aca="false">L1355</f>
        <v>0</v>
      </c>
      <c r="AC1355" s="61" t="n">
        <f aca="false">VLOOKUP(AB1355,recipe_ingred_list!$K$2:$M$7,3,0)</f>
        <v>2</v>
      </c>
      <c r="AD1355" s="61" t="n">
        <f aca="false">M1355</f>
        <v>0.5</v>
      </c>
      <c r="AE1355" s="61" t="str">
        <f aca="false">N1355</f>
        <v>ltr</v>
      </c>
      <c r="AF1355" s="61" t="n">
        <f aca="false">VLOOKUP(AE1355,recipe_ingred_list!$K$16:$M$25,3,0)</f>
        <v>1</v>
      </c>
      <c r="AG1355" s="61" t="n">
        <f aca="false">O1355</f>
        <v>0</v>
      </c>
      <c r="AH1355" s="61" t="n">
        <f aca="false">P1355</f>
        <v>0</v>
      </c>
      <c r="AI1355" s="61" t="n">
        <f aca="false">VLOOKUP(AH1355,recipe_ingred_list!$K$29:$M$34,3,0)</f>
        <v>3</v>
      </c>
      <c r="AJ1355" s="61" t="str">
        <f aca="false">IF(Q1355="","",Q1355)</f>
        <v/>
      </c>
      <c r="AK1355" s="61" t="n">
        <f aca="false">AK1354+1</f>
        <v>1355</v>
      </c>
      <c r="AL1355" s="61" t="str">
        <f aca="false">Y1355</f>
        <v>adrak</v>
      </c>
      <c r="AM1355" s="81" t="str">
        <f aca="false">"a = Client().post('"&amp;W1355&amp;"', {'recipe' : '"&amp;V1355&amp;"', 'ingredient' : '"&amp;Z1355&amp;"', 'name' : '"&amp;X1355&amp;"', 'mass_unit' : '"&amp;AC1355&amp;"', 'mass_quantity' : '"&amp;ROUND(AA1355,3)&amp;"', 'volume_unit' : '"&amp;AF1355&amp;"', 'volume_quantity' : '"&amp;ROUND(AD1355,3)&amp;"', 'pieces_unit' : '"&amp;AI1355&amp;"', 'pieces_quantity' : '"&amp;ROUND(AG1355,3)&amp;"', 'cooking_notes' : '"&amp;AJ1355&amp;"'}).status_code; print('%s :: %s :: %s :: %s :: %s' %(a,"&amp;G1355&amp;",'"&amp;X1355&amp;"','"&amp;Y1355&amp;"','"&amp;U1355&amp;"'))"</f>
        <v>a = Client().post('/recipes/fennel-tea/detail/', {'recipe' : '25', 'ingredient' : '1', 'name' : 'ADRAK', 'mass_unit' : '2', 'mass_quantity' : '0', 'volume_unit' : '1', 'volume_quantity' : '0.5', 'pieces_unit' : '3', 'pieces_quantity' : '0', 'cooking_notes' : ''}).status_code; print('%s :: %s :: %s :: %s :: %s' %(a,1355,'ADRAK','adrak','FENNEL TEA'))</v>
      </c>
      <c r="AMJ1355" s="0"/>
    </row>
    <row r="1356" s="190" customFormat="true" ht="13.8" hidden="false" customHeight="false" outlineLevel="0" collapsed="false">
      <c r="A1356" s="0"/>
      <c r="B1356" s="0"/>
      <c r="C1356" s="0"/>
      <c r="D1356" s="0"/>
      <c r="E1356" s="0"/>
      <c r="F1356" s="0"/>
      <c r="G1356" s="80" t="n">
        <v>1356</v>
      </c>
      <c r="H1356" s="187"/>
      <c r="I1356" s="187" t="s">
        <v>184</v>
      </c>
      <c r="J1356" s="187" t="s">
        <v>924</v>
      </c>
      <c r="K1356" s="188"/>
      <c r="L1356" s="188"/>
      <c r="M1356" s="188" t="n">
        <v>2</v>
      </c>
      <c r="N1356" s="188" t="s">
        <v>20</v>
      </c>
      <c r="O1356" s="188"/>
      <c r="P1356" s="188"/>
      <c r="Q1356" s="189"/>
      <c r="R1356" s="82" t="str">
        <f aca="false">VLOOKUP(J1356,ingredient!$N$4:$O$553,2,0)</f>
        <v>dalchini</v>
      </c>
      <c r="U1356" s="81" t="str">
        <f aca="false">I1356</f>
        <v>FENNEL TEA</v>
      </c>
      <c r="V1356" s="81" t="n">
        <f aca="false">VLOOKUP(U1356,recipe_ingred_list!$A$2:$B$300,2,0)</f>
        <v>25</v>
      </c>
      <c r="W1356" s="81" t="str">
        <f aca="false">"/recipes/"&amp;VLOOKUP(U1356,recipe_ingred_list!$A$2:$C$300,3,0)&amp;"/detail/"</f>
        <v>/recipes/fennel-tea/detail/</v>
      </c>
      <c r="X1356" s="81" t="str">
        <f aca="false">J1356</f>
        <v>DALCHINI</v>
      </c>
      <c r="Y1356" s="81" t="str">
        <f aca="false">R1356</f>
        <v>dalchini</v>
      </c>
      <c r="Z1356" s="94" t="n">
        <f aca="false">VLOOKUP(Y1356,recipe_ingred_list!$D$2:$E$500,2,0)</f>
        <v>61</v>
      </c>
      <c r="AA1356" s="61" t="n">
        <f aca="false">K1356</f>
        <v>0</v>
      </c>
      <c r="AB1356" s="61" t="n">
        <f aca="false">L1356</f>
        <v>0</v>
      </c>
      <c r="AC1356" s="61" t="n">
        <f aca="false">VLOOKUP(AB1356,recipe_ingred_list!$K$2:$M$7,3,0)</f>
        <v>2</v>
      </c>
      <c r="AD1356" s="61" t="n">
        <f aca="false">M1356</f>
        <v>2</v>
      </c>
      <c r="AE1356" s="61" t="str">
        <f aca="false">N1356</f>
        <v>cup</v>
      </c>
      <c r="AF1356" s="61" t="n">
        <f aca="false">VLOOKUP(AE1356,recipe_ingred_list!$K$16:$M$25,3,0)</f>
        <v>5</v>
      </c>
      <c r="AG1356" s="61" t="n">
        <f aca="false">O1356</f>
        <v>0</v>
      </c>
      <c r="AH1356" s="61" t="n">
        <f aca="false">P1356</f>
        <v>0</v>
      </c>
      <c r="AI1356" s="61" t="n">
        <f aca="false">VLOOKUP(AH1356,recipe_ingred_list!$K$29:$M$34,3,0)</f>
        <v>3</v>
      </c>
      <c r="AJ1356" s="61" t="str">
        <f aca="false">IF(Q1356="","",Q1356)</f>
        <v/>
      </c>
      <c r="AK1356" s="61" t="n">
        <f aca="false">AK1355+1</f>
        <v>1356</v>
      </c>
      <c r="AL1356" s="61" t="str">
        <f aca="false">Y1356</f>
        <v>dalchini</v>
      </c>
      <c r="AM1356" s="81" t="str">
        <f aca="false">"a = Client().post('"&amp;W1356&amp;"', {'recipe' : '"&amp;V1356&amp;"', 'ingredient' : '"&amp;Z1356&amp;"', 'name' : '"&amp;X1356&amp;"', 'mass_unit' : '"&amp;AC1356&amp;"', 'mass_quantity' : '"&amp;ROUND(AA1356,3)&amp;"', 'volume_unit' : '"&amp;AF1356&amp;"', 'volume_quantity' : '"&amp;ROUND(AD1356,3)&amp;"', 'pieces_unit' : '"&amp;AI1356&amp;"', 'pieces_quantity' : '"&amp;ROUND(AG1356,3)&amp;"', 'cooking_notes' : '"&amp;AJ1356&amp;"'}).status_code; print('%s :: %s :: %s :: %s :: %s' %(a,"&amp;G1356&amp;",'"&amp;X1356&amp;"','"&amp;Y1356&amp;"','"&amp;U1356&amp;"'))"</f>
        <v>a = Client().post('/recipes/fennel-tea/detail/', {'recipe' : '25', 'ingredient' : '61', 'name' : 'DALCHINI', 'mass_unit' : '2', 'mass_quantity' : '0', 'volume_unit' : '5', 'volume_quantity' : '2', 'pieces_unit' : '3', 'pieces_quantity' : '0', 'cooking_notes' : ''}).status_code; print('%s :: %s :: %s :: %s :: %s' %(a,1356,'DALCHINI','dalchini','FENNEL TEA'))</v>
      </c>
      <c r="AMJ1356" s="0"/>
    </row>
    <row r="1357" s="190" customFormat="true" ht="13.8" hidden="false" customHeight="false" outlineLevel="0" collapsed="false">
      <c r="A1357" s="0"/>
      <c r="B1357" s="0"/>
      <c r="C1357" s="0"/>
      <c r="D1357" s="0"/>
      <c r="E1357" s="0"/>
      <c r="F1357" s="0"/>
      <c r="G1357" s="80" t="n">
        <v>1357</v>
      </c>
      <c r="H1357" s="187"/>
      <c r="I1357" s="187" t="s">
        <v>184</v>
      </c>
      <c r="J1357" s="187" t="s">
        <v>939</v>
      </c>
      <c r="K1357" s="188"/>
      <c r="L1357" s="188"/>
      <c r="M1357" s="188" t="n">
        <v>2</v>
      </c>
      <c r="N1357" s="188" t="s">
        <v>20</v>
      </c>
      <c r="O1357" s="188"/>
      <c r="P1357" s="188"/>
      <c r="Q1357" s="189"/>
      <c r="R1357" s="82" t="str">
        <f aca="false">VLOOKUP(J1357,ingredient!$N$4:$O$553,2,0)</f>
        <v>tej patta</v>
      </c>
      <c r="U1357" s="81" t="str">
        <f aca="false">I1357</f>
        <v>FENNEL TEA</v>
      </c>
      <c r="V1357" s="81" t="n">
        <f aca="false">VLOOKUP(U1357,recipe_ingred_list!$A$2:$B$300,2,0)</f>
        <v>25</v>
      </c>
      <c r="W1357" s="81" t="str">
        <f aca="false">"/recipes/"&amp;VLOOKUP(U1357,recipe_ingred_list!$A$2:$C$300,3,0)&amp;"/detail/"</f>
        <v>/recipes/fennel-tea/detail/</v>
      </c>
      <c r="X1357" s="81" t="str">
        <f aca="false">J1357</f>
        <v>TEJPATTA</v>
      </c>
      <c r="Y1357" s="81" t="str">
        <f aca="false">R1357</f>
        <v>tej patta</v>
      </c>
      <c r="Z1357" s="94" t="n">
        <f aca="false">VLOOKUP(Y1357,recipe_ingred_list!$D$2:$E$500,2,0)</f>
        <v>191</v>
      </c>
      <c r="AA1357" s="61" t="n">
        <f aca="false">K1357</f>
        <v>0</v>
      </c>
      <c r="AB1357" s="61" t="n">
        <f aca="false">L1357</f>
        <v>0</v>
      </c>
      <c r="AC1357" s="61" t="n">
        <f aca="false">VLOOKUP(AB1357,recipe_ingred_list!$K$2:$M$7,3,0)</f>
        <v>2</v>
      </c>
      <c r="AD1357" s="61" t="n">
        <f aca="false">M1357</f>
        <v>2</v>
      </c>
      <c r="AE1357" s="61" t="str">
        <f aca="false">N1357</f>
        <v>cup</v>
      </c>
      <c r="AF1357" s="61" t="n">
        <f aca="false">VLOOKUP(AE1357,recipe_ingred_list!$K$16:$M$25,3,0)</f>
        <v>5</v>
      </c>
      <c r="AG1357" s="61" t="n">
        <f aca="false">O1357</f>
        <v>0</v>
      </c>
      <c r="AH1357" s="61" t="n">
        <f aca="false">P1357</f>
        <v>0</v>
      </c>
      <c r="AI1357" s="61" t="n">
        <f aca="false">VLOOKUP(AH1357,recipe_ingred_list!$K$29:$M$34,3,0)</f>
        <v>3</v>
      </c>
      <c r="AJ1357" s="61" t="str">
        <f aca="false">IF(Q1357="","",Q1357)</f>
        <v/>
      </c>
      <c r="AK1357" s="61" t="n">
        <f aca="false">AK1356+1</f>
        <v>1357</v>
      </c>
      <c r="AL1357" s="61" t="str">
        <f aca="false">Y1357</f>
        <v>tej patta</v>
      </c>
      <c r="AM1357" s="81" t="str">
        <f aca="false">"a = Client().post('"&amp;W1357&amp;"', {'recipe' : '"&amp;V1357&amp;"', 'ingredient' : '"&amp;Z1357&amp;"', 'name' : '"&amp;X1357&amp;"', 'mass_unit' : '"&amp;AC1357&amp;"', 'mass_quantity' : '"&amp;ROUND(AA1357,3)&amp;"', 'volume_unit' : '"&amp;AF1357&amp;"', 'volume_quantity' : '"&amp;ROUND(AD1357,3)&amp;"', 'pieces_unit' : '"&amp;AI1357&amp;"', 'pieces_quantity' : '"&amp;ROUND(AG1357,3)&amp;"', 'cooking_notes' : '"&amp;AJ1357&amp;"'}).status_code; print('%s :: %s :: %s :: %s :: %s' %(a,"&amp;G1357&amp;",'"&amp;X1357&amp;"','"&amp;Y1357&amp;"','"&amp;U1357&amp;"'))"</f>
        <v>a = Client().post('/recipes/fennel-tea/detail/', {'recipe' : '25', 'ingredient' : '191', 'name' : 'TEJPATTA', 'mass_unit' : '2', 'mass_quantity' : '0', 'volume_unit' : '5', 'volume_quantity' : '2', 'pieces_unit' : '3', 'pieces_quantity' : '0', 'cooking_notes' : ''}).status_code; print('%s :: %s :: %s :: %s :: %s' %(a,1357,'TEJPATTA','tej patta','FENNEL TEA'))</v>
      </c>
      <c r="AMJ1357" s="0"/>
    </row>
    <row r="1358" s="190" customFormat="true" ht="13.8" hidden="false" customHeight="false" outlineLevel="0" collapsed="false">
      <c r="A1358" s="0"/>
      <c r="B1358" s="0"/>
      <c r="C1358" s="0"/>
      <c r="D1358" s="0"/>
      <c r="E1358" s="0"/>
      <c r="F1358" s="0"/>
      <c r="G1358" s="80" t="n">
        <v>1358</v>
      </c>
      <c r="H1358" s="187"/>
      <c r="I1358" s="187" t="s">
        <v>184</v>
      </c>
      <c r="J1358" s="187" t="s">
        <v>940</v>
      </c>
      <c r="K1358" s="188" t="n">
        <v>350</v>
      </c>
      <c r="L1358" s="188" t="s">
        <v>109</v>
      </c>
      <c r="M1358" s="188"/>
      <c r="N1358" s="188"/>
      <c r="O1358" s="188"/>
      <c r="P1358" s="188"/>
      <c r="Q1358" s="189"/>
      <c r="R1358" s="82" t="str">
        <f aca="false">VLOOKUP(J1358,ingredient!$N$4:$O$553,2,0)</f>
        <v>sauf</v>
      </c>
      <c r="U1358" s="81" t="str">
        <f aca="false">I1358</f>
        <v>FENNEL TEA</v>
      </c>
      <c r="V1358" s="81" t="n">
        <f aca="false">VLOOKUP(U1358,recipe_ingred_list!$A$2:$B$300,2,0)</f>
        <v>25</v>
      </c>
      <c r="W1358" s="81" t="str">
        <f aca="false">"/recipes/"&amp;VLOOKUP(U1358,recipe_ingred_list!$A$2:$C$300,3,0)&amp;"/detail/"</f>
        <v>/recipes/fennel-tea/detail/</v>
      </c>
      <c r="X1358" s="81" t="str">
        <f aca="false">J1358</f>
        <v>SAUF</v>
      </c>
      <c r="Y1358" s="81" t="str">
        <f aca="false">R1358</f>
        <v>sauf</v>
      </c>
      <c r="Z1358" s="94" t="n">
        <f aca="false">VLOOKUP(Y1358,recipe_ingred_list!$D$2:$E$500,2,0)</f>
        <v>179</v>
      </c>
      <c r="AA1358" s="61" t="n">
        <f aca="false">K1358</f>
        <v>350</v>
      </c>
      <c r="AB1358" s="61" t="str">
        <f aca="false">L1358</f>
        <v>gm</v>
      </c>
      <c r="AC1358" s="61" t="n">
        <f aca="false">VLOOKUP(AB1358,recipe_ingred_list!$K$2:$M$7,3,0)</f>
        <v>7</v>
      </c>
      <c r="AD1358" s="61" t="n">
        <f aca="false">M1358</f>
        <v>0</v>
      </c>
      <c r="AE1358" s="61" t="n">
        <f aca="false">N1358</f>
        <v>0</v>
      </c>
      <c r="AF1358" s="61" t="n">
        <f aca="false">VLOOKUP(AE1358,recipe_ingred_list!$K$16:$M$25,3,0)</f>
        <v>1</v>
      </c>
      <c r="AG1358" s="61" t="n">
        <f aca="false">O1358</f>
        <v>0</v>
      </c>
      <c r="AH1358" s="61" t="n">
        <f aca="false">P1358</f>
        <v>0</v>
      </c>
      <c r="AI1358" s="61" t="n">
        <f aca="false">VLOOKUP(AH1358,recipe_ingred_list!$K$29:$M$34,3,0)</f>
        <v>3</v>
      </c>
      <c r="AJ1358" s="61" t="str">
        <f aca="false">IF(Q1358="","",Q1358)</f>
        <v/>
      </c>
      <c r="AK1358" s="61" t="n">
        <f aca="false">AK1357+1</f>
        <v>1358</v>
      </c>
      <c r="AL1358" s="61" t="str">
        <f aca="false">Y1358</f>
        <v>sauf</v>
      </c>
      <c r="AM1358" s="81" t="str">
        <f aca="false">"a = Client().post('"&amp;W1358&amp;"', {'recipe' : '"&amp;V1358&amp;"', 'ingredient' : '"&amp;Z1358&amp;"', 'name' : '"&amp;X1358&amp;"', 'mass_unit' : '"&amp;AC1358&amp;"', 'mass_quantity' : '"&amp;ROUND(AA1358,3)&amp;"', 'volume_unit' : '"&amp;AF1358&amp;"', 'volume_quantity' : '"&amp;ROUND(AD1358,3)&amp;"', 'pieces_unit' : '"&amp;AI1358&amp;"', 'pieces_quantity' : '"&amp;ROUND(AG1358,3)&amp;"', 'cooking_notes' : '"&amp;AJ1358&amp;"'}).status_code; print('%s :: %s :: %s :: %s :: %s' %(a,"&amp;G1358&amp;",'"&amp;X1358&amp;"','"&amp;Y1358&amp;"','"&amp;U1358&amp;"'))"</f>
        <v>a = Client().post('/recipes/fennel-tea/detail/', {'recipe' : '25', 'ingredient' : '179', 'name' : 'SAUF', 'mass_unit' : '7', 'mass_quantity' : '350', 'volume_unit' : '1', 'volume_quantity' : '0', 'pieces_unit' : '3', 'pieces_quantity' : '0', 'cooking_notes' : ''}).status_code; print('%s :: %s :: %s :: %s :: %s' %(a,1358,'SAUF','sauf','FENNEL TEA'))</v>
      </c>
      <c r="AMJ1358" s="0"/>
    </row>
    <row r="1359" s="190" customFormat="true" ht="13.8" hidden="false" customHeight="false" outlineLevel="0" collapsed="false">
      <c r="A1359" s="0"/>
      <c r="B1359" s="0"/>
      <c r="C1359" s="0"/>
      <c r="D1359" s="0"/>
      <c r="E1359" s="0"/>
      <c r="F1359" s="0"/>
      <c r="G1359" s="80" t="n">
        <v>1359</v>
      </c>
      <c r="H1359" s="187"/>
      <c r="I1359" s="187" t="s">
        <v>184</v>
      </c>
      <c r="J1359" s="187" t="s">
        <v>931</v>
      </c>
      <c r="K1359" s="188" t="n">
        <v>3.5</v>
      </c>
      <c r="L1359" s="188" t="s">
        <v>7</v>
      </c>
      <c r="M1359" s="188"/>
      <c r="N1359" s="188"/>
      <c r="O1359" s="188"/>
      <c r="P1359" s="188"/>
      <c r="Q1359" s="189"/>
      <c r="R1359" s="82" t="str">
        <f aca="false">VLOOKUP(J1359,ingredient!$N$4:$O$553,2,0)</f>
        <v>sugar</v>
      </c>
      <c r="U1359" s="81" t="str">
        <f aca="false">I1359</f>
        <v>FENNEL TEA</v>
      </c>
      <c r="V1359" s="81" t="n">
        <f aca="false">VLOOKUP(U1359,recipe_ingred_list!$A$2:$B$300,2,0)</f>
        <v>25</v>
      </c>
      <c r="W1359" s="81" t="str">
        <f aca="false">"/recipes/"&amp;VLOOKUP(U1359,recipe_ingred_list!$A$2:$C$300,3,0)&amp;"/detail/"</f>
        <v>/recipes/fennel-tea/detail/</v>
      </c>
      <c r="X1359" s="81" t="str">
        <f aca="false">J1359</f>
        <v>SUGAR</v>
      </c>
      <c r="Y1359" s="81" t="str">
        <f aca="false">R1359</f>
        <v>sugar</v>
      </c>
      <c r="Z1359" s="94" t="n">
        <f aca="false">VLOOKUP(Y1359,recipe_ingred_list!$D$2:$E$500,2,0)</f>
        <v>187</v>
      </c>
      <c r="AA1359" s="61" t="n">
        <f aca="false">K1359</f>
        <v>3.5</v>
      </c>
      <c r="AB1359" s="61" t="str">
        <f aca="false">L1359</f>
        <v>kg</v>
      </c>
      <c r="AC1359" s="61" t="n">
        <f aca="false">VLOOKUP(AB1359,recipe_ingred_list!$K$2:$M$7,3,0)</f>
        <v>2</v>
      </c>
      <c r="AD1359" s="61" t="n">
        <f aca="false">M1359</f>
        <v>0</v>
      </c>
      <c r="AE1359" s="61" t="n">
        <f aca="false">N1359</f>
        <v>0</v>
      </c>
      <c r="AF1359" s="61" t="n">
        <f aca="false">VLOOKUP(AE1359,recipe_ingred_list!$K$16:$M$25,3,0)</f>
        <v>1</v>
      </c>
      <c r="AG1359" s="61" t="n">
        <f aca="false">O1359</f>
        <v>0</v>
      </c>
      <c r="AH1359" s="61" t="n">
        <f aca="false">P1359</f>
        <v>0</v>
      </c>
      <c r="AI1359" s="61" t="n">
        <f aca="false">VLOOKUP(AH1359,recipe_ingred_list!$K$29:$M$34,3,0)</f>
        <v>3</v>
      </c>
      <c r="AJ1359" s="61" t="str">
        <f aca="false">IF(Q1359="","",Q1359)</f>
        <v/>
      </c>
      <c r="AK1359" s="61" t="n">
        <f aca="false">AK1358+1</f>
        <v>1359</v>
      </c>
      <c r="AL1359" s="61" t="str">
        <f aca="false">Y1359</f>
        <v>sugar</v>
      </c>
      <c r="AM1359" s="81" t="str">
        <f aca="false">"a = Client().post('"&amp;W1359&amp;"', {'recipe' : '"&amp;V1359&amp;"', 'ingredient' : '"&amp;Z1359&amp;"', 'name' : '"&amp;X1359&amp;"', 'mass_unit' : '"&amp;AC1359&amp;"', 'mass_quantity' : '"&amp;ROUND(AA1359,3)&amp;"', 'volume_unit' : '"&amp;AF1359&amp;"', 'volume_quantity' : '"&amp;ROUND(AD1359,3)&amp;"', 'pieces_unit' : '"&amp;AI1359&amp;"', 'pieces_quantity' : '"&amp;ROUND(AG1359,3)&amp;"', 'cooking_notes' : '"&amp;AJ1359&amp;"'}).status_code; print('%s :: %s :: %s :: %s :: %s' %(a,"&amp;G1359&amp;",'"&amp;X1359&amp;"','"&amp;Y1359&amp;"','"&amp;U1359&amp;"'))"</f>
        <v>a = Client().post('/recipes/fennel-tea/detail/', {'recipe' : '25', 'ingredient' : '187', 'name' : 'SUGAR', 'mass_unit' : '2', 'mass_quantity' : '3.5', 'volume_unit' : '1', 'volume_quantity' : '0', 'pieces_unit' : '3', 'pieces_quantity' : '0', 'cooking_notes' : ''}).status_code; print('%s :: %s :: %s :: %s :: %s' %(a,1359,'SUGAR','sugar','FENNEL TEA'))</v>
      </c>
      <c r="AMJ1359" s="0"/>
    </row>
    <row r="1360" s="181" customFormat="true" ht="13.8" hidden="false" customHeight="false" outlineLevel="0" collapsed="false">
      <c r="A1360" s="0"/>
      <c r="B1360" s="0"/>
      <c r="C1360" s="0"/>
      <c r="D1360" s="0"/>
      <c r="E1360" s="0"/>
      <c r="F1360" s="0"/>
      <c r="G1360" s="80" t="n">
        <v>1360</v>
      </c>
      <c r="H1360" s="79"/>
      <c r="I1360" s="79"/>
      <c r="J1360" s="79"/>
      <c r="K1360" s="100"/>
      <c r="L1360" s="100"/>
      <c r="M1360" s="100"/>
      <c r="N1360" s="100"/>
      <c r="O1360" s="100"/>
      <c r="P1360" s="100"/>
      <c r="Q1360" s="102"/>
      <c r="R1360" s="99" t="e">
        <f aca="false">VLOOKUP(J1360,ingredient!$N$4:$O$553,2,0)</f>
        <v>#N/A</v>
      </c>
      <c r="S1360" s="98"/>
      <c r="T1360" s="98"/>
      <c r="U1360" s="81" t="n">
        <f aca="false">I1360</f>
        <v>0</v>
      </c>
      <c r="V1360" s="81" t="e">
        <f aca="false">VLOOKUP(U1360,recipe_ingred_list!$A$2:$B$300,2,0)</f>
        <v>#N/A</v>
      </c>
      <c r="W1360" s="81" t="e">
        <f aca="false">"/recipes/"&amp;VLOOKUP(U1360,recipe_ingred_list!$A$2:$C$300,3,0)&amp;"/detail/"</f>
        <v>#N/A</v>
      </c>
      <c r="X1360" s="81" t="n">
        <f aca="false">J1360</f>
        <v>0</v>
      </c>
      <c r="Y1360" s="81" t="e">
        <f aca="false">R1360</f>
        <v>#N/A</v>
      </c>
      <c r="Z1360" s="94" t="e">
        <f aca="false">VLOOKUP(Y1360,recipe_ingred_list!$D$2:$E$500,2,0)</f>
        <v>#N/A</v>
      </c>
      <c r="AA1360" s="61" t="n">
        <f aca="false">K1360</f>
        <v>0</v>
      </c>
      <c r="AB1360" s="61" t="n">
        <f aca="false">L1360</f>
        <v>0</v>
      </c>
      <c r="AC1360" s="61" t="n">
        <f aca="false">VLOOKUP(AB1360,recipe_ingred_list!$K$2:$M$7,3,0)</f>
        <v>2</v>
      </c>
      <c r="AD1360" s="61" t="n">
        <f aca="false">M1360</f>
        <v>0</v>
      </c>
      <c r="AE1360" s="61" t="n">
        <f aca="false">N1360</f>
        <v>0</v>
      </c>
      <c r="AF1360" s="61" t="n">
        <f aca="false">VLOOKUP(AE1360,recipe_ingred_list!$K$16:$M$25,3,0)</f>
        <v>1</v>
      </c>
      <c r="AG1360" s="61" t="n">
        <f aca="false">O1360</f>
        <v>0</v>
      </c>
      <c r="AH1360" s="61" t="n">
        <f aca="false">P1360</f>
        <v>0</v>
      </c>
      <c r="AI1360" s="61" t="n">
        <f aca="false">VLOOKUP(AH1360,recipe_ingred_list!$K$29:$M$34,3,0)</f>
        <v>3</v>
      </c>
      <c r="AJ1360" s="61" t="str">
        <f aca="false">IF(Q1360="","",Q1360)</f>
        <v/>
      </c>
      <c r="AK1360" s="61" t="n">
        <f aca="false">AK1359+1</f>
        <v>1360</v>
      </c>
      <c r="AL1360" s="61" t="e">
        <f aca="false">Y1360</f>
        <v>#N/A</v>
      </c>
      <c r="AM1360" s="81" t="e">
        <f aca="false">"a = Client().post('"&amp;W1360&amp;"', {'recipe' : '"&amp;V1360&amp;"', 'ingredient' : '"&amp;Z1360&amp;"', 'name' : '"&amp;X1360&amp;"', 'mass_unit' : '"&amp;AC1360&amp;"', 'mass_quantity' : '"&amp;ROUND(AA1360,3)&amp;"', 'volume_unit' : '"&amp;AF1360&amp;"', 'volume_quantity' : '"&amp;ROUND(AD1360,3)&amp;"', 'pieces_unit' : '"&amp;AI1360&amp;"', 'pieces_quantity' : '"&amp;ROUND(AG1360,3)&amp;"', 'cooking_notes' : '"&amp;AJ1360&amp;"'}).status_code; print('%s :: %s :: %s :: %s :: %s' %(a,"&amp;G1360&amp;",'"&amp;X1360&amp;"','"&amp;Y1360&amp;"','"&amp;U1360&amp;"'))"</f>
        <v>#N/A</v>
      </c>
      <c r="AMJ1360" s="0"/>
    </row>
    <row r="1361" s="194" customFormat="true" ht="13.8" hidden="false" customHeight="false" outlineLevel="0" collapsed="false">
      <c r="A1361" s="0"/>
      <c r="B1361" s="0"/>
      <c r="C1361" s="0"/>
      <c r="D1361" s="0"/>
      <c r="E1361" s="0"/>
      <c r="F1361" s="0"/>
      <c r="G1361" s="80" t="n">
        <v>1361</v>
      </c>
      <c r="H1361" s="191"/>
      <c r="I1361" s="191" t="s">
        <v>286</v>
      </c>
      <c r="J1361" s="191" t="s">
        <v>678</v>
      </c>
      <c r="K1361" s="192" t="n">
        <v>30</v>
      </c>
      <c r="L1361" s="192" t="s">
        <v>7</v>
      </c>
      <c r="M1361" s="192"/>
      <c r="N1361" s="192"/>
      <c r="O1361" s="192"/>
      <c r="P1361" s="192"/>
      <c r="Q1361" s="193"/>
      <c r="R1361" s="82" t="str">
        <f aca="false">VLOOKUP(J1361,ingredient!$N$4:$O$553,2,0)</f>
        <v>alu</v>
      </c>
      <c r="U1361" s="81" t="str">
        <f aca="false">I1361</f>
        <v>Pav Bhaji</v>
      </c>
      <c r="V1361" s="81" t="n">
        <f aca="false">VLOOKUP(U1361,recipe_ingred_list!$A$2:$B$300,2,0)</f>
        <v>59</v>
      </c>
      <c r="W1361" s="81" t="str">
        <f aca="false">"/recipes/"&amp;VLOOKUP(U1361,recipe_ingred_list!$A$2:$C$300,3,0)&amp;"/detail/"</f>
        <v>/recipes/pav-bhaji/detail/</v>
      </c>
      <c r="X1361" s="81" t="str">
        <f aca="false">J1361</f>
        <v>potatoes</v>
      </c>
      <c r="Y1361" s="81" t="str">
        <f aca="false">R1361</f>
        <v>alu</v>
      </c>
      <c r="Z1361" s="94" t="n">
        <f aca="false">VLOOKUP(Y1361,recipe_ingred_list!$D$2:$E$500,2,0)</f>
        <v>8</v>
      </c>
      <c r="AA1361" s="61" t="n">
        <f aca="false">K1361</f>
        <v>30</v>
      </c>
      <c r="AB1361" s="61" t="str">
        <f aca="false">L1361</f>
        <v>kg</v>
      </c>
      <c r="AC1361" s="61" t="n">
        <f aca="false">VLOOKUP(AB1361,recipe_ingred_list!$K$2:$M$7,3,0)</f>
        <v>2</v>
      </c>
      <c r="AD1361" s="61" t="n">
        <f aca="false">M1361</f>
        <v>0</v>
      </c>
      <c r="AE1361" s="61" t="n">
        <f aca="false">N1361</f>
        <v>0</v>
      </c>
      <c r="AF1361" s="61" t="n">
        <f aca="false">VLOOKUP(AE1361,recipe_ingred_list!$K$16:$M$25,3,0)</f>
        <v>1</v>
      </c>
      <c r="AG1361" s="61" t="n">
        <f aca="false">O1361</f>
        <v>0</v>
      </c>
      <c r="AH1361" s="61" t="n">
        <f aca="false">P1361</f>
        <v>0</v>
      </c>
      <c r="AI1361" s="61" t="n">
        <f aca="false">VLOOKUP(AH1361,recipe_ingred_list!$K$29:$M$34,3,0)</f>
        <v>3</v>
      </c>
      <c r="AJ1361" s="61" t="str">
        <f aca="false">IF(Q1361="","",Q1361)</f>
        <v/>
      </c>
      <c r="AK1361" s="61" t="n">
        <f aca="false">AK1360+1</f>
        <v>1361</v>
      </c>
      <c r="AL1361" s="61" t="str">
        <f aca="false">Y1361</f>
        <v>alu</v>
      </c>
      <c r="AM1361" s="81" t="str">
        <f aca="false">"a = Client().post('"&amp;W1361&amp;"', {'recipe' : '"&amp;V1361&amp;"', 'ingredient' : '"&amp;Z1361&amp;"', 'name' : '"&amp;X1361&amp;"', 'mass_unit' : '"&amp;AC1361&amp;"', 'mass_quantity' : '"&amp;ROUND(AA1361,3)&amp;"', 'volume_unit' : '"&amp;AF1361&amp;"', 'volume_quantity' : '"&amp;ROUND(AD1361,3)&amp;"', 'pieces_unit' : '"&amp;AI1361&amp;"', 'pieces_quantity' : '"&amp;ROUND(AG1361,3)&amp;"', 'cooking_notes' : '"&amp;AJ1361&amp;"'}).status_code; print('%s :: %s :: %s :: %s :: %s' %(a,"&amp;G1361&amp;",'"&amp;X1361&amp;"','"&amp;Y1361&amp;"','"&amp;U1361&amp;"'))"</f>
        <v>a = Client().post('/recipes/pav-bhaji/detail/', {'recipe' : '59', 'ingredient' : '8', 'name' : 'potatoes', 'mass_unit' : '2', 'mass_quantity' : '30', 'volume_unit' : '1', 'volume_quantity' : '0', 'pieces_unit' : '3', 'pieces_quantity' : '0', 'cooking_notes' : ''}).status_code; print('%s :: %s :: %s :: %s :: %s' %(a,1361,'potatoes','alu','Pav Bhaji'))</v>
      </c>
      <c r="AMJ1361" s="0"/>
    </row>
    <row r="1362" s="194" customFormat="true" ht="28.35" hidden="false" customHeight="false" outlineLevel="0" collapsed="false">
      <c r="A1362" s="0"/>
      <c r="B1362" s="0"/>
      <c r="C1362" s="0"/>
      <c r="D1362" s="0"/>
      <c r="E1362" s="0"/>
      <c r="F1362" s="0"/>
      <c r="G1362" s="80" t="n">
        <v>1362</v>
      </c>
      <c r="H1362" s="191"/>
      <c r="I1362" s="191" t="s">
        <v>286</v>
      </c>
      <c r="J1362" s="191" t="s">
        <v>790</v>
      </c>
      <c r="K1362" s="192" t="n">
        <v>8</v>
      </c>
      <c r="L1362" s="192" t="s">
        <v>7</v>
      </c>
      <c r="M1362" s="192"/>
      <c r="N1362" s="192"/>
      <c r="O1362" s="192"/>
      <c r="P1362" s="192"/>
      <c r="Q1362" s="193" t="s">
        <v>941</v>
      </c>
      <c r="R1362" s="82" t="str">
        <f aca="false">VLOOKUP(J1362,ingredient!$N$4:$O$553,2,0)</f>
        <v>green peas</v>
      </c>
      <c r="U1362" s="81" t="str">
        <f aca="false">I1362</f>
        <v>Pav Bhaji</v>
      </c>
      <c r="V1362" s="81" t="n">
        <f aca="false">VLOOKUP(U1362,recipe_ingred_list!$A$2:$B$300,2,0)</f>
        <v>59</v>
      </c>
      <c r="W1362" s="81" t="str">
        <f aca="false">"/recipes/"&amp;VLOOKUP(U1362,recipe_ingred_list!$A$2:$C$300,3,0)&amp;"/detail/"</f>
        <v>/recipes/pav-bhaji/detail/</v>
      </c>
      <c r="X1362" s="81" t="str">
        <f aca="false">J1362</f>
        <v>Green Peas</v>
      </c>
      <c r="Y1362" s="81" t="str">
        <f aca="false">R1362</f>
        <v>green peas</v>
      </c>
      <c r="Z1362" s="94" t="n">
        <f aca="false">VLOOKUP(Y1362,recipe_ingred_list!$D$2:$E$500,2,0)</f>
        <v>88</v>
      </c>
      <c r="AA1362" s="61" t="n">
        <f aca="false">K1362</f>
        <v>8</v>
      </c>
      <c r="AB1362" s="61" t="str">
        <f aca="false">L1362</f>
        <v>kg</v>
      </c>
      <c r="AC1362" s="61" t="n">
        <f aca="false">VLOOKUP(AB1362,recipe_ingred_list!$K$2:$M$7,3,0)</f>
        <v>2</v>
      </c>
      <c r="AD1362" s="61" t="n">
        <f aca="false">M1362</f>
        <v>0</v>
      </c>
      <c r="AE1362" s="61" t="n">
        <f aca="false">N1362</f>
        <v>0</v>
      </c>
      <c r="AF1362" s="61" t="n">
        <f aca="false">VLOOKUP(AE1362,recipe_ingred_list!$K$16:$M$25,3,0)</f>
        <v>1</v>
      </c>
      <c r="AG1362" s="61" t="n">
        <f aca="false">O1362</f>
        <v>0</v>
      </c>
      <c r="AH1362" s="61" t="n">
        <f aca="false">P1362</f>
        <v>0</v>
      </c>
      <c r="AI1362" s="61" t="n">
        <f aca="false">VLOOKUP(AH1362,recipe_ingred_list!$K$29:$M$34,3,0)</f>
        <v>3</v>
      </c>
      <c r="AJ1362" s="61" t="str">
        <f aca="false">IF(Q1362="","",Q1362)</f>
        <v>CHOK-oil-mirchi paste-adrak grated-capcicum-pav bhaji masala( half)-</v>
      </c>
      <c r="AK1362" s="61" t="n">
        <f aca="false">AK1361+1</f>
        <v>1362</v>
      </c>
      <c r="AL1362" s="61" t="str">
        <f aca="false">Y1362</f>
        <v>green peas</v>
      </c>
      <c r="AM1362" s="81" t="str">
        <f aca="false">"a = Client().post('"&amp;W1362&amp;"', {'recipe' : '"&amp;V1362&amp;"', 'ingredient' : '"&amp;Z1362&amp;"', 'name' : '"&amp;X1362&amp;"', 'mass_unit' : '"&amp;AC1362&amp;"', 'mass_quantity' : '"&amp;ROUND(AA1362,3)&amp;"', 'volume_unit' : '"&amp;AF1362&amp;"', 'volume_quantity' : '"&amp;ROUND(AD1362,3)&amp;"', 'pieces_unit' : '"&amp;AI1362&amp;"', 'pieces_quantity' : '"&amp;ROUND(AG1362,3)&amp;"', 'cooking_notes' : '"&amp;AJ1362&amp;"'}).status_code; print('%s :: %s :: %s :: %s :: %s' %(a,"&amp;G1362&amp;",'"&amp;X1362&amp;"','"&amp;Y1362&amp;"','"&amp;U1362&amp;"'))"</f>
        <v>a = Client().post('/recipes/pav-bhaji/detail/', {'recipe' : '59', 'ingredient' : '88', 'name' : 'Green Peas', 'mass_unit' : '2', 'mass_quantity' : '8', 'volume_unit' : '1', 'volume_quantity' : '0', 'pieces_unit' : '3', 'pieces_quantity' : '0', 'cooking_notes' : 'CHOK-oil-mirchi paste-adrak grated-capcicum-pav bhaji masala( half)-'}).status_code; print('%s :: %s :: %s :: %s :: %s' %(a,1362,'Green Peas','green peas','Pav Bhaji'))</v>
      </c>
      <c r="AMJ1362" s="0"/>
    </row>
    <row r="1363" s="194" customFormat="true" ht="28.35" hidden="false" customHeight="false" outlineLevel="0" collapsed="false">
      <c r="A1363" s="0"/>
      <c r="B1363" s="0"/>
      <c r="C1363" s="0"/>
      <c r="D1363" s="0"/>
      <c r="E1363" s="0"/>
      <c r="F1363" s="0"/>
      <c r="G1363" s="80" t="n">
        <v>1363</v>
      </c>
      <c r="H1363" s="191"/>
      <c r="I1363" s="191" t="s">
        <v>286</v>
      </c>
      <c r="J1363" s="191" t="s">
        <v>715</v>
      </c>
      <c r="K1363" s="192" t="n">
        <v>6</v>
      </c>
      <c r="L1363" s="192" t="s">
        <v>7</v>
      </c>
      <c r="M1363" s="192"/>
      <c r="N1363" s="192"/>
      <c r="O1363" s="192"/>
      <c r="P1363" s="192"/>
      <c r="Q1363" s="193" t="s">
        <v>942</v>
      </c>
      <c r="R1363" s="82" t="str">
        <f aca="false">VLOOKUP(J1363,ingredient!$N$4:$O$553,2,0)</f>
        <v>capsicum</v>
      </c>
      <c r="U1363" s="81" t="str">
        <f aca="false">I1363</f>
        <v>Pav Bhaji</v>
      </c>
      <c r="V1363" s="81" t="n">
        <f aca="false">VLOOKUP(U1363,recipe_ingred_list!$A$2:$B$300,2,0)</f>
        <v>59</v>
      </c>
      <c r="W1363" s="81" t="str">
        <f aca="false">"/recipes/"&amp;VLOOKUP(U1363,recipe_ingred_list!$A$2:$C$300,3,0)&amp;"/detail/"</f>
        <v>/recipes/pav-bhaji/detail/</v>
      </c>
      <c r="X1363" s="81" t="str">
        <f aca="false">J1363</f>
        <v>Capsicum </v>
      </c>
      <c r="Y1363" s="81" t="str">
        <f aca="false">R1363</f>
        <v>capsicum</v>
      </c>
      <c r="Z1363" s="94" t="n">
        <f aca="false">VLOOKUP(Y1363,recipe_ingred_list!$D$2:$E$500,2,0)</f>
        <v>42</v>
      </c>
      <c r="AA1363" s="61" t="n">
        <f aca="false">K1363</f>
        <v>6</v>
      </c>
      <c r="AB1363" s="61" t="str">
        <f aca="false">L1363</f>
        <v>kg</v>
      </c>
      <c r="AC1363" s="61" t="n">
        <f aca="false">VLOOKUP(AB1363,recipe_ingred_list!$K$2:$M$7,3,0)</f>
        <v>2</v>
      </c>
      <c r="AD1363" s="61" t="n">
        <f aca="false">M1363</f>
        <v>0</v>
      </c>
      <c r="AE1363" s="61" t="n">
        <f aca="false">N1363</f>
        <v>0</v>
      </c>
      <c r="AF1363" s="61" t="n">
        <f aca="false">VLOOKUP(AE1363,recipe_ingred_list!$K$16:$M$25,3,0)</f>
        <v>1</v>
      </c>
      <c r="AG1363" s="61" t="n">
        <f aca="false">O1363</f>
        <v>0</v>
      </c>
      <c r="AH1363" s="61" t="n">
        <f aca="false">P1363</f>
        <v>0</v>
      </c>
      <c r="AI1363" s="61" t="n">
        <f aca="false">VLOOKUP(AH1363,recipe_ingred_list!$K$29:$M$34,3,0)</f>
        <v>3</v>
      </c>
      <c r="AJ1363" s="61" t="str">
        <f aca="false">IF(Q1363="","",Q1363)</f>
        <v>tomato pury( boiled)-pav bjahi masal half-kashmiri mirchi pwd-</v>
      </c>
      <c r="AK1363" s="61" t="n">
        <f aca="false">AK1362+1</f>
        <v>1363</v>
      </c>
      <c r="AL1363" s="61" t="str">
        <f aca="false">Y1363</f>
        <v>capsicum</v>
      </c>
      <c r="AM1363" s="81" t="str">
        <f aca="false">"a = Client().post('"&amp;W1363&amp;"', {'recipe' : '"&amp;V1363&amp;"', 'ingredient' : '"&amp;Z1363&amp;"', 'name' : '"&amp;X1363&amp;"', 'mass_unit' : '"&amp;AC1363&amp;"', 'mass_quantity' : '"&amp;ROUND(AA1363,3)&amp;"', 'volume_unit' : '"&amp;AF1363&amp;"', 'volume_quantity' : '"&amp;ROUND(AD1363,3)&amp;"', 'pieces_unit' : '"&amp;AI1363&amp;"', 'pieces_quantity' : '"&amp;ROUND(AG1363,3)&amp;"', 'cooking_notes' : '"&amp;AJ1363&amp;"'}).status_code; print('%s :: %s :: %s :: %s :: %s' %(a,"&amp;G1363&amp;",'"&amp;X1363&amp;"','"&amp;Y1363&amp;"','"&amp;U1363&amp;"'))"</f>
        <v>a = Client().post('/recipes/pav-bhaji/detail/', {'recipe' : '59', 'ingredient' : '42', 'name' : 'Capsicum ', 'mass_unit' : '2', 'mass_quantity' : '6', 'volume_unit' : '1', 'volume_quantity' : '0', 'pieces_unit' : '3', 'pieces_quantity' : '0', 'cooking_notes' : 'tomato pury( boiled)-pav bjahi masal half-kashmiri mirchi pwd-'}).status_code; print('%s :: %s :: %s :: %s :: %s' %(a,1363,'Capsicum ','capsicum','Pav Bhaji'))</v>
      </c>
      <c r="AMJ1363" s="0"/>
    </row>
    <row r="1364" s="194" customFormat="true" ht="28.35" hidden="false" customHeight="false" outlineLevel="0" collapsed="false">
      <c r="A1364" s="0"/>
      <c r="B1364" s="0"/>
      <c r="C1364" s="0"/>
      <c r="D1364" s="0"/>
      <c r="E1364" s="0"/>
      <c r="F1364" s="0"/>
      <c r="G1364" s="80" t="n">
        <v>1364</v>
      </c>
      <c r="H1364" s="191"/>
      <c r="I1364" s="191" t="s">
        <v>286</v>
      </c>
      <c r="J1364" s="191" t="s">
        <v>943</v>
      </c>
      <c r="K1364" s="192" t="n">
        <v>6</v>
      </c>
      <c r="L1364" s="192" t="s">
        <v>7</v>
      </c>
      <c r="M1364" s="192"/>
      <c r="N1364" s="192"/>
      <c r="O1364" s="192"/>
      <c r="P1364" s="192"/>
      <c r="Q1364" s="193" t="s">
        <v>944</v>
      </c>
      <c r="R1364" s="82" t="str">
        <f aca="false">VLOOKUP(J1364,ingredient!$N$4:$O$553,2,0)</f>
        <v>cauli flower</v>
      </c>
      <c r="U1364" s="81" t="str">
        <f aca="false">I1364</f>
        <v>Pav Bhaji</v>
      </c>
      <c r="V1364" s="81" t="n">
        <f aca="false">VLOOKUP(U1364,recipe_ingred_list!$A$2:$B$300,2,0)</f>
        <v>59</v>
      </c>
      <c r="W1364" s="81" t="str">
        <f aca="false">"/recipes/"&amp;VLOOKUP(U1364,recipe_ingred_list!$A$2:$C$300,3,0)&amp;"/detail/"</f>
        <v>/recipes/pav-bhaji/detail/</v>
      </c>
      <c r="X1364" s="81" t="str">
        <f aca="false">J1364</f>
        <v>Cauli flower</v>
      </c>
      <c r="Y1364" s="81" t="str">
        <f aca="false">R1364</f>
        <v>cauli flower</v>
      </c>
      <c r="Z1364" s="94" t="n">
        <f aca="false">VLOOKUP(Y1364,recipe_ingred_list!$D$2:$E$500,2,0)</f>
        <v>44</v>
      </c>
      <c r="AA1364" s="61" t="n">
        <f aca="false">K1364</f>
        <v>6</v>
      </c>
      <c r="AB1364" s="61" t="str">
        <f aca="false">L1364</f>
        <v>kg</v>
      </c>
      <c r="AC1364" s="61" t="n">
        <f aca="false">VLOOKUP(AB1364,recipe_ingred_list!$K$2:$M$7,3,0)</f>
        <v>2</v>
      </c>
      <c r="AD1364" s="61" t="n">
        <f aca="false">M1364</f>
        <v>0</v>
      </c>
      <c r="AE1364" s="61" t="n">
        <f aca="false">N1364</f>
        <v>0</v>
      </c>
      <c r="AF1364" s="61" t="n">
        <f aca="false">VLOOKUP(AE1364,recipe_ingred_list!$K$16:$M$25,3,0)</f>
        <v>1</v>
      </c>
      <c r="AG1364" s="61" t="n">
        <f aca="false">O1364</f>
        <v>0</v>
      </c>
      <c r="AH1364" s="61" t="n">
        <f aca="false">P1364</f>
        <v>0</v>
      </c>
      <c r="AI1364" s="61" t="n">
        <f aca="false">VLOOKUP(AH1364,recipe_ingred_list!$K$29:$M$34,3,0)</f>
        <v>3</v>
      </c>
      <c r="AJ1364" s="61" t="str">
        <f aca="false">IF(Q1364="","",Q1364)</f>
        <v>salt-remaining pav bjahi masala-smashed alu-</v>
      </c>
      <c r="AK1364" s="61" t="n">
        <f aca="false">AK1363+1</f>
        <v>1364</v>
      </c>
      <c r="AL1364" s="61" t="str">
        <f aca="false">Y1364</f>
        <v>cauli flower</v>
      </c>
      <c r="AM1364" s="81" t="str">
        <f aca="false">"a = Client().post('"&amp;W1364&amp;"', {'recipe' : '"&amp;V1364&amp;"', 'ingredient' : '"&amp;Z1364&amp;"', 'name' : '"&amp;X1364&amp;"', 'mass_unit' : '"&amp;AC1364&amp;"', 'mass_quantity' : '"&amp;ROUND(AA1364,3)&amp;"', 'volume_unit' : '"&amp;AF1364&amp;"', 'volume_quantity' : '"&amp;ROUND(AD1364,3)&amp;"', 'pieces_unit' : '"&amp;AI1364&amp;"', 'pieces_quantity' : '"&amp;ROUND(AG1364,3)&amp;"', 'cooking_notes' : '"&amp;AJ1364&amp;"'}).status_code; print('%s :: %s :: %s :: %s :: %s' %(a,"&amp;G1364&amp;",'"&amp;X1364&amp;"','"&amp;Y1364&amp;"','"&amp;U1364&amp;"'))"</f>
        <v>a = Client().post('/recipes/pav-bhaji/detail/', {'recipe' : '59', 'ingredient' : '44', 'name' : 'Cauli flower', 'mass_unit' : '2', 'mass_quantity' : '6', 'volume_unit' : '1', 'volume_quantity' : '0', 'pieces_unit' : '3', 'pieces_quantity' : '0', 'cooking_notes' : 'salt-remaining pav bjahi masala-smashed alu-'}).status_code; print('%s :: %s :: %s :: %s :: %s' %(a,1364,'Cauli flower','cauli flower','Pav Bhaji'))</v>
      </c>
      <c r="AMJ1364" s="0"/>
    </row>
    <row r="1365" s="194" customFormat="true" ht="13.8" hidden="false" customHeight="false" outlineLevel="0" collapsed="false">
      <c r="A1365" s="0"/>
      <c r="B1365" s="0"/>
      <c r="C1365" s="0"/>
      <c r="D1365" s="0"/>
      <c r="E1365" s="0"/>
      <c r="F1365" s="0"/>
      <c r="G1365" s="80" t="n">
        <v>1365</v>
      </c>
      <c r="H1365" s="191"/>
      <c r="I1365" s="191" t="s">
        <v>286</v>
      </c>
      <c r="J1365" s="191" t="s">
        <v>21</v>
      </c>
      <c r="K1365" s="192" t="n">
        <v>20</v>
      </c>
      <c r="L1365" s="192" t="s">
        <v>7</v>
      </c>
      <c r="M1365" s="192"/>
      <c r="N1365" s="192"/>
      <c r="O1365" s="192"/>
      <c r="P1365" s="192"/>
      <c r="Q1365" s="193"/>
      <c r="R1365" s="82" t="str">
        <f aca="false">VLOOKUP(J1365,ingredient!$N$4:$O$553,2,0)</f>
        <v>tomato</v>
      </c>
      <c r="U1365" s="81" t="str">
        <f aca="false">I1365</f>
        <v>Pav Bhaji</v>
      </c>
      <c r="V1365" s="81" t="n">
        <f aca="false">VLOOKUP(U1365,recipe_ingred_list!$A$2:$B$300,2,0)</f>
        <v>59</v>
      </c>
      <c r="W1365" s="81" t="str">
        <f aca="false">"/recipes/"&amp;VLOOKUP(U1365,recipe_ingred_list!$A$2:$C$300,3,0)&amp;"/detail/"</f>
        <v>/recipes/pav-bhaji/detail/</v>
      </c>
      <c r="X1365" s="81" t="str">
        <f aca="false">J1365</f>
        <v>Tomato</v>
      </c>
      <c r="Y1365" s="81" t="str">
        <f aca="false">R1365</f>
        <v>tomato</v>
      </c>
      <c r="Z1365" s="94" t="n">
        <f aca="false">VLOOKUP(Y1365,recipe_ingred_list!$D$2:$E$500,2,0)</f>
        <v>195</v>
      </c>
      <c r="AA1365" s="61" t="n">
        <f aca="false">K1365</f>
        <v>20</v>
      </c>
      <c r="AB1365" s="61" t="str">
        <f aca="false">L1365</f>
        <v>kg</v>
      </c>
      <c r="AC1365" s="61" t="n">
        <f aca="false">VLOOKUP(AB1365,recipe_ingred_list!$K$2:$M$7,3,0)</f>
        <v>2</v>
      </c>
      <c r="AD1365" s="61" t="n">
        <f aca="false">M1365</f>
        <v>0</v>
      </c>
      <c r="AE1365" s="61" t="n">
        <f aca="false">N1365</f>
        <v>0</v>
      </c>
      <c r="AF1365" s="61" t="n">
        <f aca="false">VLOOKUP(AE1365,recipe_ingred_list!$K$16:$M$25,3,0)</f>
        <v>1</v>
      </c>
      <c r="AG1365" s="61" t="n">
        <f aca="false">O1365</f>
        <v>0</v>
      </c>
      <c r="AH1365" s="61" t="n">
        <f aca="false">P1365</f>
        <v>0</v>
      </c>
      <c r="AI1365" s="61" t="n">
        <f aca="false">VLOOKUP(AH1365,recipe_ingred_list!$K$29:$M$34,3,0)</f>
        <v>3</v>
      </c>
      <c r="AJ1365" s="61" t="str">
        <f aca="false">IF(Q1365="","",Q1365)</f>
        <v/>
      </c>
      <c r="AK1365" s="61" t="n">
        <f aca="false">AK1364+1</f>
        <v>1365</v>
      </c>
      <c r="AL1365" s="61" t="str">
        <f aca="false">Y1365</f>
        <v>tomato</v>
      </c>
      <c r="AM1365" s="81" t="str">
        <f aca="false">"a = Client().post('"&amp;W1365&amp;"', {'recipe' : '"&amp;V1365&amp;"', 'ingredient' : '"&amp;Z1365&amp;"', 'name' : '"&amp;X1365&amp;"', 'mass_unit' : '"&amp;AC1365&amp;"', 'mass_quantity' : '"&amp;ROUND(AA1365,3)&amp;"', 'volume_unit' : '"&amp;AF1365&amp;"', 'volume_quantity' : '"&amp;ROUND(AD1365,3)&amp;"', 'pieces_unit' : '"&amp;AI1365&amp;"', 'pieces_quantity' : '"&amp;ROUND(AG1365,3)&amp;"', 'cooking_notes' : '"&amp;AJ1365&amp;"'}).status_code; print('%s :: %s :: %s :: %s :: %s' %(a,"&amp;G1365&amp;",'"&amp;X1365&amp;"','"&amp;Y1365&amp;"','"&amp;U1365&amp;"'))"</f>
        <v>a = Client().post('/recipes/pav-bhaji/detail/', {'recipe' : '59', 'ingredient' : '195', 'name' : 'Tomato', 'mass_unit' : '2', 'mass_quantity' : '20', 'volume_unit' : '1', 'volume_quantity' : '0', 'pieces_unit' : '3', 'pieces_quantity' : '0', 'cooking_notes' : ''}).status_code; print('%s :: %s :: %s :: %s :: %s' %(a,1365,'Tomato','tomato','Pav Bhaji'))</v>
      </c>
      <c r="AMJ1365" s="0"/>
    </row>
    <row r="1366" s="194" customFormat="true" ht="28.35" hidden="false" customHeight="false" outlineLevel="0" collapsed="false">
      <c r="A1366" s="0"/>
      <c r="B1366" s="0"/>
      <c r="C1366" s="0"/>
      <c r="D1366" s="0"/>
      <c r="E1366" s="0"/>
      <c r="F1366" s="0"/>
      <c r="G1366" s="80" t="n">
        <v>1366</v>
      </c>
      <c r="H1366" s="191"/>
      <c r="I1366" s="191" t="s">
        <v>286</v>
      </c>
      <c r="J1366" s="191" t="s">
        <v>945</v>
      </c>
      <c r="K1366" s="192"/>
      <c r="L1366" s="192"/>
      <c r="M1366" s="192" t="n">
        <v>1</v>
      </c>
      <c r="N1366" s="192" t="s">
        <v>13</v>
      </c>
      <c r="O1366" s="192"/>
      <c r="P1366" s="192"/>
      <c r="Q1366" s="193" t="s">
        <v>946</v>
      </c>
      <c r="R1366" s="82" t="str">
        <f aca="false">VLOOKUP(J1366,ingredient!$N$4:$O$553,2,0)</f>
        <v>adrak</v>
      </c>
      <c r="U1366" s="81" t="str">
        <f aca="false">I1366</f>
        <v>Pav Bhaji</v>
      </c>
      <c r="V1366" s="81" t="n">
        <f aca="false">VLOOKUP(U1366,recipe_ingred_list!$A$2:$B$300,2,0)</f>
        <v>59</v>
      </c>
      <c r="W1366" s="81" t="str">
        <f aca="false">"/recipes/"&amp;VLOOKUP(U1366,recipe_ingred_list!$A$2:$C$300,3,0)&amp;"/detail/"</f>
        <v>/recipes/pav-bhaji/detail/</v>
      </c>
      <c r="X1366" s="81" t="str">
        <f aca="false">J1366</f>
        <v>Adrak </v>
      </c>
      <c r="Y1366" s="81" t="str">
        <f aca="false">R1366</f>
        <v>adrak</v>
      </c>
      <c r="Z1366" s="94" t="n">
        <f aca="false">VLOOKUP(Y1366,recipe_ingred_list!$D$2:$E$500,2,0)</f>
        <v>1</v>
      </c>
      <c r="AA1366" s="61" t="n">
        <f aca="false">K1366</f>
        <v>0</v>
      </c>
      <c r="AB1366" s="61" t="n">
        <f aca="false">L1366</f>
        <v>0</v>
      </c>
      <c r="AC1366" s="61" t="n">
        <f aca="false">VLOOKUP(AB1366,recipe_ingred_list!$K$2:$M$7,3,0)</f>
        <v>2</v>
      </c>
      <c r="AD1366" s="61" t="n">
        <f aca="false">M1366</f>
        <v>1</v>
      </c>
      <c r="AE1366" s="61" t="str">
        <f aca="false">N1366</f>
        <v>ltr</v>
      </c>
      <c r="AF1366" s="61" t="n">
        <f aca="false">VLOOKUP(AE1366,recipe_ingred_list!$K$16:$M$25,3,0)</f>
        <v>1</v>
      </c>
      <c r="AG1366" s="61" t="n">
        <f aca="false">O1366</f>
        <v>0</v>
      </c>
      <c r="AH1366" s="61" t="n">
        <f aca="false">P1366</f>
        <v>0</v>
      </c>
      <c r="AI1366" s="61" t="n">
        <f aca="false">VLOOKUP(AH1366,recipe_ingred_list!$K$29:$M$34,3,0)</f>
        <v>3</v>
      </c>
      <c r="AJ1366" s="61" t="str">
        <f aca="false">IF(Q1366="","",Q1366)</f>
        <v>ALU-peel alu-boil it-smash it in chapti atta making machine </v>
      </c>
      <c r="AK1366" s="61" t="n">
        <f aca="false">AK1365+1</f>
        <v>1366</v>
      </c>
      <c r="AL1366" s="61" t="str">
        <f aca="false">Y1366</f>
        <v>adrak</v>
      </c>
      <c r="AM1366" s="81" t="str">
        <f aca="false">"a = Client().post('"&amp;W1366&amp;"', {'recipe' : '"&amp;V1366&amp;"', 'ingredient' : '"&amp;Z1366&amp;"', 'name' : '"&amp;X1366&amp;"', 'mass_unit' : '"&amp;AC1366&amp;"', 'mass_quantity' : '"&amp;ROUND(AA1366,3)&amp;"', 'volume_unit' : '"&amp;AF1366&amp;"', 'volume_quantity' : '"&amp;ROUND(AD1366,3)&amp;"', 'pieces_unit' : '"&amp;AI1366&amp;"', 'pieces_quantity' : '"&amp;ROUND(AG1366,3)&amp;"', 'cooking_notes' : '"&amp;AJ1366&amp;"'}).status_code; print('%s :: %s :: %s :: %s :: %s' %(a,"&amp;G1366&amp;",'"&amp;X1366&amp;"','"&amp;Y1366&amp;"','"&amp;U1366&amp;"'))"</f>
        <v>a = Client().post('/recipes/pav-bhaji/detail/', {'recipe' : '59', 'ingredient' : '1', 'name' : 'Adrak ', 'mass_unit' : '2', 'mass_quantity' : '0', 'volume_unit' : '1', 'volume_quantity' : '1', 'pieces_unit' : '3', 'pieces_quantity' : '0', 'cooking_notes' : 'ALU-peel alu-boil it-smash it in chapti atta making machine '}).status_code; print('%s :: %s :: %s :: %s :: %s' %(a,1366,'Adrak ','adrak','Pav Bhaji'))</v>
      </c>
      <c r="AMJ1366" s="0"/>
    </row>
    <row r="1367" s="194" customFormat="true" ht="14.9" hidden="false" customHeight="false" outlineLevel="0" collapsed="false">
      <c r="A1367" s="0"/>
      <c r="B1367" s="0"/>
      <c r="C1367" s="0"/>
      <c r="D1367" s="0"/>
      <c r="E1367" s="0"/>
      <c r="F1367" s="0"/>
      <c r="G1367" s="80" t="n">
        <v>1367</v>
      </c>
      <c r="H1367" s="191"/>
      <c r="I1367" s="191" t="s">
        <v>286</v>
      </c>
      <c r="J1367" s="191" t="s">
        <v>947</v>
      </c>
      <c r="K1367" s="192"/>
      <c r="L1367" s="192"/>
      <c r="M1367" s="192" t="n">
        <v>16</v>
      </c>
      <c r="N1367" s="192" t="s">
        <v>13</v>
      </c>
      <c r="O1367" s="192"/>
      <c r="P1367" s="192"/>
      <c r="Q1367" s="193" t="s">
        <v>948</v>
      </c>
      <c r="R1367" s="82" t="str">
        <f aca="false">VLOOKUP(J1367,ingredient!$N$4:$O$553,2,0)</f>
        <v>hot water</v>
      </c>
      <c r="U1367" s="81" t="str">
        <f aca="false">I1367</f>
        <v>Pav Bhaji</v>
      </c>
      <c r="V1367" s="81" t="n">
        <f aca="false">VLOOKUP(U1367,recipe_ingred_list!$A$2:$B$300,2,0)</f>
        <v>59</v>
      </c>
      <c r="W1367" s="81" t="str">
        <f aca="false">"/recipes/"&amp;VLOOKUP(U1367,recipe_ingred_list!$A$2:$C$300,3,0)&amp;"/detail/"</f>
        <v>/recipes/pav-bhaji/detail/</v>
      </c>
      <c r="X1367" s="81" t="str">
        <f aca="false">J1367</f>
        <v>Hot Water</v>
      </c>
      <c r="Y1367" s="81" t="str">
        <f aca="false">R1367</f>
        <v>hot water</v>
      </c>
      <c r="Z1367" s="94" t="n">
        <f aca="false">VLOOKUP(Y1367,recipe_ingred_list!$D$2:$E$500,2,0)</f>
        <v>97</v>
      </c>
      <c r="AA1367" s="61" t="n">
        <f aca="false">K1367</f>
        <v>0</v>
      </c>
      <c r="AB1367" s="61" t="n">
        <f aca="false">L1367</f>
        <v>0</v>
      </c>
      <c r="AC1367" s="61" t="n">
        <f aca="false">VLOOKUP(AB1367,recipe_ingred_list!$K$2:$M$7,3,0)</f>
        <v>2</v>
      </c>
      <c r="AD1367" s="61" t="n">
        <f aca="false">M1367</f>
        <v>16</v>
      </c>
      <c r="AE1367" s="61" t="str">
        <f aca="false">N1367</f>
        <v>ltr</v>
      </c>
      <c r="AF1367" s="61" t="n">
        <f aca="false">VLOOKUP(AE1367,recipe_ingred_list!$K$16:$M$25,3,0)</f>
        <v>1</v>
      </c>
      <c r="AG1367" s="61" t="n">
        <f aca="false">O1367</f>
        <v>0</v>
      </c>
      <c r="AH1367" s="61" t="n">
        <f aca="false">P1367</f>
        <v>0</v>
      </c>
      <c r="AI1367" s="61" t="n">
        <f aca="false">VLOOKUP(AH1367,recipe_ingred_list!$K$29:$M$34,3,0)</f>
        <v>3</v>
      </c>
      <c r="AJ1367" s="61" t="str">
        <f aca="false">IF(Q1367="","",Q1367)</f>
        <v>with some water</v>
      </c>
      <c r="AK1367" s="61" t="n">
        <f aca="false">AK1366+1</f>
        <v>1367</v>
      </c>
      <c r="AL1367" s="61" t="str">
        <f aca="false">Y1367</f>
        <v>hot water</v>
      </c>
      <c r="AM1367" s="81" t="str">
        <f aca="false">"a = Client().post('"&amp;W1367&amp;"', {'recipe' : '"&amp;V1367&amp;"', 'ingredient' : '"&amp;Z1367&amp;"', 'name' : '"&amp;X1367&amp;"', 'mass_unit' : '"&amp;AC1367&amp;"', 'mass_quantity' : '"&amp;ROUND(AA1367,3)&amp;"', 'volume_unit' : '"&amp;AF1367&amp;"', 'volume_quantity' : '"&amp;ROUND(AD1367,3)&amp;"', 'pieces_unit' : '"&amp;AI1367&amp;"', 'pieces_quantity' : '"&amp;ROUND(AG1367,3)&amp;"', 'cooking_notes' : '"&amp;AJ1367&amp;"'}).status_code; print('%s :: %s :: %s :: %s :: %s' %(a,"&amp;G1367&amp;",'"&amp;X1367&amp;"','"&amp;Y1367&amp;"','"&amp;U1367&amp;"'))"</f>
        <v>a = Client().post('/recipes/pav-bhaji/detail/', {'recipe' : '59', 'ingredient' : '97', 'name' : 'Hot Water', 'mass_unit' : '2', 'mass_quantity' : '0', 'volume_unit' : '1', 'volume_quantity' : '16', 'pieces_unit' : '3', 'pieces_quantity' : '0', 'cooking_notes' : 'with some water'}).status_code; print('%s :: %s :: %s :: %s :: %s' %(a,1367,'Hot Water','hot water','Pav Bhaji'))</v>
      </c>
      <c r="AMJ1367" s="0"/>
    </row>
    <row r="1368" s="194" customFormat="true" ht="28.35" hidden="false" customHeight="false" outlineLevel="0" collapsed="false">
      <c r="A1368" s="0"/>
      <c r="B1368" s="0"/>
      <c r="C1368" s="0"/>
      <c r="D1368" s="0"/>
      <c r="E1368" s="0"/>
      <c r="F1368" s="0"/>
      <c r="G1368" s="80" t="n">
        <v>1368</v>
      </c>
      <c r="H1368" s="191"/>
      <c r="I1368" s="191" t="s">
        <v>286</v>
      </c>
      <c r="J1368" s="191" t="s">
        <v>949</v>
      </c>
      <c r="K1368" s="192"/>
      <c r="L1368" s="192"/>
      <c r="M1368" s="192" t="n">
        <v>0.2</v>
      </c>
      <c r="N1368" s="192" t="s">
        <v>20</v>
      </c>
      <c r="O1368" s="192"/>
      <c r="P1368" s="192"/>
      <c r="Q1368" s="193" t="s">
        <v>950</v>
      </c>
      <c r="R1368" s="82" t="str">
        <f aca="false">VLOOKUP(J1368,ingredient!$N$4:$O$553,2,0)</f>
        <v>hari mirchi</v>
      </c>
      <c r="U1368" s="81" t="str">
        <f aca="false">I1368</f>
        <v>Pav Bhaji</v>
      </c>
      <c r="V1368" s="81" t="n">
        <f aca="false">VLOOKUP(U1368,recipe_ingred_list!$A$2:$B$300,2,0)</f>
        <v>59</v>
      </c>
      <c r="W1368" s="81" t="str">
        <f aca="false">"/recipes/"&amp;VLOOKUP(U1368,recipe_ingred_list!$A$2:$C$300,3,0)&amp;"/detail/"</f>
        <v>/recipes/pav-bhaji/detail/</v>
      </c>
      <c r="X1368" s="81" t="str">
        <f aca="false">J1368</f>
        <v>Green mirchi paste</v>
      </c>
      <c r="Y1368" s="81" t="str">
        <f aca="false">R1368</f>
        <v>hari mirchi</v>
      </c>
      <c r="Z1368" s="94" t="n">
        <f aca="false">VLOOKUP(Y1368,recipe_ingred_list!$D$2:$E$500,2,0)</f>
        <v>93</v>
      </c>
      <c r="AA1368" s="61" t="n">
        <f aca="false">K1368</f>
        <v>0</v>
      </c>
      <c r="AB1368" s="61" t="n">
        <f aca="false">L1368</f>
        <v>0</v>
      </c>
      <c r="AC1368" s="61" t="n">
        <f aca="false">VLOOKUP(AB1368,recipe_ingred_list!$K$2:$M$7,3,0)</f>
        <v>2</v>
      </c>
      <c r="AD1368" s="61" t="n">
        <f aca="false">M1368</f>
        <v>0.2</v>
      </c>
      <c r="AE1368" s="61" t="str">
        <f aca="false">N1368</f>
        <v>cup</v>
      </c>
      <c r="AF1368" s="61" t="n">
        <f aca="false">VLOOKUP(AE1368,recipe_ingred_list!$K$16:$M$25,3,0)</f>
        <v>5</v>
      </c>
      <c r="AG1368" s="61" t="n">
        <f aca="false">O1368</f>
        <v>0</v>
      </c>
      <c r="AH1368" s="61" t="n">
        <f aca="false">P1368</f>
        <v>0</v>
      </c>
      <c r="AI1368" s="61" t="n">
        <f aca="false">VLOOKUP(AH1368,recipe_ingred_list!$K$29:$M$34,3,0)</f>
        <v>3</v>
      </c>
      <c r="AJ1368" s="61" t="str">
        <f aca="false">IF(Q1368="","",Q1368)</f>
        <v>PEAS-boil-smash in pulverizer w/o jali</v>
      </c>
      <c r="AK1368" s="61" t="n">
        <f aca="false">AK1367+1</f>
        <v>1368</v>
      </c>
      <c r="AL1368" s="61" t="str">
        <f aca="false">Y1368</f>
        <v>hari mirchi</v>
      </c>
      <c r="AM1368" s="81" t="str">
        <f aca="false">"a = Client().post('"&amp;W1368&amp;"', {'recipe' : '"&amp;V1368&amp;"', 'ingredient' : '"&amp;Z1368&amp;"', 'name' : '"&amp;X1368&amp;"', 'mass_unit' : '"&amp;AC1368&amp;"', 'mass_quantity' : '"&amp;ROUND(AA1368,3)&amp;"', 'volume_unit' : '"&amp;AF1368&amp;"', 'volume_quantity' : '"&amp;ROUND(AD1368,3)&amp;"', 'pieces_unit' : '"&amp;AI1368&amp;"', 'pieces_quantity' : '"&amp;ROUND(AG1368,3)&amp;"', 'cooking_notes' : '"&amp;AJ1368&amp;"'}).status_code; print('%s :: %s :: %s :: %s :: %s' %(a,"&amp;G1368&amp;",'"&amp;X1368&amp;"','"&amp;Y1368&amp;"','"&amp;U1368&amp;"'))"</f>
        <v>a = Client().post('/recipes/pav-bhaji/detail/', {'recipe' : '59', 'ingredient' : '93', 'name' : 'Green mirchi paste', 'mass_unit' : '2', 'mass_quantity' : '0', 'volume_unit' : '5', 'volume_quantity' : '0.2', 'pieces_unit' : '3', 'pieces_quantity' : '0', 'cooking_notes' : 'PEAS-boil-smash in pulverizer w/o jali'}).status_code; print('%s :: %s :: %s :: %s :: %s' %(a,1368,'Green mirchi paste','hari mirchi','Pav Bhaji'))</v>
      </c>
      <c r="AMJ1368" s="0"/>
    </row>
    <row r="1369" s="194" customFormat="true" ht="13.8" hidden="false" customHeight="false" outlineLevel="0" collapsed="false">
      <c r="A1369" s="0"/>
      <c r="B1369" s="0"/>
      <c r="C1369" s="0"/>
      <c r="D1369" s="0"/>
      <c r="E1369" s="0"/>
      <c r="F1369" s="0"/>
      <c r="G1369" s="80" t="n">
        <v>1369</v>
      </c>
      <c r="H1369" s="191"/>
      <c r="I1369" s="191" t="s">
        <v>286</v>
      </c>
      <c r="J1369" s="191" t="s">
        <v>238</v>
      </c>
      <c r="K1369" s="192"/>
      <c r="L1369" s="192"/>
      <c r="M1369" s="192" t="n">
        <v>0.5</v>
      </c>
      <c r="N1369" s="192" t="s">
        <v>13</v>
      </c>
      <c r="O1369" s="192"/>
      <c r="P1369" s="192"/>
      <c r="Q1369" s="193"/>
      <c r="R1369" s="82" t="str">
        <f aca="false">VLOOKUP(J1369,ingredient!$N$4:$O$553,2,0)</f>
        <v>lemon</v>
      </c>
      <c r="U1369" s="81" t="str">
        <f aca="false">I1369</f>
        <v>Pav Bhaji</v>
      </c>
      <c r="V1369" s="81" t="n">
        <f aca="false">VLOOKUP(U1369,recipe_ingred_list!$A$2:$B$300,2,0)</f>
        <v>59</v>
      </c>
      <c r="W1369" s="81" t="str">
        <f aca="false">"/recipes/"&amp;VLOOKUP(U1369,recipe_ingred_list!$A$2:$C$300,3,0)&amp;"/detail/"</f>
        <v>/recipes/pav-bhaji/detail/</v>
      </c>
      <c r="X1369" s="81" t="str">
        <f aca="false">J1369</f>
        <v>LEMON JUICE</v>
      </c>
      <c r="Y1369" s="81" t="str">
        <f aca="false">R1369</f>
        <v>lemon</v>
      </c>
      <c r="Z1369" s="94" t="n">
        <f aca="false">VLOOKUP(Y1369,recipe_ingred_list!$D$2:$E$500,2,0)</f>
        <v>129</v>
      </c>
      <c r="AA1369" s="61" t="n">
        <f aca="false">K1369</f>
        <v>0</v>
      </c>
      <c r="AB1369" s="61" t="n">
        <f aca="false">L1369</f>
        <v>0</v>
      </c>
      <c r="AC1369" s="61" t="n">
        <f aca="false">VLOOKUP(AB1369,recipe_ingred_list!$K$2:$M$7,3,0)</f>
        <v>2</v>
      </c>
      <c r="AD1369" s="61" t="n">
        <f aca="false">M1369</f>
        <v>0.5</v>
      </c>
      <c r="AE1369" s="61" t="str">
        <f aca="false">N1369</f>
        <v>ltr</v>
      </c>
      <c r="AF1369" s="61" t="n">
        <f aca="false">VLOOKUP(AE1369,recipe_ingred_list!$K$16:$M$25,3,0)</f>
        <v>1</v>
      </c>
      <c r="AG1369" s="61" t="n">
        <f aca="false">O1369</f>
        <v>0</v>
      </c>
      <c r="AH1369" s="61" t="n">
        <f aca="false">P1369</f>
        <v>0</v>
      </c>
      <c r="AI1369" s="61" t="n">
        <f aca="false">VLOOKUP(AH1369,recipe_ingred_list!$K$29:$M$34,3,0)</f>
        <v>3</v>
      </c>
      <c r="AJ1369" s="61" t="str">
        <f aca="false">IF(Q1369="","",Q1369)</f>
        <v/>
      </c>
      <c r="AK1369" s="61" t="n">
        <f aca="false">AK1368+1</f>
        <v>1369</v>
      </c>
      <c r="AL1369" s="61" t="str">
        <f aca="false">Y1369</f>
        <v>lemon</v>
      </c>
      <c r="AM1369" s="81" t="str">
        <f aca="false">"a = Client().post('"&amp;W1369&amp;"', {'recipe' : '"&amp;V1369&amp;"', 'ingredient' : '"&amp;Z1369&amp;"', 'name' : '"&amp;X1369&amp;"', 'mass_unit' : '"&amp;AC1369&amp;"', 'mass_quantity' : '"&amp;ROUND(AA1369,3)&amp;"', 'volume_unit' : '"&amp;AF1369&amp;"', 'volume_quantity' : '"&amp;ROUND(AD1369,3)&amp;"', 'pieces_unit' : '"&amp;AI1369&amp;"', 'pieces_quantity' : '"&amp;ROUND(AG1369,3)&amp;"', 'cooking_notes' : '"&amp;AJ1369&amp;"'}).status_code; print('%s :: %s :: %s :: %s :: %s' %(a,"&amp;G1369&amp;",'"&amp;X1369&amp;"','"&amp;Y1369&amp;"','"&amp;U1369&amp;"'))"</f>
        <v>a = Client().post('/recipes/pav-bhaji/detail/', {'recipe' : '59', 'ingredient' : '129', 'name' : 'LEMON JUICE', 'mass_unit' : '2', 'mass_quantity' : '0', 'volume_unit' : '1', 'volume_quantity' : '0.5', 'pieces_unit' : '3', 'pieces_quantity' : '0', 'cooking_notes' : ''}).status_code; print('%s :: %s :: %s :: %s :: %s' %(a,1369,'LEMON JUICE','lemon','Pav Bhaji'))</v>
      </c>
      <c r="AMJ1369" s="0"/>
    </row>
    <row r="1370" s="194" customFormat="true" ht="28.35" hidden="false" customHeight="false" outlineLevel="0" collapsed="false">
      <c r="A1370" s="0"/>
      <c r="B1370" s="0"/>
      <c r="C1370" s="0"/>
      <c r="D1370" s="0"/>
      <c r="E1370" s="0"/>
      <c r="F1370" s="0"/>
      <c r="G1370" s="80" t="n">
        <v>1370</v>
      </c>
      <c r="H1370" s="191"/>
      <c r="I1370" s="191" t="s">
        <v>286</v>
      </c>
      <c r="J1370" s="191" t="s">
        <v>951</v>
      </c>
      <c r="K1370" s="192"/>
      <c r="L1370" s="192"/>
      <c r="M1370" s="192" t="n">
        <v>2</v>
      </c>
      <c r="N1370" s="192" t="s">
        <v>13</v>
      </c>
      <c r="O1370" s="192"/>
      <c r="P1370" s="192"/>
      <c r="Q1370" s="193" t="s">
        <v>952</v>
      </c>
      <c r="R1370" s="82" t="str">
        <f aca="false">VLOOKUP(J1370,ingredient!$N$4:$O$553,2,0)</f>
        <v>dhaniya patta</v>
      </c>
      <c r="U1370" s="81" t="str">
        <f aca="false">I1370</f>
        <v>Pav Bhaji</v>
      </c>
      <c r="V1370" s="81" t="n">
        <f aca="false">VLOOKUP(U1370,recipe_ingred_list!$A$2:$B$300,2,0)</f>
        <v>59</v>
      </c>
      <c r="W1370" s="81" t="str">
        <f aca="false">"/recipes/"&amp;VLOOKUP(U1370,recipe_ingred_list!$A$2:$C$300,3,0)&amp;"/detail/"</f>
        <v>/recipes/pav-bhaji/detail/</v>
      </c>
      <c r="X1370" s="81" t="str">
        <f aca="false">J1370</f>
        <v>dhaniya patta </v>
      </c>
      <c r="Y1370" s="81" t="str">
        <f aca="false">R1370</f>
        <v>dhaniya patta</v>
      </c>
      <c r="Z1370" s="94" t="n">
        <f aca="false">VLOOKUP(Y1370,recipe_ingred_list!$D$2:$E$500,2,0)</f>
        <v>66</v>
      </c>
      <c r="AA1370" s="61" t="n">
        <f aca="false">K1370</f>
        <v>0</v>
      </c>
      <c r="AB1370" s="61" t="n">
        <f aca="false">L1370</f>
        <v>0</v>
      </c>
      <c r="AC1370" s="61" t="n">
        <f aca="false">VLOOKUP(AB1370,recipe_ingred_list!$K$2:$M$7,3,0)</f>
        <v>2</v>
      </c>
      <c r="AD1370" s="61" t="n">
        <f aca="false">M1370</f>
        <v>2</v>
      </c>
      <c r="AE1370" s="61" t="str">
        <f aca="false">N1370</f>
        <v>ltr</v>
      </c>
      <c r="AF1370" s="61" t="n">
        <f aca="false">VLOOKUP(AE1370,recipe_ingred_list!$K$16:$M$25,3,0)</f>
        <v>1</v>
      </c>
      <c r="AG1370" s="61" t="n">
        <f aca="false">O1370</f>
        <v>0</v>
      </c>
      <c r="AH1370" s="61" t="n">
        <f aca="false">P1370</f>
        <v>0</v>
      </c>
      <c r="AI1370" s="61" t="n">
        <f aca="false">VLOOKUP(AH1370,recipe_ingred_list!$K$29:$M$34,3,0)</f>
        <v>3</v>
      </c>
      <c r="AJ1370" s="61" t="str">
        <f aca="false">IF(Q1370="","",Q1370)</f>
        <v>flower -grate in indian cut machine-saute in oil</v>
      </c>
      <c r="AK1370" s="61" t="n">
        <f aca="false">AK1369+1</f>
        <v>1370</v>
      </c>
      <c r="AL1370" s="61" t="str">
        <f aca="false">Y1370</f>
        <v>dhaniya patta</v>
      </c>
      <c r="AM1370" s="81" t="str">
        <f aca="false">"a = Client().post('"&amp;W1370&amp;"', {'recipe' : '"&amp;V1370&amp;"', 'ingredient' : '"&amp;Z1370&amp;"', 'name' : '"&amp;X1370&amp;"', 'mass_unit' : '"&amp;AC1370&amp;"', 'mass_quantity' : '"&amp;ROUND(AA1370,3)&amp;"', 'volume_unit' : '"&amp;AF1370&amp;"', 'volume_quantity' : '"&amp;ROUND(AD1370,3)&amp;"', 'pieces_unit' : '"&amp;AI1370&amp;"', 'pieces_quantity' : '"&amp;ROUND(AG1370,3)&amp;"', 'cooking_notes' : '"&amp;AJ1370&amp;"'}).status_code; print('%s :: %s :: %s :: %s :: %s' %(a,"&amp;G1370&amp;",'"&amp;X1370&amp;"','"&amp;Y1370&amp;"','"&amp;U1370&amp;"'))"</f>
        <v>a = Client().post('/recipes/pav-bhaji/detail/', {'recipe' : '59', 'ingredient' : '66', 'name' : 'dhaniya patta ', 'mass_unit' : '2', 'mass_quantity' : '0', 'volume_unit' : '1', 'volume_quantity' : '2', 'pieces_unit' : '3', 'pieces_quantity' : '0', 'cooking_notes' : 'flower -grate in indian cut machine-saute in oil'}).status_code; print('%s :: %s :: %s :: %s :: %s' %(a,1370,'dhaniya patta ','dhaniya patta','Pav Bhaji'))</v>
      </c>
      <c r="AMJ1370" s="0"/>
    </row>
    <row r="1371" s="194" customFormat="true" ht="13.8" hidden="false" customHeight="false" outlineLevel="0" collapsed="false">
      <c r="A1371" s="0"/>
      <c r="B1371" s="0"/>
      <c r="C1371" s="0"/>
      <c r="D1371" s="0"/>
      <c r="E1371" s="0"/>
      <c r="F1371" s="0"/>
      <c r="G1371" s="80" t="n">
        <v>1371</v>
      </c>
      <c r="H1371" s="191"/>
      <c r="I1371" s="191" t="s">
        <v>286</v>
      </c>
      <c r="J1371" s="191" t="s">
        <v>645</v>
      </c>
      <c r="K1371" s="192"/>
      <c r="L1371" s="192"/>
      <c r="M1371" s="192" t="n">
        <v>2</v>
      </c>
      <c r="N1371" s="192" t="s">
        <v>13</v>
      </c>
      <c r="O1371" s="192"/>
      <c r="P1371" s="192"/>
      <c r="Q1371" s="193"/>
      <c r="R1371" s="82" t="str">
        <f aca="false">VLOOKUP(J1371,ingredient!$N$4:$O$553,2,0)</f>
        <v>ghee</v>
      </c>
      <c r="U1371" s="81" t="str">
        <f aca="false">I1371</f>
        <v>Pav Bhaji</v>
      </c>
      <c r="V1371" s="81" t="n">
        <f aca="false">VLOOKUP(U1371,recipe_ingred_list!$A$2:$B$300,2,0)</f>
        <v>59</v>
      </c>
      <c r="W1371" s="81" t="str">
        <f aca="false">"/recipes/"&amp;VLOOKUP(U1371,recipe_ingred_list!$A$2:$C$300,3,0)&amp;"/detail/"</f>
        <v>/recipes/pav-bhaji/detail/</v>
      </c>
      <c r="X1371" s="81" t="str">
        <f aca="false">J1371</f>
        <v>Ghee </v>
      </c>
      <c r="Y1371" s="81" t="str">
        <f aca="false">R1371</f>
        <v>ghee</v>
      </c>
      <c r="Z1371" s="94" t="n">
        <f aca="false">VLOOKUP(Y1371,recipe_ingred_list!$D$2:$E$500,2,0)</f>
        <v>81</v>
      </c>
      <c r="AA1371" s="61" t="n">
        <f aca="false">K1371</f>
        <v>0</v>
      </c>
      <c r="AB1371" s="61" t="n">
        <f aca="false">L1371</f>
        <v>0</v>
      </c>
      <c r="AC1371" s="61" t="n">
        <f aca="false">VLOOKUP(AB1371,recipe_ingred_list!$K$2:$M$7,3,0)</f>
        <v>2</v>
      </c>
      <c r="AD1371" s="61" t="n">
        <f aca="false">M1371</f>
        <v>2</v>
      </c>
      <c r="AE1371" s="61" t="str">
        <f aca="false">N1371</f>
        <v>ltr</v>
      </c>
      <c r="AF1371" s="61" t="n">
        <f aca="false">VLOOKUP(AE1371,recipe_ingred_list!$K$16:$M$25,3,0)</f>
        <v>1</v>
      </c>
      <c r="AG1371" s="61" t="n">
        <f aca="false">O1371</f>
        <v>0</v>
      </c>
      <c r="AH1371" s="61" t="n">
        <f aca="false">P1371</f>
        <v>0</v>
      </c>
      <c r="AI1371" s="61" t="n">
        <f aca="false">VLOOKUP(AH1371,recipe_ingred_list!$K$29:$M$34,3,0)</f>
        <v>3</v>
      </c>
      <c r="AJ1371" s="61" t="str">
        <f aca="false">IF(Q1371="","",Q1371)</f>
        <v/>
      </c>
      <c r="AK1371" s="61" t="n">
        <f aca="false">AK1370+1</f>
        <v>1371</v>
      </c>
      <c r="AL1371" s="61" t="str">
        <f aca="false">Y1371</f>
        <v>ghee</v>
      </c>
      <c r="AM1371" s="81" t="str">
        <f aca="false">"a = Client().post('"&amp;W1371&amp;"', {'recipe' : '"&amp;V1371&amp;"', 'ingredient' : '"&amp;Z1371&amp;"', 'name' : '"&amp;X1371&amp;"', 'mass_unit' : '"&amp;AC1371&amp;"', 'mass_quantity' : '"&amp;ROUND(AA1371,3)&amp;"', 'volume_unit' : '"&amp;AF1371&amp;"', 'volume_quantity' : '"&amp;ROUND(AD1371,3)&amp;"', 'pieces_unit' : '"&amp;AI1371&amp;"', 'pieces_quantity' : '"&amp;ROUND(AG1371,3)&amp;"', 'cooking_notes' : '"&amp;AJ1371&amp;"'}).status_code; print('%s :: %s :: %s :: %s :: %s' %(a,"&amp;G1371&amp;",'"&amp;X1371&amp;"','"&amp;Y1371&amp;"','"&amp;U1371&amp;"'))"</f>
        <v>a = Client().post('/recipes/pav-bhaji/detail/', {'recipe' : '59', 'ingredient' : '81', 'name' : 'Ghee ', 'mass_unit' : '2', 'mass_quantity' : '0', 'volume_unit' : '1', 'volume_quantity' : '2', 'pieces_unit' : '3', 'pieces_quantity' : '0', 'cooking_notes' : ''}).status_code; print('%s :: %s :: %s :: %s :: %s' %(a,1371,'Ghee ','ghee','Pav Bhaji'))</v>
      </c>
      <c r="AMJ1371" s="0"/>
    </row>
    <row r="1372" s="194" customFormat="true" ht="13.8" hidden="false" customHeight="false" outlineLevel="0" collapsed="false">
      <c r="A1372" s="0"/>
      <c r="B1372" s="0"/>
      <c r="C1372" s="0"/>
      <c r="D1372" s="0"/>
      <c r="E1372" s="0"/>
      <c r="F1372" s="0"/>
      <c r="G1372" s="80" t="n">
        <v>1372</v>
      </c>
      <c r="H1372" s="191"/>
      <c r="I1372" s="191" t="s">
        <v>286</v>
      </c>
      <c r="J1372" s="191" t="s">
        <v>953</v>
      </c>
      <c r="K1372" s="192" t="n">
        <v>200</v>
      </c>
      <c r="L1372" s="192" t="s">
        <v>109</v>
      </c>
      <c r="M1372" s="192"/>
      <c r="N1372" s="192"/>
      <c r="O1372" s="192"/>
      <c r="P1372" s="192"/>
      <c r="Q1372" s="193"/>
      <c r="R1372" s="82" t="str">
        <f aca="false">VLOOKUP(J1372,ingredient!$N$4:$O$553,2,0)</f>
        <v>kashmiri chilly powder</v>
      </c>
      <c r="U1372" s="81" t="str">
        <f aca="false">I1372</f>
        <v>Pav Bhaji</v>
      </c>
      <c r="V1372" s="81" t="n">
        <f aca="false">VLOOKUP(U1372,recipe_ingred_list!$A$2:$B$300,2,0)</f>
        <v>59</v>
      </c>
      <c r="W1372" s="81" t="str">
        <f aca="false">"/recipes/"&amp;VLOOKUP(U1372,recipe_ingred_list!$A$2:$C$300,3,0)&amp;"/detail/"</f>
        <v>/recipes/pav-bhaji/detail/</v>
      </c>
      <c r="X1372" s="81" t="str">
        <f aca="false">J1372</f>
        <v>Kashmiri Mirchi powder</v>
      </c>
      <c r="Y1372" s="81" t="str">
        <f aca="false">R1372</f>
        <v>kashmiri chilly powder</v>
      </c>
      <c r="Z1372" s="94" t="n">
        <f aca="false">VLOOKUP(Y1372,recipe_ingred_list!$D$2:$E$500,2,0)</f>
        <v>117</v>
      </c>
      <c r="AA1372" s="61" t="n">
        <f aca="false">K1372</f>
        <v>200</v>
      </c>
      <c r="AB1372" s="61" t="str">
        <f aca="false">L1372</f>
        <v>gm</v>
      </c>
      <c r="AC1372" s="61" t="n">
        <f aca="false">VLOOKUP(AB1372,recipe_ingred_list!$K$2:$M$7,3,0)</f>
        <v>7</v>
      </c>
      <c r="AD1372" s="61" t="n">
        <f aca="false">M1372</f>
        <v>0</v>
      </c>
      <c r="AE1372" s="61" t="n">
        <f aca="false">N1372</f>
        <v>0</v>
      </c>
      <c r="AF1372" s="61" t="n">
        <f aca="false">VLOOKUP(AE1372,recipe_ingred_list!$K$16:$M$25,3,0)</f>
        <v>1</v>
      </c>
      <c r="AG1372" s="61" t="n">
        <f aca="false">O1372</f>
        <v>0</v>
      </c>
      <c r="AH1372" s="61" t="n">
        <f aca="false">P1372</f>
        <v>0</v>
      </c>
      <c r="AI1372" s="61" t="n">
        <f aca="false">VLOOKUP(AH1372,recipe_ingred_list!$K$29:$M$34,3,0)</f>
        <v>3</v>
      </c>
      <c r="AJ1372" s="61" t="str">
        <f aca="false">IF(Q1372="","",Q1372)</f>
        <v/>
      </c>
      <c r="AK1372" s="61" t="n">
        <f aca="false">AK1371+1</f>
        <v>1372</v>
      </c>
      <c r="AL1372" s="61" t="str">
        <f aca="false">Y1372</f>
        <v>kashmiri chilly powder</v>
      </c>
      <c r="AM1372" s="81" t="str">
        <f aca="false">"a = Client().post('"&amp;W1372&amp;"', {'recipe' : '"&amp;V1372&amp;"', 'ingredient' : '"&amp;Z1372&amp;"', 'name' : '"&amp;X1372&amp;"', 'mass_unit' : '"&amp;AC1372&amp;"', 'mass_quantity' : '"&amp;ROUND(AA1372,3)&amp;"', 'volume_unit' : '"&amp;AF1372&amp;"', 'volume_quantity' : '"&amp;ROUND(AD1372,3)&amp;"', 'pieces_unit' : '"&amp;AI1372&amp;"', 'pieces_quantity' : '"&amp;ROUND(AG1372,3)&amp;"', 'cooking_notes' : '"&amp;AJ1372&amp;"'}).status_code; print('%s :: %s :: %s :: %s :: %s' %(a,"&amp;G1372&amp;",'"&amp;X1372&amp;"','"&amp;Y1372&amp;"','"&amp;U1372&amp;"'))"</f>
        <v>a = Client().post('/recipes/pav-bhaji/detail/', {'recipe' : '59', 'ingredient' : '117', 'name' : 'Kashmiri Mirchi powder', 'mass_unit' : '7', 'mass_quantity' : '200', 'volume_unit' : '1', 'volume_quantity' : '0', 'pieces_unit' : '3', 'pieces_quantity' : '0', 'cooking_notes' : ''}).status_code; print('%s :: %s :: %s :: %s :: %s' %(a,1372,'Kashmiri Mirchi powder','kashmiri chilly powder','Pav Bhaji'))</v>
      </c>
      <c r="AMJ1372" s="0"/>
    </row>
    <row r="1373" s="194" customFormat="true" ht="13.8" hidden="false" customHeight="false" outlineLevel="0" collapsed="false">
      <c r="A1373" s="0"/>
      <c r="B1373" s="0"/>
      <c r="C1373" s="0"/>
      <c r="D1373" s="0"/>
      <c r="E1373" s="0"/>
      <c r="F1373" s="0"/>
      <c r="G1373" s="80" t="n">
        <v>1373</v>
      </c>
      <c r="H1373" s="191"/>
      <c r="I1373" s="191" t="s">
        <v>286</v>
      </c>
      <c r="J1373" s="191" t="s">
        <v>954</v>
      </c>
      <c r="K1373" s="192"/>
      <c r="L1373" s="192"/>
      <c r="M1373" s="192" t="n">
        <v>1</v>
      </c>
      <c r="N1373" s="192" t="s">
        <v>13</v>
      </c>
      <c r="O1373" s="192"/>
      <c r="P1373" s="192"/>
      <c r="Q1373" s="193"/>
      <c r="R1373" s="82" t="str">
        <f aca="false">VLOOKUP(J1373,ingredient!$N$4:$O$553,2,0)</f>
        <v>pav bhaji masala</v>
      </c>
      <c r="U1373" s="81" t="str">
        <f aca="false">I1373</f>
        <v>Pav Bhaji</v>
      </c>
      <c r="V1373" s="81" t="n">
        <f aca="false">VLOOKUP(U1373,recipe_ingred_list!$A$2:$B$300,2,0)</f>
        <v>59</v>
      </c>
      <c r="W1373" s="81" t="str">
        <f aca="false">"/recipes/"&amp;VLOOKUP(U1373,recipe_ingred_list!$A$2:$C$300,3,0)&amp;"/detail/"</f>
        <v>/recipes/pav-bhaji/detail/</v>
      </c>
      <c r="X1373" s="81" t="str">
        <f aca="false">J1373</f>
        <v>Pav Bhaji Masala</v>
      </c>
      <c r="Y1373" s="81" t="str">
        <f aca="false">R1373</f>
        <v>pav bhaji masala</v>
      </c>
      <c r="Z1373" s="94" t="n">
        <f aca="false">VLOOKUP(Y1373,recipe_ingred_list!$D$2:$E$500,2,0)</f>
        <v>160</v>
      </c>
      <c r="AA1373" s="61" t="n">
        <f aca="false">K1373</f>
        <v>0</v>
      </c>
      <c r="AB1373" s="61" t="n">
        <f aca="false">L1373</f>
        <v>0</v>
      </c>
      <c r="AC1373" s="61" t="n">
        <f aca="false">VLOOKUP(AB1373,recipe_ingred_list!$K$2:$M$7,3,0)</f>
        <v>2</v>
      </c>
      <c r="AD1373" s="61" t="n">
        <f aca="false">M1373</f>
        <v>1</v>
      </c>
      <c r="AE1373" s="61" t="str">
        <f aca="false">N1373</f>
        <v>ltr</v>
      </c>
      <c r="AF1373" s="61" t="n">
        <f aca="false">VLOOKUP(AE1373,recipe_ingred_list!$K$16:$M$25,3,0)</f>
        <v>1</v>
      </c>
      <c r="AG1373" s="61" t="n">
        <f aca="false">O1373</f>
        <v>0</v>
      </c>
      <c r="AH1373" s="61" t="n">
        <f aca="false">P1373</f>
        <v>0</v>
      </c>
      <c r="AI1373" s="61" t="n">
        <f aca="false">VLOOKUP(AH1373,recipe_ingred_list!$K$29:$M$34,3,0)</f>
        <v>3</v>
      </c>
      <c r="AJ1373" s="61" t="str">
        <f aca="false">IF(Q1373="","",Q1373)</f>
        <v/>
      </c>
      <c r="AK1373" s="61" t="n">
        <f aca="false">AK1372+1</f>
        <v>1373</v>
      </c>
      <c r="AL1373" s="61" t="str">
        <f aca="false">Y1373</f>
        <v>pav bhaji masala</v>
      </c>
      <c r="AM1373" s="81" t="str">
        <f aca="false">"a = Client().post('"&amp;W1373&amp;"', {'recipe' : '"&amp;V1373&amp;"', 'ingredient' : '"&amp;Z1373&amp;"', 'name' : '"&amp;X1373&amp;"', 'mass_unit' : '"&amp;AC1373&amp;"', 'mass_quantity' : '"&amp;ROUND(AA1373,3)&amp;"', 'volume_unit' : '"&amp;AF1373&amp;"', 'volume_quantity' : '"&amp;ROUND(AD1373,3)&amp;"', 'pieces_unit' : '"&amp;AI1373&amp;"', 'pieces_quantity' : '"&amp;ROUND(AG1373,3)&amp;"', 'cooking_notes' : '"&amp;AJ1373&amp;"'}).status_code; print('%s :: %s :: %s :: %s :: %s' %(a,"&amp;G1373&amp;",'"&amp;X1373&amp;"','"&amp;Y1373&amp;"','"&amp;U1373&amp;"'))"</f>
        <v>a = Client().post('/recipes/pav-bhaji/detail/', {'recipe' : '59', 'ingredient' : '160', 'name' : 'Pav Bhaji Masala', 'mass_unit' : '2', 'mass_quantity' : '0', 'volume_unit' : '1', 'volume_quantity' : '1', 'pieces_unit' : '3', 'pieces_quantity' : '0', 'cooking_notes' : ''}).status_code; print('%s :: %s :: %s :: %s :: %s' %(a,1373,'Pav Bhaji Masala','pav bhaji masala','Pav Bhaji'))</v>
      </c>
      <c r="AMJ1373" s="0"/>
    </row>
    <row r="1374" s="194" customFormat="true" ht="13.8" hidden="false" customHeight="false" outlineLevel="0" collapsed="false">
      <c r="A1374" s="0"/>
      <c r="B1374" s="0"/>
      <c r="C1374" s="0"/>
      <c r="D1374" s="0"/>
      <c r="E1374" s="0"/>
      <c r="F1374" s="0"/>
      <c r="G1374" s="80" t="n">
        <v>1374</v>
      </c>
      <c r="H1374" s="191"/>
      <c r="I1374" s="191" t="s">
        <v>286</v>
      </c>
      <c r="J1374" s="191" t="s">
        <v>658</v>
      </c>
      <c r="K1374" s="192"/>
      <c r="L1374" s="192"/>
      <c r="M1374" s="192" t="n">
        <v>3</v>
      </c>
      <c r="N1374" s="192" t="s">
        <v>20</v>
      </c>
      <c r="O1374" s="192"/>
      <c r="P1374" s="192"/>
      <c r="Q1374" s="193"/>
      <c r="R1374" s="82" t="str">
        <f aca="false">VLOOKUP(J1374,ingredient!$N$4:$O$553,2,0)</f>
        <v>salt</v>
      </c>
      <c r="U1374" s="81" t="str">
        <f aca="false">I1374</f>
        <v>Pav Bhaji</v>
      </c>
      <c r="V1374" s="81" t="n">
        <f aca="false">VLOOKUP(U1374,recipe_ingred_list!$A$2:$B$300,2,0)</f>
        <v>59</v>
      </c>
      <c r="W1374" s="81" t="str">
        <f aca="false">"/recipes/"&amp;VLOOKUP(U1374,recipe_ingred_list!$A$2:$C$300,3,0)&amp;"/detail/"</f>
        <v>/recipes/pav-bhaji/detail/</v>
      </c>
      <c r="X1374" s="81" t="str">
        <f aca="false">J1374</f>
        <v>Salt (Namak)</v>
      </c>
      <c r="Y1374" s="81" t="str">
        <f aca="false">R1374</f>
        <v>salt</v>
      </c>
      <c r="Z1374" s="94" t="n">
        <f aca="false">VLOOKUP(Y1374,recipe_ingred_list!$D$2:$E$500,2,0)</f>
        <v>177</v>
      </c>
      <c r="AA1374" s="61" t="n">
        <f aca="false">K1374</f>
        <v>0</v>
      </c>
      <c r="AB1374" s="61" t="n">
        <f aca="false">L1374</f>
        <v>0</v>
      </c>
      <c r="AC1374" s="61" t="n">
        <f aca="false">VLOOKUP(AB1374,recipe_ingred_list!$K$2:$M$7,3,0)</f>
        <v>2</v>
      </c>
      <c r="AD1374" s="61" t="n">
        <f aca="false">M1374</f>
        <v>3</v>
      </c>
      <c r="AE1374" s="61" t="str">
        <f aca="false">N1374</f>
        <v>cup</v>
      </c>
      <c r="AF1374" s="61" t="n">
        <f aca="false">VLOOKUP(AE1374,recipe_ingred_list!$K$16:$M$25,3,0)</f>
        <v>5</v>
      </c>
      <c r="AG1374" s="61" t="n">
        <f aca="false">O1374</f>
        <v>0</v>
      </c>
      <c r="AH1374" s="61" t="n">
        <f aca="false">P1374</f>
        <v>0</v>
      </c>
      <c r="AI1374" s="61" t="n">
        <f aca="false">VLOOKUP(AH1374,recipe_ingred_list!$K$29:$M$34,3,0)</f>
        <v>3</v>
      </c>
      <c r="AJ1374" s="61" t="str">
        <f aca="false">IF(Q1374="","",Q1374)</f>
        <v/>
      </c>
      <c r="AK1374" s="61" t="n">
        <f aca="false">AK1373+1</f>
        <v>1374</v>
      </c>
      <c r="AL1374" s="61" t="str">
        <f aca="false">Y1374</f>
        <v>salt</v>
      </c>
      <c r="AM1374" s="81" t="str">
        <f aca="false">"a = Client().post('"&amp;W1374&amp;"', {'recipe' : '"&amp;V1374&amp;"', 'ingredient' : '"&amp;Z1374&amp;"', 'name' : '"&amp;X1374&amp;"', 'mass_unit' : '"&amp;AC1374&amp;"', 'mass_quantity' : '"&amp;ROUND(AA1374,3)&amp;"', 'volume_unit' : '"&amp;AF1374&amp;"', 'volume_quantity' : '"&amp;ROUND(AD1374,3)&amp;"', 'pieces_unit' : '"&amp;AI1374&amp;"', 'pieces_quantity' : '"&amp;ROUND(AG1374,3)&amp;"', 'cooking_notes' : '"&amp;AJ1374&amp;"'}).status_code; print('%s :: %s :: %s :: %s :: %s' %(a,"&amp;G1374&amp;",'"&amp;X1374&amp;"','"&amp;Y1374&amp;"','"&amp;U1374&amp;"'))"</f>
        <v>a = Client().post('/recipes/pav-bhaji/detail/', {'recipe' : '59', 'ingredient' : '177', 'name' : 'Salt (Namak)', 'mass_unit' : '2', 'mass_quantity' : '0', 'volume_unit' : '5', 'volume_quantity' : '3', 'pieces_unit' : '3', 'pieces_quantity' : '0', 'cooking_notes' : ''}).status_code; print('%s :: %s :: %s :: %s :: %s' %(a,1374,'Salt (Namak)','salt','Pav Bhaji'))</v>
      </c>
      <c r="AMJ1374" s="0"/>
    </row>
    <row r="1375" s="194" customFormat="true" ht="13.8" hidden="false" customHeight="false" outlineLevel="0" collapsed="false">
      <c r="A1375" s="0"/>
      <c r="B1375" s="0"/>
      <c r="C1375" s="0"/>
      <c r="D1375" s="0"/>
      <c r="E1375" s="0"/>
      <c r="F1375" s="0"/>
      <c r="G1375" s="80" t="n">
        <v>1375</v>
      </c>
      <c r="H1375" s="191"/>
      <c r="I1375" s="191" t="s">
        <v>286</v>
      </c>
      <c r="J1375" s="191" t="s">
        <v>556</v>
      </c>
      <c r="K1375" s="192" t="n">
        <v>2</v>
      </c>
      <c r="L1375" s="192" t="s">
        <v>7</v>
      </c>
      <c r="M1375" s="192"/>
      <c r="N1375" s="192"/>
      <c r="O1375" s="192"/>
      <c r="P1375" s="192"/>
      <c r="Q1375" s="193"/>
      <c r="R1375" s="82" t="str">
        <f aca="false">VLOOKUP(J1375,ingredient!$N$4:$O$553,2,0)</f>
        <v>butter</v>
      </c>
      <c r="U1375" s="81" t="str">
        <f aca="false">I1375</f>
        <v>Pav Bhaji</v>
      </c>
      <c r="V1375" s="81" t="n">
        <f aca="false">VLOOKUP(U1375,recipe_ingred_list!$A$2:$B$300,2,0)</f>
        <v>59</v>
      </c>
      <c r="W1375" s="81" t="str">
        <f aca="false">"/recipes/"&amp;VLOOKUP(U1375,recipe_ingred_list!$A$2:$C$300,3,0)&amp;"/detail/"</f>
        <v>/recipes/pav-bhaji/detail/</v>
      </c>
      <c r="X1375" s="81" t="str">
        <f aca="false">J1375</f>
        <v>Butter</v>
      </c>
      <c r="Y1375" s="81" t="str">
        <f aca="false">R1375</f>
        <v>butter</v>
      </c>
      <c r="Z1375" s="94" t="n">
        <f aca="false">VLOOKUP(Y1375,recipe_ingred_list!$D$2:$E$500,2,0)</f>
        <v>38</v>
      </c>
      <c r="AA1375" s="61" t="n">
        <f aca="false">K1375</f>
        <v>2</v>
      </c>
      <c r="AB1375" s="61" t="str">
        <f aca="false">L1375</f>
        <v>kg</v>
      </c>
      <c r="AC1375" s="61" t="n">
        <f aca="false">VLOOKUP(AB1375,recipe_ingred_list!$K$2:$M$7,3,0)</f>
        <v>2</v>
      </c>
      <c r="AD1375" s="61" t="n">
        <f aca="false">M1375</f>
        <v>0</v>
      </c>
      <c r="AE1375" s="61" t="n">
        <f aca="false">N1375</f>
        <v>0</v>
      </c>
      <c r="AF1375" s="61" t="n">
        <f aca="false">VLOOKUP(AE1375,recipe_ingred_list!$K$16:$M$25,3,0)</f>
        <v>1</v>
      </c>
      <c r="AG1375" s="61" t="n">
        <f aca="false">O1375</f>
        <v>0</v>
      </c>
      <c r="AH1375" s="61" t="n">
        <f aca="false">P1375</f>
        <v>0</v>
      </c>
      <c r="AI1375" s="61" t="n">
        <f aca="false">VLOOKUP(AH1375,recipe_ingred_list!$K$29:$M$34,3,0)</f>
        <v>3</v>
      </c>
      <c r="AJ1375" s="61" t="str">
        <f aca="false">IF(Q1375="","",Q1375)</f>
        <v/>
      </c>
      <c r="AK1375" s="61" t="n">
        <f aca="false">AK1374+1</f>
        <v>1375</v>
      </c>
      <c r="AL1375" s="61" t="str">
        <f aca="false">Y1375</f>
        <v>butter</v>
      </c>
      <c r="AM1375" s="81" t="str">
        <f aca="false">"a = Client().post('"&amp;W1375&amp;"', {'recipe' : '"&amp;V1375&amp;"', 'ingredient' : '"&amp;Z1375&amp;"', 'name' : '"&amp;X1375&amp;"', 'mass_unit' : '"&amp;AC1375&amp;"', 'mass_quantity' : '"&amp;ROUND(AA1375,3)&amp;"', 'volume_unit' : '"&amp;AF1375&amp;"', 'volume_quantity' : '"&amp;ROUND(AD1375,3)&amp;"', 'pieces_unit' : '"&amp;AI1375&amp;"', 'pieces_quantity' : '"&amp;ROUND(AG1375,3)&amp;"', 'cooking_notes' : '"&amp;AJ1375&amp;"'}).status_code; print('%s :: %s :: %s :: %s :: %s' %(a,"&amp;G1375&amp;",'"&amp;X1375&amp;"','"&amp;Y1375&amp;"','"&amp;U1375&amp;"'))"</f>
        <v>a = Client().post('/recipes/pav-bhaji/detail/', {'recipe' : '59', 'ingredient' : '38', 'name' : 'Butter', 'mass_unit' : '2', 'mass_quantity' : '2', 'volume_unit' : '1', 'volume_quantity' : '0', 'pieces_unit' : '3', 'pieces_quantity' : '0', 'cooking_notes' : ''}).status_code; print('%s :: %s :: %s :: %s :: %s' %(a,1375,'Butter','butter','Pav Bhaji'))</v>
      </c>
      <c r="AMJ1375" s="0"/>
    </row>
    <row r="1376" s="181" customFormat="true" ht="13.8" hidden="false" customHeight="false" outlineLevel="0" collapsed="false">
      <c r="A1376" s="0"/>
      <c r="B1376" s="0"/>
      <c r="C1376" s="0"/>
      <c r="D1376" s="0"/>
      <c r="E1376" s="0"/>
      <c r="F1376" s="0"/>
      <c r="G1376" s="80" t="n">
        <v>1376</v>
      </c>
      <c r="H1376" s="79"/>
      <c r="I1376" s="79"/>
      <c r="J1376" s="79"/>
      <c r="K1376" s="100"/>
      <c r="L1376" s="100"/>
      <c r="M1376" s="100"/>
      <c r="N1376" s="100"/>
      <c r="O1376" s="100"/>
      <c r="P1376" s="100"/>
      <c r="Q1376" s="102"/>
      <c r="R1376" s="99" t="e">
        <f aca="false">VLOOKUP(J1376,ingredient!$N$4:$O$553,2,0)</f>
        <v>#N/A</v>
      </c>
      <c r="S1376" s="98"/>
      <c r="T1376" s="98"/>
      <c r="U1376" s="81" t="n">
        <f aca="false">I1376</f>
        <v>0</v>
      </c>
      <c r="V1376" s="81" t="e">
        <f aca="false">VLOOKUP(U1376,recipe_ingred_list!$A$2:$B$300,2,0)</f>
        <v>#N/A</v>
      </c>
      <c r="W1376" s="81" t="e">
        <f aca="false">"/recipes/"&amp;VLOOKUP(U1376,recipe_ingred_list!$A$2:$C$300,3,0)&amp;"/detail/"</f>
        <v>#N/A</v>
      </c>
      <c r="X1376" s="81" t="n">
        <f aca="false">J1376</f>
        <v>0</v>
      </c>
      <c r="Y1376" s="81" t="e">
        <f aca="false">R1376</f>
        <v>#N/A</v>
      </c>
      <c r="Z1376" s="94" t="e">
        <f aca="false">VLOOKUP(Y1376,recipe_ingred_list!$D$2:$E$500,2,0)</f>
        <v>#N/A</v>
      </c>
      <c r="AA1376" s="61" t="n">
        <f aca="false">K1376</f>
        <v>0</v>
      </c>
      <c r="AB1376" s="61" t="n">
        <f aca="false">L1376</f>
        <v>0</v>
      </c>
      <c r="AC1376" s="61" t="n">
        <f aca="false">VLOOKUP(AB1376,recipe_ingred_list!$K$2:$M$7,3,0)</f>
        <v>2</v>
      </c>
      <c r="AD1376" s="61" t="n">
        <f aca="false">M1376</f>
        <v>0</v>
      </c>
      <c r="AE1376" s="61" t="n">
        <f aca="false">N1376</f>
        <v>0</v>
      </c>
      <c r="AF1376" s="61" t="n">
        <f aca="false">VLOOKUP(AE1376,recipe_ingred_list!$K$16:$M$25,3,0)</f>
        <v>1</v>
      </c>
      <c r="AG1376" s="61" t="n">
        <f aca="false">O1376</f>
        <v>0</v>
      </c>
      <c r="AH1376" s="61" t="n">
        <f aca="false">P1376</f>
        <v>0</v>
      </c>
      <c r="AI1376" s="61" t="n">
        <f aca="false">VLOOKUP(AH1376,recipe_ingred_list!$K$29:$M$34,3,0)</f>
        <v>3</v>
      </c>
      <c r="AJ1376" s="61" t="str">
        <f aca="false">IF(Q1376="","",Q1376)</f>
        <v/>
      </c>
      <c r="AK1376" s="61" t="n">
        <f aca="false">AK1375+1</f>
        <v>1376</v>
      </c>
      <c r="AL1376" s="61" t="e">
        <f aca="false">Y1376</f>
        <v>#N/A</v>
      </c>
      <c r="AM1376" s="81" t="e">
        <f aca="false">"a = Client().post('"&amp;W1376&amp;"', {'recipe' : '"&amp;V1376&amp;"', 'ingredient' : '"&amp;Z1376&amp;"', 'name' : '"&amp;X1376&amp;"', 'mass_unit' : '"&amp;AC1376&amp;"', 'mass_quantity' : '"&amp;ROUND(AA1376,3)&amp;"', 'volume_unit' : '"&amp;AF1376&amp;"', 'volume_quantity' : '"&amp;ROUND(AD1376,3)&amp;"', 'pieces_unit' : '"&amp;AI1376&amp;"', 'pieces_quantity' : '"&amp;ROUND(AG1376,3)&amp;"', 'cooking_notes' : '"&amp;AJ1376&amp;"'}).status_code; print('%s :: %s :: %s :: %s :: %s' %(a,"&amp;G1376&amp;",'"&amp;X1376&amp;"','"&amp;Y1376&amp;"','"&amp;U1376&amp;"'))"</f>
        <v>#N/A</v>
      </c>
      <c r="AMJ1376" s="0"/>
    </row>
    <row r="1377" s="198" customFormat="true" ht="13.8" hidden="false" customHeight="false" outlineLevel="0" collapsed="false">
      <c r="A1377" s="0"/>
      <c r="B1377" s="0"/>
      <c r="C1377" s="0"/>
      <c r="D1377" s="0"/>
      <c r="E1377" s="0"/>
      <c r="F1377" s="0"/>
      <c r="G1377" s="80" t="n">
        <v>1377</v>
      </c>
      <c r="H1377" s="195"/>
      <c r="I1377" s="195" t="s">
        <v>262</v>
      </c>
      <c r="J1377" s="195" t="s">
        <v>844</v>
      </c>
      <c r="K1377" s="196" t="n">
        <v>25</v>
      </c>
      <c r="L1377" s="196" t="s">
        <v>7</v>
      </c>
      <c r="M1377" s="196"/>
      <c r="N1377" s="196"/>
      <c r="O1377" s="196"/>
      <c r="P1377" s="196"/>
      <c r="Q1377" s="197"/>
      <c r="R1377" s="82" t="str">
        <f aca="false">VLOOKUP(J1377,ingredient!$N$4:$O$553,2,0)</f>
        <v>rice</v>
      </c>
      <c r="U1377" s="81" t="str">
        <f aca="false">I1377</f>
        <v>NITYANAND ITALIAN FRIED RICE</v>
      </c>
      <c r="V1377" s="81" t="n">
        <f aca="false">VLOOKUP(U1377,recipe_ingred_list!$A$2:$B$300,2,0)</f>
        <v>51</v>
      </c>
      <c r="W1377" s="81" t="str">
        <f aca="false">"/recipes/"&amp;VLOOKUP(U1377,recipe_ingred_list!$A$2:$C$300,3,0)&amp;"/detail/"</f>
        <v>/recipes/nityanand-italian-fried-rice/detail/</v>
      </c>
      <c r="X1377" s="81" t="str">
        <f aca="false">J1377</f>
        <v>RICE</v>
      </c>
      <c r="Y1377" s="81" t="str">
        <f aca="false">R1377</f>
        <v>rice</v>
      </c>
      <c r="Z1377" s="94" t="n">
        <f aca="false">VLOOKUP(Y1377,recipe_ingred_list!$D$2:$E$500,2,0)</f>
        <v>170</v>
      </c>
      <c r="AA1377" s="61" t="n">
        <f aca="false">K1377</f>
        <v>25</v>
      </c>
      <c r="AB1377" s="61" t="str">
        <f aca="false">L1377</f>
        <v>kg</v>
      </c>
      <c r="AC1377" s="61" t="n">
        <f aca="false">VLOOKUP(AB1377,recipe_ingred_list!$K$2:$M$7,3,0)</f>
        <v>2</v>
      </c>
      <c r="AD1377" s="61" t="n">
        <f aca="false">M1377</f>
        <v>0</v>
      </c>
      <c r="AE1377" s="61" t="n">
        <f aca="false">N1377</f>
        <v>0</v>
      </c>
      <c r="AF1377" s="61" t="n">
        <f aca="false">VLOOKUP(AE1377,recipe_ingred_list!$K$16:$M$25,3,0)</f>
        <v>1</v>
      </c>
      <c r="AG1377" s="61" t="n">
        <f aca="false">O1377</f>
        <v>0</v>
      </c>
      <c r="AH1377" s="61" t="n">
        <f aca="false">P1377</f>
        <v>0</v>
      </c>
      <c r="AI1377" s="61" t="n">
        <f aca="false">VLOOKUP(AH1377,recipe_ingred_list!$K$29:$M$34,3,0)</f>
        <v>3</v>
      </c>
      <c r="AJ1377" s="61" t="str">
        <f aca="false">IF(Q1377="","",Q1377)</f>
        <v/>
      </c>
      <c r="AK1377" s="61" t="n">
        <f aca="false">AK1376+1</f>
        <v>1377</v>
      </c>
      <c r="AL1377" s="61" t="str">
        <f aca="false">Y1377</f>
        <v>rice</v>
      </c>
      <c r="AM1377" s="81" t="str">
        <f aca="false">"a = Client().post('"&amp;W1377&amp;"', {'recipe' : '"&amp;V1377&amp;"', 'ingredient' : '"&amp;Z1377&amp;"', 'name' : '"&amp;X1377&amp;"', 'mass_unit' : '"&amp;AC1377&amp;"', 'mass_quantity' : '"&amp;ROUND(AA1377,3)&amp;"', 'volume_unit' : '"&amp;AF1377&amp;"', 'volume_quantity' : '"&amp;ROUND(AD1377,3)&amp;"', 'pieces_unit' : '"&amp;AI1377&amp;"', 'pieces_quantity' : '"&amp;ROUND(AG1377,3)&amp;"', 'cooking_notes' : '"&amp;AJ1377&amp;"'}).status_code; print('%s :: %s :: %s :: %s :: %s' %(a,"&amp;G1377&amp;",'"&amp;X1377&amp;"','"&amp;Y1377&amp;"','"&amp;U1377&amp;"'))"</f>
        <v>a = Client().post('/recipes/nityanand-italian-fried-rice/detail/', {'recipe' : '51', 'ingredient' : '170', 'name' : 'RICE', 'mass_unit' : '2', 'mass_quantity' : '25', 'volume_unit' : '1', 'volume_quantity' : '0', 'pieces_unit' : '3', 'pieces_quantity' : '0', 'cooking_notes' : ''}).status_code; print('%s :: %s :: %s :: %s :: %s' %(a,1377,'RICE','rice','NITYANAND ITALIAN FRIED RICE'))</v>
      </c>
      <c r="AMJ1377" s="0"/>
    </row>
    <row r="1378" s="198" customFormat="true" ht="13.8" hidden="false" customHeight="false" outlineLevel="0" collapsed="false">
      <c r="A1378" s="0"/>
      <c r="B1378" s="0"/>
      <c r="C1378" s="0"/>
      <c r="D1378" s="0"/>
      <c r="E1378" s="0"/>
      <c r="F1378" s="0"/>
      <c r="G1378" s="80" t="n">
        <v>1378</v>
      </c>
      <c r="H1378" s="195"/>
      <c r="I1378" s="195" t="s">
        <v>262</v>
      </c>
      <c r="J1378" s="195" t="s">
        <v>700</v>
      </c>
      <c r="K1378" s="196" t="n">
        <v>10</v>
      </c>
      <c r="L1378" s="196" t="s">
        <v>7</v>
      </c>
      <c r="M1378" s="196"/>
      <c r="N1378" s="196"/>
      <c r="O1378" s="196"/>
      <c r="P1378" s="196"/>
      <c r="Q1378" s="197"/>
      <c r="R1378" s="82" t="str">
        <f aca="false">VLOOKUP(J1378,ingredient!$N$4:$O$553,2,0)</f>
        <v>zucchini</v>
      </c>
      <c r="U1378" s="81" t="str">
        <f aca="false">I1378</f>
        <v>NITYANAND ITALIAN FRIED RICE</v>
      </c>
      <c r="V1378" s="81" t="n">
        <f aca="false">VLOOKUP(U1378,recipe_ingred_list!$A$2:$B$300,2,0)</f>
        <v>51</v>
      </c>
      <c r="W1378" s="81" t="str">
        <f aca="false">"/recipes/"&amp;VLOOKUP(U1378,recipe_ingred_list!$A$2:$C$300,3,0)&amp;"/detail/"</f>
        <v>/recipes/nityanand-italian-fried-rice/detail/</v>
      </c>
      <c r="X1378" s="81" t="str">
        <f aca="false">J1378</f>
        <v>Zucchini</v>
      </c>
      <c r="Y1378" s="81" t="str">
        <f aca="false">R1378</f>
        <v>zucchini</v>
      </c>
      <c r="Z1378" s="94" t="n">
        <f aca="false">VLOOKUP(Y1378,recipe_ingred_list!$D$2:$E$500,2,0)</f>
        <v>210</v>
      </c>
      <c r="AA1378" s="61" t="n">
        <f aca="false">K1378</f>
        <v>10</v>
      </c>
      <c r="AB1378" s="61" t="str">
        <f aca="false">L1378</f>
        <v>kg</v>
      </c>
      <c r="AC1378" s="61" t="n">
        <f aca="false">VLOOKUP(AB1378,recipe_ingred_list!$K$2:$M$7,3,0)</f>
        <v>2</v>
      </c>
      <c r="AD1378" s="61" t="n">
        <f aca="false">M1378</f>
        <v>0</v>
      </c>
      <c r="AE1378" s="61" t="n">
        <f aca="false">N1378</f>
        <v>0</v>
      </c>
      <c r="AF1378" s="61" t="n">
        <f aca="false">VLOOKUP(AE1378,recipe_ingred_list!$K$16:$M$25,3,0)</f>
        <v>1</v>
      </c>
      <c r="AG1378" s="61" t="n">
        <f aca="false">O1378</f>
        <v>0</v>
      </c>
      <c r="AH1378" s="61" t="n">
        <f aca="false">P1378</f>
        <v>0</v>
      </c>
      <c r="AI1378" s="61" t="n">
        <f aca="false">VLOOKUP(AH1378,recipe_ingred_list!$K$29:$M$34,3,0)</f>
        <v>3</v>
      </c>
      <c r="AJ1378" s="61" t="str">
        <f aca="false">IF(Q1378="","",Q1378)</f>
        <v/>
      </c>
      <c r="AK1378" s="61" t="n">
        <f aca="false">AK1377+1</f>
        <v>1378</v>
      </c>
      <c r="AL1378" s="61" t="str">
        <f aca="false">Y1378</f>
        <v>zucchini</v>
      </c>
      <c r="AM1378" s="81" t="str">
        <f aca="false">"a = Client().post('"&amp;W1378&amp;"', {'recipe' : '"&amp;V1378&amp;"', 'ingredient' : '"&amp;Z1378&amp;"', 'name' : '"&amp;X1378&amp;"', 'mass_unit' : '"&amp;AC1378&amp;"', 'mass_quantity' : '"&amp;ROUND(AA1378,3)&amp;"', 'volume_unit' : '"&amp;AF1378&amp;"', 'volume_quantity' : '"&amp;ROUND(AD1378,3)&amp;"', 'pieces_unit' : '"&amp;AI1378&amp;"', 'pieces_quantity' : '"&amp;ROUND(AG1378,3)&amp;"', 'cooking_notes' : '"&amp;AJ1378&amp;"'}).status_code; print('%s :: %s :: %s :: %s :: %s' %(a,"&amp;G1378&amp;",'"&amp;X1378&amp;"','"&amp;Y1378&amp;"','"&amp;U1378&amp;"'))"</f>
        <v>a = Client().post('/recipes/nityanand-italian-fried-rice/detail/', {'recipe' : '51', 'ingredient' : '210', 'name' : 'Zucchini', 'mass_unit' : '2', 'mass_quantity' : '10', 'volume_unit' : '1', 'volume_quantity' : '0', 'pieces_unit' : '3', 'pieces_quantity' : '0', 'cooking_notes' : ''}).status_code; print('%s :: %s :: %s :: %s :: %s' %(a,1378,'Zucchini','zucchini','NITYANAND ITALIAN FRIED RICE'))</v>
      </c>
      <c r="AMJ1378" s="0"/>
    </row>
    <row r="1379" s="198" customFormat="true" ht="13.8" hidden="false" customHeight="false" outlineLevel="0" collapsed="false">
      <c r="A1379" s="0"/>
      <c r="B1379" s="0"/>
      <c r="C1379" s="0"/>
      <c r="D1379" s="0"/>
      <c r="E1379" s="0"/>
      <c r="F1379" s="0"/>
      <c r="G1379" s="80" t="n">
        <v>1379</v>
      </c>
      <c r="H1379" s="195"/>
      <c r="I1379" s="195" t="s">
        <v>262</v>
      </c>
      <c r="J1379" s="195" t="s">
        <v>955</v>
      </c>
      <c r="K1379" s="196" t="n">
        <v>8</v>
      </c>
      <c r="L1379" s="196" t="s">
        <v>7</v>
      </c>
      <c r="M1379" s="196"/>
      <c r="N1379" s="196"/>
      <c r="O1379" s="196"/>
      <c r="P1379" s="196"/>
      <c r="Q1379" s="197"/>
      <c r="R1379" s="82" t="str">
        <f aca="false">VLOOKUP(J1379,ingredient!$N$4:$O$553,2,0)</f>
        <v>sweet corn</v>
      </c>
      <c r="U1379" s="81" t="str">
        <f aca="false">I1379</f>
        <v>NITYANAND ITALIAN FRIED RICE</v>
      </c>
      <c r="V1379" s="81" t="n">
        <f aca="false">VLOOKUP(U1379,recipe_ingred_list!$A$2:$B$300,2,0)</f>
        <v>51</v>
      </c>
      <c r="W1379" s="81" t="str">
        <f aca="false">"/recipes/"&amp;VLOOKUP(U1379,recipe_ingred_list!$A$2:$C$300,3,0)&amp;"/detail/"</f>
        <v>/recipes/nityanand-italian-fried-rice/detail/</v>
      </c>
      <c r="X1379" s="81" t="str">
        <f aca="false">J1379</f>
        <v>SWEET CORN ( GRAINS)</v>
      </c>
      <c r="Y1379" s="81" t="str">
        <f aca="false">R1379</f>
        <v>sweet corn</v>
      </c>
      <c r="Z1379" s="94" t="n">
        <f aca="false">VLOOKUP(Y1379,recipe_ingred_list!$D$2:$E$500,2,0)</f>
        <v>188</v>
      </c>
      <c r="AA1379" s="61" t="n">
        <f aca="false">K1379</f>
        <v>8</v>
      </c>
      <c r="AB1379" s="61" t="str">
        <f aca="false">L1379</f>
        <v>kg</v>
      </c>
      <c r="AC1379" s="61" t="n">
        <f aca="false">VLOOKUP(AB1379,recipe_ingred_list!$K$2:$M$7,3,0)</f>
        <v>2</v>
      </c>
      <c r="AD1379" s="61" t="n">
        <f aca="false">M1379</f>
        <v>0</v>
      </c>
      <c r="AE1379" s="61" t="n">
        <f aca="false">N1379</f>
        <v>0</v>
      </c>
      <c r="AF1379" s="61" t="n">
        <f aca="false">VLOOKUP(AE1379,recipe_ingred_list!$K$16:$M$25,3,0)</f>
        <v>1</v>
      </c>
      <c r="AG1379" s="61" t="n">
        <f aca="false">O1379</f>
        <v>0</v>
      </c>
      <c r="AH1379" s="61" t="n">
        <f aca="false">P1379</f>
        <v>0</v>
      </c>
      <c r="AI1379" s="61" t="n">
        <f aca="false">VLOOKUP(AH1379,recipe_ingred_list!$K$29:$M$34,3,0)</f>
        <v>3</v>
      </c>
      <c r="AJ1379" s="61" t="str">
        <f aca="false">IF(Q1379="","",Q1379)</f>
        <v/>
      </c>
      <c r="AK1379" s="61" t="n">
        <f aca="false">AK1378+1</f>
        <v>1379</v>
      </c>
      <c r="AL1379" s="61" t="str">
        <f aca="false">Y1379</f>
        <v>sweet corn</v>
      </c>
      <c r="AM1379" s="81" t="str">
        <f aca="false">"a = Client().post('"&amp;W1379&amp;"', {'recipe' : '"&amp;V1379&amp;"', 'ingredient' : '"&amp;Z1379&amp;"', 'name' : '"&amp;X1379&amp;"', 'mass_unit' : '"&amp;AC1379&amp;"', 'mass_quantity' : '"&amp;ROUND(AA1379,3)&amp;"', 'volume_unit' : '"&amp;AF1379&amp;"', 'volume_quantity' : '"&amp;ROUND(AD1379,3)&amp;"', 'pieces_unit' : '"&amp;AI1379&amp;"', 'pieces_quantity' : '"&amp;ROUND(AG1379,3)&amp;"', 'cooking_notes' : '"&amp;AJ1379&amp;"'}).status_code; print('%s :: %s :: %s :: %s :: %s' %(a,"&amp;G1379&amp;",'"&amp;X1379&amp;"','"&amp;Y1379&amp;"','"&amp;U1379&amp;"'))"</f>
        <v>a = Client().post('/recipes/nityanand-italian-fried-rice/detail/', {'recipe' : '51', 'ingredient' : '188', 'name' : 'SWEET CORN ( GRAINS)', 'mass_unit' : '2', 'mass_quantity' : '8', 'volume_unit' : '1', 'volume_quantity' : '0', 'pieces_unit' : '3', 'pieces_quantity' : '0', 'cooking_notes' : ''}).status_code; print('%s :: %s :: %s :: %s :: %s' %(a,1379,'SWEET CORN ( GRAINS)','sweet corn','NITYANAND ITALIAN FRIED RICE'))</v>
      </c>
      <c r="AMJ1379" s="0"/>
    </row>
    <row r="1380" s="198" customFormat="true" ht="13.8" hidden="false" customHeight="false" outlineLevel="0" collapsed="false">
      <c r="A1380" s="0"/>
      <c r="B1380" s="0"/>
      <c r="C1380" s="0"/>
      <c r="D1380" s="0"/>
      <c r="E1380" s="0"/>
      <c r="F1380" s="0"/>
      <c r="G1380" s="80" t="n">
        <v>1380</v>
      </c>
      <c r="H1380" s="195"/>
      <c r="I1380" s="195" t="s">
        <v>262</v>
      </c>
      <c r="J1380" s="195" t="s">
        <v>956</v>
      </c>
      <c r="K1380" s="196" t="n">
        <v>1.5</v>
      </c>
      <c r="L1380" s="196" t="s">
        <v>7</v>
      </c>
      <c r="M1380" s="196"/>
      <c r="N1380" s="196"/>
      <c r="O1380" s="196"/>
      <c r="P1380" s="196"/>
      <c r="Q1380" s="197"/>
      <c r="R1380" s="82" t="str">
        <f aca="false">VLOOKUP(J1380,ingredient!$N$4:$O$553,2,0)</f>
        <v>basil leaves</v>
      </c>
      <c r="U1380" s="81" t="str">
        <f aca="false">I1380</f>
        <v>NITYANAND ITALIAN FRIED RICE</v>
      </c>
      <c r="V1380" s="81" t="n">
        <f aca="false">VLOOKUP(U1380,recipe_ingred_list!$A$2:$B$300,2,0)</f>
        <v>51</v>
      </c>
      <c r="W1380" s="81" t="str">
        <f aca="false">"/recipes/"&amp;VLOOKUP(U1380,recipe_ingred_list!$A$2:$C$300,3,0)&amp;"/detail/"</f>
        <v>/recipes/nityanand-italian-fried-rice/detail/</v>
      </c>
      <c r="X1380" s="81" t="str">
        <f aca="false">J1380</f>
        <v>FRESH BASIL LEAVES</v>
      </c>
      <c r="Y1380" s="81" t="str">
        <f aca="false">R1380</f>
        <v>basil leaves</v>
      </c>
      <c r="Z1380" s="94" t="n">
        <f aca="false">VLOOKUP(Y1380,recipe_ingred_list!$D$2:$E$500,2,0)</f>
        <v>24</v>
      </c>
      <c r="AA1380" s="61" t="n">
        <f aca="false">K1380</f>
        <v>1.5</v>
      </c>
      <c r="AB1380" s="61" t="str">
        <f aca="false">L1380</f>
        <v>kg</v>
      </c>
      <c r="AC1380" s="61" t="n">
        <f aca="false">VLOOKUP(AB1380,recipe_ingred_list!$K$2:$M$7,3,0)</f>
        <v>2</v>
      </c>
      <c r="AD1380" s="61" t="n">
        <f aca="false">M1380</f>
        <v>0</v>
      </c>
      <c r="AE1380" s="61" t="n">
        <f aca="false">N1380</f>
        <v>0</v>
      </c>
      <c r="AF1380" s="61" t="n">
        <f aca="false">VLOOKUP(AE1380,recipe_ingred_list!$K$16:$M$25,3,0)</f>
        <v>1</v>
      </c>
      <c r="AG1380" s="61" t="n">
        <f aca="false">O1380</f>
        <v>0</v>
      </c>
      <c r="AH1380" s="61" t="n">
        <f aca="false">P1380</f>
        <v>0</v>
      </c>
      <c r="AI1380" s="61" t="n">
        <f aca="false">VLOOKUP(AH1380,recipe_ingred_list!$K$29:$M$34,3,0)</f>
        <v>3</v>
      </c>
      <c r="AJ1380" s="61" t="str">
        <f aca="false">IF(Q1380="","",Q1380)</f>
        <v/>
      </c>
      <c r="AK1380" s="61" t="n">
        <f aca="false">AK1379+1</f>
        <v>1380</v>
      </c>
      <c r="AL1380" s="61" t="str">
        <f aca="false">Y1380</f>
        <v>basil leaves</v>
      </c>
      <c r="AM1380" s="81" t="str">
        <f aca="false">"a = Client().post('"&amp;W1380&amp;"', {'recipe' : '"&amp;V1380&amp;"', 'ingredient' : '"&amp;Z1380&amp;"', 'name' : '"&amp;X1380&amp;"', 'mass_unit' : '"&amp;AC1380&amp;"', 'mass_quantity' : '"&amp;ROUND(AA1380,3)&amp;"', 'volume_unit' : '"&amp;AF1380&amp;"', 'volume_quantity' : '"&amp;ROUND(AD1380,3)&amp;"', 'pieces_unit' : '"&amp;AI1380&amp;"', 'pieces_quantity' : '"&amp;ROUND(AG1380,3)&amp;"', 'cooking_notes' : '"&amp;AJ1380&amp;"'}).status_code; print('%s :: %s :: %s :: %s :: %s' %(a,"&amp;G1380&amp;",'"&amp;X1380&amp;"','"&amp;Y1380&amp;"','"&amp;U1380&amp;"'))"</f>
        <v>a = Client().post('/recipes/nityanand-italian-fried-rice/detail/', {'recipe' : '51', 'ingredient' : '24', 'name' : 'FRESH BASIL LEAVES', 'mass_unit' : '2', 'mass_quantity' : '1.5', 'volume_unit' : '1', 'volume_quantity' : '0', 'pieces_unit' : '3', 'pieces_quantity' : '0', 'cooking_notes' : ''}).status_code; print('%s :: %s :: %s :: %s :: %s' %(a,1380,'FRESH BASIL LEAVES','basil leaves','NITYANAND ITALIAN FRIED RICE'))</v>
      </c>
      <c r="AMJ1380" s="0"/>
    </row>
    <row r="1381" s="198" customFormat="true" ht="13.8" hidden="false" customHeight="false" outlineLevel="0" collapsed="false">
      <c r="A1381" s="0"/>
      <c r="B1381" s="0"/>
      <c r="C1381" s="0"/>
      <c r="D1381" s="0"/>
      <c r="E1381" s="0"/>
      <c r="F1381" s="0"/>
      <c r="G1381" s="80" t="n">
        <v>1381</v>
      </c>
      <c r="H1381" s="195"/>
      <c r="I1381" s="195" t="s">
        <v>262</v>
      </c>
      <c r="J1381" s="195" t="s">
        <v>957</v>
      </c>
      <c r="K1381" s="196" t="n">
        <v>15</v>
      </c>
      <c r="L1381" s="196" t="s">
        <v>7</v>
      </c>
      <c r="M1381" s="196"/>
      <c r="N1381" s="196"/>
      <c r="O1381" s="196"/>
      <c r="P1381" s="196"/>
      <c r="Q1381" s="197"/>
      <c r="R1381" s="82" t="str">
        <f aca="false">VLOOKUP(J1381,ingredient!$N$4:$O$553,2,0)</f>
        <v>tomato</v>
      </c>
      <c r="U1381" s="81" t="str">
        <f aca="false">I1381</f>
        <v>NITYANAND ITALIAN FRIED RICE</v>
      </c>
      <c r="V1381" s="81" t="n">
        <f aca="false">VLOOKUP(U1381,recipe_ingred_list!$A$2:$B$300,2,0)</f>
        <v>51</v>
      </c>
      <c r="W1381" s="81" t="str">
        <f aca="false">"/recipes/"&amp;VLOOKUP(U1381,recipe_ingred_list!$A$2:$C$300,3,0)&amp;"/detail/"</f>
        <v>/recipes/nityanand-italian-fried-rice/detail/</v>
      </c>
      <c r="X1381" s="81" t="str">
        <f aca="false">J1381</f>
        <v>TOMATO</v>
      </c>
      <c r="Y1381" s="81" t="str">
        <f aca="false">R1381</f>
        <v>tomato</v>
      </c>
      <c r="Z1381" s="94" t="n">
        <f aca="false">VLOOKUP(Y1381,recipe_ingred_list!$D$2:$E$500,2,0)</f>
        <v>195</v>
      </c>
      <c r="AA1381" s="61" t="n">
        <f aca="false">K1381</f>
        <v>15</v>
      </c>
      <c r="AB1381" s="61" t="str">
        <f aca="false">L1381</f>
        <v>kg</v>
      </c>
      <c r="AC1381" s="61" t="n">
        <f aca="false">VLOOKUP(AB1381,recipe_ingred_list!$K$2:$M$7,3,0)</f>
        <v>2</v>
      </c>
      <c r="AD1381" s="61" t="n">
        <f aca="false">M1381</f>
        <v>0</v>
      </c>
      <c r="AE1381" s="61" t="n">
        <f aca="false">N1381</f>
        <v>0</v>
      </c>
      <c r="AF1381" s="61" t="n">
        <f aca="false">VLOOKUP(AE1381,recipe_ingred_list!$K$16:$M$25,3,0)</f>
        <v>1</v>
      </c>
      <c r="AG1381" s="61" t="n">
        <f aca="false">O1381</f>
        <v>0</v>
      </c>
      <c r="AH1381" s="61" t="n">
        <f aca="false">P1381</f>
        <v>0</v>
      </c>
      <c r="AI1381" s="61" t="n">
        <f aca="false">VLOOKUP(AH1381,recipe_ingred_list!$K$29:$M$34,3,0)</f>
        <v>3</v>
      </c>
      <c r="AJ1381" s="61" t="str">
        <f aca="false">IF(Q1381="","",Q1381)</f>
        <v/>
      </c>
      <c r="AK1381" s="61" t="n">
        <f aca="false">AK1380+1</f>
        <v>1381</v>
      </c>
      <c r="AL1381" s="61" t="str">
        <f aca="false">Y1381</f>
        <v>tomato</v>
      </c>
      <c r="AM1381" s="81" t="str">
        <f aca="false">"a = Client().post('"&amp;W1381&amp;"', {'recipe' : '"&amp;V1381&amp;"', 'ingredient' : '"&amp;Z1381&amp;"', 'name' : '"&amp;X1381&amp;"', 'mass_unit' : '"&amp;AC1381&amp;"', 'mass_quantity' : '"&amp;ROUND(AA1381,3)&amp;"', 'volume_unit' : '"&amp;AF1381&amp;"', 'volume_quantity' : '"&amp;ROUND(AD1381,3)&amp;"', 'pieces_unit' : '"&amp;AI1381&amp;"', 'pieces_quantity' : '"&amp;ROUND(AG1381,3)&amp;"', 'cooking_notes' : '"&amp;AJ1381&amp;"'}).status_code; print('%s :: %s :: %s :: %s :: %s' %(a,"&amp;G1381&amp;",'"&amp;X1381&amp;"','"&amp;Y1381&amp;"','"&amp;U1381&amp;"'))"</f>
        <v>a = Client().post('/recipes/nityanand-italian-fried-rice/detail/', {'recipe' : '51', 'ingredient' : '195', 'name' : 'TOMATO', 'mass_unit' : '2', 'mass_quantity' : '15', 'volume_unit' : '1', 'volume_quantity' : '0', 'pieces_unit' : '3', 'pieces_quantity' : '0', 'cooking_notes' : ''}).status_code; print('%s :: %s :: %s :: %s :: %s' %(a,1381,'TOMATO','tomato','NITYANAND ITALIAN FRIED RICE'))</v>
      </c>
      <c r="AMJ1381" s="0"/>
    </row>
    <row r="1382" s="198" customFormat="true" ht="13.8" hidden="false" customHeight="false" outlineLevel="0" collapsed="false">
      <c r="A1382" s="0"/>
      <c r="B1382" s="0"/>
      <c r="C1382" s="0"/>
      <c r="D1382" s="0"/>
      <c r="E1382" s="0"/>
      <c r="F1382" s="0"/>
      <c r="G1382" s="80" t="n">
        <v>1382</v>
      </c>
      <c r="H1382" s="195"/>
      <c r="I1382" s="195" t="s">
        <v>262</v>
      </c>
      <c r="J1382" s="195" t="s">
        <v>958</v>
      </c>
      <c r="K1382" s="196"/>
      <c r="L1382" s="196"/>
      <c r="M1382" s="196" t="n">
        <v>0.5</v>
      </c>
      <c r="N1382" s="196" t="s">
        <v>13</v>
      </c>
      <c r="O1382" s="196"/>
      <c r="P1382" s="196"/>
      <c r="Q1382" s="197"/>
      <c r="R1382" s="82" t="str">
        <f aca="false">VLOOKUP(J1382,ingredient!$N$4:$O$553,2,0)</f>
        <v>hari mirchi</v>
      </c>
      <c r="U1382" s="81" t="str">
        <f aca="false">I1382</f>
        <v>NITYANAND ITALIAN FRIED RICE</v>
      </c>
      <c r="V1382" s="81" t="n">
        <f aca="false">VLOOKUP(U1382,recipe_ingred_list!$A$2:$B$300,2,0)</f>
        <v>51</v>
      </c>
      <c r="W1382" s="81" t="str">
        <f aca="false">"/recipes/"&amp;VLOOKUP(U1382,recipe_ingred_list!$A$2:$C$300,3,0)&amp;"/detail/"</f>
        <v>/recipes/nityanand-italian-fried-rice/detail/</v>
      </c>
      <c r="X1382" s="81" t="str">
        <f aca="false">J1382</f>
        <v>GREEN CHILLI ( CHOPPED)</v>
      </c>
      <c r="Y1382" s="81" t="str">
        <f aca="false">R1382</f>
        <v>hari mirchi</v>
      </c>
      <c r="Z1382" s="94" t="n">
        <f aca="false">VLOOKUP(Y1382,recipe_ingred_list!$D$2:$E$500,2,0)</f>
        <v>93</v>
      </c>
      <c r="AA1382" s="61" t="n">
        <f aca="false">K1382</f>
        <v>0</v>
      </c>
      <c r="AB1382" s="61" t="n">
        <f aca="false">L1382</f>
        <v>0</v>
      </c>
      <c r="AC1382" s="61" t="n">
        <f aca="false">VLOOKUP(AB1382,recipe_ingred_list!$K$2:$M$7,3,0)</f>
        <v>2</v>
      </c>
      <c r="AD1382" s="61" t="n">
        <f aca="false">M1382</f>
        <v>0.5</v>
      </c>
      <c r="AE1382" s="61" t="str">
        <f aca="false">N1382</f>
        <v>ltr</v>
      </c>
      <c r="AF1382" s="61" t="n">
        <f aca="false">VLOOKUP(AE1382,recipe_ingred_list!$K$16:$M$25,3,0)</f>
        <v>1</v>
      </c>
      <c r="AG1382" s="61" t="n">
        <f aca="false">O1382</f>
        <v>0</v>
      </c>
      <c r="AH1382" s="61" t="n">
        <f aca="false">P1382</f>
        <v>0</v>
      </c>
      <c r="AI1382" s="61" t="n">
        <f aca="false">VLOOKUP(AH1382,recipe_ingred_list!$K$29:$M$34,3,0)</f>
        <v>3</v>
      </c>
      <c r="AJ1382" s="61" t="str">
        <f aca="false">IF(Q1382="","",Q1382)</f>
        <v/>
      </c>
      <c r="AK1382" s="61" t="n">
        <f aca="false">AK1381+1</f>
        <v>1382</v>
      </c>
      <c r="AL1382" s="61" t="str">
        <f aca="false">Y1382</f>
        <v>hari mirchi</v>
      </c>
      <c r="AM1382" s="81" t="str">
        <f aca="false">"a = Client().post('"&amp;W1382&amp;"', {'recipe' : '"&amp;V1382&amp;"', 'ingredient' : '"&amp;Z1382&amp;"', 'name' : '"&amp;X1382&amp;"', 'mass_unit' : '"&amp;AC1382&amp;"', 'mass_quantity' : '"&amp;ROUND(AA1382,3)&amp;"', 'volume_unit' : '"&amp;AF1382&amp;"', 'volume_quantity' : '"&amp;ROUND(AD1382,3)&amp;"', 'pieces_unit' : '"&amp;AI1382&amp;"', 'pieces_quantity' : '"&amp;ROUND(AG1382,3)&amp;"', 'cooking_notes' : '"&amp;AJ1382&amp;"'}).status_code; print('%s :: %s :: %s :: %s :: %s' %(a,"&amp;G1382&amp;",'"&amp;X1382&amp;"','"&amp;Y1382&amp;"','"&amp;U1382&amp;"'))"</f>
        <v>a = Client().post('/recipes/nityanand-italian-fried-rice/detail/', {'recipe' : '51', 'ingredient' : '93', 'name' : 'GREEN CHILLI ( CHOPPED)', 'mass_unit' : '2', 'mass_quantity' : '0', 'volume_unit' : '1', 'volume_quantity' : '0.5', 'pieces_unit' : '3', 'pieces_quantity' : '0', 'cooking_notes' : ''}).status_code; print('%s :: %s :: %s :: %s :: %s' %(a,1382,'GREEN CHILLI ( CHOPPED)','hari mirchi','NITYANAND ITALIAN FRIED RICE'))</v>
      </c>
      <c r="AMJ1382" s="0"/>
    </row>
    <row r="1383" s="198" customFormat="true" ht="13.8" hidden="false" customHeight="false" outlineLevel="0" collapsed="false">
      <c r="A1383" s="0"/>
      <c r="B1383" s="0"/>
      <c r="C1383" s="0"/>
      <c r="D1383" s="0"/>
      <c r="E1383" s="0"/>
      <c r="F1383" s="0"/>
      <c r="G1383" s="80" t="n">
        <v>1383</v>
      </c>
      <c r="H1383" s="195"/>
      <c r="I1383" s="195" t="s">
        <v>262</v>
      </c>
      <c r="J1383" s="195" t="s">
        <v>959</v>
      </c>
      <c r="K1383" s="196"/>
      <c r="L1383" s="196"/>
      <c r="M1383" s="196" t="n">
        <v>0.3</v>
      </c>
      <c r="N1383" s="196" t="s">
        <v>20</v>
      </c>
      <c r="O1383" s="196"/>
      <c r="P1383" s="196"/>
      <c r="Q1383" s="197"/>
      <c r="R1383" s="82" t="str">
        <f aca="false">VLOOKUP(J1383,ingredient!$N$4:$O$553,2,0)</f>
        <v>black pepper</v>
      </c>
      <c r="U1383" s="81" t="str">
        <f aca="false">I1383</f>
        <v>NITYANAND ITALIAN FRIED RICE</v>
      </c>
      <c r="V1383" s="81" t="n">
        <f aca="false">VLOOKUP(U1383,recipe_ingred_list!$A$2:$B$300,2,0)</f>
        <v>51</v>
      </c>
      <c r="W1383" s="81" t="str">
        <f aca="false">"/recipes/"&amp;VLOOKUP(U1383,recipe_ingred_list!$A$2:$C$300,3,0)&amp;"/detail/"</f>
        <v>/recipes/nityanand-italian-fried-rice/detail/</v>
      </c>
      <c r="X1383" s="81" t="str">
        <f aca="false">J1383</f>
        <v>BLACK PEPPER</v>
      </c>
      <c r="Y1383" s="81" t="str">
        <f aca="false">R1383</f>
        <v>black pepper</v>
      </c>
      <c r="Z1383" s="94" t="n">
        <f aca="false">VLOOKUP(Y1383,recipe_ingred_list!$D$2:$E$500,2,0)</f>
        <v>31</v>
      </c>
      <c r="AA1383" s="61" t="n">
        <f aca="false">K1383</f>
        <v>0</v>
      </c>
      <c r="AB1383" s="61" t="n">
        <f aca="false">L1383</f>
        <v>0</v>
      </c>
      <c r="AC1383" s="61" t="n">
        <f aca="false">VLOOKUP(AB1383,recipe_ingred_list!$K$2:$M$7,3,0)</f>
        <v>2</v>
      </c>
      <c r="AD1383" s="61" t="n">
        <f aca="false">M1383</f>
        <v>0.3</v>
      </c>
      <c r="AE1383" s="61" t="str">
        <f aca="false">N1383</f>
        <v>cup</v>
      </c>
      <c r="AF1383" s="61" t="n">
        <f aca="false">VLOOKUP(AE1383,recipe_ingred_list!$K$16:$M$25,3,0)</f>
        <v>5</v>
      </c>
      <c r="AG1383" s="61" t="n">
        <f aca="false">O1383</f>
        <v>0</v>
      </c>
      <c r="AH1383" s="61" t="n">
        <f aca="false">P1383</f>
        <v>0</v>
      </c>
      <c r="AI1383" s="61" t="n">
        <f aca="false">VLOOKUP(AH1383,recipe_ingred_list!$K$29:$M$34,3,0)</f>
        <v>3</v>
      </c>
      <c r="AJ1383" s="61" t="str">
        <f aca="false">IF(Q1383="","",Q1383)</f>
        <v/>
      </c>
      <c r="AK1383" s="61" t="n">
        <f aca="false">AK1382+1</f>
        <v>1383</v>
      </c>
      <c r="AL1383" s="61" t="str">
        <f aca="false">Y1383</f>
        <v>black pepper</v>
      </c>
      <c r="AM1383" s="81" t="str">
        <f aca="false">"a = Client().post('"&amp;W1383&amp;"', {'recipe' : '"&amp;V1383&amp;"', 'ingredient' : '"&amp;Z1383&amp;"', 'name' : '"&amp;X1383&amp;"', 'mass_unit' : '"&amp;AC1383&amp;"', 'mass_quantity' : '"&amp;ROUND(AA1383,3)&amp;"', 'volume_unit' : '"&amp;AF1383&amp;"', 'volume_quantity' : '"&amp;ROUND(AD1383,3)&amp;"', 'pieces_unit' : '"&amp;AI1383&amp;"', 'pieces_quantity' : '"&amp;ROUND(AG1383,3)&amp;"', 'cooking_notes' : '"&amp;AJ1383&amp;"'}).status_code; print('%s :: %s :: %s :: %s :: %s' %(a,"&amp;G1383&amp;",'"&amp;X1383&amp;"','"&amp;Y1383&amp;"','"&amp;U1383&amp;"'))"</f>
        <v>a = Client().post('/recipes/nityanand-italian-fried-rice/detail/', {'recipe' : '51', 'ingredient' : '31', 'name' : 'BLACK PEPPER', 'mass_unit' : '2', 'mass_quantity' : '0', 'volume_unit' : '5', 'volume_quantity' : '0.3', 'pieces_unit' : '3', 'pieces_quantity' : '0', 'cooking_notes' : ''}).status_code; print('%s :: %s :: %s :: %s :: %s' %(a,1383,'BLACK PEPPER','black pepper','NITYANAND ITALIAN FRIED RICE'))</v>
      </c>
      <c r="AMJ1383" s="0"/>
    </row>
    <row r="1384" s="198" customFormat="true" ht="13.8" hidden="false" customHeight="false" outlineLevel="0" collapsed="false">
      <c r="A1384" s="0"/>
      <c r="B1384" s="0"/>
      <c r="C1384" s="0"/>
      <c r="D1384" s="0"/>
      <c r="E1384" s="0"/>
      <c r="F1384" s="0"/>
      <c r="G1384" s="80" t="n">
        <v>1384</v>
      </c>
      <c r="H1384" s="195"/>
      <c r="I1384" s="195" t="s">
        <v>262</v>
      </c>
      <c r="J1384" s="195" t="s">
        <v>960</v>
      </c>
      <c r="K1384" s="196"/>
      <c r="L1384" s="196"/>
      <c r="M1384" s="196" t="n">
        <v>0.2</v>
      </c>
      <c r="N1384" s="196" t="s">
        <v>20</v>
      </c>
      <c r="O1384" s="196"/>
      <c r="P1384" s="196"/>
      <c r="Q1384" s="197"/>
      <c r="R1384" s="82" t="str">
        <f aca="false">VLOOKUP(J1384,ingredient!$N$4:$O$553,2,0)</f>
        <v>hing</v>
      </c>
      <c r="U1384" s="81" t="str">
        <f aca="false">I1384</f>
        <v>NITYANAND ITALIAN FRIED RICE</v>
      </c>
      <c r="V1384" s="81" t="n">
        <f aca="false">VLOOKUP(U1384,recipe_ingred_list!$A$2:$B$300,2,0)</f>
        <v>51</v>
      </c>
      <c r="W1384" s="81" t="str">
        <f aca="false">"/recipes/"&amp;VLOOKUP(U1384,recipe_ingred_list!$A$2:$C$300,3,0)&amp;"/detail/"</f>
        <v>/recipes/nityanand-italian-fried-rice/detail/</v>
      </c>
      <c r="X1384" s="81" t="str">
        <f aca="false">J1384</f>
        <v>HING</v>
      </c>
      <c r="Y1384" s="81" t="str">
        <f aca="false">R1384</f>
        <v>hing</v>
      </c>
      <c r="Z1384" s="94" t="n">
        <f aca="false">VLOOKUP(Y1384,recipe_ingred_list!$D$2:$E$500,2,0)</f>
        <v>95</v>
      </c>
      <c r="AA1384" s="61" t="n">
        <f aca="false">K1384</f>
        <v>0</v>
      </c>
      <c r="AB1384" s="61" t="n">
        <f aca="false">L1384</f>
        <v>0</v>
      </c>
      <c r="AC1384" s="61" t="n">
        <f aca="false">VLOOKUP(AB1384,recipe_ingred_list!$K$2:$M$7,3,0)</f>
        <v>2</v>
      </c>
      <c r="AD1384" s="61" t="n">
        <f aca="false">M1384</f>
        <v>0.2</v>
      </c>
      <c r="AE1384" s="61" t="str">
        <f aca="false">N1384</f>
        <v>cup</v>
      </c>
      <c r="AF1384" s="61" t="n">
        <f aca="false">VLOOKUP(AE1384,recipe_ingred_list!$K$16:$M$25,3,0)</f>
        <v>5</v>
      </c>
      <c r="AG1384" s="61" t="n">
        <f aca="false">O1384</f>
        <v>0</v>
      </c>
      <c r="AH1384" s="61" t="n">
        <f aca="false">P1384</f>
        <v>0</v>
      </c>
      <c r="AI1384" s="61" t="n">
        <f aca="false">VLOOKUP(AH1384,recipe_ingred_list!$K$29:$M$34,3,0)</f>
        <v>3</v>
      </c>
      <c r="AJ1384" s="61" t="str">
        <f aca="false">IF(Q1384="","",Q1384)</f>
        <v/>
      </c>
      <c r="AK1384" s="61" t="n">
        <f aca="false">AK1383+1</f>
        <v>1384</v>
      </c>
      <c r="AL1384" s="61" t="str">
        <f aca="false">Y1384</f>
        <v>hing</v>
      </c>
      <c r="AM1384" s="81" t="str">
        <f aca="false">"a = Client().post('"&amp;W1384&amp;"', {'recipe' : '"&amp;V1384&amp;"', 'ingredient' : '"&amp;Z1384&amp;"', 'name' : '"&amp;X1384&amp;"', 'mass_unit' : '"&amp;AC1384&amp;"', 'mass_quantity' : '"&amp;ROUND(AA1384,3)&amp;"', 'volume_unit' : '"&amp;AF1384&amp;"', 'volume_quantity' : '"&amp;ROUND(AD1384,3)&amp;"', 'pieces_unit' : '"&amp;AI1384&amp;"', 'pieces_quantity' : '"&amp;ROUND(AG1384,3)&amp;"', 'cooking_notes' : '"&amp;AJ1384&amp;"'}).status_code; print('%s :: %s :: %s :: %s :: %s' %(a,"&amp;G1384&amp;",'"&amp;X1384&amp;"','"&amp;Y1384&amp;"','"&amp;U1384&amp;"'))"</f>
        <v>a = Client().post('/recipes/nityanand-italian-fried-rice/detail/', {'recipe' : '51', 'ingredient' : '95', 'name' : 'HING', 'mass_unit' : '2', 'mass_quantity' : '0', 'volume_unit' : '5', 'volume_quantity' : '0.2', 'pieces_unit' : '3', 'pieces_quantity' : '0', 'cooking_notes' : ''}).status_code; print('%s :: %s :: %s :: %s :: %s' %(a,1384,'HING','hing','NITYANAND ITALIAN FRIED RICE'))</v>
      </c>
      <c r="AMJ1384" s="0"/>
    </row>
    <row r="1385" s="198" customFormat="true" ht="13.8" hidden="false" customHeight="false" outlineLevel="0" collapsed="false">
      <c r="A1385" s="0"/>
      <c r="B1385" s="0"/>
      <c r="C1385" s="0"/>
      <c r="D1385" s="0"/>
      <c r="E1385" s="0"/>
      <c r="F1385" s="0"/>
      <c r="G1385" s="80" t="n">
        <v>1385</v>
      </c>
      <c r="H1385" s="195"/>
      <c r="I1385" s="195" t="s">
        <v>262</v>
      </c>
      <c r="J1385" s="195" t="s">
        <v>961</v>
      </c>
      <c r="K1385" s="196"/>
      <c r="L1385" s="196"/>
      <c r="M1385" s="196" t="n">
        <v>1</v>
      </c>
      <c r="N1385" s="196" t="s">
        <v>20</v>
      </c>
      <c r="O1385" s="196"/>
      <c r="P1385" s="196"/>
      <c r="Q1385" s="197"/>
      <c r="R1385" s="82" t="str">
        <f aca="false">VLOOKUP(J1385,ingredient!$N$4:$O$553,2,0)</f>
        <v>ground nut oil</v>
      </c>
      <c r="U1385" s="81" t="str">
        <f aca="false">I1385</f>
        <v>NITYANAND ITALIAN FRIED RICE</v>
      </c>
      <c r="V1385" s="81" t="n">
        <f aca="false">VLOOKUP(U1385,recipe_ingred_list!$A$2:$B$300,2,0)</f>
        <v>51</v>
      </c>
      <c r="W1385" s="81" t="str">
        <f aca="false">"/recipes/"&amp;VLOOKUP(U1385,recipe_ingred_list!$A$2:$C$300,3,0)&amp;"/detail/"</f>
        <v>/recipes/nityanand-italian-fried-rice/detail/</v>
      </c>
      <c r="X1385" s="81" t="str">
        <f aca="false">J1385</f>
        <v>GROUND NUT OIL</v>
      </c>
      <c r="Y1385" s="81" t="str">
        <f aca="false">R1385</f>
        <v>ground nut oil</v>
      </c>
      <c r="Z1385" s="94" t="n">
        <f aca="false">VLOOKUP(Y1385,recipe_ingred_list!$D$2:$E$500,2,0)</f>
        <v>89</v>
      </c>
      <c r="AA1385" s="61" t="n">
        <f aca="false">K1385</f>
        <v>0</v>
      </c>
      <c r="AB1385" s="61" t="n">
        <f aca="false">L1385</f>
        <v>0</v>
      </c>
      <c r="AC1385" s="61" t="n">
        <f aca="false">VLOOKUP(AB1385,recipe_ingred_list!$K$2:$M$7,3,0)</f>
        <v>2</v>
      </c>
      <c r="AD1385" s="61" t="n">
        <f aca="false">M1385</f>
        <v>1</v>
      </c>
      <c r="AE1385" s="61" t="str">
        <f aca="false">N1385</f>
        <v>cup</v>
      </c>
      <c r="AF1385" s="61" t="n">
        <f aca="false">VLOOKUP(AE1385,recipe_ingred_list!$K$16:$M$25,3,0)</f>
        <v>5</v>
      </c>
      <c r="AG1385" s="61" t="n">
        <f aca="false">O1385</f>
        <v>0</v>
      </c>
      <c r="AH1385" s="61" t="n">
        <f aca="false">P1385</f>
        <v>0</v>
      </c>
      <c r="AI1385" s="61" t="n">
        <f aca="false">VLOOKUP(AH1385,recipe_ingred_list!$K$29:$M$34,3,0)</f>
        <v>3</v>
      </c>
      <c r="AJ1385" s="61" t="str">
        <f aca="false">IF(Q1385="","",Q1385)</f>
        <v/>
      </c>
      <c r="AK1385" s="61" t="n">
        <f aca="false">AK1384+1</f>
        <v>1385</v>
      </c>
      <c r="AL1385" s="61" t="str">
        <f aca="false">Y1385</f>
        <v>ground nut oil</v>
      </c>
      <c r="AM1385" s="81" t="str">
        <f aca="false">"a = Client().post('"&amp;W1385&amp;"', {'recipe' : '"&amp;V1385&amp;"', 'ingredient' : '"&amp;Z1385&amp;"', 'name' : '"&amp;X1385&amp;"', 'mass_unit' : '"&amp;AC1385&amp;"', 'mass_quantity' : '"&amp;ROUND(AA1385,3)&amp;"', 'volume_unit' : '"&amp;AF1385&amp;"', 'volume_quantity' : '"&amp;ROUND(AD1385,3)&amp;"', 'pieces_unit' : '"&amp;AI1385&amp;"', 'pieces_quantity' : '"&amp;ROUND(AG1385,3)&amp;"', 'cooking_notes' : '"&amp;AJ1385&amp;"'}).status_code; print('%s :: %s :: %s :: %s :: %s' %(a,"&amp;G1385&amp;",'"&amp;X1385&amp;"','"&amp;Y1385&amp;"','"&amp;U1385&amp;"'))"</f>
        <v>a = Client().post('/recipes/nityanand-italian-fried-rice/detail/', {'recipe' : '51', 'ingredient' : '89', 'name' : 'GROUND NUT OIL', 'mass_unit' : '2', 'mass_quantity' : '0', 'volume_unit' : '5', 'volume_quantity' : '1', 'pieces_unit' : '3', 'pieces_quantity' : '0', 'cooking_notes' : ''}).status_code; print('%s :: %s :: %s :: %s :: %s' %(a,1385,'GROUND NUT OIL','ground nut oil','NITYANAND ITALIAN FRIED RICE'))</v>
      </c>
      <c r="AMJ1385" s="0"/>
    </row>
    <row r="1386" s="198" customFormat="true" ht="13.8" hidden="false" customHeight="false" outlineLevel="0" collapsed="false">
      <c r="A1386" s="0"/>
      <c r="B1386" s="0"/>
      <c r="C1386" s="0"/>
      <c r="D1386" s="0"/>
      <c r="E1386" s="0"/>
      <c r="F1386" s="0"/>
      <c r="G1386" s="80" t="n">
        <v>1386</v>
      </c>
      <c r="H1386" s="195"/>
      <c r="I1386" s="195" t="s">
        <v>262</v>
      </c>
      <c r="J1386" s="195" t="s">
        <v>962</v>
      </c>
      <c r="K1386" s="196"/>
      <c r="L1386" s="196"/>
      <c r="M1386" s="196" t="n">
        <v>1</v>
      </c>
      <c r="N1386" s="196" t="s">
        <v>20</v>
      </c>
      <c r="O1386" s="196"/>
      <c r="P1386" s="196"/>
      <c r="Q1386" s="197"/>
      <c r="R1386" s="82" t="str">
        <f aca="false">VLOOKUP(J1386,ingredient!$N$4:$O$553,2,0)</f>
        <v>soya sauce</v>
      </c>
      <c r="U1386" s="81" t="str">
        <f aca="false">I1386</f>
        <v>NITYANAND ITALIAN FRIED RICE</v>
      </c>
      <c r="V1386" s="81" t="n">
        <f aca="false">VLOOKUP(U1386,recipe_ingred_list!$A$2:$B$300,2,0)</f>
        <v>51</v>
      </c>
      <c r="W1386" s="81" t="str">
        <f aca="false">"/recipes/"&amp;VLOOKUP(U1386,recipe_ingred_list!$A$2:$C$300,3,0)&amp;"/detail/"</f>
        <v>/recipes/nityanand-italian-fried-rice/detail/</v>
      </c>
      <c r="X1386" s="81" t="str">
        <f aca="false">J1386</f>
        <v>SOYA SAUCE</v>
      </c>
      <c r="Y1386" s="81" t="str">
        <f aca="false">R1386</f>
        <v>soya sauce</v>
      </c>
      <c r="Z1386" s="94" t="n">
        <f aca="false">VLOOKUP(Y1386,recipe_ingred_list!$D$2:$E$500,2,0)</f>
        <v>185</v>
      </c>
      <c r="AA1386" s="61" t="n">
        <f aca="false">K1386</f>
        <v>0</v>
      </c>
      <c r="AB1386" s="61" t="n">
        <f aca="false">L1386</f>
        <v>0</v>
      </c>
      <c r="AC1386" s="61" t="n">
        <f aca="false">VLOOKUP(AB1386,recipe_ingred_list!$K$2:$M$7,3,0)</f>
        <v>2</v>
      </c>
      <c r="AD1386" s="61" t="n">
        <f aca="false">M1386</f>
        <v>1</v>
      </c>
      <c r="AE1386" s="61" t="str">
        <f aca="false">N1386</f>
        <v>cup</v>
      </c>
      <c r="AF1386" s="61" t="n">
        <f aca="false">VLOOKUP(AE1386,recipe_ingred_list!$K$16:$M$25,3,0)</f>
        <v>5</v>
      </c>
      <c r="AG1386" s="61" t="n">
        <f aca="false">O1386</f>
        <v>0</v>
      </c>
      <c r="AH1386" s="61" t="n">
        <f aca="false">P1386</f>
        <v>0</v>
      </c>
      <c r="AI1386" s="61" t="n">
        <f aca="false">VLOOKUP(AH1386,recipe_ingred_list!$K$29:$M$34,3,0)</f>
        <v>3</v>
      </c>
      <c r="AJ1386" s="61" t="str">
        <f aca="false">IF(Q1386="","",Q1386)</f>
        <v/>
      </c>
      <c r="AK1386" s="61" t="n">
        <f aca="false">AK1385+1</f>
        <v>1386</v>
      </c>
      <c r="AL1386" s="61" t="str">
        <f aca="false">Y1386</f>
        <v>soya sauce</v>
      </c>
      <c r="AM1386" s="81" t="str">
        <f aca="false">"a = Client().post('"&amp;W1386&amp;"', {'recipe' : '"&amp;V1386&amp;"', 'ingredient' : '"&amp;Z1386&amp;"', 'name' : '"&amp;X1386&amp;"', 'mass_unit' : '"&amp;AC1386&amp;"', 'mass_quantity' : '"&amp;ROUND(AA1386,3)&amp;"', 'volume_unit' : '"&amp;AF1386&amp;"', 'volume_quantity' : '"&amp;ROUND(AD1386,3)&amp;"', 'pieces_unit' : '"&amp;AI1386&amp;"', 'pieces_quantity' : '"&amp;ROUND(AG1386,3)&amp;"', 'cooking_notes' : '"&amp;AJ1386&amp;"'}).status_code; print('%s :: %s :: %s :: %s :: %s' %(a,"&amp;G1386&amp;",'"&amp;X1386&amp;"','"&amp;Y1386&amp;"','"&amp;U1386&amp;"'))"</f>
        <v>a = Client().post('/recipes/nityanand-italian-fried-rice/detail/', {'recipe' : '51', 'ingredient' : '185', 'name' : 'SOYA SAUCE', 'mass_unit' : '2', 'mass_quantity' : '0', 'volume_unit' : '5', 'volume_quantity' : '1', 'pieces_unit' : '3', 'pieces_quantity' : '0', 'cooking_notes' : ''}).status_code; print('%s :: %s :: %s :: %s :: %s' %(a,1386,'SOYA SAUCE','soya sauce','NITYANAND ITALIAN FRIED RICE'))</v>
      </c>
      <c r="AMJ1386" s="0"/>
    </row>
    <row r="1387" s="198" customFormat="true" ht="13.8" hidden="false" customHeight="false" outlineLevel="0" collapsed="false">
      <c r="A1387" s="0"/>
      <c r="B1387" s="0"/>
      <c r="C1387" s="0"/>
      <c r="D1387" s="0"/>
      <c r="E1387" s="0"/>
      <c r="F1387" s="0"/>
      <c r="G1387" s="80" t="n">
        <v>1387</v>
      </c>
      <c r="H1387" s="195"/>
      <c r="I1387" s="195" t="s">
        <v>262</v>
      </c>
      <c r="J1387" s="195" t="s">
        <v>963</v>
      </c>
      <c r="K1387" s="196"/>
      <c r="L1387" s="196"/>
      <c r="M1387" s="196" t="n">
        <v>1.5</v>
      </c>
      <c r="N1387" s="196" t="s">
        <v>20</v>
      </c>
      <c r="O1387" s="196"/>
      <c r="P1387" s="196"/>
      <c r="Q1387" s="197"/>
      <c r="R1387" s="82" t="str">
        <f aca="false">VLOOKUP(J1387,ingredient!$N$4:$O$553,2,0)</f>
        <v>salt</v>
      </c>
      <c r="U1387" s="81" t="str">
        <f aca="false">I1387</f>
        <v>NITYANAND ITALIAN FRIED RICE</v>
      </c>
      <c r="V1387" s="81" t="n">
        <f aca="false">VLOOKUP(U1387,recipe_ingred_list!$A$2:$B$300,2,0)</f>
        <v>51</v>
      </c>
      <c r="W1387" s="81" t="str">
        <f aca="false">"/recipes/"&amp;VLOOKUP(U1387,recipe_ingred_list!$A$2:$C$300,3,0)&amp;"/detail/"</f>
        <v>/recipes/nityanand-italian-fried-rice/detail/</v>
      </c>
      <c r="X1387" s="81" t="str">
        <f aca="false">J1387</f>
        <v>SALT</v>
      </c>
      <c r="Y1387" s="81" t="str">
        <f aca="false">R1387</f>
        <v>salt</v>
      </c>
      <c r="Z1387" s="94" t="n">
        <f aca="false">VLOOKUP(Y1387,recipe_ingred_list!$D$2:$E$500,2,0)</f>
        <v>177</v>
      </c>
      <c r="AA1387" s="61" t="n">
        <f aca="false">K1387</f>
        <v>0</v>
      </c>
      <c r="AB1387" s="61" t="n">
        <f aca="false">L1387</f>
        <v>0</v>
      </c>
      <c r="AC1387" s="61" t="n">
        <f aca="false">VLOOKUP(AB1387,recipe_ingred_list!$K$2:$M$7,3,0)</f>
        <v>2</v>
      </c>
      <c r="AD1387" s="61" t="n">
        <f aca="false">M1387</f>
        <v>1.5</v>
      </c>
      <c r="AE1387" s="61" t="str">
        <f aca="false">N1387</f>
        <v>cup</v>
      </c>
      <c r="AF1387" s="61" t="n">
        <f aca="false">VLOOKUP(AE1387,recipe_ingred_list!$K$16:$M$25,3,0)</f>
        <v>5</v>
      </c>
      <c r="AG1387" s="61" t="n">
        <f aca="false">O1387</f>
        <v>0</v>
      </c>
      <c r="AH1387" s="61" t="n">
        <f aca="false">P1387</f>
        <v>0</v>
      </c>
      <c r="AI1387" s="61" t="n">
        <f aca="false">VLOOKUP(AH1387,recipe_ingred_list!$K$29:$M$34,3,0)</f>
        <v>3</v>
      </c>
      <c r="AJ1387" s="61" t="str">
        <f aca="false">IF(Q1387="","",Q1387)</f>
        <v/>
      </c>
      <c r="AK1387" s="61" t="n">
        <f aca="false">AK1386+1</f>
        <v>1387</v>
      </c>
      <c r="AL1387" s="61" t="str">
        <f aca="false">Y1387</f>
        <v>salt</v>
      </c>
      <c r="AM1387" s="81" t="str">
        <f aca="false">"a = Client().post('"&amp;W1387&amp;"', {'recipe' : '"&amp;V1387&amp;"', 'ingredient' : '"&amp;Z1387&amp;"', 'name' : '"&amp;X1387&amp;"', 'mass_unit' : '"&amp;AC1387&amp;"', 'mass_quantity' : '"&amp;ROUND(AA1387,3)&amp;"', 'volume_unit' : '"&amp;AF1387&amp;"', 'volume_quantity' : '"&amp;ROUND(AD1387,3)&amp;"', 'pieces_unit' : '"&amp;AI1387&amp;"', 'pieces_quantity' : '"&amp;ROUND(AG1387,3)&amp;"', 'cooking_notes' : '"&amp;AJ1387&amp;"'}).status_code; print('%s :: %s :: %s :: %s :: %s' %(a,"&amp;G1387&amp;",'"&amp;X1387&amp;"','"&amp;Y1387&amp;"','"&amp;U1387&amp;"'))"</f>
        <v>a = Client().post('/recipes/nityanand-italian-fried-rice/detail/', {'recipe' : '51', 'ingredient' : '177', 'name' : 'SALT', 'mass_unit' : '2', 'mass_quantity' : '0', 'volume_unit' : '5', 'volume_quantity' : '1.5', 'pieces_unit' : '3', 'pieces_quantity' : '0', 'cooking_notes' : ''}).status_code; print('%s :: %s :: %s :: %s :: %s' %(a,1387,'SALT','salt','NITYANAND ITALIAN FRIED RICE'))</v>
      </c>
      <c r="AMJ1387" s="0"/>
    </row>
    <row r="1388" customFormat="false" ht="13.8" hidden="false" customHeight="false" outlineLevel="0" collapsed="false">
      <c r="G1388" s="80" t="n">
        <v>1388</v>
      </c>
      <c r="H1388" s="98"/>
      <c r="I1388" s="99"/>
      <c r="J1388" s="79"/>
      <c r="K1388" s="100"/>
      <c r="L1388" s="100"/>
      <c r="M1388" s="100"/>
      <c r="N1388" s="100"/>
      <c r="O1388" s="101"/>
      <c r="P1388" s="100"/>
      <c r="Q1388" s="102"/>
      <c r="R1388" s="99"/>
      <c r="S1388" s="98"/>
      <c r="T1388" s="98"/>
      <c r="U1388" s="81" t="n">
        <f aca="false">I1388</f>
        <v>0</v>
      </c>
      <c r="V1388" s="81" t="e">
        <f aca="false">VLOOKUP(U1388,recipe_ingred_list!$A$2:$B$300,2,0)</f>
        <v>#N/A</v>
      </c>
      <c r="W1388" s="81" t="e">
        <f aca="false">"/recipes/"&amp;VLOOKUP(U1388,recipe_ingred_list!$A$2:$C$300,3,0)&amp;"/detail/"</f>
        <v>#N/A</v>
      </c>
      <c r="X1388" s="81" t="n">
        <f aca="false">J1388</f>
        <v>0</v>
      </c>
      <c r="Y1388" s="81" t="n">
        <f aca="false">R1388</f>
        <v>0</v>
      </c>
      <c r="Z1388" s="94" t="e">
        <f aca="false">VLOOKUP(Y1388,recipe_ingred_list!$D$2:$E$500,2,0)</f>
        <v>#N/A</v>
      </c>
      <c r="AA1388" s="61" t="n">
        <f aca="false">K1388</f>
        <v>0</v>
      </c>
      <c r="AB1388" s="61" t="n">
        <f aca="false">L1388</f>
        <v>0</v>
      </c>
      <c r="AC1388" s="61" t="n">
        <f aca="false">VLOOKUP(AB1388,recipe_ingred_list!$K$2:$M$7,3,0)</f>
        <v>2</v>
      </c>
      <c r="AD1388" s="61" t="n">
        <f aca="false">M1388</f>
        <v>0</v>
      </c>
      <c r="AE1388" s="61" t="n">
        <f aca="false">N1388</f>
        <v>0</v>
      </c>
      <c r="AF1388" s="61" t="n">
        <f aca="false">VLOOKUP(AE1388,recipe_ingred_list!$K$16:$M$25,3,0)</f>
        <v>1</v>
      </c>
      <c r="AG1388" s="61" t="n">
        <f aca="false">O1388</f>
        <v>0</v>
      </c>
      <c r="AH1388" s="61" t="n">
        <f aca="false">P1388</f>
        <v>0</v>
      </c>
      <c r="AI1388" s="61" t="n">
        <f aca="false">VLOOKUP(AH1388,recipe_ingred_list!$K$29:$M$34,3,0)</f>
        <v>3</v>
      </c>
      <c r="AJ1388" s="61" t="str">
        <f aca="false">IF(Q1388="","",Q1388)</f>
        <v/>
      </c>
      <c r="AK1388" s="61" t="n">
        <f aca="false">AK1387+1</f>
        <v>1388</v>
      </c>
      <c r="AL1388" s="61" t="n">
        <f aca="false">Y1388</f>
        <v>0</v>
      </c>
      <c r="AM1388" s="81" t="e">
        <f aca="false">"a = Client().post('"&amp;W1388&amp;"', {'recipe' : '"&amp;V1388&amp;"', 'ingredient' : '"&amp;Z1388&amp;"', 'name' : '"&amp;X1388&amp;"', 'mass_unit' : '"&amp;AC1388&amp;"', 'mass_quantity' : '"&amp;ROUND(AA1388,3)&amp;"', 'volume_unit' : '"&amp;AF1388&amp;"', 'volume_quantity' : '"&amp;ROUND(AD1388,3)&amp;"', 'pieces_unit' : '"&amp;AI1388&amp;"', 'pieces_quantity' : '"&amp;ROUND(AG1388,3)&amp;"', 'cooking_notes' : '"&amp;AJ1388&amp;"'}).status_code; print('%s :: %s :: %s :: %s :: %s' %(a,"&amp;G1388&amp;",'"&amp;X1388&amp;"','"&amp;Y1388&amp;"','"&amp;U1388&amp;"'))"</f>
        <v>#N/A</v>
      </c>
    </row>
    <row r="1389" customFormat="false" ht="13.8" hidden="false" customHeight="false" outlineLevel="0" collapsed="false">
      <c r="G1389" s="80" t="n">
        <v>1389</v>
      </c>
      <c r="H1389" s="98"/>
      <c r="I1389" s="99"/>
      <c r="J1389" s="79"/>
      <c r="K1389" s="100"/>
      <c r="L1389" s="100"/>
      <c r="M1389" s="100"/>
      <c r="N1389" s="100"/>
      <c r="O1389" s="101"/>
      <c r="P1389" s="100"/>
      <c r="Q1389" s="102"/>
      <c r="R1389" s="99"/>
      <c r="S1389" s="98"/>
      <c r="T1389" s="98" t="n">
        <v>12</v>
      </c>
      <c r="U1389" s="81" t="n">
        <f aca="false">I1389</f>
        <v>0</v>
      </c>
      <c r="V1389" s="81" t="e">
        <f aca="false">VLOOKUP(U1389,recipe_ingred_list!$A$2:$B$300,2,0)</f>
        <v>#N/A</v>
      </c>
      <c r="W1389" s="81" t="e">
        <f aca="false">"/recipes/"&amp;VLOOKUP(U1389,recipe_ingred_list!$A$2:$C$300,3,0)&amp;"/detail/"</f>
        <v>#N/A</v>
      </c>
      <c r="X1389" s="81" t="n">
        <f aca="false">J1389</f>
        <v>0</v>
      </c>
      <c r="Y1389" s="81" t="n">
        <f aca="false">R1389</f>
        <v>0</v>
      </c>
      <c r="Z1389" s="94" t="e">
        <f aca="false">VLOOKUP(Y1389,recipe_ingred_list!$D$2:$E$500,2,0)</f>
        <v>#N/A</v>
      </c>
      <c r="AA1389" s="61" t="n">
        <f aca="false">K1389</f>
        <v>0</v>
      </c>
      <c r="AB1389" s="61" t="n">
        <f aca="false">L1389</f>
        <v>0</v>
      </c>
      <c r="AC1389" s="61" t="n">
        <f aca="false">VLOOKUP(AB1389,recipe_ingred_list!$K$2:$M$7,3,0)</f>
        <v>2</v>
      </c>
      <c r="AD1389" s="61" t="n">
        <f aca="false">M1389</f>
        <v>0</v>
      </c>
      <c r="AE1389" s="61" t="n">
        <f aca="false">N1389</f>
        <v>0</v>
      </c>
      <c r="AF1389" s="61" t="n">
        <f aca="false">VLOOKUP(AE1389,recipe_ingred_list!$K$16:$M$25,3,0)</f>
        <v>1</v>
      </c>
      <c r="AG1389" s="61" t="n">
        <f aca="false">O1389</f>
        <v>0</v>
      </c>
      <c r="AH1389" s="61" t="n">
        <f aca="false">P1389</f>
        <v>0</v>
      </c>
      <c r="AI1389" s="61" t="n">
        <f aca="false">VLOOKUP(AH1389,recipe_ingred_list!$K$29:$M$34,3,0)</f>
        <v>3</v>
      </c>
      <c r="AJ1389" s="61" t="str">
        <f aca="false">IF(Q1389="","",Q1389)</f>
        <v/>
      </c>
      <c r="AK1389" s="61" t="n">
        <f aca="false">AK1388+1</f>
        <v>1389</v>
      </c>
      <c r="AL1389" s="61" t="n">
        <f aca="false">Y1389</f>
        <v>0</v>
      </c>
      <c r="AM1389" s="81" t="e">
        <f aca="false">"a = Client().post('"&amp;W1389&amp;"', {'recipe' : '"&amp;V1389&amp;"', 'ingredient' : '"&amp;Z1389&amp;"', 'name' : '"&amp;X1389&amp;"', 'mass_unit' : '"&amp;AC1389&amp;"', 'mass_quantity' : '"&amp;ROUND(AA1389,3)&amp;"', 'volume_unit' : '"&amp;AF1389&amp;"', 'volume_quantity' : '"&amp;ROUND(AD1389,3)&amp;"', 'pieces_unit' : '"&amp;AI1389&amp;"', 'pieces_quantity' : '"&amp;ROUND(AG1389,3)&amp;"', 'cooking_notes' : '"&amp;AJ1389&amp;"'}).status_code; print('%s :: %s :: %s :: %s :: %s' %(a,"&amp;G1389&amp;",'"&amp;X1389&amp;"','"&amp;Y1389&amp;"','"&amp;U1389&amp;"'))"</f>
        <v>#N/A</v>
      </c>
    </row>
    <row r="1390" customFormat="false" ht="13.8" hidden="false" customHeight="false" outlineLevel="0" collapsed="false">
      <c r="G1390" s="80" t="n">
        <v>1390</v>
      </c>
    </row>
    <row r="1391" customFormat="false" ht="13.8" hidden="false" customHeight="false" outlineLevel="0" collapsed="false">
      <c r="G1391" s="80" t="n">
        <v>1391</v>
      </c>
    </row>
    <row r="1392" customFormat="false" ht="13.8" hidden="false" customHeight="false" outlineLevel="0" collapsed="false">
      <c r="G1392" s="80" t="n">
        <v>1392</v>
      </c>
    </row>
    <row r="1393" customFormat="false" ht="13.8" hidden="false" customHeight="false" outlineLevel="0" collapsed="false">
      <c r="G1393" s="80" t="n">
        <v>1393</v>
      </c>
    </row>
    <row r="1394" customFormat="false" ht="13.8" hidden="false" customHeight="false" outlineLevel="0" collapsed="false">
      <c r="G1394" s="80" t="n">
        <v>1394</v>
      </c>
    </row>
    <row r="1395" customFormat="false" ht="13.8" hidden="false" customHeight="false" outlineLevel="0" collapsed="false">
      <c r="G1395" s="80" t="n">
        <v>1395</v>
      </c>
    </row>
    <row r="1396" customFormat="false" ht="13.8" hidden="false" customHeight="false" outlineLevel="0" collapsed="false">
      <c r="G1396" s="80" t="n">
        <v>1396</v>
      </c>
    </row>
    <row r="1397" customFormat="false" ht="13.8" hidden="false" customHeight="false" outlineLevel="0" collapsed="false">
      <c r="G1397" s="80" t="n">
        <v>1397</v>
      </c>
    </row>
    <row r="1398" customFormat="false" ht="13.8" hidden="false" customHeight="false" outlineLevel="0" collapsed="false">
      <c r="G1398" s="80" t="n">
        <v>1398</v>
      </c>
    </row>
    <row r="1399" customFormat="false" ht="13.8" hidden="false" customHeight="false" outlineLevel="0" collapsed="false">
      <c r="G1399" s="80" t="n">
        <v>1399</v>
      </c>
    </row>
    <row r="1400" customFormat="false" ht="13.8" hidden="false" customHeight="false" outlineLevel="0" collapsed="false">
      <c r="G1400" s="80" t="n">
        <v>1400</v>
      </c>
    </row>
    <row r="1401" customFormat="false" ht="13.8" hidden="false" customHeight="false" outlineLevel="0" collapsed="false">
      <c r="G1401" s="80" t="n">
        <v>1401</v>
      </c>
    </row>
    <row r="1402" customFormat="false" ht="13.8" hidden="false" customHeight="false" outlineLevel="0" collapsed="false">
      <c r="G1402" s="80" t="n">
        <v>1402</v>
      </c>
    </row>
    <row r="1403" customFormat="false" ht="13.8" hidden="false" customHeight="false" outlineLevel="0" collapsed="false">
      <c r="G1403" s="80" t="n">
        <v>1403</v>
      </c>
    </row>
    <row r="1404" customFormat="false" ht="13.8" hidden="false" customHeight="false" outlineLevel="0" collapsed="false">
      <c r="G1404" s="80" t="n">
        <v>1404</v>
      </c>
    </row>
    <row r="1405" customFormat="false" ht="13.8" hidden="false" customHeight="false" outlineLevel="0" collapsed="false">
      <c r="G1405" s="80" t="n">
        <v>1405</v>
      </c>
    </row>
    <row r="1406" customFormat="false" ht="13.8" hidden="false" customHeight="false" outlineLevel="0" collapsed="false">
      <c r="G1406" s="80" t="n">
        <v>1406</v>
      </c>
    </row>
    <row r="1407" customFormat="false" ht="13.8" hidden="false" customHeight="false" outlineLevel="0" collapsed="false">
      <c r="G1407" s="80" t="n">
        <v>1407</v>
      </c>
    </row>
    <row r="1408" customFormat="false" ht="13.8" hidden="false" customHeight="false" outlineLevel="0" collapsed="false">
      <c r="G1408" s="80" t="n">
        <v>1408</v>
      </c>
    </row>
    <row r="1409" customFormat="false" ht="13.8" hidden="false" customHeight="false" outlineLevel="0" collapsed="false">
      <c r="G1409" s="80" t="n">
        <v>1409</v>
      </c>
    </row>
    <row r="1410" customFormat="false" ht="13.8" hidden="false" customHeight="false" outlineLevel="0" collapsed="false">
      <c r="G1410" s="80" t="n">
        <v>1410</v>
      </c>
    </row>
    <row r="1411" customFormat="false" ht="13.8" hidden="false" customHeight="false" outlineLevel="0" collapsed="false">
      <c r="G1411" s="80" t="n">
        <v>1411</v>
      </c>
    </row>
    <row r="1412" customFormat="false" ht="13.8" hidden="false" customHeight="false" outlineLevel="0" collapsed="false">
      <c r="G1412" s="80" t="n">
        <v>1412</v>
      </c>
    </row>
    <row r="1413" customFormat="false" ht="13.8" hidden="false" customHeight="false" outlineLevel="0" collapsed="false">
      <c r="G1413" s="80" t="n">
        <v>1413</v>
      </c>
    </row>
    <row r="1414" customFormat="false" ht="13.8" hidden="false" customHeight="false" outlineLevel="0" collapsed="false">
      <c r="G1414" s="80" t="n">
        <v>1414</v>
      </c>
    </row>
    <row r="1415" customFormat="false" ht="13.8" hidden="false" customHeight="false" outlineLevel="0" collapsed="false">
      <c r="G1415" s="80" t="n">
        <v>1415</v>
      </c>
    </row>
    <row r="1416" customFormat="false" ht="13.8" hidden="false" customHeight="false" outlineLevel="0" collapsed="false">
      <c r="G1416" s="80" t="n">
        <v>1416</v>
      </c>
    </row>
    <row r="1417" customFormat="false" ht="13.8" hidden="false" customHeight="false" outlineLevel="0" collapsed="false">
      <c r="G1417" s="80" t="n">
        <v>1417</v>
      </c>
    </row>
    <row r="1418" customFormat="false" ht="13.8" hidden="false" customHeight="false" outlineLevel="0" collapsed="false">
      <c r="G1418" s="80" t="n">
        <v>1418</v>
      </c>
    </row>
    <row r="1419" customFormat="false" ht="13.8" hidden="false" customHeight="false" outlineLevel="0" collapsed="false">
      <c r="G1419" s="80" t="n">
        <v>1419</v>
      </c>
    </row>
    <row r="1420" customFormat="false" ht="13.8" hidden="false" customHeight="false" outlineLevel="0" collapsed="false">
      <c r="G1420" s="80" t="n">
        <v>1420</v>
      </c>
    </row>
    <row r="1421" customFormat="false" ht="13.8" hidden="false" customHeight="false" outlineLevel="0" collapsed="false">
      <c r="G1421" s="80" t="n">
        <v>1421</v>
      </c>
    </row>
    <row r="1422" customFormat="false" ht="13.8" hidden="false" customHeight="false" outlineLevel="0" collapsed="false">
      <c r="G1422" s="80" t="n">
        <v>1422</v>
      </c>
    </row>
    <row r="1423" customFormat="false" ht="13.8" hidden="false" customHeight="false" outlineLevel="0" collapsed="false">
      <c r="G1423" s="80" t="n">
        <v>1423</v>
      </c>
    </row>
    <row r="1424" customFormat="false" ht="13.8" hidden="false" customHeight="false" outlineLevel="0" collapsed="false">
      <c r="G1424" s="80" t="n">
        <v>1424</v>
      </c>
    </row>
    <row r="1425" customFormat="false" ht="13.8" hidden="false" customHeight="false" outlineLevel="0" collapsed="false">
      <c r="G1425" s="80" t="n">
        <v>1425</v>
      </c>
    </row>
    <row r="1426" customFormat="false" ht="13.8" hidden="false" customHeight="false" outlineLevel="0" collapsed="false">
      <c r="G1426" s="80" t="n">
        <v>1426</v>
      </c>
    </row>
    <row r="1427" customFormat="false" ht="13.8" hidden="false" customHeight="false" outlineLevel="0" collapsed="false">
      <c r="G1427" s="80" t="n">
        <v>1427</v>
      </c>
    </row>
    <row r="1428" customFormat="false" ht="13.8" hidden="false" customHeight="false" outlineLevel="0" collapsed="false">
      <c r="G1428" s="80" t="n">
        <v>1428</v>
      </c>
    </row>
    <row r="1429" customFormat="false" ht="13.8" hidden="false" customHeight="false" outlineLevel="0" collapsed="false">
      <c r="G1429" s="80" t="n">
        <v>1429</v>
      </c>
    </row>
    <row r="1430" customFormat="false" ht="13.8" hidden="false" customHeight="false" outlineLevel="0" collapsed="false">
      <c r="G1430" s="80" t="n">
        <v>1430</v>
      </c>
    </row>
    <row r="1431" customFormat="false" ht="13.8" hidden="false" customHeight="false" outlineLevel="0" collapsed="false">
      <c r="G1431" s="80" t="n">
        <v>1431</v>
      </c>
    </row>
    <row r="1432" customFormat="false" ht="13.8" hidden="false" customHeight="false" outlineLevel="0" collapsed="false">
      <c r="G1432" s="80" t="n">
        <v>1432</v>
      </c>
    </row>
    <row r="1433" customFormat="false" ht="13.8" hidden="false" customHeight="false" outlineLevel="0" collapsed="false">
      <c r="G1433" s="80" t="n">
        <v>1433</v>
      </c>
    </row>
    <row r="1434" customFormat="false" ht="13.8" hidden="false" customHeight="false" outlineLevel="0" collapsed="false">
      <c r="G1434" s="80" t="n">
        <v>1434</v>
      </c>
    </row>
    <row r="1435" customFormat="false" ht="13.8" hidden="false" customHeight="false" outlineLevel="0" collapsed="false">
      <c r="G1435" s="80" t="n">
        <v>1435</v>
      </c>
    </row>
    <row r="1436" customFormat="false" ht="13.8" hidden="false" customHeight="false" outlineLevel="0" collapsed="false">
      <c r="G1436" s="80" t="n">
        <v>1436</v>
      </c>
    </row>
    <row r="1437" customFormat="false" ht="13.8" hidden="false" customHeight="false" outlineLevel="0" collapsed="false">
      <c r="G1437" s="80" t="n">
        <v>1437</v>
      </c>
    </row>
    <row r="1438" customFormat="false" ht="13.8" hidden="false" customHeight="false" outlineLevel="0" collapsed="false">
      <c r="G1438" s="80" t="n">
        <v>1438</v>
      </c>
    </row>
    <row r="1439" customFormat="false" ht="13.8" hidden="false" customHeight="false" outlineLevel="0" collapsed="false">
      <c r="G1439" s="80" t="n">
        <v>1439</v>
      </c>
    </row>
    <row r="1440" customFormat="false" ht="13.8" hidden="false" customHeight="false" outlineLevel="0" collapsed="false">
      <c r="G1440" s="80" t="n">
        <v>1440</v>
      </c>
    </row>
    <row r="1441" customFormat="false" ht="13.8" hidden="false" customHeight="false" outlineLevel="0" collapsed="false">
      <c r="G1441" s="80" t="n">
        <v>1441</v>
      </c>
    </row>
    <row r="1442" customFormat="false" ht="13.8" hidden="false" customHeight="false" outlineLevel="0" collapsed="false">
      <c r="G1442" s="80" t="n">
        <v>1442</v>
      </c>
    </row>
    <row r="1443" customFormat="false" ht="13.8" hidden="false" customHeight="false" outlineLevel="0" collapsed="false">
      <c r="G1443" s="80" t="n">
        <v>1443</v>
      </c>
    </row>
    <row r="1444" customFormat="false" ht="13.8" hidden="false" customHeight="false" outlineLevel="0" collapsed="false">
      <c r="G1444" s="80" t="n">
        <v>1444</v>
      </c>
    </row>
    <row r="1445" customFormat="false" ht="13.8" hidden="false" customHeight="false" outlineLevel="0" collapsed="false">
      <c r="G1445" s="80" t="n">
        <v>1445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165"/>
  <sheetViews>
    <sheetView showFormulas="false" showGridLines="true" showRowColHeaders="true" showZeros="true" rightToLeft="false" tabSelected="true" showOutlineSymbols="true" defaultGridColor="true" view="normal" topLeftCell="B1" colorId="64" zoomScale="85" zoomScaleNormal="85" zoomScalePageLayoutView="100" workbookViewId="0">
      <selection pane="topLeft" activeCell="D1" activeCellId="0" sqref="D1"/>
    </sheetView>
  </sheetViews>
  <sheetFormatPr defaultRowHeight="13.8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28.63"/>
    <col collapsed="false" customWidth="true" hidden="false" outlineLevel="0" max="4" min="4" style="0" width="58.78"/>
    <col collapsed="false" customWidth="true" hidden="false" outlineLevel="0" max="5" min="5" style="0" width="16.11"/>
    <col collapsed="false" customWidth="true" hidden="false" outlineLevel="0" max="6" min="6" style="0" width="45.02"/>
    <col collapsed="false" customWidth="true" hidden="false" outlineLevel="0" max="1025" min="7" style="0" width="9.14"/>
  </cols>
  <sheetData>
    <row r="1" customFormat="false" ht="13.8" hidden="false" customHeight="false" outlineLevel="0" collapsed="false">
      <c r="A1" s="0" t="n">
        <v>1757</v>
      </c>
      <c r="B1" s="0" t="s">
        <v>964</v>
      </c>
      <c r="C1" s="0" t="s">
        <v>965</v>
      </c>
      <c r="D1" s="0" t="str">
        <f aca="false">"obj = RecipePosition.objects.get(id="&amp;A1&amp;"),obj.sequence_number = "&amp;E1&amp;";obj.save()"</f>
        <v>obj = RecipePosition.objects.get(id=1757),obj.sequence_number = 0;obj.save()</v>
      </c>
      <c r="E1" s="0" t="n">
        <v>0</v>
      </c>
      <c r="F1" s="0" t="s">
        <v>966</v>
      </c>
      <c r="G1" s="0" t="s">
        <v>967</v>
      </c>
      <c r="H1" s="0" t="s">
        <v>968</v>
      </c>
      <c r="I1" s="0" t="s">
        <v>969</v>
      </c>
      <c r="J1" s="0" t="s">
        <v>970</v>
      </c>
      <c r="K1" s="0" t="s">
        <v>971</v>
      </c>
      <c r="L1" s="0" t="s">
        <v>972</v>
      </c>
      <c r="M1" s="0" t="s">
        <v>973</v>
      </c>
      <c r="N1" s="0" t="s">
        <v>974</v>
      </c>
      <c r="O1" s="0" t="s">
        <v>975</v>
      </c>
      <c r="P1" s="0" t="s">
        <v>976</v>
      </c>
      <c r="Q1" s="0" t="s">
        <v>974</v>
      </c>
      <c r="R1" s="0" t="s">
        <v>970</v>
      </c>
      <c r="S1" s="0" t="s">
        <v>974</v>
      </c>
    </row>
    <row r="2" customFormat="false" ht="13.8" hidden="false" customHeight="false" outlineLevel="0" collapsed="false">
      <c r="A2" s="0" t="n">
        <v>1758</v>
      </c>
      <c r="B2" s="0" t="s">
        <v>977</v>
      </c>
      <c r="C2" s="0" t="s">
        <v>978</v>
      </c>
      <c r="E2" s="0" t="n">
        <f aca="false">IF(J1=J2,E1+10,0)</f>
        <v>10</v>
      </c>
      <c r="F2" s="0" t="s">
        <v>979</v>
      </c>
      <c r="G2" s="0" t="s">
        <v>980</v>
      </c>
      <c r="H2" s="0" t="s">
        <v>981</v>
      </c>
      <c r="I2" s="0" t="s">
        <v>982</v>
      </c>
      <c r="J2" s="0" t="s">
        <v>970</v>
      </c>
      <c r="K2" s="0" t="s">
        <v>971</v>
      </c>
      <c r="L2" s="0" t="s">
        <v>983</v>
      </c>
      <c r="M2" s="0" t="s">
        <v>973</v>
      </c>
      <c r="N2" s="0" t="s">
        <v>974</v>
      </c>
      <c r="O2" s="0" t="s">
        <v>975</v>
      </c>
      <c r="P2" s="0" t="s">
        <v>976</v>
      </c>
      <c r="Q2" s="0" t="s">
        <v>974</v>
      </c>
      <c r="R2" s="0" t="s">
        <v>970</v>
      </c>
      <c r="S2" s="0" t="s">
        <v>974</v>
      </c>
    </row>
    <row r="3" customFormat="false" ht="13.8" hidden="false" customHeight="false" outlineLevel="0" collapsed="false">
      <c r="A3" s="0" t="n">
        <v>1759</v>
      </c>
      <c r="B3" s="0" t="s">
        <v>984</v>
      </c>
      <c r="C3" s="0" t="s">
        <v>985</v>
      </c>
      <c r="E3" s="0" t="n">
        <f aca="false">IF(J2=J3,E2+10,0)</f>
        <v>20</v>
      </c>
      <c r="F3" s="0" t="s">
        <v>986</v>
      </c>
      <c r="G3" s="0" t="s">
        <v>987</v>
      </c>
      <c r="H3" s="0" t="s">
        <v>988</v>
      </c>
      <c r="I3" s="0" t="s">
        <v>989</v>
      </c>
      <c r="J3" s="0" t="s">
        <v>970</v>
      </c>
      <c r="K3" s="0" t="s">
        <v>971</v>
      </c>
      <c r="L3" s="0" t="s">
        <v>983</v>
      </c>
      <c r="M3" s="0" t="s">
        <v>973</v>
      </c>
      <c r="N3" s="0" t="s">
        <v>974</v>
      </c>
      <c r="O3" s="0" t="s">
        <v>975</v>
      </c>
      <c r="P3" s="0" t="s">
        <v>976</v>
      </c>
      <c r="Q3" s="0" t="s">
        <v>974</v>
      </c>
      <c r="R3" s="0" t="s">
        <v>970</v>
      </c>
      <c r="S3" s="0" t="s">
        <v>974</v>
      </c>
    </row>
    <row r="4" customFormat="false" ht="13.8" hidden="false" customHeight="false" outlineLevel="0" collapsed="false">
      <c r="A4" s="0" t="n">
        <v>1760</v>
      </c>
      <c r="B4" s="0" t="s">
        <v>990</v>
      </c>
      <c r="C4" s="0" t="s">
        <v>991</v>
      </c>
      <c r="E4" s="0" t="n">
        <f aca="false">IF(J3=J4,E3+10,0)</f>
        <v>30</v>
      </c>
      <c r="F4" s="0" t="s">
        <v>992</v>
      </c>
      <c r="G4" s="0" t="s">
        <v>993</v>
      </c>
      <c r="H4" s="0" t="s">
        <v>994</v>
      </c>
      <c r="I4" s="0" t="s">
        <v>995</v>
      </c>
      <c r="J4" s="0" t="s">
        <v>970</v>
      </c>
      <c r="K4" s="0" t="s">
        <v>971</v>
      </c>
      <c r="L4" s="0" t="s">
        <v>996</v>
      </c>
      <c r="M4" s="0" t="s">
        <v>973</v>
      </c>
      <c r="N4" s="0" t="s">
        <v>974</v>
      </c>
      <c r="O4" s="0" t="s">
        <v>975</v>
      </c>
      <c r="P4" s="0" t="s">
        <v>976</v>
      </c>
      <c r="Q4" s="0" t="s">
        <v>974</v>
      </c>
      <c r="R4" s="0" t="s">
        <v>970</v>
      </c>
      <c r="S4" s="0" t="s">
        <v>974</v>
      </c>
    </row>
    <row r="5" customFormat="false" ht="13.8" hidden="false" customHeight="false" outlineLevel="0" collapsed="false">
      <c r="A5" s="0" t="n">
        <v>1761</v>
      </c>
      <c r="B5" s="0" t="s">
        <v>997</v>
      </c>
      <c r="C5" s="0" t="s">
        <v>998</v>
      </c>
      <c r="E5" s="0" t="n">
        <f aca="false">IF(J4=J5,E4+10,0)</f>
        <v>40</v>
      </c>
      <c r="F5" s="0" t="s">
        <v>999</v>
      </c>
      <c r="G5" s="0" t="s">
        <v>1000</v>
      </c>
      <c r="H5" s="0" t="s">
        <v>1001</v>
      </c>
      <c r="I5" s="0" t="s">
        <v>1002</v>
      </c>
      <c r="J5" s="0" t="s">
        <v>970</v>
      </c>
      <c r="K5" s="0" t="s">
        <v>971</v>
      </c>
      <c r="L5" s="0" t="s">
        <v>996</v>
      </c>
      <c r="M5" s="0" t="s">
        <v>973</v>
      </c>
      <c r="N5" s="0" t="s">
        <v>974</v>
      </c>
      <c r="O5" s="0" t="s">
        <v>975</v>
      </c>
      <c r="P5" s="0" t="s">
        <v>976</v>
      </c>
      <c r="Q5" s="0" t="s">
        <v>974</v>
      </c>
      <c r="R5" s="0" t="s">
        <v>970</v>
      </c>
      <c r="S5" s="0" t="s">
        <v>974</v>
      </c>
    </row>
    <row r="6" customFormat="false" ht="13.8" hidden="false" customHeight="false" outlineLevel="0" collapsed="false">
      <c r="A6" s="0" t="n">
        <v>1762</v>
      </c>
      <c r="B6" s="0" t="s">
        <v>1003</v>
      </c>
      <c r="C6" s="0" t="s">
        <v>1004</v>
      </c>
      <c r="E6" s="0" t="n">
        <f aca="false">IF(J5=J6,E5+10,0)</f>
        <v>50</v>
      </c>
      <c r="F6" s="0" t="s">
        <v>1005</v>
      </c>
      <c r="G6" s="0" t="s">
        <v>1006</v>
      </c>
      <c r="H6" s="0" t="s">
        <v>1007</v>
      </c>
      <c r="I6" s="0" t="s">
        <v>1008</v>
      </c>
      <c r="J6" s="0" t="s">
        <v>970</v>
      </c>
      <c r="K6" s="0" t="s">
        <v>971</v>
      </c>
      <c r="L6" s="0" t="s">
        <v>974</v>
      </c>
      <c r="M6" s="0" t="s">
        <v>973</v>
      </c>
      <c r="N6" s="0" t="s">
        <v>974</v>
      </c>
      <c r="O6" s="0" t="s">
        <v>975</v>
      </c>
      <c r="P6" s="0" t="s">
        <v>976</v>
      </c>
      <c r="Q6" s="0" t="s">
        <v>970</v>
      </c>
      <c r="R6" s="0" t="s">
        <v>970</v>
      </c>
      <c r="S6" s="0" t="s">
        <v>974</v>
      </c>
    </row>
    <row r="7" customFormat="false" ht="13.8" hidden="false" customHeight="false" outlineLevel="0" collapsed="false">
      <c r="A7" s="0" t="n">
        <v>1763</v>
      </c>
      <c r="B7" s="0" t="s">
        <v>1009</v>
      </c>
      <c r="C7" s="0" t="s">
        <v>1010</v>
      </c>
      <c r="E7" s="0" t="n">
        <f aca="false">IF(J6=J7,E6+10,0)</f>
        <v>60</v>
      </c>
      <c r="F7" s="0" t="s">
        <v>1011</v>
      </c>
      <c r="G7" s="0" t="s">
        <v>1012</v>
      </c>
      <c r="H7" s="0" t="s">
        <v>1013</v>
      </c>
      <c r="I7" s="0" t="s">
        <v>1014</v>
      </c>
      <c r="J7" s="0" t="s">
        <v>970</v>
      </c>
      <c r="K7" s="0" t="s">
        <v>971</v>
      </c>
      <c r="L7" s="0" t="s">
        <v>974</v>
      </c>
      <c r="M7" s="0" t="s">
        <v>973</v>
      </c>
      <c r="N7" s="0" t="s">
        <v>974</v>
      </c>
      <c r="O7" s="0" t="s">
        <v>975</v>
      </c>
      <c r="P7" s="0" t="s">
        <v>976</v>
      </c>
      <c r="Q7" s="0" t="s">
        <v>1015</v>
      </c>
      <c r="R7" s="0" t="s">
        <v>970</v>
      </c>
      <c r="S7" s="0" t="s">
        <v>974</v>
      </c>
    </row>
    <row r="8" customFormat="false" ht="13.8" hidden="false" customHeight="false" outlineLevel="0" collapsed="false">
      <c r="A8" s="0" t="n">
        <v>1764</v>
      </c>
      <c r="B8" s="0" t="s">
        <v>1016</v>
      </c>
      <c r="C8" s="0" t="s">
        <v>1017</v>
      </c>
      <c r="E8" s="0" t="n">
        <f aca="false">IF(J7=J8,E7+10,0)</f>
        <v>70</v>
      </c>
      <c r="F8" s="0" t="s">
        <v>1018</v>
      </c>
      <c r="G8" s="0" t="s">
        <v>1019</v>
      </c>
      <c r="H8" s="0" t="s">
        <v>1020</v>
      </c>
      <c r="I8" s="0" t="s">
        <v>1021</v>
      </c>
      <c r="J8" s="0" t="s">
        <v>970</v>
      </c>
      <c r="K8" s="0" t="s">
        <v>971</v>
      </c>
      <c r="L8" s="0" t="s">
        <v>974</v>
      </c>
      <c r="M8" s="0" t="s">
        <v>973</v>
      </c>
      <c r="N8" s="0" t="s">
        <v>974</v>
      </c>
      <c r="O8" s="0" t="s">
        <v>975</v>
      </c>
      <c r="P8" s="0" t="s">
        <v>976</v>
      </c>
      <c r="Q8" s="0" t="s">
        <v>1015</v>
      </c>
      <c r="R8" s="0" t="s">
        <v>970</v>
      </c>
      <c r="S8" s="0" t="s">
        <v>974</v>
      </c>
    </row>
    <row r="9" customFormat="false" ht="13.8" hidden="false" customHeight="false" outlineLevel="0" collapsed="false">
      <c r="A9" s="0" t="n">
        <v>1765</v>
      </c>
      <c r="B9" s="0" t="s">
        <v>1022</v>
      </c>
      <c r="C9" s="0" t="s">
        <v>1023</v>
      </c>
      <c r="E9" s="0" t="n">
        <f aca="false">IF(J8=J9,E8+10,0)</f>
        <v>80</v>
      </c>
      <c r="F9" s="0" t="s">
        <v>1024</v>
      </c>
      <c r="G9" s="0" t="s">
        <v>1025</v>
      </c>
      <c r="H9" s="0" t="s">
        <v>1026</v>
      </c>
      <c r="I9" s="0" t="s">
        <v>1027</v>
      </c>
      <c r="J9" s="0" t="s">
        <v>970</v>
      </c>
      <c r="K9" s="0" t="s">
        <v>971</v>
      </c>
      <c r="L9" s="0" t="s">
        <v>974</v>
      </c>
      <c r="M9" s="0" t="s">
        <v>973</v>
      </c>
      <c r="N9" s="0" t="s">
        <v>974</v>
      </c>
      <c r="O9" s="0" t="s">
        <v>975</v>
      </c>
      <c r="P9" s="0" t="s">
        <v>976</v>
      </c>
      <c r="Q9" s="0" t="s">
        <v>1015</v>
      </c>
      <c r="R9" s="0" t="s">
        <v>970</v>
      </c>
      <c r="S9" s="0" t="s">
        <v>974</v>
      </c>
    </row>
    <row r="10" customFormat="false" ht="13.8" hidden="false" customHeight="false" outlineLevel="0" collapsed="false">
      <c r="A10" s="0" t="n">
        <v>1766</v>
      </c>
      <c r="B10" s="0" t="s">
        <v>1028</v>
      </c>
      <c r="C10" s="0" t="s">
        <v>1029</v>
      </c>
      <c r="E10" s="0" t="n">
        <f aca="false">IF(J9=J10,E9+10,0)</f>
        <v>90</v>
      </c>
      <c r="F10" s="0" t="s">
        <v>1030</v>
      </c>
      <c r="G10" s="0" t="s">
        <v>1031</v>
      </c>
      <c r="H10" s="0" t="s">
        <v>1032</v>
      </c>
      <c r="I10" s="0" t="s">
        <v>1033</v>
      </c>
      <c r="J10" s="0" t="s">
        <v>970</v>
      </c>
      <c r="K10" s="0" t="s">
        <v>971</v>
      </c>
      <c r="L10" s="0" t="s">
        <v>974</v>
      </c>
      <c r="M10" s="0" t="s">
        <v>973</v>
      </c>
      <c r="N10" s="0" t="s">
        <v>974</v>
      </c>
      <c r="O10" s="0" t="s">
        <v>975</v>
      </c>
      <c r="P10" s="0" t="s">
        <v>976</v>
      </c>
      <c r="Q10" s="0" t="s">
        <v>970</v>
      </c>
      <c r="R10" s="0" t="s">
        <v>970</v>
      </c>
      <c r="S10" s="0" t="s">
        <v>974</v>
      </c>
    </row>
    <row r="11" customFormat="false" ht="13.8" hidden="false" customHeight="false" outlineLevel="0" collapsed="false">
      <c r="A11" s="0" t="n">
        <v>1767</v>
      </c>
      <c r="B11" s="0" t="s">
        <v>1034</v>
      </c>
      <c r="C11" s="0" t="s">
        <v>1035</v>
      </c>
      <c r="E11" s="0" t="n">
        <f aca="false">IF(J10=J11,E10+10,0)</f>
        <v>100</v>
      </c>
      <c r="F11" s="0" t="s">
        <v>1036</v>
      </c>
      <c r="G11" s="0" t="s">
        <v>1037</v>
      </c>
      <c r="H11" s="0" t="s">
        <v>1038</v>
      </c>
      <c r="I11" s="0" t="s">
        <v>970</v>
      </c>
      <c r="J11" s="0" t="s">
        <v>970</v>
      </c>
      <c r="K11" s="0" t="s">
        <v>971</v>
      </c>
      <c r="L11" s="0" t="s">
        <v>974</v>
      </c>
      <c r="M11" s="0" t="s">
        <v>973</v>
      </c>
      <c r="N11" s="0" t="s">
        <v>974</v>
      </c>
      <c r="O11" s="0" t="s">
        <v>975</v>
      </c>
      <c r="P11" s="0" t="s">
        <v>976</v>
      </c>
      <c r="Q11" s="0" t="s">
        <v>1039</v>
      </c>
      <c r="R11" s="0" t="s">
        <v>970</v>
      </c>
      <c r="S11" s="0" t="s">
        <v>974</v>
      </c>
    </row>
    <row r="12" customFormat="false" ht="13.8" hidden="false" customHeight="false" outlineLevel="0" collapsed="false">
      <c r="A12" s="0" t="n">
        <v>1768</v>
      </c>
      <c r="B12" s="0" t="s">
        <v>1040</v>
      </c>
      <c r="C12" s="0" t="s">
        <v>1041</v>
      </c>
      <c r="E12" s="0" t="n">
        <f aca="false">IF(J11=J12,E11+10,0)</f>
        <v>110</v>
      </c>
      <c r="F12" s="0" t="s">
        <v>1042</v>
      </c>
      <c r="G12" s="0" t="s">
        <v>1043</v>
      </c>
      <c r="H12" s="0" t="s">
        <v>1044</v>
      </c>
      <c r="I12" s="0" t="s">
        <v>1045</v>
      </c>
      <c r="J12" s="0" t="s">
        <v>970</v>
      </c>
      <c r="K12" s="0" t="s">
        <v>971</v>
      </c>
      <c r="L12" s="0" t="s">
        <v>974</v>
      </c>
      <c r="M12" s="0" t="s">
        <v>973</v>
      </c>
      <c r="N12" s="0" t="s">
        <v>974</v>
      </c>
      <c r="O12" s="0" t="s">
        <v>975</v>
      </c>
      <c r="P12" s="0" t="s">
        <v>976</v>
      </c>
      <c r="Q12" s="0" t="s">
        <v>1039</v>
      </c>
      <c r="R12" s="0" t="s">
        <v>1046</v>
      </c>
      <c r="S12" s="0" t="s">
        <v>974</v>
      </c>
    </row>
    <row r="13" customFormat="false" ht="13.8" hidden="false" customHeight="false" outlineLevel="0" collapsed="false">
      <c r="A13" s="0" t="n">
        <v>1769</v>
      </c>
      <c r="B13" s="0" t="s">
        <v>1047</v>
      </c>
      <c r="C13" s="0" t="s">
        <v>1048</v>
      </c>
      <c r="E13" s="0" t="n">
        <f aca="false">IF(J12=J13,E12+10,0)</f>
        <v>120</v>
      </c>
      <c r="F13" s="0" t="s">
        <v>1049</v>
      </c>
      <c r="G13" s="0" t="s">
        <v>1050</v>
      </c>
      <c r="H13" s="0" t="s">
        <v>1051</v>
      </c>
      <c r="I13" s="0" t="s">
        <v>1052</v>
      </c>
      <c r="J13" s="0" t="s">
        <v>970</v>
      </c>
      <c r="K13" s="0" t="s">
        <v>971</v>
      </c>
      <c r="L13" s="0" t="s">
        <v>975</v>
      </c>
      <c r="M13" s="0" t="s">
        <v>973</v>
      </c>
      <c r="N13" s="0" t="s">
        <v>974</v>
      </c>
      <c r="O13" s="0" t="s">
        <v>975</v>
      </c>
      <c r="P13" s="0" t="s">
        <v>976</v>
      </c>
      <c r="Q13" s="0" t="s">
        <v>974</v>
      </c>
      <c r="R13" s="0" t="s">
        <v>970</v>
      </c>
      <c r="S13" s="0" t="s">
        <v>974</v>
      </c>
    </row>
    <row r="14" customFormat="false" ht="13.8" hidden="false" customHeight="false" outlineLevel="0" collapsed="false">
      <c r="A14" s="0" t="n">
        <v>1770</v>
      </c>
      <c r="B14" s="0" t="s">
        <v>1053</v>
      </c>
      <c r="C14" s="0" t="s">
        <v>1054</v>
      </c>
      <c r="E14" s="0" t="n">
        <f aca="false">IF(J13=J14,E13+10,0)</f>
        <v>130</v>
      </c>
      <c r="F14" s="0" t="s">
        <v>1055</v>
      </c>
      <c r="G14" s="0" t="s">
        <v>1056</v>
      </c>
      <c r="H14" s="0" t="s">
        <v>1057</v>
      </c>
      <c r="I14" s="0" t="s">
        <v>1058</v>
      </c>
      <c r="J14" s="0" t="s">
        <v>970</v>
      </c>
      <c r="K14" s="0" t="s">
        <v>971</v>
      </c>
      <c r="L14" s="0" t="s">
        <v>974</v>
      </c>
      <c r="M14" s="0" t="s">
        <v>973</v>
      </c>
      <c r="N14" s="0" t="s">
        <v>974</v>
      </c>
      <c r="O14" s="0" t="s">
        <v>975</v>
      </c>
      <c r="P14" s="0" t="s">
        <v>976</v>
      </c>
      <c r="Q14" s="0" t="s">
        <v>1059</v>
      </c>
      <c r="R14" s="0" t="s">
        <v>970</v>
      </c>
      <c r="S14" s="0" t="s">
        <v>974</v>
      </c>
    </row>
    <row r="15" customFormat="false" ht="13.8" hidden="false" customHeight="false" outlineLevel="0" collapsed="false">
      <c r="A15" s="0" t="n">
        <v>1771</v>
      </c>
      <c r="B15" s="0" t="s">
        <v>1060</v>
      </c>
      <c r="C15" s="0" t="s">
        <v>1061</v>
      </c>
      <c r="E15" s="0" t="n">
        <f aca="false">IF(J14=J15,E14+10,0)</f>
        <v>140</v>
      </c>
      <c r="F15" s="0" t="s">
        <v>1062</v>
      </c>
      <c r="G15" s="0" t="s">
        <v>1063</v>
      </c>
      <c r="H15" s="0" t="s">
        <v>1064</v>
      </c>
      <c r="I15" s="0" t="s">
        <v>1065</v>
      </c>
      <c r="J15" s="0" t="s">
        <v>970</v>
      </c>
      <c r="K15" s="0" t="s">
        <v>971</v>
      </c>
      <c r="L15" s="0" t="s">
        <v>974</v>
      </c>
      <c r="M15" s="0" t="s">
        <v>973</v>
      </c>
      <c r="N15" s="0" t="s">
        <v>974</v>
      </c>
      <c r="O15" s="0" t="s">
        <v>975</v>
      </c>
      <c r="P15" s="0" t="s">
        <v>976</v>
      </c>
      <c r="Q15" s="0" t="s">
        <v>1066</v>
      </c>
      <c r="R15" s="0" t="s">
        <v>1067</v>
      </c>
      <c r="S15" s="0" t="s">
        <v>974</v>
      </c>
    </row>
    <row r="16" customFormat="false" ht="13.8" hidden="false" customHeight="false" outlineLevel="0" collapsed="false">
      <c r="A16" s="0" t="n">
        <v>1772</v>
      </c>
      <c r="B16" s="0" t="s">
        <v>1068</v>
      </c>
      <c r="C16" s="0" t="s">
        <v>1069</v>
      </c>
      <c r="E16" s="0" t="n">
        <f aca="false">IF(J15=J16,E15+10,0)</f>
        <v>150</v>
      </c>
      <c r="F16" s="0" t="s">
        <v>1070</v>
      </c>
      <c r="G16" s="0" t="s">
        <v>1071</v>
      </c>
      <c r="H16" s="0" t="s">
        <v>1072</v>
      </c>
      <c r="I16" s="0" t="s">
        <v>1073</v>
      </c>
      <c r="J16" s="0" t="s">
        <v>970</v>
      </c>
      <c r="K16" s="0" t="s">
        <v>971</v>
      </c>
      <c r="L16" s="0" t="s">
        <v>974</v>
      </c>
      <c r="M16" s="0" t="s">
        <v>973</v>
      </c>
      <c r="N16" s="0" t="s">
        <v>974</v>
      </c>
      <c r="O16" s="0" t="s">
        <v>975</v>
      </c>
      <c r="P16" s="0" t="s">
        <v>976</v>
      </c>
      <c r="Q16" s="0" t="s">
        <v>1074</v>
      </c>
      <c r="R16" s="0" t="s">
        <v>970</v>
      </c>
      <c r="S16" s="0" t="s">
        <v>974</v>
      </c>
    </row>
    <row r="17" customFormat="false" ht="13.8" hidden="false" customHeight="false" outlineLevel="0" collapsed="false">
      <c r="A17" s="0" t="n">
        <v>1773</v>
      </c>
      <c r="B17" s="0" t="s">
        <v>1075</v>
      </c>
      <c r="C17" s="0" t="s">
        <v>1076</v>
      </c>
      <c r="E17" s="0" t="n">
        <f aca="false">IF(J16=J17,E16+10,0)</f>
        <v>0</v>
      </c>
      <c r="F17" s="0" t="s">
        <v>1077</v>
      </c>
      <c r="G17" s="0" t="s">
        <v>1078</v>
      </c>
      <c r="H17" s="0" t="s">
        <v>1079</v>
      </c>
      <c r="I17" s="0" t="s">
        <v>1080</v>
      </c>
      <c r="J17" s="0" t="s">
        <v>1081</v>
      </c>
      <c r="K17" s="0" t="s">
        <v>971</v>
      </c>
      <c r="L17" s="0" t="s">
        <v>1082</v>
      </c>
      <c r="M17" s="0" t="s">
        <v>973</v>
      </c>
      <c r="N17" s="0" t="s">
        <v>974</v>
      </c>
      <c r="O17" s="0" t="s">
        <v>975</v>
      </c>
      <c r="P17" s="0" t="s">
        <v>976</v>
      </c>
      <c r="Q17" s="0" t="s">
        <v>974</v>
      </c>
      <c r="R17" s="0" t="s">
        <v>970</v>
      </c>
      <c r="S17" s="0" t="s">
        <v>974</v>
      </c>
    </row>
    <row r="18" customFormat="false" ht="13.8" hidden="false" customHeight="false" outlineLevel="0" collapsed="false">
      <c r="A18" s="0" t="n">
        <v>1774</v>
      </c>
      <c r="B18" s="0" t="s">
        <v>1083</v>
      </c>
      <c r="C18" s="0" t="s">
        <v>1084</v>
      </c>
      <c r="E18" s="0" t="n">
        <f aca="false">IF(J17=J18,E17+10,0)</f>
        <v>10</v>
      </c>
      <c r="F18" s="0" t="s">
        <v>1085</v>
      </c>
      <c r="G18" s="0" t="s">
        <v>1086</v>
      </c>
      <c r="H18" s="0" t="s">
        <v>1087</v>
      </c>
      <c r="I18" s="0" t="s">
        <v>1088</v>
      </c>
      <c r="J18" s="0" t="s">
        <v>1081</v>
      </c>
      <c r="K18" s="0" t="s">
        <v>971</v>
      </c>
      <c r="L18" s="0" t="s">
        <v>974</v>
      </c>
      <c r="M18" s="0" t="s">
        <v>973</v>
      </c>
      <c r="N18" s="0" t="s">
        <v>974</v>
      </c>
      <c r="O18" s="0" t="s">
        <v>975</v>
      </c>
      <c r="P18" s="0" t="s">
        <v>976</v>
      </c>
      <c r="Q18" s="0" t="s">
        <v>1059</v>
      </c>
      <c r="R18" s="0" t="s">
        <v>1046</v>
      </c>
      <c r="S18" s="0" t="s">
        <v>974</v>
      </c>
    </row>
    <row r="19" customFormat="false" ht="13.8" hidden="false" customHeight="false" outlineLevel="0" collapsed="false">
      <c r="A19" s="0" t="n">
        <v>1775</v>
      </c>
      <c r="B19" s="0" t="s">
        <v>1089</v>
      </c>
      <c r="C19" s="0" t="s">
        <v>1090</v>
      </c>
      <c r="E19" s="0" t="n">
        <f aca="false">IF(J18=J19,E18+10,0)</f>
        <v>20</v>
      </c>
      <c r="F19" s="0" t="s">
        <v>1091</v>
      </c>
      <c r="G19" s="0" t="s">
        <v>1092</v>
      </c>
      <c r="H19" s="0" t="s">
        <v>1093</v>
      </c>
      <c r="I19" s="0" t="s">
        <v>1094</v>
      </c>
      <c r="J19" s="0" t="s">
        <v>1081</v>
      </c>
      <c r="K19" s="0" t="s">
        <v>971</v>
      </c>
      <c r="L19" s="0" t="s">
        <v>974</v>
      </c>
      <c r="M19" s="0" t="s">
        <v>973</v>
      </c>
      <c r="N19" s="0" t="s">
        <v>974</v>
      </c>
      <c r="O19" s="0" t="s">
        <v>975</v>
      </c>
      <c r="P19" s="0" t="s">
        <v>976</v>
      </c>
      <c r="Q19" s="0" t="s">
        <v>1059</v>
      </c>
      <c r="R19" s="0" t="s">
        <v>1046</v>
      </c>
      <c r="S19" s="0" t="s">
        <v>974</v>
      </c>
    </row>
    <row r="20" customFormat="false" ht="13.8" hidden="false" customHeight="false" outlineLevel="0" collapsed="false">
      <c r="A20" s="0" t="n">
        <v>1776</v>
      </c>
      <c r="B20" s="0" t="s">
        <v>1095</v>
      </c>
      <c r="C20" s="0" t="s">
        <v>1096</v>
      </c>
      <c r="E20" s="0" t="n">
        <f aca="false">IF(J19=J20,E19+10,0)</f>
        <v>30</v>
      </c>
      <c r="F20" s="0" t="s">
        <v>1097</v>
      </c>
      <c r="G20" s="0" t="s">
        <v>1098</v>
      </c>
      <c r="H20" s="0" t="s">
        <v>1099</v>
      </c>
      <c r="I20" s="0" t="s">
        <v>1100</v>
      </c>
      <c r="J20" s="0" t="s">
        <v>1081</v>
      </c>
      <c r="K20" s="0" t="s">
        <v>971</v>
      </c>
      <c r="L20" s="0" t="s">
        <v>974</v>
      </c>
      <c r="M20" s="0" t="s">
        <v>973</v>
      </c>
      <c r="N20" s="0" t="s">
        <v>974</v>
      </c>
      <c r="O20" s="0" t="s">
        <v>975</v>
      </c>
      <c r="P20" s="0" t="s">
        <v>976</v>
      </c>
      <c r="Q20" s="0" t="s">
        <v>1059</v>
      </c>
      <c r="R20" s="0" t="s">
        <v>1046</v>
      </c>
      <c r="S20" s="0" t="s">
        <v>974</v>
      </c>
    </row>
    <row r="21" customFormat="false" ht="13.8" hidden="false" customHeight="false" outlineLevel="0" collapsed="false">
      <c r="A21" s="0" t="n">
        <v>1777</v>
      </c>
      <c r="B21" s="0" t="s">
        <v>1101</v>
      </c>
      <c r="C21" s="0" t="s">
        <v>1102</v>
      </c>
      <c r="E21" s="0" t="n">
        <f aca="false">IF(J20=J21,E20+10,0)</f>
        <v>40</v>
      </c>
      <c r="F21" s="0" t="s">
        <v>1103</v>
      </c>
      <c r="G21" s="0" t="s">
        <v>1104</v>
      </c>
      <c r="H21" s="0" t="s">
        <v>1105</v>
      </c>
      <c r="I21" s="0" t="s">
        <v>1106</v>
      </c>
      <c r="J21" s="0" t="s">
        <v>1081</v>
      </c>
      <c r="K21" s="0" t="s">
        <v>971</v>
      </c>
      <c r="L21" s="0" t="s">
        <v>974</v>
      </c>
      <c r="M21" s="0" t="s">
        <v>973</v>
      </c>
      <c r="N21" s="0" t="s">
        <v>974</v>
      </c>
      <c r="O21" s="0" t="s">
        <v>975</v>
      </c>
      <c r="P21" s="0" t="s">
        <v>976</v>
      </c>
      <c r="Q21" s="0" t="s">
        <v>974</v>
      </c>
      <c r="R21" s="0" t="s">
        <v>970</v>
      </c>
      <c r="S21" s="0" t="s">
        <v>974</v>
      </c>
    </row>
    <row r="22" customFormat="false" ht="13.8" hidden="false" customHeight="false" outlineLevel="0" collapsed="false">
      <c r="A22" s="0" t="n">
        <v>1778</v>
      </c>
      <c r="B22" s="0" t="s">
        <v>1107</v>
      </c>
      <c r="C22" s="0" t="s">
        <v>965</v>
      </c>
      <c r="E22" s="0" t="n">
        <f aca="false">IF(J21=J22,E21+10,0)</f>
        <v>0</v>
      </c>
      <c r="F22" s="0" t="s">
        <v>1108</v>
      </c>
      <c r="G22" s="0" t="s">
        <v>1109</v>
      </c>
      <c r="H22" s="0" t="s">
        <v>1110</v>
      </c>
      <c r="I22" s="0" t="s">
        <v>969</v>
      </c>
      <c r="J22" s="0" t="s">
        <v>1111</v>
      </c>
      <c r="K22" s="0" t="s">
        <v>971</v>
      </c>
      <c r="L22" s="0" t="s">
        <v>982</v>
      </c>
      <c r="M22" s="0" t="s">
        <v>973</v>
      </c>
      <c r="N22" s="0" t="s">
        <v>974</v>
      </c>
      <c r="O22" s="0" t="s">
        <v>975</v>
      </c>
      <c r="P22" s="0" t="s">
        <v>976</v>
      </c>
      <c r="Q22" s="0" t="s">
        <v>974</v>
      </c>
      <c r="R22" s="0" t="s">
        <v>970</v>
      </c>
      <c r="S22" s="0" t="s">
        <v>974</v>
      </c>
    </row>
    <row r="23" customFormat="false" ht="13.8" hidden="false" customHeight="false" outlineLevel="0" collapsed="false">
      <c r="A23" s="0" t="n">
        <v>1779</v>
      </c>
      <c r="B23" s="0" t="s">
        <v>1112</v>
      </c>
      <c r="C23" s="0" t="s">
        <v>1113</v>
      </c>
      <c r="E23" s="0" t="n">
        <f aca="false">IF(J22=J23,E22+10,0)</f>
        <v>10</v>
      </c>
      <c r="F23" s="0" t="s">
        <v>1114</v>
      </c>
      <c r="G23" s="0" t="s">
        <v>1115</v>
      </c>
      <c r="H23" s="0" t="s">
        <v>1116</v>
      </c>
      <c r="I23" s="0" t="s">
        <v>1008</v>
      </c>
      <c r="J23" s="0" t="s">
        <v>1111</v>
      </c>
      <c r="K23" s="0" t="s">
        <v>971</v>
      </c>
      <c r="L23" s="0" t="s">
        <v>974</v>
      </c>
      <c r="M23" s="0" t="s">
        <v>973</v>
      </c>
      <c r="N23" s="0" t="s">
        <v>974</v>
      </c>
      <c r="O23" s="0" t="s">
        <v>975</v>
      </c>
      <c r="P23" s="0" t="s">
        <v>976</v>
      </c>
      <c r="Q23" s="0" t="s">
        <v>1117</v>
      </c>
      <c r="R23" s="0" t="s">
        <v>970</v>
      </c>
      <c r="S23" s="0" t="s">
        <v>974</v>
      </c>
    </row>
    <row r="24" customFormat="false" ht="13.8" hidden="false" customHeight="false" outlineLevel="0" collapsed="false">
      <c r="A24" s="0" t="n">
        <v>1780</v>
      </c>
      <c r="B24" s="0" t="s">
        <v>1118</v>
      </c>
      <c r="C24" s="0" t="s">
        <v>1119</v>
      </c>
      <c r="E24" s="0" t="n">
        <f aca="false">IF(J23=J24,E23+10,0)</f>
        <v>20</v>
      </c>
      <c r="F24" s="0" t="s">
        <v>1120</v>
      </c>
      <c r="G24" s="0" t="s">
        <v>1121</v>
      </c>
      <c r="H24" s="0" t="s">
        <v>1122</v>
      </c>
      <c r="I24" s="0" t="s">
        <v>1123</v>
      </c>
      <c r="J24" s="0" t="s">
        <v>1111</v>
      </c>
      <c r="K24" s="0" t="s">
        <v>971</v>
      </c>
      <c r="L24" s="0" t="s">
        <v>974</v>
      </c>
      <c r="M24" s="0" t="s">
        <v>973</v>
      </c>
      <c r="N24" s="0" t="s">
        <v>974</v>
      </c>
      <c r="O24" s="0" t="s">
        <v>975</v>
      </c>
      <c r="P24" s="0" t="s">
        <v>976</v>
      </c>
      <c r="Q24" s="0" t="s">
        <v>970</v>
      </c>
      <c r="R24" s="0" t="s">
        <v>970</v>
      </c>
      <c r="S24" s="0" t="s">
        <v>974</v>
      </c>
    </row>
    <row r="25" customFormat="false" ht="13.8" hidden="false" customHeight="false" outlineLevel="0" collapsed="false">
      <c r="A25" s="0" t="n">
        <v>1781</v>
      </c>
      <c r="B25" s="0" t="s">
        <v>1124</v>
      </c>
      <c r="C25" s="0" t="s">
        <v>1010</v>
      </c>
      <c r="E25" s="0" t="n">
        <f aca="false">IF(J24=J25,E24+10,0)</f>
        <v>30</v>
      </c>
      <c r="F25" s="0" t="s">
        <v>1125</v>
      </c>
      <c r="G25" s="0" t="s">
        <v>1126</v>
      </c>
      <c r="H25" s="0" t="s">
        <v>1127</v>
      </c>
      <c r="I25" s="0" t="s">
        <v>1014</v>
      </c>
      <c r="J25" s="0" t="s">
        <v>1111</v>
      </c>
      <c r="K25" s="0" t="s">
        <v>971</v>
      </c>
      <c r="L25" s="0" t="s">
        <v>974</v>
      </c>
      <c r="M25" s="0" t="s">
        <v>973</v>
      </c>
      <c r="N25" s="0" t="s">
        <v>974</v>
      </c>
      <c r="O25" s="0" t="s">
        <v>975</v>
      </c>
      <c r="P25" s="0" t="s">
        <v>976</v>
      </c>
      <c r="Q25" s="0" t="s">
        <v>1128</v>
      </c>
      <c r="R25" s="0" t="s">
        <v>970</v>
      </c>
      <c r="S25" s="0" t="s">
        <v>974</v>
      </c>
    </row>
    <row r="26" customFormat="false" ht="13.8" hidden="false" customHeight="false" outlineLevel="0" collapsed="false">
      <c r="A26" s="0" t="n">
        <v>1782</v>
      </c>
      <c r="B26" s="0" t="s">
        <v>1129</v>
      </c>
      <c r="C26" s="0" t="s">
        <v>1130</v>
      </c>
      <c r="E26" s="0" t="n">
        <f aca="false">IF(J25=J26,E25+10,0)</f>
        <v>40</v>
      </c>
      <c r="F26" s="0" t="s">
        <v>1131</v>
      </c>
      <c r="G26" s="0" t="s">
        <v>1132</v>
      </c>
      <c r="H26" s="0" t="s">
        <v>1133</v>
      </c>
      <c r="I26" s="0" t="s">
        <v>1033</v>
      </c>
      <c r="J26" s="0" t="s">
        <v>1111</v>
      </c>
      <c r="K26" s="0" t="s">
        <v>971</v>
      </c>
      <c r="L26" s="0" t="s">
        <v>974</v>
      </c>
      <c r="M26" s="0" t="s">
        <v>973</v>
      </c>
      <c r="N26" s="0" t="s">
        <v>974</v>
      </c>
      <c r="O26" s="0" t="s">
        <v>975</v>
      </c>
      <c r="P26" s="0" t="s">
        <v>976</v>
      </c>
      <c r="Q26" s="0" t="s">
        <v>973</v>
      </c>
      <c r="R26" s="0" t="s">
        <v>970</v>
      </c>
      <c r="S26" s="0" t="s">
        <v>974</v>
      </c>
    </row>
    <row r="27" customFormat="false" ht="13.8" hidden="false" customHeight="false" outlineLevel="0" collapsed="false">
      <c r="A27" s="0" t="n">
        <v>1783</v>
      </c>
      <c r="B27" s="0" t="s">
        <v>1134</v>
      </c>
      <c r="C27" s="0" t="s">
        <v>998</v>
      </c>
      <c r="E27" s="0" t="n">
        <f aca="false">IF(J26=J27,E26+10,0)</f>
        <v>50</v>
      </c>
      <c r="F27" s="0" t="s">
        <v>1135</v>
      </c>
      <c r="G27" s="0" t="s">
        <v>1136</v>
      </c>
      <c r="H27" s="0" t="s">
        <v>1137</v>
      </c>
      <c r="I27" s="0" t="s">
        <v>1002</v>
      </c>
      <c r="J27" s="0" t="s">
        <v>1111</v>
      </c>
      <c r="K27" s="0" t="s">
        <v>971</v>
      </c>
      <c r="L27" s="0" t="s">
        <v>1082</v>
      </c>
      <c r="M27" s="0" t="s">
        <v>973</v>
      </c>
      <c r="N27" s="0" t="s">
        <v>974</v>
      </c>
      <c r="O27" s="0" t="s">
        <v>975</v>
      </c>
      <c r="P27" s="0" t="s">
        <v>976</v>
      </c>
      <c r="Q27" s="0" t="s">
        <v>1046</v>
      </c>
      <c r="R27" s="0" t="s">
        <v>970</v>
      </c>
      <c r="S27" s="0" t="s">
        <v>974</v>
      </c>
    </row>
    <row r="28" customFormat="false" ht="13.8" hidden="false" customHeight="false" outlineLevel="0" collapsed="false">
      <c r="A28" s="0" t="n">
        <v>1784</v>
      </c>
      <c r="B28" s="0" t="s">
        <v>1138</v>
      </c>
      <c r="C28" s="0" t="s">
        <v>1139</v>
      </c>
      <c r="E28" s="0" t="n">
        <f aca="false">IF(J27=J28,E27+10,0)</f>
        <v>60</v>
      </c>
      <c r="F28" s="0" t="s">
        <v>1140</v>
      </c>
      <c r="G28" s="0" t="s">
        <v>1141</v>
      </c>
      <c r="H28" s="0" t="s">
        <v>1142</v>
      </c>
      <c r="I28" s="0" t="s">
        <v>1143</v>
      </c>
      <c r="J28" s="0" t="s">
        <v>1111</v>
      </c>
      <c r="K28" s="0" t="s">
        <v>971</v>
      </c>
      <c r="L28" s="0" t="s">
        <v>1144</v>
      </c>
      <c r="M28" s="0" t="s">
        <v>973</v>
      </c>
      <c r="N28" s="0" t="s">
        <v>974</v>
      </c>
      <c r="O28" s="0" t="s">
        <v>975</v>
      </c>
      <c r="P28" s="0" t="s">
        <v>976</v>
      </c>
      <c r="Q28" s="0" t="s">
        <v>982</v>
      </c>
      <c r="R28" s="0" t="s">
        <v>970</v>
      </c>
      <c r="S28" s="0" t="s">
        <v>974</v>
      </c>
    </row>
    <row r="29" customFormat="false" ht="13.8" hidden="false" customHeight="false" outlineLevel="0" collapsed="false">
      <c r="A29" s="0" t="n">
        <v>1785</v>
      </c>
      <c r="B29" s="0" t="s">
        <v>1145</v>
      </c>
      <c r="C29" s="0" t="s">
        <v>1146</v>
      </c>
      <c r="E29" s="0" t="n">
        <f aca="false">IF(J28=J29,E28+10,0)</f>
        <v>70</v>
      </c>
      <c r="F29" s="0" t="s">
        <v>1147</v>
      </c>
      <c r="G29" s="0" t="s">
        <v>1148</v>
      </c>
      <c r="H29" s="0" t="s">
        <v>1149</v>
      </c>
      <c r="I29" s="0" t="s">
        <v>1150</v>
      </c>
      <c r="J29" s="0" t="s">
        <v>1111</v>
      </c>
      <c r="K29" s="0" t="s">
        <v>971</v>
      </c>
      <c r="L29" s="0" t="s">
        <v>1151</v>
      </c>
      <c r="M29" s="0" t="s">
        <v>973</v>
      </c>
      <c r="N29" s="0" t="s">
        <v>974</v>
      </c>
      <c r="O29" s="0" t="s">
        <v>975</v>
      </c>
      <c r="P29" s="0" t="s">
        <v>976</v>
      </c>
      <c r="Q29" s="0" t="s">
        <v>1046</v>
      </c>
      <c r="R29" s="0" t="s">
        <v>970</v>
      </c>
      <c r="S29" s="0" t="s">
        <v>974</v>
      </c>
    </row>
    <row r="30" customFormat="false" ht="13.8" hidden="false" customHeight="false" outlineLevel="0" collapsed="false">
      <c r="A30" s="0" t="n">
        <v>1786</v>
      </c>
      <c r="B30" s="0" t="s">
        <v>1152</v>
      </c>
      <c r="C30" s="0" t="s">
        <v>1096</v>
      </c>
      <c r="E30" s="0" t="n">
        <f aca="false">IF(J29=J30,E29+10,0)</f>
        <v>80</v>
      </c>
      <c r="F30" s="0" t="s">
        <v>1153</v>
      </c>
      <c r="G30" s="0" t="s">
        <v>1154</v>
      </c>
      <c r="H30" s="0" t="s">
        <v>1155</v>
      </c>
      <c r="I30" s="0" t="s">
        <v>1100</v>
      </c>
      <c r="J30" s="0" t="s">
        <v>1111</v>
      </c>
      <c r="K30" s="0" t="s">
        <v>971</v>
      </c>
      <c r="L30" s="0" t="s">
        <v>974</v>
      </c>
      <c r="M30" s="0" t="s">
        <v>973</v>
      </c>
      <c r="N30" s="0" t="s">
        <v>974</v>
      </c>
      <c r="O30" s="0" t="s">
        <v>975</v>
      </c>
      <c r="P30" s="0" t="s">
        <v>976</v>
      </c>
      <c r="Q30" s="0" t="s">
        <v>1082</v>
      </c>
      <c r="R30" s="0" t="s">
        <v>1046</v>
      </c>
      <c r="S30" s="0" t="s">
        <v>974</v>
      </c>
    </row>
    <row r="31" customFormat="false" ht="13.8" hidden="false" customHeight="false" outlineLevel="0" collapsed="false">
      <c r="A31" s="0" t="n">
        <v>1787</v>
      </c>
      <c r="B31" s="0" t="s">
        <v>1156</v>
      </c>
      <c r="C31" s="0" t="s">
        <v>1157</v>
      </c>
      <c r="E31" s="0" t="n">
        <f aca="false">IF(J30=J31,E30+10,0)</f>
        <v>90</v>
      </c>
      <c r="F31" s="0" t="s">
        <v>1158</v>
      </c>
      <c r="G31" s="0" t="s">
        <v>1159</v>
      </c>
      <c r="H31" s="0" t="s">
        <v>1160</v>
      </c>
      <c r="I31" s="0" t="s">
        <v>1161</v>
      </c>
      <c r="J31" s="0" t="s">
        <v>1111</v>
      </c>
      <c r="K31" s="0" t="s">
        <v>971</v>
      </c>
      <c r="L31" s="0" t="s">
        <v>974</v>
      </c>
      <c r="M31" s="0" t="s">
        <v>973</v>
      </c>
      <c r="N31" s="0" t="s">
        <v>974</v>
      </c>
      <c r="O31" s="0" t="s">
        <v>975</v>
      </c>
      <c r="P31" s="0" t="s">
        <v>976</v>
      </c>
      <c r="Q31" s="0" t="s">
        <v>973</v>
      </c>
      <c r="R31" s="0" t="s">
        <v>1046</v>
      </c>
      <c r="S31" s="0" t="s">
        <v>974</v>
      </c>
    </row>
    <row r="32" customFormat="false" ht="13.8" hidden="false" customHeight="false" outlineLevel="0" collapsed="false">
      <c r="A32" s="0" t="n">
        <v>1788</v>
      </c>
      <c r="B32" s="0" t="s">
        <v>1162</v>
      </c>
      <c r="C32" s="0" t="s">
        <v>1163</v>
      </c>
      <c r="E32" s="0" t="n">
        <f aca="false">IF(J31=J32,E31+10,0)</f>
        <v>100</v>
      </c>
      <c r="F32" s="0" t="s">
        <v>1164</v>
      </c>
      <c r="G32" s="0" t="s">
        <v>1165</v>
      </c>
      <c r="H32" s="0" t="s">
        <v>1166</v>
      </c>
      <c r="I32" s="0" t="s">
        <v>1167</v>
      </c>
      <c r="J32" s="0" t="s">
        <v>1111</v>
      </c>
      <c r="K32" s="0" t="s">
        <v>1168</v>
      </c>
      <c r="L32" s="0" t="s">
        <v>974</v>
      </c>
      <c r="M32" s="0" t="s">
        <v>973</v>
      </c>
      <c r="N32" s="0" t="s">
        <v>974</v>
      </c>
      <c r="O32" s="0" t="s">
        <v>975</v>
      </c>
      <c r="P32" s="0" t="s">
        <v>976</v>
      </c>
      <c r="Q32" s="0" t="s">
        <v>1169</v>
      </c>
      <c r="R32" s="0" t="s">
        <v>970</v>
      </c>
      <c r="S32" s="0" t="s">
        <v>974</v>
      </c>
    </row>
    <row r="33" customFormat="false" ht="13.8" hidden="false" customHeight="false" outlineLevel="0" collapsed="false">
      <c r="A33" s="0" t="n">
        <v>1789</v>
      </c>
      <c r="B33" s="0" t="s">
        <v>1170</v>
      </c>
      <c r="C33" s="0" t="s">
        <v>1171</v>
      </c>
      <c r="E33" s="0" t="n">
        <f aca="false">IF(J32=J33,E32+10,0)</f>
        <v>110</v>
      </c>
      <c r="F33" s="0" t="s">
        <v>1172</v>
      </c>
      <c r="G33" s="0" t="s">
        <v>1173</v>
      </c>
      <c r="H33" s="0" t="s">
        <v>1174</v>
      </c>
      <c r="I33" s="0" t="s">
        <v>1175</v>
      </c>
      <c r="J33" s="0" t="s">
        <v>1111</v>
      </c>
      <c r="K33" s="0" t="s">
        <v>971</v>
      </c>
      <c r="L33" s="0" t="s">
        <v>974</v>
      </c>
      <c r="M33" s="0" t="s">
        <v>973</v>
      </c>
      <c r="N33" s="0" t="s">
        <v>974</v>
      </c>
      <c r="O33" s="0" t="s">
        <v>975</v>
      </c>
      <c r="P33" s="0" t="s">
        <v>976</v>
      </c>
      <c r="Q33" s="0" t="s">
        <v>1082</v>
      </c>
      <c r="R33" s="0" t="s">
        <v>1046</v>
      </c>
      <c r="S33" s="0" t="s">
        <v>974</v>
      </c>
    </row>
    <row r="34" customFormat="false" ht="13.8" hidden="false" customHeight="false" outlineLevel="0" collapsed="false">
      <c r="A34" s="0" t="n">
        <v>1790</v>
      </c>
      <c r="B34" s="0" t="s">
        <v>1176</v>
      </c>
      <c r="C34" s="0" t="s">
        <v>1048</v>
      </c>
      <c r="E34" s="0" t="n">
        <f aca="false">IF(J33=J34,E33+10,0)</f>
        <v>0</v>
      </c>
      <c r="F34" s="0" t="s">
        <v>1177</v>
      </c>
      <c r="G34" s="0" t="s">
        <v>1178</v>
      </c>
      <c r="H34" s="0" t="s">
        <v>1179</v>
      </c>
      <c r="I34" s="0" t="s">
        <v>1052</v>
      </c>
      <c r="J34" s="0" t="s">
        <v>1180</v>
      </c>
      <c r="K34" s="0" t="s">
        <v>971</v>
      </c>
      <c r="L34" s="0" t="s">
        <v>1181</v>
      </c>
      <c r="M34" s="0" t="s">
        <v>973</v>
      </c>
      <c r="N34" s="0" t="s">
        <v>974</v>
      </c>
      <c r="O34" s="0" t="s">
        <v>975</v>
      </c>
      <c r="P34" s="0" t="s">
        <v>976</v>
      </c>
      <c r="Q34" s="0" t="s">
        <v>974</v>
      </c>
      <c r="R34" s="0" t="s">
        <v>970</v>
      </c>
      <c r="S34" s="0" t="s">
        <v>974</v>
      </c>
    </row>
    <row r="35" customFormat="false" ht="13.8" hidden="false" customHeight="false" outlineLevel="0" collapsed="false">
      <c r="A35" s="0" t="n">
        <v>1791</v>
      </c>
      <c r="B35" s="0" t="s">
        <v>1182</v>
      </c>
      <c r="C35" s="0" t="s">
        <v>978</v>
      </c>
      <c r="E35" s="0" t="n">
        <f aca="false">IF(J34=J35,E34+10,0)</f>
        <v>10</v>
      </c>
      <c r="F35" s="0" t="s">
        <v>1183</v>
      </c>
      <c r="G35" s="0" t="s">
        <v>1184</v>
      </c>
      <c r="H35" s="0" t="s">
        <v>1185</v>
      </c>
      <c r="I35" s="0" t="s">
        <v>982</v>
      </c>
      <c r="J35" s="0" t="s">
        <v>1180</v>
      </c>
      <c r="K35" s="0" t="s">
        <v>971</v>
      </c>
      <c r="L35" s="0" t="s">
        <v>1186</v>
      </c>
      <c r="M35" s="0" t="s">
        <v>973</v>
      </c>
      <c r="N35" s="0" t="s">
        <v>974</v>
      </c>
      <c r="O35" s="0" t="s">
        <v>975</v>
      </c>
      <c r="P35" s="0" t="s">
        <v>976</v>
      </c>
      <c r="Q35" s="0" t="s">
        <v>974</v>
      </c>
      <c r="R35" s="0" t="s">
        <v>970</v>
      </c>
      <c r="S35" s="0" t="s">
        <v>974</v>
      </c>
    </row>
    <row r="36" customFormat="false" ht="13.8" hidden="false" customHeight="false" outlineLevel="0" collapsed="false">
      <c r="A36" s="0" t="n">
        <v>1792</v>
      </c>
      <c r="B36" s="0" t="s">
        <v>1187</v>
      </c>
      <c r="C36" s="0" t="s">
        <v>991</v>
      </c>
      <c r="E36" s="0" t="n">
        <f aca="false">IF(J35=J36,E35+10,0)</f>
        <v>20</v>
      </c>
      <c r="F36" s="0" t="s">
        <v>1188</v>
      </c>
      <c r="G36" s="0" t="s">
        <v>1189</v>
      </c>
      <c r="H36" s="0" t="s">
        <v>1190</v>
      </c>
      <c r="I36" s="0" t="s">
        <v>995</v>
      </c>
      <c r="J36" s="0" t="s">
        <v>1180</v>
      </c>
      <c r="K36" s="0" t="s">
        <v>971</v>
      </c>
      <c r="L36" s="0" t="s">
        <v>1181</v>
      </c>
      <c r="M36" s="0" t="s">
        <v>973</v>
      </c>
      <c r="N36" s="0" t="s">
        <v>974</v>
      </c>
      <c r="O36" s="0" t="s">
        <v>975</v>
      </c>
      <c r="P36" s="0" t="s">
        <v>976</v>
      </c>
      <c r="Q36" s="0" t="s">
        <v>974</v>
      </c>
      <c r="R36" s="0" t="s">
        <v>970</v>
      </c>
      <c r="S36" s="0" t="s">
        <v>974</v>
      </c>
    </row>
    <row r="37" customFormat="false" ht="13.8" hidden="false" customHeight="false" outlineLevel="0" collapsed="false">
      <c r="A37" s="0" t="n">
        <v>1793</v>
      </c>
      <c r="B37" s="0" t="s">
        <v>1191</v>
      </c>
      <c r="C37" s="0" t="s">
        <v>998</v>
      </c>
      <c r="E37" s="0" t="n">
        <f aca="false">IF(J36=J37,E36+10,0)</f>
        <v>30</v>
      </c>
      <c r="F37" s="0" t="s">
        <v>1192</v>
      </c>
      <c r="G37" s="0" t="s">
        <v>1193</v>
      </c>
      <c r="H37" s="0" t="s">
        <v>1194</v>
      </c>
      <c r="I37" s="0" t="s">
        <v>1002</v>
      </c>
      <c r="J37" s="0" t="s">
        <v>1180</v>
      </c>
      <c r="K37" s="0" t="s">
        <v>971</v>
      </c>
      <c r="L37" s="0" t="s">
        <v>1195</v>
      </c>
      <c r="M37" s="0" t="s">
        <v>973</v>
      </c>
      <c r="N37" s="0" t="s">
        <v>974</v>
      </c>
      <c r="O37" s="0" t="s">
        <v>975</v>
      </c>
      <c r="P37" s="0" t="s">
        <v>976</v>
      </c>
      <c r="Q37" s="0" t="s">
        <v>974</v>
      </c>
      <c r="R37" s="0" t="s">
        <v>970</v>
      </c>
      <c r="S37" s="0" t="s">
        <v>974</v>
      </c>
    </row>
    <row r="38" customFormat="false" ht="13.8" hidden="false" customHeight="false" outlineLevel="0" collapsed="false">
      <c r="A38" s="0" t="n">
        <v>1794</v>
      </c>
      <c r="B38" s="0" t="s">
        <v>1196</v>
      </c>
      <c r="C38" s="0" t="s">
        <v>1197</v>
      </c>
      <c r="E38" s="0" t="n">
        <f aca="false">IF(J37=J38,E37+10,0)</f>
        <v>40</v>
      </c>
      <c r="F38" s="0" t="s">
        <v>1198</v>
      </c>
      <c r="G38" s="0" t="s">
        <v>1199</v>
      </c>
      <c r="H38" s="0" t="s">
        <v>1200</v>
      </c>
      <c r="I38" s="0" t="s">
        <v>1201</v>
      </c>
      <c r="J38" s="0" t="s">
        <v>1180</v>
      </c>
      <c r="K38" s="0" t="s">
        <v>971</v>
      </c>
      <c r="L38" s="0" t="s">
        <v>974</v>
      </c>
      <c r="M38" s="0" t="s">
        <v>973</v>
      </c>
      <c r="N38" s="0" t="s">
        <v>974</v>
      </c>
      <c r="O38" s="0" t="s">
        <v>975</v>
      </c>
      <c r="P38" s="0" t="s">
        <v>976</v>
      </c>
      <c r="Q38" s="0" t="s">
        <v>974</v>
      </c>
      <c r="R38" s="0" t="s">
        <v>970</v>
      </c>
      <c r="S38" s="0" t="s">
        <v>974</v>
      </c>
    </row>
    <row r="39" customFormat="false" ht="13.8" hidden="false" customHeight="false" outlineLevel="0" collapsed="false">
      <c r="A39" s="0" t="n">
        <v>1795</v>
      </c>
      <c r="B39" s="0" t="s">
        <v>1202</v>
      </c>
      <c r="C39" s="0" t="s">
        <v>1203</v>
      </c>
      <c r="E39" s="0" t="n">
        <f aca="false">IF(J38=J39,E38+10,0)</f>
        <v>50</v>
      </c>
      <c r="F39" s="0" t="s">
        <v>1204</v>
      </c>
      <c r="G39" s="0" t="s">
        <v>1205</v>
      </c>
      <c r="H39" s="0" t="s">
        <v>1206</v>
      </c>
      <c r="I39" s="0" t="s">
        <v>1207</v>
      </c>
      <c r="J39" s="0" t="s">
        <v>1180</v>
      </c>
      <c r="K39" s="0" t="s">
        <v>971</v>
      </c>
      <c r="L39" s="0" t="s">
        <v>974</v>
      </c>
      <c r="M39" s="0" t="s">
        <v>973</v>
      </c>
      <c r="N39" s="0" t="s">
        <v>974</v>
      </c>
      <c r="O39" s="0" t="s">
        <v>975</v>
      </c>
      <c r="P39" s="0" t="s">
        <v>976</v>
      </c>
      <c r="Q39" s="0" t="s">
        <v>1169</v>
      </c>
      <c r="R39" s="0" t="s">
        <v>970</v>
      </c>
      <c r="S39" s="0" t="s">
        <v>974</v>
      </c>
    </row>
    <row r="40" customFormat="false" ht="13.8" hidden="false" customHeight="false" outlineLevel="0" collapsed="false">
      <c r="A40" s="0" t="n">
        <v>1796</v>
      </c>
      <c r="B40" s="0" t="s">
        <v>1208</v>
      </c>
      <c r="C40" s="0" t="s">
        <v>1209</v>
      </c>
      <c r="E40" s="0" t="n">
        <f aca="false">IF(J39=J40,E39+10,0)</f>
        <v>60</v>
      </c>
      <c r="F40" s="0" t="s">
        <v>1210</v>
      </c>
      <c r="G40" s="0" t="s">
        <v>1211</v>
      </c>
      <c r="H40" s="0" t="s">
        <v>1212</v>
      </c>
      <c r="I40" s="0" t="s">
        <v>1213</v>
      </c>
      <c r="J40" s="0" t="s">
        <v>1180</v>
      </c>
      <c r="K40" s="0" t="s">
        <v>971</v>
      </c>
      <c r="L40" s="0" t="s">
        <v>974</v>
      </c>
      <c r="M40" s="0" t="s">
        <v>973</v>
      </c>
      <c r="N40" s="0" t="s">
        <v>974</v>
      </c>
      <c r="O40" s="0" t="s">
        <v>975</v>
      </c>
      <c r="P40" s="0" t="s">
        <v>976</v>
      </c>
      <c r="Q40" s="0" t="s">
        <v>1214</v>
      </c>
      <c r="R40" s="0" t="s">
        <v>970</v>
      </c>
      <c r="S40" s="0" t="s">
        <v>974</v>
      </c>
    </row>
    <row r="41" customFormat="false" ht="13.8" hidden="false" customHeight="false" outlineLevel="0" collapsed="false">
      <c r="A41" s="0" t="n">
        <v>1797</v>
      </c>
      <c r="B41" s="0" t="s">
        <v>1215</v>
      </c>
      <c r="C41" s="0" t="s">
        <v>1216</v>
      </c>
      <c r="E41" s="0" t="n">
        <f aca="false">IF(J40=J41,E40+10,0)</f>
        <v>70</v>
      </c>
      <c r="F41" s="0" t="s">
        <v>1217</v>
      </c>
      <c r="G41" s="0" t="s">
        <v>1218</v>
      </c>
      <c r="H41" s="0" t="s">
        <v>1219</v>
      </c>
      <c r="I41" s="0" t="s">
        <v>1213</v>
      </c>
      <c r="J41" s="0" t="s">
        <v>1180</v>
      </c>
      <c r="K41" s="0" t="s">
        <v>971</v>
      </c>
      <c r="L41" s="0" t="s">
        <v>974</v>
      </c>
      <c r="M41" s="0" t="s">
        <v>973</v>
      </c>
      <c r="N41" s="0" t="s">
        <v>974</v>
      </c>
      <c r="O41" s="0" t="s">
        <v>975</v>
      </c>
      <c r="P41" s="0" t="s">
        <v>976</v>
      </c>
      <c r="Q41" s="0" t="s">
        <v>970</v>
      </c>
      <c r="R41" s="0" t="s">
        <v>970</v>
      </c>
      <c r="S41" s="0" t="s">
        <v>974</v>
      </c>
    </row>
    <row r="42" customFormat="false" ht="13.8" hidden="false" customHeight="false" outlineLevel="0" collapsed="false">
      <c r="A42" s="0" t="n">
        <v>1798</v>
      </c>
      <c r="B42" s="0" t="s">
        <v>1220</v>
      </c>
      <c r="C42" s="0" t="s">
        <v>1221</v>
      </c>
      <c r="E42" s="0" t="n">
        <f aca="false">IF(J41=J42,E41+10,0)</f>
        <v>80</v>
      </c>
      <c r="F42" s="0" t="s">
        <v>1222</v>
      </c>
      <c r="G42" s="0" t="s">
        <v>1223</v>
      </c>
      <c r="H42" s="0" t="s">
        <v>1224</v>
      </c>
      <c r="I42" s="0" t="s">
        <v>1088</v>
      </c>
      <c r="J42" s="0" t="s">
        <v>1180</v>
      </c>
      <c r="K42" s="0" t="s">
        <v>971</v>
      </c>
      <c r="L42" s="0" t="s">
        <v>974</v>
      </c>
      <c r="M42" s="0" t="s">
        <v>973</v>
      </c>
      <c r="N42" s="0" t="s">
        <v>974</v>
      </c>
      <c r="O42" s="0" t="s">
        <v>975</v>
      </c>
      <c r="P42" s="0" t="s">
        <v>976</v>
      </c>
      <c r="Q42" s="0" t="s">
        <v>1225</v>
      </c>
      <c r="R42" s="0" t="s">
        <v>1046</v>
      </c>
      <c r="S42" s="0" t="s">
        <v>974</v>
      </c>
    </row>
    <row r="43" customFormat="false" ht="13.8" hidden="false" customHeight="false" outlineLevel="0" collapsed="false">
      <c r="A43" s="0" t="n">
        <v>1799</v>
      </c>
      <c r="B43" s="0" t="s">
        <v>1226</v>
      </c>
      <c r="C43" s="0" t="s">
        <v>1227</v>
      </c>
      <c r="E43" s="0" t="n">
        <f aca="false">IF(J42=J43,E42+10,0)</f>
        <v>90</v>
      </c>
      <c r="F43" s="0" t="s">
        <v>1228</v>
      </c>
      <c r="G43" s="0" t="s">
        <v>1229</v>
      </c>
      <c r="H43" s="0" t="s">
        <v>1230</v>
      </c>
      <c r="I43" s="0" t="s">
        <v>1231</v>
      </c>
      <c r="J43" s="0" t="s">
        <v>1180</v>
      </c>
      <c r="K43" s="0" t="s">
        <v>971</v>
      </c>
      <c r="L43" s="0" t="s">
        <v>970</v>
      </c>
      <c r="M43" s="0" t="s">
        <v>973</v>
      </c>
      <c r="N43" s="0" t="s">
        <v>974</v>
      </c>
      <c r="O43" s="0" t="s">
        <v>975</v>
      </c>
      <c r="P43" s="0" t="s">
        <v>976</v>
      </c>
      <c r="Q43" s="0" t="s">
        <v>1232</v>
      </c>
      <c r="R43" s="0" t="s">
        <v>1067</v>
      </c>
      <c r="S43" s="0" t="s">
        <v>974</v>
      </c>
    </row>
    <row r="44" customFormat="false" ht="13.8" hidden="false" customHeight="false" outlineLevel="0" collapsed="false">
      <c r="A44" s="0" t="n">
        <v>1800</v>
      </c>
      <c r="B44" s="0" t="s">
        <v>1233</v>
      </c>
      <c r="C44" s="0" t="s">
        <v>1234</v>
      </c>
      <c r="E44" s="0" t="n">
        <f aca="false">IF(J43=J44,E43+10,0)</f>
        <v>100</v>
      </c>
      <c r="F44" s="0" t="s">
        <v>1235</v>
      </c>
      <c r="G44" s="0" t="s">
        <v>1236</v>
      </c>
      <c r="H44" s="0" t="s">
        <v>1237</v>
      </c>
      <c r="I44" s="0" t="s">
        <v>1238</v>
      </c>
      <c r="J44" s="0" t="s">
        <v>1180</v>
      </c>
      <c r="K44" s="0" t="s">
        <v>971</v>
      </c>
      <c r="L44" s="0" t="s">
        <v>1059</v>
      </c>
      <c r="M44" s="0" t="s">
        <v>973</v>
      </c>
      <c r="N44" s="0" t="s">
        <v>974</v>
      </c>
      <c r="O44" s="0" t="s">
        <v>975</v>
      </c>
      <c r="P44" s="0" t="s">
        <v>976</v>
      </c>
      <c r="Q44" s="0" t="s">
        <v>974</v>
      </c>
      <c r="R44" s="0" t="s">
        <v>970</v>
      </c>
      <c r="S44" s="0" t="s">
        <v>974</v>
      </c>
    </row>
    <row r="45" customFormat="false" ht="13.8" hidden="false" customHeight="false" outlineLevel="0" collapsed="false">
      <c r="A45" s="0" t="n">
        <v>1801</v>
      </c>
      <c r="B45" s="0" t="s">
        <v>1239</v>
      </c>
      <c r="C45" s="0" t="s">
        <v>1096</v>
      </c>
      <c r="E45" s="0" t="n">
        <f aca="false">IF(J44=J45,E44+10,0)</f>
        <v>110</v>
      </c>
      <c r="F45" s="0" t="s">
        <v>1240</v>
      </c>
      <c r="G45" s="0" t="s">
        <v>1241</v>
      </c>
      <c r="H45" s="0" t="s">
        <v>1242</v>
      </c>
      <c r="I45" s="0" t="s">
        <v>1100</v>
      </c>
      <c r="J45" s="0" t="s">
        <v>1180</v>
      </c>
      <c r="K45" s="0" t="s">
        <v>971</v>
      </c>
      <c r="L45" s="0" t="s">
        <v>974</v>
      </c>
      <c r="M45" s="0" t="s">
        <v>973</v>
      </c>
      <c r="N45" s="0" t="s">
        <v>974</v>
      </c>
      <c r="O45" s="0" t="s">
        <v>975</v>
      </c>
      <c r="P45" s="0" t="s">
        <v>976</v>
      </c>
      <c r="Q45" s="0" t="s">
        <v>1243</v>
      </c>
      <c r="R45" s="0" t="s">
        <v>1046</v>
      </c>
      <c r="S45" s="0" t="s">
        <v>974</v>
      </c>
    </row>
    <row r="46" customFormat="false" ht="13.8" hidden="false" customHeight="false" outlineLevel="0" collapsed="false">
      <c r="A46" s="0" t="n">
        <v>1802</v>
      </c>
      <c r="B46" s="0" t="s">
        <v>1244</v>
      </c>
      <c r="C46" s="0" t="s">
        <v>1245</v>
      </c>
      <c r="E46" s="0" t="n">
        <f aca="false">IF(J45=J46,E45+10,0)</f>
        <v>120</v>
      </c>
      <c r="F46" s="0" t="s">
        <v>1246</v>
      </c>
      <c r="G46" s="0" t="s">
        <v>1247</v>
      </c>
      <c r="H46" s="0" t="s">
        <v>1248</v>
      </c>
      <c r="I46" s="0" t="s">
        <v>1249</v>
      </c>
      <c r="J46" s="0" t="s">
        <v>1180</v>
      </c>
      <c r="K46" s="0" t="s">
        <v>971</v>
      </c>
      <c r="L46" s="0" t="s">
        <v>974</v>
      </c>
      <c r="M46" s="0" t="s">
        <v>973</v>
      </c>
      <c r="N46" s="0" t="s">
        <v>974</v>
      </c>
      <c r="O46" s="0" t="s">
        <v>975</v>
      </c>
      <c r="P46" s="0" t="s">
        <v>976</v>
      </c>
      <c r="Q46" s="0" t="s">
        <v>1059</v>
      </c>
      <c r="R46" s="0" t="s">
        <v>1046</v>
      </c>
      <c r="S46" s="0" t="s">
        <v>974</v>
      </c>
    </row>
    <row r="47" customFormat="false" ht="13.8" hidden="false" customHeight="false" outlineLevel="0" collapsed="false">
      <c r="A47" s="0" t="n">
        <v>1803</v>
      </c>
      <c r="B47" s="0" t="s">
        <v>1250</v>
      </c>
      <c r="C47" s="0" t="s">
        <v>991</v>
      </c>
      <c r="E47" s="0" t="n">
        <f aca="false">IF(J46=J47,E46+10,0)</f>
        <v>0</v>
      </c>
      <c r="F47" s="0" t="s">
        <v>1251</v>
      </c>
      <c r="G47" s="0" t="s">
        <v>1252</v>
      </c>
      <c r="H47" s="0" t="s">
        <v>1253</v>
      </c>
      <c r="I47" s="0" t="s">
        <v>995</v>
      </c>
      <c r="J47" s="0" t="s">
        <v>1254</v>
      </c>
      <c r="K47" s="0" t="s">
        <v>1255</v>
      </c>
      <c r="L47" s="0" t="s">
        <v>1256</v>
      </c>
      <c r="M47" s="0" t="s">
        <v>973</v>
      </c>
      <c r="N47" s="0" t="s">
        <v>974</v>
      </c>
      <c r="O47" s="0" t="s">
        <v>975</v>
      </c>
      <c r="P47" s="0" t="s">
        <v>976</v>
      </c>
      <c r="Q47" s="0" t="s">
        <v>974</v>
      </c>
      <c r="R47" s="0" t="s">
        <v>970</v>
      </c>
      <c r="S47" s="0" t="s">
        <v>974</v>
      </c>
    </row>
    <row r="48" customFormat="false" ht="13.8" hidden="false" customHeight="false" outlineLevel="0" collapsed="false">
      <c r="A48" s="0" t="n">
        <v>1804</v>
      </c>
      <c r="B48" s="0" t="s">
        <v>1257</v>
      </c>
      <c r="C48" s="0" t="s">
        <v>1258</v>
      </c>
      <c r="E48" s="0" t="n">
        <f aca="false">IF(J47=J48,E47+10,0)</f>
        <v>10</v>
      </c>
      <c r="F48" s="0" t="s">
        <v>1259</v>
      </c>
      <c r="G48" s="0" t="s">
        <v>1260</v>
      </c>
      <c r="H48" s="0" t="s">
        <v>1261</v>
      </c>
      <c r="I48" s="0" t="s">
        <v>1262</v>
      </c>
      <c r="J48" s="0" t="s">
        <v>1254</v>
      </c>
      <c r="K48" s="0" t="s">
        <v>1263</v>
      </c>
      <c r="L48" s="0" t="s">
        <v>1264</v>
      </c>
      <c r="M48" s="0" t="s">
        <v>973</v>
      </c>
      <c r="N48" s="0" t="s">
        <v>974</v>
      </c>
      <c r="O48" s="0" t="s">
        <v>975</v>
      </c>
      <c r="P48" s="0" t="s">
        <v>976</v>
      </c>
      <c r="Q48" s="0" t="s">
        <v>1265</v>
      </c>
      <c r="R48" s="0" t="s">
        <v>970</v>
      </c>
      <c r="S48" s="0" t="s">
        <v>974</v>
      </c>
    </row>
    <row r="49" customFormat="false" ht="13.8" hidden="false" customHeight="false" outlineLevel="0" collapsed="false">
      <c r="A49" s="0" t="n">
        <v>1805</v>
      </c>
      <c r="B49" s="0" t="s">
        <v>1266</v>
      </c>
      <c r="C49" s="0" t="s">
        <v>1258</v>
      </c>
      <c r="E49" s="0" t="n">
        <f aca="false">IF(J48=J49,E48+10,0)</f>
        <v>20</v>
      </c>
      <c r="F49" s="0" t="s">
        <v>1267</v>
      </c>
      <c r="G49" s="0" t="s">
        <v>1268</v>
      </c>
      <c r="H49" s="0" t="s">
        <v>1269</v>
      </c>
      <c r="I49" s="0" t="s">
        <v>1262</v>
      </c>
      <c r="J49" s="0" t="s">
        <v>1254</v>
      </c>
      <c r="K49" s="0" t="s">
        <v>1270</v>
      </c>
      <c r="L49" s="0" t="s">
        <v>974</v>
      </c>
      <c r="M49" s="0" t="s">
        <v>973</v>
      </c>
      <c r="N49" s="0" t="s">
        <v>974</v>
      </c>
      <c r="O49" s="0" t="s">
        <v>975</v>
      </c>
      <c r="P49" s="0" t="s">
        <v>976</v>
      </c>
      <c r="Q49" s="0" t="s">
        <v>1256</v>
      </c>
      <c r="R49" s="0" t="s">
        <v>970</v>
      </c>
      <c r="S49" s="0" t="s">
        <v>974</v>
      </c>
    </row>
    <row r="50" customFormat="false" ht="13.8" hidden="false" customHeight="false" outlineLevel="0" collapsed="false">
      <c r="A50" s="0" t="n">
        <v>1806</v>
      </c>
      <c r="B50" s="0" t="s">
        <v>1271</v>
      </c>
      <c r="C50" s="0" t="s">
        <v>1272</v>
      </c>
      <c r="E50" s="0" t="n">
        <f aca="false">IF(J49=J50,E49+10,0)</f>
        <v>30</v>
      </c>
      <c r="F50" s="0" t="s">
        <v>1273</v>
      </c>
      <c r="G50" s="0" t="s">
        <v>1274</v>
      </c>
      <c r="H50" s="0" t="s">
        <v>1275</v>
      </c>
      <c r="I50" s="0" t="s">
        <v>1052</v>
      </c>
      <c r="J50" s="0" t="s">
        <v>1254</v>
      </c>
      <c r="K50" s="0" t="s">
        <v>971</v>
      </c>
      <c r="L50" s="0" t="s">
        <v>1276</v>
      </c>
      <c r="M50" s="0" t="s">
        <v>973</v>
      </c>
      <c r="N50" s="0" t="s">
        <v>974</v>
      </c>
      <c r="O50" s="0" t="s">
        <v>975</v>
      </c>
      <c r="P50" s="0" t="s">
        <v>976</v>
      </c>
      <c r="Q50" s="0" t="s">
        <v>974</v>
      </c>
      <c r="R50" s="0" t="s">
        <v>970</v>
      </c>
      <c r="S50" s="0" t="s">
        <v>974</v>
      </c>
    </row>
    <row r="51" customFormat="false" ht="13.8" hidden="false" customHeight="false" outlineLevel="0" collapsed="false">
      <c r="A51" s="0" t="n">
        <v>1807</v>
      </c>
      <c r="B51" s="0" t="s">
        <v>1277</v>
      </c>
      <c r="C51" s="0" t="s">
        <v>1054</v>
      </c>
      <c r="E51" s="0" t="n">
        <f aca="false">IF(J50=J51,E50+10,0)</f>
        <v>40</v>
      </c>
      <c r="F51" s="0" t="s">
        <v>1278</v>
      </c>
      <c r="G51" s="0" t="s">
        <v>1279</v>
      </c>
      <c r="H51" s="0" t="s">
        <v>1280</v>
      </c>
      <c r="I51" s="0" t="s">
        <v>1058</v>
      </c>
      <c r="J51" s="0" t="s">
        <v>1254</v>
      </c>
      <c r="K51" s="0" t="s">
        <v>971</v>
      </c>
      <c r="L51" s="0" t="s">
        <v>974</v>
      </c>
      <c r="M51" s="0" t="s">
        <v>973</v>
      </c>
      <c r="N51" s="0" t="s">
        <v>974</v>
      </c>
      <c r="O51" s="0" t="s">
        <v>975</v>
      </c>
      <c r="P51" s="0" t="s">
        <v>976</v>
      </c>
      <c r="Q51" s="0" t="s">
        <v>1281</v>
      </c>
      <c r="R51" s="0" t="s">
        <v>970</v>
      </c>
      <c r="S51" s="0" t="s">
        <v>974</v>
      </c>
    </row>
    <row r="52" customFormat="false" ht="13.8" hidden="false" customHeight="false" outlineLevel="0" collapsed="false">
      <c r="A52" s="0" t="n">
        <v>1808</v>
      </c>
      <c r="B52" s="0" t="s">
        <v>1282</v>
      </c>
      <c r="C52" s="0" t="s">
        <v>1010</v>
      </c>
      <c r="E52" s="0" t="n">
        <f aca="false">IF(J51=J52,E51+10,0)</f>
        <v>50</v>
      </c>
      <c r="F52" s="0" t="s">
        <v>1283</v>
      </c>
      <c r="G52" s="0" t="s">
        <v>1284</v>
      </c>
      <c r="H52" s="0" t="s">
        <v>1285</v>
      </c>
      <c r="I52" s="0" t="s">
        <v>1014</v>
      </c>
      <c r="J52" s="0" t="s">
        <v>1254</v>
      </c>
      <c r="K52" s="0" t="s">
        <v>971</v>
      </c>
      <c r="L52" s="0" t="s">
        <v>974</v>
      </c>
      <c r="M52" s="0" t="s">
        <v>973</v>
      </c>
      <c r="N52" s="0" t="s">
        <v>974</v>
      </c>
      <c r="O52" s="0" t="s">
        <v>975</v>
      </c>
      <c r="P52" s="0" t="s">
        <v>976</v>
      </c>
      <c r="Q52" s="0" t="s">
        <v>1281</v>
      </c>
      <c r="R52" s="0" t="s">
        <v>1046</v>
      </c>
      <c r="S52" s="0" t="s">
        <v>974</v>
      </c>
    </row>
    <row r="53" customFormat="false" ht="13.8" hidden="false" customHeight="false" outlineLevel="0" collapsed="false">
      <c r="A53" s="0" t="n">
        <v>1809</v>
      </c>
      <c r="B53" s="0" t="s">
        <v>1286</v>
      </c>
      <c r="C53" s="0" t="s">
        <v>1287</v>
      </c>
      <c r="E53" s="0" t="n">
        <f aca="false">IF(J52=J53,E52+10,0)</f>
        <v>60</v>
      </c>
      <c r="F53" s="0" t="s">
        <v>1288</v>
      </c>
      <c r="G53" s="0" t="s">
        <v>1289</v>
      </c>
      <c r="H53" s="0" t="s">
        <v>1290</v>
      </c>
      <c r="I53" s="0" t="s">
        <v>1021</v>
      </c>
      <c r="J53" s="0" t="s">
        <v>1254</v>
      </c>
      <c r="K53" s="0" t="s">
        <v>971</v>
      </c>
      <c r="L53" s="0" t="s">
        <v>974</v>
      </c>
      <c r="M53" s="0" t="s">
        <v>973</v>
      </c>
      <c r="N53" s="0" t="s">
        <v>974</v>
      </c>
      <c r="O53" s="0" t="s">
        <v>975</v>
      </c>
      <c r="P53" s="0" t="s">
        <v>976</v>
      </c>
      <c r="Q53" s="0" t="s">
        <v>1291</v>
      </c>
      <c r="R53" s="0" t="s">
        <v>1046</v>
      </c>
      <c r="S53" s="0" t="s">
        <v>974</v>
      </c>
    </row>
    <row r="54" customFormat="false" ht="13.8" hidden="false" customHeight="false" outlineLevel="0" collapsed="false">
      <c r="A54" s="0" t="n">
        <v>1810</v>
      </c>
      <c r="B54" s="0" t="s">
        <v>1292</v>
      </c>
      <c r="C54" s="0" t="s">
        <v>1035</v>
      </c>
      <c r="E54" s="0" t="n">
        <f aca="false">IF(J53=J54,E53+10,0)</f>
        <v>70</v>
      </c>
      <c r="F54" s="0" t="s">
        <v>1293</v>
      </c>
      <c r="G54" s="0" t="s">
        <v>1294</v>
      </c>
      <c r="H54" s="0" t="s">
        <v>1295</v>
      </c>
      <c r="I54" s="0" t="s">
        <v>970</v>
      </c>
      <c r="J54" s="0" t="s">
        <v>1254</v>
      </c>
      <c r="K54" s="0" t="s">
        <v>971</v>
      </c>
      <c r="L54" s="0" t="s">
        <v>974</v>
      </c>
      <c r="M54" s="0" t="s">
        <v>973</v>
      </c>
      <c r="N54" s="0" t="s">
        <v>974</v>
      </c>
      <c r="O54" s="0" t="s">
        <v>975</v>
      </c>
      <c r="P54" s="0" t="s">
        <v>976</v>
      </c>
      <c r="Q54" s="0" t="s">
        <v>1296</v>
      </c>
      <c r="R54" s="0" t="s">
        <v>970</v>
      </c>
      <c r="S54" s="0" t="s">
        <v>974</v>
      </c>
    </row>
    <row r="55" customFormat="false" ht="13.8" hidden="false" customHeight="false" outlineLevel="0" collapsed="false">
      <c r="A55" s="0" t="n">
        <v>1811</v>
      </c>
      <c r="B55" s="0" t="s">
        <v>1297</v>
      </c>
      <c r="C55" s="0" t="s">
        <v>1069</v>
      </c>
      <c r="E55" s="0" t="n">
        <f aca="false">IF(J54=J55,E54+10,0)</f>
        <v>80</v>
      </c>
      <c r="F55" s="0" t="s">
        <v>1298</v>
      </c>
      <c r="G55" s="0" t="s">
        <v>1299</v>
      </c>
      <c r="H55" s="0" t="s">
        <v>1300</v>
      </c>
      <c r="I55" s="0" t="s">
        <v>1073</v>
      </c>
      <c r="J55" s="0" t="s">
        <v>1254</v>
      </c>
      <c r="K55" s="0" t="s">
        <v>971</v>
      </c>
      <c r="L55" s="0" t="s">
        <v>974</v>
      </c>
      <c r="M55" s="0" t="s">
        <v>973</v>
      </c>
      <c r="N55" s="0" t="s">
        <v>974</v>
      </c>
      <c r="O55" s="0" t="s">
        <v>975</v>
      </c>
      <c r="P55" s="0" t="s">
        <v>976</v>
      </c>
      <c r="Q55" s="0" t="s">
        <v>1281</v>
      </c>
      <c r="R55" s="0" t="s">
        <v>1046</v>
      </c>
      <c r="S55" s="0" t="s">
        <v>974</v>
      </c>
    </row>
    <row r="56" customFormat="false" ht="13.8" hidden="false" customHeight="false" outlineLevel="0" collapsed="false">
      <c r="A56" s="0" t="n">
        <v>1812</v>
      </c>
      <c r="B56" s="0" t="s">
        <v>1301</v>
      </c>
      <c r="C56" s="0" t="s">
        <v>1302</v>
      </c>
      <c r="E56" s="0" t="n">
        <f aca="false">IF(J55=J56,E55+10,0)</f>
        <v>90</v>
      </c>
      <c r="F56" s="0" t="s">
        <v>1303</v>
      </c>
      <c r="G56" s="0" t="s">
        <v>1304</v>
      </c>
      <c r="H56" s="0" t="s">
        <v>1305</v>
      </c>
      <c r="I56" s="0" t="s">
        <v>1306</v>
      </c>
      <c r="J56" s="0" t="s">
        <v>1254</v>
      </c>
      <c r="K56" s="0" t="s">
        <v>971</v>
      </c>
      <c r="L56" s="0" t="s">
        <v>974</v>
      </c>
      <c r="M56" s="0" t="s">
        <v>973</v>
      </c>
      <c r="N56" s="0" t="s">
        <v>974</v>
      </c>
      <c r="O56" s="0" t="s">
        <v>975</v>
      </c>
      <c r="P56" s="0" t="s">
        <v>976</v>
      </c>
      <c r="Q56" s="0" t="s">
        <v>1307</v>
      </c>
      <c r="R56" s="0" t="s">
        <v>1046</v>
      </c>
      <c r="S56" s="0" t="s">
        <v>974</v>
      </c>
    </row>
    <row r="57" customFormat="false" ht="13.8" hidden="false" customHeight="false" outlineLevel="0" collapsed="false">
      <c r="A57" s="0" t="n">
        <v>1813</v>
      </c>
      <c r="B57" s="0" t="s">
        <v>1308</v>
      </c>
      <c r="C57" s="0" t="s">
        <v>1096</v>
      </c>
      <c r="E57" s="0" t="n">
        <f aca="false">IF(J56=J57,E56+10,0)</f>
        <v>100</v>
      </c>
      <c r="F57" s="0" t="s">
        <v>1309</v>
      </c>
      <c r="G57" s="0" t="s">
        <v>1310</v>
      </c>
      <c r="H57" s="0" t="s">
        <v>1311</v>
      </c>
      <c r="I57" s="0" t="s">
        <v>1100</v>
      </c>
      <c r="J57" s="0" t="s">
        <v>1254</v>
      </c>
      <c r="K57" s="0" t="s">
        <v>971</v>
      </c>
      <c r="L57" s="0" t="s">
        <v>974</v>
      </c>
      <c r="M57" s="0" t="s">
        <v>973</v>
      </c>
      <c r="N57" s="0" t="s">
        <v>974</v>
      </c>
      <c r="O57" s="0" t="s">
        <v>975</v>
      </c>
      <c r="P57" s="0" t="s">
        <v>976</v>
      </c>
      <c r="Q57" s="0" t="s">
        <v>1312</v>
      </c>
      <c r="R57" s="0" t="s">
        <v>1046</v>
      </c>
      <c r="S57" s="0" t="s">
        <v>974</v>
      </c>
    </row>
    <row r="58" customFormat="false" ht="13.8" hidden="false" customHeight="false" outlineLevel="0" collapsed="false">
      <c r="A58" s="0" t="n">
        <v>1814</v>
      </c>
      <c r="B58" s="0" t="s">
        <v>1313</v>
      </c>
      <c r="C58" s="0" t="s">
        <v>1314</v>
      </c>
      <c r="E58" s="0" t="n">
        <f aca="false">IF(J57=J58,E57+10,0)</f>
        <v>110</v>
      </c>
      <c r="F58" s="0" t="s">
        <v>1315</v>
      </c>
      <c r="G58" s="0" t="s">
        <v>1316</v>
      </c>
      <c r="H58" s="0" t="s">
        <v>1317</v>
      </c>
      <c r="I58" s="0" t="s">
        <v>1161</v>
      </c>
      <c r="J58" s="0" t="s">
        <v>1254</v>
      </c>
      <c r="K58" s="0" t="s">
        <v>971</v>
      </c>
      <c r="L58" s="0" t="s">
        <v>974</v>
      </c>
      <c r="M58" s="0" t="s">
        <v>973</v>
      </c>
      <c r="N58" s="0" t="s">
        <v>974</v>
      </c>
      <c r="O58" s="0" t="s">
        <v>975</v>
      </c>
      <c r="P58" s="0" t="s">
        <v>976</v>
      </c>
      <c r="Q58" s="0" t="s">
        <v>1307</v>
      </c>
      <c r="R58" s="0" t="s">
        <v>1046</v>
      </c>
      <c r="S58" s="0" t="s">
        <v>974</v>
      </c>
    </row>
    <row r="59" customFormat="false" ht="13.8" hidden="false" customHeight="false" outlineLevel="0" collapsed="false">
      <c r="A59" s="0" t="n">
        <v>1815</v>
      </c>
      <c r="B59" s="0" t="s">
        <v>1318</v>
      </c>
      <c r="C59" s="0" t="s">
        <v>1041</v>
      </c>
      <c r="E59" s="0" t="n">
        <f aca="false">IF(J58=J59,E58+10,0)</f>
        <v>120</v>
      </c>
      <c r="F59" s="0" t="s">
        <v>1319</v>
      </c>
      <c r="G59" s="0" t="s">
        <v>1320</v>
      </c>
      <c r="H59" s="0" t="s">
        <v>1321</v>
      </c>
      <c r="I59" s="0" t="s">
        <v>1045</v>
      </c>
      <c r="J59" s="0" t="s">
        <v>1254</v>
      </c>
      <c r="K59" s="0" t="s">
        <v>971</v>
      </c>
      <c r="L59" s="0" t="s">
        <v>974</v>
      </c>
      <c r="M59" s="0" t="s">
        <v>973</v>
      </c>
      <c r="N59" s="0" t="s">
        <v>974</v>
      </c>
      <c r="O59" s="0" t="s">
        <v>975</v>
      </c>
      <c r="P59" s="0" t="s">
        <v>976</v>
      </c>
      <c r="Q59" s="0" t="s">
        <v>1322</v>
      </c>
      <c r="R59" s="0" t="s">
        <v>970</v>
      </c>
      <c r="S59" s="0" t="s">
        <v>974</v>
      </c>
    </row>
    <row r="60" customFormat="false" ht="13.8" hidden="false" customHeight="false" outlineLevel="0" collapsed="false">
      <c r="A60" s="0" t="n">
        <v>1816</v>
      </c>
      <c r="B60" s="0" t="s">
        <v>1323</v>
      </c>
      <c r="C60" s="0" t="s">
        <v>1324</v>
      </c>
      <c r="E60" s="0" t="n">
        <f aca="false">IF(J59=J60,E59+10,0)</f>
        <v>130</v>
      </c>
      <c r="F60" s="0" t="s">
        <v>1325</v>
      </c>
      <c r="G60" s="0" t="s">
        <v>1326</v>
      </c>
      <c r="H60" s="0" t="s">
        <v>1327</v>
      </c>
      <c r="I60" s="0" t="s">
        <v>1328</v>
      </c>
      <c r="J60" s="0" t="s">
        <v>1254</v>
      </c>
      <c r="K60" s="0" t="s">
        <v>971</v>
      </c>
      <c r="L60" s="0" t="s">
        <v>1329</v>
      </c>
      <c r="M60" s="0" t="s">
        <v>973</v>
      </c>
      <c r="N60" s="0" t="s">
        <v>974</v>
      </c>
      <c r="O60" s="0" t="s">
        <v>975</v>
      </c>
      <c r="P60" s="0" t="s">
        <v>976</v>
      </c>
      <c r="Q60" s="0" t="s">
        <v>974</v>
      </c>
      <c r="R60" s="0" t="s">
        <v>970</v>
      </c>
      <c r="S60" s="0" t="s">
        <v>974</v>
      </c>
    </row>
    <row r="61" customFormat="false" ht="13.8" hidden="false" customHeight="false" outlineLevel="0" collapsed="false">
      <c r="A61" s="0" t="n">
        <v>1817</v>
      </c>
      <c r="B61" s="0" t="s">
        <v>1330</v>
      </c>
      <c r="C61" s="0" t="s">
        <v>1234</v>
      </c>
      <c r="E61" s="0" t="n">
        <f aca="false">IF(J60=J61,E60+10,0)</f>
        <v>140</v>
      </c>
      <c r="F61" s="0" t="s">
        <v>1331</v>
      </c>
      <c r="G61" s="0" t="s">
        <v>1332</v>
      </c>
      <c r="H61" s="0" t="s">
        <v>1333</v>
      </c>
      <c r="I61" s="0" t="s">
        <v>1238</v>
      </c>
      <c r="J61" s="0" t="s">
        <v>1254</v>
      </c>
      <c r="K61" s="0" t="s">
        <v>971</v>
      </c>
      <c r="L61" s="0" t="s">
        <v>1334</v>
      </c>
      <c r="M61" s="0" t="s">
        <v>973</v>
      </c>
      <c r="N61" s="0" t="s">
        <v>974</v>
      </c>
      <c r="O61" s="0" t="s">
        <v>975</v>
      </c>
      <c r="P61" s="0" t="s">
        <v>976</v>
      </c>
      <c r="Q61" s="0" t="s">
        <v>1329</v>
      </c>
      <c r="R61" s="0" t="s">
        <v>970</v>
      </c>
      <c r="S61" s="0" t="s">
        <v>974</v>
      </c>
    </row>
    <row r="62" customFormat="false" ht="13.8" hidden="false" customHeight="false" outlineLevel="0" collapsed="false">
      <c r="A62" s="0" t="n">
        <v>1818</v>
      </c>
      <c r="B62" s="0" t="s">
        <v>1335</v>
      </c>
      <c r="C62" s="0" t="s">
        <v>1336</v>
      </c>
      <c r="E62" s="0" t="n">
        <f aca="false">IF(J61=J62,E61+10,0)</f>
        <v>150</v>
      </c>
      <c r="F62" s="0" t="s">
        <v>1337</v>
      </c>
      <c r="G62" s="0" t="s">
        <v>1338</v>
      </c>
      <c r="H62" s="0" t="s">
        <v>1339</v>
      </c>
      <c r="I62" s="0" t="s">
        <v>1065</v>
      </c>
      <c r="J62" s="0" t="s">
        <v>1254</v>
      </c>
      <c r="K62" s="0" t="s">
        <v>971</v>
      </c>
      <c r="L62" s="0" t="s">
        <v>974</v>
      </c>
      <c r="M62" s="0" t="s">
        <v>973</v>
      </c>
      <c r="N62" s="0" t="s">
        <v>974</v>
      </c>
      <c r="O62" s="0" t="s">
        <v>975</v>
      </c>
      <c r="P62" s="0" t="s">
        <v>976</v>
      </c>
      <c r="Q62" s="0" t="s">
        <v>1329</v>
      </c>
      <c r="R62" s="0" t="s">
        <v>970</v>
      </c>
      <c r="S62" s="0" t="s">
        <v>974</v>
      </c>
    </row>
    <row r="63" customFormat="false" ht="13.8" hidden="false" customHeight="false" outlineLevel="0" collapsed="false">
      <c r="A63" s="0" t="n">
        <v>1819</v>
      </c>
      <c r="B63" s="0" t="s">
        <v>1340</v>
      </c>
      <c r="C63" s="0" t="s">
        <v>1102</v>
      </c>
      <c r="E63" s="0" t="n">
        <f aca="false">IF(J62=J63,E62+10,0)</f>
        <v>160</v>
      </c>
      <c r="F63" s="0" t="s">
        <v>1341</v>
      </c>
      <c r="G63" s="0" t="s">
        <v>1342</v>
      </c>
      <c r="H63" s="0" t="s">
        <v>1343</v>
      </c>
      <c r="I63" s="0" t="s">
        <v>1106</v>
      </c>
      <c r="J63" s="0" t="s">
        <v>1254</v>
      </c>
      <c r="K63" s="0" t="s">
        <v>971</v>
      </c>
      <c r="L63" s="0" t="s">
        <v>974</v>
      </c>
      <c r="M63" s="0" t="s">
        <v>973</v>
      </c>
      <c r="N63" s="0" t="s">
        <v>974</v>
      </c>
      <c r="O63" s="0" t="s">
        <v>975</v>
      </c>
      <c r="P63" s="0" t="s">
        <v>976</v>
      </c>
      <c r="Q63" s="0" t="s">
        <v>974</v>
      </c>
      <c r="R63" s="0" t="s">
        <v>970</v>
      </c>
      <c r="S63" s="0" t="s">
        <v>974</v>
      </c>
    </row>
    <row r="64" customFormat="false" ht="13.8" hidden="false" customHeight="false" outlineLevel="0" collapsed="false">
      <c r="A64" s="0" t="n">
        <v>1820</v>
      </c>
      <c r="B64" s="0" t="s">
        <v>1344</v>
      </c>
      <c r="C64" s="0" t="s">
        <v>1345</v>
      </c>
      <c r="E64" s="0" t="n">
        <f aca="false">IF(J63=J64,E63+10,0)</f>
        <v>0</v>
      </c>
      <c r="F64" s="0" t="s">
        <v>1346</v>
      </c>
      <c r="G64" s="0" t="s">
        <v>1347</v>
      </c>
      <c r="H64" s="0" t="s">
        <v>1348</v>
      </c>
      <c r="I64" s="0" t="s">
        <v>1349</v>
      </c>
      <c r="J64" s="0" t="s">
        <v>1350</v>
      </c>
      <c r="K64" s="0" t="s">
        <v>971</v>
      </c>
      <c r="L64" s="0" t="s">
        <v>995</v>
      </c>
      <c r="M64" s="0" t="s">
        <v>973</v>
      </c>
      <c r="N64" s="0" t="s">
        <v>974</v>
      </c>
      <c r="O64" s="0" t="s">
        <v>975</v>
      </c>
      <c r="P64" s="0" t="s">
        <v>976</v>
      </c>
      <c r="Q64" s="0" t="s">
        <v>974</v>
      </c>
      <c r="R64" s="0" t="s">
        <v>970</v>
      </c>
      <c r="S64" s="0" t="s">
        <v>974</v>
      </c>
    </row>
    <row r="65" customFormat="false" ht="13.8" hidden="false" customHeight="false" outlineLevel="0" collapsed="false">
      <c r="A65" s="0" t="n">
        <v>1821</v>
      </c>
      <c r="B65" s="0" t="s">
        <v>1351</v>
      </c>
      <c r="C65" s="0" t="s">
        <v>1352</v>
      </c>
      <c r="E65" s="0" t="n">
        <f aca="false">IF(J64=J65,E64+10,0)</f>
        <v>10</v>
      </c>
      <c r="F65" s="0" t="s">
        <v>1353</v>
      </c>
      <c r="G65" s="0" t="s">
        <v>1354</v>
      </c>
      <c r="H65" s="0" t="s">
        <v>1355</v>
      </c>
      <c r="I65" s="0" t="s">
        <v>1356</v>
      </c>
      <c r="J65" s="0" t="s">
        <v>1350</v>
      </c>
      <c r="K65" s="0" t="s">
        <v>971</v>
      </c>
      <c r="L65" s="0" t="s">
        <v>1117</v>
      </c>
      <c r="M65" s="0" t="s">
        <v>973</v>
      </c>
      <c r="N65" s="0" t="s">
        <v>974</v>
      </c>
      <c r="O65" s="0" t="s">
        <v>975</v>
      </c>
      <c r="P65" s="0" t="s">
        <v>976</v>
      </c>
      <c r="Q65" s="0" t="s">
        <v>974</v>
      </c>
      <c r="R65" s="0" t="s">
        <v>970</v>
      </c>
      <c r="S65" s="0" t="s">
        <v>974</v>
      </c>
    </row>
    <row r="66" customFormat="false" ht="13.8" hidden="false" customHeight="false" outlineLevel="0" collapsed="false">
      <c r="A66" s="0" t="n">
        <v>1822</v>
      </c>
      <c r="B66" s="0" t="s">
        <v>1357</v>
      </c>
      <c r="C66" s="0" t="s">
        <v>1358</v>
      </c>
      <c r="E66" s="0" t="n">
        <f aca="false">IF(J65=J66,E65+10,0)</f>
        <v>20</v>
      </c>
      <c r="F66" s="0" t="s">
        <v>1359</v>
      </c>
      <c r="G66" s="0" t="s">
        <v>1360</v>
      </c>
      <c r="H66" s="0" t="s">
        <v>1361</v>
      </c>
      <c r="I66" s="0" t="s">
        <v>1052</v>
      </c>
      <c r="J66" s="0" t="s">
        <v>1350</v>
      </c>
      <c r="K66" s="0" t="s">
        <v>971</v>
      </c>
      <c r="L66" s="0" t="s">
        <v>1117</v>
      </c>
      <c r="M66" s="0" t="s">
        <v>973</v>
      </c>
      <c r="N66" s="0" t="s">
        <v>974</v>
      </c>
      <c r="O66" s="0" t="s">
        <v>975</v>
      </c>
      <c r="P66" s="0" t="s">
        <v>976</v>
      </c>
      <c r="Q66" s="0" t="s">
        <v>974</v>
      </c>
      <c r="R66" s="0" t="s">
        <v>970</v>
      </c>
      <c r="S66" s="0" t="s">
        <v>974</v>
      </c>
    </row>
    <row r="67" customFormat="false" ht="13.8" hidden="false" customHeight="false" outlineLevel="0" collapsed="false">
      <c r="A67" s="0" t="n">
        <v>1823</v>
      </c>
      <c r="B67" s="0" t="s">
        <v>1362</v>
      </c>
      <c r="C67" s="0" t="s">
        <v>1363</v>
      </c>
      <c r="E67" s="0" t="n">
        <f aca="false">IF(J66=J67,E66+10,0)</f>
        <v>30</v>
      </c>
      <c r="F67" s="0" t="s">
        <v>1364</v>
      </c>
      <c r="G67" s="0" t="s">
        <v>1365</v>
      </c>
      <c r="H67" s="0" t="s">
        <v>1366</v>
      </c>
      <c r="I67" s="0" t="s">
        <v>1021</v>
      </c>
      <c r="J67" s="0" t="s">
        <v>1350</v>
      </c>
      <c r="K67" s="0" t="s">
        <v>971</v>
      </c>
      <c r="L67" s="0" t="s">
        <v>974</v>
      </c>
      <c r="M67" s="0" t="s">
        <v>973</v>
      </c>
      <c r="N67" s="0" t="s">
        <v>974</v>
      </c>
      <c r="O67" s="0" t="s">
        <v>975</v>
      </c>
      <c r="P67" s="0" t="s">
        <v>976</v>
      </c>
      <c r="Q67" s="0" t="s">
        <v>975</v>
      </c>
      <c r="R67" s="0" t="s">
        <v>1046</v>
      </c>
      <c r="S67" s="0" t="s">
        <v>974</v>
      </c>
    </row>
    <row r="68" customFormat="false" ht="13.8" hidden="false" customHeight="false" outlineLevel="0" collapsed="false">
      <c r="A68" s="0" t="n">
        <v>1824</v>
      </c>
      <c r="B68" s="0" t="s">
        <v>1367</v>
      </c>
      <c r="C68" s="0" t="s">
        <v>1096</v>
      </c>
      <c r="E68" s="0" t="n">
        <f aca="false">IF(J67=J68,E67+10,0)</f>
        <v>40</v>
      </c>
      <c r="F68" s="0" t="s">
        <v>1368</v>
      </c>
      <c r="G68" s="0" t="s">
        <v>1369</v>
      </c>
      <c r="H68" s="0" t="s">
        <v>1370</v>
      </c>
      <c r="I68" s="0" t="s">
        <v>1100</v>
      </c>
      <c r="J68" s="0" t="s">
        <v>1350</v>
      </c>
      <c r="K68" s="0" t="s">
        <v>971</v>
      </c>
      <c r="L68" s="0" t="s">
        <v>974</v>
      </c>
      <c r="M68" s="0" t="s">
        <v>973</v>
      </c>
      <c r="N68" s="0" t="s">
        <v>974</v>
      </c>
      <c r="O68" s="0" t="s">
        <v>975</v>
      </c>
      <c r="P68" s="0" t="s">
        <v>976</v>
      </c>
      <c r="Q68" s="0" t="s">
        <v>973</v>
      </c>
      <c r="R68" s="0" t="s">
        <v>1046</v>
      </c>
      <c r="S68" s="0" t="s">
        <v>974</v>
      </c>
    </row>
    <row r="69" customFormat="false" ht="13.8" hidden="false" customHeight="false" outlineLevel="0" collapsed="false">
      <c r="A69" s="0" t="n">
        <v>1825</v>
      </c>
      <c r="B69" s="0" t="s">
        <v>1371</v>
      </c>
      <c r="C69" s="0" t="s">
        <v>1061</v>
      </c>
      <c r="E69" s="0" t="n">
        <f aca="false">IF(J68=J69,E68+10,0)</f>
        <v>50</v>
      </c>
      <c r="F69" s="0" t="s">
        <v>1372</v>
      </c>
      <c r="G69" s="0" t="s">
        <v>1373</v>
      </c>
      <c r="H69" s="0" t="s">
        <v>1374</v>
      </c>
      <c r="I69" s="0" t="s">
        <v>1065</v>
      </c>
      <c r="J69" s="0" t="s">
        <v>1350</v>
      </c>
      <c r="K69" s="0" t="s">
        <v>971</v>
      </c>
      <c r="L69" s="0" t="s">
        <v>974</v>
      </c>
      <c r="M69" s="0" t="s">
        <v>973</v>
      </c>
      <c r="N69" s="0" t="s">
        <v>974</v>
      </c>
      <c r="O69" s="0" t="s">
        <v>975</v>
      </c>
      <c r="P69" s="0" t="s">
        <v>976</v>
      </c>
      <c r="Q69" s="0" t="s">
        <v>973</v>
      </c>
      <c r="R69" s="0" t="s">
        <v>970</v>
      </c>
      <c r="S69" s="0" t="s">
        <v>974</v>
      </c>
    </row>
    <row r="70" customFormat="false" ht="13.8" hidden="false" customHeight="false" outlineLevel="0" collapsed="false">
      <c r="A70" s="0" t="n">
        <v>1826</v>
      </c>
      <c r="B70" s="0" t="s">
        <v>1375</v>
      </c>
      <c r="C70" s="0" t="s">
        <v>1376</v>
      </c>
      <c r="E70" s="0" t="n">
        <f aca="false">IF(J69=J70,E69+10,0)</f>
        <v>60</v>
      </c>
      <c r="F70" s="0" t="s">
        <v>1377</v>
      </c>
      <c r="G70" s="0" t="s">
        <v>1378</v>
      </c>
      <c r="H70" s="0" t="s">
        <v>1379</v>
      </c>
      <c r="I70" s="0" t="s">
        <v>1380</v>
      </c>
      <c r="J70" s="0" t="s">
        <v>1350</v>
      </c>
      <c r="K70" s="0" t="s">
        <v>971</v>
      </c>
      <c r="L70" s="0" t="s">
        <v>1381</v>
      </c>
      <c r="M70" s="0" t="s">
        <v>973</v>
      </c>
      <c r="N70" s="0" t="s">
        <v>974</v>
      </c>
      <c r="O70" s="0" t="s">
        <v>975</v>
      </c>
      <c r="P70" s="0" t="s">
        <v>976</v>
      </c>
      <c r="Q70" s="0" t="s">
        <v>974</v>
      </c>
      <c r="R70" s="0" t="s">
        <v>970</v>
      </c>
      <c r="S70" s="0" t="s">
        <v>974</v>
      </c>
    </row>
    <row r="71" customFormat="false" ht="13.8" hidden="false" customHeight="false" outlineLevel="0" collapsed="false">
      <c r="A71" s="0" t="n">
        <v>1827</v>
      </c>
      <c r="B71" s="0" t="s">
        <v>1382</v>
      </c>
      <c r="C71" s="0" t="s">
        <v>1383</v>
      </c>
      <c r="E71" s="0" t="n">
        <f aca="false">IF(J70=J71,E70+10,0)</f>
        <v>70</v>
      </c>
      <c r="F71" s="0" t="s">
        <v>1384</v>
      </c>
      <c r="G71" s="0" t="s">
        <v>1385</v>
      </c>
      <c r="H71" s="0" t="s">
        <v>1386</v>
      </c>
      <c r="I71" s="0" t="s">
        <v>1213</v>
      </c>
      <c r="J71" s="0" t="s">
        <v>1350</v>
      </c>
      <c r="K71" s="0" t="s">
        <v>971</v>
      </c>
      <c r="L71" s="0" t="s">
        <v>974</v>
      </c>
      <c r="M71" s="0" t="s">
        <v>973</v>
      </c>
      <c r="N71" s="0" t="s">
        <v>974</v>
      </c>
      <c r="O71" s="0" t="s">
        <v>975</v>
      </c>
      <c r="P71" s="0" t="s">
        <v>976</v>
      </c>
      <c r="Q71" s="0" t="s">
        <v>970</v>
      </c>
      <c r="R71" s="0" t="s">
        <v>970</v>
      </c>
      <c r="S71" s="0" t="s">
        <v>974</v>
      </c>
    </row>
    <row r="72" customFormat="false" ht="13.8" hidden="false" customHeight="false" outlineLevel="0" collapsed="false">
      <c r="A72" s="0" t="n">
        <v>1828</v>
      </c>
      <c r="B72" s="0" t="s">
        <v>1387</v>
      </c>
      <c r="C72" s="0" t="s">
        <v>1388</v>
      </c>
      <c r="E72" s="0" t="n">
        <f aca="false">IF(J71=J72,E71+10,0)</f>
        <v>80</v>
      </c>
      <c r="F72" s="0" t="s">
        <v>1389</v>
      </c>
      <c r="G72" s="0" t="s">
        <v>1390</v>
      </c>
      <c r="H72" s="0" t="s">
        <v>1391</v>
      </c>
      <c r="I72" s="0" t="s">
        <v>995</v>
      </c>
      <c r="J72" s="0" t="s">
        <v>1350</v>
      </c>
      <c r="K72" s="0" t="s">
        <v>971</v>
      </c>
      <c r="L72" s="0" t="s">
        <v>1046</v>
      </c>
      <c r="M72" s="0" t="s">
        <v>973</v>
      </c>
      <c r="N72" s="0" t="s">
        <v>974</v>
      </c>
      <c r="O72" s="0" t="s">
        <v>975</v>
      </c>
      <c r="P72" s="0" t="s">
        <v>976</v>
      </c>
      <c r="Q72" s="0" t="s">
        <v>974</v>
      </c>
      <c r="R72" s="0" t="s">
        <v>970</v>
      </c>
      <c r="S72" s="0" t="s">
        <v>974</v>
      </c>
    </row>
    <row r="73" customFormat="false" ht="13.8" hidden="false" customHeight="false" outlineLevel="0" collapsed="false">
      <c r="A73" s="0" t="n">
        <v>1829</v>
      </c>
      <c r="B73" s="0" t="s">
        <v>1392</v>
      </c>
      <c r="C73" s="0" t="s">
        <v>1393</v>
      </c>
      <c r="E73" s="0" t="n">
        <f aca="false">IF(J72=J73,E72+10,0)</f>
        <v>90</v>
      </c>
      <c r="F73" s="0" t="s">
        <v>1394</v>
      </c>
      <c r="G73" s="0" t="s">
        <v>1395</v>
      </c>
      <c r="H73" s="0" t="s">
        <v>1396</v>
      </c>
      <c r="I73" s="0" t="s">
        <v>1397</v>
      </c>
      <c r="J73" s="0" t="s">
        <v>1350</v>
      </c>
      <c r="K73" s="0" t="s">
        <v>971</v>
      </c>
      <c r="L73" s="0" t="s">
        <v>1059</v>
      </c>
      <c r="M73" s="0" t="s">
        <v>973</v>
      </c>
      <c r="N73" s="0" t="s">
        <v>974</v>
      </c>
      <c r="O73" s="0" t="s">
        <v>975</v>
      </c>
      <c r="P73" s="0" t="s">
        <v>976</v>
      </c>
      <c r="Q73" s="0" t="s">
        <v>974</v>
      </c>
      <c r="R73" s="0" t="s">
        <v>970</v>
      </c>
      <c r="S73" s="0" t="s">
        <v>974</v>
      </c>
    </row>
    <row r="74" customFormat="false" ht="13.8" hidden="false" customHeight="false" outlineLevel="0" collapsed="false">
      <c r="A74" s="0" t="n">
        <v>1830</v>
      </c>
      <c r="B74" s="0" t="s">
        <v>1398</v>
      </c>
      <c r="C74" s="0" t="s">
        <v>1399</v>
      </c>
      <c r="E74" s="0" t="n">
        <f aca="false">IF(J73=J74,E73+10,0)</f>
        <v>0</v>
      </c>
      <c r="F74" s="0" t="s">
        <v>1400</v>
      </c>
      <c r="G74" s="0" t="s">
        <v>1401</v>
      </c>
      <c r="H74" s="0" t="s">
        <v>1402</v>
      </c>
      <c r="I74" s="0" t="s">
        <v>1106</v>
      </c>
      <c r="J74" s="0" t="s">
        <v>1021</v>
      </c>
      <c r="K74" s="0" t="s">
        <v>971</v>
      </c>
      <c r="L74" s="0" t="s">
        <v>974</v>
      </c>
      <c r="M74" s="0" t="s">
        <v>973</v>
      </c>
      <c r="N74" s="0" t="s">
        <v>974</v>
      </c>
      <c r="O74" s="0" t="s">
        <v>975</v>
      </c>
      <c r="P74" s="0" t="s">
        <v>976</v>
      </c>
      <c r="Q74" s="0" t="s">
        <v>974</v>
      </c>
      <c r="R74" s="0" t="s">
        <v>970</v>
      </c>
      <c r="S74" s="0" t="s">
        <v>974</v>
      </c>
    </row>
    <row r="75" customFormat="false" ht="13.8" hidden="false" customHeight="false" outlineLevel="0" collapsed="false">
      <c r="A75" s="0" t="n">
        <v>1831</v>
      </c>
      <c r="B75" s="0" t="s">
        <v>1403</v>
      </c>
      <c r="C75" s="0" t="s">
        <v>1404</v>
      </c>
      <c r="E75" s="0" t="n">
        <f aca="false">IF(J74=J75,E74+10,0)</f>
        <v>10</v>
      </c>
      <c r="F75" s="0" t="s">
        <v>1405</v>
      </c>
      <c r="G75" s="0" t="s">
        <v>1406</v>
      </c>
      <c r="H75" s="0" t="s">
        <v>1407</v>
      </c>
      <c r="I75" s="0" t="s">
        <v>1408</v>
      </c>
      <c r="J75" s="0" t="s">
        <v>1021</v>
      </c>
      <c r="K75" s="0" t="s">
        <v>971</v>
      </c>
      <c r="L75" s="0" t="s">
        <v>1082</v>
      </c>
      <c r="M75" s="0" t="s">
        <v>973</v>
      </c>
      <c r="N75" s="0" t="s">
        <v>974</v>
      </c>
      <c r="O75" s="0" t="s">
        <v>975</v>
      </c>
      <c r="P75" s="0" t="s">
        <v>976</v>
      </c>
      <c r="Q75" s="0" t="s">
        <v>974</v>
      </c>
      <c r="R75" s="0" t="s">
        <v>970</v>
      </c>
      <c r="S75" s="0" t="s">
        <v>974</v>
      </c>
    </row>
    <row r="76" customFormat="false" ht="13.8" hidden="false" customHeight="false" outlineLevel="0" collapsed="false">
      <c r="A76" s="0" t="n">
        <v>1832</v>
      </c>
      <c r="B76" s="0" t="s">
        <v>1409</v>
      </c>
      <c r="C76" s="0" t="s">
        <v>1410</v>
      </c>
      <c r="E76" s="0" t="n">
        <f aca="false">IF(J75=J76,E75+10,0)</f>
        <v>20</v>
      </c>
      <c r="F76" s="0" t="s">
        <v>1411</v>
      </c>
      <c r="G76" s="0" t="s">
        <v>1412</v>
      </c>
      <c r="H76" s="0" t="s">
        <v>1413</v>
      </c>
      <c r="I76" s="0" t="s">
        <v>1088</v>
      </c>
      <c r="J76" s="0" t="s">
        <v>1021</v>
      </c>
      <c r="K76" s="0" t="s">
        <v>971</v>
      </c>
      <c r="L76" s="0" t="s">
        <v>974</v>
      </c>
      <c r="M76" s="0" t="s">
        <v>973</v>
      </c>
      <c r="N76" s="0" t="s">
        <v>974</v>
      </c>
      <c r="O76" s="0" t="s">
        <v>975</v>
      </c>
      <c r="P76" s="0" t="s">
        <v>976</v>
      </c>
      <c r="Q76" s="0" t="s">
        <v>1059</v>
      </c>
      <c r="R76" s="0" t="s">
        <v>1046</v>
      </c>
      <c r="S76" s="0" t="s">
        <v>974</v>
      </c>
    </row>
    <row r="77" customFormat="false" ht="13.8" hidden="false" customHeight="false" outlineLevel="0" collapsed="false">
      <c r="A77" s="0" t="n">
        <v>1833</v>
      </c>
      <c r="B77" s="0" t="s">
        <v>1414</v>
      </c>
      <c r="C77" s="0" t="s">
        <v>1415</v>
      </c>
      <c r="E77" s="0" t="n">
        <f aca="false">IF(J76=J77,E76+10,0)</f>
        <v>30</v>
      </c>
      <c r="F77" s="0" t="s">
        <v>1416</v>
      </c>
      <c r="G77" s="0" t="s">
        <v>1417</v>
      </c>
      <c r="H77" s="0" t="s">
        <v>1418</v>
      </c>
      <c r="I77" s="0" t="s">
        <v>1094</v>
      </c>
      <c r="J77" s="0" t="s">
        <v>1021</v>
      </c>
      <c r="K77" s="0" t="s">
        <v>971</v>
      </c>
      <c r="L77" s="0" t="s">
        <v>974</v>
      </c>
      <c r="M77" s="0" t="s">
        <v>973</v>
      </c>
      <c r="N77" s="0" t="s">
        <v>974</v>
      </c>
      <c r="O77" s="0" t="s">
        <v>975</v>
      </c>
      <c r="P77" s="0" t="s">
        <v>976</v>
      </c>
      <c r="Q77" s="0" t="s">
        <v>1059</v>
      </c>
      <c r="R77" s="0" t="s">
        <v>1046</v>
      </c>
      <c r="S77" s="0" t="s">
        <v>974</v>
      </c>
    </row>
    <row r="78" customFormat="false" ht="13.8" hidden="false" customHeight="false" outlineLevel="0" collapsed="false">
      <c r="A78" s="0" t="n">
        <v>1834</v>
      </c>
      <c r="B78" s="0" t="s">
        <v>1419</v>
      </c>
      <c r="C78" s="0" t="s">
        <v>1420</v>
      </c>
      <c r="E78" s="0" t="n">
        <f aca="false">IF(J77=J78,E77+10,0)</f>
        <v>40</v>
      </c>
      <c r="F78" s="0" t="s">
        <v>1421</v>
      </c>
      <c r="G78" s="0" t="s">
        <v>1422</v>
      </c>
      <c r="H78" s="0" t="s">
        <v>1423</v>
      </c>
      <c r="I78" s="0" t="s">
        <v>1100</v>
      </c>
      <c r="J78" s="0" t="s">
        <v>1021</v>
      </c>
      <c r="K78" s="0" t="s">
        <v>971</v>
      </c>
      <c r="L78" s="0" t="s">
        <v>974</v>
      </c>
      <c r="M78" s="0" t="s">
        <v>973</v>
      </c>
      <c r="N78" s="0" t="s">
        <v>974</v>
      </c>
      <c r="O78" s="0" t="s">
        <v>975</v>
      </c>
      <c r="P78" s="0" t="s">
        <v>976</v>
      </c>
      <c r="Q78" s="0" t="s">
        <v>1059</v>
      </c>
      <c r="R78" s="0" t="s">
        <v>1046</v>
      </c>
      <c r="S78" s="0" t="s">
        <v>974</v>
      </c>
    </row>
    <row r="79" customFormat="false" ht="13.8" hidden="false" customHeight="false" outlineLevel="0" collapsed="false">
      <c r="A79" s="0" t="n">
        <v>1835</v>
      </c>
      <c r="B79" s="0" t="s">
        <v>1424</v>
      </c>
      <c r="C79" s="0" t="s">
        <v>991</v>
      </c>
      <c r="E79" s="0" t="n">
        <f aca="false">IF(J78=J79,E78+10,0)</f>
        <v>0</v>
      </c>
      <c r="F79" s="0" t="s">
        <v>1425</v>
      </c>
      <c r="G79" s="0" t="s">
        <v>1426</v>
      </c>
      <c r="H79" s="0" t="s">
        <v>1427</v>
      </c>
      <c r="I79" s="0" t="s">
        <v>995</v>
      </c>
      <c r="J79" s="0" t="s">
        <v>1428</v>
      </c>
      <c r="K79" s="0" t="s">
        <v>1429</v>
      </c>
      <c r="L79" s="0" t="s">
        <v>1094</v>
      </c>
      <c r="M79" s="0" t="s">
        <v>973</v>
      </c>
      <c r="N79" s="0" t="s">
        <v>974</v>
      </c>
      <c r="O79" s="0" t="s">
        <v>975</v>
      </c>
      <c r="P79" s="0" t="s">
        <v>976</v>
      </c>
      <c r="Q79" s="0" t="s">
        <v>974</v>
      </c>
      <c r="R79" s="0" t="s">
        <v>970</v>
      </c>
      <c r="S79" s="0" t="s">
        <v>974</v>
      </c>
    </row>
    <row r="80" customFormat="false" ht="13.8" hidden="false" customHeight="false" outlineLevel="0" collapsed="false">
      <c r="A80" s="0" t="n">
        <v>1836</v>
      </c>
      <c r="B80" s="0" t="s">
        <v>1430</v>
      </c>
      <c r="C80" s="0" t="s">
        <v>1139</v>
      </c>
      <c r="E80" s="0" t="n">
        <f aca="false">IF(J79=J80,E79+10,0)</f>
        <v>10</v>
      </c>
      <c r="F80" s="0" t="s">
        <v>1431</v>
      </c>
      <c r="G80" s="0" t="s">
        <v>1432</v>
      </c>
      <c r="H80" s="0" t="s">
        <v>1433</v>
      </c>
      <c r="I80" s="0" t="s">
        <v>1143</v>
      </c>
      <c r="J80" s="0" t="s">
        <v>1428</v>
      </c>
      <c r="K80" s="0" t="s">
        <v>1434</v>
      </c>
      <c r="L80" s="0" t="s">
        <v>975</v>
      </c>
      <c r="M80" s="0" t="s">
        <v>973</v>
      </c>
      <c r="N80" s="0" t="s">
        <v>974</v>
      </c>
      <c r="O80" s="0" t="s">
        <v>975</v>
      </c>
      <c r="P80" s="0" t="s">
        <v>976</v>
      </c>
      <c r="Q80" s="0" t="s">
        <v>974</v>
      </c>
      <c r="R80" s="0" t="s">
        <v>970</v>
      </c>
      <c r="S80" s="0" t="s">
        <v>974</v>
      </c>
    </row>
    <row r="81" customFormat="false" ht="13.8" hidden="false" customHeight="false" outlineLevel="0" collapsed="false">
      <c r="A81" s="0" t="n">
        <v>1837</v>
      </c>
      <c r="B81" s="0" t="s">
        <v>1435</v>
      </c>
      <c r="C81" s="0" t="s">
        <v>1146</v>
      </c>
      <c r="E81" s="0" t="n">
        <f aca="false">IF(J80=J81,E80+10,0)</f>
        <v>20</v>
      </c>
      <c r="F81" s="0" t="s">
        <v>1436</v>
      </c>
      <c r="G81" s="0" t="s">
        <v>1437</v>
      </c>
      <c r="H81" s="0" t="s">
        <v>1438</v>
      </c>
      <c r="I81" s="0" t="s">
        <v>1150</v>
      </c>
      <c r="J81" s="0" t="s">
        <v>1428</v>
      </c>
      <c r="K81" s="0" t="s">
        <v>1434</v>
      </c>
      <c r="L81" s="0" t="s">
        <v>1214</v>
      </c>
      <c r="M81" s="0" t="s">
        <v>973</v>
      </c>
      <c r="N81" s="0" t="s">
        <v>974</v>
      </c>
      <c r="O81" s="0" t="s">
        <v>975</v>
      </c>
      <c r="P81" s="0" t="s">
        <v>976</v>
      </c>
      <c r="Q81" s="0" t="s">
        <v>974</v>
      </c>
      <c r="R81" s="0" t="s">
        <v>970</v>
      </c>
      <c r="S81" s="0" t="s">
        <v>974</v>
      </c>
    </row>
    <row r="82" customFormat="false" ht="13.8" hidden="false" customHeight="false" outlineLevel="0" collapsed="false">
      <c r="A82" s="0" t="n">
        <v>1838</v>
      </c>
      <c r="B82" s="0" t="s">
        <v>1439</v>
      </c>
      <c r="C82" s="0" t="s">
        <v>1440</v>
      </c>
      <c r="E82" s="0" t="n">
        <f aca="false">IF(J81=J82,E81+10,0)</f>
        <v>30</v>
      </c>
      <c r="F82" s="0" t="s">
        <v>1441</v>
      </c>
      <c r="G82" s="0" t="s">
        <v>1442</v>
      </c>
      <c r="H82" s="0" t="s">
        <v>1443</v>
      </c>
      <c r="I82" s="0" t="s">
        <v>1444</v>
      </c>
      <c r="J82" s="0" t="s">
        <v>1428</v>
      </c>
      <c r="K82" s="0" t="s">
        <v>1445</v>
      </c>
      <c r="L82" s="0" t="s">
        <v>974</v>
      </c>
      <c r="M82" s="0" t="s">
        <v>973</v>
      </c>
      <c r="N82" s="0" t="s">
        <v>1446</v>
      </c>
      <c r="O82" s="0" t="s">
        <v>975</v>
      </c>
      <c r="P82" s="0" t="s">
        <v>976</v>
      </c>
      <c r="Q82" s="0" t="s">
        <v>974</v>
      </c>
      <c r="R82" s="0" t="s">
        <v>970</v>
      </c>
      <c r="S82" s="0" t="s">
        <v>974</v>
      </c>
    </row>
    <row r="83" customFormat="false" ht="13.8" hidden="false" customHeight="false" outlineLevel="0" collapsed="false">
      <c r="A83" s="0" t="n">
        <v>1839</v>
      </c>
      <c r="B83" s="0" t="s">
        <v>1447</v>
      </c>
      <c r="C83" s="0" t="s">
        <v>1448</v>
      </c>
      <c r="E83" s="0" t="n">
        <f aca="false">IF(J82=J83,E82+10,0)</f>
        <v>40</v>
      </c>
      <c r="F83" s="0" t="s">
        <v>1449</v>
      </c>
      <c r="G83" s="0" t="s">
        <v>1450</v>
      </c>
      <c r="H83" s="0" t="s">
        <v>1451</v>
      </c>
      <c r="I83" s="0" t="s">
        <v>1452</v>
      </c>
      <c r="J83" s="0" t="s">
        <v>1428</v>
      </c>
      <c r="K83" s="0" t="s">
        <v>971</v>
      </c>
      <c r="L83" s="0" t="s">
        <v>1128</v>
      </c>
      <c r="M83" s="0" t="s">
        <v>973</v>
      </c>
      <c r="N83" s="0" t="s">
        <v>974</v>
      </c>
      <c r="O83" s="0" t="s">
        <v>975</v>
      </c>
      <c r="P83" s="0" t="s">
        <v>976</v>
      </c>
      <c r="Q83" s="0" t="s">
        <v>974</v>
      </c>
      <c r="R83" s="0" t="s">
        <v>970</v>
      </c>
      <c r="S83" s="0" t="s">
        <v>974</v>
      </c>
    </row>
    <row r="84" customFormat="false" ht="13.8" hidden="false" customHeight="false" outlineLevel="0" collapsed="false">
      <c r="A84" s="0" t="n">
        <v>1840</v>
      </c>
      <c r="B84" s="0" t="s">
        <v>1453</v>
      </c>
      <c r="C84" s="0" t="s">
        <v>1454</v>
      </c>
      <c r="E84" s="0" t="n">
        <f aca="false">IF(J83=J84,E83+10,0)</f>
        <v>50</v>
      </c>
      <c r="F84" s="0" t="s">
        <v>1455</v>
      </c>
      <c r="G84" s="0" t="s">
        <v>1456</v>
      </c>
      <c r="H84" s="0" t="s">
        <v>1457</v>
      </c>
      <c r="I84" s="0" t="s">
        <v>1045</v>
      </c>
      <c r="J84" s="0" t="s">
        <v>1428</v>
      </c>
      <c r="K84" s="0" t="s">
        <v>971</v>
      </c>
      <c r="L84" s="0" t="s">
        <v>1458</v>
      </c>
      <c r="M84" s="0" t="s">
        <v>1459</v>
      </c>
      <c r="N84" s="0" t="s">
        <v>974</v>
      </c>
      <c r="O84" s="0" t="s">
        <v>975</v>
      </c>
      <c r="P84" s="0" t="s">
        <v>976</v>
      </c>
      <c r="Q84" s="0" t="s">
        <v>974</v>
      </c>
      <c r="R84" s="0" t="s">
        <v>970</v>
      </c>
      <c r="S84" s="0" t="s">
        <v>974</v>
      </c>
    </row>
    <row r="85" customFormat="false" ht="13.8" hidden="false" customHeight="false" outlineLevel="0" collapsed="false">
      <c r="A85" s="0" t="n">
        <v>1841</v>
      </c>
      <c r="B85" s="0" t="s">
        <v>1460</v>
      </c>
      <c r="C85" s="0" t="s">
        <v>1461</v>
      </c>
      <c r="E85" s="0" t="n">
        <f aca="false">IF(J84=J85,E84+10,0)</f>
        <v>60</v>
      </c>
      <c r="F85" s="0" t="s">
        <v>1462</v>
      </c>
      <c r="G85" s="0" t="s">
        <v>1463</v>
      </c>
      <c r="H85" s="0" t="s">
        <v>1464</v>
      </c>
      <c r="I85" s="0" t="s">
        <v>1027</v>
      </c>
      <c r="J85" s="0" t="s">
        <v>1428</v>
      </c>
      <c r="K85" s="0" t="s">
        <v>971</v>
      </c>
      <c r="L85" s="0" t="s">
        <v>1465</v>
      </c>
      <c r="M85" s="0" t="s">
        <v>1459</v>
      </c>
      <c r="N85" s="0" t="s">
        <v>974</v>
      </c>
      <c r="O85" s="0" t="s">
        <v>975</v>
      </c>
      <c r="P85" s="0" t="s">
        <v>976</v>
      </c>
      <c r="Q85" s="0" t="s">
        <v>974</v>
      </c>
      <c r="R85" s="0" t="s">
        <v>970</v>
      </c>
      <c r="S85" s="0" t="s">
        <v>974</v>
      </c>
    </row>
    <row r="86" customFormat="false" ht="13.8" hidden="false" customHeight="false" outlineLevel="0" collapsed="false">
      <c r="A86" s="0" t="n">
        <v>1842</v>
      </c>
      <c r="B86" s="0" t="s">
        <v>1466</v>
      </c>
      <c r="C86" s="0" t="s">
        <v>1467</v>
      </c>
      <c r="E86" s="0" t="n">
        <f aca="false">IF(J85=J86,E85+10,0)</f>
        <v>70</v>
      </c>
      <c r="F86" s="0" t="s">
        <v>1468</v>
      </c>
      <c r="G86" s="0" t="s">
        <v>1469</v>
      </c>
      <c r="H86" s="0" t="s">
        <v>1470</v>
      </c>
      <c r="I86" s="0" t="s">
        <v>975</v>
      </c>
      <c r="J86" s="0" t="s">
        <v>1428</v>
      </c>
      <c r="K86" s="0" t="s">
        <v>971</v>
      </c>
      <c r="L86" s="0" t="s">
        <v>974</v>
      </c>
      <c r="M86" s="0" t="s">
        <v>973</v>
      </c>
      <c r="N86" s="0" t="s">
        <v>974</v>
      </c>
      <c r="O86" s="0" t="s">
        <v>975</v>
      </c>
      <c r="P86" s="0" t="s">
        <v>976</v>
      </c>
      <c r="Q86" s="0" t="s">
        <v>995</v>
      </c>
      <c r="R86" s="0" t="s">
        <v>1046</v>
      </c>
      <c r="S86" s="0" t="s">
        <v>974</v>
      </c>
    </row>
    <row r="87" customFormat="false" ht="13.8" hidden="false" customHeight="false" outlineLevel="0" collapsed="false">
      <c r="A87" s="0" t="n">
        <v>1843</v>
      </c>
      <c r="B87" s="0" t="s">
        <v>1471</v>
      </c>
      <c r="C87" s="0" t="s">
        <v>1096</v>
      </c>
      <c r="E87" s="0" t="n">
        <f aca="false">IF(J86=J87,E86+10,0)</f>
        <v>80</v>
      </c>
      <c r="F87" s="0" t="s">
        <v>1472</v>
      </c>
      <c r="G87" s="0" t="s">
        <v>1473</v>
      </c>
      <c r="H87" s="0" t="s">
        <v>1474</v>
      </c>
      <c r="I87" s="0" t="s">
        <v>1100</v>
      </c>
      <c r="J87" s="0" t="s">
        <v>1428</v>
      </c>
      <c r="K87" s="0" t="s">
        <v>971</v>
      </c>
      <c r="L87" s="0" t="s">
        <v>974</v>
      </c>
      <c r="M87" s="0" t="s">
        <v>973</v>
      </c>
      <c r="N87" s="0" t="s">
        <v>974</v>
      </c>
      <c r="O87" s="0" t="s">
        <v>975</v>
      </c>
      <c r="P87" s="0" t="s">
        <v>976</v>
      </c>
      <c r="Q87" s="0" t="s">
        <v>1082</v>
      </c>
      <c r="R87" s="0" t="s">
        <v>1046</v>
      </c>
      <c r="S87" s="0" t="s">
        <v>974</v>
      </c>
    </row>
    <row r="88" customFormat="false" ht="13.8" hidden="false" customHeight="false" outlineLevel="0" collapsed="false">
      <c r="A88" s="0" t="n">
        <v>1844</v>
      </c>
      <c r="B88" s="0" t="s">
        <v>1475</v>
      </c>
      <c r="C88" s="0" t="s">
        <v>1476</v>
      </c>
      <c r="E88" s="0" t="n">
        <f aca="false">IF(J87=J88,E87+10,0)</f>
        <v>90</v>
      </c>
      <c r="F88" s="0" t="s">
        <v>1477</v>
      </c>
      <c r="G88" s="0" t="s">
        <v>1478</v>
      </c>
      <c r="H88" s="0" t="s">
        <v>1479</v>
      </c>
      <c r="I88" s="0" t="s">
        <v>1008</v>
      </c>
      <c r="J88" s="0" t="s">
        <v>1428</v>
      </c>
      <c r="K88" s="0" t="s">
        <v>971</v>
      </c>
      <c r="L88" s="0" t="s">
        <v>974</v>
      </c>
      <c r="M88" s="0" t="s">
        <v>973</v>
      </c>
      <c r="N88" s="0" t="s">
        <v>974</v>
      </c>
      <c r="O88" s="0" t="s">
        <v>975</v>
      </c>
      <c r="P88" s="0" t="s">
        <v>976</v>
      </c>
      <c r="Q88" s="0" t="s">
        <v>973</v>
      </c>
      <c r="R88" s="0" t="s">
        <v>970</v>
      </c>
      <c r="S88" s="0" t="s">
        <v>974</v>
      </c>
    </row>
    <row r="89" customFormat="false" ht="13.8" hidden="false" customHeight="false" outlineLevel="0" collapsed="false">
      <c r="A89" s="0" t="n">
        <v>1845</v>
      </c>
      <c r="B89" s="0" t="s">
        <v>1480</v>
      </c>
      <c r="C89" s="0" t="s">
        <v>1163</v>
      </c>
      <c r="E89" s="0" t="n">
        <f aca="false">IF(J88=J89,E88+10,0)</f>
        <v>100</v>
      </c>
      <c r="F89" s="0" t="s">
        <v>1481</v>
      </c>
      <c r="G89" s="0" t="s">
        <v>1482</v>
      </c>
      <c r="H89" s="0" t="s">
        <v>1483</v>
      </c>
      <c r="I89" s="0" t="s">
        <v>1167</v>
      </c>
      <c r="J89" s="0" t="s">
        <v>1428</v>
      </c>
      <c r="K89" s="0" t="s">
        <v>971</v>
      </c>
      <c r="L89" s="0" t="s">
        <v>974</v>
      </c>
      <c r="M89" s="0" t="s">
        <v>973</v>
      </c>
      <c r="N89" s="0" t="s">
        <v>974</v>
      </c>
      <c r="O89" s="0" t="s">
        <v>975</v>
      </c>
      <c r="P89" s="0" t="s">
        <v>976</v>
      </c>
      <c r="Q89" s="0" t="s">
        <v>1117</v>
      </c>
      <c r="R89" s="0" t="s">
        <v>970</v>
      </c>
      <c r="S89" s="0" t="s">
        <v>974</v>
      </c>
    </row>
    <row r="90" customFormat="false" ht="13.8" hidden="false" customHeight="false" outlineLevel="0" collapsed="false">
      <c r="A90" s="0" t="n">
        <v>1846</v>
      </c>
      <c r="B90" s="0" t="s">
        <v>1484</v>
      </c>
      <c r="C90" s="0" t="s">
        <v>991</v>
      </c>
      <c r="E90" s="0" t="n">
        <f aca="false">IF(J89=J90,E89+10,0)</f>
        <v>0</v>
      </c>
      <c r="F90" s="0" t="s">
        <v>1485</v>
      </c>
      <c r="G90" s="0" t="s">
        <v>1486</v>
      </c>
      <c r="H90" s="0" t="s">
        <v>1487</v>
      </c>
      <c r="I90" s="0" t="s">
        <v>995</v>
      </c>
      <c r="J90" s="0" t="s">
        <v>1169</v>
      </c>
      <c r="K90" s="0" t="s">
        <v>1488</v>
      </c>
      <c r="L90" s="0" t="s">
        <v>1265</v>
      </c>
      <c r="M90" s="0" t="s">
        <v>973</v>
      </c>
      <c r="N90" s="0" t="s">
        <v>974</v>
      </c>
      <c r="O90" s="0" t="s">
        <v>975</v>
      </c>
      <c r="P90" s="0" t="s">
        <v>976</v>
      </c>
      <c r="Q90" s="0" t="s">
        <v>974</v>
      </c>
      <c r="R90" s="0" t="s">
        <v>970</v>
      </c>
      <c r="S90" s="0" t="s">
        <v>974</v>
      </c>
    </row>
    <row r="91" customFormat="false" ht="13.8" hidden="false" customHeight="false" outlineLevel="0" collapsed="false">
      <c r="A91" s="0" t="n">
        <v>1847</v>
      </c>
      <c r="B91" s="0" t="s">
        <v>1489</v>
      </c>
      <c r="C91" s="0" t="s">
        <v>1048</v>
      </c>
      <c r="E91" s="0" t="n">
        <f aca="false">IF(J90=J91,E90+10,0)</f>
        <v>10</v>
      </c>
      <c r="F91" s="0" t="s">
        <v>1490</v>
      </c>
      <c r="G91" s="0" t="s">
        <v>1491</v>
      </c>
      <c r="H91" s="0" t="s">
        <v>1492</v>
      </c>
      <c r="I91" s="0" t="s">
        <v>1052</v>
      </c>
      <c r="J91" s="0" t="s">
        <v>1169</v>
      </c>
      <c r="K91" s="0" t="s">
        <v>1493</v>
      </c>
      <c r="L91" s="0" t="s">
        <v>982</v>
      </c>
      <c r="M91" s="0" t="s">
        <v>973</v>
      </c>
      <c r="N91" s="0" t="s">
        <v>974</v>
      </c>
      <c r="O91" s="0" t="s">
        <v>975</v>
      </c>
      <c r="P91" s="0" t="s">
        <v>976</v>
      </c>
      <c r="Q91" s="0" t="s">
        <v>974</v>
      </c>
      <c r="R91" s="0" t="s">
        <v>970</v>
      </c>
      <c r="S91" s="0" t="s">
        <v>974</v>
      </c>
    </row>
    <row r="92" customFormat="false" ht="13.8" hidden="false" customHeight="false" outlineLevel="0" collapsed="false">
      <c r="A92" s="0" t="n">
        <v>1848</v>
      </c>
      <c r="B92" s="0" t="s">
        <v>1494</v>
      </c>
      <c r="C92" s="0" t="s">
        <v>1495</v>
      </c>
      <c r="E92" s="0" t="n">
        <f aca="false">IF(J91=J92,E91+10,0)</f>
        <v>20</v>
      </c>
      <c r="F92" s="0" t="s">
        <v>1496</v>
      </c>
      <c r="G92" s="0" t="s">
        <v>1497</v>
      </c>
      <c r="H92" s="0" t="s">
        <v>1498</v>
      </c>
      <c r="I92" s="0" t="s">
        <v>1499</v>
      </c>
      <c r="J92" s="0" t="s">
        <v>1169</v>
      </c>
      <c r="K92" s="0" t="s">
        <v>1488</v>
      </c>
      <c r="L92" s="0" t="s">
        <v>975</v>
      </c>
      <c r="M92" s="0" t="s">
        <v>973</v>
      </c>
      <c r="N92" s="0" t="s">
        <v>974</v>
      </c>
      <c r="O92" s="0" t="s">
        <v>975</v>
      </c>
      <c r="P92" s="0" t="s">
        <v>976</v>
      </c>
      <c r="Q92" s="0" t="s">
        <v>974</v>
      </c>
      <c r="R92" s="0" t="s">
        <v>970</v>
      </c>
      <c r="S92" s="0" t="s">
        <v>974</v>
      </c>
    </row>
    <row r="93" customFormat="false" ht="13.8" hidden="false" customHeight="false" outlineLevel="0" collapsed="false">
      <c r="A93" s="0" t="n">
        <v>1849</v>
      </c>
      <c r="B93" s="0" t="s">
        <v>1500</v>
      </c>
      <c r="C93" s="0" t="s">
        <v>1501</v>
      </c>
      <c r="E93" s="0" t="n">
        <f aca="false">IF(J92=J93,E92+10,0)</f>
        <v>30</v>
      </c>
      <c r="F93" s="0" t="s">
        <v>1502</v>
      </c>
      <c r="G93" s="0" t="s">
        <v>1503</v>
      </c>
      <c r="H93" s="0" t="s">
        <v>1504</v>
      </c>
      <c r="I93" s="0" t="s">
        <v>1505</v>
      </c>
      <c r="J93" s="0" t="s">
        <v>1169</v>
      </c>
      <c r="K93" s="0" t="s">
        <v>1488</v>
      </c>
      <c r="L93" s="0" t="s">
        <v>1459</v>
      </c>
      <c r="M93" s="0" t="s">
        <v>973</v>
      </c>
      <c r="N93" s="0" t="s">
        <v>974</v>
      </c>
      <c r="O93" s="0" t="s">
        <v>975</v>
      </c>
      <c r="P93" s="0" t="s">
        <v>976</v>
      </c>
      <c r="Q93" s="0" t="s">
        <v>974</v>
      </c>
      <c r="R93" s="0" t="s">
        <v>970</v>
      </c>
      <c r="S93" s="0" t="s">
        <v>974</v>
      </c>
    </row>
    <row r="94" customFormat="false" ht="13.8" hidden="false" customHeight="false" outlineLevel="0" collapsed="false">
      <c r="A94" s="0" t="n">
        <v>1850</v>
      </c>
      <c r="B94" s="0" t="s">
        <v>1506</v>
      </c>
      <c r="C94" s="0" t="s">
        <v>1258</v>
      </c>
      <c r="E94" s="0" t="n">
        <f aca="false">IF(J93=J94,E93+10,0)</f>
        <v>40</v>
      </c>
      <c r="F94" s="0" t="s">
        <v>1507</v>
      </c>
      <c r="G94" s="0" t="s">
        <v>1508</v>
      </c>
      <c r="H94" s="0" t="s">
        <v>1509</v>
      </c>
      <c r="I94" s="0" t="s">
        <v>1262</v>
      </c>
      <c r="J94" s="0" t="s">
        <v>1169</v>
      </c>
      <c r="K94" s="0" t="s">
        <v>1510</v>
      </c>
      <c r="L94" s="0" t="s">
        <v>974</v>
      </c>
      <c r="M94" s="0" t="s">
        <v>973</v>
      </c>
      <c r="N94" s="0" t="s">
        <v>974</v>
      </c>
      <c r="O94" s="0" t="s">
        <v>975</v>
      </c>
      <c r="P94" s="0" t="s">
        <v>976</v>
      </c>
      <c r="Q94" s="0" t="s">
        <v>1082</v>
      </c>
      <c r="R94" s="0" t="s">
        <v>970</v>
      </c>
      <c r="S94" s="0" t="s">
        <v>974</v>
      </c>
    </row>
    <row r="95" customFormat="false" ht="13.8" hidden="false" customHeight="false" outlineLevel="0" collapsed="false">
      <c r="A95" s="0" t="n">
        <v>1851</v>
      </c>
      <c r="B95" s="0" t="s">
        <v>1511</v>
      </c>
      <c r="C95" s="0" t="s">
        <v>1146</v>
      </c>
      <c r="E95" s="0" t="n">
        <f aca="false">IF(J94=J95,E94+10,0)</f>
        <v>50</v>
      </c>
      <c r="F95" s="0" t="s">
        <v>1512</v>
      </c>
      <c r="G95" s="0" t="s">
        <v>1513</v>
      </c>
      <c r="H95" s="0" t="s">
        <v>1514</v>
      </c>
      <c r="I95" s="0" t="s">
        <v>1150</v>
      </c>
      <c r="J95" s="0" t="s">
        <v>1169</v>
      </c>
      <c r="K95" s="0" t="s">
        <v>1515</v>
      </c>
      <c r="L95" s="0" t="s">
        <v>1459</v>
      </c>
      <c r="M95" s="0" t="s">
        <v>973</v>
      </c>
      <c r="N95" s="0" t="s">
        <v>974</v>
      </c>
      <c r="O95" s="0" t="s">
        <v>975</v>
      </c>
      <c r="P95" s="0" t="s">
        <v>976</v>
      </c>
      <c r="Q95" s="0" t="s">
        <v>974</v>
      </c>
      <c r="R95" s="0" t="s">
        <v>970</v>
      </c>
      <c r="S95" s="0" t="s">
        <v>974</v>
      </c>
    </row>
    <row r="96" customFormat="false" ht="13.8" hidden="false" customHeight="false" outlineLevel="0" collapsed="false">
      <c r="A96" s="0" t="n">
        <v>1852</v>
      </c>
      <c r="B96" s="0" t="s">
        <v>1516</v>
      </c>
      <c r="C96" s="0" t="s">
        <v>1517</v>
      </c>
      <c r="E96" s="0" t="n">
        <f aca="false">IF(J95=J96,E95+10,0)</f>
        <v>60</v>
      </c>
      <c r="F96" s="0" t="s">
        <v>1518</v>
      </c>
      <c r="G96" s="0" t="s">
        <v>1519</v>
      </c>
      <c r="H96" s="0" t="s">
        <v>1520</v>
      </c>
      <c r="I96" s="0" t="s">
        <v>1106</v>
      </c>
      <c r="J96" s="0" t="s">
        <v>1169</v>
      </c>
      <c r="K96" s="0" t="s">
        <v>971</v>
      </c>
      <c r="L96" s="0" t="s">
        <v>974</v>
      </c>
      <c r="M96" s="0" t="s">
        <v>973</v>
      </c>
      <c r="N96" s="0" t="s">
        <v>974</v>
      </c>
      <c r="O96" s="0" t="s">
        <v>975</v>
      </c>
      <c r="P96" s="0" t="s">
        <v>976</v>
      </c>
      <c r="Q96" s="0" t="s">
        <v>1381</v>
      </c>
      <c r="R96" s="0" t="s">
        <v>970</v>
      </c>
      <c r="S96" s="0" t="s">
        <v>974</v>
      </c>
    </row>
    <row r="97" customFormat="false" ht="13.8" hidden="false" customHeight="false" outlineLevel="0" collapsed="false">
      <c r="A97" s="0" t="n">
        <v>1853</v>
      </c>
      <c r="B97" s="0" t="s">
        <v>1521</v>
      </c>
      <c r="C97" s="0" t="s">
        <v>1035</v>
      </c>
      <c r="E97" s="0" t="n">
        <f aca="false">IF(J96=J97,E96+10,0)</f>
        <v>70</v>
      </c>
      <c r="F97" s="0" t="s">
        <v>1522</v>
      </c>
      <c r="G97" s="0" t="s">
        <v>1523</v>
      </c>
      <c r="H97" s="0" t="s">
        <v>1524</v>
      </c>
      <c r="I97" s="0" t="s">
        <v>970</v>
      </c>
      <c r="J97" s="0" t="s">
        <v>1169</v>
      </c>
      <c r="K97" s="0" t="s">
        <v>971</v>
      </c>
      <c r="L97" s="0" t="s">
        <v>974</v>
      </c>
      <c r="M97" s="0" t="s">
        <v>973</v>
      </c>
      <c r="N97" s="0" t="s">
        <v>974</v>
      </c>
      <c r="O97" s="0" t="s">
        <v>975</v>
      </c>
      <c r="P97" s="0" t="s">
        <v>976</v>
      </c>
      <c r="Q97" s="0" t="s">
        <v>970</v>
      </c>
      <c r="R97" s="0" t="s">
        <v>970</v>
      </c>
      <c r="S97" s="0" t="s">
        <v>974</v>
      </c>
    </row>
    <row r="98" customFormat="false" ht="13.8" hidden="false" customHeight="false" outlineLevel="0" collapsed="false">
      <c r="A98" s="0" t="n">
        <v>1854</v>
      </c>
      <c r="B98" s="0" t="s">
        <v>1525</v>
      </c>
      <c r="C98" s="0" t="s">
        <v>1526</v>
      </c>
      <c r="E98" s="0" t="n">
        <f aca="false">IF(J97=J98,E97+10,0)</f>
        <v>80</v>
      </c>
      <c r="F98" s="0" t="s">
        <v>1527</v>
      </c>
      <c r="G98" s="0" t="s">
        <v>1528</v>
      </c>
      <c r="H98" s="0" t="s">
        <v>1529</v>
      </c>
      <c r="I98" s="0" t="s">
        <v>1045</v>
      </c>
      <c r="J98" s="0" t="s">
        <v>1169</v>
      </c>
      <c r="K98" s="0" t="s">
        <v>971</v>
      </c>
      <c r="L98" s="0" t="s">
        <v>974</v>
      </c>
      <c r="M98" s="0" t="s">
        <v>973</v>
      </c>
      <c r="N98" s="0" t="s">
        <v>974</v>
      </c>
      <c r="O98" s="0" t="s">
        <v>975</v>
      </c>
      <c r="P98" s="0" t="s">
        <v>976</v>
      </c>
      <c r="Q98" s="0" t="s">
        <v>975</v>
      </c>
      <c r="R98" s="0" t="s">
        <v>1046</v>
      </c>
      <c r="S98" s="0" t="s">
        <v>974</v>
      </c>
    </row>
    <row r="99" customFormat="false" ht="13.8" hidden="false" customHeight="false" outlineLevel="0" collapsed="false">
      <c r="A99" s="0" t="n">
        <v>1855</v>
      </c>
      <c r="B99" s="0" t="s">
        <v>1530</v>
      </c>
      <c r="C99" s="0" t="s">
        <v>1531</v>
      </c>
      <c r="E99" s="0" t="n">
        <f aca="false">IF(J98=J99,E98+10,0)</f>
        <v>90</v>
      </c>
      <c r="F99" s="0" t="s">
        <v>1532</v>
      </c>
      <c r="G99" s="0" t="s">
        <v>1533</v>
      </c>
      <c r="H99" s="0" t="s">
        <v>1534</v>
      </c>
      <c r="I99" s="0" t="s">
        <v>1535</v>
      </c>
      <c r="J99" s="0" t="s">
        <v>1169</v>
      </c>
      <c r="K99" s="0" t="s">
        <v>971</v>
      </c>
      <c r="L99" s="0" t="s">
        <v>974</v>
      </c>
      <c r="M99" s="0" t="s">
        <v>973</v>
      </c>
      <c r="N99" s="0" t="s">
        <v>974</v>
      </c>
      <c r="O99" s="0" t="s">
        <v>975</v>
      </c>
      <c r="P99" s="0" t="s">
        <v>976</v>
      </c>
      <c r="Q99" s="0" t="s">
        <v>1536</v>
      </c>
      <c r="R99" s="0" t="s">
        <v>970</v>
      </c>
      <c r="S99" s="0" t="s">
        <v>974</v>
      </c>
    </row>
    <row r="100" customFormat="false" ht="13.8" hidden="false" customHeight="false" outlineLevel="0" collapsed="false">
      <c r="A100" s="0" t="n">
        <v>1856</v>
      </c>
      <c r="B100" s="0" t="s">
        <v>1537</v>
      </c>
      <c r="C100" s="0" t="s">
        <v>1096</v>
      </c>
      <c r="E100" s="0" t="n">
        <f aca="false">IF(J99=J100,E99+10,0)</f>
        <v>100</v>
      </c>
      <c r="F100" s="0" t="s">
        <v>1538</v>
      </c>
      <c r="G100" s="0" t="s">
        <v>1539</v>
      </c>
      <c r="H100" s="0" t="s">
        <v>1540</v>
      </c>
      <c r="I100" s="0" t="s">
        <v>1100</v>
      </c>
      <c r="J100" s="0" t="s">
        <v>1169</v>
      </c>
      <c r="K100" s="0" t="s">
        <v>971</v>
      </c>
      <c r="L100" s="0" t="s">
        <v>974</v>
      </c>
      <c r="M100" s="0" t="s">
        <v>973</v>
      </c>
      <c r="N100" s="0" t="s">
        <v>974</v>
      </c>
      <c r="O100" s="0" t="s">
        <v>975</v>
      </c>
      <c r="P100" s="0" t="s">
        <v>976</v>
      </c>
      <c r="Q100" s="0" t="s">
        <v>1541</v>
      </c>
      <c r="R100" s="0" t="s">
        <v>1046</v>
      </c>
      <c r="S100" s="0" t="s">
        <v>974</v>
      </c>
    </row>
    <row r="101" customFormat="false" ht="13.8" hidden="false" customHeight="false" outlineLevel="0" collapsed="false">
      <c r="A101" s="0" t="n">
        <v>1857</v>
      </c>
      <c r="B101" s="0" t="s">
        <v>1542</v>
      </c>
      <c r="C101" s="0" t="s">
        <v>1163</v>
      </c>
      <c r="E101" s="0" t="n">
        <f aca="false">IF(J100=J101,E100+10,0)</f>
        <v>110</v>
      </c>
      <c r="F101" s="0" t="s">
        <v>1543</v>
      </c>
      <c r="G101" s="0" t="s">
        <v>1544</v>
      </c>
      <c r="H101" s="0" t="s">
        <v>1545</v>
      </c>
      <c r="I101" s="0" t="s">
        <v>1167</v>
      </c>
      <c r="J101" s="0" t="s">
        <v>1169</v>
      </c>
      <c r="K101" s="0" t="s">
        <v>971</v>
      </c>
      <c r="L101" s="0" t="s">
        <v>974</v>
      </c>
      <c r="M101" s="0" t="s">
        <v>973</v>
      </c>
      <c r="N101" s="0" t="s">
        <v>974</v>
      </c>
      <c r="O101" s="0" t="s">
        <v>975</v>
      </c>
      <c r="P101" s="0" t="s">
        <v>976</v>
      </c>
      <c r="Q101" s="0" t="s">
        <v>1186</v>
      </c>
      <c r="R101" s="0" t="s">
        <v>970</v>
      </c>
      <c r="S101" s="0" t="s">
        <v>974</v>
      </c>
    </row>
    <row r="102" customFormat="false" ht="13.8" hidden="false" customHeight="false" outlineLevel="0" collapsed="false">
      <c r="A102" s="0" t="n">
        <v>1858</v>
      </c>
      <c r="B102" s="0" t="s">
        <v>1546</v>
      </c>
      <c r="C102" s="0" t="s">
        <v>1547</v>
      </c>
      <c r="E102" s="0" t="n">
        <f aca="false">IF(J101=J102,E101+10,0)</f>
        <v>120</v>
      </c>
      <c r="F102" s="0" t="s">
        <v>1548</v>
      </c>
      <c r="G102" s="0" t="s">
        <v>1549</v>
      </c>
      <c r="H102" s="0" t="s">
        <v>1550</v>
      </c>
      <c r="I102" s="0" t="s">
        <v>1551</v>
      </c>
      <c r="J102" s="0" t="s">
        <v>1169</v>
      </c>
      <c r="K102" s="0" t="s">
        <v>971</v>
      </c>
      <c r="L102" s="0" t="s">
        <v>974</v>
      </c>
      <c r="M102" s="0" t="s">
        <v>973</v>
      </c>
      <c r="N102" s="0" t="s">
        <v>974</v>
      </c>
      <c r="O102" s="0" t="s">
        <v>975</v>
      </c>
      <c r="P102" s="0" t="s">
        <v>976</v>
      </c>
      <c r="Q102" s="0" t="s">
        <v>975</v>
      </c>
      <c r="R102" s="0" t="s">
        <v>970</v>
      </c>
      <c r="S102" s="0" t="s">
        <v>974</v>
      </c>
    </row>
    <row r="103" customFormat="false" ht="13.8" hidden="false" customHeight="false" outlineLevel="0" collapsed="false">
      <c r="A103" s="0" t="n">
        <v>1859</v>
      </c>
      <c r="B103" s="0" t="s">
        <v>1552</v>
      </c>
      <c r="C103" s="0" t="s">
        <v>1553</v>
      </c>
      <c r="E103" s="0" t="n">
        <f aca="false">IF(J102=J103,E102+10,0)</f>
        <v>130</v>
      </c>
      <c r="F103" s="0" t="s">
        <v>1554</v>
      </c>
      <c r="G103" s="0" t="s">
        <v>1555</v>
      </c>
      <c r="H103" s="0" t="s">
        <v>1556</v>
      </c>
      <c r="I103" s="0" t="s">
        <v>1249</v>
      </c>
      <c r="J103" s="0" t="s">
        <v>1169</v>
      </c>
      <c r="K103" s="0" t="s">
        <v>971</v>
      </c>
      <c r="L103" s="0" t="s">
        <v>974</v>
      </c>
      <c r="M103" s="0" t="s">
        <v>973</v>
      </c>
      <c r="N103" s="0" t="s">
        <v>974</v>
      </c>
      <c r="O103" s="0" t="s">
        <v>975</v>
      </c>
      <c r="P103" s="0" t="s">
        <v>976</v>
      </c>
      <c r="Q103" s="0" t="s">
        <v>975</v>
      </c>
      <c r="R103" s="0" t="s">
        <v>1046</v>
      </c>
      <c r="S103" s="0" t="s">
        <v>974</v>
      </c>
    </row>
    <row r="104" customFormat="false" ht="13.8" hidden="false" customHeight="false" outlineLevel="0" collapsed="false">
      <c r="A104" s="0" t="n">
        <v>1860</v>
      </c>
      <c r="B104" s="0" t="s">
        <v>1557</v>
      </c>
      <c r="C104" s="0" t="s">
        <v>1558</v>
      </c>
      <c r="E104" s="0" t="n">
        <f aca="false">IF(J103=J104,E103+10,0)</f>
        <v>0</v>
      </c>
      <c r="F104" s="0" t="s">
        <v>1559</v>
      </c>
      <c r="G104" s="0" t="s">
        <v>1560</v>
      </c>
      <c r="H104" s="0" t="s">
        <v>1561</v>
      </c>
      <c r="I104" s="0" t="s">
        <v>1562</v>
      </c>
      <c r="J104" s="0" t="s">
        <v>1563</v>
      </c>
      <c r="K104" s="0" t="s">
        <v>1564</v>
      </c>
      <c r="L104" s="0" t="s">
        <v>982</v>
      </c>
      <c r="M104" s="0" t="s">
        <v>973</v>
      </c>
      <c r="N104" s="0" t="s">
        <v>974</v>
      </c>
      <c r="O104" s="0" t="s">
        <v>975</v>
      </c>
      <c r="P104" s="0" t="s">
        <v>976</v>
      </c>
      <c r="Q104" s="0" t="s">
        <v>974</v>
      </c>
      <c r="R104" s="0" t="s">
        <v>970</v>
      </c>
      <c r="S104" s="0" t="s">
        <v>974</v>
      </c>
    </row>
    <row r="105" customFormat="false" ht="13.8" hidden="false" customHeight="false" outlineLevel="0" collapsed="false">
      <c r="A105" s="0" t="n">
        <v>1861</v>
      </c>
      <c r="B105" s="0" t="s">
        <v>1565</v>
      </c>
      <c r="C105" s="0" t="s">
        <v>1048</v>
      </c>
      <c r="E105" s="0" t="n">
        <f aca="false">IF(J104=J105,E104+10,0)</f>
        <v>10</v>
      </c>
      <c r="F105" s="0" t="s">
        <v>1566</v>
      </c>
      <c r="G105" s="0" t="s">
        <v>1567</v>
      </c>
      <c r="H105" s="0" t="s">
        <v>1568</v>
      </c>
      <c r="I105" s="0" t="s">
        <v>1052</v>
      </c>
      <c r="J105" s="0" t="s">
        <v>1563</v>
      </c>
      <c r="K105" s="0" t="s">
        <v>1493</v>
      </c>
      <c r="L105" s="0" t="s">
        <v>1117</v>
      </c>
      <c r="M105" s="0" t="s">
        <v>973</v>
      </c>
      <c r="N105" s="0" t="s">
        <v>974</v>
      </c>
      <c r="O105" s="0" t="s">
        <v>975</v>
      </c>
      <c r="P105" s="0" t="s">
        <v>976</v>
      </c>
      <c r="Q105" s="0" t="s">
        <v>974</v>
      </c>
      <c r="R105" s="0" t="s">
        <v>970</v>
      </c>
      <c r="S105" s="0" t="s">
        <v>974</v>
      </c>
    </row>
    <row r="106" customFormat="false" ht="13.8" hidden="false" customHeight="false" outlineLevel="0" collapsed="false">
      <c r="A106" s="0" t="n">
        <v>1862</v>
      </c>
      <c r="B106" s="0" t="s">
        <v>1569</v>
      </c>
      <c r="C106" s="0" t="s">
        <v>1324</v>
      </c>
      <c r="E106" s="0" t="n">
        <f aca="false">IF(J105=J106,E105+10,0)</f>
        <v>20</v>
      </c>
      <c r="F106" s="0" t="s">
        <v>1570</v>
      </c>
      <c r="G106" s="0" t="s">
        <v>1571</v>
      </c>
      <c r="H106" s="0" t="s">
        <v>1572</v>
      </c>
      <c r="I106" s="0" t="s">
        <v>1328</v>
      </c>
      <c r="J106" s="0" t="s">
        <v>1563</v>
      </c>
      <c r="K106" s="0" t="s">
        <v>1573</v>
      </c>
      <c r="L106" s="0" t="s">
        <v>970</v>
      </c>
      <c r="M106" s="0" t="s">
        <v>973</v>
      </c>
      <c r="N106" s="0" t="s">
        <v>974</v>
      </c>
      <c r="O106" s="0" t="s">
        <v>975</v>
      </c>
      <c r="P106" s="0" t="s">
        <v>976</v>
      </c>
      <c r="Q106" s="0" t="s">
        <v>974</v>
      </c>
      <c r="R106" s="0" t="s">
        <v>970</v>
      </c>
      <c r="S106" s="0" t="s">
        <v>974</v>
      </c>
    </row>
    <row r="107" customFormat="false" ht="13.8" hidden="false" customHeight="false" outlineLevel="0" collapsed="false">
      <c r="A107" s="0" t="n">
        <v>1863</v>
      </c>
      <c r="B107" s="0" t="s">
        <v>1574</v>
      </c>
      <c r="C107" s="0" t="s">
        <v>1517</v>
      </c>
      <c r="E107" s="0" t="n">
        <f aca="false">IF(J106=J107,E106+10,0)</f>
        <v>30</v>
      </c>
      <c r="F107" s="0" t="s">
        <v>1575</v>
      </c>
      <c r="G107" s="0" t="s">
        <v>1576</v>
      </c>
      <c r="H107" s="0" t="s">
        <v>1577</v>
      </c>
      <c r="I107" s="0" t="s">
        <v>1106</v>
      </c>
      <c r="J107" s="0" t="s">
        <v>1563</v>
      </c>
      <c r="K107" s="0" t="s">
        <v>971</v>
      </c>
      <c r="L107" s="0" t="s">
        <v>974</v>
      </c>
      <c r="M107" s="0" t="s">
        <v>973</v>
      </c>
      <c r="N107" s="0" t="s">
        <v>974</v>
      </c>
      <c r="O107" s="0" t="s">
        <v>975</v>
      </c>
      <c r="P107" s="0" t="s">
        <v>976</v>
      </c>
      <c r="Q107" s="0" t="s">
        <v>1214</v>
      </c>
      <c r="R107" s="0" t="s">
        <v>970</v>
      </c>
      <c r="S107" s="0" t="s">
        <v>974</v>
      </c>
    </row>
    <row r="108" customFormat="false" ht="13.8" hidden="false" customHeight="false" outlineLevel="0" collapsed="false">
      <c r="A108" s="0" t="n">
        <v>1864</v>
      </c>
      <c r="B108" s="0" t="s">
        <v>1578</v>
      </c>
      <c r="C108" s="0" t="s">
        <v>1010</v>
      </c>
      <c r="E108" s="0" t="n">
        <f aca="false">IF(J107=J108,E107+10,0)</f>
        <v>40</v>
      </c>
      <c r="F108" s="0" t="s">
        <v>1579</v>
      </c>
      <c r="G108" s="0" t="s">
        <v>1580</v>
      </c>
      <c r="H108" s="0" t="s">
        <v>1581</v>
      </c>
      <c r="I108" s="0" t="s">
        <v>1014</v>
      </c>
      <c r="J108" s="0" t="s">
        <v>1563</v>
      </c>
      <c r="K108" s="0" t="s">
        <v>971</v>
      </c>
      <c r="L108" s="0" t="s">
        <v>974</v>
      </c>
      <c r="M108" s="0" t="s">
        <v>973</v>
      </c>
      <c r="N108" s="0" t="s">
        <v>974</v>
      </c>
      <c r="O108" s="0" t="s">
        <v>975</v>
      </c>
      <c r="P108" s="0" t="s">
        <v>976</v>
      </c>
      <c r="Q108" s="0" t="s">
        <v>970</v>
      </c>
      <c r="R108" s="0" t="s">
        <v>1046</v>
      </c>
      <c r="S108" s="0" t="s">
        <v>974</v>
      </c>
    </row>
    <row r="109" customFormat="false" ht="13.8" hidden="false" customHeight="false" outlineLevel="0" collapsed="false">
      <c r="A109" s="0" t="n">
        <v>1865</v>
      </c>
      <c r="B109" s="0" t="s">
        <v>1582</v>
      </c>
      <c r="C109" s="0" t="s">
        <v>1583</v>
      </c>
      <c r="E109" s="0" t="n">
        <f aca="false">IF(J108=J109,E108+10,0)</f>
        <v>50</v>
      </c>
      <c r="F109" s="0" t="s">
        <v>1584</v>
      </c>
      <c r="G109" s="0" t="s">
        <v>1585</v>
      </c>
      <c r="H109" s="0" t="s">
        <v>1586</v>
      </c>
      <c r="I109" s="0" t="s">
        <v>1587</v>
      </c>
      <c r="J109" s="0" t="s">
        <v>1563</v>
      </c>
      <c r="K109" s="0" t="s">
        <v>971</v>
      </c>
      <c r="L109" s="0" t="s">
        <v>974</v>
      </c>
      <c r="M109" s="0" t="s">
        <v>973</v>
      </c>
      <c r="N109" s="0" t="s">
        <v>974</v>
      </c>
      <c r="O109" s="0" t="s">
        <v>975</v>
      </c>
      <c r="P109" s="0" t="s">
        <v>976</v>
      </c>
      <c r="Q109" s="0" t="s">
        <v>1232</v>
      </c>
      <c r="R109" s="0" t="s">
        <v>1046</v>
      </c>
      <c r="S109" s="0" t="s">
        <v>974</v>
      </c>
    </row>
    <row r="110" customFormat="false" ht="13.8" hidden="false" customHeight="false" outlineLevel="0" collapsed="false">
      <c r="A110" s="0" t="n">
        <v>1866</v>
      </c>
      <c r="B110" s="0" t="s">
        <v>1588</v>
      </c>
      <c r="C110" s="0" t="s">
        <v>1589</v>
      </c>
      <c r="E110" s="0" t="n">
        <f aca="false">IF(J109=J110,E109+10,0)</f>
        <v>60</v>
      </c>
      <c r="F110" s="0" t="s">
        <v>1590</v>
      </c>
      <c r="G110" s="0" t="s">
        <v>1591</v>
      </c>
      <c r="H110" s="0" t="s">
        <v>1592</v>
      </c>
      <c r="I110" s="0" t="s">
        <v>1021</v>
      </c>
      <c r="J110" s="0" t="s">
        <v>1563</v>
      </c>
      <c r="K110" s="0" t="s">
        <v>971</v>
      </c>
      <c r="L110" s="0" t="s">
        <v>974</v>
      </c>
      <c r="M110" s="0" t="s">
        <v>973</v>
      </c>
      <c r="N110" s="0" t="s">
        <v>974</v>
      </c>
      <c r="O110" s="0" t="s">
        <v>975</v>
      </c>
      <c r="P110" s="0" t="s">
        <v>976</v>
      </c>
      <c r="Q110" s="0" t="s">
        <v>970</v>
      </c>
      <c r="R110" s="0" t="s">
        <v>1046</v>
      </c>
      <c r="S110" s="0" t="s">
        <v>974</v>
      </c>
    </row>
    <row r="111" customFormat="false" ht="13.8" hidden="false" customHeight="false" outlineLevel="0" collapsed="false">
      <c r="A111" s="0" t="n">
        <v>1867</v>
      </c>
      <c r="B111" s="0" t="s">
        <v>1593</v>
      </c>
      <c r="C111" s="0" t="s">
        <v>1035</v>
      </c>
      <c r="E111" s="0" t="n">
        <f aca="false">IF(J110=J111,E110+10,0)</f>
        <v>70</v>
      </c>
      <c r="F111" s="0" t="s">
        <v>1594</v>
      </c>
      <c r="G111" s="0" t="s">
        <v>1595</v>
      </c>
      <c r="H111" s="0" t="s">
        <v>1596</v>
      </c>
      <c r="I111" s="0" t="s">
        <v>970</v>
      </c>
      <c r="J111" s="0" t="s">
        <v>1563</v>
      </c>
      <c r="K111" s="0" t="s">
        <v>971</v>
      </c>
      <c r="L111" s="0" t="s">
        <v>974</v>
      </c>
      <c r="M111" s="0" t="s">
        <v>973</v>
      </c>
      <c r="N111" s="0" t="s">
        <v>974</v>
      </c>
      <c r="O111" s="0" t="s">
        <v>975</v>
      </c>
      <c r="P111" s="0" t="s">
        <v>976</v>
      </c>
      <c r="Q111" s="0" t="s">
        <v>1059</v>
      </c>
      <c r="R111" s="0" t="s">
        <v>970</v>
      </c>
      <c r="S111" s="0" t="s">
        <v>974</v>
      </c>
    </row>
    <row r="112" customFormat="false" ht="13.8" hidden="false" customHeight="false" outlineLevel="0" collapsed="false">
      <c r="A112" s="0" t="n">
        <v>1868</v>
      </c>
      <c r="B112" s="0" t="s">
        <v>1597</v>
      </c>
      <c r="C112" s="0" t="s">
        <v>1598</v>
      </c>
      <c r="E112" s="0" t="n">
        <f aca="false">IF(J111=J112,E111+10,0)</f>
        <v>80</v>
      </c>
      <c r="F112" s="0" t="s">
        <v>1599</v>
      </c>
      <c r="G112" s="0" t="s">
        <v>1600</v>
      </c>
      <c r="H112" s="0" t="s">
        <v>1601</v>
      </c>
      <c r="I112" s="0" t="s">
        <v>1180</v>
      </c>
      <c r="J112" s="0" t="s">
        <v>1563</v>
      </c>
      <c r="K112" s="0" t="s">
        <v>971</v>
      </c>
      <c r="L112" s="0" t="s">
        <v>974</v>
      </c>
      <c r="M112" s="0" t="s">
        <v>973</v>
      </c>
      <c r="N112" s="0" t="s">
        <v>974</v>
      </c>
      <c r="O112" s="0" t="s">
        <v>975</v>
      </c>
      <c r="P112" s="0" t="s">
        <v>976</v>
      </c>
      <c r="Q112" s="0" t="s">
        <v>970</v>
      </c>
      <c r="R112" s="0" t="s">
        <v>1046</v>
      </c>
      <c r="S112" s="0" t="s">
        <v>974</v>
      </c>
    </row>
    <row r="113" customFormat="false" ht="13.8" hidden="false" customHeight="false" outlineLevel="0" collapsed="false">
      <c r="A113" s="0" t="n">
        <v>1869</v>
      </c>
      <c r="B113" s="0" t="s">
        <v>1602</v>
      </c>
      <c r="C113" s="0" t="s">
        <v>1526</v>
      </c>
      <c r="E113" s="0" t="n">
        <f aca="false">IF(J112=J113,E112+10,0)</f>
        <v>90</v>
      </c>
      <c r="F113" s="0" t="s">
        <v>1603</v>
      </c>
      <c r="G113" s="0" t="s">
        <v>1604</v>
      </c>
      <c r="H113" s="0" t="s">
        <v>1605</v>
      </c>
      <c r="I113" s="0" t="s">
        <v>1045</v>
      </c>
      <c r="J113" s="0" t="s">
        <v>1563</v>
      </c>
      <c r="K113" s="0" t="s">
        <v>971</v>
      </c>
      <c r="L113" s="0" t="s">
        <v>974</v>
      </c>
      <c r="M113" s="0" t="s">
        <v>973</v>
      </c>
      <c r="N113" s="0" t="s">
        <v>974</v>
      </c>
      <c r="O113" s="0" t="s">
        <v>975</v>
      </c>
      <c r="P113" s="0" t="s">
        <v>976</v>
      </c>
      <c r="Q113" s="0" t="s">
        <v>1214</v>
      </c>
      <c r="R113" s="0" t="s">
        <v>1046</v>
      </c>
      <c r="S113" s="0" t="s">
        <v>974</v>
      </c>
    </row>
    <row r="114" customFormat="false" ht="13.8" hidden="false" customHeight="false" outlineLevel="0" collapsed="false">
      <c r="A114" s="0" t="n">
        <v>1870</v>
      </c>
      <c r="B114" s="0" t="s">
        <v>1606</v>
      </c>
      <c r="C114" s="0" t="s">
        <v>1314</v>
      </c>
      <c r="E114" s="0" t="n">
        <f aca="false">IF(J113=J114,E113+10,0)</f>
        <v>100</v>
      </c>
      <c r="F114" s="0" t="s">
        <v>1607</v>
      </c>
      <c r="G114" s="0" t="s">
        <v>1608</v>
      </c>
      <c r="H114" s="0" t="s">
        <v>1609</v>
      </c>
      <c r="I114" s="0" t="s">
        <v>1161</v>
      </c>
      <c r="J114" s="0" t="s">
        <v>1563</v>
      </c>
      <c r="K114" s="0" t="s">
        <v>971</v>
      </c>
      <c r="L114" s="0" t="s">
        <v>974</v>
      </c>
      <c r="M114" s="0" t="s">
        <v>973</v>
      </c>
      <c r="N114" s="0" t="s">
        <v>974</v>
      </c>
      <c r="O114" s="0" t="s">
        <v>975</v>
      </c>
      <c r="P114" s="0" t="s">
        <v>976</v>
      </c>
      <c r="Q114" s="0" t="s">
        <v>973</v>
      </c>
      <c r="R114" s="0" t="s">
        <v>1046</v>
      </c>
      <c r="S114" s="0" t="s">
        <v>974</v>
      </c>
    </row>
    <row r="115" customFormat="false" ht="13.8" hidden="false" customHeight="false" outlineLevel="0" collapsed="false">
      <c r="A115" s="0" t="n">
        <v>1871</v>
      </c>
      <c r="B115" s="0" t="s">
        <v>1610</v>
      </c>
      <c r="C115" s="0" t="s">
        <v>1163</v>
      </c>
      <c r="E115" s="0" t="n">
        <f aca="false">IF(J114=J115,E114+10,0)</f>
        <v>110</v>
      </c>
      <c r="F115" s="0" t="s">
        <v>1611</v>
      </c>
      <c r="G115" s="0" t="s">
        <v>1612</v>
      </c>
      <c r="H115" s="0" t="s">
        <v>1613</v>
      </c>
      <c r="I115" s="0" t="s">
        <v>1167</v>
      </c>
      <c r="J115" s="0" t="s">
        <v>1563</v>
      </c>
      <c r="K115" s="0" t="s">
        <v>971</v>
      </c>
      <c r="L115" s="0" t="s">
        <v>974</v>
      </c>
      <c r="M115" s="0" t="s">
        <v>973</v>
      </c>
      <c r="N115" s="0" t="s">
        <v>974</v>
      </c>
      <c r="O115" s="0" t="s">
        <v>975</v>
      </c>
      <c r="P115" s="0" t="s">
        <v>976</v>
      </c>
      <c r="Q115" s="0" t="s">
        <v>1117</v>
      </c>
      <c r="R115" s="0" t="s">
        <v>970</v>
      </c>
      <c r="S115" s="0" t="s">
        <v>974</v>
      </c>
    </row>
    <row r="116" customFormat="false" ht="13.8" hidden="false" customHeight="false" outlineLevel="0" collapsed="false">
      <c r="A116" s="0" t="n">
        <v>1872</v>
      </c>
      <c r="B116" s="0" t="s">
        <v>1614</v>
      </c>
      <c r="C116" s="0" t="s">
        <v>1096</v>
      </c>
      <c r="E116" s="0" t="n">
        <f aca="false">IF(J115=J116,E115+10,0)</f>
        <v>120</v>
      </c>
      <c r="F116" s="0" t="s">
        <v>1615</v>
      </c>
      <c r="G116" s="0" t="s">
        <v>1616</v>
      </c>
      <c r="H116" s="0" t="s">
        <v>1617</v>
      </c>
      <c r="I116" s="0" t="s">
        <v>1100</v>
      </c>
      <c r="J116" s="0" t="s">
        <v>1563</v>
      </c>
      <c r="K116" s="0" t="s">
        <v>971</v>
      </c>
      <c r="L116" s="0" t="s">
        <v>974</v>
      </c>
      <c r="M116" s="0" t="s">
        <v>973</v>
      </c>
      <c r="N116" s="0" t="s">
        <v>974</v>
      </c>
      <c r="O116" s="0" t="s">
        <v>975</v>
      </c>
      <c r="P116" s="0" t="s">
        <v>976</v>
      </c>
      <c r="Q116" s="0" t="s">
        <v>1618</v>
      </c>
      <c r="R116" s="0" t="s">
        <v>1046</v>
      </c>
      <c r="S116" s="0" t="s">
        <v>974</v>
      </c>
    </row>
    <row r="117" customFormat="false" ht="13.8" hidden="false" customHeight="false" outlineLevel="0" collapsed="false">
      <c r="A117" s="0" t="n">
        <v>1873</v>
      </c>
      <c r="B117" s="0" t="s">
        <v>1619</v>
      </c>
      <c r="C117" s="0" t="s">
        <v>1620</v>
      </c>
      <c r="E117" s="0" t="n">
        <f aca="false">IF(J116=J117,E116+10,0)</f>
        <v>0</v>
      </c>
      <c r="F117" s="0" t="s">
        <v>1621</v>
      </c>
      <c r="G117" s="0" t="s">
        <v>1622</v>
      </c>
      <c r="H117" s="0" t="s">
        <v>1623</v>
      </c>
      <c r="I117" s="0" t="s">
        <v>1499</v>
      </c>
      <c r="J117" s="0" t="s">
        <v>1008</v>
      </c>
      <c r="K117" s="0" t="s">
        <v>1624</v>
      </c>
      <c r="L117" s="0" t="s">
        <v>1625</v>
      </c>
      <c r="M117" s="0" t="s">
        <v>973</v>
      </c>
      <c r="N117" s="0" t="s">
        <v>974</v>
      </c>
      <c r="O117" s="0" t="s">
        <v>975</v>
      </c>
      <c r="P117" s="0" t="s">
        <v>976</v>
      </c>
      <c r="Q117" s="0" t="s">
        <v>974</v>
      </c>
      <c r="R117" s="0" t="s">
        <v>970</v>
      </c>
      <c r="S117" s="0" t="s">
        <v>974</v>
      </c>
    </row>
    <row r="118" customFormat="false" ht="13.8" hidden="false" customHeight="false" outlineLevel="0" collapsed="false">
      <c r="A118" s="0" t="n">
        <v>1874</v>
      </c>
      <c r="B118" s="0" t="s">
        <v>1626</v>
      </c>
      <c r="C118" s="0" t="s">
        <v>1048</v>
      </c>
      <c r="E118" s="0" t="n">
        <f aca="false">IF(J117=J118,E117+10,0)</f>
        <v>10</v>
      </c>
      <c r="F118" s="0" t="s">
        <v>1627</v>
      </c>
      <c r="G118" s="0" t="s">
        <v>1628</v>
      </c>
      <c r="H118" s="0" t="s">
        <v>1629</v>
      </c>
      <c r="I118" s="0" t="s">
        <v>1052</v>
      </c>
      <c r="J118" s="0" t="s">
        <v>1008</v>
      </c>
      <c r="K118" s="0" t="s">
        <v>1630</v>
      </c>
      <c r="L118" s="0" t="s">
        <v>1046</v>
      </c>
      <c r="M118" s="0" t="s">
        <v>973</v>
      </c>
      <c r="N118" s="0" t="s">
        <v>974</v>
      </c>
      <c r="O118" s="0" t="s">
        <v>975</v>
      </c>
      <c r="P118" s="0" t="s">
        <v>976</v>
      </c>
      <c r="Q118" s="0" t="s">
        <v>974</v>
      </c>
      <c r="R118" s="0" t="s">
        <v>970</v>
      </c>
      <c r="S118" s="0" t="s">
        <v>974</v>
      </c>
    </row>
    <row r="119" customFormat="false" ht="13.8" hidden="false" customHeight="false" outlineLevel="0" collapsed="false">
      <c r="A119" s="0" t="n">
        <v>1875</v>
      </c>
      <c r="B119" s="0" t="s">
        <v>1631</v>
      </c>
      <c r="C119" s="0" t="s">
        <v>1598</v>
      </c>
      <c r="E119" s="0" t="n">
        <f aca="false">IF(J118=J119,E118+10,0)</f>
        <v>20</v>
      </c>
      <c r="F119" s="0" t="s">
        <v>1632</v>
      </c>
      <c r="G119" s="0" t="s">
        <v>1633</v>
      </c>
      <c r="H119" s="0" t="s">
        <v>1634</v>
      </c>
      <c r="I119" s="0" t="s">
        <v>1180</v>
      </c>
      <c r="J119" s="0" t="s">
        <v>1008</v>
      </c>
      <c r="K119" s="0" t="s">
        <v>971</v>
      </c>
      <c r="L119" s="0" t="s">
        <v>974</v>
      </c>
      <c r="M119" s="0" t="s">
        <v>973</v>
      </c>
      <c r="N119" s="0" t="s">
        <v>974</v>
      </c>
      <c r="O119" s="0" t="s">
        <v>975</v>
      </c>
      <c r="P119" s="0" t="s">
        <v>976</v>
      </c>
      <c r="Q119" s="0" t="s">
        <v>970</v>
      </c>
      <c r="R119" s="0" t="s">
        <v>1046</v>
      </c>
      <c r="S119" s="0" t="s">
        <v>974</v>
      </c>
    </row>
    <row r="120" customFormat="false" ht="13.8" hidden="false" customHeight="false" outlineLevel="0" collapsed="false">
      <c r="A120" s="0" t="n">
        <v>1876</v>
      </c>
      <c r="B120" s="0" t="s">
        <v>1635</v>
      </c>
      <c r="C120" s="0" t="s">
        <v>1636</v>
      </c>
      <c r="E120" s="0" t="n">
        <f aca="false">IF(J119=J120,E119+10,0)</f>
        <v>30</v>
      </c>
      <c r="F120" s="0" t="s">
        <v>1637</v>
      </c>
      <c r="G120" s="0" t="s">
        <v>1638</v>
      </c>
      <c r="H120" s="0" t="s">
        <v>1639</v>
      </c>
      <c r="I120" s="0" t="s">
        <v>1306</v>
      </c>
      <c r="J120" s="0" t="s">
        <v>1008</v>
      </c>
      <c r="K120" s="0" t="s">
        <v>971</v>
      </c>
      <c r="L120" s="0" t="s">
        <v>974</v>
      </c>
      <c r="M120" s="0" t="s">
        <v>973</v>
      </c>
      <c r="N120" s="0" t="s">
        <v>974</v>
      </c>
      <c r="O120" s="0" t="s">
        <v>975</v>
      </c>
      <c r="P120" s="0" t="s">
        <v>976</v>
      </c>
      <c r="Q120" s="0" t="s">
        <v>1214</v>
      </c>
      <c r="R120" s="0" t="s">
        <v>1046</v>
      </c>
      <c r="S120" s="0" t="s">
        <v>974</v>
      </c>
    </row>
    <row r="121" customFormat="false" ht="13.8" hidden="false" customHeight="false" outlineLevel="0" collapsed="false">
      <c r="A121" s="0" t="n">
        <v>1877</v>
      </c>
      <c r="B121" s="0" t="s">
        <v>1640</v>
      </c>
      <c r="C121" s="0" t="s">
        <v>1641</v>
      </c>
      <c r="E121" s="0" t="n">
        <f aca="false">IF(J120=J121,E120+10,0)</f>
        <v>40</v>
      </c>
      <c r="F121" s="0" t="s">
        <v>1642</v>
      </c>
      <c r="G121" s="0" t="s">
        <v>1643</v>
      </c>
      <c r="H121" s="0" t="s">
        <v>1644</v>
      </c>
      <c r="I121" s="0" t="s">
        <v>1073</v>
      </c>
      <c r="J121" s="0" t="s">
        <v>1008</v>
      </c>
      <c r="K121" s="0" t="s">
        <v>971</v>
      </c>
      <c r="L121" s="0" t="s">
        <v>974</v>
      </c>
      <c r="M121" s="0" t="s">
        <v>973</v>
      </c>
      <c r="N121" s="0" t="s">
        <v>974</v>
      </c>
      <c r="O121" s="0" t="s">
        <v>975</v>
      </c>
      <c r="P121" s="0" t="s">
        <v>976</v>
      </c>
      <c r="Q121" s="0" t="s">
        <v>1059</v>
      </c>
      <c r="R121" s="0" t="s">
        <v>1046</v>
      </c>
      <c r="S121" s="0" t="s">
        <v>974</v>
      </c>
    </row>
    <row r="122" customFormat="false" ht="13.8" hidden="false" customHeight="false" outlineLevel="0" collapsed="false">
      <c r="A122" s="0" t="n">
        <v>1878</v>
      </c>
      <c r="B122" s="0" t="s">
        <v>1645</v>
      </c>
      <c r="C122" s="0" t="s">
        <v>1583</v>
      </c>
      <c r="E122" s="0" t="n">
        <f aca="false">IF(J121=J122,E121+10,0)</f>
        <v>50</v>
      </c>
      <c r="F122" s="0" t="s">
        <v>1646</v>
      </c>
      <c r="G122" s="0" t="s">
        <v>1647</v>
      </c>
      <c r="H122" s="0" t="s">
        <v>1648</v>
      </c>
      <c r="I122" s="0" t="s">
        <v>1587</v>
      </c>
      <c r="J122" s="0" t="s">
        <v>1008</v>
      </c>
      <c r="K122" s="0" t="s">
        <v>971</v>
      </c>
      <c r="L122" s="0" t="s">
        <v>974</v>
      </c>
      <c r="M122" s="0" t="s">
        <v>973</v>
      </c>
      <c r="N122" s="0" t="s">
        <v>974</v>
      </c>
      <c r="O122" s="0" t="s">
        <v>975</v>
      </c>
      <c r="P122" s="0" t="s">
        <v>976</v>
      </c>
      <c r="Q122" s="0" t="s">
        <v>1059</v>
      </c>
      <c r="R122" s="0" t="s">
        <v>1046</v>
      </c>
      <c r="S122" s="0" t="s">
        <v>974</v>
      </c>
    </row>
    <row r="123" customFormat="false" ht="13.8" hidden="false" customHeight="false" outlineLevel="0" collapsed="false">
      <c r="A123" s="0" t="n">
        <v>1879</v>
      </c>
      <c r="B123" s="0" t="s">
        <v>1649</v>
      </c>
      <c r="C123" s="0" t="s">
        <v>1119</v>
      </c>
      <c r="E123" s="0" t="n">
        <f aca="false">IF(J122=J123,E122+10,0)</f>
        <v>60</v>
      </c>
      <c r="F123" s="0" t="s">
        <v>1650</v>
      </c>
      <c r="G123" s="0" t="s">
        <v>1651</v>
      </c>
      <c r="H123" s="0" t="s">
        <v>1652</v>
      </c>
      <c r="I123" s="0" t="s">
        <v>1123</v>
      </c>
      <c r="J123" s="0" t="s">
        <v>1008</v>
      </c>
      <c r="K123" s="0" t="s">
        <v>971</v>
      </c>
      <c r="L123" s="0" t="s">
        <v>974</v>
      </c>
      <c r="M123" s="0" t="s">
        <v>973</v>
      </c>
      <c r="N123" s="0" t="s">
        <v>974</v>
      </c>
      <c r="O123" s="0" t="s">
        <v>975</v>
      </c>
      <c r="P123" s="0" t="s">
        <v>976</v>
      </c>
      <c r="Q123" s="0" t="s">
        <v>970</v>
      </c>
      <c r="R123" s="0" t="s">
        <v>1046</v>
      </c>
      <c r="S123" s="0" t="s">
        <v>974</v>
      </c>
    </row>
    <row r="124" customFormat="false" ht="13.8" hidden="false" customHeight="false" outlineLevel="0" collapsed="false">
      <c r="A124" s="0" t="n">
        <v>1880</v>
      </c>
      <c r="B124" s="0" t="s">
        <v>1653</v>
      </c>
      <c r="C124" s="0" t="s">
        <v>1096</v>
      </c>
      <c r="E124" s="0" t="n">
        <f aca="false">IF(J123=J124,E123+10,0)</f>
        <v>70</v>
      </c>
      <c r="F124" s="0" t="s">
        <v>1654</v>
      </c>
      <c r="G124" s="0" t="s">
        <v>1655</v>
      </c>
      <c r="H124" s="0" t="s">
        <v>1656</v>
      </c>
      <c r="I124" s="0" t="s">
        <v>1100</v>
      </c>
      <c r="J124" s="0" t="s">
        <v>1008</v>
      </c>
      <c r="K124" s="0" t="s">
        <v>971</v>
      </c>
      <c r="L124" s="0" t="s">
        <v>974</v>
      </c>
      <c r="M124" s="0" t="s">
        <v>973</v>
      </c>
      <c r="N124" s="0" t="s">
        <v>974</v>
      </c>
      <c r="O124" s="0" t="s">
        <v>975</v>
      </c>
      <c r="P124" s="0" t="s">
        <v>976</v>
      </c>
      <c r="Q124" s="0" t="s">
        <v>975</v>
      </c>
      <c r="R124" s="0" t="s">
        <v>1046</v>
      </c>
      <c r="S124" s="0" t="s">
        <v>974</v>
      </c>
    </row>
    <row r="125" customFormat="false" ht="13.8" hidden="false" customHeight="false" outlineLevel="0" collapsed="false">
      <c r="A125" s="0" t="n">
        <v>1881</v>
      </c>
      <c r="B125" s="0" t="s">
        <v>1657</v>
      </c>
      <c r="C125" s="0" t="s">
        <v>1517</v>
      </c>
      <c r="E125" s="0" t="n">
        <f aca="false">IF(J124=J125,E124+10,0)</f>
        <v>80</v>
      </c>
      <c r="F125" s="0" t="s">
        <v>1658</v>
      </c>
      <c r="G125" s="0" t="s">
        <v>1659</v>
      </c>
      <c r="H125" s="0" t="s">
        <v>1660</v>
      </c>
      <c r="I125" s="0" t="s">
        <v>1106</v>
      </c>
      <c r="J125" s="0" t="s">
        <v>1008</v>
      </c>
      <c r="K125" s="0" t="s">
        <v>971</v>
      </c>
      <c r="L125" s="0" t="s">
        <v>974</v>
      </c>
      <c r="M125" s="0" t="s">
        <v>973</v>
      </c>
      <c r="N125" s="0" t="s">
        <v>974</v>
      </c>
      <c r="O125" s="0" t="s">
        <v>975</v>
      </c>
      <c r="P125" s="0" t="s">
        <v>976</v>
      </c>
      <c r="Q125" s="0" t="s">
        <v>1214</v>
      </c>
      <c r="R125" s="0" t="s">
        <v>970</v>
      </c>
      <c r="S125" s="0" t="s">
        <v>974</v>
      </c>
    </row>
    <row r="126" customFormat="false" ht="13.8" hidden="false" customHeight="false" outlineLevel="0" collapsed="false">
      <c r="A126" s="0" t="n">
        <v>1882</v>
      </c>
      <c r="B126" s="0" t="s">
        <v>1661</v>
      </c>
      <c r="C126" s="0" t="s">
        <v>1662</v>
      </c>
      <c r="E126" s="0" t="n">
        <f aca="false">IF(J125=J126,E125+10,0)</f>
        <v>90</v>
      </c>
      <c r="F126" s="0" t="s">
        <v>1663</v>
      </c>
      <c r="G126" s="0" t="s">
        <v>1664</v>
      </c>
      <c r="H126" s="0" t="s">
        <v>1665</v>
      </c>
      <c r="I126" s="0" t="s">
        <v>1666</v>
      </c>
      <c r="J126" s="0" t="s">
        <v>1008</v>
      </c>
      <c r="K126" s="0" t="s">
        <v>971</v>
      </c>
      <c r="L126" s="0" t="s">
        <v>974</v>
      </c>
      <c r="M126" s="0" t="s">
        <v>973</v>
      </c>
      <c r="N126" s="0" t="s">
        <v>974</v>
      </c>
      <c r="O126" s="0" t="s">
        <v>975</v>
      </c>
      <c r="P126" s="0" t="s">
        <v>976</v>
      </c>
      <c r="Q126" s="0" t="s">
        <v>1059</v>
      </c>
      <c r="R126" s="0" t="s">
        <v>1046</v>
      </c>
      <c r="S126" s="0" t="s">
        <v>974</v>
      </c>
    </row>
    <row r="127" customFormat="false" ht="13.8" hidden="false" customHeight="false" outlineLevel="0" collapsed="false">
      <c r="A127" s="0" t="n">
        <v>1883</v>
      </c>
      <c r="B127" s="0" t="s">
        <v>1667</v>
      </c>
      <c r="C127" s="0" t="s">
        <v>1010</v>
      </c>
      <c r="E127" s="0" t="n">
        <f aca="false">IF(J126=J127,E126+10,0)</f>
        <v>100</v>
      </c>
      <c r="F127" s="0" t="s">
        <v>1668</v>
      </c>
      <c r="G127" s="0" t="s">
        <v>1669</v>
      </c>
      <c r="H127" s="0" t="s">
        <v>1670</v>
      </c>
      <c r="I127" s="0" t="s">
        <v>1014</v>
      </c>
      <c r="J127" s="0" t="s">
        <v>1008</v>
      </c>
      <c r="K127" s="0" t="s">
        <v>971</v>
      </c>
      <c r="L127" s="0" t="s">
        <v>974</v>
      </c>
      <c r="M127" s="0" t="s">
        <v>973</v>
      </c>
      <c r="N127" s="0" t="s">
        <v>974</v>
      </c>
      <c r="O127" s="0" t="s">
        <v>975</v>
      </c>
      <c r="P127" s="0" t="s">
        <v>976</v>
      </c>
      <c r="Q127" s="0" t="s">
        <v>1128</v>
      </c>
      <c r="R127" s="0" t="s">
        <v>1046</v>
      </c>
      <c r="S127" s="0" t="s">
        <v>974</v>
      </c>
    </row>
    <row r="128" customFormat="false" ht="13.8" hidden="false" customHeight="false" outlineLevel="0" collapsed="false">
      <c r="A128" s="0" t="n">
        <v>1884</v>
      </c>
      <c r="B128" s="0" t="s">
        <v>1671</v>
      </c>
      <c r="C128" s="0" t="s">
        <v>1035</v>
      </c>
      <c r="E128" s="0" t="n">
        <f aca="false">IF(J127=J128,E127+10,0)</f>
        <v>110</v>
      </c>
      <c r="F128" s="0" t="s">
        <v>1672</v>
      </c>
      <c r="G128" s="0" t="s">
        <v>1673</v>
      </c>
      <c r="H128" s="0" t="s">
        <v>1674</v>
      </c>
      <c r="I128" s="0" t="s">
        <v>970</v>
      </c>
      <c r="J128" s="0" t="s">
        <v>1008</v>
      </c>
      <c r="K128" s="0" t="s">
        <v>971</v>
      </c>
      <c r="L128" s="0" t="s">
        <v>974</v>
      </c>
      <c r="M128" s="0" t="s">
        <v>973</v>
      </c>
      <c r="N128" s="0" t="s">
        <v>974</v>
      </c>
      <c r="O128" s="0" t="s">
        <v>975</v>
      </c>
      <c r="P128" s="0" t="s">
        <v>976</v>
      </c>
      <c r="Q128" s="0" t="s">
        <v>1059</v>
      </c>
      <c r="R128" s="0" t="s">
        <v>970</v>
      </c>
      <c r="S128" s="0" t="s">
        <v>974</v>
      </c>
    </row>
    <row r="129" customFormat="false" ht="13.8" hidden="false" customHeight="false" outlineLevel="0" collapsed="false">
      <c r="A129" s="0" t="n">
        <v>1885</v>
      </c>
      <c r="B129" s="0" t="s">
        <v>1675</v>
      </c>
      <c r="C129" s="0" t="s">
        <v>1526</v>
      </c>
      <c r="E129" s="0" t="n">
        <f aca="false">IF(J128=J129,E128+10,0)</f>
        <v>120</v>
      </c>
      <c r="F129" s="0" t="s">
        <v>1676</v>
      </c>
      <c r="G129" s="0" t="s">
        <v>1677</v>
      </c>
      <c r="H129" s="0" t="s">
        <v>1678</v>
      </c>
      <c r="I129" s="0" t="s">
        <v>1045</v>
      </c>
      <c r="J129" s="0" t="s">
        <v>1008</v>
      </c>
      <c r="K129" s="0" t="s">
        <v>971</v>
      </c>
      <c r="L129" s="0" t="s">
        <v>974</v>
      </c>
      <c r="M129" s="0" t="s">
        <v>973</v>
      </c>
      <c r="N129" s="0" t="s">
        <v>974</v>
      </c>
      <c r="O129" s="0" t="s">
        <v>975</v>
      </c>
      <c r="P129" s="0" t="s">
        <v>976</v>
      </c>
      <c r="Q129" s="0" t="s">
        <v>970</v>
      </c>
      <c r="R129" s="0" t="s">
        <v>1046</v>
      </c>
      <c r="S129" s="0" t="s">
        <v>974</v>
      </c>
    </row>
    <row r="130" customFormat="false" ht="13.8" hidden="false" customHeight="false" outlineLevel="0" collapsed="false">
      <c r="A130" s="0" t="n">
        <v>1886</v>
      </c>
      <c r="B130" s="0" t="s">
        <v>1679</v>
      </c>
      <c r="C130" s="0" t="s">
        <v>1680</v>
      </c>
      <c r="E130" s="0" t="n">
        <f aca="false">IF(J129=J130,E129+10,0)</f>
        <v>130</v>
      </c>
      <c r="F130" s="0" t="s">
        <v>1681</v>
      </c>
      <c r="G130" s="0" t="s">
        <v>1682</v>
      </c>
      <c r="H130" s="0" t="s">
        <v>1683</v>
      </c>
      <c r="I130" s="0" t="s">
        <v>1175</v>
      </c>
      <c r="J130" s="0" t="s">
        <v>1008</v>
      </c>
      <c r="K130" s="0" t="s">
        <v>971</v>
      </c>
      <c r="L130" s="0" t="s">
        <v>974</v>
      </c>
      <c r="M130" s="0" t="s">
        <v>973</v>
      </c>
      <c r="N130" s="0" t="s">
        <v>974</v>
      </c>
      <c r="O130" s="0" t="s">
        <v>975</v>
      </c>
      <c r="P130" s="0" t="s">
        <v>976</v>
      </c>
      <c r="Q130" s="0" t="s">
        <v>970</v>
      </c>
      <c r="R130" s="0" t="s">
        <v>1046</v>
      </c>
      <c r="S130" s="0" t="s">
        <v>974</v>
      </c>
    </row>
    <row r="131" customFormat="false" ht="13.8" hidden="false" customHeight="false" outlineLevel="0" collapsed="false">
      <c r="A131" s="0" t="n">
        <v>1887</v>
      </c>
      <c r="B131" s="0" t="s">
        <v>1684</v>
      </c>
      <c r="C131" s="0" t="s">
        <v>1440</v>
      </c>
      <c r="E131" s="0" t="n">
        <f aca="false">IF(J130=J131,E130+10,0)</f>
        <v>140</v>
      </c>
      <c r="F131" s="0" t="s">
        <v>1685</v>
      </c>
      <c r="G131" s="0" t="s">
        <v>1686</v>
      </c>
      <c r="H131" s="0" t="s">
        <v>1687</v>
      </c>
      <c r="I131" s="0" t="s">
        <v>1444</v>
      </c>
      <c r="J131" s="0" t="s">
        <v>1008</v>
      </c>
      <c r="K131" s="0" t="s">
        <v>1688</v>
      </c>
      <c r="L131" s="0" t="s">
        <v>974</v>
      </c>
      <c r="M131" s="0" t="s">
        <v>973</v>
      </c>
      <c r="N131" s="0" t="s">
        <v>1067</v>
      </c>
      <c r="O131" s="0" t="s">
        <v>975</v>
      </c>
      <c r="P131" s="0" t="s">
        <v>976</v>
      </c>
      <c r="Q131" s="0" t="s">
        <v>974</v>
      </c>
      <c r="R131" s="0" t="s">
        <v>970</v>
      </c>
      <c r="S131" s="0" t="s">
        <v>974</v>
      </c>
    </row>
    <row r="132" customFormat="false" ht="13.8" hidden="false" customHeight="false" outlineLevel="0" collapsed="false">
      <c r="A132" s="0" t="n">
        <v>1888</v>
      </c>
      <c r="B132" s="0" t="s">
        <v>1689</v>
      </c>
      <c r="C132" s="0" t="s">
        <v>1690</v>
      </c>
      <c r="E132" s="0" t="n">
        <f aca="false">IF(J131=J132,E131+10,0)</f>
        <v>150</v>
      </c>
      <c r="F132" s="0" t="s">
        <v>1691</v>
      </c>
      <c r="G132" s="0" t="s">
        <v>1692</v>
      </c>
      <c r="H132" s="0" t="s">
        <v>1693</v>
      </c>
      <c r="I132" s="0" t="s">
        <v>1694</v>
      </c>
      <c r="J132" s="0" t="s">
        <v>1008</v>
      </c>
      <c r="K132" s="0" t="s">
        <v>971</v>
      </c>
      <c r="L132" s="0" t="s">
        <v>974</v>
      </c>
      <c r="M132" s="0" t="s">
        <v>973</v>
      </c>
      <c r="N132" s="0" t="s">
        <v>974</v>
      </c>
      <c r="O132" s="0" t="s">
        <v>975</v>
      </c>
      <c r="P132" s="0" t="s">
        <v>976</v>
      </c>
      <c r="Q132" s="0" t="s">
        <v>996</v>
      </c>
      <c r="R132" s="0" t="s">
        <v>1046</v>
      </c>
      <c r="S132" s="0" t="s">
        <v>974</v>
      </c>
    </row>
    <row r="133" customFormat="false" ht="13.8" hidden="false" customHeight="false" outlineLevel="0" collapsed="false">
      <c r="A133" s="0" t="n">
        <v>1889</v>
      </c>
      <c r="B133" s="0" t="s">
        <v>1695</v>
      </c>
      <c r="C133" s="0" t="s">
        <v>1696</v>
      </c>
      <c r="E133" s="0" t="n">
        <f aca="false">IF(J132=J133,E132+10,0)</f>
        <v>160</v>
      </c>
      <c r="F133" s="0" t="s">
        <v>1697</v>
      </c>
      <c r="G133" s="0" t="s">
        <v>1698</v>
      </c>
      <c r="H133" s="0" t="s">
        <v>1699</v>
      </c>
      <c r="I133" s="0" t="s">
        <v>1700</v>
      </c>
      <c r="J133" s="0" t="s">
        <v>1008</v>
      </c>
      <c r="K133" s="0" t="s">
        <v>971</v>
      </c>
      <c r="L133" s="0" t="s">
        <v>974</v>
      </c>
      <c r="M133" s="0" t="s">
        <v>973</v>
      </c>
      <c r="N133" s="0" t="s">
        <v>974</v>
      </c>
      <c r="O133" s="0" t="s">
        <v>975</v>
      </c>
      <c r="P133" s="0" t="s">
        <v>976</v>
      </c>
      <c r="Q133" s="0" t="s">
        <v>1701</v>
      </c>
      <c r="R133" s="0" t="s">
        <v>1046</v>
      </c>
      <c r="S133" s="0" t="s">
        <v>974</v>
      </c>
    </row>
    <row r="134" customFormat="false" ht="13.8" hidden="false" customHeight="false" outlineLevel="0" collapsed="false">
      <c r="A134" s="0" t="n">
        <v>1890</v>
      </c>
      <c r="B134" s="0" t="s">
        <v>1702</v>
      </c>
      <c r="C134" s="0" t="s">
        <v>1553</v>
      </c>
      <c r="E134" s="0" t="n">
        <f aca="false">IF(J133=J134,E133+10,0)</f>
        <v>170</v>
      </c>
      <c r="F134" s="0" t="s">
        <v>1703</v>
      </c>
      <c r="G134" s="0" t="s">
        <v>1704</v>
      </c>
      <c r="H134" s="0" t="s">
        <v>1705</v>
      </c>
      <c r="I134" s="0" t="s">
        <v>1249</v>
      </c>
      <c r="J134" s="0" t="s">
        <v>1008</v>
      </c>
      <c r="K134" s="0" t="s">
        <v>971</v>
      </c>
      <c r="L134" s="0" t="s">
        <v>974</v>
      </c>
      <c r="M134" s="0" t="s">
        <v>973</v>
      </c>
      <c r="N134" s="0" t="s">
        <v>974</v>
      </c>
      <c r="O134" s="0" t="s">
        <v>975</v>
      </c>
      <c r="P134" s="0" t="s">
        <v>976</v>
      </c>
      <c r="Q134" s="0" t="s">
        <v>973</v>
      </c>
      <c r="R134" s="0" t="s">
        <v>1046</v>
      </c>
      <c r="S134" s="0" t="s">
        <v>974</v>
      </c>
    </row>
    <row r="135" customFormat="false" ht="13.8" hidden="false" customHeight="false" outlineLevel="0" collapsed="false">
      <c r="A135" s="0" t="n">
        <v>1891</v>
      </c>
      <c r="B135" s="0" t="s">
        <v>1706</v>
      </c>
      <c r="C135" s="0" t="s">
        <v>1707</v>
      </c>
      <c r="E135" s="0" t="n">
        <f aca="false">IF(J134=J135,E134+10,0)</f>
        <v>0</v>
      </c>
      <c r="F135" s="0" t="s">
        <v>1708</v>
      </c>
      <c r="G135" s="0" t="s">
        <v>1709</v>
      </c>
      <c r="H135" s="0" t="s">
        <v>1710</v>
      </c>
      <c r="I135" s="0" t="s">
        <v>1711</v>
      </c>
      <c r="J135" s="0" t="s">
        <v>1265</v>
      </c>
      <c r="K135" s="0" t="s">
        <v>971</v>
      </c>
      <c r="L135" s="0" t="s">
        <v>1046</v>
      </c>
      <c r="M135" s="0" t="s">
        <v>973</v>
      </c>
      <c r="N135" s="0" t="s">
        <v>974</v>
      </c>
      <c r="O135" s="0" t="s">
        <v>975</v>
      </c>
      <c r="P135" s="0" t="s">
        <v>976</v>
      </c>
      <c r="Q135" s="0" t="s">
        <v>974</v>
      </c>
      <c r="R135" s="0" t="s">
        <v>970</v>
      </c>
      <c r="S135" s="0" t="s">
        <v>974</v>
      </c>
    </row>
    <row r="136" customFormat="false" ht="13.8" hidden="false" customHeight="false" outlineLevel="0" collapsed="false">
      <c r="A136" s="0" t="n">
        <v>1892</v>
      </c>
      <c r="B136" s="0" t="s">
        <v>1712</v>
      </c>
      <c r="C136" s="0" t="s">
        <v>1713</v>
      </c>
      <c r="E136" s="0" t="n">
        <f aca="false">IF(J135=J136,E135+10,0)</f>
        <v>10</v>
      </c>
      <c r="F136" s="0" t="s">
        <v>1714</v>
      </c>
      <c r="G136" s="0" t="s">
        <v>1715</v>
      </c>
      <c r="H136" s="0" t="s">
        <v>1716</v>
      </c>
      <c r="I136" s="0" t="s">
        <v>1717</v>
      </c>
      <c r="J136" s="0" t="s">
        <v>1265</v>
      </c>
      <c r="K136" s="0" t="s">
        <v>971</v>
      </c>
      <c r="L136" s="0" t="s">
        <v>970</v>
      </c>
      <c r="M136" s="0" t="s">
        <v>973</v>
      </c>
      <c r="N136" s="0" t="s">
        <v>974</v>
      </c>
      <c r="O136" s="0" t="s">
        <v>975</v>
      </c>
      <c r="P136" s="0" t="s">
        <v>976</v>
      </c>
      <c r="Q136" s="0" t="s">
        <v>974</v>
      </c>
      <c r="R136" s="0" t="s">
        <v>970</v>
      </c>
      <c r="S136" s="0" t="s">
        <v>974</v>
      </c>
    </row>
    <row r="137" customFormat="false" ht="13.8" hidden="false" customHeight="false" outlineLevel="0" collapsed="false">
      <c r="A137" s="0" t="n">
        <v>1893</v>
      </c>
      <c r="B137" s="0" t="s">
        <v>1718</v>
      </c>
      <c r="C137" s="0" t="s">
        <v>1719</v>
      </c>
      <c r="E137" s="0" t="n">
        <f aca="false">IF(J136=J137,E136+10,0)</f>
        <v>20</v>
      </c>
      <c r="F137" s="0" t="s">
        <v>1720</v>
      </c>
      <c r="G137" s="0" t="s">
        <v>1721</v>
      </c>
      <c r="H137" s="0" t="s">
        <v>1722</v>
      </c>
      <c r="I137" s="0" t="s">
        <v>1723</v>
      </c>
      <c r="J137" s="0" t="s">
        <v>1265</v>
      </c>
      <c r="K137" s="0" t="s">
        <v>971</v>
      </c>
      <c r="L137" s="0" t="s">
        <v>1059</v>
      </c>
      <c r="M137" s="0" t="s">
        <v>973</v>
      </c>
      <c r="N137" s="0" t="s">
        <v>974</v>
      </c>
      <c r="O137" s="0" t="s">
        <v>975</v>
      </c>
      <c r="P137" s="0" t="s">
        <v>976</v>
      </c>
      <c r="Q137" s="0" t="s">
        <v>974</v>
      </c>
      <c r="R137" s="0" t="s">
        <v>970</v>
      </c>
      <c r="S137" s="0" t="s">
        <v>974</v>
      </c>
    </row>
    <row r="138" customFormat="false" ht="13.8" hidden="false" customHeight="false" outlineLevel="0" collapsed="false">
      <c r="A138" s="0" t="n">
        <v>1894</v>
      </c>
      <c r="B138" s="0" t="s">
        <v>1724</v>
      </c>
      <c r="C138" s="0" t="s">
        <v>1054</v>
      </c>
      <c r="E138" s="0" t="n">
        <f aca="false">IF(J137=J138,E137+10,0)</f>
        <v>30</v>
      </c>
      <c r="F138" s="0" t="s">
        <v>1725</v>
      </c>
      <c r="G138" s="0" t="s">
        <v>1726</v>
      </c>
      <c r="H138" s="0" t="s">
        <v>1727</v>
      </c>
      <c r="I138" s="0" t="s">
        <v>1058</v>
      </c>
      <c r="J138" s="0" t="s">
        <v>1265</v>
      </c>
      <c r="K138" s="0" t="s">
        <v>971</v>
      </c>
      <c r="L138" s="0" t="s">
        <v>970</v>
      </c>
      <c r="M138" s="0" t="s">
        <v>973</v>
      </c>
      <c r="N138" s="0" t="s">
        <v>974</v>
      </c>
      <c r="O138" s="0" t="s">
        <v>975</v>
      </c>
      <c r="P138" s="0" t="s">
        <v>976</v>
      </c>
      <c r="Q138" s="0" t="s">
        <v>974</v>
      </c>
      <c r="R138" s="0" t="s">
        <v>970</v>
      </c>
      <c r="S138" s="0" t="s">
        <v>974</v>
      </c>
    </row>
    <row r="139" customFormat="false" ht="13.8" hidden="false" customHeight="false" outlineLevel="0" collapsed="false">
      <c r="A139" s="0" t="n">
        <v>1895</v>
      </c>
      <c r="B139" s="0" t="s">
        <v>1728</v>
      </c>
      <c r="C139" s="0" t="s">
        <v>1035</v>
      </c>
      <c r="E139" s="0" t="n">
        <f aca="false">IF(J138=J139,E138+10,0)</f>
        <v>40</v>
      </c>
      <c r="F139" s="0" t="s">
        <v>1729</v>
      </c>
      <c r="G139" s="0" t="s">
        <v>1730</v>
      </c>
      <c r="H139" s="0" t="s">
        <v>1731</v>
      </c>
      <c r="I139" s="0" t="s">
        <v>970</v>
      </c>
      <c r="J139" s="0" t="s">
        <v>1265</v>
      </c>
      <c r="K139" s="0" t="s">
        <v>971</v>
      </c>
      <c r="L139" s="0" t="s">
        <v>974</v>
      </c>
      <c r="M139" s="0" t="s">
        <v>973</v>
      </c>
      <c r="N139" s="0" t="s">
        <v>974</v>
      </c>
      <c r="O139" s="0" t="s">
        <v>975</v>
      </c>
      <c r="P139" s="0" t="s">
        <v>976</v>
      </c>
      <c r="Q139" s="0" t="s">
        <v>970</v>
      </c>
      <c r="R139" s="0" t="s">
        <v>1046</v>
      </c>
      <c r="S139" s="0" t="s">
        <v>974</v>
      </c>
    </row>
    <row r="140" customFormat="false" ht="13.8" hidden="false" customHeight="false" outlineLevel="0" collapsed="false">
      <c r="A140" s="0" t="n">
        <v>1896</v>
      </c>
      <c r="B140" s="0" t="s">
        <v>1732</v>
      </c>
      <c r="C140" s="0" t="s">
        <v>1733</v>
      </c>
      <c r="E140" s="0" t="n">
        <f aca="false">IF(J139=J140,E139+10,0)</f>
        <v>50</v>
      </c>
      <c r="F140" s="0" t="s">
        <v>1734</v>
      </c>
      <c r="G140" s="0" t="s">
        <v>1735</v>
      </c>
      <c r="H140" s="0" t="s">
        <v>1736</v>
      </c>
      <c r="I140" s="0" t="s">
        <v>1201</v>
      </c>
      <c r="J140" s="0" t="s">
        <v>1265</v>
      </c>
      <c r="K140" s="0" t="s">
        <v>971</v>
      </c>
      <c r="L140" s="0" t="s">
        <v>974</v>
      </c>
      <c r="M140" s="0" t="s">
        <v>973</v>
      </c>
      <c r="N140" s="0" t="s">
        <v>974</v>
      </c>
      <c r="O140" s="0" t="s">
        <v>975</v>
      </c>
      <c r="P140" s="0" t="s">
        <v>976</v>
      </c>
      <c r="Q140" s="0" t="s">
        <v>1737</v>
      </c>
      <c r="R140" s="0" t="s">
        <v>970</v>
      </c>
      <c r="S140" s="0" t="s">
        <v>974</v>
      </c>
    </row>
    <row r="141" customFormat="false" ht="13.8" hidden="false" customHeight="false" outlineLevel="0" collapsed="false">
      <c r="A141" s="0" t="n">
        <v>1897</v>
      </c>
      <c r="B141" s="0" t="s">
        <v>1738</v>
      </c>
      <c r="C141" s="0" t="s">
        <v>1440</v>
      </c>
      <c r="E141" s="0" t="n">
        <f aca="false">IF(J140=J141,E140+10,0)</f>
        <v>60</v>
      </c>
      <c r="F141" s="0" t="s">
        <v>1739</v>
      </c>
      <c r="G141" s="0" t="s">
        <v>1740</v>
      </c>
      <c r="H141" s="0" t="s">
        <v>1741</v>
      </c>
      <c r="I141" s="0" t="s">
        <v>1444</v>
      </c>
      <c r="J141" s="0" t="s">
        <v>1265</v>
      </c>
      <c r="K141" s="0" t="s">
        <v>971</v>
      </c>
      <c r="L141" s="0" t="s">
        <v>974</v>
      </c>
      <c r="M141" s="0" t="s">
        <v>973</v>
      </c>
      <c r="N141" s="0" t="s">
        <v>1082</v>
      </c>
      <c r="O141" s="0" t="s">
        <v>975</v>
      </c>
      <c r="P141" s="0" t="s">
        <v>976</v>
      </c>
      <c r="Q141" s="0" t="s">
        <v>974</v>
      </c>
      <c r="R141" s="0" t="s">
        <v>970</v>
      </c>
      <c r="S141" s="0" t="s">
        <v>974</v>
      </c>
    </row>
    <row r="142" customFormat="false" ht="13.8" hidden="false" customHeight="false" outlineLevel="0" collapsed="false">
      <c r="A142" s="0" t="n">
        <v>1898</v>
      </c>
      <c r="B142" s="0" t="s">
        <v>1742</v>
      </c>
      <c r="C142" s="0" t="s">
        <v>1680</v>
      </c>
      <c r="E142" s="0" t="n">
        <f aca="false">IF(J141=J142,E141+10,0)</f>
        <v>70</v>
      </c>
      <c r="F142" s="0" t="s">
        <v>1743</v>
      </c>
      <c r="G142" s="0" t="s">
        <v>1744</v>
      </c>
      <c r="H142" s="0" t="s">
        <v>1745</v>
      </c>
      <c r="I142" s="0" t="s">
        <v>1175</v>
      </c>
      <c r="J142" s="0" t="s">
        <v>1265</v>
      </c>
      <c r="K142" s="0" t="s">
        <v>971</v>
      </c>
      <c r="L142" s="0" t="s">
        <v>974</v>
      </c>
      <c r="M142" s="0" t="s">
        <v>973</v>
      </c>
      <c r="N142" s="0" t="s">
        <v>974</v>
      </c>
      <c r="O142" s="0" t="s">
        <v>975</v>
      </c>
      <c r="P142" s="0" t="s">
        <v>976</v>
      </c>
      <c r="Q142" s="0" t="s">
        <v>970</v>
      </c>
      <c r="R142" s="0" t="s">
        <v>1046</v>
      </c>
      <c r="S142" s="0" t="s">
        <v>974</v>
      </c>
    </row>
    <row r="143" customFormat="false" ht="13.8" hidden="false" customHeight="false" outlineLevel="0" collapsed="false">
      <c r="A143" s="0" t="n">
        <v>1899</v>
      </c>
      <c r="B143" s="0" t="s">
        <v>1746</v>
      </c>
      <c r="C143" s="0" t="s">
        <v>1747</v>
      </c>
      <c r="E143" s="0" t="n">
        <f aca="false">IF(J142=J143,E142+10,0)</f>
        <v>80</v>
      </c>
      <c r="F143" s="0" t="s">
        <v>1748</v>
      </c>
      <c r="G143" s="0" t="s">
        <v>1749</v>
      </c>
      <c r="H143" s="0" t="s">
        <v>1750</v>
      </c>
      <c r="I143" s="0" t="s">
        <v>1751</v>
      </c>
      <c r="J143" s="0" t="s">
        <v>1265</v>
      </c>
      <c r="K143" s="0" t="s">
        <v>971</v>
      </c>
      <c r="L143" s="0" t="s">
        <v>974</v>
      </c>
      <c r="M143" s="0" t="s">
        <v>973</v>
      </c>
      <c r="N143" s="0" t="s">
        <v>974</v>
      </c>
      <c r="O143" s="0" t="s">
        <v>975</v>
      </c>
      <c r="P143" s="0" t="s">
        <v>976</v>
      </c>
      <c r="Q143" s="0" t="s">
        <v>970</v>
      </c>
      <c r="R143" s="0" t="s">
        <v>970</v>
      </c>
      <c r="S143" s="0" t="s">
        <v>974</v>
      </c>
    </row>
    <row r="144" customFormat="false" ht="13.8" hidden="false" customHeight="false" outlineLevel="0" collapsed="false">
      <c r="A144" s="0" t="n">
        <v>1900</v>
      </c>
      <c r="B144" s="0" t="s">
        <v>1752</v>
      </c>
      <c r="C144" s="0" t="s">
        <v>1010</v>
      </c>
      <c r="E144" s="0" t="n">
        <f aca="false">IF(J143=J144,E143+10,0)</f>
        <v>90</v>
      </c>
      <c r="F144" s="0" t="s">
        <v>1753</v>
      </c>
      <c r="G144" s="0" t="s">
        <v>1754</v>
      </c>
      <c r="H144" s="0" t="s">
        <v>1755</v>
      </c>
      <c r="I144" s="0" t="s">
        <v>1014</v>
      </c>
      <c r="J144" s="0" t="s">
        <v>1265</v>
      </c>
      <c r="K144" s="0" t="s">
        <v>971</v>
      </c>
      <c r="L144" s="0" t="s">
        <v>974</v>
      </c>
      <c r="M144" s="0" t="s">
        <v>973</v>
      </c>
      <c r="N144" s="0" t="s">
        <v>974</v>
      </c>
      <c r="O144" s="0" t="s">
        <v>975</v>
      </c>
      <c r="P144" s="0" t="s">
        <v>976</v>
      </c>
      <c r="Q144" s="0" t="s">
        <v>1128</v>
      </c>
      <c r="R144" s="0" t="s">
        <v>1046</v>
      </c>
      <c r="S144" s="0" t="s">
        <v>974</v>
      </c>
    </row>
    <row r="145" customFormat="false" ht="13.8" hidden="false" customHeight="false" outlineLevel="0" collapsed="false">
      <c r="A145" s="0" t="n">
        <v>1901</v>
      </c>
      <c r="B145" s="0" t="s">
        <v>1756</v>
      </c>
      <c r="C145" s="0" t="s">
        <v>1096</v>
      </c>
      <c r="E145" s="0" t="n">
        <f aca="false">IF(J144=J145,E144+10,0)</f>
        <v>100</v>
      </c>
      <c r="F145" s="0" t="s">
        <v>1757</v>
      </c>
      <c r="G145" s="0" t="s">
        <v>1758</v>
      </c>
      <c r="H145" s="0" t="s">
        <v>1759</v>
      </c>
      <c r="I145" s="0" t="s">
        <v>1100</v>
      </c>
      <c r="J145" s="0" t="s">
        <v>1265</v>
      </c>
      <c r="K145" s="0" t="s">
        <v>971</v>
      </c>
      <c r="L145" s="0" t="s">
        <v>974</v>
      </c>
      <c r="M145" s="0" t="s">
        <v>973</v>
      </c>
      <c r="N145" s="0" t="s">
        <v>974</v>
      </c>
      <c r="O145" s="0" t="s">
        <v>975</v>
      </c>
      <c r="P145" s="0" t="s">
        <v>976</v>
      </c>
      <c r="Q145" s="0" t="s">
        <v>970</v>
      </c>
      <c r="R145" s="0" t="s">
        <v>1046</v>
      </c>
      <c r="S145" s="0" t="s">
        <v>974</v>
      </c>
    </row>
    <row r="146" customFormat="false" ht="13.8" hidden="false" customHeight="false" outlineLevel="0" collapsed="false">
      <c r="A146" s="0" t="n">
        <v>1902</v>
      </c>
      <c r="B146" s="0" t="s">
        <v>1760</v>
      </c>
      <c r="C146" s="0" t="s">
        <v>1761</v>
      </c>
      <c r="E146" s="0" t="n">
        <f aca="false">IF(J145=J146,E145+10,0)</f>
        <v>0</v>
      </c>
      <c r="F146" s="0" t="s">
        <v>1762</v>
      </c>
      <c r="G146" s="0" t="s">
        <v>1763</v>
      </c>
      <c r="H146" s="0" t="s">
        <v>1764</v>
      </c>
      <c r="I146" s="0" t="s">
        <v>1765</v>
      </c>
      <c r="J146" s="0" t="s">
        <v>1766</v>
      </c>
      <c r="K146" s="0" t="s">
        <v>971</v>
      </c>
      <c r="L146" s="0" t="s">
        <v>974</v>
      </c>
      <c r="M146" s="0" t="s">
        <v>973</v>
      </c>
      <c r="N146" s="0" t="s">
        <v>974</v>
      </c>
      <c r="O146" s="0" t="s">
        <v>975</v>
      </c>
      <c r="P146" s="0" t="s">
        <v>976</v>
      </c>
      <c r="Q146" s="0" t="s">
        <v>1737</v>
      </c>
      <c r="R146" s="0" t="s">
        <v>970</v>
      </c>
      <c r="S146" s="0" t="s">
        <v>974</v>
      </c>
    </row>
    <row r="147" customFormat="false" ht="13.8" hidden="false" customHeight="false" outlineLevel="0" collapsed="false">
      <c r="A147" s="0" t="n">
        <v>1903</v>
      </c>
      <c r="B147" s="0" t="s">
        <v>1767</v>
      </c>
      <c r="C147" s="0" t="s">
        <v>1096</v>
      </c>
      <c r="E147" s="0" t="n">
        <f aca="false">IF(J146=J147,E146+10,0)</f>
        <v>10</v>
      </c>
      <c r="F147" s="0" t="s">
        <v>1768</v>
      </c>
      <c r="G147" s="0" t="s">
        <v>1769</v>
      </c>
      <c r="H147" s="0" t="s">
        <v>1770</v>
      </c>
      <c r="I147" s="0" t="s">
        <v>1100</v>
      </c>
      <c r="J147" s="0" t="s">
        <v>1766</v>
      </c>
      <c r="K147" s="0" t="s">
        <v>971</v>
      </c>
      <c r="L147" s="0" t="s">
        <v>974</v>
      </c>
      <c r="M147" s="0" t="s">
        <v>973</v>
      </c>
      <c r="N147" s="0" t="s">
        <v>974</v>
      </c>
      <c r="O147" s="0" t="s">
        <v>975</v>
      </c>
      <c r="P147" s="0" t="s">
        <v>976</v>
      </c>
      <c r="Q147" s="0" t="s">
        <v>996</v>
      </c>
      <c r="R147" s="0" t="s">
        <v>1046</v>
      </c>
      <c r="S147" s="0" t="s">
        <v>974</v>
      </c>
    </row>
    <row r="148" customFormat="false" ht="13.8" hidden="false" customHeight="false" outlineLevel="0" collapsed="false">
      <c r="A148" s="0" t="n">
        <v>1904</v>
      </c>
      <c r="B148" s="0" t="s">
        <v>1771</v>
      </c>
      <c r="C148" s="0" t="s">
        <v>1680</v>
      </c>
      <c r="E148" s="0" t="n">
        <f aca="false">IF(J147=J148,E147+10,0)</f>
        <v>20</v>
      </c>
      <c r="F148" s="0" t="s">
        <v>1772</v>
      </c>
      <c r="G148" s="0" t="s">
        <v>1773</v>
      </c>
      <c r="H148" s="0" t="s">
        <v>1774</v>
      </c>
      <c r="I148" s="0" t="s">
        <v>1175</v>
      </c>
      <c r="J148" s="0" t="s">
        <v>1766</v>
      </c>
      <c r="K148" s="0" t="s">
        <v>971</v>
      </c>
      <c r="L148" s="0" t="s">
        <v>974</v>
      </c>
      <c r="M148" s="0" t="s">
        <v>973</v>
      </c>
      <c r="N148" s="0" t="s">
        <v>974</v>
      </c>
      <c r="O148" s="0" t="s">
        <v>975</v>
      </c>
      <c r="P148" s="0" t="s">
        <v>976</v>
      </c>
      <c r="Q148" s="0" t="s">
        <v>975</v>
      </c>
      <c r="R148" s="0" t="s">
        <v>1046</v>
      </c>
      <c r="S148" s="0" t="s">
        <v>974</v>
      </c>
    </row>
    <row r="149" customFormat="false" ht="13.8" hidden="false" customHeight="false" outlineLevel="0" collapsed="false">
      <c r="A149" s="0" t="n">
        <v>1905</v>
      </c>
      <c r="B149" s="0" t="s">
        <v>1775</v>
      </c>
      <c r="C149" s="0" t="s">
        <v>1776</v>
      </c>
      <c r="E149" s="0" t="n">
        <f aca="false">IF(J148=J149,E148+10,0)</f>
        <v>30</v>
      </c>
      <c r="F149" s="0" t="s">
        <v>1777</v>
      </c>
      <c r="G149" s="0" t="s">
        <v>1778</v>
      </c>
      <c r="H149" s="0" t="s">
        <v>1779</v>
      </c>
      <c r="I149" s="0" t="s">
        <v>1780</v>
      </c>
      <c r="J149" s="0" t="s">
        <v>1766</v>
      </c>
      <c r="K149" s="0" t="s">
        <v>971</v>
      </c>
      <c r="L149" s="0" t="s">
        <v>974</v>
      </c>
      <c r="M149" s="0" t="s">
        <v>973</v>
      </c>
      <c r="N149" s="0" t="s">
        <v>974</v>
      </c>
      <c r="O149" s="0" t="s">
        <v>975</v>
      </c>
      <c r="P149" s="0" t="s">
        <v>976</v>
      </c>
      <c r="Q149" s="0" t="s">
        <v>1232</v>
      </c>
      <c r="R149" s="0" t="s">
        <v>1046</v>
      </c>
      <c r="S149" s="0" t="s">
        <v>974</v>
      </c>
    </row>
    <row r="150" customFormat="false" ht="13.8" hidden="false" customHeight="false" outlineLevel="0" collapsed="false">
      <c r="A150" s="0" t="n">
        <v>1906</v>
      </c>
      <c r="B150" s="0" t="s">
        <v>1781</v>
      </c>
      <c r="C150" s="0" t="s">
        <v>1782</v>
      </c>
      <c r="E150" s="0" t="n">
        <f aca="false">IF(J149=J150,E149+10,0)</f>
        <v>40</v>
      </c>
      <c r="F150" s="0" t="s">
        <v>1783</v>
      </c>
      <c r="G150" s="0" t="s">
        <v>1784</v>
      </c>
      <c r="H150" s="0" t="s">
        <v>1785</v>
      </c>
      <c r="I150" s="0" t="s">
        <v>1014</v>
      </c>
      <c r="J150" s="0" t="s">
        <v>1766</v>
      </c>
      <c r="K150" s="0" t="s">
        <v>971</v>
      </c>
      <c r="L150" s="0" t="s">
        <v>974</v>
      </c>
      <c r="M150" s="0" t="s">
        <v>973</v>
      </c>
      <c r="N150" s="0" t="s">
        <v>974</v>
      </c>
      <c r="O150" s="0" t="s">
        <v>975</v>
      </c>
      <c r="P150" s="0" t="s">
        <v>976</v>
      </c>
      <c r="Q150" s="0" t="s">
        <v>1381</v>
      </c>
      <c r="R150" s="0" t="s">
        <v>1046</v>
      </c>
      <c r="S150" s="0" t="s">
        <v>974</v>
      </c>
    </row>
    <row r="151" customFormat="false" ht="13.8" hidden="false" customHeight="false" outlineLevel="0" collapsed="false">
      <c r="A151" s="0" t="n">
        <v>1907</v>
      </c>
      <c r="B151" s="0" t="s">
        <v>1786</v>
      </c>
      <c r="C151" s="0" t="s">
        <v>1787</v>
      </c>
      <c r="E151" s="0" t="n">
        <f aca="false">IF(J150=J151,E150+10,0)</f>
        <v>50</v>
      </c>
      <c r="F151" s="0" t="s">
        <v>1788</v>
      </c>
      <c r="G151" s="0" t="s">
        <v>1789</v>
      </c>
      <c r="H151" s="0" t="s">
        <v>1790</v>
      </c>
      <c r="I151" s="0" t="s">
        <v>1791</v>
      </c>
      <c r="J151" s="0" t="s">
        <v>1766</v>
      </c>
      <c r="K151" s="0" t="s">
        <v>971</v>
      </c>
      <c r="L151" s="0" t="s">
        <v>974</v>
      </c>
      <c r="M151" s="0" t="s">
        <v>973</v>
      </c>
      <c r="N151" s="0" t="s">
        <v>974</v>
      </c>
      <c r="O151" s="0" t="s">
        <v>975</v>
      </c>
      <c r="P151" s="0" t="s">
        <v>976</v>
      </c>
      <c r="Q151" s="0" t="s">
        <v>1232</v>
      </c>
      <c r="R151" s="0" t="s">
        <v>1046</v>
      </c>
      <c r="S151" s="0" t="s">
        <v>974</v>
      </c>
    </row>
    <row r="152" customFormat="false" ht="13.8" hidden="false" customHeight="false" outlineLevel="0" collapsed="false">
      <c r="A152" s="0" t="n">
        <v>1908</v>
      </c>
      <c r="B152" s="0" t="s">
        <v>1792</v>
      </c>
      <c r="C152" s="0" t="s">
        <v>1793</v>
      </c>
      <c r="E152" s="0" t="n">
        <f aca="false">IF(J151=J152,E151+10,0)</f>
        <v>60</v>
      </c>
      <c r="F152" s="0" t="s">
        <v>1794</v>
      </c>
      <c r="G152" s="0" t="s">
        <v>1795</v>
      </c>
      <c r="H152" s="0" t="s">
        <v>1796</v>
      </c>
      <c r="I152" s="0" t="s">
        <v>1797</v>
      </c>
      <c r="J152" s="0" t="s">
        <v>1766</v>
      </c>
      <c r="K152" s="0" t="s">
        <v>971</v>
      </c>
      <c r="L152" s="0" t="s">
        <v>974</v>
      </c>
      <c r="M152" s="0" t="s">
        <v>973</v>
      </c>
      <c r="N152" s="0" t="s">
        <v>974</v>
      </c>
      <c r="O152" s="0" t="s">
        <v>975</v>
      </c>
      <c r="P152" s="0" t="s">
        <v>976</v>
      </c>
      <c r="Q152" s="0" t="s">
        <v>974</v>
      </c>
      <c r="R152" s="0" t="s">
        <v>970</v>
      </c>
      <c r="S152" s="0" t="s">
        <v>974</v>
      </c>
    </row>
    <row r="153" customFormat="false" ht="13.8" hidden="false" customHeight="false" outlineLevel="0" collapsed="false">
      <c r="A153" s="0" t="n">
        <v>1909</v>
      </c>
      <c r="B153" s="0" t="s">
        <v>1798</v>
      </c>
      <c r="C153" s="0" t="s">
        <v>1799</v>
      </c>
      <c r="E153" s="0" t="n">
        <f aca="false">IF(J152=J153,E152+10,0)</f>
        <v>70</v>
      </c>
      <c r="F153" s="0" t="s">
        <v>1800</v>
      </c>
      <c r="G153" s="0" t="s">
        <v>1801</v>
      </c>
      <c r="H153" s="0" t="s">
        <v>1802</v>
      </c>
      <c r="I153" s="0" t="s">
        <v>1803</v>
      </c>
      <c r="J153" s="0" t="s">
        <v>1766</v>
      </c>
      <c r="K153" s="0" t="s">
        <v>971</v>
      </c>
      <c r="L153" s="0" t="s">
        <v>974</v>
      </c>
      <c r="M153" s="0" t="s">
        <v>973</v>
      </c>
      <c r="N153" s="0" t="s">
        <v>974</v>
      </c>
      <c r="O153" s="0" t="s">
        <v>975</v>
      </c>
      <c r="P153" s="0" t="s">
        <v>976</v>
      </c>
      <c r="Q153" s="0" t="s">
        <v>996</v>
      </c>
      <c r="R153" s="0" t="s">
        <v>970</v>
      </c>
      <c r="S153" s="0" t="s">
        <v>974</v>
      </c>
    </row>
    <row r="154" customFormat="false" ht="13.8" hidden="false" customHeight="false" outlineLevel="0" collapsed="false">
      <c r="A154" s="0" t="n">
        <v>1910</v>
      </c>
      <c r="B154" s="0" t="s">
        <v>1804</v>
      </c>
      <c r="C154" s="0" t="s">
        <v>1662</v>
      </c>
      <c r="E154" s="0" t="n">
        <f aca="false">IF(J153=J154,E153+10,0)</f>
        <v>80</v>
      </c>
      <c r="F154" s="0" t="s">
        <v>1805</v>
      </c>
      <c r="G154" s="0" t="s">
        <v>1806</v>
      </c>
      <c r="H154" s="0" t="s">
        <v>1807</v>
      </c>
      <c r="I154" s="0" t="s">
        <v>1666</v>
      </c>
      <c r="J154" s="0" t="s">
        <v>1766</v>
      </c>
      <c r="K154" s="0" t="s">
        <v>971</v>
      </c>
      <c r="L154" s="0" t="s">
        <v>974</v>
      </c>
      <c r="M154" s="0" t="s">
        <v>973</v>
      </c>
      <c r="N154" s="0" t="s">
        <v>974</v>
      </c>
      <c r="O154" s="0" t="s">
        <v>975</v>
      </c>
      <c r="P154" s="0" t="s">
        <v>976</v>
      </c>
      <c r="Q154" s="0" t="s">
        <v>1059</v>
      </c>
      <c r="R154" s="0" t="s">
        <v>1046</v>
      </c>
      <c r="S154" s="0" t="s">
        <v>974</v>
      </c>
    </row>
    <row r="155" customFormat="false" ht="13.8" hidden="false" customHeight="false" outlineLevel="0" collapsed="false">
      <c r="A155" s="0" t="n">
        <v>1911</v>
      </c>
      <c r="B155" s="0" t="s">
        <v>1808</v>
      </c>
      <c r="C155" s="0" t="s">
        <v>1583</v>
      </c>
      <c r="E155" s="0" t="n">
        <f aca="false">IF(J154=J155,E154+10,0)</f>
        <v>90</v>
      </c>
      <c r="F155" s="0" t="s">
        <v>1809</v>
      </c>
      <c r="G155" s="0" t="s">
        <v>1810</v>
      </c>
      <c r="H155" s="0" t="s">
        <v>1811</v>
      </c>
      <c r="I155" s="0" t="s">
        <v>1587</v>
      </c>
      <c r="J155" s="0" t="s">
        <v>1766</v>
      </c>
      <c r="K155" s="0" t="s">
        <v>971</v>
      </c>
      <c r="L155" s="0" t="s">
        <v>974</v>
      </c>
      <c r="M155" s="0" t="s">
        <v>973</v>
      </c>
      <c r="N155" s="0" t="s">
        <v>974</v>
      </c>
      <c r="O155" s="0" t="s">
        <v>975</v>
      </c>
      <c r="P155" s="0" t="s">
        <v>976</v>
      </c>
      <c r="Q155" s="0" t="s">
        <v>1812</v>
      </c>
      <c r="R155" s="0" t="s">
        <v>1046</v>
      </c>
      <c r="S155" s="0" t="s">
        <v>974</v>
      </c>
    </row>
    <row r="156" customFormat="false" ht="13.8" hidden="false" customHeight="false" outlineLevel="0" collapsed="false">
      <c r="A156" s="0" t="n">
        <v>1912</v>
      </c>
      <c r="B156" s="0" t="s">
        <v>1813</v>
      </c>
      <c r="C156" s="0" t="s">
        <v>1814</v>
      </c>
      <c r="E156" s="0" t="n">
        <f aca="false">IF(J155=J156,E155+10,0)</f>
        <v>100</v>
      </c>
      <c r="F156" s="0" t="s">
        <v>1815</v>
      </c>
      <c r="G156" s="0" t="s">
        <v>1816</v>
      </c>
      <c r="H156" s="0" t="s">
        <v>1817</v>
      </c>
      <c r="I156" s="0" t="s">
        <v>1033</v>
      </c>
      <c r="J156" s="0" t="s">
        <v>1766</v>
      </c>
      <c r="K156" s="0" t="s">
        <v>971</v>
      </c>
      <c r="L156" s="0" t="s">
        <v>974</v>
      </c>
      <c r="M156" s="0" t="s">
        <v>973</v>
      </c>
      <c r="N156" s="0" t="s">
        <v>974</v>
      </c>
      <c r="O156" s="0" t="s">
        <v>975</v>
      </c>
      <c r="P156" s="0" t="s">
        <v>976</v>
      </c>
      <c r="Q156" s="0" t="s">
        <v>973</v>
      </c>
      <c r="R156" s="0" t="s">
        <v>1046</v>
      </c>
      <c r="S156" s="0" t="s">
        <v>974</v>
      </c>
    </row>
    <row r="157" customFormat="false" ht="13.8" hidden="false" customHeight="false" outlineLevel="0" collapsed="false">
      <c r="A157" s="0" t="n">
        <v>1913</v>
      </c>
      <c r="B157" s="0" t="s">
        <v>1818</v>
      </c>
      <c r="C157" s="0" t="s">
        <v>1035</v>
      </c>
      <c r="E157" s="0" t="n">
        <f aca="false">IF(J156=J157,E156+10,0)</f>
        <v>110</v>
      </c>
      <c r="F157" s="0" t="s">
        <v>1819</v>
      </c>
      <c r="G157" s="0" t="s">
        <v>1820</v>
      </c>
      <c r="H157" s="0" t="s">
        <v>1821</v>
      </c>
      <c r="I157" s="0" t="s">
        <v>970</v>
      </c>
      <c r="J157" s="0" t="s">
        <v>1766</v>
      </c>
      <c r="K157" s="0" t="s">
        <v>971</v>
      </c>
      <c r="L157" s="0" t="s">
        <v>974</v>
      </c>
      <c r="M157" s="0" t="s">
        <v>973</v>
      </c>
      <c r="N157" s="0" t="s">
        <v>974</v>
      </c>
      <c r="O157" s="0" t="s">
        <v>975</v>
      </c>
      <c r="P157" s="0" t="s">
        <v>976</v>
      </c>
      <c r="Q157" s="0" t="s">
        <v>973</v>
      </c>
      <c r="R157" s="0" t="s">
        <v>1046</v>
      </c>
      <c r="S157" s="0" t="s">
        <v>974</v>
      </c>
    </row>
    <row r="158" customFormat="false" ht="13.8" hidden="false" customHeight="false" outlineLevel="0" collapsed="false">
      <c r="A158" s="0" t="n">
        <v>1914</v>
      </c>
      <c r="B158" s="0" t="s">
        <v>1822</v>
      </c>
      <c r="C158" s="0" t="s">
        <v>1823</v>
      </c>
      <c r="E158" s="0" t="n">
        <f aca="false">IF(J157=J158,E157+10,0)</f>
        <v>120</v>
      </c>
      <c r="F158" s="0" t="s">
        <v>1824</v>
      </c>
      <c r="G158" s="0" t="s">
        <v>1825</v>
      </c>
      <c r="H158" s="0" t="s">
        <v>1826</v>
      </c>
      <c r="I158" s="0" t="s">
        <v>1827</v>
      </c>
      <c r="J158" s="0" t="s">
        <v>1766</v>
      </c>
      <c r="K158" s="0" t="s">
        <v>1828</v>
      </c>
      <c r="L158" s="0" t="s">
        <v>1829</v>
      </c>
      <c r="M158" s="0" t="s">
        <v>973</v>
      </c>
      <c r="N158" s="0" t="s">
        <v>974</v>
      </c>
      <c r="O158" s="0" t="s">
        <v>975</v>
      </c>
      <c r="P158" s="0" t="s">
        <v>976</v>
      </c>
      <c r="Q158" s="0" t="s">
        <v>974</v>
      </c>
      <c r="R158" s="0" t="s">
        <v>970</v>
      </c>
      <c r="S158" s="0" t="s">
        <v>974</v>
      </c>
    </row>
    <row r="159" customFormat="false" ht="13.8" hidden="false" customHeight="false" outlineLevel="0" collapsed="false">
      <c r="A159" s="0" t="n">
        <v>1915</v>
      </c>
      <c r="B159" s="0" t="s">
        <v>1830</v>
      </c>
      <c r="C159" s="0" t="s">
        <v>1761</v>
      </c>
      <c r="E159" s="0" t="n">
        <f aca="false">IF(J158=J159,E158+10,0)</f>
        <v>0</v>
      </c>
      <c r="F159" s="0" t="s">
        <v>1831</v>
      </c>
      <c r="G159" s="0" t="s">
        <v>1832</v>
      </c>
      <c r="H159" s="0" t="s">
        <v>1833</v>
      </c>
      <c r="I159" s="0" t="s">
        <v>1765</v>
      </c>
      <c r="J159" s="0" t="s">
        <v>1446</v>
      </c>
      <c r="K159" s="0" t="s">
        <v>971</v>
      </c>
      <c r="L159" s="0" t="s">
        <v>974</v>
      </c>
      <c r="M159" s="0" t="s">
        <v>973</v>
      </c>
      <c r="N159" s="0" t="s">
        <v>974</v>
      </c>
      <c r="O159" s="0" t="s">
        <v>975</v>
      </c>
      <c r="P159" s="0" t="s">
        <v>976</v>
      </c>
      <c r="Q159" s="0" t="s">
        <v>1737</v>
      </c>
      <c r="R159" s="0" t="s">
        <v>970</v>
      </c>
      <c r="S159" s="0" t="s">
        <v>974</v>
      </c>
    </row>
    <row r="160" customFormat="false" ht="13.8" hidden="false" customHeight="false" outlineLevel="0" collapsed="false">
      <c r="A160" s="0" t="n">
        <v>1916</v>
      </c>
      <c r="B160" s="0" t="s">
        <v>1834</v>
      </c>
      <c r="C160" s="0" t="s">
        <v>1096</v>
      </c>
      <c r="E160" s="0" t="n">
        <f aca="false">IF(J159=J160,E159+10,0)</f>
        <v>10</v>
      </c>
      <c r="F160" s="0" t="s">
        <v>1835</v>
      </c>
      <c r="G160" s="0" t="s">
        <v>1836</v>
      </c>
      <c r="H160" s="0" t="s">
        <v>1837</v>
      </c>
      <c r="I160" s="0" t="s">
        <v>1100</v>
      </c>
      <c r="J160" s="0" t="s">
        <v>1446</v>
      </c>
      <c r="K160" s="0" t="s">
        <v>971</v>
      </c>
      <c r="L160" s="0" t="s">
        <v>974</v>
      </c>
      <c r="M160" s="0" t="s">
        <v>973</v>
      </c>
      <c r="N160" s="0" t="s">
        <v>974</v>
      </c>
      <c r="O160" s="0" t="s">
        <v>975</v>
      </c>
      <c r="P160" s="0" t="s">
        <v>976</v>
      </c>
      <c r="Q160" s="0" t="s">
        <v>996</v>
      </c>
      <c r="R160" s="0" t="s">
        <v>1046</v>
      </c>
      <c r="S160" s="0" t="s">
        <v>974</v>
      </c>
    </row>
    <row r="161" customFormat="false" ht="13.8" hidden="false" customHeight="false" outlineLevel="0" collapsed="false">
      <c r="A161" s="0" t="n">
        <v>1917</v>
      </c>
      <c r="B161" s="0" t="s">
        <v>1838</v>
      </c>
      <c r="C161" s="0" t="s">
        <v>1680</v>
      </c>
      <c r="E161" s="0" t="n">
        <f aca="false">IF(J160=J161,E160+10,0)</f>
        <v>20</v>
      </c>
      <c r="F161" s="0" t="s">
        <v>1839</v>
      </c>
      <c r="G161" s="0" t="s">
        <v>1840</v>
      </c>
      <c r="H161" s="0" t="s">
        <v>1841</v>
      </c>
      <c r="I161" s="0" t="s">
        <v>1175</v>
      </c>
      <c r="J161" s="0" t="s">
        <v>1446</v>
      </c>
      <c r="K161" s="0" t="s">
        <v>971</v>
      </c>
      <c r="L161" s="0" t="s">
        <v>974</v>
      </c>
      <c r="M161" s="0" t="s">
        <v>973</v>
      </c>
      <c r="N161" s="0" t="s">
        <v>974</v>
      </c>
      <c r="O161" s="0" t="s">
        <v>975</v>
      </c>
      <c r="P161" s="0" t="s">
        <v>976</v>
      </c>
      <c r="Q161" s="0" t="s">
        <v>975</v>
      </c>
      <c r="R161" s="0" t="s">
        <v>1046</v>
      </c>
      <c r="S161" s="0" t="s">
        <v>974</v>
      </c>
    </row>
    <row r="162" customFormat="false" ht="13.8" hidden="false" customHeight="false" outlineLevel="0" collapsed="false">
      <c r="A162" s="0" t="n">
        <v>1918</v>
      </c>
      <c r="B162" s="0" t="s">
        <v>1842</v>
      </c>
      <c r="C162" s="0" t="s">
        <v>1776</v>
      </c>
      <c r="E162" s="0" t="n">
        <f aca="false">IF(J161=J162,E161+10,0)</f>
        <v>30</v>
      </c>
      <c r="F162" s="0" t="s">
        <v>1843</v>
      </c>
      <c r="G162" s="0" t="s">
        <v>1844</v>
      </c>
      <c r="H162" s="0" t="s">
        <v>1845</v>
      </c>
      <c r="I162" s="0" t="s">
        <v>1780</v>
      </c>
      <c r="J162" s="0" t="s">
        <v>1446</v>
      </c>
      <c r="K162" s="0" t="s">
        <v>971</v>
      </c>
      <c r="L162" s="0" t="s">
        <v>974</v>
      </c>
      <c r="M162" s="0" t="s">
        <v>973</v>
      </c>
      <c r="N162" s="0" t="s">
        <v>974</v>
      </c>
      <c r="O162" s="0" t="s">
        <v>975</v>
      </c>
      <c r="P162" s="0" t="s">
        <v>976</v>
      </c>
      <c r="Q162" s="0" t="s">
        <v>1232</v>
      </c>
      <c r="R162" s="0" t="s">
        <v>1046</v>
      </c>
      <c r="S162" s="0" t="s">
        <v>974</v>
      </c>
    </row>
    <row r="163" customFormat="false" ht="13.8" hidden="false" customHeight="false" outlineLevel="0" collapsed="false">
      <c r="A163" s="0" t="n">
        <v>1919</v>
      </c>
      <c r="B163" s="0" t="s">
        <v>1846</v>
      </c>
      <c r="C163" s="0" t="s">
        <v>1782</v>
      </c>
      <c r="E163" s="0" t="n">
        <f aca="false">IF(J162=J163,E162+10,0)</f>
        <v>40</v>
      </c>
      <c r="F163" s="0" t="s">
        <v>1847</v>
      </c>
      <c r="G163" s="0" t="s">
        <v>1848</v>
      </c>
      <c r="H163" s="0" t="s">
        <v>1849</v>
      </c>
      <c r="I163" s="0" t="s">
        <v>1014</v>
      </c>
      <c r="J163" s="0" t="s">
        <v>1446</v>
      </c>
      <c r="K163" s="0" t="s">
        <v>971</v>
      </c>
      <c r="L163" s="0" t="s">
        <v>974</v>
      </c>
      <c r="M163" s="0" t="s">
        <v>973</v>
      </c>
      <c r="N163" s="0" t="s">
        <v>974</v>
      </c>
      <c r="O163" s="0" t="s">
        <v>975</v>
      </c>
      <c r="P163" s="0" t="s">
        <v>976</v>
      </c>
      <c r="Q163" s="0" t="s">
        <v>1381</v>
      </c>
      <c r="R163" s="0" t="s">
        <v>1046</v>
      </c>
      <c r="S163" s="0" t="s">
        <v>974</v>
      </c>
    </row>
    <row r="164" customFormat="false" ht="13.8" hidden="false" customHeight="false" outlineLevel="0" collapsed="false">
      <c r="A164" s="0" t="n">
        <v>1920</v>
      </c>
      <c r="B164" s="0" t="s">
        <v>1850</v>
      </c>
      <c r="C164" s="0" t="s">
        <v>1787</v>
      </c>
      <c r="E164" s="0" t="n">
        <f aca="false">IF(J163=J164,E163+10,0)</f>
        <v>50</v>
      </c>
      <c r="F164" s="0" t="s">
        <v>1851</v>
      </c>
      <c r="G164" s="0" t="s">
        <v>1852</v>
      </c>
      <c r="H164" s="0" t="s">
        <v>1853</v>
      </c>
      <c r="I164" s="0" t="s">
        <v>1791</v>
      </c>
      <c r="J164" s="0" t="s">
        <v>1446</v>
      </c>
      <c r="K164" s="0" t="s">
        <v>971</v>
      </c>
      <c r="L164" s="0" t="s">
        <v>974</v>
      </c>
      <c r="M164" s="0" t="s">
        <v>973</v>
      </c>
      <c r="N164" s="0" t="s">
        <v>974</v>
      </c>
      <c r="O164" s="0" t="s">
        <v>975</v>
      </c>
      <c r="P164" s="0" t="s">
        <v>976</v>
      </c>
      <c r="Q164" s="0" t="s">
        <v>1232</v>
      </c>
      <c r="R164" s="0" t="s">
        <v>1046</v>
      </c>
      <c r="S164" s="0" t="s">
        <v>974</v>
      </c>
    </row>
    <row r="165" customFormat="false" ht="13.8" hidden="false" customHeight="false" outlineLevel="0" collapsed="false">
      <c r="A165" s="0" t="n">
        <v>1921</v>
      </c>
      <c r="B165" s="0" t="s">
        <v>1854</v>
      </c>
      <c r="C165" s="0" t="s">
        <v>1793</v>
      </c>
      <c r="E165" s="0" t="n">
        <f aca="false">IF(J164=J165,E164+10,0)</f>
        <v>60</v>
      </c>
      <c r="F165" s="0" t="s">
        <v>1855</v>
      </c>
      <c r="G165" s="0" t="s">
        <v>1856</v>
      </c>
      <c r="H165" s="0" t="s">
        <v>1857</v>
      </c>
      <c r="I165" s="0" t="s">
        <v>1797</v>
      </c>
      <c r="J165" s="0" t="s">
        <v>1446</v>
      </c>
      <c r="K165" s="0" t="s">
        <v>971</v>
      </c>
      <c r="L165" s="0" t="s">
        <v>974</v>
      </c>
      <c r="M165" s="0" t="s">
        <v>973</v>
      </c>
      <c r="N165" s="0" t="s">
        <v>974</v>
      </c>
      <c r="O165" s="0" t="s">
        <v>975</v>
      </c>
      <c r="P165" s="0" t="s">
        <v>976</v>
      </c>
      <c r="Q165" s="0" t="s">
        <v>974</v>
      </c>
      <c r="R165" s="0" t="s">
        <v>970</v>
      </c>
      <c r="S165" s="0" t="s">
        <v>974</v>
      </c>
    </row>
    <row r="166" customFormat="false" ht="13.8" hidden="false" customHeight="false" outlineLevel="0" collapsed="false">
      <c r="A166" s="0" t="n">
        <v>1922</v>
      </c>
      <c r="B166" s="0" t="s">
        <v>1858</v>
      </c>
      <c r="C166" s="0" t="s">
        <v>1799</v>
      </c>
      <c r="E166" s="0" t="n">
        <f aca="false">IF(J165=J166,E165+10,0)</f>
        <v>70</v>
      </c>
      <c r="F166" s="0" t="s">
        <v>1859</v>
      </c>
      <c r="G166" s="0" t="s">
        <v>1860</v>
      </c>
      <c r="H166" s="0" t="s">
        <v>1861</v>
      </c>
      <c r="I166" s="0" t="s">
        <v>1803</v>
      </c>
      <c r="J166" s="0" t="s">
        <v>1446</v>
      </c>
      <c r="K166" s="0" t="s">
        <v>971</v>
      </c>
      <c r="L166" s="0" t="s">
        <v>974</v>
      </c>
      <c r="M166" s="0" t="s">
        <v>973</v>
      </c>
      <c r="N166" s="0" t="s">
        <v>974</v>
      </c>
      <c r="O166" s="0" t="s">
        <v>975</v>
      </c>
      <c r="P166" s="0" t="s">
        <v>976</v>
      </c>
      <c r="Q166" s="0" t="s">
        <v>996</v>
      </c>
      <c r="R166" s="0" t="s">
        <v>970</v>
      </c>
      <c r="S166" s="0" t="s">
        <v>974</v>
      </c>
    </row>
    <row r="167" customFormat="false" ht="13.8" hidden="false" customHeight="false" outlineLevel="0" collapsed="false">
      <c r="A167" s="0" t="n">
        <v>1923</v>
      </c>
      <c r="B167" s="0" t="s">
        <v>1862</v>
      </c>
      <c r="C167" s="0" t="s">
        <v>1662</v>
      </c>
      <c r="E167" s="0" t="n">
        <f aca="false">IF(J166=J167,E166+10,0)</f>
        <v>80</v>
      </c>
      <c r="F167" s="0" t="s">
        <v>1863</v>
      </c>
      <c r="G167" s="0" t="s">
        <v>1864</v>
      </c>
      <c r="H167" s="0" t="s">
        <v>1865</v>
      </c>
      <c r="I167" s="0" t="s">
        <v>1666</v>
      </c>
      <c r="J167" s="0" t="s">
        <v>1446</v>
      </c>
      <c r="K167" s="0" t="s">
        <v>971</v>
      </c>
      <c r="L167" s="0" t="s">
        <v>974</v>
      </c>
      <c r="M167" s="0" t="s">
        <v>973</v>
      </c>
      <c r="N167" s="0" t="s">
        <v>974</v>
      </c>
      <c r="O167" s="0" t="s">
        <v>975</v>
      </c>
      <c r="P167" s="0" t="s">
        <v>976</v>
      </c>
      <c r="Q167" s="0" t="s">
        <v>1059</v>
      </c>
      <c r="R167" s="0" t="s">
        <v>1046</v>
      </c>
      <c r="S167" s="0" t="s">
        <v>974</v>
      </c>
    </row>
    <row r="168" customFormat="false" ht="13.8" hidden="false" customHeight="false" outlineLevel="0" collapsed="false">
      <c r="A168" s="0" t="n">
        <v>1924</v>
      </c>
      <c r="B168" s="0" t="s">
        <v>1866</v>
      </c>
      <c r="C168" s="0" t="s">
        <v>1583</v>
      </c>
      <c r="E168" s="0" t="n">
        <f aca="false">IF(J167=J168,E167+10,0)</f>
        <v>90</v>
      </c>
      <c r="F168" s="0" t="s">
        <v>1867</v>
      </c>
      <c r="G168" s="0" t="s">
        <v>1868</v>
      </c>
      <c r="H168" s="0" t="s">
        <v>1869</v>
      </c>
      <c r="I168" s="0" t="s">
        <v>1587</v>
      </c>
      <c r="J168" s="0" t="s">
        <v>1446</v>
      </c>
      <c r="K168" s="0" t="s">
        <v>971</v>
      </c>
      <c r="L168" s="0" t="s">
        <v>974</v>
      </c>
      <c r="M168" s="0" t="s">
        <v>973</v>
      </c>
      <c r="N168" s="0" t="s">
        <v>974</v>
      </c>
      <c r="O168" s="0" t="s">
        <v>975</v>
      </c>
      <c r="P168" s="0" t="s">
        <v>976</v>
      </c>
      <c r="Q168" s="0" t="s">
        <v>1812</v>
      </c>
      <c r="R168" s="0" t="s">
        <v>1046</v>
      </c>
      <c r="S168" s="0" t="s">
        <v>974</v>
      </c>
    </row>
    <row r="169" customFormat="false" ht="13.8" hidden="false" customHeight="false" outlineLevel="0" collapsed="false">
      <c r="A169" s="0" t="n">
        <v>1925</v>
      </c>
      <c r="B169" s="0" t="s">
        <v>1870</v>
      </c>
      <c r="C169" s="0" t="s">
        <v>1814</v>
      </c>
      <c r="E169" s="0" t="n">
        <f aca="false">IF(J168=J169,E168+10,0)</f>
        <v>100</v>
      </c>
      <c r="F169" s="0" t="s">
        <v>1871</v>
      </c>
      <c r="G169" s="0" t="s">
        <v>1872</v>
      </c>
      <c r="H169" s="0" t="s">
        <v>1873</v>
      </c>
      <c r="I169" s="0" t="s">
        <v>1033</v>
      </c>
      <c r="J169" s="0" t="s">
        <v>1446</v>
      </c>
      <c r="K169" s="0" t="s">
        <v>971</v>
      </c>
      <c r="L169" s="0" t="s">
        <v>974</v>
      </c>
      <c r="M169" s="0" t="s">
        <v>973</v>
      </c>
      <c r="N169" s="0" t="s">
        <v>974</v>
      </c>
      <c r="O169" s="0" t="s">
        <v>975</v>
      </c>
      <c r="P169" s="0" t="s">
        <v>976</v>
      </c>
      <c r="Q169" s="0" t="s">
        <v>973</v>
      </c>
      <c r="R169" s="0" t="s">
        <v>1046</v>
      </c>
      <c r="S169" s="0" t="s">
        <v>974</v>
      </c>
    </row>
    <row r="170" customFormat="false" ht="13.8" hidden="false" customHeight="false" outlineLevel="0" collapsed="false">
      <c r="A170" s="0" t="n">
        <v>1926</v>
      </c>
      <c r="B170" s="0" t="s">
        <v>1874</v>
      </c>
      <c r="C170" s="0" t="s">
        <v>1035</v>
      </c>
      <c r="E170" s="0" t="n">
        <f aca="false">IF(J169=J170,E169+10,0)</f>
        <v>110</v>
      </c>
      <c r="F170" s="0" t="s">
        <v>1875</v>
      </c>
      <c r="G170" s="0" t="s">
        <v>1876</v>
      </c>
      <c r="H170" s="0" t="s">
        <v>1877</v>
      </c>
      <c r="I170" s="0" t="s">
        <v>970</v>
      </c>
      <c r="J170" s="0" t="s">
        <v>1446</v>
      </c>
      <c r="K170" s="0" t="s">
        <v>971</v>
      </c>
      <c r="L170" s="0" t="s">
        <v>974</v>
      </c>
      <c r="M170" s="0" t="s">
        <v>973</v>
      </c>
      <c r="N170" s="0" t="s">
        <v>974</v>
      </c>
      <c r="O170" s="0" t="s">
        <v>975</v>
      </c>
      <c r="P170" s="0" t="s">
        <v>976</v>
      </c>
      <c r="Q170" s="0" t="s">
        <v>973</v>
      </c>
      <c r="R170" s="0" t="s">
        <v>1046</v>
      </c>
      <c r="S170" s="0" t="s">
        <v>974</v>
      </c>
    </row>
    <row r="171" customFormat="false" ht="13.8" hidden="false" customHeight="false" outlineLevel="0" collapsed="false">
      <c r="A171" s="0" t="n">
        <v>1927</v>
      </c>
      <c r="B171" s="0" t="s">
        <v>1878</v>
      </c>
      <c r="C171" s="0" t="s">
        <v>1879</v>
      </c>
      <c r="E171" s="0" t="n">
        <f aca="false">IF(J170=J171,E170+10,0)</f>
        <v>120</v>
      </c>
      <c r="F171" s="0" t="s">
        <v>1880</v>
      </c>
      <c r="G171" s="0" t="s">
        <v>1881</v>
      </c>
      <c r="H171" s="0" t="s">
        <v>1882</v>
      </c>
      <c r="I171" s="0" t="s">
        <v>1883</v>
      </c>
      <c r="J171" s="0" t="s">
        <v>1446</v>
      </c>
      <c r="K171" s="0" t="s">
        <v>1884</v>
      </c>
      <c r="L171" s="0" t="s">
        <v>1265</v>
      </c>
      <c r="M171" s="0" t="s">
        <v>973</v>
      </c>
      <c r="N171" s="0" t="s">
        <v>974</v>
      </c>
      <c r="O171" s="0" t="s">
        <v>975</v>
      </c>
      <c r="P171" s="0" t="s">
        <v>976</v>
      </c>
      <c r="Q171" s="0" t="s">
        <v>974</v>
      </c>
      <c r="R171" s="0" t="s">
        <v>970</v>
      </c>
      <c r="S171" s="0" t="s">
        <v>974</v>
      </c>
    </row>
    <row r="172" customFormat="false" ht="13.8" hidden="false" customHeight="false" outlineLevel="0" collapsed="false">
      <c r="A172" s="0" t="n">
        <v>1928</v>
      </c>
      <c r="B172" s="0" t="s">
        <v>1885</v>
      </c>
      <c r="C172" s="0" t="s">
        <v>1761</v>
      </c>
      <c r="E172" s="0" t="n">
        <f aca="false">IF(J171=J172,E171+10,0)</f>
        <v>0</v>
      </c>
      <c r="F172" s="0" t="s">
        <v>1886</v>
      </c>
      <c r="G172" s="0" t="s">
        <v>1887</v>
      </c>
      <c r="H172" s="0" t="s">
        <v>1888</v>
      </c>
      <c r="I172" s="0" t="s">
        <v>1765</v>
      </c>
      <c r="J172" s="0" t="s">
        <v>1889</v>
      </c>
      <c r="K172" s="0" t="s">
        <v>971</v>
      </c>
      <c r="L172" s="0" t="s">
        <v>974</v>
      </c>
      <c r="M172" s="0" t="s">
        <v>973</v>
      </c>
      <c r="N172" s="0" t="s">
        <v>974</v>
      </c>
      <c r="O172" s="0" t="s">
        <v>975</v>
      </c>
      <c r="P172" s="0" t="s">
        <v>976</v>
      </c>
      <c r="Q172" s="0" t="s">
        <v>1737</v>
      </c>
      <c r="R172" s="0" t="s">
        <v>970</v>
      </c>
      <c r="S172" s="0" t="s">
        <v>974</v>
      </c>
    </row>
    <row r="173" customFormat="false" ht="13.8" hidden="false" customHeight="false" outlineLevel="0" collapsed="false">
      <c r="A173" s="0" t="n">
        <v>1929</v>
      </c>
      <c r="B173" s="0" t="s">
        <v>1890</v>
      </c>
      <c r="C173" s="0" t="s">
        <v>1096</v>
      </c>
      <c r="E173" s="0" t="n">
        <f aca="false">IF(J172=J173,E172+10,0)</f>
        <v>10</v>
      </c>
      <c r="F173" s="0" t="s">
        <v>1891</v>
      </c>
      <c r="G173" s="0" t="s">
        <v>1892</v>
      </c>
      <c r="H173" s="0" t="s">
        <v>1893</v>
      </c>
      <c r="I173" s="0" t="s">
        <v>1100</v>
      </c>
      <c r="J173" s="0" t="s">
        <v>1889</v>
      </c>
      <c r="K173" s="0" t="s">
        <v>971</v>
      </c>
      <c r="L173" s="0" t="s">
        <v>974</v>
      </c>
      <c r="M173" s="0" t="s">
        <v>973</v>
      </c>
      <c r="N173" s="0" t="s">
        <v>974</v>
      </c>
      <c r="O173" s="0" t="s">
        <v>975</v>
      </c>
      <c r="P173" s="0" t="s">
        <v>976</v>
      </c>
      <c r="Q173" s="0" t="s">
        <v>996</v>
      </c>
      <c r="R173" s="0" t="s">
        <v>1046</v>
      </c>
      <c r="S173" s="0" t="s">
        <v>974</v>
      </c>
    </row>
    <row r="174" customFormat="false" ht="13.8" hidden="false" customHeight="false" outlineLevel="0" collapsed="false">
      <c r="A174" s="0" t="n">
        <v>1930</v>
      </c>
      <c r="B174" s="0" t="s">
        <v>1894</v>
      </c>
      <c r="C174" s="0" t="s">
        <v>1680</v>
      </c>
      <c r="E174" s="0" t="n">
        <f aca="false">IF(J173=J174,E173+10,0)</f>
        <v>20</v>
      </c>
      <c r="F174" s="0" t="s">
        <v>1895</v>
      </c>
      <c r="G174" s="0" t="s">
        <v>1896</v>
      </c>
      <c r="H174" s="0" t="s">
        <v>1897</v>
      </c>
      <c r="I174" s="0" t="s">
        <v>1175</v>
      </c>
      <c r="J174" s="0" t="s">
        <v>1889</v>
      </c>
      <c r="K174" s="0" t="s">
        <v>971</v>
      </c>
      <c r="L174" s="0" t="s">
        <v>974</v>
      </c>
      <c r="M174" s="0" t="s">
        <v>973</v>
      </c>
      <c r="N174" s="0" t="s">
        <v>974</v>
      </c>
      <c r="O174" s="0" t="s">
        <v>975</v>
      </c>
      <c r="P174" s="0" t="s">
        <v>976</v>
      </c>
      <c r="Q174" s="0" t="s">
        <v>975</v>
      </c>
      <c r="R174" s="0" t="s">
        <v>1046</v>
      </c>
      <c r="S174" s="0" t="s">
        <v>974</v>
      </c>
    </row>
    <row r="175" customFormat="false" ht="13.8" hidden="false" customHeight="false" outlineLevel="0" collapsed="false">
      <c r="A175" s="0" t="n">
        <v>1931</v>
      </c>
      <c r="B175" s="0" t="s">
        <v>1898</v>
      </c>
      <c r="C175" s="0" t="s">
        <v>1776</v>
      </c>
      <c r="E175" s="0" t="n">
        <f aca="false">IF(J174=J175,E174+10,0)</f>
        <v>30</v>
      </c>
      <c r="F175" s="0" t="s">
        <v>1899</v>
      </c>
      <c r="G175" s="0" t="s">
        <v>1900</v>
      </c>
      <c r="H175" s="0" t="s">
        <v>1901</v>
      </c>
      <c r="I175" s="0" t="s">
        <v>1780</v>
      </c>
      <c r="J175" s="0" t="s">
        <v>1889</v>
      </c>
      <c r="K175" s="0" t="s">
        <v>971</v>
      </c>
      <c r="L175" s="0" t="s">
        <v>974</v>
      </c>
      <c r="M175" s="0" t="s">
        <v>973</v>
      </c>
      <c r="N175" s="0" t="s">
        <v>974</v>
      </c>
      <c r="O175" s="0" t="s">
        <v>975</v>
      </c>
      <c r="P175" s="0" t="s">
        <v>976</v>
      </c>
      <c r="Q175" s="0" t="s">
        <v>1232</v>
      </c>
      <c r="R175" s="0" t="s">
        <v>1046</v>
      </c>
      <c r="S175" s="0" t="s">
        <v>974</v>
      </c>
    </row>
    <row r="176" customFormat="false" ht="13.8" hidden="false" customHeight="false" outlineLevel="0" collapsed="false">
      <c r="A176" s="0" t="n">
        <v>1932</v>
      </c>
      <c r="B176" s="0" t="s">
        <v>1902</v>
      </c>
      <c r="C176" s="0" t="s">
        <v>1782</v>
      </c>
      <c r="E176" s="0" t="n">
        <f aca="false">IF(J175=J176,E175+10,0)</f>
        <v>40</v>
      </c>
      <c r="F176" s="0" t="s">
        <v>1903</v>
      </c>
      <c r="G176" s="0" t="s">
        <v>1904</v>
      </c>
      <c r="H176" s="0" t="s">
        <v>1905</v>
      </c>
      <c r="I176" s="0" t="s">
        <v>1014</v>
      </c>
      <c r="J176" s="0" t="s">
        <v>1889</v>
      </c>
      <c r="K176" s="0" t="s">
        <v>971</v>
      </c>
      <c r="L176" s="0" t="s">
        <v>974</v>
      </c>
      <c r="M176" s="0" t="s">
        <v>973</v>
      </c>
      <c r="N176" s="0" t="s">
        <v>974</v>
      </c>
      <c r="O176" s="0" t="s">
        <v>975</v>
      </c>
      <c r="P176" s="0" t="s">
        <v>976</v>
      </c>
      <c r="Q176" s="0" t="s">
        <v>1381</v>
      </c>
      <c r="R176" s="0" t="s">
        <v>1046</v>
      </c>
      <c r="S176" s="0" t="s">
        <v>974</v>
      </c>
    </row>
    <row r="177" customFormat="false" ht="13.8" hidden="false" customHeight="false" outlineLevel="0" collapsed="false">
      <c r="A177" s="0" t="n">
        <v>1933</v>
      </c>
      <c r="B177" s="0" t="s">
        <v>1906</v>
      </c>
      <c r="C177" s="0" t="s">
        <v>1787</v>
      </c>
      <c r="E177" s="0" t="n">
        <f aca="false">IF(J176=J177,E176+10,0)</f>
        <v>50</v>
      </c>
      <c r="F177" s="0" t="s">
        <v>1907</v>
      </c>
      <c r="G177" s="0" t="s">
        <v>1908</v>
      </c>
      <c r="H177" s="0" t="s">
        <v>1909</v>
      </c>
      <c r="I177" s="0" t="s">
        <v>1791</v>
      </c>
      <c r="J177" s="0" t="s">
        <v>1889</v>
      </c>
      <c r="K177" s="0" t="s">
        <v>971</v>
      </c>
      <c r="L177" s="0" t="s">
        <v>974</v>
      </c>
      <c r="M177" s="0" t="s">
        <v>973</v>
      </c>
      <c r="N177" s="0" t="s">
        <v>974</v>
      </c>
      <c r="O177" s="0" t="s">
        <v>975</v>
      </c>
      <c r="P177" s="0" t="s">
        <v>976</v>
      </c>
      <c r="Q177" s="0" t="s">
        <v>1232</v>
      </c>
      <c r="R177" s="0" t="s">
        <v>1046</v>
      </c>
      <c r="S177" s="0" t="s">
        <v>974</v>
      </c>
    </row>
    <row r="178" customFormat="false" ht="13.8" hidden="false" customHeight="false" outlineLevel="0" collapsed="false">
      <c r="A178" s="0" t="n">
        <v>1934</v>
      </c>
      <c r="B178" s="0" t="s">
        <v>1910</v>
      </c>
      <c r="C178" s="0" t="s">
        <v>1793</v>
      </c>
      <c r="E178" s="0" t="n">
        <f aca="false">IF(J177=J178,E177+10,0)</f>
        <v>60</v>
      </c>
      <c r="F178" s="0" t="s">
        <v>1911</v>
      </c>
      <c r="G178" s="0" t="s">
        <v>1912</v>
      </c>
      <c r="H178" s="0" t="s">
        <v>1913</v>
      </c>
      <c r="I178" s="0" t="s">
        <v>1797</v>
      </c>
      <c r="J178" s="0" t="s">
        <v>1889</v>
      </c>
      <c r="K178" s="0" t="s">
        <v>971</v>
      </c>
      <c r="L178" s="0" t="s">
        <v>974</v>
      </c>
      <c r="M178" s="0" t="s">
        <v>973</v>
      </c>
      <c r="N178" s="0" t="s">
        <v>974</v>
      </c>
      <c r="O178" s="0" t="s">
        <v>975</v>
      </c>
      <c r="P178" s="0" t="s">
        <v>976</v>
      </c>
      <c r="Q178" s="0" t="s">
        <v>974</v>
      </c>
      <c r="R178" s="0" t="s">
        <v>970</v>
      </c>
      <c r="S178" s="0" t="s">
        <v>974</v>
      </c>
    </row>
    <row r="179" customFormat="false" ht="13.8" hidden="false" customHeight="false" outlineLevel="0" collapsed="false">
      <c r="A179" s="0" t="n">
        <v>1935</v>
      </c>
      <c r="B179" s="0" t="s">
        <v>1914</v>
      </c>
      <c r="C179" s="0" t="s">
        <v>1799</v>
      </c>
      <c r="E179" s="0" t="n">
        <f aca="false">IF(J178=J179,E178+10,0)</f>
        <v>70</v>
      </c>
      <c r="F179" s="0" t="s">
        <v>1915</v>
      </c>
      <c r="G179" s="0" t="s">
        <v>1916</v>
      </c>
      <c r="H179" s="0" t="s">
        <v>1917</v>
      </c>
      <c r="I179" s="0" t="s">
        <v>1803</v>
      </c>
      <c r="J179" s="0" t="s">
        <v>1889</v>
      </c>
      <c r="K179" s="0" t="s">
        <v>971</v>
      </c>
      <c r="L179" s="0" t="s">
        <v>974</v>
      </c>
      <c r="M179" s="0" t="s">
        <v>973</v>
      </c>
      <c r="N179" s="0" t="s">
        <v>974</v>
      </c>
      <c r="O179" s="0" t="s">
        <v>975</v>
      </c>
      <c r="P179" s="0" t="s">
        <v>976</v>
      </c>
      <c r="Q179" s="0" t="s">
        <v>996</v>
      </c>
      <c r="R179" s="0" t="s">
        <v>970</v>
      </c>
      <c r="S179" s="0" t="s">
        <v>974</v>
      </c>
    </row>
    <row r="180" customFormat="false" ht="13.8" hidden="false" customHeight="false" outlineLevel="0" collapsed="false">
      <c r="A180" s="0" t="n">
        <v>1936</v>
      </c>
      <c r="B180" s="0" t="s">
        <v>1918</v>
      </c>
      <c r="C180" s="0" t="s">
        <v>1662</v>
      </c>
      <c r="E180" s="0" t="n">
        <f aca="false">IF(J179=J180,E179+10,0)</f>
        <v>80</v>
      </c>
      <c r="F180" s="0" t="s">
        <v>1919</v>
      </c>
      <c r="G180" s="0" t="s">
        <v>1920</v>
      </c>
      <c r="H180" s="0" t="s">
        <v>1921</v>
      </c>
      <c r="I180" s="0" t="s">
        <v>1666</v>
      </c>
      <c r="J180" s="0" t="s">
        <v>1889</v>
      </c>
      <c r="K180" s="0" t="s">
        <v>971</v>
      </c>
      <c r="L180" s="0" t="s">
        <v>974</v>
      </c>
      <c r="M180" s="0" t="s">
        <v>973</v>
      </c>
      <c r="N180" s="0" t="s">
        <v>974</v>
      </c>
      <c r="O180" s="0" t="s">
        <v>975</v>
      </c>
      <c r="P180" s="0" t="s">
        <v>976</v>
      </c>
      <c r="Q180" s="0" t="s">
        <v>1059</v>
      </c>
      <c r="R180" s="0" t="s">
        <v>1046</v>
      </c>
      <c r="S180" s="0" t="s">
        <v>974</v>
      </c>
    </row>
    <row r="181" customFormat="false" ht="13.8" hidden="false" customHeight="false" outlineLevel="0" collapsed="false">
      <c r="A181" s="0" t="n">
        <v>1937</v>
      </c>
      <c r="B181" s="0" t="s">
        <v>1922</v>
      </c>
      <c r="C181" s="0" t="s">
        <v>1583</v>
      </c>
      <c r="E181" s="0" t="n">
        <f aca="false">IF(J180=J181,E180+10,0)</f>
        <v>90</v>
      </c>
      <c r="F181" s="0" t="s">
        <v>1923</v>
      </c>
      <c r="G181" s="0" t="s">
        <v>1924</v>
      </c>
      <c r="H181" s="0" t="s">
        <v>1925</v>
      </c>
      <c r="I181" s="0" t="s">
        <v>1587</v>
      </c>
      <c r="J181" s="0" t="s">
        <v>1889</v>
      </c>
      <c r="K181" s="0" t="s">
        <v>971</v>
      </c>
      <c r="L181" s="0" t="s">
        <v>974</v>
      </c>
      <c r="M181" s="0" t="s">
        <v>973</v>
      </c>
      <c r="N181" s="0" t="s">
        <v>974</v>
      </c>
      <c r="O181" s="0" t="s">
        <v>975</v>
      </c>
      <c r="P181" s="0" t="s">
        <v>976</v>
      </c>
      <c r="Q181" s="0" t="s">
        <v>1812</v>
      </c>
      <c r="R181" s="0" t="s">
        <v>1046</v>
      </c>
      <c r="S181" s="0" t="s">
        <v>974</v>
      </c>
    </row>
    <row r="182" customFormat="false" ht="13.8" hidden="false" customHeight="false" outlineLevel="0" collapsed="false">
      <c r="A182" s="0" t="n">
        <v>1938</v>
      </c>
      <c r="B182" s="0" t="s">
        <v>1926</v>
      </c>
      <c r="C182" s="0" t="s">
        <v>1814</v>
      </c>
      <c r="E182" s="0" t="n">
        <f aca="false">IF(J181=J182,E181+10,0)</f>
        <v>100</v>
      </c>
      <c r="F182" s="0" t="s">
        <v>1927</v>
      </c>
      <c r="G182" s="0" t="s">
        <v>1928</v>
      </c>
      <c r="H182" s="0" t="s">
        <v>1929</v>
      </c>
      <c r="I182" s="0" t="s">
        <v>1033</v>
      </c>
      <c r="J182" s="0" t="s">
        <v>1889</v>
      </c>
      <c r="K182" s="0" t="s">
        <v>971</v>
      </c>
      <c r="L182" s="0" t="s">
        <v>974</v>
      </c>
      <c r="M182" s="0" t="s">
        <v>973</v>
      </c>
      <c r="N182" s="0" t="s">
        <v>974</v>
      </c>
      <c r="O182" s="0" t="s">
        <v>975</v>
      </c>
      <c r="P182" s="0" t="s">
        <v>976</v>
      </c>
      <c r="Q182" s="0" t="s">
        <v>973</v>
      </c>
      <c r="R182" s="0" t="s">
        <v>1046</v>
      </c>
      <c r="S182" s="0" t="s">
        <v>974</v>
      </c>
    </row>
    <row r="183" customFormat="false" ht="13.8" hidden="false" customHeight="false" outlineLevel="0" collapsed="false">
      <c r="A183" s="0" t="n">
        <v>1939</v>
      </c>
      <c r="B183" s="0" t="s">
        <v>1930</v>
      </c>
      <c r="C183" s="0" t="s">
        <v>1035</v>
      </c>
      <c r="E183" s="0" t="n">
        <f aca="false">IF(J182=J183,E182+10,0)</f>
        <v>110</v>
      </c>
      <c r="F183" s="0" t="s">
        <v>1931</v>
      </c>
      <c r="G183" s="0" t="s">
        <v>1932</v>
      </c>
      <c r="H183" s="0" t="s">
        <v>1933</v>
      </c>
      <c r="I183" s="0" t="s">
        <v>970</v>
      </c>
      <c r="J183" s="0" t="s">
        <v>1889</v>
      </c>
      <c r="K183" s="0" t="s">
        <v>971</v>
      </c>
      <c r="L183" s="0" t="s">
        <v>974</v>
      </c>
      <c r="M183" s="0" t="s">
        <v>973</v>
      </c>
      <c r="N183" s="0" t="s">
        <v>974</v>
      </c>
      <c r="O183" s="0" t="s">
        <v>975</v>
      </c>
      <c r="P183" s="0" t="s">
        <v>976</v>
      </c>
      <c r="Q183" s="0" t="s">
        <v>973</v>
      </c>
      <c r="R183" s="0" t="s">
        <v>1046</v>
      </c>
      <c r="S183" s="0" t="s">
        <v>974</v>
      </c>
    </row>
    <row r="184" customFormat="false" ht="13.8" hidden="false" customHeight="false" outlineLevel="0" collapsed="false">
      <c r="A184" s="0" t="n">
        <v>1940</v>
      </c>
      <c r="B184" s="0" t="s">
        <v>1934</v>
      </c>
      <c r="C184" s="0" t="s">
        <v>1935</v>
      </c>
      <c r="E184" s="0" t="n">
        <f aca="false">IF(J183=J184,E183+10,0)</f>
        <v>120</v>
      </c>
      <c r="F184" s="0" t="s">
        <v>1936</v>
      </c>
      <c r="G184" s="0" t="s">
        <v>1937</v>
      </c>
      <c r="H184" s="0" t="s">
        <v>1938</v>
      </c>
      <c r="I184" s="0" t="s">
        <v>1939</v>
      </c>
      <c r="J184" s="0" t="s">
        <v>1889</v>
      </c>
      <c r="K184" s="0" t="s">
        <v>1884</v>
      </c>
      <c r="L184" s="0" t="s">
        <v>1829</v>
      </c>
      <c r="M184" s="0" t="s">
        <v>973</v>
      </c>
      <c r="N184" s="0" t="s">
        <v>974</v>
      </c>
      <c r="O184" s="0" t="s">
        <v>975</v>
      </c>
      <c r="P184" s="0" t="s">
        <v>976</v>
      </c>
      <c r="Q184" s="0" t="s">
        <v>974</v>
      </c>
      <c r="R184" s="0" t="s">
        <v>970</v>
      </c>
      <c r="S184" s="0" t="s">
        <v>974</v>
      </c>
    </row>
    <row r="185" customFormat="false" ht="13.8" hidden="false" customHeight="false" outlineLevel="0" collapsed="false">
      <c r="A185" s="0" t="n">
        <v>1941</v>
      </c>
      <c r="B185" s="0" t="s">
        <v>1940</v>
      </c>
      <c r="C185" s="0" t="s">
        <v>1941</v>
      </c>
      <c r="E185" s="0" t="n">
        <f aca="false">IF(J184=J185,E184+10,0)</f>
        <v>0</v>
      </c>
      <c r="F185" s="0" t="s">
        <v>1942</v>
      </c>
      <c r="G185" s="0" t="s">
        <v>1943</v>
      </c>
      <c r="H185" s="0" t="s">
        <v>1944</v>
      </c>
      <c r="I185" s="0" t="s">
        <v>1945</v>
      </c>
      <c r="J185" s="0" t="s">
        <v>1046</v>
      </c>
      <c r="K185" s="0" t="s">
        <v>1624</v>
      </c>
      <c r="L185" s="0" t="s">
        <v>1067</v>
      </c>
      <c r="M185" s="0" t="s">
        <v>973</v>
      </c>
      <c r="N185" s="0" t="s">
        <v>974</v>
      </c>
      <c r="O185" s="0" t="s">
        <v>975</v>
      </c>
      <c r="P185" s="0" t="s">
        <v>976</v>
      </c>
      <c r="Q185" s="0" t="s">
        <v>974</v>
      </c>
      <c r="R185" s="0" t="s">
        <v>970</v>
      </c>
      <c r="S185" s="0" t="s">
        <v>974</v>
      </c>
    </row>
    <row r="186" customFormat="false" ht="13.8" hidden="false" customHeight="false" outlineLevel="0" collapsed="false">
      <c r="A186" s="0" t="n">
        <v>1942</v>
      </c>
      <c r="B186" s="0" t="s">
        <v>1946</v>
      </c>
      <c r="C186" s="0" t="s">
        <v>1139</v>
      </c>
      <c r="E186" s="0" t="n">
        <f aca="false">IF(J185=J186,E185+10,0)</f>
        <v>10</v>
      </c>
      <c r="F186" s="0" t="s">
        <v>1947</v>
      </c>
      <c r="G186" s="0" t="s">
        <v>1948</v>
      </c>
      <c r="H186" s="0" t="s">
        <v>1949</v>
      </c>
      <c r="I186" s="0" t="s">
        <v>1143</v>
      </c>
      <c r="J186" s="0" t="s">
        <v>1046</v>
      </c>
      <c r="K186" s="0" t="s">
        <v>1950</v>
      </c>
      <c r="L186" s="0" t="s">
        <v>973</v>
      </c>
      <c r="M186" s="0" t="s">
        <v>973</v>
      </c>
      <c r="N186" s="0" t="s">
        <v>974</v>
      </c>
      <c r="O186" s="0" t="s">
        <v>975</v>
      </c>
      <c r="P186" s="0" t="s">
        <v>976</v>
      </c>
      <c r="Q186" s="0" t="s">
        <v>974</v>
      </c>
      <c r="R186" s="0" t="s">
        <v>970</v>
      </c>
      <c r="S186" s="0" t="s">
        <v>974</v>
      </c>
    </row>
    <row r="187" customFormat="false" ht="13.8" hidden="false" customHeight="false" outlineLevel="0" collapsed="false">
      <c r="A187" s="0" t="n">
        <v>1943</v>
      </c>
      <c r="B187" s="0" t="s">
        <v>1951</v>
      </c>
      <c r="C187" s="0" t="s">
        <v>991</v>
      </c>
      <c r="E187" s="0" t="n">
        <f aca="false">IF(J186=J187,E186+10,0)</f>
        <v>20</v>
      </c>
      <c r="F187" s="0" t="s">
        <v>1952</v>
      </c>
      <c r="G187" s="0" t="s">
        <v>1953</v>
      </c>
      <c r="H187" s="0" t="s">
        <v>1954</v>
      </c>
      <c r="I187" s="0" t="s">
        <v>995</v>
      </c>
      <c r="J187" s="0" t="s">
        <v>1046</v>
      </c>
      <c r="K187" s="0" t="s">
        <v>1955</v>
      </c>
      <c r="L187" s="0" t="s">
        <v>1625</v>
      </c>
      <c r="M187" s="0" t="s">
        <v>973</v>
      </c>
      <c r="N187" s="0" t="s">
        <v>974</v>
      </c>
      <c r="O187" s="0" t="s">
        <v>975</v>
      </c>
      <c r="P187" s="0" t="s">
        <v>976</v>
      </c>
      <c r="Q187" s="0" t="s">
        <v>974</v>
      </c>
      <c r="R187" s="0" t="s">
        <v>970</v>
      </c>
      <c r="S187" s="0" t="s">
        <v>974</v>
      </c>
    </row>
    <row r="188" customFormat="false" ht="13.8" hidden="false" customHeight="false" outlineLevel="0" collapsed="false">
      <c r="A188" s="0" t="n">
        <v>1944</v>
      </c>
      <c r="B188" s="0" t="s">
        <v>1956</v>
      </c>
      <c r="C188" s="0" t="s">
        <v>1048</v>
      </c>
      <c r="E188" s="0" t="n">
        <f aca="false">IF(J187=J188,E187+10,0)</f>
        <v>30</v>
      </c>
      <c r="F188" s="0" t="s">
        <v>1957</v>
      </c>
      <c r="G188" s="0" t="s">
        <v>1958</v>
      </c>
      <c r="H188" s="0" t="s">
        <v>1959</v>
      </c>
      <c r="I188" s="0" t="s">
        <v>1052</v>
      </c>
      <c r="J188" s="0" t="s">
        <v>1046</v>
      </c>
      <c r="K188" s="0" t="s">
        <v>1630</v>
      </c>
      <c r="L188" s="0" t="s">
        <v>1067</v>
      </c>
      <c r="M188" s="0" t="s">
        <v>973</v>
      </c>
      <c r="N188" s="0" t="s">
        <v>974</v>
      </c>
      <c r="O188" s="0" t="s">
        <v>975</v>
      </c>
      <c r="P188" s="0" t="s">
        <v>976</v>
      </c>
      <c r="Q188" s="0" t="s">
        <v>974</v>
      </c>
      <c r="R188" s="0" t="s">
        <v>970</v>
      </c>
      <c r="S188" s="0" t="s">
        <v>974</v>
      </c>
    </row>
    <row r="189" customFormat="false" ht="13.8" hidden="false" customHeight="false" outlineLevel="0" collapsed="false">
      <c r="A189" s="0" t="n">
        <v>1945</v>
      </c>
      <c r="B189" s="0" t="s">
        <v>1960</v>
      </c>
      <c r="C189" s="0" t="s">
        <v>1517</v>
      </c>
      <c r="E189" s="0" t="n">
        <f aca="false">IF(J188=J189,E188+10,0)</f>
        <v>40</v>
      </c>
      <c r="F189" s="0" t="s">
        <v>1961</v>
      </c>
      <c r="G189" s="0" t="s">
        <v>1962</v>
      </c>
      <c r="H189" s="0" t="s">
        <v>1963</v>
      </c>
      <c r="I189" s="0" t="s">
        <v>1106</v>
      </c>
      <c r="J189" s="0" t="s">
        <v>1046</v>
      </c>
      <c r="K189" s="0" t="s">
        <v>971</v>
      </c>
      <c r="L189" s="0" t="s">
        <v>974</v>
      </c>
      <c r="M189" s="0" t="s">
        <v>973</v>
      </c>
      <c r="N189" s="0" t="s">
        <v>974</v>
      </c>
      <c r="O189" s="0" t="s">
        <v>975</v>
      </c>
      <c r="P189" s="0" t="s">
        <v>976</v>
      </c>
      <c r="Q189" s="0" t="s">
        <v>970</v>
      </c>
      <c r="R189" s="0" t="s">
        <v>970</v>
      </c>
      <c r="S189" s="0" t="s">
        <v>974</v>
      </c>
    </row>
    <row r="190" customFormat="false" ht="13.8" hidden="false" customHeight="false" outlineLevel="0" collapsed="false">
      <c r="A190" s="0" t="n">
        <v>1946</v>
      </c>
      <c r="B190" s="0" t="s">
        <v>1964</v>
      </c>
      <c r="C190" s="0" t="s">
        <v>1583</v>
      </c>
      <c r="E190" s="0" t="n">
        <f aca="false">IF(J189=J190,E189+10,0)</f>
        <v>50</v>
      </c>
      <c r="F190" s="0" t="s">
        <v>1965</v>
      </c>
      <c r="G190" s="0" t="s">
        <v>1966</v>
      </c>
      <c r="H190" s="0" t="s">
        <v>1967</v>
      </c>
      <c r="I190" s="0" t="s">
        <v>1587</v>
      </c>
      <c r="J190" s="0" t="s">
        <v>1046</v>
      </c>
      <c r="K190" s="0" t="s">
        <v>971</v>
      </c>
      <c r="L190" s="0" t="s">
        <v>974</v>
      </c>
      <c r="M190" s="0" t="s">
        <v>973</v>
      </c>
      <c r="N190" s="0" t="s">
        <v>974</v>
      </c>
      <c r="O190" s="0" t="s">
        <v>975</v>
      </c>
      <c r="P190" s="0" t="s">
        <v>976</v>
      </c>
      <c r="Q190" s="0" t="s">
        <v>1968</v>
      </c>
      <c r="R190" s="0" t="s">
        <v>1046</v>
      </c>
      <c r="S190" s="0" t="s">
        <v>974</v>
      </c>
    </row>
    <row r="191" customFormat="false" ht="13.8" hidden="false" customHeight="false" outlineLevel="0" collapsed="false">
      <c r="A191" s="0" t="n">
        <v>1947</v>
      </c>
      <c r="B191" s="0" t="s">
        <v>1969</v>
      </c>
      <c r="C191" s="0" t="s">
        <v>1970</v>
      </c>
      <c r="E191" s="0" t="n">
        <f aca="false">IF(J190=J191,E190+10,0)</f>
        <v>60</v>
      </c>
      <c r="F191" s="0" t="s">
        <v>1971</v>
      </c>
      <c r="G191" s="0" t="s">
        <v>1972</v>
      </c>
      <c r="H191" s="0" t="s">
        <v>1973</v>
      </c>
      <c r="I191" s="0" t="s">
        <v>1021</v>
      </c>
      <c r="J191" s="0" t="s">
        <v>1046</v>
      </c>
      <c r="K191" s="0" t="s">
        <v>1434</v>
      </c>
      <c r="L191" s="0" t="s">
        <v>974</v>
      </c>
      <c r="M191" s="0" t="s">
        <v>973</v>
      </c>
      <c r="N191" s="0" t="s">
        <v>974</v>
      </c>
      <c r="O191" s="0" t="s">
        <v>975</v>
      </c>
      <c r="P191" s="0" t="s">
        <v>976</v>
      </c>
      <c r="Q191" s="0" t="s">
        <v>970</v>
      </c>
      <c r="R191" s="0" t="s">
        <v>1046</v>
      </c>
      <c r="S191" s="0" t="s">
        <v>974</v>
      </c>
    </row>
    <row r="192" customFormat="false" ht="13.8" hidden="false" customHeight="false" outlineLevel="0" collapsed="false">
      <c r="A192" s="0" t="n">
        <v>1948</v>
      </c>
      <c r="B192" s="0" t="s">
        <v>1974</v>
      </c>
      <c r="C192" s="0" t="s">
        <v>1035</v>
      </c>
      <c r="E192" s="0" t="n">
        <f aca="false">IF(J191=J192,E191+10,0)</f>
        <v>70</v>
      </c>
      <c r="F192" s="0" t="s">
        <v>1975</v>
      </c>
      <c r="G192" s="0" t="s">
        <v>1976</v>
      </c>
      <c r="H192" s="0" t="s">
        <v>1977</v>
      </c>
      <c r="I192" s="0" t="s">
        <v>970</v>
      </c>
      <c r="J192" s="0" t="s">
        <v>1046</v>
      </c>
      <c r="K192" s="0" t="s">
        <v>971</v>
      </c>
      <c r="L192" s="0" t="s">
        <v>974</v>
      </c>
      <c r="M192" s="0" t="s">
        <v>973</v>
      </c>
      <c r="N192" s="0" t="s">
        <v>974</v>
      </c>
      <c r="O192" s="0" t="s">
        <v>975</v>
      </c>
      <c r="P192" s="0" t="s">
        <v>976</v>
      </c>
      <c r="Q192" s="0" t="s">
        <v>1059</v>
      </c>
      <c r="R192" s="0" t="s">
        <v>970</v>
      </c>
      <c r="S192" s="0" t="s">
        <v>974</v>
      </c>
    </row>
    <row r="193" customFormat="false" ht="13.8" hidden="false" customHeight="false" outlineLevel="0" collapsed="false">
      <c r="A193" s="0" t="n">
        <v>1949</v>
      </c>
      <c r="B193" s="0" t="s">
        <v>1978</v>
      </c>
      <c r="C193" s="0" t="s">
        <v>1641</v>
      </c>
      <c r="E193" s="0" t="n">
        <f aca="false">IF(J192=J193,E192+10,0)</f>
        <v>80</v>
      </c>
      <c r="F193" s="0" t="s">
        <v>1979</v>
      </c>
      <c r="G193" s="0" t="s">
        <v>1980</v>
      </c>
      <c r="H193" s="0" t="s">
        <v>1981</v>
      </c>
      <c r="I193" s="0" t="s">
        <v>1073</v>
      </c>
      <c r="J193" s="0" t="s">
        <v>1046</v>
      </c>
      <c r="K193" s="0" t="s">
        <v>971</v>
      </c>
      <c r="L193" s="0" t="s">
        <v>974</v>
      </c>
      <c r="M193" s="0" t="s">
        <v>973</v>
      </c>
      <c r="N193" s="0" t="s">
        <v>974</v>
      </c>
      <c r="O193" s="0" t="s">
        <v>975</v>
      </c>
      <c r="P193" s="0" t="s">
        <v>976</v>
      </c>
      <c r="Q193" s="0" t="s">
        <v>1128</v>
      </c>
      <c r="R193" s="0" t="s">
        <v>1046</v>
      </c>
      <c r="S193" s="0" t="s">
        <v>974</v>
      </c>
    </row>
    <row r="194" customFormat="false" ht="13.8" hidden="false" customHeight="false" outlineLevel="0" collapsed="false">
      <c r="A194" s="0" t="n">
        <v>1950</v>
      </c>
      <c r="B194" s="0" t="s">
        <v>1982</v>
      </c>
      <c r="C194" s="0" t="s">
        <v>1636</v>
      </c>
      <c r="E194" s="0" t="n">
        <f aca="false">IF(J193=J194,E193+10,0)</f>
        <v>90</v>
      </c>
      <c r="F194" s="0" t="s">
        <v>1983</v>
      </c>
      <c r="G194" s="0" t="s">
        <v>1984</v>
      </c>
      <c r="H194" s="0" t="s">
        <v>1985</v>
      </c>
      <c r="I194" s="0" t="s">
        <v>1306</v>
      </c>
      <c r="J194" s="0" t="s">
        <v>1046</v>
      </c>
      <c r="K194" s="0" t="s">
        <v>971</v>
      </c>
      <c r="L194" s="0" t="s">
        <v>974</v>
      </c>
      <c r="M194" s="0" t="s">
        <v>973</v>
      </c>
      <c r="N194" s="0" t="s">
        <v>974</v>
      </c>
      <c r="O194" s="0" t="s">
        <v>975</v>
      </c>
      <c r="P194" s="0" t="s">
        <v>976</v>
      </c>
      <c r="Q194" s="0" t="s">
        <v>970</v>
      </c>
      <c r="R194" s="0" t="s">
        <v>1046</v>
      </c>
      <c r="S194" s="0" t="s">
        <v>974</v>
      </c>
    </row>
    <row r="195" customFormat="false" ht="13.8" hidden="false" customHeight="false" outlineLevel="0" collapsed="false">
      <c r="A195" s="0" t="n">
        <v>1951</v>
      </c>
      <c r="B195" s="0" t="s">
        <v>1986</v>
      </c>
      <c r="C195" s="0" t="s">
        <v>1987</v>
      </c>
      <c r="E195" s="0" t="n">
        <f aca="false">IF(J194=J195,E194+10,0)</f>
        <v>100</v>
      </c>
      <c r="F195" s="0" t="s">
        <v>1988</v>
      </c>
      <c r="G195" s="0" t="s">
        <v>1989</v>
      </c>
      <c r="H195" s="0" t="s">
        <v>1990</v>
      </c>
      <c r="I195" s="0" t="s">
        <v>1027</v>
      </c>
      <c r="J195" s="0" t="s">
        <v>1046</v>
      </c>
      <c r="K195" s="0" t="s">
        <v>971</v>
      </c>
      <c r="L195" s="0" t="s">
        <v>974</v>
      </c>
      <c r="M195" s="0" t="s">
        <v>973</v>
      </c>
      <c r="N195" s="0" t="s">
        <v>974</v>
      </c>
      <c r="O195" s="0" t="s">
        <v>975</v>
      </c>
      <c r="P195" s="0" t="s">
        <v>976</v>
      </c>
      <c r="Q195" s="0" t="s">
        <v>1059</v>
      </c>
      <c r="R195" s="0" t="s">
        <v>1046</v>
      </c>
      <c r="S195" s="0" t="s">
        <v>974</v>
      </c>
    </row>
    <row r="196" customFormat="false" ht="13.8" hidden="false" customHeight="false" outlineLevel="0" collapsed="false">
      <c r="A196" s="0" t="n">
        <v>1952</v>
      </c>
      <c r="B196" s="0" t="s">
        <v>1991</v>
      </c>
      <c r="C196" s="0" t="s">
        <v>1992</v>
      </c>
      <c r="E196" s="0" t="n">
        <f aca="false">IF(J195=J196,E195+10,0)</f>
        <v>110</v>
      </c>
      <c r="F196" s="0" t="s">
        <v>1993</v>
      </c>
      <c r="G196" s="0" t="s">
        <v>1994</v>
      </c>
      <c r="H196" s="0" t="s">
        <v>1995</v>
      </c>
      <c r="I196" s="0" t="s">
        <v>1428</v>
      </c>
      <c r="J196" s="0" t="s">
        <v>1046</v>
      </c>
      <c r="K196" s="0" t="s">
        <v>971</v>
      </c>
      <c r="L196" s="0" t="s">
        <v>974</v>
      </c>
      <c r="M196" s="0" t="s">
        <v>973</v>
      </c>
      <c r="N196" s="0" t="s">
        <v>974</v>
      </c>
      <c r="O196" s="0" t="s">
        <v>975</v>
      </c>
      <c r="P196" s="0" t="s">
        <v>976</v>
      </c>
      <c r="Q196" s="0" t="s">
        <v>973</v>
      </c>
      <c r="R196" s="0" t="s">
        <v>1046</v>
      </c>
      <c r="S196" s="0" t="s">
        <v>974</v>
      </c>
    </row>
    <row r="197" customFormat="false" ht="13.8" hidden="false" customHeight="false" outlineLevel="0" collapsed="false">
      <c r="A197" s="0" t="n">
        <v>1953</v>
      </c>
      <c r="B197" s="0" t="s">
        <v>1996</v>
      </c>
      <c r="C197" s="0" t="s">
        <v>1598</v>
      </c>
      <c r="E197" s="0" t="n">
        <f aca="false">IF(J196=J197,E196+10,0)</f>
        <v>120</v>
      </c>
      <c r="F197" s="0" t="s">
        <v>1997</v>
      </c>
      <c r="G197" s="0" t="s">
        <v>1998</v>
      </c>
      <c r="H197" s="0" t="s">
        <v>1999</v>
      </c>
      <c r="I197" s="0" t="s">
        <v>1180</v>
      </c>
      <c r="J197" s="0" t="s">
        <v>1046</v>
      </c>
      <c r="K197" s="0" t="s">
        <v>971</v>
      </c>
      <c r="L197" s="0" t="s">
        <v>974</v>
      </c>
      <c r="M197" s="0" t="s">
        <v>973</v>
      </c>
      <c r="N197" s="0" t="s">
        <v>974</v>
      </c>
      <c r="O197" s="0" t="s">
        <v>975</v>
      </c>
      <c r="P197" s="0" t="s">
        <v>976</v>
      </c>
      <c r="Q197" s="0" t="s">
        <v>2000</v>
      </c>
      <c r="R197" s="0" t="s">
        <v>1046</v>
      </c>
      <c r="S197" s="0" t="s">
        <v>974</v>
      </c>
    </row>
    <row r="198" customFormat="false" ht="13.8" hidden="false" customHeight="false" outlineLevel="0" collapsed="false">
      <c r="A198" s="0" t="n">
        <v>1954</v>
      </c>
      <c r="B198" s="0" t="s">
        <v>2001</v>
      </c>
      <c r="C198" s="0" t="s">
        <v>1526</v>
      </c>
      <c r="E198" s="0" t="n">
        <f aca="false">IF(J197=J198,E197+10,0)</f>
        <v>130</v>
      </c>
      <c r="F198" s="0" t="s">
        <v>2002</v>
      </c>
      <c r="G198" s="0" t="s">
        <v>2003</v>
      </c>
      <c r="H198" s="0" t="s">
        <v>2004</v>
      </c>
      <c r="I198" s="0" t="s">
        <v>1045</v>
      </c>
      <c r="J198" s="0" t="s">
        <v>1046</v>
      </c>
      <c r="K198" s="0" t="s">
        <v>971</v>
      </c>
      <c r="L198" s="0" t="s">
        <v>974</v>
      </c>
      <c r="M198" s="0" t="s">
        <v>973</v>
      </c>
      <c r="N198" s="0" t="s">
        <v>974</v>
      </c>
      <c r="O198" s="0" t="s">
        <v>975</v>
      </c>
      <c r="P198" s="0" t="s">
        <v>976</v>
      </c>
      <c r="Q198" s="0" t="s">
        <v>1128</v>
      </c>
      <c r="R198" s="0" t="s">
        <v>1046</v>
      </c>
      <c r="S198" s="0" t="s">
        <v>974</v>
      </c>
    </row>
    <row r="199" customFormat="false" ht="13.8" hidden="false" customHeight="false" outlineLevel="0" collapsed="false">
      <c r="A199" s="0" t="n">
        <v>1955</v>
      </c>
      <c r="B199" s="0" t="s">
        <v>2005</v>
      </c>
      <c r="C199" s="0" t="s">
        <v>1096</v>
      </c>
      <c r="E199" s="0" t="n">
        <f aca="false">IF(J198=J199,E198+10,0)</f>
        <v>140</v>
      </c>
      <c r="F199" s="0" t="s">
        <v>2006</v>
      </c>
      <c r="G199" s="0" t="s">
        <v>2007</v>
      </c>
      <c r="H199" s="0" t="s">
        <v>2008</v>
      </c>
      <c r="I199" s="0" t="s">
        <v>1100</v>
      </c>
      <c r="J199" s="0" t="s">
        <v>1046</v>
      </c>
      <c r="K199" s="0" t="s">
        <v>971</v>
      </c>
      <c r="L199" s="0" t="s">
        <v>974</v>
      </c>
      <c r="M199" s="0" t="s">
        <v>973</v>
      </c>
      <c r="N199" s="0" t="s">
        <v>974</v>
      </c>
      <c r="O199" s="0" t="s">
        <v>975</v>
      </c>
      <c r="P199" s="0" t="s">
        <v>976</v>
      </c>
      <c r="Q199" s="0" t="s">
        <v>970</v>
      </c>
      <c r="R199" s="0" t="s">
        <v>1046</v>
      </c>
      <c r="S199" s="0" t="s">
        <v>974</v>
      </c>
    </row>
    <row r="200" customFormat="false" ht="13.8" hidden="false" customHeight="false" outlineLevel="0" collapsed="false">
      <c r="A200" s="0" t="n">
        <v>1956</v>
      </c>
      <c r="B200" s="0" t="s">
        <v>2009</v>
      </c>
      <c r="C200" s="0" t="s">
        <v>2010</v>
      </c>
      <c r="E200" s="0" t="n">
        <f aca="false">IF(J199=J200,E199+10,0)</f>
        <v>150</v>
      </c>
      <c r="F200" s="0" t="s">
        <v>2011</v>
      </c>
      <c r="G200" s="0" t="s">
        <v>2012</v>
      </c>
      <c r="H200" s="0" t="s">
        <v>2013</v>
      </c>
      <c r="I200" s="0" t="s">
        <v>1094</v>
      </c>
      <c r="J200" s="0" t="s">
        <v>1046</v>
      </c>
      <c r="K200" s="0" t="s">
        <v>971</v>
      </c>
      <c r="L200" s="0" t="s">
        <v>974</v>
      </c>
      <c r="M200" s="0" t="s">
        <v>973</v>
      </c>
      <c r="N200" s="0" t="s">
        <v>974</v>
      </c>
      <c r="O200" s="0" t="s">
        <v>975</v>
      </c>
      <c r="P200" s="0" t="s">
        <v>976</v>
      </c>
      <c r="Q200" s="0" t="s">
        <v>1059</v>
      </c>
      <c r="R200" s="0" t="s">
        <v>1046</v>
      </c>
      <c r="S200" s="0" t="s">
        <v>974</v>
      </c>
    </row>
    <row r="201" customFormat="false" ht="13.8" hidden="false" customHeight="false" outlineLevel="0" collapsed="false">
      <c r="A201" s="0" t="n">
        <v>1957</v>
      </c>
      <c r="B201" s="0" t="s">
        <v>2014</v>
      </c>
      <c r="C201" s="0" t="s">
        <v>2015</v>
      </c>
      <c r="E201" s="0" t="n">
        <f aca="false">IF(J200=J201,E200+10,0)</f>
        <v>160</v>
      </c>
      <c r="F201" s="0" t="s">
        <v>2016</v>
      </c>
      <c r="G201" s="0" t="s">
        <v>2017</v>
      </c>
      <c r="H201" s="0" t="s">
        <v>2018</v>
      </c>
      <c r="I201" s="0" t="s">
        <v>2019</v>
      </c>
      <c r="J201" s="0" t="s">
        <v>1046</v>
      </c>
      <c r="K201" s="0" t="s">
        <v>971</v>
      </c>
      <c r="L201" s="0" t="s">
        <v>974</v>
      </c>
      <c r="M201" s="0" t="s">
        <v>973</v>
      </c>
      <c r="N201" s="0" t="s">
        <v>974</v>
      </c>
      <c r="O201" s="0" t="s">
        <v>975</v>
      </c>
      <c r="P201" s="0" t="s">
        <v>976</v>
      </c>
      <c r="Q201" s="0" t="s">
        <v>973</v>
      </c>
      <c r="R201" s="0" t="s">
        <v>1046</v>
      </c>
      <c r="S201" s="0" t="s">
        <v>974</v>
      </c>
    </row>
    <row r="202" customFormat="false" ht="13.8" hidden="false" customHeight="false" outlineLevel="0" collapsed="false">
      <c r="A202" s="0" t="n">
        <v>1958</v>
      </c>
      <c r="B202" s="0" t="s">
        <v>2020</v>
      </c>
      <c r="C202" s="0" t="s">
        <v>1553</v>
      </c>
      <c r="E202" s="0" t="n">
        <f aca="false">IF(J201=J202,E201+10,0)</f>
        <v>170</v>
      </c>
      <c r="F202" s="0" t="s">
        <v>2021</v>
      </c>
      <c r="G202" s="0" t="s">
        <v>2022</v>
      </c>
      <c r="H202" s="0" t="s">
        <v>2023</v>
      </c>
      <c r="I202" s="0" t="s">
        <v>1249</v>
      </c>
      <c r="J202" s="0" t="s">
        <v>1046</v>
      </c>
      <c r="K202" s="0" t="s">
        <v>971</v>
      </c>
      <c r="L202" s="0" t="s">
        <v>974</v>
      </c>
      <c r="M202" s="0" t="s">
        <v>973</v>
      </c>
      <c r="N202" s="0" t="s">
        <v>974</v>
      </c>
      <c r="O202" s="0" t="s">
        <v>975</v>
      </c>
      <c r="P202" s="0" t="s">
        <v>976</v>
      </c>
      <c r="Q202" s="0" t="s">
        <v>1381</v>
      </c>
      <c r="R202" s="0" t="s">
        <v>1046</v>
      </c>
      <c r="S202" s="0" t="s">
        <v>974</v>
      </c>
    </row>
    <row r="203" customFormat="false" ht="13.8" hidden="false" customHeight="false" outlineLevel="0" collapsed="false">
      <c r="A203" s="0" t="n">
        <v>1959</v>
      </c>
      <c r="B203" s="0" t="s">
        <v>2024</v>
      </c>
      <c r="C203" s="0" t="s">
        <v>2025</v>
      </c>
      <c r="E203" s="0" t="n">
        <f aca="false">IF(J202=J203,E202+10,0)</f>
        <v>0</v>
      </c>
      <c r="F203" s="0" t="s">
        <v>2026</v>
      </c>
      <c r="G203" s="0" t="s">
        <v>2027</v>
      </c>
      <c r="H203" s="0" t="s">
        <v>2028</v>
      </c>
      <c r="I203" s="0" t="s">
        <v>1046</v>
      </c>
      <c r="J203" s="0" t="s">
        <v>2029</v>
      </c>
      <c r="K203" s="0" t="s">
        <v>1624</v>
      </c>
      <c r="L203" s="0" t="s">
        <v>973</v>
      </c>
      <c r="M203" s="0" t="s">
        <v>973</v>
      </c>
      <c r="N203" s="0" t="s">
        <v>974</v>
      </c>
      <c r="O203" s="0" t="s">
        <v>975</v>
      </c>
      <c r="P203" s="0" t="s">
        <v>976</v>
      </c>
      <c r="Q203" s="0" t="s">
        <v>974</v>
      </c>
      <c r="R203" s="0" t="s">
        <v>970</v>
      </c>
      <c r="S203" s="0" t="s">
        <v>974</v>
      </c>
    </row>
    <row r="204" customFormat="false" ht="13.8" hidden="false" customHeight="false" outlineLevel="0" collapsed="false">
      <c r="A204" s="0" t="n">
        <v>1960</v>
      </c>
      <c r="B204" s="0" t="s">
        <v>2030</v>
      </c>
      <c r="C204" s="0" t="s">
        <v>1620</v>
      </c>
      <c r="E204" s="0" t="n">
        <f aca="false">IF(J203=J204,E203+10,0)</f>
        <v>10</v>
      </c>
      <c r="F204" s="0" t="s">
        <v>2031</v>
      </c>
      <c r="G204" s="0" t="s">
        <v>2032</v>
      </c>
      <c r="H204" s="0" t="s">
        <v>2033</v>
      </c>
      <c r="I204" s="0" t="s">
        <v>1499</v>
      </c>
      <c r="J204" s="0" t="s">
        <v>2029</v>
      </c>
      <c r="K204" s="0" t="s">
        <v>1624</v>
      </c>
      <c r="L204" s="0" t="s">
        <v>973</v>
      </c>
      <c r="M204" s="0" t="s">
        <v>973</v>
      </c>
      <c r="N204" s="0" t="s">
        <v>974</v>
      </c>
      <c r="O204" s="0" t="s">
        <v>975</v>
      </c>
      <c r="P204" s="0" t="s">
        <v>976</v>
      </c>
      <c r="Q204" s="0" t="s">
        <v>974</v>
      </c>
      <c r="R204" s="0" t="s">
        <v>970</v>
      </c>
      <c r="S204" s="0" t="s">
        <v>974</v>
      </c>
    </row>
    <row r="205" customFormat="false" ht="13.8" hidden="false" customHeight="false" outlineLevel="0" collapsed="false">
      <c r="A205" s="0" t="n">
        <v>1961</v>
      </c>
      <c r="B205" s="0" t="s">
        <v>2034</v>
      </c>
      <c r="C205" s="0" t="s">
        <v>1941</v>
      </c>
      <c r="E205" s="0" t="n">
        <f aca="false">IF(J204=J205,E204+10,0)</f>
        <v>20</v>
      </c>
      <c r="F205" s="0" t="s">
        <v>2035</v>
      </c>
      <c r="G205" s="0" t="s">
        <v>2036</v>
      </c>
      <c r="H205" s="0" t="s">
        <v>2037</v>
      </c>
      <c r="I205" s="0" t="s">
        <v>1945</v>
      </c>
      <c r="J205" s="0" t="s">
        <v>2029</v>
      </c>
      <c r="K205" s="0" t="s">
        <v>1624</v>
      </c>
      <c r="L205" s="0" t="s">
        <v>973</v>
      </c>
      <c r="M205" s="0" t="s">
        <v>973</v>
      </c>
      <c r="N205" s="0" t="s">
        <v>974</v>
      </c>
      <c r="O205" s="0" t="s">
        <v>975</v>
      </c>
      <c r="P205" s="0" t="s">
        <v>976</v>
      </c>
      <c r="Q205" s="0" t="s">
        <v>974</v>
      </c>
      <c r="R205" s="0" t="s">
        <v>970</v>
      </c>
      <c r="S205" s="0" t="s">
        <v>974</v>
      </c>
    </row>
    <row r="206" customFormat="false" ht="13.8" hidden="false" customHeight="false" outlineLevel="0" collapsed="false">
      <c r="A206" s="0" t="n">
        <v>1962</v>
      </c>
      <c r="B206" s="0" t="s">
        <v>2038</v>
      </c>
      <c r="C206" s="0" t="s">
        <v>991</v>
      </c>
      <c r="E206" s="0" t="n">
        <f aca="false">IF(J205=J206,E205+10,0)</f>
        <v>30</v>
      </c>
      <c r="F206" s="0" t="s">
        <v>2039</v>
      </c>
      <c r="G206" s="0" t="s">
        <v>2040</v>
      </c>
      <c r="H206" s="0" t="s">
        <v>2041</v>
      </c>
      <c r="I206" s="0" t="s">
        <v>995</v>
      </c>
      <c r="J206" s="0" t="s">
        <v>2029</v>
      </c>
      <c r="K206" s="0" t="s">
        <v>1429</v>
      </c>
      <c r="L206" s="0" t="s">
        <v>1082</v>
      </c>
      <c r="M206" s="0" t="s">
        <v>973</v>
      </c>
      <c r="N206" s="0" t="s">
        <v>974</v>
      </c>
      <c r="O206" s="0" t="s">
        <v>975</v>
      </c>
      <c r="P206" s="0" t="s">
        <v>976</v>
      </c>
      <c r="Q206" s="0" t="s">
        <v>974</v>
      </c>
      <c r="R206" s="0" t="s">
        <v>970</v>
      </c>
      <c r="S206" s="0" t="s">
        <v>974</v>
      </c>
    </row>
    <row r="207" customFormat="false" ht="13.8" hidden="false" customHeight="false" outlineLevel="0" collapsed="false">
      <c r="A207" s="0" t="n">
        <v>1963</v>
      </c>
      <c r="B207" s="0" t="s">
        <v>2042</v>
      </c>
      <c r="C207" s="0" t="s">
        <v>1048</v>
      </c>
      <c r="E207" s="0" t="n">
        <f aca="false">IF(J206=J207,E206+10,0)</f>
        <v>40</v>
      </c>
      <c r="F207" s="0" t="s">
        <v>2043</v>
      </c>
      <c r="G207" s="0" t="s">
        <v>2044</v>
      </c>
      <c r="H207" s="0" t="s">
        <v>2045</v>
      </c>
      <c r="I207" s="0" t="s">
        <v>1052</v>
      </c>
      <c r="J207" s="0" t="s">
        <v>2029</v>
      </c>
      <c r="K207" s="0" t="s">
        <v>2046</v>
      </c>
      <c r="L207" s="0" t="s">
        <v>1082</v>
      </c>
      <c r="M207" s="0" t="s">
        <v>973</v>
      </c>
      <c r="N207" s="0" t="s">
        <v>974</v>
      </c>
      <c r="O207" s="0" t="s">
        <v>975</v>
      </c>
      <c r="P207" s="0" t="s">
        <v>976</v>
      </c>
      <c r="Q207" s="0" t="s">
        <v>974</v>
      </c>
      <c r="R207" s="0" t="s">
        <v>970</v>
      </c>
      <c r="S207" s="0" t="s">
        <v>974</v>
      </c>
    </row>
    <row r="208" customFormat="false" ht="13.8" hidden="false" customHeight="false" outlineLevel="0" collapsed="false">
      <c r="A208" s="0" t="n">
        <v>1964</v>
      </c>
      <c r="B208" s="0" t="s">
        <v>2047</v>
      </c>
      <c r="C208" s="0" t="s">
        <v>1517</v>
      </c>
      <c r="E208" s="0" t="n">
        <f aca="false">IF(J207=J208,E207+10,0)</f>
        <v>50</v>
      </c>
      <c r="F208" s="0" t="s">
        <v>2048</v>
      </c>
      <c r="G208" s="0" t="s">
        <v>2049</v>
      </c>
      <c r="H208" s="0" t="s">
        <v>2050</v>
      </c>
      <c r="I208" s="0" t="s">
        <v>1106</v>
      </c>
      <c r="J208" s="0" t="s">
        <v>2029</v>
      </c>
      <c r="K208" s="0" t="s">
        <v>971</v>
      </c>
      <c r="L208" s="0" t="s">
        <v>974</v>
      </c>
      <c r="M208" s="0" t="s">
        <v>973</v>
      </c>
      <c r="N208" s="0" t="s">
        <v>974</v>
      </c>
      <c r="O208" s="0" t="s">
        <v>975</v>
      </c>
      <c r="P208" s="0" t="s">
        <v>976</v>
      </c>
      <c r="Q208" s="0" t="s">
        <v>970</v>
      </c>
      <c r="R208" s="0" t="s">
        <v>970</v>
      </c>
      <c r="S208" s="0" t="s">
        <v>974</v>
      </c>
    </row>
    <row r="209" customFormat="false" ht="13.8" hidden="false" customHeight="false" outlineLevel="0" collapsed="false">
      <c r="A209" s="0" t="n">
        <v>1965</v>
      </c>
      <c r="B209" s="0" t="s">
        <v>2051</v>
      </c>
      <c r="C209" s="0" t="s">
        <v>1583</v>
      </c>
      <c r="E209" s="0" t="n">
        <f aca="false">IF(J208=J209,E208+10,0)</f>
        <v>60</v>
      </c>
      <c r="F209" s="0" t="s">
        <v>2052</v>
      </c>
      <c r="G209" s="0" t="s">
        <v>2053</v>
      </c>
      <c r="H209" s="0" t="s">
        <v>2054</v>
      </c>
      <c r="I209" s="0" t="s">
        <v>1587</v>
      </c>
      <c r="J209" s="0" t="s">
        <v>2029</v>
      </c>
      <c r="K209" s="0" t="s">
        <v>971</v>
      </c>
      <c r="L209" s="0" t="s">
        <v>974</v>
      </c>
      <c r="M209" s="0" t="s">
        <v>973</v>
      </c>
      <c r="N209" s="0" t="s">
        <v>974</v>
      </c>
      <c r="O209" s="0" t="s">
        <v>975</v>
      </c>
      <c r="P209" s="0" t="s">
        <v>976</v>
      </c>
      <c r="Q209" s="0" t="s">
        <v>1968</v>
      </c>
      <c r="R209" s="0" t="s">
        <v>1046</v>
      </c>
      <c r="S209" s="0" t="s">
        <v>974</v>
      </c>
    </row>
    <row r="210" customFormat="false" ht="13.8" hidden="false" customHeight="false" outlineLevel="0" collapsed="false">
      <c r="A210" s="0" t="n">
        <v>1966</v>
      </c>
      <c r="B210" s="0" t="s">
        <v>2055</v>
      </c>
      <c r="C210" s="0" t="s">
        <v>1970</v>
      </c>
      <c r="E210" s="0" t="n">
        <f aca="false">IF(J209=J210,E209+10,0)</f>
        <v>70</v>
      </c>
      <c r="F210" s="0" t="s">
        <v>2056</v>
      </c>
      <c r="G210" s="0" t="s">
        <v>2057</v>
      </c>
      <c r="H210" s="0" t="s">
        <v>2058</v>
      </c>
      <c r="I210" s="0" t="s">
        <v>1021</v>
      </c>
      <c r="J210" s="0" t="s">
        <v>2029</v>
      </c>
      <c r="K210" s="0" t="s">
        <v>1434</v>
      </c>
      <c r="L210" s="0" t="s">
        <v>974</v>
      </c>
      <c r="M210" s="0" t="s">
        <v>973</v>
      </c>
      <c r="N210" s="0" t="s">
        <v>974</v>
      </c>
      <c r="O210" s="0" t="s">
        <v>975</v>
      </c>
      <c r="P210" s="0" t="s">
        <v>976</v>
      </c>
      <c r="Q210" s="0" t="s">
        <v>970</v>
      </c>
      <c r="R210" s="0" t="s">
        <v>1046</v>
      </c>
      <c r="S210" s="0" t="s">
        <v>974</v>
      </c>
    </row>
    <row r="211" customFormat="false" ht="13.8" hidden="false" customHeight="false" outlineLevel="0" collapsed="false">
      <c r="A211" s="0" t="n">
        <v>1967</v>
      </c>
      <c r="B211" s="0" t="s">
        <v>2059</v>
      </c>
      <c r="C211" s="0" t="s">
        <v>1035</v>
      </c>
      <c r="E211" s="0" t="n">
        <f aca="false">IF(J210=J211,E210+10,0)</f>
        <v>80</v>
      </c>
      <c r="F211" s="0" t="s">
        <v>2060</v>
      </c>
      <c r="G211" s="0" t="s">
        <v>2061</v>
      </c>
      <c r="H211" s="0" t="s">
        <v>2062</v>
      </c>
      <c r="I211" s="0" t="s">
        <v>970</v>
      </c>
      <c r="J211" s="0" t="s">
        <v>2029</v>
      </c>
      <c r="K211" s="0" t="s">
        <v>971</v>
      </c>
      <c r="L211" s="0" t="s">
        <v>974</v>
      </c>
      <c r="M211" s="0" t="s">
        <v>973</v>
      </c>
      <c r="N211" s="0" t="s">
        <v>974</v>
      </c>
      <c r="O211" s="0" t="s">
        <v>975</v>
      </c>
      <c r="P211" s="0" t="s">
        <v>976</v>
      </c>
      <c r="Q211" s="0" t="s">
        <v>1059</v>
      </c>
      <c r="R211" s="0" t="s">
        <v>970</v>
      </c>
      <c r="S211" s="0" t="s">
        <v>974</v>
      </c>
    </row>
    <row r="212" customFormat="false" ht="13.8" hidden="false" customHeight="false" outlineLevel="0" collapsed="false">
      <c r="A212" s="0" t="n">
        <v>1968</v>
      </c>
      <c r="B212" s="0" t="s">
        <v>2063</v>
      </c>
      <c r="C212" s="0" t="s">
        <v>1641</v>
      </c>
      <c r="E212" s="0" t="n">
        <f aca="false">IF(J211=J212,E211+10,0)</f>
        <v>90</v>
      </c>
      <c r="F212" s="0" t="s">
        <v>2064</v>
      </c>
      <c r="G212" s="0" t="s">
        <v>2065</v>
      </c>
      <c r="H212" s="0" t="s">
        <v>2066</v>
      </c>
      <c r="I212" s="0" t="s">
        <v>1073</v>
      </c>
      <c r="J212" s="0" t="s">
        <v>2029</v>
      </c>
      <c r="K212" s="0" t="s">
        <v>971</v>
      </c>
      <c r="L212" s="0" t="s">
        <v>974</v>
      </c>
      <c r="M212" s="0" t="s">
        <v>973</v>
      </c>
      <c r="N212" s="0" t="s">
        <v>974</v>
      </c>
      <c r="O212" s="0" t="s">
        <v>975</v>
      </c>
      <c r="P212" s="0" t="s">
        <v>976</v>
      </c>
      <c r="Q212" s="0" t="s">
        <v>1128</v>
      </c>
      <c r="R212" s="0" t="s">
        <v>1046</v>
      </c>
      <c r="S212" s="0" t="s">
        <v>974</v>
      </c>
    </row>
    <row r="213" customFormat="false" ht="13.8" hidden="false" customHeight="false" outlineLevel="0" collapsed="false">
      <c r="A213" s="0" t="n">
        <v>1969</v>
      </c>
      <c r="B213" s="0" t="s">
        <v>2067</v>
      </c>
      <c r="C213" s="0" t="s">
        <v>1636</v>
      </c>
      <c r="E213" s="0" t="n">
        <f aca="false">IF(J212=J213,E212+10,0)</f>
        <v>100</v>
      </c>
      <c r="F213" s="0" t="s">
        <v>2068</v>
      </c>
      <c r="G213" s="0" t="s">
        <v>2069</v>
      </c>
      <c r="H213" s="0" t="s">
        <v>2070</v>
      </c>
      <c r="I213" s="0" t="s">
        <v>1306</v>
      </c>
      <c r="J213" s="0" t="s">
        <v>2029</v>
      </c>
      <c r="K213" s="0" t="s">
        <v>971</v>
      </c>
      <c r="L213" s="0" t="s">
        <v>974</v>
      </c>
      <c r="M213" s="0" t="s">
        <v>973</v>
      </c>
      <c r="N213" s="0" t="s">
        <v>974</v>
      </c>
      <c r="O213" s="0" t="s">
        <v>975</v>
      </c>
      <c r="P213" s="0" t="s">
        <v>976</v>
      </c>
      <c r="Q213" s="0" t="s">
        <v>970</v>
      </c>
      <c r="R213" s="0" t="s">
        <v>1046</v>
      </c>
      <c r="S213" s="0" t="s">
        <v>974</v>
      </c>
    </row>
    <row r="214" customFormat="false" ht="13.8" hidden="false" customHeight="false" outlineLevel="0" collapsed="false">
      <c r="A214" s="0" t="n">
        <v>1970</v>
      </c>
      <c r="B214" s="0" t="s">
        <v>2071</v>
      </c>
      <c r="C214" s="0" t="s">
        <v>1987</v>
      </c>
      <c r="E214" s="0" t="n">
        <f aca="false">IF(J213=J214,E213+10,0)</f>
        <v>110</v>
      </c>
      <c r="F214" s="0" t="s">
        <v>2072</v>
      </c>
      <c r="G214" s="0" t="s">
        <v>2073</v>
      </c>
      <c r="H214" s="0" t="s">
        <v>2074</v>
      </c>
      <c r="I214" s="0" t="s">
        <v>1027</v>
      </c>
      <c r="J214" s="0" t="s">
        <v>2029</v>
      </c>
      <c r="K214" s="0" t="s">
        <v>971</v>
      </c>
      <c r="L214" s="0" t="s">
        <v>974</v>
      </c>
      <c r="M214" s="0" t="s">
        <v>973</v>
      </c>
      <c r="N214" s="0" t="s">
        <v>974</v>
      </c>
      <c r="O214" s="0" t="s">
        <v>975</v>
      </c>
      <c r="P214" s="0" t="s">
        <v>976</v>
      </c>
      <c r="Q214" s="0" t="s">
        <v>1059</v>
      </c>
      <c r="R214" s="0" t="s">
        <v>1046</v>
      </c>
      <c r="S214" s="0" t="s">
        <v>974</v>
      </c>
    </row>
    <row r="215" customFormat="false" ht="13.8" hidden="false" customHeight="false" outlineLevel="0" collapsed="false">
      <c r="A215" s="0" t="n">
        <v>1971</v>
      </c>
      <c r="B215" s="0" t="s">
        <v>2075</v>
      </c>
      <c r="C215" s="0" t="s">
        <v>1598</v>
      </c>
      <c r="E215" s="0" t="n">
        <f aca="false">IF(J214=J215,E214+10,0)</f>
        <v>120</v>
      </c>
      <c r="F215" s="0" t="s">
        <v>2076</v>
      </c>
      <c r="G215" s="0" t="s">
        <v>2077</v>
      </c>
      <c r="H215" s="0" t="s">
        <v>2078</v>
      </c>
      <c r="I215" s="0" t="s">
        <v>1180</v>
      </c>
      <c r="J215" s="0" t="s">
        <v>2029</v>
      </c>
      <c r="K215" s="0" t="s">
        <v>971</v>
      </c>
      <c r="L215" s="0" t="s">
        <v>974</v>
      </c>
      <c r="M215" s="0" t="s">
        <v>973</v>
      </c>
      <c r="N215" s="0" t="s">
        <v>974</v>
      </c>
      <c r="O215" s="0" t="s">
        <v>975</v>
      </c>
      <c r="P215" s="0" t="s">
        <v>976</v>
      </c>
      <c r="Q215" s="0" t="s">
        <v>2000</v>
      </c>
      <c r="R215" s="0" t="s">
        <v>1046</v>
      </c>
      <c r="S215" s="0" t="s">
        <v>974</v>
      </c>
    </row>
    <row r="216" customFormat="false" ht="13.8" hidden="false" customHeight="false" outlineLevel="0" collapsed="false">
      <c r="A216" s="0" t="n">
        <v>1972</v>
      </c>
      <c r="B216" s="0" t="s">
        <v>2079</v>
      </c>
      <c r="C216" s="0" t="s">
        <v>1526</v>
      </c>
      <c r="E216" s="0" t="n">
        <f aca="false">IF(J215=J216,E215+10,0)</f>
        <v>130</v>
      </c>
      <c r="F216" s="0" t="s">
        <v>2080</v>
      </c>
      <c r="G216" s="0" t="s">
        <v>2081</v>
      </c>
      <c r="H216" s="0" t="s">
        <v>2082</v>
      </c>
      <c r="I216" s="0" t="s">
        <v>1045</v>
      </c>
      <c r="J216" s="0" t="s">
        <v>2029</v>
      </c>
      <c r="K216" s="0" t="s">
        <v>971</v>
      </c>
      <c r="L216" s="0" t="s">
        <v>974</v>
      </c>
      <c r="M216" s="0" t="s">
        <v>973</v>
      </c>
      <c r="N216" s="0" t="s">
        <v>974</v>
      </c>
      <c r="O216" s="0" t="s">
        <v>975</v>
      </c>
      <c r="P216" s="0" t="s">
        <v>976</v>
      </c>
      <c r="Q216" s="0" t="s">
        <v>1128</v>
      </c>
      <c r="R216" s="0" t="s">
        <v>1046</v>
      </c>
      <c r="S216" s="0" t="s">
        <v>974</v>
      </c>
    </row>
    <row r="217" customFormat="false" ht="13.8" hidden="false" customHeight="false" outlineLevel="0" collapsed="false">
      <c r="A217" s="0" t="n">
        <v>1973</v>
      </c>
      <c r="B217" s="0" t="s">
        <v>2083</v>
      </c>
      <c r="C217" s="0" t="s">
        <v>1096</v>
      </c>
      <c r="E217" s="0" t="n">
        <f aca="false">IF(J216=J217,E216+10,0)</f>
        <v>140</v>
      </c>
      <c r="F217" s="0" t="s">
        <v>2084</v>
      </c>
      <c r="G217" s="0" t="s">
        <v>2085</v>
      </c>
      <c r="H217" s="0" t="s">
        <v>2086</v>
      </c>
      <c r="I217" s="0" t="s">
        <v>1100</v>
      </c>
      <c r="J217" s="0" t="s">
        <v>2029</v>
      </c>
      <c r="K217" s="0" t="s">
        <v>971</v>
      </c>
      <c r="L217" s="0" t="s">
        <v>974</v>
      </c>
      <c r="M217" s="0" t="s">
        <v>973</v>
      </c>
      <c r="N217" s="0" t="s">
        <v>974</v>
      </c>
      <c r="O217" s="0" t="s">
        <v>975</v>
      </c>
      <c r="P217" s="0" t="s">
        <v>976</v>
      </c>
      <c r="Q217" s="0" t="s">
        <v>970</v>
      </c>
      <c r="R217" s="0" t="s">
        <v>1046</v>
      </c>
      <c r="S217" s="0" t="s">
        <v>974</v>
      </c>
    </row>
    <row r="218" customFormat="false" ht="13.8" hidden="false" customHeight="false" outlineLevel="0" collapsed="false">
      <c r="A218" s="0" t="n">
        <v>1974</v>
      </c>
      <c r="B218" s="0" t="s">
        <v>2087</v>
      </c>
      <c r="C218" s="0" t="s">
        <v>2010</v>
      </c>
      <c r="E218" s="0" t="n">
        <f aca="false">IF(J217=J218,E217+10,0)</f>
        <v>150</v>
      </c>
      <c r="F218" s="0" t="s">
        <v>2088</v>
      </c>
      <c r="G218" s="0" t="s">
        <v>2089</v>
      </c>
      <c r="H218" s="0" t="s">
        <v>2090</v>
      </c>
      <c r="I218" s="0" t="s">
        <v>1094</v>
      </c>
      <c r="J218" s="0" t="s">
        <v>2029</v>
      </c>
      <c r="K218" s="0" t="s">
        <v>971</v>
      </c>
      <c r="L218" s="0" t="s">
        <v>974</v>
      </c>
      <c r="M218" s="0" t="s">
        <v>973</v>
      </c>
      <c r="N218" s="0" t="s">
        <v>974</v>
      </c>
      <c r="O218" s="0" t="s">
        <v>975</v>
      </c>
      <c r="P218" s="0" t="s">
        <v>976</v>
      </c>
      <c r="Q218" s="0" t="s">
        <v>1059</v>
      </c>
      <c r="R218" s="0" t="s">
        <v>1046</v>
      </c>
      <c r="S218" s="0" t="s">
        <v>974</v>
      </c>
    </row>
    <row r="219" customFormat="false" ht="13.8" hidden="false" customHeight="false" outlineLevel="0" collapsed="false">
      <c r="A219" s="0" t="n">
        <v>1975</v>
      </c>
      <c r="B219" s="0" t="s">
        <v>2091</v>
      </c>
      <c r="C219" s="0" t="s">
        <v>2015</v>
      </c>
      <c r="E219" s="0" t="n">
        <f aca="false">IF(J218=J219,E218+10,0)</f>
        <v>160</v>
      </c>
      <c r="F219" s="0" t="s">
        <v>2092</v>
      </c>
      <c r="G219" s="0" t="s">
        <v>2093</v>
      </c>
      <c r="H219" s="0" t="s">
        <v>2094</v>
      </c>
      <c r="I219" s="0" t="s">
        <v>2019</v>
      </c>
      <c r="J219" s="0" t="s">
        <v>2029</v>
      </c>
      <c r="K219" s="0" t="s">
        <v>971</v>
      </c>
      <c r="L219" s="0" t="s">
        <v>974</v>
      </c>
      <c r="M219" s="0" t="s">
        <v>973</v>
      </c>
      <c r="N219" s="0" t="s">
        <v>974</v>
      </c>
      <c r="O219" s="0" t="s">
        <v>975</v>
      </c>
      <c r="P219" s="0" t="s">
        <v>976</v>
      </c>
      <c r="Q219" s="0" t="s">
        <v>973</v>
      </c>
      <c r="R219" s="0" t="s">
        <v>1046</v>
      </c>
      <c r="S219" s="0" t="s">
        <v>974</v>
      </c>
    </row>
    <row r="220" customFormat="false" ht="13.8" hidden="false" customHeight="false" outlineLevel="0" collapsed="false">
      <c r="A220" s="0" t="n">
        <v>1976</v>
      </c>
      <c r="B220" s="0" t="s">
        <v>2095</v>
      </c>
      <c r="C220" s="0" t="s">
        <v>1553</v>
      </c>
      <c r="E220" s="0" t="n">
        <f aca="false">IF(J219=J220,E219+10,0)</f>
        <v>170</v>
      </c>
      <c r="F220" s="0" t="s">
        <v>2096</v>
      </c>
      <c r="G220" s="0" t="s">
        <v>2097</v>
      </c>
      <c r="H220" s="0" t="s">
        <v>2098</v>
      </c>
      <c r="I220" s="0" t="s">
        <v>1249</v>
      </c>
      <c r="J220" s="0" t="s">
        <v>2029</v>
      </c>
      <c r="K220" s="0" t="s">
        <v>971</v>
      </c>
      <c r="L220" s="0" t="s">
        <v>974</v>
      </c>
      <c r="M220" s="0" t="s">
        <v>973</v>
      </c>
      <c r="N220" s="0" t="s">
        <v>974</v>
      </c>
      <c r="O220" s="0" t="s">
        <v>975</v>
      </c>
      <c r="P220" s="0" t="s">
        <v>976</v>
      </c>
      <c r="Q220" s="0" t="s">
        <v>1381</v>
      </c>
      <c r="R220" s="0" t="s">
        <v>1046</v>
      </c>
      <c r="S220" s="0" t="s">
        <v>974</v>
      </c>
    </row>
    <row r="221" customFormat="false" ht="13.8" hidden="false" customHeight="false" outlineLevel="0" collapsed="false">
      <c r="A221" s="0" t="n">
        <v>1977</v>
      </c>
      <c r="B221" s="0" t="s">
        <v>2099</v>
      </c>
      <c r="C221" s="0" t="s">
        <v>978</v>
      </c>
      <c r="E221" s="0" t="n">
        <f aca="false">IF(J220=J221,E220+10,0)</f>
        <v>0</v>
      </c>
      <c r="F221" s="0" t="s">
        <v>2100</v>
      </c>
      <c r="G221" s="0" t="s">
        <v>2101</v>
      </c>
      <c r="H221" s="0" t="s">
        <v>2102</v>
      </c>
      <c r="I221" s="0" t="s">
        <v>982</v>
      </c>
      <c r="J221" s="0" t="s">
        <v>1625</v>
      </c>
      <c r="K221" s="0" t="s">
        <v>2103</v>
      </c>
      <c r="L221" s="0" t="s">
        <v>2104</v>
      </c>
      <c r="M221" s="0" t="s">
        <v>973</v>
      </c>
      <c r="N221" s="0" t="s">
        <v>974</v>
      </c>
      <c r="O221" s="0" t="s">
        <v>975</v>
      </c>
      <c r="P221" s="0" t="s">
        <v>976</v>
      </c>
      <c r="Q221" s="0" t="s">
        <v>974</v>
      </c>
      <c r="R221" s="0" t="s">
        <v>970</v>
      </c>
      <c r="S221" s="0" t="s">
        <v>974</v>
      </c>
    </row>
    <row r="222" customFormat="false" ht="13.8" hidden="false" customHeight="false" outlineLevel="0" collapsed="false">
      <c r="A222" s="0" t="n">
        <v>1978</v>
      </c>
      <c r="B222" s="0" t="s">
        <v>2105</v>
      </c>
      <c r="C222" s="0" t="s">
        <v>1799</v>
      </c>
      <c r="E222" s="0" t="n">
        <f aca="false">IF(J221=J222,E221+10,0)</f>
        <v>10</v>
      </c>
      <c r="F222" s="0" t="s">
        <v>2106</v>
      </c>
      <c r="G222" s="0" t="s">
        <v>2107</v>
      </c>
      <c r="H222" s="0" t="s">
        <v>2108</v>
      </c>
      <c r="I222" s="0" t="s">
        <v>1803</v>
      </c>
      <c r="J222" s="0" t="s">
        <v>1625</v>
      </c>
      <c r="K222" s="0" t="s">
        <v>971</v>
      </c>
      <c r="L222" s="0" t="s">
        <v>974</v>
      </c>
      <c r="M222" s="0" t="s">
        <v>973</v>
      </c>
      <c r="N222" s="0" t="s">
        <v>974</v>
      </c>
      <c r="O222" s="0" t="s">
        <v>975</v>
      </c>
      <c r="P222" s="0" t="s">
        <v>976</v>
      </c>
      <c r="Q222" s="0" t="s">
        <v>996</v>
      </c>
      <c r="R222" s="0" t="s">
        <v>970</v>
      </c>
      <c r="S222" s="0" t="s">
        <v>974</v>
      </c>
    </row>
    <row r="223" customFormat="false" ht="13.8" hidden="false" customHeight="false" outlineLevel="0" collapsed="false">
      <c r="A223" s="0" t="n">
        <v>1979</v>
      </c>
      <c r="B223" s="0" t="s">
        <v>2109</v>
      </c>
      <c r="C223" s="0" t="s">
        <v>2110</v>
      </c>
      <c r="E223" s="0" t="n">
        <f aca="false">IF(J222=J223,E222+10,0)</f>
        <v>20</v>
      </c>
      <c r="F223" s="0" t="s">
        <v>2111</v>
      </c>
      <c r="G223" s="0" t="s">
        <v>2112</v>
      </c>
      <c r="H223" s="0" t="s">
        <v>2113</v>
      </c>
      <c r="I223" s="0" t="s">
        <v>2114</v>
      </c>
      <c r="J223" s="0" t="s">
        <v>1625</v>
      </c>
      <c r="K223" s="0" t="s">
        <v>971</v>
      </c>
      <c r="L223" s="0" t="s">
        <v>974</v>
      </c>
      <c r="M223" s="0" t="s">
        <v>973</v>
      </c>
      <c r="N223" s="0" t="s">
        <v>974</v>
      </c>
      <c r="O223" s="0" t="s">
        <v>975</v>
      </c>
      <c r="P223" s="0" t="s">
        <v>976</v>
      </c>
      <c r="Q223" s="0" t="s">
        <v>1059</v>
      </c>
      <c r="R223" s="0" t="s">
        <v>1046</v>
      </c>
      <c r="S223" s="0" t="s">
        <v>974</v>
      </c>
    </row>
    <row r="224" customFormat="false" ht="13.8" hidden="false" customHeight="false" outlineLevel="0" collapsed="false">
      <c r="A224" s="0" t="n">
        <v>1980</v>
      </c>
      <c r="B224" s="0" t="s">
        <v>2115</v>
      </c>
      <c r="C224" s="0" t="s">
        <v>1010</v>
      </c>
      <c r="E224" s="0" t="n">
        <f aca="false">IF(J223=J224,E223+10,0)</f>
        <v>30</v>
      </c>
      <c r="F224" s="0" t="s">
        <v>2116</v>
      </c>
      <c r="G224" s="0" t="s">
        <v>2117</v>
      </c>
      <c r="H224" s="0" t="s">
        <v>2118</v>
      </c>
      <c r="I224" s="0" t="s">
        <v>1014</v>
      </c>
      <c r="J224" s="0" t="s">
        <v>1625</v>
      </c>
      <c r="K224" s="0" t="s">
        <v>971</v>
      </c>
      <c r="L224" s="0" t="s">
        <v>974</v>
      </c>
      <c r="M224" s="0" t="s">
        <v>973</v>
      </c>
      <c r="N224" s="0" t="s">
        <v>974</v>
      </c>
      <c r="O224" s="0" t="s">
        <v>975</v>
      </c>
      <c r="P224" s="0" t="s">
        <v>976</v>
      </c>
      <c r="Q224" s="0" t="s">
        <v>1059</v>
      </c>
      <c r="R224" s="0" t="s">
        <v>1046</v>
      </c>
      <c r="S224" s="0" t="s">
        <v>974</v>
      </c>
    </row>
    <row r="225" customFormat="false" ht="13.8" hidden="false" customHeight="false" outlineLevel="0" collapsed="false">
      <c r="A225" s="0" t="n">
        <v>1981</v>
      </c>
      <c r="B225" s="0" t="s">
        <v>2119</v>
      </c>
      <c r="C225" s="0" t="s">
        <v>2120</v>
      </c>
      <c r="E225" s="0" t="n">
        <f aca="false">IF(J224=J225,E224+10,0)</f>
        <v>40</v>
      </c>
      <c r="F225" s="0" t="s">
        <v>2121</v>
      </c>
      <c r="G225" s="0" t="s">
        <v>2122</v>
      </c>
      <c r="H225" s="0" t="s">
        <v>2123</v>
      </c>
      <c r="I225" s="0" t="s">
        <v>1766</v>
      </c>
      <c r="J225" s="0" t="s">
        <v>1625</v>
      </c>
      <c r="K225" s="0" t="s">
        <v>971</v>
      </c>
      <c r="L225" s="0" t="s">
        <v>974</v>
      </c>
      <c r="M225" s="0" t="s">
        <v>973</v>
      </c>
      <c r="N225" s="0" t="s">
        <v>974</v>
      </c>
      <c r="O225" s="0" t="s">
        <v>975</v>
      </c>
      <c r="P225" s="0" t="s">
        <v>976</v>
      </c>
      <c r="Q225" s="0" t="s">
        <v>1059</v>
      </c>
      <c r="R225" s="0" t="s">
        <v>1046</v>
      </c>
      <c r="S225" s="0" t="s">
        <v>974</v>
      </c>
    </row>
    <row r="226" customFormat="false" ht="13.8" hidden="false" customHeight="false" outlineLevel="0" collapsed="false">
      <c r="A226" s="0" t="n">
        <v>1982</v>
      </c>
      <c r="B226" s="0" t="s">
        <v>2124</v>
      </c>
      <c r="C226" s="0" t="s">
        <v>1598</v>
      </c>
      <c r="E226" s="0" t="n">
        <f aca="false">IF(J225=J226,E225+10,0)</f>
        <v>50</v>
      </c>
      <c r="F226" s="0" t="s">
        <v>2125</v>
      </c>
      <c r="G226" s="0" t="s">
        <v>2126</v>
      </c>
      <c r="H226" s="0" t="s">
        <v>2127</v>
      </c>
      <c r="I226" s="0" t="s">
        <v>1180</v>
      </c>
      <c r="J226" s="0" t="s">
        <v>1625</v>
      </c>
      <c r="K226" s="0" t="s">
        <v>971</v>
      </c>
      <c r="L226" s="0" t="s">
        <v>974</v>
      </c>
      <c r="M226" s="0" t="s">
        <v>973</v>
      </c>
      <c r="N226" s="0" t="s">
        <v>974</v>
      </c>
      <c r="O226" s="0" t="s">
        <v>975</v>
      </c>
      <c r="P226" s="0" t="s">
        <v>976</v>
      </c>
      <c r="Q226" s="0" t="s">
        <v>1232</v>
      </c>
      <c r="R226" s="0" t="s">
        <v>1046</v>
      </c>
      <c r="S226" s="0" t="s">
        <v>974</v>
      </c>
    </row>
    <row r="227" customFormat="false" ht="13.8" hidden="false" customHeight="false" outlineLevel="0" collapsed="false">
      <c r="A227" s="0" t="n">
        <v>1983</v>
      </c>
      <c r="B227" s="0" t="s">
        <v>2128</v>
      </c>
      <c r="C227" s="0" t="s">
        <v>1636</v>
      </c>
      <c r="E227" s="0" t="n">
        <f aca="false">IF(J226=J227,E226+10,0)</f>
        <v>60</v>
      </c>
      <c r="F227" s="0" t="s">
        <v>2129</v>
      </c>
      <c r="G227" s="0" t="s">
        <v>2130</v>
      </c>
      <c r="H227" s="0" t="s">
        <v>2131</v>
      </c>
      <c r="I227" s="0" t="s">
        <v>1306</v>
      </c>
      <c r="J227" s="0" t="s">
        <v>1625</v>
      </c>
      <c r="K227" s="0" t="s">
        <v>971</v>
      </c>
      <c r="L227" s="0" t="s">
        <v>974</v>
      </c>
      <c r="M227" s="0" t="s">
        <v>973</v>
      </c>
      <c r="N227" s="0" t="s">
        <v>974</v>
      </c>
      <c r="O227" s="0" t="s">
        <v>975</v>
      </c>
      <c r="P227" s="0" t="s">
        <v>976</v>
      </c>
      <c r="Q227" s="0" t="s">
        <v>970</v>
      </c>
      <c r="R227" s="0" t="s">
        <v>1046</v>
      </c>
      <c r="S227" s="0" t="s">
        <v>974</v>
      </c>
    </row>
    <row r="228" customFormat="false" ht="13.8" hidden="false" customHeight="false" outlineLevel="0" collapsed="false">
      <c r="A228" s="0" t="n">
        <v>1984</v>
      </c>
      <c r="B228" s="0" t="s">
        <v>2132</v>
      </c>
      <c r="C228" s="0" t="s">
        <v>1987</v>
      </c>
      <c r="E228" s="0" t="n">
        <f aca="false">IF(J227=J228,E227+10,0)</f>
        <v>70</v>
      </c>
      <c r="F228" s="0" t="s">
        <v>2133</v>
      </c>
      <c r="G228" s="0" t="s">
        <v>2134</v>
      </c>
      <c r="H228" s="0" t="s">
        <v>2135</v>
      </c>
      <c r="I228" s="0" t="s">
        <v>1027</v>
      </c>
      <c r="J228" s="0" t="s">
        <v>1625</v>
      </c>
      <c r="K228" s="0" t="s">
        <v>971</v>
      </c>
      <c r="L228" s="0" t="s">
        <v>974</v>
      </c>
      <c r="M228" s="0" t="s">
        <v>973</v>
      </c>
      <c r="N228" s="0" t="s">
        <v>974</v>
      </c>
      <c r="O228" s="0" t="s">
        <v>975</v>
      </c>
      <c r="P228" s="0" t="s">
        <v>976</v>
      </c>
      <c r="Q228" s="0" t="s">
        <v>1059</v>
      </c>
      <c r="R228" s="0" t="s">
        <v>1046</v>
      </c>
      <c r="S228" s="0" t="s">
        <v>974</v>
      </c>
    </row>
    <row r="229" customFormat="false" ht="13.8" hidden="false" customHeight="false" outlineLevel="0" collapsed="false">
      <c r="A229" s="0" t="n">
        <v>1985</v>
      </c>
      <c r="B229" s="0" t="s">
        <v>2136</v>
      </c>
      <c r="C229" s="0" t="s">
        <v>2137</v>
      </c>
      <c r="E229" s="0" t="n">
        <f aca="false">IF(J228=J229,E228+10,0)</f>
        <v>80</v>
      </c>
      <c r="F229" s="0" t="s">
        <v>2138</v>
      </c>
      <c r="G229" s="0" t="s">
        <v>2139</v>
      </c>
      <c r="H229" s="0" t="s">
        <v>2140</v>
      </c>
      <c r="I229" s="0" t="s">
        <v>2141</v>
      </c>
      <c r="J229" s="0" t="s">
        <v>1625</v>
      </c>
      <c r="K229" s="0" t="s">
        <v>971</v>
      </c>
      <c r="L229" s="0" t="s">
        <v>974</v>
      </c>
      <c r="M229" s="0" t="s">
        <v>973</v>
      </c>
      <c r="N229" s="0" t="s">
        <v>974</v>
      </c>
      <c r="O229" s="0" t="s">
        <v>975</v>
      </c>
      <c r="P229" s="0" t="s">
        <v>976</v>
      </c>
      <c r="Q229" s="0" t="s">
        <v>1322</v>
      </c>
      <c r="R229" s="0" t="s">
        <v>1046</v>
      </c>
      <c r="S229" s="0" t="s">
        <v>974</v>
      </c>
    </row>
    <row r="230" customFormat="false" ht="13.8" hidden="false" customHeight="false" outlineLevel="0" collapsed="false">
      <c r="A230" s="0" t="n">
        <v>1986</v>
      </c>
      <c r="B230" s="0" t="s">
        <v>2142</v>
      </c>
      <c r="C230" s="0" t="s">
        <v>1314</v>
      </c>
      <c r="E230" s="0" t="n">
        <f aca="false">IF(J229=J230,E229+10,0)</f>
        <v>90</v>
      </c>
      <c r="F230" s="0" t="s">
        <v>2143</v>
      </c>
      <c r="G230" s="0" t="s">
        <v>2144</v>
      </c>
      <c r="H230" s="0" t="s">
        <v>2145</v>
      </c>
      <c r="I230" s="0" t="s">
        <v>1161</v>
      </c>
      <c r="J230" s="0" t="s">
        <v>1625</v>
      </c>
      <c r="K230" s="0" t="s">
        <v>971</v>
      </c>
      <c r="L230" s="0" t="s">
        <v>974</v>
      </c>
      <c r="M230" s="0" t="s">
        <v>973</v>
      </c>
      <c r="N230" s="0" t="s">
        <v>974</v>
      </c>
      <c r="O230" s="0" t="s">
        <v>975</v>
      </c>
      <c r="P230" s="0" t="s">
        <v>976</v>
      </c>
      <c r="Q230" s="0" t="s">
        <v>2146</v>
      </c>
      <c r="R230" s="0" t="s">
        <v>1046</v>
      </c>
      <c r="S230" s="0" t="s">
        <v>974</v>
      </c>
    </row>
    <row r="231" customFormat="false" ht="13.8" hidden="false" customHeight="false" outlineLevel="0" collapsed="false">
      <c r="A231" s="0" t="n">
        <v>1987</v>
      </c>
      <c r="B231" s="0" t="s">
        <v>2147</v>
      </c>
      <c r="C231" s="0" t="s">
        <v>1680</v>
      </c>
      <c r="E231" s="0" t="n">
        <f aca="false">IF(J230=J231,E230+10,0)</f>
        <v>100</v>
      </c>
      <c r="F231" s="0" t="s">
        <v>2148</v>
      </c>
      <c r="G231" s="0" t="s">
        <v>2149</v>
      </c>
      <c r="H231" s="0" t="s">
        <v>2150</v>
      </c>
      <c r="I231" s="0" t="s">
        <v>1175</v>
      </c>
      <c r="J231" s="0" t="s">
        <v>1625</v>
      </c>
      <c r="K231" s="0" t="s">
        <v>971</v>
      </c>
      <c r="L231" s="0" t="s">
        <v>974</v>
      </c>
      <c r="M231" s="0" t="s">
        <v>973</v>
      </c>
      <c r="N231" s="0" t="s">
        <v>974</v>
      </c>
      <c r="O231" s="0" t="s">
        <v>975</v>
      </c>
      <c r="P231" s="0" t="s">
        <v>976</v>
      </c>
      <c r="Q231" s="0" t="s">
        <v>2000</v>
      </c>
      <c r="R231" s="0" t="s">
        <v>970</v>
      </c>
      <c r="S231" s="0" t="s">
        <v>974</v>
      </c>
    </row>
    <row r="232" customFormat="false" ht="13.8" hidden="false" customHeight="false" outlineLevel="0" collapsed="false">
      <c r="A232" s="0" t="n">
        <v>1988</v>
      </c>
      <c r="B232" s="0" t="s">
        <v>2151</v>
      </c>
      <c r="C232" s="0" t="s">
        <v>2152</v>
      </c>
      <c r="E232" s="0" t="n">
        <f aca="false">IF(J231=J232,E231+10,0)</f>
        <v>110</v>
      </c>
      <c r="F232" s="0" t="s">
        <v>2153</v>
      </c>
      <c r="G232" s="0" t="s">
        <v>2154</v>
      </c>
      <c r="H232" s="0" t="s">
        <v>2155</v>
      </c>
      <c r="I232" s="0" t="s">
        <v>1117</v>
      </c>
      <c r="J232" s="0" t="s">
        <v>1625</v>
      </c>
      <c r="K232" s="0" t="s">
        <v>971</v>
      </c>
      <c r="L232" s="0" t="s">
        <v>974</v>
      </c>
      <c r="M232" s="0" t="s">
        <v>973</v>
      </c>
      <c r="N232" s="0" t="s">
        <v>974</v>
      </c>
      <c r="O232" s="0" t="s">
        <v>975</v>
      </c>
      <c r="P232" s="0" t="s">
        <v>976</v>
      </c>
      <c r="Q232" s="0" t="s">
        <v>2156</v>
      </c>
      <c r="R232" s="0" t="s">
        <v>1046</v>
      </c>
      <c r="S232" s="0" t="s">
        <v>974</v>
      </c>
    </row>
    <row r="233" customFormat="false" ht="13.8" hidden="false" customHeight="false" outlineLevel="0" collapsed="false">
      <c r="A233" s="0" t="n">
        <v>1989</v>
      </c>
      <c r="B233" s="0" t="s">
        <v>2157</v>
      </c>
      <c r="C233" s="0" t="s">
        <v>1096</v>
      </c>
      <c r="E233" s="0" t="n">
        <f aca="false">IF(J232=J233,E232+10,0)</f>
        <v>120</v>
      </c>
      <c r="F233" s="0" t="s">
        <v>2158</v>
      </c>
      <c r="G233" s="0" t="s">
        <v>2159</v>
      </c>
      <c r="H233" s="0" t="s">
        <v>2160</v>
      </c>
      <c r="I233" s="0" t="s">
        <v>1100</v>
      </c>
      <c r="J233" s="0" t="s">
        <v>1625</v>
      </c>
      <c r="K233" s="0" t="s">
        <v>971</v>
      </c>
      <c r="L233" s="0" t="s">
        <v>974</v>
      </c>
      <c r="M233" s="0" t="s">
        <v>973</v>
      </c>
      <c r="N233" s="0" t="s">
        <v>974</v>
      </c>
      <c r="O233" s="0" t="s">
        <v>975</v>
      </c>
      <c r="P233" s="0" t="s">
        <v>976</v>
      </c>
      <c r="Q233" s="0" t="s">
        <v>970</v>
      </c>
      <c r="R233" s="0" t="s">
        <v>1046</v>
      </c>
      <c r="S233" s="0" t="s">
        <v>974</v>
      </c>
    </row>
    <row r="234" customFormat="false" ht="13.8" hidden="false" customHeight="false" outlineLevel="0" collapsed="false">
      <c r="A234" s="0" t="n">
        <v>1990</v>
      </c>
      <c r="B234" s="0" t="s">
        <v>2161</v>
      </c>
      <c r="C234" s="0" t="s">
        <v>991</v>
      </c>
      <c r="E234" s="0" t="n">
        <f aca="false">IF(J233=J234,E233+10,0)</f>
        <v>0</v>
      </c>
      <c r="F234" s="0" t="s">
        <v>2162</v>
      </c>
      <c r="G234" s="0" t="s">
        <v>2163</v>
      </c>
      <c r="H234" s="0" t="s">
        <v>2164</v>
      </c>
      <c r="I234" s="0" t="s">
        <v>995</v>
      </c>
      <c r="J234" s="0" t="s">
        <v>1737</v>
      </c>
      <c r="K234" s="0" t="s">
        <v>1488</v>
      </c>
      <c r="L234" s="0" t="s">
        <v>2165</v>
      </c>
      <c r="M234" s="0" t="s">
        <v>973</v>
      </c>
      <c r="N234" s="0" t="s">
        <v>974</v>
      </c>
      <c r="O234" s="0" t="s">
        <v>975</v>
      </c>
      <c r="P234" s="0" t="s">
        <v>976</v>
      </c>
      <c r="Q234" s="0" t="s">
        <v>974</v>
      </c>
      <c r="R234" s="0" t="s">
        <v>970</v>
      </c>
      <c r="S234" s="0" t="s">
        <v>974</v>
      </c>
    </row>
    <row r="235" customFormat="false" ht="13.8" hidden="false" customHeight="false" outlineLevel="0" collapsed="false">
      <c r="A235" s="0" t="n">
        <v>1991</v>
      </c>
      <c r="B235" s="0" t="s">
        <v>2166</v>
      </c>
      <c r="C235" s="0" t="s">
        <v>1139</v>
      </c>
      <c r="E235" s="0" t="n">
        <f aca="false">IF(J234=J235,E234+10,0)</f>
        <v>10</v>
      </c>
      <c r="F235" s="0" t="s">
        <v>2167</v>
      </c>
      <c r="G235" s="0" t="s">
        <v>2168</v>
      </c>
      <c r="H235" s="0" t="s">
        <v>2169</v>
      </c>
      <c r="I235" s="0" t="s">
        <v>1143</v>
      </c>
      <c r="J235" s="0" t="s">
        <v>1737</v>
      </c>
      <c r="K235" s="0" t="s">
        <v>1950</v>
      </c>
      <c r="L235" s="0" t="s">
        <v>1082</v>
      </c>
      <c r="M235" s="0" t="s">
        <v>973</v>
      </c>
      <c r="N235" s="0" t="s">
        <v>974</v>
      </c>
      <c r="O235" s="0" t="s">
        <v>975</v>
      </c>
      <c r="P235" s="0" t="s">
        <v>976</v>
      </c>
      <c r="Q235" s="0" t="s">
        <v>974</v>
      </c>
      <c r="R235" s="0" t="s">
        <v>970</v>
      </c>
      <c r="S235" s="0" t="s">
        <v>974</v>
      </c>
    </row>
    <row r="236" customFormat="false" ht="13.8" hidden="false" customHeight="false" outlineLevel="0" collapsed="false">
      <c r="A236" s="0" t="n">
        <v>1992</v>
      </c>
      <c r="B236" s="0" t="s">
        <v>2170</v>
      </c>
      <c r="C236" s="0" t="s">
        <v>1146</v>
      </c>
      <c r="E236" s="0" t="n">
        <f aca="false">IF(J235=J236,E235+10,0)</f>
        <v>20</v>
      </c>
      <c r="F236" s="0" t="s">
        <v>2171</v>
      </c>
      <c r="G236" s="0" t="s">
        <v>2172</v>
      </c>
      <c r="H236" s="0" t="s">
        <v>2173</v>
      </c>
      <c r="I236" s="0" t="s">
        <v>1150</v>
      </c>
      <c r="J236" s="0" t="s">
        <v>1737</v>
      </c>
      <c r="K236" s="0" t="s">
        <v>1950</v>
      </c>
      <c r="L236" s="0" t="s">
        <v>1082</v>
      </c>
      <c r="M236" s="0" t="s">
        <v>973</v>
      </c>
      <c r="N236" s="0" t="s">
        <v>974</v>
      </c>
      <c r="O236" s="0" t="s">
        <v>975</v>
      </c>
      <c r="P236" s="0" t="s">
        <v>976</v>
      </c>
      <c r="Q236" s="0" t="s">
        <v>974</v>
      </c>
      <c r="R236" s="0" t="s">
        <v>970</v>
      </c>
      <c r="S236" s="0" t="s">
        <v>974</v>
      </c>
    </row>
    <row r="237" customFormat="false" ht="13.8" hidden="false" customHeight="false" outlineLevel="0" collapsed="false">
      <c r="A237" s="0" t="n">
        <v>1993</v>
      </c>
      <c r="B237" s="0" t="s">
        <v>2174</v>
      </c>
      <c r="C237" s="0" t="s">
        <v>1048</v>
      </c>
      <c r="E237" s="0" t="n">
        <f aca="false">IF(J236=J237,E236+10,0)</f>
        <v>30</v>
      </c>
      <c r="F237" s="0" t="s">
        <v>2175</v>
      </c>
      <c r="G237" s="0" t="s">
        <v>2176</v>
      </c>
      <c r="H237" s="0" t="s">
        <v>2177</v>
      </c>
      <c r="I237" s="0" t="s">
        <v>1052</v>
      </c>
      <c r="J237" s="0" t="s">
        <v>1737</v>
      </c>
      <c r="K237" s="0" t="s">
        <v>1630</v>
      </c>
      <c r="L237" s="0" t="s">
        <v>1082</v>
      </c>
      <c r="M237" s="0" t="s">
        <v>973</v>
      </c>
      <c r="N237" s="0" t="s">
        <v>974</v>
      </c>
      <c r="O237" s="0" t="s">
        <v>975</v>
      </c>
      <c r="P237" s="0" t="s">
        <v>976</v>
      </c>
      <c r="Q237" s="0" t="s">
        <v>974</v>
      </c>
      <c r="R237" s="0" t="s">
        <v>970</v>
      </c>
      <c r="S237" s="0" t="s">
        <v>974</v>
      </c>
    </row>
    <row r="238" customFormat="false" ht="13.8" hidden="false" customHeight="false" outlineLevel="0" collapsed="false">
      <c r="A238" s="0" t="n">
        <v>1994</v>
      </c>
      <c r="B238" s="0" t="s">
        <v>2178</v>
      </c>
      <c r="C238" s="0" t="s">
        <v>1501</v>
      </c>
      <c r="E238" s="0" t="n">
        <f aca="false">IF(J237=J238,E237+10,0)</f>
        <v>40</v>
      </c>
      <c r="F238" s="0" t="s">
        <v>2179</v>
      </c>
      <c r="G238" s="0" t="s">
        <v>2180</v>
      </c>
      <c r="H238" s="0" t="s">
        <v>2181</v>
      </c>
      <c r="I238" s="0" t="s">
        <v>1505</v>
      </c>
      <c r="J238" s="0" t="s">
        <v>1737</v>
      </c>
      <c r="K238" s="0" t="s">
        <v>971</v>
      </c>
      <c r="L238" s="0" t="s">
        <v>973</v>
      </c>
      <c r="M238" s="0" t="s">
        <v>973</v>
      </c>
      <c r="N238" s="0" t="s">
        <v>974</v>
      </c>
      <c r="O238" s="0" t="s">
        <v>975</v>
      </c>
      <c r="P238" s="0" t="s">
        <v>976</v>
      </c>
      <c r="Q238" s="0" t="s">
        <v>974</v>
      </c>
      <c r="R238" s="0" t="s">
        <v>970</v>
      </c>
      <c r="S238" s="0" t="s">
        <v>974</v>
      </c>
    </row>
    <row r="239" customFormat="false" ht="13.8" hidden="false" customHeight="false" outlineLevel="0" collapsed="false">
      <c r="A239" s="0" t="n">
        <v>1995</v>
      </c>
      <c r="B239" s="0" t="s">
        <v>2182</v>
      </c>
      <c r="C239" s="0" t="s">
        <v>1517</v>
      </c>
      <c r="E239" s="0" t="n">
        <f aca="false">IF(J238=J239,E238+10,0)</f>
        <v>50</v>
      </c>
      <c r="F239" s="0" t="s">
        <v>2183</v>
      </c>
      <c r="G239" s="0" t="s">
        <v>2184</v>
      </c>
      <c r="H239" s="0" t="s">
        <v>2185</v>
      </c>
      <c r="I239" s="0" t="s">
        <v>1106</v>
      </c>
      <c r="J239" s="0" t="s">
        <v>1737</v>
      </c>
      <c r="K239" s="0" t="s">
        <v>971</v>
      </c>
      <c r="L239" s="0" t="s">
        <v>974</v>
      </c>
      <c r="M239" s="0" t="s">
        <v>973</v>
      </c>
      <c r="N239" s="0" t="s">
        <v>974</v>
      </c>
      <c r="O239" s="0" t="s">
        <v>975</v>
      </c>
      <c r="P239" s="0" t="s">
        <v>976</v>
      </c>
      <c r="Q239" s="0" t="s">
        <v>973</v>
      </c>
      <c r="R239" s="0" t="s">
        <v>970</v>
      </c>
      <c r="S239" s="0" t="s">
        <v>974</v>
      </c>
    </row>
    <row r="240" customFormat="false" ht="13.8" hidden="false" customHeight="false" outlineLevel="0" collapsed="false">
      <c r="A240" s="0" t="n">
        <v>1996</v>
      </c>
      <c r="B240" s="0" t="s">
        <v>2186</v>
      </c>
      <c r="C240" s="0" t="s">
        <v>1662</v>
      </c>
      <c r="E240" s="0" t="n">
        <f aca="false">IF(J239=J240,E239+10,0)</f>
        <v>60</v>
      </c>
      <c r="F240" s="0" t="s">
        <v>2187</v>
      </c>
      <c r="G240" s="0" t="s">
        <v>2188</v>
      </c>
      <c r="H240" s="0" t="s">
        <v>2189</v>
      </c>
      <c r="I240" s="0" t="s">
        <v>1666</v>
      </c>
      <c r="J240" s="0" t="s">
        <v>1737</v>
      </c>
      <c r="K240" s="0" t="s">
        <v>971</v>
      </c>
      <c r="L240" s="0" t="s">
        <v>974</v>
      </c>
      <c r="M240" s="0" t="s">
        <v>973</v>
      </c>
      <c r="N240" s="0" t="s">
        <v>974</v>
      </c>
      <c r="O240" s="0" t="s">
        <v>975</v>
      </c>
      <c r="P240" s="0" t="s">
        <v>976</v>
      </c>
      <c r="Q240" s="0" t="s">
        <v>970</v>
      </c>
      <c r="R240" s="0" t="s">
        <v>1046</v>
      </c>
      <c r="S240" s="0" t="s">
        <v>974</v>
      </c>
    </row>
    <row r="241" customFormat="false" ht="13.8" hidden="false" customHeight="false" outlineLevel="0" collapsed="false">
      <c r="A241" s="0" t="n">
        <v>1997</v>
      </c>
      <c r="B241" s="0" t="s">
        <v>2190</v>
      </c>
      <c r="C241" s="0" t="s">
        <v>2191</v>
      </c>
      <c r="E241" s="0" t="n">
        <f aca="false">IF(J240=J241,E240+10,0)</f>
        <v>70</v>
      </c>
      <c r="F241" s="0" t="s">
        <v>2192</v>
      </c>
      <c r="G241" s="0" t="s">
        <v>2193</v>
      </c>
      <c r="H241" s="0" t="s">
        <v>2194</v>
      </c>
      <c r="I241" s="0" t="s">
        <v>2195</v>
      </c>
      <c r="J241" s="0" t="s">
        <v>1737</v>
      </c>
      <c r="K241" s="0" t="s">
        <v>971</v>
      </c>
      <c r="L241" s="0" t="s">
        <v>974</v>
      </c>
      <c r="M241" s="0" t="s">
        <v>973</v>
      </c>
      <c r="N241" s="0" t="s">
        <v>974</v>
      </c>
      <c r="O241" s="0" t="s">
        <v>975</v>
      </c>
      <c r="P241" s="0" t="s">
        <v>976</v>
      </c>
      <c r="Q241" s="0" t="s">
        <v>973</v>
      </c>
      <c r="R241" s="0" t="s">
        <v>1046</v>
      </c>
      <c r="S241" s="0" t="s">
        <v>974</v>
      </c>
    </row>
    <row r="242" customFormat="false" ht="13.8" hidden="false" customHeight="false" outlineLevel="0" collapsed="false">
      <c r="A242" s="0" t="n">
        <v>1998</v>
      </c>
      <c r="B242" s="0" t="s">
        <v>2196</v>
      </c>
      <c r="C242" s="0" t="s">
        <v>1719</v>
      </c>
      <c r="E242" s="0" t="n">
        <f aca="false">IF(J241=J242,E241+10,0)</f>
        <v>80</v>
      </c>
      <c r="F242" s="0" t="s">
        <v>2197</v>
      </c>
      <c r="G242" s="0" t="s">
        <v>2198</v>
      </c>
      <c r="H242" s="0" t="s">
        <v>2199</v>
      </c>
      <c r="I242" s="0" t="s">
        <v>1723</v>
      </c>
      <c r="J242" s="0" t="s">
        <v>1737</v>
      </c>
      <c r="K242" s="0" t="s">
        <v>971</v>
      </c>
      <c r="L242" s="0" t="s">
        <v>974</v>
      </c>
      <c r="M242" s="0" t="s">
        <v>973</v>
      </c>
      <c r="N242" s="0" t="s">
        <v>974</v>
      </c>
      <c r="O242" s="0" t="s">
        <v>975</v>
      </c>
      <c r="P242" s="0" t="s">
        <v>976</v>
      </c>
      <c r="Q242" s="0" t="s">
        <v>973</v>
      </c>
      <c r="R242" s="0" t="s">
        <v>1046</v>
      </c>
      <c r="S242" s="0" t="s">
        <v>974</v>
      </c>
    </row>
    <row r="243" customFormat="false" ht="13.8" hidden="false" customHeight="false" outlineLevel="0" collapsed="false">
      <c r="A243" s="0" t="n">
        <v>1999</v>
      </c>
      <c r="B243" s="0" t="s">
        <v>2200</v>
      </c>
      <c r="C243" s="0" t="s">
        <v>1583</v>
      </c>
      <c r="E243" s="0" t="n">
        <f aca="false">IF(J242=J243,E242+10,0)</f>
        <v>90</v>
      </c>
      <c r="F243" s="0" t="s">
        <v>2201</v>
      </c>
      <c r="G243" s="0" t="s">
        <v>2202</v>
      </c>
      <c r="H243" s="0" t="s">
        <v>2203</v>
      </c>
      <c r="I243" s="0" t="s">
        <v>1587</v>
      </c>
      <c r="J243" s="0" t="s">
        <v>1737</v>
      </c>
      <c r="K243" s="0" t="s">
        <v>971</v>
      </c>
      <c r="L243" s="0" t="s">
        <v>974</v>
      </c>
      <c r="M243" s="0" t="s">
        <v>973</v>
      </c>
      <c r="N243" s="0" t="s">
        <v>974</v>
      </c>
      <c r="O243" s="0" t="s">
        <v>975</v>
      </c>
      <c r="P243" s="0" t="s">
        <v>976</v>
      </c>
      <c r="Q243" s="0" t="s">
        <v>1059</v>
      </c>
      <c r="R243" s="0" t="s">
        <v>1046</v>
      </c>
      <c r="S243" s="0" t="s">
        <v>974</v>
      </c>
    </row>
    <row r="244" customFormat="false" ht="13.8" hidden="false" customHeight="false" outlineLevel="0" collapsed="false">
      <c r="A244" s="0" t="n">
        <v>2000</v>
      </c>
      <c r="B244" s="0" t="s">
        <v>2204</v>
      </c>
      <c r="C244" s="0" t="s">
        <v>1970</v>
      </c>
      <c r="E244" s="0" t="n">
        <f aca="false">IF(J243=J244,E243+10,0)</f>
        <v>100</v>
      </c>
      <c r="F244" s="0" t="s">
        <v>2205</v>
      </c>
      <c r="G244" s="0" t="s">
        <v>2206</v>
      </c>
      <c r="H244" s="0" t="s">
        <v>2207</v>
      </c>
      <c r="I244" s="0" t="s">
        <v>1021</v>
      </c>
      <c r="J244" s="0" t="s">
        <v>1737</v>
      </c>
      <c r="K244" s="0" t="s">
        <v>2208</v>
      </c>
      <c r="L244" s="0" t="s">
        <v>974</v>
      </c>
      <c r="M244" s="0" t="s">
        <v>973</v>
      </c>
      <c r="N244" s="0" t="s">
        <v>974</v>
      </c>
      <c r="O244" s="0" t="s">
        <v>975</v>
      </c>
      <c r="P244" s="0" t="s">
        <v>976</v>
      </c>
      <c r="Q244" s="0" t="s">
        <v>973</v>
      </c>
      <c r="R244" s="0" t="s">
        <v>1046</v>
      </c>
      <c r="S244" s="0" t="s">
        <v>974</v>
      </c>
    </row>
    <row r="245" customFormat="false" ht="13.8" hidden="false" customHeight="false" outlineLevel="0" collapsed="false">
      <c r="A245" s="0" t="n">
        <v>2001</v>
      </c>
      <c r="B245" s="0" t="s">
        <v>2209</v>
      </c>
      <c r="C245" s="0" t="s">
        <v>1814</v>
      </c>
      <c r="E245" s="0" t="n">
        <f aca="false">IF(J244=J245,E244+10,0)</f>
        <v>110</v>
      </c>
      <c r="F245" s="0" t="s">
        <v>2210</v>
      </c>
      <c r="G245" s="0" t="s">
        <v>2211</v>
      </c>
      <c r="H245" s="0" t="s">
        <v>2212</v>
      </c>
      <c r="I245" s="0" t="s">
        <v>1033</v>
      </c>
      <c r="J245" s="0" t="s">
        <v>1737</v>
      </c>
      <c r="K245" s="0" t="s">
        <v>971</v>
      </c>
      <c r="L245" s="0" t="s">
        <v>974</v>
      </c>
      <c r="M245" s="0" t="s">
        <v>973</v>
      </c>
      <c r="N245" s="0" t="s">
        <v>974</v>
      </c>
      <c r="O245" s="0" t="s">
        <v>975</v>
      </c>
      <c r="P245" s="0" t="s">
        <v>976</v>
      </c>
      <c r="Q245" s="0" t="s">
        <v>973</v>
      </c>
      <c r="R245" s="0" t="s">
        <v>970</v>
      </c>
      <c r="S245" s="0" t="s">
        <v>974</v>
      </c>
    </row>
    <row r="246" customFormat="false" ht="13.8" hidden="false" customHeight="false" outlineLevel="0" collapsed="false">
      <c r="A246" s="0" t="n">
        <v>2002</v>
      </c>
      <c r="B246" s="0" t="s">
        <v>2213</v>
      </c>
      <c r="C246" s="0" t="s">
        <v>1598</v>
      </c>
      <c r="E246" s="0" t="n">
        <f aca="false">IF(J245=J246,E245+10,0)</f>
        <v>120</v>
      </c>
      <c r="F246" s="0" t="s">
        <v>2214</v>
      </c>
      <c r="G246" s="0" t="s">
        <v>2215</v>
      </c>
      <c r="H246" s="0" t="s">
        <v>2216</v>
      </c>
      <c r="I246" s="0" t="s">
        <v>1180</v>
      </c>
      <c r="J246" s="0" t="s">
        <v>1737</v>
      </c>
      <c r="K246" s="0" t="s">
        <v>971</v>
      </c>
      <c r="L246" s="0" t="s">
        <v>974</v>
      </c>
      <c r="M246" s="0" t="s">
        <v>973</v>
      </c>
      <c r="N246" s="0" t="s">
        <v>974</v>
      </c>
      <c r="O246" s="0" t="s">
        <v>975</v>
      </c>
      <c r="P246" s="0" t="s">
        <v>976</v>
      </c>
      <c r="Q246" s="0" t="s">
        <v>970</v>
      </c>
      <c r="R246" s="0" t="s">
        <v>1046</v>
      </c>
      <c r="S246" s="0" t="s">
        <v>974</v>
      </c>
    </row>
    <row r="247" customFormat="false" ht="13.8" hidden="false" customHeight="false" outlineLevel="0" collapsed="false">
      <c r="A247" s="0" t="n">
        <v>2003</v>
      </c>
      <c r="B247" s="0" t="s">
        <v>2217</v>
      </c>
      <c r="C247" s="0" t="s">
        <v>2218</v>
      </c>
      <c r="E247" s="0" t="n">
        <f aca="false">IF(J246=J247,E246+10,0)</f>
        <v>130</v>
      </c>
      <c r="F247" s="0" t="s">
        <v>2219</v>
      </c>
      <c r="G247" s="0" t="s">
        <v>2220</v>
      </c>
      <c r="H247" s="0" t="s">
        <v>2221</v>
      </c>
      <c r="I247" s="0" t="s">
        <v>2222</v>
      </c>
      <c r="J247" s="0" t="s">
        <v>1737</v>
      </c>
      <c r="K247" s="0" t="s">
        <v>971</v>
      </c>
      <c r="L247" s="0" t="s">
        <v>974</v>
      </c>
      <c r="M247" s="0" t="s">
        <v>973</v>
      </c>
      <c r="N247" s="0" t="s">
        <v>974</v>
      </c>
      <c r="O247" s="0" t="s">
        <v>975</v>
      </c>
      <c r="P247" s="0" t="s">
        <v>976</v>
      </c>
      <c r="Q247" s="0" t="s">
        <v>973</v>
      </c>
      <c r="R247" s="0" t="s">
        <v>1046</v>
      </c>
      <c r="S247" s="0" t="s">
        <v>974</v>
      </c>
    </row>
    <row r="248" customFormat="false" ht="13.8" hidden="false" customHeight="false" outlineLevel="0" collapsed="false">
      <c r="A248" s="0" t="n">
        <v>2004</v>
      </c>
      <c r="B248" s="0" t="s">
        <v>2223</v>
      </c>
      <c r="C248" s="0" t="s">
        <v>1096</v>
      </c>
      <c r="E248" s="0" t="n">
        <f aca="false">IF(J247=J248,E247+10,0)</f>
        <v>140</v>
      </c>
      <c r="F248" s="0" t="s">
        <v>2224</v>
      </c>
      <c r="G248" s="0" t="s">
        <v>2225</v>
      </c>
      <c r="H248" s="0" t="s">
        <v>2226</v>
      </c>
      <c r="I248" s="0" t="s">
        <v>1100</v>
      </c>
      <c r="J248" s="0" t="s">
        <v>1737</v>
      </c>
      <c r="K248" s="0" t="s">
        <v>971</v>
      </c>
      <c r="L248" s="0" t="s">
        <v>974</v>
      </c>
      <c r="M248" s="0" t="s">
        <v>973</v>
      </c>
      <c r="N248" s="0" t="s">
        <v>974</v>
      </c>
      <c r="O248" s="0" t="s">
        <v>975</v>
      </c>
      <c r="P248" s="0" t="s">
        <v>976</v>
      </c>
      <c r="Q248" s="0" t="s">
        <v>1381</v>
      </c>
      <c r="R248" s="0" t="s">
        <v>1046</v>
      </c>
      <c r="S248" s="0" t="s">
        <v>974</v>
      </c>
    </row>
    <row r="249" customFormat="false" ht="13.8" hidden="false" customHeight="false" outlineLevel="0" collapsed="false">
      <c r="A249" s="0" t="n">
        <v>2005</v>
      </c>
      <c r="B249" s="0" t="s">
        <v>2227</v>
      </c>
      <c r="C249" s="0" t="s">
        <v>2228</v>
      </c>
      <c r="E249" s="0" t="n">
        <f aca="false">IF(J248=J249,E248+10,0)</f>
        <v>0</v>
      </c>
      <c r="F249" s="0" t="s">
        <v>2229</v>
      </c>
      <c r="G249" s="0" t="s">
        <v>2230</v>
      </c>
      <c r="H249" s="0" t="s">
        <v>2231</v>
      </c>
      <c r="I249" s="0" t="s">
        <v>2029</v>
      </c>
      <c r="J249" s="0" t="s">
        <v>2232</v>
      </c>
      <c r="K249" s="0" t="s">
        <v>971</v>
      </c>
      <c r="L249" s="0" t="s">
        <v>2233</v>
      </c>
      <c r="M249" s="0" t="s">
        <v>973</v>
      </c>
      <c r="N249" s="0" t="s">
        <v>974</v>
      </c>
      <c r="O249" s="0" t="s">
        <v>975</v>
      </c>
      <c r="P249" s="0" t="s">
        <v>976</v>
      </c>
      <c r="Q249" s="0" t="s">
        <v>974</v>
      </c>
      <c r="R249" s="0" t="s">
        <v>970</v>
      </c>
      <c r="S249" s="0" t="s">
        <v>974</v>
      </c>
    </row>
    <row r="250" customFormat="false" ht="13.8" hidden="false" customHeight="false" outlineLevel="0" collapsed="false">
      <c r="A250" s="0" t="n">
        <v>2006</v>
      </c>
      <c r="B250" s="0" t="s">
        <v>2234</v>
      </c>
      <c r="C250" s="0" t="s">
        <v>1048</v>
      </c>
      <c r="E250" s="0" t="n">
        <f aca="false">IF(J249=J250,E249+10,0)</f>
        <v>10</v>
      </c>
      <c r="F250" s="0" t="s">
        <v>2235</v>
      </c>
      <c r="G250" s="0" t="s">
        <v>2236</v>
      </c>
      <c r="H250" s="0" t="s">
        <v>2237</v>
      </c>
      <c r="I250" s="0" t="s">
        <v>1052</v>
      </c>
      <c r="J250" s="0" t="s">
        <v>2232</v>
      </c>
      <c r="K250" s="0" t="s">
        <v>1630</v>
      </c>
      <c r="L250" s="0" t="s">
        <v>2238</v>
      </c>
      <c r="M250" s="0" t="s">
        <v>973</v>
      </c>
      <c r="N250" s="0" t="s">
        <v>974</v>
      </c>
      <c r="O250" s="0" t="s">
        <v>975</v>
      </c>
      <c r="P250" s="0" t="s">
        <v>976</v>
      </c>
      <c r="Q250" s="0" t="s">
        <v>974</v>
      </c>
      <c r="R250" s="0" t="s">
        <v>970</v>
      </c>
      <c r="S250" s="0" t="s">
        <v>974</v>
      </c>
    </row>
    <row r="251" customFormat="false" ht="13.8" hidden="false" customHeight="false" outlineLevel="0" collapsed="false">
      <c r="A251" s="0" t="n">
        <v>2007</v>
      </c>
      <c r="B251" s="0" t="s">
        <v>2239</v>
      </c>
      <c r="C251" s="0" t="s">
        <v>2240</v>
      </c>
      <c r="E251" s="0" t="n">
        <f aca="false">IF(J250=J251,E250+10,0)</f>
        <v>20</v>
      </c>
      <c r="F251" s="0" t="s">
        <v>2241</v>
      </c>
      <c r="G251" s="0" t="s">
        <v>2242</v>
      </c>
      <c r="H251" s="0" t="s">
        <v>2243</v>
      </c>
      <c r="I251" s="0" t="s">
        <v>1350</v>
      </c>
      <c r="J251" s="0" t="s">
        <v>2232</v>
      </c>
      <c r="K251" s="0" t="s">
        <v>971</v>
      </c>
      <c r="L251" s="0" t="s">
        <v>974</v>
      </c>
      <c r="M251" s="0" t="s">
        <v>973</v>
      </c>
      <c r="N251" s="0" t="s">
        <v>974</v>
      </c>
      <c r="O251" s="0" t="s">
        <v>975</v>
      </c>
      <c r="P251" s="0" t="s">
        <v>976</v>
      </c>
      <c r="Q251" s="0" t="s">
        <v>1067</v>
      </c>
      <c r="R251" s="0" t="s">
        <v>1046</v>
      </c>
      <c r="S251" s="0" t="s">
        <v>974</v>
      </c>
    </row>
    <row r="252" customFormat="false" ht="13.8" hidden="false" customHeight="false" outlineLevel="0" collapsed="false">
      <c r="A252" s="0" t="n">
        <v>2008</v>
      </c>
      <c r="B252" s="0" t="s">
        <v>2244</v>
      </c>
      <c r="C252" s="0" t="s">
        <v>1096</v>
      </c>
      <c r="E252" s="0" t="n">
        <f aca="false">IF(J251=J252,E251+10,0)</f>
        <v>30</v>
      </c>
      <c r="F252" s="0" t="s">
        <v>2245</v>
      </c>
      <c r="G252" s="0" t="s">
        <v>2246</v>
      </c>
      <c r="H252" s="0" t="s">
        <v>2247</v>
      </c>
      <c r="I252" s="0" t="s">
        <v>1100</v>
      </c>
      <c r="J252" s="0" t="s">
        <v>2232</v>
      </c>
      <c r="K252" s="0" t="s">
        <v>971</v>
      </c>
      <c r="L252" s="0" t="s">
        <v>974</v>
      </c>
      <c r="M252" s="0" t="s">
        <v>973</v>
      </c>
      <c r="N252" s="0" t="s">
        <v>974</v>
      </c>
      <c r="O252" s="0" t="s">
        <v>975</v>
      </c>
      <c r="P252" s="0" t="s">
        <v>976</v>
      </c>
      <c r="Q252" s="0" t="s">
        <v>1968</v>
      </c>
      <c r="R252" s="0" t="s">
        <v>1046</v>
      </c>
      <c r="S252" s="0" t="s">
        <v>974</v>
      </c>
    </row>
    <row r="253" customFormat="false" ht="13.8" hidden="false" customHeight="false" outlineLevel="0" collapsed="false">
      <c r="A253" s="0" t="n">
        <v>2009</v>
      </c>
      <c r="B253" s="0" t="s">
        <v>2248</v>
      </c>
      <c r="C253" s="0" t="s">
        <v>2249</v>
      </c>
      <c r="E253" s="0" t="n">
        <f aca="false">IF(J252=J253,E252+10,0)</f>
        <v>40</v>
      </c>
      <c r="F253" s="0" t="s">
        <v>2250</v>
      </c>
      <c r="G253" s="0" t="s">
        <v>2251</v>
      </c>
      <c r="H253" s="0" t="s">
        <v>2252</v>
      </c>
      <c r="I253" s="0" t="s">
        <v>2233</v>
      </c>
      <c r="J253" s="0" t="s">
        <v>2232</v>
      </c>
      <c r="K253" s="0" t="s">
        <v>971</v>
      </c>
      <c r="L253" s="0" t="s">
        <v>974</v>
      </c>
      <c r="M253" s="0" t="s">
        <v>973</v>
      </c>
      <c r="N253" s="0" t="s">
        <v>974</v>
      </c>
      <c r="O253" s="0" t="s">
        <v>975</v>
      </c>
      <c r="P253" s="0" t="s">
        <v>976</v>
      </c>
      <c r="Q253" s="0" t="s">
        <v>973</v>
      </c>
      <c r="R253" s="0" t="s">
        <v>1046</v>
      </c>
      <c r="S253" s="0" t="s">
        <v>974</v>
      </c>
    </row>
    <row r="254" customFormat="false" ht="13.8" hidden="false" customHeight="false" outlineLevel="0" collapsed="false">
      <c r="A254" s="0" t="n">
        <v>2010</v>
      </c>
      <c r="B254" s="0" t="s">
        <v>2253</v>
      </c>
      <c r="C254" s="0" t="s">
        <v>1799</v>
      </c>
      <c r="E254" s="0" t="n">
        <f aca="false">IF(J253=J254,E253+10,0)</f>
        <v>0</v>
      </c>
      <c r="F254" s="0" t="s">
        <v>2254</v>
      </c>
      <c r="G254" s="0" t="s">
        <v>2255</v>
      </c>
      <c r="H254" s="0" t="s">
        <v>2256</v>
      </c>
      <c r="I254" s="0" t="s">
        <v>1803</v>
      </c>
      <c r="J254" s="0" t="s">
        <v>2257</v>
      </c>
      <c r="K254" s="0" t="s">
        <v>971</v>
      </c>
      <c r="L254" s="0" t="s">
        <v>974</v>
      </c>
      <c r="M254" s="0" t="s">
        <v>973</v>
      </c>
      <c r="N254" s="0" t="s">
        <v>974</v>
      </c>
      <c r="O254" s="0" t="s">
        <v>975</v>
      </c>
      <c r="P254" s="0" t="s">
        <v>976</v>
      </c>
      <c r="Q254" s="0" t="s">
        <v>970</v>
      </c>
      <c r="R254" s="0" t="s">
        <v>970</v>
      </c>
      <c r="S254" s="0" t="s">
        <v>974</v>
      </c>
    </row>
    <row r="255" customFormat="false" ht="13.8" hidden="false" customHeight="false" outlineLevel="0" collapsed="false">
      <c r="A255" s="0" t="n">
        <v>2011</v>
      </c>
      <c r="B255" s="0" t="s">
        <v>2258</v>
      </c>
      <c r="C255" s="0" t="s">
        <v>1010</v>
      </c>
      <c r="E255" s="0" t="n">
        <f aca="false">IF(J254=J255,E254+10,0)</f>
        <v>10</v>
      </c>
      <c r="F255" s="0" t="s">
        <v>2259</v>
      </c>
      <c r="G255" s="0" t="s">
        <v>2260</v>
      </c>
      <c r="H255" s="0" t="s">
        <v>2261</v>
      </c>
      <c r="I255" s="0" t="s">
        <v>1014</v>
      </c>
      <c r="J255" s="0" t="s">
        <v>2257</v>
      </c>
      <c r="K255" s="0" t="s">
        <v>971</v>
      </c>
      <c r="L255" s="0" t="s">
        <v>974</v>
      </c>
      <c r="M255" s="0" t="s">
        <v>973</v>
      </c>
      <c r="N255" s="0" t="s">
        <v>974</v>
      </c>
      <c r="O255" s="0" t="s">
        <v>975</v>
      </c>
      <c r="P255" s="0" t="s">
        <v>976</v>
      </c>
      <c r="Q255" s="0" t="s">
        <v>2000</v>
      </c>
      <c r="R255" s="0" t="s">
        <v>1046</v>
      </c>
      <c r="S255" s="0" t="s">
        <v>974</v>
      </c>
    </row>
    <row r="256" customFormat="false" ht="13.8" hidden="false" customHeight="false" outlineLevel="0" collapsed="false">
      <c r="A256" s="0" t="n">
        <v>2012</v>
      </c>
      <c r="B256" s="0" t="s">
        <v>2262</v>
      </c>
      <c r="C256" s="0" t="s">
        <v>1970</v>
      </c>
      <c r="E256" s="0" t="n">
        <f aca="false">IF(J255=J256,E255+10,0)</f>
        <v>20</v>
      </c>
      <c r="F256" s="0" t="s">
        <v>2263</v>
      </c>
      <c r="G256" s="0" t="s">
        <v>2264</v>
      </c>
      <c r="H256" s="0" t="s">
        <v>2265</v>
      </c>
      <c r="I256" s="0" t="s">
        <v>1021</v>
      </c>
      <c r="J256" s="0" t="s">
        <v>2257</v>
      </c>
      <c r="K256" s="0" t="s">
        <v>971</v>
      </c>
      <c r="L256" s="0" t="s">
        <v>2266</v>
      </c>
      <c r="M256" s="0" t="s">
        <v>1459</v>
      </c>
      <c r="N256" s="0" t="s">
        <v>974</v>
      </c>
      <c r="O256" s="0" t="s">
        <v>975</v>
      </c>
      <c r="P256" s="0" t="s">
        <v>976</v>
      </c>
      <c r="Q256" s="0" t="s">
        <v>974</v>
      </c>
      <c r="R256" s="0" t="s">
        <v>970</v>
      </c>
      <c r="S256" s="0" t="s">
        <v>974</v>
      </c>
    </row>
    <row r="257" customFormat="false" ht="13.8" hidden="false" customHeight="false" outlineLevel="0" collapsed="false">
      <c r="A257" s="0" t="n">
        <v>2013</v>
      </c>
      <c r="B257" s="0" t="s">
        <v>2267</v>
      </c>
      <c r="C257" s="0" t="s">
        <v>1598</v>
      </c>
      <c r="E257" s="0" t="n">
        <f aca="false">IF(J256=J257,E256+10,0)</f>
        <v>30</v>
      </c>
      <c r="F257" s="0" t="s">
        <v>2268</v>
      </c>
      <c r="G257" s="0" t="s">
        <v>2269</v>
      </c>
      <c r="H257" s="0" t="s">
        <v>2270</v>
      </c>
      <c r="I257" s="0" t="s">
        <v>1180</v>
      </c>
      <c r="J257" s="0" t="s">
        <v>2257</v>
      </c>
      <c r="K257" s="0" t="s">
        <v>971</v>
      </c>
      <c r="L257" s="0" t="s">
        <v>974</v>
      </c>
      <c r="M257" s="0" t="s">
        <v>973</v>
      </c>
      <c r="N257" s="0" t="s">
        <v>974</v>
      </c>
      <c r="O257" s="0" t="s">
        <v>975</v>
      </c>
      <c r="P257" s="0" t="s">
        <v>976</v>
      </c>
      <c r="Q257" s="0" t="s">
        <v>1128</v>
      </c>
      <c r="R257" s="0" t="s">
        <v>1046</v>
      </c>
      <c r="S257" s="0" t="s">
        <v>974</v>
      </c>
    </row>
    <row r="258" customFormat="false" ht="13.8" hidden="false" customHeight="false" outlineLevel="0" collapsed="false">
      <c r="A258" s="0" t="n">
        <v>2014</v>
      </c>
      <c r="B258" s="0" t="s">
        <v>2271</v>
      </c>
      <c r="C258" s="0" t="s">
        <v>2272</v>
      </c>
      <c r="E258" s="0" t="n">
        <f aca="false">IF(J257=J258,E257+10,0)</f>
        <v>40</v>
      </c>
      <c r="F258" s="0" t="s">
        <v>2273</v>
      </c>
      <c r="G258" s="0" t="s">
        <v>2274</v>
      </c>
      <c r="H258" s="0" t="s">
        <v>2275</v>
      </c>
      <c r="I258" s="0" t="s">
        <v>1328</v>
      </c>
      <c r="J258" s="0" t="s">
        <v>2257</v>
      </c>
      <c r="K258" s="0" t="s">
        <v>971</v>
      </c>
      <c r="L258" s="0" t="s">
        <v>1059</v>
      </c>
      <c r="M258" s="0" t="s">
        <v>973</v>
      </c>
      <c r="N258" s="0" t="s">
        <v>974</v>
      </c>
      <c r="O258" s="0" t="s">
        <v>975</v>
      </c>
      <c r="P258" s="0" t="s">
        <v>976</v>
      </c>
      <c r="Q258" s="0" t="s">
        <v>974</v>
      </c>
      <c r="R258" s="0" t="s">
        <v>970</v>
      </c>
      <c r="S258" s="0" t="s">
        <v>974</v>
      </c>
    </row>
    <row r="259" customFormat="false" ht="13.8" hidden="false" customHeight="false" outlineLevel="0" collapsed="false">
      <c r="A259" s="0" t="n">
        <v>2015</v>
      </c>
      <c r="B259" s="0" t="s">
        <v>2276</v>
      </c>
      <c r="C259" s="0" t="s">
        <v>2277</v>
      </c>
      <c r="E259" s="0" t="n">
        <f aca="false">IF(J258=J259,E258+10,0)</f>
        <v>50</v>
      </c>
      <c r="F259" s="0" t="s">
        <v>2278</v>
      </c>
      <c r="G259" s="0" t="s">
        <v>2279</v>
      </c>
      <c r="H259" s="0" t="s">
        <v>2280</v>
      </c>
      <c r="I259" s="0" t="s">
        <v>2281</v>
      </c>
      <c r="J259" s="0" t="s">
        <v>2257</v>
      </c>
      <c r="K259" s="0" t="s">
        <v>971</v>
      </c>
      <c r="L259" s="0" t="s">
        <v>1128</v>
      </c>
      <c r="M259" s="0" t="s">
        <v>973</v>
      </c>
      <c r="N259" s="0" t="s">
        <v>974</v>
      </c>
      <c r="O259" s="0" t="s">
        <v>975</v>
      </c>
      <c r="P259" s="0" t="s">
        <v>976</v>
      </c>
      <c r="Q259" s="0" t="s">
        <v>974</v>
      </c>
      <c r="R259" s="0" t="s">
        <v>970</v>
      </c>
      <c r="S259" s="0" t="s">
        <v>974</v>
      </c>
    </row>
    <row r="260" customFormat="false" ht="13.8" hidden="false" customHeight="false" outlineLevel="0" collapsed="false">
      <c r="A260" s="0" t="n">
        <v>2016</v>
      </c>
      <c r="B260" s="0" t="s">
        <v>2282</v>
      </c>
      <c r="C260" s="0" t="s">
        <v>1314</v>
      </c>
      <c r="E260" s="0" t="n">
        <f aca="false">IF(J259=J260,E259+10,0)</f>
        <v>60</v>
      </c>
      <c r="F260" s="0" t="s">
        <v>2283</v>
      </c>
      <c r="G260" s="0" t="s">
        <v>2284</v>
      </c>
      <c r="H260" s="0" t="s">
        <v>2285</v>
      </c>
      <c r="I260" s="0" t="s">
        <v>1161</v>
      </c>
      <c r="J260" s="0" t="s">
        <v>2257</v>
      </c>
      <c r="K260" s="0" t="s">
        <v>971</v>
      </c>
      <c r="L260" s="0" t="s">
        <v>974</v>
      </c>
      <c r="M260" s="0" t="s">
        <v>973</v>
      </c>
      <c r="N260" s="0" t="s">
        <v>974</v>
      </c>
      <c r="O260" s="0" t="s">
        <v>975</v>
      </c>
      <c r="P260" s="0" t="s">
        <v>976</v>
      </c>
      <c r="Q260" s="0" t="s">
        <v>1214</v>
      </c>
      <c r="R260" s="0" t="s">
        <v>1046</v>
      </c>
      <c r="S260" s="0" t="s">
        <v>974</v>
      </c>
    </row>
    <row r="261" customFormat="false" ht="13.8" hidden="false" customHeight="false" outlineLevel="0" collapsed="false">
      <c r="A261" s="0" t="n">
        <v>2017</v>
      </c>
      <c r="B261" s="0" t="s">
        <v>2286</v>
      </c>
      <c r="C261" s="0" t="s">
        <v>1680</v>
      </c>
      <c r="E261" s="0" t="n">
        <f aca="false">IF(J260=J261,E260+10,0)</f>
        <v>70</v>
      </c>
      <c r="F261" s="0" t="s">
        <v>2287</v>
      </c>
      <c r="G261" s="0" t="s">
        <v>2288</v>
      </c>
      <c r="H261" s="0" t="s">
        <v>2289</v>
      </c>
      <c r="I261" s="0" t="s">
        <v>1175</v>
      </c>
      <c r="J261" s="0" t="s">
        <v>2257</v>
      </c>
      <c r="K261" s="0" t="s">
        <v>971</v>
      </c>
      <c r="L261" s="0" t="s">
        <v>974</v>
      </c>
      <c r="M261" s="0" t="s">
        <v>973</v>
      </c>
      <c r="N261" s="0" t="s">
        <v>974</v>
      </c>
      <c r="O261" s="0" t="s">
        <v>975</v>
      </c>
      <c r="P261" s="0" t="s">
        <v>976</v>
      </c>
      <c r="Q261" s="0" t="s">
        <v>1381</v>
      </c>
      <c r="R261" s="0" t="s">
        <v>1046</v>
      </c>
      <c r="S261" s="0" t="s">
        <v>974</v>
      </c>
    </row>
    <row r="262" customFormat="false" ht="13.8" hidden="false" customHeight="false" outlineLevel="0" collapsed="false">
      <c r="A262" s="0" t="n">
        <v>2018</v>
      </c>
      <c r="B262" s="0" t="s">
        <v>2290</v>
      </c>
      <c r="C262" s="0" t="s">
        <v>1935</v>
      </c>
      <c r="E262" s="0" t="n">
        <f aca="false">IF(J261=J262,E261+10,0)</f>
        <v>80</v>
      </c>
      <c r="F262" s="0" t="s">
        <v>2291</v>
      </c>
      <c r="G262" s="0" t="s">
        <v>2292</v>
      </c>
      <c r="H262" s="0" t="s">
        <v>2293</v>
      </c>
      <c r="I262" s="0" t="s">
        <v>1939</v>
      </c>
      <c r="J262" s="0" t="s">
        <v>2257</v>
      </c>
      <c r="K262" s="0" t="s">
        <v>2294</v>
      </c>
      <c r="L262" s="0" t="s">
        <v>1829</v>
      </c>
      <c r="M262" s="0" t="s">
        <v>973</v>
      </c>
      <c r="N262" s="0" t="s">
        <v>974</v>
      </c>
      <c r="O262" s="0" t="s">
        <v>975</v>
      </c>
      <c r="P262" s="0" t="s">
        <v>976</v>
      </c>
      <c r="Q262" s="0" t="s">
        <v>974</v>
      </c>
      <c r="R262" s="0" t="s">
        <v>970</v>
      </c>
      <c r="S262" s="0" t="s">
        <v>974</v>
      </c>
    </row>
    <row r="263" customFormat="false" ht="13.8" hidden="false" customHeight="false" outlineLevel="0" collapsed="false">
      <c r="A263" s="0" t="n">
        <v>2019</v>
      </c>
      <c r="B263" s="0" t="s">
        <v>2295</v>
      </c>
      <c r="C263" s="0" t="s">
        <v>1163</v>
      </c>
      <c r="E263" s="0" t="n">
        <f aca="false">IF(J262=J263,E262+10,0)</f>
        <v>90</v>
      </c>
      <c r="F263" s="0" t="s">
        <v>2296</v>
      </c>
      <c r="G263" s="0" t="s">
        <v>2297</v>
      </c>
      <c r="H263" s="0" t="s">
        <v>2298</v>
      </c>
      <c r="I263" s="0" t="s">
        <v>1167</v>
      </c>
      <c r="J263" s="0" t="s">
        <v>2257</v>
      </c>
      <c r="K263" s="0" t="s">
        <v>971</v>
      </c>
      <c r="L263" s="0" t="s">
        <v>974</v>
      </c>
      <c r="M263" s="0" t="s">
        <v>973</v>
      </c>
      <c r="N263" s="0" t="s">
        <v>974</v>
      </c>
      <c r="O263" s="0" t="s">
        <v>975</v>
      </c>
      <c r="P263" s="0" t="s">
        <v>976</v>
      </c>
      <c r="Q263" s="0" t="s">
        <v>1117</v>
      </c>
      <c r="R263" s="0" t="s">
        <v>970</v>
      </c>
      <c r="S263" s="0" t="s">
        <v>974</v>
      </c>
    </row>
    <row r="264" customFormat="false" ht="13.8" hidden="false" customHeight="false" outlineLevel="0" collapsed="false">
      <c r="A264" s="0" t="n">
        <v>2020</v>
      </c>
      <c r="B264" s="0" t="s">
        <v>2299</v>
      </c>
      <c r="C264" s="0" t="s">
        <v>1119</v>
      </c>
      <c r="E264" s="0" t="n">
        <f aca="false">IF(J263=J264,E263+10,0)</f>
        <v>100</v>
      </c>
      <c r="F264" s="0" t="s">
        <v>2300</v>
      </c>
      <c r="G264" s="0" t="s">
        <v>2301</v>
      </c>
      <c r="H264" s="0" t="s">
        <v>2302</v>
      </c>
      <c r="I264" s="0" t="s">
        <v>1123</v>
      </c>
      <c r="J264" s="0" t="s">
        <v>2257</v>
      </c>
      <c r="K264" s="0" t="s">
        <v>971</v>
      </c>
      <c r="L264" s="0" t="s">
        <v>974</v>
      </c>
      <c r="M264" s="0" t="s">
        <v>973</v>
      </c>
      <c r="N264" s="0" t="s">
        <v>974</v>
      </c>
      <c r="O264" s="0" t="s">
        <v>975</v>
      </c>
      <c r="P264" s="0" t="s">
        <v>976</v>
      </c>
      <c r="Q264" s="0" t="s">
        <v>970</v>
      </c>
      <c r="R264" s="0" t="s">
        <v>1046</v>
      </c>
      <c r="S264" s="0" t="s">
        <v>974</v>
      </c>
    </row>
    <row r="265" customFormat="false" ht="13.8" hidden="false" customHeight="false" outlineLevel="0" collapsed="false">
      <c r="A265" s="0" t="n">
        <v>2021</v>
      </c>
      <c r="B265" s="0" t="s">
        <v>2303</v>
      </c>
      <c r="C265" s="0" t="s">
        <v>1096</v>
      </c>
      <c r="E265" s="0" t="n">
        <f aca="false">IF(J264=J265,E264+10,0)</f>
        <v>110</v>
      </c>
      <c r="F265" s="0" t="s">
        <v>2304</v>
      </c>
      <c r="G265" s="0" t="s">
        <v>2305</v>
      </c>
      <c r="H265" s="0" t="s">
        <v>2306</v>
      </c>
      <c r="I265" s="0" t="s">
        <v>1100</v>
      </c>
      <c r="J265" s="0" t="s">
        <v>2257</v>
      </c>
      <c r="K265" s="0" t="s">
        <v>971</v>
      </c>
      <c r="L265" s="0" t="s">
        <v>974</v>
      </c>
      <c r="M265" s="0" t="s">
        <v>973</v>
      </c>
      <c r="N265" s="0" t="s">
        <v>974</v>
      </c>
      <c r="O265" s="0" t="s">
        <v>975</v>
      </c>
      <c r="P265" s="0" t="s">
        <v>976</v>
      </c>
      <c r="Q265" s="0" t="s">
        <v>973</v>
      </c>
      <c r="R265" s="0" t="s">
        <v>1046</v>
      </c>
      <c r="S265" s="0" t="s">
        <v>974</v>
      </c>
    </row>
    <row r="266" customFormat="false" ht="13.8" hidden="false" customHeight="false" outlineLevel="0" collapsed="false">
      <c r="A266" s="0" t="n">
        <v>2022</v>
      </c>
      <c r="B266" s="0" t="s">
        <v>2307</v>
      </c>
      <c r="C266" s="0" t="s">
        <v>991</v>
      </c>
      <c r="E266" s="0" t="n">
        <f aca="false">IF(J265=J266,E265+10,0)</f>
        <v>0</v>
      </c>
      <c r="F266" s="0" t="s">
        <v>2308</v>
      </c>
      <c r="G266" s="0" t="s">
        <v>2309</v>
      </c>
      <c r="H266" s="0" t="s">
        <v>2310</v>
      </c>
      <c r="I266" s="0" t="s">
        <v>995</v>
      </c>
      <c r="J266" s="0" t="s">
        <v>1082</v>
      </c>
      <c r="K266" s="0" t="s">
        <v>2311</v>
      </c>
      <c r="L266" s="0" t="s">
        <v>1186</v>
      </c>
      <c r="M266" s="0" t="s">
        <v>973</v>
      </c>
      <c r="N266" s="0" t="s">
        <v>974</v>
      </c>
      <c r="O266" s="0" t="s">
        <v>975</v>
      </c>
      <c r="P266" s="0" t="s">
        <v>976</v>
      </c>
      <c r="Q266" s="0" t="s">
        <v>974</v>
      </c>
      <c r="R266" s="0" t="s">
        <v>970</v>
      </c>
      <c r="S266" s="0" t="s">
        <v>974</v>
      </c>
    </row>
    <row r="267" customFormat="false" ht="13.8" hidden="false" customHeight="false" outlineLevel="0" collapsed="false">
      <c r="A267" s="0" t="n">
        <v>2023</v>
      </c>
      <c r="B267" s="0" t="s">
        <v>2312</v>
      </c>
      <c r="C267" s="0" t="s">
        <v>1517</v>
      </c>
      <c r="E267" s="0" t="n">
        <f aca="false">IF(J266=J267,E266+10,0)</f>
        <v>10</v>
      </c>
      <c r="F267" s="0" t="s">
        <v>2313</v>
      </c>
      <c r="G267" s="0" t="s">
        <v>2314</v>
      </c>
      <c r="H267" s="0" t="s">
        <v>2315</v>
      </c>
      <c r="I267" s="0" t="s">
        <v>1106</v>
      </c>
      <c r="J267" s="0" t="s">
        <v>1082</v>
      </c>
      <c r="K267" s="0" t="s">
        <v>971</v>
      </c>
      <c r="L267" s="0" t="s">
        <v>974</v>
      </c>
      <c r="M267" s="0" t="s">
        <v>973</v>
      </c>
      <c r="N267" s="0" t="s">
        <v>974</v>
      </c>
      <c r="O267" s="0" t="s">
        <v>975</v>
      </c>
      <c r="P267" s="0" t="s">
        <v>976</v>
      </c>
      <c r="Q267" s="0" t="s">
        <v>1214</v>
      </c>
      <c r="R267" s="0" t="s">
        <v>970</v>
      </c>
      <c r="S267" s="0" t="s">
        <v>974</v>
      </c>
    </row>
    <row r="268" customFormat="false" ht="13.8" hidden="false" customHeight="false" outlineLevel="0" collapsed="false">
      <c r="A268" s="0" t="n">
        <v>2024</v>
      </c>
      <c r="B268" s="0" t="s">
        <v>2316</v>
      </c>
      <c r="C268" s="0" t="s">
        <v>1010</v>
      </c>
      <c r="E268" s="0" t="n">
        <f aca="false">IF(J267=J268,E267+10,0)</f>
        <v>20</v>
      </c>
      <c r="F268" s="0" t="s">
        <v>2317</v>
      </c>
      <c r="G268" s="0" t="s">
        <v>2318</v>
      </c>
      <c r="H268" s="0" t="s">
        <v>2319</v>
      </c>
      <c r="I268" s="0" t="s">
        <v>1014</v>
      </c>
      <c r="J268" s="0" t="s">
        <v>1082</v>
      </c>
      <c r="K268" s="0" t="s">
        <v>971</v>
      </c>
      <c r="L268" s="0" t="s">
        <v>974</v>
      </c>
      <c r="M268" s="0" t="s">
        <v>973</v>
      </c>
      <c r="N268" s="0" t="s">
        <v>974</v>
      </c>
      <c r="O268" s="0" t="s">
        <v>975</v>
      </c>
      <c r="P268" s="0" t="s">
        <v>976</v>
      </c>
      <c r="Q268" s="0" t="s">
        <v>970</v>
      </c>
      <c r="R268" s="0" t="s">
        <v>1046</v>
      </c>
      <c r="S268" s="0" t="s">
        <v>974</v>
      </c>
    </row>
    <row r="269" customFormat="false" ht="13.8" hidden="false" customHeight="false" outlineLevel="0" collapsed="false">
      <c r="A269" s="0" t="n">
        <v>2025</v>
      </c>
      <c r="B269" s="0" t="s">
        <v>2320</v>
      </c>
      <c r="C269" s="0" t="s">
        <v>1583</v>
      </c>
      <c r="E269" s="0" t="n">
        <f aca="false">IF(J268=J269,E268+10,0)</f>
        <v>30</v>
      </c>
      <c r="F269" s="0" t="s">
        <v>2321</v>
      </c>
      <c r="G269" s="0" t="s">
        <v>2322</v>
      </c>
      <c r="H269" s="0" t="s">
        <v>2323</v>
      </c>
      <c r="I269" s="0" t="s">
        <v>1587</v>
      </c>
      <c r="J269" s="0" t="s">
        <v>1082</v>
      </c>
      <c r="K269" s="0" t="s">
        <v>971</v>
      </c>
      <c r="L269" s="0" t="s">
        <v>974</v>
      </c>
      <c r="M269" s="0" t="s">
        <v>973</v>
      </c>
      <c r="N269" s="0" t="s">
        <v>974</v>
      </c>
      <c r="O269" s="0" t="s">
        <v>975</v>
      </c>
      <c r="P269" s="0" t="s">
        <v>976</v>
      </c>
      <c r="Q269" s="0" t="s">
        <v>1812</v>
      </c>
      <c r="R269" s="0" t="s">
        <v>1046</v>
      </c>
      <c r="S269" s="0" t="s">
        <v>974</v>
      </c>
    </row>
    <row r="270" customFormat="false" ht="13.8" hidden="false" customHeight="false" outlineLevel="0" collapsed="false">
      <c r="A270" s="0" t="n">
        <v>2026</v>
      </c>
      <c r="B270" s="0" t="s">
        <v>2324</v>
      </c>
      <c r="C270" s="0" t="s">
        <v>1970</v>
      </c>
      <c r="E270" s="0" t="n">
        <f aca="false">IF(J269=J270,E269+10,0)</f>
        <v>40</v>
      </c>
      <c r="F270" s="0" t="s">
        <v>2325</v>
      </c>
      <c r="G270" s="0" t="s">
        <v>2326</v>
      </c>
      <c r="H270" s="0" t="s">
        <v>2327</v>
      </c>
      <c r="I270" s="0" t="s">
        <v>1021</v>
      </c>
      <c r="J270" s="0" t="s">
        <v>1082</v>
      </c>
      <c r="K270" s="0" t="s">
        <v>1434</v>
      </c>
      <c r="L270" s="0" t="s">
        <v>974</v>
      </c>
      <c r="M270" s="0" t="s">
        <v>973</v>
      </c>
      <c r="N270" s="0" t="s">
        <v>974</v>
      </c>
      <c r="O270" s="0" t="s">
        <v>975</v>
      </c>
      <c r="P270" s="0" t="s">
        <v>976</v>
      </c>
      <c r="Q270" s="0" t="s">
        <v>973</v>
      </c>
      <c r="R270" s="0" t="s">
        <v>1046</v>
      </c>
      <c r="S270" s="0" t="s">
        <v>974</v>
      </c>
    </row>
    <row r="271" customFormat="false" ht="13.8" hidden="false" customHeight="false" outlineLevel="0" collapsed="false">
      <c r="A271" s="0" t="n">
        <v>2027</v>
      </c>
      <c r="B271" s="0" t="s">
        <v>2328</v>
      </c>
      <c r="C271" s="0" t="s">
        <v>1526</v>
      </c>
      <c r="E271" s="0" t="n">
        <f aca="false">IF(J270=J271,E270+10,0)</f>
        <v>50</v>
      </c>
      <c r="F271" s="0" t="s">
        <v>2329</v>
      </c>
      <c r="G271" s="0" t="s">
        <v>2330</v>
      </c>
      <c r="H271" s="0" t="s">
        <v>2331</v>
      </c>
      <c r="I271" s="0" t="s">
        <v>1045</v>
      </c>
      <c r="J271" s="0" t="s">
        <v>1082</v>
      </c>
      <c r="K271" s="0" t="s">
        <v>971</v>
      </c>
      <c r="L271" s="0" t="s">
        <v>974</v>
      </c>
      <c r="M271" s="0" t="s">
        <v>973</v>
      </c>
      <c r="N271" s="0" t="s">
        <v>974</v>
      </c>
      <c r="O271" s="0" t="s">
        <v>975</v>
      </c>
      <c r="P271" s="0" t="s">
        <v>976</v>
      </c>
      <c r="Q271" s="0" t="s">
        <v>1968</v>
      </c>
      <c r="R271" s="0" t="s">
        <v>1046</v>
      </c>
      <c r="S271" s="0" t="s">
        <v>974</v>
      </c>
    </row>
    <row r="272" customFormat="false" ht="13.8" hidden="false" customHeight="false" outlineLevel="0" collapsed="false">
      <c r="A272" s="0" t="n">
        <v>2028</v>
      </c>
      <c r="B272" s="0" t="s">
        <v>2332</v>
      </c>
      <c r="C272" s="0" t="s">
        <v>1987</v>
      </c>
      <c r="E272" s="0" t="n">
        <f aca="false">IF(J271=J272,E271+10,0)</f>
        <v>60</v>
      </c>
      <c r="F272" s="0" t="s">
        <v>2333</v>
      </c>
      <c r="G272" s="0" t="s">
        <v>2334</v>
      </c>
      <c r="H272" s="0" t="s">
        <v>2335</v>
      </c>
      <c r="I272" s="0" t="s">
        <v>1027</v>
      </c>
      <c r="J272" s="0" t="s">
        <v>1082</v>
      </c>
      <c r="K272" s="0" t="s">
        <v>971</v>
      </c>
      <c r="L272" s="0" t="s">
        <v>974</v>
      </c>
      <c r="M272" s="0" t="s">
        <v>973</v>
      </c>
      <c r="N272" s="0" t="s">
        <v>974</v>
      </c>
      <c r="O272" s="0" t="s">
        <v>975</v>
      </c>
      <c r="P272" s="0" t="s">
        <v>976</v>
      </c>
      <c r="Q272" s="0" t="s">
        <v>1968</v>
      </c>
      <c r="R272" s="0" t="s">
        <v>1046</v>
      </c>
      <c r="S272" s="0" t="s">
        <v>974</v>
      </c>
    </row>
    <row r="273" customFormat="false" ht="13.8" hidden="false" customHeight="false" outlineLevel="0" collapsed="false">
      <c r="A273" s="0" t="n">
        <v>2029</v>
      </c>
      <c r="B273" s="0" t="s">
        <v>2336</v>
      </c>
      <c r="C273" s="0" t="s">
        <v>1096</v>
      </c>
      <c r="E273" s="0" t="n">
        <f aca="false">IF(J272=J273,E272+10,0)</f>
        <v>70</v>
      </c>
      <c r="F273" s="0" t="s">
        <v>2337</v>
      </c>
      <c r="G273" s="0" t="s">
        <v>2338</v>
      </c>
      <c r="H273" s="0" t="s">
        <v>2339</v>
      </c>
      <c r="I273" s="0" t="s">
        <v>1100</v>
      </c>
      <c r="J273" s="0" t="s">
        <v>1082</v>
      </c>
      <c r="K273" s="0" t="s">
        <v>971</v>
      </c>
      <c r="L273" s="0" t="s">
        <v>974</v>
      </c>
      <c r="M273" s="0" t="s">
        <v>973</v>
      </c>
      <c r="N273" s="0" t="s">
        <v>974</v>
      </c>
      <c r="O273" s="0" t="s">
        <v>975</v>
      </c>
      <c r="P273" s="0" t="s">
        <v>976</v>
      </c>
      <c r="Q273" s="0" t="s">
        <v>996</v>
      </c>
      <c r="R273" s="0" t="s">
        <v>1046</v>
      </c>
      <c r="S273" s="0" t="s">
        <v>974</v>
      </c>
    </row>
    <row r="274" customFormat="false" ht="13.8" hidden="false" customHeight="false" outlineLevel="0" collapsed="false">
      <c r="A274" s="0" t="n">
        <v>2030</v>
      </c>
      <c r="B274" s="0" t="s">
        <v>2340</v>
      </c>
      <c r="C274" s="0" t="s">
        <v>1636</v>
      </c>
      <c r="E274" s="0" t="n">
        <f aca="false">IF(J273=J274,E273+10,0)</f>
        <v>80</v>
      </c>
      <c r="F274" s="0" t="s">
        <v>2341</v>
      </c>
      <c r="G274" s="0" t="s">
        <v>2342</v>
      </c>
      <c r="H274" s="0" t="s">
        <v>2343</v>
      </c>
      <c r="I274" s="0" t="s">
        <v>1306</v>
      </c>
      <c r="J274" s="0" t="s">
        <v>1082</v>
      </c>
      <c r="K274" s="0" t="s">
        <v>971</v>
      </c>
      <c r="L274" s="0" t="s">
        <v>974</v>
      </c>
      <c r="M274" s="0" t="s">
        <v>973</v>
      </c>
      <c r="N274" s="0" t="s">
        <v>974</v>
      </c>
      <c r="O274" s="0" t="s">
        <v>975</v>
      </c>
      <c r="P274" s="0" t="s">
        <v>976</v>
      </c>
      <c r="Q274" s="0" t="s">
        <v>1128</v>
      </c>
      <c r="R274" s="0" t="s">
        <v>1046</v>
      </c>
      <c r="S274" s="0" t="s">
        <v>974</v>
      </c>
    </row>
    <row r="275" customFormat="false" ht="13.8" hidden="false" customHeight="false" outlineLevel="0" collapsed="false">
      <c r="A275" s="0" t="n">
        <v>2031</v>
      </c>
      <c r="B275" s="0" t="s">
        <v>2344</v>
      </c>
      <c r="C275" s="0" t="s">
        <v>1782</v>
      </c>
      <c r="E275" s="0" t="n">
        <f aca="false">IF(J274=J275,E274+10,0)</f>
        <v>90</v>
      </c>
      <c r="F275" s="0" t="s">
        <v>2345</v>
      </c>
      <c r="G275" s="0" t="s">
        <v>2346</v>
      </c>
      <c r="H275" s="0" t="s">
        <v>2347</v>
      </c>
      <c r="I275" s="0" t="s">
        <v>1014</v>
      </c>
      <c r="J275" s="0" t="s">
        <v>1082</v>
      </c>
      <c r="K275" s="0" t="s">
        <v>971</v>
      </c>
      <c r="L275" s="0" t="s">
        <v>974</v>
      </c>
      <c r="M275" s="0" t="s">
        <v>973</v>
      </c>
      <c r="N275" s="0" t="s">
        <v>974</v>
      </c>
      <c r="O275" s="0" t="s">
        <v>975</v>
      </c>
      <c r="P275" s="0" t="s">
        <v>976</v>
      </c>
      <c r="Q275" s="0" t="s">
        <v>1232</v>
      </c>
      <c r="R275" s="0" t="s">
        <v>1046</v>
      </c>
      <c r="S275" s="0" t="s">
        <v>974</v>
      </c>
    </row>
    <row r="276" customFormat="false" ht="13.8" hidden="false" customHeight="false" outlineLevel="0" collapsed="false">
      <c r="A276" s="0" t="n">
        <v>2032</v>
      </c>
      <c r="B276" s="0" t="s">
        <v>2348</v>
      </c>
      <c r="C276" s="0" t="s">
        <v>1553</v>
      </c>
      <c r="E276" s="0" t="n">
        <f aca="false">IF(J275=J276,E275+10,0)</f>
        <v>100</v>
      </c>
      <c r="F276" s="0" t="s">
        <v>2349</v>
      </c>
      <c r="G276" s="0" t="s">
        <v>2350</v>
      </c>
      <c r="H276" s="0" t="s">
        <v>2351</v>
      </c>
      <c r="I276" s="0" t="s">
        <v>1249</v>
      </c>
      <c r="J276" s="0" t="s">
        <v>1082</v>
      </c>
      <c r="K276" s="0" t="s">
        <v>971</v>
      </c>
      <c r="L276" s="0" t="s">
        <v>974</v>
      </c>
      <c r="M276" s="0" t="s">
        <v>973</v>
      </c>
      <c r="N276" s="0" t="s">
        <v>974</v>
      </c>
      <c r="O276" s="0" t="s">
        <v>975</v>
      </c>
      <c r="P276" s="0" t="s">
        <v>976</v>
      </c>
      <c r="Q276" s="0" t="s">
        <v>1214</v>
      </c>
      <c r="R276" s="0" t="s">
        <v>1046</v>
      </c>
      <c r="S276" s="0" t="s">
        <v>974</v>
      </c>
    </row>
    <row r="277" customFormat="false" ht="13.8" hidden="false" customHeight="false" outlineLevel="0" collapsed="false">
      <c r="A277" s="0" t="n">
        <v>2033</v>
      </c>
      <c r="B277" s="0" t="s">
        <v>2352</v>
      </c>
      <c r="C277" s="0" t="s">
        <v>1061</v>
      </c>
      <c r="E277" s="0" t="n">
        <f aca="false">IF(J276=J277,E276+10,0)</f>
        <v>110</v>
      </c>
      <c r="F277" s="0" t="s">
        <v>2353</v>
      </c>
      <c r="G277" s="0" t="s">
        <v>2354</v>
      </c>
      <c r="H277" s="0" t="s">
        <v>2355</v>
      </c>
      <c r="I277" s="0" t="s">
        <v>1065</v>
      </c>
      <c r="J277" s="0" t="s">
        <v>1082</v>
      </c>
      <c r="K277" s="0" t="s">
        <v>971</v>
      </c>
      <c r="L277" s="0" t="s">
        <v>974</v>
      </c>
      <c r="M277" s="0" t="s">
        <v>973</v>
      </c>
      <c r="N277" s="0" t="s">
        <v>974</v>
      </c>
      <c r="O277" s="0" t="s">
        <v>975</v>
      </c>
      <c r="P277" s="0" t="s">
        <v>976</v>
      </c>
      <c r="Q277" s="0" t="s">
        <v>973</v>
      </c>
      <c r="R277" s="0" t="s">
        <v>970</v>
      </c>
      <c r="S277" s="0" t="s">
        <v>974</v>
      </c>
    </row>
    <row r="278" customFormat="false" ht="13.8" hidden="false" customHeight="false" outlineLevel="0" collapsed="false">
      <c r="A278" s="0" t="n">
        <v>2034</v>
      </c>
      <c r="B278" s="0" t="s">
        <v>2356</v>
      </c>
      <c r="C278" s="0" t="s">
        <v>2357</v>
      </c>
      <c r="E278" s="0" t="n">
        <f aca="false">IF(J277=J278,E277+10,0)</f>
        <v>0</v>
      </c>
      <c r="F278" s="0" t="s">
        <v>2358</v>
      </c>
      <c r="G278" s="0" t="s">
        <v>2359</v>
      </c>
      <c r="H278" s="0" t="s">
        <v>2360</v>
      </c>
      <c r="I278" s="0" t="s">
        <v>2361</v>
      </c>
      <c r="J278" s="0" t="s">
        <v>1144</v>
      </c>
      <c r="K278" s="0" t="s">
        <v>2362</v>
      </c>
      <c r="L278" s="0" t="s">
        <v>1889</v>
      </c>
      <c r="M278" s="0" t="s">
        <v>973</v>
      </c>
      <c r="N278" s="0" t="s">
        <v>974</v>
      </c>
      <c r="O278" s="0" t="s">
        <v>975</v>
      </c>
      <c r="P278" s="0" t="s">
        <v>976</v>
      </c>
      <c r="Q278" s="0" t="s">
        <v>974</v>
      </c>
      <c r="R278" s="0" t="s">
        <v>970</v>
      </c>
      <c r="S278" s="0" t="s">
        <v>974</v>
      </c>
    </row>
    <row r="279" customFormat="false" ht="13.8" hidden="false" customHeight="false" outlineLevel="0" collapsed="false">
      <c r="A279" s="0" t="n">
        <v>2035</v>
      </c>
      <c r="B279" s="0" t="s">
        <v>2363</v>
      </c>
      <c r="C279" s="0" t="s">
        <v>2357</v>
      </c>
      <c r="E279" s="0" t="n">
        <f aca="false">IF(J278=J279,E278+10,0)</f>
        <v>10</v>
      </c>
      <c r="F279" s="0" t="s">
        <v>2364</v>
      </c>
      <c r="G279" s="0" t="s">
        <v>2365</v>
      </c>
      <c r="H279" s="0" t="s">
        <v>2366</v>
      </c>
      <c r="I279" s="0" t="s">
        <v>2361</v>
      </c>
      <c r="J279" s="0" t="s">
        <v>1144</v>
      </c>
      <c r="K279" s="0" t="s">
        <v>971</v>
      </c>
      <c r="L279" s="0" t="s">
        <v>974</v>
      </c>
      <c r="M279" s="0" t="s">
        <v>973</v>
      </c>
      <c r="N279" s="0" t="s">
        <v>974</v>
      </c>
      <c r="O279" s="0" t="s">
        <v>975</v>
      </c>
      <c r="P279" s="0" t="s">
        <v>976</v>
      </c>
      <c r="Q279" s="0" t="s">
        <v>1889</v>
      </c>
      <c r="R279" s="0" t="s">
        <v>970</v>
      </c>
      <c r="S279" s="0" t="s">
        <v>974</v>
      </c>
    </row>
    <row r="280" customFormat="false" ht="13.8" hidden="false" customHeight="false" outlineLevel="0" collapsed="false">
      <c r="A280" s="0" t="n">
        <v>2036</v>
      </c>
      <c r="B280" s="0" t="s">
        <v>2367</v>
      </c>
      <c r="C280" s="0" t="s">
        <v>1383</v>
      </c>
      <c r="E280" s="0" t="n">
        <f aca="false">IF(J279=J280,E279+10,0)</f>
        <v>20</v>
      </c>
      <c r="F280" s="0" t="s">
        <v>2368</v>
      </c>
      <c r="G280" s="0" t="s">
        <v>2369</v>
      </c>
      <c r="H280" s="0" t="s">
        <v>2370</v>
      </c>
      <c r="I280" s="0" t="s">
        <v>1213</v>
      </c>
      <c r="J280" s="0" t="s">
        <v>1144</v>
      </c>
      <c r="K280" s="0" t="s">
        <v>971</v>
      </c>
      <c r="L280" s="0" t="s">
        <v>974</v>
      </c>
      <c r="M280" s="0" t="s">
        <v>973</v>
      </c>
      <c r="N280" s="0" t="s">
        <v>974</v>
      </c>
      <c r="O280" s="0" t="s">
        <v>975</v>
      </c>
      <c r="P280" s="0" t="s">
        <v>976</v>
      </c>
      <c r="Q280" s="0" t="s">
        <v>1059</v>
      </c>
      <c r="R280" s="0" t="s">
        <v>970</v>
      </c>
      <c r="S280" s="0" t="s">
        <v>974</v>
      </c>
    </row>
    <row r="281" customFormat="false" ht="13.8" hidden="false" customHeight="false" outlineLevel="0" collapsed="false">
      <c r="A281" s="0" t="n">
        <v>2037</v>
      </c>
      <c r="B281" s="0" t="s">
        <v>2371</v>
      </c>
      <c r="C281" s="0" t="s">
        <v>2372</v>
      </c>
      <c r="E281" s="0" t="n">
        <f aca="false">IF(J280=J281,E280+10,0)</f>
        <v>30</v>
      </c>
      <c r="F281" s="0" t="s">
        <v>2373</v>
      </c>
      <c r="G281" s="0" t="s">
        <v>2374</v>
      </c>
      <c r="H281" s="0" t="s">
        <v>2375</v>
      </c>
      <c r="I281" s="0" t="s">
        <v>1088</v>
      </c>
      <c r="J281" s="0" t="s">
        <v>1144</v>
      </c>
      <c r="K281" s="0" t="s">
        <v>971</v>
      </c>
      <c r="L281" s="0" t="s">
        <v>974</v>
      </c>
      <c r="M281" s="0" t="s">
        <v>973</v>
      </c>
      <c r="N281" s="0" t="s">
        <v>974</v>
      </c>
      <c r="O281" s="0" t="s">
        <v>975</v>
      </c>
      <c r="P281" s="0" t="s">
        <v>976</v>
      </c>
      <c r="Q281" s="0" t="s">
        <v>1059</v>
      </c>
      <c r="R281" s="0" t="s">
        <v>1046</v>
      </c>
      <c r="S281" s="0" t="s">
        <v>974</v>
      </c>
    </row>
    <row r="282" customFormat="false" ht="13.8" hidden="false" customHeight="false" outlineLevel="0" collapsed="false">
      <c r="A282" s="0" t="n">
        <v>2038</v>
      </c>
      <c r="B282" s="0" t="s">
        <v>2376</v>
      </c>
      <c r="C282" s="0" t="s">
        <v>1583</v>
      </c>
      <c r="E282" s="0" t="n">
        <f aca="false">IF(J281=J282,E281+10,0)</f>
        <v>40</v>
      </c>
      <c r="F282" s="0" t="s">
        <v>2377</v>
      </c>
      <c r="G282" s="0" t="s">
        <v>2378</v>
      </c>
      <c r="H282" s="0" t="s">
        <v>2379</v>
      </c>
      <c r="I282" s="0" t="s">
        <v>1587</v>
      </c>
      <c r="J282" s="0" t="s">
        <v>1144</v>
      </c>
      <c r="K282" s="0" t="s">
        <v>971</v>
      </c>
      <c r="L282" s="0" t="s">
        <v>974</v>
      </c>
      <c r="M282" s="0" t="s">
        <v>973</v>
      </c>
      <c r="N282" s="0" t="s">
        <v>974</v>
      </c>
      <c r="O282" s="0" t="s">
        <v>975</v>
      </c>
      <c r="P282" s="0" t="s">
        <v>976</v>
      </c>
      <c r="Q282" s="0" t="s">
        <v>1812</v>
      </c>
      <c r="R282" s="0" t="s">
        <v>1046</v>
      </c>
      <c r="S282" s="0" t="s">
        <v>974</v>
      </c>
    </row>
    <row r="283" customFormat="false" ht="13.8" hidden="false" customHeight="false" outlineLevel="0" collapsed="false">
      <c r="A283" s="0" t="n">
        <v>2039</v>
      </c>
      <c r="B283" s="0" t="s">
        <v>2380</v>
      </c>
      <c r="C283" s="0" t="s">
        <v>1096</v>
      </c>
      <c r="E283" s="0" t="n">
        <f aca="false">IF(J282=J283,E282+10,0)</f>
        <v>50</v>
      </c>
      <c r="F283" s="0" t="s">
        <v>2381</v>
      </c>
      <c r="G283" s="0" t="s">
        <v>2382</v>
      </c>
      <c r="H283" s="0" t="s">
        <v>2383</v>
      </c>
      <c r="I283" s="0" t="s">
        <v>1100</v>
      </c>
      <c r="J283" s="0" t="s">
        <v>1144</v>
      </c>
      <c r="K283" s="0" t="s">
        <v>971</v>
      </c>
      <c r="L283" s="0" t="s">
        <v>974</v>
      </c>
      <c r="M283" s="0" t="s">
        <v>973</v>
      </c>
      <c r="N283" s="0" t="s">
        <v>974</v>
      </c>
      <c r="O283" s="0" t="s">
        <v>975</v>
      </c>
      <c r="P283" s="0" t="s">
        <v>976</v>
      </c>
      <c r="Q283" s="0" t="s">
        <v>1059</v>
      </c>
      <c r="R283" s="0" t="s">
        <v>1046</v>
      </c>
      <c r="S283" s="0" t="s">
        <v>974</v>
      </c>
    </row>
    <row r="284" customFormat="false" ht="13.8" hidden="false" customHeight="false" outlineLevel="0" collapsed="false">
      <c r="A284" s="0" t="n">
        <v>2040</v>
      </c>
      <c r="B284" s="0" t="s">
        <v>2384</v>
      </c>
      <c r="C284" s="0" t="s">
        <v>2010</v>
      </c>
      <c r="E284" s="0" t="n">
        <f aca="false">IF(J283=J284,E283+10,0)</f>
        <v>60</v>
      </c>
      <c r="F284" s="0" t="s">
        <v>2385</v>
      </c>
      <c r="G284" s="0" t="s">
        <v>2386</v>
      </c>
      <c r="H284" s="0" t="s">
        <v>2387</v>
      </c>
      <c r="I284" s="0" t="s">
        <v>1094</v>
      </c>
      <c r="J284" s="0" t="s">
        <v>1144</v>
      </c>
      <c r="K284" s="0" t="s">
        <v>971</v>
      </c>
      <c r="L284" s="0" t="s">
        <v>974</v>
      </c>
      <c r="M284" s="0" t="s">
        <v>973</v>
      </c>
      <c r="N284" s="0" t="s">
        <v>974</v>
      </c>
      <c r="O284" s="0" t="s">
        <v>975</v>
      </c>
      <c r="P284" s="0" t="s">
        <v>976</v>
      </c>
      <c r="Q284" s="0" t="s">
        <v>1968</v>
      </c>
      <c r="R284" s="0" t="s">
        <v>1046</v>
      </c>
      <c r="S284" s="0" t="s">
        <v>974</v>
      </c>
    </row>
    <row r="285" customFormat="false" ht="13.8" hidden="false" customHeight="false" outlineLevel="0" collapsed="false">
      <c r="A285" s="0" t="n">
        <v>2041</v>
      </c>
      <c r="B285" s="0" t="s">
        <v>2388</v>
      </c>
      <c r="C285" s="0" t="s">
        <v>2389</v>
      </c>
      <c r="E285" s="0" t="n">
        <f aca="false">IF(J284=J285,E284+10,0)</f>
        <v>70</v>
      </c>
      <c r="F285" s="0" t="s">
        <v>2390</v>
      </c>
      <c r="G285" s="0" t="s">
        <v>2391</v>
      </c>
      <c r="H285" s="0" t="s">
        <v>2392</v>
      </c>
      <c r="I285" s="0" t="s">
        <v>1231</v>
      </c>
      <c r="J285" s="0" t="s">
        <v>1144</v>
      </c>
      <c r="K285" s="0" t="s">
        <v>2393</v>
      </c>
      <c r="L285" s="0" t="s">
        <v>974</v>
      </c>
      <c r="M285" s="0" t="s">
        <v>973</v>
      </c>
      <c r="N285" s="0" t="s">
        <v>974</v>
      </c>
      <c r="O285" s="0" t="s">
        <v>975</v>
      </c>
      <c r="P285" s="0" t="s">
        <v>976</v>
      </c>
      <c r="Q285" s="0" t="s">
        <v>970</v>
      </c>
      <c r="R285" s="0" t="s">
        <v>970</v>
      </c>
      <c r="S285" s="0" t="s">
        <v>974</v>
      </c>
    </row>
    <row r="286" customFormat="false" ht="13.8" hidden="false" customHeight="false" outlineLevel="0" collapsed="false">
      <c r="A286" s="0" t="n">
        <v>2042</v>
      </c>
      <c r="B286" s="0" t="s">
        <v>2394</v>
      </c>
      <c r="C286" s="0" t="s">
        <v>2395</v>
      </c>
      <c r="E286" s="0" t="n">
        <f aca="false">IF(J285=J286,E285+10,0)</f>
        <v>0</v>
      </c>
      <c r="F286" s="0" t="s">
        <v>2396</v>
      </c>
      <c r="G286" s="0" t="s">
        <v>2397</v>
      </c>
      <c r="H286" s="0" t="s">
        <v>2398</v>
      </c>
      <c r="I286" s="0" t="s">
        <v>2399</v>
      </c>
      <c r="J286" s="0" t="s">
        <v>2361</v>
      </c>
      <c r="K286" s="0" t="s">
        <v>2400</v>
      </c>
      <c r="L286" s="0" t="s">
        <v>1117</v>
      </c>
      <c r="M286" s="0" t="s">
        <v>973</v>
      </c>
      <c r="N286" s="0" t="s">
        <v>974</v>
      </c>
      <c r="O286" s="0" t="s">
        <v>975</v>
      </c>
      <c r="P286" s="0" t="s">
        <v>976</v>
      </c>
      <c r="Q286" s="0" t="s">
        <v>974</v>
      </c>
      <c r="R286" s="0" t="s">
        <v>970</v>
      </c>
      <c r="S286" s="0" t="s">
        <v>974</v>
      </c>
    </row>
    <row r="287" customFormat="false" ht="13.8" hidden="false" customHeight="false" outlineLevel="0" collapsed="false">
      <c r="A287" s="0" t="n">
        <v>2043</v>
      </c>
      <c r="B287" s="0" t="s">
        <v>2401</v>
      </c>
      <c r="C287" s="0" t="s">
        <v>2395</v>
      </c>
      <c r="E287" s="0" t="n">
        <f aca="false">IF(J286=J287,E286+10,0)</f>
        <v>10</v>
      </c>
      <c r="F287" s="0" t="s">
        <v>2402</v>
      </c>
      <c r="G287" s="0" t="s">
        <v>2403</v>
      </c>
      <c r="H287" s="0" t="s">
        <v>2404</v>
      </c>
      <c r="I287" s="0" t="s">
        <v>2399</v>
      </c>
      <c r="J287" s="0" t="s">
        <v>2361</v>
      </c>
      <c r="K287" s="0" t="s">
        <v>971</v>
      </c>
      <c r="L287" s="0" t="s">
        <v>974</v>
      </c>
      <c r="M287" s="0" t="s">
        <v>973</v>
      </c>
      <c r="N287" s="0" t="s">
        <v>974</v>
      </c>
      <c r="O287" s="0" t="s">
        <v>975</v>
      </c>
      <c r="P287" s="0" t="s">
        <v>976</v>
      </c>
      <c r="Q287" s="0" t="s">
        <v>1117</v>
      </c>
      <c r="R287" s="0" t="s">
        <v>970</v>
      </c>
      <c r="S287" s="0" t="s">
        <v>974</v>
      </c>
    </row>
    <row r="288" customFormat="false" ht="13.8" hidden="false" customHeight="false" outlineLevel="0" collapsed="false">
      <c r="A288" s="0" t="n">
        <v>2044</v>
      </c>
      <c r="B288" s="0" t="s">
        <v>2405</v>
      </c>
      <c r="C288" s="0" t="s">
        <v>1517</v>
      </c>
      <c r="E288" s="0" t="n">
        <f aca="false">IF(J287=J288,E287+10,0)</f>
        <v>20</v>
      </c>
      <c r="F288" s="0" t="s">
        <v>2406</v>
      </c>
      <c r="G288" s="0" t="s">
        <v>2407</v>
      </c>
      <c r="H288" s="0" t="s">
        <v>2408</v>
      </c>
      <c r="I288" s="0" t="s">
        <v>1106</v>
      </c>
      <c r="J288" s="0" t="s">
        <v>2361</v>
      </c>
      <c r="K288" s="0" t="s">
        <v>971</v>
      </c>
      <c r="L288" s="0" t="s">
        <v>1214</v>
      </c>
      <c r="M288" s="0" t="s">
        <v>973</v>
      </c>
      <c r="N288" s="0" t="s">
        <v>974</v>
      </c>
      <c r="O288" s="0" t="s">
        <v>975</v>
      </c>
      <c r="P288" s="0" t="s">
        <v>976</v>
      </c>
      <c r="Q288" s="0" t="s">
        <v>974</v>
      </c>
      <c r="R288" s="0" t="s">
        <v>970</v>
      </c>
      <c r="S288" s="0" t="s">
        <v>974</v>
      </c>
    </row>
    <row r="289" customFormat="false" ht="13.8" hidden="false" customHeight="false" outlineLevel="0" collapsed="false">
      <c r="A289" s="0" t="n">
        <v>2045</v>
      </c>
      <c r="B289" s="0" t="s">
        <v>2409</v>
      </c>
      <c r="C289" s="0" t="s">
        <v>1010</v>
      </c>
      <c r="E289" s="0" t="n">
        <f aca="false">IF(J288=J289,E288+10,0)</f>
        <v>30</v>
      </c>
      <c r="F289" s="0" t="s">
        <v>2410</v>
      </c>
      <c r="G289" s="0" t="s">
        <v>2411</v>
      </c>
      <c r="H289" s="0" t="s">
        <v>2412</v>
      </c>
      <c r="I289" s="0" t="s">
        <v>1014</v>
      </c>
      <c r="J289" s="0" t="s">
        <v>2361</v>
      </c>
      <c r="K289" s="0" t="s">
        <v>971</v>
      </c>
      <c r="L289" s="0" t="s">
        <v>974</v>
      </c>
      <c r="M289" s="0" t="s">
        <v>973</v>
      </c>
      <c r="N289" s="0" t="s">
        <v>974</v>
      </c>
      <c r="O289" s="0" t="s">
        <v>975</v>
      </c>
      <c r="P289" s="0" t="s">
        <v>976</v>
      </c>
      <c r="Q289" s="0" t="s">
        <v>1968</v>
      </c>
      <c r="R289" s="0" t="s">
        <v>1046</v>
      </c>
      <c r="S289" s="0" t="s">
        <v>974</v>
      </c>
    </row>
    <row r="290" customFormat="false" ht="13.8" hidden="false" customHeight="false" outlineLevel="0" collapsed="false">
      <c r="A290" s="0" t="n">
        <v>2046</v>
      </c>
      <c r="B290" s="0" t="s">
        <v>2413</v>
      </c>
      <c r="C290" s="0" t="s">
        <v>1970</v>
      </c>
      <c r="E290" s="0" t="n">
        <f aca="false">IF(J289=J290,E289+10,0)</f>
        <v>40</v>
      </c>
      <c r="F290" s="0" t="s">
        <v>2414</v>
      </c>
      <c r="G290" s="0" t="s">
        <v>2415</v>
      </c>
      <c r="H290" s="0" t="s">
        <v>2416</v>
      </c>
      <c r="I290" s="0" t="s">
        <v>1021</v>
      </c>
      <c r="J290" s="0" t="s">
        <v>2361</v>
      </c>
      <c r="K290" s="0" t="s">
        <v>1434</v>
      </c>
      <c r="L290" s="0" t="s">
        <v>974</v>
      </c>
      <c r="M290" s="0" t="s">
        <v>973</v>
      </c>
      <c r="N290" s="0" t="s">
        <v>974</v>
      </c>
      <c r="O290" s="0" t="s">
        <v>975</v>
      </c>
      <c r="P290" s="0" t="s">
        <v>976</v>
      </c>
      <c r="Q290" s="0" t="s">
        <v>970</v>
      </c>
      <c r="R290" s="0" t="s">
        <v>1046</v>
      </c>
      <c r="S290" s="0" t="s">
        <v>974</v>
      </c>
    </row>
    <row r="291" customFormat="false" ht="13.8" hidden="false" customHeight="false" outlineLevel="0" collapsed="false">
      <c r="A291" s="0" t="n">
        <v>2047</v>
      </c>
      <c r="B291" s="0" t="s">
        <v>2417</v>
      </c>
      <c r="C291" s="0" t="s">
        <v>1598</v>
      </c>
      <c r="E291" s="0" t="n">
        <f aca="false">IF(J290=J291,E290+10,0)</f>
        <v>50</v>
      </c>
      <c r="F291" s="0" t="s">
        <v>2418</v>
      </c>
      <c r="G291" s="0" t="s">
        <v>2419</v>
      </c>
      <c r="H291" s="0" t="s">
        <v>2420</v>
      </c>
      <c r="I291" s="0" t="s">
        <v>1180</v>
      </c>
      <c r="J291" s="0" t="s">
        <v>2361</v>
      </c>
      <c r="K291" s="0" t="s">
        <v>971</v>
      </c>
      <c r="L291" s="0" t="s">
        <v>974</v>
      </c>
      <c r="M291" s="0" t="s">
        <v>973</v>
      </c>
      <c r="N291" s="0" t="s">
        <v>974</v>
      </c>
      <c r="O291" s="0" t="s">
        <v>975</v>
      </c>
      <c r="P291" s="0" t="s">
        <v>976</v>
      </c>
      <c r="Q291" s="0" t="s">
        <v>1968</v>
      </c>
      <c r="R291" s="0" t="s">
        <v>1046</v>
      </c>
      <c r="S291" s="0" t="s">
        <v>974</v>
      </c>
    </row>
    <row r="292" customFormat="false" ht="13.8" hidden="false" customHeight="false" outlineLevel="0" collapsed="false">
      <c r="A292" s="0" t="n">
        <v>2048</v>
      </c>
      <c r="B292" s="0" t="s">
        <v>2421</v>
      </c>
      <c r="C292" s="0" t="s">
        <v>1636</v>
      </c>
      <c r="E292" s="0" t="n">
        <f aca="false">IF(J291=J292,E291+10,0)</f>
        <v>60</v>
      </c>
      <c r="F292" s="0" t="s">
        <v>2422</v>
      </c>
      <c r="G292" s="0" t="s">
        <v>2423</v>
      </c>
      <c r="H292" s="0" t="s">
        <v>2424</v>
      </c>
      <c r="I292" s="0" t="s">
        <v>1306</v>
      </c>
      <c r="J292" s="0" t="s">
        <v>2361</v>
      </c>
      <c r="K292" s="0" t="s">
        <v>971</v>
      </c>
      <c r="L292" s="0" t="s">
        <v>974</v>
      </c>
      <c r="M292" s="0" t="s">
        <v>973</v>
      </c>
      <c r="N292" s="0" t="s">
        <v>974</v>
      </c>
      <c r="O292" s="0" t="s">
        <v>975</v>
      </c>
      <c r="P292" s="0" t="s">
        <v>976</v>
      </c>
      <c r="Q292" s="0" t="s">
        <v>1128</v>
      </c>
      <c r="R292" s="0" t="s">
        <v>1046</v>
      </c>
      <c r="S292" s="0" t="s">
        <v>974</v>
      </c>
    </row>
    <row r="293" customFormat="false" ht="13.8" hidden="false" customHeight="false" outlineLevel="0" collapsed="false">
      <c r="A293" s="0" t="n">
        <v>2049</v>
      </c>
      <c r="B293" s="0" t="s">
        <v>2425</v>
      </c>
      <c r="C293" s="0" t="s">
        <v>1096</v>
      </c>
      <c r="E293" s="0" t="n">
        <f aca="false">IF(J292=J293,E292+10,0)</f>
        <v>70</v>
      </c>
      <c r="F293" s="0" t="s">
        <v>2426</v>
      </c>
      <c r="G293" s="0" t="s">
        <v>2427</v>
      </c>
      <c r="H293" s="0" t="s">
        <v>2428</v>
      </c>
      <c r="I293" s="0" t="s">
        <v>1100</v>
      </c>
      <c r="J293" s="0" t="s">
        <v>2361</v>
      </c>
      <c r="K293" s="0" t="s">
        <v>971</v>
      </c>
      <c r="L293" s="0" t="s">
        <v>974</v>
      </c>
      <c r="M293" s="0" t="s">
        <v>973</v>
      </c>
      <c r="N293" s="0" t="s">
        <v>974</v>
      </c>
      <c r="O293" s="0" t="s">
        <v>975</v>
      </c>
      <c r="P293" s="0" t="s">
        <v>976</v>
      </c>
      <c r="Q293" s="0" t="s">
        <v>1059</v>
      </c>
      <c r="R293" s="0" t="s">
        <v>1046</v>
      </c>
      <c r="S293" s="0" t="s">
        <v>974</v>
      </c>
    </row>
    <row r="294" customFormat="false" ht="13.8" hidden="false" customHeight="false" outlineLevel="0" collapsed="false">
      <c r="A294" s="0" t="n">
        <v>2050</v>
      </c>
      <c r="B294" s="0" t="s">
        <v>2429</v>
      </c>
      <c r="C294" s="0" t="s">
        <v>2430</v>
      </c>
      <c r="E294" s="0" t="n">
        <f aca="false">IF(J293=J294,E293+10,0)</f>
        <v>80</v>
      </c>
      <c r="F294" s="0" t="s">
        <v>2431</v>
      </c>
      <c r="G294" s="0" t="s">
        <v>2432</v>
      </c>
      <c r="H294" s="0" t="s">
        <v>2433</v>
      </c>
      <c r="I294" s="0" t="s">
        <v>1254</v>
      </c>
      <c r="J294" s="0" t="s">
        <v>2361</v>
      </c>
      <c r="K294" s="0" t="s">
        <v>971</v>
      </c>
      <c r="L294" s="0" t="s">
        <v>2434</v>
      </c>
      <c r="M294" s="0" t="s">
        <v>1459</v>
      </c>
      <c r="N294" s="0" t="s">
        <v>974</v>
      </c>
      <c r="O294" s="0" t="s">
        <v>975</v>
      </c>
      <c r="P294" s="0" t="s">
        <v>976</v>
      </c>
      <c r="Q294" s="0" t="s">
        <v>974</v>
      </c>
      <c r="R294" s="0" t="s">
        <v>970</v>
      </c>
      <c r="S294" s="0" t="s">
        <v>974</v>
      </c>
    </row>
    <row r="295" customFormat="false" ht="13.8" hidden="false" customHeight="false" outlineLevel="0" collapsed="false">
      <c r="A295" s="0" t="n">
        <v>2051</v>
      </c>
      <c r="B295" s="0" t="s">
        <v>2435</v>
      </c>
      <c r="C295" s="0" t="s">
        <v>2152</v>
      </c>
      <c r="E295" s="0" t="n">
        <f aca="false">IF(J294=J295,E294+10,0)</f>
        <v>90</v>
      </c>
      <c r="F295" s="0" t="s">
        <v>2436</v>
      </c>
      <c r="G295" s="0" t="s">
        <v>2437</v>
      </c>
      <c r="H295" s="0" t="s">
        <v>2438</v>
      </c>
      <c r="I295" s="0" t="s">
        <v>1117</v>
      </c>
      <c r="J295" s="0" t="s">
        <v>2361</v>
      </c>
      <c r="K295" s="0" t="s">
        <v>971</v>
      </c>
      <c r="L295" s="0" t="s">
        <v>974</v>
      </c>
      <c r="M295" s="0" t="s">
        <v>973</v>
      </c>
      <c r="N295" s="0" t="s">
        <v>974</v>
      </c>
      <c r="O295" s="0" t="s">
        <v>975</v>
      </c>
      <c r="P295" s="0" t="s">
        <v>976</v>
      </c>
      <c r="Q295" s="0" t="s">
        <v>1059</v>
      </c>
      <c r="R295" s="0" t="s">
        <v>1046</v>
      </c>
      <c r="S295" s="0" t="s">
        <v>974</v>
      </c>
    </row>
    <row r="296" customFormat="false" ht="13.8" hidden="false" customHeight="false" outlineLevel="0" collapsed="false">
      <c r="A296" s="0" t="n">
        <v>2052</v>
      </c>
      <c r="B296" s="0" t="s">
        <v>2439</v>
      </c>
      <c r="C296" s="0" t="s">
        <v>2440</v>
      </c>
      <c r="E296" s="0" t="n">
        <f aca="false">IF(J295=J296,E295+10,0)</f>
        <v>0</v>
      </c>
      <c r="F296" s="0" t="s">
        <v>2441</v>
      </c>
      <c r="G296" s="0" t="s">
        <v>2442</v>
      </c>
      <c r="H296" s="0" t="s">
        <v>2443</v>
      </c>
      <c r="I296" s="0" t="s">
        <v>2444</v>
      </c>
      <c r="J296" s="0" t="s">
        <v>1065</v>
      </c>
      <c r="K296" s="0" t="s">
        <v>2393</v>
      </c>
      <c r="L296" s="0" t="s">
        <v>974</v>
      </c>
      <c r="M296" s="0" t="s">
        <v>973</v>
      </c>
      <c r="N296" s="0" t="s">
        <v>2165</v>
      </c>
      <c r="O296" s="0" t="s">
        <v>995</v>
      </c>
      <c r="P296" s="0" t="s">
        <v>976</v>
      </c>
      <c r="Q296" s="0" t="s">
        <v>974</v>
      </c>
      <c r="R296" s="0" t="s">
        <v>970</v>
      </c>
      <c r="S296" s="0" t="s">
        <v>974</v>
      </c>
    </row>
    <row r="297" customFormat="false" ht="13.8" hidden="false" customHeight="false" outlineLevel="0" collapsed="false">
      <c r="A297" s="0" t="n">
        <v>2053</v>
      </c>
      <c r="B297" s="0" t="s">
        <v>2445</v>
      </c>
      <c r="C297" s="0" t="s">
        <v>2440</v>
      </c>
      <c r="E297" s="0" t="n">
        <f aca="false">IF(J296=J297,E296+10,0)</f>
        <v>10</v>
      </c>
      <c r="F297" s="0" t="s">
        <v>2446</v>
      </c>
      <c r="G297" s="0" t="s">
        <v>2447</v>
      </c>
      <c r="H297" s="0" t="s">
        <v>2448</v>
      </c>
      <c r="I297" s="0" t="s">
        <v>2444</v>
      </c>
      <c r="J297" s="0" t="s">
        <v>1065</v>
      </c>
      <c r="K297" s="0" t="s">
        <v>971</v>
      </c>
      <c r="L297" s="0" t="s">
        <v>974</v>
      </c>
      <c r="M297" s="0" t="s">
        <v>973</v>
      </c>
      <c r="N297" s="0" t="s">
        <v>974</v>
      </c>
      <c r="O297" s="0" t="s">
        <v>975</v>
      </c>
      <c r="P297" s="0" t="s">
        <v>976</v>
      </c>
      <c r="Q297" s="0" t="s">
        <v>2165</v>
      </c>
      <c r="R297" s="0" t="s">
        <v>970</v>
      </c>
      <c r="S297" s="0" t="s">
        <v>974</v>
      </c>
    </row>
    <row r="298" customFormat="false" ht="13.8" hidden="false" customHeight="false" outlineLevel="0" collapsed="false">
      <c r="A298" s="0" t="n">
        <v>2054</v>
      </c>
      <c r="B298" s="0" t="s">
        <v>2449</v>
      </c>
      <c r="C298" s="0" t="s">
        <v>1799</v>
      </c>
      <c r="E298" s="0" t="n">
        <f aca="false">IF(J297=J298,E297+10,0)</f>
        <v>20</v>
      </c>
      <c r="F298" s="0" t="s">
        <v>2450</v>
      </c>
      <c r="G298" s="0" t="s">
        <v>2451</v>
      </c>
      <c r="H298" s="0" t="s">
        <v>2452</v>
      </c>
      <c r="I298" s="0" t="s">
        <v>1803</v>
      </c>
      <c r="J298" s="0" t="s">
        <v>1065</v>
      </c>
      <c r="K298" s="0" t="s">
        <v>971</v>
      </c>
      <c r="L298" s="0" t="s">
        <v>974</v>
      </c>
      <c r="M298" s="0" t="s">
        <v>973</v>
      </c>
      <c r="N298" s="0" t="s">
        <v>974</v>
      </c>
      <c r="O298" s="0" t="s">
        <v>975</v>
      </c>
      <c r="P298" s="0" t="s">
        <v>976</v>
      </c>
      <c r="Q298" s="0" t="s">
        <v>996</v>
      </c>
      <c r="R298" s="0" t="s">
        <v>970</v>
      </c>
      <c r="S298" s="0" t="s">
        <v>974</v>
      </c>
    </row>
    <row r="299" customFormat="false" ht="13.8" hidden="false" customHeight="false" outlineLevel="0" collapsed="false">
      <c r="A299" s="0" t="n">
        <v>2055</v>
      </c>
      <c r="B299" s="0" t="s">
        <v>2453</v>
      </c>
      <c r="C299" s="0" t="s">
        <v>2454</v>
      </c>
      <c r="E299" s="0" t="n">
        <f aca="false">IF(J298=J299,E298+10,0)</f>
        <v>30</v>
      </c>
      <c r="F299" s="0" t="s">
        <v>2455</v>
      </c>
      <c r="G299" s="0" t="s">
        <v>2456</v>
      </c>
      <c r="H299" s="0" t="s">
        <v>2457</v>
      </c>
      <c r="I299" s="0" t="s">
        <v>2458</v>
      </c>
      <c r="J299" s="0" t="s">
        <v>1065</v>
      </c>
      <c r="K299" s="0" t="s">
        <v>971</v>
      </c>
      <c r="L299" s="0" t="s">
        <v>974</v>
      </c>
      <c r="M299" s="0" t="s">
        <v>973</v>
      </c>
      <c r="N299" s="0" t="s">
        <v>974</v>
      </c>
      <c r="O299" s="0" t="s">
        <v>975</v>
      </c>
      <c r="P299" s="0" t="s">
        <v>976</v>
      </c>
      <c r="Q299" s="0" t="s">
        <v>2156</v>
      </c>
      <c r="R299" s="0" t="s">
        <v>1046</v>
      </c>
      <c r="S299" s="0" t="s">
        <v>974</v>
      </c>
    </row>
    <row r="300" customFormat="false" ht="13.8" hidden="false" customHeight="false" outlineLevel="0" collapsed="false">
      <c r="A300" s="0" t="n">
        <v>2056</v>
      </c>
      <c r="B300" s="0" t="s">
        <v>2459</v>
      </c>
      <c r="C300" s="0" t="s">
        <v>1119</v>
      </c>
      <c r="E300" s="0" t="n">
        <f aca="false">IF(J299=J300,E299+10,0)</f>
        <v>40</v>
      </c>
      <c r="F300" s="0" t="s">
        <v>2460</v>
      </c>
      <c r="G300" s="0" t="s">
        <v>2461</v>
      </c>
      <c r="H300" s="0" t="s">
        <v>2462</v>
      </c>
      <c r="I300" s="0" t="s">
        <v>1123</v>
      </c>
      <c r="J300" s="0" t="s">
        <v>1065</v>
      </c>
      <c r="K300" s="0" t="s">
        <v>971</v>
      </c>
      <c r="L300" s="0" t="s">
        <v>974</v>
      </c>
      <c r="M300" s="0" t="s">
        <v>973</v>
      </c>
      <c r="N300" s="0" t="s">
        <v>974</v>
      </c>
      <c r="O300" s="0" t="s">
        <v>975</v>
      </c>
      <c r="P300" s="0" t="s">
        <v>976</v>
      </c>
      <c r="Q300" s="0" t="s">
        <v>970</v>
      </c>
      <c r="R300" s="0" t="s">
        <v>1046</v>
      </c>
      <c r="S300" s="0" t="s">
        <v>974</v>
      </c>
    </row>
    <row r="301" customFormat="false" ht="13.8" hidden="false" customHeight="false" outlineLevel="0" collapsed="false">
      <c r="A301" s="0" t="n">
        <v>2057</v>
      </c>
      <c r="B301" s="0" t="s">
        <v>2463</v>
      </c>
      <c r="C301" s="0" t="s">
        <v>1035</v>
      </c>
      <c r="E301" s="0" t="n">
        <f aca="false">IF(J300=J301,E300+10,0)</f>
        <v>50</v>
      </c>
      <c r="F301" s="0" t="s">
        <v>2464</v>
      </c>
      <c r="G301" s="0" t="s">
        <v>2465</v>
      </c>
      <c r="H301" s="0" t="s">
        <v>2466</v>
      </c>
      <c r="I301" s="0" t="s">
        <v>970</v>
      </c>
      <c r="J301" s="0" t="s">
        <v>1065</v>
      </c>
      <c r="K301" s="0" t="s">
        <v>971</v>
      </c>
      <c r="L301" s="0" t="s">
        <v>974</v>
      </c>
      <c r="M301" s="0" t="s">
        <v>973</v>
      </c>
      <c r="N301" s="0" t="s">
        <v>974</v>
      </c>
      <c r="O301" s="0" t="s">
        <v>975</v>
      </c>
      <c r="P301" s="0" t="s">
        <v>976</v>
      </c>
      <c r="Q301" s="0" t="s">
        <v>1059</v>
      </c>
      <c r="R301" s="0" t="s">
        <v>970</v>
      </c>
      <c r="S301" s="0" t="s">
        <v>974</v>
      </c>
    </row>
    <row r="302" customFormat="false" ht="13.8" hidden="false" customHeight="false" outlineLevel="0" collapsed="false">
      <c r="A302" s="0" t="n">
        <v>2058</v>
      </c>
      <c r="B302" s="0" t="s">
        <v>2467</v>
      </c>
      <c r="C302" s="0" t="s">
        <v>1970</v>
      </c>
      <c r="E302" s="0" t="n">
        <f aca="false">IF(J301=J302,E301+10,0)</f>
        <v>60</v>
      </c>
      <c r="F302" s="0" t="s">
        <v>2468</v>
      </c>
      <c r="G302" s="0" t="s">
        <v>2469</v>
      </c>
      <c r="H302" s="0" t="s">
        <v>2470</v>
      </c>
      <c r="I302" s="0" t="s">
        <v>1021</v>
      </c>
      <c r="J302" s="0" t="s">
        <v>1065</v>
      </c>
      <c r="K302" s="0" t="s">
        <v>1434</v>
      </c>
      <c r="L302" s="0" t="s">
        <v>974</v>
      </c>
      <c r="M302" s="0" t="s">
        <v>973</v>
      </c>
      <c r="N302" s="0" t="s">
        <v>974</v>
      </c>
      <c r="O302" s="0" t="s">
        <v>975</v>
      </c>
      <c r="P302" s="0" t="s">
        <v>976</v>
      </c>
      <c r="Q302" s="0" t="s">
        <v>973</v>
      </c>
      <c r="R302" s="0" t="s">
        <v>1046</v>
      </c>
      <c r="S302" s="0" t="s">
        <v>974</v>
      </c>
    </row>
    <row r="303" customFormat="false" ht="13.8" hidden="false" customHeight="false" outlineLevel="0" collapsed="false">
      <c r="A303" s="0" t="n">
        <v>2059</v>
      </c>
      <c r="B303" s="0" t="s">
        <v>2471</v>
      </c>
      <c r="C303" s="0" t="s">
        <v>1096</v>
      </c>
      <c r="E303" s="0" t="n">
        <f aca="false">IF(J302=J303,E302+10,0)</f>
        <v>70</v>
      </c>
      <c r="F303" s="0" t="s">
        <v>2472</v>
      </c>
      <c r="G303" s="0" t="s">
        <v>2473</v>
      </c>
      <c r="H303" s="0" t="s">
        <v>2474</v>
      </c>
      <c r="I303" s="0" t="s">
        <v>1100</v>
      </c>
      <c r="J303" s="0" t="s">
        <v>1065</v>
      </c>
      <c r="K303" s="0" t="s">
        <v>971</v>
      </c>
      <c r="L303" s="0" t="s">
        <v>974</v>
      </c>
      <c r="M303" s="0" t="s">
        <v>973</v>
      </c>
      <c r="N303" s="0" t="s">
        <v>974</v>
      </c>
      <c r="O303" s="0" t="s">
        <v>975</v>
      </c>
      <c r="P303" s="0" t="s">
        <v>976</v>
      </c>
      <c r="Q303" s="0" t="s">
        <v>2156</v>
      </c>
      <c r="R303" s="0" t="s">
        <v>1046</v>
      </c>
      <c r="S303" s="0" t="s">
        <v>974</v>
      </c>
    </row>
    <row r="304" customFormat="false" ht="13.8" hidden="false" customHeight="false" outlineLevel="0" collapsed="false">
      <c r="A304" s="0" t="n">
        <v>2060</v>
      </c>
      <c r="B304" s="0" t="s">
        <v>2475</v>
      </c>
      <c r="C304" s="0" t="s">
        <v>1598</v>
      </c>
      <c r="E304" s="0" t="n">
        <f aca="false">IF(J303=J304,E303+10,0)</f>
        <v>80</v>
      </c>
      <c r="F304" s="0" t="s">
        <v>2476</v>
      </c>
      <c r="G304" s="0" t="s">
        <v>2477</v>
      </c>
      <c r="H304" s="0" t="s">
        <v>2478</v>
      </c>
      <c r="I304" s="0" t="s">
        <v>1180</v>
      </c>
      <c r="J304" s="0" t="s">
        <v>1065</v>
      </c>
      <c r="K304" s="0" t="s">
        <v>971</v>
      </c>
      <c r="L304" s="0" t="s">
        <v>974</v>
      </c>
      <c r="M304" s="0" t="s">
        <v>973</v>
      </c>
      <c r="N304" s="0" t="s">
        <v>974</v>
      </c>
      <c r="O304" s="0" t="s">
        <v>975</v>
      </c>
      <c r="P304" s="0" t="s">
        <v>976</v>
      </c>
      <c r="Q304" s="0" t="s">
        <v>1059</v>
      </c>
      <c r="R304" s="0" t="s">
        <v>1046</v>
      </c>
      <c r="S304" s="0" t="s">
        <v>974</v>
      </c>
    </row>
    <row r="305" customFormat="false" ht="13.8" hidden="false" customHeight="false" outlineLevel="0" collapsed="false">
      <c r="A305" s="0" t="n">
        <v>2061</v>
      </c>
      <c r="B305" s="0" t="s">
        <v>2479</v>
      </c>
      <c r="C305" s="0" t="s">
        <v>2480</v>
      </c>
      <c r="E305" s="0" t="n">
        <f aca="false">IF(J304=J305,E304+10,0)</f>
        <v>90</v>
      </c>
      <c r="F305" s="0" t="s">
        <v>2481</v>
      </c>
      <c r="G305" s="0" t="s">
        <v>2482</v>
      </c>
      <c r="H305" s="0" t="s">
        <v>2483</v>
      </c>
      <c r="I305" s="0" t="s">
        <v>2484</v>
      </c>
      <c r="J305" s="0" t="s">
        <v>1065</v>
      </c>
      <c r="K305" s="0" t="s">
        <v>971</v>
      </c>
      <c r="L305" s="0" t="s">
        <v>974</v>
      </c>
      <c r="M305" s="0" t="s">
        <v>973</v>
      </c>
      <c r="N305" s="0" t="s">
        <v>974</v>
      </c>
      <c r="O305" s="0" t="s">
        <v>975</v>
      </c>
      <c r="P305" s="0" t="s">
        <v>976</v>
      </c>
      <c r="Q305" s="0" t="s">
        <v>1128</v>
      </c>
      <c r="R305" s="0" t="s">
        <v>970</v>
      </c>
      <c r="S305" s="0" t="s">
        <v>974</v>
      </c>
    </row>
    <row r="306" customFormat="false" ht="13.8" hidden="false" customHeight="false" outlineLevel="0" collapsed="false">
      <c r="A306" s="0" t="n">
        <v>2062</v>
      </c>
      <c r="B306" s="0" t="s">
        <v>2485</v>
      </c>
      <c r="C306" s="0" t="s">
        <v>965</v>
      </c>
      <c r="E306" s="0" t="n">
        <f aca="false">IF(J305=J306,E305+10,0)</f>
        <v>0</v>
      </c>
      <c r="F306" s="0" t="s">
        <v>2486</v>
      </c>
      <c r="G306" s="0" t="s">
        <v>2487</v>
      </c>
      <c r="H306" s="0" t="s">
        <v>2488</v>
      </c>
      <c r="I306" s="0" t="s">
        <v>969</v>
      </c>
      <c r="J306" s="0" t="s">
        <v>2489</v>
      </c>
      <c r="K306" s="0" t="s">
        <v>971</v>
      </c>
      <c r="L306" s="0" t="s">
        <v>982</v>
      </c>
      <c r="M306" s="0" t="s">
        <v>973</v>
      </c>
      <c r="N306" s="0" t="s">
        <v>974</v>
      </c>
      <c r="O306" s="0" t="s">
        <v>975</v>
      </c>
      <c r="P306" s="0" t="s">
        <v>976</v>
      </c>
      <c r="Q306" s="0" t="s">
        <v>974</v>
      </c>
      <c r="R306" s="0" t="s">
        <v>970</v>
      </c>
      <c r="S306" s="0" t="s">
        <v>974</v>
      </c>
    </row>
    <row r="307" customFormat="false" ht="13.8" hidden="false" customHeight="false" outlineLevel="0" collapsed="false">
      <c r="A307" s="0" t="n">
        <v>2063</v>
      </c>
      <c r="B307" s="0" t="s">
        <v>2490</v>
      </c>
      <c r="C307" s="0" t="s">
        <v>1113</v>
      </c>
      <c r="E307" s="0" t="n">
        <f aca="false">IF(J306=J307,E306+10,0)</f>
        <v>10</v>
      </c>
      <c r="F307" s="0" t="s">
        <v>2491</v>
      </c>
      <c r="G307" s="0" t="s">
        <v>2492</v>
      </c>
      <c r="H307" s="0" t="s">
        <v>2493</v>
      </c>
      <c r="I307" s="0" t="s">
        <v>1008</v>
      </c>
      <c r="J307" s="0" t="s">
        <v>2489</v>
      </c>
      <c r="K307" s="0" t="s">
        <v>971</v>
      </c>
      <c r="L307" s="0" t="s">
        <v>974</v>
      </c>
      <c r="M307" s="0" t="s">
        <v>973</v>
      </c>
      <c r="N307" s="0" t="s">
        <v>974</v>
      </c>
      <c r="O307" s="0" t="s">
        <v>975</v>
      </c>
      <c r="P307" s="0" t="s">
        <v>976</v>
      </c>
      <c r="Q307" s="0" t="s">
        <v>1117</v>
      </c>
      <c r="R307" s="0" t="s">
        <v>970</v>
      </c>
      <c r="S307" s="0" t="s">
        <v>974</v>
      </c>
    </row>
    <row r="308" customFormat="false" ht="13.8" hidden="false" customHeight="false" outlineLevel="0" collapsed="false">
      <c r="A308" s="0" t="n">
        <v>2064</v>
      </c>
      <c r="B308" s="0" t="s">
        <v>2494</v>
      </c>
      <c r="C308" s="0" t="s">
        <v>1119</v>
      </c>
      <c r="E308" s="0" t="n">
        <f aca="false">IF(J307=J308,E307+10,0)</f>
        <v>20</v>
      </c>
      <c r="F308" s="0" t="s">
        <v>2495</v>
      </c>
      <c r="G308" s="0" t="s">
        <v>2496</v>
      </c>
      <c r="H308" s="0" t="s">
        <v>2497</v>
      </c>
      <c r="I308" s="0" t="s">
        <v>1123</v>
      </c>
      <c r="J308" s="0" t="s">
        <v>2489</v>
      </c>
      <c r="K308" s="0" t="s">
        <v>971</v>
      </c>
      <c r="L308" s="0" t="s">
        <v>974</v>
      </c>
      <c r="M308" s="0" t="s">
        <v>973</v>
      </c>
      <c r="N308" s="0" t="s">
        <v>974</v>
      </c>
      <c r="O308" s="0" t="s">
        <v>975</v>
      </c>
      <c r="P308" s="0" t="s">
        <v>976</v>
      </c>
      <c r="Q308" s="0" t="s">
        <v>970</v>
      </c>
      <c r="R308" s="0" t="s">
        <v>970</v>
      </c>
      <c r="S308" s="0" t="s">
        <v>974</v>
      </c>
    </row>
    <row r="309" customFormat="false" ht="13.8" hidden="false" customHeight="false" outlineLevel="0" collapsed="false">
      <c r="A309" s="0" t="n">
        <v>2065</v>
      </c>
      <c r="B309" s="0" t="s">
        <v>2498</v>
      </c>
      <c r="C309" s="0" t="s">
        <v>1010</v>
      </c>
      <c r="E309" s="0" t="n">
        <f aca="false">IF(J308=J309,E308+10,0)</f>
        <v>30</v>
      </c>
      <c r="F309" s="0" t="s">
        <v>2499</v>
      </c>
      <c r="G309" s="0" t="s">
        <v>2500</v>
      </c>
      <c r="H309" s="0" t="s">
        <v>2501</v>
      </c>
      <c r="I309" s="0" t="s">
        <v>1014</v>
      </c>
      <c r="J309" s="0" t="s">
        <v>2489</v>
      </c>
      <c r="K309" s="0" t="s">
        <v>971</v>
      </c>
      <c r="L309" s="0" t="s">
        <v>974</v>
      </c>
      <c r="M309" s="0" t="s">
        <v>973</v>
      </c>
      <c r="N309" s="0" t="s">
        <v>974</v>
      </c>
      <c r="O309" s="0" t="s">
        <v>975</v>
      </c>
      <c r="P309" s="0" t="s">
        <v>976</v>
      </c>
      <c r="Q309" s="0" t="s">
        <v>1128</v>
      </c>
      <c r="R309" s="0" t="s">
        <v>970</v>
      </c>
      <c r="S309" s="0" t="s">
        <v>974</v>
      </c>
    </row>
    <row r="310" customFormat="false" ht="13.8" hidden="false" customHeight="false" outlineLevel="0" collapsed="false">
      <c r="A310" s="0" t="n">
        <v>2066</v>
      </c>
      <c r="B310" s="0" t="s">
        <v>2502</v>
      </c>
      <c r="C310" s="0" t="s">
        <v>1130</v>
      </c>
      <c r="E310" s="0" t="n">
        <f aca="false">IF(J309=J310,E309+10,0)</f>
        <v>40</v>
      </c>
      <c r="F310" s="0" t="s">
        <v>2503</v>
      </c>
      <c r="G310" s="0" t="s">
        <v>2504</v>
      </c>
      <c r="H310" s="0" t="s">
        <v>2505</v>
      </c>
      <c r="I310" s="0" t="s">
        <v>1033</v>
      </c>
      <c r="J310" s="0" t="s">
        <v>2489</v>
      </c>
      <c r="K310" s="0" t="s">
        <v>971</v>
      </c>
      <c r="L310" s="0" t="s">
        <v>974</v>
      </c>
      <c r="M310" s="0" t="s">
        <v>973</v>
      </c>
      <c r="N310" s="0" t="s">
        <v>974</v>
      </c>
      <c r="O310" s="0" t="s">
        <v>975</v>
      </c>
      <c r="P310" s="0" t="s">
        <v>976</v>
      </c>
      <c r="Q310" s="0" t="s">
        <v>973</v>
      </c>
      <c r="R310" s="0" t="s">
        <v>970</v>
      </c>
      <c r="S310" s="0" t="s">
        <v>974</v>
      </c>
    </row>
    <row r="311" customFormat="false" ht="13.8" hidden="false" customHeight="false" outlineLevel="0" collapsed="false">
      <c r="A311" s="0" t="n">
        <v>2067</v>
      </c>
      <c r="B311" s="0" t="s">
        <v>2506</v>
      </c>
      <c r="C311" s="0" t="s">
        <v>998</v>
      </c>
      <c r="E311" s="0" t="n">
        <f aca="false">IF(J310=J311,E310+10,0)</f>
        <v>50</v>
      </c>
      <c r="F311" s="0" t="s">
        <v>2507</v>
      </c>
      <c r="G311" s="0" t="s">
        <v>2508</v>
      </c>
      <c r="H311" s="0" t="s">
        <v>2509</v>
      </c>
      <c r="I311" s="0" t="s">
        <v>1002</v>
      </c>
      <c r="J311" s="0" t="s">
        <v>2489</v>
      </c>
      <c r="K311" s="0" t="s">
        <v>971</v>
      </c>
      <c r="L311" s="0" t="s">
        <v>1082</v>
      </c>
      <c r="M311" s="0" t="s">
        <v>973</v>
      </c>
      <c r="N311" s="0" t="s">
        <v>974</v>
      </c>
      <c r="O311" s="0" t="s">
        <v>975</v>
      </c>
      <c r="P311" s="0" t="s">
        <v>976</v>
      </c>
      <c r="Q311" s="0" t="s">
        <v>1046</v>
      </c>
      <c r="R311" s="0" t="s">
        <v>970</v>
      </c>
      <c r="S311" s="0" t="s">
        <v>974</v>
      </c>
    </row>
    <row r="312" customFormat="false" ht="13.8" hidden="false" customHeight="false" outlineLevel="0" collapsed="false">
      <c r="A312" s="0" t="n">
        <v>2068</v>
      </c>
      <c r="B312" s="0" t="s">
        <v>2510</v>
      </c>
      <c r="C312" s="0" t="s">
        <v>1139</v>
      </c>
      <c r="E312" s="0" t="n">
        <f aca="false">IF(J311=J312,E311+10,0)</f>
        <v>60</v>
      </c>
      <c r="F312" s="0" t="s">
        <v>2511</v>
      </c>
      <c r="G312" s="0" t="s">
        <v>2512</v>
      </c>
      <c r="H312" s="0" t="s">
        <v>2513</v>
      </c>
      <c r="I312" s="0" t="s">
        <v>1143</v>
      </c>
      <c r="J312" s="0" t="s">
        <v>2489</v>
      </c>
      <c r="K312" s="0" t="s">
        <v>971</v>
      </c>
      <c r="L312" s="0" t="s">
        <v>1144</v>
      </c>
      <c r="M312" s="0" t="s">
        <v>973</v>
      </c>
      <c r="N312" s="0" t="s">
        <v>974</v>
      </c>
      <c r="O312" s="0" t="s">
        <v>975</v>
      </c>
      <c r="P312" s="0" t="s">
        <v>976</v>
      </c>
      <c r="Q312" s="0" t="s">
        <v>982</v>
      </c>
      <c r="R312" s="0" t="s">
        <v>970</v>
      </c>
      <c r="S312" s="0" t="s">
        <v>974</v>
      </c>
    </row>
    <row r="313" customFormat="false" ht="13.8" hidden="false" customHeight="false" outlineLevel="0" collapsed="false">
      <c r="A313" s="0" t="n">
        <v>2069</v>
      </c>
      <c r="B313" s="0" t="s">
        <v>2514</v>
      </c>
      <c r="C313" s="0" t="s">
        <v>1146</v>
      </c>
      <c r="E313" s="0" t="n">
        <f aca="false">IF(J312=J313,E312+10,0)</f>
        <v>70</v>
      </c>
      <c r="F313" s="0" t="s">
        <v>2515</v>
      </c>
      <c r="G313" s="0" t="s">
        <v>2516</v>
      </c>
      <c r="H313" s="0" t="s">
        <v>2517</v>
      </c>
      <c r="I313" s="0" t="s">
        <v>1150</v>
      </c>
      <c r="J313" s="0" t="s">
        <v>2489</v>
      </c>
      <c r="K313" s="0" t="s">
        <v>971</v>
      </c>
      <c r="L313" s="0" t="s">
        <v>1151</v>
      </c>
      <c r="M313" s="0" t="s">
        <v>973</v>
      </c>
      <c r="N313" s="0" t="s">
        <v>974</v>
      </c>
      <c r="O313" s="0" t="s">
        <v>975</v>
      </c>
      <c r="P313" s="0" t="s">
        <v>976</v>
      </c>
      <c r="Q313" s="0" t="s">
        <v>1046</v>
      </c>
      <c r="R313" s="0" t="s">
        <v>970</v>
      </c>
      <c r="S313" s="0" t="s">
        <v>974</v>
      </c>
    </row>
    <row r="314" customFormat="false" ht="13.8" hidden="false" customHeight="false" outlineLevel="0" collapsed="false">
      <c r="A314" s="0" t="n">
        <v>2070</v>
      </c>
      <c r="B314" s="0" t="s">
        <v>2518</v>
      </c>
      <c r="C314" s="0" t="s">
        <v>1258</v>
      </c>
      <c r="E314" s="0" t="n">
        <f aca="false">IF(J313=J314,E313+10,0)</f>
        <v>80</v>
      </c>
      <c r="F314" s="0" t="s">
        <v>2519</v>
      </c>
      <c r="G314" s="0" t="s">
        <v>2520</v>
      </c>
      <c r="H314" s="0" t="s">
        <v>2521</v>
      </c>
      <c r="I314" s="0" t="s">
        <v>1262</v>
      </c>
      <c r="J314" s="0" t="s">
        <v>2489</v>
      </c>
      <c r="K314" s="0" t="s">
        <v>971</v>
      </c>
      <c r="L314" s="0" t="s">
        <v>1737</v>
      </c>
      <c r="M314" s="0" t="s">
        <v>973</v>
      </c>
      <c r="N314" s="0" t="s">
        <v>974</v>
      </c>
      <c r="O314" s="0" t="s">
        <v>975</v>
      </c>
      <c r="P314" s="0" t="s">
        <v>976</v>
      </c>
      <c r="Q314" s="0" t="s">
        <v>974</v>
      </c>
      <c r="R314" s="0" t="s">
        <v>970</v>
      </c>
      <c r="S314" s="0" t="s">
        <v>974</v>
      </c>
    </row>
    <row r="315" customFormat="false" ht="13.8" hidden="false" customHeight="false" outlineLevel="0" collapsed="false">
      <c r="A315" s="0" t="n">
        <v>2071</v>
      </c>
      <c r="B315" s="0" t="s">
        <v>2522</v>
      </c>
      <c r="C315" s="0" t="s">
        <v>1096</v>
      </c>
      <c r="E315" s="0" t="n">
        <f aca="false">IF(J314=J315,E314+10,0)</f>
        <v>90</v>
      </c>
      <c r="F315" s="0" t="s">
        <v>2523</v>
      </c>
      <c r="G315" s="0" t="s">
        <v>2524</v>
      </c>
      <c r="H315" s="0" t="s">
        <v>2525</v>
      </c>
      <c r="I315" s="0" t="s">
        <v>1100</v>
      </c>
      <c r="J315" s="0" t="s">
        <v>2489</v>
      </c>
      <c r="K315" s="0" t="s">
        <v>971</v>
      </c>
      <c r="L315" s="0" t="s">
        <v>974</v>
      </c>
      <c r="M315" s="0" t="s">
        <v>973</v>
      </c>
      <c r="N315" s="0" t="s">
        <v>974</v>
      </c>
      <c r="O315" s="0" t="s">
        <v>975</v>
      </c>
      <c r="P315" s="0" t="s">
        <v>976</v>
      </c>
      <c r="Q315" s="0" t="s">
        <v>1082</v>
      </c>
      <c r="R315" s="0" t="s">
        <v>1046</v>
      </c>
      <c r="S315" s="0" t="s">
        <v>974</v>
      </c>
    </row>
    <row r="316" customFormat="false" ht="13.8" hidden="false" customHeight="false" outlineLevel="0" collapsed="false">
      <c r="A316" s="0" t="n">
        <v>2072</v>
      </c>
      <c r="B316" s="0" t="s">
        <v>2526</v>
      </c>
      <c r="C316" s="0" t="s">
        <v>1157</v>
      </c>
      <c r="E316" s="0" t="n">
        <f aca="false">IF(J315=J316,E315+10,0)</f>
        <v>100</v>
      </c>
      <c r="F316" s="0" t="s">
        <v>2527</v>
      </c>
      <c r="G316" s="0" t="s">
        <v>2528</v>
      </c>
      <c r="H316" s="0" t="s">
        <v>2529</v>
      </c>
      <c r="I316" s="0" t="s">
        <v>1161</v>
      </c>
      <c r="J316" s="0" t="s">
        <v>2489</v>
      </c>
      <c r="K316" s="0" t="s">
        <v>971</v>
      </c>
      <c r="L316" s="0" t="s">
        <v>974</v>
      </c>
      <c r="M316" s="0" t="s">
        <v>973</v>
      </c>
      <c r="N316" s="0" t="s">
        <v>974</v>
      </c>
      <c r="O316" s="0" t="s">
        <v>975</v>
      </c>
      <c r="P316" s="0" t="s">
        <v>976</v>
      </c>
      <c r="Q316" s="0" t="s">
        <v>973</v>
      </c>
      <c r="R316" s="0" t="s">
        <v>1046</v>
      </c>
      <c r="S316" s="0" t="s">
        <v>974</v>
      </c>
    </row>
    <row r="317" customFormat="false" ht="13.8" hidden="false" customHeight="false" outlineLevel="0" collapsed="false">
      <c r="A317" s="0" t="n">
        <v>2073</v>
      </c>
      <c r="B317" s="0" t="s">
        <v>2530</v>
      </c>
      <c r="C317" s="0" t="s">
        <v>1163</v>
      </c>
      <c r="E317" s="0" t="n">
        <f aca="false">IF(J316=J317,E316+10,0)</f>
        <v>110</v>
      </c>
      <c r="F317" s="0" t="s">
        <v>2531</v>
      </c>
      <c r="G317" s="0" t="s">
        <v>2532</v>
      </c>
      <c r="H317" s="0" t="s">
        <v>2533</v>
      </c>
      <c r="I317" s="0" t="s">
        <v>1167</v>
      </c>
      <c r="J317" s="0" t="s">
        <v>2489</v>
      </c>
      <c r="K317" s="0" t="s">
        <v>971</v>
      </c>
      <c r="L317" s="0" t="s">
        <v>974</v>
      </c>
      <c r="M317" s="0" t="s">
        <v>973</v>
      </c>
      <c r="N317" s="0" t="s">
        <v>974</v>
      </c>
      <c r="O317" s="0" t="s">
        <v>975</v>
      </c>
      <c r="P317" s="0" t="s">
        <v>976</v>
      </c>
      <c r="Q317" s="0" t="s">
        <v>1169</v>
      </c>
      <c r="R317" s="0" t="s">
        <v>970</v>
      </c>
      <c r="S317" s="0" t="s">
        <v>974</v>
      </c>
    </row>
    <row r="318" customFormat="false" ht="13.8" hidden="false" customHeight="false" outlineLevel="0" collapsed="false">
      <c r="A318" s="0" t="n">
        <v>2074</v>
      </c>
      <c r="B318" s="0" t="s">
        <v>2534</v>
      </c>
      <c r="C318" s="0" t="s">
        <v>1171</v>
      </c>
      <c r="E318" s="0" t="n">
        <f aca="false">IF(J317=J318,E317+10,0)</f>
        <v>120</v>
      </c>
      <c r="F318" s="0" t="s">
        <v>2535</v>
      </c>
      <c r="G318" s="0" t="s">
        <v>2536</v>
      </c>
      <c r="H318" s="0" t="s">
        <v>2537</v>
      </c>
      <c r="I318" s="0" t="s">
        <v>1175</v>
      </c>
      <c r="J318" s="0" t="s">
        <v>2489</v>
      </c>
      <c r="K318" s="0" t="s">
        <v>971</v>
      </c>
      <c r="L318" s="0" t="s">
        <v>974</v>
      </c>
      <c r="M318" s="0" t="s">
        <v>973</v>
      </c>
      <c r="N318" s="0" t="s">
        <v>974</v>
      </c>
      <c r="O318" s="0" t="s">
        <v>975</v>
      </c>
      <c r="P318" s="0" t="s">
        <v>976</v>
      </c>
      <c r="Q318" s="0" t="s">
        <v>1082</v>
      </c>
      <c r="R318" s="0" t="s">
        <v>1046</v>
      </c>
      <c r="S318" s="0" t="s">
        <v>974</v>
      </c>
    </row>
    <row r="319" customFormat="false" ht="13.8" hidden="false" customHeight="false" outlineLevel="0" collapsed="false">
      <c r="A319" s="0" t="n">
        <v>2075</v>
      </c>
      <c r="B319" s="0" t="s">
        <v>2538</v>
      </c>
      <c r="C319" s="0" t="s">
        <v>2539</v>
      </c>
      <c r="E319" s="0" t="n">
        <f aca="false">IF(J318=J319,E318+10,0)</f>
        <v>0</v>
      </c>
      <c r="F319" s="0" t="s">
        <v>2540</v>
      </c>
      <c r="G319" s="0" t="s">
        <v>2541</v>
      </c>
      <c r="H319" s="0" t="s">
        <v>2542</v>
      </c>
      <c r="I319" s="0" t="s">
        <v>2543</v>
      </c>
      <c r="J319" s="0" t="s">
        <v>1213</v>
      </c>
      <c r="K319" s="0" t="s">
        <v>2544</v>
      </c>
      <c r="L319" s="0" t="s">
        <v>2545</v>
      </c>
      <c r="M319" s="0" t="s">
        <v>973</v>
      </c>
      <c r="N319" s="0" t="s">
        <v>974</v>
      </c>
      <c r="O319" s="0" t="s">
        <v>975</v>
      </c>
      <c r="P319" s="0" t="s">
        <v>976</v>
      </c>
      <c r="Q319" s="0" t="s">
        <v>974</v>
      </c>
      <c r="R319" s="0" t="s">
        <v>970</v>
      </c>
      <c r="S319" s="0" t="s">
        <v>974</v>
      </c>
    </row>
    <row r="320" customFormat="false" ht="13.8" hidden="false" customHeight="false" outlineLevel="0" collapsed="false">
      <c r="A320" s="0" t="n">
        <v>2076</v>
      </c>
      <c r="B320" s="0" t="s">
        <v>2546</v>
      </c>
      <c r="C320" s="0" t="s">
        <v>2547</v>
      </c>
      <c r="E320" s="0" t="n">
        <f aca="false">IF(J319=J320,E319+10,0)</f>
        <v>10</v>
      </c>
      <c r="F320" s="0" t="s">
        <v>2548</v>
      </c>
      <c r="G320" s="0" t="s">
        <v>2549</v>
      </c>
      <c r="H320" s="0" t="s">
        <v>2550</v>
      </c>
      <c r="I320" s="0" t="s">
        <v>2551</v>
      </c>
      <c r="J320" s="0" t="s">
        <v>1213</v>
      </c>
      <c r="K320" s="0" t="s">
        <v>2552</v>
      </c>
      <c r="L320" s="0" t="s">
        <v>1151</v>
      </c>
      <c r="M320" s="0" t="s">
        <v>973</v>
      </c>
      <c r="N320" s="0" t="s">
        <v>974</v>
      </c>
      <c r="O320" s="0" t="s">
        <v>975</v>
      </c>
      <c r="P320" s="0" t="s">
        <v>976</v>
      </c>
      <c r="Q320" s="0" t="s">
        <v>974</v>
      </c>
      <c r="R320" s="0" t="s">
        <v>970</v>
      </c>
      <c r="S320" s="0" t="s">
        <v>974</v>
      </c>
    </row>
    <row r="321" customFormat="false" ht="13.8" hidden="false" customHeight="false" outlineLevel="0" collapsed="false">
      <c r="A321" s="0" t="n">
        <v>2077</v>
      </c>
      <c r="B321" s="0" t="s">
        <v>2553</v>
      </c>
      <c r="C321" s="0" t="s">
        <v>2554</v>
      </c>
      <c r="E321" s="0" t="n">
        <f aca="false">IF(J320=J321,E320+10,0)</f>
        <v>20</v>
      </c>
      <c r="F321" s="0" t="s">
        <v>2555</v>
      </c>
      <c r="G321" s="0" t="s">
        <v>2556</v>
      </c>
      <c r="H321" s="0" t="s">
        <v>2557</v>
      </c>
      <c r="I321" s="0" t="s">
        <v>2558</v>
      </c>
      <c r="J321" s="0" t="s">
        <v>1213</v>
      </c>
      <c r="K321" s="0" t="s">
        <v>2552</v>
      </c>
      <c r="L321" s="0" t="s">
        <v>1151</v>
      </c>
      <c r="M321" s="0" t="s">
        <v>973</v>
      </c>
      <c r="N321" s="0" t="s">
        <v>974</v>
      </c>
      <c r="O321" s="0" t="s">
        <v>975</v>
      </c>
      <c r="P321" s="0" t="s">
        <v>976</v>
      </c>
      <c r="Q321" s="0" t="s">
        <v>974</v>
      </c>
      <c r="R321" s="0" t="s">
        <v>970</v>
      </c>
      <c r="S321" s="0" t="s">
        <v>974</v>
      </c>
    </row>
    <row r="322" customFormat="false" ht="13.8" hidden="false" customHeight="false" outlineLevel="0" collapsed="false">
      <c r="A322" s="0" t="n">
        <v>2078</v>
      </c>
      <c r="B322" s="0" t="s">
        <v>2559</v>
      </c>
      <c r="C322" s="0" t="s">
        <v>2560</v>
      </c>
      <c r="E322" s="0" t="n">
        <f aca="false">IF(J321=J322,E321+10,0)</f>
        <v>30</v>
      </c>
      <c r="F322" s="0" t="s">
        <v>2561</v>
      </c>
      <c r="G322" s="0" t="s">
        <v>2562</v>
      </c>
      <c r="H322" s="0" t="s">
        <v>2563</v>
      </c>
      <c r="I322" s="0" t="s">
        <v>1444</v>
      </c>
      <c r="J322" s="0" t="s">
        <v>1213</v>
      </c>
      <c r="K322" s="0" t="s">
        <v>971</v>
      </c>
      <c r="L322" s="0" t="s">
        <v>974</v>
      </c>
      <c r="M322" s="0" t="s">
        <v>973</v>
      </c>
      <c r="N322" s="0" t="s">
        <v>1459</v>
      </c>
      <c r="O322" s="0" t="s">
        <v>975</v>
      </c>
      <c r="P322" s="0" t="s">
        <v>976</v>
      </c>
      <c r="Q322" s="0" t="s">
        <v>974</v>
      </c>
      <c r="R322" s="0" t="s">
        <v>970</v>
      </c>
      <c r="S322" s="0" t="s">
        <v>974</v>
      </c>
    </row>
    <row r="323" customFormat="false" ht="13.8" hidden="false" customHeight="false" outlineLevel="0" collapsed="false">
      <c r="A323" s="0" t="n">
        <v>2079</v>
      </c>
      <c r="B323" s="0" t="s">
        <v>2564</v>
      </c>
      <c r="C323" s="0" t="s">
        <v>2565</v>
      </c>
      <c r="E323" s="0" t="n">
        <f aca="false">IF(J322=J323,E322+10,0)</f>
        <v>40</v>
      </c>
      <c r="F323" s="0" t="s">
        <v>2566</v>
      </c>
      <c r="G323" s="0" t="s">
        <v>2567</v>
      </c>
      <c r="H323" s="0" t="s">
        <v>2568</v>
      </c>
      <c r="I323" s="0" t="s">
        <v>2569</v>
      </c>
      <c r="J323" s="0" t="s">
        <v>1213</v>
      </c>
      <c r="K323" s="0" t="s">
        <v>971</v>
      </c>
      <c r="L323" s="0" t="s">
        <v>974</v>
      </c>
      <c r="M323" s="0" t="s">
        <v>973</v>
      </c>
      <c r="N323" s="0" t="s">
        <v>974</v>
      </c>
      <c r="O323" s="0" t="s">
        <v>975</v>
      </c>
      <c r="P323" s="0" t="s">
        <v>976</v>
      </c>
      <c r="Q323" s="0" t="s">
        <v>2570</v>
      </c>
      <c r="R323" s="0" t="s">
        <v>970</v>
      </c>
      <c r="S323" s="0" t="s">
        <v>974</v>
      </c>
    </row>
    <row r="324" customFormat="false" ht="13.8" hidden="false" customHeight="false" outlineLevel="0" collapsed="false">
      <c r="A324" s="0" t="n">
        <v>2080</v>
      </c>
      <c r="B324" s="0" t="s">
        <v>2571</v>
      </c>
      <c r="C324" s="0" t="s">
        <v>2572</v>
      </c>
      <c r="E324" s="0" t="n">
        <f aca="false">IF(J323=J324,E323+10,0)</f>
        <v>50</v>
      </c>
      <c r="F324" s="0" t="s">
        <v>2573</v>
      </c>
      <c r="G324" s="0" t="s">
        <v>2574</v>
      </c>
      <c r="H324" s="0" t="s">
        <v>2575</v>
      </c>
      <c r="I324" s="0" t="s">
        <v>1328</v>
      </c>
      <c r="J324" s="0" t="s">
        <v>1213</v>
      </c>
      <c r="K324" s="0" t="s">
        <v>971</v>
      </c>
      <c r="L324" s="0" t="s">
        <v>2576</v>
      </c>
      <c r="M324" s="0" t="s">
        <v>973</v>
      </c>
      <c r="N324" s="0" t="s">
        <v>974</v>
      </c>
      <c r="O324" s="0" t="s">
        <v>975</v>
      </c>
      <c r="P324" s="0" t="s">
        <v>976</v>
      </c>
      <c r="Q324" s="0" t="s">
        <v>974</v>
      </c>
      <c r="R324" s="0" t="s">
        <v>970</v>
      </c>
      <c r="S324" s="0" t="s">
        <v>974</v>
      </c>
    </row>
    <row r="325" customFormat="false" ht="13.8" hidden="false" customHeight="false" outlineLevel="0" collapsed="false">
      <c r="A325" s="0" t="n">
        <v>2081</v>
      </c>
      <c r="B325" s="0" t="s">
        <v>2577</v>
      </c>
      <c r="C325" s="0" t="s">
        <v>1547</v>
      </c>
      <c r="E325" s="0" t="n">
        <f aca="false">IF(J324=J325,E324+10,0)</f>
        <v>60</v>
      </c>
      <c r="F325" s="0" t="s">
        <v>2578</v>
      </c>
      <c r="G325" s="0" t="s">
        <v>2579</v>
      </c>
      <c r="H325" s="0" t="s">
        <v>2580</v>
      </c>
      <c r="I325" s="0" t="s">
        <v>1551</v>
      </c>
      <c r="J325" s="0" t="s">
        <v>1213</v>
      </c>
      <c r="K325" s="0" t="s">
        <v>971</v>
      </c>
      <c r="L325" s="0" t="s">
        <v>974</v>
      </c>
      <c r="M325" s="0" t="s">
        <v>973</v>
      </c>
      <c r="N325" s="0" t="s">
        <v>974</v>
      </c>
      <c r="O325" s="0" t="s">
        <v>975</v>
      </c>
      <c r="P325" s="0" t="s">
        <v>976</v>
      </c>
      <c r="Q325" s="0" t="s">
        <v>2581</v>
      </c>
      <c r="R325" s="0" t="s">
        <v>970</v>
      </c>
      <c r="S325" s="0" t="s">
        <v>974</v>
      </c>
    </row>
    <row r="326" customFormat="false" ht="13.8" hidden="false" customHeight="false" outlineLevel="0" collapsed="false">
      <c r="A326" s="0" t="n">
        <v>2082</v>
      </c>
      <c r="B326" s="0" t="s">
        <v>2582</v>
      </c>
      <c r="C326" s="0" t="s">
        <v>1583</v>
      </c>
      <c r="E326" s="0" t="n">
        <f aca="false">IF(J325=J326,E325+10,0)</f>
        <v>70</v>
      </c>
      <c r="F326" s="0" t="s">
        <v>2583</v>
      </c>
      <c r="G326" s="0" t="s">
        <v>2584</v>
      </c>
      <c r="H326" s="0" t="s">
        <v>2585</v>
      </c>
      <c r="I326" s="0" t="s">
        <v>1587</v>
      </c>
      <c r="J326" s="0" t="s">
        <v>1213</v>
      </c>
      <c r="K326" s="0" t="s">
        <v>971</v>
      </c>
      <c r="L326" s="0" t="s">
        <v>974</v>
      </c>
      <c r="M326" s="0" t="s">
        <v>973</v>
      </c>
      <c r="N326" s="0" t="s">
        <v>974</v>
      </c>
      <c r="O326" s="0" t="s">
        <v>975</v>
      </c>
      <c r="P326" s="0" t="s">
        <v>976</v>
      </c>
      <c r="Q326" s="0" t="s">
        <v>1322</v>
      </c>
      <c r="R326" s="0" t="s">
        <v>1046</v>
      </c>
      <c r="S326" s="0" t="s">
        <v>974</v>
      </c>
    </row>
    <row r="327" customFormat="false" ht="13.8" hidden="false" customHeight="false" outlineLevel="0" collapsed="false">
      <c r="A327" s="0" t="n">
        <v>2083</v>
      </c>
      <c r="B327" s="0" t="s">
        <v>2586</v>
      </c>
      <c r="C327" s="0" t="s">
        <v>1017</v>
      </c>
      <c r="E327" s="0" t="n">
        <f aca="false">IF(J326=J327,E326+10,0)</f>
        <v>80</v>
      </c>
      <c r="F327" s="0" t="s">
        <v>2587</v>
      </c>
      <c r="G327" s="0" t="s">
        <v>2588</v>
      </c>
      <c r="H327" s="0" t="s">
        <v>2589</v>
      </c>
      <c r="I327" s="0" t="s">
        <v>1021</v>
      </c>
      <c r="J327" s="0" t="s">
        <v>1213</v>
      </c>
      <c r="K327" s="0" t="s">
        <v>971</v>
      </c>
      <c r="L327" s="0" t="s">
        <v>974</v>
      </c>
      <c r="M327" s="0" t="s">
        <v>973</v>
      </c>
      <c r="N327" s="0" t="s">
        <v>974</v>
      </c>
      <c r="O327" s="0" t="s">
        <v>975</v>
      </c>
      <c r="P327" s="0" t="s">
        <v>976</v>
      </c>
      <c r="Q327" s="0" t="s">
        <v>2581</v>
      </c>
      <c r="R327" s="0" t="s">
        <v>1046</v>
      </c>
      <c r="S327" s="0" t="s">
        <v>974</v>
      </c>
    </row>
    <row r="328" customFormat="false" ht="13.8" hidden="false" customHeight="false" outlineLevel="0" collapsed="false">
      <c r="A328" s="0" t="n">
        <v>2084</v>
      </c>
      <c r="B328" s="0" t="s">
        <v>2590</v>
      </c>
      <c r="C328" s="0" t="s">
        <v>2591</v>
      </c>
      <c r="E328" s="0" t="n">
        <f aca="false">IF(J327=J328,E327+10,0)</f>
        <v>90</v>
      </c>
      <c r="F328" s="0" t="s">
        <v>2592</v>
      </c>
      <c r="G328" s="0" t="s">
        <v>2593</v>
      </c>
      <c r="H328" s="0" t="s">
        <v>2594</v>
      </c>
      <c r="I328" s="0" t="s">
        <v>1088</v>
      </c>
      <c r="J328" s="0" t="s">
        <v>1213</v>
      </c>
      <c r="K328" s="0" t="s">
        <v>971</v>
      </c>
      <c r="L328" s="0" t="s">
        <v>974</v>
      </c>
      <c r="M328" s="0" t="s">
        <v>973</v>
      </c>
      <c r="N328" s="0" t="s">
        <v>974</v>
      </c>
      <c r="O328" s="0" t="s">
        <v>975</v>
      </c>
      <c r="P328" s="0" t="s">
        <v>976</v>
      </c>
      <c r="Q328" s="0" t="s">
        <v>2146</v>
      </c>
      <c r="R328" s="0" t="s">
        <v>1046</v>
      </c>
      <c r="S328" s="0" t="s">
        <v>974</v>
      </c>
    </row>
    <row r="329" customFormat="false" ht="13.8" hidden="false" customHeight="false" outlineLevel="0" collapsed="false">
      <c r="A329" s="0" t="n">
        <v>2085</v>
      </c>
      <c r="B329" s="0" t="s">
        <v>2595</v>
      </c>
      <c r="C329" s="0" t="s">
        <v>2596</v>
      </c>
      <c r="E329" s="0" t="n">
        <f aca="false">IF(J328=J329,E328+10,0)</f>
        <v>100</v>
      </c>
      <c r="F329" s="0" t="s">
        <v>2597</v>
      </c>
      <c r="G329" s="0" t="s">
        <v>2598</v>
      </c>
      <c r="H329" s="0" t="s">
        <v>2599</v>
      </c>
      <c r="I329" s="0" t="s">
        <v>1238</v>
      </c>
      <c r="J329" s="0" t="s">
        <v>1213</v>
      </c>
      <c r="K329" s="0" t="s">
        <v>971</v>
      </c>
      <c r="L329" s="0" t="s">
        <v>974</v>
      </c>
      <c r="M329" s="0" t="s">
        <v>973</v>
      </c>
      <c r="N329" s="0" t="s">
        <v>974</v>
      </c>
      <c r="O329" s="0" t="s">
        <v>975</v>
      </c>
      <c r="P329" s="0" t="s">
        <v>976</v>
      </c>
      <c r="Q329" s="0" t="s">
        <v>2600</v>
      </c>
      <c r="R329" s="0" t="s">
        <v>1046</v>
      </c>
      <c r="S329" s="0" t="s">
        <v>974</v>
      </c>
    </row>
    <row r="330" customFormat="false" ht="13.8" hidden="false" customHeight="false" outlineLevel="0" collapsed="false">
      <c r="A330" s="0" t="n">
        <v>2086</v>
      </c>
      <c r="B330" s="0" t="s">
        <v>2601</v>
      </c>
      <c r="C330" s="0" t="s">
        <v>1234</v>
      </c>
      <c r="E330" s="0" t="n">
        <f aca="false">IF(J329=J330,E329+10,0)</f>
        <v>110</v>
      </c>
      <c r="F330" s="0" t="s">
        <v>2602</v>
      </c>
      <c r="G330" s="0" t="s">
        <v>2603</v>
      </c>
      <c r="H330" s="0" t="s">
        <v>2604</v>
      </c>
      <c r="I330" s="0" t="s">
        <v>1238</v>
      </c>
      <c r="J330" s="0" t="s">
        <v>1213</v>
      </c>
      <c r="K330" s="0" t="s">
        <v>971</v>
      </c>
      <c r="L330" s="0" t="s">
        <v>2000</v>
      </c>
      <c r="M330" s="0" t="s">
        <v>973</v>
      </c>
      <c r="N330" s="0" t="s">
        <v>974</v>
      </c>
      <c r="O330" s="0" t="s">
        <v>975</v>
      </c>
      <c r="P330" s="0" t="s">
        <v>976</v>
      </c>
      <c r="Q330" s="0" t="s">
        <v>974</v>
      </c>
      <c r="R330" s="0" t="s">
        <v>970</v>
      </c>
      <c r="S330" s="0" t="s">
        <v>974</v>
      </c>
    </row>
    <row r="331" customFormat="false" ht="13.8" hidden="false" customHeight="false" outlineLevel="0" collapsed="false">
      <c r="A331" s="0" t="n">
        <v>2087</v>
      </c>
      <c r="B331" s="0" t="s">
        <v>2605</v>
      </c>
      <c r="C331" s="0" t="s">
        <v>2389</v>
      </c>
      <c r="E331" s="0" t="n">
        <f aca="false">IF(J330=J331,E330+10,0)</f>
        <v>120</v>
      </c>
      <c r="F331" s="0" t="s">
        <v>2606</v>
      </c>
      <c r="G331" s="0" t="s">
        <v>2607</v>
      </c>
      <c r="H331" s="0" t="s">
        <v>2608</v>
      </c>
      <c r="I331" s="0" t="s">
        <v>1231</v>
      </c>
      <c r="J331" s="0" t="s">
        <v>1213</v>
      </c>
      <c r="K331" s="0" t="s">
        <v>971</v>
      </c>
      <c r="L331" s="0" t="s">
        <v>974</v>
      </c>
      <c r="M331" s="0" t="s">
        <v>973</v>
      </c>
      <c r="N331" s="0" t="s">
        <v>974</v>
      </c>
      <c r="O331" s="0" t="s">
        <v>975</v>
      </c>
      <c r="P331" s="0" t="s">
        <v>976</v>
      </c>
      <c r="Q331" s="0" t="s">
        <v>2609</v>
      </c>
      <c r="R331" s="0" t="s">
        <v>970</v>
      </c>
      <c r="S331" s="0" t="s">
        <v>974</v>
      </c>
    </row>
    <row r="332" customFormat="false" ht="13.8" hidden="false" customHeight="false" outlineLevel="0" collapsed="false">
      <c r="A332" s="0" t="n">
        <v>2088</v>
      </c>
      <c r="B332" s="0" t="s">
        <v>2610</v>
      </c>
      <c r="C332" s="0" t="s">
        <v>2611</v>
      </c>
      <c r="E332" s="0" t="n">
        <f aca="false">IF(J331=J332,E331+10,0)</f>
        <v>130</v>
      </c>
      <c r="F332" s="0" t="s">
        <v>2612</v>
      </c>
      <c r="G332" s="0" t="s">
        <v>2613</v>
      </c>
      <c r="H332" s="0" t="s">
        <v>2614</v>
      </c>
      <c r="I332" s="0" t="s">
        <v>2257</v>
      </c>
      <c r="J332" s="0" t="s">
        <v>1213</v>
      </c>
      <c r="K332" s="0" t="s">
        <v>971</v>
      </c>
      <c r="L332" s="0" t="s">
        <v>974</v>
      </c>
      <c r="M332" s="0" t="s">
        <v>973</v>
      </c>
      <c r="N332" s="0" t="s">
        <v>974</v>
      </c>
      <c r="O332" s="0" t="s">
        <v>975</v>
      </c>
      <c r="P332" s="0" t="s">
        <v>976</v>
      </c>
      <c r="Q332" s="0" t="s">
        <v>2146</v>
      </c>
      <c r="R332" s="0" t="s">
        <v>970</v>
      </c>
      <c r="S332" s="0" t="s">
        <v>974</v>
      </c>
    </row>
    <row r="333" customFormat="false" ht="13.8" hidden="false" customHeight="false" outlineLevel="0" collapsed="false">
      <c r="A333" s="0" t="n">
        <v>2089</v>
      </c>
      <c r="B333" s="0" t="s">
        <v>2615</v>
      </c>
      <c r="C333" s="0" t="s">
        <v>2616</v>
      </c>
      <c r="E333" s="0" t="n">
        <f aca="false">IF(J332=J333,E332+10,0)</f>
        <v>140</v>
      </c>
      <c r="F333" s="0" t="s">
        <v>2617</v>
      </c>
      <c r="G333" s="0" t="s">
        <v>2618</v>
      </c>
      <c r="H333" s="0" t="s">
        <v>2619</v>
      </c>
      <c r="I333" s="0" t="s">
        <v>2620</v>
      </c>
      <c r="J333" s="0" t="s">
        <v>1213</v>
      </c>
      <c r="K333" s="0" t="s">
        <v>971</v>
      </c>
      <c r="L333" s="0" t="s">
        <v>974</v>
      </c>
      <c r="M333" s="0" t="s">
        <v>973</v>
      </c>
      <c r="N333" s="0" t="s">
        <v>974</v>
      </c>
      <c r="O333" s="0" t="s">
        <v>975</v>
      </c>
      <c r="P333" s="0" t="s">
        <v>976</v>
      </c>
      <c r="Q333" s="0" t="s">
        <v>1307</v>
      </c>
      <c r="R333" s="0" t="s">
        <v>1046</v>
      </c>
      <c r="S333" s="0" t="s">
        <v>974</v>
      </c>
    </row>
    <row r="334" customFormat="false" ht="13.8" hidden="false" customHeight="false" outlineLevel="0" collapsed="false">
      <c r="A334" s="0" t="n">
        <v>2090</v>
      </c>
      <c r="B334" s="0" t="s">
        <v>2621</v>
      </c>
      <c r="C334" s="0" t="s">
        <v>1383</v>
      </c>
      <c r="E334" s="0" t="n">
        <f aca="false">IF(J333=J334,E333+10,0)</f>
        <v>150</v>
      </c>
      <c r="F334" s="0" t="s">
        <v>2622</v>
      </c>
      <c r="G334" s="0" t="s">
        <v>2623</v>
      </c>
      <c r="H334" s="0" t="s">
        <v>2624</v>
      </c>
      <c r="I334" s="0" t="s">
        <v>1213</v>
      </c>
      <c r="J334" s="0" t="s">
        <v>1213</v>
      </c>
      <c r="K334" s="0" t="s">
        <v>971</v>
      </c>
      <c r="L334" s="0" t="s">
        <v>974</v>
      </c>
      <c r="M334" s="0" t="s">
        <v>973</v>
      </c>
      <c r="N334" s="0" t="s">
        <v>974</v>
      </c>
      <c r="O334" s="0" t="s">
        <v>975</v>
      </c>
      <c r="P334" s="0" t="s">
        <v>976</v>
      </c>
      <c r="Q334" s="0" t="s">
        <v>2146</v>
      </c>
      <c r="R334" s="0" t="s">
        <v>970</v>
      </c>
      <c r="S334" s="0" t="s">
        <v>974</v>
      </c>
    </row>
    <row r="335" customFormat="false" ht="13.8" hidden="false" customHeight="false" outlineLevel="0" collapsed="false">
      <c r="A335" s="0" t="n">
        <v>2091</v>
      </c>
      <c r="B335" s="0" t="s">
        <v>2625</v>
      </c>
      <c r="C335" s="0" t="s">
        <v>1096</v>
      </c>
      <c r="E335" s="0" t="n">
        <f aca="false">IF(J334=J335,E334+10,0)</f>
        <v>160</v>
      </c>
      <c r="F335" s="0" t="s">
        <v>2626</v>
      </c>
      <c r="G335" s="0" t="s">
        <v>2627</v>
      </c>
      <c r="H335" s="0" t="s">
        <v>2628</v>
      </c>
      <c r="I335" s="0" t="s">
        <v>1100</v>
      </c>
      <c r="J335" s="0" t="s">
        <v>1213</v>
      </c>
      <c r="K335" s="0" t="s">
        <v>971</v>
      </c>
      <c r="L335" s="0" t="s">
        <v>974</v>
      </c>
      <c r="M335" s="0" t="s">
        <v>973</v>
      </c>
      <c r="N335" s="0" t="s">
        <v>974</v>
      </c>
      <c r="O335" s="0" t="s">
        <v>975</v>
      </c>
      <c r="P335" s="0" t="s">
        <v>976</v>
      </c>
      <c r="Q335" s="0" t="s">
        <v>2629</v>
      </c>
      <c r="R335" s="0" t="s">
        <v>1046</v>
      </c>
      <c r="S335" s="0" t="s">
        <v>974</v>
      </c>
    </row>
    <row r="336" customFormat="false" ht="13.8" hidden="false" customHeight="false" outlineLevel="0" collapsed="false">
      <c r="A336" s="0" t="n">
        <v>2092</v>
      </c>
      <c r="B336" s="0" t="s">
        <v>2630</v>
      </c>
      <c r="C336" s="0" t="s">
        <v>2631</v>
      </c>
      <c r="E336" s="0" t="n">
        <f aca="false">IF(J335=J336,E335+10,0)</f>
        <v>0</v>
      </c>
      <c r="F336" s="0" t="s">
        <v>2632</v>
      </c>
      <c r="G336" s="0" t="s">
        <v>2633</v>
      </c>
      <c r="H336" s="0" t="s">
        <v>2634</v>
      </c>
      <c r="I336" s="0" t="s">
        <v>2635</v>
      </c>
      <c r="J336" s="0" t="s">
        <v>1094</v>
      </c>
      <c r="K336" s="0" t="s">
        <v>2636</v>
      </c>
      <c r="L336" s="0" t="s">
        <v>1459</v>
      </c>
      <c r="M336" s="0" t="s">
        <v>973</v>
      </c>
      <c r="N336" s="0" t="s">
        <v>974</v>
      </c>
      <c r="O336" s="0" t="s">
        <v>975</v>
      </c>
      <c r="P336" s="0" t="s">
        <v>976</v>
      </c>
      <c r="Q336" s="0" t="s">
        <v>1265</v>
      </c>
      <c r="R336" s="0" t="s">
        <v>970</v>
      </c>
      <c r="S336" s="0" t="s">
        <v>974</v>
      </c>
    </row>
    <row r="337" customFormat="false" ht="13.8" hidden="false" customHeight="false" outlineLevel="0" collapsed="false">
      <c r="A337" s="0" t="n">
        <v>2093</v>
      </c>
      <c r="B337" s="0" t="s">
        <v>2637</v>
      </c>
      <c r="C337" s="0" t="s">
        <v>2638</v>
      </c>
      <c r="E337" s="0" t="n">
        <f aca="false">IF(J336=J337,E336+10,0)</f>
        <v>10</v>
      </c>
      <c r="F337" s="0" t="s">
        <v>2639</v>
      </c>
      <c r="G337" s="0" t="s">
        <v>2640</v>
      </c>
      <c r="H337" s="0" t="s">
        <v>2641</v>
      </c>
      <c r="I337" s="0" t="s">
        <v>1002</v>
      </c>
      <c r="J337" s="0" t="s">
        <v>1094</v>
      </c>
      <c r="K337" s="0" t="s">
        <v>971</v>
      </c>
      <c r="L337" s="0" t="s">
        <v>2642</v>
      </c>
      <c r="M337" s="0" t="s">
        <v>973</v>
      </c>
      <c r="N337" s="0" t="s">
        <v>974</v>
      </c>
      <c r="O337" s="0" t="s">
        <v>975</v>
      </c>
      <c r="P337" s="0" t="s">
        <v>976</v>
      </c>
      <c r="Q337" s="0" t="s">
        <v>2643</v>
      </c>
      <c r="R337" s="0" t="s">
        <v>970</v>
      </c>
      <c r="S337" s="0" t="s">
        <v>974</v>
      </c>
    </row>
    <row r="338" customFormat="false" ht="13.8" hidden="false" customHeight="false" outlineLevel="0" collapsed="false">
      <c r="A338" s="0" t="n">
        <v>2094</v>
      </c>
      <c r="B338" s="0" t="s">
        <v>2644</v>
      </c>
      <c r="C338" s="0" t="s">
        <v>2645</v>
      </c>
      <c r="E338" s="0" t="n">
        <f aca="false">IF(J337=J338,E337+10,0)</f>
        <v>20</v>
      </c>
      <c r="F338" s="0" t="s">
        <v>2646</v>
      </c>
      <c r="G338" s="0" t="s">
        <v>2647</v>
      </c>
      <c r="H338" s="0" t="s">
        <v>2648</v>
      </c>
      <c r="I338" s="0" t="s">
        <v>2649</v>
      </c>
      <c r="J338" s="0" t="s">
        <v>1094</v>
      </c>
      <c r="K338" s="0" t="s">
        <v>971</v>
      </c>
      <c r="L338" s="0" t="s">
        <v>1151</v>
      </c>
      <c r="M338" s="0" t="s">
        <v>973</v>
      </c>
      <c r="N338" s="0" t="s">
        <v>974</v>
      </c>
      <c r="O338" s="0" t="s">
        <v>975</v>
      </c>
      <c r="P338" s="0" t="s">
        <v>976</v>
      </c>
      <c r="Q338" s="0" t="s">
        <v>2650</v>
      </c>
      <c r="R338" s="0" t="s">
        <v>970</v>
      </c>
      <c r="S338" s="0" t="s">
        <v>974</v>
      </c>
    </row>
    <row r="339" customFormat="false" ht="13.8" hidden="false" customHeight="false" outlineLevel="0" collapsed="false">
      <c r="A339" s="0" t="n">
        <v>2095</v>
      </c>
      <c r="B339" s="0" t="s">
        <v>2651</v>
      </c>
      <c r="C339" s="0" t="s">
        <v>2652</v>
      </c>
      <c r="E339" s="0" t="n">
        <f aca="false">IF(J338=J339,E338+10,0)</f>
        <v>30</v>
      </c>
      <c r="F339" s="0" t="s">
        <v>2653</v>
      </c>
      <c r="G339" s="0" t="s">
        <v>2654</v>
      </c>
      <c r="H339" s="0" t="s">
        <v>2655</v>
      </c>
      <c r="I339" s="0" t="s">
        <v>1459</v>
      </c>
      <c r="J339" s="0" t="s">
        <v>1094</v>
      </c>
      <c r="K339" s="0" t="s">
        <v>971</v>
      </c>
      <c r="L339" s="0" t="s">
        <v>974</v>
      </c>
      <c r="M339" s="0" t="s">
        <v>973</v>
      </c>
      <c r="N339" s="0" t="s">
        <v>974</v>
      </c>
      <c r="O339" s="0" t="s">
        <v>975</v>
      </c>
      <c r="P339" s="0" t="s">
        <v>976</v>
      </c>
      <c r="Q339" s="0" t="s">
        <v>2642</v>
      </c>
      <c r="R339" s="0" t="s">
        <v>970</v>
      </c>
      <c r="S339" s="0" t="s">
        <v>974</v>
      </c>
    </row>
    <row r="340" customFormat="false" ht="13.8" hidden="false" customHeight="false" outlineLevel="0" collapsed="false">
      <c r="A340" s="0" t="n">
        <v>2096</v>
      </c>
      <c r="B340" s="0" t="s">
        <v>2656</v>
      </c>
      <c r="C340" s="0" t="s">
        <v>1383</v>
      </c>
      <c r="E340" s="0" t="n">
        <f aca="false">IF(J339=J340,E339+10,0)</f>
        <v>40</v>
      </c>
      <c r="F340" s="0" t="s">
        <v>2657</v>
      </c>
      <c r="G340" s="0" t="s">
        <v>2658</v>
      </c>
      <c r="H340" s="0" t="s">
        <v>2659</v>
      </c>
      <c r="I340" s="0" t="s">
        <v>1213</v>
      </c>
      <c r="J340" s="0" t="s">
        <v>1094</v>
      </c>
      <c r="K340" s="0" t="s">
        <v>971</v>
      </c>
      <c r="L340" s="0" t="s">
        <v>974</v>
      </c>
      <c r="M340" s="0" t="s">
        <v>973</v>
      </c>
      <c r="N340" s="0" t="s">
        <v>974</v>
      </c>
      <c r="O340" s="0" t="s">
        <v>975</v>
      </c>
      <c r="P340" s="0" t="s">
        <v>976</v>
      </c>
      <c r="Q340" s="0" t="s">
        <v>1291</v>
      </c>
      <c r="R340" s="0" t="s">
        <v>970</v>
      </c>
      <c r="S340" s="0" t="s">
        <v>974</v>
      </c>
    </row>
    <row r="341" customFormat="false" ht="13.8" hidden="false" customHeight="false" outlineLevel="0" collapsed="false">
      <c r="A341" s="0" t="n">
        <v>2097</v>
      </c>
      <c r="B341" s="0" t="s">
        <v>2660</v>
      </c>
      <c r="C341" s="0" t="s">
        <v>1553</v>
      </c>
      <c r="E341" s="0" t="n">
        <f aca="false">IF(J340=J341,E340+10,0)</f>
        <v>50</v>
      </c>
      <c r="F341" s="0" t="s">
        <v>2661</v>
      </c>
      <c r="G341" s="0" t="s">
        <v>2662</v>
      </c>
      <c r="H341" s="0" t="s">
        <v>2663</v>
      </c>
      <c r="I341" s="0" t="s">
        <v>1249</v>
      </c>
      <c r="J341" s="0" t="s">
        <v>1094</v>
      </c>
      <c r="K341" s="0" t="s">
        <v>971</v>
      </c>
      <c r="L341" s="0" t="s">
        <v>974</v>
      </c>
      <c r="M341" s="0" t="s">
        <v>973</v>
      </c>
      <c r="N341" s="0" t="s">
        <v>974</v>
      </c>
      <c r="O341" s="0" t="s">
        <v>975</v>
      </c>
      <c r="P341" s="0" t="s">
        <v>976</v>
      </c>
      <c r="Q341" s="0" t="s">
        <v>970</v>
      </c>
      <c r="R341" s="0" t="s">
        <v>1046</v>
      </c>
      <c r="S341" s="0" t="s">
        <v>974</v>
      </c>
    </row>
    <row r="342" customFormat="false" ht="13.8" hidden="false" customHeight="false" outlineLevel="0" collapsed="false">
      <c r="A342" s="0" t="n">
        <v>2098</v>
      </c>
      <c r="B342" s="0" t="s">
        <v>2664</v>
      </c>
      <c r="C342" s="0" t="s">
        <v>2665</v>
      </c>
      <c r="E342" s="0" t="n">
        <f aca="false">IF(J341=J342,E341+10,0)</f>
        <v>60</v>
      </c>
      <c r="F342" s="0" t="s">
        <v>2666</v>
      </c>
      <c r="G342" s="0" t="s">
        <v>2667</v>
      </c>
      <c r="H342" s="0" t="s">
        <v>2668</v>
      </c>
      <c r="I342" s="0" t="s">
        <v>1100</v>
      </c>
      <c r="J342" s="0" t="s">
        <v>1094</v>
      </c>
      <c r="K342" s="0" t="s">
        <v>971</v>
      </c>
      <c r="L342" s="0" t="s">
        <v>974</v>
      </c>
      <c r="M342" s="0" t="s">
        <v>973</v>
      </c>
      <c r="N342" s="0" t="s">
        <v>974</v>
      </c>
      <c r="O342" s="0" t="s">
        <v>975</v>
      </c>
      <c r="P342" s="0" t="s">
        <v>976</v>
      </c>
      <c r="Q342" s="0" t="s">
        <v>1059</v>
      </c>
      <c r="R342" s="0" t="s">
        <v>1046</v>
      </c>
      <c r="S342" s="0" t="s">
        <v>974</v>
      </c>
    </row>
    <row r="343" customFormat="false" ht="13.8" hidden="false" customHeight="false" outlineLevel="0" collapsed="false">
      <c r="A343" s="0" t="n">
        <v>2099</v>
      </c>
      <c r="B343" s="0" t="s">
        <v>2669</v>
      </c>
      <c r="C343" s="0" t="s">
        <v>1707</v>
      </c>
      <c r="E343" s="0" t="n">
        <f aca="false">IF(J342=J343,E342+10,0)</f>
        <v>0</v>
      </c>
      <c r="F343" s="0" t="s">
        <v>2670</v>
      </c>
      <c r="G343" s="0" t="s">
        <v>2671</v>
      </c>
      <c r="H343" s="0" t="s">
        <v>2672</v>
      </c>
      <c r="I343" s="0" t="s">
        <v>1711</v>
      </c>
      <c r="J343" s="0" t="s">
        <v>2673</v>
      </c>
      <c r="K343" s="0" t="s">
        <v>971</v>
      </c>
      <c r="L343" s="0" t="s">
        <v>1829</v>
      </c>
      <c r="M343" s="0" t="s">
        <v>973</v>
      </c>
      <c r="N343" s="0" t="s">
        <v>974</v>
      </c>
      <c r="O343" s="0" t="s">
        <v>975</v>
      </c>
      <c r="P343" s="0" t="s">
        <v>976</v>
      </c>
      <c r="Q343" s="0" t="s">
        <v>974</v>
      </c>
      <c r="R343" s="0" t="s">
        <v>970</v>
      </c>
      <c r="S343" s="0" t="s">
        <v>974</v>
      </c>
    </row>
    <row r="344" customFormat="false" ht="13.8" hidden="false" customHeight="false" outlineLevel="0" collapsed="false">
      <c r="A344" s="0" t="n">
        <v>2100</v>
      </c>
      <c r="B344" s="0" t="s">
        <v>2674</v>
      </c>
      <c r="C344" s="0" t="s">
        <v>1054</v>
      </c>
      <c r="E344" s="0" t="n">
        <f aca="false">IF(J343=J344,E343+10,0)</f>
        <v>10</v>
      </c>
      <c r="F344" s="0" t="s">
        <v>2675</v>
      </c>
      <c r="G344" s="0" t="s">
        <v>2676</v>
      </c>
      <c r="H344" s="0" t="s">
        <v>2677</v>
      </c>
      <c r="I344" s="0" t="s">
        <v>1058</v>
      </c>
      <c r="J344" s="0" t="s">
        <v>2673</v>
      </c>
      <c r="K344" s="0" t="s">
        <v>971</v>
      </c>
      <c r="L344" s="0" t="s">
        <v>974</v>
      </c>
      <c r="M344" s="0" t="s">
        <v>973</v>
      </c>
      <c r="N344" s="0" t="s">
        <v>974</v>
      </c>
      <c r="O344" s="0" t="s">
        <v>975</v>
      </c>
      <c r="P344" s="0" t="s">
        <v>976</v>
      </c>
      <c r="Q344" s="0" t="s">
        <v>1082</v>
      </c>
      <c r="R344" s="0" t="s">
        <v>970</v>
      </c>
      <c r="S344" s="0" t="s">
        <v>974</v>
      </c>
    </row>
    <row r="345" customFormat="false" ht="13.8" hidden="false" customHeight="false" outlineLevel="0" collapsed="false">
      <c r="A345" s="0" t="n">
        <v>2101</v>
      </c>
      <c r="B345" s="0" t="s">
        <v>2678</v>
      </c>
      <c r="C345" s="0" t="s">
        <v>1010</v>
      </c>
      <c r="E345" s="0" t="n">
        <f aca="false">IF(J344=J345,E344+10,0)</f>
        <v>20</v>
      </c>
      <c r="F345" s="0" t="s">
        <v>2679</v>
      </c>
      <c r="G345" s="0" t="s">
        <v>2680</v>
      </c>
      <c r="H345" s="0" t="s">
        <v>2681</v>
      </c>
      <c r="I345" s="0" t="s">
        <v>1014</v>
      </c>
      <c r="J345" s="0" t="s">
        <v>2673</v>
      </c>
      <c r="K345" s="0" t="s">
        <v>971</v>
      </c>
      <c r="L345" s="0" t="s">
        <v>974</v>
      </c>
      <c r="M345" s="0" t="s">
        <v>973</v>
      </c>
      <c r="N345" s="0" t="s">
        <v>974</v>
      </c>
      <c r="O345" s="0" t="s">
        <v>975</v>
      </c>
      <c r="P345" s="0" t="s">
        <v>976</v>
      </c>
      <c r="Q345" s="0" t="s">
        <v>973</v>
      </c>
      <c r="R345" s="0" t="s">
        <v>970</v>
      </c>
      <c r="S345" s="0" t="s">
        <v>974</v>
      </c>
    </row>
    <row r="346" customFormat="false" ht="13.8" hidden="false" customHeight="false" outlineLevel="0" collapsed="false">
      <c r="A346" s="0" t="n">
        <v>2102</v>
      </c>
      <c r="B346" s="0" t="s">
        <v>2682</v>
      </c>
      <c r="C346" s="0" t="s">
        <v>2683</v>
      </c>
      <c r="E346" s="0" t="n">
        <f aca="false">IF(J345=J346,E345+10,0)</f>
        <v>30</v>
      </c>
      <c r="F346" s="0" t="s">
        <v>2684</v>
      </c>
      <c r="G346" s="0" t="s">
        <v>2685</v>
      </c>
      <c r="H346" s="0" t="s">
        <v>2686</v>
      </c>
      <c r="I346" s="0" t="s">
        <v>2687</v>
      </c>
      <c r="J346" s="0" t="s">
        <v>2673</v>
      </c>
      <c r="K346" s="0" t="s">
        <v>971</v>
      </c>
      <c r="L346" s="0" t="s">
        <v>974</v>
      </c>
      <c r="M346" s="0" t="s">
        <v>973</v>
      </c>
      <c r="N346" s="0" t="s">
        <v>974</v>
      </c>
      <c r="O346" s="0" t="s">
        <v>975</v>
      </c>
      <c r="P346" s="0" t="s">
        <v>976</v>
      </c>
      <c r="Q346" s="0" t="s">
        <v>1046</v>
      </c>
      <c r="R346" s="0" t="s">
        <v>970</v>
      </c>
      <c r="S346" s="0" t="s">
        <v>974</v>
      </c>
    </row>
    <row r="347" customFormat="false" ht="13.8" hidden="false" customHeight="false" outlineLevel="0" collapsed="false">
      <c r="A347" s="0" t="n">
        <v>2103</v>
      </c>
      <c r="B347" s="0" t="s">
        <v>2688</v>
      </c>
      <c r="C347" s="0" t="s">
        <v>1287</v>
      </c>
      <c r="E347" s="0" t="n">
        <f aca="false">IF(J346=J347,E346+10,0)</f>
        <v>40</v>
      </c>
      <c r="F347" s="0" t="s">
        <v>2689</v>
      </c>
      <c r="G347" s="0" t="s">
        <v>2690</v>
      </c>
      <c r="H347" s="0" t="s">
        <v>2691</v>
      </c>
      <c r="I347" s="0" t="s">
        <v>1021</v>
      </c>
      <c r="J347" s="0" t="s">
        <v>2673</v>
      </c>
      <c r="K347" s="0" t="s">
        <v>971</v>
      </c>
      <c r="L347" s="0" t="s">
        <v>974</v>
      </c>
      <c r="M347" s="0" t="s">
        <v>973</v>
      </c>
      <c r="N347" s="0" t="s">
        <v>974</v>
      </c>
      <c r="O347" s="0" t="s">
        <v>975</v>
      </c>
      <c r="P347" s="0" t="s">
        <v>976</v>
      </c>
      <c r="Q347" s="0" t="s">
        <v>970</v>
      </c>
      <c r="R347" s="0" t="s">
        <v>970</v>
      </c>
      <c r="S347" s="0" t="s">
        <v>974</v>
      </c>
    </row>
    <row r="348" customFormat="false" ht="13.8" hidden="false" customHeight="false" outlineLevel="0" collapsed="false">
      <c r="A348" s="0" t="n">
        <v>2104</v>
      </c>
      <c r="B348" s="0" t="s">
        <v>2692</v>
      </c>
      <c r="C348" s="0" t="s">
        <v>1336</v>
      </c>
      <c r="E348" s="0" t="n">
        <f aca="false">IF(J347=J348,E347+10,0)</f>
        <v>50</v>
      </c>
      <c r="F348" s="0" t="s">
        <v>2693</v>
      </c>
      <c r="G348" s="0" t="s">
        <v>2694</v>
      </c>
      <c r="H348" s="0" t="s">
        <v>2695</v>
      </c>
      <c r="I348" s="0" t="s">
        <v>1065</v>
      </c>
      <c r="J348" s="0" t="s">
        <v>2673</v>
      </c>
      <c r="K348" s="0" t="s">
        <v>971</v>
      </c>
      <c r="L348" s="0" t="s">
        <v>974</v>
      </c>
      <c r="M348" s="0" t="s">
        <v>973</v>
      </c>
      <c r="N348" s="0" t="s">
        <v>974</v>
      </c>
      <c r="O348" s="0" t="s">
        <v>975</v>
      </c>
      <c r="P348" s="0" t="s">
        <v>976</v>
      </c>
      <c r="Q348" s="0" t="s">
        <v>1117</v>
      </c>
      <c r="R348" s="0" t="s">
        <v>970</v>
      </c>
      <c r="S348" s="0" t="s">
        <v>974</v>
      </c>
    </row>
    <row r="349" customFormat="false" ht="13.8" hidden="false" customHeight="false" outlineLevel="0" collapsed="false">
      <c r="A349" s="0" t="n">
        <v>2105</v>
      </c>
      <c r="B349" s="0" t="s">
        <v>2696</v>
      </c>
      <c r="C349" s="0" t="s">
        <v>1096</v>
      </c>
      <c r="E349" s="0" t="n">
        <f aca="false">IF(J348=J349,E348+10,0)</f>
        <v>60</v>
      </c>
      <c r="F349" s="0" t="s">
        <v>2697</v>
      </c>
      <c r="G349" s="0" t="s">
        <v>2698</v>
      </c>
      <c r="H349" s="0" t="s">
        <v>2699</v>
      </c>
      <c r="I349" s="0" t="s">
        <v>1100</v>
      </c>
      <c r="J349" s="0" t="s">
        <v>2673</v>
      </c>
      <c r="K349" s="0" t="s">
        <v>971</v>
      </c>
      <c r="L349" s="0" t="s">
        <v>974</v>
      </c>
      <c r="M349" s="0" t="s">
        <v>973</v>
      </c>
      <c r="N349" s="0" t="s">
        <v>974</v>
      </c>
      <c r="O349" s="0" t="s">
        <v>975</v>
      </c>
      <c r="P349" s="0" t="s">
        <v>976</v>
      </c>
      <c r="Q349" s="0" t="s">
        <v>1046</v>
      </c>
      <c r="R349" s="0" t="s">
        <v>1046</v>
      </c>
      <c r="S349" s="0" t="s">
        <v>974</v>
      </c>
    </row>
    <row r="350" customFormat="false" ht="13.8" hidden="false" customHeight="false" outlineLevel="0" collapsed="false">
      <c r="A350" s="0" t="n">
        <v>2106</v>
      </c>
      <c r="B350" s="0" t="s">
        <v>2700</v>
      </c>
      <c r="C350" s="0" t="s">
        <v>2701</v>
      </c>
      <c r="E350" s="0" t="n">
        <f aca="false">IF(J349=J350,E349+10,0)</f>
        <v>0</v>
      </c>
      <c r="F350" s="0" t="s">
        <v>2702</v>
      </c>
      <c r="G350" s="0" t="s">
        <v>2703</v>
      </c>
      <c r="H350" s="0" t="s">
        <v>2704</v>
      </c>
      <c r="I350" s="0" t="s">
        <v>2705</v>
      </c>
      <c r="J350" s="0" t="s">
        <v>2706</v>
      </c>
      <c r="K350" s="0" t="s">
        <v>971</v>
      </c>
      <c r="L350" s="0" t="s">
        <v>2707</v>
      </c>
      <c r="M350" s="0" t="s">
        <v>973</v>
      </c>
      <c r="N350" s="0" t="s">
        <v>974</v>
      </c>
      <c r="O350" s="0" t="s">
        <v>975</v>
      </c>
      <c r="P350" s="0" t="s">
        <v>976</v>
      </c>
      <c r="Q350" s="0" t="s">
        <v>974</v>
      </c>
      <c r="R350" s="0" t="s">
        <v>970</v>
      </c>
      <c r="S350" s="0" t="s">
        <v>974</v>
      </c>
    </row>
    <row r="351" customFormat="false" ht="13.8" hidden="false" customHeight="false" outlineLevel="0" collapsed="false">
      <c r="A351" s="0" t="n">
        <v>2107</v>
      </c>
      <c r="B351" s="0" t="s">
        <v>2708</v>
      </c>
      <c r="C351" s="0" t="s">
        <v>1054</v>
      </c>
      <c r="E351" s="0" t="n">
        <f aca="false">IF(J350=J351,E350+10,0)</f>
        <v>10</v>
      </c>
      <c r="F351" s="0" t="s">
        <v>2709</v>
      </c>
      <c r="G351" s="0" t="s">
        <v>2710</v>
      </c>
      <c r="H351" s="0" t="s">
        <v>2711</v>
      </c>
      <c r="I351" s="0" t="s">
        <v>1058</v>
      </c>
      <c r="J351" s="0" t="s">
        <v>2706</v>
      </c>
      <c r="K351" s="0" t="s">
        <v>971</v>
      </c>
      <c r="L351" s="0" t="s">
        <v>974</v>
      </c>
      <c r="M351" s="0" t="s">
        <v>973</v>
      </c>
      <c r="N351" s="0" t="s">
        <v>974</v>
      </c>
      <c r="O351" s="0" t="s">
        <v>975</v>
      </c>
      <c r="P351" s="0" t="s">
        <v>976</v>
      </c>
      <c r="Q351" s="0" t="s">
        <v>970</v>
      </c>
      <c r="R351" s="0" t="s">
        <v>970</v>
      </c>
      <c r="S351" s="0" t="s">
        <v>974</v>
      </c>
    </row>
    <row r="352" customFormat="false" ht="13.8" hidden="false" customHeight="false" outlineLevel="0" collapsed="false">
      <c r="A352" s="0" t="n">
        <v>2108</v>
      </c>
      <c r="B352" s="0" t="s">
        <v>2712</v>
      </c>
      <c r="C352" s="0" t="s">
        <v>1010</v>
      </c>
      <c r="E352" s="0" t="n">
        <f aca="false">IF(J351=J352,E351+10,0)</f>
        <v>20</v>
      </c>
      <c r="F352" s="0" t="s">
        <v>2713</v>
      </c>
      <c r="G352" s="0" t="s">
        <v>2714</v>
      </c>
      <c r="H352" s="0" t="s">
        <v>2715</v>
      </c>
      <c r="I352" s="0" t="s">
        <v>1014</v>
      </c>
      <c r="J352" s="0" t="s">
        <v>2706</v>
      </c>
      <c r="K352" s="0" t="s">
        <v>971</v>
      </c>
      <c r="L352" s="0" t="s">
        <v>974</v>
      </c>
      <c r="M352" s="0" t="s">
        <v>973</v>
      </c>
      <c r="N352" s="0" t="s">
        <v>974</v>
      </c>
      <c r="O352" s="0" t="s">
        <v>975</v>
      </c>
      <c r="P352" s="0" t="s">
        <v>976</v>
      </c>
      <c r="Q352" s="0" t="s">
        <v>2000</v>
      </c>
      <c r="R352" s="0" t="s">
        <v>1046</v>
      </c>
      <c r="S352" s="0" t="s">
        <v>974</v>
      </c>
    </row>
    <row r="353" customFormat="false" ht="13.8" hidden="false" customHeight="false" outlineLevel="0" collapsed="false">
      <c r="A353" s="0" t="n">
        <v>2109</v>
      </c>
      <c r="B353" s="0" t="s">
        <v>2716</v>
      </c>
      <c r="C353" s="0" t="s">
        <v>1017</v>
      </c>
      <c r="E353" s="0" t="n">
        <f aca="false">IF(J352=J353,E352+10,0)</f>
        <v>30</v>
      </c>
      <c r="F353" s="0" t="s">
        <v>2717</v>
      </c>
      <c r="G353" s="0" t="s">
        <v>2718</v>
      </c>
      <c r="H353" s="0" t="s">
        <v>2719</v>
      </c>
      <c r="I353" s="0" t="s">
        <v>1021</v>
      </c>
      <c r="J353" s="0" t="s">
        <v>2706</v>
      </c>
      <c r="K353" s="0" t="s">
        <v>971</v>
      </c>
      <c r="L353" s="0" t="s">
        <v>974</v>
      </c>
      <c r="M353" s="0" t="s">
        <v>973</v>
      </c>
      <c r="N353" s="0" t="s">
        <v>974</v>
      </c>
      <c r="O353" s="0" t="s">
        <v>975</v>
      </c>
      <c r="P353" s="0" t="s">
        <v>976</v>
      </c>
      <c r="Q353" s="0" t="s">
        <v>2156</v>
      </c>
      <c r="R353" s="0" t="s">
        <v>1046</v>
      </c>
      <c r="S353" s="0" t="s">
        <v>974</v>
      </c>
    </row>
    <row r="354" customFormat="false" ht="13.8" hidden="false" customHeight="false" outlineLevel="0" collapsed="false">
      <c r="A354" s="0" t="n">
        <v>2110</v>
      </c>
      <c r="B354" s="0" t="s">
        <v>2720</v>
      </c>
      <c r="C354" s="0" t="s">
        <v>1035</v>
      </c>
      <c r="E354" s="0" t="n">
        <f aca="false">IF(J353=J354,E353+10,0)</f>
        <v>40</v>
      </c>
      <c r="F354" s="0" t="s">
        <v>2721</v>
      </c>
      <c r="G354" s="0" t="s">
        <v>2722</v>
      </c>
      <c r="H354" s="0" t="s">
        <v>2723</v>
      </c>
      <c r="I354" s="0" t="s">
        <v>970</v>
      </c>
      <c r="J354" s="0" t="s">
        <v>2706</v>
      </c>
      <c r="K354" s="0" t="s">
        <v>971</v>
      </c>
      <c r="L354" s="0" t="s">
        <v>974</v>
      </c>
      <c r="M354" s="0" t="s">
        <v>973</v>
      </c>
      <c r="N354" s="0" t="s">
        <v>974</v>
      </c>
      <c r="O354" s="0" t="s">
        <v>975</v>
      </c>
      <c r="P354" s="0" t="s">
        <v>976</v>
      </c>
      <c r="Q354" s="0" t="s">
        <v>1232</v>
      </c>
      <c r="R354" s="0" t="s">
        <v>970</v>
      </c>
      <c r="S354" s="0" t="s">
        <v>974</v>
      </c>
    </row>
    <row r="355" customFormat="false" ht="13.8" hidden="false" customHeight="false" outlineLevel="0" collapsed="false">
      <c r="A355" s="0" t="n">
        <v>2111</v>
      </c>
      <c r="B355" s="0" t="s">
        <v>2724</v>
      </c>
      <c r="C355" s="0" t="s">
        <v>1048</v>
      </c>
      <c r="E355" s="0" t="n">
        <f aca="false">IF(J354=J355,E354+10,0)</f>
        <v>50</v>
      </c>
      <c r="F355" s="0" t="s">
        <v>2725</v>
      </c>
      <c r="G355" s="0" t="s">
        <v>2726</v>
      </c>
      <c r="H355" s="0" t="s">
        <v>2727</v>
      </c>
      <c r="I355" s="0" t="s">
        <v>1052</v>
      </c>
      <c r="J355" s="0" t="s">
        <v>2706</v>
      </c>
      <c r="K355" s="0" t="s">
        <v>971</v>
      </c>
      <c r="L355" s="0" t="s">
        <v>1082</v>
      </c>
      <c r="M355" s="0" t="s">
        <v>973</v>
      </c>
      <c r="N355" s="0" t="s">
        <v>974</v>
      </c>
      <c r="O355" s="0" t="s">
        <v>975</v>
      </c>
      <c r="P355" s="0" t="s">
        <v>976</v>
      </c>
      <c r="Q355" s="0" t="s">
        <v>974</v>
      </c>
      <c r="R355" s="0" t="s">
        <v>970</v>
      </c>
      <c r="S355" s="0" t="s">
        <v>974</v>
      </c>
    </row>
    <row r="356" customFormat="false" ht="13.8" hidden="false" customHeight="false" outlineLevel="0" collapsed="false">
      <c r="A356" s="0" t="n">
        <v>2112</v>
      </c>
      <c r="B356" s="0" t="s">
        <v>2728</v>
      </c>
      <c r="C356" s="0" t="s">
        <v>2729</v>
      </c>
      <c r="E356" s="0" t="n">
        <f aca="false">IF(J355=J356,E355+10,0)</f>
        <v>60</v>
      </c>
      <c r="F356" s="0" t="s">
        <v>2730</v>
      </c>
      <c r="G356" s="0" t="s">
        <v>2731</v>
      </c>
      <c r="H356" s="0" t="s">
        <v>2732</v>
      </c>
      <c r="I356" s="0" t="s">
        <v>1027</v>
      </c>
      <c r="J356" s="0" t="s">
        <v>2706</v>
      </c>
      <c r="K356" s="0" t="s">
        <v>971</v>
      </c>
      <c r="L356" s="0" t="s">
        <v>974</v>
      </c>
      <c r="M356" s="0" t="s">
        <v>973</v>
      </c>
      <c r="N356" s="0" t="s">
        <v>974</v>
      </c>
      <c r="O356" s="0" t="s">
        <v>975</v>
      </c>
      <c r="P356" s="0" t="s">
        <v>976</v>
      </c>
      <c r="Q356" s="0" t="s">
        <v>2733</v>
      </c>
      <c r="R356" s="0" t="s">
        <v>1046</v>
      </c>
      <c r="S356" s="0" t="s">
        <v>974</v>
      </c>
    </row>
    <row r="357" customFormat="false" ht="13.8" hidden="false" customHeight="false" outlineLevel="0" collapsed="false">
      <c r="A357" s="0" t="n">
        <v>2113</v>
      </c>
      <c r="B357" s="0" t="s">
        <v>2734</v>
      </c>
      <c r="C357" s="0" t="s">
        <v>1598</v>
      </c>
      <c r="E357" s="0" t="n">
        <f aca="false">IF(J356=J357,E356+10,0)</f>
        <v>70</v>
      </c>
      <c r="F357" s="0" t="s">
        <v>2735</v>
      </c>
      <c r="G357" s="0" t="s">
        <v>2736</v>
      </c>
      <c r="H357" s="0" t="s">
        <v>2737</v>
      </c>
      <c r="I357" s="0" t="s">
        <v>1180</v>
      </c>
      <c r="J357" s="0" t="s">
        <v>2706</v>
      </c>
      <c r="K357" s="0" t="s">
        <v>971</v>
      </c>
      <c r="L357" s="0" t="s">
        <v>974</v>
      </c>
      <c r="M357" s="0" t="s">
        <v>973</v>
      </c>
      <c r="N357" s="0" t="s">
        <v>974</v>
      </c>
      <c r="O357" s="0" t="s">
        <v>975</v>
      </c>
      <c r="P357" s="0" t="s">
        <v>976</v>
      </c>
      <c r="Q357" s="0" t="s">
        <v>2738</v>
      </c>
      <c r="R357" s="0" t="s">
        <v>1046</v>
      </c>
      <c r="S357" s="0" t="s">
        <v>974</v>
      </c>
    </row>
    <row r="358" customFormat="false" ht="13.8" hidden="false" customHeight="false" outlineLevel="0" collapsed="false">
      <c r="A358" s="0" t="n">
        <v>2114</v>
      </c>
      <c r="B358" s="0" t="s">
        <v>2739</v>
      </c>
      <c r="C358" s="0" t="s">
        <v>1096</v>
      </c>
      <c r="E358" s="0" t="n">
        <f aca="false">IF(J357=J358,E357+10,0)</f>
        <v>80</v>
      </c>
      <c r="F358" s="0" t="s">
        <v>2740</v>
      </c>
      <c r="G358" s="0" t="s">
        <v>2741</v>
      </c>
      <c r="H358" s="0" t="s">
        <v>2742</v>
      </c>
      <c r="I358" s="0" t="s">
        <v>1100</v>
      </c>
      <c r="J358" s="0" t="s">
        <v>2706</v>
      </c>
      <c r="K358" s="0" t="s">
        <v>971</v>
      </c>
      <c r="L358" s="0" t="s">
        <v>974</v>
      </c>
      <c r="M358" s="0" t="s">
        <v>973</v>
      </c>
      <c r="N358" s="0" t="s">
        <v>974</v>
      </c>
      <c r="O358" s="0" t="s">
        <v>975</v>
      </c>
      <c r="P358" s="0" t="s">
        <v>976</v>
      </c>
      <c r="Q358" s="0" t="s">
        <v>2156</v>
      </c>
      <c r="R358" s="0" t="s">
        <v>1046</v>
      </c>
      <c r="S358" s="0" t="s">
        <v>974</v>
      </c>
    </row>
    <row r="359" customFormat="false" ht="13.8" hidden="false" customHeight="false" outlineLevel="0" collapsed="false">
      <c r="A359" s="0" t="n">
        <v>2115</v>
      </c>
      <c r="B359" s="0" t="s">
        <v>2743</v>
      </c>
      <c r="C359" s="0" t="s">
        <v>2744</v>
      </c>
      <c r="E359" s="0" t="n">
        <f aca="false">IF(J358=J359,E358+10,0)</f>
        <v>90</v>
      </c>
      <c r="F359" s="0" t="s">
        <v>2745</v>
      </c>
      <c r="G359" s="0" t="s">
        <v>2746</v>
      </c>
      <c r="H359" s="0" t="s">
        <v>2747</v>
      </c>
      <c r="I359" s="0" t="s">
        <v>2748</v>
      </c>
      <c r="J359" s="0" t="s">
        <v>2706</v>
      </c>
      <c r="K359" s="0" t="s">
        <v>971</v>
      </c>
      <c r="L359" s="0" t="s">
        <v>974</v>
      </c>
      <c r="M359" s="0" t="s">
        <v>973</v>
      </c>
      <c r="N359" s="0" t="s">
        <v>974</v>
      </c>
      <c r="O359" s="0" t="s">
        <v>975</v>
      </c>
      <c r="P359" s="0" t="s">
        <v>976</v>
      </c>
      <c r="Q359" s="0" t="s">
        <v>974</v>
      </c>
      <c r="R359" s="0" t="s">
        <v>970</v>
      </c>
      <c r="S359" s="0" t="s">
        <v>974</v>
      </c>
    </row>
    <row r="360" customFormat="false" ht="13.8" hidden="false" customHeight="false" outlineLevel="0" collapsed="false">
      <c r="A360" s="0" t="n">
        <v>2116</v>
      </c>
      <c r="B360" s="0" t="s">
        <v>2749</v>
      </c>
      <c r="C360" s="0" t="s">
        <v>1054</v>
      </c>
      <c r="E360" s="0" t="n">
        <f aca="false">IF(J359=J360,E359+10,0)</f>
        <v>100</v>
      </c>
      <c r="F360" s="0" t="s">
        <v>2750</v>
      </c>
      <c r="G360" s="0" t="s">
        <v>2751</v>
      </c>
      <c r="H360" s="0" t="s">
        <v>2752</v>
      </c>
      <c r="I360" s="0" t="s">
        <v>1058</v>
      </c>
      <c r="J360" s="0" t="s">
        <v>2706</v>
      </c>
      <c r="K360" s="0" t="s">
        <v>971</v>
      </c>
      <c r="L360" s="0" t="s">
        <v>974</v>
      </c>
      <c r="M360" s="0" t="s">
        <v>973</v>
      </c>
      <c r="N360" s="0" t="s">
        <v>974</v>
      </c>
      <c r="O360" s="0" t="s">
        <v>975</v>
      </c>
      <c r="P360" s="0" t="s">
        <v>976</v>
      </c>
      <c r="Q360" s="0" t="s">
        <v>1059</v>
      </c>
      <c r="R360" s="0" t="s">
        <v>970</v>
      </c>
      <c r="S360" s="0" t="s">
        <v>974</v>
      </c>
    </row>
    <row r="361" customFormat="false" ht="13.8" hidden="false" customHeight="false" outlineLevel="0" collapsed="false">
      <c r="A361" s="0" t="n">
        <v>2117</v>
      </c>
      <c r="B361" s="0" t="s">
        <v>2753</v>
      </c>
      <c r="C361" s="0" t="s">
        <v>1662</v>
      </c>
      <c r="E361" s="0" t="n">
        <f aca="false">IF(J360=J361,E360+10,0)</f>
        <v>110</v>
      </c>
      <c r="F361" s="0" t="s">
        <v>2754</v>
      </c>
      <c r="G361" s="0" t="s">
        <v>2755</v>
      </c>
      <c r="H361" s="0" t="s">
        <v>2756</v>
      </c>
      <c r="I361" s="0" t="s">
        <v>1666</v>
      </c>
      <c r="J361" s="0" t="s">
        <v>2706</v>
      </c>
      <c r="K361" s="0" t="s">
        <v>971</v>
      </c>
      <c r="L361" s="0" t="s">
        <v>974</v>
      </c>
      <c r="M361" s="0" t="s">
        <v>973</v>
      </c>
      <c r="N361" s="0" t="s">
        <v>974</v>
      </c>
      <c r="O361" s="0" t="s">
        <v>975</v>
      </c>
      <c r="P361" s="0" t="s">
        <v>976</v>
      </c>
      <c r="Q361" s="0" t="s">
        <v>2156</v>
      </c>
      <c r="R361" s="0" t="s">
        <v>1046</v>
      </c>
      <c r="S361" s="0" t="s">
        <v>974</v>
      </c>
    </row>
    <row r="362" customFormat="false" ht="13.8" hidden="false" customHeight="false" outlineLevel="0" collapsed="false">
      <c r="A362" s="0" t="n">
        <v>2118</v>
      </c>
      <c r="B362" s="0" t="s">
        <v>2757</v>
      </c>
      <c r="C362" s="0" t="s">
        <v>1023</v>
      </c>
      <c r="E362" s="0" t="n">
        <f aca="false">IF(J361=J362,E361+10,0)</f>
        <v>120</v>
      </c>
      <c r="F362" s="0" t="s">
        <v>2758</v>
      </c>
      <c r="G362" s="0" t="s">
        <v>2759</v>
      </c>
      <c r="H362" s="0" t="s">
        <v>2760</v>
      </c>
      <c r="I362" s="0" t="s">
        <v>1027</v>
      </c>
      <c r="J362" s="0" t="s">
        <v>2706</v>
      </c>
      <c r="K362" s="0" t="s">
        <v>971</v>
      </c>
      <c r="L362" s="0" t="s">
        <v>974</v>
      </c>
      <c r="M362" s="0" t="s">
        <v>973</v>
      </c>
      <c r="N362" s="0" t="s">
        <v>974</v>
      </c>
      <c r="O362" s="0" t="s">
        <v>975</v>
      </c>
      <c r="P362" s="0" t="s">
        <v>976</v>
      </c>
      <c r="Q362" s="0" t="s">
        <v>2156</v>
      </c>
      <c r="R362" s="0" t="s">
        <v>1046</v>
      </c>
      <c r="S362" s="0" t="s">
        <v>974</v>
      </c>
    </row>
    <row r="363" customFormat="false" ht="13.8" hidden="false" customHeight="false" outlineLevel="0" collapsed="false">
      <c r="A363" s="0" t="n">
        <v>2119</v>
      </c>
      <c r="B363" s="0" t="s">
        <v>2761</v>
      </c>
      <c r="C363" s="0" t="s">
        <v>1583</v>
      </c>
      <c r="E363" s="0" t="n">
        <f aca="false">IF(J362=J363,E362+10,0)</f>
        <v>130</v>
      </c>
      <c r="F363" s="0" t="s">
        <v>2762</v>
      </c>
      <c r="G363" s="0" t="s">
        <v>2763</v>
      </c>
      <c r="H363" s="0" t="s">
        <v>2764</v>
      </c>
      <c r="I363" s="0" t="s">
        <v>1587</v>
      </c>
      <c r="J363" s="0" t="s">
        <v>2706</v>
      </c>
      <c r="K363" s="0" t="s">
        <v>971</v>
      </c>
      <c r="L363" s="0" t="s">
        <v>974</v>
      </c>
      <c r="M363" s="0" t="s">
        <v>973</v>
      </c>
      <c r="N363" s="0" t="s">
        <v>974</v>
      </c>
      <c r="O363" s="0" t="s">
        <v>975</v>
      </c>
      <c r="P363" s="0" t="s">
        <v>976</v>
      </c>
      <c r="Q363" s="0" t="s">
        <v>1232</v>
      </c>
      <c r="R363" s="0" t="s">
        <v>1046</v>
      </c>
      <c r="S363" s="0" t="s">
        <v>974</v>
      </c>
    </row>
    <row r="364" customFormat="false" ht="13.8" hidden="false" customHeight="false" outlineLevel="0" collapsed="false">
      <c r="A364" s="0" t="n">
        <v>2120</v>
      </c>
      <c r="B364" s="0" t="s">
        <v>2765</v>
      </c>
      <c r="C364" s="0" t="s">
        <v>2766</v>
      </c>
      <c r="E364" s="0" t="n">
        <f aca="false">IF(J363=J364,E363+10,0)</f>
        <v>140</v>
      </c>
      <c r="F364" s="0" t="s">
        <v>2767</v>
      </c>
      <c r="G364" s="0" t="s">
        <v>2768</v>
      </c>
      <c r="H364" s="0" t="s">
        <v>2769</v>
      </c>
      <c r="I364" s="0" t="s">
        <v>1033</v>
      </c>
      <c r="J364" s="0" t="s">
        <v>2706</v>
      </c>
      <c r="K364" s="0" t="s">
        <v>971</v>
      </c>
      <c r="L364" s="0" t="s">
        <v>974</v>
      </c>
      <c r="M364" s="0" t="s">
        <v>973</v>
      </c>
      <c r="N364" s="0" t="s">
        <v>974</v>
      </c>
      <c r="O364" s="0" t="s">
        <v>975</v>
      </c>
      <c r="P364" s="0" t="s">
        <v>976</v>
      </c>
      <c r="Q364" s="0" t="s">
        <v>2156</v>
      </c>
      <c r="R364" s="0" t="s">
        <v>970</v>
      </c>
      <c r="S364" s="0" t="s">
        <v>974</v>
      </c>
    </row>
    <row r="365" customFormat="false" ht="13.8" hidden="false" customHeight="false" outlineLevel="0" collapsed="false">
      <c r="A365" s="0" t="n">
        <v>2121</v>
      </c>
      <c r="B365" s="0" t="s">
        <v>2770</v>
      </c>
      <c r="C365" s="0" t="s">
        <v>1336</v>
      </c>
      <c r="E365" s="0" t="n">
        <f aca="false">IF(J364=J365,E364+10,0)</f>
        <v>150</v>
      </c>
      <c r="F365" s="0" t="s">
        <v>2771</v>
      </c>
      <c r="G365" s="0" t="s">
        <v>2772</v>
      </c>
      <c r="H365" s="0" t="s">
        <v>2773</v>
      </c>
      <c r="I365" s="0" t="s">
        <v>1065</v>
      </c>
      <c r="J365" s="0" t="s">
        <v>2706</v>
      </c>
      <c r="K365" s="0" t="s">
        <v>971</v>
      </c>
      <c r="L365" s="0" t="s">
        <v>974</v>
      </c>
      <c r="M365" s="0" t="s">
        <v>973</v>
      </c>
      <c r="N365" s="0" t="s">
        <v>974</v>
      </c>
      <c r="O365" s="0" t="s">
        <v>975</v>
      </c>
      <c r="P365" s="0" t="s">
        <v>976</v>
      </c>
      <c r="Q365" s="0" t="s">
        <v>2156</v>
      </c>
      <c r="R365" s="0" t="s">
        <v>970</v>
      </c>
      <c r="S365" s="0" t="s">
        <v>974</v>
      </c>
    </row>
    <row r="366" customFormat="false" ht="13.8" hidden="false" customHeight="false" outlineLevel="0" collapsed="false">
      <c r="A366" s="0" t="n">
        <v>2122</v>
      </c>
      <c r="B366" s="0" t="s">
        <v>2774</v>
      </c>
      <c r="C366" s="0" t="s">
        <v>1069</v>
      </c>
      <c r="E366" s="0" t="n">
        <f aca="false">IF(J365=J366,E365+10,0)</f>
        <v>160</v>
      </c>
      <c r="F366" s="0" t="s">
        <v>2775</v>
      </c>
      <c r="G366" s="0" t="s">
        <v>2776</v>
      </c>
      <c r="H366" s="0" t="s">
        <v>2777</v>
      </c>
      <c r="I366" s="0" t="s">
        <v>1073</v>
      </c>
      <c r="J366" s="0" t="s">
        <v>2706</v>
      </c>
      <c r="K366" s="0" t="s">
        <v>971</v>
      </c>
      <c r="L366" s="0" t="s">
        <v>974</v>
      </c>
      <c r="M366" s="0" t="s">
        <v>973</v>
      </c>
      <c r="N366" s="0" t="s">
        <v>974</v>
      </c>
      <c r="O366" s="0" t="s">
        <v>975</v>
      </c>
      <c r="P366" s="0" t="s">
        <v>976</v>
      </c>
      <c r="Q366" s="0" t="s">
        <v>2778</v>
      </c>
      <c r="R366" s="0" t="s">
        <v>1046</v>
      </c>
      <c r="S366" s="0" t="s">
        <v>974</v>
      </c>
    </row>
    <row r="367" customFormat="false" ht="13.8" hidden="false" customHeight="false" outlineLevel="0" collapsed="false">
      <c r="A367" s="0" t="n">
        <v>2123</v>
      </c>
      <c r="B367" s="0" t="s">
        <v>2779</v>
      </c>
      <c r="C367" s="0" t="s">
        <v>2780</v>
      </c>
      <c r="E367" s="0" t="n">
        <f aca="false">IF(J366=J367,E366+10,0)</f>
        <v>170</v>
      </c>
      <c r="F367" s="0" t="s">
        <v>2781</v>
      </c>
      <c r="G367" s="0" t="s">
        <v>2782</v>
      </c>
      <c r="H367" s="0" t="s">
        <v>2783</v>
      </c>
      <c r="I367" s="0" t="s">
        <v>1306</v>
      </c>
      <c r="J367" s="0" t="s">
        <v>2706</v>
      </c>
      <c r="K367" s="0" t="s">
        <v>971</v>
      </c>
      <c r="L367" s="0" t="s">
        <v>974</v>
      </c>
      <c r="M367" s="0" t="s">
        <v>973</v>
      </c>
      <c r="N367" s="0" t="s">
        <v>974</v>
      </c>
      <c r="O367" s="0" t="s">
        <v>975</v>
      </c>
      <c r="P367" s="0" t="s">
        <v>976</v>
      </c>
      <c r="Q367" s="0" t="s">
        <v>2778</v>
      </c>
      <c r="R367" s="0" t="s">
        <v>1046</v>
      </c>
      <c r="S367" s="0" t="s">
        <v>974</v>
      </c>
    </row>
    <row r="368" customFormat="false" ht="13.8" hidden="false" customHeight="false" outlineLevel="0" collapsed="false">
      <c r="A368" s="0" t="n">
        <v>2124</v>
      </c>
      <c r="B368" s="0" t="s">
        <v>2784</v>
      </c>
      <c r="C368" s="0" t="s">
        <v>2785</v>
      </c>
      <c r="E368" s="0" t="n">
        <f aca="false">IF(J367=J368,E367+10,0)</f>
        <v>180</v>
      </c>
      <c r="F368" s="0" t="s">
        <v>2786</v>
      </c>
      <c r="G368" s="0" t="s">
        <v>2787</v>
      </c>
      <c r="H368" s="0" t="s">
        <v>2788</v>
      </c>
      <c r="I368" s="0" t="s">
        <v>1161</v>
      </c>
      <c r="J368" s="0" t="s">
        <v>2706</v>
      </c>
      <c r="K368" s="0" t="s">
        <v>971</v>
      </c>
      <c r="L368" s="0" t="s">
        <v>974</v>
      </c>
      <c r="M368" s="0" t="s">
        <v>973</v>
      </c>
      <c r="N368" s="0" t="s">
        <v>974</v>
      </c>
      <c r="O368" s="0" t="s">
        <v>975</v>
      </c>
      <c r="P368" s="0" t="s">
        <v>976</v>
      </c>
      <c r="Q368" s="0" t="s">
        <v>970</v>
      </c>
      <c r="R368" s="0" t="s">
        <v>1046</v>
      </c>
      <c r="S368" s="0" t="s">
        <v>974</v>
      </c>
    </row>
    <row r="369" customFormat="false" ht="13.8" hidden="false" customHeight="false" outlineLevel="0" collapsed="false">
      <c r="A369" s="0" t="n">
        <v>2125</v>
      </c>
      <c r="B369" s="0" t="s">
        <v>2789</v>
      </c>
      <c r="C369" s="0" t="s">
        <v>1553</v>
      </c>
      <c r="E369" s="0" t="n">
        <f aca="false">IF(J368=J369,E368+10,0)</f>
        <v>190</v>
      </c>
      <c r="F369" s="0" t="s">
        <v>2790</v>
      </c>
      <c r="G369" s="0" t="s">
        <v>2791</v>
      </c>
      <c r="H369" s="0" t="s">
        <v>2792</v>
      </c>
      <c r="I369" s="0" t="s">
        <v>1249</v>
      </c>
      <c r="J369" s="0" t="s">
        <v>2706</v>
      </c>
      <c r="K369" s="0" t="s">
        <v>971</v>
      </c>
      <c r="L369" s="0" t="s">
        <v>974</v>
      </c>
      <c r="M369" s="0" t="s">
        <v>973</v>
      </c>
      <c r="N369" s="0" t="s">
        <v>974</v>
      </c>
      <c r="O369" s="0" t="s">
        <v>975</v>
      </c>
      <c r="P369" s="0" t="s">
        <v>976</v>
      </c>
      <c r="Q369" s="0" t="s">
        <v>1128</v>
      </c>
      <c r="R369" s="0" t="s">
        <v>1046</v>
      </c>
      <c r="S369" s="0" t="s">
        <v>974</v>
      </c>
    </row>
    <row r="370" customFormat="false" ht="13.8" hidden="false" customHeight="false" outlineLevel="0" collapsed="false">
      <c r="A370" s="0" t="n">
        <v>2126</v>
      </c>
      <c r="B370" s="0" t="s">
        <v>2793</v>
      </c>
      <c r="C370" s="0" t="s">
        <v>2794</v>
      </c>
      <c r="E370" s="0" t="n">
        <f aca="false">IF(J369=J370,E369+10,0)</f>
        <v>0</v>
      </c>
      <c r="F370" s="0" t="s">
        <v>2795</v>
      </c>
      <c r="G370" s="0" t="s">
        <v>2796</v>
      </c>
      <c r="H370" s="0" t="s">
        <v>2797</v>
      </c>
      <c r="I370" s="0" t="s">
        <v>2798</v>
      </c>
      <c r="J370" s="0" t="s">
        <v>995</v>
      </c>
      <c r="K370" s="0" t="s">
        <v>971</v>
      </c>
      <c r="L370" s="0" t="s">
        <v>1829</v>
      </c>
      <c r="M370" s="0" t="s">
        <v>973</v>
      </c>
      <c r="N370" s="0" t="s">
        <v>974</v>
      </c>
      <c r="O370" s="0" t="s">
        <v>975</v>
      </c>
      <c r="P370" s="0" t="s">
        <v>976</v>
      </c>
      <c r="Q370" s="0" t="s">
        <v>2799</v>
      </c>
      <c r="R370" s="0" t="s">
        <v>970</v>
      </c>
      <c r="S370" s="0" t="s">
        <v>974</v>
      </c>
    </row>
    <row r="371" customFormat="false" ht="13.8" hidden="false" customHeight="false" outlineLevel="0" collapsed="false">
      <c r="A371" s="0" t="n">
        <v>2127</v>
      </c>
      <c r="B371" s="0" t="s">
        <v>2800</v>
      </c>
      <c r="C371" s="0" t="s">
        <v>2389</v>
      </c>
      <c r="E371" s="0" t="n">
        <f aca="false">IF(J370=J371,E370+10,0)</f>
        <v>10</v>
      </c>
      <c r="F371" s="0" t="s">
        <v>2801</v>
      </c>
      <c r="G371" s="0" t="s">
        <v>2802</v>
      </c>
      <c r="H371" s="0" t="s">
        <v>2803</v>
      </c>
      <c r="I371" s="0" t="s">
        <v>1231</v>
      </c>
      <c r="J371" s="0" t="s">
        <v>995</v>
      </c>
      <c r="K371" s="0" t="s">
        <v>971</v>
      </c>
      <c r="L371" s="0" t="s">
        <v>970</v>
      </c>
      <c r="M371" s="0" t="s">
        <v>973</v>
      </c>
      <c r="N371" s="0" t="s">
        <v>974</v>
      </c>
      <c r="O371" s="0" t="s">
        <v>975</v>
      </c>
      <c r="P371" s="0" t="s">
        <v>976</v>
      </c>
      <c r="Q371" s="0" t="s">
        <v>974</v>
      </c>
      <c r="R371" s="0" t="s">
        <v>970</v>
      </c>
      <c r="S371" s="0" t="s">
        <v>974</v>
      </c>
    </row>
    <row r="372" customFormat="false" ht="13.8" hidden="false" customHeight="false" outlineLevel="0" collapsed="false">
      <c r="A372" s="0" t="n">
        <v>2128</v>
      </c>
      <c r="B372" s="0" t="s">
        <v>2804</v>
      </c>
      <c r="C372" s="0" t="s">
        <v>1221</v>
      </c>
      <c r="E372" s="0" t="n">
        <f aca="false">IF(J371=J372,E371+10,0)</f>
        <v>20</v>
      </c>
      <c r="F372" s="0" t="s">
        <v>2805</v>
      </c>
      <c r="G372" s="0" t="s">
        <v>2806</v>
      </c>
      <c r="H372" s="0" t="s">
        <v>2807</v>
      </c>
      <c r="I372" s="0" t="s">
        <v>1088</v>
      </c>
      <c r="J372" s="0" t="s">
        <v>995</v>
      </c>
      <c r="K372" s="0" t="s">
        <v>971</v>
      </c>
      <c r="L372" s="0" t="s">
        <v>974</v>
      </c>
      <c r="M372" s="0" t="s">
        <v>973</v>
      </c>
      <c r="N372" s="0" t="s">
        <v>974</v>
      </c>
      <c r="O372" s="0" t="s">
        <v>975</v>
      </c>
      <c r="P372" s="0" t="s">
        <v>976</v>
      </c>
      <c r="Q372" s="0" t="s">
        <v>2156</v>
      </c>
      <c r="R372" s="0" t="s">
        <v>1046</v>
      </c>
      <c r="S372" s="0" t="s">
        <v>974</v>
      </c>
    </row>
    <row r="373" customFormat="false" ht="13.8" hidden="false" customHeight="false" outlineLevel="0" collapsed="false">
      <c r="A373" s="0" t="n">
        <v>2129</v>
      </c>
      <c r="B373" s="0" t="s">
        <v>2808</v>
      </c>
      <c r="C373" s="0" t="s">
        <v>1090</v>
      </c>
      <c r="E373" s="0" t="n">
        <f aca="false">IF(J372=J373,E372+10,0)</f>
        <v>30</v>
      </c>
      <c r="F373" s="0" t="s">
        <v>2809</v>
      </c>
      <c r="G373" s="0" t="s">
        <v>2810</v>
      </c>
      <c r="H373" s="0" t="s">
        <v>2811</v>
      </c>
      <c r="I373" s="0" t="s">
        <v>1094</v>
      </c>
      <c r="J373" s="0" t="s">
        <v>995</v>
      </c>
      <c r="K373" s="0" t="s">
        <v>971</v>
      </c>
      <c r="L373" s="0" t="s">
        <v>974</v>
      </c>
      <c r="M373" s="0" t="s">
        <v>973</v>
      </c>
      <c r="N373" s="0" t="s">
        <v>974</v>
      </c>
      <c r="O373" s="0" t="s">
        <v>975</v>
      </c>
      <c r="P373" s="0" t="s">
        <v>976</v>
      </c>
      <c r="Q373" s="0" t="s">
        <v>1059</v>
      </c>
      <c r="R373" s="0" t="s">
        <v>1046</v>
      </c>
      <c r="S373" s="0" t="s">
        <v>974</v>
      </c>
    </row>
    <row r="374" customFormat="false" ht="13.8" hidden="false" customHeight="false" outlineLevel="0" collapsed="false">
      <c r="A374" s="0" t="n">
        <v>2130</v>
      </c>
      <c r="B374" s="0" t="s">
        <v>2812</v>
      </c>
      <c r="C374" s="0" t="s">
        <v>2813</v>
      </c>
      <c r="E374" s="0" t="n">
        <f aca="false">IF(J373=J374,E373+10,0)</f>
        <v>40</v>
      </c>
      <c r="F374" s="0" t="s">
        <v>2814</v>
      </c>
      <c r="G374" s="0" t="s">
        <v>2815</v>
      </c>
      <c r="H374" s="0" t="s">
        <v>2816</v>
      </c>
      <c r="I374" s="0" t="s">
        <v>1551</v>
      </c>
      <c r="J374" s="0" t="s">
        <v>995</v>
      </c>
      <c r="K374" s="0" t="s">
        <v>971</v>
      </c>
      <c r="L374" s="0" t="s">
        <v>974</v>
      </c>
      <c r="M374" s="0" t="s">
        <v>973</v>
      </c>
      <c r="N374" s="0" t="s">
        <v>974</v>
      </c>
      <c r="O374" s="0" t="s">
        <v>975</v>
      </c>
      <c r="P374" s="0" t="s">
        <v>976</v>
      </c>
      <c r="Q374" s="0" t="s">
        <v>1059</v>
      </c>
      <c r="R374" s="0" t="s">
        <v>970</v>
      </c>
      <c r="S374" s="0" t="s">
        <v>974</v>
      </c>
    </row>
    <row r="375" customFormat="false" ht="13.8" hidden="false" customHeight="false" outlineLevel="0" collapsed="false">
      <c r="A375" s="0" t="n">
        <v>2131</v>
      </c>
      <c r="B375" s="0" t="s">
        <v>2817</v>
      </c>
      <c r="C375" s="0" t="s">
        <v>2818</v>
      </c>
      <c r="E375" s="0" t="n">
        <f aca="false">IF(J374=J375,E374+10,0)</f>
        <v>50</v>
      </c>
      <c r="F375" s="0" t="s">
        <v>2819</v>
      </c>
      <c r="G375" s="0" t="s">
        <v>2820</v>
      </c>
      <c r="H375" s="0" t="s">
        <v>2821</v>
      </c>
      <c r="I375" s="0" t="s">
        <v>1587</v>
      </c>
      <c r="J375" s="0" t="s">
        <v>995</v>
      </c>
      <c r="K375" s="0" t="s">
        <v>971</v>
      </c>
      <c r="L375" s="0" t="s">
        <v>974</v>
      </c>
      <c r="M375" s="0" t="s">
        <v>973</v>
      </c>
      <c r="N375" s="0" t="s">
        <v>974</v>
      </c>
      <c r="O375" s="0" t="s">
        <v>975</v>
      </c>
      <c r="P375" s="0" t="s">
        <v>976</v>
      </c>
      <c r="Q375" s="0" t="s">
        <v>1059</v>
      </c>
      <c r="R375" s="0" t="s">
        <v>1046</v>
      </c>
      <c r="S375" s="0" t="s">
        <v>974</v>
      </c>
    </row>
    <row r="376" customFormat="false" ht="13.8" hidden="false" customHeight="false" outlineLevel="0" collapsed="false">
      <c r="A376" s="0" t="n">
        <v>2132</v>
      </c>
      <c r="B376" s="0" t="s">
        <v>2822</v>
      </c>
      <c r="C376" s="0" t="s">
        <v>2823</v>
      </c>
      <c r="E376" s="0" t="n">
        <f aca="false">IF(J375=J376,E375+10,0)</f>
        <v>60</v>
      </c>
      <c r="F376" s="0" t="s">
        <v>2824</v>
      </c>
      <c r="G376" s="0" t="s">
        <v>2825</v>
      </c>
      <c r="H376" s="0" t="s">
        <v>2826</v>
      </c>
      <c r="I376" s="0" t="s">
        <v>1100</v>
      </c>
      <c r="J376" s="0" t="s">
        <v>995</v>
      </c>
      <c r="K376" s="0" t="s">
        <v>971</v>
      </c>
      <c r="L376" s="0" t="s">
        <v>974</v>
      </c>
      <c r="M376" s="0" t="s">
        <v>973</v>
      </c>
      <c r="N376" s="0" t="s">
        <v>974</v>
      </c>
      <c r="O376" s="0" t="s">
        <v>975</v>
      </c>
      <c r="P376" s="0" t="s">
        <v>976</v>
      </c>
      <c r="Q376" s="0" t="s">
        <v>970</v>
      </c>
      <c r="R376" s="0" t="s">
        <v>1046</v>
      </c>
      <c r="S376" s="0" t="s">
        <v>974</v>
      </c>
    </row>
    <row r="377" customFormat="false" ht="13.8" hidden="false" customHeight="false" outlineLevel="0" collapsed="false">
      <c r="A377" s="0" t="n">
        <v>2133</v>
      </c>
      <c r="B377" s="0" t="s">
        <v>2827</v>
      </c>
      <c r="C377" s="0" t="s">
        <v>1048</v>
      </c>
      <c r="E377" s="0" t="n">
        <f aca="false">IF(J376=J377,E376+10,0)</f>
        <v>70</v>
      </c>
      <c r="F377" s="0" t="s">
        <v>2828</v>
      </c>
      <c r="G377" s="0" t="s">
        <v>2829</v>
      </c>
      <c r="H377" s="0" t="s">
        <v>2830</v>
      </c>
      <c r="I377" s="0" t="s">
        <v>1052</v>
      </c>
      <c r="J377" s="0" t="s">
        <v>995</v>
      </c>
      <c r="K377" s="0" t="s">
        <v>2831</v>
      </c>
      <c r="L377" s="0" t="s">
        <v>975</v>
      </c>
      <c r="M377" s="0" t="s">
        <v>973</v>
      </c>
      <c r="N377" s="0" t="s">
        <v>974</v>
      </c>
      <c r="O377" s="0" t="s">
        <v>975</v>
      </c>
      <c r="P377" s="0" t="s">
        <v>976</v>
      </c>
      <c r="Q377" s="0" t="s">
        <v>974</v>
      </c>
      <c r="R377" s="0" t="s">
        <v>970</v>
      </c>
      <c r="S377" s="0" t="s">
        <v>974</v>
      </c>
    </row>
    <row r="378" customFormat="false" ht="13.8" hidden="false" customHeight="false" outlineLevel="0" collapsed="false">
      <c r="A378" s="0" t="n">
        <v>2134</v>
      </c>
      <c r="B378" s="0" t="s">
        <v>2832</v>
      </c>
      <c r="C378" s="0" t="s">
        <v>2833</v>
      </c>
      <c r="E378" s="0" t="n">
        <f aca="false">IF(J377=J378,E377+10,0)</f>
        <v>80</v>
      </c>
      <c r="F378" s="0" t="s">
        <v>2834</v>
      </c>
      <c r="G378" s="0" t="s">
        <v>2835</v>
      </c>
      <c r="H378" s="0" t="s">
        <v>2836</v>
      </c>
      <c r="I378" s="0" t="s">
        <v>2837</v>
      </c>
      <c r="J378" s="0" t="s">
        <v>995</v>
      </c>
      <c r="K378" s="0" t="s">
        <v>971</v>
      </c>
      <c r="L378" s="0" t="s">
        <v>974</v>
      </c>
      <c r="M378" s="0" t="s">
        <v>973</v>
      </c>
      <c r="N378" s="0" t="s">
        <v>974</v>
      </c>
      <c r="O378" s="0" t="s">
        <v>975</v>
      </c>
      <c r="P378" s="0" t="s">
        <v>976</v>
      </c>
      <c r="Q378" s="0" t="s">
        <v>973</v>
      </c>
      <c r="R378" s="0" t="s">
        <v>970</v>
      </c>
      <c r="S378" s="0" t="s">
        <v>974</v>
      </c>
    </row>
    <row r="379" customFormat="false" ht="13.8" hidden="false" customHeight="false" outlineLevel="0" collapsed="false">
      <c r="A379" s="0" t="n">
        <v>2135</v>
      </c>
      <c r="B379" s="0" t="s">
        <v>2838</v>
      </c>
      <c r="C379" s="0" t="s">
        <v>1383</v>
      </c>
      <c r="E379" s="0" t="n">
        <f aca="false">IF(J378=J379,E378+10,0)</f>
        <v>0</v>
      </c>
      <c r="F379" s="0" t="s">
        <v>2839</v>
      </c>
      <c r="G379" s="0" t="s">
        <v>2840</v>
      </c>
      <c r="H379" s="0" t="s">
        <v>2841</v>
      </c>
      <c r="I379" s="0" t="s">
        <v>1213</v>
      </c>
      <c r="J379" s="0" t="s">
        <v>1262</v>
      </c>
      <c r="K379" s="0" t="s">
        <v>971</v>
      </c>
      <c r="L379" s="0" t="s">
        <v>974</v>
      </c>
      <c r="M379" s="0" t="s">
        <v>973</v>
      </c>
      <c r="N379" s="0" t="s">
        <v>974</v>
      </c>
      <c r="O379" s="0" t="s">
        <v>975</v>
      </c>
      <c r="P379" s="0" t="s">
        <v>976</v>
      </c>
      <c r="Q379" s="0" t="s">
        <v>970</v>
      </c>
      <c r="R379" s="0" t="s">
        <v>970</v>
      </c>
      <c r="S379" s="0" t="s">
        <v>974</v>
      </c>
    </row>
    <row r="380" customFormat="false" ht="13.8" hidden="false" customHeight="false" outlineLevel="0" collapsed="false">
      <c r="A380" s="0" t="n">
        <v>2136</v>
      </c>
      <c r="B380" s="0" t="s">
        <v>2842</v>
      </c>
      <c r="C380" s="0" t="s">
        <v>2843</v>
      </c>
      <c r="E380" s="0" t="n">
        <f aca="false">IF(J379=J380,E379+10,0)</f>
        <v>10</v>
      </c>
      <c r="F380" s="0" t="s">
        <v>2844</v>
      </c>
      <c r="G380" s="0" t="s">
        <v>2845</v>
      </c>
      <c r="H380" s="0" t="s">
        <v>2846</v>
      </c>
      <c r="I380" s="0" t="s">
        <v>2847</v>
      </c>
      <c r="J380" s="0" t="s">
        <v>1262</v>
      </c>
      <c r="K380" s="0" t="s">
        <v>971</v>
      </c>
      <c r="L380" s="0" t="s">
        <v>974</v>
      </c>
      <c r="M380" s="0" t="s">
        <v>973</v>
      </c>
      <c r="N380" s="0" t="s">
        <v>974</v>
      </c>
      <c r="O380" s="0" t="s">
        <v>975</v>
      </c>
      <c r="P380" s="0" t="s">
        <v>976</v>
      </c>
      <c r="Q380" s="0" t="s">
        <v>973</v>
      </c>
      <c r="R380" s="0" t="s">
        <v>970</v>
      </c>
      <c r="S380" s="0" t="s">
        <v>974</v>
      </c>
    </row>
    <row r="381" customFormat="false" ht="13.8" hidden="false" customHeight="false" outlineLevel="0" collapsed="false">
      <c r="A381" s="0" t="n">
        <v>2137</v>
      </c>
      <c r="B381" s="0" t="s">
        <v>2848</v>
      </c>
      <c r="C381" s="0" t="s">
        <v>1583</v>
      </c>
      <c r="E381" s="0" t="n">
        <f aca="false">IF(J380=J381,E380+10,0)</f>
        <v>20</v>
      </c>
      <c r="F381" s="0" t="s">
        <v>2849</v>
      </c>
      <c r="G381" s="0" t="s">
        <v>2850</v>
      </c>
      <c r="H381" s="0" t="s">
        <v>2851</v>
      </c>
      <c r="I381" s="0" t="s">
        <v>1587</v>
      </c>
      <c r="J381" s="0" t="s">
        <v>1262</v>
      </c>
      <c r="K381" s="0" t="s">
        <v>971</v>
      </c>
      <c r="L381" s="0" t="s">
        <v>974</v>
      </c>
      <c r="M381" s="0" t="s">
        <v>973</v>
      </c>
      <c r="N381" s="0" t="s">
        <v>974</v>
      </c>
      <c r="O381" s="0" t="s">
        <v>975</v>
      </c>
      <c r="P381" s="0" t="s">
        <v>976</v>
      </c>
      <c r="Q381" s="0" t="s">
        <v>2852</v>
      </c>
      <c r="R381" s="0" t="s">
        <v>1046</v>
      </c>
      <c r="S381" s="0" t="s">
        <v>974</v>
      </c>
    </row>
    <row r="382" customFormat="false" ht="13.8" hidden="false" customHeight="false" outlineLevel="0" collapsed="false">
      <c r="A382" s="0" t="n">
        <v>2138</v>
      </c>
      <c r="B382" s="0" t="s">
        <v>2853</v>
      </c>
      <c r="C382" s="0" t="s">
        <v>2854</v>
      </c>
      <c r="E382" s="0" t="n">
        <f aca="false">IF(J381=J382,E381+10,0)</f>
        <v>30</v>
      </c>
      <c r="F382" s="0" t="s">
        <v>2855</v>
      </c>
      <c r="G382" s="0" t="s">
        <v>2856</v>
      </c>
      <c r="H382" s="0" t="s">
        <v>2857</v>
      </c>
      <c r="I382" s="0" t="s">
        <v>1088</v>
      </c>
      <c r="J382" s="0" t="s">
        <v>1262</v>
      </c>
      <c r="K382" s="0" t="s">
        <v>971</v>
      </c>
      <c r="L382" s="0" t="s">
        <v>974</v>
      </c>
      <c r="M382" s="0" t="s">
        <v>973</v>
      </c>
      <c r="N382" s="0" t="s">
        <v>974</v>
      </c>
      <c r="O382" s="0" t="s">
        <v>975</v>
      </c>
      <c r="P382" s="0" t="s">
        <v>976</v>
      </c>
      <c r="Q382" s="0" t="s">
        <v>1059</v>
      </c>
      <c r="R382" s="0" t="s">
        <v>1046</v>
      </c>
      <c r="S382" s="0" t="s">
        <v>974</v>
      </c>
    </row>
    <row r="383" customFormat="false" ht="13.8" hidden="false" customHeight="false" outlineLevel="0" collapsed="false">
      <c r="A383" s="0" t="n">
        <v>2139</v>
      </c>
      <c r="B383" s="0" t="s">
        <v>2858</v>
      </c>
      <c r="C383" s="0" t="s">
        <v>1680</v>
      </c>
      <c r="E383" s="0" t="n">
        <f aca="false">IF(J382=J383,E382+10,0)</f>
        <v>40</v>
      </c>
      <c r="F383" s="0" t="s">
        <v>2859</v>
      </c>
      <c r="G383" s="0" t="s">
        <v>2860</v>
      </c>
      <c r="H383" s="0" t="s">
        <v>2861</v>
      </c>
      <c r="I383" s="0" t="s">
        <v>1175</v>
      </c>
      <c r="J383" s="0" t="s">
        <v>1262</v>
      </c>
      <c r="K383" s="0" t="s">
        <v>971</v>
      </c>
      <c r="L383" s="0" t="s">
        <v>974</v>
      </c>
      <c r="M383" s="0" t="s">
        <v>973</v>
      </c>
      <c r="N383" s="0" t="s">
        <v>974</v>
      </c>
      <c r="O383" s="0" t="s">
        <v>975</v>
      </c>
      <c r="P383" s="0" t="s">
        <v>976</v>
      </c>
      <c r="Q383" s="0" t="s">
        <v>1059</v>
      </c>
      <c r="R383" s="0" t="s">
        <v>1046</v>
      </c>
      <c r="S383" s="0" t="s">
        <v>974</v>
      </c>
    </row>
    <row r="384" customFormat="false" ht="13.8" hidden="false" customHeight="false" outlineLevel="0" collapsed="false">
      <c r="A384" s="0" t="n">
        <v>2140</v>
      </c>
      <c r="B384" s="0" t="s">
        <v>2862</v>
      </c>
      <c r="C384" s="0" t="s">
        <v>1733</v>
      </c>
      <c r="E384" s="0" t="n">
        <f aca="false">IF(J383=J384,E383+10,0)</f>
        <v>50</v>
      </c>
      <c r="F384" s="0" t="s">
        <v>2863</v>
      </c>
      <c r="G384" s="0" t="s">
        <v>2864</v>
      </c>
      <c r="H384" s="0" t="s">
        <v>2865</v>
      </c>
      <c r="I384" s="0" t="s">
        <v>1201</v>
      </c>
      <c r="J384" s="0" t="s">
        <v>1262</v>
      </c>
      <c r="K384" s="0" t="s">
        <v>971</v>
      </c>
      <c r="L384" s="0" t="s">
        <v>974</v>
      </c>
      <c r="M384" s="0" t="s">
        <v>973</v>
      </c>
      <c r="N384" s="0" t="s">
        <v>974</v>
      </c>
      <c r="O384" s="0" t="s">
        <v>975</v>
      </c>
      <c r="P384" s="0" t="s">
        <v>976</v>
      </c>
      <c r="Q384" s="0" t="s">
        <v>973</v>
      </c>
      <c r="R384" s="0" t="s">
        <v>970</v>
      </c>
      <c r="S384" s="0" t="s">
        <v>974</v>
      </c>
    </row>
    <row r="385" customFormat="false" ht="13.8" hidden="false" customHeight="false" outlineLevel="0" collapsed="false">
      <c r="A385" s="0" t="n">
        <v>2141</v>
      </c>
      <c r="B385" s="0" t="s">
        <v>2866</v>
      </c>
      <c r="C385" s="0" t="s">
        <v>2867</v>
      </c>
      <c r="E385" s="0" t="n">
        <f aca="false">IF(J384=J385,E384+10,0)</f>
        <v>0</v>
      </c>
      <c r="F385" s="0" t="s">
        <v>2868</v>
      </c>
      <c r="G385" s="0" t="s">
        <v>2869</v>
      </c>
      <c r="H385" s="0" t="s">
        <v>2870</v>
      </c>
      <c r="I385" s="0" t="s">
        <v>2871</v>
      </c>
      <c r="J385" s="0" t="s">
        <v>2233</v>
      </c>
      <c r="K385" s="0" t="s">
        <v>971</v>
      </c>
      <c r="L385" s="0" t="s">
        <v>973</v>
      </c>
      <c r="M385" s="0" t="s">
        <v>973</v>
      </c>
      <c r="N385" s="0" t="s">
        <v>974</v>
      </c>
      <c r="O385" s="0" t="s">
        <v>975</v>
      </c>
      <c r="P385" s="0" t="s">
        <v>976</v>
      </c>
      <c r="Q385" s="0" t="s">
        <v>974</v>
      </c>
      <c r="R385" s="0" t="s">
        <v>970</v>
      </c>
      <c r="S385" s="0" t="s">
        <v>974</v>
      </c>
    </row>
    <row r="386" customFormat="false" ht="13.8" hidden="false" customHeight="false" outlineLevel="0" collapsed="false">
      <c r="A386" s="0" t="n">
        <v>2142</v>
      </c>
      <c r="B386" s="0" t="s">
        <v>2872</v>
      </c>
      <c r="C386" s="0" t="s">
        <v>2873</v>
      </c>
      <c r="E386" s="0" t="n">
        <f aca="false">IF(J385=J386,E385+10,0)</f>
        <v>10</v>
      </c>
      <c r="F386" s="0" t="s">
        <v>2874</v>
      </c>
      <c r="G386" s="0" t="s">
        <v>2875</v>
      </c>
      <c r="H386" s="0" t="s">
        <v>2876</v>
      </c>
      <c r="I386" s="0" t="s">
        <v>2673</v>
      </c>
      <c r="J386" s="0" t="s">
        <v>2233</v>
      </c>
      <c r="K386" s="0" t="s">
        <v>971</v>
      </c>
      <c r="L386" s="0" t="s">
        <v>974</v>
      </c>
      <c r="M386" s="0" t="s">
        <v>973</v>
      </c>
      <c r="N386" s="0" t="s">
        <v>974</v>
      </c>
      <c r="O386" s="0" t="s">
        <v>975</v>
      </c>
      <c r="P386" s="0" t="s">
        <v>976</v>
      </c>
      <c r="Q386" s="0" t="s">
        <v>995</v>
      </c>
      <c r="R386" s="0" t="s">
        <v>970</v>
      </c>
      <c r="S386" s="0" t="s">
        <v>974</v>
      </c>
    </row>
    <row r="387" customFormat="false" ht="13.8" hidden="false" customHeight="false" outlineLevel="0" collapsed="false">
      <c r="A387" s="0" t="n">
        <v>2143</v>
      </c>
      <c r="B387" s="0" t="s">
        <v>2877</v>
      </c>
      <c r="C387" s="0" t="s">
        <v>1782</v>
      </c>
      <c r="E387" s="0" t="n">
        <f aca="false">IF(J386=J387,E386+10,0)</f>
        <v>20</v>
      </c>
      <c r="F387" s="0" t="s">
        <v>2878</v>
      </c>
      <c r="G387" s="0" t="s">
        <v>2879</v>
      </c>
      <c r="H387" s="0" t="s">
        <v>2880</v>
      </c>
      <c r="I387" s="0" t="s">
        <v>1014</v>
      </c>
      <c r="J387" s="0" t="s">
        <v>2233</v>
      </c>
      <c r="K387" s="0" t="s">
        <v>971</v>
      </c>
      <c r="L387" s="0" t="s">
        <v>974</v>
      </c>
      <c r="M387" s="0" t="s">
        <v>973</v>
      </c>
      <c r="N387" s="0" t="s">
        <v>974</v>
      </c>
      <c r="O387" s="0" t="s">
        <v>975</v>
      </c>
      <c r="P387" s="0" t="s">
        <v>976</v>
      </c>
      <c r="Q387" s="0" t="s">
        <v>1381</v>
      </c>
      <c r="R387" s="0" t="s">
        <v>1046</v>
      </c>
      <c r="S387" s="0" t="s">
        <v>974</v>
      </c>
    </row>
    <row r="388" customFormat="false" ht="13.8" hidden="false" customHeight="false" outlineLevel="0" collapsed="false">
      <c r="A388" s="0" t="n">
        <v>2144</v>
      </c>
      <c r="B388" s="0" t="s">
        <v>2881</v>
      </c>
      <c r="C388" s="0" t="s">
        <v>2882</v>
      </c>
      <c r="E388" s="0" t="n">
        <f aca="false">IF(J387=J388,E387+10,0)</f>
        <v>30</v>
      </c>
      <c r="F388" s="0" t="s">
        <v>2883</v>
      </c>
      <c r="G388" s="0" t="s">
        <v>2884</v>
      </c>
      <c r="H388" s="0" t="s">
        <v>2885</v>
      </c>
      <c r="I388" s="0" t="s">
        <v>1780</v>
      </c>
      <c r="J388" s="0" t="s">
        <v>2233</v>
      </c>
      <c r="K388" s="0" t="s">
        <v>971</v>
      </c>
      <c r="L388" s="0" t="s">
        <v>974</v>
      </c>
      <c r="M388" s="0" t="s">
        <v>973</v>
      </c>
      <c r="N388" s="0" t="s">
        <v>974</v>
      </c>
      <c r="O388" s="0" t="s">
        <v>975</v>
      </c>
      <c r="P388" s="0" t="s">
        <v>976</v>
      </c>
      <c r="Q388" s="0" t="s">
        <v>1059</v>
      </c>
      <c r="R388" s="0" t="s">
        <v>1046</v>
      </c>
      <c r="S388" s="0" t="s">
        <v>974</v>
      </c>
    </row>
    <row r="389" customFormat="false" ht="13.8" hidden="false" customHeight="false" outlineLevel="0" collapsed="false">
      <c r="A389" s="0" t="n">
        <v>2145</v>
      </c>
      <c r="B389" s="0" t="s">
        <v>2886</v>
      </c>
      <c r="C389" s="0" t="s">
        <v>1096</v>
      </c>
      <c r="E389" s="0" t="n">
        <f aca="false">IF(J388=J389,E388+10,0)</f>
        <v>40</v>
      </c>
      <c r="F389" s="0" t="s">
        <v>2887</v>
      </c>
      <c r="G389" s="0" t="s">
        <v>2888</v>
      </c>
      <c r="H389" s="0" t="s">
        <v>2889</v>
      </c>
      <c r="I389" s="0" t="s">
        <v>1100</v>
      </c>
      <c r="J389" s="0" t="s">
        <v>2233</v>
      </c>
      <c r="K389" s="0" t="s">
        <v>971</v>
      </c>
      <c r="L389" s="0" t="s">
        <v>974</v>
      </c>
      <c r="M389" s="0" t="s">
        <v>973</v>
      </c>
      <c r="N389" s="0" t="s">
        <v>974</v>
      </c>
      <c r="O389" s="0" t="s">
        <v>975</v>
      </c>
      <c r="P389" s="0" t="s">
        <v>976</v>
      </c>
      <c r="Q389" s="0" t="s">
        <v>1307</v>
      </c>
      <c r="R389" s="0" t="s">
        <v>1046</v>
      </c>
      <c r="S389" s="0" t="s">
        <v>974</v>
      </c>
    </row>
    <row r="390" customFormat="false" ht="13.8" hidden="false" customHeight="false" outlineLevel="0" collapsed="false">
      <c r="A390" s="0" t="n">
        <v>2146</v>
      </c>
      <c r="B390" s="0" t="s">
        <v>2890</v>
      </c>
      <c r="C390" s="0" t="s">
        <v>1680</v>
      </c>
      <c r="E390" s="0" t="n">
        <f aca="false">IF(J389=J390,E389+10,0)</f>
        <v>50</v>
      </c>
      <c r="F390" s="0" t="s">
        <v>2891</v>
      </c>
      <c r="G390" s="0" t="s">
        <v>2892</v>
      </c>
      <c r="H390" s="0" t="s">
        <v>2893</v>
      </c>
      <c r="I390" s="0" t="s">
        <v>1175</v>
      </c>
      <c r="J390" s="0" t="s">
        <v>2233</v>
      </c>
      <c r="K390" s="0" t="s">
        <v>971</v>
      </c>
      <c r="L390" s="0" t="s">
        <v>974</v>
      </c>
      <c r="M390" s="0" t="s">
        <v>973</v>
      </c>
      <c r="N390" s="0" t="s">
        <v>974</v>
      </c>
      <c r="O390" s="0" t="s">
        <v>975</v>
      </c>
      <c r="P390" s="0" t="s">
        <v>976</v>
      </c>
      <c r="Q390" s="0" t="s">
        <v>975</v>
      </c>
      <c r="R390" s="0" t="s">
        <v>1046</v>
      </c>
      <c r="S390" s="0" t="s">
        <v>974</v>
      </c>
    </row>
    <row r="391" customFormat="false" ht="13.8" hidden="false" customHeight="false" outlineLevel="0" collapsed="false">
      <c r="A391" s="0" t="n">
        <v>2147</v>
      </c>
      <c r="B391" s="0" t="s">
        <v>2894</v>
      </c>
      <c r="C391" s="0" t="s">
        <v>2895</v>
      </c>
      <c r="E391" s="0" t="n">
        <f aca="false">IF(J390=J391,E390+10,0)</f>
        <v>60</v>
      </c>
      <c r="F391" s="0" t="s">
        <v>2896</v>
      </c>
      <c r="G391" s="0" t="s">
        <v>2897</v>
      </c>
      <c r="H391" s="0" t="s">
        <v>2898</v>
      </c>
      <c r="I391" s="0" t="s">
        <v>2899</v>
      </c>
      <c r="J391" s="0" t="s">
        <v>2233</v>
      </c>
      <c r="K391" s="0" t="s">
        <v>971</v>
      </c>
      <c r="L391" s="0" t="s">
        <v>974</v>
      </c>
      <c r="M391" s="0" t="s">
        <v>973</v>
      </c>
      <c r="N391" s="0" t="s">
        <v>974</v>
      </c>
      <c r="O391" s="0" t="s">
        <v>975</v>
      </c>
      <c r="P391" s="0" t="s">
        <v>976</v>
      </c>
      <c r="Q391" s="0" t="s">
        <v>1214</v>
      </c>
      <c r="R391" s="0" t="s">
        <v>970</v>
      </c>
      <c r="S391" s="0" t="s">
        <v>974</v>
      </c>
    </row>
    <row r="392" customFormat="false" ht="13.8" hidden="false" customHeight="false" outlineLevel="0" collapsed="false">
      <c r="A392" s="0" t="n">
        <v>2148</v>
      </c>
      <c r="B392" s="0" t="s">
        <v>2900</v>
      </c>
      <c r="C392" s="0" t="s">
        <v>2901</v>
      </c>
      <c r="E392" s="0" t="n">
        <f aca="false">IF(J391=J392,E391+10,0)</f>
        <v>70</v>
      </c>
      <c r="F392" s="0" t="s">
        <v>2902</v>
      </c>
      <c r="G392" s="0" t="s">
        <v>2903</v>
      </c>
      <c r="H392" s="0" t="s">
        <v>2904</v>
      </c>
      <c r="I392" s="0" t="s">
        <v>1065</v>
      </c>
      <c r="J392" s="0" t="s">
        <v>2233</v>
      </c>
      <c r="K392" s="0" t="s">
        <v>971</v>
      </c>
      <c r="L392" s="0" t="s">
        <v>974</v>
      </c>
      <c r="M392" s="0" t="s">
        <v>973</v>
      </c>
      <c r="N392" s="0" t="s">
        <v>974</v>
      </c>
      <c r="O392" s="0" t="s">
        <v>975</v>
      </c>
      <c r="P392" s="0" t="s">
        <v>976</v>
      </c>
      <c r="Q392" s="0" t="s">
        <v>970</v>
      </c>
      <c r="R392" s="0" t="s">
        <v>970</v>
      </c>
      <c r="S392" s="0" t="s">
        <v>974</v>
      </c>
    </row>
    <row r="393" customFormat="false" ht="13.8" hidden="false" customHeight="false" outlineLevel="0" collapsed="false">
      <c r="A393" s="0" t="n">
        <v>2149</v>
      </c>
      <c r="B393" s="0" t="s">
        <v>2905</v>
      </c>
      <c r="C393" s="0" t="s">
        <v>1761</v>
      </c>
      <c r="E393" s="0" t="n">
        <f aca="false">IF(J392=J393,E392+10,0)</f>
        <v>80</v>
      </c>
      <c r="F393" s="0" t="s">
        <v>2906</v>
      </c>
      <c r="G393" s="0" t="s">
        <v>2907</v>
      </c>
      <c r="H393" s="0" t="s">
        <v>2908</v>
      </c>
      <c r="I393" s="0" t="s">
        <v>1765</v>
      </c>
      <c r="J393" s="0" t="s">
        <v>2233</v>
      </c>
      <c r="K393" s="0" t="s">
        <v>971</v>
      </c>
      <c r="L393" s="0" t="s">
        <v>974</v>
      </c>
      <c r="M393" s="0" t="s">
        <v>973</v>
      </c>
      <c r="N393" s="0" t="s">
        <v>974</v>
      </c>
      <c r="O393" s="0" t="s">
        <v>975</v>
      </c>
      <c r="P393" s="0" t="s">
        <v>976</v>
      </c>
      <c r="Q393" s="0" t="s">
        <v>1737</v>
      </c>
      <c r="R393" s="0" t="s">
        <v>970</v>
      </c>
      <c r="S393" s="0" t="s">
        <v>974</v>
      </c>
    </row>
    <row r="394" customFormat="false" ht="13.8" hidden="false" customHeight="false" outlineLevel="0" collapsed="false">
      <c r="A394" s="0" t="n">
        <v>2150</v>
      </c>
      <c r="B394" s="0" t="s">
        <v>2909</v>
      </c>
      <c r="C394" s="0" t="s">
        <v>1733</v>
      </c>
      <c r="E394" s="0" t="n">
        <f aca="false">IF(J393=J394,E393+10,0)</f>
        <v>90</v>
      </c>
      <c r="F394" s="0" t="s">
        <v>2910</v>
      </c>
      <c r="G394" s="0" t="s">
        <v>2911</v>
      </c>
      <c r="H394" s="0" t="s">
        <v>2912</v>
      </c>
      <c r="I394" s="0" t="s">
        <v>1201</v>
      </c>
      <c r="J394" s="0" t="s">
        <v>2233</v>
      </c>
      <c r="K394" s="0" t="s">
        <v>971</v>
      </c>
      <c r="L394" s="0" t="s">
        <v>974</v>
      </c>
      <c r="M394" s="0" t="s">
        <v>973</v>
      </c>
      <c r="N394" s="0" t="s">
        <v>974</v>
      </c>
      <c r="O394" s="0" t="s">
        <v>975</v>
      </c>
      <c r="P394" s="0" t="s">
        <v>976</v>
      </c>
      <c r="Q394" s="0" t="s">
        <v>1046</v>
      </c>
      <c r="R394" s="0" t="s">
        <v>970</v>
      </c>
      <c r="S394" s="0" t="s">
        <v>974</v>
      </c>
    </row>
    <row r="395" customFormat="false" ht="13.8" hidden="false" customHeight="false" outlineLevel="0" collapsed="false">
      <c r="A395" s="0" t="n">
        <v>2151</v>
      </c>
      <c r="B395" s="0" t="s">
        <v>2913</v>
      </c>
      <c r="C395" s="0" t="s">
        <v>1399</v>
      </c>
      <c r="E395" s="0" t="n">
        <f aca="false">IF(J394=J395,E394+10,0)</f>
        <v>100</v>
      </c>
      <c r="F395" s="0" t="s">
        <v>2914</v>
      </c>
      <c r="G395" s="0" t="s">
        <v>2915</v>
      </c>
      <c r="H395" s="0" t="s">
        <v>2916</v>
      </c>
      <c r="I395" s="0" t="s">
        <v>1106</v>
      </c>
      <c r="J395" s="0" t="s">
        <v>2233</v>
      </c>
      <c r="K395" s="0" t="s">
        <v>971</v>
      </c>
      <c r="L395" s="0" t="s">
        <v>974</v>
      </c>
      <c r="M395" s="0" t="s">
        <v>973</v>
      </c>
      <c r="N395" s="0" t="s">
        <v>974</v>
      </c>
      <c r="O395" s="0" t="s">
        <v>975</v>
      </c>
      <c r="P395" s="0" t="s">
        <v>976</v>
      </c>
      <c r="Q395" s="0" t="s">
        <v>974</v>
      </c>
      <c r="R395" s="0" t="s">
        <v>970</v>
      </c>
      <c r="S395" s="0" t="s">
        <v>974</v>
      </c>
    </row>
    <row r="396" customFormat="false" ht="13.8" hidden="false" customHeight="false" outlineLevel="0" collapsed="false">
      <c r="A396" s="0" t="n">
        <v>2152</v>
      </c>
      <c r="B396" s="0" t="s">
        <v>2917</v>
      </c>
      <c r="C396" s="0" t="s">
        <v>2918</v>
      </c>
      <c r="E396" s="0" t="n">
        <f aca="false">IF(J395=J396,E395+10,0)</f>
        <v>0</v>
      </c>
      <c r="F396" s="0" t="s">
        <v>2919</v>
      </c>
      <c r="G396" s="0" t="s">
        <v>2920</v>
      </c>
      <c r="H396" s="0" t="s">
        <v>2921</v>
      </c>
      <c r="I396" s="0" t="s">
        <v>1711</v>
      </c>
      <c r="J396" s="0" t="s">
        <v>1186</v>
      </c>
      <c r="K396" s="0" t="s">
        <v>971</v>
      </c>
      <c r="L396" s="0" t="s">
        <v>1082</v>
      </c>
      <c r="M396" s="0" t="s">
        <v>973</v>
      </c>
      <c r="N396" s="0" t="s">
        <v>974</v>
      </c>
      <c r="O396" s="0" t="s">
        <v>975</v>
      </c>
      <c r="P396" s="0" t="s">
        <v>976</v>
      </c>
      <c r="Q396" s="0" t="s">
        <v>974</v>
      </c>
      <c r="R396" s="0" t="s">
        <v>970</v>
      </c>
      <c r="S396" s="0" t="s">
        <v>974</v>
      </c>
    </row>
    <row r="397" customFormat="false" ht="13.8" hidden="false" customHeight="false" outlineLevel="0" collapsed="false">
      <c r="A397" s="0" t="n">
        <v>2153</v>
      </c>
      <c r="B397" s="0" t="s">
        <v>2922</v>
      </c>
      <c r="C397" s="0" t="s">
        <v>1761</v>
      </c>
      <c r="E397" s="0" t="n">
        <f aca="false">IF(J396=J397,E396+10,0)</f>
        <v>10</v>
      </c>
      <c r="F397" s="0" t="s">
        <v>2923</v>
      </c>
      <c r="G397" s="0" t="s">
        <v>2924</v>
      </c>
      <c r="H397" s="0" t="s">
        <v>2925</v>
      </c>
      <c r="I397" s="0" t="s">
        <v>1765</v>
      </c>
      <c r="J397" s="0" t="s">
        <v>1186</v>
      </c>
      <c r="K397" s="0" t="s">
        <v>971</v>
      </c>
      <c r="L397" s="0" t="s">
        <v>1117</v>
      </c>
      <c r="M397" s="0" t="s">
        <v>973</v>
      </c>
      <c r="N397" s="0" t="s">
        <v>974</v>
      </c>
      <c r="O397" s="0" t="s">
        <v>975</v>
      </c>
      <c r="P397" s="0" t="s">
        <v>976</v>
      </c>
      <c r="Q397" s="0" t="s">
        <v>974</v>
      </c>
      <c r="R397" s="0" t="s">
        <v>970</v>
      </c>
      <c r="S397" s="0" t="s">
        <v>974</v>
      </c>
    </row>
    <row r="398" customFormat="false" ht="13.8" hidden="false" customHeight="false" outlineLevel="0" collapsed="false">
      <c r="A398" s="0" t="n">
        <v>2154</v>
      </c>
      <c r="B398" s="0" t="s">
        <v>2926</v>
      </c>
      <c r="C398" s="0" t="s">
        <v>1733</v>
      </c>
      <c r="E398" s="0" t="n">
        <f aca="false">IF(J397=J398,E397+10,0)</f>
        <v>20</v>
      </c>
      <c r="F398" s="0" t="s">
        <v>2927</v>
      </c>
      <c r="G398" s="0" t="s">
        <v>2928</v>
      </c>
      <c r="H398" s="0" t="s">
        <v>2929</v>
      </c>
      <c r="I398" s="0" t="s">
        <v>1201</v>
      </c>
      <c r="J398" s="0" t="s">
        <v>1186</v>
      </c>
      <c r="K398" s="0" t="s">
        <v>971</v>
      </c>
      <c r="L398" s="0" t="s">
        <v>974</v>
      </c>
      <c r="M398" s="0" t="s">
        <v>973</v>
      </c>
      <c r="N398" s="0" t="s">
        <v>974</v>
      </c>
      <c r="O398" s="0" t="s">
        <v>975</v>
      </c>
      <c r="P398" s="0" t="s">
        <v>976</v>
      </c>
      <c r="Q398" s="0" t="s">
        <v>973</v>
      </c>
      <c r="R398" s="0" t="s">
        <v>970</v>
      </c>
      <c r="S398" s="0" t="s">
        <v>974</v>
      </c>
    </row>
    <row r="399" customFormat="false" ht="13.8" hidden="false" customHeight="false" outlineLevel="0" collapsed="false">
      <c r="A399" s="0" t="n">
        <v>2155</v>
      </c>
      <c r="B399" s="0" t="s">
        <v>2930</v>
      </c>
      <c r="C399" s="0" t="s">
        <v>2744</v>
      </c>
      <c r="E399" s="0" t="n">
        <f aca="false">IF(J398=J399,E398+10,0)</f>
        <v>30</v>
      </c>
      <c r="F399" s="0" t="s">
        <v>2931</v>
      </c>
      <c r="G399" s="0" t="s">
        <v>2932</v>
      </c>
      <c r="H399" s="0" t="s">
        <v>2933</v>
      </c>
      <c r="I399" s="0" t="s">
        <v>2748</v>
      </c>
      <c r="J399" s="0" t="s">
        <v>1186</v>
      </c>
      <c r="K399" s="0" t="s">
        <v>971</v>
      </c>
      <c r="L399" s="0" t="s">
        <v>974</v>
      </c>
      <c r="M399" s="0" t="s">
        <v>973</v>
      </c>
      <c r="N399" s="0" t="s">
        <v>974</v>
      </c>
      <c r="O399" s="0" t="s">
        <v>975</v>
      </c>
      <c r="P399" s="0" t="s">
        <v>976</v>
      </c>
      <c r="Q399" s="0" t="s">
        <v>974</v>
      </c>
      <c r="R399" s="0" t="s">
        <v>970</v>
      </c>
      <c r="S399" s="0" t="s">
        <v>974</v>
      </c>
    </row>
    <row r="400" customFormat="false" ht="13.8" hidden="false" customHeight="false" outlineLevel="0" collapsed="false">
      <c r="A400" s="0" t="n">
        <v>2156</v>
      </c>
      <c r="B400" s="0" t="s">
        <v>2934</v>
      </c>
      <c r="C400" s="0" t="s">
        <v>2935</v>
      </c>
      <c r="E400" s="0" t="n">
        <f aca="false">IF(J399=J400,E399+10,0)</f>
        <v>40</v>
      </c>
      <c r="F400" s="0" t="s">
        <v>2936</v>
      </c>
      <c r="G400" s="0" t="s">
        <v>2937</v>
      </c>
      <c r="H400" s="0" t="s">
        <v>2938</v>
      </c>
      <c r="I400" s="0" t="s">
        <v>1008</v>
      </c>
      <c r="J400" s="0" t="s">
        <v>1186</v>
      </c>
      <c r="K400" s="0" t="s">
        <v>971</v>
      </c>
      <c r="L400" s="0" t="s">
        <v>974</v>
      </c>
      <c r="M400" s="0" t="s">
        <v>973</v>
      </c>
      <c r="N400" s="0" t="s">
        <v>974</v>
      </c>
      <c r="O400" s="0" t="s">
        <v>975</v>
      </c>
      <c r="P400" s="0" t="s">
        <v>976</v>
      </c>
      <c r="Q400" s="0" t="s">
        <v>1059</v>
      </c>
      <c r="R400" s="0" t="s">
        <v>970</v>
      </c>
      <c r="S400" s="0" t="s">
        <v>974</v>
      </c>
    </row>
    <row r="401" customFormat="false" ht="13.8" hidden="false" customHeight="false" outlineLevel="0" collapsed="false">
      <c r="A401" s="0" t="n">
        <v>2157</v>
      </c>
      <c r="B401" s="0" t="s">
        <v>2939</v>
      </c>
      <c r="C401" s="0" t="s">
        <v>1662</v>
      </c>
      <c r="E401" s="0" t="n">
        <f aca="false">IF(J400=J401,E400+10,0)</f>
        <v>50</v>
      </c>
      <c r="F401" s="0" t="s">
        <v>2940</v>
      </c>
      <c r="G401" s="0" t="s">
        <v>2941</v>
      </c>
      <c r="H401" s="0" t="s">
        <v>2942</v>
      </c>
      <c r="I401" s="0" t="s">
        <v>1666</v>
      </c>
      <c r="J401" s="0" t="s">
        <v>1186</v>
      </c>
      <c r="K401" s="0" t="s">
        <v>971</v>
      </c>
      <c r="L401" s="0" t="s">
        <v>974</v>
      </c>
      <c r="M401" s="0" t="s">
        <v>973</v>
      </c>
      <c r="N401" s="0" t="s">
        <v>974</v>
      </c>
      <c r="O401" s="0" t="s">
        <v>975</v>
      </c>
      <c r="P401" s="0" t="s">
        <v>976</v>
      </c>
      <c r="Q401" s="0" t="s">
        <v>1059</v>
      </c>
      <c r="R401" s="0" t="s">
        <v>1046</v>
      </c>
      <c r="S401" s="0" t="s">
        <v>974</v>
      </c>
    </row>
    <row r="402" customFormat="false" ht="13.8" hidden="false" customHeight="false" outlineLevel="0" collapsed="false">
      <c r="A402" s="0" t="n">
        <v>2158</v>
      </c>
      <c r="B402" s="0" t="s">
        <v>2943</v>
      </c>
      <c r="C402" s="0" t="s">
        <v>2766</v>
      </c>
      <c r="E402" s="0" t="n">
        <f aca="false">IF(J401=J402,E401+10,0)</f>
        <v>60</v>
      </c>
      <c r="F402" s="0" t="s">
        <v>2944</v>
      </c>
      <c r="G402" s="0" t="s">
        <v>2945</v>
      </c>
      <c r="H402" s="0" t="s">
        <v>2946</v>
      </c>
      <c r="I402" s="0" t="s">
        <v>1033</v>
      </c>
      <c r="J402" s="0" t="s">
        <v>1186</v>
      </c>
      <c r="K402" s="0" t="s">
        <v>971</v>
      </c>
      <c r="L402" s="0" t="s">
        <v>974</v>
      </c>
      <c r="M402" s="0" t="s">
        <v>973</v>
      </c>
      <c r="N402" s="0" t="s">
        <v>974</v>
      </c>
      <c r="O402" s="0" t="s">
        <v>975</v>
      </c>
      <c r="P402" s="0" t="s">
        <v>976</v>
      </c>
      <c r="Q402" s="0" t="s">
        <v>1059</v>
      </c>
      <c r="R402" s="0" t="s">
        <v>970</v>
      </c>
      <c r="S402" s="0" t="s">
        <v>974</v>
      </c>
    </row>
    <row r="403" customFormat="false" ht="13.8" hidden="false" customHeight="false" outlineLevel="0" collapsed="false">
      <c r="A403" s="0" t="n">
        <v>2159</v>
      </c>
      <c r="B403" s="0" t="s">
        <v>2947</v>
      </c>
      <c r="C403" s="0" t="s">
        <v>1363</v>
      </c>
      <c r="E403" s="0" t="n">
        <f aca="false">IF(J402=J403,E402+10,0)</f>
        <v>70</v>
      </c>
      <c r="F403" s="0" t="s">
        <v>2948</v>
      </c>
      <c r="G403" s="0" t="s">
        <v>2949</v>
      </c>
      <c r="H403" s="0" t="s">
        <v>2950</v>
      </c>
      <c r="I403" s="0" t="s">
        <v>1021</v>
      </c>
      <c r="J403" s="0" t="s">
        <v>1186</v>
      </c>
      <c r="K403" s="0" t="s">
        <v>971</v>
      </c>
      <c r="L403" s="0" t="s">
        <v>974</v>
      </c>
      <c r="M403" s="0" t="s">
        <v>973</v>
      </c>
      <c r="N403" s="0" t="s">
        <v>974</v>
      </c>
      <c r="O403" s="0" t="s">
        <v>975</v>
      </c>
      <c r="P403" s="0" t="s">
        <v>976</v>
      </c>
      <c r="Q403" s="0" t="s">
        <v>1059</v>
      </c>
      <c r="R403" s="0" t="s">
        <v>1046</v>
      </c>
      <c r="S403" s="0" t="s">
        <v>974</v>
      </c>
    </row>
    <row r="404" customFormat="false" ht="13.8" hidden="false" customHeight="false" outlineLevel="0" collapsed="false">
      <c r="A404" s="0" t="n">
        <v>2160</v>
      </c>
      <c r="B404" s="0" t="s">
        <v>2951</v>
      </c>
      <c r="C404" s="0" t="s">
        <v>1096</v>
      </c>
      <c r="E404" s="0" t="n">
        <f aca="false">IF(J403=J404,E403+10,0)</f>
        <v>80</v>
      </c>
      <c r="F404" s="0" t="s">
        <v>2952</v>
      </c>
      <c r="G404" s="0" t="s">
        <v>2953</v>
      </c>
      <c r="H404" s="0" t="s">
        <v>2954</v>
      </c>
      <c r="I404" s="0" t="s">
        <v>1100</v>
      </c>
      <c r="J404" s="0" t="s">
        <v>1186</v>
      </c>
      <c r="K404" s="0" t="s">
        <v>971</v>
      </c>
      <c r="L404" s="0" t="s">
        <v>974</v>
      </c>
      <c r="M404" s="0" t="s">
        <v>973</v>
      </c>
      <c r="N404" s="0" t="s">
        <v>974</v>
      </c>
      <c r="O404" s="0" t="s">
        <v>975</v>
      </c>
      <c r="P404" s="0" t="s">
        <v>976</v>
      </c>
      <c r="Q404" s="0" t="s">
        <v>970</v>
      </c>
      <c r="R404" s="0" t="s">
        <v>1046</v>
      </c>
      <c r="S404" s="0" t="s">
        <v>974</v>
      </c>
    </row>
    <row r="405" customFormat="false" ht="13.8" hidden="false" customHeight="false" outlineLevel="0" collapsed="false">
      <c r="A405" s="0" t="n">
        <v>2161</v>
      </c>
      <c r="B405" s="0" t="s">
        <v>2955</v>
      </c>
      <c r="C405" s="0" t="s">
        <v>1336</v>
      </c>
      <c r="E405" s="0" t="n">
        <f aca="false">IF(J404=J405,E404+10,0)</f>
        <v>90</v>
      </c>
      <c r="F405" s="0" t="s">
        <v>2956</v>
      </c>
      <c r="G405" s="0" t="s">
        <v>2957</v>
      </c>
      <c r="H405" s="0" t="s">
        <v>2958</v>
      </c>
      <c r="I405" s="0" t="s">
        <v>1065</v>
      </c>
      <c r="J405" s="0" t="s">
        <v>1186</v>
      </c>
      <c r="K405" s="0" t="s">
        <v>971</v>
      </c>
      <c r="L405" s="0" t="s">
        <v>974</v>
      </c>
      <c r="M405" s="0" t="s">
        <v>973</v>
      </c>
      <c r="N405" s="0" t="s">
        <v>974</v>
      </c>
      <c r="O405" s="0" t="s">
        <v>975</v>
      </c>
      <c r="P405" s="0" t="s">
        <v>976</v>
      </c>
      <c r="Q405" s="0" t="s">
        <v>970</v>
      </c>
      <c r="R405" s="0" t="s">
        <v>970</v>
      </c>
      <c r="S405" s="0" t="s">
        <v>974</v>
      </c>
    </row>
    <row r="406" customFormat="false" ht="13.8" hidden="false" customHeight="false" outlineLevel="0" collapsed="false">
      <c r="A406" s="0" t="n">
        <v>2162</v>
      </c>
      <c r="B406" s="0" t="s">
        <v>2959</v>
      </c>
      <c r="C406" s="0" t="s">
        <v>2960</v>
      </c>
      <c r="E406" s="0" t="n">
        <f aca="false">IF(J405=J406,E405+10,0)</f>
        <v>100</v>
      </c>
      <c r="F406" s="0" t="s">
        <v>2961</v>
      </c>
      <c r="G406" s="0" t="s">
        <v>2962</v>
      </c>
      <c r="H406" s="0" t="s">
        <v>2963</v>
      </c>
      <c r="I406" s="0" t="s">
        <v>1625</v>
      </c>
      <c r="J406" s="0" t="s">
        <v>1186</v>
      </c>
      <c r="K406" s="0" t="s">
        <v>971</v>
      </c>
      <c r="L406" s="0" t="s">
        <v>1059</v>
      </c>
      <c r="M406" s="0" t="s">
        <v>973</v>
      </c>
      <c r="N406" s="0" t="s">
        <v>974</v>
      </c>
      <c r="O406" s="0" t="s">
        <v>975</v>
      </c>
      <c r="P406" s="0" t="s">
        <v>976</v>
      </c>
      <c r="Q406" s="0" t="s">
        <v>974</v>
      </c>
      <c r="R406" s="0" t="s">
        <v>970</v>
      </c>
      <c r="S406" s="0" t="s">
        <v>974</v>
      </c>
    </row>
    <row r="407" customFormat="false" ht="13.8" hidden="false" customHeight="false" outlineLevel="0" collapsed="false">
      <c r="A407" s="0" t="n">
        <v>2163</v>
      </c>
      <c r="B407" s="0" t="s">
        <v>2964</v>
      </c>
      <c r="C407" s="0" t="s">
        <v>2965</v>
      </c>
      <c r="E407" s="0" t="n">
        <f aca="false">IF(J406=J407,E406+10,0)</f>
        <v>110</v>
      </c>
      <c r="F407" s="0" t="s">
        <v>2966</v>
      </c>
      <c r="G407" s="0" t="s">
        <v>2967</v>
      </c>
      <c r="H407" s="0" t="s">
        <v>2968</v>
      </c>
      <c r="I407" s="0" t="s">
        <v>2969</v>
      </c>
      <c r="J407" s="0" t="s">
        <v>1186</v>
      </c>
      <c r="K407" s="0" t="s">
        <v>971</v>
      </c>
      <c r="L407" s="0" t="s">
        <v>974</v>
      </c>
      <c r="M407" s="0" t="s">
        <v>973</v>
      </c>
      <c r="N407" s="0" t="s">
        <v>1186</v>
      </c>
      <c r="O407" s="0" t="s">
        <v>975</v>
      </c>
      <c r="P407" s="0" t="s">
        <v>976</v>
      </c>
      <c r="Q407" s="0" t="s">
        <v>974</v>
      </c>
      <c r="R407" s="0" t="s">
        <v>970</v>
      </c>
      <c r="S407" s="0" t="s">
        <v>974</v>
      </c>
    </row>
    <row r="408" customFormat="false" ht="13.8" hidden="false" customHeight="false" outlineLevel="0" collapsed="false">
      <c r="A408" s="0" t="n">
        <v>2164</v>
      </c>
      <c r="B408" s="0" t="s">
        <v>2970</v>
      </c>
      <c r="C408" s="0" t="s">
        <v>2971</v>
      </c>
      <c r="E408" s="0" t="n">
        <f aca="false">IF(J407=J408,E407+10,0)</f>
        <v>0</v>
      </c>
      <c r="F408" s="0" t="s">
        <v>2972</v>
      </c>
      <c r="G408" s="0" t="s">
        <v>2973</v>
      </c>
      <c r="H408" s="0" t="s">
        <v>2974</v>
      </c>
      <c r="I408" s="0" t="s">
        <v>2975</v>
      </c>
      <c r="J408" s="0" t="s">
        <v>2976</v>
      </c>
      <c r="K408" s="0" t="s">
        <v>971</v>
      </c>
      <c r="L408" s="0" t="s">
        <v>2977</v>
      </c>
      <c r="M408" s="0" t="s">
        <v>973</v>
      </c>
      <c r="N408" s="0" t="s">
        <v>974</v>
      </c>
      <c r="O408" s="0" t="s">
        <v>975</v>
      </c>
      <c r="P408" s="0" t="s">
        <v>976</v>
      </c>
      <c r="Q408" s="0" t="s">
        <v>974</v>
      </c>
      <c r="R408" s="0" t="s">
        <v>970</v>
      </c>
      <c r="S408" s="0" t="s">
        <v>974</v>
      </c>
    </row>
    <row r="409" customFormat="false" ht="13.8" hidden="false" customHeight="false" outlineLevel="0" collapsed="false">
      <c r="A409" s="0" t="n">
        <v>2165</v>
      </c>
      <c r="B409" s="0" t="s">
        <v>2978</v>
      </c>
      <c r="C409" s="0" t="s">
        <v>2979</v>
      </c>
      <c r="E409" s="0" t="n">
        <f aca="false">IF(J408=J409,E408+10,0)</f>
        <v>10</v>
      </c>
      <c r="F409" s="0" t="s">
        <v>2980</v>
      </c>
      <c r="G409" s="0" t="s">
        <v>2981</v>
      </c>
      <c r="H409" s="0" t="s">
        <v>2982</v>
      </c>
      <c r="I409" s="0" t="s">
        <v>1452</v>
      </c>
      <c r="J409" s="0" t="s">
        <v>2976</v>
      </c>
      <c r="K409" s="0" t="s">
        <v>971</v>
      </c>
      <c r="L409" s="0" t="s">
        <v>2983</v>
      </c>
      <c r="M409" s="0" t="s">
        <v>973</v>
      </c>
      <c r="N409" s="0" t="s">
        <v>974</v>
      </c>
      <c r="O409" s="0" t="s">
        <v>975</v>
      </c>
      <c r="P409" s="0" t="s">
        <v>976</v>
      </c>
      <c r="Q409" s="0" t="s">
        <v>974</v>
      </c>
      <c r="R409" s="0" t="s">
        <v>970</v>
      </c>
      <c r="S409" s="0" t="s">
        <v>974</v>
      </c>
    </row>
    <row r="410" customFormat="false" ht="13.8" hidden="false" customHeight="false" outlineLevel="0" collapsed="false">
      <c r="A410" s="0" t="n">
        <v>2166</v>
      </c>
      <c r="B410" s="0" t="s">
        <v>2984</v>
      </c>
      <c r="C410" s="0" t="s">
        <v>1598</v>
      </c>
      <c r="E410" s="0" t="n">
        <f aca="false">IF(J409=J410,E409+10,0)</f>
        <v>20</v>
      </c>
      <c r="F410" s="0" t="s">
        <v>2985</v>
      </c>
      <c r="G410" s="0" t="s">
        <v>2986</v>
      </c>
      <c r="H410" s="0" t="s">
        <v>2987</v>
      </c>
      <c r="I410" s="0" t="s">
        <v>1180</v>
      </c>
      <c r="J410" s="0" t="s">
        <v>2976</v>
      </c>
      <c r="K410" s="0" t="s">
        <v>971</v>
      </c>
      <c r="L410" s="0" t="s">
        <v>974</v>
      </c>
      <c r="M410" s="0" t="s">
        <v>973</v>
      </c>
      <c r="N410" s="0" t="s">
        <v>974</v>
      </c>
      <c r="O410" s="0" t="s">
        <v>975</v>
      </c>
      <c r="P410" s="0" t="s">
        <v>976</v>
      </c>
      <c r="Q410" s="0" t="s">
        <v>2988</v>
      </c>
      <c r="R410" s="0" t="s">
        <v>1046</v>
      </c>
      <c r="S410" s="0" t="s">
        <v>974</v>
      </c>
    </row>
    <row r="411" customFormat="false" ht="13.8" hidden="false" customHeight="false" outlineLevel="0" collapsed="false">
      <c r="A411" s="0" t="n">
        <v>2167</v>
      </c>
      <c r="B411" s="0" t="s">
        <v>2989</v>
      </c>
      <c r="C411" s="0" t="s">
        <v>1583</v>
      </c>
      <c r="E411" s="0" t="n">
        <f aca="false">IF(J410=J411,E410+10,0)</f>
        <v>30</v>
      </c>
      <c r="F411" s="0" t="s">
        <v>2990</v>
      </c>
      <c r="G411" s="0" t="s">
        <v>2991</v>
      </c>
      <c r="H411" s="0" t="s">
        <v>2992</v>
      </c>
      <c r="I411" s="0" t="s">
        <v>1587</v>
      </c>
      <c r="J411" s="0" t="s">
        <v>2976</v>
      </c>
      <c r="K411" s="0" t="s">
        <v>971</v>
      </c>
      <c r="L411" s="0" t="s">
        <v>974</v>
      </c>
      <c r="M411" s="0" t="s">
        <v>973</v>
      </c>
      <c r="N411" s="0" t="s">
        <v>974</v>
      </c>
      <c r="O411" s="0" t="s">
        <v>975</v>
      </c>
      <c r="P411" s="0" t="s">
        <v>976</v>
      </c>
      <c r="Q411" s="0" t="s">
        <v>2993</v>
      </c>
      <c r="R411" s="0" t="s">
        <v>1046</v>
      </c>
      <c r="S411" s="0" t="s">
        <v>974</v>
      </c>
    </row>
    <row r="412" customFormat="false" ht="13.8" hidden="false" customHeight="false" outlineLevel="0" collapsed="false">
      <c r="A412" s="0" t="n">
        <v>2168</v>
      </c>
      <c r="B412" s="0" t="s">
        <v>2994</v>
      </c>
      <c r="C412" s="0" t="s">
        <v>2995</v>
      </c>
      <c r="E412" s="0" t="n">
        <f aca="false">IF(J411=J412,E411+10,0)</f>
        <v>40</v>
      </c>
      <c r="F412" s="0" t="s">
        <v>2996</v>
      </c>
      <c r="G412" s="0" t="s">
        <v>2997</v>
      </c>
      <c r="H412" s="0" t="s">
        <v>2998</v>
      </c>
      <c r="I412" s="0" t="s">
        <v>2999</v>
      </c>
      <c r="J412" s="0" t="s">
        <v>2976</v>
      </c>
      <c r="K412" s="0" t="s">
        <v>971</v>
      </c>
      <c r="L412" s="0" t="s">
        <v>3000</v>
      </c>
      <c r="M412" s="0" t="s">
        <v>973</v>
      </c>
      <c r="N412" s="0" t="s">
        <v>974</v>
      </c>
      <c r="O412" s="0" t="s">
        <v>975</v>
      </c>
      <c r="P412" s="0" t="s">
        <v>976</v>
      </c>
      <c r="Q412" s="0" t="s">
        <v>974</v>
      </c>
      <c r="R412" s="0" t="s">
        <v>970</v>
      </c>
      <c r="S412" s="0" t="s">
        <v>974</v>
      </c>
    </row>
    <row r="413" customFormat="false" ht="13.8" hidden="false" customHeight="false" outlineLevel="0" collapsed="false">
      <c r="A413" s="0" t="n">
        <v>2169</v>
      </c>
      <c r="B413" s="0" t="s">
        <v>3001</v>
      </c>
      <c r="C413" s="0" t="s">
        <v>978</v>
      </c>
      <c r="E413" s="0" t="n">
        <f aca="false">IF(J412=J413,E412+10,0)</f>
        <v>50</v>
      </c>
      <c r="F413" s="0" t="s">
        <v>3002</v>
      </c>
      <c r="G413" s="0" t="s">
        <v>3003</v>
      </c>
      <c r="H413" s="0" t="s">
        <v>3004</v>
      </c>
      <c r="I413" s="0" t="s">
        <v>982</v>
      </c>
      <c r="J413" s="0" t="s">
        <v>2976</v>
      </c>
      <c r="K413" s="0" t="s">
        <v>971</v>
      </c>
      <c r="L413" s="0" t="s">
        <v>3005</v>
      </c>
      <c r="M413" s="0" t="s">
        <v>973</v>
      </c>
      <c r="N413" s="0" t="s">
        <v>974</v>
      </c>
      <c r="O413" s="0" t="s">
        <v>975</v>
      </c>
      <c r="P413" s="0" t="s">
        <v>976</v>
      </c>
      <c r="Q413" s="0" t="s">
        <v>974</v>
      </c>
      <c r="R413" s="0" t="s">
        <v>970</v>
      </c>
      <c r="S413" s="0" t="s">
        <v>974</v>
      </c>
    </row>
    <row r="414" customFormat="false" ht="13.8" hidden="false" customHeight="false" outlineLevel="0" collapsed="false">
      <c r="A414" s="0" t="n">
        <v>2170</v>
      </c>
      <c r="B414" s="0" t="s">
        <v>3006</v>
      </c>
      <c r="C414" s="0" t="s">
        <v>1146</v>
      </c>
      <c r="E414" s="0" t="n">
        <f aca="false">IF(J413=J414,E413+10,0)</f>
        <v>60</v>
      </c>
      <c r="F414" s="0" t="s">
        <v>3007</v>
      </c>
      <c r="G414" s="0" t="s">
        <v>3008</v>
      </c>
      <c r="H414" s="0" t="s">
        <v>3009</v>
      </c>
      <c r="I414" s="0" t="s">
        <v>1150</v>
      </c>
      <c r="J414" s="0" t="s">
        <v>2976</v>
      </c>
      <c r="K414" s="0" t="s">
        <v>971</v>
      </c>
      <c r="L414" s="0" t="s">
        <v>3010</v>
      </c>
      <c r="M414" s="0" t="s">
        <v>973</v>
      </c>
      <c r="N414" s="0" t="s">
        <v>974</v>
      </c>
      <c r="O414" s="0" t="s">
        <v>975</v>
      </c>
      <c r="P414" s="0" t="s">
        <v>976</v>
      </c>
      <c r="Q414" s="0" t="s">
        <v>974</v>
      </c>
      <c r="R414" s="0" t="s">
        <v>970</v>
      </c>
      <c r="S414" s="0" t="s">
        <v>974</v>
      </c>
    </row>
    <row r="415" customFormat="false" ht="13.8" hidden="false" customHeight="false" outlineLevel="0" collapsed="false">
      <c r="A415" s="0" t="n">
        <v>2171</v>
      </c>
      <c r="B415" s="0" t="s">
        <v>3011</v>
      </c>
      <c r="C415" s="0" t="s">
        <v>3012</v>
      </c>
      <c r="E415" s="0" t="n">
        <f aca="false">IF(J414=J415,E414+10,0)</f>
        <v>70</v>
      </c>
      <c r="F415" s="0" t="s">
        <v>3013</v>
      </c>
      <c r="G415" s="0" t="s">
        <v>3014</v>
      </c>
      <c r="H415" s="0" t="s">
        <v>3015</v>
      </c>
      <c r="I415" s="0" t="s">
        <v>995</v>
      </c>
      <c r="J415" s="0" t="s">
        <v>2976</v>
      </c>
      <c r="K415" s="0" t="s">
        <v>971</v>
      </c>
      <c r="L415" s="0" t="s">
        <v>2993</v>
      </c>
      <c r="M415" s="0" t="s">
        <v>973</v>
      </c>
      <c r="N415" s="0" t="s">
        <v>974</v>
      </c>
      <c r="O415" s="0" t="s">
        <v>975</v>
      </c>
      <c r="P415" s="0" t="s">
        <v>976</v>
      </c>
      <c r="Q415" s="0" t="s">
        <v>974</v>
      </c>
      <c r="R415" s="0" t="s">
        <v>970</v>
      </c>
      <c r="S415" s="0" t="s">
        <v>974</v>
      </c>
    </row>
    <row r="416" customFormat="false" ht="13.8" hidden="false" customHeight="false" outlineLevel="0" collapsed="false">
      <c r="A416" s="0" t="n">
        <v>2172</v>
      </c>
      <c r="B416" s="0" t="s">
        <v>3016</v>
      </c>
      <c r="C416" s="0" t="s">
        <v>1823</v>
      </c>
      <c r="E416" s="0" t="n">
        <f aca="false">IF(J415=J416,E415+10,0)</f>
        <v>80</v>
      </c>
      <c r="F416" s="0" t="s">
        <v>3017</v>
      </c>
      <c r="G416" s="0" t="s">
        <v>3018</v>
      </c>
      <c r="H416" s="0" t="s">
        <v>3019</v>
      </c>
      <c r="I416" s="0" t="s">
        <v>1827</v>
      </c>
      <c r="J416" s="0" t="s">
        <v>2976</v>
      </c>
      <c r="K416" s="0" t="s">
        <v>971</v>
      </c>
      <c r="L416" s="0" t="s">
        <v>3010</v>
      </c>
      <c r="M416" s="0" t="s">
        <v>973</v>
      </c>
      <c r="N416" s="0" t="s">
        <v>974</v>
      </c>
      <c r="O416" s="0" t="s">
        <v>975</v>
      </c>
      <c r="P416" s="0" t="s">
        <v>976</v>
      </c>
      <c r="Q416" s="0" t="s">
        <v>974</v>
      </c>
      <c r="R416" s="0" t="s">
        <v>970</v>
      </c>
      <c r="S416" s="0" t="s">
        <v>974</v>
      </c>
    </row>
    <row r="417" customFormat="false" ht="13.8" hidden="false" customHeight="false" outlineLevel="0" collapsed="false">
      <c r="A417" s="0" t="n">
        <v>2173</v>
      </c>
      <c r="B417" s="0" t="s">
        <v>3020</v>
      </c>
      <c r="C417" s="0" t="s">
        <v>2218</v>
      </c>
      <c r="E417" s="0" t="n">
        <f aca="false">IF(J416=J417,E416+10,0)</f>
        <v>90</v>
      </c>
      <c r="F417" s="0" t="s">
        <v>3021</v>
      </c>
      <c r="G417" s="0" t="s">
        <v>3022</v>
      </c>
      <c r="H417" s="0" t="s">
        <v>3023</v>
      </c>
      <c r="I417" s="0" t="s">
        <v>2222</v>
      </c>
      <c r="J417" s="0" t="s">
        <v>2976</v>
      </c>
      <c r="K417" s="0" t="s">
        <v>971</v>
      </c>
      <c r="L417" s="0" t="s">
        <v>974</v>
      </c>
      <c r="M417" s="0" t="s">
        <v>973</v>
      </c>
      <c r="N417" s="0" t="s">
        <v>974</v>
      </c>
      <c r="O417" s="0" t="s">
        <v>975</v>
      </c>
      <c r="P417" s="0" t="s">
        <v>976</v>
      </c>
      <c r="Q417" s="0" t="s">
        <v>2993</v>
      </c>
      <c r="R417" s="0" t="s">
        <v>1046</v>
      </c>
      <c r="S417" s="0" t="s">
        <v>974</v>
      </c>
    </row>
    <row r="418" customFormat="false" ht="13.8" hidden="false" customHeight="false" outlineLevel="0" collapsed="false">
      <c r="A418" s="0" t="n">
        <v>2174</v>
      </c>
      <c r="B418" s="0" t="s">
        <v>3024</v>
      </c>
      <c r="C418" s="0" t="s">
        <v>3025</v>
      </c>
      <c r="E418" s="0" t="n">
        <f aca="false">IF(J417=J418,E417+10,0)</f>
        <v>100</v>
      </c>
      <c r="F418" s="0" t="s">
        <v>3026</v>
      </c>
      <c r="G418" s="0" t="s">
        <v>3027</v>
      </c>
      <c r="H418" s="0" t="s">
        <v>3028</v>
      </c>
      <c r="I418" s="0" t="s">
        <v>3029</v>
      </c>
      <c r="J418" s="0" t="s">
        <v>2976</v>
      </c>
      <c r="K418" s="0" t="s">
        <v>971</v>
      </c>
      <c r="L418" s="0" t="s">
        <v>974</v>
      </c>
      <c r="M418" s="0" t="s">
        <v>973</v>
      </c>
      <c r="N418" s="0" t="s">
        <v>974</v>
      </c>
      <c r="O418" s="0" t="s">
        <v>975</v>
      </c>
      <c r="P418" s="0" t="s">
        <v>976</v>
      </c>
      <c r="Q418" s="0" t="s">
        <v>2993</v>
      </c>
      <c r="R418" s="0" t="s">
        <v>1046</v>
      </c>
      <c r="S418" s="0" t="s">
        <v>974</v>
      </c>
    </row>
    <row r="419" customFormat="false" ht="13.8" hidden="false" customHeight="false" outlineLevel="0" collapsed="false">
      <c r="A419" s="0" t="n">
        <v>2175</v>
      </c>
      <c r="B419" s="0" t="s">
        <v>3030</v>
      </c>
      <c r="C419" s="0" t="s">
        <v>3031</v>
      </c>
      <c r="E419" s="0" t="n">
        <f aca="false">IF(J418=J419,E418+10,0)</f>
        <v>110</v>
      </c>
      <c r="F419" s="0" t="s">
        <v>3032</v>
      </c>
      <c r="G419" s="0" t="s">
        <v>3033</v>
      </c>
      <c r="H419" s="0" t="s">
        <v>3034</v>
      </c>
      <c r="I419" s="0" t="s">
        <v>3035</v>
      </c>
      <c r="J419" s="0" t="s">
        <v>2976</v>
      </c>
      <c r="K419" s="0" t="s">
        <v>971</v>
      </c>
      <c r="L419" s="0" t="s">
        <v>974</v>
      </c>
      <c r="M419" s="0" t="s">
        <v>973</v>
      </c>
      <c r="N419" s="0" t="s">
        <v>974</v>
      </c>
      <c r="O419" s="0" t="s">
        <v>975</v>
      </c>
      <c r="P419" s="0" t="s">
        <v>976</v>
      </c>
      <c r="Q419" s="0" t="s">
        <v>2983</v>
      </c>
      <c r="R419" s="0" t="s">
        <v>970</v>
      </c>
      <c r="S419" s="0" t="s">
        <v>974</v>
      </c>
    </row>
    <row r="420" customFormat="false" ht="13.8" hidden="false" customHeight="false" outlineLevel="0" collapsed="false">
      <c r="A420" s="0" t="n">
        <v>2176</v>
      </c>
      <c r="B420" s="0" t="s">
        <v>3036</v>
      </c>
      <c r="C420" s="0" t="s">
        <v>3037</v>
      </c>
      <c r="E420" s="0" t="n">
        <f aca="false">IF(J419=J420,E419+10,0)</f>
        <v>120</v>
      </c>
      <c r="F420" s="0" t="s">
        <v>3038</v>
      </c>
      <c r="G420" s="0" t="s">
        <v>3039</v>
      </c>
      <c r="H420" s="0" t="s">
        <v>3040</v>
      </c>
      <c r="I420" s="0" t="s">
        <v>1444</v>
      </c>
      <c r="J420" s="0" t="s">
        <v>2976</v>
      </c>
      <c r="K420" s="0" t="s">
        <v>971</v>
      </c>
      <c r="L420" s="0" t="s">
        <v>974</v>
      </c>
      <c r="M420" s="0" t="s">
        <v>973</v>
      </c>
      <c r="N420" s="0" t="s">
        <v>3041</v>
      </c>
      <c r="O420" s="0" t="s">
        <v>975</v>
      </c>
      <c r="P420" s="0" t="s">
        <v>976</v>
      </c>
      <c r="Q420" s="0" t="s">
        <v>974</v>
      </c>
      <c r="R420" s="0" t="s">
        <v>970</v>
      </c>
      <c r="S420" s="0" t="s">
        <v>974</v>
      </c>
    </row>
    <row r="421" customFormat="false" ht="13.8" hidden="false" customHeight="false" outlineLevel="0" collapsed="false">
      <c r="A421" s="0" t="n">
        <v>2177</v>
      </c>
      <c r="B421" s="0" t="s">
        <v>3042</v>
      </c>
      <c r="C421" s="0" t="s">
        <v>3043</v>
      </c>
      <c r="E421" s="0" t="n">
        <f aca="false">IF(J420=J421,E420+10,0)</f>
        <v>130</v>
      </c>
      <c r="F421" s="0" t="s">
        <v>3044</v>
      </c>
      <c r="G421" s="0" t="s">
        <v>3045</v>
      </c>
      <c r="H421" s="0" t="s">
        <v>3046</v>
      </c>
      <c r="I421" s="0" t="s">
        <v>1254</v>
      </c>
      <c r="J421" s="0" t="s">
        <v>2976</v>
      </c>
      <c r="K421" s="0" t="s">
        <v>971</v>
      </c>
      <c r="L421" s="0" t="s">
        <v>3047</v>
      </c>
      <c r="M421" s="0" t="s">
        <v>1459</v>
      </c>
      <c r="N421" s="0" t="s">
        <v>974</v>
      </c>
      <c r="O421" s="0" t="s">
        <v>975</v>
      </c>
      <c r="P421" s="0" t="s">
        <v>976</v>
      </c>
      <c r="Q421" s="0" t="s">
        <v>974</v>
      </c>
      <c r="R421" s="0" t="s">
        <v>970</v>
      </c>
      <c r="S421" s="0" t="s">
        <v>974</v>
      </c>
    </row>
    <row r="422" customFormat="false" ht="13.8" hidden="false" customHeight="false" outlineLevel="0" collapsed="false">
      <c r="A422" s="0" t="n">
        <v>2178</v>
      </c>
      <c r="B422" s="0" t="s">
        <v>3048</v>
      </c>
      <c r="C422" s="0" t="s">
        <v>3049</v>
      </c>
      <c r="E422" s="0" t="n">
        <f aca="false">IF(J421=J422,E421+10,0)</f>
        <v>140</v>
      </c>
      <c r="F422" s="0" t="s">
        <v>3050</v>
      </c>
      <c r="G422" s="0" t="s">
        <v>3051</v>
      </c>
      <c r="H422" s="0" t="s">
        <v>3052</v>
      </c>
      <c r="I422" s="0" t="s">
        <v>1797</v>
      </c>
      <c r="J422" s="0" t="s">
        <v>2976</v>
      </c>
      <c r="K422" s="0" t="s">
        <v>971</v>
      </c>
      <c r="L422" s="0" t="s">
        <v>974</v>
      </c>
      <c r="M422" s="0" t="s">
        <v>973</v>
      </c>
      <c r="N422" s="0" t="s">
        <v>974</v>
      </c>
      <c r="O422" s="0" t="s">
        <v>975</v>
      </c>
      <c r="P422" s="0" t="s">
        <v>976</v>
      </c>
      <c r="Q422" s="0" t="s">
        <v>974</v>
      </c>
      <c r="R422" s="0" t="s">
        <v>970</v>
      </c>
      <c r="S422" s="0" t="s">
        <v>974</v>
      </c>
    </row>
    <row r="423" customFormat="false" ht="13.8" hidden="false" customHeight="false" outlineLevel="0" collapsed="false">
      <c r="A423" s="0" t="n">
        <v>2179</v>
      </c>
      <c r="B423" s="0" t="s">
        <v>3053</v>
      </c>
      <c r="C423" s="0" t="s">
        <v>1054</v>
      </c>
      <c r="E423" s="0" t="n">
        <f aca="false">IF(J422=J423,E422+10,0)</f>
        <v>150</v>
      </c>
      <c r="F423" s="0" t="s">
        <v>3054</v>
      </c>
      <c r="G423" s="0" t="s">
        <v>3055</v>
      </c>
      <c r="H423" s="0" t="s">
        <v>3056</v>
      </c>
      <c r="I423" s="0" t="s">
        <v>1058</v>
      </c>
      <c r="J423" s="0" t="s">
        <v>2976</v>
      </c>
      <c r="K423" s="0" t="s">
        <v>971</v>
      </c>
      <c r="L423" s="0" t="s">
        <v>974</v>
      </c>
      <c r="M423" s="0" t="s">
        <v>973</v>
      </c>
      <c r="N423" s="0" t="s">
        <v>974</v>
      </c>
      <c r="O423" s="0" t="s">
        <v>975</v>
      </c>
      <c r="P423" s="0" t="s">
        <v>976</v>
      </c>
      <c r="Q423" s="0" t="s">
        <v>2993</v>
      </c>
      <c r="R423" s="0" t="s">
        <v>970</v>
      </c>
      <c r="S423" s="0" t="s">
        <v>974</v>
      </c>
    </row>
    <row r="424" customFormat="false" ht="13.8" hidden="false" customHeight="false" outlineLevel="0" collapsed="false">
      <c r="A424" s="0" t="n">
        <v>2180</v>
      </c>
      <c r="B424" s="0" t="s">
        <v>3057</v>
      </c>
      <c r="C424" s="0" t="s">
        <v>1662</v>
      </c>
      <c r="E424" s="0" t="n">
        <f aca="false">IF(J423=J424,E423+10,0)</f>
        <v>160</v>
      </c>
      <c r="F424" s="0" t="s">
        <v>3058</v>
      </c>
      <c r="G424" s="0" t="s">
        <v>3059</v>
      </c>
      <c r="H424" s="0" t="s">
        <v>3060</v>
      </c>
      <c r="I424" s="0" t="s">
        <v>1666</v>
      </c>
      <c r="J424" s="0" t="s">
        <v>2976</v>
      </c>
      <c r="K424" s="0" t="s">
        <v>971</v>
      </c>
      <c r="L424" s="0" t="s">
        <v>974</v>
      </c>
      <c r="M424" s="0" t="s">
        <v>973</v>
      </c>
      <c r="N424" s="0" t="s">
        <v>974</v>
      </c>
      <c r="O424" s="0" t="s">
        <v>975</v>
      </c>
      <c r="P424" s="0" t="s">
        <v>976</v>
      </c>
      <c r="Q424" s="0" t="s">
        <v>3061</v>
      </c>
      <c r="R424" s="0" t="s">
        <v>1046</v>
      </c>
      <c r="S424" s="0" t="s">
        <v>974</v>
      </c>
    </row>
    <row r="425" customFormat="false" ht="13.8" hidden="false" customHeight="false" outlineLevel="0" collapsed="false">
      <c r="A425" s="0" t="n">
        <v>2181</v>
      </c>
      <c r="B425" s="0" t="s">
        <v>3062</v>
      </c>
      <c r="C425" s="0" t="s">
        <v>2766</v>
      </c>
      <c r="E425" s="0" t="n">
        <f aca="false">IF(J424=J425,E424+10,0)</f>
        <v>170</v>
      </c>
      <c r="F425" s="0" t="s">
        <v>3063</v>
      </c>
      <c r="G425" s="0" t="s">
        <v>3064</v>
      </c>
      <c r="H425" s="0" t="s">
        <v>3065</v>
      </c>
      <c r="I425" s="0" t="s">
        <v>1033</v>
      </c>
      <c r="J425" s="0" t="s">
        <v>2976</v>
      </c>
      <c r="K425" s="0" t="s">
        <v>971</v>
      </c>
      <c r="L425" s="0" t="s">
        <v>974</v>
      </c>
      <c r="M425" s="0" t="s">
        <v>973</v>
      </c>
      <c r="N425" s="0" t="s">
        <v>974</v>
      </c>
      <c r="O425" s="0" t="s">
        <v>975</v>
      </c>
      <c r="P425" s="0" t="s">
        <v>976</v>
      </c>
      <c r="Q425" s="0" t="s">
        <v>973</v>
      </c>
      <c r="R425" s="0" t="s">
        <v>970</v>
      </c>
      <c r="S425" s="0" t="s">
        <v>974</v>
      </c>
    </row>
    <row r="426" customFormat="false" ht="13.8" hidden="false" customHeight="false" outlineLevel="0" collapsed="false">
      <c r="A426" s="0" t="n">
        <v>2182</v>
      </c>
      <c r="B426" s="0" t="s">
        <v>3066</v>
      </c>
      <c r="C426" s="0" t="s">
        <v>3067</v>
      </c>
      <c r="E426" s="0" t="n">
        <f aca="false">IF(J425=J426,E425+10,0)</f>
        <v>0</v>
      </c>
      <c r="F426" s="0" t="s">
        <v>3068</v>
      </c>
      <c r="G426" s="0" t="s">
        <v>3069</v>
      </c>
      <c r="H426" s="0" t="s">
        <v>3070</v>
      </c>
      <c r="I426" s="0" t="s">
        <v>3071</v>
      </c>
      <c r="J426" s="0" t="s">
        <v>1797</v>
      </c>
      <c r="K426" s="0" t="s">
        <v>971</v>
      </c>
      <c r="L426" s="0" t="s">
        <v>1381</v>
      </c>
      <c r="M426" s="0" t="s">
        <v>973</v>
      </c>
      <c r="N426" s="0" t="s">
        <v>974</v>
      </c>
      <c r="O426" s="0" t="s">
        <v>975</v>
      </c>
      <c r="P426" s="0" t="s">
        <v>976</v>
      </c>
      <c r="Q426" s="0" t="s">
        <v>974</v>
      </c>
      <c r="R426" s="0" t="s">
        <v>970</v>
      </c>
      <c r="S426" s="0" t="s">
        <v>974</v>
      </c>
    </row>
    <row r="427" customFormat="false" ht="13.8" hidden="false" customHeight="false" outlineLevel="0" collapsed="false">
      <c r="A427" s="0" t="n">
        <v>2183</v>
      </c>
      <c r="B427" s="0" t="s">
        <v>3072</v>
      </c>
      <c r="C427" s="0" t="s">
        <v>3073</v>
      </c>
      <c r="E427" s="0" t="n">
        <f aca="false">IF(J426=J427,E426+10,0)</f>
        <v>10</v>
      </c>
      <c r="F427" s="0" t="s">
        <v>3074</v>
      </c>
      <c r="G427" s="0" t="s">
        <v>3075</v>
      </c>
      <c r="H427" s="0" t="s">
        <v>3076</v>
      </c>
      <c r="I427" s="0" t="s">
        <v>3077</v>
      </c>
      <c r="J427" s="0" t="s">
        <v>1797</v>
      </c>
      <c r="K427" s="0" t="s">
        <v>971</v>
      </c>
      <c r="L427" s="0" t="s">
        <v>1059</v>
      </c>
      <c r="M427" s="0" t="s">
        <v>973</v>
      </c>
      <c r="N427" s="0" t="s">
        <v>974</v>
      </c>
      <c r="O427" s="0" t="s">
        <v>975</v>
      </c>
      <c r="P427" s="0" t="s">
        <v>976</v>
      </c>
      <c r="Q427" s="0" t="s">
        <v>974</v>
      </c>
      <c r="R427" s="0" t="s">
        <v>970</v>
      </c>
      <c r="S427" s="0" t="s">
        <v>974</v>
      </c>
    </row>
    <row r="428" customFormat="false" ht="13.8" hidden="false" customHeight="false" outlineLevel="0" collapsed="false">
      <c r="A428" s="0" t="n">
        <v>2184</v>
      </c>
      <c r="B428" s="0" t="s">
        <v>3078</v>
      </c>
      <c r="C428" s="0" t="s">
        <v>3079</v>
      </c>
      <c r="E428" s="0" t="n">
        <f aca="false">IF(J427=J428,E427+10,0)</f>
        <v>20</v>
      </c>
      <c r="F428" s="0" t="s">
        <v>3080</v>
      </c>
      <c r="G428" s="0" t="s">
        <v>3081</v>
      </c>
      <c r="H428" s="0" t="s">
        <v>3082</v>
      </c>
      <c r="I428" s="0" t="s">
        <v>1082</v>
      </c>
      <c r="J428" s="0" t="s">
        <v>1797</v>
      </c>
      <c r="K428" s="0" t="s">
        <v>971</v>
      </c>
      <c r="L428" s="0" t="s">
        <v>1829</v>
      </c>
      <c r="M428" s="0" t="s">
        <v>1459</v>
      </c>
      <c r="N428" s="0" t="s">
        <v>974</v>
      </c>
      <c r="O428" s="0" t="s">
        <v>975</v>
      </c>
      <c r="P428" s="0" t="s">
        <v>976</v>
      </c>
      <c r="Q428" s="0" t="s">
        <v>974</v>
      </c>
      <c r="R428" s="0" t="s">
        <v>970</v>
      </c>
      <c r="S428" s="0" t="s">
        <v>974</v>
      </c>
    </row>
    <row r="429" customFormat="false" ht="13.8" hidden="false" customHeight="false" outlineLevel="0" collapsed="false">
      <c r="A429" s="0" t="n">
        <v>2185</v>
      </c>
      <c r="B429" s="0" t="s">
        <v>3083</v>
      </c>
      <c r="C429" s="0" t="s">
        <v>1583</v>
      </c>
      <c r="E429" s="0" t="n">
        <f aca="false">IF(J428=J429,E428+10,0)</f>
        <v>30</v>
      </c>
      <c r="F429" s="0" t="s">
        <v>3084</v>
      </c>
      <c r="G429" s="0" t="s">
        <v>3085</v>
      </c>
      <c r="H429" s="0" t="s">
        <v>3086</v>
      </c>
      <c r="I429" s="0" t="s">
        <v>1587</v>
      </c>
      <c r="J429" s="0" t="s">
        <v>1797</v>
      </c>
      <c r="K429" s="0" t="s">
        <v>971</v>
      </c>
      <c r="L429" s="0" t="s">
        <v>974</v>
      </c>
      <c r="M429" s="0" t="s">
        <v>973</v>
      </c>
      <c r="N429" s="0" t="s">
        <v>974</v>
      </c>
      <c r="O429" s="0" t="s">
        <v>975</v>
      </c>
      <c r="P429" s="0" t="s">
        <v>976</v>
      </c>
      <c r="Q429" s="0" t="s">
        <v>1812</v>
      </c>
      <c r="R429" s="0" t="s">
        <v>1046</v>
      </c>
      <c r="S429" s="0" t="s">
        <v>974</v>
      </c>
    </row>
    <row r="430" customFormat="false" ht="13.8" hidden="false" customHeight="false" outlineLevel="0" collapsed="false">
      <c r="A430" s="0" t="n">
        <v>2186</v>
      </c>
      <c r="B430" s="0" t="s">
        <v>3087</v>
      </c>
      <c r="C430" s="0" t="s">
        <v>1146</v>
      </c>
      <c r="E430" s="0" t="n">
        <f aca="false">IF(J429=J430,E429+10,0)</f>
        <v>40</v>
      </c>
      <c r="F430" s="0" t="s">
        <v>3088</v>
      </c>
      <c r="G430" s="0" t="s">
        <v>3089</v>
      </c>
      <c r="H430" s="0" t="s">
        <v>3090</v>
      </c>
      <c r="I430" s="0" t="s">
        <v>1150</v>
      </c>
      <c r="J430" s="0" t="s">
        <v>1797</v>
      </c>
      <c r="K430" s="0" t="s">
        <v>971</v>
      </c>
      <c r="L430" s="0" t="s">
        <v>3091</v>
      </c>
      <c r="M430" s="0" t="s">
        <v>1459</v>
      </c>
      <c r="N430" s="0" t="s">
        <v>974</v>
      </c>
      <c r="O430" s="0" t="s">
        <v>975</v>
      </c>
      <c r="P430" s="0" t="s">
        <v>976</v>
      </c>
      <c r="Q430" s="0" t="s">
        <v>974</v>
      </c>
      <c r="R430" s="0" t="s">
        <v>970</v>
      </c>
      <c r="S430" s="0" t="s">
        <v>974</v>
      </c>
    </row>
    <row r="431" customFormat="false" ht="13.8" hidden="false" customHeight="false" outlineLevel="0" collapsed="false">
      <c r="A431" s="0" t="n">
        <v>2187</v>
      </c>
      <c r="B431" s="0" t="s">
        <v>3092</v>
      </c>
      <c r="C431" s="0" t="s">
        <v>1048</v>
      </c>
      <c r="E431" s="0" t="n">
        <f aca="false">IF(J430=J431,E430+10,0)</f>
        <v>50</v>
      </c>
      <c r="F431" s="0" t="s">
        <v>3093</v>
      </c>
      <c r="G431" s="0" t="s">
        <v>3094</v>
      </c>
      <c r="H431" s="0" t="s">
        <v>3095</v>
      </c>
      <c r="I431" s="0" t="s">
        <v>1052</v>
      </c>
      <c r="J431" s="0" t="s">
        <v>1797</v>
      </c>
      <c r="K431" s="0" t="s">
        <v>971</v>
      </c>
      <c r="L431" s="0" t="s">
        <v>3091</v>
      </c>
      <c r="M431" s="0" t="s">
        <v>1459</v>
      </c>
      <c r="N431" s="0" t="s">
        <v>974</v>
      </c>
      <c r="O431" s="0" t="s">
        <v>975</v>
      </c>
      <c r="P431" s="0" t="s">
        <v>976</v>
      </c>
      <c r="Q431" s="0" t="s">
        <v>974</v>
      </c>
      <c r="R431" s="0" t="s">
        <v>970</v>
      </c>
      <c r="S431" s="0" t="s">
        <v>974</v>
      </c>
    </row>
    <row r="432" customFormat="false" ht="13.8" hidden="false" customHeight="false" outlineLevel="0" collapsed="false">
      <c r="A432" s="0" t="n">
        <v>2188</v>
      </c>
      <c r="B432" s="0" t="s">
        <v>3096</v>
      </c>
      <c r="C432" s="0" t="s">
        <v>3097</v>
      </c>
      <c r="E432" s="0" t="n">
        <f aca="false">IF(J431=J432,E431+10,0)</f>
        <v>60</v>
      </c>
      <c r="F432" s="0" t="s">
        <v>3098</v>
      </c>
      <c r="G432" s="0" t="s">
        <v>3099</v>
      </c>
      <c r="H432" s="0" t="s">
        <v>3100</v>
      </c>
      <c r="I432" s="0" t="s">
        <v>1021</v>
      </c>
      <c r="J432" s="0" t="s">
        <v>1797</v>
      </c>
      <c r="K432" s="0" t="s">
        <v>971</v>
      </c>
      <c r="L432" s="0" t="s">
        <v>2266</v>
      </c>
      <c r="M432" s="0" t="s">
        <v>1459</v>
      </c>
      <c r="N432" s="0" t="s">
        <v>974</v>
      </c>
      <c r="O432" s="0" t="s">
        <v>975</v>
      </c>
      <c r="P432" s="0" t="s">
        <v>976</v>
      </c>
      <c r="Q432" s="0" t="s">
        <v>974</v>
      </c>
      <c r="R432" s="0" t="s">
        <v>970</v>
      </c>
      <c r="S432" s="0" t="s">
        <v>974</v>
      </c>
    </row>
    <row r="433" customFormat="false" ht="13.8" hidden="false" customHeight="false" outlineLevel="0" collapsed="false">
      <c r="A433" s="0" t="n">
        <v>2189</v>
      </c>
      <c r="B433" s="0" t="s">
        <v>3101</v>
      </c>
      <c r="C433" s="0" t="s">
        <v>1035</v>
      </c>
      <c r="E433" s="0" t="n">
        <f aca="false">IF(J432=J433,E432+10,0)</f>
        <v>70</v>
      </c>
      <c r="F433" s="0" t="s">
        <v>3102</v>
      </c>
      <c r="G433" s="0" t="s">
        <v>3103</v>
      </c>
      <c r="H433" s="0" t="s">
        <v>3104</v>
      </c>
      <c r="I433" s="0" t="s">
        <v>970</v>
      </c>
      <c r="J433" s="0" t="s">
        <v>1797</v>
      </c>
      <c r="K433" s="0" t="s">
        <v>971</v>
      </c>
      <c r="L433" s="0" t="s">
        <v>3105</v>
      </c>
      <c r="M433" s="0" t="s">
        <v>1459</v>
      </c>
      <c r="N433" s="0" t="s">
        <v>974</v>
      </c>
      <c r="O433" s="0" t="s">
        <v>975</v>
      </c>
      <c r="P433" s="0" t="s">
        <v>976</v>
      </c>
      <c r="Q433" s="0" t="s">
        <v>974</v>
      </c>
      <c r="R433" s="0" t="s">
        <v>970</v>
      </c>
      <c r="S433" s="0" t="s">
        <v>974</v>
      </c>
    </row>
    <row r="434" customFormat="false" ht="13.8" hidden="false" customHeight="false" outlineLevel="0" collapsed="false">
      <c r="A434" s="0" t="n">
        <v>2190</v>
      </c>
      <c r="B434" s="0" t="s">
        <v>3106</v>
      </c>
      <c r="C434" s="0" t="s">
        <v>1096</v>
      </c>
      <c r="E434" s="0" t="n">
        <f aca="false">IF(J433=J434,E433+10,0)</f>
        <v>80</v>
      </c>
      <c r="F434" s="0" t="s">
        <v>3107</v>
      </c>
      <c r="G434" s="0" t="s">
        <v>3108</v>
      </c>
      <c r="H434" s="0" t="s">
        <v>3109</v>
      </c>
      <c r="I434" s="0" t="s">
        <v>1100</v>
      </c>
      <c r="J434" s="0" t="s">
        <v>1797</v>
      </c>
      <c r="K434" s="0" t="s">
        <v>971</v>
      </c>
      <c r="L434" s="0" t="s">
        <v>974</v>
      </c>
      <c r="M434" s="0" t="s">
        <v>973</v>
      </c>
      <c r="N434" s="0" t="s">
        <v>974</v>
      </c>
      <c r="O434" s="0" t="s">
        <v>975</v>
      </c>
      <c r="P434" s="0" t="s">
        <v>976</v>
      </c>
      <c r="Q434" s="0" t="s">
        <v>1232</v>
      </c>
      <c r="R434" s="0" t="s">
        <v>1046</v>
      </c>
      <c r="S434" s="0" t="s">
        <v>974</v>
      </c>
    </row>
    <row r="435" customFormat="false" ht="13.8" hidden="false" customHeight="false" outlineLevel="0" collapsed="false">
      <c r="A435" s="0" t="n">
        <v>2191</v>
      </c>
      <c r="B435" s="0" t="s">
        <v>3110</v>
      </c>
      <c r="C435" s="0" t="s">
        <v>2766</v>
      </c>
      <c r="E435" s="0" t="n">
        <f aca="false">IF(J434=J435,E434+10,0)</f>
        <v>90</v>
      </c>
      <c r="F435" s="0" t="s">
        <v>3111</v>
      </c>
      <c r="G435" s="0" t="s">
        <v>3112</v>
      </c>
      <c r="H435" s="0" t="s">
        <v>3113</v>
      </c>
      <c r="I435" s="0" t="s">
        <v>1033</v>
      </c>
      <c r="J435" s="0" t="s">
        <v>1797</v>
      </c>
      <c r="K435" s="0" t="s">
        <v>971</v>
      </c>
      <c r="L435" s="0" t="s">
        <v>974</v>
      </c>
      <c r="M435" s="0" t="s">
        <v>973</v>
      </c>
      <c r="N435" s="0" t="s">
        <v>974</v>
      </c>
      <c r="O435" s="0" t="s">
        <v>975</v>
      </c>
      <c r="P435" s="0" t="s">
        <v>976</v>
      </c>
      <c r="Q435" s="0" t="s">
        <v>970</v>
      </c>
      <c r="R435" s="0" t="s">
        <v>970</v>
      </c>
      <c r="S435" s="0" t="s">
        <v>974</v>
      </c>
    </row>
    <row r="436" customFormat="false" ht="13.8" hidden="false" customHeight="false" outlineLevel="0" collapsed="false">
      <c r="A436" s="0" t="n">
        <v>2192</v>
      </c>
      <c r="B436" s="0" t="s">
        <v>3114</v>
      </c>
      <c r="C436" s="0" t="s">
        <v>2895</v>
      </c>
      <c r="E436" s="0" t="n">
        <f aca="false">IF(J435=J436,E435+10,0)</f>
        <v>100</v>
      </c>
      <c r="F436" s="0" t="s">
        <v>3115</v>
      </c>
      <c r="G436" s="0" t="s">
        <v>3116</v>
      </c>
      <c r="H436" s="0" t="s">
        <v>3117</v>
      </c>
      <c r="I436" s="0" t="s">
        <v>2899</v>
      </c>
      <c r="J436" s="0" t="s">
        <v>1797</v>
      </c>
      <c r="K436" s="0" t="s">
        <v>971</v>
      </c>
      <c r="L436" s="0" t="s">
        <v>974</v>
      </c>
      <c r="M436" s="0" t="s">
        <v>973</v>
      </c>
      <c r="N436" s="0" t="s">
        <v>974</v>
      </c>
      <c r="O436" s="0" t="s">
        <v>975</v>
      </c>
      <c r="P436" s="0" t="s">
        <v>976</v>
      </c>
      <c r="Q436" s="0" t="s">
        <v>973</v>
      </c>
      <c r="R436" s="0" t="s">
        <v>970</v>
      </c>
      <c r="S436" s="0" t="s">
        <v>974</v>
      </c>
    </row>
    <row r="437" customFormat="false" ht="13.8" hidden="false" customHeight="false" outlineLevel="0" collapsed="false">
      <c r="A437" s="0" t="n">
        <v>2193</v>
      </c>
      <c r="B437" s="0" t="s">
        <v>3118</v>
      </c>
      <c r="C437" s="0" t="s">
        <v>1636</v>
      </c>
      <c r="E437" s="0" t="n">
        <f aca="false">IF(J436=J437,E436+10,0)</f>
        <v>110</v>
      </c>
      <c r="F437" s="0" t="s">
        <v>3119</v>
      </c>
      <c r="G437" s="0" t="s">
        <v>3120</v>
      </c>
      <c r="H437" s="0" t="s">
        <v>3121</v>
      </c>
      <c r="I437" s="0" t="s">
        <v>1306</v>
      </c>
      <c r="J437" s="0" t="s">
        <v>1797</v>
      </c>
      <c r="K437" s="0" t="s">
        <v>971</v>
      </c>
      <c r="L437" s="0" t="s">
        <v>974</v>
      </c>
      <c r="M437" s="0" t="s">
        <v>973</v>
      </c>
      <c r="N437" s="0" t="s">
        <v>974</v>
      </c>
      <c r="O437" s="0" t="s">
        <v>975</v>
      </c>
      <c r="P437" s="0" t="s">
        <v>976</v>
      </c>
      <c r="Q437" s="0" t="s">
        <v>973</v>
      </c>
      <c r="R437" s="0" t="s">
        <v>970</v>
      </c>
      <c r="S437" s="0" t="s">
        <v>974</v>
      </c>
    </row>
    <row r="438" customFormat="false" ht="13.8" hidden="false" customHeight="false" outlineLevel="0" collapsed="false">
      <c r="A438" s="0" t="n">
        <v>2194</v>
      </c>
      <c r="B438" s="0" t="s">
        <v>3122</v>
      </c>
      <c r="C438" s="0" t="s">
        <v>2591</v>
      </c>
      <c r="E438" s="0" t="n">
        <f aca="false">IF(J437=J438,E437+10,0)</f>
        <v>120</v>
      </c>
      <c r="F438" s="0" t="s">
        <v>3123</v>
      </c>
      <c r="G438" s="0" t="s">
        <v>3124</v>
      </c>
      <c r="H438" s="0" t="s">
        <v>3125</v>
      </c>
      <c r="I438" s="0" t="s">
        <v>1088</v>
      </c>
      <c r="J438" s="0" t="s">
        <v>1797</v>
      </c>
      <c r="K438" s="0" t="s">
        <v>971</v>
      </c>
      <c r="L438" s="0" t="s">
        <v>974</v>
      </c>
      <c r="M438" s="0" t="s">
        <v>973</v>
      </c>
      <c r="N438" s="0" t="s">
        <v>974</v>
      </c>
      <c r="O438" s="0" t="s">
        <v>975</v>
      </c>
      <c r="P438" s="0" t="s">
        <v>976</v>
      </c>
      <c r="Q438" s="0" t="s">
        <v>1059</v>
      </c>
      <c r="R438" s="0" t="s">
        <v>1046</v>
      </c>
      <c r="S438" s="0" t="s">
        <v>974</v>
      </c>
    </row>
    <row r="439" customFormat="false" ht="13.8" hidden="false" customHeight="false" outlineLevel="0" collapsed="false">
      <c r="A439" s="0" t="n">
        <v>2195</v>
      </c>
      <c r="B439" s="0" t="s">
        <v>3126</v>
      </c>
      <c r="C439" s="0" t="s">
        <v>3127</v>
      </c>
      <c r="E439" s="0" t="n">
        <f aca="false">IF(J438=J439,E438+10,0)</f>
        <v>130</v>
      </c>
      <c r="F439" s="0" t="s">
        <v>3128</v>
      </c>
      <c r="G439" s="0" t="s">
        <v>3129</v>
      </c>
      <c r="H439" s="0" t="s">
        <v>3130</v>
      </c>
      <c r="I439" s="0" t="s">
        <v>3131</v>
      </c>
      <c r="J439" s="0" t="s">
        <v>1797</v>
      </c>
      <c r="K439" s="0" t="s">
        <v>971</v>
      </c>
      <c r="L439" s="0" t="s">
        <v>974</v>
      </c>
      <c r="M439" s="0" t="s">
        <v>973</v>
      </c>
      <c r="N439" s="0" t="s">
        <v>974</v>
      </c>
      <c r="O439" s="0" t="s">
        <v>975</v>
      </c>
      <c r="P439" s="0" t="s">
        <v>976</v>
      </c>
      <c r="Q439" s="0" t="s">
        <v>2233</v>
      </c>
      <c r="R439" s="0" t="s">
        <v>970</v>
      </c>
      <c r="S439" s="0" t="s">
        <v>974</v>
      </c>
    </row>
    <row r="440" customFormat="false" ht="13.8" hidden="false" customHeight="false" outlineLevel="0" collapsed="false">
      <c r="A440" s="0" t="n">
        <v>2196</v>
      </c>
      <c r="B440" s="0" t="s">
        <v>3132</v>
      </c>
      <c r="C440" s="0" t="s">
        <v>3127</v>
      </c>
      <c r="E440" s="0" t="n">
        <f aca="false">IF(J439=J440,E439+10,0)</f>
        <v>140</v>
      </c>
      <c r="F440" s="0" t="s">
        <v>3133</v>
      </c>
      <c r="G440" s="0" t="s">
        <v>3134</v>
      </c>
      <c r="H440" s="0" t="s">
        <v>3135</v>
      </c>
      <c r="I440" s="0" t="s">
        <v>3131</v>
      </c>
      <c r="J440" s="0" t="s">
        <v>1797</v>
      </c>
      <c r="K440" s="0" t="s">
        <v>971</v>
      </c>
      <c r="L440" s="0" t="s">
        <v>974</v>
      </c>
      <c r="M440" s="0" t="s">
        <v>973</v>
      </c>
      <c r="N440" s="0" t="s">
        <v>974</v>
      </c>
      <c r="O440" s="0" t="s">
        <v>975</v>
      </c>
      <c r="P440" s="0" t="s">
        <v>976</v>
      </c>
      <c r="Q440" s="0" t="s">
        <v>1968</v>
      </c>
      <c r="R440" s="0" t="s">
        <v>1082</v>
      </c>
      <c r="S440" s="0" t="s">
        <v>974</v>
      </c>
    </row>
    <row r="441" customFormat="false" ht="13.8" hidden="false" customHeight="false" outlineLevel="0" collapsed="false">
      <c r="A441" s="0" t="n">
        <v>2197</v>
      </c>
      <c r="B441" s="0" t="s">
        <v>3136</v>
      </c>
      <c r="C441" s="0" t="s">
        <v>3137</v>
      </c>
      <c r="E441" s="0" t="n">
        <f aca="false">IF(J440=J441,E440+10,0)</f>
        <v>0</v>
      </c>
      <c r="F441" s="0" t="s">
        <v>3138</v>
      </c>
      <c r="G441" s="0" t="s">
        <v>3139</v>
      </c>
      <c r="H441" s="0" t="s">
        <v>3140</v>
      </c>
      <c r="I441" s="0" t="s">
        <v>3141</v>
      </c>
      <c r="J441" s="0" t="s">
        <v>1058</v>
      </c>
      <c r="K441" s="0" t="s">
        <v>971</v>
      </c>
      <c r="L441" s="0" t="s">
        <v>974</v>
      </c>
      <c r="M441" s="0" t="s">
        <v>973</v>
      </c>
      <c r="N441" s="0" t="s">
        <v>974</v>
      </c>
      <c r="O441" s="0" t="s">
        <v>975</v>
      </c>
      <c r="P441" s="0" t="s">
        <v>976</v>
      </c>
      <c r="Q441" s="0" t="s">
        <v>2852</v>
      </c>
      <c r="R441" s="0" t="s">
        <v>970</v>
      </c>
      <c r="S441" s="0" t="s">
        <v>974</v>
      </c>
    </row>
    <row r="442" customFormat="false" ht="13.8" hidden="false" customHeight="false" outlineLevel="0" collapsed="false">
      <c r="A442" s="0" t="n">
        <v>2198</v>
      </c>
      <c r="B442" s="0" t="s">
        <v>3142</v>
      </c>
      <c r="C442" s="0" t="s">
        <v>1583</v>
      </c>
      <c r="E442" s="0" t="n">
        <f aca="false">IF(J441=J442,E441+10,0)</f>
        <v>10</v>
      </c>
      <c r="F442" s="0" t="s">
        <v>3143</v>
      </c>
      <c r="G442" s="0" t="s">
        <v>3144</v>
      </c>
      <c r="H442" s="0" t="s">
        <v>3145</v>
      </c>
      <c r="I442" s="0" t="s">
        <v>1587</v>
      </c>
      <c r="J442" s="0" t="s">
        <v>1058</v>
      </c>
      <c r="K442" s="0" t="s">
        <v>971</v>
      </c>
      <c r="L442" s="0" t="s">
        <v>974</v>
      </c>
      <c r="M442" s="0" t="s">
        <v>973</v>
      </c>
      <c r="N442" s="0" t="s">
        <v>974</v>
      </c>
      <c r="O442" s="0" t="s">
        <v>975</v>
      </c>
      <c r="P442" s="0" t="s">
        <v>976</v>
      </c>
      <c r="Q442" s="0" t="s">
        <v>2852</v>
      </c>
      <c r="R442" s="0" t="s">
        <v>1046</v>
      </c>
      <c r="S442" s="0" t="s">
        <v>974</v>
      </c>
    </row>
    <row r="443" customFormat="false" ht="13.8" hidden="false" customHeight="false" outlineLevel="0" collapsed="false">
      <c r="A443" s="0" t="n">
        <v>2199</v>
      </c>
      <c r="B443" s="0" t="s">
        <v>3146</v>
      </c>
      <c r="C443" s="0" t="s">
        <v>3147</v>
      </c>
      <c r="E443" s="0" t="n">
        <f aca="false">IF(J442=J443,E442+10,0)</f>
        <v>20</v>
      </c>
      <c r="F443" s="0" t="s">
        <v>3148</v>
      </c>
      <c r="G443" s="0" t="s">
        <v>3149</v>
      </c>
      <c r="H443" s="0" t="s">
        <v>3150</v>
      </c>
      <c r="I443" s="0" t="s">
        <v>3151</v>
      </c>
      <c r="J443" s="0" t="s">
        <v>1058</v>
      </c>
      <c r="K443" s="0" t="s">
        <v>971</v>
      </c>
      <c r="L443" s="0" t="s">
        <v>3152</v>
      </c>
      <c r="M443" s="0" t="s">
        <v>973</v>
      </c>
      <c r="N443" s="0" t="s">
        <v>974</v>
      </c>
      <c r="O443" s="0" t="s">
        <v>975</v>
      </c>
      <c r="P443" s="0" t="s">
        <v>976</v>
      </c>
      <c r="Q443" s="0" t="s">
        <v>974</v>
      </c>
      <c r="R443" s="0" t="s">
        <v>970</v>
      </c>
      <c r="S443" s="0" t="s">
        <v>974</v>
      </c>
    </row>
    <row r="444" customFormat="false" ht="13.8" hidden="false" customHeight="false" outlineLevel="0" collapsed="false">
      <c r="A444" s="0" t="n">
        <v>2200</v>
      </c>
      <c r="B444" s="0" t="s">
        <v>3153</v>
      </c>
      <c r="C444" s="0" t="s">
        <v>1454</v>
      </c>
      <c r="E444" s="0" t="n">
        <f aca="false">IF(J443=J444,E443+10,0)</f>
        <v>30</v>
      </c>
      <c r="F444" s="0" t="s">
        <v>3154</v>
      </c>
      <c r="G444" s="0" t="s">
        <v>3155</v>
      </c>
      <c r="H444" s="0" t="s">
        <v>3156</v>
      </c>
      <c r="I444" s="0" t="s">
        <v>1045</v>
      </c>
      <c r="J444" s="0" t="s">
        <v>1058</v>
      </c>
      <c r="K444" s="0" t="s">
        <v>971</v>
      </c>
      <c r="L444" s="0" t="s">
        <v>3157</v>
      </c>
      <c r="M444" s="0" t="s">
        <v>973</v>
      </c>
      <c r="N444" s="0" t="s">
        <v>974</v>
      </c>
      <c r="O444" s="0" t="s">
        <v>975</v>
      </c>
      <c r="P444" s="0" t="s">
        <v>976</v>
      </c>
      <c r="Q444" s="0" t="s">
        <v>974</v>
      </c>
      <c r="R444" s="0" t="s">
        <v>970</v>
      </c>
      <c r="S444" s="0" t="s">
        <v>974</v>
      </c>
    </row>
    <row r="445" customFormat="false" ht="13.8" hidden="false" customHeight="false" outlineLevel="0" collapsed="false">
      <c r="A445" s="0" t="n">
        <v>2201</v>
      </c>
      <c r="B445" s="0" t="s">
        <v>3158</v>
      </c>
      <c r="C445" s="0" t="s">
        <v>2895</v>
      </c>
      <c r="E445" s="0" t="n">
        <f aca="false">IF(J444=J445,E444+10,0)</f>
        <v>40</v>
      </c>
      <c r="F445" s="0" t="s">
        <v>3159</v>
      </c>
      <c r="G445" s="0" t="s">
        <v>3160</v>
      </c>
      <c r="H445" s="0" t="s">
        <v>3161</v>
      </c>
      <c r="I445" s="0" t="s">
        <v>2899</v>
      </c>
      <c r="J445" s="0" t="s">
        <v>1058</v>
      </c>
      <c r="K445" s="0" t="s">
        <v>971</v>
      </c>
      <c r="L445" s="0" t="s">
        <v>974</v>
      </c>
      <c r="M445" s="0" t="s">
        <v>973</v>
      </c>
      <c r="N445" s="0" t="s">
        <v>974</v>
      </c>
      <c r="O445" s="0" t="s">
        <v>975</v>
      </c>
      <c r="P445" s="0" t="s">
        <v>976</v>
      </c>
      <c r="Q445" s="0" t="s">
        <v>1151</v>
      </c>
      <c r="R445" s="0" t="s">
        <v>970</v>
      </c>
      <c r="S445" s="0" t="s">
        <v>974</v>
      </c>
    </row>
    <row r="446" customFormat="false" ht="13.8" hidden="false" customHeight="false" outlineLevel="0" collapsed="false">
      <c r="A446" s="0" t="n">
        <v>2202</v>
      </c>
      <c r="B446" s="0" t="s">
        <v>3162</v>
      </c>
      <c r="C446" s="0" t="s">
        <v>1048</v>
      </c>
      <c r="E446" s="0" t="n">
        <f aca="false">IF(J445=J446,E445+10,0)</f>
        <v>50</v>
      </c>
      <c r="F446" s="0" t="s">
        <v>3163</v>
      </c>
      <c r="G446" s="0" t="s">
        <v>3164</v>
      </c>
      <c r="H446" s="0" t="s">
        <v>3165</v>
      </c>
      <c r="I446" s="0" t="s">
        <v>1052</v>
      </c>
      <c r="J446" s="0" t="s">
        <v>1058</v>
      </c>
      <c r="K446" s="0" t="s">
        <v>971</v>
      </c>
      <c r="L446" s="0" t="s">
        <v>1046</v>
      </c>
      <c r="M446" s="0" t="s">
        <v>973</v>
      </c>
      <c r="N446" s="0" t="s">
        <v>974</v>
      </c>
      <c r="O446" s="0" t="s">
        <v>975</v>
      </c>
      <c r="P446" s="0" t="s">
        <v>976</v>
      </c>
      <c r="Q446" s="0" t="s">
        <v>974</v>
      </c>
      <c r="R446" s="0" t="s">
        <v>970</v>
      </c>
      <c r="S446" s="0" t="s">
        <v>974</v>
      </c>
    </row>
    <row r="447" customFormat="false" ht="13.8" hidden="false" customHeight="false" outlineLevel="0" collapsed="false">
      <c r="A447" s="0" t="n">
        <v>2203</v>
      </c>
      <c r="B447" s="0" t="s">
        <v>3166</v>
      </c>
      <c r="C447" s="0" t="s">
        <v>1096</v>
      </c>
      <c r="E447" s="0" t="n">
        <f aca="false">IF(J446=J447,E446+10,0)</f>
        <v>60</v>
      </c>
      <c r="F447" s="0" t="s">
        <v>3167</v>
      </c>
      <c r="G447" s="0" t="s">
        <v>3168</v>
      </c>
      <c r="H447" s="0" t="s">
        <v>3169</v>
      </c>
      <c r="I447" s="0" t="s">
        <v>1100</v>
      </c>
      <c r="J447" s="0" t="s">
        <v>1058</v>
      </c>
      <c r="K447" s="0" t="s">
        <v>971</v>
      </c>
      <c r="L447" s="0" t="s">
        <v>974</v>
      </c>
      <c r="M447" s="0" t="s">
        <v>973</v>
      </c>
      <c r="N447" s="0" t="s">
        <v>974</v>
      </c>
      <c r="O447" s="0" t="s">
        <v>975</v>
      </c>
      <c r="P447" s="0" t="s">
        <v>976</v>
      </c>
      <c r="Q447" s="0" t="s">
        <v>2000</v>
      </c>
      <c r="R447" s="0" t="s">
        <v>1046</v>
      </c>
      <c r="S447" s="0" t="s">
        <v>974</v>
      </c>
    </row>
    <row r="448" customFormat="false" ht="13.8" hidden="false" customHeight="false" outlineLevel="0" collapsed="false">
      <c r="A448" s="0" t="n">
        <v>2204</v>
      </c>
      <c r="B448" s="0" t="s">
        <v>3170</v>
      </c>
      <c r="C448" s="0" t="s">
        <v>1793</v>
      </c>
      <c r="E448" s="0" t="n">
        <f aca="false">IF(J447=J448,E447+10,0)</f>
        <v>70</v>
      </c>
      <c r="F448" s="0" t="s">
        <v>3171</v>
      </c>
      <c r="G448" s="0" t="s">
        <v>3172</v>
      </c>
      <c r="H448" s="0" t="s">
        <v>3173</v>
      </c>
      <c r="I448" s="0" t="s">
        <v>1797</v>
      </c>
      <c r="J448" s="0" t="s">
        <v>1058</v>
      </c>
      <c r="K448" s="0" t="s">
        <v>971</v>
      </c>
      <c r="L448" s="0" t="s">
        <v>974</v>
      </c>
      <c r="M448" s="0" t="s">
        <v>973</v>
      </c>
      <c r="N448" s="0" t="s">
        <v>974</v>
      </c>
      <c r="O448" s="0" t="s">
        <v>975</v>
      </c>
      <c r="P448" s="0" t="s">
        <v>976</v>
      </c>
      <c r="Q448" s="0" t="s">
        <v>974</v>
      </c>
      <c r="R448" s="0" t="s">
        <v>970</v>
      </c>
      <c r="S448" s="0" t="s">
        <v>974</v>
      </c>
    </row>
    <row r="449" customFormat="false" ht="13.8" hidden="false" customHeight="false" outlineLevel="0" collapsed="false">
      <c r="A449" s="0" t="n">
        <v>2205</v>
      </c>
      <c r="B449" s="0" t="s">
        <v>3174</v>
      </c>
      <c r="C449" s="0" t="s">
        <v>3137</v>
      </c>
      <c r="E449" s="0" t="n">
        <f aca="false">IF(J448=J449,E448+10,0)</f>
        <v>80</v>
      </c>
      <c r="F449" s="0" t="s">
        <v>3175</v>
      </c>
      <c r="G449" s="0" t="s">
        <v>3176</v>
      </c>
      <c r="H449" s="0" t="s">
        <v>3177</v>
      </c>
      <c r="I449" s="0" t="s">
        <v>3141</v>
      </c>
      <c r="J449" s="0" t="s">
        <v>1058</v>
      </c>
      <c r="K449" s="0" t="s">
        <v>971</v>
      </c>
      <c r="L449" s="0" t="s">
        <v>974</v>
      </c>
      <c r="M449" s="0" t="s">
        <v>973</v>
      </c>
      <c r="N449" s="0" t="s">
        <v>974</v>
      </c>
      <c r="O449" s="0" t="s">
        <v>975</v>
      </c>
      <c r="P449" s="0" t="s">
        <v>976</v>
      </c>
      <c r="Q449" s="0" t="s">
        <v>1066</v>
      </c>
      <c r="R449" s="0" t="s">
        <v>970</v>
      </c>
      <c r="S449" s="0" t="s">
        <v>974</v>
      </c>
    </row>
    <row r="450" customFormat="false" ht="13.8" hidden="false" customHeight="false" outlineLevel="0" collapsed="false">
      <c r="A450" s="0" t="n">
        <v>2206</v>
      </c>
      <c r="B450" s="0" t="s">
        <v>3178</v>
      </c>
      <c r="C450" s="0" t="s">
        <v>1662</v>
      </c>
      <c r="E450" s="0" t="n">
        <f aca="false">IF(J449=J450,E449+10,0)</f>
        <v>90</v>
      </c>
      <c r="F450" s="0" t="s">
        <v>3179</v>
      </c>
      <c r="G450" s="0" t="s">
        <v>3180</v>
      </c>
      <c r="H450" s="0" t="s">
        <v>3181</v>
      </c>
      <c r="I450" s="0" t="s">
        <v>1666</v>
      </c>
      <c r="J450" s="0" t="s">
        <v>1058</v>
      </c>
      <c r="K450" s="0" t="s">
        <v>971</v>
      </c>
      <c r="L450" s="0" t="s">
        <v>974</v>
      </c>
      <c r="M450" s="0" t="s">
        <v>973</v>
      </c>
      <c r="N450" s="0" t="s">
        <v>974</v>
      </c>
      <c r="O450" s="0" t="s">
        <v>975</v>
      </c>
      <c r="P450" s="0" t="s">
        <v>976</v>
      </c>
      <c r="Q450" s="0" t="s">
        <v>2852</v>
      </c>
      <c r="R450" s="0" t="s">
        <v>1046</v>
      </c>
      <c r="S450" s="0" t="s">
        <v>974</v>
      </c>
    </row>
    <row r="451" customFormat="false" ht="13.8" hidden="false" customHeight="false" outlineLevel="0" collapsed="false">
      <c r="A451" s="0" t="n">
        <v>2207</v>
      </c>
      <c r="B451" s="0" t="s">
        <v>3182</v>
      </c>
      <c r="C451" s="0" t="s">
        <v>1010</v>
      </c>
      <c r="E451" s="0" t="n">
        <f aca="false">IF(J450=J451,E450+10,0)</f>
        <v>100</v>
      </c>
      <c r="F451" s="0" t="s">
        <v>3183</v>
      </c>
      <c r="G451" s="0" t="s">
        <v>3184</v>
      </c>
      <c r="H451" s="0" t="s">
        <v>3185</v>
      </c>
      <c r="I451" s="0" t="s">
        <v>1014</v>
      </c>
      <c r="J451" s="0" t="s">
        <v>1058</v>
      </c>
      <c r="K451" s="0" t="s">
        <v>971</v>
      </c>
      <c r="L451" s="0" t="s">
        <v>974</v>
      </c>
      <c r="M451" s="0" t="s">
        <v>973</v>
      </c>
      <c r="N451" s="0" t="s">
        <v>974</v>
      </c>
      <c r="O451" s="0" t="s">
        <v>975</v>
      </c>
      <c r="P451" s="0" t="s">
        <v>976</v>
      </c>
      <c r="Q451" s="0" t="s">
        <v>2852</v>
      </c>
      <c r="R451" s="0" t="s">
        <v>1046</v>
      </c>
      <c r="S451" s="0" t="s">
        <v>974</v>
      </c>
    </row>
    <row r="452" customFormat="false" ht="13.8" hidden="false" customHeight="false" outlineLevel="0" collapsed="false">
      <c r="A452" s="0" t="n">
        <v>2208</v>
      </c>
      <c r="B452" s="0" t="s">
        <v>3186</v>
      </c>
      <c r="C452" s="0" t="s">
        <v>1814</v>
      </c>
      <c r="E452" s="0" t="n">
        <f aca="false">IF(J451=J452,E451+10,0)</f>
        <v>110</v>
      </c>
      <c r="F452" s="0" t="s">
        <v>3187</v>
      </c>
      <c r="G452" s="0" t="s">
        <v>3188</v>
      </c>
      <c r="H452" s="0" t="s">
        <v>3189</v>
      </c>
      <c r="I452" s="0" t="s">
        <v>1033</v>
      </c>
      <c r="J452" s="0" t="s">
        <v>1058</v>
      </c>
      <c r="K452" s="0" t="s">
        <v>971</v>
      </c>
      <c r="L452" s="0" t="s">
        <v>974</v>
      </c>
      <c r="M452" s="0" t="s">
        <v>973</v>
      </c>
      <c r="N452" s="0" t="s">
        <v>974</v>
      </c>
      <c r="O452" s="0" t="s">
        <v>975</v>
      </c>
      <c r="P452" s="0" t="s">
        <v>976</v>
      </c>
      <c r="Q452" s="0" t="s">
        <v>973</v>
      </c>
      <c r="R452" s="0" t="s">
        <v>1046</v>
      </c>
      <c r="S452" s="0" t="s">
        <v>974</v>
      </c>
    </row>
    <row r="453" customFormat="false" ht="13.8" hidden="false" customHeight="false" outlineLevel="0" collapsed="false">
      <c r="A453" s="0" t="n">
        <v>2209</v>
      </c>
      <c r="B453" s="0" t="s">
        <v>3190</v>
      </c>
      <c r="C453" s="0" t="s">
        <v>3191</v>
      </c>
      <c r="E453" s="0" t="n">
        <f aca="false">IF(J452=J453,E452+10,0)</f>
        <v>0</v>
      </c>
      <c r="F453" s="0" t="s">
        <v>3192</v>
      </c>
      <c r="G453" s="0" t="s">
        <v>3193</v>
      </c>
      <c r="H453" s="0" t="s">
        <v>3194</v>
      </c>
      <c r="I453" s="0" t="s">
        <v>3195</v>
      </c>
      <c r="J453" s="0" t="s">
        <v>1827</v>
      </c>
      <c r="K453" s="0" t="s">
        <v>971</v>
      </c>
      <c r="L453" s="0" t="s">
        <v>1117</v>
      </c>
      <c r="M453" s="0" t="s">
        <v>973</v>
      </c>
      <c r="N453" s="0" t="s">
        <v>974</v>
      </c>
      <c r="O453" s="0" t="s">
        <v>975</v>
      </c>
      <c r="P453" s="0" t="s">
        <v>976</v>
      </c>
      <c r="Q453" s="0" t="s">
        <v>974</v>
      </c>
      <c r="R453" s="0" t="s">
        <v>970</v>
      </c>
      <c r="S453" s="0" t="s">
        <v>974</v>
      </c>
    </row>
    <row r="454" customFormat="false" ht="13.8" hidden="false" customHeight="false" outlineLevel="0" collapsed="false">
      <c r="A454" s="0" t="n">
        <v>2210</v>
      </c>
      <c r="B454" s="0" t="s">
        <v>3196</v>
      </c>
      <c r="C454" s="0" t="s">
        <v>3197</v>
      </c>
      <c r="E454" s="0" t="n">
        <f aca="false">IF(J453=J454,E453+10,0)</f>
        <v>10</v>
      </c>
      <c r="F454" s="0" t="s">
        <v>3198</v>
      </c>
      <c r="G454" s="0" t="s">
        <v>3199</v>
      </c>
      <c r="H454" s="0" t="s">
        <v>3200</v>
      </c>
      <c r="I454" s="0" t="s">
        <v>3201</v>
      </c>
      <c r="J454" s="0" t="s">
        <v>1827</v>
      </c>
      <c r="K454" s="0" t="s">
        <v>971</v>
      </c>
      <c r="L454" s="0" t="s">
        <v>974</v>
      </c>
      <c r="M454" s="0" t="s">
        <v>973</v>
      </c>
      <c r="N454" s="0" t="s">
        <v>974</v>
      </c>
      <c r="O454" s="0" t="s">
        <v>975</v>
      </c>
      <c r="P454" s="0" t="s">
        <v>976</v>
      </c>
      <c r="Q454" s="0" t="s">
        <v>1067</v>
      </c>
      <c r="R454" s="0" t="s">
        <v>970</v>
      </c>
      <c r="S454" s="0" t="s">
        <v>974</v>
      </c>
    </row>
    <row r="455" customFormat="false" ht="13.8" hidden="false" customHeight="false" outlineLevel="0" collapsed="false">
      <c r="A455" s="0" t="n">
        <v>2211</v>
      </c>
      <c r="B455" s="0" t="s">
        <v>3202</v>
      </c>
      <c r="C455" s="0" t="s">
        <v>1467</v>
      </c>
      <c r="E455" s="0" t="n">
        <f aca="false">IF(J454=J455,E454+10,0)</f>
        <v>20</v>
      </c>
      <c r="F455" s="0" t="s">
        <v>3203</v>
      </c>
      <c r="G455" s="0" t="s">
        <v>3204</v>
      </c>
      <c r="H455" s="0" t="s">
        <v>3205</v>
      </c>
      <c r="I455" s="0" t="s">
        <v>975</v>
      </c>
      <c r="J455" s="0" t="s">
        <v>1827</v>
      </c>
      <c r="K455" s="0" t="s">
        <v>971</v>
      </c>
      <c r="L455" s="0" t="s">
        <v>974</v>
      </c>
      <c r="M455" s="0" t="s">
        <v>973</v>
      </c>
      <c r="N455" s="0" t="s">
        <v>974</v>
      </c>
      <c r="O455" s="0" t="s">
        <v>975</v>
      </c>
      <c r="P455" s="0" t="s">
        <v>976</v>
      </c>
      <c r="Q455" s="0" t="s">
        <v>975</v>
      </c>
      <c r="R455" s="0" t="s">
        <v>970</v>
      </c>
      <c r="S455" s="0" t="s">
        <v>974</v>
      </c>
    </row>
    <row r="456" customFormat="false" ht="13.8" hidden="false" customHeight="false" outlineLevel="0" collapsed="false">
      <c r="A456" s="0" t="n">
        <v>2212</v>
      </c>
      <c r="B456" s="0" t="s">
        <v>3206</v>
      </c>
      <c r="C456" s="0" t="s">
        <v>2965</v>
      </c>
      <c r="E456" s="0" t="n">
        <f aca="false">IF(J455=J456,E455+10,0)</f>
        <v>30</v>
      </c>
      <c r="F456" s="0" t="s">
        <v>3207</v>
      </c>
      <c r="G456" s="0" t="s">
        <v>3208</v>
      </c>
      <c r="H456" s="0" t="s">
        <v>3209</v>
      </c>
      <c r="I456" s="0" t="s">
        <v>2969</v>
      </c>
      <c r="J456" s="0" t="s">
        <v>1827</v>
      </c>
      <c r="K456" s="0" t="s">
        <v>971</v>
      </c>
      <c r="L456" s="0" t="s">
        <v>974</v>
      </c>
      <c r="M456" s="0" t="s">
        <v>973</v>
      </c>
      <c r="N456" s="0" t="s">
        <v>3210</v>
      </c>
      <c r="O456" s="0" t="s">
        <v>975</v>
      </c>
      <c r="P456" s="0" t="s">
        <v>976</v>
      </c>
      <c r="Q456" s="0" t="s">
        <v>974</v>
      </c>
      <c r="R456" s="0" t="s">
        <v>970</v>
      </c>
      <c r="S456" s="0" t="s">
        <v>974</v>
      </c>
    </row>
    <row r="457" customFormat="false" ht="13.8" hidden="false" customHeight="false" outlineLevel="0" collapsed="false">
      <c r="A457" s="0" t="n">
        <v>2213</v>
      </c>
      <c r="B457" s="0" t="s">
        <v>3211</v>
      </c>
      <c r="C457" s="0" t="s">
        <v>3212</v>
      </c>
      <c r="E457" s="0" t="n">
        <f aca="false">IF(J456=J457,E456+10,0)</f>
        <v>40</v>
      </c>
      <c r="F457" s="0" t="s">
        <v>3213</v>
      </c>
      <c r="G457" s="0" t="s">
        <v>3214</v>
      </c>
      <c r="H457" s="0" t="s">
        <v>3215</v>
      </c>
      <c r="I457" s="0" t="s">
        <v>1021</v>
      </c>
      <c r="J457" s="0" t="s">
        <v>1827</v>
      </c>
      <c r="K457" s="0" t="s">
        <v>971</v>
      </c>
      <c r="L457" s="0" t="s">
        <v>974</v>
      </c>
      <c r="M457" s="0" t="s">
        <v>973</v>
      </c>
      <c r="N457" s="0" t="s">
        <v>974</v>
      </c>
      <c r="O457" s="0" t="s">
        <v>975</v>
      </c>
      <c r="P457" s="0" t="s">
        <v>976</v>
      </c>
      <c r="Q457" s="0" t="s">
        <v>975</v>
      </c>
      <c r="R457" s="0" t="s">
        <v>970</v>
      </c>
      <c r="S457" s="0" t="s">
        <v>974</v>
      </c>
    </row>
    <row r="458" customFormat="false" ht="13.8" hidden="false" customHeight="false" outlineLevel="0" collapsed="false">
      <c r="A458" s="0" t="n">
        <v>2214</v>
      </c>
      <c r="B458" s="0" t="s">
        <v>3216</v>
      </c>
      <c r="C458" s="0" t="s">
        <v>3217</v>
      </c>
      <c r="E458" s="0" t="n">
        <f aca="false">IF(J457=J458,E457+10,0)</f>
        <v>50</v>
      </c>
      <c r="F458" s="0" t="s">
        <v>3218</v>
      </c>
      <c r="G458" s="0" t="s">
        <v>3219</v>
      </c>
      <c r="H458" s="0" t="s">
        <v>3220</v>
      </c>
      <c r="I458" s="0" t="s">
        <v>3221</v>
      </c>
      <c r="J458" s="0" t="s">
        <v>1827</v>
      </c>
      <c r="K458" s="0" t="s">
        <v>971</v>
      </c>
      <c r="L458" s="0" t="s">
        <v>974</v>
      </c>
      <c r="M458" s="0" t="s">
        <v>973</v>
      </c>
      <c r="N458" s="0" t="s">
        <v>974</v>
      </c>
      <c r="O458" s="0" t="s">
        <v>975</v>
      </c>
      <c r="P458" s="0" t="s">
        <v>976</v>
      </c>
      <c r="Q458" s="0" t="s">
        <v>2165</v>
      </c>
      <c r="R458" s="0" t="s">
        <v>970</v>
      </c>
      <c r="S458" s="0" t="s">
        <v>974</v>
      </c>
    </row>
    <row r="459" customFormat="false" ht="13.8" hidden="false" customHeight="false" outlineLevel="0" collapsed="false">
      <c r="A459" s="0" t="n">
        <v>2215</v>
      </c>
      <c r="B459" s="0" t="s">
        <v>3222</v>
      </c>
      <c r="C459" s="0" t="s">
        <v>3223</v>
      </c>
      <c r="E459" s="0" t="n">
        <f aca="false">IF(J458=J459,E458+10,0)</f>
        <v>60</v>
      </c>
      <c r="F459" s="0" t="s">
        <v>3224</v>
      </c>
      <c r="G459" s="0" t="s">
        <v>3225</v>
      </c>
      <c r="H459" s="0" t="s">
        <v>3226</v>
      </c>
      <c r="I459" s="0" t="s">
        <v>973</v>
      </c>
      <c r="J459" s="0" t="s">
        <v>1827</v>
      </c>
      <c r="K459" s="0" t="s">
        <v>971</v>
      </c>
      <c r="L459" s="0" t="s">
        <v>974</v>
      </c>
      <c r="M459" s="0" t="s">
        <v>973</v>
      </c>
      <c r="N459" s="0" t="s">
        <v>974</v>
      </c>
      <c r="O459" s="0" t="s">
        <v>975</v>
      </c>
      <c r="P459" s="0" t="s">
        <v>976</v>
      </c>
      <c r="Q459" s="0" t="s">
        <v>975</v>
      </c>
      <c r="R459" s="0" t="s">
        <v>970</v>
      </c>
      <c r="S459" s="0" t="s">
        <v>974</v>
      </c>
    </row>
    <row r="460" customFormat="false" ht="13.8" hidden="false" customHeight="false" outlineLevel="0" collapsed="false">
      <c r="A460" s="0" t="n">
        <v>2216</v>
      </c>
      <c r="B460" s="0" t="s">
        <v>3227</v>
      </c>
      <c r="C460" s="0" t="s">
        <v>3228</v>
      </c>
      <c r="E460" s="0" t="n">
        <f aca="false">IF(J459=J460,E459+10,0)</f>
        <v>70</v>
      </c>
      <c r="F460" s="0" t="s">
        <v>3229</v>
      </c>
      <c r="G460" s="0" t="s">
        <v>3230</v>
      </c>
      <c r="H460" s="0" t="s">
        <v>3231</v>
      </c>
      <c r="I460" s="0" t="s">
        <v>2558</v>
      </c>
      <c r="J460" s="0" t="s">
        <v>1827</v>
      </c>
      <c r="K460" s="0" t="s">
        <v>971</v>
      </c>
      <c r="L460" s="0" t="s">
        <v>974</v>
      </c>
      <c r="M460" s="0" t="s">
        <v>973</v>
      </c>
      <c r="N460" s="0" t="s">
        <v>974</v>
      </c>
      <c r="O460" s="0" t="s">
        <v>975</v>
      </c>
      <c r="P460" s="0" t="s">
        <v>976</v>
      </c>
      <c r="Q460" s="0" t="s">
        <v>1737</v>
      </c>
      <c r="R460" s="0" t="s">
        <v>970</v>
      </c>
      <c r="S460" s="0" t="s">
        <v>974</v>
      </c>
    </row>
    <row r="461" customFormat="false" ht="13.8" hidden="false" customHeight="false" outlineLevel="0" collapsed="false">
      <c r="A461" s="0" t="n">
        <v>2217</v>
      </c>
      <c r="B461" s="0" t="s">
        <v>3232</v>
      </c>
      <c r="C461" s="0" t="s">
        <v>1547</v>
      </c>
      <c r="E461" s="0" t="n">
        <f aca="false">IF(J460=J461,E460+10,0)</f>
        <v>80</v>
      </c>
      <c r="F461" s="0" t="s">
        <v>3233</v>
      </c>
      <c r="G461" s="0" t="s">
        <v>3234</v>
      </c>
      <c r="H461" s="0" t="s">
        <v>3235</v>
      </c>
      <c r="I461" s="0" t="s">
        <v>1551</v>
      </c>
      <c r="J461" s="0" t="s">
        <v>1827</v>
      </c>
      <c r="K461" s="0" t="s">
        <v>971</v>
      </c>
      <c r="L461" s="0" t="s">
        <v>1186</v>
      </c>
      <c r="M461" s="0" t="s">
        <v>973</v>
      </c>
      <c r="N461" s="0" t="s">
        <v>974</v>
      </c>
      <c r="O461" s="0" t="s">
        <v>975</v>
      </c>
      <c r="P461" s="0" t="s">
        <v>976</v>
      </c>
      <c r="Q461" s="0" t="s">
        <v>974</v>
      </c>
      <c r="R461" s="0" t="s">
        <v>970</v>
      </c>
      <c r="S461" s="0" t="s">
        <v>974</v>
      </c>
    </row>
    <row r="462" customFormat="false" ht="13.8" hidden="false" customHeight="false" outlineLevel="0" collapsed="false">
      <c r="A462" s="0" t="n">
        <v>2218</v>
      </c>
      <c r="B462" s="0" t="s">
        <v>3236</v>
      </c>
      <c r="C462" s="0" t="s">
        <v>3237</v>
      </c>
      <c r="E462" s="0" t="n">
        <f aca="false">IF(J461=J462,E461+10,0)</f>
        <v>90</v>
      </c>
      <c r="F462" s="0" t="s">
        <v>3238</v>
      </c>
      <c r="G462" s="0" t="s">
        <v>3239</v>
      </c>
      <c r="H462" s="0" t="s">
        <v>3240</v>
      </c>
      <c r="I462" s="0" t="s">
        <v>2361</v>
      </c>
      <c r="J462" s="0" t="s">
        <v>1827</v>
      </c>
      <c r="K462" s="0" t="s">
        <v>971</v>
      </c>
      <c r="L462" s="0" t="s">
        <v>2266</v>
      </c>
      <c r="M462" s="0" t="s">
        <v>973</v>
      </c>
      <c r="N462" s="0" t="s">
        <v>974</v>
      </c>
      <c r="O462" s="0" t="s">
        <v>975</v>
      </c>
      <c r="P462" s="0" t="s">
        <v>976</v>
      </c>
      <c r="Q462" s="0" t="s">
        <v>974</v>
      </c>
      <c r="R462" s="0" t="s">
        <v>970</v>
      </c>
      <c r="S462" s="0" t="s">
        <v>974</v>
      </c>
    </row>
    <row r="463" customFormat="false" ht="13.8" hidden="false" customHeight="false" outlineLevel="0" collapsed="false">
      <c r="A463" s="0" t="n">
        <v>2219</v>
      </c>
      <c r="B463" s="0" t="s">
        <v>3241</v>
      </c>
      <c r="C463" s="0" t="s">
        <v>3242</v>
      </c>
      <c r="E463" s="0" t="n">
        <f aca="false">IF(J462=J463,E462+10,0)</f>
        <v>100</v>
      </c>
      <c r="F463" s="0" t="s">
        <v>3243</v>
      </c>
      <c r="G463" s="0" t="s">
        <v>3244</v>
      </c>
      <c r="H463" s="0" t="s">
        <v>3245</v>
      </c>
      <c r="I463" s="0" t="s">
        <v>3246</v>
      </c>
      <c r="J463" s="0" t="s">
        <v>1827</v>
      </c>
      <c r="K463" s="0" t="s">
        <v>971</v>
      </c>
      <c r="L463" s="0" t="s">
        <v>2649</v>
      </c>
      <c r="M463" s="0" t="s">
        <v>973</v>
      </c>
      <c r="N463" s="0" t="s">
        <v>974</v>
      </c>
      <c r="O463" s="0" t="s">
        <v>975</v>
      </c>
      <c r="P463" s="0" t="s">
        <v>976</v>
      </c>
      <c r="Q463" s="0" t="s">
        <v>974</v>
      </c>
      <c r="R463" s="0" t="s">
        <v>970</v>
      </c>
      <c r="S463" s="0" t="s">
        <v>974</v>
      </c>
    </row>
    <row r="464" customFormat="false" ht="13.8" hidden="false" customHeight="false" outlineLevel="0" collapsed="false">
      <c r="A464" s="0" t="n">
        <v>2220</v>
      </c>
      <c r="B464" s="0" t="s">
        <v>3247</v>
      </c>
      <c r="C464" s="0" t="s">
        <v>2547</v>
      </c>
      <c r="E464" s="0" t="n">
        <f aca="false">IF(J463=J464,E463+10,0)</f>
        <v>110</v>
      </c>
      <c r="F464" s="0" t="s">
        <v>3248</v>
      </c>
      <c r="G464" s="0" t="s">
        <v>3249</v>
      </c>
      <c r="H464" s="0" t="s">
        <v>3250</v>
      </c>
      <c r="I464" s="0" t="s">
        <v>2551</v>
      </c>
      <c r="J464" s="0" t="s">
        <v>1827</v>
      </c>
      <c r="K464" s="0" t="s">
        <v>971</v>
      </c>
      <c r="L464" s="0" t="s">
        <v>1169</v>
      </c>
      <c r="M464" s="0" t="s">
        <v>973</v>
      </c>
      <c r="N464" s="0" t="s">
        <v>974</v>
      </c>
      <c r="O464" s="0" t="s">
        <v>975</v>
      </c>
      <c r="P464" s="0" t="s">
        <v>976</v>
      </c>
      <c r="Q464" s="0" t="s">
        <v>974</v>
      </c>
      <c r="R464" s="0" t="s">
        <v>970</v>
      </c>
      <c r="S464" s="0" t="s">
        <v>974</v>
      </c>
    </row>
    <row r="465" customFormat="false" ht="13.8" hidden="false" customHeight="false" outlineLevel="0" collapsed="false">
      <c r="A465" s="0" t="n">
        <v>2221</v>
      </c>
      <c r="B465" s="0" t="s">
        <v>3251</v>
      </c>
      <c r="C465" s="0" t="s">
        <v>3252</v>
      </c>
      <c r="E465" s="0" t="n">
        <f aca="false">IF(J464=J465,E464+10,0)</f>
        <v>120</v>
      </c>
      <c r="F465" s="0" t="s">
        <v>3253</v>
      </c>
      <c r="G465" s="0" t="s">
        <v>3254</v>
      </c>
      <c r="H465" s="0" t="s">
        <v>3255</v>
      </c>
      <c r="I465" s="0" t="s">
        <v>3256</v>
      </c>
      <c r="J465" s="0" t="s">
        <v>1827</v>
      </c>
      <c r="K465" s="0" t="s">
        <v>971</v>
      </c>
      <c r="L465" s="0" t="s">
        <v>1169</v>
      </c>
      <c r="M465" s="0" t="s">
        <v>973</v>
      </c>
      <c r="N465" s="0" t="s">
        <v>974</v>
      </c>
      <c r="O465" s="0" t="s">
        <v>975</v>
      </c>
      <c r="P465" s="0" t="s">
        <v>976</v>
      </c>
      <c r="Q465" s="0" t="s">
        <v>974</v>
      </c>
      <c r="R465" s="0" t="s">
        <v>970</v>
      </c>
      <c r="S465" s="0" t="s">
        <v>974</v>
      </c>
    </row>
    <row r="466" customFormat="false" ht="13.8" hidden="false" customHeight="false" outlineLevel="0" collapsed="false">
      <c r="A466" s="0" t="n">
        <v>2222</v>
      </c>
      <c r="B466" s="0" t="s">
        <v>3257</v>
      </c>
      <c r="C466" s="0" t="s">
        <v>1163</v>
      </c>
      <c r="E466" s="0" t="n">
        <f aca="false">IF(J465=J466,E465+10,0)</f>
        <v>130</v>
      </c>
      <c r="F466" s="0" t="s">
        <v>3258</v>
      </c>
      <c r="G466" s="0" t="s">
        <v>3259</v>
      </c>
      <c r="H466" s="0" t="s">
        <v>3260</v>
      </c>
      <c r="I466" s="0" t="s">
        <v>1167</v>
      </c>
      <c r="J466" s="0" t="s">
        <v>1827</v>
      </c>
      <c r="K466" s="0" t="s">
        <v>971</v>
      </c>
      <c r="L466" s="0" t="s">
        <v>974</v>
      </c>
      <c r="M466" s="0" t="s">
        <v>973</v>
      </c>
      <c r="N466" s="0" t="s">
        <v>974</v>
      </c>
      <c r="O466" s="0" t="s">
        <v>975</v>
      </c>
      <c r="P466" s="0" t="s">
        <v>976</v>
      </c>
      <c r="Q466" s="0" t="s">
        <v>3261</v>
      </c>
      <c r="R466" s="0" t="s">
        <v>970</v>
      </c>
      <c r="S466" s="0" t="s">
        <v>974</v>
      </c>
    </row>
    <row r="467" customFormat="false" ht="13.8" hidden="false" customHeight="false" outlineLevel="0" collapsed="false">
      <c r="A467" s="0" t="n">
        <v>2223</v>
      </c>
      <c r="B467" s="0" t="s">
        <v>3262</v>
      </c>
      <c r="C467" s="0" t="s">
        <v>3263</v>
      </c>
      <c r="E467" s="0" t="n">
        <f aca="false">IF(J466=J467,E466+10,0)</f>
        <v>140</v>
      </c>
      <c r="F467" s="0" t="s">
        <v>3264</v>
      </c>
      <c r="G467" s="0" t="s">
        <v>3265</v>
      </c>
      <c r="H467" s="0" t="s">
        <v>3266</v>
      </c>
      <c r="I467" s="0" t="s">
        <v>3267</v>
      </c>
      <c r="J467" s="0" t="s">
        <v>1827</v>
      </c>
      <c r="K467" s="0" t="s">
        <v>971</v>
      </c>
      <c r="L467" s="0" t="s">
        <v>974</v>
      </c>
      <c r="M467" s="0" t="s">
        <v>973</v>
      </c>
      <c r="N467" s="0" t="s">
        <v>974</v>
      </c>
      <c r="O467" s="0" t="s">
        <v>975</v>
      </c>
      <c r="P467" s="0" t="s">
        <v>976</v>
      </c>
      <c r="Q467" s="0" t="s">
        <v>3268</v>
      </c>
      <c r="R467" s="0" t="s">
        <v>970</v>
      </c>
      <c r="S467" s="0" t="s">
        <v>974</v>
      </c>
    </row>
    <row r="468" customFormat="false" ht="13.8" hidden="false" customHeight="false" outlineLevel="0" collapsed="false">
      <c r="A468" s="0" t="n">
        <v>2224</v>
      </c>
      <c r="B468" s="0" t="s">
        <v>3269</v>
      </c>
      <c r="C468" s="0" t="s">
        <v>3270</v>
      </c>
      <c r="E468" s="0" t="n">
        <f aca="false">IF(J467=J468,E467+10,0)</f>
        <v>150</v>
      </c>
      <c r="F468" s="0" t="s">
        <v>3271</v>
      </c>
      <c r="G468" s="0" t="s">
        <v>3272</v>
      </c>
      <c r="H468" s="0" t="s">
        <v>3273</v>
      </c>
      <c r="I468" s="0" t="s">
        <v>3274</v>
      </c>
      <c r="J468" s="0" t="s">
        <v>1827</v>
      </c>
      <c r="K468" s="0" t="s">
        <v>971</v>
      </c>
      <c r="L468" s="0" t="s">
        <v>974</v>
      </c>
      <c r="M468" s="0" t="s">
        <v>973</v>
      </c>
      <c r="N468" s="0" t="s">
        <v>974</v>
      </c>
      <c r="O468" s="0" t="s">
        <v>975</v>
      </c>
      <c r="P468" s="0" t="s">
        <v>976</v>
      </c>
      <c r="Q468" s="0" t="s">
        <v>1067</v>
      </c>
      <c r="R468" s="0" t="s">
        <v>1046</v>
      </c>
      <c r="S468" s="0" t="s">
        <v>974</v>
      </c>
    </row>
    <row r="469" customFormat="false" ht="13.8" hidden="false" customHeight="false" outlineLevel="0" collapsed="false">
      <c r="A469" s="0" t="n">
        <v>2225</v>
      </c>
      <c r="B469" s="0" t="s">
        <v>3275</v>
      </c>
      <c r="C469" s="0" t="s">
        <v>3276</v>
      </c>
      <c r="E469" s="0" t="n">
        <f aca="false">IF(J468=J469,E468+10,0)</f>
        <v>160</v>
      </c>
      <c r="F469" s="0" t="s">
        <v>3277</v>
      </c>
      <c r="G469" s="0" t="s">
        <v>3278</v>
      </c>
      <c r="H469" s="0" t="s">
        <v>3279</v>
      </c>
      <c r="I469" s="0" t="s">
        <v>2620</v>
      </c>
      <c r="J469" s="0" t="s">
        <v>1827</v>
      </c>
      <c r="K469" s="0" t="s">
        <v>971</v>
      </c>
      <c r="L469" s="0" t="s">
        <v>974</v>
      </c>
      <c r="M469" s="0" t="s">
        <v>973</v>
      </c>
      <c r="N469" s="0" t="s">
        <v>974</v>
      </c>
      <c r="O469" s="0" t="s">
        <v>975</v>
      </c>
      <c r="P469" s="0" t="s">
        <v>976</v>
      </c>
      <c r="Q469" s="0" t="s">
        <v>1082</v>
      </c>
      <c r="R469" s="0" t="s">
        <v>970</v>
      </c>
      <c r="S469" s="0" t="s">
        <v>974</v>
      </c>
    </row>
    <row r="470" customFormat="false" ht="13.8" hidden="false" customHeight="false" outlineLevel="0" collapsed="false">
      <c r="A470" s="0" t="n">
        <v>2226</v>
      </c>
      <c r="B470" s="0" t="s">
        <v>3280</v>
      </c>
      <c r="C470" s="0" t="s">
        <v>3281</v>
      </c>
      <c r="E470" s="0" t="n">
        <f aca="false">IF(J469=J470,E469+10,0)</f>
        <v>170</v>
      </c>
      <c r="F470" s="0" t="s">
        <v>3282</v>
      </c>
      <c r="G470" s="0" t="s">
        <v>3283</v>
      </c>
      <c r="H470" s="0" t="s">
        <v>3284</v>
      </c>
      <c r="I470" s="0" t="s">
        <v>1231</v>
      </c>
      <c r="J470" s="0" t="s">
        <v>1827</v>
      </c>
      <c r="K470" s="0" t="s">
        <v>971</v>
      </c>
      <c r="L470" s="0" t="s">
        <v>974</v>
      </c>
      <c r="M470" s="0" t="s">
        <v>973</v>
      </c>
      <c r="N470" s="0" t="s">
        <v>974</v>
      </c>
      <c r="O470" s="0" t="s">
        <v>975</v>
      </c>
      <c r="P470" s="0" t="s">
        <v>976</v>
      </c>
      <c r="Q470" s="0" t="s">
        <v>2165</v>
      </c>
      <c r="R470" s="0" t="s">
        <v>970</v>
      </c>
      <c r="S470" s="0" t="s">
        <v>974</v>
      </c>
    </row>
    <row r="471" customFormat="false" ht="13.8" hidden="false" customHeight="false" outlineLevel="0" collapsed="false">
      <c r="A471" s="0" t="n">
        <v>2227</v>
      </c>
      <c r="B471" s="0" t="s">
        <v>3285</v>
      </c>
      <c r="C471" s="0" t="s">
        <v>1707</v>
      </c>
      <c r="E471" s="0" t="n">
        <f aca="false">IF(J470=J471,E470+10,0)</f>
        <v>0</v>
      </c>
      <c r="F471" s="0" t="s">
        <v>3286</v>
      </c>
      <c r="G471" s="0" t="s">
        <v>3287</v>
      </c>
      <c r="H471" s="0" t="s">
        <v>3288</v>
      </c>
      <c r="I471" s="0" t="s">
        <v>1711</v>
      </c>
      <c r="J471" s="0" t="s">
        <v>2649</v>
      </c>
      <c r="K471" s="0" t="s">
        <v>971</v>
      </c>
      <c r="L471" s="0" t="s">
        <v>1117</v>
      </c>
      <c r="M471" s="0" t="s">
        <v>973</v>
      </c>
      <c r="N471" s="0" t="s">
        <v>974</v>
      </c>
      <c r="O471" s="0" t="s">
        <v>975</v>
      </c>
      <c r="P471" s="0" t="s">
        <v>976</v>
      </c>
      <c r="Q471" s="0" t="s">
        <v>974</v>
      </c>
      <c r="R471" s="0" t="s">
        <v>970</v>
      </c>
      <c r="S471" s="0" t="s">
        <v>974</v>
      </c>
    </row>
    <row r="472" customFormat="false" ht="13.8" hidden="false" customHeight="false" outlineLevel="0" collapsed="false">
      <c r="A472" s="0" t="n">
        <v>2228</v>
      </c>
      <c r="B472" s="0" t="s">
        <v>3289</v>
      </c>
      <c r="C472" s="0" t="s">
        <v>1096</v>
      </c>
      <c r="E472" s="0" t="n">
        <f aca="false">IF(J471=J472,E471+10,0)</f>
        <v>10</v>
      </c>
      <c r="F472" s="0" t="s">
        <v>3290</v>
      </c>
      <c r="G472" s="0" t="s">
        <v>3291</v>
      </c>
      <c r="H472" s="0" t="s">
        <v>3292</v>
      </c>
      <c r="I472" s="0" t="s">
        <v>1100</v>
      </c>
      <c r="J472" s="0" t="s">
        <v>2649</v>
      </c>
      <c r="K472" s="0" t="s">
        <v>971</v>
      </c>
      <c r="L472" s="0" t="s">
        <v>974</v>
      </c>
      <c r="M472" s="0" t="s">
        <v>973</v>
      </c>
      <c r="N472" s="0" t="s">
        <v>974</v>
      </c>
      <c r="O472" s="0" t="s">
        <v>975</v>
      </c>
      <c r="P472" s="0" t="s">
        <v>976</v>
      </c>
      <c r="Q472" s="0" t="s">
        <v>3293</v>
      </c>
      <c r="R472" s="0" t="s">
        <v>1046</v>
      </c>
      <c r="S472" s="0" t="s">
        <v>974</v>
      </c>
    </row>
    <row r="473" customFormat="false" ht="13.8" hidden="false" customHeight="false" outlineLevel="0" collapsed="false">
      <c r="A473" s="0" t="n">
        <v>2229</v>
      </c>
      <c r="B473" s="0" t="s">
        <v>3294</v>
      </c>
      <c r="C473" s="0" t="s">
        <v>3295</v>
      </c>
      <c r="E473" s="0" t="n">
        <f aca="false">IF(J472=J473,E472+10,0)</f>
        <v>20</v>
      </c>
      <c r="F473" s="0" t="s">
        <v>3296</v>
      </c>
      <c r="G473" s="0" t="s">
        <v>3297</v>
      </c>
      <c r="H473" s="0" t="s">
        <v>3298</v>
      </c>
      <c r="I473" s="0" t="s">
        <v>3299</v>
      </c>
      <c r="J473" s="0" t="s">
        <v>2649</v>
      </c>
      <c r="K473" s="0" t="s">
        <v>971</v>
      </c>
      <c r="L473" s="0" t="s">
        <v>974</v>
      </c>
      <c r="M473" s="0" t="s">
        <v>973</v>
      </c>
      <c r="N473" s="0" t="s">
        <v>974</v>
      </c>
      <c r="O473" s="0" t="s">
        <v>975</v>
      </c>
      <c r="P473" s="0" t="s">
        <v>976</v>
      </c>
      <c r="Q473" s="0" t="s">
        <v>970</v>
      </c>
      <c r="R473" s="0" t="s">
        <v>970</v>
      </c>
      <c r="S473" s="0" t="s">
        <v>974</v>
      </c>
    </row>
    <row r="474" customFormat="false" ht="13.8" hidden="false" customHeight="false" outlineLevel="0" collapsed="false">
      <c r="A474" s="0" t="n">
        <v>2230</v>
      </c>
      <c r="B474" s="0" t="s">
        <v>3300</v>
      </c>
      <c r="C474" s="0" t="s">
        <v>3270</v>
      </c>
      <c r="E474" s="0" t="n">
        <f aca="false">IF(J473=J474,E473+10,0)</f>
        <v>30</v>
      </c>
      <c r="F474" s="0" t="s">
        <v>3301</v>
      </c>
      <c r="G474" s="0" t="s">
        <v>3302</v>
      </c>
      <c r="H474" s="0" t="s">
        <v>3303</v>
      </c>
      <c r="I474" s="0" t="s">
        <v>3274</v>
      </c>
      <c r="J474" s="0" t="s">
        <v>2649</v>
      </c>
      <c r="K474" s="0" t="s">
        <v>971</v>
      </c>
      <c r="L474" s="0" t="s">
        <v>974</v>
      </c>
      <c r="M474" s="0" t="s">
        <v>973</v>
      </c>
      <c r="N474" s="0" t="s">
        <v>974</v>
      </c>
      <c r="O474" s="0" t="s">
        <v>975</v>
      </c>
      <c r="P474" s="0" t="s">
        <v>976</v>
      </c>
      <c r="Q474" s="0" t="s">
        <v>970</v>
      </c>
      <c r="R474" s="0" t="s">
        <v>1046</v>
      </c>
      <c r="S474" s="0" t="s">
        <v>974</v>
      </c>
    </row>
    <row r="475" customFormat="false" ht="13.8" hidden="false" customHeight="false" outlineLevel="0" collapsed="false">
      <c r="A475" s="0" t="n">
        <v>2231</v>
      </c>
      <c r="B475" s="0" t="s">
        <v>3304</v>
      </c>
      <c r="C475" s="0" t="s">
        <v>3305</v>
      </c>
      <c r="E475" s="0" t="n">
        <f aca="false">IF(J474=J475,E474+10,0)</f>
        <v>40</v>
      </c>
      <c r="F475" s="0" t="s">
        <v>3306</v>
      </c>
      <c r="G475" s="0" t="s">
        <v>3307</v>
      </c>
      <c r="H475" s="0" t="s">
        <v>3308</v>
      </c>
      <c r="I475" s="0" t="s">
        <v>3309</v>
      </c>
      <c r="J475" s="0" t="s">
        <v>2649</v>
      </c>
      <c r="K475" s="0" t="s">
        <v>971</v>
      </c>
      <c r="L475" s="0" t="s">
        <v>974</v>
      </c>
      <c r="M475" s="0" t="s">
        <v>973</v>
      </c>
      <c r="N475" s="0" t="s">
        <v>974</v>
      </c>
      <c r="O475" s="0" t="s">
        <v>975</v>
      </c>
      <c r="P475" s="0" t="s">
        <v>976</v>
      </c>
      <c r="Q475" s="0" t="s">
        <v>970</v>
      </c>
      <c r="R475" s="0" t="s">
        <v>970</v>
      </c>
      <c r="S475" s="0" t="s">
        <v>974</v>
      </c>
    </row>
    <row r="476" customFormat="false" ht="13.8" hidden="false" customHeight="false" outlineLevel="0" collapsed="false">
      <c r="A476" s="0" t="n">
        <v>2232</v>
      </c>
      <c r="B476" s="0" t="s">
        <v>3310</v>
      </c>
      <c r="C476" s="0" t="s">
        <v>1221</v>
      </c>
      <c r="E476" s="0" t="n">
        <f aca="false">IF(J475=J476,E475+10,0)</f>
        <v>50</v>
      </c>
      <c r="F476" s="0" t="s">
        <v>3311</v>
      </c>
      <c r="G476" s="0" t="s">
        <v>3312</v>
      </c>
      <c r="H476" s="0" t="s">
        <v>3313</v>
      </c>
      <c r="I476" s="0" t="s">
        <v>1088</v>
      </c>
      <c r="J476" s="0" t="s">
        <v>2649</v>
      </c>
      <c r="K476" s="0" t="s">
        <v>971</v>
      </c>
      <c r="L476" s="0" t="s">
        <v>974</v>
      </c>
      <c r="M476" s="0" t="s">
        <v>973</v>
      </c>
      <c r="N476" s="0" t="s">
        <v>974</v>
      </c>
      <c r="O476" s="0" t="s">
        <v>975</v>
      </c>
      <c r="P476" s="0" t="s">
        <v>976</v>
      </c>
      <c r="Q476" s="0" t="s">
        <v>1214</v>
      </c>
      <c r="R476" s="0" t="s">
        <v>1046</v>
      </c>
      <c r="S476" s="0" t="s">
        <v>974</v>
      </c>
    </row>
    <row r="477" customFormat="false" ht="13.8" hidden="false" customHeight="false" outlineLevel="0" collapsed="false">
      <c r="A477" s="0" t="n">
        <v>2233</v>
      </c>
      <c r="B477" s="0" t="s">
        <v>3314</v>
      </c>
      <c r="C477" s="0" t="s">
        <v>3315</v>
      </c>
      <c r="E477" s="0" t="n">
        <f aca="false">IF(J476=J477,E476+10,0)</f>
        <v>60</v>
      </c>
      <c r="F477" s="0" t="s">
        <v>3316</v>
      </c>
      <c r="G477" s="0" t="s">
        <v>3317</v>
      </c>
      <c r="H477" s="0" t="s">
        <v>3318</v>
      </c>
      <c r="I477" s="0" t="s">
        <v>2551</v>
      </c>
      <c r="J477" s="0" t="s">
        <v>2649</v>
      </c>
      <c r="K477" s="0" t="s">
        <v>971</v>
      </c>
      <c r="L477" s="0" t="s">
        <v>975</v>
      </c>
      <c r="M477" s="0" t="s">
        <v>973</v>
      </c>
      <c r="N477" s="0" t="s">
        <v>974</v>
      </c>
      <c r="O477" s="0" t="s">
        <v>975</v>
      </c>
      <c r="P477" s="0" t="s">
        <v>976</v>
      </c>
      <c r="Q477" s="0" t="s">
        <v>1151</v>
      </c>
      <c r="R477" s="0" t="s">
        <v>970</v>
      </c>
      <c r="S477" s="0" t="s">
        <v>974</v>
      </c>
    </row>
    <row r="478" customFormat="false" ht="13.8" hidden="false" customHeight="false" outlineLevel="0" collapsed="false">
      <c r="A478" s="0" t="n">
        <v>2234</v>
      </c>
      <c r="B478" s="0" t="s">
        <v>3319</v>
      </c>
      <c r="C478" s="0" t="s">
        <v>3320</v>
      </c>
      <c r="E478" s="0" t="n">
        <f aca="false">IF(J477=J478,E477+10,0)</f>
        <v>70</v>
      </c>
      <c r="F478" s="0" t="s">
        <v>3321</v>
      </c>
      <c r="G478" s="0" t="s">
        <v>3322</v>
      </c>
      <c r="H478" s="0" t="s">
        <v>3323</v>
      </c>
      <c r="I478" s="0" t="s">
        <v>3256</v>
      </c>
      <c r="J478" s="0" t="s">
        <v>2649</v>
      </c>
      <c r="K478" s="0" t="s">
        <v>971</v>
      </c>
      <c r="L478" s="0" t="s">
        <v>1381</v>
      </c>
      <c r="M478" s="0" t="s">
        <v>973</v>
      </c>
      <c r="N478" s="0" t="s">
        <v>974</v>
      </c>
      <c r="O478" s="0" t="s">
        <v>975</v>
      </c>
      <c r="P478" s="0" t="s">
        <v>976</v>
      </c>
      <c r="Q478" s="0" t="s">
        <v>975</v>
      </c>
      <c r="R478" s="0" t="s">
        <v>970</v>
      </c>
      <c r="S478" s="0" t="s">
        <v>974</v>
      </c>
    </row>
    <row r="479" customFormat="false" ht="13.8" hidden="false" customHeight="false" outlineLevel="0" collapsed="false">
      <c r="A479" s="0" t="n">
        <v>2235</v>
      </c>
      <c r="B479" s="0" t="s">
        <v>3324</v>
      </c>
      <c r="C479" s="0" t="s">
        <v>3325</v>
      </c>
      <c r="E479" s="0" t="n">
        <f aca="false">IF(J478=J479,E478+10,0)</f>
        <v>80</v>
      </c>
      <c r="F479" s="0" t="s">
        <v>3326</v>
      </c>
      <c r="G479" s="0" t="s">
        <v>3327</v>
      </c>
      <c r="H479" s="0" t="s">
        <v>3328</v>
      </c>
      <c r="I479" s="0" t="s">
        <v>2558</v>
      </c>
      <c r="J479" s="0" t="s">
        <v>2649</v>
      </c>
      <c r="K479" s="0" t="s">
        <v>971</v>
      </c>
      <c r="L479" s="0" t="s">
        <v>1381</v>
      </c>
      <c r="M479" s="0" t="s">
        <v>973</v>
      </c>
      <c r="N479" s="0" t="s">
        <v>974</v>
      </c>
      <c r="O479" s="0" t="s">
        <v>975</v>
      </c>
      <c r="P479" s="0" t="s">
        <v>976</v>
      </c>
      <c r="Q479" s="0" t="s">
        <v>1151</v>
      </c>
      <c r="R479" s="0" t="s">
        <v>970</v>
      </c>
      <c r="S479" s="0" t="s">
        <v>974</v>
      </c>
    </row>
    <row r="480" customFormat="false" ht="13.8" hidden="false" customHeight="false" outlineLevel="0" collapsed="false">
      <c r="A480" s="0" t="n">
        <v>2236</v>
      </c>
      <c r="B480" s="0" t="s">
        <v>3329</v>
      </c>
      <c r="C480" s="0" t="s">
        <v>2794</v>
      </c>
      <c r="E480" s="0" t="n">
        <f aca="false">IF(J479=J480,E479+10,0)</f>
        <v>90</v>
      </c>
      <c r="F480" s="0" t="s">
        <v>3330</v>
      </c>
      <c r="G480" s="0" t="s">
        <v>3331</v>
      </c>
      <c r="H480" s="0" t="s">
        <v>3332</v>
      </c>
      <c r="I480" s="0" t="s">
        <v>2798</v>
      </c>
      <c r="J480" s="0" t="s">
        <v>2649</v>
      </c>
      <c r="K480" s="0" t="s">
        <v>971</v>
      </c>
      <c r="L480" s="0" t="s">
        <v>973</v>
      </c>
      <c r="M480" s="0" t="s">
        <v>973</v>
      </c>
      <c r="N480" s="0" t="s">
        <v>974</v>
      </c>
      <c r="O480" s="0" t="s">
        <v>975</v>
      </c>
      <c r="P480" s="0" t="s">
        <v>976</v>
      </c>
      <c r="Q480" s="0" t="s">
        <v>975</v>
      </c>
      <c r="R480" s="0" t="s">
        <v>970</v>
      </c>
      <c r="S480" s="0" t="s">
        <v>974</v>
      </c>
    </row>
    <row r="481" customFormat="false" ht="13.8" hidden="false" customHeight="false" outlineLevel="0" collapsed="false">
      <c r="A481" s="0" t="n">
        <v>2237</v>
      </c>
      <c r="B481" s="0" t="s">
        <v>3333</v>
      </c>
      <c r="C481" s="0" t="s">
        <v>3334</v>
      </c>
      <c r="E481" s="0" t="n">
        <f aca="false">IF(J480=J481,E480+10,0)</f>
        <v>100</v>
      </c>
      <c r="F481" s="0" t="s">
        <v>3335</v>
      </c>
      <c r="G481" s="0" t="s">
        <v>3336</v>
      </c>
      <c r="H481" s="0" t="s">
        <v>3337</v>
      </c>
      <c r="I481" s="0" t="s">
        <v>1446</v>
      </c>
      <c r="J481" s="0" t="s">
        <v>2649</v>
      </c>
      <c r="K481" s="0" t="s">
        <v>971</v>
      </c>
      <c r="L481" s="0" t="s">
        <v>973</v>
      </c>
      <c r="M481" s="0" t="s">
        <v>973</v>
      </c>
      <c r="N481" s="0" t="s">
        <v>974</v>
      </c>
      <c r="O481" s="0" t="s">
        <v>975</v>
      </c>
      <c r="P481" s="0" t="s">
        <v>976</v>
      </c>
      <c r="Q481" s="0" t="s">
        <v>975</v>
      </c>
      <c r="R481" s="0" t="s">
        <v>970</v>
      </c>
      <c r="S481" s="0" t="s">
        <v>974</v>
      </c>
    </row>
    <row r="482" customFormat="false" ht="13.8" hidden="false" customHeight="false" outlineLevel="0" collapsed="false">
      <c r="A482" s="0" t="n">
        <v>2238</v>
      </c>
      <c r="B482" s="0" t="s">
        <v>3338</v>
      </c>
      <c r="C482" s="0" t="s">
        <v>3339</v>
      </c>
      <c r="E482" s="0" t="n">
        <f aca="false">IF(J481=J482,E481+10,0)</f>
        <v>110</v>
      </c>
      <c r="F482" s="0" t="s">
        <v>3340</v>
      </c>
      <c r="G482" s="0" t="s">
        <v>3341</v>
      </c>
      <c r="H482" s="0" t="s">
        <v>3342</v>
      </c>
      <c r="I482" s="0" t="s">
        <v>1213</v>
      </c>
      <c r="J482" s="0" t="s">
        <v>2649</v>
      </c>
      <c r="K482" s="0" t="s">
        <v>971</v>
      </c>
      <c r="L482" s="0" t="s">
        <v>974</v>
      </c>
      <c r="M482" s="0" t="s">
        <v>973</v>
      </c>
      <c r="N482" s="0" t="s">
        <v>974</v>
      </c>
      <c r="O482" s="0" t="s">
        <v>975</v>
      </c>
      <c r="P482" s="0" t="s">
        <v>976</v>
      </c>
      <c r="Q482" s="0" t="s">
        <v>1214</v>
      </c>
      <c r="R482" s="0" t="s">
        <v>970</v>
      </c>
      <c r="S482" s="0" t="s">
        <v>974</v>
      </c>
    </row>
    <row r="483" customFormat="false" ht="13.8" hidden="false" customHeight="false" outlineLevel="0" collapsed="false">
      <c r="A483" s="0" t="n">
        <v>2239</v>
      </c>
      <c r="B483" s="0" t="s">
        <v>3343</v>
      </c>
      <c r="C483" s="0" t="s">
        <v>1227</v>
      </c>
      <c r="E483" s="0" t="n">
        <f aca="false">IF(J482=J483,E482+10,0)</f>
        <v>120</v>
      </c>
      <c r="F483" s="0" t="s">
        <v>3344</v>
      </c>
      <c r="G483" s="0" t="s">
        <v>3345</v>
      </c>
      <c r="H483" s="0" t="s">
        <v>3346</v>
      </c>
      <c r="I483" s="0" t="s">
        <v>1231</v>
      </c>
      <c r="J483" s="0" t="s">
        <v>2649</v>
      </c>
      <c r="K483" s="0" t="s">
        <v>971</v>
      </c>
      <c r="L483" s="0" t="s">
        <v>1059</v>
      </c>
      <c r="M483" s="0" t="s">
        <v>973</v>
      </c>
      <c r="N483" s="0" t="s">
        <v>974</v>
      </c>
      <c r="O483" s="0" t="s">
        <v>975</v>
      </c>
      <c r="P483" s="0" t="s">
        <v>976</v>
      </c>
      <c r="Q483" s="0" t="s">
        <v>974</v>
      </c>
      <c r="R483" s="0" t="s">
        <v>970</v>
      </c>
      <c r="S483" s="0" t="s">
        <v>974</v>
      </c>
    </row>
    <row r="484" customFormat="false" ht="13.8" hidden="false" customHeight="false" outlineLevel="0" collapsed="false">
      <c r="A484" s="0" t="n">
        <v>2240</v>
      </c>
      <c r="B484" s="0" t="s">
        <v>3347</v>
      </c>
      <c r="C484" s="0" t="s">
        <v>3348</v>
      </c>
      <c r="E484" s="0" t="n">
        <f aca="false">IF(J483=J484,E483+10,0)</f>
        <v>0</v>
      </c>
      <c r="F484" s="0" t="s">
        <v>3349</v>
      </c>
      <c r="G484" s="0" t="s">
        <v>3350</v>
      </c>
      <c r="H484" s="0" t="s">
        <v>3351</v>
      </c>
      <c r="I484" s="0" t="s">
        <v>3352</v>
      </c>
      <c r="J484" s="0" t="s">
        <v>1723</v>
      </c>
      <c r="K484" s="0" t="s">
        <v>971</v>
      </c>
      <c r="L484" s="0" t="s">
        <v>3353</v>
      </c>
      <c r="M484" s="0" t="s">
        <v>973</v>
      </c>
      <c r="N484" s="0" t="s">
        <v>974</v>
      </c>
      <c r="O484" s="0" t="s">
        <v>975</v>
      </c>
      <c r="P484" s="0" t="s">
        <v>976</v>
      </c>
      <c r="Q484" s="0" t="s">
        <v>974</v>
      </c>
      <c r="R484" s="0" t="s">
        <v>970</v>
      </c>
      <c r="S484" s="0" t="s">
        <v>974</v>
      </c>
    </row>
    <row r="485" customFormat="false" ht="13.8" hidden="false" customHeight="false" outlineLevel="0" collapsed="false">
      <c r="A485" s="0" t="n">
        <v>2241</v>
      </c>
      <c r="B485" s="0" t="s">
        <v>3354</v>
      </c>
      <c r="C485" s="0" t="s">
        <v>2794</v>
      </c>
      <c r="E485" s="0" t="n">
        <f aca="false">IF(J484=J485,E484+10,0)</f>
        <v>10</v>
      </c>
      <c r="F485" s="0" t="s">
        <v>3355</v>
      </c>
      <c r="G485" s="0" t="s">
        <v>3356</v>
      </c>
      <c r="H485" s="0" t="s">
        <v>3357</v>
      </c>
      <c r="I485" s="0" t="s">
        <v>2798</v>
      </c>
      <c r="J485" s="0" t="s">
        <v>1723</v>
      </c>
      <c r="K485" s="0" t="s">
        <v>971</v>
      </c>
      <c r="L485" s="0" t="s">
        <v>973</v>
      </c>
      <c r="M485" s="0" t="s">
        <v>973</v>
      </c>
      <c r="N485" s="0" t="s">
        <v>974</v>
      </c>
      <c r="O485" s="0" t="s">
        <v>975</v>
      </c>
      <c r="P485" s="0" t="s">
        <v>976</v>
      </c>
      <c r="Q485" s="0" t="s">
        <v>974</v>
      </c>
      <c r="R485" s="0" t="s">
        <v>970</v>
      </c>
      <c r="S485" s="0" t="s">
        <v>974</v>
      </c>
    </row>
    <row r="486" customFormat="false" ht="13.8" hidden="false" customHeight="false" outlineLevel="0" collapsed="false">
      <c r="A486" s="0" t="n">
        <v>2242</v>
      </c>
      <c r="B486" s="0" t="s">
        <v>3358</v>
      </c>
      <c r="C486" s="0" t="s">
        <v>998</v>
      </c>
      <c r="E486" s="0" t="n">
        <f aca="false">IF(J485=J486,E485+10,0)</f>
        <v>20</v>
      </c>
      <c r="F486" s="0" t="s">
        <v>3359</v>
      </c>
      <c r="G486" s="0" t="s">
        <v>3360</v>
      </c>
      <c r="H486" s="0" t="s">
        <v>3361</v>
      </c>
      <c r="I486" s="0" t="s">
        <v>1002</v>
      </c>
      <c r="J486" s="0" t="s">
        <v>1723</v>
      </c>
      <c r="K486" s="0" t="s">
        <v>971</v>
      </c>
      <c r="L486" s="0" t="s">
        <v>3362</v>
      </c>
      <c r="M486" s="0" t="s">
        <v>973</v>
      </c>
      <c r="N486" s="0" t="s">
        <v>974</v>
      </c>
      <c r="O486" s="0" t="s">
        <v>975</v>
      </c>
      <c r="P486" s="0" t="s">
        <v>976</v>
      </c>
      <c r="Q486" s="0" t="s">
        <v>974</v>
      </c>
      <c r="R486" s="0" t="s">
        <v>970</v>
      </c>
      <c r="S486" s="0" t="s">
        <v>974</v>
      </c>
    </row>
    <row r="487" customFormat="false" ht="13.8" hidden="false" customHeight="false" outlineLevel="0" collapsed="false">
      <c r="A487" s="0" t="n">
        <v>2243</v>
      </c>
      <c r="B487" s="0" t="s">
        <v>3363</v>
      </c>
      <c r="C487" s="0" t="s">
        <v>1146</v>
      </c>
      <c r="E487" s="0" t="n">
        <f aca="false">IF(J486=J487,E486+10,0)</f>
        <v>30</v>
      </c>
      <c r="F487" s="0" t="s">
        <v>3364</v>
      </c>
      <c r="G487" s="0" t="s">
        <v>3365</v>
      </c>
      <c r="H487" s="0" t="s">
        <v>3366</v>
      </c>
      <c r="I487" s="0" t="s">
        <v>1150</v>
      </c>
      <c r="J487" s="0" t="s">
        <v>1723</v>
      </c>
      <c r="K487" s="0" t="s">
        <v>971</v>
      </c>
      <c r="L487" s="0" t="s">
        <v>3362</v>
      </c>
      <c r="M487" s="0" t="s">
        <v>973</v>
      </c>
      <c r="N487" s="0" t="s">
        <v>974</v>
      </c>
      <c r="O487" s="0" t="s">
        <v>975</v>
      </c>
      <c r="P487" s="0" t="s">
        <v>976</v>
      </c>
      <c r="Q487" s="0" t="s">
        <v>974</v>
      </c>
      <c r="R487" s="0" t="s">
        <v>970</v>
      </c>
      <c r="S487" s="0" t="s">
        <v>974</v>
      </c>
    </row>
    <row r="488" customFormat="false" ht="13.8" hidden="false" customHeight="false" outlineLevel="0" collapsed="false">
      <c r="A488" s="0" t="n">
        <v>2244</v>
      </c>
      <c r="B488" s="0" t="s">
        <v>3367</v>
      </c>
      <c r="C488" s="0" t="s">
        <v>3242</v>
      </c>
      <c r="E488" s="0" t="n">
        <f aca="false">IF(J487=J488,E487+10,0)</f>
        <v>40</v>
      </c>
      <c r="F488" s="0" t="s">
        <v>3368</v>
      </c>
      <c r="G488" s="0" t="s">
        <v>3369</v>
      </c>
      <c r="H488" s="0" t="s">
        <v>3370</v>
      </c>
      <c r="I488" s="0" t="s">
        <v>3246</v>
      </c>
      <c r="J488" s="0" t="s">
        <v>1723</v>
      </c>
      <c r="K488" s="0" t="s">
        <v>971</v>
      </c>
      <c r="L488" s="0" t="s">
        <v>973</v>
      </c>
      <c r="M488" s="0" t="s">
        <v>973</v>
      </c>
      <c r="N488" s="0" t="s">
        <v>974</v>
      </c>
      <c r="O488" s="0" t="s">
        <v>975</v>
      </c>
      <c r="P488" s="0" t="s">
        <v>976</v>
      </c>
      <c r="Q488" s="0" t="s">
        <v>974</v>
      </c>
      <c r="R488" s="0" t="s">
        <v>970</v>
      </c>
      <c r="S488" s="0" t="s">
        <v>974</v>
      </c>
    </row>
    <row r="489" customFormat="false" ht="13.8" hidden="false" customHeight="false" outlineLevel="0" collapsed="false">
      <c r="A489" s="0" t="n">
        <v>2245</v>
      </c>
      <c r="B489" s="0" t="s">
        <v>3371</v>
      </c>
      <c r="C489" s="0" t="s">
        <v>1048</v>
      </c>
      <c r="E489" s="0" t="n">
        <f aca="false">IF(J488=J489,E488+10,0)</f>
        <v>50</v>
      </c>
      <c r="F489" s="0" t="s">
        <v>3372</v>
      </c>
      <c r="G489" s="0" t="s">
        <v>3373</v>
      </c>
      <c r="H489" s="0" t="s">
        <v>3374</v>
      </c>
      <c r="I489" s="0" t="s">
        <v>1052</v>
      </c>
      <c r="J489" s="0" t="s">
        <v>1723</v>
      </c>
      <c r="K489" s="0" t="s">
        <v>971</v>
      </c>
      <c r="L489" s="0" t="s">
        <v>1117</v>
      </c>
      <c r="M489" s="0" t="s">
        <v>973</v>
      </c>
      <c r="N489" s="0" t="s">
        <v>974</v>
      </c>
      <c r="O489" s="0" t="s">
        <v>975</v>
      </c>
      <c r="P489" s="0" t="s">
        <v>976</v>
      </c>
      <c r="Q489" s="0" t="s">
        <v>974</v>
      </c>
      <c r="R489" s="0" t="s">
        <v>970</v>
      </c>
      <c r="S489" s="0" t="s">
        <v>974</v>
      </c>
    </row>
    <row r="490" customFormat="false" ht="13.8" hidden="false" customHeight="false" outlineLevel="0" collapsed="false">
      <c r="A490" s="0" t="n">
        <v>2246</v>
      </c>
      <c r="B490" s="0" t="s">
        <v>3375</v>
      </c>
      <c r="C490" s="0" t="s">
        <v>1227</v>
      </c>
      <c r="E490" s="0" t="n">
        <f aca="false">IF(J489=J490,E489+10,0)</f>
        <v>60</v>
      </c>
      <c r="F490" s="0" t="s">
        <v>3376</v>
      </c>
      <c r="G490" s="0" t="s">
        <v>3377</v>
      </c>
      <c r="H490" s="0" t="s">
        <v>3378</v>
      </c>
      <c r="I490" s="0" t="s">
        <v>1231</v>
      </c>
      <c r="J490" s="0" t="s">
        <v>1723</v>
      </c>
      <c r="K490" s="0" t="s">
        <v>971</v>
      </c>
      <c r="L490" s="0" t="s">
        <v>1059</v>
      </c>
      <c r="M490" s="0" t="s">
        <v>973</v>
      </c>
      <c r="N490" s="0" t="s">
        <v>974</v>
      </c>
      <c r="O490" s="0" t="s">
        <v>975</v>
      </c>
      <c r="P490" s="0" t="s">
        <v>976</v>
      </c>
      <c r="Q490" s="0" t="s">
        <v>974</v>
      </c>
      <c r="R490" s="0" t="s">
        <v>970</v>
      </c>
      <c r="S490" s="0" t="s">
        <v>974</v>
      </c>
    </row>
    <row r="491" customFormat="false" ht="13.8" hidden="false" customHeight="false" outlineLevel="0" collapsed="false">
      <c r="A491" s="0" t="n">
        <v>2247</v>
      </c>
      <c r="B491" s="0" t="s">
        <v>3379</v>
      </c>
      <c r="C491" s="0" t="s">
        <v>3380</v>
      </c>
      <c r="E491" s="0" t="n">
        <f aca="false">IF(J490=J491,E490+10,0)</f>
        <v>70</v>
      </c>
      <c r="F491" s="0" t="s">
        <v>3381</v>
      </c>
      <c r="G491" s="0" t="s">
        <v>3382</v>
      </c>
      <c r="H491" s="0" t="s">
        <v>3383</v>
      </c>
      <c r="I491" s="0" t="s">
        <v>3384</v>
      </c>
      <c r="J491" s="0" t="s">
        <v>1723</v>
      </c>
      <c r="K491" s="0" t="s">
        <v>971</v>
      </c>
      <c r="L491" s="0" t="s">
        <v>974</v>
      </c>
      <c r="M491" s="0" t="s">
        <v>973</v>
      </c>
      <c r="N491" s="0" t="s">
        <v>974</v>
      </c>
      <c r="O491" s="0" t="s">
        <v>975</v>
      </c>
      <c r="P491" s="0" t="s">
        <v>976</v>
      </c>
      <c r="Q491" s="0" t="s">
        <v>974</v>
      </c>
      <c r="R491" s="0" t="s">
        <v>970</v>
      </c>
      <c r="S491" s="0" t="s">
        <v>974</v>
      </c>
    </row>
    <row r="492" customFormat="false" ht="13.8" hidden="false" customHeight="false" outlineLevel="0" collapsed="false">
      <c r="A492" s="0" t="n">
        <v>2248</v>
      </c>
      <c r="B492" s="0" t="s">
        <v>3385</v>
      </c>
      <c r="C492" s="0" t="s">
        <v>3386</v>
      </c>
      <c r="E492" s="0" t="n">
        <f aca="false">IF(J491=J492,E491+10,0)</f>
        <v>80</v>
      </c>
      <c r="F492" s="0" t="s">
        <v>3387</v>
      </c>
      <c r="G492" s="0" t="s">
        <v>3388</v>
      </c>
      <c r="H492" s="0" t="s">
        <v>3389</v>
      </c>
      <c r="I492" s="0" t="s">
        <v>3390</v>
      </c>
      <c r="J492" s="0" t="s">
        <v>1723</v>
      </c>
      <c r="K492" s="0" t="s">
        <v>971</v>
      </c>
      <c r="L492" s="0" t="s">
        <v>3105</v>
      </c>
      <c r="M492" s="0" t="s">
        <v>1459</v>
      </c>
      <c r="N492" s="0" t="s">
        <v>974</v>
      </c>
      <c r="O492" s="0" t="s">
        <v>975</v>
      </c>
      <c r="P492" s="0" t="s">
        <v>976</v>
      </c>
      <c r="Q492" s="0" t="s">
        <v>974</v>
      </c>
      <c r="R492" s="0" t="s">
        <v>970</v>
      </c>
      <c r="S492" s="0" t="s">
        <v>974</v>
      </c>
    </row>
    <row r="493" customFormat="false" ht="13.8" hidden="false" customHeight="false" outlineLevel="0" collapsed="false">
      <c r="A493" s="0" t="n">
        <v>2249</v>
      </c>
      <c r="B493" s="0" t="s">
        <v>3391</v>
      </c>
      <c r="C493" s="0" t="s">
        <v>3392</v>
      </c>
      <c r="E493" s="0" t="n">
        <f aca="false">IF(J492=J493,E492+10,0)</f>
        <v>90</v>
      </c>
      <c r="F493" s="0" t="s">
        <v>3393</v>
      </c>
      <c r="G493" s="0" t="s">
        <v>3394</v>
      </c>
      <c r="H493" s="0" t="s">
        <v>3395</v>
      </c>
      <c r="I493" s="0" t="s">
        <v>2706</v>
      </c>
      <c r="J493" s="0" t="s">
        <v>1723</v>
      </c>
      <c r="K493" s="0" t="s">
        <v>971</v>
      </c>
      <c r="L493" s="0" t="s">
        <v>974</v>
      </c>
      <c r="M493" s="0" t="s">
        <v>973</v>
      </c>
      <c r="N493" s="0" t="s">
        <v>974</v>
      </c>
      <c r="O493" s="0" t="s">
        <v>975</v>
      </c>
      <c r="P493" s="0" t="s">
        <v>976</v>
      </c>
      <c r="Q493" s="0" t="s">
        <v>1059</v>
      </c>
      <c r="R493" s="0" t="s">
        <v>970</v>
      </c>
      <c r="S493" s="0" t="s">
        <v>974</v>
      </c>
    </row>
    <row r="494" customFormat="false" ht="13.8" hidden="false" customHeight="false" outlineLevel="0" collapsed="false">
      <c r="A494" s="0" t="n">
        <v>2250</v>
      </c>
      <c r="B494" s="0" t="s">
        <v>3396</v>
      </c>
      <c r="C494" s="0" t="s">
        <v>3397</v>
      </c>
      <c r="E494" s="0" t="n">
        <f aca="false">IF(J493=J494,E493+10,0)</f>
        <v>100</v>
      </c>
      <c r="F494" s="0" t="s">
        <v>3398</v>
      </c>
      <c r="G494" s="0" t="s">
        <v>3399</v>
      </c>
      <c r="H494" s="0" t="s">
        <v>3400</v>
      </c>
      <c r="I494" s="0" t="s">
        <v>3401</v>
      </c>
      <c r="J494" s="0" t="s">
        <v>1723</v>
      </c>
      <c r="K494" s="0" t="s">
        <v>971</v>
      </c>
      <c r="L494" s="0" t="s">
        <v>974</v>
      </c>
      <c r="M494" s="0" t="s">
        <v>973</v>
      </c>
      <c r="N494" s="0" t="s">
        <v>974</v>
      </c>
      <c r="O494" s="0" t="s">
        <v>975</v>
      </c>
      <c r="P494" s="0" t="s">
        <v>976</v>
      </c>
      <c r="Q494" s="0" t="s">
        <v>970</v>
      </c>
      <c r="R494" s="0" t="s">
        <v>1046</v>
      </c>
      <c r="S494" s="0" t="s">
        <v>974</v>
      </c>
    </row>
    <row r="495" customFormat="false" ht="13.8" hidden="false" customHeight="false" outlineLevel="0" collapsed="false">
      <c r="A495" s="0" t="n">
        <v>2251</v>
      </c>
      <c r="B495" s="0" t="s">
        <v>3402</v>
      </c>
      <c r="C495" s="0" t="s">
        <v>3403</v>
      </c>
      <c r="E495" s="0" t="n">
        <f aca="false">IF(J494=J495,E494+10,0)</f>
        <v>110</v>
      </c>
      <c r="F495" s="0" t="s">
        <v>3404</v>
      </c>
      <c r="G495" s="0" t="s">
        <v>3405</v>
      </c>
      <c r="H495" s="0" t="s">
        <v>3406</v>
      </c>
      <c r="I495" s="0" t="s">
        <v>3407</v>
      </c>
      <c r="J495" s="0" t="s">
        <v>1723</v>
      </c>
      <c r="K495" s="0" t="s">
        <v>971</v>
      </c>
      <c r="L495" s="0" t="s">
        <v>974</v>
      </c>
      <c r="M495" s="0" t="s">
        <v>973</v>
      </c>
      <c r="N495" s="0" t="s">
        <v>974</v>
      </c>
      <c r="O495" s="0" t="s">
        <v>975</v>
      </c>
      <c r="P495" s="0" t="s">
        <v>976</v>
      </c>
      <c r="Q495" s="0" t="s">
        <v>975</v>
      </c>
      <c r="R495" s="0" t="s">
        <v>1046</v>
      </c>
      <c r="S495" s="0" t="s">
        <v>974</v>
      </c>
    </row>
    <row r="496" customFormat="false" ht="13.8" hidden="false" customHeight="false" outlineLevel="0" collapsed="false">
      <c r="A496" s="0" t="n">
        <v>2252</v>
      </c>
      <c r="B496" s="0" t="s">
        <v>3408</v>
      </c>
      <c r="C496" s="0" t="s">
        <v>998</v>
      </c>
      <c r="E496" s="0" t="n">
        <f aca="false">IF(J495=J496,E495+10,0)</f>
        <v>120</v>
      </c>
      <c r="F496" s="0" t="s">
        <v>3409</v>
      </c>
      <c r="G496" s="0" t="s">
        <v>3410</v>
      </c>
      <c r="H496" s="0" t="s">
        <v>3411</v>
      </c>
      <c r="I496" s="0" t="s">
        <v>1002</v>
      </c>
      <c r="J496" s="0" t="s">
        <v>1723</v>
      </c>
      <c r="K496" s="0" t="s">
        <v>971</v>
      </c>
      <c r="L496" s="0" t="s">
        <v>970</v>
      </c>
      <c r="M496" s="0" t="s">
        <v>973</v>
      </c>
      <c r="N496" s="0" t="s">
        <v>974</v>
      </c>
      <c r="O496" s="0" t="s">
        <v>975</v>
      </c>
      <c r="P496" s="0" t="s">
        <v>976</v>
      </c>
      <c r="Q496" s="0" t="s">
        <v>974</v>
      </c>
      <c r="R496" s="0" t="s">
        <v>970</v>
      </c>
      <c r="S496" s="0" t="s">
        <v>974</v>
      </c>
    </row>
    <row r="497" customFormat="false" ht="13.8" hidden="false" customHeight="false" outlineLevel="0" collapsed="false">
      <c r="A497" s="0" t="n">
        <v>2253</v>
      </c>
      <c r="B497" s="0" t="s">
        <v>3412</v>
      </c>
      <c r="C497" s="0" t="s">
        <v>1096</v>
      </c>
      <c r="E497" s="0" t="n">
        <f aca="false">IF(J496=J497,E496+10,0)</f>
        <v>130</v>
      </c>
      <c r="F497" s="0" t="s">
        <v>3413</v>
      </c>
      <c r="G497" s="0" t="s">
        <v>3414</v>
      </c>
      <c r="H497" s="0" t="s">
        <v>3415</v>
      </c>
      <c r="I497" s="0" t="s">
        <v>1100</v>
      </c>
      <c r="J497" s="0" t="s">
        <v>1723</v>
      </c>
      <c r="K497" s="0" t="s">
        <v>971</v>
      </c>
      <c r="L497" s="0" t="s">
        <v>974</v>
      </c>
      <c r="M497" s="0" t="s">
        <v>973</v>
      </c>
      <c r="N497" s="0" t="s">
        <v>974</v>
      </c>
      <c r="O497" s="0" t="s">
        <v>975</v>
      </c>
      <c r="P497" s="0" t="s">
        <v>976</v>
      </c>
      <c r="Q497" s="0" t="s">
        <v>970</v>
      </c>
      <c r="R497" s="0" t="s">
        <v>1046</v>
      </c>
      <c r="S497" s="0" t="s">
        <v>974</v>
      </c>
    </row>
    <row r="498" customFormat="false" ht="13.8" hidden="false" customHeight="false" outlineLevel="0" collapsed="false">
      <c r="A498" s="0" t="n">
        <v>2254</v>
      </c>
      <c r="B498" s="0" t="s">
        <v>3416</v>
      </c>
      <c r="C498" s="0" t="s">
        <v>1383</v>
      </c>
      <c r="E498" s="0" t="n">
        <f aca="false">IF(J497=J498,E497+10,0)</f>
        <v>140</v>
      </c>
      <c r="F498" s="0" t="s">
        <v>3417</v>
      </c>
      <c r="G498" s="0" t="s">
        <v>3418</v>
      </c>
      <c r="H498" s="0" t="s">
        <v>3419</v>
      </c>
      <c r="I498" s="0" t="s">
        <v>1213</v>
      </c>
      <c r="J498" s="0" t="s">
        <v>1723</v>
      </c>
      <c r="K498" s="0" t="s">
        <v>971</v>
      </c>
      <c r="L498" s="0" t="s">
        <v>974</v>
      </c>
      <c r="M498" s="0" t="s">
        <v>973</v>
      </c>
      <c r="N498" s="0" t="s">
        <v>974</v>
      </c>
      <c r="O498" s="0" t="s">
        <v>975</v>
      </c>
      <c r="P498" s="0" t="s">
        <v>976</v>
      </c>
      <c r="Q498" s="0" t="s">
        <v>970</v>
      </c>
      <c r="R498" s="0" t="s">
        <v>970</v>
      </c>
      <c r="S498" s="0" t="s">
        <v>974</v>
      </c>
    </row>
    <row r="499" customFormat="false" ht="13.8" hidden="false" customHeight="false" outlineLevel="0" collapsed="false">
      <c r="A499" s="0" t="n">
        <v>2255</v>
      </c>
      <c r="B499" s="0" t="s">
        <v>3420</v>
      </c>
      <c r="C499" s="0" t="s">
        <v>1583</v>
      </c>
      <c r="E499" s="0" t="n">
        <f aca="false">IF(J498=J499,E498+10,0)</f>
        <v>150</v>
      </c>
      <c r="F499" s="0" t="s">
        <v>3421</v>
      </c>
      <c r="G499" s="0" t="s">
        <v>3422</v>
      </c>
      <c r="H499" s="0" t="s">
        <v>3423</v>
      </c>
      <c r="I499" s="0" t="s">
        <v>1587</v>
      </c>
      <c r="J499" s="0" t="s">
        <v>1723</v>
      </c>
      <c r="K499" s="0" t="s">
        <v>971</v>
      </c>
      <c r="L499" s="0" t="s">
        <v>974</v>
      </c>
      <c r="M499" s="0" t="s">
        <v>973</v>
      </c>
      <c r="N499" s="0" t="s">
        <v>974</v>
      </c>
      <c r="O499" s="0" t="s">
        <v>975</v>
      </c>
      <c r="P499" s="0" t="s">
        <v>976</v>
      </c>
      <c r="Q499" s="0" t="s">
        <v>2146</v>
      </c>
      <c r="R499" s="0" t="s">
        <v>1046</v>
      </c>
      <c r="S499" s="0" t="s">
        <v>974</v>
      </c>
    </row>
    <row r="500" customFormat="false" ht="13.8" hidden="false" customHeight="false" outlineLevel="0" collapsed="false">
      <c r="A500" s="0" t="n">
        <v>2256</v>
      </c>
      <c r="B500" s="0" t="s">
        <v>3424</v>
      </c>
      <c r="C500" s="0" t="s">
        <v>1084</v>
      </c>
      <c r="E500" s="0" t="n">
        <f aca="false">IF(J499=J500,E499+10,0)</f>
        <v>160</v>
      </c>
      <c r="F500" s="0" t="s">
        <v>3425</v>
      </c>
      <c r="G500" s="0" t="s">
        <v>3426</v>
      </c>
      <c r="H500" s="0" t="s">
        <v>3427</v>
      </c>
      <c r="I500" s="0" t="s">
        <v>1088</v>
      </c>
      <c r="J500" s="0" t="s">
        <v>1723</v>
      </c>
      <c r="K500" s="0" t="s">
        <v>971</v>
      </c>
      <c r="L500" s="0" t="s">
        <v>974</v>
      </c>
      <c r="M500" s="0" t="s">
        <v>973</v>
      </c>
      <c r="N500" s="0" t="s">
        <v>974</v>
      </c>
      <c r="O500" s="0" t="s">
        <v>975</v>
      </c>
      <c r="P500" s="0" t="s">
        <v>976</v>
      </c>
      <c r="Q500" s="0" t="s">
        <v>2146</v>
      </c>
      <c r="R500" s="0" t="s">
        <v>1046</v>
      </c>
      <c r="S500" s="0" t="s">
        <v>974</v>
      </c>
    </row>
    <row r="501" customFormat="false" ht="13.8" hidden="false" customHeight="false" outlineLevel="0" collapsed="false">
      <c r="A501" s="0" t="n">
        <v>2257</v>
      </c>
      <c r="B501" s="0" t="s">
        <v>3428</v>
      </c>
      <c r="C501" s="0" t="s">
        <v>3392</v>
      </c>
      <c r="E501" s="0" t="n">
        <f aca="false">IF(J500=J501,E500+10,0)</f>
        <v>170</v>
      </c>
      <c r="F501" s="0" t="s">
        <v>3429</v>
      </c>
      <c r="G501" s="0" t="s">
        <v>3430</v>
      </c>
      <c r="H501" s="0" t="s">
        <v>3431</v>
      </c>
      <c r="I501" s="0" t="s">
        <v>2706</v>
      </c>
      <c r="J501" s="0" t="s">
        <v>1723</v>
      </c>
      <c r="K501" s="0" t="s">
        <v>971</v>
      </c>
      <c r="L501" s="0" t="s">
        <v>974</v>
      </c>
      <c r="M501" s="0" t="s">
        <v>973</v>
      </c>
      <c r="N501" s="0" t="s">
        <v>974</v>
      </c>
      <c r="O501" s="0" t="s">
        <v>975</v>
      </c>
      <c r="P501" s="0" t="s">
        <v>976</v>
      </c>
      <c r="Q501" s="0" t="s">
        <v>970</v>
      </c>
      <c r="R501" s="0" t="s">
        <v>970</v>
      </c>
      <c r="S501" s="0" t="s">
        <v>974</v>
      </c>
    </row>
    <row r="502" customFormat="false" ht="13.8" hidden="false" customHeight="false" outlineLevel="0" collapsed="false">
      <c r="A502" s="0" t="n">
        <v>2258</v>
      </c>
      <c r="B502" s="0" t="s">
        <v>3432</v>
      </c>
      <c r="C502" s="0" t="s">
        <v>3433</v>
      </c>
      <c r="E502" s="0" t="n">
        <f aca="false">IF(J501=J502,E501+10,0)</f>
        <v>180</v>
      </c>
      <c r="F502" s="0" t="s">
        <v>3434</v>
      </c>
      <c r="G502" s="0" t="s">
        <v>3435</v>
      </c>
      <c r="H502" s="0" t="s">
        <v>3436</v>
      </c>
      <c r="I502" s="0" t="s">
        <v>3437</v>
      </c>
      <c r="J502" s="0" t="s">
        <v>1723</v>
      </c>
      <c r="K502" s="0" t="s">
        <v>971</v>
      </c>
      <c r="L502" s="0" t="s">
        <v>974</v>
      </c>
      <c r="M502" s="0" t="s">
        <v>973</v>
      </c>
      <c r="N502" s="0" t="s">
        <v>970</v>
      </c>
      <c r="O502" s="0" t="s">
        <v>975</v>
      </c>
      <c r="P502" s="0" t="s">
        <v>976</v>
      </c>
      <c r="Q502" s="0" t="s">
        <v>974</v>
      </c>
      <c r="R502" s="0" t="s">
        <v>970</v>
      </c>
      <c r="S502" s="0" t="s">
        <v>974</v>
      </c>
    </row>
    <row r="503" customFormat="false" ht="13.8" hidden="false" customHeight="false" outlineLevel="0" collapsed="false">
      <c r="A503" s="0" t="n">
        <v>2259</v>
      </c>
      <c r="B503" s="0" t="s">
        <v>3438</v>
      </c>
      <c r="C503" s="0" t="s">
        <v>3439</v>
      </c>
      <c r="E503" s="0" t="n">
        <f aca="false">IF(J502=J503,E502+10,0)</f>
        <v>190</v>
      </c>
      <c r="F503" s="0" t="s">
        <v>3440</v>
      </c>
      <c r="G503" s="0" t="s">
        <v>3441</v>
      </c>
      <c r="H503" s="0" t="s">
        <v>3442</v>
      </c>
      <c r="I503" s="0" t="s">
        <v>1238</v>
      </c>
      <c r="J503" s="0" t="s">
        <v>1723</v>
      </c>
      <c r="K503" s="0" t="s">
        <v>971</v>
      </c>
      <c r="L503" s="0" t="s">
        <v>1059</v>
      </c>
      <c r="M503" s="0" t="s">
        <v>973</v>
      </c>
      <c r="N503" s="0" t="s">
        <v>974</v>
      </c>
      <c r="O503" s="0" t="s">
        <v>975</v>
      </c>
      <c r="P503" s="0" t="s">
        <v>976</v>
      </c>
      <c r="Q503" s="0" t="s">
        <v>974</v>
      </c>
      <c r="R503" s="0" t="s">
        <v>970</v>
      </c>
      <c r="S503" s="0" t="s">
        <v>974</v>
      </c>
    </row>
    <row r="504" customFormat="false" ht="13.8" hidden="false" customHeight="false" outlineLevel="0" collapsed="false">
      <c r="A504" s="0" t="n">
        <v>2260</v>
      </c>
      <c r="B504" s="0" t="s">
        <v>3443</v>
      </c>
      <c r="C504" s="0" t="s">
        <v>3444</v>
      </c>
      <c r="E504" s="0" t="n">
        <f aca="false">IF(J503=J504,E503+10,0)</f>
        <v>200</v>
      </c>
      <c r="F504" s="0" t="s">
        <v>3445</v>
      </c>
      <c r="G504" s="0" t="s">
        <v>3446</v>
      </c>
      <c r="H504" s="0" t="s">
        <v>3447</v>
      </c>
      <c r="I504" s="0" t="s">
        <v>1213</v>
      </c>
      <c r="J504" s="0" t="s">
        <v>1723</v>
      </c>
      <c r="K504" s="0" t="s">
        <v>971</v>
      </c>
      <c r="L504" s="0" t="s">
        <v>974</v>
      </c>
      <c r="M504" s="0" t="s">
        <v>973</v>
      </c>
      <c r="N504" s="0" t="s">
        <v>974</v>
      </c>
      <c r="O504" s="0" t="s">
        <v>975</v>
      </c>
      <c r="P504" s="0" t="s">
        <v>976</v>
      </c>
      <c r="Q504" s="0" t="s">
        <v>1059</v>
      </c>
      <c r="R504" s="0" t="s">
        <v>970</v>
      </c>
      <c r="S504" s="0" t="s">
        <v>974</v>
      </c>
    </row>
    <row r="505" customFormat="false" ht="13.8" hidden="false" customHeight="false" outlineLevel="0" collapsed="false">
      <c r="A505" s="0" t="n">
        <v>2261</v>
      </c>
      <c r="B505" s="0" t="s">
        <v>3448</v>
      </c>
      <c r="C505" s="0" t="s">
        <v>3449</v>
      </c>
      <c r="E505" s="0" t="n">
        <f aca="false">IF(J504=J505,E504+10,0)</f>
        <v>0</v>
      </c>
      <c r="F505" s="0" t="s">
        <v>3450</v>
      </c>
      <c r="G505" s="0" t="s">
        <v>3451</v>
      </c>
      <c r="H505" s="0" t="s">
        <v>3452</v>
      </c>
      <c r="I505" s="0" t="s">
        <v>1446</v>
      </c>
      <c r="J505" s="0" t="s">
        <v>3453</v>
      </c>
      <c r="K505" s="0" t="s">
        <v>971</v>
      </c>
      <c r="L505" s="0" t="s">
        <v>3454</v>
      </c>
      <c r="M505" s="0" t="s">
        <v>973</v>
      </c>
      <c r="N505" s="0" t="s">
        <v>974</v>
      </c>
      <c r="O505" s="0" t="s">
        <v>975</v>
      </c>
      <c r="P505" s="0" t="s">
        <v>976</v>
      </c>
      <c r="Q505" s="0" t="s">
        <v>1151</v>
      </c>
      <c r="R505" s="0" t="s">
        <v>970</v>
      </c>
      <c r="S505" s="0" t="s">
        <v>974</v>
      </c>
    </row>
    <row r="506" customFormat="false" ht="13.8" hidden="false" customHeight="false" outlineLevel="0" collapsed="false">
      <c r="A506" s="0" t="n">
        <v>2262</v>
      </c>
      <c r="B506" s="0" t="s">
        <v>3455</v>
      </c>
      <c r="C506" s="0" t="s">
        <v>3456</v>
      </c>
      <c r="E506" s="0" t="n">
        <f aca="false">IF(J505=J506,E505+10,0)</f>
        <v>10</v>
      </c>
      <c r="F506" s="0" t="s">
        <v>3457</v>
      </c>
      <c r="G506" s="0" t="s">
        <v>3458</v>
      </c>
      <c r="H506" s="0" t="s">
        <v>3459</v>
      </c>
      <c r="I506" s="0" t="s">
        <v>2551</v>
      </c>
      <c r="J506" s="0" t="s">
        <v>3453</v>
      </c>
      <c r="K506" s="0" t="s">
        <v>971</v>
      </c>
      <c r="L506" s="0" t="s">
        <v>1459</v>
      </c>
      <c r="M506" s="0" t="s">
        <v>973</v>
      </c>
      <c r="N506" s="0" t="s">
        <v>974</v>
      </c>
      <c r="O506" s="0" t="s">
        <v>975</v>
      </c>
      <c r="P506" s="0" t="s">
        <v>976</v>
      </c>
      <c r="Q506" s="0" t="s">
        <v>1151</v>
      </c>
      <c r="R506" s="0" t="s">
        <v>970</v>
      </c>
      <c r="S506" s="0" t="s">
        <v>974</v>
      </c>
    </row>
    <row r="507" customFormat="false" ht="13.8" hidden="false" customHeight="false" outlineLevel="0" collapsed="false">
      <c r="A507" s="0" t="n">
        <v>2263</v>
      </c>
      <c r="B507" s="0" t="s">
        <v>3460</v>
      </c>
      <c r="C507" s="0" t="s">
        <v>3461</v>
      </c>
      <c r="E507" s="0" t="n">
        <f aca="false">IF(J506=J507,E506+10,0)</f>
        <v>20</v>
      </c>
      <c r="F507" s="0" t="s">
        <v>3462</v>
      </c>
      <c r="G507" s="0" t="s">
        <v>3463</v>
      </c>
      <c r="H507" s="0" t="s">
        <v>3464</v>
      </c>
      <c r="I507" s="0" t="s">
        <v>3256</v>
      </c>
      <c r="J507" s="0" t="s">
        <v>3453</v>
      </c>
      <c r="K507" s="0" t="s">
        <v>971</v>
      </c>
      <c r="L507" s="0" t="s">
        <v>974</v>
      </c>
      <c r="M507" s="0" t="s">
        <v>973</v>
      </c>
      <c r="N507" s="0" t="s">
        <v>974</v>
      </c>
      <c r="O507" s="0" t="s">
        <v>975</v>
      </c>
      <c r="P507" s="0" t="s">
        <v>976</v>
      </c>
      <c r="Q507" s="0" t="s">
        <v>1151</v>
      </c>
      <c r="R507" s="0" t="s">
        <v>970</v>
      </c>
      <c r="S507" s="0" t="s">
        <v>974</v>
      </c>
    </row>
    <row r="508" customFormat="false" ht="13.8" hidden="false" customHeight="false" outlineLevel="0" collapsed="false">
      <c r="A508" s="0" t="n">
        <v>2264</v>
      </c>
      <c r="B508" s="0" t="s">
        <v>3465</v>
      </c>
      <c r="C508" s="0" t="s">
        <v>3466</v>
      </c>
      <c r="E508" s="0" t="n">
        <f aca="false">IF(J507=J508,E507+10,0)</f>
        <v>30</v>
      </c>
      <c r="F508" s="0" t="s">
        <v>3467</v>
      </c>
      <c r="G508" s="0" t="s">
        <v>3468</v>
      </c>
      <c r="H508" s="0" t="s">
        <v>3469</v>
      </c>
      <c r="I508" s="0" t="s">
        <v>2558</v>
      </c>
      <c r="J508" s="0" t="s">
        <v>3453</v>
      </c>
      <c r="K508" s="0" t="s">
        <v>971</v>
      </c>
      <c r="L508" s="0" t="s">
        <v>1459</v>
      </c>
      <c r="M508" s="0" t="s">
        <v>973</v>
      </c>
      <c r="N508" s="0" t="s">
        <v>974</v>
      </c>
      <c r="O508" s="0" t="s">
        <v>975</v>
      </c>
      <c r="P508" s="0" t="s">
        <v>976</v>
      </c>
      <c r="Q508" s="0" t="s">
        <v>1151</v>
      </c>
      <c r="R508" s="0" t="s">
        <v>970</v>
      </c>
      <c r="S508" s="0" t="s">
        <v>974</v>
      </c>
    </row>
    <row r="509" customFormat="false" ht="13.8" hidden="false" customHeight="false" outlineLevel="0" collapsed="false">
      <c r="A509" s="0" t="n">
        <v>2265</v>
      </c>
      <c r="B509" s="0" t="s">
        <v>3470</v>
      </c>
      <c r="C509" s="0" t="s">
        <v>3471</v>
      </c>
      <c r="E509" s="0" t="n">
        <f aca="false">IF(J508=J509,E508+10,0)</f>
        <v>40</v>
      </c>
      <c r="F509" s="0" t="s">
        <v>3472</v>
      </c>
      <c r="G509" s="0" t="s">
        <v>3473</v>
      </c>
      <c r="H509" s="0" t="s">
        <v>3474</v>
      </c>
      <c r="I509" s="0" t="s">
        <v>2361</v>
      </c>
      <c r="J509" s="0" t="s">
        <v>3453</v>
      </c>
      <c r="K509" s="0" t="s">
        <v>971</v>
      </c>
      <c r="L509" s="0" t="s">
        <v>3475</v>
      </c>
      <c r="M509" s="0" t="s">
        <v>973</v>
      </c>
      <c r="N509" s="0" t="s">
        <v>974</v>
      </c>
      <c r="O509" s="0" t="s">
        <v>975</v>
      </c>
      <c r="P509" s="0" t="s">
        <v>976</v>
      </c>
      <c r="Q509" s="0" t="s">
        <v>3476</v>
      </c>
      <c r="R509" s="0" t="s">
        <v>970</v>
      </c>
      <c r="S509" s="0" t="s">
        <v>974</v>
      </c>
    </row>
    <row r="510" customFormat="false" ht="13.8" hidden="false" customHeight="false" outlineLevel="0" collapsed="false">
      <c r="A510" s="0" t="n">
        <v>2266</v>
      </c>
      <c r="B510" s="0" t="s">
        <v>3477</v>
      </c>
      <c r="C510" s="0" t="s">
        <v>3242</v>
      </c>
      <c r="E510" s="0" t="n">
        <f aca="false">IF(J509=J510,E509+10,0)</f>
        <v>50</v>
      </c>
      <c r="F510" s="0" t="s">
        <v>3478</v>
      </c>
      <c r="G510" s="0" t="s">
        <v>3479</v>
      </c>
      <c r="H510" s="0" t="s">
        <v>3480</v>
      </c>
      <c r="I510" s="0" t="s">
        <v>3246</v>
      </c>
      <c r="J510" s="0" t="s">
        <v>3453</v>
      </c>
      <c r="K510" s="0" t="s">
        <v>971</v>
      </c>
      <c r="L510" s="0" t="s">
        <v>974</v>
      </c>
      <c r="M510" s="0" t="s">
        <v>973</v>
      </c>
      <c r="N510" s="0" t="s">
        <v>974</v>
      </c>
      <c r="O510" s="0" t="s">
        <v>975</v>
      </c>
      <c r="P510" s="0" t="s">
        <v>976</v>
      </c>
      <c r="Q510" s="0" t="s">
        <v>974</v>
      </c>
      <c r="R510" s="0" t="s">
        <v>970</v>
      </c>
      <c r="S510" s="0" t="s">
        <v>974</v>
      </c>
    </row>
    <row r="511" customFormat="false" ht="13.8" hidden="false" customHeight="false" outlineLevel="0" collapsed="false">
      <c r="A511" s="0" t="n">
        <v>2267</v>
      </c>
      <c r="B511" s="0" t="s">
        <v>3481</v>
      </c>
      <c r="C511" s="0" t="s">
        <v>3482</v>
      </c>
      <c r="E511" s="0" t="n">
        <f aca="false">IF(J510=J511,E510+10,0)</f>
        <v>60</v>
      </c>
      <c r="F511" s="0" t="s">
        <v>3483</v>
      </c>
      <c r="G511" s="0" t="s">
        <v>3484</v>
      </c>
      <c r="H511" s="0" t="s">
        <v>3485</v>
      </c>
      <c r="I511" s="0" t="s">
        <v>3246</v>
      </c>
      <c r="J511" s="0" t="s">
        <v>3453</v>
      </c>
      <c r="K511" s="0" t="s">
        <v>971</v>
      </c>
      <c r="L511" s="0" t="s">
        <v>3486</v>
      </c>
      <c r="M511" s="0" t="s">
        <v>973</v>
      </c>
      <c r="N511" s="0" t="s">
        <v>974</v>
      </c>
      <c r="O511" s="0" t="s">
        <v>975</v>
      </c>
      <c r="P511" s="0" t="s">
        <v>976</v>
      </c>
      <c r="Q511" s="0" t="s">
        <v>1151</v>
      </c>
      <c r="R511" s="0" t="s">
        <v>970</v>
      </c>
      <c r="S511" s="0" t="s">
        <v>974</v>
      </c>
    </row>
    <row r="512" customFormat="false" ht="13.8" hidden="false" customHeight="false" outlineLevel="0" collapsed="false">
      <c r="A512" s="0" t="n">
        <v>2268</v>
      </c>
      <c r="B512" s="0" t="s">
        <v>3487</v>
      </c>
      <c r="C512" s="0" t="s">
        <v>3488</v>
      </c>
      <c r="E512" s="0" t="n">
        <f aca="false">IF(J511=J512,E511+10,0)</f>
        <v>70</v>
      </c>
      <c r="F512" s="0" t="s">
        <v>3489</v>
      </c>
      <c r="G512" s="0" t="s">
        <v>3490</v>
      </c>
      <c r="H512" s="0" t="s">
        <v>3491</v>
      </c>
      <c r="I512" s="0" t="s">
        <v>1231</v>
      </c>
      <c r="J512" s="0" t="s">
        <v>3453</v>
      </c>
      <c r="K512" s="0" t="s">
        <v>971</v>
      </c>
      <c r="L512" s="0" t="s">
        <v>1296</v>
      </c>
      <c r="M512" s="0" t="s">
        <v>973</v>
      </c>
      <c r="N512" s="0" t="s">
        <v>974</v>
      </c>
      <c r="O512" s="0" t="s">
        <v>975</v>
      </c>
      <c r="P512" s="0" t="s">
        <v>976</v>
      </c>
      <c r="Q512" s="0" t="s">
        <v>1151</v>
      </c>
      <c r="R512" s="0" t="s">
        <v>970</v>
      </c>
      <c r="S512" s="0" t="s">
        <v>974</v>
      </c>
    </row>
    <row r="513" customFormat="false" ht="13.8" hidden="false" customHeight="false" outlineLevel="0" collapsed="false">
      <c r="A513" s="0" t="n">
        <v>2269</v>
      </c>
      <c r="B513" s="0" t="s">
        <v>3492</v>
      </c>
      <c r="C513" s="0" t="s">
        <v>3493</v>
      </c>
      <c r="E513" s="0" t="n">
        <f aca="false">IF(J512=J513,E512+10,0)</f>
        <v>80</v>
      </c>
      <c r="F513" s="0" t="s">
        <v>3494</v>
      </c>
      <c r="G513" s="0" t="s">
        <v>3495</v>
      </c>
      <c r="H513" s="0" t="s">
        <v>3496</v>
      </c>
      <c r="I513" s="0" t="s">
        <v>3497</v>
      </c>
      <c r="J513" s="0" t="s">
        <v>3453</v>
      </c>
      <c r="K513" s="0" t="s">
        <v>971</v>
      </c>
      <c r="L513" s="0" t="s">
        <v>1046</v>
      </c>
      <c r="M513" s="0" t="s">
        <v>973</v>
      </c>
      <c r="N513" s="0" t="s">
        <v>974</v>
      </c>
      <c r="O513" s="0" t="s">
        <v>975</v>
      </c>
      <c r="P513" s="0" t="s">
        <v>976</v>
      </c>
      <c r="Q513" s="0" t="s">
        <v>1046</v>
      </c>
      <c r="R513" s="0" t="s">
        <v>970</v>
      </c>
      <c r="S513" s="0" t="s">
        <v>974</v>
      </c>
    </row>
    <row r="514" customFormat="false" ht="13.8" hidden="false" customHeight="false" outlineLevel="0" collapsed="false">
      <c r="A514" s="0" t="n">
        <v>2270</v>
      </c>
      <c r="B514" s="0" t="s">
        <v>3498</v>
      </c>
      <c r="C514" s="0" t="s">
        <v>3499</v>
      </c>
      <c r="E514" s="0" t="n">
        <f aca="false">IF(J513=J514,E513+10,0)</f>
        <v>90</v>
      </c>
      <c r="F514" s="0" t="s">
        <v>3500</v>
      </c>
      <c r="G514" s="0" t="s">
        <v>3501</v>
      </c>
      <c r="H514" s="0" t="s">
        <v>3502</v>
      </c>
      <c r="I514" s="0" t="s">
        <v>3503</v>
      </c>
      <c r="J514" s="0" t="s">
        <v>3453</v>
      </c>
      <c r="K514" s="0" t="s">
        <v>971</v>
      </c>
      <c r="L514" s="0" t="s">
        <v>974</v>
      </c>
      <c r="M514" s="0" t="s">
        <v>973</v>
      </c>
      <c r="N514" s="0" t="s">
        <v>974</v>
      </c>
      <c r="O514" s="0" t="s">
        <v>975</v>
      </c>
      <c r="P514" s="0" t="s">
        <v>976</v>
      </c>
      <c r="Q514" s="0" t="s">
        <v>1151</v>
      </c>
      <c r="R514" s="0" t="s">
        <v>970</v>
      </c>
      <c r="S514" s="0" t="s">
        <v>974</v>
      </c>
    </row>
    <row r="515" customFormat="false" ht="13.8" hidden="false" customHeight="false" outlineLevel="0" collapsed="false">
      <c r="A515" s="0" t="n">
        <v>2271</v>
      </c>
      <c r="B515" s="0" t="s">
        <v>3504</v>
      </c>
      <c r="C515" s="0" t="s">
        <v>3305</v>
      </c>
      <c r="E515" s="0" t="n">
        <f aca="false">IF(J514=J515,E514+10,0)</f>
        <v>100</v>
      </c>
      <c r="F515" s="0" t="s">
        <v>3505</v>
      </c>
      <c r="G515" s="0" t="s">
        <v>3506</v>
      </c>
      <c r="H515" s="0" t="s">
        <v>3507</v>
      </c>
      <c r="I515" s="0" t="s">
        <v>3309</v>
      </c>
      <c r="J515" s="0" t="s">
        <v>3453</v>
      </c>
      <c r="K515" s="0" t="s">
        <v>971</v>
      </c>
      <c r="L515" s="0" t="s">
        <v>974</v>
      </c>
      <c r="M515" s="0" t="s">
        <v>973</v>
      </c>
      <c r="N515" s="0" t="s">
        <v>974</v>
      </c>
      <c r="O515" s="0" t="s">
        <v>975</v>
      </c>
      <c r="P515" s="0" t="s">
        <v>976</v>
      </c>
      <c r="Q515" s="0" t="s">
        <v>970</v>
      </c>
      <c r="R515" s="0" t="s">
        <v>970</v>
      </c>
      <c r="S515" s="0" t="s">
        <v>974</v>
      </c>
    </row>
    <row r="516" customFormat="false" ht="13.8" hidden="false" customHeight="false" outlineLevel="0" collapsed="false">
      <c r="A516" s="0" t="n">
        <v>2272</v>
      </c>
      <c r="B516" s="0" t="s">
        <v>3508</v>
      </c>
      <c r="C516" s="0" t="s">
        <v>3509</v>
      </c>
      <c r="E516" s="0" t="n">
        <f aca="false">IF(J515=J516,E515+10,0)</f>
        <v>110</v>
      </c>
      <c r="F516" s="0" t="s">
        <v>3510</v>
      </c>
      <c r="G516" s="0" t="s">
        <v>3511</v>
      </c>
      <c r="H516" s="0" t="s">
        <v>3512</v>
      </c>
      <c r="I516" s="0" t="s">
        <v>3513</v>
      </c>
      <c r="J516" s="0" t="s">
        <v>3453</v>
      </c>
      <c r="K516" s="0" t="s">
        <v>971</v>
      </c>
      <c r="L516" s="0" t="s">
        <v>974</v>
      </c>
      <c r="M516" s="0" t="s">
        <v>973</v>
      </c>
      <c r="N516" s="0" t="s">
        <v>974</v>
      </c>
      <c r="O516" s="0" t="s">
        <v>975</v>
      </c>
      <c r="P516" s="0" t="s">
        <v>976</v>
      </c>
      <c r="Q516" s="0" t="s">
        <v>1059</v>
      </c>
      <c r="R516" s="0" t="s">
        <v>970</v>
      </c>
      <c r="S516" s="0" t="s">
        <v>974</v>
      </c>
    </row>
    <row r="517" customFormat="false" ht="13.8" hidden="false" customHeight="false" outlineLevel="0" collapsed="false">
      <c r="A517" s="0" t="n">
        <v>2273</v>
      </c>
      <c r="B517" s="0" t="s">
        <v>3514</v>
      </c>
      <c r="C517" s="0" t="s">
        <v>3515</v>
      </c>
      <c r="E517" s="0" t="n">
        <f aca="false">IF(J516=J517,E516+10,0)</f>
        <v>120</v>
      </c>
      <c r="F517" s="0" t="s">
        <v>3516</v>
      </c>
      <c r="G517" s="0" t="s">
        <v>3517</v>
      </c>
      <c r="H517" s="0" t="s">
        <v>3518</v>
      </c>
      <c r="I517" s="0" t="s">
        <v>1551</v>
      </c>
      <c r="J517" s="0" t="s">
        <v>3453</v>
      </c>
      <c r="K517" s="0" t="s">
        <v>971</v>
      </c>
      <c r="L517" s="0" t="s">
        <v>974</v>
      </c>
      <c r="M517" s="0" t="s">
        <v>973</v>
      </c>
      <c r="N517" s="0" t="s">
        <v>974</v>
      </c>
      <c r="O517" s="0" t="s">
        <v>975</v>
      </c>
      <c r="P517" s="0" t="s">
        <v>976</v>
      </c>
      <c r="Q517" s="0" t="s">
        <v>3519</v>
      </c>
      <c r="R517" s="0" t="s">
        <v>970</v>
      </c>
      <c r="S517" s="0" t="s">
        <v>974</v>
      </c>
    </row>
    <row r="518" customFormat="false" ht="13.8" hidden="false" customHeight="false" outlineLevel="0" collapsed="false">
      <c r="A518" s="0" t="n">
        <v>2274</v>
      </c>
      <c r="B518" s="0" t="s">
        <v>3520</v>
      </c>
      <c r="C518" s="0" t="s">
        <v>2372</v>
      </c>
      <c r="E518" s="0" t="n">
        <f aca="false">IF(J517=J518,E517+10,0)</f>
        <v>130</v>
      </c>
      <c r="F518" s="0" t="s">
        <v>3521</v>
      </c>
      <c r="G518" s="0" t="s">
        <v>3522</v>
      </c>
      <c r="H518" s="0" t="s">
        <v>3523</v>
      </c>
      <c r="I518" s="0" t="s">
        <v>1088</v>
      </c>
      <c r="J518" s="0" t="s">
        <v>3453</v>
      </c>
      <c r="K518" s="0" t="s">
        <v>971</v>
      </c>
      <c r="L518" s="0" t="s">
        <v>974</v>
      </c>
      <c r="M518" s="0" t="s">
        <v>973</v>
      </c>
      <c r="N518" s="0" t="s">
        <v>974</v>
      </c>
      <c r="O518" s="0" t="s">
        <v>975</v>
      </c>
      <c r="P518" s="0" t="s">
        <v>976</v>
      </c>
      <c r="Q518" s="0" t="s">
        <v>2146</v>
      </c>
      <c r="R518" s="0" t="s">
        <v>1046</v>
      </c>
      <c r="S518" s="0" t="s">
        <v>974</v>
      </c>
    </row>
    <row r="519" customFormat="false" ht="13.8" hidden="false" customHeight="false" outlineLevel="0" collapsed="false">
      <c r="A519" s="0" t="n">
        <v>2275</v>
      </c>
      <c r="B519" s="0" t="s">
        <v>3524</v>
      </c>
      <c r="C519" s="0" t="s">
        <v>1583</v>
      </c>
      <c r="E519" s="0" t="n">
        <f aca="false">IF(J518=J519,E518+10,0)</f>
        <v>140</v>
      </c>
      <c r="F519" s="0" t="s">
        <v>3525</v>
      </c>
      <c r="G519" s="0" t="s">
        <v>3526</v>
      </c>
      <c r="H519" s="0" t="s">
        <v>3527</v>
      </c>
      <c r="I519" s="0" t="s">
        <v>1587</v>
      </c>
      <c r="J519" s="0" t="s">
        <v>3453</v>
      </c>
      <c r="K519" s="0" t="s">
        <v>971</v>
      </c>
      <c r="L519" s="0" t="s">
        <v>974</v>
      </c>
      <c r="M519" s="0" t="s">
        <v>973</v>
      </c>
      <c r="N519" s="0" t="s">
        <v>974</v>
      </c>
      <c r="O519" s="0" t="s">
        <v>975</v>
      </c>
      <c r="P519" s="0" t="s">
        <v>976</v>
      </c>
      <c r="Q519" s="0" t="s">
        <v>3519</v>
      </c>
      <c r="R519" s="0" t="s">
        <v>1046</v>
      </c>
      <c r="S519" s="0" t="s">
        <v>974</v>
      </c>
    </row>
    <row r="520" customFormat="false" ht="13.8" hidden="false" customHeight="false" outlineLevel="0" collapsed="false">
      <c r="A520" s="0" t="n">
        <v>2276</v>
      </c>
      <c r="B520" s="0" t="s">
        <v>3528</v>
      </c>
      <c r="C520" s="0" t="s">
        <v>1096</v>
      </c>
      <c r="E520" s="0" t="n">
        <f aca="false">IF(J519=J520,E519+10,0)</f>
        <v>150</v>
      </c>
      <c r="F520" s="0" t="s">
        <v>3529</v>
      </c>
      <c r="G520" s="0" t="s">
        <v>3530</v>
      </c>
      <c r="H520" s="0" t="s">
        <v>3531</v>
      </c>
      <c r="I520" s="0" t="s">
        <v>1100</v>
      </c>
      <c r="J520" s="0" t="s">
        <v>3453</v>
      </c>
      <c r="K520" s="0" t="s">
        <v>971</v>
      </c>
      <c r="L520" s="0" t="s">
        <v>974</v>
      </c>
      <c r="M520" s="0" t="s">
        <v>973</v>
      </c>
      <c r="N520" s="0" t="s">
        <v>974</v>
      </c>
      <c r="O520" s="0" t="s">
        <v>975</v>
      </c>
      <c r="P520" s="0" t="s">
        <v>976</v>
      </c>
      <c r="Q520" s="0" t="s">
        <v>1307</v>
      </c>
      <c r="R520" s="0" t="s">
        <v>1046</v>
      </c>
      <c r="S520" s="0" t="s">
        <v>974</v>
      </c>
    </row>
    <row r="521" customFormat="false" ht="13.8" hidden="false" customHeight="false" outlineLevel="0" collapsed="false">
      <c r="A521" s="0" t="n">
        <v>2277</v>
      </c>
      <c r="B521" s="0" t="s">
        <v>3532</v>
      </c>
      <c r="C521" s="0" t="s">
        <v>1399</v>
      </c>
      <c r="E521" s="0" t="n">
        <f aca="false">IF(J520=J521,E520+10,0)</f>
        <v>160</v>
      </c>
      <c r="F521" s="0" t="s">
        <v>3533</v>
      </c>
      <c r="G521" s="0" t="s">
        <v>3534</v>
      </c>
      <c r="H521" s="0" t="s">
        <v>3535</v>
      </c>
      <c r="I521" s="0" t="s">
        <v>1106</v>
      </c>
      <c r="J521" s="0" t="s">
        <v>3453</v>
      </c>
      <c r="K521" s="0" t="s">
        <v>971</v>
      </c>
      <c r="L521" s="0" t="s">
        <v>974</v>
      </c>
      <c r="M521" s="0" t="s">
        <v>973</v>
      </c>
      <c r="N521" s="0" t="s">
        <v>974</v>
      </c>
      <c r="O521" s="0" t="s">
        <v>975</v>
      </c>
      <c r="P521" s="0" t="s">
        <v>976</v>
      </c>
      <c r="Q521" s="0" t="s">
        <v>974</v>
      </c>
      <c r="R521" s="0" t="s">
        <v>970</v>
      </c>
      <c r="S521" s="0" t="s">
        <v>974</v>
      </c>
    </row>
    <row r="522" customFormat="false" ht="13.8" hidden="false" customHeight="false" outlineLevel="0" collapsed="false">
      <c r="A522" s="0" t="n">
        <v>2278</v>
      </c>
      <c r="B522" s="0" t="s">
        <v>3536</v>
      </c>
      <c r="C522" s="0" t="s">
        <v>3537</v>
      </c>
      <c r="E522" s="0" t="n">
        <f aca="false">IF(J521=J522,E521+10,0)</f>
        <v>0</v>
      </c>
      <c r="F522" s="0" t="s">
        <v>3538</v>
      </c>
      <c r="G522" s="0" t="s">
        <v>3539</v>
      </c>
      <c r="H522" s="0" t="s">
        <v>3540</v>
      </c>
      <c r="I522" s="0" t="s">
        <v>1008</v>
      </c>
      <c r="J522" s="0" t="s">
        <v>2019</v>
      </c>
      <c r="K522" s="0" t="s">
        <v>971</v>
      </c>
      <c r="L522" s="0" t="s">
        <v>974</v>
      </c>
      <c r="M522" s="0" t="s">
        <v>973</v>
      </c>
      <c r="N522" s="0" t="s">
        <v>974</v>
      </c>
      <c r="O522" s="0" t="s">
        <v>975</v>
      </c>
      <c r="P522" s="0" t="s">
        <v>976</v>
      </c>
      <c r="Q522" s="0" t="s">
        <v>973</v>
      </c>
      <c r="R522" s="0" t="s">
        <v>970</v>
      </c>
      <c r="S522" s="0" t="s">
        <v>974</v>
      </c>
    </row>
    <row r="523" customFormat="false" ht="13.8" hidden="false" customHeight="false" outlineLevel="0" collapsed="false">
      <c r="A523" s="0" t="n">
        <v>2279</v>
      </c>
      <c r="B523" s="0" t="s">
        <v>3541</v>
      </c>
      <c r="C523" s="0" t="s">
        <v>3542</v>
      </c>
      <c r="E523" s="0" t="n">
        <f aca="false">IF(J522=J523,E522+10,0)</f>
        <v>10</v>
      </c>
      <c r="F523" s="0" t="s">
        <v>3543</v>
      </c>
      <c r="G523" s="0" t="s">
        <v>3544</v>
      </c>
      <c r="H523" s="0" t="s">
        <v>3545</v>
      </c>
      <c r="I523" s="0" t="s">
        <v>970</v>
      </c>
      <c r="J523" s="0" t="s">
        <v>2019</v>
      </c>
      <c r="K523" s="0" t="s">
        <v>971</v>
      </c>
      <c r="L523" s="0" t="s">
        <v>974</v>
      </c>
      <c r="M523" s="0" t="s">
        <v>973</v>
      </c>
      <c r="N523" s="0" t="s">
        <v>974</v>
      </c>
      <c r="O523" s="0" t="s">
        <v>975</v>
      </c>
      <c r="P523" s="0" t="s">
        <v>976</v>
      </c>
      <c r="Q523" s="0" t="s">
        <v>1214</v>
      </c>
      <c r="R523" s="0" t="s">
        <v>970</v>
      </c>
      <c r="S523" s="0" t="s">
        <v>974</v>
      </c>
    </row>
    <row r="524" customFormat="false" ht="13.8" hidden="false" customHeight="false" outlineLevel="0" collapsed="false">
      <c r="A524" s="0" t="n">
        <v>2280</v>
      </c>
      <c r="B524" s="0" t="s">
        <v>3546</v>
      </c>
      <c r="C524" s="0" t="s">
        <v>3547</v>
      </c>
      <c r="E524" s="0" t="n">
        <f aca="false">IF(J523=J524,E523+10,0)</f>
        <v>20</v>
      </c>
      <c r="F524" s="0" t="s">
        <v>3548</v>
      </c>
      <c r="G524" s="0" t="s">
        <v>3549</v>
      </c>
      <c r="H524" s="0" t="s">
        <v>3550</v>
      </c>
      <c r="I524" s="0" t="s">
        <v>2706</v>
      </c>
      <c r="J524" s="0" t="s">
        <v>2019</v>
      </c>
      <c r="K524" s="0" t="s">
        <v>971</v>
      </c>
      <c r="L524" s="0" t="s">
        <v>974</v>
      </c>
      <c r="M524" s="0" t="s">
        <v>973</v>
      </c>
      <c r="N524" s="0" t="s">
        <v>974</v>
      </c>
      <c r="O524" s="0" t="s">
        <v>975</v>
      </c>
      <c r="P524" s="0" t="s">
        <v>976</v>
      </c>
      <c r="Q524" s="0" t="s">
        <v>975</v>
      </c>
      <c r="R524" s="0" t="s">
        <v>970</v>
      </c>
      <c r="S524" s="0" t="s">
        <v>974</v>
      </c>
    </row>
    <row r="525" customFormat="false" ht="13.8" hidden="false" customHeight="false" outlineLevel="0" collapsed="false">
      <c r="A525" s="0" t="n">
        <v>2281</v>
      </c>
      <c r="B525" s="0" t="s">
        <v>3551</v>
      </c>
      <c r="C525" s="0" t="s">
        <v>1589</v>
      </c>
      <c r="E525" s="0" t="n">
        <f aca="false">IF(J524=J525,E524+10,0)</f>
        <v>30</v>
      </c>
      <c r="F525" s="0" t="s">
        <v>3552</v>
      </c>
      <c r="G525" s="0" t="s">
        <v>3553</v>
      </c>
      <c r="H525" s="0" t="s">
        <v>3554</v>
      </c>
      <c r="I525" s="0" t="s">
        <v>1021</v>
      </c>
      <c r="J525" s="0" t="s">
        <v>2019</v>
      </c>
      <c r="K525" s="0" t="s">
        <v>971</v>
      </c>
      <c r="L525" s="0" t="s">
        <v>974</v>
      </c>
      <c r="M525" s="0" t="s">
        <v>973</v>
      </c>
      <c r="N525" s="0" t="s">
        <v>974</v>
      </c>
      <c r="O525" s="0" t="s">
        <v>975</v>
      </c>
      <c r="P525" s="0" t="s">
        <v>976</v>
      </c>
      <c r="Q525" s="0" t="s">
        <v>970</v>
      </c>
      <c r="R525" s="0" t="s">
        <v>970</v>
      </c>
      <c r="S525" s="0" t="s">
        <v>974</v>
      </c>
    </row>
    <row r="526" customFormat="false" ht="13.8" hidden="false" customHeight="false" outlineLevel="0" collapsed="false">
      <c r="A526" s="0" t="n">
        <v>2282</v>
      </c>
      <c r="B526" s="0" t="s">
        <v>3555</v>
      </c>
      <c r="C526" s="0" t="s">
        <v>3556</v>
      </c>
      <c r="E526" s="0" t="n">
        <f aca="false">IF(J525=J526,E525+10,0)</f>
        <v>40</v>
      </c>
      <c r="F526" s="0" t="s">
        <v>3557</v>
      </c>
      <c r="G526" s="0" t="s">
        <v>3558</v>
      </c>
      <c r="H526" s="0" t="s">
        <v>3559</v>
      </c>
      <c r="I526" s="0" t="s">
        <v>2165</v>
      </c>
      <c r="J526" s="0" t="s">
        <v>2019</v>
      </c>
      <c r="K526" s="0" t="s">
        <v>971</v>
      </c>
      <c r="L526" s="0" t="s">
        <v>974</v>
      </c>
      <c r="M526" s="0" t="s">
        <v>973</v>
      </c>
      <c r="N526" s="0" t="s">
        <v>974</v>
      </c>
      <c r="O526" s="0" t="s">
        <v>975</v>
      </c>
      <c r="P526" s="0" t="s">
        <v>976</v>
      </c>
      <c r="Q526" s="0" t="s">
        <v>1214</v>
      </c>
      <c r="R526" s="0" t="s">
        <v>970</v>
      </c>
      <c r="S526" s="0" t="s">
        <v>974</v>
      </c>
    </row>
    <row r="527" customFormat="false" ht="13.8" hidden="false" customHeight="false" outlineLevel="0" collapsed="false">
      <c r="A527" s="0" t="n">
        <v>2283</v>
      </c>
      <c r="B527" s="0" t="s">
        <v>3560</v>
      </c>
      <c r="C527" s="0" t="s">
        <v>3561</v>
      </c>
      <c r="E527" s="0" t="n">
        <f aca="false">IF(J526=J527,E526+10,0)</f>
        <v>50</v>
      </c>
      <c r="F527" s="0" t="s">
        <v>3562</v>
      </c>
      <c r="G527" s="0" t="s">
        <v>3563</v>
      </c>
      <c r="H527" s="0" t="s">
        <v>3564</v>
      </c>
      <c r="I527" s="0" t="s">
        <v>3565</v>
      </c>
      <c r="J527" s="0" t="s">
        <v>2019</v>
      </c>
      <c r="K527" s="0" t="s">
        <v>971</v>
      </c>
      <c r="L527" s="0" t="s">
        <v>974</v>
      </c>
      <c r="M527" s="0" t="s">
        <v>973</v>
      </c>
      <c r="N527" s="0" t="s">
        <v>974</v>
      </c>
      <c r="O527" s="0" t="s">
        <v>975</v>
      </c>
      <c r="P527" s="0" t="s">
        <v>976</v>
      </c>
      <c r="Q527" s="0" t="s">
        <v>973</v>
      </c>
      <c r="R527" s="0" t="s">
        <v>970</v>
      </c>
      <c r="S527" s="0" t="s">
        <v>974</v>
      </c>
    </row>
    <row r="528" customFormat="false" ht="13.8" hidden="false" customHeight="false" outlineLevel="0" collapsed="false">
      <c r="A528" s="0" t="n">
        <v>2284</v>
      </c>
      <c r="B528" s="0" t="s">
        <v>3566</v>
      </c>
      <c r="C528" s="0" t="s">
        <v>3567</v>
      </c>
      <c r="E528" s="0" t="n">
        <f aca="false">IF(J527=J528,E527+10,0)</f>
        <v>60</v>
      </c>
      <c r="F528" s="0" t="s">
        <v>3568</v>
      </c>
      <c r="G528" s="0" t="s">
        <v>3569</v>
      </c>
      <c r="H528" s="0" t="s">
        <v>3570</v>
      </c>
      <c r="I528" s="0" t="s">
        <v>1052</v>
      </c>
      <c r="J528" s="0" t="s">
        <v>2019</v>
      </c>
      <c r="K528" s="0" t="s">
        <v>971</v>
      </c>
      <c r="L528" s="0" t="s">
        <v>974</v>
      </c>
      <c r="M528" s="0" t="s">
        <v>973</v>
      </c>
      <c r="N528" s="0" t="s">
        <v>974</v>
      </c>
      <c r="O528" s="0" t="s">
        <v>975</v>
      </c>
      <c r="P528" s="0" t="s">
        <v>976</v>
      </c>
      <c r="Q528" s="0" t="s">
        <v>970</v>
      </c>
      <c r="R528" s="0" t="s">
        <v>970</v>
      </c>
      <c r="S528" s="0" t="s">
        <v>974</v>
      </c>
    </row>
    <row r="529" customFormat="false" ht="13.8" hidden="false" customHeight="false" outlineLevel="0" collapsed="false">
      <c r="A529" s="0" t="n">
        <v>2285</v>
      </c>
      <c r="B529" s="0" t="s">
        <v>3571</v>
      </c>
      <c r="C529" s="0" t="s">
        <v>3572</v>
      </c>
      <c r="E529" s="0" t="n">
        <f aca="false">IF(J528=J529,E528+10,0)</f>
        <v>70</v>
      </c>
      <c r="F529" s="0" t="s">
        <v>3573</v>
      </c>
      <c r="G529" s="0" t="s">
        <v>3574</v>
      </c>
      <c r="H529" s="0" t="s">
        <v>3575</v>
      </c>
      <c r="I529" s="0" t="s">
        <v>1045</v>
      </c>
      <c r="J529" s="0" t="s">
        <v>2019</v>
      </c>
      <c r="K529" s="0" t="s">
        <v>971</v>
      </c>
      <c r="L529" s="0" t="s">
        <v>3091</v>
      </c>
      <c r="M529" s="0" t="s">
        <v>1459</v>
      </c>
      <c r="N529" s="0" t="s">
        <v>974</v>
      </c>
      <c r="O529" s="0" t="s">
        <v>975</v>
      </c>
      <c r="P529" s="0" t="s">
        <v>976</v>
      </c>
      <c r="Q529" s="0" t="s">
        <v>974</v>
      </c>
      <c r="R529" s="0" t="s">
        <v>970</v>
      </c>
      <c r="S529" s="0" t="s">
        <v>974</v>
      </c>
    </row>
    <row r="530" customFormat="false" ht="13.8" hidden="false" customHeight="false" outlineLevel="0" collapsed="false">
      <c r="A530" s="0" t="n">
        <v>2286</v>
      </c>
      <c r="B530" s="0" t="s">
        <v>3576</v>
      </c>
      <c r="C530" s="0" t="s">
        <v>3577</v>
      </c>
      <c r="E530" s="0" t="n">
        <f aca="false">IF(J529=J530,E529+10,0)</f>
        <v>80</v>
      </c>
      <c r="F530" s="0" t="s">
        <v>3578</v>
      </c>
      <c r="G530" s="0" t="s">
        <v>3579</v>
      </c>
      <c r="H530" s="0" t="s">
        <v>3580</v>
      </c>
      <c r="I530" s="0" t="s">
        <v>3581</v>
      </c>
      <c r="J530" s="0" t="s">
        <v>2019</v>
      </c>
      <c r="K530" s="0" t="s">
        <v>971</v>
      </c>
      <c r="L530" s="0" t="s">
        <v>974</v>
      </c>
      <c r="M530" s="0" t="s">
        <v>973</v>
      </c>
      <c r="N530" s="0" t="s">
        <v>974</v>
      </c>
      <c r="O530" s="0" t="s">
        <v>975</v>
      </c>
      <c r="P530" s="0" t="s">
        <v>976</v>
      </c>
      <c r="Q530" s="0" t="s">
        <v>1059</v>
      </c>
      <c r="R530" s="0" t="s">
        <v>1046</v>
      </c>
      <c r="S530" s="0" t="s">
        <v>974</v>
      </c>
    </row>
    <row r="531" customFormat="false" ht="13.8" hidden="false" customHeight="false" outlineLevel="0" collapsed="false">
      <c r="A531" s="0" t="n">
        <v>2287</v>
      </c>
      <c r="B531" s="0" t="s">
        <v>3582</v>
      </c>
      <c r="C531" s="0" t="s">
        <v>2823</v>
      </c>
      <c r="E531" s="0" t="n">
        <f aca="false">IF(J530=J531,E530+10,0)</f>
        <v>90</v>
      </c>
      <c r="F531" s="0" t="s">
        <v>3583</v>
      </c>
      <c r="G531" s="0" t="s">
        <v>3584</v>
      </c>
      <c r="H531" s="0" t="s">
        <v>3585</v>
      </c>
      <c r="I531" s="0" t="s">
        <v>1100</v>
      </c>
      <c r="J531" s="0" t="s">
        <v>2019</v>
      </c>
      <c r="K531" s="0" t="s">
        <v>971</v>
      </c>
      <c r="L531" s="0" t="s">
        <v>974</v>
      </c>
      <c r="M531" s="0" t="s">
        <v>973</v>
      </c>
      <c r="N531" s="0" t="s">
        <v>974</v>
      </c>
      <c r="O531" s="0" t="s">
        <v>975</v>
      </c>
      <c r="P531" s="0" t="s">
        <v>976</v>
      </c>
      <c r="Q531" s="0" t="s">
        <v>1968</v>
      </c>
      <c r="R531" s="0" t="s">
        <v>1046</v>
      </c>
      <c r="S531" s="0" t="s">
        <v>974</v>
      </c>
    </row>
    <row r="532" customFormat="false" ht="13.8" hidden="false" customHeight="false" outlineLevel="0" collapsed="false">
      <c r="A532" s="0" t="n">
        <v>2288</v>
      </c>
      <c r="B532" s="0" t="s">
        <v>3586</v>
      </c>
      <c r="C532" s="0" t="s">
        <v>3587</v>
      </c>
      <c r="E532" s="0" t="n">
        <f aca="false">IF(J531=J532,E531+10,0)</f>
        <v>100</v>
      </c>
      <c r="F532" s="0" t="s">
        <v>3588</v>
      </c>
      <c r="G532" s="0" t="s">
        <v>3589</v>
      </c>
      <c r="H532" s="0" t="s">
        <v>3590</v>
      </c>
      <c r="I532" s="0" t="s">
        <v>1175</v>
      </c>
      <c r="J532" s="0" t="s">
        <v>2019</v>
      </c>
      <c r="K532" s="0" t="s">
        <v>971</v>
      </c>
      <c r="L532" s="0" t="s">
        <v>974</v>
      </c>
      <c r="M532" s="0" t="s">
        <v>973</v>
      </c>
      <c r="N532" s="0" t="s">
        <v>974</v>
      </c>
      <c r="O532" s="0" t="s">
        <v>975</v>
      </c>
      <c r="P532" s="0" t="s">
        <v>976</v>
      </c>
      <c r="Q532" s="0" t="s">
        <v>970</v>
      </c>
      <c r="R532" s="0" t="s">
        <v>1046</v>
      </c>
      <c r="S532" s="0" t="s">
        <v>974</v>
      </c>
    </row>
    <row r="533" customFormat="false" ht="13.8" hidden="false" customHeight="false" outlineLevel="0" collapsed="false">
      <c r="A533" s="0" t="n">
        <v>2289</v>
      </c>
      <c r="B533" s="0" t="s">
        <v>3591</v>
      </c>
      <c r="C533" s="0" t="s">
        <v>3592</v>
      </c>
      <c r="E533" s="0" t="n">
        <f aca="false">IF(J532=J533,E532+10,0)</f>
        <v>0</v>
      </c>
      <c r="F533" s="0" t="s">
        <v>3593</v>
      </c>
      <c r="G533" s="0" t="s">
        <v>3594</v>
      </c>
      <c r="H533" s="0" t="s">
        <v>3595</v>
      </c>
      <c r="I533" s="0" t="s">
        <v>1306</v>
      </c>
      <c r="J533" s="0" t="s">
        <v>1143</v>
      </c>
      <c r="K533" s="0" t="s">
        <v>971</v>
      </c>
      <c r="L533" s="0" t="s">
        <v>974</v>
      </c>
      <c r="M533" s="0" t="s">
        <v>973</v>
      </c>
      <c r="N533" s="0" t="s">
        <v>1829</v>
      </c>
      <c r="O533" s="0" t="s">
        <v>995</v>
      </c>
      <c r="P533" s="0" t="s">
        <v>976</v>
      </c>
      <c r="Q533" s="0" t="s">
        <v>974</v>
      </c>
      <c r="R533" s="0" t="s">
        <v>970</v>
      </c>
      <c r="S533" s="0" t="s">
        <v>974</v>
      </c>
    </row>
    <row r="534" customFormat="false" ht="13.8" hidden="false" customHeight="false" outlineLevel="0" collapsed="false">
      <c r="A534" s="0" t="n">
        <v>2290</v>
      </c>
      <c r="B534" s="0" t="s">
        <v>3596</v>
      </c>
      <c r="C534" s="0" t="s">
        <v>3597</v>
      </c>
      <c r="E534" s="0" t="n">
        <f aca="false">IF(J533=J534,E533+10,0)</f>
        <v>10</v>
      </c>
      <c r="F534" s="0" t="s">
        <v>3598</v>
      </c>
      <c r="G534" s="0" t="s">
        <v>3599</v>
      </c>
      <c r="H534" s="0" t="s">
        <v>3600</v>
      </c>
      <c r="I534" s="0" t="s">
        <v>2871</v>
      </c>
      <c r="J534" s="0" t="s">
        <v>1143</v>
      </c>
      <c r="K534" s="0" t="s">
        <v>971</v>
      </c>
      <c r="L534" s="0" t="s">
        <v>974</v>
      </c>
      <c r="M534" s="0" t="s">
        <v>973</v>
      </c>
      <c r="N534" s="0" t="s">
        <v>974</v>
      </c>
      <c r="O534" s="0" t="s">
        <v>975</v>
      </c>
      <c r="P534" s="0" t="s">
        <v>976</v>
      </c>
      <c r="Q534" s="0" t="s">
        <v>1117</v>
      </c>
      <c r="R534" s="0" t="s">
        <v>970</v>
      </c>
      <c r="S534" s="0" t="s">
        <v>974</v>
      </c>
    </row>
    <row r="535" customFormat="false" ht="13.8" hidden="false" customHeight="false" outlineLevel="0" collapsed="false">
      <c r="A535" s="0" t="n">
        <v>2291</v>
      </c>
      <c r="B535" s="0" t="s">
        <v>3601</v>
      </c>
      <c r="C535" s="0" t="s">
        <v>3602</v>
      </c>
      <c r="E535" s="0" t="n">
        <f aca="false">IF(J534=J535,E534+10,0)</f>
        <v>20</v>
      </c>
      <c r="F535" s="0" t="s">
        <v>3603</v>
      </c>
      <c r="G535" s="0" t="s">
        <v>3604</v>
      </c>
      <c r="H535" s="0" t="s">
        <v>3605</v>
      </c>
      <c r="I535" s="0" t="s">
        <v>3606</v>
      </c>
      <c r="J535" s="0" t="s">
        <v>1143</v>
      </c>
      <c r="K535" s="0" t="s">
        <v>971</v>
      </c>
      <c r="L535" s="0" t="s">
        <v>974</v>
      </c>
      <c r="M535" s="0" t="s">
        <v>973</v>
      </c>
      <c r="N535" s="0" t="s">
        <v>974</v>
      </c>
      <c r="O535" s="0" t="s">
        <v>975</v>
      </c>
      <c r="P535" s="0" t="s">
        <v>976</v>
      </c>
      <c r="Q535" s="0" t="s">
        <v>1059</v>
      </c>
      <c r="R535" s="0" t="s">
        <v>970</v>
      </c>
      <c r="S535" s="0" t="s">
        <v>974</v>
      </c>
    </row>
    <row r="536" customFormat="false" ht="13.8" hidden="false" customHeight="false" outlineLevel="0" collapsed="false">
      <c r="A536" s="0" t="n">
        <v>2292</v>
      </c>
      <c r="B536" s="0" t="s">
        <v>3607</v>
      </c>
      <c r="C536" s="0" t="s">
        <v>1733</v>
      </c>
      <c r="E536" s="0" t="n">
        <f aca="false">IF(J535=J536,E535+10,0)</f>
        <v>30</v>
      </c>
      <c r="F536" s="0" t="s">
        <v>3608</v>
      </c>
      <c r="G536" s="0" t="s">
        <v>3609</v>
      </c>
      <c r="H536" s="0" t="s">
        <v>3610</v>
      </c>
      <c r="I536" s="0" t="s">
        <v>1201</v>
      </c>
      <c r="J536" s="0" t="s">
        <v>1143</v>
      </c>
      <c r="K536" s="0" t="s">
        <v>971</v>
      </c>
      <c r="L536" s="0" t="s">
        <v>974</v>
      </c>
      <c r="M536" s="0" t="s">
        <v>973</v>
      </c>
      <c r="N536" s="0" t="s">
        <v>974</v>
      </c>
      <c r="O536" s="0" t="s">
        <v>975</v>
      </c>
      <c r="P536" s="0" t="s">
        <v>976</v>
      </c>
      <c r="Q536" s="0" t="s">
        <v>1117</v>
      </c>
      <c r="R536" s="0" t="s">
        <v>970</v>
      </c>
      <c r="S536" s="0" t="s">
        <v>974</v>
      </c>
    </row>
    <row r="537" customFormat="false" ht="13.8" hidden="false" customHeight="false" outlineLevel="0" collapsed="false">
      <c r="A537" s="0" t="n">
        <v>2293</v>
      </c>
      <c r="B537" s="0" t="s">
        <v>3611</v>
      </c>
      <c r="C537" s="0" t="s">
        <v>1589</v>
      </c>
      <c r="E537" s="0" t="n">
        <f aca="false">IF(J536=J537,E536+10,0)</f>
        <v>40</v>
      </c>
      <c r="F537" s="0" t="s">
        <v>3612</v>
      </c>
      <c r="G537" s="0" t="s">
        <v>3613</v>
      </c>
      <c r="H537" s="0" t="s">
        <v>3614</v>
      </c>
      <c r="I537" s="0" t="s">
        <v>1021</v>
      </c>
      <c r="J537" s="0" t="s">
        <v>1143</v>
      </c>
      <c r="K537" s="0" t="s">
        <v>971</v>
      </c>
      <c r="L537" s="0" t="s">
        <v>974</v>
      </c>
      <c r="M537" s="0" t="s">
        <v>973</v>
      </c>
      <c r="N537" s="0" t="s">
        <v>974</v>
      </c>
      <c r="O537" s="0" t="s">
        <v>975</v>
      </c>
      <c r="P537" s="0" t="s">
        <v>976</v>
      </c>
      <c r="Q537" s="0" t="s">
        <v>1059</v>
      </c>
      <c r="R537" s="0" t="s">
        <v>970</v>
      </c>
      <c r="S537" s="0" t="s">
        <v>974</v>
      </c>
    </row>
    <row r="538" customFormat="false" ht="13.8" hidden="false" customHeight="false" outlineLevel="0" collapsed="false">
      <c r="A538" s="0" t="n">
        <v>2294</v>
      </c>
      <c r="B538" s="0" t="s">
        <v>3615</v>
      </c>
      <c r="C538" s="0" t="s">
        <v>3616</v>
      </c>
      <c r="E538" s="0" t="n">
        <f aca="false">IF(J537=J538,E537+10,0)</f>
        <v>50</v>
      </c>
      <c r="F538" s="0" t="s">
        <v>3617</v>
      </c>
      <c r="G538" s="0" t="s">
        <v>3618</v>
      </c>
      <c r="H538" s="0" t="s">
        <v>3619</v>
      </c>
      <c r="I538" s="0" t="s">
        <v>970</v>
      </c>
      <c r="J538" s="0" t="s">
        <v>1143</v>
      </c>
      <c r="K538" s="0" t="s">
        <v>971</v>
      </c>
      <c r="L538" s="0" t="s">
        <v>974</v>
      </c>
      <c r="M538" s="0" t="s">
        <v>973</v>
      </c>
      <c r="N538" s="0" t="s">
        <v>974</v>
      </c>
      <c r="O538" s="0" t="s">
        <v>975</v>
      </c>
      <c r="P538" s="0" t="s">
        <v>976</v>
      </c>
      <c r="Q538" s="0" t="s">
        <v>1059</v>
      </c>
      <c r="R538" s="0" t="s">
        <v>970</v>
      </c>
      <c r="S538" s="0" t="s">
        <v>974</v>
      </c>
    </row>
    <row r="539" customFormat="false" ht="13.8" hidden="false" customHeight="false" outlineLevel="0" collapsed="false">
      <c r="A539" s="0" t="n">
        <v>2295</v>
      </c>
      <c r="B539" s="0" t="s">
        <v>3620</v>
      </c>
      <c r="C539" s="0" t="s">
        <v>3621</v>
      </c>
      <c r="E539" s="0" t="n">
        <f aca="false">IF(J538=J539,E538+10,0)</f>
        <v>60</v>
      </c>
      <c r="F539" s="0" t="s">
        <v>3622</v>
      </c>
      <c r="G539" s="0" t="s">
        <v>3623</v>
      </c>
      <c r="H539" s="0" t="s">
        <v>3624</v>
      </c>
      <c r="I539" s="0" t="s">
        <v>1306</v>
      </c>
      <c r="J539" s="0" t="s">
        <v>1143</v>
      </c>
      <c r="K539" s="0" t="s">
        <v>971</v>
      </c>
      <c r="L539" s="0" t="s">
        <v>974</v>
      </c>
      <c r="M539" s="0" t="s">
        <v>973</v>
      </c>
      <c r="N539" s="0" t="s">
        <v>974</v>
      </c>
      <c r="O539" s="0" t="s">
        <v>975</v>
      </c>
      <c r="P539" s="0" t="s">
        <v>976</v>
      </c>
      <c r="Q539" s="0" t="s">
        <v>3261</v>
      </c>
      <c r="R539" s="0" t="s">
        <v>1144</v>
      </c>
      <c r="S539" s="0" t="s">
        <v>974</v>
      </c>
    </row>
    <row r="540" customFormat="false" ht="13.8" hidden="false" customHeight="false" outlineLevel="0" collapsed="false">
      <c r="A540" s="0" t="n">
        <v>2296</v>
      </c>
      <c r="B540" s="0" t="s">
        <v>3625</v>
      </c>
      <c r="C540" s="0" t="s">
        <v>3626</v>
      </c>
      <c r="E540" s="0" t="n">
        <f aca="false">IF(J539=J540,E539+10,0)</f>
        <v>70</v>
      </c>
      <c r="F540" s="0" t="s">
        <v>3627</v>
      </c>
      <c r="G540" s="0" t="s">
        <v>3628</v>
      </c>
      <c r="H540" s="0" t="s">
        <v>3629</v>
      </c>
      <c r="I540" s="0" t="s">
        <v>1073</v>
      </c>
      <c r="J540" s="0" t="s">
        <v>1143</v>
      </c>
      <c r="K540" s="0" t="s">
        <v>971</v>
      </c>
      <c r="L540" s="0" t="s">
        <v>974</v>
      </c>
      <c r="M540" s="0" t="s">
        <v>973</v>
      </c>
      <c r="N540" s="0" t="s">
        <v>974</v>
      </c>
      <c r="O540" s="0" t="s">
        <v>975</v>
      </c>
      <c r="P540" s="0" t="s">
        <v>976</v>
      </c>
      <c r="Q540" s="0" t="s">
        <v>3261</v>
      </c>
      <c r="R540" s="0" t="s">
        <v>1144</v>
      </c>
      <c r="S540" s="0" t="s">
        <v>974</v>
      </c>
    </row>
    <row r="541" customFormat="false" ht="13.8" hidden="false" customHeight="false" outlineLevel="0" collapsed="false">
      <c r="A541" s="0" t="n">
        <v>2297</v>
      </c>
      <c r="B541" s="0" t="s">
        <v>3630</v>
      </c>
      <c r="C541" s="0" t="s">
        <v>3631</v>
      </c>
      <c r="E541" s="0" t="n">
        <f aca="false">IF(J540=J541,E540+10,0)</f>
        <v>80</v>
      </c>
      <c r="F541" s="0" t="s">
        <v>3632</v>
      </c>
      <c r="G541" s="0" t="s">
        <v>3633</v>
      </c>
      <c r="H541" s="0" t="s">
        <v>3634</v>
      </c>
      <c r="I541" s="0" t="s">
        <v>1180</v>
      </c>
      <c r="J541" s="0" t="s">
        <v>1143</v>
      </c>
      <c r="K541" s="0" t="s">
        <v>971</v>
      </c>
      <c r="L541" s="0" t="s">
        <v>974</v>
      </c>
      <c r="M541" s="0" t="s">
        <v>973</v>
      </c>
      <c r="N541" s="0" t="s">
        <v>974</v>
      </c>
      <c r="O541" s="0" t="s">
        <v>975</v>
      </c>
      <c r="P541" s="0" t="s">
        <v>976</v>
      </c>
      <c r="Q541" s="0" t="s">
        <v>3261</v>
      </c>
      <c r="R541" s="0" t="s">
        <v>1144</v>
      </c>
      <c r="S541" s="0" t="s">
        <v>974</v>
      </c>
    </row>
    <row r="542" customFormat="false" ht="13.8" hidden="false" customHeight="false" outlineLevel="0" collapsed="false">
      <c r="A542" s="0" t="n">
        <v>2298</v>
      </c>
      <c r="B542" s="0" t="s">
        <v>3635</v>
      </c>
      <c r="C542" s="0" t="s">
        <v>3636</v>
      </c>
      <c r="E542" s="0" t="n">
        <f aca="false">IF(J541=J542,E541+10,0)</f>
        <v>90</v>
      </c>
      <c r="F542" s="0" t="s">
        <v>3637</v>
      </c>
      <c r="G542" s="0" t="s">
        <v>3638</v>
      </c>
      <c r="H542" s="0" t="s">
        <v>3639</v>
      </c>
      <c r="I542" s="0" t="s">
        <v>1027</v>
      </c>
      <c r="J542" s="0" t="s">
        <v>1143</v>
      </c>
      <c r="K542" s="0" t="s">
        <v>971</v>
      </c>
      <c r="L542" s="0" t="s">
        <v>974</v>
      </c>
      <c r="M542" s="0" t="s">
        <v>973</v>
      </c>
      <c r="N542" s="0" t="s">
        <v>974</v>
      </c>
      <c r="O542" s="0" t="s">
        <v>975</v>
      </c>
      <c r="P542" s="0" t="s">
        <v>976</v>
      </c>
      <c r="Q542" s="0" t="s">
        <v>2434</v>
      </c>
      <c r="R542" s="0" t="s">
        <v>1144</v>
      </c>
      <c r="S542" s="0" t="s">
        <v>974</v>
      </c>
    </row>
    <row r="543" customFormat="false" ht="13.8" hidden="false" customHeight="false" outlineLevel="0" collapsed="false">
      <c r="A543" s="0" t="n">
        <v>2299</v>
      </c>
      <c r="B543" s="0" t="s">
        <v>3640</v>
      </c>
      <c r="C543" s="0" t="s">
        <v>2823</v>
      </c>
      <c r="E543" s="0" t="n">
        <f aca="false">IF(J542=J543,E542+10,0)</f>
        <v>100</v>
      </c>
      <c r="F543" s="0" t="s">
        <v>3641</v>
      </c>
      <c r="G543" s="0" t="s">
        <v>3642</v>
      </c>
      <c r="H543" s="0" t="s">
        <v>3643</v>
      </c>
      <c r="I543" s="0" t="s">
        <v>1100</v>
      </c>
      <c r="J543" s="0" t="s">
        <v>1143</v>
      </c>
      <c r="K543" s="0" t="s">
        <v>971</v>
      </c>
      <c r="L543" s="0" t="s">
        <v>974</v>
      </c>
      <c r="M543" s="0" t="s">
        <v>973</v>
      </c>
      <c r="N543" s="0" t="s">
        <v>974</v>
      </c>
      <c r="O543" s="0" t="s">
        <v>975</v>
      </c>
      <c r="P543" s="0" t="s">
        <v>976</v>
      </c>
      <c r="Q543" s="0" t="s">
        <v>1214</v>
      </c>
      <c r="R543" s="0" t="s">
        <v>1046</v>
      </c>
      <c r="S543" s="0" t="s">
        <v>974</v>
      </c>
    </row>
    <row r="544" customFormat="false" ht="13.8" hidden="false" customHeight="false" outlineLevel="0" collapsed="false">
      <c r="A544" s="0" t="n">
        <v>2300</v>
      </c>
      <c r="B544" s="0" t="s">
        <v>3644</v>
      </c>
      <c r="C544" s="0" t="s">
        <v>1793</v>
      </c>
      <c r="E544" s="0" t="n">
        <f aca="false">IF(J543=J544,E543+10,0)</f>
        <v>110</v>
      </c>
      <c r="F544" s="0" t="s">
        <v>3645</v>
      </c>
      <c r="G544" s="0" t="s">
        <v>3646</v>
      </c>
      <c r="H544" s="0" t="s">
        <v>3647</v>
      </c>
      <c r="I544" s="0" t="s">
        <v>1797</v>
      </c>
      <c r="J544" s="0" t="s">
        <v>1143</v>
      </c>
      <c r="K544" s="0" t="s">
        <v>971</v>
      </c>
      <c r="L544" s="0" t="s">
        <v>974</v>
      </c>
      <c r="M544" s="0" t="s">
        <v>973</v>
      </c>
      <c r="N544" s="0" t="s">
        <v>974</v>
      </c>
      <c r="O544" s="0" t="s">
        <v>975</v>
      </c>
      <c r="P544" s="0" t="s">
        <v>976</v>
      </c>
      <c r="Q544" s="0" t="s">
        <v>974</v>
      </c>
      <c r="R544" s="0" t="s">
        <v>970</v>
      </c>
      <c r="S544" s="0" t="s">
        <v>974</v>
      </c>
    </row>
    <row r="545" customFormat="false" ht="13.8" hidden="false" customHeight="false" outlineLevel="0" collapsed="false">
      <c r="A545" s="0" t="n">
        <v>2301</v>
      </c>
      <c r="B545" s="0" t="s">
        <v>3648</v>
      </c>
      <c r="C545" s="0" t="s">
        <v>3537</v>
      </c>
      <c r="E545" s="0" t="n">
        <f aca="false">IF(J544=J545,E544+10,0)</f>
        <v>120</v>
      </c>
      <c r="F545" s="0" t="s">
        <v>3649</v>
      </c>
      <c r="G545" s="0" t="s">
        <v>3650</v>
      </c>
      <c r="H545" s="0" t="s">
        <v>3651</v>
      </c>
      <c r="I545" s="0" t="s">
        <v>1008</v>
      </c>
      <c r="J545" s="0" t="s">
        <v>1143</v>
      </c>
      <c r="K545" s="0" t="s">
        <v>971</v>
      </c>
      <c r="L545" s="0" t="s">
        <v>974</v>
      </c>
      <c r="M545" s="0" t="s">
        <v>973</v>
      </c>
      <c r="N545" s="0" t="s">
        <v>974</v>
      </c>
      <c r="O545" s="0" t="s">
        <v>975</v>
      </c>
      <c r="P545" s="0" t="s">
        <v>976</v>
      </c>
      <c r="Q545" s="0" t="s">
        <v>1214</v>
      </c>
      <c r="R545" s="0" t="s">
        <v>970</v>
      </c>
      <c r="S545" s="0" t="s">
        <v>974</v>
      </c>
    </row>
    <row r="546" customFormat="false" ht="13.8" hidden="false" customHeight="false" outlineLevel="0" collapsed="false">
      <c r="A546" s="0" t="n">
        <v>2302</v>
      </c>
      <c r="B546" s="0" t="s">
        <v>3652</v>
      </c>
      <c r="C546" s="0" t="s">
        <v>3653</v>
      </c>
      <c r="E546" s="0" t="n">
        <f aca="false">IF(J545=J546,E545+10,0)</f>
        <v>130</v>
      </c>
      <c r="F546" s="0" t="s">
        <v>3654</v>
      </c>
      <c r="G546" s="0" t="s">
        <v>3655</v>
      </c>
      <c r="H546" s="0" t="s">
        <v>3656</v>
      </c>
      <c r="I546" s="0" t="s">
        <v>1014</v>
      </c>
      <c r="J546" s="0" t="s">
        <v>1143</v>
      </c>
      <c r="K546" s="0" t="s">
        <v>971</v>
      </c>
      <c r="L546" s="0" t="s">
        <v>974</v>
      </c>
      <c r="M546" s="0" t="s">
        <v>973</v>
      </c>
      <c r="N546" s="0" t="s">
        <v>974</v>
      </c>
      <c r="O546" s="0" t="s">
        <v>975</v>
      </c>
      <c r="P546" s="0" t="s">
        <v>976</v>
      </c>
      <c r="Q546" s="0" t="s">
        <v>1214</v>
      </c>
      <c r="R546" s="0" t="s">
        <v>1046</v>
      </c>
      <c r="S546" s="0" t="s">
        <v>974</v>
      </c>
    </row>
    <row r="547" customFormat="false" ht="13.8" hidden="false" customHeight="false" outlineLevel="0" collapsed="false">
      <c r="A547" s="0" t="n">
        <v>2303</v>
      </c>
      <c r="B547" s="0" t="s">
        <v>3657</v>
      </c>
      <c r="C547" s="0" t="s">
        <v>2818</v>
      </c>
      <c r="E547" s="0" t="n">
        <f aca="false">IF(J546=J547,E546+10,0)</f>
        <v>140</v>
      </c>
      <c r="F547" s="0" t="s">
        <v>3658</v>
      </c>
      <c r="G547" s="0" t="s">
        <v>3659</v>
      </c>
      <c r="H547" s="0" t="s">
        <v>3660</v>
      </c>
      <c r="I547" s="0" t="s">
        <v>1587</v>
      </c>
      <c r="J547" s="0" t="s">
        <v>1143</v>
      </c>
      <c r="K547" s="0" t="s">
        <v>971</v>
      </c>
      <c r="L547" s="0" t="s">
        <v>974</v>
      </c>
      <c r="M547" s="0" t="s">
        <v>973</v>
      </c>
      <c r="N547" s="0" t="s">
        <v>974</v>
      </c>
      <c r="O547" s="0" t="s">
        <v>975</v>
      </c>
      <c r="P547" s="0" t="s">
        <v>976</v>
      </c>
      <c r="Q547" s="0" t="s">
        <v>1128</v>
      </c>
      <c r="R547" s="0" t="s">
        <v>1046</v>
      </c>
      <c r="S547" s="0" t="s">
        <v>974</v>
      </c>
    </row>
    <row r="548" customFormat="false" ht="13.8" hidden="false" customHeight="false" outlineLevel="0" collapsed="false">
      <c r="A548" s="0" t="n">
        <v>2304</v>
      </c>
      <c r="B548" s="0" t="s">
        <v>3661</v>
      </c>
      <c r="C548" s="0" t="s">
        <v>3662</v>
      </c>
      <c r="E548" s="0" t="n">
        <f aca="false">IF(J547=J548,E547+10,0)</f>
        <v>150</v>
      </c>
      <c r="F548" s="0" t="s">
        <v>3663</v>
      </c>
      <c r="G548" s="0" t="s">
        <v>3664</v>
      </c>
      <c r="H548" s="0" t="s">
        <v>3665</v>
      </c>
      <c r="I548" s="0" t="s">
        <v>1065</v>
      </c>
      <c r="J548" s="0" t="s">
        <v>1143</v>
      </c>
      <c r="K548" s="0" t="s">
        <v>971</v>
      </c>
      <c r="L548" s="0" t="s">
        <v>974</v>
      </c>
      <c r="M548" s="0" t="s">
        <v>973</v>
      </c>
      <c r="N548" s="0" t="s">
        <v>974</v>
      </c>
      <c r="O548" s="0" t="s">
        <v>975</v>
      </c>
      <c r="P548" s="0" t="s">
        <v>976</v>
      </c>
      <c r="Q548" s="0" t="s">
        <v>974</v>
      </c>
      <c r="R548" s="0" t="s">
        <v>970</v>
      </c>
      <c r="S548" s="0" t="s">
        <v>974</v>
      </c>
    </row>
    <row r="549" customFormat="false" ht="13.8" hidden="false" customHeight="false" outlineLevel="0" collapsed="false">
      <c r="A549" s="0" t="n">
        <v>2305</v>
      </c>
      <c r="B549" s="0" t="s">
        <v>3666</v>
      </c>
      <c r="C549" s="0" t="s">
        <v>3667</v>
      </c>
      <c r="E549" s="0" t="n">
        <f aca="false">IF(J548=J549,E548+10,0)</f>
        <v>160</v>
      </c>
      <c r="F549" s="0" t="s">
        <v>3668</v>
      </c>
      <c r="G549" s="0" t="s">
        <v>3669</v>
      </c>
      <c r="H549" s="0" t="s">
        <v>3670</v>
      </c>
      <c r="I549" s="0" t="s">
        <v>3671</v>
      </c>
      <c r="J549" s="0" t="s">
        <v>1143</v>
      </c>
      <c r="K549" s="0" t="s">
        <v>971</v>
      </c>
      <c r="L549" s="0" t="s">
        <v>974</v>
      </c>
      <c r="M549" s="0" t="s">
        <v>973</v>
      </c>
      <c r="N549" s="0" t="s">
        <v>974</v>
      </c>
      <c r="O549" s="0" t="s">
        <v>975</v>
      </c>
      <c r="P549" s="0" t="s">
        <v>976</v>
      </c>
      <c r="Q549" s="0" t="s">
        <v>970</v>
      </c>
      <c r="R549" s="0" t="s">
        <v>1046</v>
      </c>
      <c r="S549" s="0" t="s">
        <v>974</v>
      </c>
    </row>
    <row r="550" customFormat="false" ht="13.8" hidden="false" customHeight="false" outlineLevel="0" collapsed="false">
      <c r="A550" s="0" t="n">
        <v>2306</v>
      </c>
      <c r="B550" s="0" t="s">
        <v>3672</v>
      </c>
      <c r="C550" s="0" t="s">
        <v>3673</v>
      </c>
      <c r="E550" s="0" t="n">
        <f aca="false">IF(J549=J550,E549+10,0)</f>
        <v>0</v>
      </c>
      <c r="F550" s="0" t="s">
        <v>3674</v>
      </c>
      <c r="G550" s="0" t="s">
        <v>3675</v>
      </c>
      <c r="H550" s="0" t="s">
        <v>3676</v>
      </c>
      <c r="I550" s="0" t="s">
        <v>3677</v>
      </c>
      <c r="J550" s="0" t="s">
        <v>1117</v>
      </c>
      <c r="K550" s="0" t="s">
        <v>971</v>
      </c>
      <c r="L550" s="0" t="s">
        <v>1046</v>
      </c>
      <c r="M550" s="0" t="s">
        <v>1459</v>
      </c>
      <c r="N550" s="0" t="s">
        <v>974</v>
      </c>
      <c r="O550" s="0" t="s">
        <v>975</v>
      </c>
      <c r="P550" s="0" t="s">
        <v>976</v>
      </c>
      <c r="Q550" s="0" t="s">
        <v>974</v>
      </c>
      <c r="R550" s="0" t="s">
        <v>970</v>
      </c>
      <c r="S550" s="0" t="s">
        <v>974</v>
      </c>
    </row>
    <row r="551" customFormat="false" ht="13.8" hidden="false" customHeight="false" outlineLevel="0" collapsed="false">
      <c r="A551" s="0" t="n">
        <v>2307</v>
      </c>
      <c r="B551" s="0" t="s">
        <v>3678</v>
      </c>
      <c r="C551" s="0" t="s">
        <v>3679</v>
      </c>
      <c r="E551" s="0" t="n">
        <f aca="false">IF(J550=J551,E550+10,0)</f>
        <v>10</v>
      </c>
      <c r="F551" s="0" t="s">
        <v>3680</v>
      </c>
      <c r="G551" s="0" t="s">
        <v>3681</v>
      </c>
      <c r="H551" s="0" t="s">
        <v>3682</v>
      </c>
      <c r="I551" s="0" t="s">
        <v>3683</v>
      </c>
      <c r="J551" s="0" t="s">
        <v>1117</v>
      </c>
      <c r="K551" s="0" t="s">
        <v>971</v>
      </c>
      <c r="L551" s="0" t="s">
        <v>1737</v>
      </c>
      <c r="M551" s="0" t="s">
        <v>1459</v>
      </c>
      <c r="N551" s="0" t="s">
        <v>974</v>
      </c>
      <c r="O551" s="0" t="s">
        <v>975</v>
      </c>
      <c r="P551" s="0" t="s">
        <v>976</v>
      </c>
      <c r="Q551" s="0" t="s">
        <v>974</v>
      </c>
      <c r="R551" s="0" t="s">
        <v>970</v>
      </c>
      <c r="S551" s="0" t="s">
        <v>974</v>
      </c>
    </row>
    <row r="552" customFormat="false" ht="13.8" hidden="false" customHeight="false" outlineLevel="0" collapsed="false">
      <c r="A552" s="0" t="n">
        <v>2308</v>
      </c>
      <c r="B552" s="0" t="s">
        <v>3684</v>
      </c>
      <c r="C552" s="0" t="s">
        <v>3685</v>
      </c>
      <c r="E552" s="0" t="n">
        <f aca="false">IF(J551=J552,E551+10,0)</f>
        <v>20</v>
      </c>
      <c r="F552" s="0" t="s">
        <v>3686</v>
      </c>
      <c r="G552" s="0" t="s">
        <v>3687</v>
      </c>
      <c r="H552" s="0" t="s">
        <v>3688</v>
      </c>
      <c r="I552" s="0" t="s">
        <v>3689</v>
      </c>
      <c r="J552" s="0" t="s">
        <v>1117</v>
      </c>
      <c r="K552" s="0" t="s">
        <v>971</v>
      </c>
      <c r="L552" s="0" t="s">
        <v>1117</v>
      </c>
      <c r="M552" s="0" t="s">
        <v>1459</v>
      </c>
      <c r="N552" s="0" t="s">
        <v>974</v>
      </c>
      <c r="O552" s="0" t="s">
        <v>975</v>
      </c>
      <c r="P552" s="0" t="s">
        <v>976</v>
      </c>
      <c r="Q552" s="0" t="s">
        <v>974</v>
      </c>
      <c r="R552" s="0" t="s">
        <v>970</v>
      </c>
      <c r="S552" s="0" t="s">
        <v>974</v>
      </c>
    </row>
    <row r="553" customFormat="false" ht="13.8" hidden="false" customHeight="false" outlineLevel="0" collapsed="false">
      <c r="A553" s="0" t="n">
        <v>2309</v>
      </c>
      <c r="B553" s="0" t="s">
        <v>3690</v>
      </c>
      <c r="C553" s="0" t="s">
        <v>3691</v>
      </c>
      <c r="E553" s="0" t="n">
        <f aca="false">IF(J552=J553,E552+10,0)</f>
        <v>30</v>
      </c>
      <c r="F553" s="0" t="s">
        <v>3692</v>
      </c>
      <c r="G553" s="0" t="s">
        <v>3693</v>
      </c>
      <c r="H553" s="0" t="s">
        <v>3694</v>
      </c>
      <c r="I553" s="0" t="s">
        <v>3695</v>
      </c>
      <c r="J553" s="0" t="s">
        <v>1117</v>
      </c>
      <c r="K553" s="0" t="s">
        <v>971</v>
      </c>
      <c r="L553" s="0" t="s">
        <v>975</v>
      </c>
      <c r="M553" s="0" t="s">
        <v>1459</v>
      </c>
      <c r="N553" s="0" t="s">
        <v>974</v>
      </c>
      <c r="O553" s="0" t="s">
        <v>975</v>
      </c>
      <c r="P553" s="0" t="s">
        <v>976</v>
      </c>
      <c r="Q553" s="0" t="s">
        <v>974</v>
      </c>
      <c r="R553" s="0" t="s">
        <v>970</v>
      </c>
      <c r="S553" s="0" t="s">
        <v>974</v>
      </c>
    </row>
    <row r="554" customFormat="false" ht="13.8" hidden="false" customHeight="false" outlineLevel="0" collapsed="false">
      <c r="A554" s="0" t="n">
        <v>2310</v>
      </c>
      <c r="B554" s="0" t="s">
        <v>3696</v>
      </c>
      <c r="C554" s="0" t="s">
        <v>3697</v>
      </c>
      <c r="E554" s="0" t="n">
        <f aca="false">IF(J553=J554,E553+10,0)</f>
        <v>40</v>
      </c>
      <c r="F554" s="0" t="s">
        <v>3698</v>
      </c>
      <c r="G554" s="0" t="s">
        <v>3699</v>
      </c>
      <c r="H554" s="0" t="s">
        <v>3700</v>
      </c>
      <c r="I554" s="0" t="s">
        <v>3701</v>
      </c>
      <c r="J554" s="0" t="s">
        <v>1117</v>
      </c>
      <c r="K554" s="0" t="s">
        <v>971</v>
      </c>
      <c r="L554" s="0" t="s">
        <v>1737</v>
      </c>
      <c r="M554" s="0" t="s">
        <v>1459</v>
      </c>
      <c r="N554" s="0" t="s">
        <v>974</v>
      </c>
      <c r="O554" s="0" t="s">
        <v>975</v>
      </c>
      <c r="P554" s="0" t="s">
        <v>976</v>
      </c>
      <c r="Q554" s="0" t="s">
        <v>974</v>
      </c>
      <c r="R554" s="0" t="s">
        <v>970</v>
      </c>
      <c r="S554" s="0" t="s">
        <v>974</v>
      </c>
    </row>
    <row r="555" customFormat="false" ht="13.8" hidden="false" customHeight="false" outlineLevel="0" collapsed="false">
      <c r="A555" s="0" t="n">
        <v>2311</v>
      </c>
      <c r="B555" s="0" t="s">
        <v>3702</v>
      </c>
      <c r="C555" s="0" t="s">
        <v>3703</v>
      </c>
      <c r="E555" s="0" t="n">
        <f aca="false">IF(J554=J555,E554+10,0)</f>
        <v>50</v>
      </c>
      <c r="F555" s="0" t="s">
        <v>3704</v>
      </c>
      <c r="G555" s="0" t="s">
        <v>3705</v>
      </c>
      <c r="H555" s="0" t="s">
        <v>3706</v>
      </c>
      <c r="I555" s="0" t="s">
        <v>3707</v>
      </c>
      <c r="J555" s="0" t="s">
        <v>1117</v>
      </c>
      <c r="K555" s="0" t="s">
        <v>971</v>
      </c>
      <c r="L555" s="0" t="s">
        <v>1737</v>
      </c>
      <c r="M555" s="0" t="s">
        <v>1459</v>
      </c>
      <c r="N555" s="0" t="s">
        <v>974</v>
      </c>
      <c r="O555" s="0" t="s">
        <v>975</v>
      </c>
      <c r="P555" s="0" t="s">
        <v>976</v>
      </c>
      <c r="Q555" s="0" t="s">
        <v>974</v>
      </c>
      <c r="R555" s="0" t="s">
        <v>970</v>
      </c>
      <c r="S555" s="0" t="s">
        <v>974</v>
      </c>
    </row>
    <row r="556" customFormat="false" ht="13.8" hidden="false" customHeight="false" outlineLevel="0" collapsed="false">
      <c r="A556" s="0" t="n">
        <v>2312</v>
      </c>
      <c r="B556" s="0" t="s">
        <v>3708</v>
      </c>
      <c r="C556" s="0" t="s">
        <v>3709</v>
      </c>
      <c r="E556" s="0" t="n">
        <f aca="false">IF(J555=J556,E555+10,0)</f>
        <v>60</v>
      </c>
      <c r="F556" s="0" t="s">
        <v>3710</v>
      </c>
      <c r="G556" s="0" t="s">
        <v>3711</v>
      </c>
      <c r="H556" s="0" t="s">
        <v>3712</v>
      </c>
      <c r="I556" s="0" t="s">
        <v>1123</v>
      </c>
      <c r="J556" s="0" t="s">
        <v>1117</v>
      </c>
      <c r="K556" s="0" t="s">
        <v>971</v>
      </c>
      <c r="L556" s="0" t="s">
        <v>1737</v>
      </c>
      <c r="M556" s="0" t="s">
        <v>1459</v>
      </c>
      <c r="N556" s="0" t="s">
        <v>974</v>
      </c>
      <c r="O556" s="0" t="s">
        <v>975</v>
      </c>
      <c r="P556" s="0" t="s">
        <v>976</v>
      </c>
      <c r="Q556" s="0" t="s">
        <v>974</v>
      </c>
      <c r="R556" s="0" t="s">
        <v>970</v>
      </c>
      <c r="S556" s="0" t="s">
        <v>974</v>
      </c>
    </row>
    <row r="557" customFormat="false" ht="13.8" hidden="false" customHeight="false" outlineLevel="0" collapsed="false">
      <c r="A557" s="0" t="n">
        <v>2313</v>
      </c>
      <c r="B557" s="0" t="s">
        <v>3713</v>
      </c>
      <c r="C557" s="0" t="s">
        <v>3714</v>
      </c>
      <c r="E557" s="0" t="n">
        <f aca="false">IF(J556=J557,E556+10,0)</f>
        <v>70</v>
      </c>
      <c r="F557" s="0" t="s">
        <v>3715</v>
      </c>
      <c r="G557" s="0" t="s">
        <v>3716</v>
      </c>
      <c r="H557" s="0" t="s">
        <v>3717</v>
      </c>
      <c r="I557" s="0" t="s">
        <v>2976</v>
      </c>
      <c r="J557" s="0" t="s">
        <v>1117</v>
      </c>
      <c r="K557" s="0" t="s">
        <v>971</v>
      </c>
      <c r="L557" s="0" t="s">
        <v>1737</v>
      </c>
      <c r="M557" s="0" t="s">
        <v>1459</v>
      </c>
      <c r="N557" s="0" t="s">
        <v>974</v>
      </c>
      <c r="O557" s="0" t="s">
        <v>975</v>
      </c>
      <c r="P557" s="0" t="s">
        <v>976</v>
      </c>
      <c r="Q557" s="0" t="s">
        <v>974</v>
      </c>
      <c r="R557" s="0" t="s">
        <v>970</v>
      </c>
      <c r="S557" s="0" t="s">
        <v>974</v>
      </c>
    </row>
    <row r="558" customFormat="false" ht="13.8" hidden="false" customHeight="false" outlineLevel="0" collapsed="false">
      <c r="A558" s="0" t="n">
        <v>2314</v>
      </c>
      <c r="B558" s="0" t="s">
        <v>3718</v>
      </c>
      <c r="C558" s="0" t="s">
        <v>3719</v>
      </c>
      <c r="E558" s="0" t="n">
        <f aca="false">IF(J557=J558,E557+10,0)</f>
        <v>80</v>
      </c>
      <c r="F558" s="0" t="s">
        <v>3720</v>
      </c>
      <c r="G558" s="0" t="s">
        <v>3721</v>
      </c>
      <c r="H558" s="0" t="s">
        <v>3722</v>
      </c>
      <c r="I558" s="0" t="s">
        <v>2489</v>
      </c>
      <c r="J558" s="0" t="s">
        <v>1117</v>
      </c>
      <c r="K558" s="0" t="s">
        <v>971</v>
      </c>
      <c r="L558" s="0" t="s">
        <v>1737</v>
      </c>
      <c r="M558" s="0" t="s">
        <v>1459</v>
      </c>
      <c r="N558" s="0" t="s">
        <v>974</v>
      </c>
      <c r="O558" s="0" t="s">
        <v>975</v>
      </c>
      <c r="P558" s="0" t="s">
        <v>976</v>
      </c>
      <c r="Q558" s="0" t="s">
        <v>974</v>
      </c>
      <c r="R558" s="0" t="s">
        <v>970</v>
      </c>
      <c r="S558" s="0" t="s">
        <v>974</v>
      </c>
    </row>
    <row r="559" customFormat="false" ht="13.8" hidden="false" customHeight="false" outlineLevel="0" collapsed="false">
      <c r="A559" s="0" t="n">
        <v>2315</v>
      </c>
      <c r="B559" s="0" t="s">
        <v>3723</v>
      </c>
      <c r="C559" s="0" t="s">
        <v>3724</v>
      </c>
      <c r="E559" s="0" t="n">
        <f aca="false">IF(J558=J559,E558+10,0)</f>
        <v>90</v>
      </c>
      <c r="F559" s="0" t="s">
        <v>3725</v>
      </c>
      <c r="G559" s="0" t="s">
        <v>3726</v>
      </c>
      <c r="H559" s="0" t="s">
        <v>3727</v>
      </c>
      <c r="I559" s="0" t="s">
        <v>3728</v>
      </c>
      <c r="J559" s="0" t="s">
        <v>1117</v>
      </c>
      <c r="K559" s="0" t="s">
        <v>971</v>
      </c>
      <c r="L559" s="0" t="s">
        <v>1737</v>
      </c>
      <c r="M559" s="0" t="s">
        <v>1459</v>
      </c>
      <c r="N559" s="0" t="s">
        <v>974</v>
      </c>
      <c r="O559" s="0" t="s">
        <v>975</v>
      </c>
      <c r="P559" s="0" t="s">
        <v>976</v>
      </c>
      <c r="Q559" s="0" t="s">
        <v>974</v>
      </c>
      <c r="R559" s="0" t="s">
        <v>970</v>
      </c>
      <c r="S559" s="0" t="s">
        <v>974</v>
      </c>
    </row>
    <row r="560" customFormat="false" ht="13.8" hidden="false" customHeight="false" outlineLevel="0" collapsed="false">
      <c r="A560" s="0" t="n">
        <v>2316</v>
      </c>
      <c r="B560" s="0" t="s">
        <v>3729</v>
      </c>
      <c r="C560" s="0" t="s">
        <v>1010</v>
      </c>
      <c r="E560" s="0" t="n">
        <f aca="false">IF(J559=J560,E559+10,0)</f>
        <v>100</v>
      </c>
      <c r="F560" s="0" t="s">
        <v>3730</v>
      </c>
      <c r="G560" s="0" t="s">
        <v>3731</v>
      </c>
      <c r="H560" s="0" t="s">
        <v>3732</v>
      </c>
      <c r="I560" s="0" t="s">
        <v>1014</v>
      </c>
      <c r="J560" s="0" t="s">
        <v>1117</v>
      </c>
      <c r="K560" s="0" t="s">
        <v>971</v>
      </c>
      <c r="L560" s="0" t="s">
        <v>1737</v>
      </c>
      <c r="M560" s="0" t="s">
        <v>1459</v>
      </c>
      <c r="N560" s="0" t="s">
        <v>974</v>
      </c>
      <c r="O560" s="0" t="s">
        <v>975</v>
      </c>
      <c r="P560" s="0" t="s">
        <v>976</v>
      </c>
      <c r="Q560" s="0" t="s">
        <v>974</v>
      </c>
      <c r="R560" s="0" t="s">
        <v>970</v>
      </c>
      <c r="S560" s="0" t="s">
        <v>974</v>
      </c>
    </row>
    <row r="561" customFormat="false" ht="13.8" hidden="false" customHeight="false" outlineLevel="0" collapsed="false">
      <c r="A561" s="0" t="n">
        <v>2317</v>
      </c>
      <c r="B561" s="0" t="s">
        <v>3733</v>
      </c>
      <c r="C561" s="0" t="s">
        <v>3734</v>
      </c>
      <c r="E561" s="0" t="n">
        <f aca="false">IF(J560=J561,E560+10,0)</f>
        <v>110</v>
      </c>
      <c r="F561" s="0" t="s">
        <v>3735</v>
      </c>
      <c r="G561" s="0" t="s">
        <v>3736</v>
      </c>
      <c r="H561" s="0" t="s">
        <v>3737</v>
      </c>
      <c r="I561" s="0" t="s">
        <v>3738</v>
      </c>
      <c r="J561" s="0" t="s">
        <v>1117</v>
      </c>
      <c r="K561" s="0" t="s">
        <v>971</v>
      </c>
      <c r="L561" s="0" t="s">
        <v>1737</v>
      </c>
      <c r="M561" s="0" t="s">
        <v>1459</v>
      </c>
      <c r="N561" s="0" t="s">
        <v>974</v>
      </c>
      <c r="O561" s="0" t="s">
        <v>975</v>
      </c>
      <c r="P561" s="0" t="s">
        <v>976</v>
      </c>
      <c r="Q561" s="0" t="s">
        <v>974</v>
      </c>
      <c r="R561" s="0" t="s">
        <v>970</v>
      </c>
      <c r="S561" s="0" t="s">
        <v>974</v>
      </c>
    </row>
    <row r="562" customFormat="false" ht="13.8" hidden="false" customHeight="false" outlineLevel="0" collapsed="false">
      <c r="A562" s="0" t="n">
        <v>2318</v>
      </c>
      <c r="B562" s="0" t="s">
        <v>3739</v>
      </c>
      <c r="C562" s="0" t="s">
        <v>3740</v>
      </c>
      <c r="E562" s="0" t="n">
        <f aca="false">IF(J561=J562,E561+10,0)</f>
        <v>120</v>
      </c>
      <c r="F562" s="0" t="s">
        <v>3741</v>
      </c>
      <c r="G562" s="0" t="s">
        <v>3742</v>
      </c>
      <c r="H562" s="0" t="s">
        <v>3743</v>
      </c>
      <c r="I562" s="0" t="s">
        <v>1045</v>
      </c>
      <c r="J562" s="0" t="s">
        <v>1117</v>
      </c>
      <c r="K562" s="0" t="s">
        <v>971</v>
      </c>
      <c r="L562" s="0" t="s">
        <v>2649</v>
      </c>
      <c r="M562" s="0" t="s">
        <v>1459</v>
      </c>
      <c r="N562" s="0" t="s">
        <v>974</v>
      </c>
      <c r="O562" s="0" t="s">
        <v>975</v>
      </c>
      <c r="P562" s="0" t="s">
        <v>976</v>
      </c>
      <c r="Q562" s="0" t="s">
        <v>974</v>
      </c>
      <c r="R562" s="0" t="s">
        <v>970</v>
      </c>
      <c r="S562" s="0" t="s">
        <v>974</v>
      </c>
    </row>
    <row r="563" customFormat="false" ht="13.8" hidden="false" customHeight="false" outlineLevel="0" collapsed="false">
      <c r="A563" s="0" t="n">
        <v>2319</v>
      </c>
      <c r="B563" s="0" t="s">
        <v>3744</v>
      </c>
      <c r="C563" s="0" t="s">
        <v>3745</v>
      </c>
      <c r="E563" s="0" t="n">
        <f aca="false">IF(J562=J563,E562+10,0)</f>
        <v>130</v>
      </c>
      <c r="F563" s="0" t="s">
        <v>3746</v>
      </c>
      <c r="G563" s="0" t="s">
        <v>3747</v>
      </c>
      <c r="H563" s="0" t="s">
        <v>3748</v>
      </c>
      <c r="I563" s="0" t="s">
        <v>1306</v>
      </c>
      <c r="J563" s="0" t="s">
        <v>1117</v>
      </c>
      <c r="K563" s="0" t="s">
        <v>971</v>
      </c>
      <c r="L563" s="0" t="s">
        <v>2649</v>
      </c>
      <c r="M563" s="0" t="s">
        <v>1459</v>
      </c>
      <c r="N563" s="0" t="s">
        <v>974</v>
      </c>
      <c r="O563" s="0" t="s">
        <v>975</v>
      </c>
      <c r="P563" s="0" t="s">
        <v>976</v>
      </c>
      <c r="Q563" s="0" t="s">
        <v>974</v>
      </c>
      <c r="R563" s="0" t="s">
        <v>970</v>
      </c>
      <c r="S563" s="0" t="s">
        <v>974</v>
      </c>
    </row>
    <row r="564" customFormat="false" ht="13.8" hidden="false" customHeight="false" outlineLevel="0" collapsed="false">
      <c r="A564" s="0" t="n">
        <v>2320</v>
      </c>
      <c r="B564" s="0" t="s">
        <v>3749</v>
      </c>
      <c r="C564" s="0" t="s">
        <v>3750</v>
      </c>
      <c r="E564" s="0" t="n">
        <f aca="false">IF(J563=J564,E563+10,0)</f>
        <v>140</v>
      </c>
      <c r="F564" s="0" t="s">
        <v>3751</v>
      </c>
      <c r="G564" s="0" t="s">
        <v>3752</v>
      </c>
      <c r="H564" s="0" t="s">
        <v>3753</v>
      </c>
      <c r="I564" s="0" t="s">
        <v>1180</v>
      </c>
      <c r="J564" s="0" t="s">
        <v>1117</v>
      </c>
      <c r="K564" s="0" t="s">
        <v>971</v>
      </c>
      <c r="L564" s="0" t="s">
        <v>2649</v>
      </c>
      <c r="M564" s="0" t="s">
        <v>1459</v>
      </c>
      <c r="N564" s="0" t="s">
        <v>974</v>
      </c>
      <c r="O564" s="0" t="s">
        <v>975</v>
      </c>
      <c r="P564" s="0" t="s">
        <v>976</v>
      </c>
      <c r="Q564" s="0" t="s">
        <v>974</v>
      </c>
      <c r="R564" s="0" t="s">
        <v>970</v>
      </c>
      <c r="S564" s="0" t="s">
        <v>974</v>
      </c>
    </row>
    <row r="565" customFormat="false" ht="13.8" hidden="false" customHeight="false" outlineLevel="0" collapsed="false">
      <c r="A565" s="0" t="n">
        <v>2321</v>
      </c>
      <c r="B565" s="0" t="s">
        <v>3754</v>
      </c>
      <c r="C565" s="0" t="s">
        <v>3755</v>
      </c>
      <c r="E565" s="0" t="n">
        <f aca="false">IF(J564=J565,E564+10,0)</f>
        <v>150</v>
      </c>
      <c r="F565" s="0" t="s">
        <v>3756</v>
      </c>
      <c r="G565" s="0" t="s">
        <v>3757</v>
      </c>
      <c r="H565" s="0" t="s">
        <v>3758</v>
      </c>
      <c r="I565" s="0" t="s">
        <v>1587</v>
      </c>
      <c r="J565" s="0" t="s">
        <v>1117</v>
      </c>
      <c r="K565" s="0" t="s">
        <v>971</v>
      </c>
      <c r="L565" s="0" t="s">
        <v>1737</v>
      </c>
      <c r="M565" s="0" t="s">
        <v>1459</v>
      </c>
      <c r="N565" s="0" t="s">
        <v>974</v>
      </c>
      <c r="O565" s="0" t="s">
        <v>975</v>
      </c>
      <c r="P565" s="0" t="s">
        <v>976</v>
      </c>
      <c r="Q565" s="0" t="s">
        <v>974</v>
      </c>
      <c r="R565" s="0" t="s">
        <v>970</v>
      </c>
      <c r="S565" s="0" t="s">
        <v>974</v>
      </c>
    </row>
    <row r="566" customFormat="false" ht="13.8" hidden="false" customHeight="false" outlineLevel="0" collapsed="false">
      <c r="A566" s="0" t="n">
        <v>2322</v>
      </c>
      <c r="B566" s="0" t="s">
        <v>3759</v>
      </c>
      <c r="C566" s="0" t="s">
        <v>1041</v>
      </c>
      <c r="E566" s="0" t="n">
        <f aca="false">IF(J565=J566,E565+10,0)</f>
        <v>160</v>
      </c>
      <c r="F566" s="0" t="s">
        <v>3760</v>
      </c>
      <c r="G566" s="0" t="s">
        <v>3761</v>
      </c>
      <c r="H566" s="0" t="s">
        <v>3762</v>
      </c>
      <c r="I566" s="0" t="s">
        <v>1045</v>
      </c>
      <c r="J566" s="0" t="s">
        <v>1117</v>
      </c>
      <c r="K566" s="0" t="s">
        <v>971</v>
      </c>
      <c r="L566" s="0" t="s">
        <v>2649</v>
      </c>
      <c r="M566" s="0" t="s">
        <v>1459</v>
      </c>
      <c r="N566" s="0" t="s">
        <v>974</v>
      </c>
      <c r="O566" s="0" t="s">
        <v>975</v>
      </c>
      <c r="P566" s="0" t="s">
        <v>976</v>
      </c>
      <c r="Q566" s="0" t="s">
        <v>974</v>
      </c>
      <c r="R566" s="0" t="s">
        <v>970</v>
      </c>
      <c r="S566" s="0" t="s">
        <v>974</v>
      </c>
    </row>
    <row r="567" customFormat="false" ht="13.8" hidden="false" customHeight="false" outlineLevel="0" collapsed="false">
      <c r="A567" s="0" t="n">
        <v>2323</v>
      </c>
      <c r="B567" s="0" t="s">
        <v>3763</v>
      </c>
      <c r="C567" s="0" t="s">
        <v>3764</v>
      </c>
      <c r="E567" s="0" t="n">
        <f aca="false">IF(J566=J567,E566+10,0)</f>
        <v>170</v>
      </c>
      <c r="F567" s="0" t="s">
        <v>3765</v>
      </c>
      <c r="G567" s="0" t="s">
        <v>3766</v>
      </c>
      <c r="H567" s="0" t="s">
        <v>3767</v>
      </c>
      <c r="I567" s="0" t="s">
        <v>1737</v>
      </c>
      <c r="J567" s="0" t="s">
        <v>1117</v>
      </c>
      <c r="K567" s="0" t="s">
        <v>971</v>
      </c>
      <c r="L567" s="0" t="s">
        <v>2165</v>
      </c>
      <c r="M567" s="0" t="s">
        <v>1459</v>
      </c>
      <c r="N567" s="0" t="s">
        <v>974</v>
      </c>
      <c r="O567" s="0" t="s">
        <v>975</v>
      </c>
      <c r="P567" s="0" t="s">
        <v>976</v>
      </c>
      <c r="Q567" s="0" t="s">
        <v>974</v>
      </c>
      <c r="R567" s="0" t="s">
        <v>970</v>
      </c>
      <c r="S567" s="0" t="s">
        <v>974</v>
      </c>
    </row>
    <row r="568" customFormat="false" ht="13.8" hidden="false" customHeight="false" outlineLevel="0" collapsed="false">
      <c r="A568" s="0" t="n">
        <v>2324</v>
      </c>
      <c r="B568" s="0" t="s">
        <v>3768</v>
      </c>
      <c r="C568" s="0" t="s">
        <v>3769</v>
      </c>
      <c r="E568" s="0" t="n">
        <f aca="false">IF(J567=J568,E567+10,0)</f>
        <v>180</v>
      </c>
      <c r="F568" s="0" t="s">
        <v>3770</v>
      </c>
      <c r="G568" s="0" t="s">
        <v>3771</v>
      </c>
      <c r="H568" s="0" t="s">
        <v>3772</v>
      </c>
      <c r="I568" s="0" t="s">
        <v>1428</v>
      </c>
      <c r="J568" s="0" t="s">
        <v>1117</v>
      </c>
      <c r="K568" s="0" t="s">
        <v>971</v>
      </c>
      <c r="L568" s="0" t="s">
        <v>2165</v>
      </c>
      <c r="M568" s="0" t="s">
        <v>1459</v>
      </c>
      <c r="N568" s="0" t="s">
        <v>974</v>
      </c>
      <c r="O568" s="0" t="s">
        <v>975</v>
      </c>
      <c r="P568" s="0" t="s">
        <v>976</v>
      </c>
      <c r="Q568" s="0" t="s">
        <v>974</v>
      </c>
      <c r="R568" s="0" t="s">
        <v>970</v>
      </c>
      <c r="S568" s="0" t="s">
        <v>974</v>
      </c>
    </row>
    <row r="569" customFormat="false" ht="13.8" hidden="false" customHeight="false" outlineLevel="0" collapsed="false">
      <c r="A569" s="0" t="n">
        <v>2325</v>
      </c>
      <c r="B569" s="0" t="s">
        <v>3773</v>
      </c>
      <c r="C569" s="0" t="s">
        <v>3774</v>
      </c>
      <c r="E569" s="0" t="n">
        <f aca="false">IF(J568=J569,E568+10,0)</f>
        <v>190</v>
      </c>
      <c r="F569" s="0" t="s">
        <v>3775</v>
      </c>
      <c r="G569" s="0" t="s">
        <v>3776</v>
      </c>
      <c r="H569" s="0" t="s">
        <v>3777</v>
      </c>
      <c r="I569" s="0" t="s">
        <v>3778</v>
      </c>
      <c r="J569" s="0" t="s">
        <v>1117</v>
      </c>
      <c r="K569" s="0" t="s">
        <v>971</v>
      </c>
      <c r="L569" s="0" t="s">
        <v>2165</v>
      </c>
      <c r="M569" s="0" t="s">
        <v>1459</v>
      </c>
      <c r="N569" s="0" t="s">
        <v>974</v>
      </c>
      <c r="O569" s="0" t="s">
        <v>975</v>
      </c>
      <c r="P569" s="0" t="s">
        <v>976</v>
      </c>
      <c r="Q569" s="0" t="s">
        <v>974</v>
      </c>
      <c r="R569" s="0" t="s">
        <v>970</v>
      </c>
      <c r="S569" s="0" t="s">
        <v>974</v>
      </c>
    </row>
    <row r="570" customFormat="false" ht="13.8" hidden="false" customHeight="false" outlineLevel="0" collapsed="false">
      <c r="A570" s="0" t="n">
        <v>2326</v>
      </c>
      <c r="B570" s="0" t="s">
        <v>3779</v>
      </c>
      <c r="C570" s="0" t="s">
        <v>3780</v>
      </c>
      <c r="E570" s="0" t="n">
        <f aca="false">IF(J569=J570,E569+10,0)</f>
        <v>200</v>
      </c>
      <c r="F570" s="0" t="s">
        <v>3781</v>
      </c>
      <c r="G570" s="0" t="s">
        <v>3782</v>
      </c>
      <c r="H570" s="0" t="s">
        <v>3783</v>
      </c>
      <c r="I570" s="0" t="s">
        <v>3784</v>
      </c>
      <c r="J570" s="0" t="s">
        <v>1117</v>
      </c>
      <c r="K570" s="0" t="s">
        <v>971</v>
      </c>
      <c r="L570" s="0" t="s">
        <v>3268</v>
      </c>
      <c r="M570" s="0" t="s">
        <v>1459</v>
      </c>
      <c r="N570" s="0" t="s">
        <v>974</v>
      </c>
      <c r="O570" s="0" t="s">
        <v>975</v>
      </c>
      <c r="P570" s="0" t="s">
        <v>976</v>
      </c>
      <c r="Q570" s="0" t="s">
        <v>974</v>
      </c>
      <c r="R570" s="0" t="s">
        <v>970</v>
      </c>
      <c r="S570" s="0" t="s">
        <v>974</v>
      </c>
    </row>
    <row r="571" customFormat="false" ht="13.8" hidden="false" customHeight="false" outlineLevel="0" collapsed="false">
      <c r="A571" s="0" t="n">
        <v>2327</v>
      </c>
      <c r="B571" s="0" t="s">
        <v>3785</v>
      </c>
      <c r="C571" s="0" t="s">
        <v>3786</v>
      </c>
      <c r="E571" s="0" t="n">
        <f aca="false">IF(J570=J571,E570+10,0)</f>
        <v>210</v>
      </c>
      <c r="F571" s="0" t="s">
        <v>3787</v>
      </c>
      <c r="G571" s="0" t="s">
        <v>3788</v>
      </c>
      <c r="H571" s="0" t="s">
        <v>3789</v>
      </c>
      <c r="I571" s="0" t="s">
        <v>1094</v>
      </c>
      <c r="J571" s="0" t="s">
        <v>1117</v>
      </c>
      <c r="K571" s="0" t="s">
        <v>971</v>
      </c>
      <c r="L571" s="0" t="s">
        <v>2266</v>
      </c>
      <c r="M571" s="0" t="s">
        <v>1459</v>
      </c>
      <c r="N571" s="0" t="s">
        <v>974</v>
      </c>
      <c r="O571" s="0" t="s">
        <v>975</v>
      </c>
      <c r="P571" s="0" t="s">
        <v>976</v>
      </c>
      <c r="Q571" s="0" t="s">
        <v>974</v>
      </c>
      <c r="R571" s="0" t="s">
        <v>970</v>
      </c>
      <c r="S571" s="0" t="s">
        <v>974</v>
      </c>
    </row>
    <row r="572" customFormat="false" ht="13.8" hidden="false" customHeight="false" outlineLevel="0" collapsed="false">
      <c r="A572" s="0" t="n">
        <v>2328</v>
      </c>
      <c r="B572" s="0" t="s">
        <v>3790</v>
      </c>
      <c r="C572" s="0" t="s">
        <v>3791</v>
      </c>
      <c r="E572" s="0" t="n">
        <f aca="false">IF(J571=J572,E571+10,0)</f>
        <v>220</v>
      </c>
      <c r="F572" s="0" t="s">
        <v>3792</v>
      </c>
      <c r="G572" s="0" t="s">
        <v>3793</v>
      </c>
      <c r="H572" s="0" t="s">
        <v>3794</v>
      </c>
      <c r="I572" s="0" t="s">
        <v>1100</v>
      </c>
      <c r="J572" s="0" t="s">
        <v>1117</v>
      </c>
      <c r="K572" s="0" t="s">
        <v>971</v>
      </c>
      <c r="L572" s="0" t="s">
        <v>1232</v>
      </c>
      <c r="M572" s="0" t="s">
        <v>973</v>
      </c>
      <c r="N572" s="0" t="s">
        <v>974</v>
      </c>
      <c r="O572" s="0" t="s">
        <v>975</v>
      </c>
      <c r="P572" s="0" t="s">
        <v>976</v>
      </c>
      <c r="Q572" s="0" t="s">
        <v>974</v>
      </c>
      <c r="R572" s="0" t="s">
        <v>970</v>
      </c>
      <c r="S572" s="0" t="s">
        <v>974</v>
      </c>
    </row>
    <row r="573" customFormat="false" ht="13.8" hidden="false" customHeight="false" outlineLevel="0" collapsed="false">
      <c r="A573" s="0" t="n">
        <v>2329</v>
      </c>
      <c r="B573" s="0" t="s">
        <v>3795</v>
      </c>
      <c r="C573" s="0" t="s">
        <v>3796</v>
      </c>
      <c r="E573" s="0" t="n">
        <f aca="false">IF(J572=J573,E572+10,0)</f>
        <v>230</v>
      </c>
      <c r="F573" s="0" t="s">
        <v>3797</v>
      </c>
      <c r="G573" s="0" t="s">
        <v>3798</v>
      </c>
      <c r="H573" s="0" t="s">
        <v>3799</v>
      </c>
      <c r="I573" s="0" t="s">
        <v>3800</v>
      </c>
      <c r="J573" s="0" t="s">
        <v>1117</v>
      </c>
      <c r="K573" s="0" t="s">
        <v>971</v>
      </c>
      <c r="L573" s="0" t="s">
        <v>2852</v>
      </c>
      <c r="M573" s="0" t="s">
        <v>973</v>
      </c>
      <c r="N573" s="0" t="s">
        <v>974</v>
      </c>
      <c r="O573" s="0" t="s">
        <v>975</v>
      </c>
      <c r="P573" s="0" t="s">
        <v>976</v>
      </c>
      <c r="Q573" s="0" t="s">
        <v>974</v>
      </c>
      <c r="R573" s="0" t="s">
        <v>970</v>
      </c>
      <c r="S573" s="0" t="s">
        <v>974</v>
      </c>
    </row>
    <row r="574" customFormat="false" ht="13.8" hidden="false" customHeight="false" outlineLevel="0" collapsed="false">
      <c r="A574" s="0" t="n">
        <v>2330</v>
      </c>
      <c r="B574" s="0" t="s">
        <v>3801</v>
      </c>
      <c r="C574" s="0" t="s">
        <v>3802</v>
      </c>
      <c r="E574" s="0" t="n">
        <f aca="false">IF(J573=J574,E573+10,0)</f>
        <v>240</v>
      </c>
      <c r="F574" s="0" t="s">
        <v>3803</v>
      </c>
      <c r="G574" s="0" t="s">
        <v>3804</v>
      </c>
      <c r="H574" s="0" t="s">
        <v>3805</v>
      </c>
      <c r="I574" s="0" t="s">
        <v>3806</v>
      </c>
      <c r="J574" s="0" t="s">
        <v>1117</v>
      </c>
      <c r="K574" s="0" t="s">
        <v>971</v>
      </c>
      <c r="L574" s="0" t="s">
        <v>2852</v>
      </c>
      <c r="M574" s="0" t="s">
        <v>973</v>
      </c>
      <c r="N574" s="0" t="s">
        <v>974</v>
      </c>
      <c r="O574" s="0" t="s">
        <v>975</v>
      </c>
      <c r="P574" s="0" t="s">
        <v>976</v>
      </c>
      <c r="Q574" s="0" t="s">
        <v>974</v>
      </c>
      <c r="R574" s="0" t="s">
        <v>970</v>
      </c>
      <c r="S574" s="0" t="s">
        <v>974</v>
      </c>
    </row>
    <row r="575" customFormat="false" ht="13.8" hidden="false" customHeight="false" outlineLevel="0" collapsed="false">
      <c r="A575" s="0" t="n">
        <v>2331</v>
      </c>
      <c r="B575" s="0" t="s">
        <v>3807</v>
      </c>
      <c r="C575" s="0" t="s">
        <v>3808</v>
      </c>
      <c r="E575" s="0" t="n">
        <f aca="false">IF(J574=J575,E574+10,0)</f>
        <v>250</v>
      </c>
      <c r="F575" s="0" t="s">
        <v>3809</v>
      </c>
      <c r="G575" s="0" t="s">
        <v>3810</v>
      </c>
      <c r="H575" s="0" t="s">
        <v>3811</v>
      </c>
      <c r="I575" s="0" t="s">
        <v>2847</v>
      </c>
      <c r="J575" s="0" t="s">
        <v>1117</v>
      </c>
      <c r="K575" s="0" t="s">
        <v>971</v>
      </c>
      <c r="L575" s="0" t="s">
        <v>2266</v>
      </c>
      <c r="M575" s="0" t="s">
        <v>1459</v>
      </c>
      <c r="N575" s="0" t="s">
        <v>974</v>
      </c>
      <c r="O575" s="0" t="s">
        <v>975</v>
      </c>
      <c r="P575" s="0" t="s">
        <v>976</v>
      </c>
      <c r="Q575" s="0" t="s">
        <v>974</v>
      </c>
      <c r="R575" s="0" t="s">
        <v>970</v>
      </c>
      <c r="S575" s="0" t="s">
        <v>974</v>
      </c>
    </row>
    <row r="576" customFormat="false" ht="13.8" hidden="false" customHeight="false" outlineLevel="0" collapsed="false">
      <c r="A576" s="0" t="n">
        <v>2332</v>
      </c>
      <c r="B576" s="0" t="s">
        <v>3812</v>
      </c>
      <c r="C576" s="0" t="s">
        <v>3813</v>
      </c>
      <c r="E576" s="0" t="n">
        <f aca="false">IF(J575=J576,E575+10,0)</f>
        <v>260</v>
      </c>
      <c r="F576" s="0" t="s">
        <v>3814</v>
      </c>
      <c r="G576" s="0" t="s">
        <v>3815</v>
      </c>
      <c r="H576" s="0" t="s">
        <v>3816</v>
      </c>
      <c r="I576" s="0" t="s">
        <v>3817</v>
      </c>
      <c r="J576" s="0" t="s">
        <v>1117</v>
      </c>
      <c r="K576" s="0" t="s">
        <v>971</v>
      </c>
      <c r="L576" s="0" t="s">
        <v>1737</v>
      </c>
      <c r="M576" s="0" t="s">
        <v>1459</v>
      </c>
      <c r="N576" s="0" t="s">
        <v>974</v>
      </c>
      <c r="O576" s="0" t="s">
        <v>975</v>
      </c>
      <c r="P576" s="0" t="s">
        <v>976</v>
      </c>
      <c r="Q576" s="0" t="s">
        <v>974</v>
      </c>
      <c r="R576" s="0" t="s">
        <v>970</v>
      </c>
      <c r="S576" s="0" t="s">
        <v>974</v>
      </c>
    </row>
    <row r="577" customFormat="false" ht="13.8" hidden="false" customHeight="false" outlineLevel="0" collapsed="false">
      <c r="A577" s="0" t="n">
        <v>2333</v>
      </c>
      <c r="B577" s="0" t="s">
        <v>3818</v>
      </c>
      <c r="C577" s="0" t="s">
        <v>1054</v>
      </c>
      <c r="E577" s="0" t="n">
        <f aca="false">IF(J576=J577,E576+10,0)</f>
        <v>270</v>
      </c>
      <c r="F577" s="0" t="s">
        <v>3819</v>
      </c>
      <c r="G577" s="0" t="s">
        <v>3820</v>
      </c>
      <c r="H577" s="0" t="s">
        <v>3821</v>
      </c>
      <c r="I577" s="0" t="s">
        <v>1058</v>
      </c>
      <c r="J577" s="0" t="s">
        <v>1117</v>
      </c>
      <c r="K577" s="0" t="s">
        <v>971</v>
      </c>
      <c r="L577" s="0" t="s">
        <v>973</v>
      </c>
      <c r="M577" s="0" t="s">
        <v>973</v>
      </c>
      <c r="N577" s="0" t="s">
        <v>974</v>
      </c>
      <c r="O577" s="0" t="s">
        <v>975</v>
      </c>
      <c r="P577" s="0" t="s">
        <v>976</v>
      </c>
      <c r="Q577" s="0" t="s">
        <v>974</v>
      </c>
      <c r="R577" s="0" t="s">
        <v>970</v>
      </c>
      <c r="S577" s="0" t="s">
        <v>974</v>
      </c>
    </row>
    <row r="578" customFormat="false" ht="13.8" hidden="false" customHeight="false" outlineLevel="0" collapsed="false">
      <c r="A578" s="0" t="n">
        <v>2334</v>
      </c>
      <c r="B578" s="0" t="s">
        <v>3822</v>
      </c>
      <c r="C578" s="0" t="s">
        <v>1517</v>
      </c>
      <c r="E578" s="0" t="n">
        <f aca="false">IF(J577=J578,E577+10,0)</f>
        <v>280</v>
      </c>
      <c r="F578" s="0" t="s">
        <v>3823</v>
      </c>
      <c r="G578" s="0" t="s">
        <v>3824</v>
      </c>
      <c r="H578" s="0" t="s">
        <v>3825</v>
      </c>
      <c r="I578" s="0" t="s">
        <v>1106</v>
      </c>
      <c r="J578" s="0" t="s">
        <v>1117</v>
      </c>
      <c r="K578" s="0" t="s">
        <v>971</v>
      </c>
      <c r="L578" s="0" t="s">
        <v>970</v>
      </c>
      <c r="M578" s="0" t="s">
        <v>973</v>
      </c>
      <c r="N578" s="0" t="s">
        <v>974</v>
      </c>
      <c r="O578" s="0" t="s">
        <v>975</v>
      </c>
      <c r="P578" s="0" t="s">
        <v>976</v>
      </c>
      <c r="Q578" s="0" t="s">
        <v>974</v>
      </c>
      <c r="R578" s="0" t="s">
        <v>970</v>
      </c>
      <c r="S578" s="0" t="s">
        <v>974</v>
      </c>
    </row>
    <row r="579" customFormat="false" ht="13.8" hidden="false" customHeight="false" outlineLevel="0" collapsed="false">
      <c r="A579" s="0" t="n">
        <v>2335</v>
      </c>
      <c r="B579" s="0" t="s">
        <v>3826</v>
      </c>
      <c r="C579" s="0" t="s">
        <v>3827</v>
      </c>
      <c r="E579" s="0" t="n">
        <f aca="false">IF(J578=J579,E578+10,0)</f>
        <v>290</v>
      </c>
      <c r="F579" s="0" t="s">
        <v>3828</v>
      </c>
      <c r="G579" s="0" t="s">
        <v>3829</v>
      </c>
      <c r="H579" s="0" t="s">
        <v>3830</v>
      </c>
      <c r="I579" s="0" t="s">
        <v>3831</v>
      </c>
      <c r="J579" s="0" t="s">
        <v>1117</v>
      </c>
      <c r="K579" s="0" t="s">
        <v>971</v>
      </c>
      <c r="L579" s="0" t="s">
        <v>974</v>
      </c>
      <c r="M579" s="0" t="s">
        <v>973</v>
      </c>
      <c r="N579" s="0" t="s">
        <v>974</v>
      </c>
      <c r="O579" s="0" t="s">
        <v>975</v>
      </c>
      <c r="P579" s="0" t="s">
        <v>976</v>
      </c>
      <c r="Q579" s="0" t="s">
        <v>2852</v>
      </c>
      <c r="R579" s="0" t="s">
        <v>2232</v>
      </c>
      <c r="S579" s="0" t="s">
        <v>974</v>
      </c>
    </row>
    <row r="580" customFormat="false" ht="13.8" hidden="false" customHeight="false" outlineLevel="0" collapsed="false">
      <c r="A580" s="0" t="n">
        <v>2336</v>
      </c>
      <c r="B580" s="0" t="s">
        <v>3832</v>
      </c>
      <c r="C580" s="0" t="s">
        <v>3833</v>
      </c>
      <c r="E580" s="0" t="n">
        <f aca="false">IF(J579=J580,E579+10,0)</f>
        <v>300</v>
      </c>
      <c r="F580" s="0" t="s">
        <v>3834</v>
      </c>
      <c r="G580" s="0" t="s">
        <v>3835</v>
      </c>
      <c r="H580" s="0" t="s">
        <v>3836</v>
      </c>
      <c r="I580" s="0" t="s">
        <v>3837</v>
      </c>
      <c r="J580" s="0" t="s">
        <v>1117</v>
      </c>
      <c r="K580" s="0" t="s">
        <v>971</v>
      </c>
      <c r="L580" s="0" t="s">
        <v>974</v>
      </c>
      <c r="M580" s="0" t="s">
        <v>973</v>
      </c>
      <c r="N580" s="0" t="s">
        <v>974</v>
      </c>
      <c r="O580" s="0" t="s">
        <v>975</v>
      </c>
      <c r="P580" s="0" t="s">
        <v>976</v>
      </c>
      <c r="Q580" s="0" t="s">
        <v>2852</v>
      </c>
      <c r="R580" s="0" t="s">
        <v>2232</v>
      </c>
      <c r="S580" s="0" t="s">
        <v>974</v>
      </c>
    </row>
    <row r="581" customFormat="false" ht="13.8" hidden="false" customHeight="false" outlineLevel="0" collapsed="false">
      <c r="A581" s="0" t="n">
        <v>2337</v>
      </c>
      <c r="B581" s="0" t="s">
        <v>3838</v>
      </c>
      <c r="C581" s="0" t="s">
        <v>3839</v>
      </c>
      <c r="E581" s="0" t="n">
        <f aca="false">IF(J580=J581,E580+10,0)</f>
        <v>310</v>
      </c>
      <c r="F581" s="0" t="s">
        <v>3840</v>
      </c>
      <c r="G581" s="0" t="s">
        <v>3841</v>
      </c>
      <c r="H581" s="0" t="s">
        <v>3842</v>
      </c>
      <c r="I581" s="0" t="s">
        <v>1186</v>
      </c>
      <c r="J581" s="0" t="s">
        <v>1117</v>
      </c>
      <c r="K581" s="0" t="s">
        <v>971</v>
      </c>
      <c r="L581" s="0" t="s">
        <v>974</v>
      </c>
      <c r="M581" s="0" t="s">
        <v>973</v>
      </c>
      <c r="N581" s="0" t="s">
        <v>974</v>
      </c>
      <c r="O581" s="0" t="s">
        <v>975</v>
      </c>
      <c r="P581" s="0" t="s">
        <v>976</v>
      </c>
      <c r="Q581" s="0" t="s">
        <v>2852</v>
      </c>
      <c r="R581" s="0" t="s">
        <v>2232</v>
      </c>
      <c r="S581" s="0" t="s">
        <v>974</v>
      </c>
    </row>
    <row r="582" customFormat="false" ht="13.8" hidden="false" customHeight="false" outlineLevel="0" collapsed="false">
      <c r="A582" s="0" t="n">
        <v>2338</v>
      </c>
      <c r="B582" s="0" t="s">
        <v>3843</v>
      </c>
      <c r="C582" s="0" t="s">
        <v>3844</v>
      </c>
      <c r="E582" s="0" t="n">
        <f aca="false">IF(J581=J582,E581+10,0)</f>
        <v>320</v>
      </c>
      <c r="F582" s="0" t="s">
        <v>3845</v>
      </c>
      <c r="G582" s="0" t="s">
        <v>3846</v>
      </c>
      <c r="H582" s="0" t="s">
        <v>3847</v>
      </c>
      <c r="I582" s="0" t="s">
        <v>1829</v>
      </c>
      <c r="J582" s="0" t="s">
        <v>1117</v>
      </c>
      <c r="K582" s="0" t="s">
        <v>971</v>
      </c>
      <c r="L582" s="0" t="s">
        <v>1046</v>
      </c>
      <c r="M582" s="0" t="s">
        <v>973</v>
      </c>
      <c r="N582" s="0" t="s">
        <v>974</v>
      </c>
      <c r="O582" s="0" t="s">
        <v>975</v>
      </c>
      <c r="P582" s="0" t="s">
        <v>976</v>
      </c>
      <c r="Q582" s="0" t="s">
        <v>974</v>
      </c>
      <c r="R582" s="0" t="s">
        <v>970</v>
      </c>
      <c r="S582" s="0" t="s">
        <v>974</v>
      </c>
    </row>
    <row r="583" customFormat="false" ht="13.8" hidden="false" customHeight="false" outlineLevel="0" collapsed="false">
      <c r="A583" s="0" t="n">
        <v>2339</v>
      </c>
      <c r="B583" s="0" t="s">
        <v>3848</v>
      </c>
      <c r="C583" s="0" t="s">
        <v>3849</v>
      </c>
      <c r="E583" s="0" t="n">
        <f aca="false">IF(J582=J583,E582+10,0)</f>
        <v>330</v>
      </c>
      <c r="F583" s="0" t="s">
        <v>3850</v>
      </c>
      <c r="G583" s="0" t="s">
        <v>3851</v>
      </c>
      <c r="H583" s="0" t="s">
        <v>3852</v>
      </c>
      <c r="I583" s="0" t="s">
        <v>1052</v>
      </c>
      <c r="J583" s="0" t="s">
        <v>1117</v>
      </c>
      <c r="K583" s="0" t="s">
        <v>971</v>
      </c>
      <c r="L583" s="0" t="s">
        <v>975</v>
      </c>
      <c r="M583" s="0" t="s">
        <v>973</v>
      </c>
      <c r="N583" s="0" t="s">
        <v>974</v>
      </c>
      <c r="O583" s="0" t="s">
        <v>975</v>
      </c>
      <c r="P583" s="0" t="s">
        <v>976</v>
      </c>
      <c r="Q583" s="0" t="s">
        <v>974</v>
      </c>
      <c r="R583" s="0" t="s">
        <v>970</v>
      </c>
      <c r="S583" s="0" t="s">
        <v>974</v>
      </c>
    </row>
    <row r="584" customFormat="false" ht="13.8" hidden="false" customHeight="false" outlineLevel="0" collapsed="false">
      <c r="A584" s="0" t="n">
        <v>2340</v>
      </c>
      <c r="B584" s="0" t="s">
        <v>3853</v>
      </c>
      <c r="C584" s="0" t="s">
        <v>3854</v>
      </c>
      <c r="E584" s="0" t="n">
        <f aca="false">IF(J583=J584,E583+10,0)</f>
        <v>340</v>
      </c>
      <c r="F584" s="0" t="s">
        <v>3855</v>
      </c>
      <c r="G584" s="0" t="s">
        <v>3856</v>
      </c>
      <c r="H584" s="0" t="s">
        <v>3857</v>
      </c>
      <c r="I584" s="0" t="s">
        <v>1052</v>
      </c>
      <c r="J584" s="0" t="s">
        <v>1117</v>
      </c>
      <c r="K584" s="0" t="s">
        <v>971</v>
      </c>
      <c r="L584" s="0" t="s">
        <v>2000</v>
      </c>
      <c r="M584" s="0" t="s">
        <v>973</v>
      </c>
      <c r="N584" s="0" t="s">
        <v>974</v>
      </c>
      <c r="O584" s="0" t="s">
        <v>975</v>
      </c>
      <c r="P584" s="0" t="s">
        <v>976</v>
      </c>
      <c r="Q584" s="0" t="s">
        <v>974</v>
      </c>
      <c r="R584" s="0" t="s">
        <v>970</v>
      </c>
      <c r="S584" s="0" t="s">
        <v>974</v>
      </c>
    </row>
    <row r="585" customFormat="false" ht="13.8" hidden="false" customHeight="false" outlineLevel="0" collapsed="false">
      <c r="A585" s="0" t="n">
        <v>2341</v>
      </c>
      <c r="B585" s="0" t="s">
        <v>3858</v>
      </c>
      <c r="C585" s="0" t="s">
        <v>3859</v>
      </c>
      <c r="E585" s="0" t="n">
        <f aca="false">IF(J584=J585,E584+10,0)</f>
        <v>350</v>
      </c>
      <c r="F585" s="0" t="s">
        <v>3860</v>
      </c>
      <c r="G585" s="0" t="s">
        <v>3861</v>
      </c>
      <c r="H585" s="0" t="s">
        <v>3862</v>
      </c>
      <c r="I585" s="0" t="s">
        <v>970</v>
      </c>
      <c r="J585" s="0" t="s">
        <v>1117</v>
      </c>
      <c r="K585" s="0" t="s">
        <v>971</v>
      </c>
      <c r="L585" s="0" t="s">
        <v>2266</v>
      </c>
      <c r="M585" s="0" t="s">
        <v>1459</v>
      </c>
      <c r="N585" s="0" t="s">
        <v>974</v>
      </c>
      <c r="O585" s="0" t="s">
        <v>975</v>
      </c>
      <c r="P585" s="0" t="s">
        <v>976</v>
      </c>
      <c r="Q585" s="0" t="s">
        <v>974</v>
      </c>
      <c r="R585" s="0" t="s">
        <v>970</v>
      </c>
      <c r="S585" s="0" t="s">
        <v>974</v>
      </c>
    </row>
    <row r="586" customFormat="false" ht="13.8" hidden="false" customHeight="false" outlineLevel="0" collapsed="false">
      <c r="A586" s="0" t="n">
        <v>2342</v>
      </c>
      <c r="B586" s="0" t="s">
        <v>3863</v>
      </c>
      <c r="C586" s="0" t="s">
        <v>3864</v>
      </c>
      <c r="E586" s="0" t="n">
        <f aca="false">IF(J585=J586,E585+10,0)</f>
        <v>360</v>
      </c>
      <c r="F586" s="0" t="s">
        <v>3865</v>
      </c>
      <c r="G586" s="0" t="s">
        <v>3866</v>
      </c>
      <c r="H586" s="0" t="s">
        <v>3867</v>
      </c>
      <c r="I586" s="0" t="s">
        <v>1021</v>
      </c>
      <c r="J586" s="0" t="s">
        <v>1117</v>
      </c>
      <c r="K586" s="0" t="s">
        <v>971</v>
      </c>
      <c r="L586" s="0" t="s">
        <v>2266</v>
      </c>
      <c r="M586" s="0" t="s">
        <v>1459</v>
      </c>
      <c r="N586" s="0" t="s">
        <v>974</v>
      </c>
      <c r="O586" s="0" t="s">
        <v>975</v>
      </c>
      <c r="P586" s="0" t="s">
        <v>976</v>
      </c>
      <c r="Q586" s="0" t="s">
        <v>974</v>
      </c>
      <c r="R586" s="0" t="s">
        <v>970</v>
      </c>
      <c r="S586" s="0" t="s">
        <v>974</v>
      </c>
    </row>
    <row r="587" customFormat="false" ht="13.8" hidden="false" customHeight="false" outlineLevel="0" collapsed="false">
      <c r="A587" s="0" t="n">
        <v>2343</v>
      </c>
      <c r="B587" s="0" t="s">
        <v>3868</v>
      </c>
      <c r="C587" s="0" t="s">
        <v>1814</v>
      </c>
      <c r="E587" s="0" t="n">
        <f aca="false">IF(J586=J587,E586+10,0)</f>
        <v>370</v>
      </c>
      <c r="F587" s="0" t="s">
        <v>3869</v>
      </c>
      <c r="G587" s="0" t="s">
        <v>3870</v>
      </c>
      <c r="H587" s="0" t="s">
        <v>3871</v>
      </c>
      <c r="I587" s="0" t="s">
        <v>1033</v>
      </c>
      <c r="J587" s="0" t="s">
        <v>1117</v>
      </c>
      <c r="K587" s="0" t="s">
        <v>971</v>
      </c>
      <c r="L587" s="0" t="s">
        <v>974</v>
      </c>
      <c r="M587" s="0" t="s">
        <v>973</v>
      </c>
      <c r="N587" s="0" t="s">
        <v>974</v>
      </c>
      <c r="O587" s="0" t="s">
        <v>975</v>
      </c>
      <c r="P587" s="0" t="s">
        <v>976</v>
      </c>
      <c r="Q587" s="0" t="s">
        <v>974</v>
      </c>
      <c r="R587" s="0" t="s">
        <v>970</v>
      </c>
      <c r="S587" s="0" t="s">
        <v>974</v>
      </c>
    </row>
    <row r="588" customFormat="false" ht="13.8" hidden="false" customHeight="false" outlineLevel="0" collapsed="false">
      <c r="A588" s="0" t="n">
        <v>2344</v>
      </c>
      <c r="B588" s="0" t="s">
        <v>3872</v>
      </c>
      <c r="C588" s="0" t="s">
        <v>3873</v>
      </c>
      <c r="E588" s="0" t="n">
        <f aca="false">IF(J587=J588,E587+10,0)</f>
        <v>380</v>
      </c>
      <c r="F588" s="0" t="s">
        <v>3874</v>
      </c>
      <c r="G588" s="0" t="s">
        <v>3875</v>
      </c>
      <c r="H588" s="0" t="s">
        <v>3876</v>
      </c>
      <c r="I588" s="0" t="s">
        <v>1065</v>
      </c>
      <c r="J588" s="0" t="s">
        <v>1117</v>
      </c>
      <c r="K588" s="0" t="s">
        <v>971</v>
      </c>
      <c r="L588" s="0" t="s">
        <v>974</v>
      </c>
      <c r="M588" s="0" t="s">
        <v>973</v>
      </c>
      <c r="N588" s="0" t="s">
        <v>1117</v>
      </c>
      <c r="O588" s="0" t="s">
        <v>995</v>
      </c>
      <c r="P588" s="0" t="s">
        <v>976</v>
      </c>
      <c r="Q588" s="0" t="s">
        <v>974</v>
      </c>
      <c r="R588" s="0" t="s">
        <v>970</v>
      </c>
      <c r="S588" s="0" t="s">
        <v>974</v>
      </c>
    </row>
    <row r="589" customFormat="false" ht="13.8" hidden="false" customHeight="false" outlineLevel="0" collapsed="false">
      <c r="A589" s="0" t="n">
        <v>2345</v>
      </c>
      <c r="B589" s="0" t="s">
        <v>3877</v>
      </c>
      <c r="C589" s="0" t="s">
        <v>2895</v>
      </c>
      <c r="E589" s="0" t="n">
        <f aca="false">IF(J588=J589,E588+10,0)</f>
        <v>390</v>
      </c>
      <c r="F589" s="0" t="s">
        <v>3878</v>
      </c>
      <c r="G589" s="0" t="s">
        <v>3879</v>
      </c>
      <c r="H589" s="0" t="s">
        <v>3880</v>
      </c>
      <c r="I589" s="0" t="s">
        <v>2899</v>
      </c>
      <c r="J589" s="0" t="s">
        <v>1117</v>
      </c>
      <c r="K589" s="0" t="s">
        <v>971</v>
      </c>
      <c r="L589" s="0" t="s">
        <v>974</v>
      </c>
      <c r="M589" s="0" t="s">
        <v>973</v>
      </c>
      <c r="N589" s="0" t="s">
        <v>1117</v>
      </c>
      <c r="O589" s="0" t="s">
        <v>995</v>
      </c>
      <c r="P589" s="0" t="s">
        <v>976</v>
      </c>
      <c r="Q589" s="0" t="s">
        <v>974</v>
      </c>
      <c r="R589" s="0" t="s">
        <v>970</v>
      </c>
      <c r="S589" s="0" t="s">
        <v>974</v>
      </c>
    </row>
    <row r="590" customFormat="false" ht="13.8" hidden="false" customHeight="false" outlineLevel="0" collapsed="false">
      <c r="A590" s="0" t="n">
        <v>2346</v>
      </c>
      <c r="B590" s="0" t="s">
        <v>3881</v>
      </c>
      <c r="C590" s="0" t="s">
        <v>2794</v>
      </c>
      <c r="E590" s="0" t="n">
        <f aca="false">IF(J589=J590,E589+10,0)</f>
        <v>400</v>
      </c>
      <c r="F590" s="0" t="s">
        <v>3882</v>
      </c>
      <c r="G590" s="0" t="s">
        <v>3883</v>
      </c>
      <c r="H590" s="0" t="s">
        <v>3884</v>
      </c>
      <c r="I590" s="0" t="s">
        <v>2798</v>
      </c>
      <c r="J590" s="0" t="s">
        <v>1117</v>
      </c>
      <c r="K590" s="0" t="s">
        <v>971</v>
      </c>
      <c r="L590" s="0" t="s">
        <v>1059</v>
      </c>
      <c r="M590" s="0" t="s">
        <v>973</v>
      </c>
      <c r="N590" s="0" t="s">
        <v>974</v>
      </c>
      <c r="O590" s="0" t="s">
        <v>975</v>
      </c>
      <c r="P590" s="0" t="s">
        <v>976</v>
      </c>
      <c r="Q590" s="0" t="s">
        <v>974</v>
      </c>
      <c r="R590" s="0" t="s">
        <v>970</v>
      </c>
      <c r="S590" s="0" t="s">
        <v>974</v>
      </c>
    </row>
    <row r="591" customFormat="false" ht="13.8" hidden="false" customHeight="false" outlineLevel="0" collapsed="false">
      <c r="A591" s="0" t="n">
        <v>2347</v>
      </c>
      <c r="B591" s="0" t="s">
        <v>3885</v>
      </c>
      <c r="C591" s="0" t="s">
        <v>3886</v>
      </c>
      <c r="E591" s="0" t="n">
        <f aca="false">IF(J590=J591,E590+10,0)</f>
        <v>410</v>
      </c>
      <c r="F591" s="0" t="s">
        <v>3887</v>
      </c>
      <c r="G591" s="0" t="s">
        <v>3888</v>
      </c>
      <c r="H591" s="0" t="s">
        <v>3889</v>
      </c>
      <c r="I591" s="0" t="s">
        <v>3890</v>
      </c>
      <c r="J591" s="0" t="s">
        <v>1117</v>
      </c>
      <c r="K591" s="0" t="s">
        <v>971</v>
      </c>
      <c r="L591" s="0" t="s">
        <v>2629</v>
      </c>
      <c r="M591" s="0" t="s">
        <v>973</v>
      </c>
      <c r="N591" s="0" t="s">
        <v>974</v>
      </c>
      <c r="O591" s="0" t="s">
        <v>975</v>
      </c>
      <c r="P591" s="0" t="s">
        <v>976</v>
      </c>
      <c r="Q591" s="0" t="s">
        <v>974</v>
      </c>
      <c r="R591" s="0" t="s">
        <v>970</v>
      </c>
      <c r="S591" s="0" t="s">
        <v>974</v>
      </c>
    </row>
    <row r="592" customFormat="false" ht="13.8" hidden="false" customHeight="false" outlineLevel="0" collapsed="false">
      <c r="A592" s="0" t="n">
        <v>2348</v>
      </c>
      <c r="B592" s="0" t="s">
        <v>3891</v>
      </c>
      <c r="C592" s="0" t="s">
        <v>1139</v>
      </c>
      <c r="E592" s="0" t="n">
        <f aca="false">IF(J591=J592,E591+10,0)</f>
        <v>420</v>
      </c>
      <c r="F592" s="0" t="s">
        <v>3892</v>
      </c>
      <c r="G592" s="0" t="s">
        <v>3893</v>
      </c>
      <c r="H592" s="0" t="s">
        <v>3894</v>
      </c>
      <c r="I592" s="0" t="s">
        <v>1143</v>
      </c>
      <c r="J592" s="0" t="s">
        <v>1117</v>
      </c>
      <c r="K592" s="0" t="s">
        <v>971</v>
      </c>
      <c r="L592" s="0" t="s">
        <v>2000</v>
      </c>
      <c r="M592" s="0" t="s">
        <v>973</v>
      </c>
      <c r="N592" s="0" t="s">
        <v>974</v>
      </c>
      <c r="O592" s="0" t="s">
        <v>975</v>
      </c>
      <c r="P592" s="0" t="s">
        <v>976</v>
      </c>
      <c r="Q592" s="0" t="s">
        <v>974</v>
      </c>
      <c r="R592" s="0" t="s">
        <v>970</v>
      </c>
      <c r="S592" s="0" t="s">
        <v>974</v>
      </c>
    </row>
    <row r="593" customFormat="false" ht="13.8" hidden="false" customHeight="false" outlineLevel="0" collapsed="false">
      <c r="A593" s="0" t="n">
        <v>2349</v>
      </c>
      <c r="B593" s="0" t="s">
        <v>3895</v>
      </c>
      <c r="C593" s="0" t="s">
        <v>3896</v>
      </c>
      <c r="E593" s="0" t="n">
        <f aca="false">IF(J592=J593,E592+10,0)</f>
        <v>430</v>
      </c>
      <c r="F593" s="0" t="s">
        <v>3897</v>
      </c>
      <c r="G593" s="0" t="s">
        <v>3898</v>
      </c>
      <c r="H593" s="0" t="s">
        <v>3899</v>
      </c>
      <c r="I593" s="0" t="s">
        <v>2799</v>
      </c>
      <c r="J593" s="0" t="s">
        <v>1117</v>
      </c>
      <c r="K593" s="0" t="s">
        <v>971</v>
      </c>
      <c r="L593" s="0" t="s">
        <v>1059</v>
      </c>
      <c r="M593" s="0" t="s">
        <v>973</v>
      </c>
      <c r="N593" s="0" t="s">
        <v>974</v>
      </c>
      <c r="O593" s="0" t="s">
        <v>975</v>
      </c>
      <c r="P593" s="0" t="s">
        <v>976</v>
      </c>
      <c r="Q593" s="0" t="s">
        <v>974</v>
      </c>
      <c r="R593" s="0" t="s">
        <v>970</v>
      </c>
      <c r="S593" s="0" t="s">
        <v>974</v>
      </c>
    </row>
    <row r="594" customFormat="false" ht="13.8" hidden="false" customHeight="false" outlineLevel="0" collapsed="false">
      <c r="A594" s="0" t="n">
        <v>2350</v>
      </c>
      <c r="B594" s="0" t="s">
        <v>3900</v>
      </c>
      <c r="C594" s="0" t="s">
        <v>3901</v>
      </c>
      <c r="E594" s="0" t="n">
        <f aca="false">IF(J593=J594,E593+10,0)</f>
        <v>440</v>
      </c>
      <c r="F594" s="0" t="s">
        <v>3902</v>
      </c>
      <c r="G594" s="0" t="s">
        <v>3903</v>
      </c>
      <c r="H594" s="0" t="s">
        <v>3904</v>
      </c>
      <c r="I594" s="0" t="s">
        <v>1505</v>
      </c>
      <c r="J594" s="0" t="s">
        <v>1117</v>
      </c>
      <c r="K594" s="0" t="s">
        <v>971</v>
      </c>
      <c r="L594" s="0" t="s">
        <v>2000</v>
      </c>
      <c r="M594" s="0" t="s">
        <v>973</v>
      </c>
      <c r="N594" s="0" t="s">
        <v>974</v>
      </c>
      <c r="O594" s="0" t="s">
        <v>975</v>
      </c>
      <c r="P594" s="0" t="s">
        <v>976</v>
      </c>
      <c r="Q594" s="0" t="s">
        <v>974</v>
      </c>
      <c r="R594" s="0" t="s">
        <v>970</v>
      </c>
      <c r="S594" s="0" t="s">
        <v>974</v>
      </c>
    </row>
    <row r="595" customFormat="false" ht="13.8" hidden="false" customHeight="false" outlineLevel="0" collapsed="false">
      <c r="A595" s="0" t="n">
        <v>2351</v>
      </c>
      <c r="B595" s="0" t="s">
        <v>3905</v>
      </c>
      <c r="C595" s="0" t="s">
        <v>3906</v>
      </c>
      <c r="E595" s="0" t="n">
        <f aca="false">IF(J594=J595,E594+10,0)</f>
        <v>450</v>
      </c>
      <c r="F595" s="0" t="s">
        <v>3907</v>
      </c>
      <c r="G595" s="0" t="s">
        <v>3908</v>
      </c>
      <c r="H595" s="0" t="s">
        <v>3909</v>
      </c>
      <c r="I595" s="0" t="s">
        <v>995</v>
      </c>
      <c r="J595" s="0" t="s">
        <v>1117</v>
      </c>
      <c r="K595" s="0" t="s">
        <v>971</v>
      </c>
      <c r="L595" s="0" t="s">
        <v>2629</v>
      </c>
      <c r="M595" s="0" t="s">
        <v>973</v>
      </c>
      <c r="N595" s="0" t="s">
        <v>974</v>
      </c>
      <c r="O595" s="0" t="s">
        <v>975</v>
      </c>
      <c r="P595" s="0" t="s">
        <v>976</v>
      </c>
      <c r="Q595" s="0" t="s">
        <v>974</v>
      </c>
      <c r="R595" s="0" t="s">
        <v>970</v>
      </c>
      <c r="S595" s="0" t="s">
        <v>974</v>
      </c>
    </row>
    <row r="596" customFormat="false" ht="13.8" hidden="false" customHeight="false" outlineLevel="0" collapsed="false">
      <c r="A596" s="0" t="n">
        <v>2352</v>
      </c>
      <c r="B596" s="0" t="s">
        <v>3910</v>
      </c>
      <c r="C596" s="0" t="s">
        <v>3911</v>
      </c>
      <c r="E596" s="0" t="n">
        <f aca="false">IF(J595=J596,E595+10,0)</f>
        <v>460</v>
      </c>
      <c r="F596" s="0" t="s">
        <v>3912</v>
      </c>
      <c r="G596" s="0" t="s">
        <v>3913</v>
      </c>
      <c r="H596" s="0" t="s">
        <v>3914</v>
      </c>
      <c r="I596" s="0" t="s">
        <v>1150</v>
      </c>
      <c r="J596" s="0" t="s">
        <v>1117</v>
      </c>
      <c r="K596" s="0" t="s">
        <v>971</v>
      </c>
      <c r="L596" s="0" t="s">
        <v>2000</v>
      </c>
      <c r="M596" s="0" t="s">
        <v>973</v>
      </c>
      <c r="N596" s="0" t="s">
        <v>974</v>
      </c>
      <c r="O596" s="0" t="s">
        <v>975</v>
      </c>
      <c r="P596" s="0" t="s">
        <v>976</v>
      </c>
      <c r="Q596" s="0" t="s">
        <v>974</v>
      </c>
      <c r="R596" s="0" t="s">
        <v>970</v>
      </c>
      <c r="S596" s="0" t="s">
        <v>974</v>
      </c>
    </row>
    <row r="597" customFormat="false" ht="13.8" hidden="false" customHeight="false" outlineLevel="0" collapsed="false">
      <c r="A597" s="0" t="n">
        <v>2353</v>
      </c>
      <c r="B597" s="0" t="s">
        <v>3915</v>
      </c>
      <c r="C597" s="0" t="s">
        <v>3916</v>
      </c>
      <c r="E597" s="0" t="n">
        <f aca="false">IF(J596=J597,E596+10,0)</f>
        <v>470</v>
      </c>
      <c r="F597" s="0" t="s">
        <v>3917</v>
      </c>
      <c r="G597" s="0" t="s">
        <v>3918</v>
      </c>
      <c r="H597" s="0" t="s">
        <v>3919</v>
      </c>
      <c r="I597" s="0" t="s">
        <v>3920</v>
      </c>
      <c r="J597" s="0" t="s">
        <v>1117</v>
      </c>
      <c r="K597" s="0" t="s">
        <v>971</v>
      </c>
      <c r="L597" s="0" t="s">
        <v>2266</v>
      </c>
      <c r="M597" s="0" t="s">
        <v>1459</v>
      </c>
      <c r="N597" s="0" t="s">
        <v>974</v>
      </c>
      <c r="O597" s="0" t="s">
        <v>975</v>
      </c>
      <c r="P597" s="0" t="s">
        <v>976</v>
      </c>
      <c r="Q597" s="0" t="s">
        <v>974</v>
      </c>
      <c r="R597" s="0" t="s">
        <v>970</v>
      </c>
      <c r="S597" s="0" t="s">
        <v>974</v>
      </c>
    </row>
    <row r="598" customFormat="false" ht="13.8" hidden="false" customHeight="false" outlineLevel="0" collapsed="false">
      <c r="A598" s="0" t="n">
        <v>2354</v>
      </c>
      <c r="B598" s="0" t="s">
        <v>3921</v>
      </c>
      <c r="C598" s="0" t="s">
        <v>3922</v>
      </c>
      <c r="E598" s="0" t="n">
        <f aca="false">IF(J597=J598,E597+10,0)</f>
        <v>480</v>
      </c>
      <c r="F598" s="0" t="s">
        <v>3923</v>
      </c>
      <c r="G598" s="0" t="s">
        <v>3924</v>
      </c>
      <c r="H598" s="0" t="s">
        <v>3925</v>
      </c>
      <c r="I598" s="0" t="s">
        <v>1144</v>
      </c>
      <c r="J598" s="0" t="s">
        <v>1117</v>
      </c>
      <c r="K598" s="0" t="s">
        <v>971</v>
      </c>
      <c r="L598" s="0" t="s">
        <v>1059</v>
      </c>
      <c r="M598" s="0" t="s">
        <v>973</v>
      </c>
      <c r="N598" s="0" t="s">
        <v>974</v>
      </c>
      <c r="O598" s="0" t="s">
        <v>975</v>
      </c>
      <c r="P598" s="0" t="s">
        <v>976</v>
      </c>
      <c r="Q598" s="0" t="s">
        <v>974</v>
      </c>
      <c r="R598" s="0" t="s">
        <v>970</v>
      </c>
      <c r="S598" s="0" t="s">
        <v>974</v>
      </c>
    </row>
    <row r="599" customFormat="false" ht="13.8" hidden="false" customHeight="false" outlineLevel="0" collapsed="false">
      <c r="A599" s="0" t="n">
        <v>2355</v>
      </c>
      <c r="B599" s="0" t="s">
        <v>3926</v>
      </c>
      <c r="C599" s="0" t="s">
        <v>3927</v>
      </c>
      <c r="E599" s="0" t="n">
        <f aca="false">IF(J598=J599,E598+10,0)</f>
        <v>490</v>
      </c>
      <c r="F599" s="0" t="s">
        <v>3928</v>
      </c>
      <c r="G599" s="0" t="s">
        <v>3929</v>
      </c>
      <c r="H599" s="0" t="s">
        <v>3930</v>
      </c>
      <c r="I599" s="0" t="s">
        <v>2232</v>
      </c>
      <c r="J599" s="0" t="s">
        <v>1117</v>
      </c>
      <c r="K599" s="0" t="s">
        <v>971</v>
      </c>
      <c r="L599" s="0" t="s">
        <v>974</v>
      </c>
      <c r="M599" s="0" t="s">
        <v>973</v>
      </c>
      <c r="N599" s="0" t="s">
        <v>974</v>
      </c>
      <c r="O599" s="0" t="s">
        <v>975</v>
      </c>
      <c r="P599" s="0" t="s">
        <v>976</v>
      </c>
      <c r="Q599" s="0" t="s">
        <v>970</v>
      </c>
      <c r="R599" s="0" t="s">
        <v>970</v>
      </c>
      <c r="S599" s="0" t="s">
        <v>974</v>
      </c>
    </row>
    <row r="600" customFormat="false" ht="13.8" hidden="false" customHeight="false" outlineLevel="0" collapsed="false">
      <c r="A600" s="0" t="n">
        <v>2356</v>
      </c>
      <c r="B600" s="0" t="s">
        <v>3931</v>
      </c>
      <c r="C600" s="0" t="s">
        <v>3932</v>
      </c>
      <c r="E600" s="0" t="n">
        <f aca="false">IF(J599=J600,E599+10,0)</f>
        <v>500</v>
      </c>
      <c r="F600" s="0" t="s">
        <v>3933</v>
      </c>
      <c r="G600" s="0" t="s">
        <v>3934</v>
      </c>
      <c r="H600" s="0" t="s">
        <v>3935</v>
      </c>
      <c r="I600" s="0" t="s">
        <v>1765</v>
      </c>
      <c r="J600" s="0" t="s">
        <v>1117</v>
      </c>
      <c r="K600" s="0" t="s">
        <v>971</v>
      </c>
      <c r="L600" s="0" t="s">
        <v>974</v>
      </c>
      <c r="M600" s="0" t="s">
        <v>973</v>
      </c>
      <c r="N600" s="0" t="s">
        <v>974</v>
      </c>
      <c r="O600" s="0" t="s">
        <v>975</v>
      </c>
      <c r="P600" s="0" t="s">
        <v>976</v>
      </c>
      <c r="Q600" s="0" t="s">
        <v>973</v>
      </c>
      <c r="R600" s="0" t="s">
        <v>970</v>
      </c>
      <c r="S600" s="0" t="s">
        <v>974</v>
      </c>
    </row>
    <row r="601" customFormat="false" ht="13.8" hidden="false" customHeight="false" outlineLevel="0" collapsed="false">
      <c r="A601" s="0" t="n">
        <v>2357</v>
      </c>
      <c r="B601" s="0" t="s">
        <v>3936</v>
      </c>
      <c r="C601" s="0" t="s">
        <v>3916</v>
      </c>
      <c r="E601" s="0" t="n">
        <f aca="false">IF(J600=J601,E600+10,0)</f>
        <v>510</v>
      </c>
      <c r="F601" s="0" t="s">
        <v>3937</v>
      </c>
      <c r="G601" s="0" t="s">
        <v>3938</v>
      </c>
      <c r="H601" s="0" t="s">
        <v>3939</v>
      </c>
      <c r="I601" s="0" t="s">
        <v>3920</v>
      </c>
      <c r="J601" s="0" t="s">
        <v>1117</v>
      </c>
      <c r="K601" s="0" t="s">
        <v>971</v>
      </c>
      <c r="L601" s="0" t="s">
        <v>2266</v>
      </c>
      <c r="M601" s="0" t="s">
        <v>1459</v>
      </c>
      <c r="N601" s="0" t="s">
        <v>974</v>
      </c>
      <c r="O601" s="0" t="s">
        <v>975</v>
      </c>
      <c r="P601" s="0" t="s">
        <v>976</v>
      </c>
      <c r="Q601" s="0" t="s">
        <v>974</v>
      </c>
      <c r="R601" s="0" t="s">
        <v>970</v>
      </c>
      <c r="S601" s="0" t="s">
        <v>974</v>
      </c>
    </row>
    <row r="602" customFormat="false" ht="13.8" hidden="false" customHeight="false" outlineLevel="0" collapsed="false">
      <c r="A602" s="0" t="n">
        <v>2358</v>
      </c>
      <c r="B602" s="0" t="s">
        <v>3940</v>
      </c>
      <c r="C602" s="0" t="s">
        <v>3922</v>
      </c>
      <c r="E602" s="0" t="n">
        <f aca="false">IF(J601=J602,E601+10,0)</f>
        <v>520</v>
      </c>
      <c r="F602" s="0" t="s">
        <v>3941</v>
      </c>
      <c r="G602" s="0" t="s">
        <v>3942</v>
      </c>
      <c r="H602" s="0" t="s">
        <v>3943</v>
      </c>
      <c r="I602" s="0" t="s">
        <v>1144</v>
      </c>
      <c r="J602" s="0" t="s">
        <v>1117</v>
      </c>
      <c r="K602" s="0" t="s">
        <v>971</v>
      </c>
      <c r="L602" s="0" t="s">
        <v>1059</v>
      </c>
      <c r="M602" s="0" t="s">
        <v>973</v>
      </c>
      <c r="N602" s="0" t="s">
        <v>974</v>
      </c>
      <c r="O602" s="0" t="s">
        <v>975</v>
      </c>
      <c r="P602" s="0" t="s">
        <v>976</v>
      </c>
      <c r="Q602" s="0" t="s">
        <v>974</v>
      </c>
      <c r="R602" s="0" t="s">
        <v>970</v>
      </c>
      <c r="S602" s="0" t="s">
        <v>974</v>
      </c>
    </row>
    <row r="603" customFormat="false" ht="13.8" hidden="false" customHeight="false" outlineLevel="0" collapsed="false">
      <c r="A603" s="0" t="n">
        <v>2359</v>
      </c>
      <c r="B603" s="0" t="s">
        <v>3944</v>
      </c>
      <c r="C603" s="0" t="s">
        <v>3927</v>
      </c>
      <c r="E603" s="0" t="n">
        <f aca="false">IF(J602=J603,E602+10,0)</f>
        <v>530</v>
      </c>
      <c r="F603" s="0" t="s">
        <v>3945</v>
      </c>
      <c r="G603" s="0" t="s">
        <v>3946</v>
      </c>
      <c r="H603" s="0" t="s">
        <v>3947</v>
      </c>
      <c r="I603" s="0" t="s">
        <v>2232</v>
      </c>
      <c r="J603" s="0" t="s">
        <v>1117</v>
      </c>
      <c r="K603" s="0" t="s">
        <v>971</v>
      </c>
      <c r="L603" s="0" t="s">
        <v>974</v>
      </c>
      <c r="M603" s="0" t="s">
        <v>973</v>
      </c>
      <c r="N603" s="0" t="s">
        <v>974</v>
      </c>
      <c r="O603" s="0" t="s">
        <v>975</v>
      </c>
      <c r="P603" s="0" t="s">
        <v>976</v>
      </c>
      <c r="Q603" s="0" t="s">
        <v>2852</v>
      </c>
      <c r="R603" s="0" t="s">
        <v>970</v>
      </c>
      <c r="S603" s="0" t="s">
        <v>974</v>
      </c>
    </row>
    <row r="604" customFormat="false" ht="13.8" hidden="false" customHeight="false" outlineLevel="0" collapsed="false">
      <c r="A604" s="0" t="n">
        <v>2360</v>
      </c>
      <c r="B604" s="0" t="s">
        <v>3948</v>
      </c>
      <c r="C604" s="0" t="s">
        <v>3949</v>
      </c>
      <c r="E604" s="0" t="n">
        <f aca="false">IF(J603=J604,E603+10,0)</f>
        <v>540</v>
      </c>
      <c r="F604" s="0" t="s">
        <v>3950</v>
      </c>
      <c r="G604" s="0" t="s">
        <v>3951</v>
      </c>
      <c r="H604" s="0" t="s">
        <v>3952</v>
      </c>
      <c r="I604" s="0" t="s">
        <v>3953</v>
      </c>
      <c r="J604" s="0" t="s">
        <v>1117</v>
      </c>
      <c r="K604" s="0" t="s">
        <v>971</v>
      </c>
      <c r="L604" s="0" t="s">
        <v>970</v>
      </c>
      <c r="M604" s="0" t="s">
        <v>973</v>
      </c>
      <c r="N604" s="0" t="s">
        <v>974</v>
      </c>
      <c r="O604" s="0" t="s">
        <v>975</v>
      </c>
      <c r="P604" s="0" t="s">
        <v>976</v>
      </c>
      <c r="Q604" s="0" t="s">
        <v>974</v>
      </c>
      <c r="R604" s="0" t="s">
        <v>970</v>
      </c>
      <c r="S604" s="0" t="s">
        <v>974</v>
      </c>
    </row>
    <row r="605" customFormat="false" ht="13.8" hidden="false" customHeight="false" outlineLevel="0" collapsed="false">
      <c r="A605" s="0" t="n">
        <v>2361</v>
      </c>
      <c r="B605" s="0" t="s">
        <v>3954</v>
      </c>
      <c r="C605" s="0" t="s">
        <v>3932</v>
      </c>
      <c r="E605" s="0" t="n">
        <f aca="false">IF(J604=J605,E604+10,0)</f>
        <v>550</v>
      </c>
      <c r="F605" s="0" t="s">
        <v>3955</v>
      </c>
      <c r="G605" s="0" t="s">
        <v>3956</v>
      </c>
      <c r="H605" s="0" t="s">
        <v>3957</v>
      </c>
      <c r="I605" s="0" t="s">
        <v>1765</v>
      </c>
      <c r="J605" s="0" t="s">
        <v>1117</v>
      </c>
      <c r="K605" s="0" t="s">
        <v>971</v>
      </c>
      <c r="L605" s="0" t="s">
        <v>2000</v>
      </c>
      <c r="M605" s="0" t="s">
        <v>973</v>
      </c>
      <c r="N605" s="0" t="s">
        <v>974</v>
      </c>
      <c r="O605" s="0" t="s">
        <v>975</v>
      </c>
      <c r="P605" s="0" t="s">
        <v>976</v>
      </c>
      <c r="Q605" s="0" t="s">
        <v>974</v>
      </c>
      <c r="R605" s="0" t="s">
        <v>970</v>
      </c>
      <c r="S605" s="0" t="s">
        <v>974</v>
      </c>
    </row>
    <row r="606" customFormat="false" ht="13.8" hidden="false" customHeight="false" outlineLevel="0" collapsed="false">
      <c r="A606" s="0" t="n">
        <v>2362</v>
      </c>
      <c r="B606" s="0" t="s">
        <v>3958</v>
      </c>
      <c r="C606" s="0" t="s">
        <v>998</v>
      </c>
      <c r="E606" s="0" t="n">
        <f aca="false">IF(J605=J606,E605+10,0)</f>
        <v>0</v>
      </c>
      <c r="F606" s="0" t="s">
        <v>3959</v>
      </c>
      <c r="G606" s="0" t="s">
        <v>3960</v>
      </c>
      <c r="H606" s="0" t="s">
        <v>3961</v>
      </c>
      <c r="I606" s="0" t="s">
        <v>1002</v>
      </c>
      <c r="J606" s="0" t="s">
        <v>3671</v>
      </c>
      <c r="K606" s="0" t="s">
        <v>971</v>
      </c>
      <c r="L606" s="0" t="s">
        <v>1067</v>
      </c>
      <c r="M606" s="0" t="s">
        <v>973</v>
      </c>
      <c r="N606" s="0" t="s">
        <v>974</v>
      </c>
      <c r="O606" s="0" t="s">
        <v>975</v>
      </c>
      <c r="P606" s="0" t="s">
        <v>976</v>
      </c>
      <c r="Q606" s="0" t="s">
        <v>974</v>
      </c>
      <c r="R606" s="0" t="s">
        <v>970</v>
      </c>
      <c r="S606" s="0" t="s">
        <v>974</v>
      </c>
    </row>
    <row r="607" customFormat="false" ht="13.8" hidden="false" customHeight="false" outlineLevel="0" collapsed="false">
      <c r="A607" s="0" t="n">
        <v>2363</v>
      </c>
      <c r="B607" s="0" t="s">
        <v>3962</v>
      </c>
      <c r="C607" s="0" t="s">
        <v>3963</v>
      </c>
      <c r="E607" s="0" t="n">
        <f aca="false">IF(J606=J607,E606+10,0)</f>
        <v>10</v>
      </c>
      <c r="F607" s="0" t="s">
        <v>3964</v>
      </c>
      <c r="G607" s="0" t="s">
        <v>3965</v>
      </c>
      <c r="H607" s="0" t="s">
        <v>3966</v>
      </c>
      <c r="I607" s="0" t="s">
        <v>2798</v>
      </c>
      <c r="J607" s="0" t="s">
        <v>3671</v>
      </c>
      <c r="K607" s="0" t="s">
        <v>971</v>
      </c>
      <c r="L607" s="0" t="s">
        <v>1046</v>
      </c>
      <c r="M607" s="0" t="s">
        <v>973</v>
      </c>
      <c r="N607" s="0" t="s">
        <v>974</v>
      </c>
      <c r="O607" s="0" t="s">
        <v>975</v>
      </c>
      <c r="P607" s="0" t="s">
        <v>976</v>
      </c>
      <c r="Q607" s="0" t="s">
        <v>974</v>
      </c>
      <c r="R607" s="0" t="s">
        <v>970</v>
      </c>
      <c r="S607" s="0" t="s">
        <v>974</v>
      </c>
    </row>
    <row r="608" customFormat="false" ht="13.8" hidden="false" customHeight="false" outlineLevel="0" collapsed="false">
      <c r="A608" s="0" t="n">
        <v>2364</v>
      </c>
      <c r="B608" s="0" t="s">
        <v>3967</v>
      </c>
      <c r="C608" s="0" t="s">
        <v>3901</v>
      </c>
      <c r="E608" s="0" t="n">
        <f aca="false">IF(J607=J608,E607+10,0)</f>
        <v>20</v>
      </c>
      <c r="F608" s="0" t="s">
        <v>3968</v>
      </c>
      <c r="G608" s="0" t="s">
        <v>3969</v>
      </c>
      <c r="H608" s="0" t="s">
        <v>3970</v>
      </c>
      <c r="I608" s="0" t="s">
        <v>1505</v>
      </c>
      <c r="J608" s="0" t="s">
        <v>3671</v>
      </c>
      <c r="K608" s="0" t="s">
        <v>971</v>
      </c>
      <c r="L608" s="0" t="s">
        <v>1067</v>
      </c>
      <c r="M608" s="0" t="s">
        <v>973</v>
      </c>
      <c r="N608" s="0" t="s">
        <v>974</v>
      </c>
      <c r="O608" s="0" t="s">
        <v>975</v>
      </c>
      <c r="P608" s="0" t="s">
        <v>976</v>
      </c>
      <c r="Q608" s="0" t="s">
        <v>974</v>
      </c>
      <c r="R608" s="0" t="s">
        <v>970</v>
      </c>
      <c r="S608" s="0" t="s">
        <v>974</v>
      </c>
    </row>
    <row r="609" customFormat="false" ht="13.8" hidden="false" customHeight="false" outlineLevel="0" collapsed="false">
      <c r="A609" s="0" t="n">
        <v>2365</v>
      </c>
      <c r="B609" s="0" t="s">
        <v>3971</v>
      </c>
      <c r="C609" s="0" t="s">
        <v>991</v>
      </c>
      <c r="E609" s="0" t="n">
        <f aca="false">IF(J608=J609,E608+10,0)</f>
        <v>30</v>
      </c>
      <c r="F609" s="0" t="s">
        <v>3972</v>
      </c>
      <c r="G609" s="0" t="s">
        <v>3973</v>
      </c>
      <c r="H609" s="0" t="s">
        <v>3974</v>
      </c>
      <c r="I609" s="0" t="s">
        <v>995</v>
      </c>
      <c r="J609" s="0" t="s">
        <v>3671</v>
      </c>
      <c r="K609" s="0" t="s">
        <v>971</v>
      </c>
      <c r="L609" s="0" t="s">
        <v>1046</v>
      </c>
      <c r="M609" s="0" t="s">
        <v>973</v>
      </c>
      <c r="N609" s="0" t="s">
        <v>974</v>
      </c>
      <c r="O609" s="0" t="s">
        <v>975</v>
      </c>
      <c r="P609" s="0" t="s">
        <v>976</v>
      </c>
      <c r="Q609" s="0" t="s">
        <v>974</v>
      </c>
      <c r="R609" s="0" t="s">
        <v>970</v>
      </c>
      <c r="S609" s="0" t="s">
        <v>974</v>
      </c>
    </row>
    <row r="610" customFormat="false" ht="13.8" hidden="false" customHeight="false" outlineLevel="0" collapsed="false">
      <c r="A610" s="0" t="n">
        <v>2366</v>
      </c>
      <c r="B610" s="0" t="s">
        <v>3975</v>
      </c>
      <c r="C610" s="0" t="s">
        <v>3976</v>
      </c>
      <c r="E610" s="0" t="n">
        <f aca="false">IF(J609=J610,E609+10,0)</f>
        <v>40</v>
      </c>
      <c r="F610" s="0" t="s">
        <v>3977</v>
      </c>
      <c r="G610" s="0" t="s">
        <v>3978</v>
      </c>
      <c r="H610" s="0" t="s">
        <v>3979</v>
      </c>
      <c r="I610" s="0" t="s">
        <v>1021</v>
      </c>
      <c r="J610" s="0" t="s">
        <v>3671</v>
      </c>
      <c r="K610" s="0" t="s">
        <v>971</v>
      </c>
      <c r="L610" s="0" t="s">
        <v>974</v>
      </c>
      <c r="M610" s="0" t="s">
        <v>973</v>
      </c>
      <c r="N610" s="0" t="s">
        <v>974</v>
      </c>
      <c r="O610" s="0" t="s">
        <v>975</v>
      </c>
      <c r="P610" s="0" t="s">
        <v>976</v>
      </c>
      <c r="Q610" s="0" t="s">
        <v>970</v>
      </c>
      <c r="R610" s="0" t="s">
        <v>970</v>
      </c>
      <c r="S610" s="0" t="s">
        <v>974</v>
      </c>
    </row>
    <row r="611" customFormat="false" ht="13.8" hidden="false" customHeight="false" outlineLevel="0" collapsed="false">
      <c r="A611" s="0" t="n">
        <v>2367</v>
      </c>
      <c r="B611" s="0" t="s">
        <v>3980</v>
      </c>
      <c r="C611" s="0" t="s">
        <v>1061</v>
      </c>
      <c r="E611" s="0" t="n">
        <f aca="false">IF(J610=J611,E610+10,0)</f>
        <v>50</v>
      </c>
      <c r="F611" s="0" t="s">
        <v>3981</v>
      </c>
      <c r="G611" s="0" t="s">
        <v>3982</v>
      </c>
      <c r="H611" s="0" t="s">
        <v>3983</v>
      </c>
      <c r="I611" s="0" t="s">
        <v>1065</v>
      </c>
      <c r="J611" s="0" t="s">
        <v>3671</v>
      </c>
      <c r="K611" s="0" t="s">
        <v>971</v>
      </c>
      <c r="L611" s="0" t="s">
        <v>974</v>
      </c>
      <c r="M611" s="0" t="s">
        <v>973</v>
      </c>
      <c r="N611" s="0" t="s">
        <v>974</v>
      </c>
      <c r="O611" s="0" t="s">
        <v>975</v>
      </c>
      <c r="P611" s="0" t="s">
        <v>976</v>
      </c>
      <c r="Q611" s="0" t="s">
        <v>975</v>
      </c>
      <c r="R611" s="0" t="s">
        <v>970</v>
      </c>
      <c r="S611" s="0" t="s">
        <v>974</v>
      </c>
    </row>
    <row r="612" customFormat="false" ht="13.8" hidden="false" customHeight="false" outlineLevel="0" collapsed="false">
      <c r="A612" s="0" t="n">
        <v>2368</v>
      </c>
      <c r="B612" s="0" t="s">
        <v>3984</v>
      </c>
      <c r="C612" s="0" t="s">
        <v>3985</v>
      </c>
      <c r="E612" s="0" t="n">
        <f aca="false">IF(J611=J612,E611+10,0)</f>
        <v>60</v>
      </c>
      <c r="F612" s="0" t="s">
        <v>3986</v>
      </c>
      <c r="G612" s="0" t="s">
        <v>3987</v>
      </c>
      <c r="H612" s="0" t="s">
        <v>3988</v>
      </c>
      <c r="I612" s="0" t="s">
        <v>970</v>
      </c>
      <c r="J612" s="0" t="s">
        <v>3671</v>
      </c>
      <c r="K612" s="0" t="s">
        <v>971</v>
      </c>
      <c r="L612" s="0" t="s">
        <v>974</v>
      </c>
      <c r="M612" s="0" t="s">
        <v>973</v>
      </c>
      <c r="N612" s="0" t="s">
        <v>974</v>
      </c>
      <c r="O612" s="0" t="s">
        <v>975</v>
      </c>
      <c r="P612" s="0" t="s">
        <v>976</v>
      </c>
      <c r="Q612" s="0" t="s">
        <v>970</v>
      </c>
      <c r="R612" s="0" t="s">
        <v>970</v>
      </c>
      <c r="S612" s="0" t="s">
        <v>974</v>
      </c>
    </row>
    <row r="613" customFormat="false" ht="13.8" hidden="false" customHeight="false" outlineLevel="0" collapsed="false">
      <c r="A613" s="0" t="n">
        <v>2369</v>
      </c>
      <c r="B613" s="0" t="s">
        <v>3989</v>
      </c>
      <c r="C613" s="0" t="s">
        <v>3990</v>
      </c>
      <c r="E613" s="0" t="n">
        <f aca="false">IF(J612=J613,E612+10,0)</f>
        <v>70</v>
      </c>
      <c r="F613" s="0" t="s">
        <v>3991</v>
      </c>
      <c r="G613" s="0" t="s">
        <v>3992</v>
      </c>
      <c r="H613" s="0" t="s">
        <v>3993</v>
      </c>
      <c r="I613" s="0" t="s">
        <v>1033</v>
      </c>
      <c r="J613" s="0" t="s">
        <v>3671</v>
      </c>
      <c r="K613" s="0" t="s">
        <v>971</v>
      </c>
      <c r="L613" s="0" t="s">
        <v>974</v>
      </c>
      <c r="M613" s="0" t="s">
        <v>973</v>
      </c>
      <c r="N613" s="0" t="s">
        <v>974</v>
      </c>
      <c r="O613" s="0" t="s">
        <v>975</v>
      </c>
      <c r="P613" s="0" t="s">
        <v>976</v>
      </c>
      <c r="Q613" s="0" t="s">
        <v>973</v>
      </c>
      <c r="R613" s="0" t="s">
        <v>970</v>
      </c>
      <c r="S613" s="0" t="s">
        <v>974</v>
      </c>
    </row>
    <row r="614" customFormat="false" ht="13.8" hidden="false" customHeight="false" outlineLevel="0" collapsed="false">
      <c r="A614" s="0" t="n">
        <v>2370</v>
      </c>
      <c r="B614" s="0" t="s">
        <v>3994</v>
      </c>
      <c r="C614" s="0" t="s">
        <v>3995</v>
      </c>
      <c r="E614" s="0" t="n">
        <f aca="false">IF(J613=J614,E613+10,0)</f>
        <v>80</v>
      </c>
      <c r="F614" s="0" t="s">
        <v>3996</v>
      </c>
      <c r="G614" s="0" t="s">
        <v>3997</v>
      </c>
      <c r="H614" s="0" t="s">
        <v>3998</v>
      </c>
      <c r="I614" s="0" t="s">
        <v>2266</v>
      </c>
      <c r="J614" s="0" t="s">
        <v>3671</v>
      </c>
      <c r="K614" s="0" t="s">
        <v>971</v>
      </c>
      <c r="L614" s="0" t="s">
        <v>1829</v>
      </c>
      <c r="M614" s="0" t="s">
        <v>973</v>
      </c>
      <c r="N614" s="0" t="s">
        <v>974</v>
      </c>
      <c r="O614" s="0" t="s">
        <v>975</v>
      </c>
      <c r="P614" s="0" t="s">
        <v>976</v>
      </c>
      <c r="Q614" s="0" t="s">
        <v>974</v>
      </c>
      <c r="R614" s="0" t="s">
        <v>970</v>
      </c>
      <c r="S614" s="0" t="s">
        <v>974</v>
      </c>
    </row>
    <row r="615" customFormat="false" ht="13.8" hidden="false" customHeight="false" outlineLevel="0" collapsed="false">
      <c r="A615" s="0" t="n">
        <v>2371</v>
      </c>
      <c r="B615" s="0" t="s">
        <v>3999</v>
      </c>
      <c r="C615" s="0" t="s">
        <v>4000</v>
      </c>
      <c r="E615" s="0" t="n">
        <f aca="false">IF(J614=J615,E614+10,0)</f>
        <v>90</v>
      </c>
      <c r="F615" s="0" t="s">
        <v>4001</v>
      </c>
      <c r="G615" s="0" t="s">
        <v>4002</v>
      </c>
      <c r="H615" s="0" t="s">
        <v>4003</v>
      </c>
      <c r="I615" s="0" t="s">
        <v>1106</v>
      </c>
      <c r="J615" s="0" t="s">
        <v>3671</v>
      </c>
      <c r="K615" s="0" t="s">
        <v>971</v>
      </c>
      <c r="L615" s="0" t="s">
        <v>974</v>
      </c>
      <c r="M615" s="0" t="s">
        <v>973</v>
      </c>
      <c r="N615" s="0" t="s">
        <v>974</v>
      </c>
      <c r="O615" s="0" t="s">
        <v>975</v>
      </c>
      <c r="P615" s="0" t="s">
        <v>976</v>
      </c>
      <c r="Q615" s="0" t="s">
        <v>1181</v>
      </c>
      <c r="R615" s="0" t="s">
        <v>970</v>
      </c>
      <c r="S615" s="0" t="s">
        <v>974</v>
      </c>
    </row>
    <row r="616" customFormat="false" ht="13.8" hidden="false" customHeight="false" outlineLevel="0" collapsed="false">
      <c r="A616" s="0" t="n">
        <v>2372</v>
      </c>
      <c r="B616" s="0" t="s">
        <v>4004</v>
      </c>
      <c r="C616" s="0" t="s">
        <v>1662</v>
      </c>
      <c r="E616" s="0" t="n">
        <f aca="false">IF(J615=J616,E615+10,0)</f>
        <v>100</v>
      </c>
      <c r="F616" s="0" t="s">
        <v>4005</v>
      </c>
      <c r="G616" s="0" t="s">
        <v>4006</v>
      </c>
      <c r="H616" s="0" t="s">
        <v>4007</v>
      </c>
      <c r="I616" s="0" t="s">
        <v>1666</v>
      </c>
      <c r="J616" s="0" t="s">
        <v>3671</v>
      </c>
      <c r="K616" s="0" t="s">
        <v>971</v>
      </c>
      <c r="L616" s="0" t="s">
        <v>974</v>
      </c>
      <c r="M616" s="0" t="s">
        <v>973</v>
      </c>
      <c r="N616" s="0" t="s">
        <v>974</v>
      </c>
      <c r="O616" s="0" t="s">
        <v>975</v>
      </c>
      <c r="P616" s="0" t="s">
        <v>976</v>
      </c>
      <c r="Q616" s="0" t="s">
        <v>973</v>
      </c>
      <c r="R616" s="0" t="s">
        <v>1046</v>
      </c>
      <c r="S616" s="0" t="s">
        <v>974</v>
      </c>
    </row>
    <row r="617" customFormat="false" ht="13.8" hidden="false" customHeight="false" outlineLevel="0" collapsed="false">
      <c r="A617" s="0" t="n">
        <v>2373</v>
      </c>
      <c r="B617" s="0" t="s">
        <v>4008</v>
      </c>
      <c r="C617" s="0" t="s">
        <v>1010</v>
      </c>
      <c r="E617" s="0" t="n">
        <f aca="false">IF(J616=J617,E616+10,0)</f>
        <v>110</v>
      </c>
      <c r="F617" s="0" t="s">
        <v>4009</v>
      </c>
      <c r="G617" s="0" t="s">
        <v>4010</v>
      </c>
      <c r="H617" s="0" t="s">
        <v>4011</v>
      </c>
      <c r="I617" s="0" t="s">
        <v>1014</v>
      </c>
      <c r="J617" s="0" t="s">
        <v>3671</v>
      </c>
      <c r="K617" s="0" t="s">
        <v>971</v>
      </c>
      <c r="L617" s="0" t="s">
        <v>974</v>
      </c>
      <c r="M617" s="0" t="s">
        <v>973</v>
      </c>
      <c r="N617" s="0" t="s">
        <v>974</v>
      </c>
      <c r="O617" s="0" t="s">
        <v>975</v>
      </c>
      <c r="P617" s="0" t="s">
        <v>976</v>
      </c>
      <c r="Q617" s="0" t="s">
        <v>973</v>
      </c>
      <c r="R617" s="0" t="s">
        <v>1046</v>
      </c>
      <c r="S617" s="0" t="s">
        <v>974</v>
      </c>
    </row>
    <row r="618" customFormat="false" ht="13.8" hidden="false" customHeight="false" outlineLevel="0" collapsed="false">
      <c r="A618" s="0" t="n">
        <v>2374</v>
      </c>
      <c r="B618" s="0" t="s">
        <v>4012</v>
      </c>
      <c r="C618" s="0" t="s">
        <v>4013</v>
      </c>
      <c r="E618" s="0" t="n">
        <f aca="false">IF(J617=J618,E617+10,0)</f>
        <v>120</v>
      </c>
      <c r="F618" s="0" t="s">
        <v>4014</v>
      </c>
      <c r="G618" s="0" t="s">
        <v>4015</v>
      </c>
      <c r="H618" s="0" t="s">
        <v>4016</v>
      </c>
      <c r="I618" s="0" t="s">
        <v>1349</v>
      </c>
      <c r="J618" s="0" t="s">
        <v>3671</v>
      </c>
      <c r="K618" s="0" t="s">
        <v>971</v>
      </c>
      <c r="L618" s="0" t="s">
        <v>975</v>
      </c>
      <c r="M618" s="0" t="s">
        <v>973</v>
      </c>
      <c r="N618" s="0" t="s">
        <v>974</v>
      </c>
      <c r="O618" s="0" t="s">
        <v>975</v>
      </c>
      <c r="P618" s="0" t="s">
        <v>976</v>
      </c>
      <c r="Q618" s="0" t="s">
        <v>974</v>
      </c>
      <c r="R618" s="0" t="s">
        <v>970</v>
      </c>
      <c r="S618" s="0" t="s">
        <v>974</v>
      </c>
    </row>
    <row r="619" customFormat="false" ht="13.8" hidden="false" customHeight="false" outlineLevel="0" collapsed="false">
      <c r="A619" s="0" t="n">
        <v>2375</v>
      </c>
      <c r="B619" s="0" t="s">
        <v>4017</v>
      </c>
      <c r="C619" s="0" t="s">
        <v>4018</v>
      </c>
      <c r="E619" s="0" t="n">
        <f aca="false">IF(J618=J619,E618+10,0)</f>
        <v>130</v>
      </c>
      <c r="F619" s="0" t="s">
        <v>4019</v>
      </c>
      <c r="G619" s="0" t="s">
        <v>4020</v>
      </c>
      <c r="H619" s="0" t="s">
        <v>4021</v>
      </c>
      <c r="I619" s="0" t="s">
        <v>1180</v>
      </c>
      <c r="J619" s="0" t="s">
        <v>3671</v>
      </c>
      <c r="K619" s="0" t="s">
        <v>971</v>
      </c>
      <c r="L619" s="0" t="s">
        <v>974</v>
      </c>
      <c r="M619" s="0" t="s">
        <v>973</v>
      </c>
      <c r="N619" s="0" t="s">
        <v>974</v>
      </c>
      <c r="O619" s="0" t="s">
        <v>975</v>
      </c>
      <c r="P619" s="0" t="s">
        <v>976</v>
      </c>
      <c r="Q619" s="0" t="s">
        <v>1214</v>
      </c>
      <c r="R619" s="0" t="s">
        <v>1046</v>
      </c>
      <c r="S619" s="0" t="s">
        <v>974</v>
      </c>
    </row>
    <row r="620" customFormat="false" ht="13.8" hidden="false" customHeight="false" outlineLevel="0" collapsed="false">
      <c r="A620" s="0" t="n">
        <v>2376</v>
      </c>
      <c r="B620" s="0" t="s">
        <v>4022</v>
      </c>
      <c r="C620" s="0" t="s">
        <v>4023</v>
      </c>
      <c r="E620" s="0" t="n">
        <f aca="false">IF(J619=J620,E619+10,0)</f>
        <v>140</v>
      </c>
      <c r="F620" s="0" t="s">
        <v>4024</v>
      </c>
      <c r="G620" s="0" t="s">
        <v>4025</v>
      </c>
      <c r="H620" s="0" t="s">
        <v>4026</v>
      </c>
      <c r="I620" s="0" t="s">
        <v>1027</v>
      </c>
      <c r="J620" s="0" t="s">
        <v>3671</v>
      </c>
      <c r="K620" s="0" t="s">
        <v>971</v>
      </c>
      <c r="L620" s="0" t="s">
        <v>974</v>
      </c>
      <c r="M620" s="0" t="s">
        <v>973</v>
      </c>
      <c r="N620" s="0" t="s">
        <v>974</v>
      </c>
      <c r="O620" s="0" t="s">
        <v>975</v>
      </c>
      <c r="P620" s="0" t="s">
        <v>976</v>
      </c>
      <c r="Q620" s="0" t="s">
        <v>970</v>
      </c>
      <c r="R620" s="0" t="s">
        <v>1046</v>
      </c>
      <c r="S620" s="0" t="s">
        <v>974</v>
      </c>
    </row>
    <row r="621" customFormat="false" ht="13.8" hidden="false" customHeight="false" outlineLevel="0" collapsed="false">
      <c r="A621" s="0" t="n">
        <v>2377</v>
      </c>
      <c r="B621" s="0" t="s">
        <v>4027</v>
      </c>
      <c r="C621" s="0" t="s">
        <v>4028</v>
      </c>
      <c r="E621" s="0" t="n">
        <f aca="false">IF(J620=J621,E620+10,0)</f>
        <v>150</v>
      </c>
      <c r="F621" s="0" t="s">
        <v>4029</v>
      </c>
      <c r="G621" s="0" t="s">
        <v>4030</v>
      </c>
      <c r="H621" s="0" t="s">
        <v>4031</v>
      </c>
      <c r="I621" s="0" t="s">
        <v>1587</v>
      </c>
      <c r="J621" s="0" t="s">
        <v>3671</v>
      </c>
      <c r="K621" s="0" t="s">
        <v>971</v>
      </c>
      <c r="L621" s="0" t="s">
        <v>974</v>
      </c>
      <c r="M621" s="0" t="s">
        <v>973</v>
      </c>
      <c r="N621" s="0" t="s">
        <v>974</v>
      </c>
      <c r="O621" s="0" t="s">
        <v>975</v>
      </c>
      <c r="P621" s="0" t="s">
        <v>976</v>
      </c>
      <c r="Q621" s="0" t="s">
        <v>1128</v>
      </c>
      <c r="R621" s="0" t="s">
        <v>1046</v>
      </c>
      <c r="S621" s="0" t="s">
        <v>974</v>
      </c>
    </row>
    <row r="622" customFormat="false" ht="13.8" hidden="false" customHeight="false" outlineLevel="0" collapsed="false">
      <c r="A622" s="0" t="n">
        <v>2378</v>
      </c>
      <c r="B622" s="0" t="s">
        <v>4032</v>
      </c>
      <c r="C622" s="0" t="s">
        <v>1420</v>
      </c>
      <c r="E622" s="0" t="n">
        <f aca="false">IF(J621=J622,E621+10,0)</f>
        <v>160</v>
      </c>
      <c r="F622" s="0" t="s">
        <v>4033</v>
      </c>
      <c r="G622" s="0" t="s">
        <v>4034</v>
      </c>
      <c r="H622" s="0" t="s">
        <v>4035</v>
      </c>
      <c r="I622" s="0" t="s">
        <v>1100</v>
      </c>
      <c r="J622" s="0" t="s">
        <v>3671</v>
      </c>
      <c r="K622" s="0" t="s">
        <v>971</v>
      </c>
      <c r="L622" s="0" t="s">
        <v>974</v>
      </c>
      <c r="M622" s="0" t="s">
        <v>973</v>
      </c>
      <c r="N622" s="0" t="s">
        <v>974</v>
      </c>
      <c r="O622" s="0" t="s">
        <v>975</v>
      </c>
      <c r="P622" s="0" t="s">
        <v>976</v>
      </c>
      <c r="Q622" s="0" t="s">
        <v>1059</v>
      </c>
      <c r="R622" s="0" t="s">
        <v>1046</v>
      </c>
      <c r="S622" s="0" t="s">
        <v>974</v>
      </c>
    </row>
    <row r="623" customFormat="false" ht="13.8" hidden="false" customHeight="false" outlineLevel="0" collapsed="false">
      <c r="A623" s="0" t="n">
        <v>2379</v>
      </c>
      <c r="B623" s="0" t="s">
        <v>4036</v>
      </c>
      <c r="C623" s="0" t="s">
        <v>998</v>
      </c>
      <c r="E623" s="0" t="n">
        <f aca="false">IF(J622=J623,E622+10,0)</f>
        <v>0</v>
      </c>
      <c r="F623" s="0" t="s">
        <v>4037</v>
      </c>
      <c r="G623" s="0" t="s">
        <v>4038</v>
      </c>
      <c r="H623" s="0" t="s">
        <v>4039</v>
      </c>
      <c r="I623" s="0" t="s">
        <v>1002</v>
      </c>
      <c r="J623" s="0" t="s">
        <v>1106</v>
      </c>
      <c r="K623" s="0" t="s">
        <v>971</v>
      </c>
      <c r="L623" s="0" t="s">
        <v>1067</v>
      </c>
      <c r="M623" s="0" t="s">
        <v>973</v>
      </c>
      <c r="N623" s="0" t="s">
        <v>974</v>
      </c>
      <c r="O623" s="0" t="s">
        <v>975</v>
      </c>
      <c r="P623" s="0" t="s">
        <v>976</v>
      </c>
      <c r="Q623" s="0" t="s">
        <v>974</v>
      </c>
      <c r="R623" s="0" t="s">
        <v>970</v>
      </c>
      <c r="S623" s="0" t="s">
        <v>974</v>
      </c>
    </row>
    <row r="624" customFormat="false" ht="13.8" hidden="false" customHeight="false" outlineLevel="0" collapsed="false">
      <c r="A624" s="0" t="n">
        <v>2380</v>
      </c>
      <c r="B624" s="0" t="s">
        <v>4040</v>
      </c>
      <c r="C624" s="0" t="s">
        <v>3963</v>
      </c>
      <c r="E624" s="0" t="n">
        <f aca="false">IF(J623=J624,E623+10,0)</f>
        <v>10</v>
      </c>
      <c r="F624" s="0" t="s">
        <v>4041</v>
      </c>
      <c r="G624" s="0" t="s">
        <v>4042</v>
      </c>
      <c r="H624" s="0" t="s">
        <v>4043</v>
      </c>
      <c r="I624" s="0" t="s">
        <v>2798</v>
      </c>
      <c r="J624" s="0" t="s">
        <v>1106</v>
      </c>
      <c r="K624" s="0" t="s">
        <v>971</v>
      </c>
      <c r="L624" s="0" t="s">
        <v>1046</v>
      </c>
      <c r="M624" s="0" t="s">
        <v>973</v>
      </c>
      <c r="N624" s="0" t="s">
        <v>974</v>
      </c>
      <c r="O624" s="0" t="s">
        <v>975</v>
      </c>
      <c r="P624" s="0" t="s">
        <v>976</v>
      </c>
      <c r="Q624" s="0" t="s">
        <v>974</v>
      </c>
      <c r="R624" s="0" t="s">
        <v>970</v>
      </c>
      <c r="S624" s="0" t="s">
        <v>974</v>
      </c>
    </row>
    <row r="625" customFormat="false" ht="13.8" hidden="false" customHeight="false" outlineLevel="0" collapsed="false">
      <c r="A625" s="0" t="n">
        <v>2381</v>
      </c>
      <c r="B625" s="0" t="s">
        <v>4044</v>
      </c>
      <c r="C625" s="0" t="s">
        <v>3901</v>
      </c>
      <c r="E625" s="0" t="n">
        <f aca="false">IF(J624=J625,E624+10,0)</f>
        <v>20</v>
      </c>
      <c r="F625" s="0" t="s">
        <v>4045</v>
      </c>
      <c r="G625" s="0" t="s">
        <v>4046</v>
      </c>
      <c r="H625" s="0" t="s">
        <v>4047</v>
      </c>
      <c r="I625" s="0" t="s">
        <v>1505</v>
      </c>
      <c r="J625" s="0" t="s">
        <v>1106</v>
      </c>
      <c r="K625" s="0" t="s">
        <v>971</v>
      </c>
      <c r="L625" s="0" t="s">
        <v>1067</v>
      </c>
      <c r="M625" s="0" t="s">
        <v>973</v>
      </c>
      <c r="N625" s="0" t="s">
        <v>974</v>
      </c>
      <c r="O625" s="0" t="s">
        <v>975</v>
      </c>
      <c r="P625" s="0" t="s">
        <v>976</v>
      </c>
      <c r="Q625" s="0" t="s">
        <v>974</v>
      </c>
      <c r="R625" s="0" t="s">
        <v>970</v>
      </c>
      <c r="S625" s="0" t="s">
        <v>974</v>
      </c>
    </row>
    <row r="626" customFormat="false" ht="13.8" hidden="false" customHeight="false" outlineLevel="0" collapsed="false">
      <c r="A626" s="0" t="n">
        <v>2382</v>
      </c>
      <c r="B626" s="0" t="s">
        <v>4048</v>
      </c>
      <c r="C626" s="0" t="s">
        <v>3976</v>
      </c>
      <c r="E626" s="0" t="n">
        <f aca="false">IF(J625=J626,E625+10,0)</f>
        <v>30</v>
      </c>
      <c r="F626" s="0" t="s">
        <v>4049</v>
      </c>
      <c r="G626" s="0" t="s">
        <v>4050</v>
      </c>
      <c r="H626" s="0" t="s">
        <v>4051</v>
      </c>
      <c r="I626" s="0" t="s">
        <v>1021</v>
      </c>
      <c r="J626" s="0" t="s">
        <v>1106</v>
      </c>
      <c r="K626" s="0" t="s">
        <v>971</v>
      </c>
      <c r="L626" s="0" t="s">
        <v>974</v>
      </c>
      <c r="M626" s="0" t="s">
        <v>973</v>
      </c>
      <c r="N626" s="0" t="s">
        <v>974</v>
      </c>
      <c r="O626" s="0" t="s">
        <v>975</v>
      </c>
      <c r="P626" s="0" t="s">
        <v>976</v>
      </c>
      <c r="Q626" s="0" t="s">
        <v>970</v>
      </c>
      <c r="R626" s="0" t="s">
        <v>970</v>
      </c>
      <c r="S626" s="0" t="s">
        <v>974</v>
      </c>
    </row>
    <row r="627" customFormat="false" ht="13.8" hidden="false" customHeight="false" outlineLevel="0" collapsed="false">
      <c r="A627" s="0" t="n">
        <v>2383</v>
      </c>
      <c r="B627" s="0" t="s">
        <v>4052</v>
      </c>
      <c r="C627" s="0" t="s">
        <v>1061</v>
      </c>
      <c r="E627" s="0" t="n">
        <f aca="false">IF(J626=J627,E626+10,0)</f>
        <v>40</v>
      </c>
      <c r="F627" s="0" t="s">
        <v>4053</v>
      </c>
      <c r="G627" s="0" t="s">
        <v>4054</v>
      </c>
      <c r="H627" s="0" t="s">
        <v>4055</v>
      </c>
      <c r="I627" s="0" t="s">
        <v>1065</v>
      </c>
      <c r="J627" s="0" t="s">
        <v>1106</v>
      </c>
      <c r="K627" s="0" t="s">
        <v>971</v>
      </c>
      <c r="L627" s="0" t="s">
        <v>974</v>
      </c>
      <c r="M627" s="0" t="s">
        <v>973</v>
      </c>
      <c r="N627" s="0" t="s">
        <v>974</v>
      </c>
      <c r="O627" s="0" t="s">
        <v>975</v>
      </c>
      <c r="P627" s="0" t="s">
        <v>976</v>
      </c>
      <c r="Q627" s="0" t="s">
        <v>975</v>
      </c>
      <c r="R627" s="0" t="s">
        <v>970</v>
      </c>
      <c r="S627" s="0" t="s">
        <v>974</v>
      </c>
    </row>
    <row r="628" customFormat="false" ht="13.8" hidden="false" customHeight="false" outlineLevel="0" collapsed="false">
      <c r="A628" s="0" t="n">
        <v>2384</v>
      </c>
      <c r="B628" s="0" t="s">
        <v>4056</v>
      </c>
      <c r="C628" s="0" t="s">
        <v>3985</v>
      </c>
      <c r="E628" s="0" t="n">
        <f aca="false">IF(J627=J628,E627+10,0)</f>
        <v>50</v>
      </c>
      <c r="F628" s="0" t="s">
        <v>4057</v>
      </c>
      <c r="G628" s="0" t="s">
        <v>4058</v>
      </c>
      <c r="H628" s="0" t="s">
        <v>4059</v>
      </c>
      <c r="I628" s="0" t="s">
        <v>970</v>
      </c>
      <c r="J628" s="0" t="s">
        <v>1106</v>
      </c>
      <c r="K628" s="0" t="s">
        <v>971</v>
      </c>
      <c r="L628" s="0" t="s">
        <v>974</v>
      </c>
      <c r="M628" s="0" t="s">
        <v>973</v>
      </c>
      <c r="N628" s="0" t="s">
        <v>974</v>
      </c>
      <c r="O628" s="0" t="s">
        <v>975</v>
      </c>
      <c r="P628" s="0" t="s">
        <v>976</v>
      </c>
      <c r="Q628" s="0" t="s">
        <v>1059</v>
      </c>
      <c r="R628" s="0" t="s">
        <v>970</v>
      </c>
      <c r="S628" s="0" t="s">
        <v>974</v>
      </c>
    </row>
    <row r="629" customFormat="false" ht="13.8" hidden="false" customHeight="false" outlineLevel="0" collapsed="false">
      <c r="A629" s="0" t="n">
        <v>2385</v>
      </c>
      <c r="B629" s="0" t="s">
        <v>4060</v>
      </c>
      <c r="C629" s="0" t="s">
        <v>3990</v>
      </c>
      <c r="E629" s="0" t="n">
        <f aca="false">IF(J628=J629,E628+10,0)</f>
        <v>60</v>
      </c>
      <c r="F629" s="0" t="s">
        <v>4061</v>
      </c>
      <c r="G629" s="0" t="s">
        <v>4062</v>
      </c>
      <c r="H629" s="0" t="s">
        <v>4063</v>
      </c>
      <c r="I629" s="0" t="s">
        <v>1033</v>
      </c>
      <c r="J629" s="0" t="s">
        <v>1106</v>
      </c>
      <c r="K629" s="0" t="s">
        <v>971</v>
      </c>
      <c r="L629" s="0" t="s">
        <v>974</v>
      </c>
      <c r="M629" s="0" t="s">
        <v>973</v>
      </c>
      <c r="N629" s="0" t="s">
        <v>974</v>
      </c>
      <c r="O629" s="0" t="s">
        <v>975</v>
      </c>
      <c r="P629" s="0" t="s">
        <v>976</v>
      </c>
      <c r="Q629" s="0" t="s">
        <v>973</v>
      </c>
      <c r="R629" s="0" t="s">
        <v>970</v>
      </c>
      <c r="S629" s="0" t="s">
        <v>974</v>
      </c>
    </row>
    <row r="630" customFormat="false" ht="13.8" hidden="false" customHeight="false" outlineLevel="0" collapsed="false">
      <c r="A630" s="0" t="n">
        <v>2386</v>
      </c>
      <c r="B630" s="0" t="s">
        <v>4064</v>
      </c>
      <c r="C630" s="0" t="s">
        <v>4065</v>
      </c>
      <c r="E630" s="0" t="n">
        <f aca="false">IF(J629=J630,E629+10,0)</f>
        <v>70</v>
      </c>
      <c r="F630" s="0" t="s">
        <v>4066</v>
      </c>
      <c r="G630" s="0" t="s">
        <v>4067</v>
      </c>
      <c r="H630" s="0" t="s">
        <v>4068</v>
      </c>
      <c r="I630" s="0" t="s">
        <v>1167</v>
      </c>
      <c r="J630" s="0" t="s">
        <v>1106</v>
      </c>
      <c r="K630" s="0" t="s">
        <v>971</v>
      </c>
      <c r="L630" s="0" t="s">
        <v>974</v>
      </c>
      <c r="M630" s="0" t="s">
        <v>973</v>
      </c>
      <c r="N630" s="0" t="s">
        <v>974</v>
      </c>
      <c r="O630" s="0" t="s">
        <v>975</v>
      </c>
      <c r="P630" s="0" t="s">
        <v>976</v>
      </c>
      <c r="Q630" s="0" t="s">
        <v>3778</v>
      </c>
      <c r="R630" s="0" t="s">
        <v>970</v>
      </c>
      <c r="S630" s="0" t="s">
        <v>974</v>
      </c>
    </row>
    <row r="631" customFormat="false" ht="13.8" hidden="false" customHeight="false" outlineLevel="0" collapsed="false">
      <c r="A631" s="0" t="n">
        <v>2387</v>
      </c>
      <c r="B631" s="0" t="s">
        <v>4069</v>
      </c>
      <c r="C631" s="0" t="s">
        <v>4070</v>
      </c>
      <c r="E631" s="0" t="n">
        <f aca="false">IF(J630=J631,E630+10,0)</f>
        <v>80</v>
      </c>
      <c r="F631" s="0" t="s">
        <v>4071</v>
      </c>
      <c r="G631" s="0" t="s">
        <v>4072</v>
      </c>
      <c r="H631" s="0" t="s">
        <v>4073</v>
      </c>
      <c r="I631" s="0" t="s">
        <v>4074</v>
      </c>
      <c r="J631" s="0" t="s">
        <v>1106</v>
      </c>
      <c r="K631" s="0" t="s">
        <v>971</v>
      </c>
      <c r="L631" s="0" t="s">
        <v>1829</v>
      </c>
      <c r="M631" s="0" t="s">
        <v>973</v>
      </c>
      <c r="N631" s="0" t="s">
        <v>974</v>
      </c>
      <c r="O631" s="0" t="s">
        <v>975</v>
      </c>
      <c r="P631" s="0" t="s">
        <v>976</v>
      </c>
      <c r="Q631" s="0" t="s">
        <v>974</v>
      </c>
      <c r="R631" s="0" t="s">
        <v>970</v>
      </c>
      <c r="S631" s="0" t="s">
        <v>974</v>
      </c>
    </row>
    <row r="632" customFormat="false" ht="13.8" hidden="false" customHeight="false" outlineLevel="0" collapsed="false">
      <c r="A632" s="0" t="n">
        <v>2388</v>
      </c>
      <c r="B632" s="0" t="s">
        <v>4075</v>
      </c>
      <c r="C632" s="0" t="s">
        <v>4000</v>
      </c>
      <c r="E632" s="0" t="n">
        <f aca="false">IF(J631=J632,E631+10,0)</f>
        <v>90</v>
      </c>
      <c r="F632" s="0" t="s">
        <v>4076</v>
      </c>
      <c r="G632" s="0" t="s">
        <v>4077</v>
      </c>
      <c r="H632" s="0" t="s">
        <v>4078</v>
      </c>
      <c r="I632" s="0" t="s">
        <v>1106</v>
      </c>
      <c r="J632" s="0" t="s">
        <v>1106</v>
      </c>
      <c r="K632" s="0" t="s">
        <v>971</v>
      </c>
      <c r="L632" s="0" t="s">
        <v>974</v>
      </c>
      <c r="M632" s="0" t="s">
        <v>973</v>
      </c>
      <c r="N632" s="0" t="s">
        <v>974</v>
      </c>
      <c r="O632" s="0" t="s">
        <v>975</v>
      </c>
      <c r="P632" s="0" t="s">
        <v>976</v>
      </c>
      <c r="Q632" s="0" t="s">
        <v>1459</v>
      </c>
      <c r="R632" s="0" t="s">
        <v>970</v>
      </c>
      <c r="S632" s="0" t="s">
        <v>974</v>
      </c>
    </row>
    <row r="633" customFormat="false" ht="13.8" hidden="false" customHeight="false" outlineLevel="0" collapsed="false">
      <c r="A633" s="0" t="n">
        <v>2389</v>
      </c>
      <c r="B633" s="0" t="s">
        <v>4079</v>
      </c>
      <c r="C633" s="0" t="s">
        <v>1662</v>
      </c>
      <c r="E633" s="0" t="n">
        <f aca="false">IF(J632=J633,E632+10,0)</f>
        <v>100</v>
      </c>
      <c r="F633" s="0" t="s">
        <v>4080</v>
      </c>
      <c r="G633" s="0" t="s">
        <v>4081</v>
      </c>
      <c r="H633" s="0" t="s">
        <v>4082</v>
      </c>
      <c r="I633" s="0" t="s">
        <v>1666</v>
      </c>
      <c r="J633" s="0" t="s">
        <v>1106</v>
      </c>
      <c r="K633" s="0" t="s">
        <v>971</v>
      </c>
      <c r="L633" s="0" t="s">
        <v>974</v>
      </c>
      <c r="M633" s="0" t="s">
        <v>973</v>
      </c>
      <c r="N633" s="0" t="s">
        <v>974</v>
      </c>
      <c r="O633" s="0" t="s">
        <v>975</v>
      </c>
      <c r="P633" s="0" t="s">
        <v>976</v>
      </c>
      <c r="Q633" s="0" t="s">
        <v>973</v>
      </c>
      <c r="R633" s="0" t="s">
        <v>1046</v>
      </c>
      <c r="S633" s="0" t="s">
        <v>974</v>
      </c>
    </row>
    <row r="634" customFormat="false" ht="13.8" hidden="false" customHeight="false" outlineLevel="0" collapsed="false">
      <c r="A634" s="0" t="n">
        <v>2390</v>
      </c>
      <c r="B634" s="0" t="s">
        <v>4083</v>
      </c>
      <c r="C634" s="0" t="s">
        <v>4084</v>
      </c>
      <c r="E634" s="0" t="n">
        <f aca="false">IF(J633=J634,E633+10,0)</f>
        <v>110</v>
      </c>
      <c r="F634" s="0" t="s">
        <v>4085</v>
      </c>
      <c r="G634" s="0" t="s">
        <v>4086</v>
      </c>
      <c r="H634" s="0" t="s">
        <v>4087</v>
      </c>
      <c r="I634" s="0" t="s">
        <v>1723</v>
      </c>
      <c r="J634" s="0" t="s">
        <v>1106</v>
      </c>
      <c r="K634" s="0" t="s">
        <v>971</v>
      </c>
      <c r="L634" s="0" t="s">
        <v>974</v>
      </c>
      <c r="M634" s="0" t="s">
        <v>973</v>
      </c>
      <c r="N634" s="0" t="s">
        <v>974</v>
      </c>
      <c r="O634" s="0" t="s">
        <v>975</v>
      </c>
      <c r="P634" s="0" t="s">
        <v>976</v>
      </c>
      <c r="Q634" s="0" t="s">
        <v>970</v>
      </c>
      <c r="R634" s="0" t="s">
        <v>970</v>
      </c>
      <c r="S634" s="0" t="s">
        <v>974</v>
      </c>
    </row>
    <row r="635" customFormat="false" ht="13.8" hidden="false" customHeight="false" outlineLevel="0" collapsed="false">
      <c r="A635" s="0" t="n">
        <v>2391</v>
      </c>
      <c r="B635" s="0" t="s">
        <v>4088</v>
      </c>
      <c r="C635" s="0" t="s">
        <v>4089</v>
      </c>
      <c r="E635" s="0" t="n">
        <f aca="false">IF(J634=J635,E634+10,0)</f>
        <v>120</v>
      </c>
      <c r="F635" s="0" t="s">
        <v>4090</v>
      </c>
      <c r="G635" s="0" t="s">
        <v>4091</v>
      </c>
      <c r="H635" s="0" t="s">
        <v>4092</v>
      </c>
      <c r="I635" s="0" t="s">
        <v>2195</v>
      </c>
      <c r="J635" s="0" t="s">
        <v>1106</v>
      </c>
      <c r="K635" s="0" t="s">
        <v>971</v>
      </c>
      <c r="L635" s="0" t="s">
        <v>974</v>
      </c>
      <c r="M635" s="0" t="s">
        <v>973</v>
      </c>
      <c r="N635" s="0" t="s">
        <v>974</v>
      </c>
      <c r="O635" s="0" t="s">
        <v>975</v>
      </c>
      <c r="P635" s="0" t="s">
        <v>976</v>
      </c>
      <c r="Q635" s="0" t="s">
        <v>970</v>
      </c>
      <c r="R635" s="0" t="s">
        <v>970</v>
      </c>
      <c r="S635" s="0" t="s">
        <v>974</v>
      </c>
    </row>
    <row r="636" customFormat="false" ht="13.8" hidden="false" customHeight="false" outlineLevel="0" collapsed="false">
      <c r="A636" s="0" t="n">
        <v>2392</v>
      </c>
      <c r="B636" s="0" t="s">
        <v>4093</v>
      </c>
      <c r="C636" s="0" t="s">
        <v>4018</v>
      </c>
      <c r="E636" s="0" t="n">
        <f aca="false">IF(J635=J636,E635+10,0)</f>
        <v>130</v>
      </c>
      <c r="F636" s="0" t="s">
        <v>4094</v>
      </c>
      <c r="G636" s="0" t="s">
        <v>4095</v>
      </c>
      <c r="H636" s="0" t="s">
        <v>4096</v>
      </c>
      <c r="I636" s="0" t="s">
        <v>1180</v>
      </c>
      <c r="J636" s="0" t="s">
        <v>1106</v>
      </c>
      <c r="K636" s="0" t="s">
        <v>971</v>
      </c>
      <c r="L636" s="0" t="s">
        <v>974</v>
      </c>
      <c r="M636" s="0" t="s">
        <v>973</v>
      </c>
      <c r="N636" s="0" t="s">
        <v>974</v>
      </c>
      <c r="O636" s="0" t="s">
        <v>975</v>
      </c>
      <c r="P636" s="0" t="s">
        <v>976</v>
      </c>
      <c r="Q636" s="0" t="s">
        <v>970</v>
      </c>
      <c r="R636" s="0" t="s">
        <v>1046</v>
      </c>
      <c r="S636" s="0" t="s">
        <v>974</v>
      </c>
    </row>
    <row r="637" customFormat="false" ht="13.8" hidden="false" customHeight="false" outlineLevel="0" collapsed="false">
      <c r="A637" s="0" t="n">
        <v>2393</v>
      </c>
      <c r="B637" s="0" t="s">
        <v>4097</v>
      </c>
      <c r="C637" s="0" t="s">
        <v>4098</v>
      </c>
      <c r="E637" s="0" t="n">
        <f aca="false">IF(J636=J637,E636+10,0)</f>
        <v>140</v>
      </c>
      <c r="F637" s="0" t="s">
        <v>4099</v>
      </c>
      <c r="G637" s="0" t="s">
        <v>4100</v>
      </c>
      <c r="H637" s="0" t="s">
        <v>4101</v>
      </c>
      <c r="I637" s="0" t="s">
        <v>1045</v>
      </c>
      <c r="J637" s="0" t="s">
        <v>1106</v>
      </c>
      <c r="K637" s="0" t="s">
        <v>971</v>
      </c>
      <c r="L637" s="0" t="s">
        <v>974</v>
      </c>
      <c r="M637" s="0" t="s">
        <v>973</v>
      </c>
      <c r="N637" s="0" t="s">
        <v>974</v>
      </c>
      <c r="O637" s="0" t="s">
        <v>975</v>
      </c>
      <c r="P637" s="0" t="s">
        <v>976</v>
      </c>
      <c r="Q637" s="0" t="s">
        <v>1059</v>
      </c>
      <c r="R637" s="0" t="s">
        <v>1046</v>
      </c>
      <c r="S637" s="0" t="s">
        <v>974</v>
      </c>
    </row>
    <row r="638" customFormat="false" ht="13.8" hidden="false" customHeight="false" outlineLevel="0" collapsed="false">
      <c r="A638" s="0" t="n">
        <v>2394</v>
      </c>
      <c r="B638" s="0" t="s">
        <v>4102</v>
      </c>
      <c r="C638" s="0" t="s">
        <v>4028</v>
      </c>
      <c r="E638" s="0" t="n">
        <f aca="false">IF(J637=J638,E637+10,0)</f>
        <v>150</v>
      </c>
      <c r="F638" s="0" t="s">
        <v>4103</v>
      </c>
      <c r="G638" s="0" t="s">
        <v>4104</v>
      </c>
      <c r="H638" s="0" t="s">
        <v>4105</v>
      </c>
      <c r="I638" s="0" t="s">
        <v>1587</v>
      </c>
      <c r="J638" s="0" t="s">
        <v>1106</v>
      </c>
      <c r="K638" s="0" t="s">
        <v>971</v>
      </c>
      <c r="L638" s="0" t="s">
        <v>974</v>
      </c>
      <c r="M638" s="0" t="s">
        <v>973</v>
      </c>
      <c r="N638" s="0" t="s">
        <v>974</v>
      </c>
      <c r="O638" s="0" t="s">
        <v>975</v>
      </c>
      <c r="P638" s="0" t="s">
        <v>976</v>
      </c>
      <c r="Q638" s="0" t="s">
        <v>1059</v>
      </c>
      <c r="R638" s="0" t="s">
        <v>1046</v>
      </c>
      <c r="S638" s="0" t="s">
        <v>974</v>
      </c>
    </row>
    <row r="639" customFormat="false" ht="13.8" hidden="false" customHeight="false" outlineLevel="0" collapsed="false">
      <c r="A639" s="0" t="n">
        <v>2395</v>
      </c>
      <c r="B639" s="0" t="s">
        <v>4106</v>
      </c>
      <c r="C639" s="0" t="s">
        <v>1420</v>
      </c>
      <c r="E639" s="0" t="n">
        <f aca="false">IF(J638=J639,E638+10,0)</f>
        <v>160</v>
      </c>
      <c r="F639" s="0" t="s">
        <v>4107</v>
      </c>
      <c r="G639" s="0" t="s">
        <v>4108</v>
      </c>
      <c r="H639" s="0" t="s">
        <v>4109</v>
      </c>
      <c r="I639" s="0" t="s">
        <v>1100</v>
      </c>
      <c r="J639" s="0" t="s">
        <v>1106</v>
      </c>
      <c r="K639" s="0" t="s">
        <v>971</v>
      </c>
      <c r="L639" s="0" t="s">
        <v>974</v>
      </c>
      <c r="M639" s="0" t="s">
        <v>973</v>
      </c>
      <c r="N639" s="0" t="s">
        <v>974</v>
      </c>
      <c r="O639" s="0" t="s">
        <v>975</v>
      </c>
      <c r="P639" s="0" t="s">
        <v>976</v>
      </c>
      <c r="Q639" s="0" t="s">
        <v>1459</v>
      </c>
      <c r="R639" s="0" t="s">
        <v>1046</v>
      </c>
      <c r="S639" s="0" t="s">
        <v>974</v>
      </c>
    </row>
    <row r="640" customFormat="false" ht="13.8" hidden="false" customHeight="false" outlineLevel="0" collapsed="false">
      <c r="A640" s="0" t="n">
        <v>2396</v>
      </c>
      <c r="B640" s="0" t="s">
        <v>4110</v>
      </c>
      <c r="C640" s="0" t="s">
        <v>4111</v>
      </c>
      <c r="E640" s="0" t="n">
        <f aca="false">IF(J639=J640,E639+10,0)</f>
        <v>0</v>
      </c>
      <c r="F640" s="0" t="s">
        <v>4112</v>
      </c>
      <c r="G640" s="0" t="s">
        <v>4113</v>
      </c>
      <c r="H640" s="0" t="s">
        <v>4114</v>
      </c>
      <c r="I640" s="0" t="s">
        <v>1002</v>
      </c>
      <c r="J640" s="0" t="s">
        <v>1505</v>
      </c>
      <c r="K640" s="0" t="s">
        <v>971</v>
      </c>
      <c r="L640" s="0" t="s">
        <v>1067</v>
      </c>
      <c r="M640" s="0" t="s">
        <v>973</v>
      </c>
      <c r="N640" s="0" t="s">
        <v>974</v>
      </c>
      <c r="O640" s="0" t="s">
        <v>975</v>
      </c>
      <c r="P640" s="0" t="s">
        <v>976</v>
      </c>
      <c r="Q640" s="0" t="s">
        <v>974</v>
      </c>
      <c r="R640" s="0" t="s">
        <v>970</v>
      </c>
      <c r="S640" s="0" t="s">
        <v>974</v>
      </c>
    </row>
    <row r="641" customFormat="false" ht="13.8" hidden="false" customHeight="false" outlineLevel="0" collapsed="false">
      <c r="A641" s="0" t="n">
        <v>2397</v>
      </c>
      <c r="B641" s="0" t="s">
        <v>4115</v>
      </c>
      <c r="C641" s="0" t="s">
        <v>3963</v>
      </c>
      <c r="E641" s="0" t="n">
        <f aca="false">IF(J640=J641,E640+10,0)</f>
        <v>10</v>
      </c>
      <c r="F641" s="0" t="s">
        <v>4116</v>
      </c>
      <c r="G641" s="0" t="s">
        <v>4117</v>
      </c>
      <c r="H641" s="0" t="s">
        <v>4118</v>
      </c>
      <c r="I641" s="0" t="s">
        <v>2798</v>
      </c>
      <c r="J641" s="0" t="s">
        <v>1505</v>
      </c>
      <c r="K641" s="0" t="s">
        <v>971</v>
      </c>
      <c r="L641" s="0" t="s">
        <v>1046</v>
      </c>
      <c r="M641" s="0" t="s">
        <v>973</v>
      </c>
      <c r="N641" s="0" t="s">
        <v>974</v>
      </c>
      <c r="O641" s="0" t="s">
        <v>975</v>
      </c>
      <c r="P641" s="0" t="s">
        <v>976</v>
      </c>
      <c r="Q641" s="0" t="s">
        <v>974</v>
      </c>
      <c r="R641" s="0" t="s">
        <v>970</v>
      </c>
      <c r="S641" s="0" t="s">
        <v>974</v>
      </c>
    </row>
    <row r="642" customFormat="false" ht="13.8" hidden="false" customHeight="false" outlineLevel="0" collapsed="false">
      <c r="A642" s="0" t="n">
        <v>2398</v>
      </c>
      <c r="B642" s="0" t="s">
        <v>4119</v>
      </c>
      <c r="C642" s="0" t="s">
        <v>3901</v>
      </c>
      <c r="E642" s="0" t="n">
        <f aca="false">IF(J641=J642,E641+10,0)</f>
        <v>20</v>
      </c>
      <c r="F642" s="0" t="s">
        <v>4120</v>
      </c>
      <c r="G642" s="0" t="s">
        <v>4121</v>
      </c>
      <c r="H642" s="0" t="s">
        <v>4122</v>
      </c>
      <c r="I642" s="0" t="s">
        <v>1505</v>
      </c>
      <c r="J642" s="0" t="s">
        <v>1505</v>
      </c>
      <c r="K642" s="0" t="s">
        <v>971</v>
      </c>
      <c r="L642" s="0" t="s">
        <v>1067</v>
      </c>
      <c r="M642" s="0" t="s">
        <v>973</v>
      </c>
      <c r="N642" s="0" t="s">
        <v>974</v>
      </c>
      <c r="O642" s="0" t="s">
        <v>975</v>
      </c>
      <c r="P642" s="0" t="s">
        <v>976</v>
      </c>
      <c r="Q642" s="0" t="s">
        <v>974</v>
      </c>
      <c r="R642" s="0" t="s">
        <v>970</v>
      </c>
      <c r="S642" s="0" t="s">
        <v>974</v>
      </c>
    </row>
    <row r="643" customFormat="false" ht="13.8" hidden="false" customHeight="false" outlineLevel="0" collapsed="false">
      <c r="A643" s="0" t="n">
        <v>2399</v>
      </c>
      <c r="B643" s="0" t="s">
        <v>4123</v>
      </c>
      <c r="C643" s="0" t="s">
        <v>3976</v>
      </c>
      <c r="E643" s="0" t="n">
        <f aca="false">IF(J642=J643,E642+10,0)</f>
        <v>30</v>
      </c>
      <c r="F643" s="0" t="s">
        <v>4124</v>
      </c>
      <c r="G643" s="0" t="s">
        <v>4125</v>
      </c>
      <c r="H643" s="0" t="s">
        <v>4126</v>
      </c>
      <c r="I643" s="0" t="s">
        <v>1021</v>
      </c>
      <c r="J643" s="0" t="s">
        <v>1505</v>
      </c>
      <c r="K643" s="0" t="s">
        <v>971</v>
      </c>
      <c r="L643" s="0" t="s">
        <v>974</v>
      </c>
      <c r="M643" s="0" t="s">
        <v>973</v>
      </c>
      <c r="N643" s="0" t="s">
        <v>974</v>
      </c>
      <c r="O643" s="0" t="s">
        <v>975</v>
      </c>
      <c r="P643" s="0" t="s">
        <v>976</v>
      </c>
      <c r="Q643" s="0" t="s">
        <v>970</v>
      </c>
      <c r="R643" s="0" t="s">
        <v>970</v>
      </c>
      <c r="S643" s="0" t="s">
        <v>974</v>
      </c>
    </row>
    <row r="644" customFormat="false" ht="13.8" hidden="false" customHeight="false" outlineLevel="0" collapsed="false">
      <c r="A644" s="0" t="n">
        <v>2400</v>
      </c>
      <c r="B644" s="0" t="s">
        <v>4127</v>
      </c>
      <c r="C644" s="0" t="s">
        <v>1061</v>
      </c>
      <c r="E644" s="0" t="n">
        <f aca="false">IF(J643=J644,E643+10,0)</f>
        <v>40</v>
      </c>
      <c r="F644" s="0" t="s">
        <v>4128</v>
      </c>
      <c r="G644" s="0" t="s">
        <v>4129</v>
      </c>
      <c r="H644" s="0" t="s">
        <v>4130</v>
      </c>
      <c r="I644" s="0" t="s">
        <v>1065</v>
      </c>
      <c r="J644" s="0" t="s">
        <v>1505</v>
      </c>
      <c r="K644" s="0" t="s">
        <v>971</v>
      </c>
      <c r="L644" s="0" t="s">
        <v>974</v>
      </c>
      <c r="M644" s="0" t="s">
        <v>973</v>
      </c>
      <c r="N644" s="0" t="s">
        <v>974</v>
      </c>
      <c r="O644" s="0" t="s">
        <v>975</v>
      </c>
      <c r="P644" s="0" t="s">
        <v>976</v>
      </c>
      <c r="Q644" s="0" t="s">
        <v>975</v>
      </c>
      <c r="R644" s="0" t="s">
        <v>970</v>
      </c>
      <c r="S644" s="0" t="s">
        <v>974</v>
      </c>
    </row>
    <row r="645" customFormat="false" ht="13.8" hidden="false" customHeight="false" outlineLevel="0" collapsed="false">
      <c r="A645" s="0" t="n">
        <v>2401</v>
      </c>
      <c r="B645" s="0" t="s">
        <v>4131</v>
      </c>
      <c r="C645" s="0" t="s">
        <v>3985</v>
      </c>
      <c r="E645" s="0" t="n">
        <f aca="false">IF(J644=J645,E644+10,0)</f>
        <v>50</v>
      </c>
      <c r="F645" s="0" t="s">
        <v>4132</v>
      </c>
      <c r="G645" s="0" t="s">
        <v>4133</v>
      </c>
      <c r="H645" s="0" t="s">
        <v>4134</v>
      </c>
      <c r="I645" s="0" t="s">
        <v>970</v>
      </c>
      <c r="J645" s="0" t="s">
        <v>1505</v>
      </c>
      <c r="K645" s="0" t="s">
        <v>971</v>
      </c>
      <c r="L645" s="0" t="s">
        <v>974</v>
      </c>
      <c r="M645" s="0" t="s">
        <v>973</v>
      </c>
      <c r="N645" s="0" t="s">
        <v>974</v>
      </c>
      <c r="O645" s="0" t="s">
        <v>975</v>
      </c>
      <c r="P645" s="0" t="s">
        <v>976</v>
      </c>
      <c r="Q645" s="0" t="s">
        <v>1059</v>
      </c>
      <c r="R645" s="0" t="s">
        <v>970</v>
      </c>
      <c r="S645" s="0" t="s">
        <v>974</v>
      </c>
    </row>
    <row r="646" customFormat="false" ht="13.8" hidden="false" customHeight="false" outlineLevel="0" collapsed="false">
      <c r="A646" s="0" t="n">
        <v>2402</v>
      </c>
      <c r="B646" s="0" t="s">
        <v>4135</v>
      </c>
      <c r="C646" s="0" t="s">
        <v>3990</v>
      </c>
      <c r="E646" s="0" t="n">
        <f aca="false">IF(J645=J646,E645+10,0)</f>
        <v>60</v>
      </c>
      <c r="F646" s="0" t="s">
        <v>4136</v>
      </c>
      <c r="G646" s="0" t="s">
        <v>4137</v>
      </c>
      <c r="H646" s="0" t="s">
        <v>4138</v>
      </c>
      <c r="I646" s="0" t="s">
        <v>1033</v>
      </c>
      <c r="J646" s="0" t="s">
        <v>1505</v>
      </c>
      <c r="K646" s="0" t="s">
        <v>971</v>
      </c>
      <c r="L646" s="0" t="s">
        <v>974</v>
      </c>
      <c r="M646" s="0" t="s">
        <v>973</v>
      </c>
      <c r="N646" s="0" t="s">
        <v>974</v>
      </c>
      <c r="O646" s="0" t="s">
        <v>975</v>
      </c>
      <c r="P646" s="0" t="s">
        <v>976</v>
      </c>
      <c r="Q646" s="0" t="s">
        <v>973</v>
      </c>
      <c r="R646" s="0" t="s">
        <v>970</v>
      </c>
      <c r="S646" s="0" t="s">
        <v>974</v>
      </c>
    </row>
    <row r="647" customFormat="false" ht="13.8" hidden="false" customHeight="false" outlineLevel="0" collapsed="false">
      <c r="A647" s="0" t="n">
        <v>2403</v>
      </c>
      <c r="B647" s="0" t="s">
        <v>4139</v>
      </c>
      <c r="C647" s="0" t="s">
        <v>4065</v>
      </c>
      <c r="E647" s="0" t="n">
        <f aca="false">IF(J646=J647,E646+10,0)</f>
        <v>70</v>
      </c>
      <c r="F647" s="0" t="s">
        <v>4140</v>
      </c>
      <c r="G647" s="0" t="s">
        <v>4141</v>
      </c>
      <c r="H647" s="0" t="s">
        <v>4142</v>
      </c>
      <c r="I647" s="0" t="s">
        <v>1167</v>
      </c>
      <c r="J647" s="0" t="s">
        <v>1505</v>
      </c>
      <c r="K647" s="0" t="s">
        <v>971</v>
      </c>
      <c r="L647" s="0" t="s">
        <v>974</v>
      </c>
      <c r="M647" s="0" t="s">
        <v>973</v>
      </c>
      <c r="N647" s="0" t="s">
        <v>974</v>
      </c>
      <c r="O647" s="0" t="s">
        <v>975</v>
      </c>
      <c r="P647" s="0" t="s">
        <v>976</v>
      </c>
      <c r="Q647" s="0" t="s">
        <v>1169</v>
      </c>
      <c r="R647" s="0" t="s">
        <v>970</v>
      </c>
      <c r="S647" s="0" t="s">
        <v>974</v>
      </c>
    </row>
    <row r="648" customFormat="false" ht="13.8" hidden="false" customHeight="false" outlineLevel="0" collapsed="false">
      <c r="A648" s="0" t="n">
        <v>2404</v>
      </c>
      <c r="B648" s="0" t="s">
        <v>4143</v>
      </c>
      <c r="C648" s="0" t="s">
        <v>4144</v>
      </c>
      <c r="E648" s="0" t="n">
        <f aca="false">IF(J647=J648,E647+10,0)</f>
        <v>80</v>
      </c>
      <c r="F648" s="0" t="s">
        <v>4145</v>
      </c>
      <c r="G648" s="0" t="s">
        <v>4146</v>
      </c>
      <c r="H648" s="0" t="s">
        <v>4147</v>
      </c>
      <c r="I648" s="0" t="s">
        <v>4148</v>
      </c>
      <c r="J648" s="0" t="s">
        <v>1505</v>
      </c>
      <c r="K648" s="0" t="s">
        <v>971</v>
      </c>
      <c r="L648" s="0" t="s">
        <v>1829</v>
      </c>
      <c r="M648" s="0" t="s">
        <v>973</v>
      </c>
      <c r="N648" s="0" t="s">
        <v>974</v>
      </c>
      <c r="O648" s="0" t="s">
        <v>975</v>
      </c>
      <c r="P648" s="0" t="s">
        <v>976</v>
      </c>
      <c r="Q648" s="0" t="s">
        <v>974</v>
      </c>
      <c r="R648" s="0" t="s">
        <v>970</v>
      </c>
      <c r="S648" s="0" t="s">
        <v>974</v>
      </c>
    </row>
    <row r="649" customFormat="false" ht="13.8" hidden="false" customHeight="false" outlineLevel="0" collapsed="false">
      <c r="A649" s="0" t="n">
        <v>2405</v>
      </c>
      <c r="B649" s="0" t="s">
        <v>4149</v>
      </c>
      <c r="C649" s="0" t="s">
        <v>4000</v>
      </c>
      <c r="E649" s="0" t="n">
        <f aca="false">IF(J648=J649,E648+10,0)</f>
        <v>90</v>
      </c>
      <c r="F649" s="0" t="s">
        <v>4150</v>
      </c>
      <c r="G649" s="0" t="s">
        <v>4151</v>
      </c>
      <c r="H649" s="0" t="s">
        <v>4152</v>
      </c>
      <c r="I649" s="0" t="s">
        <v>1106</v>
      </c>
      <c r="J649" s="0" t="s">
        <v>1505</v>
      </c>
      <c r="K649" s="0" t="s">
        <v>971</v>
      </c>
      <c r="L649" s="0" t="s">
        <v>974</v>
      </c>
      <c r="M649" s="0" t="s">
        <v>973</v>
      </c>
      <c r="N649" s="0" t="s">
        <v>974</v>
      </c>
      <c r="O649" s="0" t="s">
        <v>975</v>
      </c>
      <c r="P649" s="0" t="s">
        <v>976</v>
      </c>
      <c r="Q649" s="0" t="s">
        <v>1541</v>
      </c>
      <c r="R649" s="0" t="s">
        <v>970</v>
      </c>
      <c r="S649" s="0" t="s">
        <v>974</v>
      </c>
    </row>
    <row r="650" customFormat="false" ht="13.8" hidden="false" customHeight="false" outlineLevel="0" collapsed="false">
      <c r="A650" s="0" t="n">
        <v>2406</v>
      </c>
      <c r="B650" s="0" t="s">
        <v>4153</v>
      </c>
      <c r="C650" s="0" t="s">
        <v>1662</v>
      </c>
      <c r="E650" s="0" t="n">
        <f aca="false">IF(J649=J650,E649+10,0)</f>
        <v>100</v>
      </c>
      <c r="F650" s="0" t="s">
        <v>4154</v>
      </c>
      <c r="G650" s="0" t="s">
        <v>4155</v>
      </c>
      <c r="H650" s="0" t="s">
        <v>4156</v>
      </c>
      <c r="I650" s="0" t="s">
        <v>1666</v>
      </c>
      <c r="J650" s="0" t="s">
        <v>1505</v>
      </c>
      <c r="K650" s="0" t="s">
        <v>971</v>
      </c>
      <c r="L650" s="0" t="s">
        <v>974</v>
      </c>
      <c r="M650" s="0" t="s">
        <v>973</v>
      </c>
      <c r="N650" s="0" t="s">
        <v>974</v>
      </c>
      <c r="O650" s="0" t="s">
        <v>975</v>
      </c>
      <c r="P650" s="0" t="s">
        <v>976</v>
      </c>
      <c r="Q650" s="0" t="s">
        <v>973</v>
      </c>
      <c r="R650" s="0" t="s">
        <v>1046</v>
      </c>
      <c r="S650" s="0" t="s">
        <v>974</v>
      </c>
    </row>
    <row r="651" customFormat="false" ht="13.8" hidden="false" customHeight="false" outlineLevel="0" collapsed="false">
      <c r="A651" s="0" t="n">
        <v>2407</v>
      </c>
      <c r="B651" s="0" t="s">
        <v>4157</v>
      </c>
      <c r="C651" s="0" t="s">
        <v>4084</v>
      </c>
      <c r="E651" s="0" t="n">
        <f aca="false">IF(J650=J651,E650+10,0)</f>
        <v>110</v>
      </c>
      <c r="F651" s="0" t="s">
        <v>4158</v>
      </c>
      <c r="G651" s="0" t="s">
        <v>4159</v>
      </c>
      <c r="H651" s="0" t="s">
        <v>4160</v>
      </c>
      <c r="I651" s="0" t="s">
        <v>1723</v>
      </c>
      <c r="J651" s="0" t="s">
        <v>1505</v>
      </c>
      <c r="K651" s="0" t="s">
        <v>971</v>
      </c>
      <c r="L651" s="0" t="s">
        <v>974</v>
      </c>
      <c r="M651" s="0" t="s">
        <v>973</v>
      </c>
      <c r="N651" s="0" t="s">
        <v>974</v>
      </c>
      <c r="O651" s="0" t="s">
        <v>975</v>
      </c>
      <c r="P651" s="0" t="s">
        <v>976</v>
      </c>
      <c r="Q651" s="0" t="s">
        <v>970</v>
      </c>
      <c r="R651" s="0" t="s">
        <v>970</v>
      </c>
      <c r="S651" s="0" t="s">
        <v>974</v>
      </c>
    </row>
    <row r="652" customFormat="false" ht="13.8" hidden="false" customHeight="false" outlineLevel="0" collapsed="false">
      <c r="A652" s="0" t="n">
        <v>2408</v>
      </c>
      <c r="B652" s="0" t="s">
        <v>4161</v>
      </c>
      <c r="C652" s="0" t="s">
        <v>4089</v>
      </c>
      <c r="E652" s="0" t="n">
        <f aca="false">IF(J651=J652,E651+10,0)</f>
        <v>120</v>
      </c>
      <c r="F652" s="0" t="s">
        <v>4162</v>
      </c>
      <c r="G652" s="0" t="s">
        <v>4163</v>
      </c>
      <c r="H652" s="0" t="s">
        <v>4164</v>
      </c>
      <c r="I652" s="0" t="s">
        <v>2195</v>
      </c>
      <c r="J652" s="0" t="s">
        <v>1505</v>
      </c>
      <c r="K652" s="0" t="s">
        <v>971</v>
      </c>
      <c r="L652" s="0" t="s">
        <v>974</v>
      </c>
      <c r="M652" s="0" t="s">
        <v>973</v>
      </c>
      <c r="N652" s="0" t="s">
        <v>974</v>
      </c>
      <c r="O652" s="0" t="s">
        <v>975</v>
      </c>
      <c r="P652" s="0" t="s">
        <v>976</v>
      </c>
      <c r="Q652" s="0" t="s">
        <v>970</v>
      </c>
      <c r="R652" s="0" t="s">
        <v>970</v>
      </c>
      <c r="S652" s="0" t="s">
        <v>974</v>
      </c>
    </row>
    <row r="653" customFormat="false" ht="13.8" hidden="false" customHeight="false" outlineLevel="0" collapsed="false">
      <c r="A653" s="0" t="n">
        <v>2409</v>
      </c>
      <c r="B653" s="0" t="s">
        <v>4165</v>
      </c>
      <c r="C653" s="0" t="s">
        <v>4018</v>
      </c>
      <c r="E653" s="0" t="n">
        <f aca="false">IF(J652=J653,E652+10,0)</f>
        <v>130</v>
      </c>
      <c r="F653" s="0" t="s">
        <v>4166</v>
      </c>
      <c r="G653" s="0" t="s">
        <v>4167</v>
      </c>
      <c r="H653" s="0" t="s">
        <v>4168</v>
      </c>
      <c r="I653" s="0" t="s">
        <v>1180</v>
      </c>
      <c r="J653" s="0" t="s">
        <v>1505</v>
      </c>
      <c r="K653" s="0" t="s">
        <v>971</v>
      </c>
      <c r="L653" s="0" t="s">
        <v>974</v>
      </c>
      <c r="M653" s="0" t="s">
        <v>973</v>
      </c>
      <c r="N653" s="0" t="s">
        <v>974</v>
      </c>
      <c r="O653" s="0" t="s">
        <v>975</v>
      </c>
      <c r="P653" s="0" t="s">
        <v>976</v>
      </c>
      <c r="Q653" s="0" t="s">
        <v>970</v>
      </c>
      <c r="R653" s="0" t="s">
        <v>1046</v>
      </c>
      <c r="S653" s="0" t="s">
        <v>974</v>
      </c>
    </row>
    <row r="654" customFormat="false" ht="13.8" hidden="false" customHeight="false" outlineLevel="0" collapsed="false">
      <c r="A654" s="0" t="n">
        <v>2410</v>
      </c>
      <c r="B654" s="0" t="s">
        <v>4169</v>
      </c>
      <c r="C654" s="0" t="s">
        <v>4098</v>
      </c>
      <c r="E654" s="0" t="n">
        <f aca="false">IF(J653=J654,E653+10,0)</f>
        <v>140</v>
      </c>
      <c r="F654" s="0" t="s">
        <v>4170</v>
      </c>
      <c r="G654" s="0" t="s">
        <v>4171</v>
      </c>
      <c r="H654" s="0" t="s">
        <v>4172</v>
      </c>
      <c r="I654" s="0" t="s">
        <v>1045</v>
      </c>
      <c r="J654" s="0" t="s">
        <v>1505</v>
      </c>
      <c r="K654" s="0" t="s">
        <v>971</v>
      </c>
      <c r="L654" s="0" t="s">
        <v>974</v>
      </c>
      <c r="M654" s="0" t="s">
        <v>973</v>
      </c>
      <c r="N654" s="0" t="s">
        <v>974</v>
      </c>
      <c r="O654" s="0" t="s">
        <v>975</v>
      </c>
      <c r="P654" s="0" t="s">
        <v>976</v>
      </c>
      <c r="Q654" s="0" t="s">
        <v>1059</v>
      </c>
      <c r="R654" s="0" t="s">
        <v>1046</v>
      </c>
      <c r="S654" s="0" t="s">
        <v>974</v>
      </c>
    </row>
    <row r="655" customFormat="false" ht="13.8" hidden="false" customHeight="false" outlineLevel="0" collapsed="false">
      <c r="A655" s="0" t="n">
        <v>2411</v>
      </c>
      <c r="B655" s="0" t="s">
        <v>4173</v>
      </c>
      <c r="C655" s="0" t="s">
        <v>4028</v>
      </c>
      <c r="E655" s="0" t="n">
        <f aca="false">IF(J654=J655,E654+10,0)</f>
        <v>150</v>
      </c>
      <c r="F655" s="0" t="s">
        <v>4174</v>
      </c>
      <c r="G655" s="0" t="s">
        <v>4175</v>
      </c>
      <c r="H655" s="0" t="s">
        <v>4176</v>
      </c>
      <c r="I655" s="0" t="s">
        <v>1587</v>
      </c>
      <c r="J655" s="0" t="s">
        <v>1505</v>
      </c>
      <c r="K655" s="0" t="s">
        <v>971</v>
      </c>
      <c r="L655" s="0" t="s">
        <v>974</v>
      </c>
      <c r="M655" s="0" t="s">
        <v>973</v>
      </c>
      <c r="N655" s="0" t="s">
        <v>974</v>
      </c>
      <c r="O655" s="0" t="s">
        <v>975</v>
      </c>
      <c r="P655" s="0" t="s">
        <v>976</v>
      </c>
      <c r="Q655" s="0" t="s">
        <v>1059</v>
      </c>
      <c r="R655" s="0" t="s">
        <v>1046</v>
      </c>
      <c r="S655" s="0" t="s">
        <v>974</v>
      </c>
    </row>
    <row r="656" customFormat="false" ht="13.8" hidden="false" customHeight="false" outlineLevel="0" collapsed="false">
      <c r="A656" s="0" t="n">
        <v>2412</v>
      </c>
      <c r="B656" s="0" t="s">
        <v>4177</v>
      </c>
      <c r="C656" s="0" t="s">
        <v>4178</v>
      </c>
      <c r="E656" s="0" t="n">
        <f aca="false">IF(J655=J656,E655+10,0)</f>
        <v>160</v>
      </c>
      <c r="F656" s="0" t="s">
        <v>4179</v>
      </c>
      <c r="G656" s="0" t="s">
        <v>4180</v>
      </c>
      <c r="H656" s="0" t="s">
        <v>4181</v>
      </c>
      <c r="I656" s="0" t="s">
        <v>4182</v>
      </c>
      <c r="J656" s="0" t="s">
        <v>1505</v>
      </c>
      <c r="K656" s="0" t="s">
        <v>971</v>
      </c>
      <c r="L656" s="0" t="s">
        <v>974</v>
      </c>
      <c r="M656" s="0" t="s">
        <v>973</v>
      </c>
      <c r="N656" s="0" t="s">
        <v>974</v>
      </c>
      <c r="O656" s="0" t="s">
        <v>975</v>
      </c>
      <c r="P656" s="0" t="s">
        <v>976</v>
      </c>
      <c r="Q656" s="0" t="s">
        <v>1059</v>
      </c>
      <c r="R656" s="0" t="s">
        <v>970</v>
      </c>
      <c r="S656" s="0" t="s">
        <v>974</v>
      </c>
    </row>
    <row r="657" customFormat="false" ht="13.8" hidden="false" customHeight="false" outlineLevel="0" collapsed="false">
      <c r="A657" s="0" t="n">
        <v>2413</v>
      </c>
      <c r="B657" s="0" t="s">
        <v>4183</v>
      </c>
      <c r="C657" s="0" t="s">
        <v>1420</v>
      </c>
      <c r="E657" s="0" t="n">
        <f aca="false">IF(J656=J657,E656+10,0)</f>
        <v>170</v>
      </c>
      <c r="F657" s="0" t="s">
        <v>4184</v>
      </c>
      <c r="G657" s="0" t="s">
        <v>4185</v>
      </c>
      <c r="H657" s="0" t="s">
        <v>4186</v>
      </c>
      <c r="I657" s="0" t="s">
        <v>1100</v>
      </c>
      <c r="J657" s="0" t="s">
        <v>1505</v>
      </c>
      <c r="K657" s="0" t="s">
        <v>971</v>
      </c>
      <c r="L657" s="0" t="s">
        <v>974</v>
      </c>
      <c r="M657" s="0" t="s">
        <v>973</v>
      </c>
      <c r="N657" s="0" t="s">
        <v>974</v>
      </c>
      <c r="O657" s="0" t="s">
        <v>975</v>
      </c>
      <c r="P657" s="0" t="s">
        <v>976</v>
      </c>
      <c r="Q657" s="0" t="s">
        <v>1067</v>
      </c>
      <c r="R657" s="0" t="s">
        <v>1046</v>
      </c>
      <c r="S657" s="0" t="s">
        <v>974</v>
      </c>
    </row>
    <row r="658" customFormat="false" ht="13.8" hidden="false" customHeight="false" outlineLevel="0" collapsed="false">
      <c r="A658" s="0" t="n">
        <v>2414</v>
      </c>
      <c r="B658" s="0" t="s">
        <v>4187</v>
      </c>
      <c r="C658" s="0" t="s">
        <v>4188</v>
      </c>
      <c r="E658" s="0" t="n">
        <f aca="false">IF(J657=J658,E657+10,0)</f>
        <v>0</v>
      </c>
      <c r="F658" s="0" t="s">
        <v>4189</v>
      </c>
      <c r="G658" s="0" t="s">
        <v>4190</v>
      </c>
      <c r="H658" s="0" t="s">
        <v>4191</v>
      </c>
      <c r="I658" s="0" t="s">
        <v>1444</v>
      </c>
      <c r="J658" s="0" t="s">
        <v>3695</v>
      </c>
      <c r="K658" s="0" t="s">
        <v>971</v>
      </c>
      <c r="L658" s="0" t="s">
        <v>974</v>
      </c>
      <c r="M658" s="0" t="s">
        <v>973</v>
      </c>
      <c r="N658" s="0" t="s">
        <v>995</v>
      </c>
      <c r="O658" s="0" t="s">
        <v>975</v>
      </c>
      <c r="P658" s="0" t="s">
        <v>976</v>
      </c>
      <c r="Q658" s="0" t="s">
        <v>974</v>
      </c>
      <c r="R658" s="0" t="s">
        <v>970</v>
      </c>
      <c r="S658" s="0" t="s">
        <v>974</v>
      </c>
    </row>
    <row r="659" customFormat="false" ht="13.8" hidden="false" customHeight="false" outlineLevel="0" collapsed="false">
      <c r="A659" s="0" t="n">
        <v>2415</v>
      </c>
      <c r="B659" s="0" t="s">
        <v>4192</v>
      </c>
      <c r="C659" s="0" t="s">
        <v>3990</v>
      </c>
      <c r="E659" s="0" t="n">
        <f aca="false">IF(J658=J659,E658+10,0)</f>
        <v>10</v>
      </c>
      <c r="F659" s="0" t="s">
        <v>4193</v>
      </c>
      <c r="G659" s="0" t="s">
        <v>4194</v>
      </c>
      <c r="H659" s="0" t="s">
        <v>4195</v>
      </c>
      <c r="I659" s="0" t="s">
        <v>1033</v>
      </c>
      <c r="J659" s="0" t="s">
        <v>3695</v>
      </c>
      <c r="K659" s="0" t="s">
        <v>971</v>
      </c>
      <c r="L659" s="0" t="s">
        <v>974</v>
      </c>
      <c r="M659" s="0" t="s">
        <v>973</v>
      </c>
      <c r="N659" s="0" t="s">
        <v>974</v>
      </c>
      <c r="O659" s="0" t="s">
        <v>975</v>
      </c>
      <c r="P659" s="0" t="s">
        <v>976</v>
      </c>
      <c r="Q659" s="0" t="s">
        <v>970</v>
      </c>
      <c r="R659" s="0" t="s">
        <v>970</v>
      </c>
      <c r="S659" s="0" t="s">
        <v>974</v>
      </c>
    </row>
    <row r="660" customFormat="false" ht="13.8" hidden="false" customHeight="false" outlineLevel="0" collapsed="false">
      <c r="A660" s="0" t="n">
        <v>2416</v>
      </c>
      <c r="B660" s="0" t="s">
        <v>4196</v>
      </c>
      <c r="C660" s="0" t="s">
        <v>4197</v>
      </c>
      <c r="E660" s="0" t="n">
        <f aca="false">IF(J659=J660,E659+10,0)</f>
        <v>20</v>
      </c>
      <c r="F660" s="0" t="s">
        <v>4198</v>
      </c>
      <c r="G660" s="0" t="s">
        <v>4199</v>
      </c>
      <c r="H660" s="0" t="s">
        <v>4200</v>
      </c>
      <c r="I660" s="0" t="s">
        <v>970</v>
      </c>
      <c r="J660" s="0" t="s">
        <v>3695</v>
      </c>
      <c r="K660" s="0" t="s">
        <v>971</v>
      </c>
      <c r="L660" s="0" t="s">
        <v>974</v>
      </c>
      <c r="M660" s="0" t="s">
        <v>973</v>
      </c>
      <c r="N660" s="0" t="s">
        <v>974</v>
      </c>
      <c r="O660" s="0" t="s">
        <v>975</v>
      </c>
      <c r="P660" s="0" t="s">
        <v>976</v>
      </c>
      <c r="Q660" s="0" t="s">
        <v>1059</v>
      </c>
      <c r="R660" s="0" t="s">
        <v>970</v>
      </c>
      <c r="S660" s="0" t="s">
        <v>974</v>
      </c>
    </row>
    <row r="661" customFormat="false" ht="13.8" hidden="false" customHeight="false" outlineLevel="0" collapsed="false">
      <c r="A661" s="0" t="n">
        <v>2417</v>
      </c>
      <c r="B661" s="0" t="s">
        <v>4201</v>
      </c>
      <c r="C661" s="0" t="s">
        <v>4202</v>
      </c>
      <c r="E661" s="0" t="n">
        <f aca="false">IF(J660=J661,E660+10,0)</f>
        <v>30</v>
      </c>
      <c r="F661" s="0" t="s">
        <v>4203</v>
      </c>
      <c r="G661" s="0" t="s">
        <v>4204</v>
      </c>
      <c r="H661" s="0" t="s">
        <v>4205</v>
      </c>
      <c r="I661" s="0" t="s">
        <v>3077</v>
      </c>
      <c r="J661" s="0" t="s">
        <v>3695</v>
      </c>
      <c r="K661" s="0" t="s">
        <v>971</v>
      </c>
      <c r="L661" s="0" t="s">
        <v>3029</v>
      </c>
      <c r="M661" s="0" t="s">
        <v>973</v>
      </c>
      <c r="N661" s="0" t="s">
        <v>974</v>
      </c>
      <c r="O661" s="0" t="s">
        <v>975</v>
      </c>
      <c r="P661" s="0" t="s">
        <v>976</v>
      </c>
      <c r="Q661" s="0" t="s">
        <v>974</v>
      </c>
      <c r="R661" s="0" t="s">
        <v>970</v>
      </c>
      <c r="S661" s="0" t="s">
        <v>974</v>
      </c>
    </row>
    <row r="662" customFormat="false" ht="13.8" hidden="false" customHeight="false" outlineLevel="0" collapsed="false">
      <c r="A662" s="0" t="n">
        <v>2418</v>
      </c>
      <c r="B662" s="0" t="s">
        <v>4206</v>
      </c>
      <c r="C662" s="0" t="s">
        <v>4207</v>
      </c>
      <c r="E662" s="0" t="n">
        <f aca="false">IF(J661=J662,E661+10,0)</f>
        <v>40</v>
      </c>
      <c r="F662" s="0" t="s">
        <v>4208</v>
      </c>
      <c r="G662" s="0" t="s">
        <v>4209</v>
      </c>
      <c r="H662" s="0" t="s">
        <v>4210</v>
      </c>
      <c r="I662" s="0" t="s">
        <v>3071</v>
      </c>
      <c r="J662" s="0" t="s">
        <v>3695</v>
      </c>
      <c r="K662" s="0" t="s">
        <v>971</v>
      </c>
      <c r="L662" s="0" t="s">
        <v>1459</v>
      </c>
      <c r="M662" s="0" t="s">
        <v>973</v>
      </c>
      <c r="N662" s="0" t="s">
        <v>974</v>
      </c>
      <c r="O662" s="0" t="s">
        <v>975</v>
      </c>
      <c r="P662" s="0" t="s">
        <v>976</v>
      </c>
      <c r="Q662" s="0" t="s">
        <v>974</v>
      </c>
      <c r="R662" s="0" t="s">
        <v>970</v>
      </c>
      <c r="S662" s="0" t="s">
        <v>974</v>
      </c>
    </row>
    <row r="663" customFormat="false" ht="13.8" hidden="false" customHeight="false" outlineLevel="0" collapsed="false">
      <c r="A663" s="0" t="n">
        <v>2419</v>
      </c>
      <c r="B663" s="0" t="s">
        <v>4211</v>
      </c>
      <c r="C663" s="0" t="s">
        <v>1054</v>
      </c>
      <c r="E663" s="0" t="n">
        <f aca="false">IF(J662=J663,E662+10,0)</f>
        <v>50</v>
      </c>
      <c r="F663" s="0" t="s">
        <v>4212</v>
      </c>
      <c r="G663" s="0" t="s">
        <v>4213</v>
      </c>
      <c r="H663" s="0" t="s">
        <v>4214</v>
      </c>
      <c r="I663" s="0" t="s">
        <v>1058</v>
      </c>
      <c r="J663" s="0" t="s">
        <v>3695</v>
      </c>
      <c r="K663" s="0" t="s">
        <v>971</v>
      </c>
      <c r="L663" s="0" t="s">
        <v>974</v>
      </c>
      <c r="M663" s="0" t="s">
        <v>973</v>
      </c>
      <c r="N663" s="0" t="s">
        <v>974</v>
      </c>
      <c r="O663" s="0" t="s">
        <v>975</v>
      </c>
      <c r="P663" s="0" t="s">
        <v>976</v>
      </c>
      <c r="Q663" s="0" t="s">
        <v>973</v>
      </c>
      <c r="R663" s="0" t="s">
        <v>970</v>
      </c>
      <c r="S663" s="0" t="s">
        <v>974</v>
      </c>
    </row>
    <row r="664" customFormat="false" ht="13.8" hidden="false" customHeight="false" outlineLevel="0" collapsed="false">
      <c r="A664" s="0" t="n">
        <v>2420</v>
      </c>
      <c r="B664" s="0" t="s">
        <v>4215</v>
      </c>
      <c r="C664" s="0" t="s">
        <v>4000</v>
      </c>
      <c r="E664" s="0" t="n">
        <f aca="false">IF(J663=J664,E663+10,0)</f>
        <v>60</v>
      </c>
      <c r="F664" s="0" t="s">
        <v>4216</v>
      </c>
      <c r="G664" s="0" t="s">
        <v>4217</v>
      </c>
      <c r="H664" s="0" t="s">
        <v>4218</v>
      </c>
      <c r="I664" s="0" t="s">
        <v>1106</v>
      </c>
      <c r="J664" s="0" t="s">
        <v>3695</v>
      </c>
      <c r="K664" s="0" t="s">
        <v>971</v>
      </c>
      <c r="L664" s="0" t="s">
        <v>974</v>
      </c>
      <c r="M664" s="0" t="s">
        <v>973</v>
      </c>
      <c r="N664" s="0" t="s">
        <v>974</v>
      </c>
      <c r="O664" s="0" t="s">
        <v>975</v>
      </c>
      <c r="P664" s="0" t="s">
        <v>976</v>
      </c>
      <c r="Q664" s="0" t="s">
        <v>1381</v>
      </c>
      <c r="R664" s="0" t="s">
        <v>970</v>
      </c>
      <c r="S664" s="0" t="s">
        <v>974</v>
      </c>
    </row>
    <row r="665" customFormat="false" ht="13.8" hidden="false" customHeight="false" outlineLevel="0" collapsed="false">
      <c r="A665" s="0" t="n">
        <v>2421</v>
      </c>
      <c r="B665" s="0" t="s">
        <v>4219</v>
      </c>
      <c r="C665" s="0" t="s">
        <v>4220</v>
      </c>
      <c r="E665" s="0" t="n">
        <f aca="false">IF(J664=J665,E664+10,0)</f>
        <v>70</v>
      </c>
      <c r="F665" s="0" t="s">
        <v>4221</v>
      </c>
      <c r="G665" s="0" t="s">
        <v>4222</v>
      </c>
      <c r="H665" s="0" t="s">
        <v>4223</v>
      </c>
      <c r="I665" s="0" t="s">
        <v>1014</v>
      </c>
      <c r="J665" s="0" t="s">
        <v>3695</v>
      </c>
      <c r="K665" s="0" t="s">
        <v>971</v>
      </c>
      <c r="L665" s="0" t="s">
        <v>974</v>
      </c>
      <c r="M665" s="0" t="s">
        <v>973</v>
      </c>
      <c r="N665" s="0" t="s">
        <v>974</v>
      </c>
      <c r="O665" s="0" t="s">
        <v>975</v>
      </c>
      <c r="P665" s="0" t="s">
        <v>976</v>
      </c>
      <c r="Q665" s="0" t="s">
        <v>973</v>
      </c>
      <c r="R665" s="0" t="s">
        <v>1046</v>
      </c>
      <c r="S665" s="0" t="s">
        <v>974</v>
      </c>
    </row>
    <row r="666" customFormat="false" ht="13.8" hidden="false" customHeight="false" outlineLevel="0" collapsed="false">
      <c r="A666" s="0" t="n">
        <v>2422</v>
      </c>
      <c r="B666" s="0" t="s">
        <v>4224</v>
      </c>
      <c r="C666" s="0" t="s">
        <v>4028</v>
      </c>
      <c r="E666" s="0" t="n">
        <f aca="false">IF(J665=J666,E665+10,0)</f>
        <v>80</v>
      </c>
      <c r="F666" s="0" t="s">
        <v>4225</v>
      </c>
      <c r="G666" s="0" t="s">
        <v>4226</v>
      </c>
      <c r="H666" s="0" t="s">
        <v>4227</v>
      </c>
      <c r="I666" s="0" t="s">
        <v>1587</v>
      </c>
      <c r="J666" s="0" t="s">
        <v>3695</v>
      </c>
      <c r="K666" s="0" t="s">
        <v>971</v>
      </c>
      <c r="L666" s="0" t="s">
        <v>974</v>
      </c>
      <c r="M666" s="0" t="s">
        <v>973</v>
      </c>
      <c r="N666" s="0" t="s">
        <v>974</v>
      </c>
      <c r="O666" s="0" t="s">
        <v>975</v>
      </c>
      <c r="P666" s="0" t="s">
        <v>976</v>
      </c>
      <c r="Q666" s="0" t="s">
        <v>1059</v>
      </c>
      <c r="R666" s="0" t="s">
        <v>1046</v>
      </c>
      <c r="S666" s="0" t="s">
        <v>974</v>
      </c>
    </row>
    <row r="667" customFormat="false" ht="13.8" hidden="false" customHeight="false" outlineLevel="0" collapsed="false">
      <c r="A667" s="0" t="n">
        <v>2423</v>
      </c>
      <c r="B667" s="0" t="s">
        <v>4228</v>
      </c>
      <c r="C667" s="0" t="s">
        <v>4229</v>
      </c>
      <c r="E667" s="0" t="n">
        <f aca="false">IF(J666=J667,E666+10,0)</f>
        <v>90</v>
      </c>
      <c r="F667" s="0" t="s">
        <v>4230</v>
      </c>
      <c r="G667" s="0" t="s">
        <v>4231</v>
      </c>
      <c r="H667" s="0" t="s">
        <v>4232</v>
      </c>
      <c r="I667" s="0" t="s">
        <v>1328</v>
      </c>
      <c r="J667" s="0" t="s">
        <v>3695</v>
      </c>
      <c r="K667" s="0" t="s">
        <v>971</v>
      </c>
      <c r="L667" s="0" t="s">
        <v>1458</v>
      </c>
      <c r="M667" s="0" t="s">
        <v>1459</v>
      </c>
      <c r="N667" s="0" t="s">
        <v>974</v>
      </c>
      <c r="O667" s="0" t="s">
        <v>975</v>
      </c>
      <c r="P667" s="0" t="s">
        <v>976</v>
      </c>
      <c r="Q667" s="0" t="s">
        <v>974</v>
      </c>
      <c r="R667" s="0" t="s">
        <v>970</v>
      </c>
      <c r="S667" s="0" t="s">
        <v>974</v>
      </c>
    </row>
    <row r="668" customFormat="false" ht="13.8" hidden="false" customHeight="false" outlineLevel="0" collapsed="false">
      <c r="A668" s="0" t="n">
        <v>2424</v>
      </c>
      <c r="B668" s="0" t="s">
        <v>4233</v>
      </c>
      <c r="C668" s="0" t="s">
        <v>4234</v>
      </c>
      <c r="E668" s="0" t="n">
        <f aca="false">IF(J667=J668,E667+10,0)</f>
        <v>100</v>
      </c>
      <c r="F668" s="0" t="s">
        <v>4235</v>
      </c>
      <c r="G668" s="0" t="s">
        <v>4236</v>
      </c>
      <c r="H668" s="0" t="s">
        <v>4237</v>
      </c>
      <c r="I668" s="0" t="s">
        <v>1088</v>
      </c>
      <c r="J668" s="0" t="s">
        <v>3695</v>
      </c>
      <c r="K668" s="0" t="s">
        <v>971</v>
      </c>
      <c r="L668" s="0" t="s">
        <v>974</v>
      </c>
      <c r="M668" s="0" t="s">
        <v>973</v>
      </c>
      <c r="N668" s="0" t="s">
        <v>974</v>
      </c>
      <c r="O668" s="0" t="s">
        <v>975</v>
      </c>
      <c r="P668" s="0" t="s">
        <v>976</v>
      </c>
      <c r="Q668" s="0" t="s">
        <v>970</v>
      </c>
      <c r="R668" s="0" t="s">
        <v>1046</v>
      </c>
      <c r="S668" s="0" t="s">
        <v>974</v>
      </c>
    </row>
    <row r="669" customFormat="false" ht="13.8" hidden="false" customHeight="false" outlineLevel="0" collapsed="false">
      <c r="A669" s="0" t="n">
        <v>2425</v>
      </c>
      <c r="B669" s="0" t="s">
        <v>4238</v>
      </c>
      <c r="C669" s="0" t="s">
        <v>1420</v>
      </c>
      <c r="E669" s="0" t="n">
        <f aca="false">IF(J668=J669,E668+10,0)</f>
        <v>110</v>
      </c>
      <c r="F669" s="0" t="s">
        <v>4239</v>
      </c>
      <c r="G669" s="0" t="s">
        <v>4240</v>
      </c>
      <c r="H669" s="0" t="s">
        <v>4241</v>
      </c>
      <c r="I669" s="0" t="s">
        <v>1100</v>
      </c>
      <c r="J669" s="0" t="s">
        <v>3695</v>
      </c>
      <c r="K669" s="0" t="s">
        <v>971</v>
      </c>
      <c r="L669" s="0" t="s">
        <v>974</v>
      </c>
      <c r="M669" s="0" t="s">
        <v>973</v>
      </c>
      <c r="N669" s="0" t="s">
        <v>974</v>
      </c>
      <c r="O669" s="0" t="s">
        <v>975</v>
      </c>
      <c r="P669" s="0" t="s">
        <v>976</v>
      </c>
      <c r="Q669" s="0" t="s">
        <v>1046</v>
      </c>
      <c r="R669" s="0" t="s">
        <v>1046</v>
      </c>
      <c r="S669" s="0" t="s">
        <v>974</v>
      </c>
    </row>
    <row r="670" customFormat="false" ht="13.8" hidden="false" customHeight="false" outlineLevel="0" collapsed="false">
      <c r="A670" s="0" t="n">
        <v>2426</v>
      </c>
      <c r="B670" s="0" t="s">
        <v>4242</v>
      </c>
      <c r="C670" s="0" t="s">
        <v>4188</v>
      </c>
      <c r="E670" s="0" t="n">
        <f aca="false">IF(J669=J670,E669+10,0)</f>
        <v>0</v>
      </c>
      <c r="F670" s="0" t="s">
        <v>4243</v>
      </c>
      <c r="G670" s="0" t="s">
        <v>4244</v>
      </c>
      <c r="H670" s="0" t="s">
        <v>4245</v>
      </c>
      <c r="I670" s="0" t="s">
        <v>1444</v>
      </c>
      <c r="J670" s="0" t="s">
        <v>1700</v>
      </c>
      <c r="K670" s="0" t="s">
        <v>971</v>
      </c>
      <c r="L670" s="0" t="s">
        <v>974</v>
      </c>
      <c r="M670" s="0" t="s">
        <v>973</v>
      </c>
      <c r="N670" s="0" t="s">
        <v>2706</v>
      </c>
      <c r="O670" s="0" t="s">
        <v>975</v>
      </c>
      <c r="P670" s="0" t="s">
        <v>976</v>
      </c>
      <c r="Q670" s="0" t="s">
        <v>974</v>
      </c>
      <c r="R670" s="0" t="s">
        <v>970</v>
      </c>
      <c r="S670" s="0" t="s">
        <v>974</v>
      </c>
    </row>
    <row r="671" customFormat="false" ht="13.8" hidden="false" customHeight="false" outlineLevel="0" collapsed="false">
      <c r="A671" s="0" t="n">
        <v>2427</v>
      </c>
      <c r="B671" s="0" t="s">
        <v>4246</v>
      </c>
      <c r="C671" s="0" t="s">
        <v>4247</v>
      </c>
      <c r="E671" s="0" t="n">
        <f aca="false">IF(J670=J671,E670+10,0)</f>
        <v>10</v>
      </c>
      <c r="F671" s="0" t="s">
        <v>4248</v>
      </c>
      <c r="G671" s="0" t="s">
        <v>4249</v>
      </c>
      <c r="H671" s="0" t="s">
        <v>4250</v>
      </c>
      <c r="I671" s="0" t="s">
        <v>2104</v>
      </c>
      <c r="J671" s="0" t="s">
        <v>1700</v>
      </c>
      <c r="K671" s="0" t="s">
        <v>971</v>
      </c>
      <c r="L671" s="0" t="s">
        <v>974</v>
      </c>
      <c r="M671" s="0" t="s">
        <v>973</v>
      </c>
      <c r="N671" s="0" t="s">
        <v>3778</v>
      </c>
      <c r="O671" s="0" t="s">
        <v>975</v>
      </c>
      <c r="P671" s="0" t="s">
        <v>976</v>
      </c>
      <c r="Q671" s="0" t="s">
        <v>974</v>
      </c>
      <c r="R671" s="0" t="s">
        <v>970</v>
      </c>
      <c r="S671" s="0" t="s">
        <v>974</v>
      </c>
    </row>
    <row r="672" customFormat="false" ht="13.8" hidden="false" customHeight="false" outlineLevel="0" collapsed="false">
      <c r="A672" s="0" t="n">
        <v>2428</v>
      </c>
      <c r="B672" s="0" t="s">
        <v>4251</v>
      </c>
      <c r="C672" s="0" t="s">
        <v>4252</v>
      </c>
      <c r="E672" s="0" t="n">
        <f aca="false">IF(J671=J672,E671+10,0)</f>
        <v>20</v>
      </c>
      <c r="F672" s="0" t="s">
        <v>4253</v>
      </c>
      <c r="G672" s="0" t="s">
        <v>4254</v>
      </c>
      <c r="H672" s="0" t="s">
        <v>4255</v>
      </c>
      <c r="I672" s="0" t="s">
        <v>4256</v>
      </c>
      <c r="J672" s="0" t="s">
        <v>1700</v>
      </c>
      <c r="K672" s="0" t="s">
        <v>971</v>
      </c>
      <c r="L672" s="0" t="s">
        <v>1829</v>
      </c>
      <c r="M672" s="0" t="s">
        <v>973</v>
      </c>
      <c r="N672" s="0" t="s">
        <v>974</v>
      </c>
      <c r="O672" s="0" t="s">
        <v>975</v>
      </c>
      <c r="P672" s="0" t="s">
        <v>976</v>
      </c>
      <c r="Q672" s="0" t="s">
        <v>974</v>
      </c>
      <c r="R672" s="0" t="s">
        <v>970</v>
      </c>
      <c r="S672" s="0" t="s">
        <v>974</v>
      </c>
    </row>
    <row r="673" customFormat="false" ht="13.8" hidden="false" customHeight="false" outlineLevel="0" collapsed="false">
      <c r="A673" s="0" t="n">
        <v>2429</v>
      </c>
      <c r="B673" s="0" t="s">
        <v>4257</v>
      </c>
      <c r="C673" s="0" t="s">
        <v>4258</v>
      </c>
      <c r="E673" s="0" t="n">
        <f aca="false">IF(J672=J673,E672+10,0)</f>
        <v>30</v>
      </c>
      <c r="F673" s="0" t="s">
        <v>4259</v>
      </c>
      <c r="G673" s="0" t="s">
        <v>4260</v>
      </c>
      <c r="H673" s="0" t="s">
        <v>4261</v>
      </c>
      <c r="I673" s="0" t="s">
        <v>1563</v>
      </c>
      <c r="J673" s="0" t="s">
        <v>1700</v>
      </c>
      <c r="K673" s="0" t="s">
        <v>4262</v>
      </c>
      <c r="L673" s="0" t="s">
        <v>974</v>
      </c>
      <c r="M673" s="0" t="s">
        <v>973</v>
      </c>
      <c r="N673" s="0" t="s">
        <v>974</v>
      </c>
      <c r="O673" s="0" t="s">
        <v>975</v>
      </c>
      <c r="P673" s="0" t="s">
        <v>976</v>
      </c>
      <c r="Q673" s="0" t="s">
        <v>970</v>
      </c>
      <c r="R673" s="0" t="s">
        <v>970</v>
      </c>
      <c r="S673" s="0" t="s">
        <v>974</v>
      </c>
    </row>
    <row r="674" customFormat="false" ht="13.8" hidden="false" customHeight="false" outlineLevel="0" collapsed="false">
      <c r="A674" s="0" t="n">
        <v>2430</v>
      </c>
      <c r="B674" s="0" t="s">
        <v>4263</v>
      </c>
      <c r="C674" s="0" t="s">
        <v>4264</v>
      </c>
      <c r="E674" s="0" t="n">
        <f aca="false">IF(J673=J674,E673+10,0)</f>
        <v>40</v>
      </c>
      <c r="F674" s="0" t="s">
        <v>4265</v>
      </c>
      <c r="G674" s="0" t="s">
        <v>4266</v>
      </c>
      <c r="H674" s="0" t="s">
        <v>4267</v>
      </c>
      <c r="I674" s="0" t="s">
        <v>2847</v>
      </c>
      <c r="J674" s="0" t="s">
        <v>1700</v>
      </c>
      <c r="K674" s="0" t="s">
        <v>4268</v>
      </c>
      <c r="L674" s="0" t="s">
        <v>974</v>
      </c>
      <c r="M674" s="0" t="s">
        <v>973</v>
      </c>
      <c r="N674" s="0" t="s">
        <v>974</v>
      </c>
      <c r="O674" s="0" t="s">
        <v>975</v>
      </c>
      <c r="P674" s="0" t="s">
        <v>976</v>
      </c>
      <c r="Q674" s="0" t="s">
        <v>970</v>
      </c>
      <c r="R674" s="0" t="s">
        <v>970</v>
      </c>
      <c r="S674" s="0" t="s">
        <v>974</v>
      </c>
    </row>
    <row r="675" customFormat="false" ht="13.8" hidden="false" customHeight="false" outlineLevel="0" collapsed="false">
      <c r="A675" s="0" t="n">
        <v>2431</v>
      </c>
      <c r="B675" s="0" t="s">
        <v>4269</v>
      </c>
      <c r="C675" s="0" t="s">
        <v>4270</v>
      </c>
      <c r="E675" s="0" t="n">
        <f aca="false">IF(J674=J675,E674+10,0)</f>
        <v>50</v>
      </c>
      <c r="F675" s="0" t="s">
        <v>4271</v>
      </c>
      <c r="G675" s="0" t="s">
        <v>4272</v>
      </c>
      <c r="H675" s="0" t="s">
        <v>4273</v>
      </c>
      <c r="I675" s="0" t="s">
        <v>1058</v>
      </c>
      <c r="J675" s="0" t="s">
        <v>1700</v>
      </c>
      <c r="K675" s="0" t="s">
        <v>4274</v>
      </c>
      <c r="L675" s="0" t="s">
        <v>974</v>
      </c>
      <c r="M675" s="0" t="s">
        <v>973</v>
      </c>
      <c r="N675" s="0" t="s">
        <v>974</v>
      </c>
      <c r="O675" s="0" t="s">
        <v>975</v>
      </c>
      <c r="P675" s="0" t="s">
        <v>976</v>
      </c>
      <c r="Q675" s="0" t="s">
        <v>970</v>
      </c>
      <c r="R675" s="0" t="s">
        <v>970</v>
      </c>
      <c r="S675" s="0" t="s">
        <v>974</v>
      </c>
    </row>
    <row r="676" customFormat="false" ht="13.8" hidden="false" customHeight="false" outlineLevel="0" collapsed="false">
      <c r="A676" s="0" t="n">
        <v>2432</v>
      </c>
      <c r="B676" s="0" t="s">
        <v>4275</v>
      </c>
      <c r="C676" s="0" t="s">
        <v>4276</v>
      </c>
      <c r="E676" s="0" t="n">
        <f aca="false">IF(J675=J676,E675+10,0)</f>
        <v>60</v>
      </c>
      <c r="F676" s="0" t="s">
        <v>4277</v>
      </c>
      <c r="G676" s="0" t="s">
        <v>4278</v>
      </c>
      <c r="H676" s="0" t="s">
        <v>4279</v>
      </c>
      <c r="I676" s="0" t="s">
        <v>1254</v>
      </c>
      <c r="J676" s="0" t="s">
        <v>1700</v>
      </c>
      <c r="K676" s="0" t="s">
        <v>4280</v>
      </c>
      <c r="L676" s="0" t="s">
        <v>1186</v>
      </c>
      <c r="M676" s="0" t="s">
        <v>973</v>
      </c>
      <c r="N676" s="0" t="s">
        <v>974</v>
      </c>
      <c r="O676" s="0" t="s">
        <v>975</v>
      </c>
      <c r="P676" s="0" t="s">
        <v>976</v>
      </c>
      <c r="Q676" s="0" t="s">
        <v>974</v>
      </c>
      <c r="R676" s="0" t="s">
        <v>970</v>
      </c>
      <c r="S676" s="0" t="s">
        <v>974</v>
      </c>
    </row>
    <row r="677" customFormat="false" ht="13.8" hidden="false" customHeight="false" outlineLevel="0" collapsed="false">
      <c r="A677" s="0" t="n">
        <v>2433</v>
      </c>
      <c r="B677" s="0" t="s">
        <v>4281</v>
      </c>
      <c r="C677" s="0" t="s">
        <v>4282</v>
      </c>
      <c r="E677" s="0" t="n">
        <f aca="false">IF(J676=J677,E676+10,0)</f>
        <v>70</v>
      </c>
      <c r="F677" s="0" t="s">
        <v>4283</v>
      </c>
      <c r="G677" s="0" t="s">
        <v>4284</v>
      </c>
      <c r="H677" s="0" t="s">
        <v>4285</v>
      </c>
      <c r="I677" s="0" t="s">
        <v>1111</v>
      </c>
      <c r="J677" s="0" t="s">
        <v>1700</v>
      </c>
      <c r="K677" s="0" t="s">
        <v>4286</v>
      </c>
      <c r="L677" s="0" t="s">
        <v>1458</v>
      </c>
      <c r="M677" s="0" t="s">
        <v>1459</v>
      </c>
      <c r="N677" s="0" t="s">
        <v>974</v>
      </c>
      <c r="O677" s="0" t="s">
        <v>975</v>
      </c>
      <c r="P677" s="0" t="s">
        <v>976</v>
      </c>
      <c r="Q677" s="0" t="s">
        <v>974</v>
      </c>
      <c r="R677" s="0" t="s">
        <v>970</v>
      </c>
      <c r="S677" s="0" t="s">
        <v>974</v>
      </c>
    </row>
    <row r="678" customFormat="false" ht="13.8" hidden="false" customHeight="false" outlineLevel="0" collapsed="false">
      <c r="A678" s="0" t="n">
        <v>2434</v>
      </c>
      <c r="B678" s="0" t="s">
        <v>4287</v>
      </c>
      <c r="C678" s="0" t="s">
        <v>4288</v>
      </c>
      <c r="E678" s="0" t="n">
        <f aca="false">IF(J677=J678,E677+10,0)</f>
        <v>80</v>
      </c>
      <c r="F678" s="0" t="s">
        <v>4289</v>
      </c>
      <c r="G678" s="0" t="s">
        <v>4290</v>
      </c>
      <c r="H678" s="0" t="s">
        <v>4291</v>
      </c>
      <c r="I678" s="0" t="s">
        <v>3453</v>
      </c>
      <c r="J678" s="0" t="s">
        <v>1700</v>
      </c>
      <c r="K678" s="0" t="s">
        <v>4292</v>
      </c>
      <c r="L678" s="0" t="s">
        <v>974</v>
      </c>
      <c r="M678" s="0" t="s">
        <v>973</v>
      </c>
      <c r="N678" s="0" t="s">
        <v>974</v>
      </c>
      <c r="O678" s="0" t="s">
        <v>975</v>
      </c>
      <c r="P678" s="0" t="s">
        <v>976</v>
      </c>
      <c r="Q678" s="0" t="s">
        <v>1214</v>
      </c>
      <c r="R678" s="0" t="s">
        <v>1046</v>
      </c>
      <c r="S678" s="0" t="s">
        <v>974</v>
      </c>
    </row>
    <row r="679" customFormat="false" ht="13.8" hidden="false" customHeight="false" outlineLevel="0" collapsed="false">
      <c r="A679" s="0" t="n">
        <v>2435</v>
      </c>
      <c r="B679" s="0" t="s">
        <v>4293</v>
      </c>
      <c r="C679" s="0" t="s">
        <v>998</v>
      </c>
      <c r="E679" s="0" t="n">
        <f aca="false">IF(J678=J679,E678+10,0)</f>
        <v>0</v>
      </c>
      <c r="F679" s="0" t="s">
        <v>4294</v>
      </c>
      <c r="G679" s="0" t="s">
        <v>4295</v>
      </c>
      <c r="H679" s="0" t="s">
        <v>4296</v>
      </c>
      <c r="I679" s="0" t="s">
        <v>1002</v>
      </c>
      <c r="J679" s="0" t="s">
        <v>4297</v>
      </c>
      <c r="K679" s="0" t="s">
        <v>971</v>
      </c>
      <c r="L679" s="0" t="s">
        <v>1067</v>
      </c>
      <c r="M679" s="0" t="s">
        <v>973</v>
      </c>
      <c r="N679" s="0" t="s">
        <v>974</v>
      </c>
      <c r="O679" s="0" t="s">
        <v>975</v>
      </c>
      <c r="P679" s="0" t="s">
        <v>976</v>
      </c>
      <c r="Q679" s="0" t="s">
        <v>974</v>
      </c>
      <c r="R679" s="0" t="s">
        <v>970</v>
      </c>
      <c r="S679" s="0" t="s">
        <v>974</v>
      </c>
    </row>
    <row r="680" customFormat="false" ht="13.8" hidden="false" customHeight="false" outlineLevel="0" collapsed="false">
      <c r="A680" s="0" t="n">
        <v>2436</v>
      </c>
      <c r="B680" s="0" t="s">
        <v>4298</v>
      </c>
      <c r="C680" s="0" t="s">
        <v>3963</v>
      </c>
      <c r="E680" s="0" t="n">
        <f aca="false">IF(J679=J680,E679+10,0)</f>
        <v>10</v>
      </c>
      <c r="F680" s="0" t="s">
        <v>4299</v>
      </c>
      <c r="G680" s="0" t="s">
        <v>4300</v>
      </c>
      <c r="H680" s="0" t="s">
        <v>4301</v>
      </c>
      <c r="I680" s="0" t="s">
        <v>2798</v>
      </c>
      <c r="J680" s="0" t="s">
        <v>4297</v>
      </c>
      <c r="K680" s="0" t="s">
        <v>971</v>
      </c>
      <c r="L680" s="0" t="s">
        <v>1046</v>
      </c>
      <c r="M680" s="0" t="s">
        <v>973</v>
      </c>
      <c r="N680" s="0" t="s">
        <v>974</v>
      </c>
      <c r="O680" s="0" t="s">
        <v>975</v>
      </c>
      <c r="P680" s="0" t="s">
        <v>976</v>
      </c>
      <c r="Q680" s="0" t="s">
        <v>974</v>
      </c>
      <c r="R680" s="0" t="s">
        <v>970</v>
      </c>
      <c r="S680" s="0" t="s">
        <v>974</v>
      </c>
    </row>
    <row r="681" customFormat="false" ht="13.8" hidden="false" customHeight="false" outlineLevel="0" collapsed="false">
      <c r="A681" s="0" t="n">
        <v>2437</v>
      </c>
      <c r="B681" s="0" t="s">
        <v>4302</v>
      </c>
      <c r="C681" s="0" t="s">
        <v>3901</v>
      </c>
      <c r="E681" s="0" t="n">
        <f aca="false">IF(J680=J681,E680+10,0)</f>
        <v>20</v>
      </c>
      <c r="F681" s="0" t="s">
        <v>4303</v>
      </c>
      <c r="G681" s="0" t="s">
        <v>4304</v>
      </c>
      <c r="H681" s="0" t="s">
        <v>4305</v>
      </c>
      <c r="I681" s="0" t="s">
        <v>1505</v>
      </c>
      <c r="J681" s="0" t="s">
        <v>4297</v>
      </c>
      <c r="K681" s="0" t="s">
        <v>971</v>
      </c>
      <c r="L681" s="0" t="s">
        <v>1067</v>
      </c>
      <c r="M681" s="0" t="s">
        <v>973</v>
      </c>
      <c r="N681" s="0" t="s">
        <v>974</v>
      </c>
      <c r="O681" s="0" t="s">
        <v>975</v>
      </c>
      <c r="P681" s="0" t="s">
        <v>976</v>
      </c>
      <c r="Q681" s="0" t="s">
        <v>974</v>
      </c>
      <c r="R681" s="0" t="s">
        <v>970</v>
      </c>
      <c r="S681" s="0" t="s">
        <v>974</v>
      </c>
    </row>
    <row r="682" customFormat="false" ht="13.8" hidden="false" customHeight="false" outlineLevel="0" collapsed="false">
      <c r="A682" s="0" t="n">
        <v>2438</v>
      </c>
      <c r="B682" s="0" t="s">
        <v>4306</v>
      </c>
      <c r="C682" s="0" t="s">
        <v>991</v>
      </c>
      <c r="E682" s="0" t="n">
        <f aca="false">IF(J681=J682,E681+10,0)</f>
        <v>30</v>
      </c>
      <c r="F682" s="0" t="s">
        <v>4307</v>
      </c>
      <c r="G682" s="0" t="s">
        <v>4308</v>
      </c>
      <c r="H682" s="0" t="s">
        <v>4309</v>
      </c>
      <c r="I682" s="0" t="s">
        <v>995</v>
      </c>
      <c r="J682" s="0" t="s">
        <v>4297</v>
      </c>
      <c r="K682" s="0" t="s">
        <v>971</v>
      </c>
      <c r="L682" s="0" t="s">
        <v>1046</v>
      </c>
      <c r="M682" s="0" t="s">
        <v>973</v>
      </c>
      <c r="N682" s="0" t="s">
        <v>974</v>
      </c>
      <c r="O682" s="0" t="s">
        <v>975</v>
      </c>
      <c r="P682" s="0" t="s">
        <v>976</v>
      </c>
      <c r="Q682" s="0" t="s">
        <v>974</v>
      </c>
      <c r="R682" s="0" t="s">
        <v>970</v>
      </c>
      <c r="S682" s="0" t="s">
        <v>974</v>
      </c>
    </row>
    <row r="683" customFormat="false" ht="13.8" hidden="false" customHeight="false" outlineLevel="0" collapsed="false">
      <c r="A683" s="0" t="n">
        <v>2439</v>
      </c>
      <c r="B683" s="0" t="s">
        <v>4310</v>
      </c>
      <c r="C683" s="0" t="s">
        <v>1048</v>
      </c>
      <c r="E683" s="0" t="n">
        <f aca="false">IF(J682=J683,E682+10,0)</f>
        <v>40</v>
      </c>
      <c r="F683" s="0" t="s">
        <v>4311</v>
      </c>
      <c r="G683" s="0" t="s">
        <v>4312</v>
      </c>
      <c r="H683" s="0" t="s">
        <v>4313</v>
      </c>
      <c r="I683" s="0" t="s">
        <v>1052</v>
      </c>
      <c r="J683" s="0" t="s">
        <v>4297</v>
      </c>
      <c r="K683" s="0" t="s">
        <v>971</v>
      </c>
      <c r="L683" s="0" t="s">
        <v>1046</v>
      </c>
      <c r="M683" s="0" t="s">
        <v>973</v>
      </c>
      <c r="N683" s="0" t="s">
        <v>974</v>
      </c>
      <c r="O683" s="0" t="s">
        <v>975</v>
      </c>
      <c r="P683" s="0" t="s">
        <v>976</v>
      </c>
      <c r="Q683" s="0" t="s">
        <v>974</v>
      </c>
      <c r="R683" s="0" t="s">
        <v>970</v>
      </c>
      <c r="S683" s="0" t="s">
        <v>974</v>
      </c>
    </row>
    <row r="684" customFormat="false" ht="13.8" hidden="false" customHeight="false" outlineLevel="0" collapsed="false">
      <c r="A684" s="0" t="n">
        <v>2440</v>
      </c>
      <c r="B684" s="0" t="s">
        <v>4314</v>
      </c>
      <c r="C684" s="0" t="s">
        <v>3976</v>
      </c>
      <c r="E684" s="0" t="n">
        <f aca="false">IF(J683=J684,E683+10,0)</f>
        <v>50</v>
      </c>
      <c r="F684" s="0" t="s">
        <v>4315</v>
      </c>
      <c r="G684" s="0" t="s">
        <v>4316</v>
      </c>
      <c r="H684" s="0" t="s">
        <v>4317</v>
      </c>
      <c r="I684" s="0" t="s">
        <v>1021</v>
      </c>
      <c r="J684" s="0" t="s">
        <v>4297</v>
      </c>
      <c r="K684" s="0" t="s">
        <v>971</v>
      </c>
      <c r="L684" s="0" t="s">
        <v>974</v>
      </c>
      <c r="M684" s="0" t="s">
        <v>973</v>
      </c>
      <c r="N684" s="0" t="s">
        <v>974</v>
      </c>
      <c r="O684" s="0" t="s">
        <v>975</v>
      </c>
      <c r="P684" s="0" t="s">
        <v>976</v>
      </c>
      <c r="Q684" s="0" t="s">
        <v>970</v>
      </c>
      <c r="R684" s="0" t="s">
        <v>970</v>
      </c>
      <c r="S684" s="0" t="s">
        <v>974</v>
      </c>
    </row>
    <row r="685" customFormat="false" ht="13.8" hidden="false" customHeight="false" outlineLevel="0" collapsed="false">
      <c r="A685" s="0" t="n">
        <v>2441</v>
      </c>
      <c r="B685" s="0" t="s">
        <v>4318</v>
      </c>
      <c r="C685" s="0" t="s">
        <v>1061</v>
      </c>
      <c r="E685" s="0" t="n">
        <f aca="false">IF(J684=J685,E684+10,0)</f>
        <v>60</v>
      </c>
      <c r="F685" s="0" t="s">
        <v>4319</v>
      </c>
      <c r="G685" s="0" t="s">
        <v>4320</v>
      </c>
      <c r="H685" s="0" t="s">
        <v>4321</v>
      </c>
      <c r="I685" s="0" t="s">
        <v>1065</v>
      </c>
      <c r="J685" s="0" t="s">
        <v>4297</v>
      </c>
      <c r="K685" s="0" t="s">
        <v>971</v>
      </c>
      <c r="L685" s="0" t="s">
        <v>974</v>
      </c>
      <c r="M685" s="0" t="s">
        <v>973</v>
      </c>
      <c r="N685" s="0" t="s">
        <v>974</v>
      </c>
      <c r="O685" s="0" t="s">
        <v>975</v>
      </c>
      <c r="P685" s="0" t="s">
        <v>976</v>
      </c>
      <c r="Q685" s="0" t="s">
        <v>975</v>
      </c>
      <c r="R685" s="0" t="s">
        <v>970</v>
      </c>
      <c r="S685" s="0" t="s">
        <v>974</v>
      </c>
    </row>
    <row r="686" customFormat="false" ht="13.8" hidden="false" customHeight="false" outlineLevel="0" collapsed="false">
      <c r="A686" s="0" t="n">
        <v>2442</v>
      </c>
      <c r="B686" s="0" t="s">
        <v>4322</v>
      </c>
      <c r="C686" s="0" t="s">
        <v>3985</v>
      </c>
      <c r="E686" s="0" t="n">
        <f aca="false">IF(J685=J686,E685+10,0)</f>
        <v>70</v>
      </c>
      <c r="F686" s="0" t="s">
        <v>4323</v>
      </c>
      <c r="G686" s="0" t="s">
        <v>4324</v>
      </c>
      <c r="H686" s="0" t="s">
        <v>4325</v>
      </c>
      <c r="I686" s="0" t="s">
        <v>970</v>
      </c>
      <c r="J686" s="0" t="s">
        <v>4297</v>
      </c>
      <c r="K686" s="0" t="s">
        <v>971</v>
      </c>
      <c r="L686" s="0" t="s">
        <v>974</v>
      </c>
      <c r="M686" s="0" t="s">
        <v>973</v>
      </c>
      <c r="N686" s="0" t="s">
        <v>974</v>
      </c>
      <c r="O686" s="0" t="s">
        <v>975</v>
      </c>
      <c r="P686" s="0" t="s">
        <v>976</v>
      </c>
      <c r="Q686" s="0" t="s">
        <v>1059</v>
      </c>
      <c r="R686" s="0" t="s">
        <v>970</v>
      </c>
      <c r="S686" s="0" t="s">
        <v>974</v>
      </c>
    </row>
    <row r="687" customFormat="false" ht="13.8" hidden="false" customHeight="false" outlineLevel="0" collapsed="false">
      <c r="A687" s="0" t="n">
        <v>2443</v>
      </c>
      <c r="B687" s="0" t="s">
        <v>4326</v>
      </c>
      <c r="C687" s="0" t="s">
        <v>3990</v>
      </c>
      <c r="E687" s="0" t="n">
        <f aca="false">IF(J686=J687,E686+10,0)</f>
        <v>80</v>
      </c>
      <c r="F687" s="0" t="s">
        <v>4327</v>
      </c>
      <c r="G687" s="0" t="s">
        <v>4328</v>
      </c>
      <c r="H687" s="0" t="s">
        <v>4329</v>
      </c>
      <c r="I687" s="0" t="s">
        <v>1033</v>
      </c>
      <c r="J687" s="0" t="s">
        <v>4297</v>
      </c>
      <c r="K687" s="0" t="s">
        <v>971</v>
      </c>
      <c r="L687" s="0" t="s">
        <v>974</v>
      </c>
      <c r="M687" s="0" t="s">
        <v>973</v>
      </c>
      <c r="N687" s="0" t="s">
        <v>974</v>
      </c>
      <c r="O687" s="0" t="s">
        <v>975</v>
      </c>
      <c r="P687" s="0" t="s">
        <v>976</v>
      </c>
      <c r="Q687" s="0" t="s">
        <v>970</v>
      </c>
      <c r="R687" s="0" t="s">
        <v>970</v>
      </c>
      <c r="S687" s="0" t="s">
        <v>974</v>
      </c>
    </row>
    <row r="688" customFormat="false" ht="13.8" hidden="false" customHeight="false" outlineLevel="0" collapsed="false">
      <c r="A688" s="0" t="n">
        <v>2444</v>
      </c>
      <c r="B688" s="0" t="s">
        <v>4330</v>
      </c>
      <c r="C688" s="0" t="s">
        <v>4065</v>
      </c>
      <c r="E688" s="0" t="n">
        <f aca="false">IF(J687=J688,E687+10,0)</f>
        <v>90</v>
      </c>
      <c r="F688" s="0" t="s">
        <v>4331</v>
      </c>
      <c r="G688" s="0" t="s">
        <v>4332</v>
      </c>
      <c r="H688" s="0" t="s">
        <v>4333</v>
      </c>
      <c r="I688" s="0" t="s">
        <v>1167</v>
      </c>
      <c r="J688" s="0" t="s">
        <v>4297</v>
      </c>
      <c r="K688" s="0" t="s">
        <v>971</v>
      </c>
      <c r="L688" s="0" t="s">
        <v>974</v>
      </c>
      <c r="M688" s="0" t="s">
        <v>973</v>
      </c>
      <c r="N688" s="0" t="s">
        <v>974</v>
      </c>
      <c r="O688" s="0" t="s">
        <v>975</v>
      </c>
      <c r="P688" s="0" t="s">
        <v>976</v>
      </c>
      <c r="Q688" s="0" t="s">
        <v>3268</v>
      </c>
      <c r="R688" s="0" t="s">
        <v>970</v>
      </c>
      <c r="S688" s="0" t="s">
        <v>974</v>
      </c>
    </row>
    <row r="689" customFormat="false" ht="13.8" hidden="false" customHeight="false" outlineLevel="0" collapsed="false">
      <c r="A689" s="0" t="n">
        <v>2445</v>
      </c>
      <c r="B689" s="0" t="s">
        <v>4334</v>
      </c>
      <c r="C689" s="0" t="s">
        <v>4335</v>
      </c>
      <c r="E689" s="0" t="n">
        <f aca="false">IF(J688=J689,E688+10,0)</f>
        <v>100</v>
      </c>
      <c r="F689" s="0" t="s">
        <v>4336</v>
      </c>
      <c r="G689" s="0" t="s">
        <v>4337</v>
      </c>
      <c r="H689" s="0" t="s">
        <v>4338</v>
      </c>
      <c r="I689" s="0" t="s">
        <v>4339</v>
      </c>
      <c r="J689" s="0" t="s">
        <v>4297</v>
      </c>
      <c r="K689" s="0" t="s">
        <v>971</v>
      </c>
      <c r="L689" s="0" t="s">
        <v>1829</v>
      </c>
      <c r="M689" s="0" t="s">
        <v>973</v>
      </c>
      <c r="N689" s="0" t="s">
        <v>974</v>
      </c>
      <c r="O689" s="0" t="s">
        <v>975</v>
      </c>
      <c r="P689" s="0" t="s">
        <v>976</v>
      </c>
      <c r="Q689" s="0" t="s">
        <v>974</v>
      </c>
      <c r="R689" s="0" t="s">
        <v>970</v>
      </c>
      <c r="S689" s="0" t="s">
        <v>974</v>
      </c>
    </row>
    <row r="690" customFormat="false" ht="13.8" hidden="false" customHeight="false" outlineLevel="0" collapsed="false">
      <c r="A690" s="0" t="n">
        <v>2446</v>
      </c>
      <c r="B690" s="0" t="s">
        <v>4340</v>
      </c>
      <c r="C690" s="0" t="s">
        <v>4000</v>
      </c>
      <c r="E690" s="0" t="n">
        <f aca="false">IF(J689=J690,E689+10,0)</f>
        <v>110</v>
      </c>
      <c r="F690" s="0" t="s">
        <v>4341</v>
      </c>
      <c r="G690" s="0" t="s">
        <v>4342</v>
      </c>
      <c r="H690" s="0" t="s">
        <v>4343</v>
      </c>
      <c r="I690" s="0" t="s">
        <v>1106</v>
      </c>
      <c r="J690" s="0" t="s">
        <v>4297</v>
      </c>
      <c r="K690" s="0" t="s">
        <v>971</v>
      </c>
      <c r="L690" s="0" t="s">
        <v>974</v>
      </c>
      <c r="M690" s="0" t="s">
        <v>973</v>
      </c>
      <c r="N690" s="0" t="s">
        <v>974</v>
      </c>
      <c r="O690" s="0" t="s">
        <v>975</v>
      </c>
      <c r="P690" s="0" t="s">
        <v>976</v>
      </c>
      <c r="Q690" s="0" t="s">
        <v>1046</v>
      </c>
      <c r="R690" s="0" t="s">
        <v>970</v>
      </c>
      <c r="S690" s="0" t="s">
        <v>974</v>
      </c>
    </row>
    <row r="691" customFormat="false" ht="13.8" hidden="false" customHeight="false" outlineLevel="0" collapsed="false">
      <c r="A691" s="0" t="n">
        <v>2447</v>
      </c>
      <c r="B691" s="0" t="s">
        <v>4344</v>
      </c>
      <c r="C691" s="0" t="s">
        <v>1662</v>
      </c>
      <c r="E691" s="0" t="n">
        <f aca="false">IF(J690=J691,E690+10,0)</f>
        <v>120</v>
      </c>
      <c r="F691" s="0" t="s">
        <v>4345</v>
      </c>
      <c r="G691" s="0" t="s">
        <v>4346</v>
      </c>
      <c r="H691" s="0" t="s">
        <v>4347</v>
      </c>
      <c r="I691" s="0" t="s">
        <v>1666</v>
      </c>
      <c r="J691" s="0" t="s">
        <v>4297</v>
      </c>
      <c r="K691" s="0" t="s">
        <v>971</v>
      </c>
      <c r="L691" s="0" t="s">
        <v>974</v>
      </c>
      <c r="M691" s="0" t="s">
        <v>973</v>
      </c>
      <c r="N691" s="0" t="s">
        <v>974</v>
      </c>
      <c r="O691" s="0" t="s">
        <v>975</v>
      </c>
      <c r="P691" s="0" t="s">
        <v>976</v>
      </c>
      <c r="Q691" s="0" t="s">
        <v>973</v>
      </c>
      <c r="R691" s="0" t="s">
        <v>1046</v>
      </c>
      <c r="S691" s="0" t="s">
        <v>974</v>
      </c>
    </row>
    <row r="692" customFormat="false" ht="13.8" hidden="false" customHeight="false" outlineLevel="0" collapsed="false">
      <c r="A692" s="0" t="n">
        <v>2448</v>
      </c>
      <c r="B692" s="0" t="s">
        <v>4348</v>
      </c>
      <c r="C692" s="0" t="s">
        <v>1010</v>
      </c>
      <c r="E692" s="0" t="n">
        <f aca="false">IF(J691=J692,E691+10,0)</f>
        <v>130</v>
      </c>
      <c r="F692" s="0" t="s">
        <v>4349</v>
      </c>
      <c r="G692" s="0" t="s">
        <v>4350</v>
      </c>
      <c r="H692" s="0" t="s">
        <v>4351</v>
      </c>
      <c r="I692" s="0" t="s">
        <v>1014</v>
      </c>
      <c r="J692" s="0" t="s">
        <v>4297</v>
      </c>
      <c r="K692" s="0" t="s">
        <v>971</v>
      </c>
      <c r="L692" s="0" t="s">
        <v>974</v>
      </c>
      <c r="M692" s="0" t="s">
        <v>973</v>
      </c>
      <c r="N692" s="0" t="s">
        <v>974</v>
      </c>
      <c r="O692" s="0" t="s">
        <v>975</v>
      </c>
      <c r="P692" s="0" t="s">
        <v>976</v>
      </c>
      <c r="Q692" s="0" t="s">
        <v>973</v>
      </c>
      <c r="R692" s="0" t="s">
        <v>1046</v>
      </c>
      <c r="S692" s="0" t="s">
        <v>974</v>
      </c>
    </row>
    <row r="693" customFormat="false" ht="13.8" hidden="false" customHeight="false" outlineLevel="0" collapsed="false">
      <c r="A693" s="0" t="n">
        <v>2449</v>
      </c>
      <c r="B693" s="0" t="s">
        <v>4352</v>
      </c>
      <c r="C693" s="0" t="s">
        <v>4353</v>
      </c>
      <c r="E693" s="0" t="n">
        <f aca="false">IF(J692=J693,E692+10,0)</f>
        <v>140</v>
      </c>
      <c r="F693" s="0" t="s">
        <v>4354</v>
      </c>
      <c r="G693" s="0" t="s">
        <v>4355</v>
      </c>
      <c r="H693" s="0" t="s">
        <v>4356</v>
      </c>
      <c r="I693" s="0" t="s">
        <v>1889</v>
      </c>
      <c r="J693" s="0" t="s">
        <v>4297</v>
      </c>
      <c r="K693" s="0" t="s">
        <v>971</v>
      </c>
      <c r="L693" s="0" t="s">
        <v>974</v>
      </c>
      <c r="M693" s="0" t="s">
        <v>973</v>
      </c>
      <c r="N693" s="0" t="s">
        <v>974</v>
      </c>
      <c r="O693" s="0" t="s">
        <v>975</v>
      </c>
      <c r="P693" s="0" t="s">
        <v>976</v>
      </c>
      <c r="Q693" s="0" t="s">
        <v>1381</v>
      </c>
      <c r="R693" s="0" t="s">
        <v>1046</v>
      </c>
      <c r="S693" s="0" t="s">
        <v>974</v>
      </c>
    </row>
    <row r="694" customFormat="false" ht="13.8" hidden="false" customHeight="false" outlineLevel="0" collapsed="false">
      <c r="A694" s="0" t="n">
        <v>2450</v>
      </c>
      <c r="B694" s="0" t="s">
        <v>4357</v>
      </c>
      <c r="C694" s="0" t="s">
        <v>4018</v>
      </c>
      <c r="E694" s="0" t="n">
        <f aca="false">IF(J693=J694,E693+10,0)</f>
        <v>150</v>
      </c>
      <c r="F694" s="0" t="s">
        <v>4358</v>
      </c>
      <c r="G694" s="0" t="s">
        <v>4359</v>
      </c>
      <c r="H694" s="0" t="s">
        <v>4360</v>
      </c>
      <c r="I694" s="0" t="s">
        <v>1180</v>
      </c>
      <c r="J694" s="0" t="s">
        <v>4297</v>
      </c>
      <c r="K694" s="0" t="s">
        <v>971</v>
      </c>
      <c r="L694" s="0" t="s">
        <v>974</v>
      </c>
      <c r="M694" s="0" t="s">
        <v>973</v>
      </c>
      <c r="N694" s="0" t="s">
        <v>974</v>
      </c>
      <c r="O694" s="0" t="s">
        <v>975</v>
      </c>
      <c r="P694" s="0" t="s">
        <v>976</v>
      </c>
      <c r="Q694" s="0" t="s">
        <v>970</v>
      </c>
      <c r="R694" s="0" t="s">
        <v>1046</v>
      </c>
      <c r="S694" s="0" t="s">
        <v>974</v>
      </c>
    </row>
    <row r="695" customFormat="false" ht="13.8" hidden="false" customHeight="false" outlineLevel="0" collapsed="false">
      <c r="A695" s="0" t="n">
        <v>2451</v>
      </c>
      <c r="B695" s="0" t="s">
        <v>4361</v>
      </c>
      <c r="C695" s="0" t="s">
        <v>4362</v>
      </c>
      <c r="E695" s="0" t="n">
        <f aca="false">IF(J694=J695,E694+10,0)</f>
        <v>160</v>
      </c>
      <c r="F695" s="0" t="s">
        <v>4363</v>
      </c>
      <c r="G695" s="0" t="s">
        <v>4364</v>
      </c>
      <c r="H695" s="0" t="s">
        <v>4365</v>
      </c>
      <c r="I695" s="0" t="s">
        <v>1045</v>
      </c>
      <c r="J695" s="0" t="s">
        <v>4297</v>
      </c>
      <c r="K695" s="0" t="s">
        <v>971</v>
      </c>
      <c r="L695" s="0" t="s">
        <v>974</v>
      </c>
      <c r="M695" s="0" t="s">
        <v>973</v>
      </c>
      <c r="N695" s="0" t="s">
        <v>974</v>
      </c>
      <c r="O695" s="0" t="s">
        <v>975</v>
      </c>
      <c r="P695" s="0" t="s">
        <v>976</v>
      </c>
      <c r="Q695" s="0" t="s">
        <v>1059</v>
      </c>
      <c r="R695" s="0" t="s">
        <v>1046</v>
      </c>
      <c r="S695" s="0" t="s">
        <v>974</v>
      </c>
    </row>
    <row r="696" customFormat="false" ht="13.8" hidden="false" customHeight="false" outlineLevel="0" collapsed="false">
      <c r="A696" s="0" t="n">
        <v>2452</v>
      </c>
      <c r="B696" s="0" t="s">
        <v>4366</v>
      </c>
      <c r="C696" s="0" t="s">
        <v>4367</v>
      </c>
      <c r="E696" s="0" t="n">
        <f aca="false">IF(J695=J696,E695+10,0)</f>
        <v>170</v>
      </c>
      <c r="F696" s="0" t="s">
        <v>4368</v>
      </c>
      <c r="G696" s="0" t="s">
        <v>4369</v>
      </c>
      <c r="H696" s="0" t="s">
        <v>4370</v>
      </c>
      <c r="I696" s="0" t="s">
        <v>1780</v>
      </c>
      <c r="J696" s="0" t="s">
        <v>4297</v>
      </c>
      <c r="K696" s="0" t="s">
        <v>971</v>
      </c>
      <c r="L696" s="0" t="s">
        <v>974</v>
      </c>
      <c r="M696" s="0" t="s">
        <v>973</v>
      </c>
      <c r="N696" s="0" t="s">
        <v>974</v>
      </c>
      <c r="O696" s="0" t="s">
        <v>975</v>
      </c>
      <c r="P696" s="0" t="s">
        <v>976</v>
      </c>
      <c r="Q696" s="0" t="s">
        <v>1059</v>
      </c>
      <c r="R696" s="0" t="s">
        <v>970</v>
      </c>
      <c r="S696" s="0" t="s">
        <v>974</v>
      </c>
    </row>
    <row r="697" customFormat="false" ht="13.8" hidden="false" customHeight="false" outlineLevel="0" collapsed="false">
      <c r="A697" s="0" t="n">
        <v>2453</v>
      </c>
      <c r="B697" s="0" t="s">
        <v>4371</v>
      </c>
      <c r="C697" s="0" t="s">
        <v>4028</v>
      </c>
      <c r="E697" s="0" t="n">
        <f aca="false">IF(J696=J697,E696+10,0)</f>
        <v>180</v>
      </c>
      <c r="F697" s="0" t="s">
        <v>4372</v>
      </c>
      <c r="G697" s="0" t="s">
        <v>4373</v>
      </c>
      <c r="H697" s="0" t="s">
        <v>4374</v>
      </c>
      <c r="I697" s="0" t="s">
        <v>1587</v>
      </c>
      <c r="J697" s="0" t="s">
        <v>4297</v>
      </c>
      <c r="K697" s="0" t="s">
        <v>971</v>
      </c>
      <c r="L697" s="0" t="s">
        <v>974</v>
      </c>
      <c r="M697" s="0" t="s">
        <v>973</v>
      </c>
      <c r="N697" s="0" t="s">
        <v>974</v>
      </c>
      <c r="O697" s="0" t="s">
        <v>975</v>
      </c>
      <c r="P697" s="0" t="s">
        <v>976</v>
      </c>
      <c r="Q697" s="0" t="s">
        <v>1059</v>
      </c>
      <c r="R697" s="0" t="s">
        <v>1046</v>
      </c>
      <c r="S697" s="0" t="s">
        <v>974</v>
      </c>
    </row>
    <row r="698" customFormat="false" ht="13.8" hidden="false" customHeight="false" outlineLevel="0" collapsed="false">
      <c r="A698" s="0" t="n">
        <v>2454</v>
      </c>
      <c r="B698" s="0" t="s">
        <v>4375</v>
      </c>
      <c r="C698" s="0" t="s">
        <v>1420</v>
      </c>
      <c r="E698" s="0" t="n">
        <f aca="false">IF(J697=J698,E697+10,0)</f>
        <v>190</v>
      </c>
      <c r="F698" s="0" t="s">
        <v>4376</v>
      </c>
      <c r="G698" s="0" t="s">
        <v>4377</v>
      </c>
      <c r="H698" s="0" t="s">
        <v>4378</v>
      </c>
      <c r="I698" s="0" t="s">
        <v>1100</v>
      </c>
      <c r="J698" s="0" t="s">
        <v>4297</v>
      </c>
      <c r="K698" s="0" t="s">
        <v>971</v>
      </c>
      <c r="L698" s="0" t="s">
        <v>974</v>
      </c>
      <c r="M698" s="0" t="s">
        <v>973</v>
      </c>
      <c r="N698" s="0" t="s">
        <v>974</v>
      </c>
      <c r="O698" s="0" t="s">
        <v>975</v>
      </c>
      <c r="P698" s="0" t="s">
        <v>976</v>
      </c>
      <c r="Q698" s="0" t="s">
        <v>1059</v>
      </c>
      <c r="R698" s="0" t="s">
        <v>1046</v>
      </c>
      <c r="S698" s="0" t="s">
        <v>974</v>
      </c>
    </row>
    <row r="699" customFormat="false" ht="13.8" hidden="false" customHeight="false" outlineLevel="0" collapsed="false">
      <c r="A699" s="0" t="n">
        <v>2455</v>
      </c>
      <c r="B699" s="0" t="s">
        <v>4379</v>
      </c>
      <c r="C699" s="0" t="s">
        <v>4380</v>
      </c>
      <c r="E699" s="0" t="n">
        <f aca="false">IF(J698=J699,E698+10,0)</f>
        <v>0</v>
      </c>
      <c r="F699" s="0" t="s">
        <v>4381</v>
      </c>
      <c r="G699" s="0" t="s">
        <v>4382</v>
      </c>
      <c r="H699" s="0" t="s">
        <v>4383</v>
      </c>
      <c r="I699" s="0" t="s">
        <v>1143</v>
      </c>
      <c r="J699" s="0" t="s">
        <v>3565</v>
      </c>
      <c r="K699" s="0" t="s">
        <v>4384</v>
      </c>
      <c r="L699" s="0" t="s">
        <v>1046</v>
      </c>
      <c r="M699" s="0" t="s">
        <v>973</v>
      </c>
      <c r="N699" s="0" t="s">
        <v>974</v>
      </c>
      <c r="O699" s="0" t="s">
        <v>975</v>
      </c>
      <c r="P699" s="0" t="s">
        <v>976</v>
      </c>
      <c r="Q699" s="0" t="s">
        <v>974</v>
      </c>
      <c r="R699" s="0" t="s">
        <v>970</v>
      </c>
      <c r="S699" s="0" t="s">
        <v>974</v>
      </c>
    </row>
    <row r="700" customFormat="false" ht="13.8" hidden="false" customHeight="false" outlineLevel="0" collapsed="false">
      <c r="A700" s="0" t="n">
        <v>2456</v>
      </c>
      <c r="B700" s="0" t="s">
        <v>4385</v>
      </c>
      <c r="C700" s="0" t="s">
        <v>4386</v>
      </c>
      <c r="E700" s="0" t="n">
        <f aca="false">IF(J699=J700,E699+10,0)</f>
        <v>10</v>
      </c>
      <c r="F700" s="0" t="s">
        <v>4387</v>
      </c>
      <c r="G700" s="0" t="s">
        <v>4388</v>
      </c>
      <c r="H700" s="0" t="s">
        <v>4389</v>
      </c>
      <c r="I700" s="0" t="s">
        <v>1150</v>
      </c>
      <c r="J700" s="0" t="s">
        <v>3565</v>
      </c>
      <c r="K700" s="0" t="s">
        <v>4390</v>
      </c>
      <c r="L700" s="0" t="s">
        <v>1046</v>
      </c>
      <c r="M700" s="0" t="s">
        <v>973</v>
      </c>
      <c r="N700" s="0" t="s">
        <v>974</v>
      </c>
      <c r="O700" s="0" t="s">
        <v>975</v>
      </c>
      <c r="P700" s="0" t="s">
        <v>976</v>
      </c>
      <c r="Q700" s="0" t="s">
        <v>974</v>
      </c>
      <c r="R700" s="0" t="s">
        <v>970</v>
      </c>
      <c r="S700" s="0" t="s">
        <v>974</v>
      </c>
    </row>
    <row r="701" customFormat="false" ht="13.8" hidden="false" customHeight="false" outlineLevel="0" collapsed="false">
      <c r="A701" s="0" t="n">
        <v>2457</v>
      </c>
      <c r="B701" s="0" t="s">
        <v>4391</v>
      </c>
      <c r="C701" s="0" t="s">
        <v>4111</v>
      </c>
      <c r="E701" s="0" t="n">
        <f aca="false">IF(J700=J701,E700+10,0)</f>
        <v>20</v>
      </c>
      <c r="F701" s="0" t="s">
        <v>4392</v>
      </c>
      <c r="G701" s="0" t="s">
        <v>4393</v>
      </c>
      <c r="H701" s="0" t="s">
        <v>4394</v>
      </c>
      <c r="I701" s="0" t="s">
        <v>1002</v>
      </c>
      <c r="J701" s="0" t="s">
        <v>3565</v>
      </c>
      <c r="K701" s="0" t="s">
        <v>4395</v>
      </c>
      <c r="L701" s="0" t="s">
        <v>1046</v>
      </c>
      <c r="M701" s="0" t="s">
        <v>973</v>
      </c>
      <c r="N701" s="0" t="s">
        <v>974</v>
      </c>
      <c r="O701" s="0" t="s">
        <v>975</v>
      </c>
      <c r="P701" s="0" t="s">
        <v>976</v>
      </c>
      <c r="Q701" s="0" t="s">
        <v>974</v>
      </c>
      <c r="R701" s="0" t="s">
        <v>970</v>
      </c>
      <c r="S701" s="0" t="s">
        <v>974</v>
      </c>
    </row>
    <row r="702" customFormat="false" ht="13.8" hidden="false" customHeight="false" outlineLevel="0" collapsed="false">
      <c r="A702" s="0" t="n">
        <v>2458</v>
      </c>
      <c r="B702" s="0" t="s">
        <v>4396</v>
      </c>
      <c r="C702" s="0" t="s">
        <v>4397</v>
      </c>
      <c r="E702" s="0" t="n">
        <f aca="false">IF(J701=J702,E701+10,0)</f>
        <v>30</v>
      </c>
      <c r="F702" s="0" t="s">
        <v>4398</v>
      </c>
      <c r="G702" s="0" t="s">
        <v>4399</v>
      </c>
      <c r="H702" s="0" t="s">
        <v>4400</v>
      </c>
      <c r="I702" s="0" t="s">
        <v>2798</v>
      </c>
      <c r="J702" s="0" t="s">
        <v>3565</v>
      </c>
      <c r="K702" s="0" t="s">
        <v>971</v>
      </c>
      <c r="L702" s="0" t="s">
        <v>1046</v>
      </c>
      <c r="M702" s="0" t="s">
        <v>973</v>
      </c>
      <c r="N702" s="0" t="s">
        <v>974</v>
      </c>
      <c r="O702" s="0" t="s">
        <v>975</v>
      </c>
      <c r="P702" s="0" t="s">
        <v>976</v>
      </c>
      <c r="Q702" s="0" t="s">
        <v>974</v>
      </c>
      <c r="R702" s="0" t="s">
        <v>970</v>
      </c>
      <c r="S702" s="0" t="s">
        <v>974</v>
      </c>
    </row>
    <row r="703" customFormat="false" ht="13.8" hidden="false" customHeight="false" outlineLevel="0" collapsed="false">
      <c r="A703" s="0" t="n">
        <v>2459</v>
      </c>
      <c r="B703" s="0" t="s">
        <v>4401</v>
      </c>
      <c r="C703" s="0" t="s">
        <v>4402</v>
      </c>
      <c r="E703" s="0" t="n">
        <f aca="false">IF(J702=J703,E702+10,0)</f>
        <v>40</v>
      </c>
      <c r="F703" s="0" t="s">
        <v>4403</v>
      </c>
      <c r="G703" s="0" t="s">
        <v>4404</v>
      </c>
      <c r="H703" s="0" t="s">
        <v>4405</v>
      </c>
      <c r="I703" s="0" t="s">
        <v>1021</v>
      </c>
      <c r="J703" s="0" t="s">
        <v>3565</v>
      </c>
      <c r="K703" s="0" t="s">
        <v>971</v>
      </c>
      <c r="L703" s="0" t="s">
        <v>974</v>
      </c>
      <c r="M703" s="0" t="s">
        <v>973</v>
      </c>
      <c r="N703" s="0" t="s">
        <v>974</v>
      </c>
      <c r="O703" s="0" t="s">
        <v>975</v>
      </c>
      <c r="P703" s="0" t="s">
        <v>976</v>
      </c>
      <c r="Q703" s="0" t="s">
        <v>996</v>
      </c>
      <c r="R703" s="0" t="s">
        <v>970</v>
      </c>
      <c r="S703" s="0" t="s">
        <v>974</v>
      </c>
    </row>
    <row r="704" customFormat="false" ht="13.8" hidden="false" customHeight="false" outlineLevel="0" collapsed="false">
      <c r="A704" s="0" t="n">
        <v>2460</v>
      </c>
      <c r="B704" s="0" t="s">
        <v>4406</v>
      </c>
      <c r="C704" s="0" t="s">
        <v>4407</v>
      </c>
      <c r="E704" s="0" t="n">
        <f aca="false">IF(J703=J704,E703+10,0)</f>
        <v>50</v>
      </c>
      <c r="F704" s="0" t="s">
        <v>4408</v>
      </c>
      <c r="G704" s="0" t="s">
        <v>4409</v>
      </c>
      <c r="H704" s="0" t="s">
        <v>4410</v>
      </c>
      <c r="I704" s="0" t="s">
        <v>970</v>
      </c>
      <c r="J704" s="0" t="s">
        <v>3565</v>
      </c>
      <c r="K704" s="0" t="s">
        <v>971</v>
      </c>
      <c r="L704" s="0" t="s">
        <v>974</v>
      </c>
      <c r="M704" s="0" t="s">
        <v>973</v>
      </c>
      <c r="N704" s="0" t="s">
        <v>974</v>
      </c>
      <c r="O704" s="0" t="s">
        <v>975</v>
      </c>
      <c r="P704" s="0" t="s">
        <v>976</v>
      </c>
      <c r="Q704" s="0" t="s">
        <v>973</v>
      </c>
      <c r="R704" s="0" t="s">
        <v>970</v>
      </c>
      <c r="S704" s="0" t="s">
        <v>974</v>
      </c>
    </row>
    <row r="705" customFormat="false" ht="13.8" hidden="false" customHeight="false" outlineLevel="0" collapsed="false">
      <c r="A705" s="0" t="n">
        <v>2461</v>
      </c>
      <c r="B705" s="0" t="s">
        <v>4411</v>
      </c>
      <c r="C705" s="0" t="s">
        <v>4412</v>
      </c>
      <c r="E705" s="0" t="n">
        <f aca="false">IF(J704=J705,E704+10,0)</f>
        <v>60</v>
      </c>
      <c r="F705" s="0" t="s">
        <v>4413</v>
      </c>
      <c r="G705" s="0" t="s">
        <v>4414</v>
      </c>
      <c r="H705" s="0" t="s">
        <v>4415</v>
      </c>
      <c r="I705" s="0" t="s">
        <v>1249</v>
      </c>
      <c r="J705" s="0" t="s">
        <v>3565</v>
      </c>
      <c r="K705" s="0" t="s">
        <v>971</v>
      </c>
      <c r="L705" s="0" t="s">
        <v>974</v>
      </c>
      <c r="M705" s="0" t="s">
        <v>973</v>
      </c>
      <c r="N705" s="0" t="s">
        <v>974</v>
      </c>
      <c r="O705" s="0" t="s">
        <v>975</v>
      </c>
      <c r="P705" s="0" t="s">
        <v>976</v>
      </c>
      <c r="Q705" s="0" t="s">
        <v>973</v>
      </c>
      <c r="R705" s="0" t="s">
        <v>1046</v>
      </c>
      <c r="S705" s="0" t="s">
        <v>974</v>
      </c>
    </row>
    <row r="706" customFormat="false" ht="13.8" hidden="false" customHeight="false" outlineLevel="0" collapsed="false">
      <c r="A706" s="0" t="n">
        <v>2462</v>
      </c>
      <c r="B706" s="0" t="s">
        <v>4416</v>
      </c>
      <c r="C706" s="0" t="s">
        <v>4417</v>
      </c>
      <c r="E706" s="0" t="n">
        <f aca="false">IF(J705=J706,E705+10,0)</f>
        <v>70</v>
      </c>
      <c r="F706" s="0" t="s">
        <v>4418</v>
      </c>
      <c r="G706" s="0" t="s">
        <v>4419</v>
      </c>
      <c r="H706" s="0" t="s">
        <v>4420</v>
      </c>
      <c r="I706" s="0" t="s">
        <v>1052</v>
      </c>
      <c r="J706" s="0" t="s">
        <v>3565</v>
      </c>
      <c r="K706" s="0" t="s">
        <v>971</v>
      </c>
      <c r="L706" s="0" t="s">
        <v>1186</v>
      </c>
      <c r="M706" s="0" t="s">
        <v>973</v>
      </c>
      <c r="N706" s="0" t="s">
        <v>974</v>
      </c>
      <c r="O706" s="0" t="s">
        <v>975</v>
      </c>
      <c r="P706" s="0" t="s">
        <v>976</v>
      </c>
      <c r="Q706" s="0" t="s">
        <v>974</v>
      </c>
      <c r="R706" s="0" t="s">
        <v>970</v>
      </c>
      <c r="S706" s="0" t="s">
        <v>974</v>
      </c>
    </row>
    <row r="707" customFormat="false" ht="13.8" hidden="false" customHeight="false" outlineLevel="0" collapsed="false">
      <c r="A707" s="0" t="n">
        <v>2463</v>
      </c>
      <c r="B707" s="0" t="s">
        <v>4421</v>
      </c>
      <c r="C707" s="0" t="s">
        <v>4422</v>
      </c>
      <c r="E707" s="0" t="n">
        <f aca="false">IF(J706=J707,E706+10,0)</f>
        <v>80</v>
      </c>
      <c r="F707" s="0" t="s">
        <v>4423</v>
      </c>
      <c r="G707" s="0" t="s">
        <v>4424</v>
      </c>
      <c r="H707" s="0" t="s">
        <v>4425</v>
      </c>
      <c r="I707" s="0" t="s">
        <v>4426</v>
      </c>
      <c r="J707" s="0" t="s">
        <v>3565</v>
      </c>
      <c r="K707" s="0" t="s">
        <v>971</v>
      </c>
      <c r="L707" s="0" t="s">
        <v>1067</v>
      </c>
      <c r="M707" s="0" t="s">
        <v>973</v>
      </c>
      <c r="N707" s="0" t="s">
        <v>974</v>
      </c>
      <c r="O707" s="0" t="s">
        <v>975</v>
      </c>
      <c r="P707" s="0" t="s">
        <v>976</v>
      </c>
      <c r="Q707" s="0" t="s">
        <v>1214</v>
      </c>
      <c r="R707" s="0" t="s">
        <v>970</v>
      </c>
      <c r="S707" s="0" t="s">
        <v>974</v>
      </c>
    </row>
    <row r="708" customFormat="false" ht="13.8" hidden="false" customHeight="false" outlineLevel="0" collapsed="false">
      <c r="A708" s="0" t="n">
        <v>2464</v>
      </c>
      <c r="B708" s="0" t="s">
        <v>4427</v>
      </c>
      <c r="C708" s="0" t="s">
        <v>4428</v>
      </c>
      <c r="E708" s="0" t="n">
        <f aca="false">IF(J707=J708,E707+10,0)</f>
        <v>90</v>
      </c>
      <c r="F708" s="0" t="s">
        <v>4429</v>
      </c>
      <c r="G708" s="0" t="s">
        <v>4430</v>
      </c>
      <c r="H708" s="0" t="s">
        <v>4431</v>
      </c>
      <c r="I708" s="0" t="s">
        <v>4432</v>
      </c>
      <c r="J708" s="0" t="s">
        <v>3565</v>
      </c>
      <c r="K708" s="0" t="s">
        <v>971</v>
      </c>
      <c r="L708" s="0" t="s">
        <v>1067</v>
      </c>
      <c r="M708" s="0" t="s">
        <v>973</v>
      </c>
      <c r="N708" s="0" t="s">
        <v>974</v>
      </c>
      <c r="O708" s="0" t="s">
        <v>975</v>
      </c>
      <c r="P708" s="0" t="s">
        <v>976</v>
      </c>
      <c r="Q708" s="0" t="s">
        <v>970</v>
      </c>
      <c r="R708" s="0" t="s">
        <v>1046</v>
      </c>
      <c r="S708" s="0" t="s">
        <v>974</v>
      </c>
    </row>
    <row r="709" customFormat="false" ht="13.8" hidden="false" customHeight="false" outlineLevel="0" collapsed="false">
      <c r="A709" s="0" t="n">
        <v>2465</v>
      </c>
      <c r="B709" s="0" t="s">
        <v>4433</v>
      </c>
      <c r="C709" s="0" t="s">
        <v>4434</v>
      </c>
      <c r="E709" s="0" t="n">
        <f aca="false">IF(J708=J709,E708+10,0)</f>
        <v>100</v>
      </c>
      <c r="F709" s="0" t="s">
        <v>4435</v>
      </c>
      <c r="G709" s="0" t="s">
        <v>4436</v>
      </c>
      <c r="H709" s="0" t="s">
        <v>4437</v>
      </c>
      <c r="I709" s="0" t="s">
        <v>3513</v>
      </c>
      <c r="J709" s="0" t="s">
        <v>3565</v>
      </c>
      <c r="K709" s="0" t="s">
        <v>971</v>
      </c>
      <c r="L709" s="0" t="s">
        <v>1067</v>
      </c>
      <c r="M709" s="0" t="s">
        <v>973</v>
      </c>
      <c r="N709" s="0" t="s">
        <v>974</v>
      </c>
      <c r="O709" s="0" t="s">
        <v>975</v>
      </c>
      <c r="P709" s="0" t="s">
        <v>976</v>
      </c>
      <c r="Q709" s="0" t="s">
        <v>974</v>
      </c>
      <c r="R709" s="0" t="s">
        <v>970</v>
      </c>
      <c r="S709" s="0" t="s">
        <v>974</v>
      </c>
    </row>
    <row r="710" customFormat="false" ht="13.8" hidden="false" customHeight="false" outlineLevel="0" collapsed="false">
      <c r="A710" s="0" t="n">
        <v>2466</v>
      </c>
      <c r="B710" s="0" t="s">
        <v>4438</v>
      </c>
      <c r="C710" s="0" t="s">
        <v>4439</v>
      </c>
      <c r="E710" s="0" t="n">
        <f aca="false">IF(J709=J710,E709+10,0)</f>
        <v>110</v>
      </c>
      <c r="F710" s="0" t="s">
        <v>4440</v>
      </c>
      <c r="G710" s="0" t="s">
        <v>4441</v>
      </c>
      <c r="H710" s="0" t="s">
        <v>4442</v>
      </c>
      <c r="I710" s="0" t="s">
        <v>4443</v>
      </c>
      <c r="J710" s="0" t="s">
        <v>3565</v>
      </c>
      <c r="K710" s="0" t="s">
        <v>971</v>
      </c>
      <c r="L710" s="0" t="s">
        <v>974</v>
      </c>
      <c r="M710" s="0" t="s">
        <v>973</v>
      </c>
      <c r="N710" s="0" t="s">
        <v>974</v>
      </c>
      <c r="O710" s="0" t="s">
        <v>975</v>
      </c>
      <c r="P710" s="0" t="s">
        <v>976</v>
      </c>
      <c r="Q710" s="0" t="s">
        <v>996</v>
      </c>
      <c r="R710" s="0" t="s">
        <v>970</v>
      </c>
      <c r="S710" s="0" t="s">
        <v>974</v>
      </c>
    </row>
    <row r="711" customFormat="false" ht="13.8" hidden="false" customHeight="false" outlineLevel="0" collapsed="false">
      <c r="A711" s="0" t="n">
        <v>2467</v>
      </c>
      <c r="B711" s="0" t="s">
        <v>4444</v>
      </c>
      <c r="C711" s="0" t="s">
        <v>4445</v>
      </c>
      <c r="E711" s="0" t="n">
        <f aca="false">IF(J710=J711,E710+10,0)</f>
        <v>120</v>
      </c>
      <c r="F711" s="0" t="s">
        <v>4446</v>
      </c>
      <c r="G711" s="0" t="s">
        <v>4447</v>
      </c>
      <c r="H711" s="0" t="s">
        <v>4448</v>
      </c>
      <c r="I711" s="0" t="s">
        <v>1008</v>
      </c>
      <c r="J711" s="0" t="s">
        <v>3565</v>
      </c>
      <c r="K711" s="0" t="s">
        <v>971</v>
      </c>
      <c r="L711" s="0" t="s">
        <v>1067</v>
      </c>
      <c r="M711" s="0" t="s">
        <v>973</v>
      </c>
      <c r="N711" s="0" t="s">
        <v>974</v>
      </c>
      <c r="O711" s="0" t="s">
        <v>975</v>
      </c>
      <c r="P711" s="0" t="s">
        <v>976</v>
      </c>
      <c r="Q711" s="0" t="s">
        <v>1059</v>
      </c>
      <c r="R711" s="0" t="s">
        <v>970</v>
      </c>
      <c r="S711" s="0" t="s">
        <v>974</v>
      </c>
    </row>
    <row r="712" customFormat="false" ht="13.8" hidden="false" customHeight="false" outlineLevel="0" collapsed="false">
      <c r="A712" s="0" t="n">
        <v>2468</v>
      </c>
      <c r="B712" s="0" t="s">
        <v>4449</v>
      </c>
      <c r="C712" s="0" t="s">
        <v>4450</v>
      </c>
      <c r="E712" s="0" t="n">
        <f aca="false">IF(J711=J712,E711+10,0)</f>
        <v>130</v>
      </c>
      <c r="F712" s="0" t="s">
        <v>4451</v>
      </c>
      <c r="G712" s="0" t="s">
        <v>4452</v>
      </c>
      <c r="H712" s="0" t="s">
        <v>4453</v>
      </c>
      <c r="I712" s="0" t="s">
        <v>3581</v>
      </c>
      <c r="J712" s="0" t="s">
        <v>3565</v>
      </c>
      <c r="K712" s="0" t="s">
        <v>971</v>
      </c>
      <c r="L712" s="0" t="s">
        <v>974</v>
      </c>
      <c r="M712" s="0" t="s">
        <v>973</v>
      </c>
      <c r="N712" s="0" t="s">
        <v>974</v>
      </c>
      <c r="O712" s="0" t="s">
        <v>975</v>
      </c>
      <c r="P712" s="0" t="s">
        <v>976</v>
      </c>
      <c r="Q712" s="0" t="s">
        <v>1214</v>
      </c>
      <c r="R712" s="0" t="s">
        <v>1046</v>
      </c>
      <c r="S712" s="0" t="s">
        <v>974</v>
      </c>
    </row>
    <row r="713" customFormat="false" ht="13.8" hidden="false" customHeight="false" outlineLevel="0" collapsed="false">
      <c r="A713" s="0" t="n">
        <v>2469</v>
      </c>
      <c r="B713" s="0" t="s">
        <v>4454</v>
      </c>
      <c r="C713" s="0" t="s">
        <v>1420</v>
      </c>
      <c r="E713" s="0" t="n">
        <f aca="false">IF(J712=J713,E712+10,0)</f>
        <v>140</v>
      </c>
      <c r="F713" s="0" t="s">
        <v>4455</v>
      </c>
      <c r="G713" s="0" t="s">
        <v>4456</v>
      </c>
      <c r="H713" s="0" t="s">
        <v>4457</v>
      </c>
      <c r="I713" s="0" t="s">
        <v>1100</v>
      </c>
      <c r="J713" s="0" t="s">
        <v>3565</v>
      </c>
      <c r="K713" s="0" t="s">
        <v>971</v>
      </c>
      <c r="L713" s="0" t="s">
        <v>974</v>
      </c>
      <c r="M713" s="0" t="s">
        <v>973</v>
      </c>
      <c r="N713" s="0" t="s">
        <v>974</v>
      </c>
      <c r="O713" s="0" t="s">
        <v>975</v>
      </c>
      <c r="P713" s="0" t="s">
        <v>976</v>
      </c>
      <c r="Q713" s="0" t="s">
        <v>2852</v>
      </c>
      <c r="R713" s="0" t="s">
        <v>1046</v>
      </c>
      <c r="S713" s="0" t="s">
        <v>974</v>
      </c>
    </row>
    <row r="714" customFormat="false" ht="13.8" hidden="false" customHeight="false" outlineLevel="0" collapsed="false">
      <c r="A714" s="0" t="n">
        <v>2470</v>
      </c>
      <c r="B714" s="0" t="s">
        <v>4458</v>
      </c>
      <c r="C714" s="0" t="s">
        <v>1410</v>
      </c>
      <c r="E714" s="0" t="n">
        <f aca="false">IF(J713=J714,E713+10,0)</f>
        <v>150</v>
      </c>
      <c r="F714" s="0" t="s">
        <v>4459</v>
      </c>
      <c r="G714" s="0" t="s">
        <v>4460</v>
      </c>
      <c r="H714" s="0" t="s">
        <v>4461</v>
      </c>
      <c r="I714" s="0" t="s">
        <v>1088</v>
      </c>
      <c r="J714" s="0" t="s">
        <v>3565</v>
      </c>
      <c r="K714" s="0" t="s">
        <v>971</v>
      </c>
      <c r="L714" s="0" t="s">
        <v>974</v>
      </c>
      <c r="M714" s="0" t="s">
        <v>973</v>
      </c>
      <c r="N714" s="0" t="s">
        <v>974</v>
      </c>
      <c r="O714" s="0" t="s">
        <v>975</v>
      </c>
      <c r="P714" s="0" t="s">
        <v>976</v>
      </c>
      <c r="Q714" s="0" t="s">
        <v>970</v>
      </c>
      <c r="R714" s="0" t="s">
        <v>1046</v>
      </c>
      <c r="S714" s="0" t="s">
        <v>974</v>
      </c>
    </row>
    <row r="715" customFormat="false" ht="13.8" hidden="false" customHeight="false" outlineLevel="0" collapsed="false">
      <c r="A715" s="0" t="n">
        <v>2471</v>
      </c>
      <c r="B715" s="0" t="s">
        <v>4462</v>
      </c>
      <c r="C715" s="0" t="s">
        <v>4463</v>
      </c>
      <c r="E715" s="0" t="n">
        <f aca="false">IF(J714=J715,E714+10,0)</f>
        <v>160</v>
      </c>
      <c r="F715" s="0" t="s">
        <v>4464</v>
      </c>
      <c r="G715" s="0" t="s">
        <v>4465</v>
      </c>
      <c r="H715" s="0" t="s">
        <v>4466</v>
      </c>
      <c r="I715" s="0" t="s">
        <v>1238</v>
      </c>
      <c r="J715" s="0" t="s">
        <v>3565</v>
      </c>
      <c r="K715" s="0" t="s">
        <v>971</v>
      </c>
      <c r="L715" s="0" t="s">
        <v>974</v>
      </c>
      <c r="M715" s="0" t="s">
        <v>973</v>
      </c>
      <c r="N715" s="0" t="s">
        <v>974</v>
      </c>
      <c r="O715" s="0" t="s">
        <v>975</v>
      </c>
      <c r="P715" s="0" t="s">
        <v>976</v>
      </c>
      <c r="Q715" s="0" t="s">
        <v>974</v>
      </c>
      <c r="R715" s="0" t="s">
        <v>970</v>
      </c>
      <c r="S715" s="0" t="s">
        <v>974</v>
      </c>
    </row>
    <row r="716" customFormat="false" ht="13.8" hidden="false" customHeight="false" outlineLevel="0" collapsed="false">
      <c r="A716" s="0" t="n">
        <v>2472</v>
      </c>
      <c r="B716" s="0" t="s">
        <v>4467</v>
      </c>
      <c r="C716" s="0" t="s">
        <v>4468</v>
      </c>
      <c r="E716" s="0" t="n">
        <f aca="false">IF(J715=J716,E715+10,0)</f>
        <v>0</v>
      </c>
      <c r="F716" s="0" t="s">
        <v>4469</v>
      </c>
      <c r="G716" s="0" t="s">
        <v>4470</v>
      </c>
      <c r="H716" s="0" t="s">
        <v>4471</v>
      </c>
      <c r="I716" s="0" t="s">
        <v>1052</v>
      </c>
      <c r="J716" s="0" t="s">
        <v>2558</v>
      </c>
      <c r="K716" s="0" t="s">
        <v>971</v>
      </c>
      <c r="L716" s="0" t="s">
        <v>1459</v>
      </c>
      <c r="M716" s="0" t="s">
        <v>973</v>
      </c>
      <c r="N716" s="0" t="s">
        <v>974</v>
      </c>
      <c r="O716" s="0" t="s">
        <v>975</v>
      </c>
      <c r="P716" s="0" t="s">
        <v>976</v>
      </c>
      <c r="Q716" s="0" t="s">
        <v>974</v>
      </c>
      <c r="R716" s="0" t="s">
        <v>970</v>
      </c>
      <c r="S716" s="0" t="s">
        <v>974</v>
      </c>
    </row>
    <row r="717" customFormat="false" ht="13.8" hidden="false" customHeight="false" outlineLevel="0" collapsed="false">
      <c r="A717" s="0" t="n">
        <v>2473</v>
      </c>
      <c r="B717" s="0" t="s">
        <v>4472</v>
      </c>
      <c r="C717" s="0" t="s">
        <v>4188</v>
      </c>
      <c r="E717" s="0" t="n">
        <f aca="false">IF(J716=J717,E716+10,0)</f>
        <v>10</v>
      </c>
      <c r="F717" s="0" t="s">
        <v>4473</v>
      </c>
      <c r="G717" s="0" t="s">
        <v>4474</v>
      </c>
      <c r="H717" s="0" t="s">
        <v>4475</v>
      </c>
      <c r="I717" s="0" t="s">
        <v>1444</v>
      </c>
      <c r="J717" s="0" t="s">
        <v>2558</v>
      </c>
      <c r="K717" s="0" t="s">
        <v>971</v>
      </c>
      <c r="L717" s="0" t="s">
        <v>974</v>
      </c>
      <c r="M717" s="0" t="s">
        <v>973</v>
      </c>
      <c r="N717" s="0" t="s">
        <v>995</v>
      </c>
      <c r="O717" s="0" t="s">
        <v>975</v>
      </c>
      <c r="P717" s="0" t="s">
        <v>976</v>
      </c>
      <c r="Q717" s="0" t="s">
        <v>974</v>
      </c>
      <c r="R717" s="0" t="s">
        <v>970</v>
      </c>
      <c r="S717" s="0" t="s">
        <v>974</v>
      </c>
    </row>
    <row r="718" customFormat="false" ht="13.8" hidden="false" customHeight="false" outlineLevel="0" collapsed="false">
      <c r="A718" s="0" t="n">
        <v>2474</v>
      </c>
      <c r="B718" s="0" t="s">
        <v>4476</v>
      </c>
      <c r="C718" s="0" t="s">
        <v>4477</v>
      </c>
      <c r="E718" s="0" t="n">
        <f aca="false">IF(J717=J718,E717+10,0)</f>
        <v>20</v>
      </c>
      <c r="F718" s="0" t="s">
        <v>4478</v>
      </c>
      <c r="G718" s="0" t="s">
        <v>4479</v>
      </c>
      <c r="H718" s="0" t="s">
        <v>4480</v>
      </c>
      <c r="I718" s="0" t="s">
        <v>1249</v>
      </c>
      <c r="J718" s="0" t="s">
        <v>2558</v>
      </c>
      <c r="K718" s="0" t="s">
        <v>971</v>
      </c>
      <c r="L718" s="0" t="s">
        <v>974</v>
      </c>
      <c r="M718" s="0" t="s">
        <v>973</v>
      </c>
      <c r="N718" s="0" t="s">
        <v>1737</v>
      </c>
      <c r="O718" s="0" t="s">
        <v>975</v>
      </c>
      <c r="P718" s="0" t="s">
        <v>976</v>
      </c>
      <c r="Q718" s="0" t="s">
        <v>974</v>
      </c>
      <c r="R718" s="0" t="s">
        <v>970</v>
      </c>
      <c r="S718" s="0" t="s">
        <v>974</v>
      </c>
    </row>
    <row r="719" customFormat="false" ht="13.8" hidden="false" customHeight="false" outlineLevel="0" collapsed="false">
      <c r="A719" s="0" t="n">
        <v>2475</v>
      </c>
      <c r="B719" s="0" t="s">
        <v>4481</v>
      </c>
      <c r="C719" s="0" t="s">
        <v>4482</v>
      </c>
      <c r="E719" s="0" t="n">
        <f aca="false">IF(J718=J719,E718+10,0)</f>
        <v>30</v>
      </c>
      <c r="F719" s="0" t="s">
        <v>4483</v>
      </c>
      <c r="G719" s="0" t="s">
        <v>4484</v>
      </c>
      <c r="H719" s="0" t="s">
        <v>4485</v>
      </c>
      <c r="I719" s="0" t="s">
        <v>1106</v>
      </c>
      <c r="J719" s="0" t="s">
        <v>2558</v>
      </c>
      <c r="K719" s="0" t="s">
        <v>971</v>
      </c>
      <c r="L719" s="0" t="s">
        <v>974</v>
      </c>
      <c r="M719" s="0" t="s">
        <v>973</v>
      </c>
      <c r="N719" s="0" t="s">
        <v>974</v>
      </c>
      <c r="O719" s="0" t="s">
        <v>975</v>
      </c>
      <c r="P719" s="0" t="s">
        <v>976</v>
      </c>
      <c r="Q719" s="0" t="s">
        <v>973</v>
      </c>
      <c r="R719" s="0" t="s">
        <v>970</v>
      </c>
      <c r="S719" s="0" t="s">
        <v>974</v>
      </c>
    </row>
    <row r="720" customFormat="false" ht="13.8" hidden="false" customHeight="false" outlineLevel="0" collapsed="false">
      <c r="A720" s="0" t="n">
        <v>2476</v>
      </c>
      <c r="B720" s="0" t="s">
        <v>4486</v>
      </c>
      <c r="C720" s="0" t="s">
        <v>4487</v>
      </c>
      <c r="E720" s="0" t="n">
        <f aca="false">IF(J719=J720,E719+10,0)</f>
        <v>40</v>
      </c>
      <c r="F720" s="0" t="s">
        <v>4488</v>
      </c>
      <c r="G720" s="0" t="s">
        <v>4489</v>
      </c>
      <c r="H720" s="0" t="s">
        <v>4490</v>
      </c>
      <c r="I720" s="0" t="s">
        <v>1123</v>
      </c>
      <c r="J720" s="0" t="s">
        <v>2558</v>
      </c>
      <c r="K720" s="0" t="s">
        <v>971</v>
      </c>
      <c r="L720" s="0" t="s">
        <v>974</v>
      </c>
      <c r="M720" s="0" t="s">
        <v>973</v>
      </c>
      <c r="N720" s="0" t="s">
        <v>974</v>
      </c>
      <c r="O720" s="0" t="s">
        <v>975</v>
      </c>
      <c r="P720" s="0" t="s">
        <v>976</v>
      </c>
      <c r="Q720" s="0" t="s">
        <v>973</v>
      </c>
      <c r="R720" s="0" t="s">
        <v>1046</v>
      </c>
      <c r="S720" s="0" t="s">
        <v>974</v>
      </c>
    </row>
    <row r="721" customFormat="false" ht="13.8" hidden="false" customHeight="false" outlineLevel="0" collapsed="false">
      <c r="A721" s="0" t="n">
        <v>2477</v>
      </c>
      <c r="B721" s="0" t="s">
        <v>4491</v>
      </c>
      <c r="C721" s="0" t="s">
        <v>4492</v>
      </c>
      <c r="E721" s="0" t="n">
        <f aca="false">IF(J720=J721,E720+10,0)</f>
        <v>50</v>
      </c>
      <c r="F721" s="0" t="s">
        <v>4493</v>
      </c>
      <c r="G721" s="0" t="s">
        <v>4494</v>
      </c>
      <c r="H721" s="0" t="s">
        <v>4495</v>
      </c>
      <c r="I721" s="0" t="s">
        <v>1666</v>
      </c>
      <c r="J721" s="0" t="s">
        <v>2558</v>
      </c>
      <c r="K721" s="0" t="s">
        <v>971</v>
      </c>
      <c r="L721" s="0" t="s">
        <v>974</v>
      </c>
      <c r="M721" s="0" t="s">
        <v>973</v>
      </c>
      <c r="N721" s="0" t="s">
        <v>974</v>
      </c>
      <c r="O721" s="0" t="s">
        <v>975</v>
      </c>
      <c r="P721" s="0" t="s">
        <v>976</v>
      </c>
      <c r="Q721" s="0" t="s">
        <v>1128</v>
      </c>
      <c r="R721" s="0" t="s">
        <v>970</v>
      </c>
      <c r="S721" s="0" t="s">
        <v>974</v>
      </c>
    </row>
    <row r="722" customFormat="false" ht="13.8" hidden="false" customHeight="false" outlineLevel="0" collapsed="false">
      <c r="A722" s="0" t="n">
        <v>2478</v>
      </c>
      <c r="B722" s="0" t="s">
        <v>4496</v>
      </c>
      <c r="C722" s="0" t="s">
        <v>4220</v>
      </c>
      <c r="E722" s="0" t="n">
        <f aca="false">IF(J721=J722,E721+10,0)</f>
        <v>60</v>
      </c>
      <c r="F722" s="0" t="s">
        <v>4497</v>
      </c>
      <c r="G722" s="0" t="s">
        <v>4498</v>
      </c>
      <c r="H722" s="0" t="s">
        <v>4499</v>
      </c>
      <c r="I722" s="0" t="s">
        <v>1014</v>
      </c>
      <c r="J722" s="0" t="s">
        <v>2558</v>
      </c>
      <c r="K722" s="0" t="s">
        <v>971</v>
      </c>
      <c r="L722" s="0" t="s">
        <v>974</v>
      </c>
      <c r="M722" s="0" t="s">
        <v>973</v>
      </c>
      <c r="N722" s="0" t="s">
        <v>974</v>
      </c>
      <c r="O722" s="0" t="s">
        <v>975</v>
      </c>
      <c r="P722" s="0" t="s">
        <v>976</v>
      </c>
      <c r="Q722" s="0" t="s">
        <v>970</v>
      </c>
      <c r="R722" s="0" t="s">
        <v>970</v>
      </c>
      <c r="S722" s="0" t="s">
        <v>974</v>
      </c>
    </row>
    <row r="723" customFormat="false" ht="13.8" hidden="false" customHeight="false" outlineLevel="0" collapsed="false">
      <c r="A723" s="0" t="n">
        <v>2479</v>
      </c>
      <c r="B723" s="0" t="s">
        <v>4500</v>
      </c>
      <c r="C723" s="0" t="s">
        <v>4028</v>
      </c>
      <c r="E723" s="0" t="n">
        <f aca="false">IF(J722=J723,E722+10,0)</f>
        <v>70</v>
      </c>
      <c r="F723" s="0" t="s">
        <v>4501</v>
      </c>
      <c r="G723" s="0" t="s">
        <v>4502</v>
      </c>
      <c r="H723" s="0" t="s">
        <v>4503</v>
      </c>
      <c r="I723" s="0" t="s">
        <v>1587</v>
      </c>
      <c r="J723" s="0" t="s">
        <v>2558</v>
      </c>
      <c r="K723" s="0" t="s">
        <v>971</v>
      </c>
      <c r="L723" s="0" t="s">
        <v>974</v>
      </c>
      <c r="M723" s="0" t="s">
        <v>973</v>
      </c>
      <c r="N723" s="0" t="s">
        <v>974</v>
      </c>
      <c r="O723" s="0" t="s">
        <v>975</v>
      </c>
      <c r="P723" s="0" t="s">
        <v>976</v>
      </c>
      <c r="Q723" s="0" t="s">
        <v>1128</v>
      </c>
      <c r="R723" s="0" t="s">
        <v>1046</v>
      </c>
      <c r="S723" s="0" t="s">
        <v>974</v>
      </c>
    </row>
    <row r="724" customFormat="false" ht="13.8" hidden="false" customHeight="false" outlineLevel="0" collapsed="false">
      <c r="A724" s="0" t="n">
        <v>2480</v>
      </c>
      <c r="B724" s="0" t="s">
        <v>4504</v>
      </c>
      <c r="C724" s="0" t="s">
        <v>4505</v>
      </c>
      <c r="E724" s="0" t="n">
        <f aca="false">IF(J723=J724,E723+10,0)</f>
        <v>80</v>
      </c>
      <c r="F724" s="0" t="s">
        <v>4506</v>
      </c>
      <c r="G724" s="0" t="s">
        <v>4507</v>
      </c>
      <c r="H724" s="0" t="s">
        <v>4508</v>
      </c>
      <c r="I724" s="0" t="s">
        <v>970</v>
      </c>
      <c r="J724" s="0" t="s">
        <v>2558</v>
      </c>
      <c r="K724" s="0" t="s">
        <v>971</v>
      </c>
      <c r="L724" s="0" t="s">
        <v>974</v>
      </c>
      <c r="M724" s="0" t="s">
        <v>973</v>
      </c>
      <c r="N724" s="0" t="s">
        <v>974</v>
      </c>
      <c r="O724" s="0" t="s">
        <v>975</v>
      </c>
      <c r="P724" s="0" t="s">
        <v>976</v>
      </c>
      <c r="Q724" s="0" t="s">
        <v>1128</v>
      </c>
      <c r="R724" s="0" t="s">
        <v>970</v>
      </c>
      <c r="S724" s="0" t="s">
        <v>974</v>
      </c>
    </row>
    <row r="725" customFormat="false" ht="13.8" hidden="false" customHeight="false" outlineLevel="0" collapsed="false">
      <c r="A725" s="0" t="n">
        <v>2481</v>
      </c>
      <c r="B725" s="0" t="s">
        <v>4509</v>
      </c>
      <c r="C725" s="0" t="s">
        <v>4018</v>
      </c>
      <c r="E725" s="0" t="n">
        <f aca="false">IF(J724=J725,E724+10,0)</f>
        <v>90</v>
      </c>
      <c r="F725" s="0" t="s">
        <v>4510</v>
      </c>
      <c r="G725" s="0" t="s">
        <v>4511</v>
      </c>
      <c r="H725" s="0" t="s">
        <v>4512</v>
      </c>
      <c r="I725" s="0" t="s">
        <v>1180</v>
      </c>
      <c r="J725" s="0" t="s">
        <v>2558</v>
      </c>
      <c r="K725" s="0" t="s">
        <v>971</v>
      </c>
      <c r="L725" s="0" t="s">
        <v>974</v>
      </c>
      <c r="M725" s="0" t="s">
        <v>973</v>
      </c>
      <c r="N725" s="0" t="s">
        <v>974</v>
      </c>
      <c r="O725" s="0" t="s">
        <v>975</v>
      </c>
      <c r="P725" s="0" t="s">
        <v>976</v>
      </c>
      <c r="Q725" s="0" t="s">
        <v>1214</v>
      </c>
      <c r="R725" s="0" t="s">
        <v>1046</v>
      </c>
      <c r="S725" s="0" t="s">
        <v>974</v>
      </c>
    </row>
    <row r="726" customFormat="false" ht="13.8" hidden="false" customHeight="false" outlineLevel="0" collapsed="false">
      <c r="A726" s="0" t="n">
        <v>2482</v>
      </c>
      <c r="B726" s="0" t="s">
        <v>4513</v>
      </c>
      <c r="C726" s="0" t="s">
        <v>4514</v>
      </c>
      <c r="E726" s="0" t="n">
        <f aca="false">IF(J725=J726,E725+10,0)</f>
        <v>100</v>
      </c>
      <c r="F726" s="0" t="s">
        <v>4515</v>
      </c>
      <c r="G726" s="0" t="s">
        <v>4516</v>
      </c>
      <c r="H726" s="0" t="s">
        <v>4517</v>
      </c>
      <c r="I726" s="0" t="s">
        <v>1306</v>
      </c>
      <c r="J726" s="0" t="s">
        <v>2558</v>
      </c>
      <c r="K726" s="0" t="s">
        <v>971</v>
      </c>
      <c r="L726" s="0" t="s">
        <v>974</v>
      </c>
      <c r="M726" s="0" t="s">
        <v>973</v>
      </c>
      <c r="N726" s="0" t="s">
        <v>974</v>
      </c>
      <c r="O726" s="0" t="s">
        <v>975</v>
      </c>
      <c r="P726" s="0" t="s">
        <v>976</v>
      </c>
      <c r="Q726" s="0" t="s">
        <v>973</v>
      </c>
      <c r="R726" s="0" t="s">
        <v>1046</v>
      </c>
      <c r="S726" s="0" t="s">
        <v>974</v>
      </c>
    </row>
    <row r="727" customFormat="false" ht="13.8" hidden="false" customHeight="false" outlineLevel="0" collapsed="false">
      <c r="A727" s="0" t="n">
        <v>2483</v>
      </c>
      <c r="B727" s="0" t="s">
        <v>4518</v>
      </c>
      <c r="C727" s="0" t="s">
        <v>4519</v>
      </c>
      <c r="E727" s="0" t="n">
        <f aca="false">IF(J726=J727,E726+10,0)</f>
        <v>110</v>
      </c>
      <c r="F727" s="0" t="s">
        <v>4520</v>
      </c>
      <c r="G727" s="0" t="s">
        <v>4521</v>
      </c>
      <c r="H727" s="0" t="s">
        <v>4522</v>
      </c>
      <c r="I727" s="0" t="s">
        <v>1073</v>
      </c>
      <c r="J727" s="0" t="s">
        <v>2558</v>
      </c>
      <c r="K727" s="0" t="s">
        <v>971</v>
      </c>
      <c r="L727" s="0" t="s">
        <v>974</v>
      </c>
      <c r="M727" s="0" t="s">
        <v>973</v>
      </c>
      <c r="N727" s="0" t="s">
        <v>974</v>
      </c>
      <c r="O727" s="0" t="s">
        <v>975</v>
      </c>
      <c r="P727" s="0" t="s">
        <v>976</v>
      </c>
      <c r="Q727" s="0" t="s">
        <v>1128</v>
      </c>
      <c r="R727" s="0" t="s">
        <v>1046</v>
      </c>
      <c r="S727" s="0" t="s">
        <v>974</v>
      </c>
    </row>
    <row r="728" customFormat="false" ht="13.8" hidden="false" customHeight="false" outlineLevel="0" collapsed="false">
      <c r="A728" s="0" t="n">
        <v>2484</v>
      </c>
      <c r="B728" s="0" t="s">
        <v>4523</v>
      </c>
      <c r="C728" s="0" t="s">
        <v>4524</v>
      </c>
      <c r="E728" s="0" t="n">
        <f aca="false">IF(J727=J728,E727+10,0)</f>
        <v>120</v>
      </c>
      <c r="F728" s="0" t="s">
        <v>4525</v>
      </c>
      <c r="G728" s="0" t="s">
        <v>4526</v>
      </c>
      <c r="H728" s="0" t="s">
        <v>4527</v>
      </c>
      <c r="I728" s="0" t="s">
        <v>1045</v>
      </c>
      <c r="J728" s="0" t="s">
        <v>2558</v>
      </c>
      <c r="K728" s="0" t="s">
        <v>971</v>
      </c>
      <c r="L728" s="0" t="s">
        <v>974</v>
      </c>
      <c r="M728" s="0" t="s">
        <v>973</v>
      </c>
      <c r="N728" s="0" t="s">
        <v>974</v>
      </c>
      <c r="O728" s="0" t="s">
        <v>975</v>
      </c>
      <c r="P728" s="0" t="s">
        <v>976</v>
      </c>
      <c r="Q728" s="0" t="s">
        <v>970</v>
      </c>
      <c r="R728" s="0" t="s">
        <v>1046</v>
      </c>
      <c r="S728" s="0" t="s">
        <v>974</v>
      </c>
    </row>
    <row r="729" customFormat="false" ht="13.8" hidden="false" customHeight="false" outlineLevel="0" collapsed="false">
      <c r="A729" s="0" t="n">
        <v>2485</v>
      </c>
      <c r="B729" s="0" t="s">
        <v>4528</v>
      </c>
      <c r="C729" s="0" t="s">
        <v>4529</v>
      </c>
      <c r="E729" s="0" t="n">
        <f aca="false">IF(J728=J729,E728+10,0)</f>
        <v>130</v>
      </c>
      <c r="F729" s="0" t="s">
        <v>4530</v>
      </c>
      <c r="G729" s="0" t="s">
        <v>4531</v>
      </c>
      <c r="H729" s="0" t="s">
        <v>4532</v>
      </c>
      <c r="I729" s="0" t="s">
        <v>1694</v>
      </c>
      <c r="J729" s="0" t="s">
        <v>2558</v>
      </c>
      <c r="K729" s="0" t="s">
        <v>971</v>
      </c>
      <c r="L729" s="0" t="s">
        <v>974</v>
      </c>
      <c r="M729" s="0" t="s">
        <v>973</v>
      </c>
      <c r="N729" s="0" t="s">
        <v>974</v>
      </c>
      <c r="O729" s="0" t="s">
        <v>975</v>
      </c>
      <c r="P729" s="0" t="s">
        <v>976</v>
      </c>
      <c r="Q729" s="0" t="s">
        <v>970</v>
      </c>
      <c r="R729" s="0" t="s">
        <v>970</v>
      </c>
      <c r="S729" s="0" t="s">
        <v>974</v>
      </c>
    </row>
    <row r="730" customFormat="false" ht="13.8" hidden="false" customHeight="false" outlineLevel="0" collapsed="false">
      <c r="A730" s="0" t="n">
        <v>2486</v>
      </c>
      <c r="B730" s="0" t="s">
        <v>4533</v>
      </c>
      <c r="C730" s="0" t="s">
        <v>1171</v>
      </c>
      <c r="E730" s="0" t="n">
        <f aca="false">IF(J729=J730,E729+10,0)</f>
        <v>140</v>
      </c>
      <c r="F730" s="0" t="s">
        <v>4534</v>
      </c>
      <c r="G730" s="0" t="s">
        <v>4535</v>
      </c>
      <c r="H730" s="0" t="s">
        <v>4536</v>
      </c>
      <c r="I730" s="0" t="s">
        <v>1175</v>
      </c>
      <c r="J730" s="0" t="s">
        <v>2558</v>
      </c>
      <c r="K730" s="0" t="s">
        <v>971</v>
      </c>
      <c r="L730" s="0" t="s">
        <v>974</v>
      </c>
      <c r="M730" s="0" t="s">
        <v>973</v>
      </c>
      <c r="N730" s="0" t="s">
        <v>974</v>
      </c>
      <c r="O730" s="0" t="s">
        <v>975</v>
      </c>
      <c r="P730" s="0" t="s">
        <v>976</v>
      </c>
      <c r="Q730" s="0" t="s">
        <v>1214</v>
      </c>
      <c r="R730" s="0" t="s">
        <v>1046</v>
      </c>
      <c r="S730" s="0" t="s">
        <v>974</v>
      </c>
    </row>
    <row r="731" customFormat="false" ht="13.8" hidden="false" customHeight="false" outlineLevel="0" collapsed="false">
      <c r="A731" s="0" t="n">
        <v>2487</v>
      </c>
      <c r="B731" s="0" t="s">
        <v>4537</v>
      </c>
      <c r="C731" s="0" t="s">
        <v>1420</v>
      </c>
      <c r="E731" s="0" t="n">
        <f aca="false">IF(J730=J731,E730+10,0)</f>
        <v>150</v>
      </c>
      <c r="F731" s="0" t="s">
        <v>4538</v>
      </c>
      <c r="G731" s="0" t="s">
        <v>4539</v>
      </c>
      <c r="H731" s="0" t="s">
        <v>4540</v>
      </c>
      <c r="I731" s="0" t="s">
        <v>1100</v>
      </c>
      <c r="J731" s="0" t="s">
        <v>2558</v>
      </c>
      <c r="K731" s="0" t="s">
        <v>971</v>
      </c>
      <c r="L731" s="0" t="s">
        <v>974</v>
      </c>
      <c r="M731" s="0" t="s">
        <v>973</v>
      </c>
      <c r="N731" s="0" t="s">
        <v>974</v>
      </c>
      <c r="O731" s="0" t="s">
        <v>975</v>
      </c>
      <c r="P731" s="0" t="s">
        <v>976</v>
      </c>
      <c r="Q731" s="0" t="s">
        <v>1067</v>
      </c>
      <c r="R731" s="0" t="s">
        <v>1046</v>
      </c>
      <c r="S731" s="0" t="s">
        <v>974</v>
      </c>
    </row>
    <row r="732" customFormat="false" ht="13.8" hidden="false" customHeight="false" outlineLevel="0" collapsed="false">
      <c r="A732" s="0" t="n">
        <v>2488</v>
      </c>
      <c r="B732" s="0" t="s">
        <v>4541</v>
      </c>
      <c r="C732" s="0" t="s">
        <v>4542</v>
      </c>
      <c r="E732" s="0" t="n">
        <f aca="false">IF(J731=J732,E731+10,0)</f>
        <v>0</v>
      </c>
      <c r="F732" s="0" t="s">
        <v>4543</v>
      </c>
      <c r="G732" s="0" t="s">
        <v>4544</v>
      </c>
      <c r="H732" s="0" t="s">
        <v>4545</v>
      </c>
      <c r="I732" s="0" t="s">
        <v>1711</v>
      </c>
      <c r="J732" s="0" t="s">
        <v>1088</v>
      </c>
      <c r="K732" s="0" t="s">
        <v>971</v>
      </c>
      <c r="L732" s="0" t="s">
        <v>4546</v>
      </c>
      <c r="M732" s="0" t="s">
        <v>973</v>
      </c>
      <c r="N732" s="0" t="s">
        <v>974</v>
      </c>
      <c r="O732" s="0" t="s">
        <v>975</v>
      </c>
      <c r="P732" s="0" t="s">
        <v>976</v>
      </c>
      <c r="Q732" s="0" t="s">
        <v>974</v>
      </c>
      <c r="R732" s="0" t="s">
        <v>970</v>
      </c>
      <c r="S732" s="0" t="s">
        <v>974</v>
      </c>
    </row>
    <row r="733" customFormat="false" ht="13.8" hidden="false" customHeight="false" outlineLevel="0" collapsed="false">
      <c r="A733" s="0" t="n">
        <v>2489</v>
      </c>
      <c r="B733" s="0" t="s">
        <v>4547</v>
      </c>
      <c r="C733" s="0" t="s">
        <v>4089</v>
      </c>
      <c r="E733" s="0" t="n">
        <f aca="false">IF(J732=J733,E732+10,0)</f>
        <v>10</v>
      </c>
      <c r="F733" s="0" t="s">
        <v>4548</v>
      </c>
      <c r="G733" s="0" t="s">
        <v>4549</v>
      </c>
      <c r="H733" s="0" t="s">
        <v>4550</v>
      </c>
      <c r="I733" s="0" t="s">
        <v>2195</v>
      </c>
      <c r="J733" s="0" t="s">
        <v>1088</v>
      </c>
      <c r="K733" s="0" t="s">
        <v>4551</v>
      </c>
      <c r="L733" s="0" t="s">
        <v>1541</v>
      </c>
      <c r="M733" s="0" t="s">
        <v>973</v>
      </c>
      <c r="N733" s="0" t="s">
        <v>974</v>
      </c>
      <c r="O733" s="0" t="s">
        <v>975</v>
      </c>
      <c r="P733" s="0" t="s">
        <v>976</v>
      </c>
      <c r="Q733" s="0" t="s">
        <v>974</v>
      </c>
      <c r="R733" s="0" t="s">
        <v>970</v>
      </c>
      <c r="S733" s="0" t="s">
        <v>974</v>
      </c>
    </row>
    <row r="734" customFormat="false" ht="13.8" hidden="false" customHeight="false" outlineLevel="0" collapsed="false">
      <c r="A734" s="0" t="n">
        <v>2490</v>
      </c>
      <c r="B734" s="0" t="s">
        <v>4552</v>
      </c>
      <c r="C734" s="0" t="s">
        <v>1420</v>
      </c>
      <c r="E734" s="0" t="n">
        <f aca="false">IF(J733=J734,E733+10,0)</f>
        <v>20</v>
      </c>
      <c r="F734" s="0" t="s">
        <v>4553</v>
      </c>
      <c r="G734" s="0" t="s">
        <v>4554</v>
      </c>
      <c r="H734" s="0" t="s">
        <v>4555</v>
      </c>
      <c r="I734" s="0" t="s">
        <v>1100</v>
      </c>
      <c r="J734" s="0" t="s">
        <v>1088</v>
      </c>
      <c r="K734" s="0" t="s">
        <v>971</v>
      </c>
      <c r="L734" s="0" t="s">
        <v>1458</v>
      </c>
      <c r="M734" s="0" t="s">
        <v>1459</v>
      </c>
      <c r="N734" s="0" t="s">
        <v>974</v>
      </c>
      <c r="O734" s="0" t="s">
        <v>975</v>
      </c>
      <c r="P734" s="0" t="s">
        <v>976</v>
      </c>
      <c r="Q734" s="0" t="s">
        <v>974</v>
      </c>
      <c r="R734" s="0" t="s">
        <v>970</v>
      </c>
      <c r="S734" s="0" t="s">
        <v>974</v>
      </c>
    </row>
    <row r="735" customFormat="false" ht="13.8" hidden="false" customHeight="false" outlineLevel="0" collapsed="false">
      <c r="A735" s="0" t="n">
        <v>2491</v>
      </c>
      <c r="B735" s="0" t="s">
        <v>4556</v>
      </c>
      <c r="C735" s="0" t="s">
        <v>4188</v>
      </c>
      <c r="E735" s="0" t="n">
        <f aca="false">IF(J734=J735,E734+10,0)</f>
        <v>0</v>
      </c>
      <c r="F735" s="0" t="s">
        <v>4557</v>
      </c>
      <c r="G735" s="0" t="s">
        <v>4558</v>
      </c>
      <c r="H735" s="0" t="s">
        <v>4559</v>
      </c>
      <c r="I735" s="0" t="s">
        <v>1444</v>
      </c>
      <c r="J735" s="0" t="s">
        <v>989</v>
      </c>
      <c r="K735" s="0" t="s">
        <v>971</v>
      </c>
      <c r="L735" s="0" t="s">
        <v>1067</v>
      </c>
      <c r="M735" s="0" t="s">
        <v>973</v>
      </c>
      <c r="N735" s="0" t="s">
        <v>974</v>
      </c>
      <c r="O735" s="0" t="s">
        <v>975</v>
      </c>
      <c r="P735" s="0" t="s">
        <v>976</v>
      </c>
      <c r="Q735" s="0" t="s">
        <v>974</v>
      </c>
      <c r="R735" s="0" t="s">
        <v>970</v>
      </c>
      <c r="S735" s="0" t="s">
        <v>974</v>
      </c>
    </row>
    <row r="736" customFormat="false" ht="13.8" hidden="false" customHeight="false" outlineLevel="0" collapsed="false">
      <c r="A736" s="0" t="n">
        <v>2492</v>
      </c>
      <c r="B736" s="0" t="s">
        <v>4560</v>
      </c>
      <c r="C736" s="0" t="s">
        <v>4561</v>
      </c>
      <c r="E736" s="0" t="n">
        <f aca="false">IF(J735=J736,E735+10,0)</f>
        <v>10</v>
      </c>
      <c r="F736" s="0" t="s">
        <v>4562</v>
      </c>
      <c r="G736" s="0" t="s">
        <v>4563</v>
      </c>
      <c r="H736" s="0" t="s">
        <v>4564</v>
      </c>
      <c r="I736" s="0" t="s">
        <v>2999</v>
      </c>
      <c r="J736" s="0" t="s">
        <v>989</v>
      </c>
      <c r="K736" s="0" t="s">
        <v>971</v>
      </c>
      <c r="L736" s="0" t="s">
        <v>973</v>
      </c>
      <c r="M736" s="0" t="s">
        <v>973</v>
      </c>
      <c r="N736" s="0" t="s">
        <v>974</v>
      </c>
      <c r="O736" s="0" t="s">
        <v>975</v>
      </c>
      <c r="P736" s="0" t="s">
        <v>976</v>
      </c>
      <c r="Q736" s="0" t="s">
        <v>974</v>
      </c>
      <c r="R736" s="0" t="s">
        <v>970</v>
      </c>
      <c r="S736" s="0" t="s">
        <v>974</v>
      </c>
    </row>
    <row r="737" customFormat="false" ht="13.8" hidden="false" customHeight="false" outlineLevel="0" collapsed="false">
      <c r="A737" s="0" t="n">
        <v>2493</v>
      </c>
      <c r="B737" s="0" t="s">
        <v>4565</v>
      </c>
      <c r="C737" s="0" t="s">
        <v>4566</v>
      </c>
      <c r="E737" s="0" t="n">
        <f aca="false">IF(J736=J737,E736+10,0)</f>
        <v>20</v>
      </c>
      <c r="F737" s="0" t="s">
        <v>4567</v>
      </c>
      <c r="G737" s="0" t="s">
        <v>4568</v>
      </c>
      <c r="H737" s="0" t="s">
        <v>4569</v>
      </c>
      <c r="I737" s="0" t="s">
        <v>4570</v>
      </c>
      <c r="J737" s="0" t="s">
        <v>989</v>
      </c>
      <c r="K737" s="0" t="s">
        <v>971</v>
      </c>
      <c r="L737" s="0" t="s">
        <v>973</v>
      </c>
      <c r="M737" s="0" t="s">
        <v>973</v>
      </c>
      <c r="N737" s="0" t="s">
        <v>974</v>
      </c>
      <c r="O737" s="0" t="s">
        <v>975</v>
      </c>
      <c r="P737" s="0" t="s">
        <v>976</v>
      </c>
      <c r="Q737" s="0" t="s">
        <v>974</v>
      </c>
      <c r="R737" s="0" t="s">
        <v>970</v>
      </c>
      <c r="S737" s="0" t="s">
        <v>974</v>
      </c>
    </row>
    <row r="738" customFormat="false" ht="13.8" hidden="false" customHeight="false" outlineLevel="0" collapsed="false">
      <c r="A738" s="0" t="n">
        <v>2494</v>
      </c>
      <c r="B738" s="0" t="s">
        <v>4571</v>
      </c>
      <c r="C738" s="0" t="s">
        <v>4572</v>
      </c>
      <c r="E738" s="0" t="n">
        <f aca="false">IF(J737=J738,E737+10,0)</f>
        <v>30</v>
      </c>
      <c r="F738" s="0" t="s">
        <v>4573</v>
      </c>
      <c r="G738" s="0" t="s">
        <v>4574</v>
      </c>
      <c r="H738" s="0" t="s">
        <v>4575</v>
      </c>
      <c r="I738" s="0" t="s">
        <v>982</v>
      </c>
      <c r="J738" s="0" t="s">
        <v>989</v>
      </c>
      <c r="K738" s="0" t="s">
        <v>971</v>
      </c>
      <c r="L738" s="0" t="s">
        <v>975</v>
      </c>
      <c r="M738" s="0" t="s">
        <v>973</v>
      </c>
      <c r="N738" s="0" t="s">
        <v>974</v>
      </c>
      <c r="O738" s="0" t="s">
        <v>975</v>
      </c>
      <c r="P738" s="0" t="s">
        <v>976</v>
      </c>
      <c r="Q738" s="0" t="s">
        <v>974</v>
      </c>
      <c r="R738" s="0" t="s">
        <v>970</v>
      </c>
      <c r="S738" s="0" t="s">
        <v>974</v>
      </c>
    </row>
    <row r="739" customFormat="false" ht="13.8" hidden="false" customHeight="false" outlineLevel="0" collapsed="false">
      <c r="A739" s="0" t="n">
        <v>2495</v>
      </c>
      <c r="B739" s="0" t="s">
        <v>4576</v>
      </c>
      <c r="C739" s="0" t="s">
        <v>4577</v>
      </c>
      <c r="E739" s="0" t="n">
        <f aca="false">IF(J738=J739,E738+10,0)</f>
        <v>40</v>
      </c>
      <c r="F739" s="0" t="s">
        <v>4578</v>
      </c>
      <c r="G739" s="0" t="s">
        <v>4579</v>
      </c>
      <c r="H739" s="0" t="s">
        <v>4580</v>
      </c>
      <c r="I739" s="0" t="s">
        <v>995</v>
      </c>
      <c r="J739" s="0" t="s">
        <v>989</v>
      </c>
      <c r="K739" s="0" t="s">
        <v>971</v>
      </c>
      <c r="L739" s="0" t="s">
        <v>973</v>
      </c>
      <c r="M739" s="0" t="s">
        <v>973</v>
      </c>
      <c r="N739" s="0" t="s">
        <v>974</v>
      </c>
      <c r="O739" s="0" t="s">
        <v>975</v>
      </c>
      <c r="P739" s="0" t="s">
        <v>976</v>
      </c>
      <c r="Q739" s="0" t="s">
        <v>974</v>
      </c>
      <c r="R739" s="0" t="s">
        <v>970</v>
      </c>
      <c r="S739" s="0" t="s">
        <v>974</v>
      </c>
    </row>
    <row r="740" customFormat="false" ht="13.8" hidden="false" customHeight="false" outlineLevel="0" collapsed="false">
      <c r="A740" s="0" t="n">
        <v>2496</v>
      </c>
      <c r="B740" s="0" t="s">
        <v>4581</v>
      </c>
      <c r="C740" s="0" t="s">
        <v>3990</v>
      </c>
      <c r="E740" s="0" t="n">
        <f aca="false">IF(J739=J740,E739+10,0)</f>
        <v>50</v>
      </c>
      <c r="F740" s="0" t="s">
        <v>4582</v>
      </c>
      <c r="G740" s="0" t="s">
        <v>4583</v>
      </c>
      <c r="H740" s="0" t="s">
        <v>4584</v>
      </c>
      <c r="I740" s="0" t="s">
        <v>1033</v>
      </c>
      <c r="J740" s="0" t="s">
        <v>989</v>
      </c>
      <c r="K740" s="0" t="s">
        <v>971</v>
      </c>
      <c r="L740" s="0" t="s">
        <v>974</v>
      </c>
      <c r="M740" s="0" t="s">
        <v>973</v>
      </c>
      <c r="N740" s="0" t="s">
        <v>974</v>
      </c>
      <c r="O740" s="0" t="s">
        <v>975</v>
      </c>
      <c r="P740" s="0" t="s">
        <v>976</v>
      </c>
      <c r="Q740" s="0" t="s">
        <v>970</v>
      </c>
      <c r="R740" s="0" t="s">
        <v>970</v>
      </c>
      <c r="S740" s="0" t="s">
        <v>974</v>
      </c>
    </row>
    <row r="741" customFormat="false" ht="13.8" hidden="false" customHeight="false" outlineLevel="0" collapsed="false">
      <c r="A741" s="0" t="n">
        <v>2497</v>
      </c>
      <c r="B741" s="0" t="s">
        <v>4585</v>
      </c>
      <c r="C741" s="0" t="s">
        <v>4417</v>
      </c>
      <c r="E741" s="0" t="n">
        <f aca="false">IF(J740=J741,E740+10,0)</f>
        <v>60</v>
      </c>
      <c r="F741" s="0" t="s">
        <v>4586</v>
      </c>
      <c r="G741" s="0" t="s">
        <v>4587</v>
      </c>
      <c r="H741" s="0" t="s">
        <v>4588</v>
      </c>
      <c r="I741" s="0" t="s">
        <v>1052</v>
      </c>
      <c r="J741" s="0" t="s">
        <v>989</v>
      </c>
      <c r="K741" s="0" t="s">
        <v>971</v>
      </c>
      <c r="L741" s="0" t="s">
        <v>973</v>
      </c>
      <c r="M741" s="0" t="s">
        <v>973</v>
      </c>
      <c r="N741" s="0" t="s">
        <v>974</v>
      </c>
      <c r="O741" s="0" t="s">
        <v>975</v>
      </c>
      <c r="P741" s="0" t="s">
        <v>976</v>
      </c>
      <c r="Q741" s="0" t="s">
        <v>974</v>
      </c>
      <c r="R741" s="0" t="s">
        <v>970</v>
      </c>
      <c r="S741" s="0" t="s">
        <v>974</v>
      </c>
    </row>
    <row r="742" customFormat="false" ht="13.8" hidden="false" customHeight="false" outlineLevel="0" collapsed="false">
      <c r="A742" s="0" t="n">
        <v>2498</v>
      </c>
      <c r="B742" s="0" t="s">
        <v>4589</v>
      </c>
      <c r="C742" s="0" t="s">
        <v>4590</v>
      </c>
      <c r="E742" s="0" t="n">
        <f aca="false">IF(J741=J742,E741+10,0)</f>
        <v>70</v>
      </c>
      <c r="F742" s="0" t="s">
        <v>4591</v>
      </c>
      <c r="G742" s="0" t="s">
        <v>4592</v>
      </c>
      <c r="H742" s="0" t="s">
        <v>4593</v>
      </c>
      <c r="I742" s="0" t="s">
        <v>2975</v>
      </c>
      <c r="J742" s="0" t="s">
        <v>989</v>
      </c>
      <c r="K742" s="0" t="s">
        <v>971</v>
      </c>
      <c r="L742" s="0" t="s">
        <v>973</v>
      </c>
      <c r="M742" s="0" t="s">
        <v>973</v>
      </c>
      <c r="N742" s="0" t="s">
        <v>974</v>
      </c>
      <c r="O742" s="0" t="s">
        <v>975</v>
      </c>
      <c r="P742" s="0" t="s">
        <v>976</v>
      </c>
      <c r="Q742" s="0" t="s">
        <v>974</v>
      </c>
      <c r="R742" s="0" t="s">
        <v>970</v>
      </c>
      <c r="S742" s="0" t="s">
        <v>974</v>
      </c>
    </row>
    <row r="743" customFormat="false" ht="13.8" hidden="false" customHeight="false" outlineLevel="0" collapsed="false">
      <c r="A743" s="0" t="n">
        <v>2499</v>
      </c>
      <c r="B743" s="0" t="s">
        <v>4594</v>
      </c>
      <c r="C743" s="0" t="s">
        <v>2979</v>
      </c>
      <c r="E743" s="0" t="n">
        <f aca="false">IF(J742=J743,E742+10,0)</f>
        <v>80</v>
      </c>
      <c r="F743" s="0" t="s">
        <v>4595</v>
      </c>
      <c r="G743" s="0" t="s">
        <v>4596</v>
      </c>
      <c r="H743" s="0" t="s">
        <v>4597</v>
      </c>
      <c r="I743" s="0" t="s">
        <v>1452</v>
      </c>
      <c r="J743" s="0" t="s">
        <v>989</v>
      </c>
      <c r="K743" s="0" t="s">
        <v>971</v>
      </c>
      <c r="L743" s="0" t="s">
        <v>3261</v>
      </c>
      <c r="M743" s="0" t="s">
        <v>1459</v>
      </c>
      <c r="N743" s="0" t="s">
        <v>974</v>
      </c>
      <c r="O743" s="0" t="s">
        <v>975</v>
      </c>
      <c r="P743" s="0" t="s">
        <v>976</v>
      </c>
      <c r="Q743" s="0" t="s">
        <v>974</v>
      </c>
      <c r="R743" s="0" t="s">
        <v>970</v>
      </c>
      <c r="S743" s="0" t="s">
        <v>974</v>
      </c>
    </row>
    <row r="744" customFormat="false" ht="13.8" hidden="false" customHeight="false" outlineLevel="0" collapsed="false">
      <c r="A744" s="0" t="n">
        <v>2500</v>
      </c>
      <c r="B744" s="0" t="s">
        <v>4598</v>
      </c>
      <c r="C744" s="0" t="s">
        <v>4018</v>
      </c>
      <c r="E744" s="0" t="n">
        <f aca="false">IF(J743=J744,E743+10,0)</f>
        <v>90</v>
      </c>
      <c r="F744" s="0" t="s">
        <v>4599</v>
      </c>
      <c r="G744" s="0" t="s">
        <v>4600</v>
      </c>
      <c r="H744" s="0" t="s">
        <v>4601</v>
      </c>
      <c r="I744" s="0" t="s">
        <v>1180</v>
      </c>
      <c r="J744" s="0" t="s">
        <v>989</v>
      </c>
      <c r="K744" s="0" t="s">
        <v>971</v>
      </c>
      <c r="L744" s="0" t="s">
        <v>974</v>
      </c>
      <c r="M744" s="0" t="s">
        <v>973</v>
      </c>
      <c r="N744" s="0" t="s">
        <v>974</v>
      </c>
      <c r="O744" s="0" t="s">
        <v>975</v>
      </c>
      <c r="P744" s="0" t="s">
        <v>976</v>
      </c>
      <c r="Q744" s="0" t="s">
        <v>1059</v>
      </c>
      <c r="R744" s="0" t="s">
        <v>1046</v>
      </c>
      <c r="S744" s="0" t="s">
        <v>974</v>
      </c>
    </row>
    <row r="745" customFormat="false" ht="13.8" hidden="false" customHeight="false" outlineLevel="0" collapsed="false">
      <c r="A745" s="0" t="n">
        <v>2501</v>
      </c>
      <c r="B745" s="0" t="s">
        <v>4602</v>
      </c>
      <c r="C745" s="0" t="s">
        <v>4028</v>
      </c>
      <c r="E745" s="0" t="n">
        <f aca="false">IF(J744=J745,E744+10,0)</f>
        <v>100</v>
      </c>
      <c r="F745" s="0" t="s">
        <v>4603</v>
      </c>
      <c r="G745" s="0" t="s">
        <v>4604</v>
      </c>
      <c r="H745" s="0" t="s">
        <v>4605</v>
      </c>
      <c r="I745" s="0" t="s">
        <v>1587</v>
      </c>
      <c r="J745" s="0" t="s">
        <v>989</v>
      </c>
      <c r="K745" s="0" t="s">
        <v>971</v>
      </c>
      <c r="L745" s="0" t="s">
        <v>974</v>
      </c>
      <c r="M745" s="0" t="s">
        <v>973</v>
      </c>
      <c r="N745" s="0" t="s">
        <v>974</v>
      </c>
      <c r="O745" s="0" t="s">
        <v>975</v>
      </c>
      <c r="P745" s="0" t="s">
        <v>976</v>
      </c>
      <c r="Q745" s="0" t="s">
        <v>1812</v>
      </c>
      <c r="R745" s="0" t="s">
        <v>1046</v>
      </c>
      <c r="S745" s="0" t="s">
        <v>974</v>
      </c>
    </row>
    <row r="746" customFormat="false" ht="13.8" hidden="false" customHeight="false" outlineLevel="0" collapsed="false">
      <c r="A746" s="0" t="n">
        <v>2502</v>
      </c>
      <c r="B746" s="0" t="s">
        <v>4606</v>
      </c>
      <c r="C746" s="0" t="s">
        <v>4276</v>
      </c>
      <c r="E746" s="0" t="n">
        <f aca="false">IF(J745=J746,E745+10,0)</f>
        <v>110</v>
      </c>
      <c r="F746" s="0" t="s">
        <v>4607</v>
      </c>
      <c r="G746" s="0" t="s">
        <v>4608</v>
      </c>
      <c r="H746" s="0" t="s">
        <v>4609</v>
      </c>
      <c r="I746" s="0" t="s">
        <v>1254</v>
      </c>
      <c r="J746" s="0" t="s">
        <v>989</v>
      </c>
      <c r="K746" s="0" t="s">
        <v>971</v>
      </c>
      <c r="L746" s="0" t="s">
        <v>2434</v>
      </c>
      <c r="M746" s="0" t="s">
        <v>1459</v>
      </c>
      <c r="N746" s="0" t="s">
        <v>974</v>
      </c>
      <c r="O746" s="0" t="s">
        <v>975</v>
      </c>
      <c r="P746" s="0" t="s">
        <v>976</v>
      </c>
      <c r="Q746" s="0" t="s">
        <v>974</v>
      </c>
      <c r="R746" s="0" t="s">
        <v>970</v>
      </c>
      <c r="S746" s="0" t="s">
        <v>974</v>
      </c>
    </row>
    <row r="747" customFormat="false" ht="13.8" hidden="false" customHeight="false" outlineLevel="0" collapsed="false">
      <c r="A747" s="0" t="n">
        <v>2503</v>
      </c>
      <c r="B747" s="0" t="s">
        <v>4610</v>
      </c>
      <c r="C747" s="0" t="s">
        <v>4492</v>
      </c>
      <c r="E747" s="0" t="n">
        <f aca="false">IF(J746=J747,E746+10,0)</f>
        <v>120</v>
      </c>
      <c r="F747" s="0" t="s">
        <v>4611</v>
      </c>
      <c r="G747" s="0" t="s">
        <v>4612</v>
      </c>
      <c r="H747" s="0" t="s">
        <v>4613</v>
      </c>
      <c r="I747" s="0" t="s">
        <v>1666</v>
      </c>
      <c r="J747" s="0" t="s">
        <v>989</v>
      </c>
      <c r="K747" s="0" t="s">
        <v>971</v>
      </c>
      <c r="L747" s="0" t="s">
        <v>974</v>
      </c>
      <c r="M747" s="0" t="s">
        <v>973</v>
      </c>
      <c r="N747" s="0" t="s">
        <v>974</v>
      </c>
      <c r="O747" s="0" t="s">
        <v>975</v>
      </c>
      <c r="P747" s="0" t="s">
        <v>976</v>
      </c>
      <c r="Q747" s="0" t="s">
        <v>1059</v>
      </c>
      <c r="R747" s="0" t="s">
        <v>1046</v>
      </c>
      <c r="S747" s="0" t="s">
        <v>974</v>
      </c>
    </row>
    <row r="748" customFormat="false" ht="13.8" hidden="false" customHeight="false" outlineLevel="0" collapsed="false">
      <c r="A748" s="0" t="n">
        <v>2504</v>
      </c>
      <c r="B748" s="0" t="s">
        <v>4614</v>
      </c>
      <c r="C748" s="0" t="s">
        <v>4615</v>
      </c>
      <c r="E748" s="0" t="n">
        <f aca="false">IF(J747=J748,E747+10,0)</f>
        <v>130</v>
      </c>
      <c r="F748" s="0" t="s">
        <v>4616</v>
      </c>
      <c r="G748" s="0" t="s">
        <v>4617</v>
      </c>
      <c r="H748" s="0" t="s">
        <v>4618</v>
      </c>
      <c r="I748" s="0" t="s">
        <v>2222</v>
      </c>
      <c r="J748" s="0" t="s">
        <v>989</v>
      </c>
      <c r="K748" s="0" t="s">
        <v>971</v>
      </c>
      <c r="L748" s="0" t="s">
        <v>974</v>
      </c>
      <c r="M748" s="0" t="s">
        <v>973</v>
      </c>
      <c r="N748" s="0" t="s">
        <v>974</v>
      </c>
      <c r="O748" s="0" t="s">
        <v>975</v>
      </c>
      <c r="P748" s="0" t="s">
        <v>976</v>
      </c>
      <c r="Q748" s="0" t="s">
        <v>1214</v>
      </c>
      <c r="R748" s="0" t="s">
        <v>1046</v>
      </c>
      <c r="S748" s="0" t="s">
        <v>974</v>
      </c>
    </row>
    <row r="749" customFormat="false" ht="13.8" hidden="false" customHeight="false" outlineLevel="0" collapsed="false">
      <c r="A749" s="0" t="n">
        <v>2505</v>
      </c>
      <c r="B749" s="0" t="s">
        <v>4619</v>
      </c>
      <c r="C749" s="0" t="s">
        <v>4620</v>
      </c>
      <c r="E749" s="0" t="n">
        <f aca="false">IF(J748=J749,E748+10,0)</f>
        <v>140</v>
      </c>
      <c r="F749" s="0" t="s">
        <v>4621</v>
      </c>
      <c r="G749" s="0" t="s">
        <v>4622</v>
      </c>
      <c r="H749" s="0" t="s">
        <v>4623</v>
      </c>
      <c r="I749" s="0" t="s">
        <v>3029</v>
      </c>
      <c r="J749" s="0" t="s">
        <v>989</v>
      </c>
      <c r="K749" s="0" t="s">
        <v>971</v>
      </c>
      <c r="L749" s="0" t="s">
        <v>974</v>
      </c>
      <c r="M749" s="0" t="s">
        <v>973</v>
      </c>
      <c r="N749" s="0" t="s">
        <v>974</v>
      </c>
      <c r="O749" s="0" t="s">
        <v>975</v>
      </c>
      <c r="P749" s="0" t="s">
        <v>976</v>
      </c>
      <c r="Q749" s="0" t="s">
        <v>970</v>
      </c>
      <c r="R749" s="0" t="s">
        <v>1046</v>
      </c>
      <c r="S749" s="0" t="s">
        <v>974</v>
      </c>
    </row>
    <row r="750" customFormat="false" ht="13.8" hidden="false" customHeight="false" outlineLevel="0" collapsed="false">
      <c r="A750" s="0" t="n">
        <v>2506</v>
      </c>
      <c r="B750" s="0" t="s">
        <v>4624</v>
      </c>
      <c r="C750" s="0" t="s">
        <v>4625</v>
      </c>
      <c r="E750" s="0" t="n">
        <f aca="false">IF(J749=J750,E749+10,0)</f>
        <v>150</v>
      </c>
      <c r="F750" s="0" t="s">
        <v>4626</v>
      </c>
      <c r="G750" s="0" t="s">
        <v>4627</v>
      </c>
      <c r="H750" s="0" t="s">
        <v>4628</v>
      </c>
      <c r="I750" s="0" t="s">
        <v>1058</v>
      </c>
      <c r="J750" s="0" t="s">
        <v>989</v>
      </c>
      <c r="K750" s="0" t="s">
        <v>971</v>
      </c>
      <c r="L750" s="0" t="s">
        <v>974</v>
      </c>
      <c r="M750" s="0" t="s">
        <v>973</v>
      </c>
      <c r="N750" s="0" t="s">
        <v>974</v>
      </c>
      <c r="O750" s="0" t="s">
        <v>975</v>
      </c>
      <c r="P750" s="0" t="s">
        <v>976</v>
      </c>
      <c r="Q750" s="0" t="s">
        <v>1059</v>
      </c>
      <c r="R750" s="0" t="s">
        <v>1046</v>
      </c>
      <c r="S750" s="0" t="s">
        <v>974</v>
      </c>
    </row>
    <row r="751" customFormat="false" ht="13.8" hidden="false" customHeight="false" outlineLevel="0" collapsed="false">
      <c r="A751" s="0" t="n">
        <v>2507</v>
      </c>
      <c r="B751" s="0" t="s">
        <v>4629</v>
      </c>
      <c r="C751" s="0" t="s">
        <v>4630</v>
      </c>
      <c r="E751" s="0" t="n">
        <f aca="false">IF(J750=J751,E750+10,0)</f>
        <v>160</v>
      </c>
      <c r="F751" s="0" t="s">
        <v>4631</v>
      </c>
      <c r="G751" s="0" t="s">
        <v>4632</v>
      </c>
      <c r="H751" s="0" t="s">
        <v>4633</v>
      </c>
      <c r="I751" s="0" t="s">
        <v>1100</v>
      </c>
      <c r="J751" s="0" t="s">
        <v>989</v>
      </c>
      <c r="K751" s="0" t="s">
        <v>971</v>
      </c>
      <c r="L751" s="0" t="s">
        <v>974</v>
      </c>
      <c r="M751" s="0" t="s">
        <v>973</v>
      </c>
      <c r="N751" s="0" t="s">
        <v>974</v>
      </c>
      <c r="O751" s="0" t="s">
        <v>975</v>
      </c>
      <c r="P751" s="0" t="s">
        <v>976</v>
      </c>
      <c r="Q751" s="0" t="s">
        <v>1618</v>
      </c>
      <c r="R751" s="0" t="s">
        <v>1046</v>
      </c>
      <c r="S751" s="0" t="s">
        <v>974</v>
      </c>
    </row>
    <row r="752" customFormat="false" ht="13.8" hidden="false" customHeight="false" outlineLevel="0" collapsed="false">
      <c r="A752" s="0" t="n">
        <v>2508</v>
      </c>
      <c r="B752" s="0" t="s">
        <v>4634</v>
      </c>
      <c r="C752" s="0" t="s">
        <v>4412</v>
      </c>
      <c r="E752" s="0" t="n">
        <f aca="false">IF(J751=J752,E751+10,0)</f>
        <v>0</v>
      </c>
      <c r="F752" s="0" t="s">
        <v>4635</v>
      </c>
      <c r="G752" s="0" t="s">
        <v>4636</v>
      </c>
      <c r="H752" s="0" t="s">
        <v>4637</v>
      </c>
      <c r="I752" s="0" t="s">
        <v>1249</v>
      </c>
      <c r="J752" s="0" t="s">
        <v>3890</v>
      </c>
      <c r="K752" s="0" t="s">
        <v>971</v>
      </c>
      <c r="L752" s="0" t="s">
        <v>974</v>
      </c>
      <c r="M752" s="0" t="s">
        <v>973</v>
      </c>
      <c r="N752" s="0" t="s">
        <v>974</v>
      </c>
      <c r="O752" s="0" t="s">
        <v>975</v>
      </c>
      <c r="P752" s="0" t="s">
        <v>976</v>
      </c>
      <c r="Q752" s="0" t="s">
        <v>1381</v>
      </c>
      <c r="R752" s="0" t="s">
        <v>970</v>
      </c>
      <c r="S752" s="0" t="s">
        <v>974</v>
      </c>
    </row>
    <row r="753" customFormat="false" ht="13.8" hidden="false" customHeight="false" outlineLevel="0" collapsed="false">
      <c r="A753" s="0" t="n">
        <v>2509</v>
      </c>
      <c r="B753" s="0" t="s">
        <v>4638</v>
      </c>
      <c r="C753" s="0" t="s">
        <v>1130</v>
      </c>
      <c r="E753" s="0" t="n">
        <f aca="false">IF(J752=J753,E752+10,0)</f>
        <v>10</v>
      </c>
      <c r="F753" s="0" t="s">
        <v>4639</v>
      </c>
      <c r="G753" s="0" t="s">
        <v>4640</v>
      </c>
      <c r="H753" s="0" t="s">
        <v>4641</v>
      </c>
      <c r="I753" s="0" t="s">
        <v>1033</v>
      </c>
      <c r="J753" s="0" t="s">
        <v>3890</v>
      </c>
      <c r="K753" s="0" t="s">
        <v>971</v>
      </c>
      <c r="L753" s="0" t="s">
        <v>974</v>
      </c>
      <c r="M753" s="0" t="s">
        <v>973</v>
      </c>
      <c r="N753" s="0" t="s">
        <v>974</v>
      </c>
      <c r="O753" s="0" t="s">
        <v>975</v>
      </c>
      <c r="P753" s="0" t="s">
        <v>976</v>
      </c>
      <c r="Q753" s="0" t="s">
        <v>973</v>
      </c>
      <c r="R753" s="0" t="s">
        <v>970</v>
      </c>
      <c r="S753" s="0" t="s">
        <v>974</v>
      </c>
    </row>
    <row r="754" customFormat="false" ht="13.8" hidden="false" customHeight="false" outlineLevel="0" collapsed="false">
      <c r="A754" s="0" t="n">
        <v>2510</v>
      </c>
      <c r="B754" s="0" t="s">
        <v>4642</v>
      </c>
      <c r="C754" s="0" t="s">
        <v>4643</v>
      </c>
      <c r="E754" s="0" t="n">
        <f aca="false">IF(J753=J754,E753+10,0)</f>
        <v>20</v>
      </c>
      <c r="F754" s="0" t="s">
        <v>4644</v>
      </c>
      <c r="G754" s="0" t="s">
        <v>4645</v>
      </c>
      <c r="H754" s="0" t="s">
        <v>4646</v>
      </c>
      <c r="I754" s="0" t="s">
        <v>1065</v>
      </c>
      <c r="J754" s="0" t="s">
        <v>3890</v>
      </c>
      <c r="K754" s="0" t="s">
        <v>971</v>
      </c>
      <c r="L754" s="0" t="s">
        <v>974</v>
      </c>
      <c r="M754" s="0" t="s">
        <v>973</v>
      </c>
      <c r="N754" s="0" t="s">
        <v>974</v>
      </c>
      <c r="O754" s="0" t="s">
        <v>975</v>
      </c>
      <c r="P754" s="0" t="s">
        <v>976</v>
      </c>
      <c r="Q754" s="0" t="s">
        <v>1046</v>
      </c>
      <c r="R754" s="0" t="s">
        <v>970</v>
      </c>
      <c r="S754" s="0" t="s">
        <v>974</v>
      </c>
    </row>
    <row r="755" customFormat="false" ht="13.8" hidden="false" customHeight="false" outlineLevel="0" collapsed="false">
      <c r="A755" s="0" t="n">
        <v>2511</v>
      </c>
      <c r="B755" s="0" t="s">
        <v>4647</v>
      </c>
      <c r="C755" s="0" t="s">
        <v>4648</v>
      </c>
      <c r="E755" s="0" t="n">
        <f aca="false">IF(J754=J755,E754+10,0)</f>
        <v>30</v>
      </c>
      <c r="F755" s="0" t="s">
        <v>4649</v>
      </c>
      <c r="G755" s="0" t="s">
        <v>4650</v>
      </c>
      <c r="H755" s="0" t="s">
        <v>4651</v>
      </c>
      <c r="I755" s="0" t="s">
        <v>1021</v>
      </c>
      <c r="J755" s="0" t="s">
        <v>3890</v>
      </c>
      <c r="K755" s="0" t="s">
        <v>971</v>
      </c>
      <c r="L755" s="0" t="s">
        <v>974</v>
      </c>
      <c r="M755" s="0" t="s">
        <v>973</v>
      </c>
      <c r="N755" s="0" t="s">
        <v>974</v>
      </c>
      <c r="O755" s="0" t="s">
        <v>975</v>
      </c>
      <c r="P755" s="0" t="s">
        <v>976</v>
      </c>
      <c r="Q755" s="0" t="s">
        <v>1082</v>
      </c>
      <c r="R755" s="0" t="s">
        <v>970</v>
      </c>
      <c r="S755" s="0" t="s">
        <v>974</v>
      </c>
    </row>
    <row r="756" customFormat="false" ht="13.8" hidden="false" customHeight="false" outlineLevel="0" collapsed="false">
      <c r="A756" s="0" t="n">
        <v>2512</v>
      </c>
      <c r="B756" s="0" t="s">
        <v>4652</v>
      </c>
      <c r="C756" s="0" t="s">
        <v>4505</v>
      </c>
      <c r="E756" s="0" t="n">
        <f aca="false">IF(J755=J756,E755+10,0)</f>
        <v>40</v>
      </c>
      <c r="F756" s="0" t="s">
        <v>4653</v>
      </c>
      <c r="G756" s="0" t="s">
        <v>4654</v>
      </c>
      <c r="H756" s="0" t="s">
        <v>4655</v>
      </c>
      <c r="I756" s="0" t="s">
        <v>970</v>
      </c>
      <c r="J756" s="0" t="s">
        <v>3890</v>
      </c>
      <c r="K756" s="0" t="s">
        <v>971</v>
      </c>
      <c r="L756" s="0" t="s">
        <v>974</v>
      </c>
      <c r="M756" s="0" t="s">
        <v>973</v>
      </c>
      <c r="N756" s="0" t="s">
        <v>974</v>
      </c>
      <c r="O756" s="0" t="s">
        <v>975</v>
      </c>
      <c r="P756" s="0" t="s">
        <v>976</v>
      </c>
      <c r="Q756" s="0" t="s">
        <v>1059</v>
      </c>
      <c r="R756" s="0" t="s">
        <v>970</v>
      </c>
      <c r="S756" s="0" t="s">
        <v>974</v>
      </c>
    </row>
    <row r="757" customFormat="false" ht="13.8" hidden="false" customHeight="false" outlineLevel="0" collapsed="false">
      <c r="A757" s="0" t="n">
        <v>2513</v>
      </c>
      <c r="B757" s="0" t="s">
        <v>4656</v>
      </c>
      <c r="C757" s="0" t="s">
        <v>1707</v>
      </c>
      <c r="E757" s="0" t="n">
        <f aca="false">IF(J756=J757,E756+10,0)</f>
        <v>50</v>
      </c>
      <c r="F757" s="0" t="s">
        <v>4657</v>
      </c>
      <c r="G757" s="0" t="s">
        <v>4658</v>
      </c>
      <c r="H757" s="0" t="s">
        <v>4659</v>
      </c>
      <c r="I757" s="0" t="s">
        <v>1711</v>
      </c>
      <c r="J757" s="0" t="s">
        <v>3890</v>
      </c>
      <c r="K757" s="0" t="s">
        <v>971</v>
      </c>
      <c r="L757" s="0" t="s">
        <v>1829</v>
      </c>
      <c r="M757" s="0" t="s">
        <v>973</v>
      </c>
      <c r="N757" s="0" t="s">
        <v>974</v>
      </c>
      <c r="O757" s="0" t="s">
        <v>975</v>
      </c>
      <c r="P757" s="0" t="s">
        <v>976</v>
      </c>
      <c r="Q757" s="0" t="s">
        <v>974</v>
      </c>
      <c r="R757" s="0" t="s">
        <v>970</v>
      </c>
      <c r="S757" s="0" t="s">
        <v>974</v>
      </c>
    </row>
    <row r="758" customFormat="false" ht="13.8" hidden="false" customHeight="false" outlineLevel="0" collapsed="false">
      <c r="A758" s="0" t="n">
        <v>2514</v>
      </c>
      <c r="B758" s="0" t="s">
        <v>4660</v>
      </c>
      <c r="C758" s="0" t="s">
        <v>4492</v>
      </c>
      <c r="E758" s="0" t="n">
        <f aca="false">IF(J757=J758,E757+10,0)</f>
        <v>60</v>
      </c>
      <c r="F758" s="0" t="s">
        <v>4661</v>
      </c>
      <c r="G758" s="0" t="s">
        <v>4662</v>
      </c>
      <c r="H758" s="0" t="s">
        <v>4663</v>
      </c>
      <c r="I758" s="0" t="s">
        <v>1666</v>
      </c>
      <c r="J758" s="0" t="s">
        <v>3890</v>
      </c>
      <c r="K758" s="0" t="s">
        <v>971</v>
      </c>
      <c r="L758" s="0" t="s">
        <v>974</v>
      </c>
      <c r="M758" s="0" t="s">
        <v>973</v>
      </c>
      <c r="N758" s="0" t="s">
        <v>974</v>
      </c>
      <c r="O758" s="0" t="s">
        <v>975</v>
      </c>
      <c r="P758" s="0" t="s">
        <v>976</v>
      </c>
      <c r="Q758" s="0" t="s">
        <v>973</v>
      </c>
      <c r="R758" s="0" t="s">
        <v>1046</v>
      </c>
      <c r="S758" s="0" t="s">
        <v>974</v>
      </c>
    </row>
    <row r="759" customFormat="false" ht="13.8" hidden="false" customHeight="false" outlineLevel="0" collapsed="false">
      <c r="A759" s="0" t="n">
        <v>2515</v>
      </c>
      <c r="B759" s="0" t="s">
        <v>4664</v>
      </c>
      <c r="C759" s="0" t="s">
        <v>4089</v>
      </c>
      <c r="E759" s="0" t="n">
        <f aca="false">IF(J758=J759,E758+10,0)</f>
        <v>70</v>
      </c>
      <c r="F759" s="0" t="s">
        <v>4665</v>
      </c>
      <c r="G759" s="0" t="s">
        <v>4666</v>
      </c>
      <c r="H759" s="0" t="s">
        <v>4667</v>
      </c>
      <c r="I759" s="0" t="s">
        <v>2195</v>
      </c>
      <c r="J759" s="0" t="s">
        <v>3890</v>
      </c>
      <c r="K759" s="0" t="s">
        <v>971</v>
      </c>
      <c r="L759" s="0" t="s">
        <v>974</v>
      </c>
      <c r="M759" s="0" t="s">
        <v>973</v>
      </c>
      <c r="N759" s="0" t="s">
        <v>974</v>
      </c>
      <c r="O759" s="0" t="s">
        <v>975</v>
      </c>
      <c r="P759" s="0" t="s">
        <v>976</v>
      </c>
      <c r="Q759" s="0" t="s">
        <v>970</v>
      </c>
      <c r="R759" s="0" t="s">
        <v>970</v>
      </c>
      <c r="S759" s="0" t="s">
        <v>974</v>
      </c>
    </row>
    <row r="760" customFormat="false" ht="13.8" hidden="false" customHeight="false" outlineLevel="0" collapsed="false">
      <c r="A760" s="0" t="n">
        <v>2516</v>
      </c>
      <c r="B760" s="0" t="s">
        <v>4668</v>
      </c>
      <c r="C760" s="0" t="s">
        <v>4084</v>
      </c>
      <c r="E760" s="0" t="n">
        <f aca="false">IF(J759=J760,E759+10,0)</f>
        <v>80</v>
      </c>
      <c r="F760" s="0" t="s">
        <v>4669</v>
      </c>
      <c r="G760" s="0" t="s">
        <v>4670</v>
      </c>
      <c r="H760" s="0" t="s">
        <v>4671</v>
      </c>
      <c r="I760" s="0" t="s">
        <v>1723</v>
      </c>
      <c r="J760" s="0" t="s">
        <v>3890</v>
      </c>
      <c r="K760" s="0" t="s">
        <v>971</v>
      </c>
      <c r="L760" s="0" t="s">
        <v>974</v>
      </c>
      <c r="M760" s="0" t="s">
        <v>973</v>
      </c>
      <c r="N760" s="0" t="s">
        <v>974</v>
      </c>
      <c r="O760" s="0" t="s">
        <v>975</v>
      </c>
      <c r="P760" s="0" t="s">
        <v>976</v>
      </c>
      <c r="Q760" s="0" t="s">
        <v>970</v>
      </c>
      <c r="R760" s="0" t="s">
        <v>970</v>
      </c>
      <c r="S760" s="0" t="s">
        <v>974</v>
      </c>
    </row>
    <row r="761" customFormat="false" ht="13.8" hidden="false" customHeight="false" outlineLevel="0" collapsed="false">
      <c r="A761" s="0" t="n">
        <v>2517</v>
      </c>
      <c r="B761" s="0" t="s">
        <v>4672</v>
      </c>
      <c r="C761" s="0" t="s">
        <v>4028</v>
      </c>
      <c r="E761" s="0" t="n">
        <f aca="false">IF(J760=J761,E760+10,0)</f>
        <v>90</v>
      </c>
      <c r="F761" s="0" t="s">
        <v>4673</v>
      </c>
      <c r="G761" s="0" t="s">
        <v>4674</v>
      </c>
      <c r="H761" s="0" t="s">
        <v>4675</v>
      </c>
      <c r="I761" s="0" t="s">
        <v>1587</v>
      </c>
      <c r="J761" s="0" t="s">
        <v>3890</v>
      </c>
      <c r="K761" s="0" t="s">
        <v>971</v>
      </c>
      <c r="L761" s="0" t="s">
        <v>974</v>
      </c>
      <c r="M761" s="0" t="s">
        <v>973</v>
      </c>
      <c r="N761" s="0" t="s">
        <v>974</v>
      </c>
      <c r="O761" s="0" t="s">
        <v>975</v>
      </c>
      <c r="P761" s="0" t="s">
        <v>976</v>
      </c>
      <c r="Q761" s="0" t="s">
        <v>1059</v>
      </c>
      <c r="R761" s="0" t="s">
        <v>1046</v>
      </c>
      <c r="S761" s="0" t="s">
        <v>974</v>
      </c>
    </row>
    <row r="762" customFormat="false" ht="13.8" hidden="false" customHeight="false" outlineLevel="0" collapsed="false">
      <c r="A762" s="0" t="n">
        <v>2518</v>
      </c>
      <c r="B762" s="0" t="s">
        <v>4676</v>
      </c>
      <c r="C762" s="0" t="s">
        <v>4018</v>
      </c>
      <c r="E762" s="0" t="n">
        <f aca="false">IF(J761=J762,E761+10,0)</f>
        <v>100</v>
      </c>
      <c r="F762" s="0" t="s">
        <v>4677</v>
      </c>
      <c r="G762" s="0" t="s">
        <v>4678</v>
      </c>
      <c r="H762" s="0" t="s">
        <v>4679</v>
      </c>
      <c r="I762" s="0" t="s">
        <v>1180</v>
      </c>
      <c r="J762" s="0" t="s">
        <v>3890</v>
      </c>
      <c r="K762" s="0" t="s">
        <v>971</v>
      </c>
      <c r="L762" s="0" t="s">
        <v>974</v>
      </c>
      <c r="M762" s="0" t="s">
        <v>973</v>
      </c>
      <c r="N762" s="0" t="s">
        <v>974</v>
      </c>
      <c r="O762" s="0" t="s">
        <v>975</v>
      </c>
      <c r="P762" s="0" t="s">
        <v>976</v>
      </c>
      <c r="Q762" s="0" t="s">
        <v>1214</v>
      </c>
      <c r="R762" s="0" t="s">
        <v>1046</v>
      </c>
      <c r="S762" s="0" t="s">
        <v>974</v>
      </c>
    </row>
    <row r="763" customFormat="false" ht="13.8" hidden="false" customHeight="false" outlineLevel="0" collapsed="false">
      <c r="A763" s="0" t="n">
        <v>2519</v>
      </c>
      <c r="B763" s="0" t="s">
        <v>4680</v>
      </c>
      <c r="C763" s="0" t="s">
        <v>4681</v>
      </c>
      <c r="E763" s="0" t="n">
        <f aca="false">IF(J762=J763,E762+10,0)</f>
        <v>110</v>
      </c>
      <c r="F763" s="0" t="s">
        <v>4682</v>
      </c>
      <c r="G763" s="0" t="s">
        <v>4683</v>
      </c>
      <c r="H763" s="0" t="s">
        <v>4684</v>
      </c>
      <c r="I763" s="0" t="s">
        <v>1106</v>
      </c>
      <c r="J763" s="0" t="s">
        <v>3890</v>
      </c>
      <c r="K763" s="0" t="s">
        <v>971</v>
      </c>
      <c r="L763" s="0" t="s">
        <v>974</v>
      </c>
      <c r="M763" s="0" t="s">
        <v>973</v>
      </c>
      <c r="N763" s="0" t="s">
        <v>974</v>
      </c>
      <c r="O763" s="0" t="s">
        <v>975</v>
      </c>
      <c r="P763" s="0" t="s">
        <v>976</v>
      </c>
      <c r="Q763" s="0" t="s">
        <v>1046</v>
      </c>
      <c r="R763" s="0" t="s">
        <v>970</v>
      </c>
      <c r="S763" s="0" t="s">
        <v>974</v>
      </c>
    </row>
    <row r="764" customFormat="false" ht="13.8" hidden="false" customHeight="false" outlineLevel="0" collapsed="false">
      <c r="A764" s="0" t="n">
        <v>2520</v>
      </c>
      <c r="B764" s="0" t="s">
        <v>4685</v>
      </c>
      <c r="C764" s="0" t="s">
        <v>4686</v>
      </c>
      <c r="E764" s="0" t="n">
        <f aca="false">IF(J763=J764,E763+10,0)</f>
        <v>120</v>
      </c>
      <c r="F764" s="0" t="s">
        <v>4687</v>
      </c>
      <c r="G764" s="0" t="s">
        <v>4688</v>
      </c>
      <c r="H764" s="0" t="s">
        <v>4689</v>
      </c>
      <c r="I764" s="0" t="s">
        <v>1349</v>
      </c>
      <c r="J764" s="0" t="s">
        <v>3890</v>
      </c>
      <c r="K764" s="0" t="s">
        <v>971</v>
      </c>
      <c r="L764" s="0" t="s">
        <v>1082</v>
      </c>
      <c r="M764" s="0" t="s">
        <v>973</v>
      </c>
      <c r="N764" s="0" t="s">
        <v>974</v>
      </c>
      <c r="O764" s="0" t="s">
        <v>975</v>
      </c>
      <c r="P764" s="0" t="s">
        <v>976</v>
      </c>
      <c r="Q764" s="0" t="s">
        <v>974</v>
      </c>
      <c r="R764" s="0" t="s">
        <v>970</v>
      </c>
      <c r="S764" s="0" t="s">
        <v>974</v>
      </c>
    </row>
    <row r="765" customFormat="false" ht="13.8" hidden="false" customHeight="false" outlineLevel="0" collapsed="false">
      <c r="A765" s="0" t="n">
        <v>2521</v>
      </c>
      <c r="B765" s="0" t="s">
        <v>4690</v>
      </c>
      <c r="C765" s="0" t="s">
        <v>1420</v>
      </c>
      <c r="E765" s="0" t="n">
        <f aca="false">IF(J764=J765,E764+10,0)</f>
        <v>130</v>
      </c>
      <c r="F765" s="0" t="s">
        <v>4691</v>
      </c>
      <c r="G765" s="0" t="s">
        <v>4692</v>
      </c>
      <c r="H765" s="0" t="s">
        <v>4693</v>
      </c>
      <c r="I765" s="0" t="s">
        <v>1100</v>
      </c>
      <c r="J765" s="0" t="s">
        <v>3890</v>
      </c>
      <c r="K765" s="0" t="s">
        <v>971</v>
      </c>
      <c r="L765" s="0" t="s">
        <v>974</v>
      </c>
      <c r="M765" s="0" t="s">
        <v>973</v>
      </c>
      <c r="N765" s="0" t="s">
        <v>974</v>
      </c>
      <c r="O765" s="0" t="s">
        <v>975</v>
      </c>
      <c r="P765" s="0" t="s">
        <v>976</v>
      </c>
      <c r="Q765" s="0" t="s">
        <v>1181</v>
      </c>
      <c r="R765" s="0" t="s">
        <v>1046</v>
      </c>
      <c r="S765" s="0" t="s">
        <v>974</v>
      </c>
    </row>
    <row r="766" customFormat="false" ht="13.8" hidden="false" customHeight="false" outlineLevel="0" collapsed="false">
      <c r="A766" s="0" t="n">
        <v>2522</v>
      </c>
      <c r="B766" s="0" t="s">
        <v>4694</v>
      </c>
      <c r="C766" s="0" t="s">
        <v>4695</v>
      </c>
      <c r="E766" s="0" t="n">
        <f aca="false">IF(J765=J766,E765+10,0)</f>
        <v>0</v>
      </c>
      <c r="F766" s="0" t="s">
        <v>4696</v>
      </c>
      <c r="G766" s="0" t="s">
        <v>4697</v>
      </c>
      <c r="H766" s="0" t="s">
        <v>4698</v>
      </c>
      <c r="I766" s="0" t="s">
        <v>4699</v>
      </c>
      <c r="J766" s="0" t="s">
        <v>1002</v>
      </c>
      <c r="K766" s="0" t="s">
        <v>971</v>
      </c>
      <c r="L766" s="0" t="s">
        <v>973</v>
      </c>
      <c r="M766" s="0" t="s">
        <v>973</v>
      </c>
      <c r="N766" s="0" t="s">
        <v>974</v>
      </c>
      <c r="O766" s="0" t="s">
        <v>975</v>
      </c>
      <c r="P766" s="0" t="s">
        <v>976</v>
      </c>
      <c r="Q766" s="0" t="s">
        <v>974</v>
      </c>
      <c r="R766" s="0" t="s">
        <v>970</v>
      </c>
      <c r="S766" s="0" t="s">
        <v>974</v>
      </c>
    </row>
    <row r="767" customFormat="false" ht="13.8" hidden="false" customHeight="false" outlineLevel="0" collapsed="false">
      <c r="A767" s="0" t="n">
        <v>2523</v>
      </c>
      <c r="B767" s="0" t="s">
        <v>4700</v>
      </c>
      <c r="C767" s="0" t="s">
        <v>1130</v>
      </c>
      <c r="E767" s="0" t="n">
        <f aca="false">IF(J766=J767,E766+10,0)</f>
        <v>10</v>
      </c>
      <c r="F767" s="0" t="s">
        <v>4701</v>
      </c>
      <c r="G767" s="0" t="s">
        <v>4702</v>
      </c>
      <c r="H767" s="0" t="s">
        <v>4703</v>
      </c>
      <c r="I767" s="0" t="s">
        <v>1033</v>
      </c>
      <c r="J767" s="0" t="s">
        <v>1002</v>
      </c>
      <c r="K767" s="0" t="s">
        <v>971</v>
      </c>
      <c r="L767" s="0" t="s">
        <v>974</v>
      </c>
      <c r="M767" s="0" t="s">
        <v>973</v>
      </c>
      <c r="N767" s="0" t="s">
        <v>974</v>
      </c>
      <c r="O767" s="0" t="s">
        <v>975</v>
      </c>
      <c r="P767" s="0" t="s">
        <v>976</v>
      </c>
      <c r="Q767" s="0" t="s">
        <v>973</v>
      </c>
      <c r="R767" s="0" t="s">
        <v>970</v>
      </c>
      <c r="S767" s="0" t="s">
        <v>974</v>
      </c>
    </row>
    <row r="768" customFormat="false" ht="13.8" hidden="false" customHeight="false" outlineLevel="0" collapsed="false">
      <c r="A768" s="0" t="n">
        <v>2524</v>
      </c>
      <c r="B768" s="0" t="s">
        <v>4704</v>
      </c>
      <c r="C768" s="0" t="s">
        <v>4643</v>
      </c>
      <c r="E768" s="0" t="n">
        <f aca="false">IF(J767=J768,E767+10,0)</f>
        <v>20</v>
      </c>
      <c r="F768" s="0" t="s">
        <v>4705</v>
      </c>
      <c r="G768" s="0" t="s">
        <v>4706</v>
      </c>
      <c r="H768" s="0" t="s">
        <v>4707</v>
      </c>
      <c r="I768" s="0" t="s">
        <v>1065</v>
      </c>
      <c r="J768" s="0" t="s">
        <v>1002</v>
      </c>
      <c r="K768" s="0" t="s">
        <v>971</v>
      </c>
      <c r="L768" s="0" t="s">
        <v>974</v>
      </c>
      <c r="M768" s="0" t="s">
        <v>973</v>
      </c>
      <c r="N768" s="0" t="s">
        <v>974</v>
      </c>
      <c r="O768" s="0" t="s">
        <v>975</v>
      </c>
      <c r="P768" s="0" t="s">
        <v>976</v>
      </c>
      <c r="Q768" s="0" t="s">
        <v>1046</v>
      </c>
      <c r="R768" s="0" t="s">
        <v>970</v>
      </c>
      <c r="S768" s="0" t="s">
        <v>974</v>
      </c>
    </row>
    <row r="769" customFormat="false" ht="13.8" hidden="false" customHeight="false" outlineLevel="0" collapsed="false">
      <c r="A769" s="0" t="n">
        <v>2525</v>
      </c>
      <c r="B769" s="0" t="s">
        <v>4708</v>
      </c>
      <c r="C769" s="0" t="s">
        <v>4648</v>
      </c>
      <c r="E769" s="0" t="n">
        <f aca="false">IF(J768=J769,E768+10,0)</f>
        <v>30</v>
      </c>
      <c r="F769" s="0" t="s">
        <v>4709</v>
      </c>
      <c r="G769" s="0" t="s">
        <v>4710</v>
      </c>
      <c r="H769" s="0" t="s">
        <v>4711</v>
      </c>
      <c r="I769" s="0" t="s">
        <v>1021</v>
      </c>
      <c r="J769" s="0" t="s">
        <v>1002</v>
      </c>
      <c r="K769" s="0" t="s">
        <v>971</v>
      </c>
      <c r="L769" s="0" t="s">
        <v>974</v>
      </c>
      <c r="M769" s="0" t="s">
        <v>973</v>
      </c>
      <c r="N769" s="0" t="s">
        <v>974</v>
      </c>
      <c r="O769" s="0" t="s">
        <v>975</v>
      </c>
      <c r="P769" s="0" t="s">
        <v>976</v>
      </c>
      <c r="Q769" s="0" t="s">
        <v>970</v>
      </c>
      <c r="R769" s="0" t="s">
        <v>970</v>
      </c>
      <c r="S769" s="0" t="s">
        <v>974</v>
      </c>
    </row>
    <row r="770" customFormat="false" ht="13.8" hidden="false" customHeight="false" outlineLevel="0" collapsed="false">
      <c r="A770" s="0" t="n">
        <v>2526</v>
      </c>
      <c r="B770" s="0" t="s">
        <v>4712</v>
      </c>
      <c r="C770" s="0" t="s">
        <v>1707</v>
      </c>
      <c r="E770" s="0" t="n">
        <f aca="false">IF(J769=J770,E769+10,0)</f>
        <v>40</v>
      </c>
      <c r="F770" s="0" t="s">
        <v>4713</v>
      </c>
      <c r="G770" s="0" t="s">
        <v>4714</v>
      </c>
      <c r="H770" s="0" t="s">
        <v>4715</v>
      </c>
      <c r="I770" s="0" t="s">
        <v>1711</v>
      </c>
      <c r="J770" s="0" t="s">
        <v>1002</v>
      </c>
      <c r="K770" s="0" t="s">
        <v>971</v>
      </c>
      <c r="L770" s="0" t="s">
        <v>1829</v>
      </c>
      <c r="M770" s="0" t="s">
        <v>973</v>
      </c>
      <c r="N770" s="0" t="s">
        <v>974</v>
      </c>
      <c r="O770" s="0" t="s">
        <v>975</v>
      </c>
      <c r="P770" s="0" t="s">
        <v>976</v>
      </c>
      <c r="Q770" s="0" t="s">
        <v>974</v>
      </c>
      <c r="R770" s="0" t="s">
        <v>970</v>
      </c>
      <c r="S770" s="0" t="s">
        <v>974</v>
      </c>
    </row>
    <row r="771" customFormat="false" ht="13.8" hidden="false" customHeight="false" outlineLevel="0" collapsed="false">
      <c r="A771" s="0" t="n">
        <v>2527</v>
      </c>
      <c r="B771" s="0" t="s">
        <v>4716</v>
      </c>
      <c r="C771" s="0" t="s">
        <v>4492</v>
      </c>
      <c r="E771" s="0" t="n">
        <f aca="false">IF(J770=J771,E770+10,0)</f>
        <v>50</v>
      </c>
      <c r="F771" s="0" t="s">
        <v>4717</v>
      </c>
      <c r="G771" s="0" t="s">
        <v>4718</v>
      </c>
      <c r="H771" s="0" t="s">
        <v>4719</v>
      </c>
      <c r="I771" s="0" t="s">
        <v>1666</v>
      </c>
      <c r="J771" s="0" t="s">
        <v>1002</v>
      </c>
      <c r="K771" s="0" t="s">
        <v>971</v>
      </c>
      <c r="L771" s="0" t="s">
        <v>974</v>
      </c>
      <c r="M771" s="0" t="s">
        <v>973</v>
      </c>
      <c r="N771" s="0" t="s">
        <v>974</v>
      </c>
      <c r="O771" s="0" t="s">
        <v>975</v>
      </c>
      <c r="P771" s="0" t="s">
        <v>976</v>
      </c>
      <c r="Q771" s="0" t="s">
        <v>973</v>
      </c>
      <c r="R771" s="0" t="s">
        <v>1046</v>
      </c>
      <c r="S771" s="0" t="s">
        <v>974</v>
      </c>
    </row>
    <row r="772" customFormat="false" ht="13.8" hidden="false" customHeight="false" outlineLevel="0" collapsed="false">
      <c r="A772" s="0" t="n">
        <v>2528</v>
      </c>
      <c r="B772" s="0" t="s">
        <v>4720</v>
      </c>
      <c r="C772" s="0" t="s">
        <v>4089</v>
      </c>
      <c r="E772" s="0" t="n">
        <f aca="false">IF(J771=J772,E771+10,0)</f>
        <v>60</v>
      </c>
      <c r="F772" s="0" t="s">
        <v>4721</v>
      </c>
      <c r="G772" s="0" t="s">
        <v>4722</v>
      </c>
      <c r="H772" s="0" t="s">
        <v>4723</v>
      </c>
      <c r="I772" s="0" t="s">
        <v>2195</v>
      </c>
      <c r="J772" s="0" t="s">
        <v>1002</v>
      </c>
      <c r="K772" s="0" t="s">
        <v>971</v>
      </c>
      <c r="L772" s="0" t="s">
        <v>974</v>
      </c>
      <c r="M772" s="0" t="s">
        <v>973</v>
      </c>
      <c r="N772" s="0" t="s">
        <v>974</v>
      </c>
      <c r="O772" s="0" t="s">
        <v>975</v>
      </c>
      <c r="P772" s="0" t="s">
        <v>976</v>
      </c>
      <c r="Q772" s="0" t="s">
        <v>970</v>
      </c>
      <c r="R772" s="0" t="s">
        <v>970</v>
      </c>
      <c r="S772" s="0" t="s">
        <v>974</v>
      </c>
    </row>
    <row r="773" customFormat="false" ht="13.8" hidden="false" customHeight="false" outlineLevel="0" collapsed="false">
      <c r="A773" s="0" t="n">
        <v>2529</v>
      </c>
      <c r="B773" s="0" t="s">
        <v>4724</v>
      </c>
      <c r="C773" s="0" t="s">
        <v>4084</v>
      </c>
      <c r="E773" s="0" t="n">
        <f aca="false">IF(J772=J773,E772+10,0)</f>
        <v>70</v>
      </c>
      <c r="F773" s="0" t="s">
        <v>4725</v>
      </c>
      <c r="G773" s="0" t="s">
        <v>4726</v>
      </c>
      <c r="H773" s="0" t="s">
        <v>4727</v>
      </c>
      <c r="I773" s="0" t="s">
        <v>1723</v>
      </c>
      <c r="J773" s="0" t="s">
        <v>1002</v>
      </c>
      <c r="K773" s="0" t="s">
        <v>971</v>
      </c>
      <c r="L773" s="0" t="s">
        <v>974</v>
      </c>
      <c r="M773" s="0" t="s">
        <v>973</v>
      </c>
      <c r="N773" s="0" t="s">
        <v>974</v>
      </c>
      <c r="O773" s="0" t="s">
        <v>975</v>
      </c>
      <c r="P773" s="0" t="s">
        <v>976</v>
      </c>
      <c r="Q773" s="0" t="s">
        <v>970</v>
      </c>
      <c r="R773" s="0" t="s">
        <v>970</v>
      </c>
      <c r="S773" s="0" t="s">
        <v>974</v>
      </c>
    </row>
    <row r="774" customFormat="false" ht="13.8" hidden="false" customHeight="false" outlineLevel="0" collapsed="false">
      <c r="A774" s="0" t="n">
        <v>2530</v>
      </c>
      <c r="B774" s="0" t="s">
        <v>4728</v>
      </c>
      <c r="C774" s="0" t="s">
        <v>4028</v>
      </c>
      <c r="E774" s="0" t="n">
        <f aca="false">IF(J773=J774,E773+10,0)</f>
        <v>80</v>
      </c>
      <c r="F774" s="0" t="s">
        <v>4729</v>
      </c>
      <c r="G774" s="0" t="s">
        <v>4730</v>
      </c>
      <c r="H774" s="0" t="s">
        <v>4731</v>
      </c>
      <c r="I774" s="0" t="s">
        <v>1587</v>
      </c>
      <c r="J774" s="0" t="s">
        <v>1002</v>
      </c>
      <c r="K774" s="0" t="s">
        <v>971</v>
      </c>
      <c r="L774" s="0" t="s">
        <v>974</v>
      </c>
      <c r="M774" s="0" t="s">
        <v>973</v>
      </c>
      <c r="N774" s="0" t="s">
        <v>974</v>
      </c>
      <c r="O774" s="0" t="s">
        <v>975</v>
      </c>
      <c r="P774" s="0" t="s">
        <v>976</v>
      </c>
      <c r="Q774" s="0" t="s">
        <v>970</v>
      </c>
      <c r="R774" s="0" t="s">
        <v>1046</v>
      </c>
      <c r="S774" s="0" t="s">
        <v>974</v>
      </c>
    </row>
    <row r="775" customFormat="false" ht="13.8" hidden="false" customHeight="false" outlineLevel="0" collapsed="false">
      <c r="A775" s="0" t="n">
        <v>2531</v>
      </c>
      <c r="B775" s="0" t="s">
        <v>4732</v>
      </c>
      <c r="C775" s="0" t="s">
        <v>4018</v>
      </c>
      <c r="E775" s="0" t="n">
        <f aca="false">IF(J774=J775,E774+10,0)</f>
        <v>90</v>
      </c>
      <c r="F775" s="0" t="s">
        <v>4733</v>
      </c>
      <c r="G775" s="0" t="s">
        <v>4734</v>
      </c>
      <c r="H775" s="0" t="s">
        <v>4735</v>
      </c>
      <c r="I775" s="0" t="s">
        <v>1180</v>
      </c>
      <c r="J775" s="0" t="s">
        <v>1002</v>
      </c>
      <c r="K775" s="0" t="s">
        <v>971</v>
      </c>
      <c r="L775" s="0" t="s">
        <v>974</v>
      </c>
      <c r="M775" s="0" t="s">
        <v>973</v>
      </c>
      <c r="N775" s="0" t="s">
        <v>974</v>
      </c>
      <c r="O775" s="0" t="s">
        <v>975</v>
      </c>
      <c r="P775" s="0" t="s">
        <v>976</v>
      </c>
      <c r="Q775" s="0" t="s">
        <v>1214</v>
      </c>
      <c r="R775" s="0" t="s">
        <v>1046</v>
      </c>
      <c r="S775" s="0" t="s">
        <v>974</v>
      </c>
    </row>
    <row r="776" customFormat="false" ht="13.8" hidden="false" customHeight="false" outlineLevel="0" collapsed="false">
      <c r="A776" s="0" t="n">
        <v>2532</v>
      </c>
      <c r="B776" s="0" t="s">
        <v>4736</v>
      </c>
      <c r="C776" s="0" t="s">
        <v>4681</v>
      </c>
      <c r="E776" s="0" t="n">
        <f aca="false">IF(J775=J776,E775+10,0)</f>
        <v>100</v>
      </c>
      <c r="F776" s="0" t="s">
        <v>4737</v>
      </c>
      <c r="G776" s="0" t="s">
        <v>4738</v>
      </c>
      <c r="H776" s="0" t="s">
        <v>4739</v>
      </c>
      <c r="I776" s="0" t="s">
        <v>1106</v>
      </c>
      <c r="J776" s="0" t="s">
        <v>1002</v>
      </c>
      <c r="K776" s="0" t="s">
        <v>971</v>
      </c>
      <c r="L776" s="0" t="s">
        <v>974</v>
      </c>
      <c r="M776" s="0" t="s">
        <v>973</v>
      </c>
      <c r="N776" s="0" t="s">
        <v>974</v>
      </c>
      <c r="O776" s="0" t="s">
        <v>975</v>
      </c>
      <c r="P776" s="0" t="s">
        <v>976</v>
      </c>
      <c r="Q776" s="0" t="s">
        <v>1046</v>
      </c>
      <c r="R776" s="0" t="s">
        <v>970</v>
      </c>
      <c r="S776" s="0" t="s">
        <v>974</v>
      </c>
    </row>
    <row r="777" customFormat="false" ht="13.8" hidden="false" customHeight="false" outlineLevel="0" collapsed="false">
      <c r="A777" s="0" t="n">
        <v>2533</v>
      </c>
      <c r="B777" s="0" t="s">
        <v>4740</v>
      </c>
      <c r="C777" s="0" t="s">
        <v>4686</v>
      </c>
      <c r="E777" s="0" t="n">
        <f aca="false">IF(J776=J777,E776+10,0)</f>
        <v>110</v>
      </c>
      <c r="F777" s="0" t="s">
        <v>4741</v>
      </c>
      <c r="G777" s="0" t="s">
        <v>4742</v>
      </c>
      <c r="H777" s="0" t="s">
        <v>4743</v>
      </c>
      <c r="I777" s="0" t="s">
        <v>1349</v>
      </c>
      <c r="J777" s="0" t="s">
        <v>1002</v>
      </c>
      <c r="K777" s="0" t="s">
        <v>971</v>
      </c>
      <c r="L777" s="0" t="s">
        <v>1082</v>
      </c>
      <c r="M777" s="0" t="s">
        <v>973</v>
      </c>
      <c r="N777" s="0" t="s">
        <v>974</v>
      </c>
      <c r="O777" s="0" t="s">
        <v>975</v>
      </c>
      <c r="P777" s="0" t="s">
        <v>976</v>
      </c>
      <c r="Q777" s="0" t="s">
        <v>974</v>
      </c>
      <c r="R777" s="0" t="s">
        <v>970</v>
      </c>
      <c r="S777" s="0" t="s">
        <v>974</v>
      </c>
    </row>
    <row r="778" customFormat="false" ht="13.8" hidden="false" customHeight="false" outlineLevel="0" collapsed="false">
      <c r="A778" s="0" t="n">
        <v>2534</v>
      </c>
      <c r="B778" s="0" t="s">
        <v>4744</v>
      </c>
      <c r="C778" s="0" t="s">
        <v>1420</v>
      </c>
      <c r="E778" s="0" t="n">
        <f aca="false">IF(J777=J778,E777+10,0)</f>
        <v>120</v>
      </c>
      <c r="F778" s="0" t="s">
        <v>4745</v>
      </c>
      <c r="G778" s="0" t="s">
        <v>4746</v>
      </c>
      <c r="H778" s="0" t="s">
        <v>4747</v>
      </c>
      <c r="I778" s="0" t="s">
        <v>1100</v>
      </c>
      <c r="J778" s="0" t="s">
        <v>1002</v>
      </c>
      <c r="K778" s="0" t="s">
        <v>971</v>
      </c>
      <c r="L778" s="0" t="s">
        <v>974</v>
      </c>
      <c r="M778" s="0" t="s">
        <v>973</v>
      </c>
      <c r="N778" s="0" t="s">
        <v>974</v>
      </c>
      <c r="O778" s="0" t="s">
        <v>975</v>
      </c>
      <c r="P778" s="0" t="s">
        <v>976</v>
      </c>
      <c r="Q778" s="0" t="s">
        <v>4748</v>
      </c>
      <c r="R778" s="0" t="s">
        <v>1046</v>
      </c>
      <c r="S778" s="0" t="s">
        <v>974</v>
      </c>
    </row>
    <row r="779" customFormat="false" ht="13.8" hidden="false" customHeight="false" outlineLevel="0" collapsed="false">
      <c r="A779" s="0" t="n">
        <v>2535</v>
      </c>
      <c r="B779" s="0" t="s">
        <v>4749</v>
      </c>
      <c r="C779" s="0" t="s">
        <v>4276</v>
      </c>
      <c r="E779" s="0" t="n">
        <f aca="false">IF(J778=J779,E778+10,0)</f>
        <v>130</v>
      </c>
      <c r="F779" s="0" t="s">
        <v>4750</v>
      </c>
      <c r="G779" s="0" t="s">
        <v>4751</v>
      </c>
      <c r="H779" s="0" t="s">
        <v>4752</v>
      </c>
      <c r="I779" s="0" t="s">
        <v>1254</v>
      </c>
      <c r="J779" s="0" t="s">
        <v>1002</v>
      </c>
      <c r="K779" s="0" t="s">
        <v>971</v>
      </c>
      <c r="L779" s="0" t="s">
        <v>970</v>
      </c>
      <c r="M779" s="0" t="s">
        <v>973</v>
      </c>
      <c r="N779" s="0" t="s">
        <v>974</v>
      </c>
      <c r="O779" s="0" t="s">
        <v>975</v>
      </c>
      <c r="P779" s="0" t="s">
        <v>976</v>
      </c>
      <c r="Q779" s="0" t="s">
        <v>974</v>
      </c>
      <c r="R779" s="0" t="s">
        <v>970</v>
      </c>
      <c r="S779" s="0" t="s">
        <v>974</v>
      </c>
    </row>
    <row r="780" customFormat="false" ht="13.8" hidden="false" customHeight="false" outlineLevel="0" collapsed="false">
      <c r="A780" s="0" t="n">
        <v>2536</v>
      </c>
      <c r="B780" s="0" t="s">
        <v>4753</v>
      </c>
      <c r="C780" s="0" t="s">
        <v>4754</v>
      </c>
      <c r="E780" s="0" t="n">
        <f aca="false">IF(J779=J780,E779+10,0)</f>
        <v>0</v>
      </c>
      <c r="F780" s="0" t="s">
        <v>4755</v>
      </c>
      <c r="G780" s="0" t="s">
        <v>4756</v>
      </c>
      <c r="H780" s="0" t="s">
        <v>4757</v>
      </c>
      <c r="I780" s="0" t="s">
        <v>2569</v>
      </c>
      <c r="J780" s="0" t="s">
        <v>3309</v>
      </c>
      <c r="K780" s="0" t="s">
        <v>971</v>
      </c>
      <c r="L780" s="0" t="s">
        <v>974</v>
      </c>
      <c r="M780" s="0" t="s">
        <v>973</v>
      </c>
      <c r="N780" s="0" t="s">
        <v>974</v>
      </c>
      <c r="O780" s="0" t="s">
        <v>975</v>
      </c>
      <c r="P780" s="0" t="s">
        <v>976</v>
      </c>
      <c r="Q780" s="0" t="s">
        <v>1169</v>
      </c>
      <c r="R780" s="0" t="s">
        <v>970</v>
      </c>
      <c r="S780" s="0" t="s">
        <v>974</v>
      </c>
    </row>
    <row r="781" customFormat="false" ht="13.8" hidden="false" customHeight="false" outlineLevel="0" collapsed="false">
      <c r="A781" s="0" t="n">
        <v>2537</v>
      </c>
      <c r="B781" s="0" t="s">
        <v>4758</v>
      </c>
      <c r="C781" s="0" t="s">
        <v>4759</v>
      </c>
      <c r="E781" s="0" t="n">
        <f aca="false">IF(J780=J781,E780+10,0)</f>
        <v>10</v>
      </c>
      <c r="F781" s="0" t="s">
        <v>4760</v>
      </c>
      <c r="G781" s="0" t="s">
        <v>4761</v>
      </c>
      <c r="H781" s="0" t="s">
        <v>4762</v>
      </c>
      <c r="I781" s="0" t="s">
        <v>4763</v>
      </c>
      <c r="J781" s="0" t="s">
        <v>3309</v>
      </c>
      <c r="K781" s="0" t="s">
        <v>971</v>
      </c>
      <c r="L781" s="0" t="s">
        <v>973</v>
      </c>
      <c r="M781" s="0" t="s">
        <v>973</v>
      </c>
      <c r="N781" s="0" t="s">
        <v>974</v>
      </c>
      <c r="O781" s="0" t="s">
        <v>975</v>
      </c>
      <c r="P781" s="0" t="s">
        <v>976</v>
      </c>
      <c r="Q781" s="0" t="s">
        <v>974</v>
      </c>
      <c r="R781" s="0" t="s">
        <v>970</v>
      </c>
      <c r="S781" s="0" t="s">
        <v>974</v>
      </c>
    </row>
    <row r="782" customFormat="false" ht="13.8" hidden="false" customHeight="false" outlineLevel="0" collapsed="false">
      <c r="A782" s="0" t="n">
        <v>2538</v>
      </c>
      <c r="B782" s="0" t="s">
        <v>4764</v>
      </c>
      <c r="C782" s="0" t="s">
        <v>4765</v>
      </c>
      <c r="E782" s="0" t="n">
        <f aca="false">IF(J781=J782,E781+10,0)</f>
        <v>20</v>
      </c>
      <c r="F782" s="0" t="s">
        <v>4766</v>
      </c>
      <c r="G782" s="0" t="s">
        <v>4767</v>
      </c>
      <c r="H782" s="0" t="s">
        <v>4768</v>
      </c>
      <c r="I782" s="0" t="s">
        <v>4769</v>
      </c>
      <c r="J782" s="0" t="s">
        <v>3309</v>
      </c>
      <c r="K782" s="0" t="s">
        <v>971</v>
      </c>
      <c r="L782" s="0" t="s">
        <v>1458</v>
      </c>
      <c r="M782" s="0" t="s">
        <v>1459</v>
      </c>
      <c r="N782" s="0" t="s">
        <v>974</v>
      </c>
      <c r="O782" s="0" t="s">
        <v>975</v>
      </c>
      <c r="P782" s="0" t="s">
        <v>976</v>
      </c>
      <c r="Q782" s="0" t="s">
        <v>974</v>
      </c>
      <c r="R782" s="0" t="s">
        <v>970</v>
      </c>
      <c r="S782" s="0" t="s">
        <v>974</v>
      </c>
    </row>
    <row r="783" customFormat="false" ht="13.8" hidden="false" customHeight="false" outlineLevel="0" collapsed="false">
      <c r="A783" s="0" t="n">
        <v>2539</v>
      </c>
      <c r="B783" s="0" t="s">
        <v>4770</v>
      </c>
      <c r="C783" s="0" t="s">
        <v>4771</v>
      </c>
      <c r="E783" s="0" t="n">
        <f aca="false">IF(J782=J783,E782+10,0)</f>
        <v>30</v>
      </c>
      <c r="F783" s="0" t="s">
        <v>4772</v>
      </c>
      <c r="G783" s="0" t="s">
        <v>4773</v>
      </c>
      <c r="H783" s="0" t="s">
        <v>4774</v>
      </c>
      <c r="I783" s="0" t="s">
        <v>969</v>
      </c>
      <c r="J783" s="0" t="s">
        <v>3309</v>
      </c>
      <c r="K783" s="0" t="s">
        <v>971</v>
      </c>
      <c r="L783" s="0" t="s">
        <v>1459</v>
      </c>
      <c r="M783" s="0" t="s">
        <v>973</v>
      </c>
      <c r="N783" s="0" t="s">
        <v>974</v>
      </c>
      <c r="O783" s="0" t="s">
        <v>975</v>
      </c>
      <c r="P783" s="0" t="s">
        <v>976</v>
      </c>
      <c r="Q783" s="0" t="s">
        <v>974</v>
      </c>
      <c r="R783" s="0" t="s">
        <v>970</v>
      </c>
      <c r="S783" s="0" t="s">
        <v>974</v>
      </c>
    </row>
    <row r="784" customFormat="false" ht="13.8" hidden="false" customHeight="false" outlineLevel="0" collapsed="false">
      <c r="A784" s="0" t="n">
        <v>2540</v>
      </c>
      <c r="B784" s="0" t="s">
        <v>4775</v>
      </c>
      <c r="C784" s="0" t="s">
        <v>1171</v>
      </c>
      <c r="E784" s="0" t="n">
        <f aca="false">IF(J783=J784,E783+10,0)</f>
        <v>40</v>
      </c>
      <c r="F784" s="0" t="s">
        <v>4776</v>
      </c>
      <c r="G784" s="0" t="s">
        <v>4777</v>
      </c>
      <c r="H784" s="0" t="s">
        <v>4778</v>
      </c>
      <c r="I784" s="0" t="s">
        <v>1175</v>
      </c>
      <c r="J784" s="0" t="s">
        <v>3309</v>
      </c>
      <c r="K784" s="0" t="s">
        <v>971</v>
      </c>
      <c r="L784" s="0" t="s">
        <v>1046</v>
      </c>
      <c r="M784" s="0" t="s">
        <v>973</v>
      </c>
      <c r="N784" s="0" t="s">
        <v>974</v>
      </c>
      <c r="O784" s="0" t="s">
        <v>975</v>
      </c>
      <c r="P784" s="0" t="s">
        <v>976</v>
      </c>
      <c r="Q784" s="0" t="s">
        <v>974</v>
      </c>
      <c r="R784" s="0" t="s">
        <v>970</v>
      </c>
      <c r="S784" s="0" t="s">
        <v>974</v>
      </c>
    </row>
    <row r="785" customFormat="false" ht="13.8" hidden="false" customHeight="false" outlineLevel="0" collapsed="false">
      <c r="A785" s="0" t="n">
        <v>2541</v>
      </c>
      <c r="B785" s="0" t="s">
        <v>4779</v>
      </c>
      <c r="C785" s="0" t="s">
        <v>4780</v>
      </c>
      <c r="E785" s="0" t="n">
        <f aca="false">IF(J784=J785,E784+10,0)</f>
        <v>0</v>
      </c>
      <c r="F785" s="0" t="s">
        <v>4781</v>
      </c>
      <c r="G785" s="0" t="s">
        <v>4782</v>
      </c>
      <c r="H785" s="0" t="s">
        <v>4783</v>
      </c>
      <c r="I785" s="0" t="s">
        <v>989</v>
      </c>
      <c r="J785" s="0" t="s">
        <v>1238</v>
      </c>
      <c r="K785" s="0" t="s">
        <v>971</v>
      </c>
      <c r="L785" s="0" t="s">
        <v>1082</v>
      </c>
      <c r="M785" s="0" t="s">
        <v>973</v>
      </c>
      <c r="N785" s="0" t="s">
        <v>974</v>
      </c>
      <c r="O785" s="0" t="s">
        <v>975</v>
      </c>
      <c r="P785" s="0" t="s">
        <v>976</v>
      </c>
      <c r="Q785" s="0" t="s">
        <v>974</v>
      </c>
      <c r="R785" s="0" t="s">
        <v>970</v>
      </c>
      <c r="S785" s="0" t="s">
        <v>974</v>
      </c>
    </row>
    <row r="786" customFormat="false" ht="13.8" hidden="false" customHeight="false" outlineLevel="0" collapsed="false">
      <c r="A786" s="0" t="n">
        <v>2542</v>
      </c>
      <c r="B786" s="0" t="s">
        <v>4784</v>
      </c>
      <c r="C786" s="0" t="s">
        <v>4572</v>
      </c>
      <c r="E786" s="0" t="n">
        <f aca="false">IF(J785=J786,E785+10,0)</f>
        <v>10</v>
      </c>
      <c r="F786" s="0" t="s">
        <v>4785</v>
      </c>
      <c r="G786" s="0" t="s">
        <v>4786</v>
      </c>
      <c r="H786" s="0" t="s">
        <v>4787</v>
      </c>
      <c r="I786" s="0" t="s">
        <v>982</v>
      </c>
      <c r="J786" s="0" t="s">
        <v>1238</v>
      </c>
      <c r="K786" s="0" t="s">
        <v>971</v>
      </c>
      <c r="L786" s="0" t="s">
        <v>1082</v>
      </c>
      <c r="M786" s="0" t="s">
        <v>973</v>
      </c>
      <c r="N786" s="0" t="s">
        <v>974</v>
      </c>
      <c r="O786" s="0" t="s">
        <v>975</v>
      </c>
      <c r="P786" s="0" t="s">
        <v>976</v>
      </c>
      <c r="Q786" s="0" t="s">
        <v>974</v>
      </c>
      <c r="R786" s="0" t="s">
        <v>970</v>
      </c>
      <c r="S786" s="0" t="s">
        <v>974</v>
      </c>
    </row>
    <row r="787" customFormat="false" ht="13.8" hidden="false" customHeight="false" outlineLevel="0" collapsed="false">
      <c r="A787" s="0" t="n">
        <v>2543</v>
      </c>
      <c r="B787" s="0" t="s">
        <v>4788</v>
      </c>
      <c r="C787" s="0" t="s">
        <v>4789</v>
      </c>
      <c r="E787" s="0" t="n">
        <f aca="false">IF(J786=J787,E786+10,0)</f>
        <v>20</v>
      </c>
      <c r="F787" s="0" t="s">
        <v>4790</v>
      </c>
      <c r="G787" s="0" t="s">
        <v>4791</v>
      </c>
      <c r="H787" s="0" t="s">
        <v>4792</v>
      </c>
      <c r="I787" s="0" t="s">
        <v>1201</v>
      </c>
      <c r="J787" s="0" t="s">
        <v>1238</v>
      </c>
      <c r="K787" s="0" t="s">
        <v>971</v>
      </c>
      <c r="L787" s="0" t="s">
        <v>974</v>
      </c>
      <c r="M787" s="0" t="s">
        <v>973</v>
      </c>
      <c r="N787" s="0" t="s">
        <v>974</v>
      </c>
      <c r="O787" s="0" t="s">
        <v>975</v>
      </c>
      <c r="P787" s="0" t="s">
        <v>976</v>
      </c>
      <c r="Q787" s="0" t="s">
        <v>1737</v>
      </c>
      <c r="R787" s="0" t="s">
        <v>970</v>
      </c>
      <c r="S787" s="0" t="s">
        <v>974</v>
      </c>
    </row>
    <row r="788" customFormat="false" ht="13.8" hidden="false" customHeight="false" outlineLevel="0" collapsed="false">
      <c r="A788" s="0" t="n">
        <v>2544</v>
      </c>
      <c r="B788" s="0" t="s">
        <v>4793</v>
      </c>
      <c r="C788" s="0" t="s">
        <v>3990</v>
      </c>
      <c r="E788" s="0" t="n">
        <f aca="false">IF(J787=J788,E787+10,0)</f>
        <v>30</v>
      </c>
      <c r="F788" s="0" t="s">
        <v>4794</v>
      </c>
      <c r="G788" s="0" t="s">
        <v>4795</v>
      </c>
      <c r="H788" s="0" t="s">
        <v>4796</v>
      </c>
      <c r="I788" s="0" t="s">
        <v>1033</v>
      </c>
      <c r="J788" s="0" t="s">
        <v>1238</v>
      </c>
      <c r="K788" s="0" t="s">
        <v>971</v>
      </c>
      <c r="L788" s="0" t="s">
        <v>974</v>
      </c>
      <c r="M788" s="0" t="s">
        <v>973</v>
      </c>
      <c r="N788" s="0" t="s">
        <v>974</v>
      </c>
      <c r="O788" s="0" t="s">
        <v>975</v>
      </c>
      <c r="P788" s="0" t="s">
        <v>976</v>
      </c>
      <c r="Q788" s="0" t="s">
        <v>970</v>
      </c>
      <c r="R788" s="0" t="s">
        <v>1046</v>
      </c>
      <c r="S788" s="0" t="s">
        <v>974</v>
      </c>
    </row>
    <row r="789" customFormat="false" ht="13.8" hidden="false" customHeight="false" outlineLevel="0" collapsed="false">
      <c r="A789" s="0" t="n">
        <v>2545</v>
      </c>
      <c r="B789" s="0" t="s">
        <v>4797</v>
      </c>
      <c r="C789" s="0" t="s">
        <v>4643</v>
      </c>
      <c r="E789" s="0" t="n">
        <f aca="false">IF(J788=J789,E788+10,0)</f>
        <v>40</v>
      </c>
      <c r="F789" s="0" t="s">
        <v>4798</v>
      </c>
      <c r="G789" s="0" t="s">
        <v>4799</v>
      </c>
      <c r="H789" s="0" t="s">
        <v>4800</v>
      </c>
      <c r="I789" s="0" t="s">
        <v>1065</v>
      </c>
      <c r="J789" s="0" t="s">
        <v>1238</v>
      </c>
      <c r="K789" s="0" t="s">
        <v>971</v>
      </c>
      <c r="L789" s="0" t="s">
        <v>974</v>
      </c>
      <c r="M789" s="0" t="s">
        <v>973</v>
      </c>
      <c r="N789" s="0" t="s">
        <v>974</v>
      </c>
      <c r="O789" s="0" t="s">
        <v>975</v>
      </c>
      <c r="P789" s="0" t="s">
        <v>976</v>
      </c>
      <c r="Q789" s="0" t="s">
        <v>1059</v>
      </c>
      <c r="R789" s="0" t="s">
        <v>970</v>
      </c>
      <c r="S789" s="0" t="s">
        <v>974</v>
      </c>
    </row>
    <row r="790" customFormat="false" ht="13.8" hidden="false" customHeight="false" outlineLevel="0" collapsed="false">
      <c r="A790" s="0" t="n">
        <v>2546</v>
      </c>
      <c r="B790" s="0" t="s">
        <v>4801</v>
      </c>
      <c r="C790" s="0" t="s">
        <v>4802</v>
      </c>
      <c r="E790" s="0" t="n">
        <f aca="false">IF(J789=J790,E789+10,0)</f>
        <v>50</v>
      </c>
      <c r="F790" s="0" t="s">
        <v>4803</v>
      </c>
      <c r="G790" s="0" t="s">
        <v>4804</v>
      </c>
      <c r="H790" s="0" t="s">
        <v>4805</v>
      </c>
      <c r="I790" s="0" t="s">
        <v>970</v>
      </c>
      <c r="J790" s="0" t="s">
        <v>1238</v>
      </c>
      <c r="K790" s="0" t="s">
        <v>971</v>
      </c>
      <c r="L790" s="0" t="s">
        <v>974</v>
      </c>
      <c r="M790" s="0" t="s">
        <v>973</v>
      </c>
      <c r="N790" s="0" t="s">
        <v>974</v>
      </c>
      <c r="O790" s="0" t="s">
        <v>975</v>
      </c>
      <c r="P790" s="0" t="s">
        <v>976</v>
      </c>
      <c r="Q790" s="0" t="s">
        <v>970</v>
      </c>
      <c r="R790" s="0" t="s">
        <v>1046</v>
      </c>
      <c r="S790" s="0" t="s">
        <v>974</v>
      </c>
    </row>
    <row r="791" customFormat="false" ht="13.8" hidden="false" customHeight="false" outlineLevel="0" collapsed="false">
      <c r="A791" s="0" t="n">
        <v>2547</v>
      </c>
      <c r="B791" s="0" t="s">
        <v>4806</v>
      </c>
      <c r="C791" s="0" t="s">
        <v>4807</v>
      </c>
      <c r="E791" s="0" t="n">
        <f aca="false">IF(J790=J791,E790+10,0)</f>
        <v>60</v>
      </c>
      <c r="F791" s="0" t="s">
        <v>4808</v>
      </c>
      <c r="G791" s="0" t="s">
        <v>4809</v>
      </c>
      <c r="H791" s="0" t="s">
        <v>4810</v>
      </c>
      <c r="I791" s="0" t="s">
        <v>1711</v>
      </c>
      <c r="J791" s="0" t="s">
        <v>1238</v>
      </c>
      <c r="K791" s="0" t="s">
        <v>971</v>
      </c>
      <c r="L791" s="0" t="s">
        <v>973</v>
      </c>
      <c r="M791" s="0" t="s">
        <v>973</v>
      </c>
      <c r="N791" s="0" t="s">
        <v>974</v>
      </c>
      <c r="O791" s="0" t="s">
        <v>975</v>
      </c>
      <c r="P791" s="0" t="s">
        <v>976</v>
      </c>
      <c r="Q791" s="0" t="s">
        <v>974</v>
      </c>
      <c r="R791" s="0" t="s">
        <v>970</v>
      </c>
      <c r="S791" s="0" t="s">
        <v>974</v>
      </c>
    </row>
    <row r="792" customFormat="false" ht="13.8" hidden="false" customHeight="false" outlineLevel="0" collapsed="false">
      <c r="A792" s="0" t="n">
        <v>2548</v>
      </c>
      <c r="B792" s="0" t="s">
        <v>4811</v>
      </c>
      <c r="C792" s="0" t="s">
        <v>4812</v>
      </c>
      <c r="E792" s="0" t="n">
        <f aca="false">IF(J791=J792,E791+10,0)</f>
        <v>70</v>
      </c>
      <c r="F792" s="0" t="s">
        <v>4813</v>
      </c>
      <c r="G792" s="0" t="s">
        <v>4814</v>
      </c>
      <c r="H792" s="0" t="s">
        <v>4815</v>
      </c>
      <c r="I792" s="0" t="s">
        <v>1169</v>
      </c>
      <c r="J792" s="0" t="s">
        <v>1238</v>
      </c>
      <c r="K792" s="0" t="s">
        <v>971</v>
      </c>
      <c r="L792" s="0" t="s">
        <v>973</v>
      </c>
      <c r="M792" s="0" t="s">
        <v>973</v>
      </c>
      <c r="N792" s="0" t="s">
        <v>974</v>
      </c>
      <c r="O792" s="0" t="s">
        <v>975</v>
      </c>
      <c r="P792" s="0" t="s">
        <v>976</v>
      </c>
      <c r="Q792" s="0" t="s">
        <v>974</v>
      </c>
      <c r="R792" s="0" t="s">
        <v>970</v>
      </c>
      <c r="S792" s="0" t="s">
        <v>974</v>
      </c>
    </row>
    <row r="793" customFormat="false" ht="13.8" hidden="false" customHeight="false" outlineLevel="0" collapsed="false">
      <c r="A793" s="0" t="n">
        <v>2549</v>
      </c>
      <c r="B793" s="0" t="s">
        <v>4816</v>
      </c>
      <c r="C793" s="0" t="s">
        <v>1420</v>
      </c>
      <c r="E793" s="0" t="n">
        <f aca="false">IF(J792=J793,E792+10,0)</f>
        <v>80</v>
      </c>
      <c r="F793" s="0" t="s">
        <v>4817</v>
      </c>
      <c r="G793" s="0" t="s">
        <v>4818</v>
      </c>
      <c r="H793" s="0" t="s">
        <v>4819</v>
      </c>
      <c r="I793" s="0" t="s">
        <v>1100</v>
      </c>
      <c r="J793" s="0" t="s">
        <v>1238</v>
      </c>
      <c r="K793" s="0" t="s">
        <v>971</v>
      </c>
      <c r="L793" s="0" t="s">
        <v>974</v>
      </c>
      <c r="M793" s="0" t="s">
        <v>973</v>
      </c>
      <c r="N793" s="0" t="s">
        <v>974</v>
      </c>
      <c r="O793" s="0" t="s">
        <v>975</v>
      </c>
      <c r="P793" s="0" t="s">
        <v>976</v>
      </c>
      <c r="Q793" s="0" t="s">
        <v>996</v>
      </c>
      <c r="R793" s="0" t="s">
        <v>1046</v>
      </c>
      <c r="S793" s="0" t="s">
        <v>974</v>
      </c>
    </row>
    <row r="794" customFormat="false" ht="13.8" hidden="false" customHeight="false" outlineLevel="0" collapsed="false">
      <c r="A794" s="0" t="n">
        <v>2550</v>
      </c>
      <c r="B794" s="0" t="s">
        <v>4820</v>
      </c>
      <c r="C794" s="0" t="s">
        <v>4018</v>
      </c>
      <c r="E794" s="0" t="n">
        <f aca="false">IF(J793=J794,E793+10,0)</f>
        <v>90</v>
      </c>
      <c r="F794" s="0" t="s">
        <v>4821</v>
      </c>
      <c r="G794" s="0" t="s">
        <v>4822</v>
      </c>
      <c r="H794" s="0" t="s">
        <v>4823</v>
      </c>
      <c r="I794" s="0" t="s">
        <v>1180</v>
      </c>
      <c r="J794" s="0" t="s">
        <v>1238</v>
      </c>
      <c r="K794" s="0" t="s">
        <v>971</v>
      </c>
      <c r="L794" s="0" t="s">
        <v>974</v>
      </c>
      <c r="M794" s="0" t="s">
        <v>973</v>
      </c>
      <c r="N794" s="0" t="s">
        <v>974</v>
      </c>
      <c r="O794" s="0" t="s">
        <v>975</v>
      </c>
      <c r="P794" s="0" t="s">
        <v>976</v>
      </c>
      <c r="Q794" s="0" t="s">
        <v>1812</v>
      </c>
      <c r="R794" s="0" t="s">
        <v>1046</v>
      </c>
      <c r="S794" s="0" t="s">
        <v>974</v>
      </c>
    </row>
    <row r="795" customFormat="false" ht="13.8" hidden="false" customHeight="false" outlineLevel="0" collapsed="false">
      <c r="A795" s="0" t="n">
        <v>2551</v>
      </c>
      <c r="B795" s="0" t="s">
        <v>4824</v>
      </c>
      <c r="C795" s="0" t="s">
        <v>4492</v>
      </c>
      <c r="E795" s="0" t="n">
        <f aca="false">IF(J794=J795,E794+10,0)</f>
        <v>100</v>
      </c>
      <c r="F795" s="0" t="s">
        <v>4825</v>
      </c>
      <c r="G795" s="0" t="s">
        <v>4826</v>
      </c>
      <c r="H795" s="0" t="s">
        <v>4827</v>
      </c>
      <c r="I795" s="0" t="s">
        <v>1666</v>
      </c>
      <c r="J795" s="0" t="s">
        <v>1238</v>
      </c>
      <c r="K795" s="0" t="s">
        <v>971</v>
      </c>
      <c r="L795" s="0" t="s">
        <v>974</v>
      </c>
      <c r="M795" s="0" t="s">
        <v>973</v>
      </c>
      <c r="N795" s="0" t="s">
        <v>974</v>
      </c>
      <c r="O795" s="0" t="s">
        <v>975</v>
      </c>
      <c r="P795" s="0" t="s">
        <v>976</v>
      </c>
      <c r="Q795" s="0" t="s">
        <v>1968</v>
      </c>
      <c r="R795" s="0" t="s">
        <v>1046</v>
      </c>
      <c r="S795" s="0" t="s">
        <v>974</v>
      </c>
    </row>
    <row r="796" customFormat="false" ht="13.8" hidden="false" customHeight="false" outlineLevel="0" collapsed="false">
      <c r="A796" s="0" t="n">
        <v>2552</v>
      </c>
      <c r="B796" s="0" t="s">
        <v>4828</v>
      </c>
      <c r="C796" s="0" t="s">
        <v>4220</v>
      </c>
      <c r="E796" s="0" t="n">
        <f aca="false">IF(J795=J796,E795+10,0)</f>
        <v>110</v>
      </c>
      <c r="F796" s="0" t="s">
        <v>4829</v>
      </c>
      <c r="G796" s="0" t="s">
        <v>4830</v>
      </c>
      <c r="H796" s="0" t="s">
        <v>4831</v>
      </c>
      <c r="I796" s="0" t="s">
        <v>1014</v>
      </c>
      <c r="J796" s="0" t="s">
        <v>1238</v>
      </c>
      <c r="K796" s="0" t="s">
        <v>971</v>
      </c>
      <c r="L796" s="0" t="s">
        <v>974</v>
      </c>
      <c r="M796" s="0" t="s">
        <v>973</v>
      </c>
      <c r="N796" s="0" t="s">
        <v>974</v>
      </c>
      <c r="O796" s="0" t="s">
        <v>975</v>
      </c>
      <c r="P796" s="0" t="s">
        <v>976</v>
      </c>
      <c r="Q796" s="0" t="s">
        <v>1232</v>
      </c>
      <c r="R796" s="0" t="s">
        <v>1046</v>
      </c>
      <c r="S796" s="0" t="s">
        <v>974</v>
      </c>
    </row>
    <row r="797" customFormat="false" ht="13.8" hidden="false" customHeight="false" outlineLevel="0" collapsed="false">
      <c r="A797" s="0" t="n">
        <v>2553</v>
      </c>
      <c r="B797" s="0" t="s">
        <v>4832</v>
      </c>
      <c r="C797" s="0" t="s">
        <v>4028</v>
      </c>
      <c r="E797" s="0" t="n">
        <f aca="false">IF(J796=J797,E796+10,0)</f>
        <v>120</v>
      </c>
      <c r="F797" s="0" t="s">
        <v>4833</v>
      </c>
      <c r="G797" s="0" t="s">
        <v>4834</v>
      </c>
      <c r="H797" s="0" t="s">
        <v>4835</v>
      </c>
      <c r="I797" s="0" t="s">
        <v>1587</v>
      </c>
      <c r="J797" s="0" t="s">
        <v>1238</v>
      </c>
      <c r="K797" s="0" t="s">
        <v>971</v>
      </c>
      <c r="L797" s="0" t="s">
        <v>974</v>
      </c>
      <c r="M797" s="0" t="s">
        <v>973</v>
      </c>
      <c r="N797" s="0" t="s">
        <v>974</v>
      </c>
      <c r="O797" s="0" t="s">
        <v>975</v>
      </c>
      <c r="P797" s="0" t="s">
        <v>976</v>
      </c>
      <c r="Q797" s="0" t="s">
        <v>1066</v>
      </c>
      <c r="R797" s="0" t="s">
        <v>1046</v>
      </c>
      <c r="S797" s="0" t="s">
        <v>974</v>
      </c>
    </row>
    <row r="798" customFormat="false" ht="13.8" hidden="false" customHeight="false" outlineLevel="0" collapsed="false">
      <c r="A798" s="0" t="n">
        <v>2554</v>
      </c>
      <c r="B798" s="0" t="s">
        <v>4836</v>
      </c>
      <c r="C798" s="0" t="s">
        <v>4270</v>
      </c>
      <c r="E798" s="0" t="n">
        <f aca="false">IF(J797=J798,E797+10,0)</f>
        <v>130</v>
      </c>
      <c r="F798" s="0" t="s">
        <v>4837</v>
      </c>
      <c r="G798" s="0" t="s">
        <v>4838</v>
      </c>
      <c r="H798" s="0" t="s">
        <v>4839</v>
      </c>
      <c r="I798" s="0" t="s">
        <v>1058</v>
      </c>
      <c r="J798" s="0" t="s">
        <v>1238</v>
      </c>
      <c r="K798" s="0" t="s">
        <v>971</v>
      </c>
      <c r="L798" s="0" t="s">
        <v>974</v>
      </c>
      <c r="M798" s="0" t="s">
        <v>973</v>
      </c>
      <c r="N798" s="0" t="s">
        <v>974</v>
      </c>
      <c r="O798" s="0" t="s">
        <v>975</v>
      </c>
      <c r="P798" s="0" t="s">
        <v>976</v>
      </c>
      <c r="Q798" s="0" t="s">
        <v>3261</v>
      </c>
      <c r="R798" s="0" t="s">
        <v>1144</v>
      </c>
      <c r="S798" s="0" t="s">
        <v>974</v>
      </c>
    </row>
    <row r="799" customFormat="false" ht="13.8" hidden="false" customHeight="false" outlineLevel="0" collapsed="false">
      <c r="A799" s="0" t="n">
        <v>2555</v>
      </c>
      <c r="B799" s="0" t="s">
        <v>4840</v>
      </c>
      <c r="C799" s="0" t="s">
        <v>4417</v>
      </c>
      <c r="E799" s="0" t="n">
        <f aca="false">IF(J798=J799,E798+10,0)</f>
        <v>0</v>
      </c>
      <c r="F799" s="0" t="s">
        <v>4841</v>
      </c>
      <c r="G799" s="0" t="s">
        <v>4842</v>
      </c>
      <c r="H799" s="0" t="s">
        <v>4843</v>
      </c>
      <c r="I799" s="0" t="s">
        <v>1052</v>
      </c>
      <c r="J799" s="0" t="s">
        <v>1883</v>
      </c>
      <c r="K799" s="0" t="s">
        <v>971</v>
      </c>
      <c r="L799" s="0" t="s">
        <v>975</v>
      </c>
      <c r="M799" s="0" t="s">
        <v>973</v>
      </c>
      <c r="N799" s="0" t="s">
        <v>974</v>
      </c>
      <c r="O799" s="0" t="s">
        <v>975</v>
      </c>
      <c r="P799" s="0" t="s">
        <v>976</v>
      </c>
      <c r="Q799" s="0" t="s">
        <v>974</v>
      </c>
      <c r="R799" s="0" t="s">
        <v>970</v>
      </c>
      <c r="S799" s="0" t="s">
        <v>974</v>
      </c>
    </row>
    <row r="800" customFormat="false" ht="13.8" hidden="false" customHeight="false" outlineLevel="0" collapsed="false">
      <c r="A800" s="0" t="n">
        <v>2556</v>
      </c>
      <c r="B800" s="0" t="s">
        <v>4844</v>
      </c>
      <c r="C800" s="0" t="s">
        <v>4397</v>
      </c>
      <c r="E800" s="0" t="n">
        <f aca="false">IF(J799=J800,E799+10,0)</f>
        <v>10</v>
      </c>
      <c r="F800" s="0" t="s">
        <v>4845</v>
      </c>
      <c r="G800" s="0" t="s">
        <v>4846</v>
      </c>
      <c r="H800" s="0" t="s">
        <v>4847</v>
      </c>
      <c r="I800" s="0" t="s">
        <v>2798</v>
      </c>
      <c r="J800" s="0" t="s">
        <v>1883</v>
      </c>
      <c r="K800" s="0" t="s">
        <v>971</v>
      </c>
      <c r="L800" s="0" t="s">
        <v>970</v>
      </c>
      <c r="M800" s="0" t="s">
        <v>973</v>
      </c>
      <c r="N800" s="0" t="s">
        <v>974</v>
      </c>
      <c r="O800" s="0" t="s">
        <v>975</v>
      </c>
      <c r="P800" s="0" t="s">
        <v>976</v>
      </c>
      <c r="Q800" s="0" t="s">
        <v>974</v>
      </c>
      <c r="R800" s="0" t="s">
        <v>970</v>
      </c>
      <c r="S800" s="0" t="s">
        <v>974</v>
      </c>
    </row>
    <row r="801" customFormat="false" ht="13.8" hidden="false" customHeight="false" outlineLevel="0" collapsed="false">
      <c r="A801" s="0" t="n">
        <v>2557</v>
      </c>
      <c r="B801" s="0" t="s">
        <v>4848</v>
      </c>
      <c r="C801" s="0" t="s">
        <v>4111</v>
      </c>
      <c r="E801" s="0" t="n">
        <f aca="false">IF(J800=J801,E800+10,0)</f>
        <v>20</v>
      </c>
      <c r="F801" s="0" t="s">
        <v>4849</v>
      </c>
      <c r="G801" s="0" t="s">
        <v>4850</v>
      </c>
      <c r="H801" s="0" t="s">
        <v>4851</v>
      </c>
      <c r="I801" s="0" t="s">
        <v>1002</v>
      </c>
      <c r="J801" s="0" t="s">
        <v>1883</v>
      </c>
      <c r="K801" s="0" t="s">
        <v>971</v>
      </c>
      <c r="L801" s="0" t="s">
        <v>970</v>
      </c>
      <c r="M801" s="0" t="s">
        <v>973</v>
      </c>
      <c r="N801" s="0" t="s">
        <v>974</v>
      </c>
      <c r="O801" s="0" t="s">
        <v>975</v>
      </c>
      <c r="P801" s="0" t="s">
        <v>976</v>
      </c>
      <c r="Q801" s="0" t="s">
        <v>974</v>
      </c>
      <c r="R801" s="0" t="s">
        <v>970</v>
      </c>
      <c r="S801" s="0" t="s">
        <v>974</v>
      </c>
    </row>
    <row r="802" customFormat="false" ht="13.8" hidden="false" customHeight="false" outlineLevel="0" collapsed="false">
      <c r="A802" s="0" t="n">
        <v>2558</v>
      </c>
      <c r="B802" s="0" t="s">
        <v>4852</v>
      </c>
      <c r="C802" s="0" t="s">
        <v>4853</v>
      </c>
      <c r="E802" s="0" t="n">
        <f aca="false">IF(J801=J802,E801+10,0)</f>
        <v>30</v>
      </c>
      <c r="F802" s="0" t="s">
        <v>4854</v>
      </c>
      <c r="G802" s="0" t="s">
        <v>4855</v>
      </c>
      <c r="H802" s="0" t="s">
        <v>4856</v>
      </c>
      <c r="I802" s="0" t="s">
        <v>1505</v>
      </c>
      <c r="J802" s="0" t="s">
        <v>1883</v>
      </c>
      <c r="K802" s="0" t="s">
        <v>971</v>
      </c>
      <c r="L802" s="0" t="s">
        <v>970</v>
      </c>
      <c r="M802" s="0" t="s">
        <v>973</v>
      </c>
      <c r="N802" s="0" t="s">
        <v>974</v>
      </c>
      <c r="O802" s="0" t="s">
        <v>975</v>
      </c>
      <c r="P802" s="0" t="s">
        <v>976</v>
      </c>
      <c r="Q802" s="0" t="s">
        <v>974</v>
      </c>
      <c r="R802" s="0" t="s">
        <v>970</v>
      </c>
      <c r="S802" s="0" t="s">
        <v>974</v>
      </c>
    </row>
    <row r="803" customFormat="false" ht="13.8" hidden="false" customHeight="false" outlineLevel="0" collapsed="false">
      <c r="A803" s="0" t="n">
        <v>2559</v>
      </c>
      <c r="B803" s="0" t="s">
        <v>4857</v>
      </c>
      <c r="C803" s="0" t="s">
        <v>4780</v>
      </c>
      <c r="E803" s="0" t="n">
        <f aca="false">IF(J802=J803,E802+10,0)</f>
        <v>40</v>
      </c>
      <c r="F803" s="0" t="s">
        <v>4858</v>
      </c>
      <c r="G803" s="0" t="s">
        <v>4859</v>
      </c>
      <c r="H803" s="0" t="s">
        <v>4860</v>
      </c>
      <c r="I803" s="0" t="s">
        <v>989</v>
      </c>
      <c r="J803" s="0" t="s">
        <v>1883</v>
      </c>
      <c r="K803" s="0" t="s">
        <v>971</v>
      </c>
      <c r="L803" s="0" t="s">
        <v>973</v>
      </c>
      <c r="M803" s="0" t="s">
        <v>973</v>
      </c>
      <c r="N803" s="0" t="s">
        <v>974</v>
      </c>
      <c r="O803" s="0" t="s">
        <v>975</v>
      </c>
      <c r="P803" s="0" t="s">
        <v>976</v>
      </c>
      <c r="Q803" s="0" t="s">
        <v>974</v>
      </c>
      <c r="R803" s="0" t="s">
        <v>970</v>
      </c>
      <c r="S803" s="0" t="s">
        <v>974</v>
      </c>
    </row>
    <row r="804" customFormat="false" ht="13.8" hidden="false" customHeight="false" outlineLevel="0" collapsed="false">
      <c r="A804" s="0" t="n">
        <v>2560</v>
      </c>
      <c r="B804" s="0" t="s">
        <v>4861</v>
      </c>
      <c r="C804" s="0" t="s">
        <v>4572</v>
      </c>
      <c r="E804" s="0" t="n">
        <f aca="false">IF(J803=J804,E803+10,0)</f>
        <v>50</v>
      </c>
      <c r="F804" s="0" t="s">
        <v>4862</v>
      </c>
      <c r="G804" s="0" t="s">
        <v>4863</v>
      </c>
      <c r="H804" s="0" t="s">
        <v>4864</v>
      </c>
      <c r="I804" s="0" t="s">
        <v>982</v>
      </c>
      <c r="J804" s="0" t="s">
        <v>1883</v>
      </c>
      <c r="K804" s="0" t="s">
        <v>971</v>
      </c>
      <c r="L804" s="0" t="s">
        <v>973</v>
      </c>
      <c r="M804" s="0" t="s">
        <v>973</v>
      </c>
      <c r="N804" s="0" t="s">
        <v>974</v>
      </c>
      <c r="O804" s="0" t="s">
        <v>975</v>
      </c>
      <c r="P804" s="0" t="s">
        <v>976</v>
      </c>
      <c r="Q804" s="0" t="s">
        <v>974</v>
      </c>
      <c r="R804" s="0" t="s">
        <v>970</v>
      </c>
      <c r="S804" s="0" t="s">
        <v>974</v>
      </c>
    </row>
    <row r="805" customFormat="false" ht="13.8" hidden="false" customHeight="false" outlineLevel="0" collapsed="false">
      <c r="A805" s="0" t="n">
        <v>2561</v>
      </c>
      <c r="B805" s="0" t="s">
        <v>4865</v>
      </c>
      <c r="C805" s="0" t="s">
        <v>4866</v>
      </c>
      <c r="E805" s="0" t="n">
        <f aca="false">IF(J804=J805,E804+10,0)</f>
        <v>60</v>
      </c>
      <c r="F805" s="0" t="s">
        <v>4867</v>
      </c>
      <c r="G805" s="0" t="s">
        <v>4868</v>
      </c>
      <c r="H805" s="0" t="s">
        <v>4869</v>
      </c>
      <c r="I805" s="0" t="s">
        <v>1262</v>
      </c>
      <c r="J805" s="0" t="s">
        <v>1883</v>
      </c>
      <c r="K805" s="0" t="s">
        <v>971</v>
      </c>
      <c r="L805" s="0" t="s">
        <v>1082</v>
      </c>
      <c r="M805" s="0" t="s">
        <v>973</v>
      </c>
      <c r="N805" s="0" t="s">
        <v>974</v>
      </c>
      <c r="O805" s="0" t="s">
        <v>975</v>
      </c>
      <c r="P805" s="0" t="s">
        <v>976</v>
      </c>
      <c r="Q805" s="0" t="s">
        <v>974</v>
      </c>
      <c r="R805" s="0" t="s">
        <v>970</v>
      </c>
      <c r="S805" s="0" t="s">
        <v>974</v>
      </c>
    </row>
    <row r="806" customFormat="false" ht="13.8" hidden="false" customHeight="false" outlineLevel="0" collapsed="false">
      <c r="A806" s="0" t="n">
        <v>2562</v>
      </c>
      <c r="B806" s="0" t="s">
        <v>4870</v>
      </c>
      <c r="C806" s="0" t="s">
        <v>4789</v>
      </c>
      <c r="E806" s="0" t="n">
        <f aca="false">IF(J805=J806,E805+10,0)</f>
        <v>70</v>
      </c>
      <c r="F806" s="0" t="s">
        <v>4871</v>
      </c>
      <c r="G806" s="0" t="s">
        <v>4872</v>
      </c>
      <c r="H806" s="0" t="s">
        <v>4873</v>
      </c>
      <c r="I806" s="0" t="s">
        <v>1201</v>
      </c>
      <c r="J806" s="0" t="s">
        <v>1883</v>
      </c>
      <c r="K806" s="0" t="s">
        <v>971</v>
      </c>
      <c r="L806" s="0" t="s">
        <v>974</v>
      </c>
      <c r="M806" s="0" t="s">
        <v>973</v>
      </c>
      <c r="N806" s="0" t="s">
        <v>974</v>
      </c>
      <c r="O806" s="0" t="s">
        <v>975</v>
      </c>
      <c r="P806" s="0" t="s">
        <v>976</v>
      </c>
      <c r="Q806" s="0" t="s">
        <v>1737</v>
      </c>
      <c r="R806" s="0" t="s">
        <v>970</v>
      </c>
      <c r="S806" s="0" t="s">
        <v>974</v>
      </c>
    </row>
    <row r="807" customFormat="false" ht="13.8" hidden="false" customHeight="false" outlineLevel="0" collapsed="false">
      <c r="A807" s="0" t="n">
        <v>2563</v>
      </c>
      <c r="B807" s="0" t="s">
        <v>4874</v>
      </c>
      <c r="C807" s="0" t="s">
        <v>3990</v>
      </c>
      <c r="E807" s="0" t="n">
        <f aca="false">IF(J806=J807,E806+10,0)</f>
        <v>80</v>
      </c>
      <c r="F807" s="0" t="s">
        <v>4875</v>
      </c>
      <c r="G807" s="0" t="s">
        <v>4876</v>
      </c>
      <c r="H807" s="0" t="s">
        <v>4877</v>
      </c>
      <c r="I807" s="0" t="s">
        <v>1033</v>
      </c>
      <c r="J807" s="0" t="s">
        <v>1883</v>
      </c>
      <c r="K807" s="0" t="s">
        <v>971</v>
      </c>
      <c r="L807" s="0" t="s">
        <v>974</v>
      </c>
      <c r="M807" s="0" t="s">
        <v>973</v>
      </c>
      <c r="N807" s="0" t="s">
        <v>974</v>
      </c>
      <c r="O807" s="0" t="s">
        <v>975</v>
      </c>
      <c r="P807" s="0" t="s">
        <v>976</v>
      </c>
      <c r="Q807" s="0" t="s">
        <v>973</v>
      </c>
      <c r="R807" s="0" t="s">
        <v>1046</v>
      </c>
      <c r="S807" s="0" t="s">
        <v>974</v>
      </c>
    </row>
    <row r="808" customFormat="false" ht="13.8" hidden="false" customHeight="false" outlineLevel="0" collapsed="false">
      <c r="A808" s="0" t="n">
        <v>2564</v>
      </c>
      <c r="B808" s="0" t="s">
        <v>4878</v>
      </c>
      <c r="C808" s="0" t="s">
        <v>4643</v>
      </c>
      <c r="E808" s="0" t="n">
        <f aca="false">IF(J807=J808,E807+10,0)</f>
        <v>90</v>
      </c>
      <c r="F808" s="0" t="s">
        <v>4879</v>
      </c>
      <c r="G808" s="0" t="s">
        <v>4880</v>
      </c>
      <c r="H808" s="0" t="s">
        <v>4881</v>
      </c>
      <c r="I808" s="0" t="s">
        <v>1065</v>
      </c>
      <c r="J808" s="0" t="s">
        <v>1883</v>
      </c>
      <c r="K808" s="0" t="s">
        <v>971</v>
      </c>
      <c r="L808" s="0" t="s">
        <v>974</v>
      </c>
      <c r="M808" s="0" t="s">
        <v>973</v>
      </c>
      <c r="N808" s="0" t="s">
        <v>974</v>
      </c>
      <c r="O808" s="0" t="s">
        <v>975</v>
      </c>
      <c r="P808" s="0" t="s">
        <v>976</v>
      </c>
      <c r="Q808" s="0" t="s">
        <v>1059</v>
      </c>
      <c r="R808" s="0" t="s">
        <v>970</v>
      </c>
      <c r="S808" s="0" t="s">
        <v>974</v>
      </c>
    </row>
    <row r="809" customFormat="false" ht="13.8" hidden="false" customHeight="false" outlineLevel="0" collapsed="false">
      <c r="A809" s="0" t="n">
        <v>2565</v>
      </c>
      <c r="B809" s="0" t="s">
        <v>4882</v>
      </c>
      <c r="C809" s="0" t="s">
        <v>4802</v>
      </c>
      <c r="E809" s="0" t="n">
        <f aca="false">IF(J808=J809,E808+10,0)</f>
        <v>100</v>
      </c>
      <c r="F809" s="0" t="s">
        <v>4883</v>
      </c>
      <c r="G809" s="0" t="s">
        <v>4884</v>
      </c>
      <c r="H809" s="0" t="s">
        <v>4885</v>
      </c>
      <c r="I809" s="0" t="s">
        <v>970</v>
      </c>
      <c r="J809" s="0" t="s">
        <v>1883</v>
      </c>
      <c r="K809" s="0" t="s">
        <v>971</v>
      </c>
      <c r="L809" s="0" t="s">
        <v>974</v>
      </c>
      <c r="M809" s="0" t="s">
        <v>973</v>
      </c>
      <c r="N809" s="0" t="s">
        <v>974</v>
      </c>
      <c r="O809" s="0" t="s">
        <v>975</v>
      </c>
      <c r="P809" s="0" t="s">
        <v>976</v>
      </c>
      <c r="Q809" s="0" t="s">
        <v>970</v>
      </c>
      <c r="R809" s="0" t="s">
        <v>1046</v>
      </c>
      <c r="S809" s="0" t="s">
        <v>974</v>
      </c>
    </row>
    <row r="810" customFormat="false" ht="13.8" hidden="false" customHeight="false" outlineLevel="0" collapsed="false">
      <c r="A810" s="0" t="n">
        <v>2566</v>
      </c>
      <c r="B810" s="0" t="s">
        <v>4886</v>
      </c>
      <c r="C810" s="0" t="s">
        <v>4887</v>
      </c>
      <c r="E810" s="0" t="n">
        <f aca="false">IF(J809=J810,E809+10,0)</f>
        <v>110</v>
      </c>
      <c r="F810" s="0" t="s">
        <v>4888</v>
      </c>
      <c r="G810" s="0" t="s">
        <v>4889</v>
      </c>
      <c r="H810" s="0" t="s">
        <v>4890</v>
      </c>
      <c r="I810" s="0" t="s">
        <v>1021</v>
      </c>
      <c r="J810" s="0" t="s">
        <v>1883</v>
      </c>
      <c r="K810" s="0" t="s">
        <v>971</v>
      </c>
      <c r="L810" s="0" t="s">
        <v>974</v>
      </c>
      <c r="M810" s="0" t="s">
        <v>973</v>
      </c>
      <c r="N810" s="0" t="s">
        <v>974</v>
      </c>
      <c r="O810" s="0" t="s">
        <v>975</v>
      </c>
      <c r="P810" s="0" t="s">
        <v>976</v>
      </c>
      <c r="Q810" s="0" t="s">
        <v>970</v>
      </c>
      <c r="R810" s="0" t="s">
        <v>1046</v>
      </c>
      <c r="S810" s="0" t="s">
        <v>974</v>
      </c>
    </row>
    <row r="811" customFormat="false" ht="13.8" hidden="false" customHeight="false" outlineLevel="0" collapsed="false">
      <c r="A811" s="0" t="n">
        <v>2567</v>
      </c>
      <c r="B811" s="0" t="s">
        <v>4891</v>
      </c>
      <c r="C811" s="0" t="s">
        <v>4807</v>
      </c>
      <c r="E811" s="0" t="n">
        <f aca="false">IF(J810=J811,E810+10,0)</f>
        <v>120</v>
      </c>
      <c r="F811" s="0" t="s">
        <v>4892</v>
      </c>
      <c r="G811" s="0" t="s">
        <v>4893</v>
      </c>
      <c r="H811" s="0" t="s">
        <v>4894</v>
      </c>
      <c r="I811" s="0" t="s">
        <v>1711</v>
      </c>
      <c r="J811" s="0" t="s">
        <v>1883</v>
      </c>
      <c r="K811" s="0" t="s">
        <v>971</v>
      </c>
      <c r="L811" s="0" t="s">
        <v>973</v>
      </c>
      <c r="M811" s="0" t="s">
        <v>973</v>
      </c>
      <c r="N811" s="0" t="s">
        <v>974</v>
      </c>
      <c r="O811" s="0" t="s">
        <v>975</v>
      </c>
      <c r="P811" s="0" t="s">
        <v>976</v>
      </c>
      <c r="Q811" s="0" t="s">
        <v>974</v>
      </c>
      <c r="R811" s="0" t="s">
        <v>970</v>
      </c>
      <c r="S811" s="0" t="s">
        <v>974</v>
      </c>
    </row>
    <row r="812" customFormat="false" ht="13.8" hidden="false" customHeight="false" outlineLevel="0" collapsed="false">
      <c r="A812" s="0" t="n">
        <v>2568</v>
      </c>
      <c r="B812" s="0" t="s">
        <v>4895</v>
      </c>
      <c r="C812" s="0" t="s">
        <v>4812</v>
      </c>
      <c r="E812" s="0" t="n">
        <f aca="false">IF(J811=J812,E811+10,0)</f>
        <v>130</v>
      </c>
      <c r="F812" s="0" t="s">
        <v>4896</v>
      </c>
      <c r="G812" s="0" t="s">
        <v>4897</v>
      </c>
      <c r="H812" s="0" t="s">
        <v>4898</v>
      </c>
      <c r="I812" s="0" t="s">
        <v>1169</v>
      </c>
      <c r="J812" s="0" t="s">
        <v>1883</v>
      </c>
      <c r="K812" s="0" t="s">
        <v>971</v>
      </c>
      <c r="L812" s="0" t="s">
        <v>973</v>
      </c>
      <c r="M812" s="0" t="s">
        <v>973</v>
      </c>
      <c r="N812" s="0" t="s">
        <v>974</v>
      </c>
      <c r="O812" s="0" t="s">
        <v>975</v>
      </c>
      <c r="P812" s="0" t="s">
        <v>976</v>
      </c>
      <c r="Q812" s="0" t="s">
        <v>974</v>
      </c>
      <c r="R812" s="0" t="s">
        <v>970</v>
      </c>
      <c r="S812" s="0" t="s">
        <v>974</v>
      </c>
    </row>
    <row r="813" customFormat="false" ht="13.8" hidden="false" customHeight="false" outlineLevel="0" collapsed="false">
      <c r="A813" s="0" t="n">
        <v>2569</v>
      </c>
      <c r="B813" s="0" t="s">
        <v>4899</v>
      </c>
      <c r="C813" s="0" t="s">
        <v>1420</v>
      </c>
      <c r="E813" s="0" t="n">
        <f aca="false">IF(J812=J813,E812+10,0)</f>
        <v>140</v>
      </c>
      <c r="F813" s="0" t="s">
        <v>4900</v>
      </c>
      <c r="G813" s="0" t="s">
        <v>4901</v>
      </c>
      <c r="H813" s="0" t="s">
        <v>4902</v>
      </c>
      <c r="I813" s="0" t="s">
        <v>1100</v>
      </c>
      <c r="J813" s="0" t="s">
        <v>1883</v>
      </c>
      <c r="K813" s="0" t="s">
        <v>971</v>
      </c>
      <c r="L813" s="0" t="s">
        <v>974</v>
      </c>
      <c r="M813" s="0" t="s">
        <v>973</v>
      </c>
      <c r="N813" s="0" t="s">
        <v>974</v>
      </c>
      <c r="O813" s="0" t="s">
        <v>975</v>
      </c>
      <c r="P813" s="0" t="s">
        <v>976</v>
      </c>
      <c r="Q813" s="0" t="s">
        <v>1214</v>
      </c>
      <c r="R813" s="0" t="s">
        <v>1046</v>
      </c>
      <c r="S813" s="0" t="s">
        <v>974</v>
      </c>
    </row>
    <row r="814" customFormat="false" ht="13.8" hidden="false" customHeight="false" outlineLevel="0" collapsed="false">
      <c r="A814" s="0" t="n">
        <v>2570</v>
      </c>
      <c r="B814" s="0" t="s">
        <v>4903</v>
      </c>
      <c r="C814" s="0" t="s">
        <v>4018</v>
      </c>
      <c r="E814" s="0" t="n">
        <f aca="false">IF(J813=J814,E813+10,0)</f>
        <v>150</v>
      </c>
      <c r="F814" s="0" t="s">
        <v>4904</v>
      </c>
      <c r="G814" s="0" t="s">
        <v>4905</v>
      </c>
      <c r="H814" s="0" t="s">
        <v>4906</v>
      </c>
      <c r="I814" s="0" t="s">
        <v>1180</v>
      </c>
      <c r="J814" s="0" t="s">
        <v>1883</v>
      </c>
      <c r="K814" s="0" t="s">
        <v>971</v>
      </c>
      <c r="L814" s="0" t="s">
        <v>974</v>
      </c>
      <c r="M814" s="0" t="s">
        <v>973</v>
      </c>
      <c r="N814" s="0" t="s">
        <v>974</v>
      </c>
      <c r="O814" s="0" t="s">
        <v>975</v>
      </c>
      <c r="P814" s="0" t="s">
        <v>976</v>
      </c>
      <c r="Q814" s="0" t="s">
        <v>2852</v>
      </c>
      <c r="R814" s="0" t="s">
        <v>1046</v>
      </c>
      <c r="S814" s="0" t="s">
        <v>974</v>
      </c>
    </row>
    <row r="815" customFormat="false" ht="13.8" hidden="false" customHeight="false" outlineLevel="0" collapsed="false">
      <c r="A815" s="0" t="n">
        <v>2571</v>
      </c>
      <c r="B815" s="0" t="s">
        <v>4907</v>
      </c>
      <c r="C815" s="0" t="s">
        <v>4492</v>
      </c>
      <c r="E815" s="0" t="n">
        <f aca="false">IF(J814=J815,E814+10,0)</f>
        <v>160</v>
      </c>
      <c r="F815" s="0" t="s">
        <v>4908</v>
      </c>
      <c r="G815" s="0" t="s">
        <v>4909</v>
      </c>
      <c r="H815" s="0" t="s">
        <v>4910</v>
      </c>
      <c r="I815" s="0" t="s">
        <v>1666</v>
      </c>
      <c r="J815" s="0" t="s">
        <v>1883</v>
      </c>
      <c r="K815" s="0" t="s">
        <v>971</v>
      </c>
      <c r="L815" s="0" t="s">
        <v>974</v>
      </c>
      <c r="M815" s="0" t="s">
        <v>973</v>
      </c>
      <c r="N815" s="0" t="s">
        <v>974</v>
      </c>
      <c r="O815" s="0" t="s">
        <v>975</v>
      </c>
      <c r="P815" s="0" t="s">
        <v>976</v>
      </c>
      <c r="Q815" s="0" t="s">
        <v>1812</v>
      </c>
      <c r="R815" s="0" t="s">
        <v>1046</v>
      </c>
      <c r="S815" s="0" t="s">
        <v>974</v>
      </c>
    </row>
    <row r="816" customFormat="false" ht="13.8" hidden="false" customHeight="false" outlineLevel="0" collapsed="false">
      <c r="A816" s="0" t="n">
        <v>2572</v>
      </c>
      <c r="B816" s="0" t="s">
        <v>4911</v>
      </c>
      <c r="C816" s="0" t="s">
        <v>4220</v>
      </c>
      <c r="E816" s="0" t="n">
        <f aca="false">IF(J815=J816,E815+10,0)</f>
        <v>170</v>
      </c>
      <c r="F816" s="0" t="s">
        <v>4912</v>
      </c>
      <c r="G816" s="0" t="s">
        <v>4913</v>
      </c>
      <c r="H816" s="0" t="s">
        <v>4914</v>
      </c>
      <c r="I816" s="0" t="s">
        <v>1014</v>
      </c>
      <c r="J816" s="0" t="s">
        <v>1883</v>
      </c>
      <c r="K816" s="0" t="s">
        <v>971</v>
      </c>
      <c r="L816" s="0" t="s">
        <v>974</v>
      </c>
      <c r="M816" s="0" t="s">
        <v>973</v>
      </c>
      <c r="N816" s="0" t="s">
        <v>974</v>
      </c>
      <c r="O816" s="0" t="s">
        <v>975</v>
      </c>
      <c r="P816" s="0" t="s">
        <v>976</v>
      </c>
      <c r="Q816" s="0" t="s">
        <v>1232</v>
      </c>
      <c r="R816" s="0" t="s">
        <v>1046</v>
      </c>
      <c r="S816" s="0" t="s">
        <v>974</v>
      </c>
    </row>
    <row r="817" customFormat="false" ht="13.8" hidden="false" customHeight="false" outlineLevel="0" collapsed="false">
      <c r="A817" s="0" t="n">
        <v>2573</v>
      </c>
      <c r="B817" s="0" t="s">
        <v>4915</v>
      </c>
      <c r="C817" s="0" t="s">
        <v>4028</v>
      </c>
      <c r="E817" s="0" t="n">
        <f aca="false">IF(J816=J817,E816+10,0)</f>
        <v>180</v>
      </c>
      <c r="F817" s="0" t="s">
        <v>4916</v>
      </c>
      <c r="G817" s="0" t="s">
        <v>4917</v>
      </c>
      <c r="H817" s="0" t="s">
        <v>4918</v>
      </c>
      <c r="I817" s="0" t="s">
        <v>1587</v>
      </c>
      <c r="J817" s="0" t="s">
        <v>1883</v>
      </c>
      <c r="K817" s="0" t="s">
        <v>971</v>
      </c>
      <c r="L817" s="0" t="s">
        <v>974</v>
      </c>
      <c r="M817" s="0" t="s">
        <v>973</v>
      </c>
      <c r="N817" s="0" t="s">
        <v>974</v>
      </c>
      <c r="O817" s="0" t="s">
        <v>975</v>
      </c>
      <c r="P817" s="0" t="s">
        <v>976</v>
      </c>
      <c r="Q817" s="0" t="s">
        <v>1066</v>
      </c>
      <c r="R817" s="0" t="s">
        <v>1046</v>
      </c>
      <c r="S817" s="0" t="s">
        <v>974</v>
      </c>
    </row>
    <row r="818" customFormat="false" ht="13.8" hidden="false" customHeight="false" outlineLevel="0" collapsed="false">
      <c r="A818" s="0" t="n">
        <v>2574</v>
      </c>
      <c r="B818" s="0" t="s">
        <v>4919</v>
      </c>
      <c r="C818" s="0" t="s">
        <v>4920</v>
      </c>
      <c r="E818" s="0" t="n">
        <f aca="false">IF(J817=J818,E817+10,0)</f>
        <v>190</v>
      </c>
      <c r="F818" s="0" t="s">
        <v>4921</v>
      </c>
      <c r="G818" s="0" t="s">
        <v>4922</v>
      </c>
      <c r="H818" s="0" t="s">
        <v>4923</v>
      </c>
      <c r="I818" s="0" t="s">
        <v>1306</v>
      </c>
      <c r="J818" s="0" t="s">
        <v>1883</v>
      </c>
      <c r="K818" s="0" t="s">
        <v>971</v>
      </c>
      <c r="L818" s="0" t="s">
        <v>974</v>
      </c>
      <c r="M818" s="0" t="s">
        <v>973</v>
      </c>
      <c r="N818" s="0" t="s">
        <v>974</v>
      </c>
      <c r="O818" s="0" t="s">
        <v>975</v>
      </c>
      <c r="P818" s="0" t="s">
        <v>976</v>
      </c>
      <c r="Q818" s="0" t="s">
        <v>2146</v>
      </c>
      <c r="R818" s="0" t="s">
        <v>1046</v>
      </c>
      <c r="S818" s="0" t="s">
        <v>974</v>
      </c>
    </row>
    <row r="819" customFormat="false" ht="13.8" hidden="false" customHeight="false" outlineLevel="0" collapsed="false">
      <c r="A819" s="0" t="n">
        <v>2575</v>
      </c>
      <c r="B819" s="0" t="s">
        <v>4924</v>
      </c>
      <c r="C819" s="0" t="s">
        <v>4519</v>
      </c>
      <c r="E819" s="0" t="n">
        <f aca="false">IF(J818=J819,E818+10,0)</f>
        <v>200</v>
      </c>
      <c r="F819" s="0" t="s">
        <v>4925</v>
      </c>
      <c r="G819" s="0" t="s">
        <v>4926</v>
      </c>
      <c r="H819" s="0" t="s">
        <v>4927</v>
      </c>
      <c r="I819" s="0" t="s">
        <v>1073</v>
      </c>
      <c r="J819" s="0" t="s">
        <v>1883</v>
      </c>
      <c r="K819" s="0" t="s">
        <v>971</v>
      </c>
      <c r="L819" s="0" t="s">
        <v>974</v>
      </c>
      <c r="M819" s="0" t="s">
        <v>973</v>
      </c>
      <c r="N819" s="0" t="s">
        <v>974</v>
      </c>
      <c r="O819" s="0" t="s">
        <v>975</v>
      </c>
      <c r="P819" s="0" t="s">
        <v>976</v>
      </c>
      <c r="Q819" s="0" t="s">
        <v>2146</v>
      </c>
      <c r="R819" s="0" t="s">
        <v>1046</v>
      </c>
      <c r="S819" s="0" t="s">
        <v>974</v>
      </c>
    </row>
    <row r="820" customFormat="false" ht="13.8" hidden="false" customHeight="false" outlineLevel="0" collapsed="false">
      <c r="A820" s="0" t="n">
        <v>2576</v>
      </c>
      <c r="B820" s="0" t="s">
        <v>4928</v>
      </c>
      <c r="C820" s="0" t="s">
        <v>4929</v>
      </c>
      <c r="E820" s="0" t="n">
        <f aca="false">IF(J819=J820,E819+10,0)</f>
        <v>210</v>
      </c>
      <c r="F820" s="0" t="s">
        <v>4930</v>
      </c>
      <c r="G820" s="0" t="s">
        <v>4931</v>
      </c>
      <c r="H820" s="0" t="s">
        <v>4932</v>
      </c>
      <c r="I820" s="0" t="s">
        <v>1045</v>
      </c>
      <c r="J820" s="0" t="s">
        <v>1883</v>
      </c>
      <c r="K820" s="0" t="s">
        <v>971</v>
      </c>
      <c r="L820" s="0" t="s">
        <v>974</v>
      </c>
      <c r="M820" s="0" t="s">
        <v>973</v>
      </c>
      <c r="N820" s="0" t="s">
        <v>974</v>
      </c>
      <c r="O820" s="0" t="s">
        <v>975</v>
      </c>
      <c r="P820" s="0" t="s">
        <v>976</v>
      </c>
      <c r="Q820" s="0" t="s">
        <v>1232</v>
      </c>
      <c r="R820" s="0" t="s">
        <v>1046</v>
      </c>
      <c r="S820" s="0" t="s">
        <v>974</v>
      </c>
    </row>
    <row r="821" customFormat="false" ht="13.8" hidden="false" customHeight="false" outlineLevel="0" collapsed="false">
      <c r="A821" s="0" t="n">
        <v>2577</v>
      </c>
      <c r="B821" s="0" t="s">
        <v>4933</v>
      </c>
      <c r="C821" s="0" t="s">
        <v>4023</v>
      </c>
      <c r="E821" s="0" t="n">
        <f aca="false">IF(J820=J821,E820+10,0)</f>
        <v>220</v>
      </c>
      <c r="F821" s="0" t="s">
        <v>4934</v>
      </c>
      <c r="G821" s="0" t="s">
        <v>4935</v>
      </c>
      <c r="H821" s="0" t="s">
        <v>4936</v>
      </c>
      <c r="I821" s="0" t="s">
        <v>1027</v>
      </c>
      <c r="J821" s="0" t="s">
        <v>1883</v>
      </c>
      <c r="K821" s="0" t="s">
        <v>971</v>
      </c>
      <c r="L821" s="0" t="s">
        <v>974</v>
      </c>
      <c r="M821" s="0" t="s">
        <v>973</v>
      </c>
      <c r="N821" s="0" t="s">
        <v>974</v>
      </c>
      <c r="O821" s="0" t="s">
        <v>975</v>
      </c>
      <c r="P821" s="0" t="s">
        <v>976</v>
      </c>
      <c r="Q821" s="0" t="s">
        <v>1968</v>
      </c>
      <c r="R821" s="0" t="s">
        <v>1046</v>
      </c>
      <c r="S821" s="0" t="s">
        <v>974</v>
      </c>
    </row>
    <row r="822" customFormat="false" ht="13.8" hidden="false" customHeight="false" outlineLevel="0" collapsed="false">
      <c r="A822" s="0" t="n">
        <v>2578</v>
      </c>
      <c r="B822" s="0" t="s">
        <v>4937</v>
      </c>
      <c r="C822" s="0" t="s">
        <v>4938</v>
      </c>
      <c r="E822" s="0" t="n">
        <f aca="false">IF(J821=J822,E821+10,0)</f>
        <v>230</v>
      </c>
      <c r="F822" s="0" t="s">
        <v>4939</v>
      </c>
      <c r="G822" s="0" t="s">
        <v>4940</v>
      </c>
      <c r="H822" s="0" t="s">
        <v>4941</v>
      </c>
      <c r="I822" s="0" t="s">
        <v>1067</v>
      </c>
      <c r="J822" s="0" t="s">
        <v>1883</v>
      </c>
      <c r="K822" s="0" t="s">
        <v>971</v>
      </c>
      <c r="L822" s="0" t="s">
        <v>974</v>
      </c>
      <c r="M822" s="0" t="s">
        <v>973</v>
      </c>
      <c r="N822" s="0" t="s">
        <v>974</v>
      </c>
      <c r="O822" s="0" t="s">
        <v>975</v>
      </c>
      <c r="P822" s="0" t="s">
        <v>976</v>
      </c>
      <c r="Q822" s="0" t="s">
        <v>970</v>
      </c>
      <c r="R822" s="0" t="s">
        <v>1046</v>
      </c>
      <c r="S822" s="0" t="s">
        <v>974</v>
      </c>
    </row>
    <row r="823" customFormat="false" ht="13.8" hidden="false" customHeight="false" outlineLevel="0" collapsed="false">
      <c r="A823" s="0" t="n">
        <v>2579</v>
      </c>
      <c r="B823" s="0" t="s">
        <v>4942</v>
      </c>
      <c r="C823" s="0" t="s">
        <v>4943</v>
      </c>
      <c r="E823" s="0" t="n">
        <f aca="false">IF(J822=J823,E822+10,0)</f>
        <v>240</v>
      </c>
      <c r="F823" s="0" t="s">
        <v>4944</v>
      </c>
      <c r="G823" s="0" t="s">
        <v>4945</v>
      </c>
      <c r="H823" s="0" t="s">
        <v>4946</v>
      </c>
      <c r="I823" s="0" t="s">
        <v>1106</v>
      </c>
      <c r="J823" s="0" t="s">
        <v>1883</v>
      </c>
      <c r="K823" s="0" t="s">
        <v>971</v>
      </c>
      <c r="L823" s="0" t="s">
        <v>974</v>
      </c>
      <c r="M823" s="0" t="s">
        <v>973</v>
      </c>
      <c r="N823" s="0" t="s">
        <v>974</v>
      </c>
      <c r="O823" s="0" t="s">
        <v>975</v>
      </c>
      <c r="P823" s="0" t="s">
        <v>976</v>
      </c>
      <c r="Q823" s="0" t="s">
        <v>1458</v>
      </c>
      <c r="R823" s="0" t="s">
        <v>1144</v>
      </c>
      <c r="S823" s="0" t="s">
        <v>974</v>
      </c>
    </row>
    <row r="824" customFormat="false" ht="13.8" hidden="false" customHeight="false" outlineLevel="0" collapsed="false">
      <c r="A824" s="0" t="n">
        <v>2580</v>
      </c>
      <c r="B824" s="0" t="s">
        <v>4947</v>
      </c>
      <c r="C824" s="0" t="s">
        <v>1171</v>
      </c>
      <c r="E824" s="0" t="n">
        <f aca="false">IF(J823=J824,E823+10,0)</f>
        <v>250</v>
      </c>
      <c r="F824" s="0" t="s">
        <v>4948</v>
      </c>
      <c r="G824" s="0" t="s">
        <v>4949</v>
      </c>
      <c r="H824" s="0" t="s">
        <v>4950</v>
      </c>
      <c r="I824" s="0" t="s">
        <v>1175</v>
      </c>
      <c r="J824" s="0" t="s">
        <v>1883</v>
      </c>
      <c r="K824" s="0" t="s">
        <v>971</v>
      </c>
      <c r="L824" s="0" t="s">
        <v>974</v>
      </c>
      <c r="M824" s="0" t="s">
        <v>973</v>
      </c>
      <c r="N824" s="0" t="s">
        <v>974</v>
      </c>
      <c r="O824" s="0" t="s">
        <v>975</v>
      </c>
      <c r="P824" s="0" t="s">
        <v>976</v>
      </c>
      <c r="Q824" s="0" t="s">
        <v>970</v>
      </c>
      <c r="R824" s="0" t="s">
        <v>1046</v>
      </c>
      <c r="S824" s="0" t="s">
        <v>974</v>
      </c>
    </row>
    <row r="825" customFormat="false" ht="13.8" hidden="false" customHeight="false" outlineLevel="0" collapsed="false">
      <c r="A825" s="0" t="n">
        <v>2581</v>
      </c>
      <c r="B825" s="0" t="s">
        <v>4951</v>
      </c>
      <c r="C825" s="0" t="s">
        <v>998</v>
      </c>
      <c r="E825" s="0" t="n">
        <f aca="false">IF(J824=J825,E824+10,0)</f>
        <v>0</v>
      </c>
      <c r="F825" s="0" t="s">
        <v>4952</v>
      </c>
      <c r="G825" s="0" t="s">
        <v>4953</v>
      </c>
      <c r="H825" s="0" t="s">
        <v>4954</v>
      </c>
      <c r="I825" s="0" t="s">
        <v>1002</v>
      </c>
      <c r="J825" s="0" t="s">
        <v>1306</v>
      </c>
      <c r="K825" s="0" t="s">
        <v>971</v>
      </c>
      <c r="L825" s="0" t="s">
        <v>1067</v>
      </c>
      <c r="M825" s="0" t="s">
        <v>973</v>
      </c>
      <c r="N825" s="0" t="s">
        <v>974</v>
      </c>
      <c r="O825" s="0" t="s">
        <v>975</v>
      </c>
      <c r="P825" s="0" t="s">
        <v>976</v>
      </c>
      <c r="Q825" s="0" t="s">
        <v>974</v>
      </c>
      <c r="R825" s="0" t="s">
        <v>970</v>
      </c>
      <c r="S825" s="0" t="s">
        <v>974</v>
      </c>
    </row>
    <row r="826" customFormat="false" ht="13.8" hidden="false" customHeight="false" outlineLevel="0" collapsed="false">
      <c r="A826" s="0" t="n">
        <v>2582</v>
      </c>
      <c r="B826" s="0" t="s">
        <v>4955</v>
      </c>
      <c r="C826" s="0" t="s">
        <v>4397</v>
      </c>
      <c r="E826" s="0" t="n">
        <f aca="false">IF(J825=J826,E825+10,0)</f>
        <v>10</v>
      </c>
      <c r="F826" s="0" t="s">
        <v>4956</v>
      </c>
      <c r="G826" s="0" t="s">
        <v>4957</v>
      </c>
      <c r="H826" s="0" t="s">
        <v>4958</v>
      </c>
      <c r="I826" s="0" t="s">
        <v>2798</v>
      </c>
      <c r="J826" s="0" t="s">
        <v>1306</v>
      </c>
      <c r="K826" s="0" t="s">
        <v>971</v>
      </c>
      <c r="L826" s="0" t="s">
        <v>1046</v>
      </c>
      <c r="M826" s="0" t="s">
        <v>973</v>
      </c>
      <c r="N826" s="0" t="s">
        <v>974</v>
      </c>
      <c r="O826" s="0" t="s">
        <v>975</v>
      </c>
      <c r="P826" s="0" t="s">
        <v>976</v>
      </c>
      <c r="Q826" s="0" t="s">
        <v>974</v>
      </c>
      <c r="R826" s="0" t="s">
        <v>970</v>
      </c>
      <c r="S826" s="0" t="s">
        <v>974</v>
      </c>
    </row>
    <row r="827" customFormat="false" ht="13.8" hidden="false" customHeight="false" outlineLevel="0" collapsed="false">
      <c r="A827" s="0" t="n">
        <v>2583</v>
      </c>
      <c r="B827" s="0" t="s">
        <v>4959</v>
      </c>
      <c r="C827" s="0" t="s">
        <v>3901</v>
      </c>
      <c r="E827" s="0" t="n">
        <f aca="false">IF(J826=J827,E826+10,0)</f>
        <v>20</v>
      </c>
      <c r="F827" s="0" t="s">
        <v>4960</v>
      </c>
      <c r="G827" s="0" t="s">
        <v>4961</v>
      </c>
      <c r="H827" s="0" t="s">
        <v>4962</v>
      </c>
      <c r="I827" s="0" t="s">
        <v>1505</v>
      </c>
      <c r="J827" s="0" t="s">
        <v>1306</v>
      </c>
      <c r="K827" s="0" t="s">
        <v>971</v>
      </c>
      <c r="L827" s="0" t="s">
        <v>1067</v>
      </c>
      <c r="M827" s="0" t="s">
        <v>973</v>
      </c>
      <c r="N827" s="0" t="s">
        <v>974</v>
      </c>
      <c r="O827" s="0" t="s">
        <v>975</v>
      </c>
      <c r="P827" s="0" t="s">
        <v>976</v>
      </c>
      <c r="Q827" s="0" t="s">
        <v>974</v>
      </c>
      <c r="R827" s="0" t="s">
        <v>970</v>
      </c>
      <c r="S827" s="0" t="s">
        <v>974</v>
      </c>
    </row>
    <row r="828" customFormat="false" ht="13.8" hidden="false" customHeight="false" outlineLevel="0" collapsed="false">
      <c r="A828" s="0" t="n">
        <v>2584</v>
      </c>
      <c r="B828" s="0" t="s">
        <v>4963</v>
      </c>
      <c r="C828" s="0" t="s">
        <v>3976</v>
      </c>
      <c r="E828" s="0" t="n">
        <f aca="false">IF(J827=J828,E827+10,0)</f>
        <v>30</v>
      </c>
      <c r="F828" s="0" t="s">
        <v>4964</v>
      </c>
      <c r="G828" s="0" t="s">
        <v>4965</v>
      </c>
      <c r="H828" s="0" t="s">
        <v>4966</v>
      </c>
      <c r="I828" s="0" t="s">
        <v>1021</v>
      </c>
      <c r="J828" s="0" t="s">
        <v>1306</v>
      </c>
      <c r="K828" s="0" t="s">
        <v>971</v>
      </c>
      <c r="L828" s="0" t="s">
        <v>974</v>
      </c>
      <c r="M828" s="0" t="s">
        <v>973</v>
      </c>
      <c r="N828" s="0" t="s">
        <v>974</v>
      </c>
      <c r="O828" s="0" t="s">
        <v>975</v>
      </c>
      <c r="P828" s="0" t="s">
        <v>976</v>
      </c>
      <c r="Q828" s="0" t="s">
        <v>970</v>
      </c>
      <c r="R828" s="0" t="s">
        <v>970</v>
      </c>
      <c r="S828" s="0" t="s">
        <v>974</v>
      </c>
    </row>
    <row r="829" customFormat="false" ht="13.8" hidden="false" customHeight="false" outlineLevel="0" collapsed="false">
      <c r="A829" s="0" t="n">
        <v>2585</v>
      </c>
      <c r="B829" s="0" t="s">
        <v>4967</v>
      </c>
      <c r="C829" s="0" t="s">
        <v>1061</v>
      </c>
      <c r="E829" s="0" t="n">
        <f aca="false">IF(J828=J829,E828+10,0)</f>
        <v>40</v>
      </c>
      <c r="F829" s="0" t="s">
        <v>4968</v>
      </c>
      <c r="G829" s="0" t="s">
        <v>4969</v>
      </c>
      <c r="H829" s="0" t="s">
        <v>4970</v>
      </c>
      <c r="I829" s="0" t="s">
        <v>1065</v>
      </c>
      <c r="J829" s="0" t="s">
        <v>1306</v>
      </c>
      <c r="K829" s="0" t="s">
        <v>971</v>
      </c>
      <c r="L829" s="0" t="s">
        <v>974</v>
      </c>
      <c r="M829" s="0" t="s">
        <v>973</v>
      </c>
      <c r="N829" s="0" t="s">
        <v>974</v>
      </c>
      <c r="O829" s="0" t="s">
        <v>975</v>
      </c>
      <c r="P829" s="0" t="s">
        <v>976</v>
      </c>
      <c r="Q829" s="0" t="s">
        <v>975</v>
      </c>
      <c r="R829" s="0" t="s">
        <v>970</v>
      </c>
      <c r="S829" s="0" t="s">
        <v>974</v>
      </c>
    </row>
    <row r="830" customFormat="false" ht="13.8" hidden="false" customHeight="false" outlineLevel="0" collapsed="false">
      <c r="A830" s="0" t="n">
        <v>2586</v>
      </c>
      <c r="B830" s="0" t="s">
        <v>4971</v>
      </c>
      <c r="C830" s="0" t="s">
        <v>3985</v>
      </c>
      <c r="E830" s="0" t="n">
        <f aca="false">IF(J829=J830,E829+10,0)</f>
        <v>50</v>
      </c>
      <c r="F830" s="0" t="s">
        <v>4972</v>
      </c>
      <c r="G830" s="0" t="s">
        <v>4973</v>
      </c>
      <c r="H830" s="0" t="s">
        <v>4974</v>
      </c>
      <c r="I830" s="0" t="s">
        <v>970</v>
      </c>
      <c r="J830" s="0" t="s">
        <v>1306</v>
      </c>
      <c r="K830" s="0" t="s">
        <v>971</v>
      </c>
      <c r="L830" s="0" t="s">
        <v>974</v>
      </c>
      <c r="M830" s="0" t="s">
        <v>973</v>
      </c>
      <c r="N830" s="0" t="s">
        <v>974</v>
      </c>
      <c r="O830" s="0" t="s">
        <v>975</v>
      </c>
      <c r="P830" s="0" t="s">
        <v>976</v>
      </c>
      <c r="Q830" s="0" t="s">
        <v>1059</v>
      </c>
      <c r="R830" s="0" t="s">
        <v>970</v>
      </c>
      <c r="S830" s="0" t="s">
        <v>974</v>
      </c>
    </row>
    <row r="831" customFormat="false" ht="13.8" hidden="false" customHeight="false" outlineLevel="0" collapsed="false">
      <c r="A831" s="0" t="n">
        <v>2587</v>
      </c>
      <c r="B831" s="0" t="s">
        <v>4975</v>
      </c>
      <c r="C831" s="0" t="s">
        <v>3990</v>
      </c>
      <c r="E831" s="0" t="n">
        <f aca="false">IF(J830=J831,E830+10,0)</f>
        <v>60</v>
      </c>
      <c r="F831" s="0" t="s">
        <v>4976</v>
      </c>
      <c r="G831" s="0" t="s">
        <v>4977</v>
      </c>
      <c r="H831" s="0" t="s">
        <v>4978</v>
      </c>
      <c r="I831" s="0" t="s">
        <v>1033</v>
      </c>
      <c r="J831" s="0" t="s">
        <v>1306</v>
      </c>
      <c r="K831" s="0" t="s">
        <v>971</v>
      </c>
      <c r="L831" s="0" t="s">
        <v>974</v>
      </c>
      <c r="M831" s="0" t="s">
        <v>973</v>
      </c>
      <c r="N831" s="0" t="s">
        <v>974</v>
      </c>
      <c r="O831" s="0" t="s">
        <v>975</v>
      </c>
      <c r="P831" s="0" t="s">
        <v>976</v>
      </c>
      <c r="Q831" s="0" t="s">
        <v>973</v>
      </c>
      <c r="R831" s="0" t="s">
        <v>970</v>
      </c>
      <c r="S831" s="0" t="s">
        <v>974</v>
      </c>
    </row>
    <row r="832" customFormat="false" ht="13.8" hidden="false" customHeight="false" outlineLevel="0" collapsed="false">
      <c r="A832" s="0" t="n">
        <v>2588</v>
      </c>
      <c r="B832" s="0" t="s">
        <v>4979</v>
      </c>
      <c r="C832" s="0" t="s">
        <v>4980</v>
      </c>
      <c r="E832" s="0" t="n">
        <f aca="false">IF(J831=J832,E831+10,0)</f>
        <v>70</v>
      </c>
      <c r="F832" s="0" t="s">
        <v>4981</v>
      </c>
      <c r="G832" s="0" t="s">
        <v>4982</v>
      </c>
      <c r="H832" s="0" t="s">
        <v>4983</v>
      </c>
      <c r="I832" s="0" t="s">
        <v>4984</v>
      </c>
      <c r="J832" s="0" t="s">
        <v>1306</v>
      </c>
      <c r="K832" s="0" t="s">
        <v>971</v>
      </c>
      <c r="L832" s="0" t="s">
        <v>1829</v>
      </c>
      <c r="M832" s="0" t="s">
        <v>973</v>
      </c>
      <c r="N832" s="0" t="s">
        <v>974</v>
      </c>
      <c r="O832" s="0" t="s">
        <v>975</v>
      </c>
      <c r="P832" s="0" t="s">
        <v>976</v>
      </c>
      <c r="Q832" s="0" t="s">
        <v>974</v>
      </c>
      <c r="R832" s="0" t="s">
        <v>970</v>
      </c>
      <c r="S832" s="0" t="s">
        <v>974</v>
      </c>
    </row>
    <row r="833" customFormat="false" ht="13.8" hidden="false" customHeight="false" outlineLevel="0" collapsed="false">
      <c r="A833" s="0" t="n">
        <v>2589</v>
      </c>
      <c r="B833" s="0" t="s">
        <v>4985</v>
      </c>
      <c r="C833" s="0" t="s">
        <v>4000</v>
      </c>
      <c r="E833" s="0" t="n">
        <f aca="false">IF(J832=J833,E832+10,0)</f>
        <v>80</v>
      </c>
      <c r="F833" s="0" t="s">
        <v>4986</v>
      </c>
      <c r="G833" s="0" t="s">
        <v>4987</v>
      </c>
      <c r="H833" s="0" t="s">
        <v>4988</v>
      </c>
      <c r="I833" s="0" t="s">
        <v>1106</v>
      </c>
      <c r="J833" s="0" t="s">
        <v>1306</v>
      </c>
      <c r="K833" s="0" t="s">
        <v>971</v>
      </c>
      <c r="L833" s="0" t="s">
        <v>974</v>
      </c>
      <c r="M833" s="0" t="s">
        <v>973</v>
      </c>
      <c r="N833" s="0" t="s">
        <v>974</v>
      </c>
      <c r="O833" s="0" t="s">
        <v>975</v>
      </c>
      <c r="P833" s="0" t="s">
        <v>976</v>
      </c>
      <c r="Q833" s="0" t="s">
        <v>1541</v>
      </c>
      <c r="R833" s="0" t="s">
        <v>970</v>
      </c>
      <c r="S833" s="0" t="s">
        <v>974</v>
      </c>
    </row>
    <row r="834" customFormat="false" ht="13.8" hidden="false" customHeight="false" outlineLevel="0" collapsed="false">
      <c r="A834" s="0" t="n">
        <v>2590</v>
      </c>
      <c r="B834" s="0" t="s">
        <v>4989</v>
      </c>
      <c r="C834" s="0" t="s">
        <v>1662</v>
      </c>
      <c r="E834" s="0" t="n">
        <f aca="false">IF(J833=J834,E833+10,0)</f>
        <v>90</v>
      </c>
      <c r="F834" s="0" t="s">
        <v>4990</v>
      </c>
      <c r="G834" s="0" t="s">
        <v>4991</v>
      </c>
      <c r="H834" s="0" t="s">
        <v>4992</v>
      </c>
      <c r="I834" s="0" t="s">
        <v>1666</v>
      </c>
      <c r="J834" s="0" t="s">
        <v>1306</v>
      </c>
      <c r="K834" s="0" t="s">
        <v>971</v>
      </c>
      <c r="L834" s="0" t="s">
        <v>974</v>
      </c>
      <c r="M834" s="0" t="s">
        <v>973</v>
      </c>
      <c r="N834" s="0" t="s">
        <v>974</v>
      </c>
      <c r="O834" s="0" t="s">
        <v>975</v>
      </c>
      <c r="P834" s="0" t="s">
        <v>976</v>
      </c>
      <c r="Q834" s="0" t="s">
        <v>973</v>
      </c>
      <c r="R834" s="0" t="s">
        <v>1046</v>
      </c>
      <c r="S834" s="0" t="s">
        <v>974</v>
      </c>
    </row>
    <row r="835" customFormat="false" ht="13.8" hidden="false" customHeight="false" outlineLevel="0" collapsed="false">
      <c r="A835" s="0" t="n">
        <v>2591</v>
      </c>
      <c r="B835" s="0" t="s">
        <v>4993</v>
      </c>
      <c r="C835" s="0" t="s">
        <v>4084</v>
      </c>
      <c r="E835" s="0" t="n">
        <f aca="false">IF(J834=J835,E834+10,0)</f>
        <v>100</v>
      </c>
      <c r="F835" s="0" t="s">
        <v>4994</v>
      </c>
      <c r="G835" s="0" t="s">
        <v>4995</v>
      </c>
      <c r="H835" s="0" t="s">
        <v>4996</v>
      </c>
      <c r="I835" s="0" t="s">
        <v>1723</v>
      </c>
      <c r="J835" s="0" t="s">
        <v>1306</v>
      </c>
      <c r="K835" s="0" t="s">
        <v>971</v>
      </c>
      <c r="L835" s="0" t="s">
        <v>974</v>
      </c>
      <c r="M835" s="0" t="s">
        <v>973</v>
      </c>
      <c r="N835" s="0" t="s">
        <v>974</v>
      </c>
      <c r="O835" s="0" t="s">
        <v>975</v>
      </c>
      <c r="P835" s="0" t="s">
        <v>976</v>
      </c>
      <c r="Q835" s="0" t="s">
        <v>970</v>
      </c>
      <c r="R835" s="0" t="s">
        <v>970</v>
      </c>
      <c r="S835" s="0" t="s">
        <v>974</v>
      </c>
    </row>
    <row r="836" customFormat="false" ht="13.8" hidden="false" customHeight="false" outlineLevel="0" collapsed="false">
      <c r="A836" s="0" t="n">
        <v>2592</v>
      </c>
      <c r="B836" s="0" t="s">
        <v>4997</v>
      </c>
      <c r="C836" s="0" t="s">
        <v>4089</v>
      </c>
      <c r="E836" s="0" t="n">
        <f aca="false">IF(J835=J836,E835+10,0)</f>
        <v>110</v>
      </c>
      <c r="F836" s="0" t="s">
        <v>4998</v>
      </c>
      <c r="G836" s="0" t="s">
        <v>4999</v>
      </c>
      <c r="H836" s="0" t="s">
        <v>5000</v>
      </c>
      <c r="I836" s="0" t="s">
        <v>2195</v>
      </c>
      <c r="J836" s="0" t="s">
        <v>1306</v>
      </c>
      <c r="K836" s="0" t="s">
        <v>971</v>
      </c>
      <c r="L836" s="0" t="s">
        <v>974</v>
      </c>
      <c r="M836" s="0" t="s">
        <v>973</v>
      </c>
      <c r="N836" s="0" t="s">
        <v>974</v>
      </c>
      <c r="O836" s="0" t="s">
        <v>975</v>
      </c>
      <c r="P836" s="0" t="s">
        <v>976</v>
      </c>
      <c r="Q836" s="0" t="s">
        <v>970</v>
      </c>
      <c r="R836" s="0" t="s">
        <v>970</v>
      </c>
      <c r="S836" s="0" t="s">
        <v>974</v>
      </c>
    </row>
    <row r="837" customFormat="false" ht="13.8" hidden="false" customHeight="false" outlineLevel="0" collapsed="false">
      <c r="A837" s="0" t="n">
        <v>2593</v>
      </c>
      <c r="B837" s="0" t="s">
        <v>5001</v>
      </c>
      <c r="C837" s="0" t="s">
        <v>4018</v>
      </c>
      <c r="E837" s="0" t="n">
        <f aca="false">IF(J836=J837,E836+10,0)</f>
        <v>120</v>
      </c>
      <c r="F837" s="0" t="s">
        <v>5002</v>
      </c>
      <c r="G837" s="0" t="s">
        <v>5003</v>
      </c>
      <c r="H837" s="0" t="s">
        <v>5004</v>
      </c>
      <c r="I837" s="0" t="s">
        <v>1180</v>
      </c>
      <c r="J837" s="0" t="s">
        <v>1306</v>
      </c>
      <c r="K837" s="0" t="s">
        <v>971</v>
      </c>
      <c r="L837" s="0" t="s">
        <v>974</v>
      </c>
      <c r="M837" s="0" t="s">
        <v>973</v>
      </c>
      <c r="N837" s="0" t="s">
        <v>974</v>
      </c>
      <c r="O837" s="0" t="s">
        <v>975</v>
      </c>
      <c r="P837" s="0" t="s">
        <v>976</v>
      </c>
      <c r="Q837" s="0" t="s">
        <v>970</v>
      </c>
      <c r="R837" s="0" t="s">
        <v>1046</v>
      </c>
      <c r="S837" s="0" t="s">
        <v>974</v>
      </c>
    </row>
    <row r="838" customFormat="false" ht="13.8" hidden="false" customHeight="false" outlineLevel="0" collapsed="false">
      <c r="A838" s="0" t="n">
        <v>2594</v>
      </c>
      <c r="B838" s="0" t="s">
        <v>5005</v>
      </c>
      <c r="C838" s="0" t="s">
        <v>4098</v>
      </c>
      <c r="E838" s="0" t="n">
        <f aca="false">IF(J837=J838,E837+10,0)</f>
        <v>130</v>
      </c>
      <c r="F838" s="0" t="s">
        <v>5006</v>
      </c>
      <c r="G838" s="0" t="s">
        <v>5007</v>
      </c>
      <c r="H838" s="0" t="s">
        <v>5008</v>
      </c>
      <c r="I838" s="0" t="s">
        <v>1045</v>
      </c>
      <c r="J838" s="0" t="s">
        <v>1306</v>
      </c>
      <c r="K838" s="0" t="s">
        <v>971</v>
      </c>
      <c r="L838" s="0" t="s">
        <v>974</v>
      </c>
      <c r="M838" s="0" t="s">
        <v>973</v>
      </c>
      <c r="N838" s="0" t="s">
        <v>974</v>
      </c>
      <c r="O838" s="0" t="s">
        <v>975</v>
      </c>
      <c r="P838" s="0" t="s">
        <v>976</v>
      </c>
      <c r="Q838" s="0" t="s">
        <v>1059</v>
      </c>
      <c r="R838" s="0" t="s">
        <v>1046</v>
      </c>
      <c r="S838" s="0" t="s">
        <v>974</v>
      </c>
    </row>
    <row r="839" customFormat="false" ht="13.8" hidden="false" customHeight="false" outlineLevel="0" collapsed="false">
      <c r="A839" s="0" t="n">
        <v>2595</v>
      </c>
      <c r="B839" s="0" t="s">
        <v>5009</v>
      </c>
      <c r="C839" s="0" t="s">
        <v>4028</v>
      </c>
      <c r="E839" s="0" t="n">
        <f aca="false">IF(J838=J839,E838+10,0)</f>
        <v>140</v>
      </c>
      <c r="F839" s="0" t="s">
        <v>5010</v>
      </c>
      <c r="G839" s="0" t="s">
        <v>5011</v>
      </c>
      <c r="H839" s="0" t="s">
        <v>5012</v>
      </c>
      <c r="I839" s="0" t="s">
        <v>1587</v>
      </c>
      <c r="J839" s="0" t="s">
        <v>1306</v>
      </c>
      <c r="K839" s="0" t="s">
        <v>971</v>
      </c>
      <c r="L839" s="0" t="s">
        <v>974</v>
      </c>
      <c r="M839" s="0" t="s">
        <v>973</v>
      </c>
      <c r="N839" s="0" t="s">
        <v>974</v>
      </c>
      <c r="O839" s="0" t="s">
        <v>975</v>
      </c>
      <c r="P839" s="0" t="s">
        <v>976</v>
      </c>
      <c r="Q839" s="0" t="s">
        <v>1059</v>
      </c>
      <c r="R839" s="0" t="s">
        <v>1046</v>
      </c>
      <c r="S839" s="0" t="s">
        <v>974</v>
      </c>
    </row>
    <row r="840" customFormat="false" ht="13.8" hidden="false" customHeight="false" outlineLevel="0" collapsed="false">
      <c r="A840" s="0" t="n">
        <v>2596</v>
      </c>
      <c r="B840" s="0" t="s">
        <v>5013</v>
      </c>
      <c r="C840" s="0" t="s">
        <v>1420</v>
      </c>
      <c r="E840" s="0" t="n">
        <f aca="false">IF(J839=J840,E839+10,0)</f>
        <v>150</v>
      </c>
      <c r="F840" s="0" t="s">
        <v>5014</v>
      </c>
      <c r="G840" s="0" t="s">
        <v>5015</v>
      </c>
      <c r="H840" s="0" t="s">
        <v>5016</v>
      </c>
      <c r="I840" s="0" t="s">
        <v>1100</v>
      </c>
      <c r="J840" s="0" t="s">
        <v>1306</v>
      </c>
      <c r="K840" s="0" t="s">
        <v>971</v>
      </c>
      <c r="L840" s="0" t="s">
        <v>974</v>
      </c>
      <c r="M840" s="0" t="s">
        <v>973</v>
      </c>
      <c r="N840" s="0" t="s">
        <v>974</v>
      </c>
      <c r="O840" s="0" t="s">
        <v>975</v>
      </c>
      <c r="P840" s="0" t="s">
        <v>976</v>
      </c>
      <c r="Q840" s="0" t="s">
        <v>1067</v>
      </c>
      <c r="R840" s="0" t="s">
        <v>1046</v>
      </c>
      <c r="S840" s="0" t="s">
        <v>974</v>
      </c>
    </row>
    <row r="841" customFormat="false" ht="13.8" hidden="false" customHeight="false" outlineLevel="0" collapsed="false">
      <c r="A841" s="0" t="n">
        <v>2597</v>
      </c>
      <c r="B841" s="0" t="s">
        <v>5017</v>
      </c>
      <c r="C841" s="0" t="s">
        <v>5018</v>
      </c>
      <c r="E841" s="0" t="n">
        <f aca="false">IF(J840=J841,E840+10,0)</f>
        <v>0</v>
      </c>
      <c r="F841" s="0" t="s">
        <v>5019</v>
      </c>
      <c r="G841" s="0" t="s">
        <v>5020</v>
      </c>
      <c r="H841" s="0" t="s">
        <v>5021</v>
      </c>
      <c r="I841" s="0" t="s">
        <v>1356</v>
      </c>
      <c r="J841" s="0" t="s">
        <v>1161</v>
      </c>
      <c r="K841" s="0" t="s">
        <v>971</v>
      </c>
      <c r="L841" s="0" t="s">
        <v>1117</v>
      </c>
      <c r="M841" s="0" t="s">
        <v>973</v>
      </c>
      <c r="N841" s="0" t="s">
        <v>974</v>
      </c>
      <c r="O841" s="0" t="s">
        <v>975</v>
      </c>
      <c r="P841" s="0" t="s">
        <v>976</v>
      </c>
      <c r="Q841" s="0" t="s">
        <v>974</v>
      </c>
      <c r="R841" s="0" t="s">
        <v>970</v>
      </c>
      <c r="S841" s="0" t="s">
        <v>974</v>
      </c>
    </row>
    <row r="842" customFormat="false" ht="13.8" hidden="false" customHeight="false" outlineLevel="0" collapsed="false">
      <c r="A842" s="0" t="n">
        <v>2598</v>
      </c>
      <c r="B842" s="0" t="s">
        <v>5022</v>
      </c>
      <c r="C842" s="0" t="s">
        <v>5023</v>
      </c>
      <c r="E842" s="0" t="n">
        <f aca="false">IF(J841=J842,E841+10,0)</f>
        <v>10</v>
      </c>
      <c r="F842" s="0" t="s">
        <v>5024</v>
      </c>
      <c r="G842" s="0" t="s">
        <v>5025</v>
      </c>
      <c r="H842" s="0" t="s">
        <v>5026</v>
      </c>
      <c r="I842" s="0" t="s">
        <v>5027</v>
      </c>
      <c r="J842" s="0" t="s">
        <v>1161</v>
      </c>
      <c r="K842" s="0" t="s">
        <v>971</v>
      </c>
      <c r="L842" s="0" t="s">
        <v>1067</v>
      </c>
      <c r="M842" s="0" t="s">
        <v>973</v>
      </c>
      <c r="N842" s="0" t="s">
        <v>974</v>
      </c>
      <c r="O842" s="0" t="s">
        <v>975</v>
      </c>
      <c r="P842" s="0" t="s">
        <v>976</v>
      </c>
      <c r="Q842" s="0" t="s">
        <v>974</v>
      </c>
      <c r="R842" s="0" t="s">
        <v>970</v>
      </c>
      <c r="S842" s="0" t="s">
        <v>974</v>
      </c>
    </row>
    <row r="843" customFormat="false" ht="13.8" hidden="false" customHeight="false" outlineLevel="0" collapsed="false">
      <c r="A843" s="0" t="n">
        <v>2599</v>
      </c>
      <c r="B843" s="0" t="s">
        <v>5028</v>
      </c>
      <c r="C843" s="0" t="s">
        <v>4887</v>
      </c>
      <c r="E843" s="0" t="n">
        <f aca="false">IF(J842=J843,E842+10,0)</f>
        <v>20</v>
      </c>
      <c r="F843" s="0" t="s">
        <v>5029</v>
      </c>
      <c r="G843" s="0" t="s">
        <v>5030</v>
      </c>
      <c r="H843" s="0" t="s">
        <v>5031</v>
      </c>
      <c r="I843" s="0" t="s">
        <v>1021</v>
      </c>
      <c r="J843" s="0" t="s">
        <v>1161</v>
      </c>
      <c r="K843" s="0" t="s">
        <v>971</v>
      </c>
      <c r="L843" s="0" t="s">
        <v>974</v>
      </c>
      <c r="M843" s="0" t="s">
        <v>973</v>
      </c>
      <c r="N843" s="0" t="s">
        <v>974</v>
      </c>
      <c r="O843" s="0" t="s">
        <v>975</v>
      </c>
      <c r="P843" s="0" t="s">
        <v>976</v>
      </c>
      <c r="Q843" s="0" t="s">
        <v>970</v>
      </c>
      <c r="R843" s="0" t="s">
        <v>970</v>
      </c>
      <c r="S843" s="0" t="s">
        <v>974</v>
      </c>
    </row>
    <row r="844" customFormat="false" ht="13.8" hidden="false" customHeight="false" outlineLevel="0" collapsed="false">
      <c r="A844" s="0" t="n">
        <v>2600</v>
      </c>
      <c r="B844" s="0" t="s">
        <v>5032</v>
      </c>
      <c r="C844" s="0" t="s">
        <v>4417</v>
      </c>
      <c r="E844" s="0" t="n">
        <f aca="false">IF(J843=J844,E843+10,0)</f>
        <v>30</v>
      </c>
      <c r="F844" s="0" t="s">
        <v>5033</v>
      </c>
      <c r="G844" s="0" t="s">
        <v>5034</v>
      </c>
      <c r="H844" s="0" t="s">
        <v>5035</v>
      </c>
      <c r="I844" s="0" t="s">
        <v>1052</v>
      </c>
      <c r="J844" s="0" t="s">
        <v>1161</v>
      </c>
      <c r="K844" s="0" t="s">
        <v>971</v>
      </c>
      <c r="L844" s="0" t="s">
        <v>1067</v>
      </c>
      <c r="M844" s="0" t="s">
        <v>973</v>
      </c>
      <c r="N844" s="0" t="s">
        <v>974</v>
      </c>
      <c r="O844" s="0" t="s">
        <v>975</v>
      </c>
      <c r="P844" s="0" t="s">
        <v>976</v>
      </c>
      <c r="Q844" s="0" t="s">
        <v>974</v>
      </c>
      <c r="R844" s="0" t="s">
        <v>970</v>
      </c>
      <c r="S844" s="0" t="s">
        <v>974</v>
      </c>
    </row>
    <row r="845" customFormat="false" ht="13.8" hidden="false" customHeight="false" outlineLevel="0" collapsed="false">
      <c r="A845" s="0" t="n">
        <v>2601</v>
      </c>
      <c r="B845" s="0" t="s">
        <v>5036</v>
      </c>
      <c r="C845" s="0" t="s">
        <v>4577</v>
      </c>
      <c r="E845" s="0" t="n">
        <f aca="false">IF(J844=J845,E844+10,0)</f>
        <v>40</v>
      </c>
      <c r="F845" s="0" t="s">
        <v>5037</v>
      </c>
      <c r="G845" s="0" t="s">
        <v>5038</v>
      </c>
      <c r="H845" s="0" t="s">
        <v>5039</v>
      </c>
      <c r="I845" s="0" t="s">
        <v>995</v>
      </c>
      <c r="J845" s="0" t="s">
        <v>1161</v>
      </c>
      <c r="K845" s="0" t="s">
        <v>971</v>
      </c>
      <c r="L845" s="0" t="s">
        <v>1459</v>
      </c>
      <c r="M845" s="0" t="s">
        <v>973</v>
      </c>
      <c r="N845" s="0" t="s">
        <v>974</v>
      </c>
      <c r="O845" s="0" t="s">
        <v>975</v>
      </c>
      <c r="P845" s="0" t="s">
        <v>976</v>
      </c>
      <c r="Q845" s="0" t="s">
        <v>974</v>
      </c>
      <c r="R845" s="0" t="s">
        <v>970</v>
      </c>
      <c r="S845" s="0" t="s">
        <v>974</v>
      </c>
    </row>
    <row r="846" customFormat="false" ht="13.8" hidden="false" customHeight="false" outlineLevel="0" collapsed="false">
      <c r="A846" s="0" t="n">
        <v>2602</v>
      </c>
      <c r="B846" s="0" t="s">
        <v>5040</v>
      </c>
      <c r="C846" s="0" t="s">
        <v>4643</v>
      </c>
      <c r="E846" s="0" t="n">
        <f aca="false">IF(J845=J846,E845+10,0)</f>
        <v>50</v>
      </c>
      <c r="F846" s="0" t="s">
        <v>5041</v>
      </c>
      <c r="G846" s="0" t="s">
        <v>5042</v>
      </c>
      <c r="H846" s="0" t="s">
        <v>5043</v>
      </c>
      <c r="I846" s="0" t="s">
        <v>1065</v>
      </c>
      <c r="J846" s="0" t="s">
        <v>1161</v>
      </c>
      <c r="K846" s="0" t="s">
        <v>971</v>
      </c>
      <c r="L846" s="0" t="s">
        <v>974</v>
      </c>
      <c r="M846" s="0" t="s">
        <v>973</v>
      </c>
      <c r="N846" s="0" t="s">
        <v>974</v>
      </c>
      <c r="O846" s="0" t="s">
        <v>975</v>
      </c>
      <c r="P846" s="0" t="s">
        <v>976</v>
      </c>
      <c r="Q846" s="0" t="s">
        <v>1082</v>
      </c>
      <c r="R846" s="0" t="s">
        <v>970</v>
      </c>
      <c r="S846" s="0" t="s">
        <v>974</v>
      </c>
    </row>
    <row r="847" customFormat="false" ht="13.8" hidden="false" customHeight="false" outlineLevel="0" collapsed="false">
      <c r="A847" s="0" t="n">
        <v>2603</v>
      </c>
      <c r="B847" s="0" t="s">
        <v>5044</v>
      </c>
      <c r="C847" s="0" t="s">
        <v>4505</v>
      </c>
      <c r="E847" s="0" t="n">
        <f aca="false">IF(J846=J847,E846+10,0)</f>
        <v>60</v>
      </c>
      <c r="F847" s="0" t="s">
        <v>5045</v>
      </c>
      <c r="G847" s="0" t="s">
        <v>5046</v>
      </c>
      <c r="H847" s="0" t="s">
        <v>5047</v>
      </c>
      <c r="I847" s="0" t="s">
        <v>970</v>
      </c>
      <c r="J847" s="0" t="s">
        <v>1161</v>
      </c>
      <c r="K847" s="0" t="s">
        <v>971</v>
      </c>
      <c r="L847" s="0" t="s">
        <v>974</v>
      </c>
      <c r="M847" s="0" t="s">
        <v>973</v>
      </c>
      <c r="N847" s="0" t="s">
        <v>974</v>
      </c>
      <c r="O847" s="0" t="s">
        <v>975</v>
      </c>
      <c r="P847" s="0" t="s">
        <v>976</v>
      </c>
      <c r="Q847" s="0" t="s">
        <v>970</v>
      </c>
      <c r="R847" s="0" t="s">
        <v>970</v>
      </c>
      <c r="S847" s="0" t="s">
        <v>974</v>
      </c>
    </row>
    <row r="848" customFormat="false" ht="13.8" hidden="false" customHeight="false" outlineLevel="0" collapsed="false">
      <c r="A848" s="0" t="n">
        <v>2604</v>
      </c>
      <c r="B848" s="0" t="s">
        <v>5048</v>
      </c>
      <c r="C848" s="0" t="s">
        <v>1130</v>
      </c>
      <c r="E848" s="0" t="n">
        <f aca="false">IF(J847=J848,E847+10,0)</f>
        <v>70</v>
      </c>
      <c r="F848" s="0" t="s">
        <v>5049</v>
      </c>
      <c r="G848" s="0" t="s">
        <v>5050</v>
      </c>
      <c r="H848" s="0" t="s">
        <v>5051</v>
      </c>
      <c r="I848" s="0" t="s">
        <v>1033</v>
      </c>
      <c r="J848" s="0" t="s">
        <v>1161</v>
      </c>
      <c r="K848" s="0" t="s">
        <v>971</v>
      </c>
      <c r="L848" s="0" t="s">
        <v>974</v>
      </c>
      <c r="M848" s="0" t="s">
        <v>973</v>
      </c>
      <c r="N848" s="0" t="s">
        <v>974</v>
      </c>
      <c r="O848" s="0" t="s">
        <v>975</v>
      </c>
      <c r="P848" s="0" t="s">
        <v>976</v>
      </c>
      <c r="Q848" s="0" t="s">
        <v>970</v>
      </c>
      <c r="R848" s="0" t="s">
        <v>970</v>
      </c>
      <c r="S848" s="0" t="s">
        <v>974</v>
      </c>
    </row>
    <row r="849" customFormat="false" ht="13.8" hidden="false" customHeight="false" outlineLevel="0" collapsed="false">
      <c r="A849" s="0" t="n">
        <v>2605</v>
      </c>
      <c r="B849" s="0" t="s">
        <v>5052</v>
      </c>
      <c r="C849" s="0" t="s">
        <v>5053</v>
      </c>
      <c r="E849" s="0" t="n">
        <f aca="false">IF(J848=J849,E848+10,0)</f>
        <v>80</v>
      </c>
      <c r="F849" s="0" t="s">
        <v>5054</v>
      </c>
      <c r="G849" s="0" t="s">
        <v>5055</v>
      </c>
      <c r="H849" s="0" t="s">
        <v>5056</v>
      </c>
      <c r="I849" s="0" t="s">
        <v>5057</v>
      </c>
      <c r="J849" s="0" t="s">
        <v>1161</v>
      </c>
      <c r="K849" s="0" t="s">
        <v>971</v>
      </c>
      <c r="L849" s="0" t="s">
        <v>1737</v>
      </c>
      <c r="M849" s="0" t="s">
        <v>973</v>
      </c>
      <c r="N849" s="0" t="s">
        <v>974</v>
      </c>
      <c r="O849" s="0" t="s">
        <v>975</v>
      </c>
      <c r="P849" s="0" t="s">
        <v>976</v>
      </c>
      <c r="Q849" s="0" t="s">
        <v>974</v>
      </c>
      <c r="R849" s="0" t="s">
        <v>970</v>
      </c>
      <c r="S849" s="0" t="s">
        <v>974</v>
      </c>
    </row>
    <row r="850" customFormat="false" ht="13.8" hidden="false" customHeight="false" outlineLevel="0" collapsed="false">
      <c r="A850" s="0" t="n">
        <v>2606</v>
      </c>
      <c r="B850" s="0" t="s">
        <v>5058</v>
      </c>
      <c r="C850" s="0" t="s">
        <v>4000</v>
      </c>
      <c r="E850" s="0" t="n">
        <f aca="false">IF(J849=J850,E849+10,0)</f>
        <v>90</v>
      </c>
      <c r="F850" s="0" t="s">
        <v>5059</v>
      </c>
      <c r="G850" s="0" t="s">
        <v>5060</v>
      </c>
      <c r="H850" s="0" t="s">
        <v>5061</v>
      </c>
      <c r="I850" s="0" t="s">
        <v>1106</v>
      </c>
      <c r="J850" s="0" t="s">
        <v>1161</v>
      </c>
      <c r="K850" s="0" t="s">
        <v>971</v>
      </c>
      <c r="L850" s="0" t="s">
        <v>974</v>
      </c>
      <c r="M850" s="0" t="s">
        <v>973</v>
      </c>
      <c r="N850" s="0" t="s">
        <v>974</v>
      </c>
      <c r="O850" s="0" t="s">
        <v>975</v>
      </c>
      <c r="P850" s="0" t="s">
        <v>976</v>
      </c>
      <c r="Q850" s="0" t="s">
        <v>1459</v>
      </c>
      <c r="R850" s="0" t="s">
        <v>970</v>
      </c>
      <c r="S850" s="0" t="s">
        <v>974</v>
      </c>
    </row>
    <row r="851" customFormat="false" ht="13.8" hidden="false" customHeight="false" outlineLevel="0" collapsed="false">
      <c r="A851" s="0" t="n">
        <v>2607</v>
      </c>
      <c r="B851" s="0" t="s">
        <v>5062</v>
      </c>
      <c r="C851" s="0" t="s">
        <v>1662</v>
      </c>
      <c r="E851" s="0" t="n">
        <f aca="false">IF(J850=J851,E850+10,0)</f>
        <v>100</v>
      </c>
      <c r="F851" s="0" t="s">
        <v>5063</v>
      </c>
      <c r="G851" s="0" t="s">
        <v>5064</v>
      </c>
      <c r="H851" s="0" t="s">
        <v>5065</v>
      </c>
      <c r="I851" s="0" t="s">
        <v>1666</v>
      </c>
      <c r="J851" s="0" t="s">
        <v>1161</v>
      </c>
      <c r="K851" s="0" t="s">
        <v>971</v>
      </c>
      <c r="L851" s="0" t="s">
        <v>974</v>
      </c>
      <c r="M851" s="0" t="s">
        <v>973</v>
      </c>
      <c r="N851" s="0" t="s">
        <v>974</v>
      </c>
      <c r="O851" s="0" t="s">
        <v>975</v>
      </c>
      <c r="P851" s="0" t="s">
        <v>976</v>
      </c>
      <c r="Q851" s="0" t="s">
        <v>973</v>
      </c>
      <c r="R851" s="0" t="s">
        <v>1046</v>
      </c>
      <c r="S851" s="0" t="s">
        <v>974</v>
      </c>
    </row>
    <row r="852" customFormat="false" ht="13.8" hidden="false" customHeight="false" outlineLevel="0" collapsed="false">
      <c r="A852" s="0" t="n">
        <v>2608</v>
      </c>
      <c r="B852" s="0" t="s">
        <v>5066</v>
      </c>
      <c r="C852" s="0" t="s">
        <v>1010</v>
      </c>
      <c r="E852" s="0" t="n">
        <f aca="false">IF(J851=J852,E851+10,0)</f>
        <v>110</v>
      </c>
      <c r="F852" s="0" t="s">
        <v>5067</v>
      </c>
      <c r="G852" s="0" t="s">
        <v>5068</v>
      </c>
      <c r="H852" s="0" t="s">
        <v>5069</v>
      </c>
      <c r="I852" s="0" t="s">
        <v>1014</v>
      </c>
      <c r="J852" s="0" t="s">
        <v>1161</v>
      </c>
      <c r="K852" s="0" t="s">
        <v>971</v>
      </c>
      <c r="L852" s="0" t="s">
        <v>974</v>
      </c>
      <c r="M852" s="0" t="s">
        <v>973</v>
      </c>
      <c r="N852" s="0" t="s">
        <v>974</v>
      </c>
      <c r="O852" s="0" t="s">
        <v>975</v>
      </c>
      <c r="P852" s="0" t="s">
        <v>976</v>
      </c>
      <c r="Q852" s="0" t="s">
        <v>973</v>
      </c>
      <c r="R852" s="0" t="s">
        <v>1046</v>
      </c>
      <c r="S852" s="0" t="s">
        <v>974</v>
      </c>
    </row>
    <row r="853" customFormat="false" ht="13.8" hidden="false" customHeight="false" outlineLevel="0" collapsed="false">
      <c r="A853" s="0" t="n">
        <v>2609</v>
      </c>
      <c r="B853" s="0" t="s">
        <v>5070</v>
      </c>
      <c r="C853" s="0" t="s">
        <v>4013</v>
      </c>
      <c r="E853" s="0" t="n">
        <f aca="false">IF(J852=J853,E852+10,0)</f>
        <v>120</v>
      </c>
      <c r="F853" s="0" t="s">
        <v>5071</v>
      </c>
      <c r="G853" s="0" t="s">
        <v>5072</v>
      </c>
      <c r="H853" s="0" t="s">
        <v>5073</v>
      </c>
      <c r="I853" s="0" t="s">
        <v>1349</v>
      </c>
      <c r="J853" s="0" t="s">
        <v>1161</v>
      </c>
      <c r="K853" s="0" t="s">
        <v>971</v>
      </c>
      <c r="L853" s="0" t="s">
        <v>975</v>
      </c>
      <c r="M853" s="0" t="s">
        <v>973</v>
      </c>
      <c r="N853" s="0" t="s">
        <v>974</v>
      </c>
      <c r="O853" s="0" t="s">
        <v>975</v>
      </c>
      <c r="P853" s="0" t="s">
        <v>976</v>
      </c>
      <c r="Q853" s="0" t="s">
        <v>974</v>
      </c>
      <c r="R853" s="0" t="s">
        <v>970</v>
      </c>
      <c r="S853" s="0" t="s">
        <v>974</v>
      </c>
    </row>
    <row r="854" customFormat="false" ht="13.8" hidden="false" customHeight="false" outlineLevel="0" collapsed="false">
      <c r="A854" s="0" t="n">
        <v>2610</v>
      </c>
      <c r="B854" s="0" t="s">
        <v>5074</v>
      </c>
      <c r="C854" s="0" t="s">
        <v>4018</v>
      </c>
      <c r="E854" s="0" t="n">
        <f aca="false">IF(J853=J854,E853+10,0)</f>
        <v>130</v>
      </c>
      <c r="F854" s="0" t="s">
        <v>5075</v>
      </c>
      <c r="G854" s="0" t="s">
        <v>5076</v>
      </c>
      <c r="H854" s="0" t="s">
        <v>5077</v>
      </c>
      <c r="I854" s="0" t="s">
        <v>1180</v>
      </c>
      <c r="J854" s="0" t="s">
        <v>1161</v>
      </c>
      <c r="K854" s="0" t="s">
        <v>971</v>
      </c>
      <c r="L854" s="0" t="s">
        <v>974</v>
      </c>
      <c r="M854" s="0" t="s">
        <v>973</v>
      </c>
      <c r="N854" s="0" t="s">
        <v>974</v>
      </c>
      <c r="O854" s="0" t="s">
        <v>975</v>
      </c>
      <c r="P854" s="0" t="s">
        <v>976</v>
      </c>
      <c r="Q854" s="0" t="s">
        <v>1214</v>
      </c>
      <c r="R854" s="0" t="s">
        <v>1046</v>
      </c>
      <c r="S854" s="0" t="s">
        <v>974</v>
      </c>
    </row>
    <row r="855" customFormat="false" ht="13.8" hidden="false" customHeight="false" outlineLevel="0" collapsed="false">
      <c r="A855" s="0" t="n">
        <v>2611</v>
      </c>
      <c r="B855" s="0" t="s">
        <v>5078</v>
      </c>
      <c r="C855" s="0" t="s">
        <v>4023</v>
      </c>
      <c r="E855" s="0" t="n">
        <f aca="false">IF(J854=J855,E854+10,0)</f>
        <v>140</v>
      </c>
      <c r="F855" s="0" t="s">
        <v>5079</v>
      </c>
      <c r="G855" s="0" t="s">
        <v>5080</v>
      </c>
      <c r="H855" s="0" t="s">
        <v>5081</v>
      </c>
      <c r="I855" s="0" t="s">
        <v>1027</v>
      </c>
      <c r="J855" s="0" t="s">
        <v>1161</v>
      </c>
      <c r="K855" s="0" t="s">
        <v>971</v>
      </c>
      <c r="L855" s="0" t="s">
        <v>974</v>
      </c>
      <c r="M855" s="0" t="s">
        <v>973</v>
      </c>
      <c r="N855" s="0" t="s">
        <v>974</v>
      </c>
      <c r="O855" s="0" t="s">
        <v>975</v>
      </c>
      <c r="P855" s="0" t="s">
        <v>976</v>
      </c>
      <c r="Q855" s="0" t="s">
        <v>970</v>
      </c>
      <c r="R855" s="0" t="s">
        <v>1046</v>
      </c>
      <c r="S855" s="0" t="s">
        <v>974</v>
      </c>
    </row>
    <row r="856" customFormat="false" ht="13.8" hidden="false" customHeight="false" outlineLevel="0" collapsed="false">
      <c r="A856" s="0" t="n">
        <v>2612</v>
      </c>
      <c r="B856" s="0" t="s">
        <v>5082</v>
      </c>
      <c r="C856" s="0" t="s">
        <v>4028</v>
      </c>
      <c r="E856" s="0" t="n">
        <f aca="false">IF(J855=J856,E855+10,0)</f>
        <v>150</v>
      </c>
      <c r="F856" s="0" t="s">
        <v>5083</v>
      </c>
      <c r="G856" s="0" t="s">
        <v>5084</v>
      </c>
      <c r="H856" s="0" t="s">
        <v>5085</v>
      </c>
      <c r="I856" s="0" t="s">
        <v>1587</v>
      </c>
      <c r="J856" s="0" t="s">
        <v>1161</v>
      </c>
      <c r="K856" s="0" t="s">
        <v>971</v>
      </c>
      <c r="L856" s="0" t="s">
        <v>974</v>
      </c>
      <c r="M856" s="0" t="s">
        <v>973</v>
      </c>
      <c r="N856" s="0" t="s">
        <v>974</v>
      </c>
      <c r="O856" s="0" t="s">
        <v>975</v>
      </c>
      <c r="P856" s="0" t="s">
        <v>976</v>
      </c>
      <c r="Q856" s="0" t="s">
        <v>1128</v>
      </c>
      <c r="R856" s="0" t="s">
        <v>1046</v>
      </c>
      <c r="S856" s="0" t="s">
        <v>974</v>
      </c>
    </row>
    <row r="857" customFormat="false" ht="13.8" hidden="false" customHeight="false" outlineLevel="0" collapsed="false">
      <c r="A857" s="0" t="n">
        <v>2613</v>
      </c>
      <c r="B857" s="0" t="s">
        <v>5086</v>
      </c>
      <c r="C857" s="0" t="s">
        <v>1420</v>
      </c>
      <c r="E857" s="0" t="n">
        <f aca="false">IF(J856=J857,E856+10,0)</f>
        <v>160</v>
      </c>
      <c r="F857" s="0" t="s">
        <v>5087</v>
      </c>
      <c r="G857" s="0" t="s">
        <v>5088</v>
      </c>
      <c r="H857" s="0" t="s">
        <v>5089</v>
      </c>
      <c r="I857" s="0" t="s">
        <v>1100</v>
      </c>
      <c r="J857" s="0" t="s">
        <v>1161</v>
      </c>
      <c r="K857" s="0" t="s">
        <v>971</v>
      </c>
      <c r="L857" s="0" t="s">
        <v>974</v>
      </c>
      <c r="M857" s="0" t="s">
        <v>973</v>
      </c>
      <c r="N857" s="0" t="s">
        <v>974</v>
      </c>
      <c r="O857" s="0" t="s">
        <v>975</v>
      </c>
      <c r="P857" s="0" t="s">
        <v>976</v>
      </c>
      <c r="Q857" s="0" t="s">
        <v>4748</v>
      </c>
      <c r="R857" s="0" t="s">
        <v>1046</v>
      </c>
      <c r="S857" s="0" t="s">
        <v>974</v>
      </c>
    </row>
    <row r="858" customFormat="false" ht="13.8" hidden="false" customHeight="false" outlineLevel="0" collapsed="false">
      <c r="A858" s="0" t="n">
        <v>2614</v>
      </c>
      <c r="B858" s="0" t="s">
        <v>5090</v>
      </c>
      <c r="C858" s="0" t="s">
        <v>5091</v>
      </c>
      <c r="E858" s="0" t="n">
        <f aca="false">IF(J857=J858,E857+10,0)</f>
        <v>170</v>
      </c>
      <c r="F858" s="0" t="s">
        <v>5092</v>
      </c>
      <c r="G858" s="0" t="s">
        <v>5093</v>
      </c>
      <c r="H858" s="0" t="s">
        <v>5094</v>
      </c>
      <c r="I858" s="0" t="s">
        <v>5095</v>
      </c>
      <c r="J858" s="0" t="s">
        <v>1161</v>
      </c>
      <c r="K858" s="0" t="s">
        <v>971</v>
      </c>
      <c r="L858" s="0" t="s">
        <v>974</v>
      </c>
      <c r="M858" s="0" t="s">
        <v>973</v>
      </c>
      <c r="N858" s="0" t="s">
        <v>973</v>
      </c>
      <c r="O858" s="0" t="s">
        <v>2233</v>
      </c>
      <c r="P858" s="0" t="s">
        <v>976</v>
      </c>
      <c r="Q858" s="0" t="s">
        <v>974</v>
      </c>
      <c r="R858" s="0" t="s">
        <v>970</v>
      </c>
      <c r="S858" s="0" t="s">
        <v>974</v>
      </c>
    </row>
    <row r="859" customFormat="false" ht="13.8" hidden="false" customHeight="false" outlineLevel="0" collapsed="false">
      <c r="A859" s="0" t="n">
        <v>2615</v>
      </c>
      <c r="B859" s="0" t="s">
        <v>5096</v>
      </c>
      <c r="C859" s="0" t="s">
        <v>1171</v>
      </c>
      <c r="E859" s="0" t="n">
        <f aca="false">IF(J858=J859,E858+10,0)</f>
        <v>180</v>
      </c>
      <c r="F859" s="0" t="s">
        <v>5097</v>
      </c>
      <c r="G859" s="0" t="s">
        <v>5098</v>
      </c>
      <c r="H859" s="0" t="s">
        <v>5099</v>
      </c>
      <c r="I859" s="0" t="s">
        <v>1175</v>
      </c>
      <c r="J859" s="0" t="s">
        <v>1161</v>
      </c>
      <c r="K859" s="0" t="s">
        <v>971</v>
      </c>
      <c r="L859" s="0" t="s">
        <v>974</v>
      </c>
      <c r="M859" s="0" t="s">
        <v>973</v>
      </c>
      <c r="N859" s="0" t="s">
        <v>974</v>
      </c>
      <c r="O859" s="0" t="s">
        <v>975</v>
      </c>
      <c r="P859" s="0" t="s">
        <v>976</v>
      </c>
      <c r="Q859" s="0" t="s">
        <v>970</v>
      </c>
      <c r="R859" s="0" t="s">
        <v>970</v>
      </c>
      <c r="S859" s="0" t="s">
        <v>974</v>
      </c>
    </row>
    <row r="860" customFormat="false" ht="13.8" hidden="false" customHeight="false" outlineLevel="0" collapsed="false">
      <c r="A860" s="0" t="n">
        <v>2616</v>
      </c>
      <c r="B860" s="0" t="s">
        <v>5100</v>
      </c>
      <c r="C860" s="0" t="s">
        <v>4098</v>
      </c>
      <c r="E860" s="0" t="n">
        <f aca="false">IF(J859=J860,E859+10,0)</f>
        <v>190</v>
      </c>
      <c r="F860" s="0" t="s">
        <v>5101</v>
      </c>
      <c r="G860" s="0" t="s">
        <v>5102</v>
      </c>
      <c r="H860" s="0" t="s">
        <v>5103</v>
      </c>
      <c r="I860" s="0" t="s">
        <v>1045</v>
      </c>
      <c r="J860" s="0" t="s">
        <v>1161</v>
      </c>
      <c r="K860" s="0" t="s">
        <v>971</v>
      </c>
      <c r="L860" s="0" t="s">
        <v>974</v>
      </c>
      <c r="M860" s="0" t="s">
        <v>973</v>
      </c>
      <c r="N860" s="0" t="s">
        <v>974</v>
      </c>
      <c r="O860" s="0" t="s">
        <v>975</v>
      </c>
      <c r="P860" s="0" t="s">
        <v>976</v>
      </c>
      <c r="Q860" s="0" t="s">
        <v>970</v>
      </c>
      <c r="R860" s="0" t="s">
        <v>1046</v>
      </c>
      <c r="S860" s="0" t="s">
        <v>974</v>
      </c>
    </row>
    <row r="861" customFormat="false" ht="13.8" hidden="false" customHeight="false" outlineLevel="0" collapsed="false">
      <c r="A861" s="0" t="n">
        <v>2617</v>
      </c>
      <c r="B861" s="0" t="s">
        <v>5104</v>
      </c>
      <c r="C861" s="0" t="s">
        <v>1420</v>
      </c>
      <c r="E861" s="0" t="n">
        <f aca="false">IF(J860=J861,E860+10,0)</f>
        <v>200</v>
      </c>
      <c r="F861" s="0" t="s">
        <v>5105</v>
      </c>
      <c r="G861" s="0" t="s">
        <v>5106</v>
      </c>
      <c r="H861" s="0" t="s">
        <v>5107</v>
      </c>
      <c r="I861" s="0" t="s">
        <v>1100</v>
      </c>
      <c r="J861" s="0" t="s">
        <v>1161</v>
      </c>
      <c r="K861" s="0" t="s">
        <v>971</v>
      </c>
      <c r="L861" s="0" t="s">
        <v>974</v>
      </c>
      <c r="M861" s="0" t="s">
        <v>973</v>
      </c>
      <c r="N861" s="0" t="s">
        <v>974</v>
      </c>
      <c r="O861" s="0" t="s">
        <v>975</v>
      </c>
      <c r="P861" s="0" t="s">
        <v>976</v>
      </c>
      <c r="Q861" s="0" t="s">
        <v>1067</v>
      </c>
      <c r="R861" s="0" t="s">
        <v>1046</v>
      </c>
      <c r="S861" s="0" t="s">
        <v>974</v>
      </c>
    </row>
    <row r="862" customFormat="false" ht="13.8" hidden="false" customHeight="false" outlineLevel="0" collapsed="false">
      <c r="A862" s="0" t="n">
        <v>2618</v>
      </c>
      <c r="B862" s="0" t="s">
        <v>5108</v>
      </c>
      <c r="C862" s="0" t="s">
        <v>5109</v>
      </c>
      <c r="E862" s="0" t="n">
        <f aca="false">IF(J861=J862,E861+10,0)</f>
        <v>210</v>
      </c>
      <c r="F862" s="0" t="s">
        <v>5110</v>
      </c>
      <c r="G862" s="0" t="s">
        <v>5111</v>
      </c>
      <c r="H862" s="0" t="s">
        <v>5112</v>
      </c>
      <c r="I862" s="0" t="s">
        <v>5113</v>
      </c>
      <c r="J862" s="0" t="s">
        <v>1161</v>
      </c>
      <c r="K862" s="0" t="s">
        <v>971</v>
      </c>
      <c r="L862" s="0" t="s">
        <v>975</v>
      </c>
      <c r="M862" s="0" t="s">
        <v>973</v>
      </c>
      <c r="N862" s="0" t="s">
        <v>974</v>
      </c>
      <c r="O862" s="0" t="s">
        <v>975</v>
      </c>
      <c r="P862" s="0" t="s">
        <v>976</v>
      </c>
      <c r="Q862" s="0" t="s">
        <v>974</v>
      </c>
      <c r="R862" s="0" t="s">
        <v>970</v>
      </c>
      <c r="S862" s="0" t="s">
        <v>974</v>
      </c>
    </row>
    <row r="863" customFormat="false" ht="13.8" hidden="false" customHeight="false" outlineLevel="0" collapsed="false">
      <c r="A863" s="0" t="n">
        <v>2619</v>
      </c>
      <c r="B863" s="0" t="s">
        <v>5114</v>
      </c>
      <c r="C863" s="0" t="s">
        <v>5115</v>
      </c>
      <c r="E863" s="0" t="n">
        <f aca="false">IF(J862=J863,E862+10,0)</f>
        <v>0</v>
      </c>
      <c r="F863" s="0" t="s">
        <v>5116</v>
      </c>
      <c r="G863" s="0" t="s">
        <v>5117</v>
      </c>
      <c r="H863" s="0" t="s">
        <v>5118</v>
      </c>
      <c r="I863" s="0" t="s">
        <v>1249</v>
      </c>
      <c r="J863" s="0" t="s">
        <v>5113</v>
      </c>
      <c r="K863" s="0" t="s">
        <v>971</v>
      </c>
      <c r="L863" s="0" t="s">
        <v>974</v>
      </c>
      <c r="M863" s="0" t="s">
        <v>973</v>
      </c>
      <c r="N863" s="0" t="s">
        <v>974</v>
      </c>
      <c r="O863" s="0" t="s">
        <v>975</v>
      </c>
      <c r="P863" s="0" t="s">
        <v>976</v>
      </c>
      <c r="Q863" s="0" t="s">
        <v>970</v>
      </c>
      <c r="R863" s="0" t="s">
        <v>970</v>
      </c>
      <c r="S863" s="0" t="s">
        <v>974</v>
      </c>
    </row>
    <row r="864" customFormat="false" ht="13.8" hidden="false" customHeight="false" outlineLevel="0" collapsed="false">
      <c r="A864" s="0" t="n">
        <v>2620</v>
      </c>
      <c r="B864" s="0" t="s">
        <v>5119</v>
      </c>
      <c r="C864" s="0" t="s">
        <v>5120</v>
      </c>
      <c r="E864" s="0" t="n">
        <f aca="false">IF(J863=J864,E863+10,0)</f>
        <v>10</v>
      </c>
      <c r="F864" s="0" t="s">
        <v>5121</v>
      </c>
      <c r="G864" s="0" t="s">
        <v>5122</v>
      </c>
      <c r="H864" s="0" t="s">
        <v>5123</v>
      </c>
      <c r="I864" s="0" t="s">
        <v>1201</v>
      </c>
      <c r="J864" s="0" t="s">
        <v>5113</v>
      </c>
      <c r="K864" s="0" t="s">
        <v>971</v>
      </c>
      <c r="L864" s="0" t="s">
        <v>974</v>
      </c>
      <c r="M864" s="0" t="s">
        <v>973</v>
      </c>
      <c r="N864" s="0" t="s">
        <v>974</v>
      </c>
      <c r="O864" s="0" t="s">
        <v>975</v>
      </c>
      <c r="P864" s="0" t="s">
        <v>976</v>
      </c>
      <c r="Q864" s="0" t="s">
        <v>982</v>
      </c>
      <c r="R864" s="0" t="s">
        <v>970</v>
      </c>
      <c r="S864" s="0" t="s">
        <v>974</v>
      </c>
    </row>
    <row r="865" customFormat="false" ht="13.8" hidden="false" customHeight="false" outlineLevel="0" collapsed="false">
      <c r="A865" s="0" t="n">
        <v>2621</v>
      </c>
      <c r="B865" s="0" t="s">
        <v>5124</v>
      </c>
      <c r="C865" s="0" t="s">
        <v>5125</v>
      </c>
      <c r="E865" s="0" t="n">
        <f aca="false">IF(J864=J865,E864+10,0)</f>
        <v>20</v>
      </c>
      <c r="F865" s="0" t="s">
        <v>5126</v>
      </c>
      <c r="G865" s="0" t="s">
        <v>5127</v>
      </c>
      <c r="H865" s="0" t="s">
        <v>5128</v>
      </c>
      <c r="I865" s="0" t="s">
        <v>5129</v>
      </c>
      <c r="J865" s="0" t="s">
        <v>5113</v>
      </c>
      <c r="K865" s="0" t="s">
        <v>971</v>
      </c>
      <c r="L865" s="0" t="s">
        <v>974</v>
      </c>
      <c r="M865" s="0" t="s">
        <v>973</v>
      </c>
      <c r="N865" s="0" t="s">
        <v>974</v>
      </c>
      <c r="O865" s="0" t="s">
        <v>975</v>
      </c>
      <c r="P865" s="0" t="s">
        <v>976</v>
      </c>
      <c r="Q865" s="0" t="s">
        <v>1459</v>
      </c>
      <c r="R865" s="0" t="s">
        <v>970</v>
      </c>
      <c r="S865" s="0" t="s">
        <v>974</v>
      </c>
    </row>
    <row r="866" customFormat="false" ht="13.8" hidden="false" customHeight="false" outlineLevel="0" collapsed="false">
      <c r="A866" s="0" t="n">
        <v>2622</v>
      </c>
      <c r="B866" s="0" t="s">
        <v>5130</v>
      </c>
      <c r="C866" s="0" t="s">
        <v>5131</v>
      </c>
      <c r="E866" s="0" t="n">
        <f aca="false">IF(J865=J866,E865+10,0)</f>
        <v>30</v>
      </c>
      <c r="F866" s="0" t="s">
        <v>5132</v>
      </c>
      <c r="G866" s="0" t="s">
        <v>5133</v>
      </c>
      <c r="H866" s="0" t="s">
        <v>5134</v>
      </c>
      <c r="I866" s="0" t="s">
        <v>1100</v>
      </c>
      <c r="J866" s="0" t="s">
        <v>5113</v>
      </c>
      <c r="K866" s="0" t="s">
        <v>971</v>
      </c>
      <c r="L866" s="0" t="s">
        <v>974</v>
      </c>
      <c r="M866" s="0" t="s">
        <v>973</v>
      </c>
      <c r="N866" s="0" t="s">
        <v>974</v>
      </c>
      <c r="O866" s="0" t="s">
        <v>975</v>
      </c>
      <c r="P866" s="0" t="s">
        <v>976</v>
      </c>
      <c r="Q866" s="0" t="s">
        <v>1059</v>
      </c>
      <c r="R866" s="0" t="s">
        <v>1046</v>
      </c>
      <c r="S866" s="0" t="s">
        <v>974</v>
      </c>
    </row>
    <row r="867" customFormat="false" ht="13.8" hidden="false" customHeight="false" outlineLevel="0" collapsed="false">
      <c r="A867" s="0" t="n">
        <v>2623</v>
      </c>
      <c r="B867" s="0" t="s">
        <v>5135</v>
      </c>
      <c r="C867" s="0" t="s">
        <v>5136</v>
      </c>
      <c r="E867" s="0" t="n">
        <f aca="false">IF(J866=J867,E866+10,0)</f>
        <v>40</v>
      </c>
      <c r="F867" s="0" t="s">
        <v>5137</v>
      </c>
      <c r="G867" s="0" t="s">
        <v>5138</v>
      </c>
      <c r="H867" s="0" t="s">
        <v>5139</v>
      </c>
      <c r="I867" s="0" t="s">
        <v>1094</v>
      </c>
      <c r="J867" s="0" t="s">
        <v>5113</v>
      </c>
      <c r="K867" s="0" t="s">
        <v>971</v>
      </c>
      <c r="L867" s="0" t="s">
        <v>974</v>
      </c>
      <c r="M867" s="0" t="s">
        <v>973</v>
      </c>
      <c r="N867" s="0" t="s">
        <v>974</v>
      </c>
      <c r="O867" s="0" t="s">
        <v>975</v>
      </c>
      <c r="P867" s="0" t="s">
        <v>976</v>
      </c>
      <c r="Q867" s="0" t="s">
        <v>1059</v>
      </c>
      <c r="R867" s="0" t="s">
        <v>1046</v>
      </c>
      <c r="S867" s="0" t="s">
        <v>974</v>
      </c>
    </row>
    <row r="868" customFormat="false" ht="13.8" hidden="false" customHeight="false" outlineLevel="0" collapsed="false">
      <c r="A868" s="0" t="n">
        <v>2624</v>
      </c>
      <c r="B868" s="0" t="s">
        <v>5140</v>
      </c>
      <c r="C868" s="0" t="s">
        <v>1171</v>
      </c>
      <c r="E868" s="0" t="n">
        <f aca="false">IF(J867=J868,E867+10,0)</f>
        <v>50</v>
      </c>
      <c r="F868" s="0" t="s">
        <v>5141</v>
      </c>
      <c r="G868" s="0" t="s">
        <v>5142</v>
      </c>
      <c r="H868" s="0" t="s">
        <v>5143</v>
      </c>
      <c r="I868" s="0" t="s">
        <v>1175</v>
      </c>
      <c r="J868" s="0" t="s">
        <v>5113</v>
      </c>
      <c r="K868" s="0" t="s">
        <v>971</v>
      </c>
      <c r="L868" s="0" t="s">
        <v>1151</v>
      </c>
      <c r="M868" s="0" t="s">
        <v>973</v>
      </c>
      <c r="N868" s="0" t="s">
        <v>974</v>
      </c>
      <c r="O868" s="0" t="s">
        <v>975</v>
      </c>
      <c r="P868" s="0" t="s">
        <v>976</v>
      </c>
      <c r="Q868" s="0" t="s">
        <v>974</v>
      </c>
      <c r="R868" s="0" t="s">
        <v>970</v>
      </c>
      <c r="S868" s="0" t="s">
        <v>974</v>
      </c>
    </row>
    <row r="869" customFormat="false" ht="13.8" hidden="false" customHeight="false" outlineLevel="0" collapsed="false">
      <c r="A869" s="0" t="n">
        <v>2625</v>
      </c>
      <c r="B869" s="0" t="s">
        <v>5144</v>
      </c>
      <c r="C869" s="0" t="s">
        <v>5145</v>
      </c>
      <c r="E869" s="0" t="n">
        <f aca="false">IF(J868=J869,E868+10,0)</f>
        <v>0</v>
      </c>
      <c r="F869" s="0" t="s">
        <v>5146</v>
      </c>
      <c r="G869" s="0" t="s">
        <v>5147</v>
      </c>
      <c r="H869" s="0" t="s">
        <v>5148</v>
      </c>
      <c r="I869" s="0" t="s">
        <v>1766</v>
      </c>
      <c r="J869" s="0" t="s">
        <v>5027</v>
      </c>
      <c r="K869" s="0" t="s">
        <v>971</v>
      </c>
      <c r="L869" s="0" t="s">
        <v>970</v>
      </c>
      <c r="M869" s="0" t="s">
        <v>973</v>
      </c>
      <c r="N869" s="0" t="s">
        <v>974</v>
      </c>
      <c r="O869" s="0" t="s">
        <v>975</v>
      </c>
      <c r="P869" s="0" t="s">
        <v>976</v>
      </c>
      <c r="Q869" s="0" t="s">
        <v>974</v>
      </c>
      <c r="R869" s="0" t="s">
        <v>970</v>
      </c>
      <c r="S869" s="0" t="s">
        <v>974</v>
      </c>
    </row>
    <row r="870" customFormat="false" ht="13.8" hidden="false" customHeight="false" outlineLevel="0" collapsed="false">
      <c r="A870" s="0" t="n">
        <v>2626</v>
      </c>
      <c r="B870" s="0" t="s">
        <v>5149</v>
      </c>
      <c r="C870" s="0" t="s">
        <v>5120</v>
      </c>
      <c r="E870" s="0" t="n">
        <f aca="false">IF(J869=J870,E869+10,0)</f>
        <v>10</v>
      </c>
      <c r="F870" s="0" t="s">
        <v>5150</v>
      </c>
      <c r="G870" s="0" t="s">
        <v>5151</v>
      </c>
      <c r="H870" s="0" t="s">
        <v>5152</v>
      </c>
      <c r="I870" s="0" t="s">
        <v>1201</v>
      </c>
      <c r="J870" s="0" t="s">
        <v>5027</v>
      </c>
      <c r="K870" s="0" t="s">
        <v>971</v>
      </c>
      <c r="L870" s="0" t="s">
        <v>974</v>
      </c>
      <c r="M870" s="0" t="s">
        <v>973</v>
      </c>
      <c r="N870" s="0" t="s">
        <v>974</v>
      </c>
      <c r="O870" s="0" t="s">
        <v>975</v>
      </c>
      <c r="P870" s="0" t="s">
        <v>976</v>
      </c>
      <c r="Q870" s="0" t="s">
        <v>1265</v>
      </c>
      <c r="R870" s="0" t="s">
        <v>970</v>
      </c>
      <c r="S870" s="0" t="s">
        <v>974</v>
      </c>
    </row>
    <row r="871" customFormat="false" ht="13.8" hidden="false" customHeight="false" outlineLevel="0" collapsed="false">
      <c r="A871" s="0" t="n">
        <v>2627</v>
      </c>
      <c r="B871" s="0" t="s">
        <v>5153</v>
      </c>
      <c r="C871" s="0" t="s">
        <v>1171</v>
      </c>
      <c r="E871" s="0" t="n">
        <f aca="false">IF(J870=J871,E870+10,0)</f>
        <v>20</v>
      </c>
      <c r="F871" s="0" t="s">
        <v>5154</v>
      </c>
      <c r="G871" s="0" t="s">
        <v>5155</v>
      </c>
      <c r="H871" s="0" t="s">
        <v>5156</v>
      </c>
      <c r="I871" s="0" t="s">
        <v>1175</v>
      </c>
      <c r="J871" s="0" t="s">
        <v>5027</v>
      </c>
      <c r="K871" s="0" t="s">
        <v>971</v>
      </c>
      <c r="L871" s="0" t="s">
        <v>975</v>
      </c>
      <c r="M871" s="0" t="s">
        <v>973</v>
      </c>
      <c r="N871" s="0" t="s">
        <v>974</v>
      </c>
      <c r="O871" s="0" t="s">
        <v>975</v>
      </c>
      <c r="P871" s="0" t="s">
        <v>976</v>
      </c>
      <c r="Q871" s="0" t="s">
        <v>974</v>
      </c>
      <c r="R871" s="0" t="s">
        <v>970</v>
      </c>
      <c r="S871" s="0" t="s">
        <v>974</v>
      </c>
    </row>
    <row r="872" customFormat="false" ht="13.8" hidden="false" customHeight="false" outlineLevel="0" collapsed="false">
      <c r="A872" s="0" t="n">
        <v>2628</v>
      </c>
      <c r="B872" s="0" t="s">
        <v>5157</v>
      </c>
      <c r="C872" s="0" t="s">
        <v>5158</v>
      </c>
      <c r="E872" s="0" t="n">
        <f aca="false">IF(J871=J872,E871+10,0)</f>
        <v>0</v>
      </c>
      <c r="F872" s="0" t="s">
        <v>5159</v>
      </c>
      <c r="G872" s="0" t="s">
        <v>5160</v>
      </c>
      <c r="H872" s="0" t="s">
        <v>5161</v>
      </c>
      <c r="I872" s="0" t="s">
        <v>2543</v>
      </c>
      <c r="J872" s="0" t="s">
        <v>3437</v>
      </c>
      <c r="K872" s="0" t="s">
        <v>971</v>
      </c>
      <c r="L872" s="0" t="s">
        <v>1151</v>
      </c>
      <c r="M872" s="0" t="s">
        <v>973</v>
      </c>
      <c r="N872" s="0" t="s">
        <v>974</v>
      </c>
      <c r="O872" s="0" t="s">
        <v>975</v>
      </c>
      <c r="P872" s="0" t="s">
        <v>976</v>
      </c>
      <c r="Q872" s="0" t="s">
        <v>974</v>
      </c>
      <c r="R872" s="0" t="s">
        <v>970</v>
      </c>
      <c r="S872" s="0" t="s">
        <v>974</v>
      </c>
    </row>
    <row r="873" customFormat="false" ht="13.8" hidden="false" customHeight="false" outlineLevel="0" collapsed="false">
      <c r="A873" s="0" t="n">
        <v>2629</v>
      </c>
      <c r="B873" s="0" t="s">
        <v>5162</v>
      </c>
      <c r="C873" s="0" t="s">
        <v>4065</v>
      </c>
      <c r="E873" s="0" t="n">
        <f aca="false">IF(J872=J873,E872+10,0)</f>
        <v>10</v>
      </c>
      <c r="F873" s="0" t="s">
        <v>5163</v>
      </c>
      <c r="G873" s="0" t="s">
        <v>5164</v>
      </c>
      <c r="H873" s="0" t="s">
        <v>5165</v>
      </c>
      <c r="I873" s="0" t="s">
        <v>1167</v>
      </c>
      <c r="J873" s="0" t="s">
        <v>3437</v>
      </c>
      <c r="K873" s="0" t="s">
        <v>971</v>
      </c>
      <c r="L873" s="0" t="s">
        <v>974</v>
      </c>
      <c r="M873" s="0" t="s">
        <v>973</v>
      </c>
      <c r="N873" s="0" t="s">
        <v>974</v>
      </c>
      <c r="O873" s="0" t="s">
        <v>975</v>
      </c>
      <c r="P873" s="0" t="s">
        <v>976</v>
      </c>
      <c r="Q873" s="0" t="s">
        <v>982</v>
      </c>
      <c r="R873" s="0" t="s">
        <v>970</v>
      </c>
      <c r="S873" s="0" t="s">
        <v>974</v>
      </c>
    </row>
    <row r="874" customFormat="false" ht="13.8" hidden="false" customHeight="false" outlineLevel="0" collapsed="false">
      <c r="A874" s="0" t="n">
        <v>2630</v>
      </c>
      <c r="B874" s="0" t="s">
        <v>5166</v>
      </c>
      <c r="C874" s="0" t="s">
        <v>5136</v>
      </c>
      <c r="E874" s="0" t="n">
        <f aca="false">IF(J873=J874,E873+10,0)</f>
        <v>20</v>
      </c>
      <c r="F874" s="0" t="s">
        <v>5167</v>
      </c>
      <c r="G874" s="0" t="s">
        <v>5168</v>
      </c>
      <c r="H874" s="0" t="s">
        <v>5169</v>
      </c>
      <c r="I874" s="0" t="s">
        <v>1094</v>
      </c>
      <c r="J874" s="0" t="s">
        <v>3437</v>
      </c>
      <c r="K874" s="0" t="s">
        <v>971</v>
      </c>
      <c r="L874" s="0" t="s">
        <v>974</v>
      </c>
      <c r="M874" s="0" t="s">
        <v>973</v>
      </c>
      <c r="N874" s="0" t="s">
        <v>974</v>
      </c>
      <c r="O874" s="0" t="s">
        <v>975</v>
      </c>
      <c r="P874" s="0" t="s">
        <v>976</v>
      </c>
      <c r="Q874" s="0" t="s">
        <v>974</v>
      </c>
      <c r="R874" s="0" t="s">
        <v>970</v>
      </c>
      <c r="S874" s="0" t="s">
        <v>974</v>
      </c>
    </row>
    <row r="875" customFormat="false" ht="13.8" hidden="false" customHeight="false" outlineLevel="0" collapsed="false">
      <c r="A875" s="0" t="n">
        <v>2631</v>
      </c>
      <c r="B875" s="0" t="s">
        <v>5170</v>
      </c>
      <c r="C875" s="0" t="s">
        <v>3276</v>
      </c>
      <c r="E875" s="0" t="n">
        <f aca="false">IF(J874=J875,E874+10,0)</f>
        <v>30</v>
      </c>
      <c r="F875" s="0" t="s">
        <v>5171</v>
      </c>
      <c r="G875" s="0" t="s">
        <v>5172</v>
      </c>
      <c r="H875" s="0" t="s">
        <v>5173</v>
      </c>
      <c r="I875" s="0" t="s">
        <v>2620</v>
      </c>
      <c r="J875" s="0" t="s">
        <v>3437</v>
      </c>
      <c r="K875" s="0" t="s">
        <v>971</v>
      </c>
      <c r="L875" s="0" t="s">
        <v>974</v>
      </c>
      <c r="M875" s="0" t="s">
        <v>973</v>
      </c>
      <c r="N875" s="0" t="s">
        <v>974</v>
      </c>
      <c r="O875" s="0" t="s">
        <v>975</v>
      </c>
      <c r="P875" s="0" t="s">
        <v>976</v>
      </c>
      <c r="Q875" s="0" t="s">
        <v>974</v>
      </c>
      <c r="R875" s="0" t="s">
        <v>970</v>
      </c>
      <c r="S875" s="0" t="s">
        <v>974</v>
      </c>
    </row>
    <row r="876" customFormat="false" ht="13.8" hidden="false" customHeight="false" outlineLevel="0" collapsed="false">
      <c r="A876" s="0" t="n">
        <v>2632</v>
      </c>
      <c r="B876" s="0" t="s">
        <v>5174</v>
      </c>
      <c r="C876" s="0" t="s">
        <v>4754</v>
      </c>
      <c r="E876" s="0" t="n">
        <f aca="false">IF(J875=J876,E875+10,0)</f>
        <v>0</v>
      </c>
      <c r="F876" s="0" t="s">
        <v>5175</v>
      </c>
      <c r="G876" s="0" t="s">
        <v>5176</v>
      </c>
      <c r="H876" s="0" t="s">
        <v>5177</v>
      </c>
      <c r="I876" s="0" t="s">
        <v>2569</v>
      </c>
      <c r="J876" s="0" t="s">
        <v>982</v>
      </c>
      <c r="K876" s="0" t="s">
        <v>971</v>
      </c>
      <c r="L876" s="0" t="s">
        <v>974</v>
      </c>
      <c r="M876" s="0" t="s">
        <v>973</v>
      </c>
      <c r="N876" s="0" t="s">
        <v>974</v>
      </c>
      <c r="O876" s="0" t="s">
        <v>975</v>
      </c>
      <c r="P876" s="0" t="s">
        <v>976</v>
      </c>
      <c r="Q876" s="0" t="s">
        <v>2649</v>
      </c>
      <c r="R876" s="0" t="s">
        <v>970</v>
      </c>
      <c r="S876" s="0" t="s">
        <v>974</v>
      </c>
    </row>
    <row r="877" customFormat="false" ht="13.8" hidden="false" customHeight="false" outlineLevel="0" collapsed="false">
      <c r="A877" s="0" t="n">
        <v>2633</v>
      </c>
      <c r="B877" s="0" t="s">
        <v>5178</v>
      </c>
      <c r="C877" s="0" t="s">
        <v>5120</v>
      </c>
      <c r="E877" s="0" t="n">
        <f aca="false">IF(J876=J877,E876+10,0)</f>
        <v>10</v>
      </c>
      <c r="F877" s="0" t="s">
        <v>5179</v>
      </c>
      <c r="G877" s="0" t="s">
        <v>5180</v>
      </c>
      <c r="H877" s="0" t="s">
        <v>5181</v>
      </c>
      <c r="I877" s="0" t="s">
        <v>1201</v>
      </c>
      <c r="J877" s="0" t="s">
        <v>982</v>
      </c>
      <c r="K877" s="0" t="s">
        <v>971</v>
      </c>
      <c r="L877" s="0" t="s">
        <v>974</v>
      </c>
      <c r="M877" s="0" t="s">
        <v>973</v>
      </c>
      <c r="N877" s="0" t="s">
        <v>974</v>
      </c>
      <c r="O877" s="0" t="s">
        <v>975</v>
      </c>
      <c r="P877" s="0" t="s">
        <v>976</v>
      </c>
      <c r="Q877" s="0" t="s">
        <v>1117</v>
      </c>
      <c r="R877" s="0" t="s">
        <v>970</v>
      </c>
      <c r="S877" s="0" t="s">
        <v>974</v>
      </c>
    </row>
    <row r="878" customFormat="false" ht="13.8" hidden="false" customHeight="false" outlineLevel="0" collapsed="false">
      <c r="A878" s="0" t="n">
        <v>2634</v>
      </c>
      <c r="B878" s="0" t="s">
        <v>5182</v>
      </c>
      <c r="C878" s="0" t="s">
        <v>5183</v>
      </c>
      <c r="E878" s="0" t="n">
        <f aca="false">IF(J877=J878,E877+10,0)</f>
        <v>20</v>
      </c>
      <c r="F878" s="0" t="s">
        <v>5184</v>
      </c>
      <c r="G878" s="0" t="s">
        <v>5185</v>
      </c>
      <c r="H878" s="0" t="s">
        <v>5186</v>
      </c>
      <c r="I878" s="0" t="s">
        <v>1081</v>
      </c>
      <c r="J878" s="0" t="s">
        <v>982</v>
      </c>
      <c r="K878" s="0" t="s">
        <v>971</v>
      </c>
      <c r="L878" s="0" t="s">
        <v>3091</v>
      </c>
      <c r="M878" s="0" t="s">
        <v>1459</v>
      </c>
      <c r="N878" s="0" t="s">
        <v>974</v>
      </c>
      <c r="O878" s="0" t="s">
        <v>975</v>
      </c>
      <c r="P878" s="0" t="s">
        <v>976</v>
      </c>
      <c r="Q878" s="0" t="s">
        <v>974</v>
      </c>
      <c r="R878" s="0" t="s">
        <v>970</v>
      </c>
      <c r="S878" s="0" t="s">
        <v>974</v>
      </c>
    </row>
    <row r="879" customFormat="false" ht="13.8" hidden="false" customHeight="false" outlineLevel="0" collapsed="false">
      <c r="A879" s="0" t="n">
        <v>2635</v>
      </c>
      <c r="B879" s="0" t="s">
        <v>5187</v>
      </c>
      <c r="C879" s="0" t="s">
        <v>1171</v>
      </c>
      <c r="E879" s="0" t="n">
        <f aca="false">IF(J878=J879,E878+10,0)</f>
        <v>30</v>
      </c>
      <c r="F879" s="0" t="s">
        <v>5188</v>
      </c>
      <c r="G879" s="0" t="s">
        <v>5189</v>
      </c>
      <c r="H879" s="0" t="s">
        <v>5190</v>
      </c>
      <c r="I879" s="0" t="s">
        <v>1175</v>
      </c>
      <c r="J879" s="0" t="s">
        <v>982</v>
      </c>
      <c r="K879" s="0" t="s">
        <v>971</v>
      </c>
      <c r="L879" s="0" t="s">
        <v>2238</v>
      </c>
      <c r="M879" s="0" t="s">
        <v>973</v>
      </c>
      <c r="N879" s="0" t="s">
        <v>974</v>
      </c>
      <c r="O879" s="0" t="s">
        <v>975</v>
      </c>
      <c r="P879" s="0" t="s">
        <v>976</v>
      </c>
      <c r="Q879" s="0" t="s">
        <v>974</v>
      </c>
      <c r="R879" s="0" t="s">
        <v>970</v>
      </c>
      <c r="S879" s="0" t="s">
        <v>974</v>
      </c>
    </row>
    <row r="880" customFormat="false" ht="13.8" hidden="false" customHeight="false" outlineLevel="0" collapsed="false">
      <c r="A880" s="0" t="n">
        <v>2636</v>
      </c>
      <c r="B880" s="0" t="s">
        <v>5191</v>
      </c>
      <c r="C880" s="0" t="s">
        <v>4288</v>
      </c>
      <c r="E880" s="0" t="n">
        <f aca="false">IF(J879=J880,E879+10,0)</f>
        <v>40</v>
      </c>
      <c r="F880" s="0" t="s">
        <v>5192</v>
      </c>
      <c r="G880" s="0" t="s">
        <v>5193</v>
      </c>
      <c r="H880" s="0" t="s">
        <v>5194</v>
      </c>
      <c r="I880" s="0" t="s">
        <v>3453</v>
      </c>
      <c r="J880" s="0" t="s">
        <v>982</v>
      </c>
      <c r="K880" s="0" t="s">
        <v>971</v>
      </c>
      <c r="L880" s="0" t="s">
        <v>974</v>
      </c>
      <c r="M880" s="0" t="s">
        <v>973</v>
      </c>
      <c r="N880" s="0" t="s">
        <v>974</v>
      </c>
      <c r="O880" s="0" t="s">
        <v>975</v>
      </c>
      <c r="P880" s="0" t="s">
        <v>976</v>
      </c>
      <c r="Q880" s="0" t="s">
        <v>1812</v>
      </c>
      <c r="R880" s="0" t="s">
        <v>1046</v>
      </c>
      <c r="S880" s="0" t="s">
        <v>974</v>
      </c>
    </row>
    <row r="881" customFormat="false" ht="13.8" hidden="false" customHeight="false" outlineLevel="0" collapsed="false">
      <c r="A881" s="0" t="n">
        <v>2637</v>
      </c>
      <c r="B881" s="0" t="s">
        <v>5195</v>
      </c>
      <c r="C881" s="0" t="s">
        <v>5120</v>
      </c>
      <c r="E881" s="0" t="n">
        <f aca="false">IF(J880=J881,E880+10,0)</f>
        <v>0</v>
      </c>
      <c r="F881" s="0" t="s">
        <v>5196</v>
      </c>
      <c r="G881" s="0" t="s">
        <v>5197</v>
      </c>
      <c r="H881" s="0" t="s">
        <v>5198</v>
      </c>
      <c r="I881" s="0" t="s">
        <v>1201</v>
      </c>
      <c r="J881" s="0" t="s">
        <v>1459</v>
      </c>
      <c r="K881" s="0" t="s">
        <v>971</v>
      </c>
      <c r="L881" s="0" t="s">
        <v>974</v>
      </c>
      <c r="M881" s="0" t="s">
        <v>973</v>
      </c>
      <c r="N881" s="0" t="s">
        <v>974</v>
      </c>
      <c r="O881" s="0" t="s">
        <v>975</v>
      </c>
      <c r="P881" s="0" t="s">
        <v>976</v>
      </c>
      <c r="Q881" s="0" t="s">
        <v>982</v>
      </c>
      <c r="R881" s="0" t="s">
        <v>970</v>
      </c>
      <c r="S881" s="0" t="s">
        <v>974</v>
      </c>
    </row>
    <row r="882" customFormat="false" ht="13.8" hidden="false" customHeight="false" outlineLevel="0" collapsed="false">
      <c r="A882" s="0" t="n">
        <v>2638</v>
      </c>
      <c r="B882" s="0" t="s">
        <v>5199</v>
      </c>
      <c r="C882" s="0" t="s">
        <v>5200</v>
      </c>
      <c r="E882" s="0" t="n">
        <f aca="false">IF(J881=J882,E881+10,0)</f>
        <v>10</v>
      </c>
      <c r="F882" s="0" t="s">
        <v>5201</v>
      </c>
      <c r="G882" s="0" t="s">
        <v>5202</v>
      </c>
      <c r="H882" s="0" t="s">
        <v>5203</v>
      </c>
      <c r="I882" s="0" t="s">
        <v>5204</v>
      </c>
      <c r="J882" s="0" t="s">
        <v>1459</v>
      </c>
      <c r="K882" s="0" t="s">
        <v>971</v>
      </c>
      <c r="L882" s="0" t="s">
        <v>970</v>
      </c>
      <c r="M882" s="0" t="s">
        <v>973</v>
      </c>
      <c r="N882" s="0" t="s">
        <v>974</v>
      </c>
      <c r="O882" s="0" t="s">
        <v>975</v>
      </c>
      <c r="P882" s="0" t="s">
        <v>976</v>
      </c>
      <c r="Q882" s="0" t="s">
        <v>974</v>
      </c>
      <c r="R882" s="0" t="s">
        <v>970</v>
      </c>
      <c r="S882" s="0" t="s">
        <v>974</v>
      </c>
    </row>
    <row r="883" customFormat="false" ht="13.8" hidden="false" customHeight="false" outlineLevel="0" collapsed="false">
      <c r="A883" s="0" t="n">
        <v>2639</v>
      </c>
      <c r="B883" s="0" t="s">
        <v>5205</v>
      </c>
      <c r="C883" s="0" t="s">
        <v>4276</v>
      </c>
      <c r="E883" s="0" t="n">
        <f aca="false">IF(J882=J883,E882+10,0)</f>
        <v>20</v>
      </c>
      <c r="F883" s="0" t="s">
        <v>5206</v>
      </c>
      <c r="G883" s="0" t="s">
        <v>5207</v>
      </c>
      <c r="H883" s="0" t="s">
        <v>5208</v>
      </c>
      <c r="I883" s="0" t="s">
        <v>1254</v>
      </c>
      <c r="J883" s="0" t="s">
        <v>1459</v>
      </c>
      <c r="K883" s="0" t="s">
        <v>971</v>
      </c>
      <c r="L883" s="0" t="s">
        <v>1541</v>
      </c>
      <c r="M883" s="0" t="s">
        <v>973</v>
      </c>
      <c r="N883" s="0" t="s">
        <v>974</v>
      </c>
      <c r="O883" s="0" t="s">
        <v>975</v>
      </c>
      <c r="P883" s="0" t="s">
        <v>976</v>
      </c>
      <c r="Q883" s="0" t="s">
        <v>974</v>
      </c>
      <c r="R883" s="0" t="s">
        <v>970</v>
      </c>
      <c r="S883" s="0" t="s">
        <v>974</v>
      </c>
    </row>
    <row r="884" customFormat="false" ht="13.8" hidden="false" customHeight="false" outlineLevel="0" collapsed="false">
      <c r="A884" s="0" t="n">
        <v>2640</v>
      </c>
      <c r="B884" s="0" t="s">
        <v>5209</v>
      </c>
      <c r="C884" s="0" t="s">
        <v>5210</v>
      </c>
      <c r="E884" s="0" t="n">
        <f aca="false">IF(J883=J884,E883+10,0)</f>
        <v>30</v>
      </c>
      <c r="F884" s="0" t="s">
        <v>5211</v>
      </c>
      <c r="G884" s="0" t="s">
        <v>5212</v>
      </c>
      <c r="H884" s="0" t="s">
        <v>5213</v>
      </c>
      <c r="I884" s="0" t="s">
        <v>5214</v>
      </c>
      <c r="J884" s="0" t="s">
        <v>1459</v>
      </c>
      <c r="K884" s="0" t="s">
        <v>971</v>
      </c>
      <c r="L884" s="0" t="s">
        <v>970</v>
      </c>
      <c r="M884" s="0" t="s">
        <v>973</v>
      </c>
      <c r="N884" s="0" t="s">
        <v>974</v>
      </c>
      <c r="O884" s="0" t="s">
        <v>975</v>
      </c>
      <c r="P884" s="0" t="s">
        <v>976</v>
      </c>
      <c r="Q884" s="0" t="s">
        <v>974</v>
      </c>
      <c r="R884" s="0" t="s">
        <v>970</v>
      </c>
      <c r="S884" s="0" t="s">
        <v>974</v>
      </c>
    </row>
    <row r="885" customFormat="false" ht="13.8" hidden="false" customHeight="false" outlineLevel="0" collapsed="false">
      <c r="A885" s="0" t="n">
        <v>2641</v>
      </c>
      <c r="B885" s="0" t="s">
        <v>5215</v>
      </c>
      <c r="C885" s="0" t="s">
        <v>4288</v>
      </c>
      <c r="E885" s="0" t="n">
        <f aca="false">IF(J884=J885,E884+10,0)</f>
        <v>40</v>
      </c>
      <c r="F885" s="0" t="s">
        <v>5216</v>
      </c>
      <c r="G885" s="0" t="s">
        <v>5217</v>
      </c>
      <c r="H885" s="0" t="s">
        <v>5218</v>
      </c>
      <c r="I885" s="0" t="s">
        <v>3453</v>
      </c>
      <c r="J885" s="0" t="s">
        <v>1459</v>
      </c>
      <c r="K885" s="0" t="s">
        <v>971</v>
      </c>
      <c r="L885" s="0" t="s">
        <v>974</v>
      </c>
      <c r="M885" s="0" t="s">
        <v>973</v>
      </c>
      <c r="N885" s="0" t="s">
        <v>974</v>
      </c>
      <c r="O885" s="0" t="s">
        <v>975</v>
      </c>
      <c r="P885" s="0" t="s">
        <v>976</v>
      </c>
      <c r="Q885" s="0" t="s">
        <v>1812</v>
      </c>
      <c r="R885" s="0" t="s">
        <v>1046</v>
      </c>
      <c r="S885" s="0" t="s">
        <v>974</v>
      </c>
    </row>
    <row r="886" customFormat="false" ht="13.8" hidden="false" customHeight="false" outlineLevel="0" collapsed="false">
      <c r="A886" s="0" t="n">
        <v>2642</v>
      </c>
      <c r="B886" s="0" t="s">
        <v>5219</v>
      </c>
      <c r="C886" s="0" t="s">
        <v>5220</v>
      </c>
      <c r="E886" s="0" t="n">
        <f aca="false">IF(J885=J886,E885+10,0)</f>
        <v>0</v>
      </c>
      <c r="F886" s="0" t="s">
        <v>5221</v>
      </c>
      <c r="G886" s="0" t="s">
        <v>5222</v>
      </c>
      <c r="H886" s="0" t="s">
        <v>5223</v>
      </c>
      <c r="I886" s="0" t="s">
        <v>5224</v>
      </c>
      <c r="J886" s="0" t="s">
        <v>1150</v>
      </c>
      <c r="K886" s="0" t="s">
        <v>971</v>
      </c>
      <c r="L886" s="0" t="s">
        <v>975</v>
      </c>
      <c r="M886" s="0" t="s">
        <v>973</v>
      </c>
      <c r="N886" s="0" t="s">
        <v>974</v>
      </c>
      <c r="O886" s="0" t="s">
        <v>975</v>
      </c>
      <c r="P886" s="0" t="s">
        <v>976</v>
      </c>
      <c r="Q886" s="0" t="s">
        <v>974</v>
      </c>
      <c r="R886" s="0" t="s">
        <v>970</v>
      </c>
      <c r="S886" s="0" t="s">
        <v>974</v>
      </c>
    </row>
    <row r="887" customFormat="false" ht="13.8" hidden="false" customHeight="false" outlineLevel="0" collapsed="false">
      <c r="A887" s="0" t="n">
        <v>2643</v>
      </c>
      <c r="B887" s="0" t="s">
        <v>5225</v>
      </c>
      <c r="C887" s="0" t="s">
        <v>4412</v>
      </c>
      <c r="E887" s="0" t="n">
        <f aca="false">IF(J886=J887,E886+10,0)</f>
        <v>10</v>
      </c>
      <c r="F887" s="0" t="s">
        <v>5226</v>
      </c>
      <c r="G887" s="0" t="s">
        <v>5227</v>
      </c>
      <c r="H887" s="0" t="s">
        <v>5228</v>
      </c>
      <c r="I887" s="0" t="s">
        <v>1249</v>
      </c>
      <c r="J887" s="0" t="s">
        <v>1150</v>
      </c>
      <c r="K887" s="0" t="s">
        <v>971</v>
      </c>
      <c r="L887" s="0" t="s">
        <v>974</v>
      </c>
      <c r="M887" s="0" t="s">
        <v>973</v>
      </c>
      <c r="N887" s="0" t="s">
        <v>974</v>
      </c>
      <c r="O887" s="0" t="s">
        <v>975</v>
      </c>
      <c r="P887" s="0" t="s">
        <v>976</v>
      </c>
      <c r="Q887" s="0" t="s">
        <v>975</v>
      </c>
      <c r="R887" s="0" t="s">
        <v>1046</v>
      </c>
      <c r="S887" s="0" t="s">
        <v>974</v>
      </c>
    </row>
    <row r="888" customFormat="false" ht="13.8" hidden="false" customHeight="false" outlineLevel="0" collapsed="false">
      <c r="A888" s="0" t="n">
        <v>2644</v>
      </c>
      <c r="B888" s="0" t="s">
        <v>5229</v>
      </c>
      <c r="C888" s="0" t="s">
        <v>3985</v>
      </c>
      <c r="E888" s="0" t="n">
        <f aca="false">IF(J887=J888,E887+10,0)</f>
        <v>20</v>
      </c>
      <c r="F888" s="0" t="s">
        <v>5230</v>
      </c>
      <c r="G888" s="0" t="s">
        <v>5231</v>
      </c>
      <c r="H888" s="0" t="s">
        <v>5232</v>
      </c>
      <c r="I888" s="0" t="s">
        <v>970</v>
      </c>
      <c r="J888" s="0" t="s">
        <v>1150</v>
      </c>
      <c r="K888" s="0" t="s">
        <v>971</v>
      </c>
      <c r="L888" s="0" t="s">
        <v>974</v>
      </c>
      <c r="M888" s="0" t="s">
        <v>973</v>
      </c>
      <c r="N888" s="0" t="s">
        <v>974</v>
      </c>
      <c r="O888" s="0" t="s">
        <v>975</v>
      </c>
      <c r="P888" s="0" t="s">
        <v>976</v>
      </c>
      <c r="Q888" s="0" t="s">
        <v>973</v>
      </c>
      <c r="R888" s="0" t="s">
        <v>1046</v>
      </c>
      <c r="S888" s="0" t="s">
        <v>974</v>
      </c>
    </row>
    <row r="889" customFormat="false" ht="13.8" hidden="false" customHeight="false" outlineLevel="0" collapsed="false">
      <c r="A889" s="0" t="n">
        <v>2645</v>
      </c>
      <c r="B889" s="0" t="s">
        <v>5233</v>
      </c>
      <c r="C889" s="0" t="s">
        <v>1171</v>
      </c>
      <c r="E889" s="0" t="n">
        <f aca="false">IF(J888=J889,E888+10,0)</f>
        <v>30</v>
      </c>
      <c r="F889" s="0" t="s">
        <v>5234</v>
      </c>
      <c r="G889" s="0" t="s">
        <v>5235</v>
      </c>
      <c r="H889" s="0" t="s">
        <v>5236</v>
      </c>
      <c r="I889" s="0" t="s">
        <v>1175</v>
      </c>
      <c r="J889" s="0" t="s">
        <v>1150</v>
      </c>
      <c r="K889" s="0" t="s">
        <v>971</v>
      </c>
      <c r="L889" s="0" t="s">
        <v>975</v>
      </c>
      <c r="M889" s="0" t="s">
        <v>973</v>
      </c>
      <c r="N889" s="0" t="s">
        <v>974</v>
      </c>
      <c r="O889" s="0" t="s">
        <v>975</v>
      </c>
      <c r="P889" s="0" t="s">
        <v>976</v>
      </c>
      <c r="Q889" s="0" t="s">
        <v>974</v>
      </c>
      <c r="R889" s="0" t="s">
        <v>970</v>
      </c>
      <c r="S889" s="0" t="s">
        <v>974</v>
      </c>
    </row>
    <row r="890" customFormat="false" ht="13.8" hidden="false" customHeight="false" outlineLevel="0" collapsed="false">
      <c r="A890" s="0" t="n">
        <v>2646</v>
      </c>
      <c r="B890" s="0" t="s">
        <v>5237</v>
      </c>
      <c r="C890" s="0" t="s">
        <v>5238</v>
      </c>
      <c r="E890" s="0" t="n">
        <f aca="false">IF(J889=J890,E889+10,0)</f>
        <v>0</v>
      </c>
      <c r="F890" s="0" t="s">
        <v>5239</v>
      </c>
      <c r="G890" s="0" t="s">
        <v>5240</v>
      </c>
      <c r="H890" s="0" t="s">
        <v>5241</v>
      </c>
      <c r="I890" s="0" t="s">
        <v>1444</v>
      </c>
      <c r="J890" s="0" t="s">
        <v>3029</v>
      </c>
      <c r="K890" s="0" t="s">
        <v>971</v>
      </c>
      <c r="L890" s="0" t="s">
        <v>974</v>
      </c>
      <c r="M890" s="0" t="s">
        <v>973</v>
      </c>
      <c r="N890" s="0" t="s">
        <v>1144</v>
      </c>
      <c r="O890" s="0" t="s">
        <v>975</v>
      </c>
      <c r="P890" s="0" t="s">
        <v>976</v>
      </c>
      <c r="Q890" s="0" t="s">
        <v>974</v>
      </c>
      <c r="R890" s="0" t="s">
        <v>970</v>
      </c>
      <c r="S890" s="0" t="s">
        <v>974</v>
      </c>
    </row>
    <row r="891" customFormat="false" ht="13.8" hidden="false" customHeight="false" outlineLevel="0" collapsed="false">
      <c r="A891" s="0" t="n">
        <v>2647</v>
      </c>
      <c r="B891" s="0" t="s">
        <v>5242</v>
      </c>
      <c r="C891" s="0" t="s">
        <v>5243</v>
      </c>
      <c r="E891" s="0" t="n">
        <f aca="false">IF(J890=J891,E890+10,0)</f>
        <v>10</v>
      </c>
      <c r="F891" s="0" t="s">
        <v>5244</v>
      </c>
      <c r="G891" s="0" t="s">
        <v>5245</v>
      </c>
      <c r="H891" s="0" t="s">
        <v>5246</v>
      </c>
      <c r="I891" s="0" t="s">
        <v>1021</v>
      </c>
      <c r="J891" s="0" t="s">
        <v>3029</v>
      </c>
      <c r="K891" s="0" t="s">
        <v>971</v>
      </c>
      <c r="L891" s="0" t="s">
        <v>974</v>
      </c>
      <c r="M891" s="0" t="s">
        <v>973</v>
      </c>
      <c r="N891" s="0" t="s">
        <v>974</v>
      </c>
      <c r="O891" s="0" t="s">
        <v>975</v>
      </c>
      <c r="P891" s="0" t="s">
        <v>976</v>
      </c>
      <c r="Q891" s="0" t="s">
        <v>1968</v>
      </c>
      <c r="R891" s="0" t="s">
        <v>970</v>
      </c>
      <c r="S891" s="0" t="s">
        <v>974</v>
      </c>
    </row>
    <row r="892" customFormat="false" ht="13.8" hidden="false" customHeight="false" outlineLevel="0" collapsed="false">
      <c r="A892" s="0" t="n">
        <v>2648</v>
      </c>
      <c r="B892" s="0" t="s">
        <v>5247</v>
      </c>
      <c r="C892" s="0" t="s">
        <v>4643</v>
      </c>
      <c r="E892" s="0" t="n">
        <f aca="false">IF(J891=J892,E891+10,0)</f>
        <v>20</v>
      </c>
      <c r="F892" s="0" t="s">
        <v>5248</v>
      </c>
      <c r="G892" s="0" t="s">
        <v>5249</v>
      </c>
      <c r="H892" s="0" t="s">
        <v>5250</v>
      </c>
      <c r="I892" s="0" t="s">
        <v>1065</v>
      </c>
      <c r="J892" s="0" t="s">
        <v>3029</v>
      </c>
      <c r="K892" s="0" t="s">
        <v>971</v>
      </c>
      <c r="L892" s="0" t="s">
        <v>974</v>
      </c>
      <c r="M892" s="0" t="s">
        <v>973</v>
      </c>
      <c r="N892" s="0" t="s">
        <v>974</v>
      </c>
      <c r="O892" s="0" t="s">
        <v>975</v>
      </c>
      <c r="P892" s="0" t="s">
        <v>976</v>
      </c>
      <c r="Q892" s="0" t="s">
        <v>970</v>
      </c>
      <c r="R892" s="0" t="s">
        <v>970</v>
      </c>
      <c r="S892" s="0" t="s">
        <v>974</v>
      </c>
    </row>
    <row r="893" customFormat="false" ht="13.8" hidden="false" customHeight="false" outlineLevel="0" collapsed="false">
      <c r="A893" s="0" t="n">
        <v>2649</v>
      </c>
      <c r="B893" s="0" t="s">
        <v>5251</v>
      </c>
      <c r="C893" s="0" t="s">
        <v>5252</v>
      </c>
      <c r="E893" s="0" t="n">
        <f aca="false">IF(J892=J893,E892+10,0)</f>
        <v>30</v>
      </c>
      <c r="F893" s="0" t="s">
        <v>5253</v>
      </c>
      <c r="G893" s="0" t="s">
        <v>5254</v>
      </c>
      <c r="H893" s="0" t="s">
        <v>5255</v>
      </c>
      <c r="I893" s="0" t="s">
        <v>5113</v>
      </c>
      <c r="J893" s="0" t="s">
        <v>3029</v>
      </c>
      <c r="K893" s="0" t="s">
        <v>971</v>
      </c>
      <c r="L893" s="0" t="s">
        <v>1214</v>
      </c>
      <c r="M893" s="0" t="s">
        <v>973</v>
      </c>
      <c r="N893" s="0" t="s">
        <v>974</v>
      </c>
      <c r="O893" s="0" t="s">
        <v>975</v>
      </c>
      <c r="P893" s="0" t="s">
        <v>976</v>
      </c>
      <c r="Q893" s="0" t="s">
        <v>974</v>
      </c>
      <c r="R893" s="0" t="s">
        <v>970</v>
      </c>
      <c r="S893" s="0" t="s">
        <v>974</v>
      </c>
    </row>
    <row r="894" customFormat="false" ht="13.8" hidden="false" customHeight="false" outlineLevel="0" collapsed="false">
      <c r="A894" s="0" t="n">
        <v>2650</v>
      </c>
      <c r="B894" s="0" t="s">
        <v>5256</v>
      </c>
      <c r="C894" s="0" t="s">
        <v>1420</v>
      </c>
      <c r="E894" s="0" t="n">
        <f aca="false">IF(J893=J894,E893+10,0)</f>
        <v>40</v>
      </c>
      <c r="F894" s="0" t="s">
        <v>5257</v>
      </c>
      <c r="G894" s="0" t="s">
        <v>5258</v>
      </c>
      <c r="H894" s="0" t="s">
        <v>5259</v>
      </c>
      <c r="I894" s="0" t="s">
        <v>1100</v>
      </c>
      <c r="J894" s="0" t="s">
        <v>3029</v>
      </c>
      <c r="K894" s="0" t="s">
        <v>971</v>
      </c>
      <c r="L894" s="0" t="s">
        <v>974</v>
      </c>
      <c r="M894" s="0" t="s">
        <v>973</v>
      </c>
      <c r="N894" s="0" t="s">
        <v>974</v>
      </c>
      <c r="O894" s="0" t="s">
        <v>975</v>
      </c>
      <c r="P894" s="0" t="s">
        <v>976</v>
      </c>
      <c r="Q894" s="0" t="s">
        <v>1128</v>
      </c>
      <c r="R894" s="0" t="s">
        <v>1046</v>
      </c>
      <c r="S894" s="0" t="s">
        <v>974</v>
      </c>
    </row>
    <row r="895" customFormat="false" ht="13.8" hidden="false" customHeight="false" outlineLevel="0" collapsed="false">
      <c r="A895" s="0" t="n">
        <v>2651</v>
      </c>
      <c r="B895" s="0" t="s">
        <v>5260</v>
      </c>
      <c r="C895" s="0" t="s">
        <v>4695</v>
      </c>
      <c r="E895" s="0" t="n">
        <f aca="false">IF(J894=J895,E894+10,0)</f>
        <v>50</v>
      </c>
      <c r="F895" s="0" t="s">
        <v>5261</v>
      </c>
      <c r="G895" s="0" t="s">
        <v>5262</v>
      </c>
      <c r="H895" s="0" t="s">
        <v>5263</v>
      </c>
      <c r="I895" s="0" t="s">
        <v>4699</v>
      </c>
      <c r="J895" s="0" t="s">
        <v>3029</v>
      </c>
      <c r="K895" s="0" t="s">
        <v>971</v>
      </c>
      <c r="L895" s="0" t="s">
        <v>2649</v>
      </c>
      <c r="M895" s="0" t="s">
        <v>1459</v>
      </c>
      <c r="N895" s="0" t="s">
        <v>974</v>
      </c>
      <c r="O895" s="0" t="s">
        <v>975</v>
      </c>
      <c r="P895" s="0" t="s">
        <v>976</v>
      </c>
      <c r="Q895" s="0" t="s">
        <v>974</v>
      </c>
      <c r="R895" s="0" t="s">
        <v>970</v>
      </c>
      <c r="S895" s="0" t="s">
        <v>974</v>
      </c>
    </row>
    <row r="896" customFormat="false" ht="13.8" hidden="false" customHeight="false" outlineLevel="0" collapsed="false">
      <c r="A896" s="0" t="n">
        <v>2652</v>
      </c>
      <c r="B896" s="0" t="s">
        <v>5264</v>
      </c>
      <c r="C896" s="0" t="s">
        <v>5265</v>
      </c>
      <c r="E896" s="0" t="n">
        <f aca="false">IF(J895=J896,E895+10,0)</f>
        <v>60</v>
      </c>
      <c r="F896" s="0" t="s">
        <v>5266</v>
      </c>
      <c r="G896" s="0" t="s">
        <v>5267</v>
      </c>
      <c r="H896" s="0" t="s">
        <v>5268</v>
      </c>
      <c r="I896" s="0" t="s">
        <v>5269</v>
      </c>
      <c r="J896" s="0" t="s">
        <v>3029</v>
      </c>
      <c r="K896" s="0" t="s">
        <v>971</v>
      </c>
      <c r="L896" s="0" t="s">
        <v>974</v>
      </c>
      <c r="M896" s="0" t="s">
        <v>973</v>
      </c>
      <c r="N896" s="0" t="s">
        <v>974</v>
      </c>
      <c r="O896" s="0" t="s">
        <v>975</v>
      </c>
      <c r="P896" s="0" t="s">
        <v>976</v>
      </c>
      <c r="Q896" s="0" t="s">
        <v>2195</v>
      </c>
      <c r="R896" s="0" t="s">
        <v>1144</v>
      </c>
      <c r="S896" s="0" t="s">
        <v>974</v>
      </c>
    </row>
    <row r="897" customFormat="false" ht="13.8" hidden="false" customHeight="false" outlineLevel="0" collapsed="false">
      <c r="A897" s="0" t="n">
        <v>2653</v>
      </c>
      <c r="B897" s="0" t="s">
        <v>5270</v>
      </c>
      <c r="C897" s="0" t="s">
        <v>4084</v>
      </c>
      <c r="E897" s="0" t="n">
        <f aca="false">IF(J896=J897,E896+10,0)</f>
        <v>70</v>
      </c>
      <c r="F897" s="0" t="s">
        <v>5271</v>
      </c>
      <c r="G897" s="0" t="s">
        <v>5272</v>
      </c>
      <c r="H897" s="0" t="s">
        <v>5273</v>
      </c>
      <c r="I897" s="0" t="s">
        <v>1723</v>
      </c>
      <c r="J897" s="0" t="s">
        <v>3029</v>
      </c>
      <c r="K897" s="0" t="s">
        <v>971</v>
      </c>
      <c r="L897" s="0" t="s">
        <v>974</v>
      </c>
      <c r="M897" s="0" t="s">
        <v>973</v>
      </c>
      <c r="N897" s="0" t="s">
        <v>974</v>
      </c>
      <c r="O897" s="0" t="s">
        <v>975</v>
      </c>
      <c r="P897" s="0" t="s">
        <v>976</v>
      </c>
      <c r="Q897" s="0" t="s">
        <v>2146</v>
      </c>
      <c r="R897" s="0" t="s">
        <v>1046</v>
      </c>
      <c r="S897" s="0" t="s">
        <v>974</v>
      </c>
    </row>
    <row r="898" customFormat="false" ht="13.8" hidden="false" customHeight="false" outlineLevel="0" collapsed="false">
      <c r="A898" s="0" t="n">
        <v>2654</v>
      </c>
      <c r="B898" s="0" t="s">
        <v>5274</v>
      </c>
      <c r="C898" s="0" t="s">
        <v>4089</v>
      </c>
      <c r="E898" s="0" t="n">
        <f aca="false">IF(J897=J898,E897+10,0)</f>
        <v>80</v>
      </c>
      <c r="F898" s="0" t="s">
        <v>5275</v>
      </c>
      <c r="G898" s="0" t="s">
        <v>5276</v>
      </c>
      <c r="H898" s="0" t="s">
        <v>5277</v>
      </c>
      <c r="I898" s="0" t="s">
        <v>2195</v>
      </c>
      <c r="J898" s="0" t="s">
        <v>3029</v>
      </c>
      <c r="K898" s="0" t="s">
        <v>971</v>
      </c>
      <c r="L898" s="0" t="s">
        <v>974</v>
      </c>
      <c r="M898" s="0" t="s">
        <v>973</v>
      </c>
      <c r="N898" s="0" t="s">
        <v>974</v>
      </c>
      <c r="O898" s="0" t="s">
        <v>975</v>
      </c>
      <c r="P898" s="0" t="s">
        <v>976</v>
      </c>
      <c r="Q898" s="0" t="s">
        <v>2146</v>
      </c>
      <c r="R898" s="0" t="s">
        <v>1046</v>
      </c>
      <c r="S898" s="0" t="s">
        <v>974</v>
      </c>
    </row>
    <row r="899" customFormat="false" ht="13.8" hidden="false" customHeight="false" outlineLevel="0" collapsed="false">
      <c r="A899" s="0" t="n">
        <v>2655</v>
      </c>
      <c r="B899" s="0" t="s">
        <v>5278</v>
      </c>
      <c r="C899" s="0" t="s">
        <v>5279</v>
      </c>
      <c r="E899" s="0" t="n">
        <f aca="false">IF(J898=J899,E898+10,0)</f>
        <v>90</v>
      </c>
      <c r="F899" s="0" t="s">
        <v>5280</v>
      </c>
      <c r="G899" s="0" t="s">
        <v>5281</v>
      </c>
      <c r="H899" s="0" t="s">
        <v>5282</v>
      </c>
      <c r="I899" s="0" t="s">
        <v>1780</v>
      </c>
      <c r="J899" s="0" t="s">
        <v>3029</v>
      </c>
      <c r="K899" s="0" t="s">
        <v>971</v>
      </c>
      <c r="L899" s="0" t="s">
        <v>974</v>
      </c>
      <c r="M899" s="0" t="s">
        <v>973</v>
      </c>
      <c r="N899" s="0" t="s">
        <v>974</v>
      </c>
      <c r="O899" s="0" t="s">
        <v>975</v>
      </c>
      <c r="P899" s="0" t="s">
        <v>976</v>
      </c>
      <c r="Q899" s="0" t="s">
        <v>970</v>
      </c>
      <c r="R899" s="0" t="s">
        <v>1046</v>
      </c>
      <c r="S899" s="0" t="s">
        <v>974</v>
      </c>
    </row>
    <row r="900" customFormat="false" ht="13.8" hidden="false" customHeight="false" outlineLevel="0" collapsed="false">
      <c r="A900" s="0" t="n">
        <v>2656</v>
      </c>
      <c r="B900" s="0" t="s">
        <v>5283</v>
      </c>
      <c r="C900" s="0" t="s">
        <v>4577</v>
      </c>
      <c r="E900" s="0" t="n">
        <f aca="false">IF(J899=J900,E899+10,0)</f>
        <v>0</v>
      </c>
      <c r="F900" s="0" t="s">
        <v>5284</v>
      </c>
      <c r="G900" s="0" t="s">
        <v>5285</v>
      </c>
      <c r="H900" s="0" t="s">
        <v>5286</v>
      </c>
      <c r="I900" s="0" t="s">
        <v>995</v>
      </c>
      <c r="J900" s="0" t="s">
        <v>1067</v>
      </c>
      <c r="K900" s="0" t="s">
        <v>971</v>
      </c>
      <c r="L900" s="0" t="s">
        <v>2165</v>
      </c>
      <c r="M900" s="0" t="s">
        <v>973</v>
      </c>
      <c r="N900" s="0" t="s">
        <v>974</v>
      </c>
      <c r="O900" s="0" t="s">
        <v>975</v>
      </c>
      <c r="P900" s="0" t="s">
        <v>976</v>
      </c>
      <c r="Q900" s="0" t="s">
        <v>974</v>
      </c>
      <c r="R900" s="0" t="s">
        <v>970</v>
      </c>
      <c r="S900" s="0" t="s">
        <v>974</v>
      </c>
    </row>
    <row r="901" customFormat="false" ht="13.8" hidden="false" customHeight="false" outlineLevel="0" collapsed="false">
      <c r="A901" s="0" t="n">
        <v>2657</v>
      </c>
      <c r="B901" s="0" t="s">
        <v>5287</v>
      </c>
      <c r="C901" s="0" t="s">
        <v>5288</v>
      </c>
      <c r="E901" s="0" t="n">
        <f aca="false">IF(J900=J901,E900+10,0)</f>
        <v>10</v>
      </c>
      <c r="F901" s="0" t="s">
        <v>5289</v>
      </c>
      <c r="G901" s="0" t="s">
        <v>5290</v>
      </c>
      <c r="H901" s="0" t="s">
        <v>5291</v>
      </c>
      <c r="I901" s="0" t="s">
        <v>1021</v>
      </c>
      <c r="J901" s="0" t="s">
        <v>1067</v>
      </c>
      <c r="K901" s="0" t="s">
        <v>971</v>
      </c>
      <c r="L901" s="0" t="s">
        <v>974</v>
      </c>
      <c r="M901" s="0" t="s">
        <v>973</v>
      </c>
      <c r="N901" s="0" t="s">
        <v>974</v>
      </c>
      <c r="O901" s="0" t="s">
        <v>975</v>
      </c>
      <c r="P901" s="0" t="s">
        <v>976</v>
      </c>
      <c r="Q901" s="0" t="s">
        <v>970</v>
      </c>
      <c r="R901" s="0" t="s">
        <v>970</v>
      </c>
      <c r="S901" s="0" t="s">
        <v>974</v>
      </c>
    </row>
    <row r="902" customFormat="false" ht="13.8" hidden="false" customHeight="false" outlineLevel="0" collapsed="false">
      <c r="A902" s="0" t="n">
        <v>2658</v>
      </c>
      <c r="B902" s="0" t="s">
        <v>5292</v>
      </c>
      <c r="C902" s="0" t="s">
        <v>4643</v>
      </c>
      <c r="E902" s="0" t="n">
        <f aca="false">IF(J901=J902,E901+10,0)</f>
        <v>20</v>
      </c>
      <c r="F902" s="0" t="s">
        <v>5293</v>
      </c>
      <c r="G902" s="0" t="s">
        <v>5294</v>
      </c>
      <c r="H902" s="0" t="s">
        <v>5295</v>
      </c>
      <c r="I902" s="0" t="s">
        <v>1065</v>
      </c>
      <c r="J902" s="0" t="s">
        <v>1067</v>
      </c>
      <c r="K902" s="0" t="s">
        <v>971</v>
      </c>
      <c r="L902" s="0" t="s">
        <v>974</v>
      </c>
      <c r="M902" s="0" t="s">
        <v>973</v>
      </c>
      <c r="N902" s="0" t="s">
        <v>974</v>
      </c>
      <c r="O902" s="0" t="s">
        <v>975</v>
      </c>
      <c r="P902" s="0" t="s">
        <v>976</v>
      </c>
      <c r="Q902" s="0" t="s">
        <v>1046</v>
      </c>
      <c r="R902" s="0" t="s">
        <v>970</v>
      </c>
      <c r="S902" s="0" t="s">
        <v>974</v>
      </c>
    </row>
    <row r="903" customFormat="false" ht="13.8" hidden="false" customHeight="false" outlineLevel="0" collapsed="false">
      <c r="A903" s="0" t="n">
        <v>2659</v>
      </c>
      <c r="B903" s="0" t="s">
        <v>5296</v>
      </c>
      <c r="C903" s="0" t="s">
        <v>4802</v>
      </c>
      <c r="E903" s="0" t="n">
        <f aca="false">IF(J902=J903,E902+10,0)</f>
        <v>30</v>
      </c>
      <c r="F903" s="0" t="s">
        <v>5297</v>
      </c>
      <c r="G903" s="0" t="s">
        <v>5298</v>
      </c>
      <c r="H903" s="0" t="s">
        <v>5299</v>
      </c>
      <c r="I903" s="0" t="s">
        <v>970</v>
      </c>
      <c r="J903" s="0" t="s">
        <v>1067</v>
      </c>
      <c r="K903" s="0" t="s">
        <v>971</v>
      </c>
      <c r="L903" s="0" t="s">
        <v>974</v>
      </c>
      <c r="M903" s="0" t="s">
        <v>973</v>
      </c>
      <c r="N903" s="0" t="s">
        <v>974</v>
      </c>
      <c r="O903" s="0" t="s">
        <v>975</v>
      </c>
      <c r="P903" s="0" t="s">
        <v>976</v>
      </c>
      <c r="Q903" s="0" t="s">
        <v>970</v>
      </c>
      <c r="R903" s="0" t="s">
        <v>970</v>
      </c>
      <c r="S903" s="0" t="s">
        <v>974</v>
      </c>
    </row>
    <row r="904" customFormat="false" ht="13.8" hidden="false" customHeight="false" outlineLevel="0" collapsed="false">
      <c r="A904" s="0" t="n">
        <v>2660</v>
      </c>
      <c r="B904" s="0" t="s">
        <v>5300</v>
      </c>
      <c r="C904" s="0" t="s">
        <v>5301</v>
      </c>
      <c r="E904" s="0" t="n">
        <f aca="false">IF(J903=J904,E903+10,0)</f>
        <v>40</v>
      </c>
      <c r="F904" s="0" t="s">
        <v>5302</v>
      </c>
      <c r="G904" s="0" t="s">
        <v>5303</v>
      </c>
      <c r="H904" s="0" t="s">
        <v>5304</v>
      </c>
      <c r="I904" s="0" t="s">
        <v>5305</v>
      </c>
      <c r="J904" s="0" t="s">
        <v>1067</v>
      </c>
      <c r="K904" s="0" t="s">
        <v>971</v>
      </c>
      <c r="L904" s="0" t="s">
        <v>1186</v>
      </c>
      <c r="M904" s="0" t="s">
        <v>973</v>
      </c>
      <c r="N904" s="0" t="s">
        <v>974</v>
      </c>
      <c r="O904" s="0" t="s">
        <v>975</v>
      </c>
      <c r="P904" s="0" t="s">
        <v>976</v>
      </c>
      <c r="Q904" s="0" t="s">
        <v>974</v>
      </c>
      <c r="R904" s="0" t="s">
        <v>970</v>
      </c>
      <c r="S904" s="0" t="s">
        <v>974</v>
      </c>
    </row>
    <row r="905" customFormat="false" ht="13.8" hidden="false" customHeight="false" outlineLevel="0" collapsed="false">
      <c r="A905" s="0" t="n">
        <v>2661</v>
      </c>
      <c r="B905" s="0" t="s">
        <v>5306</v>
      </c>
      <c r="C905" s="0" t="s">
        <v>4188</v>
      </c>
      <c r="E905" s="0" t="n">
        <f aca="false">IF(J904=J905,E904+10,0)</f>
        <v>0</v>
      </c>
      <c r="F905" s="0" t="s">
        <v>5307</v>
      </c>
      <c r="G905" s="0" t="s">
        <v>5308</v>
      </c>
      <c r="H905" s="0" t="s">
        <v>5309</v>
      </c>
      <c r="I905" s="0" t="s">
        <v>1444</v>
      </c>
      <c r="J905" s="0" t="s">
        <v>1535</v>
      </c>
      <c r="K905" s="0" t="s">
        <v>971</v>
      </c>
      <c r="L905" s="0" t="s">
        <v>974</v>
      </c>
      <c r="M905" s="0" t="s">
        <v>973</v>
      </c>
      <c r="N905" s="0" t="s">
        <v>1046</v>
      </c>
      <c r="O905" s="0" t="s">
        <v>975</v>
      </c>
      <c r="P905" s="0" t="s">
        <v>976</v>
      </c>
      <c r="Q905" s="0" t="s">
        <v>974</v>
      </c>
      <c r="R905" s="0" t="s">
        <v>970</v>
      </c>
      <c r="S905" s="0" t="s">
        <v>974</v>
      </c>
    </row>
    <row r="906" customFormat="false" ht="13.8" hidden="false" customHeight="false" outlineLevel="0" collapsed="false">
      <c r="A906" s="0" t="n">
        <v>2662</v>
      </c>
      <c r="B906" s="0" t="s">
        <v>5310</v>
      </c>
      <c r="C906" s="0" t="s">
        <v>4643</v>
      </c>
      <c r="E906" s="0" t="n">
        <f aca="false">IF(J905=J906,E905+10,0)</f>
        <v>10</v>
      </c>
      <c r="F906" s="0" t="s">
        <v>5311</v>
      </c>
      <c r="G906" s="0" t="s">
        <v>5312</v>
      </c>
      <c r="H906" s="0" t="s">
        <v>5313</v>
      </c>
      <c r="I906" s="0" t="s">
        <v>1065</v>
      </c>
      <c r="J906" s="0" t="s">
        <v>1535</v>
      </c>
      <c r="K906" s="0" t="s">
        <v>971</v>
      </c>
      <c r="L906" s="0" t="s">
        <v>974</v>
      </c>
      <c r="M906" s="0" t="s">
        <v>973</v>
      </c>
      <c r="N906" s="0" t="s">
        <v>974</v>
      </c>
      <c r="O906" s="0" t="s">
        <v>975</v>
      </c>
      <c r="P906" s="0" t="s">
        <v>976</v>
      </c>
      <c r="Q906" s="0" t="s">
        <v>1082</v>
      </c>
      <c r="R906" s="0" t="s">
        <v>970</v>
      </c>
      <c r="S906" s="0" t="s">
        <v>974</v>
      </c>
    </row>
    <row r="907" customFormat="false" ht="13.8" hidden="false" customHeight="false" outlineLevel="0" collapsed="false">
      <c r="A907" s="0" t="n">
        <v>2663</v>
      </c>
      <c r="B907" s="0" t="s">
        <v>5314</v>
      </c>
      <c r="C907" s="0" t="s">
        <v>5315</v>
      </c>
      <c r="E907" s="0" t="n">
        <f aca="false">IF(J906=J907,E906+10,0)</f>
        <v>20</v>
      </c>
      <c r="F907" s="0" t="s">
        <v>5316</v>
      </c>
      <c r="G907" s="0" t="s">
        <v>5317</v>
      </c>
      <c r="H907" s="0" t="s">
        <v>5318</v>
      </c>
      <c r="I907" s="0" t="s">
        <v>1201</v>
      </c>
      <c r="J907" s="0" t="s">
        <v>1535</v>
      </c>
      <c r="K907" s="0" t="s">
        <v>971</v>
      </c>
      <c r="L907" s="0" t="s">
        <v>974</v>
      </c>
      <c r="M907" s="0" t="s">
        <v>973</v>
      </c>
      <c r="N907" s="0" t="s">
        <v>974</v>
      </c>
      <c r="O907" s="0" t="s">
        <v>975</v>
      </c>
      <c r="P907" s="0" t="s">
        <v>976</v>
      </c>
      <c r="Q907" s="0" t="s">
        <v>973</v>
      </c>
      <c r="R907" s="0" t="s">
        <v>970</v>
      </c>
      <c r="S907" s="0" t="s">
        <v>974</v>
      </c>
    </row>
    <row r="908" customFormat="false" ht="13.8" hidden="false" customHeight="false" outlineLevel="0" collapsed="false">
      <c r="A908" s="0" t="n">
        <v>2664</v>
      </c>
      <c r="B908" s="0" t="s">
        <v>5319</v>
      </c>
      <c r="C908" s="0" t="s">
        <v>5320</v>
      </c>
      <c r="E908" s="0" t="n">
        <f aca="false">IF(J907=J908,E907+10,0)</f>
        <v>30</v>
      </c>
      <c r="F908" s="0" t="s">
        <v>5321</v>
      </c>
      <c r="G908" s="0" t="s">
        <v>5322</v>
      </c>
      <c r="H908" s="0" t="s">
        <v>5323</v>
      </c>
      <c r="I908" s="0" t="s">
        <v>1201</v>
      </c>
      <c r="J908" s="0" t="s">
        <v>1535</v>
      </c>
      <c r="K908" s="0" t="s">
        <v>971</v>
      </c>
      <c r="L908" s="0" t="s">
        <v>974</v>
      </c>
      <c r="M908" s="0" t="s">
        <v>973</v>
      </c>
      <c r="N908" s="0" t="s">
        <v>974</v>
      </c>
      <c r="O908" s="0" t="s">
        <v>975</v>
      </c>
      <c r="P908" s="0" t="s">
        <v>976</v>
      </c>
      <c r="Q908" s="0" t="s">
        <v>1737</v>
      </c>
      <c r="R908" s="0" t="s">
        <v>970</v>
      </c>
      <c r="S908" s="0" t="s">
        <v>974</v>
      </c>
    </row>
    <row r="909" customFormat="false" ht="13.8" hidden="false" customHeight="false" outlineLevel="0" collapsed="false">
      <c r="A909" s="0" t="n">
        <v>2665</v>
      </c>
      <c r="B909" s="0" t="s">
        <v>5324</v>
      </c>
      <c r="C909" s="0" t="s">
        <v>5325</v>
      </c>
      <c r="E909" s="0" t="n">
        <f aca="false">IF(J908=J909,E908+10,0)</f>
        <v>40</v>
      </c>
      <c r="F909" s="0" t="s">
        <v>5326</v>
      </c>
      <c r="G909" s="0" t="s">
        <v>5327</v>
      </c>
      <c r="H909" s="0" t="s">
        <v>5328</v>
      </c>
      <c r="I909" s="0" t="s">
        <v>2871</v>
      </c>
      <c r="J909" s="0" t="s">
        <v>1535</v>
      </c>
      <c r="K909" s="0" t="s">
        <v>971</v>
      </c>
      <c r="L909" s="0" t="s">
        <v>1307</v>
      </c>
      <c r="M909" s="0" t="s">
        <v>973</v>
      </c>
      <c r="N909" s="0" t="s">
        <v>1465</v>
      </c>
      <c r="O909" s="0" t="s">
        <v>975</v>
      </c>
      <c r="P909" s="0" t="s">
        <v>976</v>
      </c>
      <c r="Q909" s="0" t="s">
        <v>974</v>
      </c>
      <c r="R909" s="0" t="s">
        <v>970</v>
      </c>
      <c r="S909" s="0" t="s">
        <v>974</v>
      </c>
    </row>
    <row r="910" customFormat="false" ht="13.8" hidden="false" customHeight="false" outlineLevel="0" collapsed="false">
      <c r="A910" s="0" t="n">
        <v>2666</v>
      </c>
      <c r="B910" s="0" t="s">
        <v>5329</v>
      </c>
      <c r="C910" s="0" t="s">
        <v>4445</v>
      </c>
      <c r="E910" s="0" t="n">
        <f aca="false">IF(J909=J910,E909+10,0)</f>
        <v>50</v>
      </c>
      <c r="F910" s="0" t="s">
        <v>5330</v>
      </c>
      <c r="G910" s="0" t="s">
        <v>5331</v>
      </c>
      <c r="H910" s="0" t="s">
        <v>5332</v>
      </c>
      <c r="I910" s="0" t="s">
        <v>1008</v>
      </c>
      <c r="J910" s="0" t="s">
        <v>1535</v>
      </c>
      <c r="K910" s="0" t="s">
        <v>971</v>
      </c>
      <c r="L910" s="0" t="s">
        <v>974</v>
      </c>
      <c r="M910" s="0" t="s">
        <v>973</v>
      </c>
      <c r="N910" s="0" t="s">
        <v>974</v>
      </c>
      <c r="O910" s="0" t="s">
        <v>975</v>
      </c>
      <c r="P910" s="0" t="s">
        <v>976</v>
      </c>
      <c r="Q910" s="0" t="s">
        <v>2195</v>
      </c>
      <c r="R910" s="0" t="s">
        <v>1144</v>
      </c>
      <c r="S910" s="0" t="s">
        <v>974</v>
      </c>
    </row>
    <row r="911" customFormat="false" ht="13.8" hidden="false" customHeight="false" outlineLevel="0" collapsed="false">
      <c r="A911" s="0" t="n">
        <v>2667</v>
      </c>
      <c r="B911" s="0" t="s">
        <v>5333</v>
      </c>
      <c r="C911" s="0" t="s">
        <v>1171</v>
      </c>
      <c r="E911" s="0" t="n">
        <f aca="false">IF(J910=J911,E910+10,0)</f>
        <v>60</v>
      </c>
      <c r="F911" s="0" t="s">
        <v>5334</v>
      </c>
      <c r="G911" s="0" t="s">
        <v>5335</v>
      </c>
      <c r="H911" s="0" t="s">
        <v>5336</v>
      </c>
      <c r="I911" s="0" t="s">
        <v>1175</v>
      </c>
      <c r="J911" s="0" t="s">
        <v>1535</v>
      </c>
      <c r="K911" s="0" t="s">
        <v>971</v>
      </c>
      <c r="L911" s="0" t="s">
        <v>2434</v>
      </c>
      <c r="M911" s="0" t="s">
        <v>1459</v>
      </c>
      <c r="N911" s="0" t="s">
        <v>974</v>
      </c>
      <c r="O911" s="0" t="s">
        <v>975</v>
      </c>
      <c r="P911" s="0" t="s">
        <v>976</v>
      </c>
      <c r="Q911" s="0" t="s">
        <v>974</v>
      </c>
      <c r="R911" s="0" t="s">
        <v>970</v>
      </c>
      <c r="S911" s="0" t="s">
        <v>974</v>
      </c>
    </row>
    <row r="912" customFormat="false" ht="13.8" hidden="false" customHeight="false" outlineLevel="0" collapsed="false">
      <c r="A912" s="0" t="n">
        <v>2668</v>
      </c>
      <c r="B912" s="0" t="s">
        <v>5337</v>
      </c>
      <c r="C912" s="0" t="s">
        <v>5338</v>
      </c>
      <c r="E912" s="0" t="n">
        <f aca="false">IF(J911=J912,E911+10,0)</f>
        <v>70</v>
      </c>
      <c r="F912" s="0" t="s">
        <v>5339</v>
      </c>
      <c r="G912" s="0" t="s">
        <v>5340</v>
      </c>
      <c r="H912" s="0" t="s">
        <v>5341</v>
      </c>
      <c r="I912" s="0" t="s">
        <v>3105</v>
      </c>
      <c r="J912" s="0" t="s">
        <v>1535</v>
      </c>
      <c r="K912" s="0" t="s">
        <v>971</v>
      </c>
      <c r="L912" s="0" t="s">
        <v>2649</v>
      </c>
      <c r="M912" s="0" t="s">
        <v>1459</v>
      </c>
      <c r="N912" s="0" t="s">
        <v>974</v>
      </c>
      <c r="O912" s="0" t="s">
        <v>975</v>
      </c>
      <c r="P912" s="0" t="s">
        <v>976</v>
      </c>
      <c r="Q912" s="0" t="s">
        <v>974</v>
      </c>
      <c r="R912" s="0" t="s">
        <v>970</v>
      </c>
      <c r="S912" s="0" t="s">
        <v>974</v>
      </c>
    </row>
    <row r="913" customFormat="false" ht="13.8" hidden="false" customHeight="false" outlineLevel="0" collapsed="false">
      <c r="A913" s="0" t="n">
        <v>2669</v>
      </c>
      <c r="B913" s="0" t="s">
        <v>5342</v>
      </c>
      <c r="C913" s="0" t="s">
        <v>1420</v>
      </c>
      <c r="E913" s="0" t="n">
        <f aca="false">IF(J912=J913,E912+10,0)</f>
        <v>80</v>
      </c>
      <c r="F913" s="0" t="s">
        <v>5343</v>
      </c>
      <c r="G913" s="0" t="s">
        <v>5344</v>
      </c>
      <c r="H913" s="0" t="s">
        <v>5345</v>
      </c>
      <c r="I913" s="0" t="s">
        <v>1100</v>
      </c>
      <c r="J913" s="0" t="s">
        <v>1535</v>
      </c>
      <c r="K913" s="0" t="s">
        <v>971</v>
      </c>
      <c r="L913" s="0" t="s">
        <v>2649</v>
      </c>
      <c r="M913" s="0" t="s">
        <v>1459</v>
      </c>
      <c r="N913" s="0" t="s">
        <v>974</v>
      </c>
      <c r="O913" s="0" t="s">
        <v>975</v>
      </c>
      <c r="P913" s="0" t="s">
        <v>976</v>
      </c>
      <c r="Q913" s="0" t="s">
        <v>974</v>
      </c>
      <c r="R913" s="0" t="s">
        <v>970</v>
      </c>
      <c r="S913" s="0" t="s">
        <v>974</v>
      </c>
    </row>
    <row r="914" customFormat="false" ht="13.8" hidden="false" customHeight="false" outlineLevel="0" collapsed="false">
      <c r="A914" s="0" t="n">
        <v>2670</v>
      </c>
      <c r="B914" s="0" t="s">
        <v>5346</v>
      </c>
      <c r="C914" s="0" t="s">
        <v>4018</v>
      </c>
      <c r="E914" s="0" t="n">
        <f aca="false">IF(J913=J914,E913+10,0)</f>
        <v>90</v>
      </c>
      <c r="F914" s="0" t="s">
        <v>5347</v>
      </c>
      <c r="G914" s="0" t="s">
        <v>5348</v>
      </c>
      <c r="H914" s="0" t="s">
        <v>5349</v>
      </c>
      <c r="I914" s="0" t="s">
        <v>1180</v>
      </c>
      <c r="J914" s="0" t="s">
        <v>1535</v>
      </c>
      <c r="K914" s="0" t="s">
        <v>971</v>
      </c>
      <c r="L914" s="0" t="s">
        <v>974</v>
      </c>
      <c r="M914" s="0" t="s">
        <v>973</v>
      </c>
      <c r="N914" s="0" t="s">
        <v>974</v>
      </c>
      <c r="O914" s="0" t="s">
        <v>975</v>
      </c>
      <c r="P914" s="0" t="s">
        <v>976</v>
      </c>
      <c r="Q914" s="0" t="s">
        <v>970</v>
      </c>
      <c r="R914" s="0" t="s">
        <v>1117</v>
      </c>
      <c r="S914" s="0" t="s">
        <v>974</v>
      </c>
    </row>
    <row r="915" customFormat="false" ht="13.8" hidden="false" customHeight="false" outlineLevel="0" collapsed="false">
      <c r="A915" s="0" t="n">
        <v>2671</v>
      </c>
      <c r="B915" s="0" t="s">
        <v>5350</v>
      </c>
      <c r="C915" s="0" t="s">
        <v>5351</v>
      </c>
      <c r="E915" s="0" t="n">
        <f aca="false">IF(J914=J915,E914+10,0)</f>
        <v>100</v>
      </c>
      <c r="F915" s="0" t="s">
        <v>5352</v>
      </c>
      <c r="G915" s="0" t="s">
        <v>5353</v>
      </c>
      <c r="H915" s="0" t="s">
        <v>5354</v>
      </c>
      <c r="I915" s="0" t="s">
        <v>1465</v>
      </c>
      <c r="J915" s="0" t="s">
        <v>1535</v>
      </c>
      <c r="K915" s="0" t="s">
        <v>971</v>
      </c>
      <c r="L915" s="0" t="s">
        <v>974</v>
      </c>
      <c r="M915" s="0" t="s">
        <v>973</v>
      </c>
      <c r="N915" s="0" t="s">
        <v>974</v>
      </c>
      <c r="O915" s="0" t="s">
        <v>975</v>
      </c>
      <c r="P915" s="0" t="s">
        <v>976</v>
      </c>
      <c r="Q915" s="0" t="s">
        <v>975</v>
      </c>
      <c r="R915" s="0" t="s">
        <v>1117</v>
      </c>
      <c r="S915" s="0" t="s">
        <v>974</v>
      </c>
    </row>
    <row r="916" customFormat="false" ht="13.8" hidden="false" customHeight="false" outlineLevel="0" collapsed="false">
      <c r="A916" s="0" t="n">
        <v>2672</v>
      </c>
      <c r="B916" s="0" t="s">
        <v>5355</v>
      </c>
      <c r="C916" s="0" t="s">
        <v>5356</v>
      </c>
      <c r="E916" s="0" t="n">
        <f aca="false">IF(J915=J916,E915+10,0)</f>
        <v>110</v>
      </c>
      <c r="F916" s="0" t="s">
        <v>5357</v>
      </c>
      <c r="G916" s="0" t="s">
        <v>5358</v>
      </c>
      <c r="H916" s="0" t="s">
        <v>5359</v>
      </c>
      <c r="I916" s="0" t="s">
        <v>5360</v>
      </c>
      <c r="J916" s="0" t="s">
        <v>1535</v>
      </c>
      <c r="K916" s="0" t="s">
        <v>971</v>
      </c>
      <c r="L916" s="0" t="s">
        <v>974</v>
      </c>
      <c r="M916" s="0" t="s">
        <v>973</v>
      </c>
      <c r="N916" s="0" t="s">
        <v>974</v>
      </c>
      <c r="O916" s="0" t="s">
        <v>975</v>
      </c>
      <c r="P916" s="0" t="s">
        <v>976</v>
      </c>
      <c r="Q916" s="0" t="s">
        <v>1059</v>
      </c>
      <c r="R916" s="0" t="s">
        <v>1046</v>
      </c>
      <c r="S916" s="0" t="s">
        <v>974</v>
      </c>
    </row>
    <row r="917" customFormat="false" ht="13.8" hidden="false" customHeight="false" outlineLevel="0" collapsed="false">
      <c r="A917" s="0" t="n">
        <v>2673</v>
      </c>
      <c r="B917" s="0" t="s">
        <v>5361</v>
      </c>
      <c r="C917" s="0" t="s">
        <v>4492</v>
      </c>
      <c r="E917" s="0" t="n">
        <f aca="false">IF(J916=J917,E916+10,0)</f>
        <v>120</v>
      </c>
      <c r="F917" s="0" t="s">
        <v>5362</v>
      </c>
      <c r="G917" s="0" t="s">
        <v>5363</v>
      </c>
      <c r="H917" s="0" t="s">
        <v>5364</v>
      </c>
      <c r="I917" s="0" t="s">
        <v>1666</v>
      </c>
      <c r="J917" s="0" t="s">
        <v>1535</v>
      </c>
      <c r="K917" s="0" t="s">
        <v>971</v>
      </c>
      <c r="L917" s="0" t="s">
        <v>974</v>
      </c>
      <c r="M917" s="0" t="s">
        <v>973</v>
      </c>
      <c r="N917" s="0" t="s">
        <v>974</v>
      </c>
      <c r="O917" s="0" t="s">
        <v>975</v>
      </c>
      <c r="P917" s="0" t="s">
        <v>976</v>
      </c>
      <c r="Q917" s="0" t="s">
        <v>1059</v>
      </c>
      <c r="R917" s="0" t="s">
        <v>1046</v>
      </c>
      <c r="S917" s="0" t="s">
        <v>974</v>
      </c>
    </row>
    <row r="918" customFormat="false" ht="13.8" hidden="false" customHeight="false" outlineLevel="0" collapsed="false">
      <c r="A918" s="0" t="n">
        <v>2674</v>
      </c>
      <c r="B918" s="0" t="s">
        <v>5365</v>
      </c>
      <c r="C918" s="0" t="s">
        <v>4482</v>
      </c>
      <c r="E918" s="0" t="n">
        <f aca="false">IF(J917=J918,E917+10,0)</f>
        <v>130</v>
      </c>
      <c r="F918" s="0" t="s">
        <v>5366</v>
      </c>
      <c r="G918" s="0" t="s">
        <v>5367</v>
      </c>
      <c r="H918" s="0" t="s">
        <v>5368</v>
      </c>
      <c r="I918" s="0" t="s">
        <v>1106</v>
      </c>
      <c r="J918" s="0" t="s">
        <v>1535</v>
      </c>
      <c r="K918" s="0" t="s">
        <v>971</v>
      </c>
      <c r="L918" s="0" t="s">
        <v>974</v>
      </c>
      <c r="M918" s="0" t="s">
        <v>973</v>
      </c>
      <c r="N918" s="0" t="s">
        <v>974</v>
      </c>
      <c r="O918" s="0" t="s">
        <v>975</v>
      </c>
      <c r="P918" s="0" t="s">
        <v>976</v>
      </c>
      <c r="Q918" s="0" t="s">
        <v>2195</v>
      </c>
      <c r="R918" s="0" t="s">
        <v>1144</v>
      </c>
      <c r="S918" s="0" t="s">
        <v>974</v>
      </c>
    </row>
    <row r="919" customFormat="false" ht="13.8" hidden="false" customHeight="false" outlineLevel="0" collapsed="false">
      <c r="A919" s="0" t="n">
        <v>2675</v>
      </c>
      <c r="B919" s="0" t="s">
        <v>5369</v>
      </c>
      <c r="C919" s="0" t="s">
        <v>1171</v>
      </c>
      <c r="E919" s="0" t="n">
        <f aca="false">IF(J918=J919,E918+10,0)</f>
        <v>140</v>
      </c>
      <c r="F919" s="0" t="s">
        <v>5370</v>
      </c>
      <c r="G919" s="0" t="s">
        <v>5371</v>
      </c>
      <c r="H919" s="0" t="s">
        <v>5372</v>
      </c>
      <c r="I919" s="0" t="s">
        <v>1175</v>
      </c>
      <c r="J919" s="0" t="s">
        <v>1535</v>
      </c>
      <c r="K919" s="0" t="s">
        <v>971</v>
      </c>
      <c r="L919" s="0" t="s">
        <v>1458</v>
      </c>
      <c r="M919" s="0" t="s">
        <v>1459</v>
      </c>
      <c r="N919" s="0" t="s">
        <v>974</v>
      </c>
      <c r="O919" s="0" t="s">
        <v>975</v>
      </c>
      <c r="P919" s="0" t="s">
        <v>976</v>
      </c>
      <c r="Q919" s="0" t="s">
        <v>974</v>
      </c>
      <c r="R919" s="0" t="s">
        <v>970</v>
      </c>
      <c r="S919" s="0" t="s">
        <v>974</v>
      </c>
    </row>
    <row r="920" customFormat="false" ht="13.8" hidden="false" customHeight="false" outlineLevel="0" collapsed="false">
      <c r="A920" s="0" t="n">
        <v>2676</v>
      </c>
      <c r="B920" s="0" t="s">
        <v>5373</v>
      </c>
      <c r="C920" s="0" t="s">
        <v>5120</v>
      </c>
      <c r="E920" s="0" t="n">
        <f aca="false">IF(J919=J920,E919+10,0)</f>
        <v>150</v>
      </c>
      <c r="F920" s="0" t="s">
        <v>5374</v>
      </c>
      <c r="G920" s="0" t="s">
        <v>5375</v>
      </c>
      <c r="H920" s="0" t="s">
        <v>5376</v>
      </c>
      <c r="I920" s="0" t="s">
        <v>1201</v>
      </c>
      <c r="J920" s="0" t="s">
        <v>1535</v>
      </c>
      <c r="K920" s="0" t="s">
        <v>971</v>
      </c>
      <c r="L920" s="0" t="s">
        <v>974</v>
      </c>
      <c r="M920" s="0" t="s">
        <v>973</v>
      </c>
      <c r="N920" s="0" t="s">
        <v>974</v>
      </c>
      <c r="O920" s="0" t="s">
        <v>975</v>
      </c>
      <c r="P920" s="0" t="s">
        <v>976</v>
      </c>
      <c r="Q920" s="0" t="s">
        <v>975</v>
      </c>
      <c r="R920" s="0" t="s">
        <v>970</v>
      </c>
      <c r="S920" s="0" t="s">
        <v>974</v>
      </c>
    </row>
    <row r="921" customFormat="false" ht="13.8" hidden="false" customHeight="false" outlineLevel="0" collapsed="false">
      <c r="A921" s="0" t="n">
        <v>2677</v>
      </c>
      <c r="B921" s="0" t="s">
        <v>5377</v>
      </c>
      <c r="C921" s="0" t="s">
        <v>4643</v>
      </c>
      <c r="E921" s="0" t="n">
        <f aca="false">IF(J920=J921,E920+10,0)</f>
        <v>0</v>
      </c>
      <c r="F921" s="0" t="s">
        <v>5378</v>
      </c>
      <c r="G921" s="0" t="s">
        <v>5379</v>
      </c>
      <c r="H921" s="0" t="s">
        <v>5380</v>
      </c>
      <c r="I921" s="0" t="s">
        <v>1065</v>
      </c>
      <c r="J921" s="0" t="s">
        <v>2871</v>
      </c>
      <c r="K921" s="0" t="s">
        <v>971</v>
      </c>
      <c r="L921" s="0" t="s">
        <v>974</v>
      </c>
      <c r="M921" s="0" t="s">
        <v>973</v>
      </c>
      <c r="N921" s="0" t="s">
        <v>995</v>
      </c>
      <c r="O921" s="0" t="s">
        <v>995</v>
      </c>
      <c r="P921" s="0" t="s">
        <v>976</v>
      </c>
      <c r="Q921" s="0" t="s">
        <v>974</v>
      </c>
      <c r="R921" s="0" t="s">
        <v>970</v>
      </c>
      <c r="S921" s="0" t="s">
        <v>974</v>
      </c>
    </row>
    <row r="922" customFormat="false" ht="13.8" hidden="false" customHeight="false" outlineLevel="0" collapsed="false">
      <c r="A922" s="0" t="n">
        <v>2678</v>
      </c>
      <c r="B922" s="0" t="s">
        <v>5381</v>
      </c>
      <c r="C922" s="0" t="s">
        <v>5382</v>
      </c>
      <c r="E922" s="0" t="n">
        <f aca="false">IF(J921=J922,E921+10,0)</f>
        <v>10</v>
      </c>
      <c r="F922" s="0" t="s">
        <v>5383</v>
      </c>
      <c r="G922" s="0" t="s">
        <v>5384</v>
      </c>
      <c r="H922" s="0" t="s">
        <v>5385</v>
      </c>
      <c r="I922" s="0" t="s">
        <v>5113</v>
      </c>
      <c r="J922" s="0" t="s">
        <v>2871</v>
      </c>
      <c r="K922" s="0" t="s">
        <v>5386</v>
      </c>
      <c r="L922" s="0" t="s">
        <v>2434</v>
      </c>
      <c r="M922" s="0" t="s">
        <v>973</v>
      </c>
      <c r="N922" s="0" t="s">
        <v>974</v>
      </c>
      <c r="O922" s="0" t="s">
        <v>975</v>
      </c>
      <c r="P922" s="0" t="s">
        <v>976</v>
      </c>
      <c r="Q922" s="0" t="s">
        <v>974</v>
      </c>
      <c r="R922" s="0" t="s">
        <v>970</v>
      </c>
      <c r="S922" s="0" t="s">
        <v>974</v>
      </c>
    </row>
    <row r="923" customFormat="false" ht="13.8" hidden="false" customHeight="false" outlineLevel="0" collapsed="false">
      <c r="A923" s="0" t="n">
        <v>2679</v>
      </c>
      <c r="B923" s="0" t="s">
        <v>5387</v>
      </c>
      <c r="C923" s="0" t="s">
        <v>5388</v>
      </c>
      <c r="E923" s="0" t="n">
        <f aca="false">IF(J922=J923,E922+10,0)</f>
        <v>20</v>
      </c>
      <c r="F923" s="0" t="s">
        <v>5389</v>
      </c>
      <c r="G923" s="0" t="s">
        <v>5390</v>
      </c>
      <c r="H923" s="0" t="s">
        <v>5391</v>
      </c>
      <c r="I923" s="0" t="s">
        <v>5129</v>
      </c>
      <c r="J923" s="0" t="s">
        <v>2871</v>
      </c>
      <c r="K923" s="0" t="s">
        <v>5392</v>
      </c>
      <c r="L923" s="0" t="s">
        <v>974</v>
      </c>
      <c r="M923" s="0" t="s">
        <v>973</v>
      </c>
      <c r="N923" s="0" t="s">
        <v>973</v>
      </c>
      <c r="O923" s="0" t="s">
        <v>995</v>
      </c>
      <c r="P923" s="0" t="s">
        <v>976</v>
      </c>
      <c r="Q923" s="0" t="s">
        <v>974</v>
      </c>
      <c r="R923" s="0" t="s">
        <v>970</v>
      </c>
      <c r="S923" s="0" t="s">
        <v>974</v>
      </c>
    </row>
    <row r="924" customFormat="false" ht="13.8" hidden="false" customHeight="false" outlineLevel="0" collapsed="false">
      <c r="A924" s="0" t="n">
        <v>2680</v>
      </c>
      <c r="B924" s="0" t="s">
        <v>5393</v>
      </c>
      <c r="C924" s="0" t="s">
        <v>4412</v>
      </c>
      <c r="E924" s="0" t="n">
        <f aca="false">IF(J923=J924,E923+10,0)</f>
        <v>30</v>
      </c>
      <c r="F924" s="0" t="s">
        <v>5394</v>
      </c>
      <c r="G924" s="0" t="s">
        <v>5395</v>
      </c>
      <c r="H924" s="0" t="s">
        <v>5396</v>
      </c>
      <c r="I924" s="0" t="s">
        <v>1249</v>
      </c>
      <c r="J924" s="0" t="s">
        <v>2871</v>
      </c>
      <c r="K924" s="0" t="s">
        <v>971</v>
      </c>
      <c r="L924" s="0" t="s">
        <v>974</v>
      </c>
      <c r="M924" s="0" t="s">
        <v>973</v>
      </c>
      <c r="N924" s="0" t="s">
        <v>974</v>
      </c>
      <c r="O924" s="0" t="s">
        <v>975</v>
      </c>
      <c r="P924" s="0" t="s">
        <v>976</v>
      </c>
      <c r="Q924" s="0" t="s">
        <v>1059</v>
      </c>
      <c r="R924" s="0" t="s">
        <v>1046</v>
      </c>
      <c r="S924" s="0" t="s">
        <v>974</v>
      </c>
    </row>
    <row r="925" customFormat="false" ht="13.8" hidden="false" customHeight="false" outlineLevel="0" collapsed="false">
      <c r="A925" s="0" t="n">
        <v>2681</v>
      </c>
      <c r="B925" s="0" t="s">
        <v>5397</v>
      </c>
      <c r="C925" s="0" t="s">
        <v>1420</v>
      </c>
      <c r="E925" s="0" t="n">
        <f aca="false">IF(J924=J925,E924+10,0)</f>
        <v>40</v>
      </c>
      <c r="F925" s="0" t="s">
        <v>5398</v>
      </c>
      <c r="G925" s="0" t="s">
        <v>5399</v>
      </c>
      <c r="H925" s="0" t="s">
        <v>5400</v>
      </c>
      <c r="I925" s="0" t="s">
        <v>1100</v>
      </c>
      <c r="J925" s="0" t="s">
        <v>2871</v>
      </c>
      <c r="K925" s="0" t="s">
        <v>971</v>
      </c>
      <c r="L925" s="0" t="s">
        <v>974</v>
      </c>
      <c r="M925" s="0" t="s">
        <v>973</v>
      </c>
      <c r="N925" s="0" t="s">
        <v>974</v>
      </c>
      <c r="O925" s="0" t="s">
        <v>975</v>
      </c>
      <c r="P925" s="0" t="s">
        <v>976</v>
      </c>
      <c r="Q925" s="0" t="s">
        <v>1059</v>
      </c>
      <c r="R925" s="0" t="s">
        <v>1046</v>
      </c>
      <c r="S925" s="0" t="s">
        <v>974</v>
      </c>
    </row>
    <row r="926" customFormat="false" ht="13.8" hidden="false" customHeight="false" outlineLevel="0" collapsed="false">
      <c r="A926" s="0" t="n">
        <v>2682</v>
      </c>
      <c r="B926" s="0" t="s">
        <v>5401</v>
      </c>
      <c r="C926" s="0" t="s">
        <v>5402</v>
      </c>
      <c r="E926" s="0" t="n">
        <f aca="false">IF(J925=J926,E925+10,0)</f>
        <v>50</v>
      </c>
      <c r="F926" s="0" t="s">
        <v>5403</v>
      </c>
      <c r="G926" s="0" t="s">
        <v>5404</v>
      </c>
      <c r="H926" s="0" t="s">
        <v>5405</v>
      </c>
      <c r="I926" s="0" t="s">
        <v>1021</v>
      </c>
      <c r="J926" s="0" t="s">
        <v>2871</v>
      </c>
      <c r="K926" s="0" t="s">
        <v>971</v>
      </c>
      <c r="L926" s="0" t="s">
        <v>2649</v>
      </c>
      <c r="M926" s="0" t="s">
        <v>1459</v>
      </c>
      <c r="N926" s="0" t="s">
        <v>974</v>
      </c>
      <c r="O926" s="0" t="s">
        <v>975</v>
      </c>
      <c r="P926" s="0" t="s">
        <v>976</v>
      </c>
      <c r="Q926" s="0" t="s">
        <v>974</v>
      </c>
      <c r="R926" s="0" t="s">
        <v>970</v>
      </c>
      <c r="S926" s="0" t="s">
        <v>974</v>
      </c>
    </row>
    <row r="927" customFormat="false" ht="13.8" hidden="false" customHeight="false" outlineLevel="0" collapsed="false">
      <c r="A927" s="0" t="n">
        <v>2683</v>
      </c>
      <c r="B927" s="0" t="s">
        <v>5406</v>
      </c>
      <c r="C927" s="0" t="s">
        <v>5407</v>
      </c>
      <c r="E927" s="0" t="n">
        <f aca="false">IF(J926=J927,E926+10,0)</f>
        <v>0</v>
      </c>
      <c r="F927" s="0" t="s">
        <v>5408</v>
      </c>
      <c r="G927" s="0" t="s">
        <v>5409</v>
      </c>
      <c r="H927" s="0" t="s">
        <v>5410</v>
      </c>
      <c r="I927" s="0" t="s">
        <v>5411</v>
      </c>
      <c r="J927" s="0" t="s">
        <v>5269</v>
      </c>
      <c r="K927" s="0" t="s">
        <v>971</v>
      </c>
      <c r="L927" s="0" t="s">
        <v>1046</v>
      </c>
      <c r="M927" s="0" t="s">
        <v>973</v>
      </c>
      <c r="N927" s="0" t="s">
        <v>974</v>
      </c>
      <c r="O927" s="0" t="s">
        <v>975</v>
      </c>
      <c r="P927" s="0" t="s">
        <v>976</v>
      </c>
      <c r="Q927" s="0" t="s">
        <v>974</v>
      </c>
      <c r="R927" s="0" t="s">
        <v>970</v>
      </c>
      <c r="S927" s="0" t="s">
        <v>974</v>
      </c>
    </row>
    <row r="928" customFormat="false" ht="13.8" hidden="false" customHeight="false" outlineLevel="0" collapsed="false">
      <c r="A928" s="0" t="n">
        <v>2684</v>
      </c>
      <c r="B928" s="0" t="s">
        <v>5412</v>
      </c>
      <c r="C928" s="0" t="s">
        <v>4111</v>
      </c>
      <c r="E928" s="0" t="n">
        <f aca="false">IF(J927=J928,E927+10,0)</f>
        <v>10</v>
      </c>
      <c r="F928" s="0" t="s">
        <v>5413</v>
      </c>
      <c r="G928" s="0" t="s">
        <v>5414</v>
      </c>
      <c r="H928" s="0" t="s">
        <v>5415</v>
      </c>
      <c r="I928" s="0" t="s">
        <v>1002</v>
      </c>
      <c r="J928" s="0" t="s">
        <v>5269</v>
      </c>
      <c r="K928" s="0" t="s">
        <v>971</v>
      </c>
      <c r="L928" s="0" t="s">
        <v>1117</v>
      </c>
      <c r="M928" s="0" t="s">
        <v>973</v>
      </c>
      <c r="N928" s="0" t="s">
        <v>974</v>
      </c>
      <c r="O928" s="0" t="s">
        <v>975</v>
      </c>
      <c r="P928" s="0" t="s">
        <v>976</v>
      </c>
      <c r="Q928" s="0" t="s">
        <v>974</v>
      </c>
      <c r="R928" s="0" t="s">
        <v>970</v>
      </c>
      <c r="S928" s="0" t="s">
        <v>974</v>
      </c>
    </row>
    <row r="929" customFormat="false" ht="13.8" hidden="false" customHeight="false" outlineLevel="0" collapsed="false">
      <c r="A929" s="0" t="n">
        <v>2685</v>
      </c>
      <c r="B929" s="0" t="s">
        <v>5416</v>
      </c>
      <c r="C929" s="0" t="s">
        <v>5417</v>
      </c>
      <c r="E929" s="0" t="n">
        <f aca="false">IF(J928=J929,E928+10,0)</f>
        <v>20</v>
      </c>
      <c r="F929" s="0" t="s">
        <v>5418</v>
      </c>
      <c r="G929" s="0" t="s">
        <v>5419</v>
      </c>
      <c r="H929" s="0" t="s">
        <v>5420</v>
      </c>
      <c r="I929" s="0" t="s">
        <v>1356</v>
      </c>
      <c r="J929" s="0" t="s">
        <v>5269</v>
      </c>
      <c r="K929" s="0" t="s">
        <v>971</v>
      </c>
      <c r="L929" s="0" t="s">
        <v>1186</v>
      </c>
      <c r="M929" s="0" t="s">
        <v>973</v>
      </c>
      <c r="N929" s="0" t="s">
        <v>974</v>
      </c>
      <c r="O929" s="0" t="s">
        <v>975</v>
      </c>
      <c r="P929" s="0" t="s">
        <v>976</v>
      </c>
      <c r="Q929" s="0" t="s">
        <v>974</v>
      </c>
      <c r="R929" s="0" t="s">
        <v>970</v>
      </c>
      <c r="S929" s="0" t="s">
        <v>974</v>
      </c>
    </row>
    <row r="930" customFormat="false" ht="13.8" hidden="false" customHeight="false" outlineLevel="0" collapsed="false">
      <c r="A930" s="0" t="n">
        <v>2686</v>
      </c>
      <c r="B930" s="0" t="s">
        <v>5421</v>
      </c>
      <c r="C930" s="0" t="s">
        <v>4417</v>
      </c>
      <c r="E930" s="0" t="n">
        <f aca="false">IF(J929=J930,E929+10,0)</f>
        <v>30</v>
      </c>
      <c r="F930" s="0" t="s">
        <v>5422</v>
      </c>
      <c r="G930" s="0" t="s">
        <v>5423</v>
      </c>
      <c r="H930" s="0" t="s">
        <v>5424</v>
      </c>
      <c r="I930" s="0" t="s">
        <v>1052</v>
      </c>
      <c r="J930" s="0" t="s">
        <v>5269</v>
      </c>
      <c r="K930" s="0" t="s">
        <v>971</v>
      </c>
      <c r="L930" s="0" t="s">
        <v>995</v>
      </c>
      <c r="M930" s="0" t="s">
        <v>973</v>
      </c>
      <c r="N930" s="0" t="s">
        <v>974</v>
      </c>
      <c r="O930" s="0" t="s">
        <v>975</v>
      </c>
      <c r="P930" s="0" t="s">
        <v>976</v>
      </c>
      <c r="Q930" s="0" t="s">
        <v>974</v>
      </c>
      <c r="R930" s="0" t="s">
        <v>970</v>
      </c>
      <c r="S930" s="0" t="s">
        <v>974</v>
      </c>
    </row>
    <row r="931" customFormat="false" ht="13.8" hidden="false" customHeight="false" outlineLevel="0" collapsed="false">
      <c r="A931" s="0" t="n">
        <v>2687</v>
      </c>
      <c r="B931" s="0" t="s">
        <v>5425</v>
      </c>
      <c r="C931" s="0" t="s">
        <v>4188</v>
      </c>
      <c r="E931" s="0" t="n">
        <f aca="false">IF(J930=J931,E930+10,0)</f>
        <v>40</v>
      </c>
      <c r="F931" s="0" t="s">
        <v>5426</v>
      </c>
      <c r="G931" s="0" t="s">
        <v>5427</v>
      </c>
      <c r="H931" s="0" t="s">
        <v>5428</v>
      </c>
      <c r="I931" s="0" t="s">
        <v>1444</v>
      </c>
      <c r="J931" s="0" t="s">
        <v>5269</v>
      </c>
      <c r="K931" s="0" t="s">
        <v>971</v>
      </c>
      <c r="L931" s="0" t="s">
        <v>974</v>
      </c>
      <c r="M931" s="0" t="s">
        <v>973</v>
      </c>
      <c r="N931" s="0" t="s">
        <v>1117</v>
      </c>
      <c r="O931" s="0" t="s">
        <v>975</v>
      </c>
      <c r="P931" s="0" t="s">
        <v>976</v>
      </c>
      <c r="Q931" s="0" t="s">
        <v>974</v>
      </c>
      <c r="R931" s="0" t="s">
        <v>970</v>
      </c>
      <c r="S931" s="0" t="s">
        <v>974</v>
      </c>
    </row>
    <row r="932" customFormat="false" ht="13.8" hidden="false" customHeight="false" outlineLevel="0" collapsed="false">
      <c r="A932" s="0" t="n">
        <v>2688</v>
      </c>
      <c r="B932" s="0" t="s">
        <v>5429</v>
      </c>
      <c r="C932" s="0" t="s">
        <v>4643</v>
      </c>
      <c r="E932" s="0" t="n">
        <f aca="false">IF(J931=J932,E931+10,0)</f>
        <v>50</v>
      </c>
      <c r="F932" s="0" t="s">
        <v>5430</v>
      </c>
      <c r="G932" s="0" t="s">
        <v>5431</v>
      </c>
      <c r="H932" s="0" t="s">
        <v>5432</v>
      </c>
      <c r="I932" s="0" t="s">
        <v>1065</v>
      </c>
      <c r="J932" s="0" t="s">
        <v>5269</v>
      </c>
      <c r="K932" s="0" t="s">
        <v>971</v>
      </c>
      <c r="L932" s="0" t="s">
        <v>974</v>
      </c>
      <c r="M932" s="0" t="s">
        <v>973</v>
      </c>
      <c r="N932" s="0" t="s">
        <v>974</v>
      </c>
      <c r="O932" s="0" t="s">
        <v>975</v>
      </c>
      <c r="P932" s="0" t="s">
        <v>976</v>
      </c>
      <c r="Q932" s="0" t="s">
        <v>975</v>
      </c>
      <c r="R932" s="0" t="s">
        <v>970</v>
      </c>
      <c r="S932" s="0" t="s">
        <v>974</v>
      </c>
    </row>
    <row r="933" customFormat="false" ht="13.8" hidden="false" customHeight="false" outlineLevel="0" collapsed="false">
      <c r="A933" s="0" t="n">
        <v>2689</v>
      </c>
      <c r="B933" s="0" t="s">
        <v>5433</v>
      </c>
      <c r="C933" s="0" t="s">
        <v>5434</v>
      </c>
      <c r="E933" s="0" t="n">
        <f aca="false">IF(J932=J933,E932+10,0)</f>
        <v>60</v>
      </c>
      <c r="F933" s="0" t="s">
        <v>5435</v>
      </c>
      <c r="G933" s="0" t="s">
        <v>5436</v>
      </c>
      <c r="H933" s="0" t="s">
        <v>5437</v>
      </c>
      <c r="I933" s="0" t="s">
        <v>1021</v>
      </c>
      <c r="J933" s="0" t="s">
        <v>5269</v>
      </c>
      <c r="K933" s="0" t="s">
        <v>971</v>
      </c>
      <c r="L933" s="0" t="s">
        <v>974</v>
      </c>
      <c r="M933" s="0" t="s">
        <v>973</v>
      </c>
      <c r="N933" s="0" t="s">
        <v>974</v>
      </c>
      <c r="O933" s="0" t="s">
        <v>975</v>
      </c>
      <c r="P933" s="0" t="s">
        <v>976</v>
      </c>
      <c r="Q933" s="0" t="s">
        <v>970</v>
      </c>
      <c r="R933" s="0" t="s">
        <v>970</v>
      </c>
      <c r="S933" s="0" t="s">
        <v>974</v>
      </c>
    </row>
    <row r="934" customFormat="false" ht="13.8" hidden="false" customHeight="false" outlineLevel="0" collapsed="false">
      <c r="A934" s="0" t="n">
        <v>2690</v>
      </c>
      <c r="B934" s="0" t="s">
        <v>5438</v>
      </c>
      <c r="C934" s="0" t="s">
        <v>3990</v>
      </c>
      <c r="E934" s="0" t="n">
        <f aca="false">IF(J933=J934,E933+10,0)</f>
        <v>70</v>
      </c>
      <c r="F934" s="0" t="s">
        <v>5439</v>
      </c>
      <c r="G934" s="0" t="s">
        <v>5440</v>
      </c>
      <c r="H934" s="0" t="s">
        <v>5441</v>
      </c>
      <c r="I934" s="0" t="s">
        <v>1033</v>
      </c>
      <c r="J934" s="0" t="s">
        <v>5269</v>
      </c>
      <c r="K934" s="0" t="s">
        <v>971</v>
      </c>
      <c r="L934" s="0" t="s">
        <v>974</v>
      </c>
      <c r="M934" s="0" t="s">
        <v>973</v>
      </c>
      <c r="N934" s="0" t="s">
        <v>974</v>
      </c>
      <c r="O934" s="0" t="s">
        <v>975</v>
      </c>
      <c r="P934" s="0" t="s">
        <v>976</v>
      </c>
      <c r="Q934" s="0" t="s">
        <v>970</v>
      </c>
      <c r="R934" s="0" t="s">
        <v>970</v>
      </c>
      <c r="S934" s="0" t="s">
        <v>974</v>
      </c>
    </row>
    <row r="935" customFormat="false" ht="13.8" hidden="false" customHeight="false" outlineLevel="0" collapsed="false">
      <c r="A935" s="0" t="n">
        <v>2691</v>
      </c>
      <c r="B935" s="0" t="s">
        <v>5442</v>
      </c>
      <c r="C935" s="0" t="s">
        <v>5443</v>
      </c>
      <c r="E935" s="0" t="n">
        <f aca="false">IF(J934=J935,E934+10,0)</f>
        <v>80</v>
      </c>
      <c r="F935" s="0" t="s">
        <v>5444</v>
      </c>
      <c r="G935" s="0" t="s">
        <v>5445</v>
      </c>
      <c r="H935" s="0" t="s">
        <v>5446</v>
      </c>
      <c r="I935" s="0" t="s">
        <v>4256</v>
      </c>
      <c r="J935" s="0" t="s">
        <v>5269</v>
      </c>
      <c r="K935" s="0" t="s">
        <v>971</v>
      </c>
      <c r="L935" s="0" t="s">
        <v>1829</v>
      </c>
      <c r="M935" s="0" t="s">
        <v>973</v>
      </c>
      <c r="N935" s="0" t="s">
        <v>974</v>
      </c>
      <c r="O935" s="0" t="s">
        <v>975</v>
      </c>
      <c r="P935" s="0" t="s">
        <v>976</v>
      </c>
      <c r="Q935" s="0" t="s">
        <v>974</v>
      </c>
      <c r="R935" s="0" t="s">
        <v>970</v>
      </c>
      <c r="S935" s="0" t="s">
        <v>974</v>
      </c>
    </row>
    <row r="936" customFormat="false" ht="13.8" hidden="false" customHeight="false" outlineLevel="0" collapsed="false">
      <c r="A936" s="0" t="n">
        <v>2692</v>
      </c>
      <c r="B936" s="0" t="s">
        <v>5447</v>
      </c>
      <c r="C936" s="0" t="s">
        <v>1171</v>
      </c>
      <c r="E936" s="0" t="n">
        <f aca="false">IF(J935=J936,E935+10,0)</f>
        <v>90</v>
      </c>
      <c r="F936" s="0" t="s">
        <v>5448</v>
      </c>
      <c r="G936" s="0" t="s">
        <v>5449</v>
      </c>
      <c r="H936" s="0" t="s">
        <v>5450</v>
      </c>
      <c r="I936" s="0" t="s">
        <v>1175</v>
      </c>
      <c r="J936" s="0" t="s">
        <v>5269</v>
      </c>
      <c r="K936" s="0" t="s">
        <v>971</v>
      </c>
      <c r="L936" s="0" t="s">
        <v>973</v>
      </c>
      <c r="M936" s="0" t="s">
        <v>973</v>
      </c>
      <c r="N936" s="0" t="s">
        <v>974</v>
      </c>
      <c r="O936" s="0" t="s">
        <v>975</v>
      </c>
      <c r="P936" s="0" t="s">
        <v>976</v>
      </c>
      <c r="Q936" s="0" t="s">
        <v>974</v>
      </c>
      <c r="R936" s="0" t="s">
        <v>970</v>
      </c>
      <c r="S936" s="0" t="s">
        <v>974</v>
      </c>
    </row>
    <row r="937" customFormat="false" ht="13.8" hidden="false" customHeight="false" outlineLevel="0" collapsed="false">
      <c r="A937" s="0" t="n">
        <v>2693</v>
      </c>
      <c r="B937" s="0" t="s">
        <v>5451</v>
      </c>
      <c r="C937" s="0" t="s">
        <v>1420</v>
      </c>
      <c r="E937" s="0" t="n">
        <f aca="false">IF(J936=J937,E936+10,0)</f>
        <v>100</v>
      </c>
      <c r="F937" s="0" t="s">
        <v>5452</v>
      </c>
      <c r="G937" s="0" t="s">
        <v>5453</v>
      </c>
      <c r="H937" s="0" t="s">
        <v>5454</v>
      </c>
      <c r="I937" s="0" t="s">
        <v>1100</v>
      </c>
      <c r="J937" s="0" t="s">
        <v>5269</v>
      </c>
      <c r="K937" s="0" t="s">
        <v>971</v>
      </c>
      <c r="L937" s="0" t="s">
        <v>974</v>
      </c>
      <c r="M937" s="0" t="s">
        <v>973</v>
      </c>
      <c r="N937" s="0" t="s">
        <v>974</v>
      </c>
      <c r="O937" s="0" t="s">
        <v>975</v>
      </c>
      <c r="P937" s="0" t="s">
        <v>976</v>
      </c>
      <c r="Q937" s="0" t="s">
        <v>1046</v>
      </c>
      <c r="R937" s="0" t="s">
        <v>1046</v>
      </c>
      <c r="S937" s="0" t="s">
        <v>974</v>
      </c>
    </row>
    <row r="938" customFormat="false" ht="13.8" hidden="false" customHeight="false" outlineLevel="0" collapsed="false">
      <c r="A938" s="0" t="n">
        <v>2694</v>
      </c>
      <c r="B938" s="0" t="s">
        <v>5455</v>
      </c>
      <c r="C938" s="0" t="s">
        <v>4686</v>
      </c>
      <c r="E938" s="0" t="n">
        <f aca="false">IF(J937=J938,E937+10,0)</f>
        <v>110</v>
      </c>
      <c r="F938" s="0" t="s">
        <v>5456</v>
      </c>
      <c r="G938" s="0" t="s">
        <v>5457</v>
      </c>
      <c r="H938" s="0" t="s">
        <v>5458</v>
      </c>
      <c r="I938" s="0" t="s">
        <v>1349</v>
      </c>
      <c r="J938" s="0" t="s">
        <v>5269</v>
      </c>
      <c r="K938" s="0" t="s">
        <v>971</v>
      </c>
      <c r="L938" s="0" t="s">
        <v>975</v>
      </c>
      <c r="M938" s="0" t="s">
        <v>973</v>
      </c>
      <c r="N938" s="0" t="s">
        <v>974</v>
      </c>
      <c r="O938" s="0" t="s">
        <v>975</v>
      </c>
      <c r="P938" s="0" t="s">
        <v>976</v>
      </c>
      <c r="Q938" s="0" t="s">
        <v>974</v>
      </c>
      <c r="R938" s="0" t="s">
        <v>970</v>
      </c>
      <c r="S938" s="0" t="s">
        <v>974</v>
      </c>
    </row>
    <row r="939" customFormat="false" ht="13.8" hidden="false" customHeight="false" outlineLevel="0" collapsed="false">
      <c r="A939" s="0" t="n">
        <v>2695</v>
      </c>
      <c r="B939" s="0" t="s">
        <v>5459</v>
      </c>
      <c r="C939" s="0" t="s">
        <v>4445</v>
      </c>
      <c r="E939" s="0" t="n">
        <f aca="false">IF(J938=J939,E938+10,0)</f>
        <v>120</v>
      </c>
      <c r="F939" s="0" t="s">
        <v>5460</v>
      </c>
      <c r="G939" s="0" t="s">
        <v>5461</v>
      </c>
      <c r="H939" s="0" t="s">
        <v>5462</v>
      </c>
      <c r="I939" s="0" t="s">
        <v>1008</v>
      </c>
      <c r="J939" s="0" t="s">
        <v>5269</v>
      </c>
      <c r="K939" s="0" t="s">
        <v>971</v>
      </c>
      <c r="L939" s="0" t="s">
        <v>974</v>
      </c>
      <c r="M939" s="0" t="s">
        <v>973</v>
      </c>
      <c r="N939" s="0" t="s">
        <v>974</v>
      </c>
      <c r="O939" s="0" t="s">
        <v>975</v>
      </c>
      <c r="P939" s="0" t="s">
        <v>976</v>
      </c>
      <c r="Q939" s="0" t="s">
        <v>1046</v>
      </c>
      <c r="R939" s="0" t="s">
        <v>970</v>
      </c>
      <c r="S939" s="0" t="s">
        <v>974</v>
      </c>
    </row>
    <row r="940" customFormat="false" ht="13.8" hidden="false" customHeight="false" outlineLevel="0" collapsed="false">
      <c r="A940" s="0" t="n">
        <v>2696</v>
      </c>
      <c r="B940" s="0" t="s">
        <v>5463</v>
      </c>
      <c r="C940" s="0" t="s">
        <v>4492</v>
      </c>
      <c r="E940" s="0" t="n">
        <f aca="false">IF(J939=J940,E939+10,0)</f>
        <v>130</v>
      </c>
      <c r="F940" s="0" t="s">
        <v>5464</v>
      </c>
      <c r="G940" s="0" t="s">
        <v>5465</v>
      </c>
      <c r="H940" s="0" t="s">
        <v>5466</v>
      </c>
      <c r="I940" s="0" t="s">
        <v>1666</v>
      </c>
      <c r="J940" s="0" t="s">
        <v>5269</v>
      </c>
      <c r="K940" s="0" t="s">
        <v>971</v>
      </c>
      <c r="L940" s="0" t="s">
        <v>974</v>
      </c>
      <c r="M940" s="0" t="s">
        <v>973</v>
      </c>
      <c r="N940" s="0" t="s">
        <v>974</v>
      </c>
      <c r="O940" s="0" t="s">
        <v>975</v>
      </c>
      <c r="P940" s="0" t="s">
        <v>976</v>
      </c>
      <c r="Q940" s="0" t="s">
        <v>973</v>
      </c>
      <c r="R940" s="0" t="s">
        <v>1046</v>
      </c>
      <c r="S940" s="0" t="s">
        <v>974</v>
      </c>
    </row>
    <row r="941" customFormat="false" ht="13.8" hidden="false" customHeight="false" outlineLevel="0" collapsed="false">
      <c r="A941" s="0" t="n">
        <v>2697</v>
      </c>
      <c r="B941" s="0" t="s">
        <v>5467</v>
      </c>
      <c r="C941" s="0" t="s">
        <v>4220</v>
      </c>
      <c r="E941" s="0" t="n">
        <f aca="false">IF(J940=J941,E940+10,0)</f>
        <v>140</v>
      </c>
      <c r="F941" s="0" t="s">
        <v>5468</v>
      </c>
      <c r="G941" s="0" t="s">
        <v>5469</v>
      </c>
      <c r="H941" s="0" t="s">
        <v>5470</v>
      </c>
      <c r="I941" s="0" t="s">
        <v>1014</v>
      </c>
      <c r="J941" s="0" t="s">
        <v>5269</v>
      </c>
      <c r="K941" s="0" t="s">
        <v>971</v>
      </c>
      <c r="L941" s="0" t="s">
        <v>974</v>
      </c>
      <c r="M941" s="0" t="s">
        <v>973</v>
      </c>
      <c r="N941" s="0" t="s">
        <v>974</v>
      </c>
      <c r="O941" s="0" t="s">
        <v>975</v>
      </c>
      <c r="P941" s="0" t="s">
        <v>976</v>
      </c>
      <c r="Q941" s="0" t="s">
        <v>973</v>
      </c>
      <c r="R941" s="0" t="s">
        <v>1046</v>
      </c>
      <c r="S941" s="0" t="s">
        <v>974</v>
      </c>
    </row>
    <row r="942" customFormat="false" ht="13.8" hidden="false" customHeight="false" outlineLevel="0" collapsed="false">
      <c r="A942" s="0" t="n">
        <v>2698</v>
      </c>
      <c r="B942" s="0" t="s">
        <v>5471</v>
      </c>
      <c r="C942" s="0" t="s">
        <v>4018</v>
      </c>
      <c r="E942" s="0" t="n">
        <f aca="false">IF(J941=J942,E941+10,0)</f>
        <v>150</v>
      </c>
      <c r="F942" s="0" t="s">
        <v>5472</v>
      </c>
      <c r="G942" s="0" t="s">
        <v>5473</v>
      </c>
      <c r="H942" s="0" t="s">
        <v>5474</v>
      </c>
      <c r="I942" s="0" t="s">
        <v>1180</v>
      </c>
      <c r="J942" s="0" t="s">
        <v>5269</v>
      </c>
      <c r="K942" s="0" t="s">
        <v>971</v>
      </c>
      <c r="L942" s="0" t="s">
        <v>974</v>
      </c>
      <c r="M942" s="0" t="s">
        <v>973</v>
      </c>
      <c r="N942" s="0" t="s">
        <v>974</v>
      </c>
      <c r="O942" s="0" t="s">
        <v>975</v>
      </c>
      <c r="P942" s="0" t="s">
        <v>976</v>
      </c>
      <c r="Q942" s="0" t="s">
        <v>1214</v>
      </c>
      <c r="R942" s="0" t="s">
        <v>1046</v>
      </c>
      <c r="S942" s="0" t="s">
        <v>974</v>
      </c>
    </row>
    <row r="943" customFormat="false" ht="13.8" hidden="false" customHeight="false" outlineLevel="0" collapsed="false">
      <c r="A943" s="0" t="n">
        <v>2699</v>
      </c>
      <c r="B943" s="0" t="s">
        <v>5475</v>
      </c>
      <c r="C943" s="0" t="s">
        <v>5476</v>
      </c>
      <c r="E943" s="0" t="n">
        <f aca="false">IF(J942=J943,E942+10,0)</f>
        <v>0</v>
      </c>
      <c r="F943" s="0" t="s">
        <v>5477</v>
      </c>
      <c r="G943" s="0" t="s">
        <v>5478</v>
      </c>
      <c r="H943" s="0" t="s">
        <v>5479</v>
      </c>
      <c r="I943" s="0" t="s">
        <v>1021</v>
      </c>
      <c r="J943" s="0" t="s">
        <v>3953</v>
      </c>
      <c r="K943" s="0" t="s">
        <v>971</v>
      </c>
      <c r="L943" s="0" t="s">
        <v>974</v>
      </c>
      <c r="M943" s="0" t="s">
        <v>973</v>
      </c>
      <c r="N943" s="0" t="s">
        <v>974</v>
      </c>
      <c r="O943" s="0" t="s">
        <v>975</v>
      </c>
      <c r="P943" s="0" t="s">
        <v>976</v>
      </c>
      <c r="Q943" s="0" t="s">
        <v>970</v>
      </c>
      <c r="R943" s="0" t="s">
        <v>970</v>
      </c>
      <c r="S943" s="0" t="s">
        <v>974</v>
      </c>
    </row>
    <row r="944" customFormat="false" ht="13.8" hidden="false" customHeight="false" outlineLevel="0" collapsed="false">
      <c r="A944" s="0" t="n">
        <v>2700</v>
      </c>
      <c r="B944" s="0" t="s">
        <v>5480</v>
      </c>
      <c r="C944" s="0" t="s">
        <v>5481</v>
      </c>
      <c r="E944" s="0" t="n">
        <f aca="false">IF(J943=J944,E943+10,0)</f>
        <v>10</v>
      </c>
      <c r="F944" s="0" t="s">
        <v>5482</v>
      </c>
      <c r="G944" s="0" t="s">
        <v>5483</v>
      </c>
      <c r="H944" s="0" t="s">
        <v>5484</v>
      </c>
      <c r="I944" s="0" t="s">
        <v>1021</v>
      </c>
      <c r="J944" s="0" t="s">
        <v>3953</v>
      </c>
      <c r="K944" s="0" t="s">
        <v>5485</v>
      </c>
      <c r="L944" s="0" t="s">
        <v>974</v>
      </c>
      <c r="M944" s="0" t="s">
        <v>973</v>
      </c>
      <c r="N944" s="0" t="s">
        <v>974</v>
      </c>
      <c r="O944" s="0" t="s">
        <v>975</v>
      </c>
      <c r="P944" s="0" t="s">
        <v>976</v>
      </c>
      <c r="Q944" s="0" t="s">
        <v>973</v>
      </c>
      <c r="R944" s="0" t="s">
        <v>970</v>
      </c>
      <c r="S944" s="0" t="s">
        <v>974</v>
      </c>
    </row>
    <row r="945" customFormat="false" ht="13.8" hidden="false" customHeight="false" outlineLevel="0" collapsed="false">
      <c r="A945" s="0" t="n">
        <v>2701</v>
      </c>
      <c r="B945" s="0" t="s">
        <v>5486</v>
      </c>
      <c r="C945" s="0" t="s">
        <v>4412</v>
      </c>
      <c r="E945" s="0" t="n">
        <f aca="false">IF(J944=J945,E944+10,0)</f>
        <v>20</v>
      </c>
      <c r="F945" s="0" t="s">
        <v>5487</v>
      </c>
      <c r="G945" s="0" t="s">
        <v>5488</v>
      </c>
      <c r="H945" s="0" t="s">
        <v>5489</v>
      </c>
      <c r="I945" s="0" t="s">
        <v>1249</v>
      </c>
      <c r="J945" s="0" t="s">
        <v>3953</v>
      </c>
      <c r="K945" s="0" t="s">
        <v>5490</v>
      </c>
      <c r="L945" s="0" t="s">
        <v>974</v>
      </c>
      <c r="M945" s="0" t="s">
        <v>973</v>
      </c>
      <c r="N945" s="0" t="s">
        <v>974</v>
      </c>
      <c r="O945" s="0" t="s">
        <v>975</v>
      </c>
      <c r="P945" s="0" t="s">
        <v>976</v>
      </c>
      <c r="Q945" s="0" t="s">
        <v>970</v>
      </c>
      <c r="R945" s="0" t="s">
        <v>970</v>
      </c>
      <c r="S945" s="0" t="s">
        <v>974</v>
      </c>
    </row>
    <row r="946" customFormat="false" ht="13.8" hidden="false" customHeight="false" outlineLevel="0" collapsed="false">
      <c r="A946" s="0" t="n">
        <v>2702</v>
      </c>
      <c r="B946" s="0" t="s">
        <v>5491</v>
      </c>
      <c r="C946" s="0" t="s">
        <v>5492</v>
      </c>
      <c r="E946" s="0" t="n">
        <f aca="false">IF(J945=J946,E945+10,0)</f>
        <v>30</v>
      </c>
      <c r="F946" s="0" t="s">
        <v>5493</v>
      </c>
      <c r="G946" s="0" t="s">
        <v>5494</v>
      </c>
      <c r="H946" s="0" t="s">
        <v>5495</v>
      </c>
      <c r="I946" s="0" t="s">
        <v>5496</v>
      </c>
      <c r="J946" s="0" t="s">
        <v>3953</v>
      </c>
      <c r="K946" s="0" t="s">
        <v>5497</v>
      </c>
      <c r="L946" s="0" t="s">
        <v>1067</v>
      </c>
      <c r="M946" s="0" t="s">
        <v>973</v>
      </c>
      <c r="N946" s="0" t="s">
        <v>974</v>
      </c>
      <c r="O946" s="0" t="s">
        <v>975</v>
      </c>
      <c r="P946" s="0" t="s">
        <v>976</v>
      </c>
      <c r="Q946" s="0" t="s">
        <v>974</v>
      </c>
      <c r="R946" s="0" t="s">
        <v>970</v>
      </c>
      <c r="S946" s="0" t="s">
        <v>974</v>
      </c>
    </row>
    <row r="947" customFormat="false" ht="13.8" hidden="false" customHeight="false" outlineLevel="0" collapsed="false">
      <c r="A947" s="0" t="n">
        <v>2703</v>
      </c>
      <c r="B947" s="0" t="s">
        <v>5498</v>
      </c>
      <c r="C947" s="0" t="s">
        <v>4417</v>
      </c>
      <c r="E947" s="0" t="n">
        <f aca="false">IF(J946=J947,E946+10,0)</f>
        <v>40</v>
      </c>
      <c r="F947" s="0" t="s">
        <v>5499</v>
      </c>
      <c r="G947" s="0" t="s">
        <v>5500</v>
      </c>
      <c r="H947" s="0" t="s">
        <v>5501</v>
      </c>
      <c r="I947" s="0" t="s">
        <v>1052</v>
      </c>
      <c r="J947" s="0" t="s">
        <v>3953</v>
      </c>
      <c r="K947" s="0" t="s">
        <v>5502</v>
      </c>
      <c r="L947" s="0" t="s">
        <v>1117</v>
      </c>
      <c r="M947" s="0" t="s">
        <v>973</v>
      </c>
      <c r="N947" s="0" t="s">
        <v>974</v>
      </c>
      <c r="O947" s="0" t="s">
        <v>975</v>
      </c>
      <c r="P947" s="0" t="s">
        <v>976</v>
      </c>
      <c r="Q947" s="0" t="s">
        <v>974</v>
      </c>
      <c r="R947" s="0" t="s">
        <v>970</v>
      </c>
      <c r="S947" s="0" t="s">
        <v>974</v>
      </c>
    </row>
    <row r="948" customFormat="false" ht="13.8" hidden="false" customHeight="false" outlineLevel="0" collapsed="false">
      <c r="A948" s="0" t="n">
        <v>2704</v>
      </c>
      <c r="B948" s="0" t="s">
        <v>5503</v>
      </c>
      <c r="C948" s="0" t="s">
        <v>4577</v>
      </c>
      <c r="E948" s="0" t="n">
        <f aca="false">IF(J947=J948,E947+10,0)</f>
        <v>50</v>
      </c>
      <c r="F948" s="0" t="s">
        <v>5504</v>
      </c>
      <c r="G948" s="0" t="s">
        <v>5505</v>
      </c>
      <c r="H948" s="0" t="s">
        <v>5506</v>
      </c>
      <c r="I948" s="0" t="s">
        <v>995</v>
      </c>
      <c r="J948" s="0" t="s">
        <v>3953</v>
      </c>
      <c r="K948" s="0" t="s">
        <v>5507</v>
      </c>
      <c r="L948" s="0" t="s">
        <v>1117</v>
      </c>
      <c r="M948" s="0" t="s">
        <v>973</v>
      </c>
      <c r="N948" s="0" t="s">
        <v>974</v>
      </c>
      <c r="O948" s="0" t="s">
        <v>975</v>
      </c>
      <c r="P948" s="0" t="s">
        <v>976</v>
      </c>
      <c r="Q948" s="0" t="s">
        <v>974</v>
      </c>
      <c r="R948" s="0" t="s">
        <v>970</v>
      </c>
      <c r="S948" s="0" t="s">
        <v>974</v>
      </c>
    </row>
    <row r="949" customFormat="false" ht="13.8" hidden="false" customHeight="false" outlineLevel="0" collapsed="false">
      <c r="A949" s="0" t="n">
        <v>2705</v>
      </c>
      <c r="B949" s="0" t="s">
        <v>5508</v>
      </c>
      <c r="C949" s="0" t="s">
        <v>5417</v>
      </c>
      <c r="E949" s="0" t="n">
        <f aca="false">IF(J948=J949,E948+10,0)</f>
        <v>60</v>
      </c>
      <c r="F949" s="0" t="s">
        <v>5509</v>
      </c>
      <c r="G949" s="0" t="s">
        <v>5510</v>
      </c>
      <c r="H949" s="0" t="s">
        <v>5511</v>
      </c>
      <c r="I949" s="0" t="s">
        <v>1356</v>
      </c>
      <c r="J949" s="0" t="s">
        <v>3953</v>
      </c>
      <c r="K949" s="0" t="s">
        <v>971</v>
      </c>
      <c r="L949" s="0" t="s">
        <v>1117</v>
      </c>
      <c r="M949" s="0" t="s">
        <v>973</v>
      </c>
      <c r="N949" s="0" t="s">
        <v>974</v>
      </c>
      <c r="O949" s="0" t="s">
        <v>975</v>
      </c>
      <c r="P949" s="0" t="s">
        <v>976</v>
      </c>
      <c r="Q949" s="0" t="s">
        <v>974</v>
      </c>
      <c r="R949" s="0" t="s">
        <v>970</v>
      </c>
      <c r="S949" s="0" t="s">
        <v>974</v>
      </c>
    </row>
    <row r="950" customFormat="false" ht="13.8" hidden="false" customHeight="false" outlineLevel="0" collapsed="false">
      <c r="A950" s="0" t="n">
        <v>2706</v>
      </c>
      <c r="B950" s="0" t="s">
        <v>5512</v>
      </c>
      <c r="C950" s="0" t="s">
        <v>4643</v>
      </c>
      <c r="E950" s="0" t="n">
        <f aca="false">IF(J949=J950,E949+10,0)</f>
        <v>70</v>
      </c>
      <c r="F950" s="0" t="s">
        <v>5513</v>
      </c>
      <c r="G950" s="0" t="s">
        <v>5514</v>
      </c>
      <c r="H950" s="0" t="s">
        <v>5515</v>
      </c>
      <c r="I950" s="0" t="s">
        <v>1065</v>
      </c>
      <c r="J950" s="0" t="s">
        <v>3953</v>
      </c>
      <c r="K950" s="0" t="s">
        <v>971</v>
      </c>
      <c r="L950" s="0" t="s">
        <v>974</v>
      </c>
      <c r="M950" s="0" t="s">
        <v>973</v>
      </c>
      <c r="N950" s="0" t="s">
        <v>974</v>
      </c>
      <c r="O950" s="0" t="s">
        <v>975</v>
      </c>
      <c r="P950" s="0" t="s">
        <v>976</v>
      </c>
      <c r="Q950" s="0" t="s">
        <v>1082</v>
      </c>
      <c r="R950" s="0" t="s">
        <v>970</v>
      </c>
      <c r="S950" s="0" t="s">
        <v>974</v>
      </c>
    </row>
    <row r="951" customFormat="false" ht="13.8" hidden="false" customHeight="false" outlineLevel="0" collapsed="false">
      <c r="A951" s="0" t="n">
        <v>2707</v>
      </c>
      <c r="B951" s="0" t="s">
        <v>5516</v>
      </c>
      <c r="C951" s="0" t="s">
        <v>3990</v>
      </c>
      <c r="E951" s="0" t="n">
        <f aca="false">IF(J950=J951,E950+10,0)</f>
        <v>80</v>
      </c>
      <c r="F951" s="0" t="s">
        <v>5517</v>
      </c>
      <c r="G951" s="0" t="s">
        <v>5518</v>
      </c>
      <c r="H951" s="0" t="s">
        <v>5519</v>
      </c>
      <c r="I951" s="0" t="s">
        <v>1033</v>
      </c>
      <c r="J951" s="0" t="s">
        <v>3953</v>
      </c>
      <c r="K951" s="0" t="s">
        <v>971</v>
      </c>
      <c r="L951" s="0" t="s">
        <v>974</v>
      </c>
      <c r="M951" s="0" t="s">
        <v>973</v>
      </c>
      <c r="N951" s="0" t="s">
        <v>974</v>
      </c>
      <c r="O951" s="0" t="s">
        <v>975</v>
      </c>
      <c r="P951" s="0" t="s">
        <v>976</v>
      </c>
      <c r="Q951" s="0" t="s">
        <v>973</v>
      </c>
      <c r="R951" s="0" t="s">
        <v>970</v>
      </c>
      <c r="S951" s="0" t="s">
        <v>974</v>
      </c>
    </row>
    <row r="952" customFormat="false" ht="13.8" hidden="false" customHeight="false" outlineLevel="0" collapsed="false">
      <c r="A952" s="0" t="n">
        <v>2708</v>
      </c>
      <c r="B952" s="0" t="s">
        <v>5520</v>
      </c>
      <c r="C952" s="0" t="s">
        <v>5053</v>
      </c>
      <c r="E952" s="0" t="n">
        <f aca="false">IF(J951=J952,E951+10,0)</f>
        <v>90</v>
      </c>
      <c r="F952" s="0" t="s">
        <v>5521</v>
      </c>
      <c r="G952" s="0" t="s">
        <v>5522</v>
      </c>
      <c r="H952" s="0" t="s">
        <v>5523</v>
      </c>
      <c r="I952" s="0" t="s">
        <v>5057</v>
      </c>
      <c r="J952" s="0" t="s">
        <v>3953</v>
      </c>
      <c r="K952" s="0" t="s">
        <v>971</v>
      </c>
      <c r="L952" s="0" t="s">
        <v>1737</v>
      </c>
      <c r="M952" s="0" t="s">
        <v>973</v>
      </c>
      <c r="N952" s="0" t="s">
        <v>974</v>
      </c>
      <c r="O952" s="0" t="s">
        <v>975</v>
      </c>
      <c r="P952" s="0" t="s">
        <v>976</v>
      </c>
      <c r="Q952" s="0" t="s">
        <v>974</v>
      </c>
      <c r="R952" s="0" t="s">
        <v>970</v>
      </c>
      <c r="S952" s="0" t="s">
        <v>974</v>
      </c>
    </row>
    <row r="953" customFormat="false" ht="13.8" hidden="false" customHeight="false" outlineLevel="0" collapsed="false">
      <c r="A953" s="0" t="n">
        <v>2709</v>
      </c>
      <c r="B953" s="0" t="s">
        <v>5524</v>
      </c>
      <c r="C953" s="0" t="s">
        <v>1420</v>
      </c>
      <c r="E953" s="0" t="n">
        <f aca="false">IF(J952=J953,E952+10,0)</f>
        <v>100</v>
      </c>
      <c r="F953" s="0" t="s">
        <v>5525</v>
      </c>
      <c r="G953" s="0" t="s">
        <v>5526</v>
      </c>
      <c r="H953" s="0" t="s">
        <v>5527</v>
      </c>
      <c r="I953" s="0" t="s">
        <v>1100</v>
      </c>
      <c r="J953" s="0" t="s">
        <v>3953</v>
      </c>
      <c r="K953" s="0" t="s">
        <v>971</v>
      </c>
      <c r="L953" s="0" t="s">
        <v>974</v>
      </c>
      <c r="M953" s="0" t="s">
        <v>973</v>
      </c>
      <c r="N953" s="0" t="s">
        <v>974</v>
      </c>
      <c r="O953" s="0" t="s">
        <v>975</v>
      </c>
      <c r="P953" s="0" t="s">
        <v>976</v>
      </c>
      <c r="Q953" s="0" t="s">
        <v>973</v>
      </c>
      <c r="R953" s="0" t="s">
        <v>1046</v>
      </c>
      <c r="S953" s="0" t="s">
        <v>974</v>
      </c>
    </row>
    <row r="954" customFormat="false" ht="13.8" hidden="false" customHeight="false" outlineLevel="0" collapsed="false">
      <c r="A954" s="0" t="n">
        <v>2710</v>
      </c>
      <c r="B954" s="0" t="s">
        <v>5528</v>
      </c>
      <c r="C954" s="0" t="s">
        <v>5529</v>
      </c>
      <c r="E954" s="0" t="n">
        <f aca="false">IF(J953=J954,E953+10,0)</f>
        <v>110</v>
      </c>
      <c r="F954" s="0" t="s">
        <v>5530</v>
      </c>
      <c r="G954" s="0" t="s">
        <v>5531</v>
      </c>
      <c r="H954" s="0" t="s">
        <v>5532</v>
      </c>
      <c r="I954" s="0" t="s">
        <v>1027</v>
      </c>
      <c r="J954" s="0" t="s">
        <v>3953</v>
      </c>
      <c r="K954" s="0" t="s">
        <v>971</v>
      </c>
      <c r="L954" s="0" t="s">
        <v>974</v>
      </c>
      <c r="M954" s="0" t="s">
        <v>973</v>
      </c>
      <c r="N954" s="0" t="s">
        <v>974</v>
      </c>
      <c r="O954" s="0" t="s">
        <v>975</v>
      </c>
      <c r="P954" s="0" t="s">
        <v>976</v>
      </c>
      <c r="Q954" s="0" t="s">
        <v>1381</v>
      </c>
      <c r="R954" s="0" t="s">
        <v>1046</v>
      </c>
      <c r="S954" s="0" t="s">
        <v>974</v>
      </c>
    </row>
    <row r="955" customFormat="false" ht="13.8" hidden="false" customHeight="false" outlineLevel="0" collapsed="false">
      <c r="A955" s="0" t="n">
        <v>2711</v>
      </c>
      <c r="B955" s="0" t="s">
        <v>5533</v>
      </c>
      <c r="C955" s="0" t="s">
        <v>5534</v>
      </c>
      <c r="E955" s="0" t="n">
        <f aca="false">IF(J954=J955,E954+10,0)</f>
        <v>120</v>
      </c>
      <c r="F955" s="0" t="s">
        <v>5535</v>
      </c>
      <c r="G955" s="0" t="s">
        <v>5536</v>
      </c>
      <c r="H955" s="0" t="s">
        <v>5537</v>
      </c>
      <c r="I955" s="0" t="s">
        <v>1180</v>
      </c>
      <c r="J955" s="0" t="s">
        <v>3953</v>
      </c>
      <c r="K955" s="0" t="s">
        <v>971</v>
      </c>
      <c r="L955" s="0" t="s">
        <v>974</v>
      </c>
      <c r="M955" s="0" t="s">
        <v>973</v>
      </c>
      <c r="N955" s="0" t="s">
        <v>974</v>
      </c>
      <c r="O955" s="0" t="s">
        <v>975</v>
      </c>
      <c r="P955" s="0" t="s">
        <v>976</v>
      </c>
      <c r="Q955" s="0" t="s">
        <v>1381</v>
      </c>
      <c r="R955" s="0" t="s">
        <v>1046</v>
      </c>
      <c r="S955" s="0" t="s">
        <v>974</v>
      </c>
    </row>
    <row r="956" customFormat="false" ht="13.8" hidden="false" customHeight="false" outlineLevel="0" collapsed="false">
      <c r="A956" s="0" t="n">
        <v>2712</v>
      </c>
      <c r="B956" s="0" t="s">
        <v>5538</v>
      </c>
      <c r="C956" s="0" t="s">
        <v>4492</v>
      </c>
      <c r="E956" s="0" t="n">
        <f aca="false">IF(J955=J956,E955+10,0)</f>
        <v>130</v>
      </c>
      <c r="F956" s="0" t="s">
        <v>5539</v>
      </c>
      <c r="G956" s="0" t="s">
        <v>5540</v>
      </c>
      <c r="H956" s="0" t="s">
        <v>5541</v>
      </c>
      <c r="I956" s="0" t="s">
        <v>1666</v>
      </c>
      <c r="J956" s="0" t="s">
        <v>3953</v>
      </c>
      <c r="K956" s="0" t="s">
        <v>971</v>
      </c>
      <c r="L956" s="0" t="s">
        <v>974</v>
      </c>
      <c r="M956" s="0" t="s">
        <v>973</v>
      </c>
      <c r="N956" s="0" t="s">
        <v>974</v>
      </c>
      <c r="O956" s="0" t="s">
        <v>975</v>
      </c>
      <c r="P956" s="0" t="s">
        <v>976</v>
      </c>
      <c r="Q956" s="0" t="s">
        <v>970</v>
      </c>
      <c r="R956" s="0" t="s">
        <v>1046</v>
      </c>
      <c r="S956" s="0" t="s">
        <v>974</v>
      </c>
    </row>
    <row r="957" customFormat="false" ht="13.8" hidden="false" customHeight="false" outlineLevel="0" collapsed="false">
      <c r="A957" s="0" t="n">
        <v>2713</v>
      </c>
      <c r="B957" s="0" t="s">
        <v>5542</v>
      </c>
      <c r="C957" s="0" t="s">
        <v>4220</v>
      </c>
      <c r="E957" s="0" t="n">
        <f aca="false">IF(J956=J957,E956+10,0)</f>
        <v>140</v>
      </c>
      <c r="F957" s="0" t="s">
        <v>5543</v>
      </c>
      <c r="G957" s="0" t="s">
        <v>5544</v>
      </c>
      <c r="H957" s="0" t="s">
        <v>5545</v>
      </c>
      <c r="I957" s="0" t="s">
        <v>1014</v>
      </c>
      <c r="J957" s="0" t="s">
        <v>3953</v>
      </c>
      <c r="K957" s="0" t="s">
        <v>971</v>
      </c>
      <c r="L957" s="0" t="s">
        <v>974</v>
      </c>
      <c r="M957" s="0" t="s">
        <v>973</v>
      </c>
      <c r="N957" s="0" t="s">
        <v>974</v>
      </c>
      <c r="O957" s="0" t="s">
        <v>975</v>
      </c>
      <c r="P957" s="0" t="s">
        <v>976</v>
      </c>
      <c r="Q957" s="0" t="s">
        <v>973</v>
      </c>
      <c r="R957" s="0" t="s">
        <v>1046</v>
      </c>
      <c r="S957" s="0" t="s">
        <v>974</v>
      </c>
    </row>
    <row r="958" customFormat="false" ht="13.8" hidden="false" customHeight="false" outlineLevel="0" collapsed="false">
      <c r="A958" s="0" t="n">
        <v>2714</v>
      </c>
      <c r="B958" s="0" t="s">
        <v>5546</v>
      </c>
      <c r="C958" s="0" t="s">
        <v>5547</v>
      </c>
      <c r="E958" s="0" t="n">
        <f aca="false">IF(J957=J958,E957+10,0)</f>
        <v>150</v>
      </c>
      <c r="F958" s="0" t="s">
        <v>5548</v>
      </c>
      <c r="G958" s="0" t="s">
        <v>5549</v>
      </c>
      <c r="H958" s="0" t="s">
        <v>5550</v>
      </c>
      <c r="I958" s="0" t="s">
        <v>1067</v>
      </c>
      <c r="J958" s="0" t="s">
        <v>3953</v>
      </c>
      <c r="K958" s="0" t="s">
        <v>971</v>
      </c>
      <c r="L958" s="0" t="s">
        <v>974</v>
      </c>
      <c r="M958" s="0" t="s">
        <v>973</v>
      </c>
      <c r="N958" s="0" t="s">
        <v>974</v>
      </c>
      <c r="O958" s="0" t="s">
        <v>975</v>
      </c>
      <c r="P958" s="0" t="s">
        <v>976</v>
      </c>
      <c r="Q958" s="0" t="s">
        <v>970</v>
      </c>
      <c r="R958" s="0" t="s">
        <v>970</v>
      </c>
      <c r="S958" s="0" t="s">
        <v>974</v>
      </c>
    </row>
    <row r="959" customFormat="false" ht="13.8" hidden="false" customHeight="false" outlineLevel="0" collapsed="false">
      <c r="A959" s="0" t="n">
        <v>2715</v>
      </c>
      <c r="B959" s="0" t="s">
        <v>5551</v>
      </c>
      <c r="C959" s="0" t="s">
        <v>4482</v>
      </c>
      <c r="E959" s="0" t="n">
        <f aca="false">IF(J958=J959,E958+10,0)</f>
        <v>160</v>
      </c>
      <c r="F959" s="0" t="s">
        <v>5552</v>
      </c>
      <c r="G959" s="0" t="s">
        <v>5553</v>
      </c>
      <c r="H959" s="0" t="s">
        <v>5554</v>
      </c>
      <c r="I959" s="0" t="s">
        <v>1106</v>
      </c>
      <c r="J959" s="0" t="s">
        <v>3953</v>
      </c>
      <c r="K959" s="0" t="s">
        <v>971</v>
      </c>
      <c r="L959" s="0" t="s">
        <v>974</v>
      </c>
      <c r="M959" s="0" t="s">
        <v>973</v>
      </c>
      <c r="N959" s="0" t="s">
        <v>974</v>
      </c>
      <c r="O959" s="0" t="s">
        <v>975</v>
      </c>
      <c r="P959" s="0" t="s">
        <v>976</v>
      </c>
      <c r="Q959" s="0" t="s">
        <v>1046</v>
      </c>
      <c r="R959" s="0" t="s">
        <v>970</v>
      </c>
      <c r="S959" s="0" t="s">
        <v>974</v>
      </c>
    </row>
    <row r="960" customFormat="false" ht="13.8" hidden="false" customHeight="false" outlineLevel="0" collapsed="false">
      <c r="A960" s="0" t="n">
        <v>2716</v>
      </c>
      <c r="B960" s="0" t="s">
        <v>5555</v>
      </c>
      <c r="C960" s="0" t="s">
        <v>4686</v>
      </c>
      <c r="E960" s="0" t="n">
        <f aca="false">IF(J959=J960,E959+10,0)</f>
        <v>170</v>
      </c>
      <c r="F960" s="0" t="s">
        <v>5556</v>
      </c>
      <c r="G960" s="0" t="s">
        <v>5557</v>
      </c>
      <c r="H960" s="0" t="s">
        <v>5558</v>
      </c>
      <c r="I960" s="0" t="s">
        <v>1349</v>
      </c>
      <c r="J960" s="0" t="s">
        <v>3953</v>
      </c>
      <c r="K960" s="0" t="s">
        <v>971</v>
      </c>
      <c r="L960" s="0" t="s">
        <v>1082</v>
      </c>
      <c r="M960" s="0" t="s">
        <v>973</v>
      </c>
      <c r="N960" s="0" t="s">
        <v>974</v>
      </c>
      <c r="O960" s="0" t="s">
        <v>975</v>
      </c>
      <c r="P960" s="0" t="s">
        <v>976</v>
      </c>
      <c r="Q960" s="0" t="s">
        <v>974</v>
      </c>
      <c r="R960" s="0" t="s">
        <v>970</v>
      </c>
      <c r="S960" s="0" t="s">
        <v>974</v>
      </c>
    </row>
    <row r="961" customFormat="false" ht="13.8" hidden="false" customHeight="false" outlineLevel="0" collapsed="false">
      <c r="A961" s="0" t="n">
        <v>2717</v>
      </c>
      <c r="B961" s="0" t="s">
        <v>5559</v>
      </c>
      <c r="C961" s="0" t="s">
        <v>5252</v>
      </c>
      <c r="E961" s="0" t="n">
        <f aca="false">IF(J960=J961,E960+10,0)</f>
        <v>180</v>
      </c>
      <c r="F961" s="0" t="s">
        <v>5560</v>
      </c>
      <c r="G961" s="0" t="s">
        <v>5561</v>
      </c>
      <c r="H961" s="0" t="s">
        <v>5562</v>
      </c>
      <c r="I961" s="0" t="s">
        <v>5113</v>
      </c>
      <c r="J961" s="0" t="s">
        <v>3953</v>
      </c>
      <c r="K961" s="0" t="s">
        <v>971</v>
      </c>
      <c r="L961" s="0" t="s">
        <v>973</v>
      </c>
      <c r="M961" s="0" t="s">
        <v>973</v>
      </c>
      <c r="N961" s="0" t="s">
        <v>974</v>
      </c>
      <c r="O961" s="0" t="s">
        <v>975</v>
      </c>
      <c r="P961" s="0" t="s">
        <v>976</v>
      </c>
      <c r="Q961" s="0" t="s">
        <v>974</v>
      </c>
      <c r="R961" s="0" t="s">
        <v>970</v>
      </c>
      <c r="S961" s="0" t="s">
        <v>974</v>
      </c>
    </row>
    <row r="962" customFormat="false" ht="13.8" hidden="false" customHeight="false" outlineLevel="0" collapsed="false">
      <c r="A962" s="0" t="n">
        <v>2718</v>
      </c>
      <c r="B962" s="0" t="s">
        <v>5563</v>
      </c>
      <c r="C962" s="0" t="s">
        <v>5564</v>
      </c>
      <c r="E962" s="0" t="n">
        <f aca="false">IF(J961=J962,E961+10,0)</f>
        <v>190</v>
      </c>
      <c r="F962" s="0" t="s">
        <v>5565</v>
      </c>
      <c r="G962" s="0" t="s">
        <v>5566</v>
      </c>
      <c r="H962" s="0" t="s">
        <v>5567</v>
      </c>
      <c r="I962" s="0" t="s">
        <v>5568</v>
      </c>
      <c r="J962" s="0" t="s">
        <v>3953</v>
      </c>
      <c r="K962" s="0" t="s">
        <v>971</v>
      </c>
      <c r="L962" s="0" t="s">
        <v>974</v>
      </c>
      <c r="M962" s="0" t="s">
        <v>973</v>
      </c>
      <c r="N962" s="0" t="s">
        <v>974</v>
      </c>
      <c r="O962" s="0" t="s">
        <v>975</v>
      </c>
      <c r="P962" s="0" t="s">
        <v>976</v>
      </c>
      <c r="Q962" s="0" t="s">
        <v>974</v>
      </c>
      <c r="R962" s="0" t="s">
        <v>970</v>
      </c>
      <c r="S962" s="0" t="s">
        <v>974</v>
      </c>
    </row>
    <row r="963" customFormat="false" ht="13.8" hidden="false" customHeight="false" outlineLevel="0" collapsed="false">
      <c r="A963" s="0" t="n">
        <v>2719</v>
      </c>
      <c r="B963" s="0" t="s">
        <v>5569</v>
      </c>
      <c r="C963" s="0" t="s">
        <v>5570</v>
      </c>
      <c r="E963" s="0" t="n">
        <f aca="false">IF(J962=J963,E962+10,0)</f>
        <v>200</v>
      </c>
      <c r="F963" s="0" t="s">
        <v>5571</v>
      </c>
      <c r="G963" s="0" t="s">
        <v>5572</v>
      </c>
      <c r="H963" s="0" t="s">
        <v>5573</v>
      </c>
      <c r="I963" s="0" t="s">
        <v>3671</v>
      </c>
      <c r="J963" s="0" t="s">
        <v>3953</v>
      </c>
      <c r="K963" s="0" t="s">
        <v>971</v>
      </c>
      <c r="L963" s="0" t="s">
        <v>974</v>
      </c>
      <c r="M963" s="0" t="s">
        <v>973</v>
      </c>
      <c r="N963" s="0" t="s">
        <v>974</v>
      </c>
      <c r="O963" s="0" t="s">
        <v>975</v>
      </c>
      <c r="P963" s="0" t="s">
        <v>976</v>
      </c>
      <c r="Q963" s="0" t="s">
        <v>973</v>
      </c>
      <c r="R963" s="0" t="s">
        <v>1046</v>
      </c>
      <c r="S963" s="0" t="s">
        <v>974</v>
      </c>
    </row>
    <row r="964" customFormat="false" ht="13.8" hidden="false" customHeight="false" outlineLevel="0" collapsed="false">
      <c r="A964" s="0" t="n">
        <v>2720</v>
      </c>
      <c r="B964" s="0" t="s">
        <v>5574</v>
      </c>
      <c r="C964" s="0" t="s">
        <v>5131</v>
      </c>
      <c r="E964" s="0" t="n">
        <f aca="false">IF(J963=J964,E963+10,0)</f>
        <v>210</v>
      </c>
      <c r="F964" s="0" t="s">
        <v>5575</v>
      </c>
      <c r="G964" s="0" t="s">
        <v>5576</v>
      </c>
      <c r="H964" s="0" t="s">
        <v>5577</v>
      </c>
      <c r="I964" s="0" t="s">
        <v>1100</v>
      </c>
      <c r="J964" s="0" t="s">
        <v>3953</v>
      </c>
      <c r="K964" s="0" t="s">
        <v>971</v>
      </c>
      <c r="L964" s="0" t="s">
        <v>974</v>
      </c>
      <c r="M964" s="0" t="s">
        <v>973</v>
      </c>
      <c r="N964" s="0" t="s">
        <v>974</v>
      </c>
      <c r="O964" s="0" t="s">
        <v>975</v>
      </c>
      <c r="P964" s="0" t="s">
        <v>976</v>
      </c>
      <c r="Q964" s="0" t="s">
        <v>1059</v>
      </c>
      <c r="R964" s="0" t="s">
        <v>1046</v>
      </c>
      <c r="S964" s="0" t="s">
        <v>974</v>
      </c>
    </row>
    <row r="965" customFormat="false" ht="13.8" hidden="false" customHeight="false" outlineLevel="0" collapsed="false">
      <c r="A965" s="0" t="n">
        <v>2721</v>
      </c>
      <c r="B965" s="0" t="s">
        <v>5578</v>
      </c>
      <c r="C965" s="0" t="s">
        <v>5136</v>
      </c>
      <c r="E965" s="0" t="n">
        <f aca="false">IF(J964=J965,E964+10,0)</f>
        <v>220</v>
      </c>
      <c r="F965" s="0" t="s">
        <v>5579</v>
      </c>
      <c r="G965" s="0" t="s">
        <v>5580</v>
      </c>
      <c r="H965" s="0" t="s">
        <v>5581</v>
      </c>
      <c r="I965" s="0" t="s">
        <v>1094</v>
      </c>
      <c r="J965" s="0" t="s">
        <v>3953</v>
      </c>
      <c r="K965" s="0" t="s">
        <v>971</v>
      </c>
      <c r="L965" s="0" t="s">
        <v>974</v>
      </c>
      <c r="M965" s="0" t="s">
        <v>973</v>
      </c>
      <c r="N965" s="0" t="s">
        <v>974</v>
      </c>
      <c r="O965" s="0" t="s">
        <v>975</v>
      </c>
      <c r="P965" s="0" t="s">
        <v>976</v>
      </c>
      <c r="Q965" s="0" t="s">
        <v>970</v>
      </c>
      <c r="R965" s="0" t="s">
        <v>1046</v>
      </c>
      <c r="S965" s="0" t="s">
        <v>974</v>
      </c>
    </row>
    <row r="966" customFormat="false" ht="13.8" hidden="false" customHeight="false" outlineLevel="0" collapsed="false">
      <c r="A966" s="0" t="n">
        <v>2722</v>
      </c>
      <c r="B966" s="0" t="s">
        <v>5582</v>
      </c>
      <c r="C966" s="0" t="s">
        <v>4111</v>
      </c>
      <c r="E966" s="0" t="n">
        <f aca="false">IF(J965=J966,E965+10,0)</f>
        <v>0</v>
      </c>
      <c r="F966" s="0" t="s">
        <v>5583</v>
      </c>
      <c r="G966" s="0" t="s">
        <v>5584</v>
      </c>
      <c r="H966" s="0" t="s">
        <v>5585</v>
      </c>
      <c r="I966" s="0" t="s">
        <v>1002</v>
      </c>
      <c r="J966" s="0" t="s">
        <v>3131</v>
      </c>
      <c r="K966" s="0" t="s">
        <v>971</v>
      </c>
      <c r="L966" s="0" t="s">
        <v>1067</v>
      </c>
      <c r="M966" s="0" t="s">
        <v>973</v>
      </c>
      <c r="N966" s="0" t="s">
        <v>974</v>
      </c>
      <c r="O966" s="0" t="s">
        <v>975</v>
      </c>
      <c r="P966" s="0" t="s">
        <v>976</v>
      </c>
      <c r="Q966" s="0" t="s">
        <v>974</v>
      </c>
      <c r="R966" s="0" t="s">
        <v>970</v>
      </c>
      <c r="S966" s="0" t="s">
        <v>974</v>
      </c>
    </row>
    <row r="967" customFormat="false" ht="13.8" hidden="false" customHeight="false" outlineLevel="0" collapsed="false">
      <c r="A967" s="0" t="n">
        <v>2723</v>
      </c>
      <c r="B967" s="0" t="s">
        <v>5586</v>
      </c>
      <c r="C967" s="0" t="s">
        <v>2794</v>
      </c>
      <c r="E967" s="0" t="n">
        <f aca="false">IF(J966=J967,E966+10,0)</f>
        <v>10</v>
      </c>
      <c r="F967" s="0" t="s">
        <v>5587</v>
      </c>
      <c r="G967" s="0" t="s">
        <v>5588</v>
      </c>
      <c r="H967" s="0" t="s">
        <v>5589</v>
      </c>
      <c r="I967" s="0" t="s">
        <v>2798</v>
      </c>
      <c r="J967" s="0" t="s">
        <v>3131</v>
      </c>
      <c r="K967" s="0" t="s">
        <v>971</v>
      </c>
      <c r="L967" s="0" t="s">
        <v>1067</v>
      </c>
      <c r="M967" s="0" t="s">
        <v>973</v>
      </c>
      <c r="N967" s="0" t="s">
        <v>974</v>
      </c>
      <c r="O967" s="0" t="s">
        <v>975</v>
      </c>
      <c r="P967" s="0" t="s">
        <v>976</v>
      </c>
      <c r="Q967" s="0" t="s">
        <v>974</v>
      </c>
      <c r="R967" s="0" t="s">
        <v>970</v>
      </c>
      <c r="S967" s="0" t="s">
        <v>974</v>
      </c>
    </row>
    <row r="968" customFormat="false" ht="13.8" hidden="false" customHeight="false" outlineLevel="0" collapsed="false">
      <c r="A968" s="0" t="n">
        <v>2724</v>
      </c>
      <c r="B968" s="0" t="s">
        <v>5590</v>
      </c>
      <c r="C968" s="0" t="s">
        <v>1501</v>
      </c>
      <c r="E968" s="0" t="n">
        <f aca="false">IF(J967=J968,E967+10,0)</f>
        <v>20</v>
      </c>
      <c r="F968" s="0" t="s">
        <v>5591</v>
      </c>
      <c r="G968" s="0" t="s">
        <v>5592</v>
      </c>
      <c r="H968" s="0" t="s">
        <v>5593</v>
      </c>
      <c r="I968" s="0" t="s">
        <v>1505</v>
      </c>
      <c r="J968" s="0" t="s">
        <v>3131</v>
      </c>
      <c r="K968" s="0" t="s">
        <v>5594</v>
      </c>
      <c r="L968" s="0" t="s">
        <v>1067</v>
      </c>
      <c r="M968" s="0" t="s">
        <v>973</v>
      </c>
      <c r="N968" s="0" t="s">
        <v>974</v>
      </c>
      <c r="O968" s="0" t="s">
        <v>975</v>
      </c>
      <c r="P968" s="0" t="s">
        <v>976</v>
      </c>
      <c r="Q968" s="0" t="s">
        <v>974</v>
      </c>
      <c r="R968" s="0" t="s">
        <v>970</v>
      </c>
      <c r="S968" s="0" t="s">
        <v>974</v>
      </c>
    </row>
    <row r="969" customFormat="false" ht="13.8" hidden="false" customHeight="false" outlineLevel="0" collapsed="false">
      <c r="A969" s="0" t="n">
        <v>2725</v>
      </c>
      <c r="B969" s="0" t="s">
        <v>5595</v>
      </c>
      <c r="C969" s="0" t="s">
        <v>5243</v>
      </c>
      <c r="E969" s="0" t="n">
        <f aca="false">IF(J968=J969,E968+10,0)</f>
        <v>30</v>
      </c>
      <c r="F969" s="0" t="s">
        <v>5596</v>
      </c>
      <c r="G969" s="0" t="s">
        <v>5597</v>
      </c>
      <c r="H969" s="0" t="s">
        <v>5598</v>
      </c>
      <c r="I969" s="0" t="s">
        <v>1021</v>
      </c>
      <c r="J969" s="0" t="s">
        <v>3131</v>
      </c>
      <c r="K969" s="0" t="s">
        <v>5599</v>
      </c>
      <c r="L969" s="0" t="s">
        <v>974</v>
      </c>
      <c r="M969" s="0" t="s">
        <v>973</v>
      </c>
      <c r="N969" s="0" t="s">
        <v>974</v>
      </c>
      <c r="O969" s="0" t="s">
        <v>975</v>
      </c>
      <c r="P969" s="0" t="s">
        <v>976</v>
      </c>
      <c r="Q969" s="0" t="s">
        <v>973</v>
      </c>
      <c r="R969" s="0" t="s">
        <v>970</v>
      </c>
      <c r="S969" s="0" t="s">
        <v>974</v>
      </c>
    </row>
    <row r="970" customFormat="false" ht="13.8" hidden="false" customHeight="false" outlineLevel="0" collapsed="false">
      <c r="A970" s="0" t="n">
        <v>2726</v>
      </c>
      <c r="B970" s="0" t="s">
        <v>5600</v>
      </c>
      <c r="C970" s="0" t="s">
        <v>4505</v>
      </c>
      <c r="E970" s="0" t="n">
        <f aca="false">IF(J969=J970,E969+10,0)</f>
        <v>40</v>
      </c>
      <c r="F970" s="0" t="s">
        <v>5601</v>
      </c>
      <c r="G970" s="0" t="s">
        <v>5602</v>
      </c>
      <c r="H970" s="0" t="s">
        <v>5603</v>
      </c>
      <c r="I970" s="0" t="s">
        <v>970</v>
      </c>
      <c r="J970" s="0" t="s">
        <v>3131</v>
      </c>
      <c r="K970" s="0" t="s">
        <v>5604</v>
      </c>
      <c r="L970" s="0" t="s">
        <v>974</v>
      </c>
      <c r="M970" s="0" t="s">
        <v>973</v>
      </c>
      <c r="N970" s="0" t="s">
        <v>974</v>
      </c>
      <c r="O970" s="0" t="s">
        <v>975</v>
      </c>
      <c r="P970" s="0" t="s">
        <v>976</v>
      </c>
      <c r="Q970" s="0" t="s">
        <v>973</v>
      </c>
      <c r="R970" s="0" t="s">
        <v>970</v>
      </c>
      <c r="S970" s="0" t="s">
        <v>974</v>
      </c>
    </row>
    <row r="971" customFormat="false" ht="13.8" hidden="false" customHeight="false" outlineLevel="0" collapsed="false">
      <c r="A971" s="0" t="n">
        <v>2727</v>
      </c>
      <c r="B971" s="0" t="s">
        <v>5605</v>
      </c>
      <c r="C971" s="0" t="s">
        <v>3990</v>
      </c>
      <c r="E971" s="0" t="n">
        <f aca="false">IF(J970=J971,E970+10,0)</f>
        <v>50</v>
      </c>
      <c r="F971" s="0" t="s">
        <v>5606</v>
      </c>
      <c r="G971" s="0" t="s">
        <v>5607</v>
      </c>
      <c r="H971" s="0" t="s">
        <v>5608</v>
      </c>
      <c r="I971" s="0" t="s">
        <v>1033</v>
      </c>
      <c r="J971" s="0" t="s">
        <v>3131</v>
      </c>
      <c r="K971" s="0" t="s">
        <v>971</v>
      </c>
      <c r="L971" s="0" t="s">
        <v>974</v>
      </c>
      <c r="M971" s="0" t="s">
        <v>973</v>
      </c>
      <c r="N971" s="0" t="s">
        <v>974</v>
      </c>
      <c r="O971" s="0" t="s">
        <v>975</v>
      </c>
      <c r="P971" s="0" t="s">
        <v>976</v>
      </c>
      <c r="Q971" s="0" t="s">
        <v>973</v>
      </c>
      <c r="R971" s="0" t="s">
        <v>970</v>
      </c>
      <c r="S971" s="0" t="s">
        <v>974</v>
      </c>
    </row>
    <row r="972" customFormat="false" ht="13.8" hidden="false" customHeight="false" outlineLevel="0" collapsed="false">
      <c r="A972" s="0" t="n">
        <v>2728</v>
      </c>
      <c r="B972" s="0" t="s">
        <v>5609</v>
      </c>
      <c r="C972" s="0" t="s">
        <v>4417</v>
      </c>
      <c r="E972" s="0" t="n">
        <f aca="false">IF(J971=J972,E971+10,0)</f>
        <v>60</v>
      </c>
      <c r="F972" s="0" t="s">
        <v>5610</v>
      </c>
      <c r="G972" s="0" t="s">
        <v>5611</v>
      </c>
      <c r="H972" s="0" t="s">
        <v>5612</v>
      </c>
      <c r="I972" s="0" t="s">
        <v>1052</v>
      </c>
      <c r="J972" s="0" t="s">
        <v>3131</v>
      </c>
      <c r="K972" s="0" t="s">
        <v>971</v>
      </c>
      <c r="L972" s="0" t="s">
        <v>1067</v>
      </c>
      <c r="M972" s="0" t="s">
        <v>973</v>
      </c>
      <c r="N972" s="0" t="s">
        <v>974</v>
      </c>
      <c r="O972" s="0" t="s">
        <v>975</v>
      </c>
      <c r="P972" s="0" t="s">
        <v>976</v>
      </c>
      <c r="Q972" s="0" t="s">
        <v>974</v>
      </c>
      <c r="R972" s="0" t="s">
        <v>970</v>
      </c>
      <c r="S972" s="0" t="s">
        <v>974</v>
      </c>
    </row>
    <row r="973" customFormat="false" ht="13.8" hidden="false" customHeight="false" outlineLevel="0" collapsed="false">
      <c r="A973" s="0" t="n">
        <v>2729</v>
      </c>
      <c r="B973" s="0" t="s">
        <v>5613</v>
      </c>
      <c r="C973" s="0" t="s">
        <v>4643</v>
      </c>
      <c r="E973" s="0" t="n">
        <f aca="false">IF(J972=J973,E972+10,0)</f>
        <v>70</v>
      </c>
      <c r="F973" s="0" t="s">
        <v>5614</v>
      </c>
      <c r="G973" s="0" t="s">
        <v>5615</v>
      </c>
      <c r="H973" s="0" t="s">
        <v>5616</v>
      </c>
      <c r="I973" s="0" t="s">
        <v>1065</v>
      </c>
      <c r="J973" s="0" t="s">
        <v>3131</v>
      </c>
      <c r="K973" s="0" t="s">
        <v>971</v>
      </c>
      <c r="L973" s="0" t="s">
        <v>974</v>
      </c>
      <c r="M973" s="0" t="s">
        <v>973</v>
      </c>
      <c r="N973" s="0" t="s">
        <v>974</v>
      </c>
      <c r="O973" s="0" t="s">
        <v>975</v>
      </c>
      <c r="P973" s="0" t="s">
        <v>976</v>
      </c>
      <c r="Q973" s="0" t="s">
        <v>1046</v>
      </c>
      <c r="R973" s="0" t="s">
        <v>970</v>
      </c>
      <c r="S973" s="0" t="s">
        <v>974</v>
      </c>
    </row>
    <row r="974" customFormat="false" ht="13.8" hidden="false" customHeight="false" outlineLevel="0" collapsed="false">
      <c r="A974" s="0" t="n">
        <v>2730</v>
      </c>
      <c r="B974" s="0" t="s">
        <v>5617</v>
      </c>
      <c r="C974" s="0" t="s">
        <v>5618</v>
      </c>
      <c r="E974" s="0" t="n">
        <f aca="false">IF(J973=J974,E973+10,0)</f>
        <v>80</v>
      </c>
      <c r="F974" s="0" t="s">
        <v>5619</v>
      </c>
      <c r="G974" s="0" t="s">
        <v>5620</v>
      </c>
      <c r="H974" s="0" t="s">
        <v>5621</v>
      </c>
      <c r="I974" s="0" t="s">
        <v>1106</v>
      </c>
      <c r="J974" s="0" t="s">
        <v>3131</v>
      </c>
      <c r="K974" s="0" t="s">
        <v>5622</v>
      </c>
      <c r="L974" s="0" t="s">
        <v>974</v>
      </c>
      <c r="M974" s="0" t="s">
        <v>973</v>
      </c>
      <c r="N974" s="0" t="s">
        <v>974</v>
      </c>
      <c r="O974" s="0" t="s">
        <v>975</v>
      </c>
      <c r="P974" s="0" t="s">
        <v>976</v>
      </c>
      <c r="Q974" s="0" t="s">
        <v>1214</v>
      </c>
      <c r="R974" s="0" t="s">
        <v>970</v>
      </c>
      <c r="S974" s="0" t="s">
        <v>974</v>
      </c>
    </row>
    <row r="975" customFormat="false" ht="13.8" hidden="false" customHeight="false" outlineLevel="0" collapsed="false">
      <c r="A975" s="0" t="n">
        <v>2731</v>
      </c>
      <c r="B975" s="0" t="s">
        <v>5623</v>
      </c>
      <c r="C975" s="0" t="s">
        <v>4807</v>
      </c>
      <c r="E975" s="0" t="n">
        <f aca="false">IF(J974=J975,E974+10,0)</f>
        <v>90</v>
      </c>
      <c r="F975" s="0" t="s">
        <v>5624</v>
      </c>
      <c r="G975" s="0" t="s">
        <v>5625</v>
      </c>
      <c r="H975" s="0" t="s">
        <v>5626</v>
      </c>
      <c r="I975" s="0" t="s">
        <v>1711</v>
      </c>
      <c r="J975" s="0" t="s">
        <v>3131</v>
      </c>
      <c r="K975" s="0" t="s">
        <v>5627</v>
      </c>
      <c r="L975" s="0" t="s">
        <v>5628</v>
      </c>
      <c r="M975" s="0" t="s">
        <v>973</v>
      </c>
      <c r="N975" s="0" t="s">
        <v>974</v>
      </c>
      <c r="O975" s="0" t="s">
        <v>975</v>
      </c>
      <c r="P975" s="0" t="s">
        <v>976</v>
      </c>
      <c r="Q975" s="0" t="s">
        <v>974</v>
      </c>
      <c r="R975" s="0" t="s">
        <v>970</v>
      </c>
      <c r="S975" s="0" t="s">
        <v>974</v>
      </c>
    </row>
    <row r="976" customFormat="false" ht="13.8" hidden="false" customHeight="false" outlineLevel="0" collapsed="false">
      <c r="A976" s="0" t="n">
        <v>2732</v>
      </c>
      <c r="B976" s="0" t="s">
        <v>5629</v>
      </c>
      <c r="C976" s="0" t="s">
        <v>4018</v>
      </c>
      <c r="E976" s="0" t="n">
        <f aca="false">IF(J975=J976,E975+10,0)</f>
        <v>100</v>
      </c>
      <c r="F976" s="0" t="s">
        <v>5630</v>
      </c>
      <c r="G976" s="0" t="s">
        <v>5631</v>
      </c>
      <c r="H976" s="0" t="s">
        <v>5632</v>
      </c>
      <c r="I976" s="0" t="s">
        <v>1180</v>
      </c>
      <c r="J976" s="0" t="s">
        <v>3131</v>
      </c>
      <c r="K976" s="0" t="s">
        <v>5633</v>
      </c>
      <c r="L976" s="0" t="s">
        <v>974</v>
      </c>
      <c r="M976" s="0" t="s">
        <v>973</v>
      </c>
      <c r="N976" s="0" t="s">
        <v>974</v>
      </c>
      <c r="O976" s="0" t="s">
        <v>975</v>
      </c>
      <c r="P976" s="0" t="s">
        <v>976</v>
      </c>
      <c r="Q976" s="0" t="s">
        <v>1059</v>
      </c>
      <c r="R976" s="0" t="s">
        <v>1046</v>
      </c>
      <c r="S976" s="0" t="s">
        <v>974</v>
      </c>
    </row>
    <row r="977" customFormat="false" ht="13.8" hidden="false" customHeight="false" outlineLevel="0" collapsed="false">
      <c r="A977" s="0" t="n">
        <v>2733</v>
      </c>
      <c r="B977" s="0" t="s">
        <v>5634</v>
      </c>
      <c r="C977" s="0" t="s">
        <v>4492</v>
      </c>
      <c r="E977" s="0" t="n">
        <f aca="false">IF(J976=J977,E976+10,0)</f>
        <v>110</v>
      </c>
      <c r="F977" s="0" t="s">
        <v>5635</v>
      </c>
      <c r="G977" s="0" t="s">
        <v>5636</v>
      </c>
      <c r="H977" s="0" t="s">
        <v>5637</v>
      </c>
      <c r="I977" s="0" t="s">
        <v>1666</v>
      </c>
      <c r="J977" s="0" t="s">
        <v>3131</v>
      </c>
      <c r="K977" s="0" t="s">
        <v>971</v>
      </c>
      <c r="L977" s="0" t="s">
        <v>974</v>
      </c>
      <c r="M977" s="0" t="s">
        <v>973</v>
      </c>
      <c r="N977" s="0" t="s">
        <v>974</v>
      </c>
      <c r="O977" s="0" t="s">
        <v>975</v>
      </c>
      <c r="P977" s="0" t="s">
        <v>976</v>
      </c>
      <c r="Q977" s="0" t="s">
        <v>1232</v>
      </c>
      <c r="R977" s="0" t="s">
        <v>1046</v>
      </c>
      <c r="S977" s="0" t="s">
        <v>974</v>
      </c>
    </row>
    <row r="978" customFormat="false" ht="13.8" hidden="false" customHeight="false" outlineLevel="0" collapsed="false">
      <c r="A978" s="0" t="n">
        <v>2734</v>
      </c>
      <c r="B978" s="0" t="s">
        <v>5638</v>
      </c>
      <c r="C978" s="0" t="s">
        <v>4220</v>
      </c>
      <c r="E978" s="0" t="n">
        <f aca="false">IF(J977=J978,E977+10,0)</f>
        <v>120</v>
      </c>
      <c r="F978" s="0" t="s">
        <v>5639</v>
      </c>
      <c r="G978" s="0" t="s">
        <v>5640</v>
      </c>
      <c r="H978" s="0" t="s">
        <v>5641</v>
      </c>
      <c r="I978" s="0" t="s">
        <v>1014</v>
      </c>
      <c r="J978" s="0" t="s">
        <v>3131</v>
      </c>
      <c r="K978" s="0" t="s">
        <v>971</v>
      </c>
      <c r="L978" s="0" t="s">
        <v>974</v>
      </c>
      <c r="M978" s="0" t="s">
        <v>973</v>
      </c>
      <c r="N978" s="0" t="s">
        <v>974</v>
      </c>
      <c r="O978" s="0" t="s">
        <v>975</v>
      </c>
      <c r="P978" s="0" t="s">
        <v>976</v>
      </c>
      <c r="Q978" s="0" t="s">
        <v>1232</v>
      </c>
      <c r="R978" s="0" t="s">
        <v>1046</v>
      </c>
      <c r="S978" s="0" t="s">
        <v>974</v>
      </c>
    </row>
    <row r="979" customFormat="false" ht="13.8" hidden="false" customHeight="false" outlineLevel="0" collapsed="false">
      <c r="A979" s="0" t="n">
        <v>2735</v>
      </c>
      <c r="B979" s="0" t="s">
        <v>5642</v>
      </c>
      <c r="C979" s="0" t="s">
        <v>5643</v>
      </c>
      <c r="E979" s="0" t="n">
        <f aca="false">IF(J978=J979,E978+10,0)</f>
        <v>130</v>
      </c>
      <c r="F979" s="0" t="s">
        <v>5644</v>
      </c>
      <c r="G979" s="0" t="s">
        <v>5645</v>
      </c>
      <c r="H979" s="0" t="s">
        <v>5646</v>
      </c>
      <c r="I979" s="0" t="s">
        <v>1045</v>
      </c>
      <c r="J979" s="0" t="s">
        <v>3131</v>
      </c>
      <c r="K979" s="0" t="s">
        <v>971</v>
      </c>
      <c r="L979" s="0" t="s">
        <v>974</v>
      </c>
      <c r="M979" s="0" t="s">
        <v>973</v>
      </c>
      <c r="N979" s="0" t="s">
        <v>974</v>
      </c>
      <c r="O979" s="0" t="s">
        <v>975</v>
      </c>
      <c r="P979" s="0" t="s">
        <v>976</v>
      </c>
      <c r="Q979" s="0" t="s">
        <v>2000</v>
      </c>
      <c r="R979" s="0" t="s">
        <v>1046</v>
      </c>
      <c r="S979" s="0" t="s">
        <v>974</v>
      </c>
    </row>
    <row r="980" customFormat="false" ht="13.8" hidden="false" customHeight="false" outlineLevel="0" collapsed="false">
      <c r="A980" s="0" t="n">
        <v>2736</v>
      </c>
      <c r="B980" s="0" t="s">
        <v>5647</v>
      </c>
      <c r="C980" s="0" t="s">
        <v>4028</v>
      </c>
      <c r="E980" s="0" t="n">
        <f aca="false">IF(J979=J980,E979+10,0)</f>
        <v>140</v>
      </c>
      <c r="F980" s="0" t="s">
        <v>5648</v>
      </c>
      <c r="G980" s="0" t="s">
        <v>5649</v>
      </c>
      <c r="H980" s="0" t="s">
        <v>5650</v>
      </c>
      <c r="I980" s="0" t="s">
        <v>1587</v>
      </c>
      <c r="J980" s="0" t="s">
        <v>3131</v>
      </c>
      <c r="K980" s="0" t="s">
        <v>971</v>
      </c>
      <c r="L980" s="0" t="s">
        <v>974</v>
      </c>
      <c r="M980" s="0" t="s">
        <v>973</v>
      </c>
      <c r="N980" s="0" t="s">
        <v>974</v>
      </c>
      <c r="O980" s="0" t="s">
        <v>975</v>
      </c>
      <c r="P980" s="0" t="s">
        <v>976</v>
      </c>
      <c r="Q980" s="0" t="s">
        <v>1968</v>
      </c>
      <c r="R980" s="0" t="s">
        <v>1046</v>
      </c>
      <c r="S980" s="0" t="s">
        <v>974</v>
      </c>
    </row>
    <row r="981" customFormat="false" ht="13.8" hidden="false" customHeight="false" outlineLevel="0" collapsed="false">
      <c r="A981" s="0" t="n">
        <v>2737</v>
      </c>
      <c r="B981" s="0" t="s">
        <v>5651</v>
      </c>
      <c r="C981" s="0" t="s">
        <v>1420</v>
      </c>
      <c r="E981" s="0" t="n">
        <f aca="false">IF(J980=J981,E980+10,0)</f>
        <v>150</v>
      </c>
      <c r="F981" s="0" t="s">
        <v>5652</v>
      </c>
      <c r="G981" s="0" t="s">
        <v>5653</v>
      </c>
      <c r="H981" s="0" t="s">
        <v>5654</v>
      </c>
      <c r="I981" s="0" t="s">
        <v>1100</v>
      </c>
      <c r="J981" s="0" t="s">
        <v>3131</v>
      </c>
      <c r="K981" s="0" t="s">
        <v>971</v>
      </c>
      <c r="L981" s="0" t="s">
        <v>974</v>
      </c>
      <c r="M981" s="0" t="s">
        <v>973</v>
      </c>
      <c r="N981" s="0" t="s">
        <v>974</v>
      </c>
      <c r="O981" s="0" t="s">
        <v>975</v>
      </c>
      <c r="P981" s="0" t="s">
        <v>976</v>
      </c>
      <c r="Q981" s="0" t="s">
        <v>5655</v>
      </c>
      <c r="R981" s="0" t="s">
        <v>1046</v>
      </c>
      <c r="S981" s="0" t="s">
        <v>974</v>
      </c>
    </row>
    <row r="982" customFormat="false" ht="13.8" hidden="false" customHeight="false" outlineLevel="0" collapsed="false">
      <c r="A982" s="0" t="n">
        <v>2738</v>
      </c>
      <c r="B982" s="0" t="s">
        <v>5656</v>
      </c>
      <c r="C982" s="0" t="s">
        <v>4807</v>
      </c>
      <c r="E982" s="0" t="n">
        <f aca="false">IF(J981=J982,E981+10,0)</f>
        <v>160</v>
      </c>
      <c r="F982" s="0" t="s">
        <v>5657</v>
      </c>
      <c r="G982" s="0" t="s">
        <v>5658</v>
      </c>
      <c r="H982" s="0" t="s">
        <v>5659</v>
      </c>
      <c r="I982" s="0" t="s">
        <v>1711</v>
      </c>
      <c r="J982" s="0" t="s">
        <v>3131</v>
      </c>
      <c r="K982" s="0" t="s">
        <v>971</v>
      </c>
      <c r="L982" s="0" t="s">
        <v>5660</v>
      </c>
      <c r="M982" s="0" t="s">
        <v>973</v>
      </c>
      <c r="N982" s="0" t="s">
        <v>974</v>
      </c>
      <c r="O982" s="0" t="s">
        <v>975</v>
      </c>
      <c r="P982" s="0" t="s">
        <v>976</v>
      </c>
      <c r="Q982" s="0" t="s">
        <v>974</v>
      </c>
      <c r="R982" s="0" t="s">
        <v>970</v>
      </c>
      <c r="S982" s="0" t="s">
        <v>974</v>
      </c>
    </row>
    <row r="983" customFormat="false" ht="13.8" hidden="false" customHeight="false" outlineLevel="0" collapsed="false">
      <c r="A983" s="0" t="n">
        <v>2739</v>
      </c>
      <c r="B983" s="0" t="s">
        <v>5661</v>
      </c>
      <c r="C983" s="0" t="s">
        <v>4018</v>
      </c>
      <c r="E983" s="0" t="n">
        <f aca="false">IF(J982=J983,E982+10,0)</f>
        <v>170</v>
      </c>
      <c r="F983" s="0" t="s">
        <v>5662</v>
      </c>
      <c r="G983" s="0" t="s">
        <v>5663</v>
      </c>
      <c r="H983" s="0" t="s">
        <v>5664</v>
      </c>
      <c r="I983" s="0" t="s">
        <v>1180</v>
      </c>
      <c r="J983" s="0" t="s">
        <v>3131</v>
      </c>
      <c r="K983" s="0" t="s">
        <v>971</v>
      </c>
      <c r="L983" s="0" t="s">
        <v>974</v>
      </c>
      <c r="M983" s="0" t="s">
        <v>973</v>
      </c>
      <c r="N983" s="0" t="s">
        <v>974</v>
      </c>
      <c r="O983" s="0" t="s">
        <v>975</v>
      </c>
      <c r="P983" s="0" t="s">
        <v>976</v>
      </c>
      <c r="Q983" s="0" t="s">
        <v>1968</v>
      </c>
      <c r="R983" s="0" t="s">
        <v>1046</v>
      </c>
      <c r="S983" s="0" t="s">
        <v>974</v>
      </c>
    </row>
    <row r="984" customFormat="false" ht="13.8" hidden="false" customHeight="false" outlineLevel="0" collapsed="false">
      <c r="A984" s="0" t="n">
        <v>2740</v>
      </c>
      <c r="B984" s="0" t="s">
        <v>5665</v>
      </c>
      <c r="C984" s="0" t="s">
        <v>4492</v>
      </c>
      <c r="E984" s="0" t="n">
        <f aca="false">IF(J983=J984,E983+10,0)</f>
        <v>180</v>
      </c>
      <c r="F984" s="0" t="s">
        <v>5666</v>
      </c>
      <c r="G984" s="0" t="s">
        <v>5667</v>
      </c>
      <c r="H984" s="0" t="s">
        <v>5668</v>
      </c>
      <c r="I984" s="0" t="s">
        <v>1666</v>
      </c>
      <c r="J984" s="0" t="s">
        <v>3131</v>
      </c>
      <c r="K984" s="0" t="s">
        <v>971</v>
      </c>
      <c r="L984" s="0" t="s">
        <v>974</v>
      </c>
      <c r="M984" s="0" t="s">
        <v>973</v>
      </c>
      <c r="N984" s="0" t="s">
        <v>974</v>
      </c>
      <c r="O984" s="0" t="s">
        <v>975</v>
      </c>
      <c r="P984" s="0" t="s">
        <v>976</v>
      </c>
      <c r="Q984" s="0" t="s">
        <v>1968</v>
      </c>
      <c r="R984" s="0" t="s">
        <v>1046</v>
      </c>
      <c r="S984" s="0" t="s">
        <v>974</v>
      </c>
    </row>
    <row r="985" customFormat="false" ht="13.8" hidden="false" customHeight="false" outlineLevel="0" collapsed="false">
      <c r="A985" s="0" t="n">
        <v>2741</v>
      </c>
      <c r="B985" s="0" t="s">
        <v>5669</v>
      </c>
      <c r="C985" s="0" t="s">
        <v>4220</v>
      </c>
      <c r="E985" s="0" t="n">
        <f aca="false">IF(J984=J985,E984+10,0)</f>
        <v>190</v>
      </c>
      <c r="F985" s="0" t="s">
        <v>5670</v>
      </c>
      <c r="G985" s="0" t="s">
        <v>5671</v>
      </c>
      <c r="H985" s="0" t="s">
        <v>5672</v>
      </c>
      <c r="I985" s="0" t="s">
        <v>1014</v>
      </c>
      <c r="J985" s="0" t="s">
        <v>3131</v>
      </c>
      <c r="K985" s="0" t="s">
        <v>971</v>
      </c>
      <c r="L985" s="0" t="s">
        <v>974</v>
      </c>
      <c r="M985" s="0" t="s">
        <v>973</v>
      </c>
      <c r="N985" s="0" t="s">
        <v>974</v>
      </c>
      <c r="O985" s="0" t="s">
        <v>975</v>
      </c>
      <c r="P985" s="0" t="s">
        <v>976</v>
      </c>
      <c r="Q985" s="0" t="s">
        <v>1968</v>
      </c>
      <c r="R985" s="0" t="s">
        <v>1046</v>
      </c>
      <c r="S985" s="0" t="s">
        <v>974</v>
      </c>
    </row>
    <row r="986" customFormat="false" ht="13.8" hidden="false" customHeight="false" outlineLevel="0" collapsed="false">
      <c r="A986" s="0" t="n">
        <v>2742</v>
      </c>
      <c r="B986" s="0" t="s">
        <v>5673</v>
      </c>
      <c r="C986" s="0" t="s">
        <v>5643</v>
      </c>
      <c r="E986" s="0" t="n">
        <f aca="false">IF(J985=J986,E985+10,0)</f>
        <v>200</v>
      </c>
      <c r="F986" s="0" t="s">
        <v>5674</v>
      </c>
      <c r="G986" s="0" t="s">
        <v>5675</v>
      </c>
      <c r="H986" s="0" t="s">
        <v>5676</v>
      </c>
      <c r="I986" s="0" t="s">
        <v>1045</v>
      </c>
      <c r="J986" s="0" t="s">
        <v>3131</v>
      </c>
      <c r="K986" s="0" t="s">
        <v>971</v>
      </c>
      <c r="L986" s="0" t="s">
        <v>974</v>
      </c>
      <c r="M986" s="0" t="s">
        <v>973</v>
      </c>
      <c r="N986" s="0" t="s">
        <v>974</v>
      </c>
      <c r="O986" s="0" t="s">
        <v>975</v>
      </c>
      <c r="P986" s="0" t="s">
        <v>976</v>
      </c>
      <c r="Q986" s="0" t="s">
        <v>1968</v>
      </c>
      <c r="R986" s="0" t="s">
        <v>1046</v>
      </c>
      <c r="S986" s="0" t="s">
        <v>974</v>
      </c>
    </row>
    <row r="987" customFormat="false" ht="13.8" hidden="false" customHeight="false" outlineLevel="0" collapsed="false">
      <c r="A987" s="0" t="n">
        <v>2743</v>
      </c>
      <c r="B987" s="0" t="s">
        <v>5677</v>
      </c>
      <c r="C987" s="0" t="s">
        <v>4028</v>
      </c>
      <c r="E987" s="0" t="n">
        <f aca="false">IF(J986=J987,E986+10,0)</f>
        <v>210</v>
      </c>
      <c r="F987" s="0" t="s">
        <v>5678</v>
      </c>
      <c r="G987" s="0" t="s">
        <v>5679</v>
      </c>
      <c r="H987" s="0" t="s">
        <v>5680</v>
      </c>
      <c r="I987" s="0" t="s">
        <v>1587</v>
      </c>
      <c r="J987" s="0" t="s">
        <v>3131</v>
      </c>
      <c r="K987" s="0" t="s">
        <v>971</v>
      </c>
      <c r="L987" s="0" t="s">
        <v>974</v>
      </c>
      <c r="M987" s="0" t="s">
        <v>973</v>
      </c>
      <c r="N987" s="0" t="s">
        <v>974</v>
      </c>
      <c r="O987" s="0" t="s">
        <v>975</v>
      </c>
      <c r="P987" s="0" t="s">
        <v>976</v>
      </c>
      <c r="Q987" s="0" t="s">
        <v>2852</v>
      </c>
      <c r="R987" s="0" t="s">
        <v>1046</v>
      </c>
      <c r="S987" s="0" t="s">
        <v>974</v>
      </c>
    </row>
    <row r="988" customFormat="false" ht="13.8" hidden="false" customHeight="false" outlineLevel="0" collapsed="false">
      <c r="A988" s="0" t="n">
        <v>2744</v>
      </c>
      <c r="B988" s="0" t="s">
        <v>5681</v>
      </c>
      <c r="C988" s="0" t="s">
        <v>1420</v>
      </c>
      <c r="E988" s="0" t="n">
        <f aca="false">IF(J987=J988,E987+10,0)</f>
        <v>220</v>
      </c>
      <c r="F988" s="0" t="s">
        <v>5682</v>
      </c>
      <c r="G988" s="0" t="s">
        <v>5683</v>
      </c>
      <c r="H988" s="0" t="s">
        <v>5684</v>
      </c>
      <c r="I988" s="0" t="s">
        <v>1100</v>
      </c>
      <c r="J988" s="0" t="s">
        <v>3131</v>
      </c>
      <c r="K988" s="0" t="s">
        <v>971</v>
      </c>
      <c r="L988" s="0" t="s">
        <v>974</v>
      </c>
      <c r="M988" s="0" t="s">
        <v>973</v>
      </c>
      <c r="N988" s="0" t="s">
        <v>974</v>
      </c>
      <c r="O988" s="0" t="s">
        <v>975</v>
      </c>
      <c r="P988" s="0" t="s">
        <v>976</v>
      </c>
      <c r="Q988" s="0" t="s">
        <v>2778</v>
      </c>
      <c r="R988" s="0" t="s">
        <v>1046</v>
      </c>
      <c r="S988" s="0" t="s">
        <v>974</v>
      </c>
    </row>
    <row r="989" customFormat="false" ht="13.8" hidden="false" customHeight="false" outlineLevel="0" collapsed="false">
      <c r="A989" s="0" t="n">
        <v>2745</v>
      </c>
      <c r="B989" s="0" t="s">
        <v>5685</v>
      </c>
      <c r="C989" s="0" t="s">
        <v>998</v>
      </c>
      <c r="E989" s="0" t="n">
        <f aca="false">IF(J988=J989,E988+10,0)</f>
        <v>0</v>
      </c>
      <c r="F989" s="0" t="s">
        <v>5686</v>
      </c>
      <c r="G989" s="0" t="s">
        <v>5687</v>
      </c>
      <c r="H989" s="0" t="s">
        <v>5688</v>
      </c>
      <c r="I989" s="0" t="s">
        <v>1002</v>
      </c>
      <c r="J989" s="0" t="s">
        <v>1231</v>
      </c>
      <c r="K989" s="0" t="s">
        <v>971</v>
      </c>
      <c r="L989" s="0" t="s">
        <v>1067</v>
      </c>
      <c r="M989" s="0" t="s">
        <v>973</v>
      </c>
      <c r="N989" s="0" t="s">
        <v>974</v>
      </c>
      <c r="O989" s="0" t="s">
        <v>975</v>
      </c>
      <c r="P989" s="0" t="s">
        <v>976</v>
      </c>
      <c r="Q989" s="0" t="s">
        <v>974</v>
      </c>
      <c r="R989" s="0" t="s">
        <v>970</v>
      </c>
      <c r="S989" s="0" t="s">
        <v>974</v>
      </c>
    </row>
    <row r="990" customFormat="false" ht="13.8" hidden="false" customHeight="false" outlineLevel="0" collapsed="false">
      <c r="A990" s="0" t="n">
        <v>2746</v>
      </c>
      <c r="B990" s="0" t="s">
        <v>5689</v>
      </c>
      <c r="C990" s="0" t="s">
        <v>3976</v>
      </c>
      <c r="E990" s="0" t="n">
        <f aca="false">IF(J989=J990,E989+10,0)</f>
        <v>10</v>
      </c>
      <c r="F990" s="0" t="s">
        <v>5690</v>
      </c>
      <c r="G990" s="0" t="s">
        <v>5691</v>
      </c>
      <c r="H990" s="0" t="s">
        <v>5692</v>
      </c>
      <c r="I990" s="0" t="s">
        <v>1021</v>
      </c>
      <c r="J990" s="0" t="s">
        <v>1231</v>
      </c>
      <c r="K990" s="0" t="s">
        <v>971</v>
      </c>
      <c r="L990" s="0" t="s">
        <v>974</v>
      </c>
      <c r="M990" s="0" t="s">
        <v>973</v>
      </c>
      <c r="N990" s="0" t="s">
        <v>974</v>
      </c>
      <c r="O990" s="0" t="s">
        <v>975</v>
      </c>
      <c r="P990" s="0" t="s">
        <v>976</v>
      </c>
      <c r="Q990" s="0" t="s">
        <v>970</v>
      </c>
      <c r="R990" s="0" t="s">
        <v>970</v>
      </c>
      <c r="S990" s="0" t="s">
        <v>974</v>
      </c>
    </row>
    <row r="991" customFormat="false" ht="13.8" hidden="false" customHeight="false" outlineLevel="0" collapsed="false">
      <c r="A991" s="0" t="n">
        <v>2747</v>
      </c>
      <c r="B991" s="0" t="s">
        <v>5693</v>
      </c>
      <c r="C991" s="0" t="s">
        <v>1061</v>
      </c>
      <c r="E991" s="0" t="n">
        <f aca="false">IF(J990=J991,E990+10,0)</f>
        <v>20</v>
      </c>
      <c r="F991" s="0" t="s">
        <v>5694</v>
      </c>
      <c r="G991" s="0" t="s">
        <v>5695</v>
      </c>
      <c r="H991" s="0" t="s">
        <v>5696</v>
      </c>
      <c r="I991" s="0" t="s">
        <v>1065</v>
      </c>
      <c r="J991" s="0" t="s">
        <v>1231</v>
      </c>
      <c r="K991" s="0" t="s">
        <v>5697</v>
      </c>
      <c r="L991" s="0" t="s">
        <v>974</v>
      </c>
      <c r="M991" s="0" t="s">
        <v>973</v>
      </c>
      <c r="N991" s="0" t="s">
        <v>974</v>
      </c>
      <c r="O991" s="0" t="s">
        <v>975</v>
      </c>
      <c r="P991" s="0" t="s">
        <v>976</v>
      </c>
      <c r="Q991" s="0" t="s">
        <v>975</v>
      </c>
      <c r="R991" s="0" t="s">
        <v>970</v>
      </c>
      <c r="S991" s="0" t="s">
        <v>974</v>
      </c>
    </row>
    <row r="992" customFormat="false" ht="13.8" hidden="false" customHeight="false" outlineLevel="0" collapsed="false">
      <c r="A992" s="0" t="n">
        <v>2748</v>
      </c>
      <c r="B992" s="0" t="s">
        <v>5698</v>
      </c>
      <c r="C992" s="0" t="s">
        <v>3985</v>
      </c>
      <c r="E992" s="0" t="n">
        <f aca="false">IF(J991=J992,E991+10,0)</f>
        <v>30</v>
      </c>
      <c r="F992" s="0" t="s">
        <v>5699</v>
      </c>
      <c r="G992" s="0" t="s">
        <v>5700</v>
      </c>
      <c r="H992" s="0" t="s">
        <v>5701</v>
      </c>
      <c r="I992" s="0" t="s">
        <v>970</v>
      </c>
      <c r="J992" s="0" t="s">
        <v>1231</v>
      </c>
      <c r="K992" s="0" t="s">
        <v>5702</v>
      </c>
      <c r="L992" s="0" t="s">
        <v>974</v>
      </c>
      <c r="M992" s="0" t="s">
        <v>973</v>
      </c>
      <c r="N992" s="0" t="s">
        <v>974</v>
      </c>
      <c r="O992" s="0" t="s">
        <v>975</v>
      </c>
      <c r="P992" s="0" t="s">
        <v>976</v>
      </c>
      <c r="Q992" s="0" t="s">
        <v>1059</v>
      </c>
      <c r="R992" s="0" t="s">
        <v>970</v>
      </c>
      <c r="S992" s="0" t="s">
        <v>974</v>
      </c>
    </row>
    <row r="993" customFormat="false" ht="13.8" hidden="false" customHeight="false" outlineLevel="0" collapsed="false">
      <c r="A993" s="0" t="n">
        <v>2749</v>
      </c>
      <c r="B993" s="0" t="s">
        <v>5703</v>
      </c>
      <c r="C993" s="0" t="s">
        <v>3990</v>
      </c>
      <c r="E993" s="0" t="n">
        <f aca="false">IF(J992=J993,E992+10,0)</f>
        <v>40</v>
      </c>
      <c r="F993" s="0" t="s">
        <v>5704</v>
      </c>
      <c r="G993" s="0" t="s">
        <v>5705</v>
      </c>
      <c r="H993" s="0" t="s">
        <v>5706</v>
      </c>
      <c r="I993" s="0" t="s">
        <v>1033</v>
      </c>
      <c r="J993" s="0" t="s">
        <v>1231</v>
      </c>
      <c r="K993" s="0" t="s">
        <v>5707</v>
      </c>
      <c r="L993" s="0" t="s">
        <v>974</v>
      </c>
      <c r="M993" s="0" t="s">
        <v>973</v>
      </c>
      <c r="N993" s="0" t="s">
        <v>974</v>
      </c>
      <c r="O993" s="0" t="s">
        <v>975</v>
      </c>
      <c r="P993" s="0" t="s">
        <v>976</v>
      </c>
      <c r="Q993" s="0" t="s">
        <v>973</v>
      </c>
      <c r="R993" s="0" t="s">
        <v>970</v>
      </c>
      <c r="S993" s="0" t="s">
        <v>974</v>
      </c>
    </row>
    <row r="994" customFormat="false" ht="13.8" hidden="false" customHeight="false" outlineLevel="0" collapsed="false">
      <c r="A994" s="0" t="n">
        <v>2750</v>
      </c>
      <c r="B994" s="0" t="s">
        <v>5708</v>
      </c>
      <c r="C994" s="0" t="s">
        <v>4065</v>
      </c>
      <c r="E994" s="0" t="n">
        <f aca="false">IF(J993=J994,E993+10,0)</f>
        <v>50</v>
      </c>
      <c r="F994" s="0" t="s">
        <v>5709</v>
      </c>
      <c r="G994" s="0" t="s">
        <v>5710</v>
      </c>
      <c r="H994" s="0" t="s">
        <v>5711</v>
      </c>
      <c r="I994" s="0" t="s">
        <v>1167</v>
      </c>
      <c r="J994" s="0" t="s">
        <v>1231</v>
      </c>
      <c r="K994" s="0" t="s">
        <v>5712</v>
      </c>
      <c r="L994" s="0" t="s">
        <v>974</v>
      </c>
      <c r="M994" s="0" t="s">
        <v>973</v>
      </c>
      <c r="N994" s="0" t="s">
        <v>974</v>
      </c>
      <c r="O994" s="0" t="s">
        <v>975</v>
      </c>
      <c r="P994" s="0" t="s">
        <v>976</v>
      </c>
      <c r="Q994" s="0" t="s">
        <v>1169</v>
      </c>
      <c r="R994" s="0" t="s">
        <v>970</v>
      </c>
      <c r="S994" s="0" t="s">
        <v>974</v>
      </c>
    </row>
    <row r="995" customFormat="false" ht="13.8" hidden="false" customHeight="false" outlineLevel="0" collapsed="false">
      <c r="A995" s="0" t="n">
        <v>2751</v>
      </c>
      <c r="B995" s="0" t="s">
        <v>5713</v>
      </c>
      <c r="C995" s="0" t="s">
        <v>5714</v>
      </c>
      <c r="E995" s="0" t="n">
        <f aca="false">IF(J994=J995,E994+10,0)</f>
        <v>60</v>
      </c>
      <c r="F995" s="0" t="s">
        <v>5715</v>
      </c>
      <c r="G995" s="0" t="s">
        <v>5716</v>
      </c>
      <c r="H995" s="0" t="s">
        <v>5717</v>
      </c>
      <c r="I995" s="0" t="s">
        <v>969</v>
      </c>
      <c r="J995" s="0" t="s">
        <v>1231</v>
      </c>
      <c r="K995" s="0" t="s">
        <v>5718</v>
      </c>
      <c r="L995" s="0" t="s">
        <v>1829</v>
      </c>
      <c r="M995" s="0" t="s">
        <v>973</v>
      </c>
      <c r="N995" s="0" t="s">
        <v>974</v>
      </c>
      <c r="O995" s="0" t="s">
        <v>975</v>
      </c>
      <c r="P995" s="0" t="s">
        <v>976</v>
      </c>
      <c r="Q995" s="0" t="s">
        <v>974</v>
      </c>
      <c r="R995" s="0" t="s">
        <v>970</v>
      </c>
      <c r="S995" s="0" t="s">
        <v>974</v>
      </c>
    </row>
    <row r="996" customFormat="false" ht="13.8" hidden="false" customHeight="false" outlineLevel="0" collapsed="false">
      <c r="A996" s="0" t="n">
        <v>2752</v>
      </c>
      <c r="B996" s="0" t="s">
        <v>5719</v>
      </c>
      <c r="C996" s="0" t="s">
        <v>4000</v>
      </c>
      <c r="E996" s="0" t="n">
        <f aca="false">IF(J995=J996,E995+10,0)</f>
        <v>70</v>
      </c>
      <c r="F996" s="0" t="s">
        <v>5720</v>
      </c>
      <c r="G996" s="0" t="s">
        <v>5721</v>
      </c>
      <c r="H996" s="0" t="s">
        <v>5722</v>
      </c>
      <c r="I996" s="0" t="s">
        <v>1106</v>
      </c>
      <c r="J996" s="0" t="s">
        <v>1231</v>
      </c>
      <c r="K996" s="0" t="s">
        <v>5723</v>
      </c>
      <c r="L996" s="0" t="s">
        <v>974</v>
      </c>
      <c r="M996" s="0" t="s">
        <v>973</v>
      </c>
      <c r="N996" s="0" t="s">
        <v>974</v>
      </c>
      <c r="O996" s="0" t="s">
        <v>975</v>
      </c>
      <c r="P996" s="0" t="s">
        <v>976</v>
      </c>
      <c r="Q996" s="0" t="s">
        <v>1459</v>
      </c>
      <c r="R996" s="0" t="s">
        <v>970</v>
      </c>
      <c r="S996" s="0" t="s">
        <v>974</v>
      </c>
    </row>
    <row r="997" customFormat="false" ht="13.8" hidden="false" customHeight="false" outlineLevel="0" collapsed="false">
      <c r="A997" s="0" t="n">
        <v>2753</v>
      </c>
      <c r="B997" s="0" t="s">
        <v>5724</v>
      </c>
      <c r="C997" s="0" t="s">
        <v>4098</v>
      </c>
      <c r="E997" s="0" t="n">
        <f aca="false">IF(J996=J997,E996+10,0)</f>
        <v>80</v>
      </c>
      <c r="F997" s="0" t="s">
        <v>5725</v>
      </c>
      <c r="G997" s="0" t="s">
        <v>5726</v>
      </c>
      <c r="H997" s="0" t="s">
        <v>5727</v>
      </c>
      <c r="I997" s="0" t="s">
        <v>1045</v>
      </c>
      <c r="J997" s="0" t="s">
        <v>1231</v>
      </c>
      <c r="K997" s="0" t="s">
        <v>971</v>
      </c>
      <c r="L997" s="0" t="s">
        <v>974</v>
      </c>
      <c r="M997" s="0" t="s">
        <v>973</v>
      </c>
      <c r="N997" s="0" t="s">
        <v>974</v>
      </c>
      <c r="O997" s="0" t="s">
        <v>975</v>
      </c>
      <c r="P997" s="0" t="s">
        <v>976</v>
      </c>
      <c r="Q997" s="0" t="s">
        <v>1059</v>
      </c>
      <c r="R997" s="0" t="s">
        <v>1046</v>
      </c>
      <c r="S997" s="0" t="s">
        <v>974</v>
      </c>
    </row>
    <row r="998" customFormat="false" ht="13.8" hidden="false" customHeight="false" outlineLevel="0" collapsed="false">
      <c r="A998" s="0" t="n">
        <v>2754</v>
      </c>
      <c r="B998" s="0" t="s">
        <v>5728</v>
      </c>
      <c r="C998" s="0" t="s">
        <v>1420</v>
      </c>
      <c r="E998" s="0" t="n">
        <f aca="false">IF(J997=J998,E997+10,0)</f>
        <v>90</v>
      </c>
      <c r="F998" s="0" t="s">
        <v>5729</v>
      </c>
      <c r="G998" s="0" t="s">
        <v>5730</v>
      </c>
      <c r="H998" s="0" t="s">
        <v>5731</v>
      </c>
      <c r="I998" s="0" t="s">
        <v>1100</v>
      </c>
      <c r="J998" s="0" t="s">
        <v>1231</v>
      </c>
      <c r="K998" s="0" t="s">
        <v>971</v>
      </c>
      <c r="L998" s="0" t="s">
        <v>974</v>
      </c>
      <c r="M998" s="0" t="s">
        <v>973</v>
      </c>
      <c r="N998" s="0" t="s">
        <v>974</v>
      </c>
      <c r="O998" s="0" t="s">
        <v>975</v>
      </c>
      <c r="P998" s="0" t="s">
        <v>976</v>
      </c>
      <c r="Q998" s="0" t="s">
        <v>1067</v>
      </c>
      <c r="R998" s="0" t="s">
        <v>1046</v>
      </c>
      <c r="S998" s="0" t="s">
        <v>974</v>
      </c>
    </row>
    <row r="999" customFormat="false" ht="13.8" hidden="false" customHeight="false" outlineLevel="0" collapsed="false">
      <c r="A999" s="0" t="n">
        <v>2755</v>
      </c>
      <c r="B999" s="0" t="s">
        <v>5732</v>
      </c>
      <c r="C999" s="0" t="s">
        <v>5733</v>
      </c>
      <c r="E999" s="0" t="n">
        <f aca="false">IF(J998=J999,E998+10,0)</f>
        <v>100</v>
      </c>
      <c r="F999" s="0" t="s">
        <v>5734</v>
      </c>
      <c r="G999" s="0" t="s">
        <v>5735</v>
      </c>
      <c r="H999" s="0" t="s">
        <v>5736</v>
      </c>
      <c r="I999" s="0" t="s">
        <v>1161</v>
      </c>
      <c r="J999" s="0" t="s">
        <v>1231</v>
      </c>
      <c r="K999" s="0" t="s">
        <v>971</v>
      </c>
      <c r="L999" s="0" t="s">
        <v>974</v>
      </c>
      <c r="M999" s="0" t="s">
        <v>973</v>
      </c>
      <c r="N999" s="0" t="s">
        <v>974</v>
      </c>
      <c r="O999" s="0" t="s">
        <v>975</v>
      </c>
      <c r="P999" s="0" t="s">
        <v>976</v>
      </c>
      <c r="Q999" s="0" t="s">
        <v>1214</v>
      </c>
      <c r="R999" s="0" t="s">
        <v>1046</v>
      </c>
      <c r="S999" s="0" t="s">
        <v>974</v>
      </c>
    </row>
    <row r="1000" customFormat="false" ht="13.8" hidden="false" customHeight="false" outlineLevel="0" collapsed="false">
      <c r="A1000" s="0" t="n">
        <v>2756</v>
      </c>
      <c r="B1000" s="0" t="s">
        <v>5737</v>
      </c>
      <c r="C1000" s="0" t="s">
        <v>4220</v>
      </c>
      <c r="E1000" s="0" t="n">
        <f aca="false">IF(J999=J1000,E999+10,0)</f>
        <v>110</v>
      </c>
      <c r="F1000" s="0" t="s">
        <v>5738</v>
      </c>
      <c r="G1000" s="0" t="s">
        <v>5739</v>
      </c>
      <c r="H1000" s="0" t="s">
        <v>5740</v>
      </c>
      <c r="I1000" s="0" t="s">
        <v>1014</v>
      </c>
      <c r="J1000" s="0" t="s">
        <v>1231</v>
      </c>
      <c r="K1000" s="0" t="s">
        <v>971</v>
      </c>
      <c r="L1000" s="0" t="s">
        <v>974</v>
      </c>
      <c r="M1000" s="0" t="s">
        <v>973</v>
      </c>
      <c r="N1000" s="0" t="s">
        <v>974</v>
      </c>
      <c r="O1000" s="0" t="s">
        <v>975</v>
      </c>
      <c r="P1000" s="0" t="s">
        <v>976</v>
      </c>
      <c r="Q1000" s="0" t="s">
        <v>973</v>
      </c>
      <c r="R1000" s="0" t="s">
        <v>1046</v>
      </c>
      <c r="S1000" s="0" t="s">
        <v>974</v>
      </c>
    </row>
    <row r="1001" customFormat="false" ht="13.8" hidden="false" customHeight="false" outlineLevel="0" collapsed="false">
      <c r="A1001" s="0" t="n">
        <v>2757</v>
      </c>
      <c r="B1001" s="0" t="s">
        <v>5741</v>
      </c>
      <c r="C1001" s="0" t="s">
        <v>4780</v>
      </c>
      <c r="E1001" s="0" t="n">
        <f aca="false">IF(J1000=J1001,E1000+10,0)</f>
        <v>0</v>
      </c>
      <c r="F1001" s="0" t="s">
        <v>5742</v>
      </c>
      <c r="G1001" s="0" t="s">
        <v>5743</v>
      </c>
      <c r="H1001" s="0" t="s">
        <v>5744</v>
      </c>
      <c r="I1001" s="0" t="s">
        <v>989</v>
      </c>
      <c r="J1001" s="0" t="s">
        <v>973</v>
      </c>
      <c r="K1001" s="0" t="s">
        <v>5745</v>
      </c>
      <c r="L1001" s="0" t="s">
        <v>1082</v>
      </c>
      <c r="M1001" s="0" t="s">
        <v>973</v>
      </c>
      <c r="N1001" s="0" t="s">
        <v>974</v>
      </c>
      <c r="O1001" s="0" t="s">
        <v>975</v>
      </c>
      <c r="P1001" s="0" t="s">
        <v>976</v>
      </c>
      <c r="Q1001" s="0" t="s">
        <v>974</v>
      </c>
      <c r="R1001" s="0" t="s">
        <v>970</v>
      </c>
      <c r="S1001" s="0" t="s">
        <v>974</v>
      </c>
    </row>
    <row r="1002" customFormat="false" ht="13.8" hidden="false" customHeight="false" outlineLevel="0" collapsed="false">
      <c r="A1002" s="0" t="n">
        <v>2758</v>
      </c>
      <c r="B1002" s="0" t="s">
        <v>5746</v>
      </c>
      <c r="C1002" s="0" t="s">
        <v>4572</v>
      </c>
      <c r="E1002" s="0" t="n">
        <f aca="false">IF(J1001=J1002,E1001+10,0)</f>
        <v>10</v>
      </c>
      <c r="F1002" s="0" t="s">
        <v>5747</v>
      </c>
      <c r="G1002" s="0" t="s">
        <v>5748</v>
      </c>
      <c r="H1002" s="0" t="s">
        <v>5749</v>
      </c>
      <c r="I1002" s="0" t="s">
        <v>982</v>
      </c>
      <c r="J1002" s="0" t="s">
        <v>973</v>
      </c>
      <c r="K1002" s="0" t="s">
        <v>5750</v>
      </c>
      <c r="L1002" s="0" t="s">
        <v>1082</v>
      </c>
      <c r="M1002" s="0" t="s">
        <v>973</v>
      </c>
      <c r="N1002" s="0" t="s">
        <v>974</v>
      </c>
      <c r="O1002" s="0" t="s">
        <v>975</v>
      </c>
      <c r="P1002" s="0" t="s">
        <v>976</v>
      </c>
      <c r="Q1002" s="0" t="s">
        <v>974</v>
      </c>
      <c r="R1002" s="0" t="s">
        <v>970</v>
      </c>
      <c r="S1002" s="0" t="s">
        <v>974</v>
      </c>
    </row>
    <row r="1003" customFormat="false" ht="13.8" hidden="false" customHeight="false" outlineLevel="0" collapsed="false">
      <c r="A1003" s="0" t="n">
        <v>2759</v>
      </c>
      <c r="B1003" s="0" t="s">
        <v>5751</v>
      </c>
      <c r="C1003" s="0" t="s">
        <v>4789</v>
      </c>
      <c r="E1003" s="0" t="n">
        <f aca="false">IF(J1002=J1003,E1002+10,0)</f>
        <v>20</v>
      </c>
      <c r="F1003" s="0" t="s">
        <v>5752</v>
      </c>
      <c r="G1003" s="0" t="s">
        <v>5753</v>
      </c>
      <c r="H1003" s="0" t="s">
        <v>5754</v>
      </c>
      <c r="I1003" s="0" t="s">
        <v>1201</v>
      </c>
      <c r="J1003" s="0" t="s">
        <v>973</v>
      </c>
      <c r="K1003" s="0" t="s">
        <v>971</v>
      </c>
      <c r="L1003" s="0" t="s">
        <v>974</v>
      </c>
      <c r="M1003" s="0" t="s">
        <v>973</v>
      </c>
      <c r="N1003" s="0" t="s">
        <v>974</v>
      </c>
      <c r="O1003" s="0" t="s">
        <v>975</v>
      </c>
      <c r="P1003" s="0" t="s">
        <v>976</v>
      </c>
      <c r="Q1003" s="0" t="s">
        <v>1737</v>
      </c>
      <c r="R1003" s="0" t="s">
        <v>970</v>
      </c>
      <c r="S1003" s="0" t="s">
        <v>974</v>
      </c>
    </row>
    <row r="1004" customFormat="false" ht="13.8" hidden="false" customHeight="false" outlineLevel="0" collapsed="false">
      <c r="A1004" s="0" t="n">
        <v>2760</v>
      </c>
      <c r="B1004" s="0" t="s">
        <v>5755</v>
      </c>
      <c r="C1004" s="0" t="s">
        <v>3990</v>
      </c>
      <c r="E1004" s="0" t="n">
        <f aca="false">IF(J1003=J1004,E1003+10,0)</f>
        <v>30</v>
      </c>
      <c r="F1004" s="0" t="s">
        <v>5756</v>
      </c>
      <c r="G1004" s="0" t="s">
        <v>5757</v>
      </c>
      <c r="H1004" s="0" t="s">
        <v>5758</v>
      </c>
      <c r="I1004" s="0" t="s">
        <v>1033</v>
      </c>
      <c r="J1004" s="0" t="s">
        <v>973</v>
      </c>
      <c r="K1004" s="0" t="s">
        <v>971</v>
      </c>
      <c r="L1004" s="0" t="s">
        <v>974</v>
      </c>
      <c r="M1004" s="0" t="s">
        <v>973</v>
      </c>
      <c r="N1004" s="0" t="s">
        <v>974</v>
      </c>
      <c r="O1004" s="0" t="s">
        <v>975</v>
      </c>
      <c r="P1004" s="0" t="s">
        <v>976</v>
      </c>
      <c r="Q1004" s="0" t="s">
        <v>970</v>
      </c>
      <c r="R1004" s="0" t="s">
        <v>1046</v>
      </c>
      <c r="S1004" s="0" t="s">
        <v>974</v>
      </c>
    </row>
    <row r="1005" customFormat="false" ht="13.8" hidden="false" customHeight="false" outlineLevel="0" collapsed="false">
      <c r="A1005" s="0" t="n">
        <v>2761</v>
      </c>
      <c r="B1005" s="0" t="s">
        <v>5759</v>
      </c>
      <c r="C1005" s="0" t="s">
        <v>4643</v>
      </c>
      <c r="E1005" s="0" t="n">
        <f aca="false">IF(J1004=J1005,E1004+10,0)</f>
        <v>40</v>
      </c>
      <c r="F1005" s="0" t="s">
        <v>5760</v>
      </c>
      <c r="G1005" s="0" t="s">
        <v>5761</v>
      </c>
      <c r="H1005" s="0" t="s">
        <v>5762</v>
      </c>
      <c r="I1005" s="0" t="s">
        <v>1065</v>
      </c>
      <c r="J1005" s="0" t="s">
        <v>973</v>
      </c>
      <c r="K1005" s="0" t="s">
        <v>971</v>
      </c>
      <c r="L1005" s="0" t="s">
        <v>974</v>
      </c>
      <c r="M1005" s="0" t="s">
        <v>973</v>
      </c>
      <c r="N1005" s="0" t="s">
        <v>974</v>
      </c>
      <c r="O1005" s="0" t="s">
        <v>975</v>
      </c>
      <c r="P1005" s="0" t="s">
        <v>976</v>
      </c>
      <c r="Q1005" s="0" t="s">
        <v>1059</v>
      </c>
      <c r="R1005" s="0" t="s">
        <v>970</v>
      </c>
      <c r="S1005" s="0" t="s">
        <v>974</v>
      </c>
    </row>
    <row r="1006" customFormat="false" ht="13.8" hidden="false" customHeight="false" outlineLevel="0" collapsed="false">
      <c r="A1006" s="0" t="n">
        <v>2762</v>
      </c>
      <c r="B1006" s="0" t="s">
        <v>5763</v>
      </c>
      <c r="C1006" s="0" t="s">
        <v>4802</v>
      </c>
      <c r="E1006" s="0" t="n">
        <f aca="false">IF(J1005=J1006,E1005+10,0)</f>
        <v>50</v>
      </c>
      <c r="F1006" s="0" t="s">
        <v>5764</v>
      </c>
      <c r="G1006" s="0" t="s">
        <v>5765</v>
      </c>
      <c r="H1006" s="0" t="s">
        <v>5766</v>
      </c>
      <c r="I1006" s="0" t="s">
        <v>970</v>
      </c>
      <c r="J1006" s="0" t="s">
        <v>973</v>
      </c>
      <c r="K1006" s="0" t="s">
        <v>971</v>
      </c>
      <c r="L1006" s="0" t="s">
        <v>974</v>
      </c>
      <c r="M1006" s="0" t="s">
        <v>973</v>
      </c>
      <c r="N1006" s="0" t="s">
        <v>974</v>
      </c>
      <c r="O1006" s="0" t="s">
        <v>975</v>
      </c>
      <c r="P1006" s="0" t="s">
        <v>976</v>
      </c>
      <c r="Q1006" s="0" t="s">
        <v>970</v>
      </c>
      <c r="R1006" s="0" t="s">
        <v>1046</v>
      </c>
      <c r="S1006" s="0" t="s">
        <v>974</v>
      </c>
    </row>
    <row r="1007" customFormat="false" ht="13.8" hidden="false" customHeight="false" outlineLevel="0" collapsed="false">
      <c r="A1007" s="0" t="n">
        <v>2763</v>
      </c>
      <c r="B1007" s="0" t="s">
        <v>5767</v>
      </c>
      <c r="C1007" s="0" t="s">
        <v>5768</v>
      </c>
      <c r="E1007" s="0" t="n">
        <f aca="false">IF(J1006=J1007,E1006+10,0)</f>
        <v>60</v>
      </c>
      <c r="F1007" s="0" t="s">
        <v>5769</v>
      </c>
      <c r="G1007" s="0" t="s">
        <v>5770</v>
      </c>
      <c r="H1007" s="0" t="s">
        <v>5771</v>
      </c>
      <c r="I1007" s="0" t="s">
        <v>969</v>
      </c>
      <c r="J1007" s="0" t="s">
        <v>973</v>
      </c>
      <c r="K1007" s="0" t="s">
        <v>971</v>
      </c>
      <c r="L1007" s="0" t="s">
        <v>1151</v>
      </c>
      <c r="M1007" s="0" t="s">
        <v>973</v>
      </c>
      <c r="N1007" s="0" t="s">
        <v>974</v>
      </c>
      <c r="O1007" s="0" t="s">
        <v>975</v>
      </c>
      <c r="P1007" s="0" t="s">
        <v>976</v>
      </c>
      <c r="Q1007" s="0" t="s">
        <v>974</v>
      </c>
      <c r="R1007" s="0" t="s">
        <v>970</v>
      </c>
      <c r="S1007" s="0" t="s">
        <v>974</v>
      </c>
    </row>
    <row r="1008" customFormat="false" ht="13.8" hidden="false" customHeight="false" outlineLevel="0" collapsed="false">
      <c r="A1008" s="0" t="n">
        <v>2764</v>
      </c>
      <c r="B1008" s="0" t="s">
        <v>5772</v>
      </c>
      <c r="C1008" s="0" t="s">
        <v>1420</v>
      </c>
      <c r="E1008" s="0" t="n">
        <f aca="false">IF(J1007=J1008,E1007+10,0)</f>
        <v>70</v>
      </c>
      <c r="F1008" s="0" t="s">
        <v>5773</v>
      </c>
      <c r="G1008" s="0" t="s">
        <v>5774</v>
      </c>
      <c r="H1008" s="0" t="s">
        <v>5775</v>
      </c>
      <c r="I1008" s="0" t="s">
        <v>1100</v>
      </c>
      <c r="J1008" s="0" t="s">
        <v>973</v>
      </c>
      <c r="K1008" s="0" t="s">
        <v>971</v>
      </c>
      <c r="L1008" s="0" t="s">
        <v>974</v>
      </c>
      <c r="M1008" s="0" t="s">
        <v>973</v>
      </c>
      <c r="N1008" s="0" t="s">
        <v>974</v>
      </c>
      <c r="O1008" s="0" t="s">
        <v>975</v>
      </c>
      <c r="P1008" s="0" t="s">
        <v>976</v>
      </c>
      <c r="Q1008" s="0" t="s">
        <v>996</v>
      </c>
      <c r="R1008" s="0" t="s">
        <v>1046</v>
      </c>
      <c r="S1008" s="0" t="s">
        <v>974</v>
      </c>
    </row>
    <row r="1009" customFormat="false" ht="13.8" hidden="false" customHeight="false" outlineLevel="0" collapsed="false">
      <c r="A1009" s="0" t="n">
        <v>2765</v>
      </c>
      <c r="B1009" s="0" t="s">
        <v>5776</v>
      </c>
      <c r="C1009" s="0" t="s">
        <v>4220</v>
      </c>
      <c r="E1009" s="0" t="n">
        <f aca="false">IF(J1008=J1009,E1008+10,0)</f>
        <v>80</v>
      </c>
      <c r="F1009" s="0" t="s">
        <v>5777</v>
      </c>
      <c r="G1009" s="0" t="s">
        <v>5778</v>
      </c>
      <c r="H1009" s="0" t="s">
        <v>5779</v>
      </c>
      <c r="I1009" s="0" t="s">
        <v>1014</v>
      </c>
      <c r="J1009" s="0" t="s">
        <v>973</v>
      </c>
      <c r="K1009" s="0" t="s">
        <v>971</v>
      </c>
      <c r="L1009" s="0" t="s">
        <v>974</v>
      </c>
      <c r="M1009" s="0" t="s">
        <v>973</v>
      </c>
      <c r="N1009" s="0" t="s">
        <v>974</v>
      </c>
      <c r="O1009" s="0" t="s">
        <v>975</v>
      </c>
      <c r="P1009" s="0" t="s">
        <v>976</v>
      </c>
      <c r="Q1009" s="0" t="s">
        <v>1232</v>
      </c>
      <c r="R1009" s="0" t="s">
        <v>1046</v>
      </c>
      <c r="S1009" s="0" t="s">
        <v>974</v>
      </c>
    </row>
    <row r="1010" customFormat="false" ht="13.8" hidden="false" customHeight="false" outlineLevel="0" collapsed="false">
      <c r="A1010" s="0" t="n">
        <v>2766</v>
      </c>
      <c r="B1010" s="0" t="s">
        <v>5780</v>
      </c>
      <c r="C1010" s="0" t="s">
        <v>4270</v>
      </c>
      <c r="E1010" s="0" t="n">
        <f aca="false">IF(J1009=J1010,E1009+10,0)</f>
        <v>90</v>
      </c>
      <c r="F1010" s="0" t="s">
        <v>5781</v>
      </c>
      <c r="G1010" s="0" t="s">
        <v>5782</v>
      </c>
      <c r="H1010" s="0" t="s">
        <v>5783</v>
      </c>
      <c r="I1010" s="0" t="s">
        <v>1058</v>
      </c>
      <c r="J1010" s="0" t="s">
        <v>973</v>
      </c>
      <c r="K1010" s="0" t="s">
        <v>971</v>
      </c>
      <c r="L1010" s="0" t="s">
        <v>974</v>
      </c>
      <c r="M1010" s="0" t="s">
        <v>973</v>
      </c>
      <c r="N1010" s="0" t="s">
        <v>974</v>
      </c>
      <c r="O1010" s="0" t="s">
        <v>975</v>
      </c>
      <c r="P1010" s="0" t="s">
        <v>976</v>
      </c>
      <c r="Q1010" s="0" t="s">
        <v>3261</v>
      </c>
      <c r="R1010" s="0" t="s">
        <v>1144</v>
      </c>
      <c r="S1010" s="0" t="s">
        <v>974</v>
      </c>
    </row>
    <row r="1011" customFormat="false" ht="13.8" hidden="false" customHeight="false" outlineLevel="0" collapsed="false">
      <c r="A1011" s="0" t="n">
        <v>2767</v>
      </c>
      <c r="B1011" s="0" t="s">
        <v>5784</v>
      </c>
      <c r="C1011" s="0" t="s">
        <v>4417</v>
      </c>
      <c r="E1011" s="0" t="n">
        <f aca="false">IF(J1010=J1011,E1010+10,0)</f>
        <v>0</v>
      </c>
      <c r="F1011" s="0" t="s">
        <v>5785</v>
      </c>
      <c r="G1011" s="0" t="s">
        <v>5786</v>
      </c>
      <c r="H1011" s="0" t="s">
        <v>5787</v>
      </c>
      <c r="I1011" s="0" t="s">
        <v>1052</v>
      </c>
      <c r="J1011" s="0" t="s">
        <v>5204</v>
      </c>
      <c r="K1011" s="0" t="s">
        <v>971</v>
      </c>
      <c r="L1011" s="0" t="s">
        <v>975</v>
      </c>
      <c r="M1011" s="0" t="s">
        <v>973</v>
      </c>
      <c r="N1011" s="0" t="s">
        <v>974</v>
      </c>
      <c r="O1011" s="0" t="s">
        <v>975</v>
      </c>
      <c r="P1011" s="0" t="s">
        <v>976</v>
      </c>
      <c r="Q1011" s="0" t="s">
        <v>974</v>
      </c>
      <c r="R1011" s="0" t="s">
        <v>970</v>
      </c>
      <c r="S1011" s="0" t="s">
        <v>974</v>
      </c>
    </row>
    <row r="1012" customFormat="false" ht="13.8" hidden="false" customHeight="false" outlineLevel="0" collapsed="false">
      <c r="A1012" s="0" t="n">
        <v>2768</v>
      </c>
      <c r="B1012" s="0" t="s">
        <v>5788</v>
      </c>
      <c r="C1012" s="0" t="s">
        <v>4111</v>
      </c>
      <c r="E1012" s="0" t="n">
        <f aca="false">IF(J1011=J1012,E1011+10,0)</f>
        <v>10</v>
      </c>
      <c r="F1012" s="0" t="s">
        <v>5789</v>
      </c>
      <c r="G1012" s="0" t="s">
        <v>5790</v>
      </c>
      <c r="H1012" s="0" t="s">
        <v>5791</v>
      </c>
      <c r="I1012" s="0" t="s">
        <v>1002</v>
      </c>
      <c r="J1012" s="0" t="s">
        <v>5204</v>
      </c>
      <c r="K1012" s="0" t="s">
        <v>971</v>
      </c>
      <c r="L1012" s="0" t="s">
        <v>970</v>
      </c>
      <c r="M1012" s="0" t="s">
        <v>973</v>
      </c>
      <c r="N1012" s="0" t="s">
        <v>974</v>
      </c>
      <c r="O1012" s="0" t="s">
        <v>975</v>
      </c>
      <c r="P1012" s="0" t="s">
        <v>976</v>
      </c>
      <c r="Q1012" s="0" t="s">
        <v>974</v>
      </c>
      <c r="R1012" s="0" t="s">
        <v>970</v>
      </c>
      <c r="S1012" s="0" t="s">
        <v>974</v>
      </c>
    </row>
    <row r="1013" customFormat="false" ht="13.8" hidden="false" customHeight="false" outlineLevel="0" collapsed="false">
      <c r="A1013" s="0" t="n">
        <v>2769</v>
      </c>
      <c r="B1013" s="0" t="s">
        <v>5792</v>
      </c>
      <c r="C1013" s="0" t="s">
        <v>4780</v>
      </c>
      <c r="E1013" s="0" t="n">
        <f aca="false">IF(J1012=J1013,E1012+10,0)</f>
        <v>20</v>
      </c>
      <c r="F1013" s="0" t="s">
        <v>5793</v>
      </c>
      <c r="G1013" s="0" t="s">
        <v>5794</v>
      </c>
      <c r="H1013" s="0" t="s">
        <v>5795</v>
      </c>
      <c r="I1013" s="0" t="s">
        <v>989</v>
      </c>
      <c r="J1013" s="0" t="s">
        <v>5204</v>
      </c>
      <c r="K1013" s="0" t="s">
        <v>971</v>
      </c>
      <c r="L1013" s="0" t="s">
        <v>973</v>
      </c>
      <c r="M1013" s="0" t="s">
        <v>973</v>
      </c>
      <c r="N1013" s="0" t="s">
        <v>974</v>
      </c>
      <c r="O1013" s="0" t="s">
        <v>975</v>
      </c>
      <c r="P1013" s="0" t="s">
        <v>976</v>
      </c>
      <c r="Q1013" s="0" t="s">
        <v>974</v>
      </c>
      <c r="R1013" s="0" t="s">
        <v>970</v>
      </c>
      <c r="S1013" s="0" t="s">
        <v>974</v>
      </c>
    </row>
    <row r="1014" customFormat="false" ht="13.8" hidden="false" customHeight="false" outlineLevel="0" collapsed="false">
      <c r="A1014" s="0" t="n">
        <v>2770</v>
      </c>
      <c r="B1014" s="0" t="s">
        <v>5796</v>
      </c>
      <c r="C1014" s="0" t="s">
        <v>4572</v>
      </c>
      <c r="E1014" s="0" t="n">
        <f aca="false">IF(J1013=J1014,E1013+10,0)</f>
        <v>30</v>
      </c>
      <c r="F1014" s="0" t="s">
        <v>5797</v>
      </c>
      <c r="G1014" s="0" t="s">
        <v>5798</v>
      </c>
      <c r="H1014" s="0" t="s">
        <v>5799</v>
      </c>
      <c r="I1014" s="0" t="s">
        <v>982</v>
      </c>
      <c r="J1014" s="0" t="s">
        <v>5204</v>
      </c>
      <c r="K1014" s="0" t="s">
        <v>971</v>
      </c>
      <c r="L1014" s="0" t="s">
        <v>973</v>
      </c>
      <c r="M1014" s="0" t="s">
        <v>973</v>
      </c>
      <c r="N1014" s="0" t="s">
        <v>974</v>
      </c>
      <c r="O1014" s="0" t="s">
        <v>975</v>
      </c>
      <c r="P1014" s="0" t="s">
        <v>976</v>
      </c>
      <c r="Q1014" s="0" t="s">
        <v>974</v>
      </c>
      <c r="R1014" s="0" t="s">
        <v>970</v>
      </c>
      <c r="S1014" s="0" t="s">
        <v>974</v>
      </c>
    </row>
    <row r="1015" customFormat="false" ht="13.8" hidden="false" customHeight="false" outlineLevel="0" collapsed="false">
      <c r="A1015" s="0" t="n">
        <v>2771</v>
      </c>
      <c r="B1015" s="0" t="s">
        <v>5800</v>
      </c>
      <c r="C1015" s="0" t="s">
        <v>4789</v>
      </c>
      <c r="E1015" s="0" t="n">
        <f aca="false">IF(J1014=J1015,E1014+10,0)</f>
        <v>40</v>
      </c>
      <c r="F1015" s="0" t="s">
        <v>5801</v>
      </c>
      <c r="G1015" s="0" t="s">
        <v>5802</v>
      </c>
      <c r="H1015" s="0" t="s">
        <v>5803</v>
      </c>
      <c r="I1015" s="0" t="s">
        <v>1201</v>
      </c>
      <c r="J1015" s="0" t="s">
        <v>5204</v>
      </c>
      <c r="K1015" s="0" t="s">
        <v>971</v>
      </c>
      <c r="L1015" s="0" t="s">
        <v>974</v>
      </c>
      <c r="M1015" s="0" t="s">
        <v>973</v>
      </c>
      <c r="N1015" s="0" t="s">
        <v>974</v>
      </c>
      <c r="O1015" s="0" t="s">
        <v>975</v>
      </c>
      <c r="P1015" s="0" t="s">
        <v>976</v>
      </c>
      <c r="Q1015" s="0" t="s">
        <v>1737</v>
      </c>
      <c r="R1015" s="0" t="s">
        <v>970</v>
      </c>
      <c r="S1015" s="0" t="s">
        <v>974</v>
      </c>
    </row>
    <row r="1016" customFormat="false" ht="13.8" hidden="false" customHeight="false" outlineLevel="0" collapsed="false">
      <c r="A1016" s="0" t="n">
        <v>2772</v>
      </c>
      <c r="B1016" s="0" t="s">
        <v>5804</v>
      </c>
      <c r="C1016" s="0" t="s">
        <v>3990</v>
      </c>
      <c r="E1016" s="0" t="n">
        <f aca="false">IF(J1015=J1016,E1015+10,0)</f>
        <v>50</v>
      </c>
      <c r="F1016" s="0" t="s">
        <v>5805</v>
      </c>
      <c r="G1016" s="0" t="s">
        <v>5806</v>
      </c>
      <c r="H1016" s="0" t="s">
        <v>5807</v>
      </c>
      <c r="I1016" s="0" t="s">
        <v>1033</v>
      </c>
      <c r="J1016" s="0" t="s">
        <v>5204</v>
      </c>
      <c r="K1016" s="0" t="s">
        <v>971</v>
      </c>
      <c r="L1016" s="0" t="s">
        <v>974</v>
      </c>
      <c r="M1016" s="0" t="s">
        <v>973</v>
      </c>
      <c r="N1016" s="0" t="s">
        <v>974</v>
      </c>
      <c r="O1016" s="0" t="s">
        <v>975</v>
      </c>
      <c r="P1016" s="0" t="s">
        <v>976</v>
      </c>
      <c r="Q1016" s="0" t="s">
        <v>973</v>
      </c>
      <c r="R1016" s="0" t="s">
        <v>1046</v>
      </c>
      <c r="S1016" s="0" t="s">
        <v>974</v>
      </c>
    </row>
    <row r="1017" customFormat="false" ht="13.8" hidden="false" customHeight="false" outlineLevel="0" collapsed="false">
      <c r="A1017" s="0" t="n">
        <v>2773</v>
      </c>
      <c r="B1017" s="0" t="s">
        <v>5808</v>
      </c>
      <c r="C1017" s="0" t="s">
        <v>4643</v>
      </c>
      <c r="E1017" s="0" t="n">
        <f aca="false">IF(J1016=J1017,E1016+10,0)</f>
        <v>60</v>
      </c>
      <c r="F1017" s="0" t="s">
        <v>5809</v>
      </c>
      <c r="G1017" s="0" t="s">
        <v>5810</v>
      </c>
      <c r="H1017" s="0" t="s">
        <v>5811</v>
      </c>
      <c r="I1017" s="0" t="s">
        <v>1065</v>
      </c>
      <c r="J1017" s="0" t="s">
        <v>5204</v>
      </c>
      <c r="K1017" s="0" t="s">
        <v>971</v>
      </c>
      <c r="L1017" s="0" t="s">
        <v>974</v>
      </c>
      <c r="M1017" s="0" t="s">
        <v>973</v>
      </c>
      <c r="N1017" s="0" t="s">
        <v>974</v>
      </c>
      <c r="O1017" s="0" t="s">
        <v>975</v>
      </c>
      <c r="P1017" s="0" t="s">
        <v>976</v>
      </c>
      <c r="Q1017" s="0" t="s">
        <v>1059</v>
      </c>
      <c r="R1017" s="0" t="s">
        <v>970</v>
      </c>
      <c r="S1017" s="0" t="s">
        <v>974</v>
      </c>
    </row>
    <row r="1018" customFormat="false" ht="13.8" hidden="false" customHeight="false" outlineLevel="0" collapsed="false">
      <c r="A1018" s="0" t="n">
        <v>2774</v>
      </c>
      <c r="B1018" s="0" t="s">
        <v>5812</v>
      </c>
      <c r="C1018" s="0" t="s">
        <v>4802</v>
      </c>
      <c r="E1018" s="0" t="n">
        <f aca="false">IF(J1017=J1018,E1017+10,0)</f>
        <v>70</v>
      </c>
      <c r="F1018" s="0" t="s">
        <v>5813</v>
      </c>
      <c r="G1018" s="0" t="s">
        <v>5814</v>
      </c>
      <c r="H1018" s="0" t="s">
        <v>5815</v>
      </c>
      <c r="I1018" s="0" t="s">
        <v>970</v>
      </c>
      <c r="J1018" s="0" t="s">
        <v>5204</v>
      </c>
      <c r="K1018" s="0" t="s">
        <v>971</v>
      </c>
      <c r="L1018" s="0" t="s">
        <v>974</v>
      </c>
      <c r="M1018" s="0" t="s">
        <v>973</v>
      </c>
      <c r="N1018" s="0" t="s">
        <v>974</v>
      </c>
      <c r="O1018" s="0" t="s">
        <v>975</v>
      </c>
      <c r="P1018" s="0" t="s">
        <v>976</v>
      </c>
      <c r="Q1018" s="0" t="s">
        <v>970</v>
      </c>
      <c r="R1018" s="0" t="s">
        <v>1046</v>
      </c>
      <c r="S1018" s="0" t="s">
        <v>974</v>
      </c>
    </row>
    <row r="1019" customFormat="false" ht="13.8" hidden="false" customHeight="false" outlineLevel="0" collapsed="false">
      <c r="A1019" s="0" t="n">
        <v>2775</v>
      </c>
      <c r="B1019" s="0" t="s">
        <v>5816</v>
      </c>
      <c r="C1019" s="0" t="s">
        <v>4887</v>
      </c>
      <c r="E1019" s="0" t="n">
        <f aca="false">IF(J1018=J1019,E1018+10,0)</f>
        <v>80</v>
      </c>
      <c r="F1019" s="0" t="s">
        <v>5817</v>
      </c>
      <c r="G1019" s="0" t="s">
        <v>5818</v>
      </c>
      <c r="H1019" s="0" t="s">
        <v>5819</v>
      </c>
      <c r="I1019" s="0" t="s">
        <v>1021</v>
      </c>
      <c r="J1019" s="0" t="s">
        <v>5204</v>
      </c>
      <c r="K1019" s="0" t="s">
        <v>971</v>
      </c>
      <c r="L1019" s="0" t="s">
        <v>974</v>
      </c>
      <c r="M1019" s="0" t="s">
        <v>973</v>
      </c>
      <c r="N1019" s="0" t="s">
        <v>974</v>
      </c>
      <c r="O1019" s="0" t="s">
        <v>975</v>
      </c>
      <c r="P1019" s="0" t="s">
        <v>976</v>
      </c>
      <c r="Q1019" s="0" t="s">
        <v>1059</v>
      </c>
      <c r="R1019" s="0" t="s">
        <v>1046</v>
      </c>
      <c r="S1019" s="0" t="s">
        <v>974</v>
      </c>
    </row>
    <row r="1020" customFormat="false" ht="13.8" hidden="false" customHeight="false" outlineLevel="0" collapsed="false">
      <c r="A1020" s="0" t="n">
        <v>2776</v>
      </c>
      <c r="B1020" s="0" t="s">
        <v>5820</v>
      </c>
      <c r="C1020" s="0" t="s">
        <v>5768</v>
      </c>
      <c r="E1020" s="0" t="n">
        <f aca="false">IF(J1019=J1020,E1019+10,0)</f>
        <v>90</v>
      </c>
      <c r="F1020" s="0" t="s">
        <v>5821</v>
      </c>
      <c r="G1020" s="0" t="s">
        <v>5822</v>
      </c>
      <c r="H1020" s="0" t="s">
        <v>5823</v>
      </c>
      <c r="I1020" s="0" t="s">
        <v>969</v>
      </c>
      <c r="J1020" s="0" t="s">
        <v>5204</v>
      </c>
      <c r="K1020" s="0" t="s">
        <v>971</v>
      </c>
      <c r="L1020" s="0" t="s">
        <v>1151</v>
      </c>
      <c r="M1020" s="0" t="s">
        <v>973</v>
      </c>
      <c r="N1020" s="0" t="s">
        <v>974</v>
      </c>
      <c r="O1020" s="0" t="s">
        <v>975</v>
      </c>
      <c r="P1020" s="0" t="s">
        <v>976</v>
      </c>
      <c r="Q1020" s="0" t="s">
        <v>974</v>
      </c>
      <c r="R1020" s="0" t="s">
        <v>970</v>
      </c>
      <c r="S1020" s="0" t="s">
        <v>974</v>
      </c>
    </row>
    <row r="1021" customFormat="false" ht="13.8" hidden="false" customHeight="false" outlineLevel="0" collapsed="false">
      <c r="A1021" s="0" t="n">
        <v>2777</v>
      </c>
      <c r="B1021" s="0" t="s">
        <v>5824</v>
      </c>
      <c r="C1021" s="0" t="s">
        <v>1420</v>
      </c>
      <c r="E1021" s="0" t="n">
        <f aca="false">IF(J1020=J1021,E1020+10,0)</f>
        <v>100</v>
      </c>
      <c r="F1021" s="0" t="s">
        <v>5825</v>
      </c>
      <c r="G1021" s="0" t="s">
        <v>5826</v>
      </c>
      <c r="H1021" s="0" t="s">
        <v>5827</v>
      </c>
      <c r="I1021" s="0" t="s">
        <v>1100</v>
      </c>
      <c r="J1021" s="0" t="s">
        <v>5204</v>
      </c>
      <c r="K1021" s="0" t="s">
        <v>971</v>
      </c>
      <c r="L1021" s="0" t="s">
        <v>974</v>
      </c>
      <c r="M1021" s="0" t="s">
        <v>973</v>
      </c>
      <c r="N1021" s="0" t="s">
        <v>974</v>
      </c>
      <c r="O1021" s="0" t="s">
        <v>975</v>
      </c>
      <c r="P1021" s="0" t="s">
        <v>976</v>
      </c>
      <c r="Q1021" s="0" t="s">
        <v>1214</v>
      </c>
      <c r="R1021" s="0" t="s">
        <v>1046</v>
      </c>
      <c r="S1021" s="0" t="s">
        <v>974</v>
      </c>
    </row>
    <row r="1022" customFormat="false" ht="13.8" hidden="false" customHeight="false" outlineLevel="0" collapsed="false">
      <c r="A1022" s="0" t="n">
        <v>2778</v>
      </c>
      <c r="B1022" s="0" t="s">
        <v>5828</v>
      </c>
      <c r="C1022" s="0" t="s">
        <v>4220</v>
      </c>
      <c r="E1022" s="0" t="n">
        <f aca="false">IF(J1021=J1022,E1021+10,0)</f>
        <v>110</v>
      </c>
      <c r="F1022" s="0" t="s">
        <v>5829</v>
      </c>
      <c r="G1022" s="0" t="s">
        <v>5830</v>
      </c>
      <c r="H1022" s="0" t="s">
        <v>5831</v>
      </c>
      <c r="I1022" s="0" t="s">
        <v>1014</v>
      </c>
      <c r="J1022" s="0" t="s">
        <v>5204</v>
      </c>
      <c r="K1022" s="0" t="s">
        <v>971</v>
      </c>
      <c r="L1022" s="0" t="s">
        <v>974</v>
      </c>
      <c r="M1022" s="0" t="s">
        <v>973</v>
      </c>
      <c r="N1022" s="0" t="s">
        <v>974</v>
      </c>
      <c r="O1022" s="0" t="s">
        <v>975</v>
      </c>
      <c r="P1022" s="0" t="s">
        <v>976</v>
      </c>
      <c r="Q1022" s="0" t="s">
        <v>1232</v>
      </c>
      <c r="R1022" s="0" t="s">
        <v>1046</v>
      </c>
      <c r="S1022" s="0" t="s">
        <v>974</v>
      </c>
    </row>
    <row r="1023" customFormat="false" ht="13.8" hidden="false" customHeight="false" outlineLevel="0" collapsed="false">
      <c r="A1023" s="0" t="n">
        <v>2779</v>
      </c>
      <c r="B1023" s="0" t="s">
        <v>5832</v>
      </c>
      <c r="C1023" s="0" t="s">
        <v>4920</v>
      </c>
      <c r="E1023" s="0" t="n">
        <f aca="false">IF(J1022=J1023,E1022+10,0)</f>
        <v>120</v>
      </c>
      <c r="F1023" s="0" t="s">
        <v>5833</v>
      </c>
      <c r="G1023" s="0" t="s">
        <v>5834</v>
      </c>
      <c r="H1023" s="0" t="s">
        <v>5835</v>
      </c>
      <c r="I1023" s="0" t="s">
        <v>1306</v>
      </c>
      <c r="J1023" s="0" t="s">
        <v>5204</v>
      </c>
      <c r="K1023" s="0" t="s">
        <v>971</v>
      </c>
      <c r="L1023" s="0" t="s">
        <v>974</v>
      </c>
      <c r="M1023" s="0" t="s">
        <v>973</v>
      </c>
      <c r="N1023" s="0" t="s">
        <v>974</v>
      </c>
      <c r="O1023" s="0" t="s">
        <v>975</v>
      </c>
      <c r="P1023" s="0" t="s">
        <v>976</v>
      </c>
      <c r="Q1023" s="0" t="s">
        <v>1059</v>
      </c>
      <c r="R1023" s="0" t="s">
        <v>1046</v>
      </c>
      <c r="S1023" s="0" t="s">
        <v>974</v>
      </c>
    </row>
    <row r="1024" customFormat="false" ht="13.8" hidden="false" customHeight="false" outlineLevel="0" collapsed="false">
      <c r="A1024" s="0" t="n">
        <v>2780</v>
      </c>
      <c r="B1024" s="0" t="s">
        <v>5836</v>
      </c>
      <c r="C1024" s="0" t="s">
        <v>4519</v>
      </c>
      <c r="E1024" s="0" t="n">
        <f aca="false">IF(J1023=J1024,E1023+10,0)</f>
        <v>130</v>
      </c>
      <c r="F1024" s="0" t="s">
        <v>5837</v>
      </c>
      <c r="G1024" s="0" t="s">
        <v>5838</v>
      </c>
      <c r="H1024" s="0" t="s">
        <v>5839</v>
      </c>
      <c r="I1024" s="0" t="s">
        <v>1073</v>
      </c>
      <c r="J1024" s="0" t="s">
        <v>5204</v>
      </c>
      <c r="K1024" s="0" t="s">
        <v>971</v>
      </c>
      <c r="L1024" s="0" t="s">
        <v>974</v>
      </c>
      <c r="M1024" s="0" t="s">
        <v>973</v>
      </c>
      <c r="N1024" s="0" t="s">
        <v>974</v>
      </c>
      <c r="O1024" s="0" t="s">
        <v>975</v>
      </c>
      <c r="P1024" s="0" t="s">
        <v>976</v>
      </c>
      <c r="Q1024" s="0" t="s">
        <v>1059</v>
      </c>
      <c r="R1024" s="0" t="s">
        <v>1046</v>
      </c>
      <c r="S1024" s="0" t="s">
        <v>974</v>
      </c>
    </row>
    <row r="1025" customFormat="false" ht="13.8" hidden="false" customHeight="false" outlineLevel="0" collapsed="false">
      <c r="A1025" s="0" t="n">
        <v>2781</v>
      </c>
      <c r="B1025" s="0" t="s">
        <v>5840</v>
      </c>
      <c r="C1025" s="0" t="s">
        <v>4929</v>
      </c>
      <c r="E1025" s="0" t="n">
        <f aca="false">IF(J1024=J1025,E1024+10,0)</f>
        <v>140</v>
      </c>
      <c r="F1025" s="0" t="s">
        <v>5841</v>
      </c>
      <c r="G1025" s="0" t="s">
        <v>5842</v>
      </c>
      <c r="H1025" s="0" t="s">
        <v>5843</v>
      </c>
      <c r="I1025" s="0" t="s">
        <v>1045</v>
      </c>
      <c r="J1025" s="0" t="s">
        <v>5204</v>
      </c>
      <c r="K1025" s="0" t="s">
        <v>971</v>
      </c>
      <c r="L1025" s="0" t="s">
        <v>974</v>
      </c>
      <c r="M1025" s="0" t="s">
        <v>973</v>
      </c>
      <c r="N1025" s="0" t="s">
        <v>974</v>
      </c>
      <c r="O1025" s="0" t="s">
        <v>975</v>
      </c>
      <c r="P1025" s="0" t="s">
        <v>976</v>
      </c>
      <c r="Q1025" s="0" t="s">
        <v>1232</v>
      </c>
      <c r="R1025" s="0" t="s">
        <v>1046</v>
      </c>
      <c r="S1025" s="0" t="s">
        <v>974</v>
      </c>
    </row>
    <row r="1026" customFormat="false" ht="13.8" hidden="false" customHeight="false" outlineLevel="0" collapsed="false">
      <c r="A1026" s="0" t="n">
        <v>2782</v>
      </c>
      <c r="B1026" s="0" t="s">
        <v>5844</v>
      </c>
      <c r="C1026" s="0" t="s">
        <v>4023</v>
      </c>
      <c r="E1026" s="0" t="n">
        <f aca="false">IF(J1025=J1026,E1025+10,0)</f>
        <v>150</v>
      </c>
      <c r="F1026" s="0" t="s">
        <v>5845</v>
      </c>
      <c r="G1026" s="0" t="s">
        <v>5846</v>
      </c>
      <c r="H1026" s="0" t="s">
        <v>5847</v>
      </c>
      <c r="I1026" s="0" t="s">
        <v>1027</v>
      </c>
      <c r="J1026" s="0" t="s">
        <v>5204</v>
      </c>
      <c r="K1026" s="0" t="s">
        <v>971</v>
      </c>
      <c r="L1026" s="0" t="s">
        <v>974</v>
      </c>
      <c r="M1026" s="0" t="s">
        <v>973</v>
      </c>
      <c r="N1026" s="0" t="s">
        <v>974</v>
      </c>
      <c r="O1026" s="0" t="s">
        <v>975</v>
      </c>
      <c r="P1026" s="0" t="s">
        <v>976</v>
      </c>
      <c r="Q1026" s="0" t="s">
        <v>1968</v>
      </c>
      <c r="R1026" s="0" t="s">
        <v>1046</v>
      </c>
      <c r="S1026" s="0" t="s">
        <v>974</v>
      </c>
    </row>
    <row r="1027" customFormat="false" ht="13.8" hidden="false" customHeight="false" outlineLevel="0" collapsed="false">
      <c r="A1027" s="0" t="n">
        <v>2783</v>
      </c>
      <c r="B1027" s="0" t="s">
        <v>5848</v>
      </c>
      <c r="C1027" s="0" t="s">
        <v>4938</v>
      </c>
      <c r="E1027" s="0" t="n">
        <f aca="false">IF(J1026=J1027,E1026+10,0)</f>
        <v>160</v>
      </c>
      <c r="F1027" s="0" t="s">
        <v>5849</v>
      </c>
      <c r="G1027" s="0" t="s">
        <v>5850</v>
      </c>
      <c r="H1027" s="0" t="s">
        <v>5851</v>
      </c>
      <c r="I1027" s="0" t="s">
        <v>1067</v>
      </c>
      <c r="J1027" s="0" t="s">
        <v>5204</v>
      </c>
      <c r="K1027" s="0" t="s">
        <v>971</v>
      </c>
      <c r="L1027" s="0" t="s">
        <v>974</v>
      </c>
      <c r="M1027" s="0" t="s">
        <v>973</v>
      </c>
      <c r="N1027" s="0" t="s">
        <v>974</v>
      </c>
      <c r="O1027" s="0" t="s">
        <v>975</v>
      </c>
      <c r="P1027" s="0" t="s">
        <v>976</v>
      </c>
      <c r="Q1027" s="0" t="s">
        <v>970</v>
      </c>
      <c r="R1027" s="0" t="s">
        <v>1046</v>
      </c>
      <c r="S1027" s="0" t="s">
        <v>974</v>
      </c>
    </row>
    <row r="1028" customFormat="false" ht="13.8" hidden="false" customHeight="false" outlineLevel="0" collapsed="false">
      <c r="A1028" s="0" t="n">
        <v>2784</v>
      </c>
      <c r="B1028" s="0" t="s">
        <v>5852</v>
      </c>
      <c r="C1028" s="0" t="s">
        <v>4482</v>
      </c>
      <c r="E1028" s="0" t="n">
        <f aca="false">IF(J1027=J1028,E1027+10,0)</f>
        <v>170</v>
      </c>
      <c r="F1028" s="0" t="s">
        <v>5853</v>
      </c>
      <c r="G1028" s="0" t="s">
        <v>5854</v>
      </c>
      <c r="H1028" s="0" t="s">
        <v>5855</v>
      </c>
      <c r="I1028" s="0" t="s">
        <v>1106</v>
      </c>
      <c r="J1028" s="0" t="s">
        <v>5204</v>
      </c>
      <c r="K1028" s="0" t="s">
        <v>971</v>
      </c>
      <c r="L1028" s="0" t="s">
        <v>974</v>
      </c>
      <c r="M1028" s="0" t="s">
        <v>973</v>
      </c>
      <c r="N1028" s="0" t="s">
        <v>974</v>
      </c>
      <c r="O1028" s="0" t="s">
        <v>975</v>
      </c>
      <c r="P1028" s="0" t="s">
        <v>976</v>
      </c>
      <c r="Q1028" s="0" t="s">
        <v>1458</v>
      </c>
      <c r="R1028" s="0" t="s">
        <v>1144</v>
      </c>
      <c r="S1028" s="0" t="s">
        <v>974</v>
      </c>
    </row>
    <row r="1029" customFormat="false" ht="13.8" hidden="false" customHeight="false" outlineLevel="0" collapsed="false">
      <c r="A1029" s="0" t="n">
        <v>2785</v>
      </c>
      <c r="B1029" s="0" t="s">
        <v>5856</v>
      </c>
      <c r="C1029" s="0" t="s">
        <v>1171</v>
      </c>
      <c r="E1029" s="0" t="n">
        <f aca="false">IF(J1028=J1029,E1028+10,0)</f>
        <v>180</v>
      </c>
      <c r="F1029" s="0" t="s">
        <v>5857</v>
      </c>
      <c r="G1029" s="0" t="s">
        <v>5858</v>
      </c>
      <c r="H1029" s="0" t="s">
        <v>5859</v>
      </c>
      <c r="I1029" s="0" t="s">
        <v>1175</v>
      </c>
      <c r="J1029" s="0" t="s">
        <v>5204</v>
      </c>
      <c r="K1029" s="0" t="s">
        <v>971</v>
      </c>
      <c r="L1029" s="0" t="s">
        <v>974</v>
      </c>
      <c r="M1029" s="0" t="s">
        <v>973</v>
      </c>
      <c r="N1029" s="0" t="s">
        <v>974</v>
      </c>
      <c r="O1029" s="0" t="s">
        <v>975</v>
      </c>
      <c r="P1029" s="0" t="s">
        <v>976</v>
      </c>
      <c r="Q1029" s="0" t="s">
        <v>970</v>
      </c>
      <c r="R1029" s="0" t="s">
        <v>1046</v>
      </c>
      <c r="S1029" s="0" t="s">
        <v>974</v>
      </c>
    </row>
    <row r="1030" customFormat="false" ht="13.8" hidden="false" customHeight="false" outlineLevel="0" collapsed="false">
      <c r="A1030" s="0" t="n">
        <v>2786</v>
      </c>
      <c r="B1030" s="0" t="s">
        <v>5860</v>
      </c>
      <c r="C1030" s="0" t="s">
        <v>5861</v>
      </c>
      <c r="E1030" s="0" t="n">
        <f aca="false">IF(J1029=J1030,E1029+10,0)</f>
        <v>0</v>
      </c>
      <c r="F1030" s="0" t="s">
        <v>5862</v>
      </c>
      <c r="G1030" s="0" t="s">
        <v>5863</v>
      </c>
      <c r="H1030" s="0" t="s">
        <v>5864</v>
      </c>
      <c r="I1030" s="0" t="s">
        <v>1021</v>
      </c>
      <c r="J1030" s="0" t="s">
        <v>2165</v>
      </c>
      <c r="K1030" s="0" t="s">
        <v>971</v>
      </c>
      <c r="L1030" s="0" t="s">
        <v>974</v>
      </c>
      <c r="M1030" s="0" t="s">
        <v>973</v>
      </c>
      <c r="N1030" s="0" t="s">
        <v>974</v>
      </c>
      <c r="O1030" s="0" t="s">
        <v>975</v>
      </c>
      <c r="P1030" s="0" t="s">
        <v>976</v>
      </c>
      <c r="Q1030" s="0" t="s">
        <v>970</v>
      </c>
      <c r="R1030" s="0" t="s">
        <v>970</v>
      </c>
      <c r="S1030" s="0" t="s">
        <v>974</v>
      </c>
    </row>
    <row r="1031" customFormat="false" ht="13.8" hidden="false" customHeight="false" outlineLevel="0" collapsed="false">
      <c r="A1031" s="0" t="n">
        <v>2787</v>
      </c>
      <c r="B1031" s="0" t="s">
        <v>5865</v>
      </c>
      <c r="C1031" s="0" t="s">
        <v>1130</v>
      </c>
      <c r="E1031" s="0" t="n">
        <f aca="false">IF(J1030=J1031,E1030+10,0)</f>
        <v>10</v>
      </c>
      <c r="F1031" s="0" t="s">
        <v>5866</v>
      </c>
      <c r="G1031" s="0" t="s">
        <v>5867</v>
      </c>
      <c r="H1031" s="0" t="s">
        <v>5868</v>
      </c>
      <c r="I1031" s="0" t="s">
        <v>1033</v>
      </c>
      <c r="J1031" s="0" t="s">
        <v>2165</v>
      </c>
      <c r="K1031" s="0" t="s">
        <v>971</v>
      </c>
      <c r="L1031" s="0" t="s">
        <v>974</v>
      </c>
      <c r="M1031" s="0" t="s">
        <v>973</v>
      </c>
      <c r="N1031" s="0" t="s">
        <v>974</v>
      </c>
      <c r="O1031" s="0" t="s">
        <v>975</v>
      </c>
      <c r="P1031" s="0" t="s">
        <v>976</v>
      </c>
      <c r="Q1031" s="0" t="s">
        <v>970</v>
      </c>
      <c r="R1031" s="0" t="s">
        <v>970</v>
      </c>
      <c r="S1031" s="0" t="s">
        <v>974</v>
      </c>
    </row>
    <row r="1032" customFormat="false" ht="13.8" hidden="false" customHeight="false" outlineLevel="0" collapsed="false">
      <c r="A1032" s="0" t="n">
        <v>2788</v>
      </c>
      <c r="B1032" s="0" t="s">
        <v>5869</v>
      </c>
      <c r="C1032" s="0" t="s">
        <v>5870</v>
      </c>
      <c r="E1032" s="0" t="n">
        <f aca="false">IF(J1031=J1032,E1031+10,0)</f>
        <v>20</v>
      </c>
      <c r="F1032" s="0" t="s">
        <v>5871</v>
      </c>
      <c r="G1032" s="0" t="s">
        <v>5872</v>
      </c>
      <c r="H1032" s="0" t="s">
        <v>5873</v>
      </c>
      <c r="I1032" s="0" t="s">
        <v>5057</v>
      </c>
      <c r="J1032" s="0" t="s">
        <v>2165</v>
      </c>
      <c r="K1032" s="0" t="s">
        <v>971</v>
      </c>
      <c r="L1032" s="0" t="s">
        <v>1117</v>
      </c>
      <c r="M1032" s="0" t="s">
        <v>973</v>
      </c>
      <c r="N1032" s="0" t="s">
        <v>974</v>
      </c>
      <c r="O1032" s="0" t="s">
        <v>975</v>
      </c>
      <c r="P1032" s="0" t="s">
        <v>976</v>
      </c>
      <c r="Q1032" s="0" t="s">
        <v>974</v>
      </c>
      <c r="R1032" s="0" t="s">
        <v>970</v>
      </c>
      <c r="S1032" s="0" t="s">
        <v>974</v>
      </c>
    </row>
    <row r="1033" customFormat="false" ht="13.8" hidden="false" customHeight="false" outlineLevel="0" collapsed="false">
      <c r="A1033" s="0" t="n">
        <v>2789</v>
      </c>
      <c r="B1033" s="0" t="s">
        <v>5874</v>
      </c>
      <c r="C1033" s="0" t="s">
        <v>5875</v>
      </c>
      <c r="E1033" s="0" t="n">
        <f aca="false">IF(J1032=J1033,E1032+10,0)</f>
        <v>30</v>
      </c>
      <c r="F1033" s="0" t="s">
        <v>5876</v>
      </c>
      <c r="G1033" s="0" t="s">
        <v>5877</v>
      </c>
      <c r="H1033" s="0" t="s">
        <v>5878</v>
      </c>
      <c r="I1033" s="0" t="s">
        <v>1349</v>
      </c>
      <c r="J1033" s="0" t="s">
        <v>2165</v>
      </c>
      <c r="K1033" s="0" t="s">
        <v>971</v>
      </c>
      <c r="L1033" s="0" t="s">
        <v>973</v>
      </c>
      <c r="M1033" s="0" t="s">
        <v>973</v>
      </c>
      <c r="N1033" s="0" t="s">
        <v>974</v>
      </c>
      <c r="O1033" s="0" t="s">
        <v>975</v>
      </c>
      <c r="P1033" s="0" t="s">
        <v>976</v>
      </c>
      <c r="Q1033" s="0" t="s">
        <v>974</v>
      </c>
      <c r="R1033" s="0" t="s">
        <v>970</v>
      </c>
      <c r="S1033" s="0" t="s">
        <v>974</v>
      </c>
    </row>
    <row r="1034" customFormat="false" ht="13.8" hidden="false" customHeight="false" outlineLevel="0" collapsed="false">
      <c r="A1034" s="0" t="n">
        <v>2790</v>
      </c>
      <c r="B1034" s="0" t="s">
        <v>5879</v>
      </c>
      <c r="C1034" s="0" t="s">
        <v>5880</v>
      </c>
      <c r="E1034" s="0" t="n">
        <f aca="false">IF(J1033=J1034,E1033+10,0)</f>
        <v>40</v>
      </c>
      <c r="F1034" s="0" t="s">
        <v>5881</v>
      </c>
      <c r="G1034" s="0" t="s">
        <v>5882</v>
      </c>
      <c r="H1034" s="0" t="s">
        <v>5883</v>
      </c>
      <c r="I1034" s="0" t="s">
        <v>5113</v>
      </c>
      <c r="J1034" s="0" t="s">
        <v>2165</v>
      </c>
      <c r="K1034" s="0" t="s">
        <v>971</v>
      </c>
      <c r="L1034" s="0" t="s">
        <v>1214</v>
      </c>
      <c r="M1034" s="0" t="s">
        <v>973</v>
      </c>
      <c r="N1034" s="0" t="s">
        <v>974</v>
      </c>
      <c r="O1034" s="0" t="s">
        <v>975</v>
      </c>
      <c r="P1034" s="0" t="s">
        <v>976</v>
      </c>
      <c r="Q1034" s="0" t="s">
        <v>974</v>
      </c>
      <c r="R1034" s="0" t="s">
        <v>970</v>
      </c>
      <c r="S1034" s="0" t="s">
        <v>974</v>
      </c>
    </row>
    <row r="1035" customFormat="false" ht="13.8" hidden="false" customHeight="false" outlineLevel="0" collapsed="false">
      <c r="A1035" s="0" t="n">
        <v>2791</v>
      </c>
      <c r="B1035" s="0" t="s">
        <v>5884</v>
      </c>
      <c r="C1035" s="0" t="s">
        <v>4445</v>
      </c>
      <c r="E1035" s="0" t="n">
        <f aca="false">IF(J1034=J1035,E1034+10,0)</f>
        <v>50</v>
      </c>
      <c r="F1035" s="0" t="s">
        <v>5885</v>
      </c>
      <c r="G1035" s="0" t="s">
        <v>5886</v>
      </c>
      <c r="H1035" s="0" t="s">
        <v>5887</v>
      </c>
      <c r="I1035" s="0" t="s">
        <v>1008</v>
      </c>
      <c r="J1035" s="0" t="s">
        <v>2165</v>
      </c>
      <c r="K1035" s="0" t="s">
        <v>971</v>
      </c>
      <c r="L1035" s="0" t="s">
        <v>974</v>
      </c>
      <c r="M1035" s="0" t="s">
        <v>973</v>
      </c>
      <c r="N1035" s="0" t="s">
        <v>974</v>
      </c>
      <c r="O1035" s="0" t="s">
        <v>975</v>
      </c>
      <c r="P1035" s="0" t="s">
        <v>976</v>
      </c>
      <c r="Q1035" s="0" t="s">
        <v>1059</v>
      </c>
      <c r="R1035" s="0" t="s">
        <v>970</v>
      </c>
      <c r="S1035" s="0" t="s">
        <v>974</v>
      </c>
    </row>
    <row r="1036" customFormat="false" ht="13.8" hidden="false" customHeight="false" outlineLevel="0" collapsed="false">
      <c r="A1036" s="0" t="n">
        <v>2792</v>
      </c>
      <c r="B1036" s="0" t="s">
        <v>5888</v>
      </c>
      <c r="C1036" s="0" t="s">
        <v>1420</v>
      </c>
      <c r="E1036" s="0" t="n">
        <f aca="false">IF(J1035=J1036,E1035+10,0)</f>
        <v>60</v>
      </c>
      <c r="F1036" s="0" t="s">
        <v>5889</v>
      </c>
      <c r="G1036" s="0" t="s">
        <v>5890</v>
      </c>
      <c r="H1036" s="0" t="s">
        <v>5891</v>
      </c>
      <c r="I1036" s="0" t="s">
        <v>1100</v>
      </c>
      <c r="J1036" s="0" t="s">
        <v>2165</v>
      </c>
      <c r="K1036" s="0" t="s">
        <v>971</v>
      </c>
      <c r="L1036" s="0" t="s">
        <v>974</v>
      </c>
      <c r="M1036" s="0" t="s">
        <v>973</v>
      </c>
      <c r="N1036" s="0" t="s">
        <v>974</v>
      </c>
      <c r="O1036" s="0" t="s">
        <v>975</v>
      </c>
      <c r="P1036" s="0" t="s">
        <v>976</v>
      </c>
      <c r="Q1036" s="0" t="s">
        <v>970</v>
      </c>
      <c r="R1036" s="0" t="s">
        <v>1046</v>
      </c>
      <c r="S1036" s="0" t="s">
        <v>974</v>
      </c>
    </row>
    <row r="1037" customFormat="false" ht="13.8" hidden="false" customHeight="false" outlineLevel="0" collapsed="false">
      <c r="A1037" s="0" t="n">
        <v>2793</v>
      </c>
      <c r="B1037" s="0" t="s">
        <v>5892</v>
      </c>
      <c r="C1037" s="0" t="s">
        <v>4938</v>
      </c>
      <c r="E1037" s="0" t="n">
        <f aca="false">IF(J1036=J1037,E1036+10,0)</f>
        <v>70</v>
      </c>
      <c r="F1037" s="0" t="s">
        <v>5893</v>
      </c>
      <c r="G1037" s="0" t="s">
        <v>5894</v>
      </c>
      <c r="H1037" s="0" t="s">
        <v>5895</v>
      </c>
      <c r="I1037" s="0" t="s">
        <v>1067</v>
      </c>
      <c r="J1037" s="0" t="s">
        <v>2165</v>
      </c>
      <c r="K1037" s="0" t="s">
        <v>971</v>
      </c>
      <c r="L1037" s="0" t="s">
        <v>974</v>
      </c>
      <c r="M1037" s="0" t="s">
        <v>973</v>
      </c>
      <c r="N1037" s="0" t="s">
        <v>974</v>
      </c>
      <c r="O1037" s="0" t="s">
        <v>975</v>
      </c>
      <c r="P1037" s="0" t="s">
        <v>976</v>
      </c>
      <c r="Q1037" s="0" t="s">
        <v>970</v>
      </c>
      <c r="R1037" s="0" t="s">
        <v>970</v>
      </c>
      <c r="S1037" s="0" t="s">
        <v>974</v>
      </c>
    </row>
    <row r="1038" customFormat="false" ht="13.8" hidden="false" customHeight="false" outlineLevel="0" collapsed="false">
      <c r="A1038" s="0" t="n">
        <v>2794</v>
      </c>
      <c r="B1038" s="0" t="s">
        <v>5896</v>
      </c>
      <c r="C1038" s="0" t="s">
        <v>5158</v>
      </c>
      <c r="E1038" s="0" t="n">
        <f aca="false">IF(J1037=J1038,E1037+10,0)</f>
        <v>0</v>
      </c>
      <c r="F1038" s="0" t="s">
        <v>5897</v>
      </c>
      <c r="G1038" s="0" t="s">
        <v>5898</v>
      </c>
      <c r="H1038" s="0" t="s">
        <v>5899</v>
      </c>
      <c r="I1038" s="0" t="s">
        <v>2543</v>
      </c>
      <c r="J1038" s="0" t="s">
        <v>3778</v>
      </c>
      <c r="K1038" s="0" t="s">
        <v>971</v>
      </c>
      <c r="L1038" s="0" t="s">
        <v>974</v>
      </c>
      <c r="M1038" s="0" t="s">
        <v>973</v>
      </c>
      <c r="N1038" s="0" t="s">
        <v>3268</v>
      </c>
      <c r="O1038" s="0" t="s">
        <v>975</v>
      </c>
      <c r="P1038" s="0" t="s">
        <v>976</v>
      </c>
      <c r="Q1038" s="0" t="s">
        <v>974</v>
      </c>
      <c r="R1038" s="0" t="s">
        <v>970</v>
      </c>
      <c r="S1038" s="0" t="s">
        <v>974</v>
      </c>
    </row>
    <row r="1039" customFormat="false" ht="13.8" hidden="false" customHeight="false" outlineLevel="0" collapsed="false">
      <c r="A1039" s="0" t="n">
        <v>2795</v>
      </c>
      <c r="B1039" s="0" t="s">
        <v>5900</v>
      </c>
      <c r="C1039" s="0" t="s">
        <v>5136</v>
      </c>
      <c r="E1039" s="0" t="n">
        <f aca="false">IF(J1038=J1039,E1038+10,0)</f>
        <v>10</v>
      </c>
      <c r="F1039" s="0" t="s">
        <v>5901</v>
      </c>
      <c r="G1039" s="0" t="s">
        <v>5902</v>
      </c>
      <c r="H1039" s="0" t="s">
        <v>5903</v>
      </c>
      <c r="I1039" s="0" t="s">
        <v>1094</v>
      </c>
      <c r="J1039" s="0" t="s">
        <v>3778</v>
      </c>
      <c r="K1039" s="0" t="s">
        <v>971</v>
      </c>
      <c r="L1039" s="0" t="s">
        <v>974</v>
      </c>
      <c r="M1039" s="0" t="s">
        <v>973</v>
      </c>
      <c r="N1039" s="0" t="s">
        <v>974</v>
      </c>
      <c r="O1039" s="0" t="s">
        <v>975</v>
      </c>
      <c r="P1039" s="0" t="s">
        <v>976</v>
      </c>
      <c r="Q1039" s="0" t="s">
        <v>1059</v>
      </c>
      <c r="R1039" s="0" t="s">
        <v>1046</v>
      </c>
      <c r="S1039" s="0" t="s">
        <v>974</v>
      </c>
    </row>
    <row r="1040" customFormat="false" ht="13.8" hidden="false" customHeight="false" outlineLevel="0" collapsed="false">
      <c r="A1040" s="0" t="n">
        <v>2796</v>
      </c>
      <c r="B1040" s="0" t="s">
        <v>5904</v>
      </c>
      <c r="C1040" s="0" t="s">
        <v>4577</v>
      </c>
      <c r="E1040" s="0" t="n">
        <f aca="false">IF(J1039=J1040,E1039+10,0)</f>
        <v>0</v>
      </c>
      <c r="F1040" s="0" t="s">
        <v>5905</v>
      </c>
      <c r="G1040" s="0" t="s">
        <v>5906</v>
      </c>
      <c r="H1040" s="0" t="s">
        <v>5907</v>
      </c>
      <c r="I1040" s="0" t="s">
        <v>995</v>
      </c>
      <c r="J1040" s="0" t="s">
        <v>975</v>
      </c>
      <c r="K1040" s="0" t="s">
        <v>971</v>
      </c>
      <c r="L1040" s="0" t="s">
        <v>1144</v>
      </c>
      <c r="M1040" s="0" t="s">
        <v>973</v>
      </c>
      <c r="N1040" s="0" t="s">
        <v>974</v>
      </c>
      <c r="O1040" s="0" t="s">
        <v>975</v>
      </c>
      <c r="P1040" s="0" t="s">
        <v>976</v>
      </c>
      <c r="Q1040" s="0" t="s">
        <v>974</v>
      </c>
      <c r="R1040" s="0" t="s">
        <v>970</v>
      </c>
      <c r="S1040" s="0" t="s">
        <v>974</v>
      </c>
    </row>
    <row r="1041" customFormat="false" ht="13.8" hidden="false" customHeight="false" outlineLevel="0" collapsed="false">
      <c r="A1041" s="0" t="n">
        <v>2797</v>
      </c>
      <c r="B1041" s="0" t="s">
        <v>5908</v>
      </c>
      <c r="C1041" s="0" t="s">
        <v>4643</v>
      </c>
      <c r="E1041" s="0" t="n">
        <f aca="false">IF(J1040=J1041,E1040+10,0)</f>
        <v>10</v>
      </c>
      <c r="F1041" s="0" t="s">
        <v>5909</v>
      </c>
      <c r="G1041" s="0" t="s">
        <v>5910</v>
      </c>
      <c r="H1041" s="0" t="s">
        <v>5911</v>
      </c>
      <c r="I1041" s="0" t="s">
        <v>1065</v>
      </c>
      <c r="J1041" s="0" t="s">
        <v>975</v>
      </c>
      <c r="K1041" s="0" t="s">
        <v>971</v>
      </c>
      <c r="L1041" s="0" t="s">
        <v>974</v>
      </c>
      <c r="M1041" s="0" t="s">
        <v>973</v>
      </c>
      <c r="N1041" s="0" t="s">
        <v>974</v>
      </c>
      <c r="O1041" s="0" t="s">
        <v>975</v>
      </c>
      <c r="P1041" s="0" t="s">
        <v>976</v>
      </c>
      <c r="Q1041" s="0" t="s">
        <v>1059</v>
      </c>
      <c r="R1041" s="0" t="s">
        <v>970</v>
      </c>
      <c r="S1041" s="0" t="s">
        <v>974</v>
      </c>
    </row>
    <row r="1042" customFormat="false" ht="13.8" hidden="false" customHeight="false" outlineLevel="0" collapsed="false">
      <c r="A1042" s="0" t="n">
        <v>2798</v>
      </c>
      <c r="B1042" s="0" t="s">
        <v>5912</v>
      </c>
      <c r="C1042" s="0" t="s">
        <v>4492</v>
      </c>
      <c r="E1042" s="0" t="n">
        <f aca="false">IF(J1041=J1042,E1041+10,0)</f>
        <v>20</v>
      </c>
      <c r="F1042" s="0" t="s">
        <v>5913</v>
      </c>
      <c r="G1042" s="0" t="s">
        <v>5914</v>
      </c>
      <c r="H1042" s="0" t="s">
        <v>5915</v>
      </c>
      <c r="I1042" s="0" t="s">
        <v>1666</v>
      </c>
      <c r="J1042" s="0" t="s">
        <v>975</v>
      </c>
      <c r="K1042" s="0" t="s">
        <v>971</v>
      </c>
      <c r="L1042" s="0" t="s">
        <v>974</v>
      </c>
      <c r="M1042" s="0" t="s">
        <v>973</v>
      </c>
      <c r="N1042" s="0" t="s">
        <v>974</v>
      </c>
      <c r="O1042" s="0" t="s">
        <v>975</v>
      </c>
      <c r="P1042" s="0" t="s">
        <v>976</v>
      </c>
      <c r="Q1042" s="0" t="s">
        <v>1059</v>
      </c>
      <c r="R1042" s="0" t="s">
        <v>1046</v>
      </c>
      <c r="S1042" s="0" t="s">
        <v>974</v>
      </c>
    </row>
    <row r="1043" customFormat="false" ht="13.8" hidden="false" customHeight="false" outlineLevel="0" collapsed="false">
      <c r="A1043" s="0" t="n">
        <v>2799</v>
      </c>
      <c r="B1043" s="0" t="s">
        <v>5916</v>
      </c>
      <c r="C1043" s="0" t="s">
        <v>4028</v>
      </c>
      <c r="E1043" s="0" t="n">
        <f aca="false">IF(J1042=J1043,E1042+10,0)</f>
        <v>30</v>
      </c>
      <c r="F1043" s="0" t="s">
        <v>5917</v>
      </c>
      <c r="G1043" s="0" t="s">
        <v>5918</v>
      </c>
      <c r="H1043" s="0" t="s">
        <v>5919</v>
      </c>
      <c r="I1043" s="0" t="s">
        <v>1587</v>
      </c>
      <c r="J1043" s="0" t="s">
        <v>975</v>
      </c>
      <c r="K1043" s="0" t="s">
        <v>971</v>
      </c>
      <c r="L1043" s="0" t="s">
        <v>974</v>
      </c>
      <c r="M1043" s="0" t="s">
        <v>973</v>
      </c>
      <c r="N1043" s="0" t="s">
        <v>974</v>
      </c>
      <c r="O1043" s="0" t="s">
        <v>975</v>
      </c>
      <c r="P1043" s="0" t="s">
        <v>976</v>
      </c>
      <c r="Q1043" s="0" t="s">
        <v>1812</v>
      </c>
      <c r="R1043" s="0" t="s">
        <v>1046</v>
      </c>
      <c r="S1043" s="0" t="s">
        <v>974</v>
      </c>
    </row>
    <row r="1044" customFormat="false" ht="13.8" hidden="false" customHeight="false" outlineLevel="0" collapsed="false">
      <c r="A1044" s="0" t="n">
        <v>2800</v>
      </c>
      <c r="B1044" s="0" t="s">
        <v>5920</v>
      </c>
      <c r="C1044" s="0" t="s">
        <v>4018</v>
      </c>
      <c r="E1044" s="0" t="n">
        <f aca="false">IF(J1043=J1044,E1043+10,0)</f>
        <v>40</v>
      </c>
      <c r="F1044" s="0" t="s">
        <v>5921</v>
      </c>
      <c r="G1044" s="0" t="s">
        <v>5922</v>
      </c>
      <c r="H1044" s="0" t="s">
        <v>5923</v>
      </c>
      <c r="I1044" s="0" t="s">
        <v>1180</v>
      </c>
      <c r="J1044" s="0" t="s">
        <v>975</v>
      </c>
      <c r="K1044" s="0" t="s">
        <v>971</v>
      </c>
      <c r="L1044" s="0" t="s">
        <v>974</v>
      </c>
      <c r="M1044" s="0" t="s">
        <v>973</v>
      </c>
      <c r="N1044" s="0" t="s">
        <v>974</v>
      </c>
      <c r="O1044" s="0" t="s">
        <v>975</v>
      </c>
      <c r="P1044" s="0" t="s">
        <v>976</v>
      </c>
      <c r="Q1044" s="0" t="s">
        <v>1059</v>
      </c>
      <c r="R1044" s="0" t="s">
        <v>1046</v>
      </c>
      <c r="S1044" s="0" t="s">
        <v>974</v>
      </c>
    </row>
    <row r="1045" customFormat="false" ht="13.8" hidden="false" customHeight="false" outlineLevel="0" collapsed="false">
      <c r="A1045" s="0" t="n">
        <v>2801</v>
      </c>
      <c r="B1045" s="0" t="s">
        <v>5924</v>
      </c>
      <c r="C1045" s="0" t="s">
        <v>5529</v>
      </c>
      <c r="E1045" s="0" t="n">
        <f aca="false">IF(J1044=J1045,E1044+10,0)</f>
        <v>50</v>
      </c>
      <c r="F1045" s="0" t="s">
        <v>5925</v>
      </c>
      <c r="G1045" s="0" t="s">
        <v>5926</v>
      </c>
      <c r="H1045" s="0" t="s">
        <v>5927</v>
      </c>
      <c r="I1045" s="0" t="s">
        <v>1027</v>
      </c>
      <c r="J1045" s="0" t="s">
        <v>975</v>
      </c>
      <c r="K1045" s="0" t="s">
        <v>971</v>
      </c>
      <c r="L1045" s="0" t="s">
        <v>974</v>
      </c>
      <c r="M1045" s="0" t="s">
        <v>973</v>
      </c>
      <c r="N1045" s="0" t="s">
        <v>974</v>
      </c>
      <c r="O1045" s="0" t="s">
        <v>975</v>
      </c>
      <c r="P1045" s="0" t="s">
        <v>976</v>
      </c>
      <c r="Q1045" s="0" t="s">
        <v>1059</v>
      </c>
      <c r="R1045" s="0" t="s">
        <v>1046</v>
      </c>
      <c r="S1045" s="0" t="s">
        <v>974</v>
      </c>
    </row>
    <row r="1046" customFormat="false" ht="13.8" hidden="false" customHeight="false" outlineLevel="0" collapsed="false">
      <c r="A1046" s="0" t="n">
        <v>2802</v>
      </c>
      <c r="B1046" s="0" t="s">
        <v>5928</v>
      </c>
      <c r="C1046" s="0" t="s">
        <v>5929</v>
      </c>
      <c r="E1046" s="0" t="n">
        <f aca="false">IF(J1045=J1046,E1045+10,0)</f>
        <v>60</v>
      </c>
      <c r="F1046" s="0" t="s">
        <v>5930</v>
      </c>
      <c r="G1046" s="0" t="s">
        <v>5931</v>
      </c>
      <c r="H1046" s="0" t="s">
        <v>5932</v>
      </c>
      <c r="I1046" s="0" t="s">
        <v>1045</v>
      </c>
      <c r="J1046" s="0" t="s">
        <v>975</v>
      </c>
      <c r="K1046" s="0" t="s">
        <v>971</v>
      </c>
      <c r="L1046" s="0" t="s">
        <v>974</v>
      </c>
      <c r="M1046" s="0" t="s">
        <v>973</v>
      </c>
      <c r="N1046" s="0" t="s">
        <v>974</v>
      </c>
      <c r="O1046" s="0" t="s">
        <v>975</v>
      </c>
      <c r="P1046" s="0" t="s">
        <v>976</v>
      </c>
      <c r="Q1046" s="0" t="s">
        <v>1059</v>
      </c>
      <c r="R1046" s="0" t="s">
        <v>1046</v>
      </c>
      <c r="S1046" s="0" t="s">
        <v>974</v>
      </c>
    </row>
    <row r="1047" customFormat="false" ht="13.8" hidden="false" customHeight="false" outlineLevel="0" collapsed="false">
      <c r="A1047" s="0" t="n">
        <v>2803</v>
      </c>
      <c r="B1047" s="0" t="s">
        <v>5933</v>
      </c>
      <c r="C1047" s="0" t="s">
        <v>5934</v>
      </c>
      <c r="E1047" s="0" t="n">
        <f aca="false">IF(J1046=J1047,E1046+10,0)</f>
        <v>70</v>
      </c>
      <c r="F1047" s="0" t="s">
        <v>5935</v>
      </c>
      <c r="G1047" s="0" t="s">
        <v>5936</v>
      </c>
      <c r="H1047" s="0" t="s">
        <v>5937</v>
      </c>
      <c r="I1047" s="0" t="s">
        <v>1106</v>
      </c>
      <c r="J1047" s="0" t="s">
        <v>975</v>
      </c>
      <c r="K1047" s="0" t="s">
        <v>971</v>
      </c>
      <c r="L1047" s="0" t="s">
        <v>974</v>
      </c>
      <c r="M1047" s="0" t="s">
        <v>973</v>
      </c>
      <c r="N1047" s="0" t="s">
        <v>974</v>
      </c>
      <c r="O1047" s="0" t="s">
        <v>975</v>
      </c>
      <c r="P1047" s="0" t="s">
        <v>976</v>
      </c>
      <c r="Q1047" s="0" t="s">
        <v>1214</v>
      </c>
      <c r="R1047" s="0" t="s">
        <v>970</v>
      </c>
      <c r="S1047" s="0" t="s">
        <v>974</v>
      </c>
    </row>
    <row r="1048" customFormat="false" ht="13.8" hidden="false" customHeight="false" outlineLevel="0" collapsed="false">
      <c r="A1048" s="0" t="n">
        <v>2804</v>
      </c>
      <c r="B1048" s="0" t="s">
        <v>5938</v>
      </c>
      <c r="C1048" s="0" t="s">
        <v>1420</v>
      </c>
      <c r="E1048" s="0" t="n">
        <f aca="false">IF(J1047=J1048,E1047+10,0)</f>
        <v>80</v>
      </c>
      <c r="F1048" s="0" t="s">
        <v>5939</v>
      </c>
      <c r="G1048" s="0" t="s">
        <v>5940</v>
      </c>
      <c r="H1048" s="0" t="s">
        <v>5941</v>
      </c>
      <c r="I1048" s="0" t="s">
        <v>1100</v>
      </c>
      <c r="J1048" s="0" t="s">
        <v>975</v>
      </c>
      <c r="K1048" s="0" t="s">
        <v>971</v>
      </c>
      <c r="L1048" s="0" t="s">
        <v>974</v>
      </c>
      <c r="M1048" s="0" t="s">
        <v>973</v>
      </c>
      <c r="N1048" s="0" t="s">
        <v>974</v>
      </c>
      <c r="O1048" s="0" t="s">
        <v>975</v>
      </c>
      <c r="P1048" s="0" t="s">
        <v>976</v>
      </c>
      <c r="Q1048" s="0" t="s">
        <v>2156</v>
      </c>
      <c r="R1048" s="0" t="s">
        <v>1046</v>
      </c>
      <c r="S1048" s="0" t="s">
        <v>974</v>
      </c>
    </row>
    <row r="1049" customFormat="false" ht="13.8" hidden="false" customHeight="false" outlineLevel="0" collapsed="false">
      <c r="A1049" s="0" t="n">
        <v>2805</v>
      </c>
      <c r="B1049" s="0" t="s">
        <v>5942</v>
      </c>
      <c r="C1049" s="0" t="s">
        <v>5943</v>
      </c>
      <c r="E1049" s="0" t="n">
        <f aca="false">IF(J1048=J1049,E1048+10,0)</f>
        <v>0</v>
      </c>
      <c r="F1049" s="0" t="s">
        <v>5944</v>
      </c>
      <c r="G1049" s="0" t="s">
        <v>5945</v>
      </c>
      <c r="H1049" s="0" t="s">
        <v>5946</v>
      </c>
      <c r="I1049" s="0" t="s">
        <v>5947</v>
      </c>
      <c r="J1049" s="0" t="s">
        <v>2620</v>
      </c>
      <c r="K1049" s="0" t="s">
        <v>971</v>
      </c>
      <c r="L1049" s="0" t="s">
        <v>975</v>
      </c>
      <c r="M1049" s="0" t="s">
        <v>973</v>
      </c>
      <c r="N1049" s="0" t="s">
        <v>974</v>
      </c>
      <c r="O1049" s="0" t="s">
        <v>975</v>
      </c>
      <c r="P1049" s="0" t="s">
        <v>976</v>
      </c>
      <c r="Q1049" s="0" t="s">
        <v>974</v>
      </c>
      <c r="R1049" s="0" t="s">
        <v>970</v>
      </c>
      <c r="S1049" s="0" t="s">
        <v>974</v>
      </c>
    </row>
    <row r="1050" customFormat="false" ht="13.8" hidden="false" customHeight="false" outlineLevel="0" collapsed="false">
      <c r="A1050" s="0" t="n">
        <v>2806</v>
      </c>
      <c r="B1050" s="0" t="s">
        <v>5948</v>
      </c>
      <c r="C1050" s="0" t="s">
        <v>5949</v>
      </c>
      <c r="E1050" s="0" t="n">
        <f aca="false">IF(J1049=J1050,E1049+10,0)</f>
        <v>10</v>
      </c>
      <c r="F1050" s="0" t="s">
        <v>5950</v>
      </c>
      <c r="G1050" s="0" t="s">
        <v>5951</v>
      </c>
      <c r="H1050" s="0" t="s">
        <v>5952</v>
      </c>
      <c r="I1050" s="0" t="s">
        <v>5953</v>
      </c>
      <c r="J1050" s="0" t="s">
        <v>2620</v>
      </c>
      <c r="K1050" s="0" t="s">
        <v>971</v>
      </c>
      <c r="L1050" s="0" t="s">
        <v>973</v>
      </c>
      <c r="M1050" s="0" t="s">
        <v>973</v>
      </c>
      <c r="N1050" s="0" t="s">
        <v>974</v>
      </c>
      <c r="O1050" s="0" t="s">
        <v>975</v>
      </c>
      <c r="P1050" s="0" t="s">
        <v>976</v>
      </c>
      <c r="Q1050" s="0" t="s">
        <v>974</v>
      </c>
      <c r="R1050" s="0" t="s">
        <v>970</v>
      </c>
      <c r="S1050" s="0" t="s">
        <v>974</v>
      </c>
    </row>
    <row r="1051" customFormat="false" ht="13.8" hidden="false" customHeight="false" outlineLevel="0" collapsed="false">
      <c r="A1051" s="0" t="n">
        <v>2807</v>
      </c>
      <c r="B1051" s="0" t="s">
        <v>5954</v>
      </c>
      <c r="C1051" s="0" t="s">
        <v>5955</v>
      </c>
      <c r="E1051" s="0" t="n">
        <f aca="false">IF(J1050=J1051,E1050+10,0)</f>
        <v>20</v>
      </c>
      <c r="F1051" s="0" t="s">
        <v>5956</v>
      </c>
      <c r="G1051" s="0" t="s">
        <v>5957</v>
      </c>
      <c r="H1051" s="0" t="s">
        <v>5958</v>
      </c>
      <c r="I1051" s="0" t="s">
        <v>1265</v>
      </c>
      <c r="J1051" s="0" t="s">
        <v>2620</v>
      </c>
      <c r="K1051" s="0" t="s">
        <v>971</v>
      </c>
      <c r="L1051" s="0" t="s">
        <v>1144</v>
      </c>
      <c r="M1051" s="0" t="s">
        <v>1459</v>
      </c>
      <c r="N1051" s="0" t="s">
        <v>974</v>
      </c>
      <c r="O1051" s="0" t="s">
        <v>975</v>
      </c>
      <c r="P1051" s="0" t="s">
        <v>976</v>
      </c>
      <c r="Q1051" s="0" t="s">
        <v>974</v>
      </c>
      <c r="R1051" s="0" t="s">
        <v>970</v>
      </c>
      <c r="S1051" s="0" t="s">
        <v>974</v>
      </c>
    </row>
    <row r="1052" customFormat="false" ht="13.8" hidden="false" customHeight="false" outlineLevel="0" collapsed="false">
      <c r="A1052" s="0" t="n">
        <v>2808</v>
      </c>
      <c r="B1052" s="0" t="s">
        <v>5959</v>
      </c>
      <c r="C1052" s="0" t="s">
        <v>5960</v>
      </c>
      <c r="E1052" s="0" t="n">
        <f aca="false">IF(J1051=J1052,E1051+10,0)</f>
        <v>30</v>
      </c>
      <c r="F1052" s="0" t="s">
        <v>5961</v>
      </c>
      <c r="G1052" s="0" t="s">
        <v>5962</v>
      </c>
      <c r="H1052" s="0" t="s">
        <v>5963</v>
      </c>
      <c r="I1052" s="0" t="s">
        <v>4297</v>
      </c>
      <c r="J1052" s="0" t="s">
        <v>2620</v>
      </c>
      <c r="K1052" s="0" t="s">
        <v>971</v>
      </c>
      <c r="L1052" s="0" t="s">
        <v>1144</v>
      </c>
      <c r="M1052" s="0" t="s">
        <v>1459</v>
      </c>
      <c r="N1052" s="0" t="s">
        <v>974</v>
      </c>
      <c r="O1052" s="0" t="s">
        <v>975</v>
      </c>
      <c r="P1052" s="0" t="s">
        <v>976</v>
      </c>
      <c r="Q1052" s="0" t="s">
        <v>974</v>
      </c>
      <c r="R1052" s="0" t="s">
        <v>970</v>
      </c>
      <c r="S1052" s="0" t="s">
        <v>974</v>
      </c>
    </row>
    <row r="1053" customFormat="false" ht="13.8" hidden="false" customHeight="false" outlineLevel="0" collapsed="false">
      <c r="A1053" s="0" t="n">
        <v>2809</v>
      </c>
      <c r="B1053" s="0" t="s">
        <v>5964</v>
      </c>
      <c r="C1053" s="0" t="s">
        <v>5965</v>
      </c>
      <c r="E1053" s="0" t="n">
        <f aca="false">IF(J1052=J1053,E1052+10,0)</f>
        <v>40</v>
      </c>
      <c r="F1053" s="0" t="s">
        <v>5966</v>
      </c>
      <c r="G1053" s="0" t="s">
        <v>5967</v>
      </c>
      <c r="H1053" s="0" t="s">
        <v>5968</v>
      </c>
      <c r="I1053" s="0" t="s">
        <v>5969</v>
      </c>
      <c r="J1053" s="0" t="s">
        <v>2620</v>
      </c>
      <c r="K1053" s="0" t="s">
        <v>971</v>
      </c>
      <c r="L1053" s="0" t="s">
        <v>2361</v>
      </c>
      <c r="M1053" s="0" t="s">
        <v>1459</v>
      </c>
      <c r="N1053" s="0" t="s">
        <v>974</v>
      </c>
      <c r="O1053" s="0" t="s">
        <v>975</v>
      </c>
      <c r="P1053" s="0" t="s">
        <v>976</v>
      </c>
      <c r="Q1053" s="0" t="s">
        <v>974</v>
      </c>
      <c r="R1053" s="0" t="s">
        <v>970</v>
      </c>
      <c r="S1053" s="0" t="s">
        <v>974</v>
      </c>
    </row>
    <row r="1054" customFormat="false" ht="13.8" hidden="false" customHeight="false" outlineLevel="0" collapsed="false">
      <c r="A1054" s="0" t="n">
        <v>2810</v>
      </c>
      <c r="B1054" s="0" t="s">
        <v>5970</v>
      </c>
      <c r="C1054" s="0" t="s">
        <v>1171</v>
      </c>
      <c r="E1054" s="0" t="n">
        <f aca="false">IF(J1053=J1054,E1053+10,0)</f>
        <v>50</v>
      </c>
      <c r="F1054" s="0" t="s">
        <v>5971</v>
      </c>
      <c r="G1054" s="0" t="s">
        <v>5972</v>
      </c>
      <c r="H1054" s="0" t="s">
        <v>5973</v>
      </c>
      <c r="I1054" s="0" t="s">
        <v>1175</v>
      </c>
      <c r="J1054" s="0" t="s">
        <v>2620</v>
      </c>
      <c r="K1054" s="0" t="s">
        <v>971</v>
      </c>
      <c r="L1054" s="0" t="s">
        <v>1694</v>
      </c>
      <c r="M1054" s="0" t="s">
        <v>1459</v>
      </c>
      <c r="N1054" s="0" t="s">
        <v>974</v>
      </c>
      <c r="O1054" s="0" t="s">
        <v>975</v>
      </c>
      <c r="P1054" s="0" t="s">
        <v>976</v>
      </c>
      <c r="Q1054" s="0" t="s">
        <v>974</v>
      </c>
      <c r="R1054" s="0" t="s">
        <v>970</v>
      </c>
      <c r="S1054" s="0" t="s">
        <v>974</v>
      </c>
    </row>
    <row r="1055" customFormat="false" ht="13.8" hidden="false" customHeight="false" outlineLevel="0" collapsed="false">
      <c r="A1055" s="0" t="n">
        <v>2811</v>
      </c>
      <c r="B1055" s="0" t="s">
        <v>5974</v>
      </c>
      <c r="C1055" s="0" t="s">
        <v>4445</v>
      </c>
      <c r="E1055" s="0" t="n">
        <f aca="false">IF(J1054=J1055,E1054+10,0)</f>
        <v>60</v>
      </c>
      <c r="F1055" s="0" t="s">
        <v>5975</v>
      </c>
      <c r="G1055" s="0" t="s">
        <v>5976</v>
      </c>
      <c r="H1055" s="0" t="s">
        <v>5977</v>
      </c>
      <c r="I1055" s="0" t="s">
        <v>1008</v>
      </c>
      <c r="J1055" s="0" t="s">
        <v>2620</v>
      </c>
      <c r="K1055" s="0" t="s">
        <v>971</v>
      </c>
      <c r="L1055" s="0" t="s">
        <v>974</v>
      </c>
      <c r="M1055" s="0" t="s">
        <v>973</v>
      </c>
      <c r="N1055" s="0" t="s">
        <v>974</v>
      </c>
      <c r="O1055" s="0" t="s">
        <v>975</v>
      </c>
      <c r="P1055" s="0" t="s">
        <v>976</v>
      </c>
      <c r="Q1055" s="0" t="s">
        <v>970</v>
      </c>
      <c r="R1055" s="0" t="s">
        <v>1046</v>
      </c>
      <c r="S1055" s="0" t="s">
        <v>974</v>
      </c>
    </row>
    <row r="1056" customFormat="false" ht="13.8" hidden="false" customHeight="false" outlineLevel="0" collapsed="false">
      <c r="A1056" s="0" t="n">
        <v>2812</v>
      </c>
      <c r="B1056" s="0" t="s">
        <v>5978</v>
      </c>
      <c r="C1056" s="0" t="s">
        <v>1420</v>
      </c>
      <c r="E1056" s="0" t="n">
        <f aca="false">IF(J1055=J1056,E1055+10,0)</f>
        <v>70</v>
      </c>
      <c r="F1056" s="0" t="s">
        <v>5979</v>
      </c>
      <c r="G1056" s="0" t="s">
        <v>5980</v>
      </c>
      <c r="H1056" s="0" t="s">
        <v>5981</v>
      </c>
      <c r="I1056" s="0" t="s">
        <v>1100</v>
      </c>
      <c r="J1056" s="0" t="s">
        <v>2620</v>
      </c>
      <c r="K1056" s="0" t="s">
        <v>971</v>
      </c>
      <c r="L1056" s="0" t="s">
        <v>974</v>
      </c>
      <c r="M1056" s="0" t="s">
        <v>973</v>
      </c>
      <c r="N1056" s="0" t="s">
        <v>974</v>
      </c>
      <c r="O1056" s="0" t="s">
        <v>975</v>
      </c>
      <c r="P1056" s="0" t="s">
        <v>976</v>
      </c>
      <c r="Q1056" s="0" t="s">
        <v>2146</v>
      </c>
      <c r="R1056" s="0" t="s">
        <v>1046</v>
      </c>
      <c r="S1056" s="0" t="s">
        <v>974</v>
      </c>
    </row>
    <row r="1057" customFormat="false" ht="13.8" hidden="false" customHeight="false" outlineLevel="0" collapsed="false">
      <c r="A1057" s="0" t="n">
        <v>2813</v>
      </c>
      <c r="B1057" s="0" t="s">
        <v>5982</v>
      </c>
      <c r="C1057" s="0" t="s">
        <v>5120</v>
      </c>
      <c r="E1057" s="0" t="n">
        <f aca="false">IF(J1056=J1057,E1056+10,0)</f>
        <v>80</v>
      </c>
      <c r="F1057" s="0" t="s">
        <v>5983</v>
      </c>
      <c r="G1057" s="0" t="s">
        <v>5984</v>
      </c>
      <c r="H1057" s="0" t="s">
        <v>5985</v>
      </c>
      <c r="I1057" s="0" t="s">
        <v>1201</v>
      </c>
      <c r="J1057" s="0" t="s">
        <v>2620</v>
      </c>
      <c r="K1057" s="0" t="s">
        <v>971</v>
      </c>
      <c r="L1057" s="0" t="s">
        <v>974</v>
      </c>
      <c r="M1057" s="0" t="s">
        <v>973</v>
      </c>
      <c r="N1057" s="0" t="s">
        <v>974</v>
      </c>
      <c r="O1057" s="0" t="s">
        <v>975</v>
      </c>
      <c r="P1057" s="0" t="s">
        <v>976</v>
      </c>
      <c r="Q1057" s="0" t="s">
        <v>1151</v>
      </c>
      <c r="R1057" s="0" t="s">
        <v>970</v>
      </c>
      <c r="S1057" s="0" t="s">
        <v>974</v>
      </c>
    </row>
    <row r="1058" customFormat="false" ht="13.8" hidden="false" customHeight="false" outlineLevel="0" collapsed="false">
      <c r="A1058" s="0" t="n">
        <v>2814</v>
      </c>
      <c r="B1058" s="0" t="s">
        <v>5986</v>
      </c>
      <c r="C1058" s="0" t="s">
        <v>5987</v>
      </c>
      <c r="E1058" s="0" t="n">
        <f aca="false">IF(J1057=J1058,E1057+10,0)</f>
        <v>0</v>
      </c>
      <c r="F1058" s="0" t="s">
        <v>5988</v>
      </c>
      <c r="G1058" s="0" t="s">
        <v>5989</v>
      </c>
      <c r="H1058" s="0" t="s">
        <v>5990</v>
      </c>
      <c r="I1058" s="0" t="s">
        <v>1052</v>
      </c>
      <c r="J1058" s="0" t="s">
        <v>5214</v>
      </c>
      <c r="K1058" s="0" t="s">
        <v>971</v>
      </c>
      <c r="L1058" s="0" t="s">
        <v>1151</v>
      </c>
      <c r="M1058" s="0" t="s">
        <v>973</v>
      </c>
      <c r="N1058" s="0" t="s">
        <v>974</v>
      </c>
      <c r="O1058" s="0" t="s">
        <v>975</v>
      </c>
      <c r="P1058" s="0" t="s">
        <v>976</v>
      </c>
      <c r="Q1058" s="0" t="s">
        <v>974</v>
      </c>
      <c r="R1058" s="0" t="s">
        <v>970</v>
      </c>
      <c r="S1058" s="0" t="s">
        <v>974</v>
      </c>
    </row>
    <row r="1059" customFormat="false" ht="13.8" hidden="false" customHeight="false" outlineLevel="0" collapsed="false">
      <c r="A1059" s="0" t="n">
        <v>2815</v>
      </c>
      <c r="B1059" s="0" t="s">
        <v>5991</v>
      </c>
      <c r="C1059" s="0" t="s">
        <v>5992</v>
      </c>
      <c r="E1059" s="0" t="n">
        <f aca="false">IF(J1058=J1059,E1058+10,0)</f>
        <v>10</v>
      </c>
      <c r="F1059" s="0" t="s">
        <v>5993</v>
      </c>
      <c r="G1059" s="0" t="s">
        <v>5994</v>
      </c>
      <c r="H1059" s="0" t="s">
        <v>5995</v>
      </c>
      <c r="I1059" s="0" t="s">
        <v>1065</v>
      </c>
      <c r="J1059" s="0" t="s">
        <v>5214</v>
      </c>
      <c r="K1059" s="0" t="s">
        <v>971</v>
      </c>
      <c r="L1059" s="0" t="s">
        <v>974</v>
      </c>
      <c r="M1059" s="0" t="s">
        <v>973</v>
      </c>
      <c r="N1059" s="0" t="s">
        <v>974</v>
      </c>
      <c r="O1059" s="0" t="s">
        <v>975</v>
      </c>
      <c r="P1059" s="0" t="s">
        <v>976</v>
      </c>
      <c r="Q1059" s="0" t="s">
        <v>970</v>
      </c>
      <c r="R1059" s="0" t="s">
        <v>970</v>
      </c>
      <c r="S1059" s="0" t="s">
        <v>974</v>
      </c>
    </row>
    <row r="1060" customFormat="false" ht="13.8" hidden="false" customHeight="false" outlineLevel="0" collapsed="false">
      <c r="A1060" s="0" t="n">
        <v>2816</v>
      </c>
      <c r="B1060" s="0" t="s">
        <v>5996</v>
      </c>
      <c r="C1060" s="0" t="s">
        <v>3990</v>
      </c>
      <c r="E1060" s="0" t="n">
        <f aca="false">IF(J1059=J1060,E1059+10,0)</f>
        <v>20</v>
      </c>
      <c r="F1060" s="0" t="s">
        <v>5997</v>
      </c>
      <c r="G1060" s="0" t="s">
        <v>5998</v>
      </c>
      <c r="H1060" s="0" t="s">
        <v>5999</v>
      </c>
      <c r="I1060" s="0" t="s">
        <v>1033</v>
      </c>
      <c r="J1060" s="0" t="s">
        <v>5214</v>
      </c>
      <c r="K1060" s="0" t="s">
        <v>971</v>
      </c>
      <c r="L1060" s="0" t="s">
        <v>974</v>
      </c>
      <c r="M1060" s="0" t="s">
        <v>973</v>
      </c>
      <c r="N1060" s="0" t="s">
        <v>974</v>
      </c>
      <c r="O1060" s="0" t="s">
        <v>975</v>
      </c>
      <c r="P1060" s="0" t="s">
        <v>976</v>
      </c>
      <c r="Q1060" s="0" t="s">
        <v>970</v>
      </c>
      <c r="R1060" s="0" t="s">
        <v>970</v>
      </c>
      <c r="S1060" s="0" t="s">
        <v>974</v>
      </c>
    </row>
    <row r="1061" customFormat="false" ht="13.8" hidden="false" customHeight="false" outlineLevel="0" collapsed="false">
      <c r="A1061" s="0" t="n">
        <v>2817</v>
      </c>
      <c r="B1061" s="0" t="s">
        <v>6000</v>
      </c>
      <c r="C1061" s="0" t="s">
        <v>4590</v>
      </c>
      <c r="E1061" s="0" t="n">
        <f aca="false">IF(J1060=J1061,E1060+10,0)</f>
        <v>30</v>
      </c>
      <c r="F1061" s="0" t="s">
        <v>6001</v>
      </c>
      <c r="G1061" s="0" t="s">
        <v>6002</v>
      </c>
      <c r="H1061" s="0" t="s">
        <v>6003</v>
      </c>
      <c r="I1061" s="0" t="s">
        <v>2975</v>
      </c>
      <c r="J1061" s="0" t="s">
        <v>5214</v>
      </c>
      <c r="K1061" s="0" t="s">
        <v>971</v>
      </c>
      <c r="L1061" s="0" t="s">
        <v>970</v>
      </c>
      <c r="M1061" s="0" t="s">
        <v>973</v>
      </c>
      <c r="N1061" s="0" t="s">
        <v>974</v>
      </c>
      <c r="O1061" s="0" t="s">
        <v>975</v>
      </c>
      <c r="P1061" s="0" t="s">
        <v>976</v>
      </c>
      <c r="Q1061" s="0" t="s">
        <v>974</v>
      </c>
      <c r="R1061" s="0" t="s">
        <v>970</v>
      </c>
      <c r="S1061" s="0" t="s">
        <v>974</v>
      </c>
    </row>
    <row r="1062" customFormat="false" ht="13.8" hidden="false" customHeight="false" outlineLevel="0" collapsed="false">
      <c r="A1062" s="0" t="n">
        <v>2818</v>
      </c>
      <c r="B1062" s="0" t="s">
        <v>6004</v>
      </c>
      <c r="C1062" s="0" t="s">
        <v>2979</v>
      </c>
      <c r="E1062" s="0" t="n">
        <f aca="false">IF(J1061=J1062,E1061+10,0)</f>
        <v>40</v>
      </c>
      <c r="F1062" s="0" t="s">
        <v>6005</v>
      </c>
      <c r="G1062" s="0" t="s">
        <v>6006</v>
      </c>
      <c r="H1062" s="0" t="s">
        <v>6007</v>
      </c>
      <c r="I1062" s="0" t="s">
        <v>1452</v>
      </c>
      <c r="J1062" s="0" t="s">
        <v>5214</v>
      </c>
      <c r="K1062" s="0" t="s">
        <v>971</v>
      </c>
      <c r="L1062" s="0" t="s">
        <v>2195</v>
      </c>
      <c r="M1062" s="0" t="s">
        <v>1459</v>
      </c>
      <c r="N1062" s="0" t="s">
        <v>974</v>
      </c>
      <c r="O1062" s="0" t="s">
        <v>975</v>
      </c>
      <c r="P1062" s="0" t="s">
        <v>976</v>
      </c>
      <c r="Q1062" s="0" t="s">
        <v>974</v>
      </c>
      <c r="R1062" s="0" t="s">
        <v>970</v>
      </c>
      <c r="S1062" s="0" t="s">
        <v>974</v>
      </c>
    </row>
    <row r="1063" customFormat="false" ht="13.8" hidden="false" customHeight="false" outlineLevel="0" collapsed="false">
      <c r="A1063" s="0" t="n">
        <v>2819</v>
      </c>
      <c r="B1063" s="0" t="s">
        <v>6008</v>
      </c>
      <c r="C1063" s="0" t="s">
        <v>4018</v>
      </c>
      <c r="E1063" s="0" t="n">
        <f aca="false">IF(J1062=J1063,E1062+10,0)</f>
        <v>50</v>
      </c>
      <c r="F1063" s="0" t="s">
        <v>6009</v>
      </c>
      <c r="G1063" s="0" t="s">
        <v>6010</v>
      </c>
      <c r="H1063" s="0" t="s">
        <v>6011</v>
      </c>
      <c r="I1063" s="0" t="s">
        <v>1180</v>
      </c>
      <c r="J1063" s="0" t="s">
        <v>5214</v>
      </c>
      <c r="K1063" s="0" t="s">
        <v>971</v>
      </c>
      <c r="L1063" s="0" t="s">
        <v>974</v>
      </c>
      <c r="M1063" s="0" t="s">
        <v>973</v>
      </c>
      <c r="N1063" s="0" t="s">
        <v>974</v>
      </c>
      <c r="O1063" s="0" t="s">
        <v>975</v>
      </c>
      <c r="P1063" s="0" t="s">
        <v>976</v>
      </c>
      <c r="Q1063" s="0" t="s">
        <v>1059</v>
      </c>
      <c r="R1063" s="0" t="s">
        <v>1046</v>
      </c>
      <c r="S1063" s="0" t="s">
        <v>974</v>
      </c>
    </row>
    <row r="1064" customFormat="false" ht="13.8" hidden="false" customHeight="false" outlineLevel="0" collapsed="false">
      <c r="A1064" s="0" t="n">
        <v>2820</v>
      </c>
      <c r="B1064" s="0" t="s">
        <v>6012</v>
      </c>
      <c r="C1064" s="0" t="s">
        <v>4028</v>
      </c>
      <c r="E1064" s="0" t="n">
        <f aca="false">IF(J1063=J1064,E1063+10,0)</f>
        <v>60</v>
      </c>
      <c r="F1064" s="0" t="s">
        <v>6013</v>
      </c>
      <c r="G1064" s="0" t="s">
        <v>6014</v>
      </c>
      <c r="H1064" s="0" t="s">
        <v>6015</v>
      </c>
      <c r="I1064" s="0" t="s">
        <v>1587</v>
      </c>
      <c r="J1064" s="0" t="s">
        <v>5214</v>
      </c>
      <c r="K1064" s="0" t="s">
        <v>971</v>
      </c>
      <c r="L1064" s="0" t="s">
        <v>974</v>
      </c>
      <c r="M1064" s="0" t="s">
        <v>973</v>
      </c>
      <c r="N1064" s="0" t="s">
        <v>974</v>
      </c>
      <c r="O1064" s="0" t="s">
        <v>975</v>
      </c>
      <c r="P1064" s="0" t="s">
        <v>976</v>
      </c>
      <c r="Q1064" s="0" t="s">
        <v>1812</v>
      </c>
      <c r="R1064" s="0" t="s">
        <v>1046</v>
      </c>
      <c r="S1064" s="0" t="s">
        <v>974</v>
      </c>
    </row>
    <row r="1065" customFormat="false" ht="13.8" hidden="false" customHeight="false" outlineLevel="0" collapsed="false">
      <c r="A1065" s="0" t="n">
        <v>2821</v>
      </c>
      <c r="B1065" s="0" t="s">
        <v>6016</v>
      </c>
      <c r="C1065" s="0" t="s">
        <v>6017</v>
      </c>
      <c r="E1065" s="0" t="n">
        <f aca="false">IF(J1064=J1065,E1064+10,0)</f>
        <v>70</v>
      </c>
      <c r="F1065" s="0" t="s">
        <v>6018</v>
      </c>
      <c r="G1065" s="0" t="s">
        <v>6019</v>
      </c>
      <c r="H1065" s="0" t="s">
        <v>6020</v>
      </c>
      <c r="I1065" s="0" t="s">
        <v>2222</v>
      </c>
      <c r="J1065" s="0" t="s">
        <v>5214</v>
      </c>
      <c r="K1065" s="0" t="s">
        <v>971</v>
      </c>
      <c r="L1065" s="0" t="s">
        <v>974</v>
      </c>
      <c r="M1065" s="0" t="s">
        <v>973</v>
      </c>
      <c r="N1065" s="0" t="s">
        <v>974</v>
      </c>
      <c r="O1065" s="0" t="s">
        <v>975</v>
      </c>
      <c r="P1065" s="0" t="s">
        <v>976</v>
      </c>
      <c r="Q1065" s="0" t="s">
        <v>1214</v>
      </c>
      <c r="R1065" s="0" t="s">
        <v>1046</v>
      </c>
      <c r="S1065" s="0" t="s">
        <v>974</v>
      </c>
    </row>
    <row r="1066" customFormat="false" ht="13.8" hidden="false" customHeight="false" outlineLevel="0" collapsed="false">
      <c r="A1066" s="0" t="n">
        <v>2822</v>
      </c>
      <c r="B1066" s="0" t="s">
        <v>6021</v>
      </c>
      <c r="C1066" s="0" t="s">
        <v>1420</v>
      </c>
      <c r="E1066" s="0" t="n">
        <f aca="false">IF(J1065=J1066,E1065+10,0)</f>
        <v>80</v>
      </c>
      <c r="F1066" s="0" t="s">
        <v>6022</v>
      </c>
      <c r="G1066" s="0" t="s">
        <v>6023</v>
      </c>
      <c r="H1066" s="0" t="s">
        <v>6024</v>
      </c>
      <c r="I1066" s="0" t="s">
        <v>1100</v>
      </c>
      <c r="J1066" s="0" t="s">
        <v>5214</v>
      </c>
      <c r="K1066" s="0" t="s">
        <v>971</v>
      </c>
      <c r="L1066" s="0" t="s">
        <v>974</v>
      </c>
      <c r="M1066" s="0" t="s">
        <v>973</v>
      </c>
      <c r="N1066" s="0" t="s">
        <v>974</v>
      </c>
      <c r="O1066" s="0" t="s">
        <v>975</v>
      </c>
      <c r="P1066" s="0" t="s">
        <v>976</v>
      </c>
      <c r="Q1066" s="0" t="s">
        <v>5655</v>
      </c>
      <c r="R1066" s="0" t="s">
        <v>1046</v>
      </c>
      <c r="S1066" s="0" t="s">
        <v>974</v>
      </c>
    </row>
    <row r="1067" customFormat="false" ht="13.8" hidden="false" customHeight="false" outlineLevel="0" collapsed="false">
      <c r="A1067" s="0" t="n">
        <v>2823</v>
      </c>
      <c r="B1067" s="0" t="s">
        <v>6025</v>
      </c>
      <c r="C1067" s="0" t="s">
        <v>6026</v>
      </c>
      <c r="E1067" s="0" t="n">
        <f aca="false">IF(J1066=J1067,E1066+10,0)</f>
        <v>90</v>
      </c>
      <c r="F1067" s="0" t="s">
        <v>6027</v>
      </c>
      <c r="G1067" s="0" t="s">
        <v>6028</v>
      </c>
      <c r="H1067" s="0" t="s">
        <v>6029</v>
      </c>
      <c r="I1067" s="0" t="s">
        <v>1254</v>
      </c>
      <c r="J1067" s="0" t="s">
        <v>5214</v>
      </c>
      <c r="K1067" s="0" t="s">
        <v>971</v>
      </c>
      <c r="L1067" s="0" t="s">
        <v>3261</v>
      </c>
      <c r="M1067" s="0" t="s">
        <v>1459</v>
      </c>
      <c r="N1067" s="0" t="s">
        <v>974</v>
      </c>
      <c r="O1067" s="0" t="s">
        <v>975</v>
      </c>
      <c r="P1067" s="0" t="s">
        <v>976</v>
      </c>
      <c r="Q1067" s="0" t="s">
        <v>974</v>
      </c>
      <c r="R1067" s="0" t="s">
        <v>970</v>
      </c>
      <c r="S1067" s="0" t="s">
        <v>974</v>
      </c>
    </row>
    <row r="1068" customFormat="false" ht="13.8" hidden="false" customHeight="false" outlineLevel="0" collapsed="false">
      <c r="A1068" s="0" t="n">
        <v>2824</v>
      </c>
      <c r="B1068" s="0" t="s">
        <v>6030</v>
      </c>
      <c r="C1068" s="0" t="s">
        <v>4445</v>
      </c>
      <c r="E1068" s="0" t="n">
        <f aca="false">IF(J1067=J1068,E1067+10,0)</f>
        <v>100</v>
      </c>
      <c r="F1068" s="0" t="s">
        <v>6031</v>
      </c>
      <c r="G1068" s="0" t="s">
        <v>6032</v>
      </c>
      <c r="H1068" s="0" t="s">
        <v>6033</v>
      </c>
      <c r="I1068" s="0" t="s">
        <v>1008</v>
      </c>
      <c r="J1068" s="0" t="s">
        <v>5214</v>
      </c>
      <c r="K1068" s="0" t="s">
        <v>971</v>
      </c>
      <c r="L1068" s="0" t="s">
        <v>974</v>
      </c>
      <c r="M1068" s="0" t="s">
        <v>973</v>
      </c>
      <c r="N1068" s="0" t="s">
        <v>974</v>
      </c>
      <c r="O1068" s="0" t="s">
        <v>975</v>
      </c>
      <c r="P1068" s="0" t="s">
        <v>976</v>
      </c>
      <c r="Q1068" s="0" t="s">
        <v>1059</v>
      </c>
      <c r="R1068" s="0" t="s">
        <v>970</v>
      </c>
      <c r="S1068" s="0" t="s">
        <v>974</v>
      </c>
    </row>
    <row r="1069" customFormat="false" ht="13.8" hidden="false" customHeight="false" outlineLevel="0" collapsed="false">
      <c r="A1069" s="0" t="n">
        <v>2825</v>
      </c>
      <c r="B1069" s="0" t="s">
        <v>6034</v>
      </c>
      <c r="C1069" s="0" t="s">
        <v>4492</v>
      </c>
      <c r="E1069" s="0" t="n">
        <f aca="false">IF(J1068=J1069,E1068+10,0)</f>
        <v>110</v>
      </c>
      <c r="F1069" s="0" t="s">
        <v>6035</v>
      </c>
      <c r="G1069" s="0" t="s">
        <v>6036</v>
      </c>
      <c r="H1069" s="0" t="s">
        <v>6037</v>
      </c>
      <c r="I1069" s="0" t="s">
        <v>1666</v>
      </c>
      <c r="J1069" s="0" t="s">
        <v>5214</v>
      </c>
      <c r="K1069" s="0" t="s">
        <v>971</v>
      </c>
      <c r="L1069" s="0" t="s">
        <v>974</v>
      </c>
      <c r="M1069" s="0" t="s">
        <v>973</v>
      </c>
      <c r="N1069" s="0" t="s">
        <v>974</v>
      </c>
      <c r="O1069" s="0" t="s">
        <v>975</v>
      </c>
      <c r="P1069" s="0" t="s">
        <v>976</v>
      </c>
      <c r="Q1069" s="0" t="s">
        <v>1128</v>
      </c>
      <c r="R1069" s="0" t="s">
        <v>1046</v>
      </c>
      <c r="S1069" s="0" t="s">
        <v>974</v>
      </c>
    </row>
    <row r="1070" customFormat="false" ht="13.8" hidden="false" customHeight="false" outlineLevel="0" collapsed="false">
      <c r="A1070" s="0" t="n">
        <v>2826</v>
      </c>
      <c r="B1070" s="0" t="s">
        <v>6038</v>
      </c>
      <c r="C1070" s="0" t="s">
        <v>4188</v>
      </c>
      <c r="E1070" s="0" t="n">
        <f aca="false">IF(J1069=J1070,E1069+10,0)</f>
        <v>0</v>
      </c>
      <c r="F1070" s="0" t="s">
        <v>6039</v>
      </c>
      <c r="G1070" s="0" t="s">
        <v>6040</v>
      </c>
      <c r="H1070" s="0" t="s">
        <v>6041</v>
      </c>
      <c r="I1070" s="0" t="s">
        <v>1444</v>
      </c>
      <c r="J1070" s="0" t="s">
        <v>2104</v>
      </c>
      <c r="K1070" s="0" t="s">
        <v>971</v>
      </c>
      <c r="L1070" s="0" t="s">
        <v>974</v>
      </c>
      <c r="M1070" s="0" t="s">
        <v>973</v>
      </c>
      <c r="N1070" s="0" t="s">
        <v>1459</v>
      </c>
      <c r="O1070" s="0" t="s">
        <v>975</v>
      </c>
      <c r="P1070" s="0" t="s">
        <v>976</v>
      </c>
      <c r="Q1070" s="0" t="s">
        <v>974</v>
      </c>
      <c r="R1070" s="0" t="s">
        <v>970</v>
      </c>
      <c r="S1070" s="0" t="s">
        <v>974</v>
      </c>
    </row>
    <row r="1071" customFormat="false" ht="13.8" hidden="false" customHeight="false" outlineLevel="0" collapsed="false">
      <c r="A1071" s="0" t="n">
        <v>2827</v>
      </c>
      <c r="B1071" s="0" t="s">
        <v>6042</v>
      </c>
      <c r="C1071" s="0" t="s">
        <v>6043</v>
      </c>
      <c r="E1071" s="0" t="n">
        <f aca="false">IF(J1070=J1071,E1070+10,0)</f>
        <v>10</v>
      </c>
      <c r="F1071" s="0" t="s">
        <v>6044</v>
      </c>
      <c r="G1071" s="0" t="s">
        <v>6045</v>
      </c>
      <c r="H1071" s="0" t="s">
        <v>6046</v>
      </c>
      <c r="I1071" s="0" t="s">
        <v>2899</v>
      </c>
      <c r="J1071" s="0" t="s">
        <v>2104</v>
      </c>
      <c r="K1071" s="0" t="s">
        <v>971</v>
      </c>
      <c r="L1071" s="0" t="s">
        <v>974</v>
      </c>
      <c r="M1071" s="0" t="s">
        <v>973</v>
      </c>
      <c r="N1071" s="0" t="s">
        <v>973</v>
      </c>
      <c r="O1071" s="0" t="s">
        <v>995</v>
      </c>
      <c r="P1071" s="0" t="s">
        <v>976</v>
      </c>
      <c r="Q1071" s="0" t="s">
        <v>974</v>
      </c>
      <c r="R1071" s="0" t="s">
        <v>970</v>
      </c>
      <c r="S1071" s="0" t="s">
        <v>974</v>
      </c>
    </row>
    <row r="1072" customFormat="false" ht="13.8" hidden="false" customHeight="false" outlineLevel="0" collapsed="false">
      <c r="A1072" s="0" t="n">
        <v>2828</v>
      </c>
      <c r="B1072" s="0" t="s">
        <v>6047</v>
      </c>
      <c r="C1072" s="0" t="s">
        <v>4412</v>
      </c>
      <c r="E1072" s="0" t="n">
        <f aca="false">IF(J1071=J1072,E1071+10,0)</f>
        <v>20</v>
      </c>
      <c r="F1072" s="0" t="s">
        <v>6048</v>
      </c>
      <c r="G1072" s="0" t="s">
        <v>6049</v>
      </c>
      <c r="H1072" s="0" t="s">
        <v>6050</v>
      </c>
      <c r="I1072" s="0" t="s">
        <v>1249</v>
      </c>
      <c r="J1072" s="0" t="s">
        <v>2104</v>
      </c>
      <c r="K1072" s="0" t="s">
        <v>971</v>
      </c>
      <c r="L1072" s="0" t="s">
        <v>974</v>
      </c>
      <c r="M1072" s="0" t="s">
        <v>973</v>
      </c>
      <c r="N1072" s="0" t="s">
        <v>974</v>
      </c>
      <c r="O1072" s="0" t="s">
        <v>975</v>
      </c>
      <c r="P1072" s="0" t="s">
        <v>976</v>
      </c>
      <c r="Q1072" s="0" t="s">
        <v>970</v>
      </c>
      <c r="R1072" s="0" t="s">
        <v>1046</v>
      </c>
      <c r="S1072" s="0" t="s">
        <v>974</v>
      </c>
    </row>
    <row r="1073" customFormat="false" ht="13.8" hidden="false" customHeight="false" outlineLevel="0" collapsed="false">
      <c r="A1073" s="0" t="n">
        <v>2829</v>
      </c>
      <c r="B1073" s="0" t="s">
        <v>6051</v>
      </c>
      <c r="C1073" s="0" t="s">
        <v>4643</v>
      </c>
      <c r="E1073" s="0" t="n">
        <f aca="false">IF(J1072=J1073,E1072+10,0)</f>
        <v>30</v>
      </c>
      <c r="F1073" s="0" t="s">
        <v>6052</v>
      </c>
      <c r="G1073" s="0" t="s">
        <v>6053</v>
      </c>
      <c r="H1073" s="0" t="s">
        <v>6054</v>
      </c>
      <c r="I1073" s="0" t="s">
        <v>1065</v>
      </c>
      <c r="J1073" s="0" t="s">
        <v>2104</v>
      </c>
      <c r="K1073" s="0" t="s">
        <v>971</v>
      </c>
      <c r="L1073" s="0" t="s">
        <v>974</v>
      </c>
      <c r="M1073" s="0" t="s">
        <v>973</v>
      </c>
      <c r="N1073" s="0" t="s">
        <v>970</v>
      </c>
      <c r="O1073" s="0" t="s">
        <v>995</v>
      </c>
      <c r="P1073" s="0" t="s">
        <v>976</v>
      </c>
      <c r="Q1073" s="0" t="s">
        <v>974</v>
      </c>
      <c r="R1073" s="0" t="s">
        <v>970</v>
      </c>
      <c r="S1073" s="0" t="s">
        <v>974</v>
      </c>
    </row>
    <row r="1074" customFormat="false" ht="13.8" hidden="false" customHeight="false" outlineLevel="0" collapsed="false">
      <c r="A1074" s="0" t="n">
        <v>2830</v>
      </c>
      <c r="B1074" s="0" t="s">
        <v>6055</v>
      </c>
      <c r="C1074" s="0" t="s">
        <v>4802</v>
      </c>
      <c r="E1074" s="0" t="n">
        <f aca="false">IF(J1073=J1074,E1073+10,0)</f>
        <v>40</v>
      </c>
      <c r="F1074" s="0" t="s">
        <v>6056</v>
      </c>
      <c r="G1074" s="0" t="s">
        <v>6057</v>
      </c>
      <c r="H1074" s="0" t="s">
        <v>6058</v>
      </c>
      <c r="I1074" s="0" t="s">
        <v>970</v>
      </c>
      <c r="J1074" s="0" t="s">
        <v>2104</v>
      </c>
      <c r="K1074" s="0" t="s">
        <v>971</v>
      </c>
      <c r="L1074" s="0" t="s">
        <v>974</v>
      </c>
      <c r="M1074" s="0" t="s">
        <v>973</v>
      </c>
      <c r="N1074" s="0" t="s">
        <v>974</v>
      </c>
      <c r="O1074" s="0" t="s">
        <v>975</v>
      </c>
      <c r="P1074" s="0" t="s">
        <v>976</v>
      </c>
      <c r="Q1074" s="0" t="s">
        <v>970</v>
      </c>
      <c r="R1074" s="0" t="s">
        <v>1046</v>
      </c>
      <c r="S1074" s="0" t="s">
        <v>974</v>
      </c>
    </row>
    <row r="1075" customFormat="false" ht="13.8" hidden="false" customHeight="false" outlineLevel="0" collapsed="false">
      <c r="A1075" s="0" t="n">
        <v>2831</v>
      </c>
      <c r="B1075" s="0" t="s">
        <v>6059</v>
      </c>
      <c r="C1075" s="0" t="s">
        <v>3990</v>
      </c>
      <c r="E1075" s="0" t="n">
        <f aca="false">IF(J1074=J1075,E1074+10,0)</f>
        <v>50</v>
      </c>
      <c r="F1075" s="0" t="s">
        <v>6060</v>
      </c>
      <c r="G1075" s="0" t="s">
        <v>6061</v>
      </c>
      <c r="H1075" s="0" t="s">
        <v>6062</v>
      </c>
      <c r="I1075" s="0" t="s">
        <v>1033</v>
      </c>
      <c r="J1075" s="0" t="s">
        <v>2104</v>
      </c>
      <c r="K1075" s="0" t="s">
        <v>971</v>
      </c>
      <c r="L1075" s="0" t="s">
        <v>974</v>
      </c>
      <c r="M1075" s="0" t="s">
        <v>973</v>
      </c>
      <c r="N1075" s="0" t="s">
        <v>974</v>
      </c>
      <c r="O1075" s="0" t="s">
        <v>975</v>
      </c>
      <c r="P1075" s="0" t="s">
        <v>976</v>
      </c>
      <c r="Q1075" s="0" t="s">
        <v>970</v>
      </c>
      <c r="R1075" s="0" t="s">
        <v>1046</v>
      </c>
      <c r="S1075" s="0" t="s">
        <v>974</v>
      </c>
    </row>
    <row r="1076" customFormat="false" ht="13.8" hidden="false" customHeight="false" outlineLevel="0" collapsed="false">
      <c r="A1076" s="0" t="n">
        <v>2832</v>
      </c>
      <c r="B1076" s="0" t="s">
        <v>6063</v>
      </c>
      <c r="C1076" s="0" t="s">
        <v>5265</v>
      </c>
      <c r="E1076" s="0" t="n">
        <f aca="false">IF(J1075=J1076,E1075+10,0)</f>
        <v>60</v>
      </c>
      <c r="F1076" s="0" t="s">
        <v>6064</v>
      </c>
      <c r="G1076" s="0" t="s">
        <v>6065</v>
      </c>
      <c r="H1076" s="0" t="s">
        <v>6066</v>
      </c>
      <c r="I1076" s="0" t="s">
        <v>5269</v>
      </c>
      <c r="J1076" s="0" t="s">
        <v>2104</v>
      </c>
      <c r="K1076" s="0" t="s">
        <v>971</v>
      </c>
      <c r="L1076" s="0" t="s">
        <v>974</v>
      </c>
      <c r="M1076" s="0" t="s">
        <v>973</v>
      </c>
      <c r="N1076" s="0" t="s">
        <v>974</v>
      </c>
      <c r="O1076" s="0" t="s">
        <v>975</v>
      </c>
      <c r="P1076" s="0" t="s">
        <v>976</v>
      </c>
      <c r="Q1076" s="0" t="s">
        <v>2434</v>
      </c>
      <c r="R1076" s="0" t="s">
        <v>1144</v>
      </c>
      <c r="S1076" s="0" t="s">
        <v>974</v>
      </c>
    </row>
    <row r="1077" customFormat="false" ht="13.8" hidden="false" customHeight="false" outlineLevel="0" collapsed="false">
      <c r="A1077" s="0" t="n">
        <v>2833</v>
      </c>
      <c r="B1077" s="0" t="s">
        <v>6067</v>
      </c>
      <c r="C1077" s="0" t="s">
        <v>4220</v>
      </c>
      <c r="E1077" s="0" t="n">
        <f aca="false">IF(J1076=J1077,E1076+10,0)</f>
        <v>70</v>
      </c>
      <c r="F1077" s="0" t="s">
        <v>6068</v>
      </c>
      <c r="G1077" s="0" t="s">
        <v>6069</v>
      </c>
      <c r="H1077" s="0" t="s">
        <v>6070</v>
      </c>
      <c r="I1077" s="0" t="s">
        <v>1014</v>
      </c>
      <c r="J1077" s="0" t="s">
        <v>2104</v>
      </c>
      <c r="K1077" s="0" t="s">
        <v>971</v>
      </c>
      <c r="L1077" s="0" t="s">
        <v>974</v>
      </c>
      <c r="M1077" s="0" t="s">
        <v>973</v>
      </c>
      <c r="N1077" s="0" t="s">
        <v>974</v>
      </c>
      <c r="O1077" s="0" t="s">
        <v>975</v>
      </c>
      <c r="P1077" s="0" t="s">
        <v>976</v>
      </c>
      <c r="Q1077" s="0" t="s">
        <v>1059</v>
      </c>
      <c r="R1077" s="0" t="s">
        <v>1046</v>
      </c>
      <c r="S1077" s="0" t="s">
        <v>974</v>
      </c>
    </row>
    <row r="1078" customFormat="false" ht="13.8" hidden="false" customHeight="false" outlineLevel="0" collapsed="false">
      <c r="A1078" s="0" t="n">
        <v>2834</v>
      </c>
      <c r="B1078" s="0" t="s">
        <v>6071</v>
      </c>
      <c r="C1078" s="0" t="s">
        <v>6072</v>
      </c>
      <c r="E1078" s="0" t="n">
        <f aca="false">IF(J1077=J1078,E1077+10,0)</f>
        <v>80</v>
      </c>
      <c r="F1078" s="0" t="s">
        <v>6073</v>
      </c>
      <c r="G1078" s="0" t="s">
        <v>6074</v>
      </c>
      <c r="H1078" s="0" t="s">
        <v>6075</v>
      </c>
      <c r="I1078" s="0" t="s">
        <v>1067</v>
      </c>
      <c r="J1078" s="0" t="s">
        <v>2104</v>
      </c>
      <c r="K1078" s="0" t="s">
        <v>971</v>
      </c>
      <c r="L1078" s="0" t="s">
        <v>974</v>
      </c>
      <c r="M1078" s="0" t="s">
        <v>973</v>
      </c>
      <c r="N1078" s="0" t="s">
        <v>974</v>
      </c>
      <c r="O1078" s="0" t="s">
        <v>975</v>
      </c>
      <c r="P1078" s="0" t="s">
        <v>976</v>
      </c>
      <c r="Q1078" s="0" t="s">
        <v>970</v>
      </c>
      <c r="R1078" s="0" t="s">
        <v>1046</v>
      </c>
      <c r="S1078" s="0" t="s">
        <v>974</v>
      </c>
    </row>
    <row r="1079" customFormat="false" ht="13.8" hidden="false" customHeight="false" outlineLevel="0" collapsed="false">
      <c r="A1079" s="0" t="n">
        <v>2835</v>
      </c>
      <c r="B1079" s="0" t="s">
        <v>6076</v>
      </c>
      <c r="C1079" s="0" t="s">
        <v>5120</v>
      </c>
      <c r="E1079" s="0" t="n">
        <f aca="false">IF(J1078=J1079,E1078+10,0)</f>
        <v>0</v>
      </c>
      <c r="F1079" s="0" t="s">
        <v>6077</v>
      </c>
      <c r="G1079" s="0" t="s">
        <v>6078</v>
      </c>
      <c r="H1079" s="0" t="s">
        <v>6079</v>
      </c>
      <c r="I1079" s="0" t="s">
        <v>1201</v>
      </c>
      <c r="J1079" s="0" t="s">
        <v>2141</v>
      </c>
      <c r="K1079" s="0" t="s">
        <v>971</v>
      </c>
      <c r="L1079" s="0" t="s">
        <v>974</v>
      </c>
      <c r="M1079" s="0" t="s">
        <v>973</v>
      </c>
      <c r="N1079" s="0" t="s">
        <v>974</v>
      </c>
      <c r="O1079" s="0" t="s">
        <v>975</v>
      </c>
      <c r="P1079" s="0" t="s">
        <v>976</v>
      </c>
      <c r="Q1079" s="0" t="s">
        <v>1169</v>
      </c>
      <c r="R1079" s="0" t="s">
        <v>970</v>
      </c>
      <c r="S1079" s="0" t="s">
        <v>974</v>
      </c>
    </row>
    <row r="1080" customFormat="false" ht="13.8" hidden="false" customHeight="false" outlineLevel="0" collapsed="false">
      <c r="A1080" s="0" t="n">
        <v>2836</v>
      </c>
      <c r="B1080" s="0" t="s">
        <v>6080</v>
      </c>
      <c r="C1080" s="0" t="s">
        <v>6081</v>
      </c>
      <c r="E1080" s="0" t="n">
        <f aca="false">IF(J1079=J1080,E1079+10,0)</f>
        <v>10</v>
      </c>
      <c r="F1080" s="0" t="s">
        <v>6082</v>
      </c>
      <c r="G1080" s="0" t="s">
        <v>6083</v>
      </c>
      <c r="H1080" s="0" t="s">
        <v>6084</v>
      </c>
      <c r="I1080" s="0" t="s">
        <v>6085</v>
      </c>
      <c r="J1080" s="0" t="s">
        <v>2141</v>
      </c>
      <c r="K1080" s="0" t="s">
        <v>971</v>
      </c>
      <c r="L1080" s="0" t="s">
        <v>973</v>
      </c>
      <c r="M1080" s="0" t="s">
        <v>973</v>
      </c>
      <c r="N1080" s="0" t="s">
        <v>974</v>
      </c>
      <c r="O1080" s="0" t="s">
        <v>975</v>
      </c>
      <c r="P1080" s="0" t="s">
        <v>976</v>
      </c>
      <c r="Q1080" s="0" t="s">
        <v>974</v>
      </c>
      <c r="R1080" s="0" t="s">
        <v>970</v>
      </c>
      <c r="S1080" s="0" t="s">
        <v>974</v>
      </c>
    </row>
    <row r="1081" customFormat="false" ht="13.8" hidden="false" customHeight="false" outlineLevel="0" collapsed="false">
      <c r="A1081" s="0" t="n">
        <v>2837</v>
      </c>
      <c r="B1081" s="0" t="s">
        <v>6086</v>
      </c>
      <c r="C1081" s="0" t="s">
        <v>4276</v>
      </c>
      <c r="E1081" s="0" t="n">
        <f aca="false">IF(J1080=J1081,E1080+10,0)</f>
        <v>20</v>
      </c>
      <c r="F1081" s="0" t="s">
        <v>6087</v>
      </c>
      <c r="G1081" s="0" t="s">
        <v>6088</v>
      </c>
      <c r="H1081" s="0" t="s">
        <v>6089</v>
      </c>
      <c r="I1081" s="0" t="s">
        <v>1254</v>
      </c>
      <c r="J1081" s="0" t="s">
        <v>2141</v>
      </c>
      <c r="K1081" s="0" t="s">
        <v>971</v>
      </c>
      <c r="L1081" s="0" t="s">
        <v>1459</v>
      </c>
      <c r="M1081" s="0" t="s">
        <v>973</v>
      </c>
      <c r="N1081" s="0" t="s">
        <v>974</v>
      </c>
      <c r="O1081" s="0" t="s">
        <v>975</v>
      </c>
      <c r="P1081" s="0" t="s">
        <v>976</v>
      </c>
      <c r="Q1081" s="0" t="s">
        <v>974</v>
      </c>
      <c r="R1081" s="0" t="s">
        <v>970</v>
      </c>
      <c r="S1081" s="0" t="s">
        <v>974</v>
      </c>
    </row>
    <row r="1082" customFormat="false" ht="13.8" hidden="false" customHeight="false" outlineLevel="0" collapsed="false">
      <c r="A1082" s="0" t="n">
        <v>2838</v>
      </c>
      <c r="B1082" s="0" t="s">
        <v>6090</v>
      </c>
      <c r="C1082" s="0" t="s">
        <v>4412</v>
      </c>
      <c r="E1082" s="0" t="n">
        <f aca="false">IF(J1081=J1082,E1081+10,0)</f>
        <v>0</v>
      </c>
      <c r="F1082" s="0" t="s">
        <v>6091</v>
      </c>
      <c r="G1082" s="0" t="s">
        <v>6092</v>
      </c>
      <c r="H1082" s="0" t="s">
        <v>6093</v>
      </c>
      <c r="I1082" s="0" t="s">
        <v>1249</v>
      </c>
      <c r="J1082" s="0" t="s">
        <v>2799</v>
      </c>
      <c r="K1082" s="0" t="s">
        <v>971</v>
      </c>
      <c r="L1082" s="0" t="s">
        <v>974</v>
      </c>
      <c r="M1082" s="0" t="s">
        <v>973</v>
      </c>
      <c r="N1082" s="0" t="s">
        <v>974</v>
      </c>
      <c r="O1082" s="0" t="s">
        <v>975</v>
      </c>
      <c r="P1082" s="0" t="s">
        <v>976</v>
      </c>
      <c r="Q1082" s="0" t="s">
        <v>970</v>
      </c>
      <c r="R1082" s="0" t="s">
        <v>970</v>
      </c>
      <c r="S1082" s="0" t="s">
        <v>974</v>
      </c>
    </row>
    <row r="1083" customFormat="false" ht="13.8" hidden="false" customHeight="false" outlineLevel="0" collapsed="false">
      <c r="A1083" s="0" t="n">
        <v>2839</v>
      </c>
      <c r="B1083" s="0" t="s">
        <v>6094</v>
      </c>
      <c r="C1083" s="0" t="s">
        <v>5120</v>
      </c>
      <c r="E1083" s="0" t="n">
        <f aca="false">IF(J1082=J1083,E1082+10,0)</f>
        <v>10</v>
      </c>
      <c r="F1083" s="0" t="s">
        <v>6095</v>
      </c>
      <c r="G1083" s="0" t="s">
        <v>6096</v>
      </c>
      <c r="H1083" s="0" t="s">
        <v>6097</v>
      </c>
      <c r="I1083" s="0" t="s">
        <v>1201</v>
      </c>
      <c r="J1083" s="0" t="s">
        <v>2799</v>
      </c>
      <c r="K1083" s="0" t="s">
        <v>971</v>
      </c>
      <c r="L1083" s="0" t="s">
        <v>974</v>
      </c>
      <c r="M1083" s="0" t="s">
        <v>973</v>
      </c>
      <c r="N1083" s="0" t="s">
        <v>974</v>
      </c>
      <c r="O1083" s="0" t="s">
        <v>975</v>
      </c>
      <c r="P1083" s="0" t="s">
        <v>976</v>
      </c>
      <c r="Q1083" s="0" t="s">
        <v>1265</v>
      </c>
      <c r="R1083" s="0" t="s">
        <v>970</v>
      </c>
      <c r="S1083" s="0" t="s">
        <v>974</v>
      </c>
    </row>
    <row r="1084" customFormat="false" ht="13.8" hidden="false" customHeight="false" outlineLevel="0" collapsed="false">
      <c r="A1084" s="0" t="n">
        <v>2840</v>
      </c>
      <c r="B1084" s="0" t="s">
        <v>6098</v>
      </c>
      <c r="C1084" s="0" t="s">
        <v>1171</v>
      </c>
      <c r="E1084" s="0" t="n">
        <f aca="false">IF(J1083=J1084,E1083+10,0)</f>
        <v>20</v>
      </c>
      <c r="F1084" s="0" t="s">
        <v>6099</v>
      </c>
      <c r="G1084" s="0" t="s">
        <v>6100</v>
      </c>
      <c r="H1084" s="0" t="s">
        <v>6101</v>
      </c>
      <c r="I1084" s="0" t="s">
        <v>1175</v>
      </c>
      <c r="J1084" s="0" t="s">
        <v>2799</v>
      </c>
      <c r="K1084" s="0" t="s">
        <v>971</v>
      </c>
      <c r="L1084" s="0" t="s">
        <v>975</v>
      </c>
      <c r="M1084" s="0" t="s">
        <v>973</v>
      </c>
      <c r="N1084" s="0" t="s">
        <v>974</v>
      </c>
      <c r="O1084" s="0" t="s">
        <v>975</v>
      </c>
      <c r="P1084" s="0" t="s">
        <v>976</v>
      </c>
      <c r="Q1084" s="0" t="s">
        <v>974</v>
      </c>
      <c r="R1084" s="0" t="s">
        <v>970</v>
      </c>
      <c r="S1084" s="0" t="s">
        <v>974</v>
      </c>
    </row>
    <row r="1085" customFormat="false" ht="13.8" hidden="false" customHeight="false" outlineLevel="0" collapsed="false">
      <c r="A1085" s="0" t="n">
        <v>2841</v>
      </c>
      <c r="B1085" s="0" t="s">
        <v>6102</v>
      </c>
      <c r="C1085" s="0" t="s">
        <v>5136</v>
      </c>
      <c r="E1085" s="0" t="n">
        <f aca="false">IF(J1084=J1085,E1084+10,0)</f>
        <v>30</v>
      </c>
      <c r="F1085" s="0" t="s">
        <v>6103</v>
      </c>
      <c r="G1085" s="0" t="s">
        <v>6104</v>
      </c>
      <c r="H1085" s="0" t="s">
        <v>6105</v>
      </c>
      <c r="I1085" s="0" t="s">
        <v>1094</v>
      </c>
      <c r="J1085" s="0" t="s">
        <v>2799</v>
      </c>
      <c r="K1085" s="0" t="s">
        <v>971</v>
      </c>
      <c r="L1085" s="0" t="s">
        <v>974</v>
      </c>
      <c r="M1085" s="0" t="s">
        <v>973</v>
      </c>
      <c r="N1085" s="0" t="s">
        <v>974</v>
      </c>
      <c r="O1085" s="0" t="s">
        <v>975</v>
      </c>
      <c r="P1085" s="0" t="s">
        <v>976</v>
      </c>
      <c r="Q1085" s="0" t="s">
        <v>1059</v>
      </c>
      <c r="R1085" s="0" t="s">
        <v>1046</v>
      </c>
      <c r="S1085" s="0" t="s">
        <v>974</v>
      </c>
    </row>
    <row r="1086" customFormat="false" ht="13.8" hidden="false" customHeight="false" outlineLevel="0" collapsed="false">
      <c r="A1086" s="0" t="n">
        <v>2842</v>
      </c>
      <c r="B1086" s="0" t="s">
        <v>6106</v>
      </c>
      <c r="C1086" s="0" t="s">
        <v>5131</v>
      </c>
      <c r="E1086" s="0" t="n">
        <f aca="false">IF(J1085=J1086,E1085+10,0)</f>
        <v>40</v>
      </c>
      <c r="F1086" s="0" t="s">
        <v>6107</v>
      </c>
      <c r="G1086" s="0" t="s">
        <v>6108</v>
      </c>
      <c r="H1086" s="0" t="s">
        <v>6109</v>
      </c>
      <c r="I1086" s="0" t="s">
        <v>1100</v>
      </c>
      <c r="J1086" s="0" t="s">
        <v>2799</v>
      </c>
      <c r="K1086" s="0" t="s">
        <v>971</v>
      </c>
      <c r="L1086" s="0" t="s">
        <v>974</v>
      </c>
      <c r="M1086" s="0" t="s">
        <v>973</v>
      </c>
      <c r="N1086" s="0" t="s">
        <v>974</v>
      </c>
      <c r="O1086" s="0" t="s">
        <v>975</v>
      </c>
      <c r="P1086" s="0" t="s">
        <v>976</v>
      </c>
      <c r="Q1086" s="0" t="s">
        <v>1059</v>
      </c>
      <c r="R1086" s="0" t="s">
        <v>1046</v>
      </c>
      <c r="S1086" s="0" t="s">
        <v>974</v>
      </c>
    </row>
    <row r="1087" customFormat="false" ht="13.8" hidden="false" customHeight="false" outlineLevel="0" collapsed="false">
      <c r="A1087" s="0" t="n">
        <v>2843</v>
      </c>
      <c r="B1087" s="0" t="s">
        <v>6110</v>
      </c>
      <c r="C1087" s="0" t="s">
        <v>6111</v>
      </c>
      <c r="E1087" s="0" t="n">
        <f aca="false">IF(J1086=J1087,E1086+10,0)</f>
        <v>0</v>
      </c>
      <c r="F1087" s="0" t="s">
        <v>6112</v>
      </c>
      <c r="G1087" s="0" t="s">
        <v>6113</v>
      </c>
      <c r="H1087" s="0" t="s">
        <v>6114</v>
      </c>
      <c r="I1087" s="0" t="s">
        <v>970</v>
      </c>
      <c r="J1087" s="0" t="s">
        <v>2798</v>
      </c>
      <c r="K1087" s="0" t="s">
        <v>971</v>
      </c>
      <c r="L1087" s="0" t="s">
        <v>974</v>
      </c>
      <c r="M1087" s="0" t="s">
        <v>973</v>
      </c>
      <c r="N1087" s="0" t="s">
        <v>974</v>
      </c>
      <c r="O1087" s="0" t="s">
        <v>975</v>
      </c>
      <c r="P1087" s="0" t="s">
        <v>976</v>
      </c>
      <c r="Q1087" s="0" t="s">
        <v>970</v>
      </c>
      <c r="R1087" s="0" t="s">
        <v>970</v>
      </c>
      <c r="S1087" s="0" t="s">
        <v>974</v>
      </c>
    </row>
    <row r="1088" customFormat="false" ht="13.8" hidden="false" customHeight="false" outlineLevel="0" collapsed="false">
      <c r="A1088" s="0" t="n">
        <v>2844</v>
      </c>
      <c r="B1088" s="0" t="s">
        <v>6115</v>
      </c>
      <c r="C1088" s="0" t="s">
        <v>4276</v>
      </c>
      <c r="E1088" s="0" t="n">
        <f aca="false">IF(J1087=J1088,E1087+10,0)</f>
        <v>10</v>
      </c>
      <c r="F1088" s="0" t="s">
        <v>6116</v>
      </c>
      <c r="G1088" s="0" t="s">
        <v>6117</v>
      </c>
      <c r="H1088" s="0" t="s">
        <v>6118</v>
      </c>
      <c r="I1088" s="0" t="s">
        <v>1254</v>
      </c>
      <c r="J1088" s="0" t="s">
        <v>2798</v>
      </c>
      <c r="K1088" s="0" t="s">
        <v>971</v>
      </c>
      <c r="L1088" s="0" t="s">
        <v>1082</v>
      </c>
      <c r="M1088" s="0" t="s">
        <v>973</v>
      </c>
      <c r="N1088" s="0" t="s">
        <v>974</v>
      </c>
      <c r="O1088" s="0" t="s">
        <v>975</v>
      </c>
      <c r="P1088" s="0" t="s">
        <v>976</v>
      </c>
      <c r="Q1088" s="0" t="s">
        <v>974</v>
      </c>
      <c r="R1088" s="0" t="s">
        <v>970</v>
      </c>
      <c r="S1088" s="0" t="s">
        <v>974</v>
      </c>
    </row>
    <row r="1089" customFormat="false" ht="13.8" hidden="false" customHeight="false" outlineLevel="0" collapsed="false">
      <c r="A1089" s="0" t="n">
        <v>2845</v>
      </c>
      <c r="B1089" s="0" t="s">
        <v>6119</v>
      </c>
      <c r="C1089" s="0" t="s">
        <v>4412</v>
      </c>
      <c r="E1089" s="0" t="n">
        <f aca="false">IF(J1088=J1089,E1088+10,0)</f>
        <v>20</v>
      </c>
      <c r="F1089" s="0" t="s">
        <v>6120</v>
      </c>
      <c r="G1089" s="0" t="s">
        <v>6121</v>
      </c>
      <c r="H1089" s="0" t="s">
        <v>6122</v>
      </c>
      <c r="I1089" s="0" t="s">
        <v>1249</v>
      </c>
      <c r="J1089" s="0" t="s">
        <v>2798</v>
      </c>
      <c r="K1089" s="0" t="s">
        <v>971</v>
      </c>
      <c r="L1089" s="0" t="s">
        <v>974</v>
      </c>
      <c r="M1089" s="0" t="s">
        <v>973</v>
      </c>
      <c r="N1089" s="0" t="s">
        <v>974</v>
      </c>
      <c r="O1089" s="0" t="s">
        <v>975</v>
      </c>
      <c r="P1089" s="0" t="s">
        <v>976</v>
      </c>
      <c r="Q1089" s="0" t="s">
        <v>1214</v>
      </c>
      <c r="R1089" s="0" t="s">
        <v>1046</v>
      </c>
      <c r="S1089" s="0" t="s">
        <v>974</v>
      </c>
    </row>
    <row r="1090" customFormat="false" ht="13.8" hidden="false" customHeight="false" outlineLevel="0" collapsed="false">
      <c r="A1090" s="0" t="n">
        <v>2846</v>
      </c>
      <c r="B1090" s="0" t="s">
        <v>6123</v>
      </c>
      <c r="C1090" s="0" t="s">
        <v>5120</v>
      </c>
      <c r="E1090" s="0" t="n">
        <f aca="false">IF(J1089=J1090,E1089+10,0)</f>
        <v>30</v>
      </c>
      <c r="F1090" s="0" t="s">
        <v>6124</v>
      </c>
      <c r="G1090" s="0" t="s">
        <v>6125</v>
      </c>
      <c r="H1090" s="0" t="s">
        <v>6126</v>
      </c>
      <c r="I1090" s="0" t="s">
        <v>1201</v>
      </c>
      <c r="J1090" s="0" t="s">
        <v>2798</v>
      </c>
      <c r="K1090" s="0" t="s">
        <v>971</v>
      </c>
      <c r="L1090" s="0" t="s">
        <v>974</v>
      </c>
      <c r="M1090" s="0" t="s">
        <v>973</v>
      </c>
      <c r="N1090" s="0" t="s">
        <v>974</v>
      </c>
      <c r="O1090" s="0" t="s">
        <v>975</v>
      </c>
      <c r="P1090" s="0" t="s">
        <v>976</v>
      </c>
      <c r="Q1090" s="0" t="s">
        <v>1265</v>
      </c>
      <c r="R1090" s="0" t="s">
        <v>970</v>
      </c>
      <c r="S1090" s="0" t="s">
        <v>974</v>
      </c>
    </row>
    <row r="1091" customFormat="false" ht="13.8" hidden="false" customHeight="false" outlineLevel="0" collapsed="false">
      <c r="A1091" s="0" t="n">
        <v>2847</v>
      </c>
      <c r="B1091" s="0" t="s">
        <v>6127</v>
      </c>
      <c r="C1091" s="0" t="s">
        <v>6128</v>
      </c>
      <c r="E1091" s="0" t="n">
        <f aca="false">IF(J1090=J1091,E1090+10,0)</f>
        <v>40</v>
      </c>
      <c r="F1091" s="0" t="s">
        <v>6129</v>
      </c>
      <c r="G1091" s="0" t="s">
        <v>6130</v>
      </c>
      <c r="H1091" s="0" t="s">
        <v>6131</v>
      </c>
      <c r="I1091" s="0" t="s">
        <v>1088</v>
      </c>
      <c r="J1091" s="0" t="s">
        <v>2798</v>
      </c>
      <c r="K1091" s="0" t="s">
        <v>971</v>
      </c>
      <c r="L1091" s="0" t="s">
        <v>974</v>
      </c>
      <c r="M1091" s="0" t="s">
        <v>973</v>
      </c>
      <c r="N1091" s="0" t="s">
        <v>974</v>
      </c>
      <c r="O1091" s="0" t="s">
        <v>975</v>
      </c>
      <c r="P1091" s="0" t="s">
        <v>976</v>
      </c>
      <c r="Q1091" s="0" t="s">
        <v>6132</v>
      </c>
      <c r="R1091" s="0" t="s">
        <v>1046</v>
      </c>
      <c r="S1091" s="0" t="s">
        <v>974</v>
      </c>
    </row>
    <row r="1092" customFormat="false" ht="13.8" hidden="false" customHeight="false" outlineLevel="0" collapsed="false">
      <c r="A1092" s="0" t="n">
        <v>2848</v>
      </c>
      <c r="B1092" s="0" t="s">
        <v>6133</v>
      </c>
      <c r="C1092" s="0" t="s">
        <v>6134</v>
      </c>
      <c r="E1092" s="0" t="n">
        <f aca="false">IF(J1091=J1092,E1091+10,0)</f>
        <v>50</v>
      </c>
      <c r="F1092" s="0" t="s">
        <v>6135</v>
      </c>
      <c r="G1092" s="0" t="s">
        <v>6136</v>
      </c>
      <c r="H1092" s="0" t="s">
        <v>6137</v>
      </c>
      <c r="I1092" s="0" t="s">
        <v>1123</v>
      </c>
      <c r="J1092" s="0" t="s">
        <v>2798</v>
      </c>
      <c r="K1092" s="0" t="s">
        <v>971</v>
      </c>
      <c r="L1092" s="0" t="s">
        <v>974</v>
      </c>
      <c r="M1092" s="0" t="s">
        <v>973</v>
      </c>
      <c r="N1092" s="0" t="s">
        <v>974</v>
      </c>
      <c r="O1092" s="0" t="s">
        <v>975</v>
      </c>
      <c r="P1092" s="0" t="s">
        <v>976</v>
      </c>
      <c r="Q1092" s="0" t="s">
        <v>1059</v>
      </c>
      <c r="R1092" s="0" t="s">
        <v>970</v>
      </c>
      <c r="S1092" s="0" t="s">
        <v>974</v>
      </c>
    </row>
    <row r="1093" customFormat="false" ht="13.8" hidden="false" customHeight="false" outlineLevel="0" collapsed="false">
      <c r="A1093" s="0" t="n">
        <v>2849</v>
      </c>
      <c r="B1093" s="0" t="s">
        <v>6138</v>
      </c>
      <c r="C1093" s="0" t="s">
        <v>6139</v>
      </c>
      <c r="E1093" s="0" t="n">
        <f aca="false">IF(J1092=J1093,E1092+10,0)</f>
        <v>60</v>
      </c>
      <c r="F1093" s="0" t="s">
        <v>6140</v>
      </c>
      <c r="G1093" s="0" t="s">
        <v>6141</v>
      </c>
      <c r="H1093" s="0" t="s">
        <v>6142</v>
      </c>
      <c r="I1093" s="0" t="s">
        <v>3695</v>
      </c>
      <c r="J1093" s="0" t="s">
        <v>2798</v>
      </c>
      <c r="K1093" s="0" t="s">
        <v>971</v>
      </c>
      <c r="L1093" s="0" t="s">
        <v>974</v>
      </c>
      <c r="M1093" s="0" t="s">
        <v>973</v>
      </c>
      <c r="N1093" s="0" t="s">
        <v>974</v>
      </c>
      <c r="O1093" s="0" t="s">
        <v>975</v>
      </c>
      <c r="P1093" s="0" t="s">
        <v>976</v>
      </c>
      <c r="Q1093" s="0" t="s">
        <v>6132</v>
      </c>
      <c r="R1093" s="0" t="s">
        <v>1046</v>
      </c>
      <c r="S1093" s="0" t="s">
        <v>974</v>
      </c>
    </row>
    <row r="1094" customFormat="false" ht="13.8" hidden="false" customHeight="false" outlineLevel="0" collapsed="false">
      <c r="A1094" s="0" t="n">
        <v>2850</v>
      </c>
      <c r="B1094" s="0" t="s">
        <v>6143</v>
      </c>
      <c r="C1094" s="0" t="s">
        <v>6144</v>
      </c>
      <c r="E1094" s="0" t="n">
        <f aca="false">IF(J1093=J1094,E1093+10,0)</f>
        <v>0</v>
      </c>
      <c r="F1094" s="0" t="s">
        <v>6145</v>
      </c>
      <c r="G1094" s="0" t="s">
        <v>6146</v>
      </c>
      <c r="H1094" s="0" t="s">
        <v>6147</v>
      </c>
      <c r="I1094" s="0" t="s">
        <v>6148</v>
      </c>
      <c r="J1094" s="0" t="s">
        <v>1444</v>
      </c>
      <c r="K1094" s="0" t="s">
        <v>971</v>
      </c>
      <c r="L1094" s="0" t="s">
        <v>1082</v>
      </c>
      <c r="M1094" s="0" t="s">
        <v>973</v>
      </c>
      <c r="N1094" s="0" t="s">
        <v>974</v>
      </c>
      <c r="O1094" s="0" t="s">
        <v>975</v>
      </c>
      <c r="P1094" s="0" t="s">
        <v>976</v>
      </c>
      <c r="Q1094" s="0" t="s">
        <v>974</v>
      </c>
      <c r="R1094" s="0" t="s">
        <v>970</v>
      </c>
      <c r="S1094" s="0" t="s">
        <v>974</v>
      </c>
    </row>
    <row r="1095" customFormat="false" ht="13.8" hidden="false" customHeight="false" outlineLevel="0" collapsed="false">
      <c r="A1095" s="0" t="n">
        <v>2851</v>
      </c>
      <c r="B1095" s="0" t="s">
        <v>6149</v>
      </c>
      <c r="C1095" s="0" t="s">
        <v>6043</v>
      </c>
      <c r="E1095" s="0" t="n">
        <f aca="false">IF(J1094=J1095,E1094+10,0)</f>
        <v>10</v>
      </c>
      <c r="F1095" s="0" t="s">
        <v>6150</v>
      </c>
      <c r="G1095" s="0" t="s">
        <v>6151</v>
      </c>
      <c r="H1095" s="0" t="s">
        <v>6152</v>
      </c>
      <c r="I1095" s="0" t="s">
        <v>2899</v>
      </c>
      <c r="J1095" s="0" t="s">
        <v>1444</v>
      </c>
      <c r="K1095" s="0" t="s">
        <v>971</v>
      </c>
      <c r="L1095" s="0" t="s">
        <v>974</v>
      </c>
      <c r="M1095" s="0" t="s">
        <v>973</v>
      </c>
      <c r="N1095" s="0" t="s">
        <v>974</v>
      </c>
      <c r="O1095" s="0" t="s">
        <v>975</v>
      </c>
      <c r="P1095" s="0" t="s">
        <v>976</v>
      </c>
      <c r="Q1095" s="0" t="s">
        <v>973</v>
      </c>
      <c r="R1095" s="0" t="s">
        <v>1046</v>
      </c>
      <c r="S1095" s="0" t="s">
        <v>974</v>
      </c>
    </row>
    <row r="1096" customFormat="false" ht="13.8" hidden="false" customHeight="false" outlineLevel="0" collapsed="false">
      <c r="A1096" s="0" t="n">
        <v>2852</v>
      </c>
      <c r="B1096" s="0" t="s">
        <v>6153</v>
      </c>
      <c r="C1096" s="0" t="s">
        <v>5120</v>
      </c>
      <c r="E1096" s="0" t="n">
        <f aca="false">IF(J1095=J1096,E1095+10,0)</f>
        <v>20</v>
      </c>
      <c r="F1096" s="0" t="s">
        <v>6154</v>
      </c>
      <c r="G1096" s="0" t="s">
        <v>6155</v>
      </c>
      <c r="H1096" s="0" t="s">
        <v>6156</v>
      </c>
      <c r="I1096" s="0" t="s">
        <v>1201</v>
      </c>
      <c r="J1096" s="0" t="s">
        <v>1444</v>
      </c>
      <c r="K1096" s="0" t="s">
        <v>971</v>
      </c>
      <c r="L1096" s="0" t="s">
        <v>974</v>
      </c>
      <c r="M1096" s="0" t="s">
        <v>973</v>
      </c>
      <c r="N1096" s="0" t="s">
        <v>974</v>
      </c>
      <c r="O1096" s="0" t="s">
        <v>975</v>
      </c>
      <c r="P1096" s="0" t="s">
        <v>976</v>
      </c>
      <c r="Q1096" s="0" t="s">
        <v>1265</v>
      </c>
      <c r="R1096" s="0" t="s">
        <v>970</v>
      </c>
      <c r="S1096" s="0" t="s">
        <v>974</v>
      </c>
    </row>
    <row r="1097" customFormat="false" ht="13.8" hidden="false" customHeight="false" outlineLevel="0" collapsed="false">
      <c r="A1097" s="0" t="n">
        <v>2853</v>
      </c>
      <c r="B1097" s="0" t="s">
        <v>6157</v>
      </c>
      <c r="C1097" s="0" t="s">
        <v>1171</v>
      </c>
      <c r="E1097" s="0" t="n">
        <f aca="false">IF(J1096=J1097,E1096+10,0)</f>
        <v>30</v>
      </c>
      <c r="F1097" s="0" t="s">
        <v>6158</v>
      </c>
      <c r="G1097" s="0" t="s">
        <v>6159</v>
      </c>
      <c r="H1097" s="0" t="s">
        <v>6160</v>
      </c>
      <c r="I1097" s="0" t="s">
        <v>1175</v>
      </c>
      <c r="J1097" s="0" t="s">
        <v>1444</v>
      </c>
      <c r="K1097" s="0" t="s">
        <v>971</v>
      </c>
      <c r="L1097" s="0" t="s">
        <v>1082</v>
      </c>
      <c r="M1097" s="0" t="s">
        <v>973</v>
      </c>
      <c r="N1097" s="0" t="s">
        <v>974</v>
      </c>
      <c r="O1097" s="0" t="s">
        <v>975</v>
      </c>
      <c r="P1097" s="0" t="s">
        <v>976</v>
      </c>
      <c r="Q1097" s="0" t="s">
        <v>974</v>
      </c>
      <c r="R1097" s="0" t="s">
        <v>970</v>
      </c>
      <c r="S1097" s="0" t="s">
        <v>974</v>
      </c>
    </row>
    <row r="1098" customFormat="false" ht="13.8" hidden="false" customHeight="false" outlineLevel="0" collapsed="false">
      <c r="A1098" s="0" t="n">
        <v>2854</v>
      </c>
      <c r="B1098" s="0" t="s">
        <v>6161</v>
      </c>
      <c r="C1098" s="0" t="s">
        <v>5136</v>
      </c>
      <c r="E1098" s="0" t="n">
        <f aca="false">IF(J1097=J1098,E1097+10,0)</f>
        <v>40</v>
      </c>
      <c r="F1098" s="0" t="s">
        <v>6162</v>
      </c>
      <c r="G1098" s="0" t="s">
        <v>6163</v>
      </c>
      <c r="H1098" s="0" t="s">
        <v>6164</v>
      </c>
      <c r="I1098" s="0" t="s">
        <v>1094</v>
      </c>
      <c r="J1098" s="0" t="s">
        <v>1444</v>
      </c>
      <c r="K1098" s="0" t="s">
        <v>971</v>
      </c>
      <c r="L1098" s="0" t="s">
        <v>974</v>
      </c>
      <c r="M1098" s="0" t="s">
        <v>973</v>
      </c>
      <c r="N1098" s="0" t="s">
        <v>974</v>
      </c>
      <c r="O1098" s="0" t="s">
        <v>975</v>
      </c>
      <c r="P1098" s="0" t="s">
        <v>976</v>
      </c>
      <c r="Q1098" s="0" t="s">
        <v>1059</v>
      </c>
      <c r="R1098" s="0" t="s">
        <v>1046</v>
      </c>
      <c r="S1098" s="0" t="s">
        <v>974</v>
      </c>
    </row>
    <row r="1099" customFormat="false" ht="13.8" hidden="false" customHeight="false" outlineLevel="0" collapsed="false">
      <c r="A1099" s="0" t="n">
        <v>2855</v>
      </c>
      <c r="B1099" s="0" t="s">
        <v>6165</v>
      </c>
      <c r="C1099" s="0" t="s">
        <v>6166</v>
      </c>
      <c r="E1099" s="0" t="n">
        <f aca="false">IF(J1098=J1099,E1098+10,0)</f>
        <v>0</v>
      </c>
      <c r="F1099" s="0" t="s">
        <v>6167</v>
      </c>
      <c r="G1099" s="0" t="s">
        <v>6168</v>
      </c>
      <c r="H1099" s="0" t="s">
        <v>6169</v>
      </c>
      <c r="I1099" s="0" t="s">
        <v>6170</v>
      </c>
      <c r="J1099" s="0" t="s">
        <v>1551</v>
      </c>
      <c r="K1099" s="0" t="s">
        <v>971</v>
      </c>
      <c r="L1099" s="0" t="s">
        <v>974</v>
      </c>
      <c r="M1099" s="0" t="s">
        <v>973</v>
      </c>
      <c r="N1099" s="0" t="s">
        <v>974</v>
      </c>
      <c r="O1099" s="0" t="s">
        <v>975</v>
      </c>
      <c r="P1099" s="0" t="s">
        <v>976</v>
      </c>
      <c r="Q1099" s="0" t="s">
        <v>1059</v>
      </c>
      <c r="R1099" s="0" t="s">
        <v>970</v>
      </c>
      <c r="S1099" s="0" t="s">
        <v>974</v>
      </c>
    </row>
    <row r="1100" customFormat="false" ht="13.8" hidden="false" customHeight="false" outlineLevel="0" collapsed="false">
      <c r="A1100" s="0" t="n">
        <v>2856</v>
      </c>
      <c r="B1100" s="0" t="s">
        <v>6171</v>
      </c>
      <c r="C1100" s="0" t="s">
        <v>5120</v>
      </c>
      <c r="E1100" s="0" t="n">
        <f aca="false">IF(J1099=J1100,E1099+10,0)</f>
        <v>10</v>
      </c>
      <c r="F1100" s="0" t="s">
        <v>6172</v>
      </c>
      <c r="G1100" s="0" t="s">
        <v>6173</v>
      </c>
      <c r="H1100" s="0" t="s">
        <v>6174</v>
      </c>
      <c r="I1100" s="0" t="s">
        <v>1201</v>
      </c>
      <c r="J1100" s="0" t="s">
        <v>1551</v>
      </c>
      <c r="K1100" s="0" t="s">
        <v>971</v>
      </c>
      <c r="L1100" s="0" t="s">
        <v>974</v>
      </c>
      <c r="M1100" s="0" t="s">
        <v>973</v>
      </c>
      <c r="N1100" s="0" t="s">
        <v>974</v>
      </c>
      <c r="O1100" s="0" t="s">
        <v>975</v>
      </c>
      <c r="P1100" s="0" t="s">
        <v>976</v>
      </c>
      <c r="Q1100" s="0" t="s">
        <v>1265</v>
      </c>
      <c r="R1100" s="0" t="s">
        <v>970</v>
      </c>
      <c r="S1100" s="0" t="s">
        <v>974</v>
      </c>
    </row>
    <row r="1101" customFormat="false" ht="13.8" hidden="false" customHeight="false" outlineLevel="0" collapsed="false">
      <c r="A1101" s="0" t="n">
        <v>2857</v>
      </c>
      <c r="B1101" s="0" t="s">
        <v>6175</v>
      </c>
      <c r="C1101" s="0" t="s">
        <v>1171</v>
      </c>
      <c r="E1101" s="0" t="n">
        <f aca="false">IF(J1100=J1101,E1100+10,0)</f>
        <v>20</v>
      </c>
      <c r="F1101" s="0" t="s">
        <v>6176</v>
      </c>
      <c r="G1101" s="0" t="s">
        <v>6177</v>
      </c>
      <c r="H1101" s="0" t="s">
        <v>6178</v>
      </c>
      <c r="I1101" s="0" t="s">
        <v>1175</v>
      </c>
      <c r="J1101" s="0" t="s">
        <v>1551</v>
      </c>
      <c r="K1101" s="0" t="s">
        <v>971</v>
      </c>
      <c r="L1101" s="0" t="s">
        <v>975</v>
      </c>
      <c r="M1101" s="0" t="s">
        <v>973</v>
      </c>
      <c r="N1101" s="0" t="s">
        <v>974</v>
      </c>
      <c r="O1101" s="0" t="s">
        <v>975</v>
      </c>
      <c r="P1101" s="0" t="s">
        <v>976</v>
      </c>
      <c r="Q1101" s="0" t="s">
        <v>974</v>
      </c>
      <c r="R1101" s="0" t="s">
        <v>970</v>
      </c>
      <c r="S1101" s="0" t="s">
        <v>974</v>
      </c>
    </row>
    <row r="1102" customFormat="false" ht="13.8" hidden="false" customHeight="false" outlineLevel="0" collapsed="false">
      <c r="A1102" s="0" t="n">
        <v>2858</v>
      </c>
      <c r="B1102" s="0" t="s">
        <v>6179</v>
      </c>
      <c r="C1102" s="0" t="s">
        <v>5136</v>
      </c>
      <c r="E1102" s="0" t="n">
        <f aca="false">IF(J1101=J1102,E1101+10,0)</f>
        <v>30</v>
      </c>
      <c r="F1102" s="0" t="s">
        <v>6180</v>
      </c>
      <c r="G1102" s="0" t="s">
        <v>6181</v>
      </c>
      <c r="H1102" s="0" t="s">
        <v>6182</v>
      </c>
      <c r="I1102" s="0" t="s">
        <v>1094</v>
      </c>
      <c r="J1102" s="0" t="s">
        <v>1551</v>
      </c>
      <c r="K1102" s="0" t="s">
        <v>971</v>
      </c>
      <c r="L1102" s="0" t="s">
        <v>974</v>
      </c>
      <c r="M1102" s="0" t="s">
        <v>973</v>
      </c>
      <c r="N1102" s="0" t="s">
        <v>974</v>
      </c>
      <c r="O1102" s="0" t="s">
        <v>975</v>
      </c>
      <c r="P1102" s="0" t="s">
        <v>976</v>
      </c>
      <c r="Q1102" s="0" t="s">
        <v>1128</v>
      </c>
      <c r="R1102" s="0" t="s">
        <v>1046</v>
      </c>
      <c r="S1102" s="0" t="s">
        <v>974</v>
      </c>
    </row>
    <row r="1103" customFormat="false" ht="13.8" hidden="false" customHeight="false" outlineLevel="0" collapsed="false">
      <c r="A1103" s="0" t="n">
        <v>2859</v>
      </c>
      <c r="B1103" s="0" t="s">
        <v>6183</v>
      </c>
      <c r="C1103" s="0" t="s">
        <v>4519</v>
      </c>
      <c r="E1103" s="0" t="n">
        <f aca="false">IF(J1102=J1103,E1102+10,0)</f>
        <v>40</v>
      </c>
      <c r="F1103" s="0" t="s">
        <v>6184</v>
      </c>
      <c r="G1103" s="0" t="s">
        <v>6185</v>
      </c>
      <c r="H1103" s="0" t="s">
        <v>6186</v>
      </c>
      <c r="I1103" s="0" t="s">
        <v>1073</v>
      </c>
      <c r="J1103" s="0" t="s">
        <v>1551</v>
      </c>
      <c r="K1103" s="0" t="s">
        <v>971</v>
      </c>
      <c r="L1103" s="0" t="s">
        <v>974</v>
      </c>
      <c r="M1103" s="0" t="s">
        <v>973</v>
      </c>
      <c r="N1103" s="0" t="s">
        <v>974</v>
      </c>
      <c r="O1103" s="0" t="s">
        <v>975</v>
      </c>
      <c r="P1103" s="0" t="s">
        <v>976</v>
      </c>
      <c r="Q1103" s="0" t="s">
        <v>1059</v>
      </c>
      <c r="R1103" s="0" t="s">
        <v>1046</v>
      </c>
      <c r="S1103" s="0" t="s">
        <v>974</v>
      </c>
    </row>
    <row r="1104" customFormat="false" ht="13.8" hidden="false" customHeight="false" outlineLevel="0" collapsed="false">
      <c r="A1104" s="0" t="n">
        <v>2860</v>
      </c>
      <c r="B1104" s="0" t="s">
        <v>6187</v>
      </c>
      <c r="C1104" s="0" t="s">
        <v>6188</v>
      </c>
      <c r="E1104" s="0" t="n">
        <f aca="false">IF(J1103=J1104,E1103+10,0)</f>
        <v>0</v>
      </c>
      <c r="F1104" s="0" t="s">
        <v>6189</v>
      </c>
      <c r="G1104" s="0" t="s">
        <v>6190</v>
      </c>
      <c r="H1104" s="0" t="s">
        <v>6191</v>
      </c>
      <c r="I1104" s="0" t="s">
        <v>6192</v>
      </c>
      <c r="J1104" s="0" t="s">
        <v>3689</v>
      </c>
      <c r="K1104" s="0" t="s">
        <v>971</v>
      </c>
      <c r="L1104" s="0" t="s">
        <v>974</v>
      </c>
      <c r="M1104" s="0" t="s">
        <v>973</v>
      </c>
      <c r="N1104" s="0" t="s">
        <v>3091</v>
      </c>
      <c r="O1104" s="0" t="s">
        <v>975</v>
      </c>
      <c r="P1104" s="0" t="s">
        <v>976</v>
      </c>
      <c r="Q1104" s="0" t="s">
        <v>974</v>
      </c>
      <c r="R1104" s="0" t="s">
        <v>970</v>
      </c>
      <c r="S1104" s="0" t="s">
        <v>974</v>
      </c>
    </row>
    <row r="1105" customFormat="false" ht="13.8" hidden="false" customHeight="false" outlineLevel="0" collapsed="false">
      <c r="A1105" s="0" t="n">
        <v>2861</v>
      </c>
      <c r="B1105" s="0" t="s">
        <v>6193</v>
      </c>
      <c r="C1105" s="0" t="s">
        <v>6194</v>
      </c>
      <c r="E1105" s="0" t="n">
        <f aca="false">IF(J1104=J1105,E1104+10,0)</f>
        <v>0</v>
      </c>
      <c r="F1105" s="0" t="s">
        <v>6195</v>
      </c>
      <c r="G1105" s="0" t="s">
        <v>6196</v>
      </c>
      <c r="H1105" s="0" t="s">
        <v>6197</v>
      </c>
      <c r="I1105" s="0" t="s">
        <v>1081</v>
      </c>
      <c r="J1105" s="0" t="s">
        <v>1765</v>
      </c>
      <c r="K1105" s="0" t="s">
        <v>971</v>
      </c>
      <c r="L1105" s="0" t="s">
        <v>974</v>
      </c>
      <c r="M1105" s="0" t="s">
        <v>973</v>
      </c>
      <c r="N1105" s="0" t="s">
        <v>974</v>
      </c>
      <c r="O1105" s="0" t="s">
        <v>975</v>
      </c>
      <c r="P1105" s="0" t="s">
        <v>976</v>
      </c>
      <c r="Q1105" s="0" t="s">
        <v>1169</v>
      </c>
      <c r="R1105" s="0" t="s">
        <v>970</v>
      </c>
      <c r="S1105" s="0" t="s">
        <v>974</v>
      </c>
    </row>
    <row r="1106" customFormat="false" ht="13.8" hidden="false" customHeight="false" outlineLevel="0" collapsed="false">
      <c r="A1106" s="0" t="n">
        <v>2862</v>
      </c>
      <c r="B1106" s="0" t="s">
        <v>6198</v>
      </c>
      <c r="C1106" s="0" t="s">
        <v>6199</v>
      </c>
      <c r="E1106" s="0" t="n">
        <f aca="false">IF(J1105=J1106,E1105+10,0)</f>
        <v>0</v>
      </c>
      <c r="F1106" s="0" t="s">
        <v>6200</v>
      </c>
      <c r="G1106" s="0" t="s">
        <v>6201</v>
      </c>
      <c r="H1106" s="0" t="s">
        <v>6202</v>
      </c>
      <c r="I1106" s="0" t="s">
        <v>6203</v>
      </c>
      <c r="J1106" s="0" t="s">
        <v>2999</v>
      </c>
      <c r="K1106" s="0" t="s">
        <v>971</v>
      </c>
      <c r="L1106" s="0" t="s">
        <v>974</v>
      </c>
      <c r="M1106" s="0" t="s">
        <v>973</v>
      </c>
      <c r="N1106" s="0" t="s">
        <v>974</v>
      </c>
      <c r="O1106" s="0" t="s">
        <v>975</v>
      </c>
      <c r="P1106" s="0" t="s">
        <v>976</v>
      </c>
      <c r="Q1106" s="0" t="s">
        <v>975</v>
      </c>
      <c r="R1106" s="0" t="s">
        <v>970</v>
      </c>
      <c r="S1106" s="0" t="s">
        <v>974</v>
      </c>
    </row>
    <row r="1107" customFormat="false" ht="13.8" hidden="false" customHeight="false" outlineLevel="0" collapsed="false">
      <c r="A1107" s="0" t="n">
        <v>2863</v>
      </c>
      <c r="B1107" s="0" t="s">
        <v>6204</v>
      </c>
      <c r="C1107" s="0" t="s">
        <v>6205</v>
      </c>
      <c r="E1107" s="0" t="n">
        <f aca="false">IF(J1106=J1107,E1106+10,0)</f>
        <v>10</v>
      </c>
      <c r="F1107" s="0" t="s">
        <v>6206</v>
      </c>
      <c r="G1107" s="0" t="s">
        <v>6207</v>
      </c>
      <c r="H1107" s="0" t="s">
        <v>6208</v>
      </c>
      <c r="I1107" s="0" t="s">
        <v>1249</v>
      </c>
      <c r="J1107" s="0" t="s">
        <v>2999</v>
      </c>
      <c r="K1107" s="0" t="s">
        <v>971</v>
      </c>
      <c r="L1107" s="0" t="s">
        <v>974</v>
      </c>
      <c r="M1107" s="0" t="s">
        <v>973</v>
      </c>
      <c r="N1107" s="0" t="s">
        <v>974</v>
      </c>
      <c r="O1107" s="0" t="s">
        <v>975</v>
      </c>
      <c r="P1107" s="0" t="s">
        <v>976</v>
      </c>
      <c r="Q1107" s="0" t="s">
        <v>970</v>
      </c>
      <c r="R1107" s="0" t="s">
        <v>1046</v>
      </c>
      <c r="S1107" s="0" t="s">
        <v>974</v>
      </c>
    </row>
    <row r="1108" customFormat="false" ht="13.8" hidden="false" customHeight="false" outlineLevel="0" collapsed="false">
      <c r="A1108" s="0" t="n">
        <v>2864</v>
      </c>
      <c r="B1108" s="0" t="s">
        <v>6209</v>
      </c>
      <c r="C1108" s="0" t="s">
        <v>6210</v>
      </c>
      <c r="E1108" s="0" t="n">
        <f aca="false">IF(J1107=J1108,E1107+10,0)</f>
        <v>20</v>
      </c>
      <c r="F1108" s="0" t="s">
        <v>6211</v>
      </c>
      <c r="G1108" s="0" t="s">
        <v>6212</v>
      </c>
      <c r="H1108" s="0" t="s">
        <v>6213</v>
      </c>
      <c r="I1108" s="0" t="s">
        <v>6214</v>
      </c>
      <c r="J1108" s="0" t="s">
        <v>2999</v>
      </c>
      <c r="K1108" s="0" t="s">
        <v>971</v>
      </c>
      <c r="L1108" s="0" t="s">
        <v>974</v>
      </c>
      <c r="M1108" s="0" t="s">
        <v>973</v>
      </c>
      <c r="N1108" s="0" t="s">
        <v>974</v>
      </c>
      <c r="O1108" s="0" t="s">
        <v>975</v>
      </c>
      <c r="P1108" s="0" t="s">
        <v>976</v>
      </c>
      <c r="Q1108" s="0" t="s">
        <v>970</v>
      </c>
      <c r="R1108" s="0" t="s">
        <v>1625</v>
      </c>
      <c r="S1108" s="0" t="s">
        <v>974</v>
      </c>
    </row>
    <row r="1109" customFormat="false" ht="13.8" hidden="false" customHeight="false" outlineLevel="0" collapsed="false">
      <c r="A1109" s="0" t="n">
        <v>2865</v>
      </c>
      <c r="B1109" s="0" t="s">
        <v>6215</v>
      </c>
      <c r="C1109" s="0" t="s">
        <v>6216</v>
      </c>
      <c r="E1109" s="0" t="n">
        <f aca="false">IF(J1108=J1109,E1108+10,0)</f>
        <v>30</v>
      </c>
      <c r="F1109" s="0" t="s">
        <v>6217</v>
      </c>
      <c r="G1109" s="0" t="s">
        <v>6218</v>
      </c>
      <c r="H1109" s="0" t="s">
        <v>6219</v>
      </c>
      <c r="I1109" s="0" t="s">
        <v>1175</v>
      </c>
      <c r="J1109" s="0" t="s">
        <v>2999</v>
      </c>
      <c r="K1109" s="0" t="s">
        <v>971</v>
      </c>
      <c r="L1109" s="0" t="s">
        <v>973</v>
      </c>
      <c r="M1109" s="0" t="s">
        <v>973</v>
      </c>
      <c r="N1109" s="0" t="s">
        <v>974</v>
      </c>
      <c r="O1109" s="0" t="s">
        <v>975</v>
      </c>
      <c r="P1109" s="0" t="s">
        <v>976</v>
      </c>
      <c r="Q1109" s="0" t="s">
        <v>974</v>
      </c>
      <c r="R1109" s="0" t="s">
        <v>970</v>
      </c>
      <c r="S1109" s="0" t="s">
        <v>974</v>
      </c>
    </row>
    <row r="1110" customFormat="false" ht="13.8" hidden="false" customHeight="false" outlineLevel="0" collapsed="false">
      <c r="A1110" s="0" t="n">
        <v>2866</v>
      </c>
      <c r="B1110" s="0" t="s">
        <v>6220</v>
      </c>
      <c r="C1110" s="0" t="s">
        <v>4417</v>
      </c>
      <c r="E1110" s="0" t="n">
        <f aca="false">IF(J1109=J1110,E1109+10,0)</f>
        <v>0</v>
      </c>
      <c r="F1110" s="0" t="s">
        <v>6221</v>
      </c>
      <c r="G1110" s="0" t="s">
        <v>6222</v>
      </c>
      <c r="H1110" s="0" t="s">
        <v>6223</v>
      </c>
      <c r="I1110" s="0" t="s">
        <v>1052</v>
      </c>
      <c r="J1110" s="0" t="s">
        <v>3268</v>
      </c>
      <c r="K1110" s="0" t="s">
        <v>971</v>
      </c>
      <c r="L1110" s="0" t="s">
        <v>1144</v>
      </c>
      <c r="M1110" s="0" t="s">
        <v>973</v>
      </c>
      <c r="N1110" s="0" t="s">
        <v>974</v>
      </c>
      <c r="O1110" s="0" t="s">
        <v>975</v>
      </c>
      <c r="P1110" s="0" t="s">
        <v>976</v>
      </c>
      <c r="Q1110" s="0" t="s">
        <v>974</v>
      </c>
      <c r="R1110" s="0" t="s">
        <v>970</v>
      </c>
      <c r="S1110" s="0" t="s">
        <v>974</v>
      </c>
    </row>
    <row r="1111" customFormat="false" ht="13.8" hidden="false" customHeight="false" outlineLevel="0" collapsed="false">
      <c r="A1111" s="0" t="n">
        <v>2867</v>
      </c>
      <c r="B1111" s="0" t="s">
        <v>6224</v>
      </c>
      <c r="C1111" s="0" t="s">
        <v>4482</v>
      </c>
      <c r="E1111" s="0" t="n">
        <f aca="false">IF(J1110=J1111,E1110+10,0)</f>
        <v>10</v>
      </c>
      <c r="F1111" s="0" t="s">
        <v>6225</v>
      </c>
      <c r="G1111" s="0" t="s">
        <v>6226</v>
      </c>
      <c r="H1111" s="0" t="s">
        <v>6227</v>
      </c>
      <c r="I1111" s="0" t="s">
        <v>1106</v>
      </c>
      <c r="J1111" s="0" t="s">
        <v>3268</v>
      </c>
      <c r="K1111" s="0" t="s">
        <v>971</v>
      </c>
      <c r="L1111" s="0" t="s">
        <v>974</v>
      </c>
      <c r="M1111" s="0" t="s">
        <v>973</v>
      </c>
      <c r="N1111" s="0" t="s">
        <v>974</v>
      </c>
      <c r="O1111" s="0" t="s">
        <v>975</v>
      </c>
      <c r="P1111" s="0" t="s">
        <v>976</v>
      </c>
      <c r="Q1111" s="0" t="s">
        <v>2195</v>
      </c>
      <c r="R1111" s="0" t="s">
        <v>1144</v>
      </c>
      <c r="S1111" s="0" t="s">
        <v>974</v>
      </c>
    </row>
    <row r="1112" customFormat="false" ht="13.8" hidden="false" customHeight="false" outlineLevel="0" collapsed="false">
      <c r="A1112" s="0" t="n">
        <v>2868</v>
      </c>
      <c r="B1112" s="0" t="s">
        <v>6228</v>
      </c>
      <c r="C1112" s="0" t="s">
        <v>4028</v>
      </c>
      <c r="E1112" s="0" t="n">
        <f aca="false">IF(J1111=J1112,E1111+10,0)</f>
        <v>20</v>
      </c>
      <c r="F1112" s="0" t="s">
        <v>6229</v>
      </c>
      <c r="G1112" s="0" t="s">
        <v>6230</v>
      </c>
      <c r="H1112" s="0" t="s">
        <v>6231</v>
      </c>
      <c r="I1112" s="0" t="s">
        <v>1587</v>
      </c>
      <c r="J1112" s="0" t="s">
        <v>3268</v>
      </c>
      <c r="K1112" s="0" t="s">
        <v>971</v>
      </c>
      <c r="L1112" s="0" t="s">
        <v>974</v>
      </c>
      <c r="M1112" s="0" t="s">
        <v>973</v>
      </c>
      <c r="N1112" s="0" t="s">
        <v>974</v>
      </c>
      <c r="O1112" s="0" t="s">
        <v>975</v>
      </c>
      <c r="P1112" s="0" t="s">
        <v>976</v>
      </c>
      <c r="Q1112" s="0" t="s">
        <v>1066</v>
      </c>
      <c r="R1112" s="0" t="s">
        <v>1046</v>
      </c>
      <c r="S1112" s="0" t="s">
        <v>974</v>
      </c>
    </row>
    <row r="1113" customFormat="false" ht="13.8" hidden="false" customHeight="false" outlineLevel="0" collapsed="false">
      <c r="A1113" s="0" t="n">
        <v>2869</v>
      </c>
      <c r="B1113" s="0" t="s">
        <v>6232</v>
      </c>
      <c r="C1113" s="0" t="s">
        <v>6233</v>
      </c>
      <c r="E1113" s="0" t="n">
        <f aca="false">IF(J1112=J1113,E1112+10,0)</f>
        <v>30</v>
      </c>
      <c r="F1113" s="0" t="s">
        <v>6234</v>
      </c>
      <c r="G1113" s="0" t="s">
        <v>6235</v>
      </c>
      <c r="H1113" s="0" t="s">
        <v>6236</v>
      </c>
      <c r="I1113" s="0" t="s">
        <v>1045</v>
      </c>
      <c r="J1113" s="0" t="s">
        <v>3268</v>
      </c>
      <c r="K1113" s="0" t="s">
        <v>971</v>
      </c>
      <c r="L1113" s="0" t="s">
        <v>974</v>
      </c>
      <c r="M1113" s="0" t="s">
        <v>973</v>
      </c>
      <c r="N1113" s="0" t="s">
        <v>974</v>
      </c>
      <c r="O1113" s="0" t="s">
        <v>975</v>
      </c>
      <c r="P1113" s="0" t="s">
        <v>976</v>
      </c>
      <c r="Q1113" s="0" t="s">
        <v>1059</v>
      </c>
      <c r="R1113" s="0" t="s">
        <v>1046</v>
      </c>
      <c r="S1113" s="0" t="s">
        <v>974</v>
      </c>
    </row>
    <row r="1114" customFormat="false" ht="13.8" hidden="false" customHeight="false" outlineLevel="0" collapsed="false">
      <c r="A1114" s="0" t="n">
        <v>2870</v>
      </c>
      <c r="B1114" s="0" t="s">
        <v>6237</v>
      </c>
      <c r="C1114" s="0" t="s">
        <v>1171</v>
      </c>
      <c r="E1114" s="0" t="n">
        <f aca="false">IF(J1113=J1114,E1113+10,0)</f>
        <v>40</v>
      </c>
      <c r="F1114" s="0" t="s">
        <v>6238</v>
      </c>
      <c r="G1114" s="0" t="s">
        <v>6239</v>
      </c>
      <c r="H1114" s="0" t="s">
        <v>6240</v>
      </c>
      <c r="I1114" s="0" t="s">
        <v>1175</v>
      </c>
      <c r="J1114" s="0" t="s">
        <v>3268</v>
      </c>
      <c r="K1114" s="0" t="s">
        <v>971</v>
      </c>
      <c r="L1114" s="0" t="s">
        <v>973</v>
      </c>
      <c r="M1114" s="0" t="s">
        <v>973</v>
      </c>
      <c r="N1114" s="0" t="s">
        <v>974</v>
      </c>
      <c r="O1114" s="0" t="s">
        <v>975</v>
      </c>
      <c r="P1114" s="0" t="s">
        <v>976</v>
      </c>
      <c r="Q1114" s="0" t="s">
        <v>974</v>
      </c>
      <c r="R1114" s="0" t="s">
        <v>970</v>
      </c>
      <c r="S1114" s="0" t="s">
        <v>974</v>
      </c>
    </row>
    <row r="1115" customFormat="false" ht="13.8" hidden="false" customHeight="false" outlineLevel="0" collapsed="false">
      <c r="A1115" s="0" t="n">
        <v>2871</v>
      </c>
      <c r="B1115" s="0" t="s">
        <v>6241</v>
      </c>
      <c r="C1115" s="0" t="s">
        <v>5356</v>
      </c>
      <c r="E1115" s="0" t="n">
        <f aca="false">IF(J1114=J1115,E1114+10,0)</f>
        <v>50</v>
      </c>
      <c r="F1115" s="0" t="s">
        <v>6242</v>
      </c>
      <c r="G1115" s="0" t="s">
        <v>6243</v>
      </c>
      <c r="H1115" s="0" t="s">
        <v>6244</v>
      </c>
      <c r="I1115" s="0" t="s">
        <v>5360</v>
      </c>
      <c r="J1115" s="0" t="s">
        <v>3268</v>
      </c>
      <c r="K1115" s="0" t="s">
        <v>971</v>
      </c>
      <c r="L1115" s="0" t="s">
        <v>974</v>
      </c>
      <c r="M1115" s="0" t="s">
        <v>973</v>
      </c>
      <c r="N1115" s="0" t="s">
        <v>974</v>
      </c>
      <c r="O1115" s="0" t="s">
        <v>975</v>
      </c>
      <c r="P1115" s="0" t="s">
        <v>976</v>
      </c>
      <c r="Q1115" s="0" t="s">
        <v>1059</v>
      </c>
      <c r="R1115" s="0" t="s">
        <v>1046</v>
      </c>
      <c r="S1115" s="0" t="s">
        <v>974</v>
      </c>
    </row>
    <row r="1116" customFormat="false" ht="13.8" hidden="false" customHeight="false" outlineLevel="0" collapsed="false">
      <c r="A1116" s="0" t="n">
        <v>2872</v>
      </c>
      <c r="B1116" s="0" t="s">
        <v>6245</v>
      </c>
      <c r="C1116" s="0" t="s">
        <v>6246</v>
      </c>
      <c r="E1116" s="0" t="n">
        <f aca="false">IF(J1115=J1116,E1115+10,0)</f>
        <v>60</v>
      </c>
      <c r="F1116" s="0" t="s">
        <v>6247</v>
      </c>
      <c r="G1116" s="0" t="s">
        <v>6248</v>
      </c>
      <c r="H1116" s="0" t="s">
        <v>6249</v>
      </c>
      <c r="I1116" s="0" t="s">
        <v>1123</v>
      </c>
      <c r="J1116" s="0" t="s">
        <v>3268</v>
      </c>
      <c r="K1116" s="0" t="s">
        <v>971</v>
      </c>
      <c r="L1116" s="0" t="s">
        <v>974</v>
      </c>
      <c r="M1116" s="0" t="s">
        <v>973</v>
      </c>
      <c r="N1116" s="0" t="s">
        <v>974</v>
      </c>
      <c r="O1116" s="0" t="s">
        <v>975</v>
      </c>
      <c r="P1116" s="0" t="s">
        <v>976</v>
      </c>
      <c r="Q1116" s="0" t="s">
        <v>970</v>
      </c>
      <c r="R1116" s="0" t="s">
        <v>1046</v>
      </c>
      <c r="S1116" s="0" t="s">
        <v>974</v>
      </c>
    </row>
    <row r="1117" customFormat="false" ht="13.8" hidden="false" customHeight="false" outlineLevel="0" collapsed="false">
      <c r="A1117" s="0" t="n">
        <v>2873</v>
      </c>
      <c r="B1117" s="0" t="s">
        <v>6250</v>
      </c>
      <c r="C1117" s="0" t="s">
        <v>1420</v>
      </c>
      <c r="E1117" s="0" t="n">
        <f aca="false">IF(J1116=J1117,E1116+10,0)</f>
        <v>70</v>
      </c>
      <c r="F1117" s="0" t="s">
        <v>6251</v>
      </c>
      <c r="G1117" s="0" t="s">
        <v>6252</v>
      </c>
      <c r="H1117" s="0" t="s">
        <v>6253</v>
      </c>
      <c r="I1117" s="0" t="s">
        <v>1100</v>
      </c>
      <c r="J1117" s="0" t="s">
        <v>3268</v>
      </c>
      <c r="K1117" s="0" t="s">
        <v>971</v>
      </c>
      <c r="L1117" s="0" t="s">
        <v>974</v>
      </c>
      <c r="M1117" s="0" t="s">
        <v>973</v>
      </c>
      <c r="N1117" s="0" t="s">
        <v>974</v>
      </c>
      <c r="O1117" s="0" t="s">
        <v>975</v>
      </c>
      <c r="P1117" s="0" t="s">
        <v>976</v>
      </c>
      <c r="Q1117" s="0" t="s">
        <v>2146</v>
      </c>
      <c r="R1117" s="0" t="s">
        <v>1046</v>
      </c>
      <c r="S1117" s="0" t="s">
        <v>974</v>
      </c>
    </row>
    <row r="1118" customFormat="false" ht="13.8" hidden="false" customHeight="false" outlineLevel="0" collapsed="false">
      <c r="A1118" s="0" t="n">
        <v>2874</v>
      </c>
      <c r="B1118" s="0" t="s">
        <v>6254</v>
      </c>
      <c r="C1118" s="0" t="s">
        <v>6255</v>
      </c>
      <c r="E1118" s="0" t="n">
        <f aca="false">IF(J1117=J1118,E1117+10,0)</f>
        <v>80</v>
      </c>
      <c r="F1118" s="0" t="s">
        <v>6256</v>
      </c>
      <c r="G1118" s="0" t="s">
        <v>6257</v>
      </c>
      <c r="H1118" s="0" t="s">
        <v>6258</v>
      </c>
      <c r="I1118" s="0" t="s">
        <v>1027</v>
      </c>
      <c r="J1118" s="0" t="s">
        <v>3268</v>
      </c>
      <c r="K1118" s="0" t="s">
        <v>971</v>
      </c>
      <c r="L1118" s="0" t="s">
        <v>974</v>
      </c>
      <c r="M1118" s="0" t="s">
        <v>973</v>
      </c>
      <c r="N1118" s="0" t="s">
        <v>974</v>
      </c>
      <c r="O1118" s="0" t="s">
        <v>975</v>
      </c>
      <c r="P1118" s="0" t="s">
        <v>976</v>
      </c>
      <c r="Q1118" s="0" t="s">
        <v>1059</v>
      </c>
      <c r="R1118" s="0" t="s">
        <v>1046</v>
      </c>
      <c r="S1118" s="0" t="s">
        <v>974</v>
      </c>
    </row>
    <row r="1119" customFormat="false" ht="13.8" hidden="false" customHeight="false" outlineLevel="0" collapsed="false">
      <c r="A1119" s="0" t="n">
        <v>2875</v>
      </c>
      <c r="B1119" s="0" t="s">
        <v>6259</v>
      </c>
      <c r="C1119" s="0" t="s">
        <v>5210</v>
      </c>
      <c r="E1119" s="0" t="n">
        <f aca="false">IF(J1118=J1119,E1118+10,0)</f>
        <v>0</v>
      </c>
      <c r="F1119" s="0" t="s">
        <v>6260</v>
      </c>
      <c r="G1119" s="0" t="s">
        <v>6261</v>
      </c>
      <c r="H1119" s="0" t="s">
        <v>6262</v>
      </c>
      <c r="I1119" s="0" t="s">
        <v>5214</v>
      </c>
      <c r="J1119" s="0" t="s">
        <v>6263</v>
      </c>
      <c r="K1119" s="0" t="s">
        <v>6264</v>
      </c>
      <c r="L1119" s="0" t="s">
        <v>973</v>
      </c>
      <c r="M1119" s="0" t="s">
        <v>973</v>
      </c>
      <c r="N1119" s="0" t="s">
        <v>974</v>
      </c>
      <c r="O1119" s="0" t="s">
        <v>975</v>
      </c>
      <c r="P1119" s="0" t="s">
        <v>976</v>
      </c>
      <c r="Q1119" s="0" t="s">
        <v>974</v>
      </c>
      <c r="R1119" s="0" t="s">
        <v>970</v>
      </c>
      <c r="S1119" s="0" t="s">
        <v>974</v>
      </c>
    </row>
    <row r="1120" customFormat="false" ht="13.8" hidden="false" customHeight="false" outlineLevel="0" collapsed="false">
      <c r="A1120" s="0" t="n">
        <v>2876</v>
      </c>
      <c r="B1120" s="0" t="s">
        <v>6265</v>
      </c>
      <c r="C1120" s="0" t="s">
        <v>4276</v>
      </c>
      <c r="E1120" s="0" t="n">
        <f aca="false">IF(J1119=J1120,E1119+10,0)</f>
        <v>10</v>
      </c>
      <c r="F1120" s="0" t="s">
        <v>6266</v>
      </c>
      <c r="G1120" s="0" t="s">
        <v>6267</v>
      </c>
      <c r="H1120" s="0" t="s">
        <v>6268</v>
      </c>
      <c r="I1120" s="0" t="s">
        <v>1254</v>
      </c>
      <c r="J1120" s="0" t="s">
        <v>6263</v>
      </c>
      <c r="K1120" s="0" t="s">
        <v>6269</v>
      </c>
      <c r="L1120" s="0" t="s">
        <v>973</v>
      </c>
      <c r="M1120" s="0" t="s">
        <v>973</v>
      </c>
      <c r="N1120" s="0" t="s">
        <v>974</v>
      </c>
      <c r="O1120" s="0" t="s">
        <v>975</v>
      </c>
      <c r="P1120" s="0" t="s">
        <v>976</v>
      </c>
      <c r="Q1120" s="0" t="s">
        <v>974</v>
      </c>
      <c r="R1120" s="0" t="s">
        <v>970</v>
      </c>
      <c r="S1120" s="0" t="s">
        <v>974</v>
      </c>
    </row>
    <row r="1121" customFormat="false" ht="13.8" hidden="false" customHeight="false" outlineLevel="0" collapsed="false">
      <c r="A1121" s="0" t="n">
        <v>2877</v>
      </c>
      <c r="B1121" s="0" t="s">
        <v>6270</v>
      </c>
      <c r="C1121" s="0" t="s">
        <v>2979</v>
      </c>
      <c r="E1121" s="0" t="n">
        <f aca="false">IF(J1120=J1121,E1120+10,0)</f>
        <v>20</v>
      </c>
      <c r="F1121" s="0" t="s">
        <v>6271</v>
      </c>
      <c r="G1121" s="0" t="s">
        <v>6272</v>
      </c>
      <c r="H1121" s="0" t="s">
        <v>6273</v>
      </c>
      <c r="I1121" s="0" t="s">
        <v>1452</v>
      </c>
      <c r="J1121" s="0" t="s">
        <v>6263</v>
      </c>
      <c r="K1121" s="0" t="s">
        <v>971</v>
      </c>
      <c r="L1121" s="0" t="s">
        <v>1458</v>
      </c>
      <c r="M1121" s="0" t="s">
        <v>1459</v>
      </c>
      <c r="N1121" s="0" t="s">
        <v>974</v>
      </c>
      <c r="O1121" s="0" t="s">
        <v>975</v>
      </c>
      <c r="P1121" s="0" t="s">
        <v>976</v>
      </c>
      <c r="Q1121" s="0" t="s">
        <v>974</v>
      </c>
      <c r="R1121" s="0" t="s">
        <v>970</v>
      </c>
      <c r="S1121" s="0" t="s">
        <v>974</v>
      </c>
    </row>
    <row r="1122" customFormat="false" ht="13.8" hidden="false" customHeight="false" outlineLevel="0" collapsed="false">
      <c r="A1122" s="0" t="n">
        <v>2878</v>
      </c>
      <c r="B1122" s="0" t="s">
        <v>6274</v>
      </c>
      <c r="C1122" s="0" t="s">
        <v>6275</v>
      </c>
      <c r="E1122" s="0" t="n">
        <f aca="false">IF(J1121=J1122,E1121+10,0)</f>
        <v>30</v>
      </c>
      <c r="F1122" s="0" t="s">
        <v>6276</v>
      </c>
      <c r="G1122" s="0" t="s">
        <v>6277</v>
      </c>
      <c r="H1122" s="0" t="s">
        <v>6278</v>
      </c>
      <c r="I1122" s="0" t="s">
        <v>6279</v>
      </c>
      <c r="J1122" s="0" t="s">
        <v>6263</v>
      </c>
      <c r="K1122" s="0" t="s">
        <v>971</v>
      </c>
      <c r="L1122" s="0" t="s">
        <v>974</v>
      </c>
      <c r="M1122" s="0" t="s">
        <v>973</v>
      </c>
      <c r="N1122" s="0" t="s">
        <v>974</v>
      </c>
      <c r="O1122" s="0" t="s">
        <v>975</v>
      </c>
      <c r="P1122" s="0" t="s">
        <v>976</v>
      </c>
      <c r="Q1122" s="0" t="s">
        <v>974</v>
      </c>
      <c r="R1122" s="0" t="s">
        <v>970</v>
      </c>
      <c r="S1122" s="0" t="s">
        <v>974</v>
      </c>
    </row>
    <row r="1123" customFormat="false" ht="13.8" hidden="false" customHeight="false" outlineLevel="0" collapsed="false">
      <c r="A1123" s="0" t="n">
        <v>2879</v>
      </c>
      <c r="B1123" s="0" t="s">
        <v>6280</v>
      </c>
      <c r="C1123" s="0" t="s">
        <v>4482</v>
      </c>
      <c r="E1123" s="0" t="n">
        <f aca="false">IF(J1122=J1123,E1122+10,0)</f>
        <v>40</v>
      </c>
      <c r="F1123" s="0" t="s">
        <v>6281</v>
      </c>
      <c r="G1123" s="0" t="s">
        <v>6282</v>
      </c>
      <c r="H1123" s="0" t="s">
        <v>6283</v>
      </c>
      <c r="I1123" s="0" t="s">
        <v>1106</v>
      </c>
      <c r="J1123" s="0" t="s">
        <v>6263</v>
      </c>
      <c r="K1123" s="0" t="s">
        <v>971</v>
      </c>
      <c r="L1123" s="0" t="s">
        <v>974</v>
      </c>
      <c r="M1123" s="0" t="s">
        <v>973</v>
      </c>
      <c r="N1123" s="0" t="s">
        <v>974</v>
      </c>
      <c r="O1123" s="0" t="s">
        <v>975</v>
      </c>
      <c r="P1123" s="0" t="s">
        <v>976</v>
      </c>
      <c r="Q1123" s="0" t="s">
        <v>2195</v>
      </c>
      <c r="R1123" s="0" t="s">
        <v>1144</v>
      </c>
      <c r="S1123" s="0" t="s">
        <v>974</v>
      </c>
    </row>
    <row r="1124" customFormat="false" ht="13.8" hidden="false" customHeight="false" outlineLevel="0" collapsed="false">
      <c r="A1124" s="0" t="n">
        <v>2880</v>
      </c>
      <c r="B1124" s="0" t="s">
        <v>6284</v>
      </c>
      <c r="C1124" s="0" t="s">
        <v>4028</v>
      </c>
      <c r="E1124" s="0" t="n">
        <f aca="false">IF(J1123=J1124,E1123+10,0)</f>
        <v>50</v>
      </c>
      <c r="F1124" s="0" t="s">
        <v>6285</v>
      </c>
      <c r="G1124" s="0" t="s">
        <v>6286</v>
      </c>
      <c r="H1124" s="0" t="s">
        <v>6287</v>
      </c>
      <c r="I1124" s="0" t="s">
        <v>1587</v>
      </c>
      <c r="J1124" s="0" t="s">
        <v>6263</v>
      </c>
      <c r="K1124" s="0" t="s">
        <v>971</v>
      </c>
      <c r="L1124" s="0" t="s">
        <v>974</v>
      </c>
      <c r="M1124" s="0" t="s">
        <v>973</v>
      </c>
      <c r="N1124" s="0" t="s">
        <v>974</v>
      </c>
      <c r="O1124" s="0" t="s">
        <v>975</v>
      </c>
      <c r="P1124" s="0" t="s">
        <v>976</v>
      </c>
      <c r="Q1124" s="0" t="s">
        <v>1066</v>
      </c>
      <c r="R1124" s="0" t="s">
        <v>1046</v>
      </c>
      <c r="S1124" s="0" t="s">
        <v>974</v>
      </c>
    </row>
    <row r="1125" customFormat="false" ht="13.8" hidden="false" customHeight="false" outlineLevel="0" collapsed="false">
      <c r="A1125" s="0" t="n">
        <v>2881</v>
      </c>
      <c r="B1125" s="0" t="s">
        <v>6288</v>
      </c>
      <c r="C1125" s="0" t="s">
        <v>6233</v>
      </c>
      <c r="E1125" s="0" t="n">
        <f aca="false">IF(J1124=J1125,E1124+10,0)</f>
        <v>60</v>
      </c>
      <c r="F1125" s="0" t="s">
        <v>6289</v>
      </c>
      <c r="G1125" s="0" t="s">
        <v>6290</v>
      </c>
      <c r="H1125" s="0" t="s">
        <v>6291</v>
      </c>
      <c r="I1125" s="0" t="s">
        <v>1045</v>
      </c>
      <c r="J1125" s="0" t="s">
        <v>6263</v>
      </c>
      <c r="K1125" s="0" t="s">
        <v>971</v>
      </c>
      <c r="L1125" s="0" t="s">
        <v>974</v>
      </c>
      <c r="M1125" s="0" t="s">
        <v>973</v>
      </c>
      <c r="N1125" s="0" t="s">
        <v>974</v>
      </c>
      <c r="O1125" s="0" t="s">
        <v>975</v>
      </c>
      <c r="P1125" s="0" t="s">
        <v>976</v>
      </c>
      <c r="Q1125" s="0" t="s">
        <v>1059</v>
      </c>
      <c r="R1125" s="0" t="s">
        <v>970</v>
      </c>
      <c r="S1125" s="0" t="s">
        <v>974</v>
      </c>
    </row>
    <row r="1126" customFormat="false" ht="13.8" hidden="false" customHeight="false" outlineLevel="0" collapsed="false">
      <c r="A1126" s="0" t="n">
        <v>2882</v>
      </c>
      <c r="B1126" s="0" t="s">
        <v>6292</v>
      </c>
      <c r="C1126" s="0" t="s">
        <v>1171</v>
      </c>
      <c r="E1126" s="0" t="n">
        <f aca="false">IF(J1125=J1126,E1125+10,0)</f>
        <v>70</v>
      </c>
      <c r="F1126" s="0" t="s">
        <v>6293</v>
      </c>
      <c r="G1126" s="0" t="s">
        <v>6294</v>
      </c>
      <c r="H1126" s="0" t="s">
        <v>6295</v>
      </c>
      <c r="I1126" s="0" t="s">
        <v>1175</v>
      </c>
      <c r="J1126" s="0" t="s">
        <v>6263</v>
      </c>
      <c r="K1126" s="0" t="s">
        <v>971</v>
      </c>
      <c r="L1126" s="0" t="s">
        <v>973</v>
      </c>
      <c r="M1126" s="0" t="s">
        <v>973</v>
      </c>
      <c r="N1126" s="0" t="s">
        <v>974</v>
      </c>
      <c r="O1126" s="0" t="s">
        <v>975</v>
      </c>
      <c r="P1126" s="0" t="s">
        <v>976</v>
      </c>
      <c r="Q1126" s="0" t="s">
        <v>974</v>
      </c>
      <c r="R1126" s="0" t="s">
        <v>970</v>
      </c>
      <c r="S1126" s="0" t="s">
        <v>974</v>
      </c>
    </row>
    <row r="1127" customFormat="false" ht="13.8" hidden="false" customHeight="false" outlineLevel="0" collapsed="false">
      <c r="A1127" s="0" t="n">
        <v>2883</v>
      </c>
      <c r="B1127" s="0" t="s">
        <v>6296</v>
      </c>
      <c r="C1127" s="0" t="s">
        <v>5356</v>
      </c>
      <c r="E1127" s="0" t="n">
        <f aca="false">IF(J1126=J1127,E1126+10,0)</f>
        <v>80</v>
      </c>
      <c r="F1127" s="0" t="s">
        <v>6297</v>
      </c>
      <c r="G1127" s="0" t="s">
        <v>6298</v>
      </c>
      <c r="H1127" s="0" t="s">
        <v>6299</v>
      </c>
      <c r="I1127" s="0" t="s">
        <v>5360</v>
      </c>
      <c r="J1127" s="0" t="s">
        <v>6263</v>
      </c>
      <c r="K1127" s="0" t="s">
        <v>971</v>
      </c>
      <c r="L1127" s="0" t="s">
        <v>974</v>
      </c>
      <c r="M1127" s="0" t="s">
        <v>973</v>
      </c>
      <c r="N1127" s="0" t="s">
        <v>974</v>
      </c>
      <c r="O1127" s="0" t="s">
        <v>975</v>
      </c>
      <c r="P1127" s="0" t="s">
        <v>976</v>
      </c>
      <c r="Q1127" s="0" t="s">
        <v>1059</v>
      </c>
      <c r="R1127" s="0" t="s">
        <v>1046</v>
      </c>
      <c r="S1127" s="0" t="s">
        <v>974</v>
      </c>
    </row>
    <row r="1128" customFormat="false" ht="13.8" hidden="false" customHeight="false" outlineLevel="0" collapsed="false">
      <c r="A1128" s="0" t="n">
        <v>2884</v>
      </c>
      <c r="B1128" s="0" t="s">
        <v>6300</v>
      </c>
      <c r="C1128" s="0" t="s">
        <v>6246</v>
      </c>
      <c r="E1128" s="0" t="n">
        <f aca="false">IF(J1127=J1128,E1127+10,0)</f>
        <v>90</v>
      </c>
      <c r="F1128" s="0" t="s">
        <v>6301</v>
      </c>
      <c r="G1128" s="0" t="s">
        <v>6302</v>
      </c>
      <c r="H1128" s="0" t="s">
        <v>6303</v>
      </c>
      <c r="I1128" s="0" t="s">
        <v>1123</v>
      </c>
      <c r="J1128" s="0" t="s">
        <v>6263</v>
      </c>
      <c r="K1128" s="0" t="s">
        <v>971</v>
      </c>
      <c r="L1128" s="0" t="s">
        <v>974</v>
      </c>
      <c r="M1128" s="0" t="s">
        <v>973</v>
      </c>
      <c r="N1128" s="0" t="s">
        <v>974</v>
      </c>
      <c r="O1128" s="0" t="s">
        <v>975</v>
      </c>
      <c r="P1128" s="0" t="s">
        <v>976</v>
      </c>
      <c r="Q1128" s="0" t="s">
        <v>970</v>
      </c>
      <c r="R1128" s="0" t="s">
        <v>1046</v>
      </c>
      <c r="S1128" s="0" t="s">
        <v>974</v>
      </c>
    </row>
    <row r="1129" customFormat="false" ht="13.8" hidden="false" customHeight="false" outlineLevel="0" collapsed="false">
      <c r="A1129" s="0" t="n">
        <v>2885</v>
      </c>
      <c r="B1129" s="0" t="s">
        <v>6304</v>
      </c>
      <c r="C1129" s="0" t="s">
        <v>1420</v>
      </c>
      <c r="E1129" s="0" t="n">
        <f aca="false">IF(J1128=J1129,E1128+10,0)</f>
        <v>100</v>
      </c>
      <c r="F1129" s="0" t="s">
        <v>6305</v>
      </c>
      <c r="G1129" s="0" t="s">
        <v>6306</v>
      </c>
      <c r="H1129" s="0" t="s">
        <v>6307</v>
      </c>
      <c r="I1129" s="0" t="s">
        <v>1100</v>
      </c>
      <c r="J1129" s="0" t="s">
        <v>6263</v>
      </c>
      <c r="K1129" s="0" t="s">
        <v>971</v>
      </c>
      <c r="L1129" s="0" t="s">
        <v>974</v>
      </c>
      <c r="M1129" s="0" t="s">
        <v>973</v>
      </c>
      <c r="N1129" s="0" t="s">
        <v>974</v>
      </c>
      <c r="O1129" s="0" t="s">
        <v>975</v>
      </c>
      <c r="P1129" s="0" t="s">
        <v>976</v>
      </c>
      <c r="Q1129" s="0" t="s">
        <v>2146</v>
      </c>
      <c r="R1129" s="0" t="s">
        <v>1046</v>
      </c>
      <c r="S1129" s="0" t="s">
        <v>974</v>
      </c>
    </row>
    <row r="1130" customFormat="false" ht="13.8" hidden="false" customHeight="false" outlineLevel="0" collapsed="false">
      <c r="A1130" s="0" t="n">
        <v>2886</v>
      </c>
      <c r="B1130" s="0" t="s">
        <v>6308</v>
      </c>
      <c r="C1130" s="0" t="s">
        <v>6309</v>
      </c>
      <c r="E1130" s="0" t="n">
        <f aca="false">IF(J1129=J1130,E1129+10,0)</f>
        <v>110</v>
      </c>
      <c r="F1130" s="0" t="s">
        <v>6310</v>
      </c>
      <c r="G1130" s="0" t="s">
        <v>6311</v>
      </c>
      <c r="H1130" s="0" t="s">
        <v>6312</v>
      </c>
      <c r="I1130" s="0" t="s">
        <v>1027</v>
      </c>
      <c r="J1130" s="0" t="s">
        <v>6263</v>
      </c>
      <c r="K1130" s="0" t="s">
        <v>971</v>
      </c>
      <c r="L1130" s="0" t="s">
        <v>974</v>
      </c>
      <c r="M1130" s="0" t="s">
        <v>973</v>
      </c>
      <c r="N1130" s="0" t="s">
        <v>974</v>
      </c>
      <c r="O1130" s="0" t="s">
        <v>975</v>
      </c>
      <c r="P1130" s="0" t="s">
        <v>976</v>
      </c>
      <c r="Q1130" s="0" t="s">
        <v>1059</v>
      </c>
      <c r="R1130" s="0" t="s">
        <v>1046</v>
      </c>
      <c r="S1130" s="0" t="s">
        <v>974</v>
      </c>
    </row>
    <row r="1131" customFormat="false" ht="13.8" hidden="false" customHeight="false" outlineLevel="0" collapsed="false">
      <c r="A1131" s="0" t="n">
        <v>2887</v>
      </c>
      <c r="B1131" s="0" t="s">
        <v>6313</v>
      </c>
      <c r="C1131" s="0" t="s">
        <v>4920</v>
      </c>
      <c r="E1131" s="0" t="n">
        <f aca="false">IF(J1130=J1131,E1130+10,0)</f>
        <v>120</v>
      </c>
      <c r="F1131" s="0" t="s">
        <v>6314</v>
      </c>
      <c r="G1131" s="0" t="s">
        <v>6315</v>
      </c>
      <c r="H1131" s="0" t="s">
        <v>6316</v>
      </c>
      <c r="I1131" s="0" t="s">
        <v>1306</v>
      </c>
      <c r="J1131" s="0" t="s">
        <v>6263</v>
      </c>
      <c r="K1131" s="0" t="s">
        <v>971</v>
      </c>
      <c r="L1131" s="0" t="s">
        <v>974</v>
      </c>
      <c r="M1131" s="0" t="s">
        <v>973</v>
      </c>
      <c r="N1131" s="0" t="s">
        <v>974</v>
      </c>
      <c r="O1131" s="0" t="s">
        <v>975</v>
      </c>
      <c r="P1131" s="0" t="s">
        <v>976</v>
      </c>
      <c r="Q1131" s="0" t="s">
        <v>974</v>
      </c>
      <c r="R1131" s="0" t="s">
        <v>970</v>
      </c>
      <c r="S1131" s="0" t="s">
        <v>974</v>
      </c>
    </row>
    <row r="1132" customFormat="false" ht="13.8" hidden="false" customHeight="false" outlineLevel="0" collapsed="false">
      <c r="A1132" s="0" t="n">
        <v>2888</v>
      </c>
      <c r="B1132" s="0" t="s">
        <v>6317</v>
      </c>
      <c r="C1132" s="0" t="s">
        <v>4519</v>
      </c>
      <c r="E1132" s="0" t="n">
        <f aca="false">IF(J1131=J1132,E1131+10,0)</f>
        <v>130</v>
      </c>
      <c r="F1132" s="0" t="s">
        <v>6318</v>
      </c>
      <c r="G1132" s="0" t="s">
        <v>6319</v>
      </c>
      <c r="H1132" s="0" t="s">
        <v>6320</v>
      </c>
      <c r="I1132" s="0" t="s">
        <v>1073</v>
      </c>
      <c r="J1132" s="0" t="s">
        <v>6263</v>
      </c>
      <c r="K1132" s="0" t="s">
        <v>971</v>
      </c>
      <c r="L1132" s="0" t="s">
        <v>974</v>
      </c>
      <c r="M1132" s="0" t="s">
        <v>973</v>
      </c>
      <c r="N1132" s="0" t="s">
        <v>974</v>
      </c>
      <c r="O1132" s="0" t="s">
        <v>975</v>
      </c>
      <c r="P1132" s="0" t="s">
        <v>976</v>
      </c>
      <c r="Q1132" s="0" t="s">
        <v>974</v>
      </c>
      <c r="R1132" s="0" t="s">
        <v>970</v>
      </c>
      <c r="S1132" s="0" t="s">
        <v>974</v>
      </c>
    </row>
    <row r="1133" customFormat="false" ht="13.8" hidden="false" customHeight="false" outlineLevel="0" collapsed="false">
      <c r="A1133" s="0" t="n">
        <v>2889</v>
      </c>
      <c r="B1133" s="0" t="s">
        <v>6321</v>
      </c>
      <c r="C1133" s="0" t="s">
        <v>6322</v>
      </c>
      <c r="E1133" s="0" t="n">
        <f aca="false">IF(J1132=J1133,E1132+10,0)</f>
        <v>140</v>
      </c>
      <c r="F1133" s="0" t="s">
        <v>6323</v>
      </c>
      <c r="G1133" s="0" t="s">
        <v>6324</v>
      </c>
      <c r="H1133" s="0" t="s">
        <v>6325</v>
      </c>
      <c r="I1133" s="0" t="s">
        <v>3268</v>
      </c>
      <c r="J1133" s="0" t="s">
        <v>6263</v>
      </c>
      <c r="K1133" s="0" t="s">
        <v>971</v>
      </c>
      <c r="L1133" s="0" t="s">
        <v>974</v>
      </c>
      <c r="M1133" s="0" t="s">
        <v>973</v>
      </c>
      <c r="N1133" s="0" t="s">
        <v>974</v>
      </c>
      <c r="O1133" s="0" t="s">
        <v>975</v>
      </c>
      <c r="P1133" s="0" t="s">
        <v>976</v>
      </c>
      <c r="Q1133" s="0" t="s">
        <v>974</v>
      </c>
      <c r="R1133" s="0" t="s">
        <v>970</v>
      </c>
      <c r="S1133" s="0" t="s">
        <v>974</v>
      </c>
    </row>
    <row r="1134" customFormat="false" ht="13.8" hidden="false" customHeight="false" outlineLevel="0" collapsed="false">
      <c r="A1134" s="0" t="n">
        <v>2890</v>
      </c>
      <c r="B1134" s="0" t="s">
        <v>6326</v>
      </c>
      <c r="C1134" s="0" t="s">
        <v>5115</v>
      </c>
      <c r="E1134" s="0" t="n">
        <f aca="false">IF(J1133=J1134,E1133+10,0)</f>
        <v>0</v>
      </c>
      <c r="F1134" s="0" t="s">
        <v>6327</v>
      </c>
      <c r="G1134" s="0" t="s">
        <v>6328</v>
      </c>
      <c r="H1134" s="0" t="s">
        <v>6329</v>
      </c>
      <c r="I1134" s="0" t="s">
        <v>1249</v>
      </c>
      <c r="J1134" s="0" t="s">
        <v>1829</v>
      </c>
      <c r="K1134" s="0" t="s">
        <v>971</v>
      </c>
      <c r="L1134" s="0" t="s">
        <v>974</v>
      </c>
      <c r="M1134" s="0" t="s">
        <v>973</v>
      </c>
      <c r="N1134" s="0" t="s">
        <v>974</v>
      </c>
      <c r="O1134" s="0" t="s">
        <v>975</v>
      </c>
      <c r="P1134" s="0" t="s">
        <v>976</v>
      </c>
      <c r="Q1134" s="0" t="s">
        <v>1381</v>
      </c>
      <c r="R1134" s="0" t="s">
        <v>1046</v>
      </c>
      <c r="S1134" s="0" t="s">
        <v>974</v>
      </c>
    </row>
    <row r="1135" customFormat="false" ht="13.8" hidden="false" customHeight="false" outlineLevel="0" collapsed="false">
      <c r="A1135" s="0" t="n">
        <v>2891</v>
      </c>
      <c r="B1135" s="0" t="s">
        <v>6330</v>
      </c>
      <c r="C1135" s="0" t="s">
        <v>6331</v>
      </c>
      <c r="E1135" s="0" t="n">
        <f aca="false">IF(J1134=J1135,E1134+10,0)</f>
        <v>10</v>
      </c>
      <c r="F1135" s="0" t="s">
        <v>6332</v>
      </c>
      <c r="G1135" s="0" t="s">
        <v>6333</v>
      </c>
      <c r="H1135" s="0" t="s">
        <v>6334</v>
      </c>
      <c r="I1135" s="0" t="s">
        <v>970</v>
      </c>
      <c r="J1135" s="0" t="s">
        <v>1829</v>
      </c>
      <c r="K1135" s="0" t="s">
        <v>971</v>
      </c>
      <c r="L1135" s="0" t="s">
        <v>974</v>
      </c>
      <c r="M1135" s="0" t="s">
        <v>973</v>
      </c>
      <c r="N1135" s="0" t="s">
        <v>974</v>
      </c>
      <c r="O1135" s="0" t="s">
        <v>975</v>
      </c>
      <c r="P1135" s="0" t="s">
        <v>976</v>
      </c>
      <c r="Q1135" s="0" t="s">
        <v>1059</v>
      </c>
      <c r="R1135" s="0" t="s">
        <v>970</v>
      </c>
      <c r="S1135" s="0" t="s">
        <v>974</v>
      </c>
    </row>
    <row r="1136" customFormat="false" ht="13.8" hidden="false" customHeight="false" outlineLevel="0" collapsed="false">
      <c r="A1136" s="0" t="n">
        <v>2892</v>
      </c>
      <c r="B1136" s="0" t="s">
        <v>6335</v>
      </c>
      <c r="C1136" s="0" t="s">
        <v>6139</v>
      </c>
      <c r="E1136" s="0" t="n">
        <f aca="false">IF(J1135=J1136,E1135+10,0)</f>
        <v>20</v>
      </c>
      <c r="F1136" s="0" t="s">
        <v>6336</v>
      </c>
      <c r="G1136" s="0" t="s">
        <v>6337</v>
      </c>
      <c r="H1136" s="0" t="s">
        <v>6338</v>
      </c>
      <c r="I1136" s="0" t="s">
        <v>3695</v>
      </c>
      <c r="J1136" s="0" t="s">
        <v>1829</v>
      </c>
      <c r="K1136" s="0" t="s">
        <v>971</v>
      </c>
      <c r="L1136" s="0" t="s">
        <v>974</v>
      </c>
      <c r="M1136" s="0" t="s">
        <v>973</v>
      </c>
      <c r="N1136" s="0" t="s">
        <v>974</v>
      </c>
      <c r="O1136" s="0" t="s">
        <v>975</v>
      </c>
      <c r="P1136" s="0" t="s">
        <v>976</v>
      </c>
      <c r="Q1136" s="0" t="s">
        <v>973</v>
      </c>
      <c r="R1136" s="0" t="s">
        <v>1046</v>
      </c>
      <c r="S1136" s="0" t="s">
        <v>974</v>
      </c>
    </row>
    <row r="1137" customFormat="false" ht="13.8" hidden="false" customHeight="false" outlineLevel="0" collapsed="false">
      <c r="A1137" s="0" t="n">
        <v>2893</v>
      </c>
      <c r="B1137" s="0" t="s">
        <v>6339</v>
      </c>
      <c r="C1137" s="0" t="s">
        <v>6340</v>
      </c>
      <c r="E1137" s="0" t="n">
        <f aca="false">IF(J1136=J1137,E1136+10,0)</f>
        <v>30</v>
      </c>
      <c r="F1137" s="0" t="s">
        <v>6341</v>
      </c>
      <c r="G1137" s="0" t="s">
        <v>6342</v>
      </c>
      <c r="H1137" s="0" t="s">
        <v>6343</v>
      </c>
      <c r="I1137" s="0" t="s">
        <v>1123</v>
      </c>
      <c r="J1137" s="0" t="s">
        <v>1829</v>
      </c>
      <c r="K1137" s="0" t="s">
        <v>971</v>
      </c>
      <c r="L1137" s="0" t="s">
        <v>974</v>
      </c>
      <c r="M1137" s="0" t="s">
        <v>973</v>
      </c>
      <c r="N1137" s="0" t="s">
        <v>974</v>
      </c>
      <c r="O1137" s="0" t="s">
        <v>975</v>
      </c>
      <c r="P1137" s="0" t="s">
        <v>976</v>
      </c>
      <c r="Q1137" s="0" t="s">
        <v>973</v>
      </c>
      <c r="R1137" s="0" t="s">
        <v>1046</v>
      </c>
      <c r="S1137" s="0" t="s">
        <v>974</v>
      </c>
    </row>
    <row r="1138" customFormat="false" ht="13.8" hidden="false" customHeight="false" outlineLevel="0" collapsed="false">
      <c r="A1138" s="0" t="n">
        <v>2894</v>
      </c>
      <c r="B1138" s="0" t="s">
        <v>6344</v>
      </c>
      <c r="C1138" s="0" t="s">
        <v>6345</v>
      </c>
      <c r="E1138" s="0" t="n">
        <f aca="false">IF(J1137=J1138,E1137+10,0)</f>
        <v>40</v>
      </c>
      <c r="F1138" s="0" t="s">
        <v>6346</v>
      </c>
      <c r="G1138" s="0" t="s">
        <v>6347</v>
      </c>
      <c r="H1138" s="0" t="s">
        <v>6348</v>
      </c>
      <c r="I1138" s="0" t="s">
        <v>5360</v>
      </c>
      <c r="J1138" s="0" t="s">
        <v>1829</v>
      </c>
      <c r="K1138" s="0" t="s">
        <v>971</v>
      </c>
      <c r="L1138" s="0" t="s">
        <v>6349</v>
      </c>
      <c r="M1138" s="0" t="s">
        <v>1459</v>
      </c>
      <c r="N1138" s="0" t="s">
        <v>974</v>
      </c>
      <c r="O1138" s="0" t="s">
        <v>975</v>
      </c>
      <c r="P1138" s="0" t="s">
        <v>976</v>
      </c>
      <c r="Q1138" s="0" t="s">
        <v>974</v>
      </c>
      <c r="R1138" s="0" t="s">
        <v>970</v>
      </c>
      <c r="S1138" s="0" t="s">
        <v>974</v>
      </c>
    </row>
    <row r="1139" customFormat="false" ht="13.8" hidden="false" customHeight="false" outlineLevel="0" collapsed="false">
      <c r="A1139" s="0" t="n">
        <v>2895</v>
      </c>
      <c r="B1139" s="0" t="s">
        <v>6350</v>
      </c>
      <c r="C1139" s="0" t="s">
        <v>6216</v>
      </c>
      <c r="E1139" s="0" t="n">
        <f aca="false">IF(J1138=J1139,E1138+10,0)</f>
        <v>50</v>
      </c>
      <c r="F1139" s="0" t="s">
        <v>6351</v>
      </c>
      <c r="G1139" s="0" t="s">
        <v>6352</v>
      </c>
      <c r="H1139" s="0" t="s">
        <v>6353</v>
      </c>
      <c r="I1139" s="0" t="s">
        <v>1175</v>
      </c>
      <c r="J1139" s="0" t="s">
        <v>1829</v>
      </c>
      <c r="K1139" s="0" t="s">
        <v>971</v>
      </c>
      <c r="L1139" s="0" t="s">
        <v>1151</v>
      </c>
      <c r="M1139" s="0" t="s">
        <v>973</v>
      </c>
      <c r="N1139" s="0" t="s">
        <v>974</v>
      </c>
      <c r="O1139" s="0" t="s">
        <v>975</v>
      </c>
      <c r="P1139" s="0" t="s">
        <v>976</v>
      </c>
      <c r="Q1139" s="0" t="s">
        <v>974</v>
      </c>
      <c r="R1139" s="0" t="s">
        <v>970</v>
      </c>
      <c r="S1139" s="0" t="s">
        <v>974</v>
      </c>
    </row>
    <row r="1140" customFormat="false" ht="13.8" hidden="false" customHeight="false" outlineLevel="0" collapsed="false">
      <c r="A1140" s="0" t="n">
        <v>2896</v>
      </c>
      <c r="B1140" s="0" t="s">
        <v>6354</v>
      </c>
      <c r="C1140" s="0" t="s">
        <v>3012</v>
      </c>
      <c r="E1140" s="0" t="n">
        <f aca="false">IF(J1139=J1140,E1139+10,0)</f>
        <v>0</v>
      </c>
      <c r="F1140" s="0" t="s">
        <v>6355</v>
      </c>
      <c r="G1140" s="0" t="s">
        <v>6356</v>
      </c>
      <c r="H1140" s="0" t="s">
        <v>6357</v>
      </c>
      <c r="I1140" s="0" t="s">
        <v>995</v>
      </c>
      <c r="J1140" s="0" t="s">
        <v>1765</v>
      </c>
      <c r="K1140" s="0" t="s">
        <v>971</v>
      </c>
      <c r="L1140" s="0" t="s">
        <v>982</v>
      </c>
      <c r="M1140" s="0" t="s">
        <v>973</v>
      </c>
      <c r="N1140" s="0" t="s">
        <v>974</v>
      </c>
      <c r="O1140" s="0" t="s">
        <v>975</v>
      </c>
      <c r="P1140" s="0" t="s">
        <v>976</v>
      </c>
      <c r="Q1140" s="0" t="s">
        <v>974</v>
      </c>
      <c r="R1140" s="0" t="s">
        <v>970</v>
      </c>
      <c r="S1140" s="0" t="s">
        <v>974</v>
      </c>
    </row>
    <row r="1141" customFormat="false" ht="13.8" hidden="false" customHeight="false" outlineLevel="0" collapsed="false">
      <c r="A1141" s="0" t="n">
        <v>2897</v>
      </c>
      <c r="B1141" s="0" t="s">
        <v>6358</v>
      </c>
      <c r="C1141" s="0" t="s">
        <v>3901</v>
      </c>
      <c r="E1141" s="0" t="n">
        <f aca="false">IF(J1140=J1141,E1140+10,0)</f>
        <v>10</v>
      </c>
      <c r="F1141" s="0" t="s">
        <v>6359</v>
      </c>
      <c r="G1141" s="0" t="s">
        <v>6360</v>
      </c>
      <c r="H1141" s="0" t="s">
        <v>6361</v>
      </c>
      <c r="I1141" s="0" t="s">
        <v>1505</v>
      </c>
      <c r="J1141" s="0" t="s">
        <v>1765</v>
      </c>
      <c r="K1141" s="0" t="s">
        <v>6362</v>
      </c>
      <c r="L1141" s="0" t="s">
        <v>995</v>
      </c>
      <c r="M1141" s="0" t="s">
        <v>973</v>
      </c>
      <c r="N1141" s="0" t="s">
        <v>974</v>
      </c>
      <c r="O1141" s="0" t="s">
        <v>975</v>
      </c>
      <c r="P1141" s="0" t="s">
        <v>976</v>
      </c>
      <c r="Q1141" s="0" t="s">
        <v>974</v>
      </c>
      <c r="R1141" s="0" t="s">
        <v>970</v>
      </c>
      <c r="S1141" s="0" t="s">
        <v>974</v>
      </c>
    </row>
    <row r="1142" customFormat="false" ht="13.8" hidden="false" customHeight="false" outlineLevel="0" collapsed="false">
      <c r="A1142" s="0" t="n">
        <v>2898</v>
      </c>
      <c r="B1142" s="0" t="s">
        <v>6363</v>
      </c>
      <c r="C1142" s="0" t="s">
        <v>1146</v>
      </c>
      <c r="E1142" s="0" t="n">
        <f aca="false">IF(J1141=J1142,E1141+10,0)</f>
        <v>20</v>
      </c>
      <c r="F1142" s="0" t="s">
        <v>6364</v>
      </c>
      <c r="G1142" s="0" t="s">
        <v>6365</v>
      </c>
      <c r="H1142" s="0" t="s">
        <v>6366</v>
      </c>
      <c r="I1142" s="0" t="s">
        <v>1150</v>
      </c>
      <c r="J1142" s="0" t="s">
        <v>1765</v>
      </c>
      <c r="K1142" s="0" t="s">
        <v>6367</v>
      </c>
      <c r="L1142" s="0" t="s">
        <v>1067</v>
      </c>
      <c r="M1142" s="0" t="s">
        <v>973</v>
      </c>
      <c r="N1142" s="0" t="s">
        <v>974</v>
      </c>
      <c r="O1142" s="0" t="s">
        <v>975</v>
      </c>
      <c r="P1142" s="0" t="s">
        <v>976</v>
      </c>
      <c r="Q1142" s="0" t="s">
        <v>974</v>
      </c>
      <c r="R1142" s="0" t="s">
        <v>970</v>
      </c>
      <c r="S1142" s="0" t="s">
        <v>974</v>
      </c>
    </row>
    <row r="1143" customFormat="false" ht="13.8" hidden="false" customHeight="false" outlineLevel="0" collapsed="false">
      <c r="A1143" s="0" t="n">
        <v>2899</v>
      </c>
      <c r="B1143" s="0" t="s">
        <v>6368</v>
      </c>
      <c r="C1143" s="0" t="s">
        <v>6369</v>
      </c>
      <c r="E1143" s="0" t="n">
        <f aca="false">IF(J1142=J1143,E1142+10,0)</f>
        <v>30</v>
      </c>
      <c r="F1143" s="0" t="s">
        <v>6370</v>
      </c>
      <c r="G1143" s="0" t="s">
        <v>6371</v>
      </c>
      <c r="H1143" s="0" t="s">
        <v>6372</v>
      </c>
      <c r="I1143" s="0" t="s">
        <v>3890</v>
      </c>
      <c r="J1143" s="0" t="s">
        <v>1765</v>
      </c>
      <c r="K1143" s="0" t="s">
        <v>6373</v>
      </c>
      <c r="L1143" s="0" t="s">
        <v>1067</v>
      </c>
      <c r="M1143" s="0" t="s">
        <v>973</v>
      </c>
      <c r="N1143" s="0" t="s">
        <v>974</v>
      </c>
      <c r="O1143" s="0" t="s">
        <v>975</v>
      </c>
      <c r="P1143" s="0" t="s">
        <v>976</v>
      </c>
      <c r="Q1143" s="0" t="s">
        <v>974</v>
      </c>
      <c r="R1143" s="0" t="s">
        <v>970</v>
      </c>
      <c r="S1143" s="0" t="s">
        <v>974</v>
      </c>
    </row>
    <row r="1144" customFormat="false" ht="13.8" hidden="false" customHeight="false" outlineLevel="0" collapsed="false">
      <c r="A1144" s="0" t="n">
        <v>2900</v>
      </c>
      <c r="B1144" s="0" t="s">
        <v>6374</v>
      </c>
      <c r="C1144" s="0" t="s">
        <v>1048</v>
      </c>
      <c r="E1144" s="0" t="n">
        <f aca="false">IF(J1143=J1144,E1143+10,0)</f>
        <v>40</v>
      </c>
      <c r="F1144" s="0" t="s">
        <v>6375</v>
      </c>
      <c r="G1144" s="0" t="s">
        <v>6376</v>
      </c>
      <c r="H1144" s="0" t="s">
        <v>6377</v>
      </c>
      <c r="I1144" s="0" t="s">
        <v>1052</v>
      </c>
      <c r="J1144" s="0" t="s">
        <v>1765</v>
      </c>
      <c r="K1144" s="0" t="s">
        <v>971</v>
      </c>
      <c r="L1144" s="0" t="s">
        <v>1737</v>
      </c>
      <c r="M1144" s="0" t="s">
        <v>973</v>
      </c>
      <c r="N1144" s="0" t="s">
        <v>974</v>
      </c>
      <c r="O1144" s="0" t="s">
        <v>975</v>
      </c>
      <c r="P1144" s="0" t="s">
        <v>976</v>
      </c>
      <c r="Q1144" s="0" t="s">
        <v>974</v>
      </c>
      <c r="R1144" s="0" t="s">
        <v>970</v>
      </c>
      <c r="S1144" s="0" t="s">
        <v>974</v>
      </c>
    </row>
    <row r="1145" customFormat="false" ht="13.8" hidden="false" customHeight="false" outlineLevel="0" collapsed="false">
      <c r="A1145" s="0" t="n">
        <v>2901</v>
      </c>
      <c r="B1145" s="0" t="s">
        <v>6378</v>
      </c>
      <c r="C1145" s="0" t="s">
        <v>3859</v>
      </c>
      <c r="E1145" s="0" t="n">
        <f aca="false">IF(J1144=J1145,E1144+10,0)</f>
        <v>50</v>
      </c>
      <c r="F1145" s="0" t="s">
        <v>6379</v>
      </c>
      <c r="G1145" s="0" t="s">
        <v>6380</v>
      </c>
      <c r="H1145" s="0" t="s">
        <v>6381</v>
      </c>
      <c r="I1145" s="0" t="s">
        <v>970</v>
      </c>
      <c r="J1145" s="0" t="s">
        <v>1765</v>
      </c>
      <c r="K1145" s="0" t="s">
        <v>6382</v>
      </c>
      <c r="L1145" s="0" t="s">
        <v>974</v>
      </c>
      <c r="M1145" s="0" t="s">
        <v>973</v>
      </c>
      <c r="N1145" s="0" t="s">
        <v>974</v>
      </c>
      <c r="O1145" s="0" t="s">
        <v>975</v>
      </c>
      <c r="P1145" s="0" t="s">
        <v>976</v>
      </c>
      <c r="Q1145" s="0" t="s">
        <v>970</v>
      </c>
      <c r="R1145" s="0" t="s">
        <v>970</v>
      </c>
      <c r="S1145" s="0" t="s">
        <v>974</v>
      </c>
    </row>
    <row r="1146" customFormat="false" ht="13.8" hidden="false" customHeight="false" outlineLevel="0" collapsed="false">
      <c r="A1146" s="0" t="n">
        <v>2902</v>
      </c>
      <c r="B1146" s="0" t="s">
        <v>6383</v>
      </c>
      <c r="C1146" s="0" t="s">
        <v>6384</v>
      </c>
      <c r="E1146" s="0" t="n">
        <f aca="false">IF(J1145=J1146,E1145+10,0)</f>
        <v>60</v>
      </c>
      <c r="F1146" s="0" t="s">
        <v>6385</v>
      </c>
      <c r="G1146" s="0" t="s">
        <v>6386</v>
      </c>
      <c r="H1146" s="0" t="s">
        <v>6387</v>
      </c>
      <c r="I1146" s="0" t="s">
        <v>1167</v>
      </c>
      <c r="J1146" s="0" t="s">
        <v>1765</v>
      </c>
      <c r="K1146" s="0" t="s">
        <v>6388</v>
      </c>
      <c r="L1146" s="0" t="s">
        <v>974</v>
      </c>
      <c r="M1146" s="0" t="s">
        <v>973</v>
      </c>
      <c r="N1146" s="0" t="s">
        <v>974</v>
      </c>
      <c r="O1146" s="0" t="s">
        <v>975</v>
      </c>
      <c r="P1146" s="0" t="s">
        <v>976</v>
      </c>
      <c r="Q1146" s="0" t="s">
        <v>1446</v>
      </c>
      <c r="R1146" s="0" t="s">
        <v>970</v>
      </c>
      <c r="S1146" s="0" t="s">
        <v>974</v>
      </c>
    </row>
    <row r="1147" customFormat="false" ht="13.8" hidden="false" customHeight="false" outlineLevel="0" collapsed="false">
      <c r="A1147" s="0" t="n">
        <v>2903</v>
      </c>
      <c r="B1147" s="0" t="s">
        <v>6389</v>
      </c>
      <c r="C1147" s="0" t="s">
        <v>6390</v>
      </c>
      <c r="E1147" s="0" t="n">
        <f aca="false">IF(J1146=J1147,E1146+10,0)</f>
        <v>70</v>
      </c>
      <c r="F1147" s="0" t="s">
        <v>6391</v>
      </c>
      <c r="G1147" s="0" t="s">
        <v>6392</v>
      </c>
      <c r="H1147" s="0" t="s">
        <v>6393</v>
      </c>
      <c r="I1147" s="0" t="s">
        <v>1021</v>
      </c>
      <c r="J1147" s="0" t="s">
        <v>1765</v>
      </c>
      <c r="K1147" s="0" t="s">
        <v>6394</v>
      </c>
      <c r="L1147" s="0" t="s">
        <v>974</v>
      </c>
      <c r="M1147" s="0" t="s">
        <v>973</v>
      </c>
      <c r="N1147" s="0" t="s">
        <v>974</v>
      </c>
      <c r="O1147" s="0" t="s">
        <v>975</v>
      </c>
      <c r="P1147" s="0" t="s">
        <v>976</v>
      </c>
      <c r="Q1147" s="0" t="s">
        <v>2852</v>
      </c>
      <c r="R1147" s="0" t="s">
        <v>1046</v>
      </c>
      <c r="S1147" s="0" t="s">
        <v>974</v>
      </c>
    </row>
    <row r="1148" customFormat="false" ht="13.8" hidden="false" customHeight="false" outlineLevel="0" collapsed="false">
      <c r="A1148" s="0" t="n">
        <v>2904</v>
      </c>
      <c r="B1148" s="0" t="s">
        <v>6395</v>
      </c>
      <c r="C1148" s="0" t="s">
        <v>5115</v>
      </c>
      <c r="E1148" s="0" t="n">
        <f aca="false">IF(J1147=J1148,E1147+10,0)</f>
        <v>80</v>
      </c>
      <c r="F1148" s="0" t="s">
        <v>6396</v>
      </c>
      <c r="G1148" s="0" t="s">
        <v>6397</v>
      </c>
      <c r="H1148" s="0" t="s">
        <v>6398</v>
      </c>
      <c r="I1148" s="0" t="s">
        <v>1249</v>
      </c>
      <c r="J1148" s="0" t="s">
        <v>1765</v>
      </c>
      <c r="K1148" s="0" t="s">
        <v>971</v>
      </c>
      <c r="L1148" s="0" t="s">
        <v>974</v>
      </c>
      <c r="M1148" s="0" t="s">
        <v>973</v>
      </c>
      <c r="N1148" s="0" t="s">
        <v>974</v>
      </c>
      <c r="O1148" s="0" t="s">
        <v>975</v>
      </c>
      <c r="P1148" s="0" t="s">
        <v>976</v>
      </c>
      <c r="Q1148" s="0" t="s">
        <v>1059</v>
      </c>
      <c r="R1148" s="0" t="s">
        <v>970</v>
      </c>
      <c r="S1148" s="0" t="s">
        <v>974</v>
      </c>
    </row>
    <row r="1149" customFormat="false" ht="13.8" hidden="false" customHeight="false" outlineLevel="0" collapsed="false">
      <c r="A1149" s="0" t="n">
        <v>2905</v>
      </c>
      <c r="B1149" s="0" t="s">
        <v>6399</v>
      </c>
      <c r="C1149" s="0" t="s">
        <v>4643</v>
      </c>
      <c r="E1149" s="0" t="n">
        <f aca="false">IF(J1148=J1149,E1148+10,0)</f>
        <v>90</v>
      </c>
      <c r="F1149" s="0" t="s">
        <v>6400</v>
      </c>
      <c r="G1149" s="0" t="s">
        <v>6401</v>
      </c>
      <c r="H1149" s="0" t="s">
        <v>6402</v>
      </c>
      <c r="I1149" s="0" t="s">
        <v>1065</v>
      </c>
      <c r="J1149" s="0" t="s">
        <v>1765</v>
      </c>
      <c r="K1149" s="0" t="s">
        <v>6403</v>
      </c>
      <c r="L1149" s="0" t="s">
        <v>974</v>
      </c>
      <c r="M1149" s="0" t="s">
        <v>973</v>
      </c>
      <c r="N1149" s="0" t="s">
        <v>974</v>
      </c>
      <c r="O1149" s="0" t="s">
        <v>975</v>
      </c>
      <c r="P1149" s="0" t="s">
        <v>976</v>
      </c>
      <c r="Q1149" s="0" t="s">
        <v>973</v>
      </c>
      <c r="R1149" s="0" t="s">
        <v>970</v>
      </c>
      <c r="S1149" s="0" t="s">
        <v>974</v>
      </c>
    </row>
    <row r="1150" customFormat="false" ht="13.8" hidden="false" customHeight="false" outlineLevel="0" collapsed="false">
      <c r="A1150" s="0" t="n">
        <v>2906</v>
      </c>
      <c r="B1150" s="0" t="s">
        <v>6404</v>
      </c>
      <c r="C1150" s="0" t="s">
        <v>1054</v>
      </c>
      <c r="E1150" s="0" t="n">
        <f aca="false">IF(J1149=J1150,E1149+10,0)</f>
        <v>100</v>
      </c>
      <c r="F1150" s="0" t="s">
        <v>6405</v>
      </c>
      <c r="G1150" s="0" t="s">
        <v>6406</v>
      </c>
      <c r="H1150" s="0" t="s">
        <v>6407</v>
      </c>
      <c r="I1150" s="0" t="s">
        <v>1058</v>
      </c>
      <c r="J1150" s="0" t="s">
        <v>1765</v>
      </c>
      <c r="K1150" s="0" t="s">
        <v>971</v>
      </c>
      <c r="L1150" s="0" t="s">
        <v>974</v>
      </c>
      <c r="M1150" s="0" t="s">
        <v>973</v>
      </c>
      <c r="N1150" s="0" t="s">
        <v>974</v>
      </c>
      <c r="O1150" s="0" t="s">
        <v>975</v>
      </c>
      <c r="P1150" s="0" t="s">
        <v>976</v>
      </c>
      <c r="Q1150" s="0" t="s">
        <v>973</v>
      </c>
      <c r="R1150" s="0" t="s">
        <v>970</v>
      </c>
      <c r="S1150" s="0" t="s">
        <v>974</v>
      </c>
    </row>
    <row r="1151" customFormat="false" ht="13.8" hidden="false" customHeight="false" outlineLevel="0" collapsed="false">
      <c r="A1151" s="0" t="n">
        <v>2907</v>
      </c>
      <c r="B1151" s="0" t="s">
        <v>6408</v>
      </c>
      <c r="C1151" s="0" t="s">
        <v>6409</v>
      </c>
      <c r="E1151" s="0" t="n">
        <f aca="false">IF(J1150=J1151,E1150+10,0)</f>
        <v>110</v>
      </c>
      <c r="F1151" s="0" t="s">
        <v>6410</v>
      </c>
      <c r="G1151" s="0" t="s">
        <v>6411</v>
      </c>
      <c r="H1151" s="0" t="s">
        <v>6412</v>
      </c>
      <c r="I1151" s="0" t="s">
        <v>1045</v>
      </c>
      <c r="J1151" s="0" t="s">
        <v>1765</v>
      </c>
      <c r="K1151" s="0" t="s">
        <v>971</v>
      </c>
      <c r="L1151" s="0" t="s">
        <v>2195</v>
      </c>
      <c r="M1151" s="0" t="s">
        <v>1459</v>
      </c>
      <c r="N1151" s="0" t="s">
        <v>974</v>
      </c>
      <c r="O1151" s="0" t="s">
        <v>975</v>
      </c>
      <c r="P1151" s="0" t="s">
        <v>976</v>
      </c>
      <c r="Q1151" s="0" t="s">
        <v>974</v>
      </c>
      <c r="R1151" s="0" t="s">
        <v>970</v>
      </c>
      <c r="S1151" s="0" t="s">
        <v>974</v>
      </c>
    </row>
    <row r="1152" customFormat="false" ht="13.8" hidden="false" customHeight="false" outlineLevel="0" collapsed="false">
      <c r="A1152" s="0" t="n">
        <v>2908</v>
      </c>
      <c r="B1152" s="0" t="s">
        <v>6413</v>
      </c>
      <c r="C1152" s="0" t="s">
        <v>6414</v>
      </c>
      <c r="E1152" s="0" t="n">
        <f aca="false">IF(J1151=J1152,E1151+10,0)</f>
        <v>120</v>
      </c>
      <c r="F1152" s="0" t="s">
        <v>6415</v>
      </c>
      <c r="G1152" s="0" t="s">
        <v>6416</v>
      </c>
      <c r="H1152" s="0" t="s">
        <v>6417</v>
      </c>
      <c r="I1152" s="0" t="s">
        <v>4182</v>
      </c>
      <c r="J1152" s="0" t="s">
        <v>1765</v>
      </c>
      <c r="K1152" s="0" t="s">
        <v>971</v>
      </c>
      <c r="L1152" s="0" t="s">
        <v>974</v>
      </c>
      <c r="M1152" s="0" t="s">
        <v>973</v>
      </c>
      <c r="N1152" s="0" t="s">
        <v>974</v>
      </c>
      <c r="O1152" s="0" t="s">
        <v>975</v>
      </c>
      <c r="P1152" s="0" t="s">
        <v>976</v>
      </c>
      <c r="Q1152" s="0" t="s">
        <v>970</v>
      </c>
      <c r="R1152" s="0" t="s">
        <v>970</v>
      </c>
      <c r="S1152" s="0" t="s">
        <v>974</v>
      </c>
    </row>
    <row r="1153" customFormat="false" ht="13.8" hidden="false" customHeight="false" outlineLevel="0" collapsed="false">
      <c r="A1153" s="0" t="n">
        <v>2909</v>
      </c>
      <c r="B1153" s="0" t="s">
        <v>6418</v>
      </c>
      <c r="C1153" s="0" t="s">
        <v>2823</v>
      </c>
      <c r="E1153" s="0" t="n">
        <f aca="false">IF(J1152=J1153,E1152+10,0)</f>
        <v>130</v>
      </c>
      <c r="F1153" s="0" t="s">
        <v>6419</v>
      </c>
      <c r="G1153" s="0" t="s">
        <v>6420</v>
      </c>
      <c r="H1153" s="0" t="s">
        <v>6421</v>
      </c>
      <c r="I1153" s="0" t="s">
        <v>1100</v>
      </c>
      <c r="J1153" s="0" t="s">
        <v>1765</v>
      </c>
      <c r="K1153" s="0" t="s">
        <v>971</v>
      </c>
      <c r="L1153" s="0" t="s">
        <v>974</v>
      </c>
      <c r="M1153" s="0" t="s">
        <v>973</v>
      </c>
      <c r="N1153" s="0" t="s">
        <v>974</v>
      </c>
      <c r="O1153" s="0" t="s">
        <v>975</v>
      </c>
      <c r="P1153" s="0" t="s">
        <v>976</v>
      </c>
      <c r="Q1153" s="0" t="s">
        <v>975</v>
      </c>
      <c r="R1153" s="0" t="s">
        <v>1046</v>
      </c>
      <c r="S1153" s="0" t="s">
        <v>974</v>
      </c>
    </row>
    <row r="1154" customFormat="false" ht="13.8" hidden="false" customHeight="false" outlineLevel="0" collapsed="false">
      <c r="A1154" s="0" t="n">
        <v>2910</v>
      </c>
      <c r="B1154" s="0" t="s">
        <v>6422</v>
      </c>
      <c r="C1154" s="0" t="s">
        <v>1547</v>
      </c>
      <c r="E1154" s="0" t="n">
        <f aca="false">IF(J1153=J1154,E1153+10,0)</f>
        <v>140</v>
      </c>
      <c r="F1154" s="0" t="s">
        <v>6423</v>
      </c>
      <c r="G1154" s="0" t="s">
        <v>6424</v>
      </c>
      <c r="H1154" s="0" t="s">
        <v>6425</v>
      </c>
      <c r="I1154" s="0" t="s">
        <v>1551</v>
      </c>
      <c r="J1154" s="0" t="s">
        <v>1765</v>
      </c>
      <c r="K1154" s="0" t="s">
        <v>971</v>
      </c>
      <c r="L1154" s="0" t="s">
        <v>973</v>
      </c>
      <c r="M1154" s="0" t="s">
        <v>973</v>
      </c>
      <c r="N1154" s="0" t="s">
        <v>974</v>
      </c>
      <c r="O1154" s="0" t="s">
        <v>975</v>
      </c>
      <c r="P1154" s="0" t="s">
        <v>976</v>
      </c>
      <c r="Q1154" s="0" t="s">
        <v>974</v>
      </c>
      <c r="R1154" s="0" t="s">
        <v>970</v>
      </c>
      <c r="S1154" s="0" t="s">
        <v>974</v>
      </c>
    </row>
    <row r="1155" customFormat="false" ht="13.8" hidden="false" customHeight="false" outlineLevel="0" collapsed="false">
      <c r="A1155" s="0" t="n">
        <v>2911</v>
      </c>
      <c r="B1155" s="0" t="s">
        <v>6426</v>
      </c>
      <c r="C1155" s="0" t="s">
        <v>4542</v>
      </c>
      <c r="E1155" s="0" t="n">
        <f aca="false">IF(J1154=J1155,E1154+10,0)</f>
        <v>0</v>
      </c>
      <c r="F1155" s="0" t="s">
        <v>6427</v>
      </c>
      <c r="G1155" s="0" t="s">
        <v>6428</v>
      </c>
      <c r="H1155" s="0" t="s">
        <v>6429</v>
      </c>
      <c r="I1155" s="0" t="s">
        <v>1711</v>
      </c>
      <c r="J1155" s="0" t="s">
        <v>1717</v>
      </c>
      <c r="K1155" s="0" t="s">
        <v>971</v>
      </c>
      <c r="L1155" s="0" t="s">
        <v>1829</v>
      </c>
      <c r="M1155" s="0" t="s">
        <v>973</v>
      </c>
      <c r="N1155" s="0" t="s">
        <v>974</v>
      </c>
      <c r="O1155" s="0" t="s">
        <v>975</v>
      </c>
      <c r="P1155" s="0" t="s">
        <v>976</v>
      </c>
      <c r="Q1155" s="0" t="s">
        <v>974</v>
      </c>
      <c r="R1155" s="0" t="s">
        <v>970</v>
      </c>
      <c r="S1155" s="0" t="s">
        <v>974</v>
      </c>
    </row>
    <row r="1156" customFormat="false" ht="13.8" hidden="false" customHeight="false" outlineLevel="0" collapsed="false">
      <c r="A1156" s="0" t="n">
        <v>2912</v>
      </c>
      <c r="B1156" s="0" t="s">
        <v>6430</v>
      </c>
      <c r="C1156" s="0" t="s">
        <v>3242</v>
      </c>
      <c r="E1156" s="0" t="n">
        <f aca="false">IF(J1155=J1156,E1155+10,0)</f>
        <v>10</v>
      </c>
      <c r="F1156" s="0" t="s">
        <v>6431</v>
      </c>
      <c r="G1156" s="0" t="s">
        <v>6432</v>
      </c>
      <c r="H1156" s="0" t="s">
        <v>6433</v>
      </c>
      <c r="I1156" s="0" t="s">
        <v>3246</v>
      </c>
      <c r="J1156" s="0" t="s">
        <v>1717</v>
      </c>
      <c r="K1156" s="0" t="s">
        <v>971</v>
      </c>
      <c r="L1156" s="0" t="s">
        <v>1117</v>
      </c>
      <c r="M1156" s="0" t="s">
        <v>973</v>
      </c>
      <c r="N1156" s="0" t="s">
        <v>974</v>
      </c>
      <c r="O1156" s="0" t="s">
        <v>975</v>
      </c>
      <c r="P1156" s="0" t="s">
        <v>976</v>
      </c>
      <c r="Q1156" s="0" t="s">
        <v>974</v>
      </c>
      <c r="R1156" s="0" t="s">
        <v>970</v>
      </c>
      <c r="S1156" s="0" t="s">
        <v>974</v>
      </c>
    </row>
    <row r="1157" customFormat="false" ht="13.8" hidden="false" customHeight="false" outlineLevel="0" collapsed="false">
      <c r="A1157" s="0" t="n">
        <v>2913</v>
      </c>
      <c r="B1157" s="0" t="s">
        <v>6434</v>
      </c>
      <c r="C1157" s="0" t="s">
        <v>6435</v>
      </c>
      <c r="E1157" s="0" t="n">
        <f aca="false">IF(J1156=J1157,E1156+10,0)</f>
        <v>20</v>
      </c>
      <c r="F1157" s="0" t="s">
        <v>6436</v>
      </c>
      <c r="G1157" s="0" t="s">
        <v>6437</v>
      </c>
      <c r="H1157" s="0" t="s">
        <v>6438</v>
      </c>
      <c r="I1157" s="0" t="s">
        <v>2543</v>
      </c>
      <c r="J1157" s="0" t="s">
        <v>1717</v>
      </c>
      <c r="K1157" s="0" t="s">
        <v>971</v>
      </c>
      <c r="L1157" s="0" t="s">
        <v>995</v>
      </c>
      <c r="M1157" s="0" t="s">
        <v>973</v>
      </c>
      <c r="N1157" s="0" t="s">
        <v>974</v>
      </c>
      <c r="O1157" s="0" t="s">
        <v>975</v>
      </c>
      <c r="P1157" s="0" t="s">
        <v>976</v>
      </c>
      <c r="Q1157" s="0" t="s">
        <v>974</v>
      </c>
      <c r="R1157" s="0" t="s">
        <v>970</v>
      </c>
      <c r="S1157" s="0" t="s">
        <v>974</v>
      </c>
    </row>
    <row r="1158" customFormat="false" ht="13.8" hidden="false" customHeight="false" outlineLevel="0" collapsed="false">
      <c r="A1158" s="0" t="n">
        <v>2914</v>
      </c>
      <c r="B1158" s="0" t="s">
        <v>6439</v>
      </c>
      <c r="C1158" s="0" t="s">
        <v>6440</v>
      </c>
      <c r="E1158" s="0" t="n">
        <f aca="false">IF(J1157=J1158,E1157+10,0)</f>
        <v>30</v>
      </c>
      <c r="F1158" s="0" t="s">
        <v>6441</v>
      </c>
      <c r="G1158" s="0" t="s">
        <v>6442</v>
      </c>
      <c r="H1158" s="0" t="s">
        <v>6443</v>
      </c>
      <c r="I1158" s="0" t="s">
        <v>1231</v>
      </c>
      <c r="J1158" s="0" t="s">
        <v>1717</v>
      </c>
      <c r="K1158" s="0" t="s">
        <v>971</v>
      </c>
      <c r="L1158" s="0" t="s">
        <v>1214</v>
      </c>
      <c r="M1158" s="0" t="s">
        <v>973</v>
      </c>
      <c r="N1158" s="0" t="s">
        <v>974</v>
      </c>
      <c r="O1158" s="0" t="s">
        <v>975</v>
      </c>
      <c r="P1158" s="0" t="s">
        <v>976</v>
      </c>
      <c r="Q1158" s="0" t="s">
        <v>974</v>
      </c>
      <c r="R1158" s="0" t="s">
        <v>970</v>
      </c>
      <c r="S1158" s="0" t="s">
        <v>974</v>
      </c>
    </row>
    <row r="1159" customFormat="false" ht="13.8" hidden="false" customHeight="false" outlineLevel="0" collapsed="false">
      <c r="A1159" s="0" t="n">
        <v>2915</v>
      </c>
      <c r="B1159" s="0" t="s">
        <v>6444</v>
      </c>
      <c r="C1159" s="0" t="s">
        <v>6445</v>
      </c>
      <c r="E1159" s="0" t="n">
        <f aca="false">IF(J1158=J1159,E1158+10,0)</f>
        <v>40</v>
      </c>
      <c r="F1159" s="0" t="s">
        <v>6446</v>
      </c>
      <c r="G1159" s="0" t="s">
        <v>6447</v>
      </c>
      <c r="H1159" s="0" t="s">
        <v>6448</v>
      </c>
      <c r="I1159" s="0" t="s">
        <v>1052</v>
      </c>
      <c r="J1159" s="0" t="s">
        <v>1717</v>
      </c>
      <c r="K1159" s="0" t="s">
        <v>971</v>
      </c>
      <c r="L1159" s="0" t="s">
        <v>1186</v>
      </c>
      <c r="M1159" s="0" t="s">
        <v>973</v>
      </c>
      <c r="N1159" s="0" t="s">
        <v>974</v>
      </c>
      <c r="O1159" s="0" t="s">
        <v>975</v>
      </c>
      <c r="P1159" s="0" t="s">
        <v>976</v>
      </c>
      <c r="Q1159" s="0" t="s">
        <v>974</v>
      </c>
      <c r="R1159" s="0" t="s">
        <v>970</v>
      </c>
      <c r="S1159" s="0" t="s">
        <v>974</v>
      </c>
    </row>
    <row r="1160" customFormat="false" ht="13.8" hidden="false" customHeight="false" outlineLevel="0" collapsed="false">
      <c r="A1160" s="0" t="n">
        <v>2916</v>
      </c>
      <c r="B1160" s="0" t="s">
        <v>6449</v>
      </c>
      <c r="C1160" s="0" t="s">
        <v>6450</v>
      </c>
      <c r="E1160" s="0" t="n">
        <f aca="false">IF(J1159=J1160,E1159+10,0)</f>
        <v>50</v>
      </c>
      <c r="F1160" s="0" t="s">
        <v>6451</v>
      </c>
      <c r="G1160" s="0" t="s">
        <v>6452</v>
      </c>
      <c r="H1160" s="0" t="s">
        <v>6453</v>
      </c>
      <c r="I1160" s="0" t="s">
        <v>1021</v>
      </c>
      <c r="J1160" s="0" t="s">
        <v>1717</v>
      </c>
      <c r="K1160" s="0" t="s">
        <v>971</v>
      </c>
      <c r="L1160" s="0" t="s">
        <v>974</v>
      </c>
      <c r="M1160" s="0" t="s">
        <v>973</v>
      </c>
      <c r="N1160" s="0" t="s">
        <v>974</v>
      </c>
      <c r="O1160" s="0" t="s">
        <v>975</v>
      </c>
      <c r="P1160" s="0" t="s">
        <v>976</v>
      </c>
      <c r="Q1160" s="0" t="s">
        <v>1059</v>
      </c>
      <c r="R1160" s="0" t="s">
        <v>970</v>
      </c>
      <c r="S1160" s="0" t="s">
        <v>974</v>
      </c>
    </row>
    <row r="1161" customFormat="false" ht="13.8" hidden="false" customHeight="false" outlineLevel="0" collapsed="false">
      <c r="A1161" s="0" t="n">
        <v>2917</v>
      </c>
      <c r="B1161" s="0" t="s">
        <v>6454</v>
      </c>
      <c r="C1161" s="0" t="s">
        <v>6455</v>
      </c>
      <c r="E1161" s="0" t="n">
        <f aca="false">IF(J1160=J1161,E1160+10,0)</f>
        <v>60</v>
      </c>
      <c r="F1161" s="0" t="s">
        <v>6456</v>
      </c>
      <c r="G1161" s="0" t="s">
        <v>6457</v>
      </c>
      <c r="H1161" s="0" t="s">
        <v>6458</v>
      </c>
      <c r="I1161" s="0" t="s">
        <v>1088</v>
      </c>
      <c r="J1161" s="0" t="s">
        <v>1717</v>
      </c>
      <c r="K1161" s="0" t="s">
        <v>971</v>
      </c>
      <c r="L1161" s="0" t="s">
        <v>974</v>
      </c>
      <c r="M1161" s="0" t="s">
        <v>973</v>
      </c>
      <c r="N1161" s="0" t="s">
        <v>974</v>
      </c>
      <c r="O1161" s="0" t="s">
        <v>975</v>
      </c>
      <c r="P1161" s="0" t="s">
        <v>976</v>
      </c>
      <c r="Q1161" s="0" t="s">
        <v>1968</v>
      </c>
      <c r="R1161" s="0" t="s">
        <v>1046</v>
      </c>
      <c r="S1161" s="0" t="s">
        <v>974</v>
      </c>
    </row>
    <row r="1162" customFormat="false" ht="13.8" hidden="false" customHeight="false" outlineLevel="0" collapsed="false">
      <c r="A1162" s="0" t="n">
        <v>2918</v>
      </c>
      <c r="B1162" s="0" t="s">
        <v>6459</v>
      </c>
      <c r="C1162" s="0" t="s">
        <v>6460</v>
      </c>
      <c r="E1162" s="0" t="n">
        <f aca="false">IF(J1161=J1162,E1161+10,0)</f>
        <v>70</v>
      </c>
      <c r="F1162" s="0" t="s">
        <v>6461</v>
      </c>
      <c r="G1162" s="0" t="s">
        <v>6462</v>
      </c>
      <c r="H1162" s="0" t="s">
        <v>6463</v>
      </c>
      <c r="I1162" s="0" t="s">
        <v>1587</v>
      </c>
      <c r="J1162" s="0" t="s">
        <v>1717</v>
      </c>
      <c r="K1162" s="0" t="s">
        <v>971</v>
      </c>
      <c r="L1162" s="0" t="s">
        <v>974</v>
      </c>
      <c r="M1162" s="0" t="s">
        <v>973</v>
      </c>
      <c r="N1162" s="0" t="s">
        <v>974</v>
      </c>
      <c r="O1162" s="0" t="s">
        <v>975</v>
      </c>
      <c r="P1162" s="0" t="s">
        <v>976</v>
      </c>
      <c r="Q1162" s="0" t="s">
        <v>2852</v>
      </c>
      <c r="R1162" s="0" t="s">
        <v>1046</v>
      </c>
      <c r="S1162" s="0" t="s">
        <v>974</v>
      </c>
    </row>
    <row r="1163" customFormat="false" ht="13.8" hidden="false" customHeight="false" outlineLevel="0" collapsed="false">
      <c r="A1163" s="0" t="n">
        <v>2919</v>
      </c>
      <c r="B1163" s="0" t="s">
        <v>6464</v>
      </c>
      <c r="C1163" s="0" t="s">
        <v>6465</v>
      </c>
      <c r="E1163" s="0" t="n">
        <f aca="false">IF(J1162=J1163,E1162+10,0)</f>
        <v>80</v>
      </c>
      <c r="F1163" s="0" t="s">
        <v>6466</v>
      </c>
      <c r="G1163" s="0" t="s">
        <v>6467</v>
      </c>
      <c r="H1163" s="0" t="s">
        <v>6468</v>
      </c>
      <c r="I1163" s="0" t="s">
        <v>1008</v>
      </c>
      <c r="J1163" s="0" t="s">
        <v>1717</v>
      </c>
      <c r="K1163" s="0" t="s">
        <v>971</v>
      </c>
      <c r="L1163" s="0" t="s">
        <v>974</v>
      </c>
      <c r="M1163" s="0" t="s">
        <v>973</v>
      </c>
      <c r="N1163" s="0" t="s">
        <v>974</v>
      </c>
      <c r="O1163" s="0" t="s">
        <v>975</v>
      </c>
      <c r="P1163" s="0" t="s">
        <v>976</v>
      </c>
      <c r="Q1163" s="0" t="s">
        <v>970</v>
      </c>
      <c r="R1163" s="0" t="s">
        <v>1046</v>
      </c>
      <c r="S1163" s="0" t="s">
        <v>974</v>
      </c>
    </row>
    <row r="1164" customFormat="false" ht="13.8" hidden="false" customHeight="false" outlineLevel="0" collapsed="false">
      <c r="A1164" s="0" t="n">
        <v>2920</v>
      </c>
      <c r="B1164" s="0" t="s">
        <v>6469</v>
      </c>
      <c r="C1164" s="0" t="s">
        <v>6470</v>
      </c>
      <c r="E1164" s="0" t="n">
        <f aca="false">IF(J1163=J1164,E1163+10,0)</f>
        <v>90</v>
      </c>
      <c r="F1164" s="0" t="s">
        <v>6471</v>
      </c>
      <c r="G1164" s="0" t="s">
        <v>6472</v>
      </c>
      <c r="H1164" s="0" t="s">
        <v>6473</v>
      </c>
      <c r="I1164" s="0" t="s">
        <v>3513</v>
      </c>
      <c r="J1164" s="0" t="s">
        <v>1717</v>
      </c>
      <c r="K1164" s="0" t="s">
        <v>971</v>
      </c>
      <c r="L1164" s="0" t="s">
        <v>974</v>
      </c>
      <c r="M1164" s="0" t="s">
        <v>973</v>
      </c>
      <c r="N1164" s="0" t="s">
        <v>974</v>
      </c>
      <c r="O1164" s="0" t="s">
        <v>975</v>
      </c>
      <c r="P1164" s="0" t="s">
        <v>976</v>
      </c>
      <c r="Q1164" s="0" t="s">
        <v>970</v>
      </c>
      <c r="R1164" s="0" t="s">
        <v>1046</v>
      </c>
      <c r="S1164" s="0" t="s">
        <v>974</v>
      </c>
    </row>
    <row r="1165" customFormat="false" ht="13.8" hidden="false" customHeight="false" outlineLevel="0" collapsed="false">
      <c r="A1165" s="0" t="n">
        <v>2921</v>
      </c>
      <c r="B1165" s="0" t="s">
        <v>6474</v>
      </c>
      <c r="C1165" s="0" t="s">
        <v>6475</v>
      </c>
      <c r="E1165" s="0" t="n">
        <f aca="false">IF(J1164=J1165,E1164+10,0)</f>
        <v>100</v>
      </c>
      <c r="F1165" s="0" t="s">
        <v>6476</v>
      </c>
      <c r="G1165" s="0" t="s">
        <v>6477</v>
      </c>
      <c r="H1165" s="0" t="s">
        <v>6478</v>
      </c>
      <c r="I1165" s="0" t="s">
        <v>1100</v>
      </c>
      <c r="J1165" s="0" t="s">
        <v>1717</v>
      </c>
      <c r="K1165" s="0" t="s">
        <v>971</v>
      </c>
      <c r="L1165" s="0" t="s">
        <v>974</v>
      </c>
      <c r="M1165" s="0" t="s">
        <v>973</v>
      </c>
      <c r="N1165" s="0" t="s">
        <v>974</v>
      </c>
      <c r="O1165" s="0" t="s">
        <v>975</v>
      </c>
      <c r="P1165" s="0" t="s">
        <v>976</v>
      </c>
      <c r="Q1165" s="0" t="s">
        <v>1214</v>
      </c>
      <c r="R1165" s="0" t="s">
        <v>1046</v>
      </c>
      <c r="S1165" s="0" t="s">
        <v>974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69"/>
  <sheetViews>
    <sheetView showFormulas="false" showGridLines="true" showRowColHeaders="true" showZeros="true" rightToLeft="false" tabSelected="false" showOutlineSymbols="true" defaultGridColor="true" view="normal" topLeftCell="A1200" colorId="64" zoomScale="85" zoomScaleNormal="85" zoomScalePageLayoutView="100" workbookViewId="0">
      <selection pane="topLeft" activeCell="E1210" activeCellId="0" sqref="E1210"/>
    </sheetView>
  </sheetViews>
  <sheetFormatPr defaultRowHeight="12.8" outlineLevelRow="0" outlineLevelCol="0"/>
  <cols>
    <col collapsed="false" customWidth="true" hidden="false" outlineLevel="0" max="1025" min="1" style="0" width="9.14"/>
  </cols>
  <sheetData>
    <row r="1" customFormat="false" ht="12.8" hidden="false" customHeight="false" outlineLevel="0" collapsed="false">
      <c r="A1" s="0" t="s">
        <v>516</v>
      </c>
    </row>
    <row r="2" customFormat="false" ht="12.8" hidden="false" customHeight="false" outlineLevel="0" collapsed="false">
      <c r="A2" s="0" t="n">
        <v>7</v>
      </c>
      <c r="C2" s="0" t="s">
        <v>513</v>
      </c>
    </row>
    <row r="3" customFormat="false" ht="12.8" hidden="false" customHeight="false" outlineLevel="0" collapsed="false">
      <c r="A3" s="0" t="n">
        <v>8</v>
      </c>
      <c r="C3" s="0" t="s">
        <v>6479</v>
      </c>
    </row>
    <row r="4" customFormat="false" ht="12.8" hidden="false" customHeight="false" outlineLevel="0" collapsed="false">
      <c r="A4" s="0" t="n">
        <v>9</v>
      </c>
      <c r="C4" s="0" t="s">
        <v>6480</v>
      </c>
    </row>
    <row r="5" customFormat="false" ht="12.8" hidden="false" customHeight="false" outlineLevel="0" collapsed="false">
      <c r="A5" s="0" t="n">
        <v>10</v>
      </c>
      <c r="C5" s="0" t="s">
        <v>6481</v>
      </c>
    </row>
    <row r="6" customFormat="false" ht="12.8" hidden="false" customHeight="false" outlineLevel="0" collapsed="false">
      <c r="A6" s="0" t="n">
        <v>11</v>
      </c>
      <c r="C6" s="0" t="s">
        <v>6482</v>
      </c>
    </row>
    <row r="7" customFormat="false" ht="12.8" hidden="false" customHeight="false" outlineLevel="0" collapsed="false">
      <c r="A7" s="0" t="n">
        <v>12</v>
      </c>
      <c r="C7" s="0" t="s">
        <v>6483</v>
      </c>
    </row>
    <row r="8" customFormat="false" ht="12.8" hidden="false" customHeight="false" outlineLevel="0" collapsed="false">
      <c r="A8" s="0" t="n">
        <v>13</v>
      </c>
      <c r="C8" s="0" t="s">
        <v>6484</v>
      </c>
    </row>
    <row r="9" customFormat="false" ht="12.8" hidden="false" customHeight="false" outlineLevel="0" collapsed="false">
      <c r="A9" s="0" t="n">
        <v>14</v>
      </c>
      <c r="C9" s="0" t="s">
        <v>6485</v>
      </c>
    </row>
    <row r="10" customFormat="false" ht="12.8" hidden="false" customHeight="false" outlineLevel="0" collapsed="false">
      <c r="A10" s="0" t="n">
        <v>15</v>
      </c>
      <c r="C10" s="0" t="s">
        <v>6486</v>
      </c>
    </row>
    <row r="11" customFormat="false" ht="12.8" hidden="false" customHeight="false" outlineLevel="0" collapsed="false">
      <c r="A11" s="0" t="n">
        <v>16</v>
      </c>
      <c r="C11" s="0" t="s">
        <v>6487</v>
      </c>
    </row>
    <row r="12" customFormat="false" ht="12.8" hidden="false" customHeight="false" outlineLevel="0" collapsed="false">
      <c r="A12" s="0" t="n">
        <v>17</v>
      </c>
      <c r="C12" s="0" t="s">
        <v>6488</v>
      </c>
    </row>
    <row r="13" customFormat="false" ht="12.8" hidden="false" customHeight="false" outlineLevel="0" collapsed="false">
      <c r="A13" s="0" t="n">
        <v>18</v>
      </c>
      <c r="C13" s="0" t="s">
        <v>6489</v>
      </c>
    </row>
    <row r="14" customFormat="false" ht="12.8" hidden="false" customHeight="false" outlineLevel="0" collapsed="false">
      <c r="A14" s="0" t="n">
        <v>19</v>
      </c>
      <c r="C14" s="0" t="s">
        <v>6490</v>
      </c>
    </row>
    <row r="15" customFormat="false" ht="12.8" hidden="false" customHeight="false" outlineLevel="0" collapsed="false">
      <c r="A15" s="0" t="n">
        <v>20</v>
      </c>
      <c r="C15" s="0" t="s">
        <v>6491</v>
      </c>
    </row>
    <row r="16" customFormat="false" ht="12.8" hidden="false" customHeight="false" outlineLevel="0" collapsed="false">
      <c r="A16" s="0" t="n">
        <v>21</v>
      </c>
      <c r="C16" s="0" t="s">
        <v>6492</v>
      </c>
    </row>
    <row r="17" customFormat="false" ht="12.8" hidden="false" customHeight="false" outlineLevel="0" collapsed="false">
      <c r="A17" s="0" t="n">
        <v>22</v>
      </c>
      <c r="C17" s="0" t="s">
        <v>6493</v>
      </c>
    </row>
    <row r="18" customFormat="false" ht="12.8" hidden="false" customHeight="false" outlineLevel="0" collapsed="false">
      <c r="A18" s="0" t="n">
        <v>25</v>
      </c>
      <c r="C18" s="0" t="s">
        <v>6494</v>
      </c>
    </row>
    <row r="19" customFormat="false" ht="12.8" hidden="false" customHeight="false" outlineLevel="0" collapsed="false">
      <c r="A19" s="0" t="n">
        <v>26</v>
      </c>
      <c r="C19" s="0" t="s">
        <v>6495</v>
      </c>
    </row>
    <row r="20" customFormat="false" ht="12.8" hidden="false" customHeight="false" outlineLevel="0" collapsed="false">
      <c r="A20" s="0" t="n">
        <v>27</v>
      </c>
      <c r="C20" s="0" t="s">
        <v>6496</v>
      </c>
    </row>
    <row r="21" customFormat="false" ht="12.8" hidden="false" customHeight="false" outlineLevel="0" collapsed="false">
      <c r="A21" s="0" t="n">
        <v>28</v>
      </c>
      <c r="C21" s="0" t="s">
        <v>6497</v>
      </c>
    </row>
    <row r="22" customFormat="false" ht="12.8" hidden="false" customHeight="false" outlineLevel="0" collapsed="false">
      <c r="A22" s="0" t="n">
        <v>29</v>
      </c>
      <c r="C22" s="0" t="s">
        <v>6498</v>
      </c>
    </row>
    <row r="23" customFormat="false" ht="12.8" hidden="false" customHeight="false" outlineLevel="0" collapsed="false">
      <c r="A23" s="0" t="n">
        <v>32</v>
      </c>
      <c r="C23" s="0" t="s">
        <v>6499</v>
      </c>
    </row>
    <row r="24" customFormat="false" ht="12.8" hidden="false" customHeight="false" outlineLevel="0" collapsed="false">
      <c r="A24" s="0" t="n">
        <v>33</v>
      </c>
      <c r="C24" s="0" t="s">
        <v>6500</v>
      </c>
    </row>
    <row r="25" customFormat="false" ht="12.8" hidden="false" customHeight="false" outlineLevel="0" collapsed="false">
      <c r="A25" s="0" t="n">
        <v>34</v>
      </c>
      <c r="C25" s="0" t="s">
        <v>6501</v>
      </c>
    </row>
    <row r="26" customFormat="false" ht="12.8" hidden="false" customHeight="false" outlineLevel="0" collapsed="false">
      <c r="A26" s="0" t="n">
        <v>35</v>
      </c>
      <c r="C26" s="0" t="s">
        <v>6502</v>
      </c>
    </row>
    <row r="27" customFormat="false" ht="12.8" hidden="false" customHeight="false" outlineLevel="0" collapsed="false">
      <c r="A27" s="0" t="n">
        <v>36</v>
      </c>
      <c r="C27" s="0" t="s">
        <v>6503</v>
      </c>
    </row>
    <row r="28" customFormat="false" ht="12.8" hidden="false" customHeight="false" outlineLevel="0" collapsed="false">
      <c r="A28" s="0" t="n">
        <v>37</v>
      </c>
      <c r="C28" s="0" t="s">
        <v>6504</v>
      </c>
    </row>
    <row r="29" customFormat="false" ht="12.8" hidden="false" customHeight="false" outlineLevel="0" collapsed="false">
      <c r="A29" s="0" t="n">
        <v>38</v>
      </c>
      <c r="C29" s="0" t="s">
        <v>6505</v>
      </c>
    </row>
    <row r="30" customFormat="false" ht="12.8" hidden="false" customHeight="false" outlineLevel="0" collapsed="false">
      <c r="A30" s="0" t="n">
        <v>39</v>
      </c>
      <c r="C30" s="0" t="s">
        <v>6506</v>
      </c>
    </row>
    <row r="31" customFormat="false" ht="12.8" hidden="false" customHeight="false" outlineLevel="0" collapsed="false">
      <c r="A31" s="0" t="n">
        <v>40</v>
      </c>
      <c r="C31" s="0" t="s">
        <v>6507</v>
      </c>
    </row>
    <row r="32" customFormat="false" ht="12.8" hidden="false" customHeight="false" outlineLevel="0" collapsed="false">
      <c r="A32" s="0" t="n">
        <v>41</v>
      </c>
      <c r="C32" s="0" t="s">
        <v>6508</v>
      </c>
    </row>
    <row r="33" customFormat="false" ht="12.8" hidden="false" customHeight="false" outlineLevel="0" collapsed="false">
      <c r="A33" s="0" t="n">
        <v>42</v>
      </c>
      <c r="C33" s="0" t="s">
        <v>6509</v>
      </c>
    </row>
    <row r="34" customFormat="false" ht="12.8" hidden="false" customHeight="false" outlineLevel="0" collapsed="false">
      <c r="A34" s="0" t="n">
        <v>43</v>
      </c>
      <c r="C34" s="0" t="s">
        <v>6510</v>
      </c>
    </row>
    <row r="35" customFormat="false" ht="12.8" hidden="false" customHeight="false" outlineLevel="0" collapsed="false">
      <c r="A35" s="0" t="n">
        <v>46</v>
      </c>
      <c r="C35" s="0" t="s">
        <v>6511</v>
      </c>
    </row>
    <row r="36" customFormat="false" ht="12.8" hidden="false" customHeight="false" outlineLevel="0" collapsed="false">
      <c r="A36" s="0" t="n">
        <v>47</v>
      </c>
      <c r="C36" s="0" t="s">
        <v>6512</v>
      </c>
    </row>
    <row r="37" customFormat="false" ht="12.8" hidden="false" customHeight="false" outlineLevel="0" collapsed="false">
      <c r="A37" s="0" t="n">
        <v>48</v>
      </c>
      <c r="C37" s="0" t="s">
        <v>6513</v>
      </c>
    </row>
    <row r="38" customFormat="false" ht="12.8" hidden="false" customHeight="false" outlineLevel="0" collapsed="false">
      <c r="A38" s="0" t="n">
        <v>49</v>
      </c>
      <c r="C38" s="0" t="s">
        <v>6514</v>
      </c>
    </row>
    <row r="39" customFormat="false" ht="12.8" hidden="false" customHeight="false" outlineLevel="0" collapsed="false">
      <c r="A39" s="0" t="n">
        <v>50</v>
      </c>
      <c r="C39" s="0" t="s">
        <v>6515</v>
      </c>
    </row>
    <row r="40" customFormat="false" ht="12.8" hidden="false" customHeight="false" outlineLevel="0" collapsed="false">
      <c r="A40" s="0" t="n">
        <v>51</v>
      </c>
      <c r="C40" s="0" t="s">
        <v>6516</v>
      </c>
    </row>
    <row r="41" customFormat="false" ht="12.8" hidden="false" customHeight="false" outlineLevel="0" collapsed="false">
      <c r="A41" s="0" t="n">
        <v>52</v>
      </c>
      <c r="C41" s="0" t="s">
        <v>6517</v>
      </c>
    </row>
    <row r="42" customFormat="false" ht="12.8" hidden="false" customHeight="false" outlineLevel="0" collapsed="false">
      <c r="A42" s="0" t="n">
        <v>53</v>
      </c>
      <c r="C42" s="0" t="s">
        <v>6518</v>
      </c>
    </row>
    <row r="43" customFormat="false" ht="12.8" hidden="false" customHeight="false" outlineLevel="0" collapsed="false">
      <c r="A43" s="0" t="n">
        <v>54</v>
      </c>
      <c r="C43" s="0" t="s">
        <v>6519</v>
      </c>
    </row>
    <row r="44" customFormat="false" ht="12.8" hidden="false" customHeight="false" outlineLevel="0" collapsed="false">
      <c r="A44" s="0" t="n">
        <v>55</v>
      </c>
      <c r="C44" s="0" t="s">
        <v>6520</v>
      </c>
    </row>
    <row r="45" customFormat="false" ht="12.8" hidden="false" customHeight="false" outlineLevel="0" collapsed="false">
      <c r="A45" s="0" t="n">
        <v>56</v>
      </c>
      <c r="C45" s="0" t="s">
        <v>6521</v>
      </c>
    </row>
    <row r="46" customFormat="false" ht="12.8" hidden="false" customHeight="false" outlineLevel="0" collapsed="false">
      <c r="A46" s="0" t="n">
        <v>57</v>
      </c>
      <c r="C46" s="0" t="s">
        <v>6522</v>
      </c>
    </row>
    <row r="47" customFormat="false" ht="12.8" hidden="false" customHeight="false" outlineLevel="0" collapsed="false">
      <c r="A47" s="0" t="n">
        <v>58</v>
      </c>
      <c r="C47" s="0" t="s">
        <v>6523</v>
      </c>
    </row>
    <row r="48" customFormat="false" ht="12.8" hidden="false" customHeight="false" outlineLevel="0" collapsed="false">
      <c r="A48" s="0" t="n">
        <v>62</v>
      </c>
      <c r="C48" s="0" t="s">
        <v>6524</v>
      </c>
    </row>
    <row r="49" customFormat="false" ht="12.8" hidden="false" customHeight="false" outlineLevel="0" collapsed="false">
      <c r="A49" s="0" t="n">
        <v>63</v>
      </c>
      <c r="C49" s="0" t="s">
        <v>6525</v>
      </c>
    </row>
    <row r="50" customFormat="false" ht="12.8" hidden="false" customHeight="false" outlineLevel="0" collapsed="false">
      <c r="A50" s="0" t="n">
        <v>64</v>
      </c>
      <c r="C50" s="0" t="s">
        <v>6526</v>
      </c>
    </row>
    <row r="51" customFormat="false" ht="12.8" hidden="false" customHeight="false" outlineLevel="0" collapsed="false">
      <c r="A51" s="0" t="n">
        <v>65</v>
      </c>
      <c r="C51" s="0" t="s">
        <v>6527</v>
      </c>
    </row>
    <row r="52" customFormat="false" ht="12.8" hidden="false" customHeight="false" outlineLevel="0" collapsed="false">
      <c r="A52" s="0" t="n">
        <v>66</v>
      </c>
      <c r="C52" s="0" t="s">
        <v>6528</v>
      </c>
    </row>
    <row r="53" customFormat="false" ht="12.8" hidden="false" customHeight="false" outlineLevel="0" collapsed="false">
      <c r="A53" s="0" t="n">
        <v>67</v>
      </c>
      <c r="C53" s="0" t="s">
        <v>6529</v>
      </c>
    </row>
    <row r="54" customFormat="false" ht="12.8" hidden="false" customHeight="false" outlineLevel="0" collapsed="false">
      <c r="A54" s="0" t="n">
        <v>68</v>
      </c>
      <c r="C54" s="0" t="s">
        <v>6530</v>
      </c>
    </row>
    <row r="55" customFormat="false" ht="12.8" hidden="false" customHeight="false" outlineLevel="0" collapsed="false">
      <c r="A55" s="0" t="n">
        <v>69</v>
      </c>
      <c r="C55" s="0" t="s">
        <v>6531</v>
      </c>
    </row>
    <row r="56" customFormat="false" ht="12.8" hidden="false" customHeight="false" outlineLevel="0" collapsed="false">
      <c r="A56" s="0" t="n">
        <v>70</v>
      </c>
      <c r="C56" s="0" t="s">
        <v>6532</v>
      </c>
    </row>
    <row r="57" customFormat="false" ht="12.8" hidden="false" customHeight="false" outlineLevel="0" collapsed="false">
      <c r="A57" s="0" t="n">
        <v>71</v>
      </c>
      <c r="C57" s="0" t="s">
        <v>6533</v>
      </c>
    </row>
    <row r="58" customFormat="false" ht="12.8" hidden="false" customHeight="false" outlineLevel="0" collapsed="false">
      <c r="A58" s="0" t="n">
        <v>72</v>
      </c>
      <c r="C58" s="0" t="s">
        <v>6534</v>
      </c>
    </row>
    <row r="59" customFormat="false" ht="12.8" hidden="false" customHeight="false" outlineLevel="0" collapsed="false">
      <c r="A59" s="0" t="n">
        <v>73</v>
      </c>
      <c r="C59" s="0" t="s">
        <v>6535</v>
      </c>
    </row>
    <row r="60" customFormat="false" ht="12.8" hidden="false" customHeight="false" outlineLevel="0" collapsed="false">
      <c r="A60" s="0" t="n">
        <v>74</v>
      </c>
      <c r="C60" s="0" t="s">
        <v>6536</v>
      </c>
    </row>
    <row r="61" customFormat="false" ht="12.8" hidden="false" customHeight="false" outlineLevel="0" collapsed="false">
      <c r="A61" s="0" t="n">
        <v>75</v>
      </c>
      <c r="C61" s="0" t="s">
        <v>6537</v>
      </c>
    </row>
    <row r="62" customFormat="false" ht="12.8" hidden="false" customHeight="false" outlineLevel="0" collapsed="false">
      <c r="A62" s="0" t="n">
        <v>76</v>
      </c>
      <c r="C62" s="0" t="s">
        <v>6538</v>
      </c>
    </row>
    <row r="63" customFormat="false" ht="12.8" hidden="false" customHeight="false" outlineLevel="0" collapsed="false">
      <c r="A63" s="0" t="n">
        <v>77</v>
      </c>
      <c r="C63" s="0" t="s">
        <v>6539</v>
      </c>
    </row>
    <row r="64" customFormat="false" ht="12.8" hidden="false" customHeight="false" outlineLevel="0" collapsed="false">
      <c r="A64" s="0" t="n">
        <v>78</v>
      </c>
      <c r="C64" s="0" t="s">
        <v>6540</v>
      </c>
    </row>
    <row r="65" customFormat="false" ht="12.8" hidden="false" customHeight="false" outlineLevel="0" collapsed="false">
      <c r="A65" s="0" t="n">
        <v>82</v>
      </c>
      <c r="C65" s="0" t="s">
        <v>6541</v>
      </c>
    </row>
    <row r="66" customFormat="false" ht="12.8" hidden="false" customHeight="false" outlineLevel="0" collapsed="false">
      <c r="A66" s="0" t="n">
        <v>83</v>
      </c>
      <c r="C66" s="0" t="s">
        <v>6542</v>
      </c>
    </row>
    <row r="67" customFormat="false" ht="12.8" hidden="false" customHeight="false" outlineLevel="0" collapsed="false">
      <c r="A67" s="0" t="n">
        <v>84</v>
      </c>
      <c r="C67" s="0" t="s">
        <v>6543</v>
      </c>
    </row>
    <row r="68" customFormat="false" ht="12.8" hidden="false" customHeight="false" outlineLevel="0" collapsed="false">
      <c r="A68" s="0" t="n">
        <v>85</v>
      </c>
      <c r="C68" s="0" t="s">
        <v>6544</v>
      </c>
    </row>
    <row r="69" customFormat="false" ht="12.8" hidden="false" customHeight="false" outlineLevel="0" collapsed="false">
      <c r="A69" s="0" t="n">
        <v>86</v>
      </c>
      <c r="C69" s="0" t="s">
        <v>6545</v>
      </c>
    </row>
    <row r="70" customFormat="false" ht="12.8" hidden="false" customHeight="false" outlineLevel="0" collapsed="false">
      <c r="A70" s="0" t="n">
        <v>87</v>
      </c>
      <c r="C70" s="0" t="s">
        <v>6546</v>
      </c>
    </row>
    <row r="71" customFormat="false" ht="12.8" hidden="false" customHeight="false" outlineLevel="0" collapsed="false">
      <c r="A71" s="0" t="n">
        <v>88</v>
      </c>
      <c r="C71" s="0" t="s">
        <v>6547</v>
      </c>
    </row>
    <row r="72" customFormat="false" ht="12.8" hidden="false" customHeight="false" outlineLevel="0" collapsed="false">
      <c r="A72" s="0" t="n">
        <v>89</v>
      </c>
      <c r="C72" s="0" t="s">
        <v>6548</v>
      </c>
    </row>
    <row r="73" customFormat="false" ht="12.8" hidden="false" customHeight="false" outlineLevel="0" collapsed="false">
      <c r="A73" s="0" t="n">
        <v>90</v>
      </c>
      <c r="C73" s="0" t="s">
        <v>6549</v>
      </c>
    </row>
    <row r="74" customFormat="false" ht="12.8" hidden="false" customHeight="false" outlineLevel="0" collapsed="false">
      <c r="A74" s="0" t="n">
        <v>93</v>
      </c>
      <c r="C74" s="0" t="s">
        <v>6550</v>
      </c>
    </row>
    <row r="75" customFormat="false" ht="12.8" hidden="false" customHeight="false" outlineLevel="0" collapsed="false">
      <c r="A75" s="0" t="n">
        <v>95</v>
      </c>
      <c r="C75" s="0" t="s">
        <v>6551</v>
      </c>
    </row>
    <row r="76" customFormat="false" ht="12.8" hidden="false" customHeight="false" outlineLevel="0" collapsed="false">
      <c r="A76" s="0" t="n">
        <v>96</v>
      </c>
      <c r="C76" s="0" t="s">
        <v>6552</v>
      </c>
    </row>
    <row r="77" customFormat="false" ht="12.8" hidden="false" customHeight="false" outlineLevel="0" collapsed="false">
      <c r="A77" s="0" t="n">
        <v>97</v>
      </c>
      <c r="C77" s="0" t="s">
        <v>6553</v>
      </c>
    </row>
    <row r="78" customFormat="false" ht="12.8" hidden="false" customHeight="false" outlineLevel="0" collapsed="false">
      <c r="A78" s="0" t="n">
        <v>98</v>
      </c>
      <c r="C78" s="0" t="s">
        <v>6554</v>
      </c>
    </row>
    <row r="79" customFormat="false" ht="12.8" hidden="false" customHeight="false" outlineLevel="0" collapsed="false">
      <c r="A79" s="0" t="n">
        <v>99</v>
      </c>
      <c r="C79" s="0" t="s">
        <v>6555</v>
      </c>
    </row>
    <row r="80" customFormat="false" ht="12.8" hidden="false" customHeight="false" outlineLevel="0" collapsed="false">
      <c r="A80" s="0" t="n">
        <v>103</v>
      </c>
      <c r="C80" s="0" t="s">
        <v>6556</v>
      </c>
    </row>
    <row r="81" customFormat="false" ht="12.8" hidden="false" customHeight="false" outlineLevel="0" collapsed="false">
      <c r="A81" s="0" t="n">
        <v>104</v>
      </c>
      <c r="C81" s="0" t="s">
        <v>6557</v>
      </c>
    </row>
    <row r="82" customFormat="false" ht="12.8" hidden="false" customHeight="false" outlineLevel="0" collapsed="false">
      <c r="A82" s="0" t="n">
        <v>105</v>
      </c>
      <c r="C82" s="0" t="s">
        <v>6558</v>
      </c>
    </row>
    <row r="83" customFormat="false" ht="12.8" hidden="false" customHeight="false" outlineLevel="0" collapsed="false">
      <c r="A83" s="0" t="n">
        <v>106</v>
      </c>
      <c r="C83" s="0" t="s">
        <v>6559</v>
      </c>
    </row>
    <row r="84" customFormat="false" ht="12.8" hidden="false" customHeight="false" outlineLevel="0" collapsed="false">
      <c r="A84" s="0" t="n">
        <v>107</v>
      </c>
      <c r="C84" s="0" t="s">
        <v>6560</v>
      </c>
    </row>
    <row r="85" customFormat="false" ht="12.8" hidden="false" customHeight="false" outlineLevel="0" collapsed="false">
      <c r="A85" s="0" t="n">
        <v>108</v>
      </c>
      <c r="C85" s="0" t="s">
        <v>6561</v>
      </c>
    </row>
    <row r="86" customFormat="false" ht="12.8" hidden="false" customHeight="false" outlineLevel="0" collapsed="false">
      <c r="A86" s="0" t="n">
        <v>109</v>
      </c>
      <c r="C86" s="0" t="s">
        <v>6562</v>
      </c>
    </row>
    <row r="87" customFormat="false" ht="12.8" hidden="false" customHeight="false" outlineLevel="0" collapsed="false">
      <c r="A87" s="0" t="n">
        <v>110</v>
      </c>
      <c r="C87" s="0" t="s">
        <v>6563</v>
      </c>
    </row>
    <row r="88" customFormat="false" ht="12.8" hidden="false" customHeight="false" outlineLevel="0" collapsed="false">
      <c r="A88" s="0" t="n">
        <v>111</v>
      </c>
      <c r="C88" s="0" t="s">
        <v>6564</v>
      </c>
    </row>
    <row r="89" customFormat="false" ht="12.8" hidden="false" customHeight="false" outlineLevel="0" collapsed="false">
      <c r="A89" s="0" t="n">
        <v>112</v>
      </c>
      <c r="C89" s="0" t="s">
        <v>6565</v>
      </c>
    </row>
    <row r="90" customFormat="false" ht="12.8" hidden="false" customHeight="false" outlineLevel="0" collapsed="false">
      <c r="A90" s="0" t="n">
        <v>113</v>
      </c>
      <c r="C90" s="0" t="s">
        <v>6566</v>
      </c>
    </row>
    <row r="91" customFormat="false" ht="12.8" hidden="false" customHeight="false" outlineLevel="0" collapsed="false">
      <c r="A91" s="0" t="n">
        <v>116</v>
      </c>
      <c r="C91" s="0" t="s">
        <v>6567</v>
      </c>
    </row>
    <row r="92" customFormat="false" ht="12.8" hidden="false" customHeight="false" outlineLevel="0" collapsed="false">
      <c r="A92" s="0" t="n">
        <v>117</v>
      </c>
      <c r="C92" s="0" t="s">
        <v>6568</v>
      </c>
    </row>
    <row r="93" customFormat="false" ht="12.8" hidden="false" customHeight="false" outlineLevel="0" collapsed="false">
      <c r="A93" s="0" t="n">
        <v>118</v>
      </c>
      <c r="C93" s="0" t="s">
        <v>6569</v>
      </c>
    </row>
    <row r="94" customFormat="false" ht="12.8" hidden="false" customHeight="false" outlineLevel="0" collapsed="false">
      <c r="A94" s="0" t="n">
        <v>119</v>
      </c>
      <c r="C94" s="0" t="s">
        <v>6570</v>
      </c>
    </row>
    <row r="95" customFormat="false" ht="12.8" hidden="false" customHeight="false" outlineLevel="0" collapsed="false">
      <c r="A95" s="0" t="n">
        <v>120</v>
      </c>
      <c r="C95" s="0" t="s">
        <v>6571</v>
      </c>
    </row>
    <row r="96" customFormat="false" ht="12.8" hidden="false" customHeight="false" outlineLevel="0" collapsed="false">
      <c r="A96" s="0" t="n">
        <v>121</v>
      </c>
      <c r="C96" s="0" t="s">
        <v>6572</v>
      </c>
    </row>
    <row r="97" customFormat="false" ht="12.8" hidden="false" customHeight="false" outlineLevel="0" collapsed="false">
      <c r="A97" s="0" t="n">
        <v>122</v>
      </c>
      <c r="C97" s="0" t="s">
        <v>6573</v>
      </c>
    </row>
    <row r="98" customFormat="false" ht="12.8" hidden="false" customHeight="false" outlineLevel="0" collapsed="false">
      <c r="A98" s="0" t="n">
        <v>123</v>
      </c>
      <c r="C98" s="0" t="s">
        <v>6574</v>
      </c>
    </row>
    <row r="99" customFormat="false" ht="12.8" hidden="false" customHeight="false" outlineLevel="0" collapsed="false">
      <c r="A99" s="0" t="n">
        <v>124</v>
      </c>
      <c r="C99" s="0" t="s">
        <v>6575</v>
      </c>
    </row>
    <row r="100" customFormat="false" ht="12.8" hidden="false" customHeight="false" outlineLevel="0" collapsed="false">
      <c r="A100" s="0" t="n">
        <v>125</v>
      </c>
      <c r="C100" s="0" t="s">
        <v>6576</v>
      </c>
    </row>
    <row r="101" customFormat="false" ht="12.8" hidden="false" customHeight="false" outlineLevel="0" collapsed="false">
      <c r="A101" s="0" t="n">
        <v>126</v>
      </c>
      <c r="C101" s="0" t="s">
        <v>6577</v>
      </c>
    </row>
    <row r="102" customFormat="false" ht="12.8" hidden="false" customHeight="false" outlineLevel="0" collapsed="false">
      <c r="A102" s="0" t="n">
        <v>127</v>
      </c>
      <c r="C102" s="0" t="s">
        <v>6578</v>
      </c>
    </row>
    <row r="103" customFormat="false" ht="12.8" hidden="false" customHeight="false" outlineLevel="0" collapsed="false">
      <c r="A103" s="0" t="n">
        <v>128</v>
      </c>
      <c r="C103" s="0" t="s">
        <v>6579</v>
      </c>
    </row>
    <row r="104" customFormat="false" ht="12.8" hidden="false" customHeight="false" outlineLevel="0" collapsed="false">
      <c r="A104" s="0" t="n">
        <v>129</v>
      </c>
      <c r="C104" s="0" t="s">
        <v>6580</v>
      </c>
    </row>
    <row r="105" customFormat="false" ht="12.8" hidden="false" customHeight="false" outlineLevel="0" collapsed="false">
      <c r="A105" s="0" t="n">
        <v>133</v>
      </c>
      <c r="C105" s="0" t="s">
        <v>6581</v>
      </c>
    </row>
    <row r="106" customFormat="false" ht="12.8" hidden="false" customHeight="false" outlineLevel="0" collapsed="false">
      <c r="A106" s="0" t="n">
        <v>134</v>
      </c>
      <c r="C106" s="0" t="s">
        <v>6582</v>
      </c>
    </row>
    <row r="107" customFormat="false" ht="12.8" hidden="false" customHeight="false" outlineLevel="0" collapsed="false">
      <c r="A107" s="0" t="n">
        <v>135</v>
      </c>
      <c r="C107" s="0" t="s">
        <v>6583</v>
      </c>
    </row>
    <row r="108" customFormat="false" ht="12.8" hidden="false" customHeight="false" outlineLevel="0" collapsed="false">
      <c r="A108" s="0" t="n">
        <v>136</v>
      </c>
      <c r="C108" s="0" t="s">
        <v>6584</v>
      </c>
    </row>
    <row r="109" customFormat="false" ht="12.8" hidden="false" customHeight="false" outlineLevel="0" collapsed="false">
      <c r="A109" s="0" t="n">
        <v>137</v>
      </c>
      <c r="C109" s="0" t="s">
        <v>6585</v>
      </c>
    </row>
    <row r="110" customFormat="false" ht="12.8" hidden="false" customHeight="false" outlineLevel="0" collapsed="false">
      <c r="A110" s="0" t="n">
        <v>138</v>
      </c>
      <c r="C110" s="0" t="s">
        <v>6586</v>
      </c>
    </row>
    <row r="111" customFormat="false" ht="12.8" hidden="false" customHeight="false" outlineLevel="0" collapsed="false">
      <c r="A111" s="0" t="n">
        <v>139</v>
      </c>
      <c r="C111" s="0" t="s">
        <v>6587</v>
      </c>
    </row>
    <row r="112" customFormat="false" ht="12.8" hidden="false" customHeight="false" outlineLevel="0" collapsed="false">
      <c r="A112" s="0" t="n">
        <v>140</v>
      </c>
      <c r="C112" s="0" t="s">
        <v>6588</v>
      </c>
    </row>
    <row r="113" customFormat="false" ht="12.8" hidden="false" customHeight="false" outlineLevel="0" collapsed="false">
      <c r="A113" s="0" t="n">
        <v>141</v>
      </c>
      <c r="C113" s="0" t="s">
        <v>6589</v>
      </c>
    </row>
    <row r="114" customFormat="false" ht="12.8" hidden="false" customHeight="false" outlineLevel="0" collapsed="false">
      <c r="A114" s="0" t="n">
        <v>142</v>
      </c>
      <c r="C114" s="0" t="s">
        <v>6590</v>
      </c>
    </row>
    <row r="115" customFormat="false" ht="12.8" hidden="false" customHeight="false" outlineLevel="0" collapsed="false">
      <c r="A115" s="0" t="n">
        <v>143</v>
      </c>
      <c r="C115" s="0" t="s">
        <v>6591</v>
      </c>
    </row>
    <row r="116" customFormat="false" ht="12.8" hidden="false" customHeight="false" outlineLevel="0" collapsed="false">
      <c r="A116" s="0" t="n">
        <v>144</v>
      </c>
      <c r="C116" s="0" t="s">
        <v>6592</v>
      </c>
    </row>
    <row r="117" customFormat="false" ht="12.8" hidden="false" customHeight="false" outlineLevel="0" collapsed="false">
      <c r="A117" s="0" t="n">
        <v>145</v>
      </c>
      <c r="C117" s="0" t="s">
        <v>6593</v>
      </c>
    </row>
    <row r="118" customFormat="false" ht="12.8" hidden="false" customHeight="false" outlineLevel="0" collapsed="false">
      <c r="A118" s="0" t="n">
        <v>148</v>
      </c>
      <c r="C118" s="0" t="s">
        <v>6594</v>
      </c>
    </row>
    <row r="119" customFormat="false" ht="12.8" hidden="false" customHeight="false" outlineLevel="0" collapsed="false">
      <c r="A119" s="0" t="n">
        <v>149</v>
      </c>
      <c r="C119" s="0" t="s">
        <v>6595</v>
      </c>
    </row>
    <row r="120" customFormat="false" ht="12.8" hidden="false" customHeight="false" outlineLevel="0" collapsed="false">
      <c r="A120" s="0" t="n">
        <v>150</v>
      </c>
      <c r="C120" s="0" t="s">
        <v>6596</v>
      </c>
    </row>
    <row r="121" customFormat="false" ht="12.8" hidden="false" customHeight="false" outlineLevel="0" collapsed="false">
      <c r="A121" s="0" t="n">
        <v>151</v>
      </c>
      <c r="C121" s="0" t="s">
        <v>6597</v>
      </c>
    </row>
    <row r="122" customFormat="false" ht="12.8" hidden="false" customHeight="false" outlineLevel="0" collapsed="false">
      <c r="A122" s="0" t="n">
        <v>152</v>
      </c>
      <c r="C122" s="0" t="s">
        <v>6598</v>
      </c>
    </row>
    <row r="123" customFormat="false" ht="12.8" hidden="false" customHeight="false" outlineLevel="0" collapsed="false">
      <c r="A123" s="0" t="n">
        <v>153</v>
      </c>
      <c r="C123" s="0" t="s">
        <v>6599</v>
      </c>
    </row>
    <row r="124" customFormat="false" ht="12.8" hidden="false" customHeight="false" outlineLevel="0" collapsed="false">
      <c r="A124" s="0" t="n">
        <v>154</v>
      </c>
      <c r="C124" s="0" t="s">
        <v>6600</v>
      </c>
    </row>
    <row r="125" customFormat="false" ht="12.8" hidden="false" customHeight="false" outlineLevel="0" collapsed="false">
      <c r="A125" s="0" t="n">
        <v>155</v>
      </c>
      <c r="C125" s="0" t="s">
        <v>6601</v>
      </c>
    </row>
    <row r="126" customFormat="false" ht="12.8" hidden="false" customHeight="false" outlineLevel="0" collapsed="false">
      <c r="A126" s="0" t="n">
        <v>156</v>
      </c>
      <c r="C126" s="0" t="s">
        <v>6602</v>
      </c>
    </row>
    <row r="127" customFormat="false" ht="12.8" hidden="false" customHeight="false" outlineLevel="0" collapsed="false">
      <c r="A127" s="0" t="n">
        <v>157</v>
      </c>
      <c r="C127" s="0" t="s">
        <v>6603</v>
      </c>
    </row>
    <row r="128" customFormat="false" ht="12.8" hidden="false" customHeight="false" outlineLevel="0" collapsed="false">
      <c r="A128" s="0" t="n">
        <v>158</v>
      </c>
      <c r="C128" s="0" t="s">
        <v>6604</v>
      </c>
    </row>
    <row r="129" customFormat="false" ht="12.8" hidden="false" customHeight="false" outlineLevel="0" collapsed="false">
      <c r="A129" s="0" t="n">
        <v>159</v>
      </c>
      <c r="C129" s="0" t="s">
        <v>6605</v>
      </c>
    </row>
    <row r="130" customFormat="false" ht="12.8" hidden="false" customHeight="false" outlineLevel="0" collapsed="false">
      <c r="A130" s="0" t="n">
        <v>160</v>
      </c>
      <c r="C130" s="0" t="s">
        <v>6606</v>
      </c>
    </row>
    <row r="131" customFormat="false" ht="12.8" hidden="false" customHeight="false" outlineLevel="0" collapsed="false">
      <c r="A131" s="0" t="n">
        <v>161</v>
      </c>
      <c r="C131" s="0" t="s">
        <v>6607</v>
      </c>
    </row>
    <row r="132" customFormat="false" ht="12.8" hidden="false" customHeight="false" outlineLevel="0" collapsed="false">
      <c r="A132" s="0" t="n">
        <v>162</v>
      </c>
      <c r="C132" s="0" t="s">
        <v>6608</v>
      </c>
    </row>
    <row r="133" customFormat="false" ht="12.8" hidden="false" customHeight="false" outlineLevel="0" collapsed="false">
      <c r="A133" s="0" t="n">
        <v>163</v>
      </c>
      <c r="C133" s="0" t="s">
        <v>6609</v>
      </c>
    </row>
    <row r="134" customFormat="false" ht="12.8" hidden="false" customHeight="false" outlineLevel="0" collapsed="false">
      <c r="A134" s="0" t="n">
        <v>164</v>
      </c>
      <c r="C134" s="0" t="s">
        <v>6610</v>
      </c>
    </row>
    <row r="135" customFormat="false" ht="12.8" hidden="false" customHeight="false" outlineLevel="0" collapsed="false">
      <c r="A135" s="0" t="n">
        <v>165</v>
      </c>
      <c r="C135" s="0" t="s">
        <v>6611</v>
      </c>
    </row>
    <row r="136" customFormat="false" ht="12.8" hidden="false" customHeight="false" outlineLevel="0" collapsed="false">
      <c r="A136" s="0" t="n">
        <v>168</v>
      </c>
      <c r="C136" s="0" t="s">
        <v>6612</v>
      </c>
    </row>
    <row r="137" customFormat="false" ht="12.8" hidden="false" customHeight="false" outlineLevel="0" collapsed="false">
      <c r="A137" s="0" t="n">
        <v>169</v>
      </c>
      <c r="C137" s="0" t="s">
        <v>6613</v>
      </c>
    </row>
    <row r="138" customFormat="false" ht="12.8" hidden="false" customHeight="false" outlineLevel="0" collapsed="false">
      <c r="A138" s="0" t="n">
        <v>170</v>
      </c>
      <c r="C138" s="0" t="s">
        <v>6614</v>
      </c>
    </row>
    <row r="139" customFormat="false" ht="12.8" hidden="false" customHeight="false" outlineLevel="0" collapsed="false">
      <c r="A139" s="0" t="n">
        <v>171</v>
      </c>
      <c r="C139" s="0" t="s">
        <v>6615</v>
      </c>
    </row>
    <row r="140" customFormat="false" ht="12.8" hidden="false" customHeight="false" outlineLevel="0" collapsed="false">
      <c r="A140" s="0" t="n">
        <v>172</v>
      </c>
      <c r="C140" s="0" t="s">
        <v>6616</v>
      </c>
    </row>
    <row r="141" customFormat="false" ht="12.8" hidden="false" customHeight="false" outlineLevel="0" collapsed="false">
      <c r="A141" s="0" t="n">
        <v>173</v>
      </c>
      <c r="C141" s="0" t="s">
        <v>6617</v>
      </c>
    </row>
    <row r="142" customFormat="false" ht="12.8" hidden="false" customHeight="false" outlineLevel="0" collapsed="false">
      <c r="A142" s="0" t="n">
        <v>174</v>
      </c>
      <c r="C142" s="0" t="s">
        <v>6618</v>
      </c>
    </row>
    <row r="143" customFormat="false" ht="12.8" hidden="false" customHeight="false" outlineLevel="0" collapsed="false">
      <c r="A143" s="0" t="n">
        <v>175</v>
      </c>
      <c r="C143" s="0" t="s">
        <v>6619</v>
      </c>
    </row>
    <row r="144" customFormat="false" ht="12.8" hidden="false" customHeight="false" outlineLevel="0" collapsed="false">
      <c r="A144" s="0" t="n">
        <v>176</v>
      </c>
      <c r="C144" s="0" t="s">
        <v>6620</v>
      </c>
    </row>
    <row r="145" customFormat="false" ht="12.8" hidden="false" customHeight="false" outlineLevel="0" collapsed="false">
      <c r="A145" s="0" t="n">
        <v>177</v>
      </c>
      <c r="C145" s="0" t="s">
        <v>6621</v>
      </c>
    </row>
    <row r="146" customFormat="false" ht="12.8" hidden="false" customHeight="false" outlineLevel="0" collapsed="false">
      <c r="A146" s="0" t="n">
        <v>178</v>
      </c>
      <c r="C146" s="0" t="s">
        <v>6622</v>
      </c>
    </row>
    <row r="147" customFormat="false" ht="12.8" hidden="false" customHeight="false" outlineLevel="0" collapsed="false">
      <c r="A147" s="0" t="n">
        <v>180</v>
      </c>
      <c r="C147" s="0" t="s">
        <v>6623</v>
      </c>
    </row>
    <row r="148" customFormat="false" ht="12.8" hidden="false" customHeight="false" outlineLevel="0" collapsed="false">
      <c r="A148" s="0" t="n">
        <v>181</v>
      </c>
      <c r="C148" s="0" t="s">
        <v>6624</v>
      </c>
    </row>
    <row r="149" customFormat="false" ht="12.8" hidden="false" customHeight="false" outlineLevel="0" collapsed="false">
      <c r="A149" s="0" t="n">
        <v>182</v>
      </c>
      <c r="C149" s="0" t="s">
        <v>6625</v>
      </c>
    </row>
    <row r="150" customFormat="false" ht="12.8" hidden="false" customHeight="false" outlineLevel="0" collapsed="false">
      <c r="A150" s="0" t="n">
        <v>183</v>
      </c>
      <c r="C150" s="0" t="s">
        <v>6626</v>
      </c>
    </row>
    <row r="151" customFormat="false" ht="12.8" hidden="false" customHeight="false" outlineLevel="0" collapsed="false">
      <c r="A151" s="0" t="n">
        <v>184</v>
      </c>
      <c r="C151" s="0" t="s">
        <v>6627</v>
      </c>
    </row>
    <row r="152" customFormat="false" ht="12.8" hidden="false" customHeight="false" outlineLevel="0" collapsed="false">
      <c r="A152" s="0" t="n">
        <v>185</v>
      </c>
      <c r="C152" s="0" t="s">
        <v>6628</v>
      </c>
    </row>
    <row r="153" customFormat="false" ht="12.8" hidden="false" customHeight="false" outlineLevel="0" collapsed="false">
      <c r="A153" s="0" t="n">
        <v>186</v>
      </c>
      <c r="C153" s="0" t="s">
        <v>6629</v>
      </c>
    </row>
    <row r="154" customFormat="false" ht="12.8" hidden="false" customHeight="false" outlineLevel="0" collapsed="false">
      <c r="A154" s="0" t="n">
        <v>187</v>
      </c>
      <c r="C154" s="0" t="s">
        <v>6630</v>
      </c>
    </row>
    <row r="155" customFormat="false" ht="12.8" hidden="false" customHeight="false" outlineLevel="0" collapsed="false">
      <c r="A155" s="0" t="n">
        <v>188</v>
      </c>
      <c r="C155" s="0" t="s">
        <v>6631</v>
      </c>
    </row>
    <row r="156" customFormat="false" ht="12.8" hidden="false" customHeight="false" outlineLevel="0" collapsed="false">
      <c r="A156" s="0" t="n">
        <v>189</v>
      </c>
      <c r="C156" s="0" t="s">
        <v>6632</v>
      </c>
    </row>
    <row r="157" customFormat="false" ht="12.8" hidden="false" customHeight="false" outlineLevel="0" collapsed="false">
      <c r="A157" s="0" t="n">
        <v>190</v>
      </c>
      <c r="C157" s="0" t="s">
        <v>6633</v>
      </c>
    </row>
    <row r="158" customFormat="false" ht="12.8" hidden="false" customHeight="false" outlineLevel="0" collapsed="false">
      <c r="A158" s="0" t="n">
        <v>191</v>
      </c>
      <c r="C158" s="0" t="s">
        <v>6634</v>
      </c>
    </row>
    <row r="159" customFormat="false" ht="12.8" hidden="false" customHeight="false" outlineLevel="0" collapsed="false">
      <c r="A159" s="0" t="n">
        <v>192</v>
      </c>
      <c r="C159" s="0" t="s">
        <v>6635</v>
      </c>
    </row>
    <row r="160" customFormat="false" ht="12.8" hidden="false" customHeight="false" outlineLevel="0" collapsed="false">
      <c r="A160" s="0" t="n">
        <v>195</v>
      </c>
      <c r="C160" s="0" t="s">
        <v>6636</v>
      </c>
    </row>
    <row r="161" customFormat="false" ht="12.8" hidden="false" customHeight="false" outlineLevel="0" collapsed="false">
      <c r="A161" s="0" t="n">
        <v>196</v>
      </c>
      <c r="C161" s="0" t="s">
        <v>6637</v>
      </c>
    </row>
    <row r="162" customFormat="false" ht="12.8" hidden="false" customHeight="false" outlineLevel="0" collapsed="false">
      <c r="A162" s="0" t="n">
        <v>197</v>
      </c>
      <c r="C162" s="0" t="s">
        <v>6638</v>
      </c>
    </row>
    <row r="163" customFormat="false" ht="12.8" hidden="false" customHeight="false" outlineLevel="0" collapsed="false">
      <c r="A163" s="0" t="n">
        <v>198</v>
      </c>
      <c r="C163" s="0" t="s">
        <v>6639</v>
      </c>
    </row>
    <row r="164" customFormat="false" ht="12.8" hidden="false" customHeight="false" outlineLevel="0" collapsed="false">
      <c r="A164" s="0" t="n">
        <v>199</v>
      </c>
      <c r="C164" s="0" t="s">
        <v>6640</v>
      </c>
    </row>
    <row r="165" customFormat="false" ht="12.8" hidden="false" customHeight="false" outlineLevel="0" collapsed="false">
      <c r="A165" s="0" t="n">
        <v>200</v>
      </c>
      <c r="C165" s="0" t="s">
        <v>6641</v>
      </c>
    </row>
    <row r="166" customFormat="false" ht="12.8" hidden="false" customHeight="false" outlineLevel="0" collapsed="false">
      <c r="A166" s="0" t="n">
        <v>201</v>
      </c>
      <c r="C166" s="0" t="s">
        <v>6642</v>
      </c>
    </row>
    <row r="167" customFormat="false" ht="12.8" hidden="false" customHeight="false" outlineLevel="0" collapsed="false">
      <c r="A167" s="0" t="n">
        <v>202</v>
      </c>
      <c r="C167" s="0" t="s">
        <v>6643</v>
      </c>
    </row>
    <row r="168" customFormat="false" ht="12.8" hidden="false" customHeight="false" outlineLevel="0" collapsed="false">
      <c r="A168" s="0" t="n">
        <v>203</v>
      </c>
      <c r="C168" s="0" t="s">
        <v>6644</v>
      </c>
    </row>
    <row r="169" customFormat="false" ht="12.8" hidden="false" customHeight="false" outlineLevel="0" collapsed="false">
      <c r="A169" s="0" t="n">
        <v>204</v>
      </c>
      <c r="C169" s="0" t="s">
        <v>6645</v>
      </c>
    </row>
    <row r="170" customFormat="false" ht="12.8" hidden="false" customHeight="false" outlineLevel="0" collapsed="false">
      <c r="A170" s="0" t="n">
        <v>205</v>
      </c>
      <c r="C170" s="0" t="s">
        <v>6646</v>
      </c>
    </row>
    <row r="171" customFormat="false" ht="12.8" hidden="false" customHeight="false" outlineLevel="0" collapsed="false">
      <c r="A171" s="0" t="n">
        <v>206</v>
      </c>
      <c r="C171" s="0" t="s">
        <v>6647</v>
      </c>
    </row>
    <row r="172" customFormat="false" ht="12.8" hidden="false" customHeight="false" outlineLevel="0" collapsed="false">
      <c r="A172" s="0" t="n">
        <v>207</v>
      </c>
      <c r="C172" s="0" t="s">
        <v>6648</v>
      </c>
    </row>
    <row r="173" customFormat="false" ht="12.8" hidden="false" customHeight="false" outlineLevel="0" collapsed="false">
      <c r="A173" s="0" t="n">
        <v>210</v>
      </c>
      <c r="C173" s="0" t="s">
        <v>6649</v>
      </c>
    </row>
    <row r="174" customFormat="false" ht="12.8" hidden="false" customHeight="false" outlineLevel="0" collapsed="false">
      <c r="A174" s="0" t="n">
        <v>211</v>
      </c>
      <c r="C174" s="0" t="s">
        <v>6650</v>
      </c>
    </row>
    <row r="175" customFormat="false" ht="12.8" hidden="false" customHeight="false" outlineLevel="0" collapsed="false">
      <c r="A175" s="0" t="n">
        <v>212</v>
      </c>
      <c r="C175" s="0" t="s">
        <v>6651</v>
      </c>
    </row>
    <row r="176" customFormat="false" ht="12.8" hidden="false" customHeight="false" outlineLevel="0" collapsed="false">
      <c r="A176" s="0" t="n">
        <v>213</v>
      </c>
      <c r="C176" s="0" t="s">
        <v>6652</v>
      </c>
    </row>
    <row r="177" customFormat="false" ht="12.8" hidden="false" customHeight="false" outlineLevel="0" collapsed="false">
      <c r="A177" s="0" t="n">
        <v>214</v>
      </c>
      <c r="C177" s="0" t="s">
        <v>6653</v>
      </c>
    </row>
    <row r="178" customFormat="false" ht="12.8" hidden="false" customHeight="false" outlineLevel="0" collapsed="false">
      <c r="A178" s="0" t="n">
        <v>215</v>
      </c>
      <c r="C178" s="0" t="s">
        <v>6654</v>
      </c>
    </row>
    <row r="179" customFormat="false" ht="12.8" hidden="false" customHeight="false" outlineLevel="0" collapsed="false">
      <c r="A179" s="0" t="n">
        <v>216</v>
      </c>
      <c r="C179" s="0" t="s">
        <v>6655</v>
      </c>
    </row>
    <row r="180" customFormat="false" ht="12.8" hidden="false" customHeight="false" outlineLevel="0" collapsed="false">
      <c r="A180" s="0" t="n">
        <v>217</v>
      </c>
      <c r="C180" s="0" t="s">
        <v>6656</v>
      </c>
    </row>
    <row r="181" customFormat="false" ht="12.8" hidden="false" customHeight="false" outlineLevel="0" collapsed="false">
      <c r="A181" s="0" t="n">
        <v>218</v>
      </c>
      <c r="C181" s="0" t="s">
        <v>6657</v>
      </c>
    </row>
    <row r="182" customFormat="false" ht="12.8" hidden="false" customHeight="false" outlineLevel="0" collapsed="false">
      <c r="A182" s="0" t="n">
        <v>219</v>
      </c>
      <c r="C182" s="0" t="s">
        <v>6658</v>
      </c>
    </row>
    <row r="183" customFormat="false" ht="12.8" hidden="false" customHeight="false" outlineLevel="0" collapsed="false">
      <c r="A183" s="0" t="n">
        <v>220</v>
      </c>
      <c r="C183" s="0" t="s">
        <v>6659</v>
      </c>
    </row>
    <row r="184" customFormat="false" ht="12.8" hidden="false" customHeight="false" outlineLevel="0" collapsed="false">
      <c r="A184" s="0" t="n">
        <v>221</v>
      </c>
      <c r="C184" s="0" t="s">
        <v>6660</v>
      </c>
    </row>
    <row r="185" customFormat="false" ht="12.8" hidden="false" customHeight="false" outlineLevel="0" collapsed="false">
      <c r="A185" s="0" t="n">
        <v>222</v>
      </c>
      <c r="C185" s="0" t="s">
        <v>6661</v>
      </c>
    </row>
    <row r="186" customFormat="false" ht="12.8" hidden="false" customHeight="false" outlineLevel="0" collapsed="false">
      <c r="A186" s="0" t="n">
        <v>225</v>
      </c>
      <c r="C186" s="0" t="s">
        <v>6662</v>
      </c>
    </row>
    <row r="187" customFormat="false" ht="12.8" hidden="false" customHeight="false" outlineLevel="0" collapsed="false">
      <c r="A187" s="0" t="n">
        <v>226</v>
      </c>
      <c r="C187" s="0" t="s">
        <v>6663</v>
      </c>
    </row>
    <row r="188" customFormat="false" ht="12.8" hidden="false" customHeight="false" outlineLevel="0" collapsed="false">
      <c r="A188" s="0" t="n">
        <v>227</v>
      </c>
      <c r="C188" s="0" t="s">
        <v>6664</v>
      </c>
    </row>
    <row r="189" customFormat="false" ht="12.8" hidden="false" customHeight="false" outlineLevel="0" collapsed="false">
      <c r="A189" s="0" t="n">
        <v>228</v>
      </c>
      <c r="C189" s="0" t="s">
        <v>6665</v>
      </c>
    </row>
    <row r="190" customFormat="false" ht="12.8" hidden="false" customHeight="false" outlineLevel="0" collapsed="false">
      <c r="A190" s="0" t="n">
        <v>229</v>
      </c>
      <c r="C190" s="0" t="s">
        <v>6666</v>
      </c>
    </row>
    <row r="191" customFormat="false" ht="12.8" hidden="false" customHeight="false" outlineLevel="0" collapsed="false">
      <c r="A191" s="0" t="n">
        <v>230</v>
      </c>
      <c r="C191" s="0" t="s">
        <v>6667</v>
      </c>
    </row>
    <row r="192" customFormat="false" ht="12.8" hidden="false" customHeight="false" outlineLevel="0" collapsed="false">
      <c r="A192" s="0" t="n">
        <v>231</v>
      </c>
      <c r="C192" s="0" t="s">
        <v>6668</v>
      </c>
    </row>
    <row r="193" customFormat="false" ht="12.8" hidden="false" customHeight="false" outlineLevel="0" collapsed="false">
      <c r="A193" s="0" t="n">
        <v>232</v>
      </c>
      <c r="C193" s="0" t="s">
        <v>6669</v>
      </c>
    </row>
    <row r="194" customFormat="false" ht="12.8" hidden="false" customHeight="false" outlineLevel="0" collapsed="false">
      <c r="A194" s="0" t="n">
        <v>233</v>
      </c>
      <c r="C194" s="0" t="s">
        <v>6670</v>
      </c>
    </row>
    <row r="195" customFormat="false" ht="12.8" hidden="false" customHeight="false" outlineLevel="0" collapsed="false">
      <c r="A195" s="0" t="n">
        <v>234</v>
      </c>
      <c r="C195" s="0" t="s">
        <v>6671</v>
      </c>
    </row>
    <row r="196" customFormat="false" ht="12.8" hidden="false" customHeight="false" outlineLevel="0" collapsed="false">
      <c r="A196" s="0" t="n">
        <v>235</v>
      </c>
      <c r="C196" s="0" t="s">
        <v>6672</v>
      </c>
    </row>
    <row r="197" customFormat="false" ht="12.8" hidden="false" customHeight="false" outlineLevel="0" collapsed="false">
      <c r="A197" s="0" t="n">
        <v>236</v>
      </c>
      <c r="C197" s="0" t="s">
        <v>6673</v>
      </c>
    </row>
    <row r="198" customFormat="false" ht="12.8" hidden="false" customHeight="false" outlineLevel="0" collapsed="false">
      <c r="A198" s="0" t="n">
        <v>237</v>
      </c>
      <c r="C198" s="0" t="s">
        <v>6674</v>
      </c>
    </row>
    <row r="199" customFormat="false" ht="12.8" hidden="false" customHeight="false" outlineLevel="0" collapsed="false">
      <c r="A199" s="0" t="n">
        <v>238</v>
      </c>
      <c r="C199" s="0" t="s">
        <v>6675</v>
      </c>
    </row>
    <row r="200" customFormat="false" ht="12.8" hidden="false" customHeight="false" outlineLevel="0" collapsed="false">
      <c r="A200" s="0" t="n">
        <v>239</v>
      </c>
      <c r="C200" s="0" t="s">
        <v>6676</v>
      </c>
    </row>
    <row r="201" customFormat="false" ht="12.8" hidden="false" customHeight="false" outlineLevel="0" collapsed="false">
      <c r="A201" s="0" t="n">
        <v>240</v>
      </c>
      <c r="C201" s="0" t="s">
        <v>6677</v>
      </c>
    </row>
    <row r="202" customFormat="false" ht="12.8" hidden="false" customHeight="false" outlineLevel="0" collapsed="false">
      <c r="A202" s="0" t="n">
        <v>241</v>
      </c>
      <c r="C202" s="0" t="s">
        <v>6678</v>
      </c>
    </row>
    <row r="203" customFormat="false" ht="12.8" hidden="false" customHeight="false" outlineLevel="0" collapsed="false">
      <c r="A203" s="0" t="n">
        <v>242</v>
      </c>
      <c r="C203" s="0" t="s">
        <v>6679</v>
      </c>
    </row>
    <row r="204" customFormat="false" ht="12.8" hidden="false" customHeight="false" outlineLevel="0" collapsed="false">
      <c r="A204" s="0" t="n">
        <v>245</v>
      </c>
      <c r="C204" s="0" t="s">
        <v>6680</v>
      </c>
    </row>
    <row r="205" customFormat="false" ht="12.8" hidden="false" customHeight="false" outlineLevel="0" collapsed="false">
      <c r="A205" s="0" t="n">
        <v>246</v>
      </c>
      <c r="C205" s="0" t="s">
        <v>6681</v>
      </c>
    </row>
    <row r="206" customFormat="false" ht="12.8" hidden="false" customHeight="false" outlineLevel="0" collapsed="false">
      <c r="A206" s="0" t="n">
        <v>247</v>
      </c>
      <c r="C206" s="0" t="s">
        <v>6682</v>
      </c>
    </row>
    <row r="207" customFormat="false" ht="12.8" hidden="false" customHeight="false" outlineLevel="0" collapsed="false">
      <c r="A207" s="0" t="n">
        <v>248</v>
      </c>
      <c r="C207" s="0" t="s">
        <v>6683</v>
      </c>
    </row>
    <row r="208" customFormat="false" ht="12.8" hidden="false" customHeight="false" outlineLevel="0" collapsed="false">
      <c r="A208" s="0" t="n">
        <v>249</v>
      </c>
      <c r="C208" s="0" t="s">
        <v>6684</v>
      </c>
    </row>
    <row r="209" customFormat="false" ht="12.8" hidden="false" customHeight="false" outlineLevel="0" collapsed="false">
      <c r="A209" s="0" t="n">
        <v>250</v>
      </c>
      <c r="C209" s="0" t="s">
        <v>6685</v>
      </c>
    </row>
    <row r="210" customFormat="false" ht="12.8" hidden="false" customHeight="false" outlineLevel="0" collapsed="false">
      <c r="A210" s="0" t="n">
        <v>251</v>
      </c>
      <c r="C210" s="0" t="s">
        <v>6686</v>
      </c>
    </row>
    <row r="211" customFormat="false" ht="12.8" hidden="false" customHeight="false" outlineLevel="0" collapsed="false">
      <c r="A211" s="0" t="n">
        <v>252</v>
      </c>
      <c r="C211" s="0" t="s">
        <v>6687</v>
      </c>
    </row>
    <row r="212" customFormat="false" ht="12.8" hidden="false" customHeight="false" outlineLevel="0" collapsed="false">
      <c r="A212" s="0" t="n">
        <v>253</v>
      </c>
      <c r="C212" s="0" t="s">
        <v>6688</v>
      </c>
    </row>
    <row r="213" customFormat="false" ht="12.8" hidden="false" customHeight="false" outlineLevel="0" collapsed="false">
      <c r="A213" s="0" t="n">
        <v>254</v>
      </c>
      <c r="C213" s="0" t="s">
        <v>6689</v>
      </c>
    </row>
    <row r="214" customFormat="false" ht="12.8" hidden="false" customHeight="false" outlineLevel="0" collapsed="false">
      <c r="A214" s="0" t="n">
        <v>255</v>
      </c>
      <c r="C214" s="0" t="s">
        <v>6690</v>
      </c>
    </row>
    <row r="215" customFormat="false" ht="12.8" hidden="false" customHeight="false" outlineLevel="0" collapsed="false">
      <c r="A215" s="0" t="n">
        <v>256</v>
      </c>
      <c r="C215" s="0" t="s">
        <v>6691</v>
      </c>
    </row>
    <row r="216" customFormat="false" ht="12.8" hidden="false" customHeight="false" outlineLevel="0" collapsed="false">
      <c r="A216" s="0" t="n">
        <v>257</v>
      </c>
      <c r="C216" s="0" t="s">
        <v>6692</v>
      </c>
    </row>
    <row r="217" customFormat="false" ht="12.8" hidden="false" customHeight="false" outlineLevel="0" collapsed="false">
      <c r="A217" s="0" t="n">
        <v>258</v>
      </c>
      <c r="C217" s="0" t="s">
        <v>6693</v>
      </c>
    </row>
    <row r="218" customFormat="false" ht="12.8" hidden="false" customHeight="false" outlineLevel="0" collapsed="false">
      <c r="A218" s="0" t="n">
        <v>259</v>
      </c>
      <c r="C218" s="0" t="s">
        <v>6694</v>
      </c>
    </row>
    <row r="219" customFormat="false" ht="12.8" hidden="false" customHeight="false" outlineLevel="0" collapsed="false">
      <c r="A219" s="0" t="n">
        <v>260</v>
      </c>
      <c r="C219" s="0" t="s">
        <v>6695</v>
      </c>
    </row>
    <row r="220" customFormat="false" ht="12.8" hidden="false" customHeight="false" outlineLevel="0" collapsed="false">
      <c r="A220" s="0" t="n">
        <v>261</v>
      </c>
      <c r="C220" s="0" t="s">
        <v>6696</v>
      </c>
    </row>
    <row r="221" customFormat="false" ht="12.8" hidden="false" customHeight="false" outlineLevel="0" collapsed="false">
      <c r="A221" s="0" t="n">
        <v>262</v>
      </c>
      <c r="C221" s="0" t="s">
        <v>6697</v>
      </c>
    </row>
    <row r="222" customFormat="false" ht="12.8" hidden="false" customHeight="false" outlineLevel="0" collapsed="false">
      <c r="A222" s="0" t="n">
        <v>265</v>
      </c>
      <c r="C222" s="0" t="s">
        <v>6698</v>
      </c>
    </row>
    <row r="223" customFormat="false" ht="12.8" hidden="false" customHeight="false" outlineLevel="0" collapsed="false">
      <c r="A223" s="0" t="n">
        <v>266</v>
      </c>
      <c r="C223" s="0" t="s">
        <v>6699</v>
      </c>
    </row>
    <row r="224" customFormat="false" ht="12.8" hidden="false" customHeight="false" outlineLevel="0" collapsed="false">
      <c r="A224" s="0" t="n">
        <v>267</v>
      </c>
      <c r="C224" s="0" t="s">
        <v>6700</v>
      </c>
    </row>
    <row r="225" customFormat="false" ht="12.8" hidden="false" customHeight="false" outlineLevel="0" collapsed="false">
      <c r="A225" s="0" t="n">
        <v>268</v>
      </c>
      <c r="C225" s="0" t="s">
        <v>6701</v>
      </c>
    </row>
    <row r="226" customFormat="false" ht="12.8" hidden="false" customHeight="false" outlineLevel="0" collapsed="false">
      <c r="A226" s="0" t="n">
        <v>269</v>
      </c>
      <c r="C226" s="0" t="s">
        <v>6702</v>
      </c>
    </row>
    <row r="227" customFormat="false" ht="12.8" hidden="false" customHeight="false" outlineLevel="0" collapsed="false">
      <c r="A227" s="0" t="n">
        <v>270</v>
      </c>
      <c r="C227" s="0" t="s">
        <v>6703</v>
      </c>
    </row>
    <row r="228" customFormat="false" ht="12.8" hidden="false" customHeight="false" outlineLevel="0" collapsed="false">
      <c r="A228" s="0" t="n">
        <v>271</v>
      </c>
      <c r="C228" s="0" t="s">
        <v>6704</v>
      </c>
    </row>
    <row r="229" customFormat="false" ht="12.8" hidden="false" customHeight="false" outlineLevel="0" collapsed="false">
      <c r="A229" s="0" t="n">
        <v>272</v>
      </c>
      <c r="C229" s="0" t="s">
        <v>6705</v>
      </c>
    </row>
    <row r="230" customFormat="false" ht="12.8" hidden="false" customHeight="false" outlineLevel="0" collapsed="false">
      <c r="A230" s="0" t="n">
        <v>273</v>
      </c>
      <c r="C230" s="0" t="s">
        <v>6706</v>
      </c>
    </row>
    <row r="231" customFormat="false" ht="12.8" hidden="false" customHeight="false" outlineLevel="0" collapsed="false">
      <c r="A231" s="0" t="n">
        <v>274</v>
      </c>
      <c r="C231" s="0" t="s">
        <v>6707</v>
      </c>
    </row>
    <row r="232" customFormat="false" ht="12.8" hidden="false" customHeight="false" outlineLevel="0" collapsed="false">
      <c r="A232" s="0" t="n">
        <v>275</v>
      </c>
      <c r="C232" s="0" t="s">
        <v>6708</v>
      </c>
    </row>
    <row r="233" customFormat="false" ht="12.8" hidden="false" customHeight="false" outlineLevel="0" collapsed="false">
      <c r="A233" s="0" t="n">
        <v>276</v>
      </c>
      <c r="C233" s="0" t="s">
        <v>6709</v>
      </c>
    </row>
    <row r="234" customFormat="false" ht="12.8" hidden="false" customHeight="false" outlineLevel="0" collapsed="false">
      <c r="A234" s="0" t="n">
        <v>277</v>
      </c>
      <c r="C234" s="0" t="s">
        <v>6710</v>
      </c>
    </row>
    <row r="235" customFormat="false" ht="12.8" hidden="false" customHeight="false" outlineLevel="0" collapsed="false">
      <c r="A235" s="0" t="n">
        <v>280</v>
      </c>
      <c r="C235" s="0" t="s">
        <v>6711</v>
      </c>
    </row>
    <row r="236" customFormat="false" ht="12.8" hidden="false" customHeight="false" outlineLevel="0" collapsed="false">
      <c r="A236" s="0" t="n">
        <v>281</v>
      </c>
      <c r="C236" s="0" t="s">
        <v>6712</v>
      </c>
    </row>
    <row r="237" customFormat="false" ht="12.8" hidden="false" customHeight="false" outlineLevel="0" collapsed="false">
      <c r="A237" s="0" t="n">
        <v>282</v>
      </c>
      <c r="C237" s="0" t="s">
        <v>6713</v>
      </c>
    </row>
    <row r="238" customFormat="false" ht="12.8" hidden="false" customHeight="false" outlineLevel="0" collapsed="false">
      <c r="A238" s="0" t="n">
        <v>283</v>
      </c>
      <c r="C238" s="0" t="s">
        <v>6714</v>
      </c>
    </row>
    <row r="239" customFormat="false" ht="12.8" hidden="false" customHeight="false" outlineLevel="0" collapsed="false">
      <c r="A239" s="0" t="n">
        <v>284</v>
      </c>
      <c r="C239" s="0" t="s">
        <v>6715</v>
      </c>
    </row>
    <row r="240" customFormat="false" ht="12.8" hidden="false" customHeight="false" outlineLevel="0" collapsed="false">
      <c r="A240" s="0" t="n">
        <v>285</v>
      </c>
      <c r="C240" s="0" t="s">
        <v>6716</v>
      </c>
    </row>
    <row r="241" customFormat="false" ht="12.8" hidden="false" customHeight="false" outlineLevel="0" collapsed="false">
      <c r="A241" s="0" t="n">
        <v>286</v>
      </c>
      <c r="C241" s="0" t="s">
        <v>6717</v>
      </c>
    </row>
    <row r="242" customFormat="false" ht="12.8" hidden="false" customHeight="false" outlineLevel="0" collapsed="false">
      <c r="A242" s="0" t="n">
        <v>287</v>
      </c>
      <c r="C242" s="0" t="s">
        <v>6718</v>
      </c>
    </row>
    <row r="243" customFormat="false" ht="12.8" hidden="false" customHeight="false" outlineLevel="0" collapsed="false">
      <c r="A243" s="0" t="n">
        <v>288</v>
      </c>
      <c r="C243" s="0" t="s">
        <v>6719</v>
      </c>
    </row>
    <row r="244" customFormat="false" ht="12.8" hidden="false" customHeight="false" outlineLevel="0" collapsed="false">
      <c r="A244" s="0" t="n">
        <v>289</v>
      </c>
      <c r="C244" s="0" t="s">
        <v>6720</v>
      </c>
    </row>
    <row r="245" customFormat="false" ht="12.8" hidden="false" customHeight="false" outlineLevel="0" collapsed="false">
      <c r="A245" s="0" t="n">
        <v>290</v>
      </c>
      <c r="C245" s="0" t="s">
        <v>6721</v>
      </c>
    </row>
    <row r="246" customFormat="false" ht="12.8" hidden="false" customHeight="false" outlineLevel="0" collapsed="false">
      <c r="A246" s="0" t="n">
        <v>291</v>
      </c>
      <c r="C246" s="0" t="s">
        <v>6722</v>
      </c>
    </row>
    <row r="247" customFormat="false" ht="12.8" hidden="false" customHeight="false" outlineLevel="0" collapsed="false">
      <c r="A247" s="0" t="n">
        <v>292</v>
      </c>
      <c r="C247" s="0" t="s">
        <v>6723</v>
      </c>
    </row>
    <row r="248" customFormat="false" ht="12.8" hidden="false" customHeight="false" outlineLevel="0" collapsed="false">
      <c r="A248" s="0" t="n">
        <v>293</v>
      </c>
      <c r="C248" s="0" t="s">
        <v>6724</v>
      </c>
    </row>
    <row r="249" customFormat="false" ht="12.8" hidden="false" customHeight="false" outlineLevel="0" collapsed="false">
      <c r="A249" s="0" t="n">
        <v>294</v>
      </c>
      <c r="C249" s="0" t="s">
        <v>6725</v>
      </c>
    </row>
    <row r="250" customFormat="false" ht="12.8" hidden="false" customHeight="false" outlineLevel="0" collapsed="false">
      <c r="A250" s="0" t="n">
        <v>297</v>
      </c>
      <c r="C250" s="0" t="s">
        <v>6726</v>
      </c>
    </row>
    <row r="251" customFormat="false" ht="12.8" hidden="false" customHeight="false" outlineLevel="0" collapsed="false">
      <c r="A251" s="0" t="n">
        <v>298</v>
      </c>
      <c r="C251" s="0" t="s">
        <v>6727</v>
      </c>
    </row>
    <row r="252" customFormat="false" ht="12.8" hidden="false" customHeight="false" outlineLevel="0" collapsed="false">
      <c r="A252" s="0" t="n">
        <v>299</v>
      </c>
      <c r="C252" s="0" t="s">
        <v>6728</v>
      </c>
    </row>
    <row r="253" customFormat="false" ht="12.8" hidden="false" customHeight="false" outlineLevel="0" collapsed="false">
      <c r="A253" s="0" t="n">
        <v>300</v>
      </c>
      <c r="C253" s="0" t="s">
        <v>6729</v>
      </c>
    </row>
    <row r="254" customFormat="false" ht="12.8" hidden="false" customHeight="false" outlineLevel="0" collapsed="false">
      <c r="A254" s="0" t="n">
        <v>301</v>
      </c>
      <c r="C254" s="0" t="s">
        <v>6730</v>
      </c>
    </row>
    <row r="255" customFormat="false" ht="12.8" hidden="false" customHeight="false" outlineLevel="0" collapsed="false">
      <c r="A255" s="0" t="n">
        <v>304</v>
      </c>
      <c r="C255" s="0" t="s">
        <v>6731</v>
      </c>
    </row>
    <row r="256" customFormat="false" ht="12.8" hidden="false" customHeight="false" outlineLevel="0" collapsed="false">
      <c r="A256" s="0" t="n">
        <v>305</v>
      </c>
      <c r="C256" s="0" t="s">
        <v>6732</v>
      </c>
    </row>
    <row r="257" customFormat="false" ht="12.8" hidden="false" customHeight="false" outlineLevel="0" collapsed="false">
      <c r="A257" s="0" t="n">
        <v>306</v>
      </c>
      <c r="C257" s="0" t="s">
        <v>6733</v>
      </c>
    </row>
    <row r="258" customFormat="false" ht="12.8" hidden="false" customHeight="false" outlineLevel="0" collapsed="false">
      <c r="A258" s="0" t="n">
        <v>307</v>
      </c>
      <c r="C258" s="0" t="s">
        <v>6734</v>
      </c>
    </row>
    <row r="259" customFormat="false" ht="12.8" hidden="false" customHeight="false" outlineLevel="0" collapsed="false">
      <c r="A259" s="0" t="n">
        <v>308</v>
      </c>
      <c r="C259" s="0" t="s">
        <v>6735</v>
      </c>
    </row>
    <row r="260" customFormat="false" ht="12.8" hidden="false" customHeight="false" outlineLevel="0" collapsed="false">
      <c r="A260" s="0" t="n">
        <v>309</v>
      </c>
      <c r="C260" s="0" t="s">
        <v>6736</v>
      </c>
    </row>
    <row r="261" customFormat="false" ht="12.8" hidden="false" customHeight="false" outlineLevel="0" collapsed="false">
      <c r="A261" s="0" t="n">
        <v>310</v>
      </c>
      <c r="C261" s="0" t="s">
        <v>6737</v>
      </c>
    </row>
    <row r="262" customFormat="false" ht="12.8" hidden="false" customHeight="false" outlineLevel="0" collapsed="false">
      <c r="A262" s="0" t="n">
        <v>311</v>
      </c>
      <c r="C262" s="0" t="s">
        <v>6738</v>
      </c>
    </row>
    <row r="263" customFormat="false" ht="12.8" hidden="false" customHeight="false" outlineLevel="0" collapsed="false">
      <c r="A263" s="0" t="n">
        <v>312</v>
      </c>
      <c r="C263" s="0" t="s">
        <v>6739</v>
      </c>
    </row>
    <row r="264" customFormat="false" ht="12.8" hidden="false" customHeight="false" outlineLevel="0" collapsed="false">
      <c r="A264" s="0" t="n">
        <v>313</v>
      </c>
      <c r="C264" s="0" t="s">
        <v>6740</v>
      </c>
    </row>
    <row r="265" customFormat="false" ht="12.8" hidden="false" customHeight="false" outlineLevel="0" collapsed="false">
      <c r="A265" s="0" t="n">
        <v>314</v>
      </c>
      <c r="C265" s="0" t="s">
        <v>6741</v>
      </c>
    </row>
    <row r="266" customFormat="false" ht="12.8" hidden="false" customHeight="false" outlineLevel="0" collapsed="false">
      <c r="A266" s="0" t="n">
        <v>315</v>
      </c>
      <c r="C266" s="0" t="s">
        <v>6742</v>
      </c>
    </row>
    <row r="267" customFormat="false" ht="12.8" hidden="false" customHeight="false" outlineLevel="0" collapsed="false">
      <c r="A267" s="0" t="n">
        <v>318</v>
      </c>
      <c r="C267" s="0" t="s">
        <v>6743</v>
      </c>
    </row>
    <row r="268" customFormat="false" ht="12.8" hidden="false" customHeight="false" outlineLevel="0" collapsed="false">
      <c r="A268" s="0" t="n">
        <v>319</v>
      </c>
      <c r="C268" s="0" t="s">
        <v>6744</v>
      </c>
    </row>
    <row r="269" customFormat="false" ht="12.8" hidden="false" customHeight="false" outlineLevel="0" collapsed="false">
      <c r="A269" s="0" t="n">
        <v>320</v>
      </c>
      <c r="C269" s="0" t="s">
        <v>6745</v>
      </c>
    </row>
    <row r="270" customFormat="false" ht="12.8" hidden="false" customHeight="false" outlineLevel="0" collapsed="false">
      <c r="A270" s="0" t="n">
        <v>321</v>
      </c>
      <c r="C270" s="0" t="s">
        <v>6746</v>
      </c>
    </row>
    <row r="271" customFormat="false" ht="12.8" hidden="false" customHeight="false" outlineLevel="0" collapsed="false">
      <c r="A271" s="0" t="n">
        <v>322</v>
      </c>
      <c r="C271" s="0" t="s">
        <v>6747</v>
      </c>
    </row>
    <row r="272" customFormat="false" ht="12.8" hidden="false" customHeight="false" outlineLevel="0" collapsed="false">
      <c r="A272" s="0" t="n">
        <v>323</v>
      </c>
      <c r="C272" s="0" t="s">
        <v>6748</v>
      </c>
    </row>
    <row r="273" customFormat="false" ht="12.8" hidden="false" customHeight="false" outlineLevel="0" collapsed="false">
      <c r="A273" s="0" t="n">
        <v>324</v>
      </c>
      <c r="C273" s="0" t="s">
        <v>6749</v>
      </c>
    </row>
    <row r="274" customFormat="false" ht="12.8" hidden="false" customHeight="false" outlineLevel="0" collapsed="false">
      <c r="A274" s="0" t="n">
        <v>325</v>
      </c>
      <c r="C274" s="0" t="s">
        <v>6750</v>
      </c>
    </row>
    <row r="275" customFormat="false" ht="12.8" hidden="false" customHeight="false" outlineLevel="0" collapsed="false">
      <c r="A275" s="0" t="n">
        <v>326</v>
      </c>
      <c r="C275" s="0" t="s">
        <v>6751</v>
      </c>
    </row>
    <row r="276" customFormat="false" ht="12.8" hidden="false" customHeight="false" outlineLevel="0" collapsed="false">
      <c r="A276" s="0" t="n">
        <v>327</v>
      </c>
      <c r="C276" s="0" t="s">
        <v>6752</v>
      </c>
    </row>
    <row r="277" customFormat="false" ht="12.8" hidden="false" customHeight="false" outlineLevel="0" collapsed="false">
      <c r="A277" s="0" t="n">
        <v>328</v>
      </c>
      <c r="C277" s="0" t="s">
        <v>6753</v>
      </c>
    </row>
    <row r="278" customFormat="false" ht="12.8" hidden="false" customHeight="false" outlineLevel="0" collapsed="false">
      <c r="A278" s="0" t="n">
        <v>329</v>
      </c>
      <c r="C278" s="0" t="s">
        <v>6754</v>
      </c>
    </row>
    <row r="279" customFormat="false" ht="12.8" hidden="false" customHeight="false" outlineLevel="0" collapsed="false">
      <c r="A279" s="0" t="n">
        <v>332</v>
      </c>
      <c r="C279" s="0" t="s">
        <v>6755</v>
      </c>
    </row>
    <row r="280" customFormat="false" ht="12.8" hidden="false" customHeight="false" outlineLevel="0" collapsed="false">
      <c r="A280" s="0" t="n">
        <v>333</v>
      </c>
      <c r="C280" s="0" t="s">
        <v>6756</v>
      </c>
    </row>
    <row r="281" customFormat="false" ht="12.8" hidden="false" customHeight="false" outlineLevel="0" collapsed="false">
      <c r="A281" s="0" t="n">
        <v>334</v>
      </c>
      <c r="C281" s="0" t="s">
        <v>6757</v>
      </c>
    </row>
    <row r="282" customFormat="false" ht="12.8" hidden="false" customHeight="false" outlineLevel="0" collapsed="false">
      <c r="A282" s="0" t="n">
        <v>335</v>
      </c>
      <c r="C282" s="0" t="s">
        <v>6758</v>
      </c>
    </row>
    <row r="283" customFormat="false" ht="12.8" hidden="false" customHeight="false" outlineLevel="0" collapsed="false">
      <c r="A283" s="0" t="n">
        <v>336</v>
      </c>
      <c r="C283" s="0" t="s">
        <v>6759</v>
      </c>
    </row>
    <row r="284" customFormat="false" ht="12.8" hidden="false" customHeight="false" outlineLevel="0" collapsed="false">
      <c r="A284" s="0" t="n">
        <v>337</v>
      </c>
      <c r="C284" s="0" t="s">
        <v>6760</v>
      </c>
    </row>
    <row r="285" customFormat="false" ht="12.8" hidden="false" customHeight="false" outlineLevel="0" collapsed="false">
      <c r="A285" s="0" t="n">
        <v>338</v>
      </c>
      <c r="C285" s="0" t="s">
        <v>6761</v>
      </c>
    </row>
    <row r="286" customFormat="false" ht="12.8" hidden="false" customHeight="false" outlineLevel="0" collapsed="false">
      <c r="A286" s="0" t="n">
        <v>339</v>
      </c>
      <c r="C286" s="0" t="s">
        <v>6762</v>
      </c>
    </row>
    <row r="287" customFormat="false" ht="12.8" hidden="false" customHeight="false" outlineLevel="0" collapsed="false">
      <c r="A287" s="0" t="n">
        <v>342</v>
      </c>
      <c r="C287" s="0" t="s">
        <v>6763</v>
      </c>
    </row>
    <row r="288" customFormat="false" ht="12.8" hidden="false" customHeight="false" outlineLevel="0" collapsed="false">
      <c r="A288" s="0" t="n">
        <v>343</v>
      </c>
      <c r="C288" s="0" t="s">
        <v>6764</v>
      </c>
    </row>
    <row r="289" customFormat="false" ht="12.8" hidden="false" customHeight="false" outlineLevel="0" collapsed="false">
      <c r="A289" s="0" t="n">
        <v>344</v>
      </c>
      <c r="C289" s="0" t="s">
        <v>6765</v>
      </c>
    </row>
    <row r="290" customFormat="false" ht="12.8" hidden="false" customHeight="false" outlineLevel="0" collapsed="false">
      <c r="A290" s="0" t="n">
        <v>345</v>
      </c>
      <c r="C290" s="0" t="s">
        <v>6766</v>
      </c>
    </row>
    <row r="291" customFormat="false" ht="12.8" hidden="false" customHeight="false" outlineLevel="0" collapsed="false">
      <c r="A291" s="0" t="n">
        <v>346</v>
      </c>
      <c r="C291" s="0" t="s">
        <v>6767</v>
      </c>
    </row>
    <row r="292" customFormat="false" ht="12.8" hidden="false" customHeight="false" outlineLevel="0" collapsed="false">
      <c r="A292" s="0" t="n">
        <v>347</v>
      </c>
      <c r="C292" s="0" t="s">
        <v>6768</v>
      </c>
    </row>
    <row r="293" customFormat="false" ht="12.8" hidden="false" customHeight="false" outlineLevel="0" collapsed="false">
      <c r="A293" s="0" t="n">
        <v>348</v>
      </c>
      <c r="C293" s="0" t="s">
        <v>6769</v>
      </c>
    </row>
    <row r="294" customFormat="false" ht="12.8" hidden="false" customHeight="false" outlineLevel="0" collapsed="false">
      <c r="A294" s="0" t="n">
        <v>349</v>
      </c>
      <c r="C294" s="0" t="s">
        <v>6770</v>
      </c>
    </row>
    <row r="295" customFormat="false" ht="12.8" hidden="false" customHeight="false" outlineLevel="0" collapsed="false">
      <c r="A295" s="0" t="n">
        <v>350</v>
      </c>
      <c r="C295" s="0" t="s">
        <v>6771</v>
      </c>
    </row>
    <row r="296" customFormat="false" ht="12.8" hidden="false" customHeight="false" outlineLevel="0" collapsed="false">
      <c r="A296" s="0" t="n">
        <v>351</v>
      </c>
      <c r="C296" s="0" t="s">
        <v>6772</v>
      </c>
    </row>
    <row r="297" customFormat="false" ht="12.8" hidden="false" customHeight="false" outlineLevel="0" collapsed="false">
      <c r="A297" s="0" t="n">
        <v>354</v>
      </c>
      <c r="C297" s="0" t="s">
        <v>6773</v>
      </c>
    </row>
    <row r="298" customFormat="false" ht="12.8" hidden="false" customHeight="false" outlineLevel="0" collapsed="false">
      <c r="A298" s="0" t="n">
        <v>355</v>
      </c>
      <c r="C298" s="0" t="s">
        <v>6774</v>
      </c>
    </row>
    <row r="299" customFormat="false" ht="12.8" hidden="false" customHeight="false" outlineLevel="0" collapsed="false">
      <c r="A299" s="0" t="n">
        <v>356</v>
      </c>
      <c r="C299" s="0" t="s">
        <v>6775</v>
      </c>
    </row>
    <row r="300" customFormat="false" ht="12.8" hidden="false" customHeight="false" outlineLevel="0" collapsed="false">
      <c r="A300" s="0" t="n">
        <v>357</v>
      </c>
      <c r="C300" s="0" t="s">
        <v>6776</v>
      </c>
    </row>
    <row r="301" customFormat="false" ht="12.8" hidden="false" customHeight="false" outlineLevel="0" collapsed="false">
      <c r="A301" s="0" t="n">
        <v>358</v>
      </c>
      <c r="C301" s="0" t="s">
        <v>6777</v>
      </c>
    </row>
    <row r="302" customFormat="false" ht="12.8" hidden="false" customHeight="false" outlineLevel="0" collapsed="false">
      <c r="A302" s="0" t="n">
        <v>359</v>
      </c>
      <c r="C302" s="0" t="s">
        <v>6778</v>
      </c>
    </row>
    <row r="303" customFormat="false" ht="12.8" hidden="false" customHeight="false" outlineLevel="0" collapsed="false">
      <c r="A303" s="0" t="n">
        <v>360</v>
      </c>
      <c r="C303" s="0" t="s">
        <v>6779</v>
      </c>
    </row>
    <row r="304" customFormat="false" ht="12.8" hidden="false" customHeight="false" outlineLevel="0" collapsed="false">
      <c r="A304" s="0" t="n">
        <v>361</v>
      </c>
      <c r="C304" s="0" t="s">
        <v>6780</v>
      </c>
    </row>
    <row r="305" customFormat="false" ht="12.8" hidden="false" customHeight="false" outlineLevel="0" collapsed="false">
      <c r="A305" s="0" t="n">
        <v>362</v>
      </c>
      <c r="C305" s="0" t="s">
        <v>6781</v>
      </c>
    </row>
    <row r="306" customFormat="false" ht="12.8" hidden="false" customHeight="false" outlineLevel="0" collapsed="false">
      <c r="A306" s="0" t="n">
        <v>363</v>
      </c>
      <c r="C306" s="0" t="s">
        <v>6782</v>
      </c>
    </row>
    <row r="307" customFormat="false" ht="12.8" hidden="false" customHeight="false" outlineLevel="0" collapsed="false">
      <c r="A307" s="0" t="n">
        <v>368</v>
      </c>
      <c r="C307" s="0" t="s">
        <v>6783</v>
      </c>
    </row>
    <row r="308" customFormat="false" ht="12.8" hidden="false" customHeight="false" outlineLevel="0" collapsed="false">
      <c r="A308" s="0" t="n">
        <v>369</v>
      </c>
      <c r="C308" s="0" t="s">
        <v>6784</v>
      </c>
    </row>
    <row r="309" customFormat="false" ht="12.8" hidden="false" customHeight="false" outlineLevel="0" collapsed="false">
      <c r="A309" s="0" t="n">
        <v>370</v>
      </c>
      <c r="C309" s="0" t="s">
        <v>6785</v>
      </c>
    </row>
    <row r="310" customFormat="false" ht="12.8" hidden="false" customHeight="false" outlineLevel="0" collapsed="false">
      <c r="A310" s="0" t="n">
        <v>371</v>
      </c>
      <c r="C310" s="0" t="s">
        <v>6786</v>
      </c>
    </row>
    <row r="311" customFormat="false" ht="12.8" hidden="false" customHeight="false" outlineLevel="0" collapsed="false">
      <c r="A311" s="0" t="n">
        <v>372</v>
      </c>
      <c r="C311" s="0" t="s">
        <v>6787</v>
      </c>
    </row>
    <row r="312" customFormat="false" ht="12.8" hidden="false" customHeight="false" outlineLevel="0" collapsed="false">
      <c r="A312" s="0" t="n">
        <v>373</v>
      </c>
      <c r="C312" s="0" t="s">
        <v>6788</v>
      </c>
    </row>
    <row r="313" customFormat="false" ht="12.8" hidden="false" customHeight="false" outlineLevel="0" collapsed="false">
      <c r="A313" s="0" t="n">
        <v>375</v>
      </c>
      <c r="C313" s="0" t="s">
        <v>6789</v>
      </c>
    </row>
    <row r="314" customFormat="false" ht="12.8" hidden="false" customHeight="false" outlineLevel="0" collapsed="false">
      <c r="A314" s="0" t="n">
        <v>377</v>
      </c>
      <c r="C314" s="0" t="s">
        <v>6790</v>
      </c>
    </row>
    <row r="315" customFormat="false" ht="12.8" hidden="false" customHeight="false" outlineLevel="0" collapsed="false">
      <c r="A315" s="0" t="n">
        <v>379</v>
      </c>
      <c r="C315" s="0" t="s">
        <v>6791</v>
      </c>
    </row>
    <row r="316" customFormat="false" ht="12.8" hidden="false" customHeight="false" outlineLevel="0" collapsed="false">
      <c r="A316" s="0" t="n">
        <v>380</v>
      </c>
      <c r="C316" s="0" t="s">
        <v>6792</v>
      </c>
    </row>
    <row r="317" customFormat="false" ht="12.8" hidden="false" customHeight="false" outlineLevel="0" collapsed="false">
      <c r="A317" s="0" t="n">
        <v>381</v>
      </c>
      <c r="C317" s="0" t="s">
        <v>6793</v>
      </c>
    </row>
    <row r="318" customFormat="false" ht="12.8" hidden="false" customHeight="false" outlineLevel="0" collapsed="false">
      <c r="A318" s="0" t="n">
        <v>382</v>
      </c>
      <c r="C318" s="0" t="s">
        <v>6794</v>
      </c>
    </row>
    <row r="319" customFormat="false" ht="12.8" hidden="false" customHeight="false" outlineLevel="0" collapsed="false">
      <c r="A319" s="0" t="n">
        <v>383</v>
      </c>
      <c r="C319" s="0" t="s">
        <v>6795</v>
      </c>
    </row>
    <row r="320" customFormat="false" ht="12.8" hidden="false" customHeight="false" outlineLevel="0" collapsed="false">
      <c r="A320" s="0" t="n">
        <v>387</v>
      </c>
      <c r="C320" s="0" t="s">
        <v>6796</v>
      </c>
    </row>
    <row r="321" customFormat="false" ht="12.8" hidden="false" customHeight="false" outlineLevel="0" collapsed="false">
      <c r="A321" s="0" t="n">
        <v>388</v>
      </c>
      <c r="C321" s="0" t="s">
        <v>6797</v>
      </c>
    </row>
    <row r="322" customFormat="false" ht="12.8" hidden="false" customHeight="false" outlineLevel="0" collapsed="false">
      <c r="A322" s="0" t="n">
        <v>389</v>
      </c>
      <c r="C322" s="0" t="s">
        <v>6798</v>
      </c>
    </row>
    <row r="323" customFormat="false" ht="12.8" hidden="false" customHeight="false" outlineLevel="0" collapsed="false">
      <c r="A323" s="0" t="n">
        <v>391</v>
      </c>
      <c r="C323" s="0" t="s">
        <v>6799</v>
      </c>
    </row>
    <row r="324" customFormat="false" ht="12.8" hidden="false" customHeight="false" outlineLevel="0" collapsed="false">
      <c r="A324" s="0" t="n">
        <v>392</v>
      </c>
      <c r="C324" s="0" t="s">
        <v>6800</v>
      </c>
    </row>
    <row r="325" customFormat="false" ht="12.8" hidden="false" customHeight="false" outlineLevel="0" collapsed="false">
      <c r="A325" s="0" t="n">
        <v>393</v>
      </c>
      <c r="C325" s="0" t="s">
        <v>6801</v>
      </c>
    </row>
    <row r="326" customFormat="false" ht="12.8" hidden="false" customHeight="false" outlineLevel="0" collapsed="false">
      <c r="A326" s="0" t="n">
        <v>394</v>
      </c>
      <c r="C326" s="0" t="s">
        <v>6802</v>
      </c>
    </row>
    <row r="327" customFormat="false" ht="12.8" hidden="false" customHeight="false" outlineLevel="0" collapsed="false">
      <c r="A327" s="0" t="n">
        <v>395</v>
      </c>
      <c r="C327" s="0" t="s">
        <v>6803</v>
      </c>
    </row>
    <row r="328" customFormat="false" ht="12.8" hidden="false" customHeight="false" outlineLevel="0" collapsed="false">
      <c r="A328" s="0" t="n">
        <v>396</v>
      </c>
      <c r="C328" s="0" t="s">
        <v>6804</v>
      </c>
    </row>
    <row r="329" customFormat="false" ht="12.8" hidden="false" customHeight="false" outlineLevel="0" collapsed="false">
      <c r="A329" s="0" t="n">
        <v>397</v>
      </c>
      <c r="C329" s="0" t="s">
        <v>6805</v>
      </c>
    </row>
    <row r="330" customFormat="false" ht="12.8" hidden="false" customHeight="false" outlineLevel="0" collapsed="false">
      <c r="A330" s="0" t="n">
        <v>398</v>
      </c>
      <c r="C330" s="0" t="s">
        <v>6806</v>
      </c>
    </row>
    <row r="331" customFormat="false" ht="12.8" hidden="false" customHeight="false" outlineLevel="0" collapsed="false">
      <c r="A331" s="0" t="n">
        <v>399</v>
      </c>
      <c r="C331" s="0" t="s">
        <v>6807</v>
      </c>
    </row>
    <row r="332" customFormat="false" ht="12.8" hidden="false" customHeight="false" outlineLevel="0" collapsed="false">
      <c r="A332" s="0" t="n">
        <v>400</v>
      </c>
      <c r="C332" s="0" t="s">
        <v>6808</v>
      </c>
    </row>
    <row r="333" customFormat="false" ht="12.8" hidden="false" customHeight="false" outlineLevel="0" collapsed="false">
      <c r="A333" s="0" t="n">
        <v>401</v>
      </c>
      <c r="C333" s="0" t="s">
        <v>6809</v>
      </c>
    </row>
    <row r="334" customFormat="false" ht="12.8" hidden="false" customHeight="false" outlineLevel="0" collapsed="false">
      <c r="A334" s="0" t="n">
        <v>402</v>
      </c>
      <c r="C334" s="0" t="s">
        <v>6810</v>
      </c>
    </row>
    <row r="335" customFormat="false" ht="12.8" hidden="false" customHeight="false" outlineLevel="0" collapsed="false">
      <c r="A335" s="0" t="n">
        <v>403</v>
      </c>
      <c r="C335" s="0" t="s">
        <v>6811</v>
      </c>
    </row>
    <row r="336" customFormat="false" ht="12.8" hidden="false" customHeight="false" outlineLevel="0" collapsed="false">
      <c r="A336" s="0" t="n">
        <v>404</v>
      </c>
      <c r="C336" s="0" t="s">
        <v>6812</v>
      </c>
    </row>
    <row r="337" customFormat="false" ht="12.8" hidden="false" customHeight="false" outlineLevel="0" collapsed="false">
      <c r="A337" s="0" t="n">
        <v>409</v>
      </c>
      <c r="C337" s="0" t="s">
        <v>6813</v>
      </c>
    </row>
    <row r="338" customFormat="false" ht="12.8" hidden="false" customHeight="false" outlineLevel="0" collapsed="false">
      <c r="A338" s="0" t="n">
        <v>411</v>
      </c>
      <c r="C338" s="0" t="s">
        <v>6814</v>
      </c>
    </row>
    <row r="339" customFormat="false" ht="12.8" hidden="false" customHeight="false" outlineLevel="0" collapsed="false">
      <c r="A339" s="0" t="n">
        <v>413</v>
      </c>
      <c r="C339" s="0" t="s">
        <v>6815</v>
      </c>
    </row>
    <row r="340" customFormat="false" ht="12.8" hidden="false" customHeight="false" outlineLevel="0" collapsed="false">
      <c r="A340" s="0" t="n">
        <v>415</v>
      </c>
      <c r="C340" s="0" t="s">
        <v>6816</v>
      </c>
    </row>
    <row r="341" customFormat="false" ht="12.8" hidden="false" customHeight="false" outlineLevel="0" collapsed="false">
      <c r="A341" s="0" t="n">
        <v>416</v>
      </c>
      <c r="C341" s="0" t="s">
        <v>6817</v>
      </c>
    </row>
    <row r="342" customFormat="false" ht="12.8" hidden="false" customHeight="false" outlineLevel="0" collapsed="false">
      <c r="A342" s="0" t="n">
        <v>417</v>
      </c>
      <c r="C342" s="0" t="s">
        <v>6818</v>
      </c>
    </row>
    <row r="343" customFormat="false" ht="12.8" hidden="false" customHeight="false" outlineLevel="0" collapsed="false">
      <c r="A343" s="0" t="n">
        <v>420</v>
      </c>
      <c r="C343" s="0" t="s">
        <v>6819</v>
      </c>
    </row>
    <row r="344" customFormat="false" ht="12.8" hidden="false" customHeight="false" outlineLevel="0" collapsed="false">
      <c r="A344" s="0" t="n">
        <v>424</v>
      </c>
      <c r="C344" s="0" t="s">
        <v>6820</v>
      </c>
    </row>
    <row r="345" customFormat="false" ht="12.8" hidden="false" customHeight="false" outlineLevel="0" collapsed="false">
      <c r="A345" s="0" t="n">
        <v>425</v>
      </c>
      <c r="C345" s="0" t="s">
        <v>6821</v>
      </c>
    </row>
    <row r="346" customFormat="false" ht="12.8" hidden="false" customHeight="false" outlineLevel="0" collapsed="false">
      <c r="A346" s="0" t="n">
        <v>426</v>
      </c>
      <c r="C346" s="0" t="s">
        <v>6822</v>
      </c>
    </row>
    <row r="347" customFormat="false" ht="12.8" hidden="false" customHeight="false" outlineLevel="0" collapsed="false">
      <c r="A347" s="0" t="n">
        <v>427</v>
      </c>
      <c r="C347" s="0" t="s">
        <v>6823</v>
      </c>
    </row>
    <row r="348" customFormat="false" ht="12.8" hidden="false" customHeight="false" outlineLevel="0" collapsed="false">
      <c r="A348" s="0" t="n">
        <v>428</v>
      </c>
      <c r="C348" s="0" t="s">
        <v>6824</v>
      </c>
    </row>
    <row r="349" customFormat="false" ht="12.8" hidden="false" customHeight="false" outlineLevel="0" collapsed="false">
      <c r="A349" s="0" t="n">
        <v>429</v>
      </c>
      <c r="C349" s="0" t="s">
        <v>6825</v>
      </c>
    </row>
    <row r="350" customFormat="false" ht="12.8" hidden="false" customHeight="false" outlineLevel="0" collapsed="false">
      <c r="A350" s="0" t="n">
        <v>430</v>
      </c>
      <c r="C350" s="0" t="s">
        <v>6826</v>
      </c>
    </row>
    <row r="351" customFormat="false" ht="12.8" hidden="false" customHeight="false" outlineLevel="0" collapsed="false">
      <c r="A351" s="0" t="n">
        <v>434</v>
      </c>
      <c r="C351" s="0" t="s">
        <v>6827</v>
      </c>
    </row>
    <row r="352" customFormat="false" ht="12.8" hidden="false" customHeight="false" outlineLevel="0" collapsed="false">
      <c r="A352" s="0" t="n">
        <v>435</v>
      </c>
      <c r="C352" s="0" t="s">
        <v>6828</v>
      </c>
    </row>
    <row r="353" customFormat="false" ht="12.8" hidden="false" customHeight="false" outlineLevel="0" collapsed="false">
      <c r="A353" s="0" t="n">
        <v>436</v>
      </c>
      <c r="C353" s="0" t="s">
        <v>6829</v>
      </c>
    </row>
    <row r="354" customFormat="false" ht="12.8" hidden="false" customHeight="false" outlineLevel="0" collapsed="false">
      <c r="A354" s="0" t="n">
        <v>437</v>
      </c>
      <c r="C354" s="0" t="s">
        <v>6830</v>
      </c>
    </row>
    <row r="355" customFormat="false" ht="12.8" hidden="false" customHeight="false" outlineLevel="0" collapsed="false">
      <c r="A355" s="0" t="n">
        <v>438</v>
      </c>
      <c r="C355" s="0" t="s">
        <v>6831</v>
      </c>
    </row>
    <row r="356" customFormat="false" ht="12.8" hidden="false" customHeight="false" outlineLevel="0" collapsed="false">
      <c r="A356" s="0" t="n">
        <v>439</v>
      </c>
      <c r="C356" s="0" t="s">
        <v>6832</v>
      </c>
    </row>
    <row r="357" customFormat="false" ht="12.8" hidden="false" customHeight="false" outlineLevel="0" collapsed="false">
      <c r="A357" s="0" t="n">
        <v>440</v>
      </c>
      <c r="C357" s="0" t="s">
        <v>6833</v>
      </c>
    </row>
    <row r="358" customFormat="false" ht="12.8" hidden="false" customHeight="false" outlineLevel="0" collapsed="false">
      <c r="A358" s="0" t="n">
        <v>441</v>
      </c>
      <c r="C358" s="0" t="s">
        <v>6834</v>
      </c>
    </row>
    <row r="359" customFormat="false" ht="12.8" hidden="false" customHeight="false" outlineLevel="0" collapsed="false">
      <c r="A359" s="0" t="n">
        <v>442</v>
      </c>
      <c r="C359" s="0" t="s">
        <v>6835</v>
      </c>
    </row>
    <row r="360" customFormat="false" ht="12.8" hidden="false" customHeight="false" outlineLevel="0" collapsed="false">
      <c r="A360" s="0" t="n">
        <v>443</v>
      </c>
      <c r="C360" s="0" t="s">
        <v>6836</v>
      </c>
    </row>
    <row r="361" customFormat="false" ht="12.8" hidden="false" customHeight="false" outlineLevel="0" collapsed="false">
      <c r="A361" s="0" t="n">
        <v>444</v>
      </c>
      <c r="C361" s="0" t="s">
        <v>6837</v>
      </c>
    </row>
    <row r="362" customFormat="false" ht="12.8" hidden="false" customHeight="false" outlineLevel="0" collapsed="false">
      <c r="A362" s="0" t="n">
        <v>445</v>
      </c>
      <c r="C362" s="0" t="s">
        <v>6838</v>
      </c>
    </row>
    <row r="363" customFormat="false" ht="12.8" hidden="false" customHeight="false" outlineLevel="0" collapsed="false">
      <c r="A363" s="0" t="n">
        <v>446</v>
      </c>
      <c r="C363" s="0" t="s">
        <v>6839</v>
      </c>
    </row>
    <row r="364" customFormat="false" ht="12.8" hidden="false" customHeight="false" outlineLevel="0" collapsed="false">
      <c r="A364" s="0" t="n">
        <v>447</v>
      </c>
      <c r="C364" s="0" t="s">
        <v>6840</v>
      </c>
    </row>
    <row r="365" customFormat="false" ht="12.8" hidden="false" customHeight="false" outlineLevel="0" collapsed="false">
      <c r="A365" s="0" t="n">
        <v>448</v>
      </c>
      <c r="C365" s="0" t="s">
        <v>6841</v>
      </c>
    </row>
    <row r="366" customFormat="false" ht="12.8" hidden="false" customHeight="false" outlineLevel="0" collapsed="false">
      <c r="A366" s="0" t="n">
        <v>449</v>
      </c>
      <c r="C366" s="0" t="s">
        <v>6842</v>
      </c>
    </row>
    <row r="367" customFormat="false" ht="12.8" hidden="false" customHeight="false" outlineLevel="0" collapsed="false">
      <c r="A367" s="0" t="n">
        <v>450</v>
      </c>
      <c r="C367" s="0" t="s">
        <v>6843</v>
      </c>
    </row>
    <row r="368" customFormat="false" ht="12.8" hidden="false" customHeight="false" outlineLevel="0" collapsed="false">
      <c r="A368" s="0" t="n">
        <v>451</v>
      </c>
      <c r="C368" s="0" t="s">
        <v>6844</v>
      </c>
    </row>
    <row r="369" customFormat="false" ht="12.8" hidden="false" customHeight="false" outlineLevel="0" collapsed="false">
      <c r="A369" s="0" t="n">
        <v>452</v>
      </c>
      <c r="C369" s="0" t="s">
        <v>6845</v>
      </c>
    </row>
    <row r="370" customFormat="false" ht="12.8" hidden="false" customHeight="false" outlineLevel="0" collapsed="false">
      <c r="A370" s="0" t="n">
        <v>453</v>
      </c>
      <c r="C370" s="0" t="s">
        <v>6846</v>
      </c>
    </row>
    <row r="371" customFormat="false" ht="12.8" hidden="false" customHeight="false" outlineLevel="0" collapsed="false">
      <c r="A371" s="0" t="n">
        <v>458</v>
      </c>
      <c r="C371" s="0" t="s">
        <v>6847</v>
      </c>
    </row>
    <row r="372" customFormat="false" ht="12.8" hidden="false" customHeight="false" outlineLevel="0" collapsed="false">
      <c r="A372" s="0" t="n">
        <v>461</v>
      </c>
      <c r="C372" s="0" t="s">
        <v>6848</v>
      </c>
    </row>
    <row r="373" customFormat="false" ht="12.8" hidden="false" customHeight="false" outlineLevel="0" collapsed="false">
      <c r="A373" s="0" t="n">
        <v>462</v>
      </c>
      <c r="C373" s="0" t="s">
        <v>6849</v>
      </c>
    </row>
    <row r="374" customFormat="false" ht="12.8" hidden="false" customHeight="false" outlineLevel="0" collapsed="false">
      <c r="A374" s="0" t="n">
        <v>463</v>
      </c>
      <c r="C374" s="0" t="s">
        <v>6850</v>
      </c>
    </row>
    <row r="375" customFormat="false" ht="12.8" hidden="false" customHeight="false" outlineLevel="0" collapsed="false">
      <c r="A375" s="0" t="n">
        <v>464</v>
      </c>
      <c r="C375" s="0" t="s">
        <v>6851</v>
      </c>
    </row>
    <row r="376" customFormat="false" ht="12.8" hidden="false" customHeight="false" outlineLevel="0" collapsed="false">
      <c r="A376" s="0" t="n">
        <v>465</v>
      </c>
      <c r="C376" s="0" t="s">
        <v>6852</v>
      </c>
    </row>
    <row r="377" customFormat="false" ht="12.8" hidden="false" customHeight="false" outlineLevel="0" collapsed="false">
      <c r="A377" s="0" t="n">
        <v>466</v>
      </c>
      <c r="C377" s="0" t="s">
        <v>6853</v>
      </c>
    </row>
    <row r="378" customFormat="false" ht="12.8" hidden="false" customHeight="false" outlineLevel="0" collapsed="false">
      <c r="A378" s="0" t="n">
        <v>467</v>
      </c>
      <c r="C378" s="0" t="s">
        <v>6854</v>
      </c>
    </row>
    <row r="379" customFormat="false" ht="12.8" hidden="false" customHeight="false" outlineLevel="0" collapsed="false">
      <c r="A379" s="0" t="n">
        <v>468</v>
      </c>
      <c r="C379" s="0" t="s">
        <v>6855</v>
      </c>
    </row>
    <row r="380" customFormat="false" ht="12.8" hidden="false" customHeight="false" outlineLevel="0" collapsed="false">
      <c r="A380" s="0" t="n">
        <v>473</v>
      </c>
      <c r="C380" s="0" t="s">
        <v>6856</v>
      </c>
    </row>
    <row r="381" customFormat="false" ht="12.8" hidden="false" customHeight="false" outlineLevel="0" collapsed="false">
      <c r="A381" s="0" t="n">
        <v>474</v>
      </c>
      <c r="C381" s="0" t="s">
        <v>6857</v>
      </c>
    </row>
    <row r="382" customFormat="false" ht="12.8" hidden="false" customHeight="false" outlineLevel="0" collapsed="false">
      <c r="A382" s="0" t="n">
        <v>475</v>
      </c>
      <c r="C382" s="0" t="s">
        <v>6858</v>
      </c>
    </row>
    <row r="383" customFormat="false" ht="12.8" hidden="false" customHeight="false" outlineLevel="0" collapsed="false">
      <c r="A383" s="0" t="n">
        <v>476</v>
      </c>
      <c r="C383" s="0" t="s">
        <v>6859</v>
      </c>
    </row>
    <row r="384" customFormat="false" ht="12.8" hidden="false" customHeight="false" outlineLevel="0" collapsed="false">
      <c r="A384" s="0" t="n">
        <v>477</v>
      </c>
      <c r="C384" s="0" t="s">
        <v>6860</v>
      </c>
    </row>
    <row r="385" customFormat="false" ht="12.8" hidden="false" customHeight="false" outlineLevel="0" collapsed="false">
      <c r="A385" s="0" t="n">
        <v>478</v>
      </c>
      <c r="C385" s="0" t="s">
        <v>6861</v>
      </c>
    </row>
    <row r="386" customFormat="false" ht="12.8" hidden="false" customHeight="false" outlineLevel="0" collapsed="false">
      <c r="A386" s="0" t="n">
        <v>482</v>
      </c>
      <c r="C386" s="0" t="s">
        <v>6862</v>
      </c>
    </row>
    <row r="387" customFormat="false" ht="12.8" hidden="false" customHeight="false" outlineLevel="0" collapsed="false">
      <c r="A387" s="0" t="n">
        <v>483</v>
      </c>
      <c r="C387" s="0" t="s">
        <v>6863</v>
      </c>
    </row>
    <row r="388" customFormat="false" ht="12.8" hidden="false" customHeight="false" outlineLevel="0" collapsed="false">
      <c r="A388" s="0" t="n">
        <v>484</v>
      </c>
      <c r="C388" s="0" t="s">
        <v>6864</v>
      </c>
    </row>
    <row r="389" customFormat="false" ht="12.8" hidden="false" customHeight="false" outlineLevel="0" collapsed="false">
      <c r="A389" s="0" t="n">
        <v>485</v>
      </c>
      <c r="C389" s="0" t="s">
        <v>6865</v>
      </c>
    </row>
    <row r="390" customFormat="false" ht="12.8" hidden="false" customHeight="false" outlineLevel="0" collapsed="false">
      <c r="A390" s="0" t="n">
        <v>486</v>
      </c>
      <c r="C390" s="0" t="s">
        <v>6866</v>
      </c>
    </row>
    <row r="391" customFormat="false" ht="12.8" hidden="false" customHeight="false" outlineLevel="0" collapsed="false">
      <c r="A391" s="0" t="n">
        <v>487</v>
      </c>
      <c r="C391" s="0" t="s">
        <v>6867</v>
      </c>
    </row>
    <row r="392" customFormat="false" ht="12.8" hidden="false" customHeight="false" outlineLevel="0" collapsed="false">
      <c r="A392" s="0" t="n">
        <v>488</v>
      </c>
      <c r="C392" s="0" t="s">
        <v>6868</v>
      </c>
    </row>
    <row r="393" customFormat="false" ht="12.8" hidden="false" customHeight="false" outlineLevel="0" collapsed="false">
      <c r="A393" s="0" t="n">
        <v>489</v>
      </c>
      <c r="C393" s="0" t="s">
        <v>6869</v>
      </c>
    </row>
    <row r="394" customFormat="false" ht="12.8" hidden="false" customHeight="false" outlineLevel="0" collapsed="false">
      <c r="A394" s="0" t="n">
        <v>490</v>
      </c>
      <c r="C394" s="0" t="s">
        <v>6870</v>
      </c>
    </row>
    <row r="395" customFormat="false" ht="12.8" hidden="false" customHeight="false" outlineLevel="0" collapsed="false">
      <c r="A395" s="0" t="n">
        <v>491</v>
      </c>
      <c r="C395" s="0" t="s">
        <v>6871</v>
      </c>
    </row>
    <row r="396" customFormat="false" ht="12.8" hidden="false" customHeight="false" outlineLevel="0" collapsed="false">
      <c r="A396" s="0" t="n">
        <v>497</v>
      </c>
      <c r="C396" s="0" t="s">
        <v>6872</v>
      </c>
    </row>
    <row r="397" customFormat="false" ht="12.8" hidden="false" customHeight="false" outlineLevel="0" collapsed="false">
      <c r="A397" s="0" t="n">
        <v>498</v>
      </c>
      <c r="C397" s="0" t="s">
        <v>6873</v>
      </c>
    </row>
    <row r="398" customFormat="false" ht="12.8" hidden="false" customHeight="false" outlineLevel="0" collapsed="false">
      <c r="A398" s="0" t="n">
        <v>499</v>
      </c>
      <c r="C398" s="0" t="s">
        <v>6874</v>
      </c>
    </row>
    <row r="399" customFormat="false" ht="12.8" hidden="false" customHeight="false" outlineLevel="0" collapsed="false">
      <c r="A399" s="0" t="n">
        <v>500</v>
      </c>
      <c r="C399" s="0" t="s">
        <v>6875</v>
      </c>
    </row>
    <row r="400" customFormat="false" ht="12.8" hidden="false" customHeight="false" outlineLevel="0" collapsed="false">
      <c r="A400" s="0" t="n">
        <v>501</v>
      </c>
      <c r="C400" s="0" t="s">
        <v>6876</v>
      </c>
    </row>
    <row r="401" customFormat="false" ht="12.8" hidden="false" customHeight="false" outlineLevel="0" collapsed="false">
      <c r="A401" s="0" t="n">
        <v>502</v>
      </c>
      <c r="C401" s="0" t="s">
        <v>6877</v>
      </c>
    </row>
    <row r="402" customFormat="false" ht="12.8" hidden="false" customHeight="false" outlineLevel="0" collapsed="false">
      <c r="A402" s="0" t="n">
        <v>503</v>
      </c>
      <c r="C402" s="0" t="s">
        <v>6878</v>
      </c>
    </row>
    <row r="403" customFormat="false" ht="12.8" hidden="false" customHeight="false" outlineLevel="0" collapsed="false">
      <c r="A403" s="0" t="n">
        <v>504</v>
      </c>
      <c r="C403" s="0" t="s">
        <v>6879</v>
      </c>
    </row>
    <row r="404" customFormat="false" ht="12.8" hidden="false" customHeight="false" outlineLevel="0" collapsed="false">
      <c r="A404" s="0" t="n">
        <v>505</v>
      </c>
      <c r="C404" s="0" t="s">
        <v>6880</v>
      </c>
    </row>
    <row r="405" customFormat="false" ht="12.8" hidden="false" customHeight="false" outlineLevel="0" collapsed="false">
      <c r="A405" s="0" t="n">
        <v>506</v>
      </c>
      <c r="C405" s="0" t="s">
        <v>6881</v>
      </c>
    </row>
    <row r="406" customFormat="false" ht="12.8" hidden="false" customHeight="false" outlineLevel="0" collapsed="false">
      <c r="A406" s="0" t="n">
        <v>507</v>
      </c>
      <c r="C406" s="0" t="s">
        <v>6882</v>
      </c>
    </row>
    <row r="407" customFormat="false" ht="12.8" hidden="false" customHeight="false" outlineLevel="0" collapsed="false">
      <c r="A407" s="0" t="n">
        <v>508</v>
      </c>
      <c r="C407" s="0" t="s">
        <v>6883</v>
      </c>
    </row>
    <row r="408" customFormat="false" ht="12.8" hidden="false" customHeight="false" outlineLevel="0" collapsed="false">
      <c r="A408" s="0" t="n">
        <v>513</v>
      </c>
      <c r="C408" s="0" t="s">
        <v>6884</v>
      </c>
    </row>
    <row r="409" customFormat="false" ht="12.8" hidden="false" customHeight="false" outlineLevel="0" collapsed="false">
      <c r="A409" s="0" t="n">
        <v>514</v>
      </c>
      <c r="C409" s="0" t="s">
        <v>6885</v>
      </c>
    </row>
    <row r="410" customFormat="false" ht="12.8" hidden="false" customHeight="false" outlineLevel="0" collapsed="false">
      <c r="A410" s="0" t="n">
        <v>515</v>
      </c>
      <c r="C410" s="0" t="s">
        <v>6886</v>
      </c>
    </row>
    <row r="411" customFormat="false" ht="12.8" hidden="false" customHeight="false" outlineLevel="0" collapsed="false">
      <c r="A411" s="0" t="n">
        <v>516</v>
      </c>
      <c r="C411" s="0" t="s">
        <v>6887</v>
      </c>
    </row>
    <row r="412" customFormat="false" ht="12.8" hidden="false" customHeight="false" outlineLevel="0" collapsed="false">
      <c r="A412" s="0" t="n">
        <v>517</v>
      </c>
      <c r="C412" s="0" t="s">
        <v>6888</v>
      </c>
    </row>
    <row r="413" customFormat="false" ht="12.8" hidden="false" customHeight="false" outlineLevel="0" collapsed="false">
      <c r="A413" s="0" t="n">
        <v>518</v>
      </c>
      <c r="C413" s="0" t="s">
        <v>6889</v>
      </c>
    </row>
    <row r="414" customFormat="false" ht="12.8" hidden="false" customHeight="false" outlineLevel="0" collapsed="false">
      <c r="A414" s="0" t="n">
        <v>519</v>
      </c>
      <c r="C414" s="0" t="s">
        <v>6890</v>
      </c>
    </row>
    <row r="415" customFormat="false" ht="12.8" hidden="false" customHeight="false" outlineLevel="0" collapsed="false">
      <c r="A415" s="0" t="n">
        <v>520</v>
      </c>
      <c r="C415" s="0" t="s">
        <v>6891</v>
      </c>
    </row>
    <row r="416" customFormat="false" ht="12.8" hidden="false" customHeight="false" outlineLevel="0" collapsed="false">
      <c r="A416" s="0" t="n">
        <v>521</v>
      </c>
      <c r="C416" s="0" t="s">
        <v>6892</v>
      </c>
    </row>
    <row r="417" customFormat="false" ht="12.8" hidden="false" customHeight="false" outlineLevel="0" collapsed="false">
      <c r="A417" s="0" t="n">
        <v>522</v>
      </c>
      <c r="C417" s="0" t="s">
        <v>6893</v>
      </c>
    </row>
    <row r="418" customFormat="false" ht="12.8" hidden="false" customHeight="false" outlineLevel="0" collapsed="false">
      <c r="A418" s="0" t="n">
        <v>523</v>
      </c>
      <c r="C418" s="0" t="s">
        <v>6894</v>
      </c>
    </row>
    <row r="419" customFormat="false" ht="12.8" hidden="false" customHeight="false" outlineLevel="0" collapsed="false">
      <c r="A419" s="0" t="n">
        <v>524</v>
      </c>
      <c r="C419" s="0" t="s">
        <v>6895</v>
      </c>
    </row>
    <row r="420" customFormat="false" ht="12.8" hidden="false" customHeight="false" outlineLevel="0" collapsed="false">
      <c r="A420" s="0" t="n">
        <v>525</v>
      </c>
      <c r="C420" s="0" t="s">
        <v>6896</v>
      </c>
    </row>
    <row r="421" customFormat="false" ht="12.8" hidden="false" customHeight="false" outlineLevel="0" collapsed="false">
      <c r="A421" s="0" t="n">
        <v>526</v>
      </c>
      <c r="C421" s="0" t="s">
        <v>6897</v>
      </c>
    </row>
    <row r="422" customFormat="false" ht="12.8" hidden="false" customHeight="false" outlineLevel="0" collapsed="false">
      <c r="A422" s="0" t="n">
        <v>527</v>
      </c>
      <c r="C422" s="0" t="s">
        <v>6898</v>
      </c>
    </row>
    <row r="423" customFormat="false" ht="12.8" hidden="false" customHeight="false" outlineLevel="0" collapsed="false">
      <c r="A423" s="0" t="n">
        <v>528</v>
      </c>
      <c r="C423" s="0" t="s">
        <v>6899</v>
      </c>
    </row>
    <row r="424" customFormat="false" ht="12.8" hidden="false" customHeight="false" outlineLevel="0" collapsed="false">
      <c r="A424" s="0" t="n">
        <v>529</v>
      </c>
      <c r="C424" s="0" t="s">
        <v>6900</v>
      </c>
    </row>
    <row r="425" customFormat="false" ht="12.8" hidden="false" customHeight="false" outlineLevel="0" collapsed="false">
      <c r="A425" s="0" t="n">
        <v>530</v>
      </c>
      <c r="C425" s="0" t="s">
        <v>6901</v>
      </c>
    </row>
    <row r="426" customFormat="false" ht="12.8" hidden="false" customHeight="false" outlineLevel="0" collapsed="false">
      <c r="A426" s="0" t="n">
        <v>535</v>
      </c>
      <c r="C426" s="0" t="s">
        <v>6902</v>
      </c>
    </row>
    <row r="427" customFormat="false" ht="12.8" hidden="false" customHeight="false" outlineLevel="0" collapsed="false">
      <c r="A427" s="0" t="n">
        <v>536</v>
      </c>
      <c r="C427" s="0" t="s">
        <v>6903</v>
      </c>
    </row>
    <row r="428" customFormat="false" ht="12.8" hidden="false" customHeight="false" outlineLevel="0" collapsed="false">
      <c r="A428" s="0" t="n">
        <v>537</v>
      </c>
      <c r="C428" s="0" t="s">
        <v>6904</v>
      </c>
    </row>
    <row r="429" customFormat="false" ht="12.8" hidden="false" customHeight="false" outlineLevel="0" collapsed="false">
      <c r="A429" s="0" t="n">
        <v>538</v>
      </c>
      <c r="C429" s="0" t="s">
        <v>6905</v>
      </c>
    </row>
    <row r="430" customFormat="false" ht="12.8" hidden="false" customHeight="false" outlineLevel="0" collapsed="false">
      <c r="A430" s="0" t="n">
        <v>539</v>
      </c>
      <c r="C430" s="0" t="s">
        <v>6906</v>
      </c>
    </row>
    <row r="431" customFormat="false" ht="12.8" hidden="false" customHeight="false" outlineLevel="0" collapsed="false">
      <c r="A431" s="0" t="n">
        <v>540</v>
      </c>
      <c r="C431" s="0" t="s">
        <v>6907</v>
      </c>
    </row>
    <row r="432" customFormat="false" ht="12.8" hidden="false" customHeight="false" outlineLevel="0" collapsed="false">
      <c r="A432" s="0" t="n">
        <v>541</v>
      </c>
      <c r="C432" s="0" t="s">
        <v>6908</v>
      </c>
    </row>
    <row r="433" customFormat="false" ht="12.8" hidden="false" customHeight="false" outlineLevel="0" collapsed="false">
      <c r="A433" s="0" t="n">
        <v>542</v>
      </c>
      <c r="C433" s="0" t="s">
        <v>6909</v>
      </c>
    </row>
    <row r="434" customFormat="false" ht="12.8" hidden="false" customHeight="false" outlineLevel="0" collapsed="false">
      <c r="A434" s="0" t="n">
        <v>543</v>
      </c>
      <c r="C434" s="0" t="s">
        <v>6910</v>
      </c>
    </row>
    <row r="435" customFormat="false" ht="12.8" hidden="false" customHeight="false" outlineLevel="0" collapsed="false">
      <c r="A435" s="0" t="n">
        <v>544</v>
      </c>
      <c r="C435" s="0" t="s">
        <v>6911</v>
      </c>
    </row>
    <row r="436" customFormat="false" ht="12.8" hidden="false" customHeight="false" outlineLevel="0" collapsed="false">
      <c r="A436" s="0" t="n">
        <v>545</v>
      </c>
      <c r="C436" s="0" t="s">
        <v>6912</v>
      </c>
    </row>
    <row r="437" customFormat="false" ht="12.8" hidden="false" customHeight="false" outlineLevel="0" collapsed="false">
      <c r="A437" s="0" t="n">
        <v>546</v>
      </c>
      <c r="C437" s="0" t="s">
        <v>6913</v>
      </c>
    </row>
    <row r="438" customFormat="false" ht="12.8" hidden="false" customHeight="false" outlineLevel="0" collapsed="false">
      <c r="A438" s="0" t="n">
        <v>547</v>
      </c>
      <c r="C438" s="0" t="s">
        <v>6914</v>
      </c>
    </row>
    <row r="439" customFormat="false" ht="12.8" hidden="false" customHeight="false" outlineLevel="0" collapsed="false">
      <c r="A439" s="0" t="n">
        <v>548</v>
      </c>
      <c r="C439" s="0" t="s">
        <v>6915</v>
      </c>
    </row>
    <row r="440" customFormat="false" ht="12.8" hidden="false" customHeight="false" outlineLevel="0" collapsed="false">
      <c r="A440" s="0" t="n">
        <v>549</v>
      </c>
      <c r="C440" s="0" t="s">
        <v>6916</v>
      </c>
    </row>
    <row r="441" customFormat="false" ht="12.8" hidden="false" customHeight="false" outlineLevel="0" collapsed="false">
      <c r="A441" s="0" t="n">
        <v>553</v>
      </c>
      <c r="C441" s="0" t="s">
        <v>6917</v>
      </c>
    </row>
    <row r="442" customFormat="false" ht="12.8" hidden="false" customHeight="false" outlineLevel="0" collapsed="false">
      <c r="A442" s="0" t="n">
        <v>554</v>
      </c>
      <c r="C442" s="0" t="s">
        <v>6918</v>
      </c>
    </row>
    <row r="443" customFormat="false" ht="12.8" hidden="false" customHeight="false" outlineLevel="0" collapsed="false">
      <c r="A443" s="0" t="n">
        <v>555</v>
      </c>
      <c r="C443" s="0" t="s">
        <v>6919</v>
      </c>
    </row>
    <row r="444" customFormat="false" ht="12.8" hidden="false" customHeight="false" outlineLevel="0" collapsed="false">
      <c r="A444" s="0" t="n">
        <v>556</v>
      </c>
      <c r="C444" s="0" t="s">
        <v>6920</v>
      </c>
    </row>
    <row r="445" customFormat="false" ht="12.8" hidden="false" customHeight="false" outlineLevel="0" collapsed="false">
      <c r="A445" s="0" t="n">
        <v>557</v>
      </c>
      <c r="C445" s="0" t="s">
        <v>6921</v>
      </c>
    </row>
    <row r="446" customFormat="false" ht="12.8" hidden="false" customHeight="false" outlineLevel="0" collapsed="false">
      <c r="A446" s="0" t="n">
        <v>558</v>
      </c>
      <c r="C446" s="0" t="s">
        <v>6922</v>
      </c>
    </row>
    <row r="447" customFormat="false" ht="12.8" hidden="false" customHeight="false" outlineLevel="0" collapsed="false">
      <c r="A447" s="0" t="n">
        <v>559</v>
      </c>
      <c r="C447" s="0" t="s">
        <v>6923</v>
      </c>
    </row>
    <row r="448" customFormat="false" ht="12.8" hidden="false" customHeight="false" outlineLevel="0" collapsed="false">
      <c r="A448" s="0" t="n">
        <v>560</v>
      </c>
      <c r="C448" s="0" t="s">
        <v>6924</v>
      </c>
    </row>
    <row r="449" customFormat="false" ht="12.8" hidden="false" customHeight="false" outlineLevel="0" collapsed="false">
      <c r="A449" s="0" t="n">
        <v>561</v>
      </c>
      <c r="C449" s="0" t="s">
        <v>6925</v>
      </c>
    </row>
    <row r="450" customFormat="false" ht="12.8" hidden="false" customHeight="false" outlineLevel="0" collapsed="false">
      <c r="A450" s="0" t="n">
        <v>562</v>
      </c>
      <c r="C450" s="0" t="s">
        <v>6926</v>
      </c>
    </row>
    <row r="451" customFormat="false" ht="12.8" hidden="false" customHeight="false" outlineLevel="0" collapsed="false">
      <c r="A451" s="0" t="n">
        <v>563</v>
      </c>
      <c r="C451" s="0" t="s">
        <v>6927</v>
      </c>
    </row>
    <row r="452" customFormat="false" ht="12.8" hidden="false" customHeight="false" outlineLevel="0" collapsed="false">
      <c r="A452" s="0" t="n">
        <v>564</v>
      </c>
      <c r="C452" s="0" t="s">
        <v>6928</v>
      </c>
    </row>
    <row r="453" customFormat="false" ht="12.8" hidden="false" customHeight="false" outlineLevel="0" collapsed="false">
      <c r="A453" s="0" t="n">
        <v>571</v>
      </c>
      <c r="C453" s="0" t="s">
        <v>6929</v>
      </c>
    </row>
    <row r="454" customFormat="false" ht="12.8" hidden="false" customHeight="false" outlineLevel="0" collapsed="false">
      <c r="A454" s="0" t="n">
        <v>572</v>
      </c>
      <c r="C454" s="0" t="s">
        <v>6930</v>
      </c>
    </row>
    <row r="455" customFormat="false" ht="12.8" hidden="false" customHeight="false" outlineLevel="0" collapsed="false">
      <c r="A455" s="0" t="n">
        <v>573</v>
      </c>
      <c r="C455" s="0" t="s">
        <v>6931</v>
      </c>
    </row>
    <row r="456" customFormat="false" ht="12.8" hidden="false" customHeight="false" outlineLevel="0" collapsed="false">
      <c r="A456" s="0" t="n">
        <v>574</v>
      </c>
      <c r="C456" s="0" t="s">
        <v>6932</v>
      </c>
    </row>
    <row r="457" customFormat="false" ht="12.8" hidden="false" customHeight="false" outlineLevel="0" collapsed="false">
      <c r="A457" s="0" t="n">
        <v>575</v>
      </c>
      <c r="C457" s="0" t="s">
        <v>6933</v>
      </c>
    </row>
    <row r="458" customFormat="false" ht="12.8" hidden="false" customHeight="false" outlineLevel="0" collapsed="false">
      <c r="A458" s="0" t="n">
        <v>577</v>
      </c>
      <c r="C458" s="0" t="s">
        <v>6934</v>
      </c>
    </row>
    <row r="459" customFormat="false" ht="12.8" hidden="false" customHeight="false" outlineLevel="0" collapsed="false">
      <c r="A459" s="0" t="n">
        <v>578</v>
      </c>
      <c r="C459" s="0" t="s">
        <v>6935</v>
      </c>
    </row>
    <row r="460" customFormat="false" ht="12.8" hidden="false" customHeight="false" outlineLevel="0" collapsed="false">
      <c r="A460" s="0" t="n">
        <v>579</v>
      </c>
      <c r="C460" s="0" t="s">
        <v>6936</v>
      </c>
    </row>
    <row r="461" customFormat="false" ht="12.8" hidden="false" customHeight="false" outlineLevel="0" collapsed="false">
      <c r="A461" s="0" t="n">
        <v>580</v>
      </c>
      <c r="C461" s="0" t="s">
        <v>6937</v>
      </c>
    </row>
    <row r="462" customFormat="false" ht="12.8" hidden="false" customHeight="false" outlineLevel="0" collapsed="false">
      <c r="A462" s="0" t="n">
        <v>581</v>
      </c>
      <c r="C462" s="0" t="s">
        <v>6938</v>
      </c>
    </row>
    <row r="463" customFormat="false" ht="12.8" hidden="false" customHeight="false" outlineLevel="0" collapsed="false">
      <c r="A463" s="0" t="n">
        <v>582</v>
      </c>
      <c r="C463" s="0" t="s">
        <v>6939</v>
      </c>
    </row>
    <row r="464" customFormat="false" ht="12.8" hidden="false" customHeight="false" outlineLevel="0" collapsed="false">
      <c r="A464" s="0" t="n">
        <v>583</v>
      </c>
      <c r="C464" s="0" t="s">
        <v>6940</v>
      </c>
    </row>
    <row r="465" customFormat="false" ht="12.8" hidden="false" customHeight="false" outlineLevel="0" collapsed="false">
      <c r="A465" s="0" t="n">
        <v>584</v>
      </c>
      <c r="C465" s="0" t="s">
        <v>6941</v>
      </c>
    </row>
    <row r="466" customFormat="false" ht="12.8" hidden="false" customHeight="false" outlineLevel="0" collapsed="false">
      <c r="A466" s="0" t="n">
        <v>586</v>
      </c>
      <c r="C466" s="0" t="s">
        <v>6942</v>
      </c>
    </row>
    <row r="467" customFormat="false" ht="12.8" hidden="false" customHeight="false" outlineLevel="0" collapsed="false">
      <c r="A467" s="0" t="n">
        <v>587</v>
      </c>
      <c r="C467" s="0" t="s">
        <v>6943</v>
      </c>
    </row>
    <row r="468" customFormat="false" ht="12.8" hidden="false" customHeight="false" outlineLevel="0" collapsed="false">
      <c r="A468" s="0" t="n">
        <v>588</v>
      </c>
      <c r="C468" s="0" t="s">
        <v>6944</v>
      </c>
    </row>
    <row r="469" customFormat="false" ht="12.8" hidden="false" customHeight="false" outlineLevel="0" collapsed="false">
      <c r="A469" s="0" t="n">
        <v>589</v>
      </c>
      <c r="C469" s="0" t="s">
        <v>6945</v>
      </c>
    </row>
    <row r="470" customFormat="false" ht="12.8" hidden="false" customHeight="false" outlineLevel="0" collapsed="false">
      <c r="A470" s="0" t="n">
        <v>590</v>
      </c>
      <c r="C470" s="0" t="s">
        <v>6946</v>
      </c>
    </row>
    <row r="471" customFormat="false" ht="12.8" hidden="false" customHeight="false" outlineLevel="0" collapsed="false">
      <c r="A471" s="0" t="n">
        <v>594</v>
      </c>
      <c r="C471" s="0" t="s">
        <v>6947</v>
      </c>
    </row>
    <row r="472" customFormat="false" ht="12.8" hidden="false" customHeight="false" outlineLevel="0" collapsed="false">
      <c r="A472" s="0" t="n">
        <v>595</v>
      </c>
      <c r="C472" s="0" t="s">
        <v>6948</v>
      </c>
    </row>
    <row r="473" customFormat="false" ht="12.8" hidden="false" customHeight="false" outlineLevel="0" collapsed="false">
      <c r="A473" s="0" t="n">
        <v>596</v>
      </c>
      <c r="C473" s="0" t="s">
        <v>6949</v>
      </c>
    </row>
    <row r="474" customFormat="false" ht="12.8" hidden="false" customHeight="false" outlineLevel="0" collapsed="false">
      <c r="A474" s="0" t="n">
        <v>597</v>
      </c>
      <c r="C474" s="0" t="s">
        <v>6950</v>
      </c>
    </row>
    <row r="475" customFormat="false" ht="12.8" hidden="false" customHeight="false" outlineLevel="0" collapsed="false">
      <c r="A475" s="0" t="n">
        <v>598</v>
      </c>
      <c r="C475" s="0" t="s">
        <v>6951</v>
      </c>
    </row>
    <row r="476" customFormat="false" ht="12.8" hidden="false" customHeight="false" outlineLevel="0" collapsed="false">
      <c r="A476" s="0" t="n">
        <v>599</v>
      </c>
      <c r="C476" s="0" t="s">
        <v>6952</v>
      </c>
    </row>
    <row r="477" customFormat="false" ht="12.8" hidden="false" customHeight="false" outlineLevel="0" collapsed="false">
      <c r="A477" s="0" t="n">
        <v>600</v>
      </c>
      <c r="C477" s="0" t="s">
        <v>6953</v>
      </c>
    </row>
    <row r="478" customFormat="false" ht="12.8" hidden="false" customHeight="false" outlineLevel="0" collapsed="false">
      <c r="A478" s="0" t="n">
        <v>602</v>
      </c>
      <c r="C478" s="0" t="s">
        <v>6954</v>
      </c>
    </row>
    <row r="479" customFormat="false" ht="12.8" hidden="false" customHeight="false" outlineLevel="0" collapsed="false">
      <c r="A479" s="0" t="n">
        <v>604</v>
      </c>
      <c r="C479" s="0" t="s">
        <v>6955</v>
      </c>
    </row>
    <row r="480" customFormat="false" ht="12.8" hidden="false" customHeight="false" outlineLevel="0" collapsed="false">
      <c r="A480" s="0" t="n">
        <v>606</v>
      </c>
      <c r="C480" s="0" t="s">
        <v>6956</v>
      </c>
    </row>
    <row r="481" customFormat="false" ht="12.8" hidden="false" customHeight="false" outlineLevel="0" collapsed="false">
      <c r="A481" s="0" t="n">
        <v>608</v>
      </c>
      <c r="C481" s="0" t="s">
        <v>6957</v>
      </c>
    </row>
    <row r="482" customFormat="false" ht="12.8" hidden="false" customHeight="false" outlineLevel="0" collapsed="false">
      <c r="A482" s="0" t="n">
        <v>610</v>
      </c>
      <c r="C482" s="0" t="s">
        <v>6958</v>
      </c>
    </row>
    <row r="483" customFormat="false" ht="12.8" hidden="false" customHeight="false" outlineLevel="0" collapsed="false">
      <c r="A483" s="0" t="n">
        <v>611</v>
      </c>
      <c r="C483" s="0" t="s">
        <v>6959</v>
      </c>
    </row>
    <row r="484" customFormat="false" ht="12.8" hidden="false" customHeight="false" outlineLevel="0" collapsed="false">
      <c r="A484" s="0" t="n">
        <v>614</v>
      </c>
      <c r="C484" s="0" t="s">
        <v>6960</v>
      </c>
    </row>
    <row r="485" customFormat="false" ht="12.8" hidden="false" customHeight="false" outlineLevel="0" collapsed="false">
      <c r="A485" s="0" t="n">
        <v>615</v>
      </c>
      <c r="C485" s="0" t="s">
        <v>6961</v>
      </c>
    </row>
    <row r="486" customFormat="false" ht="12.8" hidden="false" customHeight="false" outlineLevel="0" collapsed="false">
      <c r="A486" s="0" t="n">
        <v>616</v>
      </c>
      <c r="C486" s="0" t="s">
        <v>6962</v>
      </c>
    </row>
    <row r="487" customFormat="false" ht="12.8" hidden="false" customHeight="false" outlineLevel="0" collapsed="false">
      <c r="A487" s="0" t="n">
        <v>617</v>
      </c>
      <c r="C487" s="0" t="s">
        <v>6963</v>
      </c>
    </row>
    <row r="488" customFormat="false" ht="12.8" hidden="false" customHeight="false" outlineLevel="0" collapsed="false">
      <c r="A488" s="0" t="n">
        <v>618</v>
      </c>
      <c r="C488" s="0" t="s">
        <v>6964</v>
      </c>
    </row>
    <row r="489" customFormat="false" ht="12.8" hidden="false" customHeight="false" outlineLevel="0" collapsed="false">
      <c r="A489" s="0" t="n">
        <v>619</v>
      </c>
      <c r="C489" s="0" t="s">
        <v>6965</v>
      </c>
    </row>
    <row r="490" customFormat="false" ht="12.8" hidden="false" customHeight="false" outlineLevel="0" collapsed="false">
      <c r="A490" s="0" t="n">
        <v>620</v>
      </c>
      <c r="C490" s="0" t="s">
        <v>6966</v>
      </c>
    </row>
    <row r="491" customFormat="false" ht="12.8" hidden="false" customHeight="false" outlineLevel="0" collapsed="false">
      <c r="A491" s="0" t="n">
        <v>621</v>
      </c>
      <c r="C491" s="0" t="s">
        <v>6967</v>
      </c>
    </row>
    <row r="492" customFormat="false" ht="12.8" hidden="false" customHeight="false" outlineLevel="0" collapsed="false">
      <c r="A492" s="0" t="n">
        <v>622</v>
      </c>
      <c r="C492" s="0" t="s">
        <v>6968</v>
      </c>
    </row>
    <row r="493" customFormat="false" ht="12.8" hidden="false" customHeight="false" outlineLevel="0" collapsed="false">
      <c r="A493" s="0" t="n">
        <v>623</v>
      </c>
      <c r="C493" s="0" t="s">
        <v>6969</v>
      </c>
    </row>
    <row r="494" customFormat="false" ht="12.8" hidden="false" customHeight="false" outlineLevel="0" collapsed="false">
      <c r="A494" s="0" t="n">
        <v>624</v>
      </c>
      <c r="C494" s="0" t="s">
        <v>6970</v>
      </c>
    </row>
    <row r="495" customFormat="false" ht="12.8" hidden="false" customHeight="false" outlineLevel="0" collapsed="false">
      <c r="A495" s="0" t="n">
        <v>625</v>
      </c>
      <c r="C495" s="0" t="s">
        <v>6971</v>
      </c>
    </row>
    <row r="496" customFormat="false" ht="12.8" hidden="false" customHeight="false" outlineLevel="0" collapsed="false">
      <c r="A496" s="0" t="n">
        <v>626</v>
      </c>
      <c r="C496" s="0" t="s">
        <v>6972</v>
      </c>
    </row>
    <row r="497" customFormat="false" ht="12.8" hidden="false" customHeight="false" outlineLevel="0" collapsed="false">
      <c r="A497" s="0" t="n">
        <v>628</v>
      </c>
      <c r="C497" s="0" t="s">
        <v>6973</v>
      </c>
    </row>
    <row r="498" customFormat="false" ht="12.8" hidden="false" customHeight="false" outlineLevel="0" collapsed="false">
      <c r="A498" s="0" t="n">
        <v>629</v>
      </c>
      <c r="C498" s="0" t="s">
        <v>6974</v>
      </c>
    </row>
    <row r="499" customFormat="false" ht="12.8" hidden="false" customHeight="false" outlineLevel="0" collapsed="false">
      <c r="A499" s="0" t="n">
        <v>630</v>
      </c>
      <c r="C499" s="0" t="s">
        <v>6975</v>
      </c>
    </row>
    <row r="500" customFormat="false" ht="12.8" hidden="false" customHeight="false" outlineLevel="0" collapsed="false">
      <c r="A500" s="0" t="n">
        <v>631</v>
      </c>
      <c r="C500" s="0" t="s">
        <v>6976</v>
      </c>
    </row>
    <row r="501" customFormat="false" ht="12.8" hidden="false" customHeight="false" outlineLevel="0" collapsed="false">
      <c r="A501" s="0" t="n">
        <v>632</v>
      </c>
      <c r="C501" s="0" t="s">
        <v>6977</v>
      </c>
    </row>
    <row r="502" customFormat="false" ht="12.8" hidden="false" customHeight="false" outlineLevel="0" collapsed="false">
      <c r="A502" s="0" t="n">
        <v>633</v>
      </c>
      <c r="C502" s="0" t="s">
        <v>6978</v>
      </c>
    </row>
    <row r="503" customFormat="false" ht="12.8" hidden="false" customHeight="false" outlineLevel="0" collapsed="false">
      <c r="A503" s="0" t="n">
        <v>634</v>
      </c>
      <c r="C503" s="0" t="s">
        <v>6979</v>
      </c>
    </row>
    <row r="504" customFormat="false" ht="12.8" hidden="false" customHeight="false" outlineLevel="0" collapsed="false">
      <c r="A504" s="0" t="n">
        <v>635</v>
      </c>
      <c r="C504" s="0" t="s">
        <v>6980</v>
      </c>
    </row>
    <row r="505" customFormat="false" ht="12.8" hidden="false" customHeight="false" outlineLevel="0" collapsed="false">
      <c r="A505" s="0" t="n">
        <v>641</v>
      </c>
      <c r="C505" s="0" t="s">
        <v>6981</v>
      </c>
    </row>
    <row r="506" customFormat="false" ht="12.8" hidden="false" customHeight="false" outlineLevel="0" collapsed="false">
      <c r="A506" s="0" t="n">
        <v>643</v>
      </c>
      <c r="C506" s="0" t="s">
        <v>6982</v>
      </c>
    </row>
    <row r="507" customFormat="false" ht="12.8" hidden="false" customHeight="false" outlineLevel="0" collapsed="false">
      <c r="A507" s="0" t="n">
        <v>645</v>
      </c>
      <c r="C507" s="0" t="s">
        <v>6983</v>
      </c>
    </row>
    <row r="508" customFormat="false" ht="12.8" hidden="false" customHeight="false" outlineLevel="0" collapsed="false">
      <c r="A508" s="0" t="n">
        <v>647</v>
      </c>
      <c r="C508" s="0" t="s">
        <v>6984</v>
      </c>
    </row>
    <row r="509" customFormat="false" ht="12.8" hidden="false" customHeight="false" outlineLevel="0" collapsed="false">
      <c r="A509" s="0" t="n">
        <v>649</v>
      </c>
      <c r="C509" s="0" t="s">
        <v>6985</v>
      </c>
    </row>
    <row r="510" customFormat="false" ht="12.8" hidden="false" customHeight="false" outlineLevel="0" collapsed="false">
      <c r="A510" s="0" t="n">
        <v>650</v>
      </c>
      <c r="C510" s="0" t="s">
        <v>6986</v>
      </c>
    </row>
    <row r="511" customFormat="false" ht="12.8" hidden="false" customHeight="false" outlineLevel="0" collapsed="false">
      <c r="A511" s="0" t="n">
        <v>651</v>
      </c>
      <c r="C511" s="0" t="s">
        <v>6987</v>
      </c>
    </row>
    <row r="512" customFormat="false" ht="12.8" hidden="false" customHeight="false" outlineLevel="0" collapsed="false">
      <c r="A512" s="0" t="n">
        <v>653</v>
      </c>
      <c r="C512" s="0" t="s">
        <v>6988</v>
      </c>
    </row>
    <row r="513" customFormat="false" ht="12.8" hidden="false" customHeight="false" outlineLevel="0" collapsed="false">
      <c r="A513" s="0" t="n">
        <v>655</v>
      </c>
      <c r="C513" s="0" t="s">
        <v>6989</v>
      </c>
    </row>
    <row r="514" customFormat="false" ht="12.8" hidden="false" customHeight="false" outlineLevel="0" collapsed="false">
      <c r="A514" s="0" t="n">
        <v>656</v>
      </c>
      <c r="C514" s="0" t="s">
        <v>6990</v>
      </c>
    </row>
    <row r="515" customFormat="false" ht="12.8" hidden="false" customHeight="false" outlineLevel="0" collapsed="false">
      <c r="A515" s="0" t="n">
        <v>657</v>
      </c>
      <c r="C515" s="0" t="s">
        <v>6991</v>
      </c>
    </row>
    <row r="516" customFormat="false" ht="12.8" hidden="false" customHeight="false" outlineLevel="0" collapsed="false">
      <c r="A516" s="0" t="n">
        <v>658</v>
      </c>
      <c r="C516" s="0" t="s">
        <v>6992</v>
      </c>
    </row>
    <row r="517" customFormat="false" ht="12.8" hidden="false" customHeight="false" outlineLevel="0" collapsed="false">
      <c r="A517" s="0" t="n">
        <v>659</v>
      </c>
      <c r="C517" s="0" t="s">
        <v>6993</v>
      </c>
    </row>
    <row r="518" customFormat="false" ht="12.8" hidden="false" customHeight="false" outlineLevel="0" collapsed="false">
      <c r="A518" s="0" t="n">
        <v>660</v>
      </c>
      <c r="C518" s="0" t="s">
        <v>6994</v>
      </c>
    </row>
    <row r="519" customFormat="false" ht="12.8" hidden="false" customHeight="false" outlineLevel="0" collapsed="false">
      <c r="A519" s="0" t="n">
        <v>661</v>
      </c>
      <c r="C519" s="0" t="s">
        <v>6995</v>
      </c>
    </row>
    <row r="520" customFormat="false" ht="12.8" hidden="false" customHeight="false" outlineLevel="0" collapsed="false">
      <c r="A520" s="0" t="n">
        <v>662</v>
      </c>
      <c r="C520" s="0" t="s">
        <v>6996</v>
      </c>
    </row>
    <row r="521" customFormat="false" ht="12.8" hidden="false" customHeight="false" outlineLevel="0" collapsed="false">
      <c r="A521" s="0" t="n">
        <v>665</v>
      </c>
      <c r="C521" s="0" t="s">
        <v>6997</v>
      </c>
    </row>
    <row r="522" customFormat="false" ht="12.8" hidden="false" customHeight="false" outlineLevel="0" collapsed="false">
      <c r="A522" s="0" t="n">
        <v>669</v>
      </c>
      <c r="C522" s="0" t="s">
        <v>6998</v>
      </c>
    </row>
    <row r="523" customFormat="false" ht="12.8" hidden="false" customHeight="false" outlineLevel="0" collapsed="false">
      <c r="A523" s="0" t="n">
        <v>670</v>
      </c>
      <c r="C523" s="0" t="s">
        <v>6999</v>
      </c>
    </row>
    <row r="524" customFormat="false" ht="12.8" hidden="false" customHeight="false" outlineLevel="0" collapsed="false">
      <c r="A524" s="0" t="n">
        <v>671</v>
      </c>
      <c r="C524" s="0" t="s">
        <v>7000</v>
      </c>
    </row>
    <row r="525" customFormat="false" ht="12.8" hidden="false" customHeight="false" outlineLevel="0" collapsed="false">
      <c r="A525" s="0" t="n">
        <v>672</v>
      </c>
      <c r="C525" s="0" t="s">
        <v>7001</v>
      </c>
    </row>
    <row r="526" customFormat="false" ht="12.8" hidden="false" customHeight="false" outlineLevel="0" collapsed="false">
      <c r="A526" s="0" t="n">
        <v>673</v>
      </c>
      <c r="C526" s="0" t="s">
        <v>7002</v>
      </c>
    </row>
    <row r="527" customFormat="false" ht="12.8" hidden="false" customHeight="false" outlineLevel="0" collapsed="false">
      <c r="A527" s="0" t="n">
        <v>674</v>
      </c>
      <c r="C527" s="0" t="s">
        <v>7003</v>
      </c>
    </row>
    <row r="528" customFormat="false" ht="12.8" hidden="false" customHeight="false" outlineLevel="0" collapsed="false">
      <c r="A528" s="0" t="n">
        <v>675</v>
      </c>
      <c r="C528" s="0" t="s">
        <v>7004</v>
      </c>
    </row>
    <row r="529" customFormat="false" ht="12.8" hidden="false" customHeight="false" outlineLevel="0" collapsed="false">
      <c r="A529" s="0" t="n">
        <v>676</v>
      </c>
      <c r="C529" s="0" t="s">
        <v>7005</v>
      </c>
    </row>
    <row r="530" customFormat="false" ht="12.8" hidden="false" customHeight="false" outlineLevel="0" collapsed="false">
      <c r="A530" s="0" t="n">
        <v>677</v>
      </c>
      <c r="C530" s="0" t="s">
        <v>7006</v>
      </c>
    </row>
    <row r="531" customFormat="false" ht="12.8" hidden="false" customHeight="false" outlineLevel="0" collapsed="false">
      <c r="A531" s="0" t="n">
        <v>678</v>
      </c>
      <c r="C531" s="0" t="s">
        <v>7007</v>
      </c>
    </row>
    <row r="532" customFormat="false" ht="12.8" hidden="false" customHeight="false" outlineLevel="0" collapsed="false">
      <c r="A532" s="0" t="n">
        <v>679</v>
      </c>
      <c r="C532" s="0" t="s">
        <v>7008</v>
      </c>
    </row>
    <row r="533" customFormat="false" ht="12.8" hidden="false" customHeight="false" outlineLevel="0" collapsed="false">
      <c r="A533" s="0" t="n">
        <v>684</v>
      </c>
      <c r="C533" s="0" t="s">
        <v>7009</v>
      </c>
    </row>
    <row r="534" customFormat="false" ht="12.8" hidden="false" customHeight="false" outlineLevel="0" collapsed="false">
      <c r="A534" s="0" t="n">
        <v>685</v>
      </c>
      <c r="C534" s="0" t="s">
        <v>7010</v>
      </c>
    </row>
    <row r="535" customFormat="false" ht="12.8" hidden="false" customHeight="false" outlineLevel="0" collapsed="false">
      <c r="A535" s="0" t="n">
        <v>686</v>
      </c>
      <c r="C535" s="0" t="s">
        <v>7011</v>
      </c>
    </row>
    <row r="536" customFormat="false" ht="12.8" hidden="false" customHeight="false" outlineLevel="0" collapsed="false">
      <c r="A536" s="0" t="n">
        <v>687</v>
      </c>
      <c r="C536" s="0" t="s">
        <v>7012</v>
      </c>
    </row>
    <row r="537" customFormat="false" ht="12.8" hidden="false" customHeight="false" outlineLevel="0" collapsed="false">
      <c r="A537" s="0" t="n">
        <v>688</v>
      </c>
      <c r="C537" s="0" t="s">
        <v>7013</v>
      </c>
    </row>
    <row r="538" customFormat="false" ht="12.8" hidden="false" customHeight="false" outlineLevel="0" collapsed="false">
      <c r="A538" s="0" t="n">
        <v>689</v>
      </c>
      <c r="C538" s="0" t="s">
        <v>7014</v>
      </c>
    </row>
    <row r="539" customFormat="false" ht="12.8" hidden="false" customHeight="false" outlineLevel="0" collapsed="false">
      <c r="A539" s="0" t="n">
        <v>690</v>
      </c>
      <c r="C539" s="0" t="s">
        <v>7015</v>
      </c>
    </row>
    <row r="540" customFormat="false" ht="12.8" hidden="false" customHeight="false" outlineLevel="0" collapsed="false">
      <c r="A540" s="0" t="n">
        <v>691</v>
      </c>
      <c r="C540" s="0" t="s">
        <v>7016</v>
      </c>
    </row>
    <row r="541" customFormat="false" ht="12.8" hidden="false" customHeight="false" outlineLevel="0" collapsed="false">
      <c r="A541" s="0" t="n">
        <v>692</v>
      </c>
      <c r="C541" s="0" t="s">
        <v>7017</v>
      </c>
    </row>
    <row r="542" customFormat="false" ht="12.8" hidden="false" customHeight="false" outlineLevel="0" collapsed="false">
      <c r="A542" s="0" t="n">
        <v>693</v>
      </c>
      <c r="C542" s="0" t="s">
        <v>7018</v>
      </c>
    </row>
    <row r="543" customFormat="false" ht="12.8" hidden="false" customHeight="false" outlineLevel="0" collapsed="false">
      <c r="A543" s="0" t="n">
        <v>694</v>
      </c>
      <c r="C543" s="0" t="s">
        <v>7019</v>
      </c>
    </row>
    <row r="544" customFormat="false" ht="12.8" hidden="false" customHeight="false" outlineLevel="0" collapsed="false">
      <c r="A544" s="0" t="n">
        <v>695</v>
      </c>
      <c r="C544" s="0" t="s">
        <v>7020</v>
      </c>
    </row>
    <row r="545" customFormat="false" ht="12.8" hidden="false" customHeight="false" outlineLevel="0" collapsed="false">
      <c r="A545" s="0" t="n">
        <v>696</v>
      </c>
      <c r="C545" s="0" t="s">
        <v>7021</v>
      </c>
    </row>
    <row r="546" customFormat="false" ht="12.8" hidden="false" customHeight="false" outlineLevel="0" collapsed="false">
      <c r="A546" s="0" t="n">
        <v>697</v>
      </c>
      <c r="C546" s="0" t="s">
        <v>7022</v>
      </c>
    </row>
    <row r="547" customFormat="false" ht="12.8" hidden="false" customHeight="false" outlineLevel="0" collapsed="false">
      <c r="A547" s="0" t="n">
        <v>698</v>
      </c>
      <c r="C547" s="0" t="s">
        <v>7023</v>
      </c>
    </row>
    <row r="548" customFormat="false" ht="12.8" hidden="false" customHeight="false" outlineLevel="0" collapsed="false">
      <c r="A548" s="0" t="n">
        <v>699</v>
      </c>
      <c r="C548" s="0" t="s">
        <v>7024</v>
      </c>
    </row>
    <row r="549" customFormat="false" ht="12.8" hidden="false" customHeight="false" outlineLevel="0" collapsed="false">
      <c r="A549" s="0" t="n">
        <v>700</v>
      </c>
      <c r="C549" s="0" t="s">
        <v>7025</v>
      </c>
    </row>
    <row r="550" customFormat="false" ht="12.8" hidden="false" customHeight="false" outlineLevel="0" collapsed="false">
      <c r="A550" s="0" t="n">
        <v>704</v>
      </c>
      <c r="C550" s="0" t="s">
        <v>7026</v>
      </c>
    </row>
    <row r="551" customFormat="false" ht="12.8" hidden="false" customHeight="false" outlineLevel="0" collapsed="false">
      <c r="A551" s="0" t="n">
        <v>705</v>
      </c>
      <c r="C551" s="0" t="s">
        <v>7027</v>
      </c>
    </row>
    <row r="552" customFormat="false" ht="12.8" hidden="false" customHeight="false" outlineLevel="0" collapsed="false">
      <c r="A552" s="0" t="n">
        <v>706</v>
      </c>
      <c r="C552" s="0" t="s">
        <v>7028</v>
      </c>
    </row>
    <row r="553" customFormat="false" ht="12.8" hidden="false" customHeight="false" outlineLevel="0" collapsed="false">
      <c r="A553" s="0" t="n">
        <v>707</v>
      </c>
      <c r="C553" s="0" t="s">
        <v>7029</v>
      </c>
    </row>
    <row r="554" customFormat="false" ht="12.8" hidden="false" customHeight="false" outlineLevel="0" collapsed="false">
      <c r="A554" s="0" t="n">
        <v>708</v>
      </c>
      <c r="C554" s="0" t="s">
        <v>7030</v>
      </c>
    </row>
    <row r="555" customFormat="false" ht="12.8" hidden="false" customHeight="false" outlineLevel="0" collapsed="false">
      <c r="A555" s="0" t="n">
        <v>709</v>
      </c>
      <c r="C555" s="0" t="s">
        <v>7031</v>
      </c>
    </row>
    <row r="556" customFormat="false" ht="12.8" hidden="false" customHeight="false" outlineLevel="0" collapsed="false">
      <c r="A556" s="0" t="n">
        <v>710</v>
      </c>
      <c r="C556" s="0" t="s">
        <v>7032</v>
      </c>
    </row>
    <row r="557" customFormat="false" ht="12.8" hidden="false" customHeight="false" outlineLevel="0" collapsed="false">
      <c r="A557" s="0" t="n">
        <v>711</v>
      </c>
      <c r="C557" s="0" t="s">
        <v>7033</v>
      </c>
    </row>
    <row r="558" customFormat="false" ht="12.8" hidden="false" customHeight="false" outlineLevel="0" collapsed="false">
      <c r="A558" s="0" t="n">
        <v>712</v>
      </c>
      <c r="C558" s="0" t="s">
        <v>7034</v>
      </c>
    </row>
    <row r="559" customFormat="false" ht="12.8" hidden="false" customHeight="false" outlineLevel="0" collapsed="false">
      <c r="A559" s="0" t="n">
        <v>713</v>
      </c>
      <c r="C559" s="0" t="s">
        <v>7035</v>
      </c>
    </row>
    <row r="560" customFormat="false" ht="12.8" hidden="false" customHeight="false" outlineLevel="0" collapsed="false">
      <c r="A560" s="0" t="n">
        <v>714</v>
      </c>
      <c r="C560" s="0" t="s">
        <v>7036</v>
      </c>
    </row>
    <row r="561" customFormat="false" ht="12.8" hidden="false" customHeight="false" outlineLevel="0" collapsed="false">
      <c r="A561" s="0" t="n">
        <v>715</v>
      </c>
      <c r="C561" s="0" t="s">
        <v>7037</v>
      </c>
    </row>
    <row r="562" customFormat="false" ht="12.8" hidden="false" customHeight="false" outlineLevel="0" collapsed="false">
      <c r="A562" s="0" t="n">
        <v>716</v>
      </c>
      <c r="C562" s="0" t="s">
        <v>7038</v>
      </c>
    </row>
    <row r="563" customFormat="false" ht="12.8" hidden="false" customHeight="false" outlineLevel="0" collapsed="false">
      <c r="A563" s="0" t="n">
        <v>718</v>
      </c>
      <c r="C563" s="0" t="s">
        <v>7039</v>
      </c>
    </row>
    <row r="564" customFormat="false" ht="12.8" hidden="false" customHeight="false" outlineLevel="0" collapsed="false">
      <c r="A564" s="0" t="n">
        <v>719</v>
      </c>
      <c r="C564" s="0" t="s">
        <v>7040</v>
      </c>
    </row>
    <row r="565" customFormat="false" ht="12.8" hidden="false" customHeight="false" outlineLevel="0" collapsed="false">
      <c r="A565" s="0" t="n">
        <v>720</v>
      </c>
      <c r="C565" s="0" t="s">
        <v>7041</v>
      </c>
    </row>
    <row r="566" customFormat="false" ht="12.8" hidden="false" customHeight="false" outlineLevel="0" collapsed="false">
      <c r="A566" s="0" t="n">
        <v>721</v>
      </c>
      <c r="C566" s="0" t="s">
        <v>7042</v>
      </c>
    </row>
    <row r="567" customFormat="false" ht="12.8" hidden="false" customHeight="false" outlineLevel="0" collapsed="false">
      <c r="A567" s="0" t="n">
        <v>722</v>
      </c>
      <c r="C567" s="0" t="s">
        <v>7043</v>
      </c>
    </row>
    <row r="568" customFormat="false" ht="12.8" hidden="false" customHeight="false" outlineLevel="0" collapsed="false">
      <c r="A568" s="0" t="n">
        <v>723</v>
      </c>
      <c r="C568" s="0" t="s">
        <v>7044</v>
      </c>
    </row>
    <row r="569" customFormat="false" ht="12.8" hidden="false" customHeight="false" outlineLevel="0" collapsed="false">
      <c r="A569" s="0" t="n">
        <v>724</v>
      </c>
      <c r="C569" s="0" t="s">
        <v>7045</v>
      </c>
    </row>
    <row r="570" customFormat="false" ht="12.8" hidden="false" customHeight="false" outlineLevel="0" collapsed="false">
      <c r="A570" s="0" t="n">
        <v>725</v>
      </c>
      <c r="C570" s="0" t="s">
        <v>7046</v>
      </c>
    </row>
    <row r="571" customFormat="false" ht="12.8" hidden="false" customHeight="false" outlineLevel="0" collapsed="false">
      <c r="A571" s="0" t="n">
        <v>726</v>
      </c>
      <c r="C571" s="0" t="s">
        <v>7047</v>
      </c>
    </row>
    <row r="572" customFormat="false" ht="12.8" hidden="false" customHeight="false" outlineLevel="0" collapsed="false">
      <c r="A572" s="0" t="n">
        <v>727</v>
      </c>
      <c r="C572" s="0" t="s">
        <v>7048</v>
      </c>
    </row>
    <row r="573" customFormat="false" ht="12.8" hidden="false" customHeight="false" outlineLevel="0" collapsed="false">
      <c r="A573" s="0" t="n">
        <v>728</v>
      </c>
      <c r="C573" s="0" t="s">
        <v>7049</v>
      </c>
    </row>
    <row r="574" customFormat="false" ht="12.8" hidden="false" customHeight="false" outlineLevel="0" collapsed="false">
      <c r="A574" s="0" t="n">
        <v>729</v>
      </c>
      <c r="C574" s="0" t="s">
        <v>7050</v>
      </c>
    </row>
    <row r="575" customFormat="false" ht="12.8" hidden="false" customHeight="false" outlineLevel="0" collapsed="false">
      <c r="A575" s="0" t="n">
        <v>730</v>
      </c>
      <c r="C575" s="0" t="s">
        <v>7051</v>
      </c>
    </row>
    <row r="576" customFormat="false" ht="12.8" hidden="false" customHeight="false" outlineLevel="0" collapsed="false">
      <c r="A576" s="0" t="n">
        <v>731</v>
      </c>
      <c r="C576" s="0" t="s">
        <v>7052</v>
      </c>
    </row>
    <row r="577" customFormat="false" ht="12.8" hidden="false" customHeight="false" outlineLevel="0" collapsed="false">
      <c r="A577" s="0" t="n">
        <v>732</v>
      </c>
      <c r="C577" s="0" t="s">
        <v>7053</v>
      </c>
    </row>
    <row r="578" customFormat="false" ht="12.8" hidden="false" customHeight="false" outlineLevel="0" collapsed="false">
      <c r="A578" s="0" t="n">
        <v>733</v>
      </c>
      <c r="C578" s="0" t="s">
        <v>7054</v>
      </c>
    </row>
    <row r="579" customFormat="false" ht="12.8" hidden="false" customHeight="false" outlineLevel="0" collapsed="false">
      <c r="A579" s="0" t="n">
        <v>734</v>
      </c>
      <c r="C579" s="0" t="s">
        <v>7055</v>
      </c>
    </row>
    <row r="580" customFormat="false" ht="12.8" hidden="false" customHeight="false" outlineLevel="0" collapsed="false">
      <c r="A580" s="0" t="n">
        <v>735</v>
      </c>
      <c r="C580" s="0" t="s">
        <v>7056</v>
      </c>
    </row>
    <row r="581" customFormat="false" ht="12.8" hidden="false" customHeight="false" outlineLevel="0" collapsed="false">
      <c r="A581" s="0" t="n">
        <v>736</v>
      </c>
      <c r="C581" s="0" t="s">
        <v>7057</v>
      </c>
    </row>
    <row r="582" customFormat="false" ht="12.8" hidden="false" customHeight="false" outlineLevel="0" collapsed="false">
      <c r="A582" s="0" t="n">
        <v>737</v>
      </c>
      <c r="C582" s="0" t="s">
        <v>7058</v>
      </c>
    </row>
    <row r="583" customFormat="false" ht="12.8" hidden="false" customHeight="false" outlineLevel="0" collapsed="false">
      <c r="A583" s="0" t="n">
        <v>738</v>
      </c>
      <c r="C583" s="0" t="s">
        <v>7059</v>
      </c>
    </row>
    <row r="584" customFormat="false" ht="12.8" hidden="false" customHeight="false" outlineLevel="0" collapsed="false">
      <c r="A584" s="0" t="n">
        <v>739</v>
      </c>
      <c r="C584" s="0" t="s">
        <v>7060</v>
      </c>
    </row>
    <row r="585" customFormat="false" ht="12.8" hidden="false" customHeight="false" outlineLevel="0" collapsed="false">
      <c r="A585" s="0" t="n">
        <v>740</v>
      </c>
      <c r="C585" s="0" t="s">
        <v>7061</v>
      </c>
    </row>
    <row r="586" customFormat="false" ht="12.8" hidden="false" customHeight="false" outlineLevel="0" collapsed="false">
      <c r="A586" s="0" t="n">
        <v>741</v>
      </c>
      <c r="C586" s="0" t="s">
        <v>7062</v>
      </c>
    </row>
    <row r="587" customFormat="false" ht="12.8" hidden="false" customHeight="false" outlineLevel="0" collapsed="false">
      <c r="A587" s="0" t="n">
        <v>742</v>
      </c>
      <c r="C587" s="0" t="s">
        <v>7063</v>
      </c>
    </row>
    <row r="588" customFormat="false" ht="12.8" hidden="false" customHeight="false" outlineLevel="0" collapsed="false">
      <c r="A588" s="0" t="n">
        <v>743</v>
      </c>
      <c r="C588" s="0" t="s">
        <v>7064</v>
      </c>
    </row>
    <row r="589" customFormat="false" ht="12.8" hidden="false" customHeight="false" outlineLevel="0" collapsed="false">
      <c r="A589" s="0" t="n">
        <v>744</v>
      </c>
      <c r="C589" s="0" t="s">
        <v>7065</v>
      </c>
    </row>
    <row r="590" customFormat="false" ht="12.8" hidden="false" customHeight="false" outlineLevel="0" collapsed="false">
      <c r="A590" s="0" t="n">
        <v>745</v>
      </c>
      <c r="C590" s="0" t="s">
        <v>7066</v>
      </c>
    </row>
    <row r="591" customFormat="false" ht="12.8" hidden="false" customHeight="false" outlineLevel="0" collapsed="false">
      <c r="A591" s="0" t="n">
        <v>746</v>
      </c>
      <c r="C591" s="0" t="s">
        <v>7067</v>
      </c>
    </row>
    <row r="592" customFormat="false" ht="12.8" hidden="false" customHeight="false" outlineLevel="0" collapsed="false">
      <c r="A592" s="0" t="n">
        <v>747</v>
      </c>
      <c r="C592" s="0" t="s">
        <v>7068</v>
      </c>
    </row>
    <row r="593" customFormat="false" ht="12.8" hidden="false" customHeight="false" outlineLevel="0" collapsed="false">
      <c r="A593" s="0" t="n">
        <v>748</v>
      </c>
      <c r="C593" s="0" t="s">
        <v>7069</v>
      </c>
    </row>
    <row r="594" customFormat="false" ht="12.8" hidden="false" customHeight="false" outlineLevel="0" collapsed="false">
      <c r="A594" s="0" t="n">
        <v>749</v>
      </c>
      <c r="C594" s="0" t="s">
        <v>7070</v>
      </c>
    </row>
    <row r="595" customFormat="false" ht="12.8" hidden="false" customHeight="false" outlineLevel="0" collapsed="false">
      <c r="A595" s="0" t="n">
        <v>750</v>
      </c>
      <c r="C595" s="0" t="s">
        <v>7071</v>
      </c>
    </row>
    <row r="596" customFormat="false" ht="12.8" hidden="false" customHeight="false" outlineLevel="0" collapsed="false">
      <c r="A596" s="0" t="n">
        <v>751</v>
      </c>
      <c r="C596" s="0" t="s">
        <v>7072</v>
      </c>
    </row>
    <row r="597" customFormat="false" ht="12.8" hidden="false" customHeight="false" outlineLevel="0" collapsed="false">
      <c r="A597" s="0" t="n">
        <v>753</v>
      </c>
      <c r="C597" s="0" t="s">
        <v>7073</v>
      </c>
    </row>
    <row r="598" customFormat="false" ht="12.8" hidden="false" customHeight="false" outlineLevel="0" collapsed="false">
      <c r="A598" s="0" t="n">
        <v>754</v>
      </c>
      <c r="C598" s="0" t="s">
        <v>7074</v>
      </c>
    </row>
    <row r="599" customFormat="false" ht="12.8" hidden="false" customHeight="false" outlineLevel="0" collapsed="false">
      <c r="A599" s="0" t="n">
        <v>755</v>
      </c>
      <c r="C599" s="0" t="s">
        <v>7075</v>
      </c>
    </row>
    <row r="600" customFormat="false" ht="12.8" hidden="false" customHeight="false" outlineLevel="0" collapsed="false">
      <c r="A600" s="0" t="n">
        <v>756</v>
      </c>
      <c r="C600" s="0" t="s">
        <v>7076</v>
      </c>
    </row>
    <row r="601" customFormat="false" ht="12.8" hidden="false" customHeight="false" outlineLevel="0" collapsed="false">
      <c r="A601" s="0" t="n">
        <v>758</v>
      </c>
      <c r="C601" s="0" t="s">
        <v>7077</v>
      </c>
    </row>
    <row r="602" customFormat="false" ht="12.8" hidden="false" customHeight="false" outlineLevel="0" collapsed="false">
      <c r="A602" s="0" t="n">
        <v>759</v>
      </c>
      <c r="C602" s="0" t="s">
        <v>7078</v>
      </c>
    </row>
    <row r="603" customFormat="false" ht="12.8" hidden="false" customHeight="false" outlineLevel="0" collapsed="false">
      <c r="A603" s="0" t="n">
        <v>760</v>
      </c>
      <c r="C603" s="0" t="s">
        <v>7079</v>
      </c>
    </row>
    <row r="604" customFormat="false" ht="12.8" hidden="false" customHeight="false" outlineLevel="0" collapsed="false">
      <c r="A604" s="0" t="n">
        <v>761</v>
      </c>
      <c r="C604" s="0" t="s">
        <v>7080</v>
      </c>
    </row>
    <row r="605" customFormat="false" ht="12.8" hidden="false" customHeight="false" outlineLevel="0" collapsed="false">
      <c r="A605" s="0" t="n">
        <v>762</v>
      </c>
      <c r="C605" s="0" t="s">
        <v>7081</v>
      </c>
    </row>
    <row r="606" customFormat="false" ht="12.8" hidden="false" customHeight="false" outlineLevel="0" collapsed="false">
      <c r="A606" s="0" t="n">
        <v>765</v>
      </c>
      <c r="C606" s="0" t="s">
        <v>7082</v>
      </c>
    </row>
    <row r="607" customFormat="false" ht="12.8" hidden="false" customHeight="false" outlineLevel="0" collapsed="false">
      <c r="A607" s="0" t="n">
        <v>766</v>
      </c>
      <c r="C607" s="0" t="s">
        <v>7083</v>
      </c>
    </row>
    <row r="608" customFormat="false" ht="12.8" hidden="false" customHeight="false" outlineLevel="0" collapsed="false">
      <c r="A608" s="0" t="n">
        <v>767</v>
      </c>
      <c r="C608" s="0" t="s">
        <v>7084</v>
      </c>
    </row>
    <row r="609" customFormat="false" ht="12.8" hidden="false" customHeight="false" outlineLevel="0" collapsed="false">
      <c r="A609" s="0" t="n">
        <v>768</v>
      </c>
      <c r="C609" s="0" t="s">
        <v>7085</v>
      </c>
    </row>
    <row r="610" customFormat="false" ht="12.8" hidden="false" customHeight="false" outlineLevel="0" collapsed="false">
      <c r="A610" s="0" t="n">
        <v>769</v>
      </c>
      <c r="C610" s="0" t="s">
        <v>7086</v>
      </c>
    </row>
    <row r="611" customFormat="false" ht="12.8" hidden="false" customHeight="false" outlineLevel="0" collapsed="false">
      <c r="A611" s="0" t="n">
        <v>770</v>
      </c>
      <c r="C611" s="0" t="s">
        <v>7087</v>
      </c>
    </row>
    <row r="612" customFormat="false" ht="12.8" hidden="false" customHeight="false" outlineLevel="0" collapsed="false">
      <c r="A612" s="0" t="n">
        <v>771</v>
      </c>
      <c r="C612" s="0" t="s">
        <v>7088</v>
      </c>
    </row>
    <row r="613" customFormat="false" ht="12.8" hidden="false" customHeight="false" outlineLevel="0" collapsed="false">
      <c r="A613" s="0" t="n">
        <v>772</v>
      </c>
      <c r="C613" s="0" t="s">
        <v>7089</v>
      </c>
    </row>
    <row r="614" customFormat="false" ht="12.8" hidden="false" customHeight="false" outlineLevel="0" collapsed="false">
      <c r="A614" s="0" t="n">
        <v>773</v>
      </c>
      <c r="C614" s="0" t="s">
        <v>7090</v>
      </c>
    </row>
    <row r="615" customFormat="false" ht="12.8" hidden="false" customHeight="false" outlineLevel="0" collapsed="false">
      <c r="A615" s="0" t="n">
        <v>774</v>
      </c>
      <c r="C615" s="0" t="s">
        <v>7091</v>
      </c>
    </row>
    <row r="616" customFormat="false" ht="12.8" hidden="false" customHeight="false" outlineLevel="0" collapsed="false">
      <c r="A616" s="0" t="n">
        <v>775</v>
      </c>
      <c r="C616" s="0" t="s">
        <v>7092</v>
      </c>
    </row>
    <row r="617" customFormat="false" ht="12.8" hidden="false" customHeight="false" outlineLevel="0" collapsed="false">
      <c r="A617" s="0" t="n">
        <v>776</v>
      </c>
      <c r="C617" s="0" t="s">
        <v>7093</v>
      </c>
    </row>
    <row r="618" customFormat="false" ht="12.8" hidden="false" customHeight="false" outlineLevel="0" collapsed="false">
      <c r="A618" s="0" t="n">
        <v>777</v>
      </c>
      <c r="C618" s="0" t="s">
        <v>7094</v>
      </c>
    </row>
    <row r="619" customFormat="false" ht="12.8" hidden="false" customHeight="false" outlineLevel="0" collapsed="false">
      <c r="A619" s="0" t="n">
        <v>778</v>
      </c>
      <c r="C619" s="0" t="s">
        <v>7095</v>
      </c>
    </row>
    <row r="620" customFormat="false" ht="12.8" hidden="false" customHeight="false" outlineLevel="0" collapsed="false">
      <c r="A620" s="0" t="n">
        <v>779</v>
      </c>
      <c r="C620" s="0" t="s">
        <v>7096</v>
      </c>
    </row>
    <row r="621" customFormat="false" ht="12.8" hidden="false" customHeight="false" outlineLevel="0" collapsed="false">
      <c r="A621" s="0" t="n">
        <v>780</v>
      </c>
      <c r="C621" s="0" t="s">
        <v>7097</v>
      </c>
    </row>
    <row r="622" customFormat="false" ht="12.8" hidden="false" customHeight="false" outlineLevel="0" collapsed="false">
      <c r="A622" s="0" t="n">
        <v>781</v>
      </c>
      <c r="C622" s="0" t="s">
        <v>7098</v>
      </c>
    </row>
    <row r="623" customFormat="false" ht="12.8" hidden="false" customHeight="false" outlineLevel="0" collapsed="false">
      <c r="A623" s="0" t="n">
        <v>783</v>
      </c>
      <c r="C623" s="0" t="s">
        <v>7099</v>
      </c>
    </row>
    <row r="624" customFormat="false" ht="12.8" hidden="false" customHeight="false" outlineLevel="0" collapsed="false">
      <c r="A624" s="0" t="n">
        <v>784</v>
      </c>
      <c r="C624" s="0" t="s">
        <v>7100</v>
      </c>
    </row>
    <row r="625" customFormat="false" ht="12.8" hidden="false" customHeight="false" outlineLevel="0" collapsed="false">
      <c r="A625" s="0" t="n">
        <v>785</v>
      </c>
      <c r="C625" s="0" t="s">
        <v>7101</v>
      </c>
    </row>
    <row r="626" customFormat="false" ht="12.8" hidden="false" customHeight="false" outlineLevel="0" collapsed="false">
      <c r="A626" s="0" t="n">
        <v>786</v>
      </c>
      <c r="C626" s="0" t="s">
        <v>7102</v>
      </c>
    </row>
    <row r="627" customFormat="false" ht="12.8" hidden="false" customHeight="false" outlineLevel="0" collapsed="false">
      <c r="A627" s="0" t="n">
        <v>787</v>
      </c>
      <c r="C627" s="0" t="s">
        <v>7103</v>
      </c>
    </row>
    <row r="628" customFormat="false" ht="12.8" hidden="false" customHeight="false" outlineLevel="0" collapsed="false">
      <c r="A628" s="0" t="n">
        <v>788</v>
      </c>
      <c r="C628" s="0" t="s">
        <v>7104</v>
      </c>
    </row>
    <row r="629" customFormat="false" ht="12.8" hidden="false" customHeight="false" outlineLevel="0" collapsed="false">
      <c r="A629" s="0" t="n">
        <v>789</v>
      </c>
      <c r="C629" s="0" t="s">
        <v>7105</v>
      </c>
    </row>
    <row r="630" customFormat="false" ht="12.8" hidden="false" customHeight="false" outlineLevel="0" collapsed="false">
      <c r="A630" s="0" t="n">
        <v>790</v>
      </c>
      <c r="C630" s="0" t="s">
        <v>7106</v>
      </c>
    </row>
    <row r="631" customFormat="false" ht="12.8" hidden="false" customHeight="false" outlineLevel="0" collapsed="false">
      <c r="A631" s="0" t="n">
        <v>791</v>
      </c>
      <c r="C631" s="0" t="s">
        <v>7107</v>
      </c>
    </row>
    <row r="632" customFormat="false" ht="12.8" hidden="false" customHeight="false" outlineLevel="0" collapsed="false">
      <c r="A632" s="0" t="n">
        <v>792</v>
      </c>
      <c r="C632" s="0" t="s">
        <v>7108</v>
      </c>
    </row>
    <row r="633" customFormat="false" ht="12.8" hidden="false" customHeight="false" outlineLevel="0" collapsed="false">
      <c r="A633" s="0" t="n">
        <v>793</v>
      </c>
      <c r="C633" s="0" t="s">
        <v>7109</v>
      </c>
    </row>
    <row r="634" customFormat="false" ht="12.8" hidden="false" customHeight="false" outlineLevel="0" collapsed="false">
      <c r="A634" s="0" t="n">
        <v>794</v>
      </c>
      <c r="C634" s="0" t="s">
        <v>7110</v>
      </c>
    </row>
    <row r="635" customFormat="false" ht="12.8" hidden="false" customHeight="false" outlineLevel="0" collapsed="false">
      <c r="A635" s="0" t="n">
        <v>795</v>
      </c>
      <c r="C635" s="0" t="s">
        <v>7111</v>
      </c>
    </row>
    <row r="636" customFormat="false" ht="12.8" hidden="false" customHeight="false" outlineLevel="0" collapsed="false">
      <c r="A636" s="0" t="n">
        <v>796</v>
      </c>
      <c r="C636" s="0" t="s">
        <v>7112</v>
      </c>
    </row>
    <row r="637" customFormat="false" ht="12.8" hidden="false" customHeight="false" outlineLevel="0" collapsed="false">
      <c r="A637" s="0" t="n">
        <v>797</v>
      </c>
      <c r="C637" s="0" t="s">
        <v>7113</v>
      </c>
    </row>
    <row r="638" customFormat="false" ht="12.8" hidden="false" customHeight="false" outlineLevel="0" collapsed="false">
      <c r="A638" s="0" t="n">
        <v>798</v>
      </c>
      <c r="C638" s="0" t="s">
        <v>7114</v>
      </c>
    </row>
    <row r="639" customFormat="false" ht="12.8" hidden="false" customHeight="false" outlineLevel="0" collapsed="false">
      <c r="A639" s="0" t="n">
        <v>799</v>
      </c>
      <c r="C639" s="0" t="s">
        <v>7115</v>
      </c>
    </row>
    <row r="640" customFormat="false" ht="12.8" hidden="false" customHeight="false" outlineLevel="0" collapsed="false">
      <c r="A640" s="0" t="n">
        <v>801</v>
      </c>
      <c r="C640" s="0" t="s">
        <v>7116</v>
      </c>
    </row>
    <row r="641" customFormat="false" ht="12.8" hidden="false" customHeight="false" outlineLevel="0" collapsed="false">
      <c r="A641" s="0" t="n">
        <v>802</v>
      </c>
      <c r="C641" s="0" t="s">
        <v>7117</v>
      </c>
    </row>
    <row r="642" customFormat="false" ht="12.8" hidden="false" customHeight="false" outlineLevel="0" collapsed="false">
      <c r="A642" s="0" t="n">
        <v>803</v>
      </c>
      <c r="C642" s="0" t="s">
        <v>7118</v>
      </c>
    </row>
    <row r="643" customFormat="false" ht="12.8" hidden="false" customHeight="false" outlineLevel="0" collapsed="false">
      <c r="A643" s="0" t="n">
        <v>804</v>
      </c>
      <c r="C643" s="0" t="s">
        <v>7119</v>
      </c>
    </row>
    <row r="644" customFormat="false" ht="12.8" hidden="false" customHeight="false" outlineLevel="0" collapsed="false">
      <c r="A644" s="0" t="n">
        <v>805</v>
      </c>
      <c r="C644" s="0" t="s">
        <v>7120</v>
      </c>
    </row>
    <row r="645" customFormat="false" ht="12.8" hidden="false" customHeight="false" outlineLevel="0" collapsed="false">
      <c r="A645" s="0" t="n">
        <v>806</v>
      </c>
      <c r="C645" s="0" t="s">
        <v>7121</v>
      </c>
    </row>
    <row r="646" customFormat="false" ht="12.8" hidden="false" customHeight="false" outlineLevel="0" collapsed="false">
      <c r="A646" s="0" t="n">
        <v>807</v>
      </c>
      <c r="C646" s="0" t="s">
        <v>7122</v>
      </c>
    </row>
    <row r="647" customFormat="false" ht="12.8" hidden="false" customHeight="false" outlineLevel="0" collapsed="false">
      <c r="A647" s="0" t="n">
        <v>808</v>
      </c>
      <c r="C647" s="0" t="s">
        <v>7123</v>
      </c>
    </row>
    <row r="648" customFormat="false" ht="12.8" hidden="false" customHeight="false" outlineLevel="0" collapsed="false">
      <c r="A648" s="0" t="n">
        <v>809</v>
      </c>
      <c r="C648" s="0" t="s">
        <v>7124</v>
      </c>
    </row>
    <row r="649" customFormat="false" ht="12.8" hidden="false" customHeight="false" outlineLevel="0" collapsed="false">
      <c r="A649" s="0" t="n">
        <v>810</v>
      </c>
      <c r="C649" s="0" t="s">
        <v>7125</v>
      </c>
    </row>
    <row r="650" customFormat="false" ht="12.8" hidden="false" customHeight="false" outlineLevel="0" collapsed="false">
      <c r="A650" s="0" t="n">
        <v>811</v>
      </c>
      <c r="C650" s="0" t="s">
        <v>7126</v>
      </c>
    </row>
    <row r="651" customFormat="false" ht="12.8" hidden="false" customHeight="false" outlineLevel="0" collapsed="false">
      <c r="A651" s="0" t="n">
        <v>812</v>
      </c>
      <c r="C651" s="0" t="s">
        <v>7127</v>
      </c>
    </row>
    <row r="652" customFormat="false" ht="12.8" hidden="false" customHeight="false" outlineLevel="0" collapsed="false">
      <c r="A652" s="0" t="n">
        <v>813</v>
      </c>
      <c r="C652" s="0" t="s">
        <v>7128</v>
      </c>
    </row>
    <row r="653" customFormat="false" ht="12.8" hidden="false" customHeight="false" outlineLevel="0" collapsed="false">
      <c r="A653" s="0" t="n">
        <v>814</v>
      </c>
      <c r="C653" s="0" t="s">
        <v>7129</v>
      </c>
    </row>
    <row r="654" customFormat="false" ht="12.8" hidden="false" customHeight="false" outlineLevel="0" collapsed="false">
      <c r="A654" s="0" t="n">
        <v>815</v>
      </c>
      <c r="C654" s="0" t="s">
        <v>7130</v>
      </c>
    </row>
    <row r="655" customFormat="false" ht="12.8" hidden="false" customHeight="false" outlineLevel="0" collapsed="false">
      <c r="A655" s="0" t="n">
        <v>816</v>
      </c>
      <c r="C655" s="0" t="s">
        <v>7131</v>
      </c>
    </row>
    <row r="656" customFormat="false" ht="12.8" hidden="false" customHeight="false" outlineLevel="0" collapsed="false">
      <c r="A656" s="0" t="n">
        <v>817</v>
      </c>
      <c r="C656" s="0" t="s">
        <v>7132</v>
      </c>
    </row>
    <row r="657" customFormat="false" ht="12.8" hidden="false" customHeight="false" outlineLevel="0" collapsed="false">
      <c r="A657" s="0" t="n">
        <v>818</v>
      </c>
      <c r="C657" s="0" t="s">
        <v>7133</v>
      </c>
    </row>
    <row r="658" customFormat="false" ht="12.8" hidden="false" customHeight="false" outlineLevel="0" collapsed="false">
      <c r="A658" s="0" t="n">
        <v>820</v>
      </c>
      <c r="C658" s="0" t="s">
        <v>7134</v>
      </c>
    </row>
    <row r="659" customFormat="false" ht="12.8" hidden="false" customHeight="false" outlineLevel="0" collapsed="false">
      <c r="A659" s="0" t="n">
        <v>821</v>
      </c>
      <c r="C659" s="0" t="s">
        <v>7135</v>
      </c>
    </row>
    <row r="660" customFormat="false" ht="12.8" hidden="false" customHeight="false" outlineLevel="0" collapsed="false">
      <c r="A660" s="0" t="n">
        <v>822</v>
      </c>
      <c r="C660" s="0" t="s">
        <v>7136</v>
      </c>
    </row>
    <row r="661" customFormat="false" ht="12.8" hidden="false" customHeight="false" outlineLevel="0" collapsed="false">
      <c r="A661" s="0" t="n">
        <v>823</v>
      </c>
      <c r="C661" s="0" t="s">
        <v>7137</v>
      </c>
    </row>
    <row r="662" customFormat="false" ht="12.8" hidden="false" customHeight="false" outlineLevel="0" collapsed="false">
      <c r="A662" s="0" t="n">
        <v>824</v>
      </c>
      <c r="C662" s="0" t="s">
        <v>7138</v>
      </c>
    </row>
    <row r="663" customFormat="false" ht="12.8" hidden="false" customHeight="false" outlineLevel="0" collapsed="false">
      <c r="A663" s="0" t="n">
        <v>825</v>
      </c>
      <c r="C663" s="0" t="s">
        <v>7139</v>
      </c>
    </row>
    <row r="664" customFormat="false" ht="12.8" hidden="false" customHeight="false" outlineLevel="0" collapsed="false">
      <c r="A664" s="0" t="n">
        <v>826</v>
      </c>
      <c r="C664" s="0" t="s">
        <v>7140</v>
      </c>
    </row>
    <row r="665" customFormat="false" ht="12.8" hidden="false" customHeight="false" outlineLevel="0" collapsed="false">
      <c r="A665" s="0" t="n">
        <v>827</v>
      </c>
      <c r="C665" s="0" t="s">
        <v>7141</v>
      </c>
    </row>
    <row r="666" customFormat="false" ht="12.8" hidden="false" customHeight="false" outlineLevel="0" collapsed="false">
      <c r="A666" s="0" t="n">
        <v>828</v>
      </c>
      <c r="C666" s="0" t="s">
        <v>7142</v>
      </c>
    </row>
    <row r="667" customFormat="false" ht="12.8" hidden="false" customHeight="false" outlineLevel="0" collapsed="false">
      <c r="A667" s="0" t="n">
        <v>829</v>
      </c>
      <c r="C667" s="0" t="s">
        <v>7143</v>
      </c>
    </row>
    <row r="668" customFormat="false" ht="12.8" hidden="false" customHeight="false" outlineLevel="0" collapsed="false">
      <c r="A668" s="0" t="n">
        <v>830</v>
      </c>
      <c r="C668" s="0" t="s">
        <v>7144</v>
      </c>
    </row>
    <row r="669" customFormat="false" ht="12.8" hidden="false" customHeight="false" outlineLevel="0" collapsed="false">
      <c r="A669" s="0" t="n">
        <v>831</v>
      </c>
      <c r="C669" s="0" t="s">
        <v>7145</v>
      </c>
    </row>
    <row r="670" customFormat="false" ht="12.8" hidden="false" customHeight="false" outlineLevel="0" collapsed="false">
      <c r="A670" s="0" t="n">
        <v>833</v>
      </c>
      <c r="C670" s="0" t="s">
        <v>7146</v>
      </c>
    </row>
    <row r="671" customFormat="false" ht="12.8" hidden="false" customHeight="false" outlineLevel="0" collapsed="false">
      <c r="A671" s="0" t="n">
        <v>834</v>
      </c>
      <c r="C671" s="0" t="s">
        <v>7147</v>
      </c>
    </row>
    <row r="672" customFormat="false" ht="12.8" hidden="false" customHeight="false" outlineLevel="0" collapsed="false">
      <c r="A672" s="0" t="n">
        <v>835</v>
      </c>
      <c r="C672" s="0" t="s">
        <v>7148</v>
      </c>
    </row>
    <row r="673" customFormat="false" ht="12.8" hidden="false" customHeight="false" outlineLevel="0" collapsed="false">
      <c r="A673" s="0" t="n">
        <v>836</v>
      </c>
      <c r="C673" s="0" t="s">
        <v>7149</v>
      </c>
    </row>
    <row r="674" customFormat="false" ht="12.8" hidden="false" customHeight="false" outlineLevel="0" collapsed="false">
      <c r="A674" s="0" t="n">
        <v>837</v>
      </c>
      <c r="C674" s="0" t="s">
        <v>7150</v>
      </c>
    </row>
    <row r="675" customFormat="false" ht="12.8" hidden="false" customHeight="false" outlineLevel="0" collapsed="false">
      <c r="A675" s="0" t="n">
        <v>838</v>
      </c>
      <c r="C675" s="0" t="s">
        <v>7151</v>
      </c>
    </row>
    <row r="676" customFormat="false" ht="12.8" hidden="false" customHeight="false" outlineLevel="0" collapsed="false">
      <c r="A676" s="0" t="n">
        <v>839</v>
      </c>
      <c r="C676" s="0" t="s">
        <v>7152</v>
      </c>
    </row>
    <row r="677" customFormat="false" ht="12.8" hidden="false" customHeight="false" outlineLevel="0" collapsed="false">
      <c r="A677" s="0" t="n">
        <v>840</v>
      </c>
      <c r="C677" s="0" t="s">
        <v>7153</v>
      </c>
    </row>
    <row r="678" customFormat="false" ht="12.8" hidden="false" customHeight="false" outlineLevel="0" collapsed="false">
      <c r="A678" s="0" t="n">
        <v>841</v>
      </c>
      <c r="C678" s="0" t="s">
        <v>7154</v>
      </c>
    </row>
    <row r="679" customFormat="false" ht="12.8" hidden="false" customHeight="false" outlineLevel="0" collapsed="false">
      <c r="A679" s="0" t="n">
        <v>843</v>
      </c>
      <c r="C679" s="0" t="s">
        <v>7155</v>
      </c>
    </row>
    <row r="680" customFormat="false" ht="12.8" hidden="false" customHeight="false" outlineLevel="0" collapsed="false">
      <c r="A680" s="0" t="n">
        <v>844</v>
      </c>
      <c r="C680" s="0" t="s">
        <v>7156</v>
      </c>
    </row>
    <row r="681" customFormat="false" ht="12.8" hidden="false" customHeight="false" outlineLevel="0" collapsed="false">
      <c r="A681" s="0" t="n">
        <v>845</v>
      </c>
      <c r="C681" s="0" t="s">
        <v>7157</v>
      </c>
    </row>
    <row r="682" customFormat="false" ht="12.8" hidden="false" customHeight="false" outlineLevel="0" collapsed="false">
      <c r="A682" s="0" t="n">
        <v>846</v>
      </c>
      <c r="C682" s="0" t="s">
        <v>7158</v>
      </c>
    </row>
    <row r="683" customFormat="false" ht="12.8" hidden="false" customHeight="false" outlineLevel="0" collapsed="false">
      <c r="A683" s="0" t="n">
        <v>847</v>
      </c>
      <c r="C683" s="0" t="s">
        <v>7159</v>
      </c>
    </row>
    <row r="684" customFormat="false" ht="12.8" hidden="false" customHeight="false" outlineLevel="0" collapsed="false">
      <c r="A684" s="0" t="n">
        <v>848</v>
      </c>
      <c r="C684" s="0" t="s">
        <v>7160</v>
      </c>
    </row>
    <row r="685" customFormat="false" ht="12.8" hidden="false" customHeight="false" outlineLevel="0" collapsed="false">
      <c r="A685" s="0" t="n">
        <v>849</v>
      </c>
      <c r="C685" s="0" t="s">
        <v>7161</v>
      </c>
    </row>
    <row r="686" customFormat="false" ht="12.8" hidden="false" customHeight="false" outlineLevel="0" collapsed="false">
      <c r="A686" s="0" t="n">
        <v>850</v>
      </c>
      <c r="C686" s="0" t="s">
        <v>7162</v>
      </c>
    </row>
    <row r="687" customFormat="false" ht="12.8" hidden="false" customHeight="false" outlineLevel="0" collapsed="false">
      <c r="A687" s="0" t="n">
        <v>851</v>
      </c>
      <c r="C687" s="0" t="s">
        <v>7163</v>
      </c>
    </row>
    <row r="688" customFormat="false" ht="12.8" hidden="false" customHeight="false" outlineLevel="0" collapsed="false">
      <c r="A688" s="0" t="n">
        <v>852</v>
      </c>
      <c r="C688" s="0" t="s">
        <v>7164</v>
      </c>
    </row>
    <row r="689" customFormat="false" ht="12.8" hidden="false" customHeight="false" outlineLevel="0" collapsed="false">
      <c r="A689" s="0" t="n">
        <v>853</v>
      </c>
      <c r="C689" s="0" t="s">
        <v>7165</v>
      </c>
    </row>
    <row r="690" customFormat="false" ht="12.8" hidden="false" customHeight="false" outlineLevel="0" collapsed="false">
      <c r="A690" s="0" t="n">
        <v>854</v>
      </c>
      <c r="C690" s="0" t="s">
        <v>7166</v>
      </c>
    </row>
    <row r="691" customFormat="false" ht="12.8" hidden="false" customHeight="false" outlineLevel="0" collapsed="false">
      <c r="A691" s="0" t="n">
        <v>855</v>
      </c>
      <c r="C691" s="0" t="s">
        <v>7167</v>
      </c>
    </row>
    <row r="692" customFormat="false" ht="12.8" hidden="false" customHeight="false" outlineLevel="0" collapsed="false">
      <c r="A692" s="0" t="n">
        <v>856</v>
      </c>
      <c r="C692" s="0" t="s">
        <v>7168</v>
      </c>
    </row>
    <row r="693" customFormat="false" ht="12.8" hidden="false" customHeight="false" outlineLevel="0" collapsed="false">
      <c r="A693" s="0" t="n">
        <v>857</v>
      </c>
      <c r="C693" s="0" t="s">
        <v>7169</v>
      </c>
    </row>
    <row r="694" customFormat="false" ht="12.8" hidden="false" customHeight="false" outlineLevel="0" collapsed="false">
      <c r="A694" s="0" t="n">
        <v>858</v>
      </c>
      <c r="C694" s="0" t="s">
        <v>7170</v>
      </c>
    </row>
    <row r="695" customFormat="false" ht="12.8" hidden="false" customHeight="false" outlineLevel="0" collapsed="false">
      <c r="A695" s="0" t="n">
        <v>859</v>
      </c>
      <c r="C695" s="0" t="s">
        <v>7171</v>
      </c>
    </row>
    <row r="696" customFormat="false" ht="12.8" hidden="false" customHeight="false" outlineLevel="0" collapsed="false">
      <c r="A696" s="0" t="n">
        <v>860</v>
      </c>
      <c r="C696" s="0" t="s">
        <v>7172</v>
      </c>
    </row>
    <row r="697" customFormat="false" ht="12.8" hidden="false" customHeight="false" outlineLevel="0" collapsed="false">
      <c r="A697" s="0" t="n">
        <v>861</v>
      </c>
      <c r="C697" s="0" t="s">
        <v>7173</v>
      </c>
    </row>
    <row r="698" customFormat="false" ht="12.8" hidden="false" customHeight="false" outlineLevel="0" collapsed="false">
      <c r="A698" s="0" t="n">
        <v>862</v>
      </c>
      <c r="C698" s="0" t="s">
        <v>7174</v>
      </c>
    </row>
    <row r="699" customFormat="false" ht="12.8" hidden="false" customHeight="false" outlineLevel="0" collapsed="false">
      <c r="A699" s="0" t="n">
        <v>864</v>
      </c>
      <c r="C699" s="0" t="s">
        <v>7175</v>
      </c>
    </row>
    <row r="700" customFormat="false" ht="12.8" hidden="false" customHeight="false" outlineLevel="0" collapsed="false">
      <c r="A700" s="0" t="n">
        <v>865</v>
      </c>
      <c r="C700" s="0" t="s">
        <v>7176</v>
      </c>
    </row>
    <row r="701" customFormat="false" ht="12.8" hidden="false" customHeight="false" outlineLevel="0" collapsed="false">
      <c r="A701" s="0" t="n">
        <v>866</v>
      </c>
      <c r="C701" s="0" t="s">
        <v>7177</v>
      </c>
    </row>
    <row r="702" customFormat="false" ht="12.8" hidden="false" customHeight="false" outlineLevel="0" collapsed="false">
      <c r="A702" s="0" t="n">
        <v>867</v>
      </c>
      <c r="C702" s="0" t="s">
        <v>7178</v>
      </c>
    </row>
    <row r="703" customFormat="false" ht="12.8" hidden="false" customHeight="false" outlineLevel="0" collapsed="false">
      <c r="A703" s="0" t="n">
        <v>868</v>
      </c>
      <c r="C703" s="0" t="s">
        <v>7179</v>
      </c>
    </row>
    <row r="704" customFormat="false" ht="12.8" hidden="false" customHeight="false" outlineLevel="0" collapsed="false">
      <c r="A704" s="0" t="n">
        <v>869</v>
      </c>
      <c r="C704" s="0" t="s">
        <v>7180</v>
      </c>
    </row>
    <row r="705" customFormat="false" ht="12.8" hidden="false" customHeight="false" outlineLevel="0" collapsed="false">
      <c r="A705" s="0" t="n">
        <v>870</v>
      </c>
      <c r="C705" s="0" t="s">
        <v>7181</v>
      </c>
    </row>
    <row r="706" customFormat="false" ht="12.8" hidden="false" customHeight="false" outlineLevel="0" collapsed="false">
      <c r="A706" s="0" t="n">
        <v>871</v>
      </c>
      <c r="C706" s="0" t="s">
        <v>7182</v>
      </c>
    </row>
    <row r="707" customFormat="false" ht="12.8" hidden="false" customHeight="false" outlineLevel="0" collapsed="false">
      <c r="A707" s="0" t="n">
        <v>873</v>
      </c>
      <c r="C707" s="0" t="s">
        <v>7183</v>
      </c>
    </row>
    <row r="708" customFormat="false" ht="12.8" hidden="false" customHeight="false" outlineLevel="0" collapsed="false">
      <c r="A708" s="0" t="n">
        <v>874</v>
      </c>
      <c r="C708" s="0" t="s">
        <v>7184</v>
      </c>
    </row>
    <row r="709" customFormat="false" ht="12.8" hidden="false" customHeight="false" outlineLevel="0" collapsed="false">
      <c r="A709" s="0" t="n">
        <v>875</v>
      </c>
      <c r="C709" s="0" t="s">
        <v>7185</v>
      </c>
    </row>
    <row r="710" customFormat="false" ht="12.8" hidden="false" customHeight="false" outlineLevel="0" collapsed="false">
      <c r="A710" s="0" t="n">
        <v>876</v>
      </c>
      <c r="C710" s="0" t="s">
        <v>7186</v>
      </c>
    </row>
    <row r="711" customFormat="false" ht="12.8" hidden="false" customHeight="false" outlineLevel="0" collapsed="false">
      <c r="A711" s="0" t="n">
        <v>877</v>
      </c>
      <c r="C711" s="0" t="s">
        <v>7187</v>
      </c>
    </row>
    <row r="712" customFormat="false" ht="12.8" hidden="false" customHeight="false" outlineLevel="0" collapsed="false">
      <c r="A712" s="0" t="n">
        <v>878</v>
      </c>
      <c r="C712" s="0" t="s">
        <v>7188</v>
      </c>
    </row>
    <row r="713" customFormat="false" ht="12.8" hidden="false" customHeight="false" outlineLevel="0" collapsed="false">
      <c r="A713" s="0" t="n">
        <v>879</v>
      </c>
      <c r="C713" s="0" t="s">
        <v>7189</v>
      </c>
    </row>
    <row r="714" customFormat="false" ht="12.8" hidden="false" customHeight="false" outlineLevel="0" collapsed="false">
      <c r="A714" s="0" t="n">
        <v>880</v>
      </c>
      <c r="C714" s="0" t="s">
        <v>7190</v>
      </c>
    </row>
    <row r="715" customFormat="false" ht="12.8" hidden="false" customHeight="false" outlineLevel="0" collapsed="false">
      <c r="A715" s="0" t="n">
        <v>882</v>
      </c>
      <c r="C715" s="0" t="s">
        <v>7191</v>
      </c>
    </row>
    <row r="716" customFormat="false" ht="12.8" hidden="false" customHeight="false" outlineLevel="0" collapsed="false">
      <c r="A716" s="0" t="n">
        <v>883</v>
      </c>
      <c r="C716" s="0" t="s">
        <v>7192</v>
      </c>
    </row>
    <row r="717" customFormat="false" ht="12.8" hidden="false" customHeight="false" outlineLevel="0" collapsed="false">
      <c r="A717" s="0" t="n">
        <v>884</v>
      </c>
      <c r="C717" s="0" t="s">
        <v>7193</v>
      </c>
    </row>
    <row r="718" customFormat="false" ht="12.8" hidden="false" customHeight="false" outlineLevel="0" collapsed="false">
      <c r="A718" s="0" t="n">
        <v>885</v>
      </c>
      <c r="C718" s="0" t="s">
        <v>7194</v>
      </c>
    </row>
    <row r="719" customFormat="false" ht="12.8" hidden="false" customHeight="false" outlineLevel="0" collapsed="false">
      <c r="A719" s="0" t="n">
        <v>887</v>
      </c>
      <c r="C719" s="0" t="s">
        <v>7195</v>
      </c>
    </row>
    <row r="720" customFormat="false" ht="12.8" hidden="false" customHeight="false" outlineLevel="0" collapsed="false">
      <c r="A720" s="0" t="n">
        <v>888</v>
      </c>
      <c r="C720" s="0" t="s">
        <v>7196</v>
      </c>
    </row>
    <row r="721" customFormat="false" ht="12.8" hidden="false" customHeight="false" outlineLevel="0" collapsed="false">
      <c r="A721" s="0" t="n">
        <v>889</v>
      </c>
      <c r="C721" s="0" t="s">
        <v>7197</v>
      </c>
    </row>
    <row r="722" customFormat="false" ht="12.8" hidden="false" customHeight="false" outlineLevel="0" collapsed="false">
      <c r="A722" s="0" t="n">
        <v>890</v>
      </c>
      <c r="C722" s="0" t="s">
        <v>7198</v>
      </c>
    </row>
    <row r="723" customFormat="false" ht="12.8" hidden="false" customHeight="false" outlineLevel="0" collapsed="false">
      <c r="A723" s="0" t="n">
        <v>891</v>
      </c>
      <c r="C723" s="0" t="s">
        <v>7199</v>
      </c>
    </row>
    <row r="724" customFormat="false" ht="12.8" hidden="false" customHeight="false" outlineLevel="0" collapsed="false">
      <c r="A724" s="0" t="n">
        <v>892</v>
      </c>
      <c r="C724" s="0" t="s">
        <v>7200</v>
      </c>
    </row>
    <row r="725" customFormat="false" ht="12.8" hidden="false" customHeight="false" outlineLevel="0" collapsed="false">
      <c r="A725" s="0" t="n">
        <v>893</v>
      </c>
      <c r="C725" s="0" t="s">
        <v>7201</v>
      </c>
    </row>
    <row r="726" customFormat="false" ht="12.8" hidden="false" customHeight="false" outlineLevel="0" collapsed="false">
      <c r="A726" s="0" t="n">
        <v>894</v>
      </c>
      <c r="C726" s="0" t="s">
        <v>7202</v>
      </c>
    </row>
    <row r="727" customFormat="false" ht="12.8" hidden="false" customHeight="false" outlineLevel="0" collapsed="false">
      <c r="A727" s="0" t="n">
        <v>895</v>
      </c>
      <c r="C727" s="0" t="s">
        <v>7203</v>
      </c>
    </row>
    <row r="728" customFormat="false" ht="12.8" hidden="false" customHeight="false" outlineLevel="0" collapsed="false">
      <c r="A728" s="0" t="n">
        <v>896</v>
      </c>
      <c r="C728" s="0" t="s">
        <v>7204</v>
      </c>
    </row>
    <row r="729" customFormat="false" ht="12.8" hidden="false" customHeight="false" outlineLevel="0" collapsed="false">
      <c r="A729" s="0" t="n">
        <v>897</v>
      </c>
      <c r="C729" s="0" t="s">
        <v>7205</v>
      </c>
    </row>
    <row r="730" customFormat="false" ht="12.8" hidden="false" customHeight="false" outlineLevel="0" collapsed="false">
      <c r="A730" s="0" t="n">
        <v>898</v>
      </c>
      <c r="C730" s="0" t="s">
        <v>7206</v>
      </c>
    </row>
    <row r="731" customFormat="false" ht="12.8" hidden="false" customHeight="false" outlineLevel="0" collapsed="false">
      <c r="A731" s="0" t="n">
        <v>899</v>
      </c>
      <c r="C731" s="0" t="s">
        <v>7207</v>
      </c>
    </row>
    <row r="732" customFormat="false" ht="12.8" hidden="false" customHeight="false" outlineLevel="0" collapsed="false">
      <c r="A732" s="0" t="n">
        <v>901</v>
      </c>
      <c r="C732" s="0" t="s">
        <v>7208</v>
      </c>
    </row>
    <row r="733" customFormat="false" ht="12.8" hidden="false" customHeight="false" outlineLevel="0" collapsed="false">
      <c r="A733" s="0" t="n">
        <v>902</v>
      </c>
      <c r="C733" s="0" t="s">
        <v>7209</v>
      </c>
    </row>
    <row r="734" customFormat="false" ht="12.8" hidden="false" customHeight="false" outlineLevel="0" collapsed="false">
      <c r="A734" s="0" t="n">
        <v>903</v>
      </c>
      <c r="C734" s="0" t="s">
        <v>7210</v>
      </c>
    </row>
    <row r="735" customFormat="false" ht="12.8" hidden="false" customHeight="false" outlineLevel="0" collapsed="false">
      <c r="A735" s="0" t="n">
        <v>905</v>
      </c>
      <c r="C735" s="0" t="s">
        <v>7211</v>
      </c>
    </row>
    <row r="736" customFormat="false" ht="12.8" hidden="false" customHeight="false" outlineLevel="0" collapsed="false">
      <c r="A736" s="0" t="n">
        <v>906</v>
      </c>
      <c r="C736" s="0" t="s">
        <v>7212</v>
      </c>
    </row>
    <row r="737" customFormat="false" ht="12.8" hidden="false" customHeight="false" outlineLevel="0" collapsed="false">
      <c r="A737" s="0" t="n">
        <v>907</v>
      </c>
      <c r="C737" s="0" t="s">
        <v>7213</v>
      </c>
    </row>
    <row r="738" customFormat="false" ht="12.8" hidden="false" customHeight="false" outlineLevel="0" collapsed="false">
      <c r="A738" s="0" t="n">
        <v>908</v>
      </c>
      <c r="C738" s="0" t="s">
        <v>7214</v>
      </c>
    </row>
    <row r="739" customFormat="false" ht="12.8" hidden="false" customHeight="false" outlineLevel="0" collapsed="false">
      <c r="A739" s="0" t="n">
        <v>909</v>
      </c>
      <c r="C739" s="0" t="s">
        <v>7215</v>
      </c>
    </row>
    <row r="740" customFormat="false" ht="12.8" hidden="false" customHeight="false" outlineLevel="0" collapsed="false">
      <c r="A740" s="0" t="n">
        <v>910</v>
      </c>
      <c r="C740" s="0" t="s">
        <v>7216</v>
      </c>
    </row>
    <row r="741" customFormat="false" ht="12.8" hidden="false" customHeight="false" outlineLevel="0" collapsed="false">
      <c r="A741" s="0" t="n">
        <v>911</v>
      </c>
      <c r="C741" s="0" t="s">
        <v>7217</v>
      </c>
    </row>
    <row r="742" customFormat="false" ht="12.8" hidden="false" customHeight="false" outlineLevel="0" collapsed="false">
      <c r="A742" s="0" t="n">
        <v>912</v>
      </c>
      <c r="C742" s="0" t="s">
        <v>7218</v>
      </c>
    </row>
    <row r="743" customFormat="false" ht="12.8" hidden="false" customHeight="false" outlineLevel="0" collapsed="false">
      <c r="A743" s="0" t="n">
        <v>913</v>
      </c>
      <c r="C743" s="0" t="s">
        <v>7219</v>
      </c>
    </row>
    <row r="744" customFormat="false" ht="12.8" hidden="false" customHeight="false" outlineLevel="0" collapsed="false">
      <c r="A744" s="0" t="n">
        <v>914</v>
      </c>
      <c r="C744" s="0" t="s">
        <v>7220</v>
      </c>
    </row>
    <row r="745" customFormat="false" ht="12.8" hidden="false" customHeight="false" outlineLevel="0" collapsed="false">
      <c r="A745" s="0" t="n">
        <v>915</v>
      </c>
      <c r="C745" s="0" t="s">
        <v>7221</v>
      </c>
    </row>
    <row r="746" customFormat="false" ht="12.8" hidden="false" customHeight="false" outlineLevel="0" collapsed="false">
      <c r="A746" s="0" t="n">
        <v>916</v>
      </c>
      <c r="C746" s="0" t="s">
        <v>7222</v>
      </c>
    </row>
    <row r="747" customFormat="false" ht="12.8" hidden="false" customHeight="false" outlineLevel="0" collapsed="false">
      <c r="A747" s="0" t="n">
        <v>917</v>
      </c>
      <c r="C747" s="0" t="s">
        <v>7223</v>
      </c>
    </row>
    <row r="748" customFormat="false" ht="12.8" hidden="false" customHeight="false" outlineLevel="0" collapsed="false">
      <c r="A748" s="0" t="n">
        <v>918</v>
      </c>
      <c r="C748" s="0" t="s">
        <v>7224</v>
      </c>
    </row>
    <row r="749" customFormat="false" ht="12.8" hidden="false" customHeight="false" outlineLevel="0" collapsed="false">
      <c r="A749" s="0" t="n">
        <v>919</v>
      </c>
      <c r="C749" s="0" t="s">
        <v>7225</v>
      </c>
    </row>
    <row r="750" customFormat="false" ht="12.8" hidden="false" customHeight="false" outlineLevel="0" collapsed="false">
      <c r="A750" s="0" t="n">
        <v>920</v>
      </c>
      <c r="C750" s="0" t="s">
        <v>7226</v>
      </c>
    </row>
    <row r="751" customFormat="false" ht="12.8" hidden="false" customHeight="false" outlineLevel="0" collapsed="false">
      <c r="A751" s="0" t="n">
        <v>921</v>
      </c>
      <c r="C751" s="0" t="s">
        <v>7227</v>
      </c>
    </row>
    <row r="752" customFormat="false" ht="12.8" hidden="false" customHeight="false" outlineLevel="0" collapsed="false">
      <c r="A752" s="0" t="n">
        <v>923</v>
      </c>
      <c r="C752" s="0" t="s">
        <v>7228</v>
      </c>
    </row>
    <row r="753" customFormat="false" ht="12.8" hidden="false" customHeight="false" outlineLevel="0" collapsed="false">
      <c r="A753" s="0" t="n">
        <v>924</v>
      </c>
      <c r="C753" s="0" t="s">
        <v>7229</v>
      </c>
    </row>
    <row r="754" customFormat="false" ht="12.8" hidden="false" customHeight="false" outlineLevel="0" collapsed="false">
      <c r="A754" s="0" t="n">
        <v>925</v>
      </c>
      <c r="C754" s="0" t="s">
        <v>7230</v>
      </c>
    </row>
    <row r="755" customFormat="false" ht="12.8" hidden="false" customHeight="false" outlineLevel="0" collapsed="false">
      <c r="A755" s="0" t="n">
        <v>926</v>
      </c>
      <c r="C755" s="0" t="s">
        <v>7231</v>
      </c>
    </row>
    <row r="756" customFormat="false" ht="12.8" hidden="false" customHeight="false" outlineLevel="0" collapsed="false">
      <c r="A756" s="0" t="n">
        <v>927</v>
      </c>
      <c r="C756" s="0" t="s">
        <v>7232</v>
      </c>
    </row>
    <row r="757" customFormat="false" ht="12.8" hidden="false" customHeight="false" outlineLevel="0" collapsed="false">
      <c r="A757" s="0" t="n">
        <v>928</v>
      </c>
      <c r="C757" s="0" t="s">
        <v>7233</v>
      </c>
    </row>
    <row r="758" customFormat="false" ht="12.8" hidden="false" customHeight="false" outlineLevel="0" collapsed="false">
      <c r="A758" s="0" t="n">
        <v>929</v>
      </c>
      <c r="C758" s="0" t="s">
        <v>7234</v>
      </c>
    </row>
    <row r="759" customFormat="false" ht="12.8" hidden="false" customHeight="false" outlineLevel="0" collapsed="false">
      <c r="A759" s="0" t="n">
        <v>930</v>
      </c>
      <c r="C759" s="0" t="s">
        <v>7235</v>
      </c>
    </row>
    <row r="760" customFormat="false" ht="12.8" hidden="false" customHeight="false" outlineLevel="0" collapsed="false">
      <c r="A760" s="0" t="n">
        <v>931</v>
      </c>
      <c r="C760" s="0" t="s">
        <v>7236</v>
      </c>
    </row>
    <row r="761" customFormat="false" ht="12.8" hidden="false" customHeight="false" outlineLevel="0" collapsed="false">
      <c r="A761" s="0" t="n">
        <v>932</v>
      </c>
      <c r="C761" s="0" t="s">
        <v>7237</v>
      </c>
    </row>
    <row r="762" customFormat="false" ht="12.8" hidden="false" customHeight="false" outlineLevel="0" collapsed="false">
      <c r="A762" s="0" t="n">
        <v>933</v>
      </c>
      <c r="C762" s="0" t="s">
        <v>7238</v>
      </c>
    </row>
    <row r="763" customFormat="false" ht="12.8" hidden="false" customHeight="false" outlineLevel="0" collapsed="false">
      <c r="A763" s="0" t="n">
        <v>934</v>
      </c>
      <c r="C763" s="0" t="s">
        <v>7239</v>
      </c>
    </row>
    <row r="764" customFormat="false" ht="12.8" hidden="false" customHeight="false" outlineLevel="0" collapsed="false">
      <c r="A764" s="0" t="n">
        <v>935</v>
      </c>
      <c r="C764" s="0" t="s">
        <v>7240</v>
      </c>
    </row>
    <row r="765" customFormat="false" ht="12.8" hidden="false" customHeight="false" outlineLevel="0" collapsed="false">
      <c r="A765" s="0" t="n">
        <v>936</v>
      </c>
      <c r="C765" s="0" t="s">
        <v>7241</v>
      </c>
    </row>
    <row r="766" customFormat="false" ht="12.8" hidden="false" customHeight="false" outlineLevel="0" collapsed="false">
      <c r="A766" s="0" t="n">
        <v>938</v>
      </c>
      <c r="C766" s="0" t="s">
        <v>7242</v>
      </c>
    </row>
    <row r="767" customFormat="false" ht="12.8" hidden="false" customHeight="false" outlineLevel="0" collapsed="false">
      <c r="A767" s="0" t="n">
        <v>939</v>
      </c>
      <c r="C767" s="0" t="s">
        <v>7243</v>
      </c>
    </row>
    <row r="768" customFormat="false" ht="12.8" hidden="false" customHeight="false" outlineLevel="0" collapsed="false">
      <c r="A768" s="0" t="n">
        <v>940</v>
      </c>
      <c r="C768" s="0" t="s">
        <v>7244</v>
      </c>
    </row>
    <row r="769" customFormat="false" ht="12.8" hidden="false" customHeight="false" outlineLevel="0" collapsed="false">
      <c r="A769" s="0" t="n">
        <v>941</v>
      </c>
      <c r="C769" s="0" t="s">
        <v>7245</v>
      </c>
    </row>
    <row r="770" customFormat="false" ht="12.8" hidden="false" customHeight="false" outlineLevel="0" collapsed="false">
      <c r="A770" s="0" t="n">
        <v>942</v>
      </c>
      <c r="C770" s="0" t="s">
        <v>7246</v>
      </c>
    </row>
    <row r="771" customFormat="false" ht="12.8" hidden="false" customHeight="false" outlineLevel="0" collapsed="false">
      <c r="A771" s="0" t="n">
        <v>943</v>
      </c>
      <c r="C771" s="0" t="s">
        <v>7247</v>
      </c>
    </row>
    <row r="772" customFormat="false" ht="12.8" hidden="false" customHeight="false" outlineLevel="0" collapsed="false">
      <c r="A772" s="0" t="n">
        <v>944</v>
      </c>
      <c r="C772" s="0" t="s">
        <v>7248</v>
      </c>
    </row>
    <row r="773" customFormat="false" ht="12.8" hidden="false" customHeight="false" outlineLevel="0" collapsed="false">
      <c r="A773" s="0" t="n">
        <v>945</v>
      </c>
      <c r="C773" s="0" t="s">
        <v>7249</v>
      </c>
    </row>
    <row r="774" customFormat="false" ht="12.8" hidden="false" customHeight="false" outlineLevel="0" collapsed="false">
      <c r="A774" s="0" t="n">
        <v>946</v>
      </c>
      <c r="C774" s="0" t="s">
        <v>7250</v>
      </c>
    </row>
    <row r="775" customFormat="false" ht="12.8" hidden="false" customHeight="false" outlineLevel="0" collapsed="false">
      <c r="A775" s="0" t="n">
        <v>947</v>
      </c>
      <c r="C775" s="0" t="s">
        <v>7251</v>
      </c>
    </row>
    <row r="776" customFormat="false" ht="12.8" hidden="false" customHeight="false" outlineLevel="0" collapsed="false">
      <c r="A776" s="0" t="n">
        <v>948</v>
      </c>
      <c r="C776" s="0" t="s">
        <v>7252</v>
      </c>
    </row>
    <row r="777" customFormat="false" ht="12.8" hidden="false" customHeight="false" outlineLevel="0" collapsed="false">
      <c r="A777" s="0" t="n">
        <v>949</v>
      </c>
      <c r="C777" s="0" t="s">
        <v>7253</v>
      </c>
    </row>
    <row r="778" customFormat="false" ht="12.8" hidden="false" customHeight="false" outlineLevel="0" collapsed="false">
      <c r="A778" s="0" t="n">
        <v>950</v>
      </c>
      <c r="C778" s="0" t="s">
        <v>7254</v>
      </c>
    </row>
    <row r="779" customFormat="false" ht="12.8" hidden="false" customHeight="false" outlineLevel="0" collapsed="false">
      <c r="A779" s="0" t="n">
        <v>951</v>
      </c>
      <c r="C779" s="0" t="s">
        <v>7255</v>
      </c>
    </row>
    <row r="780" customFormat="false" ht="12.8" hidden="false" customHeight="false" outlineLevel="0" collapsed="false">
      <c r="A780" s="0" t="n">
        <v>953</v>
      </c>
      <c r="C780" s="0" t="s">
        <v>7256</v>
      </c>
    </row>
    <row r="781" customFormat="false" ht="12.8" hidden="false" customHeight="false" outlineLevel="0" collapsed="false">
      <c r="A781" s="0" t="n">
        <v>954</v>
      </c>
      <c r="C781" s="0" t="s">
        <v>7257</v>
      </c>
    </row>
    <row r="782" customFormat="false" ht="12.8" hidden="false" customHeight="false" outlineLevel="0" collapsed="false">
      <c r="A782" s="0" t="n">
        <v>955</v>
      </c>
      <c r="C782" s="0" t="s">
        <v>7258</v>
      </c>
    </row>
    <row r="783" customFormat="false" ht="12.8" hidden="false" customHeight="false" outlineLevel="0" collapsed="false">
      <c r="A783" s="0" t="n">
        <v>956</v>
      </c>
      <c r="C783" s="0" t="s">
        <v>7259</v>
      </c>
    </row>
    <row r="784" customFormat="false" ht="12.8" hidden="false" customHeight="false" outlineLevel="0" collapsed="false">
      <c r="A784" s="0" t="n">
        <v>957</v>
      </c>
      <c r="C784" s="0" t="s">
        <v>7260</v>
      </c>
    </row>
    <row r="785" customFormat="false" ht="12.8" hidden="false" customHeight="false" outlineLevel="0" collapsed="false">
      <c r="A785" s="0" t="n">
        <v>959</v>
      </c>
      <c r="C785" s="0" t="s">
        <v>7261</v>
      </c>
    </row>
    <row r="786" customFormat="false" ht="12.8" hidden="false" customHeight="false" outlineLevel="0" collapsed="false">
      <c r="A786" s="0" t="n">
        <v>960</v>
      </c>
      <c r="C786" s="0" t="s">
        <v>7262</v>
      </c>
    </row>
    <row r="787" customFormat="false" ht="12.8" hidden="false" customHeight="false" outlineLevel="0" collapsed="false">
      <c r="A787" s="0" t="n">
        <v>961</v>
      </c>
      <c r="C787" s="0" t="s">
        <v>7263</v>
      </c>
    </row>
    <row r="788" customFormat="false" ht="12.8" hidden="false" customHeight="false" outlineLevel="0" collapsed="false">
      <c r="A788" s="0" t="n">
        <v>962</v>
      </c>
      <c r="C788" s="0" t="s">
        <v>7264</v>
      </c>
    </row>
    <row r="789" customFormat="false" ht="12.8" hidden="false" customHeight="false" outlineLevel="0" collapsed="false">
      <c r="A789" s="0" t="n">
        <v>963</v>
      </c>
      <c r="C789" s="0" t="s">
        <v>7265</v>
      </c>
    </row>
    <row r="790" customFormat="false" ht="12.8" hidden="false" customHeight="false" outlineLevel="0" collapsed="false">
      <c r="A790" s="0" t="n">
        <v>964</v>
      </c>
      <c r="C790" s="0" t="s">
        <v>7266</v>
      </c>
    </row>
    <row r="791" customFormat="false" ht="12.8" hidden="false" customHeight="false" outlineLevel="0" collapsed="false">
      <c r="A791" s="0" t="n">
        <v>965</v>
      </c>
      <c r="C791" s="0" t="s">
        <v>7267</v>
      </c>
    </row>
    <row r="792" customFormat="false" ht="12.8" hidden="false" customHeight="false" outlineLevel="0" collapsed="false">
      <c r="A792" s="0" t="n">
        <v>966</v>
      </c>
      <c r="C792" s="0" t="s">
        <v>7268</v>
      </c>
    </row>
    <row r="793" customFormat="false" ht="12.8" hidden="false" customHeight="false" outlineLevel="0" collapsed="false">
      <c r="A793" s="0" t="n">
        <v>967</v>
      </c>
      <c r="C793" s="0" t="s">
        <v>7269</v>
      </c>
    </row>
    <row r="794" customFormat="false" ht="12.8" hidden="false" customHeight="false" outlineLevel="0" collapsed="false">
      <c r="A794" s="0" t="n">
        <v>968</v>
      </c>
      <c r="C794" s="0" t="s">
        <v>7270</v>
      </c>
    </row>
    <row r="795" customFormat="false" ht="12.8" hidden="false" customHeight="false" outlineLevel="0" collapsed="false">
      <c r="A795" s="0" t="n">
        <v>969</v>
      </c>
      <c r="C795" s="0" t="s">
        <v>7271</v>
      </c>
    </row>
    <row r="796" customFormat="false" ht="12.8" hidden="false" customHeight="false" outlineLevel="0" collapsed="false">
      <c r="A796" s="0" t="n">
        <v>970</v>
      </c>
      <c r="C796" s="0" t="s">
        <v>7272</v>
      </c>
    </row>
    <row r="797" customFormat="false" ht="12.8" hidden="false" customHeight="false" outlineLevel="0" collapsed="false">
      <c r="A797" s="0" t="n">
        <v>971</v>
      </c>
      <c r="C797" s="0" t="s">
        <v>7273</v>
      </c>
    </row>
    <row r="798" customFormat="false" ht="12.8" hidden="false" customHeight="false" outlineLevel="0" collapsed="false">
      <c r="A798" s="0" t="n">
        <v>972</v>
      </c>
      <c r="C798" s="0" t="s">
        <v>7274</v>
      </c>
    </row>
    <row r="799" customFormat="false" ht="12.8" hidden="false" customHeight="false" outlineLevel="0" collapsed="false">
      <c r="A799" s="0" t="n">
        <v>974</v>
      </c>
      <c r="C799" s="0" t="s">
        <v>7275</v>
      </c>
    </row>
    <row r="800" customFormat="false" ht="12.8" hidden="false" customHeight="false" outlineLevel="0" collapsed="false">
      <c r="A800" s="0" t="n">
        <v>975</v>
      </c>
      <c r="C800" s="0" t="s">
        <v>7276</v>
      </c>
    </row>
    <row r="801" customFormat="false" ht="12.8" hidden="false" customHeight="false" outlineLevel="0" collapsed="false">
      <c r="A801" s="0" t="n">
        <v>976</v>
      </c>
      <c r="C801" s="0" t="s">
        <v>7277</v>
      </c>
    </row>
    <row r="802" customFormat="false" ht="12.8" hidden="false" customHeight="false" outlineLevel="0" collapsed="false">
      <c r="A802" s="0" t="n">
        <v>977</v>
      </c>
      <c r="C802" s="0" t="s">
        <v>7278</v>
      </c>
    </row>
    <row r="803" customFormat="false" ht="12.8" hidden="false" customHeight="false" outlineLevel="0" collapsed="false">
      <c r="A803" s="0" t="n">
        <v>978</v>
      </c>
      <c r="C803" s="0" t="s">
        <v>7279</v>
      </c>
    </row>
    <row r="804" customFormat="false" ht="12.8" hidden="false" customHeight="false" outlineLevel="0" collapsed="false">
      <c r="A804" s="0" t="n">
        <v>979</v>
      </c>
      <c r="C804" s="0" t="s">
        <v>7280</v>
      </c>
    </row>
    <row r="805" customFormat="false" ht="12.8" hidden="false" customHeight="false" outlineLevel="0" collapsed="false">
      <c r="A805" s="0" t="n">
        <v>980</v>
      </c>
      <c r="C805" s="0" t="s">
        <v>7281</v>
      </c>
    </row>
    <row r="806" customFormat="false" ht="12.8" hidden="false" customHeight="false" outlineLevel="0" collapsed="false">
      <c r="A806" s="0" t="n">
        <v>981</v>
      </c>
      <c r="C806" s="0" t="s">
        <v>7282</v>
      </c>
    </row>
    <row r="807" customFormat="false" ht="12.8" hidden="false" customHeight="false" outlineLevel="0" collapsed="false">
      <c r="A807" s="0" t="n">
        <v>982</v>
      </c>
      <c r="C807" s="0" t="s">
        <v>7283</v>
      </c>
    </row>
    <row r="808" customFormat="false" ht="12.8" hidden="false" customHeight="false" outlineLevel="0" collapsed="false">
      <c r="A808" s="0" t="n">
        <v>983</v>
      </c>
      <c r="C808" s="0" t="s">
        <v>7284</v>
      </c>
    </row>
    <row r="809" customFormat="false" ht="12.8" hidden="false" customHeight="false" outlineLevel="0" collapsed="false">
      <c r="A809" s="0" t="n">
        <v>984</v>
      </c>
      <c r="C809" s="0" t="s">
        <v>7285</v>
      </c>
    </row>
    <row r="810" customFormat="false" ht="12.8" hidden="false" customHeight="false" outlineLevel="0" collapsed="false">
      <c r="A810" s="0" t="n">
        <v>985</v>
      </c>
      <c r="C810" s="0" t="s">
        <v>7286</v>
      </c>
    </row>
    <row r="811" customFormat="false" ht="12.8" hidden="false" customHeight="false" outlineLevel="0" collapsed="false">
      <c r="A811" s="0" t="n">
        <v>988</v>
      </c>
      <c r="C811" s="0" t="s">
        <v>7287</v>
      </c>
    </row>
    <row r="812" customFormat="false" ht="12.8" hidden="false" customHeight="false" outlineLevel="0" collapsed="false">
      <c r="A812" s="0" t="n">
        <v>989</v>
      </c>
      <c r="C812" s="0" t="s">
        <v>7288</v>
      </c>
    </row>
    <row r="813" customFormat="false" ht="12.8" hidden="false" customHeight="false" outlineLevel="0" collapsed="false">
      <c r="A813" s="0" t="n">
        <v>990</v>
      </c>
      <c r="C813" s="0" t="s">
        <v>7289</v>
      </c>
    </row>
    <row r="814" customFormat="false" ht="12.8" hidden="false" customHeight="false" outlineLevel="0" collapsed="false">
      <c r="A814" s="0" t="n">
        <v>991</v>
      </c>
      <c r="C814" s="0" t="s">
        <v>7290</v>
      </c>
    </row>
    <row r="815" customFormat="false" ht="12.8" hidden="false" customHeight="false" outlineLevel="0" collapsed="false">
      <c r="A815" s="0" t="n">
        <v>992</v>
      </c>
      <c r="C815" s="0" t="s">
        <v>7291</v>
      </c>
    </row>
    <row r="816" customFormat="false" ht="12.8" hidden="false" customHeight="false" outlineLevel="0" collapsed="false">
      <c r="A816" s="0" t="n">
        <v>993</v>
      </c>
      <c r="C816" s="0" t="s">
        <v>7292</v>
      </c>
    </row>
    <row r="817" customFormat="false" ht="12.8" hidden="false" customHeight="false" outlineLevel="0" collapsed="false">
      <c r="A817" s="0" t="n">
        <v>994</v>
      </c>
      <c r="C817" s="0" t="s">
        <v>7293</v>
      </c>
    </row>
    <row r="818" customFormat="false" ht="12.8" hidden="false" customHeight="false" outlineLevel="0" collapsed="false">
      <c r="A818" s="0" t="n">
        <v>995</v>
      </c>
      <c r="C818" s="0" t="s">
        <v>7294</v>
      </c>
    </row>
    <row r="819" customFormat="false" ht="12.8" hidden="false" customHeight="false" outlineLevel="0" collapsed="false">
      <c r="A819" s="0" t="n">
        <v>996</v>
      </c>
      <c r="C819" s="0" t="s">
        <v>7295</v>
      </c>
    </row>
    <row r="820" customFormat="false" ht="12.8" hidden="false" customHeight="false" outlineLevel="0" collapsed="false">
      <c r="A820" s="0" t="n">
        <v>997</v>
      </c>
      <c r="C820" s="0" t="s">
        <v>7296</v>
      </c>
    </row>
    <row r="821" customFormat="false" ht="12.8" hidden="false" customHeight="false" outlineLevel="0" collapsed="false">
      <c r="A821" s="0" t="n">
        <v>998</v>
      </c>
      <c r="C821" s="0" t="s">
        <v>7297</v>
      </c>
    </row>
    <row r="822" customFormat="false" ht="12.8" hidden="false" customHeight="false" outlineLevel="0" collapsed="false">
      <c r="A822" s="0" t="n">
        <v>999</v>
      </c>
      <c r="C822" s="0" t="s">
        <v>7298</v>
      </c>
    </row>
    <row r="823" customFormat="false" ht="12.8" hidden="false" customHeight="false" outlineLevel="0" collapsed="false">
      <c r="A823" s="0" t="n">
        <v>1004</v>
      </c>
      <c r="C823" s="0" t="s">
        <v>7299</v>
      </c>
    </row>
    <row r="824" customFormat="false" ht="12.8" hidden="false" customHeight="false" outlineLevel="0" collapsed="false">
      <c r="A824" s="0" t="n">
        <v>1005</v>
      </c>
      <c r="C824" s="0" t="s">
        <v>7300</v>
      </c>
    </row>
    <row r="825" customFormat="false" ht="12.8" hidden="false" customHeight="false" outlineLevel="0" collapsed="false">
      <c r="A825" s="0" t="n">
        <v>1006</v>
      </c>
      <c r="C825" s="0" t="s">
        <v>7301</v>
      </c>
    </row>
    <row r="826" customFormat="false" ht="12.8" hidden="false" customHeight="false" outlineLevel="0" collapsed="false">
      <c r="A826" s="0" t="n">
        <v>1007</v>
      </c>
      <c r="C826" s="0" t="s">
        <v>7302</v>
      </c>
    </row>
    <row r="827" customFormat="false" ht="12.8" hidden="false" customHeight="false" outlineLevel="0" collapsed="false">
      <c r="A827" s="0" t="n">
        <v>1008</v>
      </c>
      <c r="C827" s="0" t="s">
        <v>7303</v>
      </c>
    </row>
    <row r="828" customFormat="false" ht="12.8" hidden="false" customHeight="false" outlineLevel="0" collapsed="false">
      <c r="A828" s="0" t="n">
        <v>1009</v>
      </c>
      <c r="C828" s="0" t="s">
        <v>7304</v>
      </c>
    </row>
    <row r="829" customFormat="false" ht="12.8" hidden="false" customHeight="false" outlineLevel="0" collapsed="false">
      <c r="A829" s="0" t="n">
        <v>1010</v>
      </c>
      <c r="C829" s="0" t="s">
        <v>7305</v>
      </c>
    </row>
    <row r="830" customFormat="false" ht="12.8" hidden="false" customHeight="false" outlineLevel="0" collapsed="false">
      <c r="A830" s="0" t="n">
        <v>1011</v>
      </c>
      <c r="C830" s="0" t="s">
        <v>7306</v>
      </c>
    </row>
    <row r="831" customFormat="false" ht="12.8" hidden="false" customHeight="false" outlineLevel="0" collapsed="false">
      <c r="A831" s="0" t="n">
        <v>1012</v>
      </c>
      <c r="C831" s="0" t="s">
        <v>7307</v>
      </c>
    </row>
    <row r="832" customFormat="false" ht="12.8" hidden="false" customHeight="false" outlineLevel="0" collapsed="false">
      <c r="A832" s="0" t="n">
        <v>1013</v>
      </c>
      <c r="C832" s="0" t="s">
        <v>7308</v>
      </c>
    </row>
    <row r="833" customFormat="false" ht="12.8" hidden="false" customHeight="false" outlineLevel="0" collapsed="false">
      <c r="A833" s="0" t="n">
        <v>1014</v>
      </c>
      <c r="C833" s="0" t="s">
        <v>7309</v>
      </c>
    </row>
    <row r="834" customFormat="false" ht="12.8" hidden="false" customHeight="false" outlineLevel="0" collapsed="false">
      <c r="A834" s="0" t="n">
        <v>1015</v>
      </c>
      <c r="C834" s="0" t="s">
        <v>7310</v>
      </c>
    </row>
    <row r="835" customFormat="false" ht="12.8" hidden="false" customHeight="false" outlineLevel="0" collapsed="false">
      <c r="A835" s="0" t="n">
        <v>1016</v>
      </c>
      <c r="C835" s="0" t="s">
        <v>7311</v>
      </c>
    </row>
    <row r="836" customFormat="false" ht="12.8" hidden="false" customHeight="false" outlineLevel="0" collapsed="false">
      <c r="A836" s="0" t="n">
        <v>1018</v>
      </c>
      <c r="C836" s="0" t="s">
        <v>7312</v>
      </c>
    </row>
    <row r="837" customFormat="false" ht="12.8" hidden="false" customHeight="false" outlineLevel="0" collapsed="false">
      <c r="A837" s="0" t="n">
        <v>1019</v>
      </c>
      <c r="C837" s="0" t="s">
        <v>7313</v>
      </c>
    </row>
    <row r="838" customFormat="false" ht="12.8" hidden="false" customHeight="false" outlineLevel="0" collapsed="false">
      <c r="A838" s="0" t="n">
        <v>1020</v>
      </c>
      <c r="C838" s="0" t="s">
        <v>7314</v>
      </c>
    </row>
    <row r="839" customFormat="false" ht="12.8" hidden="false" customHeight="false" outlineLevel="0" collapsed="false">
      <c r="A839" s="0" t="n">
        <v>1021</v>
      </c>
      <c r="C839" s="0" t="s">
        <v>7315</v>
      </c>
    </row>
    <row r="840" customFormat="false" ht="12.8" hidden="false" customHeight="false" outlineLevel="0" collapsed="false">
      <c r="A840" s="0" t="n">
        <v>1022</v>
      </c>
      <c r="C840" s="0" t="s">
        <v>7316</v>
      </c>
    </row>
    <row r="841" customFormat="false" ht="12.8" hidden="false" customHeight="false" outlineLevel="0" collapsed="false">
      <c r="A841" s="0" t="n">
        <v>1023</v>
      </c>
      <c r="C841" s="0" t="s">
        <v>7317</v>
      </c>
    </row>
    <row r="842" customFormat="false" ht="12.8" hidden="false" customHeight="false" outlineLevel="0" collapsed="false">
      <c r="A842" s="0" t="n">
        <v>1024</v>
      </c>
      <c r="C842" s="0" t="s">
        <v>7318</v>
      </c>
    </row>
    <row r="843" customFormat="false" ht="12.8" hidden="false" customHeight="false" outlineLevel="0" collapsed="false">
      <c r="A843" s="0" t="n">
        <v>1025</v>
      </c>
      <c r="C843" s="0" t="s">
        <v>7319</v>
      </c>
    </row>
    <row r="844" customFormat="false" ht="12.8" hidden="false" customHeight="false" outlineLevel="0" collapsed="false">
      <c r="A844" s="0" t="n">
        <v>1026</v>
      </c>
      <c r="C844" s="0" t="s">
        <v>7320</v>
      </c>
    </row>
    <row r="845" customFormat="false" ht="12.8" hidden="false" customHeight="false" outlineLevel="0" collapsed="false">
      <c r="A845" s="0" t="n">
        <v>1027</v>
      </c>
      <c r="C845" s="0" t="s">
        <v>7321</v>
      </c>
    </row>
    <row r="846" customFormat="false" ht="12.8" hidden="false" customHeight="false" outlineLevel="0" collapsed="false">
      <c r="A846" s="0" t="n">
        <v>1028</v>
      </c>
      <c r="C846" s="0" t="s">
        <v>7322</v>
      </c>
    </row>
    <row r="847" customFormat="false" ht="12.8" hidden="false" customHeight="false" outlineLevel="0" collapsed="false">
      <c r="A847" s="0" t="n">
        <v>1029</v>
      </c>
      <c r="C847" s="0" t="s">
        <v>7323</v>
      </c>
    </row>
    <row r="848" customFormat="false" ht="12.8" hidden="false" customHeight="false" outlineLevel="0" collapsed="false">
      <c r="A848" s="0" t="n">
        <v>1030</v>
      </c>
      <c r="C848" s="0" t="s">
        <v>7324</v>
      </c>
    </row>
    <row r="849" customFormat="false" ht="12.8" hidden="false" customHeight="false" outlineLevel="0" collapsed="false">
      <c r="A849" s="0" t="n">
        <v>1031</v>
      </c>
      <c r="C849" s="0" t="s">
        <v>7325</v>
      </c>
    </row>
    <row r="850" customFormat="false" ht="12.8" hidden="false" customHeight="false" outlineLevel="0" collapsed="false">
      <c r="A850" s="0" t="n">
        <v>1032</v>
      </c>
      <c r="C850" s="0" t="s">
        <v>7326</v>
      </c>
    </row>
    <row r="851" customFormat="false" ht="12.8" hidden="false" customHeight="false" outlineLevel="0" collapsed="false">
      <c r="A851" s="0" t="n">
        <v>1033</v>
      </c>
      <c r="C851" s="0" t="s">
        <v>7327</v>
      </c>
    </row>
    <row r="852" customFormat="false" ht="12.8" hidden="false" customHeight="false" outlineLevel="0" collapsed="false">
      <c r="A852" s="0" t="n">
        <v>1034</v>
      </c>
      <c r="C852" s="0" t="s">
        <v>7328</v>
      </c>
    </row>
    <row r="853" customFormat="false" ht="12.8" hidden="false" customHeight="false" outlineLevel="0" collapsed="false">
      <c r="A853" s="0" t="n">
        <v>1035</v>
      </c>
      <c r="C853" s="0" t="s">
        <v>7329</v>
      </c>
    </row>
    <row r="854" customFormat="false" ht="12.8" hidden="false" customHeight="false" outlineLevel="0" collapsed="false">
      <c r="A854" s="0" t="n">
        <v>1036</v>
      </c>
      <c r="C854" s="0" t="s">
        <v>7330</v>
      </c>
    </row>
    <row r="855" customFormat="false" ht="12.8" hidden="false" customHeight="false" outlineLevel="0" collapsed="false">
      <c r="A855" s="0" t="n">
        <v>1037</v>
      </c>
      <c r="C855" s="0" t="s">
        <v>7331</v>
      </c>
    </row>
    <row r="856" customFormat="false" ht="12.8" hidden="false" customHeight="false" outlineLevel="0" collapsed="false">
      <c r="A856" s="0" t="n">
        <v>1038</v>
      </c>
      <c r="C856" s="0" t="s">
        <v>7332</v>
      </c>
    </row>
    <row r="857" customFormat="false" ht="12.8" hidden="false" customHeight="false" outlineLevel="0" collapsed="false">
      <c r="A857" s="0" t="n">
        <v>1039</v>
      </c>
      <c r="C857" s="0" t="s">
        <v>7333</v>
      </c>
    </row>
    <row r="858" customFormat="false" ht="12.8" hidden="false" customHeight="false" outlineLevel="0" collapsed="false">
      <c r="A858" s="0" t="n">
        <v>1041</v>
      </c>
      <c r="C858" s="0" t="s">
        <v>7334</v>
      </c>
    </row>
    <row r="859" customFormat="false" ht="12.8" hidden="false" customHeight="false" outlineLevel="0" collapsed="false">
      <c r="A859" s="0" t="n">
        <v>1042</v>
      </c>
      <c r="C859" s="0" t="s">
        <v>7335</v>
      </c>
    </row>
    <row r="860" customFormat="false" ht="12.8" hidden="false" customHeight="false" outlineLevel="0" collapsed="false">
      <c r="A860" s="0" t="n">
        <v>1043</v>
      </c>
      <c r="C860" s="0" t="s">
        <v>7336</v>
      </c>
    </row>
    <row r="861" customFormat="false" ht="12.8" hidden="false" customHeight="false" outlineLevel="0" collapsed="false">
      <c r="A861" s="0" t="n">
        <v>1044</v>
      </c>
      <c r="C861" s="0" t="s">
        <v>7337</v>
      </c>
    </row>
    <row r="862" customFormat="false" ht="12.8" hidden="false" customHeight="false" outlineLevel="0" collapsed="false">
      <c r="A862" s="0" t="n">
        <v>1045</v>
      </c>
      <c r="C862" s="0" t="s">
        <v>7338</v>
      </c>
    </row>
    <row r="863" customFormat="false" ht="12.8" hidden="false" customHeight="false" outlineLevel="0" collapsed="false">
      <c r="A863" s="0" t="n">
        <v>1046</v>
      </c>
      <c r="C863" s="0" t="s">
        <v>7339</v>
      </c>
    </row>
    <row r="864" customFormat="false" ht="12.8" hidden="false" customHeight="false" outlineLevel="0" collapsed="false">
      <c r="A864" s="0" t="n">
        <v>1048</v>
      </c>
      <c r="C864" s="0" t="s">
        <v>7340</v>
      </c>
    </row>
    <row r="865" customFormat="false" ht="12.8" hidden="false" customHeight="false" outlineLevel="0" collapsed="false">
      <c r="A865" s="0" t="n">
        <v>1049</v>
      </c>
      <c r="C865" s="0" t="s">
        <v>7341</v>
      </c>
    </row>
    <row r="866" customFormat="false" ht="12.8" hidden="false" customHeight="false" outlineLevel="0" collapsed="false">
      <c r="A866" s="0" t="n">
        <v>1050</v>
      </c>
      <c r="C866" s="0" t="s">
        <v>7342</v>
      </c>
    </row>
    <row r="867" customFormat="false" ht="12.8" hidden="false" customHeight="false" outlineLevel="0" collapsed="false">
      <c r="A867" s="0" t="n">
        <v>1052</v>
      </c>
      <c r="C867" s="0" t="s">
        <v>7343</v>
      </c>
    </row>
    <row r="868" customFormat="false" ht="12.8" hidden="false" customHeight="false" outlineLevel="0" collapsed="false">
      <c r="A868" s="0" t="n">
        <v>1053</v>
      </c>
      <c r="C868" s="0" t="s">
        <v>7344</v>
      </c>
    </row>
    <row r="869" customFormat="false" ht="12.8" hidden="false" customHeight="false" outlineLevel="0" collapsed="false">
      <c r="A869" s="0" t="n">
        <v>1057</v>
      </c>
      <c r="C869" s="0" t="s">
        <v>7345</v>
      </c>
    </row>
    <row r="870" customFormat="false" ht="12.8" hidden="false" customHeight="false" outlineLevel="0" collapsed="false">
      <c r="A870" s="0" t="n">
        <v>1058</v>
      </c>
      <c r="C870" s="0" t="s">
        <v>7346</v>
      </c>
    </row>
    <row r="871" customFormat="false" ht="12.8" hidden="false" customHeight="false" outlineLevel="0" collapsed="false">
      <c r="A871" s="0" t="n">
        <v>1059</v>
      </c>
      <c r="C871" s="0" t="s">
        <v>7347</v>
      </c>
    </row>
    <row r="872" customFormat="false" ht="12.8" hidden="false" customHeight="false" outlineLevel="0" collapsed="false">
      <c r="A872" s="0" t="n">
        <v>1060</v>
      </c>
      <c r="C872" s="0" t="s">
        <v>7348</v>
      </c>
    </row>
    <row r="873" customFormat="false" ht="12.8" hidden="false" customHeight="false" outlineLevel="0" collapsed="false">
      <c r="A873" s="0" t="n">
        <v>1061</v>
      </c>
      <c r="C873" s="0" t="s">
        <v>7349</v>
      </c>
    </row>
    <row r="874" customFormat="false" ht="12.8" hidden="false" customHeight="false" outlineLevel="0" collapsed="false">
      <c r="A874" s="0" t="n">
        <v>1063</v>
      </c>
      <c r="C874" s="0" t="s">
        <v>7350</v>
      </c>
    </row>
    <row r="875" customFormat="false" ht="12.8" hidden="false" customHeight="false" outlineLevel="0" collapsed="false">
      <c r="A875" s="0" t="n">
        <v>1064</v>
      </c>
      <c r="C875" s="0" t="s">
        <v>7351</v>
      </c>
    </row>
    <row r="876" customFormat="false" ht="12.8" hidden="false" customHeight="false" outlineLevel="0" collapsed="false">
      <c r="A876" s="0" t="n">
        <v>1065</v>
      </c>
      <c r="C876" s="0" t="s">
        <v>7352</v>
      </c>
    </row>
    <row r="877" customFormat="false" ht="12.8" hidden="false" customHeight="false" outlineLevel="0" collapsed="false">
      <c r="A877" s="0" t="n">
        <v>1066</v>
      </c>
      <c r="C877" s="0" t="s">
        <v>7353</v>
      </c>
    </row>
    <row r="878" customFormat="false" ht="12.8" hidden="false" customHeight="false" outlineLevel="0" collapsed="false">
      <c r="A878" s="0" t="n">
        <v>1067</v>
      </c>
      <c r="C878" s="0" t="s">
        <v>7354</v>
      </c>
    </row>
    <row r="879" customFormat="false" ht="12.8" hidden="false" customHeight="false" outlineLevel="0" collapsed="false">
      <c r="A879" s="0" t="n">
        <v>1069</v>
      </c>
      <c r="C879" s="0" t="s">
        <v>7355</v>
      </c>
    </row>
    <row r="880" customFormat="false" ht="12.8" hidden="false" customHeight="false" outlineLevel="0" collapsed="false">
      <c r="A880" s="0" t="n">
        <v>1070</v>
      </c>
      <c r="C880" s="0" t="s">
        <v>7356</v>
      </c>
    </row>
    <row r="881" customFormat="false" ht="12.8" hidden="false" customHeight="false" outlineLevel="0" collapsed="false">
      <c r="A881" s="0" t="n">
        <v>1071</v>
      </c>
      <c r="C881" s="0" t="s">
        <v>7357</v>
      </c>
    </row>
    <row r="882" customFormat="false" ht="12.8" hidden="false" customHeight="false" outlineLevel="0" collapsed="false">
      <c r="A882" s="0" t="n">
        <v>1072</v>
      </c>
      <c r="C882" s="0" t="s">
        <v>7358</v>
      </c>
    </row>
    <row r="883" customFormat="false" ht="12.8" hidden="false" customHeight="false" outlineLevel="0" collapsed="false">
      <c r="A883" s="0" t="n">
        <v>1074</v>
      </c>
      <c r="C883" s="0" t="s">
        <v>7359</v>
      </c>
    </row>
    <row r="884" customFormat="false" ht="12.8" hidden="false" customHeight="false" outlineLevel="0" collapsed="false">
      <c r="A884" s="0" t="n">
        <v>1077</v>
      </c>
      <c r="C884" s="0" t="s">
        <v>7360</v>
      </c>
    </row>
    <row r="885" customFormat="false" ht="12.8" hidden="false" customHeight="false" outlineLevel="0" collapsed="false">
      <c r="A885" s="0" t="n">
        <v>1079</v>
      </c>
      <c r="C885" s="0" t="s">
        <v>7361</v>
      </c>
    </row>
    <row r="886" customFormat="false" ht="12.8" hidden="false" customHeight="false" outlineLevel="0" collapsed="false">
      <c r="A886" s="0" t="n">
        <v>1080</v>
      </c>
      <c r="C886" s="0" t="s">
        <v>7362</v>
      </c>
    </row>
    <row r="887" customFormat="false" ht="12.8" hidden="false" customHeight="false" outlineLevel="0" collapsed="false">
      <c r="A887" s="0" t="n">
        <v>1081</v>
      </c>
      <c r="C887" s="0" t="s">
        <v>7363</v>
      </c>
    </row>
    <row r="888" customFormat="false" ht="12.8" hidden="false" customHeight="false" outlineLevel="0" collapsed="false">
      <c r="A888" s="0" t="n">
        <v>1082</v>
      </c>
      <c r="C888" s="0" t="s">
        <v>7364</v>
      </c>
    </row>
    <row r="889" customFormat="false" ht="12.8" hidden="false" customHeight="false" outlineLevel="0" collapsed="false">
      <c r="A889" s="0" t="n">
        <v>1083</v>
      </c>
      <c r="C889" s="0" t="s">
        <v>7365</v>
      </c>
    </row>
    <row r="890" customFormat="false" ht="12.8" hidden="false" customHeight="false" outlineLevel="0" collapsed="false">
      <c r="A890" s="0" t="n">
        <v>1089</v>
      </c>
      <c r="C890" s="0" t="s">
        <v>7366</v>
      </c>
    </row>
    <row r="891" customFormat="false" ht="12.8" hidden="false" customHeight="false" outlineLevel="0" collapsed="false">
      <c r="A891" s="0" t="n">
        <v>1090</v>
      </c>
      <c r="C891" s="0" t="s">
        <v>7367</v>
      </c>
    </row>
    <row r="892" customFormat="false" ht="12.8" hidden="false" customHeight="false" outlineLevel="0" collapsed="false">
      <c r="A892" s="0" t="n">
        <v>1091</v>
      </c>
      <c r="C892" s="0" t="s">
        <v>7368</v>
      </c>
    </row>
    <row r="893" customFormat="false" ht="12.8" hidden="false" customHeight="false" outlineLevel="0" collapsed="false">
      <c r="A893" s="0" t="n">
        <v>1092</v>
      </c>
      <c r="C893" s="0" t="s">
        <v>7369</v>
      </c>
    </row>
    <row r="894" customFormat="false" ht="12.8" hidden="false" customHeight="false" outlineLevel="0" collapsed="false">
      <c r="A894" s="0" t="n">
        <v>1093</v>
      </c>
      <c r="C894" s="0" t="s">
        <v>7370</v>
      </c>
    </row>
    <row r="895" customFormat="false" ht="12.8" hidden="false" customHeight="false" outlineLevel="0" collapsed="false">
      <c r="A895" s="0" t="n">
        <v>1096</v>
      </c>
      <c r="C895" s="0" t="s">
        <v>7371</v>
      </c>
    </row>
    <row r="896" customFormat="false" ht="12.8" hidden="false" customHeight="false" outlineLevel="0" collapsed="false">
      <c r="A896" s="0" t="n">
        <v>1097</v>
      </c>
      <c r="C896" s="0" t="s">
        <v>7372</v>
      </c>
    </row>
    <row r="897" customFormat="false" ht="12.8" hidden="false" customHeight="false" outlineLevel="0" collapsed="false">
      <c r="A897" s="0" t="n">
        <v>1098</v>
      </c>
      <c r="C897" s="0" t="s">
        <v>7373</v>
      </c>
    </row>
    <row r="898" customFormat="false" ht="12.8" hidden="false" customHeight="false" outlineLevel="0" collapsed="false">
      <c r="A898" s="0" t="n">
        <v>1099</v>
      </c>
      <c r="C898" s="0" t="s">
        <v>7374</v>
      </c>
    </row>
    <row r="899" customFormat="false" ht="12.8" hidden="false" customHeight="false" outlineLevel="0" collapsed="false">
      <c r="A899" s="0" t="n">
        <v>1100</v>
      </c>
      <c r="C899" s="0" t="s">
        <v>7375</v>
      </c>
    </row>
    <row r="900" customFormat="false" ht="12.8" hidden="false" customHeight="false" outlineLevel="0" collapsed="false">
      <c r="A900" s="0" t="n">
        <v>1101</v>
      </c>
      <c r="C900" s="0" t="s">
        <v>7376</v>
      </c>
    </row>
    <row r="901" customFormat="false" ht="12.8" hidden="false" customHeight="false" outlineLevel="0" collapsed="false">
      <c r="A901" s="0" t="n">
        <v>1102</v>
      </c>
      <c r="C901" s="0" t="s">
        <v>7377</v>
      </c>
    </row>
    <row r="902" customFormat="false" ht="12.8" hidden="false" customHeight="false" outlineLevel="0" collapsed="false">
      <c r="A902" s="0" t="n">
        <v>1103</v>
      </c>
      <c r="C902" s="0" t="s">
        <v>7378</v>
      </c>
    </row>
    <row r="903" customFormat="false" ht="12.8" hidden="false" customHeight="false" outlineLevel="0" collapsed="false">
      <c r="A903" s="0" t="n">
        <v>1104</v>
      </c>
      <c r="C903" s="0" t="s">
        <v>7379</v>
      </c>
    </row>
    <row r="904" customFormat="false" ht="12.8" hidden="false" customHeight="false" outlineLevel="0" collapsed="false">
      <c r="A904" s="0" t="n">
        <v>1105</v>
      </c>
      <c r="C904" s="0" t="s">
        <v>7380</v>
      </c>
    </row>
    <row r="905" customFormat="false" ht="12.8" hidden="false" customHeight="false" outlineLevel="0" collapsed="false">
      <c r="A905" s="0" t="n">
        <v>1106</v>
      </c>
      <c r="C905" s="0" t="s">
        <v>7381</v>
      </c>
    </row>
    <row r="906" customFormat="false" ht="12.8" hidden="false" customHeight="false" outlineLevel="0" collapsed="false">
      <c r="A906" s="0" t="n">
        <v>1107</v>
      </c>
      <c r="C906" s="0" t="s">
        <v>7382</v>
      </c>
    </row>
    <row r="907" customFormat="false" ht="12.8" hidden="false" customHeight="false" outlineLevel="0" collapsed="false">
      <c r="A907" s="0" t="n">
        <v>1108</v>
      </c>
      <c r="C907" s="0" t="s">
        <v>7383</v>
      </c>
    </row>
    <row r="908" customFormat="false" ht="12.8" hidden="false" customHeight="false" outlineLevel="0" collapsed="false">
      <c r="A908" s="0" t="n">
        <v>1109</v>
      </c>
      <c r="C908" s="0" t="s">
        <v>7384</v>
      </c>
    </row>
    <row r="909" customFormat="false" ht="12.8" hidden="false" customHeight="false" outlineLevel="0" collapsed="false">
      <c r="A909" s="0" t="n">
        <v>1110</v>
      </c>
      <c r="C909" s="0" t="s">
        <v>7385</v>
      </c>
    </row>
    <row r="910" customFormat="false" ht="12.8" hidden="false" customHeight="false" outlineLevel="0" collapsed="false">
      <c r="A910" s="0" t="n">
        <v>1111</v>
      </c>
      <c r="C910" s="0" t="s">
        <v>7386</v>
      </c>
    </row>
    <row r="911" customFormat="false" ht="12.8" hidden="false" customHeight="false" outlineLevel="0" collapsed="false">
      <c r="A911" s="0" t="n">
        <v>1113</v>
      </c>
      <c r="C911" s="0" t="s">
        <v>7387</v>
      </c>
    </row>
    <row r="912" customFormat="false" ht="12.8" hidden="false" customHeight="false" outlineLevel="0" collapsed="false">
      <c r="A912" s="0" t="n">
        <v>1114</v>
      </c>
      <c r="C912" s="0" t="s">
        <v>7388</v>
      </c>
    </row>
    <row r="913" customFormat="false" ht="12.8" hidden="false" customHeight="false" outlineLevel="0" collapsed="false">
      <c r="A913" s="0" t="n">
        <v>1115</v>
      </c>
      <c r="C913" s="0" t="s">
        <v>7389</v>
      </c>
    </row>
    <row r="914" customFormat="false" ht="12.8" hidden="false" customHeight="false" outlineLevel="0" collapsed="false">
      <c r="A914" s="0" t="n">
        <v>1116</v>
      </c>
      <c r="C914" s="0" t="s">
        <v>7390</v>
      </c>
    </row>
    <row r="915" customFormat="false" ht="12.8" hidden="false" customHeight="false" outlineLevel="0" collapsed="false">
      <c r="A915" s="0" t="n">
        <v>1117</v>
      </c>
      <c r="C915" s="0" t="s">
        <v>7391</v>
      </c>
    </row>
    <row r="916" customFormat="false" ht="12.8" hidden="false" customHeight="false" outlineLevel="0" collapsed="false">
      <c r="A916" s="0" t="n">
        <v>1118</v>
      </c>
      <c r="C916" s="0" t="s">
        <v>7392</v>
      </c>
    </row>
    <row r="917" customFormat="false" ht="12.8" hidden="false" customHeight="false" outlineLevel="0" collapsed="false">
      <c r="A917" s="0" t="n">
        <v>1120</v>
      </c>
      <c r="C917" s="0" t="s">
        <v>7393</v>
      </c>
    </row>
    <row r="918" customFormat="false" ht="12.8" hidden="false" customHeight="false" outlineLevel="0" collapsed="false">
      <c r="A918" s="0" t="n">
        <v>1121</v>
      </c>
      <c r="C918" s="0" t="s">
        <v>7394</v>
      </c>
    </row>
    <row r="919" customFormat="false" ht="12.8" hidden="false" customHeight="false" outlineLevel="0" collapsed="false">
      <c r="A919" s="0" t="n">
        <v>1122</v>
      </c>
      <c r="C919" s="0" t="s">
        <v>7395</v>
      </c>
    </row>
    <row r="920" customFormat="false" ht="12.8" hidden="false" customHeight="false" outlineLevel="0" collapsed="false">
      <c r="A920" s="0" t="n">
        <v>1123</v>
      </c>
      <c r="C920" s="0" t="s">
        <v>7396</v>
      </c>
    </row>
    <row r="921" customFormat="false" ht="12.8" hidden="false" customHeight="false" outlineLevel="0" collapsed="false">
      <c r="A921" s="0" t="n">
        <v>1124</v>
      </c>
      <c r="C921" s="0" t="s">
        <v>7397</v>
      </c>
    </row>
    <row r="922" customFormat="false" ht="12.8" hidden="false" customHeight="false" outlineLevel="0" collapsed="false">
      <c r="A922" s="0" t="n">
        <v>1125</v>
      </c>
      <c r="C922" s="0" t="s">
        <v>7398</v>
      </c>
    </row>
    <row r="923" customFormat="false" ht="12.8" hidden="false" customHeight="false" outlineLevel="0" collapsed="false">
      <c r="A923" s="0" t="n">
        <v>1126</v>
      </c>
      <c r="C923" s="0" t="s">
        <v>7399</v>
      </c>
    </row>
    <row r="924" customFormat="false" ht="12.8" hidden="false" customHeight="false" outlineLevel="0" collapsed="false">
      <c r="A924" s="0" t="n">
        <v>1127</v>
      </c>
      <c r="C924" s="0" t="s">
        <v>7400</v>
      </c>
    </row>
    <row r="925" customFormat="false" ht="12.8" hidden="false" customHeight="false" outlineLevel="0" collapsed="false">
      <c r="A925" s="0" t="n">
        <v>1128</v>
      </c>
      <c r="C925" s="0" t="s">
        <v>7401</v>
      </c>
    </row>
    <row r="926" customFormat="false" ht="12.8" hidden="false" customHeight="false" outlineLevel="0" collapsed="false">
      <c r="A926" s="0" t="n">
        <v>1129</v>
      </c>
      <c r="C926" s="0" t="s">
        <v>7402</v>
      </c>
    </row>
    <row r="927" customFormat="false" ht="12.8" hidden="false" customHeight="false" outlineLevel="0" collapsed="false">
      <c r="A927" s="0" t="n">
        <v>1130</v>
      </c>
      <c r="C927" s="0" t="s">
        <v>7403</v>
      </c>
    </row>
    <row r="928" customFormat="false" ht="12.8" hidden="false" customHeight="false" outlineLevel="0" collapsed="false">
      <c r="A928" s="0" t="n">
        <v>1131</v>
      </c>
      <c r="C928" s="0" t="s">
        <v>7404</v>
      </c>
    </row>
    <row r="929" customFormat="false" ht="12.8" hidden="false" customHeight="false" outlineLevel="0" collapsed="false">
      <c r="A929" s="0" t="n">
        <v>1132</v>
      </c>
      <c r="C929" s="0" t="s">
        <v>7405</v>
      </c>
    </row>
    <row r="930" customFormat="false" ht="12.8" hidden="false" customHeight="false" outlineLevel="0" collapsed="false">
      <c r="A930" s="0" t="n">
        <v>1133</v>
      </c>
      <c r="C930" s="0" t="s">
        <v>7406</v>
      </c>
    </row>
    <row r="931" customFormat="false" ht="12.8" hidden="false" customHeight="false" outlineLevel="0" collapsed="false">
      <c r="A931" s="0" t="n">
        <v>1134</v>
      </c>
      <c r="C931" s="0" t="s">
        <v>7407</v>
      </c>
    </row>
    <row r="932" customFormat="false" ht="12.8" hidden="false" customHeight="false" outlineLevel="0" collapsed="false">
      <c r="A932" s="0" t="n">
        <v>1135</v>
      </c>
      <c r="C932" s="0" t="s">
        <v>7408</v>
      </c>
    </row>
    <row r="933" customFormat="false" ht="12.8" hidden="false" customHeight="false" outlineLevel="0" collapsed="false">
      <c r="A933" s="0" t="n">
        <v>1140</v>
      </c>
      <c r="C933" s="0" t="s">
        <v>7409</v>
      </c>
    </row>
    <row r="934" customFormat="false" ht="12.8" hidden="false" customHeight="false" outlineLevel="0" collapsed="false">
      <c r="A934" s="0" t="n">
        <v>1141</v>
      </c>
      <c r="C934" s="0" t="s">
        <v>7410</v>
      </c>
    </row>
    <row r="935" customFormat="false" ht="12.8" hidden="false" customHeight="false" outlineLevel="0" collapsed="false">
      <c r="A935" s="0" t="n">
        <v>1142</v>
      </c>
      <c r="C935" s="0" t="s">
        <v>7411</v>
      </c>
    </row>
    <row r="936" customFormat="false" ht="12.8" hidden="false" customHeight="false" outlineLevel="0" collapsed="false">
      <c r="A936" s="0" t="n">
        <v>1143</v>
      </c>
      <c r="C936" s="0" t="s">
        <v>7412</v>
      </c>
    </row>
    <row r="937" customFormat="false" ht="12.8" hidden="false" customHeight="false" outlineLevel="0" collapsed="false">
      <c r="A937" s="0" t="n">
        <v>1144</v>
      </c>
      <c r="C937" s="0" t="s">
        <v>7413</v>
      </c>
    </row>
    <row r="938" customFormat="false" ht="12.8" hidden="false" customHeight="false" outlineLevel="0" collapsed="false">
      <c r="A938" s="0" t="n">
        <v>1145</v>
      </c>
      <c r="C938" s="0" t="s">
        <v>7414</v>
      </c>
    </row>
    <row r="939" customFormat="false" ht="12.8" hidden="false" customHeight="false" outlineLevel="0" collapsed="false">
      <c r="A939" s="0" t="n">
        <v>1146</v>
      </c>
      <c r="C939" s="0" t="s">
        <v>7415</v>
      </c>
    </row>
    <row r="940" customFormat="false" ht="12.8" hidden="false" customHeight="false" outlineLevel="0" collapsed="false">
      <c r="A940" s="0" t="n">
        <v>1147</v>
      </c>
      <c r="C940" s="0" t="s">
        <v>7416</v>
      </c>
    </row>
    <row r="941" customFormat="false" ht="12.8" hidden="false" customHeight="false" outlineLevel="0" collapsed="false">
      <c r="A941" s="0" t="n">
        <v>1148</v>
      </c>
      <c r="C941" s="0" t="s">
        <v>7417</v>
      </c>
    </row>
    <row r="942" customFormat="false" ht="12.8" hidden="false" customHeight="false" outlineLevel="0" collapsed="false">
      <c r="A942" s="0" t="n">
        <v>1149</v>
      </c>
      <c r="C942" s="0" t="s">
        <v>7418</v>
      </c>
    </row>
    <row r="943" customFormat="false" ht="12.8" hidden="false" customHeight="false" outlineLevel="0" collapsed="false">
      <c r="A943" s="0" t="n">
        <v>1150</v>
      </c>
      <c r="C943" s="0" t="s">
        <v>7419</v>
      </c>
    </row>
    <row r="944" customFormat="false" ht="12.8" hidden="false" customHeight="false" outlineLevel="0" collapsed="false">
      <c r="A944" s="0" t="n">
        <v>1151</v>
      </c>
      <c r="C944" s="0" t="s">
        <v>7420</v>
      </c>
    </row>
    <row r="945" customFormat="false" ht="12.8" hidden="false" customHeight="false" outlineLevel="0" collapsed="false">
      <c r="A945" s="0" t="n">
        <v>1152</v>
      </c>
      <c r="C945" s="0" t="s">
        <v>7421</v>
      </c>
    </row>
    <row r="946" customFormat="false" ht="12.8" hidden="false" customHeight="false" outlineLevel="0" collapsed="false">
      <c r="A946" s="0" t="n">
        <v>1153</v>
      </c>
      <c r="C946" s="0" t="s">
        <v>7422</v>
      </c>
    </row>
    <row r="947" customFormat="false" ht="12.8" hidden="false" customHeight="false" outlineLevel="0" collapsed="false">
      <c r="A947" s="0" t="n">
        <v>1154</v>
      </c>
      <c r="C947" s="0" t="s">
        <v>7423</v>
      </c>
    </row>
    <row r="948" customFormat="false" ht="12.8" hidden="false" customHeight="false" outlineLevel="0" collapsed="false">
      <c r="A948" s="0" t="n">
        <v>1155</v>
      </c>
      <c r="C948" s="0" t="s">
        <v>7424</v>
      </c>
    </row>
    <row r="949" customFormat="false" ht="12.8" hidden="false" customHeight="false" outlineLevel="0" collapsed="false">
      <c r="A949" s="0" t="n">
        <v>1156</v>
      </c>
      <c r="C949" s="0" t="s">
        <v>7425</v>
      </c>
    </row>
    <row r="950" customFormat="false" ht="12.8" hidden="false" customHeight="false" outlineLevel="0" collapsed="false">
      <c r="A950" s="0" t="n">
        <v>1157</v>
      </c>
      <c r="C950" s="0" t="s">
        <v>7426</v>
      </c>
    </row>
    <row r="951" customFormat="false" ht="12.8" hidden="false" customHeight="false" outlineLevel="0" collapsed="false">
      <c r="A951" s="0" t="n">
        <v>1158</v>
      </c>
      <c r="C951" s="0" t="s">
        <v>7427</v>
      </c>
    </row>
    <row r="952" customFormat="false" ht="12.8" hidden="false" customHeight="false" outlineLevel="0" collapsed="false">
      <c r="A952" s="0" t="n">
        <v>1160</v>
      </c>
      <c r="C952" s="0" t="s">
        <v>7428</v>
      </c>
    </row>
    <row r="953" customFormat="false" ht="12.8" hidden="false" customHeight="false" outlineLevel="0" collapsed="false">
      <c r="A953" s="0" t="n">
        <v>1161</v>
      </c>
      <c r="C953" s="0" t="s">
        <v>7429</v>
      </c>
    </row>
    <row r="954" customFormat="false" ht="12.8" hidden="false" customHeight="false" outlineLevel="0" collapsed="false">
      <c r="A954" s="0" t="n">
        <v>1162</v>
      </c>
      <c r="C954" s="0" t="s">
        <v>7430</v>
      </c>
    </row>
    <row r="955" customFormat="false" ht="12.8" hidden="false" customHeight="false" outlineLevel="0" collapsed="false">
      <c r="A955" s="0" t="n">
        <v>1165</v>
      </c>
      <c r="C955" s="0" t="s">
        <v>7431</v>
      </c>
    </row>
    <row r="956" customFormat="false" ht="12.8" hidden="false" customHeight="false" outlineLevel="0" collapsed="false">
      <c r="A956" s="0" t="n">
        <v>1166</v>
      </c>
      <c r="C956" s="0" t="s">
        <v>7432</v>
      </c>
    </row>
    <row r="957" customFormat="false" ht="12.8" hidden="false" customHeight="false" outlineLevel="0" collapsed="false">
      <c r="A957" s="0" t="n">
        <v>1167</v>
      </c>
      <c r="C957" s="0" t="s">
        <v>7433</v>
      </c>
    </row>
    <row r="958" customFormat="false" ht="12.8" hidden="false" customHeight="false" outlineLevel="0" collapsed="false">
      <c r="A958" s="0" t="n">
        <v>1168</v>
      </c>
      <c r="C958" s="0" t="s">
        <v>7434</v>
      </c>
    </row>
    <row r="959" customFormat="false" ht="12.8" hidden="false" customHeight="false" outlineLevel="0" collapsed="false">
      <c r="A959" s="0" t="n">
        <v>1169</v>
      </c>
      <c r="C959" s="0" t="s">
        <v>7435</v>
      </c>
    </row>
    <row r="960" customFormat="false" ht="12.8" hidden="false" customHeight="false" outlineLevel="0" collapsed="false">
      <c r="A960" s="0" t="n">
        <v>1170</v>
      </c>
      <c r="C960" s="0" t="s">
        <v>7436</v>
      </c>
    </row>
    <row r="961" customFormat="false" ht="12.8" hidden="false" customHeight="false" outlineLevel="0" collapsed="false">
      <c r="A961" s="0" t="n">
        <v>1171</v>
      </c>
      <c r="C961" s="0" t="s">
        <v>7437</v>
      </c>
    </row>
    <row r="962" customFormat="false" ht="12.8" hidden="false" customHeight="false" outlineLevel="0" collapsed="false">
      <c r="A962" s="0" t="n">
        <v>1172</v>
      </c>
      <c r="C962" s="0" t="s">
        <v>7438</v>
      </c>
    </row>
    <row r="963" customFormat="false" ht="12.8" hidden="false" customHeight="false" outlineLevel="0" collapsed="false">
      <c r="A963" s="0" t="n">
        <v>1173</v>
      </c>
      <c r="C963" s="0" t="s">
        <v>7439</v>
      </c>
    </row>
    <row r="964" customFormat="false" ht="12.8" hidden="false" customHeight="false" outlineLevel="0" collapsed="false">
      <c r="A964" s="0" t="n">
        <v>1174</v>
      </c>
      <c r="C964" s="0" t="s">
        <v>7440</v>
      </c>
    </row>
    <row r="965" customFormat="false" ht="12.8" hidden="false" customHeight="false" outlineLevel="0" collapsed="false">
      <c r="A965" s="0" t="n">
        <v>1175</v>
      </c>
      <c r="C965" s="0" t="s">
        <v>7441</v>
      </c>
    </row>
    <row r="966" customFormat="false" ht="12.8" hidden="false" customHeight="false" outlineLevel="0" collapsed="false">
      <c r="A966" s="0" t="n">
        <v>1176</v>
      </c>
      <c r="C966" s="0" t="s">
        <v>7442</v>
      </c>
    </row>
    <row r="967" customFormat="false" ht="12.8" hidden="false" customHeight="false" outlineLevel="0" collapsed="false">
      <c r="A967" s="0" t="n">
        <v>1177</v>
      </c>
      <c r="C967" s="0" t="s">
        <v>7443</v>
      </c>
    </row>
    <row r="968" customFormat="false" ht="12.8" hidden="false" customHeight="false" outlineLevel="0" collapsed="false">
      <c r="A968" s="0" t="n">
        <v>1178</v>
      </c>
      <c r="C968" s="0" t="s">
        <v>7444</v>
      </c>
    </row>
    <row r="969" customFormat="false" ht="12.8" hidden="false" customHeight="false" outlineLevel="0" collapsed="false">
      <c r="A969" s="0" t="n">
        <v>1179</v>
      </c>
      <c r="C969" s="0" t="s">
        <v>7445</v>
      </c>
    </row>
    <row r="970" customFormat="false" ht="12.8" hidden="false" customHeight="false" outlineLevel="0" collapsed="false">
      <c r="A970" s="0" t="n">
        <v>1180</v>
      </c>
      <c r="C970" s="0" t="s">
        <v>7446</v>
      </c>
    </row>
    <row r="971" customFormat="false" ht="12.8" hidden="false" customHeight="false" outlineLevel="0" collapsed="false">
      <c r="A971" s="0" t="n">
        <v>1181</v>
      </c>
      <c r="C971" s="0" t="s">
        <v>7447</v>
      </c>
    </row>
    <row r="972" customFormat="false" ht="12.8" hidden="false" customHeight="false" outlineLevel="0" collapsed="false">
      <c r="A972" s="0" t="n">
        <v>1182</v>
      </c>
      <c r="C972" s="0" t="s">
        <v>7448</v>
      </c>
    </row>
    <row r="973" customFormat="false" ht="12.8" hidden="false" customHeight="false" outlineLevel="0" collapsed="false">
      <c r="A973" s="0" t="n">
        <v>1183</v>
      </c>
      <c r="C973" s="0" t="s">
        <v>7449</v>
      </c>
    </row>
    <row r="974" customFormat="false" ht="12.8" hidden="false" customHeight="false" outlineLevel="0" collapsed="false">
      <c r="A974" s="0" t="n">
        <v>1184</v>
      </c>
      <c r="C974" s="0" t="s">
        <v>7450</v>
      </c>
    </row>
    <row r="975" customFormat="false" ht="12.8" hidden="false" customHeight="false" outlineLevel="0" collapsed="false">
      <c r="A975" s="0" t="n">
        <v>1185</v>
      </c>
      <c r="C975" s="0" t="s">
        <v>7451</v>
      </c>
    </row>
    <row r="976" customFormat="false" ht="12.8" hidden="false" customHeight="false" outlineLevel="0" collapsed="false">
      <c r="A976" s="0" t="n">
        <v>1186</v>
      </c>
      <c r="C976" s="0" t="s">
        <v>7452</v>
      </c>
    </row>
    <row r="977" customFormat="false" ht="12.8" hidden="false" customHeight="false" outlineLevel="0" collapsed="false">
      <c r="A977" s="0" t="n">
        <v>1187</v>
      </c>
      <c r="C977" s="0" t="s">
        <v>7453</v>
      </c>
    </row>
    <row r="978" customFormat="false" ht="12.8" hidden="false" customHeight="false" outlineLevel="0" collapsed="false">
      <c r="A978" s="0" t="n">
        <v>1189</v>
      </c>
      <c r="C978" s="0" t="s">
        <v>7454</v>
      </c>
    </row>
    <row r="979" customFormat="false" ht="12.8" hidden="false" customHeight="false" outlineLevel="0" collapsed="false">
      <c r="A979" s="0" t="n">
        <v>1190</v>
      </c>
      <c r="C979" s="0" t="s">
        <v>7455</v>
      </c>
    </row>
    <row r="980" customFormat="false" ht="12.8" hidden="false" customHeight="false" outlineLevel="0" collapsed="false">
      <c r="A980" s="0" t="n">
        <v>1191</v>
      </c>
      <c r="C980" s="0" t="s">
        <v>7456</v>
      </c>
    </row>
    <row r="981" customFormat="false" ht="12.8" hidden="false" customHeight="false" outlineLevel="0" collapsed="false">
      <c r="A981" s="0" t="n">
        <v>1192</v>
      </c>
      <c r="C981" s="0" t="s">
        <v>7457</v>
      </c>
    </row>
    <row r="982" customFormat="false" ht="12.8" hidden="false" customHeight="false" outlineLevel="0" collapsed="false">
      <c r="A982" s="0" t="n">
        <v>1193</v>
      </c>
      <c r="C982" s="0" t="s">
        <v>7458</v>
      </c>
    </row>
    <row r="983" customFormat="false" ht="12.8" hidden="false" customHeight="false" outlineLevel="0" collapsed="false">
      <c r="A983" s="0" t="n">
        <v>1194</v>
      </c>
      <c r="C983" s="0" t="s">
        <v>7459</v>
      </c>
    </row>
    <row r="984" customFormat="false" ht="12.8" hidden="false" customHeight="false" outlineLevel="0" collapsed="false">
      <c r="A984" s="0" t="n">
        <v>1196</v>
      </c>
      <c r="C984" s="0" t="s">
        <v>7460</v>
      </c>
    </row>
    <row r="985" customFormat="false" ht="12.8" hidden="false" customHeight="false" outlineLevel="0" collapsed="false">
      <c r="A985" s="0" t="n">
        <v>1197</v>
      </c>
      <c r="C985" s="0" t="s">
        <v>7461</v>
      </c>
    </row>
    <row r="986" customFormat="false" ht="12.8" hidden="false" customHeight="false" outlineLevel="0" collapsed="false">
      <c r="A986" s="0" t="n">
        <v>1198</v>
      </c>
      <c r="C986" s="0" t="s">
        <v>7462</v>
      </c>
    </row>
    <row r="987" customFormat="false" ht="12.8" hidden="false" customHeight="false" outlineLevel="0" collapsed="false">
      <c r="A987" s="0" t="n">
        <v>1199</v>
      </c>
      <c r="C987" s="0" t="s">
        <v>7463</v>
      </c>
    </row>
    <row r="988" customFormat="false" ht="12.8" hidden="false" customHeight="false" outlineLevel="0" collapsed="false">
      <c r="A988" s="0" t="n">
        <v>1200</v>
      </c>
      <c r="C988" s="0" t="s">
        <v>7464</v>
      </c>
    </row>
    <row r="989" customFormat="false" ht="12.8" hidden="false" customHeight="false" outlineLevel="0" collapsed="false">
      <c r="A989" s="0" t="n">
        <v>1201</v>
      </c>
      <c r="C989" s="0" t="s">
        <v>7465</v>
      </c>
    </row>
    <row r="990" customFormat="false" ht="12.8" hidden="false" customHeight="false" outlineLevel="0" collapsed="false">
      <c r="A990" s="0" t="n">
        <v>1203</v>
      </c>
      <c r="C990" s="0" t="s">
        <v>7466</v>
      </c>
    </row>
    <row r="991" customFormat="false" ht="12.8" hidden="false" customHeight="false" outlineLevel="0" collapsed="false">
      <c r="A991" s="0" t="n">
        <v>1204</v>
      </c>
      <c r="C991" s="0" t="s">
        <v>7467</v>
      </c>
    </row>
    <row r="992" customFormat="false" ht="12.8" hidden="false" customHeight="false" outlineLevel="0" collapsed="false">
      <c r="A992" s="0" t="n">
        <v>1205</v>
      </c>
      <c r="C992" s="0" t="s">
        <v>7468</v>
      </c>
    </row>
    <row r="993" customFormat="false" ht="12.8" hidden="false" customHeight="false" outlineLevel="0" collapsed="false">
      <c r="A993" s="0" t="n">
        <v>1206</v>
      </c>
      <c r="C993" s="0" t="s">
        <v>7469</v>
      </c>
    </row>
    <row r="994" customFormat="false" ht="12.8" hidden="false" customHeight="false" outlineLevel="0" collapsed="false">
      <c r="A994" s="0" t="n">
        <v>1207</v>
      </c>
      <c r="C994" s="0" t="s">
        <v>7470</v>
      </c>
    </row>
    <row r="995" customFormat="false" ht="12.8" hidden="false" customHeight="false" outlineLevel="0" collapsed="false">
      <c r="A995" s="0" t="n">
        <v>1208</v>
      </c>
      <c r="C995" s="0" t="s">
        <v>7471</v>
      </c>
    </row>
    <row r="996" customFormat="false" ht="12.8" hidden="false" customHeight="false" outlineLevel="0" collapsed="false">
      <c r="A996" s="0" t="n">
        <v>1209</v>
      </c>
      <c r="C996" s="0" t="s">
        <v>7472</v>
      </c>
    </row>
    <row r="997" customFormat="false" ht="12.8" hidden="false" customHeight="false" outlineLevel="0" collapsed="false">
      <c r="A997" s="0" t="n">
        <v>1210</v>
      </c>
      <c r="C997" s="0" t="s">
        <v>7473</v>
      </c>
    </row>
    <row r="998" customFormat="false" ht="12.8" hidden="false" customHeight="false" outlineLevel="0" collapsed="false">
      <c r="A998" s="0" t="n">
        <v>1211</v>
      </c>
      <c r="C998" s="0" t="s">
        <v>7474</v>
      </c>
    </row>
    <row r="999" customFormat="false" ht="12.8" hidden="false" customHeight="false" outlineLevel="0" collapsed="false">
      <c r="A999" s="0" t="n">
        <v>1212</v>
      </c>
      <c r="C999" s="0" t="s">
        <v>7475</v>
      </c>
    </row>
    <row r="1000" customFormat="false" ht="12.8" hidden="false" customHeight="false" outlineLevel="0" collapsed="false">
      <c r="A1000" s="0" t="n">
        <v>1215</v>
      </c>
      <c r="C1000" s="0" t="s">
        <v>7476</v>
      </c>
    </row>
    <row r="1001" customFormat="false" ht="12.8" hidden="false" customHeight="false" outlineLevel="0" collapsed="false">
      <c r="A1001" s="0" t="n">
        <v>1216</v>
      </c>
      <c r="C1001" s="0" t="s">
        <v>7477</v>
      </c>
    </row>
    <row r="1002" customFormat="false" ht="12.8" hidden="false" customHeight="false" outlineLevel="0" collapsed="false">
      <c r="A1002" s="0" t="n">
        <v>1217</v>
      </c>
      <c r="C1002" s="0" t="s">
        <v>7478</v>
      </c>
    </row>
    <row r="1003" customFormat="false" ht="12.8" hidden="false" customHeight="false" outlineLevel="0" collapsed="false">
      <c r="A1003" s="0" t="n">
        <v>1218</v>
      </c>
      <c r="C1003" s="0" t="s">
        <v>7479</v>
      </c>
    </row>
    <row r="1004" customFormat="false" ht="12.8" hidden="false" customHeight="false" outlineLevel="0" collapsed="false">
      <c r="A1004" s="0" t="n">
        <v>1219</v>
      </c>
      <c r="C1004" s="0" t="s">
        <v>7480</v>
      </c>
    </row>
    <row r="1005" customFormat="false" ht="12.8" hidden="false" customHeight="false" outlineLevel="0" collapsed="false">
      <c r="A1005" s="0" t="n">
        <v>1220</v>
      </c>
      <c r="C1005" s="0" t="s">
        <v>7481</v>
      </c>
    </row>
    <row r="1006" customFormat="false" ht="12.8" hidden="false" customHeight="false" outlineLevel="0" collapsed="false">
      <c r="A1006" s="0" t="n">
        <v>1221</v>
      </c>
      <c r="C1006" s="0" t="s">
        <v>7482</v>
      </c>
    </row>
    <row r="1007" customFormat="false" ht="12.8" hidden="false" customHeight="false" outlineLevel="0" collapsed="false">
      <c r="A1007" s="0" t="n">
        <v>1222</v>
      </c>
      <c r="C1007" s="0" t="s">
        <v>7483</v>
      </c>
    </row>
    <row r="1008" customFormat="false" ht="12.8" hidden="false" customHeight="false" outlineLevel="0" collapsed="false">
      <c r="A1008" s="0" t="n">
        <v>1223</v>
      </c>
      <c r="C1008" s="0" t="s">
        <v>7484</v>
      </c>
    </row>
    <row r="1009" customFormat="false" ht="12.8" hidden="false" customHeight="false" outlineLevel="0" collapsed="false">
      <c r="A1009" s="0" t="n">
        <v>1224</v>
      </c>
      <c r="C1009" s="0" t="s">
        <v>7485</v>
      </c>
    </row>
    <row r="1010" customFormat="false" ht="12.8" hidden="false" customHeight="false" outlineLevel="0" collapsed="false">
      <c r="A1010" s="0" t="n">
        <v>1225</v>
      </c>
      <c r="C1010" s="0" t="s">
        <v>7486</v>
      </c>
    </row>
    <row r="1011" customFormat="false" ht="12.8" hidden="false" customHeight="false" outlineLevel="0" collapsed="false">
      <c r="A1011" s="0" t="n">
        <v>1226</v>
      </c>
      <c r="C1011" s="0" t="s">
        <v>7487</v>
      </c>
    </row>
    <row r="1012" customFormat="false" ht="12.8" hidden="false" customHeight="false" outlineLevel="0" collapsed="false">
      <c r="A1012" s="0" t="n">
        <v>1227</v>
      </c>
      <c r="C1012" s="0" t="s">
        <v>7488</v>
      </c>
    </row>
    <row r="1013" customFormat="false" ht="12.8" hidden="false" customHeight="false" outlineLevel="0" collapsed="false">
      <c r="A1013" s="0" t="n">
        <v>1228</v>
      </c>
      <c r="C1013" s="0" t="s">
        <v>7489</v>
      </c>
    </row>
    <row r="1014" customFormat="false" ht="12.8" hidden="false" customHeight="false" outlineLevel="0" collapsed="false">
      <c r="A1014" s="0" t="n">
        <v>1229</v>
      </c>
      <c r="C1014" s="0" t="s">
        <v>7490</v>
      </c>
    </row>
    <row r="1015" customFormat="false" ht="12.8" hidden="false" customHeight="false" outlineLevel="0" collapsed="false">
      <c r="A1015" s="0" t="n">
        <v>1230</v>
      </c>
      <c r="C1015" s="0" t="s">
        <v>7491</v>
      </c>
    </row>
    <row r="1016" customFormat="false" ht="12.8" hidden="false" customHeight="false" outlineLevel="0" collapsed="false">
      <c r="A1016" s="0" t="n">
        <v>1231</v>
      </c>
      <c r="C1016" s="0" t="s">
        <v>7492</v>
      </c>
    </row>
    <row r="1017" customFormat="false" ht="12.8" hidden="false" customHeight="false" outlineLevel="0" collapsed="false">
      <c r="A1017" s="0" t="n">
        <v>1232</v>
      </c>
      <c r="C1017" s="0" t="s">
        <v>7493</v>
      </c>
    </row>
    <row r="1018" customFormat="false" ht="12.8" hidden="false" customHeight="false" outlineLevel="0" collapsed="false">
      <c r="A1018" s="0" t="n">
        <v>1235</v>
      </c>
      <c r="C1018" s="0" t="s">
        <v>7494</v>
      </c>
    </row>
    <row r="1019" customFormat="false" ht="12.8" hidden="false" customHeight="false" outlineLevel="0" collapsed="false">
      <c r="A1019" s="0" t="n">
        <v>1236</v>
      </c>
      <c r="C1019" s="0" t="s">
        <v>7495</v>
      </c>
    </row>
    <row r="1020" customFormat="false" ht="12.8" hidden="false" customHeight="false" outlineLevel="0" collapsed="false">
      <c r="A1020" s="0" t="n">
        <v>1237</v>
      </c>
      <c r="C1020" s="0" t="s">
        <v>7496</v>
      </c>
    </row>
    <row r="1021" customFormat="false" ht="12.8" hidden="false" customHeight="false" outlineLevel="0" collapsed="false">
      <c r="A1021" s="0" t="n">
        <v>1238</v>
      </c>
      <c r="C1021" s="0" t="s">
        <v>7497</v>
      </c>
    </row>
    <row r="1022" customFormat="false" ht="12.8" hidden="false" customHeight="false" outlineLevel="0" collapsed="false">
      <c r="A1022" s="0" t="n">
        <v>1239</v>
      </c>
      <c r="C1022" s="0" t="s">
        <v>7498</v>
      </c>
    </row>
    <row r="1023" customFormat="false" ht="12.8" hidden="false" customHeight="false" outlineLevel="0" collapsed="false">
      <c r="A1023" s="0" t="n">
        <v>1240</v>
      </c>
      <c r="C1023" s="0" t="s">
        <v>7499</v>
      </c>
    </row>
    <row r="1024" customFormat="false" ht="12.8" hidden="false" customHeight="false" outlineLevel="0" collapsed="false">
      <c r="A1024" s="0" t="n">
        <v>1241</v>
      </c>
      <c r="C1024" s="0" t="s">
        <v>7500</v>
      </c>
    </row>
    <row r="1025" customFormat="false" ht="12.8" hidden="false" customHeight="false" outlineLevel="0" collapsed="false">
      <c r="A1025" s="0" t="n">
        <v>1242</v>
      </c>
      <c r="C1025" s="0" t="s">
        <v>7501</v>
      </c>
    </row>
    <row r="1026" customFormat="false" ht="12.8" hidden="false" customHeight="false" outlineLevel="0" collapsed="false">
      <c r="A1026" s="0" t="n">
        <v>1244</v>
      </c>
      <c r="C1026" s="0" t="s">
        <v>7502</v>
      </c>
    </row>
    <row r="1027" customFormat="false" ht="12.8" hidden="false" customHeight="false" outlineLevel="0" collapsed="false">
      <c r="A1027" s="0" t="n">
        <v>1245</v>
      </c>
      <c r="C1027" s="0" t="s">
        <v>7503</v>
      </c>
    </row>
    <row r="1028" customFormat="false" ht="12.8" hidden="false" customHeight="false" outlineLevel="0" collapsed="false">
      <c r="A1028" s="0" t="n">
        <v>1247</v>
      </c>
      <c r="C1028" s="0" t="s">
        <v>7504</v>
      </c>
    </row>
    <row r="1029" customFormat="false" ht="12.8" hidden="false" customHeight="false" outlineLevel="0" collapsed="false">
      <c r="A1029" s="0" t="n">
        <v>1248</v>
      </c>
      <c r="C1029" s="0" t="s">
        <v>7505</v>
      </c>
    </row>
    <row r="1030" customFormat="false" ht="12.8" hidden="false" customHeight="false" outlineLevel="0" collapsed="false">
      <c r="A1030" s="0" t="n">
        <v>1249</v>
      </c>
      <c r="C1030" s="0" t="s">
        <v>7506</v>
      </c>
    </row>
    <row r="1031" customFormat="false" ht="12.8" hidden="false" customHeight="false" outlineLevel="0" collapsed="false">
      <c r="A1031" s="0" t="n">
        <v>1250</v>
      </c>
      <c r="C1031" s="0" t="s">
        <v>7507</v>
      </c>
    </row>
    <row r="1032" customFormat="false" ht="12.8" hidden="false" customHeight="false" outlineLevel="0" collapsed="false">
      <c r="A1032" s="0" t="n">
        <v>1251</v>
      </c>
      <c r="C1032" s="0" t="s">
        <v>7508</v>
      </c>
    </row>
    <row r="1033" customFormat="false" ht="12.8" hidden="false" customHeight="false" outlineLevel="0" collapsed="false">
      <c r="A1033" s="0" t="n">
        <v>1252</v>
      </c>
      <c r="C1033" s="0" t="s">
        <v>7509</v>
      </c>
    </row>
    <row r="1034" customFormat="false" ht="12.8" hidden="false" customHeight="false" outlineLevel="0" collapsed="false">
      <c r="A1034" s="0" t="n">
        <v>1253</v>
      </c>
      <c r="C1034" s="0" t="s">
        <v>7510</v>
      </c>
    </row>
    <row r="1035" customFormat="false" ht="12.8" hidden="false" customHeight="false" outlineLevel="0" collapsed="false">
      <c r="A1035" s="0" t="n">
        <v>1254</v>
      </c>
      <c r="C1035" s="0" t="s">
        <v>7511</v>
      </c>
    </row>
    <row r="1036" customFormat="false" ht="12.8" hidden="false" customHeight="false" outlineLevel="0" collapsed="false">
      <c r="A1036" s="0" t="n">
        <v>1255</v>
      </c>
      <c r="C1036" s="0" t="s">
        <v>7512</v>
      </c>
    </row>
    <row r="1037" customFormat="false" ht="12.8" hidden="false" customHeight="false" outlineLevel="0" collapsed="false">
      <c r="A1037" s="0" t="n">
        <v>1257</v>
      </c>
      <c r="C1037" s="0" t="s">
        <v>7513</v>
      </c>
    </row>
    <row r="1038" customFormat="false" ht="12.8" hidden="false" customHeight="false" outlineLevel="0" collapsed="false">
      <c r="A1038" s="0" t="n">
        <v>1258</v>
      </c>
      <c r="C1038" s="0" t="s">
        <v>7514</v>
      </c>
    </row>
    <row r="1039" customFormat="false" ht="12.8" hidden="false" customHeight="false" outlineLevel="0" collapsed="false">
      <c r="A1039" s="0" t="n">
        <v>1259</v>
      </c>
      <c r="C1039" s="0" t="s">
        <v>7515</v>
      </c>
    </row>
    <row r="1040" customFormat="false" ht="12.8" hidden="false" customHeight="false" outlineLevel="0" collapsed="false">
      <c r="A1040" s="0" t="n">
        <v>1260</v>
      </c>
      <c r="C1040" s="0" t="s">
        <v>7516</v>
      </c>
    </row>
    <row r="1041" customFormat="false" ht="12.8" hidden="false" customHeight="false" outlineLevel="0" collapsed="false">
      <c r="A1041" s="0" t="n">
        <v>1261</v>
      </c>
      <c r="C1041" s="0" t="s">
        <v>7517</v>
      </c>
    </row>
    <row r="1042" customFormat="false" ht="12.8" hidden="false" customHeight="false" outlineLevel="0" collapsed="false">
      <c r="A1042" s="0" t="n">
        <v>1262</v>
      </c>
      <c r="C1042" s="0" t="s">
        <v>7518</v>
      </c>
    </row>
    <row r="1043" customFormat="false" ht="12.8" hidden="false" customHeight="false" outlineLevel="0" collapsed="false">
      <c r="A1043" s="0" t="n">
        <v>1263</v>
      </c>
      <c r="C1043" s="0" t="s">
        <v>7519</v>
      </c>
    </row>
    <row r="1044" customFormat="false" ht="12.8" hidden="false" customHeight="false" outlineLevel="0" collapsed="false">
      <c r="A1044" s="0" t="n">
        <v>1264</v>
      </c>
      <c r="C1044" s="0" t="s">
        <v>7520</v>
      </c>
    </row>
    <row r="1045" customFormat="false" ht="12.8" hidden="false" customHeight="false" outlineLevel="0" collapsed="false">
      <c r="A1045" s="0" t="n">
        <v>1267</v>
      </c>
      <c r="C1045" s="0" t="s">
        <v>7521</v>
      </c>
    </row>
    <row r="1046" customFormat="false" ht="12.8" hidden="false" customHeight="false" outlineLevel="0" collapsed="false">
      <c r="A1046" s="0" t="n">
        <v>1268</v>
      </c>
      <c r="C1046" s="0" t="s">
        <v>7522</v>
      </c>
    </row>
    <row r="1047" customFormat="false" ht="12.8" hidden="false" customHeight="false" outlineLevel="0" collapsed="false">
      <c r="A1047" s="0" t="n">
        <v>1269</v>
      </c>
      <c r="C1047" s="0" t="s">
        <v>7523</v>
      </c>
    </row>
    <row r="1048" customFormat="false" ht="12.8" hidden="false" customHeight="false" outlineLevel="0" collapsed="false">
      <c r="A1048" s="0" t="n">
        <v>1270</v>
      </c>
      <c r="C1048" s="0" t="s">
        <v>7524</v>
      </c>
    </row>
    <row r="1049" customFormat="false" ht="12.8" hidden="false" customHeight="false" outlineLevel="0" collapsed="false">
      <c r="A1049" s="0" t="n">
        <v>1271</v>
      </c>
      <c r="C1049" s="0" t="s">
        <v>7525</v>
      </c>
    </row>
    <row r="1050" customFormat="false" ht="12.8" hidden="false" customHeight="false" outlineLevel="0" collapsed="false">
      <c r="A1050" s="0" t="n">
        <v>1272</v>
      </c>
      <c r="C1050" s="0" t="s">
        <v>7526</v>
      </c>
    </row>
    <row r="1051" customFormat="false" ht="12.8" hidden="false" customHeight="false" outlineLevel="0" collapsed="false">
      <c r="A1051" s="0" t="n">
        <v>1273</v>
      </c>
      <c r="C1051" s="0" t="s">
        <v>7527</v>
      </c>
    </row>
    <row r="1052" customFormat="false" ht="12.8" hidden="false" customHeight="false" outlineLevel="0" collapsed="false">
      <c r="A1052" s="0" t="n">
        <v>1274</v>
      </c>
      <c r="C1052" s="0" t="s">
        <v>7528</v>
      </c>
    </row>
    <row r="1053" customFormat="false" ht="12.8" hidden="false" customHeight="false" outlineLevel="0" collapsed="false">
      <c r="A1053" s="0" t="n">
        <v>1275</v>
      </c>
      <c r="C1053" s="0" t="s">
        <v>7529</v>
      </c>
    </row>
    <row r="1054" customFormat="false" ht="12.8" hidden="false" customHeight="false" outlineLevel="0" collapsed="false">
      <c r="A1054" s="0" t="n">
        <v>1276</v>
      </c>
      <c r="C1054" s="0" t="s">
        <v>7530</v>
      </c>
    </row>
    <row r="1055" customFormat="false" ht="12.8" hidden="false" customHeight="false" outlineLevel="0" collapsed="false">
      <c r="A1055" s="0" t="n">
        <v>1277</v>
      </c>
      <c r="C1055" s="0" t="s">
        <v>7531</v>
      </c>
    </row>
    <row r="1056" customFormat="false" ht="12.8" hidden="false" customHeight="false" outlineLevel="0" collapsed="false">
      <c r="A1056" s="0" t="n">
        <v>1278</v>
      </c>
      <c r="C1056" s="0" t="s">
        <v>7532</v>
      </c>
    </row>
    <row r="1057" customFormat="false" ht="12.8" hidden="false" customHeight="false" outlineLevel="0" collapsed="false">
      <c r="A1057" s="0" t="n">
        <v>1280</v>
      </c>
      <c r="C1057" s="0" t="s">
        <v>7533</v>
      </c>
    </row>
    <row r="1058" customFormat="false" ht="12.8" hidden="false" customHeight="false" outlineLevel="0" collapsed="false">
      <c r="A1058" s="0" t="n">
        <v>1281</v>
      </c>
      <c r="C1058" s="0" t="s">
        <v>7534</v>
      </c>
    </row>
    <row r="1059" customFormat="false" ht="12.8" hidden="false" customHeight="false" outlineLevel="0" collapsed="false">
      <c r="A1059" s="0" t="n">
        <v>1282</v>
      </c>
      <c r="C1059" s="0" t="s">
        <v>7535</v>
      </c>
    </row>
    <row r="1060" customFormat="false" ht="12.8" hidden="false" customHeight="false" outlineLevel="0" collapsed="false">
      <c r="A1060" s="0" t="n">
        <v>1283</v>
      </c>
      <c r="C1060" s="0" t="s">
        <v>7536</v>
      </c>
    </row>
    <row r="1061" customFormat="false" ht="12.8" hidden="false" customHeight="false" outlineLevel="0" collapsed="false">
      <c r="A1061" s="0" t="n">
        <v>1284</v>
      </c>
      <c r="C1061" s="0" t="s">
        <v>7537</v>
      </c>
    </row>
    <row r="1062" customFormat="false" ht="12.8" hidden="false" customHeight="false" outlineLevel="0" collapsed="false">
      <c r="A1062" s="0" t="n">
        <v>1285</v>
      </c>
      <c r="C1062" s="0" t="s">
        <v>7538</v>
      </c>
    </row>
    <row r="1063" customFormat="false" ht="12.8" hidden="false" customHeight="false" outlineLevel="0" collapsed="false">
      <c r="A1063" s="0" t="n">
        <v>1286</v>
      </c>
      <c r="C1063" s="0" t="s">
        <v>7539</v>
      </c>
    </row>
    <row r="1064" customFormat="false" ht="12.8" hidden="false" customHeight="false" outlineLevel="0" collapsed="false">
      <c r="A1064" s="0" t="n">
        <v>1287</v>
      </c>
      <c r="C1064" s="0" t="s">
        <v>7540</v>
      </c>
    </row>
    <row r="1065" customFormat="false" ht="12.8" hidden="false" customHeight="false" outlineLevel="0" collapsed="false">
      <c r="A1065" s="0" t="n">
        <v>1288</v>
      </c>
      <c r="C1065" s="0" t="s">
        <v>7541</v>
      </c>
    </row>
    <row r="1066" customFormat="false" ht="12.8" hidden="false" customHeight="false" outlineLevel="0" collapsed="false">
      <c r="A1066" s="0" t="n">
        <v>1290</v>
      </c>
      <c r="C1066" s="0" t="s">
        <v>7542</v>
      </c>
    </row>
    <row r="1067" customFormat="false" ht="12.8" hidden="false" customHeight="false" outlineLevel="0" collapsed="false">
      <c r="A1067" s="0" t="n">
        <v>1291</v>
      </c>
      <c r="C1067" s="0" t="s">
        <v>7543</v>
      </c>
    </row>
    <row r="1068" customFormat="false" ht="12.8" hidden="false" customHeight="false" outlineLevel="0" collapsed="false">
      <c r="A1068" s="0" t="n">
        <v>1292</v>
      </c>
      <c r="C1068" s="0" t="s">
        <v>7544</v>
      </c>
    </row>
    <row r="1069" customFormat="false" ht="12.8" hidden="false" customHeight="false" outlineLevel="0" collapsed="false">
      <c r="A1069" s="0" t="n">
        <v>1294</v>
      </c>
      <c r="C1069" s="0" t="s">
        <v>7545</v>
      </c>
    </row>
    <row r="1070" customFormat="false" ht="12.8" hidden="false" customHeight="false" outlineLevel="0" collapsed="false">
      <c r="A1070" s="0" t="n">
        <v>1295</v>
      </c>
      <c r="C1070" s="0" t="s">
        <v>7546</v>
      </c>
    </row>
    <row r="1071" customFormat="false" ht="12.8" hidden="false" customHeight="false" outlineLevel="0" collapsed="false">
      <c r="A1071" s="0" t="n">
        <v>1296</v>
      </c>
      <c r="C1071" s="0" t="s">
        <v>7547</v>
      </c>
    </row>
    <row r="1072" customFormat="false" ht="12.8" hidden="false" customHeight="false" outlineLevel="0" collapsed="false">
      <c r="A1072" s="0" t="n">
        <v>1297</v>
      </c>
      <c r="C1072" s="0" t="s">
        <v>7548</v>
      </c>
    </row>
    <row r="1073" customFormat="false" ht="12.8" hidden="false" customHeight="false" outlineLevel="0" collapsed="false">
      <c r="A1073" s="0" t="n">
        <v>1298</v>
      </c>
      <c r="C1073" s="0" t="s">
        <v>7549</v>
      </c>
    </row>
    <row r="1074" customFormat="false" ht="12.8" hidden="false" customHeight="false" outlineLevel="0" collapsed="false">
      <c r="A1074" s="0" t="n">
        <v>1300</v>
      </c>
      <c r="C1074" s="0" t="s">
        <v>7550</v>
      </c>
    </row>
    <row r="1075" customFormat="false" ht="12.8" hidden="false" customHeight="false" outlineLevel="0" collapsed="false">
      <c r="A1075" s="0" t="n">
        <v>1301</v>
      </c>
      <c r="C1075" s="0" t="s">
        <v>7551</v>
      </c>
    </row>
    <row r="1076" customFormat="false" ht="12.8" hidden="false" customHeight="false" outlineLevel="0" collapsed="false">
      <c r="A1076" s="0" t="n">
        <v>1302</v>
      </c>
      <c r="C1076" s="0" t="s">
        <v>7552</v>
      </c>
    </row>
    <row r="1077" customFormat="false" ht="12.8" hidden="false" customHeight="false" outlineLevel="0" collapsed="false">
      <c r="A1077" s="0" t="n">
        <v>1303</v>
      </c>
      <c r="C1077" s="0" t="s">
        <v>7553</v>
      </c>
    </row>
    <row r="1078" customFormat="false" ht="12.8" hidden="false" customHeight="false" outlineLevel="0" collapsed="false">
      <c r="A1078" s="0" t="n">
        <v>1304</v>
      </c>
      <c r="C1078" s="0" t="s">
        <v>7554</v>
      </c>
    </row>
    <row r="1079" customFormat="false" ht="12.8" hidden="false" customHeight="false" outlineLevel="0" collapsed="false">
      <c r="A1079" s="0" t="n">
        <v>1305</v>
      </c>
      <c r="C1079" s="0" t="s">
        <v>7555</v>
      </c>
    </row>
    <row r="1080" customFormat="false" ht="12.8" hidden="false" customHeight="false" outlineLevel="0" collapsed="false">
      <c r="A1080" s="0" t="n">
        <v>1306</v>
      </c>
      <c r="C1080" s="0" t="s">
        <v>7556</v>
      </c>
    </row>
    <row r="1081" customFormat="false" ht="12.8" hidden="false" customHeight="false" outlineLevel="0" collapsed="false">
      <c r="A1081" s="0" t="n">
        <v>1308</v>
      </c>
      <c r="C1081" s="0" t="s">
        <v>7557</v>
      </c>
    </row>
    <row r="1082" customFormat="false" ht="12.8" hidden="false" customHeight="false" outlineLevel="0" collapsed="false">
      <c r="A1082" s="0" t="n">
        <v>1309</v>
      </c>
      <c r="C1082" s="0" t="s">
        <v>7558</v>
      </c>
    </row>
    <row r="1083" customFormat="false" ht="12.8" hidden="false" customHeight="false" outlineLevel="0" collapsed="false">
      <c r="A1083" s="0" t="n">
        <v>1310</v>
      </c>
      <c r="C1083" s="0" t="s">
        <v>7559</v>
      </c>
    </row>
    <row r="1084" customFormat="false" ht="12.8" hidden="false" customHeight="false" outlineLevel="0" collapsed="false">
      <c r="A1084" s="0" t="n">
        <v>1311</v>
      </c>
      <c r="C1084" s="0" t="s">
        <v>7560</v>
      </c>
    </row>
    <row r="1085" customFormat="false" ht="12.8" hidden="false" customHeight="false" outlineLevel="0" collapsed="false">
      <c r="A1085" s="0" t="n">
        <v>1312</v>
      </c>
      <c r="C1085" s="0" t="s">
        <v>7561</v>
      </c>
    </row>
    <row r="1086" customFormat="false" ht="12.8" hidden="false" customHeight="false" outlineLevel="0" collapsed="false">
      <c r="A1086" s="0" t="n">
        <v>1314</v>
      </c>
      <c r="C1086" s="0" t="s">
        <v>7562</v>
      </c>
    </row>
    <row r="1087" customFormat="false" ht="12.8" hidden="false" customHeight="false" outlineLevel="0" collapsed="false">
      <c r="A1087" s="0" t="n">
        <v>1315</v>
      </c>
      <c r="C1087" s="0" t="s">
        <v>7563</v>
      </c>
    </row>
    <row r="1088" customFormat="false" ht="12.8" hidden="false" customHeight="false" outlineLevel="0" collapsed="false">
      <c r="A1088" s="0" t="n">
        <v>1316</v>
      </c>
      <c r="C1088" s="0" t="s">
        <v>7564</v>
      </c>
    </row>
    <row r="1089" customFormat="false" ht="12.8" hidden="false" customHeight="false" outlineLevel="0" collapsed="false">
      <c r="A1089" s="0" t="n">
        <v>1317</v>
      </c>
      <c r="C1089" s="0" t="s">
        <v>7565</v>
      </c>
    </row>
    <row r="1090" customFormat="false" ht="12.8" hidden="false" customHeight="false" outlineLevel="0" collapsed="false">
      <c r="A1090" s="0" t="n">
        <v>1318</v>
      </c>
      <c r="C1090" s="0" t="s">
        <v>7566</v>
      </c>
    </row>
    <row r="1091" customFormat="false" ht="12.8" hidden="false" customHeight="false" outlineLevel="0" collapsed="false">
      <c r="A1091" s="0" t="n">
        <v>1320</v>
      </c>
      <c r="C1091" s="0" t="s">
        <v>7567</v>
      </c>
    </row>
    <row r="1092" customFormat="false" ht="12.8" hidden="false" customHeight="false" outlineLevel="0" collapsed="false">
      <c r="A1092" s="0" t="n">
        <v>1321</v>
      </c>
      <c r="C1092" s="0" t="s">
        <v>7568</v>
      </c>
    </row>
    <row r="1093" customFormat="false" ht="12.8" hidden="false" customHeight="false" outlineLevel="0" collapsed="false">
      <c r="A1093" s="0" t="n">
        <v>1323</v>
      </c>
      <c r="C1093" s="0" t="s">
        <v>7569</v>
      </c>
    </row>
    <row r="1094" customFormat="false" ht="12.8" hidden="false" customHeight="false" outlineLevel="0" collapsed="false">
      <c r="A1094" s="0" t="n">
        <v>1324</v>
      </c>
      <c r="C1094" s="0" t="s">
        <v>7570</v>
      </c>
    </row>
    <row r="1095" customFormat="false" ht="12.8" hidden="false" customHeight="false" outlineLevel="0" collapsed="false">
      <c r="A1095" s="0" t="n">
        <v>1325</v>
      </c>
      <c r="C1095" s="0" t="s">
        <v>7571</v>
      </c>
    </row>
    <row r="1096" customFormat="false" ht="12.8" hidden="false" customHeight="false" outlineLevel="0" collapsed="false">
      <c r="A1096" s="0" t="n">
        <v>1326</v>
      </c>
      <c r="C1096" s="0" t="s">
        <v>7572</v>
      </c>
    </row>
    <row r="1097" customFormat="false" ht="12.8" hidden="false" customHeight="false" outlineLevel="0" collapsed="false">
      <c r="A1097" s="0" t="n">
        <v>1328</v>
      </c>
      <c r="C1097" s="0" t="s">
        <v>7573</v>
      </c>
    </row>
    <row r="1098" customFormat="false" ht="12.8" hidden="false" customHeight="false" outlineLevel="0" collapsed="false">
      <c r="A1098" s="0" t="n">
        <v>1329</v>
      </c>
      <c r="C1098" s="0" t="s">
        <v>7574</v>
      </c>
    </row>
    <row r="1099" customFormat="false" ht="12.8" hidden="false" customHeight="false" outlineLevel="0" collapsed="false">
      <c r="A1099" s="0" t="n">
        <v>1330</v>
      </c>
      <c r="C1099" s="0" t="s">
        <v>7575</v>
      </c>
    </row>
    <row r="1100" customFormat="false" ht="12.8" hidden="false" customHeight="false" outlineLevel="0" collapsed="false">
      <c r="A1100" s="0" t="n">
        <v>1331</v>
      </c>
      <c r="C1100" s="0" t="s">
        <v>7576</v>
      </c>
    </row>
    <row r="1101" customFormat="false" ht="12.8" hidden="false" customHeight="false" outlineLevel="0" collapsed="false">
      <c r="A1101" s="0" t="n">
        <v>1332</v>
      </c>
      <c r="C1101" s="0" t="s">
        <v>7577</v>
      </c>
    </row>
    <row r="1102" customFormat="false" ht="12.8" hidden="false" customHeight="false" outlineLevel="0" collapsed="false">
      <c r="A1102" s="0" t="n">
        <v>1333</v>
      </c>
      <c r="C1102" s="0" t="s">
        <v>7578</v>
      </c>
    </row>
    <row r="1103" customFormat="false" ht="12.8" hidden="false" customHeight="false" outlineLevel="0" collapsed="false">
      <c r="A1103" s="0" t="n">
        <v>1334</v>
      </c>
      <c r="C1103" s="0" t="s">
        <v>7579</v>
      </c>
    </row>
    <row r="1104" customFormat="false" ht="12.8" hidden="false" customHeight="false" outlineLevel="0" collapsed="false">
      <c r="A1104" s="0" t="n">
        <v>1335</v>
      </c>
      <c r="C1104" s="0" t="s">
        <v>7580</v>
      </c>
    </row>
    <row r="1105" customFormat="false" ht="12.8" hidden="false" customHeight="false" outlineLevel="0" collapsed="false">
      <c r="A1105" s="0" t="n">
        <v>1336</v>
      </c>
      <c r="C1105" s="0" t="s">
        <v>7581</v>
      </c>
    </row>
    <row r="1106" customFormat="false" ht="12.8" hidden="false" customHeight="false" outlineLevel="0" collapsed="false">
      <c r="A1106" s="0" t="n">
        <v>1338</v>
      </c>
      <c r="C1106" s="0" t="s">
        <v>7582</v>
      </c>
    </row>
    <row r="1107" customFormat="false" ht="12.8" hidden="false" customHeight="false" outlineLevel="0" collapsed="false">
      <c r="A1107" s="0" t="n">
        <v>1339</v>
      </c>
      <c r="C1107" s="0" t="s">
        <v>7583</v>
      </c>
    </row>
    <row r="1108" customFormat="false" ht="12.8" hidden="false" customHeight="false" outlineLevel="0" collapsed="false">
      <c r="A1108" s="0" t="n">
        <v>1340</v>
      </c>
      <c r="C1108" s="0" t="s">
        <v>7584</v>
      </c>
    </row>
    <row r="1109" customFormat="false" ht="12.8" hidden="false" customHeight="false" outlineLevel="0" collapsed="false">
      <c r="A1109" s="0" t="n">
        <v>1341</v>
      </c>
      <c r="C1109" s="0" t="s">
        <v>7585</v>
      </c>
    </row>
    <row r="1110" customFormat="false" ht="12.8" hidden="false" customHeight="false" outlineLevel="0" collapsed="false">
      <c r="A1110" s="0" t="n">
        <v>1342</v>
      </c>
      <c r="C1110" s="0" t="s">
        <v>7586</v>
      </c>
    </row>
    <row r="1111" customFormat="false" ht="12.8" hidden="false" customHeight="false" outlineLevel="0" collapsed="false">
      <c r="A1111" s="0" t="n">
        <v>1343</v>
      </c>
      <c r="C1111" s="0" t="s">
        <v>7587</v>
      </c>
    </row>
    <row r="1112" customFormat="false" ht="12.8" hidden="false" customHeight="false" outlineLevel="0" collapsed="false">
      <c r="A1112" s="0" t="n">
        <v>1344</v>
      </c>
      <c r="C1112" s="0" t="s">
        <v>7588</v>
      </c>
    </row>
    <row r="1113" customFormat="false" ht="12.8" hidden="false" customHeight="false" outlineLevel="0" collapsed="false">
      <c r="A1113" s="0" t="n">
        <v>1345</v>
      </c>
      <c r="C1113" s="0" t="s">
        <v>7589</v>
      </c>
    </row>
    <row r="1114" customFormat="false" ht="12.8" hidden="false" customHeight="false" outlineLevel="0" collapsed="false">
      <c r="A1114" s="0" t="n">
        <v>1346</v>
      </c>
      <c r="C1114" s="0" t="s">
        <v>7590</v>
      </c>
    </row>
    <row r="1115" customFormat="false" ht="12.8" hidden="false" customHeight="false" outlineLevel="0" collapsed="false">
      <c r="A1115" s="0" t="n">
        <v>1347</v>
      </c>
      <c r="C1115" s="0" t="s">
        <v>7591</v>
      </c>
    </row>
    <row r="1116" customFormat="false" ht="12.8" hidden="false" customHeight="false" outlineLevel="0" collapsed="false">
      <c r="A1116" s="0" t="n">
        <v>1348</v>
      </c>
      <c r="C1116" s="0" t="s">
        <v>7592</v>
      </c>
    </row>
    <row r="1117" customFormat="false" ht="12.8" hidden="false" customHeight="false" outlineLevel="0" collapsed="false">
      <c r="A1117" s="0" t="n">
        <v>1349</v>
      </c>
      <c r="C1117" s="0" t="s">
        <v>7593</v>
      </c>
    </row>
    <row r="1118" customFormat="false" ht="12.8" hidden="false" customHeight="false" outlineLevel="0" collapsed="false">
      <c r="A1118" s="0" t="n">
        <v>1350</v>
      </c>
      <c r="C1118" s="0" t="s">
        <v>7594</v>
      </c>
    </row>
    <row r="1119" customFormat="false" ht="12.8" hidden="false" customHeight="false" outlineLevel="0" collapsed="false">
      <c r="A1119" s="0" t="n">
        <v>1351</v>
      </c>
      <c r="C1119" s="0" t="s">
        <v>7595</v>
      </c>
    </row>
    <row r="1120" customFormat="false" ht="12.8" hidden="false" customHeight="false" outlineLevel="0" collapsed="false">
      <c r="A1120" s="0" t="n">
        <v>1352</v>
      </c>
      <c r="C1120" s="0" t="s">
        <v>7596</v>
      </c>
    </row>
    <row r="1121" customFormat="false" ht="12.8" hidden="false" customHeight="false" outlineLevel="0" collapsed="false">
      <c r="A1121" s="0" t="n">
        <v>1354</v>
      </c>
      <c r="C1121" s="0" t="s">
        <v>7597</v>
      </c>
    </row>
    <row r="1122" customFormat="false" ht="12.8" hidden="false" customHeight="false" outlineLevel="0" collapsed="false">
      <c r="A1122" s="0" t="n">
        <v>1355</v>
      </c>
      <c r="C1122" s="0" t="s">
        <v>7598</v>
      </c>
    </row>
    <row r="1123" customFormat="false" ht="12.8" hidden="false" customHeight="false" outlineLevel="0" collapsed="false">
      <c r="A1123" s="0" t="n">
        <v>1356</v>
      </c>
      <c r="C1123" s="0" t="s">
        <v>7599</v>
      </c>
    </row>
    <row r="1124" customFormat="false" ht="12.8" hidden="false" customHeight="false" outlineLevel="0" collapsed="false">
      <c r="A1124" s="0" t="n">
        <v>1357</v>
      </c>
      <c r="C1124" s="0" t="s">
        <v>7600</v>
      </c>
    </row>
    <row r="1125" customFormat="false" ht="12.8" hidden="false" customHeight="false" outlineLevel="0" collapsed="false">
      <c r="A1125" s="0" t="n">
        <v>1358</v>
      </c>
      <c r="C1125" s="0" t="s">
        <v>7601</v>
      </c>
    </row>
    <row r="1126" customFormat="false" ht="12.8" hidden="false" customHeight="false" outlineLevel="0" collapsed="false">
      <c r="A1126" s="0" t="n">
        <v>1359</v>
      </c>
      <c r="C1126" s="0" t="s">
        <v>7602</v>
      </c>
    </row>
    <row r="1127" customFormat="false" ht="12.8" hidden="false" customHeight="false" outlineLevel="0" collapsed="false">
      <c r="A1127" s="0" t="n">
        <v>1361</v>
      </c>
      <c r="C1127" s="0" t="s">
        <v>7603</v>
      </c>
    </row>
    <row r="1128" customFormat="false" ht="12.8" hidden="false" customHeight="false" outlineLevel="0" collapsed="false">
      <c r="A1128" s="0" t="n">
        <v>1362</v>
      </c>
      <c r="C1128" s="0" t="s">
        <v>7604</v>
      </c>
    </row>
    <row r="1129" customFormat="false" ht="12.8" hidden="false" customHeight="false" outlineLevel="0" collapsed="false">
      <c r="A1129" s="0" t="n">
        <v>1363</v>
      </c>
      <c r="C1129" s="0" t="s">
        <v>7605</v>
      </c>
    </row>
    <row r="1130" customFormat="false" ht="12.8" hidden="false" customHeight="false" outlineLevel="0" collapsed="false">
      <c r="A1130" s="0" t="n">
        <v>1364</v>
      </c>
      <c r="C1130" s="0" t="s">
        <v>7606</v>
      </c>
    </row>
    <row r="1131" customFormat="false" ht="12.8" hidden="false" customHeight="false" outlineLevel="0" collapsed="false">
      <c r="A1131" s="0" t="n">
        <v>1365</v>
      </c>
      <c r="C1131" s="0" t="s">
        <v>7607</v>
      </c>
    </row>
    <row r="1132" customFormat="false" ht="12.8" hidden="false" customHeight="false" outlineLevel="0" collapsed="false">
      <c r="A1132" s="0" t="n">
        <v>1366</v>
      </c>
      <c r="C1132" s="0" t="s">
        <v>7608</v>
      </c>
    </row>
    <row r="1133" customFormat="false" ht="12.8" hidden="false" customHeight="false" outlineLevel="0" collapsed="false">
      <c r="A1133" s="0" t="n">
        <v>1367</v>
      </c>
      <c r="C1133" s="0" t="s">
        <v>7609</v>
      </c>
    </row>
    <row r="1134" customFormat="false" ht="12.8" hidden="false" customHeight="false" outlineLevel="0" collapsed="false">
      <c r="A1134" s="0" t="n">
        <v>1368</v>
      </c>
      <c r="C1134" s="0" t="s">
        <v>7610</v>
      </c>
    </row>
    <row r="1135" customFormat="false" ht="12.8" hidden="false" customHeight="false" outlineLevel="0" collapsed="false">
      <c r="A1135" s="0" t="n">
        <v>1369</v>
      </c>
      <c r="C1135" s="0" t="s">
        <v>7611</v>
      </c>
    </row>
    <row r="1136" customFormat="false" ht="12.8" hidden="false" customHeight="false" outlineLevel="0" collapsed="false">
      <c r="A1136" s="0" t="n">
        <v>1370</v>
      </c>
      <c r="C1136" s="0" t="s">
        <v>7612</v>
      </c>
    </row>
    <row r="1137" customFormat="false" ht="12.8" hidden="false" customHeight="false" outlineLevel="0" collapsed="false">
      <c r="A1137" s="0" t="n">
        <v>1371</v>
      </c>
      <c r="C1137" s="0" t="s">
        <v>7613</v>
      </c>
    </row>
    <row r="1138" customFormat="false" ht="12.8" hidden="false" customHeight="false" outlineLevel="0" collapsed="false">
      <c r="A1138" s="0" t="n">
        <v>1372</v>
      </c>
      <c r="C1138" s="0" t="s">
        <v>7614</v>
      </c>
    </row>
    <row r="1139" customFormat="false" ht="12.8" hidden="false" customHeight="false" outlineLevel="0" collapsed="false">
      <c r="A1139" s="0" t="n">
        <v>1373</v>
      </c>
      <c r="C1139" s="0" t="s">
        <v>7615</v>
      </c>
    </row>
    <row r="1140" customFormat="false" ht="12.8" hidden="false" customHeight="false" outlineLevel="0" collapsed="false">
      <c r="A1140" s="0" t="n">
        <v>1374</v>
      </c>
      <c r="C1140" s="0" t="s">
        <v>7616</v>
      </c>
    </row>
    <row r="1141" customFormat="false" ht="12.8" hidden="false" customHeight="false" outlineLevel="0" collapsed="false">
      <c r="A1141" s="0" t="n">
        <v>1375</v>
      </c>
      <c r="C1141" s="0" t="s">
        <v>7617</v>
      </c>
    </row>
    <row r="1142" customFormat="false" ht="12.8" hidden="false" customHeight="false" outlineLevel="0" collapsed="false">
      <c r="A1142" s="0" t="n">
        <v>1377</v>
      </c>
      <c r="C1142" s="0" t="s">
        <v>7618</v>
      </c>
    </row>
    <row r="1143" customFormat="false" ht="12.8" hidden="false" customHeight="false" outlineLevel="0" collapsed="false">
      <c r="A1143" s="0" t="n">
        <v>1378</v>
      </c>
      <c r="C1143" s="0" t="s">
        <v>7619</v>
      </c>
    </row>
    <row r="1144" customFormat="false" ht="12.8" hidden="false" customHeight="false" outlineLevel="0" collapsed="false">
      <c r="A1144" s="0" t="n">
        <v>1379</v>
      </c>
      <c r="C1144" s="0" t="s">
        <v>7620</v>
      </c>
    </row>
    <row r="1145" customFormat="false" ht="12.8" hidden="false" customHeight="false" outlineLevel="0" collapsed="false">
      <c r="A1145" s="0" t="n">
        <v>1380</v>
      </c>
      <c r="C1145" s="0" t="s">
        <v>7621</v>
      </c>
    </row>
    <row r="1146" customFormat="false" ht="12.8" hidden="false" customHeight="false" outlineLevel="0" collapsed="false">
      <c r="A1146" s="0" t="n">
        <v>1381</v>
      </c>
      <c r="C1146" s="0" t="s">
        <v>7622</v>
      </c>
    </row>
    <row r="1147" customFormat="false" ht="12.8" hidden="false" customHeight="false" outlineLevel="0" collapsed="false">
      <c r="A1147" s="0" t="n">
        <v>1382</v>
      </c>
      <c r="C1147" s="0" t="s">
        <v>7623</v>
      </c>
    </row>
    <row r="1148" customFormat="false" ht="12.8" hidden="false" customHeight="false" outlineLevel="0" collapsed="false">
      <c r="A1148" s="0" t="n">
        <v>1383</v>
      </c>
      <c r="C1148" s="0" t="s">
        <v>7624</v>
      </c>
    </row>
    <row r="1149" customFormat="false" ht="12.8" hidden="false" customHeight="false" outlineLevel="0" collapsed="false">
      <c r="A1149" s="0" t="n">
        <v>1384</v>
      </c>
      <c r="C1149" s="0" t="s">
        <v>7625</v>
      </c>
    </row>
    <row r="1150" customFormat="false" ht="12.8" hidden="false" customHeight="false" outlineLevel="0" collapsed="false">
      <c r="A1150" s="0" t="n">
        <v>1385</v>
      </c>
      <c r="C1150" s="0" t="s">
        <v>7626</v>
      </c>
    </row>
    <row r="1151" customFormat="false" ht="12.8" hidden="false" customHeight="false" outlineLevel="0" collapsed="false">
      <c r="A1151" s="0" t="n">
        <v>1386</v>
      </c>
      <c r="C1151" s="0" t="s">
        <v>7627</v>
      </c>
    </row>
    <row r="1152" customFormat="false" ht="12.8" hidden="false" customHeight="false" outlineLevel="0" collapsed="false">
      <c r="A1152" s="0" t="n">
        <v>1387</v>
      </c>
      <c r="C1152" s="0" t="s">
        <v>7628</v>
      </c>
    </row>
    <row r="1160" customFormat="false" ht="13.8" hidden="false" customHeight="false" outlineLevel="0" collapsed="false">
      <c r="A1160" s="0" t="n">
        <v>200</v>
      </c>
      <c r="C1160" s="0" t="n">
        <v>64</v>
      </c>
      <c r="E1160" s="0" t="str">
        <f aca="false">VLOOKUP(C1160,$A$2:$C$1152,3,0)</f>
        <v>a = Client().post('/recipes/alu-flower-gravy-ekadashi/detail/', {'recipe' : '90', 'ingredient' : '78', 'name' : 'Flower', 'mass_unit' : '', 'mass_quantity' : '0', 'volume_unit' : '1', 'volume_quantity' : '11.667', 'pieces_unit' : '', 'pieces_quantity' : '0', 'cooking_notes' : '(deep fried)'}).status_code; print('%s :: %s :: %s :: %s :: %s' %(a,64,'Flower','flower','Alu Flower Gravy (Ekadashi)'))</v>
      </c>
    </row>
    <row r="1161" customFormat="false" ht="13.8" hidden="false" customHeight="false" outlineLevel="0" collapsed="false">
      <c r="A1161" s="0" t="n">
        <v>200</v>
      </c>
      <c r="C1161" s="0" t="n">
        <v>78</v>
      </c>
      <c r="E1161" s="0" t="str">
        <f aca="false">VLOOKUP(C1161,$A$2:$C$1152,3,0)</f>
        <v>a = Client().post('/recipes/alu-flower-gravy-ekadashi/detail/', {'recipe' : '90', 'ingredient' : '83', 'name' : 'Oil for frying', 'mass_unit' : '', 'mass_quantity' : '0', 'volume_unit' : '2', 'volume_quantity' : '0', 'pieces_unit' : '', 'pieces_quantity' : '0', 'cooking_notes' : ''}).status_code; print('%s :: %s :: %s :: %s :: %s' %(a,78,'Oil for frying','gound nut oil','Alu Flower Gravy (Ekadashi)'))</v>
      </c>
    </row>
    <row r="1162" customFormat="false" ht="13.8" hidden="false" customHeight="false" outlineLevel="0" collapsed="false">
      <c r="A1162" s="0" t="n">
        <v>200</v>
      </c>
      <c r="C1162" s="0" t="n">
        <v>122</v>
      </c>
      <c r="E1162" s="0" t="str">
        <f aca="false">VLOOKUP(C1162,$A$2:$C$1152,3,0)</f>
        <v>a = Client().post('/recipes/pav-bhaji-bhaji/detail/', {'recipe' : '60', 'ingredient' : '83', 'name' : 'Oil', 'mass_unit' : '1', 'mass_quantity' : '2.5', 'volume_unit' : '', 'volume_quantity' : '0', 'pieces_unit' : '', 'pieces_quantity' : '0', 'cooking_notes' : ''}).status_code; print('%s :: %s :: %s :: %s :: %s' %(a,122,'Oil','gound nut oil','Pav Bhaji Bhaji'))</v>
      </c>
    </row>
    <row r="1163" customFormat="false" ht="13.8" hidden="false" customHeight="false" outlineLevel="0" collapsed="false">
      <c r="A1163" s="0" t="n">
        <v>200</v>
      </c>
      <c r="C1163" s="0" t="n">
        <v>174</v>
      </c>
      <c r="E1163" s="0" t="str">
        <f aca="false">VLOOKUP(C1163,$A$2:$C$1152,3,0)</f>
        <v>a = Client().post('/recipes/jp-khichadi/detail/', {'recipe' : '35', 'ingredient' : '54', 'name' : 'Coconuts', 'mass_unit' : '', 'mass_quantity' : '0', 'volume_unit' : '3', 'volume_quantity' : '4', 'pieces_unit' : '', 'pieces_quantity' : '0', 'cooking_notes' : ''}).status_code; print('%s :: %s :: %s :: %s :: %s' %(a,174,'Coconuts','coconut','JP Khichadi'))</v>
      </c>
    </row>
    <row r="1164" customFormat="false" ht="13.8" hidden="false" customHeight="false" outlineLevel="0" collapsed="false">
      <c r="A1164" s="0" t="n">
        <v>200</v>
      </c>
      <c r="C1164" s="0" t="n">
        <v>250</v>
      </c>
      <c r="E1164" s="0" t="str">
        <f aca="false">VLOOKUP(C1164,$A$2:$C$1152,3,0)</f>
        <v>a = Client().post('/recipes/panchratna-dry/detail/', {'recipe' : '53', 'ingredient' : '83', 'name' : 'Oil', 'mass_unit' : '1', 'mass_quantity' : '1', 'volume_unit' : '', 'volume_quantity' : '0', 'pieces_unit' : '', 'pieces_quantity' : '0', 'cooking_notes' : ''}).status_code; print('%s :: %s :: %s :: %s :: %s' %(a,250,'Oil','gound nut oil','Panchratna Dry'))</v>
      </c>
    </row>
    <row r="1165" customFormat="false" ht="13.8" hidden="false" customHeight="false" outlineLevel="0" collapsed="false">
      <c r="A1165" s="0" t="n">
        <v>200</v>
      </c>
      <c r="C1165" s="0" t="n">
        <v>251</v>
      </c>
      <c r="E1165" s="0" t="str">
        <f aca="false">VLOOKUP(C1165,$A$2:$C$1152,3,0)</f>
        <v>a = Client().post('/recipes/panchratna-dry/detail/', {'recipe' : '53', 'ingredient' : '95', 'name' : 'Hing', 'mass_unit' : '5', 'mass_quantity' : '0.3', 'volume_unit' : '', 'volume_quantity' : '0', 'pieces_unit' : '', 'pieces_quantity' : '0', 'cooking_notes' : ''}).status_code; print('%s :: %s :: %s :: %s :: %s' %(a,251,'Hing','hing','Panchratna Dry'))</v>
      </c>
    </row>
    <row r="1166" customFormat="false" ht="13.8" hidden="false" customHeight="false" outlineLevel="0" collapsed="false">
      <c r="A1166" s="0" t="n">
        <v>200</v>
      </c>
      <c r="C1166" s="0" t="n">
        <v>252</v>
      </c>
      <c r="E1166" s="0" t="str">
        <f aca="false">VLOOKUP(C1166,$A$2:$C$1152,3,0)</f>
        <v>a = Client().post('/recipes/panchratna-dry/detail/', {'recipe' : '53', 'ingredient' : '93', 'name' : 'Hari mirchi', 'mass_unit' : '5', 'mass_quantity' : '1', 'volume_unit' : '', 'volume_quantity' : '0', 'pieces_unit' : '', 'pieces_quantity' : '0', 'cooking_notes' : 'fine chopped'}).status_code; print('%s :: %s :: %s :: %s :: %s' %(a,252,'Hari mirchi','hari mirchi','Panchratna Dry'))</v>
      </c>
    </row>
    <row r="1167" customFormat="false" ht="13.8" hidden="false" customHeight="false" outlineLevel="0" collapsed="false">
      <c r="A1167" s="0" t="n">
        <v>200</v>
      </c>
      <c r="C1167" s="0" t="n">
        <v>253</v>
      </c>
      <c r="E1167" s="0" t="str">
        <f aca="false">VLOOKUP(C1167,$A$2:$C$1152,3,0)</f>
        <v>a = Client().post('/recipes/panchratna-dry/detail/', {'recipe' : '53', 'ingredient' : '1', 'name' : 'Adrak paste', 'mass_unit' : '1', 'mass_quantity' : '0.5', 'volume_unit' : '', 'volume_quantity' : '0', 'pieces_unit' : '', 'pieces_quantity' : '0', 'cooking_notes' : ''}).status_code; print('%s :: %s :: %s :: %s :: %s' %(a,253,'Adrak paste','adrak','Panchratna Dry'))</v>
      </c>
    </row>
    <row r="1168" customFormat="false" ht="13.8" hidden="false" customHeight="false" outlineLevel="0" collapsed="false">
      <c r="A1168" s="0" t="n">
        <v>200</v>
      </c>
      <c r="C1168" s="0" t="n">
        <v>254</v>
      </c>
      <c r="E1168" s="0" t="str">
        <f aca="false">VLOOKUP(C1168,$A$2:$C$1152,3,0)</f>
        <v>a = Client().post('/recipes/panchratna-dry/detail/', {'recipe' : '53', 'ingredient' : '103', 'name' : 'Jeera powder', 'mass_unit' : '5', 'mass_quantity' : '0.75', 'volume_unit' : '', 'volume_quantity' : '0', 'pieces_unit' : '', 'pieces_quantity' : '0', 'cooking_notes' : ''}).status_code; print('%s :: %s :: %s :: %s :: %s' %(a,254,'Jeera powder','jeera powder','Panchratna Dry'))</v>
      </c>
    </row>
    <row r="1169" customFormat="false" ht="13.8" hidden="false" customHeight="false" outlineLevel="0" collapsed="false">
      <c r="A1169" s="0" t="n">
        <v>200</v>
      </c>
      <c r="C1169" s="0" t="n">
        <v>255</v>
      </c>
      <c r="E1169" s="0" t="str">
        <f aca="false">VLOOKUP(C1169,$A$2:$C$1152,3,0)</f>
        <v>a = Client().post('/recipes/panchratna-dry/detail/', {'recipe' : '53', 'ingredient' : '67', 'name' : 'Dhania powder', 'mass_unit' : '5', 'mass_quantity' : '1', 'volume_unit' : '', 'volume_quantity' : '0', 'pieces_unit' : '', 'pieces_quantity' : '0', 'cooking_notes' : ''}).status_code; print('%s :: %s :: %s :: %s :: %s' %(a,255,'Dhania powder','dhaniya powder','Panchratna Dry'))</v>
      </c>
    </row>
    <row r="1170" customFormat="false" ht="13.8" hidden="false" customHeight="false" outlineLevel="0" collapsed="false">
      <c r="A1170" s="0" t="n">
        <v>200</v>
      </c>
      <c r="C1170" s="0" t="n">
        <v>256</v>
      </c>
      <c r="E1170" s="0" t="str">
        <f aca="false">VLOOKUP(C1170,$A$2:$C$1152,3,0)</f>
        <v>a = Client().post('/recipes/panchratna-dry/detail/', {'recipe' : '53', 'ingredient' : '135', 'name' : 'Red chilli powder', 'mass_unit' : '5', 'mass_quantity' : '0.5', 'volume_unit' : '', 'volume_quantity' : '0', 'pieces_unit' : '', 'pieces_quantity' : '0', 'cooking_notes' : ''}).status_code; print('%s :: %s :: %s :: %s :: %s' %(a,256,'Red chilli powder','madrasi mirchi powder','Panchratna Dry'))</v>
      </c>
    </row>
    <row r="1171" customFormat="false" ht="13.8" hidden="false" customHeight="false" outlineLevel="0" collapsed="false">
      <c r="A1171" s="0" t="n">
        <v>200</v>
      </c>
      <c r="C1171" s="0" t="n">
        <v>257</v>
      </c>
      <c r="E1171" s="0" t="str">
        <f aca="false">VLOOKUP(C1171,$A$2:$C$1152,3,0)</f>
        <v>a = Client().post('/recipes/panchratna-dry/detail/', {'recipe' : '53', 'ingredient' : '91', 'name' : 'Haldi', 'mass_unit' : '5', 'mass_quantity' : '0.6', 'volume_unit' : '', 'volume_quantity' : '0', 'pieces_unit' : '', 'pieces_quantity' : '0', 'cooking_notes' : ''}).status_code; print('%s :: %s :: %s :: %s :: %s' %(a,257,'Haldi','haldi','Panchratna Dry'))</v>
      </c>
    </row>
    <row r="1172" customFormat="false" ht="13.8" hidden="false" customHeight="false" outlineLevel="0" collapsed="false">
      <c r="A1172" s="0" t="n">
        <v>200</v>
      </c>
      <c r="C1172" s="0" t="n">
        <v>258</v>
      </c>
      <c r="E1172" s="0" t="str">
        <f aca="false">VLOOKUP(C1172,$A$2:$C$1152,3,0)</f>
        <v>a = Client().post('/recipes/panchratna-dry/detail/', {'recipe' : '53', 'ingredient' : '117', 'name' : 'Kashmiri powder', 'mass_unit' : '5', 'mass_quantity' : '0.75', 'volume_unit' : '', 'volume_quantity' : '0', 'pieces_unit' : '', 'pieces_quantity' : '0', 'cooking_notes' : ''}).status_code; print('%s :: %s :: %s :: %s :: %s' %(a,258,'Kashmiri powder','kashmiri chilly powder','Panchratna Dry'))</v>
      </c>
    </row>
    <row r="1173" customFormat="false" ht="13.8" hidden="false" customHeight="false" outlineLevel="0" collapsed="false">
      <c r="A1173" s="0" t="n">
        <v>200</v>
      </c>
      <c r="C1173" s="0" t="n">
        <v>259</v>
      </c>
      <c r="E1173" s="0" t="str">
        <f aca="false">VLOOKUP(C1173,$A$2:$C$1152,3,0)</f>
        <v>a = Client().post('/recipes/panchratna-dry/detail/', {'recipe' : '53', 'ingredient' : '177', 'name' : 'Salt', 'mass_unit' : '5', 'mass_quantity' : '1', 'volume_unit' : '', 'volume_quantity' : '0', 'pieces_unit' : '', 'pieces_quantity' : '0', 'cooking_notes' : ''}).status_code; print('%s :: %s :: %s :: %s :: %s' %(a,259,'Salt','salt','Panchratna Dry'))</v>
      </c>
    </row>
    <row r="1174" customFormat="false" ht="13.8" hidden="false" customHeight="false" outlineLevel="0" collapsed="false">
      <c r="A1174" s="0" t="n">
        <v>200</v>
      </c>
      <c r="C1174" s="0" t="n">
        <v>260</v>
      </c>
      <c r="E1174" s="0" t="str">
        <f aca="false">VLOOKUP(C1174,$A$2:$C$1152,3,0)</f>
        <v>a = Client().post('/recipes/panchratna-dry/detail/', {'recipe' : '53', 'ingredient' : '32', 'name' : 'Black salt', 'mass_unit' : '5', 'mass_quantity' : '0.5', 'volume_unit' : '', 'volume_quantity' : '0', 'pieces_unit' : '', 'pieces_quantity' : '0', 'cooking_notes' : ''}).status_code; print('%s :: %s :: %s :: %s :: %s' %(a,260,'Black salt','black salt','Panchratna Dry'))</v>
      </c>
    </row>
    <row r="1175" customFormat="false" ht="13.8" hidden="false" customHeight="false" outlineLevel="0" collapsed="false">
      <c r="A1175" s="0" t="n">
        <v>200</v>
      </c>
      <c r="C1175" s="0" t="n">
        <v>261</v>
      </c>
      <c r="E1175" s="0" t="str">
        <f aca="false">VLOOKUP(C1175,$A$2:$C$1152,3,0)</f>
        <v>a = Client().post('/recipes/panchratna-dry/detail/', {'recipe' : '53', 'ingredient' : '72', 'name' : 'Everest chat masala', 'mass_unit' : '5', 'mass_quantity' : '2', 'volume_unit' : '', 'volume_quantity' : '0', 'pieces_unit' : '', 'pieces_quantity' : '0', 'cooking_notes' : ''}).status_code; print('%s :: %s :: %s :: %s :: %s' %(a,261,'Everest chat masala','everest chat masala','Panchratna Dry'))</v>
      </c>
    </row>
    <row r="1176" customFormat="false" ht="13.8" hidden="false" customHeight="false" outlineLevel="0" collapsed="false">
      <c r="A1176" s="0" t="n">
        <v>200</v>
      </c>
      <c r="C1176" s="0" t="n">
        <v>262</v>
      </c>
      <c r="E1176" s="0" t="str">
        <f aca="false">VLOOKUP(C1176,$A$2:$C$1152,3,0)</f>
        <v>a = Client().post('/recipes/panchratna-dry/detail/', {'recipe' : '53', 'ingredient' : '129', 'name' : 'Lemon juice', 'mass_unit' : '5', 'mass_quantity' : '2.5', 'volume_unit' : '', 'volume_quantity' : '0', 'pieces_unit' : '', 'pieces_quantity' : '0', 'cooking_notes' : ''}).status_code; print('%s :: %s :: %s :: %s :: %s' %(a,262,'Lemon juice','lemon','Panchratna Dry'))</v>
      </c>
    </row>
    <row r="1177" customFormat="false" ht="13.8" hidden="false" customHeight="false" outlineLevel="0" collapsed="false">
      <c r="A1177" s="0" t="n">
        <v>200</v>
      </c>
      <c r="C1177" s="0" t="n">
        <v>306</v>
      </c>
      <c r="E1177" s="0" t="str">
        <f aca="false">VLOOKUP(C1177,$A$2:$C$1152,3,0)</f>
        <v>a = Client().post('/recipes/patol-white-gravy/detail/', {'recipe' : '56', 'ingredient' : '93', 'name' : 'Hari mirchi', 'mass_unit' : '', 'mass_quantity' : '0', 'volume_unit' : '7', 'volume_quantity' : '100', 'pieces_unit' : '', 'pieces_quantity' : '0', 'cooking_notes' : ''}).status_code; print('%s :: %s :: %s :: %s :: %s' %(a,306,'Hari mirchi','hari mirchi','Patol White Gravy'))</v>
      </c>
    </row>
    <row r="1178" customFormat="false" ht="13.8" hidden="false" customHeight="false" outlineLevel="0" collapsed="false">
      <c r="A1178" s="0" t="n">
        <v>200</v>
      </c>
      <c r="C1178" s="0" t="n">
        <v>333</v>
      </c>
      <c r="E1178" s="0" t="str">
        <f aca="false">VLOOKUP(C1178,$A$2:$C$1152,3,0)</f>
        <v>a = Client().post('/recipes/brokoli-sautee/detail/', {'recipe' : '12', 'ingredient' : '36', 'name' : 'Brokoli ', 'mass_unit' : '', 'mass_quantity' : '0', 'volume_unit' : '1', 'volume_quantity' : '18', 'pieces_unit' : '', 'pieces_quantity' : '0', 'cooking_notes' : ''}).status_code; print('%s :: %s :: %s :: %s :: %s' %(a,333,'Brokoli ','broccoli','Brokoli Sautee'))</v>
      </c>
    </row>
    <row r="1179" customFormat="false" ht="13.8" hidden="false" customHeight="false" outlineLevel="0" collapsed="false">
      <c r="A1179" s="0" t="n">
        <v>200</v>
      </c>
      <c r="C1179" s="0" t="n">
        <v>343</v>
      </c>
      <c r="E1179" s="0" t="str">
        <f aca="false">VLOOKUP(C1179,$A$2:$C$1152,3,0)</f>
        <v>a = Client().post('/recipes/kerela-round/detail/', {'recipe' : '36', 'ingredient' : '116', 'name' : 'Karela', 'mass_unit' : '', 'mass_quantity' : '0', 'volume_unit' : '1', 'volume_quantity' : '10', 'pieces_unit' : '', 'pieces_quantity' : '0', 'cooking_notes' : ''}).status_code; print('%s :: %s :: %s :: %s :: %s' %(a,343,'Karela','karela','Kerela Round'))</v>
      </c>
    </row>
    <row r="1180" customFormat="false" ht="13.8" hidden="false" customHeight="false" outlineLevel="0" collapsed="false">
      <c r="A1180" s="0" t="n">
        <v>200</v>
      </c>
      <c r="C1180" s="0" t="n">
        <v>354</v>
      </c>
      <c r="E1180" s="0" t="str">
        <f aca="false">VLOOKUP(C1180,$A$2:$C$1152,3,0)</f>
        <v>a = Client().post('/recipes/red-sak-badi/detail/', {'recipe' : '66', 'ingredient' : '169', 'name' : 'Red sak', 'mass_unit' : '', 'mass_quantity' : '0', 'volume_unit' : '', 'volume_quantity' : '0', 'pieces_unit' : '', 'pieces_quantity' : '40', 'cooking_notes' : 'chopped'}).status_code; print('%s :: %s :: %s :: %s :: %s' %(a,354,'Red sak','red sak','Red Sak Badi'))</v>
      </c>
    </row>
    <row r="1181" customFormat="false" ht="13.8" hidden="false" customHeight="false" outlineLevel="0" collapsed="false">
      <c r="A1181" s="0" t="n">
        <v>200</v>
      </c>
      <c r="C1181" s="0" t="n">
        <v>444</v>
      </c>
      <c r="E1181" s="0" t="str">
        <f aca="false">VLOOKUP(C1181,$A$2:$C$1152,3,0)</f>
        <v>a = Client().post('/recipes/matar-ki-dal/detail/', {'recipe' : '45', 'ingredient' : '81', 'name' : 'Ghee ', 'mass_unit' : '', 'mass_quantity' : '0', 'volume_unit' : '1', 'volume_quantity' : '0.5', 'pieces_unit' : '', 'pieces_quantity' : '0', 'cooking_notes' : ''}).status_code; print('%s :: %s :: %s :: %s :: %s' %(a,444,'Ghee ','ghee','Matar Ki Dal'))</v>
      </c>
    </row>
    <row r="1182" customFormat="false" ht="13.8" hidden="false" customHeight="false" outlineLevel="0" collapsed="false">
      <c r="A1182" s="0" t="n">
        <v>200</v>
      </c>
      <c r="C1182" s="0" t="n">
        <v>549</v>
      </c>
      <c r="E1182" s="0" t="str">
        <f aca="false">VLOOKUP(C1182,$A$2:$C$1152,3,0)</f>
        <v>a = Client().post('/recipes/moong-dal-dossa/detail/', {'recipe' : '48', 'ingredient' : '26', 'name' : 'Batter yield', 'mass_unit' : '', 'mass_quantity' : '0', 'volume_unit' : '4', 'volume_quantity' : '0.3', 'pieces_unit' : '', 'pieces_quantity' : '0', 'cooking_notes' : ''}).status_code; print('%s :: %s :: %s :: %s :: %s' %(a,549,'Batter yield','batter yield','Moong Dal Dossa'))</v>
      </c>
    </row>
    <row r="1183" customFormat="false" ht="13.8" hidden="false" customHeight="false" outlineLevel="0" collapsed="false">
      <c r="A1183" s="0" t="n">
        <v>200</v>
      </c>
      <c r="C1183" s="0" t="n">
        <v>561</v>
      </c>
      <c r="E1183" s="0" t="str">
        <f aca="false">VLOOKUP(C1183,$A$2:$C$1152,3,0)</f>
        <v>a = Client().post('/recipes/tomato-chutni/detail/', {'recipe' : '81', 'ingredient' : '194', 'name' : 'Til oil', 'mass_unit' : '', 'mass_quantity' : '0', 'volume_unit' : '1', 'volume_quantity' : '0.1', 'pieces_unit' : '', 'pieces_quantity' : '0', 'cooking_notes' : ''}).status_code; print('%s :: %s :: %s :: %s :: %s' %(a,561,'Til oil','til oil','Tomato Chutni'))</v>
      </c>
    </row>
    <row r="1184" customFormat="false" ht="13.8" hidden="false" customHeight="false" outlineLevel="0" collapsed="false">
      <c r="A1184" s="0" t="n">
        <v>200</v>
      </c>
      <c r="C1184" s="0" t="n">
        <v>626</v>
      </c>
      <c r="E1184" s="0" t="str">
        <f aca="false">VLOOKUP(C1184,$A$2:$C$1152,3,0)</f>
        <v>a = Client().post('/recipes/minestrone-soup/detail/', {'recipe' : '46', 'ingredient' : '79', 'name' : 'Gajar', 'mass_unit' : '2', 'mass_quantity' : '1', 'volume_unit' : '', 'volume_quantity' : '0', 'pieces_unit' : '', 'pieces_quantity' : '0', 'cooking_notes' : ''}).status_code; print('%s :: %s :: %s :: %s :: %s' %(a,626,'Gajar','gajar','Minestrone soup'))</v>
      </c>
    </row>
    <row r="1185" customFormat="false" ht="13.8" hidden="false" customHeight="false" outlineLevel="0" collapsed="false">
      <c r="A1185" s="0" t="n">
        <v>200</v>
      </c>
      <c r="C1185" s="0" t="n">
        <v>632</v>
      </c>
      <c r="E1185" s="0" t="str">
        <f aca="false">VLOOKUP(C1185,$A$2:$C$1152,3,0)</f>
        <v>a = Client().post('/recipes/minestrone-soup/detail/', {'recipe' : '46', 'ingredient' : '45', 'name' : 'Chopped Celery Stick', 'mass_unit' : '', 'mass_quantity' : '0', 'volume_unit' : '1', 'volume_quantity' : '1', 'pieces_unit' : '', 'pieces_quantity' : '0', 'cooking_notes' : ''}).status_code; print('%s :: %s :: %s :: %s :: %s' %(a,632,'Chopped Celery Stick','celery stick','Minestrone soup'))</v>
      </c>
    </row>
    <row r="1186" customFormat="false" ht="13.8" hidden="false" customHeight="false" outlineLevel="0" collapsed="false">
      <c r="A1186" s="0" t="n">
        <v>200</v>
      </c>
      <c r="C1186" s="0" t="n">
        <v>758</v>
      </c>
      <c r="E1186" s="0" t="str">
        <f aca="false">VLOOKUP(C1186,$A$2:$C$1152,3,0)</f>
        <v>a = Client().post('/recipes/biryani-dum-layer/detail/', {'recipe' : '10', 'ingredient' : '142', 'name' : 'Mawa', 'mass_unit' : '7', 'mass_quantity' : '100', 'volume_unit' : '', 'volume_quantity' : '0', 'pieces_unit' : '', 'pieces_quantity' : '0', 'cooking_notes' : ''}).status_code; print('%s :: %s :: %s :: %s :: %s' %(a,758,'Mawa','mawa','Biryani Dum Layer'))</v>
      </c>
    </row>
    <row r="1187" customFormat="false" ht="13.8" hidden="false" customHeight="false" outlineLevel="0" collapsed="false">
      <c r="A1187" s="0" t="n">
        <v>200</v>
      </c>
      <c r="C1187" s="0" t="n">
        <v>759</v>
      </c>
      <c r="E1187" s="0" t="str">
        <f aca="false">VLOOKUP(C1187,$A$2:$C$1152,3,0)</f>
        <v>a = Client().post('/recipes/biryani-dum-layer/detail/', {'recipe' : '10', 'ingredient' : '12', 'name' : 'Amul Butter', 'mass_unit' : '2', 'mass_quantity' : '0.5', 'volume_unit' : '', 'volume_quantity' : '0', 'pieces_unit' : '', 'pieces_quantity' : '0', 'cooking_notes' : ''}).status_code; print('%s :: %s :: %s :: %s :: %s' %(a,759,'Amul Butter','amul butter','Biryani Dum Layer'))</v>
      </c>
    </row>
    <row r="1188" customFormat="false" ht="13.8" hidden="false" customHeight="false" outlineLevel="0" collapsed="false">
      <c r="A1188" s="0" t="n">
        <v>200</v>
      </c>
      <c r="C1188" s="0" t="n">
        <v>760</v>
      </c>
      <c r="E1188" s="0" t="str">
        <f aca="false">VLOOKUP(C1188,$A$2:$C$1152,3,0)</f>
        <v>a = Client().post('/recipes/biryani-dum-layer/detail/', {'recipe' : '10', 'ingredient' : '13', 'name' : 'Amul Fresh Cream', 'mass_unit' : '', 'mass_quantity' : '0', 'volume_unit' : '1', 'volume_quantity' : '0.2', 'pieces_unit' : '', 'pieces_quantity' : '0', 'cooking_notes' : ''}).status_code; print('%s :: %s :: %s :: %s :: %s' %(a,760,'Amul Fresh Cream','amul fresh cream','Biryani Dum Layer'))</v>
      </c>
    </row>
    <row r="1189" customFormat="false" ht="13.8" hidden="false" customHeight="false" outlineLevel="0" collapsed="false">
      <c r="A1189" s="0" t="n">
        <v>200</v>
      </c>
      <c r="C1189" s="0" t="n">
        <v>762</v>
      </c>
      <c r="E1189" s="0" t="str">
        <f aca="false">VLOOKUP(C1189,$A$2:$C$1152,3,0)</f>
        <v>a = Client().post('/recipes/biryani-dum-layer/detail/', {'recipe' : '10', 'ingredient' : '59', 'name' : 'Curd', 'mass_unit' : '2', 'mass_quantity' : '0.6', 'volume_unit' : '', 'volume_quantity' : '0', 'pieces_unit' : '', 'pieces_quantity' : '0', 'cooking_notes' : ''}).status_code; print('%s :: %s :: %s :: %s :: %s' %(a,762,'Curd','dahi','Biryani Dum Layer'))</v>
      </c>
    </row>
    <row r="1190" customFormat="false" ht="13.8" hidden="false" customHeight="false" outlineLevel="0" collapsed="false">
      <c r="A1190" s="0" t="n">
        <v>200</v>
      </c>
      <c r="C1190" s="0" t="n">
        <v>1038</v>
      </c>
      <c r="E1190" s="0" t="str">
        <f aca="false">VLOOKUP(C1190,$A$2:$C$1152,3,0)</f>
        <v>a = Client().post('/recipes/sushila-bhel/detail/', {'recipe' : '74', 'ingredient' : '177', 'name' : 'salt', 'mass_unit' : '', 'mass_quantity' : '0', 'volume_unit' : '5', 'volume_quantity' : '6', 'pieces_unit' : '', 'pieces_quantity' : '0', 'cooking_notes' : ''}).status_code; print('%s :: %s :: %s :: %s :: %s' %(a,1038,'salt','salt','Sushila Bhel'))</v>
      </c>
    </row>
    <row r="1191" customFormat="false" ht="13.8" hidden="false" customHeight="false" outlineLevel="0" collapsed="false">
      <c r="A1191" s="0" t="n">
        <v>200</v>
      </c>
      <c r="C1191" s="0" t="n">
        <v>1110</v>
      </c>
      <c r="E1191" s="0" t="str">
        <f aca="false">VLOOKUP(C1191,$A$2:$C$1152,3,0)</f>
        <v>a = Client().post('/recipes/dhokla/detail/', {'recipe' : '19', 'ingredient' : '187', 'name' : 'sugar', 'mass_unit' : '7', 'mass_quantity' : '500', 'volume_unit' : '', 'volume_quantity' : '0', 'pieces_unit' : '', 'pieces_quantity' : '0', 'cooking_notes' : ''}).status_code; print('%s :: %s :: %s :: %s :: %s' %(a,1110,'sugar','sugar','DHOKLA'))</v>
      </c>
    </row>
    <row r="1192" customFormat="false" ht="13.8" hidden="false" customHeight="false" outlineLevel="0" collapsed="false">
      <c r="A1192" s="0" t="n">
        <v>200</v>
      </c>
      <c r="C1192" s="0" t="n">
        <v>1181</v>
      </c>
      <c r="E1192" s="0" t="str">
        <f aca="false">VLOOKUP(C1192,$A$2:$C$1152,3,0)</f>
        <v>a = Client().post('/recipes/gauranga-fried-rice/detail/', {'recipe' : '26', 'ingredient' : '170', 'name' : 'rice', 'mass_unit' : '2', 'mass_quantity' : '4.25', 'volume_unit' : '', 'volume_quantity' : '0', 'pieces_unit' : '', 'pieces_quantity' : '0', 'cooking_notes' : ''}).status_code; print('%s :: %s :: %s :: %s :: %s' %(a,1181,'rice','rice','Gauranga fried  Rice'))</v>
      </c>
    </row>
    <row r="1193" customFormat="false" ht="13.8" hidden="false" customHeight="false" outlineLevel="0" collapsed="false">
      <c r="A1193" s="0" t="n">
        <v>200</v>
      </c>
      <c r="C1193" s="0" t="n">
        <v>1182</v>
      </c>
      <c r="E1193" s="0" t="str">
        <f aca="false">VLOOKUP(C1193,$A$2:$C$1152,3,0)</f>
        <v>a = Client().post('/recipes/gauranga-fried-rice/detail/', {'recipe' : '26', 'ingredient' : '91', 'name' : 'haldi', 'mass_unit' : '', 'mass_quantity' : '0', 'volume_unit' : '5', 'volume_quantity' : '0.3', 'pieces_unit' : '', 'pieces_quantity' : '0', 'cooking_notes' : ''}).status_code; print('%s :: %s :: %s :: %s :: %s' %(a,1182,'haldi','haldi','Gauranga fried  Rice'))</v>
      </c>
    </row>
    <row r="1194" customFormat="false" ht="13.8" hidden="false" customHeight="false" outlineLevel="0" collapsed="false">
      <c r="A1194" s="0" t="n">
        <v>200</v>
      </c>
      <c r="C1194" s="0" t="n">
        <v>1183</v>
      </c>
      <c r="E1194" s="0" t="str">
        <f aca="false">VLOOKUP(C1194,$A$2:$C$1152,3,0)</f>
        <v>a = Client().post('/recipes/gauranga-fried-rice/detail/', {'recipe' : '26', 'ingredient' : '164', 'name' : 'rai', 'mass_unit' : '', 'mass_quantity' : '0', 'volume_unit' : '5', 'volume_quantity' : '0.3', 'pieces_unit' : '', 'pieces_quantity' : '0', 'cooking_notes' : ''}).status_code; print('%s :: %s :: %s :: %s :: %s' %(a,1183,'rai','rai','Gauranga fried  Rice'))</v>
      </c>
    </row>
    <row r="1195" customFormat="false" ht="13.8" hidden="false" customHeight="false" outlineLevel="0" collapsed="false">
      <c r="A1195" s="0" t="n">
        <v>200</v>
      </c>
      <c r="C1195" s="0" t="n">
        <v>1184</v>
      </c>
      <c r="E1195" s="0" t="str">
        <f aca="false">VLOOKUP(C1195,$A$2:$C$1152,3,0)</f>
        <v>a = Client().post('/recipes/gauranga-fried-rice/detail/', {'recipe' : '26', 'ingredient' : '102', 'name' : 'jeera', 'mass_unit' : '', 'mass_quantity' : '0', 'volume_unit' : '5', 'volume_quantity' : '0.3', 'pieces_unit' : '', 'pieces_quantity' : '0', 'cooking_notes' : ''}).status_code; print('%s :: %s :: %s :: %s :: %s' %(a,1184,'jeera','jeera','Gauranga fried  Rice'))</v>
      </c>
    </row>
    <row r="1196" customFormat="false" ht="13.8" hidden="false" customHeight="false" outlineLevel="0" collapsed="false">
      <c r="A1196" s="0" t="n">
        <v>200</v>
      </c>
      <c r="C1196" s="0" t="n">
        <v>1185</v>
      </c>
      <c r="E1196" s="0" t="str">
        <f aca="false">VLOOKUP(C1196,$A$2:$C$1152,3,0)</f>
        <v>a = Client().post('/recipes/gauranga-fried-rice/detail/', {'recipe' : '26', 'ingredient' : '117', 'name' : 'kashmiri chilly PWD', 'mass_unit' : '', 'mass_quantity' : '0', 'volume_unit' : '5', 'volume_quantity' : '0.3', 'pieces_unit' : '', 'pieces_quantity' : '0', 'cooking_notes' : ''}).status_code; print('%s :: %s :: %s :: %s :: %s' %(a,1185,'kashmiri chilly PWD','kashmiri chilly powder','Gauranga fried  Rice'))</v>
      </c>
    </row>
    <row r="1197" customFormat="false" ht="13.8" hidden="false" customHeight="false" outlineLevel="0" collapsed="false">
      <c r="A1197" s="0" t="n">
        <v>200</v>
      </c>
      <c r="C1197" s="0" t="n">
        <v>1186</v>
      </c>
      <c r="E1197" s="0" t="str">
        <f aca="false">VLOOKUP(C1197,$A$2:$C$1152,3,0)</f>
        <v>a = Client().post('/recipes/gauranga-fried-rice/detail/', {'recipe' : '26', 'ingredient' : '95', 'name' : 'hing', 'mass_unit' : '', 'mass_quantity' : '0', 'volume_unit' : '5', 'volume_quantity' : '0.2', 'pieces_unit' : '', 'pieces_quantity' : '0', 'cooking_notes' : ''}).status_code; print('%s :: %s :: %s :: %s :: %s' %(a,1186,'hing','hing','Gauranga fried  Rice'))</v>
      </c>
    </row>
    <row r="1198" customFormat="false" ht="13.8" hidden="false" customHeight="false" outlineLevel="0" collapsed="false">
      <c r="A1198" s="0" t="n">
        <v>200</v>
      </c>
      <c r="C1198" s="0" t="n">
        <v>1187</v>
      </c>
      <c r="E1198" s="0" t="str">
        <f aca="false">VLOOKUP(C1198,$A$2:$C$1152,3,0)</f>
        <v>a = Client().post('/recipes/gauranga-fried-rice/detail/', {'recipe' : '26', 'ingredient' : '177', 'name' : 'salt', 'mass_unit' : '', 'mass_quantity' : '0', 'volume_unit' : '5', 'volume_quantity' : '1.2', 'pieces_unit' : '', 'pieces_quantity' : '0', 'cooking_notes' : ''}).status_code; print('%s :: %s :: %s :: %s :: %s' %(a,1187,'salt','salt','Gauranga fried  Rice'))</v>
      </c>
    </row>
    <row r="1199" customFormat="false" ht="13.8" hidden="false" customHeight="false" outlineLevel="0" collapsed="false">
      <c r="A1199" s="0" t="n">
        <v>200</v>
      </c>
      <c r="C1199" s="0" t="n">
        <v>1352</v>
      </c>
      <c r="E1199" s="0" t="str">
        <f aca="false">VLOOKUP(C1199,$A$2:$C$1152,3,0)</f>
        <v>a = Client().post('/recipes/red-chutney/detail/', {'recipe' : '65', 'ingredient' : '80', 'name' : 'garam masala', 'mass_unit' : '', 'mass_quantity' : '0', 'volume_unit' : '', 'volume_quantity' : '0', 'pieces_unit' : '', 'pieces_quantity' : '0', 'cooking_notes' : ''}).status_code; print('%s :: %s :: %s :: %s :: %s' %(a,1352,'garam masala','garam masala','RED CHUTNEY'))</v>
      </c>
    </row>
    <row r="1206" customFormat="false" ht="13.8" hidden="false" customHeight="false" outlineLevel="0" collapsed="false">
      <c r="C1206" s="0" t="n">
        <v>64</v>
      </c>
      <c r="E1206" s="0" t="str">
        <f aca="false">VLOOKUP(C1206,recipedetails!AK:AM,3,0)</f>
        <v>a = Client().post('/recipes/alu-flower-gravy-ekadashi/detail/', {'recipe' : '90', 'ingredient' : '78', 'name' : 'Flower', 'mass_unit' : '2', 'mass_quantity' : '0', 'volume_unit' : '1', 'volume_quantity' : '11.667', 'pieces_unit' : '3', 'pieces_quantity' : '0', 'cooking_notes' : '(deep fried)'}).status_code; print('%s :: %s :: %s :: %s :: %s' %(a,64,'Flower','flower','Alu Flower Gravy (Ekadashi)'))</v>
      </c>
    </row>
    <row r="1207" customFormat="false" ht="13.8" hidden="false" customHeight="false" outlineLevel="0" collapsed="false">
      <c r="B1207" s="0" t="n">
        <v>78</v>
      </c>
      <c r="C1207" s="0" t="n">
        <v>78</v>
      </c>
      <c r="E1207" s="0" t="str">
        <f aca="false">VLOOKUP(C1207,recipedetails!AK:AM,3,0)</f>
        <v>a = Client().post('/recipes/alu-flower-gravy-ekadashi/detail/', {'recipe' : '90', 'ingredient' : '83', 'name' : 'Oil for frying', 'mass_unit' : '2', 'mass_quantity' : '0', 'volume_unit' : '1', 'volume_quantity' : '0', 'pieces_unit' : '3', 'pieces_quantity' : '0', 'cooking_notes' : ''}).status_code; print('%s :: %s :: %s :: %s :: %s' %(a,78,'Oil for frying','gound nut oil','Alu Flower Gravy (Ekadashi)'))</v>
      </c>
    </row>
    <row r="1208" customFormat="false" ht="13.8" hidden="false" customHeight="false" outlineLevel="0" collapsed="false">
      <c r="B1208" s="0" t="n">
        <v>122</v>
      </c>
      <c r="C1208" s="0" t="n">
        <v>122</v>
      </c>
      <c r="E1208" s="0" t="str">
        <f aca="false">VLOOKUP(C1208,recipedetails!AK:AM,3,0)</f>
        <v>a = Client().post('/recipes/pav-bhaji-bhaji/detail/', {'recipe' : '60', 'ingredient' : '83', 'name' : 'Oil', 'mass_unit' : '2', 'mass_quantity' : '0', 'volume_unit' : '1', 'volume_quantity' : '2.5', 'pieces_unit' : '3', 'pieces_quantity' : '0', 'cooking_notes' : ''}).status_code; print('%s :: %s :: %s :: %s :: %s' %(a,122,'Oil','gound nut oil','Pav Bhaji Bhaji'))</v>
      </c>
    </row>
    <row r="1209" customFormat="false" ht="13.8" hidden="false" customHeight="false" outlineLevel="0" collapsed="false">
      <c r="B1209" s="0" t="n">
        <v>174</v>
      </c>
      <c r="C1209" s="0" t="n">
        <v>174</v>
      </c>
      <c r="E1209" s="0" t="str">
        <f aca="false">VLOOKUP(C1209,recipedetails!AK:AM,3,0)</f>
        <v>a = Client().post('/recipes/jp-khichadi/detail/', {'recipe' : '35', 'ingredient' : '54', 'name' : 'Coconuts', 'mass_unit' : '2', 'mass_quantity' : '0', 'volume_unit' : '1', 'volume_quantity' : '0', 'pieces_unit' : '3', 'pieces_quantity' : '4', 'cooking_notes' : ''}).status_code; print('%s :: %s :: %s :: %s :: %s' %(a,174,'Coconuts','coconut','JP Khichadi'))</v>
      </c>
    </row>
    <row r="1210" customFormat="false" ht="13.8" hidden="false" customHeight="false" outlineLevel="0" collapsed="false">
      <c r="B1210" s="0" t="n">
        <v>250</v>
      </c>
      <c r="C1210" s="0" t="n">
        <v>250</v>
      </c>
      <c r="E1210" s="0" t="str">
        <f aca="false">VLOOKUP(C1210,recipedetails!AK:AM,3,0)</f>
        <v>a = Client().post('/recipes/panchratna-dry/detail/', {'recipe' : '53', 'ingredient' : '83', 'name' : 'Oil', 'mass_unit' : '2', 'mass_quantity' : '0', 'volume_unit' : '1', 'volume_quantity' : '1', 'pieces_unit' : '3', 'pieces_quantity' : '0', 'cooking_notes' : ''}).status_code; print('%s :: %s :: %s :: %s :: %s' %(a,250,'Oil','gound nut oil','Panchratna Dry'))</v>
      </c>
    </row>
    <row r="1211" customFormat="false" ht="13.8" hidden="false" customHeight="false" outlineLevel="0" collapsed="false">
      <c r="B1211" s="0" t="n">
        <v>251</v>
      </c>
      <c r="C1211" s="0" t="n">
        <v>251</v>
      </c>
      <c r="E1211" s="0" t="str">
        <f aca="false">VLOOKUP(C1211,recipedetails!AK:AM,3,0)</f>
        <v>a = Client().post('/recipes/panchratna-dry/detail/', {'recipe' : '53', 'ingredient' : '95', 'name' : 'Hing', 'mass_unit' : '2', 'mass_quantity' : '0', 'volume_unit' : '5', 'volume_quantity' : '0.3', 'pieces_unit' : '3', 'pieces_quantity' : '0', 'cooking_notes' : ''}).status_code; print('%s :: %s :: %s :: %s :: %s' %(a,251,'Hing','hing','Panchratna Dry'))</v>
      </c>
    </row>
    <row r="1212" customFormat="false" ht="13.8" hidden="false" customHeight="false" outlineLevel="0" collapsed="false">
      <c r="B1212" s="0" t="n">
        <v>252</v>
      </c>
      <c r="C1212" s="0" t="n">
        <v>252</v>
      </c>
      <c r="E1212" s="0" t="str">
        <f aca="false">VLOOKUP(C1212,recipedetails!AK:AM,3,0)</f>
        <v>a = Client().post('/recipes/panchratna-dry/detail/', {'recipe' : '53', 'ingredient' : '93', 'name' : 'Hari mirchi', 'mass_unit' : '2', 'mass_quantity' : '0', 'volume_unit' : '5', 'volume_quantity' : '1', 'pieces_unit' : '3', 'pieces_quantity' : '0', 'cooking_notes' : 'fine chopped'}).status_code; print('%s :: %s :: %s :: %s :: %s' %(a,252,'Hari mirchi','hari mirchi','Panchratna Dry'))</v>
      </c>
    </row>
    <row r="1213" customFormat="false" ht="13.8" hidden="false" customHeight="false" outlineLevel="0" collapsed="false">
      <c r="B1213" s="0" t="n">
        <v>253</v>
      </c>
      <c r="C1213" s="0" t="n">
        <v>253</v>
      </c>
      <c r="E1213" s="0" t="str">
        <f aca="false">VLOOKUP(C1213,recipedetails!AK:AM,3,0)</f>
        <v>a = Client().post('/recipes/panchratna-dry/detail/', {'recipe' : '53', 'ingredient' : '1', 'name' : 'Adrak paste', 'mass_unit' : '2', 'mass_quantity' : '0', 'volume_unit' : '1', 'volume_quantity' : '0.5', 'pieces_unit' : '3', 'pieces_quantity' : '0', 'cooking_notes' : ''}).status_code; print('%s :: %s :: %s :: %s :: %s' %(a,253,'Adrak paste','adrak','Panchratna Dry'))</v>
      </c>
    </row>
    <row r="1214" customFormat="false" ht="13.8" hidden="false" customHeight="false" outlineLevel="0" collapsed="false">
      <c r="B1214" s="0" t="n">
        <v>254</v>
      </c>
      <c r="C1214" s="0" t="n">
        <v>254</v>
      </c>
      <c r="E1214" s="0" t="str">
        <f aca="false">VLOOKUP(C1214,recipedetails!AK:AM,3,0)</f>
        <v>a = Client().post('/recipes/panchratna-dry/detail/', {'recipe' : '53', 'ingredient' : '103', 'name' : 'Jeera powder', 'mass_unit' : '2', 'mass_quantity' : '0', 'volume_unit' : '5', 'volume_quantity' : '0.75', 'pieces_unit' : '3', 'pieces_quantity' : '0', 'cooking_notes' : ''}).status_code; print('%s :: %s :: %s :: %s :: %s' %(a,254,'Jeera powder','jeera powder','Panchratna Dry'))</v>
      </c>
    </row>
    <row r="1215" customFormat="false" ht="13.8" hidden="false" customHeight="false" outlineLevel="0" collapsed="false">
      <c r="B1215" s="0" t="n">
        <v>255</v>
      </c>
      <c r="C1215" s="0" t="n">
        <v>255</v>
      </c>
      <c r="E1215" s="0" t="str">
        <f aca="false">VLOOKUP(C1215,recipedetails!AK:AM,3,0)</f>
        <v>a = Client().post('/recipes/panchratna-dry/detail/', {'recipe' : '53', 'ingredient' : '67', 'name' : 'Dhania powder', 'mass_unit' : '2', 'mass_quantity' : '0', 'volume_unit' : '5', 'volume_quantity' : '1', 'pieces_unit' : '3', 'pieces_quantity' : '0', 'cooking_notes' : ''}).status_code; print('%s :: %s :: %s :: %s :: %s' %(a,255,'Dhania powder','dhaniya powder','Panchratna Dry'))</v>
      </c>
    </row>
    <row r="1216" customFormat="false" ht="13.8" hidden="false" customHeight="false" outlineLevel="0" collapsed="false">
      <c r="B1216" s="0" t="n">
        <v>256</v>
      </c>
      <c r="C1216" s="0" t="n">
        <v>256</v>
      </c>
      <c r="E1216" s="0" t="str">
        <f aca="false">VLOOKUP(C1216,recipedetails!AK:AM,3,0)</f>
        <v>a = Client().post('/recipes/panchratna-dry/detail/', {'recipe' : '53', 'ingredient' : '135', 'name' : 'Red chilli powder', 'mass_unit' : '2', 'mass_quantity' : '0', 'volume_unit' : '5', 'volume_quantity' : '0.5', 'pieces_unit' : '3', 'pieces_quantity' : '0', 'cooking_notes' : ''}).status_code; print('%s :: %s :: %s :: %s :: %s' %(a,256,'Red chilli powder','madrasi mirchi powder','Panchratna Dry'))</v>
      </c>
    </row>
    <row r="1217" customFormat="false" ht="13.8" hidden="false" customHeight="false" outlineLevel="0" collapsed="false">
      <c r="B1217" s="0" t="n">
        <v>257</v>
      </c>
      <c r="C1217" s="0" t="n">
        <v>257</v>
      </c>
      <c r="E1217" s="0" t="str">
        <f aca="false">VLOOKUP(C1217,recipedetails!AK:AM,3,0)</f>
        <v>a = Client().post('/recipes/panchratna-dry/detail/', {'recipe' : '53', 'ingredient' : '91', 'name' : 'Haldi', 'mass_unit' : '2', 'mass_quantity' : '0', 'volume_unit' : '5', 'volume_quantity' : '0.6', 'pieces_unit' : '3', 'pieces_quantity' : '0', 'cooking_notes' : ''}).status_code; print('%s :: %s :: %s :: %s :: %s' %(a,257,'Haldi','haldi','Panchratna Dry'))</v>
      </c>
    </row>
    <row r="1218" customFormat="false" ht="13.8" hidden="false" customHeight="false" outlineLevel="0" collapsed="false">
      <c r="B1218" s="0" t="n">
        <v>258</v>
      </c>
      <c r="C1218" s="0" t="n">
        <v>258</v>
      </c>
      <c r="E1218" s="0" t="str">
        <f aca="false">VLOOKUP(C1218,recipedetails!AK:AM,3,0)</f>
        <v>a = Client().post('/recipes/panchratna-dry/detail/', {'recipe' : '53', 'ingredient' : '117', 'name' : 'Kashmiri powder', 'mass_unit' : '2', 'mass_quantity' : '0', 'volume_unit' : '5', 'volume_quantity' : '0.75', 'pieces_unit' : '3', 'pieces_quantity' : '0', 'cooking_notes' : ''}).status_code; print('%s :: %s :: %s :: %s :: %s' %(a,258,'Kashmiri powder','kashmiri chilly powder','Panchratna Dry'))</v>
      </c>
    </row>
    <row r="1219" customFormat="false" ht="13.8" hidden="false" customHeight="false" outlineLevel="0" collapsed="false">
      <c r="B1219" s="0" t="n">
        <v>259</v>
      </c>
      <c r="C1219" s="0" t="n">
        <v>259</v>
      </c>
      <c r="E1219" s="0" t="str">
        <f aca="false">VLOOKUP(C1219,recipedetails!AK:AM,3,0)</f>
        <v>a = Client().post('/recipes/panchratna-dry/detail/', {'recipe' : '53', 'ingredient' : '177', 'name' : 'Salt', 'mass_unit' : '2', 'mass_quantity' : '0', 'volume_unit' : '5', 'volume_quantity' : '1', 'pieces_unit' : '3', 'pieces_quantity' : '0', 'cooking_notes' : ''}).status_code; print('%s :: %s :: %s :: %s :: %s' %(a,259,'Salt','salt','Panchratna Dry'))</v>
      </c>
    </row>
    <row r="1220" customFormat="false" ht="13.8" hidden="false" customHeight="false" outlineLevel="0" collapsed="false">
      <c r="B1220" s="0" t="n">
        <v>260</v>
      </c>
      <c r="C1220" s="0" t="n">
        <v>260</v>
      </c>
      <c r="E1220" s="0" t="str">
        <f aca="false">VLOOKUP(C1220,recipedetails!AK:AM,3,0)</f>
        <v>a = Client().post('/recipes/panchratna-dry/detail/', {'recipe' : '53', 'ingredient' : '32', 'name' : 'Black salt', 'mass_unit' : '2', 'mass_quantity' : '0', 'volume_unit' : '5', 'volume_quantity' : '0.5', 'pieces_unit' : '3', 'pieces_quantity' : '0', 'cooking_notes' : ''}).status_code; print('%s :: %s :: %s :: %s :: %s' %(a,260,'Black salt','black salt','Panchratna Dry'))</v>
      </c>
    </row>
    <row r="1221" customFormat="false" ht="13.8" hidden="false" customHeight="false" outlineLevel="0" collapsed="false">
      <c r="B1221" s="0" t="n">
        <v>261</v>
      </c>
      <c r="C1221" s="0" t="n">
        <v>261</v>
      </c>
      <c r="E1221" s="0" t="str">
        <f aca="false">VLOOKUP(C1221,recipedetails!AK:AM,3,0)</f>
        <v>a = Client().post('/recipes/panchratna-dry/detail/', {'recipe' : '53', 'ingredient' : '72', 'name' : 'Everest chat masala', 'mass_unit' : '2', 'mass_quantity' : '0', 'volume_unit' : '5', 'volume_quantity' : '2', 'pieces_unit' : '3', 'pieces_quantity' : '0', 'cooking_notes' : ''}).status_code; print('%s :: %s :: %s :: %s :: %s' %(a,261,'Everest chat masala','everest chat masala','Panchratna Dry'))</v>
      </c>
    </row>
    <row r="1222" customFormat="false" ht="13.8" hidden="false" customHeight="false" outlineLevel="0" collapsed="false">
      <c r="B1222" s="0" t="n">
        <v>262</v>
      </c>
      <c r="C1222" s="0" t="n">
        <v>262</v>
      </c>
      <c r="E1222" s="0" t="str">
        <f aca="false">VLOOKUP(C1222,recipedetails!AK:AM,3,0)</f>
        <v>a = Client().post('/recipes/panchratna-dry/detail/', {'recipe' : '53', 'ingredient' : '129', 'name' : 'Lemon juice', 'mass_unit' : '2', 'mass_quantity' : '0', 'volume_unit' : '5', 'volume_quantity' : '2.5', 'pieces_unit' : '3', 'pieces_quantity' : '0', 'cooking_notes' : ''}).status_code; print('%s :: %s :: %s :: %s :: %s' %(a,262,'Lemon juice','lemon','Panchratna Dry'))</v>
      </c>
    </row>
    <row r="1223" customFormat="false" ht="13.8" hidden="false" customHeight="false" outlineLevel="0" collapsed="false">
      <c r="B1223" s="0" t="n">
        <v>306</v>
      </c>
      <c r="C1223" s="0" t="n">
        <v>306</v>
      </c>
      <c r="E1223" s="0" t="str">
        <f aca="false">VLOOKUP(C1223,recipedetails!AK:AM,3,0)</f>
        <v>a = Client().post('/recipes/patol-white-gravy/detail/', {'recipe' : '56', 'ingredient' : '93', 'name' : 'Hari mirchi', 'mass_unit' : '7', 'mass_quantity' : '100', 'volume_unit' : '1', 'volume_quantity' : '0', 'pieces_unit' : '3', 'pieces_quantity' : '0', 'cooking_notes' : ''}).status_code; print('%s :: %s :: %s :: %s :: %s' %(a,306,'Hari mirchi','hari mirchi','Patol White Gravy'))</v>
      </c>
    </row>
    <row r="1224" customFormat="false" ht="13.8" hidden="false" customHeight="false" outlineLevel="0" collapsed="false">
      <c r="C1224" s="0" t="n">
        <v>333</v>
      </c>
      <c r="E1224" s="0" t="str">
        <f aca="false">VLOOKUP(C1224,recipedetails!AK:AM,3,0)</f>
        <v>a = Client().post('/recipes/brokoli-sautee/detail/', {'recipe' : '12', 'ingredient' : '36', 'name' : 'Brokoli ', 'mass_unit' : '2', 'mass_quantity' : '0', 'volume_unit' : '1', 'volume_quantity' : '18', 'pieces_unit' : '3', 'pieces_quantity' : '0', 'cooking_notes' : ''}).status_code; print('%s :: %s :: %s :: %s :: %s' %(a,333,'Brokoli ','broccoli','Brokoli Sautee'))</v>
      </c>
    </row>
    <row r="1225" customFormat="false" ht="13.8" hidden="false" customHeight="false" outlineLevel="0" collapsed="false">
      <c r="C1225" s="0" t="n">
        <v>343</v>
      </c>
      <c r="E1225" s="0" t="str">
        <f aca="false">VLOOKUP(C1225,recipedetails!AK:AM,3,0)</f>
        <v>a = Client().post('/recipes/kerela-round/detail/', {'recipe' : '36', 'ingredient' : '116', 'name' : 'Karela', 'mass_unit' : '2', 'mass_quantity' : '0', 'volume_unit' : '1', 'volume_quantity' : '10', 'pieces_unit' : '3', 'pieces_quantity' : '0', 'cooking_notes' : ''}).status_code; print('%s :: %s :: %s :: %s :: %s' %(a,343,'Karela','karela','Kerela Round'))</v>
      </c>
    </row>
    <row r="1226" customFormat="false" ht="13.8" hidden="false" customHeight="false" outlineLevel="0" collapsed="false">
      <c r="C1226" s="0" t="n">
        <v>354</v>
      </c>
      <c r="E1226" s="0" t="str">
        <f aca="false">VLOOKUP(C1226,recipedetails!AK:AM,3,0)</f>
        <v>a = Client().post('/recipes/red-sak-badi/detail/', {'recipe' : '66', 'ingredient' : '169', 'name' : 'Red sak', 'mass_unit' : '2', 'mass_quantity' : '0', 'volume_unit' : '1', 'volume_quantity' : '0', 'pieces_unit' : '8', 'pieces_quantity' : '40', 'cooking_notes' : 'chopped'}).status_code; print('%s :: %s :: %s :: %s :: %s' %(a,354,'Red sak','red sak','Red Sak Badi'))</v>
      </c>
    </row>
    <row r="1227" customFormat="false" ht="13.8" hidden="false" customHeight="false" outlineLevel="0" collapsed="false">
      <c r="C1227" s="0" t="n">
        <v>444</v>
      </c>
      <c r="E1227" s="0" t="str">
        <f aca="false">VLOOKUP(C1227,recipedetails!AK:AM,3,0)</f>
        <v>a = Client().post('/recipes/matar-ki-dal/detail/', {'recipe' : '45', 'ingredient' : '81', 'name' : 'Ghee ', 'mass_unit' : '2', 'mass_quantity' : '0', 'volume_unit' : '1', 'volume_quantity' : '0.5', 'pieces_unit' : '3', 'pieces_quantity' : '0', 'cooking_notes' : ''}).status_code; print('%s :: %s :: %s :: %s :: %s' %(a,444,'Ghee ','ghee','Matar Ki Dal'))</v>
      </c>
    </row>
    <row r="1228" customFormat="false" ht="13.8" hidden="false" customHeight="false" outlineLevel="0" collapsed="false">
      <c r="C1228" s="0" t="n">
        <v>549</v>
      </c>
      <c r="E1228" s="0" t="str">
        <f aca="false">VLOOKUP(C1228,recipedetails!AK:AM,3,0)</f>
        <v>a = Client().post('/recipes/moong-dal-dossa/detail/', {'recipe' : '48', 'ingredient' : '26', 'name' : 'Batter yield', 'mass_unit' : '2', 'mass_quantity' : '0', 'volume_unit' : '4', 'volume_quantity' : '0.3', 'pieces_unit' : '3', 'pieces_quantity' : '0', 'cooking_notes' : ''}).status_code; print('%s :: %s :: %s :: %s :: %s' %(a,549,'Batter yield','batter yield','Moong Dal Dossa'))</v>
      </c>
    </row>
    <row r="1229" customFormat="false" ht="13.8" hidden="false" customHeight="false" outlineLevel="0" collapsed="false">
      <c r="C1229" s="0" t="n">
        <v>561</v>
      </c>
      <c r="E1229" s="0" t="str">
        <f aca="false">VLOOKUP(C1229,recipedetails!AK:AM,3,0)</f>
        <v>a = Client().post('/recipes/tomato-chutni/detail/', {'recipe' : '81', 'ingredient' : '194', 'name' : 'Til oil', 'mass_unit' : '2', 'mass_quantity' : '0', 'volume_unit' : '1', 'volume_quantity' : '0.1', 'pieces_unit' : '3', 'pieces_quantity' : '0', 'cooking_notes' : ''}).status_code; print('%s :: %s :: %s :: %s :: %s' %(a,561,'Til oil','til oil','Tomato Chutni'))</v>
      </c>
    </row>
    <row r="1230" customFormat="false" ht="13.8" hidden="false" customHeight="false" outlineLevel="0" collapsed="false">
      <c r="C1230" s="0" t="n">
        <v>626</v>
      </c>
      <c r="E1230" s="0" t="str">
        <f aca="false">VLOOKUP(C1230,recipedetails!AK:AM,3,0)</f>
        <v>a = Client().post('/recipes/minestrone-soup/detail/', {'recipe' : '46', 'ingredient' : '79', 'name' : 'Gajar', 'mass_unit' : '2', 'mass_quantity' : '1', 'volume_unit' : '1', 'volume_quantity' : '0', 'pieces_unit' : '3', 'pieces_quantity' : '0', 'cooking_notes' : ''}).status_code; print('%s :: %s :: %s :: %s :: %s' %(a,626,'Gajar','gajar','Minestrone soup'))</v>
      </c>
    </row>
    <row r="1231" customFormat="false" ht="13.8" hidden="false" customHeight="false" outlineLevel="0" collapsed="false">
      <c r="C1231" s="0" t="n">
        <v>632</v>
      </c>
      <c r="E1231" s="0" t="str">
        <f aca="false">VLOOKUP(C1231,recipedetails!AK:AM,3,0)</f>
        <v>a = Client().post('/recipes/minestrone-soup/detail/', {'recipe' : '46', 'ingredient' : '45', 'name' : 'Chopped Celery Stick', 'mass_unit' : '2', 'mass_quantity' : '0', 'volume_unit' : '1', 'volume_quantity' : '1', 'pieces_unit' : '3', 'pieces_quantity' : '0', 'cooking_notes' : ''}).status_code; print('%s :: %s :: %s :: %s :: %s' %(a,632,'Chopped Celery Stick','celery stick','Minestrone soup'))</v>
      </c>
    </row>
    <row r="1232" customFormat="false" ht="13.8" hidden="false" customHeight="false" outlineLevel="0" collapsed="false">
      <c r="C1232" s="0" t="n">
        <v>758</v>
      </c>
      <c r="E1232" s="0" t="str">
        <f aca="false">VLOOKUP(C1232,recipedetails!AK:AM,3,0)</f>
        <v>a = Client().post('/recipes/biryani-dum-layer/detail/', {'recipe' : '10', 'ingredient' : '142', 'name' : 'Mawa', 'mass_unit' : '7', 'mass_quantity' : '100', 'volume_unit' : '1', 'volume_quantity' : '0', 'pieces_unit' : '3', 'pieces_quantity' : '0', 'cooking_notes' : ''}).status_code; print('%s :: %s :: %s :: %s :: %s' %(a,758,'Mawa','mawa','Biryani Dum Layer'))</v>
      </c>
    </row>
    <row r="1233" customFormat="false" ht="13.8" hidden="false" customHeight="false" outlineLevel="0" collapsed="false">
      <c r="C1233" s="0" t="n">
        <v>759</v>
      </c>
      <c r="E1233" s="0" t="str">
        <f aca="false">VLOOKUP(C1233,recipedetails!AK:AM,3,0)</f>
        <v>a = Client().post('/recipes/biryani-dum-layer/detail/', {'recipe' : '10', 'ingredient' : '12', 'name' : 'Amul Butter', 'mass_unit' : '2', 'mass_quantity' : '0.5', 'volume_unit' : '1', 'volume_quantity' : '0', 'pieces_unit' : '3', 'pieces_quantity' : '0', 'cooking_notes' : ''}).status_code; print('%s :: %s :: %s :: %s :: %s' %(a,759,'Amul Butter','amul butter','Biryani Dum Layer'))</v>
      </c>
    </row>
    <row r="1234" customFormat="false" ht="13.8" hidden="false" customHeight="false" outlineLevel="0" collapsed="false">
      <c r="C1234" s="0" t="n">
        <v>760</v>
      </c>
      <c r="E1234" s="0" t="str">
        <f aca="false">VLOOKUP(C1234,recipedetails!AK:AM,3,0)</f>
        <v>a = Client().post('/recipes/biryani-dum-layer/detail/', {'recipe' : '10', 'ingredient' : '13', 'name' : 'Amul Fresh Cream', 'mass_unit' : '2', 'mass_quantity' : '0', 'volume_unit' : '1', 'volume_quantity' : '0.2', 'pieces_unit' : '3', 'pieces_quantity' : '0', 'cooking_notes' : ''}).status_code; print('%s :: %s :: %s :: %s :: %s' %(a,760,'Amul Fresh Cream','amul fresh cream','Biryani Dum Layer'))</v>
      </c>
    </row>
    <row r="1235" customFormat="false" ht="13.8" hidden="false" customHeight="false" outlineLevel="0" collapsed="false">
      <c r="C1235" s="0" t="n">
        <v>762</v>
      </c>
      <c r="E1235" s="0" t="str">
        <f aca="false">VLOOKUP(C1235,recipedetails!AK:AM,3,0)</f>
        <v>a = Client().post('/recipes/biryani-dum-layer/detail/', {'recipe' : '10', 'ingredient' : '59', 'name' : 'Curd', 'mass_unit' : '2', 'mass_quantity' : '0.6', 'volume_unit' : '1', 'volume_quantity' : '0', 'pieces_unit' : '3', 'pieces_quantity' : '0', 'cooking_notes' : ''}).status_code; print('%s :: %s :: %s :: %s :: %s' %(a,762,'Curd','dahi','Biryani Dum Layer'))</v>
      </c>
    </row>
    <row r="1236" customFormat="false" ht="13.8" hidden="false" customHeight="false" outlineLevel="0" collapsed="false">
      <c r="C1236" s="0" t="n">
        <v>1038</v>
      </c>
      <c r="E1236" s="0" t="str">
        <f aca="false">VLOOKUP(C1236,recipedetails!AK:AM,3,0)</f>
        <v>a = Client().post('/recipes/sushila-bhel/detail/', {'recipe' : '74', 'ingredient' : '177', 'name' : 'salt', 'mass_unit' : '2', 'mass_quantity' : '0', 'volume_unit' : '5', 'volume_quantity' : '6', 'pieces_unit' : '3', 'pieces_quantity' : '0', 'cooking_notes' : ''}).status_code; print('%s :: %s :: %s :: %s :: %s' %(a,1038,'salt','salt','Sushila Bhel'))</v>
      </c>
    </row>
    <row r="1237" customFormat="false" ht="13.8" hidden="false" customHeight="false" outlineLevel="0" collapsed="false">
      <c r="C1237" s="0" t="n">
        <v>1110</v>
      </c>
      <c r="E1237" s="0" t="str">
        <f aca="false">VLOOKUP(C1237,recipedetails!AK:AM,3,0)</f>
        <v>a = Client().post('/recipes/dhokla/detail/', {'recipe' : '19', 'ingredient' : '187', 'name' : 'sugar', 'mass_unit' : '7', 'mass_quantity' : '500', 'volume_unit' : '1', 'volume_quantity' : '0', 'pieces_unit' : '3', 'pieces_quantity' : '0', 'cooking_notes' : ''}).status_code; print('%s :: %s :: %s :: %s :: %s' %(a,1110,'sugar','sugar','DHOKLA'))</v>
      </c>
    </row>
    <row r="1238" customFormat="false" ht="13.8" hidden="false" customHeight="false" outlineLevel="0" collapsed="false">
      <c r="C1238" s="0" t="n">
        <v>1181</v>
      </c>
      <c r="E1238" s="0" t="str">
        <f aca="false">VLOOKUP(C1238,recipedetails!AK:AM,3,0)</f>
        <v>a = Client().post('/recipes/gauranga-fried-rice/detail/', {'recipe' : '26', 'ingredient' : '170', 'name' : 'rice', 'mass_unit' : '2', 'mass_quantity' : '4.25', 'volume_unit' : '1', 'volume_quantity' : '0', 'pieces_unit' : '3', 'pieces_quantity' : '0', 'cooking_notes' : ''}).status_code; print('%s :: %s :: %s :: %s :: %s' %(a,1181,'rice','rice','Gauranga fried  Rice'))</v>
      </c>
    </row>
    <row r="1239" customFormat="false" ht="13.8" hidden="false" customHeight="false" outlineLevel="0" collapsed="false">
      <c r="C1239" s="0" t="n">
        <v>1182</v>
      </c>
      <c r="E1239" s="0" t="str">
        <f aca="false">VLOOKUP(C1239,recipedetails!AK:AM,3,0)</f>
        <v>a = Client().post('/recipes/gauranga-fried-rice/detail/', {'recipe' : '26', 'ingredient' : '91', 'name' : 'haldi', 'mass_unit' : '2', 'mass_quantity' : '0', 'volume_unit' : '5', 'volume_quantity' : '0.3', 'pieces_unit' : '3', 'pieces_quantity' : '0', 'cooking_notes' : ''}).status_code; print('%s :: %s :: %s :: %s :: %s' %(a,1182,'haldi','haldi','Gauranga fried  Rice'))</v>
      </c>
    </row>
    <row r="1240" customFormat="false" ht="13.8" hidden="false" customHeight="false" outlineLevel="0" collapsed="false">
      <c r="C1240" s="0" t="n">
        <v>1183</v>
      </c>
      <c r="E1240" s="0" t="str">
        <f aca="false">VLOOKUP(C1240,recipedetails!AK:AM,3,0)</f>
        <v>a = Client().post('/recipes/gauranga-fried-rice/detail/', {'recipe' : '26', 'ingredient' : '164', 'name' : 'rai', 'mass_unit' : '2', 'mass_quantity' : '0', 'volume_unit' : '5', 'volume_quantity' : '0.3', 'pieces_unit' : '3', 'pieces_quantity' : '0', 'cooking_notes' : ''}).status_code; print('%s :: %s :: %s :: %s :: %s' %(a,1183,'rai','rai','Gauranga fried  Rice'))</v>
      </c>
    </row>
    <row r="1241" customFormat="false" ht="13.8" hidden="false" customHeight="false" outlineLevel="0" collapsed="false">
      <c r="C1241" s="0" t="n">
        <v>1184</v>
      </c>
      <c r="E1241" s="0" t="str">
        <f aca="false">VLOOKUP(C1241,recipedetails!AK:AM,3,0)</f>
        <v>a = Client().post('/recipes/gauranga-fried-rice/detail/', {'recipe' : '26', 'ingredient' : '102', 'name' : 'jeera', 'mass_unit' : '2', 'mass_quantity' : '0', 'volume_unit' : '5', 'volume_quantity' : '0.3', 'pieces_unit' : '3', 'pieces_quantity' : '0', 'cooking_notes' : ''}).status_code; print('%s :: %s :: %s :: %s :: %s' %(a,1184,'jeera','jeera','Gauranga fried  Rice'))</v>
      </c>
    </row>
    <row r="1242" customFormat="false" ht="13.8" hidden="false" customHeight="false" outlineLevel="0" collapsed="false">
      <c r="C1242" s="0" t="n">
        <v>1185</v>
      </c>
      <c r="E1242" s="0" t="str">
        <f aca="false">VLOOKUP(C1242,recipedetails!AK:AM,3,0)</f>
        <v>a = Client().post('/recipes/gauranga-fried-rice/detail/', {'recipe' : '26', 'ingredient' : '117', 'name' : 'kashmiri chilly PWD', 'mass_unit' : '2', 'mass_quantity' : '0', 'volume_unit' : '5', 'volume_quantity' : '0.3', 'pieces_unit' : '3', 'pieces_quantity' : '0', 'cooking_notes' : ''}).status_code; print('%s :: %s :: %s :: %s :: %s' %(a,1185,'kashmiri chilly PWD','kashmiri chilly powder','Gauranga fried  Rice'))</v>
      </c>
    </row>
    <row r="1243" customFormat="false" ht="13.8" hidden="false" customHeight="false" outlineLevel="0" collapsed="false">
      <c r="C1243" s="0" t="n">
        <v>1186</v>
      </c>
      <c r="E1243" s="0" t="str">
        <f aca="false">VLOOKUP(C1243,recipedetails!AK:AM,3,0)</f>
        <v>a = Client().post('/recipes/gauranga-fried-rice/detail/', {'recipe' : '26', 'ingredient' : '95', 'name' : 'hing', 'mass_unit' : '2', 'mass_quantity' : '0', 'volume_unit' : '5', 'volume_quantity' : '0.2', 'pieces_unit' : '3', 'pieces_quantity' : '0', 'cooking_notes' : ''}).status_code; print('%s :: %s :: %s :: %s :: %s' %(a,1186,'hing','hing','Gauranga fried  Rice'))</v>
      </c>
    </row>
    <row r="1244" customFormat="false" ht="13.8" hidden="false" customHeight="false" outlineLevel="0" collapsed="false">
      <c r="C1244" s="0" t="n">
        <v>1187</v>
      </c>
      <c r="E1244" s="0" t="str">
        <f aca="false">VLOOKUP(C1244,recipedetails!AK:AM,3,0)</f>
        <v>a = Client().post('/recipes/gauranga-fried-rice/detail/', {'recipe' : '26', 'ingredient' : '177', 'name' : 'salt', 'mass_unit' : '2', 'mass_quantity' : '0', 'volume_unit' : '5', 'volume_quantity' : '1.2', 'pieces_unit' : '3', 'pieces_quantity' : '0', 'cooking_notes' : ''}).status_code; print('%s :: %s :: %s :: %s :: %s' %(a,1187,'salt','salt','Gauranga fried  Rice'))</v>
      </c>
    </row>
    <row r="1245" customFormat="false" ht="13.8" hidden="false" customHeight="false" outlineLevel="0" collapsed="false">
      <c r="C1245" s="0" t="n">
        <v>1352</v>
      </c>
      <c r="E1245" s="0" t="str">
        <f aca="false">VLOOKUP(C1245,recipedetails!AK:AM,3,0)</f>
        <v>a = Client().post('/recipes/red-chutney/detail/', {'recipe' : '65', 'ingredient' : '80', 'name' : 'garam masala', 'mass_unit' : '2', 'mass_quantity' : '0', 'volume_unit' : '1', 'volume_quantity' : '0', 'pieces_unit' : '3', 'pieces_quantity' : '0', 'cooking_notes' : ''}).status_code; print('%s :: %s :: %s :: %s :: %s' %(a,1352,'garam masala','garam masala','RED CHUTNEY'))</v>
      </c>
    </row>
    <row r="1253" customFormat="false" ht="12.8" hidden="false" customHeight="false" outlineLevel="0" collapsed="false">
      <c r="C1253" s="0" t="n">
        <v>200</v>
      </c>
      <c r="E1253" s="0" t="n">
        <v>78</v>
      </c>
      <c r="G1253" s="0" t="s">
        <v>7629</v>
      </c>
      <c r="I1253" s="0" t="s">
        <v>7630</v>
      </c>
      <c r="K1253" s="0" t="s">
        <v>7631</v>
      </c>
    </row>
    <row r="1254" customFormat="false" ht="12.8" hidden="false" customHeight="false" outlineLevel="0" collapsed="false">
      <c r="C1254" s="0" t="n">
        <v>200</v>
      </c>
      <c r="E1254" s="0" t="n">
        <v>122</v>
      </c>
      <c r="G1254" s="0" t="s">
        <v>7632</v>
      </c>
      <c r="I1254" s="0" t="s">
        <v>7630</v>
      </c>
      <c r="K1254" s="0" t="s">
        <v>7633</v>
      </c>
    </row>
    <row r="1255" customFormat="false" ht="12.8" hidden="false" customHeight="false" outlineLevel="0" collapsed="false">
      <c r="C1255" s="0" t="n">
        <v>200</v>
      </c>
      <c r="E1255" s="0" t="n">
        <v>174</v>
      </c>
      <c r="G1255" s="0" t="s">
        <v>7634</v>
      </c>
      <c r="I1255" s="0" t="s">
        <v>7635</v>
      </c>
      <c r="K1255" s="0" t="s">
        <v>7636</v>
      </c>
    </row>
    <row r="1256" customFormat="false" ht="12.8" hidden="false" customHeight="false" outlineLevel="0" collapsed="false">
      <c r="C1256" s="0" t="n">
        <v>200</v>
      </c>
      <c r="E1256" s="0" t="n">
        <v>250</v>
      </c>
      <c r="G1256" s="0" t="s">
        <v>7632</v>
      </c>
      <c r="I1256" s="0" t="s">
        <v>7630</v>
      </c>
      <c r="K1256" s="0" t="s">
        <v>7637</v>
      </c>
    </row>
    <row r="1257" customFormat="false" ht="12.8" hidden="false" customHeight="false" outlineLevel="0" collapsed="false">
      <c r="C1257" s="0" t="n">
        <v>200</v>
      </c>
      <c r="E1257" s="0" t="n">
        <v>251</v>
      </c>
      <c r="G1257" s="0" t="s">
        <v>7638</v>
      </c>
      <c r="I1257" s="0" t="s">
        <v>7639</v>
      </c>
      <c r="K1257" s="0" t="s">
        <v>7637</v>
      </c>
    </row>
    <row r="1258" customFormat="false" ht="12.8" hidden="false" customHeight="false" outlineLevel="0" collapsed="false">
      <c r="C1258" s="0" t="n">
        <v>200</v>
      </c>
      <c r="E1258" s="0" t="n">
        <v>252</v>
      </c>
      <c r="G1258" s="0" t="s">
        <v>7640</v>
      </c>
      <c r="I1258" s="0" t="s">
        <v>7641</v>
      </c>
      <c r="K1258" s="0" t="s">
        <v>7637</v>
      </c>
    </row>
    <row r="1259" customFormat="false" ht="12.8" hidden="false" customHeight="false" outlineLevel="0" collapsed="false">
      <c r="C1259" s="0" t="n">
        <v>200</v>
      </c>
      <c r="E1259" s="0" t="n">
        <v>253</v>
      </c>
      <c r="G1259" s="0" t="s">
        <v>7642</v>
      </c>
      <c r="I1259" s="0" t="s">
        <v>7643</v>
      </c>
      <c r="K1259" s="0" t="s">
        <v>7637</v>
      </c>
    </row>
    <row r="1260" customFormat="false" ht="12.8" hidden="false" customHeight="false" outlineLevel="0" collapsed="false">
      <c r="C1260" s="0" t="n">
        <v>200</v>
      </c>
      <c r="E1260" s="0" t="n">
        <v>254</v>
      </c>
      <c r="G1260" s="0" t="s">
        <v>7644</v>
      </c>
      <c r="I1260" s="0" t="s">
        <v>7645</v>
      </c>
      <c r="K1260" s="0" t="s">
        <v>7637</v>
      </c>
    </row>
    <row r="1261" customFormat="false" ht="12.8" hidden="false" customHeight="false" outlineLevel="0" collapsed="false">
      <c r="C1261" s="0" t="n">
        <v>200</v>
      </c>
      <c r="E1261" s="0" t="n">
        <v>255</v>
      </c>
      <c r="G1261" s="0" t="s">
        <v>7646</v>
      </c>
      <c r="I1261" s="0" t="s">
        <v>7647</v>
      </c>
      <c r="K1261" s="0" t="s">
        <v>7637</v>
      </c>
    </row>
    <row r="1262" customFormat="false" ht="12.8" hidden="false" customHeight="false" outlineLevel="0" collapsed="false">
      <c r="C1262" s="0" t="n">
        <v>200</v>
      </c>
      <c r="E1262" s="0" t="n">
        <v>256</v>
      </c>
      <c r="G1262" s="0" t="s">
        <v>7648</v>
      </c>
      <c r="I1262" s="0" t="s">
        <v>7649</v>
      </c>
      <c r="K1262" s="0" t="s">
        <v>7637</v>
      </c>
    </row>
    <row r="1263" customFormat="false" ht="12.8" hidden="false" customHeight="false" outlineLevel="0" collapsed="false">
      <c r="C1263" s="0" t="n">
        <v>200</v>
      </c>
      <c r="E1263" s="0" t="n">
        <v>257</v>
      </c>
      <c r="G1263" s="0" t="s">
        <v>7650</v>
      </c>
      <c r="I1263" s="0" t="s">
        <v>7651</v>
      </c>
      <c r="K1263" s="0" t="s">
        <v>7637</v>
      </c>
    </row>
    <row r="1264" customFormat="false" ht="12.8" hidden="false" customHeight="false" outlineLevel="0" collapsed="false">
      <c r="C1264" s="0" t="n">
        <v>200</v>
      </c>
      <c r="E1264" s="0" t="n">
        <v>258</v>
      </c>
      <c r="G1264" s="0" t="s">
        <v>7652</v>
      </c>
      <c r="I1264" s="0" t="s">
        <v>7653</v>
      </c>
      <c r="K1264" s="0" t="s">
        <v>7637</v>
      </c>
    </row>
    <row r="1265" customFormat="false" ht="12.8" hidden="false" customHeight="false" outlineLevel="0" collapsed="false">
      <c r="C1265" s="0" t="n">
        <v>200</v>
      </c>
      <c r="E1265" s="0" t="n">
        <v>259</v>
      </c>
      <c r="G1265" s="0" t="s">
        <v>7654</v>
      </c>
      <c r="I1265" s="0" t="s">
        <v>7655</v>
      </c>
      <c r="K1265" s="0" t="s">
        <v>7637</v>
      </c>
    </row>
    <row r="1266" customFormat="false" ht="12.8" hidden="false" customHeight="false" outlineLevel="0" collapsed="false">
      <c r="C1266" s="0" t="n">
        <v>200</v>
      </c>
      <c r="E1266" s="0" t="n">
        <v>260</v>
      </c>
      <c r="G1266" s="0" t="s">
        <v>7656</v>
      </c>
      <c r="I1266" s="0" t="s">
        <v>7657</v>
      </c>
      <c r="K1266" s="0" t="s">
        <v>7637</v>
      </c>
    </row>
    <row r="1267" customFormat="false" ht="12.8" hidden="false" customHeight="false" outlineLevel="0" collapsed="false">
      <c r="C1267" s="0" t="n">
        <v>200</v>
      </c>
      <c r="E1267" s="0" t="n">
        <v>261</v>
      </c>
      <c r="G1267" s="0" t="s">
        <v>7658</v>
      </c>
      <c r="I1267" s="0" t="s">
        <v>7659</v>
      </c>
      <c r="K1267" s="0" t="s">
        <v>7637</v>
      </c>
    </row>
    <row r="1268" customFormat="false" ht="12.8" hidden="false" customHeight="false" outlineLevel="0" collapsed="false">
      <c r="C1268" s="0" t="n">
        <v>200</v>
      </c>
      <c r="E1268" s="0" t="n">
        <v>262</v>
      </c>
      <c r="G1268" s="0" t="s">
        <v>7660</v>
      </c>
      <c r="I1268" s="0" t="s">
        <v>7661</v>
      </c>
      <c r="K1268" s="0" t="s">
        <v>7637</v>
      </c>
    </row>
    <row r="1269" customFormat="false" ht="12.8" hidden="false" customHeight="false" outlineLevel="0" collapsed="false">
      <c r="C1269" s="0" t="n">
        <v>200</v>
      </c>
      <c r="E1269" s="0" t="n">
        <v>306</v>
      </c>
      <c r="G1269" s="0" t="s">
        <v>7640</v>
      </c>
      <c r="I1269" s="0" t="s">
        <v>7641</v>
      </c>
      <c r="K1269" s="0" t="s">
        <v>7662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Q519"/>
  <sheetViews>
    <sheetView showFormulas="false" showGridLines="true" showRowColHeaders="true" showZeros="true" rightToLeft="false" tabSelected="false" showOutlineSymbols="true" defaultGridColor="true" view="normal" topLeftCell="J325" colorId="64" zoomScale="85" zoomScaleNormal="85" zoomScalePageLayoutView="100" workbookViewId="0">
      <selection pane="topLeft" activeCell="O341" activeCellId="0" sqref="O341"/>
    </sheetView>
  </sheetViews>
  <sheetFormatPr defaultRowHeight="13.8" outlineLevelRow="0" outlineLevelCol="0"/>
  <cols>
    <col collapsed="false" customWidth="true" hidden="false" outlineLevel="0" max="1" min="1" style="0" width="27.49"/>
    <col collapsed="false" customWidth="true" hidden="false" outlineLevel="0" max="2" min="2" style="0" width="11.36"/>
    <col collapsed="false" customWidth="true" hidden="false" outlineLevel="0" max="3" min="3" style="0" width="9.14"/>
    <col collapsed="false" customWidth="true" hidden="false" outlineLevel="0" max="4" min="4" style="0" width="18.08"/>
    <col collapsed="false" customWidth="true" hidden="false" outlineLevel="0" max="5" min="5" style="0" width="18.52"/>
    <col collapsed="false" customWidth="true" hidden="false" outlineLevel="0" max="6" min="6" style="0" width="15.32"/>
    <col collapsed="false" customWidth="true" hidden="false" outlineLevel="0" max="13" min="7" style="0" width="9.14"/>
    <col collapsed="false" customWidth="true" hidden="false" outlineLevel="0" max="14" min="14" style="4" width="29.03"/>
    <col collapsed="false" customWidth="true" hidden="false" outlineLevel="0" max="15" min="15" style="4" width="38.58"/>
    <col collapsed="false" customWidth="true" hidden="false" outlineLevel="0" max="16" min="16" style="0" width="29.03"/>
    <col collapsed="false" customWidth="true" hidden="false" outlineLevel="0" max="1025" min="17" style="0" width="9.14"/>
  </cols>
  <sheetData>
    <row r="2" customFormat="false" ht="13.8" hidden="false" customHeight="false" outlineLevel="0" collapsed="false">
      <c r="B2" s="0" t="s">
        <v>7663</v>
      </c>
    </row>
    <row r="3" customFormat="false" ht="13.8" hidden="false" customHeight="false" outlineLevel="0" collapsed="false">
      <c r="B3" s="0" t="s">
        <v>7664</v>
      </c>
      <c r="C3" s="0" t="s">
        <v>7665</v>
      </c>
      <c r="D3" s="0" t="s">
        <v>7666</v>
      </c>
    </row>
    <row r="4" customFormat="false" ht="13.8" hidden="false" customHeight="false" outlineLevel="0" collapsed="false">
      <c r="A4" s="0" t="s">
        <v>102</v>
      </c>
      <c r="N4" s="4" t="s">
        <v>630</v>
      </c>
      <c r="O4" s="4" t="s">
        <v>630</v>
      </c>
    </row>
    <row r="5" customFormat="false" ht="13.8" hidden="false" customHeight="false" outlineLevel="0" collapsed="false">
      <c r="A5" s="0" t="s">
        <v>106</v>
      </c>
      <c r="N5" s="4" t="s">
        <v>7667</v>
      </c>
      <c r="O5" s="4" t="s">
        <v>7667</v>
      </c>
    </row>
    <row r="6" customFormat="false" ht="13.8" hidden="false" customHeight="false" outlineLevel="0" collapsed="false">
      <c r="A6" s="0" t="s">
        <v>112</v>
      </c>
      <c r="N6" s="4" t="s">
        <v>7668</v>
      </c>
      <c r="O6" s="4" t="s">
        <v>7668</v>
      </c>
    </row>
    <row r="7" customFormat="false" ht="13.8" hidden="false" customHeight="false" outlineLevel="0" collapsed="false">
      <c r="A7" s="0" t="s">
        <v>116</v>
      </c>
      <c r="N7" s="4" t="s">
        <v>527</v>
      </c>
      <c r="O7" s="4" t="s">
        <v>102</v>
      </c>
    </row>
    <row r="8" customFormat="false" ht="13.8" hidden="false" customHeight="false" outlineLevel="0" collapsed="false">
      <c r="A8" s="0" t="s">
        <v>120</v>
      </c>
      <c r="N8" s="4" t="s">
        <v>102</v>
      </c>
      <c r="O8" s="4" t="s">
        <v>102</v>
      </c>
    </row>
    <row r="9" customFormat="false" ht="13.8" hidden="false" customHeight="false" outlineLevel="0" collapsed="false">
      <c r="A9" s="0" t="s">
        <v>123</v>
      </c>
      <c r="N9" s="4" t="s">
        <v>938</v>
      </c>
      <c r="O9" s="4" t="s">
        <v>102</v>
      </c>
    </row>
    <row r="10" customFormat="false" ht="13.8" hidden="false" customHeight="false" outlineLevel="0" collapsed="false">
      <c r="A10" s="0" t="s">
        <v>126</v>
      </c>
      <c r="N10" s="4" t="s">
        <v>945</v>
      </c>
      <c r="O10" s="4" t="s">
        <v>102</v>
      </c>
    </row>
    <row r="11" customFormat="false" ht="13.8" hidden="false" customHeight="false" outlineLevel="0" collapsed="false">
      <c r="A11" s="0" t="s">
        <v>130</v>
      </c>
      <c r="N11" s="4" t="s">
        <v>736</v>
      </c>
      <c r="O11" s="4" t="s">
        <v>102</v>
      </c>
    </row>
    <row r="12" customFormat="false" ht="13.8" hidden="false" customHeight="false" outlineLevel="0" collapsed="false">
      <c r="A12" s="0" t="s">
        <v>134</v>
      </c>
      <c r="N12" s="4" t="s">
        <v>832</v>
      </c>
      <c r="O12" s="4" t="s">
        <v>102</v>
      </c>
    </row>
    <row r="13" customFormat="false" ht="13.8" hidden="false" customHeight="false" outlineLevel="0" collapsed="false">
      <c r="A13" s="0" t="s">
        <v>138</v>
      </c>
      <c r="N13" s="4" t="s">
        <v>18</v>
      </c>
      <c r="O13" s="4" t="s">
        <v>102</v>
      </c>
    </row>
    <row r="14" customFormat="false" ht="13.8" hidden="false" customHeight="false" outlineLevel="0" collapsed="false">
      <c r="A14" s="0" t="s">
        <v>142</v>
      </c>
      <c r="N14" s="4" t="s">
        <v>747</v>
      </c>
      <c r="O14" s="4" t="s">
        <v>102</v>
      </c>
    </row>
    <row r="15" customFormat="false" ht="13.8" hidden="false" customHeight="false" outlineLevel="0" collapsed="false">
      <c r="A15" s="0" t="s">
        <v>146</v>
      </c>
      <c r="N15" s="4" t="s">
        <v>855</v>
      </c>
      <c r="O15" s="4" t="s">
        <v>102</v>
      </c>
    </row>
    <row r="16" customFormat="false" ht="13.8" hidden="false" customHeight="false" outlineLevel="0" collapsed="false">
      <c r="A16" s="0" t="s">
        <v>150</v>
      </c>
      <c r="N16" s="4" t="s">
        <v>697</v>
      </c>
      <c r="O16" s="4" t="s">
        <v>106</v>
      </c>
    </row>
    <row r="17" customFormat="false" ht="13.8" hidden="false" customHeight="false" outlineLevel="0" collapsed="false">
      <c r="A17" s="0" t="s">
        <v>153</v>
      </c>
      <c r="N17" s="4" t="s">
        <v>544</v>
      </c>
      <c r="O17" s="4" t="s">
        <v>112</v>
      </c>
    </row>
    <row r="18" customFormat="false" ht="13.8" hidden="false" customHeight="false" outlineLevel="0" collapsed="false">
      <c r="A18" s="0" t="s">
        <v>156</v>
      </c>
      <c r="N18" s="4" t="s">
        <v>685</v>
      </c>
      <c r="O18" s="4" t="s">
        <v>116</v>
      </c>
    </row>
    <row r="19" customFormat="false" ht="13.8" hidden="false" customHeight="false" outlineLevel="0" collapsed="false">
      <c r="A19" s="0" t="s">
        <v>159</v>
      </c>
      <c r="N19" s="4" t="s">
        <v>600</v>
      </c>
      <c r="O19" s="4" t="s">
        <v>120</v>
      </c>
    </row>
    <row r="20" customFormat="false" ht="13.8" hidden="false" customHeight="false" outlineLevel="0" collapsed="false">
      <c r="A20" s="0" t="s">
        <v>440</v>
      </c>
      <c r="N20" s="4" t="s">
        <v>858</v>
      </c>
      <c r="O20" s="4" t="s">
        <v>123</v>
      </c>
    </row>
    <row r="21" customFormat="false" ht="13.8" hidden="false" customHeight="false" outlineLevel="0" collapsed="false">
      <c r="A21" s="0" t="s">
        <v>162</v>
      </c>
      <c r="N21" s="4" t="s">
        <v>891</v>
      </c>
      <c r="O21" s="4" t="s">
        <v>123</v>
      </c>
    </row>
    <row r="22" customFormat="false" ht="13.8" hidden="false" customHeight="false" outlineLevel="0" collapsed="false">
      <c r="A22" s="0" t="s">
        <v>165</v>
      </c>
      <c r="N22" s="4" t="s">
        <v>921</v>
      </c>
      <c r="O22" s="4" t="s">
        <v>123</v>
      </c>
      <c r="Q22" s="0" t="s">
        <v>921</v>
      </c>
    </row>
    <row r="23" customFormat="false" ht="13.8" hidden="false" customHeight="false" outlineLevel="0" collapsed="false">
      <c r="A23" s="0" t="s">
        <v>168</v>
      </c>
      <c r="N23" s="4" t="s">
        <v>806</v>
      </c>
      <c r="O23" s="4" t="s">
        <v>474</v>
      </c>
    </row>
    <row r="24" customFormat="false" ht="13.8" hidden="false" customHeight="false" outlineLevel="0" collapsed="false">
      <c r="A24" s="0" t="s">
        <v>171</v>
      </c>
      <c r="N24" s="4" t="s">
        <v>10</v>
      </c>
      <c r="O24" s="4" t="s">
        <v>130</v>
      </c>
    </row>
    <row r="25" customFormat="false" ht="15" hidden="false" customHeight="false" outlineLevel="0" collapsed="false">
      <c r="A25" s="0" t="s">
        <v>174</v>
      </c>
      <c r="N25" s="199" t="s">
        <v>88</v>
      </c>
      <c r="O25" s="4" t="s">
        <v>130</v>
      </c>
    </row>
    <row r="26" customFormat="false" ht="13.8" hidden="false" customHeight="false" outlineLevel="0" collapsed="false">
      <c r="A26" s="0" t="s">
        <v>177</v>
      </c>
      <c r="N26" s="4" t="s">
        <v>536</v>
      </c>
      <c r="O26" s="4" t="s">
        <v>130</v>
      </c>
    </row>
    <row r="27" customFormat="false" ht="13.8" hidden="false" customHeight="false" outlineLevel="0" collapsed="false">
      <c r="A27" s="0" t="s">
        <v>180</v>
      </c>
      <c r="N27" s="4" t="s">
        <v>674</v>
      </c>
      <c r="O27" s="4" t="s">
        <v>134</v>
      </c>
    </row>
    <row r="28" customFormat="false" ht="13.8" hidden="false" customHeight="false" outlineLevel="0" collapsed="false">
      <c r="A28" s="0" t="s">
        <v>183</v>
      </c>
      <c r="N28" s="4" t="s">
        <v>606</v>
      </c>
      <c r="O28" s="4" t="s">
        <v>138</v>
      </c>
    </row>
    <row r="29" customFormat="false" ht="13.8" hidden="false" customHeight="false" outlineLevel="0" collapsed="false">
      <c r="A29" s="0" t="s">
        <v>186</v>
      </c>
      <c r="N29" s="4" t="s">
        <v>612</v>
      </c>
      <c r="O29" s="4" t="s">
        <v>142</v>
      </c>
    </row>
    <row r="30" customFormat="false" ht="13.8" hidden="false" customHeight="false" outlineLevel="0" collapsed="false">
      <c r="A30" s="0" t="s">
        <v>189</v>
      </c>
      <c r="N30" s="4" t="s">
        <v>795</v>
      </c>
      <c r="O30" s="4" t="s">
        <v>146</v>
      </c>
    </row>
    <row r="31" customFormat="false" ht="13.8" hidden="false" customHeight="false" outlineLevel="0" collapsed="false">
      <c r="A31" s="0" t="s">
        <v>192</v>
      </c>
      <c r="N31" s="4" t="s">
        <v>796</v>
      </c>
      <c r="O31" s="4" t="s">
        <v>150</v>
      </c>
    </row>
    <row r="32" customFormat="false" ht="13.8" hidden="false" customHeight="false" outlineLevel="0" collapsed="false">
      <c r="A32" s="0" t="s">
        <v>195</v>
      </c>
      <c r="N32" s="4" t="s">
        <v>848</v>
      </c>
      <c r="O32" s="4" t="s">
        <v>153</v>
      </c>
    </row>
    <row r="33" customFormat="false" ht="13.8" hidden="false" customHeight="false" outlineLevel="0" collapsed="false">
      <c r="A33" s="0" t="s">
        <v>198</v>
      </c>
      <c r="N33" s="4" t="s">
        <v>679</v>
      </c>
      <c r="O33" s="4" t="s">
        <v>153</v>
      </c>
    </row>
    <row r="34" customFormat="false" ht="13.8" hidden="false" customHeight="false" outlineLevel="0" collapsed="false">
      <c r="A34" s="0" t="s">
        <v>201</v>
      </c>
      <c r="N34" s="4" t="s">
        <v>782</v>
      </c>
      <c r="O34" s="4" t="s">
        <v>156</v>
      </c>
    </row>
    <row r="35" customFormat="false" ht="13.8" hidden="false" customHeight="false" outlineLevel="0" collapsed="false">
      <c r="A35" s="0" t="s">
        <v>204</v>
      </c>
      <c r="N35" s="4" t="s">
        <v>712</v>
      </c>
      <c r="O35" s="4" t="s">
        <v>159</v>
      </c>
    </row>
    <row r="36" customFormat="false" ht="13.8" hidden="false" customHeight="false" outlineLevel="0" collapsed="false">
      <c r="A36" s="0" t="s">
        <v>207</v>
      </c>
      <c r="N36" s="4" t="s">
        <v>7669</v>
      </c>
      <c r="O36" s="4" t="s">
        <v>159</v>
      </c>
    </row>
    <row r="37" customFormat="false" ht="13.8" hidden="false" customHeight="false" outlineLevel="0" collapsed="false">
      <c r="A37" s="0" t="s">
        <v>210</v>
      </c>
      <c r="N37" s="4" t="s">
        <v>7670</v>
      </c>
      <c r="O37" s="4" t="s">
        <v>159</v>
      </c>
    </row>
    <row r="38" customFormat="false" ht="13.8" hidden="false" customHeight="false" outlineLevel="0" collapsed="false">
      <c r="A38" s="0" t="s">
        <v>213</v>
      </c>
      <c r="N38" s="4" t="s">
        <v>724</v>
      </c>
      <c r="O38" s="4" t="s">
        <v>159</v>
      </c>
    </row>
    <row r="39" customFormat="false" ht="13.8" hidden="false" customHeight="false" outlineLevel="0" collapsed="false">
      <c r="A39" s="0" t="s">
        <v>216</v>
      </c>
      <c r="N39" s="4" t="s">
        <v>626</v>
      </c>
      <c r="O39" s="4" t="s">
        <v>7671</v>
      </c>
    </row>
    <row r="40" customFormat="false" ht="13.8" hidden="false" customHeight="false" outlineLevel="0" collapsed="false">
      <c r="A40" s="0" t="s">
        <v>219</v>
      </c>
      <c r="N40" s="4" t="s">
        <v>162</v>
      </c>
      <c r="O40" s="4" t="s">
        <v>162</v>
      </c>
    </row>
    <row r="41" customFormat="false" ht="13.8" hidden="false" customHeight="false" outlineLevel="0" collapsed="false">
      <c r="A41" s="0" t="s">
        <v>222</v>
      </c>
      <c r="N41" s="4" t="s">
        <v>604</v>
      </c>
      <c r="O41" s="4" t="s">
        <v>162</v>
      </c>
    </row>
    <row r="42" customFormat="false" ht="13.8" hidden="false" customHeight="false" outlineLevel="0" collapsed="false">
      <c r="A42" s="0" t="s">
        <v>225</v>
      </c>
      <c r="N42" s="4" t="s">
        <v>165</v>
      </c>
      <c r="O42" s="4" t="s">
        <v>165</v>
      </c>
    </row>
    <row r="43" customFormat="false" ht="13.8" hidden="false" customHeight="false" outlineLevel="0" collapsed="false">
      <c r="A43" s="0" t="s">
        <v>228</v>
      </c>
      <c r="N43" s="4" t="s">
        <v>555</v>
      </c>
      <c r="O43" s="4" t="s">
        <v>168</v>
      </c>
    </row>
    <row r="44" customFormat="false" ht="13.8" hidden="false" customHeight="false" outlineLevel="0" collapsed="false">
      <c r="A44" s="0" t="s">
        <v>231</v>
      </c>
      <c r="N44" s="4" t="s">
        <v>770</v>
      </c>
      <c r="O44" s="4" t="s">
        <v>171</v>
      </c>
    </row>
    <row r="45" customFormat="false" ht="13.8" hidden="false" customHeight="false" outlineLevel="0" collapsed="false">
      <c r="A45" s="0" t="s">
        <v>234</v>
      </c>
      <c r="N45" s="4" t="s">
        <v>816</v>
      </c>
      <c r="O45" s="4" t="s">
        <v>177</v>
      </c>
    </row>
    <row r="46" customFormat="false" ht="13.8" hidden="false" customHeight="false" outlineLevel="0" collapsed="false">
      <c r="A46" s="0" t="s">
        <v>237</v>
      </c>
      <c r="N46" s="4" t="s">
        <v>872</v>
      </c>
      <c r="O46" s="4" t="s">
        <v>195</v>
      </c>
    </row>
    <row r="47" customFormat="false" ht="13.8" hidden="false" customHeight="false" outlineLevel="0" collapsed="false">
      <c r="A47" s="0" t="s">
        <v>240</v>
      </c>
      <c r="N47" s="4" t="s">
        <v>866</v>
      </c>
      <c r="O47" s="4" t="s">
        <v>180</v>
      </c>
    </row>
    <row r="48" customFormat="false" ht="13.8" hidden="false" customHeight="false" outlineLevel="0" collapsed="false">
      <c r="A48" s="0" t="s">
        <v>243</v>
      </c>
      <c r="N48" s="4" t="s">
        <v>7672</v>
      </c>
      <c r="O48" s="4" t="s">
        <v>183</v>
      </c>
    </row>
    <row r="49" customFormat="false" ht="13.8" hidden="false" customHeight="false" outlineLevel="0" collapsed="false">
      <c r="A49" s="0" t="s">
        <v>246</v>
      </c>
      <c r="N49" s="4" t="s">
        <v>730</v>
      </c>
      <c r="O49" s="4" t="s">
        <v>183</v>
      </c>
    </row>
    <row r="50" customFormat="false" ht="13.8" hidden="false" customHeight="false" outlineLevel="0" collapsed="false">
      <c r="A50" s="0" t="s">
        <v>249</v>
      </c>
      <c r="N50" s="4" t="s">
        <v>619</v>
      </c>
      <c r="O50" s="4" t="s">
        <v>183</v>
      </c>
    </row>
    <row r="51" customFormat="false" ht="13.8" hidden="false" customHeight="false" outlineLevel="0" collapsed="false">
      <c r="A51" s="0" t="s">
        <v>252</v>
      </c>
      <c r="N51" s="4" t="s">
        <v>55</v>
      </c>
      <c r="O51" s="4" t="s">
        <v>183</v>
      </c>
    </row>
    <row r="52" customFormat="false" ht="13.8" hidden="false" customHeight="false" outlineLevel="0" collapsed="false">
      <c r="A52" s="0" t="s">
        <v>255</v>
      </c>
      <c r="N52" s="4" t="s">
        <v>705</v>
      </c>
      <c r="O52" s="4" t="s">
        <v>183</v>
      </c>
    </row>
    <row r="53" customFormat="false" ht="13.8" hidden="false" customHeight="false" outlineLevel="0" collapsed="false">
      <c r="A53" s="0" t="s">
        <v>258</v>
      </c>
      <c r="N53" s="4" t="s">
        <v>783</v>
      </c>
      <c r="O53" s="4" t="s">
        <v>186</v>
      </c>
    </row>
    <row r="54" customFormat="false" ht="13.8" hidden="false" customHeight="false" outlineLevel="0" collapsed="false">
      <c r="A54" s="0" t="s">
        <v>261</v>
      </c>
      <c r="N54" s="4" t="s">
        <v>687</v>
      </c>
      <c r="O54" s="4" t="s">
        <v>189</v>
      </c>
    </row>
    <row r="55" customFormat="false" ht="13.8" hidden="false" customHeight="false" outlineLevel="0" collapsed="false">
      <c r="A55" s="0" t="s">
        <v>264</v>
      </c>
      <c r="N55" s="4" t="s">
        <v>655</v>
      </c>
      <c r="O55" s="4" t="s">
        <v>192</v>
      </c>
    </row>
    <row r="56" customFormat="false" ht="13.8" hidden="false" customHeight="false" outlineLevel="0" collapsed="false">
      <c r="A56" s="0" t="s">
        <v>267</v>
      </c>
      <c r="N56" s="4" t="s">
        <v>192</v>
      </c>
      <c r="O56" s="4" t="s">
        <v>192</v>
      </c>
    </row>
    <row r="57" customFormat="false" ht="13.8" hidden="false" customHeight="false" outlineLevel="0" collapsed="false">
      <c r="A57" s="0" t="s">
        <v>270</v>
      </c>
      <c r="N57" s="4" t="s">
        <v>7673</v>
      </c>
      <c r="O57" s="4" t="s">
        <v>192</v>
      </c>
    </row>
    <row r="58" customFormat="false" ht="13.8" hidden="false" customHeight="false" outlineLevel="0" collapsed="false">
      <c r="A58" s="0" t="s">
        <v>273</v>
      </c>
      <c r="N58" s="4" t="s">
        <v>800</v>
      </c>
      <c r="O58" s="4" t="s">
        <v>192</v>
      </c>
    </row>
    <row r="59" customFormat="false" ht="13.8" hidden="false" customHeight="false" outlineLevel="0" collapsed="false">
      <c r="A59" s="0" t="s">
        <v>276</v>
      </c>
      <c r="N59" s="4" t="s">
        <v>665</v>
      </c>
      <c r="O59" s="4" t="s">
        <v>195</v>
      </c>
    </row>
    <row r="60" customFormat="false" ht="13.8" hidden="false" customHeight="false" outlineLevel="0" collapsed="false">
      <c r="A60" s="0" t="s">
        <v>279</v>
      </c>
      <c r="N60" s="4" t="s">
        <v>745</v>
      </c>
      <c r="O60" s="4" t="s">
        <v>195</v>
      </c>
    </row>
    <row r="61" customFormat="false" ht="13.8" hidden="false" customHeight="false" outlineLevel="0" collapsed="false">
      <c r="A61" s="0" t="s">
        <v>282</v>
      </c>
      <c r="N61" s="4" t="s">
        <v>589</v>
      </c>
      <c r="O61" s="4" t="s">
        <v>174</v>
      </c>
    </row>
    <row r="62" customFormat="false" ht="13.8" hidden="false" customHeight="false" outlineLevel="0" collapsed="false">
      <c r="A62" s="0" t="s">
        <v>285</v>
      </c>
      <c r="N62" s="4" t="s">
        <v>587</v>
      </c>
      <c r="O62" s="4" t="s">
        <v>198</v>
      </c>
    </row>
    <row r="63" customFormat="false" ht="13.8" hidden="false" customHeight="false" outlineLevel="0" collapsed="false">
      <c r="A63" s="0" t="s">
        <v>288</v>
      </c>
      <c r="N63" s="4" t="s">
        <v>8</v>
      </c>
      <c r="O63" s="4" t="s">
        <v>201</v>
      </c>
    </row>
    <row r="64" customFormat="false" ht="13.8" hidden="false" customHeight="false" outlineLevel="0" collapsed="false">
      <c r="A64" s="0" t="s">
        <v>291</v>
      </c>
      <c r="N64" s="4" t="s">
        <v>201</v>
      </c>
      <c r="O64" s="4" t="s">
        <v>201</v>
      </c>
    </row>
    <row r="65" customFormat="false" ht="13.8" hidden="false" customHeight="false" outlineLevel="0" collapsed="false">
      <c r="A65" s="0" t="s">
        <v>294</v>
      </c>
      <c r="N65" s="4" t="s">
        <v>959</v>
      </c>
      <c r="O65" s="4" t="s">
        <v>204</v>
      </c>
    </row>
    <row r="66" customFormat="false" ht="13.8" hidden="false" customHeight="false" outlineLevel="0" collapsed="false">
      <c r="A66" s="0" t="s">
        <v>297</v>
      </c>
      <c r="N66" s="4" t="s">
        <v>815</v>
      </c>
      <c r="O66" s="4" t="s">
        <v>204</v>
      </c>
    </row>
    <row r="67" customFormat="false" ht="13.8" hidden="false" customHeight="false" outlineLevel="0" collapsed="false">
      <c r="A67" s="0" t="s">
        <v>300</v>
      </c>
      <c r="N67" s="4" t="s">
        <v>923</v>
      </c>
      <c r="O67" s="4" t="s">
        <v>204</v>
      </c>
    </row>
    <row r="68" customFormat="false" ht="13.8" hidden="false" customHeight="false" outlineLevel="0" collapsed="false">
      <c r="A68" s="0" t="s">
        <v>303</v>
      </c>
      <c r="N68" s="4" t="s">
        <v>618</v>
      </c>
      <c r="O68" s="4" t="s">
        <v>204</v>
      </c>
    </row>
    <row r="69" customFormat="false" ht="13.8" hidden="false" customHeight="false" outlineLevel="0" collapsed="false">
      <c r="A69" s="0" t="s">
        <v>306</v>
      </c>
      <c r="N69" s="4" t="s">
        <v>534</v>
      </c>
      <c r="O69" s="4" t="s">
        <v>204</v>
      </c>
    </row>
    <row r="70" customFormat="false" ht="13.8" hidden="false" customHeight="false" outlineLevel="0" collapsed="false">
      <c r="A70" s="0" t="s">
        <v>309</v>
      </c>
      <c r="N70" s="4" t="s">
        <v>635</v>
      </c>
      <c r="O70" s="4" t="s">
        <v>204</v>
      </c>
    </row>
    <row r="71" customFormat="false" ht="13.8" hidden="false" customHeight="false" outlineLevel="0" collapsed="false">
      <c r="A71" s="0" t="s">
        <v>312</v>
      </c>
      <c r="N71" s="4" t="s">
        <v>54</v>
      </c>
      <c r="O71" s="4" t="s">
        <v>204</v>
      </c>
    </row>
    <row r="72" customFormat="false" ht="13.8" hidden="false" customHeight="false" outlineLevel="0" collapsed="false">
      <c r="A72" s="0" t="s">
        <v>315</v>
      </c>
      <c r="N72" s="4" t="s">
        <v>30</v>
      </c>
      <c r="O72" s="4" t="s">
        <v>204</v>
      </c>
    </row>
    <row r="73" customFormat="false" ht="13.8" hidden="false" customHeight="false" outlineLevel="0" collapsed="false">
      <c r="A73" s="0" t="s">
        <v>318</v>
      </c>
      <c r="N73" s="4" t="s">
        <v>662</v>
      </c>
      <c r="O73" s="4" t="s">
        <v>204</v>
      </c>
    </row>
    <row r="74" customFormat="false" ht="13.8" hidden="false" customHeight="false" outlineLevel="0" collapsed="false">
      <c r="A74" s="0" t="s">
        <v>321</v>
      </c>
      <c r="N74" s="4" t="s">
        <v>598</v>
      </c>
      <c r="O74" s="4" t="s">
        <v>207</v>
      </c>
    </row>
    <row r="75" customFormat="false" ht="13.8" hidden="false" customHeight="false" outlineLevel="0" collapsed="false">
      <c r="A75" s="0" t="s">
        <v>324</v>
      </c>
      <c r="N75" s="4" t="s">
        <v>31</v>
      </c>
      <c r="O75" s="4" t="s">
        <v>207</v>
      </c>
    </row>
    <row r="76" customFormat="false" ht="13.8" hidden="false" customHeight="false" outlineLevel="0" collapsed="false">
      <c r="A76" s="0" t="s">
        <v>327</v>
      </c>
      <c r="N76" s="4" t="s">
        <v>207</v>
      </c>
      <c r="O76" s="4" t="s">
        <v>207</v>
      </c>
    </row>
    <row r="77" customFormat="false" ht="13.8" hidden="false" customHeight="false" outlineLevel="0" collapsed="false">
      <c r="A77" s="0" t="s">
        <v>330</v>
      </c>
      <c r="N77" s="4" t="s">
        <v>774</v>
      </c>
      <c r="O77" s="4" t="s">
        <v>207</v>
      </c>
    </row>
    <row r="78" customFormat="false" ht="13.8" hidden="false" customHeight="false" outlineLevel="0" collapsed="false">
      <c r="A78" s="0" t="s">
        <v>333</v>
      </c>
      <c r="N78" s="4" t="s">
        <v>210</v>
      </c>
      <c r="O78" s="4" t="s">
        <v>210</v>
      </c>
    </row>
    <row r="79" customFormat="false" ht="13.8" hidden="false" customHeight="false" outlineLevel="0" collapsed="false">
      <c r="A79" s="0" t="s">
        <v>336</v>
      </c>
      <c r="N79" s="4" t="s">
        <v>722</v>
      </c>
      <c r="O79" s="4" t="s">
        <v>222</v>
      </c>
    </row>
    <row r="80" customFormat="false" ht="13.8" hidden="false" customHeight="false" outlineLevel="0" collapsed="false">
      <c r="A80" s="0" t="s">
        <v>339</v>
      </c>
      <c r="N80" s="4" t="s">
        <v>637</v>
      </c>
      <c r="O80" s="4" t="s">
        <v>279</v>
      </c>
    </row>
    <row r="81" customFormat="false" ht="13.8" hidden="false" customHeight="false" outlineLevel="0" collapsed="false">
      <c r="A81" s="0" t="s">
        <v>342</v>
      </c>
      <c r="N81" s="4" t="s">
        <v>634</v>
      </c>
      <c r="O81" s="4" t="s">
        <v>402</v>
      </c>
    </row>
    <row r="82" customFormat="false" ht="13.8" hidden="false" customHeight="false" outlineLevel="0" collapsed="false">
      <c r="A82" s="0" t="s">
        <v>345</v>
      </c>
      <c r="N82" s="4" t="s">
        <v>633</v>
      </c>
      <c r="O82" s="4" t="s">
        <v>439</v>
      </c>
    </row>
    <row r="83" customFormat="false" ht="13.8" hidden="false" customHeight="false" outlineLevel="0" collapsed="false">
      <c r="A83" s="0" t="s">
        <v>348</v>
      </c>
      <c r="N83" s="4" t="s">
        <v>666</v>
      </c>
      <c r="O83" s="4" t="s">
        <v>213</v>
      </c>
    </row>
    <row r="84" customFormat="false" ht="13.8" hidden="false" customHeight="false" outlineLevel="0" collapsed="false">
      <c r="A84" s="0" t="s">
        <v>351</v>
      </c>
      <c r="N84" s="4" t="s">
        <v>216</v>
      </c>
      <c r="O84" s="4" t="s">
        <v>216</v>
      </c>
    </row>
    <row r="85" customFormat="false" ht="13.8" hidden="false" customHeight="false" outlineLevel="0" collapsed="false">
      <c r="A85" s="0" t="s">
        <v>354</v>
      </c>
      <c r="N85" s="4" t="s">
        <v>699</v>
      </c>
      <c r="O85" s="4" t="s">
        <v>219</v>
      </c>
    </row>
    <row r="86" customFormat="false" ht="13.8" hidden="false" customHeight="false" outlineLevel="0" collapsed="false">
      <c r="A86" s="0" t="s">
        <v>357</v>
      </c>
      <c r="N86" s="4" t="s">
        <v>728</v>
      </c>
      <c r="O86" s="4" t="s">
        <v>219</v>
      </c>
    </row>
    <row r="87" customFormat="false" ht="13.8" hidden="false" customHeight="false" outlineLevel="0" collapsed="false">
      <c r="A87" s="0" t="s">
        <v>360</v>
      </c>
      <c r="N87" s="4" t="s">
        <v>616</v>
      </c>
      <c r="O87" s="4" t="s">
        <v>219</v>
      </c>
    </row>
    <row r="88" customFormat="false" ht="13.8" hidden="false" customHeight="false" outlineLevel="0" collapsed="false">
      <c r="A88" s="0" t="s">
        <v>363</v>
      </c>
      <c r="N88" s="4" t="s">
        <v>222</v>
      </c>
      <c r="O88" s="4" t="s">
        <v>222</v>
      </c>
    </row>
    <row r="89" customFormat="false" ht="13.8" hidden="false" customHeight="false" outlineLevel="0" collapsed="false">
      <c r="A89" s="0" t="s">
        <v>366</v>
      </c>
      <c r="N89" s="4" t="s">
        <v>57</v>
      </c>
      <c r="O89" s="4" t="s">
        <v>222</v>
      </c>
    </row>
    <row r="90" customFormat="false" ht="13.8" hidden="false" customHeight="false" outlineLevel="0" collapsed="false">
      <c r="A90" s="0" t="s">
        <v>368</v>
      </c>
      <c r="N90" s="4" t="s">
        <v>636</v>
      </c>
      <c r="O90" s="4" t="s">
        <v>222</v>
      </c>
    </row>
    <row r="91" customFormat="false" ht="13.8" hidden="false" customHeight="false" outlineLevel="0" collapsed="false">
      <c r="A91" s="0" t="s">
        <v>371</v>
      </c>
      <c r="N91" s="4" t="s">
        <v>556</v>
      </c>
      <c r="O91" s="4" t="s">
        <v>225</v>
      </c>
    </row>
    <row r="92" customFormat="false" ht="13.8" hidden="false" customHeight="false" outlineLevel="0" collapsed="false">
      <c r="A92" s="0" t="s">
        <v>374</v>
      </c>
      <c r="N92" s="4" t="s">
        <v>656</v>
      </c>
      <c r="O92" s="4" t="s">
        <v>225</v>
      </c>
    </row>
    <row r="93" customFormat="false" ht="13.8" hidden="false" customHeight="false" outlineLevel="0" collapsed="false">
      <c r="A93" s="0" t="s">
        <v>377</v>
      </c>
      <c r="N93" s="4" t="s">
        <v>734</v>
      </c>
      <c r="O93" s="4" t="s">
        <v>225</v>
      </c>
    </row>
    <row r="94" customFormat="false" ht="13.8" hidden="false" customHeight="false" outlineLevel="0" collapsed="false">
      <c r="A94" s="0" t="s">
        <v>380</v>
      </c>
      <c r="N94" s="4" t="s">
        <v>660</v>
      </c>
      <c r="O94" s="4" t="s">
        <v>479</v>
      </c>
    </row>
    <row r="95" customFormat="false" ht="13.8" hidden="false" customHeight="false" outlineLevel="0" collapsed="false">
      <c r="A95" s="0" t="s">
        <v>382</v>
      </c>
      <c r="N95" s="4" t="s">
        <v>39</v>
      </c>
      <c r="O95" s="4" t="s">
        <v>228</v>
      </c>
    </row>
    <row r="96" customFormat="false" ht="13.8" hidden="false" customHeight="false" outlineLevel="0" collapsed="false">
      <c r="A96" s="0" t="s">
        <v>384</v>
      </c>
      <c r="N96" s="4" t="s">
        <v>228</v>
      </c>
      <c r="O96" s="4" t="s">
        <v>228</v>
      </c>
    </row>
    <row r="97" customFormat="false" ht="13.8" hidden="false" customHeight="false" outlineLevel="0" collapsed="false">
      <c r="A97" s="0" t="s">
        <v>386</v>
      </c>
      <c r="N97" s="4" t="s">
        <v>738</v>
      </c>
      <c r="O97" s="4" t="s">
        <v>231</v>
      </c>
    </row>
    <row r="98" customFormat="false" ht="13.8" hidden="false" customHeight="false" outlineLevel="0" collapsed="false">
      <c r="A98" s="0" t="s">
        <v>388</v>
      </c>
      <c r="N98" s="4" t="s">
        <v>234</v>
      </c>
      <c r="O98" s="4" t="s">
        <v>234</v>
      </c>
    </row>
    <row r="99" customFormat="false" ht="13.8" hidden="false" customHeight="false" outlineLevel="0" collapsed="false">
      <c r="A99" s="0" t="s">
        <v>391</v>
      </c>
      <c r="N99" s="4" t="s">
        <v>828</v>
      </c>
      <c r="O99" s="4" t="s">
        <v>237</v>
      </c>
    </row>
    <row r="100" customFormat="false" ht="13.8" hidden="false" customHeight="false" outlineLevel="0" collapsed="false">
      <c r="A100" s="0" t="s">
        <v>392</v>
      </c>
      <c r="N100" s="4" t="s">
        <v>40</v>
      </c>
      <c r="O100" s="4" t="s">
        <v>237</v>
      </c>
    </row>
    <row r="101" customFormat="false" ht="13.8" hidden="false" customHeight="false" outlineLevel="0" collapsed="false">
      <c r="A101" s="0" t="s">
        <v>393</v>
      </c>
      <c r="N101" s="4" t="s">
        <v>715</v>
      </c>
      <c r="O101" s="4" t="s">
        <v>237</v>
      </c>
    </row>
    <row r="102" customFormat="false" ht="13.8" hidden="false" customHeight="false" outlineLevel="0" collapsed="false">
      <c r="A102" s="0" t="s">
        <v>394</v>
      </c>
      <c r="N102" s="4" t="s">
        <v>789</v>
      </c>
      <c r="O102" s="4" t="s">
        <v>240</v>
      </c>
    </row>
    <row r="103" customFormat="false" ht="13.8" hidden="false" customHeight="false" outlineLevel="0" collapsed="false">
      <c r="A103" s="0" t="s">
        <v>395</v>
      </c>
      <c r="N103" s="4" t="s">
        <v>788</v>
      </c>
      <c r="O103" s="4" t="s">
        <v>243</v>
      </c>
    </row>
    <row r="104" customFormat="false" ht="13.8" hidden="false" customHeight="false" outlineLevel="0" collapsed="false">
      <c r="A104" s="0" t="s">
        <v>396</v>
      </c>
      <c r="N104" s="4" t="s">
        <v>943</v>
      </c>
      <c r="O104" s="4" t="s">
        <v>243</v>
      </c>
    </row>
    <row r="105" customFormat="false" ht="13.8" hidden="false" customHeight="false" outlineLevel="0" collapsed="false">
      <c r="A105" s="0" t="s">
        <v>397</v>
      </c>
      <c r="N105" s="4" t="s">
        <v>737</v>
      </c>
      <c r="O105" s="4" t="s">
        <v>246</v>
      </c>
    </row>
    <row r="106" customFormat="false" ht="13.8" hidden="false" customHeight="false" outlineLevel="0" collapsed="false">
      <c r="A106" s="0" t="s">
        <v>398</v>
      </c>
      <c r="N106" s="4" t="s">
        <v>577</v>
      </c>
      <c r="O106" s="4" t="s">
        <v>249</v>
      </c>
    </row>
    <row r="107" customFormat="false" ht="13.8" hidden="false" customHeight="false" outlineLevel="0" collapsed="false">
      <c r="A107" s="0" t="s">
        <v>399</v>
      </c>
      <c r="N107" s="4" t="s">
        <v>249</v>
      </c>
      <c r="O107" s="4" t="s">
        <v>249</v>
      </c>
    </row>
    <row r="108" customFormat="false" ht="13.8" hidden="false" customHeight="false" outlineLevel="0" collapsed="false">
      <c r="A108" s="0" t="s">
        <v>400</v>
      </c>
      <c r="N108" s="4" t="s">
        <v>754</v>
      </c>
      <c r="O108" s="4" t="s">
        <v>252</v>
      </c>
    </row>
    <row r="109" customFormat="false" ht="13.8" hidden="false" customHeight="false" outlineLevel="0" collapsed="false">
      <c r="A109" s="0" t="s">
        <v>38</v>
      </c>
      <c r="N109" s="4" t="s">
        <v>252</v>
      </c>
      <c r="O109" s="4" t="s">
        <v>252</v>
      </c>
    </row>
    <row r="110" customFormat="false" ht="13.8" hidden="false" customHeight="false" outlineLevel="0" collapsed="false">
      <c r="A110" s="0" t="s">
        <v>401</v>
      </c>
      <c r="N110" s="4" t="s">
        <v>584</v>
      </c>
      <c r="O110" s="4" t="s">
        <v>255</v>
      </c>
    </row>
    <row r="111" customFormat="false" ht="13.8" hidden="false" customHeight="false" outlineLevel="0" collapsed="false">
      <c r="A111" s="0" t="s">
        <v>402</v>
      </c>
      <c r="N111" s="4" t="s">
        <v>255</v>
      </c>
      <c r="O111" s="4" t="s">
        <v>255</v>
      </c>
    </row>
    <row r="112" customFormat="false" ht="13.8" hidden="false" customHeight="false" outlineLevel="0" collapsed="false">
      <c r="A112" s="0" t="s">
        <v>403</v>
      </c>
      <c r="N112" s="4" t="s">
        <v>799</v>
      </c>
      <c r="O112" s="4" t="s">
        <v>258</v>
      </c>
    </row>
    <row r="113" customFormat="false" ht="13.8" hidden="false" customHeight="false" outlineLevel="0" collapsed="false">
      <c r="A113" s="0" t="s">
        <v>404</v>
      </c>
      <c r="N113" s="4" t="s">
        <v>642</v>
      </c>
      <c r="O113" s="4" t="s">
        <v>261</v>
      </c>
    </row>
    <row r="114" customFormat="false" ht="13.8" hidden="false" customHeight="false" outlineLevel="0" collapsed="false">
      <c r="A114" s="0" t="s">
        <v>405</v>
      </c>
      <c r="N114" s="4" t="s">
        <v>878</v>
      </c>
      <c r="O114" s="4" t="s">
        <v>386</v>
      </c>
    </row>
    <row r="115" customFormat="false" ht="13.8" hidden="false" customHeight="false" outlineLevel="0" collapsed="false">
      <c r="A115" s="0" t="s">
        <v>406</v>
      </c>
      <c r="N115" s="4" t="s">
        <v>576</v>
      </c>
      <c r="O115" s="4" t="s">
        <v>264</v>
      </c>
    </row>
    <row r="116" customFormat="false" ht="13.8" hidden="false" customHeight="false" outlineLevel="0" collapsed="false">
      <c r="A116" s="0" t="s">
        <v>407</v>
      </c>
      <c r="N116" s="4" t="s">
        <v>739</v>
      </c>
      <c r="O116" s="4" t="s">
        <v>267</v>
      </c>
    </row>
    <row r="117" customFormat="false" ht="13.8" hidden="false" customHeight="false" outlineLevel="0" collapsed="false">
      <c r="A117" s="0" t="s">
        <v>408</v>
      </c>
      <c r="N117" s="4" t="s">
        <v>500</v>
      </c>
      <c r="O117" s="4" t="s">
        <v>500</v>
      </c>
    </row>
    <row r="118" customFormat="false" ht="13.8" hidden="false" customHeight="false" outlineLevel="0" collapsed="false">
      <c r="A118" s="0" t="s">
        <v>409</v>
      </c>
      <c r="N118" s="4" t="s">
        <v>610</v>
      </c>
      <c r="O118" s="4" t="s">
        <v>270</v>
      </c>
    </row>
    <row r="119" customFormat="false" ht="13.8" hidden="false" customHeight="false" outlineLevel="0" collapsed="false">
      <c r="A119" s="0" t="s">
        <v>410</v>
      </c>
      <c r="N119" s="4" t="s">
        <v>717</v>
      </c>
      <c r="O119" s="4" t="s">
        <v>246</v>
      </c>
    </row>
    <row r="120" customFormat="false" ht="13.8" hidden="false" customHeight="false" outlineLevel="0" collapsed="false">
      <c r="A120" s="0" t="s">
        <v>411</v>
      </c>
      <c r="N120" s="4" t="s">
        <v>873</v>
      </c>
      <c r="O120" s="4" t="s">
        <v>444</v>
      </c>
    </row>
    <row r="121" customFormat="false" ht="13.8" hidden="false" customHeight="false" outlineLevel="0" collapsed="false">
      <c r="A121" s="0" t="s">
        <v>412</v>
      </c>
      <c r="N121" s="4" t="s">
        <v>681</v>
      </c>
      <c r="O121" s="4" t="s">
        <v>273</v>
      </c>
    </row>
    <row r="122" customFormat="false" ht="13.8" hidden="false" customHeight="false" outlineLevel="0" collapsed="false">
      <c r="A122" s="0" t="s">
        <v>413</v>
      </c>
      <c r="N122" s="4" t="s">
        <v>273</v>
      </c>
      <c r="O122" s="4" t="s">
        <v>273</v>
      </c>
    </row>
    <row r="123" customFormat="false" ht="13.8" hidden="false" customHeight="false" outlineLevel="0" collapsed="false">
      <c r="A123" s="0" t="s">
        <v>414</v>
      </c>
      <c r="N123" s="4" t="s">
        <v>867</v>
      </c>
      <c r="O123" s="4" t="s">
        <v>273</v>
      </c>
    </row>
    <row r="124" customFormat="false" ht="13.8" hidden="false" customHeight="false" outlineLevel="0" collapsed="false">
      <c r="A124" s="0" t="s">
        <v>415</v>
      </c>
      <c r="N124" s="4" t="s">
        <v>632</v>
      </c>
      <c r="O124" s="4" t="s">
        <v>273</v>
      </c>
    </row>
    <row r="125" customFormat="false" ht="13.8" hidden="false" customHeight="false" outlineLevel="0" collapsed="false">
      <c r="A125" s="0" t="s">
        <v>416</v>
      </c>
      <c r="N125" s="4" t="s">
        <v>276</v>
      </c>
      <c r="O125" s="4" t="s">
        <v>276</v>
      </c>
    </row>
    <row r="126" customFormat="false" ht="13.8" hidden="false" customHeight="false" outlineLevel="0" collapsed="false">
      <c r="A126" s="0" t="s">
        <v>417</v>
      </c>
      <c r="N126" s="4" t="s">
        <v>539</v>
      </c>
      <c r="O126" s="4" t="s">
        <v>273</v>
      </c>
    </row>
    <row r="127" customFormat="false" ht="13.8" hidden="false" customHeight="false" outlineLevel="0" collapsed="false">
      <c r="A127" s="0" t="s">
        <v>418</v>
      </c>
      <c r="N127" s="4" t="s">
        <v>638</v>
      </c>
      <c r="O127" s="4" t="s">
        <v>282</v>
      </c>
    </row>
    <row r="128" customFormat="false" ht="13.8" hidden="false" customHeight="false" outlineLevel="0" collapsed="false">
      <c r="A128" s="0" t="s">
        <v>419</v>
      </c>
      <c r="N128" s="4" t="s">
        <v>282</v>
      </c>
      <c r="O128" s="4" t="s">
        <v>282</v>
      </c>
    </row>
    <row r="129" customFormat="false" ht="13.8" hidden="false" customHeight="false" outlineLevel="0" collapsed="false">
      <c r="A129" s="0" t="s">
        <v>420</v>
      </c>
      <c r="N129" s="4" t="s">
        <v>797</v>
      </c>
      <c r="O129" s="200" t="s">
        <v>288</v>
      </c>
    </row>
    <row r="130" customFormat="false" ht="13.8" hidden="false" customHeight="false" outlineLevel="0" collapsed="false">
      <c r="A130" s="0" t="s">
        <v>421</v>
      </c>
      <c r="N130" s="4" t="s">
        <v>757</v>
      </c>
      <c r="O130" s="4" t="s">
        <v>285</v>
      </c>
    </row>
    <row r="131" customFormat="false" ht="13.8" hidden="false" customHeight="false" outlineLevel="0" collapsed="false">
      <c r="A131" s="0" t="s">
        <v>233</v>
      </c>
      <c r="N131" s="4" t="s">
        <v>580</v>
      </c>
      <c r="O131" s="4" t="s">
        <v>288</v>
      </c>
    </row>
    <row r="132" customFormat="false" ht="13.8" hidden="false" customHeight="false" outlineLevel="0" collapsed="false">
      <c r="A132" s="0" t="s">
        <v>422</v>
      </c>
      <c r="N132" s="4" t="s">
        <v>291</v>
      </c>
      <c r="O132" s="4" t="s">
        <v>291</v>
      </c>
    </row>
    <row r="133" customFormat="false" ht="13.8" hidden="false" customHeight="false" outlineLevel="0" collapsed="false">
      <c r="A133" s="0" t="s">
        <v>423</v>
      </c>
      <c r="N133" s="4" t="s">
        <v>758</v>
      </c>
      <c r="O133" s="4" t="s">
        <v>294</v>
      </c>
    </row>
    <row r="134" customFormat="false" ht="13.8" hidden="false" customHeight="false" outlineLevel="0" collapsed="false">
      <c r="A134" s="0" t="s">
        <v>424</v>
      </c>
      <c r="N134" s="4" t="s">
        <v>924</v>
      </c>
      <c r="O134" s="4" t="s">
        <v>294</v>
      </c>
    </row>
    <row r="135" customFormat="false" ht="13.8" hidden="false" customHeight="false" outlineLevel="0" collapsed="false">
      <c r="A135" s="0" t="s">
        <v>425</v>
      </c>
      <c r="N135" s="4" t="s">
        <v>875</v>
      </c>
      <c r="O135" s="4" t="s">
        <v>297</v>
      </c>
    </row>
    <row r="136" customFormat="false" ht="13.8" hidden="false" customHeight="false" outlineLevel="0" collapsed="false">
      <c r="A136" s="0" t="s">
        <v>426</v>
      </c>
      <c r="N136" s="4" t="s">
        <v>297</v>
      </c>
      <c r="O136" s="4" t="s">
        <v>297</v>
      </c>
    </row>
    <row r="137" customFormat="false" ht="13.8" hidden="false" customHeight="false" outlineLevel="0" collapsed="false">
      <c r="A137" s="0" t="s">
        <v>427</v>
      </c>
      <c r="N137" s="4" t="s">
        <v>893</v>
      </c>
      <c r="O137" s="4" t="s">
        <v>297</v>
      </c>
    </row>
    <row r="138" customFormat="false" ht="13.8" hidden="false" customHeight="false" outlineLevel="0" collapsed="false">
      <c r="A138" s="0" t="s">
        <v>428</v>
      </c>
      <c r="N138" s="4" t="s">
        <v>863</v>
      </c>
      <c r="O138" s="4" t="s">
        <v>297</v>
      </c>
    </row>
    <row r="139" customFormat="false" ht="13.8" hidden="false" customHeight="false" outlineLevel="0" collapsed="false">
      <c r="A139" s="0" t="s">
        <v>429</v>
      </c>
      <c r="N139" s="4" t="s">
        <v>916</v>
      </c>
      <c r="O139" s="4" t="s">
        <v>297</v>
      </c>
    </row>
    <row r="140" customFormat="false" ht="13.8" hidden="false" customHeight="false" outlineLevel="0" collapsed="false">
      <c r="A140" s="0" t="s">
        <v>430</v>
      </c>
      <c r="N140" s="4" t="s">
        <v>605</v>
      </c>
      <c r="O140" s="4" t="s">
        <v>300</v>
      </c>
    </row>
    <row r="141" customFormat="false" ht="13.8" hidden="false" customHeight="false" outlineLevel="0" collapsed="false">
      <c r="A141" s="0" t="s">
        <v>431</v>
      </c>
      <c r="N141" s="4" t="s">
        <v>303</v>
      </c>
      <c r="O141" s="4" t="s">
        <v>303</v>
      </c>
    </row>
    <row r="142" customFormat="false" ht="13.8" hidden="false" customHeight="false" outlineLevel="0" collapsed="false">
      <c r="A142" s="0" t="s">
        <v>432</v>
      </c>
      <c r="N142" s="4" t="s">
        <v>7674</v>
      </c>
      <c r="O142" s="4" t="s">
        <v>7675</v>
      </c>
    </row>
    <row r="143" customFormat="false" ht="13.8" hidden="false" customHeight="false" outlineLevel="0" collapsed="false">
      <c r="A143" s="0" t="s">
        <v>433</v>
      </c>
      <c r="N143" s="4" t="s">
        <v>23</v>
      </c>
      <c r="O143" s="200" t="s">
        <v>309</v>
      </c>
    </row>
    <row r="144" customFormat="false" ht="13.8" hidden="false" customHeight="false" outlineLevel="0" collapsed="false">
      <c r="A144" s="0" t="s">
        <v>434</v>
      </c>
      <c r="N144" s="4" t="s">
        <v>75</v>
      </c>
      <c r="O144" s="4" t="s">
        <v>309</v>
      </c>
    </row>
    <row r="145" customFormat="false" ht="13.8" hidden="false" customHeight="false" outlineLevel="0" collapsed="false">
      <c r="A145" s="0" t="s">
        <v>435</v>
      </c>
      <c r="N145" s="4" t="s">
        <v>919</v>
      </c>
      <c r="O145" s="4" t="s">
        <v>309</v>
      </c>
    </row>
    <row r="146" customFormat="false" ht="13.8" hidden="false" customHeight="false" outlineLevel="0" collapsed="false">
      <c r="A146" s="0" t="s">
        <v>436</v>
      </c>
      <c r="N146" s="4" t="s">
        <v>652</v>
      </c>
      <c r="O146" s="4" t="s">
        <v>309</v>
      </c>
    </row>
    <row r="147" customFormat="false" ht="13.8" hidden="false" customHeight="false" outlineLevel="0" collapsed="false">
      <c r="A147" s="0" t="s">
        <v>437</v>
      </c>
      <c r="N147" s="4" t="s">
        <v>753</v>
      </c>
      <c r="O147" s="4" t="s">
        <v>309</v>
      </c>
    </row>
    <row r="148" customFormat="false" ht="13.8" hidden="false" customHeight="false" outlineLevel="0" collapsed="false">
      <c r="A148" s="0" t="s">
        <v>438</v>
      </c>
      <c r="N148" s="4" t="s">
        <v>568</v>
      </c>
      <c r="O148" s="4" t="s">
        <v>312</v>
      </c>
    </row>
    <row r="149" customFormat="false" ht="13.8" hidden="false" customHeight="false" outlineLevel="0" collapsed="false">
      <c r="A149" s="0" t="s">
        <v>439</v>
      </c>
      <c r="N149" s="4" t="s">
        <v>841</v>
      </c>
      <c r="O149" s="4" t="s">
        <v>312</v>
      </c>
    </row>
    <row r="150" customFormat="false" ht="13.8" hidden="false" customHeight="false" outlineLevel="0" collapsed="false">
      <c r="A150" s="0" t="s">
        <v>441</v>
      </c>
      <c r="N150" s="4" t="s">
        <v>748</v>
      </c>
      <c r="O150" s="4" t="s">
        <v>312</v>
      </c>
    </row>
    <row r="151" customFormat="false" ht="13.8" hidden="false" customHeight="false" outlineLevel="0" collapsed="false">
      <c r="A151" s="0" t="s">
        <v>442</v>
      </c>
      <c r="N151" s="4" t="s">
        <v>653</v>
      </c>
      <c r="O151" s="4" t="s">
        <v>312</v>
      </c>
    </row>
    <row r="152" customFormat="false" ht="13.8" hidden="false" customHeight="false" outlineLevel="0" collapsed="false">
      <c r="A152" s="0" t="s">
        <v>443</v>
      </c>
      <c r="N152" s="4" t="s">
        <v>744</v>
      </c>
      <c r="O152" s="4" t="s">
        <v>312</v>
      </c>
    </row>
    <row r="153" customFormat="false" ht="13.8" hidden="false" customHeight="false" outlineLevel="0" collapsed="false">
      <c r="A153" s="0" t="s">
        <v>444</v>
      </c>
      <c r="N153" s="4" t="s">
        <v>669</v>
      </c>
      <c r="O153" s="4" t="s">
        <v>309</v>
      </c>
    </row>
    <row r="154" customFormat="false" ht="13.8" hidden="false" customHeight="false" outlineLevel="0" collapsed="false">
      <c r="A154" s="0" t="s">
        <v>266</v>
      </c>
      <c r="N154" s="4" t="s">
        <v>309</v>
      </c>
      <c r="O154" s="4" t="s">
        <v>309</v>
      </c>
    </row>
    <row r="155" customFormat="false" ht="13.8" hidden="false" customHeight="false" outlineLevel="0" collapsed="false">
      <c r="A155" s="0" t="s">
        <v>445</v>
      </c>
      <c r="N155" s="4" t="s">
        <v>951</v>
      </c>
      <c r="O155" s="4" t="s">
        <v>309</v>
      </c>
    </row>
    <row r="156" customFormat="false" ht="13.8" hidden="false" customHeight="false" outlineLevel="0" collapsed="false">
      <c r="A156" s="0" t="s">
        <v>446</v>
      </c>
      <c r="N156" s="4" t="s">
        <v>767</v>
      </c>
      <c r="O156" s="4" t="s">
        <v>312</v>
      </c>
    </row>
    <row r="157" customFormat="false" ht="13.8" hidden="false" customHeight="false" outlineLevel="0" collapsed="false">
      <c r="A157" s="0" t="s">
        <v>447</v>
      </c>
      <c r="N157" s="4" t="s">
        <v>312</v>
      </c>
      <c r="O157" s="4" t="s">
        <v>312</v>
      </c>
    </row>
    <row r="158" customFormat="false" ht="13.8" hidden="false" customHeight="false" outlineLevel="0" collapsed="false">
      <c r="A158" s="0" t="s">
        <v>448</v>
      </c>
      <c r="N158" s="4" t="s">
        <v>787</v>
      </c>
      <c r="O158" s="4" t="s">
        <v>309</v>
      </c>
    </row>
    <row r="159" customFormat="false" ht="13.8" hidden="false" customHeight="false" outlineLevel="0" collapsed="false">
      <c r="A159" s="0" t="s">
        <v>449</v>
      </c>
      <c r="N159" s="4" t="s">
        <v>677</v>
      </c>
      <c r="O159" s="4" t="s">
        <v>315</v>
      </c>
    </row>
    <row r="160" customFormat="false" ht="13.8" hidden="false" customHeight="false" outlineLevel="0" collapsed="false">
      <c r="A160" s="0" t="s">
        <v>450</v>
      </c>
      <c r="N160" s="4" t="s">
        <v>315</v>
      </c>
      <c r="O160" s="4" t="s">
        <v>315</v>
      </c>
    </row>
    <row r="161" customFormat="false" ht="13.8" hidden="false" customHeight="false" outlineLevel="0" collapsed="false">
      <c r="A161" s="0" t="s">
        <v>451</v>
      </c>
      <c r="N161" s="4" t="s">
        <v>318</v>
      </c>
      <c r="O161" s="4" t="s">
        <v>318</v>
      </c>
    </row>
    <row r="162" customFormat="false" ht="13.8" hidden="false" customHeight="false" outlineLevel="0" collapsed="false">
      <c r="A162" s="0" t="s">
        <v>281</v>
      </c>
      <c r="N162" s="4" t="s">
        <v>324</v>
      </c>
      <c r="O162" s="4" t="s">
        <v>324</v>
      </c>
    </row>
    <row r="163" customFormat="false" ht="13.8" hidden="false" customHeight="false" outlineLevel="0" collapsed="false">
      <c r="A163" s="0" t="s">
        <v>452</v>
      </c>
      <c r="N163" s="4" t="s">
        <v>599</v>
      </c>
      <c r="O163" s="4" t="s">
        <v>327</v>
      </c>
    </row>
    <row r="164" customFormat="false" ht="13.8" hidden="false" customHeight="false" outlineLevel="0" collapsed="false">
      <c r="A164" s="0" t="s">
        <v>453</v>
      </c>
      <c r="N164" s="4" t="s">
        <v>597</v>
      </c>
      <c r="O164" s="4" t="s">
        <v>330</v>
      </c>
    </row>
    <row r="165" customFormat="false" ht="13.8" hidden="false" customHeight="false" outlineLevel="0" collapsed="false">
      <c r="A165" s="0" t="s">
        <v>454</v>
      </c>
      <c r="N165" s="4" t="s">
        <v>771</v>
      </c>
      <c r="O165" s="4" t="s">
        <v>330</v>
      </c>
    </row>
    <row r="166" customFormat="false" ht="13.8" hidden="false" customHeight="false" outlineLevel="0" collapsed="false">
      <c r="A166" s="0" t="s">
        <v>455</v>
      </c>
      <c r="N166" s="4" t="s">
        <v>72</v>
      </c>
      <c r="O166" s="4" t="s">
        <v>333</v>
      </c>
    </row>
    <row r="167" customFormat="false" ht="13.8" hidden="false" customHeight="false" outlineLevel="0" collapsed="false">
      <c r="A167" s="0" t="s">
        <v>456</v>
      </c>
      <c r="N167" s="4" t="s">
        <v>41</v>
      </c>
      <c r="O167" s="4" t="s">
        <v>333</v>
      </c>
    </row>
    <row r="168" customFormat="false" ht="13.8" hidden="false" customHeight="false" outlineLevel="0" collapsed="false">
      <c r="A168" s="0" t="s">
        <v>457</v>
      </c>
      <c r="N168" s="4" t="s">
        <v>654</v>
      </c>
      <c r="O168" s="4" t="s">
        <v>333</v>
      </c>
    </row>
    <row r="169" customFormat="false" ht="13.8" hidden="false" customHeight="false" outlineLevel="0" collapsed="false">
      <c r="A169" s="0" t="s">
        <v>458</v>
      </c>
      <c r="N169" s="4" t="s">
        <v>333</v>
      </c>
      <c r="O169" s="4" t="s">
        <v>333</v>
      </c>
    </row>
    <row r="170" customFormat="false" ht="13.8" hidden="false" customHeight="false" outlineLevel="0" collapsed="false">
      <c r="A170" s="0" t="s">
        <v>459</v>
      </c>
      <c r="N170" s="4" t="s">
        <v>772</v>
      </c>
      <c r="O170" s="4" t="s">
        <v>336</v>
      </c>
    </row>
    <row r="171" customFormat="false" ht="13.8" hidden="false" customHeight="false" outlineLevel="0" collapsed="false">
      <c r="A171" s="0" t="s">
        <v>460</v>
      </c>
      <c r="N171" s="4" t="s">
        <v>86</v>
      </c>
      <c r="O171" s="4" t="s">
        <v>339</v>
      </c>
    </row>
    <row r="172" customFormat="false" ht="13.8" hidden="false" customHeight="false" outlineLevel="0" collapsed="false">
      <c r="A172" s="0" t="s">
        <v>461</v>
      </c>
      <c r="N172" s="4" t="s">
        <v>713</v>
      </c>
      <c r="O172" s="4" t="s">
        <v>339</v>
      </c>
    </row>
    <row r="173" customFormat="false" ht="13.8" hidden="false" customHeight="false" outlineLevel="0" collapsed="false">
      <c r="A173" s="0" t="s">
        <v>462</v>
      </c>
      <c r="N173" s="4" t="s">
        <v>723</v>
      </c>
      <c r="O173" s="4" t="s">
        <v>339</v>
      </c>
    </row>
    <row r="174" customFormat="false" ht="13.8" hidden="false" customHeight="false" outlineLevel="0" collapsed="false">
      <c r="A174" s="0" t="s">
        <v>463</v>
      </c>
      <c r="N174" s="4" t="s">
        <v>721</v>
      </c>
      <c r="O174" s="4" t="s">
        <v>342</v>
      </c>
    </row>
    <row r="175" customFormat="false" ht="13.8" hidden="false" customHeight="false" outlineLevel="0" collapsed="false">
      <c r="A175" s="0" t="s">
        <v>464</v>
      </c>
      <c r="N175" s="4" t="s">
        <v>63</v>
      </c>
      <c r="O175" s="4" t="s">
        <v>345</v>
      </c>
    </row>
    <row r="176" customFormat="false" ht="13.8" hidden="false" customHeight="false" outlineLevel="0" collapsed="false">
      <c r="A176" s="0" t="s">
        <v>465</v>
      </c>
      <c r="N176" s="4" t="s">
        <v>345</v>
      </c>
      <c r="O176" s="4" t="s">
        <v>345</v>
      </c>
    </row>
    <row r="177" customFormat="false" ht="13.8" hidden="false" customHeight="false" outlineLevel="0" collapsed="false">
      <c r="A177" s="0" t="s">
        <v>466</v>
      </c>
      <c r="N177" s="4" t="s">
        <v>550</v>
      </c>
      <c r="O177" s="4" t="s">
        <v>345</v>
      </c>
    </row>
    <row r="178" customFormat="false" ht="13.8" hidden="false" customHeight="false" outlineLevel="0" collapsed="false">
      <c r="A178" s="0" t="s">
        <v>467</v>
      </c>
      <c r="N178" s="4" t="s">
        <v>956</v>
      </c>
      <c r="O178" s="4" t="s">
        <v>183</v>
      </c>
    </row>
    <row r="179" customFormat="false" ht="13.8" hidden="false" customHeight="false" outlineLevel="0" collapsed="false">
      <c r="A179" s="0" t="s">
        <v>468</v>
      </c>
      <c r="N179" s="4" t="s">
        <v>834</v>
      </c>
      <c r="O179" s="4" t="s">
        <v>486</v>
      </c>
    </row>
    <row r="180" customFormat="false" ht="13.8" hidden="false" customHeight="false" outlineLevel="0" collapsed="false">
      <c r="A180" s="0" t="s">
        <v>96</v>
      </c>
      <c r="N180" s="4" t="s">
        <v>11</v>
      </c>
      <c r="O180" s="4" t="s">
        <v>348</v>
      </c>
    </row>
    <row r="181" customFormat="false" ht="13.8" hidden="false" customHeight="false" outlineLevel="0" collapsed="false">
      <c r="A181" s="0" t="s">
        <v>469</v>
      </c>
      <c r="N181" s="4" t="s">
        <v>348</v>
      </c>
      <c r="O181" s="4" t="s">
        <v>348</v>
      </c>
    </row>
    <row r="182" customFormat="false" ht="13.8" hidden="false" customHeight="false" outlineLevel="0" collapsed="false">
      <c r="A182" s="0" t="s">
        <v>470</v>
      </c>
      <c r="N182" s="4" t="s">
        <v>641</v>
      </c>
      <c r="O182" s="4" t="s">
        <v>348</v>
      </c>
    </row>
    <row r="183" customFormat="false" ht="13.8" hidden="false" customHeight="false" outlineLevel="0" collapsed="false">
      <c r="A183" s="0" t="s">
        <v>471</v>
      </c>
      <c r="N183" s="4" t="s">
        <v>351</v>
      </c>
      <c r="O183" s="4" t="s">
        <v>351</v>
      </c>
    </row>
    <row r="184" customFormat="false" ht="13.8" hidden="false" customHeight="false" outlineLevel="0" collapsed="false">
      <c r="A184" s="0" t="s">
        <v>472</v>
      </c>
      <c r="N184" s="4" t="s">
        <v>22</v>
      </c>
      <c r="O184" s="4" t="s">
        <v>354</v>
      </c>
    </row>
    <row r="185" customFormat="false" ht="13.8" hidden="false" customHeight="false" outlineLevel="0" collapsed="false">
      <c r="A185" s="0" t="s">
        <v>473</v>
      </c>
      <c r="N185" s="4" t="s">
        <v>354</v>
      </c>
      <c r="O185" s="4" t="s">
        <v>354</v>
      </c>
    </row>
    <row r="186" customFormat="false" ht="13.8" hidden="false" customHeight="false" outlineLevel="0" collapsed="false">
      <c r="A186" s="0" t="s">
        <v>474</v>
      </c>
      <c r="N186" s="4" t="s">
        <v>645</v>
      </c>
      <c r="O186" s="4" t="s">
        <v>354</v>
      </c>
    </row>
    <row r="187" customFormat="false" ht="13.8" hidden="false" customHeight="false" outlineLevel="0" collapsed="false">
      <c r="A187" s="0" t="s">
        <v>475</v>
      </c>
      <c r="N187" s="4" t="s">
        <v>814</v>
      </c>
      <c r="O187" s="4" t="s">
        <v>354</v>
      </c>
    </row>
    <row r="188" customFormat="false" ht="13.8" hidden="false" customHeight="false" outlineLevel="0" collapsed="false">
      <c r="A188" s="0" t="s">
        <v>476</v>
      </c>
      <c r="N188" s="4" t="s">
        <v>849</v>
      </c>
      <c r="O188" s="4" t="s">
        <v>354</v>
      </c>
    </row>
    <row r="189" customFormat="false" ht="13.8" hidden="false" customHeight="false" outlineLevel="0" collapsed="false">
      <c r="A189" s="0" t="s">
        <v>477</v>
      </c>
      <c r="N189" s="4" t="s">
        <v>802</v>
      </c>
      <c r="O189" s="4" t="s">
        <v>102</v>
      </c>
    </row>
    <row r="190" customFormat="false" ht="13.8" hidden="false" customHeight="false" outlineLevel="0" collapsed="false">
      <c r="A190" s="0" t="s">
        <v>44</v>
      </c>
      <c r="N190" s="4" t="s">
        <v>811</v>
      </c>
      <c r="O190" s="4" t="s">
        <v>102</v>
      </c>
    </row>
    <row r="191" customFormat="false" ht="13.8" hidden="false" customHeight="false" outlineLevel="0" collapsed="false">
      <c r="A191" s="0" t="s">
        <v>478</v>
      </c>
      <c r="N191" s="4" t="s">
        <v>922</v>
      </c>
      <c r="O191" s="4" t="s">
        <v>102</v>
      </c>
    </row>
    <row r="192" customFormat="false" ht="13.8" hidden="false" customHeight="false" outlineLevel="0" collapsed="false">
      <c r="A192" s="0" t="s">
        <v>479</v>
      </c>
      <c r="N192" s="4" t="s">
        <v>574</v>
      </c>
      <c r="O192" s="4" t="s">
        <v>357</v>
      </c>
    </row>
    <row r="193" customFormat="false" ht="13.8" hidden="false" customHeight="false" outlineLevel="0" collapsed="false">
      <c r="A193" s="0" t="s">
        <v>480</v>
      </c>
      <c r="N193" s="4" t="s">
        <v>882</v>
      </c>
      <c r="O193" s="4" t="s">
        <v>386</v>
      </c>
    </row>
    <row r="194" customFormat="false" ht="13.8" hidden="false" customHeight="false" outlineLevel="0" collapsed="false">
      <c r="A194" s="0" t="s">
        <v>481</v>
      </c>
      <c r="N194" s="4" t="s">
        <v>631</v>
      </c>
      <c r="O194" s="4" t="s">
        <v>363</v>
      </c>
    </row>
    <row r="195" customFormat="false" ht="13.8" hidden="false" customHeight="false" outlineLevel="0" collapsed="false">
      <c r="A195" s="0" t="s">
        <v>482</v>
      </c>
      <c r="N195" s="4" t="s">
        <v>711</v>
      </c>
      <c r="O195" s="4" t="s">
        <v>363</v>
      </c>
    </row>
    <row r="196" customFormat="false" ht="13.8" hidden="false" customHeight="false" outlineLevel="0" collapsed="false">
      <c r="A196" s="0" t="s">
        <v>483</v>
      </c>
      <c r="N196" s="4" t="s">
        <v>698</v>
      </c>
      <c r="O196" s="4" t="s">
        <v>363</v>
      </c>
    </row>
    <row r="197" customFormat="false" ht="13.8" hidden="false" customHeight="false" outlineLevel="0" collapsed="false">
      <c r="A197" s="0" t="s">
        <v>484</v>
      </c>
      <c r="N197" s="4" t="s">
        <v>727</v>
      </c>
      <c r="O197" s="4" t="s">
        <v>363</v>
      </c>
    </row>
    <row r="198" customFormat="false" ht="13.8" hidden="false" customHeight="false" outlineLevel="0" collapsed="false">
      <c r="A198" s="0" t="s">
        <v>485</v>
      </c>
      <c r="N198" s="4" t="s">
        <v>7676</v>
      </c>
      <c r="O198" s="4" t="s">
        <v>363</v>
      </c>
    </row>
    <row r="199" customFormat="false" ht="13.8" hidden="false" customHeight="false" outlineLevel="0" collapsed="false">
      <c r="A199" s="0" t="s">
        <v>486</v>
      </c>
      <c r="N199" s="4" t="s">
        <v>868</v>
      </c>
      <c r="O199" s="4" t="s">
        <v>386</v>
      </c>
    </row>
    <row r="200" customFormat="false" ht="13.8" hidden="false" customHeight="false" outlineLevel="0" collapsed="false">
      <c r="A200" s="0" t="s">
        <v>487</v>
      </c>
      <c r="N200" s="4" t="s">
        <v>896</v>
      </c>
      <c r="O200" s="4" t="s">
        <v>386</v>
      </c>
    </row>
    <row r="201" customFormat="false" ht="13.8" hidden="false" customHeight="false" outlineLevel="0" collapsed="false">
      <c r="A201" s="0" t="s">
        <v>488</v>
      </c>
      <c r="N201" s="4" t="s">
        <v>831</v>
      </c>
      <c r="O201" s="4" t="s">
        <v>386</v>
      </c>
    </row>
    <row r="202" customFormat="false" ht="13.8" hidden="false" customHeight="false" outlineLevel="0" collapsed="false">
      <c r="A202" s="0" t="s">
        <v>359</v>
      </c>
      <c r="N202" s="4" t="s">
        <v>869</v>
      </c>
      <c r="O202" s="4" t="s">
        <v>386</v>
      </c>
    </row>
    <row r="203" customFormat="false" ht="13.8" hidden="false" customHeight="false" outlineLevel="0" collapsed="false">
      <c r="A203" s="0" t="s">
        <v>489</v>
      </c>
      <c r="N203" s="4" t="s">
        <v>881</v>
      </c>
      <c r="O203" s="4" t="s">
        <v>386</v>
      </c>
    </row>
    <row r="204" customFormat="false" ht="13.8" hidden="false" customHeight="false" outlineLevel="0" collapsed="false">
      <c r="A204" s="0" t="s">
        <v>490</v>
      </c>
      <c r="N204" s="4" t="s">
        <v>958</v>
      </c>
      <c r="O204" s="4" t="s">
        <v>386</v>
      </c>
    </row>
    <row r="205" customFormat="false" ht="13.8" hidden="false" customHeight="false" outlineLevel="0" collapsed="false">
      <c r="A205" s="0" t="s">
        <v>491</v>
      </c>
      <c r="N205" s="4" t="s">
        <v>708</v>
      </c>
      <c r="O205" s="4" t="s">
        <v>366</v>
      </c>
    </row>
    <row r="206" customFormat="false" ht="13.8" hidden="false" customHeight="false" outlineLevel="0" collapsed="false">
      <c r="A206" s="0" t="s">
        <v>492</v>
      </c>
      <c r="N206" s="4" t="s">
        <v>563</v>
      </c>
      <c r="O206" s="4" t="s">
        <v>386</v>
      </c>
    </row>
    <row r="207" customFormat="false" ht="13.8" hidden="false" customHeight="false" outlineLevel="0" collapsed="false">
      <c r="A207" s="0" t="s">
        <v>493</v>
      </c>
      <c r="N207" s="4" t="s">
        <v>801</v>
      </c>
      <c r="O207" s="4" t="s">
        <v>386</v>
      </c>
    </row>
    <row r="208" customFormat="false" ht="13.8" hidden="false" customHeight="false" outlineLevel="0" collapsed="false">
      <c r="A208" s="0" t="s">
        <v>494</v>
      </c>
      <c r="N208" s="4" t="s">
        <v>879</v>
      </c>
      <c r="O208" s="4" t="s">
        <v>386</v>
      </c>
    </row>
    <row r="209" customFormat="false" ht="13.8" hidden="false" customHeight="false" outlineLevel="0" collapsed="false">
      <c r="A209" s="0" t="s">
        <v>495</v>
      </c>
      <c r="N209" s="4" t="s">
        <v>856</v>
      </c>
      <c r="O209" s="4" t="s">
        <v>386</v>
      </c>
    </row>
    <row r="210" customFormat="false" ht="13.8" hidden="false" customHeight="false" outlineLevel="0" collapsed="false">
      <c r="A210" s="0" t="s">
        <v>496</v>
      </c>
      <c r="N210" s="4" t="s">
        <v>914</v>
      </c>
      <c r="O210" s="4" t="s">
        <v>386</v>
      </c>
    </row>
    <row r="211" customFormat="false" ht="13.8" hidden="false" customHeight="false" outlineLevel="0" collapsed="false">
      <c r="A211" s="0" t="s">
        <v>497</v>
      </c>
      <c r="N211" s="4" t="s">
        <v>851</v>
      </c>
      <c r="O211" s="4" t="s">
        <v>386</v>
      </c>
    </row>
    <row r="212" customFormat="false" ht="13.8" hidden="false" customHeight="false" outlineLevel="0" collapsed="false">
      <c r="A212" s="0" t="s">
        <v>498</v>
      </c>
      <c r="N212" s="4" t="s">
        <v>763</v>
      </c>
      <c r="O212" s="4" t="s">
        <v>368</v>
      </c>
    </row>
    <row r="213" customFormat="false" ht="13.8" hidden="false" customHeight="false" outlineLevel="0" collapsed="false">
      <c r="A213" s="0" t="s">
        <v>499</v>
      </c>
      <c r="N213" s="4" t="s">
        <v>949</v>
      </c>
      <c r="O213" s="4" t="s">
        <v>386</v>
      </c>
    </row>
    <row r="214" customFormat="false" ht="13.8" hidden="false" customHeight="false" outlineLevel="0" collapsed="false">
      <c r="N214" s="4" t="s">
        <v>371</v>
      </c>
      <c r="O214" s="4" t="s">
        <v>371</v>
      </c>
    </row>
    <row r="215" customFormat="false" ht="13.8" hidden="false" customHeight="false" outlineLevel="0" collapsed="false">
      <c r="N215" s="4" t="s">
        <v>549</v>
      </c>
      <c r="O215" s="4" t="s">
        <v>374</v>
      </c>
    </row>
    <row r="216" customFormat="false" ht="13.8" hidden="false" customHeight="false" outlineLevel="0" collapsed="false">
      <c r="N216" s="4" t="s">
        <v>790</v>
      </c>
      <c r="O216" s="4" t="s">
        <v>374</v>
      </c>
    </row>
    <row r="217" customFormat="false" ht="13.8" hidden="false" customHeight="false" outlineLevel="0" collapsed="false">
      <c r="N217" s="4" t="s">
        <v>374</v>
      </c>
      <c r="O217" s="4" t="s">
        <v>374</v>
      </c>
    </row>
    <row r="218" customFormat="false" ht="13.8" hidden="false" customHeight="false" outlineLevel="0" collapsed="false">
      <c r="N218" s="4" t="s">
        <v>915</v>
      </c>
      <c r="O218" s="200" t="s">
        <v>474</v>
      </c>
    </row>
    <row r="219" customFormat="false" ht="13.8" hidden="false" customHeight="false" outlineLevel="0" collapsed="false">
      <c r="N219" s="4" t="s">
        <v>377</v>
      </c>
      <c r="O219" s="4" t="s">
        <v>377</v>
      </c>
    </row>
    <row r="220" customFormat="false" ht="13.8" hidden="false" customHeight="false" outlineLevel="0" collapsed="false">
      <c r="N220" s="4" t="s">
        <v>961</v>
      </c>
      <c r="O220" s="4" t="s">
        <v>377</v>
      </c>
    </row>
    <row r="221" customFormat="false" ht="13.8" hidden="false" customHeight="false" outlineLevel="0" collapsed="false">
      <c r="N221" s="4" t="s">
        <v>735</v>
      </c>
      <c r="O221" s="4" t="s">
        <v>377</v>
      </c>
    </row>
    <row r="222" customFormat="false" ht="13.8" hidden="false" customHeight="false" outlineLevel="0" collapsed="false">
      <c r="N222" s="4" t="s">
        <v>671</v>
      </c>
      <c r="O222" s="4" t="s">
        <v>377</v>
      </c>
    </row>
    <row r="223" customFormat="false" ht="13.8" hidden="false" customHeight="false" outlineLevel="0" collapsed="false">
      <c r="N223" s="4" t="s">
        <v>36</v>
      </c>
      <c r="O223" s="4" t="s">
        <v>377</v>
      </c>
    </row>
    <row r="224" customFormat="false" ht="13.8" hidden="false" customHeight="false" outlineLevel="0" collapsed="false">
      <c r="N224" s="4" t="s">
        <v>545</v>
      </c>
      <c r="O224" s="4" t="s">
        <v>377</v>
      </c>
    </row>
    <row r="225" customFormat="false" ht="15" hidden="false" customHeight="false" outlineLevel="0" collapsed="false">
      <c r="N225" s="35" t="s">
        <v>12</v>
      </c>
      <c r="O225" s="4" t="s">
        <v>377</v>
      </c>
    </row>
    <row r="226" customFormat="false" ht="13.8" hidden="false" customHeight="false" outlineLevel="0" collapsed="false">
      <c r="N226" s="4" t="s">
        <v>623</v>
      </c>
      <c r="O226" s="4" t="s">
        <v>380</v>
      </c>
    </row>
    <row r="227" customFormat="false" ht="13.8" hidden="false" customHeight="false" outlineLevel="0" collapsed="false">
      <c r="N227" s="4" t="s">
        <v>380</v>
      </c>
      <c r="O227" s="4" t="s">
        <v>380</v>
      </c>
    </row>
    <row r="228" customFormat="false" ht="13.8" hidden="false" customHeight="false" outlineLevel="0" collapsed="false">
      <c r="N228" s="4" t="s">
        <v>564</v>
      </c>
      <c r="O228" s="4" t="s">
        <v>382</v>
      </c>
    </row>
    <row r="229" customFormat="false" ht="13.8" hidden="false" customHeight="false" outlineLevel="0" collapsed="false">
      <c r="N229" s="4" t="s">
        <v>382</v>
      </c>
      <c r="O229" s="4" t="s">
        <v>382</v>
      </c>
    </row>
    <row r="230" customFormat="false" ht="13.8" hidden="false" customHeight="false" outlineLevel="0" collapsed="false">
      <c r="N230" s="4" t="s">
        <v>750</v>
      </c>
      <c r="O230" s="4" t="s">
        <v>382</v>
      </c>
    </row>
    <row r="231" customFormat="false" ht="13.8" hidden="false" customHeight="false" outlineLevel="0" collapsed="false">
      <c r="N231" s="4" t="s">
        <v>768</v>
      </c>
      <c r="O231" s="4" t="s">
        <v>382</v>
      </c>
    </row>
    <row r="232" customFormat="false" ht="13.8" hidden="false" customHeight="false" outlineLevel="0" collapsed="false">
      <c r="N232" s="4" t="s">
        <v>890</v>
      </c>
      <c r="O232" s="4" t="s">
        <v>382</v>
      </c>
    </row>
    <row r="233" customFormat="false" ht="13.8" hidden="false" customHeight="false" outlineLevel="0" collapsed="false">
      <c r="N233" s="4" t="s">
        <v>611</v>
      </c>
      <c r="O233" s="4" t="s">
        <v>384</v>
      </c>
    </row>
    <row r="234" customFormat="false" ht="13.8" hidden="false" customHeight="false" outlineLevel="0" collapsed="false">
      <c r="N234" s="4" t="s">
        <v>526</v>
      </c>
      <c r="O234" s="4" t="s">
        <v>386</v>
      </c>
    </row>
    <row r="235" customFormat="false" ht="13.8" hidden="false" customHeight="false" outlineLevel="0" collapsed="false">
      <c r="N235" s="4" t="s">
        <v>83</v>
      </c>
      <c r="O235" s="4" t="s">
        <v>386</v>
      </c>
    </row>
    <row r="236" customFormat="false" ht="13.8" hidden="false" customHeight="false" outlineLevel="0" collapsed="false">
      <c r="N236" s="4" t="s">
        <v>686</v>
      </c>
      <c r="O236" s="4" t="s">
        <v>386</v>
      </c>
    </row>
    <row r="237" customFormat="false" ht="13.8" hidden="false" customHeight="false" outlineLevel="0" collapsed="false">
      <c r="N237" s="4" t="s">
        <v>694</v>
      </c>
      <c r="O237" s="4" t="s">
        <v>386</v>
      </c>
    </row>
    <row r="238" customFormat="false" ht="13.8" hidden="false" customHeight="false" outlineLevel="0" collapsed="false">
      <c r="N238" s="4" t="s">
        <v>15</v>
      </c>
      <c r="O238" s="4" t="s">
        <v>386</v>
      </c>
    </row>
    <row r="239" customFormat="false" ht="13.8" hidden="false" customHeight="false" outlineLevel="0" collapsed="false">
      <c r="N239" s="4" t="s">
        <v>69</v>
      </c>
      <c r="O239" s="4" t="s">
        <v>386</v>
      </c>
    </row>
    <row r="240" customFormat="false" ht="13.8" hidden="false" customHeight="false" outlineLevel="0" collapsed="false">
      <c r="N240" s="4" t="s">
        <v>926</v>
      </c>
      <c r="O240" s="4" t="s">
        <v>388</v>
      </c>
    </row>
    <row r="241" customFormat="false" ht="13.8" hidden="false" customHeight="false" outlineLevel="0" collapsed="false">
      <c r="N241" s="4" t="s">
        <v>388</v>
      </c>
      <c r="O241" s="4" t="s">
        <v>388</v>
      </c>
    </row>
    <row r="242" customFormat="false" ht="13.8" hidden="false" customHeight="false" outlineLevel="0" collapsed="false">
      <c r="N242" s="4" t="s">
        <v>562</v>
      </c>
      <c r="O242" s="4" t="s">
        <v>391</v>
      </c>
    </row>
    <row r="243" customFormat="false" ht="13.8" hidden="false" customHeight="false" outlineLevel="0" collapsed="false">
      <c r="N243" s="4" t="s">
        <v>391</v>
      </c>
      <c r="O243" s="4" t="s">
        <v>391</v>
      </c>
    </row>
    <row r="244" customFormat="false" ht="13.8" hidden="false" customHeight="false" outlineLevel="0" collapsed="false">
      <c r="N244" s="4" t="s">
        <v>960</v>
      </c>
      <c r="O244" s="4" t="s">
        <v>391</v>
      </c>
    </row>
    <row r="245" customFormat="false" ht="13.8" hidden="false" customHeight="false" outlineLevel="0" collapsed="false">
      <c r="N245" s="4" t="s">
        <v>650</v>
      </c>
      <c r="O245" s="4" t="s">
        <v>391</v>
      </c>
    </row>
    <row r="246" customFormat="false" ht="13.8" hidden="false" customHeight="false" outlineLevel="0" collapsed="false">
      <c r="N246" s="4" t="s">
        <v>657</v>
      </c>
      <c r="O246" s="4" t="s">
        <v>391</v>
      </c>
    </row>
    <row r="247" customFormat="false" ht="13.8" hidden="false" customHeight="false" outlineLevel="0" collapsed="false">
      <c r="N247" s="4" t="s">
        <v>769</v>
      </c>
      <c r="O247" s="4" t="s">
        <v>391</v>
      </c>
    </row>
    <row r="248" customFormat="false" ht="13.8" hidden="false" customHeight="false" outlineLevel="0" collapsed="false">
      <c r="N248" s="4" t="s">
        <v>392</v>
      </c>
      <c r="O248" s="4" t="s">
        <v>392</v>
      </c>
    </row>
    <row r="249" customFormat="false" ht="13.8" hidden="false" customHeight="false" outlineLevel="0" collapsed="false">
      <c r="N249" s="4" t="s">
        <v>43</v>
      </c>
      <c r="O249" s="4" t="s">
        <v>393</v>
      </c>
    </row>
    <row r="250" customFormat="false" ht="13.8" hidden="false" customHeight="false" outlineLevel="0" collapsed="false">
      <c r="N250" s="4" t="s">
        <v>393</v>
      </c>
      <c r="O250" s="4" t="s">
        <v>393</v>
      </c>
    </row>
    <row r="251" customFormat="false" ht="13.8" hidden="false" customHeight="false" outlineLevel="0" collapsed="false">
      <c r="N251" s="4" t="s">
        <v>947</v>
      </c>
      <c r="O251" s="4" t="s">
        <v>393</v>
      </c>
    </row>
    <row r="252" customFormat="false" ht="13.8" hidden="false" customHeight="false" outlineLevel="0" collapsed="false">
      <c r="N252" s="4" t="s">
        <v>541</v>
      </c>
      <c r="O252" s="4" t="s">
        <v>394</v>
      </c>
    </row>
    <row r="253" customFormat="false" ht="13.8" hidden="false" customHeight="false" outlineLevel="0" collapsed="false">
      <c r="N253" s="4" t="s">
        <v>394</v>
      </c>
      <c r="O253" s="4" t="s">
        <v>394</v>
      </c>
    </row>
    <row r="254" customFormat="false" ht="15.95" hidden="false" customHeight="false" outlineLevel="0" collapsed="false">
      <c r="N254" s="201" t="s">
        <v>90</v>
      </c>
      <c r="O254" s="4" t="s">
        <v>506</v>
      </c>
    </row>
    <row r="255" customFormat="false" ht="15" hidden="false" customHeight="false" outlineLevel="0" collapsed="false">
      <c r="N255" s="202" t="s">
        <v>93</v>
      </c>
      <c r="O255" s="202" t="s">
        <v>507</v>
      </c>
    </row>
    <row r="256" customFormat="false" ht="13.8" hidden="false" customHeight="false" outlineLevel="0" collapsed="false">
      <c r="N256" s="99" t="s">
        <v>894</v>
      </c>
      <c r="O256" s="99" t="s">
        <v>508</v>
      </c>
    </row>
    <row r="257" customFormat="false" ht="13.8" hidden="false" customHeight="false" outlineLevel="0" collapsed="false">
      <c r="N257" s="4" t="s">
        <v>559</v>
      </c>
      <c r="O257" s="4" t="s">
        <v>395</v>
      </c>
    </row>
    <row r="258" customFormat="false" ht="13.8" hidden="false" customHeight="false" outlineLevel="0" collapsed="false">
      <c r="N258" s="4" t="s">
        <v>804</v>
      </c>
      <c r="O258" s="4" t="s">
        <v>396</v>
      </c>
    </row>
    <row r="259" customFormat="false" ht="13.8" hidden="false" customHeight="false" outlineLevel="0" collapsed="false">
      <c r="N259" s="4" t="s">
        <v>821</v>
      </c>
      <c r="O259" s="4" t="s">
        <v>380</v>
      </c>
    </row>
    <row r="260" customFormat="false" ht="13.8" hidden="false" customHeight="false" outlineLevel="0" collapsed="false">
      <c r="N260" s="4" t="s">
        <v>682</v>
      </c>
      <c r="O260" s="4" t="s">
        <v>380</v>
      </c>
    </row>
    <row r="261" customFormat="false" ht="13.8" hidden="false" customHeight="false" outlineLevel="0" collapsed="false">
      <c r="N261" s="4" t="s">
        <v>764</v>
      </c>
      <c r="O261" s="4" t="s">
        <v>397</v>
      </c>
    </row>
    <row r="262" customFormat="false" ht="13.8" hidden="false" customHeight="false" outlineLevel="0" collapsed="false">
      <c r="N262" s="4" t="s">
        <v>14</v>
      </c>
      <c r="O262" s="4" t="s">
        <v>398</v>
      </c>
    </row>
    <row r="263" customFormat="false" ht="13.8" hidden="false" customHeight="false" outlineLevel="0" collapsed="false">
      <c r="N263" s="4" t="s">
        <v>398</v>
      </c>
      <c r="O263" s="4" t="s">
        <v>398</v>
      </c>
    </row>
    <row r="264" customFormat="false" ht="13.8" hidden="false" customHeight="false" outlineLevel="0" collapsed="false">
      <c r="N264" s="4" t="s">
        <v>880</v>
      </c>
      <c r="O264" s="4" t="s">
        <v>398</v>
      </c>
    </row>
    <row r="265" customFormat="false" ht="13.8" hidden="false" customHeight="false" outlineLevel="0" collapsed="false">
      <c r="N265" s="4" t="s">
        <v>569</v>
      </c>
      <c r="O265" s="4" t="s">
        <v>399</v>
      </c>
    </row>
    <row r="266" customFormat="false" ht="13.8" hidden="false" customHeight="false" outlineLevel="0" collapsed="false">
      <c r="N266" s="4" t="s">
        <v>399</v>
      </c>
      <c r="O266" s="4" t="s">
        <v>399</v>
      </c>
    </row>
    <row r="267" customFormat="false" ht="13.8" hidden="false" customHeight="false" outlineLevel="0" collapsed="false">
      <c r="N267" s="4" t="s">
        <v>25</v>
      </c>
      <c r="O267" s="4" t="s">
        <v>399</v>
      </c>
    </row>
    <row r="268" customFormat="false" ht="13.8" hidden="false" customHeight="false" outlineLevel="0" collapsed="false">
      <c r="N268" s="4" t="s">
        <v>925</v>
      </c>
      <c r="O268" s="4" t="s">
        <v>400</v>
      </c>
    </row>
    <row r="269" customFormat="false" ht="13.8" hidden="false" customHeight="false" outlineLevel="0" collapsed="false">
      <c r="N269" s="4" t="s">
        <v>38</v>
      </c>
      <c r="O269" s="4" t="s">
        <v>38</v>
      </c>
    </row>
    <row r="270" customFormat="false" ht="13.8" hidden="false" customHeight="false" outlineLevel="0" collapsed="false">
      <c r="N270" s="4" t="s">
        <v>651</v>
      </c>
      <c r="O270" s="4" t="s">
        <v>38</v>
      </c>
    </row>
    <row r="271" customFormat="false" ht="13.8" hidden="false" customHeight="false" outlineLevel="0" collapsed="false">
      <c r="N271" s="4" t="s">
        <v>673</v>
      </c>
      <c r="O271" s="4" t="s">
        <v>38</v>
      </c>
    </row>
    <row r="272" customFormat="false" ht="13.8" hidden="false" customHeight="false" outlineLevel="0" collapsed="false">
      <c r="N272" s="4" t="s">
        <v>586</v>
      </c>
      <c r="O272" s="4" t="s">
        <v>38</v>
      </c>
    </row>
    <row r="273" customFormat="false" ht="13.8" hidden="false" customHeight="false" outlineLevel="0" collapsed="false">
      <c r="N273" s="4" t="s">
        <v>803</v>
      </c>
      <c r="O273" s="4" t="s">
        <v>38</v>
      </c>
    </row>
    <row r="274" customFormat="false" ht="13.8" hidden="false" customHeight="false" outlineLevel="0" collapsed="false">
      <c r="N274" s="4" t="s">
        <v>675</v>
      </c>
      <c r="O274" s="4" t="s">
        <v>401</v>
      </c>
    </row>
    <row r="275" customFormat="false" ht="13.8" hidden="false" customHeight="false" outlineLevel="0" collapsed="false">
      <c r="N275" s="4" t="s">
        <v>531</v>
      </c>
      <c r="O275" s="4" t="s">
        <v>402</v>
      </c>
    </row>
    <row r="276" customFormat="false" ht="13.8" hidden="false" customHeight="false" outlineLevel="0" collapsed="false">
      <c r="N276" s="4" t="s">
        <v>402</v>
      </c>
      <c r="O276" s="4" t="s">
        <v>402</v>
      </c>
    </row>
    <row r="277" customFormat="false" ht="13.8" hidden="false" customHeight="false" outlineLevel="0" collapsed="false">
      <c r="N277" s="4" t="s">
        <v>646</v>
      </c>
      <c r="O277" s="4" t="s">
        <v>403</v>
      </c>
    </row>
    <row r="278" customFormat="false" ht="13.8" hidden="false" customHeight="false" outlineLevel="0" collapsed="false">
      <c r="N278" s="4" t="s">
        <v>776</v>
      </c>
      <c r="O278" s="4" t="s">
        <v>404</v>
      </c>
    </row>
    <row r="279" customFormat="false" ht="13.8" hidden="false" customHeight="false" outlineLevel="0" collapsed="false">
      <c r="N279" s="4" t="s">
        <v>74</v>
      </c>
      <c r="O279" s="4" t="s">
        <v>402</v>
      </c>
    </row>
    <row r="280" customFormat="false" ht="13.8" hidden="false" customHeight="false" outlineLevel="0" collapsed="false">
      <c r="N280" s="4" t="s">
        <v>405</v>
      </c>
      <c r="O280" s="4" t="s">
        <v>405</v>
      </c>
    </row>
    <row r="281" customFormat="false" ht="13.8" hidden="false" customHeight="false" outlineLevel="0" collapsed="false">
      <c r="N281" s="4" t="s">
        <v>406</v>
      </c>
      <c r="O281" s="4" t="s">
        <v>406</v>
      </c>
    </row>
    <row r="282" customFormat="false" ht="15" hidden="false" customHeight="false" outlineLevel="0" collapsed="false">
      <c r="N282" s="35" t="s">
        <v>81</v>
      </c>
      <c r="O282" s="4" t="s">
        <v>406</v>
      </c>
    </row>
    <row r="283" customFormat="false" ht="13.8" hidden="false" customHeight="false" outlineLevel="0" collapsed="false">
      <c r="N283" s="4" t="s">
        <v>860</v>
      </c>
      <c r="O283" s="4" t="s">
        <v>406</v>
      </c>
    </row>
    <row r="284" customFormat="false" ht="13.8" hidden="false" customHeight="false" outlineLevel="0" collapsed="false">
      <c r="N284" s="4" t="s">
        <v>593</v>
      </c>
      <c r="O284" s="4" t="s">
        <v>407</v>
      </c>
    </row>
    <row r="285" customFormat="false" ht="13.8" hidden="false" customHeight="false" outlineLevel="0" collapsed="false">
      <c r="N285" s="4" t="s">
        <v>760</v>
      </c>
      <c r="O285" s="4" t="s">
        <v>408</v>
      </c>
    </row>
    <row r="286" customFormat="false" ht="13.8" hidden="false" customHeight="false" outlineLevel="0" collapsed="false">
      <c r="N286" s="4" t="s">
        <v>625</v>
      </c>
      <c r="O286" s="4" t="s">
        <v>409</v>
      </c>
    </row>
    <row r="287" customFormat="false" ht="13.8" hidden="false" customHeight="false" outlineLevel="0" collapsed="false">
      <c r="N287" s="4" t="s">
        <v>773</v>
      </c>
      <c r="O287" s="4" t="s">
        <v>410</v>
      </c>
    </row>
    <row r="288" customFormat="false" ht="13.8" hidden="false" customHeight="false" outlineLevel="0" collapsed="false">
      <c r="N288" s="4" t="s">
        <v>621</v>
      </c>
      <c r="O288" s="4" t="s">
        <v>411</v>
      </c>
    </row>
    <row r="289" customFormat="false" ht="13.8" hidden="false" customHeight="false" outlineLevel="0" collapsed="false">
      <c r="N289" s="4" t="s">
        <v>809</v>
      </c>
      <c r="O289" s="4" t="s">
        <v>412</v>
      </c>
    </row>
    <row r="290" customFormat="false" ht="13.8" hidden="false" customHeight="false" outlineLevel="0" collapsed="false">
      <c r="N290" s="4" t="s">
        <v>825</v>
      </c>
      <c r="O290" s="4" t="s">
        <v>412</v>
      </c>
    </row>
    <row r="291" customFormat="false" ht="13.8" hidden="false" customHeight="false" outlineLevel="0" collapsed="false">
      <c r="N291" s="4" t="s">
        <v>412</v>
      </c>
      <c r="O291" s="4" t="s">
        <v>412</v>
      </c>
    </row>
    <row r="292" customFormat="false" ht="13.8" hidden="false" customHeight="false" outlineLevel="0" collapsed="false">
      <c r="N292" s="4" t="s">
        <v>903</v>
      </c>
      <c r="O292" s="4" t="s">
        <v>412</v>
      </c>
    </row>
    <row r="293" customFormat="false" ht="13.8" hidden="false" customHeight="false" outlineLevel="0" collapsed="false">
      <c r="N293" s="4" t="s">
        <v>857</v>
      </c>
      <c r="O293" s="4" t="s">
        <v>412</v>
      </c>
    </row>
    <row r="294" customFormat="false" ht="13.8" hidden="false" customHeight="false" outlineLevel="0" collapsed="false">
      <c r="N294" s="4" t="s">
        <v>542</v>
      </c>
      <c r="O294" s="4" t="s">
        <v>412</v>
      </c>
    </row>
    <row r="295" customFormat="false" ht="13.8" hidden="false" customHeight="false" outlineLevel="0" collapsed="false">
      <c r="N295" s="4" t="s">
        <v>741</v>
      </c>
      <c r="O295" s="4" t="s">
        <v>412</v>
      </c>
    </row>
    <row r="296" customFormat="false" ht="13.8" hidden="false" customHeight="false" outlineLevel="0" collapsed="false">
      <c r="N296" s="4" t="s">
        <v>528</v>
      </c>
      <c r="O296" s="4" t="s">
        <v>412</v>
      </c>
    </row>
    <row r="297" customFormat="false" ht="13.8" hidden="false" customHeight="false" outlineLevel="0" collapsed="false">
      <c r="N297" s="4" t="s">
        <v>842</v>
      </c>
      <c r="O297" s="4" t="s">
        <v>412</v>
      </c>
    </row>
    <row r="298" customFormat="false" ht="13.8" hidden="false" customHeight="false" outlineLevel="0" collapsed="false">
      <c r="N298" s="4" t="s">
        <v>953</v>
      </c>
      <c r="O298" s="4" t="s">
        <v>412</v>
      </c>
    </row>
    <row r="299" customFormat="false" ht="13.8" hidden="false" customHeight="false" outlineLevel="0" collapsed="false">
      <c r="N299" s="4" t="s">
        <v>554</v>
      </c>
      <c r="O299" s="4" t="s">
        <v>412</v>
      </c>
    </row>
    <row r="300" customFormat="false" ht="13.8" hidden="false" customHeight="false" outlineLevel="0" collapsed="false">
      <c r="N300" s="4" t="s">
        <v>932</v>
      </c>
      <c r="O300" s="4" t="s">
        <v>412</v>
      </c>
    </row>
    <row r="301" customFormat="false" ht="13.8" hidden="false" customHeight="false" outlineLevel="0" collapsed="false">
      <c r="N301" s="4" t="s">
        <v>766</v>
      </c>
      <c r="O301" s="4" t="s">
        <v>412</v>
      </c>
    </row>
    <row r="302" customFormat="false" ht="13.8" hidden="false" customHeight="false" outlineLevel="0" collapsed="false">
      <c r="N302" s="4" t="s">
        <v>765</v>
      </c>
      <c r="O302" s="4" t="s">
        <v>413</v>
      </c>
    </row>
    <row r="303" customFormat="false" ht="13.8" hidden="false" customHeight="false" outlineLevel="0" collapsed="false">
      <c r="N303" s="4" t="s">
        <v>812</v>
      </c>
      <c r="O303" s="4" t="s">
        <v>417</v>
      </c>
    </row>
    <row r="304" customFormat="false" ht="13.8" hidden="false" customHeight="false" outlineLevel="0" collapsed="false">
      <c r="N304" s="4" t="s">
        <v>414</v>
      </c>
      <c r="O304" s="4" t="s">
        <v>414</v>
      </c>
    </row>
    <row r="305" customFormat="false" ht="13.8" hidden="false" customHeight="false" outlineLevel="0" collapsed="false">
      <c r="N305" s="4" t="s">
        <v>874</v>
      </c>
      <c r="O305" s="4" t="s">
        <v>415</v>
      </c>
    </row>
    <row r="306" customFormat="false" ht="13.8" hidden="false" customHeight="false" outlineLevel="0" collapsed="false">
      <c r="N306" s="4" t="s">
        <v>779</v>
      </c>
      <c r="O306" s="4" t="s">
        <v>416</v>
      </c>
    </row>
    <row r="307" customFormat="false" ht="13.8" hidden="false" customHeight="false" outlineLevel="0" collapsed="false">
      <c r="N307" s="4" t="s">
        <v>684</v>
      </c>
      <c r="O307" s="4" t="s">
        <v>417</v>
      </c>
    </row>
    <row r="308" customFormat="false" ht="13.8" hidden="false" customHeight="false" outlineLevel="0" collapsed="false">
      <c r="N308" s="4" t="s">
        <v>579</v>
      </c>
      <c r="O308" s="4" t="s">
        <v>418</v>
      </c>
    </row>
    <row r="309" customFormat="false" ht="13.8" hidden="false" customHeight="false" outlineLevel="0" collapsed="false">
      <c r="N309" s="4" t="s">
        <v>419</v>
      </c>
      <c r="O309" s="4" t="s">
        <v>419</v>
      </c>
    </row>
    <row r="310" customFormat="false" ht="13.8" hidden="false" customHeight="false" outlineLevel="0" collapsed="false">
      <c r="N310" s="4" t="s">
        <v>573</v>
      </c>
      <c r="O310" s="4" t="s">
        <v>420</v>
      </c>
    </row>
    <row r="311" customFormat="false" ht="13.8" hidden="false" customHeight="false" outlineLevel="0" collapsed="false">
      <c r="N311" s="4" t="s">
        <v>843</v>
      </c>
      <c r="O311" s="4" t="s">
        <v>420</v>
      </c>
    </row>
    <row r="312" customFormat="false" ht="13.8" hidden="false" customHeight="false" outlineLevel="0" collapsed="false">
      <c r="N312" s="4" t="s">
        <v>861</v>
      </c>
      <c r="O312" s="4" t="s">
        <v>421</v>
      </c>
    </row>
    <row r="313" customFormat="false" ht="13.8" hidden="false" customHeight="false" outlineLevel="0" collapsed="false">
      <c r="N313" s="4" t="s">
        <v>421</v>
      </c>
      <c r="O313" s="4" t="s">
        <v>421</v>
      </c>
    </row>
    <row r="314" customFormat="false" ht="13.8" hidden="false" customHeight="false" outlineLevel="0" collapsed="false">
      <c r="N314" s="4" t="s">
        <v>888</v>
      </c>
      <c r="O314" s="4" t="s">
        <v>421</v>
      </c>
    </row>
    <row r="315" customFormat="false" ht="13.8" hidden="false" customHeight="false" outlineLevel="0" collapsed="false">
      <c r="N315" s="4" t="s">
        <v>751</v>
      </c>
      <c r="O315" s="4" t="s">
        <v>429</v>
      </c>
    </row>
    <row r="316" customFormat="false" ht="13.8" hidden="false" customHeight="false" outlineLevel="0" collapsed="false">
      <c r="N316" s="4" t="s">
        <v>232</v>
      </c>
      <c r="O316" s="4" t="s">
        <v>233</v>
      </c>
    </row>
    <row r="317" customFormat="false" ht="13.8" hidden="false" customHeight="false" outlineLevel="0" collapsed="false">
      <c r="N317" s="4" t="s">
        <v>759</v>
      </c>
      <c r="O317" s="4" t="s">
        <v>422</v>
      </c>
    </row>
    <row r="318" customFormat="false" ht="13.8" hidden="false" customHeight="false" outlineLevel="0" collapsed="false">
      <c r="N318" s="4" t="s">
        <v>928</v>
      </c>
      <c r="O318" s="4" t="s">
        <v>423</v>
      </c>
    </row>
    <row r="319" customFormat="false" ht="13.8" hidden="false" customHeight="false" outlineLevel="0" collapsed="false">
      <c r="N319" s="4" t="s">
        <v>837</v>
      </c>
      <c r="O319" s="4" t="s">
        <v>423</v>
      </c>
    </row>
    <row r="320" customFormat="false" ht="13.8" hidden="false" customHeight="false" outlineLevel="0" collapsed="false">
      <c r="N320" s="4" t="s">
        <v>424</v>
      </c>
      <c r="O320" s="4" t="s">
        <v>424</v>
      </c>
    </row>
    <row r="321" customFormat="false" ht="13.8" hidden="false" customHeight="false" outlineLevel="0" collapsed="false">
      <c r="N321" s="4" t="s">
        <v>557</v>
      </c>
      <c r="O321" s="4" t="s">
        <v>423</v>
      </c>
    </row>
    <row r="322" customFormat="false" ht="13.8" hidden="false" customHeight="false" outlineLevel="0" collapsed="false">
      <c r="N322" s="4" t="s">
        <v>833</v>
      </c>
      <c r="O322" s="4" t="s">
        <v>423</v>
      </c>
    </row>
    <row r="323" customFormat="false" ht="13.8" hidden="false" customHeight="false" outlineLevel="0" collapsed="false">
      <c r="N323" s="4" t="s">
        <v>238</v>
      </c>
      <c r="O323" s="4" t="s">
        <v>423</v>
      </c>
    </row>
    <row r="324" customFormat="false" ht="13.8" hidden="false" customHeight="false" outlineLevel="0" collapsed="false">
      <c r="N324" s="4" t="s">
        <v>781</v>
      </c>
      <c r="O324" s="4" t="s">
        <v>425</v>
      </c>
    </row>
    <row r="325" customFormat="false" ht="13.8" hidden="false" customHeight="false" outlineLevel="0" collapsed="false">
      <c r="N325" s="4" t="s">
        <v>692</v>
      </c>
      <c r="O325" s="4" t="s">
        <v>426</v>
      </c>
    </row>
    <row r="326" customFormat="false" ht="13.8" hidden="false" customHeight="false" outlineLevel="0" collapsed="false">
      <c r="N326" s="4" t="s">
        <v>639</v>
      </c>
      <c r="O326" s="4" t="s">
        <v>427</v>
      </c>
    </row>
    <row r="327" customFormat="false" ht="13.8" hidden="false" customHeight="false" outlineLevel="0" collapsed="false">
      <c r="N327" s="4" t="s">
        <v>7677</v>
      </c>
      <c r="O327" s="4" t="s">
        <v>427</v>
      </c>
    </row>
    <row r="328" customFormat="false" ht="13.8" hidden="false" customHeight="false" outlineLevel="0" collapsed="false">
      <c r="N328" s="4" t="s">
        <v>826</v>
      </c>
      <c r="O328" s="4" t="s">
        <v>428</v>
      </c>
    </row>
    <row r="329" customFormat="false" ht="13.8" hidden="false" customHeight="false" outlineLevel="0" collapsed="false">
      <c r="N329" s="4" t="s">
        <v>807</v>
      </c>
      <c r="O329" s="4" t="s">
        <v>429</v>
      </c>
    </row>
    <row r="330" customFormat="false" ht="13.8" hidden="false" customHeight="false" outlineLevel="0" collapsed="false">
      <c r="N330" s="4" t="s">
        <v>889</v>
      </c>
      <c r="O330" s="4" t="s">
        <v>429</v>
      </c>
    </row>
    <row r="331" customFormat="false" ht="13.8" hidden="false" customHeight="false" outlineLevel="0" collapsed="false">
      <c r="N331" s="4" t="s">
        <v>543</v>
      </c>
      <c r="O331" s="4" t="s">
        <v>429</v>
      </c>
    </row>
    <row r="332" customFormat="false" ht="13.8" hidden="false" customHeight="false" outlineLevel="0" collapsed="false">
      <c r="N332" s="4" t="s">
        <v>16</v>
      </c>
      <c r="O332" s="4" t="s">
        <v>429</v>
      </c>
    </row>
    <row r="333" customFormat="false" ht="13.8" hidden="false" customHeight="false" outlineLevel="0" collapsed="false">
      <c r="N333" s="4" t="s">
        <v>428</v>
      </c>
      <c r="O333" s="4" t="s">
        <v>428</v>
      </c>
    </row>
    <row r="334" customFormat="false" ht="13.8" hidden="false" customHeight="false" outlineLevel="0" collapsed="false">
      <c r="N334" s="4" t="s">
        <v>937</v>
      </c>
      <c r="O334" s="4" t="s">
        <v>429</v>
      </c>
    </row>
    <row r="335" customFormat="false" ht="13.8" hidden="false" customHeight="false" outlineLevel="0" collapsed="false">
      <c r="N335" s="4" t="s">
        <v>934</v>
      </c>
      <c r="O335" s="4" t="s">
        <v>429</v>
      </c>
    </row>
    <row r="336" customFormat="false" ht="13.8" hidden="false" customHeight="false" outlineLevel="0" collapsed="false">
      <c r="N336" s="4" t="s">
        <v>777</v>
      </c>
      <c r="O336" s="4" t="s">
        <v>430</v>
      </c>
    </row>
    <row r="337" customFormat="false" ht="13.8" hidden="false" customHeight="false" outlineLevel="0" collapsed="false">
      <c r="N337" s="4" t="s">
        <v>703</v>
      </c>
      <c r="O337" s="4" t="s">
        <v>431</v>
      </c>
    </row>
    <row r="338" customFormat="false" ht="13.8" hidden="false" customHeight="false" outlineLevel="0" collapsed="false">
      <c r="N338" s="4" t="s">
        <v>704</v>
      </c>
      <c r="O338" s="4" t="s">
        <v>432</v>
      </c>
    </row>
    <row r="339" customFormat="false" ht="13.8" hidden="false" customHeight="false" outlineLevel="0" collapsed="false">
      <c r="N339" s="4" t="s">
        <v>433</v>
      </c>
      <c r="O339" s="4" t="s">
        <v>433</v>
      </c>
    </row>
    <row r="340" customFormat="false" ht="13.8" hidden="false" customHeight="false" outlineLevel="0" collapsed="false">
      <c r="N340" s="4" t="s">
        <v>762</v>
      </c>
      <c r="O340" s="4" t="s">
        <v>321</v>
      </c>
    </row>
    <row r="341" customFormat="false" ht="13.8" hidden="false" customHeight="false" outlineLevel="0" collapsed="false">
      <c r="N341" s="4" t="s">
        <v>509</v>
      </c>
      <c r="O341" s="203" t="s">
        <v>509</v>
      </c>
    </row>
    <row r="342" customFormat="false" ht="13.8" hidden="false" customHeight="false" outlineLevel="0" collapsed="false">
      <c r="N342" s="4" t="s">
        <v>894</v>
      </c>
    </row>
    <row r="343" customFormat="false" ht="13.8" hidden="false" customHeight="false" outlineLevel="0" collapsed="false">
      <c r="N343" s="4" t="s">
        <v>434</v>
      </c>
      <c r="O343" s="4" t="s">
        <v>434</v>
      </c>
    </row>
    <row r="344" customFormat="false" ht="13.8" hidden="false" customHeight="false" outlineLevel="0" collapsed="false">
      <c r="N344" s="4" t="s">
        <v>647</v>
      </c>
      <c r="O344" s="4" t="s">
        <v>435</v>
      </c>
    </row>
    <row r="345" customFormat="false" ht="13.8" hidden="false" customHeight="false" outlineLevel="0" collapsed="false">
      <c r="N345" s="4" t="s">
        <v>794</v>
      </c>
      <c r="O345" s="4" t="s">
        <v>436</v>
      </c>
    </row>
    <row r="346" customFormat="false" ht="13.8" hidden="false" customHeight="false" outlineLevel="0" collapsed="false">
      <c r="N346" s="4" t="s">
        <v>862</v>
      </c>
      <c r="O346" s="4" t="s">
        <v>437</v>
      </c>
    </row>
    <row r="347" customFormat="false" ht="13.8" hidden="false" customHeight="false" outlineLevel="0" collapsed="false">
      <c r="N347" s="4" t="s">
        <v>688</v>
      </c>
    </row>
    <row r="348" customFormat="false" ht="13.8" hidden="false" customHeight="false" outlineLevel="0" collapsed="false">
      <c r="N348" s="4" t="s">
        <v>603</v>
      </c>
      <c r="O348" s="4" t="s">
        <v>438</v>
      </c>
    </row>
    <row r="349" customFormat="false" ht="13.8" hidden="false" customHeight="false" outlineLevel="0" collapsed="false">
      <c r="N349" s="4" t="s">
        <v>439</v>
      </c>
      <c r="O349" s="4" t="s">
        <v>439</v>
      </c>
    </row>
    <row r="350" customFormat="false" ht="13.8" hidden="false" customHeight="false" outlineLevel="0" collapsed="false">
      <c r="N350" s="4" t="s">
        <v>786</v>
      </c>
      <c r="O350" s="4" t="s">
        <v>386</v>
      </c>
    </row>
    <row r="351" customFormat="false" ht="13.8" hidden="false" customHeight="false" outlineLevel="0" collapsed="false">
      <c r="N351" s="4" t="s">
        <v>813</v>
      </c>
      <c r="O351" s="4" t="s">
        <v>441</v>
      </c>
    </row>
    <row r="352" customFormat="false" ht="13.8" hidden="false" customHeight="false" outlineLevel="0" collapsed="false">
      <c r="N352" s="4" t="s">
        <v>683</v>
      </c>
      <c r="O352" s="4" t="s">
        <v>441</v>
      </c>
    </row>
    <row r="353" customFormat="false" ht="13.8" hidden="false" customHeight="false" outlineLevel="0" collapsed="false">
      <c r="N353" s="4" t="s">
        <v>847</v>
      </c>
      <c r="O353" s="4" t="s">
        <v>442</v>
      </c>
    </row>
    <row r="354" customFormat="false" ht="13.8" hidden="false" customHeight="false" outlineLevel="0" collapsed="false">
      <c r="N354" s="4" t="s">
        <v>920</v>
      </c>
      <c r="O354" s="4" t="s">
        <v>442</v>
      </c>
    </row>
    <row r="355" customFormat="false" ht="13.8" hidden="false" customHeight="false" outlineLevel="0" collapsed="false">
      <c r="N355" s="4" t="s">
        <v>609</v>
      </c>
      <c r="O355" s="4" t="s">
        <v>442</v>
      </c>
    </row>
    <row r="356" customFormat="false" ht="13.8" hidden="false" customHeight="false" outlineLevel="0" collapsed="false">
      <c r="N356" s="4" t="s">
        <v>443</v>
      </c>
      <c r="O356" s="4" t="s">
        <v>443</v>
      </c>
    </row>
    <row r="357" customFormat="false" ht="13.8" hidden="false" customHeight="false" outlineLevel="0" collapsed="false">
      <c r="N357" s="4" t="s">
        <v>266</v>
      </c>
      <c r="O357" s="4" t="s">
        <v>266</v>
      </c>
    </row>
    <row r="358" customFormat="false" ht="13.8" hidden="false" customHeight="false" outlineLevel="0" collapsed="false">
      <c r="N358" s="4" t="s">
        <v>553</v>
      </c>
      <c r="O358" s="4" t="s">
        <v>360</v>
      </c>
    </row>
    <row r="359" customFormat="false" ht="13.8" hidden="false" customHeight="false" outlineLevel="0" collapsed="false">
      <c r="N359" s="4" t="s">
        <v>839</v>
      </c>
      <c r="O359" s="4" t="s">
        <v>360</v>
      </c>
    </row>
    <row r="360" customFormat="false" ht="13.8" hidden="false" customHeight="false" outlineLevel="0" collapsed="false">
      <c r="N360" s="4" t="s">
        <v>859</v>
      </c>
      <c r="O360" s="4" t="s">
        <v>360</v>
      </c>
    </row>
    <row r="361" customFormat="false" ht="13.8" hidden="false" customHeight="false" outlineLevel="0" collapsed="false">
      <c r="N361" s="4" t="s">
        <v>917</v>
      </c>
      <c r="O361" s="4" t="s">
        <v>360</v>
      </c>
    </row>
    <row r="362" customFormat="false" ht="13.8" hidden="false" customHeight="false" outlineLevel="0" collapsed="false">
      <c r="N362" s="4" t="s">
        <v>899</v>
      </c>
      <c r="O362" s="4" t="s">
        <v>360</v>
      </c>
    </row>
    <row r="363" customFormat="false" ht="15" hidden="false" customHeight="false" outlineLevel="0" collapsed="false">
      <c r="N363" s="31" t="s">
        <v>33</v>
      </c>
      <c r="O363" s="4" t="s">
        <v>360</v>
      </c>
    </row>
    <row r="364" customFormat="false" ht="13.8" hidden="false" customHeight="false" outlineLevel="0" collapsed="false">
      <c r="N364" s="4" t="s">
        <v>92</v>
      </c>
      <c r="O364" s="4" t="s">
        <v>360</v>
      </c>
    </row>
    <row r="365" customFormat="false" ht="13.8" hidden="false" customHeight="false" outlineLevel="0" collapsed="false">
      <c r="N365" s="4" t="s">
        <v>852</v>
      </c>
      <c r="O365" s="4" t="s">
        <v>360</v>
      </c>
    </row>
    <row r="366" customFormat="false" ht="13.8" hidden="false" customHeight="false" outlineLevel="0" collapsed="false">
      <c r="N366" s="4" t="s">
        <v>805</v>
      </c>
      <c r="O366" s="4" t="s">
        <v>360</v>
      </c>
    </row>
    <row r="367" customFormat="false" ht="13.8" hidden="false" customHeight="false" outlineLevel="0" collapsed="false">
      <c r="N367" s="4" t="s">
        <v>780</v>
      </c>
      <c r="O367" s="4" t="s">
        <v>445</v>
      </c>
    </row>
    <row r="368" customFormat="false" ht="13.8" hidden="false" customHeight="false" outlineLevel="0" collapsed="false">
      <c r="N368" s="4" t="s">
        <v>696</v>
      </c>
      <c r="O368" s="4" t="s">
        <v>446</v>
      </c>
    </row>
    <row r="369" customFormat="false" ht="13.8" hidden="false" customHeight="false" outlineLevel="0" collapsed="false">
      <c r="N369" s="4" t="s">
        <v>690</v>
      </c>
      <c r="O369" s="4" t="s">
        <v>447</v>
      </c>
    </row>
    <row r="370" customFormat="false" ht="13.8" hidden="false" customHeight="false" outlineLevel="0" collapsed="false">
      <c r="N370" s="4" t="s">
        <v>7678</v>
      </c>
      <c r="O370" s="4" t="s">
        <v>448</v>
      </c>
    </row>
    <row r="371" customFormat="false" ht="13.8" hidden="false" customHeight="false" outlineLevel="0" collapsed="false">
      <c r="N371" s="4" t="s">
        <v>731</v>
      </c>
      <c r="O371" s="4" t="s">
        <v>448</v>
      </c>
    </row>
    <row r="372" customFormat="false" ht="13.8" hidden="false" customHeight="false" outlineLevel="0" collapsed="false">
      <c r="N372" s="4" t="s">
        <v>716</v>
      </c>
      <c r="O372" s="4" t="s">
        <v>449</v>
      </c>
    </row>
    <row r="373" customFormat="false" ht="13.8" hidden="false" customHeight="false" outlineLevel="0" collapsed="false">
      <c r="N373" s="4" t="s">
        <v>817</v>
      </c>
      <c r="O373" s="4" t="s">
        <v>450</v>
      </c>
    </row>
    <row r="374" customFormat="false" ht="13.8" hidden="false" customHeight="false" outlineLevel="0" collapsed="false">
      <c r="N374" s="4" t="s">
        <v>450</v>
      </c>
      <c r="O374" s="4" t="s">
        <v>450</v>
      </c>
    </row>
    <row r="375" customFormat="false" ht="13.8" hidden="false" customHeight="false" outlineLevel="0" collapsed="false">
      <c r="N375" s="4" t="s">
        <v>592</v>
      </c>
      <c r="O375" s="4" t="s">
        <v>451</v>
      </c>
    </row>
    <row r="376" customFormat="false" ht="13.8" hidden="false" customHeight="false" outlineLevel="0" collapsed="false">
      <c r="N376" s="4" t="s">
        <v>280</v>
      </c>
      <c r="O376" s="4" t="s">
        <v>281</v>
      </c>
    </row>
    <row r="377" customFormat="false" ht="13.8" hidden="false" customHeight="false" outlineLevel="0" collapsed="false">
      <c r="N377" s="4" t="s">
        <v>452</v>
      </c>
      <c r="O377" s="4" t="s">
        <v>452</v>
      </c>
    </row>
    <row r="378" customFormat="false" ht="13.8" hidden="false" customHeight="false" outlineLevel="0" collapsed="false">
      <c r="N378" s="4" t="s">
        <v>954</v>
      </c>
      <c r="O378" s="4" t="s">
        <v>452</v>
      </c>
    </row>
    <row r="379" customFormat="false" ht="13.8" hidden="false" customHeight="false" outlineLevel="0" collapsed="false">
      <c r="N379" s="4" t="s">
        <v>613</v>
      </c>
      <c r="O379" s="4" t="s">
        <v>453</v>
      </c>
    </row>
    <row r="380" customFormat="false" ht="13.8" hidden="false" customHeight="false" outlineLevel="0" collapsed="false">
      <c r="N380" s="4" t="s">
        <v>791</v>
      </c>
      <c r="O380" s="4" t="s">
        <v>130</v>
      </c>
    </row>
    <row r="381" customFormat="false" ht="13.8" hidden="false" customHeight="false" outlineLevel="0" collapsed="false">
      <c r="N381" s="4" t="s">
        <v>846</v>
      </c>
      <c r="O381" s="4" t="s">
        <v>130</v>
      </c>
    </row>
    <row r="382" customFormat="false" ht="13.8" hidden="false" customHeight="false" outlineLevel="0" collapsed="false">
      <c r="N382" s="4" t="s">
        <v>678</v>
      </c>
      <c r="O382" s="4" t="s">
        <v>130</v>
      </c>
    </row>
    <row r="383" customFormat="false" ht="13.8" hidden="false" customHeight="false" outlineLevel="0" collapsed="false">
      <c r="N383" s="4" t="s">
        <v>668</v>
      </c>
      <c r="O383" s="4" t="s">
        <v>454</v>
      </c>
    </row>
    <row r="384" customFormat="false" ht="13.8" hidden="false" customHeight="false" outlineLevel="0" collapsed="false">
      <c r="N384" s="4" t="s">
        <v>454</v>
      </c>
      <c r="O384" s="4" t="s">
        <v>454</v>
      </c>
    </row>
    <row r="385" customFormat="false" ht="13.8" hidden="false" customHeight="false" outlineLevel="0" collapsed="false">
      <c r="N385" s="4" t="s">
        <v>864</v>
      </c>
      <c r="O385" s="4" t="s">
        <v>455</v>
      </c>
    </row>
    <row r="386" customFormat="false" ht="13.8" hidden="false" customHeight="false" outlineLevel="0" collapsed="false">
      <c r="N386" s="4" t="s">
        <v>455</v>
      </c>
      <c r="O386" s="4" t="s">
        <v>455</v>
      </c>
    </row>
    <row r="387" customFormat="false" ht="13.8" hidden="false" customHeight="false" outlineLevel="0" collapsed="false">
      <c r="N387" s="4" t="s">
        <v>570</v>
      </c>
      <c r="O387" s="4" t="s">
        <v>456</v>
      </c>
    </row>
    <row r="388" customFormat="false" ht="13.8" hidden="false" customHeight="false" outlineLevel="0" collapsed="false">
      <c r="N388" s="4" t="s">
        <v>456</v>
      </c>
      <c r="O388" s="4" t="s">
        <v>456</v>
      </c>
    </row>
    <row r="389" customFormat="false" ht="13.8" hidden="false" customHeight="false" outlineLevel="0" collapsed="false">
      <c r="N389" s="4" t="s">
        <v>672</v>
      </c>
      <c r="O389" s="4" t="s">
        <v>456</v>
      </c>
    </row>
    <row r="390" customFormat="false" ht="13.8" hidden="false" customHeight="false" outlineLevel="0" collapsed="false">
      <c r="N390" s="4" t="s">
        <v>585</v>
      </c>
      <c r="O390" s="4" t="s">
        <v>457</v>
      </c>
    </row>
    <row r="391" customFormat="false" ht="13.8" hidden="false" customHeight="false" outlineLevel="0" collapsed="false">
      <c r="N391" s="4" t="s">
        <v>458</v>
      </c>
      <c r="O391" s="4" t="s">
        <v>458</v>
      </c>
    </row>
    <row r="392" customFormat="false" ht="13.8" hidden="false" customHeight="false" outlineLevel="0" collapsed="false">
      <c r="N392" s="4" t="s">
        <v>714</v>
      </c>
      <c r="O392" s="4" t="s">
        <v>459</v>
      </c>
    </row>
    <row r="393" customFormat="false" ht="13.8" hidden="false" customHeight="false" outlineLevel="0" collapsed="false">
      <c r="N393" s="4" t="s">
        <v>7679</v>
      </c>
      <c r="O393" s="4" t="s">
        <v>192</v>
      </c>
    </row>
    <row r="394" customFormat="false" ht="13.8" hidden="false" customHeight="false" outlineLevel="0" collapsed="false">
      <c r="N394" s="4" t="s">
        <v>701</v>
      </c>
      <c r="O394" s="4" t="s">
        <v>460</v>
      </c>
    </row>
    <row r="395" customFormat="false" ht="13.8" hidden="false" customHeight="false" outlineLevel="0" collapsed="false">
      <c r="N395" s="4" t="s">
        <v>709</v>
      </c>
      <c r="O395" s="4" t="s">
        <v>460</v>
      </c>
    </row>
    <row r="396" customFormat="false" ht="13.8" hidden="false" customHeight="false" outlineLevel="0" collapsed="false">
      <c r="N396" s="4" t="s">
        <v>629</v>
      </c>
      <c r="O396" s="4" t="s">
        <v>460</v>
      </c>
    </row>
    <row r="397" customFormat="false" ht="13.8" hidden="false" customHeight="false" outlineLevel="0" collapsed="false">
      <c r="N397" s="4" t="s">
        <v>725</v>
      </c>
      <c r="O397" s="4" t="s">
        <v>460</v>
      </c>
    </row>
    <row r="398" customFormat="false" ht="13.8" hidden="false" customHeight="false" outlineLevel="0" collapsed="false">
      <c r="N398" s="4" t="s">
        <v>7680</v>
      </c>
      <c r="O398" s="4" t="s">
        <v>460</v>
      </c>
    </row>
    <row r="399" customFormat="false" ht="13.8" hidden="false" customHeight="false" outlineLevel="0" collapsed="false">
      <c r="N399" s="4" t="s">
        <v>596</v>
      </c>
      <c r="O399" s="4" t="s">
        <v>429</v>
      </c>
    </row>
    <row r="400" customFormat="false" ht="13.8" hidden="false" customHeight="false" outlineLevel="0" collapsed="false">
      <c r="N400" s="4" t="s">
        <v>648</v>
      </c>
      <c r="O400" s="4" t="s">
        <v>429</v>
      </c>
    </row>
    <row r="401" customFormat="false" ht="13.8" hidden="false" customHeight="false" outlineLevel="0" collapsed="false">
      <c r="N401" s="4" t="s">
        <v>624</v>
      </c>
      <c r="O401" s="4" t="s">
        <v>461</v>
      </c>
    </row>
    <row r="402" customFormat="false" ht="13.8" hidden="false" customHeight="false" outlineLevel="0" collapsed="false">
      <c r="N402" s="4" t="s">
        <v>865</v>
      </c>
      <c r="O402" s="4" t="s">
        <v>96</v>
      </c>
    </row>
    <row r="403" customFormat="false" ht="15" hidden="false" customHeight="false" outlineLevel="0" collapsed="false">
      <c r="N403" s="199" t="s">
        <v>85</v>
      </c>
      <c r="O403" s="4" t="s">
        <v>505</v>
      </c>
    </row>
    <row r="404" customFormat="false" ht="13.8" hidden="false" customHeight="false" outlineLevel="0" collapsed="false">
      <c r="N404" s="4" t="s">
        <v>575</v>
      </c>
      <c r="O404" s="4" t="s">
        <v>462</v>
      </c>
    </row>
    <row r="405" customFormat="false" ht="13.8" hidden="false" customHeight="false" outlineLevel="0" collapsed="false">
      <c r="N405" s="4" t="s">
        <v>844</v>
      </c>
      <c r="O405" s="4" t="s">
        <v>462</v>
      </c>
    </row>
    <row r="406" customFormat="false" ht="13.8" hidden="false" customHeight="false" outlineLevel="0" collapsed="false">
      <c r="N406" s="4" t="s">
        <v>462</v>
      </c>
      <c r="O406" s="4" t="s">
        <v>462</v>
      </c>
    </row>
    <row r="407" customFormat="false" ht="13.8" hidden="false" customHeight="false" outlineLevel="0" collapsed="false">
      <c r="N407" s="4" t="s">
        <v>670</v>
      </c>
      <c r="O407" s="4" t="s">
        <v>462</v>
      </c>
    </row>
    <row r="408" customFormat="false" ht="13.8" hidden="false" customHeight="false" outlineLevel="0" collapsed="false">
      <c r="N408" s="4" t="s">
        <v>746</v>
      </c>
      <c r="O408" s="4" t="s">
        <v>463</v>
      </c>
    </row>
    <row r="409" customFormat="false" ht="13.8" hidden="false" customHeight="false" outlineLevel="0" collapsed="false">
      <c r="N409" s="4" t="s">
        <v>310</v>
      </c>
      <c r="O409" s="4" t="s">
        <v>464</v>
      </c>
    </row>
    <row r="410" customFormat="false" ht="13.8" hidden="false" customHeight="false" outlineLevel="0" collapsed="false">
      <c r="N410" s="4" t="s">
        <v>643</v>
      </c>
      <c r="O410" s="4" t="s">
        <v>126</v>
      </c>
    </row>
    <row r="411" customFormat="false" ht="13.8" hidden="false" customHeight="false" outlineLevel="0" collapsed="false">
      <c r="N411" s="4" t="s">
        <v>581</v>
      </c>
      <c r="O411" s="4" t="s">
        <v>428</v>
      </c>
    </row>
    <row r="412" customFormat="false" ht="13.8" hidden="false" customHeight="false" outlineLevel="0" collapsed="false">
      <c r="N412" s="4" t="s">
        <v>582</v>
      </c>
      <c r="O412" s="4" t="s">
        <v>398</v>
      </c>
    </row>
    <row r="413" customFormat="false" ht="13.8" hidden="false" customHeight="false" outlineLevel="0" collapsed="false">
      <c r="N413" s="4" t="s">
        <v>667</v>
      </c>
      <c r="O413" s="4" t="s">
        <v>428</v>
      </c>
    </row>
    <row r="414" customFormat="false" ht="13.8" hidden="false" customHeight="false" outlineLevel="0" collapsed="false">
      <c r="N414" s="4" t="s">
        <v>719</v>
      </c>
      <c r="O414" s="4" t="s">
        <v>465</v>
      </c>
    </row>
    <row r="415" customFormat="false" ht="13.8" hidden="false" customHeight="false" outlineLevel="0" collapsed="false">
      <c r="N415" s="4" t="s">
        <v>927</v>
      </c>
      <c r="O415" s="4" t="s">
        <v>466</v>
      </c>
    </row>
    <row r="416" customFormat="false" ht="13.8" hidden="false" customHeight="false" outlineLevel="0" collapsed="false">
      <c r="N416" s="4" t="s">
        <v>929</v>
      </c>
      <c r="O416" s="4" t="s">
        <v>467</v>
      </c>
    </row>
    <row r="417" customFormat="false" ht="13.8" hidden="false" customHeight="false" outlineLevel="0" collapsed="false">
      <c r="N417" s="4" t="s">
        <v>565</v>
      </c>
      <c r="O417" s="4" t="s">
        <v>468</v>
      </c>
    </row>
    <row r="418" customFormat="false" ht="13.8" hidden="false" customHeight="false" outlineLevel="0" collapsed="false">
      <c r="N418" s="4" t="s">
        <v>548</v>
      </c>
      <c r="O418" s="4" t="s">
        <v>468</v>
      </c>
    </row>
    <row r="419" customFormat="false" ht="13.8" hidden="false" customHeight="false" outlineLevel="0" collapsed="false">
      <c r="N419" s="4" t="s">
        <v>32</v>
      </c>
      <c r="O419" s="4" t="s">
        <v>96</v>
      </c>
    </row>
    <row r="420" customFormat="false" ht="13.8" hidden="false" customHeight="false" outlineLevel="0" collapsed="false">
      <c r="N420" s="4" t="s">
        <v>96</v>
      </c>
      <c r="O420" s="4" t="s">
        <v>96</v>
      </c>
    </row>
    <row r="421" customFormat="false" ht="13.8" hidden="false" customHeight="false" outlineLevel="0" collapsed="false">
      <c r="N421" s="4" t="s">
        <v>963</v>
      </c>
      <c r="O421" s="4" t="s">
        <v>96</v>
      </c>
    </row>
    <row r="422" customFormat="false" ht="13.8" hidden="false" customHeight="false" outlineLevel="0" collapsed="false">
      <c r="N422" s="4" t="s">
        <v>71</v>
      </c>
      <c r="O422" s="4" t="s">
        <v>96</v>
      </c>
    </row>
    <row r="423" customFormat="false" ht="13.8" hidden="false" customHeight="false" outlineLevel="0" collapsed="false">
      <c r="N423" s="4" t="s">
        <v>835</v>
      </c>
      <c r="O423" s="4" t="s">
        <v>96</v>
      </c>
    </row>
    <row r="424" customFormat="false" ht="13.8" hidden="false" customHeight="false" outlineLevel="0" collapsed="false">
      <c r="N424" s="4" t="s">
        <v>7681</v>
      </c>
      <c r="O424" s="4" t="s">
        <v>96</v>
      </c>
    </row>
    <row r="425" customFormat="false" ht="13.8" hidden="false" customHeight="false" outlineLevel="0" collapsed="false">
      <c r="N425" s="4" t="s">
        <v>658</v>
      </c>
      <c r="O425" s="4" t="s">
        <v>96</v>
      </c>
    </row>
    <row r="426" customFormat="false" ht="13.8" hidden="false" customHeight="false" outlineLevel="0" collapsed="false">
      <c r="N426" s="4" t="s">
        <v>644</v>
      </c>
      <c r="O426" s="4" t="s">
        <v>96</v>
      </c>
    </row>
    <row r="427" customFormat="false" ht="13.8" hidden="false" customHeight="false" outlineLevel="0" collapsed="false">
      <c r="N427" s="4" t="s">
        <v>707</v>
      </c>
      <c r="O427" s="4" t="s">
        <v>469</v>
      </c>
    </row>
    <row r="428" customFormat="false" ht="13.8" hidden="false" customHeight="false" outlineLevel="0" collapsed="false">
      <c r="N428" s="4" t="s">
        <v>470</v>
      </c>
      <c r="O428" s="4" t="s">
        <v>470</v>
      </c>
    </row>
    <row r="429" customFormat="false" ht="13.8" hidden="false" customHeight="false" outlineLevel="0" collapsed="false">
      <c r="N429" s="4" t="s">
        <v>940</v>
      </c>
      <c r="O429" s="4" t="s">
        <v>470</v>
      </c>
    </row>
    <row r="430" customFormat="false" ht="13.8" hidden="false" customHeight="false" outlineLevel="0" collapsed="false">
      <c r="N430" s="4" t="s">
        <v>471</v>
      </c>
      <c r="O430" s="4" t="s">
        <v>471</v>
      </c>
    </row>
    <row r="431" customFormat="false" ht="13.8" hidden="false" customHeight="false" outlineLevel="0" collapsed="false">
      <c r="N431" s="4" t="s">
        <v>755</v>
      </c>
      <c r="O431" s="4" t="s">
        <v>472</v>
      </c>
    </row>
    <row r="432" customFormat="false" ht="13.8" hidden="false" customHeight="false" outlineLevel="0" collapsed="false">
      <c r="N432" s="4" t="s">
        <v>680</v>
      </c>
      <c r="O432" s="4" t="s">
        <v>473</v>
      </c>
    </row>
    <row r="433" customFormat="false" ht="13.8" hidden="false" customHeight="false" outlineLevel="0" collapsed="false">
      <c r="N433" s="4" t="s">
        <v>792</v>
      </c>
      <c r="O433" s="4" t="s">
        <v>237</v>
      </c>
    </row>
    <row r="434" customFormat="false" ht="13.8" hidden="false" customHeight="false" outlineLevel="0" collapsed="false">
      <c r="N434" s="4" t="s">
        <v>892</v>
      </c>
      <c r="O434" s="4" t="s">
        <v>474</v>
      </c>
    </row>
    <row r="435" customFormat="false" ht="15" hidden="false" customHeight="false" outlineLevel="0" collapsed="false">
      <c r="N435" s="35" t="s">
        <v>80</v>
      </c>
      <c r="O435" s="4" t="s">
        <v>474</v>
      </c>
    </row>
    <row r="436" customFormat="false" ht="13.8" hidden="false" customHeight="false" outlineLevel="0" collapsed="false">
      <c r="N436" s="4" t="s">
        <v>474</v>
      </c>
      <c r="O436" s="4" t="s">
        <v>474</v>
      </c>
    </row>
    <row r="437" customFormat="false" ht="13.8" hidden="false" customHeight="false" outlineLevel="0" collapsed="false">
      <c r="N437" s="4" t="s">
        <v>583</v>
      </c>
      <c r="O437" s="4" t="s">
        <v>475</v>
      </c>
    </row>
    <row r="438" customFormat="false" ht="13.8" hidden="false" customHeight="false" outlineLevel="0" collapsed="false">
      <c r="N438" s="4" t="s">
        <v>733</v>
      </c>
      <c r="O438" s="4" t="s">
        <v>476</v>
      </c>
    </row>
    <row r="439" customFormat="false" ht="13.8" hidden="false" customHeight="false" outlineLevel="0" collapsed="false">
      <c r="N439" s="4" t="s">
        <v>476</v>
      </c>
      <c r="O439" s="4" t="s">
        <v>476</v>
      </c>
    </row>
    <row r="440" customFormat="false" ht="13.8" hidden="false" customHeight="false" outlineLevel="0" collapsed="false">
      <c r="N440" s="4" t="s">
        <v>962</v>
      </c>
      <c r="O440" s="4" t="s">
        <v>476</v>
      </c>
    </row>
    <row r="441" customFormat="false" ht="13.8" hidden="false" customHeight="false" outlineLevel="0" collapsed="false">
      <c r="N441" s="4" t="s">
        <v>756</v>
      </c>
      <c r="O441" s="4" t="s">
        <v>477</v>
      </c>
    </row>
    <row r="442" customFormat="false" ht="13.8" hidden="false" customHeight="false" outlineLevel="0" collapsed="false">
      <c r="N442" s="4" t="s">
        <v>7682</v>
      </c>
      <c r="O442" s="4" t="s">
        <v>192</v>
      </c>
    </row>
    <row r="443" customFormat="false" ht="13.8" hidden="false" customHeight="false" outlineLevel="0" collapsed="false">
      <c r="N443" s="4" t="s">
        <v>571</v>
      </c>
      <c r="O443" s="4" t="s">
        <v>44</v>
      </c>
    </row>
    <row r="444" customFormat="false" ht="13.8" hidden="false" customHeight="false" outlineLevel="0" collapsed="false">
      <c r="N444" s="4" t="s">
        <v>44</v>
      </c>
      <c r="O444" s="4" t="s">
        <v>44</v>
      </c>
    </row>
    <row r="445" customFormat="false" ht="13.8" hidden="false" customHeight="false" outlineLevel="0" collapsed="false">
      <c r="N445" s="4" t="s">
        <v>931</v>
      </c>
      <c r="O445" s="4" t="s">
        <v>44</v>
      </c>
    </row>
    <row r="446" customFormat="false" ht="13.8" hidden="false" customHeight="false" outlineLevel="0" collapsed="false">
      <c r="N446" s="4" t="s">
        <v>663</v>
      </c>
      <c r="O446" s="4" t="s">
        <v>44</v>
      </c>
    </row>
    <row r="447" customFormat="false" ht="13.8" hidden="false" customHeight="false" outlineLevel="0" collapsed="false">
      <c r="N447" s="4" t="s">
        <v>743</v>
      </c>
      <c r="O447" s="4" t="s">
        <v>44</v>
      </c>
    </row>
    <row r="448" customFormat="false" ht="13.8" hidden="false" customHeight="false" outlineLevel="0" collapsed="false">
      <c r="N448" s="4" t="s">
        <v>478</v>
      </c>
      <c r="O448" s="4" t="s">
        <v>478</v>
      </c>
    </row>
    <row r="449" customFormat="false" ht="13.8" hidden="false" customHeight="false" outlineLevel="0" collapsed="false">
      <c r="N449" s="4" t="s">
        <v>955</v>
      </c>
      <c r="O449" s="4" t="s">
        <v>478</v>
      </c>
    </row>
    <row r="450" customFormat="false" ht="13.8" hidden="false" customHeight="false" outlineLevel="0" collapsed="false">
      <c r="N450" s="4" t="s">
        <v>627</v>
      </c>
      <c r="O450" s="4" t="s">
        <v>478</v>
      </c>
    </row>
    <row r="451" customFormat="false" ht="13.8" hidden="false" customHeight="false" outlineLevel="0" collapsed="false">
      <c r="N451" s="4" t="s">
        <v>649</v>
      </c>
      <c r="O451" s="4" t="s">
        <v>501</v>
      </c>
    </row>
    <row r="452" customFormat="false" ht="13.8" hidden="false" customHeight="false" outlineLevel="0" collapsed="false">
      <c r="N452" s="4" t="s">
        <v>29</v>
      </c>
      <c r="O452" s="4" t="s">
        <v>504</v>
      </c>
    </row>
    <row r="453" customFormat="false" ht="13.8" hidden="false" customHeight="false" outlineLevel="0" collapsed="false">
      <c r="N453" s="4" t="s">
        <v>480</v>
      </c>
      <c r="O453" s="4" t="s">
        <v>480</v>
      </c>
    </row>
    <row r="454" customFormat="false" ht="13.8" hidden="false" customHeight="false" outlineLevel="0" collapsed="false">
      <c r="N454" s="4" t="s">
        <v>775</v>
      </c>
      <c r="O454" s="200" t="s">
        <v>96</v>
      </c>
    </row>
    <row r="455" customFormat="false" ht="13.8" hidden="false" customHeight="false" outlineLevel="0" collapsed="false">
      <c r="N455" s="4" t="s">
        <v>761</v>
      </c>
      <c r="O455" s="4" t="s">
        <v>481</v>
      </c>
    </row>
    <row r="456" customFormat="false" ht="13.8" hidden="false" customHeight="false" outlineLevel="0" collapsed="false">
      <c r="N456" s="4" t="s">
        <v>481</v>
      </c>
      <c r="O456" s="4" t="s">
        <v>481</v>
      </c>
    </row>
    <row r="457" customFormat="false" ht="13.8" hidden="false" customHeight="false" outlineLevel="0" collapsed="false">
      <c r="N457" s="4" t="s">
        <v>933</v>
      </c>
      <c r="O457" s="4" t="s">
        <v>481</v>
      </c>
    </row>
    <row r="458" customFormat="false" ht="13.8" hidden="false" customHeight="false" outlineLevel="0" collapsed="false">
      <c r="N458" s="4" t="s">
        <v>37</v>
      </c>
      <c r="O458" s="4" t="s">
        <v>481</v>
      </c>
    </row>
    <row r="459" customFormat="false" ht="13.8" hidden="false" customHeight="false" outlineLevel="0" collapsed="false">
      <c r="N459" s="4" t="s">
        <v>840</v>
      </c>
      <c r="O459" s="4" t="s">
        <v>481</v>
      </c>
    </row>
    <row r="460" customFormat="false" ht="13.8" hidden="false" customHeight="false" outlineLevel="0" collapsed="false">
      <c r="N460" s="4" t="s">
        <v>939</v>
      </c>
      <c r="O460" s="4" t="s">
        <v>481</v>
      </c>
    </row>
    <row r="461" customFormat="false" ht="13.8" hidden="false" customHeight="false" outlineLevel="0" collapsed="false">
      <c r="N461" s="4" t="s">
        <v>693</v>
      </c>
      <c r="O461" s="4" t="s">
        <v>482</v>
      </c>
    </row>
    <row r="462" customFormat="false" ht="13.8" hidden="false" customHeight="false" outlineLevel="0" collapsed="false">
      <c r="N462" s="4" t="s">
        <v>718</v>
      </c>
      <c r="O462" s="4" t="s">
        <v>483</v>
      </c>
    </row>
    <row r="463" customFormat="false" ht="13.8" hidden="false" customHeight="false" outlineLevel="0" collapsed="false">
      <c r="N463" s="4" t="s">
        <v>689</v>
      </c>
      <c r="O463" s="4" t="s">
        <v>484</v>
      </c>
    </row>
    <row r="464" customFormat="false" ht="15" hidden="false" customHeight="false" outlineLevel="0" collapsed="false">
      <c r="N464" s="35" t="s">
        <v>82</v>
      </c>
      <c r="O464" s="4" t="s">
        <v>485</v>
      </c>
    </row>
    <row r="465" customFormat="false" ht="13.8" hidden="false" customHeight="false" outlineLevel="0" collapsed="false">
      <c r="N465" s="4" t="s">
        <v>21</v>
      </c>
      <c r="O465" s="4" t="s">
        <v>485</v>
      </c>
    </row>
    <row r="466" customFormat="false" ht="15" hidden="false" customHeight="false" outlineLevel="0" collapsed="false">
      <c r="N466" s="204" t="s">
        <v>66</v>
      </c>
      <c r="O466" s="4" t="s">
        <v>485</v>
      </c>
    </row>
    <row r="467" customFormat="false" ht="13.8" hidden="false" customHeight="false" outlineLevel="0" collapsed="false">
      <c r="N467" s="4" t="s">
        <v>485</v>
      </c>
      <c r="O467" s="4" t="s">
        <v>485</v>
      </c>
    </row>
    <row r="468" customFormat="false" ht="13.8" hidden="false" customHeight="false" outlineLevel="0" collapsed="false">
      <c r="N468" s="4" t="s">
        <v>957</v>
      </c>
      <c r="O468" s="4" t="s">
        <v>485</v>
      </c>
    </row>
    <row r="469" customFormat="false" ht="13.8" hidden="false" customHeight="false" outlineLevel="0" collapsed="false">
      <c r="N469" s="4" t="s">
        <v>918</v>
      </c>
      <c r="O469" s="4" t="s">
        <v>485</v>
      </c>
    </row>
    <row r="470" customFormat="false" ht="13.8" hidden="false" customHeight="false" outlineLevel="0" collapsed="false">
      <c r="N470" s="4" t="s">
        <v>784</v>
      </c>
      <c r="O470" s="4" t="s">
        <v>485</v>
      </c>
    </row>
    <row r="471" customFormat="false" ht="13.8" hidden="false" customHeight="false" outlineLevel="0" collapsed="false">
      <c r="N471" s="4" t="s">
        <v>785</v>
      </c>
      <c r="O471" s="4" t="s">
        <v>485</v>
      </c>
    </row>
    <row r="472" customFormat="false" ht="13.8" hidden="false" customHeight="false" outlineLevel="0" collapsed="false">
      <c r="N472" s="4" t="s">
        <v>740</v>
      </c>
      <c r="O472" s="4" t="s">
        <v>485</v>
      </c>
    </row>
    <row r="473" customFormat="false" ht="13.8" hidden="false" customHeight="false" outlineLevel="0" collapsed="false">
      <c r="N473" s="4" t="s">
        <v>836</v>
      </c>
      <c r="O473" s="4" t="s">
        <v>485</v>
      </c>
    </row>
    <row r="474" customFormat="false" ht="13.8" hidden="false" customHeight="false" outlineLevel="0" collapsed="false">
      <c r="N474" s="4" t="s">
        <v>732</v>
      </c>
      <c r="O474" s="4" t="s">
        <v>487</v>
      </c>
    </row>
    <row r="475" customFormat="false" ht="13.8" hidden="false" customHeight="false" outlineLevel="0" collapsed="false">
      <c r="N475" s="4" t="s">
        <v>488</v>
      </c>
      <c r="O475" s="4" t="s">
        <v>488</v>
      </c>
    </row>
    <row r="476" customFormat="false" ht="13.8" hidden="false" customHeight="false" outlineLevel="0" collapsed="false">
      <c r="N476" s="4" t="s">
        <v>676</v>
      </c>
      <c r="O476" s="4" t="s">
        <v>488</v>
      </c>
    </row>
    <row r="477" customFormat="false" ht="13.8" hidden="false" customHeight="false" outlineLevel="0" collapsed="false">
      <c r="N477" s="4" t="s">
        <v>607</v>
      </c>
      <c r="O477" s="4" t="s">
        <v>489</v>
      </c>
    </row>
    <row r="478" customFormat="false" ht="13.8" hidden="false" customHeight="false" outlineLevel="0" collapsed="false">
      <c r="N478" s="4" t="s">
        <v>808</v>
      </c>
      <c r="O478" s="4" t="s">
        <v>359</v>
      </c>
    </row>
    <row r="479" customFormat="false" ht="13.8" hidden="false" customHeight="false" outlineLevel="0" collapsed="false">
      <c r="N479" s="4" t="s">
        <v>489</v>
      </c>
      <c r="O479" s="4" t="s">
        <v>489</v>
      </c>
    </row>
    <row r="480" customFormat="false" ht="13.8" hidden="false" customHeight="false" outlineLevel="0" collapsed="false">
      <c r="N480" s="4" t="s">
        <v>490</v>
      </c>
      <c r="O480" s="4" t="s">
        <v>490</v>
      </c>
    </row>
    <row r="481" customFormat="false" ht="13.8" hidden="false" customHeight="false" outlineLevel="0" collapsed="false">
      <c r="N481" s="4" t="s">
        <v>913</v>
      </c>
      <c r="O481" s="4" t="s">
        <v>490</v>
      </c>
    </row>
    <row r="482" customFormat="false" ht="13.8" hidden="false" customHeight="false" outlineLevel="0" collapsed="false">
      <c r="N482" s="4" t="s">
        <v>6</v>
      </c>
      <c r="O482" s="4" t="s">
        <v>490</v>
      </c>
    </row>
    <row r="483" customFormat="false" ht="13.8" hidden="false" customHeight="false" outlineLevel="0" collapsed="false">
      <c r="N483" s="4" t="s">
        <v>853</v>
      </c>
      <c r="O483" s="4" t="s">
        <v>490</v>
      </c>
    </row>
    <row r="484" customFormat="false" ht="13.8" hidden="false" customHeight="false" outlineLevel="0" collapsed="false">
      <c r="N484" s="4" t="s">
        <v>502</v>
      </c>
      <c r="O484" s="4" t="s">
        <v>502</v>
      </c>
    </row>
    <row r="485" customFormat="false" ht="13.8" hidden="false" customHeight="false" outlineLevel="0" collapsed="false">
      <c r="N485" s="4" t="s">
        <v>92</v>
      </c>
      <c r="O485" s="4" t="s">
        <v>92</v>
      </c>
    </row>
    <row r="486" customFormat="false" ht="13.8" hidden="false" customHeight="false" outlineLevel="0" collapsed="false">
      <c r="N486" s="4" t="s">
        <v>810</v>
      </c>
      <c r="O486" s="4" t="s">
        <v>491</v>
      </c>
    </row>
    <row r="487" customFormat="false" ht="13.8" hidden="false" customHeight="false" outlineLevel="0" collapsed="false">
      <c r="N487" s="4" t="s">
        <v>7683</v>
      </c>
      <c r="O487" s="4" t="s">
        <v>492</v>
      </c>
    </row>
    <row r="488" customFormat="false" ht="13.8" hidden="false" customHeight="false" outlineLevel="0" collapsed="false">
      <c r="N488" s="4" t="s">
        <v>578</v>
      </c>
      <c r="O488" s="4" t="s">
        <v>503</v>
      </c>
    </row>
    <row r="489" customFormat="false" ht="13.8" hidden="false" customHeight="false" outlineLevel="0" collapsed="false">
      <c r="N489" s="4" t="s">
        <v>503</v>
      </c>
      <c r="O489" s="4" t="s">
        <v>503</v>
      </c>
    </row>
    <row r="490" customFormat="false" ht="13.8" hidden="false" customHeight="false" outlineLevel="0" collapsed="false">
      <c r="N490" s="4" t="s">
        <v>664</v>
      </c>
      <c r="O490" s="4" t="s">
        <v>503</v>
      </c>
    </row>
    <row r="491" customFormat="false" ht="13.8" hidden="false" customHeight="false" outlineLevel="0" collapsed="false">
      <c r="N491" s="4" t="s">
        <v>871</v>
      </c>
      <c r="O491" s="4" t="s">
        <v>503</v>
      </c>
    </row>
    <row r="492" customFormat="false" ht="13.8" hidden="false" customHeight="false" outlineLevel="0" collapsed="false">
      <c r="N492" s="4" t="s">
        <v>870</v>
      </c>
      <c r="O492" s="4" t="s">
        <v>503</v>
      </c>
    </row>
    <row r="493" customFormat="false" ht="13.8" hidden="false" customHeight="false" outlineLevel="0" collapsed="false">
      <c r="N493" s="4" t="s">
        <v>854</v>
      </c>
      <c r="O493" s="4" t="s">
        <v>503</v>
      </c>
    </row>
    <row r="494" customFormat="false" ht="13.8" hidden="false" customHeight="false" outlineLevel="0" collapsed="false">
      <c r="N494" s="203" t="s">
        <v>509</v>
      </c>
      <c r="O494" s="203" t="s">
        <v>509</v>
      </c>
      <c r="Q494" s="0" t="str">
        <f aca="false">VLOOKUP(N494,ingredient!$N$4:$O$553,2,0)</f>
        <v>masala for 6 kg batch</v>
      </c>
    </row>
    <row r="496" customFormat="false" ht="13.8" hidden="false" customHeight="false" outlineLevel="0" collapsed="false">
      <c r="N496" s="4" t="s">
        <v>493</v>
      </c>
      <c r="O496" s="4" t="s">
        <v>493</v>
      </c>
    </row>
    <row r="497" customFormat="false" ht="13.8" hidden="false" customHeight="false" outlineLevel="0" collapsed="false">
      <c r="N497" s="4" t="s">
        <v>742</v>
      </c>
      <c r="O497" s="4" t="s">
        <v>494</v>
      </c>
    </row>
    <row r="498" customFormat="false" ht="13.8" hidden="false" customHeight="false" outlineLevel="0" collapsed="false">
      <c r="N498" s="4" t="s">
        <v>494</v>
      </c>
      <c r="O498" s="4" t="s">
        <v>494</v>
      </c>
    </row>
    <row r="499" customFormat="false" ht="13.8" hidden="false" customHeight="false" outlineLevel="0" collapsed="false">
      <c r="N499" s="4" t="s">
        <v>778</v>
      </c>
      <c r="O499" s="4" t="s">
        <v>495</v>
      </c>
    </row>
    <row r="500" customFormat="false" ht="13.8" hidden="false" customHeight="false" outlineLevel="0" collapsed="false">
      <c r="N500" s="4" t="s">
        <v>495</v>
      </c>
      <c r="O500" s="4" t="s">
        <v>495</v>
      </c>
    </row>
    <row r="501" customFormat="false" ht="13.8" hidden="false" customHeight="false" outlineLevel="0" collapsed="false">
      <c r="N501" s="4" t="s">
        <v>661</v>
      </c>
      <c r="O501" s="4" t="s">
        <v>495</v>
      </c>
    </row>
    <row r="502" customFormat="false" ht="13.8" hidden="false" customHeight="false" outlineLevel="0" collapsed="false">
      <c r="N502" s="4" t="s">
        <v>496</v>
      </c>
      <c r="O502" s="4" t="s">
        <v>496</v>
      </c>
    </row>
    <row r="503" customFormat="false" ht="13.8" hidden="false" customHeight="false" outlineLevel="0" collapsed="false">
      <c r="N503" s="4" t="s">
        <v>497</v>
      </c>
      <c r="O503" s="4" t="s">
        <v>497</v>
      </c>
    </row>
    <row r="504" customFormat="false" ht="13.8" hidden="false" customHeight="false" outlineLevel="0" collapsed="false">
      <c r="N504" s="4" t="s">
        <v>702</v>
      </c>
      <c r="O504" s="4" t="s">
        <v>498</v>
      </c>
    </row>
    <row r="505" customFormat="false" ht="13.8" hidden="false" customHeight="false" outlineLevel="0" collapsed="false">
      <c r="N505" s="4" t="s">
        <v>710</v>
      </c>
      <c r="O505" s="4" t="s">
        <v>498</v>
      </c>
    </row>
    <row r="506" customFormat="false" ht="13.8" hidden="false" customHeight="false" outlineLevel="0" collapsed="false">
      <c r="N506" s="4" t="s">
        <v>726</v>
      </c>
      <c r="O506" s="4" t="s">
        <v>498</v>
      </c>
    </row>
    <row r="507" customFormat="false" ht="13.8" hidden="false" customHeight="false" outlineLevel="0" collapsed="false">
      <c r="N507" s="4" t="s">
        <v>7684</v>
      </c>
      <c r="O507" s="4" t="s">
        <v>498</v>
      </c>
    </row>
    <row r="512" customFormat="false" ht="13.8" hidden="false" customHeight="false" outlineLevel="0" collapsed="false">
      <c r="N512" s="4" t="s">
        <v>752</v>
      </c>
      <c r="O512" s="4" t="s">
        <v>398</v>
      </c>
    </row>
    <row r="513" customFormat="false" ht="13.8" hidden="false" customHeight="false" outlineLevel="0" collapsed="false">
      <c r="N513" s="4" t="s">
        <v>749</v>
      </c>
      <c r="O513" s="4" t="s">
        <v>399</v>
      </c>
    </row>
    <row r="514" customFormat="false" ht="13.8" hidden="false" customHeight="false" outlineLevel="0" collapsed="false">
      <c r="N514" s="4" t="s">
        <v>700</v>
      </c>
      <c r="O514" s="4" t="s">
        <v>499</v>
      </c>
    </row>
    <row r="515" customFormat="false" ht="13.8" hidden="false" customHeight="false" outlineLevel="0" collapsed="false">
      <c r="N515" s="4" t="s">
        <v>729</v>
      </c>
      <c r="O515" s="4" t="s">
        <v>499</v>
      </c>
    </row>
    <row r="516" customFormat="false" ht="15" hidden="false" customHeight="false" outlineLevel="0" collapsed="false">
      <c r="N516" s="205" t="s">
        <v>50</v>
      </c>
      <c r="O516" s="4" t="s">
        <v>503</v>
      </c>
    </row>
    <row r="517" customFormat="false" ht="15" hidden="false" customHeight="false" outlineLevel="0" collapsed="false">
      <c r="N517" s="205" t="s">
        <v>51</v>
      </c>
      <c r="O517" s="205" t="s">
        <v>7685</v>
      </c>
    </row>
    <row r="518" customFormat="false" ht="15" hidden="false" customHeight="false" outlineLevel="0" collapsed="false">
      <c r="N518" s="206" t="s">
        <v>52</v>
      </c>
      <c r="O518" s="4" t="s">
        <v>86</v>
      </c>
    </row>
    <row r="519" customFormat="false" ht="15" hidden="false" customHeight="false" outlineLevel="0" collapsed="false">
      <c r="N519" s="206" t="s">
        <v>53</v>
      </c>
      <c r="O519" s="4" t="s">
        <v>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1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RowHeight="13.8" outlineLevelRow="0" outlineLevelCol="0"/>
  <cols>
    <col collapsed="false" customWidth="true" hidden="false" outlineLevel="0" max="1" min="1" style="0" width="37.16"/>
    <col collapsed="false" customWidth="true" hidden="false" outlineLevel="0" max="2" min="2" style="0" width="29.03"/>
    <col collapsed="false" customWidth="true" hidden="false" outlineLevel="0" max="1025" min="3" style="0" width="9.14"/>
  </cols>
  <sheetData>
    <row r="1" customFormat="false" ht="13.8" hidden="false" customHeight="false" outlineLevel="0" collapsed="false">
      <c r="A1" s="0" t="s">
        <v>536</v>
      </c>
      <c r="B1" s="0" t="s">
        <v>130</v>
      </c>
    </row>
    <row r="2" customFormat="false" ht="13.8" hidden="false" customHeight="false" outlineLevel="0" collapsed="false">
      <c r="A2" s="0" t="s">
        <v>39</v>
      </c>
      <c r="B2" s="0" t="s">
        <v>228</v>
      </c>
    </row>
    <row r="3" customFormat="false" ht="13.8" hidden="false" customHeight="false" outlineLevel="0" collapsed="false">
      <c r="A3" s="0" t="s">
        <v>40</v>
      </c>
      <c r="B3" s="0" t="s">
        <v>237</v>
      </c>
    </row>
    <row r="4" customFormat="false" ht="13.8" hidden="false" customHeight="false" outlineLevel="0" collapsed="false">
      <c r="A4" s="0" t="s">
        <v>539</v>
      </c>
      <c r="B4" s="0" t="s">
        <v>7686</v>
      </c>
    </row>
    <row r="5" customFormat="false" ht="13.8" hidden="false" customHeight="false" outlineLevel="0" collapsed="false">
      <c r="A5" s="0" t="s">
        <v>541</v>
      </c>
      <c r="B5" s="0" t="s">
        <v>394</v>
      </c>
    </row>
    <row r="6" customFormat="false" ht="13.8" hidden="false" customHeight="false" outlineLevel="0" collapsed="false">
      <c r="A6" s="0" t="s">
        <v>542</v>
      </c>
      <c r="B6" s="0" t="s">
        <v>7687</v>
      </c>
    </row>
    <row r="7" customFormat="false" ht="13.8" hidden="false" customHeight="false" outlineLevel="0" collapsed="false">
      <c r="A7" s="0" t="s">
        <v>543</v>
      </c>
      <c r="B7" s="0" t="s">
        <v>7688</v>
      </c>
    </row>
    <row r="8" customFormat="false" ht="13.8" hidden="false" customHeight="false" outlineLevel="0" collapsed="false">
      <c r="A8" s="0" t="s">
        <v>544</v>
      </c>
      <c r="B8" s="0" t="s">
        <v>112</v>
      </c>
    </row>
    <row r="9" customFormat="false" ht="13.8" hidden="false" customHeight="false" outlineLevel="0" collapsed="false">
      <c r="A9" s="0" t="s">
        <v>32</v>
      </c>
      <c r="B9" s="0" t="s">
        <v>96</v>
      </c>
    </row>
    <row r="10" customFormat="false" ht="13.8" hidden="false" customHeight="false" outlineLevel="0" collapsed="false">
      <c r="A10" s="0" t="s">
        <v>545</v>
      </c>
      <c r="B10" s="0" t="s">
        <v>7689</v>
      </c>
    </row>
    <row r="11" customFormat="false" ht="13.8" hidden="false" customHeight="false" outlineLevel="0" collapsed="false">
      <c r="A11" s="0" t="s">
        <v>43</v>
      </c>
      <c r="B11" s="0" t="s">
        <v>393</v>
      </c>
    </row>
    <row r="12" customFormat="false" ht="13.8" hidden="false" customHeight="false" outlineLevel="0" collapsed="false">
      <c r="A12" s="0" t="s">
        <v>26</v>
      </c>
      <c r="B12" s="0" t="s">
        <v>7690</v>
      </c>
    </row>
    <row r="13" customFormat="false" ht="13.8" hidden="false" customHeight="false" outlineLevel="0" collapsed="false">
      <c r="A13" s="0" t="s">
        <v>10</v>
      </c>
      <c r="B13" s="0" t="s">
        <v>130</v>
      </c>
    </row>
    <row r="14" customFormat="false" ht="13.8" hidden="false" customHeight="false" outlineLevel="0" collapsed="false">
      <c r="A14" s="0" t="s">
        <v>21</v>
      </c>
      <c r="B14" s="0" t="s">
        <v>485</v>
      </c>
    </row>
    <row r="15" customFormat="false" ht="13.8" hidden="false" customHeight="false" outlineLevel="0" collapsed="false">
      <c r="A15" s="0" t="s">
        <v>548</v>
      </c>
      <c r="B15" s="0" t="s">
        <v>7691</v>
      </c>
    </row>
    <row r="16" customFormat="false" ht="13.8" hidden="false" customHeight="false" outlineLevel="0" collapsed="false">
      <c r="A16" s="0" t="s">
        <v>549</v>
      </c>
      <c r="B16" s="0" t="s">
        <v>374</v>
      </c>
    </row>
    <row r="17" customFormat="false" ht="13.8" hidden="false" customHeight="false" outlineLevel="0" collapsed="false">
      <c r="A17" s="0" t="s">
        <v>550</v>
      </c>
      <c r="B17" s="0" t="s">
        <v>345</v>
      </c>
    </row>
    <row r="18" customFormat="false" ht="13.8" hidden="false" customHeight="false" outlineLevel="0" collapsed="false">
      <c r="A18" s="0" t="s">
        <v>40</v>
      </c>
      <c r="B18" s="0" t="s">
        <v>237</v>
      </c>
    </row>
    <row r="19" customFormat="false" ht="13.8" hidden="false" customHeight="false" outlineLevel="0" collapsed="false">
      <c r="A19" s="0" t="s">
        <v>553</v>
      </c>
      <c r="B19" s="0" t="s">
        <v>839</v>
      </c>
    </row>
    <row r="20" customFormat="false" ht="13.8" hidden="false" customHeight="false" outlineLevel="0" collapsed="false">
      <c r="A20" s="0" t="s">
        <v>18</v>
      </c>
      <c r="B20" s="0" t="s">
        <v>855</v>
      </c>
    </row>
    <row r="21" customFormat="false" ht="13.8" hidden="false" customHeight="false" outlineLevel="0" collapsed="false">
      <c r="A21" s="0" t="s">
        <v>554</v>
      </c>
      <c r="B21" s="0" t="s">
        <v>932</v>
      </c>
    </row>
    <row r="22" customFormat="false" ht="13.8" hidden="false" customHeight="false" outlineLevel="0" collapsed="false">
      <c r="A22" s="0" t="s">
        <v>555</v>
      </c>
      <c r="B22" s="0" t="s">
        <v>168</v>
      </c>
    </row>
    <row r="23" customFormat="false" ht="13.8" hidden="false" customHeight="false" outlineLevel="0" collapsed="false">
      <c r="A23" s="0" t="s">
        <v>32</v>
      </c>
      <c r="B23" s="0" t="s">
        <v>96</v>
      </c>
    </row>
    <row r="24" customFormat="false" ht="13.8" hidden="false" customHeight="false" outlineLevel="0" collapsed="false">
      <c r="A24" s="0" t="s">
        <v>43</v>
      </c>
      <c r="B24" s="0" t="s">
        <v>393</v>
      </c>
    </row>
    <row r="25" customFormat="false" ht="13.8" hidden="false" customHeight="false" outlineLevel="0" collapsed="false">
      <c r="A25" s="0" t="s">
        <v>556</v>
      </c>
      <c r="B25" s="0" t="s">
        <v>225</v>
      </c>
    </row>
    <row r="26" customFormat="false" ht="13.8" hidden="false" customHeight="false" outlineLevel="0" collapsed="false">
      <c r="A26" s="0" t="s">
        <v>557</v>
      </c>
      <c r="B26" s="0" t="s">
        <v>833</v>
      </c>
    </row>
    <row r="27" customFormat="false" ht="13.8" hidden="false" customHeight="false" outlineLevel="0" collapsed="false">
      <c r="A27" s="0" t="s">
        <v>558</v>
      </c>
      <c r="B27" s="0" t="s">
        <v>7690</v>
      </c>
    </row>
    <row r="28" customFormat="false" ht="13.8" hidden="false" customHeight="false" outlineLevel="0" collapsed="false">
      <c r="A28" s="0" t="s">
        <v>559</v>
      </c>
      <c r="B28" s="0" t="s">
        <v>395</v>
      </c>
    </row>
    <row r="29" customFormat="false" ht="13.8" hidden="false" customHeight="false" outlineLevel="0" collapsed="false">
      <c r="A29" s="0" t="s">
        <v>21</v>
      </c>
      <c r="B29" s="0" t="s">
        <v>485</v>
      </c>
    </row>
    <row r="30" customFormat="false" ht="13.8" hidden="false" customHeight="false" outlineLevel="0" collapsed="false">
      <c r="A30" s="0" t="s">
        <v>74</v>
      </c>
      <c r="B30" s="0" t="s">
        <v>7692</v>
      </c>
    </row>
    <row r="31" customFormat="false" ht="13.8" hidden="false" customHeight="false" outlineLevel="0" collapsed="false">
      <c r="A31" s="0" t="s">
        <v>553</v>
      </c>
      <c r="B31" s="0" t="s">
        <v>839</v>
      </c>
    </row>
    <row r="32" customFormat="false" ht="13.8" hidden="false" customHeight="false" outlineLevel="0" collapsed="false">
      <c r="A32" s="0" t="s">
        <v>14</v>
      </c>
      <c r="B32" s="0" t="s">
        <v>398</v>
      </c>
    </row>
    <row r="33" customFormat="false" ht="13.8" hidden="false" customHeight="false" outlineLevel="0" collapsed="false">
      <c r="A33" s="0" t="s">
        <v>562</v>
      </c>
      <c r="B33" s="0" t="s">
        <v>391</v>
      </c>
    </row>
    <row r="34" customFormat="false" ht="13.8" hidden="false" customHeight="false" outlineLevel="0" collapsed="false">
      <c r="A34" s="0" t="s">
        <v>563</v>
      </c>
      <c r="B34" s="0" t="s">
        <v>801</v>
      </c>
    </row>
    <row r="35" customFormat="false" ht="13.8" hidden="false" customHeight="false" outlineLevel="0" collapsed="false">
      <c r="A35" s="0" t="s">
        <v>18</v>
      </c>
      <c r="B35" s="0" t="s">
        <v>855</v>
      </c>
    </row>
    <row r="36" customFormat="false" ht="13.8" hidden="false" customHeight="false" outlineLevel="0" collapsed="false">
      <c r="A36" s="0" t="s">
        <v>564</v>
      </c>
      <c r="B36" s="0" t="s">
        <v>382</v>
      </c>
    </row>
    <row r="37" customFormat="false" ht="13.8" hidden="false" customHeight="false" outlineLevel="0" collapsed="false">
      <c r="A37" s="0" t="s">
        <v>554</v>
      </c>
      <c r="B37" s="0" t="s">
        <v>932</v>
      </c>
    </row>
    <row r="38" customFormat="false" ht="13.8" hidden="false" customHeight="false" outlineLevel="0" collapsed="false">
      <c r="A38" s="0" t="s">
        <v>72</v>
      </c>
      <c r="B38" s="0" t="s">
        <v>7693</v>
      </c>
    </row>
    <row r="39" customFormat="false" ht="13.8" hidden="false" customHeight="false" outlineLevel="0" collapsed="false">
      <c r="A39" s="0" t="s">
        <v>43</v>
      </c>
      <c r="B39" s="0" t="s">
        <v>393</v>
      </c>
    </row>
    <row r="40" customFormat="false" ht="13.8" hidden="false" customHeight="false" outlineLevel="0" collapsed="false">
      <c r="A40" s="0" t="s">
        <v>32</v>
      </c>
      <c r="B40" s="0" t="s">
        <v>96</v>
      </c>
    </row>
    <row r="41" customFormat="false" ht="13.8" hidden="false" customHeight="false" outlineLevel="0" collapsed="false">
      <c r="A41" s="0" t="s">
        <v>558</v>
      </c>
      <c r="B41" s="0" t="s">
        <v>7690</v>
      </c>
    </row>
    <row r="42" customFormat="false" ht="13.8" hidden="false" customHeight="false" outlineLevel="0" collapsed="false">
      <c r="A42" s="0" t="s">
        <v>565</v>
      </c>
      <c r="B42" s="0" t="s">
        <v>468</v>
      </c>
    </row>
    <row r="43" customFormat="false" ht="13.8" hidden="false" customHeight="false" outlineLevel="0" collapsed="false">
      <c r="A43" s="0" t="s">
        <v>21</v>
      </c>
      <c r="B43" s="0" t="s">
        <v>485</v>
      </c>
    </row>
    <row r="44" customFormat="false" ht="13.8" hidden="false" customHeight="false" outlineLevel="0" collapsed="false">
      <c r="A44" s="0" t="s">
        <v>564</v>
      </c>
      <c r="B44" s="0" t="s">
        <v>382</v>
      </c>
    </row>
    <row r="45" customFormat="false" ht="13.8" hidden="false" customHeight="false" outlineLevel="0" collapsed="false">
      <c r="A45" s="0" t="s">
        <v>568</v>
      </c>
      <c r="B45" s="0" t="s">
        <v>841</v>
      </c>
    </row>
    <row r="46" customFormat="false" ht="13.8" hidden="false" customHeight="false" outlineLevel="0" collapsed="false">
      <c r="A46" s="0" t="s">
        <v>569</v>
      </c>
      <c r="B46" s="0" t="s">
        <v>399</v>
      </c>
    </row>
    <row r="47" customFormat="false" ht="13.8" hidden="false" customHeight="false" outlineLevel="0" collapsed="false">
      <c r="A47" s="0" t="s">
        <v>562</v>
      </c>
      <c r="B47" s="0" t="s">
        <v>391</v>
      </c>
    </row>
    <row r="48" customFormat="false" ht="13.8" hidden="false" customHeight="false" outlineLevel="0" collapsed="false">
      <c r="A48" s="0" t="s">
        <v>37</v>
      </c>
      <c r="B48" s="0" t="s">
        <v>840</v>
      </c>
    </row>
    <row r="49" customFormat="false" ht="13.8" hidden="false" customHeight="false" outlineLevel="0" collapsed="false">
      <c r="A49" s="0" t="s">
        <v>32</v>
      </c>
      <c r="B49" s="0" t="s">
        <v>96</v>
      </c>
    </row>
    <row r="50" customFormat="false" ht="13.8" hidden="false" customHeight="false" outlineLevel="0" collapsed="false">
      <c r="A50" s="0" t="s">
        <v>553</v>
      </c>
      <c r="B50" s="0" t="s">
        <v>839</v>
      </c>
    </row>
    <row r="51" customFormat="false" ht="13.8" hidden="false" customHeight="false" outlineLevel="0" collapsed="false">
      <c r="A51" s="0" t="s">
        <v>570</v>
      </c>
      <c r="B51" s="0" t="s">
        <v>456</v>
      </c>
    </row>
    <row r="52" customFormat="false" ht="13.8" hidden="false" customHeight="false" outlineLevel="0" collapsed="false">
      <c r="A52" s="0" t="s">
        <v>14</v>
      </c>
      <c r="B52" s="0" t="s">
        <v>398</v>
      </c>
    </row>
    <row r="53" customFormat="false" ht="13.8" hidden="false" customHeight="false" outlineLevel="0" collapsed="false">
      <c r="A53" s="0" t="s">
        <v>18</v>
      </c>
      <c r="B53" s="0" t="s">
        <v>855</v>
      </c>
    </row>
    <row r="54" customFormat="false" ht="13.8" hidden="false" customHeight="false" outlineLevel="0" collapsed="false">
      <c r="A54" s="0" t="s">
        <v>554</v>
      </c>
      <c r="B54" s="0" t="s">
        <v>932</v>
      </c>
    </row>
    <row r="55" customFormat="false" ht="13.8" hidden="false" customHeight="false" outlineLevel="0" collapsed="false">
      <c r="A55" s="0" t="s">
        <v>571</v>
      </c>
      <c r="B55" s="0" t="s">
        <v>44</v>
      </c>
    </row>
    <row r="56" customFormat="false" ht="13.8" hidden="false" customHeight="false" outlineLevel="0" collapsed="false">
      <c r="A56" s="0" t="s">
        <v>539</v>
      </c>
      <c r="B56" s="0" t="s">
        <v>7686</v>
      </c>
    </row>
    <row r="57" customFormat="false" ht="13.8" hidden="false" customHeight="false" outlineLevel="0" collapsed="false">
      <c r="A57" s="0" t="s">
        <v>573</v>
      </c>
      <c r="B57" s="0" t="s">
        <v>420</v>
      </c>
    </row>
    <row r="58" customFormat="false" ht="13.8" hidden="false" customHeight="false" outlineLevel="0" collapsed="false">
      <c r="A58" s="0" t="s">
        <v>574</v>
      </c>
      <c r="B58" s="0" t="s">
        <v>357</v>
      </c>
    </row>
    <row r="59" customFormat="false" ht="13.8" hidden="false" customHeight="false" outlineLevel="0" collapsed="false">
      <c r="A59" s="0" t="s">
        <v>557</v>
      </c>
      <c r="B59" s="0" t="s">
        <v>833</v>
      </c>
    </row>
    <row r="60" customFormat="false" ht="13.8" hidden="false" customHeight="false" outlineLevel="0" collapsed="false">
      <c r="A60" s="0" t="s">
        <v>575</v>
      </c>
      <c r="B60" s="0" t="s">
        <v>462</v>
      </c>
    </row>
    <row r="61" customFormat="false" ht="13.8" hidden="false" customHeight="false" outlineLevel="0" collapsed="false">
      <c r="A61" s="0" t="s">
        <v>576</v>
      </c>
      <c r="B61" s="0" t="s">
        <v>264</v>
      </c>
    </row>
    <row r="62" customFormat="false" ht="13.8" hidden="false" customHeight="false" outlineLevel="0" collapsed="false">
      <c r="A62" s="0" t="s">
        <v>577</v>
      </c>
      <c r="B62" s="0" t="s">
        <v>249</v>
      </c>
    </row>
    <row r="63" customFormat="false" ht="13.8" hidden="false" customHeight="false" outlineLevel="0" collapsed="false">
      <c r="A63" s="0" t="s">
        <v>22</v>
      </c>
      <c r="B63" s="0" t="s">
        <v>354</v>
      </c>
    </row>
    <row r="64" customFormat="false" ht="13.8" hidden="false" customHeight="false" outlineLevel="0" collapsed="false">
      <c r="A64" s="0" t="s">
        <v>18</v>
      </c>
      <c r="B64" s="0" t="s">
        <v>855</v>
      </c>
    </row>
    <row r="65" customFormat="false" ht="13.8" hidden="false" customHeight="false" outlineLevel="0" collapsed="false">
      <c r="A65" s="0" t="s">
        <v>578</v>
      </c>
      <c r="B65" s="0" t="s">
        <v>503</v>
      </c>
    </row>
    <row r="66" customFormat="false" ht="13.8" hidden="false" customHeight="false" outlineLevel="0" collapsed="false">
      <c r="A66" s="0" t="s">
        <v>539</v>
      </c>
      <c r="B66" s="0" t="s">
        <v>7686</v>
      </c>
    </row>
    <row r="67" customFormat="false" ht="13.8" hidden="false" customHeight="false" outlineLevel="0" collapsed="false">
      <c r="A67" s="0" t="s">
        <v>571</v>
      </c>
      <c r="B67" s="0" t="s">
        <v>44</v>
      </c>
    </row>
    <row r="68" customFormat="false" ht="13.8" hidden="false" customHeight="false" outlineLevel="0" collapsed="false">
      <c r="A68" s="0" t="s">
        <v>579</v>
      </c>
      <c r="B68" s="0" t="s">
        <v>418</v>
      </c>
    </row>
    <row r="69" customFormat="false" ht="13.8" hidden="false" customHeight="false" outlineLevel="0" collapsed="false">
      <c r="A69" s="0" t="s">
        <v>14</v>
      </c>
      <c r="B69" s="0" t="s">
        <v>398</v>
      </c>
    </row>
    <row r="70" customFormat="false" ht="13.8" hidden="false" customHeight="false" outlineLevel="0" collapsed="false">
      <c r="A70" s="0" t="s">
        <v>32</v>
      </c>
      <c r="B70" s="0" t="s">
        <v>96</v>
      </c>
    </row>
    <row r="71" customFormat="false" ht="13.8" hidden="false" customHeight="false" outlineLevel="0" collapsed="false">
      <c r="A71" s="0" t="s">
        <v>580</v>
      </c>
      <c r="B71" s="0" t="s">
        <v>288</v>
      </c>
    </row>
    <row r="72" customFormat="false" ht="13.8" hidden="false" customHeight="false" outlineLevel="0" collapsed="false">
      <c r="A72" s="0" t="s">
        <v>32</v>
      </c>
      <c r="B72" s="0" t="s">
        <v>96</v>
      </c>
    </row>
    <row r="73" customFormat="false" ht="13.8" hidden="false" customHeight="false" outlineLevel="0" collapsed="false">
      <c r="A73" s="0" t="s">
        <v>571</v>
      </c>
      <c r="B73" s="0" t="s">
        <v>44</v>
      </c>
    </row>
    <row r="74" customFormat="false" ht="13.8" hidden="false" customHeight="false" outlineLevel="0" collapsed="false">
      <c r="A74" s="0" t="s">
        <v>581</v>
      </c>
      <c r="B74" s="0" t="s">
        <v>7694</v>
      </c>
    </row>
    <row r="75" customFormat="false" ht="13.8" hidden="false" customHeight="false" outlineLevel="0" collapsed="false">
      <c r="A75" s="0" t="s">
        <v>582</v>
      </c>
      <c r="B75" s="0" t="s">
        <v>7695</v>
      </c>
    </row>
    <row r="76" customFormat="false" ht="13.8" hidden="false" customHeight="false" outlineLevel="0" collapsed="false">
      <c r="A76" s="0" t="s">
        <v>583</v>
      </c>
      <c r="B76" s="0" t="s">
        <v>475</v>
      </c>
    </row>
    <row r="77" customFormat="false" ht="13.8" hidden="false" customHeight="false" outlineLevel="0" collapsed="false">
      <c r="A77" s="0" t="s">
        <v>584</v>
      </c>
      <c r="B77" s="0" t="s">
        <v>255</v>
      </c>
    </row>
    <row r="78" customFormat="false" ht="13.8" hidden="false" customHeight="false" outlineLevel="0" collapsed="false">
      <c r="A78" s="0" t="s">
        <v>585</v>
      </c>
      <c r="B78" s="0" t="s">
        <v>7696</v>
      </c>
    </row>
    <row r="79" customFormat="false" ht="13.8" hidden="false" customHeight="false" outlineLevel="0" collapsed="false">
      <c r="A79" s="0" t="s">
        <v>570</v>
      </c>
      <c r="B79" s="0" t="s">
        <v>456</v>
      </c>
    </row>
    <row r="80" customFormat="false" ht="13.8" hidden="false" customHeight="false" outlineLevel="0" collapsed="false">
      <c r="A80" s="0" t="s">
        <v>562</v>
      </c>
      <c r="B80" s="0" t="s">
        <v>391</v>
      </c>
    </row>
    <row r="81" customFormat="false" ht="13.8" hidden="false" customHeight="false" outlineLevel="0" collapsed="false">
      <c r="A81" s="0" t="s">
        <v>586</v>
      </c>
      <c r="B81" s="0" t="s">
        <v>803</v>
      </c>
    </row>
    <row r="82" customFormat="false" ht="13.8" hidden="false" customHeight="false" outlineLevel="0" collapsed="false">
      <c r="A82" s="0" t="s">
        <v>18</v>
      </c>
      <c r="B82" s="0" t="s">
        <v>855</v>
      </c>
    </row>
    <row r="83" customFormat="false" ht="13.8" hidden="false" customHeight="false" outlineLevel="0" collapsed="false">
      <c r="A83" s="0" t="s">
        <v>587</v>
      </c>
      <c r="B83" s="0" t="s">
        <v>198</v>
      </c>
    </row>
    <row r="84" customFormat="false" ht="13.8" hidden="false" customHeight="false" outlineLevel="0" collapsed="false">
      <c r="A84" s="0" t="s">
        <v>558</v>
      </c>
      <c r="B84" s="0" t="s">
        <v>7690</v>
      </c>
    </row>
    <row r="85" customFormat="false" ht="13.8" hidden="false" customHeight="false" outlineLevel="0" collapsed="false">
      <c r="A85" s="0" t="s">
        <v>580</v>
      </c>
      <c r="B85" s="0" t="s">
        <v>288</v>
      </c>
    </row>
    <row r="86" customFormat="false" ht="13.8" hidden="false" customHeight="false" outlineLevel="0" collapsed="false">
      <c r="A86" s="0" t="s">
        <v>32</v>
      </c>
      <c r="B86" s="0" t="s">
        <v>96</v>
      </c>
    </row>
    <row r="87" customFormat="false" ht="13.8" hidden="false" customHeight="false" outlineLevel="0" collapsed="false">
      <c r="A87" s="0" t="s">
        <v>571</v>
      </c>
      <c r="B87" s="0" t="s">
        <v>44</v>
      </c>
    </row>
    <row r="88" customFormat="false" ht="13.8" hidden="false" customHeight="false" outlineLevel="0" collapsed="false">
      <c r="A88" s="0" t="s">
        <v>581</v>
      </c>
      <c r="B88" s="0" t="s">
        <v>7694</v>
      </c>
    </row>
    <row r="89" customFormat="false" ht="13.8" hidden="false" customHeight="false" outlineLevel="0" collapsed="false">
      <c r="A89" s="0" t="s">
        <v>582</v>
      </c>
      <c r="B89" s="0" t="s">
        <v>7695</v>
      </c>
    </row>
    <row r="90" customFormat="false" ht="13.8" hidden="false" customHeight="false" outlineLevel="0" collapsed="false">
      <c r="A90" s="0" t="s">
        <v>583</v>
      </c>
      <c r="B90" s="0" t="s">
        <v>475</v>
      </c>
    </row>
    <row r="91" customFormat="false" ht="13.8" hidden="false" customHeight="false" outlineLevel="0" collapsed="false">
      <c r="A91" s="0" t="s">
        <v>584</v>
      </c>
      <c r="B91" s="0" t="s">
        <v>255</v>
      </c>
    </row>
    <row r="92" customFormat="false" ht="13.8" hidden="false" customHeight="false" outlineLevel="0" collapsed="false">
      <c r="A92" s="0" t="s">
        <v>585</v>
      </c>
      <c r="B92" s="0" t="s">
        <v>7696</v>
      </c>
    </row>
    <row r="93" customFormat="false" ht="13.8" hidden="false" customHeight="false" outlineLevel="0" collapsed="false">
      <c r="A93" s="0" t="s">
        <v>570</v>
      </c>
      <c r="B93" s="0" t="s">
        <v>456</v>
      </c>
    </row>
    <row r="94" customFormat="false" ht="13.8" hidden="false" customHeight="false" outlineLevel="0" collapsed="false">
      <c r="A94" s="0" t="s">
        <v>562</v>
      </c>
      <c r="B94" s="0" t="s">
        <v>391</v>
      </c>
    </row>
    <row r="95" customFormat="false" ht="13.8" hidden="false" customHeight="false" outlineLevel="0" collapsed="false">
      <c r="A95" s="0" t="s">
        <v>586</v>
      </c>
      <c r="B95" s="0" t="s">
        <v>803</v>
      </c>
    </row>
    <row r="96" customFormat="false" ht="13.8" hidden="false" customHeight="false" outlineLevel="0" collapsed="false">
      <c r="A96" s="0" t="s">
        <v>18</v>
      </c>
      <c r="B96" s="0" t="s">
        <v>855</v>
      </c>
    </row>
    <row r="97" customFormat="false" ht="13.8" hidden="false" customHeight="false" outlineLevel="0" collapsed="false">
      <c r="A97" s="0" t="s">
        <v>589</v>
      </c>
      <c r="B97" s="0" t="s">
        <v>7697</v>
      </c>
    </row>
    <row r="98" customFormat="false" ht="13.8" hidden="false" customHeight="false" outlineLevel="0" collapsed="false">
      <c r="A98" s="0" t="s">
        <v>591</v>
      </c>
      <c r="B98" s="0" t="s">
        <v>7698</v>
      </c>
    </row>
    <row r="99" customFormat="false" ht="13.8" hidden="false" customHeight="false" outlineLevel="0" collapsed="false">
      <c r="A99" s="0" t="s">
        <v>580</v>
      </c>
      <c r="B99" s="0" t="s">
        <v>288</v>
      </c>
    </row>
    <row r="100" customFormat="false" ht="13.8" hidden="false" customHeight="false" outlineLevel="0" collapsed="false">
      <c r="A100" s="0" t="s">
        <v>32</v>
      </c>
      <c r="B100" s="0" t="s">
        <v>96</v>
      </c>
    </row>
    <row r="101" customFormat="false" ht="13.8" hidden="false" customHeight="false" outlineLevel="0" collapsed="false">
      <c r="A101" s="0" t="s">
        <v>571</v>
      </c>
      <c r="B101" s="0" t="s">
        <v>44</v>
      </c>
    </row>
    <row r="102" customFormat="false" ht="13.8" hidden="false" customHeight="false" outlineLevel="0" collapsed="false">
      <c r="A102" s="0" t="s">
        <v>581</v>
      </c>
      <c r="B102" s="0" t="s">
        <v>7694</v>
      </c>
    </row>
    <row r="103" customFormat="false" ht="13.8" hidden="false" customHeight="false" outlineLevel="0" collapsed="false">
      <c r="A103" s="0" t="s">
        <v>582</v>
      </c>
      <c r="B103" s="0" t="s">
        <v>7695</v>
      </c>
    </row>
    <row r="104" customFormat="false" ht="13.8" hidden="false" customHeight="false" outlineLevel="0" collapsed="false">
      <c r="A104" s="0" t="s">
        <v>583</v>
      </c>
      <c r="B104" s="0" t="s">
        <v>475</v>
      </c>
    </row>
    <row r="105" customFormat="false" ht="13.8" hidden="false" customHeight="false" outlineLevel="0" collapsed="false">
      <c r="A105" s="0" t="s">
        <v>584</v>
      </c>
      <c r="B105" s="0" t="s">
        <v>255</v>
      </c>
    </row>
    <row r="106" customFormat="false" ht="13.8" hidden="false" customHeight="false" outlineLevel="0" collapsed="false">
      <c r="A106" s="0" t="s">
        <v>585</v>
      </c>
      <c r="B106" s="0" t="s">
        <v>7696</v>
      </c>
    </row>
    <row r="107" customFormat="false" ht="13.8" hidden="false" customHeight="false" outlineLevel="0" collapsed="false">
      <c r="A107" s="0" t="s">
        <v>570</v>
      </c>
      <c r="B107" s="0" t="s">
        <v>456</v>
      </c>
    </row>
    <row r="108" customFormat="false" ht="13.8" hidden="false" customHeight="false" outlineLevel="0" collapsed="false">
      <c r="A108" s="0" t="s">
        <v>562</v>
      </c>
      <c r="B108" s="0" t="s">
        <v>391</v>
      </c>
    </row>
    <row r="109" customFormat="false" ht="13.8" hidden="false" customHeight="false" outlineLevel="0" collapsed="false">
      <c r="A109" s="0" t="s">
        <v>586</v>
      </c>
      <c r="B109" s="0" t="s">
        <v>803</v>
      </c>
    </row>
    <row r="110" customFormat="false" ht="13.8" hidden="false" customHeight="false" outlineLevel="0" collapsed="false">
      <c r="A110" s="0" t="s">
        <v>18</v>
      </c>
      <c r="B110" s="0" t="s">
        <v>855</v>
      </c>
    </row>
    <row r="111" customFormat="false" ht="13.8" hidden="false" customHeight="false" outlineLevel="0" collapsed="false">
      <c r="A111" s="0" t="s">
        <v>592</v>
      </c>
      <c r="B111" s="0" t="s">
        <v>451</v>
      </c>
    </row>
    <row r="112" customFormat="false" ht="13.8" hidden="false" customHeight="false" outlineLevel="0" collapsed="false">
      <c r="A112" s="0" t="s">
        <v>558</v>
      </c>
      <c r="B112" s="0" t="s">
        <v>7690</v>
      </c>
    </row>
    <row r="113" customFormat="false" ht="13.8" hidden="false" customHeight="false" outlineLevel="0" collapsed="false">
      <c r="A113" s="0" t="s">
        <v>593</v>
      </c>
      <c r="B113" s="0" t="s">
        <v>407</v>
      </c>
    </row>
    <row r="114" customFormat="false" ht="13.8" hidden="false" customHeight="false" outlineLevel="0" collapsed="false">
      <c r="A114" s="0" t="s">
        <v>39</v>
      </c>
      <c r="B114" s="0" t="s">
        <v>228</v>
      </c>
    </row>
    <row r="115" customFormat="false" ht="13.8" hidden="false" customHeight="false" outlineLevel="0" collapsed="false">
      <c r="A115" s="0" t="s">
        <v>10</v>
      </c>
      <c r="B115" s="0" t="s">
        <v>130</v>
      </c>
    </row>
    <row r="116" customFormat="false" ht="13.8" hidden="false" customHeight="false" outlineLevel="0" collapsed="false">
      <c r="A116" s="0" t="s">
        <v>21</v>
      </c>
      <c r="B116" s="0" t="s">
        <v>485</v>
      </c>
    </row>
    <row r="117" customFormat="false" ht="13.8" hidden="false" customHeight="false" outlineLevel="0" collapsed="false">
      <c r="A117" s="0" t="s">
        <v>553</v>
      </c>
      <c r="B117" s="0" t="s">
        <v>839</v>
      </c>
    </row>
    <row r="118" customFormat="false" ht="13.8" hidden="false" customHeight="false" outlineLevel="0" collapsed="false">
      <c r="A118" s="0" t="s">
        <v>562</v>
      </c>
      <c r="B118" s="0" t="s">
        <v>391</v>
      </c>
    </row>
    <row r="119" customFormat="false" ht="13.8" hidden="false" customHeight="false" outlineLevel="0" collapsed="false">
      <c r="A119" s="0" t="s">
        <v>526</v>
      </c>
      <c r="B119" s="0" t="s">
        <v>386</v>
      </c>
    </row>
    <row r="120" customFormat="false" ht="13.8" hidden="false" customHeight="false" outlineLevel="0" collapsed="false">
      <c r="A120" s="0" t="s">
        <v>18</v>
      </c>
      <c r="B120" s="0" t="s">
        <v>855</v>
      </c>
    </row>
    <row r="121" customFormat="false" ht="13.8" hidden="false" customHeight="false" outlineLevel="0" collapsed="false">
      <c r="A121" s="0" t="s">
        <v>569</v>
      </c>
      <c r="B121" s="0" t="s">
        <v>399</v>
      </c>
    </row>
    <row r="122" customFormat="false" ht="13.8" hidden="false" customHeight="false" outlineLevel="0" collapsed="false">
      <c r="A122" s="0" t="s">
        <v>568</v>
      </c>
      <c r="B122" s="0" t="s">
        <v>841</v>
      </c>
    </row>
    <row r="123" customFormat="false" ht="13.8" hidden="false" customHeight="false" outlineLevel="0" collapsed="false">
      <c r="A123" s="0" t="s">
        <v>596</v>
      </c>
      <c r="B123" s="0" t="s">
        <v>7699</v>
      </c>
    </row>
    <row r="124" customFormat="false" ht="13.8" hidden="false" customHeight="false" outlineLevel="0" collapsed="false">
      <c r="A124" s="0" t="s">
        <v>597</v>
      </c>
      <c r="B124" s="0" t="s">
        <v>330</v>
      </c>
    </row>
    <row r="125" customFormat="false" ht="13.8" hidden="false" customHeight="false" outlineLevel="0" collapsed="false">
      <c r="A125" s="0" t="s">
        <v>564</v>
      </c>
      <c r="B125" s="0" t="s">
        <v>382</v>
      </c>
    </row>
    <row r="126" customFormat="false" ht="13.8" hidden="false" customHeight="false" outlineLevel="0" collapsed="false">
      <c r="A126" s="0" t="s">
        <v>554</v>
      </c>
      <c r="B126" s="0" t="s">
        <v>932</v>
      </c>
    </row>
    <row r="127" customFormat="false" ht="13.8" hidden="false" customHeight="false" outlineLevel="0" collapsed="false">
      <c r="A127" s="0" t="s">
        <v>32</v>
      </c>
      <c r="B127" s="0" t="s">
        <v>96</v>
      </c>
    </row>
    <row r="128" customFormat="false" ht="13.8" hidden="false" customHeight="false" outlineLevel="0" collapsed="false">
      <c r="A128" s="0" t="s">
        <v>598</v>
      </c>
      <c r="B128" s="0" t="s">
        <v>207</v>
      </c>
    </row>
    <row r="129" customFormat="false" ht="13.8" hidden="false" customHeight="false" outlineLevel="0" collapsed="false">
      <c r="A129" s="0" t="s">
        <v>599</v>
      </c>
      <c r="B129" s="0" t="s">
        <v>327</v>
      </c>
    </row>
    <row r="130" customFormat="false" ht="13.8" hidden="false" customHeight="false" outlineLevel="0" collapsed="false">
      <c r="A130" s="0" t="s">
        <v>557</v>
      </c>
      <c r="B130" s="0" t="s">
        <v>833</v>
      </c>
    </row>
    <row r="131" customFormat="false" ht="13.8" hidden="false" customHeight="false" outlineLevel="0" collapsed="false">
      <c r="A131" s="0" t="s">
        <v>46</v>
      </c>
      <c r="B131" s="0" t="s">
        <v>7690</v>
      </c>
    </row>
    <row r="132" customFormat="false" ht="13.8" hidden="false" customHeight="false" outlineLevel="0" collapsed="false">
      <c r="A132" s="0" t="s">
        <v>600</v>
      </c>
      <c r="B132" s="0" t="s">
        <v>120</v>
      </c>
    </row>
    <row r="133" customFormat="false" ht="13.8" hidden="false" customHeight="false" outlineLevel="0" collapsed="false">
      <c r="A133" s="0" t="s">
        <v>565</v>
      </c>
      <c r="B133" s="0" t="s">
        <v>468</v>
      </c>
    </row>
    <row r="134" customFormat="false" ht="13.8" hidden="false" customHeight="false" outlineLevel="0" collapsed="false">
      <c r="A134" s="0" t="s">
        <v>593</v>
      </c>
      <c r="B134" s="0" t="s">
        <v>407</v>
      </c>
    </row>
    <row r="135" customFormat="false" ht="13.8" hidden="false" customHeight="false" outlineLevel="0" collapsed="false">
      <c r="A135" s="0" t="s">
        <v>10</v>
      </c>
      <c r="B135" s="0" t="s">
        <v>130</v>
      </c>
    </row>
    <row r="136" customFormat="false" ht="13.8" hidden="false" customHeight="false" outlineLevel="0" collapsed="false">
      <c r="A136" s="0" t="s">
        <v>21</v>
      </c>
      <c r="B136" s="0" t="s">
        <v>485</v>
      </c>
    </row>
    <row r="137" customFormat="false" ht="13.8" hidden="false" customHeight="false" outlineLevel="0" collapsed="false">
      <c r="A137" s="0" t="s">
        <v>553</v>
      </c>
      <c r="B137" s="0" t="s">
        <v>839</v>
      </c>
    </row>
    <row r="138" customFormat="false" ht="13.8" hidden="false" customHeight="false" outlineLevel="0" collapsed="false">
      <c r="A138" s="0" t="s">
        <v>562</v>
      </c>
      <c r="B138" s="0" t="s">
        <v>391</v>
      </c>
    </row>
    <row r="139" customFormat="false" ht="13.8" hidden="false" customHeight="false" outlineLevel="0" collapsed="false">
      <c r="A139" s="0" t="s">
        <v>526</v>
      </c>
      <c r="B139" s="0" t="s">
        <v>386</v>
      </c>
    </row>
    <row r="140" customFormat="false" ht="13.8" hidden="false" customHeight="false" outlineLevel="0" collapsed="false">
      <c r="A140" s="0" t="s">
        <v>18</v>
      </c>
      <c r="B140" s="0" t="s">
        <v>855</v>
      </c>
    </row>
    <row r="141" customFormat="false" ht="13.8" hidden="false" customHeight="false" outlineLevel="0" collapsed="false">
      <c r="A141" s="0" t="s">
        <v>569</v>
      </c>
      <c r="B141" s="0" t="s">
        <v>399</v>
      </c>
    </row>
    <row r="142" customFormat="false" ht="13.8" hidden="false" customHeight="false" outlineLevel="0" collapsed="false">
      <c r="A142" s="0" t="s">
        <v>568</v>
      </c>
      <c r="B142" s="0" t="s">
        <v>841</v>
      </c>
    </row>
    <row r="143" customFormat="false" ht="13.8" hidden="false" customHeight="false" outlineLevel="0" collapsed="false">
      <c r="A143" s="0" t="s">
        <v>596</v>
      </c>
      <c r="B143" s="0" t="s">
        <v>7699</v>
      </c>
    </row>
    <row r="144" customFormat="false" ht="13.8" hidden="false" customHeight="false" outlineLevel="0" collapsed="false">
      <c r="A144" s="0" t="s">
        <v>564</v>
      </c>
      <c r="B144" s="0" t="s">
        <v>382</v>
      </c>
    </row>
    <row r="145" customFormat="false" ht="13.8" hidden="false" customHeight="false" outlineLevel="0" collapsed="false">
      <c r="A145" s="0" t="s">
        <v>554</v>
      </c>
      <c r="B145" s="0" t="s">
        <v>932</v>
      </c>
    </row>
    <row r="146" customFormat="false" ht="13.8" hidden="false" customHeight="false" outlineLevel="0" collapsed="false">
      <c r="A146" s="0" t="s">
        <v>32</v>
      </c>
      <c r="B146" s="0" t="s">
        <v>96</v>
      </c>
    </row>
    <row r="147" customFormat="false" ht="13.8" hidden="false" customHeight="false" outlineLevel="0" collapsed="false">
      <c r="A147" s="0" t="s">
        <v>598</v>
      </c>
      <c r="B147" s="0" t="s">
        <v>207</v>
      </c>
    </row>
    <row r="148" customFormat="false" ht="13.8" hidden="false" customHeight="false" outlineLevel="0" collapsed="false">
      <c r="A148" s="0" t="s">
        <v>599</v>
      </c>
      <c r="B148" s="0" t="s">
        <v>327</v>
      </c>
    </row>
    <row r="149" customFormat="false" ht="13.8" hidden="false" customHeight="false" outlineLevel="0" collapsed="false">
      <c r="A149" s="0" t="s">
        <v>557</v>
      </c>
      <c r="B149" s="0" t="s">
        <v>833</v>
      </c>
    </row>
    <row r="150" customFormat="false" ht="13.8" hidden="false" customHeight="false" outlineLevel="0" collapsed="false">
      <c r="A150" s="0" t="s">
        <v>558</v>
      </c>
      <c r="B150" s="0" t="s">
        <v>7690</v>
      </c>
    </row>
    <row r="151" customFormat="false" ht="13.8" hidden="false" customHeight="false" outlineLevel="0" collapsed="false">
      <c r="A151" s="0" t="s">
        <v>8</v>
      </c>
      <c r="B151" s="0" t="s">
        <v>201</v>
      </c>
    </row>
    <row r="152" customFormat="false" ht="13.8" hidden="false" customHeight="false" outlineLevel="0" collapsed="false">
      <c r="A152" s="0" t="s">
        <v>585</v>
      </c>
      <c r="B152" s="0" t="s">
        <v>7696</v>
      </c>
    </row>
    <row r="153" customFormat="false" ht="13.8" hidden="false" customHeight="false" outlineLevel="0" collapsed="false">
      <c r="A153" s="0" t="s">
        <v>603</v>
      </c>
      <c r="B153" s="0" t="s">
        <v>438</v>
      </c>
    </row>
    <row r="154" customFormat="false" ht="13.8" hidden="false" customHeight="false" outlineLevel="0" collapsed="false">
      <c r="A154" s="0" t="s">
        <v>14</v>
      </c>
      <c r="B154" s="0" t="s">
        <v>398</v>
      </c>
    </row>
    <row r="155" customFormat="false" ht="13.8" hidden="false" customHeight="false" outlineLevel="0" collapsed="false">
      <c r="A155" s="0" t="s">
        <v>604</v>
      </c>
      <c r="B155" s="0" t="s">
        <v>7700</v>
      </c>
    </row>
    <row r="156" customFormat="false" ht="13.8" hidden="false" customHeight="false" outlineLevel="0" collapsed="false">
      <c r="A156" s="0" t="s">
        <v>564</v>
      </c>
      <c r="B156" s="0" t="s">
        <v>382</v>
      </c>
    </row>
    <row r="157" customFormat="false" ht="13.8" hidden="false" customHeight="false" outlineLevel="0" collapsed="false">
      <c r="A157" s="0" t="s">
        <v>568</v>
      </c>
      <c r="B157" s="0" t="s">
        <v>841</v>
      </c>
    </row>
    <row r="158" customFormat="false" ht="13.8" hidden="false" customHeight="false" outlineLevel="0" collapsed="false">
      <c r="A158" s="0" t="s">
        <v>596</v>
      </c>
      <c r="B158" s="0" t="s">
        <v>7699</v>
      </c>
    </row>
    <row r="159" customFormat="false" ht="13.8" hidden="false" customHeight="false" outlineLevel="0" collapsed="false">
      <c r="A159" s="0" t="s">
        <v>605</v>
      </c>
      <c r="B159" s="0" t="s">
        <v>300</v>
      </c>
    </row>
    <row r="160" customFormat="false" ht="13.8" hidden="false" customHeight="false" outlineLevel="0" collapsed="false">
      <c r="A160" s="0" t="s">
        <v>72</v>
      </c>
      <c r="B160" s="0" t="s">
        <v>7693</v>
      </c>
    </row>
    <row r="161" customFormat="false" ht="13.8" hidden="false" customHeight="false" outlineLevel="0" collapsed="false">
      <c r="A161" s="0" t="s">
        <v>571</v>
      </c>
      <c r="B161" s="0" t="s">
        <v>44</v>
      </c>
    </row>
    <row r="162" customFormat="false" ht="13.8" hidden="false" customHeight="false" outlineLevel="0" collapsed="false">
      <c r="A162" s="0" t="s">
        <v>606</v>
      </c>
      <c r="B162" s="0" t="s">
        <v>138</v>
      </c>
    </row>
    <row r="163" customFormat="false" ht="13.8" hidden="false" customHeight="false" outlineLevel="0" collapsed="false">
      <c r="A163" s="0" t="s">
        <v>32</v>
      </c>
      <c r="B163" s="0" t="s">
        <v>96</v>
      </c>
    </row>
    <row r="164" customFormat="false" ht="13.8" hidden="false" customHeight="false" outlineLevel="0" collapsed="false">
      <c r="A164" s="0" t="s">
        <v>46</v>
      </c>
      <c r="B164" s="0" t="s">
        <v>7690</v>
      </c>
    </row>
    <row r="165" customFormat="false" ht="13.8" hidden="false" customHeight="false" outlineLevel="0" collapsed="false">
      <c r="A165" s="0" t="s">
        <v>10</v>
      </c>
      <c r="B165" s="0" t="s">
        <v>130</v>
      </c>
    </row>
    <row r="166" customFormat="false" ht="13.8" hidden="false" customHeight="false" outlineLevel="0" collapsed="false">
      <c r="A166" s="0" t="s">
        <v>39</v>
      </c>
      <c r="B166" s="0" t="s">
        <v>228</v>
      </c>
    </row>
    <row r="167" customFormat="false" ht="13.8" hidden="false" customHeight="false" outlineLevel="0" collapsed="false">
      <c r="A167" s="0" t="s">
        <v>40</v>
      </c>
      <c r="B167" s="0" t="s">
        <v>237</v>
      </c>
    </row>
    <row r="168" customFormat="false" ht="13.8" hidden="false" customHeight="false" outlineLevel="0" collapsed="false">
      <c r="A168" s="0" t="s">
        <v>21</v>
      </c>
      <c r="B168" s="0" t="s">
        <v>485</v>
      </c>
    </row>
    <row r="169" customFormat="false" ht="13.8" hidden="false" customHeight="false" outlineLevel="0" collapsed="false">
      <c r="A169" s="0" t="s">
        <v>549</v>
      </c>
      <c r="B169" s="0" t="s">
        <v>374</v>
      </c>
    </row>
    <row r="170" customFormat="false" ht="13.8" hidden="false" customHeight="false" outlineLevel="0" collapsed="false">
      <c r="A170" s="0" t="s">
        <v>553</v>
      </c>
      <c r="B170" s="0" t="s">
        <v>839</v>
      </c>
    </row>
    <row r="171" customFormat="false" ht="13.8" hidden="false" customHeight="false" outlineLevel="0" collapsed="false">
      <c r="A171" s="0" t="s">
        <v>570</v>
      </c>
      <c r="B171" s="0" t="s">
        <v>456</v>
      </c>
    </row>
    <row r="172" customFormat="false" ht="13.8" hidden="false" customHeight="false" outlineLevel="0" collapsed="false">
      <c r="A172" s="0" t="s">
        <v>607</v>
      </c>
      <c r="B172" s="0" t="s">
        <v>7701</v>
      </c>
    </row>
    <row r="173" customFormat="false" ht="13.8" hidden="false" customHeight="false" outlineLevel="0" collapsed="false">
      <c r="A173" s="0" t="s">
        <v>577</v>
      </c>
      <c r="B173" s="0" t="s">
        <v>249</v>
      </c>
    </row>
    <row r="174" customFormat="false" ht="13.8" hidden="false" customHeight="false" outlineLevel="0" collapsed="false">
      <c r="A174" s="0" t="s">
        <v>562</v>
      </c>
      <c r="B174" s="0" t="s">
        <v>391</v>
      </c>
    </row>
    <row r="175" customFormat="false" ht="13.8" hidden="false" customHeight="false" outlineLevel="0" collapsed="false">
      <c r="A175" s="0" t="s">
        <v>526</v>
      </c>
      <c r="B175" s="0" t="s">
        <v>386</v>
      </c>
    </row>
    <row r="176" customFormat="false" ht="13.8" hidden="false" customHeight="false" outlineLevel="0" collapsed="false">
      <c r="A176" s="0" t="s">
        <v>586</v>
      </c>
      <c r="B176" s="0" t="s">
        <v>803</v>
      </c>
    </row>
    <row r="177" customFormat="false" ht="13.8" hidden="false" customHeight="false" outlineLevel="0" collapsed="false">
      <c r="A177" s="0" t="s">
        <v>564</v>
      </c>
      <c r="B177" s="0" t="s">
        <v>382</v>
      </c>
    </row>
    <row r="178" customFormat="false" ht="13.8" hidden="false" customHeight="false" outlineLevel="0" collapsed="false">
      <c r="A178" s="0" t="s">
        <v>609</v>
      </c>
      <c r="B178" s="0" t="s">
        <v>7702</v>
      </c>
    </row>
    <row r="179" customFormat="false" ht="13.8" hidden="false" customHeight="false" outlineLevel="0" collapsed="false">
      <c r="A179" s="0" t="s">
        <v>32</v>
      </c>
      <c r="B179" s="0" t="s">
        <v>96</v>
      </c>
    </row>
    <row r="180" customFormat="false" ht="13.8" hidden="false" customHeight="false" outlineLevel="0" collapsed="false">
      <c r="A180" s="0" t="s">
        <v>558</v>
      </c>
      <c r="B180" s="0" t="s">
        <v>7690</v>
      </c>
    </row>
    <row r="181" customFormat="false" ht="13.8" hidden="false" customHeight="false" outlineLevel="0" collapsed="false">
      <c r="A181" s="0" t="s">
        <v>610</v>
      </c>
      <c r="B181" s="0" t="s">
        <v>270</v>
      </c>
    </row>
    <row r="182" customFormat="false" ht="13.8" hidden="false" customHeight="false" outlineLevel="0" collapsed="false">
      <c r="A182" s="0" t="s">
        <v>21</v>
      </c>
      <c r="B182" s="0" t="s">
        <v>485</v>
      </c>
    </row>
    <row r="183" customFormat="false" ht="13.8" hidden="false" customHeight="false" outlineLevel="0" collapsed="false">
      <c r="A183" s="0" t="s">
        <v>611</v>
      </c>
      <c r="B183" s="0" t="s">
        <v>384</v>
      </c>
    </row>
    <row r="184" customFormat="false" ht="13.8" hidden="false" customHeight="false" outlineLevel="0" collapsed="false">
      <c r="A184" s="0" t="s">
        <v>32</v>
      </c>
      <c r="B184" s="0" t="s">
        <v>96</v>
      </c>
    </row>
    <row r="185" customFormat="false" ht="13.8" hidden="false" customHeight="false" outlineLevel="0" collapsed="false">
      <c r="A185" s="0" t="s">
        <v>612</v>
      </c>
      <c r="B185" s="0" t="s">
        <v>7703</v>
      </c>
    </row>
    <row r="186" customFormat="false" ht="13.8" hidden="false" customHeight="false" outlineLevel="0" collapsed="false">
      <c r="A186" s="0" t="s">
        <v>558</v>
      </c>
      <c r="B186" s="0" t="s">
        <v>7690</v>
      </c>
    </row>
    <row r="187" customFormat="false" ht="13.8" hidden="false" customHeight="false" outlineLevel="0" collapsed="false">
      <c r="A187" s="0" t="s">
        <v>585</v>
      </c>
      <c r="B187" s="0" t="s">
        <v>7696</v>
      </c>
    </row>
    <row r="188" customFormat="false" ht="13.8" hidden="false" customHeight="false" outlineLevel="0" collapsed="false">
      <c r="A188" s="0" t="s">
        <v>14</v>
      </c>
      <c r="B188" s="0" t="s">
        <v>398</v>
      </c>
    </row>
    <row r="189" customFormat="false" ht="13.8" hidden="false" customHeight="false" outlineLevel="0" collapsed="false">
      <c r="A189" s="0" t="s">
        <v>526</v>
      </c>
      <c r="B189" s="0" t="s">
        <v>386</v>
      </c>
    </row>
    <row r="190" customFormat="false" ht="13.8" hidden="false" customHeight="false" outlineLevel="0" collapsed="false">
      <c r="A190" s="0" t="s">
        <v>564</v>
      </c>
      <c r="B190" s="0" t="s">
        <v>382</v>
      </c>
    </row>
    <row r="191" customFormat="false" ht="13.8" hidden="false" customHeight="false" outlineLevel="0" collapsed="false">
      <c r="A191" s="0" t="s">
        <v>531</v>
      </c>
      <c r="B191" s="0" t="s">
        <v>402</v>
      </c>
    </row>
    <row r="192" customFormat="false" ht="13.8" hidden="false" customHeight="false" outlineLevel="0" collapsed="false">
      <c r="A192" s="0" t="s">
        <v>613</v>
      </c>
      <c r="B192" s="0" t="s">
        <v>453</v>
      </c>
    </row>
    <row r="193" customFormat="false" ht="13.8" hidden="false" customHeight="false" outlineLevel="0" collapsed="false">
      <c r="A193" s="0" t="s">
        <v>72</v>
      </c>
      <c r="B193" s="0" t="s">
        <v>7693</v>
      </c>
    </row>
    <row r="194" customFormat="false" ht="13.8" hidden="false" customHeight="false" outlineLevel="0" collapsed="false">
      <c r="A194" s="0" t="s">
        <v>571</v>
      </c>
      <c r="B194" s="0" t="s">
        <v>44</v>
      </c>
    </row>
    <row r="195" customFormat="false" ht="13.8" hidden="false" customHeight="false" outlineLevel="0" collapsed="false">
      <c r="A195" s="0" t="s">
        <v>592</v>
      </c>
      <c r="B195" s="0" t="s">
        <v>451</v>
      </c>
    </row>
    <row r="196" customFormat="false" ht="13.8" hidden="false" customHeight="false" outlineLevel="0" collapsed="false">
      <c r="A196" s="0" t="s">
        <v>43</v>
      </c>
      <c r="B196" s="0" t="s">
        <v>393</v>
      </c>
    </row>
    <row r="197" customFormat="false" ht="13.8" hidden="false" customHeight="false" outlineLevel="0" collapsed="false">
      <c r="A197" s="0" t="s">
        <v>37</v>
      </c>
      <c r="B197" s="0" t="s">
        <v>840</v>
      </c>
    </row>
    <row r="198" customFormat="false" ht="13.8" hidden="false" customHeight="false" outlineLevel="0" collapsed="false">
      <c r="A198" s="0" t="s">
        <v>32</v>
      </c>
      <c r="B198" s="0" t="s">
        <v>96</v>
      </c>
    </row>
    <row r="199" customFormat="false" ht="13.8" hidden="false" customHeight="false" outlineLevel="0" collapsed="false">
      <c r="A199" s="0" t="s">
        <v>558</v>
      </c>
      <c r="B199" s="0" t="s">
        <v>7690</v>
      </c>
    </row>
    <row r="200" customFormat="false" ht="13.8" hidden="false" customHeight="false" outlineLevel="0" collapsed="false">
      <c r="A200" s="0" t="s">
        <v>10</v>
      </c>
      <c r="B200" s="0" t="s">
        <v>130</v>
      </c>
    </row>
    <row r="201" customFormat="false" ht="13.8" hidden="false" customHeight="false" outlineLevel="0" collapsed="false">
      <c r="A201" s="0" t="s">
        <v>553</v>
      </c>
      <c r="B201" s="0" t="s">
        <v>839</v>
      </c>
    </row>
    <row r="202" customFormat="false" ht="13.8" hidden="false" customHeight="false" outlineLevel="0" collapsed="false">
      <c r="A202" s="0" t="s">
        <v>14</v>
      </c>
      <c r="B202" s="0" t="s">
        <v>398</v>
      </c>
    </row>
    <row r="203" customFormat="false" ht="13.8" hidden="false" customHeight="false" outlineLevel="0" collapsed="false">
      <c r="A203" s="0" t="s">
        <v>562</v>
      </c>
      <c r="B203" s="0" t="s">
        <v>391</v>
      </c>
    </row>
    <row r="204" customFormat="false" ht="13.8" hidden="false" customHeight="false" outlineLevel="0" collapsed="false">
      <c r="A204" s="0" t="s">
        <v>526</v>
      </c>
      <c r="B204" s="0" t="s">
        <v>386</v>
      </c>
    </row>
    <row r="205" customFormat="false" ht="13.8" hidden="false" customHeight="false" outlineLevel="0" collapsed="false">
      <c r="A205" s="0" t="s">
        <v>554</v>
      </c>
      <c r="B205" s="0" t="s">
        <v>932</v>
      </c>
    </row>
    <row r="206" customFormat="false" ht="13.8" hidden="false" customHeight="false" outlineLevel="0" collapsed="false">
      <c r="A206" s="0" t="s">
        <v>596</v>
      </c>
      <c r="B206" s="0" t="s">
        <v>7699</v>
      </c>
    </row>
    <row r="207" customFormat="false" ht="13.8" hidden="false" customHeight="false" outlineLevel="0" collapsed="false">
      <c r="A207" s="0" t="s">
        <v>32</v>
      </c>
      <c r="B207" s="0" t="s">
        <v>96</v>
      </c>
    </row>
    <row r="208" customFormat="false" ht="13.8" hidden="false" customHeight="false" outlineLevel="0" collapsed="false">
      <c r="A208" s="0" t="s">
        <v>568</v>
      </c>
      <c r="B208" s="0" t="s">
        <v>841</v>
      </c>
    </row>
    <row r="209" customFormat="false" ht="13.8" hidden="false" customHeight="false" outlineLevel="0" collapsed="false">
      <c r="A209" s="0" t="s">
        <v>582</v>
      </c>
      <c r="B209" s="0" t="s">
        <v>7695</v>
      </c>
    </row>
    <row r="210" customFormat="false" ht="13.8" hidden="false" customHeight="false" outlineLevel="0" collapsed="false">
      <c r="A210" s="0" t="s">
        <v>557</v>
      </c>
      <c r="B210" s="0" t="s">
        <v>833</v>
      </c>
    </row>
    <row r="211" customFormat="false" ht="13.8" hidden="false" customHeight="false" outlineLevel="0" collapsed="false">
      <c r="A211" s="0" t="s">
        <v>23</v>
      </c>
      <c r="B211" s="0" t="s">
        <v>919</v>
      </c>
    </row>
    <row r="212" customFormat="false" ht="13.8" hidden="false" customHeight="false" outlineLevel="0" collapsed="false">
      <c r="A212" s="0" t="s">
        <v>558</v>
      </c>
      <c r="B212" s="0" t="s">
        <v>7690</v>
      </c>
    </row>
    <row r="213" customFormat="false" ht="13.8" hidden="false" customHeight="false" outlineLevel="0" collapsed="false">
      <c r="A213" s="0" t="s">
        <v>616</v>
      </c>
      <c r="B213" s="0" t="s">
        <v>7704</v>
      </c>
    </row>
    <row r="214" customFormat="false" ht="13.8" hidden="false" customHeight="false" outlineLevel="0" collapsed="false">
      <c r="A214" s="0" t="s">
        <v>616</v>
      </c>
      <c r="B214" s="0" t="s">
        <v>7704</v>
      </c>
    </row>
    <row r="215" customFormat="false" ht="13.8" hidden="false" customHeight="false" outlineLevel="0" collapsed="false">
      <c r="A215" s="0" t="s">
        <v>86</v>
      </c>
      <c r="B215" s="0" t="s">
        <v>339</v>
      </c>
    </row>
    <row r="216" customFormat="false" ht="13.8" hidden="false" customHeight="false" outlineLevel="0" collapsed="false">
      <c r="A216" s="0" t="s">
        <v>618</v>
      </c>
      <c r="B216" s="0" t="s">
        <v>534</v>
      </c>
    </row>
    <row r="217" customFormat="false" ht="13.8" hidden="false" customHeight="false" outlineLevel="0" collapsed="false">
      <c r="A217" s="0" t="s">
        <v>562</v>
      </c>
      <c r="B217" s="0" t="s">
        <v>391</v>
      </c>
    </row>
    <row r="218" customFormat="false" ht="13.8" hidden="false" customHeight="false" outlineLevel="0" collapsed="false">
      <c r="A218" s="0" t="s">
        <v>32</v>
      </c>
      <c r="B218" s="0" t="s">
        <v>96</v>
      </c>
    </row>
    <row r="219" customFormat="false" ht="13.8" hidden="false" customHeight="false" outlineLevel="0" collapsed="false">
      <c r="A219" s="0" t="s">
        <v>598</v>
      </c>
      <c r="B219" s="0" t="s">
        <v>207</v>
      </c>
    </row>
    <row r="220" customFormat="false" ht="13.8" hidden="false" customHeight="false" outlineLevel="0" collapsed="false">
      <c r="A220" s="0" t="s">
        <v>619</v>
      </c>
      <c r="B220" s="0" t="s">
        <v>183</v>
      </c>
    </row>
    <row r="221" customFormat="false" ht="13.8" hidden="false" customHeight="false" outlineLevel="0" collapsed="false">
      <c r="A221" s="0" t="s">
        <v>558</v>
      </c>
      <c r="B221" s="0" t="s">
        <v>7690</v>
      </c>
    </row>
    <row r="222" customFormat="false" ht="13.8" hidden="false" customHeight="false" outlineLevel="0" collapsed="false">
      <c r="A222" s="0" t="s">
        <v>621</v>
      </c>
      <c r="B222" s="0" t="s">
        <v>411</v>
      </c>
    </row>
    <row r="223" customFormat="false" ht="13.8" hidden="false" customHeight="false" outlineLevel="0" collapsed="false">
      <c r="A223" s="0" t="s">
        <v>621</v>
      </c>
      <c r="B223" s="0" t="s">
        <v>411</v>
      </c>
    </row>
    <row r="224" customFormat="false" ht="13.8" hidden="false" customHeight="false" outlineLevel="0" collapsed="false">
      <c r="A224" s="0" t="s">
        <v>553</v>
      </c>
      <c r="B224" s="0" t="s">
        <v>839</v>
      </c>
    </row>
    <row r="225" customFormat="false" ht="13.8" hidden="false" customHeight="false" outlineLevel="0" collapsed="false">
      <c r="A225" s="0" t="s">
        <v>14</v>
      </c>
      <c r="B225" s="0" t="s">
        <v>398</v>
      </c>
    </row>
    <row r="226" customFormat="false" ht="13.8" hidden="false" customHeight="false" outlineLevel="0" collapsed="false">
      <c r="A226" s="0" t="s">
        <v>526</v>
      </c>
      <c r="B226" s="0" t="s">
        <v>386</v>
      </c>
    </row>
    <row r="227" customFormat="false" ht="13.8" hidden="false" customHeight="false" outlineLevel="0" collapsed="false">
      <c r="A227" s="0" t="s">
        <v>564</v>
      </c>
      <c r="B227" s="0" t="s">
        <v>382</v>
      </c>
    </row>
    <row r="228" customFormat="false" ht="13.8" hidden="false" customHeight="false" outlineLevel="0" collapsed="false">
      <c r="A228" s="0" t="s">
        <v>568</v>
      </c>
      <c r="B228" s="0" t="s">
        <v>841</v>
      </c>
    </row>
    <row r="229" customFormat="false" ht="13.8" hidden="false" customHeight="false" outlineLevel="0" collapsed="false">
      <c r="A229" s="0" t="s">
        <v>32</v>
      </c>
      <c r="B229" s="0" t="s">
        <v>96</v>
      </c>
    </row>
    <row r="230" customFormat="false" ht="13.8" hidden="false" customHeight="false" outlineLevel="0" collapsed="false">
      <c r="A230" s="0" t="s">
        <v>623</v>
      </c>
      <c r="B230" s="0" t="s">
        <v>380</v>
      </c>
    </row>
    <row r="231" customFormat="false" ht="13.8" hidden="false" customHeight="false" outlineLevel="0" collapsed="false">
      <c r="A231" s="0" t="s">
        <v>606</v>
      </c>
      <c r="B231" s="0" t="s">
        <v>138</v>
      </c>
    </row>
    <row r="232" customFormat="false" ht="13.8" hidden="false" customHeight="false" outlineLevel="0" collapsed="false">
      <c r="A232" s="0" t="s">
        <v>558</v>
      </c>
      <c r="B232" s="0" t="s">
        <v>7690</v>
      </c>
    </row>
    <row r="233" customFormat="false" ht="13.8" hidden="false" customHeight="false" outlineLevel="0" collapsed="false">
      <c r="A233" s="0" t="s">
        <v>624</v>
      </c>
      <c r="B233" s="0" t="s">
        <v>461</v>
      </c>
    </row>
    <row r="234" customFormat="false" ht="13.8" hidden="false" customHeight="false" outlineLevel="0" collapsed="false">
      <c r="A234" s="0" t="s">
        <v>624</v>
      </c>
      <c r="B234" s="0" t="s">
        <v>461</v>
      </c>
    </row>
    <row r="235" customFormat="false" ht="13.8" hidden="false" customHeight="false" outlineLevel="0" collapsed="false">
      <c r="A235" s="0" t="s">
        <v>585</v>
      </c>
      <c r="B235" s="0" t="s">
        <v>7696</v>
      </c>
    </row>
    <row r="236" customFormat="false" ht="13.8" hidden="false" customHeight="false" outlineLevel="0" collapsed="false">
      <c r="A236" s="0" t="s">
        <v>625</v>
      </c>
      <c r="B236" s="0" t="s">
        <v>409</v>
      </c>
    </row>
    <row r="237" customFormat="false" ht="13.8" hidden="false" customHeight="false" outlineLevel="0" collapsed="false">
      <c r="A237" s="0" t="s">
        <v>37</v>
      </c>
      <c r="B237" s="0" t="s">
        <v>840</v>
      </c>
    </row>
    <row r="238" customFormat="false" ht="13.8" hidden="false" customHeight="false" outlineLevel="0" collapsed="false">
      <c r="A238" s="0" t="s">
        <v>18</v>
      </c>
      <c r="B238" s="0" t="s">
        <v>855</v>
      </c>
    </row>
    <row r="239" customFormat="false" ht="13.8" hidden="false" customHeight="false" outlineLevel="0" collapsed="false">
      <c r="A239" s="0" t="s">
        <v>526</v>
      </c>
      <c r="B239" s="0" t="s">
        <v>386</v>
      </c>
    </row>
    <row r="240" customFormat="false" ht="13.8" hidden="false" customHeight="false" outlineLevel="0" collapsed="false">
      <c r="A240" s="0" t="s">
        <v>32</v>
      </c>
      <c r="B240" s="0" t="s">
        <v>96</v>
      </c>
    </row>
    <row r="241" customFormat="false" ht="13.8" hidden="false" customHeight="false" outlineLevel="0" collapsed="false">
      <c r="A241" s="0" t="s">
        <v>564</v>
      </c>
      <c r="B241" s="0" t="s">
        <v>382</v>
      </c>
    </row>
    <row r="242" customFormat="false" ht="13.8" hidden="false" customHeight="false" outlineLevel="0" collapsed="false">
      <c r="A242" s="0" t="s">
        <v>626</v>
      </c>
      <c r="B242" s="0" t="s">
        <v>7705</v>
      </c>
    </row>
    <row r="243" customFormat="false" ht="13.8" hidden="false" customHeight="false" outlineLevel="0" collapsed="false">
      <c r="A243" s="0" t="s">
        <v>46</v>
      </c>
      <c r="B243" s="0" t="s">
        <v>7690</v>
      </c>
    </row>
    <row r="244" customFormat="false" ht="13.8" hidden="false" customHeight="false" outlineLevel="0" collapsed="false">
      <c r="A244" s="0" t="s">
        <v>6</v>
      </c>
      <c r="B244" s="0" t="s">
        <v>853</v>
      </c>
    </row>
    <row r="245" customFormat="false" ht="13.8" hidden="false" customHeight="false" outlineLevel="0" collapsed="false">
      <c r="A245" s="0" t="s">
        <v>36</v>
      </c>
      <c r="B245" s="0" t="s">
        <v>7706</v>
      </c>
    </row>
    <row r="246" customFormat="false" ht="13.8" hidden="false" customHeight="false" outlineLevel="0" collapsed="false">
      <c r="A246" s="0" t="s">
        <v>37</v>
      </c>
      <c r="B246" s="0" t="s">
        <v>840</v>
      </c>
    </row>
    <row r="247" customFormat="false" ht="13.8" hidden="false" customHeight="false" outlineLevel="0" collapsed="false">
      <c r="A247" s="0" t="s">
        <v>14</v>
      </c>
      <c r="B247" s="0" t="s">
        <v>398</v>
      </c>
    </row>
    <row r="248" customFormat="false" ht="13.8" hidden="false" customHeight="false" outlineLevel="0" collapsed="false">
      <c r="A248" s="0" t="s">
        <v>38</v>
      </c>
      <c r="B248" s="0" t="s">
        <v>38</v>
      </c>
    </row>
    <row r="249" customFormat="false" ht="13.8" hidden="false" customHeight="false" outlineLevel="0" collapsed="false">
      <c r="A249" s="0" t="s">
        <v>11</v>
      </c>
      <c r="B249" s="0" t="s">
        <v>348</v>
      </c>
    </row>
    <row r="250" customFormat="false" ht="13.8" hidden="false" customHeight="false" outlineLevel="0" collapsed="false">
      <c r="A250" s="0" t="s">
        <v>39</v>
      </c>
      <c r="B250" s="0" t="s">
        <v>228</v>
      </c>
    </row>
    <row r="251" customFormat="false" ht="13.8" hidden="false" customHeight="false" outlineLevel="0" collapsed="false">
      <c r="A251" s="0" t="s">
        <v>40</v>
      </c>
      <c r="B251" s="0" t="s">
        <v>237</v>
      </c>
    </row>
    <row r="252" customFormat="false" ht="13.8" hidden="false" customHeight="false" outlineLevel="0" collapsed="false">
      <c r="A252" s="0" t="s">
        <v>63</v>
      </c>
      <c r="B252" s="0" t="s">
        <v>345</v>
      </c>
    </row>
    <row r="253" customFormat="false" ht="13.8" hidden="false" customHeight="false" outlineLevel="0" collapsed="false">
      <c r="A253" s="0" t="s">
        <v>32</v>
      </c>
      <c r="B253" s="0" t="s">
        <v>96</v>
      </c>
    </row>
    <row r="254" customFormat="false" ht="13.8" hidden="false" customHeight="false" outlineLevel="0" collapsed="false">
      <c r="A254" s="0" t="s">
        <v>41</v>
      </c>
      <c r="B254" s="0" t="s">
        <v>333</v>
      </c>
    </row>
    <row r="255" customFormat="false" ht="13.8" hidden="false" customHeight="false" outlineLevel="0" collapsed="false">
      <c r="A255" s="0" t="s">
        <v>43</v>
      </c>
      <c r="B255" s="0" t="s">
        <v>393</v>
      </c>
    </row>
    <row r="256" customFormat="false" ht="13.8" hidden="false" customHeight="false" outlineLevel="0" collapsed="false">
      <c r="A256" s="0" t="s">
        <v>44</v>
      </c>
      <c r="B256" s="0" t="s">
        <v>44</v>
      </c>
    </row>
    <row r="257" customFormat="false" ht="13.8" hidden="false" customHeight="false" outlineLevel="0" collapsed="false">
      <c r="A257" s="0" t="s">
        <v>46</v>
      </c>
      <c r="B257" s="0" t="s">
        <v>7690</v>
      </c>
    </row>
    <row r="258" customFormat="false" ht="13.8" hidden="false" customHeight="false" outlineLevel="0" collapsed="false">
      <c r="A258" s="0" t="s">
        <v>627</v>
      </c>
      <c r="B258" s="0" t="s">
        <v>7707</v>
      </c>
    </row>
    <row r="259" customFormat="false" ht="13.8" hidden="false" customHeight="false" outlineLevel="0" collapsed="false">
      <c r="A259" s="0" t="s">
        <v>629</v>
      </c>
      <c r="B259" s="0" t="s">
        <v>460</v>
      </c>
    </row>
    <row r="260" customFormat="false" ht="13.8" hidden="false" customHeight="false" outlineLevel="0" collapsed="false">
      <c r="A260" s="0" t="s">
        <v>631</v>
      </c>
      <c r="B260" s="0" t="s">
        <v>363</v>
      </c>
    </row>
    <row r="261" customFormat="false" ht="13.8" hidden="false" customHeight="false" outlineLevel="0" collapsed="false">
      <c r="A261" s="0" t="s">
        <v>630</v>
      </c>
      <c r="B261" s="0" t="s">
        <v>630</v>
      </c>
    </row>
    <row r="262" customFormat="false" ht="13.8" hidden="false" customHeight="false" outlineLevel="0" collapsed="false">
      <c r="A262" s="0" t="s">
        <v>632</v>
      </c>
      <c r="B262" s="0" t="s">
        <v>7708</v>
      </c>
    </row>
    <row r="263" customFormat="false" ht="13.8" hidden="false" customHeight="false" outlineLevel="0" collapsed="false">
      <c r="A263" s="0" t="s">
        <v>633</v>
      </c>
      <c r="B263" s="0" t="s">
        <v>7709</v>
      </c>
    </row>
    <row r="264" customFormat="false" ht="13.8" hidden="false" customHeight="false" outlineLevel="0" collapsed="false">
      <c r="A264" s="0" t="s">
        <v>634</v>
      </c>
      <c r="B264" s="0" t="s">
        <v>7710</v>
      </c>
    </row>
    <row r="265" customFormat="false" ht="13.8" hidden="false" customHeight="false" outlineLevel="0" collapsed="false">
      <c r="A265" s="0" t="s">
        <v>556</v>
      </c>
      <c r="B265" s="0" t="s">
        <v>225</v>
      </c>
    </row>
    <row r="266" customFormat="false" ht="13.8" hidden="false" customHeight="false" outlineLevel="0" collapsed="false">
      <c r="A266" s="0" t="s">
        <v>562</v>
      </c>
      <c r="B266" s="0" t="s">
        <v>391</v>
      </c>
    </row>
    <row r="267" customFormat="false" ht="13.8" hidden="false" customHeight="false" outlineLevel="0" collapsed="false">
      <c r="A267" s="0" t="s">
        <v>15</v>
      </c>
      <c r="B267" s="0" t="s">
        <v>7711</v>
      </c>
    </row>
    <row r="268" customFormat="false" ht="13.8" hidden="false" customHeight="false" outlineLevel="0" collapsed="false">
      <c r="A268" s="0" t="s">
        <v>635</v>
      </c>
      <c r="B268" s="0" t="s">
        <v>94</v>
      </c>
    </row>
    <row r="269" customFormat="false" ht="13.8" hidden="false" customHeight="false" outlineLevel="0" collapsed="false">
      <c r="A269" s="0" t="s">
        <v>636</v>
      </c>
      <c r="B269" s="0" t="s">
        <v>7712</v>
      </c>
    </row>
    <row r="270" customFormat="false" ht="13.8" hidden="false" customHeight="false" outlineLevel="0" collapsed="false">
      <c r="A270" s="0" t="s">
        <v>57</v>
      </c>
      <c r="B270" s="0" t="s">
        <v>7713</v>
      </c>
    </row>
    <row r="271" customFormat="false" ht="13.8" hidden="false" customHeight="false" outlineLevel="0" collapsed="false">
      <c r="A271" s="0" t="s">
        <v>619</v>
      </c>
      <c r="B271" s="0" t="s">
        <v>183</v>
      </c>
    </row>
    <row r="272" customFormat="false" ht="13.8" hidden="false" customHeight="false" outlineLevel="0" collapsed="false">
      <c r="A272" s="0" t="s">
        <v>637</v>
      </c>
      <c r="B272" s="0" t="s">
        <v>7714</v>
      </c>
    </row>
    <row r="273" customFormat="false" ht="13.8" hidden="false" customHeight="false" outlineLevel="0" collapsed="false">
      <c r="A273" s="0" t="s">
        <v>638</v>
      </c>
      <c r="B273" s="0" t="s">
        <v>282</v>
      </c>
    </row>
    <row r="274" customFormat="false" ht="13.8" hidden="false" customHeight="false" outlineLevel="0" collapsed="false">
      <c r="A274" s="0" t="s">
        <v>86</v>
      </c>
      <c r="B274" s="0" t="s">
        <v>339</v>
      </c>
    </row>
    <row r="275" customFormat="false" ht="13.8" hidden="false" customHeight="false" outlineLevel="0" collapsed="false">
      <c r="A275" s="0" t="s">
        <v>32</v>
      </c>
      <c r="B275" s="0" t="s">
        <v>96</v>
      </c>
    </row>
    <row r="276" customFormat="false" ht="13.8" hidden="false" customHeight="false" outlineLevel="0" collapsed="false">
      <c r="A276" s="0" t="s">
        <v>26</v>
      </c>
      <c r="B276" s="0" t="s">
        <v>7690</v>
      </c>
    </row>
    <row r="277" customFormat="false" ht="13.8" hidden="false" customHeight="false" outlineLevel="0" collapsed="false">
      <c r="A277" s="0" t="s">
        <v>26</v>
      </c>
      <c r="B277" s="0" t="s">
        <v>7690</v>
      </c>
    </row>
    <row r="278" customFormat="false" ht="13.8" hidden="false" customHeight="false" outlineLevel="0" collapsed="false">
      <c r="A278" s="0" t="s">
        <v>639</v>
      </c>
      <c r="B278" s="0" t="s">
        <v>7715</v>
      </c>
    </row>
    <row r="279" customFormat="false" ht="13.8" hidden="false" customHeight="false" outlineLevel="0" collapsed="false">
      <c r="A279" s="0" t="s">
        <v>7677</v>
      </c>
      <c r="B279" s="0" t="s">
        <v>7677</v>
      </c>
    </row>
    <row r="280" customFormat="false" ht="13.8" hidden="false" customHeight="false" outlineLevel="0" collapsed="false">
      <c r="A280" s="0" t="s">
        <v>641</v>
      </c>
      <c r="B280" s="0" t="s">
        <v>7716</v>
      </c>
    </row>
    <row r="281" customFormat="false" ht="13.8" hidden="false" customHeight="false" outlineLevel="0" collapsed="false">
      <c r="A281" s="0" t="s">
        <v>7717</v>
      </c>
      <c r="B281" s="0" t="s">
        <v>7717</v>
      </c>
    </row>
    <row r="282" customFormat="false" ht="13.8" hidden="false" customHeight="false" outlineLevel="0" collapsed="false">
      <c r="A282" s="0" t="s">
        <v>642</v>
      </c>
      <c r="B282" s="0" t="s">
        <v>7718</v>
      </c>
    </row>
    <row r="283" customFormat="false" ht="13.8" hidden="false" customHeight="false" outlineLevel="0" collapsed="false">
      <c r="A283" s="0" t="s">
        <v>7717</v>
      </c>
      <c r="B283" s="0" t="s">
        <v>7717</v>
      </c>
    </row>
    <row r="284" customFormat="false" ht="13.8" hidden="false" customHeight="false" outlineLevel="0" collapsed="false">
      <c r="A284" s="0" t="s">
        <v>643</v>
      </c>
      <c r="B284" s="0" t="s">
        <v>7719</v>
      </c>
    </row>
    <row r="285" customFormat="false" ht="13.8" hidden="false" customHeight="false" outlineLevel="0" collapsed="false">
      <c r="A285" s="0" t="s">
        <v>86</v>
      </c>
      <c r="B285" s="0" t="s">
        <v>339</v>
      </c>
    </row>
    <row r="286" customFormat="false" ht="13.8" hidden="false" customHeight="false" outlineLevel="0" collapsed="false">
      <c r="A286" s="0" t="s">
        <v>557</v>
      </c>
      <c r="B286" s="0" t="s">
        <v>833</v>
      </c>
    </row>
    <row r="287" customFormat="false" ht="13.8" hidden="false" customHeight="false" outlineLevel="0" collapsed="false">
      <c r="A287" s="0" t="s">
        <v>26</v>
      </c>
      <c r="B287" s="0" t="s">
        <v>7690</v>
      </c>
    </row>
    <row r="288" customFormat="false" ht="13.8" hidden="false" customHeight="false" outlineLevel="0" collapsed="false">
      <c r="A288" s="0" t="s">
        <v>26</v>
      </c>
      <c r="B288" s="0" t="s">
        <v>7690</v>
      </c>
    </row>
    <row r="289" customFormat="false" ht="13.8" hidden="false" customHeight="false" outlineLevel="0" collapsed="false">
      <c r="A289" s="0" t="s">
        <v>644</v>
      </c>
      <c r="B289" s="0" t="s">
        <v>644</v>
      </c>
    </row>
    <row r="290" customFormat="false" ht="13.8" hidden="false" customHeight="false" outlineLevel="0" collapsed="false">
      <c r="A290" s="0" t="s">
        <v>575</v>
      </c>
      <c r="B290" s="0" t="s">
        <v>462</v>
      </c>
    </row>
    <row r="291" customFormat="false" ht="13.8" hidden="false" customHeight="false" outlineLevel="0" collapsed="false">
      <c r="A291" s="0" t="s">
        <v>645</v>
      </c>
      <c r="B291" s="0" t="s">
        <v>354</v>
      </c>
    </row>
    <row r="292" customFormat="false" ht="13.8" hidden="false" customHeight="false" outlineLevel="0" collapsed="false">
      <c r="A292" s="0" t="s">
        <v>14</v>
      </c>
      <c r="B292" s="0" t="s">
        <v>398</v>
      </c>
    </row>
    <row r="293" customFormat="false" ht="13.8" hidden="false" customHeight="false" outlineLevel="0" collapsed="false">
      <c r="A293" s="0" t="s">
        <v>646</v>
      </c>
      <c r="B293" s="0" t="s">
        <v>403</v>
      </c>
    </row>
    <row r="294" customFormat="false" ht="13.8" hidden="false" customHeight="false" outlineLevel="0" collapsed="false">
      <c r="A294" s="0" t="s">
        <v>69</v>
      </c>
      <c r="B294" s="0" t="s">
        <v>7711</v>
      </c>
    </row>
    <row r="295" customFormat="false" ht="13.8" hidden="false" customHeight="false" outlineLevel="0" collapsed="false">
      <c r="A295" s="0" t="s">
        <v>75</v>
      </c>
      <c r="B295" s="0" t="s">
        <v>919</v>
      </c>
    </row>
    <row r="296" customFormat="false" ht="13.8" hidden="false" customHeight="false" outlineLevel="0" collapsed="false">
      <c r="A296" s="0" t="s">
        <v>32</v>
      </c>
      <c r="B296" s="0" t="s">
        <v>96</v>
      </c>
    </row>
    <row r="297" customFormat="false" ht="13.8" hidden="false" customHeight="false" outlineLevel="0" collapsed="false">
      <c r="A297" s="0" t="s">
        <v>26</v>
      </c>
      <c r="B297" s="0" t="s">
        <v>7690</v>
      </c>
    </row>
    <row r="298" customFormat="false" ht="13.8" hidden="false" customHeight="false" outlineLevel="0" collapsed="false">
      <c r="A298" s="0" t="s">
        <v>647</v>
      </c>
      <c r="B298" s="0" t="s">
        <v>435</v>
      </c>
    </row>
    <row r="299" customFormat="false" ht="13.8" hidden="false" customHeight="false" outlineLevel="0" collapsed="false">
      <c r="A299" s="0" t="s">
        <v>22</v>
      </c>
      <c r="B299" s="0" t="s">
        <v>354</v>
      </c>
    </row>
    <row r="300" customFormat="false" ht="13.8" hidden="false" customHeight="false" outlineLevel="0" collapsed="false">
      <c r="A300" s="0" t="s">
        <v>14</v>
      </c>
      <c r="B300" s="0" t="s">
        <v>398</v>
      </c>
    </row>
    <row r="301" customFormat="false" ht="13.8" hidden="false" customHeight="false" outlineLevel="0" collapsed="false">
      <c r="A301" s="0" t="s">
        <v>15</v>
      </c>
      <c r="B301" s="0" t="s">
        <v>7711</v>
      </c>
    </row>
    <row r="302" customFormat="false" ht="13.8" hidden="false" customHeight="false" outlineLevel="0" collapsed="false">
      <c r="A302" s="0" t="s">
        <v>18</v>
      </c>
      <c r="B302" s="0" t="s">
        <v>855</v>
      </c>
    </row>
    <row r="303" customFormat="false" ht="13.8" hidden="false" customHeight="false" outlineLevel="0" collapsed="false">
      <c r="A303" s="0" t="s">
        <v>21</v>
      </c>
      <c r="B303" s="0" t="s">
        <v>485</v>
      </c>
    </row>
    <row r="304" customFormat="false" ht="13.8" hidden="false" customHeight="false" outlineLevel="0" collapsed="false">
      <c r="A304" s="0" t="s">
        <v>648</v>
      </c>
      <c r="B304" s="0" t="s">
        <v>7720</v>
      </c>
    </row>
    <row r="305" customFormat="false" ht="13.8" hidden="false" customHeight="false" outlineLevel="0" collapsed="false">
      <c r="A305" s="0" t="s">
        <v>564</v>
      </c>
      <c r="B305" s="0" t="s">
        <v>382</v>
      </c>
    </row>
    <row r="306" customFormat="false" ht="13.8" hidden="false" customHeight="false" outlineLevel="0" collapsed="false">
      <c r="A306" s="0" t="s">
        <v>71</v>
      </c>
      <c r="B306" s="0" t="s">
        <v>96</v>
      </c>
    </row>
    <row r="307" customFormat="false" ht="13.8" hidden="false" customHeight="false" outlineLevel="0" collapsed="false">
      <c r="A307" s="0" t="s">
        <v>649</v>
      </c>
      <c r="B307" s="0" t="s">
        <v>501</v>
      </c>
    </row>
    <row r="308" customFormat="false" ht="13.8" hidden="false" customHeight="false" outlineLevel="0" collapsed="false">
      <c r="A308" s="0" t="s">
        <v>645</v>
      </c>
      <c r="B308" s="0" t="s">
        <v>354</v>
      </c>
    </row>
    <row r="309" customFormat="false" ht="13.8" hidden="false" customHeight="false" outlineLevel="0" collapsed="false">
      <c r="A309" s="0" t="s">
        <v>570</v>
      </c>
      <c r="B309" s="0" t="s">
        <v>456</v>
      </c>
    </row>
    <row r="310" customFormat="false" ht="13.8" hidden="false" customHeight="false" outlineLevel="0" collapsed="false">
      <c r="A310" s="0" t="s">
        <v>16</v>
      </c>
      <c r="B310" s="0" t="s">
        <v>7688</v>
      </c>
    </row>
    <row r="311" customFormat="false" ht="13.8" hidden="false" customHeight="false" outlineLevel="0" collapsed="false">
      <c r="A311" s="0" t="s">
        <v>650</v>
      </c>
      <c r="B311" s="0" t="s">
        <v>391</v>
      </c>
    </row>
    <row r="312" customFormat="false" ht="13.8" hidden="false" customHeight="false" outlineLevel="0" collapsed="false">
      <c r="A312" s="0" t="s">
        <v>651</v>
      </c>
      <c r="B312" s="0" t="s">
        <v>38</v>
      </c>
    </row>
    <row r="313" customFormat="false" ht="13.8" hidden="false" customHeight="false" outlineLevel="0" collapsed="false">
      <c r="A313" s="0" t="s">
        <v>652</v>
      </c>
      <c r="B313" s="0" t="s">
        <v>919</v>
      </c>
    </row>
    <row r="314" customFormat="false" ht="13.8" hidden="false" customHeight="false" outlineLevel="0" collapsed="false">
      <c r="A314" s="0" t="s">
        <v>25</v>
      </c>
      <c r="B314" s="0" t="s">
        <v>7721</v>
      </c>
    </row>
    <row r="315" customFormat="false" ht="13.8" hidden="false" customHeight="false" outlineLevel="0" collapsed="false">
      <c r="A315" s="0" t="s">
        <v>653</v>
      </c>
      <c r="B315" s="0" t="s">
        <v>7722</v>
      </c>
    </row>
    <row r="316" customFormat="false" ht="13.8" hidden="false" customHeight="false" outlineLevel="0" collapsed="false">
      <c r="A316" s="0" t="s">
        <v>654</v>
      </c>
      <c r="B316" s="0" t="s">
        <v>333</v>
      </c>
    </row>
    <row r="317" customFormat="false" ht="13.8" hidden="false" customHeight="false" outlineLevel="0" collapsed="false">
      <c r="A317" s="0" t="s">
        <v>557</v>
      </c>
      <c r="B317" s="0" t="s">
        <v>833</v>
      </c>
    </row>
    <row r="318" customFormat="false" ht="13.8" hidden="false" customHeight="false" outlineLevel="0" collapsed="false">
      <c r="A318" s="0" t="s">
        <v>558</v>
      </c>
      <c r="B318" s="0" t="s">
        <v>7690</v>
      </c>
    </row>
    <row r="319" customFormat="false" ht="13.8" hidden="false" customHeight="false" outlineLevel="0" collapsed="false">
      <c r="A319" s="0" t="s">
        <v>558</v>
      </c>
      <c r="B319" s="0" t="s">
        <v>7690</v>
      </c>
    </row>
    <row r="320" customFormat="false" ht="13.8" hidden="false" customHeight="false" outlineLevel="0" collapsed="false">
      <c r="A320" s="0" t="s">
        <v>2</v>
      </c>
      <c r="B320" s="0" t="s">
        <v>7723</v>
      </c>
    </row>
    <row r="321" customFormat="false" ht="13.8" hidden="false" customHeight="false" outlineLevel="0" collapsed="false">
      <c r="A321" s="0" t="s">
        <v>655</v>
      </c>
      <c r="B321" s="0" t="s">
        <v>192</v>
      </c>
    </row>
    <row r="322" customFormat="false" ht="13.8" hidden="false" customHeight="false" outlineLevel="0" collapsed="false">
      <c r="A322" s="0" t="s">
        <v>7679</v>
      </c>
      <c r="B322" s="0" t="s">
        <v>7724</v>
      </c>
    </row>
    <row r="323" customFormat="false" ht="13.8" hidden="false" customHeight="false" outlineLevel="0" collapsed="false">
      <c r="A323" s="0" t="s">
        <v>7682</v>
      </c>
      <c r="B323" s="0" t="s">
        <v>7725</v>
      </c>
    </row>
    <row r="324" customFormat="false" ht="13.8" hidden="false" customHeight="false" outlineLevel="0" collapsed="false">
      <c r="A324" s="0" t="s">
        <v>619</v>
      </c>
      <c r="B324" s="0" t="s">
        <v>183</v>
      </c>
    </row>
    <row r="325" customFormat="false" ht="13.8" hidden="false" customHeight="false" outlineLevel="0" collapsed="false">
      <c r="A325" s="0" t="s">
        <v>54</v>
      </c>
      <c r="B325" s="0" t="s">
        <v>94</v>
      </c>
    </row>
    <row r="326" customFormat="false" ht="13.8" hidden="false" customHeight="false" outlineLevel="0" collapsed="false">
      <c r="A326" s="0" t="s">
        <v>31</v>
      </c>
      <c r="B326" s="0" t="s">
        <v>207</v>
      </c>
    </row>
    <row r="327" customFormat="false" ht="13.8" hidden="false" customHeight="false" outlineLevel="0" collapsed="false">
      <c r="A327" s="0" t="s">
        <v>656</v>
      </c>
      <c r="B327" s="0" t="s">
        <v>7726</v>
      </c>
    </row>
    <row r="328" customFormat="false" ht="13.8" hidden="false" customHeight="false" outlineLevel="0" collapsed="false">
      <c r="A328" s="0" t="s">
        <v>657</v>
      </c>
      <c r="B328" s="0" t="s">
        <v>7727</v>
      </c>
    </row>
    <row r="329" customFormat="false" ht="13.8" hidden="false" customHeight="false" outlineLevel="0" collapsed="false">
      <c r="A329" s="0" t="s">
        <v>658</v>
      </c>
      <c r="B329" s="0" t="s">
        <v>7728</v>
      </c>
    </row>
    <row r="330" customFormat="false" ht="13.8" hidden="false" customHeight="false" outlineLevel="0" collapsed="false">
      <c r="A330" s="0" t="s">
        <v>21</v>
      </c>
      <c r="B330" s="0" t="s">
        <v>485</v>
      </c>
    </row>
    <row r="331" customFormat="false" ht="13.8" hidden="false" customHeight="false" outlineLevel="0" collapsed="false">
      <c r="A331" s="0" t="s">
        <v>660</v>
      </c>
      <c r="B331" s="0" t="s">
        <v>479</v>
      </c>
    </row>
    <row r="332" customFormat="false" ht="13.8" hidden="false" customHeight="false" outlineLevel="0" collapsed="false">
      <c r="A332" s="0" t="s">
        <v>26</v>
      </c>
      <c r="B332" s="0" t="s">
        <v>7690</v>
      </c>
    </row>
    <row r="333" customFormat="false" ht="13.8" hidden="false" customHeight="false" outlineLevel="0" collapsed="false">
      <c r="A333" s="0" t="s">
        <v>26</v>
      </c>
      <c r="B333" s="0" t="s">
        <v>7690</v>
      </c>
    </row>
    <row r="334" customFormat="false" ht="13.8" hidden="false" customHeight="false" outlineLevel="0" collapsed="false">
      <c r="A334" s="0" t="s">
        <v>86</v>
      </c>
      <c r="B334" s="0" t="s">
        <v>339</v>
      </c>
    </row>
    <row r="335" customFormat="false" ht="13.8" hidden="false" customHeight="false" outlineLevel="0" collapsed="false">
      <c r="A335" s="0" t="s">
        <v>661</v>
      </c>
      <c r="B335" s="0" t="s">
        <v>7729</v>
      </c>
    </row>
    <row r="336" customFormat="false" ht="13.8" hidden="false" customHeight="false" outlineLevel="0" collapsed="false">
      <c r="A336" s="0" t="s">
        <v>650</v>
      </c>
      <c r="B336" s="0" t="s">
        <v>391</v>
      </c>
    </row>
    <row r="337" customFormat="false" ht="13.8" hidden="false" customHeight="false" outlineLevel="0" collapsed="false">
      <c r="A337" s="0" t="s">
        <v>662</v>
      </c>
      <c r="B337" s="0" t="s">
        <v>7730</v>
      </c>
    </row>
    <row r="338" customFormat="false" ht="13.8" hidden="false" customHeight="false" outlineLevel="0" collapsed="false">
      <c r="A338" s="0" t="s">
        <v>663</v>
      </c>
      <c r="B338" s="0" t="s">
        <v>44</v>
      </c>
    </row>
    <row r="339" customFormat="false" ht="13.8" hidden="false" customHeight="false" outlineLevel="0" collapsed="false">
      <c r="A339" s="0" t="s">
        <v>664</v>
      </c>
      <c r="B339" s="0" t="s">
        <v>503</v>
      </c>
    </row>
    <row r="340" customFormat="false" ht="13.8" hidden="false" customHeight="false" outlineLevel="0" collapsed="false">
      <c r="A340" s="0" t="s">
        <v>558</v>
      </c>
      <c r="B340" s="0" t="s">
        <v>7690</v>
      </c>
    </row>
    <row r="341" customFormat="false" ht="13.8" hidden="false" customHeight="false" outlineLevel="0" collapsed="false">
      <c r="A341" s="0" t="s">
        <v>665</v>
      </c>
      <c r="B341" s="0" t="s">
        <v>195</v>
      </c>
    </row>
    <row r="342" customFormat="false" ht="13.8" hidden="false" customHeight="false" outlineLevel="0" collapsed="false">
      <c r="A342" s="0" t="s">
        <v>666</v>
      </c>
      <c r="B342" s="0" t="s">
        <v>213</v>
      </c>
    </row>
    <row r="343" customFormat="false" ht="13.8" hidden="false" customHeight="false" outlineLevel="0" collapsed="false">
      <c r="A343" s="0" t="s">
        <v>582</v>
      </c>
      <c r="B343" s="0" t="s">
        <v>7695</v>
      </c>
    </row>
    <row r="344" customFormat="false" ht="13.8" hidden="false" customHeight="false" outlineLevel="0" collapsed="false">
      <c r="A344" s="0" t="s">
        <v>667</v>
      </c>
      <c r="B344" s="0" t="s">
        <v>7731</v>
      </c>
    </row>
    <row r="345" customFormat="false" ht="13.8" hidden="false" customHeight="false" outlineLevel="0" collapsed="false">
      <c r="A345" s="0" t="s">
        <v>32</v>
      </c>
      <c r="B345" s="0" t="s">
        <v>96</v>
      </c>
    </row>
    <row r="346" customFormat="false" ht="13.8" hidden="false" customHeight="false" outlineLevel="0" collapsed="false">
      <c r="A346" s="0" t="s">
        <v>571</v>
      </c>
      <c r="B346" s="0" t="s">
        <v>44</v>
      </c>
    </row>
    <row r="347" customFormat="false" ht="13.8" hidden="false" customHeight="false" outlineLevel="0" collapsed="false">
      <c r="A347" s="0" t="s">
        <v>668</v>
      </c>
      <c r="B347" s="0" t="s">
        <v>454</v>
      </c>
    </row>
    <row r="348" customFormat="false" ht="13.8" hidden="false" customHeight="false" outlineLevel="0" collapsed="false">
      <c r="A348" s="0" t="s">
        <v>669</v>
      </c>
      <c r="B348" s="0" t="s">
        <v>309</v>
      </c>
    </row>
    <row r="349" customFormat="false" ht="13.8" hidden="false" customHeight="false" outlineLevel="0" collapsed="false">
      <c r="A349" s="0" t="s">
        <v>580</v>
      </c>
      <c r="B349" s="0" t="s">
        <v>288</v>
      </c>
    </row>
    <row r="350" customFormat="false" ht="13.8" hidden="false" customHeight="false" outlineLevel="0" collapsed="false">
      <c r="A350" s="0" t="s">
        <v>578</v>
      </c>
      <c r="B350" s="0" t="s">
        <v>503</v>
      </c>
    </row>
    <row r="351" customFormat="false" ht="13.8" hidden="false" customHeight="false" outlineLevel="0" collapsed="false">
      <c r="A351" s="0" t="s">
        <v>26</v>
      </c>
      <c r="B351" s="0" t="s">
        <v>7690</v>
      </c>
    </row>
    <row r="352" customFormat="false" ht="13.8" hidden="false" customHeight="false" outlineLevel="0" collapsed="false">
      <c r="A352" s="0" t="s">
        <v>26</v>
      </c>
      <c r="B352" s="0" t="s">
        <v>7690</v>
      </c>
    </row>
    <row r="353" customFormat="false" ht="13.8" hidden="false" customHeight="false" outlineLevel="0" collapsed="false">
      <c r="A353" s="0" t="s">
        <v>92</v>
      </c>
      <c r="B353" s="0" t="s">
        <v>92</v>
      </c>
    </row>
    <row r="354" customFormat="false" ht="13.8" hidden="false" customHeight="false" outlineLevel="0" collapsed="false">
      <c r="A354" s="0" t="s">
        <v>670</v>
      </c>
      <c r="B354" s="0" t="s">
        <v>7732</v>
      </c>
    </row>
    <row r="355" customFormat="false" ht="13.8" hidden="false" customHeight="false" outlineLevel="0" collapsed="false">
      <c r="A355" s="0" t="s">
        <v>580</v>
      </c>
      <c r="B355" s="0" t="s">
        <v>288</v>
      </c>
    </row>
    <row r="356" customFormat="false" ht="13.8" hidden="false" customHeight="false" outlineLevel="0" collapsed="false">
      <c r="A356" s="0" t="s">
        <v>578</v>
      </c>
      <c r="B356" s="0" t="s">
        <v>503</v>
      </c>
    </row>
    <row r="357" customFormat="false" ht="13.8" hidden="false" customHeight="false" outlineLevel="0" collapsed="false">
      <c r="A357" s="0" t="s">
        <v>649</v>
      </c>
      <c r="B357" s="0" t="s">
        <v>501</v>
      </c>
    </row>
    <row r="358" customFormat="false" ht="13.8" hidden="false" customHeight="false" outlineLevel="0" collapsed="false">
      <c r="A358" s="0" t="s">
        <v>671</v>
      </c>
      <c r="B358" s="0" t="s">
        <v>7733</v>
      </c>
    </row>
    <row r="359" customFormat="false" ht="13.8" hidden="false" customHeight="false" outlineLevel="0" collapsed="false">
      <c r="A359" s="0" t="s">
        <v>672</v>
      </c>
      <c r="B359" s="0" t="s">
        <v>456</v>
      </c>
    </row>
    <row r="360" customFormat="false" ht="13.8" hidden="false" customHeight="false" outlineLevel="0" collapsed="false">
      <c r="A360" s="0" t="s">
        <v>673</v>
      </c>
      <c r="B360" s="0" t="s">
        <v>38</v>
      </c>
    </row>
    <row r="361" customFormat="false" ht="13.8" hidden="false" customHeight="false" outlineLevel="0" collapsed="false">
      <c r="A361" s="0" t="s">
        <v>83</v>
      </c>
      <c r="B361" s="0" t="s">
        <v>7734</v>
      </c>
    </row>
    <row r="362" customFormat="false" ht="13.8" hidden="false" customHeight="false" outlineLevel="0" collapsed="false">
      <c r="A362" s="0" t="s">
        <v>32</v>
      </c>
      <c r="B362" s="0" t="s">
        <v>96</v>
      </c>
    </row>
    <row r="363" customFormat="false" ht="13.8" hidden="false" customHeight="false" outlineLevel="0" collapsed="false">
      <c r="A363" s="0" t="s">
        <v>652</v>
      </c>
      <c r="B363" s="0" t="s">
        <v>919</v>
      </c>
    </row>
    <row r="364" customFormat="false" ht="13.8" hidden="false" customHeight="false" outlineLevel="0" collapsed="false">
      <c r="A364" s="0" t="s">
        <v>674</v>
      </c>
      <c r="B364" s="0" t="s">
        <v>134</v>
      </c>
    </row>
    <row r="365" customFormat="false" ht="13.8" hidden="false" customHeight="false" outlineLevel="0" collapsed="false">
      <c r="A365" s="0" t="s">
        <v>675</v>
      </c>
      <c r="B365" s="0" t="s">
        <v>401</v>
      </c>
    </row>
    <row r="366" customFormat="false" ht="13.8" hidden="false" customHeight="false" outlineLevel="0" collapsed="false">
      <c r="A366" s="0" t="s">
        <v>26</v>
      </c>
      <c r="B366" s="0" t="s">
        <v>7690</v>
      </c>
    </row>
    <row r="367" customFormat="false" ht="13.8" hidden="false" customHeight="false" outlineLevel="0" collapsed="false">
      <c r="A367" s="0" t="s">
        <v>26</v>
      </c>
      <c r="B367" s="0" t="s">
        <v>7690</v>
      </c>
    </row>
    <row r="368" customFormat="false" ht="13.8" hidden="false" customHeight="false" outlineLevel="0" collapsed="false">
      <c r="A368" s="0" t="s">
        <v>676</v>
      </c>
      <c r="B368" s="0" t="s">
        <v>7735</v>
      </c>
    </row>
    <row r="369" customFormat="false" ht="13.8" hidden="false" customHeight="false" outlineLevel="0" collapsed="false">
      <c r="A369" s="0" t="s">
        <v>394</v>
      </c>
      <c r="B369" s="0" t="s">
        <v>394</v>
      </c>
    </row>
    <row r="370" customFormat="false" ht="13.8" hidden="false" customHeight="false" outlineLevel="0" collapsed="false">
      <c r="A370" s="0" t="s">
        <v>564</v>
      </c>
      <c r="B370" s="0" t="s">
        <v>382</v>
      </c>
    </row>
    <row r="371" customFormat="false" ht="13.8" hidden="false" customHeight="false" outlineLevel="0" collapsed="false">
      <c r="A371" s="0" t="s">
        <v>562</v>
      </c>
      <c r="B371" s="0" t="s">
        <v>391</v>
      </c>
    </row>
    <row r="372" customFormat="false" ht="13.8" hidden="false" customHeight="false" outlineLevel="0" collapsed="false">
      <c r="A372" s="0" t="s">
        <v>677</v>
      </c>
      <c r="B372" s="0" t="s">
        <v>315</v>
      </c>
    </row>
    <row r="373" customFormat="false" ht="13.8" hidden="false" customHeight="false" outlineLevel="0" collapsed="false">
      <c r="A373" s="0" t="s">
        <v>8</v>
      </c>
      <c r="B373" s="0" t="s">
        <v>201</v>
      </c>
    </row>
    <row r="374" customFormat="false" ht="13.8" hidden="false" customHeight="false" outlineLevel="0" collapsed="false">
      <c r="A374" s="0" t="s">
        <v>40</v>
      </c>
      <c r="B374" s="0" t="s">
        <v>237</v>
      </c>
    </row>
    <row r="375" customFormat="false" ht="13.8" hidden="false" customHeight="false" outlineLevel="0" collapsed="false">
      <c r="A375" s="0" t="s">
        <v>678</v>
      </c>
      <c r="B375" s="0" t="s">
        <v>678</v>
      </c>
    </row>
    <row r="376" customFormat="false" ht="13.8" hidden="false" customHeight="false" outlineLevel="0" collapsed="false">
      <c r="A376" s="0" t="s">
        <v>587</v>
      </c>
      <c r="B376" s="0" t="s">
        <v>198</v>
      </c>
    </row>
    <row r="377" customFormat="false" ht="13.8" hidden="false" customHeight="false" outlineLevel="0" collapsed="false">
      <c r="A377" s="0" t="s">
        <v>609</v>
      </c>
      <c r="B377" s="0" t="s">
        <v>7702</v>
      </c>
    </row>
    <row r="378" customFormat="false" ht="13.8" hidden="false" customHeight="false" outlineLevel="0" collapsed="false">
      <c r="A378" s="0" t="s">
        <v>679</v>
      </c>
      <c r="B378" s="0" t="s">
        <v>7736</v>
      </c>
    </row>
    <row r="379" customFormat="false" ht="13.8" hidden="false" customHeight="false" outlineLevel="0" collapsed="false">
      <c r="A379" s="0" t="s">
        <v>680</v>
      </c>
      <c r="B379" s="0" t="s">
        <v>7737</v>
      </c>
    </row>
    <row r="380" customFormat="false" ht="13.8" hidden="false" customHeight="false" outlineLevel="0" collapsed="false">
      <c r="A380" s="0" t="s">
        <v>681</v>
      </c>
      <c r="B380" s="0" t="s">
        <v>273</v>
      </c>
    </row>
    <row r="381" customFormat="false" ht="13.8" hidden="false" customHeight="false" outlineLevel="0" collapsed="false">
      <c r="A381" s="0" t="s">
        <v>682</v>
      </c>
      <c r="B381" s="0" t="s">
        <v>7738</v>
      </c>
    </row>
    <row r="382" customFormat="false" ht="13.8" hidden="false" customHeight="false" outlineLevel="0" collapsed="false">
      <c r="A382" s="0" t="s">
        <v>255</v>
      </c>
      <c r="B382" s="0" t="s">
        <v>255</v>
      </c>
    </row>
    <row r="383" customFormat="false" ht="13.8" hidden="false" customHeight="false" outlineLevel="0" collapsed="false">
      <c r="A383" s="0" t="s">
        <v>645</v>
      </c>
      <c r="B383" s="0" t="s">
        <v>354</v>
      </c>
    </row>
    <row r="384" customFormat="false" ht="13.8" hidden="false" customHeight="false" outlineLevel="0" collapsed="false">
      <c r="A384" s="0" t="s">
        <v>672</v>
      </c>
      <c r="B384" s="0" t="s">
        <v>456</v>
      </c>
    </row>
    <row r="385" customFormat="false" ht="13.8" hidden="false" customHeight="false" outlineLevel="0" collapsed="false">
      <c r="A385" s="0" t="s">
        <v>673</v>
      </c>
      <c r="B385" s="0" t="s">
        <v>38</v>
      </c>
    </row>
    <row r="386" customFormat="false" ht="13.8" hidden="false" customHeight="false" outlineLevel="0" collapsed="false">
      <c r="A386" s="0" t="s">
        <v>46</v>
      </c>
      <c r="B386" s="0" t="s">
        <v>7690</v>
      </c>
    </row>
    <row r="387" customFormat="false" ht="13.8" hidden="false" customHeight="false" outlineLevel="0" collapsed="false">
      <c r="A387" s="0" t="s">
        <v>46</v>
      </c>
      <c r="B387" s="0" t="s">
        <v>7690</v>
      </c>
    </row>
    <row r="388" customFormat="false" ht="13.8" hidden="false" customHeight="false" outlineLevel="0" collapsed="false">
      <c r="A388" s="0" t="s">
        <v>2</v>
      </c>
      <c r="B388" s="0" t="s">
        <v>7723</v>
      </c>
    </row>
    <row r="389" customFormat="false" ht="13.8" hidden="false" customHeight="false" outlineLevel="0" collapsed="false">
      <c r="A389" s="0" t="s">
        <v>683</v>
      </c>
      <c r="B389" s="0" t="s">
        <v>441</v>
      </c>
    </row>
    <row r="390" customFormat="false" ht="13.8" hidden="false" customHeight="false" outlineLevel="0" collapsed="false">
      <c r="A390" s="0" t="s">
        <v>684</v>
      </c>
      <c r="B390" s="0" t="s">
        <v>7739</v>
      </c>
    </row>
    <row r="391" customFormat="false" ht="13.8" hidden="false" customHeight="false" outlineLevel="0" collapsed="false">
      <c r="A391" s="0" t="s">
        <v>685</v>
      </c>
      <c r="B391" s="0" t="s">
        <v>116</v>
      </c>
    </row>
    <row r="392" customFormat="false" ht="13.8" hidden="false" customHeight="false" outlineLevel="0" collapsed="false">
      <c r="A392" s="0" t="s">
        <v>562</v>
      </c>
      <c r="B392" s="0" t="s">
        <v>391</v>
      </c>
    </row>
    <row r="393" customFormat="false" ht="13.8" hidden="false" customHeight="false" outlineLevel="0" collapsed="false">
      <c r="A393" s="0" t="s">
        <v>40</v>
      </c>
      <c r="B393" s="0" t="s">
        <v>237</v>
      </c>
    </row>
    <row r="394" customFormat="false" ht="13.8" hidden="false" customHeight="false" outlineLevel="0" collapsed="false">
      <c r="A394" s="0" t="s">
        <v>21</v>
      </c>
      <c r="B394" s="0" t="s">
        <v>485</v>
      </c>
    </row>
    <row r="395" customFormat="false" ht="13.8" hidden="false" customHeight="false" outlineLevel="0" collapsed="false">
      <c r="A395" s="0" t="s">
        <v>686</v>
      </c>
      <c r="B395" s="0" t="s">
        <v>7734</v>
      </c>
    </row>
    <row r="396" customFormat="false" ht="13.8" hidden="false" customHeight="false" outlineLevel="0" collapsed="false">
      <c r="A396" s="0" t="s">
        <v>18</v>
      </c>
      <c r="B396" s="0" t="s">
        <v>855</v>
      </c>
    </row>
    <row r="397" customFormat="false" ht="13.8" hidden="false" customHeight="false" outlineLevel="0" collapsed="false">
      <c r="A397" s="0" t="s">
        <v>32</v>
      </c>
      <c r="B397" s="0" t="s">
        <v>96</v>
      </c>
    </row>
    <row r="398" customFormat="false" ht="13.8" hidden="false" customHeight="false" outlineLevel="0" collapsed="false">
      <c r="A398" s="0" t="s">
        <v>651</v>
      </c>
      <c r="B398" s="0" t="s">
        <v>38</v>
      </c>
    </row>
    <row r="399" customFormat="false" ht="13.8" hidden="false" customHeight="false" outlineLevel="0" collapsed="false">
      <c r="A399" s="0" t="s">
        <v>668</v>
      </c>
      <c r="B399" s="0" t="s">
        <v>454</v>
      </c>
    </row>
    <row r="400" customFormat="false" ht="13.8" hidden="false" customHeight="false" outlineLevel="0" collapsed="false">
      <c r="A400" s="0" t="s">
        <v>7674</v>
      </c>
      <c r="B400" s="0" t="s">
        <v>306</v>
      </c>
    </row>
    <row r="401" customFormat="false" ht="13.8" hidden="false" customHeight="false" outlineLevel="0" collapsed="false">
      <c r="A401" s="0" t="s">
        <v>635</v>
      </c>
      <c r="B401" s="0" t="s">
        <v>94</v>
      </c>
    </row>
    <row r="402" customFormat="false" ht="13.8" hidden="false" customHeight="false" outlineLevel="0" collapsed="false">
      <c r="A402" s="0" t="s">
        <v>687</v>
      </c>
      <c r="B402" s="0" t="s">
        <v>189</v>
      </c>
    </row>
    <row r="403" customFormat="false" ht="13.8" hidden="false" customHeight="false" outlineLevel="0" collapsed="false">
      <c r="A403" s="0" t="s">
        <v>687</v>
      </c>
      <c r="B403" s="0" t="s">
        <v>189</v>
      </c>
    </row>
    <row r="404" customFormat="false" ht="13.8" hidden="false" customHeight="false" outlineLevel="0" collapsed="false">
      <c r="A404" s="0" t="s">
        <v>688</v>
      </c>
      <c r="B404" s="0" t="s">
        <v>7740</v>
      </c>
    </row>
    <row r="405" customFormat="false" ht="13.8" hidden="false" customHeight="false" outlineLevel="0" collapsed="false">
      <c r="A405" s="0" t="s">
        <v>689</v>
      </c>
      <c r="B405" s="0" t="s">
        <v>484</v>
      </c>
    </row>
    <row r="406" customFormat="false" ht="13.8" hidden="false" customHeight="false" outlineLevel="0" collapsed="false">
      <c r="A406" s="0" t="s">
        <v>562</v>
      </c>
      <c r="B406" s="0" t="s">
        <v>391</v>
      </c>
    </row>
    <row r="407" customFormat="false" ht="13.8" hidden="false" customHeight="false" outlineLevel="0" collapsed="false">
      <c r="A407" s="0" t="s">
        <v>690</v>
      </c>
      <c r="B407" s="0" t="s">
        <v>447</v>
      </c>
    </row>
    <row r="408" customFormat="false" ht="13.8" hidden="false" customHeight="false" outlineLevel="0" collapsed="false">
      <c r="A408" s="0" t="s">
        <v>542</v>
      </c>
      <c r="B408" s="0" t="s">
        <v>7687</v>
      </c>
    </row>
    <row r="409" customFormat="false" ht="13.8" hidden="false" customHeight="false" outlineLevel="0" collapsed="false">
      <c r="A409" s="0" t="s">
        <v>668</v>
      </c>
      <c r="B409" s="0" t="s">
        <v>454</v>
      </c>
    </row>
    <row r="410" customFormat="false" ht="13.8" hidden="false" customHeight="false" outlineLevel="0" collapsed="false">
      <c r="A410" s="0" t="s">
        <v>21</v>
      </c>
      <c r="B410" s="0" t="s">
        <v>485</v>
      </c>
    </row>
    <row r="411" customFormat="false" ht="13.8" hidden="false" customHeight="false" outlineLevel="0" collapsed="false">
      <c r="A411" s="0" t="s">
        <v>32</v>
      </c>
      <c r="B411" s="0" t="s">
        <v>96</v>
      </c>
    </row>
    <row r="412" customFormat="false" ht="13.8" hidden="false" customHeight="false" outlineLevel="0" collapsed="false">
      <c r="A412" s="0" t="s">
        <v>584</v>
      </c>
      <c r="B412" s="0" t="s">
        <v>255</v>
      </c>
    </row>
    <row r="413" customFormat="false" ht="13.8" hidden="false" customHeight="false" outlineLevel="0" collapsed="false">
      <c r="A413" s="0" t="s">
        <v>689</v>
      </c>
      <c r="B413" s="0" t="s">
        <v>484</v>
      </c>
    </row>
    <row r="414" customFormat="false" ht="13.8" hidden="false" customHeight="false" outlineLevel="0" collapsed="false">
      <c r="A414" s="0" t="s">
        <v>570</v>
      </c>
      <c r="B414" s="0" t="s">
        <v>456</v>
      </c>
    </row>
    <row r="415" customFormat="false" ht="13.8" hidden="false" customHeight="false" outlineLevel="0" collapsed="false">
      <c r="A415" s="0" t="s">
        <v>14</v>
      </c>
      <c r="B415" s="0" t="s">
        <v>398</v>
      </c>
    </row>
    <row r="416" customFormat="false" ht="13.8" hidden="false" customHeight="false" outlineLevel="0" collapsed="false">
      <c r="A416" s="0" t="s">
        <v>586</v>
      </c>
      <c r="B416" s="0" t="s">
        <v>803</v>
      </c>
    </row>
    <row r="417" customFormat="false" ht="13.8" hidden="false" customHeight="false" outlineLevel="0" collapsed="false">
      <c r="A417" s="0" t="s">
        <v>26</v>
      </c>
      <c r="B417" s="0" t="s">
        <v>7690</v>
      </c>
    </row>
    <row r="418" customFormat="false" ht="13.8" hidden="false" customHeight="false" outlineLevel="0" collapsed="false">
      <c r="A418" s="0" t="s">
        <v>26</v>
      </c>
      <c r="B418" s="0" t="s">
        <v>7690</v>
      </c>
    </row>
    <row r="419" customFormat="false" ht="13.8" hidden="false" customHeight="false" outlineLevel="0" collapsed="false">
      <c r="A419" s="0" t="s">
        <v>691</v>
      </c>
      <c r="B419" s="0" t="s">
        <v>7741</v>
      </c>
    </row>
    <row r="420" customFormat="false" ht="13.8" hidden="false" customHeight="false" outlineLevel="0" collapsed="false">
      <c r="A420" s="0" t="s">
        <v>692</v>
      </c>
      <c r="B420" s="0" t="s">
        <v>426</v>
      </c>
    </row>
    <row r="421" customFormat="false" ht="13.8" hidden="false" customHeight="false" outlineLevel="0" collapsed="false">
      <c r="A421" s="0" t="s">
        <v>693</v>
      </c>
      <c r="B421" s="0" t="s">
        <v>482</v>
      </c>
    </row>
    <row r="422" customFormat="false" ht="13.8" hidden="false" customHeight="false" outlineLevel="0" collapsed="false">
      <c r="A422" s="0" t="s">
        <v>544</v>
      </c>
      <c r="B422" s="0" t="s">
        <v>112</v>
      </c>
    </row>
    <row r="423" customFormat="false" ht="13.8" hidden="false" customHeight="false" outlineLevel="0" collapsed="false">
      <c r="A423" s="0" t="s">
        <v>675</v>
      </c>
      <c r="B423" s="0" t="s">
        <v>401</v>
      </c>
    </row>
    <row r="424" customFormat="false" ht="13.8" hidden="false" customHeight="false" outlineLevel="0" collapsed="false">
      <c r="A424" s="0" t="s">
        <v>694</v>
      </c>
      <c r="B424" s="0" t="s">
        <v>7742</v>
      </c>
    </row>
    <row r="425" customFormat="false" ht="13.8" hidden="false" customHeight="false" outlineLevel="0" collapsed="false">
      <c r="A425" s="0" t="s">
        <v>695</v>
      </c>
      <c r="B425" s="0" t="s">
        <v>7743</v>
      </c>
    </row>
    <row r="426" customFormat="false" ht="13.8" hidden="false" customHeight="false" outlineLevel="0" collapsed="false">
      <c r="A426" s="0" t="s">
        <v>696</v>
      </c>
      <c r="B426" s="0" t="s">
        <v>7744</v>
      </c>
    </row>
    <row r="427" customFormat="false" ht="13.8" hidden="false" customHeight="false" outlineLevel="0" collapsed="false">
      <c r="A427" s="0" t="s">
        <v>697</v>
      </c>
      <c r="B427" s="0" t="s">
        <v>106</v>
      </c>
    </row>
    <row r="428" customFormat="false" ht="13.8" hidden="false" customHeight="false" outlineLevel="0" collapsed="false">
      <c r="A428" s="0" t="s">
        <v>698</v>
      </c>
      <c r="B428" s="0" t="s">
        <v>7745</v>
      </c>
    </row>
    <row r="429" customFormat="false" ht="13.8" hidden="false" customHeight="false" outlineLevel="0" collapsed="false">
      <c r="A429" s="0" t="s">
        <v>556</v>
      </c>
      <c r="B429" s="0" t="s">
        <v>225</v>
      </c>
    </row>
    <row r="430" customFormat="false" ht="13.8" hidden="false" customHeight="false" outlineLevel="0" collapsed="false">
      <c r="A430" s="0" t="s">
        <v>699</v>
      </c>
      <c r="B430" s="0" t="s">
        <v>219</v>
      </c>
    </row>
    <row r="431" customFormat="false" ht="13.8" hidden="false" customHeight="false" outlineLevel="0" collapsed="false">
      <c r="A431" s="0" t="s">
        <v>700</v>
      </c>
      <c r="B431" s="0" t="s">
        <v>499</v>
      </c>
    </row>
    <row r="432" customFormat="false" ht="13.8" hidden="false" customHeight="false" outlineLevel="0" collapsed="false">
      <c r="A432" s="0" t="s">
        <v>701</v>
      </c>
      <c r="B432" s="0" t="s">
        <v>460</v>
      </c>
    </row>
    <row r="433" customFormat="false" ht="13.8" hidden="false" customHeight="false" outlineLevel="0" collapsed="false">
      <c r="A433" s="0" t="s">
        <v>702</v>
      </c>
      <c r="B433" s="0" t="s">
        <v>498</v>
      </c>
    </row>
    <row r="434" customFormat="false" ht="13.8" hidden="false" customHeight="false" outlineLevel="0" collapsed="false">
      <c r="A434" s="0" t="s">
        <v>691</v>
      </c>
      <c r="B434" s="0" t="s">
        <v>7741</v>
      </c>
    </row>
    <row r="435" customFormat="false" ht="13.8" hidden="false" customHeight="false" outlineLevel="0" collapsed="false">
      <c r="A435" s="0" t="s">
        <v>43</v>
      </c>
      <c r="B435" s="0" t="s">
        <v>393</v>
      </c>
    </row>
    <row r="436" customFormat="false" ht="13.8" hidden="false" customHeight="false" outlineLevel="0" collapsed="false">
      <c r="A436" s="0" t="s">
        <v>703</v>
      </c>
      <c r="B436" s="0" t="s">
        <v>431</v>
      </c>
    </row>
    <row r="437" customFormat="false" ht="13.8" hidden="false" customHeight="false" outlineLevel="0" collapsed="false">
      <c r="A437" s="0" t="s">
        <v>704</v>
      </c>
      <c r="B437" s="0" t="s">
        <v>432</v>
      </c>
    </row>
    <row r="438" customFormat="false" ht="13.8" hidden="false" customHeight="false" outlineLevel="0" collapsed="false">
      <c r="A438" s="0" t="s">
        <v>282</v>
      </c>
      <c r="B438" s="0" t="s">
        <v>282</v>
      </c>
    </row>
    <row r="439" customFormat="false" ht="13.8" hidden="false" customHeight="false" outlineLevel="0" collapsed="false">
      <c r="A439" s="0" t="s">
        <v>705</v>
      </c>
      <c r="B439" s="0" t="s">
        <v>7746</v>
      </c>
    </row>
    <row r="440" customFormat="false" ht="13.8" hidden="false" customHeight="false" outlineLevel="0" collapsed="false">
      <c r="A440" s="0" t="s">
        <v>26</v>
      </c>
      <c r="B440" s="0" t="s">
        <v>7690</v>
      </c>
    </row>
    <row r="441" customFormat="false" ht="13.8" hidden="false" customHeight="false" outlineLevel="0" collapsed="false">
      <c r="A441" s="0" t="s">
        <v>575</v>
      </c>
      <c r="B441" s="0" t="s">
        <v>462</v>
      </c>
    </row>
    <row r="442" customFormat="false" ht="13.8" hidden="false" customHeight="false" outlineLevel="0" collapsed="false">
      <c r="A442" s="0" t="s">
        <v>32</v>
      </c>
      <c r="B442" s="0" t="s">
        <v>96</v>
      </c>
    </row>
    <row r="443" customFormat="false" ht="13.8" hidden="false" customHeight="false" outlineLevel="0" collapsed="false">
      <c r="A443" s="0" t="s">
        <v>707</v>
      </c>
      <c r="B443" s="0" t="s">
        <v>469</v>
      </c>
    </row>
    <row r="444" customFormat="false" ht="13.8" hidden="false" customHeight="false" outlineLevel="0" collapsed="false">
      <c r="A444" s="0" t="s">
        <v>704</v>
      </c>
      <c r="B444" s="0" t="s">
        <v>432</v>
      </c>
    </row>
    <row r="445" customFormat="false" ht="13.8" hidden="false" customHeight="false" outlineLevel="0" collapsed="false">
      <c r="A445" s="0" t="s">
        <v>708</v>
      </c>
      <c r="B445" s="0" t="s">
        <v>366</v>
      </c>
    </row>
    <row r="446" customFormat="false" ht="13.8" hidden="false" customHeight="false" outlineLevel="0" collapsed="false">
      <c r="A446" s="0" t="s">
        <v>54</v>
      </c>
      <c r="B446" s="0" t="s">
        <v>94</v>
      </c>
    </row>
    <row r="447" customFormat="false" ht="13.8" hidden="false" customHeight="false" outlineLevel="0" collapsed="false">
      <c r="A447" s="0" t="s">
        <v>709</v>
      </c>
      <c r="B447" s="0" t="s">
        <v>460</v>
      </c>
    </row>
    <row r="448" customFormat="false" ht="13.8" hidden="false" customHeight="false" outlineLevel="0" collapsed="false">
      <c r="A448" s="0" t="s">
        <v>7680</v>
      </c>
      <c r="B448" s="0" t="s">
        <v>7747</v>
      </c>
    </row>
    <row r="449" customFormat="false" ht="13.8" hidden="false" customHeight="false" outlineLevel="0" collapsed="false">
      <c r="A449" s="0" t="s">
        <v>710</v>
      </c>
      <c r="B449" s="0" t="s">
        <v>498</v>
      </c>
    </row>
    <row r="450" customFormat="false" ht="13.8" hidden="false" customHeight="false" outlineLevel="0" collapsed="false">
      <c r="A450" s="0" t="s">
        <v>7684</v>
      </c>
      <c r="B450" s="0" t="s">
        <v>7748</v>
      </c>
    </row>
    <row r="451" customFormat="false" ht="13.8" hidden="false" customHeight="false" outlineLevel="0" collapsed="false">
      <c r="A451" s="0" t="s">
        <v>711</v>
      </c>
      <c r="B451" s="0" t="s">
        <v>363</v>
      </c>
    </row>
    <row r="452" customFormat="false" ht="13.8" hidden="false" customHeight="false" outlineLevel="0" collapsed="false">
      <c r="A452" s="0" t="s">
        <v>7676</v>
      </c>
      <c r="B452" s="0" t="s">
        <v>7749</v>
      </c>
    </row>
    <row r="453" customFormat="false" ht="13.8" hidden="false" customHeight="false" outlineLevel="0" collapsed="false">
      <c r="A453" s="0" t="s">
        <v>655</v>
      </c>
      <c r="B453" s="0" t="s">
        <v>192</v>
      </c>
    </row>
    <row r="454" customFormat="false" ht="13.8" hidden="false" customHeight="false" outlineLevel="0" collapsed="false">
      <c r="A454" s="0" t="s">
        <v>7673</v>
      </c>
      <c r="B454" s="0" t="s">
        <v>7750</v>
      </c>
    </row>
    <row r="455" customFormat="false" ht="13.8" hidden="false" customHeight="false" outlineLevel="0" collapsed="false">
      <c r="A455" s="0" t="s">
        <v>712</v>
      </c>
      <c r="B455" s="0" t="s">
        <v>159</v>
      </c>
    </row>
    <row r="456" customFormat="false" ht="13.8" hidden="false" customHeight="false" outlineLevel="0" collapsed="false">
      <c r="A456" s="0" t="s">
        <v>7669</v>
      </c>
      <c r="B456" s="0" t="s">
        <v>7751</v>
      </c>
    </row>
    <row r="457" customFormat="false" ht="13.8" hidden="false" customHeight="false" outlineLevel="0" collapsed="false">
      <c r="A457" s="0" t="s">
        <v>713</v>
      </c>
      <c r="B457" s="0" t="s">
        <v>7752</v>
      </c>
    </row>
    <row r="458" customFormat="false" ht="13.8" hidden="false" customHeight="false" outlineLevel="0" collapsed="false">
      <c r="A458" s="0" t="s">
        <v>55</v>
      </c>
      <c r="B458" s="0" t="s">
        <v>183</v>
      </c>
    </row>
    <row r="459" customFormat="false" ht="13.8" hidden="false" customHeight="false" outlineLevel="0" collapsed="false">
      <c r="A459" s="0" t="s">
        <v>714</v>
      </c>
      <c r="B459" s="0" t="s">
        <v>459</v>
      </c>
    </row>
    <row r="460" customFormat="false" ht="13.8" hidden="false" customHeight="false" outlineLevel="0" collapsed="false">
      <c r="A460" s="0" t="s">
        <v>655</v>
      </c>
      <c r="B460" s="0" t="s">
        <v>192</v>
      </c>
    </row>
    <row r="461" customFormat="false" ht="13.8" hidden="false" customHeight="false" outlineLevel="0" collapsed="false">
      <c r="A461" s="0" t="s">
        <v>11</v>
      </c>
      <c r="B461" s="0" t="s">
        <v>348</v>
      </c>
    </row>
    <row r="462" customFormat="false" ht="13.8" hidden="false" customHeight="false" outlineLevel="0" collapsed="false">
      <c r="A462" s="0" t="s">
        <v>715</v>
      </c>
      <c r="B462" s="0" t="s">
        <v>237</v>
      </c>
    </row>
    <row r="463" customFormat="false" ht="13.8" hidden="false" customHeight="false" outlineLevel="0" collapsed="false">
      <c r="A463" s="0" t="s">
        <v>700</v>
      </c>
      <c r="B463" s="0" t="s">
        <v>499</v>
      </c>
    </row>
    <row r="464" customFormat="false" ht="13.8" hidden="false" customHeight="false" outlineLevel="0" collapsed="false">
      <c r="A464" s="0" t="s">
        <v>21</v>
      </c>
      <c r="B464" s="0" t="s">
        <v>485</v>
      </c>
    </row>
    <row r="465" customFormat="false" ht="13.8" hidden="false" customHeight="false" outlineLevel="0" collapsed="false">
      <c r="A465" s="0" t="s">
        <v>55</v>
      </c>
      <c r="B465" s="0" t="s">
        <v>183</v>
      </c>
    </row>
    <row r="466" customFormat="false" ht="13.8" hidden="false" customHeight="false" outlineLevel="0" collapsed="false">
      <c r="A466" s="0" t="s">
        <v>502</v>
      </c>
      <c r="B466" s="0" t="s">
        <v>7753</v>
      </c>
    </row>
    <row r="467" customFormat="false" ht="13.8" hidden="false" customHeight="false" outlineLevel="0" collapsed="false">
      <c r="A467" s="0" t="s">
        <v>716</v>
      </c>
      <c r="B467" s="0" t="s">
        <v>449</v>
      </c>
    </row>
    <row r="468" customFormat="false" ht="13.8" hidden="false" customHeight="false" outlineLevel="0" collapsed="false">
      <c r="A468" s="0" t="s">
        <v>717</v>
      </c>
      <c r="B468" s="0" t="s">
        <v>7754</v>
      </c>
    </row>
    <row r="469" customFormat="false" ht="13.8" hidden="false" customHeight="false" outlineLevel="0" collapsed="false">
      <c r="A469" s="0" t="s">
        <v>718</v>
      </c>
      <c r="B469" s="0" t="s">
        <v>483</v>
      </c>
    </row>
    <row r="470" customFormat="false" ht="13.8" hidden="false" customHeight="false" outlineLevel="0" collapsed="false">
      <c r="A470" s="0" t="s">
        <v>719</v>
      </c>
      <c r="B470" s="0" t="s">
        <v>465</v>
      </c>
    </row>
    <row r="471" customFormat="false" ht="13.8" hidden="false" customHeight="false" outlineLevel="0" collapsed="false">
      <c r="A471" s="0" t="s">
        <v>11</v>
      </c>
      <c r="B471" s="0" t="s">
        <v>348</v>
      </c>
    </row>
    <row r="472" customFormat="false" ht="13.8" hidden="false" customHeight="false" outlineLevel="0" collapsed="false">
      <c r="A472" s="0" t="s">
        <v>720</v>
      </c>
      <c r="B472" s="0" t="s">
        <v>7755</v>
      </c>
    </row>
    <row r="473" customFormat="false" ht="13.8" hidden="false" customHeight="false" outlineLevel="0" collapsed="false">
      <c r="A473" s="0" t="s">
        <v>71</v>
      </c>
      <c r="B473" s="0" t="s">
        <v>96</v>
      </c>
    </row>
    <row r="474" customFormat="false" ht="13.8" hidden="false" customHeight="false" outlineLevel="0" collapsed="false">
      <c r="A474" s="0" t="s">
        <v>86</v>
      </c>
      <c r="B474" s="0" t="s">
        <v>339</v>
      </c>
    </row>
    <row r="475" customFormat="false" ht="13.8" hidden="false" customHeight="false" outlineLevel="0" collapsed="false">
      <c r="A475" s="0" t="s">
        <v>650</v>
      </c>
      <c r="B475" s="0" t="s">
        <v>391</v>
      </c>
    </row>
    <row r="476" customFormat="false" ht="13.8" hidden="false" customHeight="false" outlineLevel="0" collapsed="false">
      <c r="A476" s="0" t="s">
        <v>30</v>
      </c>
      <c r="B476" s="0" t="s">
        <v>94</v>
      </c>
    </row>
    <row r="477" customFormat="false" ht="13.8" hidden="false" customHeight="false" outlineLevel="0" collapsed="false">
      <c r="A477" s="0" t="s">
        <v>717</v>
      </c>
      <c r="B477" s="0" t="s">
        <v>7754</v>
      </c>
    </row>
    <row r="478" customFormat="false" ht="13.8" hidden="false" customHeight="false" outlineLevel="0" collapsed="false">
      <c r="A478" s="0" t="s">
        <v>721</v>
      </c>
      <c r="B478" s="0" t="s">
        <v>342</v>
      </c>
    </row>
    <row r="479" customFormat="false" ht="13.8" hidden="false" customHeight="false" outlineLevel="0" collapsed="false">
      <c r="A479" s="0" t="s">
        <v>722</v>
      </c>
      <c r="B479" s="0" t="s">
        <v>7756</v>
      </c>
    </row>
    <row r="480" customFormat="false" ht="13.8" hidden="false" customHeight="false" outlineLevel="0" collapsed="false">
      <c r="A480" s="0" t="s">
        <v>723</v>
      </c>
      <c r="B480" s="0" t="s">
        <v>7757</v>
      </c>
    </row>
    <row r="481" customFormat="false" ht="13.8" hidden="false" customHeight="false" outlineLevel="0" collapsed="false">
      <c r="A481" s="0" t="s">
        <v>26</v>
      </c>
      <c r="B481" s="0" t="s">
        <v>7690</v>
      </c>
    </row>
    <row r="482" customFormat="false" ht="13.8" hidden="false" customHeight="false" outlineLevel="0" collapsed="false">
      <c r="A482" s="0" t="s">
        <v>26</v>
      </c>
      <c r="B482" s="0" t="s">
        <v>7690</v>
      </c>
    </row>
    <row r="483" customFormat="false" ht="13.8" hidden="false" customHeight="false" outlineLevel="0" collapsed="false">
      <c r="A483" s="0" t="s">
        <v>7670</v>
      </c>
      <c r="B483" s="0" t="s">
        <v>7758</v>
      </c>
    </row>
    <row r="484" customFormat="false" ht="13.8" hidden="false" customHeight="false" outlineLevel="0" collapsed="false">
      <c r="A484" s="0" t="s">
        <v>724</v>
      </c>
      <c r="B484" s="0" t="s">
        <v>7759</v>
      </c>
    </row>
    <row r="485" customFormat="false" ht="13.8" hidden="false" customHeight="false" outlineLevel="0" collapsed="false">
      <c r="A485" s="0" t="s">
        <v>701</v>
      </c>
      <c r="B485" s="0" t="s">
        <v>460</v>
      </c>
    </row>
    <row r="486" customFormat="false" ht="13.8" hidden="false" customHeight="false" outlineLevel="0" collapsed="false">
      <c r="A486" s="0" t="s">
        <v>725</v>
      </c>
      <c r="B486" s="0" t="s">
        <v>7760</v>
      </c>
    </row>
    <row r="487" customFormat="false" ht="13.8" hidden="false" customHeight="false" outlineLevel="0" collapsed="false">
      <c r="A487" s="0" t="s">
        <v>702</v>
      </c>
      <c r="B487" s="0" t="s">
        <v>498</v>
      </c>
    </row>
    <row r="488" customFormat="false" ht="13.8" hidden="false" customHeight="false" outlineLevel="0" collapsed="false">
      <c r="A488" s="0" t="s">
        <v>726</v>
      </c>
      <c r="B488" s="0" t="s">
        <v>7761</v>
      </c>
    </row>
    <row r="489" customFormat="false" ht="13.8" hidden="false" customHeight="false" outlineLevel="0" collapsed="false">
      <c r="A489" s="0" t="s">
        <v>631</v>
      </c>
      <c r="B489" s="0" t="s">
        <v>363</v>
      </c>
    </row>
    <row r="490" customFormat="false" ht="13.8" hidden="false" customHeight="false" outlineLevel="0" collapsed="false">
      <c r="A490" s="0" t="s">
        <v>727</v>
      </c>
      <c r="B490" s="0" t="s">
        <v>7762</v>
      </c>
    </row>
    <row r="491" customFormat="false" ht="13.8" hidden="false" customHeight="false" outlineLevel="0" collapsed="false">
      <c r="A491" s="0" t="s">
        <v>699</v>
      </c>
      <c r="B491" s="0" t="s">
        <v>219</v>
      </c>
    </row>
    <row r="492" customFormat="false" ht="13.8" hidden="false" customHeight="false" outlineLevel="0" collapsed="false">
      <c r="A492" s="0" t="s">
        <v>728</v>
      </c>
      <c r="B492" s="0" t="s">
        <v>7763</v>
      </c>
    </row>
    <row r="493" customFormat="false" ht="13.8" hidden="false" customHeight="false" outlineLevel="0" collapsed="false">
      <c r="A493" s="0" t="s">
        <v>700</v>
      </c>
      <c r="B493" s="0" t="s">
        <v>499</v>
      </c>
    </row>
    <row r="494" customFormat="false" ht="13.8" hidden="false" customHeight="false" outlineLevel="0" collapsed="false">
      <c r="A494" s="0" t="s">
        <v>729</v>
      </c>
      <c r="B494" s="0" t="s">
        <v>7764</v>
      </c>
    </row>
    <row r="495" customFormat="false" ht="13.8" hidden="false" customHeight="false" outlineLevel="0" collapsed="false">
      <c r="A495" s="0" t="s">
        <v>7672</v>
      </c>
      <c r="B495" s="0" t="s">
        <v>7765</v>
      </c>
    </row>
    <row r="496" customFormat="false" ht="13.8" hidden="false" customHeight="false" outlineLevel="0" collapsed="false">
      <c r="A496" s="0" t="s">
        <v>730</v>
      </c>
      <c r="B496" s="0" t="s">
        <v>7766</v>
      </c>
    </row>
    <row r="497" customFormat="false" ht="13.8" hidden="false" customHeight="false" outlineLevel="0" collapsed="false">
      <c r="A497" s="0" t="s">
        <v>7678</v>
      </c>
      <c r="B497" s="0" t="s">
        <v>448</v>
      </c>
    </row>
    <row r="498" customFormat="false" ht="13.8" hidden="false" customHeight="false" outlineLevel="0" collapsed="false">
      <c r="A498" s="0" t="s">
        <v>731</v>
      </c>
      <c r="B498" s="0" t="s">
        <v>7767</v>
      </c>
    </row>
    <row r="499" customFormat="false" ht="13.8" hidden="false" customHeight="false" outlineLevel="0" collapsed="false">
      <c r="A499" s="0" t="s">
        <v>732</v>
      </c>
      <c r="B499" s="0" t="s">
        <v>487</v>
      </c>
    </row>
    <row r="500" customFormat="false" ht="13.8" hidden="false" customHeight="false" outlineLevel="0" collapsed="false">
      <c r="A500" s="0" t="s">
        <v>708</v>
      </c>
      <c r="B500" s="0" t="s">
        <v>366</v>
      </c>
    </row>
    <row r="501" customFormat="false" ht="13.8" hidden="false" customHeight="false" outlineLevel="0" collapsed="false">
      <c r="A501" s="0" t="s">
        <v>733</v>
      </c>
      <c r="B501" s="0" t="s">
        <v>476</v>
      </c>
    </row>
    <row r="502" customFormat="false" ht="13.8" hidden="false" customHeight="false" outlineLevel="0" collapsed="false">
      <c r="A502" s="0" t="s">
        <v>734</v>
      </c>
      <c r="B502" s="0" t="s">
        <v>7768</v>
      </c>
    </row>
    <row r="503" customFormat="false" ht="13.8" hidden="false" customHeight="false" outlineLevel="0" collapsed="false">
      <c r="A503" s="0" t="s">
        <v>618</v>
      </c>
      <c r="B503" s="0" t="s">
        <v>534</v>
      </c>
    </row>
    <row r="504" customFormat="false" ht="13.8" hidden="false" customHeight="false" outlineLevel="0" collapsed="false">
      <c r="A504" s="0" t="s">
        <v>562</v>
      </c>
      <c r="B504" s="0" t="s">
        <v>391</v>
      </c>
    </row>
    <row r="505" customFormat="false" ht="13.8" hidden="false" customHeight="false" outlineLevel="0" collapsed="false">
      <c r="A505" s="0" t="s">
        <v>32</v>
      </c>
      <c r="B505" s="0" t="s">
        <v>96</v>
      </c>
    </row>
    <row r="506" customFormat="false" ht="13.8" hidden="false" customHeight="false" outlineLevel="0" collapsed="false">
      <c r="A506" s="0" t="s">
        <v>26</v>
      </c>
      <c r="B506" s="0" t="s">
        <v>7690</v>
      </c>
    </row>
    <row r="507" customFormat="false" ht="13.8" hidden="false" customHeight="false" outlineLevel="0" collapsed="false">
      <c r="A507" s="0" t="s">
        <v>26</v>
      </c>
      <c r="B507" s="0" t="s">
        <v>7690</v>
      </c>
    </row>
    <row r="508" customFormat="false" ht="13.8" hidden="false" customHeight="false" outlineLevel="0" collapsed="false">
      <c r="A508" s="0" t="s">
        <v>92</v>
      </c>
      <c r="B508" s="0" t="s">
        <v>92</v>
      </c>
    </row>
    <row r="509" customFormat="false" ht="13.8" hidden="false" customHeight="false" outlineLevel="0" collapsed="false">
      <c r="A509" s="0" t="s">
        <v>735</v>
      </c>
      <c r="B509" s="0" t="s">
        <v>7769</v>
      </c>
    </row>
    <row r="510" customFormat="false" ht="13.8" hidden="false" customHeight="false" outlineLevel="0" collapsed="false">
      <c r="A510" s="0" t="s">
        <v>736</v>
      </c>
      <c r="B510" s="0" t="s">
        <v>7770</v>
      </c>
    </row>
    <row r="511" customFormat="false" ht="13.8" hidden="false" customHeight="false" outlineLevel="0" collapsed="false">
      <c r="A511" s="0" t="s">
        <v>737</v>
      </c>
      <c r="B511" s="0" t="s">
        <v>246</v>
      </c>
    </row>
    <row r="512" customFormat="false" ht="13.8" hidden="false" customHeight="false" outlineLevel="0" collapsed="false">
      <c r="A512" s="0" t="s">
        <v>563</v>
      </c>
      <c r="B512" s="0" t="s">
        <v>801</v>
      </c>
    </row>
    <row r="513" customFormat="false" ht="13.8" hidden="false" customHeight="false" outlineLevel="0" collapsed="false">
      <c r="A513" s="0" t="s">
        <v>738</v>
      </c>
      <c r="B513" s="0" t="s">
        <v>231</v>
      </c>
    </row>
    <row r="514" customFormat="false" ht="13.8" hidden="false" customHeight="false" outlineLevel="0" collapsed="false">
      <c r="A514" s="0" t="s">
        <v>739</v>
      </c>
      <c r="B514" s="0" t="s">
        <v>267</v>
      </c>
    </row>
    <row r="515" customFormat="false" ht="13.8" hidden="false" customHeight="false" outlineLevel="0" collapsed="false">
      <c r="A515" s="0" t="s">
        <v>740</v>
      </c>
      <c r="B515" s="0" t="s">
        <v>486</v>
      </c>
    </row>
    <row r="516" customFormat="false" ht="13.8" hidden="false" customHeight="false" outlineLevel="0" collapsed="false">
      <c r="A516" s="0" t="s">
        <v>741</v>
      </c>
      <c r="B516" s="0" t="s">
        <v>7687</v>
      </c>
    </row>
    <row r="517" customFormat="false" ht="13.8" hidden="false" customHeight="false" outlineLevel="0" collapsed="false">
      <c r="A517" s="0" t="s">
        <v>742</v>
      </c>
      <c r="B517" s="0" t="s">
        <v>494</v>
      </c>
    </row>
    <row r="518" customFormat="false" ht="13.8" hidden="false" customHeight="false" outlineLevel="0" collapsed="false">
      <c r="A518" s="0" t="s">
        <v>658</v>
      </c>
      <c r="B518" s="0" t="s">
        <v>7728</v>
      </c>
    </row>
    <row r="519" customFormat="false" ht="13.8" hidden="false" customHeight="false" outlineLevel="0" collapsed="false">
      <c r="A519" s="0" t="s">
        <v>743</v>
      </c>
      <c r="B519" s="0" t="s">
        <v>7771</v>
      </c>
    </row>
    <row r="520" customFormat="false" ht="13.8" hidden="false" customHeight="false" outlineLevel="0" collapsed="false">
      <c r="A520" s="0" t="s">
        <v>46</v>
      </c>
      <c r="B520" s="0" t="s">
        <v>7690</v>
      </c>
    </row>
    <row r="521" customFormat="false" ht="13.8" hidden="false" customHeight="false" outlineLevel="0" collapsed="false">
      <c r="A521" s="0" t="s">
        <v>744</v>
      </c>
      <c r="B521" s="0" t="s">
        <v>7675</v>
      </c>
    </row>
    <row r="522" customFormat="false" ht="13.8" hidden="false" customHeight="false" outlineLevel="0" collapsed="false">
      <c r="A522" s="0" t="s">
        <v>745</v>
      </c>
      <c r="B522" s="0" t="s">
        <v>7772</v>
      </c>
    </row>
    <row r="523" customFormat="false" ht="13.8" hidden="false" customHeight="false" outlineLevel="0" collapsed="false">
      <c r="A523" s="0" t="s">
        <v>746</v>
      </c>
      <c r="B523" s="0" t="s">
        <v>463</v>
      </c>
    </row>
    <row r="524" customFormat="false" ht="13.8" hidden="false" customHeight="false" outlineLevel="0" collapsed="false">
      <c r="A524" s="0" t="s">
        <v>578</v>
      </c>
      <c r="B524" s="0" t="s">
        <v>503</v>
      </c>
    </row>
    <row r="525" customFormat="false" ht="13.8" hidden="false" customHeight="false" outlineLevel="0" collapsed="false">
      <c r="A525" s="0" t="s">
        <v>563</v>
      </c>
      <c r="B525" s="0" t="s">
        <v>801</v>
      </c>
    </row>
    <row r="526" customFormat="false" ht="13.8" hidden="false" customHeight="false" outlineLevel="0" collapsed="false">
      <c r="A526" s="0" t="s">
        <v>747</v>
      </c>
      <c r="B526" s="0" t="s">
        <v>855</v>
      </c>
    </row>
    <row r="527" customFormat="false" ht="13.8" hidden="false" customHeight="false" outlineLevel="0" collapsed="false">
      <c r="A527" s="0" t="s">
        <v>748</v>
      </c>
      <c r="B527" s="0" t="s">
        <v>7773</v>
      </c>
    </row>
    <row r="528" customFormat="false" ht="13.8" hidden="false" customHeight="false" outlineLevel="0" collapsed="false">
      <c r="A528" s="0" t="s">
        <v>749</v>
      </c>
      <c r="B528" s="0" t="s">
        <v>7774</v>
      </c>
    </row>
    <row r="529" customFormat="false" ht="13.8" hidden="false" customHeight="false" outlineLevel="0" collapsed="false">
      <c r="A529" s="0" t="s">
        <v>750</v>
      </c>
      <c r="B529" s="0" t="s">
        <v>7775</v>
      </c>
    </row>
    <row r="530" customFormat="false" ht="13.8" hidden="false" customHeight="false" outlineLevel="0" collapsed="false">
      <c r="A530" s="0" t="s">
        <v>751</v>
      </c>
      <c r="B530" s="0" t="s">
        <v>7776</v>
      </c>
    </row>
    <row r="531" customFormat="false" ht="13.8" hidden="false" customHeight="false" outlineLevel="0" collapsed="false">
      <c r="A531" s="0" t="s">
        <v>658</v>
      </c>
      <c r="B531" s="0" t="s">
        <v>7728</v>
      </c>
    </row>
    <row r="532" customFormat="false" ht="13.8" hidden="false" customHeight="false" outlineLevel="0" collapsed="false">
      <c r="A532" s="0" t="s">
        <v>584</v>
      </c>
      <c r="B532" s="0" t="s">
        <v>255</v>
      </c>
    </row>
    <row r="533" customFormat="false" ht="13.8" hidden="false" customHeight="false" outlineLevel="0" collapsed="false">
      <c r="A533" s="0" t="s">
        <v>735</v>
      </c>
      <c r="B533" s="0" t="s">
        <v>7769</v>
      </c>
    </row>
    <row r="534" customFormat="false" ht="13.8" hidden="false" customHeight="false" outlineLevel="0" collapsed="false">
      <c r="A534" s="0" t="s">
        <v>752</v>
      </c>
      <c r="B534" s="0" t="s">
        <v>7777</v>
      </c>
    </row>
    <row r="535" customFormat="false" ht="13.8" hidden="false" customHeight="false" outlineLevel="0" collapsed="false">
      <c r="A535" s="0" t="s">
        <v>657</v>
      </c>
      <c r="B535" s="0" t="s">
        <v>7727</v>
      </c>
    </row>
    <row r="536" customFormat="false" ht="13.8" hidden="false" customHeight="false" outlineLevel="0" collapsed="false">
      <c r="A536" s="0" t="s">
        <v>753</v>
      </c>
      <c r="B536" s="0" t="s">
        <v>7778</v>
      </c>
    </row>
    <row r="537" customFormat="false" ht="13.8" hidden="false" customHeight="false" outlineLevel="0" collapsed="false">
      <c r="A537" s="0" t="s">
        <v>754</v>
      </c>
      <c r="B537" s="0" t="s">
        <v>252</v>
      </c>
    </row>
    <row r="538" customFormat="false" ht="13.8" hidden="false" customHeight="false" outlineLevel="0" collapsed="false">
      <c r="A538" s="0" t="s">
        <v>46</v>
      </c>
      <c r="B538" s="0" t="s">
        <v>7690</v>
      </c>
    </row>
    <row r="539" customFormat="false" ht="13.8" hidden="false" customHeight="false" outlineLevel="0" collapsed="false">
      <c r="A539" s="0" t="s">
        <v>755</v>
      </c>
      <c r="B539" s="0" t="s">
        <v>472</v>
      </c>
    </row>
    <row r="540" customFormat="false" ht="13.8" hidden="false" customHeight="false" outlineLevel="0" collapsed="false">
      <c r="A540" s="0" t="s">
        <v>756</v>
      </c>
      <c r="B540" s="0" t="s">
        <v>477</v>
      </c>
    </row>
    <row r="541" customFormat="false" ht="13.8" hidden="false" customHeight="false" outlineLevel="0" collapsed="false">
      <c r="A541" s="0" t="s">
        <v>757</v>
      </c>
      <c r="B541" s="0" t="s">
        <v>285</v>
      </c>
    </row>
    <row r="542" customFormat="false" ht="13.8" hidden="false" customHeight="false" outlineLevel="0" collapsed="false">
      <c r="A542" s="0" t="s">
        <v>758</v>
      </c>
      <c r="B542" s="0" t="s">
        <v>294</v>
      </c>
    </row>
    <row r="543" customFormat="false" ht="13.8" hidden="false" customHeight="false" outlineLevel="0" collapsed="false">
      <c r="A543" s="0" t="s">
        <v>759</v>
      </c>
      <c r="B543" s="0" t="s">
        <v>422</v>
      </c>
    </row>
    <row r="544" customFormat="false" ht="13.8" hidden="false" customHeight="false" outlineLevel="0" collapsed="false">
      <c r="A544" s="0" t="s">
        <v>760</v>
      </c>
      <c r="B544" s="0" t="s">
        <v>408</v>
      </c>
    </row>
    <row r="545" customFormat="false" ht="13.8" hidden="false" customHeight="false" outlineLevel="0" collapsed="false">
      <c r="A545" s="0" t="s">
        <v>761</v>
      </c>
      <c r="B545" s="0" t="s">
        <v>481</v>
      </c>
    </row>
    <row r="546" customFormat="false" ht="13.8" hidden="false" customHeight="false" outlineLevel="0" collapsed="false">
      <c r="A546" s="0" t="s">
        <v>762</v>
      </c>
      <c r="B546" s="0" t="s">
        <v>7779</v>
      </c>
    </row>
    <row r="547" customFormat="false" ht="13.8" hidden="false" customHeight="false" outlineLevel="0" collapsed="false">
      <c r="A547" s="0" t="s">
        <v>763</v>
      </c>
      <c r="B547" s="0" t="s">
        <v>368</v>
      </c>
    </row>
    <row r="548" customFormat="false" ht="13.8" hidden="false" customHeight="false" outlineLevel="0" collapsed="false">
      <c r="A548" s="0" t="s">
        <v>764</v>
      </c>
      <c r="B548" s="0" t="s">
        <v>397</v>
      </c>
    </row>
    <row r="549" customFormat="false" ht="13.8" hidden="false" customHeight="false" outlineLevel="0" collapsed="false">
      <c r="A549" s="0" t="s">
        <v>14</v>
      </c>
      <c r="B549" s="0" t="s">
        <v>398</v>
      </c>
    </row>
    <row r="550" customFormat="false" ht="13.8" hidden="false" customHeight="false" outlineLevel="0" collapsed="false">
      <c r="A550" s="0" t="s">
        <v>765</v>
      </c>
      <c r="B550" s="0" t="s">
        <v>413</v>
      </c>
    </row>
    <row r="551" customFormat="false" ht="13.8" hidden="false" customHeight="false" outlineLevel="0" collapsed="false">
      <c r="A551" s="0" t="s">
        <v>766</v>
      </c>
      <c r="B551" s="0" t="s">
        <v>7780</v>
      </c>
    </row>
    <row r="552" customFormat="false" ht="13.8" hidden="false" customHeight="false" outlineLevel="0" collapsed="false">
      <c r="A552" s="0" t="s">
        <v>7668</v>
      </c>
      <c r="B552" s="0" t="s">
        <v>7668</v>
      </c>
    </row>
    <row r="553" customFormat="false" ht="13.8" hidden="false" customHeight="false" outlineLevel="0" collapsed="false">
      <c r="A553" s="0" t="s">
        <v>767</v>
      </c>
      <c r="B553" s="0" t="s">
        <v>312</v>
      </c>
    </row>
    <row r="554" customFormat="false" ht="13.8" hidden="false" customHeight="false" outlineLevel="0" collapsed="false">
      <c r="A554" s="0" t="s">
        <v>768</v>
      </c>
      <c r="B554" s="0" t="s">
        <v>890</v>
      </c>
    </row>
    <row r="555" customFormat="false" ht="13.8" hidden="false" customHeight="false" outlineLevel="0" collapsed="false">
      <c r="A555" s="0" t="s">
        <v>769</v>
      </c>
      <c r="B555" s="0" t="s">
        <v>7781</v>
      </c>
    </row>
    <row r="556" customFormat="false" ht="13.8" hidden="false" customHeight="false" outlineLevel="0" collapsed="false">
      <c r="A556" s="0" t="s">
        <v>528</v>
      </c>
      <c r="B556" s="0" t="s">
        <v>842</v>
      </c>
    </row>
    <row r="557" customFormat="false" ht="13.8" hidden="false" customHeight="false" outlineLevel="0" collapsed="false">
      <c r="A557" s="0" t="s">
        <v>770</v>
      </c>
      <c r="B557" s="0" t="s">
        <v>171</v>
      </c>
    </row>
    <row r="558" customFormat="false" ht="13.8" hidden="false" customHeight="false" outlineLevel="0" collapsed="false">
      <c r="A558" s="0" t="s">
        <v>771</v>
      </c>
      <c r="B558" s="0" t="s">
        <v>330</v>
      </c>
    </row>
    <row r="559" customFormat="false" ht="13.8" hidden="false" customHeight="false" outlineLevel="0" collapsed="false">
      <c r="A559" s="0" t="s">
        <v>772</v>
      </c>
      <c r="B559" s="0" t="s">
        <v>336</v>
      </c>
    </row>
    <row r="560" customFormat="false" ht="13.8" hidden="false" customHeight="false" outlineLevel="0" collapsed="false">
      <c r="A560" s="0" t="s">
        <v>773</v>
      </c>
      <c r="B560" s="0" t="s">
        <v>410</v>
      </c>
    </row>
    <row r="561" customFormat="false" ht="13.8" hidden="false" customHeight="false" outlineLevel="0" collapsed="false">
      <c r="A561" s="0" t="s">
        <v>774</v>
      </c>
      <c r="B561" s="0" t="s">
        <v>535</v>
      </c>
    </row>
    <row r="562" customFormat="false" ht="13.8" hidden="false" customHeight="false" outlineLevel="0" collapsed="false">
      <c r="A562" s="0" t="s">
        <v>775</v>
      </c>
      <c r="B562" s="0" t="s">
        <v>7782</v>
      </c>
    </row>
    <row r="563" customFormat="false" ht="13.8" hidden="false" customHeight="false" outlineLevel="0" collapsed="false">
      <c r="A563" s="0" t="s">
        <v>776</v>
      </c>
      <c r="B563" s="0" t="s">
        <v>404</v>
      </c>
    </row>
    <row r="564" customFormat="false" ht="13.8" hidden="false" customHeight="false" outlineLevel="0" collapsed="false">
      <c r="A564" s="0" t="s">
        <v>777</v>
      </c>
      <c r="B564" s="0" t="s">
        <v>430</v>
      </c>
    </row>
    <row r="565" customFormat="false" ht="13.8" hidden="false" customHeight="false" outlineLevel="0" collapsed="false">
      <c r="A565" s="0" t="s">
        <v>778</v>
      </c>
      <c r="B565" s="0" t="s">
        <v>7783</v>
      </c>
    </row>
    <row r="566" customFormat="false" ht="13.8" hidden="false" customHeight="false" outlineLevel="0" collapsed="false">
      <c r="A566" s="0" t="s">
        <v>779</v>
      </c>
      <c r="B566" s="0" t="s">
        <v>416</v>
      </c>
    </row>
    <row r="567" customFormat="false" ht="13.8" hidden="false" customHeight="false" outlineLevel="0" collapsed="false">
      <c r="A567" s="0" t="s">
        <v>22</v>
      </c>
      <c r="B567" s="0" t="s">
        <v>354</v>
      </c>
    </row>
    <row r="568" customFormat="false" ht="13.8" hidden="false" customHeight="false" outlineLevel="0" collapsed="false">
      <c r="A568" s="0" t="s">
        <v>553</v>
      </c>
      <c r="B568" s="0" t="s">
        <v>839</v>
      </c>
    </row>
    <row r="569" customFormat="false" ht="13.8" hidden="false" customHeight="false" outlineLevel="0" collapsed="false">
      <c r="A569" s="0" t="s">
        <v>780</v>
      </c>
      <c r="B569" s="0" t="s">
        <v>445</v>
      </c>
    </row>
    <row r="570" customFormat="false" ht="13.8" hidden="false" customHeight="false" outlineLevel="0" collapsed="false">
      <c r="A570" s="0" t="s">
        <v>781</v>
      </c>
      <c r="B570" s="0" t="s">
        <v>425</v>
      </c>
    </row>
    <row r="571" customFormat="false" ht="13.8" hidden="false" customHeight="false" outlineLevel="0" collapsed="false">
      <c r="A571" s="0" t="s">
        <v>782</v>
      </c>
      <c r="B571" s="0" t="s">
        <v>156</v>
      </c>
    </row>
    <row r="572" customFormat="false" ht="13.8" hidden="false" customHeight="false" outlineLevel="0" collapsed="false">
      <c r="A572" s="0" t="s">
        <v>783</v>
      </c>
      <c r="B572" s="0" t="s">
        <v>186</v>
      </c>
    </row>
    <row r="573" customFormat="false" ht="13.8" hidden="false" customHeight="false" outlineLevel="0" collapsed="false">
      <c r="A573" s="0" t="s">
        <v>784</v>
      </c>
      <c r="B573" s="0" t="s">
        <v>7784</v>
      </c>
    </row>
    <row r="574" customFormat="false" ht="13.8" hidden="false" customHeight="false" outlineLevel="0" collapsed="false">
      <c r="A574" s="0" t="s">
        <v>785</v>
      </c>
      <c r="B574" s="0" t="s">
        <v>7785</v>
      </c>
    </row>
    <row r="575" customFormat="false" ht="13.8" hidden="false" customHeight="false" outlineLevel="0" collapsed="false">
      <c r="A575" s="0" t="s">
        <v>527</v>
      </c>
      <c r="B575" s="0" t="s">
        <v>102</v>
      </c>
    </row>
    <row r="576" customFormat="false" ht="13.8" hidden="false" customHeight="false" outlineLevel="0" collapsed="false">
      <c r="A576" s="0" t="s">
        <v>786</v>
      </c>
      <c r="B576" s="0" t="s">
        <v>7786</v>
      </c>
    </row>
    <row r="577" customFormat="false" ht="13.8" hidden="false" customHeight="false" outlineLevel="0" collapsed="false">
      <c r="A577" s="0" t="s">
        <v>586</v>
      </c>
      <c r="B577" s="0" t="s">
        <v>803</v>
      </c>
    </row>
    <row r="578" customFormat="false" ht="13.8" hidden="false" customHeight="false" outlineLevel="0" collapsed="false">
      <c r="A578" s="0" t="s">
        <v>787</v>
      </c>
      <c r="B578" s="0" t="s">
        <v>7787</v>
      </c>
    </row>
    <row r="579" customFormat="false" ht="13.8" hidden="false" customHeight="false" outlineLevel="0" collapsed="false">
      <c r="A579" s="0" t="s">
        <v>668</v>
      </c>
      <c r="B579" s="0" t="s">
        <v>454</v>
      </c>
    </row>
    <row r="580" customFormat="false" ht="13.8" hidden="false" customHeight="false" outlineLevel="0" collapsed="false">
      <c r="A580" s="0" t="s">
        <v>655</v>
      </c>
      <c r="B580" s="0" t="s">
        <v>192</v>
      </c>
    </row>
    <row r="581" customFormat="false" ht="13.8" hidden="false" customHeight="false" outlineLevel="0" collapsed="false">
      <c r="A581" s="0" t="s">
        <v>788</v>
      </c>
      <c r="B581" s="0" t="s">
        <v>243</v>
      </c>
    </row>
    <row r="582" customFormat="false" ht="13.8" hidden="false" customHeight="false" outlineLevel="0" collapsed="false">
      <c r="A582" s="0" t="s">
        <v>39</v>
      </c>
      <c r="B582" s="0" t="s">
        <v>228</v>
      </c>
    </row>
    <row r="583" customFormat="false" ht="13.8" hidden="false" customHeight="false" outlineLevel="0" collapsed="false">
      <c r="A583" s="0" t="s">
        <v>789</v>
      </c>
      <c r="B583" s="0" t="s">
        <v>240</v>
      </c>
    </row>
    <row r="584" customFormat="false" ht="13.8" hidden="false" customHeight="false" outlineLevel="0" collapsed="false">
      <c r="A584" s="0" t="s">
        <v>790</v>
      </c>
      <c r="B584" s="0" t="s">
        <v>374</v>
      </c>
    </row>
    <row r="585" customFormat="false" ht="13.8" hidden="false" customHeight="false" outlineLevel="0" collapsed="false">
      <c r="A585" s="0" t="s">
        <v>791</v>
      </c>
      <c r="B585" s="0" t="s">
        <v>846</v>
      </c>
    </row>
    <row r="586" customFormat="false" ht="13.8" hidden="false" customHeight="false" outlineLevel="0" collapsed="false">
      <c r="A586" s="0" t="s">
        <v>792</v>
      </c>
      <c r="B586" s="0" t="s">
        <v>7788</v>
      </c>
    </row>
    <row r="587" customFormat="false" ht="13.8" hidden="false" customHeight="false" outlineLevel="0" collapsed="false">
      <c r="A587" s="0" t="s">
        <v>793</v>
      </c>
      <c r="B587" s="0" t="s">
        <v>7789</v>
      </c>
    </row>
    <row r="588" customFormat="false" ht="13.8" hidden="false" customHeight="false" outlineLevel="0" collapsed="false">
      <c r="A588" s="0" t="s">
        <v>794</v>
      </c>
      <c r="B588" s="0" t="s">
        <v>436</v>
      </c>
    </row>
    <row r="589" customFormat="false" ht="13.8" hidden="false" customHeight="false" outlineLevel="0" collapsed="false">
      <c r="A589" s="0" t="s">
        <v>795</v>
      </c>
      <c r="B589" s="0" t="s">
        <v>146</v>
      </c>
    </row>
    <row r="590" customFormat="false" ht="13.8" hidden="false" customHeight="false" outlineLevel="0" collapsed="false">
      <c r="A590" s="0" t="s">
        <v>796</v>
      </c>
      <c r="B590" s="0" t="s">
        <v>150</v>
      </c>
    </row>
    <row r="591" customFormat="false" ht="13.8" hidden="false" customHeight="false" outlineLevel="0" collapsed="false">
      <c r="A591" s="0" t="s">
        <v>797</v>
      </c>
      <c r="B591" s="0" t="s">
        <v>7790</v>
      </c>
    </row>
    <row r="592" customFormat="false" ht="13.8" hidden="false" customHeight="false" outlineLevel="0" collapsed="false">
      <c r="A592" s="0" t="s">
        <v>798</v>
      </c>
      <c r="B592" s="0" t="s">
        <v>7791</v>
      </c>
    </row>
    <row r="593" customFormat="false" ht="13.8" hidden="false" customHeight="false" outlineLevel="0" collapsed="false">
      <c r="A593" s="0" t="s">
        <v>794</v>
      </c>
      <c r="B593" s="0" t="s">
        <v>436</v>
      </c>
    </row>
    <row r="594" customFormat="false" ht="13.8" hidden="false" customHeight="false" outlineLevel="0" collapsed="false">
      <c r="A594" s="0" t="s">
        <v>795</v>
      </c>
      <c r="B594" s="0" t="s">
        <v>146</v>
      </c>
    </row>
    <row r="595" customFormat="false" ht="13.8" hidden="false" customHeight="false" outlineLevel="0" collapsed="false">
      <c r="A595" s="0" t="s">
        <v>796</v>
      </c>
      <c r="B595" s="0" t="s">
        <v>150</v>
      </c>
    </row>
    <row r="596" customFormat="false" ht="13.8" hidden="false" customHeight="false" outlineLevel="0" collapsed="false">
      <c r="A596" s="0" t="s">
        <v>799</v>
      </c>
      <c r="B596" s="0" t="s">
        <v>258</v>
      </c>
    </row>
    <row r="597" customFormat="false" ht="13.8" hidden="false" customHeight="false" outlineLevel="0" collapsed="false">
      <c r="A597" s="0" t="s">
        <v>797</v>
      </c>
      <c r="B597" s="0" t="s">
        <v>7790</v>
      </c>
    </row>
    <row r="598" customFormat="false" ht="13.8" hidden="false" customHeight="false" outlineLevel="0" collapsed="false">
      <c r="A598" s="0" t="s">
        <v>11</v>
      </c>
      <c r="B598" s="0" t="s">
        <v>348</v>
      </c>
    </row>
    <row r="599" customFormat="false" ht="13.8" hidden="false" customHeight="false" outlineLevel="0" collapsed="false">
      <c r="A599" s="0" t="s">
        <v>800</v>
      </c>
      <c r="B599" s="0" t="s">
        <v>800</v>
      </c>
    </row>
    <row r="600" customFormat="false" ht="13.8" hidden="false" customHeight="false" outlineLevel="0" collapsed="false">
      <c r="A600" s="0" t="s">
        <v>790</v>
      </c>
      <c r="B600" s="0" t="s">
        <v>374</v>
      </c>
    </row>
    <row r="601" customFormat="false" ht="13.8" hidden="false" customHeight="false" outlineLevel="0" collapsed="false">
      <c r="A601" s="0" t="s">
        <v>10</v>
      </c>
      <c r="B601" s="0" t="s">
        <v>130</v>
      </c>
    </row>
    <row r="602" customFormat="false" ht="13.8" hidden="false" customHeight="false" outlineLevel="0" collapsed="false">
      <c r="A602" s="0" t="s">
        <v>801</v>
      </c>
      <c r="B602" s="0" t="s">
        <v>801</v>
      </c>
    </row>
    <row r="603" customFormat="false" ht="13.8" hidden="false" customHeight="false" outlineLevel="0" collapsed="false">
      <c r="A603" s="0" t="s">
        <v>23</v>
      </c>
      <c r="B603" s="0" t="s">
        <v>919</v>
      </c>
    </row>
    <row r="604" customFormat="false" ht="13.8" hidden="false" customHeight="false" outlineLevel="0" collapsed="false">
      <c r="A604" s="0" t="s">
        <v>802</v>
      </c>
      <c r="B604" s="0" t="s">
        <v>802</v>
      </c>
    </row>
    <row r="605" customFormat="false" ht="13.8" hidden="false" customHeight="false" outlineLevel="0" collapsed="false">
      <c r="A605" s="0" t="s">
        <v>803</v>
      </c>
      <c r="B605" s="0" t="s">
        <v>803</v>
      </c>
    </row>
    <row r="606" customFormat="false" ht="13.8" hidden="false" customHeight="false" outlineLevel="0" collapsed="false">
      <c r="A606" s="0" t="s">
        <v>804</v>
      </c>
      <c r="B606" s="0" t="s">
        <v>396</v>
      </c>
    </row>
    <row r="607" customFormat="false" ht="13.8" hidden="false" customHeight="false" outlineLevel="0" collapsed="false">
      <c r="A607" s="0" t="s">
        <v>805</v>
      </c>
      <c r="B607" s="0" t="s">
        <v>805</v>
      </c>
    </row>
    <row r="608" customFormat="false" ht="13.8" hidden="false" customHeight="false" outlineLevel="0" collapsed="false">
      <c r="A608" s="0" t="s">
        <v>570</v>
      </c>
      <c r="B608" s="0" t="s">
        <v>456</v>
      </c>
    </row>
    <row r="609" customFormat="false" ht="13.8" hidden="false" customHeight="false" outlineLevel="0" collapsed="false">
      <c r="A609" s="0" t="s">
        <v>14</v>
      </c>
      <c r="B609" s="0" t="s">
        <v>398</v>
      </c>
    </row>
    <row r="610" customFormat="false" ht="13.8" hidden="false" customHeight="false" outlineLevel="0" collapsed="false">
      <c r="A610" s="0" t="s">
        <v>806</v>
      </c>
      <c r="B610" s="0" t="s">
        <v>806</v>
      </c>
    </row>
    <row r="611" customFormat="false" ht="13.8" hidden="false" customHeight="false" outlineLevel="0" collapsed="false">
      <c r="A611" s="0" t="s">
        <v>382</v>
      </c>
      <c r="B611" s="0" t="s">
        <v>382</v>
      </c>
    </row>
    <row r="612" customFormat="false" ht="13.8" hidden="false" customHeight="false" outlineLevel="0" collapsed="false">
      <c r="A612" s="0" t="s">
        <v>807</v>
      </c>
      <c r="B612" s="0" t="s">
        <v>807</v>
      </c>
    </row>
    <row r="613" customFormat="false" ht="13.8" hidden="false" customHeight="false" outlineLevel="0" collapsed="false">
      <c r="A613" s="0" t="s">
        <v>391</v>
      </c>
      <c r="B613" s="0" t="s">
        <v>391</v>
      </c>
    </row>
    <row r="614" customFormat="false" ht="13.8" hidden="false" customHeight="false" outlineLevel="0" collapsed="false">
      <c r="A614" s="0" t="s">
        <v>96</v>
      </c>
      <c r="B614" s="0" t="s">
        <v>96</v>
      </c>
    </row>
    <row r="615" customFormat="false" ht="13.8" hidden="false" customHeight="false" outlineLevel="0" collapsed="false">
      <c r="A615" s="0" t="s">
        <v>11</v>
      </c>
      <c r="B615" s="0" t="s">
        <v>348</v>
      </c>
    </row>
    <row r="616" customFormat="false" ht="13.8" hidden="false" customHeight="false" outlineLevel="0" collapsed="false">
      <c r="A616" s="0" t="s">
        <v>800</v>
      </c>
      <c r="B616" s="0" t="s">
        <v>800</v>
      </c>
    </row>
    <row r="617" customFormat="false" ht="13.8" hidden="false" customHeight="false" outlineLevel="0" collapsed="false">
      <c r="A617" s="0" t="s">
        <v>790</v>
      </c>
      <c r="B617" s="0" t="s">
        <v>374</v>
      </c>
    </row>
    <row r="618" customFormat="false" ht="13.8" hidden="false" customHeight="false" outlineLevel="0" collapsed="false">
      <c r="A618" s="0" t="s">
        <v>801</v>
      </c>
      <c r="B618" s="0" t="s">
        <v>801</v>
      </c>
    </row>
    <row r="619" customFormat="false" ht="13.8" hidden="false" customHeight="false" outlineLevel="0" collapsed="false">
      <c r="A619" s="0" t="s">
        <v>23</v>
      </c>
      <c r="B619" s="0" t="s">
        <v>919</v>
      </c>
    </row>
    <row r="620" customFormat="false" ht="13.8" hidden="false" customHeight="false" outlineLevel="0" collapsed="false">
      <c r="A620" s="0" t="s">
        <v>802</v>
      </c>
      <c r="B620" s="0" t="s">
        <v>802</v>
      </c>
    </row>
    <row r="621" customFormat="false" ht="13.8" hidden="false" customHeight="false" outlineLevel="0" collapsed="false">
      <c r="A621" s="0" t="s">
        <v>803</v>
      </c>
      <c r="B621" s="0" t="s">
        <v>803</v>
      </c>
    </row>
    <row r="622" customFormat="false" ht="13.8" hidden="false" customHeight="false" outlineLevel="0" collapsed="false">
      <c r="A622" s="0" t="s">
        <v>393</v>
      </c>
      <c r="B622" s="0" t="s">
        <v>393</v>
      </c>
    </row>
    <row r="623" customFormat="false" ht="13.8" hidden="false" customHeight="false" outlineLevel="0" collapsed="false">
      <c r="A623" s="0" t="s">
        <v>808</v>
      </c>
      <c r="B623" s="0" t="s">
        <v>359</v>
      </c>
    </row>
    <row r="624" customFormat="false" ht="13.8" hidden="false" customHeight="false" outlineLevel="0" collapsed="false">
      <c r="A624" s="0" t="s">
        <v>805</v>
      </c>
      <c r="B624" s="0" t="s">
        <v>805</v>
      </c>
    </row>
    <row r="625" customFormat="false" ht="13.8" hidden="false" customHeight="false" outlineLevel="0" collapsed="false">
      <c r="A625" s="0" t="s">
        <v>570</v>
      </c>
      <c r="B625" s="0" t="s">
        <v>456</v>
      </c>
    </row>
    <row r="626" customFormat="false" ht="13.8" hidden="false" customHeight="false" outlineLevel="0" collapsed="false">
      <c r="A626" s="0" t="s">
        <v>249</v>
      </c>
      <c r="B626" s="0" t="s">
        <v>249</v>
      </c>
    </row>
    <row r="627" customFormat="false" ht="13.8" hidden="false" customHeight="false" outlineLevel="0" collapsed="false">
      <c r="A627" s="0" t="s">
        <v>489</v>
      </c>
      <c r="B627" s="0" t="s">
        <v>489</v>
      </c>
    </row>
    <row r="628" customFormat="false" ht="13.8" hidden="false" customHeight="false" outlineLevel="0" collapsed="false">
      <c r="A628" s="0" t="s">
        <v>382</v>
      </c>
      <c r="B628" s="0" t="s">
        <v>382</v>
      </c>
    </row>
    <row r="629" customFormat="false" ht="13.8" hidden="false" customHeight="false" outlineLevel="0" collapsed="false">
      <c r="A629" s="0" t="s">
        <v>809</v>
      </c>
      <c r="B629" s="0" t="s">
        <v>809</v>
      </c>
    </row>
    <row r="630" customFormat="false" ht="13.8" hidden="false" customHeight="false" outlineLevel="0" collapsed="false">
      <c r="A630" s="0" t="s">
        <v>391</v>
      </c>
      <c r="B630" s="0" t="s">
        <v>391</v>
      </c>
    </row>
    <row r="631" customFormat="false" ht="13.8" hidden="false" customHeight="false" outlineLevel="0" collapsed="false">
      <c r="A631" s="0" t="s">
        <v>96</v>
      </c>
      <c r="B631" s="0" t="s">
        <v>96</v>
      </c>
    </row>
    <row r="632" customFormat="false" ht="13.8" hidden="false" customHeight="false" outlineLevel="0" collapsed="false">
      <c r="A632" s="0" t="s">
        <v>348</v>
      </c>
      <c r="B632" s="0" t="s">
        <v>348</v>
      </c>
    </row>
    <row r="633" customFormat="false" ht="13.8" hidden="false" customHeight="false" outlineLevel="0" collapsed="false">
      <c r="A633" s="0" t="s">
        <v>800</v>
      </c>
      <c r="B633" s="0" t="s">
        <v>800</v>
      </c>
    </row>
    <row r="634" customFormat="false" ht="13.8" hidden="false" customHeight="false" outlineLevel="0" collapsed="false">
      <c r="A634" s="0" t="s">
        <v>790</v>
      </c>
      <c r="B634" s="0" t="s">
        <v>374</v>
      </c>
    </row>
    <row r="635" customFormat="false" ht="13.8" hidden="false" customHeight="false" outlineLevel="0" collapsed="false">
      <c r="A635" s="0" t="s">
        <v>801</v>
      </c>
      <c r="B635" s="0" t="s">
        <v>801</v>
      </c>
    </row>
    <row r="636" customFormat="false" ht="13.8" hidden="false" customHeight="false" outlineLevel="0" collapsed="false">
      <c r="A636" s="0" t="s">
        <v>23</v>
      </c>
      <c r="B636" s="0" t="s">
        <v>919</v>
      </c>
    </row>
    <row r="637" customFormat="false" ht="13.8" hidden="false" customHeight="false" outlineLevel="0" collapsed="false">
      <c r="A637" s="0" t="s">
        <v>802</v>
      </c>
      <c r="B637" s="0" t="s">
        <v>802</v>
      </c>
    </row>
    <row r="638" customFormat="false" ht="13.8" hidden="false" customHeight="false" outlineLevel="0" collapsed="false">
      <c r="A638" s="0" t="s">
        <v>803</v>
      </c>
      <c r="B638" s="0" t="s">
        <v>803</v>
      </c>
    </row>
    <row r="639" customFormat="false" ht="13.8" hidden="false" customHeight="false" outlineLevel="0" collapsed="false">
      <c r="A639" s="0" t="s">
        <v>393</v>
      </c>
      <c r="B639" s="0" t="s">
        <v>393</v>
      </c>
    </row>
    <row r="640" customFormat="false" ht="13.8" hidden="false" customHeight="false" outlineLevel="0" collapsed="false">
      <c r="A640" s="0" t="s">
        <v>810</v>
      </c>
      <c r="B640" s="0" t="s">
        <v>491</v>
      </c>
    </row>
    <row r="641" customFormat="false" ht="13.8" hidden="false" customHeight="false" outlineLevel="0" collapsed="false">
      <c r="A641" s="0" t="s">
        <v>805</v>
      </c>
      <c r="B641" s="0" t="s">
        <v>805</v>
      </c>
    </row>
    <row r="642" customFormat="false" ht="13.8" hidden="false" customHeight="false" outlineLevel="0" collapsed="false">
      <c r="A642" s="0" t="s">
        <v>570</v>
      </c>
      <c r="B642" s="0" t="s">
        <v>456</v>
      </c>
    </row>
    <row r="643" customFormat="false" ht="13.8" hidden="false" customHeight="false" outlineLevel="0" collapsed="false">
      <c r="A643" s="0" t="s">
        <v>249</v>
      </c>
      <c r="B643" s="0" t="s">
        <v>249</v>
      </c>
    </row>
    <row r="644" customFormat="false" ht="13.8" hidden="false" customHeight="false" outlineLevel="0" collapsed="false">
      <c r="A644" s="0" t="s">
        <v>489</v>
      </c>
      <c r="B644" s="0" t="s">
        <v>489</v>
      </c>
    </row>
    <row r="645" customFormat="false" ht="13.8" hidden="false" customHeight="false" outlineLevel="0" collapsed="false">
      <c r="A645" s="0" t="s">
        <v>382</v>
      </c>
      <c r="B645" s="0" t="s">
        <v>382</v>
      </c>
    </row>
    <row r="646" customFormat="false" ht="13.8" hidden="false" customHeight="false" outlineLevel="0" collapsed="false">
      <c r="A646" s="0" t="s">
        <v>809</v>
      </c>
      <c r="B646" s="0" t="s">
        <v>809</v>
      </c>
    </row>
    <row r="647" customFormat="false" ht="13.8" hidden="false" customHeight="false" outlineLevel="0" collapsed="false">
      <c r="A647" s="0" t="s">
        <v>391</v>
      </c>
      <c r="B647" s="0" t="s">
        <v>391</v>
      </c>
    </row>
    <row r="648" customFormat="false" ht="13.8" hidden="false" customHeight="false" outlineLevel="0" collapsed="false">
      <c r="A648" s="0" t="s">
        <v>452</v>
      </c>
      <c r="B648" s="0" t="s">
        <v>452</v>
      </c>
    </row>
    <row r="649" customFormat="false" ht="13.8" hidden="false" customHeight="false" outlineLevel="0" collapsed="false">
      <c r="A649" s="0" t="s">
        <v>96</v>
      </c>
      <c r="B649" s="0" t="s">
        <v>96</v>
      </c>
    </row>
    <row r="650" customFormat="false" ht="13.8" hidden="false" customHeight="false" outlineLevel="0" collapsed="false">
      <c r="A650" s="0" t="s">
        <v>273</v>
      </c>
      <c r="B650" s="0" t="s">
        <v>273</v>
      </c>
    </row>
    <row r="651" customFormat="false" ht="13.8" hidden="false" customHeight="false" outlineLevel="0" collapsed="false">
      <c r="A651" s="0" t="s">
        <v>803</v>
      </c>
      <c r="B651" s="0" t="s">
        <v>803</v>
      </c>
    </row>
    <row r="652" customFormat="false" ht="13.8" hidden="false" customHeight="false" outlineLevel="0" collapsed="false">
      <c r="A652" s="0" t="s">
        <v>811</v>
      </c>
      <c r="B652" s="0" t="s">
        <v>802</v>
      </c>
    </row>
    <row r="653" customFormat="false" ht="13.8" hidden="false" customHeight="false" outlineLevel="0" collapsed="false">
      <c r="A653" s="0" t="s">
        <v>812</v>
      </c>
      <c r="B653" s="0" t="s">
        <v>7792</v>
      </c>
    </row>
    <row r="654" customFormat="false" ht="13.8" hidden="false" customHeight="false" outlineLevel="0" collapsed="false">
      <c r="A654" s="0" t="s">
        <v>813</v>
      </c>
      <c r="B654" s="0" t="s">
        <v>7793</v>
      </c>
    </row>
    <row r="655" customFormat="false" ht="13.8" hidden="false" customHeight="false" outlineLevel="0" collapsed="false">
      <c r="A655" s="0" t="s">
        <v>814</v>
      </c>
      <c r="B655" s="0" t="s">
        <v>354</v>
      </c>
    </row>
    <row r="656" customFormat="false" ht="13.8" hidden="false" customHeight="false" outlineLevel="0" collapsed="false">
      <c r="A656" s="0" t="s">
        <v>805</v>
      </c>
      <c r="B656" s="0" t="s">
        <v>805</v>
      </c>
    </row>
    <row r="657" customFormat="false" ht="13.8" hidden="false" customHeight="false" outlineLevel="0" collapsed="false">
      <c r="A657" s="0" t="s">
        <v>398</v>
      </c>
      <c r="B657" s="0" t="s">
        <v>398</v>
      </c>
    </row>
    <row r="658" customFormat="false" ht="13.8" hidden="false" customHeight="false" outlineLevel="0" collapsed="false">
      <c r="A658" s="0" t="s">
        <v>391</v>
      </c>
      <c r="B658" s="0" t="s">
        <v>391</v>
      </c>
    </row>
    <row r="659" customFormat="false" ht="13.8" hidden="false" customHeight="false" outlineLevel="0" collapsed="false">
      <c r="A659" s="0" t="s">
        <v>402</v>
      </c>
      <c r="B659" s="0" t="s">
        <v>402</v>
      </c>
    </row>
    <row r="660" customFormat="false" ht="13.8" hidden="false" customHeight="false" outlineLevel="0" collapsed="false">
      <c r="A660" s="0" t="s">
        <v>815</v>
      </c>
      <c r="B660" s="0" t="s">
        <v>815</v>
      </c>
    </row>
    <row r="661" customFormat="false" ht="13.8" hidden="false" customHeight="false" outlineLevel="0" collapsed="false">
      <c r="A661" s="0" t="s">
        <v>96</v>
      </c>
      <c r="B661" s="0" t="s">
        <v>96</v>
      </c>
    </row>
    <row r="662" customFormat="false" ht="13.8" hidden="false" customHeight="false" outlineLevel="0" collapsed="false">
      <c r="A662" s="0" t="s">
        <v>273</v>
      </c>
      <c r="B662" s="0" t="s">
        <v>273</v>
      </c>
    </row>
    <row r="663" customFormat="false" ht="13.8" hidden="false" customHeight="false" outlineLevel="0" collapsed="false">
      <c r="A663" s="0" t="s">
        <v>816</v>
      </c>
      <c r="B663" s="0" t="s">
        <v>816</v>
      </c>
    </row>
    <row r="664" customFormat="false" ht="13.8" hidden="false" customHeight="false" outlineLevel="0" collapsed="false">
      <c r="A664" s="0" t="s">
        <v>817</v>
      </c>
      <c r="B664" s="0" t="s">
        <v>450</v>
      </c>
    </row>
    <row r="665" customFormat="false" ht="13.8" hidden="false" customHeight="false" outlineLevel="0" collapsed="false">
      <c r="A665" s="0" t="s">
        <v>210</v>
      </c>
      <c r="B665" s="0" t="s">
        <v>210</v>
      </c>
    </row>
    <row r="666" customFormat="false" ht="13.8" hidden="false" customHeight="false" outlineLevel="0" collapsed="false">
      <c r="A666" s="0" t="s">
        <v>495</v>
      </c>
      <c r="B666" s="0" t="s">
        <v>495</v>
      </c>
    </row>
    <row r="667" customFormat="false" ht="13.8" hidden="false" customHeight="false" outlineLevel="0" collapsed="false">
      <c r="A667" s="0" t="s">
        <v>354</v>
      </c>
      <c r="B667" s="0" t="s">
        <v>354</v>
      </c>
    </row>
    <row r="668" customFormat="false" ht="13.8" hidden="false" customHeight="false" outlineLevel="0" collapsed="false">
      <c r="A668" s="0" t="s">
        <v>821</v>
      </c>
      <c r="B668" s="0" t="s">
        <v>821</v>
      </c>
    </row>
    <row r="669" customFormat="false" ht="13.8" hidden="false" customHeight="false" outlineLevel="0" collapsed="false">
      <c r="A669" s="0" t="s">
        <v>392</v>
      </c>
      <c r="B669" s="0" t="s">
        <v>392</v>
      </c>
    </row>
    <row r="670" customFormat="false" ht="13.8" hidden="false" customHeight="false" outlineLevel="0" collapsed="false">
      <c r="A670" s="0" t="s">
        <v>324</v>
      </c>
      <c r="B670" s="0" t="s">
        <v>324</v>
      </c>
    </row>
    <row r="671" customFormat="false" ht="13.8" hidden="false" customHeight="false" outlineLevel="0" collapsed="false">
      <c r="A671" s="0" t="s">
        <v>11</v>
      </c>
      <c r="B671" s="0" t="s">
        <v>348</v>
      </c>
    </row>
    <row r="672" customFormat="false" ht="13.8" hidden="false" customHeight="false" outlineLevel="0" collapsed="false">
      <c r="A672" s="0" t="s">
        <v>800</v>
      </c>
      <c r="B672" s="0" t="s">
        <v>800</v>
      </c>
    </row>
    <row r="673" customFormat="false" ht="13.8" hidden="false" customHeight="false" outlineLevel="0" collapsed="false">
      <c r="A673" s="0" t="s">
        <v>790</v>
      </c>
      <c r="B673" s="0" t="s">
        <v>374</v>
      </c>
    </row>
    <row r="674" customFormat="false" ht="13.8" hidden="false" customHeight="false" outlineLevel="0" collapsed="false">
      <c r="A674" s="0" t="s">
        <v>10</v>
      </c>
      <c r="B674" s="0" t="s">
        <v>130</v>
      </c>
    </row>
    <row r="675" customFormat="false" ht="13.8" hidden="false" customHeight="false" outlineLevel="0" collapsed="false">
      <c r="A675" s="0" t="s">
        <v>21</v>
      </c>
      <c r="B675" s="0" t="s">
        <v>485</v>
      </c>
    </row>
    <row r="676" customFormat="false" ht="13.8" hidden="false" customHeight="false" outlineLevel="0" collapsed="false">
      <c r="A676" s="0" t="s">
        <v>801</v>
      </c>
      <c r="B676" s="0" t="s">
        <v>801</v>
      </c>
    </row>
    <row r="677" customFormat="false" ht="13.8" hidden="false" customHeight="false" outlineLevel="0" collapsed="false">
      <c r="A677" s="0" t="s">
        <v>23</v>
      </c>
      <c r="B677" s="0" t="s">
        <v>919</v>
      </c>
    </row>
    <row r="678" customFormat="false" ht="13.8" hidden="false" customHeight="false" outlineLevel="0" collapsed="false">
      <c r="A678" s="0" t="s">
        <v>802</v>
      </c>
      <c r="B678" s="0" t="s">
        <v>802</v>
      </c>
    </row>
    <row r="679" customFormat="false" ht="13.8" hidden="false" customHeight="false" outlineLevel="0" collapsed="false">
      <c r="A679" s="0" t="s">
        <v>803</v>
      </c>
      <c r="B679" s="0" t="s">
        <v>803</v>
      </c>
    </row>
    <row r="680" customFormat="false" ht="13.8" hidden="false" customHeight="false" outlineLevel="0" collapsed="false">
      <c r="A680" s="0" t="s">
        <v>393</v>
      </c>
      <c r="B680" s="0" t="s">
        <v>393</v>
      </c>
    </row>
    <row r="681" customFormat="false" ht="13.8" hidden="false" customHeight="false" outlineLevel="0" collapsed="false">
      <c r="A681" s="0" t="s">
        <v>232</v>
      </c>
      <c r="B681" s="0" t="s">
        <v>233</v>
      </c>
    </row>
    <row r="682" customFormat="false" ht="13.8" hidden="false" customHeight="false" outlineLevel="0" collapsed="false">
      <c r="A682" s="0" t="s">
        <v>805</v>
      </c>
      <c r="B682" s="0" t="s">
        <v>805</v>
      </c>
    </row>
    <row r="683" customFormat="false" ht="13.8" hidden="false" customHeight="false" outlineLevel="0" collapsed="false">
      <c r="A683" s="0" t="s">
        <v>570</v>
      </c>
      <c r="B683" s="0" t="s">
        <v>456</v>
      </c>
    </row>
    <row r="684" customFormat="false" ht="13.8" hidden="false" customHeight="false" outlineLevel="0" collapsed="false">
      <c r="A684" s="0" t="s">
        <v>14</v>
      </c>
      <c r="B684" s="0" t="s">
        <v>398</v>
      </c>
    </row>
    <row r="685" customFormat="false" ht="13.8" hidden="false" customHeight="false" outlineLevel="0" collapsed="false">
      <c r="A685" s="0" t="s">
        <v>165</v>
      </c>
      <c r="B685" s="0" t="s">
        <v>165</v>
      </c>
    </row>
    <row r="686" customFormat="false" ht="13.8" hidden="false" customHeight="false" outlineLevel="0" collapsed="false">
      <c r="A686" s="0" t="s">
        <v>382</v>
      </c>
      <c r="B686" s="0" t="s">
        <v>382</v>
      </c>
    </row>
    <row r="687" customFormat="false" ht="13.8" hidden="false" customHeight="false" outlineLevel="0" collapsed="false">
      <c r="A687" s="0" t="s">
        <v>825</v>
      </c>
      <c r="B687" s="0" t="s">
        <v>825</v>
      </c>
    </row>
    <row r="688" customFormat="false" ht="13.8" hidden="false" customHeight="false" outlineLevel="0" collapsed="false">
      <c r="A688" s="0" t="s">
        <v>826</v>
      </c>
      <c r="B688" s="0" t="s">
        <v>826</v>
      </c>
    </row>
    <row r="689" customFormat="false" ht="13.8" hidden="false" customHeight="false" outlineLevel="0" collapsed="false">
      <c r="A689" s="0" t="s">
        <v>391</v>
      </c>
      <c r="B689" s="0" t="s">
        <v>391</v>
      </c>
    </row>
    <row r="690" customFormat="false" ht="13.8" hidden="false" customHeight="false" outlineLevel="0" collapsed="false">
      <c r="A690" s="0" t="s">
        <v>96</v>
      </c>
      <c r="B690" s="0" t="s">
        <v>96</v>
      </c>
    </row>
    <row r="691" customFormat="false" ht="13.8" hidden="false" customHeight="false" outlineLevel="0" collapsed="false">
      <c r="A691" s="0" t="s">
        <v>228</v>
      </c>
      <c r="B691" s="0" t="s">
        <v>228</v>
      </c>
    </row>
    <row r="692" customFormat="false" ht="13.8" hidden="false" customHeight="false" outlineLevel="0" collapsed="false">
      <c r="A692" s="0" t="s">
        <v>828</v>
      </c>
      <c r="B692" s="0" t="s">
        <v>828</v>
      </c>
    </row>
    <row r="693" customFormat="false" ht="13.8" hidden="false" customHeight="false" outlineLevel="0" collapsed="false">
      <c r="A693" s="0" t="s">
        <v>348</v>
      </c>
      <c r="B693" s="0" t="s">
        <v>348</v>
      </c>
    </row>
    <row r="694" customFormat="false" ht="13.8" hidden="false" customHeight="false" outlineLevel="0" collapsed="false">
      <c r="A694" s="0" t="s">
        <v>192</v>
      </c>
      <c r="B694" s="0" t="s">
        <v>192</v>
      </c>
    </row>
    <row r="695" customFormat="false" ht="13.8" hidden="false" customHeight="false" outlineLevel="0" collapsed="false">
      <c r="A695" s="0" t="s">
        <v>831</v>
      </c>
      <c r="B695" s="0" t="s">
        <v>831</v>
      </c>
    </row>
    <row r="696" customFormat="false" ht="13.8" hidden="false" customHeight="false" outlineLevel="0" collapsed="false">
      <c r="A696" s="0" t="s">
        <v>832</v>
      </c>
      <c r="B696" s="0" t="s">
        <v>832</v>
      </c>
    </row>
    <row r="697" customFormat="false" ht="13.8" hidden="false" customHeight="false" outlineLevel="0" collapsed="false">
      <c r="A697" s="0" t="s">
        <v>833</v>
      </c>
      <c r="B697" s="0" t="s">
        <v>833</v>
      </c>
    </row>
    <row r="698" customFormat="false" ht="13.8" hidden="false" customHeight="false" outlineLevel="0" collapsed="false">
      <c r="A698" s="0" t="s">
        <v>485</v>
      </c>
      <c r="B698" s="0" t="s">
        <v>485</v>
      </c>
    </row>
    <row r="699" customFormat="false" ht="13.8" hidden="false" customHeight="false" outlineLevel="0" collapsed="false">
      <c r="A699" s="0" t="s">
        <v>509</v>
      </c>
      <c r="B699" s="0" t="s">
        <v>509</v>
      </c>
    </row>
    <row r="700" customFormat="false" ht="13.8" hidden="false" customHeight="false" outlineLevel="0" collapsed="false">
      <c r="A700" s="0" t="s">
        <v>834</v>
      </c>
      <c r="B700" s="0" t="s">
        <v>834</v>
      </c>
    </row>
    <row r="701" customFormat="false" ht="13.8" hidden="false" customHeight="false" outlineLevel="0" collapsed="false">
      <c r="A701" s="0" t="s">
        <v>476</v>
      </c>
      <c r="B701" s="0" t="s">
        <v>476</v>
      </c>
    </row>
    <row r="702" customFormat="false" ht="13.8" hidden="false" customHeight="false" outlineLevel="0" collapsed="false">
      <c r="A702" s="0" t="s">
        <v>266</v>
      </c>
      <c r="B702" s="0" t="s">
        <v>266</v>
      </c>
    </row>
    <row r="703" customFormat="false" ht="13.8" hidden="false" customHeight="false" outlineLevel="0" collapsed="false">
      <c r="A703" s="0" t="s">
        <v>377</v>
      </c>
      <c r="B703" s="0" t="s">
        <v>377</v>
      </c>
    </row>
    <row r="704" customFormat="false" ht="13.8" hidden="false" customHeight="false" outlineLevel="0" collapsed="false">
      <c r="A704" s="0" t="s">
        <v>494</v>
      </c>
      <c r="B704" s="0" t="s">
        <v>494</v>
      </c>
    </row>
    <row r="705" customFormat="false" ht="13.8" hidden="false" customHeight="false" outlineLevel="0" collapsed="false">
      <c r="A705" s="0" t="s">
        <v>835</v>
      </c>
      <c r="B705" s="0" t="s">
        <v>96</v>
      </c>
    </row>
    <row r="706" customFormat="false" ht="13.8" hidden="false" customHeight="false" outlineLevel="0" collapsed="false">
      <c r="A706" s="0" t="s">
        <v>534</v>
      </c>
      <c r="B706" s="0" t="s">
        <v>534</v>
      </c>
    </row>
    <row r="707" customFormat="false" ht="13.8" hidden="false" customHeight="false" outlineLevel="0" collapsed="false">
      <c r="A707" s="0" t="s">
        <v>222</v>
      </c>
      <c r="B707" s="0" t="s">
        <v>222</v>
      </c>
    </row>
    <row r="708" customFormat="false" ht="13.8" hidden="false" customHeight="false" outlineLevel="0" collapsed="false">
      <c r="A708" s="0" t="s">
        <v>836</v>
      </c>
      <c r="B708" s="0" t="s">
        <v>836</v>
      </c>
    </row>
    <row r="709" customFormat="false" ht="13.8" hidden="false" customHeight="false" outlineLevel="0" collapsed="false">
      <c r="A709" s="0" t="s">
        <v>273</v>
      </c>
      <c r="B709" s="0" t="s">
        <v>273</v>
      </c>
    </row>
    <row r="710" customFormat="false" ht="13.8" hidden="false" customHeight="false" outlineLevel="0" collapsed="false">
      <c r="A710" s="0" t="s">
        <v>837</v>
      </c>
      <c r="B710" s="0" t="s">
        <v>423</v>
      </c>
    </row>
    <row r="711" customFormat="false" ht="13.8" hidden="false" customHeight="false" outlineLevel="0" collapsed="false">
      <c r="A711" s="0" t="s">
        <v>7683</v>
      </c>
      <c r="B711" s="0" t="s">
        <v>7683</v>
      </c>
    </row>
    <row r="712" customFormat="false" ht="13.8" hidden="false" customHeight="false" outlineLevel="0" collapsed="false">
      <c r="A712" s="0" t="s">
        <v>7667</v>
      </c>
      <c r="B712" s="0" t="s">
        <v>7667</v>
      </c>
    </row>
    <row r="713" customFormat="false" ht="13.8" hidden="false" customHeight="false" outlineLevel="0" collapsed="false">
      <c r="A713" s="0" t="s">
        <v>839</v>
      </c>
      <c r="B713" s="0" t="s">
        <v>839</v>
      </c>
    </row>
    <row r="714" customFormat="false" ht="13.8" hidden="false" customHeight="false" outlineLevel="0" collapsed="false">
      <c r="A714" s="0" t="s">
        <v>840</v>
      </c>
      <c r="B714" s="0" t="s">
        <v>840</v>
      </c>
    </row>
    <row r="715" customFormat="false" ht="13.8" hidden="false" customHeight="false" outlineLevel="0" collapsed="false">
      <c r="A715" s="0" t="s">
        <v>456</v>
      </c>
      <c r="B715" s="0" t="s">
        <v>456</v>
      </c>
    </row>
    <row r="716" customFormat="false" ht="13.8" hidden="false" customHeight="false" outlineLevel="0" collapsed="false">
      <c r="A716" s="0" t="s">
        <v>398</v>
      </c>
      <c r="B716" s="0" t="s">
        <v>398</v>
      </c>
    </row>
    <row r="717" customFormat="false" ht="13.8" hidden="false" customHeight="false" outlineLevel="0" collapsed="false">
      <c r="A717" s="0" t="s">
        <v>391</v>
      </c>
      <c r="B717" s="0" t="s">
        <v>391</v>
      </c>
    </row>
    <row r="718" customFormat="false" ht="13.8" hidden="false" customHeight="false" outlineLevel="0" collapsed="false">
      <c r="A718" s="0" t="s">
        <v>102</v>
      </c>
      <c r="B718" s="0" t="s">
        <v>102</v>
      </c>
    </row>
    <row r="719" customFormat="false" ht="13.8" hidden="false" customHeight="false" outlineLevel="0" collapsed="false">
      <c r="A719" s="0" t="s">
        <v>382</v>
      </c>
      <c r="B719" s="0" t="s">
        <v>382</v>
      </c>
    </row>
    <row r="720" customFormat="false" ht="13.8" hidden="false" customHeight="false" outlineLevel="0" collapsed="false">
      <c r="A720" s="0" t="s">
        <v>841</v>
      </c>
      <c r="B720" s="0" t="s">
        <v>841</v>
      </c>
    </row>
    <row r="721" customFormat="false" ht="13.8" hidden="false" customHeight="false" outlineLevel="0" collapsed="false">
      <c r="A721" s="0" t="s">
        <v>399</v>
      </c>
      <c r="B721" s="0" t="s">
        <v>399</v>
      </c>
    </row>
    <row r="722" customFormat="false" ht="13.8" hidden="false" customHeight="false" outlineLevel="0" collapsed="false">
      <c r="A722" s="0" t="s">
        <v>842</v>
      </c>
      <c r="B722" s="0" t="s">
        <v>842</v>
      </c>
    </row>
    <row r="723" customFormat="false" ht="13.8" hidden="false" customHeight="false" outlineLevel="0" collapsed="false">
      <c r="A723" s="0" t="s">
        <v>843</v>
      </c>
      <c r="B723" s="0" t="s">
        <v>843</v>
      </c>
    </row>
    <row r="724" customFormat="false" ht="13.8" hidden="false" customHeight="false" outlineLevel="0" collapsed="false">
      <c r="A724" s="0" t="s">
        <v>44</v>
      </c>
      <c r="B724" s="0" t="s">
        <v>44</v>
      </c>
    </row>
    <row r="725" customFormat="false" ht="13.8" hidden="false" customHeight="false" outlineLevel="0" collapsed="false">
      <c r="A725" s="0" t="s">
        <v>96</v>
      </c>
      <c r="B725" s="0" t="s">
        <v>96</v>
      </c>
    </row>
    <row r="726" customFormat="false" ht="13.8" hidden="false" customHeight="false" outlineLevel="0" collapsed="false">
      <c r="A726" s="0" t="s">
        <v>844</v>
      </c>
      <c r="B726" s="0" t="s">
        <v>462</v>
      </c>
    </row>
    <row r="727" customFormat="false" ht="13.8" hidden="false" customHeight="false" outlineLevel="0" collapsed="false">
      <c r="A727" s="0" t="s">
        <v>489</v>
      </c>
      <c r="B727" s="0" t="s">
        <v>489</v>
      </c>
    </row>
    <row r="728" customFormat="false" ht="13.8" hidden="false" customHeight="false" outlineLevel="0" collapsed="false">
      <c r="A728" s="0" t="s">
        <v>96</v>
      </c>
      <c r="B728" s="0" t="s">
        <v>96</v>
      </c>
    </row>
    <row r="729" customFormat="false" ht="13.8" hidden="false" customHeight="false" outlineLevel="0" collapsed="false">
      <c r="A729" s="0" t="s">
        <v>273</v>
      </c>
      <c r="B729" s="0" t="s">
        <v>273</v>
      </c>
    </row>
    <row r="730" customFormat="false" ht="13.8" hidden="false" customHeight="false" outlineLevel="0" collapsed="false">
      <c r="A730" s="0" t="s">
        <v>315</v>
      </c>
      <c r="B730" s="0" t="s">
        <v>315</v>
      </c>
    </row>
    <row r="731" customFormat="false" ht="13.8" hidden="false" customHeight="false" outlineLevel="0" collapsed="false">
      <c r="A731" s="0" t="s">
        <v>443</v>
      </c>
      <c r="B731" s="0" t="s">
        <v>443</v>
      </c>
    </row>
    <row r="732" customFormat="false" ht="13.8" hidden="false" customHeight="false" outlineLevel="0" collapsed="false">
      <c r="A732" s="0" t="s">
        <v>201</v>
      </c>
      <c r="B732" s="0" t="s">
        <v>201</v>
      </c>
    </row>
    <row r="733" customFormat="false" ht="13.8" hidden="false" customHeight="false" outlineLevel="0" collapsed="false">
      <c r="A733" s="0" t="s">
        <v>846</v>
      </c>
      <c r="B733" s="0" t="s">
        <v>846</v>
      </c>
    </row>
    <row r="734" customFormat="false" ht="13.8" hidden="false" customHeight="false" outlineLevel="0" collapsed="false">
      <c r="A734" s="0" t="s">
        <v>803</v>
      </c>
      <c r="B734" s="0" t="s">
        <v>803</v>
      </c>
    </row>
    <row r="735" customFormat="false" ht="13.8" hidden="false" customHeight="false" outlineLevel="0" collapsed="false">
      <c r="A735" s="0" t="s">
        <v>485</v>
      </c>
      <c r="B735" s="0" t="s">
        <v>485</v>
      </c>
    </row>
    <row r="736" customFormat="false" ht="13.8" hidden="false" customHeight="false" outlineLevel="0" collapsed="false">
      <c r="A736" s="0" t="s">
        <v>488</v>
      </c>
      <c r="B736" s="0" t="s">
        <v>488</v>
      </c>
    </row>
    <row r="737" customFormat="false" ht="13.8" hidden="false" customHeight="false" outlineLevel="0" collapsed="false">
      <c r="A737" s="0" t="s">
        <v>394</v>
      </c>
      <c r="B737" s="0" t="s">
        <v>394</v>
      </c>
    </row>
    <row r="738" customFormat="false" ht="13.8" hidden="false" customHeight="false" outlineLevel="0" collapsed="false">
      <c r="A738" s="0" t="s">
        <v>382</v>
      </c>
      <c r="B738" s="0" t="s">
        <v>382</v>
      </c>
    </row>
    <row r="739" customFormat="false" ht="13.8" hidden="false" customHeight="false" outlineLevel="0" collapsed="false">
      <c r="A739" s="0" t="s">
        <v>391</v>
      </c>
      <c r="B739" s="0" t="s">
        <v>391</v>
      </c>
    </row>
    <row r="740" customFormat="false" ht="13.8" hidden="false" customHeight="false" outlineLevel="0" collapsed="false">
      <c r="A740" s="0" t="s">
        <v>821</v>
      </c>
      <c r="B740" s="0" t="s">
        <v>821</v>
      </c>
    </row>
    <row r="741" customFormat="false" ht="13.8" hidden="false" customHeight="false" outlineLevel="0" collapsed="false">
      <c r="A741" s="0" t="s">
        <v>456</v>
      </c>
      <c r="B741" s="0" t="s">
        <v>456</v>
      </c>
    </row>
    <row r="742" customFormat="false" ht="13.8" hidden="false" customHeight="false" outlineLevel="0" collapsed="false">
      <c r="A742" s="0" t="s">
        <v>847</v>
      </c>
      <c r="B742" s="0" t="s">
        <v>7794</v>
      </c>
    </row>
    <row r="743" customFormat="false" ht="13.8" hidden="false" customHeight="false" outlineLevel="0" collapsed="false">
      <c r="A743" s="0" t="s">
        <v>848</v>
      </c>
      <c r="B743" s="0" t="s">
        <v>848</v>
      </c>
    </row>
    <row r="744" customFormat="false" ht="13.8" hidden="false" customHeight="false" outlineLevel="0" collapsed="false">
      <c r="A744" s="0" t="s">
        <v>849</v>
      </c>
      <c r="B744" s="0" t="s">
        <v>849</v>
      </c>
    </row>
    <row r="745" customFormat="false" ht="13.8" hidden="false" customHeight="false" outlineLevel="0" collapsed="false">
      <c r="A745" s="0" t="s">
        <v>7681</v>
      </c>
      <c r="B745" s="0" t="s">
        <v>7795</v>
      </c>
    </row>
    <row r="746" customFormat="false" ht="13.8" hidden="false" customHeight="false" outlineLevel="0" collapsed="false">
      <c r="A746" s="0" t="s">
        <v>833</v>
      </c>
      <c r="B746" s="0" t="s">
        <v>833</v>
      </c>
    </row>
    <row r="747" customFormat="false" ht="13.8" hidden="false" customHeight="false" outlineLevel="0" collapsed="false">
      <c r="A747" s="0" t="s">
        <v>38</v>
      </c>
      <c r="B747" s="0" t="s">
        <v>38</v>
      </c>
    </row>
    <row r="748" customFormat="false" ht="13.8" hidden="false" customHeight="false" outlineLevel="0" collapsed="false">
      <c r="A748" s="0" t="s">
        <v>309</v>
      </c>
      <c r="B748" s="0" t="s">
        <v>309</v>
      </c>
    </row>
    <row r="749" customFormat="false" ht="13.8" hidden="false" customHeight="false" outlineLevel="0" collapsed="false">
      <c r="A749" s="0" t="s">
        <v>851</v>
      </c>
      <c r="B749" s="0" t="s">
        <v>851</v>
      </c>
    </row>
    <row r="750" customFormat="false" ht="13.8" hidden="false" customHeight="false" outlineLevel="0" collapsed="false">
      <c r="A750" s="0" t="s">
        <v>102</v>
      </c>
      <c r="B750" s="0" t="s">
        <v>102</v>
      </c>
    </row>
    <row r="751" customFormat="false" ht="13.8" hidden="false" customHeight="false" outlineLevel="0" collapsed="false">
      <c r="A751" s="0" t="s">
        <v>575</v>
      </c>
      <c r="B751" s="0" t="s">
        <v>462</v>
      </c>
    </row>
    <row r="752" customFormat="false" ht="13.8" hidden="false" customHeight="false" outlineLevel="0" collapsed="false">
      <c r="A752" s="0" t="s">
        <v>456</v>
      </c>
      <c r="B752" s="0" t="s">
        <v>456</v>
      </c>
    </row>
    <row r="753" customFormat="false" ht="13.8" hidden="false" customHeight="false" outlineLevel="0" collapsed="false">
      <c r="A753" s="0" t="s">
        <v>489</v>
      </c>
      <c r="B753" s="0" t="s">
        <v>489</v>
      </c>
    </row>
    <row r="754" customFormat="false" ht="13.8" hidden="false" customHeight="false" outlineLevel="0" collapsed="false">
      <c r="A754" s="0" t="s">
        <v>249</v>
      </c>
      <c r="B754" s="0" t="s">
        <v>249</v>
      </c>
    </row>
    <row r="755" customFormat="false" ht="13.8" hidden="false" customHeight="false" outlineLevel="0" collapsed="false">
      <c r="A755" s="0" t="s">
        <v>391</v>
      </c>
      <c r="B755" s="0" t="s">
        <v>391</v>
      </c>
    </row>
    <row r="756" customFormat="false" ht="13.8" hidden="false" customHeight="false" outlineLevel="0" collapsed="false">
      <c r="A756" s="0" t="s">
        <v>382</v>
      </c>
      <c r="B756" s="0" t="s">
        <v>382</v>
      </c>
    </row>
    <row r="757" customFormat="false" ht="13.8" hidden="false" customHeight="false" outlineLevel="0" collapsed="false">
      <c r="A757" s="0" t="s">
        <v>852</v>
      </c>
      <c r="B757" s="0" t="s">
        <v>852</v>
      </c>
    </row>
    <row r="758" customFormat="false" ht="13.8" hidden="false" customHeight="false" outlineLevel="0" collapsed="false">
      <c r="A758" s="0" t="s">
        <v>474</v>
      </c>
      <c r="B758" s="0" t="s">
        <v>474</v>
      </c>
    </row>
    <row r="759" customFormat="false" ht="13.8" hidden="false" customHeight="false" outlineLevel="0" collapsed="false">
      <c r="A759" s="0" t="s">
        <v>96</v>
      </c>
      <c r="B759" s="0" t="s">
        <v>96</v>
      </c>
    </row>
    <row r="760" customFormat="false" ht="13.8" hidden="false" customHeight="false" outlineLevel="0" collapsed="false">
      <c r="A760" s="0" t="s">
        <v>480</v>
      </c>
      <c r="B760" s="0" t="s">
        <v>480</v>
      </c>
    </row>
    <row r="761" customFormat="false" ht="13.8" hidden="false" customHeight="false" outlineLevel="0" collapsed="false">
      <c r="A761" s="0" t="s">
        <v>38</v>
      </c>
      <c r="B761" s="0" t="s">
        <v>38</v>
      </c>
    </row>
    <row r="762" customFormat="false" ht="13.8" hidden="false" customHeight="false" outlineLevel="0" collapsed="false">
      <c r="A762" s="0" t="s">
        <v>309</v>
      </c>
      <c r="B762" s="0" t="s">
        <v>309</v>
      </c>
    </row>
    <row r="763" customFormat="false" ht="13.8" hidden="false" customHeight="false" outlineLevel="0" collapsed="false">
      <c r="A763" s="0" t="s">
        <v>851</v>
      </c>
      <c r="B763" s="0" t="s">
        <v>851</v>
      </c>
    </row>
    <row r="764" customFormat="false" ht="13.8" hidden="false" customHeight="false" outlineLevel="0" collapsed="false">
      <c r="A764" s="0" t="s">
        <v>575</v>
      </c>
      <c r="B764" s="0" t="s">
        <v>462</v>
      </c>
    </row>
    <row r="765" customFormat="false" ht="13.8" hidden="false" customHeight="false" outlineLevel="0" collapsed="false">
      <c r="A765" s="0" t="s">
        <v>456</v>
      </c>
      <c r="B765" s="0" t="s">
        <v>456</v>
      </c>
    </row>
    <row r="766" customFormat="false" ht="13.8" hidden="false" customHeight="false" outlineLevel="0" collapsed="false">
      <c r="A766" s="0" t="s">
        <v>489</v>
      </c>
      <c r="B766" s="0" t="s">
        <v>489</v>
      </c>
    </row>
    <row r="767" customFormat="false" ht="13.8" hidden="false" customHeight="false" outlineLevel="0" collapsed="false">
      <c r="A767" s="0" t="s">
        <v>249</v>
      </c>
      <c r="B767" s="0" t="s">
        <v>249</v>
      </c>
    </row>
    <row r="768" customFormat="false" ht="13.8" hidden="false" customHeight="false" outlineLevel="0" collapsed="false">
      <c r="A768" s="0" t="s">
        <v>391</v>
      </c>
      <c r="B768" s="0" t="s">
        <v>391</v>
      </c>
    </row>
    <row r="769" customFormat="false" ht="13.8" hidden="false" customHeight="false" outlineLevel="0" collapsed="false">
      <c r="A769" s="0" t="s">
        <v>382</v>
      </c>
      <c r="B769" s="0" t="s">
        <v>382</v>
      </c>
    </row>
    <row r="770" customFormat="false" ht="13.8" hidden="false" customHeight="false" outlineLevel="0" collapsed="false">
      <c r="A770" s="0" t="s">
        <v>852</v>
      </c>
      <c r="B770" s="0" t="s">
        <v>852</v>
      </c>
    </row>
    <row r="771" customFormat="false" ht="13.8" hidden="false" customHeight="false" outlineLevel="0" collapsed="false">
      <c r="A771" s="0" t="s">
        <v>474</v>
      </c>
      <c r="B771" s="0" t="s">
        <v>474</v>
      </c>
    </row>
    <row r="772" customFormat="false" ht="13.8" hidden="false" customHeight="false" outlineLevel="0" collapsed="false">
      <c r="A772" s="0" t="s">
        <v>96</v>
      </c>
      <c r="B772" s="0" t="s">
        <v>96</v>
      </c>
    </row>
    <row r="773" customFormat="false" ht="13.8" hidden="false" customHeight="false" outlineLevel="0" collapsed="false">
      <c r="A773" s="0" t="s">
        <v>821</v>
      </c>
      <c r="B773" s="0" t="s">
        <v>821</v>
      </c>
    </row>
    <row r="774" customFormat="false" ht="13.8" hidden="false" customHeight="false" outlineLevel="0" collapsed="false">
      <c r="A774" s="0" t="s">
        <v>439</v>
      </c>
      <c r="B774" s="0" t="s">
        <v>439</v>
      </c>
    </row>
    <row r="775" customFormat="false" ht="13.8" hidden="false" customHeight="false" outlineLevel="0" collapsed="false">
      <c r="A775" s="0" t="s">
        <v>414</v>
      </c>
      <c r="B775" s="0" t="s">
        <v>414</v>
      </c>
    </row>
    <row r="776" customFormat="false" ht="13.8" hidden="false" customHeight="false" outlineLevel="0" collapsed="false">
      <c r="A776" s="0" t="s">
        <v>405</v>
      </c>
      <c r="B776" s="0" t="s">
        <v>405</v>
      </c>
    </row>
    <row r="777" customFormat="false" ht="13.8" hidden="false" customHeight="false" outlineLevel="0" collapsed="false">
      <c r="A777" s="0" t="s">
        <v>853</v>
      </c>
      <c r="B777" s="0" t="s">
        <v>853</v>
      </c>
    </row>
    <row r="778" customFormat="false" ht="13.8" hidden="false" customHeight="false" outlineLevel="0" collapsed="false">
      <c r="A778" s="0" t="s">
        <v>44</v>
      </c>
      <c r="B778" s="0" t="s">
        <v>44</v>
      </c>
    </row>
    <row r="779" customFormat="false" ht="13.8" hidden="false" customHeight="false" outlineLevel="0" collapsed="false">
      <c r="A779" s="0" t="s">
        <v>318</v>
      </c>
      <c r="B779" s="0" t="s">
        <v>318</v>
      </c>
    </row>
    <row r="780" customFormat="false" ht="13.8" hidden="false" customHeight="false" outlineLevel="0" collapsed="false">
      <c r="A780" s="0" t="s">
        <v>201</v>
      </c>
      <c r="B780" s="0" t="s">
        <v>201</v>
      </c>
    </row>
    <row r="781" customFormat="false" ht="13.8" hidden="false" customHeight="false" outlineLevel="0" collapsed="false">
      <c r="A781" s="0" t="s">
        <v>854</v>
      </c>
      <c r="B781" s="0" t="s">
        <v>854</v>
      </c>
    </row>
    <row r="782" customFormat="false" ht="13.8" hidden="false" customHeight="false" outlineLevel="0" collapsed="false">
      <c r="A782" s="0" t="s">
        <v>803</v>
      </c>
      <c r="B782" s="0" t="s">
        <v>803</v>
      </c>
    </row>
    <row r="783" customFormat="false" ht="13.8" hidden="false" customHeight="false" outlineLevel="0" collapsed="false">
      <c r="A783" s="0" t="s">
        <v>309</v>
      </c>
      <c r="B783" s="0" t="s">
        <v>309</v>
      </c>
    </row>
    <row r="784" customFormat="false" ht="13.8" hidden="false" customHeight="false" outlineLevel="0" collapsed="false">
      <c r="A784" s="0" t="s">
        <v>855</v>
      </c>
      <c r="B784" s="0" t="s">
        <v>855</v>
      </c>
    </row>
    <row r="785" customFormat="false" ht="13.8" hidden="false" customHeight="false" outlineLevel="0" collapsed="false">
      <c r="A785" s="0" t="s">
        <v>462</v>
      </c>
      <c r="B785" s="0" t="s">
        <v>462</v>
      </c>
    </row>
    <row r="786" customFormat="false" ht="13.8" hidden="false" customHeight="false" outlineLevel="0" collapsed="false">
      <c r="A786" s="0" t="s">
        <v>291</v>
      </c>
      <c r="B786" s="0" t="s">
        <v>291</v>
      </c>
    </row>
    <row r="787" customFormat="false" ht="13.8" hidden="false" customHeight="false" outlineLevel="0" collapsed="false">
      <c r="A787" s="0" t="s">
        <v>96</v>
      </c>
      <c r="B787" s="0" t="s">
        <v>96</v>
      </c>
    </row>
    <row r="788" customFormat="false" ht="13.8" hidden="false" customHeight="false" outlineLevel="0" collapsed="false">
      <c r="A788" s="0" t="s">
        <v>382</v>
      </c>
      <c r="B788" s="0" t="s">
        <v>382</v>
      </c>
    </row>
    <row r="789" customFormat="false" ht="13.8" hidden="false" customHeight="false" outlineLevel="0" collapsed="false">
      <c r="A789" s="0" t="s">
        <v>456</v>
      </c>
      <c r="B789" s="0" t="s">
        <v>456</v>
      </c>
    </row>
    <row r="790" customFormat="false" ht="13.8" hidden="false" customHeight="false" outlineLevel="0" collapsed="false">
      <c r="A790" s="0" t="s">
        <v>398</v>
      </c>
      <c r="B790" s="0" t="s">
        <v>398</v>
      </c>
    </row>
    <row r="791" customFormat="false" ht="13.8" hidden="false" customHeight="false" outlineLevel="0" collapsed="false">
      <c r="A791" s="0" t="s">
        <v>391</v>
      </c>
      <c r="B791" s="0" t="s">
        <v>391</v>
      </c>
    </row>
    <row r="792" customFormat="false" ht="13.8" hidden="false" customHeight="false" outlineLevel="0" collapsed="false">
      <c r="A792" s="0" t="s">
        <v>354</v>
      </c>
      <c r="B792" s="0" t="s">
        <v>354</v>
      </c>
    </row>
    <row r="793" customFormat="false" ht="13.8" hidden="false" customHeight="false" outlineLevel="0" collapsed="false">
      <c r="A793" s="0" t="s">
        <v>485</v>
      </c>
      <c r="B793" s="0" t="s">
        <v>485</v>
      </c>
    </row>
    <row r="794" customFormat="false" ht="13.8" hidden="false" customHeight="false" outlineLevel="0" collapsed="false">
      <c r="A794" s="0" t="s">
        <v>192</v>
      </c>
      <c r="B794" s="0" t="s">
        <v>192</v>
      </c>
    </row>
    <row r="795" customFormat="false" ht="13.8" hidden="false" customHeight="false" outlineLevel="0" collapsed="false">
      <c r="A795" s="0" t="s">
        <v>348</v>
      </c>
      <c r="B795" s="0" t="s">
        <v>348</v>
      </c>
    </row>
    <row r="796" customFormat="false" ht="13.8" hidden="false" customHeight="false" outlineLevel="0" collapsed="false">
      <c r="A796" s="0" t="s">
        <v>374</v>
      </c>
      <c r="B796" s="0" t="s">
        <v>374</v>
      </c>
    </row>
    <row r="797" customFormat="false" ht="13.8" hidden="false" customHeight="false" outlineLevel="0" collapsed="false">
      <c r="A797" s="0" t="s">
        <v>318</v>
      </c>
      <c r="B797" s="0" t="s">
        <v>318</v>
      </c>
    </row>
    <row r="798" customFormat="false" ht="13.8" hidden="false" customHeight="false" outlineLevel="0" collapsed="false">
      <c r="A798" s="0" t="s">
        <v>201</v>
      </c>
      <c r="B798" s="0" t="s">
        <v>201</v>
      </c>
    </row>
    <row r="799" customFormat="false" ht="13.8" hidden="false" customHeight="false" outlineLevel="0" collapsed="false">
      <c r="A799" s="0" t="s">
        <v>345</v>
      </c>
      <c r="B799" s="0" t="s">
        <v>345</v>
      </c>
    </row>
    <row r="800" customFormat="false" ht="13.8" hidden="false" customHeight="false" outlineLevel="0" collapsed="false">
      <c r="A800" s="0" t="s">
        <v>854</v>
      </c>
      <c r="B800" s="0" t="s">
        <v>854</v>
      </c>
    </row>
    <row r="801" customFormat="false" ht="13.8" hidden="false" customHeight="false" outlineLevel="0" collapsed="false">
      <c r="A801" s="0" t="s">
        <v>803</v>
      </c>
      <c r="B801" s="0" t="s">
        <v>803</v>
      </c>
    </row>
    <row r="802" customFormat="false" ht="13.8" hidden="false" customHeight="false" outlineLevel="0" collapsed="false">
      <c r="A802" s="0" t="s">
        <v>309</v>
      </c>
      <c r="B802" s="0" t="s">
        <v>309</v>
      </c>
    </row>
    <row r="803" customFormat="false" ht="13.8" hidden="false" customHeight="false" outlineLevel="0" collapsed="false">
      <c r="A803" s="0" t="s">
        <v>855</v>
      </c>
      <c r="B803" s="0" t="s">
        <v>855</v>
      </c>
    </row>
    <row r="804" customFormat="false" ht="13.8" hidden="false" customHeight="false" outlineLevel="0" collapsed="false">
      <c r="A804" s="0" t="s">
        <v>856</v>
      </c>
      <c r="B804" s="0" t="s">
        <v>856</v>
      </c>
    </row>
    <row r="805" customFormat="false" ht="13.8" hidden="false" customHeight="false" outlineLevel="0" collapsed="false">
      <c r="A805" s="0" t="s">
        <v>462</v>
      </c>
      <c r="B805" s="0" t="s">
        <v>462</v>
      </c>
    </row>
    <row r="806" customFormat="false" ht="13.8" hidden="false" customHeight="false" outlineLevel="0" collapsed="false">
      <c r="A806" s="0" t="s">
        <v>291</v>
      </c>
      <c r="B806" s="0" t="s">
        <v>291</v>
      </c>
    </row>
    <row r="807" customFormat="false" ht="13.8" hidden="false" customHeight="false" outlineLevel="0" collapsed="false">
      <c r="A807" s="0" t="s">
        <v>96</v>
      </c>
      <c r="B807" s="0" t="s">
        <v>96</v>
      </c>
    </row>
    <row r="808" customFormat="false" ht="13.8" hidden="false" customHeight="false" outlineLevel="0" collapsed="false">
      <c r="A808" s="0" t="s">
        <v>382</v>
      </c>
      <c r="B808" s="0" t="s">
        <v>382</v>
      </c>
    </row>
    <row r="809" customFormat="false" ht="13.8" hidden="false" customHeight="false" outlineLevel="0" collapsed="false">
      <c r="A809" s="0" t="s">
        <v>456</v>
      </c>
      <c r="B809" s="0" t="s">
        <v>456</v>
      </c>
    </row>
    <row r="810" customFormat="false" ht="13.8" hidden="false" customHeight="false" outlineLevel="0" collapsed="false">
      <c r="A810" s="0" t="s">
        <v>398</v>
      </c>
      <c r="B810" s="0" t="s">
        <v>398</v>
      </c>
    </row>
    <row r="811" customFormat="false" ht="13.8" hidden="false" customHeight="false" outlineLevel="0" collapsed="false">
      <c r="A811" s="0" t="s">
        <v>391</v>
      </c>
      <c r="B811" s="0" t="s">
        <v>391</v>
      </c>
    </row>
    <row r="812" customFormat="false" ht="13.8" hidden="false" customHeight="false" outlineLevel="0" collapsed="false">
      <c r="A812" s="0" t="s">
        <v>312</v>
      </c>
      <c r="B812" s="0" t="s">
        <v>312</v>
      </c>
    </row>
    <row r="813" customFormat="false" ht="13.8" hidden="false" customHeight="false" outlineLevel="0" collapsed="false">
      <c r="A813" s="0" t="s">
        <v>399</v>
      </c>
      <c r="B813" s="0" t="s">
        <v>399</v>
      </c>
    </row>
    <row r="814" customFormat="false" ht="13.8" hidden="false" customHeight="false" outlineLevel="0" collapsed="false">
      <c r="A814" s="0" t="s">
        <v>857</v>
      </c>
      <c r="B814" s="0" t="s">
        <v>857</v>
      </c>
    </row>
    <row r="815" customFormat="false" ht="13.8" hidden="false" customHeight="false" outlineLevel="0" collapsed="false">
      <c r="A815" s="0" t="s">
        <v>807</v>
      </c>
      <c r="B815" s="0" t="s">
        <v>807</v>
      </c>
    </row>
    <row r="816" customFormat="false" ht="13.8" hidden="false" customHeight="false" outlineLevel="0" collapsed="false">
      <c r="A816" s="0" t="s">
        <v>858</v>
      </c>
      <c r="B816" s="0" t="s">
        <v>858</v>
      </c>
    </row>
    <row r="817" customFormat="false" ht="13.8" hidden="false" customHeight="false" outlineLevel="0" collapsed="false">
      <c r="A817" s="0" t="s">
        <v>859</v>
      </c>
      <c r="B817" s="0" t="s">
        <v>839</v>
      </c>
    </row>
    <row r="818" customFormat="false" ht="13.8" hidden="false" customHeight="false" outlineLevel="0" collapsed="false">
      <c r="A818" s="0" t="s">
        <v>44</v>
      </c>
      <c r="B818" s="0" t="s">
        <v>44</v>
      </c>
    </row>
    <row r="819" customFormat="false" ht="13.8" hidden="false" customHeight="false" outlineLevel="0" collapsed="false">
      <c r="A819" s="0" t="s">
        <v>11</v>
      </c>
      <c r="B819" s="0" t="s">
        <v>348</v>
      </c>
    </row>
    <row r="820" customFormat="false" ht="13.8" hidden="false" customHeight="false" outlineLevel="0" collapsed="false">
      <c r="A820" s="0" t="s">
        <v>192</v>
      </c>
      <c r="B820" s="0" t="s">
        <v>192</v>
      </c>
    </row>
    <row r="821" customFormat="false" ht="13.8" hidden="false" customHeight="false" outlineLevel="0" collapsed="false">
      <c r="A821" s="0" t="s">
        <v>790</v>
      </c>
      <c r="B821" s="0" t="s">
        <v>374</v>
      </c>
    </row>
    <row r="822" customFormat="false" ht="13.8" hidden="false" customHeight="false" outlineLevel="0" collapsed="false">
      <c r="A822" s="0" t="s">
        <v>801</v>
      </c>
      <c r="B822" s="0" t="s">
        <v>801</v>
      </c>
    </row>
    <row r="823" customFormat="false" ht="13.8" hidden="false" customHeight="false" outlineLevel="0" collapsed="false">
      <c r="A823" s="0" t="s">
        <v>23</v>
      </c>
      <c r="B823" s="0" t="s">
        <v>919</v>
      </c>
    </row>
    <row r="824" customFormat="false" ht="13.8" hidden="false" customHeight="false" outlineLevel="0" collapsed="false">
      <c r="A824" s="0" t="s">
        <v>802</v>
      </c>
      <c r="B824" s="0" t="s">
        <v>802</v>
      </c>
    </row>
    <row r="825" customFormat="false" ht="13.8" hidden="false" customHeight="false" outlineLevel="0" collapsed="false">
      <c r="A825" s="0" t="s">
        <v>803</v>
      </c>
      <c r="B825" s="0" t="s">
        <v>803</v>
      </c>
    </row>
    <row r="826" customFormat="false" ht="13.8" hidden="false" customHeight="false" outlineLevel="0" collapsed="false">
      <c r="A826" s="0" t="s">
        <v>310</v>
      </c>
      <c r="B826" s="0" t="s">
        <v>464</v>
      </c>
    </row>
    <row r="827" customFormat="false" ht="13.8" hidden="false" customHeight="false" outlineLevel="0" collapsed="false">
      <c r="A827" s="0" t="s">
        <v>805</v>
      </c>
      <c r="B827" s="0" t="s">
        <v>805</v>
      </c>
    </row>
    <row r="828" customFormat="false" ht="13.8" hidden="false" customHeight="false" outlineLevel="0" collapsed="false">
      <c r="A828" s="0" t="s">
        <v>570</v>
      </c>
      <c r="B828" s="0" t="s">
        <v>456</v>
      </c>
    </row>
    <row r="829" customFormat="false" ht="13.8" hidden="false" customHeight="false" outlineLevel="0" collapsed="false">
      <c r="A829" s="0" t="s">
        <v>249</v>
      </c>
      <c r="B829" s="0" t="s">
        <v>249</v>
      </c>
    </row>
    <row r="830" customFormat="false" ht="13.8" hidden="false" customHeight="false" outlineLevel="0" collapsed="false">
      <c r="A830" s="0" t="s">
        <v>489</v>
      </c>
      <c r="B830" s="0" t="s">
        <v>489</v>
      </c>
    </row>
    <row r="831" customFormat="false" ht="13.8" hidden="false" customHeight="false" outlineLevel="0" collapsed="false">
      <c r="A831" s="0" t="s">
        <v>382</v>
      </c>
      <c r="B831" s="0" t="s">
        <v>382</v>
      </c>
    </row>
    <row r="832" customFormat="false" ht="13.8" hidden="false" customHeight="false" outlineLevel="0" collapsed="false">
      <c r="A832" s="0" t="s">
        <v>809</v>
      </c>
      <c r="B832" s="0" t="s">
        <v>809</v>
      </c>
    </row>
    <row r="833" customFormat="false" ht="13.8" hidden="false" customHeight="false" outlineLevel="0" collapsed="false">
      <c r="A833" s="0" t="s">
        <v>391</v>
      </c>
      <c r="B833" s="0" t="s">
        <v>391</v>
      </c>
    </row>
    <row r="834" customFormat="false" ht="13.8" hidden="false" customHeight="false" outlineLevel="0" collapsed="false">
      <c r="A834" s="0" t="s">
        <v>96</v>
      </c>
      <c r="B834" s="0" t="s">
        <v>96</v>
      </c>
    </row>
    <row r="835" customFormat="false" ht="13.8" hidden="false" customHeight="false" outlineLevel="0" collapsed="false">
      <c r="A835" s="0" t="s">
        <v>860</v>
      </c>
      <c r="B835" s="0" t="s">
        <v>860</v>
      </c>
    </row>
    <row r="836" customFormat="false" ht="13.8" hidden="false" customHeight="false" outlineLevel="0" collapsed="false">
      <c r="A836" s="0" t="s">
        <v>371</v>
      </c>
      <c r="B836" s="0" t="s">
        <v>371</v>
      </c>
    </row>
    <row r="837" customFormat="false" ht="13.8" hidden="false" customHeight="false" outlineLevel="0" collapsed="false">
      <c r="A837" s="0" t="s">
        <v>856</v>
      </c>
      <c r="B837" s="0" t="s">
        <v>856</v>
      </c>
    </row>
    <row r="838" customFormat="false" ht="13.8" hidden="false" customHeight="false" outlineLevel="0" collapsed="false">
      <c r="A838" s="0" t="s">
        <v>485</v>
      </c>
      <c r="B838" s="0" t="s">
        <v>485</v>
      </c>
    </row>
    <row r="839" customFormat="false" ht="13.8" hidden="false" customHeight="false" outlineLevel="0" collapsed="false">
      <c r="A839" s="0" t="s">
        <v>846</v>
      </c>
      <c r="B839" s="0" t="s">
        <v>846</v>
      </c>
    </row>
    <row r="840" customFormat="false" ht="13.8" hidden="false" customHeight="false" outlineLevel="0" collapsed="false">
      <c r="A840" s="0" t="s">
        <v>309</v>
      </c>
      <c r="B840" s="0" t="s">
        <v>309</v>
      </c>
    </row>
    <row r="841" customFormat="false" ht="13.8" hidden="false" customHeight="false" outlineLevel="0" collapsed="false">
      <c r="A841" s="0" t="s">
        <v>102</v>
      </c>
      <c r="B841" s="0" t="s">
        <v>102</v>
      </c>
    </row>
    <row r="842" customFormat="false" ht="13.8" hidden="false" customHeight="false" outlineLevel="0" collapsed="false">
      <c r="A842" s="0" t="s">
        <v>38</v>
      </c>
      <c r="B842" s="0" t="s">
        <v>38</v>
      </c>
    </row>
    <row r="843" customFormat="false" ht="13.8" hidden="false" customHeight="false" outlineLevel="0" collapsed="false">
      <c r="A843" s="0" t="s">
        <v>861</v>
      </c>
      <c r="B843" s="0" t="s">
        <v>421</v>
      </c>
    </row>
    <row r="844" customFormat="false" ht="13.8" hidden="false" customHeight="false" outlineLevel="0" collapsed="false">
      <c r="A844" s="0" t="s">
        <v>805</v>
      </c>
      <c r="B844" s="0" t="s">
        <v>805</v>
      </c>
    </row>
    <row r="845" customFormat="false" ht="13.8" hidden="false" customHeight="false" outlineLevel="0" collapsed="false">
      <c r="A845" s="0" t="s">
        <v>570</v>
      </c>
      <c r="B845" s="0" t="s">
        <v>456</v>
      </c>
    </row>
    <row r="846" customFormat="false" ht="13.8" hidden="false" customHeight="false" outlineLevel="0" collapsed="false">
      <c r="A846" s="0" t="s">
        <v>14</v>
      </c>
      <c r="B846" s="0" t="s">
        <v>398</v>
      </c>
    </row>
    <row r="847" customFormat="false" ht="13.8" hidden="false" customHeight="false" outlineLevel="0" collapsed="false">
      <c r="A847" s="0" t="s">
        <v>806</v>
      </c>
      <c r="B847" s="0" t="s">
        <v>806</v>
      </c>
    </row>
    <row r="848" customFormat="false" ht="13.8" hidden="false" customHeight="false" outlineLevel="0" collapsed="false">
      <c r="A848" s="0" t="s">
        <v>382</v>
      </c>
      <c r="B848" s="0" t="s">
        <v>382</v>
      </c>
    </row>
    <row r="849" customFormat="false" ht="13.8" hidden="false" customHeight="false" outlineLevel="0" collapsed="false">
      <c r="A849" s="0" t="s">
        <v>807</v>
      </c>
      <c r="B849" s="0" t="s">
        <v>807</v>
      </c>
    </row>
    <row r="850" customFormat="false" ht="13.8" hidden="false" customHeight="false" outlineLevel="0" collapsed="false">
      <c r="A850" s="0" t="s">
        <v>391</v>
      </c>
      <c r="B850" s="0" t="s">
        <v>391</v>
      </c>
    </row>
    <row r="851" customFormat="false" ht="13.8" hidden="false" customHeight="false" outlineLevel="0" collapsed="false">
      <c r="A851" s="0" t="s">
        <v>96</v>
      </c>
      <c r="B851" s="0" t="s">
        <v>96</v>
      </c>
    </row>
    <row r="852" customFormat="false" ht="13.8" hidden="false" customHeight="false" outlineLevel="0" collapsed="false">
      <c r="A852" s="0" t="s">
        <v>862</v>
      </c>
      <c r="B852" s="0" t="s">
        <v>437</v>
      </c>
    </row>
    <row r="853" customFormat="false" ht="13.8" hidden="false" customHeight="false" outlineLevel="0" collapsed="false">
      <c r="A853" s="0" t="s">
        <v>44</v>
      </c>
      <c r="B853" s="0" t="s">
        <v>44</v>
      </c>
    </row>
    <row r="854" customFormat="false" ht="13.8" hidden="false" customHeight="false" outlineLevel="0" collapsed="false">
      <c r="A854" s="0" t="s">
        <v>809</v>
      </c>
      <c r="B854" s="0" t="s">
        <v>809</v>
      </c>
    </row>
    <row r="855" customFormat="false" ht="13.8" hidden="false" customHeight="false" outlineLevel="0" collapsed="false">
      <c r="A855" s="0" t="s">
        <v>96</v>
      </c>
      <c r="B855" s="0" t="s">
        <v>96</v>
      </c>
    </row>
    <row r="856" customFormat="false" ht="13.8" hidden="false" customHeight="false" outlineLevel="0" collapsed="false">
      <c r="A856" s="0" t="s">
        <v>863</v>
      </c>
      <c r="B856" s="0" t="s">
        <v>863</v>
      </c>
    </row>
    <row r="857" customFormat="false" ht="13.8" hidden="false" customHeight="false" outlineLevel="0" collapsed="false">
      <c r="A857" s="0" t="s">
        <v>238</v>
      </c>
      <c r="B857" s="0" t="s">
        <v>833</v>
      </c>
    </row>
    <row r="858" customFormat="false" ht="13.8" hidden="false" customHeight="false" outlineLevel="0" collapsed="false">
      <c r="A858" s="0" t="s">
        <v>503</v>
      </c>
      <c r="B858" s="0" t="s">
        <v>503</v>
      </c>
    </row>
    <row r="859" customFormat="false" ht="13.8" hidden="false" customHeight="false" outlineLevel="0" collapsed="false">
      <c r="A859" s="0" t="s">
        <v>864</v>
      </c>
      <c r="B859" s="0" t="s">
        <v>455</v>
      </c>
    </row>
    <row r="860" customFormat="false" ht="13.8" hidden="false" customHeight="false" outlineLevel="0" collapsed="false">
      <c r="A860" s="0" t="s">
        <v>865</v>
      </c>
      <c r="B860" s="0" t="s">
        <v>865</v>
      </c>
    </row>
    <row r="861" customFormat="false" ht="13.8" hidden="false" customHeight="false" outlineLevel="0" collapsed="false">
      <c r="A861" s="0" t="s">
        <v>207</v>
      </c>
      <c r="B861" s="0" t="s">
        <v>207</v>
      </c>
    </row>
    <row r="862" customFormat="false" ht="13.8" hidden="false" customHeight="false" outlineLevel="0" collapsed="false">
      <c r="A862" s="0" t="s">
        <v>44</v>
      </c>
      <c r="B862" s="0" t="s">
        <v>44</v>
      </c>
    </row>
    <row r="863" customFormat="false" ht="13.8" hidden="false" customHeight="false" outlineLevel="0" collapsed="false">
      <c r="A863" s="0" t="s">
        <v>162</v>
      </c>
      <c r="B863" s="0" t="s">
        <v>162</v>
      </c>
    </row>
    <row r="864" customFormat="false" ht="13.8" hidden="false" customHeight="false" outlineLevel="0" collapsed="false">
      <c r="A864" s="0" t="s">
        <v>503</v>
      </c>
      <c r="B864" s="0" t="s">
        <v>503</v>
      </c>
    </row>
    <row r="865" customFormat="false" ht="13.8" hidden="false" customHeight="false" outlineLevel="0" collapsed="false">
      <c r="A865" s="0" t="s">
        <v>44</v>
      </c>
      <c r="B865" s="0" t="s">
        <v>44</v>
      </c>
    </row>
    <row r="866" customFormat="false" ht="13.8" hidden="false" customHeight="false" outlineLevel="0" collapsed="false">
      <c r="A866" s="0" t="s">
        <v>478</v>
      </c>
      <c r="B866" s="0" t="s">
        <v>478</v>
      </c>
    </row>
    <row r="867" customFormat="false" ht="13.8" hidden="false" customHeight="false" outlineLevel="0" collapsed="false">
      <c r="A867" s="0" t="s">
        <v>393</v>
      </c>
      <c r="B867" s="0" t="s">
        <v>393</v>
      </c>
    </row>
    <row r="868" customFormat="false" ht="13.8" hidden="false" customHeight="false" outlineLevel="0" collapsed="false">
      <c r="A868" s="0" t="s">
        <v>207</v>
      </c>
      <c r="B868" s="0" t="s">
        <v>207</v>
      </c>
    </row>
    <row r="869" customFormat="false" ht="13.8" hidden="false" customHeight="false" outlineLevel="0" collapsed="false">
      <c r="A869" s="0" t="s">
        <v>282</v>
      </c>
      <c r="B869" s="0" t="s">
        <v>282</v>
      </c>
    </row>
    <row r="870" customFormat="false" ht="13.8" hidden="false" customHeight="false" outlineLevel="0" collapsed="false">
      <c r="A870" s="0" t="s">
        <v>439</v>
      </c>
      <c r="B870" s="0" t="s">
        <v>439</v>
      </c>
    </row>
    <row r="871" customFormat="false" ht="13.8" hidden="false" customHeight="false" outlineLevel="0" collapsed="false">
      <c r="A871" s="0" t="s">
        <v>503</v>
      </c>
      <c r="B871" s="0" t="s">
        <v>503</v>
      </c>
    </row>
    <row r="872" customFormat="false" ht="13.8" hidden="false" customHeight="false" outlineLevel="0" collapsed="false">
      <c r="A872" s="0" t="s">
        <v>388</v>
      </c>
      <c r="B872" s="0" t="s">
        <v>388</v>
      </c>
    </row>
    <row r="873" customFormat="false" ht="13.8" hidden="false" customHeight="false" outlineLevel="0" collapsed="false">
      <c r="A873" s="0" t="s">
        <v>44</v>
      </c>
      <c r="B873" s="0" t="s">
        <v>44</v>
      </c>
    </row>
    <row r="874" customFormat="false" ht="13.8" hidden="false" customHeight="false" outlineLevel="0" collapsed="false">
      <c r="A874" s="0" t="s">
        <v>324</v>
      </c>
      <c r="B874" s="0" t="s">
        <v>324</v>
      </c>
    </row>
    <row r="875" customFormat="false" ht="13.8" hidden="false" customHeight="false" outlineLevel="0" collapsed="false">
      <c r="A875" s="0" t="s">
        <v>503</v>
      </c>
      <c r="B875" s="0" t="s">
        <v>503</v>
      </c>
    </row>
    <row r="876" customFormat="false" ht="13.8" hidden="false" customHeight="false" outlineLevel="0" collapsed="false">
      <c r="A876" s="0" t="s">
        <v>866</v>
      </c>
      <c r="B876" s="0" t="s">
        <v>7796</v>
      </c>
    </row>
    <row r="877" customFormat="false" ht="13.8" hidden="false" customHeight="false" outlineLevel="0" collapsed="false">
      <c r="A877" s="0" t="s">
        <v>821</v>
      </c>
      <c r="B877" s="0" t="s">
        <v>821</v>
      </c>
    </row>
    <row r="878" customFormat="false" ht="13.8" hidden="false" customHeight="false" outlineLevel="0" collapsed="false">
      <c r="A878" s="0" t="s">
        <v>303</v>
      </c>
      <c r="B878" s="0" t="s">
        <v>303</v>
      </c>
    </row>
    <row r="879" customFormat="false" ht="13.8" hidden="false" customHeight="false" outlineLevel="0" collapsed="false">
      <c r="A879" s="0" t="s">
        <v>324</v>
      </c>
      <c r="B879" s="0" t="s">
        <v>324</v>
      </c>
    </row>
    <row r="880" customFormat="false" ht="13.8" hidden="false" customHeight="false" outlineLevel="0" collapsed="false">
      <c r="A880" s="0" t="s">
        <v>424</v>
      </c>
      <c r="B880" s="0" t="s">
        <v>424</v>
      </c>
    </row>
    <row r="881" customFormat="false" ht="13.8" hidden="false" customHeight="false" outlineLevel="0" collapsed="false">
      <c r="A881" s="0" t="s">
        <v>833</v>
      </c>
      <c r="B881" s="0" t="s">
        <v>833</v>
      </c>
    </row>
    <row r="882" customFormat="false" ht="13.8" hidden="false" customHeight="false" outlineLevel="0" collapsed="false">
      <c r="A882" s="0" t="s">
        <v>802</v>
      </c>
      <c r="B882" s="0" t="s">
        <v>802</v>
      </c>
    </row>
    <row r="883" customFormat="false" ht="13.8" hidden="false" customHeight="false" outlineLevel="0" collapsed="false">
      <c r="A883" s="0" t="s">
        <v>44</v>
      </c>
      <c r="B883" s="0" t="s">
        <v>44</v>
      </c>
    </row>
    <row r="884" customFormat="false" ht="13.8" hidden="false" customHeight="false" outlineLevel="0" collapsed="false">
      <c r="A884" s="0" t="s">
        <v>867</v>
      </c>
      <c r="B884" s="0" t="s">
        <v>273</v>
      </c>
    </row>
    <row r="885" customFormat="false" ht="13.8" hidden="false" customHeight="false" outlineLevel="0" collapsed="false">
      <c r="A885" s="0" t="s">
        <v>868</v>
      </c>
      <c r="B885" s="0" t="s">
        <v>868</v>
      </c>
    </row>
    <row r="886" customFormat="false" ht="13.8" hidden="false" customHeight="false" outlineLevel="0" collapsed="false">
      <c r="A886" s="0" t="s">
        <v>309</v>
      </c>
      <c r="B886" s="0" t="s">
        <v>309</v>
      </c>
    </row>
    <row r="887" customFormat="false" ht="13.8" hidden="false" customHeight="false" outlineLevel="0" collapsed="false">
      <c r="A887" s="0" t="s">
        <v>297</v>
      </c>
      <c r="B887" s="0" t="s">
        <v>297</v>
      </c>
    </row>
    <row r="888" customFormat="false" ht="13.8" hidden="false" customHeight="false" outlineLevel="0" collapsed="false">
      <c r="A888" s="0" t="s">
        <v>96</v>
      </c>
      <c r="B888" s="0" t="s">
        <v>96</v>
      </c>
    </row>
    <row r="889" customFormat="false" ht="13.8" hidden="false" customHeight="false" outlineLevel="0" collapsed="false">
      <c r="A889" s="0" t="s">
        <v>480</v>
      </c>
      <c r="B889" s="0" t="s">
        <v>480</v>
      </c>
    </row>
    <row r="890" customFormat="false" ht="13.8" hidden="false" customHeight="false" outlineLevel="0" collapsed="false">
      <c r="A890" s="0" t="s">
        <v>276</v>
      </c>
      <c r="B890" s="0" t="s">
        <v>276</v>
      </c>
    </row>
    <row r="891" customFormat="false" ht="13.8" hidden="false" customHeight="false" outlineLevel="0" collapsed="false">
      <c r="A891" s="0" t="s">
        <v>249</v>
      </c>
      <c r="B891" s="0" t="s">
        <v>249</v>
      </c>
    </row>
    <row r="892" customFormat="false" ht="13.8" hidden="false" customHeight="false" outlineLevel="0" collapsed="false">
      <c r="A892" s="0" t="s">
        <v>489</v>
      </c>
      <c r="B892" s="0" t="s">
        <v>489</v>
      </c>
    </row>
    <row r="893" customFormat="false" ht="13.8" hidden="false" customHeight="false" outlineLevel="0" collapsed="false">
      <c r="A893" s="0" t="s">
        <v>428</v>
      </c>
      <c r="B893" s="0" t="s">
        <v>428</v>
      </c>
    </row>
    <row r="894" customFormat="false" ht="13.8" hidden="false" customHeight="false" outlineLevel="0" collapsed="false">
      <c r="A894" s="0" t="s">
        <v>846</v>
      </c>
      <c r="B894" s="0" t="s">
        <v>846</v>
      </c>
    </row>
    <row r="895" customFormat="false" ht="13.8" hidden="false" customHeight="false" outlineLevel="0" collapsed="false">
      <c r="A895" s="0" t="s">
        <v>869</v>
      </c>
      <c r="B895" s="0" t="s">
        <v>869</v>
      </c>
    </row>
    <row r="896" customFormat="false" ht="13.8" hidden="false" customHeight="false" outlineLevel="0" collapsed="false">
      <c r="A896" s="0" t="s">
        <v>309</v>
      </c>
      <c r="B896" s="0" t="s">
        <v>309</v>
      </c>
    </row>
    <row r="897" customFormat="false" ht="13.8" hidden="false" customHeight="false" outlineLevel="0" collapsed="false">
      <c r="A897" s="0" t="s">
        <v>855</v>
      </c>
      <c r="B897" s="0" t="s">
        <v>855</v>
      </c>
    </row>
    <row r="898" customFormat="false" ht="13.8" hidden="false" customHeight="false" outlineLevel="0" collapsed="false">
      <c r="A898" s="0" t="s">
        <v>493</v>
      </c>
      <c r="B898" s="0" t="s">
        <v>493</v>
      </c>
    </row>
    <row r="899" customFormat="false" ht="13.8" hidden="false" customHeight="false" outlineLevel="0" collapsed="false">
      <c r="A899" s="0" t="s">
        <v>273</v>
      </c>
      <c r="B899" s="0" t="s">
        <v>273</v>
      </c>
    </row>
    <row r="900" customFormat="false" ht="13.8" hidden="false" customHeight="false" outlineLevel="0" collapsed="false">
      <c r="A900" s="0" t="s">
        <v>309</v>
      </c>
      <c r="B900" s="0" t="s">
        <v>309</v>
      </c>
    </row>
    <row r="901" customFormat="false" ht="13.8" hidden="false" customHeight="false" outlineLevel="0" collapsed="false">
      <c r="A901" s="0" t="s">
        <v>870</v>
      </c>
      <c r="B901" s="0" t="s">
        <v>870</v>
      </c>
    </row>
    <row r="902" customFormat="false" ht="13.8" hidden="false" customHeight="false" outlineLevel="0" collapsed="false">
      <c r="A902" s="0" t="s">
        <v>871</v>
      </c>
      <c r="B902" s="0" t="s">
        <v>871</v>
      </c>
    </row>
    <row r="903" customFormat="false" ht="13.8" hidden="false" customHeight="false" outlineLevel="0" collapsed="false">
      <c r="A903" s="0" t="s">
        <v>872</v>
      </c>
      <c r="B903" s="0" t="s">
        <v>872</v>
      </c>
    </row>
    <row r="904" customFormat="false" ht="13.8" hidden="false" customHeight="false" outlineLevel="0" collapsed="false">
      <c r="A904" s="0" t="s">
        <v>377</v>
      </c>
      <c r="B904" s="0" t="s">
        <v>377</v>
      </c>
    </row>
    <row r="905" customFormat="false" ht="13.8" hidden="false" customHeight="false" outlineLevel="0" collapsed="false">
      <c r="A905" s="0" t="s">
        <v>44</v>
      </c>
      <c r="B905" s="0" t="s">
        <v>44</v>
      </c>
    </row>
    <row r="906" customFormat="false" ht="13.8" hidden="false" customHeight="false" outlineLevel="0" collapsed="false">
      <c r="A906" s="0" t="s">
        <v>873</v>
      </c>
      <c r="B906" s="0" t="s">
        <v>7797</v>
      </c>
    </row>
    <row r="907" customFormat="false" ht="13.8" hidden="false" customHeight="false" outlineLevel="0" collapsed="false">
      <c r="A907" s="0" t="s">
        <v>96</v>
      </c>
      <c r="B907" s="0" t="s">
        <v>96</v>
      </c>
    </row>
    <row r="908" customFormat="false" ht="13.8" hidden="false" customHeight="false" outlineLevel="0" collapsed="false">
      <c r="A908" s="0" t="s">
        <v>382</v>
      </c>
      <c r="B908" s="0" t="s">
        <v>382</v>
      </c>
    </row>
    <row r="909" customFormat="false" ht="13.8" hidden="false" customHeight="false" outlineLevel="0" collapsed="false">
      <c r="A909" s="0" t="s">
        <v>874</v>
      </c>
      <c r="B909" s="0" t="s">
        <v>415</v>
      </c>
    </row>
    <row r="910" customFormat="false" ht="13.8" hidden="false" customHeight="false" outlineLevel="0" collapsed="false">
      <c r="A910" s="0" t="s">
        <v>470</v>
      </c>
      <c r="B910" s="0" t="s">
        <v>470</v>
      </c>
    </row>
    <row r="911" customFormat="false" ht="13.8" hidden="false" customHeight="false" outlineLevel="0" collapsed="false">
      <c r="A911" s="0" t="s">
        <v>456</v>
      </c>
      <c r="B911" s="0" t="s">
        <v>456</v>
      </c>
    </row>
    <row r="912" customFormat="false" ht="13.8" hidden="false" customHeight="false" outlineLevel="0" collapsed="false">
      <c r="A912" s="0" t="s">
        <v>839</v>
      </c>
      <c r="B912" s="0" t="s">
        <v>839</v>
      </c>
    </row>
    <row r="913" customFormat="false" ht="13.8" hidden="false" customHeight="false" outlineLevel="0" collapsed="false">
      <c r="A913" s="0" t="s">
        <v>44</v>
      </c>
      <c r="B913" s="0" t="s">
        <v>44</v>
      </c>
    </row>
    <row r="914" customFormat="false" ht="13.8" hidden="false" customHeight="false" outlineLevel="0" collapsed="false">
      <c r="A914" s="0" t="s">
        <v>503</v>
      </c>
      <c r="B914" s="0" t="s">
        <v>503</v>
      </c>
    </row>
    <row r="915" customFormat="false" ht="13.8" hidden="false" customHeight="false" outlineLevel="0" collapsed="false">
      <c r="A915" s="0" t="s">
        <v>309</v>
      </c>
      <c r="B915" s="0" t="s">
        <v>309</v>
      </c>
    </row>
    <row r="916" customFormat="false" ht="13.8" hidden="false" customHeight="false" outlineLevel="0" collapsed="false">
      <c r="A916" s="0" t="s">
        <v>875</v>
      </c>
      <c r="B916" s="0" t="s">
        <v>875</v>
      </c>
    </row>
    <row r="917" customFormat="false" ht="13.8" hidden="false" customHeight="false" outlineLevel="0" collapsed="false">
      <c r="A917" s="0" t="s">
        <v>455</v>
      </c>
      <c r="B917" s="0" t="s">
        <v>455</v>
      </c>
    </row>
    <row r="918" customFormat="false" ht="13.8" hidden="false" customHeight="false" outlineLevel="0" collapsed="false">
      <c r="A918" s="0" t="s">
        <v>833</v>
      </c>
      <c r="B918" s="0" t="s">
        <v>833</v>
      </c>
    </row>
    <row r="919" customFormat="false" ht="13.8" hidden="false" customHeight="false" outlineLevel="0" collapsed="false">
      <c r="A919" s="0" t="s">
        <v>96</v>
      </c>
      <c r="B919" s="0" t="s">
        <v>96</v>
      </c>
    </row>
    <row r="920" customFormat="false" ht="13.8" hidden="false" customHeight="false" outlineLevel="0" collapsed="false">
      <c r="A920" s="0" t="s">
        <v>878</v>
      </c>
      <c r="B920" s="0" t="s">
        <v>7798</v>
      </c>
    </row>
    <row r="921" customFormat="false" ht="13.8" hidden="false" customHeight="false" outlineLevel="0" collapsed="false">
      <c r="A921" s="0" t="s">
        <v>434</v>
      </c>
      <c r="B921" s="0" t="s">
        <v>434</v>
      </c>
    </row>
    <row r="922" customFormat="false" ht="13.8" hidden="false" customHeight="false" outlineLevel="0" collapsed="false">
      <c r="A922" s="0" t="s">
        <v>348</v>
      </c>
      <c r="B922" s="0" t="s">
        <v>348</v>
      </c>
    </row>
    <row r="923" customFormat="false" ht="13.8" hidden="false" customHeight="false" outlineLevel="0" collapsed="false">
      <c r="A923" s="0" t="s">
        <v>406</v>
      </c>
      <c r="B923" s="0" t="s">
        <v>406</v>
      </c>
    </row>
    <row r="924" customFormat="false" ht="13.8" hidden="false" customHeight="false" outlineLevel="0" collapsed="false">
      <c r="A924" s="0" t="s">
        <v>485</v>
      </c>
      <c r="B924" s="0" t="s">
        <v>485</v>
      </c>
    </row>
    <row r="925" customFormat="false" ht="13.8" hidden="false" customHeight="false" outlineLevel="0" collapsed="false">
      <c r="A925" s="0" t="s">
        <v>273</v>
      </c>
      <c r="B925" s="0" t="s">
        <v>273</v>
      </c>
    </row>
    <row r="926" customFormat="false" ht="13.8" hidden="false" customHeight="false" outlineLevel="0" collapsed="false">
      <c r="A926" s="0" t="s">
        <v>309</v>
      </c>
      <c r="B926" s="0" t="s">
        <v>309</v>
      </c>
    </row>
    <row r="927" customFormat="false" ht="13.8" hidden="false" customHeight="false" outlineLevel="0" collapsed="false">
      <c r="A927" s="0" t="s">
        <v>879</v>
      </c>
      <c r="B927" s="0" t="s">
        <v>879</v>
      </c>
    </row>
    <row r="928" customFormat="false" ht="13.8" hidden="false" customHeight="false" outlineLevel="0" collapsed="false">
      <c r="A928" s="0" t="s">
        <v>803</v>
      </c>
      <c r="B928" s="0" t="s">
        <v>803</v>
      </c>
    </row>
    <row r="929" customFormat="false" ht="13.8" hidden="false" customHeight="false" outlineLevel="0" collapsed="false">
      <c r="A929" s="0" t="s">
        <v>450</v>
      </c>
      <c r="B929" s="0" t="s">
        <v>450</v>
      </c>
    </row>
    <row r="930" customFormat="false" ht="13.8" hidden="false" customHeight="false" outlineLevel="0" collapsed="false">
      <c r="A930" s="0" t="s">
        <v>44</v>
      </c>
      <c r="B930" s="0" t="s">
        <v>44</v>
      </c>
    </row>
    <row r="931" customFormat="false" ht="13.8" hidden="false" customHeight="false" outlineLevel="0" collapsed="false">
      <c r="A931" s="0" t="s">
        <v>96</v>
      </c>
      <c r="B931" s="0" t="s">
        <v>96</v>
      </c>
    </row>
    <row r="932" customFormat="false" ht="13.8" hidden="false" customHeight="false" outlineLevel="0" collapsed="false">
      <c r="A932" s="0" t="s">
        <v>474</v>
      </c>
      <c r="B932" s="0" t="s">
        <v>474</v>
      </c>
    </row>
    <row r="933" customFormat="false" ht="13.8" hidden="false" customHeight="false" outlineLevel="0" collapsed="false">
      <c r="A933" s="0" t="s">
        <v>377</v>
      </c>
      <c r="B933" s="0" t="s">
        <v>377</v>
      </c>
    </row>
    <row r="934" customFormat="false" ht="13.8" hidden="false" customHeight="false" outlineLevel="0" collapsed="false">
      <c r="A934" s="0" t="s">
        <v>456</v>
      </c>
      <c r="B934" s="0" t="s">
        <v>456</v>
      </c>
    </row>
    <row r="935" customFormat="false" ht="13.8" hidden="false" customHeight="false" outlineLevel="0" collapsed="false">
      <c r="A935" s="0" t="s">
        <v>880</v>
      </c>
      <c r="B935" s="0" t="s">
        <v>398</v>
      </c>
    </row>
    <row r="936" customFormat="false" ht="13.8" hidden="false" customHeight="false" outlineLevel="0" collapsed="false">
      <c r="A936" s="0" t="s">
        <v>382</v>
      </c>
      <c r="B936" s="0" t="s">
        <v>382</v>
      </c>
    </row>
    <row r="937" customFormat="false" ht="13.8" hidden="false" customHeight="false" outlineLevel="0" collapsed="false">
      <c r="A937" s="0" t="s">
        <v>881</v>
      </c>
      <c r="B937" s="0" t="s">
        <v>881</v>
      </c>
    </row>
    <row r="938" customFormat="false" ht="13.8" hidden="false" customHeight="false" outlineLevel="0" collapsed="false">
      <c r="A938" s="0" t="s">
        <v>882</v>
      </c>
      <c r="B938" s="0" t="s">
        <v>882</v>
      </c>
    </row>
    <row r="939" customFormat="false" ht="13.8" hidden="false" customHeight="false" outlineLevel="0" collapsed="false">
      <c r="A939" s="0" t="s">
        <v>833</v>
      </c>
      <c r="B939" s="0" t="s">
        <v>833</v>
      </c>
    </row>
    <row r="940" customFormat="false" ht="13.8" hidden="false" customHeight="false" outlineLevel="0" collapsed="false">
      <c r="A940" s="0" t="s">
        <v>471</v>
      </c>
      <c r="B940" s="0" t="s">
        <v>471</v>
      </c>
    </row>
    <row r="941" customFormat="false" ht="13.8" hidden="false" customHeight="false" outlineLevel="0" collapsed="false">
      <c r="A941" s="0" t="s">
        <v>485</v>
      </c>
      <c r="B941" s="0" t="s">
        <v>485</v>
      </c>
    </row>
    <row r="942" customFormat="false" ht="13.8" hidden="false" customHeight="false" outlineLevel="0" collapsed="false">
      <c r="A942" s="0" t="s">
        <v>846</v>
      </c>
      <c r="B942" s="0" t="s">
        <v>846</v>
      </c>
    </row>
    <row r="943" customFormat="false" ht="13.8" hidden="false" customHeight="false" outlineLevel="0" collapsed="false">
      <c r="A943" s="0" t="s">
        <v>406</v>
      </c>
      <c r="B943" s="0" t="s">
        <v>406</v>
      </c>
    </row>
    <row r="944" customFormat="false" ht="13.8" hidden="false" customHeight="false" outlineLevel="0" collapsed="false">
      <c r="A944" s="0" t="s">
        <v>309</v>
      </c>
      <c r="B944" s="0" t="s">
        <v>309</v>
      </c>
    </row>
    <row r="945" customFormat="false" ht="13.8" hidden="false" customHeight="false" outlineLevel="0" collapsed="false">
      <c r="A945" s="0" t="s">
        <v>803</v>
      </c>
      <c r="B945" s="0" t="s">
        <v>803</v>
      </c>
    </row>
    <row r="946" customFormat="false" ht="13.8" hidden="false" customHeight="false" outlineLevel="0" collapsed="false">
      <c r="A946" s="0" t="s">
        <v>888</v>
      </c>
      <c r="B946" s="0" t="s">
        <v>421</v>
      </c>
    </row>
    <row r="947" customFormat="false" ht="13.8" hidden="false" customHeight="false" outlineLevel="0" collapsed="false">
      <c r="A947" s="0" t="s">
        <v>96</v>
      </c>
      <c r="B947" s="0" t="s">
        <v>96</v>
      </c>
    </row>
    <row r="948" customFormat="false" ht="13.8" hidden="false" customHeight="false" outlineLevel="0" collapsed="false">
      <c r="A948" s="0" t="s">
        <v>889</v>
      </c>
      <c r="B948" s="0" t="s">
        <v>889</v>
      </c>
    </row>
    <row r="949" customFormat="false" ht="13.8" hidden="false" customHeight="false" outlineLevel="0" collapsed="false">
      <c r="A949" s="0" t="s">
        <v>890</v>
      </c>
      <c r="B949" s="0" t="s">
        <v>890</v>
      </c>
    </row>
    <row r="950" customFormat="false" ht="13.8" hidden="false" customHeight="false" outlineLevel="0" collapsed="false">
      <c r="A950" s="0" t="s">
        <v>456</v>
      </c>
      <c r="B950" s="0" t="s">
        <v>456</v>
      </c>
    </row>
    <row r="951" customFormat="false" ht="13.8" hidden="false" customHeight="false" outlineLevel="0" collapsed="false">
      <c r="A951" s="0" t="s">
        <v>398</v>
      </c>
      <c r="B951" s="0" t="s">
        <v>398</v>
      </c>
    </row>
    <row r="952" customFormat="false" ht="13.8" hidden="false" customHeight="false" outlineLevel="0" collapsed="false">
      <c r="A952" s="0" t="s">
        <v>891</v>
      </c>
      <c r="B952" s="0" t="s">
        <v>7799</v>
      </c>
    </row>
    <row r="953" customFormat="false" ht="13.8" hidden="false" customHeight="false" outlineLevel="0" collapsed="false">
      <c r="A953" s="0" t="s">
        <v>839</v>
      </c>
      <c r="B953" s="0" t="s">
        <v>839</v>
      </c>
    </row>
    <row r="954" customFormat="false" ht="13.8" hidden="false" customHeight="false" outlineLevel="0" collapsed="false">
      <c r="A954" s="0" t="s">
        <v>892</v>
      </c>
      <c r="B954" s="0" t="s">
        <v>474</v>
      </c>
    </row>
    <row r="955" customFormat="false" ht="13.8" hidden="false" customHeight="false" outlineLevel="0" collapsed="false">
      <c r="A955" s="0" t="s">
        <v>893</v>
      </c>
      <c r="B955" s="0" t="s">
        <v>297</v>
      </c>
    </row>
    <row r="956" customFormat="false" ht="13.8" hidden="false" customHeight="false" outlineLevel="0" collapsed="false">
      <c r="A956" s="0" t="s">
        <v>894</v>
      </c>
      <c r="B956" s="0" t="s">
        <v>508</v>
      </c>
    </row>
    <row r="957" customFormat="false" ht="13.8" hidden="false" customHeight="false" outlineLevel="0" collapsed="false">
      <c r="A957" s="0" t="s">
        <v>252</v>
      </c>
      <c r="B957" s="0" t="s">
        <v>252</v>
      </c>
    </row>
    <row r="958" customFormat="false" ht="13.8" hidden="false" customHeight="false" outlineLevel="0" collapsed="false">
      <c r="A958" s="0" t="s">
        <v>865</v>
      </c>
      <c r="B958" s="0" t="s">
        <v>865</v>
      </c>
    </row>
    <row r="959" customFormat="false" ht="13.8" hidden="false" customHeight="false" outlineLevel="0" collapsed="false">
      <c r="A959" s="0" t="s">
        <v>207</v>
      </c>
      <c r="B959" s="0" t="s">
        <v>207</v>
      </c>
    </row>
    <row r="960" customFormat="false" ht="13.8" hidden="false" customHeight="false" outlineLevel="0" collapsed="false">
      <c r="A960" s="0" t="s">
        <v>348</v>
      </c>
      <c r="B960" s="0" t="s">
        <v>348</v>
      </c>
    </row>
    <row r="961" customFormat="false" ht="13.8" hidden="false" customHeight="false" outlineLevel="0" collapsed="false">
      <c r="A961" s="0" t="s">
        <v>655</v>
      </c>
      <c r="B961" s="0" t="s">
        <v>192</v>
      </c>
    </row>
    <row r="962" customFormat="false" ht="13.8" hidden="false" customHeight="false" outlineLevel="0" collapsed="false">
      <c r="A962" s="0" t="s">
        <v>549</v>
      </c>
      <c r="B962" s="0" t="s">
        <v>374</v>
      </c>
    </row>
    <row r="963" customFormat="false" ht="13.8" hidden="false" customHeight="false" outlineLevel="0" collapsed="false">
      <c r="A963" s="0" t="s">
        <v>896</v>
      </c>
      <c r="B963" s="0" t="s">
        <v>868</v>
      </c>
    </row>
    <row r="964" customFormat="false" ht="13.8" hidden="false" customHeight="false" outlineLevel="0" collapsed="false">
      <c r="A964" s="0" t="s">
        <v>102</v>
      </c>
      <c r="B964" s="0" t="s">
        <v>102</v>
      </c>
    </row>
    <row r="965" customFormat="false" ht="13.8" hidden="false" customHeight="false" outlineLevel="0" collapsed="false">
      <c r="A965" s="0" t="s">
        <v>803</v>
      </c>
      <c r="B965" s="0" t="s">
        <v>803</v>
      </c>
    </row>
    <row r="966" customFormat="false" ht="13.8" hidden="false" customHeight="false" outlineLevel="0" collapsed="false">
      <c r="A966" s="0" t="s">
        <v>485</v>
      </c>
      <c r="B966" s="0" t="s">
        <v>485</v>
      </c>
    </row>
    <row r="967" customFormat="false" ht="13.8" hidden="false" customHeight="false" outlineLevel="0" collapsed="false">
      <c r="A967" s="0" t="s">
        <v>309</v>
      </c>
      <c r="B967" s="0" t="s">
        <v>309</v>
      </c>
    </row>
    <row r="968" customFormat="false" ht="13.8" hidden="false" customHeight="false" outlineLevel="0" collapsed="false">
      <c r="A968" s="0" t="s">
        <v>899</v>
      </c>
      <c r="B968" s="0" t="s">
        <v>899</v>
      </c>
    </row>
    <row r="969" customFormat="false" ht="13.8" hidden="false" customHeight="false" outlineLevel="0" collapsed="false">
      <c r="A969" s="0" t="s">
        <v>462</v>
      </c>
      <c r="B969" s="0" t="s">
        <v>462</v>
      </c>
    </row>
    <row r="970" customFormat="false" ht="13.8" hidden="false" customHeight="false" outlineLevel="0" collapsed="false">
      <c r="A970" s="0" t="s">
        <v>382</v>
      </c>
      <c r="B970" s="0" t="s">
        <v>382</v>
      </c>
    </row>
    <row r="971" customFormat="false" ht="13.8" hidden="false" customHeight="false" outlineLevel="0" collapsed="false">
      <c r="A971" s="0" t="s">
        <v>456</v>
      </c>
      <c r="B971" s="0" t="s">
        <v>456</v>
      </c>
    </row>
    <row r="972" customFormat="false" ht="13.8" hidden="false" customHeight="false" outlineLevel="0" collapsed="false">
      <c r="A972" s="0" t="s">
        <v>398</v>
      </c>
      <c r="B972" s="0" t="s">
        <v>398</v>
      </c>
    </row>
    <row r="973" customFormat="false" ht="13.8" hidden="false" customHeight="false" outlineLevel="0" collapsed="false">
      <c r="A973" s="0" t="s">
        <v>903</v>
      </c>
      <c r="B973" s="0" t="s">
        <v>7800</v>
      </c>
    </row>
    <row r="974" customFormat="false" ht="13.8" hidden="false" customHeight="false" outlineLevel="0" collapsed="false">
      <c r="A974" s="0" t="s">
        <v>391</v>
      </c>
      <c r="B974" s="0" t="s">
        <v>391</v>
      </c>
    </row>
    <row r="975" customFormat="false" ht="13.8" hidden="false" customHeight="false" outlineLevel="0" collapsed="false">
      <c r="A975" s="0" t="s">
        <v>96</v>
      </c>
      <c r="B975" s="0" t="s">
        <v>96</v>
      </c>
    </row>
    <row r="976" customFormat="false" ht="13.8" hidden="false" customHeight="false" outlineLevel="0" collapsed="false">
      <c r="A976" s="0" t="s">
        <v>462</v>
      </c>
      <c r="B976" s="0" t="s">
        <v>462</v>
      </c>
    </row>
    <row r="977" customFormat="false" ht="13.8" hidden="false" customHeight="false" outlineLevel="0" collapsed="false">
      <c r="A977" s="0" t="s">
        <v>382</v>
      </c>
      <c r="B977" s="0" t="s">
        <v>382</v>
      </c>
    </row>
    <row r="978" customFormat="false" ht="13.8" hidden="false" customHeight="false" outlineLevel="0" collapsed="false">
      <c r="A978" s="0" t="s">
        <v>456</v>
      </c>
      <c r="B978" s="0" t="s">
        <v>456</v>
      </c>
    </row>
    <row r="979" customFormat="false" ht="13.8" hidden="false" customHeight="false" outlineLevel="0" collapsed="false">
      <c r="A979" s="0" t="s">
        <v>398</v>
      </c>
      <c r="B979" s="0" t="s">
        <v>398</v>
      </c>
    </row>
    <row r="980" customFormat="false" ht="13.8" hidden="false" customHeight="false" outlineLevel="0" collapsed="false">
      <c r="A980" s="0" t="s">
        <v>903</v>
      </c>
      <c r="B980" s="0" t="s">
        <v>7800</v>
      </c>
    </row>
    <row r="981" customFormat="false" ht="13.8" hidden="false" customHeight="false" outlineLevel="0" collapsed="false">
      <c r="A981" s="0" t="s">
        <v>391</v>
      </c>
      <c r="B981" s="0" t="s">
        <v>391</v>
      </c>
    </row>
    <row r="982" customFormat="false" ht="13.8" hidden="false" customHeight="false" outlineLevel="0" collapsed="false">
      <c r="A982" s="0" t="s">
        <v>96</v>
      </c>
      <c r="B982" s="0" t="s">
        <v>96</v>
      </c>
    </row>
    <row r="983" customFormat="false" ht="13.8" hidden="false" customHeight="false" outlineLevel="0" collapsed="false">
      <c r="A983" s="0" t="s">
        <v>11</v>
      </c>
      <c r="B983" s="0" t="s">
        <v>348</v>
      </c>
    </row>
    <row r="984" customFormat="false" ht="13.8" hidden="false" customHeight="false" outlineLevel="0" collapsed="false">
      <c r="A984" s="0" t="s">
        <v>801</v>
      </c>
      <c r="B984" s="0" t="s">
        <v>801</v>
      </c>
    </row>
    <row r="985" customFormat="false" ht="13.8" hidden="false" customHeight="false" outlineLevel="0" collapsed="false">
      <c r="A985" s="0" t="s">
        <v>23</v>
      </c>
      <c r="B985" s="0" t="s">
        <v>919</v>
      </c>
    </row>
    <row r="986" customFormat="false" ht="13.8" hidden="false" customHeight="false" outlineLevel="0" collapsed="false">
      <c r="A986" s="0" t="s">
        <v>802</v>
      </c>
      <c r="B986" s="0" t="s">
        <v>802</v>
      </c>
    </row>
    <row r="987" customFormat="false" ht="13.8" hidden="false" customHeight="false" outlineLevel="0" collapsed="false">
      <c r="A987" s="0" t="s">
        <v>803</v>
      </c>
      <c r="B987" s="0" t="s">
        <v>803</v>
      </c>
    </row>
    <row r="988" customFormat="false" ht="13.8" hidden="false" customHeight="false" outlineLevel="0" collapsed="false">
      <c r="A988" s="0" t="s">
        <v>393</v>
      </c>
      <c r="B988" s="0" t="s">
        <v>393</v>
      </c>
    </row>
    <row r="989" customFormat="false" ht="13.8" hidden="false" customHeight="false" outlineLevel="0" collapsed="false">
      <c r="A989" s="0" t="s">
        <v>490</v>
      </c>
      <c r="B989" s="0" t="s">
        <v>490</v>
      </c>
    </row>
    <row r="990" customFormat="false" ht="13.8" hidden="false" customHeight="false" outlineLevel="0" collapsed="false">
      <c r="A990" s="0" t="s">
        <v>805</v>
      </c>
      <c r="B990" s="0" t="s">
        <v>805</v>
      </c>
    </row>
    <row r="991" customFormat="false" ht="13.8" hidden="false" customHeight="false" outlineLevel="0" collapsed="false">
      <c r="A991" s="0" t="s">
        <v>809</v>
      </c>
      <c r="B991" s="0" t="s">
        <v>809</v>
      </c>
    </row>
    <row r="992" customFormat="false" ht="13.8" hidden="false" customHeight="false" outlineLevel="0" collapsed="false">
      <c r="A992" s="0" t="s">
        <v>96</v>
      </c>
      <c r="B992" s="0" t="s">
        <v>96</v>
      </c>
    </row>
    <row r="993" customFormat="false" ht="13.8" hidden="false" customHeight="false" outlineLevel="0" collapsed="false">
      <c r="A993" s="0" t="s">
        <v>333</v>
      </c>
      <c r="B993" s="0" t="s">
        <v>333</v>
      </c>
    </row>
    <row r="994" customFormat="false" ht="13.8" hidden="false" customHeight="false" outlineLevel="0" collapsed="false">
      <c r="A994" s="0" t="s">
        <v>398</v>
      </c>
      <c r="B994" s="0" t="s">
        <v>398</v>
      </c>
    </row>
    <row r="995" customFormat="false" ht="13.8" hidden="false" customHeight="false" outlineLevel="0" collapsed="false">
      <c r="A995" s="0" t="s">
        <v>318</v>
      </c>
      <c r="B995" s="0" t="s">
        <v>318</v>
      </c>
    </row>
    <row r="996" customFormat="false" ht="13.8" hidden="false" customHeight="false" outlineLevel="0" collapsed="false">
      <c r="A996" s="0" t="s">
        <v>201</v>
      </c>
      <c r="B996" s="0" t="s">
        <v>201</v>
      </c>
    </row>
    <row r="997" customFormat="false" ht="13.8" hidden="false" customHeight="false" outlineLevel="0" collapsed="false">
      <c r="A997" s="0" t="s">
        <v>854</v>
      </c>
      <c r="B997" s="0" t="s">
        <v>854</v>
      </c>
    </row>
    <row r="998" customFormat="false" ht="13.8" hidden="false" customHeight="false" outlineLevel="0" collapsed="false">
      <c r="A998" s="0" t="s">
        <v>803</v>
      </c>
      <c r="B998" s="0" t="s">
        <v>803</v>
      </c>
    </row>
    <row r="999" customFormat="false" ht="13.8" hidden="false" customHeight="false" outlineLevel="0" collapsed="false">
      <c r="A999" s="0" t="s">
        <v>309</v>
      </c>
      <c r="B999" s="0" t="s">
        <v>309</v>
      </c>
    </row>
    <row r="1000" customFormat="false" ht="13.8" hidden="false" customHeight="false" outlineLevel="0" collapsed="false">
      <c r="A1000" s="0" t="s">
        <v>855</v>
      </c>
      <c r="B1000" s="0" t="s">
        <v>855</v>
      </c>
    </row>
    <row r="1001" customFormat="false" ht="13.8" hidden="false" customHeight="false" outlineLevel="0" collapsed="false">
      <c r="A1001" s="0" t="s">
        <v>913</v>
      </c>
      <c r="B1001" s="0" t="s">
        <v>490</v>
      </c>
    </row>
    <row r="1002" customFormat="false" ht="13.8" hidden="false" customHeight="false" outlineLevel="0" collapsed="false">
      <c r="A1002" s="0" t="s">
        <v>96</v>
      </c>
      <c r="B1002" s="0" t="s">
        <v>96</v>
      </c>
    </row>
    <row r="1003" customFormat="false" ht="13.8" hidden="false" customHeight="false" outlineLevel="0" collapsed="false">
      <c r="A1003" s="0" t="s">
        <v>398</v>
      </c>
      <c r="B1003" s="0" t="s">
        <v>398</v>
      </c>
    </row>
    <row r="1004" customFormat="false" ht="13.8" hidden="false" customHeight="false" outlineLevel="0" collapsed="false">
      <c r="A1004" s="0" t="s">
        <v>354</v>
      </c>
      <c r="B1004" s="0" t="s">
        <v>354</v>
      </c>
    </row>
    <row r="1005" customFormat="false" ht="13.8" hidden="false" customHeight="false" outlineLevel="0" collapsed="false">
      <c r="A1005" s="0" t="s">
        <v>485</v>
      </c>
      <c r="B1005" s="0" t="s">
        <v>485</v>
      </c>
    </row>
    <row r="1006" customFormat="false" ht="13.8" hidden="false" customHeight="false" outlineLevel="0" collapsed="false">
      <c r="A1006" s="0" t="s">
        <v>348</v>
      </c>
      <c r="B1006" s="0" t="s">
        <v>348</v>
      </c>
    </row>
    <row r="1007" customFormat="false" ht="13.8" hidden="false" customHeight="false" outlineLevel="0" collapsed="false">
      <c r="A1007" s="0" t="s">
        <v>318</v>
      </c>
      <c r="B1007" s="0" t="s">
        <v>318</v>
      </c>
    </row>
    <row r="1008" customFormat="false" ht="13.8" hidden="false" customHeight="false" outlineLevel="0" collapsed="false">
      <c r="A1008" s="0" t="s">
        <v>201</v>
      </c>
      <c r="B1008" s="0" t="s">
        <v>201</v>
      </c>
    </row>
    <row r="1009" customFormat="false" ht="13.8" hidden="false" customHeight="false" outlineLevel="0" collapsed="false">
      <c r="A1009" s="0" t="s">
        <v>854</v>
      </c>
      <c r="B1009" s="0" t="s">
        <v>854</v>
      </c>
    </row>
    <row r="1010" customFormat="false" ht="13.8" hidden="false" customHeight="false" outlineLevel="0" collapsed="false">
      <c r="A1010" s="0" t="s">
        <v>803</v>
      </c>
      <c r="B1010" s="0" t="s">
        <v>803</v>
      </c>
    </row>
    <row r="1011" customFormat="false" ht="13.8" hidden="false" customHeight="false" outlineLevel="0" collapsed="false">
      <c r="A1011" s="0" t="s">
        <v>309</v>
      </c>
      <c r="B1011" s="0" t="s">
        <v>309</v>
      </c>
    </row>
    <row r="1012" customFormat="false" ht="13.8" hidden="false" customHeight="false" outlineLevel="0" collapsed="false">
      <c r="A1012" s="0" t="s">
        <v>855</v>
      </c>
      <c r="B1012" s="0" t="s">
        <v>855</v>
      </c>
    </row>
    <row r="1013" customFormat="false" ht="13.8" hidden="false" customHeight="false" outlineLevel="0" collapsed="false">
      <c r="A1013" s="0" t="s">
        <v>856</v>
      </c>
      <c r="B1013" s="0" t="s">
        <v>856</v>
      </c>
    </row>
    <row r="1014" customFormat="false" ht="13.8" hidden="false" customHeight="false" outlineLevel="0" collapsed="false">
      <c r="A1014" s="0" t="s">
        <v>913</v>
      </c>
      <c r="B1014" s="0" t="s">
        <v>490</v>
      </c>
    </row>
    <row r="1015" customFormat="false" ht="13.8" hidden="false" customHeight="false" outlineLevel="0" collapsed="false">
      <c r="A1015" s="0" t="s">
        <v>96</v>
      </c>
      <c r="B1015" s="0" t="s">
        <v>96</v>
      </c>
    </row>
    <row r="1016" customFormat="false" ht="13.8" hidden="false" customHeight="false" outlineLevel="0" collapsed="false">
      <c r="A1016" s="0" t="s">
        <v>398</v>
      </c>
      <c r="B1016" s="0" t="s">
        <v>398</v>
      </c>
    </row>
    <row r="1017" customFormat="false" ht="13.8" hidden="false" customHeight="false" outlineLevel="0" collapsed="false">
      <c r="A1017" s="0" t="s">
        <v>312</v>
      </c>
      <c r="B1017" s="0" t="s">
        <v>312</v>
      </c>
    </row>
    <row r="1018" customFormat="false" ht="13.8" hidden="false" customHeight="false" outlineLevel="0" collapsed="false">
      <c r="A1018" s="0" t="s">
        <v>399</v>
      </c>
      <c r="B1018" s="0" t="s">
        <v>399</v>
      </c>
    </row>
    <row r="1019" customFormat="false" ht="13.8" hidden="false" customHeight="false" outlineLevel="0" collapsed="false">
      <c r="A1019" s="0" t="s">
        <v>857</v>
      </c>
      <c r="B1019" s="0" t="s">
        <v>857</v>
      </c>
    </row>
    <row r="1020" customFormat="false" ht="13.8" hidden="false" customHeight="false" outlineLevel="0" collapsed="false">
      <c r="A1020" s="0" t="s">
        <v>807</v>
      </c>
      <c r="B1020" s="0" t="s">
        <v>807</v>
      </c>
    </row>
    <row r="1021" customFormat="false" ht="13.8" hidden="false" customHeight="false" outlineLevel="0" collapsed="false">
      <c r="A1021" s="0" t="s">
        <v>858</v>
      </c>
      <c r="B1021" s="0" t="s">
        <v>858</v>
      </c>
    </row>
    <row r="1022" customFormat="false" ht="13.8" hidden="false" customHeight="false" outlineLevel="0" collapsed="false">
      <c r="A1022" s="0" t="s">
        <v>839</v>
      </c>
      <c r="B1022" s="0" t="s">
        <v>839</v>
      </c>
    </row>
    <row r="1023" customFormat="false" ht="13.8" hidden="false" customHeight="false" outlineLevel="0" collapsed="false">
      <c r="A1023" s="0" t="s">
        <v>44</v>
      </c>
      <c r="B1023" s="0" t="s">
        <v>44</v>
      </c>
    </row>
    <row r="1024" customFormat="false" ht="13.8" hidden="false" customHeight="false" outlineLevel="0" collapsed="false">
      <c r="A1024" s="0" t="s">
        <v>914</v>
      </c>
      <c r="B1024" s="0" t="s">
        <v>914</v>
      </c>
    </row>
    <row r="1025" customFormat="false" ht="13.8" hidden="false" customHeight="false" outlineLevel="0" collapsed="false">
      <c r="A1025" s="0" t="s">
        <v>38</v>
      </c>
      <c r="B1025" s="0" t="s">
        <v>38</v>
      </c>
    </row>
    <row r="1026" customFormat="false" ht="13.8" hidden="false" customHeight="false" outlineLevel="0" collapsed="false">
      <c r="A1026" s="0" t="s">
        <v>421</v>
      </c>
      <c r="B1026" s="0" t="s">
        <v>421</v>
      </c>
    </row>
    <row r="1027" customFormat="false" ht="13.8" hidden="false" customHeight="false" outlineLevel="0" collapsed="false">
      <c r="A1027" s="0" t="s">
        <v>915</v>
      </c>
      <c r="B1027" s="0" t="s">
        <v>915</v>
      </c>
    </row>
    <row r="1028" customFormat="false" ht="13.8" hidden="false" customHeight="false" outlineLevel="0" collapsed="false">
      <c r="A1028" s="0" t="s">
        <v>916</v>
      </c>
      <c r="B1028" s="0" t="s">
        <v>916</v>
      </c>
    </row>
    <row r="1029" customFormat="false" ht="13.8" hidden="false" customHeight="false" outlineLevel="0" collapsed="false">
      <c r="A1029" s="0" t="s">
        <v>377</v>
      </c>
      <c r="B1029" s="0" t="s">
        <v>377</v>
      </c>
    </row>
    <row r="1030" customFormat="false" ht="13.8" hidden="false" customHeight="false" outlineLevel="0" collapsed="false">
      <c r="A1030" s="0" t="s">
        <v>96</v>
      </c>
      <c r="B1030" s="0" t="s">
        <v>96</v>
      </c>
    </row>
    <row r="1031" customFormat="false" ht="13.8" hidden="false" customHeight="false" outlineLevel="0" collapsed="false">
      <c r="A1031" s="0" t="s">
        <v>858</v>
      </c>
      <c r="B1031" s="0" t="s">
        <v>858</v>
      </c>
    </row>
    <row r="1032" customFormat="false" ht="13.8" hidden="false" customHeight="false" outlineLevel="0" collapsed="false">
      <c r="A1032" s="0" t="s">
        <v>478</v>
      </c>
      <c r="B1032" s="0" t="s">
        <v>478</v>
      </c>
    </row>
    <row r="1033" customFormat="false" ht="13.8" hidden="false" customHeight="false" outlineLevel="0" collapsed="false">
      <c r="A1033" s="0" t="s">
        <v>207</v>
      </c>
      <c r="B1033" s="0" t="s">
        <v>207</v>
      </c>
    </row>
    <row r="1034" customFormat="false" ht="13.8" hidden="false" customHeight="false" outlineLevel="0" collapsed="false">
      <c r="A1034" s="0" t="s">
        <v>846</v>
      </c>
      <c r="B1034" s="0" t="s">
        <v>846</v>
      </c>
    </row>
    <row r="1035" customFormat="false" ht="13.8" hidden="false" customHeight="false" outlineLevel="0" collapsed="false">
      <c r="A1035" s="0" t="s">
        <v>309</v>
      </c>
      <c r="B1035" s="0" t="s">
        <v>309</v>
      </c>
    </row>
    <row r="1036" customFormat="false" ht="13.8" hidden="false" customHeight="false" outlineLevel="0" collapsed="false">
      <c r="A1036" s="0" t="s">
        <v>456</v>
      </c>
      <c r="B1036" s="0" t="s">
        <v>456</v>
      </c>
    </row>
    <row r="1037" customFormat="false" ht="13.8" hidden="false" customHeight="false" outlineLevel="0" collapsed="false">
      <c r="A1037" s="0" t="s">
        <v>391</v>
      </c>
      <c r="B1037" s="0" t="s">
        <v>391</v>
      </c>
    </row>
    <row r="1038" customFormat="false" ht="13.8" hidden="false" customHeight="false" outlineLevel="0" collapsed="false">
      <c r="A1038" s="0" t="s">
        <v>382</v>
      </c>
      <c r="B1038" s="0" t="s">
        <v>382</v>
      </c>
    </row>
    <row r="1039" customFormat="false" ht="13.8" hidden="false" customHeight="false" outlineLevel="0" collapsed="false">
      <c r="A1039" s="0" t="s">
        <v>889</v>
      </c>
      <c r="B1039" s="0" t="s">
        <v>889</v>
      </c>
    </row>
    <row r="1040" customFormat="false" ht="13.8" hidden="false" customHeight="false" outlineLevel="0" collapsed="false">
      <c r="A1040" s="0" t="s">
        <v>412</v>
      </c>
      <c r="B1040" s="0" t="s">
        <v>412</v>
      </c>
    </row>
    <row r="1041" customFormat="false" ht="13.8" hidden="false" customHeight="false" outlineLevel="0" collapsed="false">
      <c r="A1041" s="0" t="s">
        <v>917</v>
      </c>
      <c r="B1041" s="0" t="s">
        <v>917</v>
      </c>
    </row>
    <row r="1042" customFormat="false" ht="13.8" hidden="false" customHeight="false" outlineLevel="0" collapsed="false">
      <c r="A1042" s="0" t="s">
        <v>96</v>
      </c>
      <c r="B1042" s="0" t="s">
        <v>96</v>
      </c>
    </row>
    <row r="1043" customFormat="false" ht="13.8" hidden="false" customHeight="false" outlineLevel="0" collapsed="false">
      <c r="A1043" s="0" t="s">
        <v>496</v>
      </c>
      <c r="B1043" s="0" t="s">
        <v>496</v>
      </c>
    </row>
    <row r="1044" customFormat="false" ht="13.8" hidden="false" customHeight="false" outlineLevel="0" collapsed="false">
      <c r="A1044" s="0" t="s">
        <v>433</v>
      </c>
      <c r="B1044" s="0" t="s">
        <v>433</v>
      </c>
    </row>
    <row r="1045" customFormat="false" ht="13.8" hidden="false" customHeight="false" outlineLevel="0" collapsed="false">
      <c r="A1045" s="0" t="s">
        <v>216</v>
      </c>
      <c r="B1045" s="0" t="s">
        <v>216</v>
      </c>
    </row>
    <row r="1046" customFormat="false" ht="13.8" hidden="false" customHeight="false" outlineLevel="0" collapsed="false">
      <c r="A1046" s="0" t="s">
        <v>234</v>
      </c>
      <c r="B1046" s="0" t="s">
        <v>234</v>
      </c>
    </row>
    <row r="1047" customFormat="false" ht="13.8" hidden="false" customHeight="false" outlineLevel="0" collapsed="false">
      <c r="A1047" s="0" t="s">
        <v>497</v>
      </c>
      <c r="B1047" s="0" t="s">
        <v>497</v>
      </c>
    </row>
    <row r="1048" customFormat="false" ht="13.8" hidden="false" customHeight="false" outlineLevel="0" collapsed="false">
      <c r="A1048" s="0" t="s">
        <v>44</v>
      </c>
      <c r="B1048" s="0" t="s">
        <v>44</v>
      </c>
    </row>
    <row r="1049" customFormat="false" ht="13.8" hidden="false" customHeight="false" outlineLevel="0" collapsed="false">
      <c r="A1049" s="0" t="s">
        <v>377</v>
      </c>
      <c r="B1049" s="0" t="s">
        <v>377</v>
      </c>
    </row>
    <row r="1050" customFormat="false" ht="13.8" hidden="false" customHeight="false" outlineLevel="0" collapsed="false">
      <c r="A1050" s="0" t="s">
        <v>96</v>
      </c>
      <c r="B1050" s="0" t="s">
        <v>96</v>
      </c>
    </row>
    <row r="1051" customFormat="false" ht="13.8" hidden="false" customHeight="false" outlineLevel="0" collapsed="false">
      <c r="A1051" s="0" t="s">
        <v>503</v>
      </c>
      <c r="B1051" s="0" t="s">
        <v>503</v>
      </c>
    </row>
    <row r="1052" customFormat="false" ht="13.8" hidden="false" customHeight="false" outlineLevel="0" collapsed="false">
      <c r="A1052" s="0" t="s">
        <v>918</v>
      </c>
      <c r="B1052" s="0" t="s">
        <v>918</v>
      </c>
    </row>
    <row r="1053" customFormat="false" ht="13.8" hidden="false" customHeight="false" outlineLevel="0" collapsed="false">
      <c r="A1053" s="0" t="s">
        <v>919</v>
      </c>
      <c r="B1053" s="0" t="s">
        <v>919</v>
      </c>
    </row>
    <row r="1054" customFormat="false" ht="13.8" hidden="false" customHeight="false" outlineLevel="0" collapsed="false">
      <c r="A1054" s="0" t="s">
        <v>803</v>
      </c>
      <c r="B1054" s="0" t="s">
        <v>803</v>
      </c>
    </row>
    <row r="1055" customFormat="false" ht="13.8" hidden="false" customHeight="false" outlineLevel="0" collapsed="false">
      <c r="A1055" s="0" t="s">
        <v>488</v>
      </c>
      <c r="B1055" s="0" t="s">
        <v>488</v>
      </c>
    </row>
    <row r="1056" customFormat="false" ht="13.8" hidden="false" customHeight="false" outlineLevel="0" collapsed="false">
      <c r="A1056" s="0" t="s">
        <v>394</v>
      </c>
      <c r="B1056" s="0" t="s">
        <v>394</v>
      </c>
    </row>
    <row r="1057" customFormat="false" ht="13.8" hidden="false" customHeight="false" outlineLevel="0" collapsed="false">
      <c r="A1057" s="0" t="s">
        <v>382</v>
      </c>
      <c r="B1057" s="0" t="s">
        <v>382</v>
      </c>
    </row>
    <row r="1058" customFormat="false" ht="13.8" hidden="false" customHeight="false" outlineLevel="0" collapsed="false">
      <c r="A1058" s="0" t="s">
        <v>391</v>
      </c>
      <c r="B1058" s="0" t="s">
        <v>391</v>
      </c>
    </row>
    <row r="1059" customFormat="false" ht="13.8" hidden="false" customHeight="false" outlineLevel="0" collapsed="false">
      <c r="A1059" s="0" t="s">
        <v>920</v>
      </c>
      <c r="B1059" s="0" t="s">
        <v>442</v>
      </c>
    </row>
    <row r="1060" customFormat="false" ht="13.8" hidden="false" customHeight="false" outlineLevel="0" collapsed="false">
      <c r="A1060" s="0" t="s">
        <v>96</v>
      </c>
      <c r="B1060" s="0" t="s">
        <v>96</v>
      </c>
    </row>
    <row r="1061" customFormat="false" ht="13.8" hidden="false" customHeight="false" outlineLevel="0" collapsed="false">
      <c r="A1061" s="0" t="s">
        <v>380</v>
      </c>
      <c r="B1061" s="0" t="s">
        <v>380</v>
      </c>
    </row>
    <row r="1062" customFormat="false" ht="13.8" hidden="false" customHeight="false" outlineLevel="0" collapsed="false">
      <c r="A1062" s="0" t="s">
        <v>377</v>
      </c>
      <c r="B1062" s="0" t="s">
        <v>377</v>
      </c>
    </row>
    <row r="1063" customFormat="false" ht="13.8" hidden="false" customHeight="false" outlineLevel="0" collapsed="false">
      <c r="A1063" s="0" t="s">
        <v>456</v>
      </c>
      <c r="B1063" s="0" t="s">
        <v>456</v>
      </c>
    </row>
    <row r="1064" customFormat="false" ht="13.8" hidden="false" customHeight="false" outlineLevel="0" collapsed="false">
      <c r="A1064" s="0" t="s">
        <v>273</v>
      </c>
      <c r="B1064" s="0" t="s">
        <v>273</v>
      </c>
    </row>
    <row r="1065" customFormat="false" ht="13.8" hidden="false" customHeight="false" outlineLevel="0" collapsed="false">
      <c r="A1065" s="0" t="s">
        <v>454</v>
      </c>
      <c r="B1065" s="0" t="s">
        <v>454</v>
      </c>
    </row>
    <row r="1066" customFormat="false" ht="13.8" hidden="false" customHeight="false" outlineLevel="0" collapsed="false">
      <c r="A1066" s="0" t="s">
        <v>833</v>
      </c>
      <c r="B1066" s="0" t="s">
        <v>833</v>
      </c>
    </row>
    <row r="1067" customFormat="false" ht="13.8" hidden="false" customHeight="false" outlineLevel="0" collapsed="false">
      <c r="A1067" s="0" t="s">
        <v>309</v>
      </c>
      <c r="B1067" s="0" t="s">
        <v>309</v>
      </c>
    </row>
    <row r="1068" customFormat="false" ht="13.8" hidden="false" customHeight="false" outlineLevel="0" collapsed="false">
      <c r="A1068" s="0" t="s">
        <v>855</v>
      </c>
      <c r="B1068" s="0" t="s">
        <v>855</v>
      </c>
    </row>
    <row r="1069" customFormat="false" ht="13.8" hidden="false" customHeight="false" outlineLevel="0" collapsed="false">
      <c r="A1069" s="0" t="s">
        <v>803</v>
      </c>
      <c r="B1069" s="0" t="s">
        <v>803</v>
      </c>
    </row>
    <row r="1070" customFormat="false" ht="13.8" hidden="false" customHeight="false" outlineLevel="0" collapsed="false">
      <c r="A1070" s="0" t="s">
        <v>276</v>
      </c>
      <c r="B1070" s="0" t="s">
        <v>276</v>
      </c>
    </row>
    <row r="1071" customFormat="false" ht="13.8" hidden="false" customHeight="false" outlineLevel="0" collapsed="false">
      <c r="A1071" s="0" t="s">
        <v>398</v>
      </c>
      <c r="B1071" s="0" t="s">
        <v>398</v>
      </c>
    </row>
    <row r="1072" customFormat="false" ht="13.8" hidden="false" customHeight="false" outlineLevel="0" collapsed="false">
      <c r="A1072" s="0" t="s">
        <v>921</v>
      </c>
      <c r="B1072" s="0" t="s">
        <v>921</v>
      </c>
    </row>
    <row r="1073" customFormat="false" ht="13.8" hidden="false" customHeight="false" outlineLevel="0" collapsed="false">
      <c r="A1073" s="0" t="s">
        <v>503</v>
      </c>
      <c r="B1073" s="0" t="s">
        <v>503</v>
      </c>
    </row>
    <row r="1074" customFormat="false" ht="13.8" hidden="false" customHeight="false" outlineLevel="0" collapsed="false">
      <c r="A1074" s="0" t="s">
        <v>458</v>
      </c>
      <c r="B1074" s="0" t="s">
        <v>458</v>
      </c>
    </row>
    <row r="1075" customFormat="false" ht="13.8" hidden="false" customHeight="false" outlineLevel="0" collapsed="false">
      <c r="A1075" s="0" t="s">
        <v>821</v>
      </c>
      <c r="B1075" s="0" t="s">
        <v>821</v>
      </c>
    </row>
    <row r="1076" customFormat="false" ht="13.8" hidden="false" customHeight="false" outlineLevel="0" collapsed="false">
      <c r="A1076" s="0" t="s">
        <v>833</v>
      </c>
      <c r="B1076" s="0" t="s">
        <v>833</v>
      </c>
    </row>
    <row r="1077" customFormat="false" ht="13.8" hidden="false" customHeight="false" outlineLevel="0" collapsed="false">
      <c r="A1077" s="0" t="s">
        <v>503</v>
      </c>
      <c r="B1077" s="0" t="s">
        <v>503</v>
      </c>
    </row>
    <row r="1078" customFormat="false" ht="13.8" hidden="false" customHeight="false" outlineLevel="0" collapsed="false">
      <c r="A1078" s="0" t="s">
        <v>44</v>
      </c>
      <c r="B1078" s="0" t="s">
        <v>44</v>
      </c>
    </row>
    <row r="1079" customFormat="false" ht="13.8" hidden="false" customHeight="false" outlineLevel="0" collapsed="false">
      <c r="A1079" s="0" t="s">
        <v>207</v>
      </c>
      <c r="B1079" s="0" t="s">
        <v>207</v>
      </c>
    </row>
    <row r="1080" customFormat="false" ht="13.8" hidden="false" customHeight="false" outlineLevel="0" collapsed="false">
      <c r="A1080" s="0" t="s">
        <v>865</v>
      </c>
      <c r="B1080" s="0" t="s">
        <v>865</v>
      </c>
    </row>
    <row r="1081" customFormat="false" ht="13.8" hidden="false" customHeight="false" outlineLevel="0" collapsed="false">
      <c r="A1081" s="0" t="s">
        <v>922</v>
      </c>
      <c r="B1081" s="0" t="s">
        <v>922</v>
      </c>
    </row>
    <row r="1082" customFormat="false" ht="13.8" hidden="false" customHeight="false" outlineLevel="0" collapsed="false">
      <c r="A1082" s="0" t="s">
        <v>821</v>
      </c>
      <c r="B1082" s="0" t="s">
        <v>821</v>
      </c>
    </row>
    <row r="1083" customFormat="false" ht="13.8" hidden="false" customHeight="false" outlineLevel="0" collapsed="false">
      <c r="A1083" s="0" t="s">
        <v>833</v>
      </c>
      <c r="B1083" s="0" t="s">
        <v>833</v>
      </c>
    </row>
    <row r="1084" customFormat="false" ht="13.8" hidden="false" customHeight="false" outlineLevel="0" collapsed="false">
      <c r="A1084" s="0" t="s">
        <v>503</v>
      </c>
      <c r="B1084" s="0" t="s">
        <v>503</v>
      </c>
    </row>
    <row r="1085" customFormat="false" ht="13.8" hidden="false" customHeight="false" outlineLevel="0" collapsed="false">
      <c r="A1085" s="0" t="s">
        <v>923</v>
      </c>
      <c r="B1085" s="0" t="s">
        <v>815</v>
      </c>
    </row>
    <row r="1086" customFormat="false" ht="13.8" hidden="false" customHeight="false" outlineLevel="0" collapsed="false">
      <c r="A1086" s="0" t="s">
        <v>481</v>
      </c>
      <c r="B1086" s="0" t="s">
        <v>481</v>
      </c>
    </row>
    <row r="1087" customFormat="false" ht="13.8" hidden="false" customHeight="false" outlineLevel="0" collapsed="false">
      <c r="A1087" s="0" t="s">
        <v>924</v>
      </c>
      <c r="B1087" s="0" t="s">
        <v>294</v>
      </c>
    </row>
    <row r="1088" customFormat="false" ht="13.8" hidden="false" customHeight="false" outlineLevel="0" collapsed="false">
      <c r="A1088" s="0" t="s">
        <v>925</v>
      </c>
      <c r="B1088" s="0" t="s">
        <v>7801</v>
      </c>
    </row>
    <row r="1089" customFormat="false" ht="13.8" hidden="false" customHeight="false" outlineLevel="0" collapsed="false">
      <c r="A1089" s="0" t="s">
        <v>454</v>
      </c>
      <c r="B1089" s="0" t="s">
        <v>454</v>
      </c>
    </row>
    <row r="1090" customFormat="false" ht="13.8" hidden="false" customHeight="false" outlineLevel="0" collapsed="false">
      <c r="A1090" s="0" t="s">
        <v>503</v>
      </c>
      <c r="B1090" s="0" t="s">
        <v>503</v>
      </c>
    </row>
    <row r="1091" customFormat="false" ht="13.8" hidden="false" customHeight="false" outlineLevel="0" collapsed="false">
      <c r="A1091" s="0" t="s">
        <v>44</v>
      </c>
      <c r="B1091" s="0" t="s">
        <v>44</v>
      </c>
    </row>
    <row r="1092" customFormat="false" ht="13.8" hidden="false" customHeight="false" outlineLevel="0" collapsed="false">
      <c r="A1092" s="0" t="s">
        <v>207</v>
      </c>
      <c r="B1092" s="0" t="s">
        <v>207</v>
      </c>
    </row>
    <row r="1093" customFormat="false" ht="13.8" hidden="false" customHeight="false" outlineLevel="0" collapsed="false">
      <c r="A1093" s="0" t="s">
        <v>419</v>
      </c>
      <c r="B1093" s="0" t="s">
        <v>419</v>
      </c>
    </row>
    <row r="1094" customFormat="false" ht="13.8" hidden="false" customHeight="false" outlineLevel="0" collapsed="false">
      <c r="A1094" s="0" t="s">
        <v>503</v>
      </c>
      <c r="B1094" s="0" t="s">
        <v>503</v>
      </c>
    </row>
    <row r="1095" customFormat="false" ht="13.8" hidden="false" customHeight="false" outlineLevel="0" collapsed="false">
      <c r="A1095" s="0" t="s">
        <v>44</v>
      </c>
      <c r="B1095" s="0" t="s">
        <v>44</v>
      </c>
    </row>
    <row r="1096" customFormat="false" ht="13.8" hidden="false" customHeight="false" outlineLevel="0" collapsed="false">
      <c r="A1096" s="0" t="s">
        <v>207</v>
      </c>
      <c r="B1096" s="0" t="s">
        <v>207</v>
      </c>
    </row>
    <row r="1097" customFormat="false" ht="13.8" hidden="false" customHeight="false" outlineLevel="0" collapsed="false">
      <c r="A1097" s="0" t="s">
        <v>399</v>
      </c>
      <c r="B1097" s="0" t="s">
        <v>399</v>
      </c>
    </row>
    <row r="1098" customFormat="false" ht="13.8" hidden="false" customHeight="false" outlineLevel="0" collapsed="false">
      <c r="A1098" s="0" t="s">
        <v>280</v>
      </c>
      <c r="B1098" s="0" t="s">
        <v>281</v>
      </c>
    </row>
    <row r="1099" customFormat="false" ht="13.8" hidden="false" customHeight="false" outlineLevel="0" collapsed="false">
      <c r="A1099" s="0" t="s">
        <v>926</v>
      </c>
      <c r="B1099" s="0" t="s">
        <v>926</v>
      </c>
    </row>
    <row r="1100" customFormat="false" ht="13.8" hidden="false" customHeight="false" outlineLevel="0" collapsed="false">
      <c r="A1100" s="0" t="s">
        <v>927</v>
      </c>
      <c r="B1100" s="0" t="s">
        <v>466</v>
      </c>
    </row>
    <row r="1101" customFormat="false" ht="13.8" hidden="false" customHeight="false" outlineLevel="0" collapsed="false">
      <c r="A1101" s="0" t="s">
        <v>928</v>
      </c>
      <c r="B1101" s="0" t="s">
        <v>423</v>
      </c>
    </row>
    <row r="1102" customFormat="false" ht="13.8" hidden="false" customHeight="false" outlineLevel="0" collapsed="false">
      <c r="A1102" s="0" t="s">
        <v>929</v>
      </c>
      <c r="B1102" s="0" t="s">
        <v>467</v>
      </c>
    </row>
    <row r="1103" customFormat="false" ht="13.8" hidden="false" customHeight="false" outlineLevel="0" collapsed="false">
      <c r="A1103" s="0" t="s">
        <v>931</v>
      </c>
      <c r="B1103" s="0" t="s">
        <v>44</v>
      </c>
    </row>
    <row r="1104" customFormat="false" ht="13.8" hidden="false" customHeight="false" outlineLevel="0" collapsed="false">
      <c r="A1104" s="0" t="s">
        <v>485</v>
      </c>
      <c r="B1104" s="0" t="s">
        <v>485</v>
      </c>
    </row>
    <row r="1105" customFormat="false" ht="13.8" hidden="false" customHeight="false" outlineLevel="0" collapsed="false">
      <c r="A1105" s="0" t="s">
        <v>839</v>
      </c>
      <c r="B1105" s="0" t="s">
        <v>839</v>
      </c>
    </row>
    <row r="1106" customFormat="false" ht="13.8" hidden="false" customHeight="false" outlineLevel="0" collapsed="false">
      <c r="A1106" s="0" t="s">
        <v>391</v>
      </c>
      <c r="B1106" s="0" t="s">
        <v>391</v>
      </c>
    </row>
    <row r="1107" customFormat="false" ht="13.8" hidden="false" customHeight="false" outlineLevel="0" collapsed="false">
      <c r="A1107" s="0" t="s">
        <v>932</v>
      </c>
      <c r="B1107" s="0" t="s">
        <v>932</v>
      </c>
    </row>
    <row r="1108" customFormat="false" ht="13.8" hidden="false" customHeight="false" outlineLevel="0" collapsed="false">
      <c r="A1108" s="0" t="s">
        <v>44</v>
      </c>
      <c r="B1108" s="0" t="s">
        <v>44</v>
      </c>
    </row>
    <row r="1109" customFormat="false" ht="13.8" hidden="false" customHeight="false" outlineLevel="0" collapsed="false">
      <c r="A1109" s="0" t="s">
        <v>470</v>
      </c>
      <c r="B1109" s="0" t="s">
        <v>470</v>
      </c>
    </row>
    <row r="1110" customFormat="false" ht="13.8" hidden="false" customHeight="false" outlineLevel="0" collapsed="false">
      <c r="A1110" s="0" t="s">
        <v>933</v>
      </c>
      <c r="B1110" s="0" t="s">
        <v>933</v>
      </c>
    </row>
    <row r="1111" customFormat="false" ht="13.8" hidden="false" customHeight="false" outlineLevel="0" collapsed="false">
      <c r="A1111" s="0" t="s">
        <v>96</v>
      </c>
      <c r="B1111" s="0" t="s">
        <v>96</v>
      </c>
    </row>
    <row r="1112" customFormat="false" ht="13.8" hidden="false" customHeight="false" outlineLevel="0" collapsed="false">
      <c r="A1112" s="0" t="s">
        <v>934</v>
      </c>
      <c r="B1112" s="0" t="s">
        <v>934</v>
      </c>
    </row>
    <row r="1113" customFormat="false" ht="13.8" hidden="false" customHeight="false" outlineLevel="0" collapsed="false">
      <c r="A1113" s="0" t="s">
        <v>303</v>
      </c>
      <c r="B1113" s="0" t="s">
        <v>303</v>
      </c>
    </row>
    <row r="1114" customFormat="false" ht="13.8" hidden="false" customHeight="false" outlineLevel="0" collapsed="false">
      <c r="A1114" s="0" t="s">
        <v>821</v>
      </c>
      <c r="B1114" s="0" t="s">
        <v>821</v>
      </c>
    </row>
    <row r="1115" customFormat="false" ht="13.8" hidden="false" customHeight="false" outlineLevel="0" collapsed="false">
      <c r="A1115" s="0" t="s">
        <v>394</v>
      </c>
      <c r="B1115" s="0" t="s">
        <v>394</v>
      </c>
    </row>
    <row r="1116" customFormat="false" ht="13.8" hidden="false" customHeight="false" outlineLevel="0" collapsed="false">
      <c r="A1116" s="0" t="s">
        <v>500</v>
      </c>
      <c r="B1116" s="0" t="s">
        <v>500</v>
      </c>
    </row>
    <row r="1117" customFormat="false" ht="13.8" hidden="false" customHeight="false" outlineLevel="0" collapsed="false">
      <c r="A1117" s="0" t="s">
        <v>839</v>
      </c>
      <c r="B1117" s="0" t="s">
        <v>839</v>
      </c>
    </row>
    <row r="1118" customFormat="false" ht="13.8" hidden="false" customHeight="false" outlineLevel="0" collapsed="false">
      <c r="A1118" s="0" t="s">
        <v>391</v>
      </c>
      <c r="B1118" s="0" t="s">
        <v>391</v>
      </c>
    </row>
    <row r="1119" customFormat="false" ht="13.8" hidden="false" customHeight="false" outlineLevel="0" collapsed="false">
      <c r="A1119" s="0" t="s">
        <v>932</v>
      </c>
      <c r="B1119" s="0" t="s">
        <v>932</v>
      </c>
    </row>
    <row r="1120" customFormat="false" ht="13.8" hidden="false" customHeight="false" outlineLevel="0" collapsed="false">
      <c r="A1120" s="0" t="s">
        <v>44</v>
      </c>
      <c r="B1120" s="0" t="s">
        <v>44</v>
      </c>
    </row>
    <row r="1121" customFormat="false" ht="13.8" hidden="false" customHeight="false" outlineLevel="0" collapsed="false">
      <c r="A1121" s="0" t="s">
        <v>470</v>
      </c>
      <c r="B1121" s="0" t="s">
        <v>470</v>
      </c>
    </row>
    <row r="1122" customFormat="false" ht="13.8" hidden="false" customHeight="false" outlineLevel="0" collapsed="false">
      <c r="A1122" s="0" t="s">
        <v>933</v>
      </c>
      <c r="B1122" s="0" t="s">
        <v>933</v>
      </c>
    </row>
    <row r="1123" customFormat="false" ht="13.8" hidden="false" customHeight="false" outlineLevel="0" collapsed="false">
      <c r="A1123" s="0" t="s">
        <v>96</v>
      </c>
      <c r="B1123" s="0" t="s">
        <v>96</v>
      </c>
    </row>
    <row r="1124" customFormat="false" ht="13.8" hidden="false" customHeight="false" outlineLevel="0" collapsed="false">
      <c r="A1124" s="0" t="s">
        <v>937</v>
      </c>
      <c r="B1124" s="0" t="s">
        <v>937</v>
      </c>
    </row>
    <row r="1125" customFormat="false" ht="13.8" hidden="false" customHeight="false" outlineLevel="0" collapsed="false">
      <c r="A1125" s="0" t="s">
        <v>312</v>
      </c>
      <c r="B1125" s="0" t="s">
        <v>312</v>
      </c>
    </row>
    <row r="1126" customFormat="false" ht="13.8" hidden="false" customHeight="false" outlineLevel="0" collapsed="false">
      <c r="A1126" s="0" t="s">
        <v>399</v>
      </c>
      <c r="B1126" s="0" t="s">
        <v>399</v>
      </c>
    </row>
    <row r="1127" customFormat="false" ht="13.8" hidden="false" customHeight="false" outlineLevel="0" collapsed="false">
      <c r="A1127" s="0" t="s">
        <v>351</v>
      </c>
      <c r="B1127" s="0" t="s">
        <v>351</v>
      </c>
    </row>
    <row r="1128" customFormat="false" ht="13.8" hidden="false" customHeight="false" outlineLevel="0" collapsed="false">
      <c r="A1128" s="0" t="s">
        <v>238</v>
      </c>
      <c r="B1128" s="0" t="s">
        <v>833</v>
      </c>
    </row>
    <row r="1129" customFormat="false" ht="13.8" hidden="false" customHeight="false" outlineLevel="0" collapsed="false">
      <c r="A1129" s="0" t="s">
        <v>938</v>
      </c>
      <c r="B1129" s="0" t="s">
        <v>102</v>
      </c>
    </row>
    <row r="1130" customFormat="false" ht="13.8" hidden="false" customHeight="false" outlineLevel="0" collapsed="false">
      <c r="A1130" s="0" t="s">
        <v>924</v>
      </c>
      <c r="B1130" s="0" t="s">
        <v>294</v>
      </c>
    </row>
    <row r="1131" customFormat="false" ht="13.8" hidden="false" customHeight="false" outlineLevel="0" collapsed="false">
      <c r="A1131" s="0" t="s">
        <v>939</v>
      </c>
      <c r="B1131" s="0" t="s">
        <v>840</v>
      </c>
    </row>
    <row r="1132" customFormat="false" ht="13.8" hidden="false" customHeight="false" outlineLevel="0" collapsed="false">
      <c r="A1132" s="0" t="s">
        <v>940</v>
      </c>
      <c r="B1132" s="0" t="s">
        <v>470</v>
      </c>
    </row>
    <row r="1133" customFormat="false" ht="13.8" hidden="false" customHeight="false" outlineLevel="0" collapsed="false">
      <c r="A1133" s="0" t="s">
        <v>931</v>
      </c>
      <c r="B1133" s="0" t="s">
        <v>44</v>
      </c>
    </row>
    <row r="1134" customFormat="false" ht="13.8" hidden="false" customHeight="false" outlineLevel="0" collapsed="false">
      <c r="A1134" s="0" t="s">
        <v>678</v>
      </c>
      <c r="B1134" s="0" t="s">
        <v>678</v>
      </c>
    </row>
    <row r="1135" customFormat="false" ht="13.8" hidden="false" customHeight="false" outlineLevel="0" collapsed="false">
      <c r="A1135" s="0" t="s">
        <v>790</v>
      </c>
      <c r="B1135" s="0" t="s">
        <v>374</v>
      </c>
    </row>
    <row r="1136" customFormat="false" ht="13.8" hidden="false" customHeight="false" outlineLevel="0" collapsed="false">
      <c r="A1136" s="0" t="s">
        <v>715</v>
      </c>
      <c r="B1136" s="0" t="s">
        <v>237</v>
      </c>
    </row>
    <row r="1137" customFormat="false" ht="13.8" hidden="false" customHeight="false" outlineLevel="0" collapsed="false">
      <c r="A1137" s="0" t="s">
        <v>943</v>
      </c>
      <c r="B1137" s="0" t="s">
        <v>243</v>
      </c>
    </row>
    <row r="1138" customFormat="false" ht="13.8" hidden="false" customHeight="false" outlineLevel="0" collapsed="false">
      <c r="A1138" s="0" t="s">
        <v>21</v>
      </c>
      <c r="B1138" s="0" t="s">
        <v>485</v>
      </c>
    </row>
    <row r="1139" customFormat="false" ht="13.8" hidden="false" customHeight="false" outlineLevel="0" collapsed="false">
      <c r="A1139" s="0" t="s">
        <v>945</v>
      </c>
      <c r="B1139" s="0" t="s">
        <v>102</v>
      </c>
    </row>
    <row r="1140" customFormat="false" ht="13.8" hidden="false" customHeight="false" outlineLevel="0" collapsed="false">
      <c r="A1140" s="0" t="s">
        <v>947</v>
      </c>
      <c r="B1140" s="0" t="s">
        <v>393</v>
      </c>
    </row>
    <row r="1141" customFormat="false" ht="13.8" hidden="false" customHeight="false" outlineLevel="0" collapsed="false">
      <c r="A1141" s="0" t="s">
        <v>949</v>
      </c>
      <c r="B1141" s="0" t="s">
        <v>7802</v>
      </c>
    </row>
    <row r="1142" customFormat="false" ht="13.8" hidden="false" customHeight="false" outlineLevel="0" collapsed="false">
      <c r="A1142" s="0" t="s">
        <v>238</v>
      </c>
      <c r="B1142" s="0" t="s">
        <v>833</v>
      </c>
    </row>
    <row r="1143" customFormat="false" ht="13.8" hidden="false" customHeight="false" outlineLevel="0" collapsed="false">
      <c r="A1143" s="0" t="s">
        <v>951</v>
      </c>
      <c r="B1143" s="0" t="s">
        <v>309</v>
      </c>
    </row>
    <row r="1144" customFormat="false" ht="13.8" hidden="false" customHeight="false" outlineLevel="0" collapsed="false">
      <c r="A1144" s="0" t="s">
        <v>645</v>
      </c>
      <c r="B1144" s="0" t="s">
        <v>354</v>
      </c>
    </row>
    <row r="1145" customFormat="false" ht="13.8" hidden="false" customHeight="false" outlineLevel="0" collapsed="false">
      <c r="A1145" s="0" t="s">
        <v>953</v>
      </c>
      <c r="B1145" s="0" t="s">
        <v>842</v>
      </c>
    </row>
    <row r="1146" customFormat="false" ht="13.8" hidden="false" customHeight="false" outlineLevel="0" collapsed="false">
      <c r="A1146" s="0" t="s">
        <v>954</v>
      </c>
      <c r="B1146" s="0" t="s">
        <v>452</v>
      </c>
    </row>
    <row r="1147" customFormat="false" ht="13.8" hidden="false" customHeight="false" outlineLevel="0" collapsed="false">
      <c r="A1147" s="0" t="s">
        <v>658</v>
      </c>
      <c r="B1147" s="0" t="s">
        <v>7728</v>
      </c>
    </row>
    <row r="1148" customFormat="false" ht="13.8" hidden="false" customHeight="false" outlineLevel="0" collapsed="false">
      <c r="A1148" s="0" t="s">
        <v>556</v>
      </c>
      <c r="B1148" s="0" t="s">
        <v>225</v>
      </c>
    </row>
    <row r="1149" customFormat="false" ht="13.8" hidden="false" customHeight="false" outlineLevel="0" collapsed="false">
      <c r="A1149" s="0" t="s">
        <v>844</v>
      </c>
      <c r="B1149" s="0" t="s">
        <v>462</v>
      </c>
    </row>
    <row r="1150" customFormat="false" ht="13.8" hidden="false" customHeight="false" outlineLevel="0" collapsed="false">
      <c r="A1150" s="0" t="s">
        <v>700</v>
      </c>
      <c r="B1150" s="0" t="s">
        <v>499</v>
      </c>
    </row>
    <row r="1151" customFormat="false" ht="13.8" hidden="false" customHeight="false" outlineLevel="0" collapsed="false">
      <c r="A1151" s="0" t="s">
        <v>955</v>
      </c>
      <c r="B1151" s="0" t="s">
        <v>7803</v>
      </c>
    </row>
    <row r="1152" customFormat="false" ht="13.8" hidden="false" customHeight="false" outlineLevel="0" collapsed="false">
      <c r="A1152" s="0" t="s">
        <v>956</v>
      </c>
      <c r="B1152" s="0" t="s">
        <v>7804</v>
      </c>
    </row>
    <row r="1153" customFormat="false" ht="13.8" hidden="false" customHeight="false" outlineLevel="0" collapsed="false">
      <c r="A1153" s="0" t="s">
        <v>957</v>
      </c>
      <c r="B1153" s="0" t="s">
        <v>485</v>
      </c>
    </row>
    <row r="1154" customFormat="false" ht="13.8" hidden="false" customHeight="false" outlineLevel="0" collapsed="false">
      <c r="A1154" s="0" t="s">
        <v>958</v>
      </c>
      <c r="B1154" s="0" t="s">
        <v>7805</v>
      </c>
    </row>
    <row r="1155" customFormat="false" ht="13.8" hidden="false" customHeight="false" outlineLevel="0" collapsed="false">
      <c r="A1155" s="0" t="s">
        <v>959</v>
      </c>
      <c r="B1155" s="0" t="s">
        <v>204</v>
      </c>
    </row>
    <row r="1156" customFormat="false" ht="13.8" hidden="false" customHeight="false" outlineLevel="0" collapsed="false">
      <c r="A1156" s="0" t="s">
        <v>960</v>
      </c>
      <c r="B1156" s="0" t="s">
        <v>391</v>
      </c>
    </row>
    <row r="1157" customFormat="false" ht="13.8" hidden="false" customHeight="false" outlineLevel="0" collapsed="false">
      <c r="A1157" s="0" t="s">
        <v>961</v>
      </c>
      <c r="B1157" s="0" t="s">
        <v>377</v>
      </c>
    </row>
    <row r="1158" customFormat="false" ht="13.8" hidden="false" customHeight="false" outlineLevel="0" collapsed="false">
      <c r="A1158" s="0" t="s">
        <v>962</v>
      </c>
      <c r="B1158" s="0" t="s">
        <v>476</v>
      </c>
    </row>
    <row r="1159" customFormat="false" ht="13.8" hidden="false" customHeight="false" outlineLevel="0" collapsed="false">
      <c r="A1159" s="0" t="s">
        <v>963</v>
      </c>
      <c r="B1159" s="0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0" activeCellId="0" sqref="B20"/>
    </sheetView>
  </sheetViews>
  <sheetFormatPr defaultRowHeight="15" outlineLevelRow="0" outlineLevelCol="0"/>
  <cols>
    <col collapsed="false" customWidth="true" hidden="false" outlineLevel="0" max="1" min="1" style="0" width="22.25"/>
    <col collapsed="false" customWidth="true" hidden="false" outlineLevel="0" max="2" min="2" style="0" width="15"/>
    <col collapsed="false" customWidth="true" hidden="false" outlineLevel="0" max="3" min="3" style="0" width="22.25"/>
    <col collapsed="false" customWidth="true" hidden="false" outlineLevel="0" max="4" min="4" style="0" width="11.13"/>
    <col collapsed="false" customWidth="true" hidden="false" outlineLevel="0" max="5" min="5" style="0" width="12.26"/>
    <col collapsed="false" customWidth="true" hidden="false" outlineLevel="0" max="7" min="6" style="0" width="8.53"/>
    <col collapsed="false" customWidth="true" hidden="false" outlineLevel="0" max="8" min="8" style="0" width="16.5"/>
    <col collapsed="false" customWidth="true" hidden="false" outlineLevel="0" max="1025" min="9" style="0" width="8.53"/>
  </cols>
  <sheetData>
    <row r="1" s="207" customFormat="true" ht="15" hidden="false" customHeight="false" outlineLevel="0" collapsed="false">
      <c r="A1" s="207" t="s">
        <v>7806</v>
      </c>
      <c r="B1" s="207" t="s">
        <v>7807</v>
      </c>
      <c r="C1" s="207" t="s">
        <v>7808</v>
      </c>
      <c r="D1" s="207" t="s">
        <v>7809</v>
      </c>
      <c r="E1" s="207" t="s">
        <v>7810</v>
      </c>
      <c r="F1" s="207" t="s">
        <v>7811</v>
      </c>
      <c r="G1" s="207" t="s">
        <v>7812</v>
      </c>
      <c r="H1" s="207" t="s">
        <v>7813</v>
      </c>
      <c r="I1" s="207" t="s">
        <v>7814</v>
      </c>
    </row>
    <row r="2" customFormat="false" ht="15.75" hidden="false" customHeight="false" outlineLevel="0" collapsed="false">
      <c r="A2" s="2" t="s">
        <v>1</v>
      </c>
      <c r="B2" s="10" t="s">
        <v>48</v>
      </c>
      <c r="C2" s="4" t="s">
        <v>378</v>
      </c>
      <c r="E2" s="2" t="s">
        <v>28</v>
      </c>
      <c r="H2" s="4" t="s">
        <v>78</v>
      </c>
    </row>
    <row r="3" customFormat="false" ht="15.75" hidden="false" customHeight="false" outlineLevel="0" collapsed="false">
      <c r="A3" s="30" t="s">
        <v>35</v>
      </c>
      <c r="C3" s="0" t="s">
        <v>289</v>
      </c>
      <c r="D3" s="0" t="s">
        <v>214</v>
      </c>
      <c r="E3" s="10" t="s">
        <v>91</v>
      </c>
    </row>
    <row r="4" customFormat="false" ht="15" hidden="false" customHeight="false" outlineLevel="0" collapsed="false">
      <c r="A4" s="4" t="s">
        <v>378</v>
      </c>
      <c r="C4" s="0" t="s">
        <v>208</v>
      </c>
    </row>
    <row r="5" customFormat="false" ht="15" hidden="false" customHeight="false" outlineLevel="0" collapsed="false">
      <c r="A5" s="0" t="s">
        <v>328</v>
      </c>
      <c r="C5" s="0" t="s">
        <v>375</v>
      </c>
    </row>
    <row r="6" customFormat="false" ht="15" hidden="false" customHeight="false" outlineLevel="0" collapsed="false">
      <c r="A6" s="0" t="s">
        <v>268</v>
      </c>
      <c r="C6" s="0" t="s">
        <v>160</v>
      </c>
    </row>
    <row r="7" customFormat="false" ht="15" hidden="false" customHeight="false" outlineLevel="0" collapsed="false">
      <c r="A7" s="0" t="s">
        <v>169</v>
      </c>
      <c r="C7" s="0" t="s">
        <v>157</v>
      </c>
    </row>
    <row r="8" customFormat="false" ht="15" hidden="false" customHeight="false" outlineLevel="0" collapsed="false">
      <c r="A8" s="0" t="s">
        <v>114</v>
      </c>
      <c r="C8" s="0" t="s">
        <v>163</v>
      </c>
    </row>
    <row r="9" customFormat="false" ht="15" hidden="false" customHeight="false" outlineLevel="0" collapsed="false">
      <c r="A9" s="0" t="s">
        <v>144</v>
      </c>
      <c r="C9" s="0" t="s">
        <v>118</v>
      </c>
    </row>
    <row r="10" customFormat="false" ht="15" hidden="false" customHeight="false" outlineLevel="0" collapsed="false">
      <c r="A10" s="0" t="s">
        <v>217</v>
      </c>
      <c r="C10" s="0" t="s">
        <v>132</v>
      </c>
    </row>
    <row r="11" customFormat="false" ht="15" hidden="false" customHeight="false" outlineLevel="0" collapsed="false">
      <c r="A11" s="0" t="s">
        <v>307</v>
      </c>
      <c r="C11" s="0" t="s">
        <v>148</v>
      </c>
    </row>
    <row r="12" customFormat="false" ht="15" hidden="false" customHeight="false" outlineLevel="0" collapsed="false">
      <c r="C12" s="0" t="s">
        <v>7815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44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selection pane="topLeft" activeCell="B1" activeCellId="0" sqref="B1"/>
    </sheetView>
  </sheetViews>
  <sheetFormatPr defaultRowHeight="15" outlineLevelRow="0" outlineLevelCol="0"/>
  <cols>
    <col collapsed="false" customWidth="true" hidden="false" outlineLevel="0" max="1" min="1" style="208" width="16.74"/>
    <col collapsed="false" customWidth="true" hidden="false" outlineLevel="0" max="2" min="2" style="209" width="22.13"/>
    <col collapsed="false" customWidth="true" hidden="false" outlineLevel="0" max="3" min="3" style="210" width="7.51"/>
    <col collapsed="false" customWidth="true" hidden="false" outlineLevel="0" max="4" min="4" style="211" width="4.88"/>
    <col collapsed="false" customWidth="true" hidden="false" outlineLevel="0" max="5" min="5" style="210" width="8.64"/>
    <col collapsed="false" customWidth="true" hidden="false" outlineLevel="0" max="6" min="6" style="209" width="4.88"/>
    <col collapsed="false" customWidth="true" hidden="false" outlineLevel="0" max="7" min="7" style="208" width="9.13"/>
    <col collapsed="false" customWidth="true" hidden="false" outlineLevel="0" max="8" min="8" style="209" width="18.62"/>
    <col collapsed="false" customWidth="true" hidden="false" outlineLevel="0" max="9" min="9" style="208" width="9.13"/>
    <col collapsed="false" customWidth="true" hidden="false" outlineLevel="0" max="10" min="10" style="210" width="7.13"/>
    <col collapsed="false" customWidth="true" hidden="false" outlineLevel="0" max="1025" min="11" style="208" width="9.13"/>
  </cols>
  <sheetData>
    <row r="1" s="215" customFormat="true" ht="15.75" hidden="false" customHeight="false" outlineLevel="0" collapsed="false">
      <c r="A1" s="212" t="s">
        <v>7816</v>
      </c>
      <c r="B1" s="213"/>
      <c r="C1" s="214"/>
      <c r="D1" s="212"/>
      <c r="E1" s="214"/>
      <c r="F1" s="212"/>
      <c r="G1" s="212"/>
      <c r="H1" s="212"/>
      <c r="I1" s="212"/>
    </row>
    <row r="3" customFormat="false" ht="15" hidden="false" customHeight="false" outlineLevel="0" collapsed="false">
      <c r="A3" s="216" t="s">
        <v>250</v>
      </c>
      <c r="B3" s="217" t="s">
        <v>2</v>
      </c>
      <c r="C3" s="216" t="s">
        <v>3</v>
      </c>
      <c r="D3" s="216" t="s">
        <v>4</v>
      </c>
      <c r="E3" s="216" t="s">
        <v>5</v>
      </c>
      <c r="F3" s="216" t="s">
        <v>4</v>
      </c>
      <c r="G3" s="218"/>
    </row>
    <row r="4" customFormat="false" ht="15" hidden="false" customHeight="false" outlineLevel="0" collapsed="false">
      <c r="A4" s="218"/>
      <c r="B4" s="219" t="s">
        <v>7817</v>
      </c>
      <c r="C4" s="218" t="n">
        <v>25</v>
      </c>
      <c r="D4" s="218" t="s">
        <v>7</v>
      </c>
      <c r="E4" s="218" t="n">
        <f aca="false">C4*2</f>
        <v>50</v>
      </c>
      <c r="F4" s="218" t="s">
        <v>7</v>
      </c>
      <c r="G4" s="218"/>
    </row>
    <row r="5" customFormat="false" ht="15" hidden="false" customHeight="false" outlineLevel="0" collapsed="false">
      <c r="A5" s="220"/>
      <c r="B5" s="221" t="s">
        <v>11</v>
      </c>
      <c r="C5" s="220" t="n">
        <v>5</v>
      </c>
      <c r="D5" s="222" t="s">
        <v>7</v>
      </c>
      <c r="E5" s="223" t="n">
        <f aca="false">C5*2</f>
        <v>10</v>
      </c>
      <c r="F5" s="222" t="s">
        <v>7</v>
      </c>
      <c r="G5" s="224"/>
    </row>
    <row r="6" customFormat="false" ht="15" hidden="false" customHeight="false" outlineLevel="0" collapsed="false">
      <c r="A6" s="220"/>
      <c r="B6" s="221" t="s">
        <v>10</v>
      </c>
      <c r="C6" s="220" t="n">
        <v>5</v>
      </c>
      <c r="D6" s="222" t="s">
        <v>7</v>
      </c>
      <c r="E6" s="223" t="n">
        <f aca="false">C6*2</f>
        <v>10</v>
      </c>
      <c r="F6" s="222" t="s">
        <v>7</v>
      </c>
      <c r="G6" s="224"/>
    </row>
    <row r="7" customFormat="false" ht="15" hidden="false" customHeight="false" outlineLevel="0" collapsed="false">
      <c r="A7" s="223"/>
      <c r="B7" s="221" t="s">
        <v>7818</v>
      </c>
      <c r="C7" s="223" t="n">
        <v>5</v>
      </c>
      <c r="D7" s="222" t="s">
        <v>7</v>
      </c>
      <c r="E7" s="223" t="n">
        <f aca="false">C7*2</f>
        <v>10</v>
      </c>
      <c r="F7" s="222" t="s">
        <v>7</v>
      </c>
      <c r="G7" s="224"/>
    </row>
    <row r="8" customFormat="false" ht="15" hidden="false" customHeight="false" outlineLevel="0" collapsed="false">
      <c r="A8" s="223"/>
      <c r="B8" s="221" t="s">
        <v>738</v>
      </c>
      <c r="C8" s="223" t="n">
        <v>5</v>
      </c>
      <c r="D8" s="222" t="s">
        <v>7</v>
      </c>
      <c r="E8" s="223" t="n">
        <f aca="false">C8*2</f>
        <v>10</v>
      </c>
      <c r="F8" s="222" t="s">
        <v>7</v>
      </c>
      <c r="G8" s="224"/>
    </row>
    <row r="9" customFormat="false" ht="15" hidden="false" customHeight="false" outlineLevel="0" collapsed="false">
      <c r="A9" s="223"/>
      <c r="B9" s="221" t="s">
        <v>7819</v>
      </c>
      <c r="C9" s="223" t="n">
        <v>7.5</v>
      </c>
      <c r="D9" s="222" t="s">
        <v>13</v>
      </c>
      <c r="E9" s="223" t="n">
        <f aca="false">C9*2</f>
        <v>15</v>
      </c>
      <c r="F9" s="222" t="s">
        <v>13</v>
      </c>
      <c r="G9" s="224"/>
    </row>
    <row r="10" customFormat="false" ht="15" hidden="false" customHeight="false" outlineLevel="0" collapsed="false">
      <c r="A10" s="223"/>
      <c r="B10" s="221" t="s">
        <v>672</v>
      </c>
      <c r="C10" s="223" t="n">
        <v>2.5</v>
      </c>
      <c r="D10" s="222" t="s">
        <v>20</v>
      </c>
      <c r="E10" s="223" t="n">
        <f aca="false">C10*2</f>
        <v>5</v>
      </c>
      <c r="F10" s="222" t="s">
        <v>20</v>
      </c>
      <c r="G10" s="224"/>
    </row>
    <row r="11" customFormat="false" ht="15" hidden="false" customHeight="false" outlineLevel="0" collapsed="false">
      <c r="A11" s="223"/>
      <c r="B11" s="221" t="s">
        <v>14</v>
      </c>
      <c r="C11" s="223" t="n">
        <v>2.5</v>
      </c>
      <c r="D11" s="222" t="s">
        <v>20</v>
      </c>
      <c r="E11" s="223" t="n">
        <f aca="false">C11*2</f>
        <v>5</v>
      </c>
      <c r="F11" s="222" t="s">
        <v>20</v>
      </c>
      <c r="G11" s="224"/>
    </row>
    <row r="12" customFormat="false" ht="15" hidden="false" customHeight="false" outlineLevel="0" collapsed="false">
      <c r="A12" s="220"/>
      <c r="B12" s="221" t="s">
        <v>7820</v>
      </c>
      <c r="C12" s="220" t="n">
        <v>0.5</v>
      </c>
      <c r="D12" s="222" t="s">
        <v>13</v>
      </c>
      <c r="E12" s="223" t="n">
        <f aca="false">C12*2</f>
        <v>1</v>
      </c>
      <c r="F12" s="222" t="s">
        <v>13</v>
      </c>
      <c r="G12" s="224"/>
    </row>
    <row r="13" customFormat="false" ht="15" hidden="false" customHeight="false" outlineLevel="0" collapsed="false">
      <c r="A13" s="220"/>
      <c r="B13" s="221" t="s">
        <v>651</v>
      </c>
      <c r="C13" s="220" t="n">
        <v>2</v>
      </c>
      <c r="D13" s="222" t="s">
        <v>13</v>
      </c>
      <c r="E13" s="223" t="n">
        <f aca="false">C13*2</f>
        <v>4</v>
      </c>
      <c r="F13" s="222" t="s">
        <v>13</v>
      </c>
      <c r="G13" s="224"/>
    </row>
    <row r="14" customFormat="false" ht="15" hidden="false" customHeight="false" outlineLevel="0" collapsed="false">
      <c r="A14" s="223"/>
      <c r="B14" s="221" t="s">
        <v>18</v>
      </c>
      <c r="C14" s="223" t="n">
        <v>1</v>
      </c>
      <c r="D14" s="222" t="s">
        <v>13</v>
      </c>
      <c r="E14" s="223" t="n">
        <f aca="false">C14*2</f>
        <v>2</v>
      </c>
      <c r="F14" s="222" t="s">
        <v>13</v>
      </c>
      <c r="G14" s="224"/>
    </row>
    <row r="15" customFormat="false" ht="15" hidden="false" customHeight="false" outlineLevel="0" collapsed="false">
      <c r="A15" s="223"/>
      <c r="B15" s="225" t="s">
        <v>15</v>
      </c>
      <c r="C15" s="223" t="n">
        <v>1</v>
      </c>
      <c r="D15" s="222" t="s">
        <v>13</v>
      </c>
      <c r="E15" s="223" t="n">
        <f aca="false">C15*2</f>
        <v>2</v>
      </c>
      <c r="F15" s="222" t="s">
        <v>13</v>
      </c>
      <c r="G15" s="224"/>
    </row>
    <row r="16" customFormat="false" ht="15" hidden="false" customHeight="false" outlineLevel="0" collapsed="false">
      <c r="A16" s="223"/>
      <c r="B16" s="221" t="s">
        <v>650</v>
      </c>
      <c r="C16" s="223" t="n">
        <v>0.5</v>
      </c>
      <c r="D16" s="222" t="s">
        <v>20</v>
      </c>
      <c r="E16" s="223" t="n">
        <f aca="false">C16*2</f>
        <v>1</v>
      </c>
      <c r="F16" s="222" t="s">
        <v>20</v>
      </c>
      <c r="G16" s="224"/>
    </row>
    <row r="17" s="208" customFormat="true" ht="15" hidden="false" customHeight="false" outlineLevel="0" collapsed="false">
      <c r="A17" s="223"/>
      <c r="B17" s="221" t="s">
        <v>648</v>
      </c>
      <c r="C17" s="223" t="n">
        <v>0.75</v>
      </c>
      <c r="D17" s="222" t="s">
        <v>20</v>
      </c>
      <c r="E17" s="223" t="n">
        <f aca="false">C17*2</f>
        <v>1.6</v>
      </c>
      <c r="F17" s="222" t="s">
        <v>20</v>
      </c>
      <c r="G17" s="224"/>
    </row>
    <row r="18" s="208" customFormat="true" ht="15" hidden="false" customHeight="false" outlineLevel="0" collapsed="false">
      <c r="A18" s="223"/>
      <c r="B18" s="221" t="s">
        <v>32</v>
      </c>
      <c r="C18" s="223" t="n">
        <v>4.5</v>
      </c>
      <c r="D18" s="222" t="s">
        <v>20</v>
      </c>
      <c r="E18" s="223" t="n">
        <f aca="false">C18*2</f>
        <v>9</v>
      </c>
      <c r="F18" s="222" t="s">
        <v>20</v>
      </c>
      <c r="G18" s="224"/>
    </row>
    <row r="19" customFormat="false" ht="15" hidden="false" customHeight="false" outlineLevel="0" collapsed="false">
      <c r="A19" s="220"/>
      <c r="B19" s="221" t="s">
        <v>652</v>
      </c>
      <c r="C19" s="220" t="n">
        <v>3</v>
      </c>
      <c r="D19" s="222" t="s">
        <v>13</v>
      </c>
      <c r="E19" s="223" t="n">
        <f aca="false">C19*2</f>
        <v>6</v>
      </c>
      <c r="F19" s="222" t="s">
        <v>13</v>
      </c>
      <c r="G19" s="224"/>
    </row>
    <row r="20" customFormat="false" ht="15" hidden="false" customHeight="false" outlineLevel="0" collapsed="false">
      <c r="A20" s="220"/>
      <c r="B20" s="221" t="s">
        <v>557</v>
      </c>
      <c r="C20" s="220" t="n">
        <v>1</v>
      </c>
      <c r="D20" s="222" t="s">
        <v>13</v>
      </c>
      <c r="E20" s="223" t="n">
        <f aca="false">C20*2</f>
        <v>2</v>
      </c>
      <c r="F20" s="222" t="s">
        <v>13</v>
      </c>
      <c r="G20" s="224"/>
    </row>
    <row r="21" customFormat="false" ht="15" hidden="false" customHeight="false" outlineLevel="0" collapsed="false">
      <c r="A21" s="223"/>
      <c r="B21" s="221" t="s">
        <v>7821</v>
      </c>
      <c r="C21" s="223" t="n">
        <v>1</v>
      </c>
      <c r="D21" s="222" t="s">
        <v>20</v>
      </c>
      <c r="E21" s="223" t="n">
        <f aca="false">C21*2</f>
        <v>2</v>
      </c>
      <c r="F21" s="222" t="s">
        <v>20</v>
      </c>
      <c r="G21" s="224"/>
    </row>
    <row r="22" customFormat="false" ht="15" hidden="false" customHeight="false" outlineLevel="0" collapsed="false">
      <c r="A22" s="223"/>
      <c r="B22" s="226" t="s">
        <v>26</v>
      </c>
      <c r="C22" s="227" t="n">
        <v>3.25</v>
      </c>
      <c r="D22" s="228" t="s">
        <v>27</v>
      </c>
      <c r="E22" s="223" t="n">
        <f aca="false">C22*2</f>
        <v>6.6</v>
      </c>
      <c r="F22" s="228" t="s">
        <v>27</v>
      </c>
      <c r="G22" s="224"/>
    </row>
    <row r="23" customFormat="false" ht="15" hidden="false" customHeight="false" outlineLevel="0" collapsed="false">
      <c r="A23" s="223"/>
      <c r="B23" s="226" t="s">
        <v>26</v>
      </c>
      <c r="C23" s="227" t="n">
        <f aca="false">35*C22</f>
        <v>115.5</v>
      </c>
      <c r="D23" s="228" t="s">
        <v>13</v>
      </c>
      <c r="E23" s="223" t="n">
        <f aca="false">C23*2</f>
        <v>231</v>
      </c>
      <c r="F23" s="228" t="s">
        <v>13</v>
      </c>
      <c r="G23" s="224"/>
    </row>
    <row r="24" customFormat="false" ht="15" hidden="false" customHeight="false" outlineLevel="0" collapsed="false">
      <c r="A24" s="223"/>
      <c r="B24" s="226"/>
      <c r="C24" s="227"/>
      <c r="D24" s="228"/>
      <c r="E24" s="223"/>
      <c r="F24" s="222"/>
      <c r="G24" s="224"/>
    </row>
    <row r="25" customFormat="false" ht="15" hidden="false" customHeight="false" outlineLevel="0" collapsed="false">
      <c r="A25" s="216" t="s">
        <v>7822</v>
      </c>
      <c r="B25" s="217" t="s">
        <v>2</v>
      </c>
      <c r="C25" s="216" t="s">
        <v>3</v>
      </c>
      <c r="D25" s="216" t="s">
        <v>4</v>
      </c>
      <c r="E25" s="216" t="s">
        <v>5</v>
      </c>
      <c r="F25" s="216" t="s">
        <v>4</v>
      </c>
      <c r="G25" s="218"/>
    </row>
    <row r="26" customFormat="false" ht="15" hidden="false" customHeight="false" outlineLevel="0" collapsed="false">
      <c r="A26" s="218"/>
      <c r="B26" s="221" t="s">
        <v>7823</v>
      </c>
      <c r="C26" s="223" t="n">
        <v>3.8</v>
      </c>
      <c r="D26" s="222" t="s">
        <v>61</v>
      </c>
      <c r="E26" s="223" t="n">
        <f aca="false">C26*E$33/C$33</f>
        <v>68.4</v>
      </c>
      <c r="F26" s="222" t="s">
        <v>61</v>
      </c>
      <c r="G26" s="224"/>
    </row>
    <row r="27" customFormat="false" ht="15" hidden="false" customHeight="false" outlineLevel="0" collapsed="false">
      <c r="A27" s="218"/>
      <c r="B27" s="221" t="s">
        <v>18</v>
      </c>
      <c r="C27" s="223" t="n">
        <v>1</v>
      </c>
      <c r="D27" s="222" t="s">
        <v>13</v>
      </c>
      <c r="E27" s="223" t="n">
        <f aca="false">C27*E$33/C$33</f>
        <v>18</v>
      </c>
      <c r="F27" s="222" t="s">
        <v>13</v>
      </c>
      <c r="G27" s="224"/>
    </row>
    <row r="28" customFormat="false" ht="15" hidden="false" customHeight="false" outlineLevel="0" collapsed="false">
      <c r="A28" s="223"/>
      <c r="B28" s="221" t="s">
        <v>30</v>
      </c>
      <c r="C28" s="223" t="n">
        <v>0.2</v>
      </c>
      <c r="D28" s="222" t="s">
        <v>68</v>
      </c>
      <c r="E28" s="223" t="n">
        <f aca="false">C28*E$33/C$33</f>
        <v>3.6</v>
      </c>
      <c r="F28" s="222" t="s">
        <v>68</v>
      </c>
      <c r="G28" s="224"/>
    </row>
    <row r="29" customFormat="false" ht="15" hidden="false" customHeight="false" outlineLevel="0" collapsed="false">
      <c r="A29" s="223"/>
      <c r="B29" s="221" t="s">
        <v>37</v>
      </c>
      <c r="C29" s="223" t="n">
        <v>0.4</v>
      </c>
      <c r="D29" s="222" t="s">
        <v>13</v>
      </c>
      <c r="E29" s="223" t="n">
        <f aca="false">C29*E$33/C$33</f>
        <v>7.2</v>
      </c>
      <c r="F29" s="222" t="s">
        <v>13</v>
      </c>
      <c r="G29" s="224"/>
    </row>
    <row r="30" customFormat="false" ht="15" hidden="false" customHeight="false" outlineLevel="0" collapsed="false">
      <c r="A30" s="220"/>
      <c r="B30" s="221" t="s">
        <v>604</v>
      </c>
      <c r="C30" s="229" t="n">
        <v>0.5</v>
      </c>
      <c r="D30" s="222" t="s">
        <v>13</v>
      </c>
      <c r="E30" s="220" t="n">
        <f aca="false">C30*E$33/C$33</f>
        <v>9</v>
      </c>
      <c r="F30" s="222" t="s">
        <v>13</v>
      </c>
      <c r="G30" s="224"/>
    </row>
    <row r="31" customFormat="false" ht="15" hidden="false" customHeight="false" outlineLevel="0" collapsed="false">
      <c r="A31" s="220"/>
      <c r="B31" s="221" t="s">
        <v>758</v>
      </c>
      <c r="C31" s="220" t="n">
        <v>16</v>
      </c>
      <c r="D31" s="222" t="s">
        <v>109</v>
      </c>
      <c r="E31" s="220" t="n">
        <f aca="false">C31*E$33/C$33</f>
        <v>288</v>
      </c>
      <c r="F31" s="222" t="s">
        <v>109</v>
      </c>
      <c r="G31" s="224"/>
    </row>
    <row r="32" customFormat="false" ht="15" hidden="false" customHeight="false" outlineLevel="0" collapsed="false">
      <c r="A32" s="223"/>
      <c r="B32" s="226" t="s">
        <v>26</v>
      </c>
      <c r="C32" s="227" t="n">
        <v>1</v>
      </c>
      <c r="D32" s="228" t="s">
        <v>27</v>
      </c>
      <c r="E32" s="227" t="n">
        <f aca="false">C32*E$33/C$33</f>
        <v>18</v>
      </c>
      <c r="F32" s="228" t="s">
        <v>27</v>
      </c>
      <c r="G32" s="224"/>
    </row>
    <row r="33" customFormat="false" ht="15" hidden="false" customHeight="false" outlineLevel="0" collapsed="false">
      <c r="A33" s="223"/>
      <c r="B33" s="226" t="s">
        <v>26</v>
      </c>
      <c r="C33" s="227" t="n">
        <v>35</v>
      </c>
      <c r="D33" s="228" t="s">
        <v>13</v>
      </c>
      <c r="E33" s="230" t="n">
        <v>630</v>
      </c>
      <c r="F33" s="228" t="s">
        <v>13</v>
      </c>
      <c r="G33" s="224"/>
      <c r="H33" s="231" t="s">
        <v>7824</v>
      </c>
    </row>
    <row r="34" customFormat="false" ht="15" hidden="false" customHeight="false" outlineLevel="0" collapsed="false">
      <c r="A34" s="224"/>
      <c r="B34" s="219"/>
      <c r="C34" s="218"/>
      <c r="D34" s="232"/>
      <c r="E34" s="218"/>
      <c r="F34" s="219"/>
      <c r="G34" s="224"/>
    </row>
    <row r="35" customFormat="false" ht="15" hidden="false" customHeight="false" outlineLevel="0" collapsed="false">
      <c r="A35" s="224"/>
      <c r="B35" s="219"/>
      <c r="C35" s="218"/>
      <c r="D35" s="232"/>
      <c r="E35" s="218"/>
      <c r="F35" s="219"/>
      <c r="G35" s="224"/>
    </row>
    <row r="36" customFormat="false" ht="15" hidden="false" customHeight="false" outlineLevel="0" collapsed="false">
      <c r="A36" s="216" t="s">
        <v>7825</v>
      </c>
      <c r="B36" s="217" t="s">
        <v>2</v>
      </c>
      <c r="C36" s="216" t="s">
        <v>3</v>
      </c>
      <c r="D36" s="216" t="s">
        <v>4</v>
      </c>
      <c r="E36" s="216" t="s">
        <v>5</v>
      </c>
      <c r="F36" s="216" t="s">
        <v>4</v>
      </c>
      <c r="G36" s="218"/>
      <c r="H36" s="233"/>
    </row>
    <row r="37" s="208" customFormat="true" ht="15" hidden="false" customHeight="false" outlineLevel="0" collapsed="false">
      <c r="A37" s="218"/>
      <c r="B37" s="219" t="s">
        <v>575</v>
      </c>
      <c r="C37" s="218" t="n">
        <v>25</v>
      </c>
      <c r="D37" s="218" t="s">
        <v>7</v>
      </c>
      <c r="E37" s="218" t="n">
        <f aca="false">C37*2</f>
        <v>50</v>
      </c>
      <c r="F37" s="218" t="s">
        <v>7</v>
      </c>
      <c r="G37" s="218"/>
      <c r="H37" s="233"/>
    </row>
    <row r="38" customFormat="false" ht="15" hidden="false" customHeight="false" outlineLevel="0" collapsed="false">
      <c r="A38" s="218"/>
      <c r="B38" s="217" t="s">
        <v>7826</v>
      </c>
      <c r="C38" s="218" t="n">
        <v>4</v>
      </c>
      <c r="D38" s="218" t="s">
        <v>7827</v>
      </c>
      <c r="E38" s="218" t="n">
        <f aca="false">C38*2</f>
        <v>8</v>
      </c>
      <c r="F38" s="218" t="s">
        <v>7827</v>
      </c>
      <c r="G38" s="218"/>
      <c r="H38" s="233"/>
    </row>
    <row r="39" customFormat="false" ht="15" hidden="false" customHeight="false" outlineLevel="0" collapsed="false">
      <c r="A39" s="218"/>
      <c r="B39" s="219" t="s">
        <v>11</v>
      </c>
      <c r="C39" s="218" t="n">
        <v>5</v>
      </c>
      <c r="D39" s="218" t="s">
        <v>7</v>
      </c>
      <c r="E39" s="218" t="n">
        <f aca="false">C39*2</f>
        <v>10</v>
      </c>
      <c r="F39" s="218" t="s">
        <v>7</v>
      </c>
      <c r="G39" s="218"/>
      <c r="H39" s="233"/>
    </row>
    <row r="40" customFormat="false" ht="15" hidden="false" customHeight="false" outlineLevel="0" collapsed="false">
      <c r="A40" s="234" t="s">
        <v>7828</v>
      </c>
      <c r="B40" s="219" t="s">
        <v>7818</v>
      </c>
      <c r="C40" s="218" t="n">
        <v>7.5</v>
      </c>
      <c r="D40" s="235" t="s">
        <v>7</v>
      </c>
      <c r="E40" s="218" t="n">
        <f aca="false">C40*2</f>
        <v>15</v>
      </c>
      <c r="F40" s="235" t="s">
        <v>7</v>
      </c>
      <c r="G40" s="236"/>
      <c r="H40" s="237"/>
    </row>
    <row r="41" customFormat="false" ht="15" hidden="false" customHeight="false" outlineLevel="0" collapsed="false">
      <c r="A41" s="224"/>
      <c r="B41" s="219" t="s">
        <v>699</v>
      </c>
      <c r="C41" s="218" t="n">
        <v>20</v>
      </c>
      <c r="D41" s="235" t="s">
        <v>7</v>
      </c>
      <c r="E41" s="218" t="n">
        <f aca="false">C41*2</f>
        <v>40</v>
      </c>
      <c r="F41" s="235" t="s">
        <v>7</v>
      </c>
      <c r="G41" s="236"/>
      <c r="H41" s="237"/>
    </row>
    <row r="42" customFormat="false" ht="15" hidden="false" customHeight="false" outlineLevel="0" collapsed="false">
      <c r="A42" s="224"/>
      <c r="B42" s="219" t="s">
        <v>39</v>
      </c>
      <c r="C42" s="218" t="n">
        <v>5</v>
      </c>
      <c r="D42" s="235" t="s">
        <v>7</v>
      </c>
      <c r="E42" s="218" t="n">
        <f aca="false">C42*2</f>
        <v>10</v>
      </c>
      <c r="F42" s="235" t="s">
        <v>7</v>
      </c>
      <c r="G42" s="235"/>
      <c r="H42" s="233"/>
    </row>
    <row r="43" customFormat="false" ht="15" hidden="false" customHeight="false" outlineLevel="0" collapsed="false">
      <c r="A43" s="224"/>
      <c r="B43" s="238" t="s">
        <v>40</v>
      </c>
      <c r="C43" s="239" t="n">
        <v>2.5</v>
      </c>
      <c r="D43" s="240" t="s">
        <v>7</v>
      </c>
      <c r="E43" s="218" t="n">
        <f aca="false">C43*2</f>
        <v>5</v>
      </c>
      <c r="F43" s="240" t="s">
        <v>7</v>
      </c>
      <c r="G43" s="235"/>
      <c r="H43" s="233"/>
    </row>
    <row r="44" customFormat="false" ht="15" hidden="false" customHeight="false" outlineLevel="0" collapsed="false">
      <c r="A44" s="224"/>
      <c r="B44" s="238" t="s">
        <v>7829</v>
      </c>
      <c r="C44" s="239" t="n">
        <v>5</v>
      </c>
      <c r="D44" s="240" t="s">
        <v>13</v>
      </c>
      <c r="E44" s="218" t="n">
        <f aca="false">C44*2</f>
        <v>10</v>
      </c>
      <c r="F44" s="240" t="s">
        <v>13</v>
      </c>
      <c r="G44" s="235"/>
      <c r="H44" s="233"/>
    </row>
    <row r="45" customFormat="false" ht="15" hidden="false" customHeight="false" outlineLevel="0" collapsed="false">
      <c r="A45" s="241"/>
      <c r="B45" s="242" t="s">
        <v>15</v>
      </c>
      <c r="C45" s="239" t="n">
        <v>1</v>
      </c>
      <c r="D45" s="240" t="s">
        <v>13</v>
      </c>
      <c r="E45" s="218" t="n">
        <f aca="false">C45*2</f>
        <v>2</v>
      </c>
      <c r="F45" s="240" t="s">
        <v>13</v>
      </c>
      <c r="G45" s="236"/>
      <c r="H45" s="237"/>
    </row>
    <row r="46" customFormat="false" ht="15" hidden="false" customHeight="false" outlineLevel="0" collapsed="false">
      <c r="A46" s="218"/>
      <c r="B46" s="238" t="s">
        <v>7830</v>
      </c>
      <c r="C46" s="239" t="n">
        <v>0.5</v>
      </c>
      <c r="D46" s="240" t="s">
        <v>13</v>
      </c>
      <c r="E46" s="218" t="n">
        <f aca="false">C46*2</f>
        <v>1</v>
      </c>
      <c r="F46" s="240" t="s">
        <v>13</v>
      </c>
      <c r="G46" s="235"/>
      <c r="H46" s="233"/>
    </row>
    <row r="47" customFormat="false" ht="15" hidden="false" customHeight="false" outlineLevel="0" collapsed="false">
      <c r="A47" s="218"/>
      <c r="B47" s="238" t="s">
        <v>32</v>
      </c>
      <c r="C47" s="239" t="n">
        <v>5</v>
      </c>
      <c r="D47" s="240" t="s">
        <v>68</v>
      </c>
      <c r="E47" s="218" t="n">
        <f aca="false">C47*2</f>
        <v>10</v>
      </c>
      <c r="F47" s="240" t="s">
        <v>68</v>
      </c>
      <c r="G47" s="235"/>
      <c r="H47" s="233"/>
    </row>
    <row r="48" customFormat="false" ht="15" hidden="false" customHeight="false" outlineLevel="0" collapsed="false">
      <c r="A48" s="241"/>
      <c r="B48" s="238" t="s">
        <v>7831</v>
      </c>
      <c r="C48" s="239" t="n">
        <v>1</v>
      </c>
      <c r="D48" s="240" t="s">
        <v>24</v>
      </c>
      <c r="E48" s="218" t="n">
        <f aca="false">C48*2</f>
        <v>2</v>
      </c>
      <c r="F48" s="240" t="s">
        <v>24</v>
      </c>
      <c r="G48" s="236"/>
      <c r="H48" s="237"/>
    </row>
    <row r="49" customFormat="false" ht="15" hidden="false" customHeight="false" outlineLevel="0" collapsed="false">
      <c r="A49" s="241"/>
      <c r="B49" s="238" t="s">
        <v>7832</v>
      </c>
      <c r="C49" s="239" t="n">
        <v>0.5</v>
      </c>
      <c r="D49" s="240" t="s">
        <v>24</v>
      </c>
      <c r="E49" s="218" t="n">
        <f aca="false">C49*2</f>
        <v>1</v>
      </c>
      <c r="F49" s="240" t="s">
        <v>24</v>
      </c>
      <c r="G49" s="236"/>
      <c r="H49" s="237"/>
    </row>
    <row r="50" customFormat="false" ht="15" hidden="false" customHeight="false" outlineLevel="0" collapsed="false">
      <c r="A50" s="218"/>
      <c r="B50" s="238" t="s">
        <v>7833</v>
      </c>
      <c r="C50" s="239" t="n">
        <v>20</v>
      </c>
      <c r="D50" s="240" t="s">
        <v>107</v>
      </c>
      <c r="E50" s="218" t="n">
        <f aca="false">C50*2</f>
        <v>40</v>
      </c>
      <c r="F50" s="240" t="s">
        <v>107</v>
      </c>
      <c r="G50" s="235"/>
      <c r="H50" s="233"/>
    </row>
    <row r="51" customFormat="false" ht="15" hidden="false" customHeight="false" outlineLevel="0" collapsed="false">
      <c r="A51" s="243"/>
      <c r="B51" s="238" t="s">
        <v>46</v>
      </c>
      <c r="C51" s="239" t="n">
        <v>3.5</v>
      </c>
      <c r="D51" s="240" t="s">
        <v>706</v>
      </c>
      <c r="E51" s="218" t="n">
        <f aca="false">C51*2</f>
        <v>7</v>
      </c>
      <c r="F51" s="240" t="s">
        <v>706</v>
      </c>
      <c r="G51" s="235"/>
      <c r="H51" s="233"/>
    </row>
    <row r="52" customFormat="false" ht="15" hidden="false" customHeight="false" outlineLevel="0" collapsed="false">
      <c r="A52" s="218"/>
      <c r="B52" s="238"/>
      <c r="C52" s="239"/>
      <c r="D52" s="244"/>
      <c r="E52" s="218"/>
      <c r="F52" s="219"/>
      <c r="G52" s="218"/>
      <c r="H52" s="231" t="s">
        <v>7824</v>
      </c>
    </row>
    <row r="53" customFormat="false" ht="15" hidden="false" customHeight="false" outlineLevel="0" collapsed="false">
      <c r="A53" s="218"/>
      <c r="B53" s="219"/>
      <c r="C53" s="218"/>
      <c r="D53" s="218"/>
      <c r="E53" s="218"/>
      <c r="F53" s="218"/>
      <c r="G53" s="218"/>
      <c r="H53" s="210"/>
      <c r="I53" s="210"/>
      <c r="K53" s="210"/>
      <c r="L53" s="210"/>
      <c r="M53" s="210"/>
      <c r="N53" s="210"/>
    </row>
    <row r="54" customFormat="false" ht="15" hidden="false" customHeight="true" outlineLevel="0" collapsed="false">
      <c r="A54" s="216" t="s">
        <v>7834</v>
      </c>
      <c r="B54" s="217" t="s">
        <v>2</v>
      </c>
      <c r="C54" s="216" t="s">
        <v>3</v>
      </c>
      <c r="D54" s="216" t="s">
        <v>4</v>
      </c>
      <c r="E54" s="216" t="s">
        <v>5</v>
      </c>
      <c r="F54" s="216" t="s">
        <v>4</v>
      </c>
      <c r="G54" s="218"/>
      <c r="H54" s="210"/>
      <c r="I54" s="210"/>
      <c r="J54" s="245"/>
      <c r="K54" s="233"/>
      <c r="L54" s="233"/>
      <c r="M54" s="233"/>
      <c r="N54" s="210"/>
    </row>
    <row r="55" customFormat="false" ht="15" hidden="false" customHeight="true" outlineLevel="0" collapsed="false">
      <c r="A55" s="218"/>
      <c r="B55" s="219" t="s">
        <v>7835</v>
      </c>
      <c r="C55" s="218" t="n">
        <v>6.3</v>
      </c>
      <c r="D55" s="218" t="s">
        <v>61</v>
      </c>
      <c r="E55" s="218" t="n">
        <f aca="false">C55*E$74/C$74</f>
        <v>138.6</v>
      </c>
      <c r="F55" s="218" t="s">
        <v>61</v>
      </c>
      <c r="G55" s="218"/>
      <c r="H55" s="210"/>
      <c r="J55" s="233"/>
      <c r="K55" s="233"/>
      <c r="L55" s="233"/>
      <c r="M55" s="233"/>
      <c r="N55" s="210"/>
    </row>
    <row r="56" customFormat="false" ht="15" hidden="false" customHeight="false" outlineLevel="0" collapsed="false">
      <c r="A56" s="218"/>
      <c r="B56" s="219" t="s">
        <v>22</v>
      </c>
      <c r="C56" s="218" t="n">
        <v>1</v>
      </c>
      <c r="D56" s="235" t="s">
        <v>13</v>
      </c>
      <c r="E56" s="218" t="n">
        <f aca="false">C56*E$74/C$74</f>
        <v>22</v>
      </c>
      <c r="F56" s="235" t="s">
        <v>13</v>
      </c>
      <c r="G56" s="218"/>
      <c r="J56" s="233"/>
      <c r="K56" s="233"/>
      <c r="L56" s="233"/>
      <c r="M56" s="233"/>
      <c r="N56" s="210"/>
    </row>
    <row r="57" customFormat="false" ht="14.45" hidden="false" customHeight="true" outlineLevel="0" collapsed="false">
      <c r="A57" s="246" t="s">
        <v>7836</v>
      </c>
      <c r="B57" s="219" t="s">
        <v>14</v>
      </c>
      <c r="C57" s="218" t="n">
        <v>0.6</v>
      </c>
      <c r="D57" s="235" t="s">
        <v>20</v>
      </c>
      <c r="E57" s="218" t="n">
        <f aca="false">C57*E$74/C$74</f>
        <v>13.2</v>
      </c>
      <c r="F57" s="235" t="s">
        <v>20</v>
      </c>
      <c r="G57" s="218"/>
      <c r="J57" s="233"/>
      <c r="K57" s="233"/>
      <c r="L57" s="233"/>
      <c r="M57" s="233"/>
      <c r="N57" s="210"/>
    </row>
    <row r="58" customFormat="false" ht="15" hidden="false" customHeight="false" outlineLevel="0" collapsed="false">
      <c r="A58" s="246"/>
      <c r="B58" s="225" t="s">
        <v>15</v>
      </c>
      <c r="C58" s="218" t="n">
        <v>0.8</v>
      </c>
      <c r="D58" s="235" t="s">
        <v>20</v>
      </c>
      <c r="E58" s="218" t="n">
        <f aca="false">C58*E$74/C$74</f>
        <v>17.6</v>
      </c>
      <c r="F58" s="235" t="s">
        <v>20</v>
      </c>
      <c r="G58" s="218"/>
      <c r="J58" s="233"/>
      <c r="K58" s="233"/>
      <c r="L58" s="233"/>
      <c r="M58" s="233"/>
      <c r="N58" s="210"/>
    </row>
    <row r="59" customFormat="false" ht="15" hidden="false" customHeight="true" outlineLevel="0" collapsed="false">
      <c r="A59" s="218"/>
      <c r="B59" s="221" t="s">
        <v>18</v>
      </c>
      <c r="C59" s="218" t="n">
        <v>0.4</v>
      </c>
      <c r="D59" s="235" t="s">
        <v>13</v>
      </c>
      <c r="E59" s="218" t="n">
        <f aca="false">C59*E$74/C$74</f>
        <v>8.8</v>
      </c>
      <c r="F59" s="235" t="s">
        <v>13</v>
      </c>
      <c r="G59" s="218"/>
      <c r="J59" s="233"/>
      <c r="K59" s="233"/>
      <c r="L59" s="233"/>
      <c r="M59" s="233"/>
      <c r="N59" s="210"/>
    </row>
    <row r="60" customFormat="false" ht="15" hidden="false" customHeight="true" outlineLevel="0" collapsed="false">
      <c r="A60" s="218"/>
      <c r="B60" s="219" t="s">
        <v>21</v>
      </c>
      <c r="C60" s="218" t="n">
        <v>4</v>
      </c>
      <c r="D60" s="235" t="s">
        <v>61</v>
      </c>
      <c r="E60" s="218" t="n">
        <f aca="false">C60*E$74/C$74</f>
        <v>88</v>
      </c>
      <c r="F60" s="235" t="s">
        <v>61</v>
      </c>
      <c r="G60" s="218"/>
      <c r="J60" s="233"/>
      <c r="K60" s="233"/>
      <c r="L60" s="233"/>
      <c r="M60" s="233"/>
      <c r="N60" s="210"/>
    </row>
    <row r="61" customFormat="false" ht="15" hidden="false" customHeight="false" outlineLevel="0" collapsed="false">
      <c r="A61" s="218"/>
      <c r="B61" s="221" t="s">
        <v>648</v>
      </c>
      <c r="C61" s="218" t="n">
        <v>0.16</v>
      </c>
      <c r="D61" s="235" t="s">
        <v>20</v>
      </c>
      <c r="E61" s="218" t="n">
        <f aca="false">C61*E$74/C$74</f>
        <v>4.4</v>
      </c>
      <c r="F61" s="235" t="s">
        <v>20</v>
      </c>
      <c r="G61" s="218"/>
      <c r="J61" s="233"/>
      <c r="K61" s="233"/>
      <c r="L61" s="233"/>
      <c r="M61" s="233"/>
      <c r="N61" s="210"/>
    </row>
    <row r="62" customFormat="false" ht="15" hidden="false" customHeight="false" outlineLevel="0" collapsed="false">
      <c r="A62" s="218"/>
      <c r="B62" s="219" t="s">
        <v>564</v>
      </c>
      <c r="C62" s="218" t="n">
        <v>0.56</v>
      </c>
      <c r="D62" s="235" t="s">
        <v>20</v>
      </c>
      <c r="E62" s="218" t="n">
        <f aca="false">C62*E$74/C$74</f>
        <v>13.2</v>
      </c>
      <c r="F62" s="235" t="s">
        <v>20</v>
      </c>
      <c r="G62" s="218"/>
      <c r="J62" s="233"/>
      <c r="K62" s="233"/>
      <c r="L62" s="233"/>
      <c r="M62" s="233"/>
      <c r="N62" s="210"/>
    </row>
    <row r="63" customFormat="false" ht="15" hidden="false" customHeight="false" outlineLevel="0" collapsed="false">
      <c r="A63" s="218"/>
      <c r="B63" s="219" t="s">
        <v>71</v>
      </c>
      <c r="C63" s="218" t="n">
        <v>0.8</v>
      </c>
      <c r="D63" s="235" t="s">
        <v>20</v>
      </c>
      <c r="E63" s="218" t="n">
        <f aca="false">C63*E$74/C$74</f>
        <v>17.6</v>
      </c>
      <c r="F63" s="235" t="s">
        <v>20</v>
      </c>
      <c r="G63" s="218"/>
      <c r="J63" s="233"/>
      <c r="K63" s="233"/>
      <c r="L63" s="233"/>
      <c r="M63" s="233"/>
      <c r="N63" s="210"/>
    </row>
    <row r="64" customFormat="false" ht="15" hidden="false" customHeight="false" outlineLevel="0" collapsed="false">
      <c r="A64" s="218"/>
      <c r="B64" s="217" t="s">
        <v>649</v>
      </c>
      <c r="C64" s="218"/>
      <c r="D64" s="235"/>
      <c r="E64" s="218"/>
      <c r="F64" s="235"/>
      <c r="G64" s="218"/>
      <c r="J64" s="233"/>
      <c r="K64" s="233"/>
      <c r="L64" s="233"/>
      <c r="M64" s="233"/>
      <c r="N64" s="210"/>
    </row>
    <row r="65" customFormat="false" ht="15" hidden="false" customHeight="false" outlineLevel="0" collapsed="false">
      <c r="A65" s="218"/>
      <c r="B65" s="219" t="s">
        <v>645</v>
      </c>
      <c r="C65" s="218" t="n">
        <v>0.5</v>
      </c>
      <c r="D65" s="235" t="s">
        <v>13</v>
      </c>
      <c r="E65" s="218" t="n">
        <f aca="false">C65*E$74/C$74</f>
        <v>11</v>
      </c>
      <c r="F65" s="235" t="s">
        <v>13</v>
      </c>
      <c r="G65" s="218"/>
      <c r="J65" s="233"/>
      <c r="K65" s="233"/>
      <c r="L65" s="233"/>
      <c r="M65" s="233"/>
      <c r="N65" s="210"/>
    </row>
    <row r="66" customFormat="false" ht="15" hidden="false" customHeight="false" outlineLevel="0" collapsed="false">
      <c r="A66" s="218"/>
      <c r="B66" s="219" t="s">
        <v>570</v>
      </c>
      <c r="C66" s="218" t="n">
        <v>0.8</v>
      </c>
      <c r="D66" s="235" t="s">
        <v>20</v>
      </c>
      <c r="E66" s="218" t="n">
        <f aca="false">C66*E$74/C$74</f>
        <v>17.6</v>
      </c>
      <c r="F66" s="235" t="s">
        <v>20</v>
      </c>
      <c r="G66" s="218"/>
      <c r="J66" s="233"/>
      <c r="K66" s="233"/>
      <c r="L66" s="233"/>
      <c r="M66" s="233"/>
      <c r="N66" s="210"/>
    </row>
    <row r="67" customFormat="false" ht="15" hidden="false" customHeight="false" outlineLevel="0" collapsed="false">
      <c r="A67" s="218"/>
      <c r="B67" s="221" t="s">
        <v>16</v>
      </c>
      <c r="C67" s="218" t="n">
        <v>0.8</v>
      </c>
      <c r="D67" s="235" t="s">
        <v>20</v>
      </c>
      <c r="E67" s="218" t="n">
        <f aca="false">C67*E$74/C$74</f>
        <v>17.6</v>
      </c>
      <c r="F67" s="235" t="s">
        <v>20</v>
      </c>
      <c r="G67" s="218"/>
      <c r="J67" s="233"/>
      <c r="K67" s="233"/>
      <c r="L67" s="233"/>
      <c r="M67" s="233"/>
      <c r="N67" s="210"/>
    </row>
    <row r="68" customFormat="false" ht="15" hidden="false" customHeight="false" outlineLevel="0" collapsed="false">
      <c r="A68" s="218"/>
      <c r="B68" s="219" t="s">
        <v>650</v>
      </c>
      <c r="C68" s="218" t="n">
        <v>0.4</v>
      </c>
      <c r="D68" s="235" t="s">
        <v>20</v>
      </c>
      <c r="E68" s="218" t="n">
        <f aca="false">C68*E$74/C$74</f>
        <v>8.8</v>
      </c>
      <c r="F68" s="235" t="s">
        <v>20</v>
      </c>
      <c r="G68" s="218"/>
      <c r="J68" s="233"/>
      <c r="K68" s="233"/>
      <c r="L68" s="233"/>
      <c r="M68" s="233"/>
      <c r="N68" s="210"/>
    </row>
    <row r="69" customFormat="false" ht="15" hidden="false" customHeight="false" outlineLevel="0" collapsed="false">
      <c r="A69" s="218"/>
      <c r="B69" s="219" t="s">
        <v>651</v>
      </c>
      <c r="C69" s="218" t="n">
        <v>0.8</v>
      </c>
      <c r="D69" s="235" t="s">
        <v>13</v>
      </c>
      <c r="E69" s="218" t="n">
        <f aca="false">C69*E$74/C$74</f>
        <v>17.6</v>
      </c>
      <c r="F69" s="235" t="s">
        <v>13</v>
      </c>
      <c r="G69" s="218"/>
      <c r="J69" s="233"/>
      <c r="K69" s="233"/>
      <c r="L69" s="233"/>
      <c r="M69" s="233"/>
      <c r="N69" s="210"/>
    </row>
    <row r="70" customFormat="false" ht="15" hidden="false" customHeight="false" outlineLevel="0" collapsed="false">
      <c r="A70" s="218"/>
      <c r="B70" s="219" t="s">
        <v>652</v>
      </c>
      <c r="C70" s="218" t="n">
        <v>0.8</v>
      </c>
      <c r="D70" s="235" t="s">
        <v>13</v>
      </c>
      <c r="E70" s="218" t="n">
        <f aca="false">C70*E$74/C$74</f>
        <v>17.6</v>
      </c>
      <c r="F70" s="235" t="s">
        <v>13</v>
      </c>
      <c r="G70" s="218"/>
      <c r="J70" s="233"/>
      <c r="K70" s="233"/>
      <c r="L70" s="233"/>
      <c r="M70" s="233"/>
      <c r="N70" s="210"/>
    </row>
    <row r="71" customFormat="false" ht="15" hidden="false" customHeight="false" outlineLevel="0" collapsed="false">
      <c r="A71" s="218"/>
      <c r="B71" s="219" t="s">
        <v>25</v>
      </c>
      <c r="C71" s="218" t="n">
        <v>1.2</v>
      </c>
      <c r="D71" s="235" t="s">
        <v>20</v>
      </c>
      <c r="E71" s="218" t="n">
        <f aca="false">C71*E$74/C$74</f>
        <v>26.4</v>
      </c>
      <c r="F71" s="235" t="s">
        <v>20</v>
      </c>
      <c r="G71" s="218"/>
      <c r="J71" s="233"/>
      <c r="K71" s="233"/>
      <c r="L71" s="233"/>
      <c r="M71" s="233"/>
      <c r="N71" s="210"/>
    </row>
    <row r="72" customFormat="false" ht="15" hidden="false" customHeight="false" outlineLevel="0" collapsed="false">
      <c r="A72" s="218"/>
      <c r="B72" s="219" t="s">
        <v>653</v>
      </c>
      <c r="C72" s="218" t="n">
        <v>1.2</v>
      </c>
      <c r="D72" s="235" t="s">
        <v>20</v>
      </c>
      <c r="E72" s="218" t="n">
        <f aca="false">C72*E$74/C$74</f>
        <v>26.4</v>
      </c>
      <c r="F72" s="235" t="s">
        <v>20</v>
      </c>
      <c r="G72" s="218"/>
      <c r="J72" s="233"/>
      <c r="K72" s="233"/>
      <c r="L72" s="233"/>
      <c r="M72" s="233"/>
      <c r="N72" s="210"/>
    </row>
    <row r="73" customFormat="false" ht="15" hidden="false" customHeight="false" outlineLevel="0" collapsed="false">
      <c r="A73" s="218"/>
      <c r="B73" s="217" t="s">
        <v>558</v>
      </c>
      <c r="C73" s="216" t="n">
        <v>1</v>
      </c>
      <c r="D73" s="247" t="s">
        <v>27</v>
      </c>
      <c r="E73" s="216" t="n">
        <f aca="false">C73*E$74/C$74</f>
        <v>22</v>
      </c>
      <c r="F73" s="247" t="s">
        <v>27</v>
      </c>
      <c r="G73" s="218"/>
      <c r="J73" s="233"/>
      <c r="K73" s="233"/>
      <c r="L73" s="233"/>
      <c r="M73" s="233"/>
      <c r="N73" s="210"/>
    </row>
    <row r="74" customFormat="false" ht="15" hidden="false" customHeight="false" outlineLevel="0" collapsed="false">
      <c r="A74" s="218"/>
      <c r="B74" s="217" t="s">
        <v>558</v>
      </c>
      <c r="C74" s="216" t="n">
        <v>35</v>
      </c>
      <c r="D74" s="247" t="s">
        <v>13</v>
      </c>
      <c r="E74" s="248" t="n">
        <v>770</v>
      </c>
      <c r="F74" s="247" t="s">
        <v>13</v>
      </c>
      <c r="G74" s="218"/>
      <c r="I74" s="210"/>
      <c r="J74" s="233"/>
      <c r="K74" s="233"/>
      <c r="L74" s="233"/>
      <c r="M74" s="233"/>
      <c r="N74" s="210"/>
    </row>
    <row r="75" customFormat="false" ht="15" hidden="false" customHeight="false" outlineLevel="0" collapsed="false">
      <c r="A75" s="218"/>
      <c r="B75" s="219"/>
      <c r="C75" s="218"/>
      <c r="D75" s="235"/>
      <c r="E75" s="218"/>
      <c r="F75" s="235"/>
      <c r="G75" s="218"/>
      <c r="H75" s="231" t="s">
        <v>7824</v>
      </c>
      <c r="I75" s="210"/>
      <c r="K75" s="210"/>
      <c r="L75" s="210"/>
      <c r="M75" s="210"/>
      <c r="N75" s="210"/>
    </row>
    <row r="76" customFormat="false" ht="15" hidden="false" customHeight="false" outlineLevel="0" collapsed="false">
      <c r="A76" s="218"/>
      <c r="B76" s="219"/>
      <c r="C76" s="218"/>
      <c r="D76" s="235"/>
      <c r="E76" s="218"/>
      <c r="F76" s="235"/>
      <c r="G76" s="218"/>
      <c r="I76" s="210"/>
      <c r="K76" s="210"/>
      <c r="L76" s="210"/>
      <c r="M76" s="210"/>
      <c r="N76" s="210"/>
    </row>
    <row r="77" customFormat="false" ht="15" hidden="false" customHeight="true" outlineLevel="0" collapsed="false">
      <c r="A77" s="216" t="s">
        <v>337</v>
      </c>
      <c r="B77" s="217" t="s">
        <v>2</v>
      </c>
      <c r="C77" s="216" t="s">
        <v>3</v>
      </c>
      <c r="D77" s="216" t="s">
        <v>4</v>
      </c>
      <c r="E77" s="216" t="s">
        <v>5</v>
      </c>
      <c r="F77" s="216" t="s">
        <v>4</v>
      </c>
      <c r="G77" s="218"/>
    </row>
    <row r="78" customFormat="false" ht="15" hidden="false" customHeight="true" outlineLevel="0" collapsed="false">
      <c r="A78" s="218" t="s">
        <v>628</v>
      </c>
      <c r="B78" s="219" t="s">
        <v>627</v>
      </c>
      <c r="C78" s="218" t="n">
        <v>11.9</v>
      </c>
      <c r="D78" s="235" t="s">
        <v>7</v>
      </c>
      <c r="E78" s="218" t="n">
        <f aca="false">C78*E$101/C$101</f>
        <v>193.8</v>
      </c>
      <c r="F78" s="235" t="s">
        <v>7</v>
      </c>
      <c r="G78" s="218"/>
    </row>
    <row r="79" customFormat="false" ht="15" hidden="false" customHeight="false" outlineLevel="0" collapsed="false">
      <c r="A79" s="218" t="s">
        <v>630</v>
      </c>
      <c r="B79" s="219" t="s">
        <v>629</v>
      </c>
      <c r="C79" s="218" t="n">
        <v>3.5</v>
      </c>
      <c r="D79" s="235" t="s">
        <v>7</v>
      </c>
      <c r="E79" s="218" t="n">
        <f aca="false">C79*E$101/C$101</f>
        <v>57</v>
      </c>
      <c r="F79" s="235" t="s">
        <v>7</v>
      </c>
      <c r="G79" s="218"/>
    </row>
    <row r="80" customFormat="false" ht="15" hidden="false" customHeight="false" outlineLevel="0" collapsed="false">
      <c r="A80" s="218"/>
      <c r="B80" s="219" t="s">
        <v>631</v>
      </c>
      <c r="C80" s="218" t="n">
        <v>3.5</v>
      </c>
      <c r="D80" s="235" t="s">
        <v>7</v>
      </c>
      <c r="E80" s="218" t="n">
        <f aca="false">C80*E$101/C$101</f>
        <v>57</v>
      </c>
      <c r="F80" s="235" t="s">
        <v>7</v>
      </c>
      <c r="G80" s="218"/>
    </row>
    <row r="81" s="208" customFormat="true" ht="15" hidden="false" customHeight="false" outlineLevel="0" collapsed="false">
      <c r="A81" s="218"/>
      <c r="B81" s="217" t="s">
        <v>630</v>
      </c>
      <c r="C81" s="218"/>
      <c r="D81" s="247"/>
      <c r="E81" s="218" t="n">
        <f aca="false">C81*E$101/C$101</f>
        <v>0</v>
      </c>
      <c r="F81" s="247"/>
      <c r="G81" s="218"/>
    </row>
    <row r="82" customFormat="false" ht="15" hidden="false" customHeight="false" outlineLevel="0" collapsed="false">
      <c r="A82" s="218"/>
      <c r="B82" s="219" t="s">
        <v>632</v>
      </c>
      <c r="C82" s="218" t="n">
        <v>7</v>
      </c>
      <c r="D82" s="235" t="s">
        <v>107</v>
      </c>
      <c r="E82" s="218" t="n">
        <f aca="false">C82*E$101/C$101</f>
        <v>114</v>
      </c>
      <c r="F82" s="235" t="s">
        <v>107</v>
      </c>
      <c r="G82" s="218"/>
    </row>
    <row r="83" customFormat="false" ht="15" hidden="false" customHeight="false" outlineLevel="0" collapsed="false">
      <c r="A83" s="218"/>
      <c r="B83" s="219" t="s">
        <v>633</v>
      </c>
      <c r="C83" s="218" t="n">
        <v>11.55</v>
      </c>
      <c r="D83" s="235" t="s">
        <v>13</v>
      </c>
      <c r="E83" s="218" t="n">
        <f aca="false">C83*E$101/C$101</f>
        <v>188.9</v>
      </c>
      <c r="F83" s="235" t="s">
        <v>13</v>
      </c>
      <c r="G83" s="218"/>
    </row>
    <row r="84" customFormat="false" ht="15" hidden="false" customHeight="false" outlineLevel="0" collapsed="false">
      <c r="A84" s="218"/>
      <c r="B84" s="219" t="s">
        <v>634</v>
      </c>
      <c r="C84" s="218" t="n">
        <v>0.91</v>
      </c>
      <c r="D84" s="235" t="s">
        <v>7</v>
      </c>
      <c r="E84" s="218" t="n">
        <f aca="false">C84*E$101/C$101</f>
        <v>14.7</v>
      </c>
      <c r="F84" s="235" t="s">
        <v>7</v>
      </c>
      <c r="G84" s="218"/>
    </row>
    <row r="85" customFormat="false" ht="15" hidden="false" customHeight="false" outlineLevel="0" collapsed="false">
      <c r="A85" s="218"/>
      <c r="B85" s="219" t="s">
        <v>22</v>
      </c>
      <c r="C85" s="218" t="n">
        <v>1.05</v>
      </c>
      <c r="D85" s="235" t="s">
        <v>13</v>
      </c>
      <c r="E85" s="218" t="n">
        <f aca="false">C85*E$101/C$101</f>
        <v>17.9</v>
      </c>
      <c r="F85" s="235" t="s">
        <v>13</v>
      </c>
      <c r="G85" s="218"/>
    </row>
    <row r="86" customFormat="false" ht="15" hidden="false" customHeight="false" outlineLevel="0" collapsed="false">
      <c r="A86" s="218"/>
      <c r="B86" s="219" t="s">
        <v>562</v>
      </c>
      <c r="C86" s="218" t="n">
        <v>0.35</v>
      </c>
      <c r="D86" s="235" t="s">
        <v>20</v>
      </c>
      <c r="E86" s="218" t="n">
        <f aca="false">C86*E$101/C$101</f>
        <v>6.5</v>
      </c>
      <c r="F86" s="235" t="s">
        <v>20</v>
      </c>
      <c r="G86" s="218"/>
    </row>
    <row r="87" customFormat="false" ht="15" hidden="false" customHeight="false" outlineLevel="0" collapsed="false">
      <c r="A87" s="218"/>
      <c r="B87" s="225" t="s">
        <v>15</v>
      </c>
      <c r="C87" s="218" t="n">
        <v>1.05</v>
      </c>
      <c r="D87" s="235" t="s">
        <v>20</v>
      </c>
      <c r="E87" s="218" t="n">
        <f aca="false">C87*E$101/C$101</f>
        <v>17.9</v>
      </c>
      <c r="F87" s="235" t="s">
        <v>20</v>
      </c>
      <c r="G87" s="218"/>
    </row>
    <row r="88" customFormat="false" ht="15" hidden="false" customHeight="false" outlineLevel="0" collapsed="false">
      <c r="A88" s="218"/>
      <c r="B88" s="238" t="s">
        <v>635</v>
      </c>
      <c r="C88" s="239" t="n">
        <v>0.7</v>
      </c>
      <c r="D88" s="240" t="s">
        <v>20</v>
      </c>
      <c r="E88" s="239" t="n">
        <f aca="false">C88*E$101/C$101</f>
        <v>11.4</v>
      </c>
      <c r="F88" s="235" t="s">
        <v>20</v>
      </c>
      <c r="G88" s="218"/>
    </row>
    <row r="89" customFormat="false" ht="15" hidden="false" customHeight="false" outlineLevel="0" collapsed="false">
      <c r="A89" s="218"/>
      <c r="B89" s="219" t="s">
        <v>636</v>
      </c>
      <c r="C89" s="218" t="n">
        <v>3.85</v>
      </c>
      <c r="D89" s="247" t="s">
        <v>20</v>
      </c>
      <c r="E89" s="218" t="n">
        <f aca="false">C89*E$101/C$101</f>
        <v>63.5</v>
      </c>
      <c r="F89" s="247" t="s">
        <v>20</v>
      </c>
      <c r="G89" s="218"/>
    </row>
    <row r="90" customFormat="false" ht="15" hidden="false" customHeight="false" outlineLevel="0" collapsed="false">
      <c r="A90" s="243"/>
      <c r="B90" s="219" t="s">
        <v>57</v>
      </c>
      <c r="C90" s="218" t="n">
        <v>0.6</v>
      </c>
      <c r="D90" s="235" t="s">
        <v>7</v>
      </c>
      <c r="E90" s="218" t="n">
        <f aca="false">C90*E$101/C$101</f>
        <v>9.8</v>
      </c>
      <c r="F90" s="235" t="s">
        <v>7</v>
      </c>
      <c r="G90" s="218"/>
    </row>
    <row r="91" customFormat="false" ht="15" hidden="false" customHeight="false" outlineLevel="0" collapsed="false">
      <c r="A91" s="218"/>
      <c r="B91" s="219" t="s">
        <v>619</v>
      </c>
      <c r="C91" s="218" t="n">
        <v>2.45</v>
      </c>
      <c r="D91" s="235" t="s">
        <v>13</v>
      </c>
      <c r="E91" s="218" t="n">
        <f aca="false">C91*E$101/C$101</f>
        <v>40.7</v>
      </c>
      <c r="F91" s="235" t="s">
        <v>13</v>
      </c>
      <c r="G91" s="218"/>
    </row>
    <row r="92" customFormat="false" ht="15" hidden="false" customHeight="false" outlineLevel="0" collapsed="false">
      <c r="A92" s="218"/>
      <c r="B92" s="219" t="s">
        <v>637</v>
      </c>
      <c r="C92" s="218" t="n">
        <v>0.7</v>
      </c>
      <c r="D92" s="235" t="s">
        <v>13</v>
      </c>
      <c r="E92" s="218" t="n">
        <f aca="false">C92*E$101/C$101</f>
        <v>11.4</v>
      </c>
      <c r="F92" s="235" t="s">
        <v>13</v>
      </c>
      <c r="G92" s="218"/>
    </row>
    <row r="93" customFormat="false" ht="15" hidden="false" customHeight="false" outlineLevel="0" collapsed="false">
      <c r="A93" s="218"/>
      <c r="B93" s="238" t="s">
        <v>638</v>
      </c>
      <c r="C93" s="239" t="n">
        <v>1.75</v>
      </c>
      <c r="D93" s="240" t="s">
        <v>20</v>
      </c>
      <c r="E93" s="239" t="n">
        <f aca="false">C93*E$101/C$101</f>
        <v>29.3</v>
      </c>
      <c r="F93" s="235" t="s">
        <v>20</v>
      </c>
      <c r="G93" s="218"/>
    </row>
    <row r="94" customFormat="false" ht="15" hidden="false" customHeight="false" outlineLevel="0" collapsed="false">
      <c r="A94" s="218" t="s">
        <v>7837</v>
      </c>
      <c r="B94" s="249" t="s">
        <v>7838</v>
      </c>
      <c r="C94" s="241" t="n">
        <v>2.1</v>
      </c>
      <c r="D94" s="236" t="s">
        <v>20</v>
      </c>
      <c r="E94" s="218" t="n">
        <f aca="false">C94*E$101/C$101</f>
        <v>34.2</v>
      </c>
      <c r="F94" s="235" t="s">
        <v>20</v>
      </c>
      <c r="G94" s="218"/>
    </row>
    <row r="95" customFormat="false" ht="15" hidden="false" customHeight="false" outlineLevel="0" collapsed="false">
      <c r="A95" s="218"/>
      <c r="B95" s="219" t="s">
        <v>7839</v>
      </c>
      <c r="C95" s="218" t="n">
        <v>0</v>
      </c>
      <c r="D95" s="235"/>
      <c r="E95" s="218" t="n">
        <f aca="false">C95*E$101/C$101</f>
        <v>0</v>
      </c>
      <c r="F95" s="235"/>
      <c r="G95" s="218"/>
    </row>
    <row r="96" customFormat="false" ht="15" hidden="false" customHeight="false" outlineLevel="0" collapsed="false">
      <c r="A96" s="218"/>
      <c r="B96" s="219" t="s">
        <v>7840</v>
      </c>
      <c r="C96" s="218" t="n">
        <v>2.8</v>
      </c>
      <c r="D96" s="235" t="s">
        <v>13</v>
      </c>
      <c r="E96" s="218" t="n">
        <f aca="false">C96*E$101/C$101</f>
        <v>45.6</v>
      </c>
      <c r="F96" s="235" t="s">
        <v>13</v>
      </c>
      <c r="G96" s="218"/>
    </row>
    <row r="97" customFormat="false" ht="15" hidden="false" customHeight="false" outlineLevel="0" collapsed="false">
      <c r="A97" s="218"/>
      <c r="B97" s="219" t="s">
        <v>7841</v>
      </c>
      <c r="C97" s="218" t="n">
        <v>0.7</v>
      </c>
      <c r="D97" s="247" t="s">
        <v>7</v>
      </c>
      <c r="E97" s="218" t="n">
        <f aca="false">C97*E$101/C$101</f>
        <v>11.4</v>
      </c>
      <c r="F97" s="247" t="s">
        <v>7</v>
      </c>
      <c r="G97" s="218"/>
    </row>
    <row r="98" customFormat="false" ht="15" hidden="false" customHeight="false" outlineLevel="0" collapsed="false">
      <c r="A98" s="218"/>
      <c r="B98" s="219" t="s">
        <v>86</v>
      </c>
      <c r="C98" s="218" t="n">
        <v>0.7</v>
      </c>
      <c r="D98" s="235" t="s">
        <v>13</v>
      </c>
      <c r="E98" s="218" t="n">
        <f aca="false">C98*E$101/C$101</f>
        <v>11.4</v>
      </c>
      <c r="F98" s="235" t="s">
        <v>13</v>
      </c>
      <c r="G98" s="218"/>
    </row>
    <row r="99" customFormat="false" ht="15" hidden="false" customHeight="false" outlineLevel="0" collapsed="false">
      <c r="A99" s="218"/>
      <c r="B99" s="219" t="s">
        <v>32</v>
      </c>
      <c r="C99" s="218" t="n">
        <v>1.4</v>
      </c>
      <c r="D99" s="235" t="s">
        <v>20</v>
      </c>
      <c r="E99" s="218" t="n">
        <f aca="false">C99*E$101/C$101</f>
        <v>22.8</v>
      </c>
      <c r="F99" s="235" t="s">
        <v>20</v>
      </c>
      <c r="G99" s="218"/>
    </row>
    <row r="100" customFormat="false" ht="15" hidden="false" customHeight="false" outlineLevel="0" collapsed="false">
      <c r="A100" s="218"/>
      <c r="B100" s="217" t="s">
        <v>26</v>
      </c>
      <c r="C100" s="218" t="n">
        <v>0.98</v>
      </c>
      <c r="D100" s="235" t="s">
        <v>27</v>
      </c>
      <c r="E100" s="218" t="n">
        <f aca="false">C100*E$101/C$101</f>
        <v>16.3</v>
      </c>
      <c r="F100" s="235" t="s">
        <v>27</v>
      </c>
      <c r="G100" s="218"/>
    </row>
    <row r="101" customFormat="false" ht="15" hidden="false" customHeight="false" outlineLevel="0" collapsed="false">
      <c r="A101" s="218"/>
      <c r="B101" s="217" t="s">
        <v>26</v>
      </c>
      <c r="C101" s="218" t="n">
        <v>35</v>
      </c>
      <c r="D101" s="235" t="s">
        <v>13</v>
      </c>
      <c r="E101" s="250" t="n">
        <v>570</v>
      </c>
      <c r="F101" s="235" t="s">
        <v>13</v>
      </c>
      <c r="G101" s="218"/>
    </row>
    <row r="102" customFormat="false" ht="15" hidden="false" customHeight="false" outlineLevel="0" collapsed="false">
      <c r="A102" s="218"/>
      <c r="B102" s="219" t="s">
        <v>7842</v>
      </c>
      <c r="C102" s="218"/>
      <c r="D102" s="235"/>
      <c r="E102" s="218"/>
      <c r="F102" s="235"/>
      <c r="G102" s="218"/>
    </row>
    <row r="103" customFormat="false" ht="15" hidden="false" customHeight="false" outlineLevel="0" collapsed="false">
      <c r="A103" s="249"/>
      <c r="B103" s="219"/>
      <c r="C103" s="218"/>
      <c r="D103" s="232"/>
      <c r="E103" s="218"/>
      <c r="F103" s="219"/>
      <c r="G103" s="219"/>
      <c r="H103" s="231" t="s">
        <v>7824</v>
      </c>
    </row>
    <row r="104" customFormat="false" ht="15" hidden="false" customHeight="false" outlineLevel="0" collapsed="false">
      <c r="A104" s="219"/>
      <c r="B104" s="219"/>
      <c r="C104" s="218"/>
      <c r="D104" s="232"/>
      <c r="E104" s="218"/>
      <c r="F104" s="219"/>
      <c r="G104" s="219"/>
      <c r="I104" s="209"/>
    </row>
    <row r="105" customFormat="false" ht="15" hidden="false" customHeight="false" outlineLevel="0" collapsed="false">
      <c r="A105" s="216" t="s">
        <v>7843</v>
      </c>
      <c r="B105" s="217" t="s">
        <v>2</v>
      </c>
      <c r="C105" s="216" t="s">
        <v>3</v>
      </c>
      <c r="D105" s="216" t="s">
        <v>4</v>
      </c>
      <c r="E105" s="216" t="s">
        <v>5</v>
      </c>
      <c r="F105" s="216" t="s">
        <v>4</v>
      </c>
      <c r="G105" s="218"/>
      <c r="K105" s="210"/>
      <c r="L105" s="210"/>
    </row>
    <row r="106" customFormat="false" ht="15.75" hidden="false" customHeight="false" outlineLevel="0" collapsed="false">
      <c r="A106" s="251"/>
      <c r="B106" s="217" t="s">
        <v>7844</v>
      </c>
      <c r="C106" s="216" t="n">
        <v>12.8333333333333</v>
      </c>
      <c r="D106" s="247" t="s">
        <v>7</v>
      </c>
      <c r="E106" s="216" t="n">
        <f aca="false">C106*E$128/C$128</f>
        <v>192</v>
      </c>
      <c r="F106" s="247" t="s">
        <v>7</v>
      </c>
      <c r="G106" s="235"/>
    </row>
    <row r="107" customFormat="false" ht="15" hidden="false" customHeight="false" outlineLevel="0" collapsed="false">
      <c r="A107" s="218"/>
      <c r="B107" s="219"/>
      <c r="C107" s="218" t="n">
        <v>8.16666666666667</v>
      </c>
      <c r="D107" s="235" t="s">
        <v>13</v>
      </c>
      <c r="E107" s="216" t="n">
        <f aca="false">C107*E$128/C$128</f>
        <v>123</v>
      </c>
      <c r="F107" s="235" t="s">
        <v>13</v>
      </c>
      <c r="G107" s="235"/>
    </row>
    <row r="108" customFormat="false" ht="15" hidden="false" customHeight="false" outlineLevel="0" collapsed="false">
      <c r="A108" s="218"/>
      <c r="B108" s="252" t="s">
        <v>7845</v>
      </c>
      <c r="C108" s="253" t="n">
        <v>26.8333333333333</v>
      </c>
      <c r="D108" s="254" t="s">
        <v>7</v>
      </c>
      <c r="E108" s="216" t="n">
        <f aca="false">C108*E$128/C$128</f>
        <v>402</v>
      </c>
      <c r="F108" s="235" t="s">
        <v>7</v>
      </c>
      <c r="G108" s="235"/>
    </row>
    <row r="109" customFormat="false" ht="15" hidden="false" customHeight="false" outlineLevel="0" collapsed="false">
      <c r="A109" s="218"/>
      <c r="B109" s="219"/>
      <c r="C109" s="218" t="n">
        <v>10.5</v>
      </c>
      <c r="D109" s="235" t="s">
        <v>13</v>
      </c>
      <c r="E109" s="216" t="n">
        <f aca="false">C109*E$128/C$128</f>
        <v>157.5</v>
      </c>
      <c r="F109" s="235" t="s">
        <v>13</v>
      </c>
      <c r="G109" s="235"/>
    </row>
    <row r="110" customFormat="false" ht="15" hidden="false" customHeight="false" outlineLevel="0" collapsed="false">
      <c r="A110" s="218"/>
      <c r="B110" s="252" t="s">
        <v>7846</v>
      </c>
      <c r="C110" s="216" t="n">
        <v>7</v>
      </c>
      <c r="D110" s="247" t="s">
        <v>7</v>
      </c>
      <c r="E110" s="216" t="n">
        <f aca="false">C110*E$128/C$128</f>
        <v>105</v>
      </c>
      <c r="F110" s="235" t="s">
        <v>7</v>
      </c>
      <c r="G110" s="235"/>
    </row>
    <row r="111" customFormat="false" ht="15" hidden="false" customHeight="false" outlineLevel="0" collapsed="false">
      <c r="A111" s="218"/>
      <c r="B111" s="219"/>
      <c r="C111" s="218" t="n">
        <v>4.66666666666667</v>
      </c>
      <c r="D111" s="235" t="s">
        <v>13</v>
      </c>
      <c r="E111" s="216" t="n">
        <f aca="false">C111*E$128/C$128</f>
        <v>70.5</v>
      </c>
      <c r="F111" s="235" t="s">
        <v>13</v>
      </c>
      <c r="G111" s="235"/>
    </row>
    <row r="112" customFormat="false" ht="15" hidden="false" customHeight="false" outlineLevel="0" collapsed="false">
      <c r="A112" s="216"/>
      <c r="B112" s="217" t="s">
        <v>7847</v>
      </c>
      <c r="C112" s="216" t="n">
        <v>7</v>
      </c>
      <c r="D112" s="247" t="s">
        <v>7</v>
      </c>
      <c r="E112" s="216" t="n">
        <f aca="false">C112*E$128/C$128</f>
        <v>105</v>
      </c>
      <c r="F112" s="247" t="s">
        <v>7</v>
      </c>
      <c r="G112" s="235"/>
    </row>
    <row r="113" customFormat="false" ht="15" hidden="false" customHeight="false" outlineLevel="0" collapsed="false">
      <c r="A113" s="218"/>
      <c r="B113" s="219"/>
      <c r="C113" s="218" t="n">
        <v>3.5</v>
      </c>
      <c r="D113" s="235" t="s">
        <v>13</v>
      </c>
      <c r="E113" s="216" t="n">
        <f aca="false">C113*E$128/C$128</f>
        <v>52.5</v>
      </c>
      <c r="F113" s="235" t="s">
        <v>13</v>
      </c>
      <c r="G113" s="235"/>
    </row>
    <row r="114" customFormat="false" ht="15" hidden="false" customHeight="false" outlineLevel="0" collapsed="false">
      <c r="A114" s="218"/>
      <c r="B114" s="252" t="s">
        <v>7848</v>
      </c>
      <c r="C114" s="216" t="n">
        <v>7</v>
      </c>
      <c r="D114" s="247" t="s">
        <v>7</v>
      </c>
      <c r="E114" s="216" t="n">
        <f aca="false">C114*E$128/C$128</f>
        <v>105</v>
      </c>
      <c r="F114" s="235" t="s">
        <v>7</v>
      </c>
      <c r="G114" s="235"/>
    </row>
    <row r="115" customFormat="false" ht="15" hidden="false" customHeight="false" outlineLevel="0" collapsed="false">
      <c r="A115" s="218"/>
      <c r="B115" s="219"/>
      <c r="C115" s="218" t="n">
        <v>8.16666666666667</v>
      </c>
      <c r="D115" s="235" t="s">
        <v>13</v>
      </c>
      <c r="E115" s="216" t="n">
        <f aca="false">C115*E$128/C$128</f>
        <v>123</v>
      </c>
      <c r="F115" s="235" t="s">
        <v>13</v>
      </c>
      <c r="G115" s="235"/>
    </row>
    <row r="116" customFormat="false" ht="15" hidden="false" customHeight="false" outlineLevel="0" collapsed="false">
      <c r="A116" s="218"/>
      <c r="B116" s="217" t="s">
        <v>7849</v>
      </c>
      <c r="C116" s="216" t="n">
        <v>10</v>
      </c>
      <c r="D116" s="247" t="s">
        <v>7</v>
      </c>
      <c r="E116" s="216" t="n">
        <f aca="false">C116*E$128/C$128</f>
        <v>150</v>
      </c>
      <c r="F116" s="235" t="s">
        <v>7</v>
      </c>
      <c r="G116" s="235"/>
    </row>
    <row r="117" customFormat="false" ht="15" hidden="false" customHeight="false" outlineLevel="0" collapsed="false">
      <c r="A117" s="218"/>
      <c r="B117" s="219"/>
      <c r="C117" s="218" t="n">
        <v>7</v>
      </c>
      <c r="D117" s="235" t="s">
        <v>13</v>
      </c>
      <c r="E117" s="216" t="n">
        <f aca="false">C117*E$128/C$128</f>
        <v>105</v>
      </c>
      <c r="F117" s="235" t="s">
        <v>13</v>
      </c>
      <c r="G117" s="235"/>
    </row>
    <row r="118" customFormat="false" ht="15" hidden="false" customHeight="false" outlineLevel="0" collapsed="false">
      <c r="A118" s="216"/>
      <c r="B118" s="217" t="s">
        <v>553</v>
      </c>
      <c r="C118" s="216" t="n">
        <v>1</v>
      </c>
      <c r="D118" s="247" t="s">
        <v>13</v>
      </c>
      <c r="E118" s="216" t="n">
        <f aca="false">C118*E$128/C$128</f>
        <v>15</v>
      </c>
      <c r="F118" s="247" t="s">
        <v>13</v>
      </c>
      <c r="G118" s="235"/>
    </row>
    <row r="119" customFormat="false" ht="15" hidden="false" customHeight="false" outlineLevel="0" collapsed="false">
      <c r="A119" s="218"/>
      <c r="B119" s="219" t="s">
        <v>562</v>
      </c>
      <c r="C119" s="218" t="n">
        <v>0.5</v>
      </c>
      <c r="D119" s="235" t="s">
        <v>20</v>
      </c>
      <c r="E119" s="216" t="n">
        <f aca="false">C119*E$128/C$128</f>
        <v>7.5</v>
      </c>
      <c r="F119" s="235" t="s">
        <v>20</v>
      </c>
      <c r="G119" s="235"/>
    </row>
    <row r="120" s="208" customFormat="true" ht="15" hidden="false" customHeight="false" outlineLevel="0" collapsed="false">
      <c r="A120" s="218"/>
      <c r="B120" s="219" t="s">
        <v>7850</v>
      </c>
      <c r="C120" s="218" t="n">
        <v>1</v>
      </c>
      <c r="D120" s="235" t="s">
        <v>13</v>
      </c>
      <c r="E120" s="216" t="n">
        <f aca="false">C120*E$128/C$128</f>
        <v>15</v>
      </c>
      <c r="F120" s="235" t="s">
        <v>13</v>
      </c>
      <c r="G120" s="235"/>
    </row>
    <row r="121" s="208" customFormat="true" ht="15" hidden="false" customHeight="false" outlineLevel="0" collapsed="false">
      <c r="A121" s="218"/>
      <c r="B121" s="219" t="s">
        <v>18</v>
      </c>
      <c r="C121" s="218" t="n">
        <v>0.7</v>
      </c>
      <c r="D121" s="235" t="s">
        <v>13</v>
      </c>
      <c r="E121" s="216" t="n">
        <f aca="false">C121*E$128/C$128</f>
        <v>10.5</v>
      </c>
      <c r="F121" s="235" t="s">
        <v>13</v>
      </c>
      <c r="G121" s="235"/>
    </row>
    <row r="122" customFormat="false" ht="15" hidden="false" customHeight="false" outlineLevel="0" collapsed="false">
      <c r="A122" s="218"/>
      <c r="B122" s="219" t="s">
        <v>564</v>
      </c>
      <c r="C122" s="218" t="n">
        <v>0.7</v>
      </c>
      <c r="D122" s="235" t="s">
        <v>20</v>
      </c>
      <c r="E122" s="216" t="n">
        <f aca="false">C122*E$128/C$128</f>
        <v>10.5</v>
      </c>
      <c r="F122" s="235" t="s">
        <v>20</v>
      </c>
      <c r="G122" s="235"/>
      <c r="H122" s="233"/>
      <c r="I122" s="233"/>
      <c r="J122" s="233"/>
    </row>
    <row r="123" customFormat="false" ht="15" hidden="false" customHeight="false" outlineLevel="0" collapsed="false">
      <c r="A123" s="218"/>
      <c r="B123" s="219" t="s">
        <v>32</v>
      </c>
      <c r="C123" s="218" t="n">
        <v>2.5</v>
      </c>
      <c r="D123" s="235" t="s">
        <v>20</v>
      </c>
      <c r="E123" s="216" t="n">
        <f aca="false">C123*E$128/C$128</f>
        <v>37.5</v>
      </c>
      <c r="F123" s="235" t="s">
        <v>20</v>
      </c>
      <c r="G123" s="235"/>
      <c r="H123" s="233"/>
      <c r="I123" s="233"/>
      <c r="J123" s="233"/>
    </row>
    <row r="124" customFormat="false" ht="15" hidden="false" customHeight="false" outlineLevel="0" collapsed="false">
      <c r="A124" s="216"/>
      <c r="B124" s="217" t="s">
        <v>43</v>
      </c>
      <c r="C124" s="216" t="n">
        <v>2.33333333333333</v>
      </c>
      <c r="D124" s="247" t="s">
        <v>13</v>
      </c>
      <c r="E124" s="216" t="n">
        <f aca="false">C124*E$128/C$128</f>
        <v>34.5</v>
      </c>
      <c r="F124" s="247" t="s">
        <v>13</v>
      </c>
      <c r="G124" s="235"/>
      <c r="H124" s="233"/>
      <c r="I124" s="233"/>
      <c r="J124" s="233"/>
    </row>
    <row r="125" customFormat="false" ht="15" hidden="false" customHeight="false" outlineLevel="0" collapsed="false">
      <c r="A125" s="218"/>
      <c r="B125" s="249" t="s">
        <v>7851</v>
      </c>
      <c r="C125" s="241" t="n">
        <v>1.2</v>
      </c>
      <c r="D125" s="236" t="s">
        <v>13</v>
      </c>
      <c r="E125" s="243" t="n">
        <f aca="false">C125*E$128/C$128</f>
        <v>18</v>
      </c>
      <c r="F125" s="236" t="s">
        <v>13</v>
      </c>
      <c r="G125" s="235"/>
      <c r="H125" s="233"/>
      <c r="I125" s="233"/>
      <c r="J125" s="233"/>
    </row>
    <row r="126" customFormat="false" ht="15" hidden="false" customHeight="false" outlineLevel="0" collapsed="false">
      <c r="A126" s="218"/>
      <c r="B126" s="219" t="s">
        <v>23</v>
      </c>
      <c r="C126" s="218" t="n">
        <v>3.5</v>
      </c>
      <c r="D126" s="235" t="s">
        <v>13</v>
      </c>
      <c r="E126" s="216" t="n">
        <f aca="false">C126*E$128/C$128</f>
        <v>52.5</v>
      </c>
      <c r="F126" s="235" t="s">
        <v>13</v>
      </c>
      <c r="G126" s="235"/>
      <c r="H126" s="233"/>
      <c r="I126" s="233"/>
      <c r="J126" s="233"/>
    </row>
    <row r="127" customFormat="false" ht="15" hidden="false" customHeight="false" outlineLevel="0" collapsed="false">
      <c r="A127" s="218"/>
      <c r="B127" s="219" t="s">
        <v>26</v>
      </c>
      <c r="C127" s="218" t="n">
        <v>1</v>
      </c>
      <c r="D127" s="218" t="s">
        <v>27</v>
      </c>
      <c r="E127" s="218" t="n">
        <f aca="false">C127*E$128/C$128</f>
        <v>15</v>
      </c>
      <c r="F127" s="218" t="s">
        <v>7852</v>
      </c>
      <c r="G127" s="218"/>
      <c r="H127" s="210"/>
      <c r="I127" s="210"/>
      <c r="K127" s="210"/>
    </row>
    <row r="128" customFormat="false" ht="15" hidden="false" customHeight="false" outlineLevel="0" collapsed="false">
      <c r="A128" s="218"/>
      <c r="B128" s="219" t="s">
        <v>26</v>
      </c>
      <c r="C128" s="218" t="n">
        <v>35</v>
      </c>
      <c r="D128" s="218" t="s">
        <v>13</v>
      </c>
      <c r="E128" s="218" t="n">
        <v>525</v>
      </c>
      <c r="F128" s="218" t="s">
        <v>13</v>
      </c>
      <c r="G128" s="218"/>
      <c r="H128" s="210"/>
      <c r="I128" s="210"/>
      <c r="K128" s="210"/>
    </row>
    <row r="129" customFormat="false" ht="15" hidden="false" customHeight="false" outlineLevel="0" collapsed="false">
      <c r="A129" s="218"/>
      <c r="B129" s="219" t="s">
        <v>77</v>
      </c>
      <c r="C129" s="218"/>
      <c r="D129" s="218"/>
      <c r="E129" s="218"/>
      <c r="F129" s="218"/>
      <c r="G129" s="218"/>
      <c r="H129" s="210"/>
      <c r="I129" s="210"/>
      <c r="K129" s="210"/>
    </row>
    <row r="130" customFormat="false" ht="15" hidden="false" customHeight="false" outlineLevel="0" collapsed="false">
      <c r="A130" s="218"/>
      <c r="B130" s="219"/>
      <c r="C130" s="218"/>
      <c r="D130" s="218"/>
      <c r="E130" s="218"/>
      <c r="F130" s="218"/>
      <c r="G130" s="218"/>
      <c r="H130" s="210"/>
      <c r="I130" s="210"/>
      <c r="K130" s="210"/>
    </row>
    <row r="131" customFormat="false" ht="15" hidden="false" customHeight="false" outlineLevel="0" collapsed="false">
      <c r="A131" s="216" t="s">
        <v>7853</v>
      </c>
      <c r="B131" s="217" t="s">
        <v>2</v>
      </c>
      <c r="C131" s="216" t="s">
        <v>3</v>
      </c>
      <c r="D131" s="216" t="s">
        <v>4</v>
      </c>
      <c r="E131" s="216" t="s">
        <v>5</v>
      </c>
      <c r="F131" s="216" t="s">
        <v>4</v>
      </c>
      <c r="G131" s="216"/>
      <c r="I131" s="210"/>
      <c r="K131" s="210"/>
    </row>
    <row r="132" customFormat="false" ht="15" hidden="false" customHeight="false" outlineLevel="0" collapsed="false">
      <c r="A132" s="218"/>
      <c r="B132" s="219" t="s">
        <v>639</v>
      </c>
      <c r="C132" s="218" t="n">
        <v>7</v>
      </c>
      <c r="D132" s="218" t="s">
        <v>7</v>
      </c>
      <c r="E132" s="218" t="n">
        <f aca="false">C132*E$141/C$141</f>
        <v>98</v>
      </c>
      <c r="F132" s="218" t="s">
        <v>7</v>
      </c>
      <c r="G132" s="218"/>
      <c r="H132" s="210"/>
      <c r="I132" s="210"/>
      <c r="K132" s="210"/>
    </row>
    <row r="133" customFormat="false" ht="15" hidden="false" customHeight="false" outlineLevel="0" collapsed="false">
      <c r="A133" s="218"/>
      <c r="B133" s="219" t="s">
        <v>7677</v>
      </c>
      <c r="C133" s="218" t="n">
        <v>35</v>
      </c>
      <c r="D133" s="218" t="s">
        <v>13</v>
      </c>
      <c r="E133" s="218" t="n">
        <f aca="false">C133*E$141/C$141</f>
        <v>490</v>
      </c>
      <c r="F133" s="218" t="s">
        <v>13</v>
      </c>
      <c r="G133" s="218"/>
      <c r="H133" s="210"/>
      <c r="I133" s="210"/>
      <c r="K133" s="210"/>
    </row>
    <row r="134" customFormat="false" ht="15" hidden="false" customHeight="false" outlineLevel="0" collapsed="false">
      <c r="A134" s="218"/>
      <c r="B134" s="219" t="s">
        <v>641</v>
      </c>
      <c r="C134" s="218" t="n">
        <v>2.33333333333333</v>
      </c>
      <c r="D134" s="218" t="s">
        <v>7</v>
      </c>
      <c r="E134" s="218" t="n">
        <f aca="false">C134*E$141/C$141</f>
        <v>32.2</v>
      </c>
      <c r="F134" s="218" t="s">
        <v>7</v>
      </c>
      <c r="G134" s="218"/>
      <c r="H134" s="210"/>
      <c r="I134" s="210"/>
      <c r="K134" s="210"/>
    </row>
    <row r="135" customFormat="false" ht="15" hidden="false" customHeight="false" outlineLevel="0" collapsed="false">
      <c r="A135" s="218"/>
      <c r="B135" s="219" t="s">
        <v>7717</v>
      </c>
      <c r="C135" s="218" t="n">
        <v>3.26666666666667</v>
      </c>
      <c r="D135" s="218" t="s">
        <v>13</v>
      </c>
      <c r="E135" s="218" t="n">
        <f aca="false">C135*E$141/C$141</f>
        <v>46.2</v>
      </c>
      <c r="F135" s="218" t="s">
        <v>13</v>
      </c>
      <c r="G135" s="218"/>
      <c r="H135" s="210"/>
      <c r="I135" s="210"/>
      <c r="K135" s="210"/>
    </row>
    <row r="136" customFormat="false" ht="15" hidden="false" customHeight="false" outlineLevel="0" collapsed="false">
      <c r="A136" s="218"/>
      <c r="B136" s="219" t="s">
        <v>642</v>
      </c>
      <c r="C136" s="218" t="n">
        <v>3.5</v>
      </c>
      <c r="D136" s="218" t="s">
        <v>7</v>
      </c>
      <c r="E136" s="218" t="n">
        <f aca="false">C136*E$141/C$141</f>
        <v>49</v>
      </c>
      <c r="F136" s="218" t="s">
        <v>7</v>
      </c>
      <c r="G136" s="218"/>
      <c r="H136" s="210"/>
      <c r="I136" s="210"/>
      <c r="K136" s="210"/>
    </row>
    <row r="137" customFormat="false" ht="15" hidden="false" customHeight="false" outlineLevel="0" collapsed="false">
      <c r="A137" s="218"/>
      <c r="B137" s="219" t="s">
        <v>7717</v>
      </c>
      <c r="C137" s="218" t="n">
        <v>4.66666666666667</v>
      </c>
      <c r="D137" s="218" t="s">
        <v>13</v>
      </c>
      <c r="E137" s="218" t="n">
        <f aca="false">C137*E$141/C$141</f>
        <v>65.8</v>
      </c>
      <c r="F137" s="218" t="s">
        <v>13</v>
      </c>
      <c r="G137" s="218"/>
      <c r="H137" s="210"/>
      <c r="I137" s="210"/>
      <c r="K137" s="210"/>
    </row>
    <row r="138" customFormat="false" ht="15" hidden="false" customHeight="false" outlineLevel="0" collapsed="false">
      <c r="A138" s="218"/>
      <c r="B138" s="219" t="s">
        <v>643</v>
      </c>
      <c r="C138" s="218" t="n">
        <v>2.33333333333333</v>
      </c>
      <c r="D138" s="235" t="s">
        <v>13</v>
      </c>
      <c r="E138" s="218" t="n">
        <f aca="false">C138*E$141/C$141</f>
        <v>32.2</v>
      </c>
      <c r="F138" s="235" t="s">
        <v>13</v>
      </c>
      <c r="G138" s="218"/>
    </row>
    <row r="139" customFormat="false" ht="15" hidden="false" customHeight="false" outlineLevel="0" collapsed="false">
      <c r="A139" s="218"/>
      <c r="B139" s="219" t="s">
        <v>86</v>
      </c>
      <c r="C139" s="218" t="n">
        <v>1.16666666666667</v>
      </c>
      <c r="D139" s="235" t="s">
        <v>13</v>
      </c>
      <c r="E139" s="218" t="n">
        <f aca="false">C139*E$141/C$141</f>
        <v>16.8</v>
      </c>
      <c r="F139" s="235" t="s">
        <v>13</v>
      </c>
      <c r="G139" s="218"/>
    </row>
    <row r="140" customFormat="false" ht="15" hidden="false" customHeight="false" outlineLevel="0" collapsed="false">
      <c r="A140" s="218"/>
      <c r="B140" s="219" t="s">
        <v>26</v>
      </c>
      <c r="C140" s="218" t="n">
        <v>1</v>
      </c>
      <c r="D140" s="235" t="s">
        <v>27</v>
      </c>
      <c r="E140" s="218" t="n">
        <f aca="false">C140*E$141/C$141</f>
        <v>14</v>
      </c>
      <c r="F140" s="235" t="s">
        <v>27</v>
      </c>
      <c r="G140" s="218"/>
    </row>
    <row r="141" customFormat="false" ht="15" hidden="false" customHeight="false" outlineLevel="0" collapsed="false">
      <c r="A141" s="218"/>
      <c r="B141" s="217" t="s">
        <v>26</v>
      </c>
      <c r="C141" s="216" t="n">
        <v>35</v>
      </c>
      <c r="D141" s="247" t="s">
        <v>13</v>
      </c>
      <c r="E141" s="248" t="n">
        <v>490</v>
      </c>
      <c r="F141" s="247" t="s">
        <v>13</v>
      </c>
      <c r="G141" s="218"/>
    </row>
    <row r="142" customFormat="false" ht="15" hidden="false" customHeight="false" outlineLevel="0" collapsed="false">
      <c r="A142" s="218"/>
      <c r="B142" s="219" t="s">
        <v>644</v>
      </c>
      <c r="C142" s="218"/>
      <c r="D142" s="235"/>
      <c r="E142" s="218"/>
      <c r="F142" s="235"/>
      <c r="G142" s="218"/>
    </row>
    <row r="144" s="208" customFormat="true" ht="15" hidden="false" customHeight="false" outlineLevel="0" collapsed="false">
      <c r="H144" s="231" t="s">
        <v>7824</v>
      </c>
    </row>
  </sheetData>
  <mergeCells count="1">
    <mergeCell ref="A57:A58"/>
  </mergeCells>
  <hyperlinks>
    <hyperlink ref="H33" location="'Yatra Menu'!A1" display="Back to Menu"/>
    <hyperlink ref="H52" location="'Yatra Menu'!A1" display="Back to Menu"/>
    <hyperlink ref="H75" location="'Yatra Menu'!A1" display="Back to Menu"/>
    <hyperlink ref="H103" location="'Yatra Menu'!A1" display="Back to Menu"/>
    <hyperlink ref="H144" location="'Yatra Menu'!A1" display="Back to Menu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7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30" activeCellId="0" sqref="A130"/>
    </sheetView>
  </sheetViews>
  <sheetFormatPr defaultRowHeight="15" outlineLevelRow="0" outlineLevelCol="0"/>
  <cols>
    <col collapsed="false" customWidth="true" hidden="false" outlineLevel="0" max="1" min="1" style="0" width="13.87"/>
    <col collapsed="false" customWidth="true" hidden="false" outlineLevel="0" max="2" min="2" style="1" width="27.87"/>
    <col collapsed="false" customWidth="true" hidden="false" outlineLevel="0" max="3" min="3" style="0" width="7.51"/>
    <col collapsed="false" customWidth="true" hidden="false" outlineLevel="0" max="4" min="4" style="2" width="6.5"/>
    <col collapsed="false" customWidth="true" hidden="false" outlineLevel="0" max="5" min="5" style="2" width="14"/>
    <col collapsed="false" customWidth="true" hidden="false" outlineLevel="0" max="6" min="6" style="3" width="7.64"/>
    <col collapsed="false" customWidth="true" hidden="false" outlineLevel="0" max="1025" min="7" style="0" width="8.51"/>
  </cols>
  <sheetData>
    <row r="1" customFormat="false" ht="15" hidden="false" customHeight="false" outlineLevel="0" collapsed="false">
      <c r="A1" s="5" t="s">
        <v>7854</v>
      </c>
      <c r="B1" s="6"/>
      <c r="C1" s="5"/>
      <c r="D1" s="7"/>
      <c r="E1" s="7"/>
      <c r="F1" s="8"/>
    </row>
    <row r="2" customFormat="false" ht="15" hidden="false" customHeight="false" outlineLevel="0" collapsed="false">
      <c r="A2" s="255"/>
      <c r="B2" s="255"/>
      <c r="C2" s="255"/>
      <c r="D2" s="256"/>
      <c r="E2" s="256"/>
      <c r="F2" s="257"/>
      <c r="G2" s="255"/>
      <c r="H2" s="255"/>
      <c r="I2" s="255"/>
    </row>
    <row r="3" customFormat="false" ht="15" hidden="false" customHeight="false" outlineLevel="0" collapsed="false">
      <c r="A3" s="258" t="s">
        <v>358</v>
      </c>
      <c r="B3" s="258" t="s">
        <v>2</v>
      </c>
      <c r="C3" s="258" t="s">
        <v>3</v>
      </c>
      <c r="D3" s="259" t="s">
        <v>4</v>
      </c>
      <c r="E3" s="259" t="s">
        <v>5</v>
      </c>
      <c r="F3" s="260" t="s">
        <v>4</v>
      </c>
      <c r="G3" s="255"/>
      <c r="H3" s="255"/>
      <c r="I3" s="255"/>
    </row>
    <row r="4" customFormat="false" ht="15" hidden="false" customHeight="false" outlineLevel="0" collapsed="false">
      <c r="A4" s="223"/>
      <c r="B4" s="223" t="s">
        <v>7855</v>
      </c>
      <c r="C4" s="223" t="n">
        <v>25</v>
      </c>
      <c r="D4" s="222" t="s">
        <v>61</v>
      </c>
      <c r="E4" s="222" t="n">
        <f aca="false">C4*2</f>
        <v>50</v>
      </c>
      <c r="F4" s="261" t="s">
        <v>61</v>
      </c>
      <c r="G4" s="255"/>
      <c r="H4" s="255"/>
      <c r="I4" s="255"/>
    </row>
    <row r="5" customFormat="false" ht="15" hidden="false" customHeight="false" outlineLevel="0" collapsed="false">
      <c r="A5" s="223"/>
      <c r="B5" s="223" t="s">
        <v>39</v>
      </c>
      <c r="C5" s="223" t="n">
        <v>5</v>
      </c>
      <c r="D5" s="222" t="s">
        <v>61</v>
      </c>
      <c r="E5" s="222" t="n">
        <v>50</v>
      </c>
      <c r="F5" s="261" t="s">
        <v>61</v>
      </c>
      <c r="G5" s="255"/>
      <c r="H5" s="255"/>
      <c r="I5" s="255"/>
    </row>
    <row r="6" customFormat="false" ht="15" hidden="false" customHeight="false" outlineLevel="0" collapsed="false">
      <c r="A6" s="223"/>
      <c r="B6" s="223" t="s">
        <v>11</v>
      </c>
      <c r="C6" s="223" t="n">
        <v>5</v>
      </c>
      <c r="D6" s="222" t="s">
        <v>61</v>
      </c>
      <c r="E6" s="222" t="n">
        <v>50</v>
      </c>
      <c r="F6" s="261" t="s">
        <v>61</v>
      </c>
      <c r="G6" s="255"/>
      <c r="H6" s="255"/>
      <c r="I6" s="255"/>
    </row>
    <row r="7" customFormat="false" ht="15" hidden="false" customHeight="false" outlineLevel="0" collapsed="false">
      <c r="A7" s="223"/>
      <c r="B7" s="223" t="s">
        <v>7818</v>
      </c>
      <c r="C7" s="223" t="n">
        <v>5</v>
      </c>
      <c r="D7" s="222" t="s">
        <v>61</v>
      </c>
      <c r="E7" s="222" t="n">
        <v>50</v>
      </c>
      <c r="F7" s="261" t="s">
        <v>61</v>
      </c>
      <c r="G7" s="255"/>
      <c r="H7" s="255"/>
      <c r="I7" s="255"/>
    </row>
    <row r="8" customFormat="false" ht="15" hidden="false" customHeight="false" outlineLevel="0" collapsed="false">
      <c r="A8" s="223"/>
      <c r="B8" s="223" t="s">
        <v>7819</v>
      </c>
      <c r="C8" s="223" t="n">
        <v>8.5</v>
      </c>
      <c r="D8" s="222" t="s">
        <v>76</v>
      </c>
      <c r="E8" s="222" t="n">
        <v>85</v>
      </c>
      <c r="F8" s="261" t="s">
        <v>76</v>
      </c>
      <c r="G8" s="255"/>
      <c r="H8" s="255"/>
      <c r="I8" s="255"/>
    </row>
    <row r="9" customFormat="false" ht="15" hidden="false" customHeight="false" outlineLevel="0" collapsed="false">
      <c r="A9" s="223"/>
      <c r="B9" s="223" t="s">
        <v>672</v>
      </c>
      <c r="C9" s="223" t="n">
        <v>2.5</v>
      </c>
      <c r="D9" s="222" t="s">
        <v>68</v>
      </c>
      <c r="E9" s="222" t="n">
        <v>25</v>
      </c>
      <c r="F9" s="261" t="s">
        <v>68</v>
      </c>
    </row>
    <row r="10" customFormat="false" ht="15" hidden="false" customHeight="false" outlineLevel="0" collapsed="false">
      <c r="A10" s="223"/>
      <c r="B10" s="223" t="s">
        <v>7856</v>
      </c>
      <c r="C10" s="223" t="n">
        <v>2</v>
      </c>
      <c r="D10" s="222" t="s">
        <v>76</v>
      </c>
      <c r="E10" s="222" t="n">
        <v>20</v>
      </c>
      <c r="F10" s="261" t="s">
        <v>76</v>
      </c>
    </row>
    <row r="11" customFormat="false" ht="15" hidden="false" customHeight="false" outlineLevel="0" collapsed="false">
      <c r="A11" s="223"/>
      <c r="B11" s="223" t="s">
        <v>16</v>
      </c>
      <c r="C11" s="223" t="n">
        <v>0.5</v>
      </c>
      <c r="D11" s="222" t="s">
        <v>76</v>
      </c>
      <c r="E11" s="222" t="n">
        <v>5</v>
      </c>
      <c r="F11" s="261" t="s">
        <v>76</v>
      </c>
    </row>
    <row r="12" customFormat="false" ht="15" hidden="false" customHeight="false" outlineLevel="0" collapsed="false">
      <c r="A12" s="223"/>
      <c r="B12" s="262" t="s">
        <v>15</v>
      </c>
      <c r="C12" s="223" t="n">
        <v>1</v>
      </c>
      <c r="D12" s="222" t="s">
        <v>76</v>
      </c>
      <c r="E12" s="222" t="n">
        <v>10</v>
      </c>
      <c r="F12" s="261" t="s">
        <v>76</v>
      </c>
    </row>
    <row r="13" customFormat="false" ht="15" hidden="false" customHeight="false" outlineLevel="0" collapsed="false">
      <c r="A13" s="223"/>
      <c r="B13" s="223" t="s">
        <v>651</v>
      </c>
      <c r="C13" s="223" t="n">
        <v>2</v>
      </c>
      <c r="D13" s="222" t="s">
        <v>76</v>
      </c>
      <c r="E13" s="222" t="n">
        <v>20</v>
      </c>
      <c r="F13" s="261" t="s">
        <v>76</v>
      </c>
    </row>
    <row r="14" customFormat="false" ht="15" hidden="false" customHeight="false" outlineLevel="0" collapsed="false">
      <c r="A14" s="263"/>
      <c r="B14" s="264" t="s">
        <v>947</v>
      </c>
      <c r="C14" s="223" t="n">
        <v>80</v>
      </c>
      <c r="D14" s="222" t="s">
        <v>76</v>
      </c>
      <c r="E14" s="222"/>
      <c r="F14" s="261"/>
    </row>
    <row r="15" customFormat="false" ht="15" hidden="false" customHeight="false" outlineLevel="0" collapsed="false">
      <c r="A15" s="223"/>
      <c r="B15" s="223" t="s">
        <v>75</v>
      </c>
      <c r="C15" s="223" t="n">
        <v>2</v>
      </c>
      <c r="D15" s="222" t="s">
        <v>76</v>
      </c>
      <c r="E15" s="222" t="n">
        <v>20</v>
      </c>
      <c r="F15" s="261" t="s">
        <v>76</v>
      </c>
    </row>
    <row r="16" customFormat="false" ht="15" hidden="false" customHeight="false" outlineLevel="0" collapsed="false">
      <c r="A16" s="220"/>
      <c r="B16" s="220" t="s">
        <v>557</v>
      </c>
      <c r="C16" s="220" t="n">
        <v>1</v>
      </c>
      <c r="D16" s="222" t="s">
        <v>76</v>
      </c>
      <c r="E16" s="222" t="n">
        <v>10</v>
      </c>
      <c r="F16" s="261" t="s">
        <v>76</v>
      </c>
    </row>
    <row r="17" customFormat="false" ht="15" hidden="false" customHeight="false" outlineLevel="0" collapsed="false">
      <c r="A17" s="220"/>
      <c r="B17" s="223" t="s">
        <v>71</v>
      </c>
      <c r="C17" s="220" t="n">
        <v>3</v>
      </c>
      <c r="D17" s="222" t="s">
        <v>68</v>
      </c>
      <c r="E17" s="222" t="n">
        <v>30</v>
      </c>
      <c r="F17" s="261" t="s">
        <v>68</v>
      </c>
    </row>
    <row r="18" customFormat="false" ht="15" hidden="false" customHeight="false" outlineLevel="0" collapsed="false">
      <c r="A18" s="223"/>
      <c r="B18" s="227" t="s">
        <v>26</v>
      </c>
      <c r="C18" s="227" t="n">
        <v>3</v>
      </c>
      <c r="D18" s="228" t="s">
        <v>27</v>
      </c>
      <c r="E18" s="228" t="n">
        <v>30</v>
      </c>
      <c r="F18" s="265" t="s">
        <v>27</v>
      </c>
    </row>
    <row r="19" customFormat="false" ht="15" hidden="false" customHeight="false" outlineLevel="0" collapsed="false">
      <c r="A19" s="223"/>
      <c r="B19" s="223"/>
      <c r="C19" s="223"/>
      <c r="D19" s="222"/>
      <c r="E19" s="222"/>
      <c r="F19" s="261"/>
      <c r="H19" s="255"/>
      <c r="I19" s="257"/>
    </row>
    <row r="20" customFormat="false" ht="15" hidden="false" customHeight="false" outlineLevel="0" collapsed="false">
      <c r="A20" s="258" t="s">
        <v>7857</v>
      </c>
      <c r="B20" s="258" t="s">
        <v>2</v>
      </c>
      <c r="C20" s="258" t="s">
        <v>3</v>
      </c>
      <c r="D20" s="259" t="s">
        <v>4</v>
      </c>
      <c r="E20" s="259" t="s">
        <v>5</v>
      </c>
      <c r="F20" s="260" t="s">
        <v>4</v>
      </c>
      <c r="G20" s="255"/>
      <c r="H20" s="255"/>
    </row>
    <row r="21" customFormat="false" ht="15" hidden="false" customHeight="false" outlineLevel="0" collapsed="false">
      <c r="A21" s="223"/>
      <c r="B21" s="223" t="s">
        <v>7835</v>
      </c>
      <c r="C21" s="223" t="n">
        <v>3</v>
      </c>
      <c r="D21" s="222" t="s">
        <v>61</v>
      </c>
      <c r="E21" s="222" t="n">
        <f aca="false">C21*E$36/C$36</f>
        <v>37.5</v>
      </c>
      <c r="F21" s="261" t="s">
        <v>61</v>
      </c>
      <c r="G21" s="255"/>
      <c r="H21" s="255"/>
    </row>
    <row r="22" customFormat="false" ht="15" hidden="false" customHeight="false" outlineLevel="0" collapsed="false">
      <c r="A22" s="223"/>
      <c r="B22" s="223" t="s">
        <v>21</v>
      </c>
      <c r="C22" s="223" t="n">
        <v>14.75</v>
      </c>
      <c r="D22" s="222" t="s">
        <v>61</v>
      </c>
      <c r="E22" s="222" t="n">
        <f aca="false">C22*E$36/C$36</f>
        <v>185</v>
      </c>
      <c r="F22" s="261" t="s">
        <v>61</v>
      </c>
      <c r="G22" s="255"/>
      <c r="H22" s="255"/>
    </row>
    <row r="23" customFormat="false" ht="15" hidden="false" customHeight="false" outlineLevel="0" collapsed="false">
      <c r="A23" s="223"/>
      <c r="B23" s="223" t="s">
        <v>7858</v>
      </c>
      <c r="C23" s="223" t="n">
        <v>0.2</v>
      </c>
      <c r="D23" s="222" t="s">
        <v>61</v>
      </c>
      <c r="E23" s="222" t="n">
        <f aca="false">C23*E$36/C$36</f>
        <v>2.5</v>
      </c>
      <c r="F23" s="261" t="s">
        <v>61</v>
      </c>
      <c r="G23" s="255"/>
      <c r="H23" s="255"/>
    </row>
    <row r="24" customFormat="false" ht="15" hidden="false" customHeight="false" outlineLevel="0" collapsed="false">
      <c r="A24" s="223"/>
      <c r="B24" s="223" t="s">
        <v>541</v>
      </c>
      <c r="C24" s="223" t="n">
        <v>0.5</v>
      </c>
      <c r="D24" s="222" t="s">
        <v>61</v>
      </c>
      <c r="E24" s="222" t="n">
        <f aca="false">C24*E$36/C$36</f>
        <v>6.3</v>
      </c>
      <c r="F24" s="261" t="s">
        <v>61</v>
      </c>
      <c r="G24" s="255"/>
      <c r="H24" s="255"/>
    </row>
    <row r="25" customFormat="false" ht="15" hidden="false" customHeight="false" outlineLevel="0" collapsed="false">
      <c r="A25" s="223"/>
      <c r="B25" s="223" t="s">
        <v>650</v>
      </c>
      <c r="C25" s="223" t="n">
        <v>0.5</v>
      </c>
      <c r="D25" s="222" t="s">
        <v>68</v>
      </c>
      <c r="E25" s="222" t="n">
        <f aca="false">C25*E$36/C$36</f>
        <v>6.3</v>
      </c>
      <c r="F25" s="261" t="s">
        <v>68</v>
      </c>
      <c r="G25" s="255"/>
      <c r="H25" s="255"/>
    </row>
    <row r="26" customFormat="false" ht="15" hidden="false" customHeight="false" outlineLevel="0" collapsed="false">
      <c r="A26" s="223"/>
      <c r="B26" s="223" t="s">
        <v>652</v>
      </c>
      <c r="C26" s="223" t="n">
        <v>1.5</v>
      </c>
      <c r="D26" s="222" t="s">
        <v>68</v>
      </c>
      <c r="E26" s="222" t="n">
        <f aca="false">C26*E$36/C$36</f>
        <v>18.8</v>
      </c>
      <c r="F26" s="261" t="s">
        <v>68</v>
      </c>
    </row>
    <row r="27" customFormat="false" ht="15" hidden="false" customHeight="false" outlineLevel="0" collapsed="false">
      <c r="A27" s="223"/>
      <c r="B27" s="223" t="s">
        <v>32</v>
      </c>
      <c r="C27" s="223" t="n">
        <v>2.5</v>
      </c>
      <c r="D27" s="222" t="s">
        <v>68</v>
      </c>
      <c r="E27" s="222" t="n">
        <f aca="false">C27*E$36/C$36</f>
        <v>31.3</v>
      </c>
      <c r="F27" s="261" t="s">
        <v>68</v>
      </c>
    </row>
    <row r="28" customFormat="false" ht="15" hidden="false" customHeight="false" outlineLevel="0" collapsed="false">
      <c r="A28" s="220"/>
      <c r="B28" s="220" t="s">
        <v>682</v>
      </c>
      <c r="C28" s="220" t="n">
        <v>1</v>
      </c>
      <c r="D28" s="222" t="s">
        <v>61</v>
      </c>
      <c r="E28" s="222" t="n">
        <f aca="false">C28*E$36/C$36</f>
        <v>12.5</v>
      </c>
      <c r="F28" s="261" t="s">
        <v>61</v>
      </c>
    </row>
    <row r="29" customFormat="false" ht="15" hidden="false" customHeight="false" outlineLevel="0" collapsed="false">
      <c r="A29" s="220"/>
      <c r="B29" s="223" t="s">
        <v>7859</v>
      </c>
      <c r="C29" s="220" t="n">
        <v>2.5</v>
      </c>
      <c r="D29" s="266" t="s">
        <v>139</v>
      </c>
      <c r="E29" s="222" t="n">
        <f aca="false">C29*E$36/C$36</f>
        <v>31.3</v>
      </c>
      <c r="F29" s="267" t="s">
        <v>139</v>
      </c>
    </row>
    <row r="30" customFormat="false" ht="15" hidden="false" customHeight="false" outlineLevel="0" collapsed="false">
      <c r="A30" s="223"/>
      <c r="B30" s="223" t="s">
        <v>7821</v>
      </c>
      <c r="C30" s="223" t="n">
        <v>1</v>
      </c>
      <c r="D30" s="222" t="s">
        <v>76</v>
      </c>
      <c r="E30" s="222" t="n">
        <f aca="false">C30*E$36/C$36</f>
        <v>12.5</v>
      </c>
      <c r="F30" s="261" t="s">
        <v>76</v>
      </c>
    </row>
    <row r="31" customFormat="false" ht="15" hidden="false" customHeight="false" outlineLevel="0" collapsed="false">
      <c r="A31" s="223"/>
      <c r="B31" s="258" t="s">
        <v>649</v>
      </c>
      <c r="C31" s="223"/>
      <c r="D31" s="222"/>
      <c r="E31" s="222" t="n">
        <f aca="false">C31*E$36/C$36</f>
        <v>0</v>
      </c>
      <c r="F31" s="261"/>
    </row>
    <row r="32" customFormat="false" ht="15" hidden="false" customHeight="false" outlineLevel="0" collapsed="false">
      <c r="A32" s="223"/>
      <c r="B32" s="223" t="s">
        <v>673</v>
      </c>
      <c r="C32" s="223" t="n">
        <v>2</v>
      </c>
      <c r="D32" s="222" t="s">
        <v>76</v>
      </c>
      <c r="E32" s="222" t="n">
        <f aca="false">C32*E$36/C$36</f>
        <v>25</v>
      </c>
      <c r="F32" s="261" t="s">
        <v>76</v>
      </c>
    </row>
    <row r="33" customFormat="false" ht="15" hidden="false" customHeight="false" outlineLevel="0" collapsed="false">
      <c r="A33" s="223"/>
      <c r="B33" s="223" t="s">
        <v>672</v>
      </c>
      <c r="C33" s="223" t="n">
        <v>1</v>
      </c>
      <c r="D33" s="222" t="s">
        <v>68</v>
      </c>
      <c r="E33" s="222" t="n">
        <f aca="false">C33*E$36/C$36</f>
        <v>12.5</v>
      </c>
      <c r="F33" s="261" t="s">
        <v>68</v>
      </c>
    </row>
    <row r="34" customFormat="false" ht="15" hidden="false" customHeight="false" outlineLevel="0" collapsed="false">
      <c r="A34" s="223"/>
      <c r="B34" s="223" t="s">
        <v>22</v>
      </c>
      <c r="C34" s="223" t="n">
        <v>0.5</v>
      </c>
      <c r="D34" s="222" t="s">
        <v>76</v>
      </c>
      <c r="E34" s="222" t="n">
        <f aca="false">C34*E$36/C$36</f>
        <v>6.3</v>
      </c>
      <c r="F34" s="261" t="s">
        <v>76</v>
      </c>
    </row>
    <row r="35" customFormat="false" ht="15" hidden="false" customHeight="false" outlineLevel="0" collapsed="false">
      <c r="A35" s="223"/>
      <c r="B35" s="227" t="s">
        <v>26</v>
      </c>
      <c r="C35" s="227" t="n">
        <v>2</v>
      </c>
      <c r="D35" s="228" t="s">
        <v>27</v>
      </c>
      <c r="E35" s="222" t="n">
        <f aca="false">C35*E$36/C$36</f>
        <v>25</v>
      </c>
      <c r="F35" s="265" t="s">
        <v>27</v>
      </c>
    </row>
    <row r="36" customFormat="false" ht="15" hidden="false" customHeight="false" outlineLevel="0" collapsed="false">
      <c r="A36" s="223"/>
      <c r="B36" s="227" t="s">
        <v>26</v>
      </c>
      <c r="C36" s="227" t="n">
        <v>70</v>
      </c>
      <c r="D36" s="228" t="s">
        <v>13</v>
      </c>
      <c r="E36" s="268" t="n">
        <v>875</v>
      </c>
      <c r="F36" s="265" t="s">
        <v>13</v>
      </c>
    </row>
    <row r="37" customFormat="false" ht="15" hidden="false" customHeight="false" outlineLevel="0" collapsed="false">
      <c r="A37" s="223"/>
      <c r="B37" s="227"/>
      <c r="C37" s="227"/>
      <c r="D37" s="269"/>
      <c r="E37" s="269"/>
      <c r="F37" s="270"/>
    </row>
    <row r="38" customFormat="false" ht="15" hidden="false" customHeight="false" outlineLevel="0" collapsed="false">
      <c r="A38" s="258" t="s">
        <v>211</v>
      </c>
      <c r="B38" s="258" t="s">
        <v>2</v>
      </c>
      <c r="C38" s="258" t="s">
        <v>3</v>
      </c>
      <c r="D38" s="259" t="s">
        <v>4</v>
      </c>
      <c r="E38" s="259" t="s">
        <v>5</v>
      </c>
      <c r="F38" s="260" t="s">
        <v>4</v>
      </c>
      <c r="G38" s="255"/>
    </row>
    <row r="39" customFormat="false" ht="15" hidden="false" customHeight="true" outlineLevel="0" collapsed="false">
      <c r="A39" s="223"/>
      <c r="B39" s="262" t="s">
        <v>575</v>
      </c>
      <c r="C39" s="262" t="n">
        <v>25</v>
      </c>
      <c r="D39" s="269" t="s">
        <v>61</v>
      </c>
      <c r="E39" s="269" t="n">
        <f aca="false">C39*2</f>
        <v>50</v>
      </c>
      <c r="F39" s="271" t="s">
        <v>61</v>
      </c>
    </row>
    <row r="40" customFormat="false" ht="15" hidden="false" customHeight="true" outlineLevel="0" collapsed="false">
      <c r="A40" s="223"/>
      <c r="B40" s="262" t="s">
        <v>645</v>
      </c>
      <c r="C40" s="262" t="n">
        <v>4</v>
      </c>
      <c r="D40" s="269" t="s">
        <v>13</v>
      </c>
      <c r="E40" s="269" t="n">
        <f aca="false">C40*2</f>
        <v>8</v>
      </c>
      <c r="F40" s="271" t="s">
        <v>13</v>
      </c>
    </row>
    <row r="41" customFormat="false" ht="15" hidden="false" customHeight="false" outlineLevel="0" collapsed="false">
      <c r="A41" s="223"/>
      <c r="B41" s="262" t="s">
        <v>14</v>
      </c>
      <c r="C41" s="262" t="n">
        <v>2</v>
      </c>
      <c r="D41" s="269" t="s">
        <v>13</v>
      </c>
      <c r="E41" s="269" t="n">
        <f aca="false">C41*2</f>
        <v>4</v>
      </c>
      <c r="F41" s="271" t="s">
        <v>13</v>
      </c>
    </row>
    <row r="42" customFormat="false" ht="15" hidden="false" customHeight="false" outlineLevel="0" collapsed="false">
      <c r="A42" s="223"/>
      <c r="B42" s="262" t="s">
        <v>646</v>
      </c>
      <c r="C42" s="262" t="n">
        <v>5</v>
      </c>
      <c r="D42" s="269" t="s">
        <v>13</v>
      </c>
      <c r="E42" s="269" t="n">
        <f aca="false">C42*2</f>
        <v>10</v>
      </c>
      <c r="F42" s="271" t="s">
        <v>13</v>
      </c>
    </row>
    <row r="43" customFormat="false" ht="15" hidden="false" customHeight="false" outlineLevel="0" collapsed="false">
      <c r="A43" s="223"/>
      <c r="B43" s="262" t="s">
        <v>69</v>
      </c>
      <c r="C43" s="262" t="n">
        <v>1</v>
      </c>
      <c r="D43" s="269" t="s">
        <v>13</v>
      </c>
      <c r="E43" s="269" t="n">
        <f aca="false">C43*2</f>
        <v>2</v>
      </c>
      <c r="F43" s="271" t="s">
        <v>13</v>
      </c>
    </row>
    <row r="44" customFormat="false" ht="15" hidden="false" customHeight="false" outlineLevel="0" collapsed="false">
      <c r="A44" s="223"/>
      <c r="B44" s="262" t="s">
        <v>75</v>
      </c>
      <c r="C44" s="262" t="n">
        <v>10</v>
      </c>
      <c r="D44" s="269" t="s">
        <v>13</v>
      </c>
      <c r="E44" s="269" t="n">
        <f aca="false">C44*2</f>
        <v>20</v>
      </c>
      <c r="F44" s="271" t="s">
        <v>13</v>
      </c>
    </row>
    <row r="45" customFormat="false" ht="15" hidden="false" customHeight="false" outlineLevel="0" collapsed="false">
      <c r="A45" s="262"/>
      <c r="B45" s="262" t="s">
        <v>32</v>
      </c>
      <c r="C45" s="262" t="n">
        <v>5</v>
      </c>
      <c r="D45" s="269" t="s">
        <v>20</v>
      </c>
      <c r="E45" s="269" t="n">
        <f aca="false">C45*2</f>
        <v>10</v>
      </c>
      <c r="F45" s="271" t="s">
        <v>20</v>
      </c>
    </row>
    <row r="46" customFormat="false" ht="15" hidden="false" customHeight="false" outlineLevel="0" collapsed="false">
      <c r="A46" s="272"/>
      <c r="B46" s="262" t="s">
        <v>26</v>
      </c>
      <c r="C46" s="262" t="n">
        <v>3</v>
      </c>
      <c r="D46" s="269" t="s">
        <v>27</v>
      </c>
      <c r="E46" s="269" t="n">
        <f aca="false">C46*2</f>
        <v>6</v>
      </c>
      <c r="F46" s="271" t="s">
        <v>27</v>
      </c>
    </row>
    <row r="47" customFormat="false" ht="15" hidden="false" customHeight="false" outlineLevel="0" collapsed="false">
      <c r="A47" s="223"/>
      <c r="B47" s="273"/>
      <c r="C47" s="273"/>
      <c r="D47" s="269"/>
      <c r="E47" s="269"/>
      <c r="F47" s="270"/>
      <c r="K47" s="274"/>
      <c r="L47" s="275"/>
      <c r="M47" s="276"/>
    </row>
    <row r="48" customFormat="false" ht="15" hidden="false" customHeight="false" outlineLevel="0" collapsed="false">
      <c r="A48" s="223"/>
      <c r="B48" s="223"/>
      <c r="C48" s="223"/>
      <c r="D48" s="222"/>
      <c r="E48" s="222"/>
      <c r="F48" s="261"/>
      <c r="G48" s="255"/>
      <c r="H48" s="255"/>
      <c r="I48" s="255"/>
      <c r="J48" s="255"/>
    </row>
    <row r="49" customFormat="false" ht="14.45" hidden="false" customHeight="true" outlineLevel="0" collapsed="false">
      <c r="A49" s="277" t="s">
        <v>244</v>
      </c>
      <c r="B49" s="258" t="s">
        <v>2</v>
      </c>
      <c r="C49" s="258" t="s">
        <v>3</v>
      </c>
      <c r="D49" s="259" t="s">
        <v>4</v>
      </c>
      <c r="E49" s="259" t="s">
        <v>5</v>
      </c>
      <c r="F49" s="260" t="s">
        <v>4</v>
      </c>
      <c r="G49" s="255"/>
      <c r="H49" s="255"/>
      <c r="I49" s="255"/>
      <c r="J49" s="255"/>
    </row>
    <row r="50" customFormat="false" ht="15" hidden="false" customHeight="false" outlineLevel="0" collapsed="false">
      <c r="A50" s="277"/>
      <c r="B50" s="223" t="s">
        <v>647</v>
      </c>
      <c r="C50" s="223" t="n">
        <v>6.3</v>
      </c>
      <c r="D50" s="222" t="s">
        <v>61</v>
      </c>
      <c r="E50" s="222" t="n">
        <f aca="false">C50*E$71/C$71</f>
        <v>138.6</v>
      </c>
      <c r="F50" s="261" t="s">
        <v>61</v>
      </c>
      <c r="G50" s="255"/>
      <c r="H50" s="255"/>
      <c r="I50" s="255"/>
      <c r="J50" s="255"/>
    </row>
    <row r="51" customFormat="false" ht="15" hidden="false" customHeight="false" outlineLevel="0" collapsed="false">
      <c r="A51" s="223"/>
      <c r="B51" s="223" t="s">
        <v>22</v>
      </c>
      <c r="C51" s="223" t="n">
        <v>1</v>
      </c>
      <c r="D51" s="222" t="s">
        <v>13</v>
      </c>
      <c r="E51" s="222" t="n">
        <f aca="false">C51*E$71/C$71</f>
        <v>22</v>
      </c>
      <c r="F51" s="261" t="s">
        <v>13</v>
      </c>
      <c r="G51" s="255"/>
      <c r="H51" s="255"/>
      <c r="I51" s="255"/>
      <c r="J51" s="255"/>
    </row>
    <row r="52" customFormat="false" ht="15" hidden="false" customHeight="false" outlineLevel="0" collapsed="false">
      <c r="A52" s="223" t="s">
        <v>7860</v>
      </c>
      <c r="B52" s="223" t="s">
        <v>14</v>
      </c>
      <c r="C52" s="223" t="n">
        <v>0.6</v>
      </c>
      <c r="D52" s="222" t="s">
        <v>20</v>
      </c>
      <c r="E52" s="222" t="n">
        <f aca="false">C52*E$71/C$71</f>
        <v>13.2</v>
      </c>
      <c r="F52" s="261" t="s">
        <v>20</v>
      </c>
      <c r="G52" s="255"/>
      <c r="H52" s="255"/>
      <c r="I52" s="255"/>
      <c r="J52" s="255"/>
    </row>
    <row r="53" customFormat="false" ht="15" hidden="false" customHeight="false" outlineLevel="0" collapsed="false">
      <c r="A53" s="223"/>
      <c r="B53" s="223" t="s">
        <v>15</v>
      </c>
      <c r="C53" s="223" t="n">
        <v>0.8</v>
      </c>
      <c r="D53" s="222" t="s">
        <v>20</v>
      </c>
      <c r="E53" s="222" t="n">
        <f aca="false">C53*E$71/C$71</f>
        <v>17.6</v>
      </c>
      <c r="F53" s="261" t="s">
        <v>20</v>
      </c>
      <c r="G53" s="255"/>
      <c r="H53" s="255"/>
      <c r="I53" s="255"/>
      <c r="J53" s="255"/>
    </row>
    <row r="54" customFormat="false" ht="15" hidden="false" customHeight="false" outlineLevel="0" collapsed="false">
      <c r="A54" s="223"/>
      <c r="B54" s="223" t="s">
        <v>18</v>
      </c>
      <c r="C54" s="223" t="n">
        <v>0.4</v>
      </c>
      <c r="D54" s="222" t="s">
        <v>13</v>
      </c>
      <c r="E54" s="222" t="n">
        <f aca="false">C54*E$71/C$71</f>
        <v>8.8</v>
      </c>
      <c r="F54" s="261" t="s">
        <v>13</v>
      </c>
      <c r="G54" s="255"/>
      <c r="H54" s="255"/>
      <c r="I54" s="255"/>
      <c r="J54" s="255"/>
    </row>
    <row r="55" customFormat="false" ht="15" hidden="false" customHeight="false" outlineLevel="0" collapsed="false">
      <c r="A55" s="223"/>
      <c r="B55" s="223" t="s">
        <v>21</v>
      </c>
      <c r="C55" s="223" t="n">
        <v>4</v>
      </c>
      <c r="D55" s="222" t="s">
        <v>61</v>
      </c>
      <c r="E55" s="222" t="n">
        <f aca="false">C55*E$71/C$71</f>
        <v>88</v>
      </c>
      <c r="F55" s="261" t="s">
        <v>61</v>
      </c>
      <c r="G55" s="255"/>
      <c r="H55" s="255"/>
      <c r="I55" s="255"/>
      <c r="J55" s="255"/>
    </row>
    <row r="56" customFormat="false" ht="15" hidden="false" customHeight="false" outlineLevel="0" collapsed="false">
      <c r="A56" s="262"/>
      <c r="B56" s="223" t="s">
        <v>648</v>
      </c>
      <c r="C56" s="235" t="n">
        <v>0.16</v>
      </c>
      <c r="D56" s="235" t="s">
        <v>20</v>
      </c>
      <c r="E56" s="222" t="n">
        <f aca="false">C56*E$71/C$71</f>
        <v>4.4</v>
      </c>
      <c r="F56" s="232" t="s">
        <v>20</v>
      </c>
      <c r="G56" s="1"/>
    </row>
    <row r="57" customFormat="false" ht="15" hidden="false" customHeight="false" outlineLevel="0" collapsed="false">
      <c r="A57" s="262"/>
      <c r="B57" s="218" t="s">
        <v>564</v>
      </c>
      <c r="C57" s="235" t="n">
        <v>0.56</v>
      </c>
      <c r="D57" s="235" t="s">
        <v>20</v>
      </c>
      <c r="E57" s="222" t="n">
        <f aca="false">C57*E$71/C$71</f>
        <v>13.2</v>
      </c>
      <c r="F57" s="232" t="s">
        <v>20</v>
      </c>
      <c r="G57" s="1"/>
    </row>
    <row r="58" customFormat="false" ht="15" hidden="false" customHeight="false" outlineLevel="0" collapsed="false">
      <c r="A58" s="262"/>
      <c r="B58" s="218" t="s">
        <v>71</v>
      </c>
      <c r="C58" s="235" t="n">
        <v>0.8</v>
      </c>
      <c r="D58" s="235" t="s">
        <v>20</v>
      </c>
      <c r="E58" s="222" t="n">
        <f aca="false">C58*E$71/C$71</f>
        <v>17.6</v>
      </c>
      <c r="F58" s="232" t="s">
        <v>20</v>
      </c>
      <c r="G58" s="1"/>
    </row>
    <row r="59" customFormat="false" ht="15" hidden="false" customHeight="false" outlineLevel="0" collapsed="false">
      <c r="A59" s="262"/>
      <c r="B59" s="216" t="s">
        <v>649</v>
      </c>
      <c r="C59" s="235"/>
      <c r="D59" s="235"/>
      <c r="E59" s="222" t="n">
        <f aca="false">C59*E$71/C$71</f>
        <v>0</v>
      </c>
      <c r="F59" s="232"/>
      <c r="G59" s="1"/>
    </row>
    <row r="60" customFormat="false" ht="15" hidden="false" customHeight="false" outlineLevel="0" collapsed="false">
      <c r="A60" s="262"/>
      <c r="B60" s="218" t="s">
        <v>645</v>
      </c>
      <c r="C60" s="235" t="n">
        <v>0.5</v>
      </c>
      <c r="D60" s="235" t="s">
        <v>13</v>
      </c>
      <c r="E60" s="222" t="n">
        <f aca="false">C60*E$71/C$71</f>
        <v>11</v>
      </c>
      <c r="F60" s="232" t="s">
        <v>13</v>
      </c>
      <c r="G60" s="1"/>
    </row>
    <row r="61" customFormat="false" ht="15" hidden="false" customHeight="false" outlineLevel="0" collapsed="false">
      <c r="A61" s="262"/>
      <c r="B61" s="218" t="s">
        <v>570</v>
      </c>
      <c r="C61" s="235" t="n">
        <v>0.8</v>
      </c>
      <c r="D61" s="235" t="s">
        <v>20</v>
      </c>
      <c r="E61" s="222" t="n">
        <f aca="false">C61*E$71/C$71</f>
        <v>17.6</v>
      </c>
      <c r="F61" s="232" t="s">
        <v>20</v>
      </c>
      <c r="G61" s="1"/>
    </row>
    <row r="62" customFormat="false" ht="15" hidden="false" customHeight="false" outlineLevel="0" collapsed="false">
      <c r="A62" s="262"/>
      <c r="B62" s="220" t="s">
        <v>16</v>
      </c>
      <c r="C62" s="235" t="n">
        <v>0.8</v>
      </c>
      <c r="D62" s="235" t="s">
        <v>20</v>
      </c>
      <c r="E62" s="222" t="n">
        <f aca="false">C62*E$71/C$71</f>
        <v>17.6</v>
      </c>
      <c r="F62" s="232" t="s">
        <v>20</v>
      </c>
      <c r="G62" s="1"/>
    </row>
    <row r="63" customFormat="false" ht="15" hidden="false" customHeight="false" outlineLevel="0" collapsed="false">
      <c r="A63" s="262"/>
      <c r="B63" s="218" t="s">
        <v>650</v>
      </c>
      <c r="C63" s="235" t="n">
        <v>0.4</v>
      </c>
      <c r="D63" s="235" t="s">
        <v>20</v>
      </c>
      <c r="E63" s="222" t="n">
        <f aca="false">C63*E$71/C$71</f>
        <v>8.8</v>
      </c>
      <c r="F63" s="232" t="s">
        <v>20</v>
      </c>
      <c r="G63" s="1"/>
    </row>
    <row r="64" customFormat="false" ht="15" hidden="false" customHeight="false" outlineLevel="0" collapsed="false">
      <c r="A64" s="262"/>
      <c r="B64" s="218" t="s">
        <v>651</v>
      </c>
      <c r="C64" s="235" t="n">
        <v>0.8</v>
      </c>
      <c r="D64" s="235" t="s">
        <v>13</v>
      </c>
      <c r="E64" s="222" t="n">
        <f aca="false">C64*E$71/C$71</f>
        <v>17.6</v>
      </c>
      <c r="F64" s="232" t="s">
        <v>13</v>
      </c>
      <c r="G64" s="1"/>
    </row>
    <row r="65" customFormat="false" ht="15" hidden="false" customHeight="false" outlineLevel="0" collapsed="false">
      <c r="A65" s="262"/>
      <c r="B65" s="218" t="s">
        <v>652</v>
      </c>
      <c r="C65" s="235" t="n">
        <v>0.8</v>
      </c>
      <c r="D65" s="235" t="s">
        <v>13</v>
      </c>
      <c r="E65" s="222" t="n">
        <f aca="false">C65*E$71/C$71</f>
        <v>17.6</v>
      </c>
      <c r="F65" s="232" t="s">
        <v>13</v>
      </c>
      <c r="G65" s="1"/>
    </row>
    <row r="66" customFormat="false" ht="15" hidden="false" customHeight="false" outlineLevel="0" collapsed="false">
      <c r="A66" s="262"/>
      <c r="B66" s="218" t="s">
        <v>25</v>
      </c>
      <c r="C66" s="235" t="n">
        <v>1.2</v>
      </c>
      <c r="D66" s="235" t="s">
        <v>20</v>
      </c>
      <c r="E66" s="222" t="n">
        <f aca="false">C66*E$71/C$71</f>
        <v>26.4</v>
      </c>
      <c r="F66" s="232" t="s">
        <v>20</v>
      </c>
      <c r="G66" s="1"/>
    </row>
    <row r="67" customFormat="false" ht="15" hidden="false" customHeight="false" outlineLevel="0" collapsed="false">
      <c r="A67" s="262"/>
      <c r="B67" s="218" t="s">
        <v>653</v>
      </c>
      <c r="C67" s="235" t="n">
        <v>1.2</v>
      </c>
      <c r="D67" s="235" t="s">
        <v>20</v>
      </c>
      <c r="E67" s="222" t="n">
        <f aca="false">C67*E$71/C$71</f>
        <v>26.4</v>
      </c>
      <c r="F67" s="232" t="s">
        <v>20</v>
      </c>
      <c r="G67" s="1"/>
    </row>
    <row r="68" customFormat="false" ht="15" hidden="false" customHeight="false" outlineLevel="0" collapsed="false">
      <c r="A68" s="262"/>
      <c r="B68" s="218" t="s">
        <v>654</v>
      </c>
      <c r="C68" s="235" t="n">
        <v>1</v>
      </c>
      <c r="D68" s="235" t="s">
        <v>20</v>
      </c>
      <c r="E68" s="222" t="n">
        <f aca="false">C68*E$71/C$71</f>
        <v>22</v>
      </c>
      <c r="F68" s="232" t="s">
        <v>20</v>
      </c>
      <c r="G68" s="1"/>
    </row>
    <row r="69" customFormat="false" ht="15" hidden="false" customHeight="false" outlineLevel="0" collapsed="false">
      <c r="A69" s="262"/>
      <c r="B69" s="218" t="s">
        <v>557</v>
      </c>
      <c r="C69" s="235" t="n">
        <v>0.75</v>
      </c>
      <c r="D69" s="235" t="s">
        <v>20</v>
      </c>
      <c r="E69" s="222" t="n">
        <f aca="false">C69*E$71/C$71</f>
        <v>17.6</v>
      </c>
      <c r="F69" s="232" t="s">
        <v>20</v>
      </c>
      <c r="G69" s="1"/>
    </row>
    <row r="70" customFormat="false" ht="15" hidden="false" customHeight="false" outlineLevel="0" collapsed="false">
      <c r="A70" s="262"/>
      <c r="B70" s="216" t="s">
        <v>558</v>
      </c>
      <c r="C70" s="247" t="n">
        <v>1</v>
      </c>
      <c r="D70" s="247" t="s">
        <v>27</v>
      </c>
      <c r="E70" s="222" t="n">
        <f aca="false">C70*E$71/C$71</f>
        <v>22</v>
      </c>
      <c r="F70" s="278" t="s">
        <v>27</v>
      </c>
      <c r="G70" s="1"/>
    </row>
    <row r="71" customFormat="false" ht="15" hidden="false" customHeight="false" outlineLevel="0" collapsed="false">
      <c r="A71" s="262"/>
      <c r="B71" s="216" t="s">
        <v>558</v>
      </c>
      <c r="C71" s="247" t="n">
        <v>35</v>
      </c>
      <c r="D71" s="247" t="s">
        <v>13</v>
      </c>
      <c r="E71" s="279" t="n">
        <v>770</v>
      </c>
      <c r="F71" s="278" t="s">
        <v>13</v>
      </c>
      <c r="G71" s="1"/>
    </row>
    <row r="72" customFormat="false" ht="15" hidden="false" customHeight="false" outlineLevel="0" collapsed="false">
      <c r="A72" s="262"/>
      <c r="B72" s="262"/>
      <c r="C72" s="220"/>
      <c r="D72" s="222"/>
      <c r="E72" s="222"/>
      <c r="F72" s="261"/>
      <c r="G72" s="1"/>
    </row>
    <row r="73" customFormat="false" ht="15" hidden="false" customHeight="false" outlineLevel="0" collapsed="false">
      <c r="A73" s="262"/>
      <c r="B73" s="262"/>
      <c r="C73" s="262"/>
      <c r="D73" s="269"/>
      <c r="E73" s="269"/>
      <c r="F73" s="270"/>
      <c r="G73" s="1"/>
      <c r="H73" s="1"/>
      <c r="I73" s="1"/>
      <c r="K73" s="280"/>
      <c r="L73" s="1"/>
      <c r="M73" s="280"/>
    </row>
    <row r="74" customFormat="false" ht="15" hidden="false" customHeight="true" outlineLevel="0" collapsed="false">
      <c r="A74" s="281" t="s">
        <v>7861</v>
      </c>
      <c r="B74" s="282" t="s">
        <v>2</v>
      </c>
      <c r="C74" s="282" t="s">
        <v>3</v>
      </c>
      <c r="D74" s="283" t="s">
        <v>4</v>
      </c>
      <c r="E74" s="283" t="s">
        <v>5</v>
      </c>
      <c r="F74" s="284" t="s">
        <v>4</v>
      </c>
      <c r="G74" s="285"/>
      <c r="H74" s="1"/>
      <c r="I74" s="1"/>
    </row>
    <row r="75" customFormat="false" ht="15" hidden="false" customHeight="false" outlineLevel="0" collapsed="false">
      <c r="A75" s="281"/>
      <c r="B75" s="262" t="s">
        <v>7862</v>
      </c>
      <c r="C75" s="262" t="n">
        <v>1.5</v>
      </c>
      <c r="D75" s="269" t="s">
        <v>7</v>
      </c>
      <c r="E75" s="269" t="n">
        <f aca="false">C75*21.2</f>
        <v>31.8</v>
      </c>
      <c r="F75" s="270" t="s">
        <v>7</v>
      </c>
      <c r="G75" s="1"/>
      <c r="H75" s="1"/>
      <c r="I75" s="1"/>
    </row>
    <row r="76" customFormat="false" ht="15" hidden="false" customHeight="false" outlineLevel="0" collapsed="false">
      <c r="A76" s="262"/>
      <c r="B76" s="262" t="s">
        <v>14</v>
      </c>
      <c r="C76" s="262" t="n">
        <v>0.75</v>
      </c>
      <c r="D76" s="269" t="s">
        <v>20</v>
      </c>
      <c r="E76" s="269" t="n">
        <f aca="false">C76*21.2</f>
        <v>15.9</v>
      </c>
      <c r="F76" s="270" t="s">
        <v>20</v>
      </c>
      <c r="G76" s="1"/>
      <c r="H76" s="1"/>
      <c r="I76" s="1"/>
    </row>
    <row r="77" customFormat="false" ht="15" hidden="false" customHeight="false" outlineLevel="0" collapsed="false">
      <c r="A77" s="262"/>
      <c r="B77" s="262" t="s">
        <v>562</v>
      </c>
      <c r="C77" s="262" t="n">
        <v>0.3</v>
      </c>
      <c r="D77" s="269" t="s">
        <v>20</v>
      </c>
      <c r="E77" s="269" t="n">
        <f aca="false">C77*21.2</f>
        <v>6.36</v>
      </c>
      <c r="F77" s="270" t="s">
        <v>20</v>
      </c>
      <c r="G77" s="1"/>
      <c r="H77" s="1"/>
      <c r="I77" s="1"/>
    </row>
    <row r="78" customFormat="false" ht="15" hidden="false" customHeight="false" outlineLevel="0" collapsed="false">
      <c r="A78" s="262"/>
      <c r="B78" s="220" t="s">
        <v>563</v>
      </c>
      <c r="C78" s="262" t="n">
        <v>0.75</v>
      </c>
      <c r="D78" s="222" t="s">
        <v>20</v>
      </c>
      <c r="E78" s="269" t="n">
        <f aca="false">C78*21.2</f>
        <v>15.9</v>
      </c>
      <c r="F78" s="261" t="s">
        <v>20</v>
      </c>
      <c r="G78" s="286"/>
    </row>
    <row r="79" customFormat="false" ht="15" hidden="false" customHeight="false" outlineLevel="0" collapsed="false">
      <c r="A79" s="262"/>
      <c r="B79" s="220" t="s">
        <v>527</v>
      </c>
      <c r="C79" s="262" t="n">
        <v>0.5</v>
      </c>
      <c r="D79" s="222" t="s">
        <v>13</v>
      </c>
      <c r="E79" s="269" t="n">
        <f aca="false">C79*21.2</f>
        <v>10.6</v>
      </c>
      <c r="F79" s="261" t="s">
        <v>13</v>
      </c>
      <c r="G79" s="286"/>
    </row>
    <row r="80" customFormat="false" ht="15" hidden="false" customHeight="false" outlineLevel="0" collapsed="false">
      <c r="A80" s="262"/>
      <c r="B80" s="220" t="s">
        <v>7863</v>
      </c>
      <c r="C80" s="262" t="n">
        <v>0.2</v>
      </c>
      <c r="D80" s="222" t="s">
        <v>7</v>
      </c>
      <c r="E80" s="269" t="n">
        <f aca="false">C80*21.2</f>
        <v>4.24</v>
      </c>
      <c r="F80" s="261" t="s">
        <v>7</v>
      </c>
      <c r="G80" s="286"/>
    </row>
    <row r="81" customFormat="false" ht="15" hidden="false" customHeight="false" outlineLevel="0" collapsed="false">
      <c r="A81" s="262"/>
      <c r="B81" s="220" t="s">
        <v>7850</v>
      </c>
      <c r="C81" s="262" t="n">
        <v>1</v>
      </c>
      <c r="D81" s="222" t="s">
        <v>13</v>
      </c>
      <c r="E81" s="269" t="n">
        <f aca="false">C81*21.2</f>
        <v>21.2</v>
      </c>
      <c r="F81" s="261" t="s">
        <v>13</v>
      </c>
      <c r="G81" s="286"/>
    </row>
    <row r="82" customFormat="false" ht="15" hidden="false" customHeight="false" outlineLevel="0" collapsed="false">
      <c r="A82" s="262"/>
      <c r="B82" s="220" t="s">
        <v>7864</v>
      </c>
      <c r="C82" s="262" t="n">
        <v>1.5</v>
      </c>
      <c r="D82" s="222" t="s">
        <v>20</v>
      </c>
      <c r="E82" s="269" t="n">
        <f aca="false">C82*21.2</f>
        <v>31.8</v>
      </c>
      <c r="F82" s="261" t="s">
        <v>20</v>
      </c>
      <c r="G82" s="286"/>
    </row>
    <row r="83" customFormat="false" ht="15" hidden="false" customHeight="false" outlineLevel="0" collapsed="false">
      <c r="A83" s="262"/>
      <c r="B83" s="220" t="s">
        <v>564</v>
      </c>
      <c r="C83" s="262" t="n">
        <v>0.75</v>
      </c>
      <c r="D83" s="222" t="s">
        <v>20</v>
      </c>
      <c r="E83" s="269" t="n">
        <f aca="false">C83*21.2</f>
        <v>15.9</v>
      </c>
      <c r="F83" s="261" t="s">
        <v>20</v>
      </c>
    </row>
    <row r="84" customFormat="false" ht="15" hidden="false" customHeight="false" outlineLevel="0" collapsed="false">
      <c r="A84" s="262"/>
      <c r="B84" s="220" t="s">
        <v>74</v>
      </c>
      <c r="C84" s="262" t="n">
        <v>0.75</v>
      </c>
      <c r="D84" s="222" t="s">
        <v>7</v>
      </c>
      <c r="E84" s="269" t="n">
        <f aca="false">C84*21.2</f>
        <v>15.9</v>
      </c>
      <c r="F84" s="261"/>
    </row>
    <row r="85" customFormat="false" ht="15" hidden="false" customHeight="false" outlineLevel="0" collapsed="false">
      <c r="A85" s="262"/>
      <c r="B85" s="220" t="s">
        <v>66</v>
      </c>
      <c r="C85" s="262" t="n">
        <v>20</v>
      </c>
      <c r="D85" s="222" t="s">
        <v>7</v>
      </c>
      <c r="E85" s="269" t="n">
        <f aca="false">C85*21.2</f>
        <v>424</v>
      </c>
      <c r="F85" s="261" t="s">
        <v>7</v>
      </c>
    </row>
    <row r="86" customFormat="false" ht="15" hidden="false" customHeight="false" outlineLevel="0" collapsed="false">
      <c r="A86" s="262"/>
      <c r="B86" s="229" t="s">
        <v>7865</v>
      </c>
      <c r="C86" s="262"/>
      <c r="D86" s="222"/>
      <c r="E86" s="269" t="n">
        <f aca="false">C86*21.2</f>
        <v>0</v>
      </c>
      <c r="F86" s="261"/>
    </row>
    <row r="87" customFormat="false" ht="15" hidden="false" customHeight="false" outlineLevel="0" collapsed="false">
      <c r="A87" s="262"/>
      <c r="B87" s="223" t="s">
        <v>32</v>
      </c>
      <c r="C87" s="262" t="n">
        <v>1.75</v>
      </c>
      <c r="D87" s="222" t="s">
        <v>20</v>
      </c>
      <c r="E87" s="269" t="n">
        <f aca="false">C87*21.2</f>
        <v>37.1</v>
      </c>
      <c r="F87" s="261" t="s">
        <v>20</v>
      </c>
    </row>
    <row r="88" customFormat="false" ht="15" hidden="false" customHeight="false" outlineLevel="0" collapsed="false">
      <c r="A88" s="262"/>
      <c r="B88" s="220" t="s">
        <v>72</v>
      </c>
      <c r="C88" s="262" t="n">
        <v>2</v>
      </c>
      <c r="D88" s="222" t="s">
        <v>20</v>
      </c>
      <c r="E88" s="269" t="n">
        <f aca="false">C88*21.2</f>
        <v>42.4</v>
      </c>
      <c r="F88" s="261" t="s">
        <v>20</v>
      </c>
    </row>
    <row r="89" customFormat="false" ht="15" hidden="false" customHeight="false" outlineLevel="0" collapsed="false">
      <c r="A89" s="262"/>
      <c r="B89" s="287" t="s">
        <v>7866</v>
      </c>
      <c r="C89" s="288" t="n">
        <v>0.425</v>
      </c>
      <c r="D89" s="289" t="s">
        <v>7</v>
      </c>
      <c r="E89" s="269" t="n">
        <f aca="false">C89*21.2</f>
        <v>9.01</v>
      </c>
      <c r="F89" s="260" t="s">
        <v>7</v>
      </c>
    </row>
    <row r="90" customFormat="false" ht="15" hidden="false" customHeight="false" outlineLevel="0" collapsed="false">
      <c r="A90" s="290"/>
      <c r="B90" s="220" t="s">
        <v>7867</v>
      </c>
      <c r="C90" s="262" t="n">
        <v>0.75</v>
      </c>
      <c r="D90" s="222" t="s">
        <v>7</v>
      </c>
      <c r="E90" s="269" t="n">
        <f aca="false">C90*21.2</f>
        <v>15.9</v>
      </c>
      <c r="F90" s="261" t="s">
        <v>7</v>
      </c>
    </row>
    <row r="91" customFormat="false" ht="15" hidden="false" customHeight="false" outlineLevel="0" collapsed="false">
      <c r="A91" s="290"/>
      <c r="B91" s="287" t="s">
        <v>7868</v>
      </c>
      <c r="C91" s="288" t="n">
        <v>5</v>
      </c>
      <c r="D91" s="289" t="s">
        <v>7869</v>
      </c>
      <c r="E91" s="269" t="n">
        <f aca="false">C91*21.2</f>
        <v>106</v>
      </c>
      <c r="F91" s="261"/>
    </row>
    <row r="92" customFormat="false" ht="15" hidden="false" customHeight="false" outlineLevel="0" collapsed="false">
      <c r="A92" s="290"/>
      <c r="B92" s="258" t="s">
        <v>7870</v>
      </c>
      <c r="C92" s="282" t="n">
        <v>4</v>
      </c>
      <c r="D92" s="259" t="s">
        <v>7869</v>
      </c>
      <c r="E92" s="269" t="n">
        <f aca="false">C92*21.2</f>
        <v>84.8</v>
      </c>
      <c r="F92" s="261"/>
    </row>
    <row r="93" customFormat="false" ht="15" hidden="false" customHeight="false" outlineLevel="0" collapsed="false">
      <c r="A93" s="262"/>
      <c r="B93" s="220" t="s">
        <v>599</v>
      </c>
      <c r="C93" s="262" t="n">
        <v>0.75</v>
      </c>
      <c r="D93" s="222" t="s">
        <v>20</v>
      </c>
      <c r="E93" s="269" t="n">
        <f aca="false">C93*21.2</f>
        <v>15.9</v>
      </c>
      <c r="F93" s="261" t="s">
        <v>20</v>
      </c>
    </row>
    <row r="94" customFormat="false" ht="15" hidden="false" customHeight="false" outlineLevel="0" collapsed="false">
      <c r="A94" s="262"/>
      <c r="B94" s="220" t="s">
        <v>598</v>
      </c>
      <c r="C94" s="262" t="n">
        <v>0.5</v>
      </c>
      <c r="D94" s="222" t="s">
        <v>20</v>
      </c>
      <c r="E94" s="269" t="n">
        <f aca="false">C94*21.2</f>
        <v>10.6</v>
      </c>
      <c r="F94" s="261" t="s">
        <v>20</v>
      </c>
    </row>
    <row r="95" customFormat="false" ht="15" hidden="false" customHeight="false" outlineLevel="0" collapsed="false">
      <c r="A95" s="262"/>
      <c r="B95" s="287" t="s">
        <v>7871</v>
      </c>
      <c r="C95" s="282" t="n">
        <v>0.85</v>
      </c>
      <c r="D95" s="259" t="s">
        <v>27</v>
      </c>
      <c r="E95" s="283" t="n">
        <f aca="false">C95*21.2</f>
        <v>18.02</v>
      </c>
      <c r="F95" s="260" t="s">
        <v>27</v>
      </c>
    </row>
    <row r="96" customFormat="false" ht="15" hidden="false" customHeight="false" outlineLevel="0" collapsed="false">
      <c r="A96" s="262"/>
      <c r="B96" s="287" t="s">
        <v>7871</v>
      </c>
      <c r="C96" s="282" t="n">
        <v>30</v>
      </c>
      <c r="D96" s="259" t="s">
        <v>13</v>
      </c>
      <c r="E96" s="283" t="n">
        <f aca="false">C96*21.2</f>
        <v>636</v>
      </c>
      <c r="F96" s="260" t="s">
        <v>13</v>
      </c>
    </row>
    <row r="97" customFormat="false" ht="15" hidden="false" customHeight="false" outlineLevel="0" collapsed="false">
      <c r="A97" s="262"/>
      <c r="B97" s="287"/>
      <c r="C97" s="282"/>
      <c r="D97" s="259"/>
      <c r="E97" s="222"/>
      <c r="F97" s="260"/>
    </row>
    <row r="98" customFormat="false" ht="15" hidden="false" customHeight="false" outlineLevel="0" collapsed="false">
      <c r="A98" s="262"/>
      <c r="B98" s="264" t="s">
        <v>7872</v>
      </c>
      <c r="C98" s="262" t="n">
        <v>400</v>
      </c>
      <c r="D98" s="222" t="s">
        <v>7873</v>
      </c>
      <c r="E98" s="222" t="n">
        <f aca="false">C98*E$100/C$100</f>
        <v>4000</v>
      </c>
      <c r="F98" s="261" t="s">
        <v>7873</v>
      </c>
    </row>
    <row r="99" customFormat="false" ht="15" hidden="false" customHeight="false" outlineLevel="0" collapsed="false">
      <c r="A99" s="262"/>
      <c r="B99" s="264" t="s">
        <v>7874</v>
      </c>
      <c r="C99" s="262" t="n">
        <v>1</v>
      </c>
      <c r="D99" s="222" t="s">
        <v>27</v>
      </c>
      <c r="E99" s="222" t="n">
        <f aca="false">C99*E$100/C$100</f>
        <v>10</v>
      </c>
      <c r="F99" s="261" t="s">
        <v>27</v>
      </c>
    </row>
    <row r="100" customFormat="false" ht="15" hidden="false" customHeight="false" outlineLevel="0" collapsed="false">
      <c r="A100" s="262"/>
      <c r="B100" s="264" t="s">
        <v>7874</v>
      </c>
      <c r="C100" s="262" t="n">
        <v>35</v>
      </c>
      <c r="D100" s="222" t="s">
        <v>13</v>
      </c>
      <c r="E100" s="291" t="n">
        <f aca="false">35*10</f>
        <v>350</v>
      </c>
      <c r="F100" s="261" t="s">
        <v>13</v>
      </c>
    </row>
    <row r="101" customFormat="false" ht="15" hidden="false" customHeight="false" outlineLevel="0" collapsed="false">
      <c r="A101" s="262"/>
      <c r="B101" s="263"/>
      <c r="C101" s="282"/>
      <c r="D101" s="259"/>
      <c r="E101" s="259"/>
      <c r="F101" s="260"/>
    </row>
    <row r="102" customFormat="false" ht="15" hidden="false" customHeight="false" outlineLevel="0" collapsed="false">
      <c r="A102" s="262"/>
      <c r="B102" s="258" t="s">
        <v>7875</v>
      </c>
      <c r="C102" s="282" t="n">
        <v>1500</v>
      </c>
      <c r="D102" s="259" t="s">
        <v>7873</v>
      </c>
      <c r="E102" s="259" t="n">
        <f aca="false">C102*6</f>
        <v>9000</v>
      </c>
      <c r="F102" s="260" t="s">
        <v>7873</v>
      </c>
    </row>
    <row r="103" customFormat="false" ht="15" hidden="false" customHeight="false" outlineLevel="0" collapsed="false">
      <c r="A103" s="262"/>
      <c r="B103" s="220" t="s">
        <v>7876</v>
      </c>
      <c r="C103" s="262" t="n">
        <v>2</v>
      </c>
      <c r="D103" s="222" t="s">
        <v>706</v>
      </c>
      <c r="E103" s="222" t="n">
        <f aca="false">C103*6</f>
        <v>12</v>
      </c>
      <c r="F103" s="261" t="s">
        <v>7</v>
      </c>
      <c r="K103" s="0" t="s">
        <v>7877</v>
      </c>
    </row>
    <row r="104" customFormat="false" ht="15" hidden="false" customHeight="false" outlineLevel="0" collapsed="false">
      <c r="A104" s="262"/>
      <c r="B104" s="220"/>
      <c r="C104" s="262" t="n">
        <v>25</v>
      </c>
      <c r="D104" s="222" t="s">
        <v>7</v>
      </c>
      <c r="E104" s="222" t="n">
        <f aca="false">C104*6</f>
        <v>150</v>
      </c>
      <c r="F104" s="261"/>
    </row>
    <row r="105" customFormat="false" ht="15" hidden="false" customHeight="false" outlineLevel="0" collapsed="false">
      <c r="A105" s="262"/>
      <c r="B105" s="220" t="s">
        <v>7878</v>
      </c>
      <c r="C105" s="262" t="n">
        <v>5</v>
      </c>
      <c r="D105" s="222" t="s">
        <v>13</v>
      </c>
      <c r="E105" s="222" t="n">
        <f aca="false">C105*6</f>
        <v>30</v>
      </c>
      <c r="F105" s="261" t="s">
        <v>7</v>
      </c>
    </row>
    <row r="106" customFormat="false" ht="15" hidden="false" customHeight="false" outlineLevel="0" collapsed="false">
      <c r="A106" s="262"/>
      <c r="B106" s="220"/>
      <c r="C106" s="262" t="n">
        <v>3.5</v>
      </c>
      <c r="D106" s="222" t="s">
        <v>7</v>
      </c>
      <c r="E106" s="222" t="n">
        <f aca="false">C106*6</f>
        <v>21</v>
      </c>
      <c r="F106" s="261"/>
    </row>
    <row r="107" customFormat="false" ht="15" hidden="false" customHeight="false" outlineLevel="0" collapsed="false">
      <c r="A107" s="262"/>
      <c r="B107" s="220" t="s">
        <v>7879</v>
      </c>
      <c r="C107" s="262" t="n">
        <v>3.5</v>
      </c>
      <c r="D107" s="222" t="s">
        <v>13</v>
      </c>
      <c r="E107" s="222" t="n">
        <f aca="false">C107*6</f>
        <v>21</v>
      </c>
      <c r="F107" s="261" t="s">
        <v>7</v>
      </c>
    </row>
    <row r="108" customFormat="false" ht="15" hidden="false" customHeight="false" outlineLevel="0" collapsed="false">
      <c r="A108" s="262"/>
      <c r="B108" s="220"/>
      <c r="C108" s="262" t="n">
        <v>2</v>
      </c>
      <c r="D108" s="222" t="s">
        <v>7</v>
      </c>
      <c r="E108" s="222" t="n">
        <f aca="false">C108*6</f>
        <v>12</v>
      </c>
      <c r="F108" s="261"/>
    </row>
    <row r="109" customFormat="false" ht="15" hidden="false" customHeight="false" outlineLevel="0" collapsed="false">
      <c r="A109" s="262"/>
      <c r="B109" s="220" t="s">
        <v>641</v>
      </c>
      <c r="C109" s="262" t="n">
        <v>10</v>
      </c>
      <c r="D109" s="222" t="s">
        <v>13</v>
      </c>
      <c r="E109" s="222" t="n">
        <f aca="false">C109*6</f>
        <v>60</v>
      </c>
      <c r="F109" s="261" t="s">
        <v>7</v>
      </c>
    </row>
    <row r="110" customFormat="false" ht="15" hidden="false" customHeight="false" outlineLevel="0" collapsed="false">
      <c r="A110" s="262"/>
      <c r="B110" s="220"/>
      <c r="C110" s="262" t="n">
        <v>8</v>
      </c>
      <c r="D110" s="222" t="s">
        <v>7</v>
      </c>
      <c r="E110" s="222" t="n">
        <f aca="false">C110*6</f>
        <v>48</v>
      </c>
      <c r="F110" s="261"/>
    </row>
    <row r="111" customFormat="false" ht="15" hidden="false" customHeight="false" outlineLevel="0" collapsed="false">
      <c r="A111" s="262"/>
      <c r="B111" s="220" t="s">
        <v>32</v>
      </c>
      <c r="C111" s="262" t="n">
        <v>1</v>
      </c>
      <c r="D111" s="222" t="s">
        <v>20</v>
      </c>
      <c r="E111" s="222" t="n">
        <f aca="false">C111*6</f>
        <v>6</v>
      </c>
      <c r="F111" s="261"/>
    </row>
    <row r="112" customFormat="false" ht="15" hidden="false" customHeight="false" outlineLevel="0" collapsed="false">
      <c r="A112" s="262"/>
      <c r="B112" s="229" t="s">
        <v>7880</v>
      </c>
      <c r="C112" s="292"/>
      <c r="D112" s="293" t="s">
        <v>13</v>
      </c>
      <c r="E112" s="222" t="n">
        <f aca="false">C112*6</f>
        <v>0</v>
      </c>
      <c r="F112" s="261" t="s">
        <v>13</v>
      </c>
    </row>
    <row r="113" customFormat="false" ht="15" hidden="false" customHeight="false" outlineLevel="0" collapsed="false">
      <c r="A113" s="262"/>
      <c r="B113" s="220" t="s">
        <v>7872</v>
      </c>
      <c r="C113" s="262" t="n">
        <v>1500</v>
      </c>
      <c r="D113" s="222" t="s">
        <v>7873</v>
      </c>
      <c r="E113" s="222" t="n">
        <f aca="false">C113*6</f>
        <v>9000</v>
      </c>
      <c r="F113" s="261" t="s">
        <v>107</v>
      </c>
    </row>
    <row r="114" customFormat="false" ht="15" hidden="false" customHeight="false" outlineLevel="0" collapsed="false">
      <c r="A114" s="262"/>
      <c r="B114" s="287" t="s">
        <v>7881</v>
      </c>
      <c r="C114" s="282" t="n">
        <v>1.5</v>
      </c>
      <c r="D114" s="259" t="s">
        <v>27</v>
      </c>
      <c r="E114" s="222" t="n">
        <f aca="false">C114*6</f>
        <v>9</v>
      </c>
      <c r="F114" s="260" t="s">
        <v>27</v>
      </c>
    </row>
    <row r="115" customFormat="false" ht="15" hidden="false" customHeight="false" outlineLevel="0" collapsed="false">
      <c r="A115" s="262"/>
      <c r="B115" s="287" t="s">
        <v>7881</v>
      </c>
      <c r="C115" s="282" t="n">
        <v>50</v>
      </c>
      <c r="D115" s="259" t="s">
        <v>13</v>
      </c>
      <c r="E115" s="222" t="n">
        <f aca="false">C115*6</f>
        <v>300</v>
      </c>
      <c r="F115" s="260" t="s">
        <v>13</v>
      </c>
    </row>
    <row r="116" customFormat="false" ht="15" hidden="false" customHeight="false" outlineLevel="0" collapsed="false">
      <c r="A116" s="262"/>
      <c r="B116" s="220" t="s">
        <v>77</v>
      </c>
      <c r="C116" s="262"/>
      <c r="D116" s="222"/>
      <c r="E116" s="269"/>
      <c r="F116" s="261"/>
    </row>
    <row r="117" customFormat="false" ht="15" hidden="false" customHeight="false" outlineLevel="0" collapsed="false">
      <c r="A117" s="262"/>
      <c r="B117" s="220"/>
      <c r="C117" s="262"/>
      <c r="D117" s="222"/>
      <c r="E117" s="269"/>
      <c r="F117" s="261"/>
    </row>
    <row r="118" customFormat="false" ht="14.45" hidden="false" customHeight="true" outlineLevel="0" collapsed="false">
      <c r="A118" s="281" t="s">
        <v>7882</v>
      </c>
      <c r="B118" s="220" t="s">
        <v>7883</v>
      </c>
      <c r="C118" s="262" t="n">
        <v>7</v>
      </c>
      <c r="D118" s="222" t="s">
        <v>13</v>
      </c>
      <c r="E118" s="269"/>
      <c r="F118" s="261" t="s">
        <v>13</v>
      </c>
    </row>
    <row r="119" customFormat="false" ht="15" hidden="false" customHeight="false" outlineLevel="0" collapsed="false">
      <c r="A119" s="281"/>
      <c r="B119" s="220" t="s">
        <v>564</v>
      </c>
      <c r="C119" s="262" t="n">
        <v>0.1</v>
      </c>
      <c r="D119" s="222" t="s">
        <v>20</v>
      </c>
      <c r="E119" s="269"/>
      <c r="F119" s="261" t="s">
        <v>20</v>
      </c>
    </row>
    <row r="120" customFormat="false" ht="15" hidden="false" customHeight="false" outlineLevel="0" collapsed="false">
      <c r="A120" s="262"/>
      <c r="B120" s="220" t="s">
        <v>7884</v>
      </c>
      <c r="C120" s="262" t="n">
        <v>0.2</v>
      </c>
      <c r="D120" s="222" t="s">
        <v>20</v>
      </c>
      <c r="E120" s="269"/>
      <c r="F120" s="261" t="s">
        <v>20</v>
      </c>
    </row>
    <row r="121" customFormat="false" ht="15" hidden="false" customHeight="false" outlineLevel="0" collapsed="false">
      <c r="A121" s="262"/>
      <c r="B121" s="220" t="s">
        <v>569</v>
      </c>
      <c r="C121" s="262" t="n">
        <v>0.5</v>
      </c>
      <c r="D121" s="222" t="s">
        <v>20</v>
      </c>
      <c r="E121" s="269"/>
      <c r="F121" s="261" t="s">
        <v>20</v>
      </c>
    </row>
    <row r="122" customFormat="false" ht="15" hidden="false" customHeight="false" outlineLevel="0" collapsed="false">
      <c r="A122" s="262"/>
      <c r="B122" s="220" t="s">
        <v>568</v>
      </c>
      <c r="C122" s="262" t="n">
        <v>0.5</v>
      </c>
      <c r="D122" s="222" t="s">
        <v>20</v>
      </c>
      <c r="E122" s="269"/>
      <c r="F122" s="261" t="s">
        <v>20</v>
      </c>
    </row>
    <row r="123" customFormat="false" ht="15" hidden="false" customHeight="false" outlineLevel="0" collapsed="false">
      <c r="A123" s="262"/>
      <c r="B123" s="220" t="s">
        <v>32</v>
      </c>
      <c r="C123" s="262" t="n">
        <v>0.25</v>
      </c>
      <c r="D123" s="222" t="s">
        <v>20</v>
      </c>
      <c r="E123" s="269"/>
      <c r="F123" s="261" t="s">
        <v>20</v>
      </c>
    </row>
    <row r="124" customFormat="false" ht="15" hidden="false" customHeight="false" outlineLevel="0" collapsed="false">
      <c r="A124" s="262"/>
      <c r="B124" s="220" t="s">
        <v>7885</v>
      </c>
      <c r="C124" s="262" t="n">
        <v>0.7</v>
      </c>
      <c r="D124" s="222" t="s">
        <v>20</v>
      </c>
      <c r="E124" s="269"/>
      <c r="F124" s="261" t="s">
        <v>20</v>
      </c>
    </row>
    <row r="125" customFormat="false" ht="15" hidden="false" customHeight="false" outlineLevel="0" collapsed="false">
      <c r="A125" s="262"/>
      <c r="B125" s="220" t="s">
        <v>7886</v>
      </c>
      <c r="C125" s="262" t="n">
        <v>1</v>
      </c>
      <c r="D125" s="222" t="s">
        <v>7887</v>
      </c>
      <c r="E125" s="269"/>
      <c r="F125" s="261" t="s">
        <v>7887</v>
      </c>
    </row>
    <row r="126" customFormat="false" ht="15" hidden="false" customHeight="false" outlineLevel="0" collapsed="false">
      <c r="A126" s="262"/>
      <c r="B126" s="220" t="s">
        <v>665</v>
      </c>
      <c r="C126" s="262" t="n">
        <v>1.7</v>
      </c>
      <c r="D126" s="222" t="s">
        <v>13</v>
      </c>
      <c r="E126" s="269"/>
      <c r="F126" s="261" t="s">
        <v>13</v>
      </c>
    </row>
    <row r="127" customFormat="false" ht="15" hidden="false" customHeight="false" outlineLevel="0" collapsed="false">
      <c r="A127" s="262"/>
      <c r="B127" s="220" t="s">
        <v>26</v>
      </c>
      <c r="C127" s="262" t="n">
        <v>250</v>
      </c>
      <c r="D127" s="222" t="s">
        <v>7873</v>
      </c>
      <c r="E127" s="269"/>
      <c r="F127" s="261" t="s">
        <v>7873</v>
      </c>
      <c r="K127" s="1"/>
    </row>
    <row r="128" customFormat="false" ht="15" hidden="false" customHeight="false" outlineLevel="0" collapsed="false">
      <c r="A128" s="262"/>
      <c r="B128" s="262"/>
      <c r="C128" s="294"/>
      <c r="D128" s="269"/>
      <c r="E128" s="269"/>
      <c r="F128" s="270"/>
      <c r="K128" s="231" t="s">
        <v>7824</v>
      </c>
    </row>
    <row r="129" customFormat="false" ht="15" hidden="false" customHeight="false" outlineLevel="0" collapsed="false">
      <c r="A129" s="262"/>
      <c r="B129" s="220"/>
      <c r="C129" s="262"/>
      <c r="D129" s="222"/>
      <c r="E129" s="269"/>
      <c r="F129" s="261"/>
      <c r="K129" s="1"/>
    </row>
    <row r="130" customFormat="false" ht="14.45" hidden="false" customHeight="true" outlineLevel="0" collapsed="false">
      <c r="A130" s="281" t="s">
        <v>128</v>
      </c>
      <c r="B130" s="282" t="s">
        <v>2</v>
      </c>
      <c r="C130" s="282" t="s">
        <v>3</v>
      </c>
      <c r="D130" s="283" t="s">
        <v>4</v>
      </c>
      <c r="E130" s="283" t="s">
        <v>5</v>
      </c>
      <c r="F130" s="284" t="s">
        <v>4</v>
      </c>
      <c r="G130" s="207"/>
    </row>
    <row r="131" customFormat="false" ht="15" hidden="false" customHeight="false" outlineLevel="0" collapsed="false">
      <c r="A131" s="281"/>
      <c r="B131" s="220" t="s">
        <v>655</v>
      </c>
      <c r="C131" s="220" t="n">
        <v>25</v>
      </c>
      <c r="D131" s="222" t="s">
        <v>61</v>
      </c>
      <c r="E131" s="222" t="n">
        <f aca="false">C131*14</f>
        <v>350</v>
      </c>
      <c r="F131" s="261" t="s">
        <v>61</v>
      </c>
    </row>
    <row r="132" customFormat="false" ht="15" hidden="false" customHeight="false" outlineLevel="0" collapsed="false">
      <c r="A132" s="262"/>
      <c r="B132" s="229" t="s">
        <v>7679</v>
      </c>
      <c r="C132" s="229"/>
      <c r="D132" s="293" t="s">
        <v>13</v>
      </c>
      <c r="E132" s="222" t="n">
        <f aca="false">C132*14</f>
        <v>0</v>
      </c>
      <c r="F132" s="261"/>
    </row>
    <row r="133" customFormat="false" ht="15" hidden="false" customHeight="false" outlineLevel="0" collapsed="false">
      <c r="A133" s="262"/>
      <c r="B133" s="229" t="s">
        <v>7682</v>
      </c>
      <c r="C133" s="229"/>
      <c r="D133" s="293" t="s">
        <v>13</v>
      </c>
      <c r="E133" s="222" t="n">
        <f aca="false">C133*14</f>
        <v>0</v>
      </c>
      <c r="F133" s="261"/>
    </row>
    <row r="134" customFormat="false" ht="15" hidden="false" customHeight="false" outlineLevel="0" collapsed="false">
      <c r="A134" s="295"/>
      <c r="B134" s="220" t="s">
        <v>7888</v>
      </c>
      <c r="C134" s="220" t="n">
        <v>1</v>
      </c>
      <c r="D134" s="222" t="s">
        <v>7</v>
      </c>
      <c r="E134" s="222" t="n">
        <f aca="false">C134*14</f>
        <v>14</v>
      </c>
      <c r="F134" s="261" t="s">
        <v>7</v>
      </c>
    </row>
    <row r="135" customFormat="false" ht="15" hidden="false" customHeight="false" outlineLevel="0" collapsed="false">
      <c r="A135" s="296" t="s">
        <v>7889</v>
      </c>
      <c r="B135" s="220" t="s">
        <v>54</v>
      </c>
      <c r="C135" s="220" t="n">
        <v>0.8</v>
      </c>
      <c r="D135" s="222" t="s">
        <v>20</v>
      </c>
      <c r="E135" s="222" t="n">
        <f aca="false">C135*14</f>
        <v>11.2</v>
      </c>
      <c r="F135" s="261" t="s">
        <v>20</v>
      </c>
    </row>
    <row r="136" customFormat="false" ht="15" hidden="false" customHeight="false" outlineLevel="0" collapsed="false">
      <c r="A136" s="295"/>
      <c r="B136" s="220" t="s">
        <v>31</v>
      </c>
      <c r="C136" s="220" t="n">
        <v>0.5</v>
      </c>
      <c r="D136" s="222" t="s">
        <v>20</v>
      </c>
      <c r="E136" s="222" t="n">
        <f aca="false">C136*14</f>
        <v>7</v>
      </c>
      <c r="F136" s="261" t="s">
        <v>20</v>
      </c>
      <c r="H136" s="1"/>
    </row>
    <row r="137" customFormat="false" ht="15" hidden="false" customHeight="false" outlineLevel="0" collapsed="false">
      <c r="A137" s="295"/>
      <c r="B137" s="220" t="s">
        <v>656</v>
      </c>
      <c r="C137" s="220" t="n">
        <v>0.5</v>
      </c>
      <c r="D137" s="222" t="s">
        <v>13</v>
      </c>
      <c r="E137" s="222" t="n">
        <f aca="false">C137*14</f>
        <v>7</v>
      </c>
      <c r="F137" s="261" t="s">
        <v>13</v>
      </c>
    </row>
    <row r="138" customFormat="false" ht="15" hidden="false" customHeight="false" outlineLevel="0" collapsed="false">
      <c r="A138" s="295"/>
      <c r="B138" s="220" t="s">
        <v>657</v>
      </c>
      <c r="C138" s="220" t="n">
        <v>0.5</v>
      </c>
      <c r="D138" s="222" t="s">
        <v>20</v>
      </c>
      <c r="E138" s="222" t="n">
        <f aca="false">C138*14</f>
        <v>7</v>
      </c>
      <c r="F138" s="261" t="s">
        <v>20</v>
      </c>
    </row>
    <row r="139" customFormat="false" ht="15" hidden="false" customHeight="false" outlineLevel="0" collapsed="false">
      <c r="A139" s="295"/>
      <c r="B139" s="220" t="s">
        <v>658</v>
      </c>
      <c r="C139" s="220" t="n">
        <v>1</v>
      </c>
      <c r="D139" s="222" t="s">
        <v>20</v>
      </c>
      <c r="E139" s="222" t="n">
        <f aca="false">C139*14</f>
        <v>14</v>
      </c>
      <c r="F139" s="261" t="s">
        <v>20</v>
      </c>
    </row>
    <row r="140" customFormat="false" ht="15" hidden="false" customHeight="false" outlineLevel="0" collapsed="false">
      <c r="A140" s="295" t="s">
        <v>659</v>
      </c>
      <c r="B140" s="220" t="s">
        <v>21</v>
      </c>
      <c r="C140" s="220" t="n">
        <v>3</v>
      </c>
      <c r="D140" s="222" t="s">
        <v>7</v>
      </c>
      <c r="E140" s="222" t="n">
        <f aca="false">C140*14</f>
        <v>42</v>
      </c>
      <c r="F140" s="261" t="s">
        <v>7</v>
      </c>
    </row>
    <row r="141" customFormat="false" ht="15" hidden="false" customHeight="false" outlineLevel="0" collapsed="false">
      <c r="A141" s="295"/>
      <c r="B141" s="220" t="s">
        <v>660</v>
      </c>
      <c r="C141" s="220" t="n">
        <v>2</v>
      </c>
      <c r="D141" s="222" t="s">
        <v>13</v>
      </c>
      <c r="E141" s="222" t="n">
        <f aca="false">C141*14</f>
        <v>28</v>
      </c>
      <c r="F141" s="261" t="s">
        <v>13</v>
      </c>
    </row>
    <row r="142" customFormat="false" ht="15" hidden="false" customHeight="false" outlineLevel="0" collapsed="false">
      <c r="A142" s="295"/>
      <c r="B142" s="258" t="s">
        <v>26</v>
      </c>
      <c r="C142" s="258" t="n">
        <v>1</v>
      </c>
      <c r="D142" s="259" t="s">
        <v>27</v>
      </c>
      <c r="E142" s="259" t="n">
        <f aca="false">C142*14</f>
        <v>14</v>
      </c>
      <c r="F142" s="260" t="s">
        <v>27</v>
      </c>
    </row>
    <row r="143" customFormat="false" ht="15" hidden="false" customHeight="false" outlineLevel="0" collapsed="false">
      <c r="A143" s="295"/>
      <c r="B143" s="258" t="s">
        <v>26</v>
      </c>
      <c r="C143" s="258" t="n">
        <v>35</v>
      </c>
      <c r="D143" s="259" t="s">
        <v>13</v>
      </c>
      <c r="E143" s="259" t="n">
        <f aca="false">C143*14</f>
        <v>490</v>
      </c>
      <c r="F143" s="260" t="s">
        <v>13</v>
      </c>
    </row>
    <row r="144" customFormat="false" ht="15" hidden="false" customHeight="false" outlineLevel="0" collapsed="false">
      <c r="A144" s="295"/>
      <c r="B144" s="220"/>
      <c r="C144" s="220"/>
      <c r="D144" s="222"/>
      <c r="E144" s="222"/>
      <c r="F144" s="261"/>
    </row>
    <row r="145" customFormat="false" ht="15" hidden="false" customHeight="false" outlineLevel="0" collapsed="false">
      <c r="A145" s="258" t="s">
        <v>343</v>
      </c>
      <c r="B145" s="282" t="s">
        <v>2</v>
      </c>
      <c r="C145" s="282" t="s">
        <v>3</v>
      </c>
      <c r="D145" s="283" t="s">
        <v>4</v>
      </c>
      <c r="E145" s="222" t="s">
        <v>7890</v>
      </c>
      <c r="F145" s="284" t="s">
        <v>4</v>
      </c>
    </row>
    <row r="146" customFormat="false" ht="15" hidden="false" customHeight="false" outlineLevel="0" collapsed="false">
      <c r="A146" s="220"/>
      <c r="B146" s="220" t="s">
        <v>86</v>
      </c>
      <c r="C146" s="220" t="n">
        <v>1</v>
      </c>
      <c r="D146" s="222" t="s">
        <v>13</v>
      </c>
      <c r="E146" s="222" t="n">
        <f aca="false">C146*7</f>
        <v>7</v>
      </c>
      <c r="F146" s="261" t="s">
        <v>13</v>
      </c>
    </row>
    <row r="147" customFormat="false" ht="15" hidden="false" customHeight="false" outlineLevel="0" collapsed="false">
      <c r="A147" s="220"/>
      <c r="B147" s="220" t="s">
        <v>661</v>
      </c>
      <c r="C147" s="220" t="n">
        <v>2</v>
      </c>
      <c r="D147" s="222" t="s">
        <v>13</v>
      </c>
      <c r="E147" s="222" t="n">
        <f aca="false">C147*7</f>
        <v>14</v>
      </c>
      <c r="F147" s="261" t="s">
        <v>13</v>
      </c>
    </row>
    <row r="148" customFormat="false" ht="15" hidden="false" customHeight="false" outlineLevel="0" collapsed="false">
      <c r="A148" s="220"/>
      <c r="B148" s="220" t="s">
        <v>650</v>
      </c>
      <c r="C148" s="220" t="n">
        <v>0.2</v>
      </c>
      <c r="D148" s="222" t="s">
        <v>20</v>
      </c>
      <c r="E148" s="222" t="n">
        <f aca="false">C148*7</f>
        <v>1.4</v>
      </c>
      <c r="F148" s="261" t="s">
        <v>20</v>
      </c>
    </row>
    <row r="149" customFormat="false" ht="15" hidden="false" customHeight="false" outlineLevel="0" collapsed="false">
      <c r="A149" s="220"/>
      <c r="B149" s="220" t="s">
        <v>662</v>
      </c>
      <c r="C149" s="220" t="n">
        <v>0.5</v>
      </c>
      <c r="D149" s="222" t="s">
        <v>20</v>
      </c>
      <c r="E149" s="222" t="n">
        <f aca="false">C149*7</f>
        <v>3.5</v>
      </c>
      <c r="F149" s="261" t="s">
        <v>20</v>
      </c>
    </row>
    <row r="150" customFormat="false" ht="15" hidden="false" customHeight="false" outlineLevel="0" collapsed="false">
      <c r="A150" s="220"/>
      <c r="B150" s="220" t="s">
        <v>663</v>
      </c>
      <c r="C150" s="220" t="n">
        <v>0.5</v>
      </c>
      <c r="D150" s="222" t="s">
        <v>20</v>
      </c>
      <c r="E150" s="222" t="n">
        <f aca="false">C150*7</f>
        <v>3.5</v>
      </c>
      <c r="F150" s="261" t="s">
        <v>20</v>
      </c>
    </row>
    <row r="151" customFormat="false" ht="15" hidden="false" customHeight="false" outlineLevel="0" collapsed="false">
      <c r="A151" s="220"/>
      <c r="B151" s="220" t="s">
        <v>664</v>
      </c>
      <c r="C151" s="220" t="n">
        <v>2</v>
      </c>
      <c r="D151" s="222" t="s">
        <v>13</v>
      </c>
      <c r="E151" s="222" t="n">
        <f aca="false">C151*7</f>
        <v>14</v>
      </c>
      <c r="F151" s="261" t="s">
        <v>13</v>
      </c>
    </row>
    <row r="152" customFormat="false" ht="15" hidden="false" customHeight="false" outlineLevel="0" collapsed="false">
      <c r="A152" s="220"/>
      <c r="B152" s="220" t="s">
        <v>558</v>
      </c>
      <c r="C152" s="220" t="n">
        <v>4</v>
      </c>
      <c r="D152" s="222" t="s">
        <v>13</v>
      </c>
      <c r="E152" s="222" t="n">
        <f aca="false">C152*7</f>
        <v>28</v>
      </c>
      <c r="F152" s="261" t="s">
        <v>13</v>
      </c>
    </row>
    <row r="153" customFormat="false" ht="15" hidden="false" customHeight="false" outlineLevel="0" collapsed="false">
      <c r="A153" s="220"/>
      <c r="B153" s="220"/>
      <c r="C153" s="220"/>
      <c r="D153" s="222"/>
      <c r="E153" s="222"/>
      <c r="F153" s="261"/>
      <c r="K153" s="280"/>
      <c r="L153" s="286"/>
      <c r="M153" s="280"/>
    </row>
    <row r="154" customFormat="false" ht="15" hidden="false" customHeight="false" outlineLevel="0" collapsed="false">
      <c r="A154" s="294"/>
      <c r="B154" s="262"/>
      <c r="C154" s="294"/>
      <c r="D154" s="269"/>
      <c r="E154" s="269"/>
      <c r="F154" s="270"/>
    </row>
    <row r="155" customFormat="false" ht="15" hidden="false" customHeight="true" outlineLevel="0" collapsed="false">
      <c r="A155" s="297" t="s">
        <v>7891</v>
      </c>
      <c r="B155" s="282" t="s">
        <v>2</v>
      </c>
      <c r="C155" s="297" t="s">
        <v>3</v>
      </c>
      <c r="D155" s="298" t="s">
        <v>4</v>
      </c>
      <c r="E155" s="298" t="s">
        <v>5</v>
      </c>
      <c r="F155" s="299" t="s">
        <v>4</v>
      </c>
    </row>
    <row r="156" customFormat="false" ht="15" hidden="false" customHeight="true" outlineLevel="0" collapsed="false">
      <c r="A156" s="294"/>
      <c r="B156" s="220" t="s">
        <v>665</v>
      </c>
      <c r="C156" s="220" t="n">
        <v>2</v>
      </c>
      <c r="D156" s="222" t="s">
        <v>7</v>
      </c>
      <c r="E156" s="283" t="n">
        <f aca="false">C156*E$167/C$167</f>
        <v>20</v>
      </c>
      <c r="F156" s="261" t="s">
        <v>7</v>
      </c>
    </row>
    <row r="157" customFormat="false" ht="15" hidden="false" customHeight="false" outlineLevel="0" collapsed="false">
      <c r="A157" s="294"/>
      <c r="B157" s="264" t="s">
        <v>666</v>
      </c>
      <c r="C157" s="300" t="n">
        <v>8</v>
      </c>
      <c r="D157" s="301" t="s">
        <v>13</v>
      </c>
      <c r="E157" s="283" t="n">
        <f aca="false">C157*E$167/C$167</f>
        <v>80</v>
      </c>
      <c r="F157" s="270" t="s">
        <v>13</v>
      </c>
    </row>
    <row r="158" customFormat="false" ht="15" hidden="false" customHeight="false" outlineLevel="0" collapsed="false">
      <c r="A158" s="302"/>
      <c r="B158" s="220" t="s">
        <v>582</v>
      </c>
      <c r="C158" s="220" t="n">
        <v>2.5</v>
      </c>
      <c r="D158" s="222" t="s">
        <v>20</v>
      </c>
      <c r="E158" s="283" t="n">
        <f aca="false">C158*E$167/C$167</f>
        <v>25</v>
      </c>
      <c r="F158" s="261" t="s">
        <v>20</v>
      </c>
    </row>
    <row r="159" customFormat="false" ht="15" hidden="false" customHeight="false" outlineLevel="0" collapsed="false">
      <c r="A159" s="294"/>
      <c r="B159" s="220" t="s">
        <v>667</v>
      </c>
      <c r="C159" s="220" t="n">
        <v>0.5</v>
      </c>
      <c r="D159" s="222" t="s">
        <v>20</v>
      </c>
      <c r="E159" s="283" t="n">
        <f aca="false">C159*E$167/C$167</f>
        <v>5</v>
      </c>
      <c r="F159" s="261" t="s">
        <v>20</v>
      </c>
    </row>
    <row r="160" customFormat="false" ht="15" hidden="false" customHeight="false" outlineLevel="0" collapsed="false">
      <c r="A160" s="294"/>
      <c r="B160" s="220" t="s">
        <v>32</v>
      </c>
      <c r="C160" s="220" t="n">
        <v>1.75</v>
      </c>
      <c r="D160" s="222" t="s">
        <v>20</v>
      </c>
      <c r="E160" s="283" t="n">
        <f aca="false">C160*E$167/C$167</f>
        <v>18</v>
      </c>
      <c r="F160" s="261" t="s">
        <v>20</v>
      </c>
    </row>
    <row r="161" customFormat="false" ht="15" hidden="false" customHeight="false" outlineLevel="0" collapsed="false">
      <c r="A161" s="294"/>
      <c r="B161" s="220" t="s">
        <v>571</v>
      </c>
      <c r="C161" s="220" t="n">
        <v>3</v>
      </c>
      <c r="D161" s="222" t="s">
        <v>20</v>
      </c>
      <c r="E161" s="283" t="n">
        <f aca="false">C161*E$167/C$167</f>
        <v>30</v>
      </c>
      <c r="F161" s="261" t="s">
        <v>20</v>
      </c>
    </row>
    <row r="162" customFormat="false" ht="15" hidden="false" customHeight="false" outlineLevel="0" collapsed="false">
      <c r="A162" s="294"/>
      <c r="B162" s="220" t="s">
        <v>668</v>
      </c>
      <c r="C162" s="220" t="n">
        <v>1.5</v>
      </c>
      <c r="D162" s="222" t="s">
        <v>13</v>
      </c>
      <c r="E162" s="283" t="n">
        <f aca="false">C162*E$167/C$167</f>
        <v>15</v>
      </c>
      <c r="F162" s="261" t="s">
        <v>13</v>
      </c>
    </row>
    <row r="163" customFormat="false" ht="15" hidden="false" customHeight="false" outlineLevel="0" collapsed="false">
      <c r="A163" s="294"/>
      <c r="B163" s="220" t="s">
        <v>669</v>
      </c>
      <c r="C163" s="220" t="n">
        <v>1</v>
      </c>
      <c r="D163" s="222" t="s">
        <v>13</v>
      </c>
      <c r="E163" s="283" t="n">
        <f aca="false">C163*E$167/C$167</f>
        <v>10</v>
      </c>
      <c r="F163" s="261" t="s">
        <v>13</v>
      </c>
    </row>
    <row r="164" customFormat="false" ht="15" hidden="false" customHeight="false" outlineLevel="0" collapsed="false">
      <c r="A164" s="294"/>
      <c r="B164" s="220" t="s">
        <v>580</v>
      </c>
      <c r="C164" s="220" t="n">
        <v>20</v>
      </c>
      <c r="D164" s="222" t="s">
        <v>13</v>
      </c>
      <c r="E164" s="283" t="n">
        <f aca="false">C164*E$167/C$167</f>
        <v>200</v>
      </c>
      <c r="F164" s="261" t="s">
        <v>13</v>
      </c>
    </row>
    <row r="165" customFormat="false" ht="15" hidden="false" customHeight="false" outlineLevel="0" collapsed="false">
      <c r="A165" s="294"/>
      <c r="B165" s="220" t="s">
        <v>578</v>
      </c>
      <c r="C165" s="220" t="n">
        <v>5</v>
      </c>
      <c r="D165" s="222" t="s">
        <v>13</v>
      </c>
      <c r="E165" s="283" t="n">
        <f aca="false">C165*E$167/C$167</f>
        <v>50</v>
      </c>
      <c r="F165" s="261"/>
    </row>
    <row r="166" customFormat="false" ht="15" hidden="false" customHeight="false" outlineLevel="0" collapsed="false">
      <c r="A166" s="294"/>
      <c r="B166" s="258" t="s">
        <v>26</v>
      </c>
      <c r="C166" s="258" t="n">
        <v>1</v>
      </c>
      <c r="D166" s="259" t="s">
        <v>27</v>
      </c>
      <c r="E166" s="283" t="n">
        <f aca="false">C166*E$167/C$167</f>
        <v>10</v>
      </c>
      <c r="F166" s="260" t="s">
        <v>27</v>
      </c>
    </row>
    <row r="167" customFormat="false" ht="15" hidden="false" customHeight="false" outlineLevel="0" collapsed="false">
      <c r="A167" s="294"/>
      <c r="B167" s="258" t="s">
        <v>26</v>
      </c>
      <c r="C167" s="258" t="n">
        <v>35</v>
      </c>
      <c r="D167" s="259" t="s">
        <v>13</v>
      </c>
      <c r="E167" s="259" t="n">
        <f aca="false">35*10</f>
        <v>350</v>
      </c>
      <c r="F167" s="260" t="s">
        <v>13</v>
      </c>
    </row>
    <row r="168" customFormat="false" ht="15" hidden="false" customHeight="false" outlineLevel="0" collapsed="false">
      <c r="A168" s="220"/>
      <c r="B168" s="220" t="s">
        <v>92</v>
      </c>
      <c r="C168" s="220"/>
      <c r="D168" s="222"/>
      <c r="E168" s="222"/>
      <c r="F168" s="261"/>
    </row>
    <row r="169" customFormat="false" ht="15" hidden="false" customHeight="false" outlineLevel="0" collapsed="false">
      <c r="A169" s="286"/>
      <c r="B169" s="286"/>
      <c r="C169" s="286"/>
      <c r="D169" s="303"/>
      <c r="E169" s="303"/>
      <c r="F169" s="304"/>
    </row>
    <row r="170" customFormat="false" ht="15" hidden="false" customHeight="false" outlineLevel="0" collapsed="false">
      <c r="A170" s="286"/>
      <c r="E170" s="303"/>
    </row>
    <row r="171" customFormat="false" ht="15" hidden="false" customHeight="false" outlineLevel="0" collapsed="false">
      <c r="A171" s="286"/>
    </row>
    <row r="172" customFormat="false" ht="15" hidden="false" customHeight="false" outlineLevel="0" collapsed="false">
      <c r="A172" s="286"/>
      <c r="K172" s="4"/>
      <c r="L172" s="286"/>
      <c r="M172" s="4"/>
    </row>
    <row r="173" customFormat="false" ht="15" hidden="false" customHeight="false" outlineLevel="0" collapsed="false">
      <c r="A173" s="286"/>
      <c r="H173" s="286"/>
      <c r="I173" s="286"/>
      <c r="K173" s="4"/>
      <c r="L173" s="231" t="s">
        <v>7824</v>
      </c>
      <c r="M173" s="4"/>
    </row>
  </sheetData>
  <mergeCells count="4">
    <mergeCell ref="A49:A50"/>
    <mergeCell ref="A74:A75"/>
    <mergeCell ref="A118:A119"/>
    <mergeCell ref="A130:A131"/>
  </mergeCells>
  <hyperlinks>
    <hyperlink ref="K128" location="'Yatra Menu'!A1" display="Back to Menu"/>
    <hyperlink ref="L173" location="'Yatra Menu'!A1" display="Back to Menu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8"/>
  <sheetViews>
    <sheetView showFormulas="false" showGridLines="true" showRowColHeaders="true" showZeros="true" rightToLeft="false" tabSelected="false" showOutlineSymbols="true" defaultGridColor="true" view="normal" topLeftCell="A133" colorId="64" zoomScale="85" zoomScaleNormal="85" zoomScalePageLayoutView="100" workbookViewId="0">
      <selection pane="topLeft" activeCell="L145" activeCellId="0" sqref="L145"/>
    </sheetView>
  </sheetViews>
  <sheetFormatPr defaultRowHeight="15" outlineLevelRow="0" outlineLevelCol="0"/>
  <cols>
    <col collapsed="false" customWidth="true" hidden="false" outlineLevel="0" max="1" min="1" style="2" width="24.87"/>
    <col collapsed="false" customWidth="true" hidden="false" outlineLevel="0" max="2" min="2" style="4" width="22"/>
    <col collapsed="false" customWidth="true" hidden="false" outlineLevel="0" max="3" min="3" style="2" width="9.87"/>
    <col collapsed="false" customWidth="true" hidden="false" outlineLevel="0" max="4" min="4" style="4" width="8.13"/>
    <col collapsed="false" customWidth="true" hidden="false" outlineLevel="0" max="5" min="5" style="303" width="11"/>
    <col collapsed="false" customWidth="true" hidden="false" outlineLevel="0" max="6" min="6" style="4" width="5.62"/>
    <col collapsed="false" customWidth="false" hidden="false" outlineLevel="0" max="7" min="7" style="0" width="11.51"/>
    <col collapsed="false" customWidth="true" hidden="false" outlineLevel="0" max="1025" min="8" style="0" width="8.51"/>
  </cols>
  <sheetData>
    <row r="1" customFormat="false" ht="15" hidden="false" customHeight="false" outlineLevel="0" collapsed="false">
      <c r="A1" s="305" t="s">
        <v>7892</v>
      </c>
      <c r="B1" s="9"/>
      <c r="C1" s="7"/>
      <c r="D1" s="9"/>
      <c r="E1" s="306"/>
      <c r="F1" s="9"/>
      <c r="G1" s="5"/>
      <c r="H1" s="5"/>
      <c r="I1" s="5"/>
      <c r="J1" s="5"/>
      <c r="K1" s="5"/>
    </row>
    <row r="2" customFormat="false" ht="15" hidden="false" customHeight="false" outlineLevel="0" collapsed="false">
      <c r="A2" s="307" t="s">
        <v>7893</v>
      </c>
      <c r="B2" s="295"/>
      <c r="C2" s="259"/>
      <c r="D2" s="221"/>
      <c r="E2" s="259"/>
      <c r="F2" s="258"/>
      <c r="G2" s="308"/>
    </row>
    <row r="3" customFormat="false" ht="14.45" hidden="false" customHeight="true" outlineLevel="0" collapsed="false">
      <c r="A3" s="309" t="s">
        <v>7894</v>
      </c>
      <c r="B3" s="310" t="s">
        <v>2</v>
      </c>
      <c r="C3" s="311" t="s">
        <v>3</v>
      </c>
      <c r="D3" s="311" t="s">
        <v>4</v>
      </c>
      <c r="E3" s="311" t="s">
        <v>5</v>
      </c>
      <c r="F3" s="311" t="s">
        <v>4</v>
      </c>
      <c r="G3" s="312"/>
    </row>
    <row r="4" customFormat="false" ht="15" hidden="false" customHeight="false" outlineLevel="0" collapsed="false">
      <c r="A4" s="309"/>
      <c r="B4" s="221" t="s">
        <v>7895</v>
      </c>
      <c r="C4" s="222" t="n">
        <v>25</v>
      </c>
      <c r="D4" s="221" t="s">
        <v>7</v>
      </c>
      <c r="E4" s="222" t="n">
        <f aca="false">C4*7.6</f>
        <v>190</v>
      </c>
      <c r="F4" s="221" t="s">
        <v>7</v>
      </c>
      <c r="G4" s="312"/>
    </row>
    <row r="5" customFormat="false" ht="15" hidden="false" customHeight="false" outlineLevel="0" collapsed="false">
      <c r="A5" s="293"/>
      <c r="B5" s="221"/>
      <c r="C5" s="222" t="n">
        <v>2.5</v>
      </c>
      <c r="D5" s="221" t="s">
        <v>7896</v>
      </c>
      <c r="E5" s="222" t="n">
        <f aca="false">C5*7.6</f>
        <v>19</v>
      </c>
      <c r="F5" s="221" t="s">
        <v>7896</v>
      </c>
      <c r="G5" s="312"/>
    </row>
    <row r="6" customFormat="false" ht="15" hidden="false" customHeight="false" outlineLevel="0" collapsed="false">
      <c r="A6" s="259" t="s">
        <v>7897</v>
      </c>
      <c r="B6" s="221" t="s">
        <v>7898</v>
      </c>
      <c r="C6" s="222" t="n">
        <v>2</v>
      </c>
      <c r="D6" s="221" t="s">
        <v>139</v>
      </c>
      <c r="E6" s="222" t="n">
        <f aca="false">C6*7.6</f>
        <v>15.2</v>
      </c>
      <c r="F6" s="221" t="s">
        <v>139</v>
      </c>
      <c r="G6" s="312"/>
    </row>
    <row r="7" customFormat="false" ht="15" hidden="false" customHeight="false" outlineLevel="0" collapsed="false">
      <c r="A7" s="222"/>
      <c r="B7" s="221"/>
      <c r="C7" s="222" t="n">
        <v>1.6</v>
      </c>
      <c r="D7" s="221" t="s">
        <v>13</v>
      </c>
      <c r="E7" s="222" t="n">
        <f aca="false">C7*7.6</f>
        <v>12.2</v>
      </c>
      <c r="F7" s="221" t="s">
        <v>13</v>
      </c>
      <c r="G7" s="312"/>
    </row>
    <row r="8" customFormat="false" ht="15" hidden="false" customHeight="false" outlineLevel="0" collapsed="false">
      <c r="A8" s="222"/>
      <c r="B8" s="221" t="s">
        <v>7899</v>
      </c>
      <c r="C8" s="222" t="n">
        <v>10</v>
      </c>
      <c r="D8" s="221" t="s">
        <v>7</v>
      </c>
      <c r="E8" s="222" t="n">
        <f aca="false">C8*7.6</f>
        <v>76</v>
      </c>
      <c r="F8" s="221" t="s">
        <v>7</v>
      </c>
      <c r="G8" s="280"/>
    </row>
    <row r="9" customFormat="false" ht="15" hidden="false" customHeight="false" outlineLevel="0" collapsed="false">
      <c r="A9" s="222"/>
      <c r="B9" s="221" t="s">
        <v>7900</v>
      </c>
      <c r="C9" s="222" t="n">
        <v>10</v>
      </c>
      <c r="D9" s="221" t="s">
        <v>7</v>
      </c>
      <c r="E9" s="222" t="n">
        <f aca="false">C9*7.6</f>
        <v>76</v>
      </c>
      <c r="F9" s="221" t="s">
        <v>7</v>
      </c>
      <c r="G9" s="280"/>
    </row>
    <row r="10" customFormat="false" ht="15" hidden="false" customHeight="false" outlineLevel="0" collapsed="false">
      <c r="A10" s="222"/>
      <c r="B10" s="221" t="s">
        <v>7901</v>
      </c>
      <c r="C10" s="222" t="n">
        <v>20</v>
      </c>
      <c r="D10" s="221" t="s">
        <v>13</v>
      </c>
      <c r="E10" s="222" t="n">
        <f aca="false">C10*7.6</f>
        <v>152</v>
      </c>
      <c r="F10" s="221" t="s">
        <v>13</v>
      </c>
      <c r="G10" s="312"/>
    </row>
    <row r="11" customFormat="false" ht="15" hidden="false" customHeight="false" outlineLevel="0" collapsed="false">
      <c r="A11" s="293" t="s">
        <v>7902</v>
      </c>
      <c r="B11" s="221" t="s">
        <v>7903</v>
      </c>
      <c r="C11" s="222" t="n">
        <v>15</v>
      </c>
      <c r="D11" s="221" t="s">
        <v>7</v>
      </c>
      <c r="E11" s="222" t="n">
        <f aca="false">C11*7.6</f>
        <v>114</v>
      </c>
      <c r="F11" s="221" t="s">
        <v>7</v>
      </c>
      <c r="G11" s="312"/>
    </row>
    <row r="12" customFormat="false" ht="15" hidden="false" customHeight="false" outlineLevel="0" collapsed="false">
      <c r="A12" s="222"/>
      <c r="B12" s="221"/>
      <c r="C12" s="222" t="n">
        <v>100</v>
      </c>
      <c r="D12" s="221" t="s">
        <v>13</v>
      </c>
      <c r="E12" s="222" t="n">
        <f aca="false">C12*7.6</f>
        <v>760</v>
      </c>
      <c r="F12" s="221" t="s">
        <v>13</v>
      </c>
      <c r="G12" s="255"/>
    </row>
    <row r="13" customFormat="false" ht="15" hidden="false" customHeight="false" outlineLevel="0" collapsed="false">
      <c r="A13" s="222"/>
      <c r="B13" s="221" t="s">
        <v>7904</v>
      </c>
      <c r="C13" s="222" t="n">
        <v>20</v>
      </c>
      <c r="D13" s="221" t="s">
        <v>7</v>
      </c>
      <c r="E13" s="222" t="n">
        <f aca="false">C13*7.6</f>
        <v>152</v>
      </c>
      <c r="F13" s="221" t="s">
        <v>7</v>
      </c>
      <c r="G13" s="312"/>
    </row>
    <row r="14" customFormat="false" ht="15" hidden="false" customHeight="false" outlineLevel="0" collapsed="false">
      <c r="A14" s="222"/>
      <c r="B14" s="221"/>
      <c r="C14" s="222"/>
      <c r="D14" s="221"/>
      <c r="E14" s="259"/>
      <c r="F14" s="258"/>
      <c r="G14" s="308"/>
    </row>
    <row r="15" customFormat="false" ht="14.45" hidden="false" customHeight="true" outlineLevel="0" collapsed="false">
      <c r="A15" s="313" t="s">
        <v>7905</v>
      </c>
      <c r="B15" s="310" t="s">
        <v>2</v>
      </c>
      <c r="C15" s="311" t="s">
        <v>3</v>
      </c>
      <c r="D15" s="311" t="s">
        <v>4</v>
      </c>
      <c r="E15" s="311" t="s">
        <v>5</v>
      </c>
      <c r="F15" s="311" t="s">
        <v>4</v>
      </c>
      <c r="G15" s="312"/>
    </row>
    <row r="16" customFormat="false" ht="15" hidden="false" customHeight="false" outlineLevel="0" collapsed="false">
      <c r="A16" s="313"/>
      <c r="B16" s="226" t="s">
        <v>532</v>
      </c>
      <c r="C16" s="228" t="n">
        <v>70</v>
      </c>
      <c r="D16" s="226" t="s">
        <v>7</v>
      </c>
      <c r="E16" s="222"/>
      <c r="F16" s="223"/>
      <c r="G16" s="312"/>
    </row>
    <row r="17" customFormat="false" ht="15" hidden="false" customHeight="false" outlineLevel="0" collapsed="false">
      <c r="A17" s="228"/>
      <c r="B17" s="226" t="s">
        <v>7906</v>
      </c>
      <c r="C17" s="228" t="n">
        <v>75</v>
      </c>
      <c r="D17" s="221" t="s">
        <v>13</v>
      </c>
      <c r="E17" s="222"/>
      <c r="F17" s="223"/>
      <c r="G17" s="312"/>
    </row>
    <row r="18" customFormat="false" ht="15" hidden="false" customHeight="false" outlineLevel="0" collapsed="false">
      <c r="A18" s="222"/>
      <c r="B18" s="221" t="s">
        <v>21</v>
      </c>
      <c r="C18" s="222" t="n">
        <v>50</v>
      </c>
      <c r="D18" s="221" t="s">
        <v>7</v>
      </c>
      <c r="E18" s="222"/>
      <c r="F18" s="223"/>
      <c r="G18" s="312"/>
    </row>
    <row r="19" customFormat="false" ht="15" hidden="false" customHeight="false" outlineLevel="0" collapsed="false">
      <c r="A19" s="259"/>
      <c r="B19" s="295" t="s">
        <v>7907</v>
      </c>
      <c r="C19" s="259" t="n">
        <v>65</v>
      </c>
      <c r="D19" s="221" t="s">
        <v>13</v>
      </c>
      <c r="E19" s="222"/>
      <c r="F19" s="223"/>
      <c r="G19" s="312"/>
    </row>
    <row r="20" customFormat="false" ht="15" hidden="false" customHeight="false" outlineLevel="0" collapsed="false">
      <c r="A20" s="222"/>
      <c r="B20" s="221" t="s">
        <v>7908</v>
      </c>
      <c r="C20" s="222" t="n">
        <v>10</v>
      </c>
      <c r="D20" s="221" t="s">
        <v>7</v>
      </c>
      <c r="E20" s="222"/>
      <c r="F20" s="220"/>
      <c r="G20" s="280"/>
    </row>
    <row r="21" customFormat="false" ht="15" hidden="false" customHeight="false" outlineLevel="0" collapsed="false">
      <c r="A21" s="222"/>
      <c r="B21" s="221" t="s">
        <v>7909</v>
      </c>
      <c r="C21" s="222" t="n">
        <v>70</v>
      </c>
      <c r="D21" s="221" t="s">
        <v>7</v>
      </c>
      <c r="E21" s="222"/>
      <c r="F21" s="223"/>
      <c r="G21" s="280"/>
    </row>
    <row r="22" customFormat="false" ht="15" hidden="false" customHeight="false" outlineLevel="0" collapsed="false">
      <c r="A22" s="222"/>
      <c r="B22" s="221" t="s">
        <v>7898</v>
      </c>
      <c r="C22" s="222" t="n">
        <v>1</v>
      </c>
      <c r="D22" s="221" t="s">
        <v>7910</v>
      </c>
      <c r="E22" s="222"/>
      <c r="F22" s="314"/>
      <c r="G22" s="315"/>
    </row>
    <row r="23" customFormat="false" ht="15" hidden="false" customHeight="false" outlineLevel="0" collapsed="false">
      <c r="A23" s="222"/>
      <c r="B23" s="221"/>
      <c r="C23" s="222" t="n">
        <v>0.8</v>
      </c>
      <c r="D23" s="221" t="s">
        <v>13</v>
      </c>
      <c r="E23" s="222"/>
      <c r="F23" s="314"/>
      <c r="G23" s="315"/>
    </row>
    <row r="24" customFormat="false" ht="15" hidden="false" customHeight="false" outlineLevel="0" collapsed="false">
      <c r="A24" s="222"/>
      <c r="B24" s="221" t="s">
        <v>598</v>
      </c>
      <c r="C24" s="222" t="n">
        <v>2</v>
      </c>
      <c r="D24" s="221" t="s">
        <v>20</v>
      </c>
      <c r="E24" s="222"/>
      <c r="F24" s="314"/>
      <c r="G24" s="315"/>
    </row>
    <row r="25" customFormat="false" ht="15" hidden="false" customHeight="false" outlineLevel="0" collapsed="false">
      <c r="A25" s="293"/>
      <c r="B25" s="316" t="s">
        <v>26</v>
      </c>
      <c r="C25" s="222"/>
      <c r="D25" s="221"/>
      <c r="E25" s="222"/>
      <c r="F25" s="314"/>
      <c r="G25" s="315"/>
    </row>
    <row r="26" customFormat="false" ht="15" hidden="false" customHeight="false" outlineLevel="0" collapsed="false">
      <c r="A26" s="228" t="s">
        <v>7911</v>
      </c>
      <c r="B26" s="225"/>
      <c r="C26" s="222"/>
      <c r="D26" s="221"/>
      <c r="E26" s="259"/>
      <c r="F26" s="314"/>
      <c r="G26" s="315"/>
    </row>
    <row r="27" customFormat="false" ht="15" hidden="false" customHeight="false" outlineLevel="0" collapsed="false">
      <c r="A27" s="228" t="s">
        <v>7912</v>
      </c>
      <c r="B27" s="295" t="s">
        <v>2</v>
      </c>
      <c r="C27" s="259" t="s">
        <v>3</v>
      </c>
      <c r="D27" s="295" t="s">
        <v>4</v>
      </c>
      <c r="E27" s="259" t="s">
        <v>5</v>
      </c>
      <c r="F27" s="295" t="s">
        <v>4</v>
      </c>
      <c r="G27" s="315"/>
    </row>
    <row r="28" customFormat="false" ht="15" hidden="false" customHeight="false" outlineLevel="0" collapsed="false">
      <c r="A28" s="222"/>
      <c r="B28" s="221" t="s">
        <v>541</v>
      </c>
      <c r="C28" s="222" t="n">
        <v>2</v>
      </c>
      <c r="D28" s="221" t="s">
        <v>7</v>
      </c>
      <c r="E28" s="228"/>
      <c r="F28" s="314"/>
      <c r="G28" s="315"/>
    </row>
    <row r="29" customFormat="false" ht="15" hidden="false" customHeight="false" outlineLevel="0" collapsed="false">
      <c r="A29" s="222"/>
      <c r="B29" s="221" t="s">
        <v>7823</v>
      </c>
      <c r="C29" s="222" t="n">
        <v>11</v>
      </c>
      <c r="D29" s="221" t="s">
        <v>7</v>
      </c>
      <c r="E29" s="222"/>
      <c r="F29" s="314"/>
      <c r="G29" s="315"/>
    </row>
    <row r="30" customFormat="false" ht="15" hidden="false" customHeight="false" outlineLevel="0" collapsed="false">
      <c r="A30" s="293"/>
      <c r="B30" s="226" t="s">
        <v>26</v>
      </c>
      <c r="C30" s="228" t="n">
        <v>30</v>
      </c>
      <c r="D30" s="226" t="s">
        <v>13</v>
      </c>
      <c r="E30" s="222"/>
      <c r="F30" s="314"/>
      <c r="G30" s="315"/>
    </row>
    <row r="31" customFormat="false" ht="15" hidden="false" customHeight="false" outlineLevel="0" collapsed="false">
      <c r="A31" s="259" t="s">
        <v>7913</v>
      </c>
      <c r="B31" s="295" t="s">
        <v>2</v>
      </c>
      <c r="C31" s="259" t="s">
        <v>3</v>
      </c>
      <c r="D31" s="295" t="s">
        <v>4</v>
      </c>
      <c r="E31" s="259" t="s">
        <v>5</v>
      </c>
      <c r="F31" s="295" t="s">
        <v>4</v>
      </c>
      <c r="G31" s="315"/>
    </row>
    <row r="32" customFormat="false" ht="15" hidden="false" customHeight="false" outlineLevel="0" collapsed="false">
      <c r="A32" s="228"/>
      <c r="B32" s="226" t="s">
        <v>668</v>
      </c>
      <c r="C32" s="228" t="n">
        <v>20</v>
      </c>
      <c r="D32" s="226" t="s">
        <v>7914</v>
      </c>
      <c r="E32" s="228"/>
      <c r="F32" s="314"/>
      <c r="G32" s="315"/>
    </row>
    <row r="33" customFormat="false" ht="15" hidden="false" customHeight="false" outlineLevel="0" collapsed="false">
      <c r="A33" s="228"/>
      <c r="B33" s="226" t="s">
        <v>23</v>
      </c>
      <c r="C33" s="228"/>
      <c r="D33" s="221"/>
      <c r="E33" s="228"/>
      <c r="F33" s="314"/>
      <c r="G33" s="315"/>
    </row>
    <row r="34" customFormat="false" ht="15" hidden="false" customHeight="false" outlineLevel="0" collapsed="false">
      <c r="A34" s="228"/>
      <c r="B34" s="226" t="s">
        <v>686</v>
      </c>
      <c r="C34" s="228"/>
      <c r="D34" s="221"/>
      <c r="E34" s="228"/>
      <c r="F34" s="314"/>
      <c r="G34" s="315"/>
    </row>
    <row r="35" customFormat="false" ht="15" hidden="false" customHeight="false" outlineLevel="0" collapsed="false">
      <c r="A35" s="222"/>
      <c r="B35" s="221" t="s">
        <v>578</v>
      </c>
      <c r="C35" s="222" t="n">
        <v>1</v>
      </c>
      <c r="D35" s="221" t="s">
        <v>7915</v>
      </c>
      <c r="E35" s="222"/>
      <c r="F35" s="314"/>
      <c r="G35" s="315"/>
    </row>
    <row r="36" customFormat="false" ht="15" hidden="false" customHeight="false" outlineLevel="0" collapsed="false">
      <c r="A36" s="259"/>
      <c r="B36" s="295" t="s">
        <v>557</v>
      </c>
      <c r="C36" s="259" t="n">
        <v>2</v>
      </c>
      <c r="D36" s="221" t="s">
        <v>13</v>
      </c>
      <c r="E36" s="259"/>
      <c r="F36" s="314"/>
      <c r="G36" s="315"/>
    </row>
    <row r="37" customFormat="false" ht="15" hidden="false" customHeight="false" outlineLevel="0" collapsed="false">
      <c r="A37" s="222"/>
      <c r="B37" s="221" t="s">
        <v>7916</v>
      </c>
      <c r="C37" s="222"/>
      <c r="D37" s="221"/>
      <c r="E37" s="222"/>
      <c r="F37" s="314"/>
      <c r="G37" s="315"/>
    </row>
    <row r="38" customFormat="false" ht="15" hidden="false" customHeight="false" outlineLevel="0" collapsed="false">
      <c r="A38" s="222"/>
      <c r="B38" s="221" t="s">
        <v>7917</v>
      </c>
      <c r="C38" s="222"/>
      <c r="D38" s="221"/>
      <c r="E38" s="222"/>
      <c r="F38" s="223"/>
      <c r="G38" s="312"/>
    </row>
    <row r="39" customFormat="false" ht="15" hidden="false" customHeight="false" outlineLevel="0" collapsed="false">
      <c r="A39" s="222"/>
      <c r="B39" s="221" t="s">
        <v>7918</v>
      </c>
      <c r="C39" s="222"/>
      <c r="D39" s="221"/>
      <c r="E39" s="222"/>
      <c r="F39" s="223"/>
      <c r="G39" s="312"/>
    </row>
    <row r="40" customFormat="false" ht="15" hidden="false" customHeight="false" outlineLevel="0" collapsed="false">
      <c r="A40" s="222"/>
      <c r="B40" s="221" t="s">
        <v>7919</v>
      </c>
      <c r="C40" s="222"/>
      <c r="D40" s="221"/>
      <c r="E40" s="222"/>
      <c r="F40" s="220"/>
      <c r="G40" s="280"/>
    </row>
    <row r="41" customFormat="false" ht="15.6" hidden="false" customHeight="true" outlineLevel="0" collapsed="false">
      <c r="A41" s="222"/>
      <c r="B41" s="221" t="s">
        <v>7920</v>
      </c>
      <c r="C41" s="222"/>
      <c r="D41" s="221"/>
      <c r="E41" s="222"/>
      <c r="F41" s="223"/>
      <c r="G41" s="280"/>
    </row>
    <row r="42" customFormat="false" ht="15.6" hidden="false" customHeight="true" outlineLevel="0" collapsed="false">
      <c r="A42" s="222"/>
      <c r="B42" s="221"/>
      <c r="C42" s="222"/>
      <c r="D42" s="221"/>
      <c r="E42" s="222"/>
      <c r="F42" s="223"/>
      <c r="G42" s="280"/>
    </row>
    <row r="43" customFormat="false" ht="14.45" hidden="false" customHeight="true" outlineLevel="0" collapsed="false">
      <c r="A43" s="317" t="s">
        <v>7921</v>
      </c>
      <c r="B43" s="318" t="s">
        <v>2</v>
      </c>
      <c r="C43" s="319" t="s">
        <v>3</v>
      </c>
      <c r="D43" s="318" t="s">
        <v>4</v>
      </c>
      <c r="E43" s="319" t="s">
        <v>5</v>
      </c>
      <c r="F43" s="318" t="s">
        <v>4</v>
      </c>
      <c r="G43" s="312"/>
    </row>
    <row r="44" customFormat="false" ht="15" hidden="false" customHeight="false" outlineLevel="0" collapsed="false">
      <c r="A44" s="317"/>
      <c r="B44" s="221" t="s">
        <v>578</v>
      </c>
      <c r="C44" s="269" t="n">
        <v>70</v>
      </c>
      <c r="D44" s="221" t="s">
        <v>76</v>
      </c>
      <c r="E44" s="222" t="n">
        <f aca="false">C44*E$50/C$50</f>
        <v>910</v>
      </c>
      <c r="F44" s="221" t="s">
        <v>76</v>
      </c>
      <c r="G44" s="315"/>
    </row>
    <row r="45" customFormat="false" ht="15" hidden="false" customHeight="false" outlineLevel="0" collapsed="false">
      <c r="A45" s="259"/>
      <c r="B45" s="221" t="s">
        <v>571</v>
      </c>
      <c r="C45" s="269" t="n">
        <v>5</v>
      </c>
      <c r="D45" s="221" t="s">
        <v>61</v>
      </c>
      <c r="E45" s="222" t="n">
        <f aca="false">C45*E$50/C$50</f>
        <v>65</v>
      </c>
      <c r="F45" s="221" t="s">
        <v>61</v>
      </c>
      <c r="G45" s="315"/>
    </row>
    <row r="46" customFormat="false" ht="15" hidden="false" customHeight="false" outlineLevel="0" collapsed="false">
      <c r="A46" s="228"/>
      <c r="B46" s="221" t="s">
        <v>7922</v>
      </c>
      <c r="C46" s="269" t="n">
        <v>6</v>
      </c>
      <c r="D46" s="221" t="s">
        <v>61</v>
      </c>
      <c r="E46" s="222" t="n">
        <f aca="false">C46*E$50/C$50</f>
        <v>78</v>
      </c>
      <c r="F46" s="221" t="s">
        <v>61</v>
      </c>
      <c r="G46" s="315"/>
    </row>
    <row r="47" customFormat="false" ht="15" hidden="false" customHeight="false" outlineLevel="0" collapsed="false">
      <c r="A47" s="320"/>
      <c r="B47" s="321" t="s">
        <v>18</v>
      </c>
      <c r="C47" s="283" t="n">
        <v>0.5</v>
      </c>
      <c r="D47" s="295" t="s">
        <v>76</v>
      </c>
      <c r="E47" s="222" t="n">
        <f aca="false">C47*E$50/C$50</f>
        <v>6.5</v>
      </c>
      <c r="F47" s="295" t="s">
        <v>76</v>
      </c>
      <c r="G47" s="315"/>
    </row>
    <row r="48" customFormat="false" ht="15" hidden="false" customHeight="false" outlineLevel="0" collapsed="false">
      <c r="A48" s="222"/>
      <c r="B48" s="221" t="s">
        <v>557</v>
      </c>
      <c r="C48" s="269" t="n">
        <v>1</v>
      </c>
      <c r="D48" s="221" t="s">
        <v>76</v>
      </c>
      <c r="E48" s="222" t="n">
        <f aca="false">C48*E$50/C$50</f>
        <v>13</v>
      </c>
      <c r="F48" s="221" t="s">
        <v>76</v>
      </c>
    </row>
    <row r="49" customFormat="false" ht="15" hidden="false" customHeight="false" outlineLevel="0" collapsed="false">
      <c r="A49" s="259"/>
      <c r="B49" s="226" t="s">
        <v>26</v>
      </c>
      <c r="C49" s="322" t="n">
        <v>2</v>
      </c>
      <c r="D49" s="226" t="s">
        <v>27</v>
      </c>
      <c r="E49" s="222" t="n">
        <f aca="false">C49*E$50/C$50</f>
        <v>26</v>
      </c>
      <c r="F49" s="226" t="s">
        <v>27</v>
      </c>
    </row>
    <row r="50" customFormat="false" ht="15" hidden="false" customHeight="false" outlineLevel="0" collapsed="false">
      <c r="A50" s="259"/>
      <c r="B50" s="226"/>
      <c r="C50" s="322" t="n">
        <v>70</v>
      </c>
      <c r="D50" s="226" t="s">
        <v>13</v>
      </c>
      <c r="E50" s="222" t="n">
        <v>910</v>
      </c>
      <c r="F50" s="226" t="s">
        <v>13</v>
      </c>
    </row>
    <row r="51" customFormat="false" ht="15" hidden="false" customHeight="false" outlineLevel="0" collapsed="false">
      <c r="A51" s="269"/>
      <c r="B51" s="221"/>
      <c r="C51" s="269"/>
      <c r="D51" s="223"/>
      <c r="E51" s="222"/>
      <c r="F51" s="294"/>
      <c r="H51" s="323"/>
      <c r="I51" s="255"/>
    </row>
    <row r="52" customFormat="false" ht="15" hidden="false" customHeight="false" outlineLevel="0" collapsed="false">
      <c r="A52" s="324" t="s">
        <v>154</v>
      </c>
      <c r="B52" s="325" t="s">
        <v>2</v>
      </c>
      <c r="C52" s="324" t="s">
        <v>3</v>
      </c>
      <c r="D52" s="324" t="s">
        <v>4</v>
      </c>
      <c r="E52" s="311" t="s">
        <v>5</v>
      </c>
      <c r="F52" s="324" t="s">
        <v>4</v>
      </c>
      <c r="H52" s="323"/>
    </row>
    <row r="53" customFormat="false" ht="15" hidden="false" customHeight="false" outlineLevel="0" collapsed="false">
      <c r="A53" s="269"/>
      <c r="B53" s="221" t="s">
        <v>670</v>
      </c>
      <c r="C53" s="269" t="n">
        <v>4</v>
      </c>
      <c r="D53" s="294" t="s">
        <v>61</v>
      </c>
      <c r="E53" s="222" t="n">
        <f aca="false">C53*E$66/C$66</f>
        <v>100</v>
      </c>
      <c r="F53" s="294" t="s">
        <v>61</v>
      </c>
      <c r="H53" s="323"/>
    </row>
    <row r="54" customFormat="false" ht="15" hidden="false" customHeight="false" outlineLevel="0" collapsed="false">
      <c r="A54" s="269"/>
      <c r="B54" s="221" t="s">
        <v>580</v>
      </c>
      <c r="C54" s="269" t="n">
        <v>10</v>
      </c>
      <c r="D54" s="294" t="s">
        <v>61</v>
      </c>
      <c r="E54" s="222" t="n">
        <f aca="false">C54*E$66/C$66</f>
        <v>250</v>
      </c>
      <c r="F54" s="294" t="s">
        <v>61</v>
      </c>
      <c r="H54" s="323"/>
    </row>
    <row r="55" customFormat="false" ht="15" hidden="false" customHeight="false" outlineLevel="0" collapsed="false">
      <c r="A55" s="269"/>
      <c r="B55" s="221" t="s">
        <v>578</v>
      </c>
      <c r="C55" s="269" t="n">
        <v>2</v>
      </c>
      <c r="D55" s="294" t="s">
        <v>13</v>
      </c>
      <c r="E55" s="222" t="n">
        <f aca="false">C55*E$66/C$66</f>
        <v>50</v>
      </c>
      <c r="F55" s="294" t="s">
        <v>13</v>
      </c>
      <c r="H55" s="323"/>
    </row>
    <row r="56" customFormat="false" ht="15" hidden="false" customHeight="false" outlineLevel="0" collapsed="false">
      <c r="A56" s="269"/>
      <c r="B56" s="221" t="s">
        <v>649</v>
      </c>
      <c r="C56" s="269"/>
      <c r="D56" s="294"/>
      <c r="E56" s="222" t="n">
        <f aca="false">C56*E$66/C$66</f>
        <v>0</v>
      </c>
      <c r="F56" s="294"/>
      <c r="H56" s="323"/>
      <c r="I56" s="255"/>
    </row>
    <row r="57" customFormat="false" ht="15" hidden="false" customHeight="false" outlineLevel="0" collapsed="false">
      <c r="A57" s="269"/>
      <c r="B57" s="221" t="s">
        <v>671</v>
      </c>
      <c r="C57" s="301" t="n">
        <v>0.5</v>
      </c>
      <c r="D57" s="294" t="s">
        <v>13</v>
      </c>
      <c r="E57" s="222" t="n">
        <f aca="false">C57*E$66/C$66</f>
        <v>12.5</v>
      </c>
      <c r="F57" s="294" t="s">
        <v>13</v>
      </c>
      <c r="H57" s="312"/>
    </row>
    <row r="58" customFormat="false" ht="15" hidden="false" customHeight="false" outlineLevel="0" collapsed="false">
      <c r="A58" s="269"/>
      <c r="B58" s="221" t="s">
        <v>672</v>
      </c>
      <c r="C58" s="269" t="n">
        <v>0.5</v>
      </c>
      <c r="D58" s="294" t="s">
        <v>68</v>
      </c>
      <c r="E58" s="222" t="n">
        <f aca="false">C58*E$66/C$66</f>
        <v>12.5</v>
      </c>
      <c r="F58" s="294" t="s">
        <v>68</v>
      </c>
      <c r="H58" s="323"/>
      <c r="I58" s="255"/>
    </row>
    <row r="59" customFormat="false" ht="15" hidden="false" customHeight="false" outlineLevel="0" collapsed="false">
      <c r="A59" s="269"/>
      <c r="B59" s="221" t="s">
        <v>673</v>
      </c>
      <c r="C59" s="269" t="n">
        <v>0.5</v>
      </c>
      <c r="D59" s="294" t="s">
        <v>13</v>
      </c>
      <c r="E59" s="222" t="n">
        <f aca="false">C59*E$66/C$66</f>
        <v>12.5</v>
      </c>
      <c r="F59" s="294" t="s">
        <v>13</v>
      </c>
      <c r="H59" s="323"/>
      <c r="I59" s="255"/>
    </row>
    <row r="60" customFormat="false" ht="15" hidden="false" customHeight="false" outlineLevel="0" collapsed="false">
      <c r="A60" s="269"/>
      <c r="B60" s="221" t="s">
        <v>83</v>
      </c>
      <c r="C60" s="269" t="n">
        <v>0.5</v>
      </c>
      <c r="D60" s="294" t="s">
        <v>68</v>
      </c>
      <c r="E60" s="222" t="n">
        <f aca="false">C60*E$66/C$66</f>
        <v>12.5</v>
      </c>
      <c r="F60" s="294" t="s">
        <v>68</v>
      </c>
      <c r="H60" s="323"/>
      <c r="I60" s="255"/>
    </row>
    <row r="61" customFormat="false" ht="15" hidden="false" customHeight="false" outlineLevel="0" collapsed="false">
      <c r="A61" s="269"/>
      <c r="B61" s="221" t="s">
        <v>32</v>
      </c>
      <c r="C61" s="269" t="n">
        <v>1</v>
      </c>
      <c r="D61" s="294" t="s">
        <v>68</v>
      </c>
      <c r="E61" s="222" t="n">
        <f aca="false">C61*E$66/C$66</f>
        <v>25</v>
      </c>
      <c r="F61" s="294" t="s">
        <v>68</v>
      </c>
      <c r="H61" s="323"/>
      <c r="I61" s="255"/>
    </row>
    <row r="62" customFormat="false" ht="15" hidden="false" customHeight="false" outlineLevel="0" collapsed="false">
      <c r="A62" s="269"/>
      <c r="B62" s="221" t="s">
        <v>652</v>
      </c>
      <c r="C62" s="269" t="n">
        <v>1</v>
      </c>
      <c r="D62" s="294" t="s">
        <v>13</v>
      </c>
      <c r="E62" s="222" t="n">
        <f aca="false">C62*E$66/C$66</f>
        <v>25</v>
      </c>
      <c r="F62" s="294" t="s">
        <v>13</v>
      </c>
      <c r="H62" s="323"/>
      <c r="I62" s="255"/>
    </row>
    <row r="63" customFormat="false" ht="15" hidden="false" customHeight="false" outlineLevel="0" collapsed="false">
      <c r="A63" s="269"/>
      <c r="B63" s="225" t="s">
        <v>674</v>
      </c>
      <c r="C63" s="222" t="n">
        <v>0.5</v>
      </c>
      <c r="D63" s="294" t="s">
        <v>61</v>
      </c>
      <c r="E63" s="222" t="n">
        <f aca="false">C63*E$66/C$66</f>
        <v>12.5</v>
      </c>
      <c r="F63" s="294" t="s">
        <v>61</v>
      </c>
      <c r="H63" s="323"/>
      <c r="I63" s="255"/>
    </row>
    <row r="64" customFormat="false" ht="15" hidden="false" customHeight="false" outlineLevel="0" collapsed="false">
      <c r="A64" s="269"/>
      <c r="B64" s="225" t="s">
        <v>675</v>
      </c>
      <c r="C64" s="222" t="n">
        <v>15</v>
      </c>
      <c r="D64" s="294" t="s">
        <v>107</v>
      </c>
      <c r="E64" s="222" t="n">
        <f aca="false">C64*E$66/C$66</f>
        <v>375</v>
      </c>
      <c r="F64" s="294" t="s">
        <v>107</v>
      </c>
      <c r="I64" s="312"/>
    </row>
    <row r="65" customFormat="false" ht="15" hidden="false" customHeight="false" outlineLevel="0" collapsed="false">
      <c r="A65" s="269"/>
      <c r="B65" s="326" t="s">
        <v>26</v>
      </c>
      <c r="C65" s="259" t="n">
        <v>1</v>
      </c>
      <c r="D65" s="297" t="s">
        <v>27</v>
      </c>
      <c r="E65" s="222" t="n">
        <f aca="false">C65*E$66/C$66</f>
        <v>25</v>
      </c>
      <c r="F65" s="297" t="s">
        <v>27</v>
      </c>
      <c r="G65" s="280"/>
      <c r="H65" s="323"/>
      <c r="I65" s="255"/>
    </row>
    <row r="66" customFormat="false" ht="15" hidden="false" customHeight="false" outlineLevel="0" collapsed="false">
      <c r="A66" s="269"/>
      <c r="B66" s="326" t="s">
        <v>26</v>
      </c>
      <c r="C66" s="222" t="n">
        <v>35</v>
      </c>
      <c r="D66" s="294" t="s">
        <v>13</v>
      </c>
      <c r="E66" s="279" t="n">
        <v>875</v>
      </c>
      <c r="F66" s="294" t="s">
        <v>13</v>
      </c>
      <c r="G66" s="280"/>
      <c r="H66" s="4"/>
    </row>
    <row r="67" customFormat="false" ht="15" hidden="false" customHeight="false" outlineLevel="0" collapsed="false">
      <c r="A67" s="269"/>
      <c r="B67" s="225"/>
      <c r="C67" s="222"/>
      <c r="D67" s="294"/>
      <c r="E67" s="222"/>
      <c r="F67" s="221"/>
      <c r="H67" s="231"/>
    </row>
    <row r="68" customFormat="false" ht="15" hidden="false" customHeight="false" outlineLevel="0" collapsed="false">
      <c r="A68" s="269"/>
      <c r="B68" s="225"/>
      <c r="C68" s="269"/>
      <c r="D68" s="225"/>
      <c r="E68" s="222"/>
      <c r="F68" s="225"/>
      <c r="H68" s="323"/>
      <c r="I68" s="255"/>
    </row>
    <row r="69" customFormat="false" ht="14.45" hidden="false" customHeight="true" outlineLevel="0" collapsed="false">
      <c r="A69" s="327" t="s">
        <v>319</v>
      </c>
      <c r="B69" s="325" t="s">
        <v>2</v>
      </c>
      <c r="C69" s="324" t="s">
        <v>3</v>
      </c>
      <c r="D69" s="324" t="s">
        <v>4</v>
      </c>
      <c r="E69" s="311" t="s">
        <v>5</v>
      </c>
      <c r="F69" s="324" t="s">
        <v>4</v>
      </c>
      <c r="H69" s="323"/>
      <c r="I69" s="255"/>
    </row>
    <row r="70" customFormat="false" ht="15" hidden="false" customHeight="false" outlineLevel="0" collapsed="false">
      <c r="A70" s="327"/>
      <c r="B70" s="225" t="s">
        <v>676</v>
      </c>
      <c r="C70" s="222" t="n">
        <v>4.64285714285714</v>
      </c>
      <c r="D70" s="221" t="s">
        <v>61</v>
      </c>
      <c r="E70" s="222" t="n">
        <f aca="false">C70*E$89/C$89</f>
        <v>81.9</v>
      </c>
      <c r="F70" s="221" t="s">
        <v>61</v>
      </c>
      <c r="H70" s="323"/>
      <c r="I70" s="255"/>
    </row>
    <row r="71" customFormat="false" ht="15" hidden="false" customHeight="false" outlineLevel="0" collapsed="false">
      <c r="A71" s="222"/>
      <c r="B71" s="225" t="s">
        <v>394</v>
      </c>
      <c r="C71" s="222" t="n">
        <v>0.714285714285714</v>
      </c>
      <c r="D71" s="221" t="s">
        <v>61</v>
      </c>
      <c r="E71" s="222" t="n">
        <f aca="false">C71*E$89/C$89</f>
        <v>12.5</v>
      </c>
      <c r="F71" s="221" t="s">
        <v>61</v>
      </c>
    </row>
    <row r="72" customFormat="false" ht="15" hidden="false" customHeight="false" outlineLevel="0" collapsed="false">
      <c r="A72" s="222"/>
      <c r="B72" s="225" t="s">
        <v>564</v>
      </c>
      <c r="C72" s="222" t="n">
        <v>1.42857142857143</v>
      </c>
      <c r="D72" s="221" t="s">
        <v>20</v>
      </c>
      <c r="E72" s="222" t="n">
        <f aca="false">C72*E$89/C$89</f>
        <v>24.9</v>
      </c>
      <c r="F72" s="221" t="s">
        <v>20</v>
      </c>
    </row>
    <row r="73" customFormat="false" ht="15" hidden="false" customHeight="false" outlineLevel="0" collapsed="false">
      <c r="A73" s="222"/>
      <c r="B73" s="225" t="s">
        <v>562</v>
      </c>
      <c r="C73" s="222" t="n">
        <v>1.07142857142857</v>
      </c>
      <c r="D73" s="221" t="s">
        <v>20</v>
      </c>
      <c r="E73" s="222" t="n">
        <f aca="false">C73*E$89/C$89</f>
        <v>19.6</v>
      </c>
      <c r="F73" s="221" t="s">
        <v>20</v>
      </c>
    </row>
    <row r="74" customFormat="false" ht="15" hidden="false" customHeight="false" outlineLevel="0" collapsed="false">
      <c r="A74" s="222"/>
      <c r="B74" s="225" t="s">
        <v>677</v>
      </c>
      <c r="C74" s="222" t="n">
        <v>1.78571428571429</v>
      </c>
      <c r="D74" s="221" t="s">
        <v>61</v>
      </c>
      <c r="E74" s="222" t="n">
        <f aca="false">C74*E$89/C$89</f>
        <v>32</v>
      </c>
      <c r="F74" s="221" t="s">
        <v>61</v>
      </c>
    </row>
    <row r="75" customFormat="false" ht="15" hidden="false" customHeight="false" outlineLevel="0" collapsed="false">
      <c r="A75" s="222"/>
      <c r="B75" s="225" t="s">
        <v>8</v>
      </c>
      <c r="C75" s="222" t="n">
        <v>2.85714285714286</v>
      </c>
      <c r="D75" s="221" t="s">
        <v>61</v>
      </c>
      <c r="E75" s="222" t="n">
        <f aca="false">C75*E$89/C$89</f>
        <v>51.6</v>
      </c>
      <c r="F75" s="221" t="s">
        <v>61</v>
      </c>
    </row>
    <row r="76" customFormat="false" ht="15" hidden="false" customHeight="false" outlineLevel="0" collapsed="false">
      <c r="A76" s="222"/>
      <c r="B76" s="225" t="s">
        <v>40</v>
      </c>
      <c r="C76" s="222" t="n">
        <v>2.14285714285714</v>
      </c>
      <c r="D76" s="221" t="s">
        <v>61</v>
      </c>
      <c r="E76" s="222" t="n">
        <f aca="false">C76*E$89/C$89</f>
        <v>37.4</v>
      </c>
      <c r="F76" s="221" t="s">
        <v>61</v>
      </c>
    </row>
    <row r="77" customFormat="false" ht="15" hidden="false" customHeight="false" outlineLevel="0" collapsed="false">
      <c r="A77" s="222"/>
      <c r="B77" s="225" t="s">
        <v>678</v>
      </c>
      <c r="C77" s="222" t="n">
        <v>1.07142857142857</v>
      </c>
      <c r="D77" s="221" t="s">
        <v>61</v>
      </c>
      <c r="E77" s="222" t="n">
        <f aca="false">C77*E$89/C$89</f>
        <v>19.6</v>
      </c>
      <c r="F77" s="221" t="s">
        <v>61</v>
      </c>
    </row>
    <row r="78" customFormat="false" ht="15" hidden="false" customHeight="false" outlineLevel="0" collapsed="false">
      <c r="A78" s="222"/>
      <c r="B78" s="225" t="s">
        <v>587</v>
      </c>
      <c r="C78" s="222" t="n">
        <v>2.14285714285714</v>
      </c>
      <c r="D78" s="221" t="s">
        <v>61</v>
      </c>
      <c r="E78" s="222" t="n">
        <f aca="false">C78*E$89/C$89</f>
        <v>37.4</v>
      </c>
      <c r="F78" s="221" t="s">
        <v>61</v>
      </c>
    </row>
    <row r="79" customFormat="false" ht="15" hidden="false" customHeight="false" outlineLevel="0" collapsed="false">
      <c r="A79" s="222"/>
      <c r="B79" s="225" t="s">
        <v>609</v>
      </c>
      <c r="C79" s="222" t="n">
        <v>1.07142857142857</v>
      </c>
      <c r="D79" s="221" t="s">
        <v>20</v>
      </c>
      <c r="E79" s="222" t="n">
        <f aca="false">C79*E$89/C$89</f>
        <v>19.6</v>
      </c>
      <c r="F79" s="221" t="s">
        <v>20</v>
      </c>
    </row>
    <row r="80" customFormat="false" ht="15" hidden="false" customHeight="false" outlineLevel="0" collapsed="false">
      <c r="A80" s="222"/>
      <c r="B80" s="225" t="s">
        <v>679</v>
      </c>
      <c r="C80" s="222" t="n">
        <v>1.07142857142857</v>
      </c>
      <c r="D80" s="221" t="s">
        <v>20</v>
      </c>
      <c r="E80" s="222" t="n">
        <f aca="false">C80*E$89/C$89</f>
        <v>19.6</v>
      </c>
      <c r="F80" s="221" t="s">
        <v>20</v>
      </c>
    </row>
    <row r="81" customFormat="false" ht="15" hidden="false" customHeight="false" outlineLevel="0" collapsed="false">
      <c r="A81" s="222"/>
      <c r="B81" s="225" t="s">
        <v>680</v>
      </c>
      <c r="C81" s="222" t="n">
        <v>0.714285714285714</v>
      </c>
      <c r="D81" s="221" t="s">
        <v>13</v>
      </c>
      <c r="E81" s="222" t="n">
        <f aca="false">C81*E$89/C$89</f>
        <v>12.5</v>
      </c>
      <c r="F81" s="221" t="s">
        <v>13</v>
      </c>
    </row>
    <row r="82" customFormat="false" ht="15" hidden="false" customHeight="false" outlineLevel="0" collapsed="false">
      <c r="A82" s="222"/>
      <c r="B82" s="225" t="s">
        <v>681</v>
      </c>
      <c r="C82" s="222" t="n">
        <v>14.2857142857143</v>
      </c>
      <c r="D82" s="221" t="s">
        <v>107</v>
      </c>
      <c r="E82" s="222" t="n">
        <f aca="false">C82*E$89/C$89</f>
        <v>254.5</v>
      </c>
      <c r="F82" s="221" t="s">
        <v>107</v>
      </c>
    </row>
    <row r="83" customFormat="false" ht="15" hidden="false" customHeight="false" outlineLevel="0" collapsed="false">
      <c r="A83" s="222"/>
      <c r="B83" s="225" t="s">
        <v>682</v>
      </c>
      <c r="C83" s="222" t="n">
        <v>428.571428571429</v>
      </c>
      <c r="D83" s="221" t="s">
        <v>109</v>
      </c>
      <c r="E83" s="222" t="n">
        <f aca="false">C83*E$89/C$89</f>
        <v>7629.1</v>
      </c>
      <c r="F83" s="221" t="s">
        <v>109</v>
      </c>
    </row>
    <row r="84" customFormat="false" ht="15" hidden="false" customHeight="false" outlineLevel="0" collapsed="false">
      <c r="A84" s="222"/>
      <c r="B84" s="225" t="s">
        <v>255</v>
      </c>
      <c r="C84" s="222"/>
      <c r="D84" s="221"/>
      <c r="E84" s="222" t="n">
        <f aca="false">C84*E$89/C$89</f>
        <v>0</v>
      </c>
      <c r="F84" s="221"/>
    </row>
    <row r="85" customFormat="false" ht="15" hidden="false" customHeight="false" outlineLevel="0" collapsed="false">
      <c r="A85" s="222"/>
      <c r="B85" s="225" t="s">
        <v>645</v>
      </c>
      <c r="C85" s="222" t="n">
        <v>1.07142857142857</v>
      </c>
      <c r="D85" s="221" t="s">
        <v>13</v>
      </c>
      <c r="E85" s="222" t="n">
        <f aca="false">C85*E$89/C$89</f>
        <v>19.6</v>
      </c>
      <c r="F85" s="221" t="s">
        <v>13</v>
      </c>
    </row>
    <row r="86" customFormat="false" ht="15" hidden="false" customHeight="false" outlineLevel="0" collapsed="false">
      <c r="A86" s="222"/>
      <c r="B86" s="225" t="s">
        <v>672</v>
      </c>
      <c r="C86" s="222" t="n">
        <v>0.892857142857143</v>
      </c>
      <c r="D86" s="221" t="s">
        <v>20</v>
      </c>
      <c r="E86" s="222" t="n">
        <f aca="false">C86*E$89/C$89</f>
        <v>16</v>
      </c>
      <c r="F86" s="221" t="s">
        <v>20</v>
      </c>
    </row>
    <row r="87" customFormat="false" ht="15" hidden="false" customHeight="false" outlineLevel="0" collapsed="false">
      <c r="A87" s="222"/>
      <c r="B87" s="225" t="s">
        <v>673</v>
      </c>
      <c r="C87" s="222" t="n">
        <v>2</v>
      </c>
      <c r="D87" s="221" t="s">
        <v>13</v>
      </c>
      <c r="E87" s="222" t="n">
        <f aca="false">C87*E$89/C$89</f>
        <v>35.6</v>
      </c>
      <c r="F87" s="221" t="s">
        <v>13</v>
      </c>
    </row>
    <row r="88" customFormat="false" ht="15" hidden="false" customHeight="false" outlineLevel="0" collapsed="false">
      <c r="A88" s="222"/>
      <c r="B88" s="326" t="s">
        <v>46</v>
      </c>
      <c r="C88" s="259" t="n">
        <v>1.4</v>
      </c>
      <c r="D88" s="295" t="s">
        <v>27</v>
      </c>
      <c r="E88" s="259" t="n">
        <f aca="false">C88*E$89/C$89</f>
        <v>24.9</v>
      </c>
      <c r="F88" s="295" t="s">
        <v>27</v>
      </c>
    </row>
    <row r="89" customFormat="false" ht="15" hidden="false" customHeight="false" outlineLevel="0" collapsed="false">
      <c r="A89" s="222"/>
      <c r="B89" s="326" t="s">
        <v>46</v>
      </c>
      <c r="C89" s="259" t="n">
        <v>50</v>
      </c>
      <c r="D89" s="295" t="s">
        <v>13</v>
      </c>
      <c r="E89" s="279" t="n">
        <v>890</v>
      </c>
      <c r="F89" s="295" t="s">
        <v>13</v>
      </c>
    </row>
    <row r="90" customFormat="false" ht="15" hidden="false" customHeight="false" outlineLevel="0" collapsed="false">
      <c r="A90" s="269"/>
      <c r="B90" s="225"/>
      <c r="C90" s="269"/>
      <c r="D90" s="225"/>
      <c r="E90" s="222"/>
      <c r="F90" s="225"/>
    </row>
    <row r="91" customFormat="false" ht="21" hidden="false" customHeight="false" outlineLevel="0" collapsed="false">
      <c r="A91" s="328" t="s">
        <v>7923</v>
      </c>
      <c r="B91" s="325" t="s">
        <v>2</v>
      </c>
      <c r="C91" s="324" t="s">
        <v>3</v>
      </c>
      <c r="D91" s="324" t="s">
        <v>4</v>
      </c>
      <c r="E91" s="311" t="s">
        <v>5</v>
      </c>
      <c r="F91" s="324" t="s">
        <v>4</v>
      </c>
      <c r="G91" s="323"/>
    </row>
    <row r="92" customFormat="false" ht="15" hidden="false" customHeight="false" outlineLevel="0" collapsed="false">
      <c r="A92" s="269"/>
      <c r="B92" s="225" t="s">
        <v>7924</v>
      </c>
      <c r="C92" s="222" t="n">
        <v>16.6666666666667</v>
      </c>
      <c r="D92" s="225" t="s">
        <v>7</v>
      </c>
      <c r="E92" s="222" t="n">
        <f aca="false">C92*E$116/C$116</f>
        <v>367.4</v>
      </c>
      <c r="F92" s="225" t="s">
        <v>7</v>
      </c>
      <c r="G92" s="323"/>
    </row>
    <row r="93" customFormat="false" ht="15" hidden="false" customHeight="false" outlineLevel="0" collapsed="false">
      <c r="A93" s="269"/>
      <c r="B93" s="329" t="s">
        <v>7925</v>
      </c>
      <c r="C93" s="293"/>
      <c r="D93" s="225"/>
      <c r="E93" s="222"/>
      <c r="F93" s="225"/>
      <c r="G93" s="323"/>
    </row>
    <row r="94" customFormat="false" ht="15" hidden="false" customHeight="false" outlineLevel="0" collapsed="false">
      <c r="A94" s="269"/>
      <c r="B94" s="225" t="s">
        <v>11</v>
      </c>
      <c r="C94" s="222" t="n">
        <v>2.66666666666667</v>
      </c>
      <c r="D94" s="225" t="s">
        <v>7</v>
      </c>
      <c r="E94" s="222" t="n">
        <f aca="false">C94*E$116/C$116</f>
        <v>59.4</v>
      </c>
      <c r="F94" s="225" t="s">
        <v>7</v>
      </c>
      <c r="G94" s="323"/>
    </row>
    <row r="95" customFormat="false" ht="15" hidden="false" customHeight="false" outlineLevel="0" collapsed="false">
      <c r="A95" s="269"/>
      <c r="B95" s="329" t="s">
        <v>7926</v>
      </c>
      <c r="C95" s="293"/>
      <c r="D95" s="225"/>
      <c r="E95" s="222"/>
      <c r="F95" s="225"/>
      <c r="G95" s="323"/>
    </row>
    <row r="96" customFormat="false" ht="15" hidden="false" customHeight="false" outlineLevel="0" collapsed="false">
      <c r="A96" s="269"/>
      <c r="B96" s="225" t="s">
        <v>40</v>
      </c>
      <c r="C96" s="222" t="n">
        <v>1.66666666666667</v>
      </c>
      <c r="D96" s="225" t="s">
        <v>7</v>
      </c>
      <c r="E96" s="222" t="n">
        <f aca="false">C96*E$116/C$116</f>
        <v>37.4</v>
      </c>
      <c r="F96" s="225" t="s">
        <v>7</v>
      </c>
      <c r="G96" s="323"/>
    </row>
    <row r="97" customFormat="false" ht="15" hidden="false" customHeight="false" outlineLevel="0" collapsed="false">
      <c r="A97" s="269"/>
      <c r="B97" s="329" t="s">
        <v>7927</v>
      </c>
      <c r="C97" s="293"/>
      <c r="D97" s="225"/>
      <c r="E97" s="222"/>
      <c r="F97" s="225"/>
      <c r="G97" s="323"/>
    </row>
    <row r="98" customFormat="false" ht="15" hidden="false" customHeight="false" outlineLevel="0" collapsed="false">
      <c r="A98" s="269"/>
      <c r="B98" s="225" t="s">
        <v>7818</v>
      </c>
      <c r="C98" s="222" t="n">
        <v>2</v>
      </c>
      <c r="D98" s="225" t="s">
        <v>7</v>
      </c>
      <c r="E98" s="222" t="n">
        <f aca="false">C98*E$116/C$116</f>
        <v>44</v>
      </c>
      <c r="F98" s="225" t="s">
        <v>7</v>
      </c>
      <c r="G98" s="323"/>
    </row>
    <row r="99" customFormat="false" ht="15" hidden="false" customHeight="false" outlineLevel="0" collapsed="false">
      <c r="A99" s="269"/>
      <c r="B99" s="329" t="s">
        <v>7928</v>
      </c>
      <c r="C99" s="293"/>
      <c r="D99" s="225"/>
      <c r="E99" s="222"/>
      <c r="F99" s="225"/>
      <c r="G99" s="323"/>
    </row>
    <row r="100" customFormat="false" ht="15" hidden="false" customHeight="false" outlineLevel="0" collapsed="false">
      <c r="A100" s="269" t="s">
        <v>7929</v>
      </c>
      <c r="B100" s="225" t="s">
        <v>7930</v>
      </c>
      <c r="C100" s="222" t="n">
        <v>2.66666666666667</v>
      </c>
      <c r="D100" s="225" t="s">
        <v>7</v>
      </c>
      <c r="E100" s="222" t="n">
        <f aca="false">C100*E$116/C$116</f>
        <v>59.4</v>
      </c>
      <c r="F100" s="225" t="s">
        <v>7</v>
      </c>
      <c r="G100" s="323"/>
    </row>
    <row r="101" customFormat="false" ht="15" hidden="false" customHeight="false" outlineLevel="0" collapsed="false">
      <c r="A101" s="269"/>
      <c r="B101" s="329" t="s">
        <v>7931</v>
      </c>
      <c r="C101" s="293"/>
      <c r="D101" s="225"/>
      <c r="E101" s="222"/>
      <c r="F101" s="225"/>
      <c r="G101" s="323"/>
    </row>
    <row r="102" customFormat="false" ht="15" hidden="false" customHeight="false" outlineLevel="0" collapsed="false">
      <c r="A102" s="269"/>
      <c r="B102" s="225" t="s">
        <v>649</v>
      </c>
      <c r="C102" s="222"/>
      <c r="D102" s="225"/>
      <c r="E102" s="222"/>
      <c r="F102" s="225"/>
      <c r="G102" s="323"/>
    </row>
    <row r="103" customFormat="false" ht="15" hidden="false" customHeight="false" outlineLevel="0" collapsed="false">
      <c r="A103" s="269"/>
      <c r="B103" s="225" t="s">
        <v>12</v>
      </c>
      <c r="C103" s="222" t="n">
        <v>1</v>
      </c>
      <c r="D103" s="225" t="s">
        <v>13</v>
      </c>
      <c r="E103" s="222" t="n">
        <f aca="false">C103*E$116/C$116</f>
        <v>22</v>
      </c>
      <c r="F103" s="225" t="s">
        <v>13</v>
      </c>
      <c r="G103" s="323"/>
    </row>
    <row r="104" customFormat="false" ht="15" hidden="false" customHeight="false" outlineLevel="0" collapsed="false">
      <c r="A104" s="269"/>
      <c r="B104" s="225" t="s">
        <v>672</v>
      </c>
      <c r="C104" s="222" t="n">
        <v>0.5</v>
      </c>
      <c r="D104" s="225" t="s">
        <v>20</v>
      </c>
      <c r="E104" s="222" t="n">
        <f aca="false">C104*E$116/C$116</f>
        <v>11</v>
      </c>
      <c r="F104" s="225" t="s">
        <v>20</v>
      </c>
      <c r="G104" s="323"/>
    </row>
    <row r="105" customFormat="false" ht="15" hidden="false" customHeight="false" outlineLevel="0" collapsed="false">
      <c r="A105" s="269"/>
      <c r="B105" s="225" t="s">
        <v>7856</v>
      </c>
      <c r="C105" s="222" t="n">
        <v>1</v>
      </c>
      <c r="D105" s="225" t="s">
        <v>20</v>
      </c>
      <c r="E105" s="222" t="n">
        <f aca="false">C105*E$116/C$116</f>
        <v>22</v>
      </c>
      <c r="F105" s="225" t="s">
        <v>20</v>
      </c>
      <c r="G105" s="323"/>
    </row>
    <row r="106" customFormat="false" ht="15" hidden="false" customHeight="false" outlineLevel="0" collapsed="false">
      <c r="A106" s="269"/>
      <c r="B106" s="225" t="s">
        <v>15</v>
      </c>
      <c r="C106" s="222" t="n">
        <v>0.333333333333333</v>
      </c>
      <c r="D106" s="225" t="s">
        <v>13</v>
      </c>
      <c r="E106" s="222" t="n">
        <f aca="false">C106*E$116/C$116</f>
        <v>6.6</v>
      </c>
      <c r="F106" s="225" t="s">
        <v>13</v>
      </c>
      <c r="G106" s="323"/>
    </row>
    <row r="107" customFormat="false" ht="15" hidden="false" customHeight="false" outlineLevel="0" collapsed="false">
      <c r="A107" s="269"/>
      <c r="B107" s="225" t="s">
        <v>651</v>
      </c>
      <c r="C107" s="222" t="n">
        <v>1</v>
      </c>
      <c r="D107" s="225" t="s">
        <v>13</v>
      </c>
      <c r="E107" s="222" t="n">
        <f aca="false">C107*E$116/C$116</f>
        <v>22</v>
      </c>
      <c r="F107" s="225" t="s">
        <v>13</v>
      </c>
      <c r="G107" s="323"/>
    </row>
    <row r="108" customFormat="false" ht="15" hidden="false" customHeight="false" outlineLevel="0" collapsed="false">
      <c r="A108" s="269"/>
      <c r="B108" s="225" t="s">
        <v>32</v>
      </c>
      <c r="C108" s="222" t="n">
        <v>1.33333333333333</v>
      </c>
      <c r="D108" s="225" t="s">
        <v>20</v>
      </c>
      <c r="E108" s="222" t="n">
        <f aca="false">C108*E$116/C$116</f>
        <v>28.6</v>
      </c>
      <c r="F108" s="225" t="s">
        <v>20</v>
      </c>
      <c r="G108" s="323"/>
    </row>
    <row r="109" customFormat="false" ht="15" hidden="false" customHeight="false" outlineLevel="0" collapsed="false">
      <c r="A109" s="269"/>
      <c r="B109" s="225" t="s">
        <v>564</v>
      </c>
      <c r="C109" s="222" t="n">
        <v>0.5</v>
      </c>
      <c r="D109" s="225" t="s">
        <v>20</v>
      </c>
      <c r="E109" s="222" t="n">
        <f aca="false">C109*E$116/C$116</f>
        <v>11</v>
      </c>
      <c r="F109" s="225" t="s">
        <v>20</v>
      </c>
      <c r="G109" s="323"/>
    </row>
    <row r="110" customFormat="false" ht="15" hidden="false" customHeight="false" outlineLevel="0" collapsed="false">
      <c r="A110" s="269"/>
      <c r="B110" s="225" t="s">
        <v>7932</v>
      </c>
      <c r="C110" s="222" t="n">
        <v>1.33333333333333</v>
      </c>
      <c r="D110" s="225" t="s">
        <v>20</v>
      </c>
      <c r="E110" s="222" t="n">
        <f aca="false">C110*E$116/C$116</f>
        <v>28.6</v>
      </c>
      <c r="F110" s="225" t="s">
        <v>20</v>
      </c>
      <c r="G110" s="323"/>
    </row>
    <row r="111" customFormat="false" ht="15" hidden="false" customHeight="false" outlineLevel="0" collapsed="false">
      <c r="A111" s="269"/>
      <c r="B111" s="225" t="s">
        <v>7933</v>
      </c>
      <c r="C111" s="222" t="n">
        <v>0.166666666666667</v>
      </c>
      <c r="D111" s="225" t="s">
        <v>20</v>
      </c>
      <c r="E111" s="222" t="n">
        <f aca="false">C111*E$116/C$116</f>
        <v>4.4</v>
      </c>
      <c r="F111" s="225" t="s">
        <v>20</v>
      </c>
      <c r="G111" s="323"/>
    </row>
    <row r="112" customFormat="false" ht="15" hidden="false" customHeight="false" outlineLevel="0" collapsed="false">
      <c r="A112" s="269"/>
      <c r="B112" s="225" t="s">
        <v>947</v>
      </c>
      <c r="C112" s="222" t="n">
        <v>5.33333333333333</v>
      </c>
      <c r="D112" s="225" t="s">
        <v>13</v>
      </c>
      <c r="E112" s="222" t="n">
        <f aca="false">C112*E$116/C$116</f>
        <v>116.6</v>
      </c>
      <c r="F112" s="225" t="s">
        <v>13</v>
      </c>
      <c r="G112" s="323"/>
    </row>
    <row r="113" customFormat="false" ht="15" hidden="false" customHeight="false" outlineLevel="0" collapsed="false">
      <c r="A113" s="269"/>
      <c r="B113" s="225" t="s">
        <v>75</v>
      </c>
      <c r="C113" s="222" t="n">
        <v>1.33333333333333</v>
      </c>
      <c r="D113" s="225" t="s">
        <v>13</v>
      </c>
      <c r="E113" s="222" t="n">
        <f aca="false">C113*E$116/C$116</f>
        <v>28.6</v>
      </c>
      <c r="F113" s="225" t="s">
        <v>13</v>
      </c>
      <c r="G113" s="323"/>
    </row>
    <row r="114" customFormat="false" ht="15" hidden="false" customHeight="false" outlineLevel="0" collapsed="false">
      <c r="A114" s="269"/>
      <c r="B114" s="225" t="s">
        <v>557</v>
      </c>
      <c r="C114" s="222" t="n">
        <v>1.33333333333333</v>
      </c>
      <c r="D114" s="225" t="s">
        <v>20</v>
      </c>
      <c r="E114" s="222" t="n">
        <f aca="false">C114*E$116/C$116</f>
        <v>28.6</v>
      </c>
      <c r="F114" s="225" t="s">
        <v>20</v>
      </c>
      <c r="G114" s="323"/>
    </row>
    <row r="115" customFormat="false" ht="15" hidden="false" customHeight="false" outlineLevel="0" collapsed="false">
      <c r="A115" s="269"/>
      <c r="B115" s="326" t="s">
        <v>7881</v>
      </c>
      <c r="C115" s="259" t="n">
        <v>1</v>
      </c>
      <c r="D115" s="326" t="s">
        <v>27</v>
      </c>
      <c r="E115" s="259" t="n">
        <f aca="false">C115*E$116/C$116</f>
        <v>22</v>
      </c>
      <c r="F115" s="326" t="s">
        <v>27</v>
      </c>
      <c r="G115" s="323"/>
    </row>
    <row r="116" customFormat="false" ht="15" hidden="false" customHeight="false" outlineLevel="0" collapsed="false">
      <c r="A116" s="269"/>
      <c r="B116" s="326" t="s">
        <v>7881</v>
      </c>
      <c r="C116" s="259" t="n">
        <v>35</v>
      </c>
      <c r="D116" s="326" t="s">
        <v>13</v>
      </c>
      <c r="E116" s="279" t="n">
        <v>770</v>
      </c>
      <c r="F116" s="326" t="s">
        <v>13</v>
      </c>
      <c r="G116" s="323"/>
      <c r="H116" s="330"/>
      <c r="I116" s="331"/>
      <c r="J116" s="323"/>
      <c r="K116" s="330"/>
    </row>
    <row r="117" customFormat="false" ht="15" hidden="false" customHeight="false" outlineLevel="0" collapsed="false">
      <c r="A117" s="269"/>
      <c r="B117" s="225"/>
      <c r="C117" s="269"/>
      <c r="D117" s="225"/>
      <c r="E117" s="222"/>
      <c r="F117" s="225"/>
      <c r="G117" s="323"/>
      <c r="H117" s="330"/>
      <c r="I117" s="331"/>
      <c r="J117" s="323"/>
      <c r="K117" s="330"/>
    </row>
    <row r="118" customFormat="false" ht="15" hidden="false" customHeight="false" outlineLevel="0" collapsed="false">
      <c r="A118" s="269"/>
      <c r="B118" s="225"/>
      <c r="C118" s="269"/>
      <c r="D118" s="225"/>
      <c r="E118" s="222"/>
      <c r="F118" s="225"/>
      <c r="G118" s="323"/>
      <c r="H118" s="330"/>
      <c r="I118" s="331"/>
      <c r="J118" s="323"/>
      <c r="K118" s="330"/>
    </row>
    <row r="119" customFormat="false" ht="21" hidden="false" customHeight="false" outlineLevel="0" collapsed="false">
      <c r="A119" s="332"/>
      <c r="B119" s="325"/>
      <c r="C119" s="324"/>
      <c r="D119" s="324"/>
      <c r="E119" s="311"/>
      <c r="F119" s="324"/>
      <c r="G119" s="323"/>
      <c r="H119" s="330"/>
      <c r="I119" s="331"/>
      <c r="J119" s="323"/>
      <c r="K119" s="330"/>
    </row>
    <row r="120" customFormat="false" ht="15" hidden="false" customHeight="false" outlineLevel="0" collapsed="false">
      <c r="A120" s="300" t="s">
        <v>7934</v>
      </c>
      <c r="B120" s="300" t="s">
        <v>7934</v>
      </c>
      <c r="C120" s="301" t="s">
        <v>7935</v>
      </c>
      <c r="D120" s="301" t="s">
        <v>4</v>
      </c>
      <c r="E120" s="222"/>
      <c r="F120" s="301" t="s">
        <v>4</v>
      </c>
      <c r="G120" s="323"/>
      <c r="K120" s="330"/>
    </row>
    <row r="121" customFormat="false" ht="15" hidden="false" customHeight="false" outlineLevel="0" collapsed="false">
      <c r="A121" s="269"/>
      <c r="B121" s="300" t="s">
        <v>39</v>
      </c>
      <c r="C121" s="301" t="n">
        <v>18</v>
      </c>
      <c r="D121" s="301" t="s">
        <v>7</v>
      </c>
      <c r="E121" s="222" t="n">
        <f aca="false">C121*28.23</f>
        <v>508.1</v>
      </c>
      <c r="F121" s="301" t="s">
        <v>7</v>
      </c>
      <c r="G121" s="323"/>
      <c r="K121" s="330"/>
    </row>
    <row r="122" customFormat="false" ht="15" hidden="false" customHeight="false" outlineLevel="0" collapsed="false">
      <c r="A122" s="294"/>
      <c r="B122" s="300" t="s">
        <v>7936</v>
      </c>
      <c r="C122" s="301" t="n">
        <v>40</v>
      </c>
      <c r="D122" s="301" t="s">
        <v>7937</v>
      </c>
      <c r="E122" s="222" t="n">
        <f aca="false">C122*28.23</f>
        <v>1129.2</v>
      </c>
      <c r="F122" s="301" t="s">
        <v>7937</v>
      </c>
      <c r="G122" s="323"/>
      <c r="K122" s="330"/>
    </row>
    <row r="123" customFormat="false" ht="15" hidden="false" customHeight="false" outlineLevel="0" collapsed="false">
      <c r="A123" s="294"/>
      <c r="B123" s="300" t="s">
        <v>7938</v>
      </c>
      <c r="C123" s="301" t="n">
        <v>1</v>
      </c>
      <c r="D123" s="301" t="s">
        <v>13</v>
      </c>
      <c r="E123" s="222" t="n">
        <f aca="false">C123*28.23</f>
        <v>28.2</v>
      </c>
      <c r="F123" s="301" t="s">
        <v>13</v>
      </c>
      <c r="G123" s="323"/>
      <c r="K123" s="330"/>
    </row>
    <row r="124" customFormat="false" ht="15" hidden="false" customHeight="false" outlineLevel="0" collapsed="false">
      <c r="A124" s="269"/>
      <c r="B124" s="300" t="s">
        <v>570</v>
      </c>
      <c r="C124" s="301" t="n">
        <v>0.5</v>
      </c>
      <c r="D124" s="301" t="s">
        <v>20</v>
      </c>
      <c r="E124" s="222" t="n">
        <f aca="false">C124*28.23</f>
        <v>14.1</v>
      </c>
      <c r="F124" s="301" t="s">
        <v>20</v>
      </c>
      <c r="G124" s="323"/>
      <c r="K124" s="330"/>
    </row>
    <row r="125" customFormat="false" ht="15" hidden="false" customHeight="false" outlineLevel="0" collapsed="false">
      <c r="A125" s="269"/>
      <c r="B125" s="300" t="s">
        <v>577</v>
      </c>
      <c r="C125" s="301" t="n">
        <v>1</v>
      </c>
      <c r="D125" s="301" t="s">
        <v>20</v>
      </c>
      <c r="E125" s="222" t="n">
        <f aca="false">C125*28.23</f>
        <v>28.2</v>
      </c>
      <c r="F125" s="301" t="s">
        <v>20</v>
      </c>
      <c r="G125" s="323"/>
      <c r="K125" s="330"/>
    </row>
    <row r="126" customFormat="false" ht="15" hidden="false" customHeight="false" outlineLevel="0" collapsed="false">
      <c r="A126" s="269"/>
      <c r="B126" s="300" t="s">
        <v>562</v>
      </c>
      <c r="C126" s="301" t="n">
        <v>0.3</v>
      </c>
      <c r="D126" s="301" t="s">
        <v>20</v>
      </c>
      <c r="E126" s="222" t="n">
        <f aca="false">C126*28.23</f>
        <v>8.5</v>
      </c>
      <c r="F126" s="301" t="s">
        <v>20</v>
      </c>
      <c r="G126" s="323"/>
      <c r="K126" s="330"/>
    </row>
    <row r="127" customFormat="false" ht="15" hidden="false" customHeight="false" outlineLevel="0" collapsed="false">
      <c r="A127" s="269"/>
      <c r="B127" s="300" t="s">
        <v>543</v>
      </c>
      <c r="C127" s="301" t="n">
        <v>1</v>
      </c>
      <c r="D127" s="301" t="s">
        <v>20</v>
      </c>
      <c r="E127" s="222" t="n">
        <f aca="false">C127*28.23</f>
        <v>28.2</v>
      </c>
      <c r="F127" s="301" t="s">
        <v>20</v>
      </c>
      <c r="G127" s="323"/>
      <c r="K127" s="330"/>
    </row>
    <row r="128" customFormat="false" ht="15" hidden="false" customHeight="false" outlineLevel="0" collapsed="false">
      <c r="A128" s="269"/>
      <c r="B128" s="300" t="s">
        <v>563</v>
      </c>
      <c r="C128" s="301" t="n">
        <v>1</v>
      </c>
      <c r="D128" s="301" t="s">
        <v>20</v>
      </c>
      <c r="E128" s="222" t="n">
        <f aca="false">C128*28.23</f>
        <v>28.2</v>
      </c>
      <c r="F128" s="301" t="s">
        <v>20</v>
      </c>
      <c r="G128" s="323"/>
      <c r="I128" s="333"/>
      <c r="J128" s="333"/>
      <c r="K128" s="330"/>
      <c r="L128" s="333"/>
      <c r="M128" s="333"/>
    </row>
    <row r="129" customFormat="false" ht="15" hidden="false" customHeight="false" outlineLevel="0" collapsed="false">
      <c r="A129" s="269"/>
      <c r="B129" s="300" t="s">
        <v>609</v>
      </c>
      <c r="C129" s="301" t="n">
        <v>1</v>
      </c>
      <c r="D129" s="301" t="s">
        <v>20</v>
      </c>
      <c r="E129" s="222" t="n">
        <f aca="false">C129*28.23</f>
        <v>28.2</v>
      </c>
      <c r="F129" s="301" t="s">
        <v>20</v>
      </c>
      <c r="G129" s="323"/>
      <c r="I129" s="333"/>
      <c r="J129" s="333"/>
      <c r="K129" s="330"/>
      <c r="L129" s="333"/>
      <c r="M129" s="333"/>
    </row>
    <row r="130" customFormat="false" ht="15" hidden="false" customHeight="false" outlineLevel="0" collapsed="false">
      <c r="A130" s="269"/>
      <c r="B130" s="300" t="s">
        <v>23</v>
      </c>
      <c r="C130" s="301" t="n">
        <v>2</v>
      </c>
      <c r="D130" s="301" t="s">
        <v>13</v>
      </c>
      <c r="E130" s="222" t="n">
        <f aca="false">C130*28.23</f>
        <v>56.5</v>
      </c>
      <c r="F130" s="301" t="s">
        <v>13</v>
      </c>
      <c r="G130" s="323"/>
      <c r="I130" s="323"/>
      <c r="J130" s="323"/>
      <c r="K130" s="323"/>
      <c r="L130" s="323"/>
      <c r="M130" s="323"/>
      <c r="N130" s="331"/>
      <c r="O130" s="323"/>
    </row>
    <row r="131" customFormat="false" ht="15" hidden="false" customHeight="false" outlineLevel="0" collapsed="false">
      <c r="A131" s="269"/>
      <c r="B131" s="300" t="s">
        <v>539</v>
      </c>
      <c r="C131" s="301" t="n">
        <v>2</v>
      </c>
      <c r="D131" s="301" t="s">
        <v>107</v>
      </c>
      <c r="E131" s="222" t="n">
        <f aca="false">C131*28.23</f>
        <v>56.5</v>
      </c>
      <c r="F131" s="301" t="s">
        <v>107</v>
      </c>
      <c r="G131" s="323"/>
      <c r="I131" s="323"/>
      <c r="J131" s="323"/>
      <c r="K131" s="323"/>
      <c r="L131" s="323"/>
      <c r="M131" s="323"/>
      <c r="N131" s="331"/>
      <c r="O131" s="323"/>
    </row>
    <row r="132" customFormat="false" ht="18.75" hidden="false" customHeight="false" outlineLevel="0" collapsed="false">
      <c r="A132" s="269"/>
      <c r="B132" s="300" t="s">
        <v>26</v>
      </c>
      <c r="C132" s="301" t="n">
        <v>15</v>
      </c>
      <c r="D132" s="301" t="s">
        <v>13</v>
      </c>
      <c r="E132" s="222" t="n">
        <f aca="false">C132*28.23</f>
        <v>423.5</v>
      </c>
      <c r="F132" s="301" t="s">
        <v>13</v>
      </c>
      <c r="G132" s="323"/>
      <c r="I132" s="323"/>
      <c r="J132" s="334"/>
      <c r="K132" s="335"/>
      <c r="L132" s="336"/>
      <c r="M132" s="323"/>
      <c r="N132" s="331"/>
      <c r="O132" s="323"/>
    </row>
    <row r="133" customFormat="false" ht="18.75" hidden="false" customHeight="false" outlineLevel="0" collapsed="false">
      <c r="A133" s="294"/>
      <c r="B133" s="300"/>
      <c r="C133" s="301" t="n">
        <v>0.425</v>
      </c>
      <c r="D133" s="301" t="s">
        <v>47</v>
      </c>
      <c r="E133" s="222" t="n">
        <f aca="false">C133*28.23</f>
        <v>12</v>
      </c>
      <c r="F133" s="301" t="s">
        <v>47</v>
      </c>
      <c r="G133" s="323"/>
      <c r="I133" s="323"/>
      <c r="J133" s="334"/>
      <c r="K133" s="335"/>
      <c r="L133" s="336"/>
      <c r="M133" s="323"/>
      <c r="N133" s="331"/>
      <c r="O133" s="323"/>
    </row>
    <row r="134" customFormat="false" ht="15" hidden="false" customHeight="false" outlineLevel="0" collapsed="false">
      <c r="A134" s="269"/>
      <c r="B134" s="225"/>
      <c r="C134" s="269"/>
      <c r="D134" s="262"/>
      <c r="E134" s="222"/>
      <c r="F134" s="225"/>
      <c r="G134" s="323"/>
      <c r="I134" s="323"/>
      <c r="J134" s="337"/>
      <c r="K134" s="335"/>
      <c r="L134" s="331"/>
      <c r="M134" s="323"/>
      <c r="N134" s="331"/>
      <c r="O134" s="323"/>
    </row>
    <row r="135" customFormat="false" ht="15" hidden="false" customHeight="false" outlineLevel="0" collapsed="false">
      <c r="A135" s="269"/>
      <c r="B135" s="225"/>
      <c r="C135" s="269"/>
      <c r="D135" s="262"/>
      <c r="E135" s="222"/>
      <c r="F135" s="225"/>
      <c r="G135" s="323"/>
      <c r="I135" s="323"/>
      <c r="J135" s="337"/>
      <c r="K135" s="335"/>
      <c r="L135" s="331"/>
      <c r="M135" s="323"/>
      <c r="N135" s="331"/>
      <c r="O135" s="323"/>
    </row>
    <row r="136" customFormat="false" ht="15" hidden="false" customHeight="false" outlineLevel="0" collapsed="false">
      <c r="A136" s="269"/>
      <c r="B136" s="225"/>
      <c r="C136" s="269"/>
      <c r="D136" s="262"/>
      <c r="E136" s="222"/>
      <c r="F136" s="225"/>
      <c r="G136" s="323"/>
      <c r="I136" s="323"/>
      <c r="J136" s="337"/>
      <c r="K136" s="335"/>
      <c r="L136" s="331"/>
      <c r="M136" s="323"/>
      <c r="N136" s="331"/>
      <c r="O136" s="323"/>
    </row>
    <row r="137" customFormat="false" ht="15" hidden="false" customHeight="false" outlineLevel="0" collapsed="false">
      <c r="A137" s="298" t="s">
        <v>253</v>
      </c>
      <c r="B137" s="338" t="s">
        <v>2</v>
      </c>
      <c r="C137" s="339" t="s">
        <v>7935</v>
      </c>
      <c r="D137" s="340" t="s">
        <v>4</v>
      </c>
      <c r="E137" s="222"/>
      <c r="F137" s="340" t="s">
        <v>4</v>
      </c>
      <c r="G137" s="323"/>
      <c r="I137" s="323"/>
      <c r="J137" s="337"/>
      <c r="K137" s="335"/>
      <c r="L137" s="331"/>
      <c r="M137" s="323"/>
      <c r="N137" s="331"/>
      <c r="O137" s="323"/>
    </row>
    <row r="138" customFormat="false" ht="15" hidden="false" customHeight="false" outlineLevel="0" collapsed="false">
      <c r="A138" s="269"/>
      <c r="B138" s="225" t="s">
        <v>683</v>
      </c>
      <c r="C138" s="269" t="n">
        <v>2.5</v>
      </c>
      <c r="D138" s="262" t="s">
        <v>7</v>
      </c>
      <c r="E138" s="222" t="n">
        <f aca="false">C138*50</f>
        <v>125</v>
      </c>
      <c r="F138" s="262" t="s">
        <v>7</v>
      </c>
      <c r="G138" s="341"/>
      <c r="H138" s="335"/>
      <c r="I138" s="341"/>
      <c r="J138" s="337"/>
      <c r="K138" s="335"/>
      <c r="L138" s="331"/>
      <c r="M138" s="323"/>
      <c r="N138" s="331"/>
      <c r="O138" s="323"/>
    </row>
    <row r="139" customFormat="false" ht="15" hidden="false" customHeight="false" outlineLevel="0" collapsed="false">
      <c r="A139" s="342"/>
      <c r="B139" s="225" t="s">
        <v>684</v>
      </c>
      <c r="C139" s="269" t="n">
        <v>0.5</v>
      </c>
      <c r="D139" s="262" t="s">
        <v>7</v>
      </c>
      <c r="E139" s="222" t="n">
        <f aca="false">C139*50</f>
        <v>25</v>
      </c>
      <c r="F139" s="262" t="s">
        <v>7</v>
      </c>
      <c r="G139" s="341"/>
      <c r="H139" s="335"/>
      <c r="I139" s="341"/>
      <c r="J139" s="337"/>
      <c r="K139" s="335"/>
      <c r="L139" s="331"/>
      <c r="M139" s="323"/>
      <c r="N139" s="331"/>
      <c r="O139" s="323"/>
    </row>
    <row r="140" customFormat="false" ht="15" hidden="false" customHeight="false" outlineLevel="0" collapsed="false">
      <c r="A140" s="269"/>
      <c r="B140" s="225" t="s">
        <v>685</v>
      </c>
      <c r="C140" s="269" t="n">
        <v>25</v>
      </c>
      <c r="D140" s="262" t="s">
        <v>109</v>
      </c>
      <c r="E140" s="222" t="n">
        <f aca="false">C140*50</f>
        <v>1250</v>
      </c>
      <c r="F140" s="262" t="s">
        <v>109</v>
      </c>
      <c r="G140" s="341"/>
      <c r="H140" s="343"/>
      <c r="I140" s="341"/>
      <c r="J140" s="337"/>
      <c r="K140" s="335"/>
      <c r="L140" s="336"/>
      <c r="M140" s="323"/>
      <c r="N140" s="331"/>
      <c r="O140" s="323"/>
    </row>
    <row r="141" customFormat="false" ht="15" hidden="false" customHeight="false" outlineLevel="0" collapsed="false">
      <c r="A141" s="269"/>
      <c r="B141" s="225" t="s">
        <v>562</v>
      </c>
      <c r="C141" s="269" t="n">
        <v>0.25</v>
      </c>
      <c r="D141" s="262" t="s">
        <v>20</v>
      </c>
      <c r="E141" s="222" t="n">
        <f aca="false">C141*50</f>
        <v>12.5</v>
      </c>
      <c r="F141" s="262" t="s">
        <v>20</v>
      </c>
      <c r="G141" s="341"/>
      <c r="H141" s="343"/>
      <c r="I141" s="341"/>
      <c r="J141" s="337"/>
      <c r="K141" s="335"/>
      <c r="L141" s="336"/>
      <c r="M141" s="323"/>
      <c r="N141" s="331"/>
      <c r="O141" s="323"/>
    </row>
    <row r="142" customFormat="false" ht="15" hidden="false" customHeight="false" outlineLevel="0" collapsed="false">
      <c r="A142" s="269"/>
      <c r="B142" s="225" t="s">
        <v>40</v>
      </c>
      <c r="C142" s="269" t="n">
        <v>400</v>
      </c>
      <c r="D142" s="262" t="s">
        <v>109</v>
      </c>
      <c r="E142" s="222" t="n">
        <f aca="false">C142*50</f>
        <v>20000</v>
      </c>
      <c r="F142" s="262" t="s">
        <v>109</v>
      </c>
      <c r="G142" s="341"/>
      <c r="H142" s="335"/>
      <c r="I142" s="341"/>
      <c r="J142" s="337"/>
      <c r="K142" s="335"/>
      <c r="L142" s="336"/>
      <c r="M142" s="323"/>
      <c r="N142" s="331"/>
      <c r="O142" s="323"/>
    </row>
    <row r="143" customFormat="false" ht="15" hidden="false" customHeight="false" outlineLevel="0" collapsed="false">
      <c r="A143" s="269"/>
      <c r="B143" s="225" t="s">
        <v>21</v>
      </c>
      <c r="C143" s="269" t="n">
        <v>400</v>
      </c>
      <c r="D143" s="262" t="s">
        <v>109</v>
      </c>
      <c r="E143" s="222" t="n">
        <f aca="false">C143*50</f>
        <v>20000</v>
      </c>
      <c r="F143" s="262" t="s">
        <v>109</v>
      </c>
      <c r="G143" s="341"/>
      <c r="H143" s="335"/>
      <c r="I143" s="341"/>
      <c r="J143" s="344"/>
      <c r="K143" s="345"/>
      <c r="L143" s="346"/>
      <c r="M143" s="323"/>
      <c r="N143" s="331"/>
      <c r="O143" s="323"/>
    </row>
    <row r="144" customFormat="false" ht="15" hidden="false" customHeight="false" outlineLevel="0" collapsed="false">
      <c r="A144" s="269"/>
      <c r="B144" s="225" t="s">
        <v>686</v>
      </c>
      <c r="C144" s="269" t="n">
        <v>100</v>
      </c>
      <c r="D144" s="262" t="s">
        <v>109</v>
      </c>
      <c r="E144" s="222" t="n">
        <f aca="false">C144*50</f>
        <v>5000</v>
      </c>
      <c r="F144" s="262" t="s">
        <v>109</v>
      </c>
      <c r="G144" s="341"/>
      <c r="H144" s="335"/>
      <c r="I144" s="341"/>
      <c r="J144" s="344"/>
      <c r="K144" s="345"/>
      <c r="L144" s="346"/>
      <c r="M144" s="323"/>
      <c r="N144" s="331"/>
      <c r="O144" s="323"/>
    </row>
    <row r="145" customFormat="false" ht="15" hidden="false" customHeight="false" outlineLevel="0" collapsed="false">
      <c r="A145" s="269"/>
      <c r="B145" s="225" t="s">
        <v>18</v>
      </c>
      <c r="C145" s="269" t="n">
        <v>150</v>
      </c>
      <c r="D145" s="262" t="s">
        <v>109</v>
      </c>
      <c r="E145" s="222" t="n">
        <f aca="false">C145*50</f>
        <v>7500</v>
      </c>
      <c r="F145" s="262" t="s">
        <v>109</v>
      </c>
      <c r="G145" s="341"/>
      <c r="H145" s="335"/>
      <c r="I145" s="341"/>
      <c r="J145" s="337"/>
      <c r="K145" s="335"/>
      <c r="L145" s="336"/>
      <c r="M145" s="255"/>
      <c r="N145" s="331"/>
      <c r="O145" s="323"/>
    </row>
    <row r="146" customFormat="false" ht="15" hidden="false" customHeight="false" outlineLevel="0" collapsed="false">
      <c r="A146" s="269"/>
      <c r="B146" s="225" t="s">
        <v>32</v>
      </c>
      <c r="C146" s="269" t="n">
        <v>0.4</v>
      </c>
      <c r="D146" s="262" t="s">
        <v>20</v>
      </c>
      <c r="E146" s="222" t="n">
        <f aca="false">C146*50</f>
        <v>20</v>
      </c>
      <c r="F146" s="262" t="s">
        <v>20</v>
      </c>
      <c r="G146" s="341"/>
      <c r="H146" s="335"/>
      <c r="I146" s="341"/>
      <c r="J146" s="337"/>
      <c r="K146" s="345"/>
      <c r="L146" s="336"/>
      <c r="M146" s="323"/>
      <c r="N146" s="331"/>
      <c r="O146" s="323"/>
    </row>
    <row r="147" customFormat="false" ht="15" hidden="false" customHeight="false" outlineLevel="0" collapsed="false">
      <c r="A147" s="269"/>
      <c r="B147" s="225" t="s">
        <v>651</v>
      </c>
      <c r="C147" s="269" t="n">
        <v>1</v>
      </c>
      <c r="D147" s="262" t="s">
        <v>13</v>
      </c>
      <c r="E147" s="222" t="n">
        <f aca="false">C147*50</f>
        <v>50</v>
      </c>
      <c r="F147" s="262" t="s">
        <v>13</v>
      </c>
      <c r="G147" s="341"/>
      <c r="H147" s="335"/>
      <c r="I147" s="341"/>
      <c r="J147" s="337"/>
      <c r="K147" s="345"/>
      <c r="L147" s="336"/>
      <c r="M147" s="323"/>
      <c r="N147" s="331"/>
      <c r="O147" s="323"/>
    </row>
    <row r="148" customFormat="false" ht="15" hidden="false" customHeight="false" outlineLevel="0" collapsed="false">
      <c r="A148" s="269"/>
      <c r="B148" s="225" t="s">
        <v>668</v>
      </c>
      <c r="C148" s="269" t="n">
        <v>2</v>
      </c>
      <c r="D148" s="262" t="s">
        <v>7939</v>
      </c>
      <c r="E148" s="222" t="n">
        <f aca="false">C148*50</f>
        <v>100</v>
      </c>
      <c r="F148" s="262" t="s">
        <v>7939</v>
      </c>
      <c r="G148" s="347"/>
      <c r="H148" s="348"/>
      <c r="I148" s="330"/>
      <c r="J148" s="349"/>
      <c r="K148" s="347"/>
      <c r="L148" s="350"/>
      <c r="M148" s="351"/>
      <c r="N148" s="350"/>
      <c r="O148" s="323"/>
    </row>
    <row r="149" customFormat="false" ht="15" hidden="false" customHeight="false" outlineLevel="0" collapsed="false">
      <c r="A149" s="269"/>
      <c r="B149" s="225" t="s">
        <v>7674</v>
      </c>
      <c r="C149" s="269" t="n">
        <v>2</v>
      </c>
      <c r="D149" s="262" t="s">
        <v>7939</v>
      </c>
      <c r="E149" s="222" t="n">
        <f aca="false">C149*50</f>
        <v>100</v>
      </c>
      <c r="F149" s="262" t="s">
        <v>7939</v>
      </c>
      <c r="G149" s="323"/>
      <c r="I149" s="349"/>
      <c r="J149" s="349"/>
      <c r="K149" s="347"/>
      <c r="L149" s="349"/>
      <c r="M149" s="349"/>
      <c r="N149" s="285"/>
    </row>
    <row r="150" customFormat="false" ht="15" hidden="false" customHeight="false" outlineLevel="0" collapsed="false">
      <c r="A150" s="269"/>
      <c r="B150" s="225" t="s">
        <v>635</v>
      </c>
      <c r="C150" s="269" t="n">
        <v>0.5</v>
      </c>
      <c r="D150" s="262" t="s">
        <v>20</v>
      </c>
      <c r="E150" s="222" t="n">
        <f aca="false">C150*50</f>
        <v>25</v>
      </c>
      <c r="F150" s="262" t="s">
        <v>20</v>
      </c>
      <c r="G150" s="323"/>
      <c r="H150" s="330"/>
      <c r="I150" s="323"/>
      <c r="J150" s="323"/>
      <c r="K150" s="330"/>
      <c r="L150" s="323"/>
      <c r="M150" s="323"/>
      <c r="N150" s="323"/>
    </row>
    <row r="151" customFormat="false" ht="15" hidden="false" customHeight="false" outlineLevel="0" collapsed="false">
      <c r="A151" s="269"/>
      <c r="B151" s="225" t="s">
        <v>687</v>
      </c>
      <c r="C151" s="269" t="n">
        <v>11</v>
      </c>
      <c r="D151" s="262" t="s">
        <v>13</v>
      </c>
      <c r="E151" s="222" t="n">
        <f aca="false">C151*50</f>
        <v>550</v>
      </c>
      <c r="F151" s="262" t="s">
        <v>13</v>
      </c>
      <c r="G151" s="323"/>
      <c r="H151" s="330"/>
      <c r="I151" s="323"/>
      <c r="J151" s="323"/>
      <c r="K151" s="330"/>
      <c r="L151" s="323"/>
      <c r="M151" s="323"/>
      <c r="N151" s="323"/>
    </row>
    <row r="152" customFormat="false" ht="15" hidden="false" customHeight="false" outlineLevel="0" collapsed="false">
      <c r="A152" s="269"/>
      <c r="B152" s="225" t="s">
        <v>687</v>
      </c>
      <c r="C152" s="269" t="n">
        <v>0.3</v>
      </c>
      <c r="D152" s="262" t="s">
        <v>27</v>
      </c>
      <c r="E152" s="222" t="n">
        <f aca="false">C152*50</f>
        <v>15</v>
      </c>
      <c r="F152" s="262" t="s">
        <v>27</v>
      </c>
      <c r="G152" s="323"/>
      <c r="H152" s="330"/>
      <c r="I152" s="323"/>
      <c r="J152" s="323"/>
      <c r="K152" s="330"/>
      <c r="L152" s="323"/>
      <c r="M152" s="323"/>
      <c r="N152" s="323"/>
    </row>
    <row r="153" customFormat="false" ht="15.75" hidden="false" customHeight="false" outlineLevel="0" collapsed="false">
      <c r="A153" s="269"/>
      <c r="B153" s="225" t="s">
        <v>688</v>
      </c>
      <c r="C153" s="269" t="n">
        <v>100</v>
      </c>
      <c r="D153" s="262" t="s">
        <v>107</v>
      </c>
      <c r="E153" s="222" t="n">
        <f aca="false">C153*50</f>
        <v>5000</v>
      </c>
      <c r="F153" s="262" t="s">
        <v>107</v>
      </c>
      <c r="G153" s="323"/>
      <c r="H153" s="330"/>
      <c r="I153" s="352"/>
      <c r="J153" s="337"/>
      <c r="K153" s="335"/>
      <c r="L153" s="335"/>
      <c r="M153" s="349"/>
      <c r="N153" s="353"/>
    </row>
    <row r="154" s="207" customFormat="true" ht="15" hidden="false" customHeight="true" outlineLevel="0" collapsed="false">
      <c r="A154" s="298" t="s">
        <v>352</v>
      </c>
      <c r="B154" s="271"/>
      <c r="C154" s="269"/>
      <c r="D154" s="271"/>
      <c r="E154" s="283"/>
      <c r="F154" s="297"/>
      <c r="I154" s="349"/>
      <c r="J154" s="344"/>
      <c r="K154" s="354"/>
      <c r="L154" s="354"/>
      <c r="M154" s="349"/>
      <c r="N154" s="347"/>
    </row>
    <row r="155" customFormat="false" ht="15" hidden="false" customHeight="true" outlineLevel="0" collapsed="false">
      <c r="A155" s="355"/>
      <c r="B155" s="271" t="s">
        <v>689</v>
      </c>
      <c r="C155" s="269" t="n">
        <v>0.2</v>
      </c>
      <c r="D155" s="356" t="s">
        <v>13</v>
      </c>
      <c r="E155" s="222" t="n">
        <f aca="false">C155*E$168/C$168</f>
        <v>17.5</v>
      </c>
      <c r="F155" s="356" t="s">
        <v>13</v>
      </c>
      <c r="I155" s="323"/>
      <c r="J155" s="337"/>
      <c r="K155" s="335"/>
      <c r="L155" s="335"/>
      <c r="M155" s="323"/>
      <c r="N155" s="330"/>
    </row>
    <row r="156" customFormat="false" ht="15" hidden="false" customHeight="false" outlineLevel="0" collapsed="false">
      <c r="A156" s="269"/>
      <c r="B156" s="271" t="s">
        <v>562</v>
      </c>
      <c r="C156" s="269" t="n">
        <v>0.2</v>
      </c>
      <c r="D156" s="356" t="s">
        <v>20</v>
      </c>
      <c r="E156" s="222" t="n">
        <f aca="false">C156*E$168/C$168</f>
        <v>17.5</v>
      </c>
      <c r="F156" s="356" t="s">
        <v>20</v>
      </c>
      <c r="I156" s="349"/>
      <c r="J156" s="337"/>
      <c r="K156" s="335"/>
      <c r="L156" s="335"/>
      <c r="M156" s="323"/>
      <c r="N156" s="330"/>
    </row>
    <row r="157" customFormat="false" ht="15" hidden="false" customHeight="false" outlineLevel="0" collapsed="false">
      <c r="A157" s="269"/>
      <c r="B157" s="271" t="s">
        <v>690</v>
      </c>
      <c r="C157" s="269" t="n">
        <v>0.04</v>
      </c>
      <c r="D157" s="356" t="s">
        <v>7</v>
      </c>
      <c r="E157" s="222" t="n">
        <f aca="false">C157*E$168/C$168</f>
        <v>3.5</v>
      </c>
      <c r="F157" s="356" t="s">
        <v>7</v>
      </c>
      <c r="I157" s="323"/>
      <c r="J157" s="337"/>
      <c r="K157" s="335"/>
      <c r="L157" s="335"/>
      <c r="M157" s="323"/>
      <c r="N157" s="357"/>
    </row>
    <row r="158" customFormat="false" ht="15" hidden="false" customHeight="false" outlineLevel="0" collapsed="false">
      <c r="A158" s="269"/>
      <c r="B158" s="271" t="s">
        <v>542</v>
      </c>
      <c r="C158" s="269" t="n">
        <v>0.02</v>
      </c>
      <c r="D158" s="356" t="s">
        <v>7</v>
      </c>
      <c r="E158" s="222" t="n">
        <f aca="false">C158*E$168/C$168</f>
        <v>1.8</v>
      </c>
      <c r="F158" s="356" t="s">
        <v>7</v>
      </c>
      <c r="I158" s="323"/>
      <c r="J158" s="344"/>
      <c r="K158" s="335"/>
      <c r="L158" s="335"/>
      <c r="M158" s="323"/>
      <c r="N158" s="330"/>
    </row>
    <row r="159" customFormat="false" ht="15" hidden="false" customHeight="false" outlineLevel="0" collapsed="false">
      <c r="A159" s="269"/>
      <c r="B159" s="271" t="s">
        <v>668</v>
      </c>
      <c r="C159" s="269" t="n">
        <v>3.5</v>
      </c>
      <c r="D159" s="356" t="s">
        <v>13</v>
      </c>
      <c r="E159" s="222" t="n">
        <f aca="false">C159*E$168/C$168</f>
        <v>306.3</v>
      </c>
      <c r="F159" s="356" t="s">
        <v>13</v>
      </c>
      <c r="I159" s="323"/>
      <c r="J159" s="337"/>
      <c r="K159" s="335"/>
      <c r="L159" s="335"/>
      <c r="M159" s="323"/>
      <c r="N159" s="347"/>
    </row>
    <row r="160" customFormat="false" ht="15" hidden="false" customHeight="false" outlineLevel="0" collapsed="false">
      <c r="A160" s="269"/>
      <c r="B160" s="271" t="s">
        <v>21</v>
      </c>
      <c r="C160" s="269" t="n">
        <v>5</v>
      </c>
      <c r="D160" s="356" t="s">
        <v>7</v>
      </c>
      <c r="E160" s="222" t="n">
        <f aca="false">C160*E$168/C$168</f>
        <v>437.5</v>
      </c>
      <c r="F160" s="356" t="s">
        <v>7</v>
      </c>
      <c r="I160" s="349"/>
      <c r="J160" s="337"/>
      <c r="K160" s="335"/>
      <c r="L160" s="335"/>
      <c r="M160" s="323"/>
      <c r="N160" s="285"/>
    </row>
    <row r="161" customFormat="false" ht="15" hidden="false" customHeight="false" outlineLevel="0" collapsed="false">
      <c r="A161" s="269"/>
      <c r="B161" s="271" t="s">
        <v>32</v>
      </c>
      <c r="C161" s="269" t="n">
        <v>0.6</v>
      </c>
      <c r="D161" s="356" t="s">
        <v>20</v>
      </c>
      <c r="E161" s="222" t="n">
        <f aca="false">C161*E$168/C$168</f>
        <v>52.5</v>
      </c>
      <c r="F161" s="356" t="s">
        <v>20</v>
      </c>
      <c r="I161" s="358"/>
      <c r="J161" s="337"/>
      <c r="K161" s="335"/>
      <c r="L161" s="335"/>
      <c r="M161" s="323"/>
      <c r="N161" s="4"/>
    </row>
    <row r="162" customFormat="false" ht="15" hidden="false" customHeight="false" outlineLevel="0" collapsed="false">
      <c r="A162" s="269"/>
      <c r="B162" s="284" t="s">
        <v>584</v>
      </c>
      <c r="C162" s="269"/>
      <c r="D162" s="356"/>
      <c r="E162" s="222" t="n">
        <f aca="false">C162*E$168/C$168</f>
        <v>0</v>
      </c>
      <c r="F162" s="356"/>
      <c r="I162" s="333"/>
      <c r="J162" s="337"/>
      <c r="K162" s="335"/>
      <c r="L162" s="335"/>
      <c r="M162" s="335"/>
      <c r="N162" s="4"/>
    </row>
    <row r="163" customFormat="false" ht="15" hidden="false" customHeight="false" outlineLevel="0" collapsed="false">
      <c r="A163" s="269"/>
      <c r="B163" s="271" t="s">
        <v>689</v>
      </c>
      <c r="C163" s="269" t="n">
        <v>0.1</v>
      </c>
      <c r="D163" s="356" t="s">
        <v>13</v>
      </c>
      <c r="E163" s="222" t="n">
        <f aca="false">C163*E$168/C$168</f>
        <v>8.8</v>
      </c>
      <c r="F163" s="356" t="s">
        <v>13</v>
      </c>
      <c r="I163" s="333"/>
      <c r="J163" s="337"/>
      <c r="K163" s="335"/>
      <c r="L163" s="335"/>
      <c r="M163" s="335"/>
      <c r="N163" s="4"/>
    </row>
    <row r="164" customFormat="false" ht="15" hidden="false" customHeight="false" outlineLevel="0" collapsed="false">
      <c r="A164" s="269"/>
      <c r="B164" s="359" t="s">
        <v>570</v>
      </c>
      <c r="C164" s="301" t="n">
        <v>0.2</v>
      </c>
      <c r="D164" s="300" t="s">
        <v>20</v>
      </c>
      <c r="E164" s="222" t="n">
        <f aca="false">C164*E$168/C$168</f>
        <v>17.5</v>
      </c>
      <c r="F164" s="300" t="s">
        <v>20</v>
      </c>
      <c r="I164" s="333"/>
      <c r="J164" s="323"/>
      <c r="K164" s="360"/>
      <c r="L164" s="361"/>
      <c r="M164" s="333"/>
      <c r="N164" s="4"/>
    </row>
    <row r="165" customFormat="false" ht="15" hidden="false" customHeight="false" outlineLevel="0" collapsed="false">
      <c r="A165" s="269"/>
      <c r="B165" s="271" t="s">
        <v>14</v>
      </c>
      <c r="C165" s="269" t="n">
        <v>0.2</v>
      </c>
      <c r="D165" s="356" t="s">
        <v>20</v>
      </c>
      <c r="E165" s="222" t="n">
        <f aca="false">C165*E$168/C$168</f>
        <v>17.5</v>
      </c>
      <c r="F165" s="356" t="s">
        <v>20</v>
      </c>
      <c r="I165" s="333"/>
      <c r="J165" s="323"/>
      <c r="K165" s="360"/>
      <c r="L165" s="361"/>
      <c r="M165" s="333"/>
      <c r="N165" s="4"/>
    </row>
    <row r="166" customFormat="false" ht="15" hidden="false" customHeight="false" outlineLevel="0" collapsed="false">
      <c r="A166" s="269"/>
      <c r="B166" s="271" t="s">
        <v>586</v>
      </c>
      <c r="C166" s="269" t="n">
        <v>2</v>
      </c>
      <c r="D166" s="356" t="s">
        <v>20</v>
      </c>
      <c r="E166" s="222" t="n">
        <f aca="false">C166*E$168/C$168</f>
        <v>175</v>
      </c>
      <c r="F166" s="356" t="s">
        <v>20</v>
      </c>
      <c r="J166" s="1"/>
      <c r="K166" s="3"/>
      <c r="L166" s="4"/>
      <c r="N166" s="4"/>
    </row>
    <row r="167" customFormat="false" ht="15" hidden="false" customHeight="false" outlineLevel="0" collapsed="false">
      <c r="A167" s="269"/>
      <c r="B167" s="271" t="s">
        <v>26</v>
      </c>
      <c r="C167" s="269" t="n">
        <v>0.12</v>
      </c>
      <c r="D167" s="356" t="s">
        <v>27</v>
      </c>
      <c r="E167" s="222" t="n">
        <f aca="false">C167*E$168/C$168</f>
        <v>10.5</v>
      </c>
      <c r="F167" s="356" t="s">
        <v>27</v>
      </c>
      <c r="J167" s="1"/>
      <c r="K167" s="3"/>
      <c r="L167" s="4"/>
      <c r="N167" s="4"/>
    </row>
    <row r="168" customFormat="false" ht="15" hidden="false" customHeight="false" outlineLevel="0" collapsed="false">
      <c r="A168" s="269"/>
      <c r="B168" s="271" t="s">
        <v>26</v>
      </c>
      <c r="C168" s="301" t="n">
        <v>4</v>
      </c>
      <c r="D168" s="300" t="s">
        <v>13</v>
      </c>
      <c r="E168" s="222" t="n">
        <f aca="false">35*10</f>
        <v>350</v>
      </c>
      <c r="F168" s="300" t="s">
        <v>13</v>
      </c>
      <c r="I168" s="4"/>
      <c r="K168" s="3"/>
      <c r="L168" s="4"/>
      <c r="N168" s="4"/>
    </row>
    <row r="169" customFormat="false" ht="15" hidden="false" customHeight="false" outlineLevel="0" collapsed="false">
      <c r="A169" s="269"/>
      <c r="B169" s="271"/>
      <c r="C169" s="301"/>
      <c r="D169" s="300"/>
      <c r="E169" s="222"/>
      <c r="F169" s="300"/>
      <c r="I169" s="4"/>
      <c r="K169" s="3"/>
      <c r="L169" s="4"/>
      <c r="N169" s="4"/>
    </row>
    <row r="170" customFormat="false" ht="15" hidden="false" customHeight="false" outlineLevel="0" collapsed="false">
      <c r="A170" s="269" t="s">
        <v>7940</v>
      </c>
      <c r="B170" s="225" t="s">
        <v>577</v>
      </c>
      <c r="C170" s="269" t="n">
        <v>1.3</v>
      </c>
      <c r="D170" s="225" t="s">
        <v>7</v>
      </c>
      <c r="E170" s="222"/>
      <c r="F170" s="225"/>
    </row>
    <row r="171" customFormat="false" ht="15" hidden="false" customHeight="false" outlineLevel="0" collapsed="false">
      <c r="A171" s="269"/>
      <c r="B171" s="225"/>
      <c r="C171" s="269" t="n">
        <v>1.5</v>
      </c>
      <c r="D171" s="225" t="s">
        <v>13</v>
      </c>
      <c r="E171" s="222"/>
      <c r="F171" s="225"/>
    </row>
    <row r="172" customFormat="false" ht="15" hidden="false" customHeight="false" outlineLevel="0" collapsed="false">
      <c r="A172" s="269"/>
      <c r="B172" s="225" t="s">
        <v>676</v>
      </c>
      <c r="C172" s="269" t="n">
        <v>0.93</v>
      </c>
      <c r="D172" s="225" t="s">
        <v>7</v>
      </c>
      <c r="E172" s="222"/>
      <c r="F172" s="225"/>
    </row>
    <row r="173" customFormat="false" ht="15" hidden="false" customHeight="false" outlineLevel="0" collapsed="false">
      <c r="A173" s="269"/>
      <c r="B173" s="225"/>
      <c r="C173" s="269" t="n">
        <v>1</v>
      </c>
      <c r="D173" s="225" t="s">
        <v>13</v>
      </c>
      <c r="E173" s="222"/>
      <c r="F173" s="225"/>
    </row>
    <row r="174" customFormat="false" ht="15" hidden="false" customHeight="false" outlineLevel="0" collapsed="false">
      <c r="A174" s="269"/>
      <c r="B174" s="225" t="s">
        <v>7941</v>
      </c>
      <c r="C174" s="269" t="n">
        <v>0.45</v>
      </c>
      <c r="D174" s="225" t="s">
        <v>7</v>
      </c>
      <c r="E174" s="222"/>
      <c r="F174" s="225"/>
    </row>
    <row r="175" customFormat="false" ht="15" hidden="false" customHeight="false" outlineLevel="0" collapsed="false">
      <c r="A175" s="269"/>
      <c r="B175" s="225"/>
      <c r="C175" s="269" t="n">
        <v>0.5</v>
      </c>
      <c r="D175" s="225" t="s">
        <v>13</v>
      </c>
      <c r="E175" s="222"/>
      <c r="F175" s="225"/>
    </row>
    <row r="176" customFormat="false" ht="15" hidden="false" customHeight="false" outlineLevel="0" collapsed="false">
      <c r="A176" s="294"/>
      <c r="B176" s="225" t="s">
        <v>683</v>
      </c>
      <c r="C176" s="269" t="n">
        <v>0.95</v>
      </c>
      <c r="D176" s="225" t="s">
        <v>7</v>
      </c>
      <c r="E176" s="294"/>
      <c r="F176" s="294"/>
    </row>
    <row r="177" customFormat="false" ht="15" hidden="false" customHeight="false" outlineLevel="0" collapsed="false">
      <c r="A177" s="294"/>
      <c r="B177" s="225"/>
      <c r="C177" s="269" t="n">
        <v>1</v>
      </c>
      <c r="D177" s="225" t="s">
        <v>13</v>
      </c>
      <c r="E177" s="294"/>
      <c r="F177" s="294"/>
    </row>
    <row r="178" customFormat="false" ht="15" hidden="false" customHeight="false" outlineLevel="0" collapsed="false">
      <c r="A178" s="294"/>
      <c r="B178" s="225" t="s">
        <v>543</v>
      </c>
      <c r="C178" s="269" t="n">
        <v>75</v>
      </c>
      <c r="D178" s="225" t="s">
        <v>109</v>
      </c>
      <c r="E178" s="294"/>
      <c r="F178" s="294"/>
    </row>
    <row r="179" customFormat="false" ht="15" hidden="false" customHeight="false" outlineLevel="0" collapsed="false">
      <c r="A179" s="294"/>
      <c r="B179" s="225" t="s">
        <v>945</v>
      </c>
      <c r="C179" s="269" t="n">
        <v>0.5</v>
      </c>
      <c r="D179" s="225" t="s">
        <v>7</v>
      </c>
      <c r="E179" s="294"/>
      <c r="F179" s="294"/>
    </row>
    <row r="180" customFormat="false" ht="15" hidden="false" customHeight="false" outlineLevel="0" collapsed="false">
      <c r="A180" s="294"/>
      <c r="B180" s="225" t="s">
        <v>651</v>
      </c>
      <c r="C180" s="269" t="n">
        <v>3</v>
      </c>
      <c r="D180" s="225" t="s">
        <v>13</v>
      </c>
      <c r="E180" s="294"/>
      <c r="F180" s="294"/>
    </row>
    <row r="181" customFormat="false" ht="15" hidden="false" customHeight="false" outlineLevel="0" collapsed="false">
      <c r="A181" s="294"/>
      <c r="B181" s="225" t="s">
        <v>12</v>
      </c>
      <c r="C181" s="269" t="n">
        <v>1</v>
      </c>
      <c r="D181" s="225" t="s">
        <v>20</v>
      </c>
      <c r="E181" s="294"/>
      <c r="F181" s="294"/>
    </row>
    <row r="182" customFormat="false" ht="15" hidden="false" customHeight="false" outlineLevel="0" collapsed="false">
      <c r="A182" s="294"/>
      <c r="B182" s="225" t="s">
        <v>32</v>
      </c>
      <c r="C182" s="269" t="n">
        <v>0.5</v>
      </c>
      <c r="D182" s="225" t="s">
        <v>20</v>
      </c>
      <c r="E182" s="294"/>
      <c r="F182" s="294"/>
    </row>
    <row r="183" customFormat="false" ht="15" hidden="false" customHeight="false" outlineLevel="0" collapsed="false">
      <c r="A183" s="294"/>
      <c r="B183" s="225" t="s">
        <v>23</v>
      </c>
      <c r="C183" s="269" t="n">
        <v>1</v>
      </c>
      <c r="D183" s="225" t="s">
        <v>13</v>
      </c>
      <c r="E183" s="294"/>
      <c r="F183" s="294"/>
    </row>
    <row r="184" customFormat="false" ht="15" hidden="false" customHeight="false" outlineLevel="0" collapsed="false">
      <c r="A184" s="294"/>
      <c r="B184" s="225" t="s">
        <v>562</v>
      </c>
      <c r="C184" s="269" t="n">
        <v>0.2</v>
      </c>
      <c r="D184" s="225" t="s">
        <v>20</v>
      </c>
      <c r="E184" s="294"/>
      <c r="F184" s="294"/>
    </row>
    <row r="185" customFormat="false" ht="15" hidden="false" customHeight="false" outlineLevel="0" collapsed="false">
      <c r="A185" s="294"/>
      <c r="B185" s="225" t="s">
        <v>7942</v>
      </c>
      <c r="C185" s="269" t="n">
        <v>0.25</v>
      </c>
      <c r="D185" s="225" t="s">
        <v>20</v>
      </c>
      <c r="E185" s="294"/>
      <c r="F185" s="294"/>
    </row>
    <row r="186" customFormat="false" ht="15" hidden="false" customHeight="false" outlineLevel="0" collapsed="false">
      <c r="A186" s="294"/>
      <c r="B186" s="225" t="s">
        <v>26</v>
      </c>
      <c r="C186" s="269" t="n">
        <v>200</v>
      </c>
      <c r="D186" s="225" t="s">
        <v>107</v>
      </c>
      <c r="E186" s="294"/>
      <c r="F186" s="294"/>
    </row>
    <row r="188" customFormat="false" ht="15" hidden="false" customHeight="false" outlineLevel="0" collapsed="false">
      <c r="A188" s="342" t="s">
        <v>7943</v>
      </c>
      <c r="B188" s="362" t="s">
        <v>7944</v>
      </c>
      <c r="C188" s="363" t="s">
        <v>7935</v>
      </c>
      <c r="D188" s="363" t="s">
        <v>4</v>
      </c>
      <c r="E188" s="222"/>
      <c r="F188" s="225"/>
    </row>
    <row r="189" customFormat="false" ht="15" hidden="false" customHeight="false" outlineLevel="0" collapsed="false">
      <c r="A189" s="269"/>
      <c r="B189" s="225" t="s">
        <v>575</v>
      </c>
      <c r="C189" s="269" t="n">
        <v>7</v>
      </c>
      <c r="D189" s="225" t="s">
        <v>7</v>
      </c>
      <c r="E189" s="222"/>
      <c r="F189" s="225"/>
    </row>
    <row r="190" customFormat="false" ht="15" hidden="false" customHeight="false" outlineLevel="0" collapsed="false">
      <c r="A190" s="269"/>
      <c r="B190" s="225" t="s">
        <v>578</v>
      </c>
      <c r="C190" s="269" t="n">
        <v>20</v>
      </c>
      <c r="D190" s="225" t="s">
        <v>7939</v>
      </c>
      <c r="E190" s="222"/>
      <c r="F190" s="225"/>
    </row>
    <row r="191" customFormat="false" ht="15" hidden="false" customHeight="false" outlineLevel="0" collapsed="false">
      <c r="A191" s="269"/>
      <c r="B191" s="225" t="s">
        <v>7823</v>
      </c>
      <c r="C191" s="269" t="n">
        <v>21</v>
      </c>
      <c r="D191" s="225" t="s">
        <v>7</v>
      </c>
      <c r="E191" s="222"/>
      <c r="F191" s="225"/>
    </row>
    <row r="192" customFormat="false" ht="15" hidden="false" customHeight="false" outlineLevel="0" collapsed="false">
      <c r="A192" s="269"/>
      <c r="B192" s="225" t="s">
        <v>22</v>
      </c>
      <c r="C192" s="269" t="n">
        <v>8</v>
      </c>
      <c r="D192" s="225" t="s">
        <v>7939</v>
      </c>
      <c r="E192" s="222"/>
      <c r="F192" s="225"/>
    </row>
    <row r="193" customFormat="false" ht="15" hidden="false" customHeight="false" outlineLevel="0" collapsed="false">
      <c r="A193" s="269"/>
      <c r="B193" s="225" t="s">
        <v>7945</v>
      </c>
      <c r="C193" s="269" t="n">
        <v>0.75</v>
      </c>
      <c r="D193" s="225" t="s">
        <v>20</v>
      </c>
      <c r="E193" s="222"/>
      <c r="F193" s="225"/>
    </row>
    <row r="194" customFormat="false" ht="15" hidden="false" customHeight="false" outlineLevel="0" collapsed="false">
      <c r="A194" s="269"/>
      <c r="B194" s="225" t="s">
        <v>7946</v>
      </c>
      <c r="C194" s="269" t="n">
        <v>3</v>
      </c>
      <c r="D194" s="225" t="s">
        <v>7947</v>
      </c>
      <c r="E194" s="222"/>
      <c r="F194" s="225"/>
    </row>
    <row r="195" customFormat="false" ht="15" hidden="false" customHeight="false" outlineLevel="0" collapsed="false">
      <c r="A195" s="269"/>
      <c r="B195" s="225" t="s">
        <v>7948</v>
      </c>
      <c r="C195" s="269" t="n">
        <v>2</v>
      </c>
      <c r="D195" s="225" t="s">
        <v>7949</v>
      </c>
      <c r="E195" s="222"/>
      <c r="F195" s="225"/>
    </row>
    <row r="196" customFormat="false" ht="15" hidden="false" customHeight="false" outlineLevel="0" collapsed="false">
      <c r="A196" s="269"/>
      <c r="B196" s="225" t="s">
        <v>46</v>
      </c>
      <c r="C196" s="269" t="n">
        <v>1</v>
      </c>
      <c r="D196" s="225" t="s">
        <v>27</v>
      </c>
      <c r="E196" s="222"/>
      <c r="F196" s="225"/>
    </row>
    <row r="197" customFormat="false" ht="15" hidden="false" customHeight="false" outlineLevel="0" collapsed="false">
      <c r="A197" s="269"/>
      <c r="B197" s="364" t="s">
        <v>46</v>
      </c>
      <c r="C197" s="269" t="n">
        <v>35</v>
      </c>
      <c r="D197" s="225" t="s">
        <v>7939</v>
      </c>
      <c r="E197" s="222"/>
      <c r="F197" s="225"/>
    </row>
    <row r="198" customFormat="false" ht="15" hidden="false" customHeight="false" outlineLevel="0" collapsed="false">
      <c r="A198" s="269"/>
      <c r="B198" s="225"/>
      <c r="C198" s="269"/>
      <c r="D198" s="225"/>
      <c r="E198" s="222"/>
      <c r="F198" s="225"/>
    </row>
  </sheetData>
  <mergeCells count="4">
    <mergeCell ref="A3:A4"/>
    <mergeCell ref="A15:A16"/>
    <mergeCell ref="A43:A44"/>
    <mergeCell ref="A69:A7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33"/>
  <sheetViews>
    <sheetView showFormulas="false" showGridLines="true" showRowColHeaders="true" showZeros="true" rightToLeft="false" tabSelected="false" showOutlineSymbols="true" defaultGridColor="true" view="normal" topLeftCell="A79" colorId="64" zoomScale="85" zoomScaleNormal="85" zoomScalePageLayoutView="100" workbookViewId="0">
      <selection pane="topLeft" activeCell="H129" activeCellId="0" sqref="H129"/>
    </sheetView>
  </sheetViews>
  <sheetFormatPr defaultRowHeight="15" outlineLevelRow="0" outlineLevelCol="0"/>
  <cols>
    <col collapsed="false" customWidth="true" hidden="false" outlineLevel="0" max="1" min="1" style="0" width="13.63"/>
    <col collapsed="false" customWidth="true" hidden="false" outlineLevel="0" max="2" min="2" style="4" width="28.38"/>
    <col collapsed="false" customWidth="true" hidden="false" outlineLevel="0" max="3" min="3" style="0" width="7.51"/>
    <col collapsed="false" customWidth="true" hidden="false" outlineLevel="0" max="4" min="4" style="3" width="4.88"/>
    <col collapsed="false" customWidth="true" hidden="false" outlineLevel="0" max="5" min="5" style="2" width="8.64"/>
    <col collapsed="false" customWidth="true" hidden="false" outlineLevel="0" max="6" min="6" style="0" width="4.88"/>
    <col collapsed="false" customWidth="true" hidden="false" outlineLevel="0" max="7" min="7" style="0" width="5"/>
    <col collapsed="false" customWidth="true" hidden="false" outlineLevel="0" max="8" min="8" style="0" width="4.5"/>
    <col collapsed="false" customWidth="true" hidden="false" outlineLevel="0" max="9" min="9" style="0" width="23.75"/>
    <col collapsed="false" customWidth="true" hidden="false" outlineLevel="0" max="10" min="10" style="0" width="8.51"/>
    <col collapsed="false" customWidth="true" hidden="false" outlineLevel="0" max="11" min="11" style="0" width="23.75"/>
    <col collapsed="false" customWidth="true" hidden="false" outlineLevel="0" max="13" min="12" style="0" width="8.88"/>
    <col collapsed="false" customWidth="true" hidden="false" outlineLevel="0" max="1025" min="14" style="0" width="8.51"/>
  </cols>
  <sheetData>
    <row r="1" customFormat="false" ht="15" hidden="false" customHeight="false" outlineLevel="0" collapsed="false">
      <c r="A1" s="365" t="s">
        <v>7950</v>
      </c>
      <c r="B1" s="9"/>
      <c r="C1" s="5"/>
      <c r="D1" s="8"/>
      <c r="E1" s="7"/>
      <c r="F1" s="5"/>
      <c r="G1" s="5"/>
      <c r="H1" s="5"/>
    </row>
    <row r="2" customFormat="false" ht="15" hidden="false" customHeight="false" outlineLevel="0" collapsed="false">
      <c r="A2" s="366" t="s">
        <v>250</v>
      </c>
      <c r="B2" s="367" t="s">
        <v>2</v>
      </c>
      <c r="C2" s="368" t="s">
        <v>3</v>
      </c>
      <c r="D2" s="369" t="s">
        <v>4</v>
      </c>
      <c r="E2" s="368" t="s">
        <v>5</v>
      </c>
      <c r="F2" s="368" t="s">
        <v>4</v>
      </c>
    </row>
    <row r="3" customFormat="false" ht="15" hidden="false" customHeight="false" outlineLevel="0" collapsed="false">
      <c r="A3" s="255"/>
      <c r="B3" s="312" t="s">
        <v>7817</v>
      </c>
      <c r="C3" s="256" t="n">
        <v>25</v>
      </c>
      <c r="D3" s="303" t="s">
        <v>7</v>
      </c>
      <c r="E3" s="256" t="n">
        <f aca="false">C3*2</f>
        <v>50</v>
      </c>
      <c r="F3" s="303" t="s">
        <v>7</v>
      </c>
    </row>
    <row r="4" customFormat="false" ht="15" hidden="false" customHeight="false" outlineLevel="0" collapsed="false">
      <c r="A4" s="286"/>
      <c r="B4" s="280" t="s">
        <v>11</v>
      </c>
      <c r="C4" s="303" t="n">
        <v>5</v>
      </c>
      <c r="D4" s="303" t="s">
        <v>7</v>
      </c>
      <c r="E4" s="256" t="n">
        <f aca="false">C4*2</f>
        <v>10</v>
      </c>
      <c r="F4" s="303" t="s">
        <v>7</v>
      </c>
    </row>
    <row r="5" customFormat="false" ht="15" hidden="false" customHeight="false" outlineLevel="0" collapsed="false">
      <c r="A5" s="286"/>
      <c r="B5" s="312" t="s">
        <v>10</v>
      </c>
      <c r="C5" s="303" t="n">
        <v>5</v>
      </c>
      <c r="D5" s="303" t="s">
        <v>7</v>
      </c>
      <c r="E5" s="256" t="n">
        <f aca="false">C5*2</f>
        <v>10</v>
      </c>
      <c r="F5" s="303" t="s">
        <v>7</v>
      </c>
    </row>
    <row r="6" customFormat="false" ht="15" hidden="false" customHeight="false" outlineLevel="0" collapsed="false">
      <c r="A6" s="255"/>
      <c r="B6" s="312" t="s">
        <v>7818</v>
      </c>
      <c r="C6" s="256" t="n">
        <v>5</v>
      </c>
      <c r="D6" s="303" t="s">
        <v>7</v>
      </c>
      <c r="E6" s="256" t="n">
        <f aca="false">C6*2</f>
        <v>10</v>
      </c>
      <c r="F6" s="303" t="s">
        <v>7</v>
      </c>
    </row>
    <row r="7" customFormat="false" ht="15" hidden="false" customHeight="false" outlineLevel="0" collapsed="false">
      <c r="A7" s="255"/>
      <c r="B7" s="312" t="s">
        <v>738</v>
      </c>
      <c r="C7" s="256" t="n">
        <v>5</v>
      </c>
      <c r="D7" s="303" t="s">
        <v>7</v>
      </c>
      <c r="E7" s="256" t="n">
        <f aca="false">C7*2</f>
        <v>10</v>
      </c>
      <c r="F7" s="303" t="s">
        <v>7</v>
      </c>
    </row>
    <row r="8" customFormat="false" ht="15" hidden="false" customHeight="false" outlineLevel="0" collapsed="false">
      <c r="A8" s="255"/>
      <c r="B8" s="312" t="s">
        <v>7819</v>
      </c>
      <c r="C8" s="256" t="n">
        <v>7.5</v>
      </c>
      <c r="D8" s="303" t="s">
        <v>13</v>
      </c>
      <c r="E8" s="256" t="n">
        <f aca="false">C8*2</f>
        <v>15</v>
      </c>
      <c r="F8" s="303" t="s">
        <v>13</v>
      </c>
    </row>
    <row r="9" customFormat="false" ht="15" hidden="false" customHeight="false" outlineLevel="0" collapsed="false">
      <c r="A9" s="255"/>
      <c r="B9" s="312" t="s">
        <v>672</v>
      </c>
      <c r="C9" s="256" t="n">
        <v>2.5</v>
      </c>
      <c r="D9" s="303" t="s">
        <v>20</v>
      </c>
      <c r="E9" s="256" t="n">
        <f aca="false">C9*2</f>
        <v>5</v>
      </c>
      <c r="F9" s="303" t="s">
        <v>20</v>
      </c>
    </row>
    <row r="10" customFormat="false" ht="15" hidden="false" customHeight="false" outlineLevel="0" collapsed="false">
      <c r="A10" s="255"/>
      <c r="B10" s="312" t="s">
        <v>14</v>
      </c>
      <c r="C10" s="256" t="n">
        <v>2.5</v>
      </c>
      <c r="D10" s="303" t="s">
        <v>20</v>
      </c>
      <c r="E10" s="256" t="n">
        <f aca="false">C10*2</f>
        <v>5</v>
      </c>
      <c r="F10" s="303" t="s">
        <v>20</v>
      </c>
    </row>
    <row r="11" customFormat="false" ht="15" hidden="false" customHeight="false" outlineLevel="0" collapsed="false">
      <c r="A11" s="286"/>
      <c r="B11" s="280" t="s">
        <v>16</v>
      </c>
      <c r="C11" s="303" t="n">
        <v>0.5</v>
      </c>
      <c r="D11" s="303" t="s">
        <v>13</v>
      </c>
      <c r="E11" s="256" t="n">
        <f aca="false">C11*2</f>
        <v>1</v>
      </c>
      <c r="F11" s="303" t="s">
        <v>13</v>
      </c>
    </row>
    <row r="12" customFormat="false" ht="15" hidden="false" customHeight="false" outlineLevel="0" collapsed="false">
      <c r="A12" s="286"/>
      <c r="B12" s="312" t="s">
        <v>651</v>
      </c>
      <c r="C12" s="303" t="n">
        <v>2</v>
      </c>
      <c r="D12" s="303" t="s">
        <v>13</v>
      </c>
      <c r="E12" s="256" t="n">
        <f aca="false">C12*2</f>
        <v>4</v>
      </c>
      <c r="F12" s="303" t="s">
        <v>13</v>
      </c>
    </row>
    <row r="13" customFormat="false" ht="15" hidden="false" customHeight="false" outlineLevel="0" collapsed="false">
      <c r="A13" s="255"/>
      <c r="B13" s="312" t="s">
        <v>18</v>
      </c>
      <c r="C13" s="256" t="n">
        <v>1</v>
      </c>
      <c r="D13" s="303" t="s">
        <v>13</v>
      </c>
      <c r="E13" s="256" t="n">
        <f aca="false">C13*2</f>
        <v>2</v>
      </c>
      <c r="F13" s="303" t="s">
        <v>13</v>
      </c>
    </row>
    <row r="14" customFormat="false" ht="15" hidden="false" customHeight="false" outlineLevel="0" collapsed="false">
      <c r="A14" s="255"/>
      <c r="B14" s="4" t="s">
        <v>15</v>
      </c>
      <c r="C14" s="256" t="n">
        <v>1</v>
      </c>
      <c r="D14" s="303" t="s">
        <v>13</v>
      </c>
      <c r="E14" s="256" t="n">
        <f aca="false">C14*2</f>
        <v>2</v>
      </c>
      <c r="F14" s="303" t="s">
        <v>13</v>
      </c>
    </row>
    <row r="15" customFormat="false" ht="15" hidden="false" customHeight="false" outlineLevel="0" collapsed="false">
      <c r="A15" s="255"/>
      <c r="B15" s="312" t="s">
        <v>650</v>
      </c>
      <c r="C15" s="256" t="n">
        <v>0.5</v>
      </c>
      <c r="D15" s="303" t="s">
        <v>20</v>
      </c>
      <c r="E15" s="256" t="n">
        <f aca="false">C15*2</f>
        <v>1</v>
      </c>
      <c r="F15" s="303" t="s">
        <v>20</v>
      </c>
    </row>
    <row r="16" customFormat="false" ht="15" hidden="false" customHeight="false" outlineLevel="0" collapsed="false">
      <c r="A16" s="255"/>
      <c r="B16" s="312" t="s">
        <v>648</v>
      </c>
      <c r="C16" s="256" t="n">
        <v>0.75</v>
      </c>
      <c r="D16" s="303" t="s">
        <v>20</v>
      </c>
      <c r="E16" s="256" t="n">
        <f aca="false">C16*2</f>
        <v>1.6</v>
      </c>
      <c r="F16" s="303" t="s">
        <v>20</v>
      </c>
    </row>
    <row r="17" customFormat="false" ht="15" hidden="false" customHeight="false" outlineLevel="0" collapsed="false">
      <c r="A17" s="255"/>
      <c r="B17" s="312" t="s">
        <v>32</v>
      </c>
      <c r="C17" s="256" t="n">
        <v>4.5</v>
      </c>
      <c r="D17" s="303" t="s">
        <v>20</v>
      </c>
      <c r="E17" s="256" t="n">
        <f aca="false">C17*2</f>
        <v>9</v>
      </c>
      <c r="F17" s="303" t="s">
        <v>20</v>
      </c>
    </row>
    <row r="18" customFormat="false" ht="15" hidden="false" customHeight="false" outlineLevel="0" collapsed="false">
      <c r="A18" s="286"/>
      <c r="B18" s="280" t="s">
        <v>652</v>
      </c>
      <c r="C18" s="303" t="n">
        <v>3</v>
      </c>
      <c r="D18" s="303" t="s">
        <v>13</v>
      </c>
      <c r="E18" s="256" t="n">
        <f aca="false">C18*2</f>
        <v>6</v>
      </c>
      <c r="F18" s="303" t="s">
        <v>13</v>
      </c>
    </row>
    <row r="19" customFormat="false" ht="15" hidden="false" customHeight="false" outlineLevel="0" collapsed="false">
      <c r="A19" s="286"/>
      <c r="B19" s="312" t="s">
        <v>557</v>
      </c>
      <c r="C19" s="303" t="n">
        <v>1</v>
      </c>
      <c r="D19" s="303" t="s">
        <v>13</v>
      </c>
      <c r="E19" s="256" t="n">
        <f aca="false">C19*2</f>
        <v>2</v>
      </c>
      <c r="F19" s="303" t="s">
        <v>13</v>
      </c>
    </row>
    <row r="20" customFormat="false" ht="15" hidden="false" customHeight="false" outlineLevel="0" collapsed="false">
      <c r="A20" s="255"/>
      <c r="B20" s="312" t="s">
        <v>7821</v>
      </c>
      <c r="C20" s="256" t="n">
        <v>1</v>
      </c>
      <c r="D20" s="303" t="s">
        <v>20</v>
      </c>
      <c r="E20" s="256" t="n">
        <f aca="false">C20*2</f>
        <v>2</v>
      </c>
      <c r="F20" s="303" t="s">
        <v>20</v>
      </c>
    </row>
    <row r="21" customFormat="false" ht="15" hidden="false" customHeight="false" outlineLevel="0" collapsed="false">
      <c r="A21" s="255"/>
      <c r="B21" s="370" t="s">
        <v>26</v>
      </c>
      <c r="C21" s="371" t="n">
        <v>3.25</v>
      </c>
      <c r="D21" s="372" t="s">
        <v>27</v>
      </c>
      <c r="E21" s="256" t="n">
        <f aca="false">C21*2</f>
        <v>6.6</v>
      </c>
      <c r="F21" s="372" t="s">
        <v>27</v>
      </c>
    </row>
    <row r="22" customFormat="false" ht="15" hidden="false" customHeight="false" outlineLevel="0" collapsed="false">
      <c r="A22" s="255"/>
      <c r="B22" s="370" t="s">
        <v>26</v>
      </c>
      <c r="C22" s="371" t="n">
        <f aca="false">35*C21</f>
        <v>115.5</v>
      </c>
      <c r="D22" s="372" t="s">
        <v>13</v>
      </c>
      <c r="E22" s="256" t="n">
        <f aca="false">C22*2</f>
        <v>231</v>
      </c>
      <c r="F22" s="372" t="s">
        <v>13</v>
      </c>
    </row>
    <row r="23" customFormat="false" ht="15" hidden="false" customHeight="false" outlineLevel="0" collapsed="false">
      <c r="A23" s="286"/>
      <c r="B23" s="280"/>
      <c r="C23" s="286"/>
      <c r="D23" s="315"/>
      <c r="E23" s="303"/>
      <c r="F23" s="286"/>
    </row>
    <row r="24" customFormat="false" ht="15" hidden="false" customHeight="false" outlineLevel="0" collapsed="false">
      <c r="A24" s="286"/>
      <c r="B24" s="312"/>
      <c r="C24" s="286"/>
      <c r="D24" s="315"/>
      <c r="E24" s="303"/>
      <c r="F24" s="255"/>
    </row>
    <row r="25" customFormat="false" ht="14.45" hidden="false" customHeight="true" outlineLevel="0" collapsed="false">
      <c r="A25" s="373" t="s">
        <v>7822</v>
      </c>
      <c r="B25" s="374" t="s">
        <v>2</v>
      </c>
      <c r="C25" s="375" t="s">
        <v>3</v>
      </c>
      <c r="D25" s="376" t="s">
        <v>4</v>
      </c>
      <c r="E25" s="375" t="s">
        <v>5</v>
      </c>
      <c r="F25" s="375" t="s">
        <v>4</v>
      </c>
    </row>
    <row r="26" customFormat="false" ht="15" hidden="false" customHeight="false" outlineLevel="0" collapsed="false">
      <c r="A26" s="373"/>
      <c r="B26" s="312" t="s">
        <v>7823</v>
      </c>
      <c r="C26" s="256" t="n">
        <v>3.8</v>
      </c>
      <c r="D26" s="303" t="s">
        <v>61</v>
      </c>
      <c r="E26" s="256" t="n">
        <f aca="false">C26*E$33/C$33</f>
        <v>95</v>
      </c>
      <c r="F26" s="256" t="s">
        <v>61</v>
      </c>
    </row>
    <row r="27" customFormat="false" ht="15" hidden="false" customHeight="false" outlineLevel="0" collapsed="false">
      <c r="A27" s="255"/>
      <c r="B27" s="312" t="s">
        <v>18</v>
      </c>
      <c r="C27" s="256" t="n">
        <v>1</v>
      </c>
      <c r="D27" s="303" t="s">
        <v>13</v>
      </c>
      <c r="E27" s="256" t="n">
        <f aca="false">C27*E$33/C$33</f>
        <v>25</v>
      </c>
      <c r="F27" s="256" t="s">
        <v>13</v>
      </c>
    </row>
    <row r="28" customFormat="false" ht="15" hidden="false" customHeight="false" outlineLevel="0" collapsed="false">
      <c r="A28" s="255"/>
      <c r="B28" s="312" t="s">
        <v>30</v>
      </c>
      <c r="C28" s="256" t="n">
        <v>0.2</v>
      </c>
      <c r="D28" s="303" t="s">
        <v>68</v>
      </c>
      <c r="E28" s="256" t="n">
        <f aca="false">C28*E$33/C$33</f>
        <v>5</v>
      </c>
      <c r="F28" s="256" t="s">
        <v>68</v>
      </c>
    </row>
    <row r="29" customFormat="false" ht="15" hidden="false" customHeight="false" outlineLevel="0" collapsed="false">
      <c r="A29" s="255"/>
      <c r="B29" s="312" t="s">
        <v>37</v>
      </c>
      <c r="C29" s="256" t="n">
        <v>0.4</v>
      </c>
      <c r="D29" s="303" t="s">
        <v>13</v>
      </c>
      <c r="E29" s="256" t="n">
        <f aca="false">C29*E$33/C$33</f>
        <v>10</v>
      </c>
      <c r="F29" s="256" t="s">
        <v>13</v>
      </c>
    </row>
    <row r="30" customFormat="false" ht="15" hidden="false" customHeight="false" outlineLevel="0" collapsed="false">
      <c r="A30" s="286"/>
      <c r="B30" s="280" t="s">
        <v>604</v>
      </c>
      <c r="C30" s="377" t="n">
        <v>0.5</v>
      </c>
      <c r="D30" s="303" t="s">
        <v>13</v>
      </c>
      <c r="E30" s="256" t="n">
        <f aca="false">C30*E$33/C$33</f>
        <v>12.5</v>
      </c>
      <c r="F30" s="303" t="s">
        <v>13</v>
      </c>
    </row>
    <row r="31" customFormat="false" ht="15" hidden="false" customHeight="false" outlineLevel="0" collapsed="false">
      <c r="A31" s="286"/>
      <c r="B31" s="312" t="s">
        <v>758</v>
      </c>
      <c r="C31" s="303" t="n">
        <v>16</v>
      </c>
      <c r="D31" s="303" t="s">
        <v>109</v>
      </c>
      <c r="E31" s="256" t="n">
        <f aca="false">C31*E$33/C$33</f>
        <v>400</v>
      </c>
      <c r="F31" s="256" t="s">
        <v>109</v>
      </c>
    </row>
    <row r="32" customFormat="false" ht="15" hidden="false" customHeight="false" outlineLevel="0" collapsed="false">
      <c r="A32" s="255"/>
      <c r="B32" s="370" t="s">
        <v>26</v>
      </c>
      <c r="C32" s="371" t="n">
        <v>1</v>
      </c>
      <c r="D32" s="372" t="s">
        <v>27</v>
      </c>
      <c r="E32" s="256" t="n">
        <f aca="false">C32*E$33/C$33</f>
        <v>25</v>
      </c>
      <c r="F32" s="371" t="s">
        <v>27</v>
      </c>
    </row>
    <row r="33" customFormat="false" ht="15" hidden="false" customHeight="false" outlineLevel="0" collapsed="false">
      <c r="A33" s="255"/>
      <c r="B33" s="370" t="s">
        <v>26</v>
      </c>
      <c r="C33" s="371" t="n">
        <v>35</v>
      </c>
      <c r="D33" s="372" t="s">
        <v>13</v>
      </c>
      <c r="E33" s="378" t="n">
        <v>875</v>
      </c>
      <c r="F33" s="371" t="s">
        <v>13</v>
      </c>
    </row>
    <row r="36" customFormat="false" ht="15" hidden="false" customHeight="false" outlineLevel="0" collapsed="false">
      <c r="A36" s="379"/>
      <c r="B36" s="298" t="s">
        <v>196</v>
      </c>
      <c r="C36" s="294"/>
      <c r="D36" s="294"/>
      <c r="E36" s="298"/>
      <c r="F36" s="298"/>
      <c r="G36" s="294"/>
      <c r="H36" s="294"/>
      <c r="K36" s="380" t="s">
        <v>196</v>
      </c>
    </row>
    <row r="37" customFormat="false" ht="15" hidden="false" customHeight="false" outlineLevel="0" collapsed="false">
      <c r="A37" s="379"/>
      <c r="B37" s="294" t="s">
        <v>691</v>
      </c>
      <c r="C37" s="294"/>
      <c r="D37" s="294"/>
      <c r="E37" s="269"/>
      <c r="F37" s="270"/>
      <c r="G37" s="294"/>
      <c r="H37" s="294"/>
      <c r="K37" s="0" t="s">
        <v>691</v>
      </c>
    </row>
    <row r="38" customFormat="false" ht="15.75" hidden="false" customHeight="false" outlineLevel="0" collapsed="false">
      <c r="A38" s="381"/>
      <c r="B38" s="294" t="s">
        <v>692</v>
      </c>
      <c r="C38" s="294" t="n">
        <v>10</v>
      </c>
      <c r="D38" s="294" t="s">
        <v>7</v>
      </c>
      <c r="E38" s="269" t="n">
        <f aca="false">C38*0.9</f>
        <v>9</v>
      </c>
      <c r="F38" s="294" t="s">
        <v>7</v>
      </c>
      <c r="G38" s="294"/>
      <c r="H38" s="294"/>
      <c r="K38" s="0" t="s">
        <v>692</v>
      </c>
      <c r="L38" s="0" t="n">
        <v>10</v>
      </c>
      <c r="M38" s="0" t="s">
        <v>7</v>
      </c>
    </row>
    <row r="39" customFormat="false" ht="15" hidden="false" customHeight="false" outlineLevel="0" collapsed="false">
      <c r="A39" s="262"/>
      <c r="B39" s="294" t="s">
        <v>693</v>
      </c>
      <c r="C39" s="294" t="n">
        <v>6</v>
      </c>
      <c r="D39" s="294" t="s">
        <v>13</v>
      </c>
      <c r="E39" s="269" t="n">
        <f aca="false">C39*0.9</f>
        <v>5.4</v>
      </c>
      <c r="F39" s="294" t="s">
        <v>13</v>
      </c>
      <c r="G39" s="294"/>
      <c r="H39" s="294"/>
      <c r="K39" s="0" t="s">
        <v>693</v>
      </c>
      <c r="L39" s="0" t="n">
        <v>6</v>
      </c>
      <c r="M39" s="0" t="s">
        <v>13</v>
      </c>
    </row>
    <row r="40" customFormat="false" ht="15" hidden="false" customHeight="false" outlineLevel="0" collapsed="false">
      <c r="A40" s="262"/>
      <c r="B40" s="294" t="s">
        <v>544</v>
      </c>
      <c r="C40" s="294" t="n">
        <v>3</v>
      </c>
      <c r="D40" s="294" t="s">
        <v>13</v>
      </c>
      <c r="E40" s="269" t="n">
        <f aca="false">C40*0.9</f>
        <v>2.7</v>
      </c>
      <c r="F40" s="294" t="s">
        <v>13</v>
      </c>
      <c r="G40" s="294"/>
      <c r="H40" s="294"/>
      <c r="K40" s="0" t="s">
        <v>544</v>
      </c>
      <c r="L40" s="0" t="n">
        <v>3</v>
      </c>
      <c r="M40" s="0" t="s">
        <v>13</v>
      </c>
    </row>
    <row r="41" customFormat="false" ht="15" hidden="false" customHeight="false" outlineLevel="0" collapsed="false">
      <c r="A41" s="262"/>
      <c r="B41" s="225" t="s">
        <v>675</v>
      </c>
      <c r="C41" s="294" t="n">
        <v>600</v>
      </c>
      <c r="D41" s="294" t="s">
        <v>107</v>
      </c>
      <c r="E41" s="269" t="n">
        <f aca="false">C41*0.9</f>
        <v>540</v>
      </c>
      <c r="F41" s="294" t="s">
        <v>107</v>
      </c>
      <c r="G41" s="294"/>
      <c r="H41" s="294"/>
      <c r="K41" s="331" t="s">
        <v>675</v>
      </c>
      <c r="L41" s="0" t="n">
        <v>600</v>
      </c>
      <c r="M41" s="0" t="s">
        <v>107</v>
      </c>
    </row>
    <row r="42" customFormat="false" ht="15" hidden="false" customHeight="false" outlineLevel="0" collapsed="false">
      <c r="A42" s="262"/>
      <c r="B42" s="294" t="s">
        <v>694</v>
      </c>
      <c r="C42" s="294" t="n">
        <v>3</v>
      </c>
      <c r="D42" s="294" t="s">
        <v>13</v>
      </c>
      <c r="E42" s="269" t="n">
        <f aca="false">C42*0.9</f>
        <v>2.7</v>
      </c>
      <c r="F42" s="294" t="s">
        <v>13</v>
      </c>
      <c r="G42" s="294"/>
      <c r="H42" s="294"/>
      <c r="K42" s="0" t="s">
        <v>694</v>
      </c>
      <c r="L42" s="0" t="n">
        <v>3</v>
      </c>
      <c r="M42" s="0" t="s">
        <v>13</v>
      </c>
    </row>
    <row r="43" customFormat="false" ht="15" hidden="false" customHeight="false" outlineLevel="0" collapsed="false">
      <c r="A43" s="262"/>
      <c r="B43" s="294" t="s">
        <v>695</v>
      </c>
      <c r="C43" s="294"/>
      <c r="D43" s="294"/>
      <c r="E43" s="269" t="n">
        <f aca="false">C43*0.9</f>
        <v>0</v>
      </c>
      <c r="F43" s="294"/>
      <c r="G43" s="294"/>
      <c r="H43" s="262"/>
      <c r="K43" s="0" t="s">
        <v>695</v>
      </c>
    </row>
    <row r="44" customFormat="false" ht="15" hidden="false" customHeight="false" outlineLevel="0" collapsed="false">
      <c r="A44" s="262"/>
      <c r="B44" s="294" t="s">
        <v>696</v>
      </c>
      <c r="C44" s="294" t="n">
        <v>40</v>
      </c>
      <c r="D44" s="294" t="s">
        <v>13</v>
      </c>
      <c r="E44" s="269" t="n">
        <f aca="false">C44*0.9</f>
        <v>36</v>
      </c>
      <c r="F44" s="294" t="s">
        <v>13</v>
      </c>
      <c r="G44" s="294"/>
      <c r="H44" s="262"/>
      <c r="K44" s="0" t="s">
        <v>696</v>
      </c>
      <c r="L44" s="0" t="n">
        <v>40</v>
      </c>
      <c r="M44" s="0" t="s">
        <v>13</v>
      </c>
    </row>
    <row r="45" customFormat="false" ht="15" hidden="false" customHeight="false" outlineLevel="0" collapsed="false">
      <c r="A45" s="262"/>
      <c r="B45" s="294" t="s">
        <v>697</v>
      </c>
      <c r="C45" s="294" t="n">
        <v>3</v>
      </c>
      <c r="D45" s="294" t="s">
        <v>13</v>
      </c>
      <c r="E45" s="269" t="n">
        <f aca="false">C45*0.9</f>
        <v>2.7</v>
      </c>
      <c r="F45" s="294" t="s">
        <v>13</v>
      </c>
      <c r="G45" s="294"/>
      <c r="H45" s="262"/>
      <c r="K45" s="0" t="s">
        <v>697</v>
      </c>
      <c r="L45" s="0" t="n">
        <v>3</v>
      </c>
      <c r="M45" s="0" t="s">
        <v>13</v>
      </c>
    </row>
    <row r="46" customFormat="false" ht="15" hidden="false" customHeight="false" outlineLevel="0" collapsed="false">
      <c r="A46" s="262"/>
      <c r="B46" s="294" t="s">
        <v>698</v>
      </c>
      <c r="C46" s="294" t="n">
        <v>20</v>
      </c>
      <c r="D46" s="294" t="s">
        <v>13</v>
      </c>
      <c r="E46" s="269" t="n">
        <f aca="false">C46*0.9</f>
        <v>18</v>
      </c>
      <c r="F46" s="294" t="s">
        <v>13</v>
      </c>
      <c r="G46" s="294"/>
      <c r="H46" s="262"/>
      <c r="K46" s="0" t="s">
        <v>698</v>
      </c>
      <c r="L46" s="0" t="n">
        <v>20</v>
      </c>
      <c r="M46" s="0" t="s">
        <v>13</v>
      </c>
    </row>
    <row r="47" customFormat="false" ht="15" hidden="false" customHeight="false" outlineLevel="0" collapsed="false">
      <c r="A47" s="262"/>
      <c r="B47" s="294" t="s">
        <v>556</v>
      </c>
      <c r="C47" s="294" t="n">
        <v>15</v>
      </c>
      <c r="D47" s="294" t="s">
        <v>7</v>
      </c>
      <c r="E47" s="269" t="n">
        <f aca="false">C47*0.9</f>
        <v>13.5</v>
      </c>
      <c r="F47" s="294" t="s">
        <v>7</v>
      </c>
      <c r="G47" s="294"/>
      <c r="H47" s="294"/>
      <c r="K47" s="0" t="s">
        <v>556</v>
      </c>
      <c r="L47" s="0" t="n">
        <v>15</v>
      </c>
      <c r="M47" s="0" t="s">
        <v>7</v>
      </c>
    </row>
    <row r="48" customFormat="false" ht="15" hidden="false" customHeight="false" outlineLevel="0" collapsed="false">
      <c r="A48" s="262"/>
      <c r="B48" s="294" t="s">
        <v>699</v>
      </c>
      <c r="C48" s="294" t="n">
        <v>100</v>
      </c>
      <c r="D48" s="294" t="s">
        <v>7</v>
      </c>
      <c r="E48" s="269" t="n">
        <f aca="false">C48*0.9</f>
        <v>90</v>
      </c>
      <c r="F48" s="294" t="s">
        <v>7</v>
      </c>
      <c r="G48" s="294"/>
      <c r="H48" s="294"/>
      <c r="K48" s="0" t="s">
        <v>699</v>
      </c>
      <c r="L48" s="0" t="n">
        <v>100</v>
      </c>
      <c r="M48" s="0" t="s">
        <v>7</v>
      </c>
    </row>
    <row r="49" customFormat="false" ht="15" hidden="false" customHeight="false" outlineLevel="0" collapsed="false">
      <c r="A49" s="262"/>
      <c r="B49" s="294" t="s">
        <v>700</v>
      </c>
      <c r="C49" s="294" t="n">
        <v>50</v>
      </c>
      <c r="D49" s="294" t="s">
        <v>7</v>
      </c>
      <c r="E49" s="269" t="n">
        <f aca="false">C49*0.9</f>
        <v>45</v>
      </c>
      <c r="F49" s="294" t="s">
        <v>7</v>
      </c>
      <c r="G49" s="294"/>
      <c r="H49" s="294"/>
      <c r="K49" s="0" t="s">
        <v>700</v>
      </c>
      <c r="L49" s="0" t="n">
        <v>50</v>
      </c>
      <c r="M49" s="0" t="s">
        <v>7</v>
      </c>
    </row>
    <row r="50" customFormat="false" ht="15" hidden="false" customHeight="false" outlineLevel="0" collapsed="false">
      <c r="A50" s="262"/>
      <c r="B50" s="294" t="s">
        <v>701</v>
      </c>
      <c r="C50" s="294" t="n">
        <v>60</v>
      </c>
      <c r="D50" s="294" t="s">
        <v>7</v>
      </c>
      <c r="E50" s="269" t="n">
        <f aca="false">C50*0.9</f>
        <v>54</v>
      </c>
      <c r="F50" s="294" t="s">
        <v>7</v>
      </c>
      <c r="G50" s="294"/>
      <c r="H50" s="294"/>
      <c r="K50" s="0" t="s">
        <v>701</v>
      </c>
      <c r="L50" s="0" t="n">
        <v>60</v>
      </c>
      <c r="M50" s="0" t="s">
        <v>7</v>
      </c>
    </row>
    <row r="51" customFormat="false" ht="15" hidden="false" customHeight="false" outlineLevel="0" collapsed="false">
      <c r="A51" s="262"/>
      <c r="B51" s="294" t="s">
        <v>702</v>
      </c>
      <c r="C51" s="294" t="n">
        <v>60</v>
      </c>
      <c r="D51" s="294" t="s">
        <v>7</v>
      </c>
      <c r="E51" s="269" t="n">
        <f aca="false">C51*0.9</f>
        <v>54</v>
      </c>
      <c r="F51" s="294" t="s">
        <v>7</v>
      </c>
      <c r="G51" s="294"/>
      <c r="H51" s="294"/>
      <c r="K51" s="0" t="s">
        <v>702</v>
      </c>
      <c r="L51" s="0" t="n">
        <v>60</v>
      </c>
      <c r="M51" s="0" t="s">
        <v>7</v>
      </c>
    </row>
    <row r="52" customFormat="false" ht="15" hidden="false" customHeight="false" outlineLevel="0" collapsed="false">
      <c r="A52" s="262"/>
      <c r="B52" s="294" t="s">
        <v>691</v>
      </c>
      <c r="C52" s="294"/>
      <c r="D52" s="294"/>
      <c r="E52" s="269" t="n">
        <f aca="false">C52*0.9</f>
        <v>0</v>
      </c>
      <c r="F52" s="294"/>
      <c r="G52" s="294"/>
      <c r="H52" s="294"/>
      <c r="K52" s="0" t="s">
        <v>691</v>
      </c>
    </row>
    <row r="53" customFormat="false" ht="15" hidden="false" customHeight="false" outlineLevel="0" collapsed="false">
      <c r="A53" s="262"/>
      <c r="B53" s="294" t="s">
        <v>43</v>
      </c>
      <c r="C53" s="294" t="n">
        <v>300</v>
      </c>
      <c r="D53" s="294" t="s">
        <v>13</v>
      </c>
      <c r="E53" s="269" t="n">
        <f aca="false">C53*0.9</f>
        <v>270</v>
      </c>
      <c r="F53" s="294" t="s">
        <v>13</v>
      </c>
      <c r="G53" s="294"/>
      <c r="H53" s="294"/>
      <c r="K53" s="0" t="s">
        <v>43</v>
      </c>
      <c r="L53" s="0" t="n">
        <v>300</v>
      </c>
      <c r="M53" s="0" t="s">
        <v>13</v>
      </c>
    </row>
    <row r="54" customFormat="false" ht="15" hidden="false" customHeight="false" outlineLevel="0" collapsed="false">
      <c r="A54" s="262"/>
      <c r="B54" s="225" t="s">
        <v>703</v>
      </c>
      <c r="C54" s="294" t="n">
        <v>80</v>
      </c>
      <c r="D54" s="294" t="s">
        <v>13</v>
      </c>
      <c r="E54" s="269" t="n">
        <f aca="false">C54*0.9</f>
        <v>72</v>
      </c>
      <c r="F54" s="294" t="s">
        <v>13</v>
      </c>
      <c r="G54" s="294"/>
      <c r="H54" s="294"/>
      <c r="K54" s="331" t="s">
        <v>703</v>
      </c>
      <c r="L54" s="0" t="n">
        <v>80</v>
      </c>
      <c r="M54" s="0" t="s">
        <v>13</v>
      </c>
    </row>
    <row r="55" customFormat="false" ht="15" hidden="false" customHeight="false" outlineLevel="0" collapsed="false">
      <c r="A55" s="262"/>
      <c r="B55" s="225" t="s">
        <v>704</v>
      </c>
      <c r="C55" s="294" t="n">
        <v>6</v>
      </c>
      <c r="D55" s="294" t="s">
        <v>20</v>
      </c>
      <c r="E55" s="269" t="n">
        <f aca="false">C55*0.9</f>
        <v>5.4</v>
      </c>
      <c r="F55" s="294" t="s">
        <v>20</v>
      </c>
      <c r="G55" s="294"/>
      <c r="H55" s="294"/>
      <c r="K55" s="331" t="s">
        <v>704</v>
      </c>
      <c r="L55" s="0" t="n">
        <v>6</v>
      </c>
      <c r="M55" s="0" t="s">
        <v>20</v>
      </c>
    </row>
    <row r="56" customFormat="false" ht="15" hidden="false" customHeight="false" outlineLevel="0" collapsed="false">
      <c r="A56" s="262"/>
      <c r="B56" s="294" t="s">
        <v>282</v>
      </c>
      <c r="C56" s="294" t="n">
        <v>4</v>
      </c>
      <c r="D56" s="294" t="s">
        <v>13</v>
      </c>
      <c r="E56" s="269" t="n">
        <f aca="false">C56*0.9</f>
        <v>3.6</v>
      </c>
      <c r="F56" s="294" t="s">
        <v>13</v>
      </c>
      <c r="G56" s="294"/>
      <c r="H56" s="294"/>
      <c r="K56" s="0" t="s">
        <v>282</v>
      </c>
      <c r="L56" s="0" t="n">
        <v>4</v>
      </c>
      <c r="M56" s="0" t="s">
        <v>13</v>
      </c>
    </row>
    <row r="57" customFormat="false" ht="15" hidden="false" customHeight="false" outlineLevel="0" collapsed="false">
      <c r="A57" s="262"/>
      <c r="B57" s="294" t="s">
        <v>705</v>
      </c>
      <c r="C57" s="294" t="n">
        <v>40</v>
      </c>
      <c r="D57" s="294" t="s">
        <v>13</v>
      </c>
      <c r="E57" s="269" t="n">
        <f aca="false">C57*0.9</f>
        <v>36</v>
      </c>
      <c r="F57" s="294" t="s">
        <v>13</v>
      </c>
      <c r="G57" s="294"/>
      <c r="H57" s="294"/>
      <c r="K57" s="0" t="s">
        <v>705</v>
      </c>
      <c r="L57" s="0" t="n">
        <v>40</v>
      </c>
      <c r="M57" s="0" t="s">
        <v>13</v>
      </c>
    </row>
    <row r="58" customFormat="false" ht="15" hidden="false" customHeight="false" outlineLevel="0" collapsed="false">
      <c r="A58" s="262"/>
      <c r="B58" s="294" t="s">
        <v>26</v>
      </c>
      <c r="C58" s="294" t="n">
        <v>20</v>
      </c>
      <c r="D58" s="294" t="s">
        <v>706</v>
      </c>
      <c r="E58" s="269" t="n">
        <f aca="false">C58*0.9</f>
        <v>18</v>
      </c>
      <c r="F58" s="294" t="s">
        <v>706</v>
      </c>
      <c r="G58" s="294"/>
      <c r="H58" s="294"/>
      <c r="K58" s="0" t="s">
        <v>26</v>
      </c>
      <c r="L58" s="0" t="n">
        <v>20</v>
      </c>
      <c r="M58" s="0" t="s">
        <v>706</v>
      </c>
    </row>
    <row r="59" customFormat="false" ht="15" hidden="false" customHeight="false" outlineLevel="0" collapsed="false">
      <c r="A59" s="262"/>
      <c r="B59" s="225"/>
      <c r="C59" s="262"/>
      <c r="D59" s="271"/>
      <c r="E59" s="269"/>
      <c r="F59" s="271"/>
      <c r="G59" s="294"/>
      <c r="H59" s="294"/>
    </row>
    <row r="60" customFormat="false" ht="14.45" hidden="false" customHeight="true" outlineLevel="0" collapsed="false">
      <c r="A60" s="382" t="s">
        <v>7951</v>
      </c>
      <c r="B60" s="325" t="s">
        <v>2</v>
      </c>
      <c r="C60" s="324" t="s">
        <v>3</v>
      </c>
      <c r="D60" s="324" t="s">
        <v>4</v>
      </c>
      <c r="E60" s="324" t="s">
        <v>5</v>
      </c>
      <c r="F60" s="324" t="s">
        <v>4</v>
      </c>
      <c r="G60" s="262"/>
      <c r="H60" s="294"/>
    </row>
    <row r="61" customFormat="false" ht="15" hidden="false" customHeight="false" outlineLevel="0" collapsed="false">
      <c r="A61" s="382"/>
      <c r="B61" s="225" t="s">
        <v>575</v>
      </c>
      <c r="C61" s="262" t="n">
        <v>10</v>
      </c>
      <c r="D61" s="262" t="s">
        <v>61</v>
      </c>
      <c r="E61" s="269" t="n">
        <f aca="false">C61*2.5</f>
        <v>25</v>
      </c>
      <c r="F61" s="262" t="s">
        <v>61</v>
      </c>
      <c r="G61" s="262" t="n">
        <f aca="false">E61*2</f>
        <v>50</v>
      </c>
      <c r="H61" s="262" t="s">
        <v>61</v>
      </c>
    </row>
    <row r="62" customFormat="false" ht="15" hidden="false" customHeight="false" outlineLevel="0" collapsed="false">
      <c r="A62" s="262"/>
      <c r="B62" s="225" t="s">
        <v>32</v>
      </c>
      <c r="C62" s="262" t="n">
        <v>2.3</v>
      </c>
      <c r="D62" s="262" t="s">
        <v>68</v>
      </c>
      <c r="E62" s="269" t="n">
        <f aca="false">C62*2.5</f>
        <v>5.75</v>
      </c>
      <c r="F62" s="262" t="s">
        <v>68</v>
      </c>
      <c r="G62" s="262" t="n">
        <f aca="false">E62*2</f>
        <v>11.5</v>
      </c>
      <c r="H62" s="262" t="s">
        <v>68</v>
      </c>
    </row>
    <row r="63" customFormat="false" ht="15" hidden="false" customHeight="false" outlineLevel="0" collapsed="false">
      <c r="A63" s="262"/>
      <c r="B63" s="225" t="s">
        <v>707</v>
      </c>
      <c r="C63" s="262" t="n">
        <v>1</v>
      </c>
      <c r="D63" s="262" t="s">
        <v>13</v>
      </c>
      <c r="E63" s="269" t="n">
        <f aca="false">C63*2.5</f>
        <v>2.5</v>
      </c>
      <c r="F63" s="262" t="s">
        <v>13</v>
      </c>
      <c r="G63" s="262" t="n">
        <f aca="false">E63*2</f>
        <v>5</v>
      </c>
      <c r="H63" s="262" t="s">
        <v>13</v>
      </c>
    </row>
    <row r="64" customFormat="false" ht="15" hidden="false" customHeight="false" outlineLevel="0" collapsed="false">
      <c r="A64" s="262"/>
      <c r="B64" s="225" t="s">
        <v>704</v>
      </c>
      <c r="C64" s="262" t="n">
        <v>1</v>
      </c>
      <c r="D64" s="262" t="s">
        <v>68</v>
      </c>
      <c r="E64" s="269" t="n">
        <f aca="false">C64*2.5</f>
        <v>2.5</v>
      </c>
      <c r="F64" s="262" t="s">
        <v>68</v>
      </c>
      <c r="G64" s="262" t="n">
        <f aca="false">E64*2</f>
        <v>5</v>
      </c>
      <c r="H64" s="262" t="s">
        <v>68</v>
      </c>
    </row>
    <row r="65" customFormat="false" ht="15" hidden="false" customHeight="false" outlineLevel="0" collapsed="false">
      <c r="A65" s="262"/>
      <c r="B65" s="225" t="s">
        <v>708</v>
      </c>
      <c r="C65" s="262" t="n">
        <v>1</v>
      </c>
      <c r="D65" s="262" t="s">
        <v>13</v>
      </c>
      <c r="E65" s="269" t="n">
        <f aca="false">C65*2.5</f>
        <v>2.5</v>
      </c>
      <c r="F65" s="262" t="s">
        <v>13</v>
      </c>
      <c r="G65" s="262" t="n">
        <f aca="false">E65*2</f>
        <v>5</v>
      </c>
      <c r="H65" s="262" t="s">
        <v>13</v>
      </c>
    </row>
    <row r="66" customFormat="false" ht="15" hidden="false" customHeight="false" outlineLevel="0" collapsed="false">
      <c r="A66" s="262"/>
      <c r="B66" s="225" t="s">
        <v>54</v>
      </c>
      <c r="C66" s="262" t="n">
        <v>1.5</v>
      </c>
      <c r="D66" s="262" t="s">
        <v>68</v>
      </c>
      <c r="E66" s="269" t="n">
        <f aca="false">C66*2.5</f>
        <v>3.75</v>
      </c>
      <c r="F66" s="262" t="s">
        <v>68</v>
      </c>
      <c r="G66" s="262" t="n">
        <f aca="false">E66*2</f>
        <v>7.5</v>
      </c>
      <c r="H66" s="262" t="s">
        <v>68</v>
      </c>
    </row>
    <row r="67" customFormat="false" ht="15" hidden="false" customHeight="false" outlineLevel="0" collapsed="false">
      <c r="A67" s="262"/>
      <c r="B67" s="225" t="s">
        <v>709</v>
      </c>
      <c r="C67" s="262" t="n">
        <v>3</v>
      </c>
      <c r="D67" s="262" t="s">
        <v>61</v>
      </c>
      <c r="E67" s="269" t="n">
        <f aca="false">C67*2.5</f>
        <v>7.5</v>
      </c>
      <c r="F67" s="262" t="s">
        <v>61</v>
      </c>
      <c r="G67" s="262" t="n">
        <f aca="false">E67*2</f>
        <v>15</v>
      </c>
      <c r="H67" s="262" t="s">
        <v>61</v>
      </c>
    </row>
    <row r="68" customFormat="false" ht="15" hidden="false" customHeight="false" outlineLevel="0" collapsed="false">
      <c r="A68" s="262"/>
      <c r="B68" s="383" t="s">
        <v>7680</v>
      </c>
      <c r="C68" s="262" t="n">
        <v>3.5</v>
      </c>
      <c r="D68" s="262" t="s">
        <v>13</v>
      </c>
      <c r="E68" s="269" t="n">
        <f aca="false">C68*2.5</f>
        <v>8.75</v>
      </c>
      <c r="F68" s="262" t="s">
        <v>13</v>
      </c>
      <c r="G68" s="262" t="n">
        <f aca="false">E68*2</f>
        <v>17.5</v>
      </c>
      <c r="H68" s="262" t="s">
        <v>13</v>
      </c>
    </row>
    <row r="69" customFormat="false" ht="15" hidden="false" customHeight="false" outlineLevel="0" collapsed="false">
      <c r="A69" s="262"/>
      <c r="B69" s="225" t="s">
        <v>710</v>
      </c>
      <c r="C69" s="262" t="n">
        <v>2.5</v>
      </c>
      <c r="D69" s="262" t="s">
        <v>61</v>
      </c>
      <c r="E69" s="269" t="n">
        <f aca="false">C69*2.5</f>
        <v>6.25</v>
      </c>
      <c r="F69" s="262" t="s">
        <v>61</v>
      </c>
      <c r="G69" s="262" t="n">
        <f aca="false">E69*2</f>
        <v>12.5</v>
      </c>
      <c r="H69" s="262" t="s">
        <v>61</v>
      </c>
    </row>
    <row r="70" customFormat="false" ht="15" hidden="false" customHeight="false" outlineLevel="0" collapsed="false">
      <c r="A70" s="262"/>
      <c r="B70" s="383" t="s">
        <v>7684</v>
      </c>
      <c r="C70" s="262" t="n">
        <v>3</v>
      </c>
      <c r="D70" s="262" t="s">
        <v>13</v>
      </c>
      <c r="E70" s="269" t="n">
        <f aca="false">C70*2.5</f>
        <v>7.5</v>
      </c>
      <c r="F70" s="262" t="s">
        <v>13</v>
      </c>
      <c r="G70" s="262" t="n">
        <f aca="false">E70*2</f>
        <v>15</v>
      </c>
      <c r="H70" s="262" t="s">
        <v>13</v>
      </c>
    </row>
    <row r="71" customFormat="false" ht="15" hidden="false" customHeight="false" outlineLevel="0" collapsed="false">
      <c r="A71" s="262"/>
      <c r="B71" s="225" t="s">
        <v>711</v>
      </c>
      <c r="C71" s="262" t="n">
        <v>2.5</v>
      </c>
      <c r="D71" s="262" t="s">
        <v>61</v>
      </c>
      <c r="E71" s="269" t="n">
        <f aca="false">C71*2.5</f>
        <v>6.25</v>
      </c>
      <c r="F71" s="262" t="s">
        <v>61</v>
      </c>
      <c r="G71" s="262" t="n">
        <f aca="false">E71*2</f>
        <v>12.5</v>
      </c>
      <c r="H71" s="262" t="s">
        <v>61</v>
      </c>
    </row>
    <row r="72" customFormat="false" ht="15" hidden="false" customHeight="false" outlineLevel="0" collapsed="false">
      <c r="A72" s="262"/>
      <c r="B72" s="383" t="s">
        <v>7676</v>
      </c>
      <c r="C72" s="262" t="n">
        <v>3.5</v>
      </c>
      <c r="D72" s="262" t="s">
        <v>13</v>
      </c>
      <c r="E72" s="269" t="n">
        <f aca="false">C72*2.5</f>
        <v>8.75</v>
      </c>
      <c r="F72" s="262" t="s">
        <v>13</v>
      </c>
      <c r="G72" s="262" t="n">
        <f aca="false">E72*2</f>
        <v>17.5</v>
      </c>
      <c r="H72" s="262" t="s">
        <v>13</v>
      </c>
    </row>
    <row r="73" customFormat="false" ht="15" hidden="false" customHeight="false" outlineLevel="0" collapsed="false">
      <c r="A73" s="262"/>
      <c r="B73" s="225" t="s">
        <v>655</v>
      </c>
      <c r="C73" s="262" t="n">
        <v>2</v>
      </c>
      <c r="D73" s="262" t="s">
        <v>61</v>
      </c>
      <c r="E73" s="269" t="n">
        <f aca="false">C73*2.5</f>
        <v>5</v>
      </c>
      <c r="F73" s="262" t="s">
        <v>61</v>
      </c>
      <c r="G73" s="262" t="n">
        <f aca="false">E73*2</f>
        <v>10</v>
      </c>
      <c r="H73" s="262" t="s">
        <v>61</v>
      </c>
    </row>
    <row r="74" customFormat="false" ht="15" hidden="false" customHeight="false" outlineLevel="0" collapsed="false">
      <c r="A74" s="262"/>
      <c r="B74" s="383" t="s">
        <v>7673</v>
      </c>
      <c r="C74" s="262" t="n">
        <v>3</v>
      </c>
      <c r="D74" s="262" t="s">
        <v>13</v>
      </c>
      <c r="E74" s="269" t="n">
        <f aca="false">C74*2.5</f>
        <v>7.5</v>
      </c>
      <c r="F74" s="262" t="s">
        <v>13</v>
      </c>
      <c r="G74" s="262" t="n">
        <f aca="false">E74*2</f>
        <v>15</v>
      </c>
      <c r="H74" s="262" t="s">
        <v>13</v>
      </c>
    </row>
    <row r="75" customFormat="false" ht="15" hidden="false" customHeight="false" outlineLevel="0" collapsed="false">
      <c r="A75" s="262"/>
      <c r="B75" s="225" t="s">
        <v>712</v>
      </c>
      <c r="C75" s="262" t="n">
        <v>2</v>
      </c>
      <c r="D75" s="262" t="s">
        <v>61</v>
      </c>
      <c r="E75" s="269" t="n">
        <f aca="false">C75*2.5</f>
        <v>5</v>
      </c>
      <c r="F75" s="262" t="s">
        <v>61</v>
      </c>
      <c r="G75" s="262" t="n">
        <f aca="false">E75*2</f>
        <v>10</v>
      </c>
      <c r="H75" s="262" t="s">
        <v>61</v>
      </c>
    </row>
    <row r="76" customFormat="false" ht="15" hidden="false" customHeight="false" outlineLevel="0" collapsed="false">
      <c r="A76" s="262"/>
      <c r="B76" s="383" t="s">
        <v>7669</v>
      </c>
      <c r="C76" s="262" t="n">
        <v>3</v>
      </c>
      <c r="D76" s="262" t="s">
        <v>13</v>
      </c>
      <c r="E76" s="269" t="n">
        <f aca="false">C76*2.5</f>
        <v>7.5</v>
      </c>
      <c r="F76" s="262" t="s">
        <v>13</v>
      </c>
      <c r="G76" s="262" t="n">
        <f aca="false">E76*2</f>
        <v>15</v>
      </c>
      <c r="H76" s="262" t="s">
        <v>13</v>
      </c>
    </row>
    <row r="77" customFormat="false" ht="15" hidden="false" customHeight="false" outlineLevel="0" collapsed="false">
      <c r="A77" s="262"/>
      <c r="B77" s="225" t="s">
        <v>713</v>
      </c>
      <c r="C77" s="262" t="n">
        <v>1.5</v>
      </c>
      <c r="D77" s="262" t="s">
        <v>13</v>
      </c>
      <c r="E77" s="269" t="n">
        <f aca="false">C77*2.5</f>
        <v>3.75</v>
      </c>
      <c r="F77" s="262" t="s">
        <v>13</v>
      </c>
      <c r="G77" s="262" t="n">
        <f aca="false">E77*2</f>
        <v>7.5</v>
      </c>
      <c r="H77" s="262" t="s">
        <v>13</v>
      </c>
    </row>
    <row r="78" customFormat="false" ht="15" hidden="false" customHeight="false" outlineLevel="0" collapsed="false">
      <c r="A78" s="262"/>
      <c r="B78" s="225" t="s">
        <v>55</v>
      </c>
      <c r="C78" s="262" t="n">
        <v>0.5</v>
      </c>
      <c r="D78" s="262" t="s">
        <v>7</v>
      </c>
      <c r="E78" s="269" t="n">
        <f aca="false">C78*2.5</f>
        <v>1.25</v>
      </c>
      <c r="F78" s="262" t="s">
        <v>7</v>
      </c>
      <c r="G78" s="262" t="n">
        <f aca="false">E78*2</f>
        <v>2.5</v>
      </c>
      <c r="H78" s="262" t="s">
        <v>7</v>
      </c>
    </row>
    <row r="79" customFormat="false" ht="15" hidden="false" customHeight="false" outlineLevel="0" collapsed="false">
      <c r="A79" s="262"/>
      <c r="B79" s="225"/>
      <c r="C79" s="262"/>
      <c r="D79" s="270"/>
      <c r="E79" s="269"/>
      <c r="F79" s="294"/>
      <c r="G79" s="294"/>
      <c r="H79" s="294"/>
      <c r="J79" s="330"/>
      <c r="K79" s="231" t="s">
        <v>7824</v>
      </c>
      <c r="L79" s="323"/>
    </row>
    <row r="80" customFormat="false" ht="15.75" hidden="false" customHeight="false" outlineLevel="0" collapsed="false">
      <c r="B80" s="384" t="s">
        <v>247</v>
      </c>
      <c r="C80" s="324" t="s">
        <v>3</v>
      </c>
      <c r="D80" s="324" t="s">
        <v>4</v>
      </c>
      <c r="E80" s="324" t="s">
        <v>5</v>
      </c>
      <c r="F80" s="324" t="s">
        <v>4</v>
      </c>
      <c r="G80" s="324"/>
      <c r="H80" s="385"/>
      <c r="I80" s="386"/>
    </row>
    <row r="81" customFormat="false" ht="15.75" hidden="false" customHeight="false" outlineLevel="0" collapsed="false">
      <c r="A81" s="387"/>
      <c r="B81" s="225" t="s">
        <v>714</v>
      </c>
      <c r="C81" s="223" t="n">
        <v>1.66666666666667</v>
      </c>
      <c r="D81" s="271" t="s">
        <v>61</v>
      </c>
      <c r="E81" s="269" t="n">
        <f aca="false">C81*E$104/C$104</f>
        <v>42.5</v>
      </c>
      <c r="F81" s="225" t="s">
        <v>61</v>
      </c>
      <c r="G81" s="326"/>
      <c r="H81" s="294"/>
    </row>
    <row r="82" customFormat="false" ht="15.75" hidden="false" customHeight="false" outlineLevel="0" collapsed="false">
      <c r="A82" s="387"/>
      <c r="B82" s="225" t="s">
        <v>655</v>
      </c>
      <c r="C82" s="223" t="n">
        <v>2</v>
      </c>
      <c r="D82" s="271" t="s">
        <v>61</v>
      </c>
      <c r="E82" s="269" t="n">
        <f aca="false">C82*E$104/C$104</f>
        <v>50</v>
      </c>
      <c r="F82" s="225" t="s">
        <v>61</v>
      </c>
      <c r="G82" s="294"/>
      <c r="H82" s="294"/>
    </row>
    <row r="83" customFormat="false" ht="15" hidden="false" customHeight="false" outlineLevel="0" collapsed="false">
      <c r="A83" s="262"/>
      <c r="B83" s="225" t="s">
        <v>11</v>
      </c>
      <c r="C83" s="223" t="n">
        <v>1.33333333333333</v>
      </c>
      <c r="D83" s="271" t="s">
        <v>61</v>
      </c>
      <c r="E83" s="269" t="n">
        <f aca="false">C83*E$104/C$104</f>
        <v>32.5</v>
      </c>
      <c r="F83" s="225" t="s">
        <v>61</v>
      </c>
      <c r="G83" s="294"/>
      <c r="H83" s="294"/>
    </row>
    <row r="84" customFormat="false" ht="15" hidden="false" customHeight="false" outlineLevel="0" collapsed="false">
      <c r="A84" s="262"/>
      <c r="B84" s="225" t="s">
        <v>715</v>
      </c>
      <c r="C84" s="223" t="n">
        <v>1.33333333333333</v>
      </c>
      <c r="D84" s="271" t="s">
        <v>61</v>
      </c>
      <c r="E84" s="269" t="n">
        <f aca="false">C84*E$104/C$104</f>
        <v>32.5</v>
      </c>
      <c r="F84" s="225" t="s">
        <v>61</v>
      </c>
      <c r="G84" s="294"/>
      <c r="H84" s="294"/>
    </row>
    <row r="85" customFormat="false" ht="15" hidden="false" customHeight="false" outlineLevel="0" collapsed="false">
      <c r="A85" s="262"/>
      <c r="B85" s="225" t="s">
        <v>700</v>
      </c>
      <c r="C85" s="223" t="n">
        <v>2</v>
      </c>
      <c r="D85" s="271" t="s">
        <v>61</v>
      </c>
      <c r="E85" s="269" t="n">
        <f aca="false">C85*E$104/C$104</f>
        <v>50</v>
      </c>
      <c r="F85" s="225" t="s">
        <v>61</v>
      </c>
      <c r="G85" s="294"/>
      <c r="H85" s="294"/>
    </row>
    <row r="86" customFormat="false" ht="15" hidden="false" customHeight="false" outlineLevel="0" collapsed="false">
      <c r="A86" s="262"/>
      <c r="B86" s="225" t="s">
        <v>21</v>
      </c>
      <c r="C86" s="223" t="n">
        <v>10</v>
      </c>
      <c r="D86" s="271" t="s">
        <v>61</v>
      </c>
      <c r="E86" s="269" t="n">
        <f aca="false">C86*E$104/C$104</f>
        <v>250</v>
      </c>
      <c r="F86" s="225" t="s">
        <v>61</v>
      </c>
      <c r="G86" s="294"/>
      <c r="H86" s="294"/>
    </row>
    <row r="87" customFormat="false" ht="15" hidden="false" customHeight="false" outlineLevel="0" collapsed="false">
      <c r="A87" s="262"/>
      <c r="B87" s="242" t="s">
        <v>55</v>
      </c>
      <c r="C87" s="264" t="n">
        <v>0.5</v>
      </c>
      <c r="D87" s="359" t="s">
        <v>7</v>
      </c>
      <c r="E87" s="269" t="n">
        <f aca="false">C87*E$104/C$104</f>
        <v>12.5</v>
      </c>
      <c r="F87" s="225" t="s">
        <v>109</v>
      </c>
      <c r="G87" s="294"/>
      <c r="H87" s="294"/>
    </row>
    <row r="88" customFormat="false" ht="15" hidden="false" customHeight="false" outlineLevel="0" collapsed="false">
      <c r="A88" s="262"/>
      <c r="B88" s="388" t="s">
        <v>502</v>
      </c>
      <c r="C88" s="264"/>
      <c r="D88" s="359"/>
      <c r="E88" s="269"/>
      <c r="F88" s="225"/>
      <c r="G88" s="294"/>
      <c r="H88" s="294"/>
    </row>
    <row r="89" customFormat="false" ht="15" hidden="false" customHeight="false" outlineLevel="0" collapsed="false">
      <c r="A89" s="262"/>
      <c r="B89" s="389" t="s">
        <v>716</v>
      </c>
      <c r="C89" s="264" t="n">
        <v>150</v>
      </c>
      <c r="D89" s="359" t="s">
        <v>109</v>
      </c>
      <c r="E89" s="269" t="n">
        <f aca="false">C89*E$104/C$104</f>
        <v>3750</v>
      </c>
      <c r="F89" s="225" t="s">
        <v>109</v>
      </c>
      <c r="G89" s="294"/>
      <c r="H89" s="294"/>
    </row>
    <row r="90" customFormat="false" ht="15" hidden="false" customHeight="false" outlineLevel="0" collapsed="false">
      <c r="A90" s="262"/>
      <c r="B90" s="389" t="s">
        <v>717</v>
      </c>
      <c r="C90" s="264" t="n">
        <v>0.5</v>
      </c>
      <c r="D90" s="359" t="s">
        <v>13</v>
      </c>
      <c r="E90" s="269" t="n">
        <f aca="false">C90*E$104/C$104</f>
        <v>12.5</v>
      </c>
      <c r="F90" s="225" t="s">
        <v>20</v>
      </c>
      <c r="G90" s="294"/>
      <c r="H90" s="294"/>
    </row>
    <row r="91" customFormat="false" ht="15" hidden="false" customHeight="false" outlineLevel="0" collapsed="false">
      <c r="A91" s="262"/>
      <c r="B91" s="389" t="s">
        <v>718</v>
      </c>
      <c r="C91" s="264" t="n">
        <v>1</v>
      </c>
      <c r="D91" s="359" t="s">
        <v>20</v>
      </c>
      <c r="E91" s="269" t="n">
        <f aca="false">C91*E$104/C$104</f>
        <v>25</v>
      </c>
      <c r="F91" s="225" t="s">
        <v>20</v>
      </c>
      <c r="G91" s="294"/>
      <c r="H91" s="294"/>
    </row>
    <row r="92" customFormat="false" ht="15" hidden="false" customHeight="false" outlineLevel="0" collapsed="false">
      <c r="A92" s="262"/>
      <c r="B92" s="389" t="s">
        <v>719</v>
      </c>
      <c r="C92" s="264" t="n">
        <v>3</v>
      </c>
      <c r="D92" s="359" t="s">
        <v>20</v>
      </c>
      <c r="E92" s="269" t="n">
        <f aca="false">C92*E$104/C$104</f>
        <v>75</v>
      </c>
      <c r="F92" s="225" t="s">
        <v>20</v>
      </c>
      <c r="G92" s="294"/>
      <c r="H92" s="294"/>
    </row>
    <row r="93" customFormat="false" ht="15" hidden="false" customHeight="false" outlineLevel="0" collapsed="false">
      <c r="A93" s="262"/>
      <c r="B93" s="389" t="s">
        <v>11</v>
      </c>
      <c r="C93" s="264" t="n">
        <v>1</v>
      </c>
      <c r="D93" s="359" t="s">
        <v>7</v>
      </c>
      <c r="E93" s="269" t="n">
        <f aca="false">C93*E$104/C$104</f>
        <v>25</v>
      </c>
      <c r="F93" s="225"/>
      <c r="G93" s="294"/>
      <c r="H93" s="294"/>
    </row>
    <row r="94" customFormat="false" ht="15" hidden="false" customHeight="false" outlineLevel="0" collapsed="false">
      <c r="A94" s="262"/>
      <c r="B94" s="388" t="s">
        <v>720</v>
      </c>
      <c r="C94" s="264" t="n">
        <v>33</v>
      </c>
      <c r="D94" s="359" t="s">
        <v>13</v>
      </c>
      <c r="E94" s="269" t="n">
        <f aca="false">C94*E$104/C$104</f>
        <v>825</v>
      </c>
      <c r="F94" s="225"/>
      <c r="G94" s="294"/>
      <c r="H94" s="294"/>
    </row>
    <row r="95" customFormat="false" ht="15" hidden="false" customHeight="false" outlineLevel="0" collapsed="false">
      <c r="A95" s="262"/>
      <c r="B95" s="242" t="s">
        <v>71</v>
      </c>
      <c r="C95" s="264" t="n">
        <v>1</v>
      </c>
      <c r="D95" s="359" t="s">
        <v>20</v>
      </c>
      <c r="E95" s="269" t="n">
        <f aca="false">C95*E$104/C$104</f>
        <v>25</v>
      </c>
      <c r="F95" s="225" t="s">
        <v>20</v>
      </c>
      <c r="G95" s="294"/>
      <c r="H95" s="294"/>
    </row>
    <row r="96" customFormat="false" ht="15" hidden="false" customHeight="false" outlineLevel="0" collapsed="false">
      <c r="A96" s="262"/>
      <c r="B96" s="225" t="s">
        <v>86</v>
      </c>
      <c r="C96" s="223" t="n">
        <v>1</v>
      </c>
      <c r="D96" s="271" t="s">
        <v>13</v>
      </c>
      <c r="E96" s="269" t="n">
        <f aca="false">C96*E$104/C$104</f>
        <v>25</v>
      </c>
      <c r="F96" s="225" t="s">
        <v>13</v>
      </c>
      <c r="G96" s="294"/>
      <c r="H96" s="294"/>
    </row>
    <row r="97" customFormat="false" ht="15" hidden="false" customHeight="false" outlineLevel="0" collapsed="false">
      <c r="A97" s="262"/>
      <c r="B97" s="225" t="s">
        <v>650</v>
      </c>
      <c r="C97" s="223" t="n">
        <v>0.7</v>
      </c>
      <c r="D97" s="271" t="s">
        <v>20</v>
      </c>
      <c r="E97" s="269" t="n">
        <f aca="false">C97*E$104/C$104</f>
        <v>17.5</v>
      </c>
      <c r="F97" s="225" t="s">
        <v>20</v>
      </c>
      <c r="G97" s="294"/>
      <c r="H97" s="294"/>
    </row>
    <row r="98" customFormat="false" ht="15" hidden="false" customHeight="false" outlineLevel="0" collapsed="false">
      <c r="A98" s="262"/>
      <c r="B98" s="225" t="s">
        <v>30</v>
      </c>
      <c r="C98" s="223" t="n">
        <v>0.7</v>
      </c>
      <c r="D98" s="271" t="s">
        <v>20</v>
      </c>
      <c r="E98" s="269" t="n">
        <f aca="false">C98*E$104/C$104</f>
        <v>17.5</v>
      </c>
      <c r="F98" s="225" t="s">
        <v>20</v>
      </c>
      <c r="G98" s="294"/>
      <c r="H98" s="294"/>
    </row>
    <row r="99" customFormat="false" ht="15" hidden="false" customHeight="false" outlineLevel="0" collapsed="false">
      <c r="A99" s="262"/>
      <c r="B99" s="225" t="s">
        <v>717</v>
      </c>
      <c r="C99" s="223" t="n">
        <v>1</v>
      </c>
      <c r="D99" s="271" t="s">
        <v>13</v>
      </c>
      <c r="E99" s="269" t="n">
        <f aca="false">C99*E$104/C$104</f>
        <v>25</v>
      </c>
      <c r="F99" s="225" t="s">
        <v>13</v>
      </c>
      <c r="G99" s="294"/>
      <c r="H99" s="294"/>
    </row>
    <row r="100" customFormat="false" ht="15" hidden="false" customHeight="false" outlineLevel="0" collapsed="false">
      <c r="A100" s="262"/>
      <c r="B100" s="225" t="s">
        <v>721</v>
      </c>
      <c r="C100" s="223" t="n">
        <v>1</v>
      </c>
      <c r="D100" s="271" t="s">
        <v>107</v>
      </c>
      <c r="E100" s="269" t="n">
        <f aca="false">C100*E$104/C$104</f>
        <v>25</v>
      </c>
      <c r="F100" s="225" t="s">
        <v>107</v>
      </c>
      <c r="G100" s="294"/>
      <c r="H100" s="294"/>
    </row>
    <row r="101" customFormat="false" ht="15" hidden="false" customHeight="false" outlineLevel="0" collapsed="false">
      <c r="A101" s="262"/>
      <c r="B101" s="242" t="s">
        <v>722</v>
      </c>
      <c r="C101" s="264" t="n">
        <v>0.5</v>
      </c>
      <c r="D101" s="359" t="s">
        <v>7</v>
      </c>
      <c r="E101" s="269" t="n">
        <f aca="false">C101*E$104/C$104</f>
        <v>12.5</v>
      </c>
      <c r="F101" s="225" t="s">
        <v>7</v>
      </c>
      <c r="G101" s="294"/>
      <c r="H101" s="294"/>
    </row>
    <row r="102" customFormat="false" ht="15" hidden="false" customHeight="false" outlineLevel="0" collapsed="false">
      <c r="A102" s="262"/>
      <c r="B102" s="225" t="s">
        <v>723</v>
      </c>
      <c r="C102" s="223" t="n">
        <v>0.5</v>
      </c>
      <c r="D102" s="271"/>
      <c r="E102" s="269" t="n">
        <f aca="false">C102*E$104/C$104</f>
        <v>12.5</v>
      </c>
      <c r="F102" s="225"/>
      <c r="G102" s="294"/>
      <c r="H102" s="294"/>
    </row>
    <row r="103" customFormat="false" ht="15" hidden="false" customHeight="false" outlineLevel="0" collapsed="false">
      <c r="A103" s="262"/>
      <c r="B103" s="326" t="s">
        <v>26</v>
      </c>
      <c r="C103" s="282" t="n">
        <v>1</v>
      </c>
      <c r="D103" s="284" t="s">
        <v>27</v>
      </c>
      <c r="E103" s="283" t="n">
        <f aca="false">C103*E$104/C$104</f>
        <v>25</v>
      </c>
      <c r="F103" s="326" t="s">
        <v>27</v>
      </c>
      <c r="G103" s="294"/>
      <c r="H103" s="294"/>
    </row>
    <row r="104" customFormat="false" ht="15" hidden="false" customHeight="false" outlineLevel="0" collapsed="false">
      <c r="A104" s="262"/>
      <c r="B104" s="326" t="s">
        <v>26</v>
      </c>
      <c r="C104" s="282" t="n">
        <v>35</v>
      </c>
      <c r="D104" s="284" t="s">
        <v>13</v>
      </c>
      <c r="E104" s="390" t="n">
        <v>875</v>
      </c>
      <c r="F104" s="225" t="s">
        <v>13</v>
      </c>
      <c r="G104" s="294"/>
      <c r="H104" s="294"/>
    </row>
    <row r="105" customFormat="false" ht="15" hidden="false" customHeight="false" outlineLevel="0" collapsed="false">
      <c r="A105" s="262"/>
      <c r="B105" s="225"/>
      <c r="C105" s="262"/>
      <c r="D105" s="271"/>
      <c r="E105" s="269"/>
      <c r="F105" s="294"/>
      <c r="G105" s="294"/>
      <c r="H105" s="294"/>
      <c r="J105" s="323"/>
      <c r="K105" s="231" t="s">
        <v>7824</v>
      </c>
    </row>
    <row r="106" customFormat="false" ht="14.45" hidden="false" customHeight="true" outlineLevel="0" collapsed="false">
      <c r="A106" s="391" t="s">
        <v>7952</v>
      </c>
      <c r="B106" s="325" t="s">
        <v>2</v>
      </c>
      <c r="C106" s="324" t="s">
        <v>3</v>
      </c>
      <c r="D106" s="324" t="s">
        <v>4</v>
      </c>
      <c r="E106" s="324" t="s">
        <v>5</v>
      </c>
      <c r="F106" s="324" t="s">
        <v>4</v>
      </c>
      <c r="G106" s="294"/>
      <c r="H106" s="294"/>
      <c r="J106" s="323"/>
    </row>
    <row r="107" customFormat="false" ht="15" hidden="false" customHeight="false" outlineLevel="0" collapsed="false">
      <c r="A107" s="391"/>
      <c r="B107" s="225" t="s">
        <v>7670</v>
      </c>
      <c r="C107" s="223" t="n">
        <v>4.375</v>
      </c>
      <c r="D107" s="261" t="s">
        <v>7</v>
      </c>
      <c r="E107" s="222" t="n">
        <f aca="false">C107*E$130/C$130</f>
        <v>66</v>
      </c>
      <c r="F107" s="261" t="s">
        <v>7</v>
      </c>
      <c r="G107" s="294"/>
      <c r="H107" s="294"/>
    </row>
    <row r="108" customFormat="false" ht="15" hidden="false" customHeight="false" outlineLevel="0" collapsed="false">
      <c r="A108" s="391"/>
      <c r="B108" s="225" t="s">
        <v>7953</v>
      </c>
      <c r="C108" s="223" t="n">
        <v>3.5</v>
      </c>
      <c r="D108" s="261" t="s">
        <v>13</v>
      </c>
      <c r="E108" s="222" t="n">
        <f aca="false">C108*E$130/C$130</f>
        <v>52.5</v>
      </c>
      <c r="F108" s="261" t="s">
        <v>13</v>
      </c>
      <c r="G108" s="294"/>
      <c r="H108" s="294"/>
    </row>
    <row r="109" customFormat="false" ht="15" hidden="false" customHeight="false" outlineLevel="0" collapsed="false">
      <c r="A109" s="262"/>
      <c r="B109" s="225" t="s">
        <v>701</v>
      </c>
      <c r="C109" s="223" t="n">
        <v>7</v>
      </c>
      <c r="D109" s="261" t="s">
        <v>7</v>
      </c>
      <c r="E109" s="222" t="n">
        <f aca="false">C109*E$130/C$130</f>
        <v>105</v>
      </c>
      <c r="F109" s="261" t="s">
        <v>7</v>
      </c>
      <c r="G109" s="294"/>
      <c r="H109" s="294"/>
    </row>
    <row r="110" customFormat="false" ht="15" hidden="false" customHeight="false" outlineLevel="0" collapsed="false">
      <c r="A110" s="262"/>
      <c r="B110" s="225" t="s">
        <v>7954</v>
      </c>
      <c r="C110" s="223" t="n">
        <v>3.5</v>
      </c>
      <c r="D110" s="261" t="s">
        <v>13</v>
      </c>
      <c r="E110" s="222" t="n">
        <f aca="false">C110*E$130/C$130</f>
        <v>52.5</v>
      </c>
      <c r="F110" s="261" t="s">
        <v>13</v>
      </c>
      <c r="G110" s="294"/>
      <c r="H110" s="294"/>
    </row>
    <row r="111" customFormat="false" ht="15" hidden="false" customHeight="false" outlineLevel="0" collapsed="false">
      <c r="A111" s="262"/>
      <c r="B111" s="225" t="s">
        <v>702</v>
      </c>
      <c r="C111" s="223" t="n">
        <v>7</v>
      </c>
      <c r="D111" s="261" t="s">
        <v>7</v>
      </c>
      <c r="E111" s="222" t="n">
        <f aca="false">C111*E$130/C$130</f>
        <v>105</v>
      </c>
      <c r="F111" s="261" t="s">
        <v>7</v>
      </c>
      <c r="G111" s="294"/>
      <c r="H111" s="294"/>
    </row>
    <row r="112" customFormat="false" ht="15" hidden="false" customHeight="false" outlineLevel="0" collapsed="false">
      <c r="A112" s="262"/>
      <c r="B112" s="225" t="s">
        <v>7954</v>
      </c>
      <c r="C112" s="223" t="n">
        <v>3.5</v>
      </c>
      <c r="D112" s="261" t="s">
        <v>13</v>
      </c>
      <c r="E112" s="222" t="n">
        <f aca="false">C112*E$130/C$130</f>
        <v>52.5</v>
      </c>
      <c r="F112" s="261" t="s">
        <v>13</v>
      </c>
      <c r="G112" s="294"/>
      <c r="H112" s="294"/>
    </row>
    <row r="113" customFormat="false" ht="15" hidden="false" customHeight="false" outlineLevel="0" collapsed="false">
      <c r="A113" s="262"/>
      <c r="B113" s="225" t="s">
        <v>631</v>
      </c>
      <c r="C113" s="223" t="n">
        <v>7</v>
      </c>
      <c r="D113" s="261" t="s">
        <v>7</v>
      </c>
      <c r="E113" s="222" t="n">
        <f aca="false">C113*E$130/C$130</f>
        <v>105</v>
      </c>
      <c r="F113" s="261" t="s">
        <v>7</v>
      </c>
      <c r="G113" s="294"/>
      <c r="H113" s="294"/>
    </row>
    <row r="114" customFormat="false" ht="15" hidden="false" customHeight="false" outlineLevel="0" collapsed="false">
      <c r="A114" s="262"/>
      <c r="B114" s="225" t="s">
        <v>7954</v>
      </c>
      <c r="C114" s="223" t="n">
        <v>3.5</v>
      </c>
      <c r="D114" s="261" t="s">
        <v>13</v>
      </c>
      <c r="E114" s="222" t="n">
        <f aca="false">C114*E$130/C$130</f>
        <v>52.5</v>
      </c>
      <c r="F114" s="261" t="s">
        <v>13</v>
      </c>
      <c r="G114" s="294"/>
      <c r="H114" s="294"/>
    </row>
    <row r="115" customFormat="false" ht="15" hidden="false" customHeight="false" outlineLevel="0" collapsed="false">
      <c r="A115" s="262"/>
      <c r="B115" s="225" t="s">
        <v>699</v>
      </c>
      <c r="C115" s="223" t="n">
        <v>8.75</v>
      </c>
      <c r="D115" s="261" t="s">
        <v>7</v>
      </c>
      <c r="E115" s="222" t="n">
        <f aca="false">C115*E$130/C$130</f>
        <v>132</v>
      </c>
      <c r="F115" s="261" t="s">
        <v>7</v>
      </c>
      <c r="G115" s="294"/>
      <c r="H115" s="294"/>
    </row>
    <row r="116" customFormat="false" ht="15" hidden="false" customHeight="false" outlineLevel="0" collapsed="false">
      <c r="A116" s="262"/>
      <c r="B116" s="225" t="s">
        <v>7955</v>
      </c>
      <c r="C116" s="223" t="n">
        <v>13.125</v>
      </c>
      <c r="D116" s="261" t="s">
        <v>13</v>
      </c>
      <c r="E116" s="222" t="n">
        <f aca="false">C116*E$130/C$130</f>
        <v>196.5</v>
      </c>
      <c r="F116" s="261" t="s">
        <v>13</v>
      </c>
      <c r="G116" s="294"/>
      <c r="H116" s="294"/>
    </row>
    <row r="117" customFormat="false" ht="15" hidden="false" customHeight="false" outlineLevel="0" collapsed="false">
      <c r="A117" s="262"/>
      <c r="B117" s="225" t="s">
        <v>700</v>
      </c>
      <c r="C117" s="223" t="n">
        <v>6.125</v>
      </c>
      <c r="D117" s="261" t="s">
        <v>7</v>
      </c>
      <c r="E117" s="222" t="n">
        <f aca="false">C117*E$130/C$130</f>
        <v>91.5</v>
      </c>
      <c r="F117" s="261" t="s">
        <v>7</v>
      </c>
      <c r="G117" s="294"/>
      <c r="H117" s="294"/>
    </row>
    <row r="118" customFormat="false" ht="15" hidden="false" customHeight="false" outlineLevel="0" collapsed="false">
      <c r="A118" s="262"/>
      <c r="B118" s="225" t="s">
        <v>7954</v>
      </c>
      <c r="C118" s="223" t="n">
        <v>3.5</v>
      </c>
      <c r="D118" s="261" t="s">
        <v>13</v>
      </c>
      <c r="E118" s="222" t="n">
        <f aca="false">C118*E$130/C$130</f>
        <v>52.5</v>
      </c>
      <c r="F118" s="261" t="s">
        <v>13</v>
      </c>
      <c r="G118" s="294"/>
      <c r="H118" s="294"/>
    </row>
    <row r="119" customFormat="false" ht="15" hidden="false" customHeight="false" outlineLevel="0" collapsed="false">
      <c r="A119" s="262"/>
      <c r="B119" s="225" t="s">
        <v>7672</v>
      </c>
      <c r="C119" s="223" t="n">
        <v>0.4375</v>
      </c>
      <c r="D119" s="261" t="s">
        <v>7</v>
      </c>
      <c r="E119" s="222" t="n">
        <f aca="false">C119*E$130/C$130</f>
        <v>6</v>
      </c>
      <c r="F119" s="261" t="s">
        <v>7</v>
      </c>
      <c r="G119" s="294"/>
      <c r="H119" s="294"/>
    </row>
    <row r="120" customFormat="false" ht="15" hidden="false" customHeight="false" outlineLevel="0" collapsed="false">
      <c r="A120" s="262"/>
      <c r="B120" s="225" t="s">
        <v>7956</v>
      </c>
      <c r="C120" s="223" t="n">
        <v>3.5</v>
      </c>
      <c r="D120" s="261" t="s">
        <v>13</v>
      </c>
      <c r="E120" s="222" t="n">
        <f aca="false">C120*E$130/C$130</f>
        <v>52.5</v>
      </c>
      <c r="F120" s="261" t="s">
        <v>13</v>
      </c>
      <c r="G120" s="294"/>
      <c r="H120" s="294"/>
    </row>
    <row r="121" customFormat="false" ht="15" hidden="false" customHeight="false" outlineLevel="0" collapsed="false">
      <c r="A121" s="262"/>
      <c r="B121" s="225" t="s">
        <v>7678</v>
      </c>
      <c r="C121" s="223" t="n">
        <v>5</v>
      </c>
      <c r="D121" s="261" t="s">
        <v>7</v>
      </c>
      <c r="E121" s="222" t="n">
        <f aca="false">C121*E$130/C$130</f>
        <v>75</v>
      </c>
      <c r="F121" s="261" t="s">
        <v>7</v>
      </c>
      <c r="G121" s="294"/>
      <c r="H121" s="294"/>
    </row>
    <row r="122" customFormat="false" ht="15" hidden="false" customHeight="false" outlineLevel="0" collapsed="false">
      <c r="A122" s="262"/>
      <c r="B122" s="225" t="s">
        <v>7957</v>
      </c>
      <c r="C122" s="223" t="n">
        <v>5</v>
      </c>
      <c r="D122" s="261" t="s">
        <v>13</v>
      </c>
      <c r="E122" s="222" t="n">
        <f aca="false">C122*E$130/C$130</f>
        <v>75</v>
      </c>
      <c r="F122" s="261" t="s">
        <v>13</v>
      </c>
      <c r="G122" s="294"/>
      <c r="H122" s="294"/>
    </row>
    <row r="123" customFormat="false" ht="15" hidden="false" customHeight="false" outlineLevel="0" collapsed="false">
      <c r="A123" s="262"/>
      <c r="B123" s="225" t="s">
        <v>732</v>
      </c>
      <c r="C123" s="223" t="n">
        <v>3.5</v>
      </c>
      <c r="D123" s="261" t="s">
        <v>13</v>
      </c>
      <c r="E123" s="222" t="n">
        <f aca="false">C123*E$130/C$130</f>
        <v>52.5</v>
      </c>
      <c r="F123" s="261" t="s">
        <v>13</v>
      </c>
      <c r="G123" s="294"/>
      <c r="H123" s="294"/>
    </row>
    <row r="124" customFormat="false" ht="15" hidden="false" customHeight="false" outlineLevel="0" collapsed="false">
      <c r="A124" s="262"/>
      <c r="B124" s="242" t="s">
        <v>708</v>
      </c>
      <c r="C124" s="223" t="n">
        <v>1</v>
      </c>
      <c r="D124" s="261" t="s">
        <v>13</v>
      </c>
      <c r="E124" s="222" t="n">
        <f aca="false">C124*E$130/C$130</f>
        <v>15</v>
      </c>
      <c r="F124" s="261" t="s">
        <v>13</v>
      </c>
      <c r="G124" s="294"/>
      <c r="H124" s="294"/>
    </row>
    <row r="125" customFormat="false" ht="15" hidden="false" customHeight="false" outlineLevel="0" collapsed="false">
      <c r="A125" s="262"/>
      <c r="B125" s="225" t="s">
        <v>734</v>
      </c>
      <c r="C125" s="223" t="n">
        <v>0.525</v>
      </c>
      <c r="D125" s="261" t="s">
        <v>13</v>
      </c>
      <c r="E125" s="222" t="n">
        <f aca="false">C125*E$130/C$130</f>
        <v>7.5</v>
      </c>
      <c r="F125" s="261" t="s">
        <v>13</v>
      </c>
      <c r="G125" s="294"/>
      <c r="H125" s="294"/>
    </row>
    <row r="126" customFormat="false" ht="15" hidden="false" customHeight="false" outlineLevel="0" collapsed="false">
      <c r="A126" s="262"/>
      <c r="B126" s="225" t="s">
        <v>618</v>
      </c>
      <c r="C126" s="223" t="n">
        <v>1.3125</v>
      </c>
      <c r="D126" s="261" t="s">
        <v>20</v>
      </c>
      <c r="E126" s="222" t="n">
        <f aca="false">C126*E$130/C$130</f>
        <v>19.5</v>
      </c>
      <c r="F126" s="261" t="s">
        <v>20</v>
      </c>
      <c r="G126" s="294"/>
      <c r="H126" s="294"/>
    </row>
    <row r="127" customFormat="false" ht="15" hidden="false" customHeight="false" outlineLevel="0" collapsed="false">
      <c r="A127" s="262"/>
      <c r="B127" s="225" t="s">
        <v>562</v>
      </c>
      <c r="C127" s="223" t="n">
        <v>0.525</v>
      </c>
      <c r="D127" s="261" t="s">
        <v>20</v>
      </c>
      <c r="E127" s="222" t="n">
        <f aca="false">C127*E$130/C$130</f>
        <v>7.5</v>
      </c>
      <c r="F127" s="261" t="s">
        <v>20</v>
      </c>
      <c r="G127" s="294"/>
      <c r="H127" s="294"/>
    </row>
    <row r="128" customFormat="false" ht="15" hidden="false" customHeight="false" outlineLevel="0" collapsed="false">
      <c r="A128" s="262"/>
      <c r="B128" s="225" t="s">
        <v>32</v>
      </c>
      <c r="C128" s="223" t="n">
        <v>1.75</v>
      </c>
      <c r="D128" s="261" t="s">
        <v>20</v>
      </c>
      <c r="E128" s="222" t="n">
        <f aca="false">C128*E$130/C$130</f>
        <v>27</v>
      </c>
      <c r="F128" s="261" t="s">
        <v>20</v>
      </c>
      <c r="G128" s="294"/>
      <c r="H128" s="294"/>
    </row>
    <row r="129" customFormat="false" ht="15" hidden="false" customHeight="false" outlineLevel="0" collapsed="false">
      <c r="A129" s="262"/>
      <c r="B129" s="326" t="s">
        <v>26</v>
      </c>
      <c r="C129" s="392" t="n">
        <v>1</v>
      </c>
      <c r="D129" s="260" t="s">
        <v>27</v>
      </c>
      <c r="E129" s="259" t="n">
        <f aca="false">C129*E$130/C$130</f>
        <v>15</v>
      </c>
      <c r="F129" s="260" t="s">
        <v>27</v>
      </c>
      <c r="G129" s="294"/>
      <c r="H129" s="294"/>
    </row>
    <row r="130" customFormat="false" ht="15" hidden="false" customHeight="false" outlineLevel="0" collapsed="false">
      <c r="A130" s="262"/>
      <c r="B130" s="326" t="s">
        <v>26</v>
      </c>
      <c r="C130" s="258" t="n">
        <v>35</v>
      </c>
      <c r="D130" s="260" t="s">
        <v>13</v>
      </c>
      <c r="E130" s="279" t="n">
        <v>525</v>
      </c>
      <c r="F130" s="260" t="s">
        <v>13</v>
      </c>
      <c r="G130" s="294"/>
      <c r="H130" s="294"/>
    </row>
    <row r="131" customFormat="false" ht="15" hidden="false" customHeight="false" outlineLevel="0" collapsed="false">
      <c r="B131" s="331" t="s">
        <v>92</v>
      </c>
    </row>
    <row r="132" customFormat="false" ht="15" hidden="false" customHeight="false" outlineLevel="0" collapsed="false">
      <c r="A132" s="323"/>
      <c r="B132" s="312"/>
      <c r="C132" s="323"/>
      <c r="G132" s="323"/>
      <c r="I132" s="255"/>
      <c r="J132" s="323"/>
      <c r="K132" s="255"/>
    </row>
    <row r="133" customFormat="false" ht="15" hidden="false" customHeight="false" outlineLevel="0" collapsed="false">
      <c r="A133" s="323"/>
      <c r="B133" s="312"/>
      <c r="C133" s="323"/>
      <c r="G133" s="323"/>
      <c r="I133" s="255"/>
      <c r="J133" s="231" t="s">
        <v>7824</v>
      </c>
      <c r="K133" s="255"/>
    </row>
  </sheetData>
  <mergeCells count="4">
    <mergeCell ref="A25:A26"/>
    <mergeCell ref="A36:A37"/>
    <mergeCell ref="A60:A61"/>
    <mergeCell ref="A106:A108"/>
  </mergeCells>
  <hyperlinks>
    <hyperlink ref="K79" location="'Yatra Menu'!A1" display="Back to Menu"/>
    <hyperlink ref="K105" location="'Yatra Menu'!A1" display="Back to Menu"/>
    <hyperlink ref="J133" location="'Yatra Menu'!A1" display="Back to Menu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35"/>
  <sheetViews>
    <sheetView showFormulas="false" showGridLines="true" showRowColHeaders="true" showZeros="true" rightToLeft="false" tabSelected="false" showOutlineSymbols="true" defaultGridColor="true" view="normal" topLeftCell="A80" colorId="64" zoomScale="85" zoomScaleNormal="85" zoomScalePageLayoutView="100" workbookViewId="0">
      <selection pane="topLeft" activeCell="G128" activeCellId="0" sqref="G128"/>
    </sheetView>
  </sheetViews>
  <sheetFormatPr defaultRowHeight="15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26"/>
    <col collapsed="false" customWidth="true" hidden="false" outlineLevel="0" max="3" min="3" style="0" width="8.51"/>
    <col collapsed="false" customWidth="true" hidden="false" outlineLevel="0" max="4" min="4" style="4" width="5"/>
    <col collapsed="false" customWidth="true" hidden="false" outlineLevel="0" max="5" min="5" style="393" width="8.51"/>
    <col collapsed="false" customWidth="true" hidden="false" outlineLevel="0" max="6" min="6" style="4" width="5"/>
    <col collapsed="false" customWidth="true" hidden="false" outlineLevel="0" max="7" min="7" style="0" width="12.87"/>
    <col collapsed="false" customWidth="true" hidden="false" outlineLevel="0" max="1025" min="8" style="0" width="8.51"/>
  </cols>
  <sheetData>
    <row r="1" customFormat="false" ht="15" hidden="false" customHeight="false" outlineLevel="0" collapsed="false">
      <c r="A1" s="5" t="s">
        <v>7958</v>
      </c>
      <c r="B1" s="5"/>
      <c r="C1" s="5"/>
      <c r="D1" s="9"/>
      <c r="E1" s="394"/>
      <c r="F1" s="9"/>
      <c r="G1" s="5"/>
    </row>
    <row r="3" customFormat="false" ht="14.45" hidden="false" customHeight="true" outlineLevel="0" collapsed="false">
      <c r="A3" s="395" t="s">
        <v>232</v>
      </c>
      <c r="B3" s="311" t="s">
        <v>2</v>
      </c>
      <c r="C3" s="311" t="s">
        <v>3</v>
      </c>
      <c r="D3" s="311" t="s">
        <v>4</v>
      </c>
      <c r="E3" s="396" t="s">
        <v>5</v>
      </c>
      <c r="F3" s="311" t="s">
        <v>4</v>
      </c>
    </row>
    <row r="4" customFormat="false" ht="15" hidden="false" customHeight="false" outlineLevel="0" collapsed="false">
      <c r="A4" s="395"/>
      <c r="B4" s="258" t="s">
        <v>232</v>
      </c>
      <c r="C4" s="258" t="n">
        <v>25</v>
      </c>
      <c r="D4" s="261" t="s">
        <v>61</v>
      </c>
      <c r="E4" s="217" t="n">
        <v>250</v>
      </c>
      <c r="F4" s="221" t="s">
        <v>61</v>
      </c>
    </row>
    <row r="5" customFormat="false" ht="15" hidden="false" customHeight="false" outlineLevel="0" collapsed="false">
      <c r="A5" s="314"/>
      <c r="B5" s="223" t="s">
        <v>11</v>
      </c>
      <c r="C5" s="223" t="n">
        <v>5</v>
      </c>
      <c r="D5" s="261" t="s">
        <v>61</v>
      </c>
      <c r="E5" s="219" t="n">
        <v>50</v>
      </c>
      <c r="F5" s="221" t="s">
        <v>61</v>
      </c>
    </row>
    <row r="6" customFormat="false" ht="15" hidden="false" customHeight="false" outlineLevel="0" collapsed="false">
      <c r="A6" s="314"/>
      <c r="B6" s="223" t="s">
        <v>7818</v>
      </c>
      <c r="C6" s="223" t="n">
        <v>5</v>
      </c>
      <c r="D6" s="261" t="s">
        <v>61</v>
      </c>
      <c r="E6" s="219" t="n">
        <v>50</v>
      </c>
      <c r="F6" s="221" t="s">
        <v>61</v>
      </c>
    </row>
    <row r="7" customFormat="false" ht="15" hidden="false" customHeight="false" outlineLevel="0" collapsed="false">
      <c r="A7" s="314"/>
      <c r="B7" s="223" t="s">
        <v>39</v>
      </c>
      <c r="C7" s="223" t="n">
        <v>5</v>
      </c>
      <c r="D7" s="261" t="s">
        <v>61</v>
      </c>
      <c r="E7" s="219" t="n">
        <v>50</v>
      </c>
      <c r="F7" s="221" t="s">
        <v>61</v>
      </c>
    </row>
    <row r="8" customFormat="false" ht="15" hidden="false" customHeight="false" outlineLevel="0" collapsed="false">
      <c r="A8" s="314"/>
      <c r="B8" s="223" t="s">
        <v>14</v>
      </c>
      <c r="C8" s="223" t="n">
        <v>2</v>
      </c>
      <c r="D8" s="261" t="s">
        <v>20</v>
      </c>
      <c r="E8" s="219" t="n">
        <v>20</v>
      </c>
      <c r="F8" s="221" t="s">
        <v>20</v>
      </c>
    </row>
    <row r="9" customFormat="false" ht="15" hidden="false" customHeight="false" outlineLevel="0" collapsed="false">
      <c r="A9" s="314"/>
      <c r="B9" s="223" t="s">
        <v>672</v>
      </c>
      <c r="C9" s="223" t="n">
        <v>2</v>
      </c>
      <c r="D9" s="261" t="s">
        <v>68</v>
      </c>
      <c r="E9" s="219" t="n">
        <v>20</v>
      </c>
      <c r="F9" s="221" t="s">
        <v>68</v>
      </c>
    </row>
    <row r="10" customFormat="false" ht="15" hidden="false" customHeight="false" outlineLevel="0" collapsed="false">
      <c r="A10" s="314"/>
      <c r="B10" s="220" t="s">
        <v>16</v>
      </c>
      <c r="C10" s="220" t="n">
        <v>0.5</v>
      </c>
      <c r="D10" s="261" t="s">
        <v>13</v>
      </c>
      <c r="E10" s="219" t="n">
        <v>5</v>
      </c>
      <c r="F10" s="221" t="s">
        <v>13</v>
      </c>
    </row>
    <row r="11" customFormat="false" ht="15" hidden="false" customHeight="false" outlineLevel="0" collapsed="false">
      <c r="A11" s="314"/>
      <c r="B11" s="220" t="s">
        <v>15</v>
      </c>
      <c r="C11" s="223" t="n">
        <v>1</v>
      </c>
      <c r="D11" s="261" t="s">
        <v>76</v>
      </c>
      <c r="E11" s="219" t="n">
        <v>10</v>
      </c>
      <c r="F11" s="221" t="s">
        <v>76</v>
      </c>
    </row>
    <row r="12" customFormat="false" ht="15" hidden="false" customHeight="false" outlineLevel="0" collapsed="false">
      <c r="A12" s="314"/>
      <c r="B12" s="223" t="s">
        <v>586</v>
      </c>
      <c r="C12" s="223" t="n">
        <v>2</v>
      </c>
      <c r="D12" s="261" t="s">
        <v>13</v>
      </c>
      <c r="E12" s="219" t="n">
        <v>20</v>
      </c>
      <c r="F12" s="221" t="s">
        <v>13</v>
      </c>
    </row>
    <row r="13" customFormat="false" ht="15" hidden="false" customHeight="false" outlineLevel="0" collapsed="false">
      <c r="A13" s="397"/>
      <c r="B13" s="223" t="s">
        <v>32</v>
      </c>
      <c r="C13" s="223" t="n">
        <v>4</v>
      </c>
      <c r="D13" s="261" t="s">
        <v>68</v>
      </c>
      <c r="E13" s="219" t="n">
        <v>40</v>
      </c>
      <c r="F13" s="221" t="s">
        <v>68</v>
      </c>
    </row>
    <row r="14" customFormat="false" ht="15" hidden="false" customHeight="false" outlineLevel="0" collapsed="false">
      <c r="A14" s="397"/>
      <c r="B14" s="223" t="s">
        <v>564</v>
      </c>
      <c r="C14" s="223" t="n">
        <v>1</v>
      </c>
      <c r="D14" s="261" t="s">
        <v>68</v>
      </c>
      <c r="E14" s="219" t="n">
        <v>10</v>
      </c>
      <c r="F14" s="221" t="s">
        <v>68</v>
      </c>
    </row>
    <row r="15" customFormat="false" ht="15" hidden="false" customHeight="false" outlineLevel="0" collapsed="false">
      <c r="A15" s="314"/>
      <c r="B15" s="223" t="s">
        <v>75</v>
      </c>
      <c r="C15" s="223" t="n">
        <v>5</v>
      </c>
      <c r="D15" s="261" t="s">
        <v>13</v>
      </c>
      <c r="E15" s="219" t="n">
        <v>20</v>
      </c>
      <c r="F15" s="221" t="s">
        <v>13</v>
      </c>
    </row>
    <row r="16" customFormat="false" ht="15" hidden="false" customHeight="false" outlineLevel="0" collapsed="false">
      <c r="A16" s="398"/>
      <c r="B16" s="223" t="s">
        <v>7959</v>
      </c>
      <c r="C16" s="223" t="n">
        <v>2</v>
      </c>
      <c r="D16" s="261" t="s">
        <v>68</v>
      </c>
      <c r="E16" s="219" t="n">
        <v>20</v>
      </c>
      <c r="F16" s="221" t="s">
        <v>68</v>
      </c>
    </row>
    <row r="17" customFormat="false" ht="15" hidden="false" customHeight="false" outlineLevel="0" collapsed="false">
      <c r="A17" s="399"/>
      <c r="B17" s="223" t="s">
        <v>947</v>
      </c>
      <c r="C17" s="223" t="n">
        <v>65</v>
      </c>
      <c r="D17" s="261" t="s">
        <v>76</v>
      </c>
      <c r="E17" s="219" t="n">
        <v>650</v>
      </c>
      <c r="F17" s="221" t="s">
        <v>76</v>
      </c>
    </row>
    <row r="18" customFormat="false" ht="15" hidden="false" customHeight="false" outlineLevel="0" collapsed="false">
      <c r="A18" s="314"/>
      <c r="B18" s="223" t="s">
        <v>12</v>
      </c>
      <c r="C18" s="223" t="n">
        <v>5</v>
      </c>
      <c r="D18" s="261" t="s">
        <v>76</v>
      </c>
      <c r="E18" s="219" t="n">
        <v>50</v>
      </c>
      <c r="F18" s="221" t="s">
        <v>76</v>
      </c>
    </row>
    <row r="19" customFormat="false" ht="15" hidden="false" customHeight="false" outlineLevel="0" collapsed="false">
      <c r="A19" s="314"/>
      <c r="B19" s="223" t="s">
        <v>21</v>
      </c>
      <c r="C19" s="223" t="n">
        <v>5</v>
      </c>
      <c r="D19" s="261" t="s">
        <v>61</v>
      </c>
      <c r="E19" s="219" t="n">
        <v>50</v>
      </c>
      <c r="F19" s="221" t="s">
        <v>61</v>
      </c>
    </row>
    <row r="20" customFormat="false" ht="15" hidden="false" customHeight="false" outlineLevel="0" collapsed="false">
      <c r="A20" s="314"/>
      <c r="B20" s="223" t="s">
        <v>7960</v>
      </c>
      <c r="C20" s="223" t="n">
        <v>3</v>
      </c>
      <c r="D20" s="261" t="s">
        <v>27</v>
      </c>
      <c r="E20" s="219" t="n">
        <v>30</v>
      </c>
      <c r="F20" s="261" t="s">
        <v>27</v>
      </c>
    </row>
    <row r="21" customFormat="false" ht="15" hidden="false" customHeight="false" outlineLevel="0" collapsed="false">
      <c r="A21" s="314"/>
      <c r="B21" s="294"/>
      <c r="C21" s="220"/>
      <c r="D21" s="261"/>
      <c r="E21" s="232"/>
      <c r="F21" s="221"/>
    </row>
    <row r="22" customFormat="false" ht="14.45" hidden="false" customHeight="true" outlineLevel="0" collapsed="false">
      <c r="A22" s="400" t="s">
        <v>7961</v>
      </c>
      <c r="B22" s="311" t="s">
        <v>2</v>
      </c>
      <c r="C22" s="311" t="s">
        <v>3</v>
      </c>
      <c r="D22" s="311" t="s">
        <v>4</v>
      </c>
      <c r="E22" s="396" t="s">
        <v>5</v>
      </c>
      <c r="F22" s="311" t="s">
        <v>4</v>
      </c>
    </row>
    <row r="23" customFormat="false" ht="15" hidden="false" customHeight="false" outlineLevel="0" collapsed="false">
      <c r="A23" s="400"/>
      <c r="B23" s="223" t="s">
        <v>7962</v>
      </c>
      <c r="C23" s="223" t="n">
        <v>3</v>
      </c>
      <c r="D23" s="261" t="s">
        <v>61</v>
      </c>
      <c r="E23" s="219" t="n">
        <f aca="false">C23*12</f>
        <v>36</v>
      </c>
      <c r="F23" s="221" t="s">
        <v>61</v>
      </c>
    </row>
    <row r="24" customFormat="false" ht="15" hidden="false" customHeight="false" outlineLevel="0" collapsed="false">
      <c r="A24" s="223"/>
      <c r="B24" s="264" t="s">
        <v>682</v>
      </c>
      <c r="C24" s="264" t="n">
        <v>7</v>
      </c>
      <c r="D24" s="401" t="s">
        <v>61</v>
      </c>
      <c r="E24" s="219" t="n">
        <f aca="false">C24*12</f>
        <v>84</v>
      </c>
      <c r="F24" s="321" t="s">
        <v>61</v>
      </c>
    </row>
    <row r="25" customFormat="false" ht="15" hidden="false" customHeight="false" outlineLevel="0" collapsed="false">
      <c r="A25" s="223"/>
      <c r="B25" s="223" t="s">
        <v>7963</v>
      </c>
      <c r="C25" s="223" t="n">
        <v>2</v>
      </c>
      <c r="D25" s="261" t="s">
        <v>61</v>
      </c>
      <c r="E25" s="219" t="n">
        <f aca="false">C25*12</f>
        <v>24</v>
      </c>
      <c r="F25" s="221" t="s">
        <v>61</v>
      </c>
    </row>
    <row r="26" customFormat="false" ht="15" hidden="false" customHeight="false" outlineLevel="0" collapsed="false">
      <c r="A26" s="314"/>
      <c r="B26" s="223" t="s">
        <v>7964</v>
      </c>
      <c r="C26" s="223" t="n">
        <v>0.75</v>
      </c>
      <c r="D26" s="261" t="s">
        <v>68</v>
      </c>
      <c r="E26" s="219" t="n">
        <f aca="false">C26*12</f>
        <v>9.6</v>
      </c>
      <c r="F26" s="221" t="s">
        <v>68</v>
      </c>
    </row>
    <row r="27" customFormat="false" ht="15" hidden="false" customHeight="false" outlineLevel="0" collapsed="false">
      <c r="A27" s="398"/>
      <c r="B27" s="223" t="s">
        <v>7965</v>
      </c>
      <c r="C27" s="223" t="n">
        <v>0.75</v>
      </c>
      <c r="D27" s="261" t="s">
        <v>13</v>
      </c>
      <c r="E27" s="219" t="n">
        <f aca="false">C27*12</f>
        <v>9.6</v>
      </c>
      <c r="F27" s="221" t="s">
        <v>13</v>
      </c>
    </row>
    <row r="28" customFormat="false" ht="15" hidden="false" customHeight="false" outlineLevel="0" collapsed="false">
      <c r="A28" s="402"/>
      <c r="B28" s="223" t="s">
        <v>571</v>
      </c>
      <c r="C28" s="223" t="n">
        <v>1</v>
      </c>
      <c r="D28" s="261" t="s">
        <v>61</v>
      </c>
      <c r="E28" s="219" t="n">
        <f aca="false">C28*12</f>
        <v>12</v>
      </c>
      <c r="F28" s="221" t="s">
        <v>61</v>
      </c>
    </row>
    <row r="29" customFormat="false" ht="15" hidden="false" customHeight="false" outlineLevel="0" collapsed="false">
      <c r="A29" s="314"/>
      <c r="B29" s="223" t="s">
        <v>7690</v>
      </c>
      <c r="C29" s="223" t="n">
        <v>2</v>
      </c>
      <c r="D29" s="261" t="s">
        <v>27</v>
      </c>
      <c r="E29" s="219" t="n">
        <f aca="false">C29*12</f>
        <v>24</v>
      </c>
      <c r="F29" s="221" t="s">
        <v>27</v>
      </c>
    </row>
    <row r="30" customFormat="false" ht="15" hidden="false" customHeight="false" outlineLevel="0" collapsed="false">
      <c r="A30" s="314"/>
      <c r="B30" s="223"/>
      <c r="C30" s="223"/>
      <c r="D30" s="261"/>
      <c r="E30" s="219"/>
      <c r="F30" s="221"/>
    </row>
    <row r="31" customFormat="false" ht="14.45" hidden="false" customHeight="true" outlineLevel="0" collapsed="false">
      <c r="A31" s="332" t="s">
        <v>7966</v>
      </c>
      <c r="B31" s="298" t="s">
        <v>2</v>
      </c>
      <c r="C31" s="319" t="s">
        <v>3</v>
      </c>
      <c r="D31" s="403" t="s">
        <v>4</v>
      </c>
      <c r="E31" s="403" t="s">
        <v>5</v>
      </c>
      <c r="F31" s="403" t="s">
        <v>4</v>
      </c>
    </row>
    <row r="32" customFormat="false" ht="15" hidden="false" customHeight="false" outlineLevel="0" collapsed="false">
      <c r="A32" s="332"/>
      <c r="B32" s="262" t="s">
        <v>575</v>
      </c>
      <c r="C32" s="262" t="n">
        <v>50</v>
      </c>
      <c r="D32" s="225" t="s">
        <v>7</v>
      </c>
      <c r="E32" s="218" t="n">
        <f aca="false">C32/2</f>
        <v>25</v>
      </c>
      <c r="F32" s="225" t="s">
        <v>7</v>
      </c>
    </row>
    <row r="33" customFormat="false" ht="15" hidden="false" customHeight="false" outlineLevel="0" collapsed="false">
      <c r="A33" s="294"/>
      <c r="B33" s="262" t="s">
        <v>22</v>
      </c>
      <c r="C33" s="262" t="n">
        <v>8</v>
      </c>
      <c r="D33" s="225" t="s">
        <v>7</v>
      </c>
      <c r="E33" s="218" t="n">
        <f aca="false">C33/2</f>
        <v>4</v>
      </c>
      <c r="F33" s="225" t="s">
        <v>7</v>
      </c>
    </row>
    <row r="34" customFormat="false" ht="15" hidden="false" customHeight="false" outlineLevel="0" collapsed="false">
      <c r="A34" s="294"/>
      <c r="B34" s="262" t="s">
        <v>11</v>
      </c>
      <c r="C34" s="262" t="n">
        <v>10</v>
      </c>
      <c r="D34" s="225" t="s">
        <v>7</v>
      </c>
      <c r="E34" s="218" t="n">
        <f aca="false">C34/2</f>
        <v>5</v>
      </c>
      <c r="F34" s="225" t="s">
        <v>7</v>
      </c>
    </row>
    <row r="35" customFormat="false" ht="15" hidden="false" customHeight="false" outlineLevel="0" collapsed="false">
      <c r="A35" s="294"/>
      <c r="B35" s="262" t="s">
        <v>655</v>
      </c>
      <c r="C35" s="262" t="n">
        <v>15</v>
      </c>
      <c r="D35" s="225" t="s">
        <v>7</v>
      </c>
      <c r="E35" s="218" t="n">
        <f aca="false">C35/2</f>
        <v>7.5</v>
      </c>
      <c r="F35" s="225" t="s">
        <v>7</v>
      </c>
    </row>
    <row r="36" customFormat="false" ht="15" hidden="false" customHeight="false" outlineLevel="0" collapsed="false">
      <c r="A36" s="294"/>
      <c r="B36" s="262" t="s">
        <v>7818</v>
      </c>
      <c r="C36" s="262" t="n">
        <v>10</v>
      </c>
      <c r="D36" s="225" t="s">
        <v>7</v>
      </c>
      <c r="E36" s="218" t="n">
        <f aca="false">C36/2</f>
        <v>5</v>
      </c>
      <c r="F36" s="225" t="s">
        <v>7</v>
      </c>
    </row>
    <row r="37" customFormat="false" ht="15" hidden="false" customHeight="false" outlineLevel="0" collapsed="false">
      <c r="A37" s="294"/>
      <c r="B37" s="262" t="s">
        <v>10</v>
      </c>
      <c r="C37" s="262" t="n">
        <v>20</v>
      </c>
      <c r="D37" s="225" t="s">
        <v>7</v>
      </c>
      <c r="E37" s="218" t="n">
        <f aca="false">C37/2</f>
        <v>10</v>
      </c>
      <c r="F37" s="225" t="s">
        <v>7</v>
      </c>
    </row>
    <row r="38" customFormat="false" ht="15" hidden="false" customHeight="false" outlineLevel="0" collapsed="false">
      <c r="A38" s="294"/>
      <c r="B38" s="262" t="s">
        <v>39</v>
      </c>
      <c r="C38" s="262" t="n">
        <v>10</v>
      </c>
      <c r="D38" s="225" t="s">
        <v>7</v>
      </c>
      <c r="E38" s="218" t="n">
        <f aca="false">C38/2</f>
        <v>5</v>
      </c>
      <c r="F38" s="225" t="s">
        <v>7</v>
      </c>
    </row>
    <row r="39" customFormat="false" ht="15" hidden="false" customHeight="false" outlineLevel="0" collapsed="false">
      <c r="A39" s="294"/>
      <c r="B39" s="262" t="s">
        <v>40</v>
      </c>
      <c r="C39" s="262" t="n">
        <v>5</v>
      </c>
      <c r="D39" s="225" t="s">
        <v>7</v>
      </c>
      <c r="E39" s="218" t="n">
        <f aca="false">C39/2</f>
        <v>2.5</v>
      </c>
      <c r="F39" s="225" t="s">
        <v>7</v>
      </c>
    </row>
    <row r="40" customFormat="false" ht="15" hidden="false" customHeight="false" outlineLevel="0" collapsed="false">
      <c r="A40" s="294"/>
      <c r="B40" s="262" t="s">
        <v>7967</v>
      </c>
      <c r="C40" s="262" t="n">
        <v>10</v>
      </c>
      <c r="D40" s="225" t="s">
        <v>7939</v>
      </c>
      <c r="E40" s="218" t="n">
        <f aca="false">C40/2</f>
        <v>5</v>
      </c>
      <c r="F40" s="225" t="s">
        <v>7939</v>
      </c>
    </row>
    <row r="41" customFormat="false" ht="15" hidden="false" customHeight="false" outlineLevel="0" collapsed="false">
      <c r="A41" s="294"/>
      <c r="B41" s="262" t="s">
        <v>564</v>
      </c>
      <c r="C41" s="262" t="n">
        <v>2.5</v>
      </c>
      <c r="D41" s="225" t="s">
        <v>20</v>
      </c>
      <c r="E41" s="218" t="n">
        <f aca="false">C41/2</f>
        <v>1.3</v>
      </c>
      <c r="F41" s="225" t="s">
        <v>20</v>
      </c>
    </row>
    <row r="42" customFormat="false" ht="15" hidden="false" customHeight="false" outlineLevel="0" collapsed="false">
      <c r="A42" s="294"/>
      <c r="B42" s="288" t="s">
        <v>7968</v>
      </c>
      <c r="C42" s="404"/>
      <c r="D42" s="242"/>
      <c r="E42" s="239"/>
      <c r="F42" s="242"/>
    </row>
    <row r="43" customFormat="false" ht="15" hidden="false" customHeight="false" outlineLevel="0" collapsed="false">
      <c r="A43" s="294"/>
      <c r="B43" s="404" t="s">
        <v>761</v>
      </c>
      <c r="C43" s="404" t="n">
        <v>2</v>
      </c>
      <c r="D43" s="242" t="s">
        <v>13</v>
      </c>
      <c r="E43" s="239" t="n">
        <f aca="false">C43/2</f>
        <v>1</v>
      </c>
      <c r="F43" s="242" t="s">
        <v>13</v>
      </c>
    </row>
    <row r="44" customFormat="false" ht="15" hidden="false" customHeight="false" outlineLevel="0" collapsed="false">
      <c r="A44" s="294"/>
      <c r="B44" s="404" t="s">
        <v>7969</v>
      </c>
      <c r="C44" s="404" t="n">
        <v>1</v>
      </c>
      <c r="D44" s="242" t="s">
        <v>13</v>
      </c>
      <c r="E44" s="239" t="n">
        <f aca="false">C44/2</f>
        <v>0.5</v>
      </c>
      <c r="F44" s="242" t="s">
        <v>13</v>
      </c>
    </row>
    <row r="45" customFormat="false" ht="15" hidden="false" customHeight="false" outlineLevel="0" collapsed="false">
      <c r="A45" s="294"/>
      <c r="B45" s="404" t="s">
        <v>763</v>
      </c>
      <c r="C45" s="404" t="n">
        <v>1</v>
      </c>
      <c r="D45" s="242" t="s">
        <v>13</v>
      </c>
      <c r="E45" s="239" t="n">
        <f aca="false">C45/2</f>
        <v>0.5</v>
      </c>
      <c r="F45" s="242" t="s">
        <v>13</v>
      </c>
    </row>
    <row r="46" customFormat="false" ht="15" hidden="false" customHeight="false" outlineLevel="0" collapsed="false">
      <c r="A46" s="294"/>
      <c r="B46" s="404" t="s">
        <v>7970</v>
      </c>
      <c r="C46" s="404" t="n">
        <v>1</v>
      </c>
      <c r="D46" s="242" t="s">
        <v>13</v>
      </c>
      <c r="E46" s="239" t="n">
        <f aca="false">C46/2</f>
        <v>0.5</v>
      </c>
      <c r="F46" s="242" t="s">
        <v>13</v>
      </c>
    </row>
    <row r="47" customFormat="false" ht="15" hidden="false" customHeight="false" outlineLevel="0" collapsed="false">
      <c r="A47" s="294"/>
      <c r="B47" s="404" t="s">
        <v>759</v>
      </c>
      <c r="C47" s="404" t="n">
        <v>2</v>
      </c>
      <c r="D47" s="242" t="s">
        <v>20</v>
      </c>
      <c r="E47" s="239" t="n">
        <f aca="false">C47/2</f>
        <v>1</v>
      </c>
      <c r="F47" s="242" t="s">
        <v>20</v>
      </c>
    </row>
    <row r="48" customFormat="false" ht="15" hidden="false" customHeight="false" outlineLevel="0" collapsed="false">
      <c r="A48" s="294"/>
      <c r="B48" s="404" t="s">
        <v>7971</v>
      </c>
      <c r="C48" s="404" t="n">
        <v>1</v>
      </c>
      <c r="D48" s="242" t="s">
        <v>13</v>
      </c>
      <c r="E48" s="239" t="n">
        <f aca="false">C48/2</f>
        <v>0.5</v>
      </c>
      <c r="F48" s="242" t="s">
        <v>13</v>
      </c>
    </row>
    <row r="49" customFormat="false" ht="15" hidden="false" customHeight="false" outlineLevel="0" collapsed="false">
      <c r="A49" s="294"/>
      <c r="B49" s="262" t="s">
        <v>14</v>
      </c>
      <c r="C49" s="262" t="n">
        <v>10</v>
      </c>
      <c r="D49" s="225" t="s">
        <v>20</v>
      </c>
      <c r="E49" s="218" t="n">
        <f aca="false">C49/2</f>
        <v>5</v>
      </c>
      <c r="F49" s="225" t="s">
        <v>20</v>
      </c>
    </row>
    <row r="50" customFormat="false" ht="15" hidden="false" customHeight="false" outlineLevel="0" collapsed="false">
      <c r="A50" s="294"/>
      <c r="B50" s="262" t="s">
        <v>15</v>
      </c>
      <c r="C50" s="262" t="n">
        <v>2</v>
      </c>
      <c r="D50" s="294" t="s">
        <v>13</v>
      </c>
      <c r="E50" s="218" t="n">
        <f aca="false">C50/2</f>
        <v>1</v>
      </c>
      <c r="F50" s="294" t="s">
        <v>13</v>
      </c>
    </row>
    <row r="51" customFormat="false" ht="15" hidden="false" customHeight="false" outlineLevel="0" collapsed="false">
      <c r="A51" s="294"/>
      <c r="B51" s="262" t="s">
        <v>7972</v>
      </c>
      <c r="C51" s="262" t="n">
        <v>1</v>
      </c>
      <c r="D51" s="225" t="s">
        <v>109</v>
      </c>
      <c r="E51" s="218" t="n">
        <f aca="false">C51/2</f>
        <v>0.5</v>
      </c>
      <c r="F51" s="225" t="s">
        <v>109</v>
      </c>
    </row>
    <row r="52" customFormat="false" ht="15" hidden="false" customHeight="false" outlineLevel="0" collapsed="false">
      <c r="A52" s="294"/>
      <c r="B52" s="262" t="s">
        <v>571</v>
      </c>
      <c r="C52" s="262" t="n">
        <v>10</v>
      </c>
      <c r="D52" s="225" t="s">
        <v>68</v>
      </c>
      <c r="E52" s="218" t="n">
        <f aca="false">C52/2</f>
        <v>5</v>
      </c>
      <c r="F52" s="225" t="s">
        <v>68</v>
      </c>
    </row>
    <row r="53" customFormat="false" ht="15" hidden="false" customHeight="false" outlineLevel="0" collapsed="false">
      <c r="A53" s="294"/>
      <c r="B53" s="262" t="s">
        <v>32</v>
      </c>
      <c r="C53" s="262" t="n">
        <v>10</v>
      </c>
      <c r="D53" s="225" t="s">
        <v>68</v>
      </c>
      <c r="E53" s="218" t="n">
        <f aca="false">C53/2</f>
        <v>5</v>
      </c>
      <c r="F53" s="225" t="s">
        <v>68</v>
      </c>
    </row>
    <row r="54" customFormat="false" ht="15" hidden="false" customHeight="false" outlineLevel="0" collapsed="false">
      <c r="A54" s="294"/>
      <c r="B54" s="262" t="s">
        <v>75</v>
      </c>
      <c r="C54" s="262" t="n">
        <v>20</v>
      </c>
      <c r="D54" s="225" t="s">
        <v>76</v>
      </c>
      <c r="E54" s="218" t="n">
        <f aca="false">C54/2</f>
        <v>10</v>
      </c>
      <c r="F54" s="225" t="s">
        <v>76</v>
      </c>
    </row>
    <row r="55" customFormat="false" ht="15" hidden="false" customHeight="false" outlineLevel="0" collapsed="false">
      <c r="A55" s="294"/>
      <c r="B55" s="262" t="s">
        <v>7833</v>
      </c>
      <c r="C55" s="262" t="n">
        <v>40</v>
      </c>
      <c r="D55" s="225" t="s">
        <v>107</v>
      </c>
      <c r="E55" s="218" t="n">
        <f aca="false">C55/2</f>
        <v>20</v>
      </c>
      <c r="F55" s="225" t="s">
        <v>107</v>
      </c>
    </row>
    <row r="56" customFormat="false" ht="15" hidden="false" customHeight="false" outlineLevel="0" collapsed="false">
      <c r="A56" s="262" t="s">
        <v>7973</v>
      </c>
      <c r="B56" s="262"/>
      <c r="C56" s="294"/>
      <c r="D56" s="225"/>
      <c r="E56" s="224"/>
      <c r="F56" s="225"/>
    </row>
    <row r="57" customFormat="false" ht="23.25" hidden="false" customHeight="false" outlineLevel="0" collapsed="false">
      <c r="A57" s="405" t="s">
        <v>7974</v>
      </c>
      <c r="B57" s="324" t="s">
        <v>2</v>
      </c>
      <c r="C57" s="324" t="s">
        <v>3</v>
      </c>
      <c r="D57" s="324" t="s">
        <v>4</v>
      </c>
      <c r="E57" s="396" t="s">
        <v>5</v>
      </c>
      <c r="F57" s="324" t="s">
        <v>4</v>
      </c>
    </row>
    <row r="58" customFormat="false" ht="18" hidden="false" customHeight="true" outlineLevel="0" collapsed="false">
      <c r="A58" s="406"/>
      <c r="B58" s="262" t="s">
        <v>7975</v>
      </c>
      <c r="C58" s="262" t="n">
        <v>12</v>
      </c>
      <c r="D58" s="225" t="s">
        <v>13</v>
      </c>
      <c r="E58" s="218" t="n">
        <f aca="false">C58*E$76/C$76</f>
        <v>300</v>
      </c>
      <c r="F58" s="225" t="s">
        <v>13</v>
      </c>
    </row>
    <row r="59" customFormat="false" ht="15" hidden="false" customHeight="false" outlineLevel="0" collapsed="false">
      <c r="A59" s="262"/>
      <c r="B59" s="262" t="s">
        <v>665</v>
      </c>
      <c r="C59" s="262" t="n">
        <v>1.5</v>
      </c>
      <c r="D59" s="225" t="s">
        <v>61</v>
      </c>
      <c r="E59" s="218" t="n">
        <f aca="false">C59*E$76/C$76</f>
        <v>37.5</v>
      </c>
      <c r="F59" s="225" t="s">
        <v>61</v>
      </c>
    </row>
    <row r="60" customFormat="false" ht="15" hidden="false" customHeight="false" outlineLevel="0" collapsed="false">
      <c r="A60" s="262"/>
      <c r="B60" s="262" t="s">
        <v>564</v>
      </c>
      <c r="C60" s="262" t="n">
        <v>0.4</v>
      </c>
      <c r="D60" s="225" t="s">
        <v>68</v>
      </c>
      <c r="E60" s="218" t="n">
        <f aca="false">C60*E$76/C$76</f>
        <v>10</v>
      </c>
      <c r="F60" s="225" t="s">
        <v>68</v>
      </c>
    </row>
    <row r="61" customFormat="false" ht="15" hidden="false" customHeight="false" outlineLevel="0" collapsed="false">
      <c r="A61" s="262"/>
      <c r="B61" s="262" t="s">
        <v>578</v>
      </c>
      <c r="C61" s="262" t="n">
        <v>22</v>
      </c>
      <c r="D61" s="225" t="s">
        <v>13</v>
      </c>
      <c r="E61" s="218" t="n">
        <f aca="false">C61*E$76/C$76</f>
        <v>550</v>
      </c>
      <c r="F61" s="225" t="s">
        <v>13</v>
      </c>
    </row>
    <row r="62" customFormat="false" ht="15" hidden="false" customHeight="false" outlineLevel="0" collapsed="false">
      <c r="A62" s="262"/>
      <c r="B62" s="262" t="s">
        <v>584</v>
      </c>
      <c r="C62" s="262" t="n">
        <v>0</v>
      </c>
      <c r="D62" s="225"/>
      <c r="E62" s="218" t="n">
        <f aca="false">C62*E$76/C$76</f>
        <v>0</v>
      </c>
      <c r="F62" s="225"/>
    </row>
    <row r="63" customFormat="false" ht="15" hidden="false" customHeight="false" outlineLevel="0" collapsed="false">
      <c r="A63" s="262"/>
      <c r="B63" s="262" t="s">
        <v>645</v>
      </c>
      <c r="C63" s="404" t="n">
        <v>1</v>
      </c>
      <c r="D63" s="225" t="s">
        <v>13</v>
      </c>
      <c r="E63" s="218" t="n">
        <f aca="false">C63*E$76/C$76</f>
        <v>25</v>
      </c>
      <c r="F63" s="225" t="s">
        <v>13</v>
      </c>
    </row>
    <row r="64" customFormat="false" ht="15" hidden="false" customHeight="false" outlineLevel="0" collapsed="false">
      <c r="A64" s="262"/>
      <c r="B64" s="262" t="s">
        <v>570</v>
      </c>
      <c r="C64" s="262" t="n">
        <v>0.5</v>
      </c>
      <c r="D64" s="225" t="s">
        <v>68</v>
      </c>
      <c r="E64" s="218" t="n">
        <f aca="false">C64*E$76/C$76</f>
        <v>12.5</v>
      </c>
      <c r="F64" s="225" t="s">
        <v>68</v>
      </c>
    </row>
    <row r="65" customFormat="false" ht="15" hidden="false" customHeight="false" outlineLevel="0" collapsed="false">
      <c r="A65" s="262"/>
      <c r="B65" s="262" t="s">
        <v>14</v>
      </c>
      <c r="C65" s="262" t="n">
        <v>0.4</v>
      </c>
      <c r="D65" s="225" t="s">
        <v>68</v>
      </c>
      <c r="E65" s="218" t="n">
        <f aca="false">C65*E$76/C$76</f>
        <v>10</v>
      </c>
      <c r="F65" s="225" t="s">
        <v>68</v>
      </c>
    </row>
    <row r="66" customFormat="false" ht="15" hidden="false" customHeight="false" outlineLevel="0" collapsed="false">
      <c r="A66" s="262"/>
      <c r="B66" s="262" t="s">
        <v>603</v>
      </c>
      <c r="C66" s="262" t="n">
        <v>0.3</v>
      </c>
      <c r="D66" s="225" t="s">
        <v>68</v>
      </c>
      <c r="E66" s="218" t="n">
        <f aca="false">C66*E$76/C$76</f>
        <v>7.5</v>
      </c>
      <c r="F66" s="225" t="s">
        <v>68</v>
      </c>
    </row>
    <row r="67" customFormat="false" ht="15" hidden="false" customHeight="false" outlineLevel="0" collapsed="false">
      <c r="A67" s="262"/>
      <c r="B67" s="262" t="s">
        <v>562</v>
      </c>
      <c r="C67" s="262" t="n">
        <v>0.5</v>
      </c>
      <c r="D67" s="225" t="s">
        <v>68</v>
      </c>
      <c r="E67" s="218" t="n">
        <f aca="false">C67*E$76/C$76</f>
        <v>12.5</v>
      </c>
      <c r="F67" s="225" t="s">
        <v>68</v>
      </c>
    </row>
    <row r="68" customFormat="false" ht="15" hidden="false" customHeight="false" outlineLevel="0" collapsed="false">
      <c r="A68" s="262"/>
      <c r="B68" s="262" t="s">
        <v>16</v>
      </c>
      <c r="C68" s="262" t="n">
        <v>0.5</v>
      </c>
      <c r="D68" s="225" t="s">
        <v>13</v>
      </c>
      <c r="E68" s="218" t="n">
        <f aca="false">C68*E$76/C$76</f>
        <v>12.5</v>
      </c>
      <c r="F68" s="225" t="s">
        <v>13</v>
      </c>
    </row>
    <row r="69" customFormat="false" ht="15" hidden="false" customHeight="false" outlineLevel="0" collapsed="false">
      <c r="A69" s="262"/>
      <c r="B69" s="262" t="s">
        <v>694</v>
      </c>
      <c r="C69" s="262" t="n">
        <v>0.8</v>
      </c>
      <c r="D69" s="225" t="s">
        <v>68</v>
      </c>
      <c r="E69" s="218" t="n">
        <f aca="false">C69*E$76/C$76</f>
        <v>20</v>
      </c>
      <c r="F69" s="225" t="s">
        <v>68</v>
      </c>
    </row>
    <row r="70" customFormat="false" ht="15" hidden="false" customHeight="false" outlineLevel="0" collapsed="false">
      <c r="A70" s="262"/>
      <c r="B70" s="262" t="s">
        <v>18</v>
      </c>
      <c r="C70" s="262" t="n">
        <v>2</v>
      </c>
      <c r="D70" s="225" t="s">
        <v>68</v>
      </c>
      <c r="E70" s="218" t="n">
        <f aca="false">C70*E$76/C$76</f>
        <v>50</v>
      </c>
      <c r="F70" s="225" t="s">
        <v>68</v>
      </c>
    </row>
    <row r="71" customFormat="false" ht="15" hidden="false" customHeight="false" outlineLevel="0" collapsed="false">
      <c r="A71" s="262"/>
      <c r="B71" s="262" t="s">
        <v>651</v>
      </c>
      <c r="C71" s="262" t="n">
        <v>0.5</v>
      </c>
      <c r="D71" s="225" t="s">
        <v>13</v>
      </c>
      <c r="E71" s="218" t="n">
        <f aca="false">C71*E$76/C$76</f>
        <v>12.5</v>
      </c>
      <c r="F71" s="225" t="s">
        <v>13</v>
      </c>
    </row>
    <row r="72" customFormat="false" ht="15" hidden="false" customHeight="false" outlineLevel="0" collapsed="false">
      <c r="A72" s="262"/>
      <c r="B72" s="262" t="s">
        <v>32</v>
      </c>
      <c r="C72" s="262" t="n">
        <v>1.5</v>
      </c>
      <c r="D72" s="225" t="s">
        <v>68</v>
      </c>
      <c r="E72" s="218" t="n">
        <f aca="false">C72*E$76/C$76</f>
        <v>37.5</v>
      </c>
      <c r="F72" s="225" t="s">
        <v>68</v>
      </c>
    </row>
    <row r="73" customFormat="false" ht="15" hidden="false" customHeight="false" outlineLevel="0" collapsed="false">
      <c r="A73" s="262"/>
      <c r="B73" s="262" t="s">
        <v>571</v>
      </c>
      <c r="C73" s="262" t="n">
        <v>1.5</v>
      </c>
      <c r="D73" s="225" t="s">
        <v>68</v>
      </c>
      <c r="E73" s="218" t="n">
        <f aca="false">C73*E$76/C$76</f>
        <v>37.5</v>
      </c>
      <c r="F73" s="225" t="s">
        <v>68</v>
      </c>
    </row>
    <row r="74" customFormat="false" ht="15" hidden="false" customHeight="false" outlineLevel="0" collapsed="false">
      <c r="A74" s="262"/>
      <c r="B74" s="262" t="s">
        <v>23</v>
      </c>
      <c r="C74" s="262" t="n">
        <v>0.5</v>
      </c>
      <c r="D74" s="225" t="s">
        <v>13</v>
      </c>
      <c r="E74" s="218" t="n">
        <f aca="false">C74*E$76/C$76</f>
        <v>12.5</v>
      </c>
      <c r="F74" s="225" t="s">
        <v>13</v>
      </c>
    </row>
    <row r="75" customFormat="false" ht="15" hidden="false" customHeight="false" outlineLevel="0" collapsed="false">
      <c r="A75" s="262"/>
      <c r="B75" s="282" t="s">
        <v>26</v>
      </c>
      <c r="C75" s="282" t="n">
        <v>1</v>
      </c>
      <c r="D75" s="326" t="s">
        <v>27</v>
      </c>
      <c r="E75" s="216" t="n">
        <f aca="false">C75*E$76/C$76</f>
        <v>25</v>
      </c>
      <c r="F75" s="326" t="s">
        <v>27</v>
      </c>
    </row>
    <row r="76" customFormat="false" ht="15" hidden="false" customHeight="false" outlineLevel="0" collapsed="false">
      <c r="A76" s="262"/>
      <c r="B76" s="282" t="s">
        <v>26</v>
      </c>
      <c r="C76" s="282" t="n">
        <v>35</v>
      </c>
      <c r="D76" s="326" t="s">
        <v>13</v>
      </c>
      <c r="E76" s="248" t="n">
        <v>875</v>
      </c>
      <c r="F76" s="326" t="s">
        <v>13</v>
      </c>
    </row>
    <row r="77" customFormat="false" ht="15" hidden="false" customHeight="false" outlineLevel="0" collapsed="false">
      <c r="A77" s="262"/>
      <c r="B77" s="262"/>
      <c r="C77" s="294"/>
      <c r="D77" s="225"/>
      <c r="E77" s="224"/>
      <c r="F77" s="225"/>
      <c r="J77" s="1"/>
      <c r="K77" s="231" t="s">
        <v>7824</v>
      </c>
      <c r="L77" s="407"/>
    </row>
    <row r="78" customFormat="false" ht="15" hidden="false" customHeight="false" outlineLevel="0" collapsed="false">
      <c r="A78" s="262"/>
      <c r="B78" s="262"/>
      <c r="C78" s="262"/>
      <c r="D78" s="225"/>
      <c r="E78" s="218"/>
      <c r="F78" s="225"/>
    </row>
    <row r="79" customFormat="false" ht="14.45" hidden="false" customHeight="true" outlineLevel="0" collapsed="false">
      <c r="A79" s="379" t="s">
        <v>7976</v>
      </c>
      <c r="B79" s="324" t="s">
        <v>2</v>
      </c>
      <c r="C79" s="324" t="s">
        <v>3</v>
      </c>
      <c r="D79" s="324" t="s">
        <v>4</v>
      </c>
      <c r="E79" s="396" t="s">
        <v>5</v>
      </c>
      <c r="F79" s="324" t="s">
        <v>4</v>
      </c>
    </row>
    <row r="80" customFormat="false" ht="15" hidden="false" customHeight="false" outlineLevel="0" collapsed="false">
      <c r="A80" s="379"/>
      <c r="B80" s="262" t="s">
        <v>7977</v>
      </c>
      <c r="C80" s="220" t="n">
        <v>1</v>
      </c>
      <c r="D80" s="225" t="s">
        <v>13</v>
      </c>
      <c r="E80" s="218" t="n">
        <f aca="false">C80*E$101/C$101</f>
        <v>20</v>
      </c>
      <c r="F80" s="225" t="s">
        <v>13</v>
      </c>
    </row>
    <row r="81" customFormat="false" ht="15" hidden="false" customHeight="false" outlineLevel="0" collapsed="false">
      <c r="A81" s="262"/>
      <c r="B81" s="262" t="s">
        <v>562</v>
      </c>
      <c r="C81" s="220" t="n">
        <v>0.538461538461538</v>
      </c>
      <c r="D81" s="225" t="s">
        <v>20</v>
      </c>
      <c r="E81" s="218" t="n">
        <f aca="false">C81*E$101/C$101</f>
        <v>10</v>
      </c>
      <c r="F81" s="225" t="s">
        <v>20</v>
      </c>
    </row>
    <row r="82" customFormat="false" ht="15" hidden="false" customHeight="false" outlineLevel="0" collapsed="false">
      <c r="A82" s="262"/>
      <c r="B82" s="262" t="s">
        <v>54</v>
      </c>
      <c r="C82" s="220" t="n">
        <v>0.5</v>
      </c>
      <c r="D82" s="225" t="s">
        <v>20</v>
      </c>
      <c r="E82" s="218" t="n">
        <f aca="false">C82*E$101/C$101</f>
        <v>10</v>
      </c>
      <c r="F82" s="225" t="s">
        <v>20</v>
      </c>
    </row>
    <row r="83" customFormat="false" ht="15" hidden="false" customHeight="false" outlineLevel="0" collapsed="false">
      <c r="A83" s="262"/>
      <c r="B83" s="262" t="s">
        <v>73</v>
      </c>
      <c r="C83" s="220" t="n">
        <v>1</v>
      </c>
      <c r="D83" s="225" t="s">
        <v>20</v>
      </c>
      <c r="E83" s="218" t="n">
        <f aca="false">C83*E$101/C$101</f>
        <v>20</v>
      </c>
      <c r="F83" s="225" t="s">
        <v>20</v>
      </c>
    </row>
    <row r="84" customFormat="false" ht="15" hidden="false" customHeight="false" outlineLevel="0" collapsed="false">
      <c r="A84" s="262"/>
      <c r="B84" s="262" t="s">
        <v>564</v>
      </c>
      <c r="C84" s="220" t="n">
        <v>0.5</v>
      </c>
      <c r="D84" s="225" t="s">
        <v>20</v>
      </c>
      <c r="E84" s="218" t="n">
        <f aca="false">C84*E$101/C$101</f>
        <v>10</v>
      </c>
      <c r="F84" s="225" t="s">
        <v>20</v>
      </c>
    </row>
    <row r="85" customFormat="false" ht="15" hidden="false" customHeight="false" outlineLevel="0" collapsed="false">
      <c r="A85" s="262"/>
      <c r="B85" s="262" t="s">
        <v>18</v>
      </c>
      <c r="C85" s="220" t="n">
        <v>1</v>
      </c>
      <c r="D85" s="225" t="s">
        <v>20</v>
      </c>
      <c r="E85" s="218" t="n">
        <f aca="false">C85*E$101/C$101</f>
        <v>20</v>
      </c>
      <c r="F85" s="225" t="s">
        <v>20</v>
      </c>
    </row>
    <row r="86" customFormat="false" ht="15" hidden="false" customHeight="false" outlineLevel="0" collapsed="false">
      <c r="A86" s="262"/>
      <c r="B86" s="262" t="s">
        <v>7978</v>
      </c>
      <c r="C86" s="220" t="n">
        <v>12</v>
      </c>
      <c r="D86" s="225" t="s">
        <v>7</v>
      </c>
      <c r="E86" s="218" t="n">
        <f aca="false">C86*E$101/C$101</f>
        <v>240</v>
      </c>
      <c r="F86" s="225" t="s">
        <v>7</v>
      </c>
    </row>
    <row r="87" customFormat="false" ht="15" hidden="false" customHeight="false" outlineLevel="0" collapsed="false">
      <c r="A87" s="262"/>
      <c r="B87" s="292" t="s">
        <v>7979</v>
      </c>
      <c r="C87" s="229"/>
      <c r="D87" s="329" t="s">
        <v>13</v>
      </c>
      <c r="E87" s="218"/>
      <c r="F87" s="225"/>
    </row>
    <row r="88" customFormat="false" ht="15" hidden="false" customHeight="false" outlineLevel="0" collapsed="false">
      <c r="A88" s="262"/>
      <c r="B88" s="262" t="s">
        <v>7980</v>
      </c>
      <c r="C88" s="220" t="n">
        <v>12</v>
      </c>
      <c r="D88" s="225" t="s">
        <v>7</v>
      </c>
      <c r="E88" s="218" t="n">
        <f aca="false">C88*E$101/C$101</f>
        <v>240</v>
      </c>
      <c r="F88" s="225" t="s">
        <v>7</v>
      </c>
    </row>
    <row r="89" customFormat="false" ht="15" hidden="false" customHeight="false" outlineLevel="0" collapsed="false">
      <c r="A89" s="262"/>
      <c r="B89" s="292" t="s">
        <v>7981</v>
      </c>
      <c r="C89" s="229"/>
      <c r="D89" s="329" t="s">
        <v>13</v>
      </c>
      <c r="E89" s="218"/>
      <c r="F89" s="225"/>
    </row>
    <row r="90" customFormat="false" ht="15" hidden="false" customHeight="false" outlineLevel="0" collapsed="false">
      <c r="A90" s="262"/>
      <c r="B90" s="262" t="s">
        <v>7982</v>
      </c>
      <c r="C90" s="220" t="n">
        <v>10</v>
      </c>
      <c r="D90" s="225" t="s">
        <v>127</v>
      </c>
      <c r="E90" s="218" t="n">
        <f aca="false">C90*E$101/C$101</f>
        <v>200</v>
      </c>
      <c r="F90" s="225" t="s">
        <v>127</v>
      </c>
    </row>
    <row r="91" customFormat="false" ht="15" hidden="false" customHeight="false" outlineLevel="0" collapsed="false">
      <c r="A91" s="262"/>
      <c r="B91" s="292" t="s">
        <v>7983</v>
      </c>
      <c r="C91" s="229"/>
      <c r="D91" s="329" t="s">
        <v>13</v>
      </c>
      <c r="E91" s="218"/>
      <c r="F91" s="225"/>
    </row>
    <row r="92" customFormat="false" ht="15" hidden="false" customHeight="false" outlineLevel="0" collapsed="false">
      <c r="A92" s="262"/>
      <c r="B92" s="262" t="s">
        <v>7984</v>
      </c>
      <c r="C92" s="220" t="n">
        <v>5</v>
      </c>
      <c r="D92" s="225" t="s">
        <v>13</v>
      </c>
      <c r="E92" s="218" t="n">
        <f aca="false">C92*E$101/C$101</f>
        <v>100</v>
      </c>
      <c r="F92" s="225"/>
    </row>
    <row r="93" customFormat="false" ht="15" hidden="false" customHeight="false" outlineLevel="0" collapsed="false">
      <c r="A93" s="262"/>
      <c r="B93" s="262" t="s">
        <v>96</v>
      </c>
      <c r="C93" s="220" t="n">
        <v>1.34615384615385</v>
      </c>
      <c r="D93" s="225" t="s">
        <v>20</v>
      </c>
      <c r="E93" s="218" t="n">
        <f aca="false">C93*E$101/C$101</f>
        <v>26</v>
      </c>
      <c r="F93" s="225" t="s">
        <v>20</v>
      </c>
    </row>
    <row r="94" customFormat="false" ht="15" hidden="false" customHeight="false" outlineLevel="0" collapsed="false">
      <c r="A94" s="262"/>
      <c r="B94" s="262" t="s">
        <v>722</v>
      </c>
      <c r="C94" s="220" t="n">
        <v>0.2</v>
      </c>
      <c r="D94" s="225" t="s">
        <v>7</v>
      </c>
      <c r="E94" s="218" t="n">
        <f aca="false">C94*E$101/C$101</f>
        <v>4</v>
      </c>
      <c r="F94" s="225" t="s">
        <v>7</v>
      </c>
    </row>
    <row r="95" customFormat="false" ht="15" hidden="false" customHeight="false" outlineLevel="0" collapsed="false">
      <c r="A95" s="262"/>
      <c r="B95" s="262" t="s">
        <v>7985</v>
      </c>
      <c r="C95" s="220" t="n">
        <v>1</v>
      </c>
      <c r="D95" s="225" t="s">
        <v>20</v>
      </c>
      <c r="E95" s="218" t="n">
        <f aca="false">C95*E$101/C$101</f>
        <v>20</v>
      </c>
      <c r="F95" s="225" t="s">
        <v>20</v>
      </c>
    </row>
    <row r="96" customFormat="false" ht="15" hidden="false" customHeight="false" outlineLevel="0" collapsed="false">
      <c r="A96" s="262"/>
      <c r="B96" s="262" t="s">
        <v>7986</v>
      </c>
      <c r="C96" s="220" t="n">
        <v>0.3</v>
      </c>
      <c r="D96" s="225" t="s">
        <v>20</v>
      </c>
      <c r="E96" s="218" t="n">
        <f aca="false">C96*E$101/C$101</f>
        <v>6</v>
      </c>
      <c r="F96" s="225" t="s">
        <v>20</v>
      </c>
    </row>
    <row r="97" customFormat="false" ht="15" hidden="false" customHeight="false" outlineLevel="0" collapsed="false">
      <c r="A97" s="262"/>
      <c r="B97" s="262" t="s">
        <v>7672</v>
      </c>
      <c r="C97" s="220" t="n">
        <v>0.5</v>
      </c>
      <c r="D97" s="225" t="s">
        <v>7</v>
      </c>
      <c r="E97" s="218" t="n">
        <f aca="false">C97*E$101/C$101</f>
        <v>10</v>
      </c>
      <c r="F97" s="225" t="s">
        <v>7</v>
      </c>
    </row>
    <row r="98" customFormat="false" ht="15" hidden="false" customHeight="false" outlineLevel="0" collapsed="false">
      <c r="A98" s="262"/>
      <c r="B98" s="292" t="s">
        <v>7987</v>
      </c>
      <c r="C98" s="229"/>
      <c r="D98" s="225" t="s">
        <v>13</v>
      </c>
      <c r="E98" s="218"/>
      <c r="F98" s="225"/>
    </row>
    <row r="99" customFormat="false" ht="15" hidden="false" customHeight="false" outlineLevel="0" collapsed="false">
      <c r="A99" s="262"/>
      <c r="B99" s="262" t="s">
        <v>723</v>
      </c>
      <c r="C99" s="220" t="n">
        <v>0.5</v>
      </c>
      <c r="D99" s="225" t="s">
        <v>13</v>
      </c>
      <c r="E99" s="218" t="n">
        <f aca="false">C99*E$101/C$101</f>
        <v>10</v>
      </c>
      <c r="F99" s="225" t="s">
        <v>13</v>
      </c>
    </row>
    <row r="100" customFormat="false" ht="15" hidden="false" customHeight="false" outlineLevel="0" collapsed="false">
      <c r="A100" s="262"/>
      <c r="B100" s="282" t="s">
        <v>26</v>
      </c>
      <c r="C100" s="258" t="n">
        <v>1</v>
      </c>
      <c r="D100" s="326" t="s">
        <v>27</v>
      </c>
      <c r="E100" s="218" t="n">
        <f aca="false">C100*E$101/C$101</f>
        <v>20</v>
      </c>
      <c r="F100" s="326" t="s">
        <v>27</v>
      </c>
    </row>
    <row r="101" customFormat="false" ht="15" hidden="false" customHeight="false" outlineLevel="0" collapsed="false">
      <c r="A101" s="262"/>
      <c r="B101" s="282" t="s">
        <v>26</v>
      </c>
      <c r="C101" s="258" t="n">
        <v>35</v>
      </c>
      <c r="D101" s="326" t="s">
        <v>13</v>
      </c>
      <c r="E101" s="250" t="n">
        <v>700</v>
      </c>
      <c r="F101" s="326" t="s">
        <v>13</v>
      </c>
    </row>
    <row r="102" customFormat="false" ht="15" hidden="false" customHeight="false" outlineLevel="0" collapsed="false">
      <c r="A102" s="262"/>
      <c r="B102" s="262"/>
      <c r="C102" s="294"/>
      <c r="D102" s="225"/>
      <c r="E102" s="224"/>
      <c r="F102" s="225"/>
    </row>
    <row r="103" customFormat="false" ht="15" hidden="false" customHeight="false" outlineLevel="0" collapsed="false">
      <c r="A103" s="408" t="s">
        <v>7988</v>
      </c>
      <c r="B103" s="324" t="s">
        <v>2</v>
      </c>
      <c r="C103" s="324" t="s">
        <v>3</v>
      </c>
      <c r="D103" s="324" t="s">
        <v>4</v>
      </c>
      <c r="E103" s="396" t="s">
        <v>5</v>
      </c>
      <c r="F103" s="324" t="s">
        <v>4</v>
      </c>
    </row>
    <row r="104" customFormat="false" ht="15" hidden="false" customHeight="false" outlineLevel="0" collapsed="false">
      <c r="A104" s="408"/>
      <c r="B104" s="262" t="s">
        <v>712</v>
      </c>
      <c r="C104" s="220" t="n">
        <v>4</v>
      </c>
      <c r="D104" s="225" t="s">
        <v>7</v>
      </c>
      <c r="E104" s="218" t="n">
        <f aca="false">C104*E$128/C$128</f>
        <v>56</v>
      </c>
      <c r="F104" s="225" t="s">
        <v>7</v>
      </c>
    </row>
    <row r="105" customFormat="false" ht="15" hidden="false" customHeight="false" outlineLevel="0" collapsed="false">
      <c r="A105" s="262"/>
      <c r="B105" s="262" t="s">
        <v>655</v>
      </c>
      <c r="C105" s="220" t="n">
        <v>3.2</v>
      </c>
      <c r="D105" s="225" t="s">
        <v>7</v>
      </c>
      <c r="E105" s="218" t="n">
        <f aca="false">C105*E$128/C$128</f>
        <v>44.8</v>
      </c>
      <c r="F105" s="225" t="s">
        <v>7</v>
      </c>
    </row>
    <row r="106" customFormat="false" ht="15" hidden="false" customHeight="false" outlineLevel="0" collapsed="false">
      <c r="A106" s="262"/>
      <c r="B106" s="262" t="s">
        <v>11</v>
      </c>
      <c r="C106" s="220" t="n">
        <v>2</v>
      </c>
      <c r="D106" s="225" t="s">
        <v>7</v>
      </c>
      <c r="E106" s="218" t="n">
        <f aca="false">C106*E$128/C$128</f>
        <v>28</v>
      </c>
      <c r="F106" s="225" t="s">
        <v>7</v>
      </c>
    </row>
    <row r="107" customFormat="false" ht="15" hidden="false" customHeight="false" outlineLevel="0" collapsed="false">
      <c r="A107" s="262"/>
      <c r="B107" s="262" t="s">
        <v>63</v>
      </c>
      <c r="C107" s="220" t="n">
        <v>4</v>
      </c>
      <c r="D107" s="225" t="s">
        <v>7</v>
      </c>
      <c r="E107" s="218" t="n">
        <f aca="false">C107*E$128/C$128</f>
        <v>56</v>
      </c>
      <c r="F107" s="225" t="s">
        <v>7</v>
      </c>
    </row>
    <row r="108" customFormat="false" ht="15" hidden="false" customHeight="false" outlineLevel="0" collapsed="false">
      <c r="A108" s="262"/>
      <c r="B108" s="262" t="s">
        <v>40</v>
      </c>
      <c r="C108" s="220" t="n">
        <v>3.2</v>
      </c>
      <c r="D108" s="225" t="s">
        <v>7</v>
      </c>
      <c r="E108" s="218" t="n">
        <f aca="false">C108*E$128/C$128</f>
        <v>44.8</v>
      </c>
      <c r="F108" s="225" t="s">
        <v>7</v>
      </c>
    </row>
    <row r="109" customFormat="false" ht="15" hidden="false" customHeight="false" outlineLevel="0" collapsed="false">
      <c r="A109" s="262"/>
      <c r="B109" s="262" t="s">
        <v>7818</v>
      </c>
      <c r="C109" s="220" t="n">
        <v>2.4</v>
      </c>
      <c r="D109" s="225" t="s">
        <v>7</v>
      </c>
      <c r="E109" s="218" t="n">
        <f aca="false">C109*E$128/C$128</f>
        <v>33.6</v>
      </c>
      <c r="F109" s="225" t="s">
        <v>7</v>
      </c>
    </row>
    <row r="110" customFormat="false" ht="15" hidden="false" customHeight="false" outlineLevel="0" collapsed="false">
      <c r="A110" s="262"/>
      <c r="B110" s="262" t="s">
        <v>7678</v>
      </c>
      <c r="C110" s="220" t="n">
        <v>3.2</v>
      </c>
      <c r="D110" s="225" t="s">
        <v>7</v>
      </c>
      <c r="E110" s="218" t="n">
        <f aca="false">C110*E$128/C$128</f>
        <v>44.8</v>
      </c>
      <c r="F110" s="225" t="s">
        <v>7</v>
      </c>
    </row>
    <row r="111" customFormat="false" ht="15" hidden="false" customHeight="false" outlineLevel="0" collapsed="false">
      <c r="A111" s="262"/>
      <c r="B111" s="262" t="s">
        <v>7989</v>
      </c>
      <c r="C111" s="220" t="n">
        <v>22</v>
      </c>
      <c r="D111" s="225" t="s">
        <v>7</v>
      </c>
      <c r="E111" s="218" t="n">
        <f aca="false">C111*E$128/C$128</f>
        <v>308</v>
      </c>
      <c r="F111" s="225" t="s">
        <v>7</v>
      </c>
    </row>
    <row r="112" customFormat="false" ht="15" hidden="false" customHeight="false" outlineLevel="0" collapsed="false">
      <c r="A112" s="262"/>
      <c r="B112" s="262" t="s">
        <v>7982</v>
      </c>
      <c r="C112" s="220" t="n">
        <v>25</v>
      </c>
      <c r="D112" s="225" t="s">
        <v>127</v>
      </c>
      <c r="E112" s="218" t="n">
        <f aca="false">C112*E$128/C$128</f>
        <v>350</v>
      </c>
      <c r="F112" s="225" t="s">
        <v>127</v>
      </c>
    </row>
    <row r="113" customFormat="false" ht="15" hidden="false" customHeight="false" outlineLevel="0" collapsed="false">
      <c r="A113" s="262"/>
      <c r="B113" s="292" t="s">
        <v>7990</v>
      </c>
      <c r="C113" s="220"/>
      <c r="D113" s="225"/>
      <c r="E113" s="218"/>
      <c r="F113" s="225"/>
    </row>
    <row r="114" customFormat="false" ht="15" hidden="false" customHeight="false" outlineLevel="0" collapsed="false">
      <c r="A114" s="262"/>
      <c r="B114" s="292" t="s">
        <v>7991</v>
      </c>
      <c r="C114" s="220"/>
      <c r="D114" s="225"/>
      <c r="E114" s="218"/>
      <c r="F114" s="225"/>
    </row>
    <row r="115" customFormat="false" ht="15" hidden="false" customHeight="false" outlineLevel="0" collapsed="false">
      <c r="A115" s="262"/>
      <c r="B115" s="262" t="s">
        <v>7978</v>
      </c>
      <c r="C115" s="220" t="n">
        <v>11</v>
      </c>
      <c r="D115" s="225" t="s">
        <v>7</v>
      </c>
      <c r="E115" s="218" t="n">
        <f aca="false">C115*E$128/C$128</f>
        <v>154</v>
      </c>
      <c r="F115" s="225" t="s">
        <v>7</v>
      </c>
    </row>
    <row r="116" customFormat="false" ht="15" hidden="false" customHeight="false" outlineLevel="0" collapsed="false">
      <c r="A116" s="262"/>
      <c r="B116" s="292" t="s">
        <v>7992</v>
      </c>
      <c r="C116" s="220"/>
      <c r="D116" s="225" t="s">
        <v>13</v>
      </c>
      <c r="E116" s="218"/>
      <c r="F116" s="225"/>
    </row>
    <row r="117" customFormat="false" ht="15" hidden="false" customHeight="false" outlineLevel="0" collapsed="false">
      <c r="A117" s="262"/>
      <c r="B117" s="262" t="s">
        <v>74</v>
      </c>
      <c r="C117" s="264" t="n">
        <v>1</v>
      </c>
      <c r="D117" s="242" t="s">
        <v>7</v>
      </c>
      <c r="E117" s="218" t="n">
        <f aca="false">C117*E$128/C$128</f>
        <v>14</v>
      </c>
      <c r="F117" s="225" t="s">
        <v>7</v>
      </c>
    </row>
    <row r="118" customFormat="false" ht="15" hidden="false" customHeight="false" outlineLevel="0" collapsed="false">
      <c r="A118" s="262"/>
      <c r="B118" s="262" t="s">
        <v>765</v>
      </c>
      <c r="C118" s="220" t="n">
        <v>2</v>
      </c>
      <c r="D118" s="225" t="s">
        <v>20</v>
      </c>
      <c r="E118" s="218" t="n">
        <f aca="false">C118*E$128/C$128</f>
        <v>28</v>
      </c>
      <c r="F118" s="225" t="s">
        <v>20</v>
      </c>
    </row>
    <row r="119" customFormat="false" ht="15" hidden="false" customHeight="false" outlineLevel="0" collapsed="false">
      <c r="A119" s="262"/>
      <c r="B119" s="262" t="s">
        <v>7993</v>
      </c>
      <c r="C119" s="220" t="n">
        <v>1</v>
      </c>
      <c r="D119" s="225" t="s">
        <v>20</v>
      </c>
      <c r="E119" s="218" t="n">
        <f aca="false">C119*E$128/C$128</f>
        <v>14</v>
      </c>
      <c r="F119" s="225" t="s">
        <v>20</v>
      </c>
    </row>
    <row r="120" customFormat="false" ht="15" hidden="false" customHeight="false" outlineLevel="0" collapsed="false">
      <c r="A120" s="262"/>
      <c r="B120" s="262" t="s">
        <v>70</v>
      </c>
      <c r="C120" s="220" t="n">
        <v>1</v>
      </c>
      <c r="D120" s="225" t="s">
        <v>20</v>
      </c>
      <c r="E120" s="218" t="n">
        <f aca="false">C120*E$128/C$128</f>
        <v>14</v>
      </c>
      <c r="F120" s="225" t="s">
        <v>20</v>
      </c>
    </row>
    <row r="121" customFormat="false" ht="15" hidden="false" customHeight="false" outlineLevel="0" collapsed="false">
      <c r="A121" s="262"/>
      <c r="B121" s="262" t="s">
        <v>564</v>
      </c>
      <c r="C121" s="220" t="n">
        <v>0.25</v>
      </c>
      <c r="D121" s="225" t="s">
        <v>20</v>
      </c>
      <c r="E121" s="218" t="n">
        <f aca="false">C121*E$128/C$128</f>
        <v>4.2</v>
      </c>
      <c r="F121" s="225" t="s">
        <v>20</v>
      </c>
    </row>
    <row r="122" customFormat="false" ht="15" hidden="false" customHeight="false" outlineLevel="0" collapsed="false">
      <c r="A122" s="262"/>
      <c r="B122" s="262" t="s">
        <v>57</v>
      </c>
      <c r="C122" s="220" t="n">
        <v>0.7</v>
      </c>
      <c r="D122" s="225" t="s">
        <v>7</v>
      </c>
      <c r="E122" s="218" t="n">
        <f aca="false">C122*E$128/C$128</f>
        <v>9.8</v>
      </c>
      <c r="F122" s="225" t="s">
        <v>7</v>
      </c>
    </row>
    <row r="123" customFormat="false" ht="15" hidden="false" customHeight="false" outlineLevel="0" collapsed="false">
      <c r="A123" s="262"/>
      <c r="B123" s="262" t="s">
        <v>7994</v>
      </c>
      <c r="C123" s="220" t="n">
        <v>1</v>
      </c>
      <c r="D123" s="225" t="s">
        <v>20</v>
      </c>
      <c r="E123" s="218" t="n">
        <f aca="false">C123*E$128/C$128</f>
        <v>14</v>
      </c>
      <c r="F123" s="225" t="s">
        <v>20</v>
      </c>
    </row>
    <row r="124" customFormat="false" ht="15" hidden="false" customHeight="false" outlineLevel="0" collapsed="false">
      <c r="A124" s="262"/>
      <c r="B124" s="262" t="s">
        <v>7985</v>
      </c>
      <c r="C124" s="220" t="n">
        <v>1.5</v>
      </c>
      <c r="D124" s="225" t="s">
        <v>20</v>
      </c>
      <c r="E124" s="218" t="n">
        <f aca="false">C124*E$128/C$128</f>
        <v>21</v>
      </c>
      <c r="F124" s="225" t="s">
        <v>20</v>
      </c>
    </row>
    <row r="125" customFormat="false" ht="15" hidden="false" customHeight="false" outlineLevel="0" collapsed="false">
      <c r="A125" s="262"/>
      <c r="B125" s="404" t="s">
        <v>7995</v>
      </c>
      <c r="C125" s="264" t="n">
        <v>3</v>
      </c>
      <c r="D125" s="242" t="s">
        <v>13</v>
      </c>
      <c r="E125" s="218" t="n">
        <f aca="false">C125*E$128/C$128</f>
        <v>42</v>
      </c>
      <c r="F125" s="225" t="s">
        <v>13</v>
      </c>
    </row>
    <row r="126" customFormat="false" ht="15" hidden="false" customHeight="false" outlineLevel="0" collapsed="false">
      <c r="A126" s="262"/>
      <c r="B126" s="404" t="s">
        <v>7996</v>
      </c>
      <c r="C126" s="264" t="n">
        <v>0.5</v>
      </c>
      <c r="D126" s="242" t="s">
        <v>7</v>
      </c>
      <c r="E126" s="218" t="n">
        <f aca="false">C126*E$128/C$128</f>
        <v>7</v>
      </c>
      <c r="F126" s="225" t="s">
        <v>7</v>
      </c>
    </row>
    <row r="127" customFormat="false" ht="15" hidden="false" customHeight="false" outlineLevel="0" collapsed="false">
      <c r="A127" s="262"/>
      <c r="B127" s="282" t="s">
        <v>26</v>
      </c>
      <c r="C127" s="258" t="n">
        <v>1</v>
      </c>
      <c r="D127" s="326" t="s">
        <v>27</v>
      </c>
      <c r="E127" s="216" t="n">
        <f aca="false">C127*E$128/C$128</f>
        <v>14</v>
      </c>
      <c r="F127" s="326" t="s">
        <v>27</v>
      </c>
    </row>
    <row r="128" customFormat="false" ht="15" hidden="false" customHeight="false" outlineLevel="0" collapsed="false">
      <c r="A128" s="262"/>
      <c r="B128" s="282" t="s">
        <v>26</v>
      </c>
      <c r="C128" s="258" t="n">
        <v>35</v>
      </c>
      <c r="D128" s="326" t="s">
        <v>13</v>
      </c>
      <c r="E128" s="248" t="n">
        <v>490</v>
      </c>
      <c r="F128" s="326" t="s">
        <v>13</v>
      </c>
    </row>
    <row r="129" customFormat="false" ht="15" hidden="false" customHeight="false" outlineLevel="0" collapsed="false">
      <c r="A129" s="1"/>
      <c r="B129" s="409" t="s">
        <v>7997</v>
      </c>
      <c r="C129" s="1"/>
      <c r="E129" s="407"/>
    </row>
    <row r="130" customFormat="false" ht="15" hidden="false" customHeight="false" outlineLevel="0" collapsed="false">
      <c r="A130" s="1"/>
      <c r="B130" s="409"/>
    </row>
    <row r="131" customFormat="false" ht="15" hidden="false" customHeight="false" outlineLevel="0" collapsed="false">
      <c r="A131" s="1"/>
      <c r="B131" s="409"/>
      <c r="J131" s="1"/>
      <c r="K131" s="4"/>
      <c r="L131" s="407"/>
      <c r="M131" s="4"/>
    </row>
    <row r="132" customFormat="false" ht="15" hidden="false" customHeight="false" outlineLevel="0" collapsed="false">
      <c r="A132" s="1"/>
      <c r="B132" s="409"/>
      <c r="J132" s="1"/>
      <c r="K132" s="231" t="s">
        <v>7824</v>
      </c>
      <c r="L132" s="407"/>
      <c r="M132" s="4"/>
    </row>
    <row r="133" customFormat="false" ht="15" hidden="false" customHeight="false" outlineLevel="0" collapsed="false">
      <c r="A133" s="1"/>
      <c r="B133" s="409"/>
      <c r="C133" s="1"/>
      <c r="E133" s="407"/>
      <c r="J133" s="1"/>
      <c r="K133" s="4"/>
      <c r="L133" s="407"/>
      <c r="M133" s="4"/>
    </row>
    <row r="134" customFormat="false" ht="14.45" hidden="false" customHeight="true" outlineLevel="0" collapsed="false">
      <c r="A134" s="410" t="s">
        <v>7998</v>
      </c>
      <c r="B134" s="409"/>
      <c r="C134" s="1"/>
      <c r="E134" s="407"/>
    </row>
    <row r="135" customFormat="false" ht="15" hidden="false" customHeight="false" outlineLevel="0" collapsed="false">
      <c r="A135" s="410"/>
      <c r="B135" s="409"/>
      <c r="C135" s="1"/>
      <c r="E135" s="407"/>
    </row>
  </sheetData>
  <mergeCells count="7">
    <mergeCell ref="A3:A4"/>
    <mergeCell ref="A13:A14"/>
    <mergeCell ref="A22:A23"/>
    <mergeCell ref="A31:A32"/>
    <mergeCell ref="A79:A80"/>
    <mergeCell ref="A103:A104"/>
    <mergeCell ref="A134:A135"/>
  </mergeCells>
  <hyperlinks>
    <hyperlink ref="K77" location="'Yatra Menu'!A1" display="Back to Menu"/>
    <hyperlink ref="K132" location="'Yatra Menu'!A1" display="Back to Menu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06"/>
  <sheetViews>
    <sheetView showFormulas="false" showGridLines="true" showRowColHeaders="true" showZeros="true" rightToLeft="false" tabSelected="false" showOutlineSymbols="true" defaultGridColor="true" view="normal" topLeftCell="A49" colorId="64" zoomScale="85" zoomScaleNormal="85" zoomScalePageLayoutView="100" workbookViewId="0">
      <selection pane="topLeft" activeCell="A57" activeCellId="0" sqref="A57"/>
    </sheetView>
  </sheetViews>
  <sheetFormatPr defaultRowHeight="15" outlineLevelRow="0" outlineLevelCol="0"/>
  <cols>
    <col collapsed="false" customWidth="true" hidden="false" outlineLevel="0" max="1" min="1" style="0" width="13.87"/>
    <col collapsed="false" customWidth="true" hidden="false" outlineLevel="0" max="2" min="2" style="1" width="21.13"/>
    <col collapsed="false" customWidth="true" hidden="false" outlineLevel="0" max="3" min="3" style="3" width="8.88"/>
    <col collapsed="false" customWidth="true" hidden="false" outlineLevel="0" max="4" min="4" style="4" width="4.88"/>
    <col collapsed="false" customWidth="true" hidden="false" outlineLevel="0" max="5" min="5" style="1" width="8.88"/>
    <col collapsed="false" customWidth="true" hidden="false" outlineLevel="0" max="6" min="6" style="3" width="4.88"/>
    <col collapsed="false" customWidth="true" hidden="false" outlineLevel="0" max="7" min="7" style="0" width="4"/>
    <col collapsed="false" customWidth="true" hidden="false" outlineLevel="0" max="8" min="8" style="1" width="4.62"/>
    <col collapsed="false" customWidth="true" hidden="false" outlineLevel="0" max="1025" min="9" style="0" width="8.51"/>
  </cols>
  <sheetData>
    <row r="1" customFormat="false" ht="15.75" hidden="false" customHeight="false" outlineLevel="0" collapsed="false">
      <c r="A1" s="411" t="s">
        <v>7999</v>
      </c>
      <c r="B1" s="412"/>
      <c r="C1" s="412"/>
      <c r="D1" s="412"/>
      <c r="E1" s="413"/>
      <c r="F1" s="8"/>
      <c r="G1" s="5"/>
    </row>
    <row r="2" customFormat="false" ht="14.45" hidden="false" customHeight="true" outlineLevel="0" collapsed="false">
      <c r="A2" s="391" t="s">
        <v>8000</v>
      </c>
      <c r="B2" s="324" t="s">
        <v>2</v>
      </c>
      <c r="C2" s="324" t="s">
        <v>3</v>
      </c>
      <c r="D2" s="324" t="s">
        <v>4</v>
      </c>
      <c r="E2" s="324" t="s">
        <v>5</v>
      </c>
      <c r="F2" s="324" t="s">
        <v>4</v>
      </c>
      <c r="G2" s="294"/>
      <c r="H2" s="262"/>
    </row>
    <row r="3" customFormat="false" ht="15" hidden="false" customHeight="false" outlineLevel="0" collapsed="false">
      <c r="A3" s="391"/>
      <c r="B3" s="262" t="s">
        <v>783</v>
      </c>
      <c r="C3" s="261" t="n">
        <v>5</v>
      </c>
      <c r="D3" s="225" t="s">
        <v>7</v>
      </c>
      <c r="E3" s="258" t="n">
        <f aca="false">C3*5</f>
        <v>25</v>
      </c>
      <c r="F3" s="225" t="s">
        <v>7</v>
      </c>
      <c r="G3" s="297" t="n">
        <f aca="false">E3*2</f>
        <v>50</v>
      </c>
      <c r="H3" s="225" t="s">
        <v>7</v>
      </c>
    </row>
    <row r="4" customFormat="false" ht="15" hidden="false" customHeight="false" outlineLevel="0" collapsed="false">
      <c r="A4" s="294"/>
      <c r="B4" s="262" t="s">
        <v>7818</v>
      </c>
      <c r="C4" s="261" t="n">
        <v>3</v>
      </c>
      <c r="D4" s="225" t="s">
        <v>61</v>
      </c>
      <c r="E4" s="220" t="n">
        <f aca="false">C4*5</f>
        <v>15</v>
      </c>
      <c r="F4" s="225" t="s">
        <v>61</v>
      </c>
      <c r="G4" s="294" t="n">
        <f aca="false">E4*2</f>
        <v>30</v>
      </c>
      <c r="H4" s="225" t="s">
        <v>61</v>
      </c>
    </row>
    <row r="5" customFormat="false" ht="15" hidden="false" customHeight="false" outlineLevel="0" collapsed="false">
      <c r="A5" s="294"/>
      <c r="B5" s="262" t="s">
        <v>578</v>
      </c>
      <c r="C5" s="261" t="n">
        <v>10</v>
      </c>
      <c r="D5" s="225" t="s">
        <v>13</v>
      </c>
      <c r="E5" s="220" t="n">
        <f aca="false">C5*5</f>
        <v>50</v>
      </c>
      <c r="F5" s="225" t="s">
        <v>13</v>
      </c>
      <c r="G5" s="294" t="n">
        <f aca="false">E5*2</f>
        <v>100</v>
      </c>
      <c r="H5" s="225" t="s">
        <v>13</v>
      </c>
    </row>
    <row r="6" customFormat="false" ht="15" hidden="false" customHeight="false" outlineLevel="0" collapsed="false">
      <c r="A6" s="294"/>
      <c r="B6" s="262" t="s">
        <v>96</v>
      </c>
      <c r="C6" s="261" t="n">
        <v>1</v>
      </c>
      <c r="D6" s="225" t="s">
        <v>20</v>
      </c>
      <c r="E6" s="220" t="n">
        <f aca="false">C6*5</f>
        <v>5</v>
      </c>
      <c r="F6" s="225" t="s">
        <v>20</v>
      </c>
      <c r="G6" s="294" t="n">
        <f aca="false">E6*2</f>
        <v>10</v>
      </c>
      <c r="H6" s="225" t="s">
        <v>20</v>
      </c>
    </row>
    <row r="7" customFormat="false" ht="15" hidden="false" customHeight="false" outlineLevel="0" collapsed="false">
      <c r="A7" s="294"/>
      <c r="B7" s="262" t="s">
        <v>564</v>
      </c>
      <c r="C7" s="261" t="n">
        <v>0.2</v>
      </c>
      <c r="D7" s="225" t="s">
        <v>20</v>
      </c>
      <c r="E7" s="220" t="n">
        <f aca="false">C7*5</f>
        <v>1</v>
      </c>
      <c r="F7" s="225" t="s">
        <v>20</v>
      </c>
      <c r="G7" s="294" t="n">
        <f aca="false">E7*2</f>
        <v>2</v>
      </c>
      <c r="H7" s="225" t="s">
        <v>20</v>
      </c>
    </row>
    <row r="8" customFormat="false" ht="15" hidden="false" customHeight="false" outlineLevel="0" collapsed="false">
      <c r="A8" s="294"/>
      <c r="B8" s="262" t="s">
        <v>646</v>
      </c>
      <c r="C8" s="261" t="n">
        <v>1</v>
      </c>
      <c r="D8" s="225" t="s">
        <v>13</v>
      </c>
      <c r="E8" s="220" t="n">
        <f aca="false">C8*5</f>
        <v>5</v>
      </c>
      <c r="F8" s="225" t="s">
        <v>13</v>
      </c>
      <c r="G8" s="294" t="n">
        <f aca="false">E8*2</f>
        <v>10</v>
      </c>
      <c r="H8" s="225" t="s">
        <v>13</v>
      </c>
    </row>
    <row r="9" customFormat="false" ht="15" hidden="false" customHeight="false" outlineLevel="0" collapsed="false">
      <c r="A9" s="294"/>
      <c r="B9" s="262" t="s">
        <v>7985</v>
      </c>
      <c r="C9" s="261" t="n">
        <v>0.4</v>
      </c>
      <c r="D9" s="225" t="s">
        <v>13</v>
      </c>
      <c r="E9" s="220" t="n">
        <f aca="false">C9*5</f>
        <v>2</v>
      </c>
      <c r="F9" s="225" t="s">
        <v>13</v>
      </c>
      <c r="G9" s="294" t="n">
        <f aca="false">E9*2</f>
        <v>4</v>
      </c>
      <c r="H9" s="225" t="s">
        <v>13</v>
      </c>
    </row>
    <row r="10" customFormat="false" ht="15" hidden="false" customHeight="false" outlineLevel="0" collapsed="false">
      <c r="A10" s="294"/>
      <c r="B10" s="262" t="s">
        <v>22</v>
      </c>
      <c r="C10" s="261" t="n">
        <v>0.8</v>
      </c>
      <c r="D10" s="225" t="s">
        <v>13</v>
      </c>
      <c r="E10" s="220" t="n">
        <f aca="false">C10*5</f>
        <v>4</v>
      </c>
      <c r="F10" s="225" t="s">
        <v>13</v>
      </c>
      <c r="G10" s="294" t="n">
        <f aca="false">E10*2</f>
        <v>8</v>
      </c>
      <c r="H10" s="225" t="s">
        <v>13</v>
      </c>
    </row>
    <row r="11" customFormat="false" ht="15" hidden="false" customHeight="false" outlineLevel="0" collapsed="false">
      <c r="A11" s="294"/>
      <c r="B11" s="262" t="s">
        <v>562</v>
      </c>
      <c r="C11" s="261" t="n">
        <v>0.25</v>
      </c>
      <c r="D11" s="225" t="s">
        <v>20</v>
      </c>
      <c r="E11" s="220" t="n">
        <f aca="false">C11*5</f>
        <v>1.5</v>
      </c>
      <c r="F11" s="225" t="s">
        <v>20</v>
      </c>
      <c r="G11" s="294" t="n">
        <f aca="false">E11*2</f>
        <v>3</v>
      </c>
      <c r="H11" s="225" t="s">
        <v>20</v>
      </c>
    </row>
    <row r="12" customFormat="false" ht="15" hidden="false" customHeight="false" outlineLevel="0" collapsed="false">
      <c r="A12" s="294"/>
      <c r="B12" s="262" t="s">
        <v>15</v>
      </c>
      <c r="C12" s="261" t="n">
        <v>1</v>
      </c>
      <c r="D12" s="225" t="s">
        <v>20</v>
      </c>
      <c r="E12" s="220" t="n">
        <f aca="false">C12*5</f>
        <v>5</v>
      </c>
      <c r="F12" s="225" t="s">
        <v>20</v>
      </c>
      <c r="G12" s="294" t="n">
        <f aca="false">E12*2</f>
        <v>10</v>
      </c>
      <c r="H12" s="225" t="s">
        <v>20</v>
      </c>
    </row>
    <row r="13" customFormat="false" ht="15" hidden="false" customHeight="false" outlineLevel="0" collapsed="false">
      <c r="A13" s="297"/>
      <c r="B13" s="262" t="s">
        <v>23</v>
      </c>
      <c r="C13" s="261" t="n">
        <v>2</v>
      </c>
      <c r="D13" s="225" t="s">
        <v>13</v>
      </c>
      <c r="E13" s="220" t="n">
        <f aca="false">C13*5</f>
        <v>10</v>
      </c>
      <c r="F13" s="225" t="s">
        <v>13</v>
      </c>
      <c r="G13" s="294" t="n">
        <f aca="false">E13*2</f>
        <v>20</v>
      </c>
      <c r="H13" s="225" t="s">
        <v>13</v>
      </c>
    </row>
    <row r="14" customFormat="false" ht="15" hidden="false" customHeight="false" outlineLevel="0" collapsed="false">
      <c r="A14" s="297"/>
      <c r="B14" s="262" t="s">
        <v>46</v>
      </c>
      <c r="C14" s="261" t="n">
        <v>25</v>
      </c>
      <c r="D14" s="225" t="s">
        <v>7939</v>
      </c>
      <c r="E14" s="220" t="n">
        <f aca="false">C14*5</f>
        <v>125</v>
      </c>
      <c r="F14" s="225" t="s">
        <v>7939</v>
      </c>
      <c r="G14" s="294" t="n">
        <f aca="false">E14*2</f>
        <v>250</v>
      </c>
      <c r="H14" s="225" t="s">
        <v>7939</v>
      </c>
    </row>
    <row r="15" customFormat="false" ht="15" hidden="false" customHeight="false" outlineLevel="0" collapsed="false">
      <c r="A15" s="297"/>
      <c r="B15" s="262"/>
      <c r="C15" s="261"/>
      <c r="D15" s="225"/>
      <c r="E15" s="220"/>
      <c r="F15" s="270"/>
    </row>
    <row r="16" customFormat="false" ht="15" hidden="false" customHeight="false" outlineLevel="0" collapsed="false">
      <c r="A16" s="297"/>
      <c r="B16" s="262"/>
      <c r="C16" s="261"/>
      <c r="D16" s="225"/>
      <c r="E16" s="220"/>
      <c r="F16" s="270"/>
    </row>
    <row r="17" customFormat="false" ht="14.45" hidden="false" customHeight="true" outlineLevel="0" collapsed="false">
      <c r="A17" s="391" t="s">
        <v>8001</v>
      </c>
      <c r="B17" s="324" t="s">
        <v>2</v>
      </c>
      <c r="C17" s="324" t="s">
        <v>3</v>
      </c>
      <c r="D17" s="324" t="s">
        <v>4</v>
      </c>
      <c r="E17" s="324" t="s">
        <v>5</v>
      </c>
      <c r="F17" s="324" t="s">
        <v>4</v>
      </c>
      <c r="G17" s="386"/>
      <c r="H17" s="386"/>
      <c r="I17" s="414"/>
      <c r="J17" s="1"/>
      <c r="K17" s="304"/>
      <c r="L17" s="1"/>
    </row>
    <row r="18" customFormat="false" ht="15" hidden="false" customHeight="false" outlineLevel="0" collapsed="false">
      <c r="A18" s="391"/>
      <c r="B18" s="262" t="s">
        <v>8001</v>
      </c>
      <c r="C18" s="261" t="n">
        <v>5.6</v>
      </c>
      <c r="D18" s="221" t="s">
        <v>7</v>
      </c>
      <c r="E18" s="220" t="n">
        <f aca="false">C18*E$36/C$36</f>
        <v>100.8</v>
      </c>
      <c r="F18" s="270" t="s">
        <v>7</v>
      </c>
      <c r="G18" s="1"/>
      <c r="I18" s="286"/>
      <c r="J18" s="1"/>
      <c r="K18" s="304"/>
      <c r="L18" s="1"/>
      <c r="M18" s="286"/>
    </row>
    <row r="19" customFormat="false" ht="15" hidden="false" customHeight="false" outlineLevel="0" collapsed="false">
      <c r="A19" s="262"/>
      <c r="B19" s="262" t="s">
        <v>22</v>
      </c>
      <c r="C19" s="261" t="n">
        <v>0.666666666666667</v>
      </c>
      <c r="D19" s="221" t="s">
        <v>13</v>
      </c>
      <c r="E19" s="220" t="n">
        <f aca="false">C19*E$36/C$36</f>
        <v>12.6</v>
      </c>
      <c r="F19" s="270" t="s">
        <v>13</v>
      </c>
      <c r="G19" s="1"/>
      <c r="I19" s="286"/>
      <c r="J19" s="1"/>
      <c r="K19" s="304"/>
      <c r="L19" s="1"/>
      <c r="M19" s="286"/>
    </row>
    <row r="20" customFormat="false" ht="15" hidden="false" customHeight="false" outlineLevel="0" collapsed="false">
      <c r="A20" s="262"/>
      <c r="B20" s="262" t="s">
        <v>570</v>
      </c>
      <c r="C20" s="261" t="n">
        <v>0.333333333333333</v>
      </c>
      <c r="D20" s="221" t="s">
        <v>20</v>
      </c>
      <c r="E20" s="220" t="n">
        <f aca="false">C20*E$36/C$36</f>
        <v>5.4</v>
      </c>
      <c r="F20" s="270" t="s">
        <v>20</v>
      </c>
      <c r="G20" s="1"/>
      <c r="I20" s="286"/>
      <c r="J20" s="1"/>
      <c r="K20" s="304"/>
      <c r="L20" s="1"/>
      <c r="M20" s="286"/>
    </row>
    <row r="21" customFormat="false" ht="15" hidden="false" customHeight="false" outlineLevel="0" collapsed="false">
      <c r="A21" s="262"/>
      <c r="B21" s="262" t="s">
        <v>14</v>
      </c>
      <c r="C21" s="261" t="n">
        <v>0.5</v>
      </c>
      <c r="D21" s="221" t="s">
        <v>20</v>
      </c>
      <c r="E21" s="220" t="n">
        <f aca="false">C21*E$36/C$36</f>
        <v>9</v>
      </c>
      <c r="F21" s="270" t="s">
        <v>20</v>
      </c>
      <c r="G21" s="1"/>
      <c r="I21" s="286"/>
      <c r="J21" s="1"/>
      <c r="K21" s="304"/>
      <c r="L21" s="1"/>
      <c r="M21" s="286"/>
    </row>
    <row r="22" customFormat="false" ht="15" hidden="false" customHeight="false" outlineLevel="0" collapsed="false">
      <c r="A22" s="262"/>
      <c r="B22" s="262" t="s">
        <v>562</v>
      </c>
      <c r="C22" s="261" t="n">
        <v>0.466666666666667</v>
      </c>
      <c r="D22" s="221" t="s">
        <v>20</v>
      </c>
      <c r="E22" s="220" t="n">
        <f aca="false">C22*E$36/C$36</f>
        <v>9</v>
      </c>
      <c r="F22" s="270" t="s">
        <v>20</v>
      </c>
      <c r="G22" s="1"/>
      <c r="I22" s="286"/>
      <c r="J22" s="1"/>
      <c r="K22" s="304"/>
      <c r="L22" s="1"/>
      <c r="M22" s="286"/>
    </row>
    <row r="23" customFormat="false" ht="15" hidden="false" customHeight="false" outlineLevel="0" collapsed="false">
      <c r="A23" s="262"/>
      <c r="B23" s="262" t="s">
        <v>16</v>
      </c>
      <c r="C23" s="261" t="n">
        <v>0.666666666666667</v>
      </c>
      <c r="D23" s="221" t="s">
        <v>20</v>
      </c>
      <c r="E23" s="220" t="n">
        <f aca="false">C23*E$36/C$36</f>
        <v>12.6</v>
      </c>
      <c r="F23" s="270" t="s">
        <v>20</v>
      </c>
      <c r="G23" s="1"/>
      <c r="I23" s="286"/>
      <c r="J23" s="1"/>
      <c r="K23" s="304"/>
      <c r="L23" s="1"/>
    </row>
    <row r="24" customFormat="false" ht="15" hidden="false" customHeight="false" outlineLevel="0" collapsed="false">
      <c r="A24" s="262"/>
      <c r="B24" s="262" t="s">
        <v>15</v>
      </c>
      <c r="C24" s="261" t="n">
        <v>0.666666666666667</v>
      </c>
      <c r="D24" s="221" t="s">
        <v>20</v>
      </c>
      <c r="E24" s="220" t="n">
        <f aca="false">C24*E$36/C$36</f>
        <v>12.6</v>
      </c>
      <c r="F24" s="270" t="s">
        <v>20</v>
      </c>
      <c r="G24" s="1"/>
      <c r="I24" s="286"/>
      <c r="J24" s="1"/>
      <c r="K24" s="304"/>
      <c r="L24" s="1"/>
    </row>
    <row r="25" customFormat="false" ht="15" hidden="false" customHeight="false" outlineLevel="0" collapsed="false">
      <c r="A25" s="262"/>
      <c r="B25" s="262" t="s">
        <v>803</v>
      </c>
      <c r="C25" s="261" t="n">
        <v>0.5</v>
      </c>
      <c r="D25" s="221" t="s">
        <v>13</v>
      </c>
      <c r="E25" s="220" t="n">
        <f aca="false">C25*E$36/C$36</f>
        <v>9</v>
      </c>
      <c r="F25" s="270" t="s">
        <v>13</v>
      </c>
      <c r="G25" s="1"/>
      <c r="I25" s="286"/>
      <c r="J25" s="1"/>
      <c r="K25" s="304"/>
      <c r="L25" s="1"/>
    </row>
    <row r="26" customFormat="false" ht="15" hidden="false" customHeight="false" outlineLevel="0" collapsed="false">
      <c r="A26" s="262"/>
      <c r="B26" s="262" t="s">
        <v>18</v>
      </c>
      <c r="C26" s="261" t="n">
        <v>0.333333333333333</v>
      </c>
      <c r="D26" s="221" t="s">
        <v>13</v>
      </c>
      <c r="E26" s="220" t="n">
        <f aca="false">C26*E$36/C$36</f>
        <v>5.4</v>
      </c>
      <c r="F26" s="270" t="s">
        <v>13</v>
      </c>
      <c r="G26" s="1"/>
      <c r="I26" s="286"/>
      <c r="J26" s="1"/>
      <c r="K26" s="304"/>
      <c r="L26" s="1"/>
    </row>
    <row r="27" customFormat="false" ht="15" hidden="false" customHeight="false" outlineLevel="0" collapsed="false">
      <c r="A27" s="262"/>
      <c r="B27" s="262" t="s">
        <v>70</v>
      </c>
      <c r="C27" s="261" t="n">
        <v>0.666666666666667</v>
      </c>
      <c r="D27" s="221" t="s">
        <v>20</v>
      </c>
      <c r="E27" s="220" t="n">
        <f aca="false">C27*E$36/C$36</f>
        <v>12.6</v>
      </c>
      <c r="F27" s="270" t="s">
        <v>20</v>
      </c>
      <c r="G27" s="1"/>
      <c r="I27" s="286"/>
      <c r="J27" s="1"/>
      <c r="K27" s="304"/>
      <c r="L27" s="1"/>
    </row>
    <row r="28" customFormat="false" ht="15" hidden="false" customHeight="false" outlineLevel="0" collapsed="false">
      <c r="A28" s="262"/>
      <c r="B28" s="262" t="s">
        <v>7993</v>
      </c>
      <c r="C28" s="261" t="n">
        <v>0.666666666666667</v>
      </c>
      <c r="D28" s="221" t="s">
        <v>20</v>
      </c>
      <c r="E28" s="220" t="n">
        <f aca="false">C28*E$36/C$36</f>
        <v>12.6</v>
      </c>
      <c r="F28" s="270" t="s">
        <v>20</v>
      </c>
      <c r="G28" s="1"/>
      <c r="I28" s="286"/>
      <c r="J28" s="1"/>
      <c r="K28" s="304"/>
      <c r="L28" s="1"/>
    </row>
    <row r="29" customFormat="false" ht="15" hidden="false" customHeight="false" outlineLevel="0" collapsed="false">
      <c r="A29" s="262"/>
      <c r="B29" s="262" t="s">
        <v>564</v>
      </c>
      <c r="C29" s="261" t="n">
        <v>0.5</v>
      </c>
      <c r="D29" s="221" t="s">
        <v>20</v>
      </c>
      <c r="E29" s="220" t="n">
        <f aca="false">C29*E$36/C$36</f>
        <v>9</v>
      </c>
      <c r="F29" s="270" t="s">
        <v>20</v>
      </c>
      <c r="G29" s="1"/>
      <c r="I29" s="286"/>
      <c r="J29" s="1"/>
      <c r="K29" s="304"/>
      <c r="L29" s="1"/>
    </row>
    <row r="30" customFormat="false" ht="15" hidden="false" customHeight="false" outlineLevel="0" collapsed="false">
      <c r="A30" s="262"/>
      <c r="B30" s="262" t="s">
        <v>596</v>
      </c>
      <c r="C30" s="261" t="n">
        <v>0.333333333333333</v>
      </c>
      <c r="D30" s="221" t="s">
        <v>20</v>
      </c>
      <c r="E30" s="220" t="n">
        <f aca="false">C30*E$36/C$36</f>
        <v>5.4</v>
      </c>
      <c r="F30" s="270" t="s">
        <v>20</v>
      </c>
      <c r="G30" s="1"/>
      <c r="I30" s="286"/>
      <c r="J30" s="1"/>
      <c r="K30" s="304"/>
      <c r="L30" s="1"/>
    </row>
    <row r="31" customFormat="false" ht="15" hidden="false" customHeight="false" outlineLevel="0" collapsed="false">
      <c r="A31" s="262"/>
      <c r="B31" s="262" t="s">
        <v>21</v>
      </c>
      <c r="C31" s="415" t="n">
        <v>3</v>
      </c>
      <c r="D31" s="316" t="s">
        <v>7</v>
      </c>
      <c r="E31" s="220" t="n">
        <f aca="false">C31*E$36/C$36</f>
        <v>54</v>
      </c>
      <c r="F31" s="270" t="s">
        <v>7</v>
      </c>
      <c r="G31" s="1"/>
      <c r="I31" s="286"/>
      <c r="J31" s="1"/>
      <c r="K31" s="304"/>
      <c r="L31" s="1"/>
    </row>
    <row r="32" customFormat="false" ht="15" hidden="false" customHeight="false" outlineLevel="0" collapsed="false">
      <c r="A32" s="262"/>
      <c r="B32" s="262" t="s">
        <v>75</v>
      </c>
      <c r="C32" s="261" t="n">
        <v>0.666666666666667</v>
      </c>
      <c r="D32" s="221" t="s">
        <v>13</v>
      </c>
      <c r="E32" s="220" t="n">
        <f aca="false">C32*E$36/C$36</f>
        <v>12.6</v>
      </c>
      <c r="F32" s="270" t="s">
        <v>13</v>
      </c>
      <c r="G32" s="1"/>
      <c r="I32" s="286"/>
      <c r="J32" s="1"/>
      <c r="K32" s="304"/>
      <c r="L32" s="1"/>
    </row>
    <row r="33" customFormat="false" ht="15" hidden="false" customHeight="false" outlineLevel="0" collapsed="false">
      <c r="A33" s="262"/>
      <c r="B33" s="262" t="s">
        <v>556</v>
      </c>
      <c r="C33" s="261" t="n">
        <v>0.166666666666667</v>
      </c>
      <c r="D33" s="221" t="s">
        <v>7</v>
      </c>
      <c r="E33" s="220" t="n">
        <f aca="false">C33*E$36/C$36</f>
        <v>3.6</v>
      </c>
      <c r="F33" s="270" t="s">
        <v>7</v>
      </c>
      <c r="G33" s="1"/>
      <c r="I33" s="286"/>
      <c r="J33" s="1"/>
      <c r="K33" s="304"/>
      <c r="L33" s="1"/>
    </row>
    <row r="34" customFormat="false" ht="15" hidden="false" customHeight="false" outlineLevel="0" collapsed="false">
      <c r="A34" s="262"/>
      <c r="B34" s="262" t="s">
        <v>32</v>
      </c>
      <c r="C34" s="261" t="n">
        <v>1.83333333333333</v>
      </c>
      <c r="D34" s="221" t="s">
        <v>20</v>
      </c>
      <c r="E34" s="220" t="n">
        <f aca="false">C34*E$36/C$36</f>
        <v>32.4</v>
      </c>
      <c r="F34" s="270" t="s">
        <v>20</v>
      </c>
      <c r="G34" s="1"/>
      <c r="I34" s="286"/>
      <c r="J34" s="1"/>
      <c r="K34" s="304"/>
      <c r="L34" s="1"/>
    </row>
    <row r="35" customFormat="false" ht="15" hidden="false" customHeight="false" outlineLevel="0" collapsed="false">
      <c r="A35" s="262"/>
      <c r="B35" s="282" t="s">
        <v>26</v>
      </c>
      <c r="C35" s="260" t="n">
        <v>1</v>
      </c>
      <c r="D35" s="295" t="s">
        <v>27</v>
      </c>
      <c r="E35" s="258" t="n">
        <f aca="false">C35*E$36/C$36</f>
        <v>18</v>
      </c>
      <c r="F35" s="284" t="s">
        <v>27</v>
      </c>
      <c r="G35" s="1"/>
      <c r="I35" s="286"/>
      <c r="J35" s="1"/>
      <c r="K35" s="304"/>
      <c r="L35" s="1"/>
    </row>
    <row r="36" customFormat="false" ht="15" hidden="false" customHeight="false" outlineLevel="0" collapsed="false">
      <c r="A36" s="262"/>
      <c r="B36" s="282" t="s">
        <v>26</v>
      </c>
      <c r="C36" s="260" t="n">
        <v>35</v>
      </c>
      <c r="D36" s="295" t="s">
        <v>13</v>
      </c>
      <c r="E36" s="416" t="n">
        <v>630</v>
      </c>
      <c r="F36" s="284" t="s">
        <v>13</v>
      </c>
      <c r="G36" s="1"/>
      <c r="I36" s="286"/>
      <c r="J36" s="1"/>
      <c r="K36" s="304"/>
      <c r="L36" s="1"/>
      <c r="O36" s="1"/>
      <c r="P36" s="304"/>
    </row>
    <row r="37" customFormat="false" ht="15" hidden="false" customHeight="false" outlineLevel="0" collapsed="false">
      <c r="A37" s="262"/>
      <c r="B37" s="282"/>
      <c r="C37" s="260"/>
      <c r="D37" s="295"/>
      <c r="E37" s="282"/>
      <c r="F37" s="284"/>
      <c r="G37" s="1"/>
      <c r="I37" s="286"/>
      <c r="J37" s="1"/>
      <c r="K37" s="304"/>
      <c r="L37" s="1"/>
      <c r="O37" s="1"/>
      <c r="P37" s="304"/>
    </row>
    <row r="38" customFormat="false" ht="15" hidden="false" customHeight="false" outlineLevel="0" collapsed="false">
      <c r="A38" s="262"/>
      <c r="B38" s="282"/>
      <c r="C38" s="260"/>
      <c r="D38" s="417"/>
      <c r="E38" s="282"/>
      <c r="F38" s="284"/>
      <c r="G38" s="1"/>
      <c r="I38" s="286"/>
      <c r="J38" s="1"/>
      <c r="K38" s="304"/>
      <c r="L38" s="1"/>
      <c r="O38" s="1"/>
      <c r="P38" s="304"/>
    </row>
    <row r="39" customFormat="false" ht="15" hidden="false" customHeight="false" outlineLevel="0" collapsed="false">
      <c r="A39" s="262"/>
      <c r="B39" s="262"/>
      <c r="C39" s="270"/>
      <c r="D39" s="225"/>
      <c r="E39" s="262"/>
      <c r="F39" s="270"/>
      <c r="I39" s="1"/>
      <c r="O39" s="1"/>
      <c r="P39" s="304"/>
    </row>
    <row r="40" customFormat="false" ht="15" hidden="false" customHeight="false" outlineLevel="0" collapsed="false">
      <c r="A40" s="262"/>
      <c r="B40" s="262"/>
      <c r="C40" s="270"/>
      <c r="D40" s="225"/>
      <c r="E40" s="262"/>
      <c r="F40" s="270"/>
      <c r="O40" s="1"/>
      <c r="P40" s="304"/>
    </row>
    <row r="41" customFormat="false" ht="15" hidden="false" customHeight="true" outlineLevel="0" collapsed="false">
      <c r="A41" s="418" t="s">
        <v>8002</v>
      </c>
      <c r="B41" s="324" t="s">
        <v>2</v>
      </c>
      <c r="C41" s="324" t="s">
        <v>3</v>
      </c>
      <c r="D41" s="324" t="s">
        <v>4</v>
      </c>
      <c r="E41" s="324" t="s">
        <v>5</v>
      </c>
      <c r="F41" s="324" t="s">
        <v>4</v>
      </c>
    </row>
    <row r="42" customFormat="false" ht="15" hidden="false" customHeight="true" outlineLevel="0" collapsed="false">
      <c r="A42" s="419"/>
      <c r="B42" s="262" t="s">
        <v>610</v>
      </c>
      <c r="C42" s="261" t="n">
        <v>7.7</v>
      </c>
      <c r="D42" s="420" t="s">
        <v>7</v>
      </c>
      <c r="E42" s="262" t="n">
        <f aca="false">C42*E$49/C$49</f>
        <v>184.8</v>
      </c>
      <c r="F42" s="420" t="s">
        <v>7</v>
      </c>
      <c r="G42" s="421"/>
    </row>
    <row r="43" customFormat="false" ht="15" hidden="false" customHeight="false" outlineLevel="0" collapsed="false">
      <c r="A43" s="262"/>
      <c r="B43" s="262" t="s">
        <v>21</v>
      </c>
      <c r="C43" s="261" t="n">
        <v>3.85</v>
      </c>
      <c r="D43" s="420" t="s">
        <v>7</v>
      </c>
      <c r="E43" s="262" t="n">
        <f aca="false">C43*E$49/C$49</f>
        <v>93.6</v>
      </c>
      <c r="F43" s="420" t="s">
        <v>7</v>
      </c>
      <c r="G43" s="421"/>
    </row>
    <row r="44" customFormat="false" ht="15" hidden="false" customHeight="false" outlineLevel="0" collapsed="false">
      <c r="A44" s="262"/>
      <c r="B44" s="262" t="s">
        <v>8003</v>
      </c>
      <c r="C44" s="261" t="n">
        <v>4.2</v>
      </c>
      <c r="D44" s="420" t="s">
        <v>20</v>
      </c>
      <c r="E44" s="262" t="n">
        <f aca="false">C44*E$49/C$49</f>
        <v>100.8</v>
      </c>
      <c r="F44" s="420" t="s">
        <v>20</v>
      </c>
      <c r="G44" s="421"/>
    </row>
    <row r="45" customFormat="false" ht="15" hidden="false" customHeight="false" outlineLevel="0" collapsed="false">
      <c r="A45" s="262"/>
      <c r="B45" s="262" t="s">
        <v>8004</v>
      </c>
      <c r="C45" s="261" t="n">
        <v>1.05</v>
      </c>
      <c r="D45" s="225" t="s">
        <v>20</v>
      </c>
      <c r="E45" s="262" t="n">
        <f aca="false">C45*E$49/C$49</f>
        <v>26.4</v>
      </c>
      <c r="F45" s="356" t="s">
        <v>20</v>
      </c>
      <c r="G45" s="421"/>
    </row>
    <row r="46" customFormat="false" ht="15" hidden="false" customHeight="false" outlineLevel="0" collapsed="false">
      <c r="A46" s="262"/>
      <c r="B46" s="262" t="s">
        <v>96</v>
      </c>
      <c r="C46" s="271" t="n">
        <v>0.21</v>
      </c>
      <c r="D46" s="225" t="s">
        <v>20</v>
      </c>
      <c r="E46" s="262" t="n">
        <f aca="false">C46*E$49/C$49</f>
        <v>5.04</v>
      </c>
      <c r="F46" s="356" t="s">
        <v>20</v>
      </c>
      <c r="G46" s="421"/>
    </row>
    <row r="47" customFormat="false" ht="15" hidden="false" customHeight="false" outlineLevel="0" collapsed="false">
      <c r="A47" s="262"/>
      <c r="B47" s="262" t="s">
        <v>8005</v>
      </c>
      <c r="C47" s="271" t="n">
        <v>0.5</v>
      </c>
      <c r="D47" s="225" t="s">
        <v>13</v>
      </c>
      <c r="E47" s="223" t="n">
        <f aca="false">C47*E$49/C$49</f>
        <v>12</v>
      </c>
      <c r="F47" s="225" t="s">
        <v>13</v>
      </c>
      <c r="G47" s="421"/>
    </row>
    <row r="48" customFormat="false" ht="15" hidden="false" customHeight="false" outlineLevel="0" collapsed="false">
      <c r="A48" s="262"/>
      <c r="B48" s="262" t="s">
        <v>26</v>
      </c>
      <c r="C48" s="261" t="n">
        <v>1.001</v>
      </c>
      <c r="D48" s="225" t="s">
        <v>27</v>
      </c>
      <c r="E48" s="262" t="n">
        <f aca="false">C48*E$49/C$49</f>
        <v>24</v>
      </c>
      <c r="F48" s="356" t="s">
        <v>27</v>
      </c>
      <c r="G48" s="421"/>
    </row>
    <row r="49" customFormat="false" ht="15" hidden="false" customHeight="false" outlineLevel="0" collapsed="false">
      <c r="A49" s="262"/>
      <c r="B49" s="262" t="s">
        <v>26</v>
      </c>
      <c r="C49" s="271" t="n">
        <v>35</v>
      </c>
      <c r="D49" s="420" t="s">
        <v>13</v>
      </c>
      <c r="E49" s="416" t="n">
        <v>840</v>
      </c>
      <c r="F49" s="420" t="s">
        <v>13</v>
      </c>
      <c r="G49" s="421"/>
    </row>
    <row r="50" customFormat="false" ht="15" hidden="false" customHeight="false" outlineLevel="0" collapsed="false">
      <c r="A50" s="262"/>
      <c r="B50" s="282"/>
      <c r="C50" s="270"/>
      <c r="D50" s="422"/>
      <c r="E50" s="262"/>
      <c r="F50" s="422"/>
    </row>
    <row r="51" customFormat="false" ht="14.45" hidden="false" customHeight="true" outlineLevel="0" collapsed="false">
      <c r="A51" s="391" t="s">
        <v>8006</v>
      </c>
      <c r="B51" s="311" t="s">
        <v>2</v>
      </c>
      <c r="C51" s="324" t="s">
        <v>3</v>
      </c>
      <c r="D51" s="311" t="s">
        <v>4</v>
      </c>
      <c r="E51" s="324" t="s">
        <v>5</v>
      </c>
      <c r="F51" s="311" t="s">
        <v>4</v>
      </c>
    </row>
    <row r="52" customFormat="false" ht="15" hidden="false" customHeight="false" outlineLevel="0" collapsed="false">
      <c r="A52" s="391"/>
      <c r="B52" s="223" t="s">
        <v>10</v>
      </c>
      <c r="C52" s="423" t="n">
        <v>6</v>
      </c>
      <c r="D52" s="221" t="s">
        <v>61</v>
      </c>
      <c r="E52" s="424" t="n">
        <f aca="false">C52*E$76/C$76</f>
        <v>210</v>
      </c>
      <c r="F52" s="221" t="s">
        <v>61</v>
      </c>
    </row>
    <row r="53" customFormat="false" ht="15" hidden="false" customHeight="false" outlineLevel="0" collapsed="false">
      <c r="A53" s="294"/>
      <c r="B53" s="220"/>
      <c r="C53" s="270" t="n">
        <v>6</v>
      </c>
      <c r="D53" s="221" t="s">
        <v>13</v>
      </c>
      <c r="E53" s="424" t="n">
        <f aca="false">C53*E$76/C$76</f>
        <v>210</v>
      </c>
      <c r="F53" s="221" t="s">
        <v>13</v>
      </c>
    </row>
    <row r="54" customFormat="false" ht="15" hidden="false" customHeight="false" outlineLevel="0" collapsed="false">
      <c r="A54" s="294"/>
      <c r="B54" s="223"/>
      <c r="C54" s="423" t="n">
        <v>0.6</v>
      </c>
      <c r="D54" s="221" t="s">
        <v>24</v>
      </c>
      <c r="E54" s="424" t="n">
        <f aca="false">C54*E$76/C$76</f>
        <v>21</v>
      </c>
      <c r="F54" s="221" t="s">
        <v>24</v>
      </c>
    </row>
    <row r="55" customFormat="false" ht="15" hidden="false" customHeight="false" outlineLevel="0" collapsed="false">
      <c r="A55" s="294"/>
      <c r="B55" s="220"/>
      <c r="C55" s="270"/>
      <c r="D55" s="221"/>
      <c r="E55" s="424" t="n">
        <f aca="false">C55*E$76/C$76</f>
        <v>0</v>
      </c>
      <c r="F55" s="221"/>
    </row>
    <row r="56" customFormat="false" ht="15" hidden="false" customHeight="false" outlineLevel="0" collapsed="false">
      <c r="A56" s="294"/>
      <c r="B56" s="223" t="s">
        <v>63</v>
      </c>
      <c r="C56" s="423" t="n">
        <v>17.5</v>
      </c>
      <c r="D56" s="221" t="s">
        <v>61</v>
      </c>
      <c r="E56" s="424" t="n">
        <f aca="false">C56*E$76/C$76</f>
        <v>612.5</v>
      </c>
      <c r="F56" s="221" t="s">
        <v>61</v>
      </c>
    </row>
    <row r="57" customFormat="false" ht="15" hidden="false" customHeight="false" outlineLevel="0" collapsed="false">
      <c r="A57" s="294"/>
      <c r="B57" s="220"/>
      <c r="C57" s="270" t="n">
        <v>18</v>
      </c>
      <c r="D57" s="221" t="s">
        <v>13</v>
      </c>
      <c r="E57" s="424" t="n">
        <f aca="false">C57*E$76/C$76</f>
        <v>630</v>
      </c>
      <c r="F57" s="221" t="s">
        <v>13</v>
      </c>
    </row>
    <row r="58" customFormat="false" ht="15" hidden="false" customHeight="false" outlineLevel="0" collapsed="false">
      <c r="A58" s="294"/>
      <c r="B58" s="223"/>
      <c r="C58" s="423" t="n">
        <v>0.512</v>
      </c>
      <c r="D58" s="221" t="s">
        <v>27</v>
      </c>
      <c r="E58" s="424" t="n">
        <f aca="false">C58*E$76/C$76</f>
        <v>17.9</v>
      </c>
      <c r="F58" s="221" t="s">
        <v>27</v>
      </c>
    </row>
    <row r="59" customFormat="false" ht="15" hidden="false" customHeight="false" outlineLevel="0" collapsed="false">
      <c r="A59" s="294"/>
      <c r="B59" s="220" t="s">
        <v>584</v>
      </c>
      <c r="C59" s="270"/>
      <c r="D59" s="221"/>
      <c r="E59" s="424" t="n">
        <f aca="false">C59*E$76/C$76</f>
        <v>0</v>
      </c>
      <c r="F59" s="221"/>
    </row>
    <row r="60" customFormat="false" ht="15" hidden="false" customHeight="false" outlineLevel="0" collapsed="false">
      <c r="A60" s="294"/>
      <c r="B60" s="223" t="s">
        <v>12</v>
      </c>
      <c r="C60" s="423" t="n">
        <v>1</v>
      </c>
      <c r="D60" s="221" t="s">
        <v>13</v>
      </c>
      <c r="E60" s="424" t="n">
        <f aca="false">C60*E$76/C$76</f>
        <v>35</v>
      </c>
      <c r="F60" s="221" t="s">
        <v>13</v>
      </c>
    </row>
    <row r="61" customFormat="false" ht="15" hidden="false" customHeight="false" outlineLevel="0" collapsed="false">
      <c r="A61" s="294"/>
      <c r="B61" s="220" t="s">
        <v>672</v>
      </c>
      <c r="C61" s="270" t="n">
        <v>0.25</v>
      </c>
      <c r="D61" s="221" t="s">
        <v>68</v>
      </c>
      <c r="E61" s="424" t="n">
        <f aca="false">C61*E$76/C$76</f>
        <v>8.8</v>
      </c>
      <c r="F61" s="221" t="s">
        <v>68</v>
      </c>
    </row>
    <row r="62" customFormat="false" ht="15" hidden="false" customHeight="false" outlineLevel="0" collapsed="false">
      <c r="A62" s="294"/>
      <c r="B62" s="223" t="s">
        <v>14</v>
      </c>
      <c r="C62" s="423" t="n">
        <v>0.25</v>
      </c>
      <c r="D62" s="221" t="s">
        <v>68</v>
      </c>
      <c r="E62" s="424" t="n">
        <f aca="false">C62*E$76/C$76</f>
        <v>8.8</v>
      </c>
      <c r="F62" s="221" t="s">
        <v>68</v>
      </c>
    </row>
    <row r="63" customFormat="false" ht="15" hidden="false" customHeight="false" outlineLevel="0" collapsed="false">
      <c r="A63" s="294"/>
      <c r="B63" s="220" t="s">
        <v>83</v>
      </c>
      <c r="C63" s="270" t="n">
        <v>0.75</v>
      </c>
      <c r="D63" s="221" t="s">
        <v>68</v>
      </c>
      <c r="E63" s="424" t="n">
        <f aca="false">C63*E$76/C$76</f>
        <v>26.3</v>
      </c>
      <c r="F63" s="221" t="s">
        <v>68</v>
      </c>
    </row>
    <row r="64" customFormat="false" ht="15" hidden="false" customHeight="false" outlineLevel="0" collapsed="false">
      <c r="A64" s="294"/>
      <c r="B64" s="223" t="s">
        <v>650</v>
      </c>
      <c r="C64" s="423" t="n">
        <v>0.2</v>
      </c>
      <c r="D64" s="221" t="s">
        <v>68</v>
      </c>
      <c r="E64" s="424" t="n">
        <f aca="false">C64*E$76/C$76</f>
        <v>7</v>
      </c>
      <c r="F64" s="221" t="s">
        <v>68</v>
      </c>
    </row>
    <row r="65" customFormat="false" ht="15" hidden="false" customHeight="false" outlineLevel="0" collapsed="false">
      <c r="A65" s="294"/>
      <c r="B65" s="220" t="s">
        <v>8007</v>
      </c>
      <c r="C65" s="270"/>
      <c r="D65" s="221"/>
      <c r="E65" s="424" t="n">
        <f aca="false">C65*E$76/C$76</f>
        <v>0</v>
      </c>
      <c r="F65" s="221"/>
    </row>
    <row r="66" customFormat="false" ht="15" hidden="false" customHeight="false" outlineLevel="0" collapsed="false">
      <c r="A66" s="294"/>
      <c r="B66" s="223" t="s">
        <v>71</v>
      </c>
      <c r="C66" s="423" t="n">
        <v>0.8</v>
      </c>
      <c r="D66" s="221" t="s">
        <v>68</v>
      </c>
      <c r="E66" s="424" t="n">
        <f aca="false">C66*E$76/C$76</f>
        <v>28</v>
      </c>
      <c r="F66" s="221" t="s">
        <v>68</v>
      </c>
    </row>
    <row r="67" customFormat="false" ht="15" hidden="false" customHeight="false" outlineLevel="0" collapsed="false">
      <c r="A67" s="294"/>
      <c r="B67" s="220" t="s">
        <v>564</v>
      </c>
      <c r="C67" s="270" t="n">
        <v>0.25</v>
      </c>
      <c r="D67" s="221" t="s">
        <v>68</v>
      </c>
      <c r="E67" s="424" t="n">
        <f aca="false">C67*E$76/C$76</f>
        <v>8.8</v>
      </c>
      <c r="F67" s="221" t="s">
        <v>68</v>
      </c>
    </row>
    <row r="68" customFormat="false" ht="15" hidden="false" customHeight="false" outlineLevel="0" collapsed="false">
      <c r="A68" s="294"/>
      <c r="B68" s="223" t="s">
        <v>25</v>
      </c>
      <c r="C68" s="423" t="n">
        <v>0.5</v>
      </c>
      <c r="D68" s="221" t="s">
        <v>68</v>
      </c>
      <c r="E68" s="424" t="n">
        <f aca="false">C68*E$76/C$76</f>
        <v>17.5</v>
      </c>
      <c r="F68" s="221" t="s">
        <v>68</v>
      </c>
    </row>
    <row r="69" customFormat="false" ht="15" hidden="false" customHeight="false" outlineLevel="0" collapsed="false">
      <c r="A69" s="294"/>
      <c r="B69" s="220" t="s">
        <v>70</v>
      </c>
      <c r="C69" s="270" t="n">
        <v>0.75</v>
      </c>
      <c r="D69" s="221" t="s">
        <v>68</v>
      </c>
      <c r="E69" s="424" t="n">
        <f aca="false">C69*E$76/C$76</f>
        <v>26.3</v>
      </c>
      <c r="F69" s="221" t="s">
        <v>68</v>
      </c>
    </row>
    <row r="70" customFormat="false" ht="15" hidden="false" customHeight="false" outlineLevel="0" collapsed="false">
      <c r="A70" s="294"/>
      <c r="B70" s="223" t="s">
        <v>7933</v>
      </c>
      <c r="C70" s="423" t="n">
        <v>0.2</v>
      </c>
      <c r="D70" s="221" t="s">
        <v>68</v>
      </c>
      <c r="E70" s="424" t="n">
        <f aca="false">C70*E$76/C$76</f>
        <v>7</v>
      </c>
      <c r="F70" s="221" t="s">
        <v>68</v>
      </c>
    </row>
    <row r="71" customFormat="false" ht="15" hidden="false" customHeight="false" outlineLevel="0" collapsed="false">
      <c r="A71" s="294"/>
      <c r="B71" s="220" t="s">
        <v>8008</v>
      </c>
      <c r="C71" s="270" t="n">
        <v>1</v>
      </c>
      <c r="D71" s="221" t="s">
        <v>68</v>
      </c>
      <c r="E71" s="424" t="n">
        <f aca="false">C71*E$76/C$76</f>
        <v>35</v>
      </c>
      <c r="F71" s="221" t="s">
        <v>68</v>
      </c>
    </row>
    <row r="72" customFormat="false" ht="15" hidden="false" customHeight="false" outlineLevel="0" collapsed="false">
      <c r="A72" s="294"/>
      <c r="B72" s="223" t="s">
        <v>75</v>
      </c>
      <c r="C72" s="423" t="n">
        <v>0.5</v>
      </c>
      <c r="D72" s="221" t="s">
        <v>13</v>
      </c>
      <c r="E72" s="424" t="n">
        <f aca="false">C72*E$76/C$76</f>
        <v>17.5</v>
      </c>
      <c r="F72" s="221" t="s">
        <v>13</v>
      </c>
    </row>
    <row r="73" customFormat="false" ht="15" hidden="false" customHeight="false" outlineLevel="0" collapsed="false">
      <c r="A73" s="294"/>
      <c r="B73" s="220" t="s">
        <v>8009</v>
      </c>
      <c r="C73" s="270" t="n">
        <v>0.5</v>
      </c>
      <c r="D73" s="221" t="s">
        <v>68</v>
      </c>
      <c r="E73" s="424" t="n">
        <f aca="false">C73*E$76/C$76</f>
        <v>17.5</v>
      </c>
      <c r="F73" s="221" t="s">
        <v>68</v>
      </c>
    </row>
    <row r="74" customFormat="false" ht="15" hidden="false" customHeight="false" outlineLevel="0" collapsed="false">
      <c r="A74" s="294"/>
      <c r="B74" s="223" t="s">
        <v>26</v>
      </c>
      <c r="C74" s="423" t="n">
        <v>1.5</v>
      </c>
      <c r="D74" s="221" t="s">
        <v>8010</v>
      </c>
      <c r="E74" s="424" t="n">
        <f aca="false">C74*E$76/C$76</f>
        <v>52.5</v>
      </c>
      <c r="F74" s="221" t="s">
        <v>8010</v>
      </c>
    </row>
    <row r="75" customFormat="false" ht="15" hidden="false" customHeight="false" outlineLevel="0" collapsed="false">
      <c r="A75" s="294"/>
      <c r="B75" s="258" t="s">
        <v>26</v>
      </c>
      <c r="C75" s="284" t="n">
        <v>0.43</v>
      </c>
      <c r="D75" s="295" t="s">
        <v>27</v>
      </c>
      <c r="E75" s="425" t="n">
        <f aca="false">C75*E$76/C$76</f>
        <v>15.1</v>
      </c>
      <c r="F75" s="221" t="s">
        <v>27</v>
      </c>
    </row>
    <row r="76" customFormat="false" ht="15" hidden="false" customHeight="false" outlineLevel="0" collapsed="false">
      <c r="A76" s="294"/>
      <c r="B76" s="258" t="s">
        <v>26</v>
      </c>
      <c r="C76" s="426" t="n">
        <v>15</v>
      </c>
      <c r="D76" s="295" t="s">
        <v>13</v>
      </c>
      <c r="E76" s="427" t="n">
        <v>525</v>
      </c>
      <c r="F76" s="221" t="s">
        <v>13</v>
      </c>
    </row>
    <row r="77" customFormat="false" ht="15" hidden="false" customHeight="false" outlineLevel="0" collapsed="false">
      <c r="B77" s="286"/>
      <c r="D77" s="280"/>
      <c r="F77" s="286"/>
    </row>
    <row r="78" customFormat="false" ht="19.5" hidden="false" customHeight="false" outlineLevel="0" collapsed="false">
      <c r="B78" s="428" t="s">
        <v>331</v>
      </c>
      <c r="C78" s="429"/>
      <c r="D78" s="429"/>
      <c r="E78" s="429"/>
      <c r="F78" s="429"/>
    </row>
    <row r="79" customFormat="false" ht="29.25" hidden="false" customHeight="false" outlineLevel="0" collapsed="false">
      <c r="B79" s="430" t="s">
        <v>8011</v>
      </c>
      <c r="C79" s="430" t="s">
        <v>7935</v>
      </c>
      <c r="D79" s="430" t="s">
        <v>4</v>
      </c>
      <c r="E79" s="430" t="s">
        <v>8012</v>
      </c>
      <c r="F79" s="430" t="s">
        <v>4</v>
      </c>
    </row>
    <row r="80" customFormat="false" ht="15" hidden="false" customHeight="false" outlineLevel="0" collapsed="false">
      <c r="B80" s="431" t="s">
        <v>8013</v>
      </c>
      <c r="C80" s="431" t="n">
        <v>1</v>
      </c>
      <c r="D80" s="431" t="s">
        <v>61</v>
      </c>
      <c r="E80" s="431" t="n">
        <v>30</v>
      </c>
      <c r="F80" s="431" t="s">
        <v>61</v>
      </c>
    </row>
    <row r="81" customFormat="false" ht="15" hidden="false" customHeight="false" outlineLevel="0" collapsed="false">
      <c r="B81" s="431" t="s">
        <v>7819</v>
      </c>
      <c r="C81" s="431" t="n">
        <v>2.5</v>
      </c>
      <c r="D81" s="431" t="s">
        <v>76</v>
      </c>
      <c r="E81" s="431" t="n">
        <v>50</v>
      </c>
      <c r="F81" s="431" t="s">
        <v>76</v>
      </c>
    </row>
    <row r="82" customFormat="false" ht="15" hidden="false" customHeight="false" outlineLevel="0" collapsed="false">
      <c r="B82" s="431" t="s">
        <v>672</v>
      </c>
      <c r="C82" s="431" t="n">
        <v>1</v>
      </c>
      <c r="D82" s="431" t="s">
        <v>68</v>
      </c>
      <c r="E82" s="431" t="n">
        <v>20</v>
      </c>
      <c r="F82" s="431" t="s">
        <v>68</v>
      </c>
    </row>
    <row r="83" customFormat="false" ht="15" hidden="false" customHeight="false" outlineLevel="0" collapsed="false">
      <c r="B83" s="431" t="s">
        <v>8014</v>
      </c>
      <c r="C83" s="431" t="n">
        <v>1</v>
      </c>
      <c r="D83" s="431" t="s">
        <v>61</v>
      </c>
      <c r="E83" s="431" t="n">
        <v>20</v>
      </c>
      <c r="F83" s="431" t="s">
        <v>61</v>
      </c>
    </row>
    <row r="84" customFormat="false" ht="15" hidden="false" customHeight="false" outlineLevel="0" collapsed="false">
      <c r="B84" s="431" t="s">
        <v>650</v>
      </c>
      <c r="C84" s="431" t="n">
        <v>0.4</v>
      </c>
      <c r="D84" s="431" t="s">
        <v>68</v>
      </c>
      <c r="E84" s="431" t="n">
        <v>8</v>
      </c>
      <c r="F84" s="431" t="s">
        <v>68</v>
      </c>
    </row>
    <row r="85" customFormat="false" ht="15" hidden="false" customHeight="false" outlineLevel="0" collapsed="false">
      <c r="B85" s="431" t="s">
        <v>673</v>
      </c>
      <c r="C85" s="431" t="n">
        <v>1</v>
      </c>
      <c r="D85" s="431" t="s">
        <v>76</v>
      </c>
      <c r="E85" s="431" t="n">
        <v>20</v>
      </c>
      <c r="F85" s="431" t="s">
        <v>76</v>
      </c>
    </row>
    <row r="86" customFormat="false" ht="15" hidden="false" customHeight="false" outlineLevel="0" collapsed="false">
      <c r="B86" s="431" t="s">
        <v>8015</v>
      </c>
      <c r="C86" s="431" t="n">
        <v>1</v>
      </c>
      <c r="D86" s="431" t="s">
        <v>68</v>
      </c>
      <c r="E86" s="431" t="n">
        <v>20</v>
      </c>
      <c r="F86" s="431" t="s">
        <v>68</v>
      </c>
    </row>
    <row r="87" customFormat="false" ht="15" hidden="false" customHeight="false" outlineLevel="0" collapsed="false">
      <c r="B87" s="431" t="s">
        <v>21</v>
      </c>
      <c r="C87" s="431" t="n">
        <v>3</v>
      </c>
      <c r="D87" s="431" t="s">
        <v>61</v>
      </c>
      <c r="E87" s="431" t="n">
        <v>60</v>
      </c>
      <c r="F87" s="431" t="s">
        <v>61</v>
      </c>
    </row>
    <row r="88" customFormat="false" ht="15" hidden="false" customHeight="false" outlineLevel="0" collapsed="false">
      <c r="B88" s="431" t="s">
        <v>7821</v>
      </c>
      <c r="C88" s="431" t="n">
        <v>0.5</v>
      </c>
      <c r="D88" s="431" t="s">
        <v>68</v>
      </c>
      <c r="E88" s="431" t="n">
        <v>10</v>
      </c>
      <c r="F88" s="431" t="s">
        <v>68</v>
      </c>
    </row>
    <row r="89" customFormat="false" ht="15" hidden="false" customHeight="false" outlineLevel="0" collapsed="false">
      <c r="B89" s="431" t="s">
        <v>8016</v>
      </c>
      <c r="C89" s="431" t="n">
        <v>1.5</v>
      </c>
      <c r="D89" s="431" t="s">
        <v>61</v>
      </c>
      <c r="E89" s="431" t="n">
        <v>40</v>
      </c>
      <c r="F89" s="431" t="s">
        <v>61</v>
      </c>
    </row>
    <row r="90" customFormat="false" ht="15" hidden="false" customHeight="false" outlineLevel="0" collapsed="false">
      <c r="B90" s="431" t="s">
        <v>8017</v>
      </c>
      <c r="C90" s="431" t="n">
        <v>5</v>
      </c>
      <c r="D90" s="431" t="s">
        <v>61</v>
      </c>
      <c r="E90" s="431" t="n">
        <v>100</v>
      </c>
      <c r="F90" s="431" t="s">
        <v>61</v>
      </c>
    </row>
    <row r="91" customFormat="false" ht="15" hidden="false" customHeight="false" outlineLevel="0" collapsed="false">
      <c r="B91" s="431" t="s">
        <v>83</v>
      </c>
      <c r="C91" s="431" t="n">
        <v>0.5</v>
      </c>
      <c r="D91" s="431" t="s">
        <v>8018</v>
      </c>
      <c r="E91" s="431" t="n">
        <v>10</v>
      </c>
      <c r="F91" s="431" t="s">
        <v>13</v>
      </c>
    </row>
    <row r="92" customFormat="false" ht="15" hidden="false" customHeight="false" outlineLevel="0" collapsed="false">
      <c r="B92" s="431" t="s">
        <v>32</v>
      </c>
      <c r="C92" s="431" t="n">
        <v>1.5</v>
      </c>
      <c r="D92" s="431" t="s">
        <v>68</v>
      </c>
      <c r="E92" s="431" t="n">
        <v>30</v>
      </c>
      <c r="F92" s="431" t="s">
        <v>68</v>
      </c>
    </row>
    <row r="93" customFormat="false" ht="15" hidden="false" customHeight="false" outlineLevel="0" collapsed="false">
      <c r="B93" s="431" t="s">
        <v>8019</v>
      </c>
      <c r="C93" s="431" t="n">
        <v>4</v>
      </c>
      <c r="D93" s="431" t="s">
        <v>68</v>
      </c>
      <c r="E93" s="431" t="n">
        <v>80</v>
      </c>
      <c r="F93" s="431" t="s">
        <v>68</v>
      </c>
    </row>
    <row r="94" customFormat="false" ht="15" hidden="false" customHeight="false" outlineLevel="0" collapsed="false">
      <c r="B94" s="431" t="s">
        <v>8020</v>
      </c>
      <c r="C94" s="431" t="n">
        <v>0.5</v>
      </c>
      <c r="D94" s="431" t="s">
        <v>8018</v>
      </c>
      <c r="E94" s="431" t="n">
        <v>10</v>
      </c>
      <c r="F94" s="431" t="s">
        <v>13</v>
      </c>
    </row>
    <row r="95" customFormat="false" ht="15" hidden="false" customHeight="false" outlineLevel="0" collapsed="false">
      <c r="B95" s="431" t="s">
        <v>8021</v>
      </c>
      <c r="C95" s="431" t="n">
        <v>10</v>
      </c>
      <c r="D95" s="431" t="s">
        <v>61</v>
      </c>
      <c r="E95" s="431" t="n">
        <v>200</v>
      </c>
      <c r="F95" s="431" t="s">
        <v>61</v>
      </c>
    </row>
    <row r="96" customFormat="false" ht="15" hidden="false" customHeight="false" outlineLevel="0" collapsed="false">
      <c r="B96" s="430" t="s">
        <v>7960</v>
      </c>
      <c r="C96" s="429"/>
      <c r="D96" s="429"/>
      <c r="E96" s="429" t="s">
        <v>8022</v>
      </c>
      <c r="F96" s="429"/>
    </row>
    <row r="98" customFormat="false" ht="14.45" hidden="false" customHeight="true" outlineLevel="0" collapsed="false">
      <c r="A98" s="317" t="s">
        <v>7822</v>
      </c>
      <c r="B98" s="432" t="s">
        <v>2</v>
      </c>
      <c r="C98" s="433" t="s">
        <v>3</v>
      </c>
      <c r="D98" s="433" t="s">
        <v>4</v>
      </c>
      <c r="E98" s="433" t="s">
        <v>5</v>
      </c>
      <c r="F98" s="433" t="s">
        <v>4</v>
      </c>
    </row>
    <row r="99" customFormat="false" ht="15" hidden="false" customHeight="false" outlineLevel="0" collapsed="false">
      <c r="A99" s="317"/>
      <c r="B99" s="221" t="s">
        <v>7823</v>
      </c>
      <c r="C99" s="222" t="n">
        <v>3.8</v>
      </c>
      <c r="D99" s="222" t="s">
        <v>61</v>
      </c>
      <c r="E99" s="222" t="n">
        <f aca="false">C99*E$33/C$33</f>
        <v>68.4</v>
      </c>
      <c r="F99" s="222" t="s">
        <v>61</v>
      </c>
    </row>
    <row r="100" customFormat="false" ht="15" hidden="false" customHeight="false" outlineLevel="0" collapsed="false">
      <c r="A100" s="223"/>
      <c r="B100" s="221" t="s">
        <v>18</v>
      </c>
      <c r="C100" s="222" t="n">
        <v>1</v>
      </c>
      <c r="D100" s="222" t="s">
        <v>13</v>
      </c>
      <c r="E100" s="222" t="n">
        <f aca="false">C100*E$33/C$33</f>
        <v>18</v>
      </c>
      <c r="F100" s="222" t="s">
        <v>13</v>
      </c>
    </row>
    <row r="101" customFormat="false" ht="15" hidden="false" customHeight="false" outlineLevel="0" collapsed="false">
      <c r="A101" s="223"/>
      <c r="B101" s="221" t="s">
        <v>30</v>
      </c>
      <c r="C101" s="222" t="n">
        <v>0.2</v>
      </c>
      <c r="D101" s="222" t="s">
        <v>68</v>
      </c>
      <c r="E101" s="222" t="n">
        <f aca="false">C101*E$33/C$33</f>
        <v>3.6</v>
      </c>
      <c r="F101" s="222" t="s">
        <v>68</v>
      </c>
    </row>
    <row r="102" customFormat="false" ht="15" hidden="false" customHeight="false" outlineLevel="0" collapsed="false">
      <c r="A102" s="223"/>
      <c r="B102" s="221" t="s">
        <v>37</v>
      </c>
      <c r="C102" s="222" t="n">
        <v>0.4</v>
      </c>
      <c r="D102" s="222" t="s">
        <v>13</v>
      </c>
      <c r="E102" s="222" t="n">
        <f aca="false">C102*E$33/C$33</f>
        <v>7.2</v>
      </c>
      <c r="F102" s="222" t="s">
        <v>13</v>
      </c>
    </row>
    <row r="103" customFormat="false" ht="15" hidden="false" customHeight="false" outlineLevel="0" collapsed="false">
      <c r="A103" s="220"/>
      <c r="B103" s="221" t="s">
        <v>604</v>
      </c>
      <c r="C103" s="293" t="n">
        <v>0.5</v>
      </c>
      <c r="D103" s="222" t="s">
        <v>13</v>
      </c>
      <c r="E103" s="222" t="n">
        <f aca="false">C103*E$33/C$33</f>
        <v>9</v>
      </c>
      <c r="F103" s="222" t="s">
        <v>13</v>
      </c>
    </row>
    <row r="104" customFormat="false" ht="15" hidden="false" customHeight="false" outlineLevel="0" collapsed="false">
      <c r="A104" s="220"/>
      <c r="B104" s="221" t="s">
        <v>758</v>
      </c>
      <c r="C104" s="222" t="n">
        <v>16</v>
      </c>
      <c r="D104" s="222" t="s">
        <v>109</v>
      </c>
      <c r="E104" s="222" t="n">
        <f aca="false">C104*E$33/C$33</f>
        <v>288</v>
      </c>
      <c r="F104" s="222" t="s">
        <v>109</v>
      </c>
    </row>
    <row r="105" customFormat="false" ht="15" hidden="false" customHeight="false" outlineLevel="0" collapsed="false">
      <c r="A105" s="223"/>
      <c r="B105" s="226" t="s">
        <v>26</v>
      </c>
      <c r="C105" s="228" t="n">
        <v>1</v>
      </c>
      <c r="D105" s="228" t="s">
        <v>27</v>
      </c>
      <c r="E105" s="222" t="n">
        <f aca="false">C105*E$33/C$33</f>
        <v>18</v>
      </c>
      <c r="F105" s="228" t="s">
        <v>27</v>
      </c>
    </row>
    <row r="106" customFormat="false" ht="15" hidden="false" customHeight="false" outlineLevel="0" collapsed="false">
      <c r="A106" s="223"/>
      <c r="B106" s="226" t="s">
        <v>26</v>
      </c>
      <c r="C106" s="228" t="n">
        <v>35</v>
      </c>
      <c r="D106" s="228" t="s">
        <v>13</v>
      </c>
      <c r="E106" s="268" t="n">
        <f aca="false">35*10</f>
        <v>350</v>
      </c>
      <c r="F106" s="228" t="s">
        <v>13</v>
      </c>
    </row>
  </sheetData>
  <mergeCells count="4">
    <mergeCell ref="A2:A3"/>
    <mergeCell ref="A17:A18"/>
    <mergeCell ref="A51:A52"/>
    <mergeCell ref="A98:A9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70"/>
  <sheetViews>
    <sheetView showFormulas="false" showGridLines="true" showRowColHeaders="true" showZeros="true" rightToLeft="false" tabSelected="false" showOutlineSymbols="true" defaultGridColor="true" view="normal" topLeftCell="A97" colorId="64" zoomScale="85" zoomScaleNormal="85" zoomScalePageLayoutView="100" workbookViewId="0">
      <selection pane="topLeft" activeCell="A97" activeCellId="0" sqref="A97"/>
    </sheetView>
  </sheetViews>
  <sheetFormatPr defaultRowHeight="15" outlineLevelRow="0" outlineLevelCol="0"/>
  <cols>
    <col collapsed="false" customWidth="true" hidden="false" outlineLevel="0" max="1" min="1" style="0" width="23.62"/>
    <col collapsed="false" customWidth="true" hidden="false" outlineLevel="0" max="2" min="2" style="0" width="22.62"/>
    <col collapsed="false" customWidth="true" hidden="false" outlineLevel="0" max="3" min="3" style="0" width="11.38"/>
    <col collapsed="false" customWidth="true" hidden="false" outlineLevel="0" max="4" min="4" style="0" width="7.51"/>
    <col collapsed="false" customWidth="true" hidden="false" outlineLevel="0" max="5" min="5" style="2" width="12.87"/>
    <col collapsed="false" customWidth="true" hidden="false" outlineLevel="0" max="6" min="6" style="0" width="4.88"/>
    <col collapsed="false" customWidth="true" hidden="false" outlineLevel="0" max="1025" min="7" style="0" width="8.51"/>
  </cols>
  <sheetData>
    <row r="1" customFormat="false" ht="15.75" hidden="false" customHeight="false" outlineLevel="0" collapsed="false">
      <c r="A1" s="411" t="s">
        <v>8023</v>
      </c>
      <c r="B1" s="412"/>
      <c r="C1" s="412"/>
      <c r="D1" s="412"/>
      <c r="E1" s="434"/>
      <c r="F1" s="412"/>
      <c r="G1" s="412"/>
      <c r="H1" s="412"/>
      <c r="I1" s="435"/>
      <c r="J1" s="5"/>
    </row>
    <row r="2" customFormat="false" ht="20.25" hidden="false" customHeight="false" outlineLevel="0" collapsed="false">
      <c r="A2" s="436" t="s">
        <v>358</v>
      </c>
      <c r="B2" s="414" t="s">
        <v>2</v>
      </c>
      <c r="C2" s="437" t="s">
        <v>3</v>
      </c>
      <c r="D2" s="437" t="s">
        <v>4</v>
      </c>
      <c r="E2" s="437" t="s">
        <v>5</v>
      </c>
      <c r="F2" s="437" t="s">
        <v>4</v>
      </c>
      <c r="G2" s="438"/>
      <c r="H2" s="438"/>
      <c r="I2" s="439"/>
    </row>
    <row r="3" customFormat="false" ht="20.25" hidden="false" customHeight="false" outlineLevel="0" collapsed="false">
      <c r="A3" s="440"/>
      <c r="B3" s="312" t="s">
        <v>7855</v>
      </c>
      <c r="C3" s="255" t="n">
        <v>25</v>
      </c>
      <c r="D3" s="312" t="s">
        <v>61</v>
      </c>
      <c r="E3" s="256" t="n">
        <f aca="false">C3*2</f>
        <v>50</v>
      </c>
      <c r="F3" s="257" t="s">
        <v>61</v>
      </c>
      <c r="G3" s="438"/>
      <c r="H3" s="438"/>
      <c r="I3" s="439"/>
    </row>
    <row r="4" customFormat="false" ht="15.75" hidden="false" customHeight="false" outlineLevel="0" collapsed="false">
      <c r="A4" s="255"/>
      <c r="B4" s="312" t="s">
        <v>39</v>
      </c>
      <c r="C4" s="255" t="n">
        <v>5</v>
      </c>
      <c r="D4" s="312" t="s">
        <v>61</v>
      </c>
      <c r="E4" s="256" t="n">
        <f aca="false">C4*2</f>
        <v>10</v>
      </c>
      <c r="F4" s="257" t="s">
        <v>61</v>
      </c>
      <c r="G4" s="438"/>
      <c r="H4" s="438"/>
      <c r="I4" s="439"/>
    </row>
    <row r="5" customFormat="false" ht="15.75" hidden="false" customHeight="false" outlineLevel="0" collapsed="false">
      <c r="A5" s="255"/>
      <c r="B5" s="312" t="s">
        <v>11</v>
      </c>
      <c r="C5" s="255" t="n">
        <v>5</v>
      </c>
      <c r="D5" s="312" t="s">
        <v>61</v>
      </c>
      <c r="E5" s="256" t="n">
        <f aca="false">C5*2</f>
        <v>10</v>
      </c>
      <c r="F5" s="257" t="s">
        <v>61</v>
      </c>
      <c r="G5" s="438"/>
      <c r="H5" s="438"/>
      <c r="I5" s="439"/>
    </row>
    <row r="6" customFormat="false" ht="15.75" hidden="false" customHeight="false" outlineLevel="0" collapsed="false">
      <c r="A6" s="286"/>
      <c r="B6" s="280" t="s">
        <v>7818</v>
      </c>
      <c r="C6" s="286" t="n">
        <v>5</v>
      </c>
      <c r="D6" s="280" t="s">
        <v>61</v>
      </c>
      <c r="E6" s="256" t="n">
        <f aca="false">C6*2</f>
        <v>10</v>
      </c>
      <c r="F6" s="304" t="s">
        <v>61</v>
      </c>
      <c r="G6" s="438"/>
      <c r="H6" s="438"/>
      <c r="I6" s="439"/>
    </row>
    <row r="7" customFormat="false" ht="15.75" hidden="false" customHeight="false" outlineLevel="0" collapsed="false">
      <c r="A7" s="286"/>
      <c r="B7" s="312" t="s">
        <v>7819</v>
      </c>
      <c r="C7" s="286" t="n">
        <v>8.5</v>
      </c>
      <c r="D7" s="280" t="s">
        <v>76</v>
      </c>
      <c r="E7" s="256" t="n">
        <f aca="false">C7*2</f>
        <v>17</v>
      </c>
      <c r="F7" s="304" t="s">
        <v>76</v>
      </c>
      <c r="G7" s="438"/>
      <c r="H7" s="438"/>
      <c r="I7" s="439"/>
    </row>
    <row r="8" customFormat="false" ht="15.75" hidden="false" customHeight="false" outlineLevel="0" collapsed="false">
      <c r="A8" s="255"/>
      <c r="B8" s="312" t="s">
        <v>672</v>
      </c>
      <c r="C8" s="255" t="n">
        <v>2.5</v>
      </c>
      <c r="D8" s="312" t="s">
        <v>68</v>
      </c>
      <c r="E8" s="256" t="n">
        <f aca="false">C8*2</f>
        <v>5</v>
      </c>
      <c r="F8" s="257" t="s">
        <v>68</v>
      </c>
      <c r="G8" s="438"/>
      <c r="H8" s="438"/>
      <c r="I8" s="439"/>
    </row>
    <row r="9" customFormat="false" ht="15.75" hidden="false" customHeight="false" outlineLevel="0" collapsed="false">
      <c r="A9" s="255"/>
      <c r="B9" s="312" t="s">
        <v>7856</v>
      </c>
      <c r="C9" s="255" t="n">
        <v>2</v>
      </c>
      <c r="D9" s="312" t="s">
        <v>76</v>
      </c>
      <c r="E9" s="256" t="n">
        <f aca="false">C9*2</f>
        <v>4</v>
      </c>
      <c r="F9" s="257" t="s">
        <v>76</v>
      </c>
      <c r="G9" s="438"/>
      <c r="H9" s="438"/>
      <c r="I9" s="439"/>
    </row>
    <row r="10" customFormat="false" ht="15.75" hidden="false" customHeight="false" outlineLevel="0" collapsed="false">
      <c r="A10" s="255"/>
      <c r="B10" s="312" t="s">
        <v>16</v>
      </c>
      <c r="C10" s="255" t="n">
        <v>0.5</v>
      </c>
      <c r="D10" s="312" t="s">
        <v>76</v>
      </c>
      <c r="E10" s="256" t="n">
        <f aca="false">C10*2</f>
        <v>1</v>
      </c>
      <c r="F10" s="257" t="s">
        <v>76</v>
      </c>
      <c r="G10" s="438"/>
      <c r="H10" s="438"/>
      <c r="I10" s="439"/>
    </row>
    <row r="11" customFormat="false" ht="15.75" hidden="false" customHeight="false" outlineLevel="0" collapsed="false">
      <c r="A11" s="255"/>
      <c r="B11" s="4" t="s">
        <v>15</v>
      </c>
      <c r="C11" s="255" t="n">
        <v>1</v>
      </c>
      <c r="D11" s="312" t="s">
        <v>76</v>
      </c>
      <c r="E11" s="256" t="n">
        <f aca="false">C11*2</f>
        <v>2</v>
      </c>
      <c r="F11" s="257" t="s">
        <v>76</v>
      </c>
      <c r="G11" s="438"/>
      <c r="H11" s="438"/>
      <c r="I11" s="439"/>
    </row>
    <row r="12" customFormat="false" ht="15.75" hidden="false" customHeight="false" outlineLevel="0" collapsed="false">
      <c r="A12" s="255"/>
      <c r="B12" s="312" t="s">
        <v>651</v>
      </c>
      <c r="C12" s="255" t="n">
        <v>2</v>
      </c>
      <c r="D12" s="312" t="s">
        <v>76</v>
      </c>
      <c r="E12" s="256" t="n">
        <f aca="false">C12*2</f>
        <v>4</v>
      </c>
      <c r="F12" s="257" t="s">
        <v>76</v>
      </c>
      <c r="G12" s="438"/>
      <c r="H12" s="438"/>
      <c r="I12" s="439"/>
    </row>
    <row r="13" customFormat="false" ht="15.75" hidden="false" customHeight="false" outlineLevel="0" collapsed="false">
      <c r="A13" s="441"/>
      <c r="B13" s="442" t="s">
        <v>947</v>
      </c>
      <c r="C13" s="255" t="n">
        <v>80</v>
      </c>
      <c r="D13" s="312" t="s">
        <v>76</v>
      </c>
      <c r="E13" s="256" t="n">
        <f aca="false">C13*2</f>
        <v>160</v>
      </c>
      <c r="F13" s="257"/>
      <c r="G13" s="438"/>
      <c r="H13" s="438"/>
      <c r="I13" s="439"/>
    </row>
    <row r="14" customFormat="false" ht="15.75" hidden="false" customHeight="false" outlineLevel="0" collapsed="false">
      <c r="A14" s="255"/>
      <c r="B14" s="312" t="s">
        <v>75</v>
      </c>
      <c r="C14" s="255" t="n">
        <v>2</v>
      </c>
      <c r="D14" s="312" t="s">
        <v>76</v>
      </c>
      <c r="E14" s="256" t="n">
        <f aca="false">C14*2</f>
        <v>4</v>
      </c>
      <c r="F14" s="257" t="s">
        <v>76</v>
      </c>
      <c r="G14" s="438"/>
      <c r="H14" s="438"/>
      <c r="I14" s="439"/>
    </row>
    <row r="15" customFormat="false" ht="15.75" hidden="false" customHeight="false" outlineLevel="0" collapsed="false">
      <c r="A15" s="286"/>
      <c r="B15" s="280" t="s">
        <v>557</v>
      </c>
      <c r="C15" s="286" t="n">
        <v>1</v>
      </c>
      <c r="D15" s="280" t="s">
        <v>76</v>
      </c>
      <c r="E15" s="256" t="n">
        <f aca="false">C15*2</f>
        <v>2</v>
      </c>
      <c r="F15" s="304" t="s">
        <v>76</v>
      </c>
      <c r="G15" s="438"/>
      <c r="H15" s="438"/>
      <c r="I15" s="439"/>
    </row>
    <row r="16" customFormat="false" ht="15.75" hidden="false" customHeight="false" outlineLevel="0" collapsed="false">
      <c r="A16" s="286"/>
      <c r="B16" s="312" t="s">
        <v>71</v>
      </c>
      <c r="C16" s="286" t="n">
        <v>3</v>
      </c>
      <c r="D16" s="280" t="s">
        <v>68</v>
      </c>
      <c r="E16" s="256" t="n">
        <f aca="false">C16*2</f>
        <v>6</v>
      </c>
      <c r="F16" s="304" t="s">
        <v>68</v>
      </c>
      <c r="G16" s="438"/>
      <c r="H16" s="438"/>
      <c r="I16" s="439"/>
    </row>
    <row r="17" customFormat="false" ht="15.75" hidden="false" customHeight="false" outlineLevel="0" collapsed="false">
      <c r="A17" s="255"/>
      <c r="B17" s="370" t="s">
        <v>26</v>
      </c>
      <c r="C17" s="443" t="n">
        <v>3</v>
      </c>
      <c r="D17" s="370" t="s">
        <v>27</v>
      </c>
      <c r="E17" s="256" t="n">
        <f aca="false">C17*2</f>
        <v>6</v>
      </c>
      <c r="F17" s="444" t="s">
        <v>27</v>
      </c>
      <c r="G17" s="438"/>
      <c r="H17" s="438"/>
      <c r="I17" s="439"/>
    </row>
    <row r="18" customFormat="false" ht="15.75" hidden="false" customHeight="false" outlineLevel="0" collapsed="false">
      <c r="A18" s="255"/>
      <c r="B18" s="255"/>
      <c r="C18" s="255"/>
      <c r="D18" s="312"/>
      <c r="E18" s="256"/>
      <c r="F18" s="257"/>
      <c r="G18" s="438"/>
      <c r="H18" s="438"/>
      <c r="I18" s="439"/>
    </row>
    <row r="19" customFormat="false" ht="15.75" hidden="false" customHeight="false" outlineLevel="0" collapsed="false">
      <c r="A19" s="255"/>
      <c r="B19" s="1"/>
      <c r="D19" s="4"/>
      <c r="E19" s="256"/>
      <c r="F19" s="257"/>
      <c r="G19" s="438"/>
      <c r="H19" s="438"/>
      <c r="I19" s="439"/>
    </row>
    <row r="20" customFormat="false" ht="15.75" hidden="false" customHeight="false" outlineLevel="0" collapsed="false">
      <c r="A20" s="255"/>
      <c r="B20" s="1"/>
      <c r="D20" s="4"/>
      <c r="E20" s="256"/>
      <c r="F20" s="257"/>
      <c r="G20" s="438"/>
      <c r="H20" s="438"/>
      <c r="I20" s="439"/>
    </row>
    <row r="21" customFormat="false" ht="15.75" hidden="false" customHeight="false" outlineLevel="0" collapsed="false">
      <c r="A21" s="255"/>
      <c r="B21" s="1"/>
      <c r="C21" s="255"/>
      <c r="D21" s="312"/>
      <c r="E21" s="256"/>
      <c r="F21" s="257"/>
      <c r="G21" s="438"/>
      <c r="H21" s="438"/>
      <c r="I21" s="439"/>
    </row>
    <row r="22" customFormat="false" ht="15.75" hidden="false" customHeight="false" outlineLevel="0" collapsed="false">
      <c r="B22" s="1"/>
      <c r="D22" s="4"/>
      <c r="F22" s="3"/>
      <c r="G22" s="438"/>
      <c r="H22" s="438"/>
      <c r="I22" s="439"/>
    </row>
    <row r="23" customFormat="false" ht="18" hidden="false" customHeight="false" outlineLevel="0" collapsed="false">
      <c r="A23" s="445" t="s">
        <v>7857</v>
      </c>
      <c r="B23" s="414" t="s">
        <v>2</v>
      </c>
      <c r="C23" s="437" t="s">
        <v>3</v>
      </c>
      <c r="D23" s="437" t="s">
        <v>4</v>
      </c>
      <c r="E23" s="437" t="s">
        <v>5</v>
      </c>
      <c r="F23" s="437" t="s">
        <v>4</v>
      </c>
      <c r="G23" s="438"/>
      <c r="H23" s="438"/>
      <c r="I23" s="439"/>
    </row>
    <row r="24" customFormat="false" ht="18" hidden="false" customHeight="false" outlineLevel="0" collapsed="false">
      <c r="A24" s="446"/>
      <c r="B24" s="312" t="s">
        <v>7835</v>
      </c>
      <c r="C24" s="286" t="n">
        <v>3</v>
      </c>
      <c r="D24" s="280" t="s">
        <v>61</v>
      </c>
      <c r="E24" s="256" t="n">
        <f aca="false">C24*12.5</f>
        <v>37.5</v>
      </c>
      <c r="F24" s="304" t="s">
        <v>61</v>
      </c>
      <c r="G24" s="438"/>
      <c r="H24" s="438"/>
      <c r="I24" s="439"/>
    </row>
    <row r="25" customFormat="false" ht="15.75" hidden="false" customHeight="false" outlineLevel="0" collapsed="false">
      <c r="A25" s="255"/>
      <c r="B25" s="312" t="s">
        <v>21</v>
      </c>
      <c r="C25" s="255" t="n">
        <v>14.75</v>
      </c>
      <c r="D25" s="312" t="s">
        <v>61</v>
      </c>
      <c r="E25" s="256" t="n">
        <f aca="false">C25*12.5</f>
        <v>185</v>
      </c>
      <c r="F25" s="257" t="s">
        <v>61</v>
      </c>
      <c r="G25" s="438"/>
      <c r="H25" s="438"/>
      <c r="I25" s="439"/>
    </row>
    <row r="26" customFormat="false" ht="15.75" hidden="false" customHeight="false" outlineLevel="0" collapsed="false">
      <c r="A26" s="255"/>
      <c r="B26" s="312" t="s">
        <v>7858</v>
      </c>
      <c r="C26" s="255" t="n">
        <v>0.2</v>
      </c>
      <c r="D26" s="312" t="s">
        <v>61</v>
      </c>
      <c r="E26" s="256" t="n">
        <f aca="false">C26*12.5</f>
        <v>2.5</v>
      </c>
      <c r="F26" s="257" t="s">
        <v>61</v>
      </c>
      <c r="G26" s="438"/>
      <c r="H26" s="438"/>
      <c r="I26" s="439"/>
    </row>
    <row r="27" customFormat="false" ht="15.75" hidden="false" customHeight="false" outlineLevel="0" collapsed="false">
      <c r="A27" s="255"/>
      <c r="B27" s="312" t="s">
        <v>541</v>
      </c>
      <c r="C27" s="255" t="n">
        <v>0.5</v>
      </c>
      <c r="D27" s="312" t="s">
        <v>61</v>
      </c>
      <c r="E27" s="256" t="n">
        <f aca="false">C27*12.5</f>
        <v>6.3</v>
      </c>
      <c r="F27" s="257" t="s">
        <v>61</v>
      </c>
      <c r="G27" s="438"/>
      <c r="H27" s="438"/>
      <c r="I27" s="439"/>
    </row>
    <row r="28" customFormat="false" ht="15.75" hidden="false" customHeight="false" outlineLevel="0" collapsed="false">
      <c r="A28" s="255"/>
      <c r="B28" s="312" t="s">
        <v>650</v>
      </c>
      <c r="C28" s="255" t="n">
        <v>0.5</v>
      </c>
      <c r="D28" s="312" t="s">
        <v>68</v>
      </c>
      <c r="E28" s="256" t="n">
        <f aca="false">C28*12.5</f>
        <v>6.3</v>
      </c>
      <c r="F28" s="257" t="s">
        <v>68</v>
      </c>
      <c r="G28" s="438"/>
      <c r="H28" s="438"/>
      <c r="I28" s="439"/>
    </row>
    <row r="29" customFormat="false" ht="15.75" hidden="false" customHeight="false" outlineLevel="0" collapsed="false">
      <c r="A29" s="255"/>
      <c r="B29" s="312" t="s">
        <v>652</v>
      </c>
      <c r="C29" s="255" t="n">
        <v>1.5</v>
      </c>
      <c r="D29" s="312" t="s">
        <v>68</v>
      </c>
      <c r="E29" s="256" t="n">
        <f aca="false">C29*12.5</f>
        <v>18.8</v>
      </c>
      <c r="F29" s="257" t="s">
        <v>68</v>
      </c>
      <c r="G29" s="438"/>
      <c r="H29" s="438"/>
      <c r="I29" s="439"/>
    </row>
    <row r="30" customFormat="false" ht="15.75" hidden="false" customHeight="false" outlineLevel="0" collapsed="false">
      <c r="A30" s="255"/>
      <c r="B30" s="312" t="s">
        <v>32</v>
      </c>
      <c r="C30" s="255" t="n">
        <v>2.5</v>
      </c>
      <c r="D30" s="312" t="s">
        <v>68</v>
      </c>
      <c r="E30" s="256" t="n">
        <f aca="false">C30*12.5</f>
        <v>31.3</v>
      </c>
      <c r="F30" s="257" t="s">
        <v>68</v>
      </c>
      <c r="G30" s="438"/>
      <c r="H30" s="438"/>
      <c r="I30" s="439"/>
    </row>
    <row r="31" customFormat="false" ht="15.75" hidden="false" customHeight="false" outlineLevel="0" collapsed="false">
      <c r="A31" s="286"/>
      <c r="B31" s="280" t="s">
        <v>682</v>
      </c>
      <c r="C31" s="286" t="n">
        <v>1</v>
      </c>
      <c r="D31" s="280" t="s">
        <v>61</v>
      </c>
      <c r="E31" s="256" t="n">
        <f aca="false">C31*12.5</f>
        <v>12.5</v>
      </c>
      <c r="F31" s="304" t="s">
        <v>61</v>
      </c>
      <c r="G31" s="438"/>
      <c r="H31" s="438"/>
      <c r="I31" s="439"/>
    </row>
    <row r="32" customFormat="false" ht="27.75" hidden="false" customHeight="false" outlineLevel="0" collapsed="false">
      <c r="A32" s="286"/>
      <c r="B32" s="312" t="s">
        <v>8024</v>
      </c>
      <c r="C32" s="286" t="n">
        <v>2.5</v>
      </c>
      <c r="D32" s="447" t="s">
        <v>8025</v>
      </c>
      <c r="E32" s="256" t="n">
        <f aca="false">C32*12.5</f>
        <v>31.3</v>
      </c>
      <c r="F32" s="304" t="s">
        <v>68</v>
      </c>
      <c r="G32" s="438"/>
      <c r="H32" s="438"/>
      <c r="I32" s="439"/>
    </row>
    <row r="33" customFormat="false" ht="15.75" hidden="false" customHeight="false" outlineLevel="0" collapsed="false">
      <c r="A33" s="255"/>
      <c r="B33" s="312" t="s">
        <v>7821</v>
      </c>
      <c r="C33" s="255" t="n">
        <v>1</v>
      </c>
      <c r="D33" s="312" t="s">
        <v>76</v>
      </c>
      <c r="E33" s="256" t="n">
        <f aca="false">C33*12.5</f>
        <v>12.5</v>
      </c>
      <c r="F33" s="257" t="s">
        <v>76</v>
      </c>
      <c r="G33" s="438"/>
      <c r="H33" s="438"/>
      <c r="I33" s="439"/>
    </row>
    <row r="34" customFormat="false" ht="15.75" hidden="false" customHeight="false" outlineLevel="0" collapsed="false">
      <c r="A34" s="255"/>
      <c r="B34" s="448" t="s">
        <v>649</v>
      </c>
      <c r="C34" s="255"/>
      <c r="D34" s="312"/>
      <c r="E34" s="256" t="n">
        <f aca="false">C34*12.5</f>
        <v>0</v>
      </c>
      <c r="F34" s="257"/>
      <c r="G34" s="438"/>
      <c r="H34" s="438"/>
      <c r="I34" s="439"/>
    </row>
    <row r="35" customFormat="false" ht="15.75" hidden="false" customHeight="false" outlineLevel="0" collapsed="false">
      <c r="A35" s="255"/>
      <c r="B35" s="312" t="s">
        <v>673</v>
      </c>
      <c r="C35" s="255" t="n">
        <v>2</v>
      </c>
      <c r="D35" s="312" t="s">
        <v>76</v>
      </c>
      <c r="E35" s="256" t="n">
        <f aca="false">C35*12.5</f>
        <v>25</v>
      </c>
      <c r="F35" s="257" t="s">
        <v>76</v>
      </c>
      <c r="G35" s="438"/>
      <c r="H35" s="438"/>
      <c r="I35" s="439"/>
    </row>
    <row r="36" customFormat="false" ht="15.75" hidden="false" customHeight="false" outlineLevel="0" collapsed="false">
      <c r="A36" s="255"/>
      <c r="B36" s="312" t="s">
        <v>672</v>
      </c>
      <c r="C36" s="255" t="n">
        <v>1</v>
      </c>
      <c r="D36" s="312" t="s">
        <v>68</v>
      </c>
      <c r="E36" s="256" t="n">
        <f aca="false">C36*12.5</f>
        <v>12.5</v>
      </c>
      <c r="F36" s="257" t="s">
        <v>68</v>
      </c>
      <c r="G36" s="438"/>
      <c r="H36" s="438"/>
      <c r="I36" s="439"/>
    </row>
    <row r="37" customFormat="false" ht="15.75" hidden="false" customHeight="false" outlineLevel="0" collapsed="false">
      <c r="A37" s="255"/>
      <c r="B37" s="312" t="s">
        <v>22</v>
      </c>
      <c r="C37" s="255" t="n">
        <v>0.5</v>
      </c>
      <c r="D37" s="312" t="s">
        <v>76</v>
      </c>
      <c r="E37" s="256" t="n">
        <f aca="false">C37*12.5</f>
        <v>6.3</v>
      </c>
      <c r="F37" s="257" t="s">
        <v>76</v>
      </c>
      <c r="G37" s="438"/>
      <c r="H37" s="438"/>
      <c r="I37" s="439"/>
    </row>
    <row r="38" customFormat="false" ht="15.75" hidden="false" customHeight="false" outlineLevel="0" collapsed="false">
      <c r="A38" s="255"/>
      <c r="B38" s="370" t="s">
        <v>26</v>
      </c>
      <c r="C38" s="443" t="n">
        <v>2</v>
      </c>
      <c r="D38" s="370" t="s">
        <v>27</v>
      </c>
      <c r="E38" s="256" t="n">
        <f aca="false">C38*12.5</f>
        <v>25</v>
      </c>
      <c r="F38" s="444" t="s">
        <v>27</v>
      </c>
      <c r="G38" s="438"/>
      <c r="H38" s="438"/>
      <c r="I38" s="439"/>
    </row>
    <row r="39" customFormat="false" ht="15.75" hidden="false" customHeight="false" outlineLevel="0" collapsed="false">
      <c r="A39" s="438"/>
      <c r="B39" s="438"/>
      <c r="C39" s="438"/>
      <c r="D39" s="438"/>
      <c r="E39" s="449"/>
      <c r="F39" s="438"/>
      <c r="G39" s="438"/>
      <c r="H39" s="438"/>
      <c r="I39" s="439"/>
    </row>
    <row r="40" customFormat="false" ht="15.75" hidden="false" customHeight="false" outlineLevel="0" collapsed="false">
      <c r="A40" s="438"/>
      <c r="B40" s="438"/>
      <c r="C40" s="438"/>
      <c r="D40" s="438"/>
      <c r="E40" s="449"/>
      <c r="F40" s="438"/>
      <c r="G40" s="438"/>
      <c r="H40" s="438"/>
      <c r="I40" s="439"/>
    </row>
    <row r="41" customFormat="false" ht="15.75" hidden="false" customHeight="false" outlineLevel="0" collapsed="false">
      <c r="A41" s="438"/>
      <c r="B41" s="438"/>
      <c r="C41" s="438"/>
      <c r="G41" s="438"/>
      <c r="H41" s="438"/>
      <c r="I41" s="439"/>
    </row>
    <row r="42" customFormat="false" ht="15.75" hidden="false" customHeight="false" outlineLevel="0" collapsed="false">
      <c r="A42" s="438"/>
      <c r="B42" s="438"/>
      <c r="C42" s="438"/>
      <c r="G42" s="438"/>
      <c r="H42" s="438"/>
      <c r="I42" s="439"/>
      <c r="J42" s="438"/>
      <c r="K42" s="438"/>
      <c r="L42" s="438"/>
    </row>
    <row r="43" customFormat="false" ht="15.75" hidden="false" customHeight="false" outlineLevel="0" collapsed="false">
      <c r="A43" s="438"/>
      <c r="B43" s="438"/>
      <c r="C43" s="438"/>
      <c r="G43" s="438"/>
      <c r="H43" s="438"/>
      <c r="I43" s="439"/>
      <c r="J43" s="438"/>
      <c r="K43" s="438"/>
      <c r="L43" s="438"/>
    </row>
    <row r="44" customFormat="false" ht="15.75" hidden="false" customHeight="false" outlineLevel="0" collapsed="false">
      <c r="A44" s="438"/>
      <c r="B44" s="438"/>
      <c r="C44" s="438"/>
      <c r="G44" s="438"/>
      <c r="H44" s="438"/>
      <c r="I44" s="439"/>
      <c r="J44" s="438"/>
      <c r="K44" s="231" t="s">
        <v>7824</v>
      </c>
      <c r="L44" s="438"/>
    </row>
    <row r="45" customFormat="false" ht="15.75" hidden="false" customHeight="false" outlineLevel="0" collapsed="false">
      <c r="A45" s="438"/>
      <c r="B45" s="438"/>
      <c r="C45" s="438"/>
      <c r="D45" s="438"/>
      <c r="E45" s="449"/>
      <c r="F45" s="438"/>
      <c r="G45" s="438"/>
      <c r="H45" s="438"/>
      <c r="I45" s="439"/>
      <c r="J45" s="438"/>
      <c r="K45" s="438"/>
      <c r="L45" s="438"/>
    </row>
    <row r="46" customFormat="false" ht="18.75" hidden="false" customHeight="false" outlineLevel="0" collapsed="false">
      <c r="A46" s="450" t="s">
        <v>211</v>
      </c>
      <c r="B46" s="324" t="s">
        <v>2</v>
      </c>
      <c r="C46" s="324" t="s">
        <v>3</v>
      </c>
      <c r="D46" s="324" t="s">
        <v>4</v>
      </c>
      <c r="E46" s="324" t="s">
        <v>5</v>
      </c>
      <c r="F46" s="324" t="s">
        <v>4</v>
      </c>
    </row>
    <row r="47" customFormat="false" ht="18.75" hidden="false" customHeight="false" outlineLevel="0" collapsed="false">
      <c r="A47" s="451"/>
      <c r="B47" s="225" t="s">
        <v>575</v>
      </c>
      <c r="C47" s="262" t="n">
        <v>25</v>
      </c>
      <c r="D47" s="225" t="s">
        <v>61</v>
      </c>
      <c r="E47" s="269" t="n">
        <f aca="false">C47*2</f>
        <v>50</v>
      </c>
      <c r="F47" s="225" t="s">
        <v>61</v>
      </c>
      <c r="G47" s="421"/>
    </row>
    <row r="48" customFormat="false" ht="15" hidden="false" customHeight="false" outlineLevel="0" collapsed="false">
      <c r="A48" s="452"/>
      <c r="B48" s="225" t="s">
        <v>645</v>
      </c>
      <c r="C48" s="262" t="n">
        <v>4</v>
      </c>
      <c r="D48" s="225" t="s">
        <v>13</v>
      </c>
      <c r="E48" s="269" t="n">
        <f aca="false">C48*2</f>
        <v>8</v>
      </c>
      <c r="F48" s="225" t="s">
        <v>13</v>
      </c>
      <c r="G48" s="421"/>
    </row>
    <row r="49" customFormat="false" ht="15" hidden="false" customHeight="false" outlineLevel="0" collapsed="false">
      <c r="A49" s="452"/>
      <c r="B49" s="225" t="s">
        <v>14</v>
      </c>
      <c r="C49" s="262" t="n">
        <v>2</v>
      </c>
      <c r="D49" s="225" t="s">
        <v>13</v>
      </c>
      <c r="E49" s="269" t="n">
        <f aca="false">C49*2</f>
        <v>4</v>
      </c>
      <c r="F49" s="225" t="s">
        <v>13</v>
      </c>
      <c r="G49" s="421"/>
    </row>
    <row r="50" customFormat="false" ht="15" hidden="false" customHeight="false" outlineLevel="0" collapsed="false">
      <c r="A50" s="452"/>
      <c r="B50" s="225" t="s">
        <v>646</v>
      </c>
      <c r="C50" s="262" t="n">
        <v>5</v>
      </c>
      <c r="D50" s="225" t="s">
        <v>13</v>
      </c>
      <c r="E50" s="269" t="n">
        <f aca="false">C50*2</f>
        <v>10</v>
      </c>
      <c r="F50" s="225" t="s">
        <v>13</v>
      </c>
      <c r="G50" s="421"/>
    </row>
    <row r="51" customFormat="false" ht="15" hidden="false" customHeight="false" outlineLevel="0" collapsed="false">
      <c r="A51" s="452"/>
      <c r="B51" s="225" t="s">
        <v>69</v>
      </c>
      <c r="C51" s="262" t="n">
        <v>1</v>
      </c>
      <c r="D51" s="225" t="s">
        <v>13</v>
      </c>
      <c r="E51" s="269" t="n">
        <f aca="false">C51*2</f>
        <v>2</v>
      </c>
      <c r="F51" s="225" t="s">
        <v>13</v>
      </c>
      <c r="G51" s="421"/>
    </row>
    <row r="52" customFormat="false" ht="15" hidden="false" customHeight="false" outlineLevel="0" collapsed="false">
      <c r="A52" s="452"/>
      <c r="B52" s="225" t="s">
        <v>75</v>
      </c>
      <c r="C52" s="262" t="n">
        <v>10</v>
      </c>
      <c r="D52" s="225" t="s">
        <v>13</v>
      </c>
      <c r="E52" s="269" t="n">
        <f aca="false">C52*2</f>
        <v>20</v>
      </c>
      <c r="F52" s="225" t="s">
        <v>13</v>
      </c>
      <c r="G52" s="421"/>
    </row>
    <row r="53" customFormat="false" ht="15" hidden="false" customHeight="false" outlineLevel="0" collapsed="false">
      <c r="A53" s="452"/>
      <c r="B53" s="225" t="s">
        <v>32</v>
      </c>
      <c r="C53" s="262" t="n">
        <v>5</v>
      </c>
      <c r="D53" s="225" t="s">
        <v>20</v>
      </c>
      <c r="E53" s="269" t="n">
        <f aca="false">C53*2</f>
        <v>10</v>
      </c>
      <c r="F53" s="225" t="s">
        <v>20</v>
      </c>
      <c r="G53" s="421"/>
    </row>
    <row r="54" customFormat="false" ht="15" hidden="false" customHeight="false" outlineLevel="0" collapsed="false">
      <c r="A54" s="452"/>
      <c r="B54" s="225" t="s">
        <v>26</v>
      </c>
      <c r="C54" s="262" t="n">
        <v>3</v>
      </c>
      <c r="D54" s="225" t="s">
        <v>27</v>
      </c>
      <c r="E54" s="269" t="n">
        <f aca="false">C54*2</f>
        <v>6</v>
      </c>
      <c r="F54" s="225" t="s">
        <v>27</v>
      </c>
      <c r="G54" s="421"/>
      <c r="J54" s="421"/>
      <c r="K54" s="421"/>
      <c r="L54" s="421"/>
      <c r="M54" s="421"/>
    </row>
    <row r="55" customFormat="false" ht="15" hidden="false" customHeight="false" outlineLevel="0" collapsed="false">
      <c r="A55" s="1"/>
      <c r="B55" s="262"/>
      <c r="C55" s="262"/>
      <c r="D55" s="262"/>
      <c r="E55" s="269"/>
      <c r="F55" s="262"/>
    </row>
    <row r="56" customFormat="false" ht="15" hidden="false" customHeight="false" outlineLevel="0" collapsed="false">
      <c r="A56" s="453" t="s">
        <v>8026</v>
      </c>
      <c r="B56" s="324" t="s">
        <v>2</v>
      </c>
      <c r="C56" s="324" t="s">
        <v>3</v>
      </c>
      <c r="D56" s="324" t="s">
        <v>4</v>
      </c>
      <c r="E56" s="324" t="s">
        <v>5</v>
      </c>
      <c r="F56" s="324" t="s">
        <v>4</v>
      </c>
    </row>
    <row r="57" customFormat="false" ht="15" hidden="false" customHeight="false" outlineLevel="0" collapsed="false">
      <c r="A57" s="1"/>
      <c r="B57" s="262" t="s">
        <v>8027</v>
      </c>
      <c r="C57" s="262" t="n">
        <v>5</v>
      </c>
      <c r="D57" s="262" t="s">
        <v>61</v>
      </c>
      <c r="E57" s="222" t="n">
        <f aca="false">C57*E$73/C$73</f>
        <v>110</v>
      </c>
      <c r="F57" s="262" t="s">
        <v>61</v>
      </c>
      <c r="G57" s="421"/>
    </row>
    <row r="58" customFormat="false" ht="15" hidden="false" customHeight="false" outlineLevel="0" collapsed="false">
      <c r="A58" s="1"/>
      <c r="B58" s="262" t="s">
        <v>8028</v>
      </c>
      <c r="C58" s="262" t="n">
        <v>2</v>
      </c>
      <c r="D58" s="262" t="s">
        <v>61</v>
      </c>
      <c r="E58" s="222" t="n">
        <f aca="false">C58*E$73/C$73</f>
        <v>44</v>
      </c>
      <c r="F58" s="262" t="s">
        <v>61</v>
      </c>
      <c r="G58" s="421"/>
    </row>
    <row r="59" customFormat="false" ht="15" hidden="false" customHeight="false" outlineLevel="0" collapsed="false">
      <c r="A59" s="1"/>
      <c r="B59" s="262" t="s">
        <v>585</v>
      </c>
      <c r="C59" s="262" t="n">
        <v>2</v>
      </c>
      <c r="D59" s="262" t="s">
        <v>20</v>
      </c>
      <c r="E59" s="222" t="n">
        <f aca="false">C59*E$73/C$73</f>
        <v>44</v>
      </c>
      <c r="F59" s="262" t="s">
        <v>20</v>
      </c>
      <c r="G59" s="421"/>
    </row>
    <row r="60" customFormat="false" ht="15" hidden="false" customHeight="false" outlineLevel="0" collapsed="false">
      <c r="A60" s="1"/>
      <c r="B60" s="262" t="s">
        <v>22</v>
      </c>
      <c r="C60" s="262" t="n">
        <v>1.5</v>
      </c>
      <c r="D60" s="262" t="s">
        <v>13</v>
      </c>
      <c r="E60" s="222" t="n">
        <f aca="false">C60*E$73/C$73</f>
        <v>33</v>
      </c>
      <c r="F60" s="262" t="s">
        <v>13</v>
      </c>
      <c r="G60" s="421"/>
    </row>
    <row r="61" customFormat="false" ht="15" hidden="false" customHeight="false" outlineLevel="0" collapsed="false">
      <c r="A61" s="1"/>
      <c r="B61" s="262" t="s">
        <v>14</v>
      </c>
      <c r="C61" s="262" t="n">
        <v>1</v>
      </c>
      <c r="D61" s="262" t="s">
        <v>20</v>
      </c>
      <c r="E61" s="222" t="n">
        <f aca="false">C61*E$73/C$73</f>
        <v>22</v>
      </c>
      <c r="F61" s="262" t="s">
        <v>20</v>
      </c>
      <c r="G61" s="421"/>
    </row>
    <row r="62" customFormat="false" ht="15" hidden="false" customHeight="false" outlineLevel="0" collapsed="false">
      <c r="A62" s="1"/>
      <c r="B62" s="262" t="s">
        <v>15</v>
      </c>
      <c r="C62" s="262" t="n">
        <v>1</v>
      </c>
      <c r="D62" s="262" t="s">
        <v>20</v>
      </c>
      <c r="E62" s="222" t="n">
        <f aca="false">C62*E$73/C$73</f>
        <v>22</v>
      </c>
      <c r="F62" s="262" t="s">
        <v>20</v>
      </c>
      <c r="G62" s="421"/>
    </row>
    <row r="63" customFormat="false" ht="15" hidden="false" customHeight="false" outlineLevel="0" collapsed="false">
      <c r="A63" s="1"/>
      <c r="B63" s="262" t="s">
        <v>747</v>
      </c>
      <c r="C63" s="262" t="n">
        <v>2.5</v>
      </c>
      <c r="D63" s="262" t="s">
        <v>20</v>
      </c>
      <c r="E63" s="222" t="n">
        <f aca="false">C63*E$73/C$73</f>
        <v>55</v>
      </c>
      <c r="F63" s="262" t="s">
        <v>20</v>
      </c>
      <c r="G63" s="421"/>
    </row>
    <row r="64" customFormat="false" ht="15" hidden="false" customHeight="false" outlineLevel="0" collapsed="false">
      <c r="A64" s="1"/>
      <c r="B64" s="262" t="s">
        <v>564</v>
      </c>
      <c r="C64" s="262" t="n">
        <v>0.5</v>
      </c>
      <c r="D64" s="262" t="s">
        <v>20</v>
      </c>
      <c r="E64" s="222" t="n">
        <f aca="false">C64*E$73/C$73</f>
        <v>11</v>
      </c>
      <c r="F64" s="262" t="s">
        <v>20</v>
      </c>
      <c r="G64" s="421"/>
    </row>
    <row r="65" customFormat="false" ht="15" hidden="false" customHeight="false" outlineLevel="0" collapsed="false">
      <c r="A65" s="1"/>
      <c r="B65" s="262" t="s">
        <v>8029</v>
      </c>
      <c r="C65" s="262" t="n">
        <v>4</v>
      </c>
      <c r="D65" s="262" t="s">
        <v>61</v>
      </c>
      <c r="E65" s="222" t="n">
        <f aca="false">C65*E$73/C$73</f>
        <v>88</v>
      </c>
      <c r="F65" s="262" t="s">
        <v>61</v>
      </c>
      <c r="G65" s="421"/>
    </row>
    <row r="66" customFormat="false" ht="15" hidden="false" customHeight="false" outlineLevel="0" collapsed="false">
      <c r="A66" s="285"/>
      <c r="B66" s="262" t="s">
        <v>25</v>
      </c>
      <c r="C66" s="262" t="n">
        <v>1</v>
      </c>
      <c r="D66" s="262" t="s">
        <v>20</v>
      </c>
      <c r="E66" s="222" t="n">
        <f aca="false">C66*E$73/C$73</f>
        <v>22</v>
      </c>
      <c r="F66" s="262" t="s">
        <v>20</v>
      </c>
      <c r="G66" s="421"/>
    </row>
    <row r="67" customFormat="false" ht="15" hidden="false" customHeight="false" outlineLevel="0" collapsed="false">
      <c r="A67" s="1"/>
      <c r="B67" s="262" t="s">
        <v>70</v>
      </c>
      <c r="C67" s="262" t="n">
        <v>1.4</v>
      </c>
      <c r="D67" s="262" t="s">
        <v>20</v>
      </c>
      <c r="E67" s="222" t="n">
        <f aca="false">C67*E$73/C$73</f>
        <v>30.8</v>
      </c>
      <c r="F67" s="262" t="s">
        <v>20</v>
      </c>
      <c r="G67" s="421"/>
    </row>
    <row r="68" customFormat="false" ht="15" hidden="false" customHeight="false" outlineLevel="0" collapsed="false">
      <c r="A68" s="1"/>
      <c r="B68" s="262" t="s">
        <v>648</v>
      </c>
      <c r="C68" s="262" t="n">
        <v>0.4</v>
      </c>
      <c r="D68" s="262" t="s">
        <v>20</v>
      </c>
      <c r="E68" s="222" t="n">
        <f aca="false">C68*E$73/C$73</f>
        <v>8.8</v>
      </c>
      <c r="F68" s="262" t="s">
        <v>20</v>
      </c>
      <c r="G68" s="421"/>
    </row>
    <row r="69" customFormat="false" ht="15" hidden="false" customHeight="false" outlineLevel="0" collapsed="false">
      <c r="A69" s="1"/>
      <c r="B69" s="262" t="s">
        <v>8008</v>
      </c>
      <c r="C69" s="262" t="n">
        <v>1.6</v>
      </c>
      <c r="D69" s="262" t="s">
        <v>20</v>
      </c>
      <c r="E69" s="222" t="n">
        <f aca="false">C69*E$73/C$73</f>
        <v>35.2</v>
      </c>
      <c r="F69" s="262" t="s">
        <v>20</v>
      </c>
      <c r="G69" s="421"/>
    </row>
    <row r="70" customFormat="false" ht="15" hidden="false" customHeight="false" outlineLevel="0" collapsed="false">
      <c r="A70" s="1"/>
      <c r="B70" s="262" t="s">
        <v>556</v>
      </c>
      <c r="C70" s="262" t="n">
        <v>0.5</v>
      </c>
      <c r="D70" s="262" t="s">
        <v>61</v>
      </c>
      <c r="E70" s="222" t="n">
        <f aca="false">C70*E$73/C$73</f>
        <v>11</v>
      </c>
      <c r="F70" s="262" t="s">
        <v>61</v>
      </c>
      <c r="G70" s="421"/>
    </row>
    <row r="71" customFormat="false" ht="15" hidden="false" customHeight="false" outlineLevel="0" collapsed="false">
      <c r="A71" s="1"/>
      <c r="B71" s="262" t="s">
        <v>8030</v>
      </c>
      <c r="C71" s="262" t="n">
        <v>2</v>
      </c>
      <c r="D71" s="262" t="s">
        <v>13</v>
      </c>
      <c r="E71" s="222" t="n">
        <f aca="false">C71*E$73/C$73</f>
        <v>44</v>
      </c>
      <c r="F71" s="262" t="s">
        <v>13</v>
      </c>
      <c r="G71" s="421"/>
    </row>
    <row r="72" customFormat="false" ht="15" hidden="false" customHeight="false" outlineLevel="0" collapsed="false">
      <c r="A72" s="285"/>
      <c r="B72" s="262" t="s">
        <v>26</v>
      </c>
      <c r="C72" s="262" t="n">
        <v>1</v>
      </c>
      <c r="D72" s="262" t="s">
        <v>27</v>
      </c>
      <c r="E72" s="222" t="n">
        <f aca="false">C72*E$73/C$73</f>
        <v>22</v>
      </c>
      <c r="F72" s="262" t="s">
        <v>27</v>
      </c>
      <c r="G72" s="421"/>
    </row>
    <row r="73" customFormat="false" ht="15" hidden="false" customHeight="false" outlineLevel="0" collapsed="false">
      <c r="B73" s="262" t="s">
        <v>26</v>
      </c>
      <c r="C73" s="262" t="n">
        <v>35</v>
      </c>
      <c r="D73" s="262" t="s">
        <v>13</v>
      </c>
      <c r="E73" s="454" t="n">
        <v>770</v>
      </c>
      <c r="F73" s="262" t="s">
        <v>13</v>
      </c>
      <c r="G73" s="421"/>
      <c r="J73" s="421"/>
      <c r="K73" s="421"/>
      <c r="L73" s="421"/>
    </row>
    <row r="74" customFormat="false" ht="15" hidden="false" customHeight="false" outlineLevel="0" collapsed="false">
      <c r="B74" s="262"/>
      <c r="C74" s="262"/>
      <c r="D74" s="262"/>
      <c r="E74" s="269"/>
      <c r="F74" s="262"/>
      <c r="G74" s="421"/>
      <c r="J74" s="421"/>
      <c r="K74" s="421"/>
      <c r="L74" s="421"/>
    </row>
    <row r="75" customFormat="false" ht="15" hidden="false" customHeight="false" outlineLevel="0" collapsed="false">
      <c r="A75" s="453" t="s">
        <v>8031</v>
      </c>
      <c r="B75" s="324" t="s">
        <v>2</v>
      </c>
      <c r="C75" s="324" t="s">
        <v>3</v>
      </c>
      <c r="D75" s="324" t="s">
        <v>4</v>
      </c>
      <c r="E75" s="324" t="s">
        <v>5</v>
      </c>
      <c r="F75" s="324" t="s">
        <v>4</v>
      </c>
      <c r="G75" s="421"/>
      <c r="J75" s="421"/>
      <c r="K75" s="421"/>
      <c r="L75" s="421"/>
    </row>
    <row r="76" customFormat="false" ht="15" hidden="false" customHeight="false" outlineLevel="0" collapsed="false">
      <c r="A76" s="455"/>
      <c r="B76" s="262" t="s">
        <v>8032</v>
      </c>
      <c r="C76" s="262" t="n">
        <v>4</v>
      </c>
      <c r="D76" s="262" t="s">
        <v>7</v>
      </c>
      <c r="E76" s="269" t="n">
        <f aca="false">C76*E$94/C$94</f>
        <v>56</v>
      </c>
      <c r="F76" s="262" t="s">
        <v>7</v>
      </c>
      <c r="G76" s="421"/>
      <c r="J76" s="421"/>
      <c r="K76" s="421"/>
      <c r="L76" s="421"/>
    </row>
    <row r="77" customFormat="false" ht="15" hidden="false" customHeight="false" outlineLevel="0" collapsed="false">
      <c r="A77" s="455"/>
      <c r="B77" s="262" t="s">
        <v>10</v>
      </c>
      <c r="C77" s="262" t="n">
        <v>4</v>
      </c>
      <c r="D77" s="262" t="s">
        <v>7</v>
      </c>
      <c r="E77" s="269" t="n">
        <f aca="false">C77*E$94/C$94</f>
        <v>56</v>
      </c>
      <c r="F77" s="262" t="s">
        <v>7</v>
      </c>
      <c r="G77" s="421"/>
      <c r="J77" s="421"/>
      <c r="K77" s="421"/>
      <c r="L77" s="421"/>
    </row>
    <row r="78" customFormat="false" ht="15" hidden="false" customHeight="false" outlineLevel="0" collapsed="false">
      <c r="A78" s="1"/>
      <c r="B78" s="262" t="s">
        <v>63</v>
      </c>
      <c r="C78" s="262" t="n">
        <v>17</v>
      </c>
      <c r="D78" s="262" t="s">
        <v>7</v>
      </c>
      <c r="E78" s="269" t="n">
        <f aca="false">C78*E$94/C$94</f>
        <v>238</v>
      </c>
      <c r="F78" s="262" t="s">
        <v>7</v>
      </c>
      <c r="G78" s="421"/>
      <c r="J78" s="421"/>
      <c r="K78" s="421"/>
      <c r="L78" s="421"/>
    </row>
    <row r="79" customFormat="false" ht="15" hidden="false" customHeight="false" outlineLevel="0" collapsed="false">
      <c r="A79" s="1"/>
      <c r="B79" s="262" t="s">
        <v>11</v>
      </c>
      <c r="C79" s="262" t="n">
        <v>4</v>
      </c>
      <c r="D79" s="262" t="s">
        <v>7</v>
      </c>
      <c r="E79" s="269" t="n">
        <f aca="false">C79*E$94/C$94</f>
        <v>56</v>
      </c>
      <c r="F79" s="262" t="s">
        <v>7</v>
      </c>
      <c r="G79" s="421"/>
      <c r="J79" s="421"/>
      <c r="K79" s="421"/>
      <c r="L79" s="421"/>
    </row>
    <row r="80" customFormat="false" ht="15" hidden="false" customHeight="false" outlineLevel="0" collapsed="false">
      <c r="A80" s="1"/>
      <c r="B80" s="262" t="s">
        <v>655</v>
      </c>
      <c r="C80" s="262" t="n">
        <v>2</v>
      </c>
      <c r="D80" s="262" t="s">
        <v>7</v>
      </c>
      <c r="E80" s="269" t="n">
        <f aca="false">C80*E$94/C$94</f>
        <v>28</v>
      </c>
      <c r="F80" s="262" t="s">
        <v>7</v>
      </c>
      <c r="G80" s="421"/>
      <c r="J80" s="421"/>
      <c r="K80" s="421"/>
      <c r="L80" s="421"/>
    </row>
    <row r="81" customFormat="false" ht="15" hidden="false" customHeight="false" outlineLevel="0" collapsed="false">
      <c r="A81" s="1"/>
      <c r="B81" s="262" t="s">
        <v>40</v>
      </c>
      <c r="C81" s="262" t="n">
        <v>8</v>
      </c>
      <c r="D81" s="262" t="s">
        <v>7</v>
      </c>
      <c r="E81" s="269" t="n">
        <f aca="false">C81*E$94/C$94</f>
        <v>112</v>
      </c>
      <c r="F81" s="262" t="s">
        <v>7</v>
      </c>
      <c r="G81" s="421"/>
      <c r="J81" s="421"/>
      <c r="K81" s="421"/>
      <c r="L81" s="421"/>
    </row>
    <row r="82" customFormat="false" ht="15" hidden="false" customHeight="false" outlineLevel="0" collapsed="false">
      <c r="A82" s="1"/>
      <c r="B82" s="262" t="s">
        <v>7678</v>
      </c>
      <c r="C82" s="262" t="n">
        <v>4</v>
      </c>
      <c r="D82" s="262" t="s">
        <v>7</v>
      </c>
      <c r="E82" s="269" t="n">
        <f aca="false">C82*E$94/C$94</f>
        <v>56</v>
      </c>
      <c r="F82" s="262" t="s">
        <v>7</v>
      </c>
      <c r="G82" s="421"/>
      <c r="J82" s="421"/>
      <c r="K82" s="421"/>
      <c r="L82" s="421"/>
    </row>
    <row r="83" customFormat="false" ht="15" hidden="false" customHeight="false" outlineLevel="0" collapsed="false">
      <c r="A83" s="1"/>
      <c r="B83" s="262" t="s">
        <v>8033</v>
      </c>
      <c r="C83" s="262" t="n">
        <v>0.8</v>
      </c>
      <c r="D83" s="262" t="s">
        <v>13</v>
      </c>
      <c r="E83" s="269" t="n">
        <f aca="false">C83*E$94/C$94</f>
        <v>11.2</v>
      </c>
      <c r="F83" s="262" t="s">
        <v>13</v>
      </c>
      <c r="G83" s="421"/>
      <c r="J83" s="421"/>
      <c r="K83" s="421"/>
      <c r="L83" s="421"/>
    </row>
    <row r="84" customFormat="false" ht="15" hidden="false" customHeight="false" outlineLevel="0" collapsed="false">
      <c r="A84" s="1"/>
      <c r="B84" s="262" t="s">
        <v>8034</v>
      </c>
      <c r="C84" s="262" t="n">
        <v>4</v>
      </c>
      <c r="D84" s="262" t="s">
        <v>13</v>
      </c>
      <c r="E84" s="269" t="n">
        <f aca="false">C84*E$94/C$94</f>
        <v>56</v>
      </c>
      <c r="F84" s="262" t="s">
        <v>13</v>
      </c>
      <c r="G84" s="421"/>
      <c r="J84" s="421"/>
      <c r="K84" s="421"/>
      <c r="L84" s="421"/>
    </row>
    <row r="85" customFormat="false" ht="15" hidden="false" customHeight="false" outlineLevel="0" collapsed="false">
      <c r="A85" s="1"/>
      <c r="B85" s="262" t="s">
        <v>8035</v>
      </c>
      <c r="C85" s="262" t="n">
        <v>1.5</v>
      </c>
      <c r="D85" s="262" t="s">
        <v>13</v>
      </c>
      <c r="E85" s="269" t="n">
        <f aca="false">C85*E$94/C$94</f>
        <v>21</v>
      </c>
      <c r="F85" s="262" t="s">
        <v>13</v>
      </c>
      <c r="G85" s="421"/>
      <c r="J85" s="421"/>
      <c r="K85" s="421"/>
      <c r="L85" s="421"/>
    </row>
    <row r="86" customFormat="false" ht="15" hidden="false" customHeight="false" outlineLevel="0" collapsed="false">
      <c r="A86" s="1"/>
      <c r="B86" s="262" t="s">
        <v>553</v>
      </c>
      <c r="C86" s="262" t="n">
        <v>0.75</v>
      </c>
      <c r="D86" s="262" t="s">
        <v>13</v>
      </c>
      <c r="E86" s="269" t="n">
        <f aca="false">C86*E$94/C$94</f>
        <v>10.5</v>
      </c>
      <c r="F86" s="262" t="s">
        <v>13</v>
      </c>
      <c r="G86" s="421"/>
      <c r="J86" s="421"/>
      <c r="K86" s="421"/>
      <c r="L86" s="421"/>
    </row>
    <row r="87" customFormat="false" ht="15" hidden="false" customHeight="false" outlineLevel="0" collapsed="false">
      <c r="A87" s="1"/>
      <c r="B87" s="262" t="s">
        <v>635</v>
      </c>
      <c r="C87" s="262" t="n">
        <v>0.5</v>
      </c>
      <c r="D87" s="262" t="s">
        <v>20</v>
      </c>
      <c r="E87" s="269" t="n">
        <f aca="false">C87*E$94/C$94</f>
        <v>7</v>
      </c>
      <c r="F87" s="262" t="s">
        <v>20</v>
      </c>
      <c r="G87" s="421"/>
      <c r="J87" s="421"/>
      <c r="K87" s="421"/>
      <c r="L87" s="421"/>
    </row>
    <row r="88" customFormat="false" ht="15" hidden="false" customHeight="false" outlineLevel="0" collapsed="false">
      <c r="A88" s="1"/>
      <c r="B88" s="262" t="s">
        <v>8036</v>
      </c>
      <c r="C88" s="262" t="n">
        <v>0.5</v>
      </c>
      <c r="D88" s="262" t="s">
        <v>20</v>
      </c>
      <c r="E88" s="269" t="n">
        <f aca="false">C88*E$94/C$94</f>
        <v>7</v>
      </c>
      <c r="F88" s="262" t="s">
        <v>20</v>
      </c>
      <c r="G88" s="421"/>
      <c r="J88" s="421"/>
      <c r="K88" s="421"/>
      <c r="L88" s="421"/>
    </row>
    <row r="89" customFormat="false" ht="15" hidden="false" customHeight="false" outlineLevel="0" collapsed="false">
      <c r="A89" s="1"/>
      <c r="B89" s="262" t="s">
        <v>862</v>
      </c>
      <c r="C89" s="262" t="n">
        <v>1</v>
      </c>
      <c r="D89" s="262" t="s">
        <v>20</v>
      </c>
      <c r="E89" s="269" t="n">
        <f aca="false">C89*E$94/C$94</f>
        <v>14</v>
      </c>
      <c r="F89" s="262" t="s">
        <v>20</v>
      </c>
      <c r="G89" s="421"/>
      <c r="J89" s="421"/>
      <c r="K89" s="421"/>
      <c r="L89" s="421"/>
    </row>
    <row r="90" customFormat="false" ht="15" hidden="false" customHeight="false" outlineLevel="0" collapsed="false">
      <c r="A90" s="1"/>
      <c r="B90" s="262" t="s">
        <v>83</v>
      </c>
      <c r="C90" s="262" t="n">
        <v>2</v>
      </c>
      <c r="D90" s="262" t="s">
        <v>20</v>
      </c>
      <c r="E90" s="269" t="n">
        <f aca="false">C90*E$94/C$94</f>
        <v>28</v>
      </c>
      <c r="F90" s="262" t="s">
        <v>20</v>
      </c>
      <c r="G90" s="421"/>
      <c r="J90" s="421"/>
      <c r="K90" s="421"/>
      <c r="L90" s="421"/>
    </row>
    <row r="91" customFormat="false" ht="15" hidden="false" customHeight="false" outlineLevel="0" collapsed="false">
      <c r="A91" s="1"/>
      <c r="B91" s="262" t="s">
        <v>8037</v>
      </c>
      <c r="C91" s="262" t="n">
        <v>2.5</v>
      </c>
      <c r="D91" s="262" t="s">
        <v>20</v>
      </c>
      <c r="E91" s="269" t="n">
        <f aca="false">C91*E$94/C$94</f>
        <v>35</v>
      </c>
      <c r="F91" s="262" t="s">
        <v>20</v>
      </c>
      <c r="G91" s="421"/>
      <c r="J91" s="421"/>
      <c r="K91" s="421"/>
      <c r="L91" s="421"/>
    </row>
    <row r="92" customFormat="false" ht="15" hidden="false" customHeight="false" outlineLevel="0" collapsed="false">
      <c r="A92" s="1"/>
      <c r="B92" s="262" t="s">
        <v>32</v>
      </c>
      <c r="C92" s="262" t="n">
        <v>2</v>
      </c>
      <c r="D92" s="262" t="s">
        <v>20</v>
      </c>
      <c r="E92" s="269" t="n">
        <f aca="false">C92*E$94/C$94</f>
        <v>28</v>
      </c>
      <c r="F92" s="262" t="s">
        <v>20</v>
      </c>
      <c r="G92" s="421"/>
      <c r="J92" s="421"/>
      <c r="K92" s="421"/>
      <c r="L92" s="421"/>
    </row>
    <row r="93" customFormat="false" ht="15" hidden="false" customHeight="false" outlineLevel="0" collapsed="false">
      <c r="A93" s="1"/>
      <c r="B93" s="282" t="s">
        <v>26</v>
      </c>
      <c r="C93" s="282" t="n">
        <v>1</v>
      </c>
      <c r="D93" s="282" t="s">
        <v>27</v>
      </c>
      <c r="E93" s="269" t="n">
        <f aca="false">C93*E$94/C$94</f>
        <v>14</v>
      </c>
      <c r="F93" s="282" t="s">
        <v>27</v>
      </c>
      <c r="G93" s="421"/>
      <c r="J93" s="421"/>
      <c r="K93" s="421"/>
      <c r="L93" s="421"/>
    </row>
    <row r="94" customFormat="false" ht="15" hidden="false" customHeight="false" outlineLevel="0" collapsed="false">
      <c r="A94" s="1"/>
      <c r="B94" s="282" t="s">
        <v>26</v>
      </c>
      <c r="C94" s="282" t="n">
        <v>35</v>
      </c>
      <c r="D94" s="282" t="s">
        <v>13</v>
      </c>
      <c r="E94" s="390" t="n">
        <v>490</v>
      </c>
      <c r="F94" s="282" t="s">
        <v>13</v>
      </c>
      <c r="G94" s="421"/>
      <c r="J94" s="421"/>
      <c r="K94" s="421"/>
      <c r="L94" s="421"/>
    </row>
    <row r="95" customFormat="false" ht="15" hidden="false" customHeight="false" outlineLevel="0" collapsed="false">
      <c r="A95" s="1"/>
      <c r="B95" s="456" t="s">
        <v>7997</v>
      </c>
      <c r="C95" s="262"/>
      <c r="D95" s="262"/>
      <c r="E95" s="269"/>
      <c r="F95" s="262"/>
      <c r="G95" s="1"/>
    </row>
    <row r="96" customFormat="false" ht="15" hidden="false" customHeight="false" outlineLevel="0" collapsed="false">
      <c r="A96" s="1"/>
      <c r="B96" s="456"/>
      <c r="C96" s="262"/>
      <c r="D96" s="262"/>
      <c r="E96" s="269"/>
      <c r="F96" s="262"/>
      <c r="G96" s="1"/>
    </row>
    <row r="97" customFormat="false" ht="15" hidden="false" customHeight="false" outlineLevel="0" collapsed="false">
      <c r="A97" s="457" t="n">
        <v>14</v>
      </c>
      <c r="B97" s="324" t="s">
        <v>2</v>
      </c>
      <c r="C97" s="324" t="s">
        <v>3</v>
      </c>
      <c r="D97" s="324" t="s">
        <v>4</v>
      </c>
      <c r="E97" s="324" t="s">
        <v>5</v>
      </c>
      <c r="F97" s="324" t="s">
        <v>4</v>
      </c>
      <c r="G97" s="1"/>
    </row>
    <row r="98" customFormat="false" ht="15" hidden="false" customHeight="false" outlineLevel="0" collapsed="false">
      <c r="A98" s="457"/>
      <c r="B98" s="262" t="s">
        <v>11</v>
      </c>
      <c r="C98" s="262" t="n">
        <v>1.3</v>
      </c>
      <c r="D98" s="262" t="s">
        <v>7</v>
      </c>
      <c r="E98" s="269" t="n">
        <f aca="false">C98*20</f>
        <v>26</v>
      </c>
      <c r="F98" s="262" t="s">
        <v>7</v>
      </c>
      <c r="G98" s="1"/>
    </row>
    <row r="99" customFormat="false" ht="15" hidden="false" customHeight="false" outlineLevel="0" collapsed="false">
      <c r="A99" s="458" t="s">
        <v>8038</v>
      </c>
      <c r="B99" s="262" t="s">
        <v>655</v>
      </c>
      <c r="C99" s="262" t="n">
        <v>1.3</v>
      </c>
      <c r="D99" s="262" t="s">
        <v>7</v>
      </c>
      <c r="E99" s="269" t="n">
        <f aca="false">C99*20</f>
        <v>26</v>
      </c>
      <c r="F99" s="262" t="s">
        <v>7</v>
      </c>
      <c r="G99" s="1"/>
    </row>
    <row r="100" customFormat="false" ht="15" hidden="false" customHeight="false" outlineLevel="0" collapsed="false">
      <c r="A100" s="1"/>
      <c r="B100" s="262" t="s">
        <v>39</v>
      </c>
      <c r="C100" s="262" t="n">
        <v>1.3</v>
      </c>
      <c r="D100" s="262" t="s">
        <v>7</v>
      </c>
      <c r="E100" s="269" t="n">
        <f aca="false">C100*20</f>
        <v>26</v>
      </c>
      <c r="F100" s="262" t="s">
        <v>7</v>
      </c>
      <c r="G100" s="1"/>
    </row>
    <row r="101" customFormat="false" ht="15" hidden="false" customHeight="false" outlineLevel="0" collapsed="false">
      <c r="A101" s="1"/>
      <c r="B101" s="262" t="s">
        <v>10</v>
      </c>
      <c r="C101" s="262" t="n">
        <v>2</v>
      </c>
      <c r="D101" s="262" t="s">
        <v>7</v>
      </c>
      <c r="E101" s="269" t="n">
        <f aca="false">C101*20</f>
        <v>40</v>
      </c>
      <c r="F101" s="262" t="s">
        <v>7</v>
      </c>
      <c r="G101" s="1"/>
    </row>
    <row r="102" customFormat="false" ht="15" hidden="false" customHeight="false" outlineLevel="0" collapsed="false">
      <c r="A102" s="1"/>
      <c r="B102" s="262" t="s">
        <v>7818</v>
      </c>
      <c r="C102" s="262" t="n">
        <v>0.7</v>
      </c>
      <c r="D102" s="262" t="s">
        <v>7</v>
      </c>
      <c r="E102" s="269" t="n">
        <f aca="false">C102*20</f>
        <v>14</v>
      </c>
      <c r="F102" s="262" t="s">
        <v>7</v>
      </c>
      <c r="G102" s="1"/>
    </row>
    <row r="103" customFormat="false" ht="15" hidden="false" customHeight="false" outlineLevel="0" collapsed="false">
      <c r="A103" s="1"/>
      <c r="B103" s="262" t="s">
        <v>7678</v>
      </c>
      <c r="C103" s="262" t="n">
        <v>2.5</v>
      </c>
      <c r="D103" s="262" t="s">
        <v>7</v>
      </c>
      <c r="E103" s="269" t="n">
        <f aca="false">C103*20</f>
        <v>50</v>
      </c>
      <c r="F103" s="262" t="s">
        <v>7</v>
      </c>
      <c r="G103" s="1"/>
    </row>
    <row r="104" customFormat="false" ht="15" hidden="false" customHeight="false" outlineLevel="0" collapsed="false">
      <c r="A104" s="1"/>
      <c r="B104" s="262" t="s">
        <v>8039</v>
      </c>
      <c r="C104" s="262" t="n">
        <v>9</v>
      </c>
      <c r="D104" s="262" t="s">
        <v>7</v>
      </c>
      <c r="E104" s="269" t="n">
        <f aca="false">C104*20</f>
        <v>180</v>
      </c>
      <c r="F104" s="262" t="s">
        <v>7</v>
      </c>
      <c r="G104" s="1"/>
    </row>
    <row r="105" customFormat="false" ht="15" hidden="false" customHeight="false" outlineLevel="0" collapsed="false">
      <c r="A105" s="1"/>
      <c r="B105" s="262" t="s">
        <v>7993</v>
      </c>
      <c r="C105" s="262" t="n">
        <v>0.7</v>
      </c>
      <c r="D105" s="262" t="s">
        <v>20</v>
      </c>
      <c r="E105" s="269" t="n">
        <f aca="false">C105*20</f>
        <v>14</v>
      </c>
      <c r="F105" s="262" t="s">
        <v>20</v>
      </c>
      <c r="G105" s="1"/>
    </row>
    <row r="106" customFormat="false" ht="15" hidden="false" customHeight="false" outlineLevel="0" collapsed="false">
      <c r="A106" s="1"/>
      <c r="B106" s="262" t="s">
        <v>70</v>
      </c>
      <c r="C106" s="262" t="n">
        <v>0.7</v>
      </c>
      <c r="D106" s="262" t="s">
        <v>20</v>
      </c>
      <c r="E106" s="269" t="n">
        <f aca="false">C106*20</f>
        <v>14</v>
      </c>
      <c r="F106" s="262" t="s">
        <v>20</v>
      </c>
      <c r="G106" s="1"/>
    </row>
    <row r="107" customFormat="false" ht="15" hidden="false" customHeight="false" outlineLevel="0" collapsed="false">
      <c r="A107" s="1"/>
      <c r="B107" s="262" t="s">
        <v>7933</v>
      </c>
      <c r="C107" s="262" t="n">
        <v>0.25</v>
      </c>
      <c r="D107" s="262" t="s">
        <v>20</v>
      </c>
      <c r="E107" s="269" t="n">
        <f aca="false">C107*20</f>
        <v>5</v>
      </c>
      <c r="F107" s="262" t="s">
        <v>20</v>
      </c>
      <c r="G107" s="1"/>
    </row>
    <row r="108" customFormat="false" ht="15" hidden="false" customHeight="false" outlineLevel="0" collapsed="false">
      <c r="A108" s="1"/>
      <c r="B108" s="262" t="s">
        <v>562</v>
      </c>
      <c r="C108" s="262" t="n">
        <v>0.2</v>
      </c>
      <c r="D108" s="262" t="s">
        <v>20</v>
      </c>
      <c r="E108" s="269" t="n">
        <f aca="false">C108*20</f>
        <v>4</v>
      </c>
      <c r="F108" s="262" t="s">
        <v>20</v>
      </c>
      <c r="G108" s="1"/>
    </row>
    <row r="109" customFormat="false" ht="15" hidden="false" customHeight="false" outlineLevel="0" collapsed="false">
      <c r="A109" s="1"/>
      <c r="B109" s="262" t="s">
        <v>8040</v>
      </c>
      <c r="C109" s="262" t="n">
        <v>1.75</v>
      </c>
      <c r="D109" s="262" t="s">
        <v>100</v>
      </c>
      <c r="E109" s="269" t="n">
        <f aca="false">C109*20</f>
        <v>35</v>
      </c>
      <c r="F109" s="262" t="s">
        <v>100</v>
      </c>
      <c r="G109" s="1"/>
    </row>
    <row r="110" customFormat="false" ht="15" hidden="false" customHeight="false" outlineLevel="0" collapsed="false">
      <c r="A110" s="1"/>
      <c r="B110" s="262" t="s">
        <v>18</v>
      </c>
      <c r="C110" s="262" t="n">
        <v>1.3</v>
      </c>
      <c r="D110" s="262" t="s">
        <v>20</v>
      </c>
      <c r="E110" s="269" t="n">
        <f aca="false">C110*20</f>
        <v>26</v>
      </c>
      <c r="F110" s="262" t="s">
        <v>20</v>
      </c>
      <c r="G110" s="1"/>
    </row>
    <row r="111" customFormat="false" ht="15" hidden="false" customHeight="false" outlineLevel="0" collapsed="false">
      <c r="A111" s="1"/>
      <c r="B111" s="262" t="s">
        <v>32</v>
      </c>
      <c r="C111" s="262" t="n">
        <v>0.5</v>
      </c>
      <c r="D111" s="262" t="s">
        <v>20</v>
      </c>
      <c r="E111" s="269" t="n">
        <f aca="false">C111*20</f>
        <v>10</v>
      </c>
      <c r="F111" s="262" t="s">
        <v>20</v>
      </c>
      <c r="G111" s="1"/>
    </row>
    <row r="112" customFormat="false" ht="15" hidden="false" customHeight="false" outlineLevel="0" collapsed="false">
      <c r="A112" s="1"/>
      <c r="B112" s="262" t="s">
        <v>83</v>
      </c>
      <c r="C112" s="262" t="n">
        <v>0.7</v>
      </c>
      <c r="D112" s="262" t="s">
        <v>20</v>
      </c>
      <c r="E112" s="269" t="n">
        <f aca="false">C112*20</f>
        <v>14</v>
      </c>
      <c r="F112" s="262" t="s">
        <v>20</v>
      </c>
      <c r="G112" s="1"/>
    </row>
    <row r="113" customFormat="false" ht="15" hidden="false" customHeight="false" outlineLevel="0" collapsed="false">
      <c r="A113" s="1"/>
      <c r="B113" s="262" t="s">
        <v>8041</v>
      </c>
      <c r="C113" s="262" t="n">
        <v>400</v>
      </c>
      <c r="D113" s="262" t="s">
        <v>8042</v>
      </c>
      <c r="E113" s="269" t="n">
        <f aca="false">C113*20</f>
        <v>8000</v>
      </c>
      <c r="F113" s="262" t="s">
        <v>8042</v>
      </c>
      <c r="G113" s="1"/>
    </row>
    <row r="114" customFormat="false" ht="15" hidden="false" customHeight="false" outlineLevel="0" collapsed="false">
      <c r="A114" s="1"/>
      <c r="B114" s="262"/>
      <c r="C114" s="262"/>
      <c r="D114" s="262"/>
      <c r="E114" s="269"/>
      <c r="F114" s="262"/>
      <c r="G114" s="1"/>
    </row>
    <row r="115" customFormat="false" ht="15" hidden="false" customHeight="false" outlineLevel="0" collapsed="false">
      <c r="A115" s="1"/>
      <c r="B115" s="282" t="s">
        <v>8043</v>
      </c>
      <c r="C115" s="262"/>
      <c r="D115" s="262"/>
      <c r="E115" s="269"/>
      <c r="F115" s="262"/>
      <c r="G115" s="1"/>
    </row>
    <row r="116" customFormat="false" ht="15" hidden="false" customHeight="false" outlineLevel="0" collapsed="false">
      <c r="A116" s="1"/>
      <c r="B116" s="262" t="s">
        <v>584</v>
      </c>
      <c r="C116" s="262"/>
      <c r="D116" s="262"/>
      <c r="E116" s="269"/>
      <c r="F116" s="262"/>
      <c r="G116" s="1"/>
    </row>
    <row r="117" customFormat="false" ht="15" hidden="false" customHeight="false" outlineLevel="0" collapsed="false">
      <c r="A117" s="1"/>
      <c r="B117" s="262" t="s">
        <v>22</v>
      </c>
      <c r="C117" s="262" t="n">
        <v>0.7</v>
      </c>
      <c r="D117" s="262" t="s">
        <v>7939</v>
      </c>
      <c r="E117" s="222" t="n">
        <f aca="false">C117*E$140/C$140</f>
        <v>13</v>
      </c>
      <c r="F117" s="262" t="s">
        <v>7939</v>
      </c>
      <c r="G117" s="1"/>
    </row>
    <row r="118" customFormat="false" ht="15" hidden="false" customHeight="false" outlineLevel="0" collapsed="false">
      <c r="A118" s="1"/>
      <c r="B118" s="262" t="s">
        <v>14</v>
      </c>
      <c r="C118" s="262" t="n">
        <v>0.5</v>
      </c>
      <c r="D118" s="262" t="s">
        <v>20</v>
      </c>
      <c r="E118" s="222" t="n">
        <f aca="false">C118*E$140/C$140</f>
        <v>9.3</v>
      </c>
      <c r="F118" s="262" t="s">
        <v>20</v>
      </c>
      <c r="G118" s="1"/>
    </row>
    <row r="119" customFormat="false" ht="15" hidden="false" customHeight="false" outlineLevel="0" collapsed="false">
      <c r="A119" s="1"/>
      <c r="B119" s="262" t="s">
        <v>8044</v>
      </c>
      <c r="C119" s="262" t="n">
        <v>1</v>
      </c>
      <c r="D119" s="262" t="s">
        <v>20</v>
      </c>
      <c r="E119" s="222" t="n">
        <f aca="false">C119*E$140/C$140</f>
        <v>18.6</v>
      </c>
      <c r="F119" s="262" t="s">
        <v>20</v>
      </c>
      <c r="G119" s="1"/>
    </row>
    <row r="120" customFormat="false" ht="15" hidden="false" customHeight="false" outlineLevel="0" collapsed="false">
      <c r="A120" s="1"/>
      <c r="B120" s="262" t="s">
        <v>37</v>
      </c>
      <c r="C120" s="262" t="n">
        <v>1</v>
      </c>
      <c r="D120" s="262" t="s">
        <v>20</v>
      </c>
      <c r="E120" s="222" t="n">
        <f aca="false">C120*E$140/C$140</f>
        <v>18.6</v>
      </c>
      <c r="F120" s="262" t="s">
        <v>20</v>
      </c>
      <c r="G120" s="1"/>
    </row>
    <row r="121" customFormat="false" ht="15" hidden="false" customHeight="false" outlineLevel="0" collapsed="false">
      <c r="A121" s="1"/>
      <c r="B121" s="262" t="s">
        <v>562</v>
      </c>
      <c r="C121" s="262" t="n">
        <v>0.75</v>
      </c>
      <c r="D121" s="262" t="s">
        <v>20</v>
      </c>
      <c r="E121" s="222" t="n">
        <f aca="false">C121*E$140/C$140</f>
        <v>14</v>
      </c>
      <c r="F121" s="262" t="s">
        <v>20</v>
      </c>
      <c r="G121" s="1"/>
    </row>
    <row r="122" customFormat="false" ht="15" hidden="false" customHeight="false" outlineLevel="0" collapsed="false">
      <c r="A122" s="1"/>
      <c r="B122" s="262" t="s">
        <v>8045</v>
      </c>
      <c r="C122" s="262" t="n">
        <v>1.5</v>
      </c>
      <c r="D122" s="262" t="s">
        <v>20</v>
      </c>
      <c r="E122" s="222" t="n">
        <f aca="false">C122*E$140/C$140</f>
        <v>27.9</v>
      </c>
      <c r="F122" s="262" t="s">
        <v>20</v>
      </c>
      <c r="G122" s="1"/>
    </row>
    <row r="123" customFormat="false" ht="15" hidden="false" customHeight="false" outlineLevel="0" collapsed="false">
      <c r="A123" s="1"/>
      <c r="B123" s="262" t="s">
        <v>747</v>
      </c>
      <c r="C123" s="262" t="n">
        <v>0.4</v>
      </c>
      <c r="D123" s="262" t="s">
        <v>13</v>
      </c>
      <c r="E123" s="222" t="n">
        <f aca="false">C123*E$140/C$140</f>
        <v>7.4</v>
      </c>
      <c r="F123" s="262" t="s">
        <v>13</v>
      </c>
      <c r="G123" s="1"/>
    </row>
    <row r="124" customFormat="false" ht="15" hidden="false" customHeight="false" outlineLevel="0" collapsed="false">
      <c r="A124" s="1"/>
      <c r="B124" s="262" t="s">
        <v>765</v>
      </c>
      <c r="C124" s="262" t="n">
        <v>1</v>
      </c>
      <c r="D124" s="262" t="s">
        <v>13</v>
      </c>
      <c r="E124" s="222" t="n">
        <f aca="false">C124*E$140/C$140</f>
        <v>18.6</v>
      </c>
      <c r="F124" s="262" t="s">
        <v>13</v>
      </c>
      <c r="G124" s="1"/>
    </row>
    <row r="125" customFormat="false" ht="15" hidden="false" customHeight="false" outlineLevel="0" collapsed="false">
      <c r="A125" s="1"/>
      <c r="B125" s="262" t="s">
        <v>8046</v>
      </c>
      <c r="C125" s="262"/>
      <c r="D125" s="262"/>
      <c r="E125" s="222" t="n">
        <f aca="false">C125*E$140/C$140</f>
        <v>0</v>
      </c>
      <c r="F125" s="262"/>
      <c r="G125" s="1"/>
    </row>
    <row r="126" customFormat="false" ht="15" hidden="false" customHeight="false" outlineLevel="0" collapsed="false">
      <c r="A126" s="1"/>
      <c r="B126" s="262" t="s">
        <v>74</v>
      </c>
      <c r="C126" s="262" t="n">
        <v>0.7</v>
      </c>
      <c r="D126" s="262" t="s">
        <v>7</v>
      </c>
      <c r="E126" s="222" t="n">
        <f aca="false">C126*E$140/C$140</f>
        <v>13</v>
      </c>
      <c r="F126" s="262" t="s">
        <v>7</v>
      </c>
      <c r="G126" s="1"/>
    </row>
    <row r="127" customFormat="false" ht="15" hidden="false" customHeight="false" outlineLevel="0" collapsed="false">
      <c r="A127" s="1"/>
      <c r="B127" s="262" t="s">
        <v>21</v>
      </c>
      <c r="C127" s="262" t="n">
        <v>21</v>
      </c>
      <c r="D127" s="262" t="s">
        <v>7</v>
      </c>
      <c r="E127" s="222" t="n">
        <f aca="false">C127*E$140/C$140</f>
        <v>390.6</v>
      </c>
      <c r="F127" s="262" t="s">
        <v>7</v>
      </c>
      <c r="G127" s="1"/>
    </row>
    <row r="128" customFormat="false" ht="15" hidden="false" customHeight="false" outlineLevel="0" collapsed="false">
      <c r="A128" s="1"/>
      <c r="B128" s="262" t="s">
        <v>66</v>
      </c>
      <c r="C128" s="262"/>
      <c r="D128" s="262" t="s">
        <v>13</v>
      </c>
      <c r="E128" s="222" t="n">
        <f aca="false">C128*E$140/C$140</f>
        <v>0</v>
      </c>
      <c r="F128" s="262" t="s">
        <v>13</v>
      </c>
      <c r="G128" s="1"/>
    </row>
    <row r="129" customFormat="false" ht="15" hidden="false" customHeight="false" outlineLevel="0" collapsed="false">
      <c r="A129" s="1"/>
      <c r="B129" s="262" t="s">
        <v>70</v>
      </c>
      <c r="C129" s="262" t="n">
        <v>0.5</v>
      </c>
      <c r="D129" s="262" t="s">
        <v>20</v>
      </c>
      <c r="E129" s="222" t="n">
        <f aca="false">C129*E$140/C$140</f>
        <v>9.3</v>
      </c>
      <c r="F129" s="262" t="s">
        <v>20</v>
      </c>
      <c r="G129" s="1"/>
    </row>
    <row r="130" customFormat="false" ht="15" hidden="false" customHeight="false" outlineLevel="0" collapsed="false">
      <c r="A130" s="1"/>
      <c r="B130" s="262" t="s">
        <v>7993</v>
      </c>
      <c r="C130" s="262" t="n">
        <v>0.3</v>
      </c>
      <c r="D130" s="262" t="s">
        <v>20</v>
      </c>
      <c r="E130" s="222" t="n">
        <f aca="false">C130*E$140/C$140</f>
        <v>5.6</v>
      </c>
      <c r="F130" s="262" t="s">
        <v>20</v>
      </c>
      <c r="G130" s="1"/>
    </row>
    <row r="131" customFormat="false" ht="15" hidden="false" customHeight="false" outlineLevel="0" collapsed="false">
      <c r="A131" s="1"/>
      <c r="B131" s="262" t="s">
        <v>7985</v>
      </c>
      <c r="C131" s="262" t="n">
        <v>1.5</v>
      </c>
      <c r="D131" s="262" t="s">
        <v>20</v>
      </c>
      <c r="E131" s="222" t="n">
        <f aca="false">C131*E$140/C$140</f>
        <v>27.9</v>
      </c>
      <c r="F131" s="262" t="s">
        <v>20</v>
      </c>
      <c r="G131" s="1"/>
    </row>
    <row r="132" customFormat="false" ht="15" hidden="false" customHeight="false" outlineLevel="0" collapsed="false">
      <c r="A132" s="1"/>
      <c r="B132" s="262" t="s">
        <v>564</v>
      </c>
      <c r="C132" s="262" t="n">
        <v>0.7</v>
      </c>
      <c r="D132" s="262" t="s">
        <v>20</v>
      </c>
      <c r="E132" s="222" t="n">
        <f aca="false">C132*E$140/C$140</f>
        <v>13</v>
      </c>
      <c r="F132" s="262" t="s">
        <v>20</v>
      </c>
      <c r="G132" s="1"/>
    </row>
    <row r="133" customFormat="false" ht="15" hidden="false" customHeight="false" outlineLevel="0" collapsed="false">
      <c r="A133" s="1"/>
      <c r="B133" s="262" t="s">
        <v>32</v>
      </c>
      <c r="C133" s="262" t="n">
        <v>2</v>
      </c>
      <c r="D133" s="262" t="s">
        <v>20</v>
      </c>
      <c r="E133" s="222" t="n">
        <f aca="false">C133*E$140/C$140</f>
        <v>37.2</v>
      </c>
      <c r="F133" s="262" t="s">
        <v>20</v>
      </c>
      <c r="G133" s="1"/>
    </row>
    <row r="134" customFormat="false" ht="15" hidden="false" customHeight="false" outlineLevel="0" collapsed="false">
      <c r="A134" s="1"/>
      <c r="B134" s="262" t="s">
        <v>57</v>
      </c>
      <c r="C134" s="262" t="n">
        <v>1.7</v>
      </c>
      <c r="D134" s="262" t="s">
        <v>7939</v>
      </c>
      <c r="E134" s="222" t="n">
        <f aca="false">C134*E$140/C$140</f>
        <v>31.6</v>
      </c>
      <c r="F134" s="262" t="s">
        <v>7939</v>
      </c>
      <c r="G134" s="1"/>
    </row>
    <row r="135" customFormat="false" ht="15" hidden="false" customHeight="false" outlineLevel="0" collapsed="false">
      <c r="A135" s="1"/>
      <c r="B135" s="292" t="s">
        <v>8047</v>
      </c>
      <c r="C135" s="292" t="n">
        <v>5</v>
      </c>
      <c r="D135" s="292" t="s">
        <v>13</v>
      </c>
      <c r="E135" s="222" t="n">
        <f aca="false">C135*E$140/C$140</f>
        <v>93</v>
      </c>
      <c r="F135" s="292" t="s">
        <v>13</v>
      </c>
      <c r="G135" s="1"/>
    </row>
    <row r="136" customFormat="false" ht="15" hidden="false" customHeight="false" outlineLevel="0" collapsed="false">
      <c r="A136" s="1"/>
      <c r="B136" s="292" t="s">
        <v>7996</v>
      </c>
      <c r="C136" s="292" t="n">
        <v>0.75</v>
      </c>
      <c r="D136" s="292" t="s">
        <v>7</v>
      </c>
      <c r="E136" s="222" t="n">
        <f aca="false">C136*E$140/C$140</f>
        <v>14</v>
      </c>
      <c r="F136" s="292" t="s">
        <v>7</v>
      </c>
      <c r="G136" s="1"/>
    </row>
    <row r="137" customFormat="false" ht="15" hidden="false" customHeight="false" outlineLevel="0" collapsed="false">
      <c r="A137" s="1"/>
      <c r="B137" s="262" t="s">
        <v>75</v>
      </c>
      <c r="C137" s="262" t="n">
        <v>2</v>
      </c>
      <c r="D137" s="262" t="s">
        <v>13</v>
      </c>
      <c r="E137" s="222" t="n">
        <f aca="false">C137*E$140/C$140</f>
        <v>37.2</v>
      </c>
      <c r="F137" s="262" t="s">
        <v>13</v>
      </c>
      <c r="G137" s="1"/>
    </row>
    <row r="138" customFormat="false" ht="15" hidden="false" customHeight="false" outlineLevel="0" collapsed="false">
      <c r="A138" s="1"/>
      <c r="B138" s="262" t="s">
        <v>556</v>
      </c>
      <c r="C138" s="262" t="n">
        <v>0.3</v>
      </c>
      <c r="D138" s="262" t="s">
        <v>7</v>
      </c>
      <c r="E138" s="222" t="n">
        <f aca="false">C138*E$140/C$140</f>
        <v>5.6</v>
      </c>
      <c r="F138" s="262" t="s">
        <v>7</v>
      </c>
      <c r="G138" s="1"/>
    </row>
    <row r="139" customFormat="false" ht="15" hidden="false" customHeight="false" outlineLevel="0" collapsed="false">
      <c r="A139" s="1"/>
      <c r="B139" s="262" t="s">
        <v>26</v>
      </c>
      <c r="C139" s="262" t="n">
        <v>0.86</v>
      </c>
      <c r="D139" s="262" t="s">
        <v>27</v>
      </c>
      <c r="E139" s="222" t="n">
        <f aca="false">C139*E$140/C$140</f>
        <v>16</v>
      </c>
      <c r="F139" s="262" t="s">
        <v>27</v>
      </c>
      <c r="G139" s="1"/>
    </row>
    <row r="140" customFormat="false" ht="15" hidden="false" customHeight="false" outlineLevel="0" collapsed="false">
      <c r="A140" s="1"/>
      <c r="B140" s="282" t="s">
        <v>26</v>
      </c>
      <c r="C140" s="282" t="n">
        <v>30</v>
      </c>
      <c r="D140" s="282" t="s">
        <v>13</v>
      </c>
      <c r="E140" s="269" t="n">
        <v>558</v>
      </c>
      <c r="F140" s="282" t="s">
        <v>13</v>
      </c>
      <c r="G140" s="1"/>
    </row>
    <row r="141" customFormat="false" ht="15" hidden="false" customHeight="false" outlineLevel="0" collapsed="false">
      <c r="A141" s="1"/>
      <c r="B141" s="409" t="s">
        <v>7997</v>
      </c>
      <c r="C141" s="1"/>
      <c r="D141" s="1"/>
      <c r="F141" s="1"/>
      <c r="G141" s="1"/>
    </row>
    <row r="142" customFormat="false" ht="15" hidden="false" customHeight="false" outlineLevel="0" collapsed="false">
      <c r="A142" s="1"/>
      <c r="B142" s="409"/>
      <c r="C142" s="1"/>
      <c r="D142" s="1"/>
      <c r="E142" s="459" t="s">
        <v>7824</v>
      </c>
      <c r="F142" s="1"/>
      <c r="G142" s="1"/>
    </row>
    <row r="143" customFormat="false" ht="15" hidden="false" customHeight="false" outlineLevel="0" collapsed="false">
      <c r="A143" s="1"/>
      <c r="B143" s="1"/>
      <c r="C143" s="1"/>
      <c r="D143" s="1"/>
      <c r="F143" s="1"/>
      <c r="G143" s="1"/>
    </row>
    <row r="144" customFormat="false" ht="15" hidden="false" customHeight="false" outlineLevel="0" collapsed="false">
      <c r="G144" s="1"/>
    </row>
    <row r="145" customFormat="false" ht="15" hidden="false" customHeight="false" outlineLevel="0" collapsed="false">
      <c r="G145" s="1"/>
    </row>
    <row r="146" customFormat="false" ht="15" hidden="false" customHeight="false" outlineLevel="0" collapsed="false">
      <c r="G146" s="1"/>
    </row>
    <row r="147" customFormat="false" ht="15" hidden="false" customHeight="false" outlineLevel="0" collapsed="false">
      <c r="G147" s="1"/>
    </row>
    <row r="148" customFormat="false" ht="15" hidden="false" customHeight="false" outlineLevel="0" collapsed="false">
      <c r="G148" s="1"/>
    </row>
    <row r="149" customFormat="false" ht="15" hidden="false" customHeight="false" outlineLevel="0" collapsed="false">
      <c r="G149" s="1"/>
    </row>
    <row r="150" customFormat="false" ht="15" hidden="false" customHeight="false" outlineLevel="0" collapsed="false">
      <c r="G150" s="1"/>
    </row>
    <row r="151" customFormat="false" ht="15" hidden="false" customHeight="false" outlineLevel="0" collapsed="false">
      <c r="G151" s="1"/>
    </row>
    <row r="152" customFormat="false" ht="15" hidden="false" customHeight="false" outlineLevel="0" collapsed="false">
      <c r="G152" s="1"/>
    </row>
    <row r="153" customFormat="false" ht="15" hidden="false" customHeight="false" outlineLevel="0" collapsed="false">
      <c r="G153" s="1"/>
    </row>
    <row r="154" customFormat="false" ht="15" hidden="false" customHeight="false" outlineLevel="0" collapsed="false">
      <c r="G154" s="1"/>
    </row>
    <row r="155" customFormat="false" ht="15" hidden="false" customHeight="false" outlineLevel="0" collapsed="false">
      <c r="G155" s="1"/>
    </row>
    <row r="156" customFormat="false" ht="15" hidden="false" customHeight="false" outlineLevel="0" collapsed="false">
      <c r="G156" s="1"/>
    </row>
    <row r="157" customFormat="false" ht="15" hidden="false" customHeight="false" outlineLevel="0" collapsed="false">
      <c r="G157" s="1"/>
    </row>
    <row r="158" customFormat="false" ht="15" hidden="false" customHeight="false" outlineLevel="0" collapsed="false">
      <c r="G158" s="1"/>
    </row>
    <row r="159" customFormat="false" ht="15" hidden="false" customHeight="false" outlineLevel="0" collapsed="false">
      <c r="G159" s="1"/>
    </row>
    <row r="160" customFormat="false" ht="15" hidden="false" customHeight="false" outlineLevel="0" collapsed="false">
      <c r="G160" s="1"/>
    </row>
    <row r="161" customFormat="false" ht="15" hidden="false" customHeight="false" outlineLevel="0" collapsed="false">
      <c r="G161" s="1"/>
    </row>
    <row r="162" customFormat="false" ht="15" hidden="false" customHeight="false" outlineLevel="0" collapsed="false">
      <c r="G162" s="1"/>
    </row>
    <row r="163" customFormat="false" ht="15" hidden="false" customHeight="false" outlineLevel="0" collapsed="false">
      <c r="G163" s="1"/>
    </row>
    <row r="164" customFormat="false" ht="15" hidden="false" customHeight="false" outlineLevel="0" collapsed="false">
      <c r="G164" s="1"/>
    </row>
    <row r="165" customFormat="false" ht="15" hidden="false" customHeight="false" outlineLevel="0" collapsed="false">
      <c r="A165" s="1"/>
      <c r="B165" s="409"/>
      <c r="C165" s="1"/>
      <c r="D165" s="1"/>
      <c r="F165" s="1"/>
      <c r="G165" s="1"/>
    </row>
    <row r="166" customFormat="false" ht="15" hidden="false" customHeight="false" outlineLevel="0" collapsed="false">
      <c r="A166" s="1"/>
      <c r="B166" s="409"/>
      <c r="C166" s="1"/>
      <c r="G166" s="1"/>
      <c r="I166" s="1"/>
      <c r="J166" s="231" t="s">
        <v>7824</v>
      </c>
      <c r="K166" s="1"/>
    </row>
    <row r="167" customFormat="false" ht="14.45" hidden="false" customHeight="true" outlineLevel="0" collapsed="false">
      <c r="A167" s="460" t="s">
        <v>8048</v>
      </c>
      <c r="B167" s="1"/>
      <c r="C167" s="1"/>
      <c r="G167" s="1"/>
      <c r="I167" s="1"/>
      <c r="J167" s="1"/>
      <c r="K167" s="1"/>
    </row>
    <row r="168" customFormat="false" ht="15" hidden="false" customHeight="false" outlineLevel="0" collapsed="false">
      <c r="A168" s="460"/>
      <c r="B168" s="1"/>
      <c r="C168" s="1"/>
      <c r="G168" s="1"/>
      <c r="I168" s="1"/>
      <c r="J168" s="1"/>
      <c r="K168" s="1"/>
    </row>
    <row r="169" customFormat="false" ht="15" hidden="false" customHeight="false" outlineLevel="0" collapsed="false">
      <c r="A169" s="1"/>
      <c r="B169" s="1"/>
      <c r="C169" s="1"/>
      <c r="D169" s="1"/>
      <c r="F169" s="1"/>
      <c r="G169" s="1"/>
    </row>
    <row r="170" customFormat="false" ht="15" hidden="false" customHeight="false" outlineLevel="0" collapsed="false">
      <c r="A170" s="1" t="s">
        <v>8049</v>
      </c>
      <c r="B170" s="1"/>
      <c r="C170" s="1"/>
      <c r="D170" s="1"/>
      <c r="F170" s="1"/>
      <c r="G170" s="1"/>
    </row>
  </sheetData>
  <mergeCells count="2">
    <mergeCell ref="A97:A98"/>
    <mergeCell ref="A167:A168"/>
  </mergeCells>
  <hyperlinks>
    <hyperlink ref="K44" location="'Yatra Menu'!A1" display="Back to Menu"/>
    <hyperlink ref="E142" location="'Yatra Menu'!A1" display="Back to Menu"/>
    <hyperlink ref="J166" location="'Yatra Menu'!A1" display="Back to Menu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75"/>
  <sheetViews>
    <sheetView showFormulas="false" showGridLines="true" showRowColHeaders="true" showZeros="true" rightToLeft="false" tabSelected="false" showOutlineSymbols="true" defaultGridColor="true" view="normal" topLeftCell="A71" colorId="64" zoomScale="85" zoomScaleNormal="85" zoomScalePageLayoutView="100" workbookViewId="0">
      <selection pane="topLeft" activeCell="F132" activeCellId="0" sqref="F132"/>
    </sheetView>
  </sheetViews>
  <sheetFormatPr defaultRowHeight="15" outlineLevelRow="0" outlineLevelCol="0"/>
  <cols>
    <col collapsed="false" customWidth="true" hidden="false" outlineLevel="0" max="1" min="1" style="0" width="14"/>
    <col collapsed="false" customWidth="true" hidden="false" outlineLevel="0" max="2" min="2" style="3" width="20.87"/>
    <col collapsed="false" customWidth="true" hidden="false" outlineLevel="0" max="3" min="3" style="2" width="7.13"/>
    <col collapsed="false" customWidth="true" hidden="false" outlineLevel="0" max="4" min="4" style="4" width="10.63"/>
    <col collapsed="false" customWidth="true" hidden="false" outlineLevel="0" max="5" min="5" style="0" width="8.51"/>
    <col collapsed="false" customWidth="true" hidden="false" outlineLevel="0" max="6" min="6" style="4" width="8.51"/>
    <col collapsed="false" customWidth="true" hidden="false" outlineLevel="0" max="7" min="7" style="0" width="24"/>
    <col collapsed="false" customWidth="true" hidden="false" outlineLevel="0" max="8" min="8" style="0" width="8.51"/>
    <col collapsed="false" customWidth="true" hidden="false" outlineLevel="0" max="9" min="9" style="0" width="10.51"/>
    <col collapsed="false" customWidth="true" hidden="false" outlineLevel="0" max="1025" min="10" style="0" width="8.51"/>
  </cols>
  <sheetData>
    <row r="1" customFormat="false" ht="15.75" hidden="false" customHeight="false" outlineLevel="0" collapsed="false">
      <c r="A1" s="461" t="s">
        <v>8050</v>
      </c>
      <c r="B1" s="462" t="s">
        <v>2</v>
      </c>
      <c r="C1" s="324" t="s">
        <v>3</v>
      </c>
      <c r="D1" s="324" t="s">
        <v>4</v>
      </c>
      <c r="E1" s="324" t="s">
        <v>5</v>
      </c>
      <c r="F1" s="324" t="s">
        <v>4</v>
      </c>
    </row>
    <row r="2" customFormat="false" ht="15.75" hidden="false" customHeight="false" outlineLevel="0" collapsed="false">
      <c r="A2" s="463"/>
      <c r="B2" s="270" t="s">
        <v>575</v>
      </c>
      <c r="C2" s="269" t="n">
        <v>5</v>
      </c>
      <c r="D2" s="225" t="s">
        <v>61</v>
      </c>
      <c r="E2" s="262" t="n">
        <f aca="false">C2*10</f>
        <v>50</v>
      </c>
      <c r="F2" s="225" t="s">
        <v>61</v>
      </c>
    </row>
    <row r="3" customFormat="false" ht="15" hidden="false" customHeight="false" outlineLevel="0" collapsed="false">
      <c r="A3" s="262"/>
      <c r="B3" s="270" t="s">
        <v>655</v>
      </c>
      <c r="C3" s="269" t="n">
        <v>1</v>
      </c>
      <c r="D3" s="225" t="s">
        <v>61</v>
      </c>
      <c r="E3" s="262" t="n">
        <f aca="false">C3*10</f>
        <v>10</v>
      </c>
      <c r="F3" s="225" t="s">
        <v>61</v>
      </c>
    </row>
    <row r="4" customFormat="false" ht="15" hidden="false" customHeight="false" outlineLevel="0" collapsed="false">
      <c r="A4" s="262"/>
      <c r="B4" s="270" t="s">
        <v>11</v>
      </c>
      <c r="C4" s="269" t="n">
        <v>1</v>
      </c>
      <c r="D4" s="225" t="s">
        <v>61</v>
      </c>
      <c r="E4" s="262" t="n">
        <f aca="false">C4*10</f>
        <v>10</v>
      </c>
      <c r="F4" s="225" t="s">
        <v>61</v>
      </c>
    </row>
    <row r="5" customFormat="false" ht="15" hidden="false" customHeight="false" outlineLevel="0" collapsed="false">
      <c r="A5" s="262"/>
      <c r="B5" s="270" t="s">
        <v>63</v>
      </c>
      <c r="C5" s="269" t="n">
        <v>3</v>
      </c>
      <c r="D5" s="225" t="s">
        <v>61</v>
      </c>
      <c r="E5" s="262" t="n">
        <f aca="false">C5*10</f>
        <v>30</v>
      </c>
      <c r="F5" s="225" t="s">
        <v>61</v>
      </c>
    </row>
    <row r="6" customFormat="false" ht="15" hidden="false" customHeight="false" outlineLevel="0" collapsed="false">
      <c r="A6" s="262"/>
      <c r="B6" s="270" t="s">
        <v>10</v>
      </c>
      <c r="C6" s="269" t="n">
        <v>2</v>
      </c>
      <c r="D6" s="225" t="s">
        <v>61</v>
      </c>
      <c r="E6" s="262" t="n">
        <f aca="false">C6*10</f>
        <v>20</v>
      </c>
      <c r="F6" s="225" t="s">
        <v>61</v>
      </c>
    </row>
    <row r="7" customFormat="false" ht="15" hidden="false" customHeight="false" outlineLevel="0" collapsed="false">
      <c r="A7" s="262"/>
      <c r="B7" s="270" t="s">
        <v>7818</v>
      </c>
      <c r="C7" s="269" t="n">
        <v>1.5</v>
      </c>
      <c r="D7" s="225" t="s">
        <v>61</v>
      </c>
      <c r="E7" s="262" t="n">
        <f aca="false">C7*10</f>
        <v>15</v>
      </c>
      <c r="F7" s="225" t="s">
        <v>61</v>
      </c>
    </row>
    <row r="8" customFormat="false" ht="15" hidden="false" customHeight="false" outlineLevel="0" collapsed="false">
      <c r="A8" s="262"/>
      <c r="B8" s="270" t="s">
        <v>649</v>
      </c>
      <c r="C8" s="269"/>
      <c r="D8" s="225"/>
      <c r="E8" s="262" t="n">
        <f aca="false">C8*10</f>
        <v>0</v>
      </c>
      <c r="F8" s="225"/>
    </row>
    <row r="9" customFormat="false" ht="15" hidden="false" customHeight="false" outlineLevel="0" collapsed="false">
      <c r="A9" s="262"/>
      <c r="B9" s="270" t="s">
        <v>645</v>
      </c>
      <c r="C9" s="269" t="n">
        <v>2</v>
      </c>
      <c r="D9" s="225" t="s">
        <v>76</v>
      </c>
      <c r="E9" s="262" t="n">
        <f aca="false">C9*10</f>
        <v>20</v>
      </c>
      <c r="F9" s="225" t="s">
        <v>76</v>
      </c>
    </row>
    <row r="10" customFormat="false" ht="15" hidden="false" customHeight="false" outlineLevel="0" collapsed="false">
      <c r="A10" s="262"/>
      <c r="B10" s="270" t="s">
        <v>14</v>
      </c>
      <c r="C10" s="269" t="n">
        <v>1</v>
      </c>
      <c r="D10" s="225" t="s">
        <v>68</v>
      </c>
      <c r="E10" s="262" t="n">
        <f aca="false">C10*10</f>
        <v>10</v>
      </c>
      <c r="F10" s="225" t="s">
        <v>68</v>
      </c>
    </row>
    <row r="11" customFormat="false" ht="15" hidden="false" customHeight="false" outlineLevel="0" collapsed="false">
      <c r="A11" s="262"/>
      <c r="B11" s="270" t="s">
        <v>646</v>
      </c>
      <c r="C11" s="269" t="n">
        <v>1</v>
      </c>
      <c r="D11" s="225" t="s">
        <v>76</v>
      </c>
      <c r="E11" s="262" t="n">
        <f aca="false">C11*10</f>
        <v>10</v>
      </c>
      <c r="F11" s="225" t="s">
        <v>76</v>
      </c>
    </row>
    <row r="12" customFormat="false" ht="15" hidden="false" customHeight="false" outlineLevel="0" collapsed="false">
      <c r="A12" s="262"/>
      <c r="B12" s="270" t="s">
        <v>69</v>
      </c>
      <c r="C12" s="269" t="n">
        <v>0.5</v>
      </c>
      <c r="D12" s="225" t="s">
        <v>76</v>
      </c>
      <c r="E12" s="262" t="n">
        <f aca="false">C12*10</f>
        <v>5</v>
      </c>
      <c r="F12" s="225" t="s">
        <v>76</v>
      </c>
    </row>
    <row r="13" customFormat="false" ht="15" hidden="false" customHeight="false" outlineLevel="0" collapsed="false">
      <c r="A13" s="262"/>
      <c r="B13" s="270" t="s">
        <v>8051</v>
      </c>
      <c r="C13" s="269"/>
      <c r="D13" s="225"/>
      <c r="E13" s="262" t="n">
        <f aca="false">C13*10</f>
        <v>0</v>
      </c>
      <c r="F13" s="225"/>
    </row>
    <row r="14" customFormat="false" ht="15" hidden="false" customHeight="false" outlineLevel="0" collapsed="false">
      <c r="A14" s="262"/>
      <c r="B14" s="270" t="s">
        <v>21</v>
      </c>
      <c r="C14" s="269" t="n">
        <v>7</v>
      </c>
      <c r="D14" s="225" t="s">
        <v>61</v>
      </c>
      <c r="E14" s="262" t="n">
        <f aca="false">C14*10</f>
        <v>70</v>
      </c>
      <c r="F14" s="225" t="s">
        <v>61</v>
      </c>
    </row>
    <row r="15" customFormat="false" ht="15" hidden="false" customHeight="false" outlineLevel="0" collapsed="false">
      <c r="A15" s="262"/>
      <c r="B15" s="270" t="s">
        <v>73</v>
      </c>
      <c r="C15" s="269" t="n">
        <v>0.5</v>
      </c>
      <c r="D15" s="225" t="s">
        <v>68</v>
      </c>
      <c r="E15" s="262" t="n">
        <f aca="false">C15*10</f>
        <v>5</v>
      </c>
      <c r="F15" s="225" t="s">
        <v>68</v>
      </c>
    </row>
    <row r="16" customFormat="false" ht="15" hidden="false" customHeight="false" outlineLevel="0" collapsed="false">
      <c r="A16" s="262"/>
      <c r="B16" s="270" t="s">
        <v>7985</v>
      </c>
      <c r="C16" s="269" t="n">
        <v>3</v>
      </c>
      <c r="D16" s="225" t="s">
        <v>68</v>
      </c>
      <c r="E16" s="262" t="n">
        <f aca="false">C16*10</f>
        <v>30</v>
      </c>
      <c r="F16" s="225" t="s">
        <v>68</v>
      </c>
    </row>
    <row r="17" customFormat="false" ht="15" hidden="false" customHeight="false" outlineLevel="0" collapsed="false">
      <c r="A17" s="262"/>
      <c r="B17" s="270" t="s">
        <v>7821</v>
      </c>
      <c r="C17" s="269" t="n">
        <v>0.25</v>
      </c>
      <c r="D17" s="225" t="s">
        <v>68</v>
      </c>
      <c r="E17" s="262" t="n">
        <f aca="false">C17*10</f>
        <v>2.5</v>
      </c>
      <c r="F17" s="225" t="s">
        <v>68</v>
      </c>
    </row>
    <row r="18" customFormat="false" ht="15" hidden="false" customHeight="false" outlineLevel="0" collapsed="false">
      <c r="A18" s="262"/>
      <c r="B18" s="270" t="s">
        <v>947</v>
      </c>
      <c r="C18" s="269" t="n">
        <v>10</v>
      </c>
      <c r="D18" s="225" t="s">
        <v>76</v>
      </c>
      <c r="E18" s="262" t="n">
        <f aca="false">C18*10</f>
        <v>100</v>
      </c>
      <c r="F18" s="225" t="s">
        <v>76</v>
      </c>
      <c r="J18" s="1"/>
    </row>
    <row r="19" customFormat="false" ht="15" hidden="false" customHeight="false" outlineLevel="0" collapsed="false">
      <c r="A19" s="262"/>
      <c r="B19" s="270" t="s">
        <v>652</v>
      </c>
      <c r="C19" s="269" t="n">
        <v>2</v>
      </c>
      <c r="D19" s="225" t="s">
        <v>76</v>
      </c>
      <c r="E19" s="262" t="n">
        <f aca="false">C19*10</f>
        <v>20</v>
      </c>
      <c r="F19" s="225" t="s">
        <v>76</v>
      </c>
      <c r="J19" s="1"/>
    </row>
    <row r="20" customFormat="false" ht="15" hidden="false" customHeight="false" outlineLevel="0" collapsed="false">
      <c r="A20" s="262"/>
      <c r="B20" s="270" t="s">
        <v>668</v>
      </c>
      <c r="C20" s="269" t="n">
        <v>5</v>
      </c>
      <c r="D20" s="225" t="s">
        <v>76</v>
      </c>
      <c r="E20" s="262" t="n">
        <f aca="false">C20*10</f>
        <v>50</v>
      </c>
      <c r="F20" s="225" t="s">
        <v>76</v>
      </c>
      <c r="J20" s="1"/>
    </row>
    <row r="21" customFormat="false" ht="15" hidden="false" customHeight="false" outlineLevel="0" collapsed="false">
      <c r="A21" s="262"/>
      <c r="B21" s="270" t="s">
        <v>8052</v>
      </c>
      <c r="C21" s="269" t="n">
        <v>0.5</v>
      </c>
      <c r="D21" s="225" t="s">
        <v>68</v>
      </c>
      <c r="E21" s="262" t="n">
        <f aca="false">C21*10</f>
        <v>5</v>
      </c>
      <c r="F21" s="225" t="s">
        <v>68</v>
      </c>
      <c r="J21" s="1"/>
    </row>
    <row r="22" customFormat="false" ht="15" hidden="false" customHeight="false" outlineLevel="0" collapsed="false">
      <c r="A22" s="262"/>
      <c r="B22" s="270" t="s">
        <v>8053</v>
      </c>
      <c r="C22" s="269"/>
      <c r="D22" s="225"/>
      <c r="E22" s="262" t="n">
        <f aca="false">C22*10</f>
        <v>0</v>
      </c>
      <c r="F22" s="225"/>
      <c r="J22" s="1"/>
    </row>
    <row r="23" customFormat="false" ht="15" hidden="false" customHeight="false" outlineLevel="0" collapsed="false">
      <c r="A23" s="294" t="s">
        <v>45</v>
      </c>
      <c r="B23" s="270" t="s">
        <v>46</v>
      </c>
      <c r="C23" s="269" t="n">
        <v>35</v>
      </c>
      <c r="D23" s="225" t="s">
        <v>7869</v>
      </c>
      <c r="E23" s="262" t="n">
        <f aca="false">C23*10</f>
        <v>350</v>
      </c>
      <c r="F23" s="225" t="s">
        <v>7869</v>
      </c>
    </row>
    <row r="24" customFormat="false" ht="15" hidden="false" customHeight="false" outlineLevel="0" collapsed="false">
      <c r="A24" s="262"/>
      <c r="B24" s="270"/>
      <c r="C24" s="269"/>
      <c r="D24" s="225"/>
      <c r="E24" s="262"/>
      <c r="F24" s="225"/>
    </row>
    <row r="25" customFormat="false" ht="15.75" hidden="false" customHeight="false" outlineLevel="0" collapsed="false">
      <c r="A25" s="461" t="s">
        <v>8054</v>
      </c>
      <c r="B25" s="462" t="s">
        <v>2</v>
      </c>
      <c r="C25" s="324" t="s">
        <v>3</v>
      </c>
      <c r="D25" s="324" t="s">
        <v>4</v>
      </c>
      <c r="E25" s="324" t="s">
        <v>5</v>
      </c>
      <c r="F25" s="324" t="s">
        <v>4</v>
      </c>
    </row>
    <row r="26" customFormat="false" ht="15.75" hidden="false" customHeight="false" outlineLevel="0" collapsed="false">
      <c r="A26" s="463"/>
      <c r="B26" s="270" t="s">
        <v>676</v>
      </c>
      <c r="C26" s="269" t="n">
        <v>8</v>
      </c>
      <c r="D26" s="225" t="s">
        <v>61</v>
      </c>
      <c r="E26" s="220" t="n">
        <f aca="false">C26*E$42/C$42</f>
        <v>61.5</v>
      </c>
      <c r="F26" s="225" t="s">
        <v>61</v>
      </c>
    </row>
    <row r="27" customFormat="false" ht="15" hidden="false" customHeight="false" outlineLevel="0" collapsed="false">
      <c r="A27" s="262"/>
      <c r="B27" s="270" t="s">
        <v>8055</v>
      </c>
      <c r="C27" s="269" t="n">
        <v>0.5</v>
      </c>
      <c r="D27" s="225" t="s">
        <v>61</v>
      </c>
      <c r="E27" s="220" t="n">
        <f aca="false">C27*E$42/C$42</f>
        <v>3.8</v>
      </c>
      <c r="F27" s="225" t="s">
        <v>61</v>
      </c>
    </row>
    <row r="28" customFormat="false" ht="15" hidden="false" customHeight="false" outlineLevel="0" collapsed="false">
      <c r="A28" s="262"/>
      <c r="B28" s="270" t="s">
        <v>7823</v>
      </c>
      <c r="C28" s="269" t="n">
        <v>1.25</v>
      </c>
      <c r="D28" s="225" t="s">
        <v>61</v>
      </c>
      <c r="E28" s="220" t="n">
        <f aca="false">C28*E$42/C$42</f>
        <v>9.6</v>
      </c>
      <c r="F28" s="225" t="s">
        <v>61</v>
      </c>
    </row>
    <row r="29" customFormat="false" ht="15" hidden="false" customHeight="false" outlineLevel="0" collapsed="false">
      <c r="A29" s="262"/>
      <c r="B29" s="270" t="s">
        <v>564</v>
      </c>
      <c r="C29" s="269" t="n">
        <v>1</v>
      </c>
      <c r="D29" s="225" t="s">
        <v>20</v>
      </c>
      <c r="E29" s="220" t="n">
        <f aca="false">C29*E$42/C$42</f>
        <v>7.7</v>
      </c>
      <c r="F29" s="225" t="s">
        <v>20</v>
      </c>
    </row>
    <row r="30" customFormat="false" ht="15" hidden="false" customHeight="false" outlineLevel="0" collapsed="false">
      <c r="A30" s="262"/>
      <c r="B30" s="270" t="s">
        <v>32</v>
      </c>
      <c r="C30" s="269" t="n">
        <v>2</v>
      </c>
      <c r="D30" s="225" t="s">
        <v>20</v>
      </c>
      <c r="E30" s="220" t="n">
        <f aca="false">C30*E$42/C$42</f>
        <v>15.4</v>
      </c>
      <c r="F30" s="225" t="s">
        <v>20</v>
      </c>
    </row>
    <row r="31" customFormat="false" ht="15" hidden="false" customHeight="false" outlineLevel="0" collapsed="false">
      <c r="A31" s="262"/>
      <c r="B31" s="270" t="s">
        <v>649</v>
      </c>
      <c r="C31" s="269"/>
      <c r="D31" s="225"/>
      <c r="E31" s="220" t="n">
        <f aca="false">C31*E$42/C$42</f>
        <v>0</v>
      </c>
      <c r="F31" s="225"/>
      <c r="H31" s="3"/>
      <c r="I31" s="1"/>
    </row>
    <row r="32" customFormat="false" ht="15" hidden="false" customHeight="false" outlineLevel="0" collapsed="false">
      <c r="A32" s="262"/>
      <c r="B32" s="270" t="s">
        <v>22</v>
      </c>
      <c r="C32" s="269" t="n">
        <v>1.5</v>
      </c>
      <c r="D32" s="225" t="s">
        <v>13</v>
      </c>
      <c r="E32" s="220" t="n">
        <f aca="false">C32*E$42/C$42</f>
        <v>11.5</v>
      </c>
      <c r="F32" s="225" t="s">
        <v>13</v>
      </c>
      <c r="I32" s="1"/>
    </row>
    <row r="33" customFormat="false" ht="15" hidden="false" customHeight="false" outlineLevel="0" collapsed="false">
      <c r="A33" s="262"/>
      <c r="B33" s="270" t="s">
        <v>570</v>
      </c>
      <c r="C33" s="269" t="n">
        <v>0.75</v>
      </c>
      <c r="D33" s="225" t="s">
        <v>20</v>
      </c>
      <c r="E33" s="220" t="n">
        <f aca="false">C33*E$42/C$42</f>
        <v>5.8</v>
      </c>
      <c r="F33" s="225" t="s">
        <v>20</v>
      </c>
      <c r="I33" s="1"/>
    </row>
    <row r="34" customFormat="false" ht="15" hidden="false" customHeight="false" outlineLevel="0" collapsed="false">
      <c r="A34" s="262"/>
      <c r="B34" s="270" t="s">
        <v>14</v>
      </c>
      <c r="C34" s="269" t="n">
        <v>0.75</v>
      </c>
      <c r="D34" s="225" t="s">
        <v>20</v>
      </c>
      <c r="E34" s="220" t="n">
        <f aca="false">C34*E$42/C$42</f>
        <v>5.8</v>
      </c>
      <c r="F34" s="225" t="s">
        <v>20</v>
      </c>
      <c r="I34" s="1"/>
    </row>
    <row r="35" customFormat="false" ht="15" hidden="false" customHeight="false" outlineLevel="0" collapsed="false">
      <c r="A35" s="262"/>
      <c r="B35" s="270" t="s">
        <v>543</v>
      </c>
      <c r="C35" s="269" t="n">
        <v>1</v>
      </c>
      <c r="D35" s="225" t="s">
        <v>20</v>
      </c>
      <c r="E35" s="220" t="n">
        <f aca="false">C35*E$42/C$42</f>
        <v>7.7</v>
      </c>
      <c r="F35" s="225" t="s">
        <v>20</v>
      </c>
    </row>
    <row r="36" customFormat="false" ht="15" hidden="false" customHeight="false" outlineLevel="0" collapsed="false">
      <c r="A36" s="262"/>
      <c r="B36" s="270" t="s">
        <v>69</v>
      </c>
      <c r="C36" s="269" t="n">
        <v>1</v>
      </c>
      <c r="D36" s="225" t="s">
        <v>20</v>
      </c>
      <c r="E36" s="220" t="n">
        <f aca="false">C36*E$42/C$42</f>
        <v>7.7</v>
      </c>
      <c r="F36" s="225" t="s">
        <v>20</v>
      </c>
    </row>
    <row r="37" customFormat="false" ht="15" hidden="false" customHeight="false" outlineLevel="0" collapsed="false">
      <c r="A37" s="262"/>
      <c r="B37" s="270" t="s">
        <v>651</v>
      </c>
      <c r="C37" s="269" t="n">
        <v>0.5</v>
      </c>
      <c r="D37" s="225" t="s">
        <v>13</v>
      </c>
      <c r="E37" s="220" t="n">
        <f aca="false">C37*E$42/C$42</f>
        <v>3.8</v>
      </c>
      <c r="F37" s="225" t="s">
        <v>13</v>
      </c>
    </row>
    <row r="38" customFormat="false" ht="15" hidden="false" customHeight="false" outlineLevel="0" collapsed="false">
      <c r="A38" s="262"/>
      <c r="B38" s="270" t="s">
        <v>18</v>
      </c>
      <c r="C38" s="269" t="n">
        <v>1</v>
      </c>
      <c r="D38" s="225" t="s">
        <v>20</v>
      </c>
      <c r="E38" s="220" t="n">
        <f aca="false">C38*E$42/C$42</f>
        <v>7.7</v>
      </c>
      <c r="F38" s="225" t="s">
        <v>20</v>
      </c>
    </row>
    <row r="39" customFormat="false" ht="15" hidden="false" customHeight="false" outlineLevel="0" collapsed="false">
      <c r="A39" s="262"/>
      <c r="B39" s="270" t="s">
        <v>8056</v>
      </c>
      <c r="C39" s="269" t="n">
        <v>0.5</v>
      </c>
      <c r="D39" s="225" t="s">
        <v>61</v>
      </c>
      <c r="E39" s="220" t="n">
        <f aca="false">C39*E$42/C$42</f>
        <v>3.8</v>
      </c>
      <c r="F39" s="225" t="s">
        <v>61</v>
      </c>
    </row>
    <row r="40" customFormat="false" ht="15" hidden="false" customHeight="false" outlineLevel="0" collapsed="false">
      <c r="A40" s="262"/>
      <c r="B40" s="270" t="s">
        <v>75</v>
      </c>
      <c r="C40" s="269" t="n">
        <v>1</v>
      </c>
      <c r="D40" s="225" t="s">
        <v>13</v>
      </c>
      <c r="E40" s="220" t="n">
        <f aca="false">C40*E$42/C$42</f>
        <v>7.7</v>
      </c>
      <c r="F40" s="225" t="s">
        <v>13</v>
      </c>
    </row>
    <row r="41" customFormat="false" ht="15" hidden="false" customHeight="false" outlineLevel="0" collapsed="false">
      <c r="A41" s="262"/>
      <c r="B41" s="284" t="s">
        <v>26</v>
      </c>
      <c r="C41" s="283" t="n">
        <v>1.3</v>
      </c>
      <c r="D41" s="326" t="s">
        <v>27</v>
      </c>
      <c r="E41" s="258" t="n">
        <f aca="false">C41*E$42/C$42</f>
        <v>10</v>
      </c>
      <c r="F41" s="326" t="s">
        <v>27</v>
      </c>
    </row>
    <row r="42" customFormat="false" ht="15" hidden="false" customHeight="false" outlineLevel="0" collapsed="false">
      <c r="A42" s="262"/>
      <c r="B42" s="284" t="s">
        <v>26</v>
      </c>
      <c r="C42" s="283" t="n">
        <v>45.5</v>
      </c>
      <c r="D42" s="326" t="s">
        <v>13</v>
      </c>
      <c r="E42" s="416" t="n">
        <f aca="false">35*10</f>
        <v>350</v>
      </c>
      <c r="F42" s="326" t="s">
        <v>13</v>
      </c>
    </row>
    <row r="43" customFormat="false" ht="15" hidden="false" customHeight="false" outlineLevel="0" collapsed="false">
      <c r="A43" s="262"/>
      <c r="B43" s="270"/>
      <c r="C43" s="269"/>
      <c r="D43" s="225"/>
      <c r="E43" s="262"/>
      <c r="F43" s="225"/>
    </row>
    <row r="44" customFormat="false" ht="15" hidden="false" customHeight="false" outlineLevel="0" collapsed="false">
      <c r="A44" s="294"/>
      <c r="B44" s="294"/>
      <c r="C44" s="294"/>
      <c r="D44" s="225"/>
      <c r="E44" s="262"/>
      <c r="F44" s="225"/>
    </row>
    <row r="45" customFormat="false" ht="15" hidden="false" customHeight="false" outlineLevel="0" collapsed="false">
      <c r="A45" s="294"/>
      <c r="B45" s="294"/>
      <c r="C45" s="294"/>
      <c r="D45" s="225"/>
      <c r="E45" s="262"/>
      <c r="F45" s="225"/>
    </row>
    <row r="46" customFormat="false" ht="15" hidden="false" customHeight="false" outlineLevel="0" collapsed="false">
      <c r="A46" s="294"/>
      <c r="B46" s="294"/>
      <c r="C46" s="294"/>
      <c r="D46" s="225"/>
      <c r="E46" s="262"/>
      <c r="F46" s="225"/>
      <c r="I46" s="1"/>
      <c r="J46" s="3"/>
      <c r="K46" s="2"/>
    </row>
    <row r="47" customFormat="false" ht="15" hidden="false" customHeight="false" outlineLevel="0" collapsed="false">
      <c r="A47" s="294"/>
      <c r="B47" s="294"/>
      <c r="C47" s="294"/>
      <c r="D47" s="225"/>
      <c r="E47" s="262"/>
      <c r="F47" s="225"/>
      <c r="I47" s="1"/>
      <c r="J47" s="3"/>
      <c r="K47" s="2"/>
    </row>
    <row r="48" customFormat="false" ht="15" hidden="false" customHeight="false" outlineLevel="0" collapsed="false">
      <c r="A48" s="262"/>
      <c r="B48" s="270"/>
      <c r="C48" s="269"/>
      <c r="D48" s="225"/>
      <c r="E48" s="262"/>
      <c r="F48" s="225"/>
      <c r="I48" s="1"/>
      <c r="J48" s="464" t="s">
        <v>7824</v>
      </c>
      <c r="K48" s="2"/>
    </row>
    <row r="49" customFormat="false" ht="14.45" hidden="false" customHeight="true" outlineLevel="0" collapsed="false">
      <c r="A49" s="379" t="s">
        <v>8057</v>
      </c>
      <c r="B49" s="462" t="s">
        <v>2</v>
      </c>
      <c r="C49" s="324" t="s">
        <v>3</v>
      </c>
      <c r="D49" s="324" t="s">
        <v>4</v>
      </c>
      <c r="E49" s="324" t="s">
        <v>5</v>
      </c>
      <c r="F49" s="324" t="s">
        <v>4</v>
      </c>
      <c r="G49" s="465" t="s">
        <v>8058</v>
      </c>
      <c r="I49" s="1"/>
      <c r="J49" s="3"/>
      <c r="K49" s="2"/>
    </row>
    <row r="50" customFormat="false" ht="15" hidden="false" customHeight="false" outlineLevel="0" collapsed="false">
      <c r="A50" s="379"/>
      <c r="B50" s="270" t="s">
        <v>7678</v>
      </c>
      <c r="C50" s="269" t="n">
        <v>25</v>
      </c>
      <c r="D50" s="225" t="s">
        <v>7</v>
      </c>
      <c r="E50" s="262" t="n">
        <f aca="false">C50*E$66/C$66</f>
        <v>125</v>
      </c>
      <c r="F50" s="225" t="s">
        <v>7</v>
      </c>
    </row>
    <row r="51" customFormat="false" ht="15" hidden="false" customHeight="false" outlineLevel="0" collapsed="false">
      <c r="A51" s="262"/>
      <c r="B51" s="270" t="s">
        <v>8059</v>
      </c>
      <c r="C51" s="269"/>
      <c r="D51" s="225"/>
      <c r="E51" s="262" t="n">
        <f aca="false">C51*E$66/C$66</f>
        <v>0</v>
      </c>
      <c r="F51" s="225"/>
    </row>
    <row r="52" customFormat="false" ht="15" hidden="false" customHeight="false" outlineLevel="0" collapsed="false">
      <c r="A52" s="262"/>
      <c r="B52" s="270" t="s">
        <v>21</v>
      </c>
      <c r="C52" s="269" t="n">
        <v>35</v>
      </c>
      <c r="D52" s="225" t="s">
        <v>7</v>
      </c>
      <c r="E52" s="262" t="n">
        <f aca="false">C52*E$66/C$66</f>
        <v>175</v>
      </c>
      <c r="F52" s="225" t="s">
        <v>7</v>
      </c>
    </row>
    <row r="53" customFormat="false" ht="15" hidden="false" customHeight="false" outlineLevel="0" collapsed="false">
      <c r="A53" s="262"/>
      <c r="B53" s="270" t="s">
        <v>74</v>
      </c>
      <c r="C53" s="269" t="n">
        <v>750</v>
      </c>
      <c r="D53" s="225" t="s">
        <v>109</v>
      </c>
      <c r="E53" s="262" t="n">
        <f aca="false">C53*E$66/C$66</f>
        <v>3750</v>
      </c>
      <c r="F53" s="225" t="s">
        <v>109</v>
      </c>
      <c r="J53" s="1"/>
    </row>
    <row r="54" customFormat="false" ht="15" hidden="false" customHeight="false" outlineLevel="0" collapsed="false">
      <c r="A54" s="466"/>
      <c r="B54" s="271" t="s">
        <v>57</v>
      </c>
      <c r="C54" s="269" t="n">
        <v>1.5</v>
      </c>
      <c r="D54" s="225" t="s">
        <v>7</v>
      </c>
      <c r="E54" s="262" t="n">
        <f aca="false">C54*E$66/C$66</f>
        <v>7.5</v>
      </c>
      <c r="F54" s="225" t="s">
        <v>7</v>
      </c>
      <c r="J54" s="1"/>
    </row>
    <row r="55" customFormat="false" ht="15" hidden="false" customHeight="false" outlineLevel="0" collapsed="false">
      <c r="A55" s="466"/>
      <c r="B55" s="270" t="s">
        <v>8060</v>
      </c>
      <c r="C55" s="269" t="n">
        <v>8</v>
      </c>
      <c r="D55" s="225" t="s">
        <v>7</v>
      </c>
      <c r="E55" s="262" t="n">
        <f aca="false">C55*E$66/C$66</f>
        <v>40</v>
      </c>
      <c r="F55" s="225" t="s">
        <v>7</v>
      </c>
      <c r="J55" s="1"/>
    </row>
    <row r="56" customFormat="false" ht="15" hidden="false" customHeight="false" outlineLevel="0" collapsed="false">
      <c r="A56" s="466"/>
      <c r="B56" s="270" t="s">
        <v>7996</v>
      </c>
      <c r="C56" s="269" t="n">
        <v>1.25</v>
      </c>
      <c r="D56" s="225" t="s">
        <v>7</v>
      </c>
      <c r="E56" s="262" t="n">
        <f aca="false">C56*E$66/C$66</f>
        <v>6.25</v>
      </c>
      <c r="F56" s="225"/>
      <c r="J56" s="1"/>
    </row>
    <row r="57" customFormat="false" ht="15" hidden="false" customHeight="false" outlineLevel="0" collapsed="false">
      <c r="A57" s="466"/>
      <c r="B57" s="271" t="s">
        <v>649</v>
      </c>
      <c r="C57" s="269"/>
      <c r="D57" s="225"/>
      <c r="E57" s="262" t="n">
        <f aca="false">C57*E$66/C$66</f>
        <v>0</v>
      </c>
      <c r="F57" s="225"/>
      <c r="J57" s="1"/>
    </row>
    <row r="58" customFormat="false" ht="15" hidden="false" customHeight="false" outlineLevel="0" collapsed="false">
      <c r="A58" s="262"/>
      <c r="B58" s="270" t="s">
        <v>8061</v>
      </c>
      <c r="C58" s="269" t="n">
        <v>1.5</v>
      </c>
      <c r="D58" s="225"/>
      <c r="E58" s="262" t="n">
        <f aca="false">C58*E$66/C$66</f>
        <v>7.5</v>
      </c>
      <c r="F58" s="225"/>
      <c r="G58" s="467"/>
      <c r="J58" s="1"/>
    </row>
    <row r="59" customFormat="false" ht="15" hidden="false" customHeight="false" outlineLevel="0" collapsed="false">
      <c r="A59" s="262"/>
      <c r="B59" s="270" t="s">
        <v>562</v>
      </c>
      <c r="C59" s="269" t="n">
        <v>0.5</v>
      </c>
      <c r="D59" s="225"/>
      <c r="E59" s="262" t="n">
        <f aca="false">C59*E$66/C$66</f>
        <v>2.5</v>
      </c>
      <c r="F59" s="225"/>
      <c r="J59" s="1"/>
    </row>
    <row r="60" customFormat="false" ht="15" hidden="false" customHeight="false" outlineLevel="0" collapsed="false">
      <c r="A60" s="262"/>
      <c r="B60" s="270" t="s">
        <v>528</v>
      </c>
      <c r="C60" s="269" t="n">
        <v>0.5</v>
      </c>
      <c r="D60" s="225" t="s">
        <v>13</v>
      </c>
      <c r="E60" s="262" t="n">
        <f aca="false">C60*E$66/C$66</f>
        <v>2.5</v>
      </c>
      <c r="F60" s="225" t="s">
        <v>13</v>
      </c>
      <c r="G60" s="467"/>
      <c r="H60" s="467"/>
      <c r="J60" s="1"/>
    </row>
    <row r="61" customFormat="false" ht="15" hidden="false" customHeight="false" outlineLevel="0" collapsed="false">
      <c r="A61" s="262"/>
      <c r="B61" s="270" t="s">
        <v>564</v>
      </c>
      <c r="C61" s="269" t="n">
        <v>0.75</v>
      </c>
      <c r="D61" s="225" t="s">
        <v>7</v>
      </c>
      <c r="E61" s="262" t="n">
        <f aca="false">C61*E$66/C$66</f>
        <v>3.75</v>
      </c>
      <c r="F61" s="225" t="s">
        <v>7</v>
      </c>
    </row>
    <row r="62" customFormat="false" ht="15" hidden="false" customHeight="false" outlineLevel="0" collapsed="false">
      <c r="A62" s="262"/>
      <c r="B62" s="270" t="s">
        <v>75</v>
      </c>
      <c r="C62" s="269" t="n">
        <v>2</v>
      </c>
      <c r="D62" s="225" t="s">
        <v>13</v>
      </c>
      <c r="E62" s="262" t="n">
        <f aca="false">C62*E$66/C$66</f>
        <v>10</v>
      </c>
      <c r="F62" s="225" t="s">
        <v>13</v>
      </c>
    </row>
    <row r="63" customFormat="false" ht="15" hidden="false" customHeight="false" outlineLevel="0" collapsed="false">
      <c r="A63" s="262"/>
      <c r="B63" s="270" t="s">
        <v>7985</v>
      </c>
      <c r="C63" s="269" t="n">
        <v>2</v>
      </c>
      <c r="D63" s="225" t="s">
        <v>20</v>
      </c>
      <c r="E63" s="262" t="n">
        <f aca="false">C63*E$66/C$66</f>
        <v>10</v>
      </c>
      <c r="F63" s="225" t="s">
        <v>20</v>
      </c>
    </row>
    <row r="64" customFormat="false" ht="15" hidden="false" customHeight="false" outlineLevel="0" collapsed="false">
      <c r="A64" s="262"/>
      <c r="B64" s="270" t="s">
        <v>8062</v>
      </c>
      <c r="C64" s="269" t="n">
        <v>0.5</v>
      </c>
      <c r="D64" s="225" t="s">
        <v>7</v>
      </c>
      <c r="E64" s="262" t="n">
        <f aca="false">C64*E$66/C$66</f>
        <v>2.5</v>
      </c>
      <c r="F64" s="225" t="s">
        <v>7</v>
      </c>
    </row>
    <row r="65" customFormat="false" ht="15" hidden="false" customHeight="false" outlineLevel="0" collapsed="false">
      <c r="A65" s="262"/>
      <c r="B65" s="284" t="s">
        <v>26</v>
      </c>
      <c r="C65" s="269" t="n">
        <v>2</v>
      </c>
      <c r="D65" s="225" t="s">
        <v>27</v>
      </c>
      <c r="E65" s="262" t="n">
        <f aca="false">C65*E$66/C$66</f>
        <v>10</v>
      </c>
      <c r="F65" s="225" t="s">
        <v>27</v>
      </c>
    </row>
    <row r="66" customFormat="false" ht="15" hidden="false" customHeight="false" outlineLevel="0" collapsed="false">
      <c r="A66" s="262"/>
      <c r="B66" s="284" t="s">
        <v>26</v>
      </c>
      <c r="C66" s="269" t="n">
        <v>70</v>
      </c>
      <c r="D66" s="225" t="s">
        <v>13</v>
      </c>
      <c r="E66" s="294" t="n">
        <f aca="false">35*10</f>
        <v>350</v>
      </c>
      <c r="F66" s="225" t="s">
        <v>13</v>
      </c>
    </row>
    <row r="67" customFormat="false" ht="15" hidden="false" customHeight="false" outlineLevel="0" collapsed="false">
      <c r="A67" s="262"/>
      <c r="B67" s="284"/>
      <c r="C67" s="269"/>
      <c r="D67" s="225"/>
      <c r="E67" s="294"/>
      <c r="F67" s="225"/>
    </row>
    <row r="68" customFormat="false" ht="15" hidden="false" customHeight="false" outlineLevel="0" collapsed="false">
      <c r="A68" s="262"/>
      <c r="B68" s="284"/>
      <c r="C68" s="269"/>
      <c r="D68" s="225"/>
      <c r="E68" s="294"/>
      <c r="F68" s="225"/>
    </row>
    <row r="69" customFormat="false" ht="14.45" hidden="false" customHeight="true" outlineLevel="0" collapsed="false">
      <c r="A69" s="468" t="s">
        <v>8063</v>
      </c>
      <c r="B69" s="462" t="s">
        <v>2</v>
      </c>
      <c r="C69" s="324" t="s">
        <v>3</v>
      </c>
      <c r="D69" s="324" t="s">
        <v>4</v>
      </c>
      <c r="E69" s="324" t="s">
        <v>5</v>
      </c>
      <c r="F69" s="324" t="s">
        <v>4</v>
      </c>
    </row>
    <row r="70" customFormat="false" ht="15" hidden="false" customHeight="false" outlineLevel="0" collapsed="false">
      <c r="A70" s="468"/>
      <c r="B70" s="270" t="s">
        <v>8064</v>
      </c>
      <c r="C70" s="269" t="n">
        <v>8</v>
      </c>
      <c r="D70" s="262" t="s">
        <v>7</v>
      </c>
      <c r="E70" s="262" t="n">
        <f aca="false">C70*E$80/C$80</f>
        <v>80</v>
      </c>
      <c r="F70" s="262" t="s">
        <v>7</v>
      </c>
    </row>
    <row r="71" customFormat="false" ht="15" hidden="false" customHeight="false" outlineLevel="0" collapsed="false">
      <c r="A71" s="262"/>
      <c r="B71" s="270" t="s">
        <v>641</v>
      </c>
      <c r="C71" s="269" t="n">
        <v>4</v>
      </c>
      <c r="D71" s="262" t="s">
        <v>7</v>
      </c>
      <c r="E71" s="262" t="n">
        <f aca="false">C71*E$80/C$80</f>
        <v>40</v>
      </c>
      <c r="F71" s="262" t="s">
        <v>7</v>
      </c>
    </row>
    <row r="72" customFormat="false" ht="15" hidden="false" customHeight="false" outlineLevel="0" collapsed="false">
      <c r="A72" s="262"/>
      <c r="B72" s="270" t="s">
        <v>582</v>
      </c>
      <c r="C72" s="269" t="n">
        <v>2.5</v>
      </c>
      <c r="D72" s="262" t="s">
        <v>20</v>
      </c>
      <c r="E72" s="262" t="n">
        <f aca="false">C72*E$80/C$80</f>
        <v>25</v>
      </c>
      <c r="F72" s="262" t="s">
        <v>20</v>
      </c>
    </row>
    <row r="73" customFormat="false" ht="15" hidden="false" customHeight="false" outlineLevel="0" collapsed="false">
      <c r="A73" s="262"/>
      <c r="B73" s="270" t="s">
        <v>667</v>
      </c>
      <c r="C73" s="269" t="n">
        <v>0.5</v>
      </c>
      <c r="D73" s="262" t="s">
        <v>20</v>
      </c>
      <c r="E73" s="262" t="n">
        <f aca="false">C73*E$80/C$80</f>
        <v>5</v>
      </c>
      <c r="F73" s="262" t="s">
        <v>20</v>
      </c>
    </row>
    <row r="74" customFormat="false" ht="15" hidden="false" customHeight="false" outlineLevel="0" collapsed="false">
      <c r="A74" s="262"/>
      <c r="B74" s="270" t="s">
        <v>32</v>
      </c>
      <c r="C74" s="269" t="n">
        <v>1.75</v>
      </c>
      <c r="D74" s="262" t="s">
        <v>20</v>
      </c>
      <c r="E74" s="262" t="n">
        <f aca="false">C74*E$80/C$80</f>
        <v>17.5</v>
      </c>
      <c r="F74" s="262" t="s">
        <v>20</v>
      </c>
    </row>
    <row r="75" customFormat="false" ht="15" hidden="false" customHeight="false" outlineLevel="0" collapsed="false">
      <c r="A75" s="262"/>
      <c r="B75" s="270" t="s">
        <v>571</v>
      </c>
      <c r="C75" s="269" t="n">
        <v>3</v>
      </c>
      <c r="D75" s="262" t="s">
        <v>20</v>
      </c>
      <c r="E75" s="262" t="n">
        <f aca="false">C75*E$80/C$80</f>
        <v>30</v>
      </c>
      <c r="F75" s="262" t="s">
        <v>20</v>
      </c>
    </row>
    <row r="76" customFormat="false" ht="15" hidden="false" customHeight="false" outlineLevel="0" collapsed="false">
      <c r="A76" s="262"/>
      <c r="B76" s="270" t="s">
        <v>8065</v>
      </c>
      <c r="C76" s="269" t="n">
        <v>1.5</v>
      </c>
      <c r="D76" s="262" t="s">
        <v>13</v>
      </c>
      <c r="E76" s="262" t="n">
        <f aca="false">C76*E$80/C$80</f>
        <v>15</v>
      </c>
      <c r="F76" s="262" t="s">
        <v>13</v>
      </c>
    </row>
    <row r="77" customFormat="false" ht="15" hidden="false" customHeight="false" outlineLevel="0" collapsed="false">
      <c r="A77" s="262"/>
      <c r="B77" s="270" t="s">
        <v>669</v>
      </c>
      <c r="C77" s="269" t="n">
        <v>1</v>
      </c>
      <c r="D77" s="262" t="s">
        <v>13</v>
      </c>
      <c r="E77" s="262" t="n">
        <f aca="false">C77*E$80/C$80</f>
        <v>10</v>
      </c>
      <c r="F77" s="262" t="s">
        <v>13</v>
      </c>
    </row>
    <row r="78" customFormat="false" ht="15" hidden="false" customHeight="false" outlineLevel="0" collapsed="false">
      <c r="A78" s="262"/>
      <c r="B78" s="270" t="s">
        <v>580</v>
      </c>
      <c r="C78" s="269" t="n">
        <v>18</v>
      </c>
      <c r="D78" s="262" t="s">
        <v>13</v>
      </c>
      <c r="E78" s="262" t="n">
        <f aca="false">C78*E$80/C$80</f>
        <v>180</v>
      </c>
      <c r="F78" s="262" t="s">
        <v>13</v>
      </c>
    </row>
    <row r="79" customFormat="false" ht="15" hidden="false" customHeight="false" outlineLevel="0" collapsed="false">
      <c r="A79" s="262"/>
      <c r="B79" s="284" t="s">
        <v>26</v>
      </c>
      <c r="C79" s="283" t="n">
        <v>1</v>
      </c>
      <c r="D79" s="282" t="s">
        <v>27</v>
      </c>
      <c r="E79" s="262" t="n">
        <f aca="false">C79*E$80/C$80</f>
        <v>10</v>
      </c>
      <c r="F79" s="282" t="s">
        <v>27</v>
      </c>
    </row>
    <row r="80" customFormat="false" ht="15" hidden="false" customHeight="false" outlineLevel="0" collapsed="false">
      <c r="A80" s="262"/>
      <c r="B80" s="284" t="s">
        <v>26</v>
      </c>
      <c r="C80" s="283" t="n">
        <v>35</v>
      </c>
      <c r="D80" s="282" t="s">
        <v>13</v>
      </c>
      <c r="E80" s="262" t="n">
        <f aca="false">35*10</f>
        <v>350</v>
      </c>
      <c r="F80" s="282" t="s">
        <v>13</v>
      </c>
    </row>
    <row r="81" customFormat="false" ht="15" hidden="false" customHeight="false" outlineLevel="0" collapsed="false">
      <c r="A81" s="294"/>
      <c r="B81" s="270"/>
      <c r="C81" s="269"/>
      <c r="D81" s="225"/>
      <c r="E81" s="294"/>
      <c r="F81" s="225"/>
      <c r="I81" s="1"/>
      <c r="J81" s="357"/>
      <c r="K81" s="2"/>
      <c r="L81" s="4"/>
    </row>
    <row r="82" customFormat="false" ht="15" hidden="false" customHeight="false" outlineLevel="0" collapsed="false">
      <c r="A82" s="294"/>
      <c r="B82" s="294"/>
      <c r="C82" s="294"/>
      <c r="D82" s="294"/>
      <c r="E82" s="294"/>
      <c r="F82" s="225"/>
      <c r="I82" s="1"/>
      <c r="J82" s="464" t="s">
        <v>7824</v>
      </c>
      <c r="K82" s="2"/>
      <c r="L82" s="4"/>
    </row>
    <row r="83" customFormat="false" ht="15" hidden="false" customHeight="false" outlineLevel="0" collapsed="false">
      <c r="A83" s="294"/>
      <c r="B83" s="270"/>
      <c r="C83" s="269"/>
      <c r="D83" s="225"/>
      <c r="E83" s="262"/>
      <c r="F83" s="262"/>
      <c r="G83" s="1"/>
      <c r="H83" s="1"/>
      <c r="I83" s="1"/>
      <c r="J83" s="357"/>
      <c r="K83" s="2"/>
      <c r="L83" s="4"/>
    </row>
    <row r="84" customFormat="false" ht="15" hidden="false" customHeight="false" outlineLevel="0" collapsed="false">
      <c r="A84" s="262"/>
      <c r="B84" s="270"/>
      <c r="C84" s="269" t="s">
        <v>8066</v>
      </c>
      <c r="D84" s="262"/>
      <c r="E84" s="262"/>
      <c r="F84" s="262"/>
      <c r="G84" s="1"/>
      <c r="H84" s="1"/>
      <c r="I84" s="1"/>
      <c r="J84" s="3"/>
      <c r="K84" s="2"/>
      <c r="L84" s="1"/>
    </row>
    <row r="85" customFormat="false" ht="15.75" hidden="false" customHeight="false" outlineLevel="0" collapsed="false">
      <c r="A85" s="461" t="s">
        <v>8067</v>
      </c>
      <c r="B85" s="299" t="s">
        <v>2</v>
      </c>
      <c r="C85" s="298" t="s">
        <v>3</v>
      </c>
      <c r="D85" s="469" t="s">
        <v>4</v>
      </c>
      <c r="E85" s="470" t="s">
        <v>5</v>
      </c>
      <c r="F85" s="469" t="s">
        <v>4</v>
      </c>
      <c r="G85" s="1"/>
      <c r="H85" s="1"/>
      <c r="I85" s="1"/>
      <c r="J85" s="1"/>
      <c r="K85" s="1"/>
      <c r="L85" s="1"/>
    </row>
    <row r="86" customFormat="false" ht="15.75" hidden="false" customHeight="false" outlineLevel="0" collapsed="false">
      <c r="A86" s="463"/>
      <c r="B86" s="270" t="s">
        <v>791</v>
      </c>
      <c r="C86" s="269" t="n">
        <v>200</v>
      </c>
      <c r="D86" s="262" t="s">
        <v>7</v>
      </c>
      <c r="E86" s="262"/>
      <c r="F86" s="262"/>
      <c r="G86" s="1"/>
      <c r="H86" s="1"/>
      <c r="I86" s="1"/>
      <c r="J86" s="1"/>
      <c r="K86" s="1"/>
      <c r="L86" s="1"/>
    </row>
    <row r="87" customFormat="false" ht="15" hidden="false" customHeight="false" outlineLevel="0" collapsed="false">
      <c r="A87" s="294"/>
      <c r="B87" s="270" t="s">
        <v>8040</v>
      </c>
      <c r="C87" s="269" t="n">
        <v>20</v>
      </c>
      <c r="D87" s="262" t="s">
        <v>7939</v>
      </c>
      <c r="E87" s="262"/>
      <c r="F87" s="262"/>
      <c r="G87" s="1"/>
      <c r="H87" s="1"/>
      <c r="I87" s="1"/>
      <c r="J87" s="1"/>
      <c r="K87" s="1"/>
      <c r="L87" s="1"/>
    </row>
    <row r="88" customFormat="false" ht="15" hidden="false" customHeight="false" outlineLevel="0" collapsed="false">
      <c r="A88" s="262"/>
      <c r="B88" s="284" t="s">
        <v>8068</v>
      </c>
      <c r="C88" s="269"/>
      <c r="D88" s="262"/>
      <c r="E88" s="262"/>
      <c r="F88" s="262"/>
      <c r="G88" s="1"/>
      <c r="H88" s="1"/>
      <c r="I88" s="1"/>
      <c r="J88" s="1"/>
      <c r="K88" s="1"/>
      <c r="L88" s="1"/>
    </row>
    <row r="89" customFormat="false" ht="15" hidden="false" customHeight="false" outlineLevel="0" collapsed="false">
      <c r="A89" s="262"/>
      <c r="B89" s="471" t="s">
        <v>8069</v>
      </c>
      <c r="C89" s="342" t="n">
        <v>30</v>
      </c>
      <c r="D89" s="292" t="s">
        <v>7939</v>
      </c>
      <c r="E89" s="262"/>
      <c r="F89" s="262"/>
      <c r="G89" s="1"/>
      <c r="H89" s="1"/>
      <c r="I89" s="1"/>
      <c r="J89" s="1"/>
      <c r="K89" s="1"/>
      <c r="L89" s="1"/>
    </row>
    <row r="90" customFormat="false" ht="15" hidden="false" customHeight="false" outlineLevel="0" collapsed="false">
      <c r="A90" s="292" t="s">
        <v>8070</v>
      </c>
      <c r="B90" s="471" t="s">
        <v>8040</v>
      </c>
      <c r="C90" s="342" t="n">
        <v>2</v>
      </c>
      <c r="D90" s="292" t="s">
        <v>7939</v>
      </c>
      <c r="E90" s="262"/>
      <c r="F90" s="262"/>
      <c r="G90" s="1"/>
      <c r="H90" s="1"/>
      <c r="I90" s="1"/>
      <c r="J90" s="1"/>
      <c r="K90" s="1"/>
      <c r="L90" s="1"/>
    </row>
    <row r="91" customFormat="false" ht="15" hidden="false" customHeight="false" outlineLevel="0" collapsed="false">
      <c r="A91" s="262"/>
      <c r="B91" s="471" t="s">
        <v>32</v>
      </c>
      <c r="C91" s="342" t="n">
        <v>1.25</v>
      </c>
      <c r="D91" s="292" t="s">
        <v>8071</v>
      </c>
      <c r="E91" s="262"/>
      <c r="F91" s="262"/>
      <c r="G91" s="1"/>
      <c r="H91" s="1"/>
      <c r="I91" s="1"/>
      <c r="J91" s="1"/>
      <c r="K91" s="1"/>
      <c r="L91" s="1"/>
    </row>
    <row r="92" customFormat="false" ht="15" hidden="false" customHeight="false" outlineLevel="0" collapsed="false">
      <c r="A92" s="262"/>
      <c r="B92" s="471" t="s">
        <v>8072</v>
      </c>
      <c r="C92" s="342"/>
      <c r="D92" s="292" t="s">
        <v>8073</v>
      </c>
      <c r="E92" s="262"/>
      <c r="F92" s="262"/>
      <c r="G92" s="1"/>
      <c r="H92" s="1"/>
      <c r="I92" s="1"/>
      <c r="J92" s="1"/>
      <c r="K92" s="1"/>
      <c r="L92" s="1"/>
    </row>
    <row r="93" customFormat="false" ht="15" hidden="false" customHeight="false" outlineLevel="0" collapsed="false">
      <c r="A93" s="282"/>
      <c r="B93" s="284" t="s">
        <v>8074</v>
      </c>
      <c r="C93" s="269"/>
      <c r="D93" s="262"/>
      <c r="E93" s="282"/>
      <c r="F93" s="262"/>
      <c r="G93" s="285"/>
      <c r="H93" s="1"/>
      <c r="I93" s="285"/>
      <c r="J93" s="1"/>
      <c r="K93" s="1"/>
      <c r="L93" s="1"/>
    </row>
    <row r="94" customFormat="false" ht="15" hidden="false" customHeight="false" outlineLevel="0" collapsed="false">
      <c r="A94" s="262"/>
      <c r="B94" s="270" t="s">
        <v>8075</v>
      </c>
      <c r="C94" s="269" t="n">
        <v>60</v>
      </c>
      <c r="D94" s="262" t="s">
        <v>7</v>
      </c>
      <c r="E94" s="262"/>
      <c r="F94" s="262"/>
      <c r="G94" s="1"/>
      <c r="H94" s="1"/>
      <c r="I94" s="1"/>
      <c r="J94" s="1"/>
      <c r="K94" s="1"/>
      <c r="L94" s="1"/>
    </row>
    <row r="95" customFormat="false" ht="15" hidden="false" customHeight="false" outlineLevel="0" collapsed="false">
      <c r="A95" s="262"/>
      <c r="B95" s="284" t="s">
        <v>31</v>
      </c>
      <c r="C95" s="269" t="n">
        <v>1.5</v>
      </c>
      <c r="D95" s="262" t="s">
        <v>7</v>
      </c>
      <c r="E95" s="262"/>
      <c r="F95" s="262"/>
      <c r="G95" s="1"/>
      <c r="H95" s="1"/>
      <c r="I95" s="1"/>
      <c r="J95" s="1"/>
      <c r="K95" s="1"/>
      <c r="L95" s="1"/>
    </row>
    <row r="96" customFormat="false" ht="15" hidden="false" customHeight="false" outlineLevel="0" collapsed="false">
      <c r="A96" s="262"/>
      <c r="B96" s="270" t="s">
        <v>8076</v>
      </c>
      <c r="C96" s="269" t="n">
        <v>1.5</v>
      </c>
      <c r="D96" s="262" t="s">
        <v>7</v>
      </c>
      <c r="E96" s="262"/>
      <c r="F96" s="262"/>
      <c r="G96" s="1"/>
      <c r="H96" s="1"/>
      <c r="I96" s="1"/>
      <c r="J96" s="1"/>
      <c r="K96" s="1"/>
      <c r="L96" s="1"/>
    </row>
    <row r="97" customFormat="false" ht="15" hidden="false" customHeight="false" outlineLevel="0" collapsed="false">
      <c r="A97" s="262"/>
      <c r="B97" s="270" t="s">
        <v>8077</v>
      </c>
      <c r="C97" s="269" t="n">
        <v>1.5</v>
      </c>
      <c r="D97" s="262" t="s">
        <v>7939</v>
      </c>
      <c r="E97" s="262"/>
      <c r="F97" s="262"/>
      <c r="G97" s="1"/>
      <c r="H97" s="1"/>
      <c r="I97" s="1"/>
      <c r="J97" s="1"/>
      <c r="K97" s="1"/>
      <c r="L97" s="1"/>
    </row>
    <row r="98" customFormat="false" ht="15" hidden="false" customHeight="false" outlineLevel="0" collapsed="false">
      <c r="A98" s="262"/>
      <c r="B98" s="270" t="s">
        <v>8078</v>
      </c>
      <c r="C98" s="269" t="n">
        <v>3</v>
      </c>
      <c r="D98" s="262" t="s">
        <v>7</v>
      </c>
      <c r="E98" s="262"/>
      <c r="F98" s="262"/>
      <c r="G98" s="1"/>
      <c r="H98" s="1"/>
      <c r="I98" s="1"/>
      <c r="J98" s="1"/>
      <c r="K98" s="1"/>
      <c r="L98" s="1"/>
    </row>
    <row r="99" customFormat="false" ht="15" hidden="false" customHeight="false" outlineLevel="0" collapsed="false">
      <c r="A99" s="262"/>
      <c r="B99" s="284" t="s">
        <v>8079</v>
      </c>
      <c r="C99" s="269" t="n">
        <v>12</v>
      </c>
      <c r="D99" s="262" t="s">
        <v>47</v>
      </c>
      <c r="E99" s="262"/>
      <c r="F99" s="262"/>
      <c r="G99" s="1"/>
      <c r="H99" s="1"/>
      <c r="I99" s="1"/>
      <c r="J99" s="285"/>
      <c r="K99" s="1"/>
      <c r="L99" s="1"/>
    </row>
    <row r="100" customFormat="false" ht="15" hidden="false" customHeight="false" outlineLevel="0" collapsed="false">
      <c r="A100" s="262"/>
      <c r="B100" s="270"/>
      <c r="C100" s="269"/>
      <c r="D100" s="262"/>
      <c r="E100" s="262"/>
      <c r="F100" s="262"/>
      <c r="G100" s="1"/>
      <c r="H100" s="1"/>
      <c r="I100" s="1"/>
      <c r="J100" s="285"/>
      <c r="K100" s="1"/>
      <c r="L100" s="1"/>
    </row>
    <row r="101" customFormat="false" ht="15" hidden="false" customHeight="false" outlineLevel="0" collapsed="false">
      <c r="A101" s="282"/>
      <c r="B101" s="284" t="s">
        <v>8080</v>
      </c>
      <c r="C101" s="283" t="s">
        <v>8081</v>
      </c>
      <c r="D101" s="262"/>
      <c r="E101" s="282"/>
      <c r="F101" s="262"/>
      <c r="G101" s="285"/>
      <c r="H101" s="1"/>
      <c r="I101" s="285"/>
      <c r="J101" s="1"/>
      <c r="K101" s="285"/>
      <c r="L101" s="1"/>
    </row>
    <row r="102" customFormat="false" ht="15" hidden="false" customHeight="false" outlineLevel="0" collapsed="false">
      <c r="A102" s="262"/>
      <c r="B102" s="270" t="s">
        <v>8082</v>
      </c>
      <c r="C102" s="269" t="n">
        <v>1.8</v>
      </c>
      <c r="D102" s="262" t="s">
        <v>7</v>
      </c>
      <c r="E102" s="262"/>
      <c r="F102" s="262"/>
      <c r="G102" s="1"/>
      <c r="H102" s="1"/>
      <c r="I102" s="1"/>
      <c r="J102" s="1"/>
      <c r="K102" s="1"/>
      <c r="L102" s="1"/>
    </row>
    <row r="103" customFormat="false" ht="15" hidden="false" customHeight="false" outlineLevel="0" collapsed="false">
      <c r="A103" s="262"/>
      <c r="B103" s="270" t="s">
        <v>7674</v>
      </c>
      <c r="C103" s="269" t="n">
        <v>96</v>
      </c>
      <c r="D103" s="262" t="s">
        <v>7914</v>
      </c>
      <c r="E103" s="262"/>
      <c r="F103" s="262"/>
      <c r="G103" s="1"/>
      <c r="H103" s="1"/>
      <c r="I103" s="1"/>
      <c r="J103" s="1"/>
      <c r="K103" s="1"/>
      <c r="L103" s="1"/>
    </row>
    <row r="104" customFormat="false" ht="15" hidden="false" customHeight="false" outlineLevel="0" collapsed="false">
      <c r="A104" s="262"/>
      <c r="B104" s="471" t="s">
        <v>8083</v>
      </c>
      <c r="C104" s="269"/>
      <c r="D104" s="262"/>
      <c r="E104" s="262"/>
      <c r="F104" s="262"/>
      <c r="G104" s="1"/>
      <c r="H104" s="1"/>
      <c r="I104" s="1"/>
      <c r="J104" s="1"/>
      <c r="K104" s="1"/>
      <c r="L104" s="1"/>
    </row>
    <row r="105" customFormat="false" ht="15" hidden="false" customHeight="false" outlineLevel="0" collapsed="false">
      <c r="A105" s="262"/>
      <c r="B105" s="471" t="s">
        <v>8084</v>
      </c>
      <c r="C105" s="269"/>
      <c r="D105" s="262"/>
      <c r="E105" s="262"/>
      <c r="F105" s="262"/>
      <c r="G105" s="1"/>
      <c r="H105" s="1"/>
      <c r="I105" s="1"/>
      <c r="J105" s="1"/>
      <c r="K105" s="1"/>
      <c r="L105" s="1"/>
    </row>
    <row r="106" customFormat="false" ht="15" hidden="false" customHeight="false" outlineLevel="0" collapsed="false">
      <c r="A106" s="262"/>
      <c r="B106" s="270" t="s">
        <v>668</v>
      </c>
      <c r="C106" s="269" t="n">
        <v>48</v>
      </c>
      <c r="D106" s="262" t="s">
        <v>7914</v>
      </c>
      <c r="E106" s="262"/>
      <c r="F106" s="262"/>
      <c r="G106" s="1"/>
      <c r="H106" s="1"/>
      <c r="I106" s="1"/>
      <c r="J106" s="1"/>
      <c r="K106" s="1"/>
      <c r="L106" s="1"/>
    </row>
    <row r="107" customFormat="false" ht="15" hidden="false" customHeight="false" outlineLevel="0" collapsed="false">
      <c r="A107" s="262"/>
      <c r="B107" s="471" t="s">
        <v>8085</v>
      </c>
      <c r="C107" s="269"/>
      <c r="D107" s="262"/>
      <c r="E107" s="262"/>
      <c r="F107" s="262"/>
      <c r="G107" s="1"/>
      <c r="H107" s="1"/>
      <c r="I107" s="1"/>
      <c r="J107" s="1"/>
      <c r="K107" s="1"/>
      <c r="L107" s="1"/>
    </row>
    <row r="108" customFormat="false" ht="15" hidden="false" customHeight="false" outlineLevel="0" collapsed="false">
      <c r="A108" s="262"/>
      <c r="B108" s="471" t="s">
        <v>8086</v>
      </c>
      <c r="C108" s="269"/>
      <c r="D108" s="262"/>
      <c r="E108" s="262"/>
      <c r="F108" s="262"/>
      <c r="G108" s="1"/>
      <c r="H108" s="1"/>
      <c r="I108" s="1"/>
      <c r="J108" s="1"/>
      <c r="K108" s="1"/>
      <c r="L108" s="1"/>
    </row>
    <row r="109" customFormat="false" ht="15" hidden="false" customHeight="false" outlineLevel="0" collapsed="false">
      <c r="A109" s="262"/>
      <c r="B109" s="270" t="s">
        <v>58</v>
      </c>
      <c r="C109" s="269" t="n">
        <v>4.8</v>
      </c>
      <c r="D109" s="262" t="s">
        <v>7939</v>
      </c>
      <c r="E109" s="262"/>
      <c r="F109" s="262"/>
      <c r="G109" s="1"/>
      <c r="H109" s="1"/>
      <c r="I109" s="1"/>
      <c r="J109" s="1"/>
      <c r="K109" s="1"/>
      <c r="L109" s="1"/>
    </row>
    <row r="110" customFormat="false" ht="15" hidden="false" customHeight="false" outlineLevel="0" collapsed="false">
      <c r="A110" s="262"/>
      <c r="B110" s="270" t="s">
        <v>8087</v>
      </c>
      <c r="C110" s="269" t="n">
        <v>3.5</v>
      </c>
      <c r="D110" s="262" t="s">
        <v>8071</v>
      </c>
      <c r="E110" s="262"/>
      <c r="F110" s="262"/>
      <c r="G110" s="1"/>
      <c r="H110" s="1"/>
      <c r="I110" s="1"/>
      <c r="J110" s="1"/>
      <c r="K110" s="1"/>
      <c r="L110" s="1"/>
    </row>
    <row r="111" customFormat="false" ht="15" hidden="false" customHeight="false" outlineLevel="0" collapsed="false">
      <c r="A111" s="262"/>
      <c r="B111" s="284" t="s">
        <v>8088</v>
      </c>
      <c r="C111" s="269" t="n">
        <v>90</v>
      </c>
      <c r="D111" s="262" t="s">
        <v>7869</v>
      </c>
      <c r="E111" s="262"/>
      <c r="F111" s="262"/>
      <c r="G111" s="1"/>
      <c r="H111" s="1"/>
      <c r="I111" s="1"/>
      <c r="J111" s="1"/>
      <c r="K111" s="1"/>
      <c r="L111" s="1"/>
    </row>
    <row r="112" customFormat="false" ht="15" hidden="false" customHeight="false" outlineLevel="0" collapsed="false">
      <c r="A112" s="262"/>
      <c r="B112" s="284"/>
      <c r="C112" s="269"/>
      <c r="D112" s="262"/>
      <c r="E112" s="262"/>
      <c r="F112" s="262"/>
      <c r="G112" s="1"/>
      <c r="H112" s="1"/>
      <c r="I112" s="1"/>
      <c r="J112" s="1"/>
      <c r="K112" s="1"/>
      <c r="L112" s="1"/>
    </row>
    <row r="113" customFormat="false" ht="15" hidden="false" customHeight="false" outlineLevel="0" collapsed="false">
      <c r="A113" s="282"/>
      <c r="B113" s="270" t="s">
        <v>8089</v>
      </c>
      <c r="C113" s="283" t="s">
        <v>8090</v>
      </c>
      <c r="D113" s="262"/>
      <c r="E113" s="282"/>
      <c r="F113" s="262"/>
      <c r="G113" s="285"/>
      <c r="H113" s="1"/>
      <c r="I113" s="285"/>
      <c r="J113" s="1"/>
      <c r="K113" s="285"/>
      <c r="L113" s="1"/>
    </row>
    <row r="114" customFormat="false" ht="15" hidden="false" customHeight="false" outlineLevel="0" collapsed="false">
      <c r="A114" s="262"/>
      <c r="B114" s="270" t="s">
        <v>541</v>
      </c>
      <c r="C114" s="269" t="n">
        <v>9</v>
      </c>
      <c r="D114" s="262" t="s">
        <v>7</v>
      </c>
      <c r="E114" s="262"/>
      <c r="F114" s="262"/>
      <c r="G114" s="1"/>
      <c r="H114" s="1"/>
      <c r="I114" s="1"/>
      <c r="J114" s="1"/>
      <c r="K114" s="1"/>
      <c r="L114" s="1"/>
    </row>
    <row r="115" customFormat="false" ht="15" hidden="false" customHeight="false" outlineLevel="0" collapsed="false">
      <c r="A115" s="262"/>
      <c r="B115" s="270" t="s">
        <v>8091</v>
      </c>
      <c r="C115" s="269" t="n">
        <v>7.5</v>
      </c>
      <c r="D115" s="262" t="s">
        <v>7</v>
      </c>
      <c r="E115" s="262"/>
      <c r="F115" s="262"/>
      <c r="G115" s="1"/>
      <c r="H115" s="1"/>
      <c r="I115" s="1"/>
      <c r="J115" s="1"/>
      <c r="K115" s="1"/>
      <c r="L115" s="1"/>
    </row>
    <row r="116" customFormat="false" ht="15" hidden="false" customHeight="false" outlineLevel="0" collapsed="false">
      <c r="A116" s="262"/>
      <c r="B116" s="270" t="s">
        <v>623</v>
      </c>
      <c r="C116" s="269" t="n">
        <v>30</v>
      </c>
      <c r="D116" s="262" t="s">
        <v>7</v>
      </c>
      <c r="E116" s="262"/>
      <c r="F116" s="262"/>
      <c r="G116" s="1"/>
      <c r="H116" s="1"/>
      <c r="I116" s="1"/>
      <c r="J116" s="1"/>
      <c r="K116" s="1"/>
      <c r="L116" s="1"/>
    </row>
    <row r="117" customFormat="false" ht="15" hidden="false" customHeight="false" outlineLevel="0" collapsed="false">
      <c r="A117" s="262"/>
      <c r="B117" s="270" t="s">
        <v>8092</v>
      </c>
      <c r="C117" s="269" t="n">
        <v>0.75</v>
      </c>
      <c r="D117" s="262" t="s">
        <v>7939</v>
      </c>
      <c r="E117" s="262"/>
      <c r="F117" s="262"/>
      <c r="G117" s="1"/>
      <c r="H117" s="1"/>
      <c r="I117" s="1"/>
      <c r="J117" s="1"/>
      <c r="K117" s="1"/>
      <c r="L117" s="1"/>
    </row>
    <row r="118" customFormat="false" ht="15" hidden="false" customHeight="false" outlineLevel="0" collapsed="false">
      <c r="A118" s="262"/>
      <c r="B118" s="270" t="s">
        <v>8093</v>
      </c>
      <c r="C118" s="269" t="n">
        <v>2.25</v>
      </c>
      <c r="D118" s="262" t="s">
        <v>8071</v>
      </c>
      <c r="E118" s="262"/>
      <c r="F118" s="262"/>
      <c r="G118" s="1"/>
      <c r="H118" s="1"/>
      <c r="I118" s="1"/>
      <c r="J118" s="1"/>
      <c r="K118" s="1"/>
      <c r="L118" s="1"/>
    </row>
    <row r="119" customFormat="false" ht="15" hidden="false" customHeight="false" outlineLevel="0" collapsed="false">
      <c r="A119" s="262"/>
      <c r="B119" s="270" t="s">
        <v>578</v>
      </c>
      <c r="C119" s="269" t="n">
        <v>60</v>
      </c>
      <c r="D119" s="262" t="s">
        <v>7869</v>
      </c>
      <c r="E119" s="262"/>
      <c r="F119" s="262"/>
      <c r="G119" s="1"/>
      <c r="H119" s="1"/>
      <c r="I119" s="1"/>
      <c r="J119" s="1"/>
      <c r="K119" s="1"/>
      <c r="L119" s="1"/>
    </row>
    <row r="120" customFormat="false" ht="15" hidden="false" customHeight="false" outlineLevel="0" collapsed="false">
      <c r="A120" s="282"/>
      <c r="B120" s="270" t="s">
        <v>32</v>
      </c>
      <c r="C120" s="283" t="n">
        <v>3</v>
      </c>
      <c r="D120" s="262" t="s">
        <v>8071</v>
      </c>
      <c r="E120" s="282"/>
      <c r="F120" s="262"/>
      <c r="G120" s="285"/>
      <c r="H120" s="1"/>
      <c r="I120" s="285"/>
      <c r="J120" s="1"/>
      <c r="K120" s="285"/>
      <c r="L120" s="1"/>
    </row>
    <row r="121" customFormat="false" ht="15" hidden="false" customHeight="false" outlineLevel="0" collapsed="false">
      <c r="A121" s="262"/>
      <c r="B121" s="270" t="s">
        <v>8094</v>
      </c>
      <c r="C121" s="269" t="n">
        <v>90</v>
      </c>
      <c r="D121" s="262" t="s">
        <v>7869</v>
      </c>
      <c r="E121" s="262"/>
      <c r="F121" s="262"/>
      <c r="G121" s="1"/>
      <c r="H121" s="1"/>
      <c r="I121" s="1"/>
      <c r="J121" s="1"/>
      <c r="K121" s="1"/>
      <c r="L121" s="1"/>
    </row>
    <row r="122" customFormat="false" ht="15" hidden="false" customHeight="false" outlineLevel="0" collapsed="false">
      <c r="A122" s="262"/>
      <c r="B122" s="270" t="s">
        <v>8095</v>
      </c>
      <c r="C122" s="269" t="n">
        <v>30</v>
      </c>
      <c r="D122" s="262" t="s">
        <v>7</v>
      </c>
      <c r="E122" s="262"/>
      <c r="F122" s="262"/>
      <c r="G122" s="1"/>
      <c r="H122" s="1"/>
      <c r="I122" s="1"/>
      <c r="J122" s="1"/>
      <c r="K122" s="1"/>
      <c r="L122" s="1"/>
    </row>
    <row r="123" customFormat="false" ht="15" hidden="false" customHeight="false" outlineLevel="0" collapsed="false">
      <c r="A123" s="262"/>
      <c r="B123" s="471" t="s">
        <v>8096</v>
      </c>
      <c r="C123" s="269"/>
      <c r="D123" s="262" t="s">
        <v>706</v>
      </c>
      <c r="E123" s="262"/>
      <c r="F123" s="262"/>
      <c r="G123" s="1"/>
      <c r="H123" s="1"/>
      <c r="I123" s="1"/>
      <c r="J123" s="1"/>
      <c r="K123" s="1"/>
      <c r="L123" s="1"/>
    </row>
    <row r="124" customFormat="false" ht="15" hidden="false" customHeight="false" outlineLevel="0" collapsed="false">
      <c r="A124" s="262"/>
      <c r="B124" s="270" t="s">
        <v>8097</v>
      </c>
      <c r="C124" s="269"/>
      <c r="D124" s="262"/>
      <c r="E124" s="262"/>
      <c r="F124" s="262"/>
      <c r="G124" s="1"/>
      <c r="H124" s="1"/>
      <c r="I124" s="1"/>
      <c r="J124" s="1"/>
      <c r="K124" s="1"/>
      <c r="L124" s="1"/>
    </row>
    <row r="125" customFormat="false" ht="15" hidden="false" customHeight="false" outlineLevel="0" collapsed="false">
      <c r="A125" s="262"/>
      <c r="B125" s="270" t="s">
        <v>8098</v>
      </c>
      <c r="C125" s="269"/>
      <c r="D125" s="262"/>
      <c r="E125" s="262"/>
      <c r="F125" s="262"/>
      <c r="G125" s="1"/>
      <c r="H125" s="1"/>
      <c r="I125" s="1"/>
      <c r="J125" s="1"/>
      <c r="K125" s="1"/>
      <c r="L125" s="1"/>
    </row>
    <row r="126" customFormat="false" ht="15" hidden="false" customHeight="false" outlineLevel="0" collapsed="false">
      <c r="A126" s="1"/>
      <c r="D126" s="1"/>
      <c r="E126" s="1"/>
      <c r="F126" s="1"/>
      <c r="G126" s="1"/>
      <c r="H126" s="1"/>
      <c r="I126" s="1"/>
      <c r="J126" s="1"/>
      <c r="K126" s="1"/>
      <c r="L126" s="1"/>
    </row>
    <row r="127" customFormat="false" ht="15" hidden="false" customHeight="false" outlineLevel="0" collapsed="false">
      <c r="A127" s="1"/>
      <c r="B127" s="3" t="s">
        <v>8099</v>
      </c>
      <c r="D127" s="1"/>
      <c r="E127" s="1"/>
      <c r="F127" s="1"/>
      <c r="G127" s="1"/>
      <c r="H127" s="1"/>
      <c r="I127" s="1"/>
      <c r="J127" s="1"/>
      <c r="K127" s="1"/>
      <c r="L127" s="1"/>
    </row>
    <row r="128" customFormat="false" ht="15" hidden="false" customHeight="false" outlineLevel="0" collapsed="false">
      <c r="A128" s="285"/>
      <c r="B128" s="3" t="s">
        <v>8100</v>
      </c>
      <c r="C128" s="472"/>
      <c r="D128" s="1"/>
      <c r="E128" s="285"/>
      <c r="F128" s="1"/>
      <c r="G128" s="285"/>
      <c r="H128" s="1"/>
      <c r="I128" s="285"/>
      <c r="J128" s="1"/>
      <c r="K128" s="285"/>
      <c r="L128" s="1"/>
    </row>
    <row r="129" customFormat="false" ht="15" hidden="false" customHeight="false" outlineLevel="0" collapsed="false">
      <c r="A129" s="1"/>
      <c r="D129" s="1"/>
      <c r="E129" s="1"/>
      <c r="F129" s="1"/>
      <c r="G129" s="1"/>
      <c r="H129" s="1"/>
      <c r="I129" s="1"/>
      <c r="J129" s="1"/>
      <c r="K129" s="1"/>
      <c r="L129" s="1"/>
    </row>
    <row r="130" customFormat="false" ht="15" hidden="false" customHeight="false" outlineLevel="0" collapsed="false">
      <c r="A130" s="473" t="s">
        <v>8101</v>
      </c>
      <c r="B130" s="474" t="s">
        <v>8102</v>
      </c>
      <c r="C130" s="475"/>
      <c r="D130" s="476"/>
      <c r="E130" s="476"/>
      <c r="F130" s="476"/>
      <c r="G130" s="476"/>
      <c r="H130" s="476"/>
      <c r="I130" s="476"/>
      <c r="J130" s="476"/>
      <c r="K130" s="1"/>
      <c r="L130" s="1"/>
    </row>
    <row r="131" customFormat="false" ht="15" hidden="false" customHeight="false" outlineLevel="0" collapsed="false">
      <c r="A131" s="477" t="s">
        <v>8103</v>
      </c>
      <c r="B131" s="474" t="s">
        <v>8104</v>
      </c>
      <c r="C131" s="475"/>
      <c r="D131" s="476"/>
      <c r="E131" s="476"/>
      <c r="F131" s="476"/>
      <c r="G131" s="476"/>
      <c r="H131" s="476"/>
      <c r="I131" s="476"/>
      <c r="J131" s="476"/>
      <c r="K131" s="1"/>
      <c r="L131" s="1"/>
    </row>
    <row r="132" customFormat="false" ht="15" hidden="false" customHeight="false" outlineLevel="0" collapsed="false">
      <c r="A132" s="1"/>
      <c r="B132" s="474" t="s">
        <v>8105</v>
      </c>
      <c r="C132" s="475"/>
      <c r="D132" s="476"/>
      <c r="E132" s="476"/>
      <c r="F132" s="476"/>
      <c r="G132" s="476"/>
      <c r="H132" s="476"/>
      <c r="I132" s="476"/>
      <c r="J132" s="476"/>
      <c r="K132" s="1"/>
      <c r="L132" s="1"/>
    </row>
    <row r="133" customFormat="false" ht="15" hidden="false" customHeight="false" outlineLevel="0" collapsed="false">
      <c r="A133" s="1"/>
      <c r="E133" s="1"/>
      <c r="F133" s="1"/>
      <c r="G133" s="1"/>
      <c r="H133" s="1"/>
      <c r="I133" s="1"/>
      <c r="J133" s="1"/>
      <c r="K133" s="1"/>
      <c r="L133" s="1"/>
    </row>
    <row r="134" customFormat="false" ht="15" hidden="false" customHeight="false" outlineLevel="0" collapsed="false">
      <c r="A134" s="1"/>
      <c r="E134" s="1"/>
      <c r="F134" s="1"/>
      <c r="G134" s="1"/>
      <c r="H134" s="1"/>
      <c r="I134" s="1"/>
      <c r="J134" s="1"/>
      <c r="K134" s="3"/>
      <c r="L134" s="2"/>
      <c r="M134" s="1"/>
    </row>
    <row r="135" customFormat="false" ht="15" hidden="false" customHeight="false" outlineLevel="0" collapsed="false">
      <c r="A135" s="1"/>
      <c r="E135" s="1"/>
      <c r="F135" s="1"/>
      <c r="G135" s="1"/>
      <c r="H135" s="1"/>
      <c r="I135" s="1"/>
      <c r="J135" s="1"/>
      <c r="K135" s="464" t="s">
        <v>7824</v>
      </c>
      <c r="L135" s="2"/>
      <c r="M135" s="1"/>
    </row>
    <row r="136" customFormat="false" ht="15" hidden="false" customHeight="false" outlineLevel="0" collapsed="false">
      <c r="A136" s="1"/>
      <c r="B136" s="478"/>
      <c r="C136" s="386"/>
      <c r="D136" s="386"/>
      <c r="E136" s="386"/>
      <c r="F136" s="386"/>
      <c r="G136" s="1"/>
      <c r="H136" s="1"/>
      <c r="I136" s="1"/>
      <c r="J136" s="1"/>
      <c r="K136" s="3"/>
      <c r="L136" s="2"/>
      <c r="M136" s="1"/>
    </row>
    <row r="137" customFormat="false" ht="15" hidden="false" customHeight="false" outlineLevel="0" collapsed="false">
      <c r="G137" s="1"/>
      <c r="H137" s="1"/>
      <c r="I137" s="285"/>
      <c r="J137" s="1"/>
      <c r="K137" s="285"/>
      <c r="L137" s="1"/>
    </row>
    <row r="138" customFormat="false" ht="15" hidden="false" customHeight="false" outlineLevel="0" collapsed="false">
      <c r="G138" s="1"/>
      <c r="H138" s="1"/>
      <c r="I138" s="1"/>
      <c r="J138" s="1"/>
      <c r="K138" s="1"/>
      <c r="L138" s="1"/>
    </row>
    <row r="139" customFormat="false" ht="15" hidden="false" customHeight="false" outlineLevel="0" collapsed="false">
      <c r="G139" s="1"/>
      <c r="H139" s="1"/>
      <c r="I139" s="1"/>
      <c r="J139" s="1"/>
      <c r="K139" s="1"/>
      <c r="L139" s="1"/>
    </row>
    <row r="140" customFormat="false" ht="15" hidden="false" customHeight="false" outlineLevel="0" collapsed="false">
      <c r="G140" s="1"/>
      <c r="H140" s="1"/>
      <c r="I140" s="1"/>
      <c r="J140" s="1"/>
      <c r="K140" s="1"/>
      <c r="L140" s="1"/>
    </row>
    <row r="141" customFormat="false" ht="15" hidden="false" customHeight="false" outlineLevel="0" collapsed="false">
      <c r="G141" s="1"/>
    </row>
    <row r="142" customFormat="false" ht="15" hidden="false" customHeight="false" outlineLevel="0" collapsed="false">
      <c r="G142" s="1"/>
    </row>
    <row r="143" customFormat="false" ht="15" hidden="false" customHeight="false" outlineLevel="0" collapsed="false">
      <c r="G143" s="1"/>
    </row>
    <row r="144" customFormat="false" ht="15" hidden="false" customHeight="false" outlineLevel="0" collapsed="false">
      <c r="G144" s="1"/>
    </row>
    <row r="145" customFormat="false" ht="15" hidden="false" customHeight="false" outlineLevel="0" collapsed="false">
      <c r="G145" s="1"/>
    </row>
    <row r="146" customFormat="false" ht="15" hidden="false" customHeight="false" outlineLevel="0" collapsed="false">
      <c r="G146" s="1"/>
    </row>
    <row r="147" customFormat="false" ht="15" hidden="false" customHeight="false" outlineLevel="0" collapsed="false">
      <c r="G147" s="1"/>
    </row>
    <row r="148" customFormat="false" ht="15" hidden="false" customHeight="false" outlineLevel="0" collapsed="false">
      <c r="G148" s="1"/>
    </row>
    <row r="151" customFormat="false" ht="15" hidden="false" customHeight="false" outlineLevel="0" collapsed="false">
      <c r="A151" s="479" t="s">
        <v>8106</v>
      </c>
    </row>
    <row r="152" customFormat="false" ht="15" hidden="false" customHeight="false" outlineLevel="0" collapsed="false">
      <c r="G152" s="1"/>
    </row>
    <row r="153" customFormat="false" ht="15" hidden="false" customHeight="false" outlineLevel="0" collapsed="false">
      <c r="G153" s="1"/>
      <c r="L153" s="3"/>
      <c r="M153" s="2"/>
      <c r="N153" s="4"/>
    </row>
    <row r="154" customFormat="false" ht="15" hidden="false" customHeight="false" outlineLevel="0" collapsed="false">
      <c r="G154" s="1"/>
      <c r="L154" s="3"/>
      <c r="M154" s="2"/>
      <c r="N154" s="4"/>
    </row>
    <row r="155" customFormat="false" ht="15" hidden="false" customHeight="false" outlineLevel="0" collapsed="false">
      <c r="G155" s="1"/>
      <c r="L155" s="464" t="s">
        <v>7824</v>
      </c>
      <c r="M155" s="2"/>
      <c r="N155" s="4"/>
    </row>
    <row r="156" customFormat="false" ht="15" hidden="false" customHeight="false" outlineLevel="0" collapsed="false">
      <c r="G156" s="1"/>
      <c r="L156" s="3"/>
      <c r="M156" s="2"/>
      <c r="N156" s="4"/>
    </row>
    <row r="157" customFormat="false" ht="15" hidden="false" customHeight="false" outlineLevel="0" collapsed="false">
      <c r="L157" s="3"/>
      <c r="M157" s="2"/>
      <c r="N157" s="4"/>
    </row>
    <row r="158" customFormat="false" ht="15" hidden="false" customHeight="false" outlineLevel="0" collapsed="false">
      <c r="L158" s="3"/>
      <c r="M158" s="2"/>
      <c r="N158" s="4"/>
    </row>
    <row r="175" customFormat="false" ht="15" hidden="false" customHeight="false" outlineLevel="0" collapsed="false">
      <c r="B175" s="464"/>
    </row>
  </sheetData>
  <mergeCells count="3">
    <mergeCell ref="A49:A50"/>
    <mergeCell ref="A54:A55"/>
    <mergeCell ref="A69:A70"/>
  </mergeCells>
  <hyperlinks>
    <hyperlink ref="J48" location="'Yatra Menu'!A1" display="Back to Menu"/>
    <hyperlink ref="J82" location="'Yatra Menu'!A1" display="Back to Menu"/>
    <hyperlink ref="K135" location="'Yatra Menu'!A1" display="Back to Menu"/>
    <hyperlink ref="L155" location="'Yatra Menu'!A1" display="Back to Menu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98"/>
  <sheetViews>
    <sheetView showFormulas="false" showGridLines="true" showRowColHeaders="true" showZeros="true" rightToLeft="false" tabSelected="false" showOutlineSymbols="true" defaultGridColor="true" view="normal" topLeftCell="A69" colorId="64" zoomScale="85" zoomScaleNormal="85" zoomScalePageLayoutView="100" workbookViewId="0">
      <selection pane="topLeft" activeCell="A30" activeCellId="0" sqref="A30"/>
    </sheetView>
  </sheetViews>
  <sheetFormatPr defaultRowHeight="15" outlineLevelRow="0" outlineLevelCol="0"/>
  <cols>
    <col collapsed="false" customWidth="true" hidden="false" outlineLevel="0" max="1" min="1" style="0" width="16.5"/>
    <col collapsed="false" customWidth="true" hidden="false" outlineLevel="0" max="2" min="2" style="1" width="17.74"/>
    <col collapsed="false" customWidth="true" hidden="false" outlineLevel="0" max="3" min="3" style="0" width="6.75"/>
    <col collapsed="false" customWidth="true" hidden="false" outlineLevel="0" max="4" min="4" style="4" width="6.75"/>
    <col collapsed="false" customWidth="true" hidden="false" outlineLevel="0" max="5" min="5" style="1" width="6.75"/>
    <col collapsed="false" customWidth="true" hidden="false" outlineLevel="0" max="6" min="6" style="4" width="6.75"/>
    <col collapsed="false" customWidth="true" hidden="false" outlineLevel="0" max="1025" min="7" style="0" width="6.75"/>
  </cols>
  <sheetData>
    <row r="1" customFormat="false" ht="18" hidden="false" customHeight="false" outlineLevel="0" collapsed="false">
      <c r="A1" s="480" t="s">
        <v>232</v>
      </c>
      <c r="B1" s="481" t="s">
        <v>2</v>
      </c>
      <c r="C1" s="437" t="s">
        <v>3</v>
      </c>
      <c r="D1" s="437" t="s">
        <v>4</v>
      </c>
      <c r="E1" s="482" t="s">
        <v>5</v>
      </c>
      <c r="F1" s="437" t="s">
        <v>4</v>
      </c>
      <c r="G1" s="438"/>
      <c r="H1" s="439"/>
      <c r="I1" s="438"/>
    </row>
    <row r="2" customFormat="false" ht="15" hidden="false" customHeight="false" outlineLevel="0" collapsed="false">
      <c r="B2" s="1" t="s">
        <v>232</v>
      </c>
      <c r="C2" s="0" t="n">
        <v>25</v>
      </c>
      <c r="D2" s="4" t="s">
        <v>61</v>
      </c>
      <c r="E2" s="1" t="n">
        <f aca="false">C2*2</f>
        <v>50</v>
      </c>
      <c r="F2" s="4" t="s">
        <v>61</v>
      </c>
      <c r="G2" s="333"/>
      <c r="H2" s="333"/>
      <c r="I2" s="333"/>
    </row>
    <row r="3" customFormat="false" ht="15" hidden="false" customHeight="false" outlineLevel="0" collapsed="false">
      <c r="B3" s="1" t="s">
        <v>11</v>
      </c>
      <c r="C3" s="0" t="n">
        <v>5</v>
      </c>
      <c r="D3" s="4" t="s">
        <v>61</v>
      </c>
      <c r="E3" s="1" t="n">
        <f aca="false">C3*2</f>
        <v>10</v>
      </c>
      <c r="F3" s="4" t="s">
        <v>61</v>
      </c>
    </row>
    <row r="4" customFormat="false" ht="15" hidden="false" customHeight="false" outlineLevel="0" collapsed="false">
      <c r="B4" s="1" t="s">
        <v>7818</v>
      </c>
      <c r="C4" s="0" t="n">
        <v>5</v>
      </c>
      <c r="D4" s="4" t="s">
        <v>61</v>
      </c>
      <c r="E4" s="1" t="n">
        <f aca="false">C4*2</f>
        <v>10</v>
      </c>
      <c r="F4" s="4" t="s">
        <v>61</v>
      </c>
    </row>
    <row r="5" customFormat="false" ht="15" hidden="false" customHeight="false" outlineLevel="0" collapsed="false">
      <c r="B5" s="1" t="s">
        <v>39</v>
      </c>
      <c r="C5" s="0" t="n">
        <v>5</v>
      </c>
      <c r="D5" s="4" t="s">
        <v>61</v>
      </c>
      <c r="E5" s="1" t="n">
        <f aca="false">C5*2</f>
        <v>10</v>
      </c>
      <c r="F5" s="4" t="s">
        <v>61</v>
      </c>
    </row>
    <row r="6" customFormat="false" ht="15" hidden="false" customHeight="false" outlineLevel="0" collapsed="false">
      <c r="B6" s="1" t="s">
        <v>14</v>
      </c>
      <c r="C6" s="0" t="n">
        <v>2</v>
      </c>
      <c r="D6" s="4" t="s">
        <v>20</v>
      </c>
      <c r="E6" s="1" t="n">
        <f aca="false">C6*2</f>
        <v>4</v>
      </c>
      <c r="F6" s="4" t="s">
        <v>20</v>
      </c>
    </row>
    <row r="7" customFormat="false" ht="15" hidden="false" customHeight="false" outlineLevel="0" collapsed="false">
      <c r="B7" s="1" t="s">
        <v>672</v>
      </c>
      <c r="C7" s="0" t="n">
        <v>2</v>
      </c>
      <c r="D7" s="4" t="s">
        <v>68</v>
      </c>
      <c r="E7" s="1" t="n">
        <f aca="false">C7*2</f>
        <v>4</v>
      </c>
      <c r="F7" s="4" t="s">
        <v>68</v>
      </c>
    </row>
    <row r="8" customFormat="false" ht="15" hidden="false" customHeight="false" outlineLevel="0" collapsed="false">
      <c r="B8" s="1" t="s">
        <v>16</v>
      </c>
      <c r="C8" s="0" t="n">
        <v>0.5</v>
      </c>
      <c r="D8" s="4" t="s">
        <v>13</v>
      </c>
      <c r="E8" s="1" t="n">
        <f aca="false">C8*2</f>
        <v>1</v>
      </c>
      <c r="F8" s="4" t="s">
        <v>13</v>
      </c>
    </row>
    <row r="9" customFormat="false" ht="15" hidden="false" customHeight="false" outlineLevel="0" collapsed="false">
      <c r="B9" s="1" t="s">
        <v>15</v>
      </c>
      <c r="C9" s="0" t="n">
        <v>1</v>
      </c>
      <c r="D9" s="4" t="s">
        <v>76</v>
      </c>
      <c r="E9" s="1" t="n">
        <f aca="false">C9*2</f>
        <v>2</v>
      </c>
      <c r="F9" s="4" t="s">
        <v>76</v>
      </c>
    </row>
    <row r="10" customFormat="false" ht="15" hidden="false" customHeight="false" outlineLevel="0" collapsed="false">
      <c r="B10" s="1" t="s">
        <v>586</v>
      </c>
      <c r="C10" s="0" t="n">
        <v>2</v>
      </c>
      <c r="D10" s="4" t="s">
        <v>13</v>
      </c>
      <c r="E10" s="1" t="n">
        <f aca="false">C10*2</f>
        <v>4</v>
      </c>
      <c r="F10" s="4" t="s">
        <v>13</v>
      </c>
    </row>
    <row r="11" customFormat="false" ht="15" hidden="false" customHeight="false" outlineLevel="0" collapsed="false">
      <c r="B11" s="1" t="s">
        <v>32</v>
      </c>
      <c r="C11" s="0" t="n">
        <v>4</v>
      </c>
      <c r="D11" s="4" t="s">
        <v>68</v>
      </c>
      <c r="E11" s="1" t="n">
        <f aca="false">C11*2</f>
        <v>8</v>
      </c>
      <c r="F11" s="4" t="s">
        <v>68</v>
      </c>
    </row>
    <row r="12" customFormat="false" ht="15" hidden="false" customHeight="false" outlineLevel="0" collapsed="false">
      <c r="B12" s="1" t="s">
        <v>564</v>
      </c>
      <c r="C12" s="0" t="n">
        <v>1</v>
      </c>
      <c r="D12" s="4" t="s">
        <v>68</v>
      </c>
      <c r="E12" s="1" t="n">
        <f aca="false">C12*2</f>
        <v>2</v>
      </c>
      <c r="F12" s="4" t="s">
        <v>68</v>
      </c>
    </row>
    <row r="13" customFormat="false" ht="15" hidden="false" customHeight="false" outlineLevel="0" collapsed="false">
      <c r="B13" s="1" t="s">
        <v>75</v>
      </c>
      <c r="C13" s="0" t="n">
        <v>5</v>
      </c>
      <c r="D13" s="4" t="s">
        <v>13</v>
      </c>
      <c r="E13" s="1" t="n">
        <f aca="false">C13*2</f>
        <v>10</v>
      </c>
      <c r="F13" s="4" t="s">
        <v>13</v>
      </c>
    </row>
    <row r="14" customFormat="false" ht="15" hidden="false" customHeight="false" outlineLevel="0" collapsed="false">
      <c r="B14" s="1" t="s">
        <v>7959</v>
      </c>
      <c r="C14" s="0" t="n">
        <v>2</v>
      </c>
      <c r="D14" s="4" t="s">
        <v>68</v>
      </c>
      <c r="E14" s="1" t="n">
        <f aca="false">C14*2</f>
        <v>4</v>
      </c>
      <c r="F14" s="4" t="s">
        <v>68</v>
      </c>
    </row>
    <row r="15" customFormat="false" ht="15" hidden="false" customHeight="false" outlineLevel="0" collapsed="false">
      <c r="B15" s="1" t="s">
        <v>947</v>
      </c>
      <c r="C15" s="0" t="n">
        <v>65</v>
      </c>
      <c r="D15" s="4" t="s">
        <v>76</v>
      </c>
      <c r="E15" s="1" t="n">
        <f aca="false">C15*2</f>
        <v>130</v>
      </c>
      <c r="F15" s="4" t="s">
        <v>76</v>
      </c>
    </row>
    <row r="16" customFormat="false" ht="15" hidden="false" customHeight="false" outlineLevel="0" collapsed="false">
      <c r="B16" s="1" t="s">
        <v>12</v>
      </c>
      <c r="C16" s="0" t="n">
        <v>5</v>
      </c>
      <c r="D16" s="4" t="s">
        <v>76</v>
      </c>
      <c r="E16" s="1" t="n">
        <f aca="false">C16*2</f>
        <v>10</v>
      </c>
      <c r="F16" s="4" t="s">
        <v>76</v>
      </c>
    </row>
    <row r="17" customFormat="false" ht="15.75" hidden="false" customHeight="false" outlineLevel="0" collapsed="false">
      <c r="A17" s="315"/>
      <c r="B17" s="255" t="s">
        <v>21</v>
      </c>
      <c r="C17" s="255" t="n">
        <v>5</v>
      </c>
      <c r="D17" s="304" t="s">
        <v>61</v>
      </c>
      <c r="E17" s="483" t="n">
        <f aca="false">C17*2</f>
        <v>10</v>
      </c>
      <c r="F17" s="280" t="s">
        <v>61</v>
      </c>
      <c r="G17" s="438"/>
      <c r="H17" s="439"/>
      <c r="I17" s="438"/>
      <c r="L17" s="439"/>
      <c r="M17" s="438"/>
    </row>
    <row r="18" customFormat="false" ht="15.75" hidden="false" customHeight="false" outlineLevel="0" collapsed="false">
      <c r="A18" s="315"/>
      <c r="B18" s="255" t="s">
        <v>7960</v>
      </c>
      <c r="C18" s="255" t="n">
        <v>3</v>
      </c>
      <c r="D18" s="257" t="s">
        <v>27</v>
      </c>
      <c r="E18" s="483" t="n">
        <f aca="false">C18*2</f>
        <v>6</v>
      </c>
      <c r="F18" s="257" t="s">
        <v>27</v>
      </c>
      <c r="G18" s="438"/>
      <c r="H18" s="439"/>
      <c r="I18" s="438"/>
      <c r="L18" s="439"/>
      <c r="M18" s="438"/>
    </row>
    <row r="19" customFormat="false" ht="15.75" hidden="false" customHeight="false" outlineLevel="0" collapsed="false">
      <c r="A19" s="315"/>
      <c r="B19" s="255"/>
      <c r="C19" s="255"/>
      <c r="D19" s="257"/>
      <c r="E19" s="483"/>
      <c r="F19" s="312"/>
      <c r="G19" s="438"/>
      <c r="H19" s="439"/>
      <c r="I19" s="438"/>
      <c r="L19" s="439"/>
      <c r="M19" s="438"/>
    </row>
    <row r="20" customFormat="false" ht="15.75" hidden="false" customHeight="false" outlineLevel="0" collapsed="false">
      <c r="A20" s="315"/>
      <c r="C20" s="286"/>
      <c r="D20" s="304"/>
      <c r="E20" s="483"/>
      <c r="F20" s="280"/>
      <c r="G20" s="438"/>
      <c r="H20" s="439"/>
      <c r="I20" s="438"/>
    </row>
    <row r="21" customFormat="false" ht="15.75" hidden="false" customHeight="false" outlineLevel="0" collapsed="false">
      <c r="A21" s="484" t="s">
        <v>7961</v>
      </c>
      <c r="B21" s="481" t="s">
        <v>2</v>
      </c>
      <c r="C21" s="437" t="s">
        <v>3</v>
      </c>
      <c r="D21" s="437" t="s">
        <v>4</v>
      </c>
      <c r="E21" s="483" t="s">
        <v>8107</v>
      </c>
      <c r="F21" s="437" t="s">
        <v>4</v>
      </c>
      <c r="G21" s="438"/>
      <c r="H21" s="439"/>
      <c r="I21" s="438"/>
    </row>
    <row r="22" customFormat="false" ht="15.75" hidden="false" customHeight="false" outlineLevel="0" collapsed="false">
      <c r="A22" s="438"/>
      <c r="B22" s="485" t="s">
        <v>8108</v>
      </c>
      <c r="C22" s="255" t="n">
        <v>3</v>
      </c>
      <c r="D22" s="304" t="s">
        <v>61</v>
      </c>
      <c r="E22" s="483" t="n">
        <f aca="false">C22*E$28/C$28</f>
        <v>15</v>
      </c>
      <c r="F22" s="280" t="s">
        <v>61</v>
      </c>
      <c r="G22" s="438"/>
      <c r="H22" s="439"/>
      <c r="I22" s="438"/>
    </row>
    <row r="23" customFormat="false" ht="15.75" hidden="false" customHeight="false" outlineLevel="0" collapsed="false">
      <c r="A23" s="438"/>
      <c r="B23" s="485" t="s">
        <v>682</v>
      </c>
      <c r="C23" s="486" t="n">
        <v>7</v>
      </c>
      <c r="D23" s="487" t="s">
        <v>61</v>
      </c>
      <c r="E23" s="483" t="n">
        <f aca="false">C23*E$28/C$28</f>
        <v>35</v>
      </c>
      <c r="F23" s="488" t="s">
        <v>61</v>
      </c>
      <c r="G23" s="438"/>
      <c r="H23" s="439"/>
      <c r="I23" s="438"/>
    </row>
    <row r="24" customFormat="false" ht="15.75" hidden="false" customHeight="false" outlineLevel="0" collapsed="false">
      <c r="A24" s="255"/>
      <c r="B24" s="255" t="s">
        <v>7963</v>
      </c>
      <c r="C24" s="255" t="n">
        <v>2</v>
      </c>
      <c r="D24" s="257" t="s">
        <v>61</v>
      </c>
      <c r="E24" s="483" t="n">
        <f aca="false">C24*E$28/C$28</f>
        <v>10</v>
      </c>
      <c r="F24" s="312" t="s">
        <v>61</v>
      </c>
      <c r="G24" s="438"/>
      <c r="H24" s="439"/>
      <c r="I24" s="438"/>
    </row>
    <row r="25" customFormat="false" ht="15.75" hidden="false" customHeight="false" outlineLevel="0" collapsed="false">
      <c r="A25" s="315"/>
      <c r="B25" s="255" t="s">
        <v>7964</v>
      </c>
      <c r="C25" s="255" t="n">
        <v>0.75</v>
      </c>
      <c r="D25" s="304" t="s">
        <v>68</v>
      </c>
      <c r="E25" s="483" t="n">
        <f aca="false">C25*E$28/C$28</f>
        <v>4</v>
      </c>
      <c r="F25" s="280" t="s">
        <v>68</v>
      </c>
      <c r="G25" s="438"/>
      <c r="H25" s="439"/>
      <c r="I25" s="438"/>
    </row>
    <row r="26" customFormat="false" ht="15.75" hidden="false" customHeight="false" outlineLevel="0" collapsed="false">
      <c r="A26" s="315"/>
      <c r="B26" s="489" t="s">
        <v>7965</v>
      </c>
      <c r="C26" s="255" t="n">
        <v>0.75</v>
      </c>
      <c r="D26" s="490" t="s">
        <v>13</v>
      </c>
      <c r="E26" s="483" t="n">
        <f aca="false">C26*E$28/C$28</f>
        <v>4</v>
      </c>
      <c r="F26" s="491" t="s">
        <v>13</v>
      </c>
      <c r="G26" s="438"/>
      <c r="H26" s="439"/>
      <c r="I26" s="438"/>
    </row>
    <row r="27" customFormat="false" ht="15.75" hidden="false" customHeight="false" outlineLevel="0" collapsed="false">
      <c r="A27" s="315"/>
      <c r="B27" s="255" t="s">
        <v>571</v>
      </c>
      <c r="C27" s="255" t="n">
        <v>1</v>
      </c>
      <c r="D27" s="304" t="s">
        <v>61</v>
      </c>
      <c r="E27" s="483" t="n">
        <f aca="false">C27*E$28/C$28</f>
        <v>5</v>
      </c>
      <c r="F27" s="280" t="s">
        <v>61</v>
      </c>
      <c r="G27" s="438"/>
      <c r="H27" s="439"/>
      <c r="I27" s="438"/>
    </row>
    <row r="28" customFormat="false" ht="15.75" hidden="false" customHeight="false" outlineLevel="0" collapsed="false">
      <c r="A28" s="315"/>
      <c r="B28" s="255" t="s">
        <v>7690</v>
      </c>
      <c r="C28" s="255" t="n">
        <v>2</v>
      </c>
      <c r="D28" s="257" t="s">
        <v>27</v>
      </c>
      <c r="E28" s="483" t="n">
        <v>10</v>
      </c>
      <c r="F28" s="312" t="s">
        <v>27</v>
      </c>
      <c r="G28" s="438"/>
      <c r="H28" s="439"/>
      <c r="I28" s="438"/>
    </row>
    <row r="29" customFormat="false" ht="15.75" hidden="false" customHeight="false" outlineLevel="0" collapsed="false">
      <c r="A29" s="315"/>
      <c r="B29" s="255"/>
      <c r="C29" s="255"/>
      <c r="D29" s="257"/>
      <c r="E29" s="483"/>
      <c r="F29" s="312"/>
      <c r="G29" s="438"/>
      <c r="H29" s="439"/>
      <c r="I29" s="438"/>
    </row>
    <row r="30" customFormat="false" ht="14.45" hidden="false" customHeight="true" outlineLevel="0" collapsed="false">
      <c r="A30" s="281" t="s">
        <v>8109</v>
      </c>
      <c r="B30" s="282" t="s">
        <v>2</v>
      </c>
      <c r="C30" s="297" t="s">
        <v>3</v>
      </c>
      <c r="D30" s="297" t="s">
        <v>4</v>
      </c>
      <c r="E30" s="297" t="s">
        <v>8110</v>
      </c>
      <c r="F30" s="297" t="s">
        <v>4</v>
      </c>
    </row>
    <row r="31" customFormat="false" ht="15" hidden="false" customHeight="false" outlineLevel="0" collapsed="false">
      <c r="A31" s="281"/>
      <c r="B31" s="262" t="s">
        <v>7856</v>
      </c>
      <c r="C31" s="294" t="n">
        <v>6.3</v>
      </c>
      <c r="D31" s="294" t="s">
        <v>7</v>
      </c>
      <c r="E31" s="294" t="n">
        <f aca="false">C31*E$49/C$49</f>
        <v>63</v>
      </c>
      <c r="F31" s="294" t="s">
        <v>7</v>
      </c>
    </row>
    <row r="32" customFormat="false" ht="15" hidden="false" customHeight="false" outlineLevel="0" collapsed="false">
      <c r="A32" s="294"/>
      <c r="B32" s="262" t="s">
        <v>9</v>
      </c>
      <c r="C32" s="294" t="n">
        <v>3.5</v>
      </c>
      <c r="D32" s="294" t="s">
        <v>7</v>
      </c>
      <c r="E32" s="294" t="n">
        <f aca="false">C32*E$49/C$49</f>
        <v>35</v>
      </c>
      <c r="F32" s="294" t="s">
        <v>7</v>
      </c>
    </row>
    <row r="33" customFormat="false" ht="15" hidden="false" customHeight="false" outlineLevel="0" collapsed="false">
      <c r="A33" s="294"/>
      <c r="B33" s="262" t="s">
        <v>22</v>
      </c>
      <c r="C33" s="294" t="n">
        <v>0.525</v>
      </c>
      <c r="D33" s="294" t="s">
        <v>7</v>
      </c>
      <c r="E33" s="294" t="n">
        <f aca="false">C33*E$49/C$49</f>
        <v>5.25</v>
      </c>
      <c r="F33" s="294" t="s">
        <v>7</v>
      </c>
    </row>
    <row r="34" customFormat="false" ht="15" hidden="false" customHeight="false" outlineLevel="0" collapsed="false">
      <c r="A34" s="294"/>
      <c r="B34" s="262" t="s">
        <v>37</v>
      </c>
      <c r="C34" s="294" t="n">
        <v>0.7</v>
      </c>
      <c r="D34" s="294" t="s">
        <v>20</v>
      </c>
      <c r="E34" s="294" t="n">
        <f aca="false">C34*E$49/C$49</f>
        <v>7</v>
      </c>
      <c r="F34" s="294" t="s">
        <v>20</v>
      </c>
    </row>
    <row r="35" customFormat="false" ht="15" hidden="false" customHeight="false" outlineLevel="0" collapsed="false">
      <c r="A35" s="262"/>
      <c r="B35" s="262" t="s">
        <v>570</v>
      </c>
      <c r="C35" s="220" t="n">
        <v>0.35</v>
      </c>
      <c r="D35" s="221" t="s">
        <v>20</v>
      </c>
      <c r="E35" s="294" t="n">
        <f aca="false">C35*E$49/C$49</f>
        <v>4</v>
      </c>
      <c r="F35" s="221" t="s">
        <v>20</v>
      </c>
      <c r="G35" s="1"/>
      <c r="H35" s="1"/>
    </row>
    <row r="36" customFormat="false" ht="15" hidden="false" customHeight="false" outlineLevel="0" collapsed="false">
      <c r="A36" s="262"/>
      <c r="B36" s="262" t="s">
        <v>14</v>
      </c>
      <c r="C36" s="220" t="n">
        <v>0.35</v>
      </c>
      <c r="D36" s="221" t="s">
        <v>20</v>
      </c>
      <c r="E36" s="294" t="n">
        <f aca="false">C36*E$49/C$49</f>
        <v>4</v>
      </c>
      <c r="F36" s="221" t="s">
        <v>20</v>
      </c>
      <c r="G36" s="1"/>
      <c r="H36" s="1"/>
    </row>
    <row r="37" customFormat="false" ht="15" hidden="false" customHeight="false" outlineLevel="0" collapsed="false">
      <c r="A37" s="262"/>
      <c r="B37" s="262" t="s">
        <v>562</v>
      </c>
      <c r="C37" s="220" t="n">
        <v>0.35</v>
      </c>
      <c r="D37" s="221" t="s">
        <v>20</v>
      </c>
      <c r="E37" s="294" t="n">
        <f aca="false">C37*E$49/C$49</f>
        <v>4</v>
      </c>
      <c r="F37" s="221" t="s">
        <v>20</v>
      </c>
      <c r="G37" s="1"/>
      <c r="H37" s="1"/>
    </row>
    <row r="38" customFormat="false" ht="15" hidden="false" customHeight="false" outlineLevel="0" collapsed="false">
      <c r="A38" s="262"/>
      <c r="B38" s="262" t="s">
        <v>16</v>
      </c>
      <c r="C38" s="220" t="n">
        <v>0.7</v>
      </c>
      <c r="D38" s="221" t="s">
        <v>20</v>
      </c>
      <c r="E38" s="294" t="n">
        <f aca="false">C38*E$49/C$49</f>
        <v>7</v>
      </c>
      <c r="F38" s="221" t="s">
        <v>20</v>
      </c>
      <c r="G38" s="1"/>
      <c r="H38" s="1"/>
    </row>
    <row r="39" customFormat="false" ht="15" hidden="false" customHeight="false" outlineLevel="0" collapsed="false">
      <c r="A39" s="262"/>
      <c r="B39" s="262" t="s">
        <v>17</v>
      </c>
      <c r="C39" s="220" t="n">
        <v>1.4</v>
      </c>
      <c r="D39" s="221" t="s">
        <v>20</v>
      </c>
      <c r="E39" s="294" t="n">
        <f aca="false">C39*E$49/C$49</f>
        <v>14</v>
      </c>
      <c r="F39" s="221" t="s">
        <v>20</v>
      </c>
      <c r="G39" s="1"/>
      <c r="H39" s="1"/>
    </row>
    <row r="40" customFormat="false" ht="15" hidden="false" customHeight="false" outlineLevel="0" collapsed="false">
      <c r="A40" s="262"/>
      <c r="B40" s="262" t="s">
        <v>15</v>
      </c>
      <c r="C40" s="220" t="n">
        <v>0.7</v>
      </c>
      <c r="D40" s="221" t="s">
        <v>20</v>
      </c>
      <c r="E40" s="294" t="n">
        <f aca="false">C40*E$49/C$49</f>
        <v>7</v>
      </c>
      <c r="F40" s="221" t="s">
        <v>20</v>
      </c>
      <c r="G40" s="1"/>
      <c r="H40" s="1"/>
    </row>
    <row r="41" customFormat="false" ht="15" hidden="false" customHeight="false" outlineLevel="0" collapsed="false">
      <c r="A41" s="262"/>
      <c r="B41" s="262" t="s">
        <v>747</v>
      </c>
      <c r="C41" s="220" t="n">
        <v>1.4</v>
      </c>
      <c r="D41" s="221" t="s">
        <v>20</v>
      </c>
      <c r="E41" s="294" t="n">
        <f aca="false">C41*E$49/C$49</f>
        <v>14</v>
      </c>
      <c r="F41" s="221" t="s">
        <v>20</v>
      </c>
      <c r="G41" s="1"/>
      <c r="H41" s="1"/>
    </row>
    <row r="42" customFormat="false" ht="15" hidden="false" customHeight="false" outlineLevel="0" collapsed="false">
      <c r="A42" s="262"/>
      <c r="B42" s="262" t="s">
        <v>539</v>
      </c>
      <c r="C42" s="220" t="n">
        <v>2.8</v>
      </c>
      <c r="D42" s="221" t="s">
        <v>107</v>
      </c>
      <c r="E42" s="294" t="n">
        <f aca="false">C42*E$49/C$49</f>
        <v>28</v>
      </c>
      <c r="F42" s="221" t="s">
        <v>107</v>
      </c>
      <c r="G42" s="1"/>
      <c r="H42" s="1"/>
    </row>
    <row r="43" customFormat="false" ht="15" hidden="false" customHeight="false" outlineLevel="0" collapsed="false">
      <c r="A43" s="262"/>
      <c r="B43" s="262" t="s">
        <v>7985</v>
      </c>
      <c r="C43" s="220" t="n">
        <v>1.05</v>
      </c>
      <c r="D43" s="221" t="s">
        <v>20</v>
      </c>
      <c r="E43" s="294" t="n">
        <f aca="false">C43*E$49/C$49</f>
        <v>11</v>
      </c>
      <c r="F43" s="221" t="s">
        <v>20</v>
      </c>
      <c r="G43" s="1"/>
      <c r="H43" s="1"/>
      <c r="J43" s="1"/>
    </row>
    <row r="44" customFormat="false" ht="15" hidden="false" customHeight="false" outlineLevel="0" collapsed="false">
      <c r="A44" s="262"/>
      <c r="B44" s="262" t="s">
        <v>8111</v>
      </c>
      <c r="C44" s="220" t="n">
        <v>0.7</v>
      </c>
      <c r="D44" s="221" t="s">
        <v>20</v>
      </c>
      <c r="E44" s="294" t="n">
        <f aca="false">C44*E$49/C$49</f>
        <v>7</v>
      </c>
      <c r="F44" s="221" t="s">
        <v>20</v>
      </c>
      <c r="G44" s="1"/>
      <c r="H44" s="1"/>
      <c r="J44" s="1"/>
    </row>
    <row r="45" customFormat="false" ht="15" hidden="false" customHeight="false" outlineLevel="0" collapsed="false">
      <c r="A45" s="262"/>
      <c r="B45" s="262" t="s">
        <v>7823</v>
      </c>
      <c r="C45" s="220" t="n">
        <v>0.525</v>
      </c>
      <c r="D45" s="221" t="s">
        <v>7</v>
      </c>
      <c r="E45" s="294" t="n">
        <f aca="false">C45*E$49/C$49</f>
        <v>5</v>
      </c>
      <c r="F45" s="221" t="s">
        <v>7</v>
      </c>
      <c r="G45" s="1"/>
      <c r="H45" s="1"/>
      <c r="J45" s="1"/>
    </row>
    <row r="46" customFormat="false" ht="15" hidden="false" customHeight="false" outlineLevel="0" collapsed="false">
      <c r="A46" s="262"/>
      <c r="B46" s="262" t="s">
        <v>32</v>
      </c>
      <c r="C46" s="220" t="n">
        <v>1.75</v>
      </c>
      <c r="D46" s="221" t="s">
        <v>20</v>
      </c>
      <c r="E46" s="294" t="n">
        <f aca="false">C46*E$49/C$49</f>
        <v>18</v>
      </c>
      <c r="F46" s="221" t="s">
        <v>20</v>
      </c>
      <c r="G46" s="1"/>
      <c r="H46" s="1"/>
      <c r="J46" s="1"/>
    </row>
    <row r="47" customFormat="false" ht="15" hidden="false" customHeight="false" outlineLevel="0" collapsed="false">
      <c r="A47" s="262"/>
      <c r="B47" s="262" t="s">
        <v>75</v>
      </c>
      <c r="C47" s="220" t="n">
        <v>2.1</v>
      </c>
      <c r="D47" s="221" t="s">
        <v>13</v>
      </c>
      <c r="E47" s="294" t="n">
        <f aca="false">C47*E$49/C$49</f>
        <v>21</v>
      </c>
      <c r="F47" s="221" t="s">
        <v>13</v>
      </c>
      <c r="G47" s="1"/>
      <c r="H47" s="1"/>
      <c r="J47" s="1"/>
    </row>
    <row r="48" customFormat="false" ht="15" hidden="false" customHeight="false" outlineLevel="0" collapsed="false">
      <c r="A48" s="262"/>
      <c r="B48" s="282" t="s">
        <v>26</v>
      </c>
      <c r="C48" s="258" t="n">
        <v>0.98</v>
      </c>
      <c r="D48" s="295" t="s">
        <v>27</v>
      </c>
      <c r="E48" s="294" t="n">
        <f aca="false">C48*E$49/C$49</f>
        <v>10</v>
      </c>
      <c r="F48" s="295" t="s">
        <v>13</v>
      </c>
      <c r="G48" s="1"/>
      <c r="H48" s="1"/>
      <c r="J48" s="1"/>
    </row>
    <row r="49" customFormat="false" ht="15" hidden="false" customHeight="false" outlineLevel="0" collapsed="false">
      <c r="A49" s="262"/>
      <c r="B49" s="282" t="s">
        <v>26</v>
      </c>
      <c r="C49" s="258" t="n">
        <v>35</v>
      </c>
      <c r="D49" s="295" t="s">
        <v>13</v>
      </c>
      <c r="E49" s="492" t="n">
        <f aca="false">35*10</f>
        <v>350</v>
      </c>
      <c r="F49" s="295" t="s">
        <v>27</v>
      </c>
      <c r="G49" s="1"/>
      <c r="H49" s="1"/>
      <c r="J49" s="1"/>
    </row>
    <row r="50" customFormat="false" ht="15" hidden="false" customHeight="false" outlineLevel="0" collapsed="false">
      <c r="A50" s="262"/>
      <c r="B50" s="262"/>
      <c r="C50" s="294"/>
      <c r="D50" s="225"/>
      <c r="E50" s="262"/>
      <c r="F50" s="262"/>
      <c r="G50" s="1"/>
      <c r="H50" s="1"/>
      <c r="J50" s="1"/>
      <c r="N50" s="1"/>
      <c r="O50" s="1"/>
    </row>
    <row r="51" customFormat="false" ht="15" hidden="false" customHeight="false" outlineLevel="0" collapsed="false">
      <c r="A51" s="262"/>
      <c r="B51" s="262"/>
      <c r="C51" s="294"/>
      <c r="D51" s="225"/>
      <c r="E51" s="262"/>
      <c r="F51" s="262"/>
      <c r="N51" s="231" t="s">
        <v>7824</v>
      </c>
      <c r="O51" s="1"/>
    </row>
    <row r="52" customFormat="false" ht="18.75" hidden="false" customHeight="false" outlineLevel="0" collapsed="false">
      <c r="A52" s="418" t="s">
        <v>8112</v>
      </c>
      <c r="B52" s="493" t="s">
        <v>2</v>
      </c>
      <c r="C52" s="324" t="s">
        <v>3</v>
      </c>
      <c r="D52" s="324" t="s">
        <v>4</v>
      </c>
      <c r="E52" s="493" t="s">
        <v>5</v>
      </c>
      <c r="F52" s="324" t="s">
        <v>4</v>
      </c>
    </row>
    <row r="53" customFormat="false" ht="18.75" hidden="false" customHeight="false" outlineLevel="0" collapsed="false">
      <c r="A53" s="419"/>
      <c r="B53" s="262" t="s">
        <v>10</v>
      </c>
      <c r="C53" s="220" t="n">
        <v>14.6666666666667</v>
      </c>
      <c r="D53" s="225" t="s">
        <v>7</v>
      </c>
      <c r="E53" s="220" t="n">
        <f aca="false">C53*E$72/C$72</f>
        <v>147</v>
      </c>
      <c r="F53" s="225" t="s">
        <v>7</v>
      </c>
    </row>
    <row r="54" customFormat="false" ht="18.75" hidden="false" customHeight="false" outlineLevel="0" collapsed="false">
      <c r="A54" s="419"/>
      <c r="B54" s="292" t="s">
        <v>8113</v>
      </c>
      <c r="C54" s="220"/>
      <c r="D54" s="225" t="s">
        <v>13</v>
      </c>
      <c r="E54" s="220"/>
      <c r="F54" s="225"/>
    </row>
    <row r="55" customFormat="false" ht="15" hidden="false" customHeight="false" outlineLevel="0" collapsed="false">
      <c r="A55" s="262"/>
      <c r="B55" s="262" t="s">
        <v>7818</v>
      </c>
      <c r="C55" s="220" t="n">
        <v>6.66666666666667</v>
      </c>
      <c r="D55" s="225" t="s">
        <v>7</v>
      </c>
      <c r="E55" s="220" t="n">
        <f aca="false">C55*E$72/C$72</f>
        <v>67</v>
      </c>
      <c r="F55" s="225" t="s">
        <v>7</v>
      </c>
      <c r="J55" s="1" t="s">
        <v>7973</v>
      </c>
    </row>
    <row r="56" customFormat="false" ht="15" hidden="false" customHeight="false" outlineLevel="0" collapsed="false">
      <c r="A56" s="262"/>
      <c r="B56" s="292" t="s">
        <v>8114</v>
      </c>
      <c r="C56" s="220"/>
      <c r="D56" s="225" t="s">
        <v>13</v>
      </c>
      <c r="E56" s="220"/>
      <c r="F56" s="225"/>
      <c r="J56" s="1"/>
    </row>
    <row r="57" customFormat="false" ht="15" hidden="false" customHeight="false" outlineLevel="0" collapsed="false">
      <c r="A57" s="262"/>
      <c r="B57" s="262" t="s">
        <v>32</v>
      </c>
      <c r="C57" s="220" t="n">
        <v>1</v>
      </c>
      <c r="D57" s="225" t="s">
        <v>20</v>
      </c>
      <c r="E57" s="220" t="n">
        <f aca="false">C57*E$72/C$72</f>
        <v>10</v>
      </c>
      <c r="F57" s="225" t="s">
        <v>20</v>
      </c>
      <c r="J57" s="1"/>
    </row>
    <row r="58" customFormat="false" ht="15" hidden="false" customHeight="false" outlineLevel="0" collapsed="false">
      <c r="A58" s="262"/>
      <c r="B58" s="262" t="s">
        <v>584</v>
      </c>
      <c r="C58" s="220" t="n">
        <v>0</v>
      </c>
      <c r="D58" s="225"/>
      <c r="E58" s="220" t="n">
        <f aca="false">C58*E$72/C$72</f>
        <v>0</v>
      </c>
      <c r="F58" s="225"/>
      <c r="J58" s="1"/>
    </row>
    <row r="59" customFormat="false" ht="15" hidden="false" customHeight="false" outlineLevel="0" collapsed="false">
      <c r="A59" s="262"/>
      <c r="B59" s="262" t="s">
        <v>22</v>
      </c>
      <c r="C59" s="220" t="n">
        <v>1</v>
      </c>
      <c r="D59" s="225" t="s">
        <v>13</v>
      </c>
      <c r="E59" s="220" t="n">
        <f aca="false">C59*E$72/C$72</f>
        <v>10</v>
      </c>
      <c r="F59" s="225" t="s">
        <v>13</v>
      </c>
      <c r="J59" s="1"/>
    </row>
    <row r="60" customFormat="false" ht="15" hidden="false" customHeight="false" outlineLevel="0" collapsed="false">
      <c r="A60" s="494"/>
      <c r="B60" s="262" t="s">
        <v>391</v>
      </c>
      <c r="C60" s="220" t="n">
        <v>0.333333333333333</v>
      </c>
      <c r="D60" s="225" t="s">
        <v>20</v>
      </c>
      <c r="E60" s="220" t="n">
        <f aca="false">C60*E$72/C$72</f>
        <v>3</v>
      </c>
      <c r="F60" s="225" t="s">
        <v>20</v>
      </c>
      <c r="J60" s="1"/>
    </row>
    <row r="61" customFormat="false" ht="15" hidden="false" customHeight="false" outlineLevel="0" collapsed="false">
      <c r="A61" s="272"/>
      <c r="B61" s="262" t="s">
        <v>765</v>
      </c>
      <c r="C61" s="220" t="n">
        <v>0.666666666666667</v>
      </c>
      <c r="D61" s="225" t="s">
        <v>13</v>
      </c>
      <c r="E61" s="220" t="n">
        <f aca="false">C61*E$72/C$72</f>
        <v>7</v>
      </c>
      <c r="F61" s="225" t="s">
        <v>13</v>
      </c>
      <c r="J61" s="1"/>
    </row>
    <row r="62" customFormat="false" ht="15" hidden="false" customHeight="false" outlineLevel="0" collapsed="false">
      <c r="A62" s="262"/>
      <c r="B62" s="262" t="s">
        <v>8115</v>
      </c>
      <c r="C62" s="220" t="n">
        <v>0.333333333333333</v>
      </c>
      <c r="D62" s="225" t="s">
        <v>20</v>
      </c>
      <c r="E62" s="220" t="n">
        <f aca="false">C62*E$72/C$72</f>
        <v>3</v>
      </c>
      <c r="F62" s="225" t="s">
        <v>20</v>
      </c>
    </row>
    <row r="63" customFormat="false" ht="15" hidden="false" customHeight="false" outlineLevel="0" collapsed="false">
      <c r="A63" s="262"/>
      <c r="B63" s="262" t="s">
        <v>18</v>
      </c>
      <c r="C63" s="220" t="n">
        <v>0.333333333333333</v>
      </c>
      <c r="D63" s="225" t="s">
        <v>13</v>
      </c>
      <c r="E63" s="220" t="n">
        <f aca="false">C63*E$72/C$72</f>
        <v>3</v>
      </c>
      <c r="F63" s="225" t="s">
        <v>13</v>
      </c>
    </row>
    <row r="64" customFormat="false" ht="15" hidden="false" customHeight="false" outlineLevel="0" collapsed="false">
      <c r="A64" s="262"/>
      <c r="B64" s="262" t="s">
        <v>15</v>
      </c>
      <c r="C64" s="220" t="n">
        <v>0.666666666666667</v>
      </c>
      <c r="D64" s="225" t="s">
        <v>20</v>
      </c>
      <c r="E64" s="220" t="n">
        <f aca="false">C64*E$72/C$72</f>
        <v>7</v>
      </c>
      <c r="F64" s="225" t="s">
        <v>20</v>
      </c>
    </row>
    <row r="65" customFormat="false" ht="15" hidden="false" customHeight="false" outlineLevel="0" collapsed="false">
      <c r="A65" s="262"/>
      <c r="B65" s="262" t="s">
        <v>21</v>
      </c>
      <c r="C65" s="220" t="n">
        <v>3.33333333333333</v>
      </c>
      <c r="D65" s="225" t="s">
        <v>7</v>
      </c>
      <c r="E65" s="220" t="n">
        <f aca="false">C65*E$72/C$72</f>
        <v>33</v>
      </c>
      <c r="F65" s="225" t="s">
        <v>7</v>
      </c>
    </row>
    <row r="66" customFormat="false" ht="15" hidden="false" customHeight="false" outlineLevel="0" collapsed="false">
      <c r="A66" s="262"/>
      <c r="B66" s="262" t="s">
        <v>40</v>
      </c>
      <c r="C66" s="220" t="n">
        <v>0.666666666666667</v>
      </c>
      <c r="D66" s="225" t="s">
        <v>7</v>
      </c>
      <c r="E66" s="220" t="n">
        <f aca="false">C66*E$72/C$72</f>
        <v>7</v>
      </c>
      <c r="F66" s="225" t="s">
        <v>7</v>
      </c>
    </row>
    <row r="67" customFormat="false" ht="15" hidden="false" customHeight="false" outlineLevel="0" collapsed="false">
      <c r="A67" s="262"/>
      <c r="B67" s="262" t="s">
        <v>597</v>
      </c>
      <c r="C67" s="220" t="n">
        <v>1.33333333333333</v>
      </c>
      <c r="D67" s="225" t="s">
        <v>20</v>
      </c>
      <c r="E67" s="220" t="n">
        <f aca="false">C67*E$72/C$72</f>
        <v>13</v>
      </c>
      <c r="F67" s="225" t="s">
        <v>20</v>
      </c>
    </row>
    <row r="68" customFormat="false" ht="15" hidden="false" customHeight="false" outlineLevel="0" collapsed="false">
      <c r="A68" s="262"/>
      <c r="B68" s="262" t="s">
        <v>8116</v>
      </c>
      <c r="C68" s="220" t="n">
        <v>0.666666666666667</v>
      </c>
      <c r="D68" s="225" t="s">
        <v>20</v>
      </c>
      <c r="E68" s="220" t="n">
        <f aca="false">C68*E$72/C$72</f>
        <v>7</v>
      </c>
      <c r="F68" s="225" t="s">
        <v>20</v>
      </c>
    </row>
    <row r="69" customFormat="false" ht="15" hidden="false" customHeight="false" outlineLevel="0" collapsed="false">
      <c r="A69" s="262"/>
      <c r="B69" s="262" t="s">
        <v>556</v>
      </c>
      <c r="C69" s="220" t="n">
        <v>0.333333333333333</v>
      </c>
      <c r="D69" s="225" t="s">
        <v>7</v>
      </c>
      <c r="E69" s="220" t="n">
        <f aca="false">C69*E$72/C$72</f>
        <v>3</v>
      </c>
      <c r="F69" s="225" t="s">
        <v>7</v>
      </c>
    </row>
    <row r="70" customFormat="false" ht="15" hidden="false" customHeight="false" outlineLevel="0" collapsed="false">
      <c r="A70" s="262"/>
      <c r="B70" s="262" t="s">
        <v>75</v>
      </c>
      <c r="C70" s="220" t="n">
        <v>0.666666666666667</v>
      </c>
      <c r="D70" s="225" t="s">
        <v>13</v>
      </c>
      <c r="E70" s="220" t="n">
        <f aca="false">C70*E$72/C$72</f>
        <v>7</v>
      </c>
      <c r="F70" s="225" t="s">
        <v>13</v>
      </c>
    </row>
    <row r="71" customFormat="false" ht="15" hidden="false" customHeight="false" outlineLevel="0" collapsed="false">
      <c r="A71" s="262"/>
      <c r="B71" s="282" t="s">
        <v>26</v>
      </c>
      <c r="C71" s="258" t="n">
        <v>1</v>
      </c>
      <c r="D71" s="326" t="s">
        <v>27</v>
      </c>
      <c r="E71" s="258" t="n">
        <f aca="false">C71*E$72/C$72</f>
        <v>10</v>
      </c>
      <c r="F71" s="326" t="s">
        <v>27</v>
      </c>
    </row>
    <row r="72" customFormat="false" ht="15" hidden="false" customHeight="false" outlineLevel="0" collapsed="false">
      <c r="A72" s="262"/>
      <c r="B72" s="282" t="s">
        <v>26</v>
      </c>
      <c r="C72" s="258" t="n">
        <v>35</v>
      </c>
      <c r="D72" s="326" t="s">
        <v>13</v>
      </c>
      <c r="E72" s="416" t="n">
        <f aca="false">35*10</f>
        <v>350</v>
      </c>
      <c r="F72" s="326" t="s">
        <v>13</v>
      </c>
    </row>
    <row r="73" customFormat="false" ht="15" hidden="false" customHeight="false" outlineLevel="0" collapsed="false">
      <c r="A73" s="262"/>
      <c r="B73" s="262"/>
      <c r="C73" s="294"/>
      <c r="D73" s="225"/>
      <c r="E73" s="282"/>
      <c r="F73" s="282"/>
    </row>
    <row r="74" customFormat="false" ht="15" hidden="false" customHeight="false" outlineLevel="0" collapsed="false">
      <c r="A74" s="220"/>
      <c r="B74" s="262"/>
      <c r="C74" s="294"/>
      <c r="D74" s="225"/>
      <c r="E74" s="262"/>
      <c r="F74" s="220"/>
      <c r="G74" s="4"/>
      <c r="N74" s="285"/>
      <c r="O74" s="285"/>
      <c r="P74" s="353"/>
    </row>
    <row r="75" customFormat="false" ht="15" hidden="false" customHeight="false" outlineLevel="0" collapsed="false">
      <c r="A75" s="220"/>
      <c r="B75" s="262"/>
      <c r="C75" s="220"/>
      <c r="D75" s="225"/>
      <c r="E75" s="262"/>
      <c r="F75" s="220"/>
      <c r="G75" s="4"/>
      <c r="N75" s="231" t="s">
        <v>7824</v>
      </c>
      <c r="O75" s="286"/>
      <c r="P75" s="4"/>
    </row>
    <row r="76" customFormat="false" ht="14.45" hidden="false" customHeight="true" outlineLevel="0" collapsed="false">
      <c r="A76" s="327" t="s">
        <v>8117</v>
      </c>
      <c r="B76" s="262" t="s">
        <v>8118</v>
      </c>
      <c r="C76" s="220"/>
      <c r="D76" s="225"/>
      <c r="E76" s="262"/>
      <c r="F76" s="220"/>
      <c r="G76" s="4"/>
    </row>
    <row r="77" customFormat="false" ht="15" hidden="false" customHeight="false" outlineLevel="0" collapsed="false">
      <c r="A77" s="327"/>
      <c r="B77" s="282" t="s">
        <v>8119</v>
      </c>
      <c r="C77" s="258" t="n">
        <v>100</v>
      </c>
      <c r="D77" s="326" t="n">
        <f aca="false">C77*125</f>
        <v>12500</v>
      </c>
      <c r="E77" s="282" t="s">
        <v>8120</v>
      </c>
      <c r="F77" s="220"/>
      <c r="G77" s="4"/>
    </row>
    <row r="78" customFormat="false" ht="15" hidden="false" customHeight="false" outlineLevel="0" collapsed="false">
      <c r="A78" s="220"/>
      <c r="B78" s="282" t="s">
        <v>8121</v>
      </c>
      <c r="C78" s="258" t="n">
        <v>150</v>
      </c>
      <c r="D78" s="326" t="n">
        <f aca="false">(C78*D77)/C77</f>
        <v>18750</v>
      </c>
      <c r="E78" s="282" t="s">
        <v>8120</v>
      </c>
      <c r="F78" s="220"/>
      <c r="G78" s="4"/>
    </row>
    <row r="79" customFormat="false" ht="15" hidden="false" customHeight="false" outlineLevel="0" collapsed="false">
      <c r="A79" s="220"/>
      <c r="B79" s="262" t="s">
        <v>8122</v>
      </c>
      <c r="C79" s="294" t="n">
        <v>2</v>
      </c>
      <c r="D79" s="225" t="n">
        <f aca="false">(C79*D78)/C78</f>
        <v>250</v>
      </c>
      <c r="E79" s="262" t="s">
        <v>7</v>
      </c>
      <c r="F79" s="220"/>
      <c r="G79" s="4"/>
    </row>
    <row r="80" customFormat="false" ht="15" hidden="false" customHeight="false" outlineLevel="0" collapsed="false">
      <c r="A80" s="258"/>
      <c r="B80" s="282" t="s">
        <v>8123</v>
      </c>
      <c r="C80" s="294" t="n">
        <v>150</v>
      </c>
      <c r="D80" s="326" t="n">
        <f aca="false">(C80*D79)/C79</f>
        <v>18750</v>
      </c>
      <c r="E80" s="262" t="s">
        <v>109</v>
      </c>
      <c r="F80" s="258"/>
      <c r="G80" s="353"/>
    </row>
    <row r="81" customFormat="false" ht="15" hidden="false" customHeight="false" outlineLevel="0" collapsed="false">
      <c r="A81" s="258"/>
      <c r="B81" s="282" t="s">
        <v>747</v>
      </c>
      <c r="C81" s="294" t="n">
        <v>100</v>
      </c>
      <c r="D81" s="326" t="n">
        <f aca="false">(C81*D80)/C80</f>
        <v>12500</v>
      </c>
      <c r="E81" s="262" t="s">
        <v>109</v>
      </c>
      <c r="F81" s="258"/>
      <c r="G81" s="353"/>
      <c r="H81" s="286"/>
      <c r="I81" s="4"/>
      <c r="J81" s="286"/>
      <c r="K81" s="4"/>
    </row>
    <row r="82" customFormat="false" ht="15" hidden="false" customHeight="false" outlineLevel="0" collapsed="false">
      <c r="A82" s="220"/>
      <c r="B82" s="262" t="s">
        <v>58</v>
      </c>
      <c r="C82" s="294" t="n">
        <v>50</v>
      </c>
      <c r="D82" s="225" t="n">
        <f aca="false">(C82*D81)/C81</f>
        <v>6250</v>
      </c>
      <c r="E82" s="262" t="s">
        <v>143</v>
      </c>
      <c r="F82" s="220"/>
      <c r="G82" s="4"/>
      <c r="H82" s="286"/>
      <c r="I82" s="4"/>
      <c r="J82" s="286"/>
      <c r="K82" s="4"/>
    </row>
    <row r="83" customFormat="false" ht="15" hidden="false" customHeight="false" outlineLevel="0" collapsed="false">
      <c r="A83" s="220"/>
      <c r="B83" s="262" t="s">
        <v>8124</v>
      </c>
      <c r="C83" s="294" t="n">
        <v>0.5</v>
      </c>
      <c r="D83" s="225" t="n">
        <f aca="false">(C83*D82)/C82</f>
        <v>62.5</v>
      </c>
      <c r="E83" s="262" t="s">
        <v>8125</v>
      </c>
      <c r="F83" s="220"/>
      <c r="G83" s="4"/>
      <c r="H83" s="286"/>
      <c r="I83" s="4"/>
      <c r="J83" s="286"/>
      <c r="K83" s="4"/>
    </row>
    <row r="84" customFormat="false" ht="15" hidden="false" customHeight="false" outlineLevel="0" collapsed="false">
      <c r="A84" s="220"/>
      <c r="B84" s="262" t="s">
        <v>564</v>
      </c>
      <c r="C84" s="294" t="n">
        <v>10</v>
      </c>
      <c r="D84" s="225" t="n">
        <f aca="false">(C84*D83)/C83</f>
        <v>1250</v>
      </c>
      <c r="E84" s="262" t="s">
        <v>109</v>
      </c>
      <c r="F84" s="220"/>
      <c r="G84" s="4"/>
      <c r="H84" s="286"/>
      <c r="I84" s="4"/>
      <c r="J84" s="286"/>
      <c r="K84" s="4"/>
    </row>
    <row r="85" customFormat="false" ht="15" hidden="false" customHeight="false" outlineLevel="0" collapsed="false">
      <c r="A85" s="220"/>
      <c r="B85" s="262" t="s">
        <v>8126</v>
      </c>
      <c r="C85" s="294" t="n">
        <v>15</v>
      </c>
      <c r="D85" s="225" t="n">
        <f aca="false">(C85*D84)/C84</f>
        <v>1875</v>
      </c>
      <c r="E85" s="262" t="s">
        <v>109</v>
      </c>
      <c r="F85" s="220"/>
      <c r="G85" s="4"/>
      <c r="H85" s="286"/>
      <c r="I85" s="4"/>
      <c r="J85" s="286"/>
      <c r="K85" s="4"/>
    </row>
    <row r="86" customFormat="false" ht="15" hidden="false" customHeight="false" outlineLevel="0" collapsed="false">
      <c r="A86" s="220"/>
      <c r="B86" s="262" t="s">
        <v>562</v>
      </c>
      <c r="C86" s="294" t="n">
        <v>20</v>
      </c>
      <c r="D86" s="225" t="n">
        <f aca="false">(C86*D85)/C85</f>
        <v>2500</v>
      </c>
      <c r="E86" s="262" t="s">
        <v>109</v>
      </c>
      <c r="F86" s="220"/>
      <c r="G86" s="4"/>
      <c r="H86" s="495"/>
      <c r="I86" s="353"/>
      <c r="J86" s="495"/>
      <c r="K86" s="353"/>
    </row>
    <row r="87" customFormat="false" ht="15" hidden="false" customHeight="false" outlineLevel="0" collapsed="false">
      <c r="A87" s="258"/>
      <c r="B87" s="282" t="s">
        <v>8127</v>
      </c>
      <c r="C87" s="294" t="n">
        <v>35</v>
      </c>
      <c r="D87" s="326" t="n">
        <f aca="false">(C87*D86)/C86</f>
        <v>4375</v>
      </c>
      <c r="E87" s="262" t="s">
        <v>109</v>
      </c>
      <c r="F87" s="258"/>
      <c r="G87" s="353"/>
      <c r="H87" s="495"/>
      <c r="I87" s="353"/>
      <c r="J87" s="496"/>
      <c r="K87" s="353"/>
    </row>
    <row r="88" customFormat="false" ht="15" hidden="false" customHeight="false" outlineLevel="0" collapsed="false">
      <c r="A88" s="258"/>
      <c r="B88" s="282" t="s">
        <v>8128</v>
      </c>
      <c r="C88" s="294" t="n">
        <v>50</v>
      </c>
      <c r="D88" s="326" t="n">
        <f aca="false">(C88*D87)/C87</f>
        <v>6250</v>
      </c>
      <c r="E88" s="262" t="s">
        <v>109</v>
      </c>
      <c r="F88" s="258"/>
      <c r="G88" s="353"/>
    </row>
    <row r="89" customFormat="false" ht="15" hidden="false" customHeight="false" outlineLevel="0" collapsed="false">
      <c r="A89" s="220"/>
      <c r="B89" s="262" t="s">
        <v>8009</v>
      </c>
      <c r="C89" s="294" t="n">
        <v>25</v>
      </c>
      <c r="D89" s="225" t="n">
        <f aca="false">(C89*D88)/C88</f>
        <v>3125</v>
      </c>
      <c r="E89" s="262" t="s">
        <v>109</v>
      </c>
      <c r="F89" s="220"/>
      <c r="G89" s="4"/>
    </row>
    <row r="90" customFormat="false" ht="15" hidden="false" customHeight="false" outlineLevel="0" collapsed="false">
      <c r="A90" s="220"/>
      <c r="B90" s="262" t="s">
        <v>32</v>
      </c>
      <c r="C90" s="294" t="n">
        <v>35</v>
      </c>
      <c r="D90" s="225" t="n">
        <f aca="false">(C90*D89)/C89</f>
        <v>4375</v>
      </c>
      <c r="E90" s="262" t="s">
        <v>109</v>
      </c>
      <c r="F90" s="220"/>
    </row>
    <row r="91" customFormat="false" ht="15" hidden="false" customHeight="false" outlineLevel="0" collapsed="false">
      <c r="A91" s="220"/>
      <c r="B91" s="262" t="s">
        <v>31</v>
      </c>
      <c r="C91" s="294" t="n">
        <v>15</v>
      </c>
      <c r="D91" s="225" t="n">
        <f aca="false">(C91*D90)/C90</f>
        <v>1875</v>
      </c>
      <c r="E91" s="262" t="s">
        <v>109</v>
      </c>
      <c r="F91" s="220"/>
      <c r="G91" s="4"/>
    </row>
    <row r="92" customFormat="false" ht="15" hidden="false" customHeight="false" outlineLevel="0" collapsed="false">
      <c r="A92" s="220"/>
      <c r="B92" s="262" t="s">
        <v>7886</v>
      </c>
      <c r="C92" s="294" t="n">
        <v>16</v>
      </c>
      <c r="D92" s="225" t="n">
        <f aca="false">(C92*D91)/C91</f>
        <v>2000</v>
      </c>
      <c r="E92" s="262" t="s">
        <v>109</v>
      </c>
      <c r="F92" s="220"/>
      <c r="G92" s="4"/>
    </row>
    <row r="93" customFormat="false" ht="15" hidden="false" customHeight="false" outlineLevel="0" collapsed="false">
      <c r="A93" s="220"/>
      <c r="B93" s="262" t="s">
        <v>665</v>
      </c>
      <c r="C93" s="294" t="n">
        <v>0.7</v>
      </c>
      <c r="D93" s="225" t="n">
        <f aca="false">(C93*D92)/C92</f>
        <v>87.5</v>
      </c>
      <c r="E93" s="262" t="s">
        <v>7</v>
      </c>
      <c r="F93" s="220"/>
      <c r="G93" s="4"/>
    </row>
    <row r="94" customFormat="false" ht="15" hidden="false" customHeight="false" outlineLevel="0" collapsed="false">
      <c r="A94" s="258"/>
      <c r="B94" s="282" t="s">
        <v>8129</v>
      </c>
      <c r="C94" s="294" t="n">
        <v>0.1</v>
      </c>
      <c r="D94" s="326" t="n">
        <f aca="false">(C94*D93)/C93</f>
        <v>12.5</v>
      </c>
      <c r="E94" s="262" t="s">
        <v>7</v>
      </c>
      <c r="F94" s="258"/>
      <c r="G94" s="353"/>
    </row>
    <row r="95" customFormat="false" ht="15" hidden="false" customHeight="false" outlineLevel="0" collapsed="false">
      <c r="A95" s="258"/>
      <c r="B95" s="282" t="s">
        <v>746</v>
      </c>
      <c r="C95" s="294" t="n">
        <v>0.2</v>
      </c>
      <c r="D95" s="326" t="n">
        <f aca="false">(C95*D94)/C94</f>
        <v>25</v>
      </c>
      <c r="E95" s="262" t="s">
        <v>7</v>
      </c>
      <c r="F95" s="258"/>
      <c r="G95" s="353"/>
    </row>
    <row r="96" customFormat="false" ht="15" hidden="false" customHeight="false" outlineLevel="0" collapsed="false">
      <c r="A96" s="220"/>
      <c r="B96" s="262" t="s">
        <v>8115</v>
      </c>
      <c r="C96" s="294" t="n">
        <v>5</v>
      </c>
      <c r="D96" s="225" t="n">
        <f aca="false">(C96*D95)/C95</f>
        <v>625</v>
      </c>
      <c r="E96" s="262" t="s">
        <v>109</v>
      </c>
      <c r="F96" s="220"/>
      <c r="G96" s="4"/>
    </row>
    <row r="97" customFormat="false" ht="15" hidden="false" customHeight="false" outlineLevel="0" collapsed="false">
      <c r="A97" s="220"/>
      <c r="B97" s="262" t="s">
        <v>604</v>
      </c>
      <c r="C97" s="294" t="n">
        <v>5</v>
      </c>
      <c r="D97" s="225" t="n">
        <f aca="false">(C97*D96)/C96</f>
        <v>625</v>
      </c>
      <c r="E97" s="262" t="s">
        <v>109</v>
      </c>
      <c r="F97" s="220"/>
      <c r="G97" s="4"/>
      <c r="N97" s="1"/>
      <c r="O97" s="286"/>
      <c r="P97" s="4"/>
    </row>
    <row r="98" customFormat="false" ht="15" hidden="false" customHeight="false" outlineLevel="0" collapsed="false">
      <c r="A98" s="286"/>
      <c r="F98" s="286"/>
      <c r="G98" s="4"/>
      <c r="N98" s="231" t="s">
        <v>7824</v>
      </c>
      <c r="O98" s="1"/>
      <c r="P98" s="4"/>
    </row>
  </sheetData>
  <mergeCells count="2">
    <mergeCell ref="A30:A31"/>
    <mergeCell ref="A76:A77"/>
  </mergeCells>
  <hyperlinks>
    <hyperlink ref="N51" location="'Yatra Menu'!A1" display="Back to Menu"/>
    <hyperlink ref="N75" location="'Yatra Menu'!A1" display="Back to Menu"/>
    <hyperlink ref="N98" location="'Yatra Menu'!A1" display="Back to Menu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36"/>
  <sheetViews>
    <sheetView showFormulas="false" showGridLines="true" showRowColHeaders="true" showZeros="true" rightToLeft="false" tabSelected="false" showOutlineSymbols="true" defaultGridColor="true" view="normal" topLeftCell="A70" colorId="64" zoomScale="85" zoomScaleNormal="85" zoomScalePageLayoutView="100" workbookViewId="0">
      <selection pane="topLeft" activeCell="J139" activeCellId="0" sqref="J139"/>
    </sheetView>
  </sheetViews>
  <sheetFormatPr defaultRowHeight="15" outlineLevelRow="0" outlineLevelCol="0"/>
  <cols>
    <col collapsed="false" customWidth="true" hidden="false" outlineLevel="0" max="1" min="1" style="421" width="16.38"/>
    <col collapsed="false" customWidth="true" hidden="false" outlineLevel="0" max="2" min="2" style="497" width="36.5"/>
    <col collapsed="false" customWidth="true" hidden="false" outlineLevel="0" max="3" min="3" style="498" width="8.38"/>
    <col collapsed="false" customWidth="true" hidden="false" outlineLevel="0" max="4" min="4" style="497" width="7.13"/>
    <col collapsed="false" customWidth="true" hidden="false" outlineLevel="0" max="5" min="5" style="421" width="8.51"/>
    <col collapsed="false" customWidth="true" hidden="false" outlineLevel="0" max="6" min="6" style="200" width="5"/>
    <col collapsed="false" customWidth="true" hidden="false" outlineLevel="0" max="1025" min="7" style="421" width="8.88"/>
  </cols>
  <sheetData>
    <row r="1" customFormat="false" ht="15" hidden="false" customHeight="false" outlineLevel="0" collapsed="false">
      <c r="A1" s="499"/>
      <c r="B1" s="500"/>
      <c r="C1" s="501"/>
      <c r="D1" s="499"/>
      <c r="E1" s="499"/>
      <c r="F1" s="499"/>
      <c r="H1" s="499"/>
    </row>
    <row r="2" customFormat="false" ht="15" hidden="false" customHeight="false" outlineLevel="0" collapsed="false">
      <c r="A2" s="502"/>
      <c r="B2" s="503"/>
      <c r="C2" s="437"/>
      <c r="D2" s="414"/>
      <c r="E2" s="437"/>
      <c r="F2" s="414"/>
      <c r="H2" s="499"/>
    </row>
    <row r="3" customFormat="false" ht="15" hidden="false" customHeight="false" outlineLevel="0" collapsed="false">
      <c r="A3" s="502"/>
      <c r="F3" s="312"/>
      <c r="H3" s="499"/>
    </row>
    <row r="4" customFormat="false" ht="30" hidden="false" customHeight="false" outlineLevel="0" collapsed="false">
      <c r="A4" s="504" t="s">
        <v>8130</v>
      </c>
      <c r="B4" s="505" t="s">
        <v>8131</v>
      </c>
      <c r="C4" s="506" t="n">
        <v>12</v>
      </c>
      <c r="D4" s="507" t="s">
        <v>7</v>
      </c>
      <c r="F4" s="491"/>
      <c r="H4" s="499"/>
    </row>
    <row r="5" customFormat="false" ht="15" hidden="false" customHeight="false" outlineLevel="0" collapsed="false">
      <c r="A5" s="508"/>
      <c r="B5" s="509" t="s">
        <v>553</v>
      </c>
      <c r="C5" s="510" t="n">
        <v>2.5</v>
      </c>
      <c r="D5" s="511" t="s">
        <v>13</v>
      </c>
      <c r="F5" s="312"/>
      <c r="H5" s="499"/>
    </row>
    <row r="6" customFormat="false" ht="15" hidden="false" customHeight="false" outlineLevel="0" collapsed="false">
      <c r="A6" s="508"/>
      <c r="B6" s="509" t="s">
        <v>562</v>
      </c>
      <c r="C6" s="510" t="n">
        <v>0.75</v>
      </c>
      <c r="D6" s="511" t="s">
        <v>20</v>
      </c>
      <c r="F6" s="312"/>
      <c r="H6" s="499"/>
    </row>
    <row r="7" customFormat="false" ht="15" hidden="false" customHeight="false" outlineLevel="0" collapsed="false">
      <c r="A7" s="508"/>
      <c r="B7" s="509" t="s">
        <v>8132</v>
      </c>
      <c r="C7" s="510" t="n">
        <v>1.5</v>
      </c>
      <c r="D7" s="511" t="s">
        <v>20</v>
      </c>
      <c r="F7" s="312"/>
      <c r="H7" s="499"/>
    </row>
    <row r="8" customFormat="false" ht="15" hidden="false" customHeight="false" outlineLevel="0" collapsed="false">
      <c r="A8" s="508"/>
      <c r="B8" s="509" t="s">
        <v>11</v>
      </c>
      <c r="C8" s="510" t="n">
        <v>5</v>
      </c>
      <c r="D8" s="511" t="s">
        <v>7</v>
      </c>
      <c r="F8" s="312"/>
      <c r="H8" s="499"/>
    </row>
    <row r="9" customFormat="false" ht="15" hidden="false" customHeight="false" outlineLevel="0" collapsed="false">
      <c r="A9" s="508"/>
      <c r="B9" s="509" t="s">
        <v>790</v>
      </c>
      <c r="C9" s="510" t="n">
        <v>6</v>
      </c>
      <c r="D9" s="511" t="s">
        <v>7</v>
      </c>
      <c r="F9" s="491"/>
      <c r="H9" s="499"/>
    </row>
    <row r="10" customFormat="false" ht="15" hidden="false" customHeight="false" outlineLevel="0" collapsed="false">
      <c r="A10" s="508"/>
      <c r="B10" s="509" t="s">
        <v>564</v>
      </c>
      <c r="C10" s="510" t="n">
        <v>0.5</v>
      </c>
      <c r="D10" s="511" t="s">
        <v>20</v>
      </c>
      <c r="F10" s="491"/>
      <c r="H10" s="499"/>
    </row>
    <row r="11" customFormat="false" ht="15" hidden="false" customHeight="false" outlineLevel="0" collapsed="false">
      <c r="A11" s="508"/>
      <c r="B11" s="509" t="s">
        <v>21</v>
      </c>
      <c r="C11" s="510" t="n">
        <v>55</v>
      </c>
      <c r="D11" s="511" t="s">
        <v>7</v>
      </c>
      <c r="F11" s="312"/>
      <c r="H11" s="499"/>
    </row>
    <row r="12" customFormat="false" ht="15" hidden="false" customHeight="false" outlineLevel="0" collapsed="false">
      <c r="A12" s="508"/>
      <c r="B12" s="509" t="s">
        <v>8133</v>
      </c>
      <c r="C12" s="510" t="n">
        <v>1.5</v>
      </c>
      <c r="D12" s="511" t="s">
        <v>20</v>
      </c>
      <c r="F12" s="308"/>
      <c r="H12" s="499"/>
    </row>
    <row r="13" customFormat="false" ht="15" hidden="false" customHeight="false" outlineLevel="0" collapsed="false">
      <c r="A13" s="508"/>
      <c r="B13" s="509" t="s">
        <v>57</v>
      </c>
      <c r="C13" s="510" t="n">
        <v>0.75</v>
      </c>
      <c r="D13" s="511" t="s">
        <v>7</v>
      </c>
      <c r="F13" s="312"/>
      <c r="H13" s="499"/>
    </row>
    <row r="14" customFormat="false" ht="15" hidden="false" customHeight="false" outlineLevel="0" collapsed="false">
      <c r="A14" s="508"/>
      <c r="B14" s="509" t="s">
        <v>32</v>
      </c>
      <c r="C14" s="510" t="n">
        <v>5</v>
      </c>
      <c r="D14" s="511" t="s">
        <v>20</v>
      </c>
      <c r="F14" s="312"/>
      <c r="H14" s="499"/>
    </row>
    <row r="15" customFormat="false" ht="15" hidden="false" customHeight="false" outlineLevel="0" collapsed="false">
      <c r="A15" s="508"/>
      <c r="B15" s="509" t="s">
        <v>8134</v>
      </c>
      <c r="C15" s="510" t="n">
        <v>6</v>
      </c>
      <c r="D15" s="511" t="s">
        <v>13</v>
      </c>
      <c r="F15" s="312"/>
      <c r="H15" s="499"/>
    </row>
    <row r="16" customFormat="false" ht="15" hidden="false" customHeight="false" outlineLevel="0" collapsed="false">
      <c r="A16" s="508"/>
      <c r="B16" s="509" t="s">
        <v>8135</v>
      </c>
      <c r="C16" s="510" t="n">
        <v>90</v>
      </c>
      <c r="D16" s="511" t="s">
        <v>7827</v>
      </c>
      <c r="F16" s="312"/>
      <c r="H16" s="499"/>
    </row>
    <row r="17" customFormat="false" ht="15" hidden="false" customHeight="false" outlineLevel="0" collapsed="false">
      <c r="A17" s="512"/>
      <c r="B17" s="513" t="s">
        <v>8135</v>
      </c>
      <c r="C17" s="514" t="n">
        <v>3</v>
      </c>
      <c r="D17" s="515" t="s">
        <v>47</v>
      </c>
      <c r="E17" s="255"/>
      <c r="F17" s="312"/>
      <c r="H17" s="499"/>
    </row>
    <row r="18" customFormat="false" ht="15" hidden="false" customHeight="false" outlineLevel="0" collapsed="false">
      <c r="A18" s="489"/>
      <c r="B18" s="490"/>
      <c r="C18" s="516"/>
      <c r="D18" s="491"/>
      <c r="E18" s="489"/>
      <c r="F18" s="489"/>
      <c r="H18" s="499"/>
    </row>
    <row r="19" customFormat="false" ht="14.45" hidden="false" customHeight="true" outlineLevel="0" collapsed="false">
      <c r="A19" s="517" t="s">
        <v>8136</v>
      </c>
      <c r="B19" s="518" t="s">
        <v>2</v>
      </c>
      <c r="C19" s="319" t="s">
        <v>3</v>
      </c>
      <c r="D19" s="318" t="s">
        <v>4</v>
      </c>
      <c r="E19" s="519" t="s">
        <v>5</v>
      </c>
      <c r="F19" s="519" t="s">
        <v>4</v>
      </c>
      <c r="H19" s="499"/>
    </row>
    <row r="20" customFormat="false" ht="15" hidden="false" customHeight="false" outlineLevel="0" collapsed="false">
      <c r="A20" s="517"/>
      <c r="B20" s="401" t="s">
        <v>8137</v>
      </c>
      <c r="C20" s="520" t="n">
        <v>4</v>
      </c>
      <c r="D20" s="321" t="s">
        <v>7</v>
      </c>
      <c r="E20" s="264" t="n">
        <f aca="false">C20*E$30/C$30</f>
        <v>40</v>
      </c>
      <c r="F20" s="321" t="s">
        <v>7</v>
      </c>
      <c r="H20" s="499"/>
    </row>
    <row r="21" customFormat="false" ht="15" hidden="false" customHeight="false" outlineLevel="0" collapsed="false">
      <c r="A21" s="223"/>
      <c r="B21" s="401" t="s">
        <v>635</v>
      </c>
      <c r="C21" s="520" t="n">
        <v>0.3</v>
      </c>
      <c r="D21" s="321" t="s">
        <v>20</v>
      </c>
      <c r="E21" s="264" t="n">
        <f aca="false">C21*E$30/C$30</f>
        <v>3</v>
      </c>
      <c r="F21" s="321" t="s">
        <v>20</v>
      </c>
      <c r="H21" s="499"/>
    </row>
    <row r="22" customFormat="false" ht="15" hidden="false" customHeight="false" outlineLevel="0" collapsed="false">
      <c r="A22" s="223"/>
      <c r="B22" s="401" t="s">
        <v>32</v>
      </c>
      <c r="C22" s="520" t="n">
        <v>1.6</v>
      </c>
      <c r="D22" s="321" t="s">
        <v>20</v>
      </c>
      <c r="E22" s="264" t="n">
        <f aca="false">C22*E$30/C$30</f>
        <v>16</v>
      </c>
      <c r="F22" s="321" t="s">
        <v>20</v>
      </c>
      <c r="H22" s="499"/>
    </row>
    <row r="23" customFormat="false" ht="15" hidden="false" customHeight="false" outlineLevel="0" collapsed="false">
      <c r="A23" s="223"/>
      <c r="B23" s="401" t="s">
        <v>8138</v>
      </c>
      <c r="C23" s="520" t="n">
        <v>5</v>
      </c>
      <c r="D23" s="321" t="s">
        <v>13</v>
      </c>
      <c r="E23" s="264" t="n">
        <f aca="false">C23*E$30/C$30</f>
        <v>50</v>
      </c>
      <c r="F23" s="321" t="s">
        <v>13</v>
      </c>
      <c r="H23" s="499"/>
    </row>
    <row r="24" customFormat="false" ht="15" hidden="false" customHeight="false" outlineLevel="0" collapsed="false">
      <c r="A24" s="223"/>
      <c r="B24" s="401" t="s">
        <v>571</v>
      </c>
      <c r="C24" s="520" t="n">
        <v>0.8</v>
      </c>
      <c r="D24" s="321" t="s">
        <v>7</v>
      </c>
      <c r="E24" s="264" t="n">
        <f aca="false">C24*E$30/C$30</f>
        <v>8</v>
      </c>
      <c r="F24" s="321" t="s">
        <v>7</v>
      </c>
      <c r="H24" s="499"/>
    </row>
    <row r="25" customFormat="false" ht="15" hidden="false" customHeight="false" outlineLevel="0" collapsed="false">
      <c r="A25" s="223"/>
      <c r="B25" s="401" t="s">
        <v>8139</v>
      </c>
      <c r="C25" s="520" t="n">
        <v>0.4</v>
      </c>
      <c r="D25" s="321" t="s">
        <v>7</v>
      </c>
      <c r="E25" s="264" t="n">
        <f aca="false">C25*E$30/C$30</f>
        <v>4</v>
      </c>
      <c r="F25" s="321" t="s">
        <v>7</v>
      </c>
      <c r="H25" s="499"/>
    </row>
    <row r="26" customFormat="false" ht="15" hidden="false" customHeight="false" outlineLevel="0" collapsed="false">
      <c r="A26" s="223"/>
      <c r="B26" s="401" t="s">
        <v>716</v>
      </c>
      <c r="C26" s="520" t="n">
        <v>2</v>
      </c>
      <c r="D26" s="321" t="s">
        <v>7939</v>
      </c>
      <c r="E26" s="264" t="n">
        <f aca="false">C26*E$30/C$30</f>
        <v>20</v>
      </c>
      <c r="F26" s="321" t="s">
        <v>7939</v>
      </c>
      <c r="H26" s="499"/>
    </row>
    <row r="27" customFormat="false" ht="15" hidden="false" customHeight="false" outlineLevel="0" collapsed="false">
      <c r="A27" s="223"/>
      <c r="B27" s="401" t="s">
        <v>8140</v>
      </c>
      <c r="C27" s="520" t="n">
        <v>1</v>
      </c>
      <c r="D27" s="321" t="s">
        <v>7939</v>
      </c>
      <c r="E27" s="264" t="n">
        <f aca="false">C27*E$30/C$30</f>
        <v>10</v>
      </c>
      <c r="F27" s="321" t="s">
        <v>7939</v>
      </c>
      <c r="H27" s="499"/>
    </row>
    <row r="28" customFormat="false" ht="15" hidden="false" customHeight="false" outlineLevel="0" collapsed="false">
      <c r="A28" s="223"/>
      <c r="B28" s="401" t="s">
        <v>7672</v>
      </c>
      <c r="C28" s="520" t="n">
        <v>2</v>
      </c>
      <c r="D28" s="321" t="s">
        <v>7939</v>
      </c>
      <c r="E28" s="264" t="n">
        <f aca="false">C28*E$30/C$30</f>
        <v>20</v>
      </c>
      <c r="F28" s="321" t="s">
        <v>7939</v>
      </c>
      <c r="H28" s="499"/>
    </row>
    <row r="29" customFormat="false" ht="15" hidden="false" customHeight="false" outlineLevel="0" collapsed="false">
      <c r="A29" s="223"/>
      <c r="B29" s="521" t="s">
        <v>8135</v>
      </c>
      <c r="C29" s="289" t="n">
        <v>1</v>
      </c>
      <c r="D29" s="296" t="s">
        <v>27</v>
      </c>
      <c r="E29" s="264" t="n">
        <f aca="false">C29*E$30/C$30</f>
        <v>10</v>
      </c>
      <c r="F29" s="296" t="s">
        <v>27</v>
      </c>
      <c r="H29" s="499"/>
    </row>
    <row r="30" customFormat="false" ht="15" hidden="false" customHeight="false" outlineLevel="0" collapsed="false">
      <c r="A30" s="223"/>
      <c r="B30" s="521" t="s">
        <v>8135</v>
      </c>
      <c r="C30" s="289" t="n">
        <v>35</v>
      </c>
      <c r="D30" s="296" t="s">
        <v>13</v>
      </c>
      <c r="E30" s="522" t="n">
        <f aca="false">35*10</f>
        <v>350</v>
      </c>
      <c r="F30" s="296" t="s">
        <v>13</v>
      </c>
      <c r="H30" s="499"/>
    </row>
    <row r="31" customFormat="false" ht="15" hidden="false" customHeight="false" outlineLevel="0" collapsed="false">
      <c r="A31" s="523"/>
      <c r="B31" s="524"/>
      <c r="C31" s="525"/>
      <c r="D31" s="523"/>
      <c r="E31" s="523"/>
      <c r="F31" s="523"/>
      <c r="H31" s="499"/>
      <c r="J31" s="499"/>
      <c r="K31" s="231"/>
    </row>
    <row r="32" customFormat="false" ht="15" hidden="false" customHeight="false" outlineLevel="0" collapsed="false">
      <c r="A32" s="523"/>
      <c r="B32" s="524"/>
      <c r="C32" s="525"/>
      <c r="D32" s="523"/>
      <c r="E32" s="523"/>
      <c r="F32" s="523"/>
      <c r="H32" s="499"/>
    </row>
    <row r="33" customFormat="false" ht="14.45" hidden="false" customHeight="true" outlineLevel="0" collapsed="false">
      <c r="A33" s="468" t="s">
        <v>8141</v>
      </c>
      <c r="B33" s="462" t="s">
        <v>2</v>
      </c>
      <c r="C33" s="324" t="s">
        <v>3</v>
      </c>
      <c r="D33" s="324" t="s">
        <v>4</v>
      </c>
      <c r="E33" s="324" t="s">
        <v>5</v>
      </c>
      <c r="F33" s="324" t="s">
        <v>4</v>
      </c>
    </row>
    <row r="34" customFormat="false" ht="15" hidden="false" customHeight="false" outlineLevel="0" collapsed="false">
      <c r="A34" s="468"/>
      <c r="B34" s="284" t="s">
        <v>8142</v>
      </c>
      <c r="C34" s="269"/>
      <c r="D34" s="271"/>
      <c r="E34" s="262"/>
      <c r="F34" s="225"/>
    </row>
    <row r="35" customFormat="false" ht="15" hidden="false" customHeight="false" outlineLevel="0" collapsed="false">
      <c r="A35" s="262"/>
      <c r="B35" s="271" t="s">
        <v>541</v>
      </c>
      <c r="C35" s="269" t="n">
        <v>350</v>
      </c>
      <c r="D35" s="271" t="s">
        <v>109</v>
      </c>
      <c r="E35" s="262" t="n">
        <f aca="false">C35*10</f>
        <v>3500</v>
      </c>
      <c r="F35" s="225"/>
    </row>
    <row r="36" customFormat="false" ht="15" hidden="false" customHeight="false" outlineLevel="0" collapsed="false">
      <c r="A36" s="262"/>
      <c r="B36" s="271" t="s">
        <v>7823</v>
      </c>
      <c r="C36" s="269" t="n">
        <v>200</v>
      </c>
      <c r="D36" s="271" t="s">
        <v>109</v>
      </c>
      <c r="E36" s="262" t="n">
        <f aca="false">C36*10</f>
        <v>2000</v>
      </c>
      <c r="F36" s="225"/>
    </row>
    <row r="37" customFormat="false" ht="15" hidden="false" customHeight="false" outlineLevel="0" collapsed="false">
      <c r="A37" s="262"/>
      <c r="B37" s="271" t="s">
        <v>8143</v>
      </c>
      <c r="C37" s="269" t="n">
        <v>10</v>
      </c>
      <c r="D37" s="271" t="s">
        <v>7939</v>
      </c>
      <c r="E37" s="262" t="n">
        <f aca="false">C37*10</f>
        <v>100</v>
      </c>
      <c r="F37" s="225"/>
    </row>
    <row r="38" customFormat="false" ht="15" hidden="false" customHeight="false" outlineLevel="0" collapsed="false">
      <c r="A38" s="262"/>
      <c r="B38" s="284" t="s">
        <v>575</v>
      </c>
      <c r="C38" s="283" t="n">
        <v>5</v>
      </c>
      <c r="D38" s="284" t="s">
        <v>7</v>
      </c>
      <c r="E38" s="262" t="n">
        <f aca="false">C38*10</f>
        <v>50</v>
      </c>
      <c r="F38" s="225"/>
    </row>
    <row r="39" customFormat="false" ht="15" hidden="false" customHeight="false" outlineLevel="0" collapsed="false">
      <c r="A39" s="262"/>
      <c r="B39" s="271" t="s">
        <v>8144</v>
      </c>
      <c r="C39" s="269" t="n">
        <v>5</v>
      </c>
      <c r="D39" s="271" t="s">
        <v>7</v>
      </c>
      <c r="E39" s="262" t="n">
        <f aca="false">C39*10</f>
        <v>50</v>
      </c>
      <c r="F39" s="225"/>
    </row>
    <row r="40" customFormat="false" ht="15" hidden="false" customHeight="false" outlineLevel="0" collapsed="false">
      <c r="A40" s="262"/>
      <c r="B40" s="271" t="s">
        <v>8145</v>
      </c>
      <c r="C40" s="269"/>
      <c r="D40" s="271"/>
      <c r="E40" s="262" t="n">
        <f aca="false">C40*10</f>
        <v>0</v>
      </c>
      <c r="F40" s="225"/>
    </row>
    <row r="41" customFormat="false" ht="15" hidden="false" customHeight="false" outlineLevel="0" collapsed="false">
      <c r="A41" s="262"/>
      <c r="B41" s="271" t="s">
        <v>12</v>
      </c>
      <c r="C41" s="269" t="n">
        <v>1</v>
      </c>
      <c r="D41" s="271" t="s">
        <v>13</v>
      </c>
      <c r="E41" s="262" t="n">
        <f aca="false">C41*10</f>
        <v>10</v>
      </c>
      <c r="F41" s="225"/>
    </row>
    <row r="42" customFormat="false" ht="15" hidden="false" customHeight="false" outlineLevel="0" collapsed="false">
      <c r="A42" s="262"/>
      <c r="B42" s="271" t="s">
        <v>570</v>
      </c>
      <c r="C42" s="269" t="n">
        <v>0.75</v>
      </c>
      <c r="D42" s="271" t="s">
        <v>20</v>
      </c>
      <c r="E42" s="262" t="n">
        <f aca="false">C42*10</f>
        <v>7.5</v>
      </c>
      <c r="F42" s="225"/>
    </row>
    <row r="43" customFormat="false" ht="15" hidden="false" customHeight="false" outlineLevel="0" collapsed="false">
      <c r="A43" s="262"/>
      <c r="B43" s="271" t="s">
        <v>8146</v>
      </c>
      <c r="C43" s="269" t="n">
        <v>1</v>
      </c>
      <c r="D43" s="271" t="s">
        <v>13</v>
      </c>
      <c r="E43" s="262" t="n">
        <f aca="false">C43*10</f>
        <v>10</v>
      </c>
      <c r="F43" s="225"/>
    </row>
    <row r="44" customFormat="false" ht="15" hidden="false" customHeight="false" outlineLevel="0" collapsed="false">
      <c r="A44" s="262"/>
      <c r="B44" s="271" t="s">
        <v>577</v>
      </c>
      <c r="C44" s="269" t="n">
        <v>1</v>
      </c>
      <c r="D44" s="271" t="s">
        <v>20</v>
      </c>
      <c r="E44" s="262" t="n">
        <f aca="false">C44*10</f>
        <v>10</v>
      </c>
      <c r="F44" s="225"/>
    </row>
    <row r="45" customFormat="false" ht="15" hidden="false" customHeight="false" outlineLevel="0" collapsed="false">
      <c r="A45" s="262"/>
      <c r="B45" s="271" t="s">
        <v>562</v>
      </c>
      <c r="C45" s="269" t="n">
        <v>0.5</v>
      </c>
      <c r="D45" s="271" t="s">
        <v>20</v>
      </c>
      <c r="E45" s="262" t="n">
        <f aca="false">C45*10</f>
        <v>5</v>
      </c>
      <c r="F45" s="225"/>
    </row>
    <row r="46" customFormat="false" ht="15" hidden="false" customHeight="false" outlineLevel="0" collapsed="false">
      <c r="A46" s="262"/>
      <c r="B46" s="271" t="s">
        <v>646</v>
      </c>
      <c r="C46" s="269" t="n">
        <v>1</v>
      </c>
      <c r="D46" s="271" t="s">
        <v>13</v>
      </c>
      <c r="E46" s="262" t="n">
        <f aca="false">C46*10</f>
        <v>10</v>
      </c>
      <c r="F46" s="225"/>
    </row>
    <row r="47" customFormat="false" ht="15" hidden="false" customHeight="false" outlineLevel="0" collapsed="false">
      <c r="A47" s="262"/>
      <c r="B47" s="271" t="s">
        <v>8147</v>
      </c>
      <c r="C47" s="269" t="n">
        <v>5</v>
      </c>
      <c r="D47" s="271" t="s">
        <v>8148</v>
      </c>
      <c r="E47" s="262" t="n">
        <f aca="false">C47*10</f>
        <v>50</v>
      </c>
      <c r="F47" s="225"/>
      <c r="I47" s="452"/>
    </row>
    <row r="48" customFormat="false" ht="15" hidden="false" customHeight="false" outlineLevel="0" collapsed="false">
      <c r="A48" s="262"/>
      <c r="B48" s="271" t="s">
        <v>586</v>
      </c>
      <c r="C48" s="269" t="n">
        <v>1</v>
      </c>
      <c r="D48" s="271" t="s">
        <v>13</v>
      </c>
      <c r="E48" s="262" t="n">
        <f aca="false">C48*10</f>
        <v>10</v>
      </c>
      <c r="F48" s="225"/>
      <c r="I48" s="452"/>
    </row>
    <row r="49" customFormat="false" ht="15" hidden="false" customHeight="false" outlineLevel="0" collapsed="false">
      <c r="A49" s="262"/>
      <c r="B49" s="271" t="s">
        <v>8149</v>
      </c>
      <c r="C49" s="269" t="n">
        <v>3</v>
      </c>
      <c r="D49" s="271" t="s">
        <v>20</v>
      </c>
      <c r="E49" s="262" t="n">
        <f aca="false">C49*10</f>
        <v>30</v>
      </c>
      <c r="F49" s="225"/>
      <c r="I49" s="452"/>
    </row>
    <row r="50" customFormat="false" ht="15" hidden="false" customHeight="false" outlineLevel="0" collapsed="false">
      <c r="A50" s="262"/>
      <c r="B50" s="271" t="s">
        <v>32</v>
      </c>
      <c r="C50" s="269" t="n">
        <v>1.25</v>
      </c>
      <c r="D50" s="271" t="s">
        <v>20</v>
      </c>
      <c r="E50" s="262" t="n">
        <f aca="false">C50*10</f>
        <v>12.5</v>
      </c>
      <c r="F50" s="225"/>
      <c r="I50" s="452"/>
    </row>
    <row r="51" customFormat="false" ht="15" hidden="false" customHeight="false" outlineLevel="0" collapsed="false">
      <c r="A51" s="262"/>
      <c r="B51" s="271"/>
      <c r="C51" s="269"/>
      <c r="D51" s="271"/>
      <c r="E51" s="262"/>
      <c r="F51" s="225"/>
      <c r="K51" s="231"/>
    </row>
    <row r="52" customFormat="false" ht="14.45" hidden="false" customHeight="true" outlineLevel="0" collapsed="false">
      <c r="A52" s="526" t="s">
        <v>8150</v>
      </c>
      <c r="B52" s="462" t="s">
        <v>2</v>
      </c>
      <c r="C52" s="324" t="s">
        <v>3</v>
      </c>
      <c r="D52" s="324" t="s">
        <v>4</v>
      </c>
      <c r="E52" s="324" t="s">
        <v>5</v>
      </c>
      <c r="F52" s="324" t="s">
        <v>4</v>
      </c>
    </row>
    <row r="53" customFormat="false" ht="15" hidden="false" customHeight="false" outlineLevel="0" collapsed="false">
      <c r="A53" s="526"/>
      <c r="B53" s="359" t="s">
        <v>676</v>
      </c>
      <c r="C53" s="520" t="n">
        <v>5</v>
      </c>
      <c r="D53" s="401" t="s">
        <v>7</v>
      </c>
      <c r="E53" s="264" t="n">
        <f aca="false">C53*E$71/C$71</f>
        <v>150</v>
      </c>
      <c r="F53" s="225" t="s">
        <v>7</v>
      </c>
    </row>
    <row r="54" customFormat="false" ht="15" hidden="false" customHeight="false" outlineLevel="0" collapsed="false">
      <c r="A54" s="262"/>
      <c r="B54" s="359" t="s">
        <v>689</v>
      </c>
      <c r="C54" s="520" t="n">
        <v>1.5</v>
      </c>
      <c r="D54" s="401" t="s">
        <v>13</v>
      </c>
      <c r="E54" s="264" t="n">
        <f aca="false">C54*E$71/C$71</f>
        <v>45</v>
      </c>
      <c r="F54" s="225" t="s">
        <v>13</v>
      </c>
    </row>
    <row r="55" customFormat="false" ht="15" hidden="false" customHeight="false" outlineLevel="0" collapsed="false">
      <c r="A55" s="262"/>
      <c r="B55" s="271" t="s">
        <v>570</v>
      </c>
      <c r="C55" s="222" t="n">
        <v>0.583333333333333</v>
      </c>
      <c r="D55" s="261" t="s">
        <v>20</v>
      </c>
      <c r="E55" s="223" t="n">
        <f aca="false">C55*E$71/C$71</f>
        <v>18</v>
      </c>
      <c r="F55" s="225" t="s">
        <v>20</v>
      </c>
    </row>
    <row r="56" customFormat="false" ht="15" hidden="false" customHeight="false" outlineLevel="0" collapsed="false">
      <c r="A56" s="262"/>
      <c r="B56" s="271" t="s">
        <v>14</v>
      </c>
      <c r="C56" s="222" t="n">
        <v>0.35</v>
      </c>
      <c r="D56" s="261" t="s">
        <v>20</v>
      </c>
      <c r="E56" s="223" t="n">
        <f aca="false">C56*E$71/C$71</f>
        <v>12</v>
      </c>
      <c r="F56" s="225" t="s">
        <v>20</v>
      </c>
    </row>
    <row r="57" customFormat="false" ht="15" hidden="false" customHeight="false" outlineLevel="0" collapsed="false">
      <c r="A57" s="262"/>
      <c r="B57" s="359" t="s">
        <v>562</v>
      </c>
      <c r="C57" s="520" t="n">
        <v>0.6</v>
      </c>
      <c r="D57" s="401" t="s">
        <v>20</v>
      </c>
      <c r="E57" s="264" t="n">
        <f aca="false">C57*E$71/C$71</f>
        <v>18</v>
      </c>
      <c r="F57" s="225" t="s">
        <v>20</v>
      </c>
      <c r="G57" s="452"/>
      <c r="H57" s="452"/>
    </row>
    <row r="58" customFormat="false" ht="15" hidden="false" customHeight="false" outlineLevel="0" collapsed="false">
      <c r="A58" s="262"/>
      <c r="B58" s="359" t="s">
        <v>564</v>
      </c>
      <c r="C58" s="520" t="n">
        <v>0.4375</v>
      </c>
      <c r="D58" s="401" t="s">
        <v>20</v>
      </c>
      <c r="E58" s="264" t="n">
        <f aca="false">C58*E$71/C$71</f>
        <v>12</v>
      </c>
      <c r="F58" s="225" t="s">
        <v>20</v>
      </c>
      <c r="G58" s="452"/>
      <c r="H58" s="452"/>
    </row>
    <row r="59" customFormat="false" ht="15" hidden="false" customHeight="false" outlineLevel="0" collapsed="false">
      <c r="A59" s="262"/>
      <c r="B59" s="359" t="s">
        <v>603</v>
      </c>
      <c r="C59" s="520" t="n">
        <v>8</v>
      </c>
      <c r="D59" s="401" t="s">
        <v>127</v>
      </c>
      <c r="E59" s="264" t="n">
        <f aca="false">C59*E$71/C$71</f>
        <v>240</v>
      </c>
      <c r="F59" s="225" t="s">
        <v>127</v>
      </c>
    </row>
    <row r="60" customFormat="false" ht="15" hidden="false" customHeight="false" outlineLevel="0" collapsed="false">
      <c r="A60" s="262"/>
      <c r="B60" s="471" t="s">
        <v>8151</v>
      </c>
      <c r="C60" s="293" t="n">
        <v>7</v>
      </c>
      <c r="D60" s="415" t="s">
        <v>13</v>
      </c>
      <c r="E60" s="264" t="n">
        <f aca="false">C60*E$71/C$71</f>
        <v>210</v>
      </c>
      <c r="F60" s="225" t="s">
        <v>13</v>
      </c>
    </row>
    <row r="61" customFormat="false" ht="15" hidden="false" customHeight="false" outlineLevel="0" collapsed="false">
      <c r="A61" s="262"/>
      <c r="B61" s="359" t="s">
        <v>8152</v>
      </c>
      <c r="C61" s="520" t="n">
        <v>3.5</v>
      </c>
      <c r="D61" s="401" t="s">
        <v>7</v>
      </c>
      <c r="E61" s="264" t="n">
        <f aca="false">C61*E$71/C$71</f>
        <v>105</v>
      </c>
      <c r="F61" s="225" t="s">
        <v>7</v>
      </c>
    </row>
    <row r="62" customFormat="false" ht="15" hidden="false" customHeight="false" outlineLevel="0" collapsed="false">
      <c r="A62" s="262"/>
      <c r="B62" s="359" t="s">
        <v>541</v>
      </c>
      <c r="C62" s="520" t="n">
        <v>200</v>
      </c>
      <c r="D62" s="401" t="s">
        <v>109</v>
      </c>
      <c r="E62" s="264" t="n">
        <f aca="false">C62*E$71/C$71</f>
        <v>6000</v>
      </c>
      <c r="F62" s="225" t="s">
        <v>109</v>
      </c>
    </row>
    <row r="63" customFormat="false" ht="15" hidden="false" customHeight="false" outlineLevel="0" collapsed="false">
      <c r="A63" s="262"/>
      <c r="B63" s="359" t="s">
        <v>7823</v>
      </c>
      <c r="C63" s="520" t="n">
        <v>200</v>
      </c>
      <c r="D63" s="401" t="s">
        <v>109</v>
      </c>
      <c r="E63" s="264" t="n">
        <f aca="false">C63*E$71/C$71</f>
        <v>6000</v>
      </c>
      <c r="F63" s="225" t="s">
        <v>109</v>
      </c>
    </row>
    <row r="64" customFormat="false" ht="15" hidden="false" customHeight="false" outlineLevel="0" collapsed="false">
      <c r="A64" s="262"/>
      <c r="B64" s="359" t="s">
        <v>32</v>
      </c>
      <c r="C64" s="520" t="n">
        <v>2.2</v>
      </c>
      <c r="D64" s="401" t="s">
        <v>20</v>
      </c>
      <c r="E64" s="264" t="n">
        <f aca="false">C64*E$71/C$71</f>
        <v>66</v>
      </c>
      <c r="F64" s="225" t="s">
        <v>20</v>
      </c>
      <c r="G64" s="452"/>
      <c r="H64" s="452"/>
    </row>
    <row r="65" customFormat="false" ht="15" hidden="false" customHeight="false" outlineLevel="0" collapsed="false">
      <c r="A65" s="262"/>
      <c r="B65" s="359" t="s">
        <v>8153</v>
      </c>
      <c r="C65" s="520" t="n">
        <v>3</v>
      </c>
      <c r="D65" s="401" t="s">
        <v>20</v>
      </c>
      <c r="E65" s="264" t="n">
        <f aca="false">C65*E$71/C$71</f>
        <v>90</v>
      </c>
      <c r="F65" s="225" t="s">
        <v>20</v>
      </c>
      <c r="G65" s="452"/>
      <c r="H65" s="452"/>
    </row>
    <row r="66" customFormat="false" ht="15" hidden="false" customHeight="false" outlineLevel="0" collapsed="false">
      <c r="A66" s="262"/>
      <c r="B66" s="359" t="s">
        <v>8154</v>
      </c>
      <c r="C66" s="520" t="n">
        <v>3</v>
      </c>
      <c r="D66" s="401" t="s">
        <v>20</v>
      </c>
      <c r="E66" s="264" t="n">
        <f aca="false">C66*E$71/C$71</f>
        <v>90</v>
      </c>
      <c r="F66" s="225" t="s">
        <v>20</v>
      </c>
      <c r="G66" s="452"/>
      <c r="H66" s="452"/>
    </row>
    <row r="67" customFormat="false" ht="15" hidden="false" customHeight="false" outlineLevel="0" collapsed="false">
      <c r="A67" s="262"/>
      <c r="B67" s="359" t="s">
        <v>609</v>
      </c>
      <c r="C67" s="520" t="n">
        <v>2</v>
      </c>
      <c r="D67" s="401" t="s">
        <v>20</v>
      </c>
      <c r="E67" s="264" t="n">
        <f aca="false">C67*E$71/C$71</f>
        <v>60</v>
      </c>
      <c r="F67" s="225" t="s">
        <v>20</v>
      </c>
    </row>
    <row r="68" customFormat="false" ht="15" hidden="false" customHeight="false" outlineLevel="0" collapsed="false">
      <c r="A68" s="262"/>
      <c r="B68" s="359" t="s">
        <v>578</v>
      </c>
      <c r="C68" s="520" t="n">
        <v>3</v>
      </c>
      <c r="D68" s="401" t="s">
        <v>13</v>
      </c>
      <c r="E68" s="264" t="n">
        <f aca="false">C68*E$71/C$71</f>
        <v>90</v>
      </c>
      <c r="F68" s="225" t="s">
        <v>13</v>
      </c>
    </row>
    <row r="69" customFormat="false" ht="15" hidden="false" customHeight="false" outlineLevel="0" collapsed="false">
      <c r="A69" s="262"/>
      <c r="B69" s="271" t="s">
        <v>8155</v>
      </c>
      <c r="C69" s="222" t="n">
        <v>3.5</v>
      </c>
      <c r="D69" s="261" t="s">
        <v>107</v>
      </c>
      <c r="E69" s="223" t="n">
        <f aca="false">C69*E$71/C$71</f>
        <v>105</v>
      </c>
      <c r="F69" s="225" t="s">
        <v>107</v>
      </c>
    </row>
    <row r="70" customFormat="false" ht="15" hidden="false" customHeight="false" outlineLevel="0" collapsed="false">
      <c r="A70" s="262"/>
      <c r="B70" s="284" t="s">
        <v>26</v>
      </c>
      <c r="C70" s="259" t="n">
        <v>0.9975</v>
      </c>
      <c r="D70" s="260" t="s">
        <v>27</v>
      </c>
      <c r="E70" s="258" t="n">
        <f aca="false">C70*E$71/C$71</f>
        <v>30</v>
      </c>
      <c r="F70" s="326" t="s">
        <v>27</v>
      </c>
    </row>
    <row r="71" customFormat="false" ht="15" hidden="false" customHeight="false" outlineLevel="0" collapsed="false">
      <c r="A71" s="262"/>
      <c r="B71" s="284" t="s">
        <v>26</v>
      </c>
      <c r="C71" s="259" t="n">
        <v>35</v>
      </c>
      <c r="D71" s="260" t="s">
        <v>13</v>
      </c>
      <c r="E71" s="492" t="n">
        <v>1050</v>
      </c>
      <c r="F71" s="326" t="s">
        <v>13</v>
      </c>
    </row>
    <row r="72" customFormat="false" ht="15" hidden="false" customHeight="false" outlineLevel="0" collapsed="false">
      <c r="A72" s="262"/>
      <c r="B72" s="271"/>
      <c r="C72" s="269"/>
      <c r="D72" s="271"/>
      <c r="E72" s="262"/>
      <c r="F72" s="225"/>
    </row>
    <row r="73" customFormat="false" ht="14.45" hidden="false" customHeight="true" outlineLevel="0" collapsed="false">
      <c r="A73" s="527" t="s">
        <v>8156</v>
      </c>
      <c r="B73" s="299" t="s">
        <v>2</v>
      </c>
      <c r="C73" s="298" t="s">
        <v>3</v>
      </c>
      <c r="D73" s="299" t="s">
        <v>4</v>
      </c>
      <c r="E73" s="299" t="s">
        <v>5</v>
      </c>
      <c r="F73" s="299" t="s">
        <v>4</v>
      </c>
    </row>
    <row r="74" customFormat="false" ht="15" hidden="false" customHeight="false" outlineLevel="0" collapsed="false">
      <c r="A74" s="527"/>
      <c r="B74" s="271" t="s">
        <v>8157</v>
      </c>
      <c r="C74" s="222" t="n">
        <v>7</v>
      </c>
      <c r="D74" s="261" t="s">
        <v>61</v>
      </c>
      <c r="E74" s="223" t="n">
        <f aca="false">C74*E$97/C$97</f>
        <v>70</v>
      </c>
      <c r="F74" s="221" t="s">
        <v>61</v>
      </c>
    </row>
    <row r="75" customFormat="false" ht="15" hidden="false" customHeight="false" outlineLevel="0" collapsed="false">
      <c r="A75" s="262"/>
      <c r="B75" s="271"/>
      <c r="C75" s="222" t="n">
        <v>9.33333333333333</v>
      </c>
      <c r="D75" s="261" t="s">
        <v>13</v>
      </c>
      <c r="E75" s="223" t="n">
        <f aca="false">C75*E$97/C$97</f>
        <v>93</v>
      </c>
      <c r="F75" s="221" t="s">
        <v>13</v>
      </c>
    </row>
    <row r="76" customFormat="false" ht="15" hidden="false" customHeight="false" outlineLevel="0" collapsed="false">
      <c r="A76" s="262"/>
      <c r="B76" s="271" t="s">
        <v>8158</v>
      </c>
      <c r="C76" s="222" t="n">
        <v>9.33333333333333</v>
      </c>
      <c r="D76" s="261" t="s">
        <v>61</v>
      </c>
      <c r="E76" s="223" t="n">
        <f aca="false">C76*E$97/C$97</f>
        <v>93</v>
      </c>
      <c r="F76" s="221" t="s">
        <v>61</v>
      </c>
    </row>
    <row r="77" customFormat="false" ht="15" hidden="false" customHeight="false" outlineLevel="0" collapsed="false">
      <c r="A77" s="262"/>
      <c r="B77" s="271"/>
      <c r="C77" s="222" t="n">
        <v>11.6666666666667</v>
      </c>
      <c r="D77" s="261" t="s">
        <v>13</v>
      </c>
      <c r="E77" s="223" t="n">
        <f aca="false">C77*E$97/C$97</f>
        <v>117</v>
      </c>
      <c r="F77" s="221" t="s">
        <v>13</v>
      </c>
    </row>
    <row r="78" customFormat="false" ht="15" hidden="false" customHeight="false" outlineLevel="0" collapsed="false">
      <c r="A78" s="262"/>
      <c r="B78" s="271" t="s">
        <v>8</v>
      </c>
      <c r="C78" s="222" t="n">
        <v>4.66666666666667</v>
      </c>
      <c r="D78" s="261" t="s">
        <v>61</v>
      </c>
      <c r="E78" s="223" t="n">
        <f aca="false">C78*E$97/C$97</f>
        <v>47</v>
      </c>
      <c r="F78" s="221" t="s">
        <v>61</v>
      </c>
    </row>
    <row r="79" customFormat="false" ht="15" hidden="false" customHeight="false" outlineLevel="0" collapsed="false">
      <c r="A79" s="494"/>
      <c r="B79" s="271"/>
      <c r="C79" s="222" t="n">
        <v>7</v>
      </c>
      <c r="D79" s="261" t="s">
        <v>13</v>
      </c>
      <c r="E79" s="223" t="n">
        <f aca="false">C79*E$97/C$97</f>
        <v>70</v>
      </c>
      <c r="F79" s="221" t="s">
        <v>13</v>
      </c>
    </row>
    <row r="80" customFormat="false" ht="15" hidden="false" customHeight="false" outlineLevel="0" collapsed="false">
      <c r="A80" s="262"/>
      <c r="B80" s="271" t="s">
        <v>8159</v>
      </c>
      <c r="C80" s="222" t="n">
        <v>3.5</v>
      </c>
      <c r="D80" s="261" t="s">
        <v>61</v>
      </c>
      <c r="E80" s="223" t="n">
        <f aca="false">C80*E$97/C$97</f>
        <v>35</v>
      </c>
      <c r="F80" s="221" t="s">
        <v>61</v>
      </c>
    </row>
    <row r="81" customFormat="false" ht="15" hidden="false" customHeight="false" outlineLevel="0" collapsed="false">
      <c r="A81" s="262"/>
      <c r="B81" s="271"/>
      <c r="C81" s="222" t="n">
        <v>5.83333333333333</v>
      </c>
      <c r="D81" s="261" t="s">
        <v>13</v>
      </c>
      <c r="E81" s="223" t="n">
        <f aca="false">C81*E$97/C$97</f>
        <v>58</v>
      </c>
      <c r="F81" s="221" t="s">
        <v>13</v>
      </c>
    </row>
    <row r="82" customFormat="false" ht="15" hidden="false" customHeight="false" outlineLevel="0" collapsed="false">
      <c r="A82" s="262"/>
      <c r="B82" s="271" t="s">
        <v>11</v>
      </c>
      <c r="C82" s="222" t="n">
        <v>3.5</v>
      </c>
      <c r="D82" s="261" t="s">
        <v>61</v>
      </c>
      <c r="E82" s="223" t="n">
        <f aca="false">C82*E$97/C$97</f>
        <v>35</v>
      </c>
      <c r="F82" s="221" t="s">
        <v>61</v>
      </c>
    </row>
    <row r="83" customFormat="false" ht="15" hidden="false" customHeight="false" outlineLevel="0" collapsed="false">
      <c r="A83" s="262"/>
      <c r="B83" s="271"/>
      <c r="C83" s="222" t="n">
        <v>4.66666666666667</v>
      </c>
      <c r="D83" s="261" t="s">
        <v>13</v>
      </c>
      <c r="E83" s="223" t="n">
        <f aca="false">C83*E$97/C$97</f>
        <v>47</v>
      </c>
      <c r="F83" s="221" t="s">
        <v>13</v>
      </c>
    </row>
    <row r="84" customFormat="false" ht="15" hidden="false" customHeight="false" outlineLevel="0" collapsed="false">
      <c r="A84" s="262"/>
      <c r="B84" s="271" t="s">
        <v>8160</v>
      </c>
      <c r="C84" s="222" t="n">
        <v>7</v>
      </c>
      <c r="D84" s="261" t="s">
        <v>61</v>
      </c>
      <c r="E84" s="223" t="n">
        <f aca="false">C84*E$97/C$97</f>
        <v>70</v>
      </c>
      <c r="F84" s="221" t="s">
        <v>61</v>
      </c>
    </row>
    <row r="85" customFormat="false" ht="15" hidden="false" customHeight="false" outlineLevel="0" collapsed="false">
      <c r="A85" s="262"/>
      <c r="B85" s="271"/>
      <c r="C85" s="222" t="n">
        <v>8.16666666666667</v>
      </c>
      <c r="D85" s="261" t="s">
        <v>13</v>
      </c>
      <c r="E85" s="223" t="n">
        <f aca="false">C85*E$97/C$97</f>
        <v>82</v>
      </c>
      <c r="F85" s="221" t="s">
        <v>13</v>
      </c>
    </row>
    <row r="86" customFormat="false" ht="15" hidden="false" customHeight="false" outlineLevel="0" collapsed="false">
      <c r="A86" s="262"/>
      <c r="B86" s="271" t="s">
        <v>8039</v>
      </c>
      <c r="C86" s="222" t="n">
        <v>35</v>
      </c>
      <c r="D86" s="261" t="s">
        <v>61</v>
      </c>
      <c r="E86" s="223" t="n">
        <f aca="false">C86*E$97/C$97</f>
        <v>350</v>
      </c>
      <c r="F86" s="221" t="s">
        <v>61</v>
      </c>
    </row>
    <row r="87" customFormat="false" ht="15" hidden="false" customHeight="false" outlineLevel="0" collapsed="false">
      <c r="A87" s="262"/>
      <c r="B87" s="271" t="s">
        <v>43</v>
      </c>
      <c r="C87" s="222" t="n">
        <v>2.33333333333333</v>
      </c>
      <c r="D87" s="261" t="s">
        <v>13</v>
      </c>
      <c r="E87" s="223" t="n">
        <f aca="false">C87*E$97/C$97</f>
        <v>23</v>
      </c>
      <c r="F87" s="221" t="s">
        <v>13</v>
      </c>
    </row>
    <row r="88" customFormat="false" ht="15" hidden="false" customHeight="false" outlineLevel="0" collapsed="false">
      <c r="A88" s="262"/>
      <c r="B88" s="271" t="s">
        <v>32</v>
      </c>
      <c r="C88" s="222" t="n">
        <v>1.75</v>
      </c>
      <c r="D88" s="261" t="s">
        <v>20</v>
      </c>
      <c r="E88" s="223" t="n">
        <f aca="false">C88*E$97/C$97</f>
        <v>18</v>
      </c>
      <c r="F88" s="221" t="s">
        <v>20</v>
      </c>
    </row>
    <row r="89" customFormat="false" ht="15" hidden="false" customHeight="false" outlineLevel="0" collapsed="false">
      <c r="A89" s="262"/>
      <c r="B89" s="271" t="s">
        <v>564</v>
      </c>
      <c r="C89" s="222" t="n">
        <v>0.35</v>
      </c>
      <c r="D89" s="261" t="s">
        <v>20</v>
      </c>
      <c r="E89" s="223" t="n">
        <f aca="false">C89*E$97/C$97</f>
        <v>4</v>
      </c>
      <c r="F89" s="221" t="s">
        <v>20</v>
      </c>
    </row>
    <row r="90" customFormat="false" ht="15" hidden="false" customHeight="false" outlineLevel="0" collapsed="false">
      <c r="A90" s="262"/>
      <c r="B90" s="271" t="s">
        <v>797</v>
      </c>
      <c r="C90" s="222" t="n">
        <v>2.33333333333333</v>
      </c>
      <c r="D90" s="261" t="s">
        <v>13</v>
      </c>
      <c r="E90" s="223" t="n">
        <f aca="false">C90*E$97/C$97</f>
        <v>23</v>
      </c>
      <c r="F90" s="221" t="s">
        <v>13</v>
      </c>
    </row>
    <row r="91" customFormat="false" ht="15" hidden="false" customHeight="false" outlineLevel="0" collapsed="false">
      <c r="A91" s="262"/>
      <c r="B91" s="271" t="s">
        <v>8161</v>
      </c>
      <c r="C91" s="222" t="n">
        <v>14</v>
      </c>
      <c r="D91" s="261" t="s">
        <v>107</v>
      </c>
      <c r="E91" s="223" t="n">
        <f aca="false">C91*E$97/C$97</f>
        <v>140</v>
      </c>
      <c r="F91" s="221" t="s">
        <v>107</v>
      </c>
    </row>
    <row r="92" customFormat="false" ht="15" hidden="false" customHeight="false" outlineLevel="0" collapsed="false">
      <c r="A92" s="262"/>
      <c r="B92" s="271" t="s">
        <v>8123</v>
      </c>
      <c r="C92" s="222" t="n">
        <v>1.16666666666667</v>
      </c>
      <c r="D92" s="261" t="s">
        <v>20</v>
      </c>
      <c r="E92" s="223" t="n">
        <f aca="false">C92*E$97/C$97</f>
        <v>12</v>
      </c>
      <c r="F92" s="221" t="s">
        <v>20</v>
      </c>
    </row>
    <row r="93" customFormat="false" ht="15" hidden="false" customHeight="false" outlineLevel="0" collapsed="false">
      <c r="A93" s="262"/>
      <c r="B93" s="271" t="s">
        <v>584</v>
      </c>
      <c r="C93" s="222" t="n">
        <v>0</v>
      </c>
      <c r="D93" s="261"/>
      <c r="E93" s="223" t="n">
        <f aca="false">C93*E$97/C$97</f>
        <v>0</v>
      </c>
      <c r="F93" s="221"/>
    </row>
    <row r="94" customFormat="false" ht="15" hidden="false" customHeight="false" outlineLevel="0" collapsed="false">
      <c r="A94" s="262"/>
      <c r="B94" s="271" t="s">
        <v>8162</v>
      </c>
      <c r="C94" s="222" t="n">
        <v>0.583333333333333</v>
      </c>
      <c r="D94" s="261" t="s">
        <v>13</v>
      </c>
      <c r="E94" s="223" t="n">
        <f aca="false">C94*E$97/C$97</f>
        <v>6</v>
      </c>
      <c r="F94" s="221" t="s">
        <v>13</v>
      </c>
    </row>
    <row r="95" customFormat="false" ht="15" hidden="false" customHeight="false" outlineLevel="0" collapsed="false">
      <c r="A95" s="262"/>
      <c r="B95" s="271" t="s">
        <v>17</v>
      </c>
      <c r="C95" s="222" t="n">
        <v>1.16666666666667</v>
      </c>
      <c r="D95" s="261" t="s">
        <v>13</v>
      </c>
      <c r="E95" s="223" t="n">
        <f aca="false">C95*E$97/C$97</f>
        <v>12</v>
      </c>
      <c r="F95" s="221" t="s">
        <v>13</v>
      </c>
    </row>
    <row r="96" customFormat="false" ht="15" hidden="false" customHeight="false" outlineLevel="0" collapsed="false">
      <c r="A96" s="262"/>
      <c r="B96" s="284" t="s">
        <v>26</v>
      </c>
      <c r="C96" s="259" t="n">
        <v>1</v>
      </c>
      <c r="D96" s="260" t="s">
        <v>27</v>
      </c>
      <c r="E96" s="258" t="n">
        <f aca="false">C96*E$97/C$97</f>
        <v>10</v>
      </c>
      <c r="F96" s="295" t="s">
        <v>27</v>
      </c>
    </row>
    <row r="97" customFormat="false" ht="15" hidden="false" customHeight="false" outlineLevel="0" collapsed="false">
      <c r="A97" s="262"/>
      <c r="B97" s="284" t="s">
        <v>26</v>
      </c>
      <c r="C97" s="259" t="n">
        <v>35</v>
      </c>
      <c r="D97" s="260" t="s">
        <v>13</v>
      </c>
      <c r="E97" s="492" t="n">
        <f aca="false">35*10</f>
        <v>350</v>
      </c>
      <c r="F97" s="295" t="s">
        <v>13</v>
      </c>
    </row>
    <row r="98" customFormat="false" ht="15" hidden="false" customHeight="false" outlineLevel="0" collapsed="false">
      <c r="A98" s="262"/>
      <c r="B98" s="271"/>
      <c r="C98" s="269"/>
      <c r="D98" s="271"/>
      <c r="E98" s="262"/>
      <c r="F98" s="225"/>
      <c r="L98" s="452"/>
      <c r="M98" s="452"/>
    </row>
    <row r="99" customFormat="false" ht="15" hidden="false" customHeight="false" outlineLevel="0" collapsed="false">
      <c r="A99" s="262"/>
      <c r="B99" s="271"/>
      <c r="C99" s="269"/>
      <c r="D99" s="271"/>
      <c r="E99" s="262"/>
      <c r="F99" s="225"/>
      <c r="L99" s="231" t="s">
        <v>7824</v>
      </c>
      <c r="M99" s="452"/>
    </row>
    <row r="100" customFormat="false" ht="14.45" hidden="false" customHeight="true" outlineLevel="0" collapsed="false">
      <c r="A100" s="468" t="s">
        <v>8163</v>
      </c>
      <c r="B100" s="462" t="s">
        <v>2</v>
      </c>
      <c r="C100" s="324" t="s">
        <v>3</v>
      </c>
      <c r="D100" s="324" t="s">
        <v>4</v>
      </c>
      <c r="E100" s="324" t="s">
        <v>5</v>
      </c>
      <c r="F100" s="324" t="s">
        <v>4</v>
      </c>
      <c r="G100" s="452"/>
    </row>
    <row r="101" customFormat="false" ht="15" hidden="false" customHeight="false" outlineLevel="0" collapsed="false">
      <c r="A101" s="468"/>
      <c r="B101" s="271" t="s">
        <v>553</v>
      </c>
      <c r="C101" s="269" t="n">
        <v>1.5</v>
      </c>
      <c r="D101" s="271" t="s">
        <v>13</v>
      </c>
      <c r="E101" s="223" t="n">
        <f aca="false">C101*E$109/C$109</f>
        <v>52.5</v>
      </c>
      <c r="F101" s="271" t="s">
        <v>13</v>
      </c>
      <c r="G101" s="452"/>
    </row>
    <row r="102" customFormat="false" ht="15" hidden="false" customHeight="false" outlineLevel="0" collapsed="false">
      <c r="A102" s="262"/>
      <c r="B102" s="271" t="s">
        <v>570</v>
      </c>
      <c r="C102" s="269" t="n">
        <v>0.5</v>
      </c>
      <c r="D102" s="271" t="s">
        <v>20</v>
      </c>
      <c r="E102" s="223" t="n">
        <f aca="false">C102*E$109/C$109</f>
        <v>17.5</v>
      </c>
      <c r="F102" s="271" t="s">
        <v>20</v>
      </c>
      <c r="G102" s="452"/>
    </row>
    <row r="103" customFormat="false" ht="15" hidden="false" customHeight="false" outlineLevel="0" collapsed="false">
      <c r="A103" s="262"/>
      <c r="B103" s="271" t="s">
        <v>562</v>
      </c>
      <c r="C103" s="269" t="n">
        <v>0.2</v>
      </c>
      <c r="D103" s="271" t="s">
        <v>20</v>
      </c>
      <c r="E103" s="223" t="n">
        <f aca="false">C103*E$109/C$109</f>
        <v>7</v>
      </c>
      <c r="F103" s="271" t="s">
        <v>20</v>
      </c>
      <c r="G103" s="452"/>
    </row>
    <row r="104" customFormat="false" ht="15" hidden="false" customHeight="false" outlineLevel="0" collapsed="false">
      <c r="A104" s="262"/>
      <c r="B104" s="271" t="s">
        <v>32</v>
      </c>
      <c r="C104" s="269" t="n">
        <v>1</v>
      </c>
      <c r="D104" s="271" t="s">
        <v>20</v>
      </c>
      <c r="E104" s="223" t="n">
        <f aca="false">C104*E$109/C$109</f>
        <v>35</v>
      </c>
      <c r="F104" s="271" t="s">
        <v>20</v>
      </c>
      <c r="G104" s="452"/>
    </row>
    <row r="105" customFormat="false" ht="15" hidden="false" customHeight="false" outlineLevel="0" collapsed="false">
      <c r="A105" s="262"/>
      <c r="B105" s="271" t="s">
        <v>586</v>
      </c>
      <c r="C105" s="269" t="n">
        <v>0.5</v>
      </c>
      <c r="D105" s="271" t="s">
        <v>13</v>
      </c>
      <c r="E105" s="223" t="n">
        <f aca="false">C105*E$109/C$109</f>
        <v>17.5</v>
      </c>
      <c r="F105" s="271" t="s">
        <v>13</v>
      </c>
      <c r="G105" s="452"/>
    </row>
    <row r="106" customFormat="false" ht="15" hidden="false" customHeight="false" outlineLevel="0" collapsed="false">
      <c r="A106" s="262"/>
      <c r="B106" s="271" t="s">
        <v>8164</v>
      </c>
      <c r="C106" s="269" t="n">
        <v>15</v>
      </c>
      <c r="D106" s="271" t="s">
        <v>13</v>
      </c>
      <c r="E106" s="223" t="n">
        <f aca="false">C106*E$109/C$109</f>
        <v>525</v>
      </c>
      <c r="F106" s="271" t="s">
        <v>13</v>
      </c>
      <c r="G106" s="452"/>
    </row>
    <row r="107" customFormat="false" ht="15" hidden="false" customHeight="false" outlineLevel="0" collapsed="false">
      <c r="A107" s="262"/>
      <c r="B107" s="271" t="s">
        <v>8165</v>
      </c>
      <c r="C107" s="269" t="n">
        <v>1</v>
      </c>
      <c r="D107" s="271" t="s">
        <v>13</v>
      </c>
      <c r="E107" s="223" t="n">
        <f aca="false">C107*E$109/C$109</f>
        <v>35</v>
      </c>
      <c r="F107" s="271" t="s">
        <v>13</v>
      </c>
      <c r="G107" s="452"/>
    </row>
    <row r="108" customFormat="false" ht="15" hidden="false" customHeight="false" outlineLevel="0" collapsed="false">
      <c r="A108" s="262"/>
      <c r="B108" s="271" t="s">
        <v>26</v>
      </c>
      <c r="C108" s="269" t="n">
        <v>0.43</v>
      </c>
      <c r="D108" s="271" t="s">
        <v>27</v>
      </c>
      <c r="E108" s="223" t="n">
        <f aca="false">C108*E$109/C$109</f>
        <v>15.1</v>
      </c>
      <c r="F108" s="271" t="s">
        <v>27</v>
      </c>
      <c r="G108" s="452"/>
    </row>
    <row r="109" customFormat="false" ht="15" hidden="false" customHeight="false" outlineLevel="0" collapsed="false">
      <c r="A109" s="262"/>
      <c r="B109" s="284" t="s">
        <v>26</v>
      </c>
      <c r="C109" s="283" t="n">
        <v>15</v>
      </c>
      <c r="D109" s="284" t="s">
        <v>13</v>
      </c>
      <c r="E109" s="262" t="n">
        <v>525</v>
      </c>
      <c r="F109" s="284" t="s">
        <v>13</v>
      </c>
      <c r="G109" s="452"/>
    </row>
    <row r="110" customFormat="false" ht="15" hidden="false" customHeight="false" outlineLevel="0" collapsed="false">
      <c r="A110" s="262"/>
      <c r="B110" s="271"/>
      <c r="C110" s="269"/>
      <c r="D110" s="271"/>
      <c r="E110" s="262"/>
      <c r="F110" s="528"/>
      <c r="G110" s="452"/>
    </row>
    <row r="111" customFormat="false" ht="15" hidden="false" customHeight="false" outlineLevel="0" collapsed="false">
      <c r="A111" s="262"/>
      <c r="B111" s="271"/>
      <c r="C111" s="269"/>
      <c r="D111" s="271"/>
      <c r="E111" s="262"/>
      <c r="F111" s="262"/>
      <c r="G111" s="452"/>
    </row>
    <row r="112" customFormat="false" ht="14.45" hidden="false" customHeight="true" outlineLevel="0" collapsed="false">
      <c r="A112" s="526" t="s">
        <v>8166</v>
      </c>
      <c r="B112" s="462" t="s">
        <v>2</v>
      </c>
      <c r="C112" s="324" t="s">
        <v>3</v>
      </c>
      <c r="D112" s="324" t="s">
        <v>4</v>
      </c>
      <c r="E112" s="324" t="s">
        <v>5</v>
      </c>
      <c r="F112" s="324" t="s">
        <v>4</v>
      </c>
    </row>
    <row r="113" customFormat="false" ht="15" hidden="false" customHeight="false" outlineLevel="0" collapsed="false">
      <c r="A113" s="526"/>
      <c r="B113" s="359" t="s">
        <v>683</v>
      </c>
      <c r="C113" s="301" t="n">
        <v>2.5</v>
      </c>
      <c r="D113" s="359" t="s">
        <v>7</v>
      </c>
      <c r="E113" s="262"/>
      <c r="F113" s="225"/>
    </row>
    <row r="114" customFormat="false" ht="15" hidden="false" customHeight="false" outlineLevel="0" collapsed="false">
      <c r="A114" s="282"/>
      <c r="B114" s="359" t="s">
        <v>7941</v>
      </c>
      <c r="C114" s="301" t="n">
        <v>0.5</v>
      </c>
      <c r="D114" s="359" t="s">
        <v>7</v>
      </c>
      <c r="E114" s="262"/>
      <c r="F114" s="225"/>
      <c r="H114" s="421" t="s">
        <v>8167</v>
      </c>
    </row>
    <row r="115" customFormat="false" ht="15" hidden="false" customHeight="false" outlineLevel="0" collapsed="false">
      <c r="A115" s="262"/>
      <c r="B115" s="359" t="s">
        <v>562</v>
      </c>
      <c r="C115" s="301" t="n">
        <v>0.25</v>
      </c>
      <c r="D115" s="359" t="s">
        <v>20</v>
      </c>
      <c r="E115" s="262"/>
      <c r="F115" s="225"/>
      <c r="H115" s="421" t="s">
        <v>8168</v>
      </c>
    </row>
    <row r="116" customFormat="false" ht="15" hidden="false" customHeight="false" outlineLevel="0" collapsed="false">
      <c r="A116" s="292"/>
      <c r="B116" s="359" t="s">
        <v>8169</v>
      </c>
      <c r="C116" s="301" t="n">
        <v>100</v>
      </c>
      <c r="D116" s="359" t="s">
        <v>109</v>
      </c>
      <c r="E116" s="262"/>
      <c r="F116" s="225"/>
      <c r="H116" s="421" t="s">
        <v>8170</v>
      </c>
    </row>
    <row r="117" customFormat="false" ht="15" hidden="false" customHeight="false" outlineLevel="0" collapsed="false">
      <c r="A117" s="262"/>
      <c r="B117" s="359" t="s">
        <v>17</v>
      </c>
      <c r="C117" s="301" t="n">
        <v>1</v>
      </c>
      <c r="D117" s="359" t="s">
        <v>13</v>
      </c>
      <c r="E117" s="262"/>
      <c r="F117" s="225"/>
    </row>
    <row r="118" customFormat="false" ht="15" hidden="false" customHeight="false" outlineLevel="0" collapsed="false">
      <c r="A118" s="262"/>
      <c r="B118" s="359" t="s">
        <v>32</v>
      </c>
      <c r="C118" s="301" t="n">
        <v>0.5</v>
      </c>
      <c r="D118" s="359" t="s">
        <v>20</v>
      </c>
      <c r="E118" s="262"/>
      <c r="F118" s="225"/>
    </row>
    <row r="119" customFormat="false" ht="15" hidden="false" customHeight="false" outlineLevel="0" collapsed="false">
      <c r="A119" s="262"/>
      <c r="B119" s="359" t="s">
        <v>75</v>
      </c>
      <c r="C119" s="301" t="n">
        <v>4</v>
      </c>
      <c r="D119" s="359" t="s">
        <v>13</v>
      </c>
      <c r="E119" s="262"/>
      <c r="F119" s="225"/>
    </row>
    <row r="120" customFormat="false" ht="15" hidden="false" customHeight="false" outlineLevel="0" collapsed="false">
      <c r="A120" s="292"/>
      <c r="B120" s="359" t="s">
        <v>8171</v>
      </c>
      <c r="C120" s="301" t="n">
        <v>10</v>
      </c>
      <c r="D120" s="359" t="s">
        <v>100</v>
      </c>
      <c r="E120" s="262"/>
      <c r="F120" s="225"/>
    </row>
    <row r="121" customFormat="false" ht="15" hidden="false" customHeight="false" outlineLevel="0" collapsed="false">
      <c r="A121" s="292"/>
      <c r="B121" s="284" t="s">
        <v>26</v>
      </c>
      <c r="C121" s="269" t="n">
        <v>100</v>
      </c>
      <c r="D121" s="271" t="s">
        <v>107</v>
      </c>
      <c r="E121" s="262"/>
      <c r="F121" s="225"/>
      <c r="H121" s="452"/>
    </row>
    <row r="122" customFormat="false" ht="15" hidden="false" customHeight="false" outlineLevel="0" collapsed="false">
      <c r="A122" s="356"/>
      <c r="B122" s="356"/>
      <c r="C122" s="356"/>
      <c r="D122" s="271"/>
      <c r="E122" s="262"/>
      <c r="F122" s="225"/>
      <c r="H122" s="452"/>
    </row>
    <row r="123" customFormat="false" ht="15" hidden="false" customHeight="false" outlineLevel="0" collapsed="false">
      <c r="A123" s="340" t="s">
        <v>8172</v>
      </c>
      <c r="B123" s="362" t="s">
        <v>7944</v>
      </c>
      <c r="C123" s="363" t="s">
        <v>7935</v>
      </c>
      <c r="D123" s="363" t="s">
        <v>4</v>
      </c>
      <c r="E123" s="258"/>
      <c r="F123" s="326"/>
      <c r="H123" s="452"/>
    </row>
    <row r="124" customFormat="false" ht="15" hidden="false" customHeight="false" outlineLevel="0" collapsed="false">
      <c r="A124" s="262"/>
      <c r="B124" s="225" t="s">
        <v>689</v>
      </c>
      <c r="C124" s="269" t="n">
        <v>2625</v>
      </c>
      <c r="D124" s="262" t="s">
        <v>143</v>
      </c>
      <c r="E124" s="220" t="n">
        <f aca="false">C124*E$136/C$136</f>
        <v>26250</v>
      </c>
      <c r="F124" s="262" t="s">
        <v>143</v>
      </c>
      <c r="G124" s="323"/>
      <c r="H124" s="452"/>
    </row>
    <row r="125" customFormat="false" ht="15" hidden="false" customHeight="false" outlineLevel="0" collapsed="false">
      <c r="A125" s="262"/>
      <c r="B125" s="225" t="s">
        <v>577</v>
      </c>
      <c r="C125" s="269" t="n">
        <v>21.875</v>
      </c>
      <c r="D125" s="262" t="s">
        <v>20</v>
      </c>
      <c r="E125" s="220" t="n">
        <f aca="false">C125*E$136/C$136</f>
        <v>218.8</v>
      </c>
      <c r="F125" s="262" t="s">
        <v>20</v>
      </c>
      <c r="G125" s="323"/>
      <c r="H125" s="452"/>
    </row>
    <row r="126" customFormat="false" ht="15" hidden="false" customHeight="false" outlineLevel="0" collapsed="false">
      <c r="A126" s="262"/>
      <c r="B126" s="225" t="s">
        <v>562</v>
      </c>
      <c r="C126" s="269" t="n">
        <v>1.75</v>
      </c>
      <c r="D126" s="262" t="s">
        <v>20</v>
      </c>
      <c r="E126" s="220" t="n">
        <f aca="false">C126*E$136/C$136</f>
        <v>17.5</v>
      </c>
      <c r="F126" s="262" t="s">
        <v>20</v>
      </c>
      <c r="G126" s="323"/>
      <c r="H126" s="452"/>
    </row>
    <row r="127" customFormat="false" ht="15" hidden="false" customHeight="false" outlineLevel="0" collapsed="false">
      <c r="A127" s="262"/>
      <c r="B127" s="225" t="s">
        <v>690</v>
      </c>
      <c r="C127" s="342" t="n">
        <v>400</v>
      </c>
      <c r="D127" s="262" t="s">
        <v>109</v>
      </c>
      <c r="E127" s="220" t="n">
        <f aca="false">C127*E$136/C$136</f>
        <v>4000</v>
      </c>
      <c r="F127" s="262" t="s">
        <v>109</v>
      </c>
      <c r="G127" s="323"/>
      <c r="H127" s="452"/>
    </row>
    <row r="128" customFormat="false" ht="15" hidden="false" customHeight="false" outlineLevel="0" collapsed="false">
      <c r="A128" s="262"/>
      <c r="B128" s="225" t="s">
        <v>542</v>
      </c>
      <c r="C128" s="269" t="n">
        <v>400</v>
      </c>
      <c r="D128" s="262" t="s">
        <v>109</v>
      </c>
      <c r="E128" s="220" t="n">
        <f aca="false">C128*E$136/C$136</f>
        <v>4000</v>
      </c>
      <c r="F128" s="262" t="s">
        <v>109</v>
      </c>
      <c r="G128" s="323"/>
    </row>
    <row r="129" customFormat="false" ht="15" hidden="false" customHeight="false" outlineLevel="0" collapsed="false">
      <c r="A129" s="262"/>
      <c r="B129" s="225" t="s">
        <v>21</v>
      </c>
      <c r="C129" s="269" t="n">
        <v>43.75</v>
      </c>
      <c r="D129" s="262" t="s">
        <v>7</v>
      </c>
      <c r="E129" s="220" t="n">
        <f aca="false">C129*E$136/C$136</f>
        <v>437.5</v>
      </c>
      <c r="F129" s="262" t="s">
        <v>7</v>
      </c>
      <c r="G129" s="323"/>
    </row>
    <row r="130" customFormat="false" ht="15" hidden="false" customHeight="false" outlineLevel="0" collapsed="false">
      <c r="A130" s="262"/>
      <c r="B130" s="225" t="s">
        <v>32</v>
      </c>
      <c r="C130" s="269" t="n">
        <v>5.25</v>
      </c>
      <c r="D130" s="262" t="s">
        <v>20</v>
      </c>
      <c r="E130" s="220" t="n">
        <f aca="false">C130*E$136/C$136</f>
        <v>52.5</v>
      </c>
      <c r="F130" s="262" t="s">
        <v>20</v>
      </c>
      <c r="G130" s="323"/>
    </row>
    <row r="131" customFormat="false" ht="15" hidden="false" customHeight="false" outlineLevel="0" collapsed="false">
      <c r="A131" s="262"/>
      <c r="B131" s="326" t="s">
        <v>584</v>
      </c>
      <c r="C131" s="269"/>
      <c r="D131" s="262"/>
      <c r="E131" s="220" t="n">
        <f aca="false">C131*E$136/C$136</f>
        <v>0</v>
      </c>
      <c r="F131" s="262"/>
      <c r="G131" s="323"/>
    </row>
    <row r="132" customFormat="false" ht="15" hidden="false" customHeight="false" outlineLevel="0" collapsed="false">
      <c r="A132" s="262"/>
      <c r="B132" s="225" t="s">
        <v>689</v>
      </c>
      <c r="C132" s="269" t="n">
        <v>875</v>
      </c>
      <c r="D132" s="262" t="s">
        <v>143</v>
      </c>
      <c r="E132" s="220" t="n">
        <f aca="false">C132*E$136/C$136</f>
        <v>8750</v>
      </c>
      <c r="F132" s="262" t="s">
        <v>143</v>
      </c>
      <c r="G132" s="323"/>
    </row>
    <row r="133" customFormat="false" ht="15" hidden="false" customHeight="false" outlineLevel="0" collapsed="false">
      <c r="A133" s="262"/>
      <c r="B133" s="225" t="s">
        <v>570</v>
      </c>
      <c r="C133" s="269" t="n">
        <v>1.75</v>
      </c>
      <c r="D133" s="262" t="s">
        <v>20</v>
      </c>
      <c r="E133" s="220" t="n">
        <f aca="false">C133*E$136/C$136</f>
        <v>17.5</v>
      </c>
      <c r="F133" s="262" t="s">
        <v>20</v>
      </c>
      <c r="G133" s="323"/>
    </row>
    <row r="134" customFormat="false" ht="15" hidden="false" customHeight="false" outlineLevel="0" collapsed="false">
      <c r="A134" s="262"/>
      <c r="B134" s="225" t="s">
        <v>586</v>
      </c>
      <c r="C134" s="269" t="n">
        <v>17.5</v>
      </c>
      <c r="D134" s="262" t="s">
        <v>20</v>
      </c>
      <c r="E134" s="220" t="n">
        <f aca="false">C134*E$136/C$136</f>
        <v>175</v>
      </c>
      <c r="F134" s="262" t="s">
        <v>20</v>
      </c>
      <c r="G134" s="323"/>
    </row>
    <row r="135" customFormat="false" ht="15" hidden="false" customHeight="false" outlineLevel="0" collapsed="false">
      <c r="A135" s="262"/>
      <c r="B135" s="225" t="s">
        <v>26</v>
      </c>
      <c r="C135" s="269" t="n">
        <v>1.05</v>
      </c>
      <c r="D135" s="262" t="s">
        <v>27</v>
      </c>
      <c r="E135" s="220" t="n">
        <f aca="false">C135*E$136/C$136</f>
        <v>10.5</v>
      </c>
      <c r="F135" s="262" t="s">
        <v>27</v>
      </c>
      <c r="G135" s="323"/>
    </row>
    <row r="136" customFormat="false" ht="15" hidden="false" customHeight="false" outlineLevel="0" collapsed="false">
      <c r="A136" s="262"/>
      <c r="B136" s="225" t="s">
        <v>26</v>
      </c>
      <c r="C136" s="269" t="n">
        <v>35</v>
      </c>
      <c r="D136" s="262" t="s">
        <v>13</v>
      </c>
      <c r="E136" s="223" t="n">
        <f aca="false">35*10</f>
        <v>350</v>
      </c>
      <c r="F136" s="262" t="s">
        <v>13</v>
      </c>
      <c r="G136" s="323"/>
      <c r="J136" s="323"/>
    </row>
  </sheetData>
  <mergeCells count="7">
    <mergeCell ref="A2:A3"/>
    <mergeCell ref="A19:A20"/>
    <mergeCell ref="A33:A34"/>
    <mergeCell ref="A52:A53"/>
    <mergeCell ref="A73:A74"/>
    <mergeCell ref="A100:A101"/>
    <mergeCell ref="A112:A113"/>
  </mergeCells>
  <hyperlinks>
    <hyperlink ref="L99" location="'Yatra Menu'!A1" display="Back to Menu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N3" activeCellId="0" sqref="N3"/>
    </sheetView>
  </sheetViews>
  <sheetFormatPr defaultRowHeight="15" outlineLevelRow="0" outlineLevelCol="0"/>
  <cols>
    <col collapsed="false" customWidth="true" hidden="false" outlineLevel="0" max="10" min="1" style="0" width="8.51"/>
    <col collapsed="false" customWidth="true" hidden="false" outlineLevel="0" max="11" min="11" style="0" width="17.87"/>
    <col collapsed="false" customWidth="true" hidden="false" outlineLevel="0" max="1025" min="12" style="0" width="8.51"/>
  </cols>
  <sheetData>
    <row r="1" customFormat="false" ht="30" hidden="false" customHeight="false" outlineLevel="0" collapsed="false">
      <c r="A1" s="529" t="s">
        <v>8173</v>
      </c>
      <c r="B1" s="529" t="s">
        <v>8174</v>
      </c>
      <c r="C1" s="530" t="s">
        <v>8175</v>
      </c>
      <c r="D1" s="530" t="s">
        <v>8176</v>
      </c>
      <c r="E1" s="530" t="s">
        <v>8177</v>
      </c>
      <c r="F1" s="530" t="s">
        <v>8178</v>
      </c>
      <c r="G1" s="530" t="s">
        <v>8179</v>
      </c>
      <c r="H1" s="530" t="s">
        <v>8180</v>
      </c>
      <c r="I1" s="530" t="s">
        <v>8181</v>
      </c>
      <c r="J1" s="530" t="s">
        <v>8182</v>
      </c>
      <c r="K1" s="530" t="s">
        <v>8183</v>
      </c>
      <c r="L1" s="530" t="s">
        <v>8184</v>
      </c>
    </row>
    <row r="2" customFormat="false" ht="75" hidden="false" customHeight="false" outlineLevel="0" collapsed="false">
      <c r="A2" s="531" t="n">
        <v>7</v>
      </c>
      <c r="B2" s="531" t="s">
        <v>8185</v>
      </c>
      <c r="C2" s="532" t="s">
        <v>8186</v>
      </c>
      <c r="D2" s="533" t="s">
        <v>8187</v>
      </c>
      <c r="E2" s="534" t="s">
        <v>35</v>
      </c>
      <c r="F2" s="534" t="s">
        <v>8188</v>
      </c>
      <c r="G2" s="534" t="s">
        <v>8189</v>
      </c>
      <c r="H2" s="535"/>
      <c r="I2" s="535"/>
      <c r="J2" s="534" t="s">
        <v>91</v>
      </c>
      <c r="K2" s="534" t="s">
        <v>8190</v>
      </c>
      <c r="L2" s="536" t="s">
        <v>8191</v>
      </c>
    </row>
    <row r="3" customFormat="false" ht="60" hidden="false" customHeight="false" outlineLevel="0" collapsed="false">
      <c r="A3" s="537" t="n">
        <v>8</v>
      </c>
      <c r="B3" s="537" t="s">
        <v>8192</v>
      </c>
      <c r="C3" s="538" t="s">
        <v>8193</v>
      </c>
      <c r="D3" s="539" t="s">
        <v>8194</v>
      </c>
      <c r="E3" s="540" t="s">
        <v>8195</v>
      </c>
      <c r="F3" s="540" t="s">
        <v>7834</v>
      </c>
      <c r="G3" s="540" t="s">
        <v>8196</v>
      </c>
      <c r="H3" s="540" t="s">
        <v>8197</v>
      </c>
      <c r="I3" s="538"/>
      <c r="J3" s="538"/>
      <c r="K3" s="540" t="s">
        <v>8198</v>
      </c>
      <c r="L3" s="541" t="s">
        <v>8199</v>
      </c>
    </row>
    <row r="4" customFormat="false" ht="45" hidden="false" customHeight="false" outlineLevel="0" collapsed="false">
      <c r="A4" s="531" t="n">
        <v>9</v>
      </c>
      <c r="B4" s="531" t="s">
        <v>8200</v>
      </c>
      <c r="C4" s="542"/>
      <c r="D4" s="543" t="s">
        <v>8201</v>
      </c>
      <c r="E4" s="544" t="s">
        <v>8202</v>
      </c>
      <c r="F4" s="543" t="s">
        <v>647</v>
      </c>
      <c r="G4" s="543" t="s">
        <v>8203</v>
      </c>
      <c r="H4" s="545" t="s">
        <v>128</v>
      </c>
      <c r="I4" s="546"/>
      <c r="J4" s="546"/>
      <c r="K4" s="543" t="s">
        <v>140</v>
      </c>
      <c r="L4" s="536" t="s">
        <v>8204</v>
      </c>
    </row>
    <row r="5" customFormat="false" ht="60" hidden="false" customHeight="false" outlineLevel="0" collapsed="false">
      <c r="A5" s="537" t="n">
        <v>10</v>
      </c>
      <c r="B5" s="537" t="s">
        <v>8205</v>
      </c>
      <c r="C5" s="547"/>
      <c r="D5" s="540" t="s">
        <v>8206</v>
      </c>
      <c r="E5" s="540" t="s">
        <v>8207</v>
      </c>
      <c r="F5" s="540" t="s">
        <v>8208</v>
      </c>
      <c r="G5" s="540" t="s">
        <v>8209</v>
      </c>
      <c r="H5" s="540" t="s">
        <v>8210</v>
      </c>
      <c r="I5" s="538" t="s">
        <v>8211</v>
      </c>
      <c r="J5" s="540" t="s">
        <v>8212</v>
      </c>
      <c r="K5" s="538" t="s">
        <v>8213</v>
      </c>
      <c r="L5" s="541" t="s">
        <v>8214</v>
      </c>
    </row>
    <row r="6" customFormat="false" ht="60" hidden="false" customHeight="false" outlineLevel="0" collapsed="false">
      <c r="A6" s="531" t="n">
        <v>11</v>
      </c>
      <c r="B6" s="531" t="s">
        <v>8215</v>
      </c>
      <c r="C6" s="546" t="s">
        <v>8216</v>
      </c>
      <c r="D6" s="548" t="s">
        <v>8194</v>
      </c>
      <c r="E6" s="543" t="s">
        <v>8217</v>
      </c>
      <c r="F6" s="543" t="s">
        <v>247</v>
      </c>
      <c r="G6" s="546" t="s">
        <v>8218</v>
      </c>
      <c r="H6" s="543" t="s">
        <v>8219</v>
      </c>
      <c r="I6" s="542"/>
      <c r="J6" s="546"/>
      <c r="K6" s="542"/>
      <c r="L6" s="536" t="s">
        <v>8220</v>
      </c>
    </row>
    <row r="7" customFormat="false" ht="75" hidden="false" customHeight="false" outlineLevel="0" collapsed="false">
      <c r="A7" s="537" t="n">
        <v>12</v>
      </c>
      <c r="B7" s="537" t="s">
        <v>8221</v>
      </c>
      <c r="C7" s="538" t="s">
        <v>8222</v>
      </c>
      <c r="D7" s="549" t="s">
        <v>8223</v>
      </c>
      <c r="E7" s="540" t="s">
        <v>7966</v>
      </c>
      <c r="F7" s="540" t="s">
        <v>7974</v>
      </c>
      <c r="G7" s="540" t="s">
        <v>7976</v>
      </c>
      <c r="H7" s="540" t="s">
        <v>7988</v>
      </c>
      <c r="I7" s="547"/>
      <c r="J7" s="540" t="s">
        <v>7998</v>
      </c>
      <c r="K7" s="538"/>
      <c r="L7" s="550" t="s">
        <v>8224</v>
      </c>
    </row>
    <row r="8" customFormat="false" ht="30" hidden="false" customHeight="false" outlineLevel="0" collapsed="false">
      <c r="A8" s="531" t="n">
        <v>13</v>
      </c>
      <c r="B8" s="531" t="s">
        <v>8225</v>
      </c>
      <c r="C8" s="546"/>
      <c r="D8" s="546" t="s">
        <v>8226</v>
      </c>
      <c r="E8" s="545" t="s">
        <v>8227</v>
      </c>
      <c r="F8" s="545" t="s">
        <v>683</v>
      </c>
      <c r="G8" s="543" t="s">
        <v>8002</v>
      </c>
      <c r="H8" s="545" t="s">
        <v>8228</v>
      </c>
      <c r="I8" s="542"/>
      <c r="J8" s="542"/>
      <c r="K8" s="542"/>
      <c r="L8" s="536" t="s">
        <v>8229</v>
      </c>
    </row>
    <row r="9" customFormat="false" ht="45" hidden="false" customHeight="false" outlineLevel="0" collapsed="false">
      <c r="A9" s="537" t="n">
        <v>14</v>
      </c>
      <c r="B9" s="537" t="s">
        <v>8185</v>
      </c>
      <c r="C9" s="538"/>
      <c r="D9" s="540" t="s">
        <v>8201</v>
      </c>
      <c r="E9" s="540" t="s">
        <v>8202</v>
      </c>
      <c r="F9" s="540" t="s">
        <v>8230</v>
      </c>
      <c r="G9" s="540" t="s">
        <v>8231</v>
      </c>
      <c r="H9" s="540" t="s">
        <v>8031</v>
      </c>
      <c r="I9" s="538"/>
      <c r="J9" s="545" t="s">
        <v>8048</v>
      </c>
      <c r="K9" s="538"/>
      <c r="L9" s="541" t="s">
        <v>8232</v>
      </c>
    </row>
    <row r="10" customFormat="false" ht="60" hidden="false" customHeight="false" outlineLevel="0" collapsed="false">
      <c r="A10" s="531" t="n">
        <v>15</v>
      </c>
      <c r="B10" s="531" t="s">
        <v>8192</v>
      </c>
      <c r="C10" s="546" t="s">
        <v>8233</v>
      </c>
      <c r="D10" s="542"/>
      <c r="E10" s="543" t="s">
        <v>8234</v>
      </c>
      <c r="F10" s="543" t="s">
        <v>8235</v>
      </c>
      <c r="G10" s="543" t="s">
        <v>8236</v>
      </c>
      <c r="H10" s="542"/>
      <c r="I10" s="546"/>
      <c r="J10" s="545" t="s">
        <v>8067</v>
      </c>
      <c r="K10" s="543" t="s">
        <v>8237</v>
      </c>
      <c r="L10" s="523" t="s">
        <v>8106</v>
      </c>
    </row>
    <row r="11" customFormat="false" ht="45" hidden="false" customHeight="false" outlineLevel="0" collapsed="false">
      <c r="A11" s="537" t="n">
        <v>16</v>
      </c>
      <c r="B11" s="537" t="s">
        <v>8200</v>
      </c>
      <c r="C11" s="538" t="s">
        <v>8238</v>
      </c>
      <c r="D11" s="549" t="s">
        <v>8223</v>
      </c>
      <c r="E11" s="538" t="s">
        <v>575</v>
      </c>
      <c r="F11" s="540" t="s">
        <v>8239</v>
      </c>
      <c r="G11" s="540" t="s">
        <v>8112</v>
      </c>
      <c r="H11" s="547"/>
      <c r="I11" s="547"/>
      <c r="J11" s="540" t="s">
        <v>8117</v>
      </c>
      <c r="K11" s="547"/>
      <c r="L11" s="551" t="s">
        <v>8240</v>
      </c>
    </row>
    <row r="12" customFormat="false" ht="45" hidden="false" customHeight="false" outlineLevel="0" collapsed="false">
      <c r="A12" s="531" t="n">
        <v>17</v>
      </c>
      <c r="B12" s="531" t="s">
        <v>8205</v>
      </c>
      <c r="C12" s="546"/>
      <c r="D12" s="543" t="s">
        <v>8241</v>
      </c>
      <c r="E12" s="543" t="s">
        <v>8242</v>
      </c>
      <c r="F12" s="543" t="s">
        <v>8243</v>
      </c>
      <c r="G12" s="543" t="s">
        <v>8156</v>
      </c>
      <c r="H12" s="543" t="s">
        <v>8244</v>
      </c>
      <c r="I12" s="543" t="s">
        <v>8211</v>
      </c>
      <c r="J12" s="545" t="s">
        <v>8245</v>
      </c>
      <c r="K12" s="546" t="s">
        <v>8246</v>
      </c>
      <c r="L12" s="523" t="s">
        <v>8247</v>
      </c>
    </row>
  </sheetData>
  <hyperlinks>
    <hyperlink ref="D2" location="'07L '!A3" display="Varai Khichdi, Potato Salli,lemongrass tea"/>
    <hyperlink ref="E2" location="'07L '!A35" display="Varai Pulav"/>
    <hyperlink ref="F2" location="'07L '!A57" display="Soup"/>
    <hyperlink ref="G2" location="'07L '!A81" display="Alu flower gravy"/>
    <hyperlink ref="J2" location="'07L '!A128" display="Potato chips"/>
    <hyperlink ref="K2" location="'07L '!A115" display="Kakdi Singdana salad"/>
    <hyperlink ref="D3" location="'08L'!A7" display="Mix Veg Poha, Ginger tea"/>
    <hyperlink ref="E3" location="'08L'!A50" display="Broccoli  pulav"/>
    <hyperlink ref="F3" location="'08L'!A73" display="Turdal Tadka"/>
    <hyperlink ref="G3" location="'08L'!A94" display="Sweet corn milk coconut gravy"/>
    <hyperlink ref="H3" location="'08L'!A126" display="Veg Kadhai with panir"/>
    <hyperlink ref="K3" location="'08L'!A150" display="Lettuce Cherry tomato Salad"/>
    <hyperlink ref="D4" location="'09L'!A4" display="Upma, Rasam"/>
    <hyperlink ref="E4" location="'09L'!A46" display="Jeera rice"/>
    <hyperlink ref="F4" location="'09L'!A73" display="Matar ki dal"/>
    <hyperlink ref="G4" location="'09L'!A104" display="Veg Kofta"/>
    <hyperlink ref="H4" location="'09L'!A178" display="Beans Tahini Sauce"/>
    <hyperlink ref="K4" location="'09L'!A214" display="Boondi raita"/>
    <hyperlink ref="D5" location="'10L'!A6" display="Mumbai bhel, Lemongrass tea"/>
    <hyperlink ref="E5" location="'10L'!A78" display="Curd rice"/>
    <hyperlink ref="F5" location="'10L'!A105" display="Sambar GP"/>
    <hyperlink ref="G5" location="'10L'!A140" display="Dosa Bhaji wet"/>
    <hyperlink ref="H5" location="'10L'!A176" display="Cabbage SI"/>
    <hyperlink ref="J5" location="'10L'!A234" display="Tomato Pudina chutni"/>
    <hyperlink ref="D6" location="'11L'!A4" display="Mix Veg Poha, Ginger tea"/>
    <hyperlink ref="E6" location="'11L'!A92" display="Nithai rice"/>
    <hyperlink ref="F6" location="'11L'!A117" display="Minestrone soup"/>
    <hyperlink ref="H6" location="'11L'!A143" display="Sauted Vegetables with panir"/>
    <hyperlink ref="D7" location="'12L'!A5" display="Dalia Upma, Ragi Malt"/>
    <hyperlink ref="E7" location="'12L'!A48" display="Veg Pulav"/>
    <hyperlink ref="F7" location="'12L'!A84" display="Kadi"/>
    <hyperlink ref="G7" location="'12L'!A105" display="Italian Potatoes"/>
    <hyperlink ref="H7" location="'12L'!A145" display="Veg Pahadi"/>
    <hyperlink ref="J7" location="'12L'!A190" display="Ragi papad"/>
    <hyperlink ref="E8" location="'13L'!A2" display="Peas Pulav"/>
    <hyperlink ref="F8" location="'13L'!A31" display="Moong dal"/>
    <hyperlink ref="G8" location="'13L'!A67" display="Chole KB"/>
    <hyperlink ref="H8" location="'13L'!A91" display="Alu Gobi Sukha"/>
    <hyperlink ref="D9" location="'14L'!A3" display="Upma, Rasam"/>
    <hyperlink ref="E9" location="'14L'!A52" display="Jeera rice"/>
    <hyperlink ref="F9" location="'14L'!A80" display="Akha Mung Dal Makhni"/>
    <hyperlink ref="G9" location="'14L'!A123" display="Malai Kofta"/>
    <hyperlink ref="H9" location="'14L'!A164" display="Mix Veg Macaroni"/>
    <hyperlink ref="J9" location="'14L'!A192" display="Kachauri chutney"/>
    <hyperlink ref="L9" location="'14L'!A222" display="Gajar Halwa"/>
    <hyperlink ref="E10" location="'15L'!A3" display="Veg Biryani"/>
    <hyperlink ref="F10" location="'15L'!A37" display="Turdal Ambula"/>
    <hyperlink ref="G10" location="'15L'!A73" display="Panir makhanwala"/>
    <hyperlink ref="J10" location="'15L'!A108" display="Ragda Pattis"/>
    <hyperlink ref="K10" location="'15L'!A160" display="Kakdi Gajar raita"/>
    <hyperlink ref="L10" location="'15L'!A187" display="Kala Jamun"/>
    <hyperlink ref="D11" location="'16L'!A3" display="Dalia Upma, Ragi Malt"/>
    <hyperlink ref="F11" location="'16L'!A45" display="Chanadal Dudhi"/>
    <hyperlink ref="G11" location="'16L'!A67" display="Alu Matar"/>
    <hyperlink ref="J11" location="'16L'!A90" display="Cabbage Pakoda"/>
    <hyperlink ref="D12" location="'17L'!A3" display="Pasta, Sweet corn soup"/>
    <hyperlink ref="E12" location="'17L'!A41" display="Vangi Bhat"/>
    <hyperlink ref="F12" location="'17L'!A62" display="Methi Sambar"/>
    <hyperlink ref="G12" location="'17L'!A83" display="Avial"/>
    <hyperlink ref="H12" location="'17L'!A110" display="Alu twist"/>
    <hyperlink ref="I12" location="'17L'!A121" display="Moong dal uttappa"/>
    <hyperlink ref="J12" location="'17L'!A128" display="Tomato purupu chutni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7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selection pane="topLeft" activeCell="C13" activeCellId="0" sqref="C13"/>
    </sheetView>
  </sheetViews>
  <sheetFormatPr defaultRowHeight="15" outlineLevelRow="0" outlineLevelCol="0"/>
  <cols>
    <col collapsed="false" customWidth="true" hidden="false" outlineLevel="0" max="1" min="1" style="0" width="20.5"/>
    <col collapsed="false" customWidth="true" hidden="false" outlineLevel="0" max="2" min="2" style="1" width="26.87"/>
    <col collapsed="false" customWidth="true" hidden="false" outlineLevel="0" max="3" min="3" style="2" width="7.51"/>
    <col collapsed="false" customWidth="true" hidden="false" outlineLevel="0" max="4" min="4" style="3" width="4.88"/>
    <col collapsed="false" customWidth="true" hidden="false" outlineLevel="0" max="5" min="5" style="2" width="8.51"/>
    <col collapsed="false" customWidth="true" hidden="false" outlineLevel="0" max="6" min="6" style="4" width="4.88"/>
    <col collapsed="false" customWidth="true" hidden="false" outlineLevel="0" max="7" min="7" style="0" width="9.13"/>
    <col collapsed="false" customWidth="true" hidden="false" outlineLevel="0" max="8" min="8" style="1" width="18.62"/>
    <col collapsed="false" customWidth="true" hidden="false" outlineLevel="0" max="9" min="9" style="2" width="9.13"/>
    <col collapsed="false" customWidth="true" hidden="false" outlineLevel="0" max="10" min="10" style="0" width="9.13"/>
    <col collapsed="false" customWidth="true" hidden="false" outlineLevel="0" max="11" min="11" style="0" width="54.75"/>
    <col collapsed="false" customWidth="true" hidden="false" outlineLevel="0" max="1025" min="12" style="0" width="9.13"/>
  </cols>
  <sheetData>
    <row r="1" customFormat="false" ht="15" hidden="false" customHeight="false" outlineLevel="0" collapsed="false">
      <c r="A1" s="5" t="s">
        <v>0</v>
      </c>
      <c r="B1" s="6"/>
      <c r="C1" s="7"/>
      <c r="D1" s="8"/>
      <c r="E1" s="7"/>
      <c r="F1" s="9"/>
      <c r="K1" s="5"/>
    </row>
    <row r="2" customFormat="false" ht="15.75" hidden="false" customHeight="false" outlineLevel="0" collapsed="false">
      <c r="A2" s="10" t="s">
        <v>1</v>
      </c>
      <c r="B2" s="11" t="s">
        <v>2</v>
      </c>
      <c r="C2" s="12" t="s">
        <v>3</v>
      </c>
      <c r="D2" s="10" t="s">
        <v>4</v>
      </c>
      <c r="E2" s="12" t="s">
        <v>5</v>
      </c>
      <c r="F2" s="10" t="s">
        <v>4</v>
      </c>
      <c r="H2" s="1" t="s">
        <v>8248</v>
      </c>
      <c r="I2" s="2" t="s">
        <v>8249</v>
      </c>
      <c r="K2" s="14"/>
    </row>
    <row r="3" customFormat="false" ht="15.75" hidden="false" customHeight="false" outlineLevel="0" collapsed="false">
      <c r="A3" s="15"/>
      <c r="B3" s="16" t="s">
        <v>6</v>
      </c>
      <c r="C3" s="17" t="n">
        <v>3.41666666666667</v>
      </c>
      <c r="D3" s="17" t="s">
        <v>7</v>
      </c>
      <c r="E3" s="18" t="n">
        <f aca="false">C3*E$20/C$20</f>
        <v>34</v>
      </c>
      <c r="F3" s="17" t="s">
        <v>7</v>
      </c>
      <c r="H3" s="16" t="s">
        <v>6</v>
      </c>
      <c r="I3" s="17" t="s">
        <v>7</v>
      </c>
      <c r="K3" s="14" t="str">
        <f aca="false">"Ingredient(name='"&amp;H3&amp;"', rate=0, munit='"&amp;I3&amp;"')"</f>
        <v>Ingredient(name='Varai rice', rate=0, munit='kg')</v>
      </c>
    </row>
    <row r="4" customFormat="false" ht="15.75" hidden="false" customHeight="false" outlineLevel="0" collapsed="false">
      <c r="A4" s="13"/>
      <c r="B4" s="16" t="s">
        <v>8</v>
      </c>
      <c r="C4" s="17" t="n">
        <v>2.91666666666667</v>
      </c>
      <c r="D4" s="17" t="s">
        <v>7</v>
      </c>
      <c r="E4" s="18" t="n">
        <f aca="false">C4*E$20/C$20</f>
        <v>29</v>
      </c>
      <c r="F4" s="17" t="s">
        <v>7</v>
      </c>
      <c r="H4" s="16" t="s">
        <v>8</v>
      </c>
      <c r="I4" s="17" t="s">
        <v>7</v>
      </c>
      <c r="K4" s="14" t="str">
        <f aca="false">"Ingredient(name='"&amp;H4&amp;"', rate=0, munit='"&amp;I4&amp;"')"</f>
        <v>Ingredient(name='Bhopla', rate=0, munit='kg')</v>
      </c>
    </row>
    <row r="5" customFormat="false" ht="15.75" hidden="false" customHeight="false" outlineLevel="0" collapsed="false">
      <c r="A5" s="13"/>
      <c r="B5" s="11" t="s">
        <v>9</v>
      </c>
      <c r="C5" s="19" t="n">
        <v>2.91666666666667</v>
      </c>
      <c r="D5" s="12" t="s">
        <v>7</v>
      </c>
      <c r="E5" s="18" t="n">
        <f aca="false">C5*E$20/C$20</f>
        <v>29</v>
      </c>
      <c r="F5" s="12" t="s">
        <v>7</v>
      </c>
      <c r="H5" s="11" t="s">
        <v>9</v>
      </c>
      <c r="I5" s="12" t="s">
        <v>7</v>
      </c>
      <c r="K5" s="14" t="str">
        <f aca="false">"Ingredient(name='"&amp;H5&amp;"', rate=0, munit='"&amp;I5&amp;"')"</f>
        <v>Ingredient(name='Dudhi', rate=0, munit='kg')</v>
      </c>
    </row>
    <row r="6" customFormat="false" ht="15.75" hidden="false" customHeight="false" outlineLevel="0" collapsed="false">
      <c r="A6" s="13"/>
      <c r="B6" s="16" t="s">
        <v>10</v>
      </c>
      <c r="C6" s="17" t="n">
        <v>1.25</v>
      </c>
      <c r="D6" s="17" t="s">
        <v>7</v>
      </c>
      <c r="E6" s="18" t="n">
        <f aca="false">C6*E$20/C$20</f>
        <v>13</v>
      </c>
      <c r="F6" s="17" t="s">
        <v>7</v>
      </c>
      <c r="H6" s="16" t="s">
        <v>10</v>
      </c>
      <c r="I6" s="17" t="s">
        <v>7</v>
      </c>
      <c r="K6" s="14" t="str">
        <f aca="false">"Ingredient(name='"&amp;H6&amp;"', rate=0, munit='"&amp;I6&amp;"')"</f>
        <v>Ingredient(name='Alu', rate=0, munit='kg')</v>
      </c>
    </row>
    <row r="7" customFormat="false" ht="15.75" hidden="false" customHeight="false" outlineLevel="0" collapsed="false">
      <c r="A7" s="13"/>
      <c r="B7" s="16" t="s">
        <v>11</v>
      </c>
      <c r="C7" s="17" t="n">
        <v>1.25</v>
      </c>
      <c r="D7" s="17" t="s">
        <v>7</v>
      </c>
      <c r="E7" s="18" t="n">
        <f aca="false">C7*E$20/C$20</f>
        <v>13</v>
      </c>
      <c r="F7" s="17" t="s">
        <v>7</v>
      </c>
      <c r="H7" s="16" t="s">
        <v>11</v>
      </c>
      <c r="I7" s="17" t="s">
        <v>7</v>
      </c>
      <c r="K7" s="14" t="str">
        <f aca="false">"Ingredient(name='"&amp;H7&amp;"', rate=0, munit='"&amp;I7&amp;"')"</f>
        <v>Ingredient(name='Gajar', rate=0, munit='kg')</v>
      </c>
    </row>
    <row r="8" customFormat="false" ht="15.75" hidden="false" customHeight="false" outlineLevel="0" collapsed="false">
      <c r="A8" s="13"/>
      <c r="B8" s="20" t="s">
        <v>12</v>
      </c>
      <c r="C8" s="21" t="n">
        <v>1</v>
      </c>
      <c r="D8" s="17" t="s">
        <v>13</v>
      </c>
      <c r="E8" s="18" t="n">
        <f aca="false">C8*E$20/C$20</f>
        <v>10</v>
      </c>
      <c r="F8" s="17" t="s">
        <v>13</v>
      </c>
      <c r="H8" s="20" t="s">
        <v>12</v>
      </c>
      <c r="I8" s="17" t="s">
        <v>8250</v>
      </c>
      <c r="K8" s="14" t="str">
        <f aca="false">"Ingredient(name='"&amp;H8&amp;"', rate=0, munit='"&amp;I8&amp;"')"</f>
        <v>Ingredient(name='Groundnut Oil', rate=0, munit='lt')</v>
      </c>
    </row>
    <row r="9" customFormat="false" ht="15.75" hidden="false" customHeight="false" outlineLevel="0" collapsed="false">
      <c r="A9" s="13"/>
      <c r="B9" s="16" t="s">
        <v>14</v>
      </c>
      <c r="C9" s="17" t="n">
        <v>0.166666666666667</v>
      </c>
      <c r="D9" s="17" t="s">
        <v>13</v>
      </c>
      <c r="E9" s="18" t="n">
        <f aca="false">C9*E$20/C$20</f>
        <v>2</v>
      </c>
      <c r="F9" s="17" t="s">
        <v>13</v>
      </c>
      <c r="H9" s="16" t="s">
        <v>14</v>
      </c>
      <c r="I9" s="17" t="s">
        <v>7</v>
      </c>
      <c r="K9" s="14" t="str">
        <f aca="false">"Ingredient(name='"&amp;H9&amp;"', rate=0, munit='"&amp;I9&amp;"')"</f>
        <v>Ingredient(name='Jeera', rate=0, munit='kg')</v>
      </c>
    </row>
    <row r="10" customFormat="false" ht="15.75" hidden="false" customHeight="false" outlineLevel="0" collapsed="false">
      <c r="A10" s="13"/>
      <c r="B10" s="20" t="s">
        <v>15</v>
      </c>
      <c r="C10" s="17" t="n">
        <v>0.166666666666667</v>
      </c>
      <c r="D10" s="17" t="s">
        <v>13</v>
      </c>
      <c r="E10" s="18" t="n">
        <f aca="false">C10*E$20/C$20</f>
        <v>2</v>
      </c>
      <c r="F10" s="17" t="s">
        <v>13</v>
      </c>
      <c r="H10" s="20" t="s">
        <v>526</v>
      </c>
      <c r="I10" s="17" t="s">
        <v>7</v>
      </c>
      <c r="K10" s="14" t="str">
        <f aca="false">"Ingredient(name='"&amp;H10&amp;"', rate=0, munit='"&amp;I10&amp;"')"</f>
        <v>Ingredient(name='Hari mirchi', rate=0, munit='kg')</v>
      </c>
    </row>
    <row r="11" customFormat="false" ht="15.75" hidden="false" customHeight="false" outlineLevel="0" collapsed="false">
      <c r="A11" s="13"/>
      <c r="B11" s="22" t="s">
        <v>16</v>
      </c>
      <c r="C11" s="18" t="n">
        <v>0.166666666666667</v>
      </c>
      <c r="D11" s="18" t="s">
        <v>13</v>
      </c>
      <c r="E11" s="18" t="n">
        <f aca="false">C11*E$20/C$20</f>
        <v>2</v>
      </c>
      <c r="F11" s="18" t="s">
        <v>13</v>
      </c>
      <c r="H11" s="22" t="s">
        <v>16</v>
      </c>
      <c r="I11" s="18" t="s">
        <v>7</v>
      </c>
      <c r="K11" s="14" t="str">
        <f aca="false">"Ingredient(name='"&amp;H11&amp;"', rate=0, munit='"&amp;I11&amp;"')"</f>
        <v>Ingredient(name='Madrasi Mirchi', rate=0, munit='kg')</v>
      </c>
    </row>
    <row r="12" customFormat="false" ht="15.75" hidden="false" customHeight="false" outlineLevel="0" collapsed="false">
      <c r="A12" s="13"/>
      <c r="B12" s="22" t="s">
        <v>17</v>
      </c>
      <c r="C12" s="21" t="n">
        <v>1</v>
      </c>
      <c r="D12" s="23" t="s">
        <v>13</v>
      </c>
      <c r="E12" s="18" t="n">
        <f aca="false">C12*E$20/C$20</f>
        <v>10</v>
      </c>
      <c r="F12" s="18" t="s">
        <v>13</v>
      </c>
      <c r="H12" s="22" t="s">
        <v>17</v>
      </c>
      <c r="I12" s="18" t="s">
        <v>7</v>
      </c>
      <c r="K12" s="14" t="str">
        <f aca="false">"Ingredient(name='"&amp;H12&amp;"', rate=0, munit='"&amp;I12&amp;"')"</f>
        <v>Ingredient(name='Kadi Patta', rate=0, munit='kg')</v>
      </c>
    </row>
    <row r="13" customFormat="false" ht="15.75" hidden="false" customHeight="false" outlineLevel="0" collapsed="false">
      <c r="A13" s="13"/>
      <c r="B13" s="20" t="s">
        <v>18</v>
      </c>
      <c r="C13" s="17" t="n">
        <v>0.208333333333333</v>
      </c>
      <c r="D13" s="17" t="s">
        <v>13</v>
      </c>
      <c r="E13" s="18" t="n">
        <f aca="false">C13*E$20/C$20</f>
        <v>2</v>
      </c>
      <c r="F13" s="17" t="s">
        <v>13</v>
      </c>
      <c r="H13" s="20" t="s">
        <v>527</v>
      </c>
      <c r="I13" s="17" t="s">
        <v>7</v>
      </c>
      <c r="K13" s="14" t="str">
        <f aca="false">"Ingredient(name='"&amp;H13&amp;"', rate=0, munit='"&amp;I13&amp;"')"</f>
        <v>Ingredient(name='Adrak', rate=0, munit='kg')</v>
      </c>
    </row>
    <row r="14" customFormat="false" ht="15.75" hidden="false" customHeight="false" outlineLevel="0" collapsed="false">
      <c r="A14" s="13"/>
      <c r="B14" s="20" t="s">
        <v>19</v>
      </c>
      <c r="C14" s="17" t="n">
        <v>0.208333333333333</v>
      </c>
      <c r="D14" s="17" t="s">
        <v>20</v>
      </c>
      <c r="E14" s="18" t="n">
        <f aca="false">C14*E$20/C$20</f>
        <v>2</v>
      </c>
      <c r="F14" s="17" t="s">
        <v>20</v>
      </c>
      <c r="H14" s="20" t="s">
        <v>8251</v>
      </c>
      <c r="I14" s="17" t="s">
        <v>7</v>
      </c>
      <c r="K14" s="14" t="str">
        <f aca="false">"Ingredient(name='"&amp;H14&amp;"', rate=0, munit='"&amp;I14&amp;"')"</f>
        <v>Ingredient(name='Kashmiri Michi pwd', rate=0, munit='kg')</v>
      </c>
    </row>
    <row r="15" customFormat="false" ht="15.75" hidden="false" customHeight="false" outlineLevel="0" collapsed="false">
      <c r="A15" s="13"/>
      <c r="B15" s="20" t="s">
        <v>21</v>
      </c>
      <c r="C15" s="21" t="n">
        <v>3</v>
      </c>
      <c r="D15" s="17" t="s">
        <v>7</v>
      </c>
      <c r="E15" s="18" t="n">
        <f aca="false">C15*E$20/C$20</f>
        <v>30</v>
      </c>
      <c r="F15" s="17" t="s">
        <v>7</v>
      </c>
      <c r="H15" s="20" t="s">
        <v>21</v>
      </c>
      <c r="I15" s="17" t="s">
        <v>7</v>
      </c>
      <c r="K15" s="14" t="str">
        <f aca="false">"Ingredient(name='"&amp;H15&amp;"', rate=0, munit='"&amp;I15&amp;"')"</f>
        <v>Ingredient(name='Tomato', rate=0, munit='kg')</v>
      </c>
    </row>
    <row r="16" customFormat="false" ht="15.75" hidden="false" customHeight="false" outlineLevel="0" collapsed="false">
      <c r="A16" s="13"/>
      <c r="B16" s="20" t="s">
        <v>22</v>
      </c>
      <c r="C16" s="21" t="n">
        <v>0.5</v>
      </c>
      <c r="D16" s="17" t="s">
        <v>13</v>
      </c>
      <c r="E16" s="18" t="n">
        <f aca="false">C16*E$20/C$20</f>
        <v>5</v>
      </c>
      <c r="F16" s="17" t="s">
        <v>13</v>
      </c>
      <c r="H16" s="20" t="s">
        <v>22</v>
      </c>
      <c r="I16" s="17" t="s">
        <v>7</v>
      </c>
      <c r="K16" s="14" t="str">
        <f aca="false">"Ingredient(name='"&amp;H16&amp;"', rate=0, munit='"&amp;I16&amp;"')"</f>
        <v>Ingredient(name='Ghee', rate=0, munit='kg')</v>
      </c>
    </row>
    <row r="17" customFormat="false" ht="15.75" hidden="false" customHeight="false" outlineLevel="0" collapsed="false">
      <c r="A17" s="13"/>
      <c r="B17" s="20" t="s">
        <v>23</v>
      </c>
      <c r="C17" s="21" t="n">
        <v>0.1</v>
      </c>
      <c r="D17" s="17" t="s">
        <v>24</v>
      </c>
      <c r="E17" s="18" t="n">
        <f aca="false">C17*E$20/C$20</f>
        <v>1</v>
      </c>
      <c r="F17" s="17" t="s">
        <v>24</v>
      </c>
      <c r="H17" s="20" t="s">
        <v>23</v>
      </c>
      <c r="I17" s="17" t="s">
        <v>7</v>
      </c>
      <c r="K17" s="14" t="str">
        <f aca="false">"Ingredient(name='"&amp;H17&amp;"', rate=0, munit='"&amp;I17&amp;"')"</f>
        <v>Ingredient(name='Dhania patta', rate=0, munit='kg')</v>
      </c>
    </row>
    <row r="18" customFormat="false" ht="15.75" hidden="false" customHeight="false" outlineLevel="0" collapsed="false">
      <c r="A18" s="13"/>
      <c r="B18" s="11" t="s">
        <v>25</v>
      </c>
      <c r="C18" s="19" t="n">
        <v>0.0833333333333333</v>
      </c>
      <c r="D18" s="12" t="s">
        <v>13</v>
      </c>
      <c r="E18" s="18" t="n">
        <f aca="false">C18*E$20/C$20</f>
        <v>1</v>
      </c>
      <c r="F18" s="12" t="s">
        <v>13</v>
      </c>
      <c r="H18" s="11" t="s">
        <v>25</v>
      </c>
      <c r="I18" s="12" t="s">
        <v>7</v>
      </c>
      <c r="K18" s="14" t="str">
        <f aca="false">"Ingredient(name='"&amp;H18&amp;"', rate=0, munit='"&amp;I18&amp;"')"</f>
        <v>Ingredient(name='Jeera pwd', rate=0, munit='kg')</v>
      </c>
    </row>
    <row r="19" customFormat="false" ht="15.75" hidden="false" customHeight="false" outlineLevel="0" collapsed="false">
      <c r="A19" s="13"/>
      <c r="B19" s="24" t="s">
        <v>26</v>
      </c>
      <c r="C19" s="25" t="n">
        <v>1</v>
      </c>
      <c r="D19" s="25" t="s">
        <v>27</v>
      </c>
      <c r="E19" s="18" t="n">
        <f aca="false">C19*E$20/C$20</f>
        <v>10</v>
      </c>
      <c r="F19" s="25" t="s">
        <v>27</v>
      </c>
      <c r="K19" s="14"/>
    </row>
    <row r="20" customFormat="false" ht="15.75" hidden="false" customHeight="false" outlineLevel="0" collapsed="false">
      <c r="A20" s="13"/>
      <c r="B20" s="24" t="s">
        <v>26</v>
      </c>
      <c r="C20" s="25" t="n">
        <v>35</v>
      </c>
      <c r="D20" s="25" t="s">
        <v>13</v>
      </c>
      <c r="E20" s="26" t="n">
        <f aca="false">35*10</f>
        <v>350</v>
      </c>
      <c r="F20" s="25" t="s">
        <v>13</v>
      </c>
      <c r="K20" s="14"/>
    </row>
    <row r="21" customFormat="false" ht="15.75" hidden="false" customHeight="false" outlineLevel="0" collapsed="false">
      <c r="A21" s="13"/>
      <c r="B21" s="22"/>
      <c r="C21" s="18"/>
      <c r="D21" s="27"/>
      <c r="E21" s="18"/>
      <c r="F21" s="13"/>
      <c r="K21" s="14"/>
    </row>
    <row r="22" customFormat="false" ht="15.75" hidden="false" customHeight="false" outlineLevel="0" collapsed="false">
      <c r="A22" s="14"/>
      <c r="B22" s="22"/>
      <c r="C22" s="18"/>
      <c r="D22" s="13"/>
      <c r="E22" s="28"/>
      <c r="F22" s="13"/>
      <c r="K22" s="14"/>
    </row>
    <row r="23" customFormat="false" ht="15.75" hidden="false" customHeight="false" outlineLevel="0" collapsed="false">
      <c r="A23" s="10" t="s">
        <v>28</v>
      </c>
      <c r="B23" s="22" t="s">
        <v>29</v>
      </c>
      <c r="C23" s="18" t="n">
        <v>4</v>
      </c>
      <c r="D23" s="13" t="s">
        <v>7</v>
      </c>
      <c r="E23" s="28" t="n">
        <f aca="false">C23*6.25</f>
        <v>25</v>
      </c>
      <c r="F23" s="13" t="s">
        <v>7</v>
      </c>
      <c r="H23" s="22" t="s">
        <v>29</v>
      </c>
      <c r="I23" s="18" t="s">
        <v>7</v>
      </c>
      <c r="K23" s="14"/>
    </row>
    <row r="24" customFormat="false" ht="15.75" hidden="false" customHeight="false" outlineLevel="0" collapsed="false">
      <c r="A24" s="14"/>
      <c r="B24" s="29" t="s">
        <v>30</v>
      </c>
      <c r="C24" s="30" t="n">
        <v>0.5</v>
      </c>
      <c r="D24" s="31" t="s">
        <v>20</v>
      </c>
      <c r="E24" s="28" t="n">
        <f aca="false">C24*6.25</f>
        <v>3.125</v>
      </c>
      <c r="F24" s="31" t="s">
        <v>20</v>
      </c>
      <c r="H24" s="29" t="s">
        <v>30</v>
      </c>
      <c r="I24" s="23" t="s">
        <v>7</v>
      </c>
      <c r="K24" s="14"/>
    </row>
    <row r="25" customFormat="false" ht="15.75" hidden="false" customHeight="false" outlineLevel="0" collapsed="false">
      <c r="A25" s="14"/>
      <c r="B25" s="29" t="s">
        <v>31</v>
      </c>
      <c r="C25" s="30" t="n">
        <v>0.5</v>
      </c>
      <c r="D25" s="31" t="s">
        <v>20</v>
      </c>
      <c r="E25" s="28" t="n">
        <f aca="false">C25*6.25</f>
        <v>3.125</v>
      </c>
      <c r="F25" s="31" t="s">
        <v>20</v>
      </c>
      <c r="H25" s="29" t="s">
        <v>31</v>
      </c>
      <c r="I25" s="23" t="s">
        <v>7</v>
      </c>
      <c r="K25" s="14"/>
    </row>
    <row r="26" customFormat="false" ht="15.75" hidden="false" customHeight="false" outlineLevel="0" collapsed="false">
      <c r="A26" s="14"/>
      <c r="B26" s="29" t="s">
        <v>32</v>
      </c>
      <c r="C26" s="30" t="n">
        <v>0.5</v>
      </c>
      <c r="D26" s="31" t="s">
        <v>20</v>
      </c>
      <c r="E26" s="28" t="n">
        <f aca="false">C26*6.25</f>
        <v>3.125</v>
      </c>
      <c r="F26" s="31" t="s">
        <v>20</v>
      </c>
      <c r="H26" s="29" t="s">
        <v>32</v>
      </c>
      <c r="I26" s="23" t="s">
        <v>7</v>
      </c>
      <c r="K26" s="14"/>
    </row>
    <row r="27" customFormat="false" ht="15.75" hidden="false" customHeight="false" outlineLevel="0" collapsed="false">
      <c r="A27" s="14"/>
      <c r="B27" s="32" t="s">
        <v>33</v>
      </c>
      <c r="C27" s="30"/>
      <c r="D27" s="33"/>
      <c r="E27" s="28" t="n">
        <f aca="false">C27*6.25</f>
        <v>0</v>
      </c>
      <c r="F27" s="33"/>
      <c r="K27" s="14"/>
    </row>
    <row r="28" customFormat="false" ht="15.75" hidden="false" customHeight="false" outlineLevel="0" collapsed="false">
      <c r="A28" s="14"/>
      <c r="B28" s="29" t="s">
        <v>34</v>
      </c>
      <c r="C28" s="30" t="n">
        <v>1</v>
      </c>
      <c r="D28" s="31" t="s">
        <v>27</v>
      </c>
      <c r="E28" s="28" t="n">
        <f aca="false">C28*6.25</f>
        <v>6.25</v>
      </c>
      <c r="F28" s="31" t="s">
        <v>27</v>
      </c>
      <c r="K28" s="14"/>
    </row>
    <row r="29" customFormat="false" ht="15.75" hidden="false" customHeight="false" outlineLevel="0" collapsed="false">
      <c r="A29" s="14"/>
      <c r="B29" s="20"/>
      <c r="C29" s="28"/>
      <c r="D29" s="34"/>
      <c r="E29" s="28"/>
      <c r="F29" s="35"/>
      <c r="K29" s="14"/>
    </row>
    <row r="30" customFormat="false" ht="15.75" hidden="false" customHeight="false" outlineLevel="0" collapsed="false">
      <c r="A30" s="13" t="s">
        <v>35</v>
      </c>
      <c r="B30" s="22" t="s">
        <v>2</v>
      </c>
      <c r="C30" s="18" t="s">
        <v>3</v>
      </c>
      <c r="D30" s="13" t="s">
        <v>4</v>
      </c>
      <c r="E30" s="18" t="s">
        <v>5</v>
      </c>
      <c r="F30" s="13" t="s">
        <v>4</v>
      </c>
      <c r="K30" s="14"/>
    </row>
    <row r="31" customFormat="false" ht="15.75" hidden="false" customHeight="false" outlineLevel="0" collapsed="false">
      <c r="A31" s="36"/>
      <c r="B31" s="20" t="s">
        <v>6</v>
      </c>
      <c r="C31" s="37" t="n">
        <v>30</v>
      </c>
      <c r="D31" s="28" t="s">
        <v>7</v>
      </c>
      <c r="E31" s="12" t="n">
        <f aca="false">C31/1.2</f>
        <v>25</v>
      </c>
      <c r="F31" s="28" t="s">
        <v>7</v>
      </c>
      <c r="H31" s="20" t="s">
        <v>6</v>
      </c>
      <c r="I31" s="28" t="s">
        <v>7</v>
      </c>
      <c r="K31" s="14"/>
    </row>
    <row r="32" customFormat="false" ht="15.75" hidden="false" customHeight="false" outlineLevel="0" collapsed="false">
      <c r="A32" s="14"/>
      <c r="B32" s="20" t="s">
        <v>36</v>
      </c>
      <c r="C32" s="30" t="n">
        <v>10</v>
      </c>
      <c r="D32" s="28" t="s">
        <v>13</v>
      </c>
      <c r="E32" s="18" t="n">
        <f aca="false">C32/1.2</f>
        <v>8.3</v>
      </c>
      <c r="F32" s="28" t="s">
        <v>13</v>
      </c>
      <c r="H32" s="20" t="s">
        <v>12</v>
      </c>
      <c r="I32" s="28" t="s">
        <v>13</v>
      </c>
      <c r="K32" s="14"/>
    </row>
    <row r="33" customFormat="false" ht="15.75" hidden="false" customHeight="false" outlineLevel="0" collapsed="false">
      <c r="A33" s="14"/>
      <c r="B33" s="20" t="s">
        <v>37</v>
      </c>
      <c r="C33" s="28" t="n">
        <v>1</v>
      </c>
      <c r="D33" s="28" t="s">
        <v>13</v>
      </c>
      <c r="E33" s="18" t="n">
        <f aca="false">C33/1.2</f>
        <v>0.8</v>
      </c>
      <c r="F33" s="28" t="s">
        <v>13</v>
      </c>
      <c r="H33" s="20" t="s">
        <v>37</v>
      </c>
      <c r="I33" s="28" t="s">
        <v>7</v>
      </c>
      <c r="K33" s="14"/>
    </row>
    <row r="34" customFormat="false" ht="15.75" hidden="false" customHeight="false" outlineLevel="0" collapsed="false">
      <c r="A34" s="14"/>
      <c r="B34" s="20" t="s">
        <v>14</v>
      </c>
      <c r="C34" s="28" t="n">
        <v>0.75</v>
      </c>
      <c r="D34" s="28" t="s">
        <v>13</v>
      </c>
      <c r="E34" s="18" t="n">
        <f aca="false">C34/1.2</f>
        <v>0.6</v>
      </c>
      <c r="F34" s="28" t="s">
        <v>13</v>
      </c>
      <c r="H34" s="20" t="s">
        <v>14</v>
      </c>
      <c r="I34" s="28" t="s">
        <v>7</v>
      </c>
      <c r="K34" s="14"/>
    </row>
    <row r="35" customFormat="false" ht="15.75" hidden="false" customHeight="false" outlineLevel="0" collapsed="false">
      <c r="A35" s="14"/>
      <c r="B35" s="20" t="s">
        <v>38</v>
      </c>
      <c r="C35" s="28" t="n">
        <v>2</v>
      </c>
      <c r="D35" s="28" t="s">
        <v>13</v>
      </c>
      <c r="E35" s="18" t="n">
        <f aca="false">C35/1.2</f>
        <v>1.7</v>
      </c>
      <c r="F35" s="28" t="s">
        <v>13</v>
      </c>
      <c r="H35" s="20" t="s">
        <v>38</v>
      </c>
      <c r="I35" s="28" t="s">
        <v>7</v>
      </c>
      <c r="K35" s="14"/>
    </row>
    <row r="36" customFormat="false" ht="15.75" hidden="false" customHeight="false" outlineLevel="0" collapsed="false">
      <c r="A36" s="14"/>
      <c r="B36" s="29" t="s">
        <v>11</v>
      </c>
      <c r="C36" s="30" t="n">
        <v>5</v>
      </c>
      <c r="D36" s="30" t="s">
        <v>13</v>
      </c>
      <c r="E36" s="23" t="n">
        <f aca="false">C36/1.2</f>
        <v>4.2</v>
      </c>
      <c r="F36" s="30" t="s">
        <v>13</v>
      </c>
      <c r="H36" s="29" t="s">
        <v>11</v>
      </c>
      <c r="I36" s="30" t="s">
        <v>7</v>
      </c>
      <c r="K36" s="14"/>
    </row>
    <row r="37" customFormat="false" ht="15.75" hidden="false" customHeight="false" outlineLevel="0" collapsed="false">
      <c r="A37" s="14"/>
      <c r="B37" s="29"/>
      <c r="C37" s="30" t="n">
        <v>4</v>
      </c>
      <c r="D37" s="30" t="s">
        <v>7</v>
      </c>
      <c r="E37" s="23" t="n">
        <f aca="false">C37/1.2</f>
        <v>3.3</v>
      </c>
      <c r="F37" s="30" t="s">
        <v>7</v>
      </c>
      <c r="H37" s="29"/>
      <c r="I37" s="30"/>
      <c r="K37" s="14"/>
    </row>
    <row r="38" customFormat="false" ht="15.75" hidden="false" customHeight="false" outlineLevel="0" collapsed="false">
      <c r="A38" s="14"/>
      <c r="B38" s="29" t="s">
        <v>39</v>
      </c>
      <c r="C38" s="30" t="n">
        <v>30</v>
      </c>
      <c r="D38" s="30" t="s">
        <v>13</v>
      </c>
      <c r="E38" s="23" t="n">
        <f aca="false">C38/1.2</f>
        <v>25</v>
      </c>
      <c r="F38" s="30" t="s">
        <v>13</v>
      </c>
      <c r="H38" s="29" t="s">
        <v>39</v>
      </c>
      <c r="I38" s="30" t="s">
        <v>7</v>
      </c>
      <c r="K38" s="14"/>
    </row>
    <row r="39" customFormat="false" ht="15.75" hidden="false" customHeight="false" outlineLevel="0" collapsed="false">
      <c r="A39" s="14"/>
      <c r="B39" s="29"/>
      <c r="C39" s="30" t="n">
        <v>12</v>
      </c>
      <c r="D39" s="30" t="s">
        <v>7</v>
      </c>
      <c r="E39" s="23" t="n">
        <f aca="false">C39/1.2</f>
        <v>10</v>
      </c>
      <c r="F39" s="30" t="s">
        <v>7</v>
      </c>
      <c r="H39" s="29"/>
      <c r="I39" s="30"/>
      <c r="K39" s="14"/>
    </row>
    <row r="40" customFormat="false" ht="15.75" hidden="false" customHeight="false" outlineLevel="0" collapsed="false">
      <c r="A40" s="14"/>
      <c r="B40" s="29" t="s">
        <v>40</v>
      </c>
      <c r="C40" s="30" t="n">
        <v>5</v>
      </c>
      <c r="D40" s="30" t="s">
        <v>13</v>
      </c>
      <c r="E40" s="23" t="n">
        <f aca="false">C40/1.2</f>
        <v>4.2</v>
      </c>
      <c r="F40" s="30" t="s">
        <v>13</v>
      </c>
      <c r="H40" s="29" t="s">
        <v>40</v>
      </c>
      <c r="I40" s="30" t="s">
        <v>7</v>
      </c>
      <c r="K40" s="14"/>
    </row>
    <row r="41" customFormat="false" ht="15.75" hidden="false" customHeight="false" outlineLevel="0" collapsed="false">
      <c r="A41" s="14"/>
      <c r="B41" s="29"/>
      <c r="C41" s="30" t="n">
        <v>3.5</v>
      </c>
      <c r="D41" s="30" t="s">
        <v>7</v>
      </c>
      <c r="E41" s="23" t="n">
        <f aca="false">C41/1.2</f>
        <v>2.9</v>
      </c>
      <c r="F41" s="30" t="s">
        <v>7</v>
      </c>
      <c r="H41" s="29"/>
      <c r="I41" s="30"/>
      <c r="K41" s="14"/>
    </row>
    <row r="42" customFormat="false" ht="15.75" hidden="false" customHeight="false" outlineLevel="0" collapsed="false">
      <c r="A42" s="14"/>
      <c r="B42" s="20" t="s">
        <v>32</v>
      </c>
      <c r="C42" s="28" t="n">
        <v>4</v>
      </c>
      <c r="D42" s="28" t="s">
        <v>20</v>
      </c>
      <c r="E42" s="18" t="n">
        <f aca="false">C42/1.2</f>
        <v>3.3</v>
      </c>
      <c r="F42" s="28" t="s">
        <v>20</v>
      </c>
      <c r="H42" s="20" t="s">
        <v>32</v>
      </c>
      <c r="I42" s="28" t="s">
        <v>7</v>
      </c>
      <c r="K42" s="14"/>
    </row>
    <row r="43" customFormat="false" ht="15.75" hidden="false" customHeight="false" outlineLevel="0" collapsed="false">
      <c r="A43" s="14"/>
      <c r="B43" s="20" t="s">
        <v>41</v>
      </c>
      <c r="C43" s="28" t="n">
        <v>2</v>
      </c>
      <c r="D43" s="28" t="s">
        <v>20</v>
      </c>
      <c r="E43" s="18" t="n">
        <f aca="false">C43/1.2</f>
        <v>1.7</v>
      </c>
      <c r="F43" s="28" t="s">
        <v>20</v>
      </c>
      <c r="H43" s="20" t="s">
        <v>41</v>
      </c>
      <c r="I43" s="28" t="s">
        <v>7</v>
      </c>
      <c r="K43" s="14"/>
    </row>
    <row r="44" customFormat="false" ht="15.75" hidden="false" customHeight="false" outlineLevel="0" collapsed="false">
      <c r="A44" s="39" t="s">
        <v>42</v>
      </c>
      <c r="B44" s="20" t="s">
        <v>43</v>
      </c>
      <c r="C44" s="28" t="n">
        <v>60</v>
      </c>
      <c r="D44" s="28" t="s">
        <v>13</v>
      </c>
      <c r="E44" s="18" t="n">
        <f aca="false">C44/1.2</f>
        <v>50</v>
      </c>
      <c r="F44" s="28" t="s">
        <v>13</v>
      </c>
      <c r="H44" s="20"/>
      <c r="I44" s="28"/>
      <c r="K44" s="14"/>
    </row>
    <row r="45" customFormat="false" ht="15.75" hidden="false" customHeight="false" outlineLevel="0" collapsed="false">
      <c r="A45" s="14"/>
      <c r="B45" s="20" t="s">
        <v>44</v>
      </c>
      <c r="C45" s="28" t="n">
        <v>4</v>
      </c>
      <c r="D45" s="28" t="s">
        <v>20</v>
      </c>
      <c r="E45" s="18" t="n">
        <f aca="false">C45/1.2</f>
        <v>3.3</v>
      </c>
      <c r="F45" s="28" t="s">
        <v>20</v>
      </c>
      <c r="H45" s="20" t="s">
        <v>44</v>
      </c>
      <c r="I45" s="28" t="s">
        <v>7</v>
      </c>
      <c r="K45" s="14"/>
    </row>
    <row r="46" customFormat="false" ht="15.75" hidden="false" customHeight="false" outlineLevel="0" collapsed="false">
      <c r="A46" s="40" t="s">
        <v>45</v>
      </c>
      <c r="B46" s="29" t="s">
        <v>46</v>
      </c>
      <c r="C46" s="28" t="n">
        <v>3.5</v>
      </c>
      <c r="D46" s="28" t="s">
        <v>47</v>
      </c>
      <c r="E46" s="18" t="n">
        <f aca="false">C46/1.2</f>
        <v>2.9</v>
      </c>
      <c r="F46" s="28" t="s">
        <v>47</v>
      </c>
      <c r="K46" s="14"/>
    </row>
    <row r="47" customFormat="false" ht="15.75" hidden="false" customHeight="false" outlineLevel="0" collapsed="false">
      <c r="A47" s="14"/>
      <c r="B47" s="20"/>
      <c r="C47" s="28"/>
      <c r="D47" s="34"/>
      <c r="E47" s="28"/>
      <c r="F47" s="35"/>
      <c r="K47" s="14"/>
    </row>
    <row r="48" customFormat="false" ht="15.75" hidden="false" customHeight="false" outlineLevel="0" collapsed="false">
      <c r="A48" s="14"/>
      <c r="B48" s="20"/>
      <c r="C48" s="28"/>
      <c r="D48" s="34"/>
      <c r="E48" s="28"/>
      <c r="F48" s="35"/>
      <c r="K48" s="14"/>
    </row>
    <row r="49" customFormat="false" ht="15.75" hidden="false" customHeight="false" outlineLevel="0" collapsed="false">
      <c r="A49" s="10" t="s">
        <v>48</v>
      </c>
      <c r="B49" s="11" t="s">
        <v>2</v>
      </c>
      <c r="C49" s="12" t="s">
        <v>3</v>
      </c>
      <c r="D49" s="10" t="s">
        <v>4</v>
      </c>
      <c r="E49" s="12" t="s">
        <v>5</v>
      </c>
      <c r="F49" s="10" t="s">
        <v>4</v>
      </c>
      <c r="K49" s="13"/>
    </row>
    <row r="50" customFormat="false" ht="15.75" hidden="false" customHeight="false" outlineLevel="0" collapsed="false">
      <c r="A50" s="36"/>
      <c r="B50" s="41" t="s">
        <v>21</v>
      </c>
      <c r="C50" s="21" t="n">
        <v>7.5</v>
      </c>
      <c r="D50" s="42" t="s">
        <v>7</v>
      </c>
      <c r="E50" s="21" t="n">
        <f aca="false">C50*E$69/C$69</f>
        <v>64.5</v>
      </c>
      <c r="F50" s="42" t="s">
        <v>7</v>
      </c>
      <c r="H50" s="41" t="s">
        <v>21</v>
      </c>
      <c r="I50" s="42" t="s">
        <v>7</v>
      </c>
      <c r="K50" s="14"/>
    </row>
    <row r="51" customFormat="false" ht="15.75" hidden="false" customHeight="false" outlineLevel="0" collapsed="false">
      <c r="A51" s="36"/>
      <c r="B51" s="43" t="s">
        <v>49</v>
      </c>
      <c r="C51" s="45"/>
      <c r="D51" s="46" t="s">
        <v>13</v>
      </c>
      <c r="E51" s="21"/>
      <c r="F51" s="42"/>
      <c r="H51" s="43"/>
      <c r="I51" s="42"/>
      <c r="K51" s="14"/>
    </row>
    <row r="52" customFormat="false" ht="15.75" hidden="false" customHeight="false" outlineLevel="0" collapsed="false">
      <c r="A52" s="47"/>
      <c r="B52" s="41" t="s">
        <v>8</v>
      </c>
      <c r="C52" s="21" t="n">
        <v>15</v>
      </c>
      <c r="D52" s="42" t="s">
        <v>7</v>
      </c>
      <c r="E52" s="21" t="n">
        <f aca="false">C52*E$69/C$69</f>
        <v>129.1</v>
      </c>
      <c r="F52" s="42" t="s">
        <v>7</v>
      </c>
      <c r="H52" s="41" t="s">
        <v>8</v>
      </c>
      <c r="I52" s="42" t="s">
        <v>7</v>
      </c>
      <c r="K52" s="14"/>
    </row>
    <row r="53" customFormat="false" ht="15.75" hidden="false" customHeight="false" outlineLevel="0" collapsed="false">
      <c r="A53" s="47"/>
      <c r="B53" s="43" t="s">
        <v>49</v>
      </c>
      <c r="C53" s="45"/>
      <c r="D53" s="46" t="s">
        <v>13</v>
      </c>
      <c r="E53" s="21"/>
      <c r="F53" s="42"/>
      <c r="H53" s="43"/>
      <c r="I53" s="42"/>
      <c r="K53" s="14"/>
    </row>
    <row r="54" customFormat="false" ht="15.75" hidden="false" customHeight="false" outlineLevel="0" collapsed="false">
      <c r="A54" s="47"/>
      <c r="B54" s="20" t="s">
        <v>10</v>
      </c>
      <c r="C54" s="21" t="n">
        <v>7.5</v>
      </c>
      <c r="D54" s="42" t="s">
        <v>7</v>
      </c>
      <c r="E54" s="21" t="n">
        <f aca="false">C54*E$69/C$69</f>
        <v>64.5</v>
      </c>
      <c r="F54" s="42" t="s">
        <v>7</v>
      </c>
      <c r="H54" s="20" t="s">
        <v>10</v>
      </c>
      <c r="I54" s="42" t="s">
        <v>7</v>
      </c>
      <c r="K54" s="14"/>
    </row>
    <row r="55" customFormat="false" ht="15.75" hidden="false" customHeight="false" outlineLevel="0" collapsed="false">
      <c r="A55" s="47"/>
      <c r="B55" s="48" t="s">
        <v>49</v>
      </c>
      <c r="C55" s="45"/>
      <c r="D55" s="46" t="s">
        <v>13</v>
      </c>
      <c r="E55" s="21"/>
      <c r="F55" s="42"/>
      <c r="H55" s="48"/>
      <c r="I55" s="42"/>
      <c r="K55" s="14"/>
    </row>
    <row r="56" customFormat="false" ht="15.75" hidden="false" customHeight="false" outlineLevel="0" collapsed="false">
      <c r="A56" s="47"/>
      <c r="B56" s="41" t="s">
        <v>11</v>
      </c>
      <c r="C56" s="21" t="n">
        <v>4.97959183673469</v>
      </c>
      <c r="D56" s="42" t="s">
        <v>7</v>
      </c>
      <c r="E56" s="21" t="n">
        <f aca="false">C56*E$69/C$69</f>
        <v>43</v>
      </c>
      <c r="F56" s="42" t="s">
        <v>7</v>
      </c>
      <c r="H56" s="41" t="s">
        <v>11</v>
      </c>
      <c r="I56" s="42" t="s">
        <v>7</v>
      </c>
      <c r="K56" s="14"/>
    </row>
    <row r="57" customFormat="false" ht="15.75" hidden="false" customHeight="false" outlineLevel="0" collapsed="false">
      <c r="A57" s="47"/>
      <c r="B57" s="43" t="s">
        <v>49</v>
      </c>
      <c r="C57" s="45"/>
      <c r="D57" s="46" t="s">
        <v>13</v>
      </c>
      <c r="E57" s="21"/>
      <c r="F57" s="42"/>
      <c r="H57" s="43"/>
      <c r="K57" s="14"/>
    </row>
    <row r="58" customFormat="false" ht="15.75" hidden="false" customHeight="false" outlineLevel="0" collapsed="false">
      <c r="A58" s="47"/>
      <c r="B58" s="43" t="s">
        <v>50</v>
      </c>
      <c r="C58" s="45"/>
      <c r="D58" s="46" t="s">
        <v>13</v>
      </c>
      <c r="E58" s="21"/>
      <c r="F58" s="42"/>
      <c r="H58" s="43"/>
      <c r="K58" s="14"/>
    </row>
    <row r="59" customFormat="false" ht="15.75" hidden="false" customHeight="false" outlineLevel="0" collapsed="false">
      <c r="A59" s="47"/>
      <c r="B59" s="43" t="s">
        <v>51</v>
      </c>
      <c r="C59" s="21" t="n">
        <v>60</v>
      </c>
      <c r="D59" s="46" t="s">
        <v>13</v>
      </c>
      <c r="E59" s="21"/>
      <c r="F59" s="46" t="s">
        <v>13</v>
      </c>
      <c r="H59" s="43"/>
      <c r="K59" s="14"/>
    </row>
    <row r="60" customFormat="false" ht="15.75" hidden="false" customHeight="false" outlineLevel="0" collapsed="false">
      <c r="A60" s="20"/>
      <c r="B60" s="29" t="s">
        <v>52</v>
      </c>
      <c r="C60" s="23" t="n">
        <v>1.5</v>
      </c>
      <c r="D60" s="42" t="s">
        <v>13</v>
      </c>
      <c r="E60" s="21" t="n">
        <f aca="false">C60*E$69/C$69</f>
        <v>12.9</v>
      </c>
      <c r="F60" s="42" t="s">
        <v>13</v>
      </c>
      <c r="H60" s="29" t="s">
        <v>225</v>
      </c>
      <c r="I60" s="42" t="s">
        <v>7</v>
      </c>
      <c r="K60" s="14"/>
    </row>
    <row r="61" customFormat="false" ht="15.75" hidden="false" customHeight="false" outlineLevel="0" collapsed="false">
      <c r="A61" s="20"/>
      <c r="B61" s="29" t="s">
        <v>53</v>
      </c>
      <c r="C61" s="23" t="n">
        <v>1</v>
      </c>
      <c r="D61" s="42" t="s">
        <v>13</v>
      </c>
      <c r="E61" s="21" t="n">
        <f aca="false">C61*E$69/C$69</f>
        <v>8.6</v>
      </c>
      <c r="F61" s="42" t="s">
        <v>13</v>
      </c>
      <c r="H61" s="29"/>
      <c r="I61" s="42"/>
      <c r="K61" s="14"/>
    </row>
    <row r="62" customFormat="false" ht="15.75" hidden="false" customHeight="false" outlineLevel="0" collapsed="false">
      <c r="A62" s="47"/>
      <c r="B62" s="47" t="s">
        <v>54</v>
      </c>
      <c r="C62" s="17" t="n">
        <v>0.497959183673469</v>
      </c>
      <c r="D62" s="42" t="s">
        <v>20</v>
      </c>
      <c r="E62" s="21" t="n">
        <f aca="false">C62*E$69/C$69</f>
        <v>4.3</v>
      </c>
      <c r="F62" s="42" t="s">
        <v>20</v>
      </c>
      <c r="H62" s="47" t="s">
        <v>54</v>
      </c>
      <c r="I62" s="42" t="s">
        <v>7</v>
      </c>
      <c r="K62" s="14"/>
    </row>
    <row r="63" customFormat="false" ht="15.75" hidden="false" customHeight="false" outlineLevel="0" collapsed="false">
      <c r="A63" s="47"/>
      <c r="B63" s="47" t="s">
        <v>55</v>
      </c>
      <c r="C63" s="17" t="n">
        <v>1</v>
      </c>
      <c r="D63" s="42" t="s">
        <v>7</v>
      </c>
      <c r="E63" s="21" t="n">
        <f aca="false">C63*E$69/C$69</f>
        <v>8.6</v>
      </c>
      <c r="F63" s="42" t="s">
        <v>7</v>
      </c>
      <c r="H63" s="47" t="s">
        <v>55</v>
      </c>
      <c r="I63" s="42" t="s">
        <v>7</v>
      </c>
      <c r="K63" s="14"/>
    </row>
    <row r="64" customFormat="false" ht="15.75" hidden="false" customHeight="false" outlineLevel="0" collapsed="false">
      <c r="A64" s="47"/>
      <c r="B64" s="47" t="s">
        <v>56</v>
      </c>
      <c r="C64" s="28" t="n">
        <v>0.4</v>
      </c>
      <c r="D64" s="28" t="s">
        <v>24</v>
      </c>
      <c r="E64" s="21" t="n">
        <f aca="false">C64*E$69/C$69</f>
        <v>3.4</v>
      </c>
      <c r="F64" s="28" t="s">
        <v>24</v>
      </c>
      <c r="H64" s="47"/>
      <c r="I64" s="28"/>
      <c r="K64" s="14"/>
    </row>
    <row r="65" customFormat="false" ht="15.75" hidden="false" customHeight="false" outlineLevel="0" collapsed="false">
      <c r="A65" s="47"/>
      <c r="B65" s="47" t="s">
        <v>57</v>
      </c>
      <c r="C65" s="17" t="n">
        <v>0.5</v>
      </c>
      <c r="D65" s="42" t="s">
        <v>7</v>
      </c>
      <c r="E65" s="21" t="n">
        <f aca="false">C65*E$69/C$69</f>
        <v>4.3</v>
      </c>
      <c r="F65" s="42" t="s">
        <v>7</v>
      </c>
      <c r="H65" s="47" t="s">
        <v>529</v>
      </c>
      <c r="I65" s="42" t="s">
        <v>7</v>
      </c>
      <c r="K65" s="14"/>
    </row>
    <row r="66" customFormat="false" ht="15.75" hidden="false" customHeight="false" outlineLevel="0" collapsed="false">
      <c r="A66" s="47"/>
      <c r="B66" s="47" t="s">
        <v>32</v>
      </c>
      <c r="C66" s="17" t="n">
        <v>2.98775510204082</v>
      </c>
      <c r="D66" s="42" t="s">
        <v>20</v>
      </c>
      <c r="E66" s="21" t="n">
        <f aca="false">C66*E$69/C$69</f>
        <v>25.8</v>
      </c>
      <c r="F66" s="42" t="s">
        <v>20</v>
      </c>
      <c r="H66" s="47" t="s">
        <v>32</v>
      </c>
      <c r="I66" s="42" t="s">
        <v>7</v>
      </c>
      <c r="K66" s="14"/>
    </row>
    <row r="67" customFormat="false" ht="15.75" hidden="false" customHeight="false" outlineLevel="0" collapsed="false">
      <c r="A67" s="47"/>
      <c r="B67" s="47" t="s">
        <v>58</v>
      </c>
      <c r="C67" s="17" t="n">
        <v>0.5</v>
      </c>
      <c r="D67" s="42" t="s">
        <v>20</v>
      </c>
      <c r="E67" s="21" t="n">
        <f aca="false">C67*E$69/C$69</f>
        <v>4.3</v>
      </c>
      <c r="F67" s="42" t="s">
        <v>20</v>
      </c>
      <c r="H67" s="47" t="s">
        <v>530</v>
      </c>
      <c r="I67" s="42" t="s">
        <v>7</v>
      </c>
      <c r="K67" s="14"/>
    </row>
    <row r="68" customFormat="false" ht="15.75" hidden="false" customHeight="false" outlineLevel="0" collapsed="false">
      <c r="A68" s="20"/>
      <c r="B68" s="50" t="s">
        <v>59</v>
      </c>
      <c r="C68" s="12" t="n">
        <v>1.74285714285714</v>
      </c>
      <c r="D68" s="37" t="s">
        <v>27</v>
      </c>
      <c r="E68" s="21" t="n">
        <f aca="false">C68*E$69/C$69</f>
        <v>14.6</v>
      </c>
      <c r="F68" s="37" t="s">
        <v>27</v>
      </c>
      <c r="K68" s="14"/>
    </row>
    <row r="69" customFormat="false" ht="15.75" hidden="false" customHeight="false" outlineLevel="0" collapsed="false">
      <c r="A69" s="20"/>
      <c r="B69" s="50" t="s">
        <v>59</v>
      </c>
      <c r="C69" s="19" t="n">
        <v>61</v>
      </c>
      <c r="D69" s="37" t="s">
        <v>13</v>
      </c>
      <c r="E69" s="51" t="n">
        <v>525</v>
      </c>
      <c r="F69" s="37" t="s">
        <v>13</v>
      </c>
      <c r="K69" s="14"/>
    </row>
    <row r="70" customFormat="false" ht="15.75" hidden="false" customHeight="false" outlineLevel="0" collapsed="false">
      <c r="A70" s="14"/>
      <c r="B70" s="20"/>
      <c r="C70" s="28"/>
      <c r="D70" s="34"/>
      <c r="E70" s="28"/>
      <c r="F70" s="35"/>
      <c r="K70" s="14"/>
    </row>
    <row r="71" customFormat="false" ht="15.75" hidden="false" customHeight="false" outlineLevel="0" collapsed="false">
      <c r="A71" s="13"/>
      <c r="B71" s="22"/>
      <c r="C71" s="18"/>
      <c r="D71" s="13"/>
      <c r="E71" s="18"/>
      <c r="F71" s="13"/>
      <c r="K71" s="14"/>
    </row>
    <row r="72" customFormat="false" ht="15" hidden="false" customHeight="true" outlineLevel="0" collapsed="false">
      <c r="A72" s="52" t="s">
        <v>60</v>
      </c>
      <c r="B72" s="11" t="s">
        <v>2</v>
      </c>
      <c r="C72" s="12" t="s">
        <v>3</v>
      </c>
      <c r="D72" s="10" t="s">
        <v>4</v>
      </c>
      <c r="E72" s="12" t="s">
        <v>5</v>
      </c>
      <c r="F72" s="10" t="s">
        <v>4</v>
      </c>
      <c r="K72" s="14"/>
    </row>
    <row r="73" customFormat="false" ht="15.75" hidden="false" customHeight="false" outlineLevel="0" collapsed="false">
      <c r="A73" s="52"/>
      <c r="B73" s="22" t="s">
        <v>10</v>
      </c>
      <c r="C73" s="18" t="n">
        <v>11.6666666666667</v>
      </c>
      <c r="D73" s="13" t="s">
        <v>61</v>
      </c>
      <c r="E73" s="18" t="n">
        <f aca="false">C73*E$94/C$94</f>
        <v>188.9</v>
      </c>
      <c r="F73" s="13" t="s">
        <v>61</v>
      </c>
      <c r="H73" s="22" t="s">
        <v>10</v>
      </c>
      <c r="I73" s="13" t="s">
        <v>61</v>
      </c>
      <c r="K73" s="14"/>
    </row>
    <row r="74" customFormat="false" ht="15.75" hidden="false" customHeight="false" outlineLevel="0" collapsed="false">
      <c r="A74" s="20"/>
      <c r="B74" s="20" t="s">
        <v>62</v>
      </c>
      <c r="C74" s="18" t="n">
        <v>11.6666666666667</v>
      </c>
      <c r="D74" s="28" t="s">
        <v>13</v>
      </c>
      <c r="E74" s="18" t="n">
        <f aca="false">C74*E$94/C$94</f>
        <v>188.9</v>
      </c>
      <c r="F74" s="28" t="s">
        <v>13</v>
      </c>
      <c r="H74" s="20"/>
      <c r="I74" s="28"/>
      <c r="K74" s="14"/>
    </row>
    <row r="75" customFormat="false" ht="15.75" hidden="false" customHeight="false" outlineLevel="0" collapsed="false">
      <c r="A75" s="20"/>
      <c r="B75" s="50" t="s">
        <v>63</v>
      </c>
      <c r="C75" s="18" t="n">
        <v>29.1666666666667</v>
      </c>
      <c r="D75" s="28" t="s">
        <v>61</v>
      </c>
      <c r="E75" s="18" t="n">
        <f aca="false">C75*E$94/C$94</f>
        <v>471.4</v>
      </c>
      <c r="F75" s="28" t="s">
        <v>61</v>
      </c>
      <c r="H75" s="50" t="s">
        <v>63</v>
      </c>
      <c r="I75" s="28" t="s">
        <v>61</v>
      </c>
      <c r="K75" s="14"/>
    </row>
    <row r="76" customFormat="false" ht="15.75" hidden="false" customHeight="false" outlineLevel="0" collapsed="false">
      <c r="A76" s="20"/>
      <c r="B76" s="20" t="s">
        <v>64</v>
      </c>
      <c r="C76" s="18" t="n">
        <v>35</v>
      </c>
      <c r="D76" s="28" t="s">
        <v>13</v>
      </c>
      <c r="E76" s="18" t="n">
        <f aca="false">C76*E$94/C$94</f>
        <v>565</v>
      </c>
      <c r="F76" s="28" t="s">
        <v>13</v>
      </c>
      <c r="H76" s="20"/>
      <c r="I76" s="28"/>
      <c r="K76" s="14"/>
    </row>
    <row r="77" customFormat="false" ht="15.75" hidden="false" customHeight="false" outlineLevel="0" collapsed="false">
      <c r="A77" s="20"/>
      <c r="B77" s="20" t="s">
        <v>65</v>
      </c>
      <c r="C77" s="18" t="n">
        <v>11.6666666666667</v>
      </c>
      <c r="D77" s="28" t="s">
        <v>13</v>
      </c>
      <c r="E77" s="18" t="n">
        <f aca="false">C77*E$94/C$94</f>
        <v>188.9</v>
      </c>
      <c r="F77" s="28" t="s">
        <v>13</v>
      </c>
      <c r="H77" s="20"/>
      <c r="I77" s="28"/>
      <c r="K77" s="14"/>
    </row>
    <row r="78" customFormat="false" ht="15.75" hidden="false" customHeight="false" outlineLevel="0" collapsed="false">
      <c r="A78" s="20"/>
      <c r="B78" s="50" t="s">
        <v>66</v>
      </c>
      <c r="C78" s="18" t="n">
        <v>14.5833333333333</v>
      </c>
      <c r="D78" s="28" t="s">
        <v>61</v>
      </c>
      <c r="E78" s="18" t="n">
        <f aca="false">C78*E$94/C$94</f>
        <v>235.7</v>
      </c>
      <c r="F78" s="28" t="s">
        <v>61</v>
      </c>
      <c r="H78" s="50" t="s">
        <v>21</v>
      </c>
      <c r="I78" s="28" t="s">
        <v>61</v>
      </c>
      <c r="K78" s="14"/>
    </row>
    <row r="79" customFormat="false" ht="15.75" hidden="false" customHeight="false" outlineLevel="0" collapsed="false">
      <c r="A79" s="20"/>
      <c r="B79" s="48" t="s">
        <v>67</v>
      </c>
      <c r="C79" s="18"/>
      <c r="D79" s="53" t="s">
        <v>13</v>
      </c>
      <c r="E79" s="18"/>
      <c r="F79" s="28"/>
      <c r="H79" s="48"/>
      <c r="I79" s="28"/>
      <c r="K79" s="14"/>
    </row>
    <row r="80" customFormat="false" ht="15.75" hidden="false" customHeight="false" outlineLevel="0" collapsed="false">
      <c r="A80" s="20"/>
      <c r="B80" s="20" t="s">
        <v>22</v>
      </c>
      <c r="C80" s="18" t="n">
        <v>0.875</v>
      </c>
      <c r="D80" s="28" t="s">
        <v>13</v>
      </c>
      <c r="E80" s="18" t="n">
        <f aca="false">C80*E$94/C$94</f>
        <v>14.5</v>
      </c>
      <c r="F80" s="28" t="s">
        <v>13</v>
      </c>
      <c r="H80" s="20" t="s">
        <v>22</v>
      </c>
      <c r="I80" s="28" t="s">
        <v>7</v>
      </c>
      <c r="K80" s="14"/>
    </row>
    <row r="81" customFormat="false" ht="15.75" hidden="false" customHeight="false" outlineLevel="0" collapsed="false">
      <c r="A81" s="20"/>
      <c r="B81" s="20" t="s">
        <v>14</v>
      </c>
      <c r="C81" s="18" t="n">
        <v>0.875</v>
      </c>
      <c r="D81" s="28" t="s">
        <v>68</v>
      </c>
      <c r="E81" s="18" t="n">
        <f aca="false">C81*E$94/C$94</f>
        <v>14.5</v>
      </c>
      <c r="F81" s="28" t="s">
        <v>68</v>
      </c>
      <c r="H81" s="20" t="s">
        <v>14</v>
      </c>
      <c r="I81" s="28" t="s">
        <v>7</v>
      </c>
      <c r="K81" s="14"/>
    </row>
    <row r="82" customFormat="false" ht="15.75" hidden="false" customHeight="false" outlineLevel="0" collapsed="false">
      <c r="A82" s="20"/>
      <c r="B82" s="20" t="s">
        <v>69</v>
      </c>
      <c r="C82" s="18" t="n">
        <v>1.16666666666667</v>
      </c>
      <c r="D82" s="28" t="s">
        <v>68</v>
      </c>
      <c r="E82" s="18" t="n">
        <f aca="false">C82*E$94/C$94</f>
        <v>19.4</v>
      </c>
      <c r="F82" s="28" t="s">
        <v>68</v>
      </c>
      <c r="H82" s="20" t="s">
        <v>526</v>
      </c>
      <c r="I82" s="28" t="s">
        <v>7</v>
      </c>
      <c r="K82" s="14"/>
    </row>
    <row r="83" customFormat="false" ht="15.75" hidden="false" customHeight="false" outlineLevel="0" collapsed="false">
      <c r="A83" s="20"/>
      <c r="B83" s="20" t="s">
        <v>18</v>
      </c>
      <c r="C83" s="18" t="n">
        <v>0.4375</v>
      </c>
      <c r="D83" s="28" t="s">
        <v>13</v>
      </c>
      <c r="E83" s="18" t="n">
        <f aca="false">C83*E$94/C$94</f>
        <v>6.5</v>
      </c>
      <c r="F83" s="28" t="s">
        <v>13</v>
      </c>
      <c r="H83" s="20" t="s">
        <v>527</v>
      </c>
      <c r="I83" s="28" t="s">
        <v>7</v>
      </c>
      <c r="K83" s="14"/>
    </row>
    <row r="84" customFormat="false" ht="15.75" hidden="false" customHeight="false" outlineLevel="0" collapsed="false">
      <c r="A84" s="20"/>
      <c r="B84" s="20" t="s">
        <v>25</v>
      </c>
      <c r="C84" s="18" t="n">
        <v>0.875</v>
      </c>
      <c r="D84" s="28" t="s">
        <v>68</v>
      </c>
      <c r="E84" s="18" t="n">
        <f aca="false">C84*E$94/C$94</f>
        <v>14.5</v>
      </c>
      <c r="F84" s="28" t="s">
        <v>68</v>
      </c>
      <c r="H84" s="20" t="s">
        <v>14</v>
      </c>
      <c r="I84" s="28" t="s">
        <v>7</v>
      </c>
      <c r="K84" s="14"/>
    </row>
    <row r="85" customFormat="false" ht="15.75" hidden="false" customHeight="false" outlineLevel="0" collapsed="false">
      <c r="A85" s="20"/>
      <c r="B85" s="20" t="s">
        <v>70</v>
      </c>
      <c r="C85" s="18" t="n">
        <v>1.75</v>
      </c>
      <c r="D85" s="28" t="s">
        <v>68</v>
      </c>
      <c r="E85" s="18" t="n">
        <f aca="false">C85*E$94/C$94</f>
        <v>29.1</v>
      </c>
      <c r="F85" s="28" t="s">
        <v>68</v>
      </c>
      <c r="H85" s="20" t="s">
        <v>7674</v>
      </c>
      <c r="I85" s="28" t="s">
        <v>7</v>
      </c>
      <c r="K85" s="14"/>
    </row>
    <row r="86" customFormat="false" ht="15.75" hidden="false" customHeight="false" outlineLevel="0" collapsed="false">
      <c r="A86" s="20"/>
      <c r="B86" s="20" t="s">
        <v>71</v>
      </c>
      <c r="C86" s="18" t="n">
        <v>1.3125</v>
      </c>
      <c r="D86" s="28" t="s">
        <v>68</v>
      </c>
      <c r="E86" s="18" t="n">
        <f aca="false">C86*E$94/C$94</f>
        <v>21</v>
      </c>
      <c r="F86" s="28" t="s">
        <v>68</v>
      </c>
      <c r="H86" s="20" t="s">
        <v>71</v>
      </c>
      <c r="I86" s="28" t="s">
        <v>7</v>
      </c>
      <c r="K86" s="14"/>
    </row>
    <row r="87" customFormat="false" ht="15.75" hidden="false" customHeight="false" outlineLevel="0" collapsed="false">
      <c r="A87" s="20"/>
      <c r="B87" s="20" t="s">
        <v>72</v>
      </c>
      <c r="C87" s="18" t="n">
        <v>1.75</v>
      </c>
      <c r="D87" s="28" t="s">
        <v>68</v>
      </c>
      <c r="E87" s="18" t="n">
        <f aca="false">C87*E$94/C$94</f>
        <v>29.1</v>
      </c>
      <c r="F87" s="28" t="s">
        <v>68</v>
      </c>
      <c r="H87" s="20" t="s">
        <v>72</v>
      </c>
      <c r="I87" s="28" t="s">
        <v>7</v>
      </c>
      <c r="K87" s="14"/>
    </row>
    <row r="88" customFormat="false" ht="15.75" hidden="false" customHeight="false" outlineLevel="0" collapsed="false">
      <c r="A88" s="20"/>
      <c r="B88" s="20" t="s">
        <v>73</v>
      </c>
      <c r="C88" s="18" t="n">
        <v>0.35</v>
      </c>
      <c r="D88" s="28" t="s">
        <v>13</v>
      </c>
      <c r="E88" s="18" t="n">
        <f aca="false">C88*E$94/C$94</f>
        <v>6.5</v>
      </c>
      <c r="F88" s="28" t="s">
        <v>13</v>
      </c>
      <c r="H88" s="20" t="s">
        <v>73</v>
      </c>
      <c r="I88" s="28" t="s">
        <v>7</v>
      </c>
      <c r="K88" s="14"/>
    </row>
    <row r="89" customFormat="false" ht="15.75" hidden="false" customHeight="false" outlineLevel="0" collapsed="false">
      <c r="A89" s="20"/>
      <c r="B89" s="20" t="s">
        <v>74</v>
      </c>
      <c r="C89" s="18" t="n">
        <v>0.583333333333333</v>
      </c>
      <c r="D89" s="28" t="s">
        <v>7</v>
      </c>
      <c r="E89" s="18" t="n">
        <f aca="false">C89*E$94/C$94</f>
        <v>9.7</v>
      </c>
      <c r="F89" s="28" t="s">
        <v>7</v>
      </c>
      <c r="H89" s="20" t="s">
        <v>531</v>
      </c>
      <c r="I89" s="28" t="s">
        <v>7</v>
      </c>
      <c r="K89" s="14"/>
    </row>
    <row r="90" customFormat="false" ht="15.75" hidden="false" customHeight="false" outlineLevel="0" collapsed="false">
      <c r="A90" s="20"/>
      <c r="B90" s="20" t="s">
        <v>57</v>
      </c>
      <c r="C90" s="18" t="n">
        <v>0.583333333333333</v>
      </c>
      <c r="D90" s="28" t="s">
        <v>13</v>
      </c>
      <c r="E90" s="18" t="n">
        <f aca="false">C90*E$94/C$94</f>
        <v>9.7</v>
      </c>
      <c r="F90" s="28" t="s">
        <v>13</v>
      </c>
      <c r="H90" s="20" t="s">
        <v>57</v>
      </c>
      <c r="I90" s="28" t="s">
        <v>7</v>
      </c>
      <c r="K90" s="14"/>
    </row>
    <row r="91" customFormat="false" ht="15.75" hidden="false" customHeight="false" outlineLevel="0" collapsed="false">
      <c r="A91" s="20"/>
      <c r="B91" s="48" t="s">
        <v>57</v>
      </c>
      <c r="C91" s="54" t="n">
        <v>0.425</v>
      </c>
      <c r="D91" s="53" t="s">
        <v>7</v>
      </c>
      <c r="E91" s="18" t="n">
        <f aca="false">C91*E$94/C$94</f>
        <v>6.5</v>
      </c>
      <c r="F91" s="28" t="s">
        <v>7</v>
      </c>
      <c r="H91" s="48"/>
      <c r="I91" s="28"/>
      <c r="K91" s="14"/>
    </row>
    <row r="92" customFormat="false" ht="15.75" hidden="false" customHeight="false" outlineLevel="0" collapsed="false">
      <c r="A92" s="20"/>
      <c r="B92" s="20" t="s">
        <v>75</v>
      </c>
      <c r="C92" s="18" t="n">
        <v>0.583333333333333</v>
      </c>
      <c r="D92" s="28" t="s">
        <v>76</v>
      </c>
      <c r="E92" s="18" t="n">
        <f aca="false">C92*E$94/C$94</f>
        <v>9.7</v>
      </c>
      <c r="F92" s="28" t="s">
        <v>76</v>
      </c>
      <c r="H92" s="20" t="s">
        <v>75</v>
      </c>
      <c r="I92" s="28" t="s">
        <v>7</v>
      </c>
      <c r="K92" s="14"/>
    </row>
    <row r="93" customFormat="false" ht="15.75" hidden="false" customHeight="false" outlineLevel="0" collapsed="false">
      <c r="A93" s="20"/>
      <c r="B93" s="50" t="s">
        <v>26</v>
      </c>
      <c r="C93" s="12" t="n">
        <v>0.991666666666667</v>
      </c>
      <c r="D93" s="37" t="s">
        <v>27</v>
      </c>
      <c r="E93" s="18" t="n">
        <f aca="false">C93*E$94/C$94</f>
        <v>16.1</v>
      </c>
      <c r="F93" s="37" t="s">
        <v>27</v>
      </c>
      <c r="K93" s="14"/>
    </row>
    <row r="94" customFormat="false" ht="15.75" hidden="false" customHeight="false" outlineLevel="0" collapsed="false">
      <c r="A94" s="20"/>
      <c r="B94" s="50" t="s">
        <v>26</v>
      </c>
      <c r="C94" s="12" t="n">
        <v>35</v>
      </c>
      <c r="D94" s="37" t="s">
        <v>13</v>
      </c>
      <c r="E94" s="51" t="n">
        <v>565</v>
      </c>
      <c r="F94" s="37" t="s">
        <v>13</v>
      </c>
      <c r="K94" s="14"/>
    </row>
    <row r="95" customFormat="false" ht="15.75" hidden="false" customHeight="false" outlineLevel="0" collapsed="false">
      <c r="A95" s="20"/>
      <c r="B95" s="20" t="s">
        <v>77</v>
      </c>
      <c r="C95" s="28"/>
      <c r="D95" s="34"/>
      <c r="E95" s="28"/>
      <c r="F95" s="35"/>
      <c r="H95" s="20" t="s">
        <v>77</v>
      </c>
      <c r="I95" s="2" t="s">
        <v>8250</v>
      </c>
      <c r="K95" s="14"/>
    </row>
    <row r="96" customFormat="false" ht="15.75" hidden="false" customHeight="false" outlineLevel="0" collapsed="false">
      <c r="A96" s="14"/>
      <c r="B96" s="20"/>
      <c r="C96" s="28"/>
      <c r="D96" s="34"/>
      <c r="E96" s="28"/>
      <c r="F96" s="35"/>
      <c r="K96" s="14"/>
    </row>
    <row r="97" customFormat="false" ht="15.75" hidden="false" customHeight="false" outlineLevel="0" collapsed="false">
      <c r="A97" s="13"/>
      <c r="B97" s="22"/>
      <c r="C97" s="18"/>
      <c r="D97" s="13"/>
      <c r="E97" s="18"/>
      <c r="F97" s="13"/>
      <c r="K97" s="13"/>
    </row>
    <row r="98" customFormat="false" ht="15" hidden="false" customHeight="true" outlineLevel="0" collapsed="false">
      <c r="A98" s="52" t="s">
        <v>78</v>
      </c>
      <c r="B98" s="11" t="s">
        <v>2</v>
      </c>
      <c r="C98" s="12" t="s">
        <v>3</v>
      </c>
      <c r="D98" s="10" t="s">
        <v>4</v>
      </c>
      <c r="E98" s="12" t="s">
        <v>5</v>
      </c>
      <c r="F98" s="10" t="s">
        <v>4</v>
      </c>
      <c r="K98" s="13"/>
    </row>
    <row r="99" customFormat="false" ht="15.75" hidden="false" customHeight="false" outlineLevel="0" collapsed="false">
      <c r="A99" s="52"/>
      <c r="B99" s="20" t="s">
        <v>80</v>
      </c>
      <c r="C99" s="28" t="n">
        <v>8</v>
      </c>
      <c r="D99" s="28" t="s">
        <v>7</v>
      </c>
      <c r="E99" s="28" t="n">
        <f aca="false">C99*E$109/C$109</f>
        <v>42.2</v>
      </c>
      <c r="F99" s="28" t="s">
        <v>7</v>
      </c>
      <c r="H99" s="20" t="s">
        <v>474</v>
      </c>
      <c r="I99" s="28" t="s">
        <v>7</v>
      </c>
      <c r="K99" s="14"/>
    </row>
    <row r="100" customFormat="false" ht="15.75" hidden="false" customHeight="false" outlineLevel="0" collapsed="false">
      <c r="A100" s="20"/>
      <c r="B100" s="20" t="s">
        <v>81</v>
      </c>
      <c r="C100" s="28" t="n">
        <v>10</v>
      </c>
      <c r="D100" s="28" t="s">
        <v>61</v>
      </c>
      <c r="E100" s="28" t="n">
        <f aca="false">C100*E$109/C$109</f>
        <v>52.75</v>
      </c>
      <c r="F100" s="28" t="s">
        <v>61</v>
      </c>
      <c r="H100" s="20" t="s">
        <v>532</v>
      </c>
      <c r="I100" s="28" t="s">
        <v>7</v>
      </c>
      <c r="K100" s="14"/>
    </row>
    <row r="101" customFormat="false" ht="15.75" hidden="false" customHeight="false" outlineLevel="0" collapsed="false">
      <c r="A101" s="20"/>
      <c r="B101" s="20" t="s">
        <v>82</v>
      </c>
      <c r="C101" s="28" t="n">
        <v>10</v>
      </c>
      <c r="D101" s="28" t="s">
        <v>7</v>
      </c>
      <c r="E101" s="28" t="n">
        <f aca="false">C101*E$109/C$109</f>
        <v>52.75</v>
      </c>
      <c r="F101" s="28" t="s">
        <v>7</v>
      </c>
      <c r="H101" s="20" t="s">
        <v>485</v>
      </c>
      <c r="I101" s="28" t="s">
        <v>7</v>
      </c>
      <c r="K101" s="14"/>
    </row>
    <row r="102" customFormat="false" ht="15.75" hidden="false" customHeight="false" outlineLevel="0" collapsed="false">
      <c r="A102" s="20"/>
      <c r="B102" s="20" t="s">
        <v>83</v>
      </c>
      <c r="C102" s="28" t="n">
        <v>3</v>
      </c>
      <c r="D102" s="28" t="s">
        <v>20</v>
      </c>
      <c r="E102" s="28" t="n">
        <f aca="false">C102*E$109/C$109</f>
        <v>15.825</v>
      </c>
      <c r="F102" s="28" t="s">
        <v>20</v>
      </c>
      <c r="H102" s="20" t="s">
        <v>526</v>
      </c>
      <c r="I102" s="28" t="s">
        <v>7</v>
      </c>
      <c r="K102" s="14"/>
    </row>
    <row r="103" customFormat="false" ht="15.75" hidden="false" customHeight="false" outlineLevel="0" collapsed="false">
      <c r="A103" s="20"/>
      <c r="B103" s="20" t="s">
        <v>32</v>
      </c>
      <c r="C103" s="28" t="n">
        <v>2</v>
      </c>
      <c r="D103" s="28" t="s">
        <v>20</v>
      </c>
      <c r="E103" s="28" t="n">
        <f aca="false">C103*E$109/C$109</f>
        <v>10.55</v>
      </c>
      <c r="F103" s="28" t="s">
        <v>20</v>
      </c>
      <c r="H103" s="20" t="s">
        <v>32</v>
      </c>
      <c r="I103" s="28" t="s">
        <v>7</v>
      </c>
      <c r="K103" s="14"/>
    </row>
    <row r="104" customFormat="false" ht="15.75" hidden="false" customHeight="false" outlineLevel="0" collapsed="false">
      <c r="A104" s="20"/>
      <c r="B104" s="20" t="s">
        <v>23</v>
      </c>
      <c r="C104" s="28" t="n">
        <v>2</v>
      </c>
      <c r="D104" s="28" t="s">
        <v>13</v>
      </c>
      <c r="E104" s="28" t="n">
        <f aca="false">C104*E$109/C$109</f>
        <v>10.55</v>
      </c>
      <c r="F104" s="28" t="s">
        <v>13</v>
      </c>
      <c r="H104" s="20" t="s">
        <v>23</v>
      </c>
      <c r="I104" s="28" t="s">
        <v>7</v>
      </c>
      <c r="K104" s="14"/>
    </row>
    <row r="105" customFormat="false" ht="15.75" hidden="false" customHeight="false" outlineLevel="0" collapsed="false">
      <c r="A105" s="20"/>
      <c r="B105" s="20" t="s">
        <v>85</v>
      </c>
      <c r="C105" s="28" t="n">
        <v>2.5</v>
      </c>
      <c r="D105" s="28" t="s">
        <v>7</v>
      </c>
      <c r="E105" s="28" t="n">
        <f aca="false">C105*E$109/C$109</f>
        <v>13.1875</v>
      </c>
      <c r="F105" s="28" t="s">
        <v>7</v>
      </c>
      <c r="H105" s="20" t="s">
        <v>85</v>
      </c>
      <c r="I105" s="28" t="s">
        <v>7</v>
      </c>
      <c r="K105" s="43"/>
    </row>
    <row r="106" customFormat="false" ht="15.75" hidden="false" customHeight="false" outlineLevel="0" collapsed="false">
      <c r="A106" s="14"/>
      <c r="B106" s="20" t="s">
        <v>86</v>
      </c>
      <c r="C106" s="28" t="n">
        <v>1</v>
      </c>
      <c r="D106" s="28" t="s">
        <v>13</v>
      </c>
      <c r="E106" s="28" t="n">
        <f aca="false">C106*E$109/C$109</f>
        <v>5.275</v>
      </c>
      <c r="F106" s="28" t="s">
        <v>13</v>
      </c>
      <c r="H106" s="20"/>
      <c r="I106" s="28"/>
      <c r="K106" s="43"/>
    </row>
    <row r="107" customFormat="false" ht="15.75" hidden="false" customHeight="false" outlineLevel="0" collapsed="false">
      <c r="A107" s="14" t="s">
        <v>87</v>
      </c>
      <c r="B107" s="20" t="s">
        <v>88</v>
      </c>
      <c r="C107" s="28" t="n">
        <v>5</v>
      </c>
      <c r="D107" s="28" t="s">
        <v>89</v>
      </c>
      <c r="E107" s="28" t="n">
        <f aca="false">C107*E$109/C$109</f>
        <v>26.375</v>
      </c>
      <c r="F107" s="28" t="s">
        <v>89</v>
      </c>
      <c r="H107" s="20" t="s">
        <v>10</v>
      </c>
      <c r="I107" s="28" t="s">
        <v>89</v>
      </c>
      <c r="K107" s="43"/>
    </row>
    <row r="108" customFormat="false" ht="15.75" hidden="false" customHeight="false" outlineLevel="0" collapsed="false">
      <c r="A108" s="14"/>
      <c r="B108" s="20" t="s">
        <v>26</v>
      </c>
      <c r="C108" s="18" t="n">
        <v>1.14</v>
      </c>
      <c r="D108" s="28" t="s">
        <v>27</v>
      </c>
      <c r="E108" s="28" t="n">
        <f aca="false">C108*E$109/C$109</f>
        <v>5.8025</v>
      </c>
      <c r="F108" s="28" t="s">
        <v>27</v>
      </c>
      <c r="I108" s="28"/>
      <c r="K108" s="43"/>
    </row>
    <row r="109" customFormat="false" ht="15.75" hidden="false" customHeight="false" outlineLevel="0" collapsed="false">
      <c r="A109" s="14"/>
      <c r="B109" s="20" t="s">
        <v>26</v>
      </c>
      <c r="C109" s="28" t="n">
        <v>40</v>
      </c>
      <c r="D109" s="28" t="s">
        <v>13</v>
      </c>
      <c r="E109" s="51" t="n">
        <v>211</v>
      </c>
      <c r="F109" s="28" t="s">
        <v>13</v>
      </c>
      <c r="I109" s="28"/>
      <c r="K109" s="14"/>
    </row>
    <row r="110" customFormat="false" ht="15.75" hidden="false" customHeight="false" outlineLevel="0" collapsed="false">
      <c r="A110" s="14"/>
      <c r="B110" s="56" t="s">
        <v>90</v>
      </c>
      <c r="C110" s="53" t="n">
        <v>0.5</v>
      </c>
      <c r="D110" s="53" t="s">
        <v>61</v>
      </c>
      <c r="E110" s="28" t="n">
        <v>5</v>
      </c>
      <c r="F110" s="53" t="s">
        <v>7</v>
      </c>
      <c r="K110" s="14"/>
    </row>
    <row r="111" customFormat="false" ht="15.75" hidden="false" customHeight="false" outlineLevel="0" collapsed="false">
      <c r="A111" s="14"/>
      <c r="B111" s="20"/>
      <c r="C111" s="28"/>
      <c r="D111" s="28"/>
      <c r="E111" s="28"/>
      <c r="F111" s="28"/>
      <c r="K111" s="14"/>
    </row>
    <row r="112" customFormat="false" ht="15.75" hidden="false" customHeight="false" outlineLevel="0" collapsed="false">
      <c r="A112" s="10" t="s">
        <v>91</v>
      </c>
      <c r="B112" s="20" t="s">
        <v>92</v>
      </c>
      <c r="C112" s="28"/>
      <c r="D112" s="28"/>
      <c r="E112" s="28"/>
      <c r="F112" s="28"/>
      <c r="H112" s="20" t="s">
        <v>77</v>
      </c>
      <c r="I112" s="2" t="s">
        <v>8250</v>
      </c>
      <c r="K112" s="14"/>
    </row>
    <row r="113" customFormat="false" ht="15.75" hidden="false" customHeight="false" outlineLevel="0" collapsed="false">
      <c r="A113" s="14"/>
      <c r="B113" s="29" t="s">
        <v>93</v>
      </c>
      <c r="C113" s="30" t="n">
        <v>4</v>
      </c>
      <c r="D113" s="30" t="s">
        <v>7</v>
      </c>
      <c r="E113" s="28" t="n">
        <f aca="false">C113*25</f>
        <v>100</v>
      </c>
      <c r="F113" s="30" t="s">
        <v>7</v>
      </c>
      <c r="H113" s="29" t="s">
        <v>791</v>
      </c>
      <c r="I113" s="2" t="s">
        <v>7</v>
      </c>
      <c r="K113" s="14"/>
    </row>
    <row r="114" customFormat="false" ht="15.75" hidden="false" customHeight="false" outlineLevel="0" collapsed="false">
      <c r="A114" s="14"/>
      <c r="B114" s="41" t="s">
        <v>94</v>
      </c>
      <c r="C114" s="30" t="n">
        <v>0.5</v>
      </c>
      <c r="D114" s="57" t="s">
        <v>20</v>
      </c>
      <c r="E114" s="28" t="n">
        <f aca="false">C114*25</f>
        <v>12.5</v>
      </c>
      <c r="F114" s="57" t="s">
        <v>20</v>
      </c>
      <c r="H114" s="41" t="s">
        <v>94</v>
      </c>
      <c r="I114" s="2" t="s">
        <v>7</v>
      </c>
      <c r="K114" s="14"/>
    </row>
    <row r="115" customFormat="false" ht="15.75" hidden="false" customHeight="false" outlineLevel="0" collapsed="false">
      <c r="A115" s="14"/>
      <c r="B115" s="29" t="s">
        <v>95</v>
      </c>
      <c r="C115" s="30" t="n">
        <v>0.5</v>
      </c>
      <c r="D115" s="33" t="s">
        <v>20</v>
      </c>
      <c r="E115" s="28" t="n">
        <f aca="false">C115*25</f>
        <v>12.5</v>
      </c>
      <c r="F115" s="33" t="s">
        <v>20</v>
      </c>
      <c r="H115" s="29" t="s">
        <v>95</v>
      </c>
      <c r="I115" s="2" t="s">
        <v>7</v>
      </c>
      <c r="K115" s="14"/>
    </row>
    <row r="116" customFormat="false" ht="15.75" hidden="false" customHeight="false" outlineLevel="0" collapsed="false">
      <c r="A116" s="14"/>
      <c r="B116" s="29" t="s">
        <v>96</v>
      </c>
      <c r="C116" s="30" t="n">
        <v>0.5</v>
      </c>
      <c r="D116" s="30" t="s">
        <v>20</v>
      </c>
      <c r="E116" s="28" t="n">
        <f aca="false">C116*25</f>
        <v>12.5</v>
      </c>
      <c r="F116" s="30" t="s">
        <v>20</v>
      </c>
      <c r="H116" s="29" t="s">
        <v>96</v>
      </c>
      <c r="K116" s="14"/>
    </row>
    <row r="117" customFormat="false" ht="15.75" hidden="false" customHeight="false" outlineLevel="0" collapsed="false">
      <c r="A117" s="14"/>
      <c r="B117" s="29" t="s">
        <v>34</v>
      </c>
      <c r="C117" s="30" t="n">
        <v>1</v>
      </c>
      <c r="D117" s="30" t="s">
        <v>27</v>
      </c>
      <c r="E117" s="28" t="n">
        <f aca="false">C117*25</f>
        <v>25</v>
      </c>
      <c r="F117" s="30" t="s">
        <v>27</v>
      </c>
      <c r="H117" s="29"/>
      <c r="K117" s="14"/>
    </row>
  </sheetData>
  <mergeCells count="2">
    <mergeCell ref="A72:A73"/>
    <mergeCell ref="A98:A9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23"/>
  <sheetViews>
    <sheetView showFormulas="false" showGridLines="true" showRowColHeaders="true" showZeros="true" rightToLeft="false" tabSelected="false" showOutlineSymbols="true" defaultGridColor="true" view="normal" topLeftCell="A202" colorId="64" zoomScale="85" zoomScaleNormal="85" zoomScalePageLayoutView="100" workbookViewId="0">
      <selection pane="topLeft" activeCell="B225" activeCellId="0" sqref="B225"/>
    </sheetView>
  </sheetViews>
  <sheetFormatPr defaultRowHeight="13.8" outlineLevelRow="0" outlineLevelCol="0"/>
  <cols>
    <col collapsed="false" customWidth="true" hidden="false" outlineLevel="0" max="1" min="1" style="0" width="21"/>
    <col collapsed="false" customWidth="true" hidden="false" outlineLevel="0" max="2" min="2" style="1" width="21"/>
    <col collapsed="false" customWidth="true" hidden="false" outlineLevel="0" max="3" min="3" style="2" width="9.13"/>
    <col collapsed="false" customWidth="true" hidden="false" outlineLevel="0" max="4" min="4" style="0" width="9.13"/>
    <col collapsed="false" customWidth="true" hidden="false" outlineLevel="0" max="5" min="5" style="0" width="15.38"/>
    <col collapsed="false" customWidth="true" hidden="false" outlineLevel="0" max="6" min="6" style="0" width="22.62"/>
    <col collapsed="false" customWidth="true" hidden="false" outlineLevel="0" max="7" min="7" style="0" width="22.75"/>
    <col collapsed="false" customWidth="true" hidden="false" outlineLevel="0" max="8" min="8" style="0" width="15.26"/>
    <col collapsed="false" customWidth="true" hidden="false" outlineLevel="0" max="9" min="9" style="0" width="41.51"/>
    <col collapsed="false" customWidth="true" hidden="false" outlineLevel="0" max="10" min="10" style="0" width="19.13"/>
    <col collapsed="false" customWidth="true" hidden="false" outlineLevel="0" max="1025" min="11" style="0" width="9.13"/>
  </cols>
  <sheetData>
    <row r="1" customFormat="false" ht="15" hidden="false" customHeight="false" outlineLevel="0" collapsed="false">
      <c r="B1" s="16" t="s">
        <v>8248</v>
      </c>
      <c r="C1" s="17" t="s">
        <v>8249</v>
      </c>
      <c r="D1" s="2" t="s">
        <v>7665</v>
      </c>
      <c r="E1" s="2" t="s">
        <v>8252</v>
      </c>
      <c r="F1" s="2" t="s">
        <v>8253</v>
      </c>
      <c r="G1" s="2" t="s">
        <v>8254</v>
      </c>
      <c r="H1" s="2" t="s">
        <v>8255</v>
      </c>
      <c r="I1" s="14"/>
    </row>
    <row r="2" customFormat="false" ht="15" hidden="false" customHeight="false" outlineLevel="0" collapsed="false">
      <c r="A2" s="0" t="n">
        <v>1</v>
      </c>
      <c r="B2" s="0" t="s">
        <v>102</v>
      </c>
      <c r="C2" s="17" t="s">
        <v>7</v>
      </c>
      <c r="D2" s="2" t="n">
        <v>0</v>
      </c>
      <c r="E2" s="2" t="n">
        <v>0</v>
      </c>
      <c r="F2" s="2" t="n">
        <v>0</v>
      </c>
      <c r="G2" s="2" t="n">
        <v>0</v>
      </c>
      <c r="H2" s="2"/>
      <c r="I2" s="14" t="str">
        <f aca="false">"Ingredient(name='"&amp;B2&amp;"', rate="&amp;D2&amp;", munit='"&amp;C2&amp;"',density_kg_per_lt='"&amp;E2&amp;"',density_pcs_per_kg='"&amp;E2&amp;"',density_pcs_per_lt='"&amp;E2&amp;"').save()"</f>
        <v>Ingredient(name='adrak', rate=0, munit='kg',density_kg_per_lt='0',density_pcs_per_kg='0',density_pcs_per_lt='0').save()</v>
      </c>
    </row>
    <row r="3" customFormat="false" ht="15" hidden="false" customHeight="false" outlineLevel="0" collapsed="false">
      <c r="A3" s="0" t="n">
        <v>2</v>
      </c>
      <c r="B3" s="0" t="s">
        <v>106</v>
      </c>
      <c r="C3" s="17" t="s">
        <v>7</v>
      </c>
      <c r="D3" s="2" t="n">
        <v>0</v>
      </c>
      <c r="E3" s="2" t="n">
        <v>0</v>
      </c>
      <c r="F3" s="2" t="n">
        <v>0</v>
      </c>
      <c r="G3" s="2" t="n">
        <v>0</v>
      </c>
      <c r="H3" s="2"/>
      <c r="I3" s="14" t="str">
        <f aca="false">"Ingredient(name='"&amp;B3&amp;"', rate="&amp;D3&amp;", munit='"&amp;C3&amp;"',density_kg_per_lt='"&amp;E3&amp;"',density_pcs_per_kg='"&amp;E3&amp;"',density_pcs_per_lt='"&amp;E3&amp;"').save()"</f>
        <v>Ingredient(name='ajinomoto', rate=0, munit='kg',density_kg_per_lt='0',density_pcs_per_kg='0',density_pcs_per_lt='0').save()</v>
      </c>
    </row>
    <row r="4" customFormat="false" ht="15" hidden="false" customHeight="false" outlineLevel="0" collapsed="false">
      <c r="A4" s="0" t="n">
        <v>3</v>
      </c>
      <c r="B4" s="0" t="s">
        <v>112</v>
      </c>
      <c r="C4" s="17" t="s">
        <v>7</v>
      </c>
      <c r="D4" s="2" t="n">
        <v>0</v>
      </c>
      <c r="E4" s="2" t="n">
        <v>0</v>
      </c>
      <c r="F4" s="2" t="n">
        <v>0</v>
      </c>
      <c r="G4" s="2" t="n">
        <v>0</v>
      </c>
      <c r="H4" s="2"/>
      <c r="I4" s="14" t="str">
        <f aca="false">"Ingredient(name='"&amp;B4&amp;"', rate="&amp;D4&amp;", munit='"&amp;C4&amp;"',density_kg_per_lt='"&amp;E4&amp;"',density_pcs_per_kg='"&amp;E4&amp;"',density_pcs_per_lt='"&amp;E4&amp;"').save()"</f>
        <v>Ingredient(name='akha dhaniya', rate=0, munit='kg',density_kg_per_lt='0',density_pcs_per_kg='0',density_pcs_per_lt='0').save()</v>
      </c>
    </row>
    <row r="5" customFormat="false" ht="15" hidden="false" customHeight="false" outlineLevel="0" collapsed="false">
      <c r="A5" s="0" t="n">
        <v>4</v>
      </c>
      <c r="B5" s="0" t="s">
        <v>116</v>
      </c>
      <c r="C5" s="17" t="s">
        <v>7</v>
      </c>
      <c r="D5" s="2" t="n">
        <v>0</v>
      </c>
      <c r="E5" s="2" t="n">
        <v>0</v>
      </c>
      <c r="F5" s="2" t="n">
        <v>0</v>
      </c>
      <c r="G5" s="2" t="n">
        <v>0</v>
      </c>
      <c r="H5" s="2"/>
      <c r="I5" s="14" t="str">
        <f aca="false">"Ingredient(name='"&amp;B5&amp;"', rate="&amp;D5&amp;", munit='"&amp;C5&amp;"',density_kg_per_lt='"&amp;E5&amp;"',density_pcs_per_kg='"&amp;E5&amp;"',density_pcs_per_lt='"&amp;E5&amp;"').save()"</f>
        <v>Ingredient(name='akha methi', rate=0, munit='kg',density_kg_per_lt='0',density_pcs_per_kg='0',density_pcs_per_lt='0').save()</v>
      </c>
    </row>
    <row r="6" customFormat="false" ht="15" hidden="false" customHeight="false" outlineLevel="0" collapsed="false">
      <c r="A6" s="0" t="n">
        <v>5</v>
      </c>
      <c r="B6" s="0" t="s">
        <v>120</v>
      </c>
      <c r="C6" s="17" t="s">
        <v>7</v>
      </c>
      <c r="D6" s="2" t="n">
        <v>0</v>
      </c>
      <c r="E6" s="2" t="n">
        <v>0</v>
      </c>
      <c r="F6" s="2" t="n">
        <v>0</v>
      </c>
      <c r="G6" s="2" t="n">
        <v>0</v>
      </c>
      <c r="H6" s="2"/>
      <c r="I6" s="14" t="str">
        <f aca="false">"Ingredient(name='"&amp;B6&amp;"', rate="&amp;D6&amp;", munit='"&amp;C6&amp;"',density_kg_per_lt='"&amp;E6&amp;"',density_pcs_per_kg='"&amp;E6&amp;"',density_pcs_per_lt='"&amp;E6&amp;"').save()"</f>
        <v>Ingredient(name='akha moong', rate=0, munit='kg',density_kg_per_lt='0',density_pcs_per_kg='0',density_pcs_per_lt='0').save()</v>
      </c>
    </row>
    <row r="7" customFormat="false" ht="15" hidden="false" customHeight="false" outlineLevel="0" collapsed="false">
      <c r="A7" s="0" t="n">
        <v>6</v>
      </c>
      <c r="B7" s="0" t="s">
        <v>123</v>
      </c>
      <c r="C7" s="17" t="s">
        <v>7</v>
      </c>
      <c r="D7" s="2" t="n">
        <v>0</v>
      </c>
      <c r="E7" s="2" t="n">
        <v>0</v>
      </c>
      <c r="F7" s="2" t="n">
        <v>0</v>
      </c>
      <c r="G7" s="2" t="n">
        <v>0</v>
      </c>
      <c r="H7" s="2"/>
      <c r="I7" s="14" t="str">
        <f aca="false">"Ingredient(name='"&amp;B7&amp;"', rate="&amp;D7&amp;", munit='"&amp;C7&amp;"',density_kg_per_lt='"&amp;E7&amp;"',density_pcs_per_kg='"&amp;E7&amp;"',density_pcs_per_lt='"&amp;E7&amp;"').save()"</f>
        <v>Ingredient(name='akkha madrasi mirchi', rate=0, munit='kg',density_kg_per_lt='0',density_pcs_per_kg='0',density_pcs_per_lt='0').save()</v>
      </c>
    </row>
    <row r="8" customFormat="false" ht="15" hidden="false" customHeight="false" outlineLevel="0" collapsed="false">
      <c r="A8" s="0" t="n">
        <v>7</v>
      </c>
      <c r="B8" s="0" t="s">
        <v>126</v>
      </c>
      <c r="C8" s="17" t="s">
        <v>7</v>
      </c>
      <c r="D8" s="2" t="n">
        <v>0</v>
      </c>
      <c r="E8" s="2" t="n">
        <v>0</v>
      </c>
      <c r="F8" s="2" t="n">
        <v>0</v>
      </c>
      <c r="G8" s="2" t="n">
        <v>0</v>
      </c>
      <c r="H8" s="2"/>
      <c r="I8" s="14" t="str">
        <f aca="false">"Ingredient(name='"&amp;B8&amp;"', rate="&amp;D8&amp;", munit='"&amp;C8&amp;"',density_kg_per_lt='"&amp;E8&amp;"',density_pcs_per_kg='"&amp;E8&amp;"',density_pcs_per_lt='"&amp;E8&amp;"').save()"</f>
        <v>Ingredient(name='almonds', rate=0, munit='kg',density_kg_per_lt='0',density_pcs_per_kg='0',density_pcs_per_lt='0').save()</v>
      </c>
    </row>
    <row r="9" customFormat="false" ht="15" hidden="false" customHeight="false" outlineLevel="0" collapsed="false">
      <c r="A9" s="0" t="n">
        <v>8</v>
      </c>
      <c r="B9" s="0" t="s">
        <v>130</v>
      </c>
      <c r="C9" s="17" t="s">
        <v>7</v>
      </c>
      <c r="D9" s="2" t="n">
        <v>0</v>
      </c>
      <c r="E9" s="2" t="n">
        <v>0</v>
      </c>
      <c r="F9" s="2" t="n">
        <v>0</v>
      </c>
      <c r="G9" s="2" t="n">
        <v>0</v>
      </c>
      <c r="H9" s="2"/>
      <c r="I9" s="14" t="str">
        <f aca="false">"Ingredient(name='"&amp;B9&amp;"', rate="&amp;D9&amp;", munit='"&amp;C9&amp;"',density_kg_per_lt='"&amp;E9&amp;"',density_pcs_per_kg='"&amp;E9&amp;"',density_pcs_per_lt='"&amp;E9&amp;"').save()"</f>
        <v>Ingredient(name='alu', rate=0, munit='kg',density_kg_per_lt='0',density_pcs_per_kg='0',density_pcs_per_lt='0').save()</v>
      </c>
    </row>
    <row r="10" customFormat="false" ht="15" hidden="false" customHeight="false" outlineLevel="0" collapsed="false">
      <c r="A10" s="0" t="n">
        <v>9</v>
      </c>
      <c r="B10" s="0" t="s">
        <v>134</v>
      </c>
      <c r="C10" s="17" t="s">
        <v>7</v>
      </c>
      <c r="D10" s="2" t="n">
        <v>0</v>
      </c>
      <c r="E10" s="2" t="n">
        <v>0</v>
      </c>
      <c r="F10" s="2" t="n">
        <v>0</v>
      </c>
      <c r="G10" s="2" t="n">
        <v>0</v>
      </c>
      <c r="H10" s="2"/>
      <c r="I10" s="14" t="str">
        <f aca="false">"Ingredient(name='"&amp;B10&amp;"', rate="&amp;D10&amp;", munit='"&amp;C10&amp;"',density_kg_per_lt='"&amp;E10&amp;"',density_pcs_per_kg='"&amp;E10&amp;"',density_pcs_per_lt='"&amp;E10&amp;"').save()"</f>
        <v>Ingredient(name='ambahaldi', rate=0, munit='kg',density_kg_per_lt='0',density_pcs_per_kg='0',density_pcs_per_lt='0').save()</v>
      </c>
    </row>
    <row r="11" customFormat="false" ht="15" hidden="false" customHeight="false" outlineLevel="0" collapsed="false">
      <c r="A11" s="0" t="n">
        <v>10</v>
      </c>
      <c r="B11" s="0" t="s">
        <v>138</v>
      </c>
      <c r="C11" s="17" t="s">
        <v>7</v>
      </c>
      <c r="D11" s="2" t="n">
        <v>0</v>
      </c>
      <c r="E11" s="2" t="n">
        <v>0</v>
      </c>
      <c r="F11" s="2" t="n">
        <v>0</v>
      </c>
      <c r="G11" s="2" t="n">
        <v>0</v>
      </c>
      <c r="H11" s="2"/>
      <c r="I11" s="14" t="str">
        <f aca="false">"Ingredient(name='"&amp;B11&amp;"', rate="&amp;D11&amp;", munit='"&amp;C11&amp;"',density_kg_per_lt='"&amp;E11&amp;"',density_pcs_per_kg='"&amp;E11&amp;"',density_pcs_per_lt='"&amp;E11&amp;"').save()"</f>
        <v>Ingredient(name='amchur', rate=0, munit='kg',density_kg_per_lt='0',density_pcs_per_kg='0',density_pcs_per_lt='0').save()</v>
      </c>
    </row>
    <row r="12" customFormat="false" ht="15" hidden="false" customHeight="false" outlineLevel="0" collapsed="false">
      <c r="A12" s="0" t="n">
        <v>11</v>
      </c>
      <c r="B12" s="0" t="s">
        <v>142</v>
      </c>
      <c r="C12" s="17" t="s">
        <v>7</v>
      </c>
      <c r="D12" s="2" t="n">
        <v>0</v>
      </c>
      <c r="E12" s="2" t="n">
        <v>0</v>
      </c>
      <c r="F12" s="2" t="n">
        <v>0</v>
      </c>
      <c r="G12" s="2" t="n">
        <v>0</v>
      </c>
      <c r="H12" s="2"/>
      <c r="I12" s="14" t="str">
        <f aca="false">"Ingredient(name='"&amp;B12&amp;"', rate="&amp;D12&amp;", munit='"&amp;C12&amp;"',density_kg_per_lt='"&amp;E12&amp;"',density_pcs_per_kg='"&amp;E12&amp;"',density_pcs_per_lt='"&amp;E12&amp;"').save()"</f>
        <v>Ingredient(name='amla churna', rate=0, munit='kg',density_kg_per_lt='0',density_pcs_per_kg='0',density_pcs_per_lt='0').save()</v>
      </c>
    </row>
    <row r="13" customFormat="false" ht="15" hidden="false" customHeight="false" outlineLevel="0" collapsed="false">
      <c r="A13" s="0" t="n">
        <v>12</v>
      </c>
      <c r="B13" s="0" t="s">
        <v>146</v>
      </c>
      <c r="C13" s="17" t="s">
        <v>7</v>
      </c>
      <c r="D13" s="2" t="n">
        <v>0</v>
      </c>
      <c r="E13" s="2" t="n">
        <v>0</v>
      </c>
      <c r="F13" s="2" t="n">
        <v>0</v>
      </c>
      <c r="G13" s="2" t="n">
        <v>0</v>
      </c>
      <c r="H13" s="2"/>
      <c r="I13" s="14" t="str">
        <f aca="false">"Ingredient(name='"&amp;B13&amp;"', rate="&amp;D13&amp;", munit='"&amp;C13&amp;"',density_kg_per_lt='"&amp;E13&amp;"',density_pcs_per_kg='"&amp;E13&amp;"',density_pcs_per_lt='"&amp;E13&amp;"').save()"</f>
        <v>Ingredient(name='amul butter', rate=0, munit='kg',density_kg_per_lt='0',density_pcs_per_kg='0',density_pcs_per_lt='0').save()</v>
      </c>
    </row>
    <row r="14" customFormat="false" ht="15" hidden="false" customHeight="false" outlineLevel="0" collapsed="false">
      <c r="A14" s="0" t="n">
        <v>13</v>
      </c>
      <c r="B14" s="0" t="s">
        <v>150</v>
      </c>
      <c r="C14" s="17" t="s">
        <v>7</v>
      </c>
      <c r="D14" s="2" t="n">
        <v>0</v>
      </c>
      <c r="E14" s="2" t="n">
        <v>0</v>
      </c>
      <c r="F14" s="2" t="n">
        <v>0</v>
      </c>
      <c r="G14" s="2" t="n">
        <v>0</v>
      </c>
      <c r="H14" s="2"/>
      <c r="I14" s="14" t="str">
        <f aca="false">"Ingredient(name='"&amp;B14&amp;"', rate="&amp;D14&amp;", munit='"&amp;C14&amp;"',density_kg_per_lt='"&amp;E14&amp;"',density_pcs_per_kg='"&amp;E14&amp;"',density_pcs_per_lt='"&amp;E14&amp;"').save()"</f>
        <v>Ingredient(name='amul fresh cream', rate=0, munit='kg',density_kg_per_lt='0',density_pcs_per_kg='0',density_pcs_per_lt='0').save()</v>
      </c>
    </row>
    <row r="15" customFormat="false" ht="15" hidden="false" customHeight="false" outlineLevel="0" collapsed="false">
      <c r="A15" s="0" t="n">
        <v>14</v>
      </c>
      <c r="B15" s="0" t="s">
        <v>153</v>
      </c>
      <c r="C15" s="17" t="s">
        <v>7</v>
      </c>
      <c r="D15" s="2" t="n">
        <v>0</v>
      </c>
      <c r="E15" s="2" t="n">
        <v>0</v>
      </c>
      <c r="F15" s="2" t="n">
        <v>0</v>
      </c>
      <c r="G15" s="2" t="n">
        <v>0</v>
      </c>
      <c r="H15" s="2"/>
      <c r="I15" s="14" t="str">
        <f aca="false">"Ingredient(name='"&amp;B15&amp;"', rate="&amp;D15&amp;", munit='"&amp;C15&amp;"',density_kg_per_lt='"&amp;E15&amp;"',density_pcs_per_kg='"&amp;E15&amp;"',density_pcs_per_lt='"&amp;E15&amp;"').save()"</f>
        <v>Ingredient(name='annapoorna sambar masala', rate=0, munit='kg',density_kg_per_lt='0',density_pcs_per_kg='0',density_pcs_per_lt='0').save()</v>
      </c>
    </row>
    <row r="16" customFormat="false" ht="15" hidden="false" customHeight="false" outlineLevel="0" collapsed="false">
      <c r="A16" s="0" t="n">
        <v>15</v>
      </c>
      <c r="B16" s="0" t="s">
        <v>156</v>
      </c>
      <c r="C16" s="17" t="s">
        <v>7</v>
      </c>
      <c r="D16" s="2" t="n">
        <v>0</v>
      </c>
      <c r="E16" s="2" t="n">
        <v>0</v>
      </c>
      <c r="F16" s="2" t="n">
        <v>0</v>
      </c>
      <c r="G16" s="2" t="n">
        <v>0</v>
      </c>
      <c r="H16" s="2"/>
      <c r="I16" s="14" t="str">
        <f aca="false">"Ingredient(name='"&amp;B16&amp;"', rate="&amp;D16&amp;", munit='"&amp;C16&amp;"',density_kg_per_lt='"&amp;E16&amp;"',density_pcs_per_kg='"&amp;E16&amp;"',density_pcs_per_lt='"&amp;E16&amp;"').save()"</f>
        <v>Ingredient(name='apple green colour', rate=0, munit='kg',density_kg_per_lt='0',density_pcs_per_kg='0',density_pcs_per_lt='0').save()</v>
      </c>
    </row>
    <row r="17" customFormat="false" ht="15" hidden="false" customHeight="false" outlineLevel="0" collapsed="false">
      <c r="A17" s="0" t="n">
        <v>16</v>
      </c>
      <c r="B17" s="0" t="s">
        <v>159</v>
      </c>
      <c r="C17" s="17" t="s">
        <v>7</v>
      </c>
      <c r="D17" s="2" t="n">
        <v>0</v>
      </c>
      <c r="E17" s="2" t="n">
        <v>0</v>
      </c>
      <c r="F17" s="2" t="n">
        <v>0</v>
      </c>
      <c r="G17" s="2" t="n">
        <v>0</v>
      </c>
      <c r="H17" s="2"/>
      <c r="I17" s="14" t="str">
        <f aca="false">"Ingredient(name='"&amp;B17&amp;"', rate="&amp;D17&amp;", munit='"&amp;C17&amp;"',density_kg_per_lt='"&amp;E17&amp;"',density_pcs_per_kg='"&amp;E17&amp;"',density_pcs_per_lt='"&amp;E17&amp;"').save()"</f>
        <v>Ingredient(name='baby corn', rate=0, munit='kg',density_kg_per_lt='0',density_pcs_per_kg='0',density_pcs_per_lt='0').save()</v>
      </c>
    </row>
    <row r="18" customFormat="false" ht="15" hidden="false" customHeight="false" outlineLevel="0" collapsed="false">
      <c r="A18" s="0" t="n">
        <v>17</v>
      </c>
      <c r="B18" s="0" t="s">
        <v>162</v>
      </c>
      <c r="C18" s="17" t="s">
        <v>7</v>
      </c>
      <c r="D18" s="2" t="n">
        <v>0</v>
      </c>
      <c r="E18" s="2" t="n">
        <v>0</v>
      </c>
      <c r="F18" s="2" t="n">
        <v>0</v>
      </c>
      <c r="G18" s="2" t="n">
        <v>0</v>
      </c>
      <c r="H18" s="2"/>
      <c r="I18" s="14" t="str">
        <f aca="false">"Ingredient(name='"&amp;B18&amp;"', rate="&amp;D18&amp;", munit='"&amp;C18&amp;"',density_kg_per_lt='"&amp;E18&amp;"',density_pcs_per_kg='"&amp;E18&amp;"',density_pcs_per_lt='"&amp;E18&amp;"').save()"</f>
        <v>Ingredient(name='badi sauf', rate=0, munit='kg',density_kg_per_lt='0',density_pcs_per_kg='0',density_pcs_per_lt='0').save()</v>
      </c>
    </row>
    <row r="19" customFormat="false" ht="15" hidden="false" customHeight="false" outlineLevel="0" collapsed="false">
      <c r="A19" s="0" t="n">
        <v>18</v>
      </c>
      <c r="B19" s="0" t="s">
        <v>165</v>
      </c>
      <c r="C19" s="17" t="s">
        <v>7</v>
      </c>
      <c r="D19" s="2" t="n">
        <v>0</v>
      </c>
      <c r="E19" s="2" t="n">
        <v>0</v>
      </c>
      <c r="F19" s="2" t="n">
        <v>0</v>
      </c>
      <c r="G19" s="2" t="n">
        <v>0</v>
      </c>
      <c r="H19" s="2"/>
      <c r="I19" s="14" t="str">
        <f aca="false">"Ingredient(name='"&amp;B19&amp;"', rate="&amp;D19&amp;", munit='"&amp;C19&amp;"',density_kg_per_lt='"&amp;E19&amp;"',density_pcs_per_kg='"&amp;E19&amp;"',density_pcs_per_lt='"&amp;E19&amp;"').save()"</f>
        <v>Ingredient(name='badsah pulav masala', rate=0, munit='kg',density_kg_per_lt='0',density_pcs_per_kg='0',density_pcs_per_lt='0').save()</v>
      </c>
    </row>
    <row r="20" customFormat="false" ht="15" hidden="false" customHeight="false" outlineLevel="0" collapsed="false">
      <c r="A20" s="0" t="n">
        <v>19</v>
      </c>
      <c r="B20" s="0" t="s">
        <v>168</v>
      </c>
      <c r="C20" s="17" t="s">
        <v>7</v>
      </c>
      <c r="D20" s="2" t="n">
        <v>0</v>
      </c>
      <c r="E20" s="2" t="n">
        <v>0</v>
      </c>
      <c r="F20" s="2" t="n">
        <v>0</v>
      </c>
      <c r="G20" s="2" t="n">
        <v>0</v>
      </c>
      <c r="H20" s="2"/>
      <c r="I20" s="14" t="str">
        <f aca="false">"Ingredient(name='"&amp;B20&amp;"', rate="&amp;D20&amp;", munit='"&amp;C20&amp;"',density_kg_per_lt='"&amp;E20&amp;"',density_pcs_per_kg='"&amp;E20&amp;"',density_pcs_per_lt='"&amp;E20&amp;"').save()"</f>
        <v>Ingredient(name='badshah pav bhaji masala', rate=0, munit='kg',density_kg_per_lt='0',density_pcs_per_kg='0',density_pcs_per_lt='0').save()</v>
      </c>
    </row>
    <row r="21" customFormat="false" ht="15" hidden="false" customHeight="false" outlineLevel="0" collapsed="false">
      <c r="A21" s="0" t="n">
        <v>20</v>
      </c>
      <c r="B21" s="0" t="s">
        <v>171</v>
      </c>
      <c r="C21" s="17" t="s">
        <v>7</v>
      </c>
      <c r="D21" s="2" t="n">
        <v>0</v>
      </c>
      <c r="E21" s="2" t="n">
        <v>0</v>
      </c>
      <c r="F21" s="2" t="n">
        <v>0</v>
      </c>
      <c r="G21" s="2" t="n">
        <v>0</v>
      </c>
      <c r="H21" s="2"/>
      <c r="I21" s="14" t="str">
        <f aca="false">"Ingredient(name='"&amp;B21&amp;"', rate="&amp;D21&amp;", munit='"&amp;C21&amp;"',density_kg_per_lt='"&amp;E21&amp;"',density_pcs_per_kg='"&amp;E21&amp;"',density_pcs_per_lt='"&amp;E21&amp;"').save()"</f>
        <v>Ingredient(name='badshah rajwadi garam masala', rate=0, munit='kg',density_kg_per_lt='0',density_pcs_per_kg='0',density_pcs_per_lt='0').save()</v>
      </c>
    </row>
    <row r="22" customFormat="false" ht="15" hidden="false" customHeight="false" outlineLevel="0" collapsed="false">
      <c r="A22" s="0" t="n">
        <v>21</v>
      </c>
      <c r="B22" s="0" t="s">
        <v>174</v>
      </c>
      <c r="C22" s="17" t="s">
        <v>7</v>
      </c>
      <c r="D22" s="2" t="n">
        <v>0</v>
      </c>
      <c r="E22" s="2" t="n">
        <v>0</v>
      </c>
      <c r="F22" s="2" t="n">
        <v>0</v>
      </c>
      <c r="G22" s="2" t="n">
        <v>0</v>
      </c>
      <c r="H22" s="2"/>
      <c r="I22" s="14" t="str">
        <f aca="false">"Ingredient(name='"&amp;B22&amp;"', rate="&amp;D22&amp;", munit='"&amp;C22&amp;"',density_kg_per_lt='"&amp;E22&amp;"',density_pcs_per_kg='"&amp;E22&amp;"',density_pcs_per_lt='"&amp;E22&amp;"').save()"</f>
        <v>Ingredient(name='baingan', rate=0, munit='kg',density_kg_per_lt='0',density_pcs_per_kg='0',density_pcs_per_lt='0').save()</v>
      </c>
    </row>
    <row r="23" customFormat="false" ht="15" hidden="false" customHeight="false" outlineLevel="0" collapsed="false">
      <c r="A23" s="0" t="n">
        <v>22</v>
      </c>
      <c r="B23" s="0" t="s">
        <v>177</v>
      </c>
      <c r="C23" s="17" t="s">
        <v>7</v>
      </c>
      <c r="D23" s="2" t="n">
        <v>0</v>
      </c>
      <c r="E23" s="2" t="n">
        <v>0</v>
      </c>
      <c r="F23" s="2" t="n">
        <v>0</v>
      </c>
      <c r="G23" s="2" t="n">
        <v>0</v>
      </c>
      <c r="H23" s="2"/>
      <c r="I23" s="14" t="str">
        <f aca="false">"Ingredient(name='"&amp;B23&amp;"', rate="&amp;D23&amp;", munit='"&amp;C23&amp;"',density_kg_per_lt='"&amp;E23&amp;"',density_pcs_per_kg='"&amp;E23&amp;"',density_pcs_per_lt='"&amp;E23&amp;"').save()"</f>
        <v>Ingredient(name='banana', rate=0, munit='kg',density_kg_per_lt='0',density_pcs_per_kg='0',density_pcs_per_lt='0').save()</v>
      </c>
    </row>
    <row r="24" customFormat="false" ht="15" hidden="false" customHeight="false" outlineLevel="0" collapsed="false">
      <c r="A24" s="0" t="n">
        <v>23</v>
      </c>
      <c r="B24" s="0" t="s">
        <v>180</v>
      </c>
      <c r="C24" s="17" t="s">
        <v>7</v>
      </c>
      <c r="D24" s="2" t="n">
        <v>0</v>
      </c>
      <c r="E24" s="2" t="n">
        <v>0</v>
      </c>
      <c r="F24" s="2" t="n">
        <v>0</v>
      </c>
      <c r="G24" s="2" t="n">
        <v>0</v>
      </c>
      <c r="H24" s="2"/>
      <c r="I24" s="14" t="str">
        <f aca="false">"Ingredient(name='"&amp;B24&amp;"', rate="&amp;D24&amp;", munit='"&amp;C24&amp;"',density_kg_per_lt='"&amp;E24&amp;"',density_pcs_per_kg='"&amp;E24&amp;"',density_pcs_per_lt='"&amp;E24&amp;"').save()"</f>
        <v>Ingredient(name='barley', rate=0, munit='kg',density_kg_per_lt='0',density_pcs_per_kg='0',density_pcs_per_lt='0').save()</v>
      </c>
    </row>
    <row r="25" customFormat="false" ht="15" hidden="false" customHeight="false" outlineLevel="0" collapsed="false">
      <c r="A25" s="0" t="n">
        <v>24</v>
      </c>
      <c r="B25" s="0" t="s">
        <v>183</v>
      </c>
      <c r="C25" s="17" t="s">
        <v>7</v>
      </c>
      <c r="D25" s="2" t="n">
        <v>0</v>
      </c>
      <c r="E25" s="2" t="n">
        <v>0</v>
      </c>
      <c r="F25" s="2" t="n">
        <v>0</v>
      </c>
      <c r="G25" s="2" t="n">
        <v>0</v>
      </c>
      <c r="H25" s="2"/>
      <c r="I25" s="14" t="str">
        <f aca="false">"Ingredient(name='"&amp;B25&amp;"', rate="&amp;D25&amp;", munit='"&amp;C25&amp;"',density_kg_per_lt='"&amp;E25&amp;"',density_pcs_per_kg='"&amp;E25&amp;"',density_pcs_per_lt='"&amp;E25&amp;"').save()"</f>
        <v>Ingredient(name='basil leaves', rate=0, munit='kg',density_kg_per_lt='0',density_pcs_per_kg='0',density_pcs_per_lt='0').save()</v>
      </c>
    </row>
    <row r="26" customFormat="false" ht="15" hidden="false" customHeight="false" outlineLevel="0" collapsed="false">
      <c r="A26" s="0" t="n">
        <v>25</v>
      </c>
      <c r="B26" s="0" t="s">
        <v>186</v>
      </c>
      <c r="C26" s="17" t="s">
        <v>7</v>
      </c>
      <c r="D26" s="2" t="n">
        <v>0</v>
      </c>
      <c r="E26" s="2" t="n">
        <v>0</v>
      </c>
      <c r="F26" s="2" t="n">
        <v>0</v>
      </c>
      <c r="G26" s="2" t="n">
        <v>0</v>
      </c>
      <c r="H26" s="2"/>
      <c r="I26" s="14" t="str">
        <f aca="false">"Ingredient(name='"&amp;B26&amp;"', rate="&amp;D26&amp;", munit='"&amp;C26&amp;"',density_kg_per_lt='"&amp;E26&amp;"',density_pcs_per_kg='"&amp;E26&amp;"',density_pcs_per_lt='"&amp;E26&amp;"').save()"</f>
        <v>Ingredient(name='basmati rice', rate=0, munit='kg',density_kg_per_lt='0',density_pcs_per_kg='0',density_pcs_per_lt='0').save()</v>
      </c>
    </row>
    <row r="27" customFormat="false" ht="15" hidden="false" customHeight="false" outlineLevel="0" collapsed="false">
      <c r="A27" s="0" t="n">
        <v>26</v>
      </c>
      <c r="B27" s="0" t="s">
        <v>189</v>
      </c>
      <c r="C27" s="17" t="s">
        <v>7</v>
      </c>
      <c r="D27" s="2" t="n">
        <v>0</v>
      </c>
      <c r="E27" s="2" t="n">
        <v>0</v>
      </c>
      <c r="F27" s="2" t="n">
        <v>0</v>
      </c>
      <c r="G27" s="2" t="n">
        <v>0</v>
      </c>
      <c r="H27" s="2"/>
      <c r="I27" s="14" t="str">
        <f aca="false">"Ingredient(name='"&amp;B27&amp;"', rate="&amp;D27&amp;", munit='"&amp;C27&amp;"',density_kg_per_lt='"&amp;E27&amp;"',density_pcs_per_kg='"&amp;E27&amp;"',density_pcs_per_lt='"&amp;E27&amp;"').save()"</f>
        <v>Ingredient(name='batter yield', rate=0, munit='kg',density_kg_per_lt='0',density_pcs_per_kg='0',density_pcs_per_lt='0').save()</v>
      </c>
    </row>
    <row r="28" customFormat="false" ht="15" hidden="false" customHeight="false" outlineLevel="0" collapsed="false">
      <c r="A28" s="0" t="n">
        <v>27</v>
      </c>
      <c r="B28" s="0" t="s">
        <v>192</v>
      </c>
      <c r="C28" s="17" t="s">
        <v>7</v>
      </c>
      <c r="D28" s="2" t="n">
        <v>0</v>
      </c>
      <c r="E28" s="2" t="n">
        <v>0</v>
      </c>
      <c r="F28" s="2" t="n">
        <v>0</v>
      </c>
      <c r="G28" s="2" t="n">
        <v>0</v>
      </c>
      <c r="H28" s="2"/>
      <c r="I28" s="14" t="str">
        <f aca="false">"Ingredient(name='"&amp;B28&amp;"', rate="&amp;D28&amp;", munit='"&amp;C28&amp;"',density_kg_per_lt='"&amp;E28&amp;"',density_pcs_per_kg='"&amp;E28&amp;"',density_pcs_per_lt='"&amp;E28&amp;"').save()"</f>
        <v>Ingredient(name='beans', rate=0, munit='kg',density_kg_per_lt='0',density_pcs_per_kg='0',density_pcs_per_lt='0').save()</v>
      </c>
    </row>
    <row r="29" customFormat="false" ht="15" hidden="false" customHeight="false" outlineLevel="0" collapsed="false">
      <c r="A29" s="0" t="n">
        <v>28</v>
      </c>
      <c r="B29" s="0" t="s">
        <v>195</v>
      </c>
      <c r="C29" s="17" t="s">
        <v>7</v>
      </c>
      <c r="D29" s="2" t="n">
        <v>0</v>
      </c>
      <c r="E29" s="2" t="n">
        <v>0</v>
      </c>
      <c r="F29" s="2" t="n">
        <v>0</v>
      </c>
      <c r="G29" s="2" t="n">
        <v>0</v>
      </c>
      <c r="H29" s="2"/>
      <c r="I29" s="14" t="str">
        <f aca="false">"Ingredient(name='"&amp;B29&amp;"', rate="&amp;D29&amp;", munit='"&amp;C29&amp;"',density_kg_per_lt='"&amp;E29&amp;"',density_pcs_per_kg='"&amp;E29&amp;"',density_pcs_per_lt='"&amp;E29&amp;"').save()"</f>
        <v>Ingredient(name='besan', rate=0, munit='kg',density_kg_per_lt='0',density_pcs_per_kg='0',density_pcs_per_lt='0').save()</v>
      </c>
    </row>
    <row r="30" customFormat="false" ht="15" hidden="false" customHeight="false" outlineLevel="0" collapsed="false">
      <c r="A30" s="0" t="n">
        <v>29</v>
      </c>
      <c r="B30" s="0" t="s">
        <v>198</v>
      </c>
      <c r="C30" s="17" t="s">
        <v>7</v>
      </c>
      <c r="D30" s="2" t="n">
        <v>0</v>
      </c>
      <c r="E30" s="2" t="n">
        <v>0</v>
      </c>
      <c r="F30" s="2" t="n">
        <v>0</v>
      </c>
      <c r="G30" s="2" t="n">
        <v>0</v>
      </c>
      <c r="H30" s="2"/>
      <c r="I30" s="14" t="str">
        <f aca="false">"Ingredient(name='"&amp;B30&amp;"', rate="&amp;D30&amp;", munit='"&amp;C30&amp;"',density_kg_per_lt='"&amp;E30&amp;"',density_pcs_per_kg='"&amp;E30&amp;"',density_pcs_per_lt='"&amp;E30&amp;"').save()"</f>
        <v>Ingredient(name='bhindi', rate=0, munit='kg',density_kg_per_lt='0',density_pcs_per_kg='0',density_pcs_per_lt='0').save()</v>
      </c>
    </row>
    <row r="31" customFormat="false" ht="15" hidden="false" customHeight="false" outlineLevel="0" collapsed="false">
      <c r="A31" s="0" t="n">
        <v>30</v>
      </c>
      <c r="B31" s="0" t="s">
        <v>201</v>
      </c>
      <c r="C31" s="17" t="s">
        <v>7</v>
      </c>
      <c r="D31" s="2" t="n">
        <v>0</v>
      </c>
      <c r="E31" s="2" t="n">
        <v>0</v>
      </c>
      <c r="F31" s="2" t="n">
        <v>0</v>
      </c>
      <c r="G31" s="2" t="n">
        <v>0</v>
      </c>
      <c r="H31" s="2"/>
      <c r="I31" s="14" t="str">
        <f aca="false">"Ingredient(name='"&amp;B31&amp;"', rate="&amp;D31&amp;", munit='"&amp;C31&amp;"',density_kg_per_lt='"&amp;E31&amp;"',density_pcs_per_kg='"&amp;E31&amp;"',density_pcs_per_lt='"&amp;E31&amp;"').save()"</f>
        <v>Ingredient(name='bhopla', rate=0, munit='kg',density_kg_per_lt='0',density_pcs_per_kg='0',density_pcs_per_lt='0').save()</v>
      </c>
    </row>
    <row r="32" customFormat="false" ht="15" hidden="false" customHeight="false" outlineLevel="0" collapsed="false">
      <c r="A32" s="0" t="n">
        <v>31</v>
      </c>
      <c r="B32" s="0" t="s">
        <v>204</v>
      </c>
      <c r="C32" s="17" t="s">
        <v>7</v>
      </c>
      <c r="D32" s="2" t="n">
        <v>0</v>
      </c>
      <c r="E32" s="2" t="n">
        <v>0</v>
      </c>
      <c r="F32" s="2" t="n">
        <v>0</v>
      </c>
      <c r="G32" s="2" t="n">
        <v>0</v>
      </c>
      <c r="H32" s="2"/>
      <c r="I32" s="14" t="str">
        <f aca="false">"Ingredient(name='"&amp;B32&amp;"', rate="&amp;D32&amp;", munit='"&amp;C32&amp;"',density_kg_per_lt='"&amp;E32&amp;"',density_pcs_per_kg='"&amp;E32&amp;"',density_pcs_per_lt='"&amp;E32&amp;"').save()"</f>
        <v>Ingredient(name='black pepper', rate=0, munit='kg',density_kg_per_lt='0',density_pcs_per_kg='0',density_pcs_per_lt='0').save()</v>
      </c>
    </row>
    <row r="33" customFormat="false" ht="15" hidden="false" customHeight="false" outlineLevel="0" collapsed="false">
      <c r="A33" s="0" t="n">
        <v>32</v>
      </c>
      <c r="B33" s="0" t="s">
        <v>207</v>
      </c>
      <c r="C33" s="17" t="s">
        <v>7</v>
      </c>
      <c r="D33" s="2" t="n">
        <v>0</v>
      </c>
      <c r="E33" s="2" t="n">
        <v>0</v>
      </c>
      <c r="F33" s="2" t="n">
        <v>0</v>
      </c>
      <c r="G33" s="2" t="n">
        <v>0</v>
      </c>
      <c r="H33" s="2"/>
      <c r="I33" s="14" t="str">
        <f aca="false">"Ingredient(name='"&amp;B33&amp;"', rate="&amp;D33&amp;", munit='"&amp;C33&amp;"',density_kg_per_lt='"&amp;E33&amp;"',density_pcs_per_kg='"&amp;E33&amp;"',density_pcs_per_lt='"&amp;E33&amp;"').save()"</f>
        <v>Ingredient(name='black salt', rate=0, munit='kg',density_kg_per_lt='0',density_pcs_per_kg='0',density_pcs_per_lt='0').save()</v>
      </c>
    </row>
    <row r="34" customFormat="false" ht="15" hidden="false" customHeight="false" outlineLevel="0" collapsed="false">
      <c r="A34" s="0" t="n">
        <v>33</v>
      </c>
      <c r="B34" s="0" t="s">
        <v>210</v>
      </c>
      <c r="C34" s="17" t="s">
        <v>7</v>
      </c>
      <c r="D34" s="2" t="n">
        <v>0</v>
      </c>
      <c r="E34" s="2" t="n">
        <v>0</v>
      </c>
      <c r="F34" s="2" t="n">
        <v>0</v>
      </c>
      <c r="G34" s="2" t="n">
        <v>0</v>
      </c>
      <c r="H34" s="2"/>
      <c r="I34" s="14" t="str">
        <f aca="false">"Ingredient(name='"&amp;B34&amp;"', rate="&amp;D34&amp;", munit='"&amp;C34&amp;"',density_kg_per_lt='"&amp;E34&amp;"',density_pcs_per_kg='"&amp;E34&amp;"',density_pcs_per_lt='"&amp;E34&amp;"').save()"</f>
        <v>Ingredient(name='black til', rate=0, munit='kg',density_kg_per_lt='0',density_pcs_per_kg='0',density_pcs_per_lt='0').save()</v>
      </c>
    </row>
    <row r="35" customFormat="false" ht="15" hidden="false" customHeight="false" outlineLevel="0" collapsed="false">
      <c r="A35" s="0" t="n">
        <v>34</v>
      </c>
      <c r="B35" s="0" t="s">
        <v>213</v>
      </c>
      <c r="C35" s="17" t="s">
        <v>7</v>
      </c>
      <c r="D35" s="2" t="n">
        <v>0</v>
      </c>
      <c r="E35" s="2" t="n">
        <v>0</v>
      </c>
      <c r="F35" s="2" t="n">
        <v>0</v>
      </c>
      <c r="G35" s="2" t="n">
        <v>0</v>
      </c>
      <c r="H35" s="2"/>
      <c r="I35" s="14" t="str">
        <f aca="false">"Ingredient(name='"&amp;B35&amp;"', rate="&amp;D35&amp;", munit='"&amp;C35&amp;"',density_kg_per_lt='"&amp;E35&amp;"',density_pcs_per_kg='"&amp;E35&amp;"',density_pcs_per_lt='"&amp;E35&amp;"').save()"</f>
        <v>Ingredient(name='boondi', rate=0, munit='kg',density_kg_per_lt='0',density_pcs_per_kg='0',density_pcs_per_lt='0').save()</v>
      </c>
    </row>
    <row r="36" customFormat="false" ht="15" hidden="false" customHeight="false" outlineLevel="0" collapsed="false">
      <c r="A36" s="0" t="n">
        <v>35</v>
      </c>
      <c r="B36" s="0" t="s">
        <v>216</v>
      </c>
      <c r="C36" s="17" t="s">
        <v>7</v>
      </c>
      <c r="D36" s="2" t="n">
        <v>0</v>
      </c>
      <c r="E36" s="2" t="n">
        <v>0</v>
      </c>
      <c r="F36" s="2" t="n">
        <v>0</v>
      </c>
      <c r="G36" s="2" t="n">
        <v>0</v>
      </c>
      <c r="H36" s="2"/>
      <c r="I36" s="14" t="str">
        <f aca="false">"Ingredient(name='"&amp;B36&amp;"', rate="&amp;D36&amp;", munit='"&amp;C36&amp;"',density_kg_per_lt='"&amp;E36&amp;"',density_pcs_per_kg='"&amp;E36&amp;"',density_pcs_per_lt='"&amp;E36&amp;"').save()"</f>
        <v>Ingredient(name='bread improver', rate=0, munit='kg',density_kg_per_lt='0',density_pcs_per_kg='0',density_pcs_per_lt='0').save()</v>
      </c>
    </row>
    <row r="37" customFormat="false" ht="15" hidden="false" customHeight="false" outlineLevel="0" collapsed="false">
      <c r="A37" s="0" t="n">
        <v>36</v>
      </c>
      <c r="B37" s="0" t="s">
        <v>219</v>
      </c>
      <c r="C37" s="17" t="s">
        <v>7</v>
      </c>
      <c r="D37" s="2" t="n">
        <v>0</v>
      </c>
      <c r="E37" s="2" t="n">
        <v>0</v>
      </c>
      <c r="F37" s="2" t="n">
        <v>0</v>
      </c>
      <c r="G37" s="2" t="n">
        <v>0</v>
      </c>
      <c r="H37" s="2"/>
      <c r="I37" s="14" t="str">
        <f aca="false">"Ingredient(name='"&amp;B37&amp;"', rate="&amp;D37&amp;", munit='"&amp;C37&amp;"',density_kg_per_lt='"&amp;E37&amp;"',density_pcs_per_kg='"&amp;E37&amp;"',density_pcs_per_lt='"&amp;E37&amp;"').save()"</f>
        <v>Ingredient(name='broccoli', rate=0, munit='kg',density_kg_per_lt='0',density_pcs_per_kg='0',density_pcs_per_lt='0').save()</v>
      </c>
    </row>
    <row r="38" customFormat="false" ht="15" hidden="false" customHeight="false" outlineLevel="0" collapsed="false">
      <c r="A38" s="0" t="n">
        <v>37</v>
      </c>
      <c r="B38" s="0" t="s">
        <v>222</v>
      </c>
      <c r="C38" s="17" t="s">
        <v>7</v>
      </c>
      <c r="D38" s="2" t="n">
        <v>0</v>
      </c>
      <c r="E38" s="2" t="n">
        <v>0</v>
      </c>
      <c r="F38" s="2" t="n">
        <v>0</v>
      </c>
      <c r="G38" s="2" t="n">
        <v>0</v>
      </c>
      <c r="H38" s="2"/>
      <c r="I38" s="14" t="str">
        <f aca="false">"Ingredient(name='"&amp;B38&amp;"', rate="&amp;D38&amp;", munit='"&amp;C38&amp;"',density_kg_per_lt='"&amp;E38&amp;"',density_pcs_per_kg='"&amp;E38&amp;"',density_pcs_per_lt='"&amp;E38&amp;"').save()"</f>
        <v>Ingredient(name='brown sugar', rate=0, munit='kg',density_kg_per_lt='0',density_pcs_per_kg='0',density_pcs_per_lt='0').save()</v>
      </c>
    </row>
    <row r="39" customFormat="false" ht="15" hidden="false" customHeight="false" outlineLevel="0" collapsed="false">
      <c r="A39" s="0" t="n">
        <v>38</v>
      </c>
      <c r="B39" s="0" t="s">
        <v>225</v>
      </c>
      <c r="C39" s="17" t="s">
        <v>7</v>
      </c>
      <c r="D39" s="2" t="n">
        <v>0</v>
      </c>
      <c r="E39" s="2" t="n">
        <v>0</v>
      </c>
      <c r="F39" s="2" t="n">
        <v>0</v>
      </c>
      <c r="G39" s="2" t="n">
        <v>0</v>
      </c>
      <c r="H39" s="2"/>
      <c r="I39" s="14" t="str">
        <f aca="false">"Ingredient(name='"&amp;B39&amp;"', rate="&amp;D39&amp;", munit='"&amp;C39&amp;"',density_kg_per_lt='"&amp;E39&amp;"',density_pcs_per_kg='"&amp;E39&amp;"',density_pcs_per_lt='"&amp;E39&amp;"').save()"</f>
        <v>Ingredient(name='butter', rate=0, munit='kg',density_kg_per_lt='0',density_pcs_per_kg='0',density_pcs_per_lt='0').save()</v>
      </c>
    </row>
    <row r="40" customFormat="false" ht="15" hidden="false" customHeight="false" outlineLevel="0" collapsed="false">
      <c r="A40" s="0" t="n">
        <v>39</v>
      </c>
      <c r="B40" s="0" t="s">
        <v>228</v>
      </c>
      <c r="C40" s="17" t="s">
        <v>7</v>
      </c>
      <c r="D40" s="2" t="n">
        <v>0</v>
      </c>
      <c r="E40" s="2" t="n">
        <v>0</v>
      </c>
      <c r="F40" s="2" t="n">
        <v>0</v>
      </c>
      <c r="G40" s="2" t="n">
        <v>0</v>
      </c>
      <c r="H40" s="2"/>
      <c r="I40" s="14" t="str">
        <f aca="false">"Ingredient(name='"&amp;B40&amp;"', rate="&amp;D40&amp;", munit='"&amp;C40&amp;"',density_kg_per_lt='"&amp;E40&amp;"',density_pcs_per_kg='"&amp;E40&amp;"',density_pcs_per_lt='"&amp;E40&amp;"').save()"</f>
        <v>Ingredient(name='cabbage', rate=0, munit='kg',density_kg_per_lt='0',density_pcs_per_kg='0',density_pcs_per_lt='0').save()</v>
      </c>
    </row>
    <row r="41" customFormat="false" ht="15" hidden="false" customHeight="false" outlineLevel="0" collapsed="false">
      <c r="A41" s="0" t="n">
        <v>40</v>
      </c>
      <c r="B41" s="0" t="s">
        <v>231</v>
      </c>
      <c r="C41" s="17" t="s">
        <v>7</v>
      </c>
      <c r="D41" s="2" t="n">
        <v>0</v>
      </c>
      <c r="E41" s="2" t="n">
        <v>0</v>
      </c>
      <c r="F41" s="2" t="n">
        <v>0</v>
      </c>
      <c r="G41" s="2" t="n">
        <v>0</v>
      </c>
      <c r="H41" s="2"/>
      <c r="I41" s="14" t="str">
        <f aca="false">"Ingredient(name='"&amp;B41&amp;"', rate="&amp;D41&amp;", munit='"&amp;C41&amp;"',density_kg_per_lt='"&amp;E41&amp;"',density_pcs_per_kg='"&amp;E41&amp;"',density_pcs_per_lt='"&amp;E41&amp;"').save()"</f>
        <v>Ingredient(name='cabbage (desi)', rate=0, munit='kg',density_kg_per_lt='0',density_pcs_per_kg='0',density_pcs_per_lt='0').save()</v>
      </c>
    </row>
    <row r="42" customFormat="false" ht="15" hidden="false" customHeight="false" outlineLevel="0" collapsed="false">
      <c r="A42" s="0" t="n">
        <v>41</v>
      </c>
      <c r="B42" s="0" t="s">
        <v>234</v>
      </c>
      <c r="C42" s="17" t="s">
        <v>7</v>
      </c>
      <c r="D42" s="2" t="n">
        <v>0</v>
      </c>
      <c r="E42" s="2" t="n">
        <v>0</v>
      </c>
      <c r="F42" s="2" t="n">
        <v>0</v>
      </c>
      <c r="G42" s="2" t="n">
        <v>0</v>
      </c>
      <c r="H42" s="2"/>
      <c r="I42" s="14" t="str">
        <f aca="false">"Ingredient(name='"&amp;B42&amp;"', rate="&amp;D42&amp;", munit='"&amp;C42&amp;"',density_kg_per_lt='"&amp;E42&amp;"',density_pcs_per_kg='"&amp;E42&amp;"',density_pcs_per_lt='"&amp;E42&amp;"').save()"</f>
        <v>Ingredient(name='calcium', rate=0, munit='kg',density_kg_per_lt='0',density_pcs_per_kg='0',density_pcs_per_lt='0').save()</v>
      </c>
    </row>
    <row r="43" customFormat="false" ht="15" hidden="false" customHeight="false" outlineLevel="0" collapsed="false">
      <c r="A43" s="0" t="n">
        <v>42</v>
      </c>
      <c r="B43" s="0" t="s">
        <v>237</v>
      </c>
      <c r="C43" s="17" t="s">
        <v>7</v>
      </c>
      <c r="D43" s="2" t="n">
        <v>0</v>
      </c>
      <c r="E43" s="2" t="n">
        <v>0</v>
      </c>
      <c r="F43" s="2" t="n">
        <v>0</v>
      </c>
      <c r="G43" s="2" t="n">
        <v>0</v>
      </c>
      <c r="H43" s="2"/>
      <c r="I43" s="14" t="str">
        <f aca="false">"Ingredient(name='"&amp;B43&amp;"', rate="&amp;D43&amp;", munit='"&amp;C43&amp;"',density_kg_per_lt='"&amp;E43&amp;"',density_pcs_per_kg='"&amp;E43&amp;"',density_pcs_per_lt='"&amp;E43&amp;"').save()"</f>
        <v>Ingredient(name='capsicum', rate=0, munit='kg',density_kg_per_lt='0',density_pcs_per_kg='0',density_pcs_per_lt='0').save()</v>
      </c>
    </row>
    <row r="44" customFormat="false" ht="15" hidden="false" customHeight="false" outlineLevel="0" collapsed="false">
      <c r="A44" s="0" t="n">
        <v>43</v>
      </c>
      <c r="B44" s="0" t="s">
        <v>240</v>
      </c>
      <c r="C44" s="17" t="s">
        <v>7</v>
      </c>
      <c r="D44" s="2" t="n">
        <v>0</v>
      </c>
      <c r="E44" s="2" t="n">
        <v>0</v>
      </c>
      <c r="F44" s="2" t="n">
        <v>0</v>
      </c>
      <c r="G44" s="2" t="n">
        <v>0</v>
      </c>
      <c r="H44" s="2"/>
      <c r="I44" s="14" t="str">
        <f aca="false">"Ingredient(name='"&amp;B44&amp;"', rate="&amp;D44&amp;", munit='"&amp;C44&amp;"',density_kg_per_lt='"&amp;E44&amp;"',density_pcs_per_kg='"&amp;E44&amp;"',density_pcs_per_lt='"&amp;E44&amp;"').save()"</f>
        <v>Ingredient(name='carrot', rate=0, munit='kg',density_kg_per_lt='0',density_pcs_per_kg='0',density_pcs_per_lt='0').save()</v>
      </c>
    </row>
    <row r="45" customFormat="false" ht="15" hidden="false" customHeight="false" outlineLevel="0" collapsed="false">
      <c r="A45" s="0" t="n">
        <v>44</v>
      </c>
      <c r="B45" s="0" t="s">
        <v>243</v>
      </c>
      <c r="C45" s="17" t="s">
        <v>7</v>
      </c>
      <c r="D45" s="2" t="n">
        <v>0</v>
      </c>
      <c r="E45" s="2" t="n">
        <v>0</v>
      </c>
      <c r="F45" s="2" t="n">
        <v>0</v>
      </c>
      <c r="G45" s="2" t="n">
        <v>0</v>
      </c>
      <c r="H45" s="2"/>
      <c r="I45" s="14" t="str">
        <f aca="false">"Ingredient(name='"&amp;B45&amp;"', rate="&amp;D45&amp;", munit='"&amp;C45&amp;"',density_kg_per_lt='"&amp;E45&amp;"',density_pcs_per_kg='"&amp;E45&amp;"',density_pcs_per_lt='"&amp;E45&amp;"').save()"</f>
        <v>Ingredient(name='cauli flower', rate=0, munit='kg',density_kg_per_lt='0',density_pcs_per_kg='0',density_pcs_per_lt='0').save()</v>
      </c>
    </row>
    <row r="46" customFormat="false" ht="15" hidden="false" customHeight="false" outlineLevel="0" collapsed="false">
      <c r="A46" s="0" t="n">
        <v>45</v>
      </c>
      <c r="B46" s="0" t="s">
        <v>246</v>
      </c>
      <c r="C46" s="17" t="s">
        <v>7</v>
      </c>
      <c r="D46" s="2" t="n">
        <v>0</v>
      </c>
      <c r="E46" s="2" t="n">
        <v>0</v>
      </c>
      <c r="F46" s="2" t="n">
        <v>0</v>
      </c>
      <c r="G46" s="2" t="n">
        <v>0</v>
      </c>
      <c r="H46" s="2"/>
      <c r="I46" s="14" t="str">
        <f aca="false">"Ingredient(name='"&amp;B46&amp;"', rate="&amp;D46&amp;", munit='"&amp;C46&amp;"',density_kg_per_lt='"&amp;E46&amp;"',density_pcs_per_kg='"&amp;E46&amp;"',density_pcs_per_lt='"&amp;E46&amp;"').save()"</f>
        <v>Ingredient(name='celery stick', rate=0, munit='kg',density_kg_per_lt='0',density_pcs_per_kg='0',density_pcs_per_lt='0').save()</v>
      </c>
    </row>
    <row r="47" customFormat="false" ht="15" hidden="false" customHeight="false" outlineLevel="0" collapsed="false">
      <c r="A47" s="0" t="n">
        <v>46</v>
      </c>
      <c r="B47" s="0" t="s">
        <v>249</v>
      </c>
      <c r="C47" s="17" t="s">
        <v>7</v>
      </c>
      <c r="D47" s="2" t="n">
        <v>0</v>
      </c>
      <c r="E47" s="2" t="n">
        <v>0</v>
      </c>
      <c r="F47" s="2" t="n">
        <v>0</v>
      </c>
      <c r="G47" s="2" t="n">
        <v>0</v>
      </c>
      <c r="H47" s="2"/>
      <c r="I47" s="14" t="str">
        <f aca="false">"Ingredient(name='"&amp;B47&amp;"', rate="&amp;D47&amp;", munit='"&amp;C47&amp;"',density_kg_per_lt='"&amp;E47&amp;"',density_pcs_per_kg='"&amp;E47&amp;"',density_pcs_per_lt='"&amp;E47&amp;"').save()"</f>
        <v>Ingredient(name='chana dal', rate=0, munit='kg',density_kg_per_lt='0',density_pcs_per_kg='0',density_pcs_per_lt='0').save()</v>
      </c>
    </row>
    <row r="48" customFormat="false" ht="15" hidden="false" customHeight="false" outlineLevel="0" collapsed="false">
      <c r="A48" s="0" t="n">
        <v>47</v>
      </c>
      <c r="B48" s="0" t="s">
        <v>252</v>
      </c>
      <c r="C48" s="17" t="s">
        <v>7</v>
      </c>
      <c r="D48" s="2" t="n">
        <v>0</v>
      </c>
      <c r="E48" s="2" t="n">
        <v>0</v>
      </c>
      <c r="F48" s="2" t="n">
        <v>0</v>
      </c>
      <c r="G48" s="2" t="n">
        <v>0</v>
      </c>
      <c r="H48" s="2"/>
      <c r="I48" s="14" t="str">
        <f aca="false">"Ingredient(name='"&amp;B48&amp;"', rate="&amp;D48&amp;", munit='"&amp;C48&amp;"',density_kg_per_lt='"&amp;E48&amp;"',density_pcs_per_kg='"&amp;E48&amp;"',density_pcs_per_lt='"&amp;E48&amp;"').save()"</f>
        <v>Ingredient(name='chat masala', rate=0, munit='kg',density_kg_per_lt='0',density_pcs_per_kg='0',density_pcs_per_lt='0').save()</v>
      </c>
    </row>
    <row r="49" customFormat="false" ht="15" hidden="false" customHeight="false" outlineLevel="0" collapsed="false">
      <c r="A49" s="0" t="n">
        <v>48</v>
      </c>
      <c r="B49" s="0" t="s">
        <v>255</v>
      </c>
      <c r="C49" s="17" t="s">
        <v>7</v>
      </c>
      <c r="D49" s="2" t="n">
        <v>0</v>
      </c>
      <c r="E49" s="2" t="n">
        <v>0</v>
      </c>
      <c r="F49" s="2" t="n">
        <v>0</v>
      </c>
      <c r="G49" s="2" t="n">
        <v>0</v>
      </c>
      <c r="H49" s="2"/>
      <c r="I49" s="14" t="str">
        <f aca="false">"Ingredient(name='"&amp;B49&amp;"', rate="&amp;D49&amp;", munit='"&amp;C49&amp;"',density_kg_per_lt='"&amp;E49&amp;"',density_pcs_per_kg='"&amp;E49&amp;"',density_pcs_per_lt='"&amp;E49&amp;"').save()"</f>
        <v>Ingredient(name='chaunce', rate=0, munit='kg',density_kg_per_lt='0',density_pcs_per_kg='0',density_pcs_per_lt='0').save()</v>
      </c>
    </row>
    <row r="50" customFormat="false" ht="15" hidden="false" customHeight="false" outlineLevel="0" collapsed="false">
      <c r="A50" s="0" t="n">
        <v>49</v>
      </c>
      <c r="B50" s="0" t="s">
        <v>258</v>
      </c>
      <c r="C50" s="17" t="s">
        <v>7</v>
      </c>
      <c r="D50" s="2" t="n">
        <v>0</v>
      </c>
      <c r="E50" s="2" t="n">
        <v>0</v>
      </c>
      <c r="F50" s="2" t="n">
        <v>0</v>
      </c>
      <c r="G50" s="2" t="n">
        <v>0</v>
      </c>
      <c r="H50" s="2"/>
      <c r="I50" s="14" t="str">
        <f aca="false">"Ingredient(name='"&amp;B50&amp;"', rate="&amp;D50&amp;", munit='"&amp;C50&amp;"',density_kg_per_lt='"&amp;E50&amp;"',density_pcs_per_kg='"&amp;E50&amp;"',density_pcs_per_lt='"&amp;E50&amp;"').save()"</f>
        <v>Ingredient(name='chedder cheese', rate=0, munit='kg',density_kg_per_lt='0',density_pcs_per_kg='0',density_pcs_per_lt='0').save()</v>
      </c>
    </row>
    <row r="51" customFormat="false" ht="15" hidden="false" customHeight="false" outlineLevel="0" collapsed="false">
      <c r="A51" s="0" t="n">
        <v>50</v>
      </c>
      <c r="B51" s="0" t="s">
        <v>261</v>
      </c>
      <c r="C51" s="17" t="s">
        <v>7</v>
      </c>
      <c r="D51" s="2" t="n">
        <v>0</v>
      </c>
      <c r="E51" s="2" t="n">
        <v>0</v>
      </c>
      <c r="F51" s="2" t="n">
        <v>0</v>
      </c>
      <c r="G51" s="2" t="n">
        <v>0</v>
      </c>
      <c r="H51" s="2"/>
      <c r="I51" s="14" t="str">
        <f aca="false">"Ingredient(name='"&amp;B51&amp;"', rate="&amp;D51&amp;", munit='"&amp;C51&amp;"',density_kg_per_lt='"&amp;E51&amp;"',density_pcs_per_kg='"&amp;E51&amp;"',density_pcs_per_lt='"&amp;E51&amp;"').save()"</f>
        <v>Ingredient(name='cherry tomato', rate=0, munit='kg',density_kg_per_lt='0',density_pcs_per_kg='0',density_pcs_per_lt='0').save()</v>
      </c>
    </row>
    <row r="52" customFormat="false" ht="15" hidden="false" customHeight="false" outlineLevel="0" collapsed="false">
      <c r="A52" s="0" t="n">
        <v>51</v>
      </c>
      <c r="B52" s="0" t="s">
        <v>264</v>
      </c>
      <c r="C52" s="17" t="s">
        <v>7</v>
      </c>
      <c r="D52" s="2" t="n">
        <v>0</v>
      </c>
      <c r="E52" s="2" t="n">
        <v>0</v>
      </c>
      <c r="F52" s="2" t="n">
        <v>0</v>
      </c>
      <c r="G52" s="2" t="n">
        <v>0</v>
      </c>
      <c r="H52" s="2"/>
      <c r="I52" s="14" t="str">
        <f aca="false">"Ingredient(name='"&amp;B52&amp;"', rate="&amp;D52&amp;", munit='"&amp;C52&amp;"',density_kg_per_lt='"&amp;E52&amp;"',density_pcs_per_kg='"&amp;E52&amp;"',density_pcs_per_lt='"&amp;E52&amp;"').save()"</f>
        <v>Ingredient(name='chilka moong dal', rate=0, munit='kg',density_kg_per_lt='0',density_pcs_per_kg='0',density_pcs_per_lt='0').save()</v>
      </c>
    </row>
    <row r="53" customFormat="false" ht="15" hidden="false" customHeight="false" outlineLevel="0" collapsed="false">
      <c r="A53" s="0" t="n">
        <v>52</v>
      </c>
      <c r="B53" s="0" t="s">
        <v>267</v>
      </c>
      <c r="C53" s="17" t="s">
        <v>7</v>
      </c>
      <c r="D53" s="2" t="n">
        <v>0</v>
      </c>
      <c r="E53" s="2" t="n">
        <v>0</v>
      </c>
      <c r="F53" s="2" t="n">
        <v>0</v>
      </c>
      <c r="G53" s="2" t="n">
        <v>0</v>
      </c>
      <c r="H53" s="2"/>
      <c r="I53" s="14" t="str">
        <f aca="false">"Ingredient(name='"&amp;B53&amp;"', rate="&amp;D53&amp;", munit='"&amp;C53&amp;"',density_kg_per_lt='"&amp;E53&amp;"',density_pcs_per_kg='"&amp;E53&amp;"',density_pcs_per_lt='"&amp;E53&amp;"').save()"</f>
        <v>Ingredient(name='chilly sauce', rate=0, munit='kg',density_kg_per_lt='0',density_pcs_per_kg='0',density_pcs_per_lt='0').save()</v>
      </c>
    </row>
    <row r="54" customFormat="false" ht="15" hidden="false" customHeight="false" outlineLevel="0" collapsed="false">
      <c r="A54" s="0" t="n">
        <v>53</v>
      </c>
      <c r="B54" s="0" t="s">
        <v>270</v>
      </c>
      <c r="C54" s="17" t="s">
        <v>7</v>
      </c>
      <c r="D54" s="2" t="n">
        <v>0</v>
      </c>
      <c r="E54" s="2" t="n">
        <v>0</v>
      </c>
      <c r="F54" s="2" t="n">
        <v>0</v>
      </c>
      <c r="G54" s="2" t="n">
        <v>0</v>
      </c>
      <c r="H54" s="2"/>
      <c r="I54" s="14" t="str">
        <f aca="false">"Ingredient(name='"&amp;B54&amp;"', rate="&amp;D54&amp;", munit='"&amp;C54&amp;"',density_kg_per_lt='"&amp;E54&amp;"',density_pcs_per_kg='"&amp;E54&amp;"',density_pcs_per_lt='"&amp;E54&amp;"').save()"</f>
        <v>Ingredient(name='chole', rate=0, munit='kg',density_kg_per_lt='0',density_pcs_per_kg='0',density_pcs_per_lt='0').save()</v>
      </c>
    </row>
    <row r="55" customFormat="false" ht="15" hidden="false" customHeight="false" outlineLevel="0" collapsed="false">
      <c r="A55" s="0" t="n">
        <v>54</v>
      </c>
      <c r="B55" s="0" t="s">
        <v>273</v>
      </c>
      <c r="C55" s="17" t="s">
        <v>7</v>
      </c>
      <c r="D55" s="2" t="n">
        <v>0</v>
      </c>
      <c r="E55" s="2" t="n">
        <v>0</v>
      </c>
      <c r="F55" s="2" t="n">
        <v>0</v>
      </c>
      <c r="G55" s="2" t="n">
        <v>0</v>
      </c>
      <c r="H55" s="2"/>
      <c r="I55" s="14" t="str">
        <f aca="false">"Ingredient(name='"&amp;B55&amp;"', rate="&amp;D55&amp;", munit='"&amp;C55&amp;"',density_kg_per_lt='"&amp;E55&amp;"',density_pcs_per_kg='"&amp;E55&amp;"',density_pcs_per_lt='"&amp;E55&amp;"').save()"</f>
        <v>Ingredient(name='coconut', rate=0, munit='kg',density_kg_per_lt='0',density_pcs_per_kg='0',density_pcs_per_lt='0').save()</v>
      </c>
    </row>
    <row r="56" customFormat="false" ht="15" hidden="false" customHeight="false" outlineLevel="0" collapsed="false">
      <c r="A56" s="0" t="n">
        <v>55</v>
      </c>
      <c r="B56" s="0" t="s">
        <v>276</v>
      </c>
      <c r="C56" s="17" t="s">
        <v>7</v>
      </c>
      <c r="D56" s="2" t="n">
        <v>0</v>
      </c>
      <c r="E56" s="2" t="n">
        <v>0</v>
      </c>
      <c r="F56" s="2" t="n">
        <v>0</v>
      </c>
      <c r="G56" s="2" t="n">
        <v>0</v>
      </c>
      <c r="H56" s="2"/>
      <c r="I56" s="14" t="str">
        <f aca="false">"Ingredient(name='"&amp;B56&amp;"', rate="&amp;D56&amp;", munit='"&amp;C56&amp;"',density_kg_per_lt='"&amp;E56&amp;"',density_pcs_per_kg='"&amp;E56&amp;"',density_pcs_per_lt='"&amp;E56&amp;"').save()"</f>
        <v>Ingredient(name='coconut oil', rate=0, munit='kg',density_kg_per_lt='0',density_pcs_per_kg='0',density_pcs_per_lt='0').save()</v>
      </c>
    </row>
    <row r="57" customFormat="false" ht="15" hidden="false" customHeight="false" outlineLevel="0" collapsed="false">
      <c r="A57" s="0" t="n">
        <v>56</v>
      </c>
      <c r="B57" s="0" t="s">
        <v>279</v>
      </c>
      <c r="C57" s="17" t="s">
        <v>7</v>
      </c>
      <c r="D57" s="2" t="n">
        <v>0</v>
      </c>
      <c r="E57" s="2" t="n">
        <v>0</v>
      </c>
      <c r="F57" s="2" t="n">
        <v>0</v>
      </c>
      <c r="G57" s="2" t="n">
        <v>0</v>
      </c>
      <c r="H57" s="2"/>
      <c r="I57" s="14" t="str">
        <f aca="false">"Ingredient(name='"&amp;B57&amp;"', rate="&amp;D57&amp;", munit='"&amp;C57&amp;"',density_kg_per_lt='"&amp;E57&amp;"',density_pcs_per_kg='"&amp;E57&amp;"',density_pcs_per_lt='"&amp;E57&amp;"').save()"</f>
        <v>Ingredient(name='corn', rate=0, munit='kg',density_kg_per_lt='0',density_pcs_per_kg='0',density_pcs_per_lt='0').save()</v>
      </c>
    </row>
    <row r="58" customFormat="false" ht="15" hidden="false" customHeight="false" outlineLevel="0" collapsed="false">
      <c r="A58" s="0" t="n">
        <v>57</v>
      </c>
      <c r="B58" s="0" t="s">
        <v>282</v>
      </c>
      <c r="C58" s="17" t="s">
        <v>7</v>
      </c>
      <c r="D58" s="2" t="n">
        <v>0</v>
      </c>
      <c r="E58" s="2" t="n">
        <v>0</v>
      </c>
      <c r="F58" s="2" t="n">
        <v>0</v>
      </c>
      <c r="G58" s="2" t="n">
        <v>0</v>
      </c>
      <c r="H58" s="2"/>
      <c r="I58" s="14" t="str">
        <f aca="false">"Ingredient(name='"&amp;B58&amp;"', rate="&amp;D58&amp;", munit='"&amp;C58&amp;"',density_kg_per_lt='"&amp;E58&amp;"',density_pcs_per_kg='"&amp;E58&amp;"',density_pcs_per_lt='"&amp;E58&amp;"').save()"</f>
        <v>Ingredient(name='corn flour', rate=0, munit='kg',density_kg_per_lt='0',density_pcs_per_kg='0',density_pcs_per_lt='0').save()</v>
      </c>
    </row>
    <row r="59" customFormat="false" ht="15" hidden="false" customHeight="false" outlineLevel="0" collapsed="false">
      <c r="A59" s="0" t="n">
        <v>58</v>
      </c>
      <c r="B59" s="0" t="s">
        <v>285</v>
      </c>
      <c r="C59" s="17" t="s">
        <v>7</v>
      </c>
      <c r="D59" s="2" t="n">
        <v>0</v>
      </c>
      <c r="E59" s="2" t="n">
        <v>0</v>
      </c>
      <c r="F59" s="2" t="n">
        <v>0</v>
      </c>
      <c r="G59" s="2" t="n">
        <v>0</v>
      </c>
      <c r="H59" s="2"/>
      <c r="I59" s="14" t="str">
        <f aca="false">"Ingredient(name='"&amp;B59&amp;"', rate="&amp;D59&amp;", munit='"&amp;C59&amp;"',density_kg_per_lt='"&amp;E59&amp;"',density_pcs_per_kg='"&amp;E59&amp;"',density_pcs_per_lt='"&amp;E59&amp;"').save()"</f>
        <v>Ingredient(name='dagad ful', rate=0, munit='kg',density_kg_per_lt='0',density_pcs_per_kg='0',density_pcs_per_lt='0').save()</v>
      </c>
    </row>
    <row r="60" customFormat="false" ht="15" hidden="false" customHeight="false" outlineLevel="0" collapsed="false">
      <c r="A60" s="0" t="n">
        <v>59</v>
      </c>
      <c r="B60" s="0" t="s">
        <v>288</v>
      </c>
      <c r="C60" s="17" t="s">
        <v>7</v>
      </c>
      <c r="D60" s="2" t="n">
        <v>0</v>
      </c>
      <c r="E60" s="2" t="n">
        <v>0</v>
      </c>
      <c r="F60" s="2" t="n">
        <v>0</v>
      </c>
      <c r="G60" s="2" t="n">
        <v>0</v>
      </c>
      <c r="H60" s="2"/>
      <c r="I60" s="14" t="str">
        <f aca="false">"Ingredient(name='"&amp;B60&amp;"', rate="&amp;D60&amp;", munit='"&amp;C60&amp;"',density_kg_per_lt='"&amp;E60&amp;"',density_pcs_per_kg='"&amp;E60&amp;"',density_pcs_per_lt='"&amp;E60&amp;"').save()"</f>
        <v>Ingredient(name='dahi', rate=0, munit='kg',density_kg_per_lt='0',density_pcs_per_kg='0',density_pcs_per_lt='0').save()</v>
      </c>
    </row>
    <row r="61" customFormat="false" ht="15" hidden="false" customHeight="false" outlineLevel="0" collapsed="false">
      <c r="A61" s="0" t="n">
        <v>60</v>
      </c>
      <c r="B61" s="0" t="s">
        <v>291</v>
      </c>
      <c r="C61" s="17" t="s">
        <v>7</v>
      </c>
      <c r="D61" s="2" t="n">
        <v>0</v>
      </c>
      <c r="E61" s="2" t="n">
        <v>0</v>
      </c>
      <c r="F61" s="2" t="n">
        <v>0</v>
      </c>
      <c r="G61" s="2" t="n">
        <v>0</v>
      </c>
      <c r="H61" s="2"/>
      <c r="I61" s="14" t="str">
        <f aca="false">"Ingredient(name='"&amp;B61&amp;"', rate="&amp;D61&amp;", munit='"&amp;C61&amp;"',density_kg_per_lt='"&amp;E61&amp;"',density_pcs_per_kg='"&amp;E61&amp;"',density_pcs_per_lt='"&amp;E61&amp;"').save()"</f>
        <v>Ingredient(name='dal', rate=0, munit='kg',density_kg_per_lt='0',density_pcs_per_kg='0',density_pcs_per_lt='0').save()</v>
      </c>
    </row>
    <row r="62" customFormat="false" ht="15" hidden="false" customHeight="false" outlineLevel="0" collapsed="false">
      <c r="A62" s="0" t="n">
        <v>61</v>
      </c>
      <c r="B62" s="0" t="s">
        <v>294</v>
      </c>
      <c r="C62" s="17" t="s">
        <v>7</v>
      </c>
      <c r="D62" s="2" t="n">
        <v>0</v>
      </c>
      <c r="E62" s="2" t="n">
        <v>0</v>
      </c>
      <c r="F62" s="2" t="n">
        <v>0</v>
      </c>
      <c r="G62" s="2" t="n">
        <v>0</v>
      </c>
      <c r="H62" s="2"/>
      <c r="I62" s="14" t="str">
        <f aca="false">"Ingredient(name='"&amp;B62&amp;"', rate="&amp;D62&amp;", munit='"&amp;C62&amp;"',density_kg_per_lt='"&amp;E62&amp;"',density_pcs_per_kg='"&amp;E62&amp;"',density_pcs_per_lt='"&amp;E62&amp;"').save()"</f>
        <v>Ingredient(name='dalchini', rate=0, munit='kg',density_kg_per_lt='0',density_pcs_per_kg='0',density_pcs_per_lt='0').save()</v>
      </c>
    </row>
    <row r="63" customFormat="false" ht="15" hidden="false" customHeight="false" outlineLevel="0" collapsed="false">
      <c r="A63" s="0" t="n">
        <v>62</v>
      </c>
      <c r="B63" s="0" t="s">
        <v>297</v>
      </c>
      <c r="C63" s="17" t="s">
        <v>7</v>
      </c>
      <c r="D63" s="2" t="n">
        <v>0</v>
      </c>
      <c r="E63" s="2" t="n">
        <v>0</v>
      </c>
      <c r="F63" s="2" t="n">
        <v>0</v>
      </c>
      <c r="G63" s="2" t="n">
        <v>0</v>
      </c>
      <c r="H63" s="2"/>
      <c r="I63" s="14" t="str">
        <f aca="false">"Ingredient(name='"&amp;B63&amp;"', rate="&amp;D63&amp;", munit='"&amp;C63&amp;"',density_kg_per_lt='"&amp;E63&amp;"',density_pcs_per_kg='"&amp;E63&amp;"',density_pcs_per_lt='"&amp;E63&amp;"').save()"</f>
        <v>Ingredient(name='daliya', rate=0, munit='kg',density_kg_per_lt='0',density_pcs_per_kg='0',density_pcs_per_lt='0').save()</v>
      </c>
    </row>
    <row r="64" customFormat="false" ht="15" hidden="false" customHeight="false" outlineLevel="0" collapsed="false">
      <c r="A64" s="0" t="n">
        <v>63</v>
      </c>
      <c r="B64" s="0" t="s">
        <v>300</v>
      </c>
      <c r="C64" s="17" t="s">
        <v>7</v>
      </c>
      <c r="D64" s="2" t="n">
        <v>0</v>
      </c>
      <c r="E64" s="2" t="n">
        <v>0</v>
      </c>
      <c r="F64" s="2" t="n">
        <v>0</v>
      </c>
      <c r="G64" s="2" t="n">
        <v>0</v>
      </c>
      <c r="H64" s="2"/>
      <c r="I64" s="14" t="str">
        <f aca="false">"Ingredient(name='"&amp;B64&amp;"', rate="&amp;D64&amp;", munit='"&amp;C64&amp;"',density_kg_per_lt='"&amp;E64&amp;"',density_pcs_per_kg='"&amp;E64&amp;"',density_pcs_per_lt='"&amp;E64&amp;"').save()"</f>
        <v>Ingredient(name='damodar p garam masala', rate=0, munit='kg',density_kg_per_lt='0',density_pcs_per_kg='0',density_pcs_per_lt='0').save()</v>
      </c>
    </row>
    <row r="65" customFormat="false" ht="15" hidden="false" customHeight="false" outlineLevel="0" collapsed="false">
      <c r="A65" s="0" t="n">
        <v>64</v>
      </c>
      <c r="B65" s="0" t="s">
        <v>303</v>
      </c>
      <c r="C65" s="17" t="s">
        <v>7</v>
      </c>
      <c r="D65" s="2" t="n">
        <v>0</v>
      </c>
      <c r="E65" s="2" t="n">
        <v>0</v>
      </c>
      <c r="F65" s="2" t="n">
        <v>0</v>
      </c>
      <c r="G65" s="2" t="n">
        <v>0</v>
      </c>
      <c r="H65" s="2"/>
      <c r="I65" s="14" t="str">
        <f aca="false">"Ingredient(name='"&amp;B65&amp;"', rate="&amp;D65&amp;", munit='"&amp;C65&amp;"',density_kg_per_lt='"&amp;E65&amp;"',density_pcs_per_kg='"&amp;E65&amp;"',density_pcs_per_lt='"&amp;E65&amp;"').save()"</f>
        <v>Ingredient(name='dates', rate=0, munit='kg',density_kg_per_lt='0',density_pcs_per_kg='0',density_pcs_per_lt='0').save()</v>
      </c>
    </row>
    <row r="66" customFormat="false" ht="15" hidden="false" customHeight="false" outlineLevel="0" collapsed="false">
      <c r="A66" s="0" t="n">
        <v>65</v>
      </c>
      <c r="B66" s="0" t="s">
        <v>306</v>
      </c>
      <c r="C66" s="17" t="s">
        <v>7</v>
      </c>
      <c r="D66" s="2" t="n">
        <v>0</v>
      </c>
      <c r="E66" s="2" t="n">
        <v>0</v>
      </c>
      <c r="F66" s="2" t="n">
        <v>0</v>
      </c>
      <c r="G66" s="2" t="n">
        <v>0</v>
      </c>
      <c r="H66" s="2"/>
      <c r="I66" s="14" t="str">
        <f aca="false">"Ingredient(name='"&amp;B66&amp;"', rate="&amp;D66&amp;", munit='"&amp;C66&amp;"',density_kg_per_lt='"&amp;E66&amp;"',density_pcs_per_kg='"&amp;E66&amp;"',density_pcs_per_lt='"&amp;E66&amp;"').save()"</f>
        <v>Ingredient(name='dhania', rate=0, munit='kg',density_kg_per_lt='0',density_pcs_per_kg='0',density_pcs_per_lt='0').save()</v>
      </c>
    </row>
    <row r="67" customFormat="false" ht="15" hidden="false" customHeight="false" outlineLevel="0" collapsed="false">
      <c r="A67" s="0" t="n">
        <v>66</v>
      </c>
      <c r="B67" s="0" t="s">
        <v>309</v>
      </c>
      <c r="C67" s="17" t="s">
        <v>7</v>
      </c>
      <c r="D67" s="2" t="n">
        <v>0</v>
      </c>
      <c r="E67" s="2" t="n">
        <v>0</v>
      </c>
      <c r="F67" s="2" t="n">
        <v>0</v>
      </c>
      <c r="G67" s="2" t="n">
        <v>0</v>
      </c>
      <c r="H67" s="2"/>
      <c r="I67" s="14" t="str">
        <f aca="false">"Ingredient(name='"&amp;B67&amp;"', rate="&amp;D67&amp;", munit='"&amp;C67&amp;"',density_kg_per_lt='"&amp;E67&amp;"',density_pcs_per_kg='"&amp;E67&amp;"',density_pcs_per_lt='"&amp;E67&amp;"').save()"</f>
        <v>Ingredient(name='dhaniya patta', rate=0, munit='kg',density_kg_per_lt='0',density_pcs_per_kg='0',density_pcs_per_lt='0').save()</v>
      </c>
    </row>
    <row r="68" customFormat="false" ht="15" hidden="false" customHeight="false" outlineLevel="0" collapsed="false">
      <c r="A68" s="0" t="n">
        <v>67</v>
      </c>
      <c r="B68" s="0" t="s">
        <v>312</v>
      </c>
      <c r="C68" s="17" t="s">
        <v>7</v>
      </c>
      <c r="D68" s="2" t="n">
        <v>0</v>
      </c>
      <c r="E68" s="2" t="n">
        <v>0</v>
      </c>
      <c r="F68" s="2" t="n">
        <v>0</v>
      </c>
      <c r="G68" s="2" t="n">
        <v>0</v>
      </c>
      <c r="H68" s="2"/>
      <c r="I68" s="14" t="str">
        <f aca="false">"Ingredient(name='"&amp;B68&amp;"', rate="&amp;D68&amp;", munit='"&amp;C68&amp;"',density_kg_per_lt='"&amp;E68&amp;"',density_pcs_per_kg='"&amp;E68&amp;"',density_pcs_per_lt='"&amp;E68&amp;"').save()"</f>
        <v>Ingredient(name='dhaniya powder', rate=0, munit='kg',density_kg_per_lt='0',density_pcs_per_kg='0',density_pcs_per_lt='0').save()</v>
      </c>
    </row>
    <row r="69" customFormat="false" ht="15" hidden="false" customHeight="false" outlineLevel="0" collapsed="false">
      <c r="A69" s="0" t="n">
        <v>68</v>
      </c>
      <c r="B69" s="0" t="s">
        <v>315</v>
      </c>
      <c r="C69" s="17" t="s">
        <v>7</v>
      </c>
      <c r="D69" s="2" t="n">
        <v>0</v>
      </c>
      <c r="E69" s="2" t="n">
        <v>0</v>
      </c>
      <c r="F69" s="2" t="n">
        <v>0</v>
      </c>
      <c r="G69" s="2" t="n">
        <v>0</v>
      </c>
      <c r="H69" s="2"/>
      <c r="I69" s="14" t="str">
        <f aca="false">"Ingredient(name='"&amp;B69&amp;"', rate="&amp;D69&amp;", munit='"&amp;C69&amp;"',density_kg_per_lt='"&amp;E69&amp;"',density_pcs_per_kg='"&amp;E69&amp;"',density_pcs_per_lt='"&amp;E69&amp;"').save()"</f>
        <v>Ingredient(name='drum stick', rate=0, munit='kg',density_kg_per_lt='0',density_pcs_per_kg='0',density_pcs_per_lt='0').save()</v>
      </c>
    </row>
    <row r="70" customFormat="false" ht="15" hidden="false" customHeight="false" outlineLevel="0" collapsed="false">
      <c r="A70" s="0" t="n">
        <v>69</v>
      </c>
      <c r="B70" s="0" t="s">
        <v>318</v>
      </c>
      <c r="C70" s="17" t="s">
        <v>7</v>
      </c>
      <c r="D70" s="2" t="n">
        <v>0</v>
      </c>
      <c r="E70" s="2" t="n">
        <v>0</v>
      </c>
      <c r="F70" s="2" t="n">
        <v>0</v>
      </c>
      <c r="G70" s="2" t="n">
        <v>0</v>
      </c>
      <c r="H70" s="2"/>
      <c r="I70" s="14" t="str">
        <f aca="false">"Ingredient(name='"&amp;B70&amp;"', rate="&amp;D70&amp;", munit='"&amp;C70&amp;"',density_kg_per_lt='"&amp;E70&amp;"',density_pcs_per_kg='"&amp;E70&amp;"',density_pcs_per_lt='"&amp;E70&amp;"').save()"</f>
        <v>Ingredient(name='dudhi', rate=0, munit='kg',density_kg_per_lt='0',density_pcs_per_kg='0',density_pcs_per_lt='0').save()</v>
      </c>
    </row>
    <row r="71" customFormat="false" ht="15" hidden="false" customHeight="false" outlineLevel="0" collapsed="false">
      <c r="A71" s="0" t="n">
        <v>70</v>
      </c>
      <c r="B71" s="0" t="s">
        <v>321</v>
      </c>
      <c r="C71" s="17" t="s">
        <v>7</v>
      </c>
      <c r="D71" s="2" t="n">
        <v>0</v>
      </c>
      <c r="E71" s="2" t="n">
        <v>0</v>
      </c>
      <c r="F71" s="2" t="n">
        <v>0</v>
      </c>
      <c r="G71" s="2" t="n">
        <v>0</v>
      </c>
      <c r="H71" s="2"/>
      <c r="I71" s="14" t="str">
        <f aca="false">"Ingredient(name='"&amp;B71&amp;"', rate="&amp;D71&amp;", munit='"&amp;C71&amp;"',density_kg_per_lt='"&amp;E71&amp;"',density_pcs_per_kg='"&amp;E71&amp;"',density_pcs_per_lt='"&amp;E71&amp;"').save()"</f>
        <v>Ingredient(name='elaichi', rate=0, munit='kg',density_kg_per_lt='0',density_pcs_per_kg='0',density_pcs_per_lt='0').save()</v>
      </c>
    </row>
    <row r="72" customFormat="false" ht="15" hidden="false" customHeight="false" outlineLevel="0" collapsed="false">
      <c r="A72" s="0" t="n">
        <v>71</v>
      </c>
      <c r="B72" s="0" t="s">
        <v>324</v>
      </c>
      <c r="C72" s="17" t="s">
        <v>7</v>
      </c>
      <c r="D72" s="2" t="n">
        <v>0</v>
      </c>
      <c r="E72" s="2" t="n">
        <v>0</v>
      </c>
      <c r="F72" s="2" t="n">
        <v>0</v>
      </c>
      <c r="G72" s="2" t="n">
        <v>0</v>
      </c>
      <c r="H72" s="2"/>
      <c r="I72" s="14" t="str">
        <f aca="false">"Ingredient(name='"&amp;B72&amp;"', rate="&amp;D72&amp;", munit='"&amp;C72&amp;"',density_kg_per_lt='"&amp;E72&amp;"',density_pcs_per_kg='"&amp;E72&amp;"',density_pcs_per_lt='"&amp;E72&amp;"').save()"</f>
        <v>Ingredient(name='elaichi powder', rate=0, munit='kg',density_kg_per_lt='0',density_pcs_per_kg='0',density_pcs_per_lt='0').save()</v>
      </c>
    </row>
    <row r="73" customFormat="false" ht="15" hidden="false" customHeight="false" outlineLevel="0" collapsed="false">
      <c r="A73" s="0" t="n">
        <v>72</v>
      </c>
      <c r="B73" s="0" t="s">
        <v>327</v>
      </c>
      <c r="C73" s="17" t="s">
        <v>7</v>
      </c>
      <c r="D73" s="2" t="n">
        <v>0</v>
      </c>
      <c r="E73" s="2" t="n">
        <v>0</v>
      </c>
      <c r="F73" s="2" t="n">
        <v>0</v>
      </c>
      <c r="G73" s="2" t="n">
        <v>0</v>
      </c>
      <c r="H73" s="2"/>
      <c r="I73" s="14" t="str">
        <f aca="false">"Ingredient(name='"&amp;B73&amp;"', rate="&amp;D73&amp;", munit='"&amp;C73&amp;"',density_kg_per_lt='"&amp;E73&amp;"',density_pcs_per_kg='"&amp;E73&amp;"',density_pcs_per_lt='"&amp;E73&amp;"').save()"</f>
        <v>Ingredient(name='everest chat masala', rate=0, munit='kg',density_kg_per_lt='0',density_pcs_per_kg='0',density_pcs_per_lt='0').save()</v>
      </c>
    </row>
    <row r="74" customFormat="false" ht="15" hidden="false" customHeight="false" outlineLevel="0" collapsed="false">
      <c r="A74" s="0" t="n">
        <v>73</v>
      </c>
      <c r="B74" s="0" t="s">
        <v>330</v>
      </c>
      <c r="C74" s="17" t="s">
        <v>7</v>
      </c>
      <c r="D74" s="2" t="n">
        <v>0</v>
      </c>
      <c r="E74" s="2" t="n">
        <v>0</v>
      </c>
      <c r="F74" s="2" t="n">
        <v>0</v>
      </c>
      <c r="G74" s="2" t="n">
        <v>0</v>
      </c>
      <c r="H74" s="2"/>
      <c r="I74" s="14" t="str">
        <f aca="false">"Ingredient(name='"&amp;B74&amp;"', rate="&amp;D74&amp;", munit='"&amp;C74&amp;"',density_kg_per_lt='"&amp;E74&amp;"',density_pcs_per_kg='"&amp;E74&amp;"',density_pcs_per_lt='"&amp;E74&amp;"').save()"</f>
        <v>Ingredient(name='everest chole masala', rate=0, munit='kg',density_kg_per_lt='0',density_pcs_per_kg='0',density_pcs_per_lt='0').save()</v>
      </c>
    </row>
    <row r="75" customFormat="false" ht="15" hidden="false" customHeight="false" outlineLevel="0" collapsed="false">
      <c r="A75" s="0" t="n">
        <v>74</v>
      </c>
      <c r="B75" s="0" t="s">
        <v>333</v>
      </c>
      <c r="C75" s="17" t="s">
        <v>7</v>
      </c>
      <c r="D75" s="2" t="n">
        <v>0</v>
      </c>
      <c r="E75" s="2" t="n">
        <v>0</v>
      </c>
      <c r="F75" s="2" t="n">
        <v>0</v>
      </c>
      <c r="G75" s="2" t="n">
        <v>0</v>
      </c>
      <c r="H75" s="2"/>
      <c r="I75" s="14" t="str">
        <f aca="false">"Ingredient(name='"&amp;B75&amp;"', rate="&amp;D75&amp;", munit='"&amp;C75&amp;"',density_kg_per_lt='"&amp;E75&amp;"',density_pcs_per_kg='"&amp;E75&amp;"',density_pcs_per_lt='"&amp;E75&amp;"').save()"</f>
        <v>Ingredient(name='everest pulav masala', rate=0, munit='kg',density_kg_per_lt='0',density_pcs_per_kg='0',density_pcs_per_lt='0').save()</v>
      </c>
    </row>
    <row r="76" customFormat="false" ht="15" hidden="false" customHeight="false" outlineLevel="0" collapsed="false">
      <c r="A76" s="0" t="n">
        <v>75</v>
      </c>
      <c r="B76" s="0" t="s">
        <v>336</v>
      </c>
      <c r="C76" s="17" t="s">
        <v>7</v>
      </c>
      <c r="D76" s="2" t="n">
        <v>0</v>
      </c>
      <c r="E76" s="2" t="n">
        <v>0</v>
      </c>
      <c r="F76" s="2" t="n">
        <v>0</v>
      </c>
      <c r="G76" s="2" t="n">
        <v>0</v>
      </c>
      <c r="H76" s="2"/>
      <c r="I76" s="14" t="str">
        <f aca="false">"Ingredient(name='"&amp;B76&amp;"', rate="&amp;D76&amp;", munit='"&amp;C76&amp;"',density_kg_per_lt='"&amp;E76&amp;"',density_pcs_per_kg='"&amp;E76&amp;"',density_pcs_per_lt='"&amp;E76&amp;"').save()"</f>
        <v>Ingredient(name='everest shahi briyani masala', rate=0, munit='kg',density_kg_per_lt='0',density_pcs_per_kg='0',density_pcs_per_lt='0').save()</v>
      </c>
    </row>
    <row r="77" customFormat="false" ht="15" hidden="false" customHeight="false" outlineLevel="0" collapsed="false">
      <c r="A77" s="0" t="n">
        <v>76</v>
      </c>
      <c r="B77" s="0" t="s">
        <v>339</v>
      </c>
      <c r="C77" s="17" t="s">
        <v>7</v>
      </c>
      <c r="D77" s="2" t="n">
        <v>0</v>
      </c>
      <c r="E77" s="2" t="n">
        <v>0</v>
      </c>
      <c r="F77" s="2" t="n">
        <v>0</v>
      </c>
      <c r="G77" s="2" t="n">
        <v>0</v>
      </c>
      <c r="H77" s="2"/>
      <c r="I77" s="14" t="str">
        <f aca="false">"Ingredient(name='"&amp;B77&amp;"', rate="&amp;D77&amp;", munit='"&amp;C77&amp;"',density_kg_per_lt='"&amp;E77&amp;"',density_pcs_per_kg='"&amp;E77&amp;"',density_pcs_per_lt='"&amp;E77&amp;"').save()"</f>
        <v>Ingredient(name='evoo', rate=0, munit='kg',density_kg_per_lt='0',density_pcs_per_kg='0',density_pcs_per_lt='0').save()</v>
      </c>
    </row>
    <row r="78" customFormat="false" ht="15" hidden="false" customHeight="false" outlineLevel="0" collapsed="false">
      <c r="A78" s="0" t="n">
        <v>77</v>
      </c>
      <c r="B78" s="0" t="s">
        <v>342</v>
      </c>
      <c r="C78" s="17" t="s">
        <v>7</v>
      </c>
      <c r="D78" s="2" t="n">
        <v>0</v>
      </c>
      <c r="E78" s="2" t="n">
        <v>0</v>
      </c>
      <c r="F78" s="2" t="n">
        <v>0</v>
      </c>
      <c r="G78" s="2" t="n">
        <v>0</v>
      </c>
      <c r="H78" s="2"/>
      <c r="I78" s="14" t="str">
        <f aca="false">"Ingredient(name='"&amp;B78&amp;"', rate="&amp;D78&amp;", munit='"&amp;C78&amp;"',density_kg_per_lt='"&amp;E78&amp;"',density_pcs_per_kg='"&amp;E78&amp;"',density_pcs_per_lt='"&amp;E78&amp;"').save()"</f>
        <v>Ingredient(name='fennel bulb', rate=0, munit='kg',density_kg_per_lt='0',density_pcs_per_kg='0',density_pcs_per_lt='0').save()</v>
      </c>
    </row>
    <row r="79" customFormat="false" ht="15" hidden="false" customHeight="false" outlineLevel="0" collapsed="false">
      <c r="A79" s="0" t="n">
        <v>78</v>
      </c>
      <c r="B79" s="0" t="s">
        <v>345</v>
      </c>
      <c r="C79" s="17" t="s">
        <v>7</v>
      </c>
      <c r="D79" s="2" t="n">
        <v>0</v>
      </c>
      <c r="E79" s="2" t="n">
        <v>0</v>
      </c>
      <c r="F79" s="2" t="n">
        <v>0</v>
      </c>
      <c r="G79" s="2" t="n">
        <v>0</v>
      </c>
      <c r="H79" s="2"/>
      <c r="I79" s="14" t="str">
        <f aca="false">"Ingredient(name='"&amp;B79&amp;"', rate="&amp;D79&amp;", munit='"&amp;C79&amp;"',density_kg_per_lt='"&amp;E79&amp;"',density_pcs_per_kg='"&amp;E79&amp;"',density_pcs_per_lt='"&amp;E79&amp;"').save()"</f>
        <v>Ingredient(name='flower', rate=0, munit='kg',density_kg_per_lt='0',density_pcs_per_kg='0',density_pcs_per_lt='0').save()</v>
      </c>
    </row>
    <row r="80" customFormat="false" ht="15" hidden="false" customHeight="false" outlineLevel="0" collapsed="false">
      <c r="A80" s="0" t="n">
        <v>79</v>
      </c>
      <c r="B80" s="0" t="s">
        <v>348</v>
      </c>
      <c r="C80" s="17" t="s">
        <v>7</v>
      </c>
      <c r="D80" s="2" t="n">
        <v>0</v>
      </c>
      <c r="E80" s="2" t="n">
        <v>0</v>
      </c>
      <c r="F80" s="2" t="n">
        <v>0</v>
      </c>
      <c r="G80" s="2" t="n">
        <v>0</v>
      </c>
      <c r="H80" s="2"/>
      <c r="I80" s="14" t="str">
        <f aca="false">"Ingredient(name='"&amp;B80&amp;"', rate="&amp;D80&amp;", munit='"&amp;C80&amp;"',density_kg_per_lt='"&amp;E80&amp;"',density_pcs_per_kg='"&amp;E80&amp;"',density_pcs_per_lt='"&amp;E80&amp;"').save()"</f>
        <v>Ingredient(name='gajar', rate=0, munit='kg',density_kg_per_lt='0',density_pcs_per_kg='0',density_pcs_per_lt='0').save()</v>
      </c>
    </row>
    <row r="81" customFormat="false" ht="15" hidden="false" customHeight="false" outlineLevel="0" collapsed="false">
      <c r="A81" s="0" t="n">
        <v>80</v>
      </c>
      <c r="B81" s="0" t="s">
        <v>351</v>
      </c>
      <c r="C81" s="17" t="s">
        <v>7</v>
      </c>
      <c r="D81" s="2" t="n">
        <v>0</v>
      </c>
      <c r="E81" s="2" t="n">
        <v>0</v>
      </c>
      <c r="F81" s="2" t="n">
        <v>0</v>
      </c>
      <c r="G81" s="2" t="n">
        <v>0</v>
      </c>
      <c r="H81" s="2"/>
      <c r="I81" s="14" t="str">
        <f aca="false">"Ingredient(name='"&amp;B81&amp;"', rate="&amp;D81&amp;", munit='"&amp;C81&amp;"',density_kg_per_lt='"&amp;E81&amp;"',density_pcs_per_kg='"&amp;E81&amp;"',density_pcs_per_lt='"&amp;E81&amp;"').save()"</f>
        <v>Ingredient(name='garam masala', rate=0, munit='kg',density_kg_per_lt='0',density_pcs_per_kg='0',density_pcs_per_lt='0').save()</v>
      </c>
    </row>
    <row r="82" customFormat="false" ht="15" hidden="false" customHeight="false" outlineLevel="0" collapsed="false">
      <c r="A82" s="0" t="n">
        <v>81</v>
      </c>
      <c r="B82" s="0" t="s">
        <v>354</v>
      </c>
      <c r="C82" s="17" t="s">
        <v>7</v>
      </c>
      <c r="D82" s="2" t="n">
        <v>0</v>
      </c>
      <c r="E82" s="2" t="n">
        <v>0</v>
      </c>
      <c r="F82" s="2" t="n">
        <v>0</v>
      </c>
      <c r="G82" s="2" t="n">
        <v>0</v>
      </c>
      <c r="H82" s="2"/>
      <c r="I82" s="14" t="str">
        <f aca="false">"Ingredient(name='"&amp;B82&amp;"', rate="&amp;D82&amp;", munit='"&amp;C82&amp;"',density_kg_per_lt='"&amp;E82&amp;"',density_pcs_per_kg='"&amp;E82&amp;"',density_pcs_per_lt='"&amp;E82&amp;"').save()"</f>
        <v>Ingredient(name='ghee', rate=0, munit='kg',density_kg_per_lt='0',density_pcs_per_kg='0',density_pcs_per_lt='0').save()</v>
      </c>
    </row>
    <row r="83" customFormat="false" ht="15" hidden="false" customHeight="false" outlineLevel="0" collapsed="false">
      <c r="A83" s="0" t="n">
        <v>82</v>
      </c>
      <c r="B83" s="0" t="s">
        <v>357</v>
      </c>
      <c r="C83" s="17" t="s">
        <v>7</v>
      </c>
      <c r="D83" s="2" t="n">
        <v>0</v>
      </c>
      <c r="E83" s="2" t="n">
        <v>0</v>
      </c>
      <c r="F83" s="2" t="n">
        <v>0</v>
      </c>
      <c r="G83" s="2" t="n">
        <v>0</v>
      </c>
      <c r="H83" s="2"/>
      <c r="I83" s="14" t="str">
        <f aca="false">"Ingredient(name='"&amp;B83&amp;"', rate="&amp;D83&amp;", munit='"&amp;C83&amp;"',density_kg_per_lt='"&amp;E83&amp;"',density_pcs_per_kg='"&amp;E83&amp;"',density_pcs_per_lt='"&amp;E83&amp;"').save()"</f>
        <v>Ingredient(name='goda masala', rate=0, munit='kg',density_kg_per_lt='0',density_pcs_per_kg='0',density_pcs_per_lt='0').save()</v>
      </c>
    </row>
    <row r="84" customFormat="false" ht="15" hidden="false" customHeight="false" outlineLevel="0" collapsed="false">
      <c r="A84" s="0" t="n">
        <v>83</v>
      </c>
      <c r="B84" s="0" t="s">
        <v>360</v>
      </c>
      <c r="C84" s="17" t="s">
        <v>7</v>
      </c>
      <c r="D84" s="2" t="n">
        <v>0</v>
      </c>
      <c r="E84" s="2" t="n">
        <v>0</v>
      </c>
      <c r="F84" s="2" t="n">
        <v>0</v>
      </c>
      <c r="G84" s="2" t="n">
        <v>0</v>
      </c>
      <c r="H84" s="2"/>
      <c r="I84" s="14" t="str">
        <f aca="false">"Ingredient(name='"&amp;B84&amp;"', rate="&amp;D84&amp;", munit='"&amp;C84&amp;"',density_kg_per_lt='"&amp;E84&amp;"',density_pcs_per_kg='"&amp;E84&amp;"',density_pcs_per_lt='"&amp;E84&amp;"').save()"</f>
        <v>Ingredient(name='gound nut oil', rate=0, munit='kg',density_kg_per_lt='0',density_pcs_per_kg='0',density_pcs_per_lt='0').save()</v>
      </c>
    </row>
    <row r="85" customFormat="false" ht="15" hidden="false" customHeight="false" outlineLevel="0" collapsed="false">
      <c r="A85" s="0" t="n">
        <v>84</v>
      </c>
      <c r="B85" s="0" t="s">
        <v>363</v>
      </c>
      <c r="C85" s="17" t="s">
        <v>7</v>
      </c>
      <c r="D85" s="2" t="n">
        <v>0</v>
      </c>
      <c r="E85" s="2" t="n">
        <v>0</v>
      </c>
      <c r="F85" s="2" t="n">
        <v>0</v>
      </c>
      <c r="G85" s="2" t="n">
        <v>0</v>
      </c>
      <c r="H85" s="2"/>
      <c r="I85" s="14" t="str">
        <f aca="false">"Ingredient(name='"&amp;B85&amp;"', rate="&amp;D85&amp;", munit='"&amp;C85&amp;"',density_kg_per_lt='"&amp;E85&amp;"',density_pcs_per_kg='"&amp;E85&amp;"',density_pcs_per_lt='"&amp;E85&amp;"').save()"</f>
        <v>Ingredient(name='green capsicum', rate=0, munit='kg',density_kg_per_lt='0',density_pcs_per_kg='0',density_pcs_per_lt='0').save()</v>
      </c>
    </row>
    <row r="86" customFormat="false" ht="15" hidden="false" customHeight="false" outlineLevel="0" collapsed="false">
      <c r="A86" s="0" t="n">
        <v>85</v>
      </c>
      <c r="B86" s="0" t="s">
        <v>366</v>
      </c>
      <c r="C86" s="17" t="s">
        <v>7</v>
      </c>
      <c r="D86" s="2" t="n">
        <v>0</v>
      </c>
      <c r="E86" s="2" t="n">
        <v>0</v>
      </c>
      <c r="F86" s="2" t="n">
        <v>0</v>
      </c>
      <c r="G86" s="2" t="n">
        <v>0</v>
      </c>
      <c r="H86" s="2"/>
      <c r="I86" s="14" t="str">
        <f aca="false">"Ingredient(name='"&amp;B86&amp;"', rate="&amp;D86&amp;", munit='"&amp;C86&amp;"',density_kg_per_lt='"&amp;E86&amp;"',density_pcs_per_kg='"&amp;E86&amp;"',density_pcs_per_lt='"&amp;E86&amp;"').save()"</f>
        <v>Ingredient(name='green chilli sauce', rate=0, munit='kg',density_kg_per_lt='0',density_pcs_per_kg='0',density_pcs_per_lt='0').save()</v>
      </c>
    </row>
    <row r="87" customFormat="false" ht="15" hidden="false" customHeight="false" outlineLevel="0" collapsed="false">
      <c r="A87" s="0" t="n">
        <v>86</v>
      </c>
      <c r="B87" s="0" t="s">
        <v>368</v>
      </c>
      <c r="C87" s="17" t="s">
        <v>7</v>
      </c>
      <c r="D87" s="2" t="n">
        <v>0</v>
      </c>
      <c r="E87" s="2" t="n">
        <v>0</v>
      </c>
      <c r="F87" s="2" t="n">
        <v>0</v>
      </c>
      <c r="G87" s="2" t="n">
        <v>0</v>
      </c>
      <c r="H87" s="2"/>
      <c r="I87" s="14" t="str">
        <f aca="false">"Ingredient(name='"&amp;B87&amp;"', rate="&amp;D87&amp;", munit='"&amp;C87&amp;"',density_kg_per_lt='"&amp;E87&amp;"',density_pcs_per_kg='"&amp;E87&amp;"',density_pcs_per_lt='"&amp;E87&amp;"').save()"</f>
        <v>Ingredient(name='green elaichi', rate=0, munit='kg',density_kg_per_lt='0',density_pcs_per_kg='0',density_pcs_per_lt='0').save()</v>
      </c>
    </row>
    <row r="88" customFormat="false" ht="15" hidden="false" customHeight="false" outlineLevel="0" collapsed="false">
      <c r="A88" s="0" t="n">
        <v>87</v>
      </c>
      <c r="B88" s="0" t="s">
        <v>371</v>
      </c>
      <c r="C88" s="17" t="s">
        <v>7</v>
      </c>
      <c r="D88" s="2" t="n">
        <v>0</v>
      </c>
      <c r="E88" s="2" t="n">
        <v>0</v>
      </c>
      <c r="F88" s="2" t="n">
        <v>0</v>
      </c>
      <c r="G88" s="2" t="n">
        <v>0</v>
      </c>
      <c r="H88" s="2"/>
      <c r="I88" s="14" t="str">
        <f aca="false">"Ingredient(name='"&amp;B88&amp;"', rate="&amp;D88&amp;", munit='"&amp;C88&amp;"',density_kg_per_lt='"&amp;E88&amp;"',density_pcs_per_kg='"&amp;E88&amp;"',density_pcs_per_lt='"&amp;E88&amp;"').save()"</f>
        <v>Ingredient(name='green mung', rate=0, munit='kg',density_kg_per_lt='0',density_pcs_per_kg='0',density_pcs_per_lt='0').save()</v>
      </c>
    </row>
    <row r="89" customFormat="false" ht="15" hidden="false" customHeight="false" outlineLevel="0" collapsed="false">
      <c r="A89" s="0" t="n">
        <v>88</v>
      </c>
      <c r="B89" s="0" t="s">
        <v>374</v>
      </c>
      <c r="C89" s="17" t="s">
        <v>7</v>
      </c>
      <c r="D89" s="2" t="n">
        <v>0</v>
      </c>
      <c r="E89" s="2" t="n">
        <v>0</v>
      </c>
      <c r="F89" s="2" t="n">
        <v>0</v>
      </c>
      <c r="G89" s="2" t="n">
        <v>0</v>
      </c>
      <c r="H89" s="2"/>
      <c r="I89" s="14" t="str">
        <f aca="false">"Ingredient(name='"&amp;B89&amp;"', rate="&amp;D89&amp;", munit='"&amp;C89&amp;"',density_kg_per_lt='"&amp;E89&amp;"',density_pcs_per_kg='"&amp;E89&amp;"',density_pcs_per_lt='"&amp;E89&amp;"').save()"</f>
        <v>Ingredient(name='green peas', rate=0, munit='kg',density_kg_per_lt='0',density_pcs_per_kg='0',density_pcs_per_lt='0').save()</v>
      </c>
    </row>
    <row r="90" customFormat="false" ht="15" hidden="false" customHeight="false" outlineLevel="0" collapsed="false">
      <c r="A90" s="0" t="n">
        <v>89</v>
      </c>
      <c r="B90" s="0" t="s">
        <v>377</v>
      </c>
      <c r="C90" s="17" t="s">
        <v>7</v>
      </c>
      <c r="D90" s="2" t="n">
        <v>0</v>
      </c>
      <c r="E90" s="2" t="n">
        <v>0</v>
      </c>
      <c r="F90" s="2" t="n">
        <v>0</v>
      </c>
      <c r="G90" s="2" t="n">
        <v>0</v>
      </c>
      <c r="H90" s="2"/>
      <c r="I90" s="14" t="str">
        <f aca="false">"Ingredient(name='"&amp;B90&amp;"', rate="&amp;D90&amp;", munit='"&amp;C90&amp;"',density_kg_per_lt='"&amp;E90&amp;"',density_pcs_per_kg='"&amp;E90&amp;"',density_pcs_per_lt='"&amp;E90&amp;"').save()"</f>
        <v>Ingredient(name='ground nut oil', rate=0, munit='kg',density_kg_per_lt='0',density_pcs_per_kg='0',density_pcs_per_lt='0').save()</v>
      </c>
    </row>
    <row r="91" customFormat="false" ht="15" hidden="false" customHeight="false" outlineLevel="0" collapsed="false">
      <c r="A91" s="0" t="n">
        <v>90</v>
      </c>
      <c r="B91" s="0" t="s">
        <v>380</v>
      </c>
      <c r="C91" s="17" t="s">
        <v>7</v>
      </c>
      <c r="D91" s="2" t="n">
        <v>0</v>
      </c>
      <c r="E91" s="2" t="n">
        <v>0</v>
      </c>
      <c r="F91" s="2" t="n">
        <v>0</v>
      </c>
      <c r="G91" s="2" t="n">
        <v>0</v>
      </c>
      <c r="H91" s="2"/>
      <c r="I91" s="14" t="str">
        <f aca="false">"Ingredient(name='"&amp;B91&amp;"', rate="&amp;D91&amp;", munit='"&amp;C91&amp;"',density_kg_per_lt='"&amp;E91&amp;"',density_pcs_per_kg='"&amp;E91&amp;"',density_pcs_per_lt='"&amp;E91&amp;"').save()"</f>
        <v>Ingredient(name='gud', rate=0, munit='kg',density_kg_per_lt='0',density_pcs_per_kg='0',density_pcs_per_lt='0').save()</v>
      </c>
    </row>
    <row r="92" customFormat="false" ht="15" hidden="false" customHeight="false" outlineLevel="0" collapsed="false">
      <c r="A92" s="0" t="n">
        <v>91</v>
      </c>
      <c r="B92" s="0" t="s">
        <v>382</v>
      </c>
      <c r="C92" s="17" t="s">
        <v>7</v>
      </c>
      <c r="D92" s="2" t="n">
        <v>0</v>
      </c>
      <c r="E92" s="2" t="n">
        <v>0</v>
      </c>
      <c r="F92" s="2" t="n">
        <v>0</v>
      </c>
      <c r="G92" s="2" t="n">
        <v>0</v>
      </c>
      <c r="H92" s="2"/>
      <c r="I92" s="14" t="str">
        <f aca="false">"Ingredient(name='"&amp;B92&amp;"', rate="&amp;D92&amp;", munit='"&amp;C92&amp;"',density_kg_per_lt='"&amp;E92&amp;"',density_pcs_per_kg='"&amp;E92&amp;"',density_pcs_per_lt='"&amp;E92&amp;"').save()"</f>
        <v>Ingredient(name='haldi', rate=0, munit='kg',density_kg_per_lt='0',density_pcs_per_kg='0',density_pcs_per_lt='0').save()</v>
      </c>
    </row>
    <row r="93" customFormat="false" ht="15" hidden="false" customHeight="false" outlineLevel="0" collapsed="false">
      <c r="A93" s="0" t="n">
        <v>92</v>
      </c>
      <c r="B93" s="0" t="s">
        <v>384</v>
      </c>
      <c r="C93" s="17" t="s">
        <v>7</v>
      </c>
      <c r="D93" s="2" t="n">
        <v>0</v>
      </c>
      <c r="E93" s="2" t="n">
        <v>0</v>
      </c>
      <c r="F93" s="2" t="n">
        <v>0</v>
      </c>
      <c r="G93" s="2" t="n">
        <v>0</v>
      </c>
      <c r="H93" s="2"/>
      <c r="I93" s="14" t="str">
        <f aca="false">"Ingredient(name='"&amp;B93&amp;"', rate="&amp;D93&amp;", munit='"&amp;C93&amp;"',density_kg_per_lt='"&amp;E93&amp;"',density_pcs_per_kg='"&amp;E93&amp;"',density_pcs_per_lt='"&amp;E93&amp;"').save()"</f>
        <v>Ingredient(name='hansraj chole masala', rate=0, munit='kg',density_kg_per_lt='0',density_pcs_per_kg='0',density_pcs_per_lt='0').save()</v>
      </c>
    </row>
    <row r="94" customFormat="false" ht="15" hidden="false" customHeight="false" outlineLevel="0" collapsed="false">
      <c r="A94" s="0" t="n">
        <v>93</v>
      </c>
      <c r="B94" s="0" t="s">
        <v>386</v>
      </c>
      <c r="C94" s="17" t="s">
        <v>7</v>
      </c>
      <c r="D94" s="2" t="n">
        <v>0</v>
      </c>
      <c r="E94" s="2" t="n">
        <v>0</v>
      </c>
      <c r="F94" s="2" t="n">
        <v>0</v>
      </c>
      <c r="G94" s="2" t="n">
        <v>0</v>
      </c>
      <c r="H94" s="2"/>
      <c r="I94" s="14" t="str">
        <f aca="false">"Ingredient(name='"&amp;B94&amp;"', rate="&amp;D94&amp;", munit='"&amp;C94&amp;"',density_kg_per_lt='"&amp;E94&amp;"',density_pcs_per_kg='"&amp;E94&amp;"',density_pcs_per_lt='"&amp;E94&amp;"').save()"</f>
        <v>Ingredient(name='hari mirchi', rate=0, munit='kg',density_kg_per_lt='0',density_pcs_per_kg='0',density_pcs_per_lt='0').save()</v>
      </c>
    </row>
    <row r="95" customFormat="false" ht="15" hidden="false" customHeight="false" outlineLevel="0" collapsed="false">
      <c r="A95" s="0" t="n">
        <v>94</v>
      </c>
      <c r="B95" s="0" t="s">
        <v>388</v>
      </c>
      <c r="C95" s="17" t="s">
        <v>7</v>
      </c>
      <c r="D95" s="2" t="n">
        <v>0</v>
      </c>
      <c r="E95" s="2" t="n">
        <v>0</v>
      </c>
      <c r="F95" s="2" t="n">
        <v>0</v>
      </c>
      <c r="G95" s="2" t="n">
        <v>0</v>
      </c>
      <c r="H95" s="2"/>
      <c r="I95" s="14" t="str">
        <f aca="false">"Ingredient(name='"&amp;B95&amp;"', rate="&amp;D95&amp;", munit='"&amp;C95&amp;"',density_kg_per_lt='"&amp;E95&amp;"',density_pcs_per_kg='"&amp;E95&amp;"',density_pcs_per_lt='"&amp;E95&amp;"').save()"</f>
        <v>Ingredient(name='herbal tea powder', rate=0, munit='kg',density_kg_per_lt='0',density_pcs_per_kg='0',density_pcs_per_lt='0').save()</v>
      </c>
    </row>
    <row r="96" customFormat="false" ht="15" hidden="false" customHeight="false" outlineLevel="0" collapsed="false">
      <c r="A96" s="0" t="n">
        <v>95</v>
      </c>
      <c r="B96" s="0" t="s">
        <v>391</v>
      </c>
      <c r="C96" s="17" t="s">
        <v>7</v>
      </c>
      <c r="D96" s="2" t="n">
        <v>0</v>
      </c>
      <c r="E96" s="2" t="n">
        <v>0</v>
      </c>
      <c r="F96" s="2" t="n">
        <v>0</v>
      </c>
      <c r="G96" s="2" t="n">
        <v>0</v>
      </c>
      <c r="H96" s="2"/>
      <c r="I96" s="14" t="str">
        <f aca="false">"Ingredient(name='"&amp;B96&amp;"', rate="&amp;D96&amp;", munit='"&amp;C96&amp;"',density_kg_per_lt='"&amp;E96&amp;"',density_pcs_per_kg='"&amp;E96&amp;"',density_pcs_per_lt='"&amp;E96&amp;"').save()"</f>
        <v>Ingredient(name='hing', rate=0, munit='kg',density_kg_per_lt='0',density_pcs_per_kg='0',density_pcs_per_lt='0').save()</v>
      </c>
    </row>
    <row r="97" customFormat="false" ht="15" hidden="false" customHeight="false" outlineLevel="0" collapsed="false">
      <c r="A97" s="0" t="n">
        <v>96</v>
      </c>
      <c r="B97" s="0" t="s">
        <v>392</v>
      </c>
      <c r="C97" s="17" t="s">
        <v>7</v>
      </c>
      <c r="D97" s="2" t="n">
        <v>0</v>
      </c>
      <c r="E97" s="2" t="n">
        <v>0</v>
      </c>
      <c r="F97" s="2" t="n">
        <v>0</v>
      </c>
      <c r="G97" s="2" t="n">
        <v>0</v>
      </c>
      <c r="H97" s="2"/>
      <c r="I97" s="14" t="str">
        <f aca="false">"Ingredient(name='"&amp;B97&amp;"', rate="&amp;D97&amp;", munit='"&amp;C97&amp;"',density_kg_per_lt='"&amp;E97&amp;"',density_pcs_per_kg='"&amp;E97&amp;"',density_pcs_per_lt='"&amp;E97&amp;"').save()"</f>
        <v>Ingredient(name='honey', rate=0, munit='kg',density_kg_per_lt='0',density_pcs_per_kg='0',density_pcs_per_lt='0').save()</v>
      </c>
    </row>
    <row r="98" customFormat="false" ht="15" hidden="false" customHeight="false" outlineLevel="0" collapsed="false">
      <c r="A98" s="0" t="n">
        <v>97</v>
      </c>
      <c r="B98" s="0" t="s">
        <v>393</v>
      </c>
      <c r="C98" s="17" t="s">
        <v>7</v>
      </c>
      <c r="D98" s="2" t="n">
        <v>0</v>
      </c>
      <c r="E98" s="2" t="n">
        <v>0</v>
      </c>
      <c r="F98" s="2" t="n">
        <v>0</v>
      </c>
      <c r="G98" s="2" t="n">
        <v>0</v>
      </c>
      <c r="H98" s="2"/>
      <c r="I98" s="14" t="str">
        <f aca="false">"Ingredient(name='"&amp;B98&amp;"', rate="&amp;D98&amp;", munit='"&amp;C98&amp;"',density_kg_per_lt='"&amp;E98&amp;"',density_pcs_per_kg='"&amp;E98&amp;"',density_pcs_per_lt='"&amp;E98&amp;"').save()"</f>
        <v>Ingredient(name='hot water', rate=0, munit='kg',density_kg_per_lt='0',density_pcs_per_kg='0',density_pcs_per_lt='0').save()</v>
      </c>
    </row>
    <row r="99" customFormat="false" ht="15" hidden="false" customHeight="false" outlineLevel="0" collapsed="false">
      <c r="A99" s="0" t="n">
        <v>98</v>
      </c>
      <c r="B99" s="0" t="s">
        <v>394</v>
      </c>
      <c r="C99" s="17" t="s">
        <v>7</v>
      </c>
      <c r="D99" s="2" t="n">
        <v>0</v>
      </c>
      <c r="E99" s="2" t="n">
        <v>0</v>
      </c>
      <c r="F99" s="2" t="n">
        <v>0</v>
      </c>
      <c r="G99" s="2" t="n">
        <v>0</v>
      </c>
      <c r="H99" s="2"/>
      <c r="I99" s="14" t="str">
        <f aca="false">"Ingredient(name='"&amp;B99&amp;"', rate="&amp;D99&amp;", munit='"&amp;C99&amp;"',density_kg_per_lt='"&amp;E99&amp;"',density_pcs_per_kg='"&amp;E99&amp;"',density_pcs_per_lt='"&amp;E99&amp;"').save()"</f>
        <v>Ingredient(name='imli', rate=0, munit='kg',density_kg_per_lt='0',density_pcs_per_kg='0',density_pcs_per_lt='0').save()</v>
      </c>
    </row>
    <row r="100" customFormat="false" ht="15" hidden="false" customHeight="false" outlineLevel="0" collapsed="false">
      <c r="A100" s="0" t="n">
        <v>99</v>
      </c>
      <c r="B100" s="0" t="s">
        <v>395</v>
      </c>
      <c r="C100" s="17" t="s">
        <v>7</v>
      </c>
      <c r="D100" s="2" t="n">
        <v>0</v>
      </c>
      <c r="E100" s="2" t="n">
        <v>0</v>
      </c>
      <c r="F100" s="2" t="n">
        <v>0</v>
      </c>
      <c r="G100" s="2" t="n">
        <v>0</v>
      </c>
      <c r="H100" s="2"/>
      <c r="I100" s="14" t="str">
        <f aca="false">"Ingredient(name='"&amp;B100&amp;"', rate="&amp;D100&amp;", munit='"&amp;C100&amp;"',density_kg_per_lt='"&amp;E100&amp;"',density_pcs_per_kg='"&amp;E100&amp;"',density_pcs_per_lt='"&amp;E100&amp;"').save()"</f>
        <v>Ingredient(name='jackfruit', rate=0, munit='kg',density_kg_per_lt='0',density_pcs_per_kg='0',density_pcs_per_lt='0').save()</v>
      </c>
    </row>
    <row r="101" customFormat="false" ht="15" hidden="false" customHeight="false" outlineLevel="0" collapsed="false">
      <c r="A101" s="0" t="n">
        <v>100</v>
      </c>
      <c r="B101" s="0" t="s">
        <v>396</v>
      </c>
      <c r="C101" s="17" t="s">
        <v>7</v>
      </c>
      <c r="D101" s="2" t="n">
        <v>0</v>
      </c>
      <c r="E101" s="2" t="n">
        <v>0</v>
      </c>
      <c r="F101" s="2" t="n">
        <v>0</v>
      </c>
      <c r="G101" s="2" t="n">
        <v>0</v>
      </c>
      <c r="H101" s="2"/>
      <c r="I101" s="14" t="str">
        <f aca="false">"Ingredient(name='"&amp;B101&amp;"', rate="&amp;D101&amp;", munit='"&amp;C101&amp;"',density_kg_per_lt='"&amp;E101&amp;"',density_pcs_per_kg='"&amp;E101&amp;"',density_pcs_per_lt='"&amp;E101&amp;"').save()"</f>
        <v>Ingredient(name='jada poha', rate=0, munit='kg',density_kg_per_lt='0',density_pcs_per_kg='0',density_pcs_per_lt='0').save()</v>
      </c>
    </row>
    <row r="102" customFormat="false" ht="15" hidden="false" customHeight="false" outlineLevel="0" collapsed="false">
      <c r="A102" s="0" t="n">
        <v>101</v>
      </c>
      <c r="B102" s="0" t="s">
        <v>397</v>
      </c>
      <c r="C102" s="17" t="s">
        <v>7</v>
      </c>
      <c r="D102" s="2" t="n">
        <v>0</v>
      </c>
      <c r="E102" s="2" t="n">
        <v>0</v>
      </c>
      <c r="F102" s="2" t="n">
        <v>0</v>
      </c>
      <c r="G102" s="2" t="n">
        <v>0</v>
      </c>
      <c r="H102" s="2"/>
      <c r="I102" s="14" t="str">
        <f aca="false">"Ingredient(name='"&amp;B102&amp;"', rate="&amp;D102&amp;", munit='"&amp;C102&amp;"',density_kg_per_lt='"&amp;E102&amp;"',density_pcs_per_kg='"&amp;E102&amp;"',density_pcs_per_lt='"&amp;E102&amp;"').save()"</f>
        <v>Ingredient(name='jaiwantri', rate=0, munit='kg',density_kg_per_lt='0',density_pcs_per_kg='0',density_pcs_per_lt='0').save()</v>
      </c>
    </row>
    <row r="103" customFormat="false" ht="15" hidden="false" customHeight="false" outlineLevel="0" collapsed="false">
      <c r="A103" s="0" t="n">
        <v>102</v>
      </c>
      <c r="B103" s="0" t="s">
        <v>398</v>
      </c>
      <c r="C103" s="17" t="s">
        <v>7</v>
      </c>
      <c r="D103" s="2" t="n">
        <v>0</v>
      </c>
      <c r="E103" s="2" t="n">
        <v>0</v>
      </c>
      <c r="F103" s="2" t="n">
        <v>0</v>
      </c>
      <c r="G103" s="2" t="n">
        <v>0</v>
      </c>
      <c r="H103" s="2"/>
      <c r="I103" s="14" t="str">
        <f aca="false">"Ingredient(name='"&amp;B103&amp;"', rate="&amp;D103&amp;", munit='"&amp;C103&amp;"',density_kg_per_lt='"&amp;E103&amp;"',density_pcs_per_kg='"&amp;E103&amp;"',density_pcs_per_lt='"&amp;E103&amp;"').save()"</f>
        <v>Ingredient(name='jeera', rate=0, munit='kg',density_kg_per_lt='0',density_pcs_per_kg='0',density_pcs_per_lt='0').save()</v>
      </c>
    </row>
    <row r="104" customFormat="false" ht="15" hidden="false" customHeight="false" outlineLevel="0" collapsed="false">
      <c r="A104" s="0" t="n">
        <v>103</v>
      </c>
      <c r="B104" s="0" t="s">
        <v>399</v>
      </c>
      <c r="C104" s="17" t="s">
        <v>7</v>
      </c>
      <c r="D104" s="2" t="n">
        <v>0</v>
      </c>
      <c r="E104" s="2" t="n">
        <v>0</v>
      </c>
      <c r="F104" s="2" t="n">
        <v>0</v>
      </c>
      <c r="G104" s="2" t="n">
        <v>0</v>
      </c>
      <c r="H104" s="2"/>
      <c r="I104" s="14" t="str">
        <f aca="false">"Ingredient(name='"&amp;B104&amp;"', rate="&amp;D104&amp;", munit='"&amp;C104&amp;"',density_kg_per_lt='"&amp;E104&amp;"',density_pcs_per_kg='"&amp;E104&amp;"',density_pcs_per_lt='"&amp;E104&amp;"').save()"</f>
        <v>Ingredient(name='jeera powder', rate=0, munit='kg',density_kg_per_lt='0',density_pcs_per_kg='0',density_pcs_per_lt='0').save()</v>
      </c>
    </row>
    <row r="105" customFormat="false" ht="15" hidden="false" customHeight="false" outlineLevel="0" collapsed="false">
      <c r="A105" s="0" t="n">
        <v>104</v>
      </c>
      <c r="B105" s="0" t="s">
        <v>400</v>
      </c>
      <c r="C105" s="17" t="s">
        <v>7</v>
      </c>
      <c r="D105" s="2" t="n">
        <v>0</v>
      </c>
      <c r="E105" s="2" t="n">
        <v>0</v>
      </c>
      <c r="F105" s="2" t="n">
        <v>0</v>
      </c>
      <c r="G105" s="2" t="n">
        <v>0</v>
      </c>
      <c r="H105" s="2"/>
      <c r="I105" s="14" t="str">
        <f aca="false">"Ingredient(name='"&amp;B105&amp;"', rate="&amp;D105&amp;", munit='"&amp;C105&amp;"',density_kg_per_lt='"&amp;E105&amp;"',density_pcs_per_kg='"&amp;E105&amp;"',density_pcs_per_lt='"&amp;E105&amp;"').save()"</f>
        <v>Ingredient(name='kaccha aam', rate=0, munit='kg',density_kg_per_lt='0',density_pcs_per_kg='0',density_pcs_per_lt='0').save()</v>
      </c>
    </row>
    <row r="106" customFormat="false" ht="15" hidden="false" customHeight="false" outlineLevel="0" collapsed="false">
      <c r="A106" s="0" t="n">
        <v>105</v>
      </c>
      <c r="B106" s="0" t="s">
        <v>38</v>
      </c>
      <c r="C106" s="17" t="s">
        <v>7</v>
      </c>
      <c r="D106" s="2" t="n">
        <v>0</v>
      </c>
      <c r="E106" s="2" t="n">
        <v>0</v>
      </c>
      <c r="F106" s="2" t="n">
        <v>0</v>
      </c>
      <c r="G106" s="2" t="n">
        <v>0</v>
      </c>
      <c r="H106" s="2"/>
      <c r="I106" s="14" t="str">
        <f aca="false">"Ingredient(name='"&amp;B106&amp;"', rate="&amp;D106&amp;", munit='"&amp;C106&amp;"',density_kg_per_lt='"&amp;E106&amp;"',density_pcs_per_kg='"&amp;E106&amp;"',density_pcs_per_lt='"&amp;E106&amp;"').save()"</f>
        <v>Ingredient(name='kadi patta', rate=0, munit='kg',density_kg_per_lt='0',density_pcs_per_kg='0',density_pcs_per_lt='0').save()</v>
      </c>
    </row>
    <row r="107" customFormat="false" ht="15" hidden="false" customHeight="false" outlineLevel="0" collapsed="false">
      <c r="A107" s="0" t="n">
        <v>106</v>
      </c>
      <c r="B107" s="0" t="s">
        <v>401</v>
      </c>
      <c r="C107" s="17" t="s">
        <v>7</v>
      </c>
      <c r="D107" s="2" t="n">
        <v>0</v>
      </c>
      <c r="E107" s="2" t="n">
        <v>0</v>
      </c>
      <c r="F107" s="2" t="n">
        <v>0</v>
      </c>
      <c r="G107" s="2" t="n">
        <v>0</v>
      </c>
      <c r="H107" s="2"/>
      <c r="I107" s="14" t="str">
        <f aca="false">"Ingredient(name='"&amp;B107&amp;"', rate="&amp;D107&amp;", munit='"&amp;C107&amp;"',density_kg_per_lt='"&amp;E107&amp;"',density_pcs_per_kg='"&amp;E107&amp;"',density_pcs_per_lt='"&amp;E107&amp;"').save()"</f>
        <v>Ingredient(name='kafir lemon leaves', rate=0, munit='kg',density_kg_per_lt='0',density_pcs_per_kg='0',density_pcs_per_lt='0').save()</v>
      </c>
    </row>
    <row r="108" customFormat="false" ht="15" hidden="false" customHeight="false" outlineLevel="0" collapsed="false">
      <c r="A108" s="0" t="n">
        <v>107</v>
      </c>
      <c r="B108" s="0" t="s">
        <v>402</v>
      </c>
      <c r="C108" s="17" t="s">
        <v>7</v>
      </c>
      <c r="D108" s="2" t="n">
        <v>0</v>
      </c>
      <c r="E108" s="2" t="n">
        <v>0</v>
      </c>
      <c r="F108" s="2" t="n">
        <v>0</v>
      </c>
      <c r="G108" s="2" t="n">
        <v>0</v>
      </c>
      <c r="H108" s="2"/>
      <c r="I108" s="14" t="str">
        <f aca="false">"Ingredient(name='"&amp;B108&amp;"', rate="&amp;D108&amp;", munit='"&amp;C108&amp;"',density_kg_per_lt='"&amp;E108&amp;"',density_pcs_per_kg='"&amp;E108&amp;"',density_pcs_per_lt='"&amp;E108&amp;"').save()"</f>
        <v>Ingredient(name='kaju', rate=0, munit='kg',density_kg_per_lt='0',density_pcs_per_kg='0',density_pcs_per_lt='0').save()</v>
      </c>
    </row>
    <row r="109" customFormat="false" ht="15" hidden="false" customHeight="false" outlineLevel="0" collapsed="false">
      <c r="A109" s="0" t="n">
        <v>108</v>
      </c>
      <c r="B109" s="0" t="s">
        <v>403</v>
      </c>
      <c r="C109" s="17" t="s">
        <v>7</v>
      </c>
      <c r="D109" s="2" t="n">
        <v>0</v>
      </c>
      <c r="E109" s="2" t="n">
        <v>0</v>
      </c>
      <c r="F109" s="2" t="n">
        <v>0</v>
      </c>
      <c r="G109" s="2" t="n">
        <v>0</v>
      </c>
      <c r="H109" s="2"/>
      <c r="I109" s="14" t="str">
        <f aca="false">"Ingredient(name='"&amp;B109&amp;"', rate="&amp;D109&amp;", munit='"&amp;C109&amp;"',density_kg_per_lt='"&amp;E109&amp;"',density_pcs_per_kg='"&amp;E109&amp;"',density_pcs_per_lt='"&amp;E109&amp;"').save()"</f>
        <v>Ingredient(name='kaju half', rate=0, munit='kg',density_kg_per_lt='0',density_pcs_per_kg='0',density_pcs_per_lt='0').save()</v>
      </c>
    </row>
    <row r="110" customFormat="false" ht="15" hidden="false" customHeight="false" outlineLevel="0" collapsed="false">
      <c r="A110" s="0" t="n">
        <v>109</v>
      </c>
      <c r="B110" s="0" t="s">
        <v>404</v>
      </c>
      <c r="C110" s="17" t="s">
        <v>7</v>
      </c>
      <c r="D110" s="2" t="n">
        <v>0</v>
      </c>
      <c r="E110" s="2" t="n">
        <v>0</v>
      </c>
      <c r="F110" s="2" t="n">
        <v>0</v>
      </c>
      <c r="G110" s="2" t="n">
        <v>0</v>
      </c>
      <c r="H110" s="2"/>
      <c r="I110" s="14" t="str">
        <f aca="false">"Ingredient(name='"&amp;B110&amp;"', rate="&amp;D110&amp;", munit='"&amp;C110&amp;"',density_kg_per_lt='"&amp;E110&amp;"',density_pcs_per_kg='"&amp;E110&amp;"',density_pcs_per_lt='"&amp;E110&amp;"').save()"</f>
        <v>Ingredient(name='kaju kani', rate=0, munit='kg',density_kg_per_lt='0',density_pcs_per_kg='0',density_pcs_per_lt='0').save()</v>
      </c>
    </row>
    <row r="111" customFormat="false" ht="15" hidden="false" customHeight="false" outlineLevel="0" collapsed="false">
      <c r="A111" s="0" t="n">
        <v>110</v>
      </c>
      <c r="B111" s="0" t="s">
        <v>405</v>
      </c>
      <c r="C111" s="17" t="s">
        <v>7</v>
      </c>
      <c r="D111" s="2" t="n">
        <v>0</v>
      </c>
      <c r="E111" s="2" t="n">
        <v>0</v>
      </c>
      <c r="F111" s="2" t="n">
        <v>0</v>
      </c>
      <c r="G111" s="2" t="n">
        <v>0</v>
      </c>
      <c r="H111" s="2"/>
      <c r="I111" s="14" t="str">
        <f aca="false">"Ingredient(name='"&amp;B111&amp;"', rate="&amp;D111&amp;", munit='"&amp;C111&amp;"',density_kg_per_lt='"&amp;E111&amp;"',density_pcs_per_kg='"&amp;E111&amp;"',density_pcs_per_lt='"&amp;E111&amp;"').save()"</f>
        <v>Ingredient(name='kaju tukada', rate=0, munit='kg',density_kg_per_lt='0',density_pcs_per_kg='0',density_pcs_per_lt='0').save()</v>
      </c>
    </row>
    <row r="112" customFormat="false" ht="15" hidden="false" customHeight="false" outlineLevel="0" collapsed="false">
      <c r="A112" s="0" t="n">
        <v>111</v>
      </c>
      <c r="B112" s="0" t="s">
        <v>406</v>
      </c>
      <c r="C112" s="17" t="s">
        <v>7</v>
      </c>
      <c r="D112" s="2" t="n">
        <v>0</v>
      </c>
      <c r="E112" s="2" t="n">
        <v>0</v>
      </c>
      <c r="F112" s="2" t="n">
        <v>0</v>
      </c>
      <c r="G112" s="2" t="n">
        <v>0</v>
      </c>
      <c r="H112" s="2"/>
      <c r="I112" s="14" t="str">
        <f aca="false">"Ingredient(name='"&amp;B112&amp;"', rate="&amp;D112&amp;", munit='"&amp;C112&amp;"',density_kg_per_lt='"&amp;E112&amp;"',density_pcs_per_kg='"&amp;E112&amp;"',density_pcs_per_lt='"&amp;E112&amp;"').save()"</f>
        <v>Ingredient(name='kakdi', rate=0, munit='kg',density_kg_per_lt='0',density_pcs_per_kg='0',density_pcs_per_lt='0').save()</v>
      </c>
    </row>
    <row r="113" customFormat="false" ht="15" hidden="false" customHeight="false" outlineLevel="0" collapsed="false">
      <c r="A113" s="0" t="n">
        <v>112</v>
      </c>
      <c r="B113" s="0" t="s">
        <v>407</v>
      </c>
      <c r="C113" s="17" t="s">
        <v>7</v>
      </c>
      <c r="D113" s="2" t="n">
        <v>0</v>
      </c>
      <c r="E113" s="2" t="n">
        <v>0</v>
      </c>
      <c r="F113" s="2" t="n">
        <v>0</v>
      </c>
      <c r="G113" s="2" t="n">
        <v>0</v>
      </c>
      <c r="H113" s="2"/>
      <c r="I113" s="14" t="str">
        <f aca="false">"Ingredient(name='"&amp;B113&amp;"', rate="&amp;D113&amp;", munit='"&amp;C113&amp;"',density_kg_per_lt='"&amp;E113&amp;"',density_pcs_per_kg='"&amp;E113&amp;"',density_pcs_per_lt='"&amp;E113&amp;"').save()"</f>
        <v>Ingredient(name='kala chana', rate=0, munit='kg',density_kg_per_lt='0',density_pcs_per_kg='0',density_pcs_per_lt='0').save()</v>
      </c>
    </row>
    <row r="114" customFormat="false" ht="15" hidden="false" customHeight="false" outlineLevel="0" collapsed="false">
      <c r="A114" s="0" t="n">
        <v>113</v>
      </c>
      <c r="B114" s="0" t="s">
        <v>408</v>
      </c>
      <c r="C114" s="17" t="s">
        <v>7</v>
      </c>
      <c r="D114" s="2" t="n">
        <v>0</v>
      </c>
      <c r="E114" s="2" t="n">
        <v>0</v>
      </c>
      <c r="F114" s="2" t="n">
        <v>0</v>
      </c>
      <c r="G114" s="2" t="n">
        <v>0</v>
      </c>
      <c r="H114" s="2"/>
      <c r="I114" s="14" t="str">
        <f aca="false">"Ingredient(name='"&amp;B114&amp;"', rate="&amp;D114&amp;", munit='"&amp;C114&amp;"',density_kg_per_lt='"&amp;E114&amp;"',density_pcs_per_kg='"&amp;E114&amp;"',density_pcs_per_lt='"&amp;E114&amp;"').save()"</f>
        <v>Ingredient(name='kalimiri', rate=0, munit='kg',density_kg_per_lt='0',density_pcs_per_kg='0',density_pcs_per_lt='0').save()</v>
      </c>
    </row>
    <row r="115" customFormat="false" ht="15" hidden="false" customHeight="false" outlineLevel="0" collapsed="false">
      <c r="A115" s="0" t="n">
        <v>114</v>
      </c>
      <c r="B115" s="0" t="s">
        <v>409</v>
      </c>
      <c r="C115" s="17" t="s">
        <v>7</v>
      </c>
      <c r="D115" s="2" t="n">
        <v>0</v>
      </c>
      <c r="E115" s="2" t="n">
        <v>0</v>
      </c>
      <c r="F115" s="2" t="n">
        <v>0</v>
      </c>
      <c r="G115" s="2" t="n">
        <v>0</v>
      </c>
      <c r="H115" s="2"/>
      <c r="I115" s="14" t="str">
        <f aca="false">"Ingredient(name='"&amp;B115&amp;"', rate="&amp;D115&amp;", munit='"&amp;C115&amp;"',density_kg_per_lt='"&amp;E115&amp;"',density_pcs_per_kg='"&amp;E115&amp;"',density_pcs_per_lt='"&amp;E115&amp;"').save()"</f>
        <v>Ingredient(name='kalo jeera', rate=0, munit='kg',density_kg_per_lt='0',density_pcs_per_kg='0',density_pcs_per_lt='0').save()</v>
      </c>
    </row>
    <row r="116" customFormat="false" ht="15" hidden="false" customHeight="false" outlineLevel="0" collapsed="false">
      <c r="A116" s="0" t="n">
        <v>115</v>
      </c>
      <c r="B116" s="0" t="s">
        <v>410</v>
      </c>
      <c r="C116" s="17" t="s">
        <v>7</v>
      </c>
      <c r="D116" s="2" t="n">
        <v>0</v>
      </c>
      <c r="E116" s="2" t="n">
        <v>0</v>
      </c>
      <c r="F116" s="2" t="n">
        <v>0</v>
      </c>
      <c r="G116" s="2" t="n">
        <v>0</v>
      </c>
      <c r="H116" s="2"/>
      <c r="I116" s="14" t="str">
        <f aca="false">"Ingredient(name='"&amp;B116&amp;"', rate="&amp;D116&amp;", munit='"&amp;C116&amp;"',density_kg_per_lt='"&amp;E116&amp;"',density_pcs_per_kg='"&amp;E116&amp;"',density_pcs_per_lt='"&amp;E116&amp;"').save()"</f>
        <v>Ingredient(name='kapol chat masala', rate=0, munit='kg',density_kg_per_lt='0',density_pcs_per_kg='0',density_pcs_per_lt='0').save()</v>
      </c>
    </row>
    <row r="117" customFormat="false" ht="15" hidden="false" customHeight="false" outlineLevel="0" collapsed="false">
      <c r="A117" s="0" t="n">
        <v>116</v>
      </c>
      <c r="B117" s="0" t="s">
        <v>411</v>
      </c>
      <c r="C117" s="17" t="s">
        <v>7</v>
      </c>
      <c r="D117" s="2" t="n">
        <v>0</v>
      </c>
      <c r="E117" s="2" t="n">
        <v>0</v>
      </c>
      <c r="F117" s="2" t="n">
        <v>0</v>
      </c>
      <c r="G117" s="2" t="n">
        <v>0</v>
      </c>
      <c r="H117" s="2"/>
      <c r="I117" s="14" t="str">
        <f aca="false">"Ingredient(name='"&amp;B117&amp;"', rate="&amp;D117&amp;", munit='"&amp;C117&amp;"',density_kg_per_lt='"&amp;E117&amp;"',density_pcs_per_kg='"&amp;E117&amp;"',density_pcs_per_lt='"&amp;E117&amp;"').save()"</f>
        <v>Ingredient(name='karela', rate=0, munit='kg',density_kg_per_lt='0',density_pcs_per_kg='0',density_pcs_per_lt='0').save()</v>
      </c>
    </row>
    <row r="118" customFormat="false" ht="15" hidden="false" customHeight="false" outlineLevel="0" collapsed="false">
      <c r="A118" s="0" t="n">
        <v>117</v>
      </c>
      <c r="B118" s="0" t="s">
        <v>412</v>
      </c>
      <c r="C118" s="17" t="s">
        <v>7</v>
      </c>
      <c r="D118" s="2" t="n">
        <v>0</v>
      </c>
      <c r="E118" s="2" t="n">
        <v>0</v>
      </c>
      <c r="F118" s="2" t="n">
        <v>0</v>
      </c>
      <c r="G118" s="2" t="n">
        <v>0</v>
      </c>
      <c r="H118" s="2"/>
      <c r="I118" s="14" t="str">
        <f aca="false">"Ingredient(name='"&amp;B118&amp;"', rate="&amp;D118&amp;", munit='"&amp;C118&amp;"',density_kg_per_lt='"&amp;E118&amp;"',density_pcs_per_kg='"&amp;E118&amp;"',density_pcs_per_lt='"&amp;E118&amp;"').save()"</f>
        <v>Ingredient(name='kashmiri chilly powder', rate=0, munit='kg',density_kg_per_lt='0',density_pcs_per_kg='0',density_pcs_per_lt='0').save()</v>
      </c>
    </row>
    <row r="119" customFormat="false" ht="15" hidden="false" customHeight="false" outlineLevel="0" collapsed="false">
      <c r="A119" s="0" t="n">
        <v>118</v>
      </c>
      <c r="B119" s="0" t="s">
        <v>413</v>
      </c>
      <c r="C119" s="17" t="s">
        <v>7</v>
      </c>
      <c r="D119" s="2" t="n">
        <v>0</v>
      </c>
      <c r="E119" s="2" t="n">
        <v>0</v>
      </c>
      <c r="F119" s="2" t="n">
        <v>0</v>
      </c>
      <c r="G119" s="2" t="n">
        <v>0</v>
      </c>
      <c r="H119" s="2"/>
      <c r="I119" s="14" t="str">
        <f aca="false">"Ingredient(name='"&amp;B119&amp;"', rate="&amp;D119&amp;", munit='"&amp;C119&amp;"',density_kg_per_lt='"&amp;E119&amp;"',density_pcs_per_kg='"&amp;E119&amp;"',density_pcs_per_lt='"&amp;E119&amp;"').save()"</f>
        <v>Ingredient(name='kasuri methi', rate=0, munit='kg',density_kg_per_lt='0',density_pcs_per_kg='0',density_pcs_per_lt='0').save()</v>
      </c>
    </row>
    <row r="120" customFormat="false" ht="15" hidden="false" customHeight="false" outlineLevel="0" collapsed="false">
      <c r="A120" s="0" t="n">
        <v>119</v>
      </c>
      <c r="B120" s="0" t="s">
        <v>414</v>
      </c>
      <c r="C120" s="17" t="s">
        <v>7</v>
      </c>
      <c r="D120" s="2" t="n">
        <v>0</v>
      </c>
      <c r="E120" s="2" t="n">
        <v>0</v>
      </c>
      <c r="F120" s="2" t="n">
        <v>0</v>
      </c>
      <c r="G120" s="2" t="n">
        <v>0</v>
      </c>
      <c r="H120" s="2"/>
      <c r="I120" s="14" t="str">
        <f aca="false">"Ingredient(name='"&amp;B120&amp;"', rate="&amp;D120&amp;", munit='"&amp;C120&amp;"',density_kg_per_lt='"&amp;E120&amp;"',density_pcs_per_kg='"&amp;E120&amp;"',density_pcs_per_lt='"&amp;E120&amp;"').save()"</f>
        <v>Ingredient(name='khajur', rate=0, munit='kg',density_kg_per_lt='0',density_pcs_per_kg='0',density_pcs_per_lt='0').save()</v>
      </c>
    </row>
    <row r="121" customFormat="false" ht="15" hidden="false" customHeight="false" outlineLevel="0" collapsed="false">
      <c r="A121" s="0" t="n">
        <v>120</v>
      </c>
      <c r="B121" s="0" t="s">
        <v>415</v>
      </c>
      <c r="C121" s="17" t="s">
        <v>7</v>
      </c>
      <c r="D121" s="2" t="n">
        <v>0</v>
      </c>
      <c r="E121" s="2" t="n">
        <v>0</v>
      </c>
      <c r="F121" s="2" t="n">
        <v>0</v>
      </c>
      <c r="G121" s="2" t="n">
        <v>0</v>
      </c>
      <c r="H121" s="2"/>
      <c r="I121" s="14" t="str">
        <f aca="false">"Ingredient(name='"&amp;B121&amp;"', rate="&amp;D121&amp;", munit='"&amp;C121&amp;"',density_kg_per_lt='"&amp;E121&amp;"',density_pcs_per_kg='"&amp;E121&amp;"',density_pcs_per_lt='"&amp;E121&amp;"').save()"</f>
        <v>Ingredient(name='khane ka soda', rate=0, munit='kg',density_kg_per_lt='0',density_pcs_per_kg='0',density_pcs_per_lt='0').save()</v>
      </c>
    </row>
    <row r="122" customFormat="false" ht="15" hidden="false" customHeight="false" outlineLevel="0" collapsed="false">
      <c r="A122" s="0" t="n">
        <v>121</v>
      </c>
      <c r="B122" s="0" t="s">
        <v>416</v>
      </c>
      <c r="C122" s="17" t="s">
        <v>7</v>
      </c>
      <c r="D122" s="2" t="n">
        <v>0</v>
      </c>
      <c r="E122" s="2" t="n">
        <v>0</v>
      </c>
      <c r="F122" s="2" t="n">
        <v>0</v>
      </c>
      <c r="G122" s="2" t="n">
        <v>0</v>
      </c>
      <c r="H122" s="2"/>
      <c r="I122" s="14" t="str">
        <f aca="false">"Ingredient(name='"&amp;B122&amp;"', rate="&amp;D122&amp;", munit='"&amp;C122&amp;"',density_kg_per_lt='"&amp;E122&amp;"',density_pcs_per_kg='"&amp;E122&amp;"',density_pcs_per_lt='"&amp;E122&amp;"').save()"</f>
        <v>Ingredient(name='khas khas', rate=0, munit='kg',density_kg_per_lt='0',density_pcs_per_kg='0',density_pcs_per_lt='0').save()</v>
      </c>
    </row>
    <row r="123" customFormat="false" ht="15" hidden="false" customHeight="false" outlineLevel="0" collapsed="false">
      <c r="A123" s="0" t="n">
        <v>122</v>
      </c>
      <c r="B123" s="0" t="s">
        <v>417</v>
      </c>
      <c r="C123" s="17" t="s">
        <v>7</v>
      </c>
      <c r="D123" s="2" t="n">
        <v>0</v>
      </c>
      <c r="E123" s="2" t="n">
        <v>0</v>
      </c>
      <c r="F123" s="2" t="n">
        <v>0</v>
      </c>
      <c r="G123" s="2" t="n">
        <v>0</v>
      </c>
      <c r="H123" s="2"/>
      <c r="I123" s="14" t="str">
        <f aca="false">"Ingredient(name='"&amp;B123&amp;"', rate="&amp;D123&amp;", munit='"&amp;C123&amp;"',density_kg_per_lt='"&amp;E123&amp;"',density_pcs_per_kg='"&amp;E123&amp;"',density_pcs_per_lt='"&amp;E123&amp;"').save()"</f>
        <v>Ingredient(name='khichadi rice', rate=0, munit='kg',density_kg_per_lt='0',density_pcs_per_kg='0',density_pcs_per_lt='0').save()</v>
      </c>
    </row>
    <row r="124" customFormat="false" ht="15" hidden="false" customHeight="false" outlineLevel="0" collapsed="false">
      <c r="A124" s="0" t="n">
        <v>123</v>
      </c>
      <c r="B124" s="0" t="s">
        <v>418</v>
      </c>
      <c r="C124" s="17" t="s">
        <v>7</v>
      </c>
      <c r="D124" s="2" t="n">
        <v>0</v>
      </c>
      <c r="E124" s="2" t="n">
        <v>0</v>
      </c>
      <c r="F124" s="2" t="n">
        <v>0</v>
      </c>
      <c r="G124" s="2" t="n">
        <v>0</v>
      </c>
      <c r="H124" s="2"/>
      <c r="I124" s="14" t="str">
        <f aca="false">"Ingredient(name='"&amp;B124&amp;"', rate="&amp;D124&amp;", munit='"&amp;C124&amp;"',density_kg_per_lt='"&amp;E124&amp;"',density_pcs_per_kg='"&amp;E124&amp;"',density_pcs_per_lt='"&amp;E124&amp;"').save()"</f>
        <v>Ingredient(name='kismis', rate=0, munit='kg',density_kg_per_lt='0',density_pcs_per_kg='0',density_pcs_per_lt='0').save()</v>
      </c>
    </row>
    <row r="125" customFormat="false" ht="15" hidden="false" customHeight="false" outlineLevel="0" collapsed="false">
      <c r="A125" s="0" t="n">
        <v>124</v>
      </c>
      <c r="B125" s="0" t="s">
        <v>419</v>
      </c>
      <c r="C125" s="17" t="s">
        <v>7</v>
      </c>
      <c r="D125" s="2" t="n">
        <v>0</v>
      </c>
      <c r="E125" s="2" t="n">
        <v>0</v>
      </c>
      <c r="F125" s="2" t="n">
        <v>0</v>
      </c>
      <c r="G125" s="2" t="n">
        <v>0</v>
      </c>
      <c r="H125" s="2"/>
      <c r="I125" s="14" t="str">
        <f aca="false">"Ingredient(name='"&amp;B125&amp;"', rate="&amp;D125&amp;", munit='"&amp;C125&amp;"',density_kg_per_lt='"&amp;E125&amp;"',density_pcs_per_kg='"&amp;E125&amp;"',density_pcs_per_lt='"&amp;E125&amp;"').save()"</f>
        <v>Ingredient(name='kokam juice', rate=0, munit='kg',density_kg_per_lt='0',density_pcs_per_kg='0',density_pcs_per_lt='0').save()</v>
      </c>
    </row>
    <row r="126" customFormat="false" ht="15" hidden="false" customHeight="false" outlineLevel="0" collapsed="false">
      <c r="A126" s="0" t="n">
        <v>125</v>
      </c>
      <c r="B126" s="0" t="s">
        <v>420</v>
      </c>
      <c r="C126" s="17" t="s">
        <v>7</v>
      </c>
      <c r="D126" s="2" t="n">
        <v>0</v>
      </c>
      <c r="E126" s="2" t="n">
        <v>0</v>
      </c>
      <c r="F126" s="2" t="n">
        <v>0</v>
      </c>
      <c r="G126" s="2" t="n">
        <v>0</v>
      </c>
      <c r="H126" s="2"/>
      <c r="I126" s="14" t="str">
        <f aca="false">"Ingredient(name='"&amp;B126&amp;"', rate="&amp;D126&amp;", munit='"&amp;C126&amp;"',density_kg_per_lt='"&amp;E126&amp;"',density_pcs_per_kg='"&amp;E126&amp;"',density_pcs_per_lt='"&amp;E126&amp;"').save()"</f>
        <v>Ingredient(name='kubal usal masala', rate=0, munit='kg',density_kg_per_lt='0',density_pcs_per_kg='0',density_pcs_per_lt='0').save()</v>
      </c>
    </row>
    <row r="127" customFormat="false" ht="15" hidden="false" customHeight="false" outlineLevel="0" collapsed="false">
      <c r="A127" s="0" t="n">
        <v>126</v>
      </c>
      <c r="B127" s="0" t="s">
        <v>421</v>
      </c>
      <c r="C127" s="17" t="s">
        <v>7</v>
      </c>
      <c r="D127" s="2" t="n">
        <v>0</v>
      </c>
      <c r="E127" s="2" t="n">
        <v>0</v>
      </c>
      <c r="F127" s="2" t="n">
        <v>0</v>
      </c>
      <c r="G127" s="2" t="n">
        <v>0</v>
      </c>
      <c r="H127" s="2"/>
      <c r="I127" s="14" t="str">
        <f aca="false">"Ingredient(name='"&amp;B127&amp;"', rate="&amp;D127&amp;", munit='"&amp;C127&amp;"',density_kg_per_lt='"&amp;E127&amp;"',density_pcs_per_kg='"&amp;E127&amp;"',density_pcs_per_lt='"&amp;E127&amp;"').save()"</f>
        <v>Ingredient(name='kurmura', rate=0, munit='kg',density_kg_per_lt='0',density_pcs_per_kg='0',density_pcs_per_lt='0').save()</v>
      </c>
    </row>
    <row r="128" customFormat="false" ht="15" hidden="false" customHeight="false" outlineLevel="0" collapsed="false">
      <c r="A128" s="0" t="n">
        <v>127</v>
      </c>
      <c r="B128" s="0" t="s">
        <v>233</v>
      </c>
      <c r="C128" s="17" t="s">
        <v>7</v>
      </c>
      <c r="D128" s="2" t="n">
        <v>0</v>
      </c>
      <c r="E128" s="2" t="n">
        <v>0</v>
      </c>
      <c r="F128" s="2" t="n">
        <v>0</v>
      </c>
      <c r="G128" s="2" t="n">
        <v>0</v>
      </c>
      <c r="H128" s="2"/>
      <c r="I128" s="14" t="str">
        <f aca="false">"Ingredient(name='"&amp;B128&amp;"', rate="&amp;D128&amp;", munit='"&amp;C128&amp;"',density_kg_per_lt='"&amp;E128&amp;"',density_pcs_per_kg='"&amp;E128&amp;"',density_pcs_per_lt='"&amp;E128&amp;"').save()"</f>
        <v>Ingredient(name='lapsi', rate=0, munit='kg',density_kg_per_lt='0',density_pcs_per_kg='0',density_pcs_per_lt='0').save()</v>
      </c>
    </row>
    <row r="129" customFormat="false" ht="15" hidden="false" customHeight="false" outlineLevel="0" collapsed="false">
      <c r="A129" s="0" t="n">
        <v>128</v>
      </c>
      <c r="B129" s="0" t="s">
        <v>422</v>
      </c>
      <c r="C129" s="17" t="s">
        <v>7</v>
      </c>
      <c r="D129" s="2" t="n">
        <v>0</v>
      </c>
      <c r="E129" s="2" t="n">
        <v>0</v>
      </c>
      <c r="F129" s="2" t="n">
        <v>0</v>
      </c>
      <c r="G129" s="2" t="n">
        <v>0</v>
      </c>
      <c r="H129" s="2"/>
      <c r="I129" s="14" t="str">
        <f aca="false">"Ingredient(name='"&amp;B129&amp;"', rate="&amp;D129&amp;", munit='"&amp;C129&amp;"',density_kg_per_lt='"&amp;E129&amp;"',density_pcs_per_kg='"&amp;E129&amp;"',density_pcs_per_lt='"&amp;E129&amp;"').save()"</f>
        <v>Ingredient(name='lavang', rate=0, munit='kg',density_kg_per_lt='0',density_pcs_per_kg='0',density_pcs_per_lt='0').save()</v>
      </c>
    </row>
    <row r="130" customFormat="false" ht="15" hidden="false" customHeight="false" outlineLevel="0" collapsed="false">
      <c r="A130" s="0" t="n">
        <v>129</v>
      </c>
      <c r="B130" s="0" t="s">
        <v>423</v>
      </c>
      <c r="C130" s="17" t="s">
        <v>7</v>
      </c>
      <c r="D130" s="2" t="n">
        <v>0</v>
      </c>
      <c r="E130" s="2" t="n">
        <v>0</v>
      </c>
      <c r="F130" s="2" t="n">
        <v>0</v>
      </c>
      <c r="G130" s="2" t="n">
        <v>0</v>
      </c>
      <c r="H130" s="2"/>
      <c r="I130" s="14" t="str">
        <f aca="false">"Ingredient(name='"&amp;B130&amp;"', rate="&amp;D130&amp;", munit='"&amp;C130&amp;"',density_kg_per_lt='"&amp;E130&amp;"',density_pcs_per_kg='"&amp;E130&amp;"',density_pcs_per_lt='"&amp;E130&amp;"').save()"</f>
        <v>Ingredient(name='lemon', rate=0, munit='kg',density_kg_per_lt='0',density_pcs_per_kg='0',density_pcs_per_lt='0').save()</v>
      </c>
    </row>
    <row r="131" customFormat="false" ht="15" hidden="false" customHeight="false" outlineLevel="0" collapsed="false">
      <c r="A131" s="0" t="n">
        <v>130</v>
      </c>
      <c r="B131" s="0" t="s">
        <v>424</v>
      </c>
      <c r="C131" s="17" t="s">
        <v>7</v>
      </c>
      <c r="D131" s="2" t="n">
        <v>0</v>
      </c>
      <c r="E131" s="2" t="n">
        <v>0</v>
      </c>
      <c r="F131" s="2" t="n">
        <v>0</v>
      </c>
      <c r="G131" s="2" t="n">
        <v>0</v>
      </c>
      <c r="H131" s="2"/>
      <c r="I131" s="14" t="str">
        <f aca="false">"Ingredient(name='"&amp;B131&amp;"', rate="&amp;D131&amp;", munit='"&amp;C131&amp;"',density_kg_per_lt='"&amp;E131&amp;"',density_pcs_per_kg='"&amp;E131&amp;"',density_pcs_per_lt='"&amp;E131&amp;"').save()"</f>
        <v>Ingredient(name='lemon grass', rate=0, munit='kg',density_kg_per_lt='0',density_pcs_per_kg='0',density_pcs_per_lt='0').save()</v>
      </c>
    </row>
    <row r="132" customFormat="false" ht="15" hidden="false" customHeight="false" outlineLevel="0" collapsed="false">
      <c r="A132" s="0" t="n">
        <v>131</v>
      </c>
      <c r="B132" s="0" t="s">
        <v>425</v>
      </c>
      <c r="C132" s="17" t="s">
        <v>7</v>
      </c>
      <c r="D132" s="2" t="n">
        <v>0</v>
      </c>
      <c r="E132" s="2" t="n">
        <v>0</v>
      </c>
      <c r="F132" s="2" t="n">
        <v>0</v>
      </c>
      <c r="G132" s="2" t="n">
        <v>0</v>
      </c>
      <c r="H132" s="2"/>
      <c r="I132" s="14" t="str">
        <f aca="false">"Ingredient(name='"&amp;B132&amp;"', rate="&amp;D132&amp;", munit='"&amp;C132&amp;"',density_kg_per_lt='"&amp;E132&amp;"',density_pcs_per_kg='"&amp;E132&amp;"',density_pcs_per_lt='"&amp;E132&amp;"').save()"</f>
        <v>Ingredient(name='lemon yellow colour', rate=0, munit='kg',density_kg_per_lt='0',density_pcs_per_kg='0',density_pcs_per_lt='0').save()</v>
      </c>
    </row>
    <row r="133" customFormat="false" ht="15" hidden="false" customHeight="false" outlineLevel="0" collapsed="false">
      <c r="A133" s="0" t="n">
        <v>132</v>
      </c>
      <c r="B133" s="0" t="s">
        <v>426</v>
      </c>
      <c r="C133" s="17" t="s">
        <v>7</v>
      </c>
      <c r="D133" s="2" t="n">
        <v>0</v>
      </c>
      <c r="E133" s="2" t="n">
        <v>0</v>
      </c>
      <c r="F133" s="2" t="n">
        <v>0</v>
      </c>
      <c r="G133" s="2" t="n">
        <v>0</v>
      </c>
      <c r="H133" s="2"/>
      <c r="I133" s="14" t="str">
        <f aca="false">"Ingredient(name='"&amp;B133&amp;"', rate="&amp;D133&amp;", munit='"&amp;C133&amp;"',density_kg_per_lt='"&amp;E133&amp;"',density_pcs_per_kg='"&amp;E133&amp;"',density_pcs_per_lt='"&amp;E133&amp;"').save()"</f>
        <v>Ingredient(name='lemongrass stalks', rate=0, munit='kg',density_kg_per_lt='0',density_pcs_per_kg='0',density_pcs_per_lt='0').save()</v>
      </c>
    </row>
    <row r="134" customFormat="false" ht="15" hidden="false" customHeight="false" outlineLevel="0" collapsed="false">
      <c r="A134" s="0" t="n">
        <v>133</v>
      </c>
      <c r="B134" s="0" t="s">
        <v>427</v>
      </c>
      <c r="C134" s="17" t="s">
        <v>7</v>
      </c>
      <c r="D134" s="2" t="n">
        <v>0</v>
      </c>
      <c r="E134" s="2" t="n">
        <v>0</v>
      </c>
      <c r="F134" s="2" t="n">
        <v>0</v>
      </c>
      <c r="G134" s="2" t="n">
        <v>0</v>
      </c>
      <c r="H134" s="2"/>
      <c r="I134" s="14" t="str">
        <f aca="false">"Ingredient(name='"&amp;B134&amp;"', rate="&amp;D134&amp;", munit='"&amp;C134&amp;"',density_kg_per_lt='"&amp;E134&amp;"',density_pcs_per_kg='"&amp;E134&amp;"',density_pcs_per_lt='"&amp;E134&amp;"').save()"</f>
        <v>Ingredient(name='lettuce', rate=0, munit='kg',density_kg_per_lt='0',density_pcs_per_kg='0',density_pcs_per_lt='0').save()</v>
      </c>
    </row>
    <row r="135" customFormat="false" ht="15" hidden="false" customHeight="false" outlineLevel="0" collapsed="false">
      <c r="A135" s="0" t="n">
        <v>134</v>
      </c>
      <c r="B135" s="0" t="s">
        <v>428</v>
      </c>
      <c r="C135" s="17" t="s">
        <v>7</v>
      </c>
      <c r="D135" s="2" t="n">
        <v>0</v>
      </c>
      <c r="E135" s="2" t="n">
        <v>0</v>
      </c>
      <c r="F135" s="2" t="n">
        <v>0</v>
      </c>
      <c r="G135" s="2" t="n">
        <v>0</v>
      </c>
      <c r="H135" s="2"/>
      <c r="I135" s="14" t="str">
        <f aca="false">"Ingredient(name='"&amp;B135&amp;"', rate="&amp;D135&amp;", munit='"&amp;C135&amp;"',density_kg_per_lt='"&amp;E135&amp;"',density_pcs_per_kg='"&amp;E135&amp;"',density_pcs_per_lt='"&amp;E135&amp;"').save()"</f>
        <v>Ingredient(name='madrasi mirchi akkaha', rate=0, munit='kg',density_kg_per_lt='0',density_pcs_per_kg='0',density_pcs_per_lt='0').save()</v>
      </c>
    </row>
    <row r="136" customFormat="false" ht="15" hidden="false" customHeight="false" outlineLevel="0" collapsed="false">
      <c r="A136" s="0" t="n">
        <v>135</v>
      </c>
      <c r="B136" s="0" t="s">
        <v>429</v>
      </c>
      <c r="C136" s="17" t="s">
        <v>7</v>
      </c>
      <c r="D136" s="2" t="n">
        <v>0</v>
      </c>
      <c r="E136" s="2" t="n">
        <v>0</v>
      </c>
      <c r="F136" s="2" t="n">
        <v>0</v>
      </c>
      <c r="G136" s="2" t="n">
        <v>0</v>
      </c>
      <c r="H136" s="2"/>
      <c r="I136" s="14" t="str">
        <f aca="false">"Ingredient(name='"&amp;B136&amp;"', rate="&amp;D136&amp;", munit='"&amp;C136&amp;"',density_kg_per_lt='"&amp;E136&amp;"',density_pcs_per_kg='"&amp;E136&amp;"',density_pcs_per_lt='"&amp;E136&amp;"').save()"</f>
        <v>Ingredient(name='madrasi mirchi powder', rate=0, munit='kg',density_kg_per_lt='0',density_pcs_per_kg='0',density_pcs_per_lt='0').save()</v>
      </c>
    </row>
    <row r="137" customFormat="false" ht="15" hidden="false" customHeight="false" outlineLevel="0" collapsed="false">
      <c r="A137" s="0" t="n">
        <v>136</v>
      </c>
      <c r="B137" s="0" t="s">
        <v>430</v>
      </c>
      <c r="C137" s="17" t="s">
        <v>7</v>
      </c>
      <c r="D137" s="2" t="n">
        <v>0</v>
      </c>
      <c r="E137" s="2" t="n">
        <v>0</v>
      </c>
      <c r="F137" s="2" t="n">
        <v>0</v>
      </c>
      <c r="G137" s="2" t="n">
        <v>0</v>
      </c>
      <c r="H137" s="2"/>
      <c r="I137" s="14" t="str">
        <f aca="false">"Ingredient(name='"&amp;B137&amp;"', rate="&amp;D137&amp;", munit='"&amp;C137&amp;"',density_kg_per_lt='"&amp;E137&amp;"',density_pcs_per_kg='"&amp;E137&amp;"',density_pcs_per_lt='"&amp;E137&amp;"').save()"</f>
        <v>Ingredient(name='magaj', rate=0, munit='kg',density_kg_per_lt='0',density_pcs_per_kg='0',density_pcs_per_lt='0').save()</v>
      </c>
    </row>
    <row r="138" customFormat="false" ht="15" hidden="false" customHeight="false" outlineLevel="0" collapsed="false">
      <c r="A138" s="0" t="n">
        <v>137</v>
      </c>
      <c r="B138" s="0" t="s">
        <v>431</v>
      </c>
      <c r="C138" s="17" t="s">
        <v>7</v>
      </c>
      <c r="D138" s="2" t="n">
        <v>0</v>
      </c>
      <c r="E138" s="2" t="n">
        <v>0</v>
      </c>
      <c r="F138" s="2" t="n">
        <v>0</v>
      </c>
      <c r="G138" s="2" t="n">
        <v>0</v>
      </c>
      <c r="H138" s="2"/>
      <c r="I138" s="14" t="str">
        <f aca="false">"Ingredient(name='"&amp;B138&amp;"', rate="&amp;D138&amp;", munit='"&amp;C138&amp;"',density_kg_per_lt='"&amp;E138&amp;"',density_pcs_per_kg='"&amp;E138&amp;"',density_pcs_per_lt='"&amp;E138&amp;"').save()"</f>
        <v>Ingredient(name='maggi coconut milk powder', rate=0, munit='kg',density_kg_per_lt='0',density_pcs_per_kg='0',density_pcs_per_lt='0').save()</v>
      </c>
    </row>
    <row r="139" customFormat="false" ht="15" hidden="false" customHeight="false" outlineLevel="0" collapsed="false">
      <c r="A139" s="0" t="n">
        <v>138</v>
      </c>
      <c r="B139" s="0" t="s">
        <v>432</v>
      </c>
      <c r="C139" s="17" t="s">
        <v>7</v>
      </c>
      <c r="D139" s="2" t="n">
        <v>0</v>
      </c>
      <c r="E139" s="2" t="n">
        <v>0</v>
      </c>
      <c r="F139" s="2" t="n">
        <v>0</v>
      </c>
      <c r="G139" s="2" t="n">
        <v>0</v>
      </c>
      <c r="H139" s="2"/>
      <c r="I139" s="14" t="str">
        <f aca="false">"Ingredient(name='"&amp;B139&amp;"', rate="&amp;D139&amp;", munit='"&amp;C139&amp;"',density_kg_per_lt='"&amp;E139&amp;"',density_pcs_per_kg='"&amp;E139&amp;"',density_pcs_per_lt='"&amp;E139&amp;"').save()"</f>
        <v>Ingredient(name='maggi seasoning', rate=0, munit='kg',density_kg_per_lt='0',density_pcs_per_kg='0',density_pcs_per_lt='0').save()</v>
      </c>
    </row>
    <row r="140" customFormat="false" ht="15" hidden="false" customHeight="false" outlineLevel="0" collapsed="false">
      <c r="A140" s="0" t="n">
        <v>139</v>
      </c>
      <c r="B140" s="0" t="s">
        <v>433</v>
      </c>
      <c r="C140" s="17" t="s">
        <v>7</v>
      </c>
      <c r="D140" s="2" t="n">
        <v>0</v>
      </c>
      <c r="E140" s="2" t="n">
        <v>0</v>
      </c>
      <c r="F140" s="2" t="n">
        <v>0</v>
      </c>
      <c r="G140" s="2" t="n">
        <v>0</v>
      </c>
      <c r="H140" s="2"/>
      <c r="I140" s="14" t="str">
        <f aca="false">"Ingredient(name='"&amp;B140&amp;"', rate="&amp;D140&amp;", munit='"&amp;C140&amp;"',density_kg_per_lt='"&amp;E140&amp;"',density_pcs_per_kg='"&amp;E140&amp;"',density_pcs_per_lt='"&amp;E140&amp;"').save()"</f>
        <v>Ingredient(name='maida', rate=0, munit='kg',density_kg_per_lt='0',density_pcs_per_kg='0',density_pcs_per_lt='0').save()</v>
      </c>
    </row>
    <row r="141" customFormat="false" ht="15" hidden="false" customHeight="false" outlineLevel="0" collapsed="false">
      <c r="A141" s="0" t="n">
        <v>140</v>
      </c>
      <c r="B141" s="0" t="s">
        <v>434</v>
      </c>
      <c r="C141" s="17" t="s">
        <v>7</v>
      </c>
      <c r="D141" s="2" t="n">
        <v>0</v>
      </c>
      <c r="E141" s="2" t="n">
        <v>0</v>
      </c>
      <c r="F141" s="2" t="n">
        <v>0</v>
      </c>
      <c r="G141" s="2" t="n">
        <v>0</v>
      </c>
      <c r="H141" s="2"/>
      <c r="I141" s="14" t="str">
        <f aca="false">"Ingredient(name='"&amp;B141&amp;"', rate="&amp;D141&amp;", munit='"&amp;C141&amp;"',density_kg_per_lt='"&amp;E141&amp;"',density_pcs_per_kg='"&amp;E141&amp;"',density_pcs_per_lt='"&amp;E141&amp;"').save()"</f>
        <v>Ingredient(name='matar', rate=0, munit='kg',density_kg_per_lt='0',density_pcs_per_kg='0',density_pcs_per_lt='0').save()</v>
      </c>
    </row>
    <row r="142" customFormat="false" ht="15" hidden="false" customHeight="false" outlineLevel="0" collapsed="false">
      <c r="A142" s="0" t="n">
        <v>141</v>
      </c>
      <c r="B142" s="0" t="s">
        <v>435</v>
      </c>
      <c r="C142" s="17" t="s">
        <v>7</v>
      </c>
      <c r="D142" s="2" t="n">
        <v>0</v>
      </c>
      <c r="E142" s="2" t="n">
        <v>0</v>
      </c>
      <c r="F142" s="2" t="n">
        <v>0</v>
      </c>
      <c r="G142" s="2" t="n">
        <v>0</v>
      </c>
      <c r="H142" s="2"/>
      <c r="I142" s="14" t="str">
        <f aca="false">"Ingredient(name='"&amp;B142&amp;"', rate="&amp;D142&amp;", munit='"&amp;C142&amp;"',density_kg_per_lt='"&amp;E142&amp;"',density_pcs_per_kg='"&amp;E142&amp;"',density_pcs_per_lt='"&amp;E142&amp;"').save()"</f>
        <v>Ingredient(name='matar ki dal', rate=0, munit='kg',density_kg_per_lt='0',density_pcs_per_kg='0',density_pcs_per_lt='0').save()</v>
      </c>
    </row>
    <row r="143" customFormat="false" ht="15" hidden="false" customHeight="false" outlineLevel="0" collapsed="false">
      <c r="A143" s="0" t="n">
        <v>142</v>
      </c>
      <c r="B143" s="0" t="s">
        <v>436</v>
      </c>
      <c r="C143" s="17" t="s">
        <v>7</v>
      </c>
      <c r="D143" s="2" t="n">
        <v>0</v>
      </c>
      <c r="E143" s="2" t="n">
        <v>0</v>
      </c>
      <c r="F143" s="2" t="n">
        <v>0</v>
      </c>
      <c r="G143" s="2" t="n">
        <v>0</v>
      </c>
      <c r="H143" s="2"/>
      <c r="I143" s="14" t="str">
        <f aca="false">"Ingredient(name='"&amp;B143&amp;"', rate="&amp;D143&amp;", munit='"&amp;C143&amp;"',density_kg_per_lt='"&amp;E143&amp;"',density_pcs_per_kg='"&amp;E143&amp;"',density_pcs_per_lt='"&amp;E143&amp;"').save()"</f>
        <v>Ingredient(name='mawa', rate=0, munit='kg',density_kg_per_lt='0',density_pcs_per_kg='0',density_pcs_per_lt='0').save()</v>
      </c>
    </row>
    <row r="144" customFormat="false" ht="15" hidden="false" customHeight="false" outlineLevel="0" collapsed="false">
      <c r="A144" s="0" t="n">
        <v>143</v>
      </c>
      <c r="B144" s="0" t="s">
        <v>437</v>
      </c>
      <c r="C144" s="17" t="s">
        <v>7</v>
      </c>
      <c r="D144" s="2" t="n">
        <v>0</v>
      </c>
      <c r="E144" s="2" t="n">
        <v>0</v>
      </c>
      <c r="F144" s="2" t="n">
        <v>0</v>
      </c>
      <c r="G144" s="2" t="n">
        <v>0</v>
      </c>
      <c r="H144" s="2"/>
      <c r="I144" s="14" t="str">
        <f aca="false">"Ingredient(name='"&amp;B144&amp;"', rate="&amp;D144&amp;", munit='"&amp;C144&amp;"',density_kg_per_lt='"&amp;E144&amp;"',density_pcs_per_kg='"&amp;E144&amp;"',density_pcs_per_lt='"&amp;E144&amp;"').save()"</f>
        <v>Ingredient(name='mdh garam masala', rate=0, munit='kg',density_kg_per_lt='0',density_pcs_per_kg='0',density_pcs_per_lt='0').save()</v>
      </c>
    </row>
    <row r="145" customFormat="false" ht="15" hidden="false" customHeight="false" outlineLevel="0" collapsed="false">
      <c r="A145" s="0" t="n">
        <v>144</v>
      </c>
      <c r="B145" s="0" t="s">
        <v>438</v>
      </c>
      <c r="C145" s="17" t="s">
        <v>7</v>
      </c>
      <c r="D145" s="2" t="n">
        <v>0</v>
      </c>
      <c r="E145" s="2" t="n">
        <v>0</v>
      </c>
      <c r="F145" s="2" t="n">
        <v>0</v>
      </c>
      <c r="G145" s="2" t="n">
        <v>0</v>
      </c>
      <c r="H145" s="2"/>
      <c r="I145" s="14" t="str">
        <f aca="false">"Ingredient(name='"&amp;B145&amp;"', rate="&amp;D145&amp;", munit='"&amp;C145&amp;"',density_kg_per_lt='"&amp;E145&amp;"',density_pcs_per_kg='"&amp;E145&amp;"',density_pcs_per_lt='"&amp;E145&amp;"').save()"</f>
        <v>Ingredient(name='methi', rate=0, munit='kg',density_kg_per_lt='0',density_pcs_per_kg='0',density_pcs_per_lt='0').save()</v>
      </c>
    </row>
    <row r="146" customFormat="false" ht="15" hidden="false" customHeight="false" outlineLevel="0" collapsed="false">
      <c r="A146" s="0" t="n">
        <v>145</v>
      </c>
      <c r="B146" s="0" t="s">
        <v>439</v>
      </c>
      <c r="C146" s="17" t="s">
        <v>7</v>
      </c>
      <c r="D146" s="2" t="n">
        <v>0</v>
      </c>
      <c r="E146" s="2" t="n">
        <v>0</v>
      </c>
      <c r="F146" s="2" t="n">
        <v>0</v>
      </c>
      <c r="G146" s="2" t="n">
        <v>0</v>
      </c>
      <c r="H146" s="2"/>
      <c r="I146" s="14" t="str">
        <f aca="false">"Ingredient(name='"&amp;B146&amp;"', rate="&amp;D146&amp;", munit='"&amp;C146&amp;"',density_kg_per_lt='"&amp;E146&amp;"',density_pcs_per_kg='"&amp;E146&amp;"',density_pcs_per_lt='"&amp;E146&amp;"').save()"</f>
        <v>Ingredient(name='milk', rate=0, munit='kg',density_kg_per_lt='0',density_pcs_per_kg='0',density_pcs_per_lt='0').save()</v>
      </c>
    </row>
    <row r="147" customFormat="false" ht="15" hidden="false" customHeight="false" outlineLevel="0" collapsed="false">
      <c r="A147" s="0" t="n">
        <v>146</v>
      </c>
      <c r="B147" s="0" t="s">
        <v>440</v>
      </c>
      <c r="C147" s="17" t="s">
        <v>7</v>
      </c>
      <c r="D147" s="2" t="n">
        <v>0</v>
      </c>
      <c r="E147" s="2" t="n">
        <v>0</v>
      </c>
      <c r="F147" s="2" t="n">
        <v>0</v>
      </c>
      <c r="G147" s="2" t="n">
        <v>0</v>
      </c>
      <c r="H147" s="2"/>
      <c r="I147" s="14" t="str">
        <f aca="false">"Ingredient(name='"&amp;B147&amp;"', rate="&amp;D147&amp;", munit='"&amp;C147&amp;"',density_kg_per_lt='"&amp;E147&amp;"',density_pcs_per_kg='"&amp;E147&amp;"',density_pcs_per_lt='"&amp;E147&amp;"').save()"</f>
        <v>Ingredient(name='moong badi', rate=0, munit='kg',density_kg_per_lt='0',density_pcs_per_kg='0',density_pcs_per_lt='0').save()</v>
      </c>
    </row>
    <row r="148" customFormat="false" ht="15" hidden="false" customHeight="false" outlineLevel="0" collapsed="false">
      <c r="A148" s="0" t="n">
        <v>147</v>
      </c>
      <c r="B148" s="0" t="s">
        <v>441</v>
      </c>
      <c r="C148" s="17" t="s">
        <v>7</v>
      </c>
      <c r="D148" s="2" t="n">
        <v>0</v>
      </c>
      <c r="E148" s="2" t="n">
        <v>0</v>
      </c>
      <c r="F148" s="2" t="n">
        <v>0</v>
      </c>
      <c r="G148" s="2" t="n">
        <v>0</v>
      </c>
      <c r="H148" s="2"/>
      <c r="I148" s="14" t="str">
        <f aca="false">"Ingredient(name='"&amp;B148&amp;"', rate="&amp;D148&amp;", munit='"&amp;C148&amp;"',density_kg_per_lt='"&amp;E148&amp;"',density_pcs_per_kg='"&amp;E148&amp;"',density_pcs_per_lt='"&amp;E148&amp;"').save()"</f>
        <v>Ingredient(name='moong dal', rate=0, munit='kg',density_kg_per_lt='0',density_pcs_per_kg='0',density_pcs_per_lt='0').save()</v>
      </c>
    </row>
    <row r="149" customFormat="false" ht="15" hidden="false" customHeight="false" outlineLevel="0" collapsed="false">
      <c r="A149" s="0" t="n">
        <v>148</v>
      </c>
      <c r="B149" s="0" t="s">
        <v>442</v>
      </c>
      <c r="C149" s="17" t="s">
        <v>7</v>
      </c>
      <c r="D149" s="2" t="n">
        <v>0</v>
      </c>
      <c r="E149" s="2" t="n">
        <v>0</v>
      </c>
      <c r="F149" s="2" t="n">
        <v>0</v>
      </c>
      <c r="G149" s="2" t="n">
        <v>0</v>
      </c>
      <c r="H149" s="2"/>
      <c r="I149" s="14" t="str">
        <f aca="false">"Ingredient(name='"&amp;B149&amp;"', rate="&amp;D149&amp;", munit='"&amp;C149&amp;"',density_kg_per_lt='"&amp;E149&amp;"',density_pcs_per_kg='"&amp;E149&amp;"',density_pcs_per_lt='"&amp;E149&amp;"').save()"</f>
        <v>Ingredient(name='mtr rasam masala', rate=0, munit='kg',density_kg_per_lt='0',density_pcs_per_kg='0',density_pcs_per_lt='0').save()</v>
      </c>
    </row>
    <row r="150" customFormat="false" ht="15" hidden="false" customHeight="false" outlineLevel="0" collapsed="false">
      <c r="A150" s="0" t="n">
        <v>149</v>
      </c>
      <c r="B150" s="0" t="s">
        <v>443</v>
      </c>
      <c r="C150" s="17" t="s">
        <v>7</v>
      </c>
      <c r="D150" s="2" t="n">
        <v>0</v>
      </c>
      <c r="E150" s="2" t="n">
        <v>0</v>
      </c>
      <c r="F150" s="2" t="n">
        <v>0</v>
      </c>
      <c r="G150" s="2" t="n">
        <v>0</v>
      </c>
      <c r="H150" s="2"/>
      <c r="I150" s="14" t="str">
        <f aca="false">"Ingredient(name='"&amp;B150&amp;"', rate="&amp;D150&amp;", munit='"&amp;C150&amp;"',density_kg_per_lt='"&amp;E150&amp;"',density_pcs_per_kg='"&amp;E150&amp;"',density_pcs_per_lt='"&amp;E150&amp;"').save()"</f>
        <v>Ingredient(name='mugi', rate=0, munit='kg',density_kg_per_lt='0',density_pcs_per_kg='0',density_pcs_per_lt='0').save()</v>
      </c>
    </row>
    <row r="151" customFormat="false" ht="15" hidden="false" customHeight="false" outlineLevel="0" collapsed="false">
      <c r="A151" s="0" t="n">
        <v>150</v>
      </c>
      <c r="B151" s="0" t="s">
        <v>444</v>
      </c>
      <c r="C151" s="17" t="s">
        <v>7</v>
      </c>
      <c r="D151" s="2" t="n">
        <v>0</v>
      </c>
      <c r="E151" s="2" t="n">
        <v>0</v>
      </c>
      <c r="F151" s="2" t="n">
        <v>0</v>
      </c>
      <c r="G151" s="2" t="n">
        <v>0</v>
      </c>
      <c r="H151" s="2"/>
      <c r="I151" s="14" t="str">
        <f aca="false">"Ingredient(name='"&amp;B151&amp;"', rate="&amp;D151&amp;", munit='"&amp;C151&amp;"',density_kg_per_lt='"&amp;E151&amp;"',density_pcs_per_kg='"&amp;E151&amp;"',density_pcs_per_lt='"&amp;E151&amp;"').save()"</f>
        <v>Ingredient(name='nimbu fool', rate=0, munit='kg',density_kg_per_lt='0',density_pcs_per_kg='0',density_pcs_per_lt='0').save()</v>
      </c>
    </row>
    <row r="152" customFormat="false" ht="15" hidden="false" customHeight="false" outlineLevel="0" collapsed="false">
      <c r="A152" s="0" t="n">
        <v>151</v>
      </c>
      <c r="B152" s="0" t="s">
        <v>266</v>
      </c>
      <c r="C152" s="17" t="s">
        <v>7</v>
      </c>
      <c r="D152" s="2" t="n">
        <v>0</v>
      </c>
      <c r="E152" s="2" t="n">
        <v>0</v>
      </c>
      <c r="F152" s="2" t="n">
        <v>0</v>
      </c>
      <c r="G152" s="2" t="n">
        <v>0</v>
      </c>
      <c r="H152" s="2"/>
      <c r="I152" s="14" t="str">
        <f aca="false">"Ingredient(name='"&amp;B152&amp;"', rate="&amp;D152&amp;", munit='"&amp;C152&amp;"',density_kg_per_lt='"&amp;E152&amp;"',density_pcs_per_kg='"&amp;E152&amp;"',density_pcs_per_lt='"&amp;E152&amp;"').save()"</f>
        <v>Ingredient(name='noodles', rate=0, munit='kg',density_kg_per_lt='0',density_pcs_per_kg='0',density_pcs_per_lt='0').save()</v>
      </c>
    </row>
    <row r="153" customFormat="false" ht="15" hidden="false" customHeight="false" outlineLevel="0" collapsed="false">
      <c r="A153" s="0" t="n">
        <v>152</v>
      </c>
      <c r="B153" s="0" t="s">
        <v>445</v>
      </c>
      <c r="C153" s="17" t="s">
        <v>7</v>
      </c>
      <c r="D153" s="2" t="n">
        <v>0</v>
      </c>
      <c r="E153" s="2" t="n">
        <v>0</v>
      </c>
      <c r="F153" s="2" t="n">
        <v>0</v>
      </c>
      <c r="G153" s="2" t="n">
        <v>0</v>
      </c>
      <c r="H153" s="2"/>
      <c r="I153" s="14" t="str">
        <f aca="false">"Ingredient(name='"&amp;B153&amp;"', rate="&amp;D153&amp;", munit='"&amp;C153&amp;"',density_kg_per_lt='"&amp;E153&amp;"',density_pcs_per_kg='"&amp;E153&amp;"',density_pcs_per_lt='"&amp;E153&amp;"').save()"</f>
        <v>Ingredient(name='orange red colour', rate=0, munit='kg',density_kg_per_lt='0',density_pcs_per_kg='0',density_pcs_per_lt='0').save()</v>
      </c>
    </row>
    <row r="154" customFormat="false" ht="15" hidden="false" customHeight="false" outlineLevel="0" collapsed="false">
      <c r="A154" s="0" t="n">
        <v>153</v>
      </c>
      <c r="B154" s="0" t="s">
        <v>446</v>
      </c>
      <c r="C154" s="17" t="s">
        <v>7</v>
      </c>
      <c r="D154" s="2" t="n">
        <v>0</v>
      </c>
      <c r="E154" s="2" t="n">
        <v>0</v>
      </c>
      <c r="F154" s="2" t="n">
        <v>0</v>
      </c>
      <c r="G154" s="2" t="n">
        <v>0</v>
      </c>
      <c r="H154" s="2"/>
      <c r="I154" s="14" t="str">
        <f aca="false">"Ingredient(name='"&amp;B154&amp;"', rate="&amp;D154&amp;", munit='"&amp;C154&amp;"',density_kg_per_lt='"&amp;E154&amp;"',density_pcs_per_kg='"&amp;E154&amp;"',density_pcs_per_lt='"&amp;E154&amp;"').save()"</f>
        <v>Ingredient(name='palak', rate=0, munit='kg',density_kg_per_lt='0',density_pcs_per_kg='0',density_pcs_per_lt='0').save()</v>
      </c>
    </row>
    <row r="155" customFormat="false" ht="15" hidden="false" customHeight="false" outlineLevel="0" collapsed="false">
      <c r="A155" s="0" t="n">
        <v>154</v>
      </c>
      <c r="B155" s="0" t="s">
        <v>447</v>
      </c>
      <c r="C155" s="17" t="s">
        <v>7</v>
      </c>
      <c r="D155" s="2" t="n">
        <v>0</v>
      </c>
      <c r="E155" s="2" t="n">
        <v>0</v>
      </c>
      <c r="F155" s="2" t="n">
        <v>0</v>
      </c>
      <c r="G155" s="2" t="n">
        <v>0</v>
      </c>
      <c r="H155" s="2"/>
      <c r="I155" s="14" t="str">
        <f aca="false">"Ingredient(name='"&amp;B155&amp;"', rate="&amp;D155&amp;", munit='"&amp;C155&amp;"',density_kg_per_lt='"&amp;E155&amp;"',density_pcs_per_kg='"&amp;E155&amp;"',density_pcs_per_lt='"&amp;E155&amp;"').save()"</f>
        <v>Ingredient(name='pandi mirchi', rate=0, munit='kg',density_kg_per_lt='0',density_pcs_per_kg='0',density_pcs_per_lt='0').save()</v>
      </c>
    </row>
    <row r="156" customFormat="false" ht="15" hidden="false" customHeight="false" outlineLevel="0" collapsed="false">
      <c r="A156" s="0" t="n">
        <v>155</v>
      </c>
      <c r="B156" s="0" t="s">
        <v>448</v>
      </c>
      <c r="C156" s="17" t="s">
        <v>7</v>
      </c>
      <c r="D156" s="2" t="n">
        <v>0</v>
      </c>
      <c r="E156" s="2" t="n">
        <v>0</v>
      </c>
      <c r="F156" s="2" t="n">
        <v>0</v>
      </c>
      <c r="G156" s="2" t="n">
        <v>0</v>
      </c>
      <c r="H156" s="2"/>
      <c r="I156" s="14" t="str">
        <f aca="false">"Ingredient(name='"&amp;B156&amp;"', rate="&amp;D156&amp;", munit='"&amp;C156&amp;"',density_kg_per_lt='"&amp;E156&amp;"',density_pcs_per_kg='"&amp;E156&amp;"',density_pcs_per_lt='"&amp;E156&amp;"').save()"</f>
        <v>Ingredient(name='panir', rate=0, munit='kg',density_kg_per_lt='0',density_pcs_per_kg='0',density_pcs_per_lt='0').save()</v>
      </c>
    </row>
    <row r="157" customFormat="false" ht="15" hidden="false" customHeight="false" outlineLevel="0" collapsed="false">
      <c r="A157" s="0" t="n">
        <v>156</v>
      </c>
      <c r="B157" s="0" t="s">
        <v>449</v>
      </c>
      <c r="C157" s="17" t="s">
        <v>7</v>
      </c>
      <c r="D157" s="2" t="n">
        <v>0</v>
      </c>
      <c r="E157" s="2" t="n">
        <v>0</v>
      </c>
      <c r="F157" s="2" t="n">
        <v>0</v>
      </c>
      <c r="G157" s="2" t="n">
        <v>0</v>
      </c>
      <c r="H157" s="2"/>
      <c r="I157" s="14" t="str">
        <f aca="false">"Ingredient(name='"&amp;B157&amp;"', rate="&amp;D157&amp;", munit='"&amp;C157&amp;"',density_kg_per_lt='"&amp;E157&amp;"',density_pcs_per_kg='"&amp;E157&amp;"',density_pcs_per_lt='"&amp;E157&amp;"').save()"</f>
        <v>Ingredient(name='parsley', rate=0, munit='kg',density_kg_per_lt='0',density_pcs_per_kg='0',density_pcs_per_lt='0').save()</v>
      </c>
    </row>
    <row r="158" customFormat="false" ht="15" hidden="false" customHeight="false" outlineLevel="0" collapsed="false">
      <c r="A158" s="0" t="n">
        <v>157</v>
      </c>
      <c r="B158" s="0" t="s">
        <v>450</v>
      </c>
      <c r="C158" s="17" t="s">
        <v>7</v>
      </c>
      <c r="D158" s="2" t="n">
        <v>0</v>
      </c>
      <c r="E158" s="2" t="n">
        <v>0</v>
      </c>
      <c r="F158" s="2" t="n">
        <v>0</v>
      </c>
      <c r="G158" s="2" t="n">
        <v>0</v>
      </c>
      <c r="H158" s="2"/>
      <c r="I158" s="14" t="str">
        <f aca="false">"Ingredient(name='"&amp;B158&amp;"', rate="&amp;D158&amp;", munit='"&amp;C158&amp;"',density_kg_per_lt='"&amp;E158&amp;"',density_pcs_per_kg='"&amp;E158&amp;"',density_pcs_per_lt='"&amp;E158&amp;"').save()"</f>
        <v>Ingredient(name='patala poha', rate=0, munit='kg',density_kg_per_lt='0',density_pcs_per_kg='0',density_pcs_per_lt='0').save()</v>
      </c>
    </row>
    <row r="159" customFormat="false" ht="15" hidden="false" customHeight="false" outlineLevel="0" collapsed="false">
      <c r="A159" s="0" t="n">
        <v>158</v>
      </c>
      <c r="B159" s="0" t="s">
        <v>451</v>
      </c>
      <c r="C159" s="17" t="s">
        <v>7</v>
      </c>
      <c r="D159" s="2" t="n">
        <v>0</v>
      </c>
      <c r="E159" s="2" t="n">
        <v>0</v>
      </c>
      <c r="F159" s="2" t="n">
        <v>0</v>
      </c>
      <c r="G159" s="2" t="n">
        <v>0</v>
      </c>
      <c r="H159" s="2"/>
      <c r="I159" s="14" t="str">
        <f aca="false">"Ingredient(name='"&amp;B159&amp;"', rate="&amp;D159&amp;", munit='"&amp;C159&amp;"',density_kg_per_lt='"&amp;E159&amp;"',density_pcs_per_kg='"&amp;E159&amp;"',density_pcs_per_lt='"&amp;E159&amp;"').save()"</f>
        <v>Ingredient(name='patol', rate=0, munit='kg',density_kg_per_lt='0',density_pcs_per_kg='0',density_pcs_per_lt='0').save()</v>
      </c>
    </row>
    <row r="160" customFormat="false" ht="15" hidden="false" customHeight="false" outlineLevel="0" collapsed="false">
      <c r="A160" s="0" t="n">
        <v>159</v>
      </c>
      <c r="B160" s="0" t="s">
        <v>281</v>
      </c>
      <c r="C160" s="17" t="s">
        <v>7</v>
      </c>
      <c r="D160" s="2" t="n">
        <v>0</v>
      </c>
      <c r="E160" s="2" t="n">
        <v>0</v>
      </c>
      <c r="F160" s="2" t="n">
        <v>0</v>
      </c>
      <c r="G160" s="2" t="n">
        <v>0</v>
      </c>
      <c r="H160" s="2"/>
      <c r="I160" s="14" t="str">
        <f aca="false">"Ingredient(name='"&amp;B160&amp;"', rate="&amp;D160&amp;", munit='"&amp;C160&amp;"',density_kg_per_lt='"&amp;E160&amp;"',density_pcs_per_kg='"&amp;E160&amp;"',density_pcs_per_lt='"&amp;E160&amp;"').save()"</f>
        <v>Ingredient(name='pav', rate=0, munit='kg',density_kg_per_lt='0',density_pcs_per_kg='0',density_pcs_per_lt='0').save()</v>
      </c>
    </row>
    <row r="161" customFormat="false" ht="15" hidden="false" customHeight="false" outlineLevel="0" collapsed="false">
      <c r="A161" s="0" t="n">
        <v>160</v>
      </c>
      <c r="B161" s="0" t="s">
        <v>452</v>
      </c>
      <c r="C161" s="17" t="s">
        <v>7</v>
      </c>
      <c r="D161" s="2" t="n">
        <v>0</v>
      </c>
      <c r="E161" s="2" t="n">
        <v>0</v>
      </c>
      <c r="F161" s="2" t="n">
        <v>0</v>
      </c>
      <c r="G161" s="2" t="n">
        <v>0</v>
      </c>
      <c r="H161" s="2"/>
      <c r="I161" s="14" t="str">
        <f aca="false">"Ingredient(name='"&amp;B161&amp;"', rate="&amp;D161&amp;", munit='"&amp;C161&amp;"',density_kg_per_lt='"&amp;E161&amp;"',density_pcs_per_kg='"&amp;E161&amp;"',density_pcs_per_lt='"&amp;E161&amp;"').save()"</f>
        <v>Ingredient(name='pav bhaji masala', rate=0, munit='kg',density_kg_per_lt='0',density_pcs_per_kg='0',density_pcs_per_lt='0').save()</v>
      </c>
    </row>
    <row r="162" customFormat="false" ht="15" hidden="false" customHeight="false" outlineLevel="0" collapsed="false">
      <c r="A162" s="0" t="n">
        <v>161</v>
      </c>
      <c r="B162" s="0" t="s">
        <v>453</v>
      </c>
      <c r="C162" s="17" t="s">
        <v>7</v>
      </c>
      <c r="D162" s="2" t="n">
        <v>0</v>
      </c>
      <c r="E162" s="2" t="n">
        <v>0</v>
      </c>
      <c r="F162" s="2" t="n">
        <v>0</v>
      </c>
      <c r="G162" s="2" t="n">
        <v>0</v>
      </c>
      <c r="H162" s="2"/>
      <c r="I162" s="14" t="str">
        <f aca="false">"Ingredient(name='"&amp;B162&amp;"', rate="&amp;D162&amp;", munit='"&amp;C162&amp;"',density_kg_per_lt='"&amp;E162&amp;"',density_pcs_per_kg='"&amp;E162&amp;"',density_pcs_per_lt='"&amp;E162&amp;"').save()"</f>
        <v>Ingredient(name='posto', rate=0, munit='kg',density_kg_per_lt='0',density_pcs_per_kg='0',density_pcs_per_lt='0').save()</v>
      </c>
    </row>
    <row r="163" customFormat="false" ht="15" hidden="false" customHeight="false" outlineLevel="0" collapsed="false">
      <c r="A163" s="0" t="n">
        <v>162</v>
      </c>
      <c r="B163" s="0" t="s">
        <v>454</v>
      </c>
      <c r="C163" s="17" t="s">
        <v>7</v>
      </c>
      <c r="D163" s="2" t="n">
        <v>0</v>
      </c>
      <c r="E163" s="2" t="n">
        <v>0</v>
      </c>
      <c r="F163" s="2" t="n">
        <v>0</v>
      </c>
      <c r="G163" s="2" t="n">
        <v>0</v>
      </c>
      <c r="H163" s="2"/>
      <c r="I163" s="14" t="str">
        <f aca="false">"Ingredient(name='"&amp;B163&amp;"', rate="&amp;D163&amp;", munit='"&amp;C163&amp;"',density_kg_per_lt='"&amp;E163&amp;"',density_pcs_per_kg='"&amp;E163&amp;"',density_pcs_per_lt='"&amp;E163&amp;"').save()"</f>
        <v>Ingredient(name='pudina', rate=0, munit='kg',density_kg_per_lt='0',density_pcs_per_kg='0',density_pcs_per_lt='0').save()</v>
      </c>
    </row>
    <row r="164" customFormat="false" ht="15" hidden="false" customHeight="false" outlineLevel="0" collapsed="false">
      <c r="A164" s="0" t="n">
        <v>163</v>
      </c>
      <c r="B164" s="0" t="s">
        <v>455</v>
      </c>
      <c r="C164" s="17" t="s">
        <v>7</v>
      </c>
      <c r="D164" s="2" t="n">
        <v>0</v>
      </c>
      <c r="E164" s="2" t="n">
        <v>0</v>
      </c>
      <c r="F164" s="2" t="n">
        <v>0</v>
      </c>
      <c r="G164" s="2" t="n">
        <v>0</v>
      </c>
      <c r="H164" s="2"/>
      <c r="I164" s="14" t="str">
        <f aca="false">"Ingredient(name='"&amp;B164&amp;"', rate="&amp;D164&amp;", munit='"&amp;C164&amp;"',density_kg_per_lt='"&amp;E164&amp;"',density_pcs_per_kg='"&amp;E164&amp;"',density_pcs_per_lt='"&amp;E164&amp;"').save()"</f>
        <v>Ingredient(name='pudina leaves', rate=0, munit='kg',density_kg_per_lt='0',density_pcs_per_kg='0',density_pcs_per_lt='0').save()</v>
      </c>
    </row>
    <row r="165" customFormat="false" ht="15" hidden="false" customHeight="false" outlineLevel="0" collapsed="false">
      <c r="A165" s="0" t="n">
        <v>164</v>
      </c>
      <c r="B165" s="0" t="s">
        <v>456</v>
      </c>
      <c r="C165" s="17" t="s">
        <v>7</v>
      </c>
      <c r="D165" s="2" t="n">
        <v>0</v>
      </c>
      <c r="E165" s="2" t="n">
        <v>0</v>
      </c>
      <c r="F165" s="2" t="n">
        <v>0</v>
      </c>
      <c r="G165" s="2" t="n">
        <v>0</v>
      </c>
      <c r="H165" s="2"/>
      <c r="I165" s="14" t="str">
        <f aca="false">"Ingredient(name='"&amp;B165&amp;"', rate="&amp;D165&amp;", munit='"&amp;C165&amp;"',density_kg_per_lt='"&amp;E165&amp;"',density_pcs_per_kg='"&amp;E165&amp;"',density_pcs_per_lt='"&amp;E165&amp;"').save()"</f>
        <v>Ingredient(name='rai', rate=0, munit='kg',density_kg_per_lt='0',density_pcs_per_kg='0',density_pcs_per_lt='0').save()</v>
      </c>
    </row>
    <row r="166" customFormat="false" ht="15" hidden="false" customHeight="false" outlineLevel="0" collapsed="false">
      <c r="A166" s="0" t="n">
        <v>165</v>
      </c>
      <c r="B166" s="0" t="s">
        <v>457</v>
      </c>
      <c r="C166" s="17" t="s">
        <v>7</v>
      </c>
      <c r="D166" s="2" t="n">
        <v>0</v>
      </c>
      <c r="E166" s="2" t="n">
        <v>0</v>
      </c>
      <c r="F166" s="2" t="n">
        <v>0</v>
      </c>
      <c r="G166" s="2" t="n">
        <v>0</v>
      </c>
      <c r="H166" s="2"/>
      <c r="I166" s="14" t="str">
        <f aca="false">"Ingredient(name='"&amp;B166&amp;"', rate="&amp;D166&amp;", munit='"&amp;C166&amp;"',density_kg_per_lt='"&amp;E166&amp;"',density_pcs_per_kg='"&amp;E166&amp;"',density_pcs_per_lt='"&amp;E166&amp;"').save()"</f>
        <v>Ingredient(name='rai oil', rate=0, munit='kg',density_kg_per_lt='0',density_pcs_per_kg='0',density_pcs_per_lt='0').save()</v>
      </c>
    </row>
    <row r="167" customFormat="false" ht="15" hidden="false" customHeight="false" outlineLevel="0" collapsed="false">
      <c r="A167" s="0" t="n">
        <v>166</v>
      </c>
      <c r="B167" s="0" t="s">
        <v>458</v>
      </c>
      <c r="C167" s="17" t="s">
        <v>7</v>
      </c>
      <c r="D167" s="2" t="n">
        <v>0</v>
      </c>
      <c r="E167" s="2" t="n">
        <v>0</v>
      </c>
      <c r="F167" s="2" t="n">
        <v>0</v>
      </c>
      <c r="G167" s="2" t="n">
        <v>0</v>
      </c>
      <c r="H167" s="2"/>
      <c r="I167" s="14" t="str">
        <f aca="false">"Ingredient(name='"&amp;B167&amp;"', rate="&amp;D167&amp;", munit='"&amp;C167&amp;"',density_kg_per_lt='"&amp;E167&amp;"',density_pcs_per_kg='"&amp;E167&amp;"',density_pcs_per_lt='"&amp;E167&amp;"').save()"</f>
        <v>Ingredient(name='rajgira atta', rate=0, munit='kg',density_kg_per_lt='0',density_pcs_per_kg='0',density_pcs_per_lt='0').save()</v>
      </c>
    </row>
    <row r="168" customFormat="false" ht="15" hidden="false" customHeight="false" outlineLevel="0" collapsed="false">
      <c r="A168" s="0" t="n">
        <v>167</v>
      </c>
      <c r="B168" s="0" t="s">
        <v>459</v>
      </c>
      <c r="C168" s="17" t="s">
        <v>7</v>
      </c>
      <c r="D168" s="2" t="n">
        <v>0</v>
      </c>
      <c r="E168" s="2" t="n">
        <v>0</v>
      </c>
      <c r="F168" s="2" t="n">
        <v>0</v>
      </c>
      <c r="G168" s="2" t="n">
        <v>0</v>
      </c>
      <c r="H168" s="2"/>
      <c r="I168" s="14" t="str">
        <f aca="false">"Ingredient(name='"&amp;B168&amp;"', rate="&amp;D168&amp;", munit='"&amp;C168&amp;"',density_kg_per_lt='"&amp;E168&amp;"',density_pcs_per_kg='"&amp;E168&amp;"',density_pcs_per_lt='"&amp;E168&amp;"').save()"</f>
        <v>Ingredient(name='rajma', rate=0, munit='kg',density_kg_per_lt='0',density_pcs_per_kg='0',density_pcs_per_lt='0').save()</v>
      </c>
    </row>
    <row r="169" customFormat="false" ht="15" hidden="false" customHeight="false" outlineLevel="0" collapsed="false">
      <c r="A169" s="0" t="n">
        <v>168</v>
      </c>
      <c r="B169" s="0" t="s">
        <v>460</v>
      </c>
      <c r="C169" s="17" t="s">
        <v>7</v>
      </c>
      <c r="D169" s="2" t="n">
        <v>0</v>
      </c>
      <c r="E169" s="2" t="n">
        <v>0</v>
      </c>
      <c r="F169" s="2" t="n">
        <v>0</v>
      </c>
      <c r="G169" s="2" t="n">
        <v>0</v>
      </c>
      <c r="H169" s="2"/>
      <c r="I169" s="14" t="str">
        <f aca="false">"Ingredient(name='"&amp;B169&amp;"', rate="&amp;D169&amp;", munit='"&amp;C169&amp;"',density_kg_per_lt='"&amp;E169&amp;"',density_pcs_per_kg='"&amp;E169&amp;"',density_pcs_per_lt='"&amp;E169&amp;"').save()"</f>
        <v>Ingredient(name='red capsicum', rate=0, munit='kg',density_kg_per_lt='0',density_pcs_per_kg='0',density_pcs_per_lt='0').save()</v>
      </c>
    </row>
    <row r="170" customFormat="false" ht="15" hidden="false" customHeight="false" outlineLevel="0" collapsed="false">
      <c r="A170" s="0" t="n">
        <v>169</v>
      </c>
      <c r="B170" s="0" t="s">
        <v>461</v>
      </c>
      <c r="C170" s="17" t="s">
        <v>7</v>
      </c>
      <c r="D170" s="2" t="n">
        <v>0</v>
      </c>
      <c r="E170" s="2" t="n">
        <v>0</v>
      </c>
      <c r="F170" s="2" t="n">
        <v>0</v>
      </c>
      <c r="G170" s="2" t="n">
        <v>0</v>
      </c>
      <c r="H170" s="2"/>
      <c r="I170" s="14" t="str">
        <f aca="false">"Ingredient(name='"&amp;B170&amp;"', rate="&amp;D170&amp;", munit='"&amp;C170&amp;"',density_kg_per_lt='"&amp;E170&amp;"',density_pcs_per_kg='"&amp;E170&amp;"',density_pcs_per_lt='"&amp;E170&amp;"').save()"</f>
        <v>Ingredient(name='red sak', rate=0, munit='kg',density_kg_per_lt='0',density_pcs_per_kg='0',density_pcs_per_lt='0').save()</v>
      </c>
    </row>
    <row r="171" customFormat="false" ht="15" hidden="false" customHeight="false" outlineLevel="0" collapsed="false">
      <c r="A171" s="0" t="n">
        <v>170</v>
      </c>
      <c r="B171" s="0" t="s">
        <v>462</v>
      </c>
      <c r="C171" s="17" t="s">
        <v>7</v>
      </c>
      <c r="D171" s="2" t="n">
        <v>0</v>
      </c>
      <c r="E171" s="2" t="n">
        <v>0</v>
      </c>
      <c r="F171" s="2" t="n">
        <v>0</v>
      </c>
      <c r="G171" s="2" t="n">
        <v>0</v>
      </c>
      <c r="H171" s="2"/>
      <c r="I171" s="14" t="str">
        <f aca="false">"Ingredient(name='"&amp;B171&amp;"', rate="&amp;D171&amp;", munit='"&amp;C171&amp;"',density_kg_per_lt='"&amp;E171&amp;"',density_pcs_per_kg='"&amp;E171&amp;"',density_pcs_per_lt='"&amp;E171&amp;"').save()"</f>
        <v>Ingredient(name='rice', rate=0, munit='kg',density_kg_per_lt='0',density_pcs_per_kg='0',density_pcs_per_lt='0').save()</v>
      </c>
    </row>
    <row r="172" customFormat="false" ht="15" hidden="false" customHeight="false" outlineLevel="0" collapsed="false">
      <c r="A172" s="0" t="n">
        <v>171</v>
      </c>
      <c r="B172" s="0" t="s">
        <v>463</v>
      </c>
      <c r="C172" s="17" t="s">
        <v>7</v>
      </c>
      <c r="D172" s="2" t="n">
        <v>0</v>
      </c>
      <c r="E172" s="2" t="n">
        <v>0</v>
      </c>
      <c r="F172" s="2" t="n">
        <v>0</v>
      </c>
      <c r="G172" s="2" t="n">
        <v>0</v>
      </c>
      <c r="H172" s="2"/>
      <c r="I172" s="14" t="str">
        <f aca="false">"Ingredient(name='"&amp;B172&amp;"', rate="&amp;D172&amp;", munit='"&amp;C172&amp;"',density_kg_per_lt='"&amp;E172&amp;"',density_pcs_per_kg='"&amp;E172&amp;"',density_pcs_per_lt='"&amp;E172&amp;"').save()"</f>
        <v>Ingredient(name='rice flour', rate=0, munit='kg',density_kg_per_lt='0',density_pcs_per_kg='0',density_pcs_per_lt='0').save()</v>
      </c>
    </row>
    <row r="173" customFormat="false" ht="15" hidden="false" customHeight="false" outlineLevel="0" collapsed="false">
      <c r="A173" s="0" t="n">
        <v>172</v>
      </c>
      <c r="B173" s="0" t="s">
        <v>464</v>
      </c>
      <c r="C173" s="17" t="s">
        <v>7</v>
      </c>
      <c r="D173" s="2" t="n">
        <v>0</v>
      </c>
      <c r="E173" s="2" t="n">
        <v>0</v>
      </c>
      <c r="F173" s="2" t="n">
        <v>0</v>
      </c>
      <c r="G173" s="2" t="n">
        <v>0</v>
      </c>
      <c r="H173" s="2"/>
      <c r="I173" s="14" t="str">
        <f aca="false">"Ingredient(name='"&amp;B173&amp;"', rate="&amp;D173&amp;", munit='"&amp;C173&amp;"',density_kg_per_lt='"&amp;E173&amp;"',density_pcs_per_kg='"&amp;E173&amp;"',density_pcs_per_lt='"&amp;E173&amp;"').save()"</f>
        <v>Ingredient(name='rice sevai', rate=0, munit='kg',density_kg_per_lt='0',density_pcs_per_kg='0',density_pcs_per_lt='0').save()</v>
      </c>
    </row>
    <row r="174" customFormat="false" ht="15" hidden="false" customHeight="false" outlineLevel="0" collapsed="false">
      <c r="A174" s="0" t="n">
        <v>173</v>
      </c>
      <c r="B174" s="0" t="s">
        <v>465</v>
      </c>
      <c r="C174" s="17" t="s">
        <v>7</v>
      </c>
      <c r="D174" s="2" t="n">
        <v>0</v>
      </c>
      <c r="E174" s="2" t="n">
        <v>0</v>
      </c>
      <c r="F174" s="2" t="n">
        <v>0</v>
      </c>
      <c r="G174" s="2" t="n">
        <v>0</v>
      </c>
      <c r="H174" s="2"/>
      <c r="I174" s="14" t="str">
        <f aca="false">"Ingredient(name='"&amp;B174&amp;"', rate="&amp;D174&amp;", munit='"&amp;C174&amp;"',density_kg_per_lt='"&amp;E174&amp;"',density_pcs_per_kg='"&amp;E174&amp;"',density_pcs_per_lt='"&amp;E174&amp;"').save()"</f>
        <v>Ingredient(name='rose merry', rate=0, munit='kg',density_kg_per_lt='0',density_pcs_per_kg='0',density_pcs_per_lt='0').save()</v>
      </c>
    </row>
    <row r="175" customFormat="false" ht="15" hidden="false" customHeight="false" outlineLevel="0" collapsed="false">
      <c r="A175" s="0" t="n">
        <v>174</v>
      </c>
      <c r="B175" s="0" t="s">
        <v>466</v>
      </c>
      <c r="C175" s="17" t="s">
        <v>7</v>
      </c>
      <c r="D175" s="2" t="n">
        <v>0</v>
      </c>
      <c r="E175" s="2" t="n">
        <v>0</v>
      </c>
      <c r="F175" s="2" t="n">
        <v>0</v>
      </c>
      <c r="G175" s="2" t="n">
        <v>0</v>
      </c>
      <c r="H175" s="2"/>
      <c r="I175" s="14" t="str">
        <f aca="false">"Ingredient(name='"&amp;B175&amp;"', rate="&amp;D175&amp;", munit='"&amp;C175&amp;"',density_kg_per_lt='"&amp;E175&amp;"',density_pcs_per_kg='"&amp;E175&amp;"',density_pcs_per_lt='"&amp;E175&amp;"').save()"</f>
        <v>Ingredient(name='rose water', rate=0, munit='kg',density_kg_per_lt='0',density_pcs_per_kg='0',density_pcs_per_lt='0').save()</v>
      </c>
    </row>
    <row r="176" customFormat="false" ht="15" hidden="false" customHeight="false" outlineLevel="0" collapsed="false">
      <c r="A176" s="0" t="n">
        <v>175</v>
      </c>
      <c r="B176" s="0" t="s">
        <v>467</v>
      </c>
      <c r="C176" s="17" t="s">
        <v>7</v>
      </c>
      <c r="D176" s="2" t="n">
        <v>0</v>
      </c>
      <c r="E176" s="2" t="n">
        <v>0</v>
      </c>
      <c r="F176" s="2" t="n">
        <v>0</v>
      </c>
      <c r="G176" s="2" t="n">
        <v>0</v>
      </c>
      <c r="H176" s="2"/>
      <c r="I176" s="14" t="str">
        <f aca="false">"Ingredient(name='"&amp;B176&amp;"', rate="&amp;D176&amp;", munit='"&amp;C176&amp;"',density_kg_per_lt='"&amp;E176&amp;"',density_pcs_per_kg='"&amp;E176&amp;"',density_pcs_per_lt='"&amp;E176&amp;"').save()"</f>
        <v>Ingredient(name='sabja', rate=0, munit='kg',density_kg_per_lt='0',density_pcs_per_kg='0',density_pcs_per_lt='0').save()</v>
      </c>
    </row>
    <row r="177" customFormat="false" ht="15" hidden="false" customHeight="false" outlineLevel="0" collapsed="false">
      <c r="A177" s="0" t="n">
        <v>176</v>
      </c>
      <c r="B177" s="0" t="s">
        <v>468</v>
      </c>
      <c r="C177" s="17" t="s">
        <v>7</v>
      </c>
      <c r="D177" s="2" t="n">
        <v>0</v>
      </c>
      <c r="E177" s="2" t="n">
        <v>0</v>
      </c>
      <c r="F177" s="2" t="n">
        <v>0</v>
      </c>
      <c r="G177" s="2" t="n">
        <v>0</v>
      </c>
      <c r="H177" s="2"/>
      <c r="I177" s="14" t="str">
        <f aca="false">"Ingredient(name='"&amp;B177&amp;"', rate="&amp;D177&amp;", munit='"&amp;C177&amp;"',density_kg_per_lt='"&amp;E177&amp;"',density_pcs_per_kg='"&amp;E177&amp;"',density_pcs_per_lt='"&amp;E177&amp;"').save()"</f>
        <v>Ingredient(name='safed watana', rate=0, munit='kg',density_kg_per_lt='0',density_pcs_per_kg='0',density_pcs_per_lt='0').save()</v>
      </c>
    </row>
    <row r="178" customFormat="false" ht="15" hidden="false" customHeight="false" outlineLevel="0" collapsed="false">
      <c r="A178" s="0" t="n">
        <v>177</v>
      </c>
      <c r="B178" s="0" t="s">
        <v>96</v>
      </c>
      <c r="C178" s="17" t="s">
        <v>7</v>
      </c>
      <c r="D178" s="2" t="n">
        <v>0</v>
      </c>
      <c r="E178" s="2" t="n">
        <v>0</v>
      </c>
      <c r="F178" s="2" t="n">
        <v>0</v>
      </c>
      <c r="G178" s="2" t="n">
        <v>0</v>
      </c>
      <c r="H178" s="2"/>
      <c r="I178" s="14" t="str">
        <f aca="false">"Ingredient(name='"&amp;B178&amp;"', rate="&amp;D178&amp;", munit='"&amp;C178&amp;"',density_kg_per_lt='"&amp;E178&amp;"',density_pcs_per_kg='"&amp;E178&amp;"',density_pcs_per_lt='"&amp;E178&amp;"').save()"</f>
        <v>Ingredient(name='salt', rate=0, munit='kg',density_kg_per_lt='0',density_pcs_per_kg='0',density_pcs_per_lt='0').save()</v>
      </c>
    </row>
    <row r="179" customFormat="false" ht="15" hidden="false" customHeight="false" outlineLevel="0" collapsed="false">
      <c r="A179" s="0" t="n">
        <v>178</v>
      </c>
      <c r="B179" s="0" t="s">
        <v>469</v>
      </c>
      <c r="C179" s="17" t="s">
        <v>7</v>
      </c>
      <c r="D179" s="2" t="n">
        <v>0</v>
      </c>
      <c r="E179" s="2" t="n">
        <v>0</v>
      </c>
      <c r="F179" s="2" t="n">
        <v>0</v>
      </c>
      <c r="G179" s="2" t="n">
        <v>0</v>
      </c>
      <c r="H179" s="2"/>
      <c r="I179" s="14" t="str">
        <f aca="false">"Ingredient(name='"&amp;B179&amp;"', rate="&amp;D179&amp;", munit='"&amp;C179&amp;"',density_kg_per_lt='"&amp;E179&amp;"',density_pcs_per_kg='"&amp;E179&amp;"',density_pcs_per_lt='"&amp;E179&amp;"').save()"</f>
        <v>Ingredient(name='sam soya sauce', rate=0, munit='kg',density_kg_per_lt='0',density_pcs_per_kg='0',density_pcs_per_lt='0').save()</v>
      </c>
    </row>
    <row r="180" customFormat="false" ht="15" hidden="false" customHeight="false" outlineLevel="0" collapsed="false">
      <c r="A180" s="0" t="n">
        <v>179</v>
      </c>
      <c r="B180" s="0" t="s">
        <v>470</v>
      </c>
      <c r="C180" s="17" t="s">
        <v>7</v>
      </c>
      <c r="D180" s="2" t="n">
        <v>0</v>
      </c>
      <c r="E180" s="2" t="n">
        <v>0</v>
      </c>
      <c r="F180" s="2" t="n">
        <v>0</v>
      </c>
      <c r="G180" s="2" t="n">
        <v>0</v>
      </c>
      <c r="H180" s="2"/>
      <c r="I180" s="14" t="str">
        <f aca="false">"Ingredient(name='"&amp;B180&amp;"', rate="&amp;D180&amp;", munit='"&amp;C180&amp;"',density_kg_per_lt='"&amp;E180&amp;"',density_pcs_per_kg='"&amp;E180&amp;"',density_pcs_per_lt='"&amp;E180&amp;"').save()"</f>
        <v>Ingredient(name='sauf', rate=0, munit='kg',density_kg_per_lt='0',density_pcs_per_kg='0',density_pcs_per_lt='0').save()</v>
      </c>
    </row>
    <row r="181" customFormat="false" ht="15" hidden="false" customHeight="false" outlineLevel="0" collapsed="false">
      <c r="A181" s="0" t="n">
        <v>180</v>
      </c>
      <c r="B181" s="0" t="s">
        <v>471</v>
      </c>
      <c r="C181" s="17" t="s">
        <v>7</v>
      </c>
      <c r="D181" s="2" t="n">
        <v>0</v>
      </c>
      <c r="E181" s="2" t="n">
        <v>0</v>
      </c>
      <c r="F181" s="2" t="n">
        <v>0</v>
      </c>
      <c r="G181" s="2" t="n">
        <v>0</v>
      </c>
      <c r="H181" s="2"/>
      <c r="I181" s="14" t="str">
        <f aca="false">"Ingredient(name='"&amp;B181&amp;"', rate="&amp;D181&amp;", munit='"&amp;C181&amp;"',density_kg_per_lt='"&amp;E181&amp;"',density_pcs_per_kg='"&amp;E181&amp;"',density_pcs_per_lt='"&amp;E181&amp;"').save()"</f>
        <v>Ingredient(name='sev', rate=0, munit='kg',density_kg_per_lt='0',density_pcs_per_kg='0',density_pcs_per_lt='0').save()</v>
      </c>
    </row>
    <row r="182" customFormat="false" ht="15" hidden="false" customHeight="false" outlineLevel="0" collapsed="false">
      <c r="A182" s="0" t="n">
        <v>181</v>
      </c>
      <c r="B182" s="0" t="s">
        <v>472</v>
      </c>
      <c r="C182" s="17" t="s">
        <v>7</v>
      </c>
      <c r="D182" s="2" t="n">
        <v>0</v>
      </c>
      <c r="E182" s="2" t="n">
        <v>0</v>
      </c>
      <c r="F182" s="2" t="n">
        <v>0</v>
      </c>
      <c r="G182" s="2" t="n">
        <v>0</v>
      </c>
      <c r="H182" s="2"/>
      <c r="I182" s="14" t="str">
        <f aca="false">"Ingredient(name='"&amp;B182&amp;"', rate="&amp;D182&amp;", munit='"&amp;C182&amp;"',density_kg_per_lt='"&amp;E182&amp;"',density_pcs_per_kg='"&amp;E182&amp;"',density_pcs_per_lt='"&amp;E182&amp;"').save()"</f>
        <v>Ingredient(name='shahi jeera', rate=0, munit='kg',density_kg_per_lt='0',density_pcs_per_kg='0',density_pcs_per_lt='0').save()</v>
      </c>
    </row>
    <row r="183" customFormat="false" ht="15" hidden="false" customHeight="false" outlineLevel="0" collapsed="false">
      <c r="A183" s="0" t="n">
        <v>182</v>
      </c>
      <c r="B183" s="0" t="s">
        <v>473</v>
      </c>
      <c r="C183" s="17" t="s">
        <v>7</v>
      </c>
      <c r="D183" s="2" t="n">
        <v>0</v>
      </c>
      <c r="E183" s="2" t="n">
        <v>0</v>
      </c>
      <c r="F183" s="2" t="n">
        <v>0</v>
      </c>
      <c r="G183" s="2" t="n">
        <v>0</v>
      </c>
      <c r="H183" s="2"/>
      <c r="I183" s="14" t="str">
        <f aca="false">"Ingredient(name='"&amp;B183&amp;"', rate="&amp;D183&amp;", munit='"&amp;C183&amp;"',density_kg_per_lt='"&amp;E183&amp;"',density_pcs_per_kg='"&amp;E183&amp;"',density_pcs_per_lt='"&amp;E183&amp;"').save()"</f>
        <v>Ingredient(name='shakti sambar powder', rate=0, munit='kg',density_kg_per_lt='0',density_pcs_per_kg='0',density_pcs_per_lt='0').save()</v>
      </c>
    </row>
    <row r="184" customFormat="false" ht="15" hidden="false" customHeight="false" outlineLevel="0" collapsed="false">
      <c r="A184" s="0" t="n">
        <v>183</v>
      </c>
      <c r="B184" s="0" t="s">
        <v>474</v>
      </c>
      <c r="C184" s="17" t="s">
        <v>7</v>
      </c>
      <c r="D184" s="2" t="n">
        <v>0</v>
      </c>
      <c r="E184" s="2" t="n">
        <v>0</v>
      </c>
      <c r="F184" s="2" t="n">
        <v>0</v>
      </c>
      <c r="G184" s="2" t="n">
        <v>0</v>
      </c>
      <c r="H184" s="2"/>
      <c r="I184" s="14" t="str">
        <f aca="false">"Ingredient(name='"&amp;B184&amp;"', rate="&amp;D184&amp;", munit='"&amp;C184&amp;"',density_kg_per_lt='"&amp;E184&amp;"',density_pcs_per_kg='"&amp;E184&amp;"',density_pcs_per_lt='"&amp;E184&amp;"').save()"</f>
        <v>Ingredient(name='singdana', rate=0, munit='kg',density_kg_per_lt='0',density_pcs_per_kg='0',density_pcs_per_lt='0').save()</v>
      </c>
    </row>
    <row r="185" customFormat="false" ht="15" hidden="false" customHeight="false" outlineLevel="0" collapsed="false">
      <c r="A185" s="0" t="n">
        <v>184</v>
      </c>
      <c r="B185" s="0" t="s">
        <v>475</v>
      </c>
      <c r="C185" s="17" t="s">
        <v>7</v>
      </c>
      <c r="D185" s="2" t="n">
        <v>0</v>
      </c>
      <c r="E185" s="2" t="n">
        <v>0</v>
      </c>
      <c r="F185" s="2" t="n">
        <v>0</v>
      </c>
      <c r="G185" s="2" t="n">
        <v>0</v>
      </c>
      <c r="H185" s="2"/>
      <c r="I185" s="14" t="str">
        <f aca="false">"Ingredient(name='"&amp;B185&amp;"', rate="&amp;D185&amp;", munit='"&amp;C185&amp;"',density_kg_per_lt='"&amp;E185&amp;"',density_pcs_per_kg='"&amp;E185&amp;"',density_pcs_per_lt='"&amp;E185&amp;"').save()"</f>
        <v>Ingredient(name='soonth', rate=0, munit='kg',density_kg_per_lt='0',density_pcs_per_kg='0',density_pcs_per_lt='0').save()</v>
      </c>
    </row>
    <row r="186" customFormat="false" ht="15" hidden="false" customHeight="false" outlineLevel="0" collapsed="false">
      <c r="A186" s="0" t="n">
        <v>185</v>
      </c>
      <c r="B186" s="0" t="s">
        <v>476</v>
      </c>
      <c r="C186" s="17" t="s">
        <v>7</v>
      </c>
      <c r="D186" s="2" t="n">
        <v>0</v>
      </c>
      <c r="E186" s="2" t="n">
        <v>0</v>
      </c>
      <c r="F186" s="2" t="n">
        <v>0</v>
      </c>
      <c r="G186" s="2" t="n">
        <v>0</v>
      </c>
      <c r="H186" s="2"/>
      <c r="I186" s="14" t="str">
        <f aca="false">"Ingredient(name='"&amp;B186&amp;"', rate="&amp;D186&amp;", munit='"&amp;C186&amp;"',density_kg_per_lt='"&amp;E186&amp;"',density_pcs_per_kg='"&amp;E186&amp;"',density_pcs_per_lt='"&amp;E186&amp;"').save()"</f>
        <v>Ingredient(name='soya sauce', rate=0, munit='kg',density_kg_per_lt='0',density_pcs_per_kg='0',density_pcs_per_lt='0').save()</v>
      </c>
    </row>
    <row r="187" customFormat="false" ht="15" hidden="false" customHeight="false" outlineLevel="0" collapsed="false">
      <c r="A187" s="0" t="n">
        <v>186</v>
      </c>
      <c r="B187" s="0" t="s">
        <v>477</v>
      </c>
      <c r="C187" s="17" t="s">
        <v>7</v>
      </c>
      <c r="D187" s="2" t="n">
        <v>0</v>
      </c>
      <c r="E187" s="2" t="n">
        <v>0</v>
      </c>
      <c r="F187" s="2" t="n">
        <v>0</v>
      </c>
      <c r="G187" s="2" t="n">
        <v>0</v>
      </c>
      <c r="H187" s="2"/>
      <c r="I187" s="14" t="str">
        <f aca="false">"Ingredient(name='"&amp;B187&amp;"', rate="&amp;D187&amp;", munit='"&amp;C187&amp;"',density_kg_per_lt='"&amp;E187&amp;"',density_pcs_per_kg='"&amp;E187&amp;"',density_pcs_per_lt='"&amp;E187&amp;"').save()"</f>
        <v>Ingredient(name='starfal', rate=0, munit='kg',density_kg_per_lt='0',density_pcs_per_kg='0',density_pcs_per_lt='0').save()</v>
      </c>
    </row>
    <row r="188" customFormat="false" ht="15" hidden="false" customHeight="false" outlineLevel="0" collapsed="false">
      <c r="A188" s="0" t="n">
        <v>187</v>
      </c>
      <c r="B188" s="0" t="s">
        <v>44</v>
      </c>
      <c r="C188" s="17" t="s">
        <v>7</v>
      </c>
      <c r="D188" s="2" t="n">
        <v>0</v>
      </c>
      <c r="E188" s="2" t="n">
        <v>0</v>
      </c>
      <c r="F188" s="2" t="n">
        <v>0</v>
      </c>
      <c r="G188" s="2" t="n">
        <v>0</v>
      </c>
      <c r="H188" s="2"/>
      <c r="I188" s="14" t="str">
        <f aca="false">"Ingredient(name='"&amp;B188&amp;"', rate="&amp;D188&amp;", munit='"&amp;C188&amp;"',density_kg_per_lt='"&amp;E188&amp;"',density_pcs_per_kg='"&amp;E188&amp;"',density_pcs_per_lt='"&amp;E188&amp;"').save()"</f>
        <v>Ingredient(name='sugar', rate=0, munit='kg',density_kg_per_lt='0',density_pcs_per_kg='0',density_pcs_per_lt='0').save()</v>
      </c>
    </row>
    <row r="189" customFormat="false" ht="15" hidden="false" customHeight="false" outlineLevel="0" collapsed="false">
      <c r="A189" s="0" t="n">
        <v>188</v>
      </c>
      <c r="B189" s="0" t="s">
        <v>478</v>
      </c>
      <c r="C189" s="17" t="s">
        <v>7</v>
      </c>
      <c r="D189" s="2" t="n">
        <v>0</v>
      </c>
      <c r="E189" s="2" t="n">
        <v>0</v>
      </c>
      <c r="F189" s="2" t="n">
        <v>0</v>
      </c>
      <c r="G189" s="2" t="n">
        <v>0</v>
      </c>
      <c r="H189" s="2"/>
      <c r="I189" s="14" t="str">
        <f aca="false">"Ingredient(name='"&amp;B189&amp;"', rate="&amp;D189&amp;", munit='"&amp;C189&amp;"',density_kg_per_lt='"&amp;E189&amp;"',density_pcs_per_kg='"&amp;E189&amp;"',density_pcs_per_lt='"&amp;E189&amp;"').save()"</f>
        <v>Ingredient(name='sweet corn', rate=0, munit='kg',density_kg_per_lt='0',density_pcs_per_kg='0',density_pcs_per_lt='0').save()</v>
      </c>
    </row>
    <row r="190" customFormat="false" ht="15" hidden="false" customHeight="false" outlineLevel="0" collapsed="false">
      <c r="A190" s="0" t="n">
        <v>189</v>
      </c>
      <c r="B190" s="0" t="s">
        <v>479</v>
      </c>
      <c r="C190" s="17" t="s">
        <v>7</v>
      </c>
      <c r="D190" s="2" t="n">
        <v>0</v>
      </c>
      <c r="E190" s="2" t="n">
        <v>0</v>
      </c>
      <c r="F190" s="2" t="n">
        <v>0</v>
      </c>
      <c r="G190" s="2" t="n">
        <v>0</v>
      </c>
      <c r="H190" s="2"/>
      <c r="I190" s="14" t="str">
        <f aca="false">"Ingredient(name='"&amp;B190&amp;"', rate="&amp;D190&amp;", munit='"&amp;C190&amp;"',density_kg_per_lt='"&amp;E190&amp;"',density_pcs_per_kg='"&amp;E190&amp;"',density_pcs_per_lt='"&amp;E190&amp;"').save()"</f>
        <v>Ingredient(name='tahini paste', rate=0, munit='kg',density_kg_per_lt='0',density_pcs_per_kg='0',density_pcs_per_lt='0').save()</v>
      </c>
    </row>
    <row r="191" customFormat="false" ht="15" hidden="false" customHeight="false" outlineLevel="0" collapsed="false">
      <c r="A191" s="0" t="n">
        <v>190</v>
      </c>
      <c r="B191" s="0" t="s">
        <v>480</v>
      </c>
      <c r="C191" s="17" t="s">
        <v>7</v>
      </c>
      <c r="D191" s="2" t="n">
        <v>0</v>
      </c>
      <c r="E191" s="2" t="n">
        <v>0</v>
      </c>
      <c r="F191" s="2" t="n">
        <v>0</v>
      </c>
      <c r="G191" s="2" t="n">
        <v>0</v>
      </c>
      <c r="H191" s="2"/>
      <c r="I191" s="14" t="str">
        <f aca="false">"Ingredient(name='"&amp;B191&amp;"', rate="&amp;D191&amp;", munit='"&amp;C191&amp;"',density_kg_per_lt='"&amp;E191&amp;"',density_pcs_per_kg='"&amp;E191&amp;"',density_pcs_per_lt='"&amp;E191&amp;"').save()"</f>
        <v>Ingredient(name='tamrind', rate=0, munit='kg',density_kg_per_lt='0',density_pcs_per_kg='0',density_pcs_per_lt='0').save()</v>
      </c>
    </row>
    <row r="192" customFormat="false" ht="15" hidden="false" customHeight="false" outlineLevel="0" collapsed="false">
      <c r="A192" s="0" t="n">
        <v>191</v>
      </c>
      <c r="B192" s="0" t="s">
        <v>481</v>
      </c>
      <c r="C192" s="17" t="s">
        <v>7</v>
      </c>
      <c r="D192" s="2" t="n">
        <v>0</v>
      </c>
      <c r="E192" s="2" t="n">
        <v>0</v>
      </c>
      <c r="F192" s="2" t="n">
        <v>0</v>
      </c>
      <c r="G192" s="2" t="n">
        <v>0</v>
      </c>
      <c r="H192" s="2"/>
      <c r="I192" s="14" t="str">
        <f aca="false">"Ingredient(name='"&amp;B192&amp;"', rate="&amp;D192&amp;", munit='"&amp;C192&amp;"',density_kg_per_lt='"&amp;E192&amp;"',density_pcs_per_kg='"&amp;E192&amp;"',density_pcs_per_lt='"&amp;E192&amp;"').save()"</f>
        <v>Ingredient(name='tej patta', rate=0, munit='kg',density_kg_per_lt='0',density_pcs_per_kg='0',density_pcs_per_lt='0').save()</v>
      </c>
    </row>
    <row r="193" customFormat="false" ht="15" hidden="false" customHeight="false" outlineLevel="0" collapsed="false">
      <c r="A193" s="0" t="n">
        <v>192</v>
      </c>
      <c r="B193" s="0" t="s">
        <v>482</v>
      </c>
      <c r="C193" s="17" t="s">
        <v>7</v>
      </c>
      <c r="D193" s="2" t="n">
        <v>0</v>
      </c>
      <c r="E193" s="2" t="n">
        <v>0</v>
      </c>
      <c r="F193" s="2" t="n">
        <v>0</v>
      </c>
      <c r="G193" s="2" t="n">
        <v>0</v>
      </c>
      <c r="H193" s="2"/>
      <c r="I193" s="14" t="str">
        <f aca="false">"Ingredient(name='"&amp;B193&amp;"', rate="&amp;D193&amp;", munit='"&amp;C193&amp;"',density_kg_per_lt='"&amp;E193&amp;"',density_pcs_per_kg='"&amp;E193&amp;"',density_pcs_per_lt='"&amp;E193&amp;"').save()"</f>
        <v>Ingredient(name='thai ginger', rate=0, munit='kg',density_kg_per_lt='0',density_pcs_per_kg='0',density_pcs_per_lt='0').save()</v>
      </c>
    </row>
    <row r="194" customFormat="false" ht="15" hidden="false" customHeight="false" outlineLevel="0" collapsed="false">
      <c r="A194" s="0" t="n">
        <v>193</v>
      </c>
      <c r="B194" s="0" t="s">
        <v>483</v>
      </c>
      <c r="C194" s="17" t="s">
        <v>7</v>
      </c>
      <c r="D194" s="2" t="n">
        <v>0</v>
      </c>
      <c r="E194" s="2" t="n">
        <v>0</v>
      </c>
      <c r="F194" s="2" t="n">
        <v>0</v>
      </c>
      <c r="G194" s="2" t="n">
        <v>0</v>
      </c>
      <c r="H194" s="2"/>
      <c r="I194" s="14" t="str">
        <f aca="false">"Ingredient(name='"&amp;B194&amp;"', rate="&amp;D194&amp;", munit='"&amp;C194&amp;"',density_kg_per_lt='"&amp;E194&amp;"',density_pcs_per_kg='"&amp;E194&amp;"',density_pcs_per_lt='"&amp;E194&amp;"').save()"</f>
        <v>Ingredient(name='thyme', rate=0, munit='kg',density_kg_per_lt='0',density_pcs_per_kg='0',density_pcs_per_lt='0').save()</v>
      </c>
    </row>
    <row r="195" customFormat="false" ht="15" hidden="false" customHeight="false" outlineLevel="0" collapsed="false">
      <c r="A195" s="0" t="n">
        <v>194</v>
      </c>
      <c r="B195" s="0" t="s">
        <v>484</v>
      </c>
      <c r="C195" s="17" t="s">
        <v>7</v>
      </c>
      <c r="D195" s="2" t="n">
        <v>0</v>
      </c>
      <c r="E195" s="2" t="n">
        <v>0</v>
      </c>
      <c r="F195" s="2" t="n">
        <v>0</v>
      </c>
      <c r="G195" s="2" t="n">
        <v>0</v>
      </c>
      <c r="H195" s="2"/>
      <c r="I195" s="14" t="str">
        <f aca="false">"Ingredient(name='"&amp;B195&amp;"', rate="&amp;D195&amp;", munit='"&amp;C195&amp;"',density_kg_per_lt='"&amp;E195&amp;"',density_pcs_per_kg='"&amp;E195&amp;"',density_pcs_per_lt='"&amp;E195&amp;"').save()"</f>
        <v>Ingredient(name='til oil', rate=0, munit='kg',density_kg_per_lt='0',density_pcs_per_kg='0',density_pcs_per_lt='0').save()</v>
      </c>
    </row>
    <row r="196" customFormat="false" ht="15" hidden="false" customHeight="false" outlineLevel="0" collapsed="false">
      <c r="A196" s="0" t="n">
        <v>195</v>
      </c>
      <c r="B196" s="0" t="s">
        <v>485</v>
      </c>
      <c r="C196" s="17" t="s">
        <v>7</v>
      </c>
      <c r="D196" s="2" t="n">
        <v>0</v>
      </c>
      <c r="E196" s="2" t="n">
        <v>0</v>
      </c>
      <c r="F196" s="2" t="n">
        <v>0</v>
      </c>
      <c r="G196" s="2" t="n">
        <v>0</v>
      </c>
      <c r="H196" s="2"/>
      <c r="I196" s="14" t="str">
        <f aca="false">"Ingredient(name='"&amp;B196&amp;"', rate="&amp;D196&amp;", munit='"&amp;C196&amp;"',density_kg_per_lt='"&amp;E196&amp;"',density_pcs_per_kg='"&amp;E196&amp;"',density_pcs_per_lt='"&amp;E196&amp;"').save()"</f>
        <v>Ingredient(name='tomato', rate=0, munit='kg',density_kg_per_lt='0',density_pcs_per_kg='0',density_pcs_per_lt='0').save()</v>
      </c>
    </row>
    <row r="197" customFormat="false" ht="15" hidden="false" customHeight="false" outlineLevel="0" collapsed="false">
      <c r="A197" s="0" t="n">
        <v>196</v>
      </c>
      <c r="B197" s="0" t="s">
        <v>486</v>
      </c>
      <c r="C197" s="17" t="s">
        <v>7</v>
      </c>
      <c r="D197" s="2" t="n">
        <v>0</v>
      </c>
      <c r="E197" s="2" t="n">
        <v>0</v>
      </c>
      <c r="F197" s="2" t="n">
        <v>0</v>
      </c>
      <c r="G197" s="2" t="n">
        <v>0</v>
      </c>
      <c r="H197" s="2"/>
      <c r="I197" s="14" t="str">
        <f aca="false">"Ingredient(name='"&amp;B197&amp;"', rate="&amp;D197&amp;", munit='"&amp;C197&amp;"',density_kg_per_lt='"&amp;E197&amp;"',density_pcs_per_kg='"&amp;E197&amp;"',density_pcs_per_lt='"&amp;E197&amp;"').save()"</f>
        <v>Ingredient(name='tomato sauce', rate=0, munit='kg',density_kg_per_lt='0',density_pcs_per_kg='0',density_pcs_per_lt='0').save()</v>
      </c>
    </row>
    <row r="198" customFormat="false" ht="15" hidden="false" customHeight="false" outlineLevel="0" collapsed="false">
      <c r="A198" s="0" t="n">
        <v>197</v>
      </c>
      <c r="B198" s="0" t="s">
        <v>487</v>
      </c>
      <c r="C198" s="17" t="s">
        <v>7</v>
      </c>
      <c r="D198" s="2" t="n">
        <v>0</v>
      </c>
      <c r="E198" s="2" t="n">
        <v>0</v>
      </c>
      <c r="F198" s="2" t="n">
        <v>0</v>
      </c>
      <c r="G198" s="2" t="n">
        <v>0</v>
      </c>
      <c r="H198" s="2"/>
      <c r="I198" s="14" t="str">
        <f aca="false">"Ingredient(name='"&amp;B198&amp;"', rate="&amp;D198&amp;", munit='"&amp;C198&amp;"',density_kg_per_lt='"&amp;E198&amp;"',density_pcs_per_kg='"&amp;E198&amp;"',density_pcs_per_lt='"&amp;E198&amp;"').save()"</f>
        <v>Ingredient(name='tulsi tomato sauce', rate=0, munit='kg',density_kg_per_lt='0',density_pcs_per_kg='0',density_pcs_per_lt='0').save()</v>
      </c>
    </row>
    <row r="199" customFormat="false" ht="15" hidden="false" customHeight="false" outlineLevel="0" collapsed="false">
      <c r="A199" s="0" t="n">
        <v>198</v>
      </c>
      <c r="B199" s="0" t="s">
        <v>488</v>
      </c>
      <c r="C199" s="17" t="s">
        <v>7</v>
      </c>
      <c r="D199" s="2" t="n">
        <v>0</v>
      </c>
      <c r="E199" s="2" t="n">
        <v>0</v>
      </c>
      <c r="F199" s="2" t="n">
        <v>0</v>
      </c>
      <c r="G199" s="2" t="n">
        <v>0</v>
      </c>
      <c r="H199" s="2"/>
      <c r="I199" s="14" t="str">
        <f aca="false">"Ingredient(name='"&amp;B199&amp;"', rate="&amp;D199&amp;", munit='"&amp;C199&amp;"',density_kg_per_lt='"&amp;E199&amp;"',density_pcs_per_kg='"&amp;E199&amp;"',density_pcs_per_lt='"&amp;E199&amp;"').save()"</f>
        <v>Ingredient(name='tur dal', rate=0, munit='kg',density_kg_per_lt='0',density_pcs_per_kg='0',density_pcs_per_lt='0').save()</v>
      </c>
    </row>
    <row r="200" customFormat="false" ht="15" hidden="false" customHeight="false" outlineLevel="0" collapsed="false">
      <c r="A200" s="0" t="n">
        <v>199</v>
      </c>
      <c r="B200" s="0" t="s">
        <v>359</v>
      </c>
      <c r="C200" s="17" t="s">
        <v>7</v>
      </c>
      <c r="D200" s="2" t="n">
        <v>0</v>
      </c>
      <c r="E200" s="2" t="n">
        <v>0</v>
      </c>
      <c r="F200" s="2" t="n">
        <v>0</v>
      </c>
      <c r="G200" s="2" t="n">
        <v>0</v>
      </c>
      <c r="H200" s="2"/>
      <c r="I200" s="14" t="str">
        <f aca="false">"Ingredient(name='"&amp;B200&amp;"', rate="&amp;D200&amp;", munit='"&amp;C200&amp;"',density_kg_per_lt='"&amp;E200&amp;"',density_pcs_per_kg='"&amp;E200&amp;"',density_pcs_per_lt='"&amp;E200&amp;"').save()"</f>
        <v>Ingredient(name='upma', rate=0, munit='kg',density_kg_per_lt='0',density_pcs_per_kg='0',density_pcs_per_lt='0').save()</v>
      </c>
    </row>
    <row r="201" customFormat="false" ht="15" hidden="false" customHeight="false" outlineLevel="0" collapsed="false">
      <c r="A201" s="0" t="n">
        <v>200</v>
      </c>
      <c r="B201" s="0" t="s">
        <v>489</v>
      </c>
      <c r="C201" s="17" t="s">
        <v>7</v>
      </c>
      <c r="D201" s="2" t="n">
        <v>0</v>
      </c>
      <c r="E201" s="2" t="n">
        <v>0</v>
      </c>
      <c r="F201" s="2" t="n">
        <v>0</v>
      </c>
      <c r="G201" s="2" t="n">
        <v>0</v>
      </c>
      <c r="H201" s="2"/>
      <c r="I201" s="14" t="str">
        <f aca="false">"Ingredient(name='"&amp;B201&amp;"', rate="&amp;D201&amp;", munit='"&amp;C201&amp;"',density_kg_per_lt='"&amp;E201&amp;"',density_pcs_per_kg='"&amp;E201&amp;"',density_pcs_per_lt='"&amp;E201&amp;"').save()"</f>
        <v>Ingredient(name='urad dal', rate=0, munit='kg',density_kg_per_lt='0',density_pcs_per_kg='0',density_pcs_per_lt='0').save()</v>
      </c>
    </row>
    <row r="202" customFormat="false" ht="15" hidden="false" customHeight="false" outlineLevel="0" collapsed="false">
      <c r="A202" s="0" t="n">
        <v>201</v>
      </c>
      <c r="B202" s="0" t="s">
        <v>490</v>
      </c>
      <c r="C202" s="17" t="s">
        <v>7</v>
      </c>
      <c r="D202" s="2" t="n">
        <v>0</v>
      </c>
      <c r="E202" s="2" t="n">
        <v>0</v>
      </c>
      <c r="F202" s="2" t="n">
        <v>0</v>
      </c>
      <c r="G202" s="2" t="n">
        <v>0</v>
      </c>
      <c r="H202" s="2"/>
      <c r="I202" s="14" t="str">
        <f aca="false">"Ingredient(name='"&amp;B202&amp;"', rate="&amp;D202&amp;", munit='"&amp;C202&amp;"',density_kg_per_lt='"&amp;E202&amp;"',density_pcs_per_kg='"&amp;E202&amp;"',density_pcs_per_lt='"&amp;E202&amp;"').save()"</f>
        <v>Ingredient(name='varai', rate=0, munit='kg',density_kg_per_lt='0',density_pcs_per_kg='0',density_pcs_per_lt='0').save()</v>
      </c>
    </row>
    <row r="203" customFormat="false" ht="15" hidden="false" customHeight="false" outlineLevel="0" collapsed="false">
      <c r="A203" s="0" t="n">
        <v>202</v>
      </c>
      <c r="B203" s="0" t="s">
        <v>491</v>
      </c>
      <c r="C203" s="17" t="s">
        <v>7</v>
      </c>
      <c r="D203" s="2" t="n">
        <v>0</v>
      </c>
      <c r="E203" s="2" t="n">
        <v>0</v>
      </c>
      <c r="F203" s="2" t="n">
        <v>0</v>
      </c>
      <c r="G203" s="2" t="n">
        <v>0</v>
      </c>
      <c r="H203" s="2"/>
      <c r="I203" s="14" t="str">
        <f aca="false">"Ingredient(name='"&amp;B203&amp;"', rate="&amp;D203&amp;", munit='"&amp;C203&amp;"',density_kg_per_lt='"&amp;E203&amp;"',density_pcs_per_kg='"&amp;E203&amp;"',density_pcs_per_lt='"&amp;E203&amp;"').save()"</f>
        <v>Ingredient(name='vermicilly', rate=0, munit='kg',density_kg_per_lt='0',density_pcs_per_kg='0',density_pcs_per_lt='0').save()</v>
      </c>
    </row>
    <row r="204" customFormat="false" ht="15" hidden="false" customHeight="false" outlineLevel="0" collapsed="false">
      <c r="A204" s="0" t="n">
        <v>203</v>
      </c>
      <c r="B204" s="0" t="s">
        <v>492</v>
      </c>
      <c r="C204" s="17" t="s">
        <v>7</v>
      </c>
      <c r="D204" s="2" t="n">
        <v>0</v>
      </c>
      <c r="E204" s="2" t="n">
        <v>0</v>
      </c>
      <c r="F204" s="2" t="n">
        <v>0</v>
      </c>
      <c r="G204" s="2" t="n">
        <v>0</v>
      </c>
      <c r="H204" s="2"/>
      <c r="I204" s="14" t="str">
        <f aca="false">"Ingredient(name='"&amp;B204&amp;"', rate="&amp;D204&amp;", munit='"&amp;C204&amp;"',density_kg_per_lt='"&amp;E204&amp;"',density_pcs_per_kg='"&amp;E204&amp;"',density_pcs_per_lt='"&amp;E204&amp;"').save()"</f>
        <v>Ingredient(name='watana', rate=0, munit='kg',density_kg_per_lt='0',density_pcs_per_kg='0',density_pcs_per_lt='0').save()</v>
      </c>
    </row>
    <row r="205" customFormat="false" ht="15" hidden="false" customHeight="false" outlineLevel="0" collapsed="false">
      <c r="A205" s="0" t="n">
        <v>204</v>
      </c>
      <c r="B205" s="0" t="s">
        <v>493</v>
      </c>
      <c r="C205" s="17" t="s">
        <v>7</v>
      </c>
      <c r="D205" s="2" t="n">
        <v>0</v>
      </c>
      <c r="E205" s="2" t="n">
        <v>0</v>
      </c>
      <c r="F205" s="2" t="n">
        <v>0</v>
      </c>
      <c r="G205" s="2" t="n">
        <v>0</v>
      </c>
      <c r="H205" s="2"/>
      <c r="I205" s="14" t="str">
        <f aca="false">"Ingredient(name='"&amp;B205&amp;"', rate="&amp;D205&amp;", munit='"&amp;C205&amp;"',density_kg_per_lt='"&amp;E205&amp;"',density_pcs_per_kg='"&amp;E205&amp;"',density_pcs_per_lt='"&amp;E205&amp;"').save()"</f>
        <v>Ingredient(name='wheat flour', rate=0, munit='kg',density_kg_per_lt='0',density_pcs_per_kg='0',density_pcs_per_lt='0').save()</v>
      </c>
    </row>
    <row r="206" customFormat="false" ht="15" hidden="false" customHeight="false" outlineLevel="0" collapsed="false">
      <c r="A206" s="0" t="n">
        <v>205</v>
      </c>
      <c r="B206" s="0" t="s">
        <v>494</v>
      </c>
      <c r="C206" s="17" t="s">
        <v>7</v>
      </c>
      <c r="D206" s="2" t="n">
        <v>0</v>
      </c>
      <c r="E206" s="2" t="n">
        <v>0</v>
      </c>
      <c r="F206" s="2" t="n">
        <v>0</v>
      </c>
      <c r="G206" s="2" t="n">
        <v>0</v>
      </c>
      <c r="H206" s="2"/>
      <c r="I206" s="14" t="str">
        <f aca="false">"Ingredient(name='"&amp;B206&amp;"', rate="&amp;D206&amp;", munit='"&amp;C206&amp;"',density_kg_per_lt='"&amp;E206&amp;"',density_pcs_per_kg='"&amp;E206&amp;"',density_pcs_per_lt='"&amp;E206&amp;"').save()"</f>
        <v>Ingredient(name='white pepper powder', rate=0, munit='kg',density_kg_per_lt='0',density_pcs_per_kg='0',density_pcs_per_lt='0').save()</v>
      </c>
    </row>
    <row r="207" customFormat="false" ht="15" hidden="false" customHeight="false" outlineLevel="0" collapsed="false">
      <c r="A207" s="0" t="n">
        <v>206</v>
      </c>
      <c r="B207" s="0" t="s">
        <v>495</v>
      </c>
      <c r="C207" s="17" t="s">
        <v>7</v>
      </c>
      <c r="D207" s="2" t="n">
        <v>0</v>
      </c>
      <c r="E207" s="2" t="n">
        <v>0</v>
      </c>
      <c r="F207" s="2" t="n">
        <v>0</v>
      </c>
      <c r="G207" s="2" t="n">
        <v>0</v>
      </c>
      <c r="H207" s="2"/>
      <c r="I207" s="14" t="str">
        <f aca="false">"Ingredient(name='"&amp;B207&amp;"', rate="&amp;D207&amp;", munit='"&amp;C207&amp;"',density_kg_per_lt='"&amp;E207&amp;"',density_pcs_per_kg='"&amp;E207&amp;"',density_pcs_per_lt='"&amp;E207&amp;"').save()"</f>
        <v>Ingredient(name='white til', rate=0, munit='kg',density_kg_per_lt='0',density_pcs_per_kg='0',density_pcs_per_lt='0').save()</v>
      </c>
    </row>
    <row r="208" customFormat="false" ht="15" hidden="false" customHeight="false" outlineLevel="0" collapsed="false">
      <c r="A208" s="0" t="n">
        <v>207</v>
      </c>
      <c r="B208" s="0" t="s">
        <v>496</v>
      </c>
      <c r="C208" s="17" t="s">
        <v>7</v>
      </c>
      <c r="D208" s="2" t="n">
        <v>0</v>
      </c>
      <c r="E208" s="2" t="n">
        <v>0</v>
      </c>
      <c r="F208" s="2" t="n">
        <v>0</v>
      </c>
      <c r="G208" s="2" t="n">
        <v>0</v>
      </c>
      <c r="H208" s="2"/>
      <c r="I208" s="14" t="str">
        <f aca="false">"Ingredient(name='"&amp;B208&amp;"', rate="&amp;D208&amp;", munit='"&amp;C208&amp;"',density_kg_per_lt='"&amp;E208&amp;"',density_pcs_per_kg='"&amp;E208&amp;"',density_pcs_per_lt='"&amp;E208&amp;"').save()"</f>
        <v>Ingredient(name='whole wheat flour', rate=0, munit='kg',density_kg_per_lt='0',density_pcs_per_kg='0',density_pcs_per_lt='0').save()</v>
      </c>
    </row>
    <row r="209" customFormat="false" ht="15" hidden="false" customHeight="false" outlineLevel="0" collapsed="false">
      <c r="A209" s="0" t="n">
        <v>208</v>
      </c>
      <c r="B209" s="0" t="s">
        <v>497</v>
      </c>
      <c r="C209" s="17" t="s">
        <v>7</v>
      </c>
      <c r="D209" s="2" t="n">
        <v>0</v>
      </c>
      <c r="E209" s="2" t="n">
        <v>0</v>
      </c>
      <c r="F209" s="2" t="n">
        <v>0</v>
      </c>
      <c r="G209" s="2" t="n">
        <v>0</v>
      </c>
      <c r="H209" s="2"/>
      <c r="I209" s="14" t="str">
        <f aca="false">"Ingredient(name='"&amp;B209&amp;"', rate="&amp;D209&amp;", munit='"&amp;C209&amp;"',density_kg_per_lt='"&amp;E209&amp;"',density_pcs_per_kg='"&amp;E209&amp;"',density_pcs_per_lt='"&amp;E209&amp;"').save()"</f>
        <v>Ingredient(name='yeast', rate=0, munit='kg',density_kg_per_lt='0',density_pcs_per_kg='0',density_pcs_per_lt='0').save()</v>
      </c>
    </row>
    <row r="210" customFormat="false" ht="15" hidden="false" customHeight="false" outlineLevel="0" collapsed="false">
      <c r="A210" s="0" t="n">
        <v>209</v>
      </c>
      <c r="B210" s="0" t="s">
        <v>498</v>
      </c>
      <c r="C210" s="17" t="s">
        <v>7</v>
      </c>
      <c r="D210" s="2" t="n">
        <v>0</v>
      </c>
      <c r="E210" s="2" t="n">
        <v>0</v>
      </c>
      <c r="F210" s="2" t="n">
        <v>0</v>
      </c>
      <c r="G210" s="2" t="n">
        <v>0</v>
      </c>
      <c r="H210" s="2"/>
      <c r="I210" s="14" t="str">
        <f aca="false">"Ingredient(name='"&amp;B210&amp;"', rate="&amp;D210&amp;", munit='"&amp;C210&amp;"',density_kg_per_lt='"&amp;E210&amp;"',density_pcs_per_kg='"&amp;E210&amp;"',density_pcs_per_lt='"&amp;E210&amp;"').save()"</f>
        <v>Ingredient(name='yellow capsicum', rate=0, munit='kg',density_kg_per_lt='0',density_pcs_per_kg='0',density_pcs_per_lt='0').save()</v>
      </c>
    </row>
    <row r="211" customFormat="false" ht="15" hidden="false" customHeight="false" outlineLevel="0" collapsed="false">
      <c r="A211" s="0" t="n">
        <v>210</v>
      </c>
      <c r="B211" s="0" t="s">
        <v>499</v>
      </c>
      <c r="C211" s="17" t="s">
        <v>7</v>
      </c>
      <c r="D211" s="2" t="n">
        <v>0</v>
      </c>
      <c r="E211" s="2" t="n">
        <v>0</v>
      </c>
      <c r="F211" s="2" t="n">
        <v>0</v>
      </c>
      <c r="G211" s="2" t="n">
        <v>0</v>
      </c>
      <c r="H211" s="2"/>
      <c r="I211" s="14" t="str">
        <f aca="false">"Ingredient(name='"&amp;B211&amp;"', rate="&amp;D211&amp;", munit='"&amp;C211&amp;"',density_kg_per_lt='"&amp;E211&amp;"',density_pcs_per_kg='"&amp;E211&amp;"',density_pcs_per_lt='"&amp;E211&amp;"').save()"</f>
        <v>Ingredient(name='zucchini', rate=0, munit='kg',density_kg_per_lt='0',density_pcs_per_kg='0',density_pcs_per_lt='0').save()</v>
      </c>
    </row>
    <row r="212" customFormat="false" ht="15" hidden="false" customHeight="false" outlineLevel="0" collapsed="false">
      <c r="A212" s="0" t="n">
        <v>211</v>
      </c>
      <c r="B212" s="1" t="s">
        <v>500</v>
      </c>
      <c r="C212" s="17" t="s">
        <v>7</v>
      </c>
      <c r="D212" s="2" t="n">
        <v>0</v>
      </c>
      <c r="E212" s="2" t="n">
        <v>0</v>
      </c>
      <c r="F212" s="2" t="n">
        <v>0</v>
      </c>
      <c r="G212" s="2" t="n">
        <v>0</v>
      </c>
      <c r="H212" s="2"/>
      <c r="I212" s="14" t="str">
        <f aca="false">"Ingredient(name='"&amp;B212&amp;"', rate="&amp;D212&amp;", munit='"&amp;C212&amp;"',density_kg_per_lt='"&amp;E212&amp;"',density_pcs_per_kg='"&amp;E212&amp;"',density_pcs_per_lt='"&amp;E212&amp;"').save()"</f>
        <v>Ingredient(name='chok', rate=0, munit='kg',density_kg_per_lt='0',density_pcs_per_kg='0',density_pcs_per_lt='0').save()</v>
      </c>
    </row>
    <row r="213" customFormat="false" ht="15" hidden="false" customHeight="false" outlineLevel="0" collapsed="false">
      <c r="A213" s="0" t="n">
        <v>212</v>
      </c>
      <c r="B213" s="1" t="s">
        <v>501</v>
      </c>
      <c r="C213" s="17" t="s">
        <v>7</v>
      </c>
      <c r="D213" s="2" t="n">
        <v>0</v>
      </c>
      <c r="E213" s="2" t="n">
        <v>0</v>
      </c>
      <c r="F213" s="2" t="n">
        <v>0</v>
      </c>
      <c r="G213" s="2" t="n">
        <v>0</v>
      </c>
      <c r="H213" s="2"/>
      <c r="I213" s="14" t="str">
        <f aca="false">"Ingredient(name='"&amp;B213&amp;"', rate="&amp;D213&amp;", munit='"&amp;C213&amp;"',density_kg_per_lt='"&amp;E213&amp;"',density_pcs_per_kg='"&amp;E213&amp;"',density_pcs_per_lt='"&amp;E213&amp;"').save()"</f>
        <v>Ingredient(name='tadka', rate=0, munit='kg',density_kg_per_lt='0',density_pcs_per_kg='0',density_pcs_per_lt='0').save()</v>
      </c>
    </row>
    <row r="214" customFormat="false" ht="15" hidden="false" customHeight="false" outlineLevel="0" collapsed="false">
      <c r="A214" s="0" t="n">
        <v>213</v>
      </c>
      <c r="B214" s="0" t="s">
        <v>502</v>
      </c>
      <c r="C214" s="17" t="s">
        <v>7</v>
      </c>
      <c r="D214" s="2" t="n">
        <v>0</v>
      </c>
      <c r="E214" s="2" t="n">
        <v>0</v>
      </c>
      <c r="F214" s="2" t="n">
        <v>0</v>
      </c>
      <c r="G214" s="2" t="n">
        <v>0</v>
      </c>
      <c r="H214" s="2"/>
      <c r="I214" s="14" t="str">
        <f aca="false">"Ingredient(name='"&amp;B214&amp;"', rate="&amp;D214&amp;", munit='"&amp;C214&amp;"',density_kg_per_lt='"&amp;E214&amp;"',density_pcs_per_kg='"&amp;E214&amp;"',density_pcs_per_lt='"&amp;E214&amp;"').save()"</f>
        <v>Ingredient(name='VEGETABLE STOCK', rate=0, munit='kg',density_kg_per_lt='0',density_pcs_per_kg='0',density_pcs_per_lt='0').save()</v>
      </c>
    </row>
    <row r="215" customFormat="false" ht="15" hidden="false" customHeight="false" outlineLevel="0" collapsed="false">
      <c r="A215" s="0" t="n">
        <v>214</v>
      </c>
      <c r="B215" s="1" t="s">
        <v>503</v>
      </c>
      <c r="C215" s="17" t="s">
        <v>7</v>
      </c>
      <c r="D215" s="2" t="n">
        <v>0</v>
      </c>
      <c r="E215" s="2" t="n">
        <v>0</v>
      </c>
      <c r="F215" s="2" t="n">
        <v>0</v>
      </c>
      <c r="G215" s="2" t="n">
        <v>0</v>
      </c>
      <c r="H215" s="2"/>
      <c r="I215" s="14" t="str">
        <f aca="false">"Ingredient(name='"&amp;B215&amp;"', rate="&amp;D215&amp;", munit='"&amp;C215&amp;"',density_kg_per_lt='"&amp;E215&amp;"',density_pcs_per_kg='"&amp;E215&amp;"',density_pcs_per_lt='"&amp;E215&amp;"').save()"</f>
        <v>Ingredient(name='water', rate=0, munit='kg',density_kg_per_lt='0',density_pcs_per_kg='0',density_pcs_per_lt='0').save()</v>
      </c>
    </row>
    <row r="216" customFormat="false" ht="15" hidden="false" customHeight="false" outlineLevel="0" collapsed="false">
      <c r="A216" s="0" t="n">
        <v>215</v>
      </c>
      <c r="B216" s="1" t="s">
        <v>504</v>
      </c>
      <c r="C216" s="17" t="s">
        <v>7</v>
      </c>
      <c r="D216" s="2" t="n">
        <v>0</v>
      </c>
      <c r="E216" s="2" t="n">
        <v>0</v>
      </c>
      <c r="F216" s="2" t="n">
        <v>0</v>
      </c>
      <c r="G216" s="2" t="n">
        <v>0</v>
      </c>
      <c r="H216" s="2"/>
      <c r="I216" s="14" t="str">
        <f aca="false">"Ingredient(name='"&amp;B216&amp;"', rate="&amp;D216&amp;", munit='"&amp;C216&amp;"',density_kg_per_lt='"&amp;E216&amp;"',density_pcs_per_kg='"&amp;E216&amp;"',density_pcs_per_lt='"&amp;E216&amp;"').save()"</f>
        <v>Ingredient(name='salli', rate=0, munit='kg',density_kg_per_lt='0',density_pcs_per_kg='0',density_pcs_per_lt='0').save()</v>
      </c>
    </row>
    <row r="217" customFormat="false" ht="15" hidden="false" customHeight="false" outlineLevel="0" collapsed="false">
      <c r="A217" s="0" t="n">
        <v>216</v>
      </c>
      <c r="B217" s="1" t="s">
        <v>92</v>
      </c>
      <c r="C217" s="17" t="s">
        <v>7</v>
      </c>
      <c r="D217" s="2" t="n">
        <v>0</v>
      </c>
      <c r="E217" s="2" t="n">
        <v>0</v>
      </c>
      <c r="F217" s="2" t="n">
        <v>0</v>
      </c>
      <c r="G217" s="2" t="n">
        <v>0</v>
      </c>
      <c r="H217" s="2"/>
      <c r="I217" s="14" t="str">
        <f aca="false">"Ingredient(name='"&amp;B217&amp;"', rate="&amp;D217&amp;", munit='"&amp;C217&amp;"',density_kg_per_lt='"&amp;E217&amp;"',density_pcs_per_kg='"&amp;E217&amp;"',density_pcs_per_lt='"&amp;E217&amp;"').save()"</f>
        <v>Ingredient(name='oil for frying', rate=0, munit='kg',density_kg_per_lt='0',density_pcs_per_kg='0',density_pcs_per_lt='0').save()</v>
      </c>
    </row>
    <row r="218" customFormat="false" ht="15" hidden="false" customHeight="false" outlineLevel="0" collapsed="false">
      <c r="A218" s="0" t="n">
        <v>217</v>
      </c>
      <c r="B218" s="43" t="s">
        <v>51</v>
      </c>
      <c r="C218" s="17" t="s">
        <v>7</v>
      </c>
      <c r="D218" s="2" t="n">
        <v>0</v>
      </c>
      <c r="E218" s="2" t="n">
        <v>0</v>
      </c>
      <c r="F218" s="2" t="n">
        <v>0</v>
      </c>
      <c r="G218" s="2" t="n">
        <v>0</v>
      </c>
      <c r="H218" s="2"/>
      <c r="I218" s="14" t="str">
        <f aca="false">"Ingredient(name='"&amp;B218&amp;"', rate="&amp;D218&amp;", munit='"&amp;C218&amp;"',density_kg_per_lt='"&amp;E218&amp;"',density_pcs_per_kg='"&amp;E218&amp;"',density_pcs_per_lt='"&amp;E218&amp;"').save()"</f>
        <v>Ingredient(name='Boiled vegetables puree', rate=0, munit='kg',density_kg_per_lt='0',density_pcs_per_kg='0',density_pcs_per_lt='0').save()</v>
      </c>
    </row>
    <row r="219" customFormat="false" ht="15" hidden="false" customHeight="false" outlineLevel="0" collapsed="false">
      <c r="A219" s="0" t="n">
        <v>218</v>
      </c>
      <c r="B219" s="0" t="s">
        <v>505</v>
      </c>
      <c r="C219" s="17" t="s">
        <v>7</v>
      </c>
      <c r="D219" s="2" t="n">
        <v>0</v>
      </c>
      <c r="E219" s="2" t="n">
        <v>0</v>
      </c>
      <c r="F219" s="2" t="n">
        <v>0</v>
      </c>
      <c r="G219" s="2" t="n">
        <v>0</v>
      </c>
      <c r="H219" s="2"/>
      <c r="I219" s="14" t="str">
        <f aca="false">"Ingredient(name='"&amp;B219&amp;"', rate="&amp;D219&amp;", munit='"&amp;C219&amp;"',density_kg_per_lt='"&amp;E219&amp;"',density_pcs_per_kg='"&amp;E219&amp;"',density_pcs_per_lt='"&amp;E219&amp;"').save()"</f>
        <v>Ingredient(name='rocket leaves', rate=0, munit='kg',density_kg_per_lt='0',density_pcs_per_kg='0',density_pcs_per_lt='0').save()</v>
      </c>
    </row>
    <row r="220" customFormat="false" ht="15" hidden="false" customHeight="false" outlineLevel="0" collapsed="false">
      <c r="A220" s="0" t="n">
        <v>219</v>
      </c>
      <c r="B220" s="1" t="s">
        <v>506</v>
      </c>
      <c r="C220" s="17" t="s">
        <v>7</v>
      </c>
      <c r="D220" s="2" t="n">
        <v>0</v>
      </c>
      <c r="E220" s="2" t="n">
        <v>0</v>
      </c>
      <c r="F220" s="2" t="n">
        <v>0</v>
      </c>
      <c r="G220" s="2" t="n">
        <v>0</v>
      </c>
      <c r="H220" s="2"/>
      <c r="I220" s="14" t="str">
        <f aca="false">"Ingredient(name='"&amp;B220&amp;"', rate="&amp;D220&amp;", munit='"&amp;C220&amp;"',density_kg_per_lt='"&amp;E220&amp;"',density_pcs_per_kg='"&amp;E220&amp;"',density_pcs_per_lt='"&amp;E220&amp;"').save()"</f>
        <v>Ingredient(name='coal', rate=0, munit='kg',density_kg_per_lt='0',density_pcs_per_kg='0',density_pcs_per_lt='0').save()</v>
      </c>
    </row>
    <row r="221" customFormat="false" ht="15" hidden="false" customHeight="false" outlineLevel="0" collapsed="false">
      <c r="A221" s="0" t="n">
        <v>220</v>
      </c>
      <c r="B221" s="78" t="s">
        <v>93</v>
      </c>
      <c r="C221" s="17" t="s">
        <v>7</v>
      </c>
      <c r="D221" s="2" t="n">
        <v>0</v>
      </c>
      <c r="E221" s="2" t="n">
        <v>0</v>
      </c>
      <c r="F221" s="2" t="n">
        <v>0</v>
      </c>
      <c r="G221" s="2" t="n">
        <v>0</v>
      </c>
      <c r="H221" s="2"/>
      <c r="I221" s="14" t="str">
        <f aca="false">"Ingredient(name='"&amp;B221&amp;"', rate="&amp;D221&amp;", munit='"&amp;C221&amp;"',density_kg_per_lt='"&amp;E221&amp;"',density_pcs_per_kg='"&amp;E221&amp;"',density_pcs_per_lt='"&amp;E221&amp;"').save()"</f>
        <v>Ingredient(name='Potato Chips', rate=0, munit='kg',density_kg_per_lt='0',density_pcs_per_kg='0',density_pcs_per_lt='0').save()</v>
      </c>
    </row>
    <row r="222" customFormat="false" ht="15" hidden="false" customHeight="false" outlineLevel="0" collapsed="false">
      <c r="A222" s="0" t="n">
        <v>221</v>
      </c>
      <c r="B222" s="79" t="s">
        <v>508</v>
      </c>
      <c r="C222" s="17" t="s">
        <v>7</v>
      </c>
      <c r="D222" s="2" t="n">
        <v>0</v>
      </c>
      <c r="E222" s="2" t="n">
        <v>0</v>
      </c>
      <c r="F222" s="2" t="n">
        <v>0</v>
      </c>
      <c r="G222" s="2" t="n">
        <v>0</v>
      </c>
      <c r="H222" s="2"/>
      <c r="I222" s="14" t="str">
        <f aca="false">"Ingredient(name='"&amp;B222&amp;"', rate="&amp;D222&amp;", munit='"&amp;C222&amp;"',density_kg_per_lt='"&amp;E222&amp;"',density_pcs_per_kg='"&amp;E222&amp;"',density_pcs_per_lt='"&amp;E222&amp;"').save()"</f>
        <v>Ingredient(name='masala for bhel sabji', rate=0, munit='kg',density_kg_per_lt='0',density_pcs_per_kg='0',density_pcs_per_lt='0').save()</v>
      </c>
    </row>
    <row r="223" customFormat="false" ht="15" hidden="false" customHeight="false" outlineLevel="0" collapsed="false">
      <c r="A223" s="0" t="n">
        <v>222</v>
      </c>
      <c r="B223" s="79" t="s">
        <v>509</v>
      </c>
      <c r="C223" s="17" t="s">
        <v>7</v>
      </c>
      <c r="D223" s="2" t="n">
        <v>0</v>
      </c>
      <c r="E223" s="2" t="n">
        <v>0</v>
      </c>
      <c r="F223" s="2" t="n">
        <v>0</v>
      </c>
      <c r="G223" s="2" t="n">
        <v>0</v>
      </c>
      <c r="H223" s="2"/>
      <c r="I223" s="14" t="str">
        <f aca="false">"Ingredient(name='"&amp;B223&amp;"', rate="&amp;D223&amp;", munit='"&amp;C223&amp;"',density_kg_per_lt='"&amp;E223&amp;"',density_pcs_per_kg='"&amp;E223&amp;"',density_pcs_per_lt='"&amp;E223&amp;"').save()"</f>
        <v>Ingredient(name='masala for 6 kg batch', rate=0, munit='kg',density_kg_per_lt='0',density_pcs_per_kg='0',density_pcs_per_lt='0').save()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M318"/>
  <sheetViews>
    <sheetView showFormulas="false" showGridLines="true" showRowColHeaders="true" showZeros="true" rightToLeft="false" tabSelected="false" showOutlineSymbols="true" defaultGridColor="true" view="normal" topLeftCell="A207" colorId="64" zoomScale="85" zoomScaleNormal="85" zoomScalePageLayoutView="100" workbookViewId="0">
      <selection pane="topLeft" activeCell="H225" activeCellId="0" sqref="H225"/>
    </sheetView>
  </sheetViews>
  <sheetFormatPr defaultRowHeight="15" outlineLevelRow="0" outlineLevelCol="0"/>
  <cols>
    <col collapsed="false" customWidth="true" hidden="false" outlineLevel="0" max="1" min="1" style="0" width="35.85"/>
    <col collapsed="false" customWidth="true" hidden="false" outlineLevel="0" max="2" min="2" style="2" width="44.02"/>
    <col collapsed="false" customWidth="true" hidden="false" outlineLevel="0" max="3" min="3" style="2" width="38"/>
    <col collapsed="false" customWidth="true" hidden="false" outlineLevel="0" max="4" min="4" style="2" width="11.25"/>
    <col collapsed="false" customWidth="true" hidden="false" outlineLevel="0" max="5" min="5" style="2" width="14.74"/>
    <col collapsed="false" customWidth="true" hidden="false" outlineLevel="0" max="6" min="6" style="2" width="10.38"/>
    <col collapsed="false" customWidth="true" hidden="false" outlineLevel="0" max="7" min="7" style="2" width="13.87"/>
    <col collapsed="false" customWidth="true" hidden="false" outlineLevel="0" max="8" min="8" style="0" width="15"/>
    <col collapsed="false" customWidth="true" hidden="false" outlineLevel="0" max="1025" min="9" style="0" width="9.13"/>
  </cols>
  <sheetData>
    <row r="2" customFormat="false" ht="15" hidden="false" customHeight="false" outlineLevel="0" collapsed="false">
      <c r="B2" s="2" t="s">
        <v>510</v>
      </c>
      <c r="D2" s="2" t="s">
        <v>511</v>
      </c>
      <c r="F2" s="2" t="s">
        <v>512</v>
      </c>
    </row>
    <row r="3" customFormat="false" ht="15" hidden="false" customHeight="false" outlineLevel="0" collapsed="false">
      <c r="B3" s="2" t="s">
        <v>7</v>
      </c>
      <c r="D3" s="2" t="s">
        <v>13</v>
      </c>
      <c r="F3" s="2" t="s">
        <v>107</v>
      </c>
    </row>
    <row r="4" customFormat="false" ht="15" hidden="false" customHeight="false" outlineLevel="0" collapsed="false">
      <c r="D4" s="2" t="s">
        <v>514</v>
      </c>
    </row>
    <row r="5" customFormat="false" ht="15" hidden="false" customHeight="false" outlineLevel="0" collapsed="false">
      <c r="D5" s="2" t="s">
        <v>515</v>
      </c>
    </row>
    <row r="7" customFormat="false" ht="15" hidden="false" customHeight="false" outlineLevel="0" collapsed="false">
      <c r="A7" s="552" t="s">
        <v>97</v>
      </c>
      <c r="B7" s="553" t="s">
        <v>510</v>
      </c>
      <c r="C7" s="553" t="s">
        <v>520</v>
      </c>
      <c r="D7" s="553" t="s">
        <v>511</v>
      </c>
      <c r="E7" s="553" t="s">
        <v>521</v>
      </c>
      <c r="F7" s="553" t="s">
        <v>512</v>
      </c>
      <c r="G7" s="553" t="s">
        <v>522</v>
      </c>
    </row>
    <row r="8" customFormat="false" ht="15" hidden="false" customHeight="false" outlineLevel="0" collapsed="false">
      <c r="A8" s="10" t="s">
        <v>1</v>
      </c>
      <c r="D8" s="2" t="s">
        <v>514</v>
      </c>
      <c r="E8" s="2" t="n">
        <v>1</v>
      </c>
    </row>
    <row r="9" customFormat="false" ht="15" hidden="false" customHeight="false" outlineLevel="0" collapsed="false">
      <c r="A9" s="10" t="s">
        <v>8256</v>
      </c>
      <c r="D9" s="2" t="s">
        <v>514</v>
      </c>
      <c r="E9" s="2" t="n">
        <v>1</v>
      </c>
    </row>
    <row r="10" customFormat="false" ht="15" hidden="false" customHeight="false" outlineLevel="0" collapsed="false">
      <c r="A10" s="13" t="s">
        <v>110</v>
      </c>
      <c r="D10" s="2" t="s">
        <v>514</v>
      </c>
      <c r="E10" s="2" t="n">
        <v>1</v>
      </c>
    </row>
    <row r="11" customFormat="false" ht="15" hidden="false" customHeight="false" outlineLevel="0" collapsed="false">
      <c r="A11" s="10" t="s">
        <v>114</v>
      </c>
      <c r="D11" s="2" t="s">
        <v>514</v>
      </c>
      <c r="E11" s="2" t="n">
        <v>1</v>
      </c>
    </row>
    <row r="12" customFormat="false" ht="13.8" hidden="false" customHeight="false" outlineLevel="0" collapsed="false">
      <c r="A12" s="0" t="s">
        <v>118</v>
      </c>
      <c r="D12" s="2" t="s">
        <v>514</v>
      </c>
      <c r="E12" s="2" t="n">
        <v>1</v>
      </c>
    </row>
    <row r="13" customFormat="false" ht="13.8" hidden="false" customHeight="false" outlineLevel="0" collapsed="false">
      <c r="A13" s="0" t="s">
        <v>121</v>
      </c>
      <c r="D13" s="2" t="s">
        <v>514</v>
      </c>
      <c r="E13" s="2" t="n">
        <v>1</v>
      </c>
    </row>
    <row r="14" customFormat="false" ht="13.8" hidden="false" customHeight="false" outlineLevel="0" collapsed="false">
      <c r="A14" s="0" t="s">
        <v>124</v>
      </c>
      <c r="D14" s="2" t="s">
        <v>514</v>
      </c>
      <c r="E14" s="2" t="n">
        <v>1</v>
      </c>
    </row>
    <row r="15" customFormat="false" ht="13.8" hidden="false" customHeight="false" outlineLevel="0" collapsed="false">
      <c r="A15" s="0" t="s">
        <v>128</v>
      </c>
      <c r="D15" s="2" t="s">
        <v>514</v>
      </c>
      <c r="E15" s="2" t="n">
        <v>1</v>
      </c>
    </row>
    <row r="16" customFormat="false" ht="13.8" hidden="false" customHeight="false" outlineLevel="0" collapsed="false">
      <c r="A16" s="0" t="s">
        <v>132</v>
      </c>
      <c r="D16" s="2" t="s">
        <v>514</v>
      </c>
      <c r="E16" s="2" t="n">
        <v>1</v>
      </c>
    </row>
    <row r="17" customFormat="false" ht="13.8" hidden="false" customHeight="false" outlineLevel="0" collapsed="false">
      <c r="A17" s="0" t="s">
        <v>136</v>
      </c>
      <c r="D17" s="2" t="s">
        <v>514</v>
      </c>
      <c r="E17" s="2" t="n">
        <v>1</v>
      </c>
    </row>
    <row r="18" customFormat="false" ht="13.8" hidden="false" customHeight="false" outlineLevel="0" collapsed="false">
      <c r="A18" s="0" t="s">
        <v>140</v>
      </c>
      <c r="D18" s="2" t="s">
        <v>514</v>
      </c>
      <c r="E18" s="2" t="n">
        <v>1</v>
      </c>
    </row>
    <row r="19" customFormat="false" ht="13.8" hidden="false" customHeight="false" outlineLevel="0" collapsed="false">
      <c r="A19" s="0" t="s">
        <v>144</v>
      </c>
      <c r="D19" s="2" t="s">
        <v>514</v>
      </c>
      <c r="E19" s="2" t="n">
        <v>1</v>
      </c>
    </row>
    <row r="20" customFormat="false" ht="13.8" hidden="false" customHeight="false" outlineLevel="0" collapsed="false">
      <c r="A20" s="0" t="s">
        <v>148</v>
      </c>
      <c r="D20" s="2" t="s">
        <v>514</v>
      </c>
      <c r="E20" s="2" t="n">
        <v>1</v>
      </c>
    </row>
    <row r="21" customFormat="false" ht="13.8" hidden="false" customHeight="false" outlineLevel="0" collapsed="false">
      <c r="A21" s="0" t="s">
        <v>151</v>
      </c>
      <c r="D21" s="2" t="s">
        <v>514</v>
      </c>
      <c r="E21" s="2" t="n">
        <v>1</v>
      </c>
    </row>
    <row r="22" customFormat="false" ht="13.8" hidden="false" customHeight="false" outlineLevel="0" collapsed="false">
      <c r="A22" s="0" t="s">
        <v>154</v>
      </c>
      <c r="D22" s="2" t="s">
        <v>514</v>
      </c>
      <c r="E22" s="2" t="n">
        <v>1</v>
      </c>
    </row>
    <row r="23" customFormat="false" ht="13.8" hidden="false" customHeight="false" outlineLevel="0" collapsed="false">
      <c r="A23" s="0" t="s">
        <v>157</v>
      </c>
      <c r="D23" s="2" t="s">
        <v>514</v>
      </c>
      <c r="E23" s="2" t="n">
        <v>1</v>
      </c>
    </row>
    <row r="24" customFormat="false" ht="13.8" hidden="false" customHeight="false" outlineLevel="0" collapsed="false">
      <c r="A24" s="0" t="s">
        <v>160</v>
      </c>
      <c r="D24" s="2" t="s">
        <v>514</v>
      </c>
      <c r="E24" s="2" t="n">
        <v>1</v>
      </c>
    </row>
    <row r="25" customFormat="false" ht="13.8" hidden="false" customHeight="false" outlineLevel="0" collapsed="false">
      <c r="A25" s="0" t="s">
        <v>163</v>
      </c>
      <c r="D25" s="2" t="s">
        <v>514</v>
      </c>
      <c r="E25" s="2" t="n">
        <v>1</v>
      </c>
    </row>
    <row r="26" customFormat="false" ht="13.8" hidden="false" customHeight="false" outlineLevel="0" collapsed="false">
      <c r="A26" s="0" t="s">
        <v>166</v>
      </c>
      <c r="D26" s="2" t="s">
        <v>514</v>
      </c>
      <c r="E26" s="2" t="n">
        <v>1</v>
      </c>
    </row>
    <row r="27" customFormat="false" ht="13.8" hidden="false" customHeight="false" outlineLevel="0" collapsed="false">
      <c r="A27" s="0" t="s">
        <v>169</v>
      </c>
      <c r="D27" s="2" t="s">
        <v>514</v>
      </c>
      <c r="E27" s="2" t="n">
        <v>1</v>
      </c>
    </row>
    <row r="28" customFormat="false" ht="13.8" hidden="false" customHeight="false" outlineLevel="0" collapsed="false">
      <c r="A28" s="0" t="s">
        <v>172</v>
      </c>
      <c r="D28" s="2" t="s">
        <v>514</v>
      </c>
      <c r="E28" s="2" t="n">
        <v>1</v>
      </c>
    </row>
    <row r="29" customFormat="false" ht="13.8" hidden="false" customHeight="false" outlineLevel="0" collapsed="false">
      <c r="A29" s="0" t="s">
        <v>175</v>
      </c>
      <c r="D29" s="2" t="s">
        <v>514</v>
      </c>
      <c r="E29" s="2" t="n">
        <v>1</v>
      </c>
    </row>
    <row r="30" customFormat="false" ht="13.8" hidden="false" customHeight="false" outlineLevel="0" collapsed="false">
      <c r="A30" s="0" t="s">
        <v>178</v>
      </c>
      <c r="D30" s="2" t="s">
        <v>514</v>
      </c>
      <c r="E30" s="2" t="n">
        <v>1</v>
      </c>
    </row>
    <row r="31" customFormat="false" ht="13.8" hidden="false" customHeight="false" outlineLevel="0" collapsed="false">
      <c r="A31" s="0" t="s">
        <v>8257</v>
      </c>
      <c r="D31" s="2" t="s">
        <v>514</v>
      </c>
      <c r="E31" s="2" t="n">
        <v>1</v>
      </c>
    </row>
    <row r="32" customFormat="false" ht="13.8" hidden="false" customHeight="false" outlineLevel="0" collapsed="false">
      <c r="A32" s="0" t="s">
        <v>8258</v>
      </c>
      <c r="D32" s="2" t="s">
        <v>514</v>
      </c>
      <c r="E32" s="2" t="n">
        <v>1</v>
      </c>
    </row>
    <row r="33" customFormat="false" ht="13.8" hidden="false" customHeight="false" outlineLevel="0" collapsed="false">
      <c r="A33" s="0" t="s">
        <v>8259</v>
      </c>
      <c r="D33" s="2" t="s">
        <v>514</v>
      </c>
      <c r="E33" s="2" t="n">
        <v>1</v>
      </c>
    </row>
    <row r="34" customFormat="false" ht="13.8" hidden="false" customHeight="false" outlineLevel="0" collapsed="false">
      <c r="A34" s="0" t="s">
        <v>190</v>
      </c>
      <c r="D34" s="2" t="s">
        <v>514</v>
      </c>
      <c r="E34" s="2" t="n">
        <v>1</v>
      </c>
    </row>
    <row r="35" customFormat="false" ht="13.8" hidden="false" customHeight="false" outlineLevel="0" collapsed="false">
      <c r="A35" s="0" t="s">
        <v>193</v>
      </c>
      <c r="D35" s="2" t="s">
        <v>514</v>
      </c>
      <c r="E35" s="2" t="n">
        <v>1</v>
      </c>
    </row>
    <row r="36" customFormat="false" ht="13.8" hidden="false" customHeight="false" outlineLevel="0" collapsed="false">
      <c r="A36" s="0" t="s">
        <v>196</v>
      </c>
      <c r="D36" s="2" t="s">
        <v>514</v>
      </c>
      <c r="E36" s="2" t="n">
        <v>1</v>
      </c>
    </row>
    <row r="37" customFormat="false" ht="13.8" hidden="false" customHeight="false" outlineLevel="0" collapsed="false">
      <c r="A37" s="0" t="s">
        <v>199</v>
      </c>
      <c r="D37" s="2" t="s">
        <v>514</v>
      </c>
      <c r="E37" s="2" t="n">
        <v>1</v>
      </c>
    </row>
    <row r="38" customFormat="false" ht="13.8" hidden="false" customHeight="false" outlineLevel="0" collapsed="false">
      <c r="A38" s="0" t="s">
        <v>8260</v>
      </c>
      <c r="D38" s="2" t="s">
        <v>514</v>
      </c>
      <c r="E38" s="2" t="n">
        <v>1</v>
      </c>
    </row>
    <row r="39" customFormat="false" ht="13.8" hidden="false" customHeight="false" outlineLevel="0" collapsed="false">
      <c r="A39" s="0" t="s">
        <v>205</v>
      </c>
      <c r="D39" s="2" t="s">
        <v>514</v>
      </c>
      <c r="E39" s="2" t="n">
        <v>1</v>
      </c>
    </row>
    <row r="40" customFormat="false" ht="13.8" hidden="false" customHeight="false" outlineLevel="0" collapsed="false">
      <c r="A40" s="0" t="s">
        <v>208</v>
      </c>
      <c r="D40" s="2" t="s">
        <v>514</v>
      </c>
      <c r="E40" s="2" t="n">
        <v>1</v>
      </c>
    </row>
    <row r="41" customFormat="false" ht="13.8" hidden="false" customHeight="false" outlineLevel="0" collapsed="false">
      <c r="A41" s="0" t="s">
        <v>211</v>
      </c>
      <c r="D41" s="2" t="s">
        <v>514</v>
      </c>
      <c r="E41" s="2" t="n">
        <v>1</v>
      </c>
    </row>
    <row r="42" customFormat="false" ht="13.8" hidden="false" customHeight="false" outlineLevel="0" collapsed="false">
      <c r="A42" s="0" t="s">
        <v>214</v>
      </c>
      <c r="D42" s="2" t="s">
        <v>514</v>
      </c>
      <c r="E42" s="2" t="n">
        <v>1</v>
      </c>
    </row>
    <row r="43" customFormat="false" ht="13.8" hidden="false" customHeight="false" outlineLevel="0" collapsed="false">
      <c r="A43" s="0" t="s">
        <v>217</v>
      </c>
      <c r="D43" s="2" t="s">
        <v>514</v>
      </c>
      <c r="E43" s="2" t="n">
        <v>1</v>
      </c>
    </row>
    <row r="44" customFormat="false" ht="13.8" hidden="false" customHeight="false" outlineLevel="0" collapsed="false">
      <c r="A44" s="0" t="s">
        <v>220</v>
      </c>
      <c r="D44" s="2" t="s">
        <v>514</v>
      </c>
      <c r="E44" s="2" t="n">
        <v>1</v>
      </c>
    </row>
    <row r="45" customFormat="false" ht="13.8" hidden="false" customHeight="false" outlineLevel="0" collapsed="false">
      <c r="A45" s="0" t="s">
        <v>223</v>
      </c>
      <c r="D45" s="2" t="s">
        <v>514</v>
      </c>
      <c r="E45" s="2" t="n">
        <v>1</v>
      </c>
    </row>
    <row r="46" customFormat="false" ht="13.8" hidden="false" customHeight="false" outlineLevel="0" collapsed="false">
      <c r="A46" s="0" t="s">
        <v>226</v>
      </c>
      <c r="D46" s="2" t="s">
        <v>514</v>
      </c>
      <c r="E46" s="2" t="n">
        <v>1</v>
      </c>
    </row>
    <row r="47" customFormat="false" ht="13.8" hidden="false" customHeight="false" outlineLevel="0" collapsed="false">
      <c r="A47" s="0" t="s">
        <v>229</v>
      </c>
      <c r="D47" s="2" t="s">
        <v>514</v>
      </c>
      <c r="E47" s="2" t="n">
        <v>1</v>
      </c>
    </row>
    <row r="48" customFormat="false" ht="13.8" hidden="false" customHeight="false" outlineLevel="0" collapsed="false">
      <c r="A48" s="0" t="s">
        <v>232</v>
      </c>
      <c r="D48" s="2" t="s">
        <v>514</v>
      </c>
      <c r="E48" s="2" t="n">
        <v>1</v>
      </c>
    </row>
    <row r="49" customFormat="false" ht="13.8" hidden="false" customHeight="false" outlineLevel="0" collapsed="false">
      <c r="A49" s="0" t="s">
        <v>235</v>
      </c>
      <c r="D49" s="2" t="s">
        <v>514</v>
      </c>
      <c r="E49" s="2" t="n">
        <v>1</v>
      </c>
    </row>
    <row r="50" customFormat="false" ht="13.8" hidden="false" customHeight="false" outlineLevel="0" collapsed="false">
      <c r="A50" s="0" t="s">
        <v>238</v>
      </c>
      <c r="D50" s="2" t="s">
        <v>514</v>
      </c>
      <c r="E50" s="2" t="n">
        <v>1</v>
      </c>
    </row>
    <row r="51" customFormat="false" ht="13.8" hidden="false" customHeight="false" outlineLevel="0" collapsed="false">
      <c r="A51" s="0" t="s">
        <v>241</v>
      </c>
      <c r="D51" s="2" t="s">
        <v>514</v>
      </c>
      <c r="E51" s="2" t="n">
        <v>1</v>
      </c>
    </row>
    <row r="52" customFormat="false" ht="13.8" hidden="false" customHeight="false" outlineLevel="0" collapsed="false">
      <c r="A52" s="0" t="s">
        <v>244</v>
      </c>
      <c r="D52" s="2" t="s">
        <v>514</v>
      </c>
      <c r="E52" s="2" t="n">
        <v>1</v>
      </c>
    </row>
    <row r="53" customFormat="false" ht="13.8" hidden="false" customHeight="false" outlineLevel="0" collapsed="false">
      <c r="A53" s="0" t="s">
        <v>247</v>
      </c>
      <c r="D53" s="2" t="s">
        <v>514</v>
      </c>
      <c r="E53" s="2" t="n">
        <v>1</v>
      </c>
    </row>
    <row r="54" customFormat="false" ht="13.8" hidden="false" customHeight="false" outlineLevel="0" collapsed="false">
      <c r="A54" s="0" t="s">
        <v>250</v>
      </c>
      <c r="D54" s="2" t="s">
        <v>514</v>
      </c>
      <c r="E54" s="2" t="n">
        <v>1</v>
      </c>
    </row>
    <row r="55" customFormat="false" ht="13.8" hidden="false" customHeight="false" outlineLevel="0" collapsed="false">
      <c r="A55" s="0" t="s">
        <v>253</v>
      </c>
      <c r="D55" s="2" t="s">
        <v>514</v>
      </c>
      <c r="E55" s="2" t="n">
        <v>1</v>
      </c>
    </row>
    <row r="56" customFormat="false" ht="13.8" hidden="false" customHeight="false" outlineLevel="0" collapsed="false">
      <c r="A56" s="0" t="s">
        <v>8261</v>
      </c>
      <c r="D56" s="2" t="s">
        <v>514</v>
      </c>
      <c r="E56" s="2" t="n">
        <v>1</v>
      </c>
    </row>
    <row r="57" customFormat="false" ht="13.8" hidden="false" customHeight="false" outlineLevel="0" collapsed="false">
      <c r="A57" s="0" t="s">
        <v>259</v>
      </c>
      <c r="D57" s="2" t="s">
        <v>514</v>
      </c>
      <c r="E57" s="2" t="n">
        <v>1</v>
      </c>
    </row>
    <row r="58" customFormat="false" ht="13.8" hidden="false" customHeight="false" outlineLevel="0" collapsed="false">
      <c r="A58" s="0" t="s">
        <v>262</v>
      </c>
      <c r="D58" s="2" t="s">
        <v>514</v>
      </c>
      <c r="E58" s="2" t="n">
        <v>1</v>
      </c>
    </row>
    <row r="59" customFormat="false" ht="13.8" hidden="false" customHeight="false" outlineLevel="0" collapsed="false">
      <c r="A59" s="0" t="s">
        <v>265</v>
      </c>
      <c r="D59" s="2" t="s">
        <v>514</v>
      </c>
      <c r="E59" s="2" t="n">
        <v>1</v>
      </c>
    </row>
    <row r="60" customFormat="false" ht="13.8" hidden="false" customHeight="false" outlineLevel="0" collapsed="false">
      <c r="A60" s="0" t="s">
        <v>268</v>
      </c>
      <c r="D60" s="2" t="s">
        <v>514</v>
      </c>
      <c r="E60" s="2" t="n">
        <v>1</v>
      </c>
    </row>
    <row r="61" customFormat="false" ht="13.8" hidden="false" customHeight="false" outlineLevel="0" collapsed="false">
      <c r="A61" s="0" t="s">
        <v>271</v>
      </c>
      <c r="D61" s="2" t="s">
        <v>514</v>
      </c>
      <c r="E61" s="2" t="n">
        <v>1</v>
      </c>
    </row>
    <row r="62" customFormat="false" ht="13.8" hidden="false" customHeight="false" outlineLevel="0" collapsed="false">
      <c r="A62" s="0" t="s">
        <v>274</v>
      </c>
      <c r="D62" s="2" t="s">
        <v>514</v>
      </c>
      <c r="E62" s="2" t="n">
        <v>1</v>
      </c>
    </row>
    <row r="63" customFormat="false" ht="13.8" hidden="false" customHeight="false" outlineLevel="0" collapsed="false">
      <c r="A63" s="0" t="s">
        <v>7815</v>
      </c>
      <c r="D63" s="2" t="s">
        <v>514</v>
      </c>
      <c r="E63" s="2" t="n">
        <v>1</v>
      </c>
    </row>
    <row r="64" customFormat="false" ht="13.8" hidden="false" customHeight="false" outlineLevel="0" collapsed="false">
      <c r="A64" s="0" t="s">
        <v>280</v>
      </c>
      <c r="D64" s="2" t="s">
        <v>514</v>
      </c>
      <c r="E64" s="2" t="n">
        <v>1</v>
      </c>
    </row>
    <row r="65" customFormat="false" ht="13.8" hidden="false" customHeight="false" outlineLevel="0" collapsed="false">
      <c r="A65" s="0" t="s">
        <v>8262</v>
      </c>
      <c r="D65" s="2" t="s">
        <v>514</v>
      </c>
      <c r="E65" s="2" t="n">
        <v>1</v>
      </c>
    </row>
    <row r="66" customFormat="false" ht="13.8" hidden="false" customHeight="false" outlineLevel="0" collapsed="false">
      <c r="A66" s="0" t="s">
        <v>8263</v>
      </c>
      <c r="D66" s="2" t="s">
        <v>514</v>
      </c>
      <c r="E66" s="2" t="n">
        <v>1</v>
      </c>
    </row>
    <row r="67" customFormat="false" ht="13.8" hidden="false" customHeight="false" outlineLevel="0" collapsed="false">
      <c r="A67" s="0" t="s">
        <v>289</v>
      </c>
      <c r="D67" s="2" t="s">
        <v>514</v>
      </c>
      <c r="E67" s="2" t="n">
        <v>1</v>
      </c>
    </row>
    <row r="68" customFormat="false" ht="13.8" hidden="false" customHeight="false" outlineLevel="0" collapsed="false">
      <c r="A68" s="0" t="s">
        <v>292</v>
      </c>
      <c r="D68" s="2" t="s">
        <v>514</v>
      </c>
      <c r="E68" s="2" t="n">
        <v>1</v>
      </c>
    </row>
    <row r="69" customFormat="false" ht="13.8" hidden="false" customHeight="false" outlineLevel="0" collapsed="false">
      <c r="A69" s="0" t="s">
        <v>295</v>
      </c>
      <c r="D69" s="2" t="s">
        <v>514</v>
      </c>
      <c r="E69" s="2" t="n">
        <v>1</v>
      </c>
    </row>
    <row r="70" customFormat="false" ht="13.8" hidden="false" customHeight="false" outlineLevel="0" collapsed="false">
      <c r="A70" s="0" t="s">
        <v>298</v>
      </c>
      <c r="D70" s="2" t="s">
        <v>514</v>
      </c>
      <c r="E70" s="2" t="n">
        <v>1</v>
      </c>
    </row>
    <row r="71" customFormat="false" ht="13.8" hidden="false" customHeight="false" outlineLevel="0" collapsed="false">
      <c r="A71" s="0" t="s">
        <v>301</v>
      </c>
      <c r="D71" s="2" t="s">
        <v>514</v>
      </c>
      <c r="E71" s="2" t="n">
        <v>1</v>
      </c>
    </row>
    <row r="72" customFormat="false" ht="13.8" hidden="false" customHeight="false" outlineLevel="0" collapsed="false">
      <c r="A72" s="0" t="s">
        <v>8264</v>
      </c>
      <c r="D72" s="2" t="s">
        <v>514</v>
      </c>
      <c r="E72" s="2" t="n">
        <v>1</v>
      </c>
    </row>
    <row r="73" customFormat="false" ht="13.8" hidden="false" customHeight="false" outlineLevel="0" collapsed="false">
      <c r="A73" s="0" t="s">
        <v>307</v>
      </c>
      <c r="D73" s="2" t="s">
        <v>514</v>
      </c>
      <c r="E73" s="2" t="n">
        <v>1</v>
      </c>
    </row>
    <row r="74" customFormat="false" ht="13.8" hidden="false" customHeight="false" outlineLevel="0" collapsed="false">
      <c r="A74" s="0" t="s">
        <v>310</v>
      </c>
      <c r="D74" s="2" t="s">
        <v>514</v>
      </c>
      <c r="E74" s="2" t="n">
        <v>1</v>
      </c>
    </row>
    <row r="75" customFormat="false" ht="13.8" hidden="false" customHeight="false" outlineLevel="0" collapsed="false">
      <c r="A75" s="0" t="s">
        <v>313</v>
      </c>
      <c r="D75" s="2" t="s">
        <v>514</v>
      </c>
      <c r="E75" s="2" t="n">
        <v>1</v>
      </c>
    </row>
    <row r="76" customFormat="false" ht="13.8" hidden="false" customHeight="false" outlineLevel="0" collapsed="false">
      <c r="A76" s="0" t="s">
        <v>316</v>
      </c>
      <c r="D76" s="2" t="s">
        <v>514</v>
      </c>
      <c r="E76" s="2" t="n">
        <v>1</v>
      </c>
    </row>
    <row r="77" customFormat="false" ht="13.8" hidden="false" customHeight="false" outlineLevel="0" collapsed="false">
      <c r="A77" s="0" t="s">
        <v>319</v>
      </c>
      <c r="D77" s="2" t="s">
        <v>514</v>
      </c>
      <c r="E77" s="2" t="n">
        <v>1</v>
      </c>
    </row>
    <row r="78" customFormat="false" ht="13.8" hidden="false" customHeight="false" outlineLevel="0" collapsed="false">
      <c r="A78" s="0" t="s">
        <v>322</v>
      </c>
      <c r="D78" s="2" t="s">
        <v>514</v>
      </c>
      <c r="E78" s="2" t="n">
        <v>1</v>
      </c>
    </row>
    <row r="79" customFormat="false" ht="13.8" hidden="false" customHeight="false" outlineLevel="0" collapsed="false">
      <c r="A79" s="0" t="s">
        <v>325</v>
      </c>
      <c r="D79" s="2" t="s">
        <v>514</v>
      </c>
      <c r="E79" s="2" t="n">
        <v>1</v>
      </c>
    </row>
    <row r="80" customFormat="false" ht="13.8" hidden="false" customHeight="false" outlineLevel="0" collapsed="false">
      <c r="A80" s="0" t="s">
        <v>328</v>
      </c>
      <c r="D80" s="2" t="s">
        <v>514</v>
      </c>
      <c r="E80" s="2" t="n">
        <v>1</v>
      </c>
    </row>
    <row r="81" customFormat="false" ht="13.8" hidden="false" customHeight="false" outlineLevel="0" collapsed="false">
      <c r="A81" s="0" t="s">
        <v>8265</v>
      </c>
      <c r="D81" s="2" t="s">
        <v>514</v>
      </c>
      <c r="E81" s="2" t="n">
        <v>1</v>
      </c>
    </row>
    <row r="82" customFormat="false" ht="13.8" hidden="false" customHeight="false" outlineLevel="0" collapsed="false">
      <c r="A82" s="0" t="s">
        <v>334</v>
      </c>
      <c r="D82" s="2" t="s">
        <v>514</v>
      </c>
      <c r="E82" s="2" t="n">
        <v>1</v>
      </c>
    </row>
    <row r="83" customFormat="false" ht="13.8" hidden="false" customHeight="false" outlineLevel="0" collapsed="false">
      <c r="A83" s="0" t="s">
        <v>337</v>
      </c>
      <c r="D83" s="2" t="s">
        <v>514</v>
      </c>
      <c r="E83" s="2" t="n">
        <v>1</v>
      </c>
    </row>
    <row r="84" customFormat="false" ht="13.8" hidden="false" customHeight="false" outlineLevel="0" collapsed="false">
      <c r="A84" s="0" t="s">
        <v>340</v>
      </c>
      <c r="D84" s="2" t="s">
        <v>514</v>
      </c>
      <c r="E84" s="2" t="n">
        <v>1</v>
      </c>
    </row>
    <row r="85" customFormat="false" ht="13.8" hidden="false" customHeight="false" outlineLevel="0" collapsed="false">
      <c r="A85" s="0" t="s">
        <v>343</v>
      </c>
      <c r="D85" s="2" t="s">
        <v>514</v>
      </c>
      <c r="E85" s="2" t="n">
        <v>1</v>
      </c>
    </row>
    <row r="86" customFormat="false" ht="13.8" hidden="false" customHeight="false" outlineLevel="0" collapsed="false">
      <c r="A86" s="0" t="s">
        <v>346</v>
      </c>
      <c r="D86" s="2" t="s">
        <v>514</v>
      </c>
      <c r="E86" s="2" t="n">
        <v>1</v>
      </c>
    </row>
    <row r="87" customFormat="false" ht="13.8" hidden="false" customHeight="false" outlineLevel="0" collapsed="false">
      <c r="A87" s="0" t="s">
        <v>349</v>
      </c>
      <c r="D87" s="2" t="s">
        <v>514</v>
      </c>
      <c r="E87" s="2" t="n">
        <v>1</v>
      </c>
    </row>
    <row r="88" customFormat="false" ht="13.8" hidden="false" customHeight="false" outlineLevel="0" collapsed="false">
      <c r="A88" s="0" t="s">
        <v>352</v>
      </c>
      <c r="D88" s="2" t="s">
        <v>514</v>
      </c>
      <c r="E88" s="2" t="n">
        <v>1</v>
      </c>
    </row>
    <row r="89" customFormat="false" ht="13.8" hidden="false" customHeight="false" outlineLevel="0" collapsed="false">
      <c r="A89" s="0" t="s">
        <v>355</v>
      </c>
      <c r="D89" s="2" t="s">
        <v>514</v>
      </c>
      <c r="E89" s="2" t="n">
        <v>1</v>
      </c>
    </row>
    <row r="90" customFormat="false" ht="13.8" hidden="false" customHeight="false" outlineLevel="0" collapsed="false">
      <c r="A90" s="0" t="s">
        <v>358</v>
      </c>
      <c r="D90" s="2" t="s">
        <v>514</v>
      </c>
      <c r="E90" s="2" t="n">
        <v>1</v>
      </c>
    </row>
    <row r="91" customFormat="false" ht="13.8" hidden="false" customHeight="false" outlineLevel="0" collapsed="false">
      <c r="A91" s="0" t="s">
        <v>361</v>
      </c>
      <c r="D91" s="2" t="s">
        <v>514</v>
      </c>
      <c r="E91" s="2" t="n">
        <v>1</v>
      </c>
    </row>
    <row r="92" customFormat="false" ht="13.8" hidden="false" customHeight="false" outlineLevel="0" collapsed="false">
      <c r="A92" s="0" t="s">
        <v>364</v>
      </c>
      <c r="D92" s="2" t="s">
        <v>514</v>
      </c>
      <c r="E92" s="2" t="n">
        <v>1</v>
      </c>
    </row>
    <row r="93" customFormat="false" ht="13.8" hidden="false" customHeight="false" outlineLevel="0" collapsed="false">
      <c r="A93" s="0" t="s">
        <v>35</v>
      </c>
      <c r="D93" s="2" t="s">
        <v>514</v>
      </c>
      <c r="E93" s="2" t="n">
        <v>1</v>
      </c>
    </row>
    <row r="94" customFormat="false" ht="13.8" hidden="false" customHeight="false" outlineLevel="0" collapsed="false">
      <c r="A94" s="0" t="s">
        <v>369</v>
      </c>
      <c r="D94" s="2" t="s">
        <v>514</v>
      </c>
      <c r="E94" s="2" t="n">
        <v>1</v>
      </c>
    </row>
    <row r="95" customFormat="false" ht="13.8" hidden="false" customHeight="false" outlineLevel="0" collapsed="false">
      <c r="A95" s="0" t="s">
        <v>372</v>
      </c>
      <c r="D95" s="2" t="s">
        <v>514</v>
      </c>
      <c r="E95" s="2" t="n">
        <v>1</v>
      </c>
    </row>
    <row r="96" customFormat="false" ht="13.8" hidden="false" customHeight="false" outlineLevel="0" collapsed="false">
      <c r="A96" s="0" t="s">
        <v>375</v>
      </c>
      <c r="D96" s="2" t="s">
        <v>514</v>
      </c>
      <c r="E96" s="2" t="n">
        <v>1</v>
      </c>
    </row>
    <row r="97" customFormat="false" ht="13.8" hidden="false" customHeight="false" outlineLevel="0" collapsed="false">
      <c r="A97" s="0" t="s">
        <v>378</v>
      </c>
      <c r="D97" s="2" t="s">
        <v>514</v>
      </c>
      <c r="E97" s="2" t="n">
        <v>1</v>
      </c>
    </row>
    <row r="98" customFormat="false" ht="13.8" hidden="false" customHeight="false" outlineLevel="0" collapsed="false">
      <c r="A98" s="0" t="s">
        <v>48</v>
      </c>
      <c r="D98" s="2" t="s">
        <v>514</v>
      </c>
      <c r="E98" s="2" t="n">
        <v>1</v>
      </c>
    </row>
    <row r="99" customFormat="false" ht="13.8" hidden="false" customHeight="false" outlineLevel="0" collapsed="false">
      <c r="A99" s="0" t="s">
        <v>78</v>
      </c>
      <c r="D99" s="2" t="s">
        <v>514</v>
      </c>
      <c r="E99" s="2" t="n">
        <v>1</v>
      </c>
    </row>
    <row r="100" customFormat="false" ht="13.8" hidden="false" customHeight="false" outlineLevel="0" collapsed="false">
      <c r="A100" s="0" t="s">
        <v>91</v>
      </c>
      <c r="D100" s="2" t="s">
        <v>514</v>
      </c>
      <c r="E100" s="2" t="n">
        <v>1</v>
      </c>
    </row>
    <row r="101" customFormat="false" ht="13.8" hidden="false" customHeight="false" outlineLevel="0" collapsed="false">
      <c r="A101" s="0" t="s">
        <v>28</v>
      </c>
      <c r="D101" s="2" t="s">
        <v>514</v>
      </c>
      <c r="E101" s="2" t="n">
        <v>1</v>
      </c>
    </row>
    <row r="102" customFormat="false" ht="15" hidden="false" customHeight="false" outlineLevel="0" collapsed="false">
      <c r="A102" s="13" t="s">
        <v>389</v>
      </c>
      <c r="D102" s="2" t="s">
        <v>514</v>
      </c>
      <c r="E102" s="2" t="n">
        <v>1</v>
      </c>
    </row>
    <row r="117" customFormat="false" ht="15" hidden="false" customHeight="false" outlineLevel="0" collapsed="false">
      <c r="B117" s="2" t="n">
        <v>0</v>
      </c>
      <c r="C117" s="2" t="n">
        <v>0</v>
      </c>
    </row>
    <row r="118" customFormat="false" ht="15" hidden="false" customHeight="false" outlineLevel="0" collapsed="false">
      <c r="B118" s="2" t="s">
        <v>13</v>
      </c>
      <c r="C118" s="2" t="n">
        <v>1</v>
      </c>
    </row>
    <row r="119" customFormat="false" ht="15" hidden="false" customHeight="false" outlineLevel="0" collapsed="false">
      <c r="B119" s="2" t="s">
        <v>7</v>
      </c>
      <c r="C119" s="2" t="n">
        <v>2</v>
      </c>
    </row>
    <row r="120" customFormat="false" ht="15" hidden="false" customHeight="false" outlineLevel="0" collapsed="false">
      <c r="B120" s="2" t="s">
        <v>107</v>
      </c>
      <c r="C120" s="2" t="n">
        <v>3</v>
      </c>
    </row>
    <row r="121" customFormat="false" ht="15" hidden="false" customHeight="false" outlineLevel="0" collapsed="false">
      <c r="B121" s="2" t="s">
        <v>514</v>
      </c>
      <c r="C121" s="2" t="n">
        <v>4</v>
      </c>
    </row>
    <row r="122" customFormat="false" ht="15" hidden="false" customHeight="false" outlineLevel="0" collapsed="false">
      <c r="B122" s="2" t="s">
        <v>515</v>
      </c>
      <c r="C122" s="2" t="n">
        <v>5</v>
      </c>
    </row>
    <row r="129" customFormat="false" ht="15" hidden="false" customHeight="false" outlineLevel="0" collapsed="false">
      <c r="H129" s="0" t="s">
        <v>516</v>
      </c>
    </row>
    <row r="130" customFormat="false" ht="15" hidden="false" customHeight="false" outlineLevel="0" collapsed="false">
      <c r="A130" s="0" t="s">
        <v>8248</v>
      </c>
      <c r="B130" s="12" t="e">
        <f aca="false">VLOOKUP(A130,$A$230:$A$318,1,0)</f>
        <v>#N/A</v>
      </c>
      <c r="C130" s="2" t="s">
        <v>520</v>
      </c>
      <c r="D130" s="2" t="s">
        <v>511</v>
      </c>
      <c r="E130" s="2" t="s">
        <v>521</v>
      </c>
      <c r="F130" s="2" t="s">
        <v>512</v>
      </c>
      <c r="G130" s="2" t="s">
        <v>522</v>
      </c>
    </row>
    <row r="131" customFormat="false" ht="15" hidden="false" customHeight="false" outlineLevel="0" collapsed="false">
      <c r="A131" s="10" t="str">
        <f aca="false">A8</f>
        <v>Varai Khichdi</v>
      </c>
      <c r="B131" s="12"/>
      <c r="C131" s="12"/>
      <c r="D131" s="12" t="n">
        <f aca="false">IFERROR(VLOOKUP(D8,$B$117:$C$122,2,0),"")</f>
        <v>4</v>
      </c>
      <c r="E131" s="12" t="n">
        <f aca="false">E8</f>
        <v>1</v>
      </c>
      <c r="F131" s="12" t="str">
        <f aca="false">IFERROR(VLOOKUP(F8,$B$117:$C$122,2,0),"")</f>
        <v/>
      </c>
      <c r="G131" s="12"/>
      <c r="H131" s="0" t="str">
        <f aca="false">"Client().post('/recipes/', {'name' : '"&amp;A131&amp;"', 'mass_unit' : '"&amp;B131&amp;"', 'mass_quantity' : '"&amp;C131&amp;"', 'volume_unit' : '"&amp;D131&amp;"', 'volume_quantity' : '"&amp;E131&amp;"', 'pieces_unit' : '"&amp;F131&amp;"', 'pieces_quantity' : '"&amp;G131&amp;"'}).status_code"</f>
        <v>Client().post('/recipes/', {'name' : 'Varai Khichdi', 'mass_unit' : '', 'mass_quantity' : '', 'volume_unit' : '4', 'volume_quantity' : '1', 'pieces_unit' : '', 'pieces_quantity' : ''}).status_code</v>
      </c>
    </row>
    <row r="132" customFormat="false" ht="15" hidden="false" customHeight="false" outlineLevel="0" collapsed="false">
      <c r="A132" s="10" t="str">
        <f aca="false">A9</f>
        <v> EKADASI KHICHDI NON-SPICY </v>
      </c>
      <c r="B132" s="12"/>
      <c r="C132" s="12"/>
      <c r="D132" s="12" t="n">
        <f aca="false">IFERROR(VLOOKUP(D9,$B$117:$C$122,2,0),"")</f>
        <v>4</v>
      </c>
      <c r="E132" s="12" t="n">
        <f aca="false">E9</f>
        <v>1</v>
      </c>
      <c r="F132" s="12" t="str">
        <f aca="false">IFERROR(VLOOKUP(F9,$B$117:$C$122,2,0),"")</f>
        <v/>
      </c>
      <c r="G132" s="12"/>
      <c r="H132" s="0" t="str">
        <f aca="false">"Client().post('/recipes/', {'name' : '"&amp;A132&amp;"', 'mass_unit' : '"&amp;B132&amp;"', 'mass_quantity' : '"&amp;C132&amp;"', 'volume_unit' : '"&amp;D132&amp;"', 'volume_quantity' : '"&amp;E132&amp;"', 'pieces_unit' : '"&amp;F132&amp;"', 'pieces_quantity' : '"&amp;G132&amp;"'}).status_code"</f>
        <v>Client().post('/recipes/', {'name' : ' EKADASI KHICHDI NON-SPICY ', 'mass_unit' : '', 'mass_quantity' : '', 'volume_unit' : '4', 'volume_quantity' : '1', 'pieces_unit' : '', 'pieces_quantity' : ''}).status_code</v>
      </c>
    </row>
    <row r="133" customFormat="false" ht="15" hidden="false" customHeight="false" outlineLevel="0" collapsed="false">
      <c r="A133" s="10" t="str">
        <f aca="false">A10</f>
        <v>ALU CHURCHURY</v>
      </c>
      <c r="B133" s="12"/>
      <c r="C133" s="12"/>
      <c r="D133" s="12" t="n">
        <f aca="false">IFERROR(VLOOKUP(D10,$B$117:$C$122,2,0),"")</f>
        <v>4</v>
      </c>
      <c r="E133" s="12" t="n">
        <f aca="false">E10</f>
        <v>1</v>
      </c>
      <c r="F133" s="12" t="str">
        <f aca="false">IFERROR(VLOOKUP(F10,$B$117:$C$122,2,0),"")</f>
        <v/>
      </c>
      <c r="G133" s="12"/>
      <c r="H133" s="0" t="str">
        <f aca="false">"Client().post('/recipes/', {'name' : '"&amp;A133&amp;"', 'mass_unit' : '"&amp;B133&amp;"', 'mass_quantity' : '"&amp;C133&amp;"', 'volume_unit' : '"&amp;D133&amp;"', 'volume_quantity' : '"&amp;E133&amp;"', 'pieces_unit' : '"&amp;F133&amp;"', 'pieces_quantity' : '"&amp;G133&amp;"'}).status_code"</f>
        <v>Client().post('/recipes/', {'name' : 'ALU CHURCHURY', 'mass_unit' : '', 'mass_quantity' : '', 'volume_unit' : '4', 'volume_quantity' : '1', 'pieces_unit' : '', 'pieces_quantity' : ''}).status_code</v>
      </c>
    </row>
    <row r="134" customFormat="false" ht="15" hidden="false" customHeight="false" outlineLevel="0" collapsed="false">
      <c r="A134" s="10" t="str">
        <f aca="false">A11</f>
        <v>Alu Jeera</v>
      </c>
      <c r="B134" s="12"/>
      <c r="C134" s="12"/>
      <c r="D134" s="12" t="n">
        <f aca="false">IFERROR(VLOOKUP(D11,$B$117:$C$122,2,0),"")</f>
        <v>4</v>
      </c>
      <c r="E134" s="12" t="n">
        <f aca="false">E11</f>
        <v>1</v>
      </c>
      <c r="F134" s="12" t="str">
        <f aca="false">IFERROR(VLOOKUP(F11,$B$117:$C$122,2,0),"")</f>
        <v/>
      </c>
      <c r="G134" s="12"/>
      <c r="H134" s="0" t="str">
        <f aca="false">"Client().post('/recipes/', {'name' : '"&amp;A134&amp;"', 'mass_unit' : '"&amp;B134&amp;"', 'mass_quantity' : '"&amp;C134&amp;"', 'volume_unit' : '"&amp;D134&amp;"', 'volume_quantity' : '"&amp;E134&amp;"', 'pieces_unit' : '"&amp;F134&amp;"', 'pieces_quantity' : '"&amp;G134&amp;"'}).status_code"</f>
        <v>Client().post('/recipes/', {'name' : 'Alu Jeera', 'mass_unit' : '', 'mass_quantity' : '', 'volume_unit' : '4', 'volume_quantity' : '1', 'pieces_unit' : '', 'pieces_quantity' : ''}).status_code</v>
      </c>
    </row>
    <row r="135" customFormat="false" ht="15" hidden="false" customHeight="false" outlineLevel="0" collapsed="false">
      <c r="A135" s="10" t="str">
        <f aca="false">A12</f>
        <v>Alu Kala Chana Chat</v>
      </c>
      <c r="B135" s="12"/>
      <c r="C135" s="12"/>
      <c r="D135" s="12" t="n">
        <f aca="false">IFERROR(VLOOKUP(D12,$B$117:$C$122,2,0),"")</f>
        <v>4</v>
      </c>
      <c r="E135" s="12" t="n">
        <f aca="false">E12</f>
        <v>1</v>
      </c>
      <c r="F135" s="12" t="str">
        <f aca="false">IFERROR(VLOOKUP(F12,$B$117:$C$122,2,0),"")</f>
        <v/>
      </c>
      <c r="G135" s="12"/>
      <c r="H135" s="0" t="str">
        <f aca="false">"Client().post('/recipes/', {'name' : '"&amp;A135&amp;"', 'mass_unit' : '"&amp;B135&amp;"', 'mass_quantity' : '"&amp;C135&amp;"', 'volume_unit' : '"&amp;D135&amp;"', 'volume_quantity' : '"&amp;E135&amp;"', 'pieces_unit' : '"&amp;F135&amp;"', 'pieces_quantity' : '"&amp;G135&amp;"'}).status_code"</f>
        <v>Client().post('/recipes/', {'name' : 'Alu Kala Chana Chat', 'mass_unit' : '', 'mass_quantity' : '', 'volume_unit' : '4', 'volume_quantity' : '1', 'pieces_unit' : '', 'pieces_quantity' : ''}).status_code</v>
      </c>
    </row>
    <row r="136" customFormat="false" ht="15" hidden="false" customHeight="false" outlineLevel="0" collapsed="false">
      <c r="A136" s="10" t="str">
        <f aca="false">A13</f>
        <v>ALU PARATHA</v>
      </c>
      <c r="B136" s="12"/>
      <c r="C136" s="12"/>
      <c r="D136" s="12" t="n">
        <f aca="false">IFERROR(VLOOKUP(D13,$B$117:$C$122,2,0),"")</f>
        <v>4</v>
      </c>
      <c r="E136" s="12" t="n">
        <f aca="false">E13</f>
        <v>1</v>
      </c>
      <c r="F136" s="12" t="str">
        <f aca="false">IFERROR(VLOOKUP(F13,$B$117:$C$122,2,0),"")</f>
        <v/>
      </c>
      <c r="G136" s="12"/>
      <c r="H136" s="0" t="str">
        <f aca="false">"Client().post('/recipes/', {'name' : '"&amp;A136&amp;"', 'mass_unit' : '"&amp;B136&amp;"', 'mass_quantity' : '"&amp;C136&amp;"', 'volume_unit' : '"&amp;D136&amp;"', 'volume_quantity' : '"&amp;E136&amp;"', 'pieces_unit' : '"&amp;F136&amp;"', 'pieces_quantity' : '"&amp;G136&amp;"'}).status_code"</f>
        <v>Client().post('/recipes/', {'name' : 'ALU PARATHA', 'mass_unit' : '', 'mass_quantity' : '', 'volume_unit' : '4', 'volume_quantity' : '1', 'pieces_unit' : '', 'pieces_quantity' : ''}).status_code</v>
      </c>
    </row>
    <row r="137" customFormat="false" ht="15" hidden="false" customHeight="false" outlineLevel="0" collapsed="false">
      <c r="A137" s="10" t="str">
        <f aca="false">A14</f>
        <v>Barley / Ragi / Regira Malt</v>
      </c>
      <c r="B137" s="12"/>
      <c r="C137" s="12"/>
      <c r="D137" s="12" t="n">
        <f aca="false">IFERROR(VLOOKUP(D14,$B$117:$C$122,2,0),"")</f>
        <v>4</v>
      </c>
      <c r="E137" s="12" t="n">
        <f aca="false">E14</f>
        <v>1</v>
      </c>
      <c r="F137" s="12" t="str">
        <f aca="false">IFERROR(VLOOKUP(F14,$B$117:$C$122,2,0),"")</f>
        <v/>
      </c>
      <c r="G137" s="12"/>
      <c r="H137" s="0" t="str">
        <f aca="false">"Client().post('/recipes/', {'name' : '"&amp;A137&amp;"', 'mass_unit' : '"&amp;B137&amp;"', 'mass_quantity' : '"&amp;C137&amp;"', 'volume_unit' : '"&amp;D137&amp;"', 'volume_quantity' : '"&amp;E137&amp;"', 'pieces_unit' : '"&amp;F137&amp;"', 'pieces_quantity' : '"&amp;G137&amp;"'}).status_code"</f>
        <v>Client().post('/recipes/', {'name' : 'Barley / Ragi / Regira Malt', 'mass_unit' : '', 'mass_quantity' : '', 'volume_unit' : '4', 'volume_quantity' : '1', 'pieces_unit' : '', 'pieces_quantity' : ''}).status_code</v>
      </c>
    </row>
    <row r="138" customFormat="false" ht="15" hidden="false" customHeight="false" outlineLevel="0" collapsed="false">
      <c r="A138" s="10" t="str">
        <f aca="false">A15</f>
        <v>Beans Tahini Sauce</v>
      </c>
      <c r="B138" s="12"/>
      <c r="C138" s="12"/>
      <c r="D138" s="12" t="n">
        <f aca="false">IFERROR(VLOOKUP(D15,$B$117:$C$122,2,0),"")</f>
        <v>4</v>
      </c>
      <c r="E138" s="12" t="n">
        <f aca="false">E15</f>
        <v>1</v>
      </c>
      <c r="F138" s="12" t="str">
        <f aca="false">IFERROR(VLOOKUP(F15,$B$117:$C$122,2,0),"")</f>
        <v/>
      </c>
      <c r="G138" s="12"/>
      <c r="H138" s="0" t="str">
        <f aca="false">"Client().post('/recipes/', {'name' : '"&amp;A138&amp;"', 'mass_unit' : '"&amp;B138&amp;"', 'mass_quantity' : '"&amp;C138&amp;"', 'volume_unit' : '"&amp;D138&amp;"', 'volume_quantity' : '"&amp;E138&amp;"', 'pieces_unit' : '"&amp;F138&amp;"', 'pieces_quantity' : '"&amp;G138&amp;"'}).status_code"</f>
        <v>Client().post('/recipes/', {'name' : 'Beans Tahini Sauce', 'mass_unit' : '', 'mass_quantity' : '', 'volume_unit' : '4', 'volume_quantity' : '1', 'pieces_unit' : '', 'pieces_quantity' : ''}).status_code</v>
      </c>
    </row>
    <row r="139" customFormat="false" ht="15" hidden="false" customHeight="false" outlineLevel="0" collapsed="false">
      <c r="A139" s="10" t="str">
        <f aca="false">A16</f>
        <v>Bhopla KM</v>
      </c>
      <c r="B139" s="12"/>
      <c r="C139" s="12"/>
      <c r="D139" s="12" t="n">
        <f aca="false">IFERROR(VLOOKUP(D16,$B$117:$C$122,2,0),"")</f>
        <v>4</v>
      </c>
      <c r="E139" s="12" t="n">
        <f aca="false">E16</f>
        <v>1</v>
      </c>
      <c r="F139" s="12" t="str">
        <f aca="false">IFERROR(VLOOKUP(F16,$B$117:$C$122,2,0),"")</f>
        <v/>
      </c>
      <c r="G139" s="12"/>
      <c r="H139" s="0" t="str">
        <f aca="false">"Client().post('/recipes/', {'name' : '"&amp;A139&amp;"', 'mass_unit' : '"&amp;B139&amp;"', 'mass_quantity' : '"&amp;C139&amp;"', 'volume_unit' : '"&amp;D139&amp;"', 'volume_quantity' : '"&amp;E139&amp;"', 'pieces_unit' : '"&amp;F139&amp;"', 'pieces_quantity' : '"&amp;G139&amp;"'}).status_code"</f>
        <v>Client().post('/recipes/', {'name' : 'Bhopla KM', 'mass_unit' : '', 'mass_quantity' : '', 'volume_unit' : '4', 'volume_quantity' : '1', 'pieces_unit' : '', 'pieces_quantity' : ''}).status_code</v>
      </c>
    </row>
    <row r="140" customFormat="false" ht="15" hidden="false" customHeight="false" outlineLevel="0" collapsed="false">
      <c r="A140" s="10" t="str">
        <f aca="false">A17</f>
        <v>Biryani Dum Layer</v>
      </c>
      <c r="B140" s="12"/>
      <c r="C140" s="12"/>
      <c r="D140" s="12" t="n">
        <f aca="false">IFERROR(VLOOKUP(D17,$B$117:$C$122,2,0),"")</f>
        <v>4</v>
      </c>
      <c r="E140" s="12" t="n">
        <f aca="false">E17</f>
        <v>1</v>
      </c>
      <c r="F140" s="12" t="str">
        <f aca="false">IFERROR(VLOOKUP(F17,$B$117:$C$122,2,0),"")</f>
        <v/>
      </c>
      <c r="G140" s="12"/>
      <c r="H140" s="0" t="str">
        <f aca="false">"Client().post('/recipes/', {'name' : '"&amp;A140&amp;"', 'mass_unit' : '"&amp;B140&amp;"', 'mass_quantity' : '"&amp;C140&amp;"', 'volume_unit' : '"&amp;D140&amp;"', 'volume_quantity' : '"&amp;E140&amp;"', 'pieces_unit' : '"&amp;F140&amp;"', 'pieces_quantity' : '"&amp;G140&amp;"'}).status_code"</f>
        <v>Client().post('/recipes/', {'name' : 'Biryani Dum Layer', 'mass_unit' : '', 'mass_quantity' : '', 'volume_unit' : '4', 'volume_quantity' : '1', 'pieces_unit' : '', 'pieces_quantity' : ''}).status_code</v>
      </c>
    </row>
    <row r="141" customFormat="false" ht="15" hidden="false" customHeight="false" outlineLevel="0" collapsed="false">
      <c r="A141" s="10" t="str">
        <f aca="false">A18</f>
        <v>Boondi raita</v>
      </c>
      <c r="B141" s="12"/>
      <c r="C141" s="12"/>
      <c r="D141" s="12" t="n">
        <f aca="false">IFERROR(VLOOKUP(D18,$B$117:$C$122,2,0),"")</f>
        <v>4</v>
      </c>
      <c r="E141" s="12" t="n">
        <f aca="false">E18</f>
        <v>1</v>
      </c>
      <c r="F141" s="12" t="str">
        <f aca="false">IFERROR(VLOOKUP(F18,$B$117:$C$122,2,0),"")</f>
        <v/>
      </c>
      <c r="G141" s="12"/>
      <c r="H141" s="0" t="str">
        <f aca="false">"Client().post('/recipes/', {'name' : '"&amp;A141&amp;"', 'mass_unit' : '"&amp;B141&amp;"', 'mass_quantity' : '"&amp;C141&amp;"', 'volume_unit' : '"&amp;D141&amp;"', 'volume_quantity' : '"&amp;E141&amp;"', 'pieces_unit' : '"&amp;F141&amp;"', 'pieces_quantity' : '"&amp;G141&amp;"'}).status_code"</f>
        <v>Client().post('/recipes/', {'name' : 'Boondi raita', 'mass_unit' : '', 'mass_quantity' : '', 'volume_unit' : '4', 'volume_quantity' : '1', 'pieces_unit' : '', 'pieces_quantity' : ''}).status_code</v>
      </c>
    </row>
    <row r="142" customFormat="false" ht="15" hidden="false" customHeight="false" outlineLevel="0" collapsed="false">
      <c r="A142" s="10" t="str">
        <f aca="false">A19</f>
        <v>Brokoli Sautee</v>
      </c>
      <c r="B142" s="12"/>
      <c r="C142" s="12"/>
      <c r="D142" s="12" t="n">
        <f aca="false">IFERROR(VLOOKUP(D19,$B$117:$C$122,2,0),"")</f>
        <v>4</v>
      </c>
      <c r="E142" s="12" t="n">
        <f aca="false">E19</f>
        <v>1</v>
      </c>
      <c r="F142" s="12" t="str">
        <f aca="false">IFERROR(VLOOKUP(F19,$B$117:$C$122,2,0),"")</f>
        <v/>
      </c>
      <c r="G142" s="12"/>
      <c r="H142" s="0" t="str">
        <f aca="false">"Client().post('/recipes/', {'name' : '"&amp;A142&amp;"', 'mass_unit' : '"&amp;B142&amp;"', 'mass_quantity' : '"&amp;C142&amp;"', 'volume_unit' : '"&amp;D142&amp;"', 'volume_quantity' : '"&amp;E142&amp;"', 'pieces_unit' : '"&amp;F142&amp;"', 'pieces_quantity' : '"&amp;G142&amp;"'}).status_code"</f>
        <v>Client().post('/recipes/', {'name' : 'Brokoli Sautee', 'mass_unit' : '', 'mass_quantity' : '', 'volume_unit' : '4', 'volume_quantity' : '1', 'pieces_unit' : '', 'pieces_quantity' : ''}).status_code</v>
      </c>
    </row>
    <row r="143" customFormat="false" ht="15" hidden="false" customHeight="false" outlineLevel="0" collapsed="false">
      <c r="A143" s="10" t="str">
        <f aca="false">A20</f>
        <v>Chole Krsna Balaram</v>
      </c>
      <c r="B143" s="12"/>
      <c r="C143" s="12"/>
      <c r="D143" s="12" t="n">
        <f aca="false">IFERROR(VLOOKUP(D20,$B$117:$C$122,2,0),"")</f>
        <v>4</v>
      </c>
      <c r="E143" s="12" t="n">
        <f aca="false">E20</f>
        <v>1</v>
      </c>
      <c r="F143" s="12" t="str">
        <f aca="false">IFERROR(VLOOKUP(F20,$B$117:$C$122,2,0),"")</f>
        <v/>
      </c>
      <c r="G143" s="12"/>
      <c r="H143" s="0" t="str">
        <f aca="false">"Client().post('/recipes/', {'name' : '"&amp;A143&amp;"', 'mass_unit' : '"&amp;B143&amp;"', 'mass_quantity' : '"&amp;C143&amp;"', 'volume_unit' : '"&amp;D143&amp;"', 'volume_quantity' : '"&amp;E143&amp;"', 'pieces_unit' : '"&amp;F143&amp;"', 'pieces_quantity' : '"&amp;G143&amp;"'}).status_code"</f>
        <v>Client().post('/recipes/', {'name' : 'Chole Krsna Balaram', 'mass_unit' : '', 'mass_quantity' : '', 'volume_unit' : '4', 'volume_quantity' : '1', 'pieces_unit' : '', 'pieces_quantity' : ''}).status_code</v>
      </c>
    </row>
    <row r="144" customFormat="false" ht="15" hidden="false" customHeight="false" outlineLevel="0" collapsed="false">
      <c r="A144" s="10" t="str">
        <f aca="false">A21</f>
        <v>Coconut Chutney</v>
      </c>
      <c r="B144" s="12"/>
      <c r="C144" s="12"/>
      <c r="D144" s="12" t="n">
        <f aca="false">IFERROR(VLOOKUP(D21,$B$117:$C$122,2,0),"")</f>
        <v>4</v>
      </c>
      <c r="E144" s="12" t="n">
        <f aca="false">E21</f>
        <v>1</v>
      </c>
      <c r="F144" s="12" t="str">
        <f aca="false">IFERROR(VLOOKUP(F21,$B$117:$C$122,2,0),"")</f>
        <v/>
      </c>
      <c r="G144" s="12"/>
      <c r="H144" s="0" t="str">
        <f aca="false">"Client().post('/recipes/', {'name' : '"&amp;A144&amp;"', 'mass_unit' : '"&amp;B144&amp;"', 'mass_quantity' : '"&amp;C144&amp;"', 'volume_unit' : '"&amp;D144&amp;"', 'volume_quantity' : '"&amp;E144&amp;"', 'pieces_unit' : '"&amp;F144&amp;"', 'pieces_quantity' : '"&amp;G144&amp;"'}).status_code"</f>
        <v>Client().post('/recipes/', {'name' : 'Coconut Chutney', 'mass_unit' : '', 'mass_quantity' : '', 'volume_unit' : '4', 'volume_quantity' : '1', 'pieces_unit' : '', 'pieces_quantity' : ''}).status_code</v>
      </c>
    </row>
    <row r="145" customFormat="false" ht="15" hidden="false" customHeight="false" outlineLevel="0" collapsed="false">
      <c r="A145" s="10" t="str">
        <f aca="false">A22</f>
        <v>Dahi  Rice</v>
      </c>
      <c r="B145" s="12"/>
      <c r="C145" s="12"/>
      <c r="D145" s="12" t="n">
        <f aca="false">IFERROR(VLOOKUP(D22,$B$117:$C$122,2,0),"")</f>
        <v>4</v>
      </c>
      <c r="E145" s="12" t="n">
        <f aca="false">E22</f>
        <v>1</v>
      </c>
      <c r="F145" s="12" t="str">
        <f aca="false">IFERROR(VLOOKUP(F22,$B$117:$C$122,2,0),"")</f>
        <v/>
      </c>
      <c r="G145" s="12"/>
      <c r="H145" s="0" t="str">
        <f aca="false">"Client().post('/recipes/', {'name' : '"&amp;A145&amp;"', 'mass_unit' : '"&amp;B145&amp;"', 'mass_quantity' : '"&amp;C145&amp;"', 'volume_unit' : '"&amp;D145&amp;"', 'volume_quantity' : '"&amp;E145&amp;"', 'pieces_unit' : '"&amp;F145&amp;"', 'pieces_quantity' : '"&amp;G145&amp;"'}).status_code"</f>
        <v>Client().post('/recipes/', {'name' : 'Dahi  Rice', 'mass_unit' : '', 'mass_quantity' : '', 'volume_unit' : '4', 'volume_quantity' : '1', 'pieces_unit' : '', 'pieces_quantity' : ''}).status_code</v>
      </c>
    </row>
    <row r="146" customFormat="false" ht="15" hidden="false" customHeight="false" outlineLevel="0" collapsed="false">
      <c r="A146" s="10" t="str">
        <f aca="false">A23</f>
        <v>Dahi Baingan</v>
      </c>
      <c r="B146" s="12"/>
      <c r="C146" s="12"/>
      <c r="D146" s="12" t="n">
        <f aca="false">IFERROR(VLOOKUP(D23,$B$117:$C$122,2,0),"")</f>
        <v>4</v>
      </c>
      <c r="E146" s="12" t="n">
        <f aca="false">E23</f>
        <v>1</v>
      </c>
      <c r="F146" s="12" t="str">
        <f aca="false">IFERROR(VLOOKUP(F23,$B$117:$C$122,2,0),"")</f>
        <v/>
      </c>
      <c r="G146" s="12"/>
      <c r="H146" s="0" t="str">
        <f aca="false">"Client().post('/recipes/', {'name' : '"&amp;A146&amp;"', 'mass_unit' : '"&amp;B146&amp;"', 'mass_quantity' : '"&amp;C146&amp;"', 'volume_unit' : '"&amp;D146&amp;"', 'volume_quantity' : '"&amp;E146&amp;"', 'pieces_unit' : '"&amp;F146&amp;"', 'pieces_quantity' : '"&amp;G146&amp;"'}).status_code"</f>
        <v>Client().post('/recipes/', {'name' : 'Dahi Baingan', 'mass_unit' : '', 'mass_quantity' : '', 'volume_unit' : '4', 'volume_quantity' : '1', 'pieces_unit' : '', 'pieces_quantity' : ''}).status_code</v>
      </c>
    </row>
    <row r="147" customFormat="false" ht="15" hidden="false" customHeight="false" outlineLevel="0" collapsed="false">
      <c r="A147" s="10" t="str">
        <f aca="false">A24</f>
        <v>Dahi Bhindi</v>
      </c>
      <c r="B147" s="12"/>
      <c r="C147" s="12"/>
      <c r="D147" s="12" t="n">
        <f aca="false">IFERROR(VLOOKUP(D24,$B$117:$C$122,2,0),"")</f>
        <v>4</v>
      </c>
      <c r="E147" s="12" t="n">
        <f aca="false">E24</f>
        <v>1</v>
      </c>
      <c r="F147" s="12" t="str">
        <f aca="false">IFERROR(VLOOKUP(F24,$B$117:$C$122,2,0),"")</f>
        <v/>
      </c>
      <c r="G147" s="12"/>
      <c r="H147" s="0" t="str">
        <f aca="false">"Client().post('/recipes/', {'name' : '"&amp;A147&amp;"', 'mass_unit' : '"&amp;B147&amp;"', 'mass_quantity' : '"&amp;C147&amp;"', 'volume_unit' : '"&amp;D147&amp;"', 'volume_quantity' : '"&amp;E147&amp;"', 'pieces_unit' : '"&amp;F147&amp;"', 'pieces_quantity' : '"&amp;G147&amp;"'}).status_code"</f>
        <v>Client().post('/recipes/', {'name' : 'Dahi Bhindi', 'mass_unit' : '', 'mass_quantity' : '', 'volume_unit' : '4', 'volume_quantity' : '1', 'pieces_unit' : '', 'pieces_quantity' : ''}).status_code</v>
      </c>
    </row>
    <row r="148" customFormat="false" ht="15" hidden="false" customHeight="false" outlineLevel="0" collapsed="false">
      <c r="A148" s="10" t="str">
        <f aca="false">A25</f>
        <v>Dahi Patol</v>
      </c>
      <c r="B148" s="12"/>
      <c r="C148" s="12"/>
      <c r="D148" s="12" t="n">
        <f aca="false">IFERROR(VLOOKUP(D25,$B$117:$C$122,2,0),"")</f>
        <v>4</v>
      </c>
      <c r="E148" s="12" t="n">
        <f aca="false">E25</f>
        <v>1</v>
      </c>
      <c r="F148" s="12" t="str">
        <f aca="false">IFERROR(VLOOKUP(F25,$B$117:$C$122,2,0),"")</f>
        <v/>
      </c>
      <c r="G148" s="12"/>
      <c r="H148" s="0" t="str">
        <f aca="false">"Client().post('/recipes/', {'name' : '"&amp;A148&amp;"', 'mass_unit' : '"&amp;B148&amp;"', 'mass_quantity' : '"&amp;C148&amp;"', 'volume_unit' : '"&amp;D148&amp;"', 'volume_quantity' : '"&amp;E148&amp;"', 'pieces_unit' : '"&amp;F148&amp;"', 'pieces_quantity' : '"&amp;G148&amp;"'}).status_code"</f>
        <v>Client().post('/recipes/', {'name' : 'Dahi Patol', 'mass_unit' : '', 'mass_quantity' : '', 'volume_unit' : '4', 'volume_quantity' : '1', 'pieces_unit' : '', 'pieces_quantity' : ''}).status_code</v>
      </c>
    </row>
    <row r="149" customFormat="false" ht="15" hidden="false" customHeight="false" outlineLevel="0" collapsed="false">
      <c r="A149" s="10" t="str">
        <f aca="false">A26</f>
        <v>DHOKLA</v>
      </c>
      <c r="B149" s="12"/>
      <c r="C149" s="12"/>
      <c r="D149" s="12" t="n">
        <f aca="false">IFERROR(VLOOKUP(D26,$B$117:$C$122,2,0),"")</f>
        <v>4</v>
      </c>
      <c r="E149" s="12" t="n">
        <f aca="false">E26</f>
        <v>1</v>
      </c>
      <c r="F149" s="12" t="str">
        <f aca="false">IFERROR(VLOOKUP(F26,$B$117:$C$122,2,0),"")</f>
        <v/>
      </c>
      <c r="G149" s="12"/>
      <c r="H149" s="0" t="str">
        <f aca="false">"Client().post('/recipes/', {'name' : '"&amp;A149&amp;"', 'mass_unit' : '"&amp;B149&amp;"', 'mass_quantity' : '"&amp;C149&amp;"', 'volume_unit' : '"&amp;D149&amp;"', 'volume_quantity' : '"&amp;E149&amp;"', 'pieces_unit' : '"&amp;F149&amp;"', 'pieces_quantity' : '"&amp;G149&amp;"'}).status_code"</f>
        <v>Client().post('/recipes/', {'name' : 'DHOKLA', 'mass_unit' : '', 'mass_quantity' : '', 'volume_unit' : '4', 'volume_quantity' : '1', 'pieces_unit' : '', 'pieces_quantity' : ''}).status_code</v>
      </c>
    </row>
    <row r="150" customFormat="false" ht="15" hidden="false" customHeight="false" outlineLevel="0" collapsed="false">
      <c r="A150" s="10" t="str">
        <f aca="false">A27</f>
        <v>Dosa Bhaji Dry</v>
      </c>
      <c r="B150" s="12"/>
      <c r="C150" s="12"/>
      <c r="D150" s="12" t="n">
        <f aca="false">IFERROR(VLOOKUP(D27,$B$117:$C$122,2,0),"")</f>
        <v>4</v>
      </c>
      <c r="E150" s="12" t="n">
        <f aca="false">E27</f>
        <v>1</v>
      </c>
      <c r="F150" s="12" t="str">
        <f aca="false">IFERROR(VLOOKUP(F27,$B$117:$C$122,2,0),"")</f>
        <v/>
      </c>
      <c r="G150" s="12"/>
      <c r="H150" s="0" t="str">
        <f aca="false">"Client().post('/recipes/', {'name' : '"&amp;A150&amp;"', 'mass_unit' : '"&amp;B150&amp;"', 'mass_quantity' : '"&amp;C150&amp;"', 'volume_unit' : '"&amp;D150&amp;"', 'volume_quantity' : '"&amp;E150&amp;"', 'pieces_unit' : '"&amp;F150&amp;"', 'pieces_quantity' : '"&amp;G150&amp;"'}).status_code"</f>
        <v>Client().post('/recipes/', {'name' : 'Dosa Bhaji Dry', 'mass_unit' : '', 'mass_quantity' : '', 'volume_unit' : '4', 'volume_quantity' : '1', 'pieces_unit' : '', 'pieces_quantity' : ''}).status_code</v>
      </c>
    </row>
    <row r="151" customFormat="false" ht="15" hidden="false" customHeight="false" outlineLevel="0" collapsed="false">
      <c r="A151" s="10" t="str">
        <f aca="false">A28</f>
        <v>Dwadashi / Spicy Khichadi</v>
      </c>
      <c r="B151" s="12"/>
      <c r="C151" s="12"/>
      <c r="D151" s="12" t="n">
        <f aca="false">IFERROR(VLOOKUP(D28,$B$117:$C$122,2,0),"")</f>
        <v>4</v>
      </c>
      <c r="E151" s="12" t="n">
        <f aca="false">E28</f>
        <v>1</v>
      </c>
      <c r="F151" s="12" t="str">
        <f aca="false">IFERROR(VLOOKUP(F28,$B$117:$C$122,2,0),"")</f>
        <v/>
      </c>
      <c r="G151" s="12"/>
      <c r="H151" s="0" t="str">
        <f aca="false">"Client().post('/recipes/', {'name' : '"&amp;A151&amp;"', 'mass_unit' : '"&amp;B151&amp;"', 'mass_quantity' : '"&amp;C151&amp;"', 'volume_unit' : '"&amp;D151&amp;"', 'volume_quantity' : '"&amp;E151&amp;"', 'pieces_unit' : '"&amp;F151&amp;"', 'pieces_quantity' : '"&amp;G151&amp;"'}).status_code"</f>
        <v>Client().post('/recipes/', {'name' : 'Dwadashi / Spicy Khichadi', 'mass_unit' : '', 'mass_quantity' : '', 'volume_unit' : '4', 'volume_quantity' : '1', 'pieces_unit' : '', 'pieces_quantity' : ''}).status_code</v>
      </c>
    </row>
    <row r="152" customFormat="false" ht="15" hidden="false" customHeight="false" outlineLevel="0" collapsed="false">
      <c r="A152" s="10" t="str">
        <f aca="false">A29</f>
        <v>EKADASHI CHUTNEY</v>
      </c>
      <c r="B152" s="12"/>
      <c r="C152" s="12"/>
      <c r="D152" s="12" t="n">
        <f aca="false">IFERROR(VLOOKUP(D29,$B$117:$C$122,2,0),"")</f>
        <v>4</v>
      </c>
      <c r="E152" s="12" t="n">
        <f aca="false">E29</f>
        <v>1</v>
      </c>
      <c r="F152" s="12" t="str">
        <f aca="false">IFERROR(VLOOKUP(F29,$B$117:$C$122,2,0),"")</f>
        <v/>
      </c>
      <c r="G152" s="12"/>
      <c r="H152" s="0" t="str">
        <f aca="false">"Client().post('/recipes/', {'name' : '"&amp;A152&amp;"', 'mass_unit' : '"&amp;B152&amp;"', 'mass_quantity' : '"&amp;C152&amp;"', 'volume_unit' : '"&amp;D152&amp;"', 'volume_quantity' : '"&amp;E152&amp;"', 'pieces_unit' : '"&amp;F152&amp;"', 'pieces_quantity' : '"&amp;G152&amp;"'}).status_code"</f>
        <v>Client().post('/recipes/', {'name' : 'EKADASHI CHUTNEY', 'mass_unit' : '', 'mass_quantity' : '', 'volume_unit' : '4', 'volume_quantity' : '1', 'pieces_unit' : '', 'pieces_quantity' : ''}).status_code</v>
      </c>
    </row>
    <row r="153" customFormat="false" ht="15" hidden="false" customHeight="false" outlineLevel="0" collapsed="false">
      <c r="A153" s="10" t="str">
        <f aca="false">A30</f>
        <v>EKADASHI KHICHDI  SPICY</v>
      </c>
      <c r="B153" s="12"/>
      <c r="C153" s="12"/>
      <c r="D153" s="12" t="n">
        <f aca="false">IFERROR(VLOOKUP(D30,$B$117:$C$122,2,0),"")</f>
        <v>4</v>
      </c>
      <c r="E153" s="12" t="n">
        <f aca="false">E30</f>
        <v>1</v>
      </c>
      <c r="F153" s="12" t="str">
        <f aca="false">IFERROR(VLOOKUP(F30,$B$117:$C$122,2,0),"")</f>
        <v/>
      </c>
      <c r="G153" s="12"/>
      <c r="H153" s="0" t="str">
        <f aca="false">"Client().post('/recipes/', {'name' : '"&amp;A153&amp;"', 'mass_unit' : '"&amp;B153&amp;"', 'mass_quantity' : '"&amp;C153&amp;"', 'volume_unit' : '"&amp;D153&amp;"', 'volume_quantity' : '"&amp;E153&amp;"', 'pieces_unit' : '"&amp;F153&amp;"', 'pieces_quantity' : '"&amp;G153&amp;"'}).status_code"</f>
        <v>Client().post('/recipes/', {'name' : 'EKADASHI KHICHDI  SPICY', 'mass_unit' : '', 'mass_quantity' : '', 'volume_unit' : '4', 'volume_quantity' : '1', 'pieces_unit' : '', 'pieces_quantity' : ''}).status_code</v>
      </c>
    </row>
    <row r="154" customFormat="false" ht="15" hidden="false" customHeight="false" outlineLevel="0" collapsed="false">
      <c r="A154" s="10" t="str">
        <f aca="false">A31</f>
        <v>EKADASHI UPMA </v>
      </c>
      <c r="B154" s="12"/>
      <c r="C154" s="12"/>
      <c r="D154" s="12" t="n">
        <f aca="false">IFERROR(VLOOKUP(D31,$B$117:$C$122,2,0),"")</f>
        <v>4</v>
      </c>
      <c r="E154" s="12" t="n">
        <f aca="false">E31</f>
        <v>1</v>
      </c>
      <c r="F154" s="12" t="str">
        <f aca="false">IFERROR(VLOOKUP(F31,$B$117:$C$122,2,0),"")</f>
        <v/>
      </c>
      <c r="G154" s="12"/>
      <c r="H154" s="0" t="str">
        <f aca="false">"Client().post('/recipes/', {'name' : '"&amp;A154&amp;"', 'mass_unit' : '"&amp;B154&amp;"', 'mass_quantity' : '"&amp;C154&amp;"', 'volume_unit' : '"&amp;D154&amp;"', 'volume_quantity' : '"&amp;E154&amp;"', 'pieces_unit' : '"&amp;F154&amp;"', 'pieces_quantity' : '"&amp;G154&amp;"'}).status_code"</f>
        <v>Client().post('/recipes/', {'name' : 'EKADASHI UPMA ', 'mass_unit' : '', 'mass_quantity' : '', 'volume_unit' : '4', 'volume_quantity' : '1', 'pieces_unit' : '', 'pieces_quantity' : ''}).status_code</v>
      </c>
    </row>
    <row r="155" customFormat="false" ht="15" hidden="false" customHeight="false" outlineLevel="0" collapsed="false">
      <c r="A155" s="10" t="str">
        <f aca="false">A32</f>
        <v>FENNEL TEA </v>
      </c>
      <c r="B155" s="12"/>
      <c r="C155" s="12"/>
      <c r="D155" s="12" t="n">
        <f aca="false">IFERROR(VLOOKUP(D32,$B$117:$C$122,2,0),"")</f>
        <v>4</v>
      </c>
      <c r="E155" s="12" t="n">
        <f aca="false">E32</f>
        <v>1</v>
      </c>
      <c r="F155" s="12" t="str">
        <f aca="false">IFERROR(VLOOKUP(F32,$B$117:$C$122,2,0),"")</f>
        <v/>
      </c>
      <c r="G155" s="12"/>
      <c r="H155" s="0" t="str">
        <f aca="false">"Client().post('/recipes/', {'name' : '"&amp;A155&amp;"', 'mass_unit' : '"&amp;B155&amp;"', 'mass_quantity' : '"&amp;C155&amp;"', 'volume_unit' : '"&amp;D155&amp;"', 'volume_quantity' : '"&amp;E155&amp;"', 'pieces_unit' : '"&amp;F155&amp;"', 'pieces_quantity' : '"&amp;G155&amp;"'}).status_code"</f>
        <v>Client().post('/recipes/', {'name' : 'FENNEL TEA ', 'mass_unit' : '', 'mass_quantity' : '', 'volume_unit' : '4', 'volume_quantity' : '1', 'pieces_unit' : '', 'pieces_quantity' : ''}).status_code</v>
      </c>
    </row>
    <row r="156" customFormat="false" ht="15" hidden="false" customHeight="false" outlineLevel="0" collapsed="false">
      <c r="A156" s="10" t="str">
        <f aca="false">A33</f>
        <v>Gauranga fried  Rice </v>
      </c>
      <c r="B156" s="12"/>
      <c r="C156" s="12"/>
      <c r="D156" s="12" t="n">
        <f aca="false">IFERROR(VLOOKUP(D33,$B$117:$C$122,2,0),"")</f>
        <v>4</v>
      </c>
      <c r="E156" s="12" t="n">
        <f aca="false">E33</f>
        <v>1</v>
      </c>
      <c r="F156" s="12" t="str">
        <f aca="false">IFERROR(VLOOKUP(F33,$B$117:$C$122,2,0),"")</f>
        <v/>
      </c>
      <c r="G156" s="12"/>
      <c r="H156" s="0" t="str">
        <f aca="false">"Client().post('/recipes/', {'name' : '"&amp;A156&amp;"', 'mass_unit' : '"&amp;B156&amp;"', 'mass_quantity' : '"&amp;C156&amp;"', 'volume_unit' : '"&amp;D156&amp;"', 'volume_quantity' : '"&amp;E156&amp;"', 'pieces_unit' : '"&amp;F156&amp;"', 'pieces_quantity' : '"&amp;G156&amp;"'}).status_code"</f>
        <v>Client().post('/recipes/', {'name' : 'Gauranga fried  Rice ', 'mass_unit' : '', 'mass_quantity' : '', 'volume_unit' : '4', 'volume_quantity' : '1', 'pieces_unit' : '', 'pieces_quantity' : ''}).status_code</v>
      </c>
    </row>
    <row r="157" customFormat="false" ht="15" hidden="false" customHeight="false" outlineLevel="0" collapsed="false">
      <c r="A157" s="10" t="str">
        <f aca="false">A34</f>
        <v>GINGER LEMON TEA</v>
      </c>
      <c r="B157" s="12"/>
      <c r="C157" s="12"/>
      <c r="D157" s="12" t="n">
        <f aca="false">IFERROR(VLOOKUP(D34,$B$117:$C$122,2,0),"")</f>
        <v>4</v>
      </c>
      <c r="E157" s="12" t="n">
        <f aca="false">E34</f>
        <v>1</v>
      </c>
      <c r="F157" s="12" t="str">
        <f aca="false">IFERROR(VLOOKUP(F34,$B$117:$C$122,2,0),"")</f>
        <v/>
      </c>
      <c r="G157" s="12"/>
      <c r="H157" s="0" t="str">
        <f aca="false">"Client().post('/recipes/', {'name' : '"&amp;A157&amp;"', 'mass_unit' : '"&amp;B157&amp;"', 'mass_quantity' : '"&amp;C157&amp;"', 'volume_unit' : '"&amp;D157&amp;"', 'volume_quantity' : '"&amp;E157&amp;"', 'pieces_unit' : '"&amp;F157&amp;"', 'pieces_quantity' : '"&amp;G157&amp;"'}).status_code"</f>
        <v>Client().post('/recipes/', {'name' : 'GINGER LEMON TEA', 'mass_unit' : '', 'mass_quantity' : '', 'volume_unit' : '4', 'volume_quantity' : '1', 'pieces_unit' : '', 'pieces_quantity' : ''}).status_code</v>
      </c>
    </row>
    <row r="158" customFormat="false" ht="15" hidden="false" customHeight="false" outlineLevel="0" collapsed="false">
      <c r="A158" s="10" t="str">
        <f aca="false">A35</f>
        <v>green chutney -Dhokla AND MUMBAI  BHEL</v>
      </c>
      <c r="B158" s="12"/>
      <c r="C158" s="12"/>
      <c r="D158" s="12" t="n">
        <f aca="false">IFERROR(VLOOKUP(D35,$B$117:$C$122,2,0),"")</f>
        <v>4</v>
      </c>
      <c r="E158" s="12" t="n">
        <f aca="false">E35</f>
        <v>1</v>
      </c>
      <c r="F158" s="12" t="str">
        <f aca="false">IFERROR(VLOOKUP(F35,$B$117:$C$122,2,0),"")</f>
        <v/>
      </c>
      <c r="G158" s="12"/>
      <c r="H158" s="0" t="str">
        <f aca="false">"Client().post('/recipes/', {'name' : '"&amp;A158&amp;"', 'mass_unit' : '"&amp;B158&amp;"', 'mass_quantity' : '"&amp;C158&amp;"', 'volume_unit' : '"&amp;D158&amp;"', 'volume_quantity' : '"&amp;E158&amp;"', 'pieces_unit' : '"&amp;F158&amp;"', 'pieces_quantity' : '"&amp;G158&amp;"'}).status_code"</f>
        <v>Client().post('/recipes/', {'name' : 'green chutney -Dhokla AND MUMBAI  BHEL', 'mass_unit' : '', 'mass_quantity' : '', 'volume_unit' : '4', 'volume_quantity' : '1', 'pieces_unit' : '', 'pieces_quantity' : ''}).status_code</v>
      </c>
    </row>
    <row r="159" customFormat="false" ht="15" hidden="false" customHeight="false" outlineLevel="0" collapsed="false">
      <c r="A159" s="10" t="str">
        <f aca="false">A36</f>
        <v>Green curry</v>
      </c>
      <c r="B159" s="12"/>
      <c r="C159" s="12"/>
      <c r="D159" s="12" t="n">
        <f aca="false">IFERROR(VLOOKUP(D36,$B$117:$C$122,2,0),"")</f>
        <v>4</v>
      </c>
      <c r="E159" s="12" t="n">
        <f aca="false">E36</f>
        <v>1</v>
      </c>
      <c r="F159" s="12" t="str">
        <f aca="false">IFERROR(VLOOKUP(F36,$B$117:$C$122,2,0),"")</f>
        <v/>
      </c>
      <c r="G159" s="12"/>
      <c r="H159" s="0" t="str">
        <f aca="false">"Client().post('/recipes/', {'name' : '"&amp;A159&amp;"', 'mass_unit' : '"&amp;B159&amp;"', 'mass_quantity' : '"&amp;C159&amp;"', 'volume_unit' : '"&amp;D159&amp;"', 'volume_quantity' : '"&amp;E159&amp;"', 'pieces_unit' : '"&amp;F159&amp;"', 'pieces_quantity' : '"&amp;G159&amp;"'}).status_code"</f>
        <v>Client().post('/recipes/', {'name' : 'Green curry', 'mass_unit' : '', 'mass_quantity' : '', 'volume_unit' : '4', 'volume_quantity' : '1', 'pieces_unit' : '', 'pieces_quantity' : ''}).status_code</v>
      </c>
    </row>
    <row r="160" customFormat="false" ht="15" hidden="false" customHeight="false" outlineLevel="0" collapsed="false">
      <c r="A160" s="10" t="str">
        <f aca="false">A37</f>
        <v>Herbal Tea</v>
      </c>
      <c r="B160" s="12"/>
      <c r="C160" s="12"/>
      <c r="D160" s="12" t="n">
        <f aca="false">IFERROR(VLOOKUP(D37,$B$117:$C$122,2,0),"")</f>
        <v>4</v>
      </c>
      <c r="E160" s="12" t="n">
        <f aca="false">E37</f>
        <v>1</v>
      </c>
      <c r="F160" s="12" t="str">
        <f aca="false">IFERROR(VLOOKUP(F37,$B$117:$C$122,2,0),"")</f>
        <v/>
      </c>
      <c r="G160" s="12"/>
      <c r="H160" s="0" t="str">
        <f aca="false">"Client().post('/recipes/', {'name' : '"&amp;A160&amp;"', 'mass_unit' : '"&amp;B160&amp;"', 'mass_quantity' : '"&amp;C160&amp;"', 'volume_unit' : '"&amp;D160&amp;"', 'volume_quantity' : '"&amp;E160&amp;"', 'pieces_unit' : '"&amp;F160&amp;"', 'pieces_quantity' : '"&amp;G160&amp;"'}).status_code"</f>
        <v>Client().post('/recipes/', {'name' : 'Herbal Tea', 'mass_unit' : '', 'mass_quantity' : '', 'volume_unit' : '4', 'volume_quantity' : '1', 'pieces_unit' : '', 'pieces_quantity' : ''}).status_code</v>
      </c>
    </row>
    <row r="161" customFormat="false" ht="15" hidden="false" customHeight="false" outlineLevel="0" collapsed="false">
      <c r="A161" s="10" t="str">
        <f aca="false">A38</f>
        <v>Idli </v>
      </c>
      <c r="B161" s="12"/>
      <c r="C161" s="12"/>
      <c r="D161" s="12" t="n">
        <f aca="false">IFERROR(VLOOKUP(D38,$B$117:$C$122,2,0),"")</f>
        <v>4</v>
      </c>
      <c r="E161" s="12" t="n">
        <f aca="false">E38</f>
        <v>1</v>
      </c>
      <c r="F161" s="12" t="str">
        <f aca="false">IFERROR(VLOOKUP(F38,$B$117:$C$122,2,0),"")</f>
        <v/>
      </c>
      <c r="G161" s="12"/>
      <c r="H161" s="0" t="str">
        <f aca="false">"Client().post('/recipes/', {'name' : '"&amp;A161&amp;"', 'mass_unit' : '"&amp;B161&amp;"', 'mass_quantity' : '"&amp;C161&amp;"', 'volume_unit' : '"&amp;D161&amp;"', 'volume_quantity' : '"&amp;E161&amp;"', 'pieces_unit' : '"&amp;F161&amp;"', 'pieces_quantity' : '"&amp;G161&amp;"'}).status_code"</f>
        <v>Client().post('/recipes/', {'name' : 'Idli ', 'mass_unit' : '', 'mass_quantity' : '', 'volume_unit' : '4', 'volume_quantity' : '1', 'pieces_unit' : '', 'pieces_quantity' : ''}).status_code</v>
      </c>
    </row>
    <row r="162" customFormat="false" ht="15" hidden="false" customHeight="false" outlineLevel="0" collapsed="false">
      <c r="A162" s="10" t="str">
        <f aca="false">A39</f>
        <v>Italian Salad</v>
      </c>
      <c r="B162" s="12"/>
      <c r="C162" s="12"/>
      <c r="D162" s="12" t="n">
        <f aca="false">IFERROR(VLOOKUP(D39,$B$117:$C$122,2,0),"")</f>
        <v>4</v>
      </c>
      <c r="E162" s="12" t="n">
        <f aca="false">E39</f>
        <v>1</v>
      </c>
      <c r="F162" s="12" t="str">
        <f aca="false">IFERROR(VLOOKUP(F39,$B$117:$C$122,2,0),"")</f>
        <v/>
      </c>
      <c r="G162" s="12"/>
      <c r="H162" s="0" t="str">
        <f aca="false">"Client().post('/recipes/', {'name' : '"&amp;A162&amp;"', 'mass_unit' : '"&amp;B162&amp;"', 'mass_quantity' : '"&amp;C162&amp;"', 'volume_unit' : '"&amp;D162&amp;"', 'volume_quantity' : '"&amp;E162&amp;"', 'pieces_unit' : '"&amp;F162&amp;"', 'pieces_quantity' : '"&amp;G162&amp;"'}).status_code"</f>
        <v>Client().post('/recipes/', {'name' : 'Italian Salad', 'mass_unit' : '', 'mass_quantity' : '', 'volume_unit' : '4', 'volume_quantity' : '1', 'pieces_unit' : '', 'pieces_quantity' : ''}).status_code</v>
      </c>
    </row>
    <row r="163" customFormat="false" ht="15" hidden="false" customHeight="false" outlineLevel="0" collapsed="false">
      <c r="A163" s="10" t="str">
        <f aca="false">A40</f>
        <v>Jackfruit gravy</v>
      </c>
      <c r="B163" s="12"/>
      <c r="C163" s="12"/>
      <c r="D163" s="12" t="n">
        <f aca="false">IFERROR(VLOOKUP(D40,$B$117:$C$122,2,0),"")</f>
        <v>4</v>
      </c>
      <c r="E163" s="12" t="n">
        <f aca="false">E40</f>
        <v>1</v>
      </c>
      <c r="F163" s="12" t="str">
        <f aca="false">IFERROR(VLOOKUP(F40,$B$117:$C$122,2,0),"")</f>
        <v/>
      </c>
      <c r="G163" s="12"/>
      <c r="H163" s="0" t="str">
        <f aca="false">"Client().post('/recipes/', {'name' : '"&amp;A163&amp;"', 'mass_unit' : '"&amp;B163&amp;"', 'mass_quantity' : '"&amp;C163&amp;"', 'volume_unit' : '"&amp;D163&amp;"', 'volume_quantity' : '"&amp;E163&amp;"', 'pieces_unit' : '"&amp;F163&amp;"', 'pieces_quantity' : '"&amp;G163&amp;"'}).status_code"</f>
        <v>Client().post('/recipes/', {'name' : 'Jackfruit gravy', 'mass_unit' : '', 'mass_quantity' : '', 'volume_unit' : '4', 'volume_quantity' : '1', 'pieces_unit' : '', 'pieces_quantity' : ''}).status_code</v>
      </c>
    </row>
    <row r="164" customFormat="false" ht="15" hidden="false" customHeight="false" outlineLevel="0" collapsed="false">
      <c r="A164" s="10" t="str">
        <f aca="false">A41</f>
        <v>Jeera Rice</v>
      </c>
      <c r="B164" s="12"/>
      <c r="C164" s="12"/>
      <c r="D164" s="12" t="n">
        <f aca="false">IFERROR(VLOOKUP(D41,$B$117:$C$122,2,0),"")</f>
        <v>4</v>
      </c>
      <c r="E164" s="12" t="n">
        <f aca="false">E41</f>
        <v>1</v>
      </c>
      <c r="F164" s="12" t="str">
        <f aca="false">IFERROR(VLOOKUP(F41,$B$117:$C$122,2,0),"")</f>
        <v/>
      </c>
      <c r="G164" s="12"/>
      <c r="H164" s="0" t="str">
        <f aca="false">"Client().post('/recipes/', {'name' : '"&amp;A164&amp;"', 'mass_unit' : '"&amp;B164&amp;"', 'mass_quantity' : '"&amp;C164&amp;"', 'volume_unit' : '"&amp;D164&amp;"', 'volume_quantity' : '"&amp;E164&amp;"', 'pieces_unit' : '"&amp;F164&amp;"', 'pieces_quantity' : '"&amp;G164&amp;"'}).status_code"</f>
        <v>Client().post('/recipes/', {'name' : 'Jeera Rice', 'mass_unit' : '', 'mass_quantity' : '', 'volume_unit' : '4', 'volume_quantity' : '1', 'pieces_unit' : '', 'pieces_quantity' : ''}).status_code</v>
      </c>
    </row>
    <row r="165" customFormat="false" ht="15" hidden="false" customHeight="false" outlineLevel="0" collapsed="false">
      <c r="A165" s="10" t="str">
        <f aca="false">A42</f>
        <v>JP Khichadi</v>
      </c>
      <c r="B165" s="12"/>
      <c r="C165" s="12"/>
      <c r="D165" s="12" t="n">
        <f aca="false">IFERROR(VLOOKUP(D42,$B$117:$C$122,2,0),"")</f>
        <v>4</v>
      </c>
      <c r="E165" s="12" t="n">
        <f aca="false">E42</f>
        <v>1</v>
      </c>
      <c r="F165" s="12" t="str">
        <f aca="false">IFERROR(VLOOKUP(F42,$B$117:$C$122,2,0),"")</f>
        <v/>
      </c>
      <c r="G165" s="12"/>
      <c r="H165" s="0" t="str">
        <f aca="false">"Client().post('/recipes/', {'name' : '"&amp;A165&amp;"', 'mass_unit' : '"&amp;B165&amp;"', 'mass_quantity' : '"&amp;C165&amp;"', 'volume_unit' : '"&amp;D165&amp;"', 'volume_quantity' : '"&amp;E165&amp;"', 'pieces_unit' : '"&amp;F165&amp;"', 'pieces_quantity' : '"&amp;G165&amp;"'}).status_code"</f>
        <v>Client().post('/recipes/', {'name' : 'JP Khichadi', 'mass_unit' : '', 'mass_quantity' : '', 'volume_unit' : '4', 'volume_quantity' : '1', 'pieces_unit' : '', 'pieces_quantity' : ''}).status_code</v>
      </c>
    </row>
    <row r="166" customFormat="false" ht="15" hidden="false" customHeight="false" outlineLevel="0" collapsed="false">
      <c r="A166" s="10" t="str">
        <f aca="false">A43</f>
        <v>Kerela Round</v>
      </c>
      <c r="B166" s="12"/>
      <c r="C166" s="12"/>
      <c r="D166" s="12" t="n">
        <f aca="false">IFERROR(VLOOKUP(D43,$B$117:$C$122,2,0),"")</f>
        <v>4</v>
      </c>
      <c r="E166" s="12" t="n">
        <f aca="false">E43</f>
        <v>1</v>
      </c>
      <c r="F166" s="12" t="str">
        <f aca="false">IFERROR(VLOOKUP(F43,$B$117:$C$122,2,0),"")</f>
        <v/>
      </c>
      <c r="G166" s="12"/>
      <c r="H166" s="0" t="str">
        <f aca="false">"Client().post('/recipes/', {'name' : '"&amp;A166&amp;"', 'mass_unit' : '"&amp;B166&amp;"', 'mass_quantity' : '"&amp;C166&amp;"', 'volume_unit' : '"&amp;D166&amp;"', 'volume_quantity' : '"&amp;E166&amp;"', 'pieces_unit' : '"&amp;F166&amp;"', 'pieces_quantity' : '"&amp;G166&amp;"'}).status_code"</f>
        <v>Client().post('/recipes/', {'name' : 'Kerela Round', 'mass_unit' : '', 'mass_quantity' : '', 'volume_unit' : '4', 'volume_quantity' : '1', 'pieces_unit' : '', 'pieces_quantity' : ''}).status_code</v>
      </c>
    </row>
    <row r="167" customFormat="false" ht="15" hidden="false" customHeight="false" outlineLevel="0" collapsed="false">
      <c r="A167" s="10" t="str">
        <f aca="false">A44</f>
        <v>Khichadi</v>
      </c>
      <c r="B167" s="12"/>
      <c r="C167" s="12"/>
      <c r="D167" s="12" t="n">
        <f aca="false">IFERROR(VLOOKUP(D44,$B$117:$C$122,2,0),"")</f>
        <v>4</v>
      </c>
      <c r="E167" s="12" t="n">
        <f aca="false">E44</f>
        <v>1</v>
      </c>
      <c r="F167" s="12" t="str">
        <f aca="false">IFERROR(VLOOKUP(F44,$B$117:$C$122,2,0),"")</f>
        <v/>
      </c>
      <c r="G167" s="12"/>
      <c r="H167" s="0" t="str">
        <f aca="false">"Client().post('/recipes/', {'name' : '"&amp;A167&amp;"', 'mass_unit' : '"&amp;B167&amp;"', 'mass_quantity' : '"&amp;C167&amp;"', 'volume_unit' : '"&amp;D167&amp;"', 'volume_quantity' : '"&amp;E167&amp;"', 'pieces_unit' : '"&amp;F167&amp;"', 'pieces_quantity' : '"&amp;G167&amp;"'}).status_code"</f>
        <v>Client().post('/recipes/', {'name' : 'Khichadi', 'mass_unit' : '', 'mass_quantity' : '', 'volume_unit' : '4', 'volume_quantity' : '1', 'pieces_unit' : '', 'pieces_quantity' : ''}).status_code</v>
      </c>
    </row>
    <row r="168" customFormat="false" ht="15" hidden="false" customHeight="false" outlineLevel="0" collapsed="false">
      <c r="A168" s="10" t="str">
        <f aca="false">A45</f>
        <v>KOKAM</v>
      </c>
      <c r="B168" s="12"/>
      <c r="C168" s="12"/>
      <c r="D168" s="12" t="n">
        <f aca="false">IFERROR(VLOOKUP(D45,$B$117:$C$122,2,0),"")</f>
        <v>4</v>
      </c>
      <c r="E168" s="12" t="n">
        <f aca="false">E45</f>
        <v>1</v>
      </c>
      <c r="F168" s="12" t="str">
        <f aca="false">IFERROR(VLOOKUP(F45,$B$117:$C$122,2,0),"")</f>
        <v/>
      </c>
      <c r="G168" s="12"/>
      <c r="H168" s="0" t="str">
        <f aca="false">"Client().post('/recipes/', {'name' : '"&amp;A168&amp;"', 'mass_unit' : '"&amp;B168&amp;"', 'mass_quantity' : '"&amp;C168&amp;"', 'volume_unit' : '"&amp;D168&amp;"', 'volume_quantity' : '"&amp;E168&amp;"', 'pieces_unit' : '"&amp;F168&amp;"', 'pieces_quantity' : '"&amp;G168&amp;"'}).status_code"</f>
        <v>Client().post('/recipes/', {'name' : 'KOKAM', 'mass_unit' : '', 'mass_quantity' : '', 'volume_unit' : '4', 'volume_quantity' : '1', 'pieces_unit' : '', 'pieces_quantity' : ''}).status_code</v>
      </c>
    </row>
    <row r="169" customFormat="false" ht="15" hidden="false" customHeight="false" outlineLevel="0" collapsed="false">
      <c r="A169" s="10" t="str">
        <f aca="false">A46</f>
        <v>Kothimbit wadi</v>
      </c>
      <c r="B169" s="12"/>
      <c r="C169" s="12"/>
      <c r="D169" s="12" t="n">
        <f aca="false">IFERROR(VLOOKUP(D46,$B$117:$C$122,2,0),"")</f>
        <v>4</v>
      </c>
      <c r="E169" s="12" t="n">
        <f aca="false">E46</f>
        <v>1</v>
      </c>
      <c r="F169" s="12" t="str">
        <f aca="false">IFERROR(VLOOKUP(F46,$B$117:$C$122,2,0),"")</f>
        <v/>
      </c>
      <c r="G169" s="12"/>
      <c r="H169" s="0" t="str">
        <f aca="false">"Client().post('/recipes/', {'name' : '"&amp;A169&amp;"', 'mass_unit' : '"&amp;B169&amp;"', 'mass_quantity' : '"&amp;C169&amp;"', 'volume_unit' : '"&amp;D169&amp;"', 'volume_quantity' : '"&amp;E169&amp;"', 'pieces_unit' : '"&amp;F169&amp;"', 'pieces_quantity' : '"&amp;G169&amp;"'}).status_code"</f>
        <v>Client().post('/recipes/', {'name' : 'Kothimbit wadi', 'mass_unit' : '', 'mass_quantity' : '', 'volume_unit' : '4', 'volume_quantity' : '1', 'pieces_unit' : '', 'pieces_quantity' : ''}).status_code</v>
      </c>
    </row>
    <row r="170" customFormat="false" ht="15" hidden="false" customHeight="false" outlineLevel="0" collapsed="false">
      <c r="A170" s="10" t="str">
        <f aca="false">A47</f>
        <v>KURMURA SPICY</v>
      </c>
      <c r="B170" s="12"/>
      <c r="C170" s="12"/>
      <c r="D170" s="12" t="n">
        <f aca="false">IFERROR(VLOOKUP(D47,$B$117:$C$122,2,0),"")</f>
        <v>4</v>
      </c>
      <c r="E170" s="12" t="n">
        <f aca="false">E47</f>
        <v>1</v>
      </c>
      <c r="F170" s="12" t="str">
        <f aca="false">IFERROR(VLOOKUP(F47,$B$117:$C$122,2,0),"")</f>
        <v/>
      </c>
      <c r="G170" s="12"/>
      <c r="H170" s="0" t="str">
        <f aca="false">"Client().post('/recipes/', {'name' : '"&amp;A170&amp;"', 'mass_unit' : '"&amp;B170&amp;"', 'mass_quantity' : '"&amp;C170&amp;"', 'volume_unit' : '"&amp;D170&amp;"', 'volume_quantity' : '"&amp;E170&amp;"', 'pieces_unit' : '"&amp;F170&amp;"', 'pieces_quantity' : '"&amp;G170&amp;"'}).status_code"</f>
        <v>Client().post('/recipes/', {'name' : 'KURMURA SPICY', 'mass_unit' : '', 'mass_quantity' : '', 'volume_unit' : '4', 'volume_quantity' : '1', 'pieces_unit' : '', 'pieces_quantity' : ''}).status_code</v>
      </c>
    </row>
    <row r="171" customFormat="false" ht="15" hidden="false" customHeight="false" outlineLevel="0" collapsed="false">
      <c r="A171" s="10" t="str">
        <f aca="false">A48</f>
        <v>Lapsi</v>
      </c>
      <c r="B171" s="12"/>
      <c r="C171" s="12"/>
      <c r="D171" s="12" t="n">
        <f aca="false">IFERROR(VLOOKUP(D48,$B$117:$C$122,2,0),"")</f>
        <v>4</v>
      </c>
      <c r="E171" s="12" t="n">
        <f aca="false">E48</f>
        <v>1</v>
      </c>
      <c r="F171" s="12" t="str">
        <f aca="false">IFERROR(VLOOKUP(F48,$B$117:$C$122,2,0),"")</f>
        <v/>
      </c>
      <c r="G171" s="12"/>
      <c r="H171" s="0" t="str">
        <f aca="false">"Client().post('/recipes/', {'name' : '"&amp;A171&amp;"', 'mass_unit' : '"&amp;B171&amp;"', 'mass_quantity' : '"&amp;C171&amp;"', 'volume_unit' : '"&amp;D171&amp;"', 'volume_quantity' : '"&amp;E171&amp;"', 'pieces_unit' : '"&amp;F171&amp;"', 'pieces_quantity' : '"&amp;G171&amp;"'}).status_code"</f>
        <v>Client().post('/recipes/', {'name' : 'Lapsi', 'mass_unit' : '', 'mass_quantity' : '', 'volume_unit' : '4', 'volume_quantity' : '1', 'pieces_unit' : '', 'pieces_quantity' : ''}).status_code</v>
      </c>
    </row>
    <row r="172" customFormat="false" ht="15" hidden="false" customHeight="false" outlineLevel="0" collapsed="false">
      <c r="A172" s="10" t="str">
        <f aca="false">A49</f>
        <v>Lemon Grass</v>
      </c>
      <c r="B172" s="12"/>
      <c r="C172" s="12"/>
      <c r="D172" s="12" t="n">
        <f aca="false">IFERROR(VLOOKUP(D49,$B$117:$C$122,2,0),"")</f>
        <v>4</v>
      </c>
      <c r="E172" s="12" t="n">
        <f aca="false">E49</f>
        <v>1</v>
      </c>
      <c r="F172" s="12" t="str">
        <f aca="false">IFERROR(VLOOKUP(F49,$B$117:$C$122,2,0),"")</f>
        <v/>
      </c>
      <c r="G172" s="12"/>
      <c r="H172" s="0" t="str">
        <f aca="false">"Client().post('/recipes/', {'name' : '"&amp;A172&amp;"', 'mass_unit' : '"&amp;B172&amp;"', 'mass_quantity' : '"&amp;C172&amp;"', 'volume_unit' : '"&amp;D172&amp;"', 'volume_quantity' : '"&amp;E172&amp;"', 'pieces_unit' : '"&amp;F172&amp;"', 'pieces_quantity' : '"&amp;G172&amp;"'}).status_code"</f>
        <v>Client().post('/recipes/', {'name' : 'Lemon Grass', 'mass_unit' : '', 'mass_quantity' : '', 'volume_unit' : '4', 'volume_quantity' : '1', 'pieces_unit' : '', 'pieces_quantity' : ''}).status_code</v>
      </c>
    </row>
    <row r="173" customFormat="false" ht="15" hidden="false" customHeight="false" outlineLevel="0" collapsed="false">
      <c r="A173" s="10" t="str">
        <f aca="false">A50</f>
        <v>LEMON JUICE</v>
      </c>
      <c r="B173" s="12"/>
      <c r="C173" s="12"/>
      <c r="D173" s="12" t="n">
        <f aca="false">IFERROR(VLOOKUP(D50,$B$117:$C$122,2,0),"")</f>
        <v>4</v>
      </c>
      <c r="E173" s="12" t="n">
        <f aca="false">E50</f>
        <v>1</v>
      </c>
      <c r="F173" s="12" t="str">
        <f aca="false">IFERROR(VLOOKUP(F50,$B$117:$C$122,2,0),"")</f>
        <v/>
      </c>
      <c r="G173" s="12"/>
      <c r="H173" s="0" t="str">
        <f aca="false">"Client().post('/recipes/', {'name' : '"&amp;A173&amp;"', 'mass_unit' : '"&amp;B173&amp;"', 'mass_quantity' : '"&amp;C173&amp;"', 'volume_unit' : '"&amp;D173&amp;"', 'volume_quantity' : '"&amp;E173&amp;"', 'pieces_unit' : '"&amp;F173&amp;"', 'pieces_quantity' : '"&amp;G173&amp;"'}).status_code"</f>
        <v>Client().post('/recipes/', {'name' : 'LEMON JUICE', 'mass_unit' : '', 'mass_quantity' : '', 'volume_unit' : '4', 'volume_quantity' : '1', 'pieces_unit' : '', 'pieces_quantity' : ''}).status_code</v>
      </c>
    </row>
    <row r="174" customFormat="false" ht="15" hidden="false" customHeight="false" outlineLevel="0" collapsed="false">
      <c r="A174" s="10" t="str">
        <f aca="false">A51</f>
        <v>Lemon Rice</v>
      </c>
      <c r="B174" s="12"/>
      <c r="C174" s="12"/>
      <c r="D174" s="12" t="n">
        <f aca="false">IFERROR(VLOOKUP(D51,$B$117:$C$122,2,0),"")</f>
        <v>4</v>
      </c>
      <c r="E174" s="12" t="n">
        <f aca="false">E51</f>
        <v>1</v>
      </c>
      <c r="F174" s="12" t="str">
        <f aca="false">IFERROR(VLOOKUP(F51,$B$117:$C$122,2,0),"")</f>
        <v/>
      </c>
      <c r="G174" s="12"/>
      <c r="H174" s="0" t="str">
        <f aca="false">"Client().post('/recipes/', {'name' : '"&amp;A174&amp;"', 'mass_unit' : '"&amp;B174&amp;"', 'mass_quantity' : '"&amp;C174&amp;"', 'volume_unit' : '"&amp;D174&amp;"', 'volume_quantity' : '"&amp;E174&amp;"', 'pieces_unit' : '"&amp;F174&amp;"', 'pieces_quantity' : '"&amp;G174&amp;"'}).status_code"</f>
        <v>Client().post('/recipes/', {'name' : 'Lemon Rice', 'mass_unit' : '', 'mass_quantity' : '', 'volume_unit' : '4', 'volume_quantity' : '1', 'pieces_unit' : '', 'pieces_quantity' : ''}).status_code</v>
      </c>
    </row>
    <row r="175" customFormat="false" ht="15" hidden="false" customHeight="false" outlineLevel="0" collapsed="false">
      <c r="A175" s="10" t="str">
        <f aca="false">A52</f>
        <v>Matar Ki Dal</v>
      </c>
      <c r="B175" s="12"/>
      <c r="C175" s="12"/>
      <c r="D175" s="12" t="n">
        <f aca="false">IFERROR(VLOOKUP(D52,$B$117:$C$122,2,0),"")</f>
        <v>4</v>
      </c>
      <c r="E175" s="12" t="n">
        <f aca="false">E52</f>
        <v>1</v>
      </c>
      <c r="F175" s="12" t="str">
        <f aca="false">IFERROR(VLOOKUP(F52,$B$117:$C$122,2,0),"")</f>
        <v/>
      </c>
      <c r="G175" s="12"/>
      <c r="H175" s="0" t="str">
        <f aca="false">"Client().post('/recipes/', {'name' : '"&amp;A175&amp;"', 'mass_unit' : '"&amp;B175&amp;"', 'mass_quantity' : '"&amp;C175&amp;"', 'volume_unit' : '"&amp;D175&amp;"', 'volume_quantity' : '"&amp;E175&amp;"', 'pieces_unit' : '"&amp;F175&amp;"', 'pieces_quantity' : '"&amp;G175&amp;"'}).status_code"</f>
        <v>Client().post('/recipes/', {'name' : 'Matar Ki Dal', 'mass_unit' : '', 'mass_quantity' : '', 'volume_unit' : '4', 'volume_quantity' : '1', 'pieces_unit' : '', 'pieces_quantity' : ''}).status_code</v>
      </c>
    </row>
    <row r="176" customFormat="false" ht="15" hidden="false" customHeight="false" outlineLevel="0" collapsed="false">
      <c r="A176" s="10" t="str">
        <f aca="false">A53</f>
        <v>Minestrone soup</v>
      </c>
      <c r="B176" s="12"/>
      <c r="C176" s="12"/>
      <c r="D176" s="12" t="n">
        <f aca="false">IFERROR(VLOOKUP(D53,$B$117:$C$122,2,0),"")</f>
        <v>4</v>
      </c>
      <c r="E176" s="12" t="n">
        <f aca="false">E53</f>
        <v>1</v>
      </c>
      <c r="F176" s="12" t="str">
        <f aca="false">IFERROR(VLOOKUP(F53,$B$117:$C$122,2,0),"")</f>
        <v/>
      </c>
      <c r="G176" s="12"/>
      <c r="H176" s="0" t="str">
        <f aca="false">"Client().post('/recipes/', {'name' : '"&amp;A176&amp;"', 'mass_unit' : '"&amp;B176&amp;"', 'mass_quantity' : '"&amp;C176&amp;"', 'volume_unit' : '"&amp;D176&amp;"', 'volume_quantity' : '"&amp;E176&amp;"', 'pieces_unit' : '"&amp;F176&amp;"', 'pieces_quantity' : '"&amp;G176&amp;"'}).status_code"</f>
        <v>Client().post('/recipes/', {'name' : 'Minestrone soup', 'mass_unit' : '', 'mass_quantity' : '', 'volume_unit' : '4', 'volume_quantity' : '1', 'pieces_unit' : '', 'pieces_quantity' : ''}).status_code</v>
      </c>
    </row>
    <row r="177" customFormat="false" ht="15" hidden="false" customHeight="false" outlineLevel="0" collapsed="false">
      <c r="A177" s="10" t="str">
        <f aca="false">A54</f>
        <v>Mix Veg Poha</v>
      </c>
      <c r="B177" s="12"/>
      <c r="C177" s="12"/>
      <c r="D177" s="12" t="n">
        <f aca="false">IFERROR(VLOOKUP(D54,$B$117:$C$122,2,0),"")</f>
        <v>4</v>
      </c>
      <c r="E177" s="12" t="n">
        <f aca="false">E54</f>
        <v>1</v>
      </c>
      <c r="F177" s="12" t="str">
        <f aca="false">IFERROR(VLOOKUP(F54,$B$117:$C$122,2,0),"")</f>
        <v/>
      </c>
      <c r="G177" s="12"/>
      <c r="H177" s="0" t="str">
        <f aca="false">"Client().post('/recipes/', {'name' : '"&amp;A177&amp;"', 'mass_unit' : '"&amp;B177&amp;"', 'mass_quantity' : '"&amp;C177&amp;"', 'volume_unit' : '"&amp;D177&amp;"', 'volume_quantity' : '"&amp;E177&amp;"', 'pieces_unit' : '"&amp;F177&amp;"', 'pieces_quantity' : '"&amp;G177&amp;"'}).status_code"</f>
        <v>Client().post('/recipes/', {'name' : 'Mix Veg Poha', 'mass_unit' : '', 'mass_quantity' : '', 'volume_unit' : '4', 'volume_quantity' : '1', 'pieces_unit' : '', 'pieces_quantity' : ''}).status_code</v>
      </c>
    </row>
    <row r="178" customFormat="false" ht="15" hidden="false" customHeight="false" outlineLevel="0" collapsed="false">
      <c r="A178" s="10" t="str">
        <f aca="false">A55</f>
        <v>Moong Dal Dossa</v>
      </c>
      <c r="B178" s="12"/>
      <c r="C178" s="12"/>
      <c r="D178" s="12" t="n">
        <f aca="false">IFERROR(VLOOKUP(D55,$B$117:$C$122,2,0),"")</f>
        <v>4</v>
      </c>
      <c r="E178" s="12" t="n">
        <f aca="false">E55</f>
        <v>1</v>
      </c>
      <c r="F178" s="12" t="str">
        <f aca="false">IFERROR(VLOOKUP(F55,$B$117:$C$122,2,0),"")</f>
        <v/>
      </c>
      <c r="G178" s="12"/>
      <c r="H178" s="0" t="str">
        <f aca="false">"Client().post('/recipes/', {'name' : '"&amp;A178&amp;"', 'mass_unit' : '"&amp;B178&amp;"', 'mass_quantity' : '"&amp;C178&amp;"', 'volume_unit' : '"&amp;D178&amp;"', 'volume_quantity' : '"&amp;E178&amp;"', 'pieces_unit' : '"&amp;F178&amp;"', 'pieces_quantity' : '"&amp;G178&amp;"'}).status_code"</f>
        <v>Client().post('/recipes/', {'name' : 'Moong Dal Dossa', 'mass_unit' : '', 'mass_quantity' : '', 'volume_unit' : '4', 'volume_quantity' : '1', 'pieces_unit' : '', 'pieces_quantity' : ''}).status_code</v>
      </c>
    </row>
    <row r="179" customFormat="false" ht="15" hidden="false" customHeight="false" outlineLevel="0" collapsed="false">
      <c r="A179" s="10" t="str">
        <f aca="false">A56</f>
        <v>MUMBAI BHEL </v>
      </c>
      <c r="B179" s="12"/>
      <c r="C179" s="12"/>
      <c r="D179" s="12" t="n">
        <f aca="false">IFERROR(VLOOKUP(D56,$B$117:$C$122,2,0),"")</f>
        <v>4</v>
      </c>
      <c r="E179" s="12" t="n">
        <f aca="false">E56</f>
        <v>1</v>
      </c>
      <c r="F179" s="12" t="str">
        <f aca="false">IFERROR(VLOOKUP(F56,$B$117:$C$122,2,0),"")</f>
        <v/>
      </c>
      <c r="G179" s="12"/>
      <c r="H179" s="0" t="str">
        <f aca="false">"Client().post('/recipes/', {'name' : '"&amp;A179&amp;"', 'mass_unit' : '"&amp;B179&amp;"', 'mass_quantity' : '"&amp;C179&amp;"', 'volume_unit' : '"&amp;D179&amp;"', 'volume_quantity' : '"&amp;E179&amp;"', 'pieces_unit' : '"&amp;F179&amp;"', 'pieces_quantity' : '"&amp;G179&amp;"'}).status_code"</f>
        <v>Client().post('/recipes/', {'name' : 'MUMBAI BHEL ', 'mass_unit' : '', 'mass_quantity' : '', 'volume_unit' : '4', 'volume_quantity' : '1', 'pieces_unit' : '', 'pieces_quantity' : ''}).status_code</v>
      </c>
    </row>
    <row r="180" customFormat="false" ht="15" hidden="false" customHeight="false" outlineLevel="0" collapsed="false">
      <c r="A180" s="10" t="str">
        <f aca="false">A57</f>
        <v>Nithai Rice</v>
      </c>
      <c r="B180" s="12"/>
      <c r="C180" s="12"/>
      <c r="D180" s="12" t="n">
        <f aca="false">IFERROR(VLOOKUP(D57,$B$117:$C$122,2,0),"")</f>
        <v>4</v>
      </c>
      <c r="E180" s="12" t="n">
        <f aca="false">E57</f>
        <v>1</v>
      </c>
      <c r="F180" s="12" t="str">
        <f aca="false">IFERROR(VLOOKUP(F57,$B$117:$C$122,2,0),"")</f>
        <v/>
      </c>
      <c r="G180" s="12"/>
      <c r="H180" s="0" t="str">
        <f aca="false">"Client().post('/recipes/', {'name' : '"&amp;A180&amp;"', 'mass_unit' : '"&amp;B180&amp;"', 'mass_quantity' : '"&amp;C180&amp;"', 'volume_unit' : '"&amp;D180&amp;"', 'volume_quantity' : '"&amp;E180&amp;"', 'pieces_unit' : '"&amp;F180&amp;"', 'pieces_quantity' : '"&amp;G180&amp;"'}).status_code"</f>
        <v>Client().post('/recipes/', {'name' : 'Nithai Rice', 'mass_unit' : '', 'mass_quantity' : '', 'volume_unit' : '4', 'volume_quantity' : '1', 'pieces_unit' : '', 'pieces_quantity' : ''}).status_code</v>
      </c>
    </row>
    <row r="181" customFormat="false" ht="15" hidden="false" customHeight="false" outlineLevel="0" collapsed="false">
      <c r="A181" s="10" t="str">
        <f aca="false">A58</f>
        <v>NITYANAND ITALIAN FRIED RICE</v>
      </c>
      <c r="B181" s="12"/>
      <c r="C181" s="12"/>
      <c r="D181" s="12" t="n">
        <f aca="false">IFERROR(VLOOKUP(D58,$B$117:$C$122,2,0),"")</f>
        <v>4</v>
      </c>
      <c r="E181" s="12" t="n">
        <f aca="false">E58</f>
        <v>1</v>
      </c>
      <c r="F181" s="12" t="str">
        <f aca="false">IFERROR(VLOOKUP(F58,$B$117:$C$122,2,0),"")</f>
        <v/>
      </c>
      <c r="G181" s="12"/>
      <c r="H181" s="0" t="str">
        <f aca="false">"Client().post('/recipes/', {'name' : '"&amp;A181&amp;"', 'mass_unit' : '"&amp;B181&amp;"', 'mass_quantity' : '"&amp;C181&amp;"', 'volume_unit' : '"&amp;D181&amp;"', 'volume_quantity' : '"&amp;E181&amp;"', 'pieces_unit' : '"&amp;F181&amp;"', 'pieces_quantity' : '"&amp;G181&amp;"'}).status_code"</f>
        <v>Client().post('/recipes/', {'name' : 'NITYANAND ITALIAN FRIED RICE', 'mass_unit' : '', 'mass_quantity' : '', 'volume_unit' : '4', 'volume_quantity' : '1', 'pieces_unit' : '', 'pieces_quantity' : ''}).status_code</v>
      </c>
    </row>
    <row r="182" customFormat="false" ht="15" hidden="false" customHeight="false" outlineLevel="0" collapsed="false">
      <c r="A182" s="10" t="str">
        <f aca="false">A59</f>
        <v>Noodles</v>
      </c>
      <c r="B182" s="12"/>
      <c r="C182" s="12"/>
      <c r="D182" s="12" t="n">
        <f aca="false">IFERROR(VLOOKUP(D59,$B$117:$C$122,2,0),"")</f>
        <v>4</v>
      </c>
      <c r="E182" s="12" t="n">
        <f aca="false">E59</f>
        <v>1</v>
      </c>
      <c r="F182" s="12" t="str">
        <f aca="false">IFERROR(VLOOKUP(F59,$B$117:$C$122,2,0),"")</f>
        <v/>
      </c>
      <c r="G182" s="12"/>
      <c r="H182" s="0" t="str">
        <f aca="false">"Client().post('/recipes/', {'name' : '"&amp;A182&amp;"', 'mass_unit' : '"&amp;B182&amp;"', 'mass_quantity' : '"&amp;C182&amp;"', 'volume_unit' : '"&amp;D182&amp;"', 'volume_quantity' : '"&amp;E182&amp;"', 'pieces_unit' : '"&amp;F182&amp;"', 'pieces_quantity' : '"&amp;G182&amp;"'}).status_code"</f>
        <v>Client().post('/recipes/', {'name' : 'Noodles', 'mass_unit' : '', 'mass_quantity' : '', 'volume_unit' : '4', 'volume_quantity' : '1', 'pieces_unit' : '', 'pieces_quantity' : ''}).status_code</v>
      </c>
    </row>
    <row r="183" customFormat="false" ht="15" hidden="false" customHeight="false" outlineLevel="0" collapsed="false">
      <c r="A183" s="10" t="str">
        <f aca="false">A60</f>
        <v>Panchratna Dry</v>
      </c>
      <c r="B183" s="12"/>
      <c r="C183" s="12"/>
      <c r="D183" s="12" t="n">
        <f aca="false">IFERROR(VLOOKUP(D60,$B$117:$C$122,2,0),"")</f>
        <v>4</v>
      </c>
      <c r="E183" s="12" t="n">
        <f aca="false">E60</f>
        <v>1</v>
      </c>
      <c r="F183" s="12" t="str">
        <f aca="false">IFERROR(VLOOKUP(F60,$B$117:$C$122,2,0),"")</f>
        <v/>
      </c>
      <c r="G183" s="12"/>
      <c r="H183" s="0" t="str">
        <f aca="false">"Client().post('/recipes/', {'name' : '"&amp;A183&amp;"', 'mass_unit' : '"&amp;B183&amp;"', 'mass_quantity' : '"&amp;C183&amp;"', 'volume_unit' : '"&amp;D183&amp;"', 'volume_quantity' : '"&amp;E183&amp;"', 'pieces_unit' : '"&amp;F183&amp;"', 'pieces_quantity' : '"&amp;G183&amp;"'}).status_code"</f>
        <v>Client().post('/recipes/', {'name' : 'Panchratna Dry', 'mass_unit' : '', 'mass_quantity' : '', 'volume_unit' : '4', 'volume_quantity' : '1', 'pieces_unit' : '', 'pieces_quantity' : ''}).status_code</v>
      </c>
    </row>
    <row r="184" customFormat="false" ht="15" hidden="false" customHeight="false" outlineLevel="0" collapsed="false">
      <c r="A184" s="10" t="str">
        <f aca="false">A61</f>
        <v>PANNA</v>
      </c>
      <c r="B184" s="12"/>
      <c r="C184" s="12"/>
      <c r="D184" s="12" t="n">
        <f aca="false">IFERROR(VLOOKUP(D61,$B$117:$C$122,2,0),"")</f>
        <v>4</v>
      </c>
      <c r="E184" s="12" t="n">
        <f aca="false">E61</f>
        <v>1</v>
      </c>
      <c r="F184" s="12" t="str">
        <f aca="false">IFERROR(VLOOKUP(F61,$B$117:$C$122,2,0),"")</f>
        <v/>
      </c>
      <c r="G184" s="12"/>
      <c r="H184" s="0" t="str">
        <f aca="false">"Client().post('/recipes/', {'name' : '"&amp;A184&amp;"', 'mass_unit' : '"&amp;B184&amp;"', 'mass_quantity' : '"&amp;C184&amp;"', 'volume_unit' : '"&amp;D184&amp;"', 'volume_quantity' : '"&amp;E184&amp;"', 'pieces_unit' : '"&amp;F184&amp;"', 'pieces_quantity' : '"&amp;G184&amp;"'}).status_code"</f>
        <v>Client().post('/recipes/', {'name' : 'PANNA', 'mass_unit' : '', 'mass_quantity' : '', 'volume_unit' : '4', 'volume_quantity' : '1', 'pieces_unit' : '', 'pieces_quantity' : ''}).status_code</v>
      </c>
    </row>
    <row r="185" customFormat="false" ht="15" hidden="false" customHeight="false" outlineLevel="0" collapsed="false">
      <c r="A185" s="10" t="str">
        <f aca="false">A62</f>
        <v>PATLA POHA</v>
      </c>
      <c r="B185" s="12"/>
      <c r="C185" s="12"/>
      <c r="D185" s="12" t="n">
        <f aca="false">IFERROR(VLOOKUP(D62,$B$117:$C$122,2,0),"")</f>
        <v>4</v>
      </c>
      <c r="E185" s="12" t="n">
        <f aca="false">E62</f>
        <v>1</v>
      </c>
      <c r="F185" s="12" t="str">
        <f aca="false">IFERROR(VLOOKUP(F62,$B$117:$C$122,2,0),"")</f>
        <v/>
      </c>
      <c r="G185" s="12"/>
      <c r="H185" s="0" t="str">
        <f aca="false">"Client().post('/recipes/', {'name' : '"&amp;A185&amp;"', 'mass_unit' : '"&amp;B185&amp;"', 'mass_quantity' : '"&amp;C185&amp;"', 'volume_unit' : '"&amp;D185&amp;"', 'volume_quantity' : '"&amp;E185&amp;"', 'pieces_unit' : '"&amp;F185&amp;"', 'pieces_quantity' : '"&amp;G185&amp;"'}).status_code"</f>
        <v>Client().post('/recipes/', {'name' : 'PATLA POHA', 'mass_unit' : '', 'mass_quantity' : '', 'volume_unit' : '4', 'volume_quantity' : '1', 'pieces_unit' : '', 'pieces_quantity' : ''}).status_code</v>
      </c>
    </row>
    <row r="186" customFormat="false" ht="15" hidden="false" customHeight="false" outlineLevel="0" collapsed="false">
      <c r="A186" s="10" t="str">
        <f aca="false">A63</f>
        <v>Patol White Gravy </v>
      </c>
      <c r="B186" s="12"/>
      <c r="C186" s="12"/>
      <c r="D186" s="12" t="n">
        <f aca="false">IFERROR(VLOOKUP(D63,$B$117:$C$122,2,0),"")</f>
        <v>4</v>
      </c>
      <c r="E186" s="12" t="n">
        <f aca="false">E63</f>
        <v>1</v>
      </c>
      <c r="F186" s="12" t="str">
        <f aca="false">IFERROR(VLOOKUP(F63,$B$117:$C$122,2,0),"")</f>
        <v/>
      </c>
      <c r="G186" s="12"/>
      <c r="H186" s="0" t="str">
        <f aca="false">"Client().post('/recipes/', {'name' : '"&amp;A186&amp;"', 'mass_unit' : '"&amp;B186&amp;"', 'mass_quantity' : '"&amp;C186&amp;"', 'volume_unit' : '"&amp;D186&amp;"', 'volume_quantity' : '"&amp;E186&amp;"', 'pieces_unit' : '"&amp;F186&amp;"', 'pieces_quantity' : '"&amp;G186&amp;"'}).status_code"</f>
        <v>Client().post('/recipes/', {'name' : 'Patol White Gravy ', 'mass_unit' : '', 'mass_quantity' : '', 'volume_unit' : '4', 'volume_quantity' : '1', 'pieces_unit' : '', 'pieces_quantity' : ''}).status_code</v>
      </c>
    </row>
    <row r="187" customFormat="false" ht="15" hidden="false" customHeight="false" outlineLevel="0" collapsed="false">
      <c r="A187" s="10" t="str">
        <f aca="false">A64</f>
        <v>PAV</v>
      </c>
      <c r="B187" s="12"/>
      <c r="C187" s="12"/>
      <c r="D187" s="12" t="n">
        <f aca="false">IFERROR(VLOOKUP(D64,$B$117:$C$122,2,0),"")</f>
        <v>4</v>
      </c>
      <c r="E187" s="12" t="n">
        <f aca="false">E64</f>
        <v>1</v>
      </c>
      <c r="F187" s="12" t="str">
        <f aca="false">IFERROR(VLOOKUP(F64,$B$117:$C$122,2,0),"")</f>
        <v/>
      </c>
      <c r="G187" s="12"/>
      <c r="H187" s="0" t="str">
        <f aca="false">"Client().post('/recipes/', {'name' : '"&amp;A187&amp;"', 'mass_unit' : '"&amp;B187&amp;"', 'mass_quantity' : '"&amp;C187&amp;"', 'volume_unit' : '"&amp;D187&amp;"', 'volume_quantity' : '"&amp;E187&amp;"', 'pieces_unit' : '"&amp;F187&amp;"', 'pieces_quantity' : '"&amp;G187&amp;"'}).status_code"</f>
        <v>Client().post('/recipes/', {'name' : 'PAV', 'mass_unit' : '', 'mass_quantity' : '', 'volume_unit' : '4', 'volume_quantity' : '1', 'pieces_unit' : '', 'pieces_quantity' : ''}).status_code</v>
      </c>
    </row>
    <row r="188" customFormat="false" ht="15" hidden="false" customHeight="false" outlineLevel="0" collapsed="false">
      <c r="A188" s="10" t="str">
        <f aca="false">A65</f>
        <v>PAV - HERBAL TEA </v>
      </c>
      <c r="B188" s="12"/>
      <c r="C188" s="12"/>
      <c r="D188" s="12" t="n">
        <f aca="false">IFERROR(VLOOKUP(D65,$B$117:$C$122,2,0),"")</f>
        <v>4</v>
      </c>
      <c r="E188" s="12" t="n">
        <f aca="false">E65</f>
        <v>1</v>
      </c>
      <c r="F188" s="12" t="str">
        <f aca="false">IFERROR(VLOOKUP(F65,$B$117:$C$122,2,0),"")</f>
        <v/>
      </c>
      <c r="G188" s="12"/>
      <c r="H188" s="0" t="str">
        <f aca="false">"Client().post('/recipes/', {'name' : '"&amp;A188&amp;"', 'mass_unit' : '"&amp;B188&amp;"', 'mass_quantity' : '"&amp;C188&amp;"', 'volume_unit' : '"&amp;D188&amp;"', 'volume_quantity' : '"&amp;E188&amp;"', 'pieces_unit' : '"&amp;F188&amp;"', 'pieces_quantity' : '"&amp;G188&amp;"'}).status_code"</f>
        <v>Client().post('/recipes/', {'name' : 'PAV - HERBAL TEA ', 'mass_unit' : '', 'mass_quantity' : '', 'volume_unit' : '4', 'volume_quantity' : '1', 'pieces_unit' : '', 'pieces_quantity' : ''}).status_code</v>
      </c>
    </row>
    <row r="189" customFormat="false" ht="15" hidden="false" customHeight="false" outlineLevel="0" collapsed="false">
      <c r="A189" s="10" t="str">
        <f aca="false">A66</f>
        <v>Pav Bhaji </v>
      </c>
      <c r="B189" s="12"/>
      <c r="C189" s="12"/>
      <c r="D189" s="12" t="n">
        <f aca="false">IFERROR(VLOOKUP(D66,$B$117:$C$122,2,0),"")</f>
        <v>4</v>
      </c>
      <c r="E189" s="12" t="n">
        <f aca="false">E66</f>
        <v>1</v>
      </c>
      <c r="F189" s="12" t="str">
        <f aca="false">IFERROR(VLOOKUP(F66,$B$117:$C$122,2,0),"")</f>
        <v/>
      </c>
      <c r="G189" s="12"/>
      <c r="H189" s="0" t="str">
        <f aca="false">"Client().post('/recipes/', {'name' : '"&amp;A189&amp;"', 'mass_unit' : '"&amp;B189&amp;"', 'mass_quantity' : '"&amp;C189&amp;"', 'volume_unit' : '"&amp;D189&amp;"', 'volume_quantity' : '"&amp;E189&amp;"', 'pieces_unit' : '"&amp;F189&amp;"', 'pieces_quantity' : '"&amp;G189&amp;"'}).status_code"</f>
        <v>Client().post('/recipes/', {'name' : 'Pav Bhaji ', 'mass_unit' : '', 'mass_quantity' : '', 'volume_unit' : '4', 'volume_quantity' : '1', 'pieces_unit' : '', 'pieces_quantity' : ''}).status_code</v>
      </c>
    </row>
    <row r="190" customFormat="false" ht="15" hidden="false" customHeight="false" outlineLevel="0" collapsed="false">
      <c r="A190" s="10" t="str">
        <f aca="false">A67</f>
        <v>Pav Bhaji Bhaji</v>
      </c>
      <c r="B190" s="12"/>
      <c r="C190" s="12"/>
      <c r="D190" s="12" t="n">
        <f aca="false">IFERROR(VLOOKUP(D67,$B$117:$C$122,2,0),"")</f>
        <v>4</v>
      </c>
      <c r="E190" s="12" t="n">
        <f aca="false">E67</f>
        <v>1</v>
      </c>
      <c r="F190" s="12" t="str">
        <f aca="false">IFERROR(VLOOKUP(F67,$B$117:$C$122,2,0),"")</f>
        <v/>
      </c>
      <c r="G190" s="12"/>
      <c r="H190" s="0" t="str">
        <f aca="false">"Client().post('/recipes/', {'name' : '"&amp;A190&amp;"', 'mass_unit' : '"&amp;B190&amp;"', 'mass_quantity' : '"&amp;C190&amp;"', 'volume_unit' : '"&amp;D190&amp;"', 'volume_quantity' : '"&amp;E190&amp;"', 'pieces_unit' : '"&amp;F190&amp;"', 'pieces_quantity' : '"&amp;G190&amp;"'}).status_code"</f>
        <v>Client().post('/recipes/', {'name' : 'Pav Bhaji Bhaji', 'mass_unit' : '', 'mass_quantity' : '', 'volume_unit' : '4', 'volume_quantity' : '1', 'pieces_unit' : '', 'pieces_quantity' : ''}).status_code</v>
      </c>
    </row>
    <row r="191" customFormat="false" ht="15" hidden="false" customHeight="false" outlineLevel="0" collapsed="false">
      <c r="A191" s="10" t="str">
        <f aca="false">A68</f>
        <v>Pongal</v>
      </c>
      <c r="B191" s="12"/>
      <c r="C191" s="12"/>
      <c r="D191" s="12" t="n">
        <f aca="false">IFERROR(VLOOKUP(D68,$B$117:$C$122,2,0),"")</f>
        <v>4</v>
      </c>
      <c r="E191" s="12" t="n">
        <f aca="false">E68</f>
        <v>1</v>
      </c>
      <c r="F191" s="12" t="str">
        <f aca="false">IFERROR(VLOOKUP(F68,$B$117:$C$122,2,0),"")</f>
        <v/>
      </c>
      <c r="G191" s="12"/>
      <c r="H191" s="0" t="str">
        <f aca="false">"Client().post('/recipes/', {'name' : '"&amp;A191&amp;"', 'mass_unit' : '"&amp;B191&amp;"', 'mass_quantity' : '"&amp;C191&amp;"', 'volume_unit' : '"&amp;D191&amp;"', 'volume_quantity' : '"&amp;E191&amp;"', 'pieces_unit' : '"&amp;F191&amp;"', 'pieces_quantity' : '"&amp;G191&amp;"'}).status_code"</f>
        <v>Client().post('/recipes/', {'name' : 'Pongal', 'mass_unit' : '', 'mass_quantity' : '', 'volume_unit' : '4', 'volume_quantity' : '1', 'pieces_unit' : '', 'pieces_quantity' : ''}).status_code</v>
      </c>
    </row>
    <row r="192" customFormat="false" ht="15" hidden="false" customHeight="false" outlineLevel="0" collapsed="false">
      <c r="A192" s="10" t="str">
        <f aca="false">A69</f>
        <v>Pudina Lemon Juice</v>
      </c>
      <c r="B192" s="12"/>
      <c r="C192" s="12"/>
      <c r="D192" s="12" t="n">
        <f aca="false">IFERROR(VLOOKUP(D69,$B$117:$C$122,2,0),"")</f>
        <v>4</v>
      </c>
      <c r="E192" s="12" t="n">
        <f aca="false">E69</f>
        <v>1</v>
      </c>
      <c r="F192" s="12" t="str">
        <f aca="false">IFERROR(VLOOKUP(F69,$B$117:$C$122,2,0),"")</f>
        <v/>
      </c>
      <c r="G192" s="12"/>
      <c r="H192" s="0" t="str">
        <f aca="false">"Client().post('/recipes/', {'name' : '"&amp;A192&amp;"', 'mass_unit' : '"&amp;B192&amp;"', 'mass_quantity' : '"&amp;C192&amp;"', 'volume_unit' : '"&amp;D192&amp;"', 'volume_quantity' : '"&amp;E192&amp;"', 'pieces_unit' : '"&amp;F192&amp;"', 'pieces_quantity' : '"&amp;G192&amp;"'}).status_code"</f>
        <v>Client().post('/recipes/', {'name' : 'Pudina Lemon Juice', 'mass_unit' : '', 'mass_quantity' : '', 'volume_unit' : '4', 'volume_quantity' : '1', 'pieces_unit' : '', 'pieces_quantity' : ''}).status_code</v>
      </c>
    </row>
    <row r="193" customFormat="false" ht="15" hidden="false" customHeight="false" outlineLevel="0" collapsed="false">
      <c r="A193" s="10" t="str">
        <f aca="false">A70</f>
        <v>RAJGIRA  MALT FOR EKADASHI</v>
      </c>
      <c r="B193" s="12"/>
      <c r="C193" s="12"/>
      <c r="D193" s="12" t="n">
        <f aca="false">IFERROR(VLOOKUP(D70,$B$117:$C$122,2,0),"")</f>
        <v>4</v>
      </c>
      <c r="E193" s="12" t="n">
        <f aca="false">E70</f>
        <v>1</v>
      </c>
      <c r="F193" s="12" t="str">
        <f aca="false">IFERROR(VLOOKUP(F70,$B$117:$C$122,2,0),"")</f>
        <v/>
      </c>
      <c r="G193" s="12"/>
      <c r="H193" s="0" t="str">
        <f aca="false">"Client().post('/recipes/', {'name' : '"&amp;A193&amp;"', 'mass_unit' : '"&amp;B193&amp;"', 'mass_quantity' : '"&amp;C193&amp;"', 'volume_unit' : '"&amp;D193&amp;"', 'volume_quantity' : '"&amp;E193&amp;"', 'pieces_unit' : '"&amp;F193&amp;"', 'pieces_quantity' : '"&amp;G193&amp;"'}).status_code"</f>
        <v>Client().post('/recipes/', {'name' : 'RAJGIRA  MALT FOR EKADASHI', 'mass_unit' : '', 'mass_quantity' : '', 'volume_unit' : '4', 'volume_quantity' : '1', 'pieces_unit' : '', 'pieces_quantity' : ''}).status_code</v>
      </c>
    </row>
    <row r="194" customFormat="false" ht="15" hidden="false" customHeight="false" outlineLevel="0" collapsed="false">
      <c r="A194" s="10" t="str">
        <f aca="false">A71</f>
        <v>RASAM</v>
      </c>
      <c r="B194" s="12"/>
      <c r="C194" s="12"/>
      <c r="D194" s="12" t="n">
        <f aca="false">IFERROR(VLOOKUP(D71,$B$117:$C$122,2,0),"")</f>
        <v>4</v>
      </c>
      <c r="E194" s="12" t="n">
        <f aca="false">E71</f>
        <v>1</v>
      </c>
      <c r="F194" s="12" t="str">
        <f aca="false">IFERROR(VLOOKUP(F71,$B$117:$C$122,2,0),"")</f>
        <v/>
      </c>
      <c r="G194" s="12"/>
      <c r="H194" s="0" t="str">
        <f aca="false">"Client().post('/recipes/', {'name' : '"&amp;A194&amp;"', 'mass_unit' : '"&amp;B194&amp;"', 'mass_quantity' : '"&amp;C194&amp;"', 'volume_unit' : '"&amp;D194&amp;"', 'volume_quantity' : '"&amp;E194&amp;"', 'pieces_unit' : '"&amp;F194&amp;"', 'pieces_quantity' : '"&amp;G194&amp;"'}).status_code"</f>
        <v>Client().post('/recipes/', {'name' : 'RASAM', 'mass_unit' : '', 'mass_quantity' : '', 'volume_unit' : '4', 'volume_quantity' : '1', 'pieces_unit' : '', 'pieces_quantity' : ''}).status_code</v>
      </c>
    </row>
    <row r="195" customFormat="false" ht="15" hidden="false" customHeight="false" outlineLevel="0" collapsed="false">
      <c r="A195" s="10" t="str">
        <f aca="false">A72</f>
        <v>RED CHUTNEY </v>
      </c>
      <c r="B195" s="12"/>
      <c r="C195" s="12"/>
      <c r="D195" s="12" t="n">
        <f aca="false">IFERROR(VLOOKUP(D72,$B$117:$C$122,2,0),"")</f>
        <v>4</v>
      </c>
      <c r="E195" s="12" t="n">
        <f aca="false">E72</f>
        <v>1</v>
      </c>
      <c r="F195" s="12" t="str">
        <f aca="false">IFERROR(VLOOKUP(F72,$B$117:$C$122,2,0),"")</f>
        <v/>
      </c>
      <c r="G195" s="12"/>
      <c r="H195" s="0" t="str">
        <f aca="false">"Client().post('/recipes/', {'name' : '"&amp;A195&amp;"', 'mass_unit' : '"&amp;B195&amp;"', 'mass_quantity' : '"&amp;C195&amp;"', 'volume_unit' : '"&amp;D195&amp;"', 'volume_quantity' : '"&amp;E195&amp;"', 'pieces_unit' : '"&amp;F195&amp;"', 'pieces_quantity' : '"&amp;G195&amp;"'}).status_code"</f>
        <v>Client().post('/recipes/', {'name' : 'RED CHUTNEY ', 'mass_unit' : '', 'mass_quantity' : '', 'volume_unit' : '4', 'volume_quantity' : '1', 'pieces_unit' : '', 'pieces_quantity' : ''}).status_code</v>
      </c>
    </row>
    <row r="196" customFormat="false" ht="15" hidden="false" customHeight="false" outlineLevel="0" collapsed="false">
      <c r="A196" s="10" t="str">
        <f aca="false">A73</f>
        <v>Red Sak Badi</v>
      </c>
      <c r="B196" s="12"/>
      <c r="C196" s="12"/>
      <c r="D196" s="12" t="n">
        <f aca="false">IFERROR(VLOOKUP(D73,$B$117:$C$122,2,0),"")</f>
        <v>4</v>
      </c>
      <c r="E196" s="12" t="n">
        <f aca="false">E73</f>
        <v>1</v>
      </c>
      <c r="F196" s="12" t="str">
        <f aca="false">IFERROR(VLOOKUP(F73,$B$117:$C$122,2,0),"")</f>
        <v/>
      </c>
      <c r="G196" s="12"/>
      <c r="H196" s="0" t="str">
        <f aca="false">"Client().post('/recipes/', {'name' : '"&amp;A196&amp;"', 'mass_unit' : '"&amp;B196&amp;"', 'mass_quantity' : '"&amp;C196&amp;"', 'volume_unit' : '"&amp;D196&amp;"', 'volume_quantity' : '"&amp;E196&amp;"', 'pieces_unit' : '"&amp;F196&amp;"', 'pieces_quantity' : '"&amp;G196&amp;"'}).status_code"</f>
        <v>Client().post('/recipes/', {'name' : 'Red Sak Badi', 'mass_unit' : '', 'mass_quantity' : '', 'volume_unit' : '4', 'volume_quantity' : '1', 'pieces_unit' : '', 'pieces_quantity' : ''}).status_code</v>
      </c>
    </row>
    <row r="197" customFormat="false" ht="15" hidden="false" customHeight="false" outlineLevel="0" collapsed="false">
      <c r="A197" s="10" t="str">
        <f aca="false">A74</f>
        <v>Rice Sevai</v>
      </c>
      <c r="B197" s="12"/>
      <c r="C197" s="12"/>
      <c r="D197" s="12" t="n">
        <f aca="false">IFERROR(VLOOKUP(D74,$B$117:$C$122,2,0),"")</f>
        <v>4</v>
      </c>
      <c r="E197" s="12" t="n">
        <f aca="false">E74</f>
        <v>1</v>
      </c>
      <c r="F197" s="12" t="str">
        <f aca="false">IFERROR(VLOOKUP(F74,$B$117:$C$122,2,0),"")</f>
        <v/>
      </c>
      <c r="G197" s="12"/>
      <c r="H197" s="0" t="str">
        <f aca="false">"Client().post('/recipes/', {'name' : '"&amp;A197&amp;"', 'mass_unit' : '"&amp;B197&amp;"', 'mass_quantity' : '"&amp;C197&amp;"', 'volume_unit' : '"&amp;D197&amp;"', 'volume_quantity' : '"&amp;E197&amp;"', 'pieces_unit' : '"&amp;F197&amp;"', 'pieces_quantity' : '"&amp;G197&amp;"'}).status_code"</f>
        <v>Client().post('/recipes/', {'name' : 'Rice Sevai', 'mass_unit' : '', 'mass_quantity' : '', 'volume_unit' : '4', 'volume_quantity' : '1', 'pieces_unit' : '', 'pieces_quantity' : ''}).status_code</v>
      </c>
    </row>
    <row r="198" customFormat="false" ht="15" hidden="false" customHeight="false" outlineLevel="0" collapsed="false">
      <c r="A198" s="10" t="str">
        <f aca="false">A75</f>
        <v>ROSE  LEMON SABJA</v>
      </c>
      <c r="B198" s="12"/>
      <c r="C198" s="12"/>
      <c r="D198" s="12" t="n">
        <f aca="false">IFERROR(VLOOKUP(D75,$B$117:$C$122,2,0),"")</f>
        <v>4</v>
      </c>
      <c r="E198" s="12" t="n">
        <f aca="false">E75</f>
        <v>1</v>
      </c>
      <c r="F198" s="12" t="str">
        <f aca="false">IFERROR(VLOOKUP(F75,$B$117:$C$122,2,0),"")</f>
        <v/>
      </c>
      <c r="G198" s="12"/>
      <c r="H198" s="0" t="str">
        <f aca="false">"Client().post('/recipes/', {'name' : '"&amp;A198&amp;"', 'mass_unit' : '"&amp;B198&amp;"', 'mass_quantity' : '"&amp;C198&amp;"', 'volume_unit' : '"&amp;D198&amp;"', 'volume_quantity' : '"&amp;E198&amp;"', 'pieces_unit' : '"&amp;F198&amp;"', 'pieces_quantity' : '"&amp;G198&amp;"'}).status_code"</f>
        <v>Client().post('/recipes/', {'name' : 'ROSE  LEMON SABJA', 'mass_unit' : '', 'mass_quantity' : '', 'volume_unit' : '4', 'volume_quantity' : '1', 'pieces_unit' : '', 'pieces_quantity' : ''}).status_code</v>
      </c>
    </row>
    <row r="199" customFormat="false" ht="15" hidden="false" customHeight="false" outlineLevel="0" collapsed="false">
      <c r="A199" s="10" t="str">
        <f aca="false">A76</f>
        <v>Sambar</v>
      </c>
      <c r="B199" s="12"/>
      <c r="C199" s="12"/>
      <c r="D199" s="12" t="n">
        <f aca="false">IFERROR(VLOOKUP(D76,$B$117:$C$122,2,0),"")</f>
        <v>4</v>
      </c>
      <c r="E199" s="12" t="n">
        <f aca="false">E76</f>
        <v>1</v>
      </c>
      <c r="F199" s="12" t="str">
        <f aca="false">IFERROR(VLOOKUP(F76,$B$117:$C$122,2,0),"")</f>
        <v/>
      </c>
      <c r="G199" s="12"/>
      <c r="H199" s="0" t="str">
        <f aca="false">"Client().post('/recipes/', {'name' : '"&amp;A199&amp;"', 'mass_unit' : '"&amp;B199&amp;"', 'mass_quantity' : '"&amp;C199&amp;"', 'volume_unit' : '"&amp;D199&amp;"', 'volume_quantity' : '"&amp;E199&amp;"', 'pieces_unit' : '"&amp;F199&amp;"', 'pieces_quantity' : '"&amp;G199&amp;"'}).status_code"</f>
        <v>Client().post('/recipes/', {'name' : 'Sambar', 'mass_unit' : '', 'mass_quantity' : '', 'volume_unit' : '4', 'volume_quantity' : '1', 'pieces_unit' : '', 'pieces_quantity' : ''}).status_code</v>
      </c>
    </row>
    <row r="200" customFormat="false" ht="15" hidden="false" customHeight="false" outlineLevel="0" collapsed="false">
      <c r="A200" s="10" t="str">
        <f aca="false">A77</f>
        <v>SAMBAR GP</v>
      </c>
      <c r="B200" s="12"/>
      <c r="C200" s="12"/>
      <c r="D200" s="12" t="n">
        <f aca="false">IFERROR(VLOOKUP(D77,$B$117:$C$122,2,0),"")</f>
        <v>4</v>
      </c>
      <c r="E200" s="12" t="n">
        <f aca="false">E77</f>
        <v>1</v>
      </c>
      <c r="F200" s="12" t="str">
        <f aca="false">IFERROR(VLOOKUP(F77,$B$117:$C$122,2,0),"")</f>
        <v/>
      </c>
      <c r="G200" s="12"/>
      <c r="H200" s="0" t="str">
        <f aca="false">"Client().post('/recipes/', {'name' : '"&amp;A200&amp;"', 'mass_unit' : '"&amp;B200&amp;"', 'mass_quantity' : '"&amp;C200&amp;"', 'volume_unit' : '"&amp;D200&amp;"', 'volume_quantity' : '"&amp;E200&amp;"', 'pieces_unit' : '"&amp;F200&amp;"', 'pieces_quantity' : '"&amp;G200&amp;"'}).status_code"</f>
        <v>Client().post('/recipes/', {'name' : 'SAMBAR GP', 'mass_unit' : '', 'mass_quantity' : '', 'volume_unit' : '4', 'volume_quantity' : '1', 'pieces_unit' : '', 'pieces_quantity' : ''}).status_code</v>
      </c>
    </row>
    <row r="201" customFormat="false" ht="15" hidden="false" customHeight="false" outlineLevel="0" collapsed="false">
      <c r="A201" s="10" t="str">
        <f aca="false">A78</f>
        <v>Sauted Vegetables</v>
      </c>
      <c r="B201" s="12"/>
      <c r="C201" s="12"/>
      <c r="D201" s="12" t="n">
        <f aca="false">IFERROR(VLOOKUP(D78,$B$117:$C$122,2,0),"")</f>
        <v>4</v>
      </c>
      <c r="E201" s="12" t="n">
        <f aca="false">E78</f>
        <v>1</v>
      </c>
      <c r="F201" s="12" t="str">
        <f aca="false">IFERROR(VLOOKUP(F78,$B$117:$C$122,2,0),"")</f>
        <v/>
      </c>
      <c r="G201" s="12"/>
      <c r="H201" s="0" t="str">
        <f aca="false">"Client().post('/recipes/', {'name' : '"&amp;A201&amp;"', 'mass_unit' : '"&amp;B201&amp;"', 'mass_quantity' : '"&amp;C201&amp;"', 'volume_unit' : '"&amp;D201&amp;"', 'volume_quantity' : '"&amp;E201&amp;"', 'pieces_unit' : '"&amp;F201&amp;"', 'pieces_quantity' : '"&amp;G201&amp;"'}).status_code"</f>
        <v>Client().post('/recipes/', {'name' : 'Sauted Vegetables', 'mass_unit' : '', 'mass_quantity' : '', 'volume_unit' : '4', 'volume_quantity' : '1', 'pieces_unit' : '', 'pieces_quantity' : ''}).status_code</v>
      </c>
    </row>
    <row r="202" customFormat="false" ht="15" hidden="false" customHeight="false" outlineLevel="0" collapsed="false">
      <c r="A202" s="10" t="str">
        <f aca="false">A79</f>
        <v>Schezwan sauce</v>
      </c>
      <c r="B202" s="12"/>
      <c r="C202" s="12"/>
      <c r="D202" s="12" t="n">
        <f aca="false">IFERROR(VLOOKUP(D79,$B$117:$C$122,2,0),"")</f>
        <v>4</v>
      </c>
      <c r="E202" s="12" t="n">
        <f aca="false">E79</f>
        <v>1</v>
      </c>
      <c r="F202" s="12" t="str">
        <f aca="false">IFERROR(VLOOKUP(F79,$B$117:$C$122,2,0),"")</f>
        <v/>
      </c>
      <c r="G202" s="12"/>
      <c r="H202" s="0" t="str">
        <f aca="false">"Client().post('/recipes/', {'name' : '"&amp;A202&amp;"', 'mass_unit' : '"&amp;B202&amp;"', 'mass_quantity' : '"&amp;C202&amp;"', 'volume_unit' : '"&amp;D202&amp;"', 'volume_quantity' : '"&amp;E202&amp;"', 'pieces_unit' : '"&amp;F202&amp;"', 'pieces_quantity' : '"&amp;G202&amp;"'}).status_code"</f>
        <v>Client().post('/recipes/', {'name' : 'Schezwan sauce', 'mass_unit' : '', 'mass_quantity' : '', 'volume_unit' : '4', 'volume_quantity' : '1', 'pieces_unit' : '', 'pieces_quantity' : ''}).status_code</v>
      </c>
    </row>
    <row r="203" customFormat="false" ht="15" hidden="false" customHeight="false" outlineLevel="0" collapsed="false">
      <c r="A203" s="10" t="str">
        <f aca="false">A80</f>
        <v>Spicy Potato</v>
      </c>
      <c r="B203" s="12"/>
      <c r="C203" s="12"/>
      <c r="D203" s="12" t="n">
        <f aca="false">IFERROR(VLOOKUP(D80,$B$117:$C$122,2,0),"")</f>
        <v>4</v>
      </c>
      <c r="E203" s="12" t="n">
        <f aca="false">E80</f>
        <v>1</v>
      </c>
      <c r="F203" s="12" t="str">
        <f aca="false">IFERROR(VLOOKUP(F80,$B$117:$C$122,2,0),"")</f>
        <v/>
      </c>
      <c r="G203" s="12"/>
      <c r="H203" s="0" t="str">
        <f aca="false">"Client().post('/recipes/', {'name' : '"&amp;A203&amp;"', 'mass_unit' : '"&amp;B203&amp;"', 'mass_quantity' : '"&amp;C203&amp;"', 'volume_unit' : '"&amp;D203&amp;"', 'volume_quantity' : '"&amp;E203&amp;"', 'pieces_unit' : '"&amp;F203&amp;"', 'pieces_quantity' : '"&amp;G203&amp;"'}).status_code"</f>
        <v>Client().post('/recipes/', {'name' : 'Spicy Potato', 'mass_unit' : '', 'mass_quantity' : '', 'volume_unit' : '4', 'volume_quantity' : '1', 'pieces_unit' : '', 'pieces_quantity' : ''}).status_code</v>
      </c>
    </row>
    <row r="204" customFormat="false" ht="15" hidden="false" customHeight="false" outlineLevel="0" collapsed="false">
      <c r="A204" s="10" t="str">
        <f aca="false">A81</f>
        <v>Sushila Bhel </v>
      </c>
      <c r="B204" s="12"/>
      <c r="C204" s="12"/>
      <c r="D204" s="12" t="n">
        <f aca="false">IFERROR(VLOOKUP(D81,$B$117:$C$122,2,0),"")</f>
        <v>4</v>
      </c>
      <c r="E204" s="12" t="n">
        <f aca="false">E81</f>
        <v>1</v>
      </c>
      <c r="F204" s="12" t="str">
        <f aca="false">IFERROR(VLOOKUP(F81,$B$117:$C$122,2,0),"")</f>
        <v/>
      </c>
      <c r="G204" s="12"/>
      <c r="H204" s="0" t="str">
        <f aca="false">"Client().post('/recipes/', {'name' : '"&amp;A204&amp;"', 'mass_unit' : '"&amp;B204&amp;"', 'mass_quantity' : '"&amp;C204&amp;"', 'volume_unit' : '"&amp;D204&amp;"', 'volume_quantity' : '"&amp;E204&amp;"', 'pieces_unit' : '"&amp;F204&amp;"', 'pieces_quantity' : '"&amp;G204&amp;"'}).status_code"</f>
        <v>Client().post('/recipes/', {'name' : 'Sushila Bhel ', 'mass_unit' : '', 'mass_quantity' : '', 'volume_unit' : '4', 'volume_quantity' : '1', 'pieces_unit' : '', 'pieces_quantity' : ''}).status_code</v>
      </c>
    </row>
    <row r="205" customFormat="false" ht="15" hidden="false" customHeight="false" outlineLevel="0" collapsed="false">
      <c r="A205" s="10" t="str">
        <f aca="false">A82</f>
        <v>SWEET CORN BOILD BHUTTA</v>
      </c>
      <c r="B205" s="12"/>
      <c r="C205" s="12"/>
      <c r="D205" s="12" t="n">
        <f aca="false">IFERROR(VLOOKUP(D82,$B$117:$C$122,2,0),"")</f>
        <v>4</v>
      </c>
      <c r="E205" s="12" t="n">
        <f aca="false">E82</f>
        <v>1</v>
      </c>
      <c r="F205" s="12" t="str">
        <f aca="false">IFERROR(VLOOKUP(F82,$B$117:$C$122,2,0),"")</f>
        <v/>
      </c>
      <c r="G205" s="12"/>
      <c r="H205" s="0" t="str">
        <f aca="false">"Client().post('/recipes/', {'name' : '"&amp;A205&amp;"', 'mass_unit' : '"&amp;B205&amp;"', 'mass_quantity' : '"&amp;C205&amp;"', 'volume_unit' : '"&amp;D205&amp;"', 'volume_quantity' : '"&amp;E205&amp;"', 'pieces_unit' : '"&amp;F205&amp;"', 'pieces_quantity' : '"&amp;G205&amp;"'}).status_code"</f>
        <v>Client().post('/recipes/', {'name' : 'SWEET CORN BOILD BHUTTA', 'mass_unit' : '', 'mass_quantity' : '', 'volume_unit' : '4', 'volume_quantity' : '1', 'pieces_unit' : '', 'pieces_quantity' : ''}).status_code</v>
      </c>
    </row>
    <row r="206" customFormat="false" ht="15" hidden="false" customHeight="false" outlineLevel="0" collapsed="false">
      <c r="A206" s="10" t="str">
        <f aca="false">A83</f>
        <v>Sweet Corn Italia</v>
      </c>
      <c r="B206" s="12"/>
      <c r="C206" s="12"/>
      <c r="D206" s="12" t="n">
        <f aca="false">IFERROR(VLOOKUP(D83,$B$117:$C$122,2,0),"")</f>
        <v>4</v>
      </c>
      <c r="E206" s="12" t="n">
        <f aca="false">E83</f>
        <v>1</v>
      </c>
      <c r="F206" s="12" t="str">
        <f aca="false">IFERROR(VLOOKUP(F83,$B$117:$C$122,2,0),"")</f>
        <v/>
      </c>
      <c r="G206" s="12"/>
      <c r="H206" s="0" t="str">
        <f aca="false">"Client().post('/recipes/', {'name' : '"&amp;A206&amp;"', 'mass_unit' : '"&amp;B206&amp;"', 'mass_quantity' : '"&amp;C206&amp;"', 'volume_unit' : '"&amp;D206&amp;"', 'volume_quantity' : '"&amp;E206&amp;"', 'pieces_unit' : '"&amp;F206&amp;"', 'pieces_quantity' : '"&amp;G206&amp;"'}).status_code"</f>
        <v>Client().post('/recipes/', {'name' : 'Sweet Corn Italia', 'mass_unit' : '', 'mass_quantity' : '', 'volume_unit' : '4', 'volume_quantity' : '1', 'pieces_unit' : '', 'pieces_quantity' : ''}).status_code</v>
      </c>
    </row>
    <row r="207" customFormat="false" ht="15" hidden="false" customHeight="false" outlineLevel="0" collapsed="false">
      <c r="A207" s="10" t="str">
        <f aca="false">A84</f>
        <v>Sweet Corn Soup</v>
      </c>
      <c r="B207" s="12"/>
      <c r="C207" s="12"/>
      <c r="D207" s="12" t="n">
        <f aca="false">IFERROR(VLOOKUP(D84,$B$117:$C$122,2,0),"")</f>
        <v>4</v>
      </c>
      <c r="E207" s="12" t="n">
        <f aca="false">E84</f>
        <v>1</v>
      </c>
      <c r="F207" s="12" t="str">
        <f aca="false">IFERROR(VLOOKUP(F84,$B$117:$C$122,2,0),"")</f>
        <v/>
      </c>
      <c r="G207" s="12"/>
      <c r="H207" s="0" t="str">
        <f aca="false">"Client().post('/recipes/', {'name' : '"&amp;A207&amp;"', 'mass_unit' : '"&amp;B207&amp;"', 'mass_quantity' : '"&amp;C207&amp;"', 'volume_unit' : '"&amp;D207&amp;"', 'volume_quantity' : '"&amp;E207&amp;"', 'pieces_unit' : '"&amp;F207&amp;"', 'pieces_quantity' : '"&amp;G207&amp;"'}).status_code"</f>
        <v>Client().post('/recipes/', {'name' : 'Sweet Corn Soup', 'mass_unit' : '', 'mass_quantity' : '', 'volume_unit' : '4', 'volume_quantity' : '1', 'pieces_unit' : '', 'pieces_quantity' : ''}).status_code</v>
      </c>
    </row>
    <row r="208" customFormat="false" ht="15" hidden="false" customHeight="false" outlineLevel="0" collapsed="false">
      <c r="A208" s="10" t="str">
        <f aca="false">A85</f>
        <v>Tahini paste</v>
      </c>
      <c r="B208" s="12"/>
      <c r="C208" s="12"/>
      <c r="D208" s="12" t="n">
        <f aca="false">IFERROR(VLOOKUP(D85,$B$117:$C$122,2,0),"")</f>
        <v>4</v>
      </c>
      <c r="E208" s="12" t="n">
        <f aca="false">E85</f>
        <v>1</v>
      </c>
      <c r="F208" s="12" t="str">
        <f aca="false">IFERROR(VLOOKUP(F85,$B$117:$C$122,2,0),"")</f>
        <v/>
      </c>
      <c r="G208" s="12"/>
      <c r="H208" s="0" t="str">
        <f aca="false">"Client().post('/recipes/', {'name' : '"&amp;A208&amp;"', 'mass_unit' : '"&amp;B208&amp;"', 'mass_quantity' : '"&amp;C208&amp;"', 'volume_unit' : '"&amp;D208&amp;"', 'volume_quantity' : '"&amp;E208&amp;"', 'pieces_unit' : '"&amp;F208&amp;"', 'pieces_quantity' : '"&amp;G208&amp;"'}).status_code"</f>
        <v>Client().post('/recipes/', {'name' : 'Tahini paste', 'mass_unit' : '', 'mass_quantity' : '', 'volume_unit' : '4', 'volume_quantity' : '1', 'pieces_unit' : '', 'pieces_quantity' : ''}).status_code</v>
      </c>
    </row>
    <row r="209" customFormat="false" ht="15" hidden="false" customHeight="false" outlineLevel="0" collapsed="false">
      <c r="A209" s="10" t="str">
        <f aca="false">A86</f>
        <v>Tamrind Rice</v>
      </c>
      <c r="B209" s="12"/>
      <c r="C209" s="12"/>
      <c r="D209" s="12" t="n">
        <f aca="false">IFERROR(VLOOKUP(D86,$B$117:$C$122,2,0),"")</f>
        <v>4</v>
      </c>
      <c r="E209" s="12" t="n">
        <f aca="false">E86</f>
        <v>1</v>
      </c>
      <c r="F209" s="12" t="str">
        <f aca="false">IFERROR(VLOOKUP(F86,$B$117:$C$122,2,0),"")</f>
        <v/>
      </c>
      <c r="G209" s="12"/>
      <c r="H209" s="0" t="str">
        <f aca="false">"Client().post('/recipes/', {'name' : '"&amp;A209&amp;"', 'mass_unit' : '"&amp;B209&amp;"', 'mass_quantity' : '"&amp;C209&amp;"', 'volume_unit' : '"&amp;D209&amp;"', 'volume_quantity' : '"&amp;E209&amp;"', 'pieces_unit' : '"&amp;F209&amp;"', 'pieces_quantity' : '"&amp;G209&amp;"'}).status_code"</f>
        <v>Client().post('/recipes/', {'name' : 'Tamrind Rice', 'mass_unit' : '', 'mass_quantity' : '', 'volume_unit' : '4', 'volume_quantity' : '1', 'pieces_unit' : '', 'pieces_quantity' : ''}).status_code</v>
      </c>
    </row>
    <row r="210" customFormat="false" ht="15" hidden="false" customHeight="false" outlineLevel="0" collapsed="false">
      <c r="A210" s="10" t="str">
        <f aca="false">A87</f>
        <v>TOMATO  CHUTNEY FOR NOODLES</v>
      </c>
      <c r="B210" s="12"/>
      <c r="C210" s="12"/>
      <c r="D210" s="12" t="n">
        <f aca="false">IFERROR(VLOOKUP(D87,$B$117:$C$122,2,0),"")</f>
        <v>4</v>
      </c>
      <c r="E210" s="12" t="n">
        <f aca="false">E87</f>
        <v>1</v>
      </c>
      <c r="F210" s="12" t="str">
        <f aca="false">IFERROR(VLOOKUP(F87,$B$117:$C$122,2,0),"")</f>
        <v/>
      </c>
      <c r="G210" s="12"/>
      <c r="H210" s="0" t="str">
        <f aca="false">"Client().post('/recipes/', {'name' : '"&amp;A210&amp;"', 'mass_unit' : '"&amp;B210&amp;"', 'mass_quantity' : '"&amp;C210&amp;"', 'volume_unit' : '"&amp;D210&amp;"', 'volume_quantity' : '"&amp;E210&amp;"', 'pieces_unit' : '"&amp;F210&amp;"', 'pieces_quantity' : '"&amp;G210&amp;"'}).status_code"</f>
        <v>Client().post('/recipes/', {'name' : 'TOMATO  CHUTNEY FOR NOODLES', 'mass_unit' : '', 'mass_quantity' : '', 'volume_unit' : '4', 'volume_quantity' : '1', 'pieces_unit' : '', 'pieces_quantity' : ''}).status_code</v>
      </c>
    </row>
    <row r="211" customFormat="false" ht="15" hidden="false" customHeight="false" outlineLevel="0" collapsed="false">
      <c r="A211" s="10" t="str">
        <f aca="false">A88</f>
        <v>Tomato Chutni</v>
      </c>
      <c r="B211" s="12"/>
      <c r="C211" s="12"/>
      <c r="D211" s="12" t="n">
        <f aca="false">IFERROR(VLOOKUP(D88,$B$117:$C$122,2,0),"")</f>
        <v>4</v>
      </c>
      <c r="E211" s="12" t="n">
        <f aca="false">E88</f>
        <v>1</v>
      </c>
      <c r="F211" s="12" t="str">
        <f aca="false">IFERROR(VLOOKUP(F88,$B$117:$C$122,2,0),"")</f>
        <v/>
      </c>
      <c r="G211" s="12"/>
      <c r="H211" s="0" t="str">
        <f aca="false">"Client().post('/recipes/', {'name' : '"&amp;A211&amp;"', 'mass_unit' : '"&amp;B211&amp;"', 'mass_quantity' : '"&amp;C211&amp;"', 'volume_unit' : '"&amp;D211&amp;"', 'volume_quantity' : '"&amp;E211&amp;"', 'pieces_unit' : '"&amp;F211&amp;"', 'pieces_quantity' : '"&amp;G211&amp;"'}).status_code"</f>
        <v>Client().post('/recipes/', {'name' : 'Tomato Chutni', 'mass_unit' : '', 'mass_quantity' : '', 'volume_unit' : '4', 'volume_quantity' : '1', 'pieces_unit' : '', 'pieces_quantity' : ''}).status_code</v>
      </c>
    </row>
    <row r="212" customFormat="false" ht="15" hidden="false" customHeight="false" outlineLevel="0" collapsed="false">
      <c r="A212" s="10" t="str">
        <f aca="false">A89</f>
        <v>Udapi Poha</v>
      </c>
      <c r="B212" s="12"/>
      <c r="C212" s="12"/>
      <c r="D212" s="12" t="n">
        <f aca="false">IFERROR(VLOOKUP(D89,$B$117:$C$122,2,0),"")</f>
        <v>4</v>
      </c>
      <c r="E212" s="12" t="n">
        <f aca="false">E89</f>
        <v>1</v>
      </c>
      <c r="F212" s="12" t="str">
        <f aca="false">IFERROR(VLOOKUP(F89,$B$117:$C$122,2,0),"")</f>
        <v/>
      </c>
      <c r="G212" s="12"/>
      <c r="H212" s="0" t="str">
        <f aca="false">"Client().post('/recipes/', {'name' : '"&amp;A212&amp;"', 'mass_unit' : '"&amp;B212&amp;"', 'mass_quantity' : '"&amp;C212&amp;"', 'volume_unit' : '"&amp;D212&amp;"', 'volume_quantity' : '"&amp;E212&amp;"', 'pieces_unit' : '"&amp;F212&amp;"', 'pieces_quantity' : '"&amp;G212&amp;"'}).status_code"</f>
        <v>Client().post('/recipes/', {'name' : 'Udapi Poha', 'mass_unit' : '', 'mass_quantity' : '', 'volume_unit' : '4', 'volume_quantity' : '1', 'pieces_unit' : '', 'pieces_quantity' : ''}).status_code</v>
      </c>
    </row>
    <row r="213" customFormat="false" ht="15" hidden="false" customHeight="false" outlineLevel="0" collapsed="false">
      <c r="A213" s="10" t="str">
        <f aca="false">A90</f>
        <v>Upma</v>
      </c>
      <c r="B213" s="12"/>
      <c r="C213" s="12"/>
      <c r="D213" s="12" t="n">
        <f aca="false">IFERROR(VLOOKUP(D90,$B$117:$C$122,2,0),"")</f>
        <v>4</v>
      </c>
      <c r="E213" s="12" t="n">
        <f aca="false">E90</f>
        <v>1</v>
      </c>
      <c r="F213" s="12" t="str">
        <f aca="false">IFERROR(VLOOKUP(F90,$B$117:$C$122,2,0),"")</f>
        <v/>
      </c>
      <c r="G213" s="12"/>
      <c r="H213" s="0" t="str">
        <f aca="false">"Client().post('/recipes/', {'name' : '"&amp;A213&amp;"', 'mass_unit' : '"&amp;B213&amp;"', 'mass_quantity' : '"&amp;C213&amp;"', 'volume_unit' : '"&amp;D213&amp;"', 'volume_quantity' : '"&amp;E213&amp;"', 'pieces_unit' : '"&amp;F213&amp;"', 'pieces_quantity' : '"&amp;G213&amp;"'}).status_code"</f>
        <v>Client().post('/recipes/', {'name' : 'Upma', 'mass_unit' : '', 'mass_quantity' : '', 'volume_unit' : '4', 'volume_quantity' : '1', 'pieces_unit' : '', 'pieces_quantity' : ''}).status_code</v>
      </c>
    </row>
    <row r="214" customFormat="false" ht="15" hidden="false" customHeight="false" outlineLevel="0" collapsed="false">
      <c r="A214" s="10" t="str">
        <f aca="false">A91</f>
        <v>Usal Pav</v>
      </c>
      <c r="B214" s="12"/>
      <c r="C214" s="12"/>
      <c r="D214" s="12" t="n">
        <f aca="false">IFERROR(VLOOKUP(D91,$B$117:$C$122,2,0),"")</f>
        <v>4</v>
      </c>
      <c r="E214" s="12" t="n">
        <f aca="false">E91</f>
        <v>1</v>
      </c>
      <c r="F214" s="12" t="str">
        <f aca="false">IFERROR(VLOOKUP(F91,$B$117:$C$122,2,0),"")</f>
        <v/>
      </c>
      <c r="G214" s="12"/>
      <c r="H214" s="0" t="str">
        <f aca="false">"Client().post('/recipes/', {'name' : '"&amp;A214&amp;"', 'mass_unit' : '"&amp;B214&amp;"', 'mass_quantity' : '"&amp;C214&amp;"', 'volume_unit' : '"&amp;D214&amp;"', 'volume_quantity' : '"&amp;E214&amp;"', 'pieces_unit' : '"&amp;F214&amp;"', 'pieces_quantity' : '"&amp;G214&amp;"'}).status_code"</f>
        <v>Client().post('/recipes/', {'name' : 'Usal Pav', 'mass_unit' : '', 'mass_quantity' : '', 'volume_unit' : '4', 'volume_quantity' : '1', 'pieces_unit' : '', 'pieces_quantity' : ''}).status_code</v>
      </c>
    </row>
    <row r="215" customFormat="false" ht="15" hidden="false" customHeight="false" outlineLevel="0" collapsed="false">
      <c r="A215" s="10" t="str">
        <f aca="false">A92</f>
        <v>Varai Kheer</v>
      </c>
      <c r="B215" s="12"/>
      <c r="C215" s="12"/>
      <c r="D215" s="12" t="n">
        <f aca="false">IFERROR(VLOOKUP(D92,$B$117:$C$122,2,0),"")</f>
        <v>4</v>
      </c>
      <c r="E215" s="12" t="n">
        <f aca="false">E92</f>
        <v>1</v>
      </c>
      <c r="F215" s="12" t="str">
        <f aca="false">IFERROR(VLOOKUP(F92,$B$117:$C$122,2,0),"")</f>
        <v/>
      </c>
      <c r="G215" s="12"/>
      <c r="H215" s="0" t="str">
        <f aca="false">"Client().post('/recipes/', {'name' : '"&amp;A215&amp;"', 'mass_unit' : '"&amp;B215&amp;"', 'mass_quantity' : '"&amp;C215&amp;"', 'volume_unit' : '"&amp;D215&amp;"', 'volume_quantity' : '"&amp;E215&amp;"', 'pieces_unit' : '"&amp;F215&amp;"', 'pieces_quantity' : '"&amp;G215&amp;"'}).status_code"</f>
        <v>Client().post('/recipes/', {'name' : 'Varai Kheer', 'mass_unit' : '', 'mass_quantity' : '', 'volume_unit' : '4', 'volume_quantity' : '1', 'pieces_unit' : '', 'pieces_quantity' : ''}).status_code</v>
      </c>
    </row>
    <row r="216" customFormat="false" ht="15" hidden="false" customHeight="false" outlineLevel="0" collapsed="false">
      <c r="A216" s="10" t="str">
        <f aca="false">A93</f>
        <v>Varai Pulav</v>
      </c>
      <c r="B216" s="12"/>
      <c r="C216" s="12"/>
      <c r="D216" s="12" t="n">
        <f aca="false">IFERROR(VLOOKUP(D93,$B$117:$C$122,2,0),"")</f>
        <v>4</v>
      </c>
      <c r="E216" s="12" t="n">
        <f aca="false">E93</f>
        <v>1</v>
      </c>
      <c r="F216" s="12" t="str">
        <f aca="false">IFERROR(VLOOKUP(F93,$B$117:$C$122,2,0),"")</f>
        <v/>
      </c>
      <c r="G216" s="12"/>
      <c r="H216" s="0" t="str">
        <f aca="false">"Client().post('/recipes/', {'name' : '"&amp;A216&amp;"', 'mass_unit' : '"&amp;B216&amp;"', 'mass_quantity' : '"&amp;C216&amp;"', 'volume_unit' : '"&amp;D216&amp;"', 'volume_quantity' : '"&amp;E216&amp;"', 'pieces_unit' : '"&amp;F216&amp;"', 'pieces_quantity' : '"&amp;G216&amp;"'}).status_code"</f>
        <v>Client().post('/recipes/', {'name' : 'Varai Pulav', 'mass_unit' : '', 'mass_quantity' : '', 'volume_unit' : '4', 'volume_quantity' : '1', 'pieces_unit' : '', 'pieces_quantity' : ''}).status_code</v>
      </c>
    </row>
    <row r="217" customFormat="false" ht="15" hidden="false" customHeight="false" outlineLevel="0" collapsed="false">
      <c r="A217" s="10" t="str">
        <f aca="false">A94</f>
        <v>Variyali</v>
      </c>
      <c r="B217" s="12"/>
      <c r="C217" s="12"/>
      <c r="D217" s="12" t="n">
        <f aca="false">IFERROR(VLOOKUP(D94,$B$117:$C$122,2,0),"")</f>
        <v>4</v>
      </c>
      <c r="E217" s="12" t="n">
        <f aca="false">E94</f>
        <v>1</v>
      </c>
      <c r="F217" s="12" t="str">
        <f aca="false">IFERROR(VLOOKUP(F94,$B$117:$C$122,2,0),"")</f>
        <v/>
      </c>
      <c r="G217" s="12"/>
      <c r="H217" s="0" t="str">
        <f aca="false">"Client().post('/recipes/', {'name' : '"&amp;A217&amp;"', 'mass_unit' : '"&amp;B217&amp;"', 'mass_quantity' : '"&amp;C217&amp;"', 'volume_unit' : '"&amp;D217&amp;"', 'volume_quantity' : '"&amp;E217&amp;"', 'pieces_unit' : '"&amp;F217&amp;"', 'pieces_quantity' : '"&amp;G217&amp;"'}).status_code"</f>
        <v>Client().post('/recipes/', {'name' : 'Variyali', 'mass_unit' : '', 'mass_quantity' : '', 'volume_unit' : '4', 'volume_quantity' : '1', 'pieces_unit' : '', 'pieces_quantity' : ''}).status_code</v>
      </c>
    </row>
    <row r="218" customFormat="false" ht="15" hidden="false" customHeight="false" outlineLevel="0" collapsed="false">
      <c r="A218" s="10" t="str">
        <f aca="false">A95</f>
        <v>Vermicllly</v>
      </c>
      <c r="B218" s="12"/>
      <c r="C218" s="12"/>
      <c r="D218" s="12" t="n">
        <f aca="false">IFERROR(VLOOKUP(D95,$B$117:$C$122,2,0),"")</f>
        <v>4</v>
      </c>
      <c r="E218" s="12" t="n">
        <f aca="false">E95</f>
        <v>1</v>
      </c>
      <c r="F218" s="12" t="str">
        <f aca="false">IFERROR(VLOOKUP(F95,$B$117:$C$122,2,0),"")</f>
        <v/>
      </c>
      <c r="G218" s="12"/>
      <c r="H218" s="0" t="str">
        <f aca="false">"Client().post('/recipes/', {'name' : '"&amp;A218&amp;"', 'mass_unit' : '"&amp;B218&amp;"', 'mass_quantity' : '"&amp;C218&amp;"', 'volume_unit' : '"&amp;D218&amp;"', 'volume_quantity' : '"&amp;E218&amp;"', 'pieces_unit' : '"&amp;F218&amp;"', 'pieces_quantity' : '"&amp;G218&amp;"'}).status_code"</f>
        <v>Client().post('/recipes/', {'name' : 'Vermicllly', 'mass_unit' : '', 'mass_quantity' : '', 'volume_unit' : '4', 'volume_quantity' : '1', 'pieces_unit' : '', 'pieces_quantity' : ''}).status_code</v>
      </c>
    </row>
    <row r="219" customFormat="false" ht="15" hidden="false" customHeight="false" outlineLevel="0" collapsed="false">
      <c r="A219" s="10" t="str">
        <f aca="false">A96</f>
        <v>Watana Usal</v>
      </c>
      <c r="B219" s="12"/>
      <c r="C219" s="12"/>
      <c r="D219" s="12" t="n">
        <f aca="false">IFERROR(VLOOKUP(D96,$B$117:$C$122,2,0),"")</f>
        <v>4</v>
      </c>
      <c r="E219" s="12" t="n">
        <f aca="false">E96</f>
        <v>1</v>
      </c>
      <c r="F219" s="12" t="str">
        <f aca="false">IFERROR(VLOOKUP(F96,$B$117:$C$122,2,0),"")</f>
        <v/>
      </c>
      <c r="G219" s="12"/>
      <c r="H219" s="0" t="str">
        <f aca="false">"Client().post('/recipes/', {'name' : '"&amp;A219&amp;"', 'mass_unit' : '"&amp;B219&amp;"', 'mass_quantity' : '"&amp;C219&amp;"', 'volume_unit' : '"&amp;D219&amp;"', 'volume_quantity' : '"&amp;E219&amp;"', 'pieces_unit' : '"&amp;F219&amp;"', 'pieces_quantity' : '"&amp;G219&amp;"'}).status_code"</f>
        <v>Client().post('/recipes/', {'name' : 'Watana Usal', 'mass_unit' : '', 'mass_quantity' : '', 'volume_unit' : '4', 'volume_quantity' : '1', 'pieces_unit' : '', 'pieces_quantity' : ''}).status_code</v>
      </c>
    </row>
    <row r="220" customFormat="false" ht="15" hidden="false" customHeight="false" outlineLevel="0" collapsed="false">
      <c r="A220" s="10" t="str">
        <f aca="false">A97</f>
        <v>Alu Flower Gravy (Ekadashi)</v>
      </c>
      <c r="D220" s="12" t="n">
        <f aca="false">IFERROR(VLOOKUP(D97,$B$117:$C$122,2,0),"")</f>
        <v>4</v>
      </c>
      <c r="E220" s="12" t="n">
        <f aca="false">E97</f>
        <v>1</v>
      </c>
      <c r="H220" s="0" t="str">
        <f aca="false">"Client().post('/recipes/', {'name' : '"&amp;A220&amp;"', 'mass_unit' : '"&amp;B220&amp;"', 'mass_quantity' : '"&amp;C220&amp;"', 'volume_unit' : '"&amp;D220&amp;"', 'volume_quantity' : '"&amp;E220&amp;"', 'pieces_unit' : '"&amp;F220&amp;"', 'pieces_quantity' : '"&amp;G220&amp;"'}).status_code"</f>
        <v>Client().post('/recipes/', {'name' : 'Alu Flower Gravy (Ekadashi)', 'mass_unit' : '', 'mass_quantity' : '', 'volume_unit' : '4', 'volume_quantity' : '1', 'pieces_unit' : '', 'pieces_quantity' : ''}).status_code</v>
      </c>
    </row>
    <row r="221" customFormat="false" ht="15" hidden="false" customHeight="false" outlineLevel="0" collapsed="false">
      <c r="A221" s="10" t="str">
        <f aca="false">A98</f>
        <v>Ekadasi soup</v>
      </c>
      <c r="D221" s="12" t="n">
        <f aca="false">IFERROR(VLOOKUP(D98,$B$117:$C$122,2,0),"")</f>
        <v>4</v>
      </c>
      <c r="E221" s="12" t="n">
        <f aca="false">E98</f>
        <v>1</v>
      </c>
      <c r="H221" s="0" t="str">
        <f aca="false">"Client().post('/recipes/', {'name' : '"&amp;A221&amp;"', 'mass_unit' : '"&amp;B221&amp;"', 'mass_quantity' : '"&amp;C221&amp;"', 'volume_unit' : '"&amp;D221&amp;"', 'volume_quantity' : '"&amp;E221&amp;"', 'pieces_unit' : '"&amp;F221&amp;"', 'pieces_quantity' : '"&amp;G221&amp;"'}).status_code"</f>
        <v>Client().post('/recipes/', {'name' : 'Ekadasi soup', 'mass_unit' : '', 'mass_quantity' : '', 'volume_unit' : '4', 'volume_quantity' : '1', 'pieces_unit' : '', 'pieces_quantity' : ''}).status_code</v>
      </c>
    </row>
    <row r="222" customFormat="false" ht="15" hidden="false" customHeight="false" outlineLevel="0" collapsed="false">
      <c r="A222" s="10" t="str">
        <f aca="false">A99</f>
        <v>Kakdi singdana salad</v>
      </c>
      <c r="D222" s="12" t="n">
        <f aca="false">IFERROR(VLOOKUP(D99,$B$117:$C$122,2,0),"")</f>
        <v>4</v>
      </c>
      <c r="E222" s="12" t="n">
        <f aca="false">E99</f>
        <v>1</v>
      </c>
      <c r="H222" s="0" t="str">
        <f aca="false">"Client().post('/recipes/', {'name' : '"&amp;A222&amp;"', 'mass_unit' : '"&amp;B222&amp;"', 'mass_quantity' : '"&amp;C222&amp;"', 'volume_unit' : '"&amp;D222&amp;"', 'volume_quantity' : '"&amp;E222&amp;"', 'pieces_unit' : '"&amp;F222&amp;"', 'pieces_quantity' : '"&amp;G222&amp;"'}).status_code"</f>
        <v>Client().post('/recipes/', {'name' : 'Kakdi singdana salad', 'mass_unit' : '', 'mass_quantity' : '', 'volume_unit' : '4', 'volume_quantity' : '1', 'pieces_unit' : '', 'pieces_quantity' : ''}).status_code</v>
      </c>
    </row>
    <row r="223" customFormat="false" ht="15" hidden="false" customHeight="false" outlineLevel="0" collapsed="false">
      <c r="A223" s="10" t="str">
        <f aca="false">A100</f>
        <v>Potato chips</v>
      </c>
      <c r="D223" s="12" t="n">
        <f aca="false">IFERROR(VLOOKUP(D100,$B$117:$C$122,2,0),"")</f>
        <v>4</v>
      </c>
      <c r="E223" s="12" t="n">
        <f aca="false">E100</f>
        <v>1</v>
      </c>
      <c r="H223" s="0" t="str">
        <f aca="false">"Client().post('/recipes/', {'name' : '"&amp;A223&amp;"', 'mass_unit' : '"&amp;B223&amp;"', 'mass_quantity' : '"&amp;C223&amp;"', 'volume_unit' : '"&amp;D223&amp;"', 'volume_quantity' : '"&amp;E223&amp;"', 'pieces_unit' : '"&amp;F223&amp;"', 'pieces_quantity' : '"&amp;G223&amp;"'}).status_code"</f>
        <v>Client().post('/recipes/', {'name' : 'Potato chips', 'mass_unit' : '', 'mass_quantity' : '', 'volume_unit' : '4', 'volume_quantity' : '1', 'pieces_unit' : '', 'pieces_quantity' : ''}).status_code</v>
      </c>
    </row>
    <row r="224" customFormat="false" ht="15" hidden="false" customHeight="false" outlineLevel="0" collapsed="false">
      <c r="A224" s="10" t="str">
        <f aca="false">A101</f>
        <v>Potato Salli</v>
      </c>
      <c r="D224" s="12" t="n">
        <f aca="false">IFERROR(VLOOKUP(D101,$B$117:$C$122,2,0),"")</f>
        <v>4</v>
      </c>
      <c r="E224" s="12" t="n">
        <f aca="false">E101</f>
        <v>1</v>
      </c>
      <c r="H224" s="0" t="str">
        <f aca="false">"Client().post('/recipes/', {'name' : '"&amp;A224&amp;"', 'mass_unit' : '"&amp;B224&amp;"', 'mass_quantity' : '"&amp;C224&amp;"', 'volume_unit' : '"&amp;D224&amp;"', 'volume_quantity' : '"&amp;E224&amp;"', 'pieces_unit' : '"&amp;F224&amp;"', 'pieces_quantity' : '"&amp;G224&amp;"'}).status_code"</f>
        <v>Client().post('/recipes/', {'name' : 'Potato Salli', 'mass_unit' : '', 'mass_quantity' : '', 'volume_unit' : '4', 'volume_quantity' : '1', 'pieces_unit' : '', 'pieces_quantity' : ''}).status_code</v>
      </c>
    </row>
    <row r="225" customFormat="false" ht="15" hidden="false" customHeight="false" outlineLevel="0" collapsed="false">
      <c r="A225" s="10" t="str">
        <f aca="false">A102</f>
        <v>Varai Pulav2</v>
      </c>
      <c r="D225" s="12" t="n">
        <f aca="false">IFERROR(VLOOKUP(D102,$B$117:$C$122,2,0),"")</f>
        <v>4</v>
      </c>
      <c r="E225" s="12" t="n">
        <f aca="false">E102</f>
        <v>1</v>
      </c>
      <c r="H225" s="0" t="str">
        <f aca="false">"Client().post('/recipes/', {'name' : '"&amp;A225&amp;"', 'mass_unit' : '"&amp;B225&amp;"', 'mass_quantity' : '"&amp;C225&amp;"', 'volume_unit' : '"&amp;D225&amp;"', 'volume_quantity' : '"&amp;E225&amp;"', 'pieces_unit' : '"&amp;F225&amp;"', 'pieces_quantity' : '"&amp;G225&amp;"'}).status_code"</f>
        <v>Client().post('/recipes/', {'name' : 'Varai Pulav2', 'mass_unit' : '', 'mass_quantity' : '', 'volume_unit' : '4', 'volume_quantity' : '1', 'pieces_unit' : '', 'pieces_quantity' : ''}).status_code</v>
      </c>
    </row>
    <row r="226" customFormat="false" ht="15" hidden="false" customHeight="false" outlineLevel="0" collapsed="false">
      <c r="A226" s="10"/>
    </row>
    <row r="227" customFormat="false" ht="15" hidden="false" customHeight="false" outlineLevel="0" collapsed="false">
      <c r="A227" s="10"/>
    </row>
    <row r="228" customFormat="false" ht="15" hidden="false" customHeight="false" outlineLevel="0" collapsed="false">
      <c r="A228" s="10"/>
    </row>
    <row r="229" customFormat="false" ht="15" hidden="false" customHeight="false" outlineLevel="0" collapsed="false">
      <c r="A229" s="10"/>
    </row>
    <row r="230" customFormat="false" ht="13.8" hidden="false" customHeight="false" outlineLevel="0" collapsed="false">
      <c r="A230" s="2" t="s">
        <v>1</v>
      </c>
      <c r="B230" s="2" t="n">
        <v>1</v>
      </c>
      <c r="C230" s="0"/>
      <c r="D230" s="2" t="s">
        <v>101</v>
      </c>
      <c r="E230" s="554" t="n">
        <v>42877.6188320459</v>
      </c>
      <c r="F230" s="554" t="n">
        <v>42877.6188320463</v>
      </c>
      <c r="G230" s="2" t="s">
        <v>13</v>
      </c>
      <c r="L230" s="0" t="n">
        <v>4</v>
      </c>
      <c r="M230" s="0" t="n">
        <v>1</v>
      </c>
    </row>
    <row r="231" customFormat="false" ht="13.8" hidden="false" customHeight="false" outlineLevel="0" collapsed="false">
      <c r="A231" s="2" t="s">
        <v>104</v>
      </c>
      <c r="B231" s="2" t="n">
        <v>2</v>
      </c>
      <c r="C231" s="0"/>
      <c r="D231" s="2" t="s">
        <v>105</v>
      </c>
      <c r="E231" s="554" t="n">
        <v>42877.6190492255</v>
      </c>
      <c r="F231" s="554" t="n">
        <v>42877.619049226</v>
      </c>
      <c r="G231" s="2" t="s">
        <v>13</v>
      </c>
      <c r="L231" s="0" t="n">
        <v>4</v>
      </c>
      <c r="M231" s="0" t="n">
        <v>1</v>
      </c>
    </row>
    <row r="232" customFormat="false" ht="13.8" hidden="false" customHeight="false" outlineLevel="0" collapsed="false">
      <c r="A232" s="2" t="s">
        <v>110</v>
      </c>
      <c r="B232" s="2" t="n">
        <v>3</v>
      </c>
      <c r="C232" s="0"/>
      <c r="D232" s="2" t="s">
        <v>111</v>
      </c>
      <c r="E232" s="554" t="n">
        <v>42877.6190522104</v>
      </c>
      <c r="F232" s="554" t="n">
        <v>42877.619052211</v>
      </c>
      <c r="G232" s="2" t="s">
        <v>13</v>
      </c>
      <c r="L232" s="0" t="n">
        <v>4</v>
      </c>
      <c r="M232" s="0" t="n">
        <v>1</v>
      </c>
    </row>
    <row r="233" customFormat="false" ht="13.8" hidden="false" customHeight="false" outlineLevel="0" collapsed="false">
      <c r="A233" s="2" t="s">
        <v>114</v>
      </c>
      <c r="B233" s="2" t="n">
        <v>4</v>
      </c>
      <c r="C233" s="0"/>
      <c r="D233" s="2" t="s">
        <v>115</v>
      </c>
      <c r="E233" s="554" t="n">
        <v>42877.6190537164</v>
      </c>
      <c r="F233" s="554" t="n">
        <v>42877.6190537169</v>
      </c>
      <c r="G233" s="2" t="s">
        <v>13</v>
      </c>
      <c r="L233" s="0" t="n">
        <v>4</v>
      </c>
      <c r="M233" s="0" t="n">
        <v>1</v>
      </c>
    </row>
    <row r="234" customFormat="false" ht="13.8" hidden="false" customHeight="false" outlineLevel="0" collapsed="false">
      <c r="A234" s="2" t="s">
        <v>118</v>
      </c>
      <c r="B234" s="2" t="n">
        <v>5</v>
      </c>
      <c r="C234" s="0"/>
      <c r="D234" s="2" t="s">
        <v>119</v>
      </c>
      <c r="E234" s="554" t="n">
        <v>42877.6190548389</v>
      </c>
      <c r="F234" s="554" t="n">
        <v>42877.6190548395</v>
      </c>
      <c r="G234" s="2" t="s">
        <v>13</v>
      </c>
      <c r="L234" s="0" t="n">
        <v>4</v>
      </c>
      <c r="M234" s="0" t="n">
        <v>1</v>
      </c>
    </row>
    <row r="235" customFormat="false" ht="13.8" hidden="false" customHeight="false" outlineLevel="0" collapsed="false">
      <c r="A235" s="2" t="s">
        <v>121</v>
      </c>
      <c r="B235" s="2" t="n">
        <v>6</v>
      </c>
      <c r="C235" s="0"/>
      <c r="D235" s="2" t="s">
        <v>122</v>
      </c>
      <c r="E235" s="554" t="n">
        <v>42877.6190561774</v>
      </c>
      <c r="F235" s="554" t="n">
        <v>42877.6190561779</v>
      </c>
      <c r="G235" s="2" t="s">
        <v>13</v>
      </c>
      <c r="L235" s="0" t="n">
        <v>4</v>
      </c>
      <c r="M235" s="0" t="n">
        <v>1</v>
      </c>
    </row>
    <row r="236" customFormat="false" ht="13.8" hidden="false" customHeight="false" outlineLevel="0" collapsed="false">
      <c r="A236" s="2" t="s">
        <v>124</v>
      </c>
      <c r="B236" s="2" t="n">
        <v>7</v>
      </c>
      <c r="C236" s="0"/>
      <c r="D236" s="2" t="s">
        <v>125</v>
      </c>
      <c r="E236" s="554" t="n">
        <v>42877.6190575679</v>
      </c>
      <c r="F236" s="554" t="n">
        <v>42877.6190575685</v>
      </c>
      <c r="G236" s="2" t="s">
        <v>13</v>
      </c>
      <c r="L236" s="0" t="n">
        <v>4</v>
      </c>
      <c r="M236" s="0" t="n">
        <v>1</v>
      </c>
    </row>
    <row r="237" customFormat="false" ht="13.8" hidden="false" customHeight="false" outlineLevel="0" collapsed="false">
      <c r="A237" s="2" t="s">
        <v>128</v>
      </c>
      <c r="B237" s="2" t="n">
        <v>8</v>
      </c>
      <c r="C237" s="0"/>
      <c r="D237" s="2" t="s">
        <v>129</v>
      </c>
      <c r="E237" s="554" t="n">
        <v>42877.6190592002</v>
      </c>
      <c r="F237" s="554" t="n">
        <v>42877.6190592006</v>
      </c>
      <c r="G237" s="2" t="s">
        <v>13</v>
      </c>
      <c r="L237" s="0" t="n">
        <v>4</v>
      </c>
      <c r="M237" s="0" t="n">
        <v>1</v>
      </c>
    </row>
    <row r="238" customFormat="false" ht="13.8" hidden="false" customHeight="false" outlineLevel="0" collapsed="false">
      <c r="A238" s="2" t="s">
        <v>132</v>
      </c>
      <c r="B238" s="2" t="n">
        <v>9</v>
      </c>
      <c r="C238" s="0"/>
      <c r="D238" s="2" t="s">
        <v>133</v>
      </c>
      <c r="E238" s="554" t="n">
        <v>42877.6190605221</v>
      </c>
      <c r="F238" s="554" t="n">
        <v>42877.6190605225</v>
      </c>
      <c r="G238" s="2" t="s">
        <v>13</v>
      </c>
      <c r="L238" s="0" t="n">
        <v>4</v>
      </c>
      <c r="M238" s="0" t="n">
        <v>1</v>
      </c>
    </row>
    <row r="239" customFormat="false" ht="13.8" hidden="false" customHeight="false" outlineLevel="0" collapsed="false">
      <c r="A239" s="2" t="s">
        <v>136</v>
      </c>
      <c r="B239" s="2" t="n">
        <v>10</v>
      </c>
      <c r="C239" s="0"/>
      <c r="D239" s="2" t="s">
        <v>137</v>
      </c>
      <c r="E239" s="554" t="n">
        <v>42877.619062131</v>
      </c>
      <c r="F239" s="554" t="n">
        <v>42877.6190621315</v>
      </c>
      <c r="G239" s="2" t="s">
        <v>13</v>
      </c>
      <c r="L239" s="0" t="n">
        <v>4</v>
      </c>
      <c r="M239" s="0" t="n">
        <v>1</v>
      </c>
    </row>
    <row r="240" customFormat="false" ht="13.8" hidden="false" customHeight="false" outlineLevel="0" collapsed="false">
      <c r="A240" s="2" t="s">
        <v>140</v>
      </c>
      <c r="B240" s="2" t="n">
        <v>11</v>
      </c>
      <c r="C240" s="0"/>
      <c r="D240" s="2" t="s">
        <v>141</v>
      </c>
      <c r="E240" s="554" t="n">
        <v>42877.6190635196</v>
      </c>
      <c r="F240" s="554" t="n">
        <v>42877.6190635201</v>
      </c>
      <c r="G240" s="2" t="s">
        <v>13</v>
      </c>
      <c r="L240" s="0" t="n">
        <v>4</v>
      </c>
      <c r="M240" s="0" t="n">
        <v>1</v>
      </c>
    </row>
    <row r="241" customFormat="false" ht="13.8" hidden="false" customHeight="false" outlineLevel="0" collapsed="false">
      <c r="A241" s="2" t="s">
        <v>144</v>
      </c>
      <c r="B241" s="2" t="n">
        <v>12</v>
      </c>
      <c r="C241" s="0"/>
      <c r="D241" s="2" t="s">
        <v>145</v>
      </c>
      <c r="E241" s="554" t="n">
        <v>42877.6190648319</v>
      </c>
      <c r="F241" s="554" t="n">
        <v>42877.6190648323</v>
      </c>
      <c r="G241" s="2" t="s">
        <v>13</v>
      </c>
      <c r="L241" s="0" t="n">
        <v>4</v>
      </c>
      <c r="M241" s="0" t="n">
        <v>1</v>
      </c>
    </row>
    <row r="242" customFormat="false" ht="13.8" hidden="false" customHeight="false" outlineLevel="0" collapsed="false">
      <c r="A242" s="2" t="s">
        <v>148</v>
      </c>
      <c r="B242" s="2" t="n">
        <v>13</v>
      </c>
      <c r="C242" s="0"/>
      <c r="D242" s="2" t="s">
        <v>149</v>
      </c>
      <c r="E242" s="554" t="n">
        <v>42877.6190666731</v>
      </c>
      <c r="F242" s="554" t="n">
        <v>42877.6190666735</v>
      </c>
      <c r="G242" s="2" t="s">
        <v>13</v>
      </c>
      <c r="L242" s="0" t="n">
        <v>4</v>
      </c>
      <c r="M242" s="0" t="n">
        <v>1</v>
      </c>
    </row>
    <row r="243" customFormat="false" ht="13.8" hidden="false" customHeight="false" outlineLevel="0" collapsed="false">
      <c r="A243" s="2" t="s">
        <v>151</v>
      </c>
      <c r="B243" s="2" t="n">
        <v>14</v>
      </c>
      <c r="C243" s="0"/>
      <c r="D243" s="2" t="s">
        <v>152</v>
      </c>
      <c r="E243" s="554" t="n">
        <v>42877.6190681036</v>
      </c>
      <c r="F243" s="554" t="n">
        <v>42877.619068104</v>
      </c>
      <c r="G243" s="2" t="s">
        <v>13</v>
      </c>
      <c r="L243" s="0" t="n">
        <v>4</v>
      </c>
      <c r="M243" s="0" t="n">
        <v>1</v>
      </c>
    </row>
    <row r="244" customFormat="false" ht="13.8" hidden="false" customHeight="false" outlineLevel="0" collapsed="false">
      <c r="A244" s="2" t="s">
        <v>154</v>
      </c>
      <c r="B244" s="2" t="n">
        <v>15</v>
      </c>
      <c r="C244" s="0"/>
      <c r="D244" s="2" t="s">
        <v>155</v>
      </c>
      <c r="E244" s="554" t="n">
        <v>42877.6190693377</v>
      </c>
      <c r="F244" s="554" t="n">
        <v>42877.6190693381</v>
      </c>
      <c r="G244" s="2" t="s">
        <v>13</v>
      </c>
      <c r="L244" s="0" t="n">
        <v>4</v>
      </c>
      <c r="M244" s="0" t="n">
        <v>1</v>
      </c>
    </row>
    <row r="245" customFormat="false" ht="13.8" hidden="false" customHeight="false" outlineLevel="0" collapsed="false">
      <c r="A245" s="2" t="s">
        <v>157</v>
      </c>
      <c r="B245" s="2" t="n">
        <v>16</v>
      </c>
      <c r="C245" s="0"/>
      <c r="D245" s="2" t="s">
        <v>158</v>
      </c>
      <c r="E245" s="554" t="n">
        <v>42877.6190709411</v>
      </c>
      <c r="F245" s="554" t="n">
        <v>42877.6190709415</v>
      </c>
      <c r="G245" s="2" t="s">
        <v>13</v>
      </c>
      <c r="L245" s="0" t="n">
        <v>4</v>
      </c>
      <c r="M245" s="0" t="n">
        <v>1</v>
      </c>
    </row>
    <row r="246" customFormat="false" ht="13.8" hidden="false" customHeight="false" outlineLevel="0" collapsed="false">
      <c r="A246" s="2" t="s">
        <v>160</v>
      </c>
      <c r="B246" s="2" t="n">
        <v>17</v>
      </c>
      <c r="C246" s="0"/>
      <c r="D246" s="2" t="s">
        <v>161</v>
      </c>
      <c r="E246" s="554" t="n">
        <v>42877.6190726119</v>
      </c>
      <c r="F246" s="554" t="n">
        <v>42877.619072613</v>
      </c>
      <c r="G246" s="2" t="s">
        <v>13</v>
      </c>
      <c r="L246" s="0" t="n">
        <v>4</v>
      </c>
      <c r="M246" s="0" t="n">
        <v>1</v>
      </c>
    </row>
    <row r="247" customFormat="false" ht="13.8" hidden="false" customHeight="false" outlineLevel="0" collapsed="false">
      <c r="A247" s="2" t="s">
        <v>163</v>
      </c>
      <c r="B247" s="2" t="n">
        <v>18</v>
      </c>
      <c r="C247" s="0"/>
      <c r="D247" s="2" t="s">
        <v>164</v>
      </c>
      <c r="E247" s="554" t="n">
        <v>42877.6190742623</v>
      </c>
      <c r="F247" s="554" t="n">
        <v>42877.6190742627</v>
      </c>
      <c r="G247" s="2" t="s">
        <v>13</v>
      </c>
      <c r="L247" s="0" t="n">
        <v>4</v>
      </c>
      <c r="M247" s="0" t="n">
        <v>1</v>
      </c>
    </row>
    <row r="248" customFormat="false" ht="13.8" hidden="false" customHeight="false" outlineLevel="0" collapsed="false">
      <c r="A248" s="2" t="s">
        <v>166</v>
      </c>
      <c r="B248" s="2" t="n">
        <v>19</v>
      </c>
      <c r="C248" s="0"/>
      <c r="D248" s="2" t="s">
        <v>167</v>
      </c>
      <c r="E248" s="554" t="n">
        <v>42877.6190754144</v>
      </c>
      <c r="F248" s="554" t="n">
        <v>42877.6190754149</v>
      </c>
      <c r="G248" s="2" t="s">
        <v>13</v>
      </c>
      <c r="L248" s="0" t="n">
        <v>4</v>
      </c>
      <c r="M248" s="0" t="n">
        <v>1</v>
      </c>
    </row>
    <row r="249" customFormat="false" ht="13.8" hidden="false" customHeight="false" outlineLevel="0" collapsed="false">
      <c r="A249" s="2" t="s">
        <v>169</v>
      </c>
      <c r="B249" s="2" t="n">
        <v>20</v>
      </c>
      <c r="C249" s="0"/>
      <c r="D249" s="2" t="s">
        <v>170</v>
      </c>
      <c r="E249" s="554" t="n">
        <v>42877.6190766328</v>
      </c>
      <c r="F249" s="554" t="n">
        <v>42877.6190766333</v>
      </c>
      <c r="G249" s="2" t="s">
        <v>13</v>
      </c>
      <c r="L249" s="0" t="n">
        <v>4</v>
      </c>
      <c r="M249" s="0" t="n">
        <v>1</v>
      </c>
    </row>
    <row r="250" customFormat="false" ht="13.8" hidden="false" customHeight="false" outlineLevel="0" collapsed="false">
      <c r="A250" s="2" t="s">
        <v>172</v>
      </c>
      <c r="B250" s="2" t="n">
        <v>21</v>
      </c>
      <c r="C250" s="0"/>
      <c r="D250" s="2" t="s">
        <v>173</v>
      </c>
      <c r="E250" s="554" t="n">
        <v>42877.6190779412</v>
      </c>
      <c r="F250" s="554" t="n">
        <v>42877.6190779417</v>
      </c>
      <c r="G250" s="2" t="s">
        <v>13</v>
      </c>
      <c r="L250" s="0" t="n">
        <v>4</v>
      </c>
      <c r="M250" s="0" t="n">
        <v>1</v>
      </c>
    </row>
    <row r="251" customFormat="false" ht="13.8" hidden="false" customHeight="false" outlineLevel="0" collapsed="false">
      <c r="A251" s="2" t="s">
        <v>175</v>
      </c>
      <c r="B251" s="2" t="n">
        <v>22</v>
      </c>
      <c r="C251" s="0"/>
      <c r="D251" s="2" t="s">
        <v>176</v>
      </c>
      <c r="E251" s="554" t="n">
        <v>42877.6190804799</v>
      </c>
      <c r="F251" s="554" t="n">
        <v>42877.6190804804</v>
      </c>
      <c r="G251" s="2" t="s">
        <v>13</v>
      </c>
      <c r="L251" s="0" t="n">
        <v>4</v>
      </c>
      <c r="M251" s="0" t="n">
        <v>1</v>
      </c>
    </row>
    <row r="252" customFormat="false" ht="13.8" hidden="false" customHeight="false" outlineLevel="0" collapsed="false">
      <c r="A252" s="2" t="s">
        <v>178</v>
      </c>
      <c r="B252" s="2" t="n">
        <v>23</v>
      </c>
      <c r="C252" s="0"/>
      <c r="D252" s="2" t="s">
        <v>179</v>
      </c>
      <c r="E252" s="554" t="n">
        <v>42877.6190816553</v>
      </c>
      <c r="F252" s="554" t="n">
        <v>42877.6190816558</v>
      </c>
      <c r="G252" s="2" t="s">
        <v>13</v>
      </c>
      <c r="L252" s="0" t="n">
        <v>4</v>
      </c>
      <c r="M252" s="0" t="n">
        <v>1</v>
      </c>
    </row>
    <row r="253" customFormat="false" ht="13.8" hidden="false" customHeight="false" outlineLevel="0" collapsed="false">
      <c r="A253" s="2" t="s">
        <v>181</v>
      </c>
      <c r="B253" s="2" t="n">
        <v>24</v>
      </c>
      <c r="C253" s="0"/>
      <c r="D253" s="2" t="s">
        <v>182</v>
      </c>
      <c r="E253" s="554" t="n">
        <v>42877.6190827985</v>
      </c>
      <c r="F253" s="554" t="n">
        <v>42877.6190827991</v>
      </c>
      <c r="G253" s="2" t="s">
        <v>13</v>
      </c>
      <c r="L253" s="0" t="n">
        <v>4</v>
      </c>
      <c r="M253" s="0" t="n">
        <v>1</v>
      </c>
    </row>
    <row r="254" customFormat="false" ht="13.8" hidden="false" customHeight="false" outlineLevel="0" collapsed="false">
      <c r="A254" s="2" t="s">
        <v>184</v>
      </c>
      <c r="B254" s="2" t="n">
        <v>25</v>
      </c>
      <c r="C254" s="0"/>
      <c r="D254" s="2" t="s">
        <v>185</v>
      </c>
      <c r="E254" s="554" t="n">
        <v>42877.6190843663</v>
      </c>
      <c r="F254" s="554" t="n">
        <v>42877.6190843669</v>
      </c>
      <c r="G254" s="2" t="s">
        <v>13</v>
      </c>
      <c r="L254" s="0" t="n">
        <v>4</v>
      </c>
      <c r="M254" s="0" t="n">
        <v>1</v>
      </c>
    </row>
    <row r="255" customFormat="false" ht="13.8" hidden="false" customHeight="false" outlineLevel="0" collapsed="false">
      <c r="A255" s="2" t="s">
        <v>187</v>
      </c>
      <c r="B255" s="2" t="n">
        <v>26</v>
      </c>
      <c r="C255" s="0"/>
      <c r="D255" s="2" t="s">
        <v>188</v>
      </c>
      <c r="E255" s="554" t="n">
        <v>42877.6190855625</v>
      </c>
      <c r="F255" s="554" t="n">
        <v>42877.6190855629</v>
      </c>
      <c r="G255" s="2" t="s">
        <v>13</v>
      </c>
      <c r="L255" s="0" t="n">
        <v>4</v>
      </c>
      <c r="M255" s="0" t="n">
        <v>1</v>
      </c>
    </row>
    <row r="256" customFormat="false" ht="13.8" hidden="false" customHeight="false" outlineLevel="0" collapsed="false">
      <c r="A256" s="2" t="s">
        <v>190</v>
      </c>
      <c r="B256" s="2" t="n">
        <v>27</v>
      </c>
      <c r="C256" s="0"/>
      <c r="D256" s="2" t="s">
        <v>191</v>
      </c>
      <c r="E256" s="554" t="n">
        <v>42877.6190867209</v>
      </c>
      <c r="F256" s="554" t="n">
        <v>42877.6190867215</v>
      </c>
      <c r="G256" s="2" t="s">
        <v>13</v>
      </c>
      <c r="L256" s="0" t="n">
        <v>4</v>
      </c>
      <c r="M256" s="0" t="n">
        <v>1</v>
      </c>
    </row>
    <row r="257" customFormat="false" ht="13.8" hidden="false" customHeight="false" outlineLevel="0" collapsed="false">
      <c r="A257" s="2" t="s">
        <v>193</v>
      </c>
      <c r="B257" s="2" t="n">
        <v>28</v>
      </c>
      <c r="C257" s="0"/>
      <c r="D257" s="2" t="s">
        <v>194</v>
      </c>
      <c r="E257" s="554" t="n">
        <v>42877.6190878814</v>
      </c>
      <c r="F257" s="554" t="n">
        <v>42877.6190878818</v>
      </c>
      <c r="G257" s="2" t="s">
        <v>13</v>
      </c>
      <c r="L257" s="0" t="n">
        <v>4</v>
      </c>
      <c r="M257" s="0" t="n">
        <v>1</v>
      </c>
    </row>
    <row r="258" customFormat="false" ht="13.8" hidden="false" customHeight="false" outlineLevel="0" collapsed="false">
      <c r="A258" s="2" t="s">
        <v>196</v>
      </c>
      <c r="B258" s="2" t="n">
        <v>29</v>
      </c>
      <c r="C258" s="0"/>
      <c r="D258" s="2" t="s">
        <v>197</v>
      </c>
      <c r="E258" s="554" t="n">
        <v>42877.6190890332</v>
      </c>
      <c r="F258" s="554" t="n">
        <v>42877.6190890336</v>
      </c>
      <c r="G258" s="2" t="s">
        <v>13</v>
      </c>
      <c r="L258" s="0" t="n">
        <v>4</v>
      </c>
      <c r="M258" s="0" t="n">
        <v>1</v>
      </c>
    </row>
    <row r="259" customFormat="false" ht="13.8" hidden="false" customHeight="false" outlineLevel="0" collapsed="false">
      <c r="A259" s="2" t="s">
        <v>199</v>
      </c>
      <c r="B259" s="2" t="n">
        <v>30</v>
      </c>
      <c r="C259" s="0"/>
      <c r="D259" s="2" t="s">
        <v>200</v>
      </c>
      <c r="E259" s="554" t="n">
        <v>42877.6190902693</v>
      </c>
      <c r="F259" s="554" t="n">
        <v>42877.6190902699</v>
      </c>
      <c r="G259" s="2" t="s">
        <v>13</v>
      </c>
      <c r="L259" s="0" t="n">
        <v>4</v>
      </c>
      <c r="M259" s="0" t="n">
        <v>1</v>
      </c>
    </row>
    <row r="260" customFormat="false" ht="13.8" hidden="false" customHeight="false" outlineLevel="0" collapsed="false">
      <c r="A260" s="2" t="s">
        <v>202</v>
      </c>
      <c r="B260" s="2" t="n">
        <v>31</v>
      </c>
      <c r="C260" s="0"/>
      <c r="D260" s="2" t="s">
        <v>203</v>
      </c>
      <c r="E260" s="554" t="n">
        <v>42877.6190919059</v>
      </c>
      <c r="F260" s="554" t="n">
        <v>42877.6190919064</v>
      </c>
      <c r="G260" s="2" t="s">
        <v>13</v>
      </c>
      <c r="L260" s="0" t="n">
        <v>4</v>
      </c>
      <c r="M260" s="0" t="n">
        <v>1</v>
      </c>
    </row>
    <row r="261" customFormat="false" ht="13.8" hidden="false" customHeight="false" outlineLevel="0" collapsed="false">
      <c r="A261" s="2" t="s">
        <v>205</v>
      </c>
      <c r="B261" s="2" t="n">
        <v>32</v>
      </c>
      <c r="C261" s="0"/>
      <c r="D261" s="2" t="s">
        <v>206</v>
      </c>
      <c r="E261" s="554" t="n">
        <v>42877.6190929317</v>
      </c>
      <c r="F261" s="554" t="n">
        <v>42877.6190929324</v>
      </c>
      <c r="G261" s="2" t="s">
        <v>13</v>
      </c>
      <c r="L261" s="0" t="n">
        <v>4</v>
      </c>
      <c r="M261" s="0" t="n">
        <v>1</v>
      </c>
    </row>
    <row r="262" customFormat="false" ht="13.8" hidden="false" customHeight="false" outlineLevel="0" collapsed="false">
      <c r="A262" s="2" t="s">
        <v>208</v>
      </c>
      <c r="B262" s="2" t="n">
        <v>33</v>
      </c>
      <c r="C262" s="0"/>
      <c r="D262" s="2" t="s">
        <v>209</v>
      </c>
      <c r="E262" s="554" t="n">
        <v>42877.619094356</v>
      </c>
      <c r="F262" s="554" t="n">
        <v>42877.6190943565</v>
      </c>
      <c r="G262" s="2" t="s">
        <v>13</v>
      </c>
      <c r="L262" s="0" t="n">
        <v>4</v>
      </c>
      <c r="M262" s="0" t="n">
        <v>1</v>
      </c>
    </row>
    <row r="263" customFormat="false" ht="13.8" hidden="false" customHeight="false" outlineLevel="0" collapsed="false">
      <c r="A263" s="2" t="s">
        <v>211</v>
      </c>
      <c r="B263" s="2" t="n">
        <v>34</v>
      </c>
      <c r="C263" s="0"/>
      <c r="D263" s="2" t="s">
        <v>212</v>
      </c>
      <c r="E263" s="554" t="n">
        <v>42877.6190955514</v>
      </c>
      <c r="F263" s="554" t="n">
        <v>42877.6190955519</v>
      </c>
      <c r="G263" s="2" t="s">
        <v>13</v>
      </c>
      <c r="L263" s="0" t="n">
        <v>4</v>
      </c>
      <c r="M263" s="0" t="n">
        <v>1</v>
      </c>
    </row>
    <row r="264" customFormat="false" ht="13.8" hidden="false" customHeight="false" outlineLevel="0" collapsed="false">
      <c r="A264" s="2" t="s">
        <v>214</v>
      </c>
      <c r="B264" s="2" t="n">
        <v>35</v>
      </c>
      <c r="C264" s="0"/>
      <c r="D264" s="2" t="s">
        <v>215</v>
      </c>
      <c r="E264" s="554" t="n">
        <v>42877.6190971999</v>
      </c>
      <c r="F264" s="554" t="n">
        <v>42877.6190972005</v>
      </c>
      <c r="G264" s="2" t="s">
        <v>13</v>
      </c>
      <c r="L264" s="0" t="n">
        <v>4</v>
      </c>
      <c r="M264" s="0" t="n">
        <v>1</v>
      </c>
    </row>
    <row r="265" customFormat="false" ht="13.8" hidden="false" customHeight="false" outlineLevel="0" collapsed="false">
      <c r="A265" s="2" t="s">
        <v>217</v>
      </c>
      <c r="B265" s="2" t="n">
        <v>36</v>
      </c>
      <c r="C265" s="0"/>
      <c r="D265" s="2" t="s">
        <v>218</v>
      </c>
      <c r="E265" s="554" t="n">
        <v>42877.6190984766</v>
      </c>
      <c r="F265" s="554" t="n">
        <v>42877.6190984777</v>
      </c>
      <c r="G265" s="2" t="s">
        <v>13</v>
      </c>
      <c r="L265" s="0" t="n">
        <v>4</v>
      </c>
      <c r="M265" s="0" t="n">
        <v>1</v>
      </c>
    </row>
    <row r="266" customFormat="false" ht="13.8" hidden="false" customHeight="false" outlineLevel="0" collapsed="false">
      <c r="A266" s="2" t="s">
        <v>220</v>
      </c>
      <c r="B266" s="2" t="n">
        <v>37</v>
      </c>
      <c r="C266" s="0"/>
      <c r="D266" s="2" t="s">
        <v>221</v>
      </c>
      <c r="E266" s="554" t="n">
        <v>42877.6190997513</v>
      </c>
      <c r="F266" s="554" t="n">
        <v>42877.6190997521</v>
      </c>
      <c r="G266" s="2" t="s">
        <v>13</v>
      </c>
      <c r="L266" s="0" t="n">
        <v>4</v>
      </c>
      <c r="M266" s="0" t="n">
        <v>1</v>
      </c>
    </row>
    <row r="267" customFormat="false" ht="13.8" hidden="false" customHeight="false" outlineLevel="0" collapsed="false">
      <c r="A267" s="2" t="s">
        <v>223</v>
      </c>
      <c r="B267" s="2" t="n">
        <v>38</v>
      </c>
      <c r="C267" s="0"/>
      <c r="D267" s="2" t="s">
        <v>224</v>
      </c>
      <c r="E267" s="554" t="n">
        <v>42877.6191010933</v>
      </c>
      <c r="F267" s="554" t="n">
        <v>42877.6191010938</v>
      </c>
      <c r="G267" s="2" t="s">
        <v>13</v>
      </c>
      <c r="L267" s="0" t="n">
        <v>4</v>
      </c>
      <c r="M267" s="0" t="n">
        <v>1</v>
      </c>
    </row>
    <row r="268" customFormat="false" ht="13.8" hidden="false" customHeight="false" outlineLevel="0" collapsed="false">
      <c r="A268" s="2" t="s">
        <v>226</v>
      </c>
      <c r="B268" s="2" t="n">
        <v>39</v>
      </c>
      <c r="C268" s="0"/>
      <c r="D268" s="2" t="s">
        <v>227</v>
      </c>
      <c r="E268" s="554" t="n">
        <v>42877.6191026627</v>
      </c>
      <c r="F268" s="554" t="n">
        <v>42877.6191026631</v>
      </c>
      <c r="G268" s="2" t="s">
        <v>13</v>
      </c>
      <c r="L268" s="0" t="n">
        <v>4</v>
      </c>
      <c r="M268" s="0" t="n">
        <v>1</v>
      </c>
    </row>
    <row r="269" customFormat="false" ht="13.8" hidden="false" customHeight="false" outlineLevel="0" collapsed="false">
      <c r="A269" s="2" t="s">
        <v>229</v>
      </c>
      <c r="B269" s="2" t="n">
        <v>40</v>
      </c>
      <c r="C269" s="0"/>
      <c r="D269" s="2" t="s">
        <v>230</v>
      </c>
      <c r="E269" s="554" t="n">
        <v>42877.6191041636</v>
      </c>
      <c r="F269" s="554" t="n">
        <v>42877.6191041646</v>
      </c>
      <c r="G269" s="2" t="s">
        <v>13</v>
      </c>
      <c r="L269" s="0" t="n">
        <v>4</v>
      </c>
      <c r="M269" s="0" t="n">
        <v>1</v>
      </c>
    </row>
    <row r="270" customFormat="false" ht="13.8" hidden="false" customHeight="false" outlineLevel="0" collapsed="false">
      <c r="A270" s="2" t="s">
        <v>232</v>
      </c>
      <c r="B270" s="2" t="n">
        <v>41</v>
      </c>
      <c r="C270" s="0"/>
      <c r="D270" s="2" t="s">
        <v>233</v>
      </c>
      <c r="E270" s="554" t="n">
        <v>42877.61910529</v>
      </c>
      <c r="F270" s="554" t="n">
        <v>42877.6191052904</v>
      </c>
      <c r="G270" s="2" t="s">
        <v>13</v>
      </c>
      <c r="L270" s="0" t="n">
        <v>4</v>
      </c>
      <c r="M270" s="0" t="n">
        <v>1</v>
      </c>
    </row>
    <row r="271" customFormat="false" ht="13.8" hidden="false" customHeight="false" outlineLevel="0" collapsed="false">
      <c r="A271" s="2" t="s">
        <v>235</v>
      </c>
      <c r="B271" s="2" t="n">
        <v>42</v>
      </c>
      <c r="C271" s="0"/>
      <c r="D271" s="2" t="s">
        <v>236</v>
      </c>
      <c r="E271" s="554" t="n">
        <v>42877.6191071418</v>
      </c>
      <c r="F271" s="554" t="n">
        <v>42877.6191071422</v>
      </c>
      <c r="G271" s="2" t="s">
        <v>13</v>
      </c>
      <c r="L271" s="0" t="n">
        <v>4</v>
      </c>
      <c r="M271" s="0" t="n">
        <v>1</v>
      </c>
    </row>
    <row r="272" customFormat="false" ht="13.8" hidden="false" customHeight="false" outlineLevel="0" collapsed="false">
      <c r="A272" s="2" t="s">
        <v>238</v>
      </c>
      <c r="B272" s="2" t="n">
        <v>43</v>
      </c>
      <c r="C272" s="0"/>
      <c r="D272" s="2" t="s">
        <v>239</v>
      </c>
      <c r="E272" s="554" t="n">
        <v>42877.6191086249</v>
      </c>
      <c r="F272" s="554" t="n">
        <v>42877.6191086257</v>
      </c>
      <c r="G272" s="2" t="s">
        <v>13</v>
      </c>
      <c r="L272" s="0" t="n">
        <v>4</v>
      </c>
      <c r="M272" s="0" t="n">
        <v>1</v>
      </c>
    </row>
    <row r="273" customFormat="false" ht="13.8" hidden="false" customHeight="false" outlineLevel="0" collapsed="false">
      <c r="A273" s="2" t="s">
        <v>241</v>
      </c>
      <c r="B273" s="2" t="n">
        <v>44</v>
      </c>
      <c r="C273" s="0"/>
      <c r="D273" s="2" t="s">
        <v>242</v>
      </c>
      <c r="E273" s="554" t="n">
        <v>42877.6191100705</v>
      </c>
      <c r="F273" s="554" t="n">
        <v>42877.619110071</v>
      </c>
      <c r="G273" s="2" t="s">
        <v>13</v>
      </c>
      <c r="L273" s="0" t="n">
        <v>4</v>
      </c>
      <c r="M273" s="0" t="n">
        <v>1</v>
      </c>
    </row>
    <row r="274" customFormat="false" ht="13.8" hidden="false" customHeight="false" outlineLevel="0" collapsed="false">
      <c r="A274" s="2" t="s">
        <v>244</v>
      </c>
      <c r="B274" s="2" t="n">
        <v>45</v>
      </c>
      <c r="C274" s="0"/>
      <c r="D274" s="2" t="s">
        <v>245</v>
      </c>
      <c r="E274" s="554" t="n">
        <v>42877.6191113358</v>
      </c>
      <c r="F274" s="554" t="n">
        <v>42877.6191113363</v>
      </c>
      <c r="G274" s="2" t="s">
        <v>13</v>
      </c>
      <c r="L274" s="0" t="n">
        <v>4</v>
      </c>
      <c r="M274" s="0" t="n">
        <v>1</v>
      </c>
    </row>
    <row r="275" customFormat="false" ht="13.8" hidden="false" customHeight="false" outlineLevel="0" collapsed="false">
      <c r="A275" s="2" t="s">
        <v>247</v>
      </c>
      <c r="B275" s="2" t="n">
        <v>46</v>
      </c>
      <c r="C275" s="0"/>
      <c r="D275" s="2" t="s">
        <v>248</v>
      </c>
      <c r="E275" s="554" t="n">
        <v>42877.6191127696</v>
      </c>
      <c r="F275" s="554" t="n">
        <v>42877.6191127701</v>
      </c>
      <c r="G275" s="2" t="s">
        <v>13</v>
      </c>
      <c r="L275" s="0" t="n">
        <v>4</v>
      </c>
      <c r="M275" s="0" t="n">
        <v>1</v>
      </c>
    </row>
    <row r="276" customFormat="false" ht="13.8" hidden="false" customHeight="false" outlineLevel="0" collapsed="false">
      <c r="A276" s="2" t="s">
        <v>250</v>
      </c>
      <c r="B276" s="2" t="n">
        <v>47</v>
      </c>
      <c r="C276" s="0"/>
      <c r="D276" s="2" t="s">
        <v>251</v>
      </c>
      <c r="E276" s="554" t="n">
        <v>42877.6191139432</v>
      </c>
      <c r="F276" s="554" t="n">
        <v>42877.6191139436</v>
      </c>
      <c r="G276" s="2" t="s">
        <v>13</v>
      </c>
      <c r="L276" s="0" t="n">
        <v>4</v>
      </c>
      <c r="M276" s="0" t="n">
        <v>1</v>
      </c>
    </row>
    <row r="277" customFormat="false" ht="13.8" hidden="false" customHeight="false" outlineLevel="0" collapsed="false">
      <c r="A277" s="2" t="s">
        <v>253</v>
      </c>
      <c r="B277" s="2" t="n">
        <v>48</v>
      </c>
      <c r="C277" s="0"/>
      <c r="D277" s="2" t="s">
        <v>254</v>
      </c>
      <c r="E277" s="554" t="n">
        <v>42877.6191151008</v>
      </c>
      <c r="F277" s="554" t="n">
        <v>42877.6191151012</v>
      </c>
      <c r="G277" s="2" t="s">
        <v>13</v>
      </c>
      <c r="L277" s="0" t="n">
        <v>4</v>
      </c>
      <c r="M277" s="0" t="n">
        <v>1</v>
      </c>
    </row>
    <row r="278" customFormat="false" ht="13.8" hidden="false" customHeight="false" outlineLevel="0" collapsed="false">
      <c r="A278" s="2" t="s">
        <v>256</v>
      </c>
      <c r="B278" s="2" t="n">
        <v>49</v>
      </c>
      <c r="C278" s="0"/>
      <c r="D278" s="2" t="s">
        <v>257</v>
      </c>
      <c r="E278" s="554" t="n">
        <v>42877.6191162076</v>
      </c>
      <c r="F278" s="554" t="n">
        <v>42877.619116208</v>
      </c>
      <c r="G278" s="2" t="s">
        <v>13</v>
      </c>
      <c r="L278" s="0" t="n">
        <v>4</v>
      </c>
      <c r="M278" s="0" t="n">
        <v>1</v>
      </c>
    </row>
    <row r="279" customFormat="false" ht="13.8" hidden="false" customHeight="false" outlineLevel="0" collapsed="false">
      <c r="A279" s="2" t="s">
        <v>259</v>
      </c>
      <c r="B279" s="2" t="n">
        <v>50</v>
      </c>
      <c r="C279" s="0"/>
      <c r="D279" s="2" t="s">
        <v>260</v>
      </c>
      <c r="E279" s="554" t="n">
        <v>42877.6191177222</v>
      </c>
      <c r="F279" s="554" t="n">
        <v>42877.6191177228</v>
      </c>
      <c r="G279" s="2" t="s">
        <v>13</v>
      </c>
      <c r="L279" s="0" t="n">
        <v>4</v>
      </c>
      <c r="M279" s="0" t="n">
        <v>1</v>
      </c>
    </row>
    <row r="280" customFormat="false" ht="13.8" hidden="false" customHeight="false" outlineLevel="0" collapsed="false">
      <c r="A280" s="2" t="s">
        <v>262</v>
      </c>
      <c r="B280" s="2" t="n">
        <v>51</v>
      </c>
      <c r="C280" s="0"/>
      <c r="D280" s="2" t="s">
        <v>263</v>
      </c>
      <c r="E280" s="554" t="n">
        <v>42877.6191193418</v>
      </c>
      <c r="F280" s="554" t="n">
        <v>42877.6191193424</v>
      </c>
      <c r="G280" s="2" t="s">
        <v>13</v>
      </c>
      <c r="L280" s="0" t="n">
        <v>4</v>
      </c>
      <c r="M280" s="0" t="n">
        <v>1</v>
      </c>
    </row>
    <row r="281" customFormat="false" ht="13.8" hidden="false" customHeight="false" outlineLevel="0" collapsed="false">
      <c r="A281" s="2" t="s">
        <v>265</v>
      </c>
      <c r="B281" s="2" t="n">
        <v>52</v>
      </c>
      <c r="C281" s="0"/>
      <c r="D281" s="2" t="s">
        <v>266</v>
      </c>
      <c r="E281" s="554" t="n">
        <v>42877.6191204361</v>
      </c>
      <c r="F281" s="554" t="n">
        <v>42877.6191204366</v>
      </c>
      <c r="G281" s="2" t="s">
        <v>13</v>
      </c>
      <c r="L281" s="0" t="n">
        <v>4</v>
      </c>
      <c r="M281" s="0" t="n">
        <v>1</v>
      </c>
    </row>
    <row r="282" customFormat="false" ht="13.8" hidden="false" customHeight="false" outlineLevel="0" collapsed="false">
      <c r="A282" s="2" t="s">
        <v>268</v>
      </c>
      <c r="B282" s="2" t="n">
        <v>53</v>
      </c>
      <c r="C282" s="0"/>
      <c r="D282" s="2" t="s">
        <v>269</v>
      </c>
      <c r="E282" s="554" t="n">
        <v>42877.619121571</v>
      </c>
      <c r="F282" s="554" t="n">
        <v>42877.6191215715</v>
      </c>
      <c r="G282" s="2" t="s">
        <v>13</v>
      </c>
      <c r="L282" s="0" t="n">
        <v>4</v>
      </c>
      <c r="M282" s="0" t="n">
        <v>1</v>
      </c>
    </row>
    <row r="283" customFormat="false" ht="13.8" hidden="false" customHeight="false" outlineLevel="0" collapsed="false">
      <c r="A283" s="2" t="s">
        <v>271</v>
      </c>
      <c r="B283" s="2" t="n">
        <v>54</v>
      </c>
      <c r="C283" s="0"/>
      <c r="D283" s="2" t="s">
        <v>272</v>
      </c>
      <c r="E283" s="554" t="n">
        <v>42877.6191232387</v>
      </c>
      <c r="F283" s="554" t="n">
        <v>42877.6191232392</v>
      </c>
      <c r="G283" s="2" t="s">
        <v>13</v>
      </c>
      <c r="L283" s="0" t="n">
        <v>4</v>
      </c>
      <c r="M283" s="0" t="n">
        <v>1</v>
      </c>
    </row>
    <row r="284" customFormat="false" ht="13.8" hidden="false" customHeight="false" outlineLevel="0" collapsed="false">
      <c r="A284" s="2" t="s">
        <v>274</v>
      </c>
      <c r="B284" s="2" t="n">
        <v>55</v>
      </c>
      <c r="C284" s="0"/>
      <c r="D284" s="2" t="s">
        <v>275</v>
      </c>
      <c r="E284" s="554" t="n">
        <v>42877.6191247875</v>
      </c>
      <c r="F284" s="554" t="n">
        <v>42877.6191247879</v>
      </c>
      <c r="G284" s="2" t="s">
        <v>13</v>
      </c>
      <c r="L284" s="0" t="n">
        <v>4</v>
      </c>
      <c r="M284" s="0" t="n">
        <v>1</v>
      </c>
    </row>
    <row r="285" customFormat="false" ht="13.8" hidden="false" customHeight="false" outlineLevel="0" collapsed="false">
      <c r="A285" s="2" t="s">
        <v>277</v>
      </c>
      <c r="B285" s="2" t="n">
        <v>56</v>
      </c>
      <c r="C285" s="0"/>
      <c r="D285" s="2" t="s">
        <v>278</v>
      </c>
      <c r="E285" s="554" t="n">
        <v>42877.6191264251</v>
      </c>
      <c r="F285" s="554" t="n">
        <v>42877.6191264257</v>
      </c>
      <c r="G285" s="2" t="s">
        <v>13</v>
      </c>
      <c r="L285" s="0" t="n">
        <v>4</v>
      </c>
      <c r="M285" s="0" t="n">
        <v>1</v>
      </c>
    </row>
    <row r="286" customFormat="false" ht="13.8" hidden="false" customHeight="false" outlineLevel="0" collapsed="false">
      <c r="A286" s="2" t="s">
        <v>280</v>
      </c>
      <c r="B286" s="2" t="n">
        <v>57</v>
      </c>
      <c r="C286" s="0"/>
      <c r="D286" s="2" t="s">
        <v>281</v>
      </c>
      <c r="E286" s="554" t="n">
        <v>42877.6191275251</v>
      </c>
      <c r="F286" s="554" t="n">
        <v>42877.6191275255</v>
      </c>
      <c r="G286" s="2" t="s">
        <v>13</v>
      </c>
      <c r="L286" s="0" t="n">
        <v>4</v>
      </c>
      <c r="M286" s="0" t="n">
        <v>1</v>
      </c>
    </row>
    <row r="287" customFormat="false" ht="13.8" hidden="false" customHeight="false" outlineLevel="0" collapsed="false">
      <c r="A287" s="2" t="s">
        <v>283</v>
      </c>
      <c r="B287" s="2" t="n">
        <v>58</v>
      </c>
      <c r="C287" s="0"/>
      <c r="D287" s="2" t="s">
        <v>284</v>
      </c>
      <c r="E287" s="554" t="n">
        <v>42877.61912867</v>
      </c>
      <c r="F287" s="554" t="n">
        <v>42877.6191286706</v>
      </c>
      <c r="G287" s="2" t="s">
        <v>13</v>
      </c>
      <c r="L287" s="0" t="n">
        <v>4</v>
      </c>
      <c r="M287" s="0" t="n">
        <v>1</v>
      </c>
    </row>
    <row r="288" customFormat="false" ht="13.8" hidden="false" customHeight="false" outlineLevel="0" collapsed="false">
      <c r="A288" s="2" t="s">
        <v>286</v>
      </c>
      <c r="B288" s="2" t="n">
        <v>59</v>
      </c>
      <c r="C288" s="0"/>
      <c r="D288" s="2" t="s">
        <v>287</v>
      </c>
      <c r="E288" s="554" t="n">
        <v>42877.6191301932</v>
      </c>
      <c r="F288" s="554" t="n">
        <v>42877.6191301936</v>
      </c>
      <c r="G288" s="2" t="s">
        <v>13</v>
      </c>
      <c r="L288" s="0" t="n">
        <v>4</v>
      </c>
      <c r="M288" s="0" t="n">
        <v>1</v>
      </c>
    </row>
    <row r="289" customFormat="false" ht="13.8" hidden="false" customHeight="false" outlineLevel="0" collapsed="false">
      <c r="A289" s="2" t="s">
        <v>289</v>
      </c>
      <c r="B289" s="2" t="n">
        <v>60</v>
      </c>
      <c r="C289" s="0"/>
      <c r="D289" s="2" t="s">
        <v>290</v>
      </c>
      <c r="E289" s="554" t="n">
        <v>42877.6191314976</v>
      </c>
      <c r="F289" s="554" t="n">
        <v>42877.619131498</v>
      </c>
      <c r="G289" s="2" t="s">
        <v>13</v>
      </c>
      <c r="L289" s="0" t="n">
        <v>4</v>
      </c>
      <c r="M289" s="0" t="n">
        <v>1</v>
      </c>
    </row>
    <row r="290" customFormat="false" ht="13.8" hidden="false" customHeight="false" outlineLevel="0" collapsed="false">
      <c r="A290" s="2" t="s">
        <v>292</v>
      </c>
      <c r="B290" s="2" t="n">
        <v>61</v>
      </c>
      <c r="C290" s="0"/>
      <c r="D290" s="2" t="s">
        <v>293</v>
      </c>
      <c r="E290" s="554" t="n">
        <v>42877.6191326686</v>
      </c>
      <c r="F290" s="554" t="n">
        <v>42877.6191326693</v>
      </c>
      <c r="G290" s="2" t="s">
        <v>13</v>
      </c>
      <c r="L290" s="0" t="n">
        <v>4</v>
      </c>
      <c r="M290" s="0" t="n">
        <v>1</v>
      </c>
    </row>
    <row r="291" customFormat="false" ht="13.8" hidden="false" customHeight="false" outlineLevel="0" collapsed="false">
      <c r="A291" s="2" t="s">
        <v>295</v>
      </c>
      <c r="B291" s="2" t="n">
        <v>62</v>
      </c>
      <c r="C291" s="0"/>
      <c r="D291" s="2" t="s">
        <v>296</v>
      </c>
      <c r="E291" s="554" t="n">
        <v>42877.6191341627</v>
      </c>
      <c r="F291" s="554" t="n">
        <v>42877.6191341633</v>
      </c>
      <c r="G291" s="2" t="s">
        <v>13</v>
      </c>
      <c r="L291" s="0" t="n">
        <v>4</v>
      </c>
      <c r="M291" s="0" t="n">
        <v>1</v>
      </c>
    </row>
    <row r="292" customFormat="false" ht="13.8" hidden="false" customHeight="false" outlineLevel="0" collapsed="false">
      <c r="A292" s="2" t="s">
        <v>298</v>
      </c>
      <c r="B292" s="2" t="n">
        <v>63</v>
      </c>
      <c r="C292" s="0"/>
      <c r="D292" s="2" t="s">
        <v>299</v>
      </c>
      <c r="E292" s="554" t="n">
        <v>42877.6191352658</v>
      </c>
      <c r="F292" s="554" t="n">
        <v>42877.6191352663</v>
      </c>
      <c r="G292" s="2" t="s">
        <v>13</v>
      </c>
      <c r="L292" s="0" t="n">
        <v>4</v>
      </c>
      <c r="M292" s="0" t="n">
        <v>1</v>
      </c>
    </row>
    <row r="293" customFormat="false" ht="13.8" hidden="false" customHeight="false" outlineLevel="0" collapsed="false">
      <c r="A293" s="2" t="s">
        <v>301</v>
      </c>
      <c r="B293" s="2" t="n">
        <v>64</v>
      </c>
      <c r="C293" s="0"/>
      <c r="D293" s="2" t="s">
        <v>302</v>
      </c>
      <c r="E293" s="554" t="n">
        <v>42877.6191367676</v>
      </c>
      <c r="F293" s="554" t="n">
        <v>42877.619136768</v>
      </c>
      <c r="G293" s="2" t="s">
        <v>13</v>
      </c>
      <c r="L293" s="0" t="n">
        <v>4</v>
      </c>
      <c r="M293" s="0" t="n">
        <v>1</v>
      </c>
    </row>
    <row r="294" customFormat="false" ht="13.8" hidden="false" customHeight="false" outlineLevel="0" collapsed="false">
      <c r="A294" s="2" t="s">
        <v>304</v>
      </c>
      <c r="B294" s="2" t="n">
        <v>65</v>
      </c>
      <c r="C294" s="0"/>
      <c r="D294" s="2" t="s">
        <v>305</v>
      </c>
      <c r="E294" s="554" t="n">
        <v>42877.619138102</v>
      </c>
      <c r="F294" s="554" t="n">
        <v>42877.6191381027</v>
      </c>
      <c r="G294" s="2" t="s">
        <v>13</v>
      </c>
      <c r="L294" s="0" t="n">
        <v>4</v>
      </c>
      <c r="M294" s="0" t="n">
        <v>1</v>
      </c>
    </row>
    <row r="295" customFormat="false" ht="13.8" hidden="false" customHeight="false" outlineLevel="0" collapsed="false">
      <c r="A295" s="2" t="s">
        <v>307</v>
      </c>
      <c r="B295" s="2" t="n">
        <v>66</v>
      </c>
      <c r="C295" s="0"/>
      <c r="D295" s="2" t="s">
        <v>308</v>
      </c>
      <c r="E295" s="554" t="n">
        <v>42877.6191404094</v>
      </c>
      <c r="F295" s="554" t="n">
        <v>42877.6191404098</v>
      </c>
      <c r="G295" s="2" t="s">
        <v>13</v>
      </c>
      <c r="L295" s="0" t="n">
        <v>4</v>
      </c>
      <c r="M295" s="0" t="n">
        <v>1</v>
      </c>
    </row>
    <row r="296" customFormat="false" ht="13.8" hidden="false" customHeight="false" outlineLevel="0" collapsed="false">
      <c r="A296" s="2" t="s">
        <v>310</v>
      </c>
      <c r="B296" s="2" t="n">
        <v>67</v>
      </c>
      <c r="C296" s="0"/>
      <c r="D296" s="2" t="s">
        <v>311</v>
      </c>
      <c r="E296" s="554" t="n">
        <v>42877.6191417605</v>
      </c>
      <c r="F296" s="554" t="n">
        <v>42877.619141761</v>
      </c>
      <c r="G296" s="2" t="s">
        <v>13</v>
      </c>
      <c r="L296" s="0" t="n">
        <v>4</v>
      </c>
      <c r="M296" s="0" t="n">
        <v>1</v>
      </c>
    </row>
    <row r="297" customFormat="false" ht="13.8" hidden="false" customHeight="false" outlineLevel="0" collapsed="false">
      <c r="A297" s="2" t="s">
        <v>313</v>
      </c>
      <c r="B297" s="2" t="n">
        <v>68</v>
      </c>
      <c r="C297" s="0"/>
      <c r="D297" s="2" t="s">
        <v>314</v>
      </c>
      <c r="E297" s="554" t="n">
        <v>42877.619142842</v>
      </c>
      <c r="F297" s="554" t="n">
        <v>42877.6191428424</v>
      </c>
      <c r="G297" s="2" t="s">
        <v>13</v>
      </c>
      <c r="L297" s="0" t="n">
        <v>4</v>
      </c>
      <c r="M297" s="0" t="n">
        <v>1</v>
      </c>
    </row>
    <row r="298" customFormat="false" ht="13.8" hidden="false" customHeight="false" outlineLevel="0" collapsed="false">
      <c r="A298" s="2" t="s">
        <v>316</v>
      </c>
      <c r="B298" s="2" t="n">
        <v>69</v>
      </c>
      <c r="C298" s="0"/>
      <c r="D298" s="2" t="s">
        <v>317</v>
      </c>
      <c r="E298" s="554" t="n">
        <v>42877.6191443752</v>
      </c>
      <c r="F298" s="554" t="n">
        <v>42877.6191443757</v>
      </c>
      <c r="G298" s="2" t="s">
        <v>13</v>
      </c>
      <c r="L298" s="0" t="n">
        <v>4</v>
      </c>
      <c r="M298" s="0" t="n">
        <v>1</v>
      </c>
    </row>
    <row r="299" customFormat="false" ht="13.8" hidden="false" customHeight="false" outlineLevel="0" collapsed="false">
      <c r="A299" s="2" t="s">
        <v>319</v>
      </c>
      <c r="B299" s="2" t="n">
        <v>70</v>
      </c>
      <c r="C299" s="0"/>
      <c r="D299" s="2" t="s">
        <v>320</v>
      </c>
      <c r="E299" s="554" t="n">
        <v>42877.6191456224</v>
      </c>
      <c r="F299" s="554" t="n">
        <v>42877.6191456229</v>
      </c>
      <c r="G299" s="2" t="s">
        <v>13</v>
      </c>
      <c r="L299" s="0" t="n">
        <v>4</v>
      </c>
      <c r="M299" s="0" t="n">
        <v>1</v>
      </c>
    </row>
    <row r="300" customFormat="false" ht="13.8" hidden="false" customHeight="false" outlineLevel="0" collapsed="false">
      <c r="A300" s="2" t="s">
        <v>322</v>
      </c>
      <c r="B300" s="2" t="n">
        <v>71</v>
      </c>
      <c r="C300" s="0"/>
      <c r="D300" s="2" t="s">
        <v>323</v>
      </c>
      <c r="E300" s="554" t="n">
        <v>42877.6191471523</v>
      </c>
      <c r="F300" s="554" t="n">
        <v>42877.6191471529</v>
      </c>
      <c r="G300" s="2" t="s">
        <v>13</v>
      </c>
      <c r="L300" s="0" t="n">
        <v>4</v>
      </c>
      <c r="M300" s="0" t="n">
        <v>1</v>
      </c>
    </row>
    <row r="301" customFormat="false" ht="13.8" hidden="false" customHeight="false" outlineLevel="0" collapsed="false">
      <c r="A301" s="2" t="s">
        <v>325</v>
      </c>
      <c r="B301" s="2" t="n">
        <v>72</v>
      </c>
      <c r="C301" s="0"/>
      <c r="D301" s="2" t="s">
        <v>326</v>
      </c>
      <c r="E301" s="554" t="n">
        <v>42877.6191482943</v>
      </c>
      <c r="F301" s="554" t="n">
        <v>42877.6191482951</v>
      </c>
      <c r="G301" s="2" t="s">
        <v>13</v>
      </c>
      <c r="L301" s="0" t="n">
        <v>4</v>
      </c>
      <c r="M301" s="0" t="n">
        <v>1</v>
      </c>
    </row>
    <row r="302" customFormat="false" ht="13.8" hidden="false" customHeight="false" outlineLevel="0" collapsed="false">
      <c r="A302" s="2" t="s">
        <v>328</v>
      </c>
      <c r="B302" s="2" t="n">
        <v>73</v>
      </c>
      <c r="C302" s="0"/>
      <c r="D302" s="2" t="s">
        <v>329</v>
      </c>
      <c r="E302" s="554" t="n">
        <v>42877.6191493965</v>
      </c>
      <c r="F302" s="554" t="n">
        <v>42877.6191493971</v>
      </c>
      <c r="G302" s="2" t="s">
        <v>13</v>
      </c>
      <c r="L302" s="0" t="n">
        <v>4</v>
      </c>
      <c r="M302" s="0" t="n">
        <v>1</v>
      </c>
    </row>
    <row r="303" customFormat="false" ht="13.8" hidden="false" customHeight="false" outlineLevel="0" collapsed="false">
      <c r="A303" s="2" t="s">
        <v>331</v>
      </c>
      <c r="B303" s="2" t="n">
        <v>74</v>
      </c>
      <c r="C303" s="0"/>
      <c r="D303" s="2" t="s">
        <v>332</v>
      </c>
      <c r="E303" s="554" t="n">
        <v>42877.6191509468</v>
      </c>
      <c r="F303" s="554" t="n">
        <v>42877.6191509473</v>
      </c>
      <c r="G303" s="2" t="s">
        <v>13</v>
      </c>
      <c r="L303" s="0" t="n">
        <v>4</v>
      </c>
      <c r="M303" s="0" t="n">
        <v>1</v>
      </c>
    </row>
    <row r="304" customFormat="false" ht="13.8" hidden="false" customHeight="false" outlineLevel="0" collapsed="false">
      <c r="A304" s="2" t="s">
        <v>334</v>
      </c>
      <c r="B304" s="2" t="n">
        <v>75</v>
      </c>
      <c r="C304" s="0"/>
      <c r="D304" s="2" t="s">
        <v>335</v>
      </c>
      <c r="E304" s="554" t="n">
        <v>42877.6191527227</v>
      </c>
      <c r="F304" s="554" t="n">
        <v>42877.6191527231</v>
      </c>
      <c r="G304" s="2" t="s">
        <v>13</v>
      </c>
      <c r="L304" s="0" t="n">
        <v>4</v>
      </c>
      <c r="M304" s="0" t="n">
        <v>1</v>
      </c>
    </row>
    <row r="305" customFormat="false" ht="13.8" hidden="false" customHeight="false" outlineLevel="0" collapsed="false">
      <c r="A305" s="2" t="s">
        <v>337</v>
      </c>
      <c r="B305" s="2" t="n">
        <v>76</v>
      </c>
      <c r="C305" s="0"/>
      <c r="D305" s="2" t="s">
        <v>338</v>
      </c>
      <c r="E305" s="554" t="n">
        <v>42877.6191542663</v>
      </c>
      <c r="F305" s="554" t="n">
        <v>42877.6191542667</v>
      </c>
      <c r="G305" s="2" t="s">
        <v>13</v>
      </c>
      <c r="L305" s="0" t="n">
        <v>4</v>
      </c>
      <c r="M305" s="0" t="n">
        <v>1</v>
      </c>
    </row>
    <row r="306" customFormat="false" ht="13.8" hidden="false" customHeight="false" outlineLevel="0" collapsed="false">
      <c r="A306" s="2" t="s">
        <v>340</v>
      </c>
      <c r="B306" s="2" t="n">
        <v>77</v>
      </c>
      <c r="C306" s="0"/>
      <c r="D306" s="2" t="s">
        <v>341</v>
      </c>
      <c r="E306" s="554" t="n">
        <v>42877.6191552933</v>
      </c>
      <c r="F306" s="554" t="n">
        <v>42877.6191552937</v>
      </c>
      <c r="G306" s="2" t="s">
        <v>13</v>
      </c>
      <c r="L306" s="0" t="n">
        <v>4</v>
      </c>
      <c r="M306" s="0" t="n">
        <v>1</v>
      </c>
    </row>
    <row r="307" customFormat="false" ht="13.8" hidden="false" customHeight="false" outlineLevel="0" collapsed="false">
      <c r="A307" s="2" t="s">
        <v>343</v>
      </c>
      <c r="B307" s="2" t="n">
        <v>78</v>
      </c>
      <c r="C307" s="0"/>
      <c r="D307" s="2" t="s">
        <v>344</v>
      </c>
      <c r="E307" s="554" t="n">
        <v>42877.6191567232</v>
      </c>
      <c r="F307" s="554" t="n">
        <v>42877.6191567238</v>
      </c>
      <c r="G307" s="2" t="s">
        <v>13</v>
      </c>
      <c r="L307" s="0" t="n">
        <v>4</v>
      </c>
      <c r="M307" s="0" t="n">
        <v>1</v>
      </c>
    </row>
    <row r="308" customFormat="false" ht="13.8" hidden="false" customHeight="false" outlineLevel="0" collapsed="false">
      <c r="A308" s="2" t="s">
        <v>346</v>
      </c>
      <c r="B308" s="2" t="n">
        <v>79</v>
      </c>
      <c r="C308" s="0"/>
      <c r="D308" s="2" t="s">
        <v>347</v>
      </c>
      <c r="E308" s="554" t="n">
        <v>42877.6191584675</v>
      </c>
      <c r="F308" s="554" t="n">
        <v>42877.619158468</v>
      </c>
      <c r="G308" s="2" t="s">
        <v>13</v>
      </c>
      <c r="L308" s="0" t="n">
        <v>4</v>
      </c>
      <c r="M308" s="0" t="n">
        <v>1</v>
      </c>
    </row>
    <row r="309" customFormat="false" ht="13.8" hidden="false" customHeight="false" outlineLevel="0" collapsed="false">
      <c r="A309" s="2" t="s">
        <v>349</v>
      </c>
      <c r="B309" s="2" t="n">
        <v>80</v>
      </c>
      <c r="C309" s="0"/>
      <c r="D309" s="2" t="s">
        <v>350</v>
      </c>
      <c r="E309" s="554" t="n">
        <v>42877.6191598321</v>
      </c>
      <c r="F309" s="554" t="n">
        <v>42877.6191598325</v>
      </c>
      <c r="G309" s="2" t="s">
        <v>13</v>
      </c>
      <c r="L309" s="0" t="n">
        <v>4</v>
      </c>
      <c r="M309" s="0" t="n">
        <v>1</v>
      </c>
    </row>
    <row r="310" customFormat="false" ht="13.8" hidden="false" customHeight="false" outlineLevel="0" collapsed="false">
      <c r="A310" s="2" t="s">
        <v>352</v>
      </c>
      <c r="B310" s="2" t="n">
        <v>81</v>
      </c>
      <c r="C310" s="0"/>
      <c r="D310" s="2" t="s">
        <v>353</v>
      </c>
      <c r="E310" s="554" t="n">
        <v>42877.6191614575</v>
      </c>
      <c r="F310" s="554" t="n">
        <v>42877.6191614579</v>
      </c>
      <c r="G310" s="2" t="s">
        <v>13</v>
      </c>
      <c r="L310" s="0" t="n">
        <v>4</v>
      </c>
      <c r="M310" s="0" t="n">
        <v>1</v>
      </c>
    </row>
    <row r="311" customFormat="false" ht="13.8" hidden="false" customHeight="false" outlineLevel="0" collapsed="false">
      <c r="A311" s="2" t="s">
        <v>355</v>
      </c>
      <c r="B311" s="2" t="n">
        <v>82</v>
      </c>
      <c r="C311" s="0"/>
      <c r="D311" s="2" t="s">
        <v>356</v>
      </c>
      <c r="E311" s="554" t="n">
        <v>42877.6191625538</v>
      </c>
      <c r="F311" s="554" t="n">
        <v>42877.6191625543</v>
      </c>
      <c r="G311" s="2" t="s">
        <v>13</v>
      </c>
      <c r="L311" s="0" t="n">
        <v>4</v>
      </c>
      <c r="M311" s="0" t="n">
        <v>1</v>
      </c>
    </row>
    <row r="312" customFormat="false" ht="13.8" hidden="false" customHeight="false" outlineLevel="0" collapsed="false">
      <c r="A312" s="2" t="s">
        <v>358</v>
      </c>
      <c r="B312" s="2" t="n">
        <v>83</v>
      </c>
      <c r="C312" s="0"/>
      <c r="D312" s="2" t="s">
        <v>359</v>
      </c>
      <c r="E312" s="554" t="n">
        <v>42877.6191646205</v>
      </c>
      <c r="F312" s="554" t="n">
        <v>42877.6191646209</v>
      </c>
      <c r="G312" s="2" t="s">
        <v>13</v>
      </c>
      <c r="L312" s="0" t="n">
        <v>4</v>
      </c>
      <c r="M312" s="0" t="n">
        <v>1</v>
      </c>
    </row>
    <row r="313" customFormat="false" ht="13.8" hidden="false" customHeight="false" outlineLevel="0" collapsed="false">
      <c r="A313" s="2" t="s">
        <v>361</v>
      </c>
      <c r="B313" s="2" t="n">
        <v>84</v>
      </c>
      <c r="C313" s="0"/>
      <c r="D313" s="2" t="s">
        <v>362</v>
      </c>
      <c r="E313" s="554" t="n">
        <v>42877.6191660818</v>
      </c>
      <c r="F313" s="554" t="n">
        <v>42877.6191660823</v>
      </c>
      <c r="G313" s="2" t="s">
        <v>13</v>
      </c>
      <c r="L313" s="0" t="n">
        <v>4</v>
      </c>
      <c r="M313" s="0" t="n">
        <v>1</v>
      </c>
    </row>
    <row r="314" customFormat="false" ht="13.8" hidden="false" customHeight="false" outlineLevel="0" collapsed="false">
      <c r="A314" s="2" t="s">
        <v>364</v>
      </c>
      <c r="B314" s="2" t="n">
        <v>85</v>
      </c>
      <c r="C314" s="0"/>
      <c r="D314" s="2" t="s">
        <v>365</v>
      </c>
      <c r="E314" s="554" t="n">
        <v>42877.6191677903</v>
      </c>
      <c r="F314" s="554" t="n">
        <v>42877.6191677907</v>
      </c>
      <c r="G314" s="2" t="s">
        <v>13</v>
      </c>
      <c r="L314" s="0" t="n">
        <v>4</v>
      </c>
      <c r="M314" s="0" t="n">
        <v>1</v>
      </c>
    </row>
    <row r="315" customFormat="false" ht="13.8" hidden="false" customHeight="false" outlineLevel="0" collapsed="false">
      <c r="A315" s="2" t="s">
        <v>35</v>
      </c>
      <c r="B315" s="2" t="n">
        <v>86</v>
      </c>
      <c r="C315" s="0"/>
      <c r="D315" s="2" t="s">
        <v>367</v>
      </c>
      <c r="E315" s="554" t="n">
        <v>42877.6191690103</v>
      </c>
      <c r="F315" s="554" t="n">
        <v>42877.6191690108</v>
      </c>
      <c r="G315" s="2" t="s">
        <v>13</v>
      </c>
      <c r="L315" s="0" t="n">
        <v>4</v>
      </c>
      <c r="M315" s="0" t="n">
        <v>1</v>
      </c>
    </row>
    <row r="316" customFormat="false" ht="13.8" hidden="false" customHeight="false" outlineLevel="0" collapsed="false">
      <c r="A316" s="2" t="s">
        <v>369</v>
      </c>
      <c r="B316" s="2" t="n">
        <v>87</v>
      </c>
      <c r="C316" s="0"/>
      <c r="D316" s="2" t="s">
        <v>370</v>
      </c>
      <c r="E316" s="554" t="n">
        <v>42877.6191704437</v>
      </c>
      <c r="F316" s="554" t="n">
        <v>42877.6191704441</v>
      </c>
      <c r="G316" s="2" t="s">
        <v>13</v>
      </c>
      <c r="L316" s="0" t="n">
        <v>4</v>
      </c>
      <c r="M316" s="0" t="n">
        <v>1</v>
      </c>
    </row>
    <row r="317" customFormat="false" ht="13.8" hidden="false" customHeight="false" outlineLevel="0" collapsed="false">
      <c r="A317" s="2" t="s">
        <v>372</v>
      </c>
      <c r="B317" s="2" t="n">
        <v>88</v>
      </c>
      <c r="C317" s="0"/>
      <c r="D317" s="2" t="s">
        <v>373</v>
      </c>
      <c r="E317" s="554" t="n">
        <v>42877.6191719826</v>
      </c>
      <c r="F317" s="554" t="n">
        <v>42877.619171983</v>
      </c>
      <c r="G317" s="2" t="s">
        <v>13</v>
      </c>
      <c r="L317" s="0" t="n">
        <v>4</v>
      </c>
      <c r="M317" s="0" t="n">
        <v>1</v>
      </c>
    </row>
    <row r="318" customFormat="false" ht="13.8" hidden="false" customHeight="false" outlineLevel="0" collapsed="false">
      <c r="A318" s="2" t="s">
        <v>375</v>
      </c>
      <c r="B318" s="2" t="n">
        <v>89</v>
      </c>
      <c r="C318" s="0"/>
      <c r="D318" s="2" t="s">
        <v>376</v>
      </c>
      <c r="E318" s="554" t="n">
        <v>42877.6191730297</v>
      </c>
      <c r="F318" s="554" t="n">
        <v>42877.6191730301</v>
      </c>
      <c r="G318" s="2" t="s">
        <v>13</v>
      </c>
      <c r="L318" s="0" t="n">
        <v>4</v>
      </c>
      <c r="M318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1" min="1" style="0" width="25.25"/>
    <col collapsed="false" customWidth="true" hidden="false" outlineLevel="0" max="2" min="2" style="0" width="14.13"/>
    <col collapsed="false" customWidth="true" hidden="false" outlineLevel="0" max="5" min="3" style="0" width="9.13"/>
    <col collapsed="false" customWidth="true" hidden="false" outlineLevel="0" max="6" min="6" style="0" width="11.63"/>
    <col collapsed="false" customWidth="true" hidden="false" outlineLevel="0" max="1025" min="7" style="0" width="9.13"/>
  </cols>
  <sheetData>
    <row r="1" customFormat="false" ht="15.75" hidden="false" customHeight="false" outlineLevel="0" collapsed="false">
      <c r="A1" s="10" t="s">
        <v>8266</v>
      </c>
      <c r="B1" s="0" t="str">
        <f aca="false">"TypeOfIngredient(name='"&amp;A1&amp;"').save()"</f>
        <v>TypeOfIngredient(name='Vegetable').save()</v>
      </c>
      <c r="F1" s="0" t="s">
        <v>8267</v>
      </c>
      <c r="G1" s="0" t="str">
        <f aca="false">F1&amp;" = TypeOfIngredient.objects.get(slug='"&amp;F1&amp;"')"</f>
        <v>vegetable = TypeOfIngredient.objects.get(slug='vegetable')</v>
      </c>
    </row>
    <row r="2" customFormat="false" ht="15.75" hidden="false" customHeight="false" outlineLevel="0" collapsed="false">
      <c r="A2" s="10" t="s">
        <v>8268</v>
      </c>
      <c r="B2" s="0" t="str">
        <f aca="false">"TypeOfIngredient(name='"&amp;A2&amp;"').save()"</f>
        <v>TypeOfIngredient(name='Spices').save()</v>
      </c>
      <c r="F2" s="0" t="s">
        <v>8269</v>
      </c>
      <c r="G2" s="0" t="str">
        <f aca="false">F2&amp;" = TypeOfIngredient.objects.get(slug='"&amp;F2&amp;"')"</f>
        <v>spices = TypeOfIngredient.objects.get(slug='spices')</v>
      </c>
    </row>
    <row r="3" customFormat="false" ht="15" hidden="false" customHeight="false" outlineLevel="0" collapsed="false">
      <c r="A3" s="0" t="s">
        <v>8270</v>
      </c>
      <c r="B3" s="0" t="str">
        <f aca="false">"TypeOfIngredient(name='"&amp;A3&amp;"').save()"</f>
        <v>TypeOfIngredient(name='Dairy').save()</v>
      </c>
      <c r="F3" s="0" t="s">
        <v>8271</v>
      </c>
      <c r="G3" s="0" t="str">
        <f aca="false">F3&amp;" = TypeOfIngredient.objects.get(slug='"&amp;F3&amp;"')"</f>
        <v>dairy = TypeOfIngredient.objects.get(slug='dairy')</v>
      </c>
    </row>
    <row r="4" customFormat="false" ht="15" hidden="false" customHeight="false" outlineLevel="0" collapsed="false">
      <c r="A4" s="0" t="s">
        <v>8272</v>
      </c>
      <c r="B4" s="0" t="str">
        <f aca="false">"TypeOfIngredient(name='"&amp;A4&amp;"').save()"</f>
        <v>TypeOfIngredient(name='Oils').save()</v>
      </c>
      <c r="F4" s="0" t="s">
        <v>8273</v>
      </c>
      <c r="G4" s="0" t="str">
        <f aca="false">F4&amp;" = TypeOfIngredient.objects.get(slug='"&amp;F4&amp;"')"</f>
        <v>oils = TypeOfIngredient.objects.get(slug='oils')</v>
      </c>
    </row>
    <row r="5" customFormat="false" ht="15" hidden="false" customHeight="false" outlineLevel="0" collapsed="false">
      <c r="A5" s="0" t="s">
        <v>8274</v>
      </c>
      <c r="B5" s="0" t="str">
        <f aca="false">"TypeOfIngredient(name='"&amp;A5&amp;"').save()"</f>
        <v>TypeOfIngredient(name='Dryfruits').save()</v>
      </c>
      <c r="F5" s="0" t="s">
        <v>8275</v>
      </c>
      <c r="G5" s="0" t="str">
        <f aca="false">F5&amp;" = TypeOfIngredient.objects.get(slug='"&amp;F5&amp;"')"</f>
        <v>dryfruits = TypeOfIngredient.objects.get(slug='dryfruits')</v>
      </c>
    </row>
    <row r="6" customFormat="false" ht="15" hidden="false" customHeight="false" outlineLevel="0" collapsed="false">
      <c r="A6" s="0" t="s">
        <v>8276</v>
      </c>
      <c r="B6" s="0" t="str">
        <f aca="false">"TypeOfIngredient(name='"&amp;A6&amp;"').save()"</f>
        <v>TypeOfIngredient(name='Pulses').save()</v>
      </c>
      <c r="F6" s="0" t="s">
        <v>8277</v>
      </c>
      <c r="G6" s="0" t="str">
        <f aca="false">F6&amp;" = TypeOfIngredient.objects.get(slug='"&amp;F6&amp;"')"</f>
        <v>pulses = TypeOfIngredient.objects.get(slug='pulses')</v>
      </c>
    </row>
    <row r="7" customFormat="false" ht="15" hidden="false" customHeight="false" outlineLevel="0" collapsed="false">
      <c r="A7" s="0" t="s">
        <v>8278</v>
      </c>
      <c r="B7" s="0" t="str">
        <f aca="false">"TypeOfIngredient(name='"&amp;A7&amp;"').save()"</f>
        <v>TypeOfIngredient(name='Grains').save()</v>
      </c>
      <c r="F7" s="0" t="s">
        <v>8279</v>
      </c>
      <c r="G7" s="0" t="str">
        <f aca="false">F7&amp;" = TypeOfIngredient.objects.get(slug='"&amp;F7&amp;"')"</f>
        <v>grains = TypeOfIngredient.objects.get(slug='grains')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H19" activeCellId="0" sqref="H19"/>
    </sheetView>
  </sheetViews>
  <sheetFormatPr defaultRowHeight="15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.13"/>
    <col collapsed="false" customWidth="true" hidden="false" outlineLevel="0" max="3" min="3" style="0" width="8.51"/>
    <col collapsed="false" customWidth="true" hidden="false" outlineLevel="0" max="4" min="4" style="0" width="12.51"/>
    <col collapsed="false" customWidth="true" hidden="false" outlineLevel="0" max="5" min="5" style="0" width="16.38"/>
    <col collapsed="false" customWidth="true" hidden="false" outlineLevel="0" max="6" min="6" style="0" width="14.5"/>
    <col collapsed="false" customWidth="true" hidden="false" outlineLevel="0" max="1025" min="7" style="0" width="9.13"/>
  </cols>
  <sheetData>
    <row r="1" customFormat="false" ht="15" hidden="false" customHeight="false" outlineLevel="0" collapsed="false">
      <c r="A1" s="0" t="s">
        <v>8280</v>
      </c>
    </row>
    <row r="2" customFormat="false" ht="15" hidden="false" customHeight="false" outlineLevel="0" collapsed="false">
      <c r="H2" s="0" t="s">
        <v>8281</v>
      </c>
    </row>
    <row r="3" customFormat="false" ht="15" hidden="false" customHeight="false" outlineLevel="0" collapsed="false">
      <c r="A3" s="0" t="s">
        <v>8248</v>
      </c>
      <c r="B3" s="0" t="s">
        <v>8282</v>
      </c>
      <c r="C3" s="0" t="s">
        <v>8283</v>
      </c>
      <c r="D3" s="0" t="s">
        <v>8284</v>
      </c>
      <c r="E3" s="0" t="s">
        <v>8285</v>
      </c>
      <c r="F3" s="0" t="s">
        <v>8286</v>
      </c>
    </row>
    <row r="4" customFormat="false" ht="15" hidden="false" customHeight="false" outlineLevel="0" collapsed="false">
      <c r="A4" s="0" t="s">
        <v>100</v>
      </c>
      <c r="B4" s="0" t="s">
        <v>8250</v>
      </c>
      <c r="C4" s="0" t="s">
        <v>8250</v>
      </c>
      <c r="D4" s="0" t="n">
        <v>1</v>
      </c>
      <c r="H4" s="0" t="str">
        <f aca="false">"Client().post('/mixedmeasurements/', {'name' : '"&amp;A4&amp;"', 'slug' : '"&amp;B4&amp;"', 'formtype' : '"&amp;C4&amp;"', 'volume_Liters' : '"&amp;D4&amp;"', 'mass_KiloGrams' : '"&amp;E4&amp;"', 'pieces_Numbers' : '"&amp;F4&amp;"' }).status_code"</f>
        <v>Client().post('/mixedmeasurements/', {'name' : 'Liter', 'slug' : 'lt', 'formtype' : 'lt', 'volume_Liters' : '1', 'mass_KiloGrams' : '', 'pieces_Numbers' : '' }).status_code</v>
      </c>
    </row>
    <row r="5" customFormat="false" ht="15" hidden="false" customHeight="false" outlineLevel="0" collapsed="false">
      <c r="A5" s="0" t="s">
        <v>103</v>
      </c>
      <c r="B5" s="0" t="s">
        <v>7</v>
      </c>
      <c r="C5" s="0" t="s">
        <v>7</v>
      </c>
      <c r="E5" s="0" t="n">
        <v>1</v>
      </c>
      <c r="H5" s="0" t="str">
        <f aca="false">"Client().post('/mixedmeasurements/', {'name' : '"&amp;A5&amp;"', 'slug' : '"&amp;B5&amp;"', 'formtype' : '"&amp;C5&amp;"', 'volume_Liters' : '"&amp;D5&amp;"', 'mass_KiloGrams' : '"&amp;E5&amp;"', 'pieces_Numbers' : '"&amp;F5&amp;"' }).status_code"</f>
        <v>Client().post('/mixedmeasurements/', {'name' : 'Kilo Gram', 'slug' : 'kg', 'formtype' : 'kg', 'volume_Liters' : '', 'mass_KiloGrams' : '1', 'pieces_Numbers' : '' }).status_code</v>
      </c>
    </row>
    <row r="6" customFormat="false" ht="15" hidden="false" customHeight="false" outlineLevel="0" collapsed="false">
      <c r="A6" s="0" t="s">
        <v>108</v>
      </c>
      <c r="B6" s="0" t="s">
        <v>107</v>
      </c>
      <c r="C6" s="0" t="s">
        <v>107</v>
      </c>
      <c r="F6" s="0" t="n">
        <v>1</v>
      </c>
      <c r="H6" s="0" t="str">
        <f aca="false">"Client().post('/mixedmeasurements/', {'name' : '"&amp;A6&amp;"', 'slug' : '"&amp;B6&amp;"', 'formtype' : '"&amp;C6&amp;"', 'volume_Liters' : '"&amp;D6&amp;"', 'mass_KiloGrams' : '"&amp;E6&amp;"', 'pieces_Numbers' : '"&amp;F6&amp;"' }).status_code"</f>
        <v>Client().post('/mixedmeasurements/', {'name' : 'Pieces', 'slug' : 'pcs', 'formtype' : 'pcs', 'volume_Liters' : '', 'mass_KiloGrams' : '', 'pieces_Numbers' : '1' }).status_code</v>
      </c>
    </row>
    <row r="7" customFormat="false" ht="15" hidden="false" customHeight="false" outlineLevel="0" collapsed="false">
      <c r="A7" s="0" t="s">
        <v>113</v>
      </c>
      <c r="B7" s="0" t="s">
        <v>8287</v>
      </c>
      <c r="C7" s="0" t="s">
        <v>8250</v>
      </c>
      <c r="D7" s="0" t="n">
        <v>35</v>
      </c>
      <c r="H7" s="0" t="str">
        <f aca="false">"Client().post('/mixedmeasurements/', {'name' : '"&amp;A7&amp;"', 'slug' : '"&amp;B7&amp;"', 'formtype' : '"&amp;C7&amp;"', 'volume_Liters' : '"&amp;D7&amp;"', 'mass_KiloGrams' : '"&amp;E7&amp;"', 'pieces_Numbers' : '"&amp;F7&amp;"' }).status_code"</f>
        <v>Client().post('/mixedmeasurements/', {'name' : 'Tub 35 Lt', 'slug' : 'Tub35', 'formtype' : 'lt', 'volume_Liters' : '35', 'mass_KiloGrams' : '', 'pieces_Numbers' : '' }).status_code</v>
      </c>
    </row>
    <row r="10" customFormat="false" ht="15" hidden="false" customHeight="false" outlineLevel="0" collapsed="false">
      <c r="H10" s="0" t="s">
        <v>8288</v>
      </c>
    </row>
    <row r="11" customFormat="false" ht="15" hidden="false" customHeight="false" outlineLevel="0" collapsed="false">
      <c r="H11" s="0" t="s">
        <v>8289</v>
      </c>
    </row>
    <row r="12" customFormat="false" ht="15" hidden="false" customHeight="false" outlineLevel="0" collapsed="false">
      <c r="H12" s="0" t="s">
        <v>8290</v>
      </c>
    </row>
    <row r="13" customFormat="false" ht="15" hidden="false" customHeight="false" outlineLevel="0" collapsed="false">
      <c r="H13" s="0" t="s">
        <v>8291</v>
      </c>
    </row>
    <row r="18" customFormat="false" ht="15" hidden="false" customHeight="false" outlineLevel="0" collapsed="false">
      <c r="A18" s="0" t="s">
        <v>8248</v>
      </c>
      <c r="B18" s="0" t="s">
        <v>8282</v>
      </c>
      <c r="C18" s="0" t="s">
        <v>8283</v>
      </c>
      <c r="D18" s="0" t="s">
        <v>8292</v>
      </c>
    </row>
    <row r="19" customFormat="false" ht="15" hidden="false" customHeight="false" outlineLevel="0" collapsed="false">
      <c r="A19" s="0" t="s">
        <v>100</v>
      </c>
      <c r="B19" s="0" t="s">
        <v>13</v>
      </c>
      <c r="C19" s="0" t="s">
        <v>13</v>
      </c>
      <c r="D19" s="0" t="n">
        <v>1</v>
      </c>
      <c r="H19" s="0" t="str">
        <f aca="false">"SingleMeasurements(name='"&amp;A19&amp;"',slug='"&amp;B19&amp;"',formtype='"&amp;C19&amp;"',quantity='"&amp;D19&amp;"',).save()"</f>
        <v>SingleMeasurements(name='Liter',slug='ltr',formtype='ltr',quantity='1',).save()</v>
      </c>
    </row>
    <row r="20" customFormat="false" ht="15" hidden="false" customHeight="false" outlineLevel="0" collapsed="false">
      <c r="A20" s="0" t="s">
        <v>103</v>
      </c>
      <c r="B20" s="0" t="s">
        <v>7</v>
      </c>
      <c r="C20" s="0" t="s">
        <v>7</v>
      </c>
      <c r="D20" s="0" t="n">
        <v>1</v>
      </c>
      <c r="H20" s="0" t="str">
        <f aca="false">"SingleMeasurements(name='"&amp;A20&amp;"',slug='"&amp;B20&amp;"',formtype='"&amp;C20&amp;"',quantity='"&amp;D20&amp;"',).save()"</f>
        <v>SingleMeasurements(name='Kilo Gram',slug='kg',formtype='kg',quantity='1',).save()</v>
      </c>
    </row>
    <row r="21" customFormat="false" ht="15" hidden="false" customHeight="false" outlineLevel="0" collapsed="false">
      <c r="A21" s="0" t="s">
        <v>108</v>
      </c>
      <c r="B21" s="0" t="s">
        <v>107</v>
      </c>
      <c r="C21" s="0" t="s">
        <v>107</v>
      </c>
      <c r="D21" s="0" t="n">
        <v>1</v>
      </c>
      <c r="H21" s="0" t="str">
        <f aca="false">"SingleMeasurements(name='"&amp;A21&amp;"',slug='"&amp;B21&amp;"',formtype='"&amp;C21&amp;"',quantity='"&amp;D21&amp;"',).save()"</f>
        <v>SingleMeasurements(name='Pieces',slug='pcs',formtype='pcs',quantity='1',).save()</v>
      </c>
    </row>
    <row r="22" customFormat="false" ht="15" hidden="false" customHeight="false" outlineLevel="0" collapsed="false">
      <c r="A22" s="0" t="s">
        <v>113</v>
      </c>
      <c r="B22" s="0" t="s">
        <v>8287</v>
      </c>
      <c r="C22" s="0" t="s">
        <v>13</v>
      </c>
      <c r="D22" s="0" t="n">
        <v>35</v>
      </c>
      <c r="H22" s="0" t="str">
        <f aca="false">"SingleMeasurements(name='"&amp;A22&amp;"',slug='"&amp;B22&amp;"',formtype='"&amp;C22&amp;"',quantity='"&amp;D22&amp;"',).save()"</f>
        <v>SingleMeasurements(name='Tub 35 Lt',slug='Tub35',formtype='ltr',quantity='35',).save()</v>
      </c>
    </row>
    <row r="23" customFormat="false" ht="15" hidden="false" customHeight="false" outlineLevel="0" collapsed="false">
      <c r="A23" s="0" t="s">
        <v>8293</v>
      </c>
      <c r="B23" s="0" t="s">
        <v>515</v>
      </c>
      <c r="C23" s="0" t="s">
        <v>13</v>
      </c>
      <c r="D23" s="0" t="n">
        <v>0.2</v>
      </c>
      <c r="H23" s="0" t="str">
        <f aca="false">"SingleMeasurements(name='"&amp;A23&amp;"',slug='"&amp;B23&amp;"',formtype='"&amp;C23&amp;"',quantity='"&amp;D23&amp;"',).save()"</f>
        <v>SingleMeasurements(name='Cup 200 ml',slug='cup200',formtype='ltr',quantity='0.2',).save()</v>
      </c>
    </row>
    <row r="25" customFormat="false" ht="15" hidden="false" customHeight="false" outlineLevel="0" collapsed="false">
      <c r="F25" s="0" t="s">
        <v>8248</v>
      </c>
      <c r="G25" s="0" t="s">
        <v>8282</v>
      </c>
      <c r="H25" s="421" t="s">
        <v>8294</v>
      </c>
      <c r="K25" s="0" t="s">
        <v>8282</v>
      </c>
    </row>
    <row r="26" customFormat="false" ht="15" hidden="false" customHeight="false" outlineLevel="0" collapsed="false">
      <c r="F26" s="0" t="str">
        <f aca="false">G26&amp;"_var"</f>
        <v>ltr_var</v>
      </c>
      <c r="G26" s="0" t="s">
        <v>13</v>
      </c>
      <c r="H26" s="421" t="str">
        <f aca="false">G26&amp;"_var = "&amp;$H$25&amp;".objects.get("&amp;$K$25&amp;"='"&amp;G26&amp;"')"</f>
        <v>ltr_var = SingleMeasurements.objects.get(slug='ltr')</v>
      </c>
    </row>
    <row r="27" customFormat="false" ht="15" hidden="false" customHeight="false" outlineLevel="0" collapsed="false">
      <c r="F27" s="0" t="str">
        <f aca="false">G27&amp;"_var"</f>
        <v>kg_var</v>
      </c>
      <c r="G27" s="0" t="s">
        <v>7</v>
      </c>
      <c r="H27" s="421" t="str">
        <f aca="false">G27&amp;"_var = "&amp;$H$25&amp;".objects.get("&amp;$K$25&amp;"='"&amp;G27&amp;"')"</f>
        <v>kg_var = SingleMeasurements.objects.get(slug='kg')</v>
      </c>
    </row>
    <row r="28" customFormat="false" ht="15" hidden="false" customHeight="false" outlineLevel="0" collapsed="false">
      <c r="F28" s="0" t="str">
        <f aca="false">G28&amp;"_var"</f>
        <v>pcs_var</v>
      </c>
      <c r="G28" s="0" t="s">
        <v>107</v>
      </c>
      <c r="H28" s="421" t="str">
        <f aca="false">G28&amp;"_var = "&amp;$H$25&amp;".objects.get("&amp;$K$25&amp;"='"&amp;G28&amp;"')"</f>
        <v>pcs_var = SingleMeasurements.objects.get(slug='pcs')</v>
      </c>
    </row>
    <row r="29" customFormat="false" ht="15" hidden="false" customHeight="false" outlineLevel="0" collapsed="false">
      <c r="F29" s="0" t="str">
        <f aca="false">G29&amp;"_var"</f>
        <v>tub35_var</v>
      </c>
      <c r="G29" s="0" t="s">
        <v>514</v>
      </c>
      <c r="H29" s="421" t="str">
        <f aca="false">G29&amp;"_var = "&amp;$H$25&amp;".objects.get("&amp;$K$25&amp;"='"&amp;G29&amp;"')"</f>
        <v>tub35_var = SingleMeasurements.objects.get(slug='tub35')</v>
      </c>
    </row>
    <row r="30" customFormat="false" ht="15" hidden="false" customHeight="false" outlineLevel="0" collapsed="false">
      <c r="F30" s="0" t="str">
        <f aca="false">G30&amp;"_var"</f>
        <v>cup200_var</v>
      </c>
      <c r="G30" s="0" t="s">
        <v>515</v>
      </c>
      <c r="H30" s="421" t="str">
        <f aca="false">G30&amp;"_var = "&amp;$H$25&amp;".objects.get("&amp;$K$25&amp;"='"&amp;G30&amp;"')"</f>
        <v>cup200_var = SingleMeasurements.objects.get(slug='cup200')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6" activeCellId="0" sqref="B6"/>
    </sheetView>
  </sheetViews>
  <sheetFormatPr defaultRowHeight="15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.13"/>
    <col collapsed="false" customWidth="true" hidden="false" outlineLevel="0" max="3" min="3" style="0" width="13.13"/>
    <col collapsed="false" customWidth="true" hidden="false" outlineLevel="0" max="1025" min="4" style="0" width="9.13"/>
  </cols>
  <sheetData>
    <row r="1" customFormat="false" ht="15" hidden="false" customHeight="false" outlineLevel="0" collapsed="false">
      <c r="A1" s="0" t="s">
        <v>8295</v>
      </c>
    </row>
    <row r="2" customFormat="false" ht="15" hidden="false" customHeight="false" outlineLevel="0" collapsed="false">
      <c r="A2" s="0" t="s">
        <v>8248</v>
      </c>
      <c r="B2" s="0" t="s">
        <v>8282</v>
      </c>
      <c r="C2" s="0" t="s">
        <v>8283</v>
      </c>
      <c r="D2" s="0" t="s">
        <v>8292</v>
      </c>
    </row>
    <row r="3" customFormat="false" ht="15" hidden="false" customHeight="false" outlineLevel="0" collapsed="false">
      <c r="A3" s="0" t="s">
        <v>100</v>
      </c>
      <c r="B3" s="0" t="s">
        <v>8250</v>
      </c>
      <c r="C3" s="0" t="s">
        <v>8250</v>
      </c>
      <c r="D3" s="0" t="n">
        <v>1</v>
      </c>
      <c r="F3" s="0" t="str">
        <f aca="false">"Client().post('/mixedmeasurements/', {'name' : '"&amp;A3&amp;"', 'slug' : '"&amp;B3&amp;"', 'formtype' : '"&amp;C3&amp;"', 'quantity' : '"&amp;D3&amp;"'}).status_code"</f>
        <v>Client().post('/mixedmeasurements/', {'name' : 'Liter', 'slug' : 'lt', 'formtype' : 'lt', 'quantity' : '1'}).status_code</v>
      </c>
    </row>
    <row r="4" customFormat="false" ht="15" hidden="false" customHeight="false" outlineLevel="0" collapsed="false">
      <c r="A4" s="0" t="s">
        <v>8296</v>
      </c>
      <c r="B4" s="0" t="s">
        <v>7</v>
      </c>
      <c r="C4" s="0" t="s">
        <v>7</v>
      </c>
      <c r="D4" s="0" t="n">
        <v>1</v>
      </c>
      <c r="F4" s="0" t="str">
        <f aca="false">"Client().post('/mixedmeasurements/', {'name' : '"&amp;A4&amp;"', 'slug' : '"&amp;B4&amp;"', 'formtype' : '"&amp;C4&amp;"', 'quantity' : '"&amp;D4&amp;"'}).status_code"</f>
        <v>Client().post('/mixedmeasurements/', {'name' : 'Kilogram', 'slug' : 'kg', 'formtype' : 'kg', 'quantity' : '1'}).status_code</v>
      </c>
    </row>
    <row r="5" customFormat="false" ht="15" hidden="false" customHeight="false" outlineLevel="0" collapsed="false">
      <c r="A5" s="0" t="s">
        <v>108</v>
      </c>
      <c r="B5" s="0" t="s">
        <v>107</v>
      </c>
      <c r="C5" s="0" t="s">
        <v>107</v>
      </c>
      <c r="D5" s="0" t="n">
        <v>1</v>
      </c>
      <c r="F5" s="0" t="str">
        <f aca="false">"Client().post('/mixedmeasurements/', {'name' : '"&amp;A5&amp;"', 'slug' : '"&amp;B5&amp;"', 'formtype' : '"&amp;C5&amp;"', 'quantity' : '"&amp;D5&amp;"'}).status_code"</f>
        <v>Client().post('/mixedmeasurements/', {'name' : 'Pieces', 'slug' : 'pcs', 'formtype' : 'pcs', 'quantity' : '1'}).status_code</v>
      </c>
    </row>
    <row r="6" customFormat="false" ht="15" hidden="false" customHeight="false" outlineLevel="0" collapsed="false">
      <c r="A6" s="0" t="s">
        <v>8293</v>
      </c>
      <c r="B6" s="0" t="s">
        <v>515</v>
      </c>
      <c r="C6" s="0" t="s">
        <v>8250</v>
      </c>
      <c r="D6" s="0" t="n">
        <v>0.2</v>
      </c>
      <c r="F6" s="0" t="str">
        <f aca="false">"Client().post('/mixedmeasurements/', {'name' : '"&amp;A6&amp;"', 'slug' : '"&amp;B6&amp;"', 'formtype' : '"&amp;C6&amp;"', 'quantity' : '"&amp;D6&amp;"'}).status_code"</f>
        <v>Client().post('/mixedmeasurements/', {'name' : 'Cup 200 ml', 'slug' : 'cup200', 'formtype' : 'lt', 'quantity' : '0.2'}).status_code</v>
      </c>
    </row>
    <row r="11" customFormat="false" ht="15" hidden="false" customHeight="false" outlineLevel="0" collapsed="false">
      <c r="F11" s="0" t="s">
        <v>8297</v>
      </c>
    </row>
    <row r="12" customFormat="false" ht="15" hidden="false" customHeight="false" outlineLevel="0" collapsed="false">
      <c r="F12" s="0" t="s">
        <v>8298</v>
      </c>
    </row>
    <row r="13" customFormat="false" ht="15" hidden="false" customHeight="false" outlineLevel="0" collapsed="false">
      <c r="F13" s="0" t="s">
        <v>8299</v>
      </c>
    </row>
    <row r="14" customFormat="false" ht="15" hidden="false" customHeight="false" outlineLevel="0" collapsed="false">
      <c r="F14" s="0" t="s">
        <v>8300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17"/>
  <sheetViews>
    <sheetView showFormulas="false" showGridLines="true" showRowColHeaders="true" showZeros="true" rightToLeft="false" tabSelected="false" showOutlineSymbols="true" defaultGridColor="true" view="normal" topLeftCell="A104" colorId="64" zoomScale="85" zoomScaleNormal="85" zoomScalePageLayoutView="100" workbookViewId="0">
      <selection pane="topLeft" activeCell="B1" activeCellId="0" sqref="B1"/>
    </sheetView>
  </sheetViews>
  <sheetFormatPr defaultRowHeight="15" outlineLevelRow="0" outlineLevelCol="0"/>
  <cols>
    <col collapsed="false" customWidth="true" hidden="false" outlineLevel="0" max="1" min="1" style="1" width="26.87"/>
    <col collapsed="false" customWidth="true" hidden="false" outlineLevel="0" max="1025" min="2" style="0" width="9.13"/>
  </cols>
  <sheetData>
    <row r="1" customFormat="false" ht="15" hidden="false" customHeight="false" outlineLevel="0" collapsed="false">
      <c r="A1" s="6"/>
      <c r="B1" s="0" t="n">
        <v>1</v>
      </c>
    </row>
    <row r="2" customFormat="false" ht="15.75" hidden="false" customHeight="false" outlineLevel="0" collapsed="false">
      <c r="A2" s="11" t="s">
        <v>2</v>
      </c>
      <c r="B2" s="0" t="n">
        <v>2</v>
      </c>
    </row>
    <row r="3" customFormat="false" ht="15.75" hidden="false" customHeight="false" outlineLevel="0" collapsed="false">
      <c r="A3" s="16" t="s">
        <v>6</v>
      </c>
      <c r="B3" s="0" t="n">
        <v>3</v>
      </c>
    </row>
    <row r="4" customFormat="false" ht="15.75" hidden="false" customHeight="false" outlineLevel="0" collapsed="false">
      <c r="A4" s="16" t="s">
        <v>8</v>
      </c>
      <c r="B4" s="0" t="n">
        <v>4</v>
      </c>
    </row>
    <row r="5" customFormat="false" ht="15.75" hidden="false" customHeight="false" outlineLevel="0" collapsed="false">
      <c r="A5" s="11" t="s">
        <v>9</v>
      </c>
      <c r="B5" s="0" t="n">
        <v>5</v>
      </c>
    </row>
    <row r="6" customFormat="false" ht="15.75" hidden="false" customHeight="false" outlineLevel="0" collapsed="false">
      <c r="A6" s="16" t="s">
        <v>10</v>
      </c>
      <c r="B6" s="0" t="n">
        <v>6</v>
      </c>
    </row>
    <row r="7" customFormat="false" ht="15.75" hidden="false" customHeight="false" outlineLevel="0" collapsed="false">
      <c r="A7" s="16" t="s">
        <v>11</v>
      </c>
      <c r="B7" s="0" t="n">
        <v>7</v>
      </c>
    </row>
    <row r="8" customFormat="false" ht="15.75" hidden="false" customHeight="false" outlineLevel="0" collapsed="false">
      <c r="A8" s="20" t="s">
        <v>12</v>
      </c>
      <c r="B8" s="0" t="n">
        <v>8</v>
      </c>
    </row>
    <row r="9" customFormat="false" ht="15.75" hidden="false" customHeight="false" outlineLevel="0" collapsed="false">
      <c r="A9" s="16" t="s">
        <v>14</v>
      </c>
      <c r="B9" s="0" t="n">
        <v>9</v>
      </c>
    </row>
    <row r="10" customFormat="false" ht="15.75" hidden="false" customHeight="false" outlineLevel="0" collapsed="false">
      <c r="A10" s="20" t="s">
        <v>15</v>
      </c>
      <c r="B10" s="0" t="n">
        <v>10</v>
      </c>
    </row>
    <row r="11" customFormat="false" ht="15.75" hidden="false" customHeight="false" outlineLevel="0" collapsed="false">
      <c r="A11" s="22" t="s">
        <v>16</v>
      </c>
      <c r="B11" s="0" t="n">
        <v>11</v>
      </c>
    </row>
    <row r="12" customFormat="false" ht="15.75" hidden="false" customHeight="false" outlineLevel="0" collapsed="false">
      <c r="A12" s="22" t="s">
        <v>17</v>
      </c>
      <c r="B12" s="0" t="n">
        <v>12</v>
      </c>
    </row>
    <row r="13" customFormat="false" ht="15.75" hidden="false" customHeight="false" outlineLevel="0" collapsed="false">
      <c r="A13" s="20" t="s">
        <v>18</v>
      </c>
      <c r="B13" s="0" t="n">
        <v>13</v>
      </c>
    </row>
    <row r="14" customFormat="false" ht="15.75" hidden="false" customHeight="false" outlineLevel="0" collapsed="false">
      <c r="A14" s="20" t="s">
        <v>19</v>
      </c>
      <c r="B14" s="0" t="n">
        <v>14</v>
      </c>
    </row>
    <row r="15" customFormat="false" ht="15.75" hidden="false" customHeight="false" outlineLevel="0" collapsed="false">
      <c r="A15" s="20" t="s">
        <v>21</v>
      </c>
      <c r="B15" s="0" t="n">
        <v>15</v>
      </c>
    </row>
    <row r="16" customFormat="false" ht="15.75" hidden="false" customHeight="false" outlineLevel="0" collapsed="false">
      <c r="A16" s="20" t="s">
        <v>22</v>
      </c>
      <c r="B16" s="0" t="n">
        <v>16</v>
      </c>
    </row>
    <row r="17" customFormat="false" ht="15.75" hidden="false" customHeight="false" outlineLevel="0" collapsed="false">
      <c r="A17" s="20" t="s">
        <v>23</v>
      </c>
      <c r="B17" s="0" t="n">
        <v>17</v>
      </c>
    </row>
    <row r="18" customFormat="false" ht="15.75" hidden="false" customHeight="false" outlineLevel="0" collapsed="false">
      <c r="A18" s="11" t="s">
        <v>25</v>
      </c>
      <c r="B18" s="0" t="n">
        <v>18</v>
      </c>
    </row>
    <row r="19" customFormat="false" ht="15.75" hidden="false" customHeight="false" outlineLevel="0" collapsed="false">
      <c r="A19" s="24" t="s">
        <v>26</v>
      </c>
      <c r="B19" s="0" t="n">
        <v>19</v>
      </c>
    </row>
    <row r="20" customFormat="false" ht="15.75" hidden="false" customHeight="false" outlineLevel="0" collapsed="false">
      <c r="A20" s="24" t="s">
        <v>26</v>
      </c>
      <c r="B20" s="0" t="n">
        <v>20</v>
      </c>
    </row>
    <row r="21" customFormat="false" ht="15.75" hidden="false" customHeight="false" outlineLevel="0" collapsed="false">
      <c r="A21" s="22"/>
      <c r="B21" s="0" t="n">
        <v>21</v>
      </c>
    </row>
    <row r="22" customFormat="false" ht="15.75" hidden="false" customHeight="false" outlineLevel="0" collapsed="false">
      <c r="A22" s="22"/>
      <c r="B22" s="0" t="n">
        <v>22</v>
      </c>
    </row>
    <row r="23" customFormat="false" ht="15.75" hidden="false" customHeight="false" outlineLevel="0" collapsed="false">
      <c r="A23" s="22" t="s">
        <v>29</v>
      </c>
      <c r="B23" s="0" t="n">
        <v>23</v>
      </c>
    </row>
    <row r="24" customFormat="false" ht="15.75" hidden="false" customHeight="false" outlineLevel="0" collapsed="false">
      <c r="A24" s="29" t="s">
        <v>30</v>
      </c>
      <c r="B24" s="0" t="n">
        <v>24</v>
      </c>
    </row>
    <row r="25" customFormat="false" ht="15.75" hidden="false" customHeight="false" outlineLevel="0" collapsed="false">
      <c r="A25" s="29" t="s">
        <v>31</v>
      </c>
      <c r="B25" s="0" t="n">
        <v>25</v>
      </c>
    </row>
    <row r="26" customFormat="false" ht="15.75" hidden="false" customHeight="false" outlineLevel="0" collapsed="false">
      <c r="A26" s="29" t="s">
        <v>32</v>
      </c>
      <c r="B26" s="0" t="n">
        <v>26</v>
      </c>
    </row>
    <row r="27" customFormat="false" ht="15.75" hidden="false" customHeight="false" outlineLevel="0" collapsed="false">
      <c r="A27" s="32" t="s">
        <v>33</v>
      </c>
      <c r="B27" s="0" t="n">
        <v>27</v>
      </c>
    </row>
    <row r="28" customFormat="false" ht="15.75" hidden="false" customHeight="false" outlineLevel="0" collapsed="false">
      <c r="A28" s="29" t="s">
        <v>34</v>
      </c>
      <c r="B28" s="0" t="n">
        <v>28</v>
      </c>
    </row>
    <row r="29" customFormat="false" ht="15.75" hidden="false" customHeight="false" outlineLevel="0" collapsed="false">
      <c r="A29" s="20"/>
      <c r="B29" s="0" t="n">
        <v>29</v>
      </c>
    </row>
    <row r="30" customFormat="false" ht="15.75" hidden="false" customHeight="false" outlineLevel="0" collapsed="false">
      <c r="A30" s="22" t="s">
        <v>2</v>
      </c>
      <c r="B30" s="0" t="n">
        <v>30</v>
      </c>
    </row>
    <row r="31" customFormat="false" ht="15.75" hidden="false" customHeight="false" outlineLevel="0" collapsed="false">
      <c r="A31" s="20" t="s">
        <v>6</v>
      </c>
      <c r="B31" s="0" t="n">
        <v>31</v>
      </c>
    </row>
    <row r="32" customFormat="false" ht="15.75" hidden="false" customHeight="false" outlineLevel="0" collapsed="false">
      <c r="A32" s="20" t="s">
        <v>36</v>
      </c>
      <c r="B32" s="0" t="n">
        <v>32</v>
      </c>
    </row>
    <row r="33" customFormat="false" ht="15.75" hidden="false" customHeight="false" outlineLevel="0" collapsed="false">
      <c r="A33" s="20" t="s">
        <v>37</v>
      </c>
      <c r="B33" s="0" t="n">
        <v>33</v>
      </c>
    </row>
    <row r="34" customFormat="false" ht="15.75" hidden="false" customHeight="false" outlineLevel="0" collapsed="false">
      <c r="A34" s="20" t="s">
        <v>14</v>
      </c>
      <c r="B34" s="0" t="n">
        <v>34</v>
      </c>
    </row>
    <row r="35" customFormat="false" ht="15.75" hidden="false" customHeight="false" outlineLevel="0" collapsed="false">
      <c r="A35" s="20" t="s">
        <v>38</v>
      </c>
      <c r="B35" s="0" t="n">
        <v>35</v>
      </c>
    </row>
    <row r="36" customFormat="false" ht="15.75" hidden="false" customHeight="false" outlineLevel="0" collapsed="false">
      <c r="A36" s="29" t="s">
        <v>11</v>
      </c>
      <c r="B36" s="0" t="n">
        <v>36</v>
      </c>
    </row>
    <row r="37" customFormat="false" ht="15.75" hidden="false" customHeight="false" outlineLevel="0" collapsed="false">
      <c r="A37" s="29"/>
      <c r="B37" s="0" t="n">
        <v>37</v>
      </c>
    </row>
    <row r="38" customFormat="false" ht="15.75" hidden="false" customHeight="false" outlineLevel="0" collapsed="false">
      <c r="A38" s="29" t="s">
        <v>39</v>
      </c>
      <c r="B38" s="0" t="n">
        <v>38</v>
      </c>
    </row>
    <row r="39" customFormat="false" ht="15.75" hidden="false" customHeight="false" outlineLevel="0" collapsed="false">
      <c r="A39" s="29"/>
      <c r="B39" s="0" t="n">
        <v>39</v>
      </c>
    </row>
    <row r="40" customFormat="false" ht="15.75" hidden="false" customHeight="false" outlineLevel="0" collapsed="false">
      <c r="A40" s="29" t="s">
        <v>40</v>
      </c>
      <c r="B40" s="0" t="n">
        <v>40</v>
      </c>
    </row>
    <row r="41" customFormat="false" ht="15.75" hidden="false" customHeight="false" outlineLevel="0" collapsed="false">
      <c r="A41" s="29"/>
      <c r="B41" s="0" t="n">
        <v>41</v>
      </c>
    </row>
    <row r="42" customFormat="false" ht="15.75" hidden="false" customHeight="false" outlineLevel="0" collapsed="false">
      <c r="A42" s="20" t="s">
        <v>32</v>
      </c>
      <c r="B42" s="0" t="n">
        <v>42</v>
      </c>
    </row>
    <row r="43" customFormat="false" ht="15.75" hidden="false" customHeight="false" outlineLevel="0" collapsed="false">
      <c r="A43" s="20" t="s">
        <v>41</v>
      </c>
      <c r="B43" s="0" t="n">
        <v>43</v>
      </c>
    </row>
    <row r="44" customFormat="false" ht="15.75" hidden="false" customHeight="false" outlineLevel="0" collapsed="false">
      <c r="A44" s="20" t="s">
        <v>43</v>
      </c>
      <c r="B44" s="0" t="n">
        <v>44</v>
      </c>
    </row>
    <row r="45" customFormat="false" ht="15.75" hidden="false" customHeight="false" outlineLevel="0" collapsed="false">
      <c r="A45" s="20" t="s">
        <v>44</v>
      </c>
      <c r="B45" s="0" t="n">
        <v>45</v>
      </c>
    </row>
    <row r="46" customFormat="false" ht="15.75" hidden="false" customHeight="false" outlineLevel="0" collapsed="false">
      <c r="A46" s="29" t="s">
        <v>46</v>
      </c>
      <c r="B46" s="0" t="n">
        <v>46</v>
      </c>
    </row>
    <row r="47" customFormat="false" ht="15.75" hidden="false" customHeight="false" outlineLevel="0" collapsed="false">
      <c r="A47" s="20"/>
      <c r="B47" s="0" t="n">
        <v>47</v>
      </c>
    </row>
    <row r="48" customFormat="false" ht="15.75" hidden="false" customHeight="false" outlineLevel="0" collapsed="false">
      <c r="A48" s="20"/>
      <c r="B48" s="0" t="n">
        <v>48</v>
      </c>
    </row>
    <row r="49" customFormat="false" ht="15.75" hidden="false" customHeight="false" outlineLevel="0" collapsed="false">
      <c r="A49" s="11" t="s">
        <v>2</v>
      </c>
      <c r="B49" s="0" t="n">
        <v>49</v>
      </c>
    </row>
    <row r="50" customFormat="false" ht="15.75" hidden="false" customHeight="false" outlineLevel="0" collapsed="false">
      <c r="A50" s="41" t="s">
        <v>21</v>
      </c>
      <c r="B50" s="0" t="n">
        <v>50</v>
      </c>
    </row>
    <row r="51" customFormat="false" ht="15.75" hidden="false" customHeight="false" outlineLevel="0" collapsed="false">
      <c r="A51" s="43" t="s">
        <v>49</v>
      </c>
      <c r="B51" s="0" t="n">
        <v>51</v>
      </c>
    </row>
    <row r="52" customFormat="false" ht="15.75" hidden="false" customHeight="false" outlineLevel="0" collapsed="false">
      <c r="A52" s="41" t="s">
        <v>8</v>
      </c>
      <c r="B52" s="0" t="n">
        <v>52</v>
      </c>
    </row>
    <row r="53" customFormat="false" ht="15.75" hidden="false" customHeight="false" outlineLevel="0" collapsed="false">
      <c r="A53" s="43" t="s">
        <v>49</v>
      </c>
      <c r="B53" s="0" t="n">
        <v>53</v>
      </c>
    </row>
    <row r="54" customFormat="false" ht="15.75" hidden="false" customHeight="false" outlineLevel="0" collapsed="false">
      <c r="A54" s="20" t="s">
        <v>10</v>
      </c>
      <c r="B54" s="0" t="n">
        <v>54</v>
      </c>
    </row>
    <row r="55" customFormat="false" ht="15.75" hidden="false" customHeight="false" outlineLevel="0" collapsed="false">
      <c r="A55" s="48" t="s">
        <v>49</v>
      </c>
      <c r="B55" s="0" t="n">
        <v>55</v>
      </c>
    </row>
    <row r="56" customFormat="false" ht="15.75" hidden="false" customHeight="false" outlineLevel="0" collapsed="false">
      <c r="A56" s="41" t="s">
        <v>11</v>
      </c>
      <c r="B56" s="0" t="n">
        <v>56</v>
      </c>
    </row>
    <row r="57" customFormat="false" ht="15.75" hidden="false" customHeight="false" outlineLevel="0" collapsed="false">
      <c r="A57" s="43" t="s">
        <v>49</v>
      </c>
      <c r="B57" s="0" t="n">
        <v>57</v>
      </c>
    </row>
    <row r="58" customFormat="false" ht="15.75" hidden="false" customHeight="false" outlineLevel="0" collapsed="false">
      <c r="A58" s="43" t="s">
        <v>50</v>
      </c>
      <c r="B58" s="0" t="n">
        <v>58</v>
      </c>
    </row>
    <row r="59" customFormat="false" ht="15.75" hidden="false" customHeight="false" outlineLevel="0" collapsed="false">
      <c r="A59" s="43" t="s">
        <v>51</v>
      </c>
      <c r="B59" s="0" t="n">
        <v>59</v>
      </c>
    </row>
    <row r="60" customFormat="false" ht="15.75" hidden="false" customHeight="false" outlineLevel="0" collapsed="false">
      <c r="A60" s="29" t="s">
        <v>52</v>
      </c>
      <c r="B60" s="0" t="n">
        <v>60</v>
      </c>
    </row>
    <row r="61" customFormat="false" ht="15.75" hidden="false" customHeight="false" outlineLevel="0" collapsed="false">
      <c r="A61" s="29" t="s">
        <v>53</v>
      </c>
      <c r="B61" s="0" t="n">
        <v>61</v>
      </c>
    </row>
    <row r="62" customFormat="false" ht="15.75" hidden="false" customHeight="false" outlineLevel="0" collapsed="false">
      <c r="A62" s="47" t="s">
        <v>54</v>
      </c>
      <c r="B62" s="0" t="n">
        <v>62</v>
      </c>
    </row>
    <row r="63" customFormat="false" ht="15.75" hidden="false" customHeight="false" outlineLevel="0" collapsed="false">
      <c r="A63" s="47" t="s">
        <v>55</v>
      </c>
      <c r="B63" s="0" t="n">
        <v>63</v>
      </c>
    </row>
    <row r="64" customFormat="false" ht="15.75" hidden="false" customHeight="false" outlineLevel="0" collapsed="false">
      <c r="A64" s="47" t="s">
        <v>56</v>
      </c>
      <c r="B64" s="0" t="n">
        <v>64</v>
      </c>
    </row>
    <row r="65" customFormat="false" ht="15.75" hidden="false" customHeight="false" outlineLevel="0" collapsed="false">
      <c r="A65" s="47" t="s">
        <v>57</v>
      </c>
      <c r="B65" s="0" t="n">
        <v>65</v>
      </c>
    </row>
    <row r="66" customFormat="false" ht="15.75" hidden="false" customHeight="false" outlineLevel="0" collapsed="false">
      <c r="A66" s="47" t="s">
        <v>32</v>
      </c>
      <c r="B66" s="0" t="n">
        <v>66</v>
      </c>
    </row>
    <row r="67" customFormat="false" ht="15.75" hidden="false" customHeight="false" outlineLevel="0" collapsed="false">
      <c r="A67" s="47" t="s">
        <v>58</v>
      </c>
      <c r="B67" s="0" t="n">
        <v>67</v>
      </c>
    </row>
    <row r="68" customFormat="false" ht="15.75" hidden="false" customHeight="false" outlineLevel="0" collapsed="false">
      <c r="A68" s="50" t="s">
        <v>59</v>
      </c>
      <c r="B68" s="0" t="n">
        <v>68</v>
      </c>
    </row>
    <row r="69" customFormat="false" ht="15.75" hidden="false" customHeight="false" outlineLevel="0" collapsed="false">
      <c r="A69" s="50" t="s">
        <v>59</v>
      </c>
      <c r="B69" s="0" t="n">
        <v>69</v>
      </c>
    </row>
    <row r="70" customFormat="false" ht="15.75" hidden="false" customHeight="false" outlineLevel="0" collapsed="false">
      <c r="A70" s="20"/>
      <c r="B70" s="0" t="n">
        <v>70</v>
      </c>
    </row>
    <row r="71" customFormat="false" ht="15.75" hidden="false" customHeight="false" outlineLevel="0" collapsed="false">
      <c r="A71" s="22"/>
      <c r="B71" s="0" t="n">
        <v>71</v>
      </c>
    </row>
    <row r="72" customFormat="false" ht="15.75" hidden="false" customHeight="false" outlineLevel="0" collapsed="false">
      <c r="A72" s="11" t="s">
        <v>2</v>
      </c>
      <c r="B72" s="0" t="n">
        <v>72</v>
      </c>
    </row>
    <row r="73" customFormat="false" ht="15.75" hidden="false" customHeight="false" outlineLevel="0" collapsed="false">
      <c r="A73" s="22" t="s">
        <v>10</v>
      </c>
      <c r="B73" s="0" t="n">
        <v>73</v>
      </c>
    </row>
    <row r="74" customFormat="false" ht="15.75" hidden="false" customHeight="false" outlineLevel="0" collapsed="false">
      <c r="A74" s="20" t="s">
        <v>62</v>
      </c>
      <c r="B74" s="0" t="n">
        <v>74</v>
      </c>
    </row>
    <row r="75" customFormat="false" ht="15.75" hidden="false" customHeight="false" outlineLevel="0" collapsed="false">
      <c r="A75" s="50" t="s">
        <v>63</v>
      </c>
      <c r="B75" s="0" t="n">
        <v>75</v>
      </c>
    </row>
    <row r="76" customFormat="false" ht="15.75" hidden="false" customHeight="false" outlineLevel="0" collapsed="false">
      <c r="A76" s="20" t="s">
        <v>64</v>
      </c>
      <c r="B76" s="0" t="n">
        <v>76</v>
      </c>
    </row>
    <row r="77" customFormat="false" ht="15.75" hidden="false" customHeight="false" outlineLevel="0" collapsed="false">
      <c r="A77" s="20" t="s">
        <v>65</v>
      </c>
      <c r="B77" s="0" t="n">
        <v>77</v>
      </c>
    </row>
    <row r="78" customFormat="false" ht="15.75" hidden="false" customHeight="false" outlineLevel="0" collapsed="false">
      <c r="A78" s="50" t="s">
        <v>66</v>
      </c>
      <c r="B78" s="0" t="n">
        <v>78</v>
      </c>
    </row>
    <row r="79" customFormat="false" ht="15.75" hidden="false" customHeight="false" outlineLevel="0" collapsed="false">
      <c r="A79" s="48" t="s">
        <v>67</v>
      </c>
      <c r="B79" s="0" t="n">
        <v>79</v>
      </c>
    </row>
    <row r="80" customFormat="false" ht="15.75" hidden="false" customHeight="false" outlineLevel="0" collapsed="false">
      <c r="A80" s="20" t="s">
        <v>22</v>
      </c>
      <c r="B80" s="0" t="n">
        <v>80</v>
      </c>
    </row>
    <row r="81" customFormat="false" ht="15.75" hidden="false" customHeight="false" outlineLevel="0" collapsed="false">
      <c r="A81" s="20" t="s">
        <v>14</v>
      </c>
      <c r="B81" s="0" t="n">
        <v>81</v>
      </c>
    </row>
    <row r="82" customFormat="false" ht="15.75" hidden="false" customHeight="false" outlineLevel="0" collapsed="false">
      <c r="A82" s="20" t="s">
        <v>69</v>
      </c>
      <c r="B82" s="0" t="n">
        <v>82</v>
      </c>
    </row>
    <row r="83" customFormat="false" ht="15.75" hidden="false" customHeight="false" outlineLevel="0" collapsed="false">
      <c r="A83" s="20" t="s">
        <v>18</v>
      </c>
      <c r="B83" s="0" t="n">
        <v>83</v>
      </c>
    </row>
    <row r="84" customFormat="false" ht="15.75" hidden="false" customHeight="false" outlineLevel="0" collapsed="false">
      <c r="A84" s="20" t="s">
        <v>25</v>
      </c>
      <c r="B84" s="0" t="n">
        <v>84</v>
      </c>
    </row>
    <row r="85" customFormat="false" ht="15.75" hidden="false" customHeight="false" outlineLevel="0" collapsed="false">
      <c r="A85" s="20" t="s">
        <v>70</v>
      </c>
      <c r="B85" s="0" t="n">
        <v>85</v>
      </c>
    </row>
    <row r="86" customFormat="false" ht="15.75" hidden="false" customHeight="false" outlineLevel="0" collapsed="false">
      <c r="A86" s="20" t="s">
        <v>71</v>
      </c>
      <c r="B86" s="0" t="n">
        <v>86</v>
      </c>
    </row>
    <row r="87" customFormat="false" ht="15.75" hidden="false" customHeight="false" outlineLevel="0" collapsed="false">
      <c r="A87" s="20" t="s">
        <v>72</v>
      </c>
      <c r="B87" s="0" t="n">
        <v>87</v>
      </c>
    </row>
    <row r="88" customFormat="false" ht="15.75" hidden="false" customHeight="false" outlineLevel="0" collapsed="false">
      <c r="A88" s="20" t="s">
        <v>73</v>
      </c>
      <c r="B88" s="0" t="n">
        <v>88</v>
      </c>
    </row>
    <row r="89" customFormat="false" ht="15.75" hidden="false" customHeight="false" outlineLevel="0" collapsed="false">
      <c r="A89" s="20" t="s">
        <v>74</v>
      </c>
      <c r="B89" s="0" t="n">
        <v>89</v>
      </c>
    </row>
    <row r="90" customFormat="false" ht="15.75" hidden="false" customHeight="false" outlineLevel="0" collapsed="false">
      <c r="A90" s="20" t="s">
        <v>57</v>
      </c>
      <c r="B90" s="0" t="n">
        <v>90</v>
      </c>
    </row>
    <row r="91" customFormat="false" ht="15.75" hidden="false" customHeight="false" outlineLevel="0" collapsed="false">
      <c r="A91" s="48" t="s">
        <v>57</v>
      </c>
      <c r="B91" s="0" t="n">
        <v>91</v>
      </c>
    </row>
    <row r="92" customFormat="false" ht="15.75" hidden="false" customHeight="false" outlineLevel="0" collapsed="false">
      <c r="A92" s="20" t="s">
        <v>75</v>
      </c>
      <c r="B92" s="0" t="n">
        <v>92</v>
      </c>
    </row>
    <row r="93" customFormat="false" ht="15.75" hidden="false" customHeight="false" outlineLevel="0" collapsed="false">
      <c r="A93" s="50" t="s">
        <v>26</v>
      </c>
      <c r="B93" s="0" t="n">
        <v>93</v>
      </c>
    </row>
    <row r="94" customFormat="false" ht="15.75" hidden="false" customHeight="false" outlineLevel="0" collapsed="false">
      <c r="A94" s="50" t="s">
        <v>26</v>
      </c>
      <c r="B94" s="0" t="n">
        <v>94</v>
      </c>
    </row>
    <row r="95" customFormat="false" ht="15.75" hidden="false" customHeight="false" outlineLevel="0" collapsed="false">
      <c r="A95" s="20" t="s">
        <v>77</v>
      </c>
      <c r="B95" s="0" t="n">
        <v>95</v>
      </c>
    </row>
    <row r="96" customFormat="false" ht="15.75" hidden="false" customHeight="false" outlineLevel="0" collapsed="false">
      <c r="A96" s="20"/>
      <c r="B96" s="0" t="n">
        <v>96</v>
      </c>
    </row>
    <row r="97" customFormat="false" ht="15.75" hidden="false" customHeight="false" outlineLevel="0" collapsed="false">
      <c r="A97" s="22"/>
      <c r="B97" s="0" t="n">
        <v>97</v>
      </c>
    </row>
    <row r="98" customFormat="false" ht="15.75" hidden="false" customHeight="false" outlineLevel="0" collapsed="false">
      <c r="A98" s="11" t="s">
        <v>2</v>
      </c>
      <c r="B98" s="0" t="n">
        <v>98</v>
      </c>
    </row>
    <row r="99" customFormat="false" ht="15.75" hidden="false" customHeight="false" outlineLevel="0" collapsed="false">
      <c r="A99" s="20" t="s">
        <v>80</v>
      </c>
      <c r="B99" s="0" t="n">
        <v>99</v>
      </c>
    </row>
    <row r="100" customFormat="false" ht="15.75" hidden="false" customHeight="false" outlineLevel="0" collapsed="false">
      <c r="A100" s="20" t="s">
        <v>81</v>
      </c>
      <c r="B100" s="0" t="n">
        <v>100</v>
      </c>
    </row>
    <row r="101" customFormat="false" ht="15.75" hidden="false" customHeight="false" outlineLevel="0" collapsed="false">
      <c r="A101" s="20" t="s">
        <v>82</v>
      </c>
      <c r="B101" s="0" t="n">
        <v>101</v>
      </c>
    </row>
    <row r="102" customFormat="false" ht="15.75" hidden="false" customHeight="false" outlineLevel="0" collapsed="false">
      <c r="A102" s="20" t="s">
        <v>83</v>
      </c>
      <c r="B102" s="0" t="n">
        <v>102</v>
      </c>
    </row>
    <row r="103" customFormat="false" ht="15.75" hidden="false" customHeight="false" outlineLevel="0" collapsed="false">
      <c r="A103" s="20" t="s">
        <v>32</v>
      </c>
      <c r="B103" s="0" t="n">
        <v>103</v>
      </c>
    </row>
    <row r="104" customFormat="false" ht="15.75" hidden="false" customHeight="false" outlineLevel="0" collapsed="false">
      <c r="A104" s="20" t="s">
        <v>23</v>
      </c>
      <c r="B104" s="0" t="n">
        <v>104</v>
      </c>
    </row>
    <row r="105" customFormat="false" ht="15.75" hidden="false" customHeight="false" outlineLevel="0" collapsed="false">
      <c r="A105" s="20" t="s">
        <v>85</v>
      </c>
      <c r="B105" s="0" t="n">
        <v>105</v>
      </c>
    </row>
    <row r="106" customFormat="false" ht="15.75" hidden="false" customHeight="false" outlineLevel="0" collapsed="false">
      <c r="A106" s="20" t="s">
        <v>86</v>
      </c>
      <c r="B106" s="0" t="n">
        <v>106</v>
      </c>
    </row>
    <row r="107" customFormat="false" ht="15.75" hidden="false" customHeight="false" outlineLevel="0" collapsed="false">
      <c r="A107" s="20" t="s">
        <v>88</v>
      </c>
      <c r="B107" s="0" t="n">
        <v>107</v>
      </c>
    </row>
    <row r="108" customFormat="false" ht="15.75" hidden="false" customHeight="false" outlineLevel="0" collapsed="false">
      <c r="A108" s="20" t="s">
        <v>26</v>
      </c>
      <c r="B108" s="0" t="n">
        <v>108</v>
      </c>
    </row>
    <row r="109" customFormat="false" ht="15.75" hidden="false" customHeight="false" outlineLevel="0" collapsed="false">
      <c r="A109" s="20" t="s">
        <v>26</v>
      </c>
      <c r="B109" s="0" t="n">
        <v>109</v>
      </c>
    </row>
    <row r="110" customFormat="false" ht="15.75" hidden="false" customHeight="false" outlineLevel="0" collapsed="false">
      <c r="A110" s="56" t="s">
        <v>90</v>
      </c>
      <c r="B110" s="0" t="n">
        <v>110</v>
      </c>
    </row>
    <row r="111" customFormat="false" ht="15.75" hidden="false" customHeight="false" outlineLevel="0" collapsed="false">
      <c r="A111" s="20"/>
      <c r="B111" s="0" t="n">
        <v>111</v>
      </c>
    </row>
    <row r="112" customFormat="false" ht="15.75" hidden="false" customHeight="false" outlineLevel="0" collapsed="false">
      <c r="A112" s="20" t="s">
        <v>92</v>
      </c>
      <c r="B112" s="0" t="n">
        <v>112</v>
      </c>
    </row>
    <row r="113" customFormat="false" ht="15.75" hidden="false" customHeight="false" outlineLevel="0" collapsed="false">
      <c r="A113" s="29" t="s">
        <v>93</v>
      </c>
      <c r="B113" s="0" t="n">
        <v>113</v>
      </c>
    </row>
    <row r="114" customFormat="false" ht="15.75" hidden="false" customHeight="false" outlineLevel="0" collapsed="false">
      <c r="A114" s="41" t="s">
        <v>94</v>
      </c>
      <c r="B114" s="0" t="n">
        <v>114</v>
      </c>
    </row>
    <row r="115" customFormat="false" ht="15.75" hidden="false" customHeight="false" outlineLevel="0" collapsed="false">
      <c r="A115" s="29" t="s">
        <v>95</v>
      </c>
      <c r="B115" s="0" t="n">
        <v>115</v>
      </c>
    </row>
    <row r="116" customFormat="false" ht="15.75" hidden="false" customHeight="false" outlineLevel="0" collapsed="false">
      <c r="A116" s="29" t="s">
        <v>96</v>
      </c>
      <c r="B116" s="0" t="n">
        <v>116</v>
      </c>
    </row>
    <row r="117" customFormat="false" ht="15.75" hidden="false" customHeight="false" outlineLevel="0" collapsed="false">
      <c r="A117" s="29" t="s">
        <v>34</v>
      </c>
      <c r="B117" s="0" t="n">
        <v>117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166"/>
  <sheetViews>
    <sheetView showFormulas="false" showGridLines="true" showRowColHeaders="true" showZeros="true" rightToLeft="false" tabSelected="false" showOutlineSymbols="true" defaultGridColor="true" view="normal" topLeftCell="H1148" colorId="64" zoomScale="85" zoomScaleNormal="85" zoomScalePageLayoutView="100" workbookViewId="0">
      <selection pane="topLeft" activeCell="Q1169" activeCellId="0" sqref="Q1169"/>
    </sheetView>
  </sheetViews>
  <sheetFormatPr defaultRowHeight="13.8" outlineLevelRow="0" outlineLevelCol="0"/>
  <cols>
    <col collapsed="false" customWidth="true" hidden="false" outlineLevel="0" max="1" min="1" style="0" width="18.73"/>
    <col collapsed="false" customWidth="true" hidden="false" outlineLevel="0" max="2" min="2" style="0" width="3.28"/>
    <col collapsed="false" customWidth="true" hidden="false" outlineLevel="0" max="3" min="3" style="0" width="27"/>
    <col collapsed="false" customWidth="true" hidden="false" outlineLevel="0" max="4" min="4" style="0" width="26.58"/>
    <col collapsed="false" customWidth="true" hidden="false" outlineLevel="0" max="5" min="5" style="0" width="26.02"/>
    <col collapsed="false" customWidth="true" hidden="false" outlineLevel="0" max="6" min="6" style="4" width="9.14"/>
    <col collapsed="false" customWidth="true" hidden="false" outlineLevel="0" max="8" min="7" style="2" width="9.14"/>
    <col collapsed="false" customWidth="true" hidden="false" outlineLevel="0" max="9" min="9" style="4" width="9.14"/>
    <col collapsed="false" customWidth="true" hidden="false" outlineLevel="0" max="11" min="10" style="2" width="9.14"/>
    <col collapsed="false" customWidth="true" hidden="false" outlineLevel="0" max="12" min="12" style="4" width="9.14"/>
    <col collapsed="false" customWidth="true" hidden="false" outlineLevel="0" max="14" min="13" style="2" width="9.14"/>
    <col collapsed="false" customWidth="true" hidden="false" outlineLevel="0" max="15" min="15" style="4" width="9.14"/>
    <col collapsed="false" customWidth="true" hidden="false" outlineLevel="0" max="16" min="16" style="0" width="47.52"/>
    <col collapsed="false" customWidth="true" hidden="false" outlineLevel="0" max="17" min="17" style="2" width="9.14"/>
    <col collapsed="false" customWidth="true" hidden="false" outlineLevel="0" max="18" min="18" style="0" width="22.17"/>
    <col collapsed="false" customWidth="true" hidden="false" outlineLevel="0" max="1025" min="19" style="0" width="9.14"/>
  </cols>
  <sheetData>
    <row r="1" customFormat="false" ht="13.8" hidden="false" customHeight="false" outlineLevel="0" collapsed="false">
      <c r="A1" s="0" t="s">
        <v>97</v>
      </c>
      <c r="B1" s="0" t="s">
        <v>8301</v>
      </c>
      <c r="C1" s="0" t="s">
        <v>8302</v>
      </c>
      <c r="D1" s="0" t="s">
        <v>8303</v>
      </c>
      <c r="E1" s="0" t="s">
        <v>8304</v>
      </c>
      <c r="F1" s="4" t="s">
        <v>8301</v>
      </c>
      <c r="G1" s="2" t="s">
        <v>8305</v>
      </c>
      <c r="H1" s="2" t="s">
        <v>8306</v>
      </c>
      <c r="I1" s="4" t="s">
        <v>8307</v>
      </c>
      <c r="J1" s="2" t="s">
        <v>8308</v>
      </c>
      <c r="K1" s="2" t="s">
        <v>8309</v>
      </c>
      <c r="L1" s="4" t="s">
        <v>8310</v>
      </c>
      <c r="M1" s="2" t="s">
        <v>8311</v>
      </c>
      <c r="N1" s="2" t="s">
        <v>8312</v>
      </c>
      <c r="O1" s="4" t="s">
        <v>8313</v>
      </c>
      <c r="P1" s="0" t="s">
        <v>8314</v>
      </c>
      <c r="Q1" s="2" t="s">
        <v>8315</v>
      </c>
      <c r="R1" s="0" t="s">
        <v>8304</v>
      </c>
    </row>
    <row r="2" customFormat="false" ht="13.8" hidden="false" customHeight="false" outlineLevel="0" collapsed="false">
      <c r="A2" s="0" t="s">
        <v>1</v>
      </c>
      <c r="B2" s="0" t="n">
        <v>1</v>
      </c>
      <c r="C2" s="0" t="s">
        <v>8316</v>
      </c>
      <c r="D2" s="0" t="s">
        <v>6</v>
      </c>
      <c r="E2" s="0" t="s">
        <v>490</v>
      </c>
      <c r="F2" s="4" t="n">
        <v>201</v>
      </c>
      <c r="G2" s="2" t="n">
        <v>3.42</v>
      </c>
      <c r="H2" s="2" t="s">
        <v>7</v>
      </c>
      <c r="I2" s="4" t="n">
        <v>2</v>
      </c>
      <c r="J2" s="2" t="n">
        <v>0</v>
      </c>
      <c r="K2" s="2" t="n">
        <v>0</v>
      </c>
      <c r="L2" s="4" t="n">
        <v>1</v>
      </c>
      <c r="M2" s="2" t="n">
        <v>0</v>
      </c>
      <c r="N2" s="2" t="n">
        <v>0</v>
      </c>
      <c r="O2" s="4" t="n">
        <v>3</v>
      </c>
      <c r="Q2" s="2" t="n">
        <v>7</v>
      </c>
      <c r="R2" s="0" t="s">
        <v>490</v>
      </c>
      <c r="S2" s="0" t="s">
        <v>8317</v>
      </c>
    </row>
    <row r="3" customFormat="false" ht="13.8" hidden="false" customHeight="false" outlineLevel="0" collapsed="false">
      <c r="A3" s="0" t="s">
        <v>1</v>
      </c>
      <c r="B3" s="0" t="n">
        <v>1</v>
      </c>
      <c r="C3" s="0" t="s">
        <v>8316</v>
      </c>
      <c r="D3" s="0" t="s">
        <v>8</v>
      </c>
      <c r="E3" s="0" t="s">
        <v>201</v>
      </c>
      <c r="F3" s="4" t="n">
        <v>30</v>
      </c>
      <c r="G3" s="2" t="n">
        <v>2.91666666666667</v>
      </c>
      <c r="H3" s="2" t="s">
        <v>7</v>
      </c>
      <c r="I3" s="4" t="n">
        <v>2</v>
      </c>
      <c r="J3" s="2" t="n">
        <v>0</v>
      </c>
      <c r="K3" s="2" t="n">
        <v>0</v>
      </c>
      <c r="L3" s="4" t="n">
        <v>1</v>
      </c>
      <c r="M3" s="2" t="n">
        <v>0</v>
      </c>
      <c r="N3" s="2" t="n">
        <v>0</v>
      </c>
      <c r="O3" s="4" t="n">
        <v>3</v>
      </c>
      <c r="Q3" s="2" t="n">
        <v>8</v>
      </c>
      <c r="R3" s="0" t="s">
        <v>201</v>
      </c>
      <c r="S3" s="0" t="s">
        <v>8318</v>
      </c>
    </row>
    <row r="4" customFormat="false" ht="13.8" hidden="false" customHeight="false" outlineLevel="0" collapsed="false">
      <c r="A4" s="0" t="s">
        <v>1</v>
      </c>
      <c r="B4" s="0" t="n">
        <v>1</v>
      </c>
      <c r="C4" s="0" t="s">
        <v>8316</v>
      </c>
      <c r="D4" s="0" t="s">
        <v>9</v>
      </c>
      <c r="E4" s="0" t="s">
        <v>318</v>
      </c>
      <c r="F4" s="4" t="n">
        <v>69</v>
      </c>
      <c r="G4" s="2" t="n">
        <v>2.91666666666667</v>
      </c>
      <c r="H4" s="2" t="s">
        <v>7</v>
      </c>
      <c r="I4" s="4" t="n">
        <v>2</v>
      </c>
      <c r="J4" s="2" t="n">
        <v>0</v>
      </c>
      <c r="K4" s="2" t="n">
        <v>0</v>
      </c>
      <c r="L4" s="4" t="n">
        <v>1</v>
      </c>
      <c r="M4" s="2" t="n">
        <v>0</v>
      </c>
      <c r="N4" s="2" t="n">
        <v>0</v>
      </c>
      <c r="O4" s="4" t="n">
        <v>3</v>
      </c>
      <c r="Q4" s="2" t="n">
        <v>9</v>
      </c>
      <c r="R4" s="0" t="s">
        <v>318</v>
      </c>
      <c r="S4" s="0" t="s">
        <v>8319</v>
      </c>
    </row>
    <row r="5" customFormat="false" ht="13.8" hidden="false" customHeight="false" outlineLevel="0" collapsed="false">
      <c r="A5" s="0" t="s">
        <v>1</v>
      </c>
      <c r="B5" s="0" t="n">
        <v>1</v>
      </c>
      <c r="C5" s="0" t="s">
        <v>8316</v>
      </c>
      <c r="D5" s="0" t="s">
        <v>10</v>
      </c>
      <c r="E5" s="0" t="s">
        <v>130</v>
      </c>
      <c r="F5" s="4" t="n">
        <v>8</v>
      </c>
      <c r="G5" s="2" t="n">
        <v>1.25</v>
      </c>
      <c r="H5" s="2" t="s">
        <v>7</v>
      </c>
      <c r="I5" s="4" t="n">
        <v>2</v>
      </c>
      <c r="J5" s="2" t="n">
        <v>0</v>
      </c>
      <c r="K5" s="2" t="n">
        <v>0</v>
      </c>
      <c r="L5" s="4" t="n">
        <v>1</v>
      </c>
      <c r="M5" s="2" t="n">
        <v>0</v>
      </c>
      <c r="N5" s="2" t="n">
        <v>0</v>
      </c>
      <c r="O5" s="4" t="n">
        <v>3</v>
      </c>
      <c r="Q5" s="2" t="n">
        <v>10</v>
      </c>
      <c r="R5" s="0" t="s">
        <v>130</v>
      </c>
      <c r="S5" s="0" t="s">
        <v>8320</v>
      </c>
    </row>
    <row r="6" customFormat="false" ht="13.8" hidden="false" customHeight="false" outlineLevel="0" collapsed="false">
      <c r="A6" s="0" t="s">
        <v>1</v>
      </c>
      <c r="B6" s="0" t="n">
        <v>1</v>
      </c>
      <c r="C6" s="0" t="s">
        <v>8316</v>
      </c>
      <c r="D6" s="0" t="s">
        <v>11</v>
      </c>
      <c r="E6" s="0" t="s">
        <v>348</v>
      </c>
      <c r="F6" s="4" t="n">
        <v>79</v>
      </c>
      <c r="G6" s="2" t="n">
        <v>1.25</v>
      </c>
      <c r="H6" s="2" t="s">
        <v>7</v>
      </c>
      <c r="I6" s="4" t="n">
        <v>2</v>
      </c>
      <c r="J6" s="2" t="n">
        <v>0</v>
      </c>
      <c r="K6" s="2" t="n">
        <v>0</v>
      </c>
      <c r="L6" s="4" t="n">
        <v>1</v>
      </c>
      <c r="M6" s="2" t="n">
        <v>0</v>
      </c>
      <c r="N6" s="2" t="n">
        <v>0</v>
      </c>
      <c r="O6" s="4" t="n">
        <v>3</v>
      </c>
      <c r="Q6" s="2" t="n">
        <v>11</v>
      </c>
      <c r="R6" s="0" t="s">
        <v>348</v>
      </c>
      <c r="S6" s="0" t="s">
        <v>8321</v>
      </c>
    </row>
    <row r="7" customFormat="false" ht="13.8" hidden="false" customHeight="false" outlineLevel="0" collapsed="false">
      <c r="A7" s="0" t="s">
        <v>1</v>
      </c>
      <c r="B7" s="0" t="n">
        <v>1</v>
      </c>
      <c r="C7" s="0" t="s">
        <v>8316</v>
      </c>
      <c r="D7" s="0" t="s">
        <v>12</v>
      </c>
      <c r="E7" s="0" t="s">
        <v>377</v>
      </c>
      <c r="F7" s="4" t="n">
        <v>89</v>
      </c>
      <c r="G7" s="2" t="n">
        <v>0</v>
      </c>
      <c r="H7" s="2" t="n">
        <v>0</v>
      </c>
      <c r="I7" s="4" t="n">
        <v>2</v>
      </c>
      <c r="J7" s="2" t="n">
        <v>1</v>
      </c>
      <c r="K7" s="2" t="s">
        <v>13</v>
      </c>
      <c r="L7" s="4" t="n">
        <v>1</v>
      </c>
      <c r="M7" s="2" t="n">
        <v>0</v>
      </c>
      <c r="N7" s="2" t="n">
        <v>0</v>
      </c>
      <c r="O7" s="4" t="n">
        <v>3</v>
      </c>
      <c r="Q7" s="2" t="n">
        <v>12</v>
      </c>
      <c r="R7" s="0" t="s">
        <v>377</v>
      </c>
      <c r="S7" s="0" t="s">
        <v>8322</v>
      </c>
    </row>
    <row r="8" customFormat="false" ht="13.8" hidden="false" customHeight="false" outlineLevel="0" collapsed="false">
      <c r="A8" s="0" t="s">
        <v>1</v>
      </c>
      <c r="B8" s="0" t="n">
        <v>1</v>
      </c>
      <c r="C8" s="0" t="s">
        <v>8316</v>
      </c>
      <c r="D8" s="0" t="s">
        <v>14</v>
      </c>
      <c r="E8" s="0" t="s">
        <v>398</v>
      </c>
      <c r="F8" s="4" t="n">
        <v>102</v>
      </c>
      <c r="G8" s="2" t="n">
        <v>0</v>
      </c>
      <c r="H8" s="2" t="n">
        <v>0</v>
      </c>
      <c r="I8" s="4" t="n">
        <v>2</v>
      </c>
      <c r="J8" s="2" t="n">
        <v>0.166666666666667</v>
      </c>
      <c r="K8" s="2" t="s">
        <v>13</v>
      </c>
      <c r="L8" s="4" t="n">
        <v>1</v>
      </c>
      <c r="M8" s="2" t="n">
        <v>0</v>
      </c>
      <c r="N8" s="2" t="n">
        <v>0</v>
      </c>
      <c r="O8" s="4" t="n">
        <v>3</v>
      </c>
      <c r="Q8" s="2" t="n">
        <v>13</v>
      </c>
      <c r="R8" s="0" t="s">
        <v>398</v>
      </c>
      <c r="S8" s="0" t="s">
        <v>8323</v>
      </c>
    </row>
    <row r="9" customFormat="false" ht="13.8" hidden="false" customHeight="false" outlineLevel="0" collapsed="false">
      <c r="A9" s="0" t="s">
        <v>1</v>
      </c>
      <c r="B9" s="0" t="n">
        <v>1</v>
      </c>
      <c r="C9" s="0" t="s">
        <v>8316</v>
      </c>
      <c r="D9" s="0" t="s">
        <v>15</v>
      </c>
      <c r="E9" s="0" t="s">
        <v>386</v>
      </c>
      <c r="F9" s="4" t="n">
        <v>93</v>
      </c>
      <c r="G9" s="2" t="n">
        <v>0</v>
      </c>
      <c r="H9" s="2" t="n">
        <v>0</v>
      </c>
      <c r="I9" s="4" t="n">
        <v>2</v>
      </c>
      <c r="J9" s="2" t="n">
        <v>0.166666666666667</v>
      </c>
      <c r="K9" s="2" t="s">
        <v>13</v>
      </c>
      <c r="L9" s="4" t="n">
        <v>1</v>
      </c>
      <c r="M9" s="2" t="n">
        <v>0</v>
      </c>
      <c r="N9" s="2" t="n">
        <v>0</v>
      </c>
      <c r="O9" s="4" t="n">
        <v>3</v>
      </c>
      <c r="Q9" s="2" t="n">
        <v>14</v>
      </c>
      <c r="R9" s="0" t="s">
        <v>386</v>
      </c>
      <c r="S9" s="0" t="s">
        <v>8324</v>
      </c>
    </row>
    <row r="10" customFormat="false" ht="13.8" hidden="false" customHeight="false" outlineLevel="0" collapsed="false">
      <c r="A10" s="0" t="s">
        <v>1</v>
      </c>
      <c r="B10" s="0" t="n">
        <v>1</v>
      </c>
      <c r="C10" s="0" t="s">
        <v>8316</v>
      </c>
      <c r="D10" s="0" t="s">
        <v>16</v>
      </c>
      <c r="E10" s="0" t="s">
        <v>429</v>
      </c>
      <c r="F10" s="4" t="n">
        <v>135</v>
      </c>
      <c r="G10" s="2" t="n">
        <v>0</v>
      </c>
      <c r="H10" s="2" t="n">
        <v>0</v>
      </c>
      <c r="I10" s="4" t="n">
        <v>2</v>
      </c>
      <c r="J10" s="2" t="n">
        <v>0.166666666666667</v>
      </c>
      <c r="K10" s="2" t="s">
        <v>13</v>
      </c>
      <c r="L10" s="4" t="n">
        <v>1</v>
      </c>
      <c r="M10" s="2" t="n">
        <v>0</v>
      </c>
      <c r="N10" s="2" t="n">
        <v>0</v>
      </c>
      <c r="O10" s="4" t="n">
        <v>3</v>
      </c>
      <c r="Q10" s="2" t="n">
        <v>15</v>
      </c>
      <c r="R10" s="0" t="s">
        <v>429</v>
      </c>
      <c r="S10" s="0" t="s">
        <v>8325</v>
      </c>
    </row>
    <row r="11" customFormat="false" ht="13.8" hidden="false" customHeight="false" outlineLevel="0" collapsed="false">
      <c r="A11" s="0" t="s">
        <v>1</v>
      </c>
      <c r="B11" s="0" t="n">
        <v>1</v>
      </c>
      <c r="C11" s="0" t="s">
        <v>8316</v>
      </c>
      <c r="D11" s="0" t="s">
        <v>17</v>
      </c>
      <c r="E11" s="0" t="s">
        <v>38</v>
      </c>
      <c r="F11" s="4" t="n">
        <v>105</v>
      </c>
      <c r="G11" s="2" t="n">
        <v>0</v>
      </c>
      <c r="H11" s="2" t="n">
        <v>0</v>
      </c>
      <c r="I11" s="4" t="n">
        <v>2</v>
      </c>
      <c r="J11" s="2" t="n">
        <v>1</v>
      </c>
      <c r="K11" s="2" t="s">
        <v>13</v>
      </c>
      <c r="L11" s="4" t="n">
        <v>1</v>
      </c>
      <c r="M11" s="2" t="n">
        <v>0</v>
      </c>
      <c r="N11" s="2" t="n">
        <v>0</v>
      </c>
      <c r="O11" s="4" t="n">
        <v>3</v>
      </c>
      <c r="Q11" s="2" t="n">
        <v>16</v>
      </c>
      <c r="R11" s="0" t="s">
        <v>38</v>
      </c>
      <c r="S11" s="0" t="s">
        <v>8326</v>
      </c>
    </row>
    <row r="12" customFormat="false" ht="13.8" hidden="false" customHeight="false" outlineLevel="0" collapsed="false">
      <c r="A12" s="0" t="s">
        <v>1</v>
      </c>
      <c r="B12" s="0" t="n">
        <v>1</v>
      </c>
      <c r="C12" s="0" t="s">
        <v>8316</v>
      </c>
      <c r="D12" s="0" t="s">
        <v>18</v>
      </c>
      <c r="E12" s="0" t="s">
        <v>102</v>
      </c>
      <c r="F12" s="4" t="n">
        <v>1</v>
      </c>
      <c r="G12" s="2" t="n">
        <v>0</v>
      </c>
      <c r="H12" s="2" t="n">
        <v>0</v>
      </c>
      <c r="I12" s="4" t="n">
        <v>2</v>
      </c>
      <c r="J12" s="2" t="n">
        <v>0.208333333333333</v>
      </c>
      <c r="K12" s="2" t="s">
        <v>13</v>
      </c>
      <c r="L12" s="4" t="n">
        <v>1</v>
      </c>
      <c r="M12" s="2" t="n">
        <v>0</v>
      </c>
      <c r="N12" s="2" t="n">
        <v>0</v>
      </c>
      <c r="O12" s="4" t="n">
        <v>3</v>
      </c>
      <c r="Q12" s="2" t="n">
        <v>17</v>
      </c>
      <c r="R12" s="0" t="s">
        <v>102</v>
      </c>
      <c r="S12" s="0" t="s">
        <v>8327</v>
      </c>
    </row>
    <row r="13" customFormat="false" ht="13.8" hidden="false" customHeight="false" outlineLevel="0" collapsed="false">
      <c r="A13" s="0" t="s">
        <v>1</v>
      </c>
      <c r="B13" s="0" t="n">
        <v>1</v>
      </c>
      <c r="C13" s="0" t="s">
        <v>8316</v>
      </c>
      <c r="D13" s="0" t="s">
        <v>528</v>
      </c>
      <c r="E13" s="0" t="s">
        <v>412</v>
      </c>
      <c r="F13" s="4" t="n">
        <v>117</v>
      </c>
      <c r="G13" s="2" t="n">
        <v>0</v>
      </c>
      <c r="H13" s="2" t="n">
        <v>0</v>
      </c>
      <c r="I13" s="4" t="n">
        <v>2</v>
      </c>
      <c r="J13" s="2" t="n">
        <v>0.208333333333333</v>
      </c>
      <c r="K13" s="2" t="s">
        <v>20</v>
      </c>
      <c r="L13" s="4" t="n">
        <v>5</v>
      </c>
      <c r="M13" s="2" t="n">
        <v>0</v>
      </c>
      <c r="N13" s="2" t="n">
        <v>0</v>
      </c>
      <c r="O13" s="4" t="n">
        <v>3</v>
      </c>
      <c r="Q13" s="2" t="n">
        <v>18</v>
      </c>
      <c r="R13" s="0" t="s">
        <v>412</v>
      </c>
      <c r="S13" s="0" t="s">
        <v>8328</v>
      </c>
    </row>
    <row r="14" customFormat="false" ht="13.8" hidden="false" customHeight="false" outlineLevel="0" collapsed="false">
      <c r="A14" s="0" t="s">
        <v>1</v>
      </c>
      <c r="B14" s="0" t="n">
        <v>1</v>
      </c>
      <c r="C14" s="0" t="s">
        <v>8316</v>
      </c>
      <c r="D14" s="0" t="s">
        <v>21</v>
      </c>
      <c r="E14" s="0" t="s">
        <v>485</v>
      </c>
      <c r="F14" s="4" t="n">
        <v>195</v>
      </c>
      <c r="G14" s="2" t="n">
        <v>3</v>
      </c>
      <c r="H14" s="2" t="s">
        <v>7</v>
      </c>
      <c r="I14" s="4" t="n">
        <v>2</v>
      </c>
      <c r="J14" s="2" t="n">
        <v>0</v>
      </c>
      <c r="K14" s="2" t="n">
        <v>0</v>
      </c>
      <c r="L14" s="4" t="n">
        <v>1</v>
      </c>
      <c r="M14" s="2" t="n">
        <v>0</v>
      </c>
      <c r="N14" s="2" t="n">
        <v>0</v>
      </c>
      <c r="O14" s="4" t="n">
        <v>3</v>
      </c>
      <c r="Q14" s="2" t="n">
        <v>19</v>
      </c>
      <c r="R14" s="0" t="s">
        <v>485</v>
      </c>
      <c r="S14" s="0" t="s">
        <v>8329</v>
      </c>
    </row>
    <row r="15" customFormat="false" ht="13.8" hidden="false" customHeight="false" outlineLevel="0" collapsed="false">
      <c r="A15" s="0" t="s">
        <v>1</v>
      </c>
      <c r="B15" s="0" t="n">
        <v>1</v>
      </c>
      <c r="C15" s="0" t="s">
        <v>8316</v>
      </c>
      <c r="D15" s="0" t="s">
        <v>22</v>
      </c>
      <c r="E15" s="0" t="s">
        <v>354</v>
      </c>
      <c r="F15" s="4" t="n">
        <v>81</v>
      </c>
      <c r="G15" s="2" t="n">
        <v>0</v>
      </c>
      <c r="H15" s="2" t="n">
        <v>0</v>
      </c>
      <c r="I15" s="4" t="n">
        <v>2</v>
      </c>
      <c r="J15" s="2" t="n">
        <v>0.5</v>
      </c>
      <c r="K15" s="2" t="s">
        <v>13</v>
      </c>
      <c r="L15" s="4" t="n">
        <v>1</v>
      </c>
      <c r="M15" s="2" t="n">
        <v>0</v>
      </c>
      <c r="N15" s="2" t="n">
        <v>0</v>
      </c>
      <c r="O15" s="4" t="n">
        <v>3</v>
      </c>
      <c r="Q15" s="2" t="n">
        <v>20</v>
      </c>
      <c r="R15" s="0" t="s">
        <v>354</v>
      </c>
      <c r="S15" s="0" t="s">
        <v>8330</v>
      </c>
    </row>
    <row r="16" customFormat="false" ht="13.8" hidden="false" customHeight="false" outlineLevel="0" collapsed="false">
      <c r="A16" s="0" t="s">
        <v>1</v>
      </c>
      <c r="B16" s="0" t="n">
        <v>1</v>
      </c>
      <c r="C16" s="0" t="s">
        <v>8316</v>
      </c>
      <c r="D16" s="0" t="s">
        <v>23</v>
      </c>
      <c r="E16" s="0" t="s">
        <v>309</v>
      </c>
      <c r="F16" s="4" t="n">
        <v>66</v>
      </c>
      <c r="G16" s="2" t="n">
        <v>0</v>
      </c>
      <c r="H16" s="2" t="n">
        <v>0</v>
      </c>
      <c r="I16" s="4" t="n">
        <v>2</v>
      </c>
      <c r="J16" s="2" t="n">
        <v>0.1</v>
      </c>
      <c r="K16" s="2" t="s">
        <v>24</v>
      </c>
      <c r="L16" s="4" t="n">
        <v>6</v>
      </c>
      <c r="M16" s="2" t="n">
        <v>0</v>
      </c>
      <c r="N16" s="2" t="n">
        <v>0</v>
      </c>
      <c r="O16" s="4" t="n">
        <v>3</v>
      </c>
      <c r="Q16" s="2" t="n">
        <v>21</v>
      </c>
      <c r="R16" s="0" t="s">
        <v>309</v>
      </c>
      <c r="S16" s="0" t="s">
        <v>8331</v>
      </c>
    </row>
    <row r="17" customFormat="false" ht="13.8" hidden="false" customHeight="false" outlineLevel="0" collapsed="false">
      <c r="A17" s="0" t="s">
        <v>1</v>
      </c>
      <c r="B17" s="0" t="n">
        <v>1</v>
      </c>
      <c r="C17" s="0" t="s">
        <v>8316</v>
      </c>
      <c r="D17" s="0" t="s">
        <v>25</v>
      </c>
      <c r="E17" s="0" t="s">
        <v>399</v>
      </c>
      <c r="F17" s="4" t="n">
        <v>103</v>
      </c>
      <c r="G17" s="2" t="n">
        <v>0</v>
      </c>
      <c r="H17" s="2" t="n">
        <v>0</v>
      </c>
      <c r="I17" s="4" t="n">
        <v>2</v>
      </c>
      <c r="J17" s="2" t="n">
        <v>0.0833333333333333</v>
      </c>
      <c r="K17" s="2" t="s">
        <v>13</v>
      </c>
      <c r="L17" s="4" t="n">
        <v>1</v>
      </c>
      <c r="M17" s="2" t="n">
        <v>0</v>
      </c>
      <c r="N17" s="2" t="n">
        <v>0</v>
      </c>
      <c r="O17" s="4" t="n">
        <v>3</v>
      </c>
      <c r="Q17" s="2" t="n">
        <v>22</v>
      </c>
      <c r="R17" s="0" t="s">
        <v>399</v>
      </c>
      <c r="S17" s="0" t="s">
        <v>8332</v>
      </c>
    </row>
    <row r="18" customFormat="false" ht="13.8" hidden="false" customHeight="false" outlineLevel="0" collapsed="false">
      <c r="A18" s="0" t="s">
        <v>28</v>
      </c>
      <c r="B18" s="0" t="n">
        <v>94</v>
      </c>
      <c r="C18" s="0" t="s">
        <v>8333</v>
      </c>
      <c r="D18" s="0" t="s">
        <v>29</v>
      </c>
      <c r="E18" s="0" t="s">
        <v>504</v>
      </c>
      <c r="F18" s="4" t="n">
        <v>215</v>
      </c>
      <c r="G18" s="2" t="n">
        <v>4</v>
      </c>
      <c r="H18" s="2" t="s">
        <v>7</v>
      </c>
      <c r="I18" s="4" t="n">
        <v>2</v>
      </c>
      <c r="J18" s="2" t="n">
        <v>0</v>
      </c>
      <c r="K18" s="2" t="n">
        <v>0</v>
      </c>
      <c r="L18" s="4" t="n">
        <v>1</v>
      </c>
      <c r="M18" s="2" t="n">
        <v>0</v>
      </c>
      <c r="N18" s="2" t="n">
        <v>0</v>
      </c>
      <c r="O18" s="4" t="n">
        <v>3</v>
      </c>
      <c r="Q18" s="2" t="n">
        <v>25</v>
      </c>
      <c r="R18" s="0" t="s">
        <v>504</v>
      </c>
      <c r="S18" s="0" t="s">
        <v>8334</v>
      </c>
    </row>
    <row r="19" customFormat="false" ht="13.8" hidden="false" customHeight="false" outlineLevel="0" collapsed="false">
      <c r="A19" s="0" t="s">
        <v>28</v>
      </c>
      <c r="B19" s="0" t="n">
        <v>94</v>
      </c>
      <c r="C19" s="0" t="s">
        <v>8333</v>
      </c>
      <c r="D19" s="0" t="s">
        <v>30</v>
      </c>
      <c r="E19" s="0" t="s">
        <v>204</v>
      </c>
      <c r="F19" s="4" t="n">
        <v>31</v>
      </c>
      <c r="G19" s="2" t="n">
        <v>0</v>
      </c>
      <c r="H19" s="2" t="n">
        <v>0</v>
      </c>
      <c r="I19" s="4" t="n">
        <v>2</v>
      </c>
      <c r="J19" s="2" t="n">
        <v>0.5</v>
      </c>
      <c r="K19" s="2" t="s">
        <v>20</v>
      </c>
      <c r="L19" s="4" t="n">
        <v>5</v>
      </c>
      <c r="M19" s="2" t="n">
        <v>0</v>
      </c>
      <c r="N19" s="2" t="n">
        <v>0</v>
      </c>
      <c r="O19" s="4" t="n">
        <v>3</v>
      </c>
      <c r="Q19" s="2" t="n">
        <v>26</v>
      </c>
      <c r="R19" s="0" t="s">
        <v>204</v>
      </c>
      <c r="S19" s="0" t="s">
        <v>8335</v>
      </c>
    </row>
    <row r="20" customFormat="false" ht="13.8" hidden="false" customHeight="false" outlineLevel="0" collapsed="false">
      <c r="A20" s="0" t="s">
        <v>28</v>
      </c>
      <c r="B20" s="0" t="n">
        <v>94</v>
      </c>
      <c r="C20" s="0" t="s">
        <v>8333</v>
      </c>
      <c r="D20" s="0" t="s">
        <v>31</v>
      </c>
      <c r="E20" s="0" t="s">
        <v>207</v>
      </c>
      <c r="F20" s="4" t="n">
        <v>32</v>
      </c>
      <c r="G20" s="2" t="n">
        <v>0</v>
      </c>
      <c r="H20" s="2" t="n">
        <v>0</v>
      </c>
      <c r="I20" s="4" t="n">
        <v>2</v>
      </c>
      <c r="J20" s="2" t="n">
        <v>0.5</v>
      </c>
      <c r="K20" s="2" t="s">
        <v>20</v>
      </c>
      <c r="L20" s="4" t="n">
        <v>5</v>
      </c>
      <c r="M20" s="2" t="n">
        <v>0</v>
      </c>
      <c r="N20" s="2" t="n">
        <v>0</v>
      </c>
      <c r="O20" s="4" t="n">
        <v>3</v>
      </c>
      <c r="Q20" s="2" t="n">
        <v>27</v>
      </c>
      <c r="R20" s="0" t="s">
        <v>207</v>
      </c>
      <c r="S20" s="0" t="s">
        <v>8336</v>
      </c>
    </row>
    <row r="21" customFormat="false" ht="13.8" hidden="false" customHeight="false" outlineLevel="0" collapsed="false">
      <c r="A21" s="0" t="s">
        <v>28</v>
      </c>
      <c r="B21" s="0" t="n">
        <v>94</v>
      </c>
      <c r="C21" s="0" t="s">
        <v>8333</v>
      </c>
      <c r="D21" s="0" t="s">
        <v>32</v>
      </c>
      <c r="E21" s="0" t="s">
        <v>96</v>
      </c>
      <c r="F21" s="4" t="n">
        <v>177</v>
      </c>
      <c r="G21" s="2" t="n">
        <v>0</v>
      </c>
      <c r="H21" s="2" t="n">
        <v>0</v>
      </c>
      <c r="I21" s="4" t="n">
        <v>2</v>
      </c>
      <c r="J21" s="2" t="n">
        <v>0.5</v>
      </c>
      <c r="K21" s="2" t="s">
        <v>20</v>
      </c>
      <c r="L21" s="4" t="n">
        <v>5</v>
      </c>
      <c r="M21" s="2" t="n">
        <v>0</v>
      </c>
      <c r="N21" s="2" t="n">
        <v>0</v>
      </c>
      <c r="O21" s="4" t="n">
        <v>3</v>
      </c>
      <c r="Q21" s="2" t="n">
        <v>28</v>
      </c>
      <c r="R21" s="0" t="s">
        <v>96</v>
      </c>
      <c r="S21" s="0" t="s">
        <v>8337</v>
      </c>
    </row>
    <row r="22" customFormat="false" ht="13.8" hidden="false" customHeight="false" outlineLevel="0" collapsed="false">
      <c r="A22" s="0" t="s">
        <v>28</v>
      </c>
      <c r="B22" s="0" t="n">
        <v>94</v>
      </c>
      <c r="C22" s="0" t="s">
        <v>8333</v>
      </c>
      <c r="D22" s="0" t="s">
        <v>33</v>
      </c>
      <c r="E22" s="0" t="s">
        <v>360</v>
      </c>
      <c r="F22" s="4" t="n">
        <v>83</v>
      </c>
      <c r="G22" s="2" t="n">
        <v>0</v>
      </c>
      <c r="H22" s="2" t="n">
        <v>0</v>
      </c>
      <c r="I22" s="4" t="n">
        <v>2</v>
      </c>
      <c r="J22" s="2" t="n">
        <v>0</v>
      </c>
      <c r="K22" s="2" t="s">
        <v>13</v>
      </c>
      <c r="L22" s="4" t="n">
        <v>1</v>
      </c>
      <c r="M22" s="2" t="n">
        <v>0</v>
      </c>
      <c r="N22" s="2" t="n">
        <v>0</v>
      </c>
      <c r="O22" s="4" t="n">
        <v>3</v>
      </c>
      <c r="Q22" s="2" t="n">
        <v>29</v>
      </c>
      <c r="R22" s="0" t="s">
        <v>360</v>
      </c>
      <c r="S22" s="0" t="s">
        <v>8338</v>
      </c>
    </row>
    <row r="23" customFormat="false" ht="13.8" hidden="false" customHeight="false" outlineLevel="0" collapsed="false">
      <c r="A23" s="0" t="s">
        <v>389</v>
      </c>
      <c r="B23" s="0" t="n">
        <v>96</v>
      </c>
      <c r="C23" s="0" t="s">
        <v>8339</v>
      </c>
      <c r="D23" s="0" t="s">
        <v>6</v>
      </c>
      <c r="E23" s="0" t="s">
        <v>490</v>
      </c>
      <c r="F23" s="4" t="n">
        <v>201</v>
      </c>
      <c r="G23" s="2" t="n">
        <v>30</v>
      </c>
      <c r="H23" s="2" t="s">
        <v>7</v>
      </c>
      <c r="I23" s="4" t="n">
        <v>2</v>
      </c>
      <c r="J23" s="2" t="n">
        <v>0</v>
      </c>
      <c r="K23" s="2" t="n">
        <v>0</v>
      </c>
      <c r="L23" s="4" t="n">
        <v>1</v>
      </c>
      <c r="M23" s="2" t="n">
        <v>0</v>
      </c>
      <c r="N23" s="2" t="n">
        <v>0</v>
      </c>
      <c r="O23" s="4" t="n">
        <v>3</v>
      </c>
      <c r="Q23" s="2" t="n">
        <v>32</v>
      </c>
      <c r="R23" s="0" t="s">
        <v>490</v>
      </c>
      <c r="S23" s="0" t="s">
        <v>8340</v>
      </c>
    </row>
    <row r="24" customFormat="false" ht="13.8" hidden="false" customHeight="false" outlineLevel="0" collapsed="false">
      <c r="A24" s="0" t="s">
        <v>389</v>
      </c>
      <c r="B24" s="0" t="n">
        <v>96</v>
      </c>
      <c r="C24" s="0" t="s">
        <v>8339</v>
      </c>
      <c r="D24" s="0" t="s">
        <v>36</v>
      </c>
      <c r="E24" s="0" t="s">
        <v>377</v>
      </c>
      <c r="F24" s="4" t="n">
        <v>89</v>
      </c>
      <c r="G24" s="2" t="n">
        <v>0</v>
      </c>
      <c r="H24" s="2" t="n">
        <v>0</v>
      </c>
      <c r="I24" s="4" t="n">
        <v>2</v>
      </c>
      <c r="J24" s="2" t="n">
        <v>10</v>
      </c>
      <c r="K24" s="2" t="s">
        <v>13</v>
      </c>
      <c r="L24" s="4" t="n">
        <v>1</v>
      </c>
      <c r="M24" s="2" t="n">
        <v>0</v>
      </c>
      <c r="N24" s="2" t="n">
        <v>0</v>
      </c>
      <c r="O24" s="4" t="n">
        <v>3</v>
      </c>
      <c r="Q24" s="2" t="n">
        <v>33</v>
      </c>
      <c r="R24" s="0" t="s">
        <v>377</v>
      </c>
      <c r="S24" s="0" t="s">
        <v>8341</v>
      </c>
    </row>
    <row r="25" customFormat="false" ht="13.8" hidden="false" customHeight="false" outlineLevel="0" collapsed="false">
      <c r="A25" s="0" t="s">
        <v>389</v>
      </c>
      <c r="B25" s="0" t="n">
        <v>96</v>
      </c>
      <c r="C25" s="0" t="s">
        <v>8339</v>
      </c>
      <c r="D25" s="0" t="s">
        <v>37</v>
      </c>
      <c r="E25" s="0" t="s">
        <v>481</v>
      </c>
      <c r="F25" s="4" t="n">
        <v>191</v>
      </c>
      <c r="G25" s="2" t="n">
        <v>0</v>
      </c>
      <c r="H25" s="2" t="n">
        <v>0</v>
      </c>
      <c r="I25" s="4" t="n">
        <v>2</v>
      </c>
      <c r="J25" s="2" t="n">
        <v>1</v>
      </c>
      <c r="K25" s="2" t="s">
        <v>13</v>
      </c>
      <c r="L25" s="4" t="n">
        <v>1</v>
      </c>
      <c r="M25" s="2" t="n">
        <v>0</v>
      </c>
      <c r="N25" s="2" t="n">
        <v>0</v>
      </c>
      <c r="O25" s="4" t="n">
        <v>3</v>
      </c>
      <c r="Q25" s="2" t="n">
        <v>34</v>
      </c>
      <c r="R25" s="0" t="s">
        <v>481</v>
      </c>
      <c r="S25" s="0" t="s">
        <v>8342</v>
      </c>
    </row>
    <row r="26" customFormat="false" ht="13.8" hidden="false" customHeight="false" outlineLevel="0" collapsed="false">
      <c r="A26" s="0" t="s">
        <v>389</v>
      </c>
      <c r="B26" s="0" t="n">
        <v>96</v>
      </c>
      <c r="C26" s="0" t="s">
        <v>8339</v>
      </c>
      <c r="D26" s="0" t="s">
        <v>14</v>
      </c>
      <c r="E26" s="0" t="s">
        <v>398</v>
      </c>
      <c r="F26" s="4" t="n">
        <v>102</v>
      </c>
      <c r="G26" s="2" t="n">
        <v>0</v>
      </c>
      <c r="H26" s="2" t="n">
        <v>0</v>
      </c>
      <c r="I26" s="4" t="n">
        <v>2</v>
      </c>
      <c r="J26" s="2" t="n">
        <v>0.75</v>
      </c>
      <c r="K26" s="2" t="s">
        <v>13</v>
      </c>
      <c r="L26" s="4" t="n">
        <v>1</v>
      </c>
      <c r="M26" s="2" t="n">
        <v>0</v>
      </c>
      <c r="N26" s="2" t="n">
        <v>0</v>
      </c>
      <c r="O26" s="4" t="n">
        <v>3</v>
      </c>
      <c r="Q26" s="2" t="n">
        <v>35</v>
      </c>
      <c r="R26" s="0" t="s">
        <v>398</v>
      </c>
      <c r="S26" s="0" t="s">
        <v>8343</v>
      </c>
    </row>
    <row r="27" customFormat="false" ht="13.8" hidden="false" customHeight="false" outlineLevel="0" collapsed="false">
      <c r="A27" s="0" t="s">
        <v>389</v>
      </c>
      <c r="B27" s="0" t="n">
        <v>96</v>
      </c>
      <c r="C27" s="0" t="s">
        <v>8339</v>
      </c>
      <c r="D27" s="0" t="s">
        <v>38</v>
      </c>
      <c r="E27" s="0" t="s">
        <v>38</v>
      </c>
      <c r="F27" s="4" t="n">
        <v>105</v>
      </c>
      <c r="G27" s="2" t="n">
        <v>0</v>
      </c>
      <c r="H27" s="2" t="n">
        <v>0</v>
      </c>
      <c r="I27" s="4" t="n">
        <v>2</v>
      </c>
      <c r="J27" s="2" t="n">
        <v>2</v>
      </c>
      <c r="K27" s="2" t="s">
        <v>13</v>
      </c>
      <c r="L27" s="4" t="n">
        <v>1</v>
      </c>
      <c r="M27" s="2" t="n">
        <v>0</v>
      </c>
      <c r="N27" s="2" t="n">
        <v>0</v>
      </c>
      <c r="O27" s="4" t="n">
        <v>3</v>
      </c>
      <c r="Q27" s="2" t="n">
        <v>36</v>
      </c>
      <c r="R27" s="0" t="s">
        <v>38</v>
      </c>
      <c r="S27" s="0" t="s">
        <v>8344</v>
      </c>
    </row>
    <row r="28" customFormat="false" ht="13.8" hidden="false" customHeight="false" outlineLevel="0" collapsed="false">
      <c r="A28" s="0" t="s">
        <v>389</v>
      </c>
      <c r="B28" s="0" t="n">
        <v>96</v>
      </c>
      <c r="C28" s="0" t="s">
        <v>8339</v>
      </c>
      <c r="D28" s="0" t="s">
        <v>11</v>
      </c>
      <c r="E28" s="0" t="s">
        <v>348</v>
      </c>
      <c r="F28" s="4" t="n">
        <v>79</v>
      </c>
      <c r="G28" s="2" t="n">
        <v>4</v>
      </c>
      <c r="H28" s="2" t="s">
        <v>7</v>
      </c>
      <c r="I28" s="4" t="n">
        <v>2</v>
      </c>
      <c r="J28" s="2" t="n">
        <v>5</v>
      </c>
      <c r="K28" s="2" t="s">
        <v>13</v>
      </c>
      <c r="L28" s="4" t="n">
        <v>1</v>
      </c>
      <c r="M28" s="2" t="n">
        <v>0</v>
      </c>
      <c r="N28" s="2" t="n">
        <v>0</v>
      </c>
      <c r="O28" s="4" t="n">
        <v>3</v>
      </c>
      <c r="Q28" s="2" t="n">
        <v>37</v>
      </c>
      <c r="R28" s="0" t="s">
        <v>348</v>
      </c>
      <c r="S28" s="0" t="s">
        <v>8345</v>
      </c>
    </row>
    <row r="29" customFormat="false" ht="13.8" hidden="false" customHeight="false" outlineLevel="0" collapsed="false">
      <c r="A29" s="0" t="s">
        <v>389</v>
      </c>
      <c r="B29" s="0" t="n">
        <v>96</v>
      </c>
      <c r="C29" s="0" t="s">
        <v>8339</v>
      </c>
      <c r="D29" s="0" t="s">
        <v>39</v>
      </c>
      <c r="E29" s="0" t="s">
        <v>228</v>
      </c>
      <c r="F29" s="4" t="n">
        <v>39</v>
      </c>
      <c r="G29" s="2" t="n">
        <v>12</v>
      </c>
      <c r="H29" s="2" t="s">
        <v>7</v>
      </c>
      <c r="I29" s="4" t="n">
        <v>2</v>
      </c>
      <c r="J29" s="2" t="n">
        <v>30</v>
      </c>
      <c r="K29" s="2" t="s">
        <v>13</v>
      </c>
      <c r="L29" s="4" t="n">
        <v>1</v>
      </c>
      <c r="M29" s="2" t="n">
        <v>0</v>
      </c>
      <c r="N29" s="2" t="n">
        <v>0</v>
      </c>
      <c r="O29" s="4" t="n">
        <v>3</v>
      </c>
      <c r="Q29" s="2" t="n">
        <v>38</v>
      </c>
      <c r="R29" s="0" t="s">
        <v>228</v>
      </c>
      <c r="S29" s="0" t="s">
        <v>8346</v>
      </c>
    </row>
    <row r="30" customFormat="false" ht="13.8" hidden="false" customHeight="false" outlineLevel="0" collapsed="false">
      <c r="A30" s="0" t="s">
        <v>389</v>
      </c>
      <c r="B30" s="0" t="n">
        <v>96</v>
      </c>
      <c r="C30" s="0" t="s">
        <v>8339</v>
      </c>
      <c r="D30" s="0" t="s">
        <v>40</v>
      </c>
      <c r="E30" s="0" t="s">
        <v>237</v>
      </c>
      <c r="F30" s="4" t="n">
        <v>42</v>
      </c>
      <c r="G30" s="2" t="n">
        <v>3.5</v>
      </c>
      <c r="H30" s="2" t="s">
        <v>7</v>
      </c>
      <c r="I30" s="4" t="n">
        <v>2</v>
      </c>
      <c r="J30" s="2" t="n">
        <v>5</v>
      </c>
      <c r="K30" s="2" t="s">
        <v>13</v>
      </c>
      <c r="L30" s="4" t="n">
        <v>1</v>
      </c>
      <c r="M30" s="2" t="n">
        <v>0</v>
      </c>
      <c r="N30" s="2" t="n">
        <v>0</v>
      </c>
      <c r="O30" s="4" t="n">
        <v>3</v>
      </c>
      <c r="Q30" s="2" t="n">
        <v>39</v>
      </c>
      <c r="R30" s="0" t="s">
        <v>237</v>
      </c>
      <c r="S30" s="0" t="s">
        <v>8347</v>
      </c>
    </row>
    <row r="31" customFormat="false" ht="13.8" hidden="false" customHeight="false" outlineLevel="0" collapsed="false">
      <c r="A31" s="0" t="s">
        <v>389</v>
      </c>
      <c r="B31" s="0" t="n">
        <v>96</v>
      </c>
      <c r="C31" s="0" t="s">
        <v>8339</v>
      </c>
      <c r="D31" s="0" t="s">
        <v>32</v>
      </c>
      <c r="E31" s="0" t="s">
        <v>96</v>
      </c>
      <c r="F31" s="4" t="n">
        <v>177</v>
      </c>
      <c r="G31" s="2" t="n">
        <v>0</v>
      </c>
      <c r="H31" s="2" t="n">
        <v>0</v>
      </c>
      <c r="I31" s="4" t="n">
        <v>2</v>
      </c>
      <c r="J31" s="2" t="n">
        <v>4</v>
      </c>
      <c r="K31" s="2" t="s">
        <v>20</v>
      </c>
      <c r="L31" s="4" t="n">
        <v>5</v>
      </c>
      <c r="M31" s="2" t="n">
        <v>0</v>
      </c>
      <c r="N31" s="2" t="n">
        <v>0</v>
      </c>
      <c r="O31" s="4" t="n">
        <v>3</v>
      </c>
      <c r="Q31" s="2" t="n">
        <v>40</v>
      </c>
      <c r="R31" s="0" t="s">
        <v>96</v>
      </c>
      <c r="S31" s="0" t="s">
        <v>8348</v>
      </c>
    </row>
    <row r="32" customFormat="false" ht="13.8" hidden="false" customHeight="false" outlineLevel="0" collapsed="false">
      <c r="A32" s="0" t="s">
        <v>389</v>
      </c>
      <c r="B32" s="0" t="n">
        <v>96</v>
      </c>
      <c r="C32" s="0" t="s">
        <v>8339</v>
      </c>
      <c r="D32" s="0" t="s">
        <v>41</v>
      </c>
      <c r="E32" s="0" t="s">
        <v>333</v>
      </c>
      <c r="F32" s="4" t="n">
        <v>74</v>
      </c>
      <c r="G32" s="2" t="n">
        <v>0</v>
      </c>
      <c r="H32" s="2" t="n">
        <v>0</v>
      </c>
      <c r="I32" s="4" t="n">
        <v>2</v>
      </c>
      <c r="J32" s="2" t="n">
        <v>2</v>
      </c>
      <c r="K32" s="2" t="s">
        <v>20</v>
      </c>
      <c r="L32" s="4" t="n">
        <v>5</v>
      </c>
      <c r="M32" s="2" t="n">
        <v>0</v>
      </c>
      <c r="N32" s="2" t="n">
        <v>0</v>
      </c>
      <c r="O32" s="4" t="n">
        <v>3</v>
      </c>
      <c r="Q32" s="2" t="n">
        <v>41</v>
      </c>
      <c r="R32" s="0" t="s">
        <v>333</v>
      </c>
      <c r="S32" s="0" t="s">
        <v>8349</v>
      </c>
    </row>
    <row r="33" customFormat="false" ht="13.8" hidden="false" customHeight="false" outlineLevel="0" collapsed="false">
      <c r="A33" s="0" t="s">
        <v>389</v>
      </c>
      <c r="B33" s="0" t="n">
        <v>96</v>
      </c>
      <c r="C33" s="0" t="s">
        <v>8339</v>
      </c>
      <c r="D33" s="0" t="s">
        <v>43</v>
      </c>
      <c r="E33" s="0" t="s">
        <v>393</v>
      </c>
      <c r="F33" s="4" t="n">
        <v>97</v>
      </c>
      <c r="G33" s="2" t="n">
        <v>0</v>
      </c>
      <c r="H33" s="2" t="n">
        <v>0</v>
      </c>
      <c r="I33" s="4" t="n">
        <v>2</v>
      </c>
      <c r="J33" s="2" t="n">
        <v>60</v>
      </c>
      <c r="K33" s="2" t="s">
        <v>13</v>
      </c>
      <c r="L33" s="4" t="n">
        <v>1</v>
      </c>
      <c r="M33" s="2" t="n">
        <v>0</v>
      </c>
      <c r="N33" s="2" t="n">
        <v>0</v>
      </c>
      <c r="O33" s="4" t="n">
        <v>3</v>
      </c>
      <c r="P33" s="0" t="s">
        <v>42</v>
      </c>
      <c r="Q33" s="2" t="n">
        <v>42</v>
      </c>
      <c r="R33" s="0" t="s">
        <v>393</v>
      </c>
      <c r="S33" s="0" t="s">
        <v>8350</v>
      </c>
    </row>
    <row r="34" customFormat="false" ht="13.8" hidden="false" customHeight="false" outlineLevel="0" collapsed="false">
      <c r="A34" s="0" t="s">
        <v>389</v>
      </c>
      <c r="B34" s="0" t="n">
        <v>96</v>
      </c>
      <c r="C34" s="0" t="s">
        <v>8339</v>
      </c>
      <c r="D34" s="0" t="s">
        <v>44</v>
      </c>
      <c r="E34" s="0" t="s">
        <v>44</v>
      </c>
      <c r="F34" s="4" t="n">
        <v>187</v>
      </c>
      <c r="G34" s="2" t="n">
        <v>0</v>
      </c>
      <c r="H34" s="2" t="n">
        <v>0</v>
      </c>
      <c r="I34" s="4" t="n">
        <v>2</v>
      </c>
      <c r="J34" s="2" t="n">
        <v>4</v>
      </c>
      <c r="K34" s="2" t="s">
        <v>20</v>
      </c>
      <c r="L34" s="4" t="n">
        <v>5</v>
      </c>
      <c r="M34" s="2" t="n">
        <v>0</v>
      </c>
      <c r="N34" s="2" t="n">
        <v>0</v>
      </c>
      <c r="O34" s="4" t="n">
        <v>3</v>
      </c>
      <c r="Q34" s="2" t="n">
        <v>43</v>
      </c>
      <c r="R34" s="0" t="s">
        <v>44</v>
      </c>
      <c r="S34" s="0" t="s">
        <v>8351</v>
      </c>
    </row>
    <row r="35" customFormat="false" ht="13.8" hidden="false" customHeight="false" outlineLevel="0" collapsed="false">
      <c r="A35" s="0" t="s">
        <v>48</v>
      </c>
      <c r="B35" s="0" t="n">
        <v>91</v>
      </c>
      <c r="C35" s="0" t="s">
        <v>8352</v>
      </c>
      <c r="D35" s="0" t="s">
        <v>21</v>
      </c>
      <c r="E35" s="0" t="s">
        <v>485</v>
      </c>
      <c r="F35" s="4" t="n">
        <v>195</v>
      </c>
      <c r="G35" s="2" t="n">
        <v>7.5</v>
      </c>
      <c r="H35" s="2" t="s">
        <v>7</v>
      </c>
      <c r="I35" s="4" t="n">
        <v>2</v>
      </c>
      <c r="J35" s="2" t="n">
        <v>0</v>
      </c>
      <c r="K35" s="2" t="n">
        <v>0</v>
      </c>
      <c r="L35" s="4" t="n">
        <v>1</v>
      </c>
      <c r="M35" s="2" t="n">
        <v>0</v>
      </c>
      <c r="N35" s="2" t="n">
        <v>0</v>
      </c>
      <c r="O35" s="4" t="n">
        <v>3</v>
      </c>
      <c r="Q35" s="2" t="n">
        <v>46</v>
      </c>
      <c r="R35" s="0" t="s">
        <v>485</v>
      </c>
      <c r="S35" s="0" t="s">
        <v>8353</v>
      </c>
    </row>
    <row r="36" customFormat="false" ht="13.8" hidden="false" customHeight="false" outlineLevel="0" collapsed="false">
      <c r="A36" s="0" t="s">
        <v>48</v>
      </c>
      <c r="B36" s="0" t="n">
        <v>91</v>
      </c>
      <c r="C36" s="0" t="s">
        <v>8352</v>
      </c>
      <c r="D36" s="0" t="s">
        <v>8</v>
      </c>
      <c r="E36" s="0" t="s">
        <v>201</v>
      </c>
      <c r="F36" s="4" t="n">
        <v>30</v>
      </c>
      <c r="G36" s="2" t="n">
        <v>15</v>
      </c>
      <c r="H36" s="2" t="s">
        <v>7</v>
      </c>
      <c r="I36" s="4" t="n">
        <v>2</v>
      </c>
      <c r="J36" s="2" t="n">
        <v>0</v>
      </c>
      <c r="K36" s="2" t="n">
        <v>0</v>
      </c>
      <c r="L36" s="4" t="n">
        <v>1</v>
      </c>
      <c r="M36" s="2" t="n">
        <v>0</v>
      </c>
      <c r="N36" s="2" t="n">
        <v>0</v>
      </c>
      <c r="O36" s="4" t="n">
        <v>3</v>
      </c>
      <c r="Q36" s="2" t="n">
        <v>47</v>
      </c>
      <c r="R36" s="0" t="s">
        <v>201</v>
      </c>
      <c r="S36" s="0" t="s">
        <v>8354</v>
      </c>
    </row>
    <row r="37" customFormat="false" ht="13.8" hidden="false" customHeight="false" outlineLevel="0" collapsed="false">
      <c r="A37" s="0" t="s">
        <v>48</v>
      </c>
      <c r="B37" s="0" t="n">
        <v>91</v>
      </c>
      <c r="C37" s="0" t="s">
        <v>8352</v>
      </c>
      <c r="D37" s="0" t="s">
        <v>10</v>
      </c>
      <c r="E37" s="0" t="s">
        <v>130</v>
      </c>
      <c r="F37" s="4" t="n">
        <v>8</v>
      </c>
      <c r="G37" s="2" t="n">
        <v>7.5</v>
      </c>
      <c r="H37" s="2" t="s">
        <v>7</v>
      </c>
      <c r="I37" s="4" t="n">
        <v>2</v>
      </c>
      <c r="J37" s="2" t="n">
        <v>0</v>
      </c>
      <c r="K37" s="2" t="n">
        <v>0</v>
      </c>
      <c r="L37" s="4" t="n">
        <v>1</v>
      </c>
      <c r="M37" s="2" t="n">
        <v>0</v>
      </c>
      <c r="N37" s="2" t="n">
        <v>0</v>
      </c>
      <c r="O37" s="4" t="n">
        <v>3</v>
      </c>
      <c r="Q37" s="2" t="n">
        <v>48</v>
      </c>
      <c r="R37" s="0" t="s">
        <v>130</v>
      </c>
      <c r="S37" s="0" t="s">
        <v>8355</v>
      </c>
    </row>
    <row r="38" customFormat="false" ht="13.8" hidden="false" customHeight="false" outlineLevel="0" collapsed="false">
      <c r="A38" s="0" t="s">
        <v>48</v>
      </c>
      <c r="B38" s="0" t="n">
        <v>91</v>
      </c>
      <c r="C38" s="0" t="s">
        <v>8352</v>
      </c>
      <c r="D38" s="0" t="s">
        <v>11</v>
      </c>
      <c r="E38" s="0" t="s">
        <v>348</v>
      </c>
      <c r="F38" s="4" t="n">
        <v>79</v>
      </c>
      <c r="G38" s="2" t="n">
        <v>4.97959183673469</v>
      </c>
      <c r="H38" s="2" t="s">
        <v>7</v>
      </c>
      <c r="I38" s="4" t="n">
        <v>2</v>
      </c>
      <c r="J38" s="2" t="n">
        <v>0</v>
      </c>
      <c r="K38" s="2" t="n">
        <v>0</v>
      </c>
      <c r="L38" s="4" t="n">
        <v>1</v>
      </c>
      <c r="M38" s="2" t="n">
        <v>0</v>
      </c>
      <c r="N38" s="2" t="n">
        <v>0</v>
      </c>
      <c r="O38" s="4" t="n">
        <v>3</v>
      </c>
      <c r="Q38" s="2" t="n">
        <v>49</v>
      </c>
      <c r="R38" s="0" t="s">
        <v>348</v>
      </c>
      <c r="S38" s="0" t="s">
        <v>8356</v>
      </c>
    </row>
    <row r="39" customFormat="false" ht="13.8" hidden="false" customHeight="false" outlineLevel="0" collapsed="false">
      <c r="A39" s="0" t="s">
        <v>48</v>
      </c>
      <c r="B39" s="0" t="n">
        <v>91</v>
      </c>
      <c r="C39" s="0" t="s">
        <v>8352</v>
      </c>
      <c r="D39" s="0" t="s">
        <v>50</v>
      </c>
      <c r="E39" s="0" t="s">
        <v>503</v>
      </c>
      <c r="F39" s="4" t="n">
        <v>214</v>
      </c>
      <c r="G39" s="2" t="n">
        <v>0</v>
      </c>
      <c r="H39" s="2" t="n">
        <v>0</v>
      </c>
      <c r="I39" s="4" t="n">
        <v>2</v>
      </c>
      <c r="J39" s="2" t="n">
        <v>0</v>
      </c>
      <c r="K39" s="2" t="n">
        <v>0</v>
      </c>
      <c r="L39" s="4" t="n">
        <v>1</v>
      </c>
      <c r="M39" s="2" t="n">
        <v>0</v>
      </c>
      <c r="N39" s="2" t="n">
        <v>0</v>
      </c>
      <c r="O39" s="4" t="n">
        <v>3</v>
      </c>
      <c r="Q39" s="2" t="n">
        <v>50</v>
      </c>
      <c r="R39" s="0" t="s">
        <v>503</v>
      </c>
      <c r="S39" s="0" t="s">
        <v>8357</v>
      </c>
    </row>
    <row r="40" customFormat="false" ht="13.8" hidden="false" customHeight="false" outlineLevel="0" collapsed="false">
      <c r="A40" s="0" t="s">
        <v>48</v>
      </c>
      <c r="B40" s="0" t="n">
        <v>91</v>
      </c>
      <c r="C40" s="0" t="s">
        <v>8352</v>
      </c>
      <c r="D40" s="0" t="s">
        <v>51</v>
      </c>
      <c r="E40" s="0" t="s">
        <v>7685</v>
      </c>
      <c r="F40" s="4" t="n">
        <v>217</v>
      </c>
      <c r="G40" s="2" t="n">
        <v>0</v>
      </c>
      <c r="H40" s="2" t="n">
        <v>0</v>
      </c>
      <c r="I40" s="4" t="n">
        <v>2</v>
      </c>
      <c r="J40" s="2" t="n">
        <v>60</v>
      </c>
      <c r="K40" s="2" t="s">
        <v>13</v>
      </c>
      <c r="L40" s="4" t="n">
        <v>1</v>
      </c>
      <c r="M40" s="2" t="n">
        <v>0</v>
      </c>
      <c r="N40" s="2" t="n">
        <v>0</v>
      </c>
      <c r="O40" s="4" t="n">
        <v>3</v>
      </c>
      <c r="Q40" s="2" t="n">
        <v>51</v>
      </c>
      <c r="R40" s="0" t="s">
        <v>7685</v>
      </c>
      <c r="S40" s="0" t="s">
        <v>8358</v>
      </c>
    </row>
    <row r="41" customFormat="false" ht="13.8" hidden="false" customHeight="false" outlineLevel="0" collapsed="false">
      <c r="A41" s="0" t="s">
        <v>48</v>
      </c>
      <c r="B41" s="0" t="n">
        <v>91</v>
      </c>
      <c r="C41" s="0" t="s">
        <v>8352</v>
      </c>
      <c r="D41" s="0" t="s">
        <v>52</v>
      </c>
      <c r="E41" s="0" t="s">
        <v>86</v>
      </c>
      <c r="F41" s="4" t="n">
        <v>76</v>
      </c>
      <c r="G41" s="2" t="n">
        <v>0</v>
      </c>
      <c r="H41" s="2" t="n">
        <v>0</v>
      </c>
      <c r="I41" s="4" t="n">
        <v>2</v>
      </c>
      <c r="J41" s="2" t="n">
        <v>1.5</v>
      </c>
      <c r="K41" s="2" t="s">
        <v>13</v>
      </c>
      <c r="L41" s="4" t="n">
        <v>1</v>
      </c>
      <c r="M41" s="2" t="n">
        <v>0</v>
      </c>
      <c r="N41" s="2" t="n">
        <v>0</v>
      </c>
      <c r="O41" s="4" t="n">
        <v>3</v>
      </c>
      <c r="Q41" s="2" t="n">
        <v>52</v>
      </c>
      <c r="R41" s="0" t="s">
        <v>86</v>
      </c>
      <c r="S41" s="0" t="s">
        <v>8359</v>
      </c>
    </row>
    <row r="42" customFormat="false" ht="13.8" hidden="false" customHeight="false" outlineLevel="0" collapsed="false">
      <c r="A42" s="0" t="s">
        <v>48</v>
      </c>
      <c r="B42" s="0" t="n">
        <v>91</v>
      </c>
      <c r="C42" s="0" t="s">
        <v>8352</v>
      </c>
      <c r="D42" s="0" t="s">
        <v>53</v>
      </c>
      <c r="E42" s="0" t="s">
        <v>86</v>
      </c>
      <c r="F42" s="4" t="n">
        <v>76</v>
      </c>
      <c r="G42" s="2" t="n">
        <v>0</v>
      </c>
      <c r="H42" s="2" t="n">
        <v>0</v>
      </c>
      <c r="I42" s="4" t="n">
        <v>2</v>
      </c>
      <c r="J42" s="2" t="n">
        <v>1</v>
      </c>
      <c r="K42" s="2" t="s">
        <v>13</v>
      </c>
      <c r="L42" s="4" t="n">
        <v>1</v>
      </c>
      <c r="M42" s="2" t="n">
        <v>0</v>
      </c>
      <c r="N42" s="2" t="n">
        <v>0</v>
      </c>
      <c r="O42" s="4" t="n">
        <v>3</v>
      </c>
      <c r="Q42" s="2" t="n">
        <v>53</v>
      </c>
      <c r="R42" s="0" t="s">
        <v>86</v>
      </c>
      <c r="S42" s="0" t="s">
        <v>8360</v>
      </c>
    </row>
    <row r="43" customFormat="false" ht="13.8" hidden="false" customHeight="false" outlineLevel="0" collapsed="false">
      <c r="A43" s="0" t="s">
        <v>48</v>
      </c>
      <c r="B43" s="0" t="n">
        <v>91</v>
      </c>
      <c r="C43" s="0" t="s">
        <v>8352</v>
      </c>
      <c r="D43" s="0" t="s">
        <v>54</v>
      </c>
      <c r="E43" s="0" t="s">
        <v>204</v>
      </c>
      <c r="F43" s="4" t="n">
        <v>31</v>
      </c>
      <c r="G43" s="2" t="n">
        <v>0</v>
      </c>
      <c r="H43" s="2" t="n">
        <v>0</v>
      </c>
      <c r="I43" s="4" t="n">
        <v>2</v>
      </c>
      <c r="J43" s="2" t="n">
        <v>0.497959183673469</v>
      </c>
      <c r="K43" s="2" t="s">
        <v>20</v>
      </c>
      <c r="L43" s="4" t="n">
        <v>5</v>
      </c>
      <c r="M43" s="2" t="n">
        <v>0</v>
      </c>
      <c r="N43" s="2" t="n">
        <v>0</v>
      </c>
      <c r="O43" s="4" t="n">
        <v>3</v>
      </c>
      <c r="Q43" s="2" t="n">
        <v>54</v>
      </c>
      <c r="R43" s="0" t="s">
        <v>204</v>
      </c>
      <c r="S43" s="0" t="s">
        <v>8361</v>
      </c>
    </row>
    <row r="44" customFormat="false" ht="13.8" hidden="false" customHeight="false" outlineLevel="0" collapsed="false">
      <c r="A44" s="0" t="s">
        <v>48</v>
      </c>
      <c r="B44" s="0" t="n">
        <v>91</v>
      </c>
      <c r="C44" s="0" t="s">
        <v>8352</v>
      </c>
      <c r="D44" s="0" t="s">
        <v>55</v>
      </c>
      <c r="E44" s="0" t="s">
        <v>183</v>
      </c>
      <c r="F44" s="4" t="n">
        <v>24</v>
      </c>
      <c r="G44" s="2" t="n">
        <v>1</v>
      </c>
      <c r="H44" s="2" t="s">
        <v>7</v>
      </c>
      <c r="I44" s="4" t="n">
        <v>2</v>
      </c>
      <c r="J44" s="2" t="n">
        <v>0.4</v>
      </c>
      <c r="K44" s="2" t="s">
        <v>24</v>
      </c>
      <c r="L44" s="4" t="n">
        <v>6</v>
      </c>
      <c r="M44" s="2" t="n">
        <v>0</v>
      </c>
      <c r="N44" s="2" t="n">
        <v>0</v>
      </c>
      <c r="O44" s="4" t="n">
        <v>3</v>
      </c>
      <c r="Q44" s="2" t="n">
        <v>55</v>
      </c>
      <c r="R44" s="0" t="s">
        <v>183</v>
      </c>
      <c r="S44" s="0" t="s">
        <v>8362</v>
      </c>
    </row>
    <row r="45" customFormat="false" ht="13.8" hidden="false" customHeight="false" outlineLevel="0" collapsed="false">
      <c r="A45" s="0" t="s">
        <v>48</v>
      </c>
      <c r="B45" s="0" t="n">
        <v>91</v>
      </c>
      <c r="C45" s="0" t="s">
        <v>8352</v>
      </c>
      <c r="D45" s="0" t="s">
        <v>57</v>
      </c>
      <c r="E45" s="0" t="s">
        <v>222</v>
      </c>
      <c r="F45" s="4" t="n">
        <v>37</v>
      </c>
      <c r="G45" s="2" t="n">
        <v>0.5</v>
      </c>
      <c r="H45" s="2" t="s">
        <v>7</v>
      </c>
      <c r="I45" s="4" t="n">
        <v>2</v>
      </c>
      <c r="J45" s="2" t="n">
        <v>0</v>
      </c>
      <c r="K45" s="2" t="n">
        <v>0</v>
      </c>
      <c r="L45" s="4" t="n">
        <v>1</v>
      </c>
      <c r="M45" s="2" t="n">
        <v>0</v>
      </c>
      <c r="N45" s="2" t="n">
        <v>0</v>
      </c>
      <c r="O45" s="4" t="n">
        <v>3</v>
      </c>
      <c r="Q45" s="2" t="n">
        <v>56</v>
      </c>
      <c r="R45" s="0" t="s">
        <v>222</v>
      </c>
      <c r="S45" s="0" t="s">
        <v>8363</v>
      </c>
    </row>
    <row r="46" customFormat="false" ht="13.8" hidden="false" customHeight="false" outlineLevel="0" collapsed="false">
      <c r="A46" s="0" t="s">
        <v>48</v>
      </c>
      <c r="B46" s="0" t="n">
        <v>91</v>
      </c>
      <c r="C46" s="0" t="s">
        <v>8352</v>
      </c>
      <c r="D46" s="0" t="s">
        <v>32</v>
      </c>
      <c r="E46" s="0" t="s">
        <v>96</v>
      </c>
      <c r="F46" s="4" t="n">
        <v>177</v>
      </c>
      <c r="G46" s="2" t="n">
        <v>0</v>
      </c>
      <c r="H46" s="2" t="n">
        <v>0</v>
      </c>
      <c r="I46" s="4" t="n">
        <v>2</v>
      </c>
      <c r="J46" s="2" t="n">
        <v>2.98775510204082</v>
      </c>
      <c r="K46" s="2" t="s">
        <v>20</v>
      </c>
      <c r="L46" s="4" t="n">
        <v>5</v>
      </c>
      <c r="M46" s="2" t="n">
        <v>0</v>
      </c>
      <c r="N46" s="2" t="n">
        <v>0</v>
      </c>
      <c r="O46" s="4" t="n">
        <v>3</v>
      </c>
      <c r="Q46" s="2" t="n">
        <v>57</v>
      </c>
      <c r="R46" s="0" t="s">
        <v>96</v>
      </c>
      <c r="S46" s="0" t="s">
        <v>8364</v>
      </c>
    </row>
    <row r="47" customFormat="false" ht="13.8" hidden="false" customHeight="false" outlineLevel="0" collapsed="false">
      <c r="A47" s="0" t="s">
        <v>48</v>
      </c>
      <c r="B47" s="0" t="n">
        <v>91</v>
      </c>
      <c r="C47" s="0" t="s">
        <v>8352</v>
      </c>
      <c r="D47" s="0" t="s">
        <v>58</v>
      </c>
      <c r="E47" s="0" t="s">
        <v>423</v>
      </c>
      <c r="F47" s="4" t="n">
        <v>129</v>
      </c>
      <c r="G47" s="2" t="n">
        <v>0</v>
      </c>
      <c r="H47" s="2" t="n">
        <v>0</v>
      </c>
      <c r="I47" s="4" t="n">
        <v>2</v>
      </c>
      <c r="J47" s="2" t="n">
        <v>0.5</v>
      </c>
      <c r="K47" s="2" t="s">
        <v>20</v>
      </c>
      <c r="L47" s="4" t="n">
        <v>5</v>
      </c>
      <c r="M47" s="2" t="n">
        <v>0</v>
      </c>
      <c r="N47" s="2" t="n">
        <v>0</v>
      </c>
      <c r="O47" s="4" t="n">
        <v>3</v>
      </c>
      <c r="Q47" s="2" t="n">
        <v>58</v>
      </c>
      <c r="R47" s="0" t="s">
        <v>423</v>
      </c>
      <c r="S47" s="0" t="s">
        <v>8365</v>
      </c>
    </row>
    <row r="48" customFormat="false" ht="13.8" hidden="false" customHeight="false" outlineLevel="0" collapsed="false">
      <c r="A48" s="0" t="s">
        <v>378</v>
      </c>
      <c r="B48" s="0" t="n">
        <v>90</v>
      </c>
      <c r="C48" s="0" t="s">
        <v>8366</v>
      </c>
      <c r="D48" s="0" t="s">
        <v>10</v>
      </c>
      <c r="E48" s="0" t="s">
        <v>130</v>
      </c>
      <c r="F48" s="4" t="n">
        <v>8</v>
      </c>
      <c r="G48" s="2" t="n">
        <v>11.6666666666667</v>
      </c>
      <c r="H48" s="2" t="s">
        <v>7</v>
      </c>
      <c r="I48" s="4" t="n">
        <v>2</v>
      </c>
      <c r="J48" s="2" t="n">
        <v>0</v>
      </c>
      <c r="K48" s="2" t="n">
        <v>0</v>
      </c>
      <c r="L48" s="4" t="n">
        <v>1</v>
      </c>
      <c r="M48" s="2" t="n">
        <v>0</v>
      </c>
      <c r="N48" s="2" t="n">
        <v>0</v>
      </c>
      <c r="O48" s="4" t="n">
        <v>3</v>
      </c>
      <c r="P48" s="0" t="s">
        <v>62</v>
      </c>
      <c r="Q48" s="2" t="n">
        <v>62</v>
      </c>
      <c r="R48" s="0" t="s">
        <v>130</v>
      </c>
      <c r="S48" s="0" t="s">
        <v>8367</v>
      </c>
    </row>
    <row r="49" customFormat="false" ht="13.8" hidden="false" customHeight="false" outlineLevel="0" collapsed="false">
      <c r="A49" s="0" t="s">
        <v>378</v>
      </c>
      <c r="B49" s="0" t="n">
        <v>90</v>
      </c>
      <c r="C49" s="0" t="s">
        <v>8366</v>
      </c>
      <c r="D49" s="0" t="s">
        <v>63</v>
      </c>
      <c r="E49" s="0" t="s">
        <v>345</v>
      </c>
      <c r="F49" s="4" t="n">
        <v>78</v>
      </c>
      <c r="G49" s="2" t="n">
        <v>29.1666666666667</v>
      </c>
      <c r="H49" s="2" t="s">
        <v>7</v>
      </c>
      <c r="I49" s="4" t="n">
        <v>2</v>
      </c>
      <c r="J49" s="2" t="n">
        <v>35</v>
      </c>
      <c r="K49" s="2" t="s">
        <v>13</v>
      </c>
      <c r="L49" s="4" t="n">
        <v>1</v>
      </c>
      <c r="M49" s="2" t="n">
        <v>0</v>
      </c>
      <c r="N49" s="2" t="n">
        <v>0</v>
      </c>
      <c r="O49" s="4" t="n">
        <v>3</v>
      </c>
      <c r="P49" s="0" t="s">
        <v>64</v>
      </c>
      <c r="Q49" s="2" t="n">
        <v>63</v>
      </c>
      <c r="R49" s="0" t="s">
        <v>345</v>
      </c>
      <c r="S49" s="0" t="s">
        <v>8368</v>
      </c>
    </row>
    <row r="50" customFormat="false" ht="13.8" hidden="false" customHeight="false" outlineLevel="0" collapsed="false">
      <c r="A50" s="0" t="s">
        <v>378</v>
      </c>
      <c r="B50" s="0" t="n">
        <v>90</v>
      </c>
      <c r="C50" s="0" t="s">
        <v>8366</v>
      </c>
      <c r="D50" s="0" t="s">
        <v>63</v>
      </c>
      <c r="E50" s="0" t="s">
        <v>345</v>
      </c>
      <c r="F50" s="4" t="n">
        <v>78</v>
      </c>
      <c r="G50" s="2" t="n">
        <v>0</v>
      </c>
      <c r="H50" s="2" t="n">
        <v>0</v>
      </c>
      <c r="I50" s="4" t="n">
        <v>2</v>
      </c>
      <c r="J50" s="2" t="n">
        <v>11.6666666666667</v>
      </c>
      <c r="K50" s="2" t="s">
        <v>13</v>
      </c>
      <c r="L50" s="4" t="n">
        <v>1</v>
      </c>
      <c r="M50" s="2" t="n">
        <v>0</v>
      </c>
      <c r="N50" s="2" t="n">
        <v>0</v>
      </c>
      <c r="O50" s="4" t="n">
        <v>3</v>
      </c>
      <c r="P50" s="0" t="s">
        <v>65</v>
      </c>
      <c r="Q50" s="2" t="n">
        <v>64</v>
      </c>
      <c r="R50" s="0" t="s">
        <v>345</v>
      </c>
      <c r="S50" s="0" t="s">
        <v>8369</v>
      </c>
    </row>
    <row r="51" customFormat="false" ht="13.8" hidden="false" customHeight="false" outlineLevel="0" collapsed="false">
      <c r="A51" s="0" t="s">
        <v>378</v>
      </c>
      <c r="B51" s="0" t="n">
        <v>90</v>
      </c>
      <c r="C51" s="0" t="s">
        <v>8366</v>
      </c>
      <c r="D51" s="0" t="s">
        <v>66</v>
      </c>
      <c r="E51" s="0" t="s">
        <v>485</v>
      </c>
      <c r="F51" s="4" t="n">
        <v>195</v>
      </c>
      <c r="G51" s="2" t="n">
        <v>14.5833333333333</v>
      </c>
      <c r="H51" s="2" t="s">
        <v>7</v>
      </c>
      <c r="I51" s="4" t="n">
        <v>2</v>
      </c>
      <c r="J51" s="2" t="n">
        <v>0</v>
      </c>
      <c r="K51" s="2" t="n">
        <v>0</v>
      </c>
      <c r="L51" s="4" t="n">
        <v>1</v>
      </c>
      <c r="M51" s="2" t="n">
        <v>0</v>
      </c>
      <c r="N51" s="2" t="n">
        <v>0</v>
      </c>
      <c r="O51" s="4" t="n">
        <v>3</v>
      </c>
      <c r="Q51" s="2" t="n">
        <v>65</v>
      </c>
      <c r="R51" s="0" t="s">
        <v>485</v>
      </c>
      <c r="S51" s="0" t="s">
        <v>8370</v>
      </c>
    </row>
    <row r="52" customFormat="false" ht="13.8" hidden="false" customHeight="false" outlineLevel="0" collapsed="false">
      <c r="A52" s="0" t="s">
        <v>378</v>
      </c>
      <c r="B52" s="0" t="n">
        <v>90</v>
      </c>
      <c r="C52" s="0" t="s">
        <v>8366</v>
      </c>
      <c r="D52" s="0" t="s">
        <v>22</v>
      </c>
      <c r="E52" s="0" t="s">
        <v>354</v>
      </c>
      <c r="F52" s="4" t="n">
        <v>81</v>
      </c>
      <c r="G52" s="2" t="n">
        <v>0</v>
      </c>
      <c r="H52" s="2" t="n">
        <v>0</v>
      </c>
      <c r="I52" s="4" t="n">
        <v>2</v>
      </c>
      <c r="J52" s="2" t="n">
        <v>0.875</v>
      </c>
      <c r="K52" s="2" t="s">
        <v>13</v>
      </c>
      <c r="L52" s="4" t="n">
        <v>1</v>
      </c>
      <c r="M52" s="2" t="n">
        <v>0</v>
      </c>
      <c r="N52" s="2" t="n">
        <v>0</v>
      </c>
      <c r="O52" s="4" t="n">
        <v>3</v>
      </c>
      <c r="Q52" s="2" t="n">
        <v>66</v>
      </c>
      <c r="R52" s="0" t="s">
        <v>354</v>
      </c>
      <c r="S52" s="0" t="s">
        <v>8371</v>
      </c>
    </row>
    <row r="53" customFormat="false" ht="13.8" hidden="false" customHeight="false" outlineLevel="0" collapsed="false">
      <c r="A53" s="0" t="s">
        <v>378</v>
      </c>
      <c r="B53" s="0" t="n">
        <v>90</v>
      </c>
      <c r="C53" s="0" t="s">
        <v>8366</v>
      </c>
      <c r="D53" s="0" t="s">
        <v>14</v>
      </c>
      <c r="E53" s="0" t="s">
        <v>398</v>
      </c>
      <c r="F53" s="4" t="n">
        <v>102</v>
      </c>
      <c r="G53" s="2" t="n">
        <v>0</v>
      </c>
      <c r="H53" s="2" t="n">
        <v>0</v>
      </c>
      <c r="I53" s="4" t="n">
        <v>2</v>
      </c>
      <c r="J53" s="2" t="n">
        <v>0.875</v>
      </c>
      <c r="K53" s="2" t="s">
        <v>20</v>
      </c>
      <c r="L53" s="4" t="n">
        <v>5</v>
      </c>
      <c r="M53" s="2" t="n">
        <v>0</v>
      </c>
      <c r="N53" s="2" t="n">
        <v>0</v>
      </c>
      <c r="O53" s="4" t="n">
        <v>3</v>
      </c>
      <c r="Q53" s="2" t="n">
        <v>67</v>
      </c>
      <c r="R53" s="0" t="s">
        <v>398</v>
      </c>
      <c r="S53" s="0" t="s">
        <v>8372</v>
      </c>
    </row>
    <row r="54" customFormat="false" ht="13.8" hidden="false" customHeight="false" outlineLevel="0" collapsed="false">
      <c r="A54" s="0" t="s">
        <v>378</v>
      </c>
      <c r="B54" s="0" t="n">
        <v>90</v>
      </c>
      <c r="C54" s="0" t="s">
        <v>8366</v>
      </c>
      <c r="D54" s="0" t="s">
        <v>69</v>
      </c>
      <c r="E54" s="0" t="s">
        <v>386</v>
      </c>
      <c r="F54" s="4" t="n">
        <v>93</v>
      </c>
      <c r="G54" s="2" t="n">
        <v>0</v>
      </c>
      <c r="H54" s="2" t="n">
        <v>0</v>
      </c>
      <c r="I54" s="4" t="n">
        <v>2</v>
      </c>
      <c r="J54" s="2" t="n">
        <v>1.16666666666667</v>
      </c>
      <c r="K54" s="2" t="s">
        <v>20</v>
      </c>
      <c r="L54" s="4" t="n">
        <v>5</v>
      </c>
      <c r="M54" s="2" t="n">
        <v>0</v>
      </c>
      <c r="N54" s="2" t="n">
        <v>0</v>
      </c>
      <c r="O54" s="4" t="n">
        <v>3</v>
      </c>
      <c r="Q54" s="2" t="n">
        <v>68</v>
      </c>
      <c r="R54" s="0" t="s">
        <v>386</v>
      </c>
      <c r="S54" s="0" t="s">
        <v>8373</v>
      </c>
    </row>
    <row r="55" customFormat="false" ht="13.8" hidden="false" customHeight="false" outlineLevel="0" collapsed="false">
      <c r="A55" s="0" t="s">
        <v>378</v>
      </c>
      <c r="B55" s="0" t="n">
        <v>90</v>
      </c>
      <c r="C55" s="0" t="s">
        <v>8366</v>
      </c>
      <c r="D55" s="0" t="s">
        <v>18</v>
      </c>
      <c r="E55" s="0" t="s">
        <v>102</v>
      </c>
      <c r="F55" s="4" t="n">
        <v>1</v>
      </c>
      <c r="G55" s="2" t="n">
        <v>0</v>
      </c>
      <c r="H55" s="2" t="n">
        <v>0</v>
      </c>
      <c r="I55" s="4" t="n">
        <v>2</v>
      </c>
      <c r="J55" s="2" t="n">
        <v>0.4375</v>
      </c>
      <c r="K55" s="2" t="s">
        <v>13</v>
      </c>
      <c r="L55" s="4" t="n">
        <v>1</v>
      </c>
      <c r="M55" s="2" t="n">
        <v>0</v>
      </c>
      <c r="N55" s="2" t="n">
        <v>0</v>
      </c>
      <c r="O55" s="4" t="n">
        <v>3</v>
      </c>
      <c r="Q55" s="2" t="n">
        <v>69</v>
      </c>
      <c r="R55" s="0" t="s">
        <v>102</v>
      </c>
      <c r="S55" s="0" t="s">
        <v>8374</v>
      </c>
    </row>
    <row r="56" customFormat="false" ht="13.8" hidden="false" customHeight="false" outlineLevel="0" collapsed="false">
      <c r="A56" s="0" t="s">
        <v>378</v>
      </c>
      <c r="B56" s="0" t="n">
        <v>90</v>
      </c>
      <c r="C56" s="0" t="s">
        <v>8366</v>
      </c>
      <c r="D56" s="0" t="s">
        <v>25</v>
      </c>
      <c r="E56" s="0" t="s">
        <v>399</v>
      </c>
      <c r="F56" s="4" t="n">
        <v>103</v>
      </c>
      <c r="G56" s="2" t="n">
        <v>0</v>
      </c>
      <c r="H56" s="2" t="n">
        <v>0</v>
      </c>
      <c r="I56" s="4" t="n">
        <v>2</v>
      </c>
      <c r="J56" s="2" t="n">
        <v>0.875</v>
      </c>
      <c r="K56" s="2" t="s">
        <v>20</v>
      </c>
      <c r="L56" s="4" t="n">
        <v>5</v>
      </c>
      <c r="M56" s="2" t="n">
        <v>0</v>
      </c>
      <c r="N56" s="2" t="n">
        <v>0</v>
      </c>
      <c r="O56" s="4" t="n">
        <v>3</v>
      </c>
      <c r="Q56" s="2" t="n">
        <v>70</v>
      </c>
      <c r="R56" s="0" t="s">
        <v>399</v>
      </c>
      <c r="S56" s="0" t="s">
        <v>8375</v>
      </c>
    </row>
    <row r="57" customFormat="false" ht="13.8" hidden="false" customHeight="false" outlineLevel="0" collapsed="false">
      <c r="A57" s="0" t="s">
        <v>378</v>
      </c>
      <c r="B57" s="0" t="n">
        <v>90</v>
      </c>
      <c r="C57" s="0" t="s">
        <v>8366</v>
      </c>
      <c r="D57" s="0" t="s">
        <v>70</v>
      </c>
      <c r="E57" s="0" t="s">
        <v>312</v>
      </c>
      <c r="F57" s="4" t="n">
        <v>67</v>
      </c>
      <c r="G57" s="2" t="n">
        <v>0</v>
      </c>
      <c r="H57" s="2" t="n">
        <v>0</v>
      </c>
      <c r="I57" s="4" t="n">
        <v>2</v>
      </c>
      <c r="J57" s="2" t="n">
        <v>1.75</v>
      </c>
      <c r="K57" s="2" t="s">
        <v>20</v>
      </c>
      <c r="L57" s="4" t="n">
        <v>5</v>
      </c>
      <c r="M57" s="2" t="n">
        <v>0</v>
      </c>
      <c r="N57" s="2" t="n">
        <v>0</v>
      </c>
      <c r="O57" s="4" t="n">
        <v>3</v>
      </c>
      <c r="Q57" s="2" t="n">
        <v>71</v>
      </c>
      <c r="R57" s="0" t="s">
        <v>312</v>
      </c>
      <c r="S57" s="0" t="s">
        <v>8376</v>
      </c>
    </row>
    <row r="58" customFormat="false" ht="13.8" hidden="false" customHeight="false" outlineLevel="0" collapsed="false">
      <c r="A58" s="0" t="s">
        <v>378</v>
      </c>
      <c r="B58" s="0" t="n">
        <v>90</v>
      </c>
      <c r="C58" s="0" t="s">
        <v>8366</v>
      </c>
      <c r="D58" s="0" t="s">
        <v>71</v>
      </c>
      <c r="E58" s="0" t="s">
        <v>96</v>
      </c>
      <c r="F58" s="4" t="n">
        <v>177</v>
      </c>
      <c r="G58" s="2" t="n">
        <v>0</v>
      </c>
      <c r="H58" s="2" t="n">
        <v>0</v>
      </c>
      <c r="I58" s="4" t="n">
        <v>2</v>
      </c>
      <c r="J58" s="2" t="n">
        <v>1.3125</v>
      </c>
      <c r="K58" s="2" t="s">
        <v>20</v>
      </c>
      <c r="L58" s="4" t="n">
        <v>5</v>
      </c>
      <c r="M58" s="2" t="n">
        <v>0</v>
      </c>
      <c r="N58" s="2" t="n">
        <v>0</v>
      </c>
      <c r="O58" s="4" t="n">
        <v>3</v>
      </c>
      <c r="Q58" s="2" t="n">
        <v>72</v>
      </c>
      <c r="R58" s="0" t="s">
        <v>96</v>
      </c>
      <c r="S58" s="0" t="s">
        <v>8377</v>
      </c>
    </row>
    <row r="59" customFormat="false" ht="13.8" hidden="false" customHeight="false" outlineLevel="0" collapsed="false">
      <c r="A59" s="0" t="s">
        <v>378</v>
      </c>
      <c r="B59" s="0" t="n">
        <v>90</v>
      </c>
      <c r="C59" s="0" t="s">
        <v>8366</v>
      </c>
      <c r="D59" s="0" t="s">
        <v>72</v>
      </c>
      <c r="E59" s="0" t="s">
        <v>333</v>
      </c>
      <c r="F59" s="4" t="n">
        <v>74</v>
      </c>
      <c r="G59" s="2" t="n">
        <v>0</v>
      </c>
      <c r="H59" s="2" t="n">
        <v>0</v>
      </c>
      <c r="I59" s="4" t="n">
        <v>2</v>
      </c>
      <c r="J59" s="2" t="n">
        <v>1.75</v>
      </c>
      <c r="K59" s="2" t="s">
        <v>20</v>
      </c>
      <c r="L59" s="4" t="n">
        <v>5</v>
      </c>
      <c r="M59" s="2" t="n">
        <v>0</v>
      </c>
      <c r="N59" s="2" t="n">
        <v>0</v>
      </c>
      <c r="O59" s="4" t="n">
        <v>3</v>
      </c>
      <c r="Q59" s="2" t="n">
        <v>73</v>
      </c>
      <c r="R59" s="0" t="s">
        <v>333</v>
      </c>
      <c r="S59" s="0" t="s">
        <v>8378</v>
      </c>
    </row>
    <row r="60" customFormat="false" ht="13.8" hidden="false" customHeight="false" outlineLevel="0" collapsed="false">
      <c r="A60" s="0" t="s">
        <v>378</v>
      </c>
      <c r="B60" s="0" t="n">
        <v>90</v>
      </c>
      <c r="C60" s="0" t="s">
        <v>8366</v>
      </c>
      <c r="D60" s="0" t="s">
        <v>528</v>
      </c>
      <c r="E60" s="0" t="s">
        <v>412</v>
      </c>
      <c r="F60" s="4" t="n">
        <v>117</v>
      </c>
      <c r="G60" s="2" t="n">
        <v>0</v>
      </c>
      <c r="H60" s="2" t="n">
        <v>0</v>
      </c>
      <c r="I60" s="4" t="n">
        <v>2</v>
      </c>
      <c r="J60" s="2" t="n">
        <v>0.35</v>
      </c>
      <c r="K60" s="2" t="s">
        <v>13</v>
      </c>
      <c r="L60" s="4" t="n">
        <v>1</v>
      </c>
      <c r="M60" s="2" t="n">
        <v>0</v>
      </c>
      <c r="N60" s="2" t="n">
        <v>0</v>
      </c>
      <c r="O60" s="4" t="n">
        <v>3</v>
      </c>
      <c r="Q60" s="2" t="n">
        <v>74</v>
      </c>
      <c r="R60" s="0" t="s">
        <v>412</v>
      </c>
      <c r="S60" s="0" t="s">
        <v>8379</v>
      </c>
    </row>
    <row r="61" customFormat="false" ht="13.8" hidden="false" customHeight="false" outlineLevel="0" collapsed="false">
      <c r="A61" s="0" t="s">
        <v>378</v>
      </c>
      <c r="B61" s="0" t="n">
        <v>90</v>
      </c>
      <c r="C61" s="0" t="s">
        <v>8366</v>
      </c>
      <c r="D61" s="0" t="s">
        <v>74</v>
      </c>
      <c r="E61" s="0" t="s">
        <v>402</v>
      </c>
      <c r="F61" s="4" t="n">
        <v>107</v>
      </c>
      <c r="G61" s="2" t="n">
        <v>0.583333333333333</v>
      </c>
      <c r="H61" s="2" t="s">
        <v>7</v>
      </c>
      <c r="I61" s="4" t="n">
        <v>2</v>
      </c>
      <c r="J61" s="2" t="n">
        <v>0</v>
      </c>
      <c r="K61" s="2" t="n">
        <v>0</v>
      </c>
      <c r="L61" s="4" t="n">
        <v>1</v>
      </c>
      <c r="M61" s="2" t="n">
        <v>0</v>
      </c>
      <c r="N61" s="2" t="n">
        <v>0</v>
      </c>
      <c r="O61" s="4" t="n">
        <v>3</v>
      </c>
      <c r="Q61" s="2" t="n">
        <v>75</v>
      </c>
      <c r="R61" s="0" t="s">
        <v>402</v>
      </c>
      <c r="S61" s="0" t="s">
        <v>8380</v>
      </c>
    </row>
    <row r="62" customFormat="false" ht="13.8" hidden="false" customHeight="false" outlineLevel="0" collapsed="false">
      <c r="A62" s="0" t="s">
        <v>378</v>
      </c>
      <c r="B62" s="0" t="n">
        <v>90</v>
      </c>
      <c r="C62" s="0" t="s">
        <v>8366</v>
      </c>
      <c r="D62" s="0" t="s">
        <v>57</v>
      </c>
      <c r="E62" s="0" t="s">
        <v>222</v>
      </c>
      <c r="F62" s="4" t="n">
        <v>37</v>
      </c>
      <c r="G62" s="2" t="n">
        <v>0.425</v>
      </c>
      <c r="H62" s="2" t="s">
        <v>7</v>
      </c>
      <c r="I62" s="4" t="n">
        <v>2</v>
      </c>
      <c r="J62" s="2" t="n">
        <v>0.583333333333333</v>
      </c>
      <c r="K62" s="2" t="s">
        <v>13</v>
      </c>
      <c r="L62" s="4" t="n">
        <v>1</v>
      </c>
      <c r="M62" s="2" t="n">
        <v>0</v>
      </c>
      <c r="N62" s="2" t="n">
        <v>0</v>
      </c>
      <c r="O62" s="4" t="n">
        <v>3</v>
      </c>
      <c r="Q62" s="2" t="n">
        <v>76</v>
      </c>
      <c r="R62" s="0" t="s">
        <v>222</v>
      </c>
      <c r="S62" s="0" t="s">
        <v>8381</v>
      </c>
    </row>
    <row r="63" customFormat="false" ht="13.8" hidden="false" customHeight="false" outlineLevel="0" collapsed="false">
      <c r="A63" s="0" t="s">
        <v>378</v>
      </c>
      <c r="B63" s="0" t="n">
        <v>90</v>
      </c>
      <c r="C63" s="0" t="s">
        <v>8366</v>
      </c>
      <c r="D63" s="0" t="s">
        <v>75</v>
      </c>
      <c r="E63" s="0" t="s">
        <v>309</v>
      </c>
      <c r="F63" s="4" t="n">
        <v>66</v>
      </c>
      <c r="G63" s="2" t="n">
        <v>0</v>
      </c>
      <c r="H63" s="2" t="n">
        <v>0</v>
      </c>
      <c r="I63" s="4" t="n">
        <v>2</v>
      </c>
      <c r="J63" s="2" t="n">
        <v>0.583333333333333</v>
      </c>
      <c r="K63" s="2" t="s">
        <v>13</v>
      </c>
      <c r="L63" s="4" t="n">
        <v>1</v>
      </c>
      <c r="M63" s="2" t="n">
        <v>0</v>
      </c>
      <c r="N63" s="2" t="n">
        <v>0</v>
      </c>
      <c r="O63" s="4" t="n">
        <v>3</v>
      </c>
      <c r="Q63" s="2" t="n">
        <v>77</v>
      </c>
      <c r="R63" s="0" t="s">
        <v>309</v>
      </c>
      <c r="S63" s="0" t="s">
        <v>8382</v>
      </c>
    </row>
    <row r="64" customFormat="false" ht="13.8" hidden="false" customHeight="false" outlineLevel="0" collapsed="false">
      <c r="A64" s="0" t="s">
        <v>378</v>
      </c>
      <c r="B64" s="0" t="n">
        <v>90</v>
      </c>
      <c r="C64" s="0" t="s">
        <v>8366</v>
      </c>
      <c r="D64" s="0" t="s">
        <v>77</v>
      </c>
      <c r="E64" s="0" t="s">
        <v>360</v>
      </c>
      <c r="F64" s="4" t="n">
        <v>83</v>
      </c>
      <c r="G64" s="2" t="n">
        <v>0</v>
      </c>
      <c r="H64" s="2" t="s">
        <v>7</v>
      </c>
      <c r="I64" s="4" t="n">
        <v>2</v>
      </c>
      <c r="J64" s="2" t="n">
        <v>0</v>
      </c>
      <c r="K64" s="2" t="n">
        <v>0</v>
      </c>
      <c r="L64" s="4" t="n">
        <v>1</v>
      </c>
      <c r="M64" s="2" t="n">
        <v>0</v>
      </c>
      <c r="N64" s="2" t="n">
        <v>0</v>
      </c>
      <c r="O64" s="4" t="n">
        <v>3</v>
      </c>
      <c r="Q64" s="2" t="n">
        <v>78</v>
      </c>
      <c r="R64" s="0" t="s">
        <v>360</v>
      </c>
      <c r="S64" s="0" t="s">
        <v>8383</v>
      </c>
    </row>
    <row r="65" customFormat="false" ht="13.8" hidden="false" customHeight="false" outlineLevel="0" collapsed="false">
      <c r="A65" s="0" t="s">
        <v>78</v>
      </c>
      <c r="B65" s="0" t="n">
        <v>92</v>
      </c>
      <c r="C65" s="0" t="s">
        <v>8384</v>
      </c>
      <c r="D65" s="0" t="s">
        <v>80</v>
      </c>
      <c r="E65" s="0" t="s">
        <v>474</v>
      </c>
      <c r="F65" s="4" t="n">
        <v>183</v>
      </c>
      <c r="G65" s="2" t="n">
        <v>8</v>
      </c>
      <c r="H65" s="2" t="s">
        <v>7</v>
      </c>
      <c r="I65" s="4" t="n">
        <v>2</v>
      </c>
      <c r="J65" s="2" t="n">
        <v>0</v>
      </c>
      <c r="K65" s="2" t="n">
        <v>0</v>
      </c>
      <c r="L65" s="4" t="n">
        <v>1</v>
      </c>
      <c r="M65" s="2" t="n">
        <v>0</v>
      </c>
      <c r="N65" s="2" t="n">
        <v>0</v>
      </c>
      <c r="O65" s="4" t="n">
        <v>3</v>
      </c>
      <c r="Q65" s="2" t="n">
        <v>82</v>
      </c>
      <c r="R65" s="0" t="s">
        <v>474</v>
      </c>
      <c r="S65" s="0" t="s">
        <v>8385</v>
      </c>
    </row>
    <row r="66" customFormat="false" ht="13.8" hidden="false" customHeight="false" outlineLevel="0" collapsed="false">
      <c r="A66" s="0" t="s">
        <v>78</v>
      </c>
      <c r="B66" s="0" t="n">
        <v>92</v>
      </c>
      <c r="C66" s="0" t="s">
        <v>8384</v>
      </c>
      <c r="D66" s="0" t="s">
        <v>81</v>
      </c>
      <c r="E66" s="0" t="s">
        <v>406</v>
      </c>
      <c r="F66" s="4" t="n">
        <v>111</v>
      </c>
      <c r="G66" s="2" t="n">
        <v>10</v>
      </c>
      <c r="H66" s="2" t="s">
        <v>7</v>
      </c>
      <c r="I66" s="4" t="n">
        <v>2</v>
      </c>
      <c r="J66" s="2" t="n">
        <v>0</v>
      </c>
      <c r="K66" s="2" t="n">
        <v>0</v>
      </c>
      <c r="L66" s="4" t="n">
        <v>1</v>
      </c>
      <c r="M66" s="2" t="n">
        <v>0</v>
      </c>
      <c r="N66" s="2" t="n">
        <v>0</v>
      </c>
      <c r="O66" s="4" t="n">
        <v>3</v>
      </c>
      <c r="Q66" s="2" t="n">
        <v>83</v>
      </c>
      <c r="R66" s="0" t="s">
        <v>406</v>
      </c>
      <c r="S66" s="0" t="s">
        <v>8386</v>
      </c>
    </row>
    <row r="67" customFormat="false" ht="13.8" hidden="false" customHeight="false" outlineLevel="0" collapsed="false">
      <c r="A67" s="0" t="s">
        <v>78</v>
      </c>
      <c r="B67" s="0" t="n">
        <v>92</v>
      </c>
      <c r="C67" s="0" t="s">
        <v>8384</v>
      </c>
      <c r="D67" s="0" t="s">
        <v>82</v>
      </c>
      <c r="E67" s="0" t="s">
        <v>485</v>
      </c>
      <c r="F67" s="4" t="n">
        <v>195</v>
      </c>
      <c r="G67" s="2" t="n">
        <v>10</v>
      </c>
      <c r="H67" s="2" t="s">
        <v>7</v>
      </c>
      <c r="I67" s="4" t="n">
        <v>2</v>
      </c>
      <c r="J67" s="2" t="n">
        <v>0</v>
      </c>
      <c r="K67" s="2" t="n">
        <v>0</v>
      </c>
      <c r="L67" s="4" t="n">
        <v>1</v>
      </c>
      <c r="M67" s="2" t="n">
        <v>0</v>
      </c>
      <c r="N67" s="2" t="n">
        <v>0</v>
      </c>
      <c r="O67" s="4" t="n">
        <v>3</v>
      </c>
      <c r="Q67" s="2" t="n">
        <v>84</v>
      </c>
      <c r="R67" s="0" t="s">
        <v>485</v>
      </c>
      <c r="S67" s="0" t="s">
        <v>8387</v>
      </c>
    </row>
    <row r="68" customFormat="false" ht="13.8" hidden="false" customHeight="false" outlineLevel="0" collapsed="false">
      <c r="A68" s="0" t="s">
        <v>78</v>
      </c>
      <c r="B68" s="0" t="n">
        <v>92</v>
      </c>
      <c r="C68" s="0" t="s">
        <v>8384</v>
      </c>
      <c r="D68" s="0" t="s">
        <v>83</v>
      </c>
      <c r="E68" s="0" t="s">
        <v>386</v>
      </c>
      <c r="F68" s="4" t="n">
        <v>93</v>
      </c>
      <c r="G68" s="2" t="n">
        <v>0</v>
      </c>
      <c r="H68" s="2" t="n">
        <v>0</v>
      </c>
      <c r="I68" s="4" t="n">
        <v>2</v>
      </c>
      <c r="J68" s="2" t="n">
        <v>3</v>
      </c>
      <c r="K68" s="2" t="s">
        <v>20</v>
      </c>
      <c r="L68" s="4" t="n">
        <v>5</v>
      </c>
      <c r="M68" s="2" t="n">
        <v>0</v>
      </c>
      <c r="N68" s="2" t="n">
        <v>0</v>
      </c>
      <c r="O68" s="4" t="n">
        <v>3</v>
      </c>
      <c r="Q68" s="2" t="n">
        <v>85</v>
      </c>
      <c r="R68" s="0" t="s">
        <v>386</v>
      </c>
      <c r="S68" s="0" t="s">
        <v>8388</v>
      </c>
    </row>
    <row r="69" customFormat="false" ht="13.8" hidden="false" customHeight="false" outlineLevel="0" collapsed="false">
      <c r="A69" s="0" t="s">
        <v>78</v>
      </c>
      <c r="B69" s="0" t="n">
        <v>92</v>
      </c>
      <c r="C69" s="0" t="s">
        <v>8384</v>
      </c>
      <c r="D69" s="0" t="s">
        <v>32</v>
      </c>
      <c r="E69" s="0" t="s">
        <v>96</v>
      </c>
      <c r="F69" s="4" t="n">
        <v>177</v>
      </c>
      <c r="G69" s="2" t="n">
        <v>0</v>
      </c>
      <c r="H69" s="2" t="n">
        <v>0</v>
      </c>
      <c r="I69" s="4" t="n">
        <v>2</v>
      </c>
      <c r="J69" s="2" t="n">
        <v>2</v>
      </c>
      <c r="K69" s="2" t="s">
        <v>20</v>
      </c>
      <c r="L69" s="4" t="n">
        <v>5</v>
      </c>
      <c r="M69" s="2" t="n">
        <v>0</v>
      </c>
      <c r="N69" s="2" t="n">
        <v>0</v>
      </c>
      <c r="O69" s="4" t="n">
        <v>3</v>
      </c>
      <c r="Q69" s="2" t="n">
        <v>86</v>
      </c>
      <c r="R69" s="0" t="s">
        <v>96</v>
      </c>
      <c r="S69" s="0" t="s">
        <v>8389</v>
      </c>
    </row>
    <row r="70" customFormat="false" ht="13.8" hidden="false" customHeight="false" outlineLevel="0" collapsed="false">
      <c r="A70" s="0" t="s">
        <v>78</v>
      </c>
      <c r="B70" s="0" t="n">
        <v>92</v>
      </c>
      <c r="C70" s="0" t="s">
        <v>8384</v>
      </c>
      <c r="D70" s="0" t="s">
        <v>23</v>
      </c>
      <c r="E70" s="0" t="s">
        <v>309</v>
      </c>
      <c r="F70" s="4" t="n">
        <v>66</v>
      </c>
      <c r="G70" s="2" t="n">
        <v>0</v>
      </c>
      <c r="H70" s="2" t="n">
        <v>0</v>
      </c>
      <c r="I70" s="4" t="n">
        <v>2</v>
      </c>
      <c r="J70" s="2" t="n">
        <v>2</v>
      </c>
      <c r="K70" s="2" t="s">
        <v>13</v>
      </c>
      <c r="L70" s="4" t="n">
        <v>1</v>
      </c>
      <c r="M70" s="2" t="n">
        <v>0</v>
      </c>
      <c r="N70" s="2" t="n">
        <v>0</v>
      </c>
      <c r="O70" s="4" t="n">
        <v>3</v>
      </c>
      <c r="Q70" s="2" t="n">
        <v>87</v>
      </c>
      <c r="R70" s="0" t="s">
        <v>309</v>
      </c>
      <c r="S70" s="0" t="s">
        <v>8390</v>
      </c>
    </row>
    <row r="71" customFormat="false" ht="13.8" hidden="false" customHeight="false" outlineLevel="0" collapsed="false">
      <c r="A71" s="0" t="s">
        <v>78</v>
      </c>
      <c r="B71" s="0" t="n">
        <v>92</v>
      </c>
      <c r="C71" s="0" t="s">
        <v>8384</v>
      </c>
      <c r="D71" s="0" t="s">
        <v>85</v>
      </c>
      <c r="E71" s="0" t="s">
        <v>505</v>
      </c>
      <c r="F71" s="4" t="n">
        <v>218</v>
      </c>
      <c r="G71" s="2" t="n">
        <v>2.5</v>
      </c>
      <c r="H71" s="2" t="s">
        <v>7</v>
      </c>
      <c r="I71" s="4" t="n">
        <v>2</v>
      </c>
      <c r="J71" s="2" t="n">
        <v>0</v>
      </c>
      <c r="K71" s="2" t="n">
        <v>0</v>
      </c>
      <c r="L71" s="4" t="n">
        <v>1</v>
      </c>
      <c r="M71" s="2" t="n">
        <v>0</v>
      </c>
      <c r="N71" s="2" t="n">
        <v>0</v>
      </c>
      <c r="O71" s="4" t="n">
        <v>3</v>
      </c>
      <c r="Q71" s="2" t="n">
        <v>88</v>
      </c>
      <c r="R71" s="0" t="s">
        <v>505</v>
      </c>
      <c r="S71" s="0" t="s">
        <v>8391</v>
      </c>
    </row>
    <row r="72" customFormat="false" ht="13.8" hidden="false" customHeight="false" outlineLevel="0" collapsed="false">
      <c r="A72" s="0" t="s">
        <v>78</v>
      </c>
      <c r="B72" s="0" t="n">
        <v>92</v>
      </c>
      <c r="C72" s="0" t="s">
        <v>8384</v>
      </c>
      <c r="D72" s="0" t="s">
        <v>86</v>
      </c>
      <c r="E72" s="0" t="s">
        <v>339</v>
      </c>
      <c r="F72" s="4" t="n">
        <v>76</v>
      </c>
      <c r="G72" s="2" t="n">
        <v>0</v>
      </c>
      <c r="H72" s="2" t="n">
        <v>0</v>
      </c>
      <c r="I72" s="4" t="n">
        <v>2</v>
      </c>
      <c r="J72" s="2" t="n">
        <v>1</v>
      </c>
      <c r="K72" s="2" t="s">
        <v>13</v>
      </c>
      <c r="L72" s="4" t="n">
        <v>1</v>
      </c>
      <c r="M72" s="2" t="n">
        <v>0</v>
      </c>
      <c r="N72" s="2" t="n">
        <v>0</v>
      </c>
      <c r="O72" s="4" t="n">
        <v>3</v>
      </c>
      <c r="Q72" s="2" t="n">
        <v>89</v>
      </c>
      <c r="R72" s="0" t="s">
        <v>339</v>
      </c>
      <c r="S72" s="0" t="s">
        <v>8392</v>
      </c>
    </row>
    <row r="73" customFormat="false" ht="13.8" hidden="false" customHeight="false" outlineLevel="0" collapsed="false">
      <c r="A73" s="0" t="s">
        <v>78</v>
      </c>
      <c r="B73" s="0" t="n">
        <v>92</v>
      </c>
      <c r="C73" s="0" t="s">
        <v>8384</v>
      </c>
      <c r="D73" s="0" t="s">
        <v>88</v>
      </c>
      <c r="E73" s="0" t="s">
        <v>130</v>
      </c>
      <c r="F73" s="4" t="n">
        <v>8</v>
      </c>
      <c r="G73" s="2" t="n">
        <v>5</v>
      </c>
      <c r="H73" s="2" t="s">
        <v>7</v>
      </c>
      <c r="I73" s="4" t="n">
        <v>2</v>
      </c>
      <c r="J73" s="2" t="n">
        <v>0</v>
      </c>
      <c r="K73" s="2" t="n">
        <v>0</v>
      </c>
      <c r="L73" s="4" t="n">
        <v>1</v>
      </c>
      <c r="M73" s="2" t="n">
        <v>0</v>
      </c>
      <c r="N73" s="2" t="n">
        <v>0</v>
      </c>
      <c r="O73" s="4" t="n">
        <v>3</v>
      </c>
      <c r="Q73" s="2" t="n">
        <v>90</v>
      </c>
      <c r="R73" s="0" t="s">
        <v>130</v>
      </c>
      <c r="S73" s="0" t="s">
        <v>8393</v>
      </c>
    </row>
    <row r="74" customFormat="false" ht="13.8" hidden="false" customHeight="false" outlineLevel="0" collapsed="false">
      <c r="A74" s="0" t="s">
        <v>78</v>
      </c>
      <c r="B74" s="0" t="n">
        <v>92</v>
      </c>
      <c r="C74" s="0" t="s">
        <v>8384</v>
      </c>
      <c r="D74" s="0" t="s">
        <v>8394</v>
      </c>
      <c r="E74" s="0" t="s">
        <v>506</v>
      </c>
      <c r="F74" s="4" t="n">
        <v>219</v>
      </c>
      <c r="G74" s="2" t="n">
        <v>0.5</v>
      </c>
      <c r="H74" s="2" t="s">
        <v>7</v>
      </c>
      <c r="I74" s="4" t="n">
        <v>2</v>
      </c>
      <c r="J74" s="2" t="n">
        <v>0</v>
      </c>
      <c r="K74" s="2" t="n">
        <v>0</v>
      </c>
      <c r="L74" s="4" t="n">
        <v>1</v>
      </c>
      <c r="M74" s="2" t="n">
        <v>0</v>
      </c>
      <c r="N74" s="2" t="n">
        <v>0</v>
      </c>
      <c r="O74" s="4" t="n">
        <v>3</v>
      </c>
      <c r="Q74" s="2" t="n">
        <v>93</v>
      </c>
      <c r="R74" s="0" t="s">
        <v>506</v>
      </c>
      <c r="S74" s="0" t="s">
        <v>8395</v>
      </c>
    </row>
    <row r="75" customFormat="false" ht="13.8" hidden="false" customHeight="false" outlineLevel="0" collapsed="false">
      <c r="A75" s="0" t="s">
        <v>91</v>
      </c>
      <c r="B75" s="0" t="n">
        <v>93</v>
      </c>
      <c r="C75" s="0" t="s">
        <v>8396</v>
      </c>
      <c r="D75" s="0" t="s">
        <v>92</v>
      </c>
      <c r="E75" s="0" t="s">
        <v>360</v>
      </c>
      <c r="F75" s="4" t="n">
        <v>83</v>
      </c>
      <c r="G75" s="2" t="n">
        <v>0</v>
      </c>
      <c r="H75" s="2" t="s">
        <v>7</v>
      </c>
      <c r="I75" s="4" t="n">
        <v>2</v>
      </c>
      <c r="J75" s="2" t="n">
        <v>0</v>
      </c>
      <c r="K75" s="2" t="n">
        <v>0</v>
      </c>
      <c r="L75" s="4" t="n">
        <v>1</v>
      </c>
      <c r="M75" s="2" t="n">
        <v>0</v>
      </c>
      <c r="N75" s="2" t="n">
        <v>0</v>
      </c>
      <c r="O75" s="4" t="n">
        <v>3</v>
      </c>
      <c r="Q75" s="2" t="n">
        <v>95</v>
      </c>
      <c r="R75" s="0" t="s">
        <v>360</v>
      </c>
      <c r="S75" s="0" t="s">
        <v>8397</v>
      </c>
    </row>
    <row r="76" customFormat="false" ht="13.8" hidden="false" customHeight="false" outlineLevel="0" collapsed="false">
      <c r="A76" s="0" t="s">
        <v>91</v>
      </c>
      <c r="B76" s="0" t="n">
        <v>93</v>
      </c>
      <c r="C76" s="0" t="s">
        <v>8396</v>
      </c>
      <c r="D76" s="0" t="s">
        <v>93</v>
      </c>
      <c r="E76" s="0" t="s">
        <v>507</v>
      </c>
      <c r="F76" s="4" t="n">
        <v>220</v>
      </c>
      <c r="G76" s="2" t="n">
        <v>4</v>
      </c>
      <c r="H76" s="2" t="s">
        <v>7</v>
      </c>
      <c r="I76" s="4" t="n">
        <v>2</v>
      </c>
      <c r="J76" s="2" t="n">
        <v>0</v>
      </c>
      <c r="K76" s="2" t="n">
        <v>0</v>
      </c>
      <c r="L76" s="4" t="n">
        <v>1</v>
      </c>
      <c r="M76" s="2" t="n">
        <v>0</v>
      </c>
      <c r="N76" s="2" t="n">
        <v>0</v>
      </c>
      <c r="O76" s="4" t="n">
        <v>3</v>
      </c>
      <c r="Q76" s="2" t="n">
        <v>96</v>
      </c>
      <c r="R76" s="0" t="s">
        <v>507</v>
      </c>
      <c r="S76" s="0" t="s">
        <v>8398</v>
      </c>
    </row>
    <row r="77" customFormat="false" ht="13.8" hidden="false" customHeight="false" outlineLevel="0" collapsed="false">
      <c r="A77" s="0" t="s">
        <v>91</v>
      </c>
      <c r="B77" s="0" t="n">
        <v>93</v>
      </c>
      <c r="C77" s="0" t="s">
        <v>8396</v>
      </c>
      <c r="D77" s="0" t="s">
        <v>534</v>
      </c>
      <c r="E77" s="0" t="s">
        <v>204</v>
      </c>
      <c r="F77" s="4" t="n">
        <v>31</v>
      </c>
      <c r="G77" s="2" t="n">
        <v>0</v>
      </c>
      <c r="H77" s="2" t="n">
        <v>0</v>
      </c>
      <c r="I77" s="4" t="n">
        <v>2</v>
      </c>
      <c r="J77" s="2" t="n">
        <v>0.5</v>
      </c>
      <c r="K77" s="2" t="s">
        <v>20</v>
      </c>
      <c r="L77" s="4" t="n">
        <v>5</v>
      </c>
      <c r="M77" s="2" t="n">
        <v>0</v>
      </c>
      <c r="N77" s="2" t="n">
        <v>0</v>
      </c>
      <c r="O77" s="4" t="n">
        <v>3</v>
      </c>
      <c r="Q77" s="2" t="n">
        <v>97</v>
      </c>
      <c r="R77" s="0" t="s">
        <v>204</v>
      </c>
      <c r="S77" s="0" t="s">
        <v>8399</v>
      </c>
    </row>
    <row r="78" customFormat="false" ht="13.8" hidden="false" customHeight="false" outlineLevel="0" collapsed="false">
      <c r="A78" s="0" t="s">
        <v>91</v>
      </c>
      <c r="B78" s="0" t="n">
        <v>93</v>
      </c>
      <c r="C78" s="0" t="s">
        <v>8396</v>
      </c>
      <c r="D78" s="0" t="s">
        <v>535</v>
      </c>
      <c r="E78" s="0" t="s">
        <v>207</v>
      </c>
      <c r="F78" s="4" t="n">
        <v>32</v>
      </c>
      <c r="G78" s="2" t="n">
        <v>0</v>
      </c>
      <c r="H78" s="2" t="n">
        <v>0</v>
      </c>
      <c r="I78" s="4" t="n">
        <v>2</v>
      </c>
      <c r="J78" s="2" t="n">
        <v>0.5</v>
      </c>
      <c r="K78" s="2" t="s">
        <v>20</v>
      </c>
      <c r="L78" s="4" t="n">
        <v>5</v>
      </c>
      <c r="M78" s="2" t="n">
        <v>0</v>
      </c>
      <c r="N78" s="2" t="n">
        <v>0</v>
      </c>
      <c r="O78" s="4" t="n">
        <v>3</v>
      </c>
      <c r="Q78" s="2" t="n">
        <v>98</v>
      </c>
      <c r="R78" s="0" t="s">
        <v>207</v>
      </c>
      <c r="S78" s="0" t="s">
        <v>8400</v>
      </c>
    </row>
    <row r="79" customFormat="false" ht="13.8" hidden="false" customHeight="false" outlineLevel="0" collapsed="false">
      <c r="A79" s="0" t="s">
        <v>91</v>
      </c>
      <c r="B79" s="0" t="n">
        <v>93</v>
      </c>
      <c r="C79" s="0" t="s">
        <v>8396</v>
      </c>
      <c r="D79" s="0" t="s">
        <v>96</v>
      </c>
      <c r="E79" s="0" t="s">
        <v>96</v>
      </c>
      <c r="F79" s="4" t="n">
        <v>177</v>
      </c>
      <c r="G79" s="2" t="n">
        <v>0</v>
      </c>
      <c r="H79" s="2" t="n">
        <v>0</v>
      </c>
      <c r="I79" s="4" t="n">
        <v>2</v>
      </c>
      <c r="J79" s="2" t="n">
        <v>0.5</v>
      </c>
      <c r="K79" s="2" t="s">
        <v>20</v>
      </c>
      <c r="L79" s="4" t="n">
        <v>5</v>
      </c>
      <c r="M79" s="2" t="n">
        <v>0</v>
      </c>
      <c r="N79" s="2" t="n">
        <v>0</v>
      </c>
      <c r="O79" s="4" t="n">
        <v>3</v>
      </c>
      <c r="Q79" s="2" t="n">
        <v>99</v>
      </c>
      <c r="R79" s="0" t="s">
        <v>96</v>
      </c>
      <c r="S79" s="0" t="s">
        <v>8401</v>
      </c>
    </row>
    <row r="80" customFormat="false" ht="13.8" hidden="false" customHeight="false" outlineLevel="0" collapsed="false">
      <c r="A80" s="0" t="s">
        <v>328</v>
      </c>
      <c r="B80" s="0" t="n">
        <v>73</v>
      </c>
      <c r="C80" s="0" t="s">
        <v>8402</v>
      </c>
      <c r="D80" s="0" t="s">
        <v>536</v>
      </c>
      <c r="E80" s="0" t="s">
        <v>130</v>
      </c>
      <c r="F80" s="4" t="n">
        <v>8</v>
      </c>
      <c r="G80" s="2" t="n">
        <v>32</v>
      </c>
      <c r="H80" s="2" t="s">
        <v>7</v>
      </c>
      <c r="I80" s="4" t="n">
        <v>2</v>
      </c>
      <c r="J80" s="2" t="n">
        <v>0</v>
      </c>
      <c r="K80" s="2" t="n">
        <v>0</v>
      </c>
      <c r="L80" s="4" t="n">
        <v>1</v>
      </c>
      <c r="M80" s="2" t="n">
        <v>0</v>
      </c>
      <c r="N80" s="2" t="n">
        <v>0</v>
      </c>
      <c r="O80" s="4" t="n">
        <v>3</v>
      </c>
      <c r="P80" s="0" t="s">
        <v>537</v>
      </c>
      <c r="Q80" s="2" t="n">
        <v>103</v>
      </c>
      <c r="R80" s="0" t="s">
        <v>130</v>
      </c>
      <c r="S80" s="0" t="s">
        <v>8403</v>
      </c>
    </row>
    <row r="81" customFormat="false" ht="13.8" hidden="false" customHeight="false" outlineLevel="0" collapsed="false">
      <c r="A81" s="0" t="s">
        <v>328</v>
      </c>
      <c r="B81" s="0" t="n">
        <v>73</v>
      </c>
      <c r="C81" s="0" t="s">
        <v>8402</v>
      </c>
      <c r="D81" s="0" t="s">
        <v>39</v>
      </c>
      <c r="E81" s="0" t="s">
        <v>228</v>
      </c>
      <c r="F81" s="4" t="n">
        <v>39</v>
      </c>
      <c r="G81" s="2" t="n">
        <v>3</v>
      </c>
      <c r="H81" s="2" t="s">
        <v>7</v>
      </c>
      <c r="I81" s="4" t="n">
        <v>2</v>
      </c>
      <c r="J81" s="2" t="n">
        <v>0</v>
      </c>
      <c r="K81" s="2" t="n">
        <v>0</v>
      </c>
      <c r="L81" s="4" t="n">
        <v>1</v>
      </c>
      <c r="M81" s="2" t="n">
        <v>0</v>
      </c>
      <c r="N81" s="2" t="n">
        <v>0</v>
      </c>
      <c r="O81" s="4" t="n">
        <v>3</v>
      </c>
      <c r="P81" s="0" t="s">
        <v>538</v>
      </c>
      <c r="Q81" s="2" t="n">
        <v>104</v>
      </c>
      <c r="R81" s="0" t="s">
        <v>228</v>
      </c>
      <c r="S81" s="0" t="s">
        <v>8404</v>
      </c>
    </row>
    <row r="82" customFormat="false" ht="13.8" hidden="false" customHeight="false" outlineLevel="0" collapsed="false">
      <c r="A82" s="0" t="s">
        <v>328</v>
      </c>
      <c r="B82" s="0" t="n">
        <v>73</v>
      </c>
      <c r="C82" s="0" t="s">
        <v>8402</v>
      </c>
      <c r="D82" s="0" t="s">
        <v>40</v>
      </c>
      <c r="E82" s="0" t="s">
        <v>237</v>
      </c>
      <c r="F82" s="4" t="n">
        <v>42</v>
      </c>
      <c r="G82" s="2" t="n">
        <v>1.5</v>
      </c>
      <c r="H82" s="2" t="s">
        <v>7</v>
      </c>
      <c r="I82" s="4" t="n">
        <v>2</v>
      </c>
      <c r="J82" s="2" t="n">
        <v>0</v>
      </c>
      <c r="K82" s="2" t="n">
        <v>0</v>
      </c>
      <c r="L82" s="4" t="n">
        <v>1</v>
      </c>
      <c r="M82" s="2" t="n">
        <v>0</v>
      </c>
      <c r="N82" s="2" t="n">
        <v>0</v>
      </c>
      <c r="O82" s="4" t="n">
        <v>3</v>
      </c>
      <c r="P82" s="0" t="s">
        <v>538</v>
      </c>
      <c r="Q82" s="2" t="n">
        <v>105</v>
      </c>
      <c r="R82" s="0" t="s">
        <v>237</v>
      </c>
      <c r="S82" s="0" t="s">
        <v>8405</v>
      </c>
    </row>
    <row r="83" customFormat="false" ht="13.8" hidden="false" customHeight="false" outlineLevel="0" collapsed="false">
      <c r="A83" s="0" t="s">
        <v>328</v>
      </c>
      <c r="B83" s="0" t="n">
        <v>73</v>
      </c>
      <c r="C83" s="0" t="s">
        <v>8402</v>
      </c>
      <c r="D83" s="0" t="s">
        <v>539</v>
      </c>
      <c r="E83" s="0" t="s">
        <v>273</v>
      </c>
      <c r="F83" s="4" t="n">
        <v>54</v>
      </c>
      <c r="G83" s="2" t="n">
        <v>0</v>
      </c>
      <c r="H83" s="2" t="n">
        <v>0</v>
      </c>
      <c r="I83" s="4" t="n">
        <v>2</v>
      </c>
      <c r="J83" s="2" t="n">
        <v>0</v>
      </c>
      <c r="K83" s="2" t="n">
        <v>0</v>
      </c>
      <c r="L83" s="4" t="n">
        <v>1</v>
      </c>
      <c r="M83" s="2" t="n">
        <v>16</v>
      </c>
      <c r="N83" s="2" t="s">
        <v>107</v>
      </c>
      <c r="O83" s="4" t="n">
        <v>3</v>
      </c>
      <c r="P83" s="0" t="s">
        <v>540</v>
      </c>
      <c r="Q83" s="2" t="n">
        <v>106</v>
      </c>
      <c r="R83" s="0" t="s">
        <v>273</v>
      </c>
      <c r="S83" s="0" t="s">
        <v>8406</v>
      </c>
    </row>
    <row r="84" customFormat="false" ht="13.8" hidden="false" customHeight="false" outlineLevel="0" collapsed="false">
      <c r="A84" s="0" t="s">
        <v>328</v>
      </c>
      <c r="B84" s="0" t="n">
        <v>73</v>
      </c>
      <c r="C84" s="0" t="s">
        <v>8402</v>
      </c>
      <c r="D84" s="0" t="s">
        <v>541</v>
      </c>
      <c r="E84" s="0" t="s">
        <v>394</v>
      </c>
      <c r="F84" s="4" t="n">
        <v>98</v>
      </c>
      <c r="G84" s="2" t="n">
        <v>0.75</v>
      </c>
      <c r="H84" s="2" t="s">
        <v>7</v>
      </c>
      <c r="I84" s="4" t="n">
        <v>2</v>
      </c>
      <c r="J84" s="2" t="n">
        <v>0</v>
      </c>
      <c r="K84" s="2" t="n">
        <v>0</v>
      </c>
      <c r="L84" s="4" t="n">
        <v>1</v>
      </c>
      <c r="M84" s="2" t="n">
        <v>0</v>
      </c>
      <c r="N84" s="2" t="n">
        <v>0</v>
      </c>
      <c r="O84" s="4" t="n">
        <v>3</v>
      </c>
      <c r="Q84" s="2" t="n">
        <v>107</v>
      </c>
      <c r="R84" s="0" t="s">
        <v>394</v>
      </c>
      <c r="S84" s="0" t="s">
        <v>8407</v>
      </c>
    </row>
    <row r="85" customFormat="false" ht="13.8" hidden="false" customHeight="false" outlineLevel="0" collapsed="false">
      <c r="A85" s="0" t="s">
        <v>328</v>
      </c>
      <c r="B85" s="0" t="n">
        <v>73</v>
      </c>
      <c r="C85" s="0" t="s">
        <v>8402</v>
      </c>
      <c r="D85" s="0" t="s">
        <v>542</v>
      </c>
      <c r="E85" s="0" t="s">
        <v>412</v>
      </c>
      <c r="F85" s="4" t="n">
        <v>117</v>
      </c>
      <c r="G85" s="2" t="n">
        <v>500</v>
      </c>
      <c r="H85" s="2" t="s">
        <v>109</v>
      </c>
      <c r="I85" s="4" t="n">
        <v>7</v>
      </c>
      <c r="J85" s="2" t="n">
        <v>0</v>
      </c>
      <c r="K85" s="2" t="n">
        <v>0</v>
      </c>
      <c r="L85" s="4" t="n">
        <v>1</v>
      </c>
      <c r="M85" s="2" t="n">
        <v>0</v>
      </c>
      <c r="N85" s="2" t="n">
        <v>0</v>
      </c>
      <c r="O85" s="4" t="n">
        <v>3</v>
      </c>
      <c r="Q85" s="2" t="n">
        <v>108</v>
      </c>
      <c r="R85" s="0" t="s">
        <v>412</v>
      </c>
      <c r="S85" s="0" t="s">
        <v>8408</v>
      </c>
    </row>
    <row r="86" customFormat="false" ht="13.8" hidden="false" customHeight="false" outlineLevel="0" collapsed="false">
      <c r="A86" s="0" t="s">
        <v>328</v>
      </c>
      <c r="B86" s="0" t="n">
        <v>73</v>
      </c>
      <c r="C86" s="0" t="s">
        <v>8402</v>
      </c>
      <c r="D86" s="0" t="s">
        <v>543</v>
      </c>
      <c r="E86" s="0" t="s">
        <v>429</v>
      </c>
      <c r="F86" s="4" t="n">
        <v>135</v>
      </c>
      <c r="G86" s="2" t="n">
        <v>120</v>
      </c>
      <c r="H86" s="2" t="s">
        <v>109</v>
      </c>
      <c r="I86" s="4" t="n">
        <v>7</v>
      </c>
      <c r="J86" s="2" t="n">
        <v>0</v>
      </c>
      <c r="K86" s="2" t="n">
        <v>0</v>
      </c>
      <c r="L86" s="4" t="n">
        <v>1</v>
      </c>
      <c r="M86" s="2" t="n">
        <v>0</v>
      </c>
      <c r="N86" s="2" t="n">
        <v>0</v>
      </c>
      <c r="O86" s="4" t="n">
        <v>3</v>
      </c>
      <c r="Q86" s="2" t="n">
        <v>109</v>
      </c>
      <c r="R86" s="0" t="s">
        <v>429</v>
      </c>
      <c r="S86" s="0" t="s">
        <v>8409</v>
      </c>
    </row>
    <row r="87" customFormat="false" ht="13.8" hidden="false" customHeight="false" outlineLevel="0" collapsed="false">
      <c r="A87" s="0" t="s">
        <v>328</v>
      </c>
      <c r="B87" s="0" t="n">
        <v>73</v>
      </c>
      <c r="C87" s="0" t="s">
        <v>8402</v>
      </c>
      <c r="D87" s="0" t="s">
        <v>544</v>
      </c>
      <c r="E87" s="0" t="s">
        <v>112</v>
      </c>
      <c r="F87" s="4" t="n">
        <v>3</v>
      </c>
      <c r="G87" s="2" t="n">
        <v>0</v>
      </c>
      <c r="H87" s="2" t="n">
        <v>0</v>
      </c>
      <c r="I87" s="4" t="n">
        <v>2</v>
      </c>
      <c r="J87" s="2" t="n">
        <v>8</v>
      </c>
      <c r="K87" s="2" t="s">
        <v>20</v>
      </c>
      <c r="L87" s="4" t="n">
        <v>5</v>
      </c>
      <c r="M87" s="2" t="n">
        <v>0</v>
      </c>
      <c r="N87" s="2" t="n">
        <v>0</v>
      </c>
      <c r="O87" s="4" t="n">
        <v>3</v>
      </c>
      <c r="Q87" s="2" t="n">
        <v>110</v>
      </c>
      <c r="R87" s="0" t="s">
        <v>112</v>
      </c>
      <c r="S87" s="0" t="s">
        <v>8410</v>
      </c>
    </row>
    <row r="88" customFormat="false" ht="13.8" hidden="false" customHeight="false" outlineLevel="0" collapsed="false">
      <c r="A88" s="0" t="s">
        <v>328</v>
      </c>
      <c r="B88" s="0" t="n">
        <v>73</v>
      </c>
      <c r="C88" s="0" t="s">
        <v>8402</v>
      </c>
      <c r="D88" s="0" t="s">
        <v>32</v>
      </c>
      <c r="E88" s="0" t="s">
        <v>96</v>
      </c>
      <c r="F88" s="4" t="n">
        <v>177</v>
      </c>
      <c r="G88" s="2" t="n">
        <v>0</v>
      </c>
      <c r="H88" s="2" t="n">
        <v>0</v>
      </c>
      <c r="I88" s="4" t="n">
        <v>2</v>
      </c>
      <c r="J88" s="2" t="n">
        <v>4</v>
      </c>
      <c r="K88" s="2" t="s">
        <v>20</v>
      </c>
      <c r="L88" s="4" t="n">
        <v>5</v>
      </c>
      <c r="M88" s="2" t="n">
        <v>0</v>
      </c>
      <c r="N88" s="2" t="n">
        <v>0</v>
      </c>
      <c r="O88" s="4" t="n">
        <v>3</v>
      </c>
      <c r="Q88" s="2" t="n">
        <v>111</v>
      </c>
      <c r="R88" s="0" t="s">
        <v>96</v>
      </c>
      <c r="S88" s="0" t="s">
        <v>8411</v>
      </c>
    </row>
    <row r="89" customFormat="false" ht="13.8" hidden="false" customHeight="false" outlineLevel="0" collapsed="false">
      <c r="A89" s="0" t="s">
        <v>328</v>
      </c>
      <c r="B89" s="0" t="n">
        <v>73</v>
      </c>
      <c r="C89" s="0" t="s">
        <v>8402</v>
      </c>
      <c r="D89" s="0" t="s">
        <v>545</v>
      </c>
      <c r="E89" s="0" t="s">
        <v>377</v>
      </c>
      <c r="F89" s="4" t="n">
        <v>89</v>
      </c>
      <c r="G89" s="2" t="n">
        <v>0</v>
      </c>
      <c r="H89" s="2" t="n">
        <v>0</v>
      </c>
      <c r="I89" s="4" t="n">
        <v>2</v>
      </c>
      <c r="J89" s="2" t="n">
        <v>2</v>
      </c>
      <c r="K89" s="2" t="s">
        <v>13</v>
      </c>
      <c r="L89" s="4" t="n">
        <v>1</v>
      </c>
      <c r="M89" s="2" t="n">
        <v>0</v>
      </c>
      <c r="N89" s="2" t="n">
        <v>0</v>
      </c>
      <c r="O89" s="4" t="n">
        <v>3</v>
      </c>
      <c r="Q89" s="2" t="n">
        <v>112</v>
      </c>
      <c r="R89" s="0" t="s">
        <v>377</v>
      </c>
      <c r="S89" s="0" t="s">
        <v>8412</v>
      </c>
    </row>
    <row r="90" customFormat="false" ht="13.8" hidden="false" customHeight="false" outlineLevel="0" collapsed="false">
      <c r="A90" s="0" t="s">
        <v>328</v>
      </c>
      <c r="B90" s="0" t="n">
        <v>73</v>
      </c>
      <c r="C90" s="0" t="s">
        <v>8402</v>
      </c>
      <c r="D90" s="0" t="s">
        <v>43</v>
      </c>
      <c r="E90" s="0" t="s">
        <v>393</v>
      </c>
      <c r="F90" s="4" t="n">
        <v>97</v>
      </c>
      <c r="G90" s="2" t="n">
        <v>0</v>
      </c>
      <c r="H90" s="2" t="n">
        <v>0</v>
      </c>
      <c r="I90" s="4" t="n">
        <v>2</v>
      </c>
      <c r="J90" s="2" t="n">
        <v>10</v>
      </c>
      <c r="K90" s="2" t="s">
        <v>13</v>
      </c>
      <c r="L90" s="4" t="n">
        <v>1</v>
      </c>
      <c r="M90" s="2" t="n">
        <v>0</v>
      </c>
      <c r="N90" s="2" t="n">
        <v>0</v>
      </c>
      <c r="O90" s="4" t="n">
        <v>3</v>
      </c>
      <c r="Q90" s="2" t="n">
        <v>113</v>
      </c>
      <c r="R90" s="0" t="s">
        <v>393</v>
      </c>
      <c r="S90" s="0" t="s">
        <v>8413</v>
      </c>
    </row>
    <row r="91" customFormat="false" ht="13.8" hidden="false" customHeight="false" outlineLevel="0" collapsed="false">
      <c r="A91" s="0" t="s">
        <v>289</v>
      </c>
      <c r="B91" s="0" t="n">
        <v>60</v>
      </c>
      <c r="C91" s="0" t="s">
        <v>8414</v>
      </c>
      <c r="D91" s="0" t="s">
        <v>10</v>
      </c>
      <c r="E91" s="0" t="s">
        <v>130</v>
      </c>
      <c r="F91" s="4" t="n">
        <v>8</v>
      </c>
      <c r="G91" s="2" t="n">
        <v>35</v>
      </c>
      <c r="H91" s="2" t="s">
        <v>7</v>
      </c>
      <c r="I91" s="4" t="n">
        <v>2</v>
      </c>
      <c r="J91" s="2" t="n">
        <v>0</v>
      </c>
      <c r="K91" s="2" t="n">
        <v>0</v>
      </c>
      <c r="L91" s="4" t="n">
        <v>1</v>
      </c>
      <c r="M91" s="2" t="n">
        <v>0</v>
      </c>
      <c r="N91" s="2" t="n">
        <v>0</v>
      </c>
      <c r="O91" s="4" t="n">
        <v>3</v>
      </c>
      <c r="P91" s="0" t="s">
        <v>546</v>
      </c>
      <c r="Q91" s="2" t="n">
        <v>116</v>
      </c>
      <c r="R91" s="0" t="s">
        <v>130</v>
      </c>
      <c r="S91" s="0" t="s">
        <v>8415</v>
      </c>
    </row>
    <row r="92" customFormat="false" ht="13.8" hidden="false" customHeight="false" outlineLevel="0" collapsed="false">
      <c r="A92" s="0" t="s">
        <v>289</v>
      </c>
      <c r="B92" s="0" t="n">
        <v>60</v>
      </c>
      <c r="C92" s="0" t="s">
        <v>8414</v>
      </c>
      <c r="D92" s="0" t="s">
        <v>21</v>
      </c>
      <c r="E92" s="0" t="s">
        <v>485</v>
      </c>
      <c r="F92" s="4" t="n">
        <v>195</v>
      </c>
      <c r="G92" s="2" t="n">
        <v>30</v>
      </c>
      <c r="H92" s="2" t="s">
        <v>7</v>
      </c>
      <c r="I92" s="4" t="n">
        <v>2</v>
      </c>
      <c r="J92" s="2" t="n">
        <v>0</v>
      </c>
      <c r="K92" s="2" t="n">
        <v>0</v>
      </c>
      <c r="L92" s="4" t="n">
        <v>1</v>
      </c>
      <c r="M92" s="2" t="n">
        <v>0</v>
      </c>
      <c r="N92" s="2" t="n">
        <v>0</v>
      </c>
      <c r="O92" s="4" t="n">
        <v>3</v>
      </c>
      <c r="P92" s="0" t="s">
        <v>547</v>
      </c>
      <c r="Q92" s="2" t="n">
        <v>117</v>
      </c>
      <c r="R92" s="0" t="s">
        <v>485</v>
      </c>
      <c r="S92" s="0" t="s">
        <v>8416</v>
      </c>
    </row>
    <row r="93" customFormat="false" ht="13.8" hidden="false" customHeight="false" outlineLevel="0" collapsed="false">
      <c r="A93" s="0" t="s">
        <v>289</v>
      </c>
      <c r="B93" s="0" t="n">
        <v>60</v>
      </c>
      <c r="C93" s="0" t="s">
        <v>8414</v>
      </c>
      <c r="D93" s="0" t="s">
        <v>548</v>
      </c>
      <c r="E93" s="0" t="s">
        <v>468</v>
      </c>
      <c r="F93" s="4" t="n">
        <v>176</v>
      </c>
      <c r="G93" s="2" t="n">
        <v>3</v>
      </c>
      <c r="H93" s="2" t="s">
        <v>7</v>
      </c>
      <c r="I93" s="4" t="n">
        <v>2</v>
      </c>
      <c r="J93" s="2" t="n">
        <v>0</v>
      </c>
      <c r="K93" s="2" t="n">
        <v>0</v>
      </c>
      <c r="L93" s="4" t="n">
        <v>1</v>
      </c>
      <c r="M93" s="2" t="n">
        <v>0</v>
      </c>
      <c r="N93" s="2" t="n">
        <v>0</v>
      </c>
      <c r="O93" s="4" t="n">
        <v>3</v>
      </c>
      <c r="P93" s="0" t="s">
        <v>546</v>
      </c>
      <c r="Q93" s="2" t="n">
        <v>118</v>
      </c>
      <c r="R93" s="0" t="s">
        <v>468</v>
      </c>
      <c r="S93" s="0" t="s">
        <v>8417</v>
      </c>
    </row>
    <row r="94" customFormat="false" ht="13.8" hidden="false" customHeight="false" outlineLevel="0" collapsed="false">
      <c r="A94" s="0" t="s">
        <v>289</v>
      </c>
      <c r="B94" s="0" t="n">
        <v>60</v>
      </c>
      <c r="C94" s="0" t="s">
        <v>8414</v>
      </c>
      <c r="D94" s="0" t="s">
        <v>549</v>
      </c>
      <c r="E94" s="0" t="s">
        <v>374</v>
      </c>
      <c r="F94" s="4" t="n">
        <v>88</v>
      </c>
      <c r="G94" s="2" t="n">
        <v>7</v>
      </c>
      <c r="H94" s="2" t="s">
        <v>7</v>
      </c>
      <c r="I94" s="4" t="n">
        <v>2</v>
      </c>
      <c r="J94" s="2" t="n">
        <v>0</v>
      </c>
      <c r="K94" s="2" t="n">
        <v>0</v>
      </c>
      <c r="L94" s="4" t="n">
        <v>1</v>
      </c>
      <c r="M94" s="2" t="n">
        <v>0</v>
      </c>
      <c r="N94" s="2" t="n">
        <v>0</v>
      </c>
      <c r="O94" s="4" t="n">
        <v>3</v>
      </c>
      <c r="P94" s="0" t="s">
        <v>546</v>
      </c>
      <c r="Q94" s="2" t="n">
        <v>119</v>
      </c>
      <c r="R94" s="0" t="s">
        <v>374</v>
      </c>
      <c r="S94" s="0" t="s">
        <v>8418</v>
      </c>
    </row>
    <row r="95" customFormat="false" ht="13.8" hidden="false" customHeight="false" outlineLevel="0" collapsed="false">
      <c r="A95" s="0" t="s">
        <v>289</v>
      </c>
      <c r="B95" s="0" t="n">
        <v>60</v>
      </c>
      <c r="C95" s="0" t="s">
        <v>8414</v>
      </c>
      <c r="D95" s="0" t="s">
        <v>550</v>
      </c>
      <c r="E95" s="0" t="s">
        <v>345</v>
      </c>
      <c r="F95" s="4" t="n">
        <v>78</v>
      </c>
      <c r="G95" s="2" t="n">
        <v>0</v>
      </c>
      <c r="H95" s="2" t="n">
        <v>0</v>
      </c>
      <c r="I95" s="4" t="n">
        <v>2</v>
      </c>
      <c r="J95" s="2" t="n">
        <v>4</v>
      </c>
      <c r="K95" s="2" t="s">
        <v>13</v>
      </c>
      <c r="L95" s="4" t="n">
        <v>1</v>
      </c>
      <c r="M95" s="2" t="n">
        <v>0</v>
      </c>
      <c r="N95" s="2" t="n">
        <v>0</v>
      </c>
      <c r="O95" s="4" t="n">
        <v>3</v>
      </c>
      <c r="P95" s="0" t="s">
        <v>551</v>
      </c>
      <c r="Q95" s="2" t="n">
        <v>120</v>
      </c>
      <c r="R95" s="0" t="s">
        <v>345</v>
      </c>
      <c r="S95" s="0" t="s">
        <v>8419</v>
      </c>
    </row>
    <row r="96" customFormat="false" ht="13.8" hidden="false" customHeight="false" outlineLevel="0" collapsed="false">
      <c r="A96" s="0" t="s">
        <v>289</v>
      </c>
      <c r="B96" s="0" t="n">
        <v>60</v>
      </c>
      <c r="C96" s="0" t="s">
        <v>8414</v>
      </c>
      <c r="D96" s="0" t="s">
        <v>40</v>
      </c>
      <c r="E96" s="0" t="s">
        <v>237</v>
      </c>
      <c r="F96" s="4" t="n">
        <v>42</v>
      </c>
      <c r="G96" s="2" t="n">
        <v>7</v>
      </c>
      <c r="H96" s="2" t="s">
        <v>7</v>
      </c>
      <c r="I96" s="4" t="n">
        <v>2</v>
      </c>
      <c r="J96" s="2" t="n">
        <v>0</v>
      </c>
      <c r="K96" s="2" t="n">
        <v>0</v>
      </c>
      <c r="L96" s="4" t="n">
        <v>1</v>
      </c>
      <c r="M96" s="2" t="n">
        <v>0</v>
      </c>
      <c r="N96" s="2" t="n">
        <v>0</v>
      </c>
      <c r="O96" s="4" t="n">
        <v>3</v>
      </c>
      <c r="P96" s="0" t="s">
        <v>552</v>
      </c>
      <c r="Q96" s="2" t="n">
        <v>121</v>
      </c>
      <c r="R96" s="0" t="s">
        <v>237</v>
      </c>
      <c r="S96" s="0" t="s">
        <v>8420</v>
      </c>
    </row>
    <row r="97" customFormat="false" ht="13.8" hidden="false" customHeight="false" outlineLevel="0" collapsed="false">
      <c r="A97" s="0" t="s">
        <v>289</v>
      </c>
      <c r="B97" s="0" t="n">
        <v>60</v>
      </c>
      <c r="C97" s="0" t="s">
        <v>8414</v>
      </c>
      <c r="D97" s="0" t="s">
        <v>553</v>
      </c>
      <c r="E97" s="0" t="s">
        <v>360</v>
      </c>
      <c r="F97" s="4" t="n">
        <v>83</v>
      </c>
      <c r="G97" s="2" t="n">
        <v>0</v>
      </c>
      <c r="H97" s="2" t="n">
        <v>0</v>
      </c>
      <c r="I97" s="4" t="n">
        <v>2</v>
      </c>
      <c r="J97" s="2" t="n">
        <v>2.5</v>
      </c>
      <c r="K97" s="2" t="s">
        <v>13</v>
      </c>
      <c r="L97" s="4" t="n">
        <v>1</v>
      </c>
      <c r="M97" s="2" t="n">
        <v>0</v>
      </c>
      <c r="N97" s="2" t="n">
        <v>0</v>
      </c>
      <c r="O97" s="4" t="n">
        <v>3</v>
      </c>
      <c r="Q97" s="2" t="n">
        <v>122</v>
      </c>
      <c r="R97" s="0" t="s">
        <v>360</v>
      </c>
      <c r="S97" s="0" t="s">
        <v>8421</v>
      </c>
    </row>
    <row r="98" customFormat="false" ht="13.8" hidden="false" customHeight="false" outlineLevel="0" collapsed="false">
      <c r="A98" s="0" t="s">
        <v>289</v>
      </c>
      <c r="B98" s="0" t="n">
        <v>60</v>
      </c>
      <c r="C98" s="0" t="s">
        <v>8414</v>
      </c>
      <c r="D98" s="0" t="s">
        <v>18</v>
      </c>
      <c r="E98" s="0" t="s">
        <v>102</v>
      </c>
      <c r="F98" s="4" t="n">
        <v>1</v>
      </c>
      <c r="G98" s="2" t="n">
        <v>0</v>
      </c>
      <c r="H98" s="2" t="n">
        <v>0</v>
      </c>
      <c r="I98" s="4" t="n">
        <v>2</v>
      </c>
      <c r="J98" s="2" t="n">
        <v>1</v>
      </c>
      <c r="K98" s="2" t="s">
        <v>13</v>
      </c>
      <c r="L98" s="4" t="n">
        <v>1</v>
      </c>
      <c r="M98" s="2" t="n">
        <v>0</v>
      </c>
      <c r="N98" s="2" t="n">
        <v>0</v>
      </c>
      <c r="O98" s="4" t="n">
        <v>3</v>
      </c>
      <c r="Q98" s="2" t="n">
        <v>123</v>
      </c>
      <c r="R98" s="0" t="s">
        <v>102</v>
      </c>
      <c r="S98" s="0" t="s">
        <v>8422</v>
      </c>
    </row>
    <row r="99" customFormat="false" ht="13.8" hidden="false" customHeight="false" outlineLevel="0" collapsed="false">
      <c r="A99" s="0" t="s">
        <v>289</v>
      </c>
      <c r="B99" s="0" t="n">
        <v>60</v>
      </c>
      <c r="C99" s="0" t="s">
        <v>8414</v>
      </c>
      <c r="D99" s="0" t="s">
        <v>554</v>
      </c>
      <c r="E99" s="0" t="s">
        <v>412</v>
      </c>
      <c r="F99" s="4" t="n">
        <v>117</v>
      </c>
      <c r="G99" s="2" t="n">
        <v>0</v>
      </c>
      <c r="H99" s="2" t="n">
        <v>0</v>
      </c>
      <c r="I99" s="4" t="n">
        <v>2</v>
      </c>
      <c r="J99" s="2" t="n">
        <v>3</v>
      </c>
      <c r="K99" s="2" t="s">
        <v>20</v>
      </c>
      <c r="L99" s="4" t="n">
        <v>5</v>
      </c>
      <c r="M99" s="2" t="n">
        <v>0</v>
      </c>
      <c r="N99" s="2" t="n">
        <v>0</v>
      </c>
      <c r="O99" s="4" t="n">
        <v>3</v>
      </c>
      <c r="Q99" s="2" t="n">
        <v>124</v>
      </c>
      <c r="R99" s="0" t="s">
        <v>412</v>
      </c>
      <c r="S99" s="0" t="s">
        <v>8423</v>
      </c>
    </row>
    <row r="100" customFormat="false" ht="13.8" hidden="false" customHeight="false" outlineLevel="0" collapsed="false">
      <c r="A100" s="0" t="s">
        <v>289</v>
      </c>
      <c r="B100" s="0" t="n">
        <v>60</v>
      </c>
      <c r="C100" s="0" t="s">
        <v>8414</v>
      </c>
      <c r="D100" s="0" t="s">
        <v>555</v>
      </c>
      <c r="E100" s="0" t="s">
        <v>168</v>
      </c>
      <c r="F100" s="4" t="n">
        <v>19</v>
      </c>
      <c r="G100" s="2" t="n">
        <v>0</v>
      </c>
      <c r="H100" s="2" t="n">
        <v>0</v>
      </c>
      <c r="I100" s="4" t="n">
        <v>2</v>
      </c>
      <c r="J100" s="2" t="n">
        <v>1.6</v>
      </c>
      <c r="K100" s="2" t="s">
        <v>13</v>
      </c>
      <c r="L100" s="4" t="n">
        <v>1</v>
      </c>
      <c r="M100" s="2" t="n">
        <v>0</v>
      </c>
      <c r="N100" s="2" t="n">
        <v>0</v>
      </c>
      <c r="O100" s="4" t="n">
        <v>3</v>
      </c>
      <c r="Q100" s="2" t="n">
        <v>125</v>
      </c>
      <c r="R100" s="0" t="s">
        <v>168</v>
      </c>
      <c r="S100" s="0" t="s">
        <v>8424</v>
      </c>
    </row>
    <row r="101" customFormat="false" ht="13.8" hidden="false" customHeight="false" outlineLevel="0" collapsed="false">
      <c r="A101" s="0" t="s">
        <v>289</v>
      </c>
      <c r="B101" s="0" t="n">
        <v>60</v>
      </c>
      <c r="C101" s="0" t="s">
        <v>8414</v>
      </c>
      <c r="D101" s="0" t="s">
        <v>32</v>
      </c>
      <c r="E101" s="0" t="s">
        <v>96</v>
      </c>
      <c r="F101" s="4" t="n">
        <v>177</v>
      </c>
      <c r="G101" s="2" t="n">
        <v>0</v>
      </c>
      <c r="H101" s="2" t="n">
        <v>0</v>
      </c>
      <c r="I101" s="4" t="n">
        <v>2</v>
      </c>
      <c r="J101" s="2" t="n">
        <v>4.5</v>
      </c>
      <c r="K101" s="2" t="s">
        <v>20</v>
      </c>
      <c r="L101" s="4" t="n">
        <v>5</v>
      </c>
      <c r="M101" s="2" t="n">
        <v>0</v>
      </c>
      <c r="N101" s="2" t="n">
        <v>0</v>
      </c>
      <c r="O101" s="4" t="n">
        <v>3</v>
      </c>
      <c r="Q101" s="2" t="n">
        <v>126</v>
      </c>
      <c r="R101" s="0" t="s">
        <v>96</v>
      </c>
      <c r="S101" s="0" t="s">
        <v>8425</v>
      </c>
    </row>
    <row r="102" customFormat="false" ht="13.8" hidden="false" customHeight="false" outlineLevel="0" collapsed="false">
      <c r="A102" s="0" t="s">
        <v>289</v>
      </c>
      <c r="B102" s="0" t="n">
        <v>60</v>
      </c>
      <c r="C102" s="0" t="s">
        <v>8414</v>
      </c>
      <c r="D102" s="0" t="s">
        <v>43</v>
      </c>
      <c r="E102" s="0" t="s">
        <v>393</v>
      </c>
      <c r="F102" s="4" t="n">
        <v>97</v>
      </c>
      <c r="G102" s="2" t="n">
        <v>0</v>
      </c>
      <c r="H102" s="2" t="n">
        <v>0</v>
      </c>
      <c r="I102" s="4" t="n">
        <v>2</v>
      </c>
      <c r="J102" s="2" t="n">
        <v>15</v>
      </c>
      <c r="K102" s="2" t="s">
        <v>13</v>
      </c>
      <c r="L102" s="4" t="n">
        <v>1</v>
      </c>
      <c r="M102" s="2" t="n">
        <v>0</v>
      </c>
      <c r="N102" s="2" t="n">
        <v>0</v>
      </c>
      <c r="O102" s="4" t="n">
        <v>3</v>
      </c>
      <c r="Q102" s="2" t="n">
        <v>127</v>
      </c>
      <c r="R102" s="0" t="s">
        <v>393</v>
      </c>
      <c r="S102" s="0" t="s">
        <v>8426</v>
      </c>
    </row>
    <row r="103" customFormat="false" ht="13.8" hidden="false" customHeight="false" outlineLevel="0" collapsed="false">
      <c r="A103" s="0" t="s">
        <v>289</v>
      </c>
      <c r="B103" s="0" t="n">
        <v>60</v>
      </c>
      <c r="C103" s="0" t="s">
        <v>8414</v>
      </c>
      <c r="D103" s="0" t="s">
        <v>556</v>
      </c>
      <c r="E103" s="0" t="s">
        <v>225</v>
      </c>
      <c r="F103" s="4" t="n">
        <v>38</v>
      </c>
      <c r="G103" s="2" t="n">
        <v>0</v>
      </c>
      <c r="H103" s="2" t="n">
        <v>0</v>
      </c>
      <c r="I103" s="4" t="n">
        <v>2</v>
      </c>
      <c r="J103" s="2" t="n">
        <v>3</v>
      </c>
      <c r="K103" s="2" t="s">
        <v>13</v>
      </c>
      <c r="L103" s="4" t="n">
        <v>1</v>
      </c>
      <c r="M103" s="2" t="n">
        <v>0</v>
      </c>
      <c r="N103" s="2" t="n">
        <v>0</v>
      </c>
      <c r="O103" s="4" t="n">
        <v>3</v>
      </c>
      <c r="Q103" s="2" t="n">
        <v>128</v>
      </c>
      <c r="R103" s="0" t="s">
        <v>225</v>
      </c>
      <c r="S103" s="0" t="s">
        <v>8427</v>
      </c>
    </row>
    <row r="104" customFormat="false" ht="13.8" hidden="false" customHeight="false" outlineLevel="0" collapsed="false">
      <c r="A104" s="0" t="s">
        <v>289</v>
      </c>
      <c r="B104" s="0" t="n">
        <v>60</v>
      </c>
      <c r="C104" s="0" t="s">
        <v>8414</v>
      </c>
      <c r="D104" s="0" t="s">
        <v>557</v>
      </c>
      <c r="E104" s="0" t="s">
        <v>423</v>
      </c>
      <c r="F104" s="4" t="n">
        <v>129</v>
      </c>
      <c r="G104" s="2" t="n">
        <v>0</v>
      </c>
      <c r="H104" s="2" t="n">
        <v>0</v>
      </c>
      <c r="I104" s="4" t="n">
        <v>2</v>
      </c>
      <c r="J104" s="2" t="n">
        <v>3</v>
      </c>
      <c r="K104" s="2" t="s">
        <v>20</v>
      </c>
      <c r="L104" s="4" t="n">
        <v>5</v>
      </c>
      <c r="M104" s="2" t="n">
        <v>0</v>
      </c>
      <c r="N104" s="2" t="n">
        <v>0</v>
      </c>
      <c r="O104" s="4" t="n">
        <v>3</v>
      </c>
      <c r="Q104" s="2" t="n">
        <v>129</v>
      </c>
      <c r="R104" s="0" t="s">
        <v>423</v>
      </c>
      <c r="S104" s="0" t="s">
        <v>8428</v>
      </c>
    </row>
    <row r="105" customFormat="false" ht="13.8" hidden="false" customHeight="false" outlineLevel="0" collapsed="false">
      <c r="A105" s="0" t="s">
        <v>208</v>
      </c>
      <c r="B105" s="0" t="n">
        <v>33</v>
      </c>
      <c r="C105" s="0" t="s">
        <v>8429</v>
      </c>
      <c r="D105" s="0" t="s">
        <v>559</v>
      </c>
      <c r="E105" s="0" t="s">
        <v>395</v>
      </c>
      <c r="F105" s="4" t="n">
        <v>99</v>
      </c>
      <c r="G105" s="2" t="n">
        <v>30</v>
      </c>
      <c r="H105" s="2" t="s">
        <v>7</v>
      </c>
      <c r="I105" s="4" t="n">
        <v>2</v>
      </c>
      <c r="J105" s="2" t="n">
        <v>0</v>
      </c>
      <c r="K105" s="2" t="n">
        <v>0</v>
      </c>
      <c r="L105" s="4" t="n">
        <v>1</v>
      </c>
      <c r="M105" s="2" t="n">
        <v>0</v>
      </c>
      <c r="N105" s="2" t="n">
        <v>0</v>
      </c>
      <c r="O105" s="4" t="n">
        <v>3</v>
      </c>
      <c r="P105" s="0" t="s">
        <v>560</v>
      </c>
      <c r="Q105" s="2" t="n">
        <v>133</v>
      </c>
      <c r="R105" s="0" t="s">
        <v>395</v>
      </c>
      <c r="S105" s="0" t="s">
        <v>8430</v>
      </c>
    </row>
    <row r="106" customFormat="false" ht="13.8" hidden="false" customHeight="false" outlineLevel="0" collapsed="false">
      <c r="A106" s="0" t="s">
        <v>208</v>
      </c>
      <c r="B106" s="0" t="n">
        <v>33</v>
      </c>
      <c r="C106" s="0" t="s">
        <v>8429</v>
      </c>
      <c r="D106" s="0" t="s">
        <v>21</v>
      </c>
      <c r="E106" s="0" t="s">
        <v>485</v>
      </c>
      <c r="F106" s="4" t="n">
        <v>195</v>
      </c>
      <c r="G106" s="2" t="n">
        <v>10</v>
      </c>
      <c r="H106" s="2" t="s">
        <v>7</v>
      </c>
      <c r="I106" s="4" t="n">
        <v>2</v>
      </c>
      <c r="J106" s="2" t="n">
        <v>0</v>
      </c>
      <c r="K106" s="2" t="n">
        <v>0</v>
      </c>
      <c r="L106" s="4" t="n">
        <v>1</v>
      </c>
      <c r="M106" s="2" t="n">
        <v>0</v>
      </c>
      <c r="N106" s="2" t="n">
        <v>0</v>
      </c>
      <c r="O106" s="4" t="n">
        <v>3</v>
      </c>
      <c r="P106" s="0" t="s">
        <v>547</v>
      </c>
      <c r="Q106" s="2" t="n">
        <v>134</v>
      </c>
      <c r="R106" s="0" t="s">
        <v>485</v>
      </c>
      <c r="S106" s="0" t="s">
        <v>8431</v>
      </c>
    </row>
    <row r="107" customFormat="false" ht="13.8" hidden="false" customHeight="false" outlineLevel="0" collapsed="false">
      <c r="A107" s="0" t="s">
        <v>208</v>
      </c>
      <c r="B107" s="0" t="n">
        <v>33</v>
      </c>
      <c r="C107" s="0" t="s">
        <v>8429</v>
      </c>
      <c r="D107" s="0" t="s">
        <v>74</v>
      </c>
      <c r="E107" s="0" t="s">
        <v>402</v>
      </c>
      <c r="F107" s="4" t="n">
        <v>107</v>
      </c>
      <c r="G107" s="2" t="n">
        <v>1</v>
      </c>
      <c r="H107" s="2" t="s">
        <v>7</v>
      </c>
      <c r="I107" s="4" t="n">
        <v>2</v>
      </c>
      <c r="J107" s="2" t="n">
        <v>0</v>
      </c>
      <c r="K107" s="2" t="n">
        <v>0</v>
      </c>
      <c r="L107" s="4" t="n">
        <v>1</v>
      </c>
      <c r="M107" s="2" t="n">
        <v>0</v>
      </c>
      <c r="N107" s="2" t="n">
        <v>0</v>
      </c>
      <c r="O107" s="4" t="n">
        <v>3</v>
      </c>
      <c r="P107" s="0" t="s">
        <v>561</v>
      </c>
      <c r="Q107" s="2" t="n">
        <v>135</v>
      </c>
      <c r="R107" s="0" t="s">
        <v>402</v>
      </c>
      <c r="S107" s="0" t="s">
        <v>8432</v>
      </c>
    </row>
    <row r="108" customFormat="false" ht="13.8" hidden="false" customHeight="false" outlineLevel="0" collapsed="false">
      <c r="A108" s="0" t="s">
        <v>208</v>
      </c>
      <c r="B108" s="0" t="n">
        <v>33</v>
      </c>
      <c r="C108" s="0" t="s">
        <v>8429</v>
      </c>
      <c r="D108" s="0" t="s">
        <v>553</v>
      </c>
      <c r="E108" s="0" t="s">
        <v>360</v>
      </c>
      <c r="F108" s="4" t="n">
        <v>83</v>
      </c>
      <c r="G108" s="2" t="n">
        <v>0</v>
      </c>
      <c r="H108" s="2" t="n">
        <v>0</v>
      </c>
      <c r="I108" s="4" t="n">
        <v>2</v>
      </c>
      <c r="J108" s="2" t="n">
        <v>1.5</v>
      </c>
      <c r="K108" s="2" t="s">
        <v>13</v>
      </c>
      <c r="L108" s="4" t="n">
        <v>1</v>
      </c>
      <c r="M108" s="2" t="n">
        <v>0</v>
      </c>
      <c r="N108" s="2" t="n">
        <v>0</v>
      </c>
      <c r="O108" s="4" t="n">
        <v>3</v>
      </c>
      <c r="Q108" s="2" t="n">
        <v>136</v>
      </c>
      <c r="R108" s="0" t="s">
        <v>360</v>
      </c>
      <c r="S108" s="0" t="s">
        <v>8433</v>
      </c>
    </row>
    <row r="109" customFormat="false" ht="13.8" hidden="false" customHeight="false" outlineLevel="0" collapsed="false">
      <c r="A109" s="0" t="s">
        <v>208</v>
      </c>
      <c r="B109" s="0" t="n">
        <v>33</v>
      </c>
      <c r="C109" s="0" t="s">
        <v>8429</v>
      </c>
      <c r="D109" s="0" t="s">
        <v>14</v>
      </c>
      <c r="E109" s="0" t="s">
        <v>398</v>
      </c>
      <c r="F109" s="4" t="n">
        <v>102</v>
      </c>
      <c r="G109" s="2" t="n">
        <v>0</v>
      </c>
      <c r="H109" s="2" t="n">
        <v>0</v>
      </c>
      <c r="I109" s="4" t="n">
        <v>2</v>
      </c>
      <c r="J109" s="2" t="n">
        <v>1</v>
      </c>
      <c r="K109" s="2" t="s">
        <v>20</v>
      </c>
      <c r="L109" s="4" t="n">
        <v>5</v>
      </c>
      <c r="M109" s="2" t="n">
        <v>0</v>
      </c>
      <c r="N109" s="2" t="n">
        <v>0</v>
      </c>
      <c r="O109" s="4" t="n">
        <v>3</v>
      </c>
      <c r="Q109" s="2" t="n">
        <v>137</v>
      </c>
      <c r="R109" s="0" t="s">
        <v>398</v>
      </c>
      <c r="S109" s="0" t="s">
        <v>8434</v>
      </c>
    </row>
    <row r="110" customFormat="false" ht="13.8" hidden="false" customHeight="false" outlineLevel="0" collapsed="false">
      <c r="A110" s="0" t="s">
        <v>208</v>
      </c>
      <c r="B110" s="0" t="n">
        <v>33</v>
      </c>
      <c r="C110" s="0" t="s">
        <v>8429</v>
      </c>
      <c r="D110" s="0" t="s">
        <v>562</v>
      </c>
      <c r="E110" s="0" t="s">
        <v>391</v>
      </c>
      <c r="F110" s="4" t="n">
        <v>95</v>
      </c>
      <c r="G110" s="2" t="n">
        <v>0</v>
      </c>
      <c r="H110" s="2" t="n">
        <v>0</v>
      </c>
      <c r="I110" s="4" t="n">
        <v>2</v>
      </c>
      <c r="J110" s="2" t="n">
        <v>0.4</v>
      </c>
      <c r="K110" s="2" t="s">
        <v>20</v>
      </c>
      <c r="L110" s="4" t="n">
        <v>5</v>
      </c>
      <c r="M110" s="2" t="n">
        <v>0</v>
      </c>
      <c r="N110" s="2" t="n">
        <v>0</v>
      </c>
      <c r="O110" s="4" t="n">
        <v>3</v>
      </c>
      <c r="Q110" s="2" t="n">
        <v>138</v>
      </c>
      <c r="R110" s="0" t="s">
        <v>391</v>
      </c>
      <c r="S110" s="0" t="s">
        <v>8435</v>
      </c>
    </row>
    <row r="111" customFormat="false" ht="13.8" hidden="false" customHeight="false" outlineLevel="0" collapsed="false">
      <c r="A111" s="0" t="s">
        <v>208</v>
      </c>
      <c r="B111" s="0" t="n">
        <v>33</v>
      </c>
      <c r="C111" s="0" t="s">
        <v>8429</v>
      </c>
      <c r="D111" s="0" t="s">
        <v>563</v>
      </c>
      <c r="E111" s="0" t="s">
        <v>386</v>
      </c>
      <c r="F111" s="4" t="n">
        <v>93</v>
      </c>
      <c r="G111" s="2" t="n">
        <v>0</v>
      </c>
      <c r="H111" s="2" t="n">
        <v>0</v>
      </c>
      <c r="I111" s="4" t="n">
        <v>2</v>
      </c>
      <c r="J111" s="2" t="n">
        <v>1</v>
      </c>
      <c r="K111" s="2" t="s">
        <v>20</v>
      </c>
      <c r="L111" s="4" t="n">
        <v>5</v>
      </c>
      <c r="M111" s="2" t="n">
        <v>0</v>
      </c>
      <c r="N111" s="2" t="n">
        <v>0</v>
      </c>
      <c r="O111" s="4" t="n">
        <v>3</v>
      </c>
      <c r="Q111" s="2" t="n">
        <v>139</v>
      </c>
      <c r="R111" s="0" t="s">
        <v>386</v>
      </c>
      <c r="S111" s="0" t="s">
        <v>8436</v>
      </c>
    </row>
    <row r="112" customFormat="false" ht="13.8" hidden="false" customHeight="false" outlineLevel="0" collapsed="false">
      <c r="A112" s="0" t="s">
        <v>208</v>
      </c>
      <c r="B112" s="0" t="n">
        <v>33</v>
      </c>
      <c r="C112" s="0" t="s">
        <v>8429</v>
      </c>
      <c r="D112" s="0" t="s">
        <v>18</v>
      </c>
      <c r="E112" s="0" t="s">
        <v>102</v>
      </c>
      <c r="F112" s="4" t="n">
        <v>1</v>
      </c>
      <c r="G112" s="2" t="n">
        <v>0</v>
      </c>
      <c r="H112" s="2" t="n">
        <v>0</v>
      </c>
      <c r="I112" s="4" t="n">
        <v>2</v>
      </c>
      <c r="J112" s="2" t="n">
        <v>0.5</v>
      </c>
      <c r="K112" s="2" t="s">
        <v>13</v>
      </c>
      <c r="L112" s="4" t="n">
        <v>1</v>
      </c>
      <c r="M112" s="2" t="n">
        <v>0</v>
      </c>
      <c r="N112" s="2" t="n">
        <v>0</v>
      </c>
      <c r="O112" s="4" t="n">
        <v>3</v>
      </c>
      <c r="Q112" s="2" t="n">
        <v>140</v>
      </c>
      <c r="R112" s="0" t="s">
        <v>102</v>
      </c>
      <c r="S112" s="0" t="s">
        <v>8437</v>
      </c>
    </row>
    <row r="113" customFormat="false" ht="13.8" hidden="false" customHeight="false" outlineLevel="0" collapsed="false">
      <c r="A113" s="0" t="s">
        <v>208</v>
      </c>
      <c r="B113" s="0" t="n">
        <v>33</v>
      </c>
      <c r="C113" s="0" t="s">
        <v>8429</v>
      </c>
      <c r="D113" s="0" t="s">
        <v>564</v>
      </c>
      <c r="E113" s="0" t="s">
        <v>382</v>
      </c>
      <c r="F113" s="4" t="n">
        <v>91</v>
      </c>
      <c r="G113" s="2" t="n">
        <v>0</v>
      </c>
      <c r="H113" s="2" t="n">
        <v>0</v>
      </c>
      <c r="I113" s="4" t="n">
        <v>2</v>
      </c>
      <c r="J113" s="2" t="n">
        <v>1</v>
      </c>
      <c r="K113" s="2" t="s">
        <v>20</v>
      </c>
      <c r="L113" s="4" t="n">
        <v>5</v>
      </c>
      <c r="M113" s="2" t="n">
        <v>0</v>
      </c>
      <c r="N113" s="2" t="n">
        <v>0</v>
      </c>
      <c r="O113" s="4" t="n">
        <v>3</v>
      </c>
      <c r="Q113" s="2" t="n">
        <v>141</v>
      </c>
      <c r="R113" s="0" t="s">
        <v>382</v>
      </c>
      <c r="S113" s="0" t="s">
        <v>8438</v>
      </c>
    </row>
    <row r="114" customFormat="false" ht="13.8" hidden="false" customHeight="false" outlineLevel="0" collapsed="false">
      <c r="A114" s="0" t="s">
        <v>208</v>
      </c>
      <c r="B114" s="0" t="n">
        <v>33</v>
      </c>
      <c r="C114" s="0" t="s">
        <v>8429</v>
      </c>
      <c r="D114" s="0" t="s">
        <v>554</v>
      </c>
      <c r="E114" s="0" t="s">
        <v>412</v>
      </c>
      <c r="F114" s="4" t="n">
        <v>117</v>
      </c>
      <c r="G114" s="2" t="n">
        <v>0</v>
      </c>
      <c r="H114" s="2" t="n">
        <v>0</v>
      </c>
      <c r="I114" s="4" t="n">
        <v>2</v>
      </c>
      <c r="J114" s="2" t="n">
        <v>1.5</v>
      </c>
      <c r="K114" s="2" t="s">
        <v>20</v>
      </c>
      <c r="L114" s="4" t="n">
        <v>5</v>
      </c>
      <c r="M114" s="2" t="n">
        <v>0</v>
      </c>
      <c r="N114" s="2" t="n">
        <v>0</v>
      </c>
      <c r="O114" s="4" t="n">
        <v>3</v>
      </c>
      <c r="Q114" s="2" t="n">
        <v>142</v>
      </c>
      <c r="R114" s="0" t="s">
        <v>412</v>
      </c>
      <c r="S114" s="0" t="s">
        <v>8439</v>
      </c>
    </row>
    <row r="115" customFormat="false" ht="13.8" hidden="false" customHeight="false" outlineLevel="0" collapsed="false">
      <c r="A115" s="0" t="s">
        <v>208</v>
      </c>
      <c r="B115" s="0" t="n">
        <v>33</v>
      </c>
      <c r="C115" s="0" t="s">
        <v>8429</v>
      </c>
      <c r="D115" s="0" t="s">
        <v>72</v>
      </c>
      <c r="E115" s="0" t="s">
        <v>333</v>
      </c>
      <c r="F115" s="4" t="n">
        <v>74</v>
      </c>
      <c r="G115" s="2" t="n">
        <v>0</v>
      </c>
      <c r="H115" s="2" t="n">
        <v>0</v>
      </c>
      <c r="I115" s="4" t="n">
        <v>2</v>
      </c>
      <c r="J115" s="2" t="n">
        <v>2</v>
      </c>
      <c r="K115" s="2" t="s">
        <v>20</v>
      </c>
      <c r="L115" s="4" t="n">
        <v>5</v>
      </c>
      <c r="M115" s="2" t="n">
        <v>0</v>
      </c>
      <c r="N115" s="2" t="n">
        <v>0</v>
      </c>
      <c r="O115" s="4" t="n">
        <v>3</v>
      </c>
      <c r="Q115" s="2" t="n">
        <v>143</v>
      </c>
      <c r="R115" s="0" t="s">
        <v>333</v>
      </c>
      <c r="S115" s="0" t="s">
        <v>8440</v>
      </c>
    </row>
    <row r="116" customFormat="false" ht="13.8" hidden="false" customHeight="false" outlineLevel="0" collapsed="false">
      <c r="A116" s="0" t="s">
        <v>208</v>
      </c>
      <c r="B116" s="0" t="n">
        <v>33</v>
      </c>
      <c r="C116" s="0" t="s">
        <v>8429</v>
      </c>
      <c r="D116" s="0" t="s">
        <v>43</v>
      </c>
      <c r="E116" s="0" t="s">
        <v>393</v>
      </c>
      <c r="F116" s="4" t="n">
        <v>97</v>
      </c>
      <c r="G116" s="2" t="n">
        <v>0</v>
      </c>
      <c r="H116" s="2" t="n">
        <v>0</v>
      </c>
      <c r="I116" s="4" t="n">
        <v>2</v>
      </c>
      <c r="J116" s="2" t="n">
        <v>10</v>
      </c>
      <c r="K116" s="2" t="s">
        <v>13</v>
      </c>
      <c r="L116" s="4" t="n">
        <v>1</v>
      </c>
      <c r="M116" s="2" t="n">
        <v>0</v>
      </c>
      <c r="N116" s="2" t="n">
        <v>0</v>
      </c>
      <c r="O116" s="4" t="n">
        <v>3</v>
      </c>
      <c r="Q116" s="2" t="n">
        <v>144</v>
      </c>
      <c r="R116" s="0" t="s">
        <v>393</v>
      </c>
      <c r="S116" s="0" t="s">
        <v>8441</v>
      </c>
    </row>
    <row r="117" customFormat="false" ht="13.8" hidden="false" customHeight="false" outlineLevel="0" collapsed="false">
      <c r="A117" s="0" t="s">
        <v>208</v>
      </c>
      <c r="B117" s="0" t="n">
        <v>33</v>
      </c>
      <c r="C117" s="0" t="s">
        <v>8429</v>
      </c>
      <c r="D117" s="0" t="s">
        <v>32</v>
      </c>
      <c r="E117" s="0" t="s">
        <v>96</v>
      </c>
      <c r="F117" s="4" t="n">
        <v>177</v>
      </c>
      <c r="G117" s="2" t="n">
        <v>0</v>
      </c>
      <c r="H117" s="2" t="n">
        <v>0</v>
      </c>
      <c r="I117" s="4" t="n">
        <v>2</v>
      </c>
      <c r="J117" s="2" t="n">
        <v>1.8</v>
      </c>
      <c r="K117" s="2" t="s">
        <v>20</v>
      </c>
      <c r="L117" s="4" t="n">
        <v>5</v>
      </c>
      <c r="M117" s="2" t="n">
        <v>0</v>
      </c>
      <c r="N117" s="2" t="n">
        <v>0</v>
      </c>
      <c r="O117" s="4" t="n">
        <v>3</v>
      </c>
      <c r="Q117" s="2" t="n">
        <v>145</v>
      </c>
      <c r="R117" s="0" t="s">
        <v>96</v>
      </c>
      <c r="S117" s="0" t="s">
        <v>8442</v>
      </c>
    </row>
    <row r="118" customFormat="false" ht="13.8" hidden="false" customHeight="false" outlineLevel="0" collapsed="false">
      <c r="A118" s="0" t="s">
        <v>375</v>
      </c>
      <c r="B118" s="0" t="n">
        <v>89</v>
      </c>
      <c r="C118" s="0" t="s">
        <v>8443</v>
      </c>
      <c r="D118" s="0" t="s">
        <v>565</v>
      </c>
      <c r="E118" s="0" t="s">
        <v>468</v>
      </c>
      <c r="F118" s="4" t="n">
        <v>176</v>
      </c>
      <c r="G118" s="2" t="n">
        <v>9</v>
      </c>
      <c r="H118" s="2" t="s">
        <v>7</v>
      </c>
      <c r="I118" s="4" t="n">
        <v>2</v>
      </c>
      <c r="J118" s="2" t="n">
        <v>0</v>
      </c>
      <c r="K118" s="2" t="n">
        <v>0</v>
      </c>
      <c r="L118" s="4" t="n">
        <v>1</v>
      </c>
      <c r="M118" s="2" t="n">
        <v>0</v>
      </c>
      <c r="N118" s="2" t="n">
        <v>0</v>
      </c>
      <c r="O118" s="4" t="n">
        <v>3</v>
      </c>
      <c r="P118" s="0" t="s">
        <v>566</v>
      </c>
      <c r="Q118" s="2" t="n">
        <v>148</v>
      </c>
      <c r="R118" s="0" t="s">
        <v>468</v>
      </c>
      <c r="S118" s="0" t="s">
        <v>8444</v>
      </c>
    </row>
    <row r="119" customFormat="false" ht="13.8" hidden="false" customHeight="false" outlineLevel="0" collapsed="false">
      <c r="A119" s="0" t="s">
        <v>375</v>
      </c>
      <c r="B119" s="0" t="n">
        <v>89</v>
      </c>
      <c r="C119" s="0" t="s">
        <v>8443</v>
      </c>
      <c r="D119" s="0" t="s">
        <v>21</v>
      </c>
      <c r="E119" s="0" t="s">
        <v>485</v>
      </c>
      <c r="F119" s="4" t="n">
        <v>195</v>
      </c>
      <c r="G119" s="2" t="n">
        <v>5</v>
      </c>
      <c r="H119" s="2" t="s">
        <v>7</v>
      </c>
      <c r="I119" s="4" t="n">
        <v>2</v>
      </c>
      <c r="J119" s="2" t="n">
        <v>0</v>
      </c>
      <c r="K119" s="2" t="n">
        <v>0</v>
      </c>
      <c r="L119" s="4" t="n">
        <v>1</v>
      </c>
      <c r="M119" s="2" t="n">
        <v>0</v>
      </c>
      <c r="N119" s="2" t="n">
        <v>0</v>
      </c>
      <c r="O119" s="4" t="n">
        <v>3</v>
      </c>
      <c r="P119" s="0" t="s">
        <v>567</v>
      </c>
      <c r="Q119" s="2" t="n">
        <v>149</v>
      </c>
      <c r="R119" s="0" t="s">
        <v>485</v>
      </c>
      <c r="S119" s="0" t="s">
        <v>8445</v>
      </c>
    </row>
    <row r="120" customFormat="false" ht="13.8" hidden="false" customHeight="false" outlineLevel="0" collapsed="false">
      <c r="A120" s="0" t="s">
        <v>375</v>
      </c>
      <c r="B120" s="0" t="n">
        <v>89</v>
      </c>
      <c r="C120" s="0" t="s">
        <v>8443</v>
      </c>
      <c r="D120" s="0" t="s">
        <v>564</v>
      </c>
      <c r="E120" s="0" t="s">
        <v>382</v>
      </c>
      <c r="F120" s="4" t="n">
        <v>91</v>
      </c>
      <c r="G120" s="2" t="n">
        <v>0</v>
      </c>
      <c r="H120" s="2" t="n">
        <v>0</v>
      </c>
      <c r="I120" s="4" t="n">
        <v>2</v>
      </c>
      <c r="J120" s="2" t="n">
        <v>1</v>
      </c>
      <c r="K120" s="2" t="s">
        <v>20</v>
      </c>
      <c r="L120" s="4" t="n">
        <v>5</v>
      </c>
      <c r="M120" s="2" t="n">
        <v>0</v>
      </c>
      <c r="N120" s="2" t="n">
        <v>0</v>
      </c>
      <c r="O120" s="4" t="n">
        <v>3</v>
      </c>
      <c r="Q120" s="2" t="n">
        <v>150</v>
      </c>
      <c r="R120" s="0" t="s">
        <v>382</v>
      </c>
      <c r="S120" s="0" t="s">
        <v>8446</v>
      </c>
    </row>
    <row r="121" customFormat="false" ht="13.8" hidden="false" customHeight="false" outlineLevel="0" collapsed="false">
      <c r="A121" s="0" t="s">
        <v>375</v>
      </c>
      <c r="B121" s="0" t="n">
        <v>89</v>
      </c>
      <c r="C121" s="0" t="s">
        <v>8443</v>
      </c>
      <c r="D121" s="0" t="s">
        <v>568</v>
      </c>
      <c r="E121" s="0" t="s">
        <v>312</v>
      </c>
      <c r="F121" s="4" t="n">
        <v>67</v>
      </c>
      <c r="G121" s="2" t="n">
        <v>0</v>
      </c>
      <c r="H121" s="2" t="n">
        <v>0</v>
      </c>
      <c r="I121" s="4" t="n">
        <v>2</v>
      </c>
      <c r="J121" s="2" t="n">
        <v>1.5</v>
      </c>
      <c r="K121" s="2" t="s">
        <v>20</v>
      </c>
      <c r="L121" s="4" t="n">
        <v>5</v>
      </c>
      <c r="M121" s="2" t="n">
        <v>0</v>
      </c>
      <c r="N121" s="2" t="n">
        <v>0</v>
      </c>
      <c r="O121" s="4" t="n">
        <v>3</v>
      </c>
      <c r="Q121" s="2" t="n">
        <v>151</v>
      </c>
      <c r="R121" s="0" t="s">
        <v>312</v>
      </c>
      <c r="S121" s="0" t="s">
        <v>8447</v>
      </c>
    </row>
    <row r="122" customFormat="false" ht="13.8" hidden="false" customHeight="false" outlineLevel="0" collapsed="false">
      <c r="A122" s="0" t="s">
        <v>375</v>
      </c>
      <c r="B122" s="0" t="n">
        <v>89</v>
      </c>
      <c r="C122" s="0" t="s">
        <v>8443</v>
      </c>
      <c r="D122" s="0" t="s">
        <v>569</v>
      </c>
      <c r="E122" s="0" t="s">
        <v>399</v>
      </c>
      <c r="F122" s="4" t="n">
        <v>103</v>
      </c>
      <c r="G122" s="2" t="n">
        <v>0</v>
      </c>
      <c r="H122" s="2" t="n">
        <v>0</v>
      </c>
      <c r="I122" s="4" t="n">
        <v>2</v>
      </c>
      <c r="J122" s="2" t="n">
        <v>0.5</v>
      </c>
      <c r="K122" s="2" t="s">
        <v>20</v>
      </c>
      <c r="L122" s="4" t="n">
        <v>5</v>
      </c>
      <c r="M122" s="2" t="n">
        <v>0</v>
      </c>
      <c r="N122" s="2" t="n">
        <v>0</v>
      </c>
      <c r="O122" s="4" t="n">
        <v>3</v>
      </c>
      <c r="Q122" s="2" t="n">
        <v>152</v>
      </c>
      <c r="R122" s="0" t="s">
        <v>399</v>
      </c>
      <c r="S122" s="0" t="s">
        <v>8448</v>
      </c>
    </row>
    <row r="123" customFormat="false" ht="13.8" hidden="false" customHeight="false" outlineLevel="0" collapsed="false">
      <c r="A123" s="0" t="s">
        <v>375</v>
      </c>
      <c r="B123" s="0" t="n">
        <v>89</v>
      </c>
      <c r="C123" s="0" t="s">
        <v>8443</v>
      </c>
      <c r="D123" s="0" t="s">
        <v>562</v>
      </c>
      <c r="E123" s="0" t="s">
        <v>391</v>
      </c>
      <c r="F123" s="4" t="n">
        <v>95</v>
      </c>
      <c r="G123" s="2" t="n">
        <v>0</v>
      </c>
      <c r="H123" s="2" t="n">
        <v>0</v>
      </c>
      <c r="I123" s="4" t="n">
        <v>2</v>
      </c>
      <c r="J123" s="2" t="n">
        <v>0.5</v>
      </c>
      <c r="K123" s="2" t="s">
        <v>20</v>
      </c>
      <c r="L123" s="4" t="n">
        <v>5</v>
      </c>
      <c r="M123" s="2" t="n">
        <v>0</v>
      </c>
      <c r="N123" s="2" t="n">
        <v>0</v>
      </c>
      <c r="O123" s="4" t="n">
        <v>3</v>
      </c>
      <c r="Q123" s="2" t="n">
        <v>153</v>
      </c>
      <c r="R123" s="0" t="s">
        <v>391</v>
      </c>
      <c r="S123" s="0" t="s">
        <v>8449</v>
      </c>
    </row>
    <row r="124" customFormat="false" ht="13.8" hidden="false" customHeight="false" outlineLevel="0" collapsed="false">
      <c r="A124" s="0" t="s">
        <v>375</v>
      </c>
      <c r="B124" s="0" t="n">
        <v>89</v>
      </c>
      <c r="C124" s="0" t="s">
        <v>8443</v>
      </c>
      <c r="D124" s="0" t="s">
        <v>37</v>
      </c>
      <c r="E124" s="0" t="s">
        <v>481</v>
      </c>
      <c r="F124" s="4" t="n">
        <v>191</v>
      </c>
      <c r="G124" s="2" t="n">
        <v>0</v>
      </c>
      <c r="H124" s="2" t="n">
        <v>0</v>
      </c>
      <c r="I124" s="4" t="n">
        <v>2</v>
      </c>
      <c r="J124" s="2" t="n">
        <v>1</v>
      </c>
      <c r="K124" s="2" t="s">
        <v>20</v>
      </c>
      <c r="L124" s="4" t="n">
        <v>5</v>
      </c>
      <c r="M124" s="2" t="n">
        <v>0</v>
      </c>
      <c r="N124" s="2" t="n">
        <v>0</v>
      </c>
      <c r="O124" s="4" t="n">
        <v>3</v>
      </c>
      <c r="Q124" s="2" t="n">
        <v>154</v>
      </c>
      <c r="R124" s="0" t="s">
        <v>481</v>
      </c>
      <c r="S124" s="0" t="s">
        <v>8450</v>
      </c>
    </row>
    <row r="125" customFormat="false" ht="13.8" hidden="false" customHeight="false" outlineLevel="0" collapsed="false">
      <c r="A125" s="0" t="s">
        <v>375</v>
      </c>
      <c r="B125" s="0" t="n">
        <v>89</v>
      </c>
      <c r="C125" s="0" t="s">
        <v>8443</v>
      </c>
      <c r="D125" s="0" t="s">
        <v>32</v>
      </c>
      <c r="E125" s="0" t="s">
        <v>96</v>
      </c>
      <c r="F125" s="4" t="n">
        <v>177</v>
      </c>
      <c r="G125" s="2" t="n">
        <v>0</v>
      </c>
      <c r="H125" s="2" t="n">
        <v>0</v>
      </c>
      <c r="I125" s="4" t="n">
        <v>2</v>
      </c>
      <c r="J125" s="2" t="n">
        <v>3</v>
      </c>
      <c r="K125" s="2" t="s">
        <v>20</v>
      </c>
      <c r="L125" s="4" t="n">
        <v>5</v>
      </c>
      <c r="M125" s="2" t="n">
        <v>0</v>
      </c>
      <c r="N125" s="2" t="n">
        <v>0</v>
      </c>
      <c r="O125" s="4" t="n">
        <v>3</v>
      </c>
      <c r="Q125" s="2" t="n">
        <v>155</v>
      </c>
      <c r="R125" s="0" t="s">
        <v>96</v>
      </c>
      <c r="S125" s="0" t="s">
        <v>8451</v>
      </c>
    </row>
    <row r="126" customFormat="false" ht="13.8" hidden="false" customHeight="false" outlineLevel="0" collapsed="false">
      <c r="A126" s="0" t="s">
        <v>375</v>
      </c>
      <c r="B126" s="0" t="n">
        <v>89</v>
      </c>
      <c r="C126" s="0" t="s">
        <v>8443</v>
      </c>
      <c r="D126" s="0" t="s">
        <v>553</v>
      </c>
      <c r="E126" s="0" t="s">
        <v>360</v>
      </c>
      <c r="F126" s="4" t="n">
        <v>83</v>
      </c>
      <c r="G126" s="2" t="n">
        <v>0</v>
      </c>
      <c r="H126" s="2" t="n">
        <v>0</v>
      </c>
      <c r="I126" s="4" t="n">
        <v>2</v>
      </c>
      <c r="J126" s="2" t="n">
        <v>1.5</v>
      </c>
      <c r="K126" s="2" t="s">
        <v>13</v>
      </c>
      <c r="L126" s="4" t="n">
        <v>1</v>
      </c>
      <c r="M126" s="2" t="n">
        <v>0</v>
      </c>
      <c r="N126" s="2" t="n">
        <v>0</v>
      </c>
      <c r="O126" s="4" t="n">
        <v>3</v>
      </c>
      <c r="Q126" s="2" t="n">
        <v>156</v>
      </c>
      <c r="R126" s="0" t="s">
        <v>360</v>
      </c>
      <c r="S126" s="0" t="s">
        <v>8452</v>
      </c>
    </row>
    <row r="127" customFormat="false" ht="13.8" hidden="false" customHeight="false" outlineLevel="0" collapsed="false">
      <c r="A127" s="0" t="s">
        <v>375</v>
      </c>
      <c r="B127" s="0" t="n">
        <v>89</v>
      </c>
      <c r="C127" s="0" t="s">
        <v>8443</v>
      </c>
      <c r="D127" s="0" t="s">
        <v>570</v>
      </c>
      <c r="E127" s="0" t="s">
        <v>456</v>
      </c>
      <c r="F127" s="4" t="n">
        <v>164</v>
      </c>
      <c r="G127" s="2" t="n">
        <v>0</v>
      </c>
      <c r="H127" s="2" t="n">
        <v>0</v>
      </c>
      <c r="I127" s="4" t="n">
        <v>2</v>
      </c>
      <c r="J127" s="2" t="n">
        <v>0.5</v>
      </c>
      <c r="K127" s="2" t="s">
        <v>20</v>
      </c>
      <c r="L127" s="4" t="n">
        <v>5</v>
      </c>
      <c r="M127" s="2" t="n">
        <v>0</v>
      </c>
      <c r="N127" s="2" t="n">
        <v>0</v>
      </c>
      <c r="O127" s="4" t="n">
        <v>3</v>
      </c>
      <c r="Q127" s="2" t="n">
        <v>157</v>
      </c>
      <c r="R127" s="0" t="s">
        <v>456</v>
      </c>
      <c r="S127" s="0" t="s">
        <v>8453</v>
      </c>
    </row>
    <row r="128" customFormat="false" ht="13.8" hidden="false" customHeight="false" outlineLevel="0" collapsed="false">
      <c r="A128" s="0" t="s">
        <v>375</v>
      </c>
      <c r="B128" s="0" t="n">
        <v>89</v>
      </c>
      <c r="C128" s="0" t="s">
        <v>8443</v>
      </c>
      <c r="D128" s="0" t="s">
        <v>14</v>
      </c>
      <c r="E128" s="0" t="s">
        <v>398</v>
      </c>
      <c r="F128" s="4" t="n">
        <v>102</v>
      </c>
      <c r="G128" s="2" t="n">
        <v>0</v>
      </c>
      <c r="H128" s="2" t="n">
        <v>0</v>
      </c>
      <c r="I128" s="4" t="n">
        <v>2</v>
      </c>
      <c r="J128" s="2" t="n">
        <v>0.75</v>
      </c>
      <c r="K128" s="2" t="s">
        <v>20</v>
      </c>
      <c r="L128" s="4" t="n">
        <v>5</v>
      </c>
      <c r="M128" s="2" t="n">
        <v>0</v>
      </c>
      <c r="N128" s="2" t="n">
        <v>0</v>
      </c>
      <c r="O128" s="4" t="n">
        <v>3</v>
      </c>
      <c r="Q128" s="2" t="n">
        <v>158</v>
      </c>
      <c r="R128" s="0" t="s">
        <v>398</v>
      </c>
      <c r="S128" s="0" t="s">
        <v>8454</v>
      </c>
    </row>
    <row r="129" customFormat="false" ht="13.8" hidden="false" customHeight="false" outlineLevel="0" collapsed="false">
      <c r="A129" s="0" t="s">
        <v>375</v>
      </c>
      <c r="B129" s="0" t="n">
        <v>89</v>
      </c>
      <c r="C129" s="0" t="s">
        <v>8443</v>
      </c>
      <c r="D129" s="0" t="s">
        <v>18</v>
      </c>
      <c r="E129" s="0" t="s">
        <v>102</v>
      </c>
      <c r="F129" s="4" t="n">
        <v>1</v>
      </c>
      <c r="G129" s="2" t="n">
        <v>0</v>
      </c>
      <c r="H129" s="2" t="n">
        <v>0</v>
      </c>
      <c r="I129" s="4" t="n">
        <v>2</v>
      </c>
      <c r="J129" s="2" t="n">
        <v>0.5</v>
      </c>
      <c r="K129" s="2" t="s">
        <v>13</v>
      </c>
      <c r="L129" s="4" t="n">
        <v>1</v>
      </c>
      <c r="M129" s="2" t="n">
        <v>0</v>
      </c>
      <c r="N129" s="2" t="n">
        <v>0</v>
      </c>
      <c r="O129" s="4" t="n">
        <v>3</v>
      </c>
      <c r="Q129" s="2" t="n">
        <v>159</v>
      </c>
      <c r="R129" s="0" t="s">
        <v>102</v>
      </c>
      <c r="S129" s="0" t="s">
        <v>8455</v>
      </c>
    </row>
    <row r="130" customFormat="false" ht="13.8" hidden="false" customHeight="false" outlineLevel="0" collapsed="false">
      <c r="A130" s="0" t="s">
        <v>375</v>
      </c>
      <c r="B130" s="0" t="n">
        <v>89</v>
      </c>
      <c r="C130" s="0" t="s">
        <v>8443</v>
      </c>
      <c r="D130" s="0" t="s">
        <v>554</v>
      </c>
      <c r="E130" s="0" t="s">
        <v>412</v>
      </c>
      <c r="F130" s="4" t="n">
        <v>117</v>
      </c>
      <c r="G130" s="2" t="n">
        <v>0</v>
      </c>
      <c r="H130" s="2" t="n">
        <v>0</v>
      </c>
      <c r="I130" s="4" t="n">
        <v>2</v>
      </c>
      <c r="J130" s="2" t="n">
        <v>1</v>
      </c>
      <c r="K130" s="2" t="s">
        <v>20</v>
      </c>
      <c r="L130" s="4" t="n">
        <v>5</v>
      </c>
      <c r="M130" s="2" t="n">
        <v>0</v>
      </c>
      <c r="N130" s="2" t="n">
        <v>0</v>
      </c>
      <c r="O130" s="4" t="n">
        <v>3</v>
      </c>
      <c r="Q130" s="2" t="n">
        <v>160</v>
      </c>
      <c r="R130" s="0" t="s">
        <v>412</v>
      </c>
      <c r="S130" s="0" t="s">
        <v>8456</v>
      </c>
    </row>
    <row r="131" customFormat="false" ht="13.8" hidden="false" customHeight="false" outlineLevel="0" collapsed="false">
      <c r="A131" s="0" t="s">
        <v>375</v>
      </c>
      <c r="B131" s="0" t="n">
        <v>89</v>
      </c>
      <c r="C131" s="0" t="s">
        <v>8443</v>
      </c>
      <c r="D131" s="0" t="s">
        <v>571</v>
      </c>
      <c r="E131" s="0" t="s">
        <v>44</v>
      </c>
      <c r="F131" s="4" t="n">
        <v>187</v>
      </c>
      <c r="G131" s="2" t="n">
        <v>0</v>
      </c>
      <c r="H131" s="2" t="n">
        <v>0</v>
      </c>
      <c r="I131" s="4" t="n">
        <v>2</v>
      </c>
      <c r="J131" s="2" t="n">
        <v>1</v>
      </c>
      <c r="K131" s="2" t="s">
        <v>20</v>
      </c>
      <c r="L131" s="4" t="n">
        <v>5</v>
      </c>
      <c r="M131" s="2" t="n">
        <v>0</v>
      </c>
      <c r="N131" s="2" t="n">
        <v>0</v>
      </c>
      <c r="O131" s="4" t="n">
        <v>3</v>
      </c>
      <c r="Q131" s="2" t="n">
        <v>161</v>
      </c>
      <c r="R131" s="0" t="s">
        <v>44</v>
      </c>
      <c r="S131" s="0" t="s">
        <v>8457</v>
      </c>
    </row>
    <row r="132" customFormat="false" ht="13.8" hidden="false" customHeight="false" outlineLevel="0" collapsed="false">
      <c r="A132" s="0" t="s">
        <v>375</v>
      </c>
      <c r="B132" s="0" t="n">
        <v>89</v>
      </c>
      <c r="C132" s="0" t="s">
        <v>8443</v>
      </c>
      <c r="D132" s="0" t="s">
        <v>539</v>
      </c>
      <c r="E132" s="0" t="s">
        <v>273</v>
      </c>
      <c r="F132" s="4" t="n">
        <v>54</v>
      </c>
      <c r="G132" s="2" t="n">
        <v>0</v>
      </c>
      <c r="H132" s="2" t="n">
        <v>0</v>
      </c>
      <c r="I132" s="4" t="n">
        <v>2</v>
      </c>
      <c r="J132" s="2" t="n">
        <v>0</v>
      </c>
      <c r="K132" s="2" t="n">
        <v>0</v>
      </c>
      <c r="L132" s="4" t="n">
        <v>1</v>
      </c>
      <c r="M132" s="2" t="n">
        <v>6</v>
      </c>
      <c r="N132" s="2" t="s">
        <v>107</v>
      </c>
      <c r="O132" s="4" t="n">
        <v>3</v>
      </c>
      <c r="P132" s="0" t="s">
        <v>572</v>
      </c>
      <c r="Q132" s="2" t="n">
        <v>162</v>
      </c>
      <c r="R132" s="0" t="s">
        <v>273</v>
      </c>
      <c r="S132" s="0" t="s">
        <v>8458</v>
      </c>
    </row>
    <row r="133" customFormat="false" ht="13.8" hidden="false" customHeight="false" outlineLevel="0" collapsed="false">
      <c r="A133" s="0" t="s">
        <v>375</v>
      </c>
      <c r="B133" s="0" t="n">
        <v>89</v>
      </c>
      <c r="C133" s="0" t="s">
        <v>8443</v>
      </c>
      <c r="D133" s="0" t="s">
        <v>573</v>
      </c>
      <c r="E133" s="0" t="s">
        <v>420</v>
      </c>
      <c r="F133" s="4" t="n">
        <v>125</v>
      </c>
      <c r="G133" s="2" t="n">
        <v>0</v>
      </c>
      <c r="H133" s="2" t="n">
        <v>0</v>
      </c>
      <c r="I133" s="4" t="n">
        <v>2</v>
      </c>
      <c r="J133" s="2" t="n">
        <v>1.25</v>
      </c>
      <c r="K133" s="2" t="s">
        <v>20</v>
      </c>
      <c r="L133" s="4" t="n">
        <v>5</v>
      </c>
      <c r="M133" s="2" t="n">
        <v>0</v>
      </c>
      <c r="N133" s="2" t="n">
        <v>0</v>
      </c>
      <c r="O133" s="4" t="n">
        <v>3</v>
      </c>
      <c r="Q133" s="2" t="n">
        <v>163</v>
      </c>
      <c r="R133" s="0" t="s">
        <v>420</v>
      </c>
      <c r="S133" s="0" t="s">
        <v>8459</v>
      </c>
    </row>
    <row r="134" customFormat="false" ht="13.8" hidden="false" customHeight="false" outlineLevel="0" collapsed="false">
      <c r="A134" s="0" t="s">
        <v>375</v>
      </c>
      <c r="B134" s="0" t="n">
        <v>89</v>
      </c>
      <c r="C134" s="0" t="s">
        <v>8443</v>
      </c>
      <c r="D134" s="0" t="s">
        <v>574</v>
      </c>
      <c r="E134" s="0" t="s">
        <v>357</v>
      </c>
      <c r="F134" s="4" t="n">
        <v>82</v>
      </c>
      <c r="G134" s="2" t="n">
        <v>0</v>
      </c>
      <c r="H134" s="2" t="n">
        <v>0</v>
      </c>
      <c r="I134" s="4" t="n">
        <v>2</v>
      </c>
      <c r="J134" s="2" t="n">
        <v>2.25</v>
      </c>
      <c r="K134" s="2" t="s">
        <v>20</v>
      </c>
      <c r="L134" s="4" t="n">
        <v>5</v>
      </c>
      <c r="M134" s="2" t="n">
        <v>0</v>
      </c>
      <c r="N134" s="2" t="n">
        <v>0</v>
      </c>
      <c r="O134" s="4" t="n">
        <v>3</v>
      </c>
      <c r="Q134" s="2" t="n">
        <v>164</v>
      </c>
      <c r="R134" s="0" t="s">
        <v>357</v>
      </c>
      <c r="S134" s="0" t="s">
        <v>8460</v>
      </c>
    </row>
    <row r="135" customFormat="false" ht="13.8" hidden="false" customHeight="false" outlineLevel="0" collapsed="false">
      <c r="A135" s="0" t="s">
        <v>375</v>
      </c>
      <c r="B135" s="0" t="n">
        <v>89</v>
      </c>
      <c r="C135" s="0" t="s">
        <v>8443</v>
      </c>
      <c r="D135" s="0" t="s">
        <v>557</v>
      </c>
      <c r="E135" s="0" t="s">
        <v>423</v>
      </c>
      <c r="F135" s="4" t="n">
        <v>129</v>
      </c>
      <c r="G135" s="2" t="n">
        <v>0</v>
      </c>
      <c r="H135" s="2" t="n">
        <v>0</v>
      </c>
      <c r="I135" s="4" t="n">
        <v>2</v>
      </c>
      <c r="J135" s="2" t="n">
        <v>2</v>
      </c>
      <c r="K135" s="2" t="s">
        <v>20</v>
      </c>
      <c r="L135" s="4" t="n">
        <v>5</v>
      </c>
      <c r="M135" s="2" t="n">
        <v>0</v>
      </c>
      <c r="N135" s="2" t="n">
        <v>0</v>
      </c>
      <c r="O135" s="4" t="n">
        <v>3</v>
      </c>
      <c r="Q135" s="2" t="n">
        <v>165</v>
      </c>
      <c r="R135" s="0" t="s">
        <v>423</v>
      </c>
      <c r="S135" s="0" t="s">
        <v>8461</v>
      </c>
    </row>
    <row r="136" customFormat="false" ht="13.8" hidden="false" customHeight="false" outlineLevel="0" collapsed="false">
      <c r="A136" s="0" t="s">
        <v>214</v>
      </c>
      <c r="B136" s="0" t="n">
        <v>35</v>
      </c>
      <c r="C136" s="0" t="s">
        <v>8462</v>
      </c>
      <c r="D136" s="0" t="s">
        <v>575</v>
      </c>
      <c r="E136" s="0" t="s">
        <v>462</v>
      </c>
      <c r="F136" s="4" t="n">
        <v>170</v>
      </c>
      <c r="G136" s="2" t="n">
        <v>5</v>
      </c>
      <c r="H136" s="2" t="s">
        <v>7</v>
      </c>
      <c r="I136" s="4" t="n">
        <v>2</v>
      </c>
      <c r="J136" s="2" t="n">
        <v>0</v>
      </c>
      <c r="K136" s="2" t="n">
        <v>0</v>
      </c>
      <c r="L136" s="4" t="n">
        <v>1</v>
      </c>
      <c r="M136" s="2" t="n">
        <v>0</v>
      </c>
      <c r="N136" s="2" t="n">
        <v>0</v>
      </c>
      <c r="O136" s="4" t="n">
        <v>3</v>
      </c>
      <c r="Q136" s="2" t="n">
        <v>168</v>
      </c>
      <c r="R136" s="0" t="s">
        <v>462</v>
      </c>
      <c r="S136" s="0" t="s">
        <v>8463</v>
      </c>
    </row>
    <row r="137" customFormat="false" ht="13.8" hidden="false" customHeight="false" outlineLevel="0" collapsed="false">
      <c r="A137" s="0" t="s">
        <v>214</v>
      </c>
      <c r="B137" s="0" t="n">
        <v>35</v>
      </c>
      <c r="C137" s="0" t="s">
        <v>8462</v>
      </c>
      <c r="D137" s="0" t="s">
        <v>576</v>
      </c>
      <c r="E137" s="0" t="s">
        <v>264</v>
      </c>
      <c r="F137" s="4" t="n">
        <v>51</v>
      </c>
      <c r="G137" s="2" t="n">
        <v>1</v>
      </c>
      <c r="H137" s="2" t="s">
        <v>7</v>
      </c>
      <c r="I137" s="4" t="n">
        <v>2</v>
      </c>
      <c r="J137" s="2" t="n">
        <v>0</v>
      </c>
      <c r="K137" s="2" t="n">
        <v>0</v>
      </c>
      <c r="L137" s="4" t="n">
        <v>1</v>
      </c>
      <c r="M137" s="2" t="n">
        <v>0</v>
      </c>
      <c r="N137" s="2" t="n">
        <v>0</v>
      </c>
      <c r="O137" s="4" t="n">
        <v>3</v>
      </c>
      <c r="Q137" s="2" t="n">
        <v>169</v>
      </c>
      <c r="R137" s="0" t="s">
        <v>264</v>
      </c>
      <c r="S137" s="0" t="s">
        <v>8464</v>
      </c>
    </row>
    <row r="138" customFormat="false" ht="13.8" hidden="false" customHeight="false" outlineLevel="0" collapsed="false">
      <c r="A138" s="0" t="s">
        <v>214</v>
      </c>
      <c r="B138" s="0" t="n">
        <v>35</v>
      </c>
      <c r="C138" s="0" t="s">
        <v>8462</v>
      </c>
      <c r="D138" s="0" t="s">
        <v>577</v>
      </c>
      <c r="E138" s="0" t="s">
        <v>249</v>
      </c>
      <c r="F138" s="4" t="n">
        <v>46</v>
      </c>
      <c r="G138" s="2" t="n">
        <v>0.5</v>
      </c>
      <c r="H138" s="2" t="s">
        <v>7</v>
      </c>
      <c r="I138" s="4" t="n">
        <v>2</v>
      </c>
      <c r="J138" s="2" t="n">
        <v>0</v>
      </c>
      <c r="K138" s="2" t="n">
        <v>0</v>
      </c>
      <c r="L138" s="4" t="n">
        <v>1</v>
      </c>
      <c r="M138" s="2" t="n">
        <v>0</v>
      </c>
      <c r="N138" s="2" t="n">
        <v>0</v>
      </c>
      <c r="O138" s="4" t="n">
        <v>3</v>
      </c>
      <c r="Q138" s="2" t="n">
        <v>170</v>
      </c>
      <c r="R138" s="0" t="s">
        <v>249</v>
      </c>
      <c r="S138" s="0" t="s">
        <v>8465</v>
      </c>
    </row>
    <row r="139" customFormat="false" ht="13.8" hidden="false" customHeight="false" outlineLevel="0" collapsed="false">
      <c r="A139" s="0" t="s">
        <v>214</v>
      </c>
      <c r="B139" s="0" t="n">
        <v>35</v>
      </c>
      <c r="C139" s="0" t="s">
        <v>8462</v>
      </c>
      <c r="D139" s="0" t="s">
        <v>22</v>
      </c>
      <c r="E139" s="0" t="s">
        <v>354</v>
      </c>
      <c r="F139" s="4" t="n">
        <v>81</v>
      </c>
      <c r="G139" s="2" t="n">
        <v>1</v>
      </c>
      <c r="H139" s="2" t="s">
        <v>7</v>
      </c>
      <c r="I139" s="4" t="n">
        <v>2</v>
      </c>
      <c r="J139" s="2" t="n">
        <v>0</v>
      </c>
      <c r="K139" s="2" t="n">
        <v>0</v>
      </c>
      <c r="L139" s="4" t="n">
        <v>1</v>
      </c>
      <c r="M139" s="2" t="n">
        <v>0</v>
      </c>
      <c r="N139" s="2" t="n">
        <v>0</v>
      </c>
      <c r="O139" s="4" t="n">
        <v>3</v>
      </c>
      <c r="Q139" s="2" t="n">
        <v>171</v>
      </c>
      <c r="R139" s="0" t="s">
        <v>354</v>
      </c>
      <c r="S139" s="0" t="s">
        <v>8466</v>
      </c>
    </row>
    <row r="140" customFormat="false" ht="13.8" hidden="false" customHeight="false" outlineLevel="0" collapsed="false">
      <c r="A140" s="0" t="s">
        <v>214</v>
      </c>
      <c r="B140" s="0" t="n">
        <v>35</v>
      </c>
      <c r="C140" s="0" t="s">
        <v>8462</v>
      </c>
      <c r="D140" s="0" t="s">
        <v>18</v>
      </c>
      <c r="E140" s="0" t="s">
        <v>102</v>
      </c>
      <c r="F140" s="4" t="n">
        <v>1</v>
      </c>
      <c r="G140" s="2" t="n">
        <v>0</v>
      </c>
      <c r="H140" s="2" t="n">
        <v>0</v>
      </c>
      <c r="I140" s="4" t="n">
        <v>2</v>
      </c>
      <c r="J140" s="2" t="n">
        <v>1</v>
      </c>
      <c r="K140" s="2" t="s">
        <v>20</v>
      </c>
      <c r="L140" s="4" t="n">
        <v>5</v>
      </c>
      <c r="M140" s="2" t="n">
        <v>0</v>
      </c>
      <c r="N140" s="2" t="n">
        <v>0</v>
      </c>
      <c r="O140" s="4" t="n">
        <v>3</v>
      </c>
      <c r="Q140" s="2" t="n">
        <v>172</v>
      </c>
      <c r="R140" s="0" t="s">
        <v>102</v>
      </c>
      <c r="S140" s="0" t="s">
        <v>8467</v>
      </c>
    </row>
    <row r="141" customFormat="false" ht="13.8" hidden="false" customHeight="false" outlineLevel="0" collapsed="false">
      <c r="A141" s="0" t="s">
        <v>214</v>
      </c>
      <c r="B141" s="0" t="n">
        <v>35</v>
      </c>
      <c r="C141" s="0" t="s">
        <v>8462</v>
      </c>
      <c r="D141" s="0" t="s">
        <v>578</v>
      </c>
      <c r="E141" s="0" t="s">
        <v>503</v>
      </c>
      <c r="F141" s="4" t="n">
        <v>214</v>
      </c>
      <c r="G141" s="2" t="n">
        <v>0</v>
      </c>
      <c r="H141" s="2" t="n">
        <v>0</v>
      </c>
      <c r="I141" s="4" t="n">
        <v>2</v>
      </c>
      <c r="J141" s="2" t="n">
        <v>20</v>
      </c>
      <c r="K141" s="2" t="s">
        <v>13</v>
      </c>
      <c r="L141" s="4" t="n">
        <v>1</v>
      </c>
      <c r="M141" s="2" t="n">
        <v>0</v>
      </c>
      <c r="N141" s="2" t="n">
        <v>0</v>
      </c>
      <c r="O141" s="4" t="n">
        <v>3</v>
      </c>
      <c r="Q141" s="2" t="n">
        <v>173</v>
      </c>
      <c r="R141" s="0" t="s">
        <v>503</v>
      </c>
      <c r="S141" s="0" t="s">
        <v>8468</v>
      </c>
    </row>
    <row r="142" customFormat="false" ht="13.8" hidden="false" customHeight="false" outlineLevel="0" collapsed="false">
      <c r="A142" s="0" t="s">
        <v>214</v>
      </c>
      <c r="B142" s="0" t="n">
        <v>35</v>
      </c>
      <c r="C142" s="0" t="s">
        <v>8462</v>
      </c>
      <c r="D142" s="0" t="s">
        <v>539</v>
      </c>
      <c r="E142" s="0" t="s">
        <v>273</v>
      </c>
      <c r="F142" s="4" t="n">
        <v>54</v>
      </c>
      <c r="G142" s="2" t="n">
        <v>0</v>
      </c>
      <c r="H142" s="2" t="n">
        <v>0</v>
      </c>
      <c r="I142" s="4" t="n">
        <v>2</v>
      </c>
      <c r="J142" s="2" t="n">
        <v>0</v>
      </c>
      <c r="K142" s="2" t="n">
        <v>0</v>
      </c>
      <c r="L142" s="4" t="n">
        <v>1</v>
      </c>
      <c r="M142" s="2" t="n">
        <v>4</v>
      </c>
      <c r="N142" s="2" t="s">
        <v>107</v>
      </c>
      <c r="O142" s="4" t="n">
        <v>3</v>
      </c>
      <c r="Q142" s="2" t="n">
        <v>174</v>
      </c>
      <c r="R142" s="0" t="s">
        <v>273</v>
      </c>
      <c r="S142" s="0" t="s">
        <v>8469</v>
      </c>
    </row>
    <row r="143" customFormat="false" ht="13.8" hidden="false" customHeight="false" outlineLevel="0" collapsed="false">
      <c r="A143" s="0" t="s">
        <v>214</v>
      </c>
      <c r="B143" s="0" t="n">
        <v>35</v>
      </c>
      <c r="C143" s="0" t="s">
        <v>8462</v>
      </c>
      <c r="D143" s="0" t="s">
        <v>571</v>
      </c>
      <c r="E143" s="0" t="s">
        <v>44</v>
      </c>
      <c r="F143" s="4" t="n">
        <v>187</v>
      </c>
      <c r="G143" s="2" t="n">
        <v>0</v>
      </c>
      <c r="H143" s="2" t="n">
        <v>0</v>
      </c>
      <c r="I143" s="4" t="n">
        <v>2</v>
      </c>
      <c r="J143" s="2" t="n">
        <v>1</v>
      </c>
      <c r="K143" s="2" t="s">
        <v>20</v>
      </c>
      <c r="L143" s="4" t="n">
        <v>5</v>
      </c>
      <c r="M143" s="2" t="n">
        <v>0</v>
      </c>
      <c r="N143" s="2" t="n">
        <v>0</v>
      </c>
      <c r="O143" s="4" t="n">
        <v>3</v>
      </c>
      <c r="Q143" s="2" t="n">
        <v>175</v>
      </c>
      <c r="R143" s="0" t="s">
        <v>44</v>
      </c>
      <c r="S143" s="0" t="s">
        <v>8470</v>
      </c>
    </row>
    <row r="144" customFormat="false" ht="13.8" hidden="false" customHeight="false" outlineLevel="0" collapsed="false">
      <c r="A144" s="0" t="s">
        <v>214</v>
      </c>
      <c r="B144" s="0" t="n">
        <v>35</v>
      </c>
      <c r="C144" s="0" t="s">
        <v>8462</v>
      </c>
      <c r="D144" s="0" t="s">
        <v>579</v>
      </c>
      <c r="E144" s="0" t="s">
        <v>418</v>
      </c>
      <c r="F144" s="4" t="n">
        <v>123</v>
      </c>
      <c r="G144" s="2" t="n">
        <v>0</v>
      </c>
      <c r="H144" s="2" t="n">
        <v>0</v>
      </c>
      <c r="I144" s="4" t="n">
        <v>2</v>
      </c>
      <c r="J144" s="2" t="n">
        <v>1</v>
      </c>
      <c r="K144" s="2" t="s">
        <v>13</v>
      </c>
      <c r="L144" s="4" t="n">
        <v>1</v>
      </c>
      <c r="M144" s="2" t="n">
        <v>0</v>
      </c>
      <c r="N144" s="2" t="n">
        <v>0</v>
      </c>
      <c r="O144" s="4" t="n">
        <v>3</v>
      </c>
      <c r="Q144" s="2" t="n">
        <v>176</v>
      </c>
      <c r="R144" s="0" t="s">
        <v>418</v>
      </c>
      <c r="S144" s="0" t="s">
        <v>8471</v>
      </c>
    </row>
    <row r="145" customFormat="false" ht="13.8" hidden="false" customHeight="false" outlineLevel="0" collapsed="false">
      <c r="A145" s="0" t="s">
        <v>214</v>
      </c>
      <c r="B145" s="0" t="n">
        <v>35</v>
      </c>
      <c r="C145" s="0" t="s">
        <v>8462</v>
      </c>
      <c r="D145" s="0" t="s">
        <v>14</v>
      </c>
      <c r="E145" s="0" t="s">
        <v>398</v>
      </c>
      <c r="F145" s="4" t="n">
        <v>102</v>
      </c>
      <c r="G145" s="2" t="n">
        <v>0</v>
      </c>
      <c r="H145" s="2" t="n">
        <v>0</v>
      </c>
      <c r="I145" s="4" t="n">
        <v>2</v>
      </c>
      <c r="J145" s="2" t="n">
        <v>0.75</v>
      </c>
      <c r="K145" s="2" t="s">
        <v>20</v>
      </c>
      <c r="L145" s="4" t="n">
        <v>5</v>
      </c>
      <c r="M145" s="2" t="n">
        <v>0</v>
      </c>
      <c r="N145" s="2" t="n">
        <v>0</v>
      </c>
      <c r="O145" s="4" t="n">
        <v>3</v>
      </c>
      <c r="Q145" s="2" t="n">
        <v>177</v>
      </c>
      <c r="R145" s="0" t="s">
        <v>398</v>
      </c>
      <c r="S145" s="0" t="s">
        <v>8472</v>
      </c>
    </row>
    <row r="146" customFormat="false" ht="13.8" hidden="false" customHeight="false" outlineLevel="0" collapsed="false">
      <c r="A146" s="0" t="s">
        <v>214</v>
      </c>
      <c r="B146" s="0" t="n">
        <v>35</v>
      </c>
      <c r="C146" s="0" t="s">
        <v>8462</v>
      </c>
      <c r="D146" s="0" t="s">
        <v>32</v>
      </c>
      <c r="E146" s="0" t="s">
        <v>96</v>
      </c>
      <c r="F146" s="4" t="n">
        <v>177</v>
      </c>
      <c r="G146" s="2" t="n">
        <v>0</v>
      </c>
      <c r="H146" s="2" t="n">
        <v>0</v>
      </c>
      <c r="I146" s="4" t="n">
        <v>2</v>
      </c>
      <c r="J146" s="2" t="n">
        <v>1</v>
      </c>
      <c r="K146" s="2" t="s">
        <v>20</v>
      </c>
      <c r="L146" s="4" t="n">
        <v>5</v>
      </c>
      <c r="M146" s="2" t="n">
        <v>0</v>
      </c>
      <c r="N146" s="2" t="n">
        <v>0</v>
      </c>
      <c r="O146" s="4" t="n">
        <v>3</v>
      </c>
      <c r="Q146" s="2" t="n">
        <v>178</v>
      </c>
      <c r="R146" s="0" t="s">
        <v>96</v>
      </c>
      <c r="S146" s="0" t="s">
        <v>8473</v>
      </c>
    </row>
    <row r="147" customFormat="false" ht="13.8" hidden="false" customHeight="false" outlineLevel="0" collapsed="false">
      <c r="A147" s="0" t="s">
        <v>160</v>
      </c>
      <c r="B147" s="0" t="n">
        <v>17</v>
      </c>
      <c r="C147" s="0" t="s">
        <v>8474</v>
      </c>
      <c r="D147" s="0" t="s">
        <v>580</v>
      </c>
      <c r="E147" s="0" t="s">
        <v>288</v>
      </c>
      <c r="F147" s="4" t="n">
        <v>59</v>
      </c>
      <c r="G147" s="2" t="n">
        <v>0</v>
      </c>
      <c r="H147" s="2" t="n">
        <v>0</v>
      </c>
      <c r="I147" s="4" t="n">
        <v>2</v>
      </c>
      <c r="J147" s="2" t="n">
        <v>20</v>
      </c>
      <c r="K147" s="2" t="s">
        <v>13</v>
      </c>
      <c r="L147" s="4" t="n">
        <v>1</v>
      </c>
      <c r="M147" s="2" t="n">
        <v>0</v>
      </c>
      <c r="N147" s="2" t="n">
        <v>0</v>
      </c>
      <c r="O147" s="4" t="n">
        <v>3</v>
      </c>
      <c r="Q147" s="2" t="n">
        <v>180</v>
      </c>
      <c r="R147" s="0" t="s">
        <v>288</v>
      </c>
      <c r="S147" s="0" t="s">
        <v>8475</v>
      </c>
    </row>
    <row r="148" customFormat="false" ht="13.8" hidden="false" customHeight="false" outlineLevel="0" collapsed="false">
      <c r="A148" s="0" t="s">
        <v>160</v>
      </c>
      <c r="B148" s="0" t="n">
        <v>17</v>
      </c>
      <c r="C148" s="0" t="s">
        <v>8474</v>
      </c>
      <c r="D148" s="0" t="s">
        <v>32</v>
      </c>
      <c r="E148" s="0" t="s">
        <v>96</v>
      </c>
      <c r="F148" s="4" t="n">
        <v>177</v>
      </c>
      <c r="G148" s="2" t="n">
        <v>0</v>
      </c>
      <c r="H148" s="2" t="n">
        <v>0</v>
      </c>
      <c r="I148" s="4" t="n">
        <v>2</v>
      </c>
      <c r="J148" s="2" t="n">
        <v>1.25</v>
      </c>
      <c r="K148" s="2" t="s">
        <v>20</v>
      </c>
      <c r="L148" s="4" t="n">
        <v>5</v>
      </c>
      <c r="M148" s="2" t="n">
        <v>0</v>
      </c>
      <c r="N148" s="2" t="n">
        <v>0</v>
      </c>
      <c r="O148" s="4" t="n">
        <v>3</v>
      </c>
      <c r="Q148" s="2" t="n">
        <v>181</v>
      </c>
      <c r="R148" s="0" t="s">
        <v>96</v>
      </c>
      <c r="S148" s="0" t="s">
        <v>8476</v>
      </c>
    </row>
    <row r="149" customFormat="false" ht="13.8" hidden="false" customHeight="false" outlineLevel="0" collapsed="false">
      <c r="A149" s="0" t="s">
        <v>160</v>
      </c>
      <c r="B149" s="0" t="n">
        <v>17</v>
      </c>
      <c r="C149" s="0" t="s">
        <v>8474</v>
      </c>
      <c r="D149" s="0" t="s">
        <v>571</v>
      </c>
      <c r="E149" s="0" t="s">
        <v>44</v>
      </c>
      <c r="F149" s="4" t="n">
        <v>187</v>
      </c>
      <c r="G149" s="2" t="n">
        <v>0</v>
      </c>
      <c r="H149" s="2" t="n">
        <v>0</v>
      </c>
      <c r="I149" s="4" t="n">
        <v>2</v>
      </c>
      <c r="J149" s="2" t="n">
        <v>3</v>
      </c>
      <c r="K149" s="2" t="s">
        <v>20</v>
      </c>
      <c r="L149" s="4" t="n">
        <v>5</v>
      </c>
      <c r="M149" s="2" t="n">
        <v>0</v>
      </c>
      <c r="N149" s="2" t="n">
        <v>0</v>
      </c>
      <c r="O149" s="4" t="n">
        <v>3</v>
      </c>
      <c r="Q149" s="2" t="n">
        <v>182</v>
      </c>
      <c r="R149" s="0" t="s">
        <v>44</v>
      </c>
      <c r="S149" s="0" t="s">
        <v>8477</v>
      </c>
    </row>
    <row r="150" customFormat="false" ht="13.8" hidden="false" customHeight="false" outlineLevel="0" collapsed="false">
      <c r="A150" s="0" t="s">
        <v>160</v>
      </c>
      <c r="B150" s="0" t="n">
        <v>17</v>
      </c>
      <c r="C150" s="0" t="s">
        <v>8474</v>
      </c>
      <c r="D150" s="0" t="s">
        <v>581</v>
      </c>
      <c r="E150" s="0" t="s">
        <v>428</v>
      </c>
      <c r="F150" s="4" t="n">
        <v>134</v>
      </c>
      <c r="G150" s="2" t="n">
        <v>0</v>
      </c>
      <c r="H150" s="2" t="n">
        <v>0</v>
      </c>
      <c r="I150" s="4" t="n">
        <v>2</v>
      </c>
      <c r="J150" s="2" t="n">
        <v>0.4</v>
      </c>
      <c r="K150" s="2" t="s">
        <v>20</v>
      </c>
      <c r="L150" s="4" t="n">
        <v>5</v>
      </c>
      <c r="M150" s="2" t="n">
        <v>0</v>
      </c>
      <c r="N150" s="2" t="n">
        <v>0</v>
      </c>
      <c r="O150" s="4" t="n">
        <v>3</v>
      </c>
      <c r="Q150" s="2" t="n">
        <v>183</v>
      </c>
      <c r="R150" s="0" t="s">
        <v>428</v>
      </c>
      <c r="S150" s="0" t="s">
        <v>8478</v>
      </c>
    </row>
    <row r="151" customFormat="false" ht="13.8" hidden="false" customHeight="false" outlineLevel="0" collapsed="false">
      <c r="A151" s="0" t="s">
        <v>160</v>
      </c>
      <c r="B151" s="0" t="n">
        <v>17</v>
      </c>
      <c r="C151" s="0" t="s">
        <v>8474</v>
      </c>
      <c r="D151" s="0" t="s">
        <v>582</v>
      </c>
      <c r="E151" s="0" t="s">
        <v>398</v>
      </c>
      <c r="F151" s="4" t="n">
        <v>102</v>
      </c>
      <c r="G151" s="2" t="n">
        <v>0</v>
      </c>
      <c r="H151" s="2" t="n">
        <v>0</v>
      </c>
      <c r="I151" s="4" t="n">
        <v>2</v>
      </c>
      <c r="J151" s="2" t="n">
        <v>2.5</v>
      </c>
      <c r="K151" s="2" t="s">
        <v>20</v>
      </c>
      <c r="L151" s="4" t="n">
        <v>5</v>
      </c>
      <c r="M151" s="2" t="n">
        <v>0</v>
      </c>
      <c r="N151" s="2" t="n">
        <v>0</v>
      </c>
      <c r="O151" s="4" t="n">
        <v>3</v>
      </c>
      <c r="Q151" s="2" t="n">
        <v>184</v>
      </c>
      <c r="R151" s="0" t="s">
        <v>398</v>
      </c>
      <c r="S151" s="0" t="s">
        <v>8479</v>
      </c>
    </row>
    <row r="152" customFormat="false" ht="13.8" hidden="false" customHeight="false" outlineLevel="0" collapsed="false">
      <c r="A152" s="0" t="s">
        <v>160</v>
      </c>
      <c r="B152" s="0" t="n">
        <v>17</v>
      </c>
      <c r="C152" s="0" t="s">
        <v>8474</v>
      </c>
      <c r="D152" s="0" t="s">
        <v>583</v>
      </c>
      <c r="E152" s="0" t="s">
        <v>475</v>
      </c>
      <c r="F152" s="4" t="n">
        <v>184</v>
      </c>
      <c r="G152" s="2" t="n">
        <v>0</v>
      </c>
      <c r="H152" s="2" t="n">
        <v>0</v>
      </c>
      <c r="I152" s="4" t="n">
        <v>2</v>
      </c>
      <c r="J152" s="2" t="n">
        <v>0.4</v>
      </c>
      <c r="K152" s="2" t="s">
        <v>20</v>
      </c>
      <c r="L152" s="4" t="n">
        <v>5</v>
      </c>
      <c r="M152" s="2" t="n">
        <v>0</v>
      </c>
      <c r="N152" s="2" t="n">
        <v>0</v>
      </c>
      <c r="O152" s="4" t="n">
        <v>3</v>
      </c>
      <c r="Q152" s="2" t="n">
        <v>185</v>
      </c>
      <c r="R152" s="0" t="s">
        <v>475</v>
      </c>
      <c r="S152" s="0" t="s">
        <v>8480</v>
      </c>
    </row>
    <row r="153" customFormat="false" ht="13.8" hidden="false" customHeight="false" outlineLevel="0" collapsed="false">
      <c r="A153" s="0" t="s">
        <v>160</v>
      </c>
      <c r="B153" s="0" t="n">
        <v>17</v>
      </c>
      <c r="C153" s="0" t="s">
        <v>8474</v>
      </c>
      <c r="D153" s="0" t="s">
        <v>584</v>
      </c>
      <c r="E153" s="0" t="s">
        <v>255</v>
      </c>
      <c r="F153" s="4" t="n">
        <v>48</v>
      </c>
      <c r="G153" s="2" t="n">
        <v>0</v>
      </c>
      <c r="H153" s="2" t="n">
        <v>0</v>
      </c>
      <c r="I153" s="4" t="n">
        <v>2</v>
      </c>
      <c r="J153" s="2" t="n">
        <v>0</v>
      </c>
      <c r="K153" s="2" t="n">
        <v>0</v>
      </c>
      <c r="L153" s="4" t="n">
        <v>1</v>
      </c>
      <c r="M153" s="2" t="n">
        <v>0</v>
      </c>
      <c r="N153" s="2" t="n">
        <v>0</v>
      </c>
      <c r="O153" s="4" t="n">
        <v>3</v>
      </c>
      <c r="Q153" s="2" t="n">
        <v>186</v>
      </c>
      <c r="R153" s="0" t="s">
        <v>255</v>
      </c>
      <c r="S153" s="0" t="s">
        <v>8481</v>
      </c>
    </row>
    <row r="154" customFormat="false" ht="13.8" hidden="false" customHeight="false" outlineLevel="0" collapsed="false">
      <c r="A154" s="0" t="s">
        <v>160</v>
      </c>
      <c r="B154" s="0" t="n">
        <v>17</v>
      </c>
      <c r="C154" s="0" t="s">
        <v>8474</v>
      </c>
      <c r="D154" s="0" t="s">
        <v>585</v>
      </c>
      <c r="E154" s="0" t="s">
        <v>457</v>
      </c>
      <c r="F154" s="4" t="n">
        <v>165</v>
      </c>
      <c r="G154" s="2" t="n">
        <v>0</v>
      </c>
      <c r="H154" s="2" t="n">
        <v>0</v>
      </c>
      <c r="I154" s="4" t="n">
        <v>2</v>
      </c>
      <c r="J154" s="2" t="n">
        <v>1.25</v>
      </c>
      <c r="K154" s="2" t="s">
        <v>13</v>
      </c>
      <c r="L154" s="4" t="n">
        <v>1</v>
      </c>
      <c r="M154" s="2" t="n">
        <v>0</v>
      </c>
      <c r="N154" s="2" t="n">
        <v>0</v>
      </c>
      <c r="O154" s="4" t="n">
        <v>3</v>
      </c>
      <c r="Q154" s="2" t="n">
        <v>187</v>
      </c>
      <c r="R154" s="0" t="s">
        <v>457</v>
      </c>
      <c r="S154" s="0" t="s">
        <v>8482</v>
      </c>
    </row>
    <row r="155" customFormat="false" ht="13.8" hidden="false" customHeight="false" outlineLevel="0" collapsed="false">
      <c r="A155" s="0" t="s">
        <v>160</v>
      </c>
      <c r="B155" s="0" t="n">
        <v>17</v>
      </c>
      <c r="C155" s="0" t="s">
        <v>8474</v>
      </c>
      <c r="D155" s="0" t="s">
        <v>570</v>
      </c>
      <c r="E155" s="0" t="s">
        <v>456</v>
      </c>
      <c r="F155" s="4" t="n">
        <v>164</v>
      </c>
      <c r="G155" s="2" t="n">
        <v>0</v>
      </c>
      <c r="H155" s="2" t="n">
        <v>0</v>
      </c>
      <c r="I155" s="4" t="n">
        <v>2</v>
      </c>
      <c r="J155" s="2" t="n">
        <v>0.5</v>
      </c>
      <c r="K155" s="2" t="s">
        <v>20</v>
      </c>
      <c r="L155" s="4" t="n">
        <v>5</v>
      </c>
      <c r="M155" s="2" t="n">
        <v>0</v>
      </c>
      <c r="N155" s="2" t="n">
        <v>0</v>
      </c>
      <c r="O155" s="4" t="n">
        <v>3</v>
      </c>
      <c r="Q155" s="2" t="n">
        <v>188</v>
      </c>
      <c r="R155" s="0" t="s">
        <v>456</v>
      </c>
      <c r="S155" s="0" t="s">
        <v>8483</v>
      </c>
    </row>
    <row r="156" customFormat="false" ht="13.8" hidden="false" customHeight="false" outlineLevel="0" collapsed="false">
      <c r="A156" s="0" t="s">
        <v>160</v>
      </c>
      <c r="B156" s="0" t="n">
        <v>17</v>
      </c>
      <c r="C156" s="0" t="s">
        <v>8474</v>
      </c>
      <c r="D156" s="0" t="s">
        <v>562</v>
      </c>
      <c r="E156" s="0" t="s">
        <v>391</v>
      </c>
      <c r="F156" s="4" t="n">
        <v>95</v>
      </c>
      <c r="G156" s="2" t="n">
        <v>0</v>
      </c>
      <c r="H156" s="2" t="n">
        <v>0</v>
      </c>
      <c r="I156" s="4" t="n">
        <v>2</v>
      </c>
      <c r="J156" s="2" t="n">
        <v>0.25</v>
      </c>
      <c r="K156" s="2" t="s">
        <v>20</v>
      </c>
      <c r="L156" s="4" t="n">
        <v>5</v>
      </c>
      <c r="M156" s="2" t="n">
        <v>0</v>
      </c>
      <c r="N156" s="2" t="n">
        <v>0</v>
      </c>
      <c r="O156" s="4" t="n">
        <v>3</v>
      </c>
      <c r="Q156" s="2" t="n">
        <v>189</v>
      </c>
      <c r="R156" s="0" t="s">
        <v>391</v>
      </c>
      <c r="S156" s="0" t="s">
        <v>8484</v>
      </c>
    </row>
    <row r="157" customFormat="false" ht="13.8" hidden="false" customHeight="false" outlineLevel="0" collapsed="false">
      <c r="A157" s="0" t="s">
        <v>160</v>
      </c>
      <c r="B157" s="0" t="n">
        <v>17</v>
      </c>
      <c r="C157" s="0" t="s">
        <v>8474</v>
      </c>
      <c r="D157" s="0" t="s">
        <v>586</v>
      </c>
      <c r="E157" s="0" t="s">
        <v>38</v>
      </c>
      <c r="F157" s="4" t="n">
        <v>105</v>
      </c>
      <c r="G157" s="2" t="n">
        <v>0</v>
      </c>
      <c r="H157" s="2" t="n">
        <v>0</v>
      </c>
      <c r="I157" s="4" t="n">
        <v>2</v>
      </c>
      <c r="J157" s="2" t="n">
        <v>2</v>
      </c>
      <c r="K157" s="2" t="s">
        <v>20</v>
      </c>
      <c r="L157" s="4" t="n">
        <v>5</v>
      </c>
      <c r="M157" s="2" t="n">
        <v>0</v>
      </c>
      <c r="N157" s="2" t="n">
        <v>0</v>
      </c>
      <c r="O157" s="4" t="n">
        <v>3</v>
      </c>
      <c r="Q157" s="2" t="n">
        <v>190</v>
      </c>
      <c r="R157" s="0" t="s">
        <v>38</v>
      </c>
      <c r="S157" s="0" t="s">
        <v>8485</v>
      </c>
    </row>
    <row r="158" customFormat="false" ht="13.8" hidden="false" customHeight="false" outlineLevel="0" collapsed="false">
      <c r="A158" s="0" t="s">
        <v>160</v>
      </c>
      <c r="B158" s="0" t="n">
        <v>17</v>
      </c>
      <c r="C158" s="0" t="s">
        <v>8474</v>
      </c>
      <c r="D158" s="0" t="s">
        <v>18</v>
      </c>
      <c r="E158" s="0" t="s">
        <v>102</v>
      </c>
      <c r="F158" s="4" t="n">
        <v>1</v>
      </c>
      <c r="G158" s="2" t="n">
        <v>0</v>
      </c>
      <c r="H158" s="2" t="n">
        <v>0</v>
      </c>
      <c r="I158" s="4" t="n">
        <v>2</v>
      </c>
      <c r="J158" s="2" t="n">
        <v>2</v>
      </c>
      <c r="K158" s="2" t="s">
        <v>20</v>
      </c>
      <c r="L158" s="4" t="n">
        <v>5</v>
      </c>
      <c r="M158" s="2" t="n">
        <v>0</v>
      </c>
      <c r="N158" s="2" t="n">
        <v>0</v>
      </c>
      <c r="O158" s="4" t="n">
        <v>3</v>
      </c>
      <c r="Q158" s="2" t="n">
        <v>191</v>
      </c>
      <c r="R158" s="0" t="s">
        <v>102</v>
      </c>
      <c r="S158" s="0" t="s">
        <v>8486</v>
      </c>
    </row>
    <row r="159" customFormat="false" ht="13.8" hidden="false" customHeight="false" outlineLevel="0" collapsed="false">
      <c r="A159" s="0" t="s">
        <v>160</v>
      </c>
      <c r="B159" s="0" t="n">
        <v>17</v>
      </c>
      <c r="C159" s="0" t="s">
        <v>8474</v>
      </c>
      <c r="D159" s="0" t="s">
        <v>587</v>
      </c>
      <c r="E159" s="0" t="s">
        <v>198</v>
      </c>
      <c r="F159" s="4" t="n">
        <v>29</v>
      </c>
      <c r="G159" s="2" t="n">
        <v>25</v>
      </c>
      <c r="H159" s="2" t="s">
        <v>7</v>
      </c>
      <c r="I159" s="4" t="n">
        <v>2</v>
      </c>
      <c r="J159" s="2" t="n">
        <v>0</v>
      </c>
      <c r="K159" s="2" t="n">
        <v>0</v>
      </c>
      <c r="L159" s="4" t="n">
        <v>1</v>
      </c>
      <c r="M159" s="2" t="n">
        <v>0</v>
      </c>
      <c r="N159" s="2" t="n">
        <v>0</v>
      </c>
      <c r="O159" s="4" t="n">
        <v>3</v>
      </c>
      <c r="P159" s="0" t="s">
        <v>588</v>
      </c>
      <c r="Q159" s="2" t="n">
        <v>192</v>
      </c>
      <c r="R159" s="0" t="s">
        <v>198</v>
      </c>
      <c r="S159" s="0" t="s">
        <v>8487</v>
      </c>
    </row>
    <row r="160" customFormat="false" ht="13.8" hidden="false" customHeight="false" outlineLevel="0" collapsed="false">
      <c r="A160" s="0" t="s">
        <v>157</v>
      </c>
      <c r="B160" s="0" t="n">
        <v>16</v>
      </c>
      <c r="C160" s="0" t="s">
        <v>8488</v>
      </c>
      <c r="D160" s="0" t="s">
        <v>580</v>
      </c>
      <c r="E160" s="0" t="s">
        <v>288</v>
      </c>
      <c r="F160" s="4" t="n">
        <v>59</v>
      </c>
      <c r="G160" s="2" t="n">
        <v>0</v>
      </c>
      <c r="H160" s="2" t="n">
        <v>0</v>
      </c>
      <c r="I160" s="4" t="n">
        <v>2</v>
      </c>
      <c r="J160" s="2" t="n">
        <v>20</v>
      </c>
      <c r="K160" s="2" t="s">
        <v>13</v>
      </c>
      <c r="L160" s="4" t="n">
        <v>1</v>
      </c>
      <c r="M160" s="2" t="n">
        <v>0</v>
      </c>
      <c r="N160" s="2" t="n">
        <v>0</v>
      </c>
      <c r="O160" s="4" t="n">
        <v>3</v>
      </c>
      <c r="Q160" s="2" t="n">
        <v>195</v>
      </c>
      <c r="R160" s="0" t="s">
        <v>288</v>
      </c>
      <c r="S160" s="0" t="s">
        <v>8489</v>
      </c>
    </row>
    <row r="161" customFormat="false" ht="13.8" hidden="false" customHeight="false" outlineLevel="0" collapsed="false">
      <c r="A161" s="0" t="s">
        <v>157</v>
      </c>
      <c r="B161" s="0" t="n">
        <v>16</v>
      </c>
      <c r="C161" s="0" t="s">
        <v>8488</v>
      </c>
      <c r="D161" s="0" t="s">
        <v>32</v>
      </c>
      <c r="E161" s="0" t="s">
        <v>96</v>
      </c>
      <c r="F161" s="4" t="n">
        <v>177</v>
      </c>
      <c r="G161" s="2" t="n">
        <v>0</v>
      </c>
      <c r="H161" s="2" t="n">
        <v>0</v>
      </c>
      <c r="I161" s="4" t="n">
        <v>2</v>
      </c>
      <c r="J161" s="2" t="n">
        <v>1.25</v>
      </c>
      <c r="K161" s="2" t="s">
        <v>20</v>
      </c>
      <c r="L161" s="4" t="n">
        <v>5</v>
      </c>
      <c r="M161" s="2" t="n">
        <v>0</v>
      </c>
      <c r="N161" s="2" t="n">
        <v>0</v>
      </c>
      <c r="O161" s="4" t="n">
        <v>3</v>
      </c>
      <c r="Q161" s="2" t="n">
        <v>196</v>
      </c>
      <c r="R161" s="0" t="s">
        <v>96</v>
      </c>
      <c r="S161" s="0" t="s">
        <v>8490</v>
      </c>
    </row>
    <row r="162" customFormat="false" ht="13.8" hidden="false" customHeight="false" outlineLevel="0" collapsed="false">
      <c r="A162" s="0" t="s">
        <v>157</v>
      </c>
      <c r="B162" s="0" t="n">
        <v>16</v>
      </c>
      <c r="C162" s="0" t="s">
        <v>8488</v>
      </c>
      <c r="D162" s="0" t="s">
        <v>571</v>
      </c>
      <c r="E162" s="0" t="s">
        <v>44</v>
      </c>
      <c r="F162" s="4" t="n">
        <v>187</v>
      </c>
      <c r="G162" s="2" t="n">
        <v>0</v>
      </c>
      <c r="H162" s="2" t="n">
        <v>0</v>
      </c>
      <c r="I162" s="4" t="n">
        <v>2</v>
      </c>
      <c r="J162" s="2" t="n">
        <v>3</v>
      </c>
      <c r="K162" s="2" t="s">
        <v>20</v>
      </c>
      <c r="L162" s="4" t="n">
        <v>5</v>
      </c>
      <c r="M162" s="2" t="n">
        <v>0</v>
      </c>
      <c r="N162" s="2" t="n">
        <v>0</v>
      </c>
      <c r="O162" s="4" t="n">
        <v>3</v>
      </c>
      <c r="Q162" s="2" t="n">
        <v>197</v>
      </c>
      <c r="R162" s="0" t="s">
        <v>44</v>
      </c>
      <c r="S162" s="0" t="s">
        <v>8491</v>
      </c>
    </row>
    <row r="163" customFormat="false" ht="13.8" hidden="false" customHeight="false" outlineLevel="0" collapsed="false">
      <c r="A163" s="0" t="s">
        <v>157</v>
      </c>
      <c r="B163" s="0" t="n">
        <v>16</v>
      </c>
      <c r="C163" s="0" t="s">
        <v>8488</v>
      </c>
      <c r="D163" s="0" t="s">
        <v>581</v>
      </c>
      <c r="E163" s="0" t="s">
        <v>428</v>
      </c>
      <c r="F163" s="4" t="n">
        <v>134</v>
      </c>
      <c r="G163" s="2" t="n">
        <v>0</v>
      </c>
      <c r="H163" s="2" t="n">
        <v>0</v>
      </c>
      <c r="I163" s="4" t="n">
        <v>2</v>
      </c>
      <c r="J163" s="2" t="n">
        <v>0.4</v>
      </c>
      <c r="K163" s="2" t="s">
        <v>20</v>
      </c>
      <c r="L163" s="4" t="n">
        <v>5</v>
      </c>
      <c r="M163" s="2" t="n">
        <v>0</v>
      </c>
      <c r="N163" s="2" t="n">
        <v>0</v>
      </c>
      <c r="O163" s="4" t="n">
        <v>3</v>
      </c>
      <c r="Q163" s="2" t="n">
        <v>198</v>
      </c>
      <c r="R163" s="0" t="s">
        <v>428</v>
      </c>
      <c r="S163" s="0" t="s">
        <v>8492</v>
      </c>
    </row>
    <row r="164" customFormat="false" ht="13.8" hidden="false" customHeight="false" outlineLevel="0" collapsed="false">
      <c r="A164" s="0" t="s">
        <v>157</v>
      </c>
      <c r="B164" s="0" t="n">
        <v>16</v>
      </c>
      <c r="C164" s="0" t="s">
        <v>8488</v>
      </c>
      <c r="D164" s="0" t="s">
        <v>582</v>
      </c>
      <c r="E164" s="0" t="s">
        <v>398</v>
      </c>
      <c r="F164" s="4" t="n">
        <v>102</v>
      </c>
      <c r="G164" s="2" t="n">
        <v>0</v>
      </c>
      <c r="H164" s="2" t="n">
        <v>0</v>
      </c>
      <c r="I164" s="4" t="n">
        <v>2</v>
      </c>
      <c r="J164" s="2" t="n">
        <v>2.5</v>
      </c>
      <c r="K164" s="2" t="s">
        <v>20</v>
      </c>
      <c r="L164" s="4" t="n">
        <v>5</v>
      </c>
      <c r="M164" s="2" t="n">
        <v>0</v>
      </c>
      <c r="N164" s="2" t="n">
        <v>0</v>
      </c>
      <c r="O164" s="4" t="n">
        <v>3</v>
      </c>
      <c r="Q164" s="2" t="n">
        <v>199</v>
      </c>
      <c r="R164" s="0" t="s">
        <v>398</v>
      </c>
      <c r="S164" s="0" t="s">
        <v>8493</v>
      </c>
    </row>
    <row r="165" customFormat="false" ht="13.8" hidden="false" customHeight="false" outlineLevel="0" collapsed="false">
      <c r="A165" s="0" t="s">
        <v>157</v>
      </c>
      <c r="B165" s="0" t="n">
        <v>16</v>
      </c>
      <c r="C165" s="0" t="s">
        <v>8488</v>
      </c>
      <c r="D165" s="0" t="s">
        <v>583</v>
      </c>
      <c r="E165" s="0" t="s">
        <v>475</v>
      </c>
      <c r="F165" s="4" t="n">
        <v>184</v>
      </c>
      <c r="G165" s="2" t="n">
        <v>0</v>
      </c>
      <c r="H165" s="2" t="n">
        <v>0</v>
      </c>
      <c r="I165" s="4" t="n">
        <v>2</v>
      </c>
      <c r="J165" s="2" t="n">
        <v>0.4</v>
      </c>
      <c r="K165" s="2" t="s">
        <v>20</v>
      </c>
      <c r="L165" s="4" t="n">
        <v>5</v>
      </c>
      <c r="M165" s="2" t="n">
        <v>0</v>
      </c>
      <c r="N165" s="2" t="n">
        <v>0</v>
      </c>
      <c r="O165" s="4" t="n">
        <v>3</v>
      </c>
      <c r="Q165" s="2" t="n">
        <v>200</v>
      </c>
      <c r="R165" s="0" t="s">
        <v>475</v>
      </c>
      <c r="S165" s="0" t="s">
        <v>8494</v>
      </c>
    </row>
    <row r="166" customFormat="false" ht="13.8" hidden="false" customHeight="false" outlineLevel="0" collapsed="false">
      <c r="A166" s="0" t="s">
        <v>157</v>
      </c>
      <c r="B166" s="0" t="n">
        <v>16</v>
      </c>
      <c r="C166" s="0" t="s">
        <v>8488</v>
      </c>
      <c r="D166" s="0" t="s">
        <v>584</v>
      </c>
      <c r="E166" s="0" t="s">
        <v>255</v>
      </c>
      <c r="F166" s="4" t="n">
        <v>48</v>
      </c>
      <c r="G166" s="2" t="n">
        <v>0</v>
      </c>
      <c r="H166" s="2" t="n">
        <v>0</v>
      </c>
      <c r="I166" s="4" t="n">
        <v>2</v>
      </c>
      <c r="J166" s="2" t="n">
        <v>0</v>
      </c>
      <c r="K166" s="2" t="n">
        <v>0</v>
      </c>
      <c r="L166" s="4" t="n">
        <v>1</v>
      </c>
      <c r="M166" s="2" t="n">
        <v>0</v>
      </c>
      <c r="N166" s="2" t="n">
        <v>0</v>
      </c>
      <c r="O166" s="4" t="n">
        <v>3</v>
      </c>
      <c r="Q166" s="2" t="n">
        <v>201</v>
      </c>
      <c r="R166" s="0" t="s">
        <v>255</v>
      </c>
      <c r="S166" s="0" t="s">
        <v>8495</v>
      </c>
    </row>
    <row r="167" customFormat="false" ht="13.8" hidden="false" customHeight="false" outlineLevel="0" collapsed="false">
      <c r="A167" s="0" t="s">
        <v>157</v>
      </c>
      <c r="B167" s="0" t="n">
        <v>16</v>
      </c>
      <c r="C167" s="0" t="s">
        <v>8488</v>
      </c>
      <c r="D167" s="0" t="s">
        <v>585</v>
      </c>
      <c r="E167" s="0" t="s">
        <v>457</v>
      </c>
      <c r="F167" s="4" t="n">
        <v>165</v>
      </c>
      <c r="G167" s="2" t="n">
        <v>0</v>
      </c>
      <c r="H167" s="2" t="n">
        <v>0</v>
      </c>
      <c r="I167" s="4" t="n">
        <v>2</v>
      </c>
      <c r="J167" s="2" t="n">
        <v>1.25</v>
      </c>
      <c r="K167" s="2" t="s">
        <v>13</v>
      </c>
      <c r="L167" s="4" t="n">
        <v>1</v>
      </c>
      <c r="M167" s="2" t="n">
        <v>0</v>
      </c>
      <c r="N167" s="2" t="n">
        <v>0</v>
      </c>
      <c r="O167" s="4" t="n">
        <v>3</v>
      </c>
      <c r="Q167" s="2" t="n">
        <v>202</v>
      </c>
      <c r="R167" s="0" t="s">
        <v>457</v>
      </c>
      <c r="S167" s="0" t="s">
        <v>8496</v>
      </c>
    </row>
    <row r="168" customFormat="false" ht="13.8" hidden="false" customHeight="false" outlineLevel="0" collapsed="false">
      <c r="A168" s="0" t="s">
        <v>157</v>
      </c>
      <c r="B168" s="0" t="n">
        <v>16</v>
      </c>
      <c r="C168" s="0" t="s">
        <v>8488</v>
      </c>
      <c r="D168" s="0" t="s">
        <v>570</v>
      </c>
      <c r="E168" s="0" t="s">
        <v>456</v>
      </c>
      <c r="F168" s="4" t="n">
        <v>164</v>
      </c>
      <c r="G168" s="2" t="n">
        <v>0</v>
      </c>
      <c r="H168" s="2" t="n">
        <v>0</v>
      </c>
      <c r="I168" s="4" t="n">
        <v>2</v>
      </c>
      <c r="J168" s="2" t="n">
        <v>0.5</v>
      </c>
      <c r="K168" s="2" t="s">
        <v>20</v>
      </c>
      <c r="L168" s="4" t="n">
        <v>5</v>
      </c>
      <c r="M168" s="2" t="n">
        <v>0</v>
      </c>
      <c r="N168" s="2" t="n">
        <v>0</v>
      </c>
      <c r="O168" s="4" t="n">
        <v>3</v>
      </c>
      <c r="Q168" s="2" t="n">
        <v>203</v>
      </c>
      <c r="R168" s="0" t="s">
        <v>456</v>
      </c>
      <c r="S168" s="0" t="s">
        <v>8497</v>
      </c>
    </row>
    <row r="169" customFormat="false" ht="13.8" hidden="false" customHeight="false" outlineLevel="0" collapsed="false">
      <c r="A169" s="0" t="s">
        <v>157</v>
      </c>
      <c r="B169" s="0" t="n">
        <v>16</v>
      </c>
      <c r="C169" s="0" t="s">
        <v>8488</v>
      </c>
      <c r="D169" s="0" t="s">
        <v>562</v>
      </c>
      <c r="E169" s="0" t="s">
        <v>391</v>
      </c>
      <c r="F169" s="4" t="n">
        <v>95</v>
      </c>
      <c r="G169" s="2" t="n">
        <v>0</v>
      </c>
      <c r="H169" s="2" t="n">
        <v>0</v>
      </c>
      <c r="I169" s="4" t="n">
        <v>2</v>
      </c>
      <c r="J169" s="2" t="n">
        <v>0.25</v>
      </c>
      <c r="K169" s="2" t="s">
        <v>20</v>
      </c>
      <c r="L169" s="4" t="n">
        <v>5</v>
      </c>
      <c r="M169" s="2" t="n">
        <v>0</v>
      </c>
      <c r="N169" s="2" t="n">
        <v>0</v>
      </c>
      <c r="O169" s="4" t="n">
        <v>3</v>
      </c>
      <c r="Q169" s="2" t="n">
        <v>204</v>
      </c>
      <c r="R169" s="0" t="s">
        <v>391</v>
      </c>
      <c r="S169" s="0" t="s">
        <v>8498</v>
      </c>
    </row>
    <row r="170" customFormat="false" ht="13.8" hidden="false" customHeight="false" outlineLevel="0" collapsed="false">
      <c r="A170" s="0" t="s">
        <v>157</v>
      </c>
      <c r="B170" s="0" t="n">
        <v>16</v>
      </c>
      <c r="C170" s="0" t="s">
        <v>8488</v>
      </c>
      <c r="D170" s="0" t="s">
        <v>586</v>
      </c>
      <c r="E170" s="0" t="s">
        <v>38</v>
      </c>
      <c r="F170" s="4" t="n">
        <v>105</v>
      </c>
      <c r="G170" s="2" t="n">
        <v>0</v>
      </c>
      <c r="H170" s="2" t="n">
        <v>0</v>
      </c>
      <c r="I170" s="4" t="n">
        <v>2</v>
      </c>
      <c r="J170" s="2" t="n">
        <v>2</v>
      </c>
      <c r="K170" s="2" t="s">
        <v>20</v>
      </c>
      <c r="L170" s="4" t="n">
        <v>5</v>
      </c>
      <c r="M170" s="2" t="n">
        <v>0</v>
      </c>
      <c r="N170" s="2" t="n">
        <v>0</v>
      </c>
      <c r="O170" s="4" t="n">
        <v>3</v>
      </c>
      <c r="Q170" s="2" t="n">
        <v>205</v>
      </c>
      <c r="R170" s="0" t="s">
        <v>38</v>
      </c>
      <c r="S170" s="0" t="s">
        <v>8499</v>
      </c>
    </row>
    <row r="171" customFormat="false" ht="13.8" hidden="false" customHeight="false" outlineLevel="0" collapsed="false">
      <c r="A171" s="0" t="s">
        <v>157</v>
      </c>
      <c r="B171" s="0" t="n">
        <v>16</v>
      </c>
      <c r="C171" s="0" t="s">
        <v>8488</v>
      </c>
      <c r="D171" s="0" t="s">
        <v>18</v>
      </c>
      <c r="E171" s="0" t="s">
        <v>102</v>
      </c>
      <c r="F171" s="4" t="n">
        <v>1</v>
      </c>
      <c r="G171" s="2" t="n">
        <v>0</v>
      </c>
      <c r="H171" s="2" t="n">
        <v>0</v>
      </c>
      <c r="I171" s="4" t="n">
        <v>2</v>
      </c>
      <c r="J171" s="2" t="n">
        <v>2</v>
      </c>
      <c r="K171" s="2" t="s">
        <v>20</v>
      </c>
      <c r="L171" s="4" t="n">
        <v>5</v>
      </c>
      <c r="M171" s="2" t="n">
        <v>0</v>
      </c>
      <c r="N171" s="2" t="n">
        <v>0</v>
      </c>
      <c r="O171" s="4" t="n">
        <v>3</v>
      </c>
      <c r="Q171" s="2" t="n">
        <v>206</v>
      </c>
      <c r="R171" s="0" t="s">
        <v>102</v>
      </c>
      <c r="S171" s="0" t="s">
        <v>8500</v>
      </c>
    </row>
    <row r="172" customFormat="false" ht="13.8" hidden="false" customHeight="false" outlineLevel="0" collapsed="false">
      <c r="A172" s="0" t="s">
        <v>157</v>
      </c>
      <c r="B172" s="0" t="n">
        <v>16</v>
      </c>
      <c r="C172" s="0" t="s">
        <v>8488</v>
      </c>
      <c r="D172" s="0" t="s">
        <v>589</v>
      </c>
      <c r="E172" s="0" t="s">
        <v>174</v>
      </c>
      <c r="F172" s="4" t="n">
        <v>21</v>
      </c>
      <c r="G172" s="2" t="n">
        <v>35</v>
      </c>
      <c r="H172" s="2" t="s">
        <v>7</v>
      </c>
      <c r="I172" s="4" t="n">
        <v>2</v>
      </c>
      <c r="J172" s="2" t="n">
        <v>0</v>
      </c>
      <c r="K172" s="2" t="n">
        <v>0</v>
      </c>
      <c r="L172" s="4" t="n">
        <v>1</v>
      </c>
      <c r="M172" s="2" t="n">
        <v>0</v>
      </c>
      <c r="N172" s="2" t="n">
        <v>0</v>
      </c>
      <c r="O172" s="4" t="n">
        <v>3</v>
      </c>
      <c r="P172" s="0" t="s">
        <v>590</v>
      </c>
      <c r="Q172" s="2" t="n">
        <v>207</v>
      </c>
      <c r="R172" s="0" t="s">
        <v>174</v>
      </c>
      <c r="S172" s="0" t="s">
        <v>8501</v>
      </c>
    </row>
    <row r="173" customFormat="false" ht="13.8" hidden="false" customHeight="false" outlineLevel="0" collapsed="false">
      <c r="A173" s="0" t="s">
        <v>163</v>
      </c>
      <c r="B173" s="0" t="n">
        <v>18</v>
      </c>
      <c r="C173" s="0" t="s">
        <v>8502</v>
      </c>
      <c r="D173" s="0" t="s">
        <v>580</v>
      </c>
      <c r="E173" s="0" t="s">
        <v>288</v>
      </c>
      <c r="F173" s="4" t="n">
        <v>59</v>
      </c>
      <c r="G173" s="2" t="n">
        <v>0</v>
      </c>
      <c r="H173" s="2" t="n">
        <v>0</v>
      </c>
      <c r="I173" s="4" t="n">
        <v>2</v>
      </c>
      <c r="J173" s="2" t="n">
        <v>20</v>
      </c>
      <c r="K173" s="2" t="s">
        <v>13</v>
      </c>
      <c r="L173" s="4" t="n">
        <v>1</v>
      </c>
      <c r="M173" s="2" t="n">
        <v>0</v>
      </c>
      <c r="N173" s="2" t="n">
        <v>0</v>
      </c>
      <c r="O173" s="4" t="n">
        <v>3</v>
      </c>
      <c r="Q173" s="2" t="n">
        <v>210</v>
      </c>
      <c r="R173" s="0" t="s">
        <v>288</v>
      </c>
      <c r="S173" s="0" t="s">
        <v>8503</v>
      </c>
    </row>
    <row r="174" customFormat="false" ht="13.8" hidden="false" customHeight="false" outlineLevel="0" collapsed="false">
      <c r="A174" s="0" t="s">
        <v>163</v>
      </c>
      <c r="B174" s="0" t="n">
        <v>18</v>
      </c>
      <c r="C174" s="0" t="s">
        <v>8502</v>
      </c>
      <c r="D174" s="0" t="s">
        <v>32</v>
      </c>
      <c r="E174" s="0" t="s">
        <v>96</v>
      </c>
      <c r="F174" s="4" t="n">
        <v>177</v>
      </c>
      <c r="G174" s="2" t="n">
        <v>0</v>
      </c>
      <c r="H174" s="2" t="n">
        <v>0</v>
      </c>
      <c r="I174" s="4" t="n">
        <v>2</v>
      </c>
      <c r="J174" s="2" t="n">
        <v>1.25</v>
      </c>
      <c r="K174" s="2" t="s">
        <v>20</v>
      </c>
      <c r="L174" s="4" t="n">
        <v>5</v>
      </c>
      <c r="M174" s="2" t="n">
        <v>0</v>
      </c>
      <c r="N174" s="2" t="n">
        <v>0</v>
      </c>
      <c r="O174" s="4" t="n">
        <v>3</v>
      </c>
      <c r="Q174" s="2" t="n">
        <v>211</v>
      </c>
      <c r="R174" s="0" t="s">
        <v>96</v>
      </c>
      <c r="S174" s="0" t="s">
        <v>8504</v>
      </c>
    </row>
    <row r="175" customFormat="false" ht="13.8" hidden="false" customHeight="false" outlineLevel="0" collapsed="false">
      <c r="A175" s="0" t="s">
        <v>163</v>
      </c>
      <c r="B175" s="0" t="n">
        <v>18</v>
      </c>
      <c r="C175" s="0" t="s">
        <v>8502</v>
      </c>
      <c r="D175" s="0" t="s">
        <v>571</v>
      </c>
      <c r="E175" s="0" t="s">
        <v>44</v>
      </c>
      <c r="F175" s="4" t="n">
        <v>187</v>
      </c>
      <c r="G175" s="2" t="n">
        <v>0</v>
      </c>
      <c r="H175" s="2" t="n">
        <v>0</v>
      </c>
      <c r="I175" s="4" t="n">
        <v>2</v>
      </c>
      <c r="J175" s="2" t="n">
        <v>3</v>
      </c>
      <c r="K175" s="2" t="s">
        <v>20</v>
      </c>
      <c r="L175" s="4" t="n">
        <v>5</v>
      </c>
      <c r="M175" s="2" t="n">
        <v>0</v>
      </c>
      <c r="N175" s="2" t="n">
        <v>0</v>
      </c>
      <c r="O175" s="4" t="n">
        <v>3</v>
      </c>
      <c r="Q175" s="2" t="n">
        <v>212</v>
      </c>
      <c r="R175" s="0" t="s">
        <v>44</v>
      </c>
      <c r="S175" s="0" t="s">
        <v>8505</v>
      </c>
    </row>
    <row r="176" customFormat="false" ht="13.8" hidden="false" customHeight="false" outlineLevel="0" collapsed="false">
      <c r="A176" s="0" t="s">
        <v>163</v>
      </c>
      <c r="B176" s="0" t="n">
        <v>18</v>
      </c>
      <c r="C176" s="0" t="s">
        <v>8502</v>
      </c>
      <c r="D176" s="0" t="s">
        <v>581</v>
      </c>
      <c r="E176" s="0" t="s">
        <v>428</v>
      </c>
      <c r="F176" s="4" t="n">
        <v>134</v>
      </c>
      <c r="G176" s="2" t="n">
        <v>0</v>
      </c>
      <c r="H176" s="2" t="n">
        <v>0</v>
      </c>
      <c r="I176" s="4" t="n">
        <v>2</v>
      </c>
      <c r="J176" s="2" t="n">
        <v>0.4</v>
      </c>
      <c r="K176" s="2" t="s">
        <v>20</v>
      </c>
      <c r="L176" s="4" t="n">
        <v>5</v>
      </c>
      <c r="M176" s="2" t="n">
        <v>0</v>
      </c>
      <c r="N176" s="2" t="n">
        <v>0</v>
      </c>
      <c r="O176" s="4" t="n">
        <v>3</v>
      </c>
      <c r="Q176" s="2" t="n">
        <v>213</v>
      </c>
      <c r="R176" s="0" t="s">
        <v>428</v>
      </c>
      <c r="S176" s="0" t="s">
        <v>8506</v>
      </c>
    </row>
    <row r="177" customFormat="false" ht="13.8" hidden="false" customHeight="false" outlineLevel="0" collapsed="false">
      <c r="A177" s="0" t="s">
        <v>163</v>
      </c>
      <c r="B177" s="0" t="n">
        <v>18</v>
      </c>
      <c r="C177" s="0" t="s">
        <v>8502</v>
      </c>
      <c r="D177" s="0" t="s">
        <v>582</v>
      </c>
      <c r="E177" s="0" t="s">
        <v>398</v>
      </c>
      <c r="F177" s="4" t="n">
        <v>102</v>
      </c>
      <c r="G177" s="2" t="n">
        <v>0</v>
      </c>
      <c r="H177" s="2" t="n">
        <v>0</v>
      </c>
      <c r="I177" s="4" t="n">
        <v>2</v>
      </c>
      <c r="J177" s="2" t="n">
        <v>2.5</v>
      </c>
      <c r="K177" s="2" t="s">
        <v>20</v>
      </c>
      <c r="L177" s="4" t="n">
        <v>5</v>
      </c>
      <c r="M177" s="2" t="n">
        <v>0</v>
      </c>
      <c r="N177" s="2" t="n">
        <v>0</v>
      </c>
      <c r="O177" s="4" t="n">
        <v>3</v>
      </c>
      <c r="Q177" s="2" t="n">
        <v>214</v>
      </c>
      <c r="R177" s="0" t="s">
        <v>398</v>
      </c>
      <c r="S177" s="0" t="s">
        <v>8507</v>
      </c>
    </row>
    <row r="178" customFormat="false" ht="13.8" hidden="false" customHeight="false" outlineLevel="0" collapsed="false">
      <c r="A178" s="0" t="s">
        <v>163</v>
      </c>
      <c r="B178" s="0" t="n">
        <v>18</v>
      </c>
      <c r="C178" s="0" t="s">
        <v>8502</v>
      </c>
      <c r="D178" s="0" t="s">
        <v>583</v>
      </c>
      <c r="E178" s="0" t="s">
        <v>475</v>
      </c>
      <c r="F178" s="4" t="n">
        <v>184</v>
      </c>
      <c r="G178" s="2" t="n">
        <v>0</v>
      </c>
      <c r="H178" s="2" t="n">
        <v>0</v>
      </c>
      <c r="I178" s="4" t="n">
        <v>2</v>
      </c>
      <c r="J178" s="2" t="n">
        <v>0.4</v>
      </c>
      <c r="K178" s="2" t="s">
        <v>20</v>
      </c>
      <c r="L178" s="4" t="n">
        <v>5</v>
      </c>
      <c r="M178" s="2" t="n">
        <v>0</v>
      </c>
      <c r="N178" s="2" t="n">
        <v>0</v>
      </c>
      <c r="O178" s="4" t="n">
        <v>3</v>
      </c>
      <c r="Q178" s="2" t="n">
        <v>215</v>
      </c>
      <c r="R178" s="0" t="s">
        <v>475</v>
      </c>
      <c r="S178" s="0" t="s">
        <v>8508</v>
      </c>
    </row>
    <row r="179" customFormat="false" ht="13.8" hidden="false" customHeight="false" outlineLevel="0" collapsed="false">
      <c r="A179" s="0" t="s">
        <v>163</v>
      </c>
      <c r="B179" s="0" t="n">
        <v>18</v>
      </c>
      <c r="C179" s="0" t="s">
        <v>8502</v>
      </c>
      <c r="D179" s="0" t="s">
        <v>584</v>
      </c>
      <c r="E179" s="0" t="s">
        <v>255</v>
      </c>
      <c r="F179" s="4" t="n">
        <v>48</v>
      </c>
      <c r="G179" s="2" t="n">
        <v>0</v>
      </c>
      <c r="H179" s="2" t="n">
        <v>0</v>
      </c>
      <c r="I179" s="4" t="n">
        <v>2</v>
      </c>
      <c r="J179" s="2" t="n">
        <v>0</v>
      </c>
      <c r="K179" s="2" t="n">
        <v>0</v>
      </c>
      <c r="L179" s="4" t="n">
        <v>1</v>
      </c>
      <c r="M179" s="2" t="n">
        <v>0</v>
      </c>
      <c r="N179" s="2" t="n">
        <v>0</v>
      </c>
      <c r="O179" s="4" t="n">
        <v>3</v>
      </c>
      <c r="Q179" s="2" t="n">
        <v>216</v>
      </c>
      <c r="R179" s="0" t="s">
        <v>255</v>
      </c>
      <c r="S179" s="0" t="s">
        <v>8509</v>
      </c>
    </row>
    <row r="180" customFormat="false" ht="13.8" hidden="false" customHeight="false" outlineLevel="0" collapsed="false">
      <c r="A180" s="0" t="s">
        <v>163</v>
      </c>
      <c r="B180" s="0" t="n">
        <v>18</v>
      </c>
      <c r="C180" s="0" t="s">
        <v>8502</v>
      </c>
      <c r="D180" s="0" t="s">
        <v>585</v>
      </c>
      <c r="E180" s="0" t="s">
        <v>457</v>
      </c>
      <c r="F180" s="4" t="n">
        <v>165</v>
      </c>
      <c r="G180" s="2" t="n">
        <v>0</v>
      </c>
      <c r="H180" s="2" t="n">
        <v>0</v>
      </c>
      <c r="I180" s="4" t="n">
        <v>2</v>
      </c>
      <c r="J180" s="2" t="n">
        <v>1.25</v>
      </c>
      <c r="K180" s="2" t="s">
        <v>13</v>
      </c>
      <c r="L180" s="4" t="n">
        <v>1</v>
      </c>
      <c r="M180" s="2" t="n">
        <v>0</v>
      </c>
      <c r="N180" s="2" t="n">
        <v>0</v>
      </c>
      <c r="O180" s="4" t="n">
        <v>3</v>
      </c>
      <c r="Q180" s="2" t="n">
        <v>217</v>
      </c>
      <c r="R180" s="0" t="s">
        <v>457</v>
      </c>
      <c r="S180" s="0" t="s">
        <v>8510</v>
      </c>
    </row>
    <row r="181" customFormat="false" ht="13.8" hidden="false" customHeight="false" outlineLevel="0" collapsed="false">
      <c r="A181" s="0" t="s">
        <v>163</v>
      </c>
      <c r="B181" s="0" t="n">
        <v>18</v>
      </c>
      <c r="C181" s="0" t="s">
        <v>8502</v>
      </c>
      <c r="D181" s="0" t="s">
        <v>570</v>
      </c>
      <c r="E181" s="0" t="s">
        <v>456</v>
      </c>
      <c r="F181" s="4" t="n">
        <v>164</v>
      </c>
      <c r="G181" s="2" t="n">
        <v>0</v>
      </c>
      <c r="H181" s="2" t="n">
        <v>0</v>
      </c>
      <c r="I181" s="4" t="n">
        <v>2</v>
      </c>
      <c r="J181" s="2" t="n">
        <v>0.5</v>
      </c>
      <c r="K181" s="2" t="s">
        <v>20</v>
      </c>
      <c r="L181" s="4" t="n">
        <v>5</v>
      </c>
      <c r="M181" s="2" t="n">
        <v>0</v>
      </c>
      <c r="N181" s="2" t="n">
        <v>0</v>
      </c>
      <c r="O181" s="4" t="n">
        <v>3</v>
      </c>
      <c r="Q181" s="2" t="n">
        <v>218</v>
      </c>
      <c r="R181" s="0" t="s">
        <v>456</v>
      </c>
      <c r="S181" s="0" t="s">
        <v>8511</v>
      </c>
    </row>
    <row r="182" customFormat="false" ht="13.8" hidden="false" customHeight="false" outlineLevel="0" collapsed="false">
      <c r="A182" s="0" t="s">
        <v>163</v>
      </c>
      <c r="B182" s="0" t="n">
        <v>18</v>
      </c>
      <c r="C182" s="0" t="s">
        <v>8502</v>
      </c>
      <c r="D182" s="0" t="s">
        <v>562</v>
      </c>
      <c r="E182" s="0" t="s">
        <v>391</v>
      </c>
      <c r="F182" s="4" t="n">
        <v>95</v>
      </c>
      <c r="G182" s="2" t="n">
        <v>0</v>
      </c>
      <c r="H182" s="2" t="n">
        <v>0</v>
      </c>
      <c r="I182" s="4" t="n">
        <v>2</v>
      </c>
      <c r="J182" s="2" t="n">
        <v>0.25</v>
      </c>
      <c r="K182" s="2" t="s">
        <v>20</v>
      </c>
      <c r="L182" s="4" t="n">
        <v>5</v>
      </c>
      <c r="M182" s="2" t="n">
        <v>0</v>
      </c>
      <c r="N182" s="2" t="n">
        <v>0</v>
      </c>
      <c r="O182" s="4" t="n">
        <v>3</v>
      </c>
      <c r="Q182" s="2" t="n">
        <v>219</v>
      </c>
      <c r="R182" s="0" t="s">
        <v>391</v>
      </c>
      <c r="S182" s="0" t="s">
        <v>8512</v>
      </c>
    </row>
    <row r="183" customFormat="false" ht="13.8" hidden="false" customHeight="false" outlineLevel="0" collapsed="false">
      <c r="A183" s="0" t="s">
        <v>163</v>
      </c>
      <c r="B183" s="0" t="n">
        <v>18</v>
      </c>
      <c r="C183" s="0" t="s">
        <v>8502</v>
      </c>
      <c r="D183" s="0" t="s">
        <v>586</v>
      </c>
      <c r="E183" s="0" t="s">
        <v>38</v>
      </c>
      <c r="F183" s="4" t="n">
        <v>105</v>
      </c>
      <c r="G183" s="2" t="n">
        <v>0</v>
      </c>
      <c r="H183" s="2" t="n">
        <v>0</v>
      </c>
      <c r="I183" s="4" t="n">
        <v>2</v>
      </c>
      <c r="J183" s="2" t="n">
        <v>2</v>
      </c>
      <c r="K183" s="2" t="s">
        <v>20</v>
      </c>
      <c r="L183" s="4" t="n">
        <v>5</v>
      </c>
      <c r="M183" s="2" t="n">
        <v>0</v>
      </c>
      <c r="N183" s="2" t="n">
        <v>0</v>
      </c>
      <c r="O183" s="4" t="n">
        <v>3</v>
      </c>
      <c r="Q183" s="2" t="n">
        <v>220</v>
      </c>
      <c r="R183" s="0" t="s">
        <v>38</v>
      </c>
      <c r="S183" s="0" t="s">
        <v>8513</v>
      </c>
    </row>
    <row r="184" customFormat="false" ht="13.8" hidden="false" customHeight="false" outlineLevel="0" collapsed="false">
      <c r="A184" s="0" t="s">
        <v>163</v>
      </c>
      <c r="B184" s="0" t="n">
        <v>18</v>
      </c>
      <c r="C184" s="0" t="s">
        <v>8502</v>
      </c>
      <c r="D184" s="0" t="s">
        <v>18</v>
      </c>
      <c r="E184" s="0" t="s">
        <v>102</v>
      </c>
      <c r="F184" s="4" t="n">
        <v>1</v>
      </c>
      <c r="G184" s="2" t="n">
        <v>0</v>
      </c>
      <c r="H184" s="2" t="n">
        <v>0</v>
      </c>
      <c r="I184" s="4" t="n">
        <v>2</v>
      </c>
      <c r="J184" s="2" t="n">
        <v>2</v>
      </c>
      <c r="K184" s="2" t="s">
        <v>20</v>
      </c>
      <c r="L184" s="4" t="n">
        <v>5</v>
      </c>
      <c r="M184" s="2" t="n">
        <v>0</v>
      </c>
      <c r="N184" s="2" t="n">
        <v>0</v>
      </c>
      <c r="O184" s="4" t="n">
        <v>3</v>
      </c>
      <c r="Q184" s="2" t="n">
        <v>221</v>
      </c>
      <c r="R184" s="0" t="s">
        <v>102</v>
      </c>
      <c r="S184" s="0" t="s">
        <v>8514</v>
      </c>
    </row>
    <row r="185" customFormat="false" ht="13.8" hidden="false" customHeight="false" outlineLevel="0" collapsed="false">
      <c r="A185" s="0" t="s">
        <v>163</v>
      </c>
      <c r="B185" s="0" t="n">
        <v>18</v>
      </c>
      <c r="C185" s="0" t="s">
        <v>8502</v>
      </c>
      <c r="D185" s="0" t="s">
        <v>592</v>
      </c>
      <c r="E185" s="0" t="s">
        <v>451</v>
      </c>
      <c r="F185" s="4" t="n">
        <v>158</v>
      </c>
      <c r="G185" s="2" t="n">
        <v>25</v>
      </c>
      <c r="H185" s="2" t="s">
        <v>7</v>
      </c>
      <c r="I185" s="4" t="n">
        <v>2</v>
      </c>
      <c r="J185" s="2" t="n">
        <v>0</v>
      </c>
      <c r="K185" s="2" t="n">
        <v>0</v>
      </c>
      <c r="L185" s="4" t="n">
        <v>1</v>
      </c>
      <c r="M185" s="2" t="n">
        <v>0</v>
      </c>
      <c r="N185" s="2" t="n">
        <v>0</v>
      </c>
      <c r="O185" s="4" t="n">
        <v>3</v>
      </c>
      <c r="P185" s="0" t="s">
        <v>590</v>
      </c>
      <c r="Q185" s="2" t="n">
        <v>222</v>
      </c>
      <c r="R185" s="0" t="s">
        <v>451</v>
      </c>
      <c r="S185" s="0" t="s">
        <v>8515</v>
      </c>
    </row>
    <row r="186" customFormat="false" ht="13.8" hidden="false" customHeight="false" outlineLevel="0" collapsed="false">
      <c r="A186" s="0" t="s">
        <v>118</v>
      </c>
      <c r="B186" s="0" t="n">
        <v>5</v>
      </c>
      <c r="C186" s="0" t="s">
        <v>8516</v>
      </c>
      <c r="D186" s="0" t="s">
        <v>593</v>
      </c>
      <c r="E186" s="0" t="s">
        <v>407</v>
      </c>
      <c r="F186" s="4" t="n">
        <v>112</v>
      </c>
      <c r="G186" s="2" t="n">
        <v>6</v>
      </c>
      <c r="H186" s="2" t="s">
        <v>7</v>
      </c>
      <c r="I186" s="4" t="n">
        <v>2</v>
      </c>
      <c r="J186" s="2" t="n">
        <v>0</v>
      </c>
      <c r="K186" s="2" t="n">
        <v>0</v>
      </c>
      <c r="L186" s="4" t="n">
        <v>1</v>
      </c>
      <c r="M186" s="2" t="n">
        <v>0</v>
      </c>
      <c r="N186" s="2" t="n">
        <v>0</v>
      </c>
      <c r="O186" s="4" t="n">
        <v>3</v>
      </c>
      <c r="P186" s="0" t="s">
        <v>566</v>
      </c>
      <c r="Q186" s="2" t="n">
        <v>225</v>
      </c>
      <c r="R186" s="0" t="s">
        <v>407</v>
      </c>
      <c r="S186" s="0" t="s">
        <v>8517</v>
      </c>
    </row>
    <row r="187" customFormat="false" ht="13.8" hidden="false" customHeight="false" outlineLevel="0" collapsed="false">
      <c r="A187" s="0" t="s">
        <v>118</v>
      </c>
      <c r="B187" s="0" t="n">
        <v>5</v>
      </c>
      <c r="C187" s="0" t="s">
        <v>8516</v>
      </c>
      <c r="D187" s="0" t="s">
        <v>39</v>
      </c>
      <c r="E187" s="0" t="s">
        <v>228</v>
      </c>
      <c r="F187" s="4" t="n">
        <v>39</v>
      </c>
      <c r="G187" s="2" t="n">
        <v>2</v>
      </c>
      <c r="H187" s="2" t="s">
        <v>7</v>
      </c>
      <c r="I187" s="4" t="n">
        <v>2</v>
      </c>
      <c r="J187" s="2" t="n">
        <v>0</v>
      </c>
      <c r="K187" s="2" t="n">
        <v>0</v>
      </c>
      <c r="L187" s="4" t="n">
        <v>1</v>
      </c>
      <c r="M187" s="2" t="n">
        <v>0</v>
      </c>
      <c r="N187" s="2" t="n">
        <v>0</v>
      </c>
      <c r="O187" s="4" t="n">
        <v>3</v>
      </c>
      <c r="P187" s="0" t="s">
        <v>594</v>
      </c>
      <c r="Q187" s="2" t="n">
        <v>226</v>
      </c>
      <c r="R187" s="0" t="s">
        <v>228</v>
      </c>
      <c r="S187" s="0" t="s">
        <v>8518</v>
      </c>
    </row>
    <row r="188" customFormat="false" ht="13.8" hidden="false" customHeight="false" outlineLevel="0" collapsed="false">
      <c r="A188" s="0" t="s">
        <v>118</v>
      </c>
      <c r="B188" s="0" t="n">
        <v>5</v>
      </c>
      <c r="C188" s="0" t="s">
        <v>8516</v>
      </c>
      <c r="D188" s="0" t="s">
        <v>10</v>
      </c>
      <c r="E188" s="0" t="s">
        <v>130</v>
      </c>
      <c r="F188" s="4" t="n">
        <v>8</v>
      </c>
      <c r="G188" s="2" t="n">
        <v>9</v>
      </c>
      <c r="H188" s="2" t="s">
        <v>7</v>
      </c>
      <c r="I188" s="4" t="n">
        <v>2</v>
      </c>
      <c r="J188" s="2" t="n">
        <v>0</v>
      </c>
      <c r="K188" s="2" t="n">
        <v>0</v>
      </c>
      <c r="L188" s="4" t="n">
        <v>1</v>
      </c>
      <c r="M188" s="2" t="n">
        <v>0</v>
      </c>
      <c r="N188" s="2" t="n">
        <v>0</v>
      </c>
      <c r="O188" s="4" t="n">
        <v>3</v>
      </c>
      <c r="P188" s="0" t="s">
        <v>595</v>
      </c>
      <c r="Q188" s="2" t="n">
        <v>227</v>
      </c>
      <c r="R188" s="0" t="s">
        <v>130</v>
      </c>
      <c r="S188" s="0" t="s">
        <v>8519</v>
      </c>
    </row>
    <row r="189" customFormat="false" ht="13.8" hidden="false" customHeight="false" outlineLevel="0" collapsed="false">
      <c r="A189" s="0" t="s">
        <v>118</v>
      </c>
      <c r="B189" s="0" t="n">
        <v>5</v>
      </c>
      <c r="C189" s="0" t="s">
        <v>8516</v>
      </c>
      <c r="D189" s="0" t="s">
        <v>21</v>
      </c>
      <c r="E189" s="0" t="s">
        <v>485</v>
      </c>
      <c r="F189" s="4" t="n">
        <v>195</v>
      </c>
      <c r="G189" s="2" t="n">
        <v>6</v>
      </c>
      <c r="H189" s="2" t="s">
        <v>7</v>
      </c>
      <c r="I189" s="4" t="n">
        <v>2</v>
      </c>
      <c r="J189" s="2" t="n">
        <v>0</v>
      </c>
      <c r="K189" s="2" t="n">
        <v>0</v>
      </c>
      <c r="L189" s="4" t="n">
        <v>1</v>
      </c>
      <c r="M189" s="2" t="n">
        <v>0</v>
      </c>
      <c r="N189" s="2" t="n">
        <v>0</v>
      </c>
      <c r="O189" s="4" t="n">
        <v>3</v>
      </c>
      <c r="P189" s="0" t="s">
        <v>567</v>
      </c>
      <c r="Q189" s="2" t="n">
        <v>228</v>
      </c>
      <c r="R189" s="0" t="s">
        <v>485</v>
      </c>
      <c r="S189" s="0" t="s">
        <v>8520</v>
      </c>
    </row>
    <row r="190" customFormat="false" ht="13.8" hidden="false" customHeight="false" outlineLevel="0" collapsed="false">
      <c r="A190" s="0" t="s">
        <v>118</v>
      </c>
      <c r="B190" s="0" t="n">
        <v>5</v>
      </c>
      <c r="C190" s="0" t="s">
        <v>8516</v>
      </c>
      <c r="D190" s="0" t="s">
        <v>553</v>
      </c>
      <c r="E190" s="0" t="s">
        <v>360</v>
      </c>
      <c r="F190" s="4" t="n">
        <v>83</v>
      </c>
      <c r="G190" s="2" t="n">
        <v>0</v>
      </c>
      <c r="H190" s="2" t="n">
        <v>0</v>
      </c>
      <c r="I190" s="4" t="n">
        <v>2</v>
      </c>
      <c r="J190" s="2" t="n">
        <v>1</v>
      </c>
      <c r="K190" s="2" t="s">
        <v>13</v>
      </c>
      <c r="L190" s="4" t="n">
        <v>1</v>
      </c>
      <c r="M190" s="2" t="n">
        <v>0</v>
      </c>
      <c r="N190" s="2" t="n">
        <v>0</v>
      </c>
      <c r="O190" s="4" t="n">
        <v>3</v>
      </c>
      <c r="Q190" s="2" t="n">
        <v>229</v>
      </c>
      <c r="R190" s="0" t="s">
        <v>360</v>
      </c>
      <c r="S190" s="0" t="s">
        <v>8521</v>
      </c>
    </row>
    <row r="191" customFormat="false" ht="13.8" hidden="false" customHeight="false" outlineLevel="0" collapsed="false">
      <c r="A191" s="0" t="s">
        <v>118</v>
      </c>
      <c r="B191" s="0" t="n">
        <v>5</v>
      </c>
      <c r="C191" s="0" t="s">
        <v>8516</v>
      </c>
      <c r="D191" s="0" t="s">
        <v>562</v>
      </c>
      <c r="E191" s="0" t="s">
        <v>391</v>
      </c>
      <c r="F191" s="4" t="n">
        <v>95</v>
      </c>
      <c r="G191" s="2" t="n">
        <v>0</v>
      </c>
      <c r="H191" s="2" t="n">
        <v>0</v>
      </c>
      <c r="I191" s="4" t="n">
        <v>2</v>
      </c>
      <c r="J191" s="2" t="n">
        <v>0.3</v>
      </c>
      <c r="K191" s="2" t="s">
        <v>20</v>
      </c>
      <c r="L191" s="4" t="n">
        <v>5</v>
      </c>
      <c r="M191" s="2" t="n">
        <v>0</v>
      </c>
      <c r="N191" s="2" t="n">
        <v>0</v>
      </c>
      <c r="O191" s="4" t="n">
        <v>3</v>
      </c>
      <c r="Q191" s="2" t="n">
        <v>230</v>
      </c>
      <c r="R191" s="0" t="s">
        <v>391</v>
      </c>
      <c r="S191" s="0" t="s">
        <v>8522</v>
      </c>
    </row>
    <row r="192" customFormat="false" ht="13.8" hidden="false" customHeight="false" outlineLevel="0" collapsed="false">
      <c r="A192" s="0" t="s">
        <v>118</v>
      </c>
      <c r="B192" s="0" t="n">
        <v>5</v>
      </c>
      <c r="C192" s="0" t="s">
        <v>8516</v>
      </c>
      <c r="D192" s="0" t="s">
        <v>526</v>
      </c>
      <c r="E192" s="0" t="s">
        <v>386</v>
      </c>
      <c r="F192" s="4" t="n">
        <v>93</v>
      </c>
      <c r="G192" s="2" t="n">
        <v>0</v>
      </c>
      <c r="H192" s="2" t="n">
        <v>0</v>
      </c>
      <c r="I192" s="4" t="n">
        <v>2</v>
      </c>
      <c r="J192" s="2" t="n">
        <v>1</v>
      </c>
      <c r="K192" s="2" t="s">
        <v>20</v>
      </c>
      <c r="L192" s="4" t="n">
        <v>5</v>
      </c>
      <c r="M192" s="2" t="n">
        <v>0</v>
      </c>
      <c r="N192" s="2" t="n">
        <v>0</v>
      </c>
      <c r="O192" s="4" t="n">
        <v>3</v>
      </c>
      <c r="P192" s="0" t="s">
        <v>538</v>
      </c>
      <c r="Q192" s="2" t="n">
        <v>231</v>
      </c>
      <c r="R192" s="0" t="s">
        <v>386</v>
      </c>
      <c r="S192" s="0" t="s">
        <v>8523</v>
      </c>
    </row>
    <row r="193" customFormat="false" ht="13.8" hidden="false" customHeight="false" outlineLevel="0" collapsed="false">
      <c r="A193" s="0" t="s">
        <v>118</v>
      </c>
      <c r="B193" s="0" t="n">
        <v>5</v>
      </c>
      <c r="C193" s="0" t="s">
        <v>8516</v>
      </c>
      <c r="D193" s="0" t="s">
        <v>18</v>
      </c>
      <c r="E193" s="0" t="s">
        <v>102</v>
      </c>
      <c r="F193" s="4" t="n">
        <v>1</v>
      </c>
      <c r="G193" s="2" t="n">
        <v>0</v>
      </c>
      <c r="H193" s="2" t="n">
        <v>0</v>
      </c>
      <c r="I193" s="4" t="n">
        <v>2</v>
      </c>
      <c r="J193" s="2" t="n">
        <v>0.5</v>
      </c>
      <c r="K193" s="2" t="s">
        <v>13</v>
      </c>
      <c r="L193" s="4" t="n">
        <v>1</v>
      </c>
      <c r="M193" s="2" t="n">
        <v>0</v>
      </c>
      <c r="N193" s="2" t="n">
        <v>0</v>
      </c>
      <c r="O193" s="4" t="n">
        <v>3</v>
      </c>
      <c r="Q193" s="2" t="n">
        <v>232</v>
      </c>
      <c r="R193" s="0" t="s">
        <v>102</v>
      </c>
      <c r="S193" s="0" t="s">
        <v>8524</v>
      </c>
    </row>
    <row r="194" customFormat="false" ht="13.8" hidden="false" customHeight="false" outlineLevel="0" collapsed="false">
      <c r="A194" s="0" t="s">
        <v>118</v>
      </c>
      <c r="B194" s="0" t="n">
        <v>5</v>
      </c>
      <c r="C194" s="0" t="s">
        <v>8516</v>
      </c>
      <c r="D194" s="0" t="s">
        <v>569</v>
      </c>
      <c r="E194" s="0" t="s">
        <v>399</v>
      </c>
      <c r="F194" s="4" t="n">
        <v>103</v>
      </c>
      <c r="G194" s="2" t="n">
        <v>0</v>
      </c>
      <c r="H194" s="2" t="n">
        <v>0</v>
      </c>
      <c r="I194" s="4" t="n">
        <v>2</v>
      </c>
      <c r="J194" s="2" t="n">
        <v>0.75</v>
      </c>
      <c r="K194" s="2" t="s">
        <v>20</v>
      </c>
      <c r="L194" s="4" t="n">
        <v>5</v>
      </c>
      <c r="M194" s="2" t="n">
        <v>0</v>
      </c>
      <c r="N194" s="2" t="n">
        <v>0</v>
      </c>
      <c r="O194" s="4" t="n">
        <v>3</v>
      </c>
      <c r="Q194" s="2" t="n">
        <v>233</v>
      </c>
      <c r="R194" s="0" t="s">
        <v>399</v>
      </c>
      <c r="S194" s="0" t="s">
        <v>8525</v>
      </c>
    </row>
    <row r="195" customFormat="false" ht="13.8" hidden="false" customHeight="false" outlineLevel="0" collapsed="false">
      <c r="A195" s="0" t="s">
        <v>118</v>
      </c>
      <c r="B195" s="0" t="n">
        <v>5</v>
      </c>
      <c r="C195" s="0" t="s">
        <v>8516</v>
      </c>
      <c r="D195" s="0" t="s">
        <v>568</v>
      </c>
      <c r="E195" s="0" t="s">
        <v>312</v>
      </c>
      <c r="F195" s="4" t="n">
        <v>67</v>
      </c>
      <c r="G195" s="2" t="n">
        <v>0</v>
      </c>
      <c r="H195" s="2" t="n">
        <v>0</v>
      </c>
      <c r="I195" s="4" t="n">
        <v>2</v>
      </c>
      <c r="J195" s="2" t="n">
        <v>1</v>
      </c>
      <c r="K195" s="2" t="s">
        <v>20</v>
      </c>
      <c r="L195" s="4" t="n">
        <v>5</v>
      </c>
      <c r="M195" s="2" t="n">
        <v>0</v>
      </c>
      <c r="N195" s="2" t="n">
        <v>0</v>
      </c>
      <c r="O195" s="4" t="n">
        <v>3</v>
      </c>
      <c r="Q195" s="2" t="n">
        <v>234</v>
      </c>
      <c r="R195" s="0" t="s">
        <v>312</v>
      </c>
      <c r="S195" s="0" t="s">
        <v>8526</v>
      </c>
    </row>
    <row r="196" customFormat="false" ht="13.8" hidden="false" customHeight="false" outlineLevel="0" collapsed="false">
      <c r="A196" s="0" t="s">
        <v>118</v>
      </c>
      <c r="B196" s="0" t="n">
        <v>5</v>
      </c>
      <c r="C196" s="0" t="s">
        <v>8516</v>
      </c>
      <c r="D196" s="0" t="s">
        <v>596</v>
      </c>
      <c r="E196" s="0" t="s">
        <v>429</v>
      </c>
      <c r="F196" s="4" t="n">
        <v>135</v>
      </c>
      <c r="G196" s="2" t="n">
        <v>0</v>
      </c>
      <c r="H196" s="2" t="n">
        <v>0</v>
      </c>
      <c r="I196" s="4" t="n">
        <v>2</v>
      </c>
      <c r="J196" s="2" t="n">
        <v>0.5</v>
      </c>
      <c r="K196" s="2" t="s">
        <v>20</v>
      </c>
      <c r="L196" s="4" t="n">
        <v>5</v>
      </c>
      <c r="M196" s="2" t="n">
        <v>0</v>
      </c>
      <c r="N196" s="2" t="n">
        <v>0</v>
      </c>
      <c r="O196" s="4" t="n">
        <v>3</v>
      </c>
      <c r="Q196" s="2" t="n">
        <v>235</v>
      </c>
      <c r="R196" s="0" t="s">
        <v>429</v>
      </c>
      <c r="S196" s="0" t="s">
        <v>8527</v>
      </c>
    </row>
    <row r="197" customFormat="false" ht="13.8" hidden="false" customHeight="false" outlineLevel="0" collapsed="false">
      <c r="A197" s="0" t="s">
        <v>118</v>
      </c>
      <c r="B197" s="0" t="n">
        <v>5</v>
      </c>
      <c r="C197" s="0" t="s">
        <v>8516</v>
      </c>
      <c r="D197" s="0" t="s">
        <v>597</v>
      </c>
      <c r="E197" s="0" t="s">
        <v>330</v>
      </c>
      <c r="F197" s="4" t="n">
        <v>73</v>
      </c>
      <c r="G197" s="2" t="n">
        <v>0</v>
      </c>
      <c r="H197" s="2" t="n">
        <v>0</v>
      </c>
      <c r="I197" s="4" t="n">
        <v>2</v>
      </c>
      <c r="J197" s="2" t="n">
        <v>2</v>
      </c>
      <c r="K197" s="2" t="s">
        <v>20</v>
      </c>
      <c r="L197" s="4" t="n">
        <v>5</v>
      </c>
      <c r="M197" s="2" t="n">
        <v>0</v>
      </c>
      <c r="N197" s="2" t="n">
        <v>0</v>
      </c>
      <c r="O197" s="4" t="n">
        <v>3</v>
      </c>
      <c r="Q197" s="2" t="n">
        <v>236</v>
      </c>
      <c r="R197" s="0" t="s">
        <v>330</v>
      </c>
      <c r="S197" s="0" t="s">
        <v>8528</v>
      </c>
    </row>
    <row r="198" customFormat="false" ht="13.8" hidden="false" customHeight="false" outlineLevel="0" collapsed="false">
      <c r="A198" s="0" t="s">
        <v>118</v>
      </c>
      <c r="B198" s="0" t="n">
        <v>5</v>
      </c>
      <c r="C198" s="0" t="s">
        <v>8516</v>
      </c>
      <c r="D198" s="0" t="s">
        <v>564</v>
      </c>
      <c r="E198" s="0" t="s">
        <v>382</v>
      </c>
      <c r="F198" s="4" t="n">
        <v>91</v>
      </c>
      <c r="G198" s="2" t="n">
        <v>0</v>
      </c>
      <c r="H198" s="2" t="n">
        <v>0</v>
      </c>
      <c r="I198" s="4" t="n">
        <v>2</v>
      </c>
      <c r="J198" s="2" t="n">
        <v>0.6</v>
      </c>
      <c r="K198" s="2" t="s">
        <v>20</v>
      </c>
      <c r="L198" s="4" t="n">
        <v>5</v>
      </c>
      <c r="M198" s="2" t="n">
        <v>0</v>
      </c>
      <c r="N198" s="2" t="n">
        <v>0</v>
      </c>
      <c r="O198" s="4" t="n">
        <v>3</v>
      </c>
      <c r="Q198" s="2" t="n">
        <v>237</v>
      </c>
      <c r="R198" s="0" t="s">
        <v>382</v>
      </c>
      <c r="S198" s="0" t="s">
        <v>8529</v>
      </c>
    </row>
    <row r="199" customFormat="false" ht="13.8" hidden="false" customHeight="false" outlineLevel="0" collapsed="false">
      <c r="A199" s="0" t="s">
        <v>118</v>
      </c>
      <c r="B199" s="0" t="n">
        <v>5</v>
      </c>
      <c r="C199" s="0" t="s">
        <v>8516</v>
      </c>
      <c r="D199" s="0" t="s">
        <v>554</v>
      </c>
      <c r="E199" s="0" t="s">
        <v>412</v>
      </c>
      <c r="F199" s="4" t="n">
        <v>117</v>
      </c>
      <c r="G199" s="2" t="n">
        <v>0</v>
      </c>
      <c r="H199" s="2" t="n">
        <v>0</v>
      </c>
      <c r="I199" s="4" t="n">
        <v>2</v>
      </c>
      <c r="J199" s="2" t="n">
        <v>0.75</v>
      </c>
      <c r="K199" s="2" t="s">
        <v>20</v>
      </c>
      <c r="L199" s="4" t="n">
        <v>5</v>
      </c>
      <c r="M199" s="2" t="n">
        <v>0</v>
      </c>
      <c r="N199" s="2" t="n">
        <v>0</v>
      </c>
      <c r="O199" s="4" t="n">
        <v>3</v>
      </c>
      <c r="Q199" s="2" t="n">
        <v>238</v>
      </c>
      <c r="R199" s="0" t="s">
        <v>412</v>
      </c>
      <c r="S199" s="0" t="s">
        <v>8530</v>
      </c>
    </row>
    <row r="200" customFormat="false" ht="13.8" hidden="false" customHeight="false" outlineLevel="0" collapsed="false">
      <c r="A200" s="0" t="s">
        <v>118</v>
      </c>
      <c r="B200" s="0" t="n">
        <v>5</v>
      </c>
      <c r="C200" s="0" t="s">
        <v>8516</v>
      </c>
      <c r="D200" s="0" t="s">
        <v>32</v>
      </c>
      <c r="E200" s="0" t="s">
        <v>96</v>
      </c>
      <c r="F200" s="4" t="n">
        <v>177</v>
      </c>
      <c r="G200" s="2" t="n">
        <v>0</v>
      </c>
      <c r="H200" s="2" t="n">
        <v>0</v>
      </c>
      <c r="I200" s="4" t="n">
        <v>2</v>
      </c>
      <c r="J200" s="2" t="n">
        <v>1</v>
      </c>
      <c r="K200" s="2" t="s">
        <v>20</v>
      </c>
      <c r="L200" s="4" t="n">
        <v>5</v>
      </c>
      <c r="M200" s="2" t="n">
        <v>0</v>
      </c>
      <c r="N200" s="2" t="n">
        <v>0</v>
      </c>
      <c r="O200" s="4" t="n">
        <v>3</v>
      </c>
      <c r="Q200" s="2" t="n">
        <v>239</v>
      </c>
      <c r="R200" s="0" t="s">
        <v>96</v>
      </c>
      <c r="S200" s="0" t="s">
        <v>8531</v>
      </c>
    </row>
    <row r="201" customFormat="false" ht="13.8" hidden="false" customHeight="false" outlineLevel="0" collapsed="false">
      <c r="A201" s="0" t="s">
        <v>118</v>
      </c>
      <c r="B201" s="0" t="n">
        <v>5</v>
      </c>
      <c r="C201" s="0" t="s">
        <v>8516</v>
      </c>
      <c r="D201" s="0" t="s">
        <v>598</v>
      </c>
      <c r="E201" s="0" t="s">
        <v>207</v>
      </c>
      <c r="F201" s="4" t="n">
        <v>32</v>
      </c>
      <c r="G201" s="2" t="n">
        <v>0</v>
      </c>
      <c r="H201" s="2" t="n">
        <v>0</v>
      </c>
      <c r="I201" s="4" t="n">
        <v>2</v>
      </c>
      <c r="J201" s="2" t="n">
        <v>0.5</v>
      </c>
      <c r="K201" s="2" t="s">
        <v>20</v>
      </c>
      <c r="L201" s="4" t="n">
        <v>5</v>
      </c>
      <c r="M201" s="2" t="n">
        <v>0</v>
      </c>
      <c r="N201" s="2" t="n">
        <v>0</v>
      </c>
      <c r="O201" s="4" t="n">
        <v>3</v>
      </c>
      <c r="Q201" s="2" t="n">
        <v>240</v>
      </c>
      <c r="R201" s="0" t="s">
        <v>207</v>
      </c>
      <c r="S201" s="0" t="s">
        <v>8532</v>
      </c>
    </row>
    <row r="202" customFormat="false" ht="13.8" hidden="false" customHeight="false" outlineLevel="0" collapsed="false">
      <c r="A202" s="0" t="s">
        <v>118</v>
      </c>
      <c r="B202" s="0" t="n">
        <v>5</v>
      </c>
      <c r="C202" s="0" t="s">
        <v>8516</v>
      </c>
      <c r="D202" s="0" t="s">
        <v>599</v>
      </c>
      <c r="E202" s="0" t="s">
        <v>327</v>
      </c>
      <c r="F202" s="4" t="n">
        <v>72</v>
      </c>
      <c r="G202" s="2" t="n">
        <v>0</v>
      </c>
      <c r="H202" s="2" t="n">
        <v>0</v>
      </c>
      <c r="I202" s="4" t="n">
        <v>2</v>
      </c>
      <c r="J202" s="2" t="n">
        <v>2</v>
      </c>
      <c r="K202" s="2" t="s">
        <v>20</v>
      </c>
      <c r="L202" s="4" t="n">
        <v>5</v>
      </c>
      <c r="M202" s="2" t="n">
        <v>0</v>
      </c>
      <c r="N202" s="2" t="n">
        <v>0</v>
      </c>
      <c r="O202" s="4" t="n">
        <v>3</v>
      </c>
      <c r="Q202" s="2" t="n">
        <v>241</v>
      </c>
      <c r="R202" s="0" t="s">
        <v>327</v>
      </c>
      <c r="S202" s="0" t="s">
        <v>8533</v>
      </c>
    </row>
    <row r="203" customFormat="false" ht="13.8" hidden="false" customHeight="false" outlineLevel="0" collapsed="false">
      <c r="A203" s="0" t="s">
        <v>118</v>
      </c>
      <c r="B203" s="0" t="n">
        <v>5</v>
      </c>
      <c r="C203" s="0" t="s">
        <v>8516</v>
      </c>
      <c r="D203" s="0" t="s">
        <v>557</v>
      </c>
      <c r="E203" s="0" t="s">
        <v>423</v>
      </c>
      <c r="F203" s="4" t="n">
        <v>129</v>
      </c>
      <c r="G203" s="2" t="n">
        <v>0</v>
      </c>
      <c r="H203" s="2" t="n">
        <v>0</v>
      </c>
      <c r="I203" s="4" t="n">
        <v>2</v>
      </c>
      <c r="J203" s="2" t="n">
        <v>2.5</v>
      </c>
      <c r="K203" s="2" t="s">
        <v>20</v>
      </c>
      <c r="L203" s="4" t="n">
        <v>5</v>
      </c>
      <c r="M203" s="2" t="n">
        <v>0</v>
      </c>
      <c r="N203" s="2" t="n">
        <v>0</v>
      </c>
      <c r="O203" s="4" t="n">
        <v>3</v>
      </c>
      <c r="Q203" s="2" t="n">
        <v>242</v>
      </c>
      <c r="R203" s="0" t="s">
        <v>423</v>
      </c>
      <c r="S203" s="0" t="s">
        <v>8534</v>
      </c>
    </row>
    <row r="204" customFormat="false" ht="13.8" hidden="false" customHeight="false" outlineLevel="0" collapsed="false">
      <c r="A204" s="0" t="s">
        <v>268</v>
      </c>
      <c r="B204" s="0" t="n">
        <v>53</v>
      </c>
      <c r="C204" s="0" t="s">
        <v>8535</v>
      </c>
      <c r="D204" s="0" t="s">
        <v>600</v>
      </c>
      <c r="E204" s="0" t="s">
        <v>120</v>
      </c>
      <c r="F204" s="4" t="n">
        <v>5</v>
      </c>
      <c r="G204" s="2" t="n">
        <v>2</v>
      </c>
      <c r="H204" s="2" t="s">
        <v>7</v>
      </c>
      <c r="I204" s="4" t="n">
        <v>2</v>
      </c>
      <c r="J204" s="2" t="n">
        <v>0</v>
      </c>
      <c r="K204" s="2" t="n">
        <v>0</v>
      </c>
      <c r="L204" s="4" t="n">
        <v>1</v>
      </c>
      <c r="M204" s="2" t="n">
        <v>0</v>
      </c>
      <c r="N204" s="2" t="n">
        <v>0</v>
      </c>
      <c r="O204" s="4" t="n">
        <v>3</v>
      </c>
      <c r="P204" s="0" t="s">
        <v>566</v>
      </c>
      <c r="Q204" s="2" t="n">
        <v>245</v>
      </c>
      <c r="R204" s="0" t="s">
        <v>120</v>
      </c>
      <c r="S204" s="0" t="s">
        <v>8536</v>
      </c>
    </row>
    <row r="205" customFormat="false" ht="13.8" hidden="false" customHeight="false" outlineLevel="0" collapsed="false">
      <c r="A205" s="0" t="s">
        <v>268</v>
      </c>
      <c r="B205" s="0" t="n">
        <v>53</v>
      </c>
      <c r="C205" s="0" t="s">
        <v>8535</v>
      </c>
      <c r="D205" s="0" t="s">
        <v>565</v>
      </c>
      <c r="E205" s="0" t="s">
        <v>468</v>
      </c>
      <c r="F205" s="4" t="n">
        <v>176</v>
      </c>
      <c r="G205" s="2" t="n">
        <v>2</v>
      </c>
      <c r="H205" s="2" t="s">
        <v>7</v>
      </c>
      <c r="I205" s="4" t="n">
        <v>2</v>
      </c>
      <c r="J205" s="2" t="n">
        <v>0</v>
      </c>
      <c r="K205" s="2" t="n">
        <v>0</v>
      </c>
      <c r="L205" s="4" t="n">
        <v>1</v>
      </c>
      <c r="M205" s="2" t="n">
        <v>0</v>
      </c>
      <c r="N205" s="2" t="n">
        <v>0</v>
      </c>
      <c r="O205" s="4" t="n">
        <v>3</v>
      </c>
      <c r="P205" s="0" t="s">
        <v>566</v>
      </c>
      <c r="Q205" s="2" t="n">
        <v>246</v>
      </c>
      <c r="R205" s="0" t="s">
        <v>468</v>
      </c>
      <c r="S205" s="0" t="s">
        <v>8537</v>
      </c>
    </row>
    <row r="206" customFormat="false" ht="13.8" hidden="false" customHeight="false" outlineLevel="0" collapsed="false">
      <c r="A206" s="0" t="s">
        <v>268</v>
      </c>
      <c r="B206" s="0" t="n">
        <v>53</v>
      </c>
      <c r="C206" s="0" t="s">
        <v>8535</v>
      </c>
      <c r="D206" s="0" t="s">
        <v>593</v>
      </c>
      <c r="E206" s="0" t="s">
        <v>407</v>
      </c>
      <c r="F206" s="4" t="n">
        <v>112</v>
      </c>
      <c r="G206" s="2" t="n">
        <v>2</v>
      </c>
      <c r="H206" s="2" t="s">
        <v>7</v>
      </c>
      <c r="I206" s="4" t="n">
        <v>2</v>
      </c>
      <c r="J206" s="2" t="n">
        <v>0</v>
      </c>
      <c r="K206" s="2" t="n">
        <v>0</v>
      </c>
      <c r="L206" s="4" t="n">
        <v>1</v>
      </c>
      <c r="M206" s="2" t="n">
        <v>0</v>
      </c>
      <c r="N206" s="2" t="n">
        <v>0</v>
      </c>
      <c r="O206" s="4" t="n">
        <v>3</v>
      </c>
      <c r="P206" s="0" t="s">
        <v>566</v>
      </c>
      <c r="Q206" s="2" t="n">
        <v>247</v>
      </c>
      <c r="R206" s="0" t="s">
        <v>407</v>
      </c>
      <c r="S206" s="0" t="s">
        <v>8538</v>
      </c>
    </row>
    <row r="207" customFormat="false" ht="13.8" hidden="false" customHeight="false" outlineLevel="0" collapsed="false">
      <c r="A207" s="0" t="s">
        <v>268</v>
      </c>
      <c r="B207" s="0" t="n">
        <v>53</v>
      </c>
      <c r="C207" s="0" t="s">
        <v>8535</v>
      </c>
      <c r="D207" s="0" t="s">
        <v>10</v>
      </c>
      <c r="E207" s="0" t="s">
        <v>130</v>
      </c>
      <c r="F207" s="4" t="n">
        <v>8</v>
      </c>
      <c r="G207" s="2" t="n">
        <v>4</v>
      </c>
      <c r="H207" s="2" t="s">
        <v>7</v>
      </c>
      <c r="I207" s="4" t="n">
        <v>2</v>
      </c>
      <c r="J207" s="2" t="n">
        <v>0</v>
      </c>
      <c r="K207" s="2" t="n">
        <v>0</v>
      </c>
      <c r="L207" s="4" t="n">
        <v>1</v>
      </c>
      <c r="M207" s="2" t="n">
        <v>0</v>
      </c>
      <c r="N207" s="2" t="n">
        <v>0</v>
      </c>
      <c r="O207" s="4" t="n">
        <v>3</v>
      </c>
      <c r="P207" s="0" t="s">
        <v>537</v>
      </c>
      <c r="Q207" s="2" t="n">
        <v>248</v>
      </c>
      <c r="R207" s="0" t="s">
        <v>130</v>
      </c>
      <c r="S207" s="0" t="s">
        <v>8539</v>
      </c>
    </row>
    <row r="208" customFormat="false" ht="13.8" hidden="false" customHeight="false" outlineLevel="0" collapsed="false">
      <c r="A208" s="0" t="s">
        <v>268</v>
      </c>
      <c r="B208" s="0" t="n">
        <v>53</v>
      </c>
      <c r="C208" s="0" t="s">
        <v>8535</v>
      </c>
      <c r="D208" s="0" t="s">
        <v>21</v>
      </c>
      <c r="E208" s="0" t="s">
        <v>485</v>
      </c>
      <c r="F208" s="4" t="n">
        <v>195</v>
      </c>
      <c r="G208" s="2" t="n">
        <v>4</v>
      </c>
      <c r="H208" s="2" t="s">
        <v>7</v>
      </c>
      <c r="I208" s="4" t="n">
        <v>2</v>
      </c>
      <c r="J208" s="2" t="n">
        <v>0</v>
      </c>
      <c r="K208" s="2" t="n">
        <v>0</v>
      </c>
      <c r="L208" s="4" t="n">
        <v>1</v>
      </c>
      <c r="M208" s="2" t="n">
        <v>0</v>
      </c>
      <c r="N208" s="2" t="n">
        <v>0</v>
      </c>
      <c r="O208" s="4" t="n">
        <v>3</v>
      </c>
      <c r="P208" s="0" t="s">
        <v>601</v>
      </c>
      <c r="Q208" s="2" t="n">
        <v>249</v>
      </c>
      <c r="R208" s="0" t="s">
        <v>485</v>
      </c>
      <c r="S208" s="0" t="s">
        <v>8540</v>
      </c>
    </row>
    <row r="209" customFormat="false" ht="13.8" hidden="false" customHeight="false" outlineLevel="0" collapsed="false">
      <c r="A209" s="0" t="s">
        <v>268</v>
      </c>
      <c r="B209" s="0" t="n">
        <v>53</v>
      </c>
      <c r="C209" s="0" t="s">
        <v>8535</v>
      </c>
      <c r="D209" s="0" t="s">
        <v>553</v>
      </c>
      <c r="E209" s="0" t="s">
        <v>360</v>
      </c>
      <c r="F209" s="4" t="n">
        <v>83</v>
      </c>
      <c r="G209" s="2" t="n">
        <v>0</v>
      </c>
      <c r="H209" s="2" t="n">
        <v>0</v>
      </c>
      <c r="I209" s="4" t="n">
        <v>2</v>
      </c>
      <c r="J209" s="2" t="n">
        <v>1</v>
      </c>
      <c r="K209" s="2" t="s">
        <v>13</v>
      </c>
      <c r="L209" s="4" t="n">
        <v>1</v>
      </c>
      <c r="M209" s="2" t="n">
        <v>0</v>
      </c>
      <c r="N209" s="2" t="n">
        <v>0</v>
      </c>
      <c r="O209" s="4" t="n">
        <v>3</v>
      </c>
      <c r="Q209" s="2" t="n">
        <v>250</v>
      </c>
      <c r="R209" s="0" t="s">
        <v>360</v>
      </c>
      <c r="S209" s="0" t="s">
        <v>8541</v>
      </c>
    </row>
    <row r="210" customFormat="false" ht="13.8" hidden="false" customHeight="false" outlineLevel="0" collapsed="false">
      <c r="A210" s="0" t="s">
        <v>268</v>
      </c>
      <c r="B210" s="0" t="n">
        <v>53</v>
      </c>
      <c r="C210" s="0" t="s">
        <v>8535</v>
      </c>
      <c r="D210" s="0" t="s">
        <v>562</v>
      </c>
      <c r="E210" s="0" t="s">
        <v>391</v>
      </c>
      <c r="F210" s="4" t="n">
        <v>95</v>
      </c>
      <c r="G210" s="2" t="n">
        <v>0</v>
      </c>
      <c r="H210" s="2" t="n">
        <v>0</v>
      </c>
      <c r="I210" s="4" t="n">
        <v>2</v>
      </c>
      <c r="J210" s="2" t="n">
        <v>0.3</v>
      </c>
      <c r="K210" s="2" t="s">
        <v>20</v>
      </c>
      <c r="L210" s="4" t="n">
        <v>5</v>
      </c>
      <c r="M210" s="2" t="n">
        <v>0</v>
      </c>
      <c r="N210" s="2" t="n">
        <v>0</v>
      </c>
      <c r="O210" s="4" t="n">
        <v>3</v>
      </c>
      <c r="Q210" s="2" t="n">
        <v>251</v>
      </c>
      <c r="R210" s="0" t="s">
        <v>391</v>
      </c>
      <c r="S210" s="0" t="s">
        <v>8542</v>
      </c>
    </row>
    <row r="211" customFormat="false" ht="13.8" hidden="false" customHeight="false" outlineLevel="0" collapsed="false">
      <c r="A211" s="0" t="s">
        <v>268</v>
      </c>
      <c r="B211" s="0" t="n">
        <v>53</v>
      </c>
      <c r="C211" s="0" t="s">
        <v>8535</v>
      </c>
      <c r="D211" s="0" t="s">
        <v>526</v>
      </c>
      <c r="E211" s="0" t="s">
        <v>386</v>
      </c>
      <c r="F211" s="4" t="n">
        <v>93</v>
      </c>
      <c r="G211" s="2" t="n">
        <v>0</v>
      </c>
      <c r="H211" s="2" t="n">
        <v>0</v>
      </c>
      <c r="I211" s="4" t="n">
        <v>2</v>
      </c>
      <c r="J211" s="2" t="n">
        <v>1</v>
      </c>
      <c r="K211" s="2" t="s">
        <v>20</v>
      </c>
      <c r="L211" s="4" t="n">
        <v>5</v>
      </c>
      <c r="M211" s="2" t="n">
        <v>0</v>
      </c>
      <c r="N211" s="2" t="n">
        <v>0</v>
      </c>
      <c r="O211" s="4" t="n">
        <v>3</v>
      </c>
      <c r="P211" s="0" t="s">
        <v>538</v>
      </c>
      <c r="Q211" s="2" t="n">
        <v>252</v>
      </c>
      <c r="R211" s="0" t="s">
        <v>386</v>
      </c>
      <c r="S211" s="0" t="s">
        <v>8543</v>
      </c>
    </row>
    <row r="212" customFormat="false" ht="13.8" hidden="false" customHeight="false" outlineLevel="0" collapsed="false">
      <c r="A212" s="0" t="s">
        <v>268</v>
      </c>
      <c r="B212" s="0" t="n">
        <v>53</v>
      </c>
      <c r="C212" s="0" t="s">
        <v>8535</v>
      </c>
      <c r="D212" s="0" t="s">
        <v>18</v>
      </c>
      <c r="E212" s="0" t="s">
        <v>102</v>
      </c>
      <c r="F212" s="4" t="n">
        <v>1</v>
      </c>
      <c r="G212" s="2" t="n">
        <v>0</v>
      </c>
      <c r="H212" s="2" t="n">
        <v>0</v>
      </c>
      <c r="I212" s="4" t="n">
        <v>2</v>
      </c>
      <c r="J212" s="2" t="n">
        <v>0.5</v>
      </c>
      <c r="K212" s="2" t="s">
        <v>13</v>
      </c>
      <c r="L212" s="4" t="n">
        <v>1</v>
      </c>
      <c r="M212" s="2" t="n">
        <v>0</v>
      </c>
      <c r="N212" s="2" t="n">
        <v>0</v>
      </c>
      <c r="O212" s="4" t="n">
        <v>3</v>
      </c>
      <c r="Q212" s="2" t="n">
        <v>253</v>
      </c>
      <c r="R212" s="0" t="s">
        <v>102</v>
      </c>
      <c r="S212" s="0" t="s">
        <v>8544</v>
      </c>
    </row>
    <row r="213" customFormat="false" ht="13.8" hidden="false" customHeight="false" outlineLevel="0" collapsed="false">
      <c r="A213" s="0" t="s">
        <v>268</v>
      </c>
      <c r="B213" s="0" t="n">
        <v>53</v>
      </c>
      <c r="C213" s="0" t="s">
        <v>8535</v>
      </c>
      <c r="D213" s="0" t="s">
        <v>569</v>
      </c>
      <c r="E213" s="0" t="s">
        <v>399</v>
      </c>
      <c r="F213" s="4" t="n">
        <v>103</v>
      </c>
      <c r="G213" s="2" t="n">
        <v>0</v>
      </c>
      <c r="H213" s="2" t="n">
        <v>0</v>
      </c>
      <c r="I213" s="4" t="n">
        <v>2</v>
      </c>
      <c r="J213" s="2" t="n">
        <v>0.75</v>
      </c>
      <c r="K213" s="2" t="s">
        <v>20</v>
      </c>
      <c r="L213" s="4" t="n">
        <v>5</v>
      </c>
      <c r="M213" s="2" t="n">
        <v>0</v>
      </c>
      <c r="N213" s="2" t="n">
        <v>0</v>
      </c>
      <c r="O213" s="4" t="n">
        <v>3</v>
      </c>
      <c r="Q213" s="2" t="n">
        <v>254</v>
      </c>
      <c r="R213" s="0" t="s">
        <v>399</v>
      </c>
      <c r="S213" s="0" t="s">
        <v>8545</v>
      </c>
    </row>
    <row r="214" customFormat="false" ht="13.8" hidden="false" customHeight="false" outlineLevel="0" collapsed="false">
      <c r="A214" s="0" t="s">
        <v>268</v>
      </c>
      <c r="B214" s="0" t="n">
        <v>53</v>
      </c>
      <c r="C214" s="0" t="s">
        <v>8535</v>
      </c>
      <c r="D214" s="0" t="s">
        <v>568</v>
      </c>
      <c r="E214" s="0" t="s">
        <v>312</v>
      </c>
      <c r="F214" s="4" t="n">
        <v>67</v>
      </c>
      <c r="G214" s="2" t="n">
        <v>0</v>
      </c>
      <c r="H214" s="2" t="n">
        <v>0</v>
      </c>
      <c r="I214" s="4" t="n">
        <v>2</v>
      </c>
      <c r="J214" s="2" t="n">
        <v>1</v>
      </c>
      <c r="K214" s="2" t="s">
        <v>20</v>
      </c>
      <c r="L214" s="4" t="n">
        <v>5</v>
      </c>
      <c r="M214" s="2" t="n">
        <v>0</v>
      </c>
      <c r="N214" s="2" t="n">
        <v>0</v>
      </c>
      <c r="O214" s="4" t="n">
        <v>3</v>
      </c>
      <c r="Q214" s="2" t="n">
        <v>255</v>
      </c>
      <c r="R214" s="0" t="s">
        <v>312</v>
      </c>
      <c r="S214" s="0" t="s">
        <v>8546</v>
      </c>
    </row>
    <row r="215" customFormat="false" ht="13.8" hidden="false" customHeight="false" outlineLevel="0" collapsed="false">
      <c r="A215" s="0" t="s">
        <v>268</v>
      </c>
      <c r="B215" s="0" t="n">
        <v>53</v>
      </c>
      <c r="C215" s="0" t="s">
        <v>8535</v>
      </c>
      <c r="D215" s="0" t="s">
        <v>596</v>
      </c>
      <c r="E215" s="0" t="s">
        <v>429</v>
      </c>
      <c r="F215" s="4" t="n">
        <v>135</v>
      </c>
      <c r="G215" s="2" t="n">
        <v>0</v>
      </c>
      <c r="H215" s="2" t="n">
        <v>0</v>
      </c>
      <c r="I215" s="4" t="n">
        <v>2</v>
      </c>
      <c r="J215" s="2" t="n">
        <v>0.5</v>
      </c>
      <c r="K215" s="2" t="s">
        <v>20</v>
      </c>
      <c r="L215" s="4" t="n">
        <v>5</v>
      </c>
      <c r="M215" s="2" t="n">
        <v>0</v>
      </c>
      <c r="N215" s="2" t="n">
        <v>0</v>
      </c>
      <c r="O215" s="4" t="n">
        <v>3</v>
      </c>
      <c r="Q215" s="2" t="n">
        <v>256</v>
      </c>
      <c r="R215" s="0" t="s">
        <v>429</v>
      </c>
      <c r="S215" s="0" t="s">
        <v>8547</v>
      </c>
    </row>
    <row r="216" customFormat="false" ht="13.8" hidden="false" customHeight="false" outlineLevel="0" collapsed="false">
      <c r="A216" s="0" t="s">
        <v>268</v>
      </c>
      <c r="B216" s="0" t="n">
        <v>53</v>
      </c>
      <c r="C216" s="0" t="s">
        <v>8535</v>
      </c>
      <c r="D216" s="0" t="s">
        <v>564</v>
      </c>
      <c r="E216" s="0" t="s">
        <v>382</v>
      </c>
      <c r="F216" s="4" t="n">
        <v>91</v>
      </c>
      <c r="G216" s="2" t="n">
        <v>0</v>
      </c>
      <c r="H216" s="2" t="n">
        <v>0</v>
      </c>
      <c r="I216" s="4" t="n">
        <v>2</v>
      </c>
      <c r="J216" s="2" t="n">
        <v>0.6</v>
      </c>
      <c r="K216" s="2" t="s">
        <v>20</v>
      </c>
      <c r="L216" s="4" t="n">
        <v>5</v>
      </c>
      <c r="M216" s="2" t="n">
        <v>0</v>
      </c>
      <c r="N216" s="2" t="n">
        <v>0</v>
      </c>
      <c r="O216" s="4" t="n">
        <v>3</v>
      </c>
      <c r="Q216" s="2" t="n">
        <v>257</v>
      </c>
      <c r="R216" s="0" t="s">
        <v>382</v>
      </c>
      <c r="S216" s="0" t="s">
        <v>8548</v>
      </c>
    </row>
    <row r="217" customFormat="false" ht="13.8" hidden="false" customHeight="false" outlineLevel="0" collapsed="false">
      <c r="A217" s="0" t="s">
        <v>268</v>
      </c>
      <c r="B217" s="0" t="n">
        <v>53</v>
      </c>
      <c r="C217" s="0" t="s">
        <v>8535</v>
      </c>
      <c r="D217" s="0" t="s">
        <v>554</v>
      </c>
      <c r="E217" s="0" t="s">
        <v>412</v>
      </c>
      <c r="F217" s="4" t="n">
        <v>117</v>
      </c>
      <c r="G217" s="2" t="n">
        <v>0</v>
      </c>
      <c r="H217" s="2" t="n">
        <v>0</v>
      </c>
      <c r="I217" s="4" t="n">
        <v>2</v>
      </c>
      <c r="J217" s="2" t="n">
        <v>0.75</v>
      </c>
      <c r="K217" s="2" t="s">
        <v>20</v>
      </c>
      <c r="L217" s="4" t="n">
        <v>5</v>
      </c>
      <c r="M217" s="2" t="n">
        <v>0</v>
      </c>
      <c r="N217" s="2" t="n">
        <v>0</v>
      </c>
      <c r="O217" s="4" t="n">
        <v>3</v>
      </c>
      <c r="Q217" s="2" t="n">
        <v>258</v>
      </c>
      <c r="R217" s="0" t="s">
        <v>412</v>
      </c>
      <c r="S217" s="0" t="s">
        <v>8549</v>
      </c>
    </row>
    <row r="218" customFormat="false" ht="13.8" hidden="false" customHeight="false" outlineLevel="0" collapsed="false">
      <c r="A218" s="0" t="s">
        <v>268</v>
      </c>
      <c r="B218" s="0" t="n">
        <v>53</v>
      </c>
      <c r="C218" s="0" t="s">
        <v>8535</v>
      </c>
      <c r="D218" s="0" t="s">
        <v>32</v>
      </c>
      <c r="E218" s="0" t="s">
        <v>96</v>
      </c>
      <c r="F218" s="4" t="n">
        <v>177</v>
      </c>
      <c r="G218" s="2" t="n">
        <v>0</v>
      </c>
      <c r="H218" s="2" t="n">
        <v>0</v>
      </c>
      <c r="I218" s="4" t="n">
        <v>2</v>
      </c>
      <c r="J218" s="2" t="n">
        <v>1</v>
      </c>
      <c r="K218" s="2" t="s">
        <v>20</v>
      </c>
      <c r="L218" s="4" t="n">
        <v>5</v>
      </c>
      <c r="M218" s="2" t="n">
        <v>0</v>
      </c>
      <c r="N218" s="2" t="n">
        <v>0</v>
      </c>
      <c r="O218" s="4" t="n">
        <v>3</v>
      </c>
      <c r="Q218" s="2" t="n">
        <v>259</v>
      </c>
      <c r="R218" s="0" t="s">
        <v>96</v>
      </c>
      <c r="S218" s="0" t="s">
        <v>8550</v>
      </c>
    </row>
    <row r="219" customFormat="false" ht="13.8" hidden="false" customHeight="false" outlineLevel="0" collapsed="false">
      <c r="A219" s="0" t="s">
        <v>268</v>
      </c>
      <c r="B219" s="0" t="n">
        <v>53</v>
      </c>
      <c r="C219" s="0" t="s">
        <v>8535</v>
      </c>
      <c r="D219" s="0" t="s">
        <v>598</v>
      </c>
      <c r="E219" s="0" t="s">
        <v>207</v>
      </c>
      <c r="F219" s="4" t="n">
        <v>32</v>
      </c>
      <c r="G219" s="2" t="n">
        <v>0</v>
      </c>
      <c r="H219" s="2" t="n">
        <v>0</v>
      </c>
      <c r="I219" s="4" t="n">
        <v>2</v>
      </c>
      <c r="J219" s="2" t="n">
        <v>0.5</v>
      </c>
      <c r="K219" s="2" t="s">
        <v>20</v>
      </c>
      <c r="L219" s="4" t="n">
        <v>5</v>
      </c>
      <c r="M219" s="2" t="n">
        <v>0</v>
      </c>
      <c r="N219" s="2" t="n">
        <v>0</v>
      </c>
      <c r="O219" s="4" t="n">
        <v>3</v>
      </c>
      <c r="Q219" s="2" t="n">
        <v>260</v>
      </c>
      <c r="R219" s="0" t="s">
        <v>207</v>
      </c>
      <c r="S219" s="0" t="s">
        <v>8551</v>
      </c>
    </row>
    <row r="220" customFormat="false" ht="13.8" hidden="false" customHeight="false" outlineLevel="0" collapsed="false">
      <c r="A220" s="0" t="s">
        <v>268</v>
      </c>
      <c r="B220" s="0" t="n">
        <v>53</v>
      </c>
      <c r="C220" s="0" t="s">
        <v>8535</v>
      </c>
      <c r="D220" s="0" t="s">
        <v>599</v>
      </c>
      <c r="E220" s="0" t="s">
        <v>327</v>
      </c>
      <c r="F220" s="4" t="n">
        <v>72</v>
      </c>
      <c r="G220" s="2" t="n">
        <v>0</v>
      </c>
      <c r="H220" s="2" t="n">
        <v>0</v>
      </c>
      <c r="I220" s="4" t="n">
        <v>2</v>
      </c>
      <c r="J220" s="2" t="n">
        <v>2</v>
      </c>
      <c r="K220" s="2" t="s">
        <v>20</v>
      </c>
      <c r="L220" s="4" t="n">
        <v>5</v>
      </c>
      <c r="M220" s="2" t="n">
        <v>0</v>
      </c>
      <c r="N220" s="2" t="n">
        <v>0</v>
      </c>
      <c r="O220" s="4" t="n">
        <v>3</v>
      </c>
      <c r="Q220" s="2" t="n">
        <v>261</v>
      </c>
      <c r="R220" s="0" t="s">
        <v>327</v>
      </c>
      <c r="S220" s="0" t="s">
        <v>8552</v>
      </c>
    </row>
    <row r="221" customFormat="false" ht="13.8" hidden="false" customHeight="false" outlineLevel="0" collapsed="false">
      <c r="A221" s="0" t="s">
        <v>268</v>
      </c>
      <c r="B221" s="0" t="n">
        <v>53</v>
      </c>
      <c r="C221" s="0" t="s">
        <v>8535</v>
      </c>
      <c r="D221" s="0" t="s">
        <v>557</v>
      </c>
      <c r="E221" s="0" t="s">
        <v>423</v>
      </c>
      <c r="F221" s="4" t="n">
        <v>129</v>
      </c>
      <c r="G221" s="2" t="n">
        <v>0</v>
      </c>
      <c r="H221" s="2" t="n">
        <v>0</v>
      </c>
      <c r="I221" s="4" t="n">
        <v>2</v>
      </c>
      <c r="J221" s="2" t="n">
        <v>2.5</v>
      </c>
      <c r="K221" s="2" t="s">
        <v>20</v>
      </c>
      <c r="L221" s="4" t="n">
        <v>5</v>
      </c>
      <c r="M221" s="2" t="n">
        <v>0</v>
      </c>
      <c r="N221" s="2" t="n">
        <v>0</v>
      </c>
      <c r="O221" s="4" t="n">
        <v>3</v>
      </c>
      <c r="Q221" s="2" t="n">
        <v>262</v>
      </c>
      <c r="R221" s="0" t="s">
        <v>423</v>
      </c>
      <c r="S221" s="0" t="s">
        <v>8553</v>
      </c>
    </row>
    <row r="222" customFormat="false" ht="13.8" hidden="false" customHeight="false" outlineLevel="0" collapsed="false">
      <c r="A222" s="0" t="s">
        <v>132</v>
      </c>
      <c r="B222" s="0" t="n">
        <v>9</v>
      </c>
      <c r="C222" s="0" t="s">
        <v>8554</v>
      </c>
      <c r="D222" s="0" t="s">
        <v>8</v>
      </c>
      <c r="E222" s="0" t="s">
        <v>201</v>
      </c>
      <c r="F222" s="4" t="n">
        <v>30</v>
      </c>
      <c r="G222" s="2" t="n">
        <v>22</v>
      </c>
      <c r="H222" s="2" t="s">
        <v>7</v>
      </c>
      <c r="I222" s="4" t="n">
        <v>2</v>
      </c>
      <c r="J222" s="2" t="n">
        <v>0</v>
      </c>
      <c r="K222" s="2" t="n">
        <v>0</v>
      </c>
      <c r="L222" s="4" t="n">
        <v>1</v>
      </c>
      <c r="M222" s="2" t="n">
        <v>0</v>
      </c>
      <c r="N222" s="2" t="n">
        <v>0</v>
      </c>
      <c r="O222" s="4" t="n">
        <v>3</v>
      </c>
      <c r="P222" s="0" t="s">
        <v>602</v>
      </c>
      <c r="Q222" s="2" t="n">
        <v>265</v>
      </c>
      <c r="R222" s="0" t="s">
        <v>201</v>
      </c>
      <c r="S222" s="0" t="s">
        <v>8555</v>
      </c>
    </row>
    <row r="223" customFormat="false" ht="13.8" hidden="false" customHeight="false" outlineLevel="0" collapsed="false">
      <c r="A223" s="0" t="s">
        <v>132</v>
      </c>
      <c r="B223" s="0" t="n">
        <v>9</v>
      </c>
      <c r="C223" s="0" t="s">
        <v>8554</v>
      </c>
      <c r="D223" s="0" t="s">
        <v>585</v>
      </c>
      <c r="E223" s="0" t="s">
        <v>457</v>
      </c>
      <c r="F223" s="4" t="n">
        <v>165</v>
      </c>
      <c r="G223" s="2" t="n">
        <v>0</v>
      </c>
      <c r="H223" s="2" t="n">
        <v>0</v>
      </c>
      <c r="I223" s="4" t="n">
        <v>2</v>
      </c>
      <c r="J223" s="2" t="n">
        <v>1.25</v>
      </c>
      <c r="K223" s="2" t="s">
        <v>13</v>
      </c>
      <c r="L223" s="4" t="n">
        <v>1</v>
      </c>
      <c r="M223" s="2" t="n">
        <v>0</v>
      </c>
      <c r="N223" s="2" t="n">
        <v>0</v>
      </c>
      <c r="O223" s="4" t="n">
        <v>3</v>
      </c>
      <c r="Q223" s="2" t="n">
        <v>266</v>
      </c>
      <c r="R223" s="0" t="s">
        <v>457</v>
      </c>
      <c r="S223" s="0" t="s">
        <v>8556</v>
      </c>
    </row>
    <row r="224" customFormat="false" ht="13.8" hidden="false" customHeight="false" outlineLevel="0" collapsed="false">
      <c r="A224" s="0" t="s">
        <v>132</v>
      </c>
      <c r="B224" s="0" t="n">
        <v>9</v>
      </c>
      <c r="C224" s="0" t="s">
        <v>8554</v>
      </c>
      <c r="D224" s="0" t="s">
        <v>603</v>
      </c>
      <c r="E224" s="0" t="s">
        <v>438</v>
      </c>
      <c r="F224" s="4" t="n">
        <v>144</v>
      </c>
      <c r="G224" s="2" t="n">
        <v>0</v>
      </c>
      <c r="H224" s="2" t="n">
        <v>0</v>
      </c>
      <c r="I224" s="4" t="n">
        <v>2</v>
      </c>
      <c r="J224" s="2" t="n">
        <v>0.5</v>
      </c>
      <c r="K224" s="2" t="s">
        <v>20</v>
      </c>
      <c r="L224" s="4" t="n">
        <v>5</v>
      </c>
      <c r="M224" s="2" t="n">
        <v>0</v>
      </c>
      <c r="N224" s="2" t="n">
        <v>0</v>
      </c>
      <c r="O224" s="4" t="n">
        <v>3</v>
      </c>
      <c r="Q224" s="2" t="n">
        <v>267</v>
      </c>
      <c r="R224" s="0" t="s">
        <v>438</v>
      </c>
      <c r="S224" s="0" t="s">
        <v>8557</v>
      </c>
    </row>
    <row r="225" customFormat="false" ht="13.8" hidden="false" customHeight="false" outlineLevel="0" collapsed="false">
      <c r="A225" s="0" t="s">
        <v>132</v>
      </c>
      <c r="B225" s="0" t="n">
        <v>9</v>
      </c>
      <c r="C225" s="0" t="s">
        <v>8554</v>
      </c>
      <c r="D225" s="0" t="s">
        <v>14</v>
      </c>
      <c r="E225" s="0" t="s">
        <v>398</v>
      </c>
      <c r="F225" s="4" t="n">
        <v>102</v>
      </c>
      <c r="G225" s="2" t="n">
        <v>0</v>
      </c>
      <c r="H225" s="2" t="n">
        <v>0</v>
      </c>
      <c r="I225" s="4" t="n">
        <v>2</v>
      </c>
      <c r="J225" s="2" t="n">
        <v>0.5</v>
      </c>
      <c r="K225" s="2" t="s">
        <v>20</v>
      </c>
      <c r="L225" s="4" t="n">
        <v>5</v>
      </c>
      <c r="M225" s="2" t="n">
        <v>0</v>
      </c>
      <c r="N225" s="2" t="n">
        <v>0</v>
      </c>
      <c r="O225" s="4" t="n">
        <v>3</v>
      </c>
      <c r="Q225" s="2" t="n">
        <v>268</v>
      </c>
      <c r="R225" s="0" t="s">
        <v>398</v>
      </c>
      <c r="S225" s="0" t="s">
        <v>8558</v>
      </c>
    </row>
    <row r="226" customFormat="false" ht="13.8" hidden="false" customHeight="false" outlineLevel="0" collapsed="false">
      <c r="A226" s="0" t="s">
        <v>132</v>
      </c>
      <c r="B226" s="0" t="n">
        <v>9</v>
      </c>
      <c r="C226" s="0" t="s">
        <v>8554</v>
      </c>
      <c r="D226" s="0" t="s">
        <v>604</v>
      </c>
      <c r="E226" s="0" t="s">
        <v>162</v>
      </c>
      <c r="F226" s="4" t="n">
        <v>17</v>
      </c>
      <c r="G226" s="2" t="n">
        <v>0</v>
      </c>
      <c r="H226" s="2" t="n">
        <v>0</v>
      </c>
      <c r="I226" s="4" t="n">
        <v>2</v>
      </c>
      <c r="J226" s="2" t="n">
        <v>0.5</v>
      </c>
      <c r="K226" s="2" t="s">
        <v>20</v>
      </c>
      <c r="L226" s="4" t="n">
        <v>5</v>
      </c>
      <c r="M226" s="2" t="n">
        <v>0</v>
      </c>
      <c r="N226" s="2" t="n">
        <v>0</v>
      </c>
      <c r="O226" s="4" t="n">
        <v>3</v>
      </c>
      <c r="Q226" s="2" t="n">
        <v>269</v>
      </c>
      <c r="R226" s="0" t="s">
        <v>162</v>
      </c>
      <c r="S226" s="0" t="s">
        <v>8559</v>
      </c>
    </row>
    <row r="227" customFormat="false" ht="13.8" hidden="false" customHeight="false" outlineLevel="0" collapsed="false">
      <c r="A227" s="0" t="s">
        <v>132</v>
      </c>
      <c r="B227" s="0" t="n">
        <v>9</v>
      </c>
      <c r="C227" s="0" t="s">
        <v>8554</v>
      </c>
      <c r="D227" s="0" t="s">
        <v>564</v>
      </c>
      <c r="E227" s="0" t="s">
        <v>382</v>
      </c>
      <c r="F227" s="4" t="n">
        <v>91</v>
      </c>
      <c r="G227" s="2" t="n">
        <v>0</v>
      </c>
      <c r="H227" s="2" t="n">
        <v>0</v>
      </c>
      <c r="I227" s="4" t="n">
        <v>2</v>
      </c>
      <c r="J227" s="2" t="n">
        <v>0.4</v>
      </c>
      <c r="K227" s="2" t="s">
        <v>20</v>
      </c>
      <c r="L227" s="4" t="n">
        <v>5</v>
      </c>
      <c r="M227" s="2" t="n">
        <v>0</v>
      </c>
      <c r="N227" s="2" t="n">
        <v>0</v>
      </c>
      <c r="O227" s="4" t="n">
        <v>3</v>
      </c>
      <c r="Q227" s="2" t="n">
        <v>270</v>
      </c>
      <c r="R227" s="0" t="s">
        <v>382</v>
      </c>
      <c r="S227" s="0" t="s">
        <v>8560</v>
      </c>
    </row>
    <row r="228" customFormat="false" ht="13.8" hidden="false" customHeight="false" outlineLevel="0" collapsed="false">
      <c r="A228" s="0" t="s">
        <v>132</v>
      </c>
      <c r="B228" s="0" t="n">
        <v>9</v>
      </c>
      <c r="C228" s="0" t="s">
        <v>8554</v>
      </c>
      <c r="D228" s="0" t="s">
        <v>568</v>
      </c>
      <c r="E228" s="0" t="s">
        <v>312</v>
      </c>
      <c r="F228" s="4" t="n">
        <v>67</v>
      </c>
      <c r="G228" s="2" t="n">
        <v>0</v>
      </c>
      <c r="H228" s="2" t="n">
        <v>0</v>
      </c>
      <c r="I228" s="4" t="n">
        <v>2</v>
      </c>
      <c r="J228" s="2" t="n">
        <v>1</v>
      </c>
      <c r="K228" s="2" t="s">
        <v>20</v>
      </c>
      <c r="L228" s="4" t="n">
        <v>5</v>
      </c>
      <c r="M228" s="2" t="n">
        <v>0</v>
      </c>
      <c r="N228" s="2" t="n">
        <v>0</v>
      </c>
      <c r="O228" s="4" t="n">
        <v>3</v>
      </c>
      <c r="Q228" s="2" t="n">
        <v>271</v>
      </c>
      <c r="R228" s="0" t="s">
        <v>312</v>
      </c>
      <c r="S228" s="0" t="s">
        <v>8561</v>
      </c>
    </row>
    <row r="229" customFormat="false" ht="13.8" hidden="false" customHeight="false" outlineLevel="0" collapsed="false">
      <c r="A229" s="0" t="s">
        <v>132</v>
      </c>
      <c r="B229" s="0" t="n">
        <v>9</v>
      </c>
      <c r="C229" s="0" t="s">
        <v>8554</v>
      </c>
      <c r="D229" s="0" t="s">
        <v>596</v>
      </c>
      <c r="E229" s="0" t="s">
        <v>429</v>
      </c>
      <c r="F229" s="4" t="n">
        <v>135</v>
      </c>
      <c r="G229" s="2" t="n">
        <v>0</v>
      </c>
      <c r="H229" s="2" t="n">
        <v>0</v>
      </c>
      <c r="I229" s="4" t="n">
        <v>2</v>
      </c>
      <c r="J229" s="2" t="n">
        <v>0.5</v>
      </c>
      <c r="K229" s="2" t="s">
        <v>20</v>
      </c>
      <c r="L229" s="4" t="n">
        <v>5</v>
      </c>
      <c r="M229" s="2" t="n">
        <v>0</v>
      </c>
      <c r="N229" s="2" t="n">
        <v>0</v>
      </c>
      <c r="O229" s="4" t="n">
        <v>3</v>
      </c>
      <c r="Q229" s="2" t="n">
        <v>272</v>
      </c>
      <c r="R229" s="0" t="s">
        <v>429</v>
      </c>
      <c r="S229" s="0" t="s">
        <v>8562</v>
      </c>
    </row>
    <row r="230" customFormat="false" ht="13.8" hidden="false" customHeight="false" outlineLevel="0" collapsed="false">
      <c r="A230" s="0" t="s">
        <v>132</v>
      </c>
      <c r="B230" s="0" t="n">
        <v>9</v>
      </c>
      <c r="C230" s="0" t="s">
        <v>8554</v>
      </c>
      <c r="D230" s="0" t="s">
        <v>605</v>
      </c>
      <c r="E230" s="0" t="s">
        <v>300</v>
      </c>
      <c r="F230" s="4" t="n">
        <v>63</v>
      </c>
      <c r="G230" s="2" t="n">
        <v>0</v>
      </c>
      <c r="H230" s="2" t="n">
        <v>0</v>
      </c>
      <c r="I230" s="4" t="n">
        <v>2</v>
      </c>
      <c r="J230" s="2" t="n">
        <v>0.35</v>
      </c>
      <c r="K230" s="2" t="s">
        <v>20</v>
      </c>
      <c r="L230" s="4" t="n">
        <v>5</v>
      </c>
      <c r="M230" s="2" t="n">
        <v>0</v>
      </c>
      <c r="N230" s="2" t="n">
        <v>0</v>
      </c>
      <c r="O230" s="4" t="n">
        <v>3</v>
      </c>
      <c r="Q230" s="2" t="n">
        <v>273</v>
      </c>
      <c r="R230" s="0" t="s">
        <v>300</v>
      </c>
      <c r="S230" s="0" t="s">
        <v>8563</v>
      </c>
    </row>
    <row r="231" customFormat="false" ht="13.8" hidden="false" customHeight="false" outlineLevel="0" collapsed="false">
      <c r="A231" s="0" t="s">
        <v>132</v>
      </c>
      <c r="B231" s="0" t="n">
        <v>9</v>
      </c>
      <c r="C231" s="0" t="s">
        <v>8554</v>
      </c>
      <c r="D231" s="0" t="s">
        <v>72</v>
      </c>
      <c r="E231" s="0" t="s">
        <v>333</v>
      </c>
      <c r="F231" s="4" t="n">
        <v>74</v>
      </c>
      <c r="G231" s="2" t="n">
        <v>0</v>
      </c>
      <c r="H231" s="2" t="n">
        <v>0</v>
      </c>
      <c r="I231" s="4" t="n">
        <v>2</v>
      </c>
      <c r="J231" s="2" t="n">
        <v>0.7</v>
      </c>
      <c r="K231" s="2" t="s">
        <v>20</v>
      </c>
      <c r="L231" s="4" t="n">
        <v>5</v>
      </c>
      <c r="M231" s="2" t="n">
        <v>0</v>
      </c>
      <c r="N231" s="2" t="n">
        <v>0</v>
      </c>
      <c r="O231" s="4" t="n">
        <v>3</v>
      </c>
      <c r="Q231" s="2" t="n">
        <v>274</v>
      </c>
      <c r="R231" s="0" t="s">
        <v>333</v>
      </c>
      <c r="S231" s="0" t="s">
        <v>8564</v>
      </c>
    </row>
    <row r="232" customFormat="false" ht="13.8" hidden="false" customHeight="false" outlineLevel="0" collapsed="false">
      <c r="A232" s="0" t="s">
        <v>132</v>
      </c>
      <c r="B232" s="0" t="n">
        <v>9</v>
      </c>
      <c r="C232" s="0" t="s">
        <v>8554</v>
      </c>
      <c r="D232" s="0" t="s">
        <v>571</v>
      </c>
      <c r="E232" s="0" t="s">
        <v>44</v>
      </c>
      <c r="F232" s="4" t="n">
        <v>187</v>
      </c>
      <c r="G232" s="2" t="n">
        <v>0</v>
      </c>
      <c r="H232" s="2" t="n">
        <v>0</v>
      </c>
      <c r="I232" s="4" t="n">
        <v>2</v>
      </c>
      <c r="J232" s="2" t="n">
        <v>0.6</v>
      </c>
      <c r="K232" s="2" t="s">
        <v>13</v>
      </c>
      <c r="L232" s="4" t="n">
        <v>1</v>
      </c>
      <c r="M232" s="2" t="n">
        <v>0</v>
      </c>
      <c r="N232" s="2" t="n">
        <v>0</v>
      </c>
      <c r="O232" s="4" t="n">
        <v>3</v>
      </c>
      <c r="Q232" s="2" t="n">
        <v>275</v>
      </c>
      <c r="R232" s="0" t="s">
        <v>44</v>
      </c>
      <c r="S232" s="0" t="s">
        <v>8565</v>
      </c>
    </row>
    <row r="233" customFormat="false" ht="13.8" hidden="false" customHeight="false" outlineLevel="0" collapsed="false">
      <c r="A233" s="0" t="s">
        <v>132</v>
      </c>
      <c r="B233" s="0" t="n">
        <v>9</v>
      </c>
      <c r="C233" s="0" t="s">
        <v>8554</v>
      </c>
      <c r="D233" s="0" t="s">
        <v>606</v>
      </c>
      <c r="E233" s="0" t="s">
        <v>138</v>
      </c>
      <c r="F233" s="4" t="n">
        <v>10</v>
      </c>
      <c r="G233" s="2" t="n">
        <v>0</v>
      </c>
      <c r="H233" s="2" t="n">
        <v>0</v>
      </c>
      <c r="I233" s="4" t="n">
        <v>2</v>
      </c>
      <c r="J233" s="2" t="n">
        <v>0.8</v>
      </c>
      <c r="K233" s="2" t="s">
        <v>20</v>
      </c>
      <c r="L233" s="4" t="n">
        <v>5</v>
      </c>
      <c r="M233" s="2" t="n">
        <v>0</v>
      </c>
      <c r="N233" s="2" t="n">
        <v>0</v>
      </c>
      <c r="O233" s="4" t="n">
        <v>3</v>
      </c>
      <c r="Q233" s="2" t="n">
        <v>276</v>
      </c>
      <c r="R233" s="0" t="s">
        <v>138</v>
      </c>
      <c r="S233" s="0" t="s">
        <v>8566</v>
      </c>
    </row>
    <row r="234" customFormat="false" ht="13.8" hidden="false" customHeight="false" outlineLevel="0" collapsed="false">
      <c r="A234" s="0" t="s">
        <v>132</v>
      </c>
      <c r="B234" s="0" t="n">
        <v>9</v>
      </c>
      <c r="C234" s="0" t="s">
        <v>8554</v>
      </c>
      <c r="D234" s="0" t="s">
        <v>32</v>
      </c>
      <c r="E234" s="0" t="s">
        <v>96</v>
      </c>
      <c r="F234" s="4" t="n">
        <v>177</v>
      </c>
      <c r="G234" s="2" t="n">
        <v>0</v>
      </c>
      <c r="H234" s="2" t="n">
        <v>0</v>
      </c>
      <c r="I234" s="4" t="n">
        <v>2</v>
      </c>
      <c r="J234" s="2" t="n">
        <v>1</v>
      </c>
      <c r="K234" s="2" t="s">
        <v>20</v>
      </c>
      <c r="L234" s="4" t="n">
        <v>5</v>
      </c>
      <c r="M234" s="2" t="n">
        <v>0</v>
      </c>
      <c r="N234" s="2" t="n">
        <v>0</v>
      </c>
      <c r="O234" s="4" t="n">
        <v>3</v>
      </c>
      <c r="Q234" s="2" t="n">
        <v>277</v>
      </c>
      <c r="R234" s="0" t="s">
        <v>96</v>
      </c>
      <c r="S234" s="0" t="s">
        <v>8567</v>
      </c>
    </row>
    <row r="235" customFormat="false" ht="13.8" hidden="false" customHeight="false" outlineLevel="0" collapsed="false">
      <c r="A235" s="0" t="s">
        <v>169</v>
      </c>
      <c r="B235" s="0" t="n">
        <v>20</v>
      </c>
      <c r="C235" s="0" t="s">
        <v>8568</v>
      </c>
      <c r="D235" s="0" t="s">
        <v>10</v>
      </c>
      <c r="E235" s="0" t="s">
        <v>130</v>
      </c>
      <c r="F235" s="4" t="n">
        <v>8</v>
      </c>
      <c r="G235" s="2" t="n">
        <v>40</v>
      </c>
      <c r="H235" s="2" t="s">
        <v>7</v>
      </c>
      <c r="I235" s="4" t="n">
        <v>2</v>
      </c>
      <c r="J235" s="2" t="n">
        <v>0</v>
      </c>
      <c r="K235" s="2" t="n">
        <v>0</v>
      </c>
      <c r="L235" s="4" t="n">
        <v>1</v>
      </c>
      <c r="M235" s="2" t="n">
        <v>0</v>
      </c>
      <c r="N235" s="2" t="n">
        <v>0</v>
      </c>
      <c r="O235" s="4" t="n">
        <v>3</v>
      </c>
      <c r="P235" s="0" t="s">
        <v>546</v>
      </c>
      <c r="Q235" s="2" t="n">
        <v>280</v>
      </c>
      <c r="R235" s="0" t="s">
        <v>130</v>
      </c>
      <c r="S235" s="0" t="s">
        <v>8569</v>
      </c>
    </row>
    <row r="236" customFormat="false" ht="13.8" hidden="false" customHeight="false" outlineLevel="0" collapsed="false">
      <c r="A236" s="0" t="s">
        <v>169</v>
      </c>
      <c r="B236" s="0" t="n">
        <v>20</v>
      </c>
      <c r="C236" s="0" t="s">
        <v>8568</v>
      </c>
      <c r="D236" s="0" t="s">
        <v>39</v>
      </c>
      <c r="E236" s="0" t="s">
        <v>228</v>
      </c>
      <c r="F236" s="4" t="n">
        <v>39</v>
      </c>
      <c r="G236" s="2" t="n">
        <v>4</v>
      </c>
      <c r="H236" s="2" t="s">
        <v>7</v>
      </c>
      <c r="I236" s="4" t="n">
        <v>2</v>
      </c>
      <c r="J236" s="2" t="n">
        <v>0</v>
      </c>
      <c r="K236" s="2" t="n">
        <v>0</v>
      </c>
      <c r="L236" s="4" t="n">
        <v>1</v>
      </c>
      <c r="M236" s="2" t="n">
        <v>0</v>
      </c>
      <c r="N236" s="2" t="n">
        <v>0</v>
      </c>
      <c r="O236" s="4" t="n">
        <v>3</v>
      </c>
      <c r="P236" s="0" t="s">
        <v>594</v>
      </c>
      <c r="Q236" s="2" t="n">
        <v>281</v>
      </c>
      <c r="R236" s="0" t="s">
        <v>228</v>
      </c>
      <c r="S236" s="0" t="s">
        <v>8570</v>
      </c>
    </row>
    <row r="237" customFormat="false" ht="13.8" hidden="false" customHeight="false" outlineLevel="0" collapsed="false">
      <c r="A237" s="0" t="s">
        <v>169</v>
      </c>
      <c r="B237" s="0" t="n">
        <v>20</v>
      </c>
      <c r="C237" s="0" t="s">
        <v>8568</v>
      </c>
      <c r="D237" s="0" t="s">
        <v>40</v>
      </c>
      <c r="E237" s="0" t="s">
        <v>237</v>
      </c>
      <c r="F237" s="4" t="n">
        <v>42</v>
      </c>
      <c r="G237" s="2" t="n">
        <v>4</v>
      </c>
      <c r="H237" s="2" t="s">
        <v>7</v>
      </c>
      <c r="I237" s="4" t="n">
        <v>2</v>
      </c>
      <c r="J237" s="2" t="n">
        <v>0</v>
      </c>
      <c r="K237" s="2" t="n">
        <v>0</v>
      </c>
      <c r="L237" s="4" t="n">
        <v>1</v>
      </c>
      <c r="M237" s="2" t="n">
        <v>0</v>
      </c>
      <c r="N237" s="2" t="n">
        <v>0</v>
      </c>
      <c r="O237" s="4" t="n">
        <v>3</v>
      </c>
      <c r="P237" s="0" t="s">
        <v>594</v>
      </c>
      <c r="Q237" s="2" t="n">
        <v>282</v>
      </c>
      <c r="R237" s="0" t="s">
        <v>237</v>
      </c>
      <c r="S237" s="0" t="s">
        <v>8571</v>
      </c>
    </row>
    <row r="238" customFormat="false" ht="13.8" hidden="false" customHeight="false" outlineLevel="0" collapsed="false">
      <c r="A238" s="0" t="s">
        <v>169</v>
      </c>
      <c r="B238" s="0" t="n">
        <v>20</v>
      </c>
      <c r="C238" s="0" t="s">
        <v>8568</v>
      </c>
      <c r="D238" s="0" t="s">
        <v>21</v>
      </c>
      <c r="E238" s="0" t="s">
        <v>485</v>
      </c>
      <c r="F238" s="4" t="n">
        <v>195</v>
      </c>
      <c r="G238" s="2" t="n">
        <v>4</v>
      </c>
      <c r="H238" s="2" t="s">
        <v>7</v>
      </c>
      <c r="I238" s="4" t="n">
        <v>2</v>
      </c>
      <c r="J238" s="2" t="n">
        <v>0</v>
      </c>
      <c r="K238" s="2" t="n">
        <v>0</v>
      </c>
      <c r="L238" s="4" t="n">
        <v>1</v>
      </c>
      <c r="M238" s="2" t="n">
        <v>0</v>
      </c>
      <c r="N238" s="2" t="n">
        <v>0</v>
      </c>
      <c r="O238" s="4" t="n">
        <v>3</v>
      </c>
      <c r="P238" s="0" t="s">
        <v>567</v>
      </c>
      <c r="Q238" s="2" t="n">
        <v>283</v>
      </c>
      <c r="R238" s="0" t="s">
        <v>485</v>
      </c>
      <c r="S238" s="0" t="s">
        <v>8572</v>
      </c>
    </row>
    <row r="239" customFormat="false" ht="13.8" hidden="false" customHeight="false" outlineLevel="0" collapsed="false">
      <c r="A239" s="0" t="s">
        <v>169</v>
      </c>
      <c r="B239" s="0" t="n">
        <v>20</v>
      </c>
      <c r="C239" s="0" t="s">
        <v>8568</v>
      </c>
      <c r="D239" s="0" t="s">
        <v>549</v>
      </c>
      <c r="E239" s="0" t="s">
        <v>374</v>
      </c>
      <c r="F239" s="4" t="n">
        <v>88</v>
      </c>
      <c r="G239" s="2" t="n">
        <v>2</v>
      </c>
      <c r="H239" s="2" t="s">
        <v>7</v>
      </c>
      <c r="I239" s="4" t="n">
        <v>2</v>
      </c>
      <c r="J239" s="2" t="n">
        <v>0</v>
      </c>
      <c r="K239" s="2" t="n">
        <v>0</v>
      </c>
      <c r="L239" s="4" t="n">
        <v>1</v>
      </c>
      <c r="M239" s="2" t="n">
        <v>0</v>
      </c>
      <c r="N239" s="2" t="n">
        <v>0</v>
      </c>
      <c r="O239" s="4" t="n">
        <v>3</v>
      </c>
      <c r="Q239" s="2" t="n">
        <v>284</v>
      </c>
      <c r="R239" s="0" t="s">
        <v>374</v>
      </c>
      <c r="S239" s="0" t="s">
        <v>8573</v>
      </c>
    </row>
    <row r="240" customFormat="false" ht="13.8" hidden="false" customHeight="false" outlineLevel="0" collapsed="false">
      <c r="A240" s="0" t="s">
        <v>169</v>
      </c>
      <c r="B240" s="0" t="n">
        <v>20</v>
      </c>
      <c r="C240" s="0" t="s">
        <v>8568</v>
      </c>
      <c r="D240" s="0" t="s">
        <v>553</v>
      </c>
      <c r="E240" s="0" t="s">
        <v>360</v>
      </c>
      <c r="F240" s="4" t="n">
        <v>83</v>
      </c>
      <c r="G240" s="2" t="n">
        <v>0</v>
      </c>
      <c r="H240" s="2" t="n">
        <v>0</v>
      </c>
      <c r="I240" s="4" t="n">
        <v>2</v>
      </c>
      <c r="J240" s="2" t="n">
        <v>2</v>
      </c>
      <c r="K240" s="2" t="s">
        <v>13</v>
      </c>
      <c r="L240" s="4" t="n">
        <v>1</v>
      </c>
      <c r="M240" s="2" t="n">
        <v>0</v>
      </c>
      <c r="N240" s="2" t="n">
        <v>0</v>
      </c>
      <c r="O240" s="4" t="n">
        <v>3</v>
      </c>
      <c r="Q240" s="2" t="n">
        <v>285</v>
      </c>
      <c r="R240" s="0" t="s">
        <v>360</v>
      </c>
      <c r="S240" s="0" t="s">
        <v>8574</v>
      </c>
    </row>
    <row r="241" customFormat="false" ht="13.8" hidden="false" customHeight="false" outlineLevel="0" collapsed="false">
      <c r="A241" s="0" t="s">
        <v>169</v>
      </c>
      <c r="B241" s="0" t="n">
        <v>20</v>
      </c>
      <c r="C241" s="0" t="s">
        <v>8568</v>
      </c>
      <c r="D241" s="0" t="s">
        <v>570</v>
      </c>
      <c r="E241" s="0" t="s">
        <v>456</v>
      </c>
      <c r="F241" s="4" t="n">
        <v>164</v>
      </c>
      <c r="G241" s="2" t="n">
        <v>0</v>
      </c>
      <c r="H241" s="2" t="n">
        <v>0</v>
      </c>
      <c r="I241" s="4" t="n">
        <v>2</v>
      </c>
      <c r="J241" s="2" t="n">
        <v>1</v>
      </c>
      <c r="K241" s="2" t="s">
        <v>20</v>
      </c>
      <c r="L241" s="4" t="n">
        <v>5</v>
      </c>
      <c r="M241" s="2" t="n">
        <v>0</v>
      </c>
      <c r="N241" s="2" t="n">
        <v>0</v>
      </c>
      <c r="O241" s="4" t="n">
        <v>3</v>
      </c>
      <c r="Q241" s="2" t="n">
        <v>286</v>
      </c>
      <c r="R241" s="0" t="s">
        <v>456</v>
      </c>
      <c r="S241" s="0" t="s">
        <v>8575</v>
      </c>
    </row>
    <row r="242" customFormat="false" ht="13.8" hidden="false" customHeight="false" outlineLevel="0" collapsed="false">
      <c r="A242" s="0" t="s">
        <v>169</v>
      </c>
      <c r="B242" s="0" t="n">
        <v>20</v>
      </c>
      <c r="C242" s="0" t="s">
        <v>8568</v>
      </c>
      <c r="D242" s="0" t="s">
        <v>607</v>
      </c>
      <c r="E242" s="0" t="s">
        <v>489</v>
      </c>
      <c r="F242" s="4" t="n">
        <v>200</v>
      </c>
      <c r="G242" s="2" t="n">
        <v>0</v>
      </c>
      <c r="H242" s="2" t="n">
        <v>0</v>
      </c>
      <c r="I242" s="4" t="n">
        <v>2</v>
      </c>
      <c r="J242" s="2" t="n">
        <v>2</v>
      </c>
      <c r="K242" s="2" t="s">
        <v>20</v>
      </c>
      <c r="L242" s="4" t="n">
        <v>5</v>
      </c>
      <c r="M242" s="2" t="n">
        <v>0</v>
      </c>
      <c r="N242" s="2" t="n">
        <v>0</v>
      </c>
      <c r="O242" s="4" t="n">
        <v>3</v>
      </c>
      <c r="Q242" s="2" t="n">
        <v>287</v>
      </c>
      <c r="R242" s="0" t="s">
        <v>489</v>
      </c>
      <c r="S242" s="0" t="s">
        <v>8576</v>
      </c>
    </row>
    <row r="243" customFormat="false" ht="13.8" hidden="false" customHeight="false" outlineLevel="0" collapsed="false">
      <c r="A243" s="0" t="s">
        <v>169</v>
      </c>
      <c r="B243" s="0" t="n">
        <v>20</v>
      </c>
      <c r="C243" s="0" t="s">
        <v>8568</v>
      </c>
      <c r="D243" s="0" t="s">
        <v>577</v>
      </c>
      <c r="E243" s="0" t="s">
        <v>249</v>
      </c>
      <c r="F243" s="4" t="n">
        <v>46</v>
      </c>
      <c r="G243" s="2" t="n">
        <v>0</v>
      </c>
      <c r="H243" s="2" t="n">
        <v>0</v>
      </c>
      <c r="I243" s="4" t="n">
        <v>2</v>
      </c>
      <c r="J243" s="2" t="n">
        <v>2</v>
      </c>
      <c r="K243" s="2" t="s">
        <v>20</v>
      </c>
      <c r="L243" s="4" t="n">
        <v>5</v>
      </c>
      <c r="M243" s="2" t="n">
        <v>0</v>
      </c>
      <c r="N243" s="2" t="n">
        <v>0</v>
      </c>
      <c r="O243" s="4" t="n">
        <v>3</v>
      </c>
      <c r="Q243" s="2" t="n">
        <v>288</v>
      </c>
      <c r="R243" s="0" t="s">
        <v>249</v>
      </c>
      <c r="S243" s="0" t="s">
        <v>8577</v>
      </c>
    </row>
    <row r="244" customFormat="false" ht="13.8" hidden="false" customHeight="false" outlineLevel="0" collapsed="false">
      <c r="A244" s="0" t="s">
        <v>169</v>
      </c>
      <c r="B244" s="0" t="n">
        <v>20</v>
      </c>
      <c r="C244" s="0" t="s">
        <v>8568</v>
      </c>
      <c r="D244" s="0" t="s">
        <v>562</v>
      </c>
      <c r="E244" s="0" t="s">
        <v>391</v>
      </c>
      <c r="F244" s="4" t="n">
        <v>95</v>
      </c>
      <c r="G244" s="2" t="n">
        <v>0</v>
      </c>
      <c r="H244" s="2" t="n">
        <v>0</v>
      </c>
      <c r="I244" s="4" t="n">
        <v>2</v>
      </c>
      <c r="J244" s="2" t="n">
        <v>0.5</v>
      </c>
      <c r="K244" s="2" t="s">
        <v>20</v>
      </c>
      <c r="L244" s="4" t="n">
        <v>5</v>
      </c>
      <c r="M244" s="2" t="n">
        <v>0</v>
      </c>
      <c r="N244" s="2" t="n">
        <v>0</v>
      </c>
      <c r="O244" s="4" t="n">
        <v>3</v>
      </c>
      <c r="Q244" s="2" t="n">
        <v>289</v>
      </c>
      <c r="R244" s="0" t="s">
        <v>391</v>
      </c>
      <c r="S244" s="0" t="s">
        <v>8578</v>
      </c>
    </row>
    <row r="245" customFormat="false" ht="13.8" hidden="false" customHeight="false" outlineLevel="0" collapsed="false">
      <c r="A245" s="0" t="s">
        <v>169</v>
      </c>
      <c r="B245" s="0" t="n">
        <v>20</v>
      </c>
      <c r="C245" s="0" t="s">
        <v>8568</v>
      </c>
      <c r="D245" s="0" t="s">
        <v>526</v>
      </c>
      <c r="E245" s="0" t="s">
        <v>386</v>
      </c>
      <c r="F245" s="4" t="n">
        <v>93</v>
      </c>
      <c r="G245" s="2" t="n">
        <v>0</v>
      </c>
      <c r="H245" s="2" t="n">
        <v>0</v>
      </c>
      <c r="I245" s="4" t="n">
        <v>2</v>
      </c>
      <c r="J245" s="2" t="n">
        <v>2</v>
      </c>
      <c r="K245" s="2" t="s">
        <v>20</v>
      </c>
      <c r="L245" s="4" t="n">
        <v>5</v>
      </c>
      <c r="M245" s="2" t="n">
        <v>0</v>
      </c>
      <c r="N245" s="2" t="n">
        <v>0</v>
      </c>
      <c r="O245" s="4" t="n">
        <v>3</v>
      </c>
      <c r="P245" s="0" t="s">
        <v>608</v>
      </c>
      <c r="Q245" s="2" t="n">
        <v>290</v>
      </c>
      <c r="R245" s="0" t="s">
        <v>386</v>
      </c>
      <c r="S245" s="0" t="s">
        <v>8579</v>
      </c>
    </row>
    <row r="246" customFormat="false" ht="13.8" hidden="false" customHeight="false" outlineLevel="0" collapsed="false">
      <c r="A246" s="0" t="s">
        <v>169</v>
      </c>
      <c r="B246" s="0" t="n">
        <v>20</v>
      </c>
      <c r="C246" s="0" t="s">
        <v>8568</v>
      </c>
      <c r="D246" s="0" t="s">
        <v>586</v>
      </c>
      <c r="E246" s="0" t="s">
        <v>38</v>
      </c>
      <c r="F246" s="4" t="n">
        <v>105</v>
      </c>
      <c r="G246" s="2" t="n">
        <v>0</v>
      </c>
      <c r="H246" s="2" t="n">
        <v>0</v>
      </c>
      <c r="I246" s="4" t="n">
        <v>2</v>
      </c>
      <c r="J246" s="2" t="n">
        <v>2</v>
      </c>
      <c r="K246" s="2" t="s">
        <v>13</v>
      </c>
      <c r="L246" s="4" t="n">
        <v>1</v>
      </c>
      <c r="M246" s="2" t="n">
        <v>0</v>
      </c>
      <c r="N246" s="2" t="n">
        <v>0</v>
      </c>
      <c r="O246" s="4" t="n">
        <v>3</v>
      </c>
      <c r="Q246" s="2" t="n">
        <v>291</v>
      </c>
      <c r="R246" s="0" t="s">
        <v>38</v>
      </c>
      <c r="S246" s="0" t="s">
        <v>8580</v>
      </c>
    </row>
    <row r="247" customFormat="false" ht="13.8" hidden="false" customHeight="false" outlineLevel="0" collapsed="false">
      <c r="A247" s="0" t="s">
        <v>169</v>
      </c>
      <c r="B247" s="0" t="n">
        <v>20</v>
      </c>
      <c r="C247" s="0" t="s">
        <v>8568</v>
      </c>
      <c r="D247" s="0" t="s">
        <v>564</v>
      </c>
      <c r="E247" s="0" t="s">
        <v>382</v>
      </c>
      <c r="F247" s="4" t="n">
        <v>91</v>
      </c>
      <c r="G247" s="2" t="n">
        <v>0</v>
      </c>
      <c r="H247" s="2" t="n">
        <v>0</v>
      </c>
      <c r="I247" s="4" t="n">
        <v>2</v>
      </c>
      <c r="J247" s="2" t="n">
        <v>1</v>
      </c>
      <c r="K247" s="2" t="s">
        <v>20</v>
      </c>
      <c r="L247" s="4" t="n">
        <v>5</v>
      </c>
      <c r="M247" s="2" t="n">
        <v>0</v>
      </c>
      <c r="N247" s="2" t="n">
        <v>0</v>
      </c>
      <c r="O247" s="4" t="n">
        <v>3</v>
      </c>
      <c r="Q247" s="2" t="n">
        <v>292</v>
      </c>
      <c r="R247" s="0" t="s">
        <v>382</v>
      </c>
      <c r="S247" s="0" t="s">
        <v>8581</v>
      </c>
    </row>
    <row r="248" customFormat="false" ht="13.8" hidden="false" customHeight="false" outlineLevel="0" collapsed="false">
      <c r="A248" s="0" t="s">
        <v>169</v>
      </c>
      <c r="B248" s="0" t="n">
        <v>20</v>
      </c>
      <c r="C248" s="0" t="s">
        <v>8568</v>
      </c>
      <c r="D248" s="0" t="s">
        <v>609</v>
      </c>
      <c r="E248" s="0" t="s">
        <v>442</v>
      </c>
      <c r="F248" s="4" t="n">
        <v>148</v>
      </c>
      <c r="G248" s="2" t="n">
        <v>0</v>
      </c>
      <c r="H248" s="2" t="n">
        <v>0</v>
      </c>
      <c r="I248" s="4" t="n">
        <v>2</v>
      </c>
      <c r="J248" s="2" t="n">
        <v>2</v>
      </c>
      <c r="K248" s="2" t="s">
        <v>20</v>
      </c>
      <c r="L248" s="4" t="n">
        <v>5</v>
      </c>
      <c r="M248" s="2" t="n">
        <v>0</v>
      </c>
      <c r="N248" s="2" t="n">
        <v>0</v>
      </c>
      <c r="O248" s="4" t="n">
        <v>3</v>
      </c>
      <c r="Q248" s="2" t="n">
        <v>293</v>
      </c>
      <c r="R248" s="0" t="s">
        <v>442</v>
      </c>
      <c r="S248" s="0" t="s">
        <v>8582</v>
      </c>
    </row>
    <row r="249" customFormat="false" ht="13.8" hidden="false" customHeight="false" outlineLevel="0" collapsed="false">
      <c r="A249" s="0" t="s">
        <v>169</v>
      </c>
      <c r="B249" s="0" t="n">
        <v>20</v>
      </c>
      <c r="C249" s="0" t="s">
        <v>8568</v>
      </c>
      <c r="D249" s="0" t="s">
        <v>32</v>
      </c>
      <c r="E249" s="0" t="s">
        <v>96</v>
      </c>
      <c r="F249" s="4" t="n">
        <v>177</v>
      </c>
      <c r="G249" s="2" t="n">
        <v>0</v>
      </c>
      <c r="H249" s="2" t="n">
        <v>0</v>
      </c>
      <c r="I249" s="4" t="n">
        <v>2</v>
      </c>
      <c r="J249" s="2" t="n">
        <v>2.5</v>
      </c>
      <c r="K249" s="2" t="s">
        <v>20</v>
      </c>
      <c r="L249" s="4" t="n">
        <v>5</v>
      </c>
      <c r="M249" s="2" t="n">
        <v>0</v>
      </c>
      <c r="N249" s="2" t="n">
        <v>0</v>
      </c>
      <c r="O249" s="4" t="n">
        <v>3</v>
      </c>
      <c r="Q249" s="2" t="n">
        <v>294</v>
      </c>
      <c r="R249" s="0" t="s">
        <v>96</v>
      </c>
      <c r="S249" s="0" t="s">
        <v>8583</v>
      </c>
    </row>
    <row r="250" customFormat="false" ht="13.8" hidden="false" customHeight="false" outlineLevel="0" collapsed="false">
      <c r="A250" s="0" t="s">
        <v>148</v>
      </c>
      <c r="B250" s="0" t="n">
        <v>13</v>
      </c>
      <c r="C250" s="0" t="s">
        <v>8584</v>
      </c>
      <c r="D250" s="0" t="s">
        <v>610</v>
      </c>
      <c r="E250" s="0" t="s">
        <v>270</v>
      </c>
      <c r="F250" s="4" t="n">
        <v>53</v>
      </c>
      <c r="G250" s="2" t="n">
        <v>11</v>
      </c>
      <c r="H250" s="2" t="s">
        <v>7</v>
      </c>
      <c r="I250" s="4" t="n">
        <v>2</v>
      </c>
      <c r="J250" s="2" t="n">
        <v>0</v>
      </c>
      <c r="K250" s="2" t="n">
        <v>0</v>
      </c>
      <c r="L250" s="4" t="n">
        <v>1</v>
      </c>
      <c r="M250" s="2" t="n">
        <v>0</v>
      </c>
      <c r="N250" s="2" t="n">
        <v>0</v>
      </c>
      <c r="O250" s="4" t="n">
        <v>3</v>
      </c>
      <c r="Q250" s="2" t="n">
        <v>297</v>
      </c>
      <c r="R250" s="0" t="s">
        <v>270</v>
      </c>
      <c r="S250" s="0" t="s">
        <v>8585</v>
      </c>
    </row>
    <row r="251" customFormat="false" ht="13.8" hidden="false" customHeight="false" outlineLevel="0" collapsed="false">
      <c r="A251" s="0" t="s">
        <v>148</v>
      </c>
      <c r="B251" s="0" t="n">
        <v>13</v>
      </c>
      <c r="C251" s="0" t="s">
        <v>8584</v>
      </c>
      <c r="D251" s="0" t="s">
        <v>21</v>
      </c>
      <c r="E251" s="0" t="s">
        <v>485</v>
      </c>
      <c r="F251" s="4" t="n">
        <v>195</v>
      </c>
      <c r="G251" s="2" t="n">
        <v>5.5</v>
      </c>
      <c r="H251" s="2" t="s">
        <v>7</v>
      </c>
      <c r="I251" s="4" t="n">
        <v>2</v>
      </c>
      <c r="J251" s="2" t="n">
        <v>0</v>
      </c>
      <c r="K251" s="2" t="n">
        <v>0</v>
      </c>
      <c r="L251" s="4" t="n">
        <v>1</v>
      </c>
      <c r="M251" s="2" t="n">
        <v>0</v>
      </c>
      <c r="N251" s="2" t="n">
        <v>0</v>
      </c>
      <c r="O251" s="4" t="n">
        <v>3</v>
      </c>
      <c r="P251" s="0" t="s">
        <v>567</v>
      </c>
      <c r="Q251" s="2" t="n">
        <v>298</v>
      </c>
      <c r="R251" s="0" t="s">
        <v>485</v>
      </c>
      <c r="S251" s="0" t="s">
        <v>8586</v>
      </c>
    </row>
    <row r="252" customFormat="false" ht="13.8" hidden="false" customHeight="false" outlineLevel="0" collapsed="false">
      <c r="A252" s="0" t="s">
        <v>148</v>
      </c>
      <c r="B252" s="0" t="n">
        <v>13</v>
      </c>
      <c r="C252" s="0" t="s">
        <v>8584</v>
      </c>
      <c r="D252" s="0" t="s">
        <v>611</v>
      </c>
      <c r="E252" s="0" t="s">
        <v>384</v>
      </c>
      <c r="F252" s="4" t="n">
        <v>92</v>
      </c>
      <c r="G252" s="2" t="n">
        <v>0</v>
      </c>
      <c r="H252" s="2" t="n">
        <v>0</v>
      </c>
      <c r="I252" s="4" t="n">
        <v>2</v>
      </c>
      <c r="J252" s="2" t="n">
        <v>6</v>
      </c>
      <c r="K252" s="2" t="s">
        <v>20</v>
      </c>
      <c r="L252" s="4" t="n">
        <v>5</v>
      </c>
      <c r="M252" s="2" t="n">
        <v>0</v>
      </c>
      <c r="N252" s="2" t="n">
        <v>0</v>
      </c>
      <c r="O252" s="4" t="n">
        <v>3</v>
      </c>
      <c r="Q252" s="2" t="n">
        <v>299</v>
      </c>
      <c r="R252" s="0" t="s">
        <v>384</v>
      </c>
      <c r="S252" s="0" t="s">
        <v>8587</v>
      </c>
    </row>
    <row r="253" customFormat="false" ht="13.8" hidden="false" customHeight="false" outlineLevel="0" collapsed="false">
      <c r="A253" s="0" t="s">
        <v>148</v>
      </c>
      <c r="B253" s="0" t="n">
        <v>13</v>
      </c>
      <c r="C253" s="0" t="s">
        <v>8584</v>
      </c>
      <c r="D253" s="0" t="s">
        <v>32</v>
      </c>
      <c r="E253" s="0" t="s">
        <v>96</v>
      </c>
      <c r="F253" s="4" t="n">
        <v>177</v>
      </c>
      <c r="G253" s="2" t="n">
        <v>0</v>
      </c>
      <c r="H253" s="2" t="n">
        <v>0</v>
      </c>
      <c r="I253" s="4" t="n">
        <v>2</v>
      </c>
      <c r="J253" s="2" t="n">
        <v>0.3</v>
      </c>
      <c r="K253" s="2" t="s">
        <v>20</v>
      </c>
      <c r="L253" s="4" t="n">
        <v>5</v>
      </c>
      <c r="M253" s="2" t="n">
        <v>0</v>
      </c>
      <c r="N253" s="2" t="n">
        <v>0</v>
      </c>
      <c r="O253" s="4" t="n">
        <v>3</v>
      </c>
      <c r="Q253" s="2" t="n">
        <v>300</v>
      </c>
      <c r="R253" s="0" t="s">
        <v>96</v>
      </c>
      <c r="S253" s="0" t="s">
        <v>8588</v>
      </c>
    </row>
    <row r="254" customFormat="false" ht="13.8" hidden="false" customHeight="false" outlineLevel="0" collapsed="false">
      <c r="A254" s="0" t="s">
        <v>148</v>
      </c>
      <c r="B254" s="0" t="n">
        <v>13</v>
      </c>
      <c r="C254" s="0" t="s">
        <v>8584</v>
      </c>
      <c r="D254" s="0" t="s">
        <v>612</v>
      </c>
      <c r="E254" s="0" t="s">
        <v>142</v>
      </c>
      <c r="F254" s="4" t="n">
        <v>11</v>
      </c>
      <c r="G254" s="2" t="n">
        <v>0</v>
      </c>
      <c r="H254" s="2" t="n">
        <v>0</v>
      </c>
      <c r="I254" s="4" t="n">
        <v>2</v>
      </c>
      <c r="J254" s="2" t="n">
        <v>2</v>
      </c>
      <c r="K254" s="2" t="s">
        <v>20</v>
      </c>
      <c r="L254" s="4" t="n">
        <v>5</v>
      </c>
      <c r="M254" s="2" t="n">
        <v>0</v>
      </c>
      <c r="N254" s="2" t="n">
        <v>0</v>
      </c>
      <c r="O254" s="4" t="n">
        <v>3</v>
      </c>
      <c r="Q254" s="2" t="n">
        <v>301</v>
      </c>
      <c r="R254" s="0" t="s">
        <v>142</v>
      </c>
      <c r="S254" s="0" t="s">
        <v>8589</v>
      </c>
    </row>
    <row r="255" customFormat="false" ht="13.8" hidden="false" customHeight="false" outlineLevel="0" collapsed="false">
      <c r="A255" s="0" t="s">
        <v>277</v>
      </c>
      <c r="B255" s="0" t="n">
        <v>56</v>
      </c>
      <c r="C255" s="0" t="s">
        <v>8590</v>
      </c>
      <c r="D255" s="0" t="s">
        <v>585</v>
      </c>
      <c r="E255" s="0" t="s">
        <v>457</v>
      </c>
      <c r="F255" s="4" t="n">
        <v>165</v>
      </c>
      <c r="G255" s="2" t="n">
        <v>0</v>
      </c>
      <c r="H255" s="2" t="n">
        <v>0</v>
      </c>
      <c r="I255" s="4" t="n">
        <v>2</v>
      </c>
      <c r="J255" s="2" t="n">
        <v>1</v>
      </c>
      <c r="K255" s="2" t="s">
        <v>13</v>
      </c>
      <c r="L255" s="4" t="n">
        <v>1</v>
      </c>
      <c r="M255" s="2" t="n">
        <v>0</v>
      </c>
      <c r="N255" s="2" t="n">
        <v>0</v>
      </c>
      <c r="O255" s="4" t="n">
        <v>3</v>
      </c>
      <c r="Q255" s="2" t="n">
        <v>304</v>
      </c>
      <c r="R255" s="0" t="s">
        <v>457</v>
      </c>
      <c r="S255" s="0" t="s">
        <v>8591</v>
      </c>
    </row>
    <row r="256" customFormat="false" ht="13.8" hidden="false" customHeight="false" outlineLevel="0" collapsed="false">
      <c r="A256" s="0" t="s">
        <v>277</v>
      </c>
      <c r="B256" s="0" t="n">
        <v>56</v>
      </c>
      <c r="C256" s="0" t="s">
        <v>8590</v>
      </c>
      <c r="D256" s="0" t="s">
        <v>14</v>
      </c>
      <c r="E256" s="0" t="s">
        <v>398</v>
      </c>
      <c r="F256" s="4" t="n">
        <v>102</v>
      </c>
      <c r="G256" s="2" t="n">
        <v>0</v>
      </c>
      <c r="H256" s="2" t="n">
        <v>0</v>
      </c>
      <c r="I256" s="4" t="n">
        <v>2</v>
      </c>
      <c r="J256" s="2" t="n">
        <v>0.6</v>
      </c>
      <c r="K256" s="2" t="s">
        <v>20</v>
      </c>
      <c r="L256" s="4" t="n">
        <v>5</v>
      </c>
      <c r="M256" s="2" t="n">
        <v>0</v>
      </c>
      <c r="N256" s="2" t="n">
        <v>0</v>
      </c>
      <c r="O256" s="4" t="n">
        <v>3</v>
      </c>
      <c r="Q256" s="2" t="n">
        <v>305</v>
      </c>
      <c r="R256" s="0" t="s">
        <v>398</v>
      </c>
      <c r="S256" s="0" t="s">
        <v>8592</v>
      </c>
    </row>
    <row r="257" customFormat="false" ht="13.8" hidden="false" customHeight="false" outlineLevel="0" collapsed="false">
      <c r="A257" s="0" t="s">
        <v>277</v>
      </c>
      <c r="B257" s="0" t="n">
        <v>56</v>
      </c>
      <c r="C257" s="0" t="s">
        <v>8590</v>
      </c>
      <c r="D257" s="0" t="s">
        <v>526</v>
      </c>
      <c r="E257" s="0" t="s">
        <v>386</v>
      </c>
      <c r="F257" s="4" t="n">
        <v>93</v>
      </c>
      <c r="G257" s="2" t="n">
        <v>100</v>
      </c>
      <c r="H257" s="2" t="s">
        <v>109</v>
      </c>
      <c r="I257" s="4" t="n">
        <v>7</v>
      </c>
      <c r="J257" s="2" t="n">
        <v>0</v>
      </c>
      <c r="K257" s="2" t="n">
        <v>0</v>
      </c>
      <c r="L257" s="4" t="n">
        <v>1</v>
      </c>
      <c r="M257" s="2" t="n">
        <v>0</v>
      </c>
      <c r="N257" s="2" t="n">
        <v>0</v>
      </c>
      <c r="O257" s="4" t="n">
        <v>3</v>
      </c>
      <c r="Q257" s="2" t="n">
        <v>306</v>
      </c>
      <c r="R257" s="0" t="s">
        <v>386</v>
      </c>
      <c r="S257" s="0" t="s">
        <v>8593</v>
      </c>
    </row>
    <row r="258" customFormat="false" ht="13.8" hidden="false" customHeight="false" outlineLevel="0" collapsed="false">
      <c r="A258" s="0" t="s">
        <v>277</v>
      </c>
      <c r="B258" s="0" t="n">
        <v>56</v>
      </c>
      <c r="C258" s="0" t="s">
        <v>8590</v>
      </c>
      <c r="D258" s="0" t="s">
        <v>564</v>
      </c>
      <c r="E258" s="0" t="s">
        <v>382</v>
      </c>
      <c r="F258" s="4" t="n">
        <v>91</v>
      </c>
      <c r="G258" s="2" t="n">
        <v>0</v>
      </c>
      <c r="H258" s="2" t="n">
        <v>0</v>
      </c>
      <c r="I258" s="4" t="n">
        <v>2</v>
      </c>
      <c r="J258" s="2" t="n">
        <v>0.75</v>
      </c>
      <c r="K258" s="2" t="s">
        <v>20</v>
      </c>
      <c r="L258" s="4" t="n">
        <v>5</v>
      </c>
      <c r="M258" s="2" t="n">
        <v>0</v>
      </c>
      <c r="N258" s="2" t="n">
        <v>0</v>
      </c>
      <c r="O258" s="4" t="n">
        <v>3</v>
      </c>
      <c r="Q258" s="2" t="n">
        <v>307</v>
      </c>
      <c r="R258" s="0" t="s">
        <v>382</v>
      </c>
      <c r="S258" s="0" t="s">
        <v>8594</v>
      </c>
    </row>
    <row r="259" customFormat="false" ht="13.8" hidden="false" customHeight="false" outlineLevel="0" collapsed="false">
      <c r="A259" s="0" t="s">
        <v>277</v>
      </c>
      <c r="B259" s="0" t="n">
        <v>56</v>
      </c>
      <c r="C259" s="0" t="s">
        <v>8590</v>
      </c>
      <c r="D259" s="0" t="s">
        <v>531</v>
      </c>
      <c r="E259" s="0" t="s">
        <v>402</v>
      </c>
      <c r="F259" s="4" t="n">
        <v>107</v>
      </c>
      <c r="G259" s="2" t="n">
        <v>0.5</v>
      </c>
      <c r="H259" s="2" t="s">
        <v>7</v>
      </c>
      <c r="I259" s="4" t="n">
        <v>2</v>
      </c>
      <c r="J259" s="2" t="n">
        <v>0</v>
      </c>
      <c r="K259" s="2" t="n">
        <v>0</v>
      </c>
      <c r="L259" s="4" t="n">
        <v>1</v>
      </c>
      <c r="M259" s="2" t="n">
        <v>0</v>
      </c>
      <c r="N259" s="2" t="n">
        <v>0</v>
      </c>
      <c r="O259" s="4" t="n">
        <v>3</v>
      </c>
      <c r="Q259" s="2" t="n">
        <v>308</v>
      </c>
      <c r="R259" s="0" t="s">
        <v>402</v>
      </c>
      <c r="S259" s="0" t="s">
        <v>8595</v>
      </c>
    </row>
    <row r="260" customFormat="false" ht="13.8" hidden="false" customHeight="false" outlineLevel="0" collapsed="false">
      <c r="A260" s="0" t="s">
        <v>277</v>
      </c>
      <c r="B260" s="0" t="n">
        <v>56</v>
      </c>
      <c r="C260" s="0" t="s">
        <v>8590</v>
      </c>
      <c r="D260" s="0" t="s">
        <v>613</v>
      </c>
      <c r="E260" s="0" t="s">
        <v>453</v>
      </c>
      <c r="F260" s="4" t="n">
        <v>161</v>
      </c>
      <c r="G260" s="2" t="n">
        <v>0.75</v>
      </c>
      <c r="H260" s="2" t="s">
        <v>7</v>
      </c>
      <c r="I260" s="4" t="n">
        <v>2</v>
      </c>
      <c r="J260" s="2" t="n">
        <v>0</v>
      </c>
      <c r="K260" s="2" t="n">
        <v>0</v>
      </c>
      <c r="L260" s="4" t="n">
        <v>1</v>
      </c>
      <c r="M260" s="2" t="n">
        <v>0</v>
      </c>
      <c r="N260" s="2" t="n">
        <v>0</v>
      </c>
      <c r="O260" s="4" t="n">
        <v>3</v>
      </c>
      <c r="Q260" s="2" t="n">
        <v>309</v>
      </c>
      <c r="R260" s="0" t="s">
        <v>453</v>
      </c>
      <c r="S260" s="0" t="s">
        <v>8596</v>
      </c>
    </row>
    <row r="261" customFormat="false" ht="13.8" hidden="false" customHeight="false" outlineLevel="0" collapsed="false">
      <c r="A261" s="0" t="s">
        <v>277</v>
      </c>
      <c r="B261" s="0" t="n">
        <v>56</v>
      </c>
      <c r="C261" s="0" t="s">
        <v>8590</v>
      </c>
      <c r="D261" s="0" t="s">
        <v>72</v>
      </c>
      <c r="E261" s="0" t="s">
        <v>333</v>
      </c>
      <c r="F261" s="4" t="n">
        <v>74</v>
      </c>
      <c r="G261" s="2" t="n">
        <v>0</v>
      </c>
      <c r="H261" s="2" t="n">
        <v>0</v>
      </c>
      <c r="I261" s="4" t="n">
        <v>2</v>
      </c>
      <c r="J261" s="2" t="n">
        <v>1.5</v>
      </c>
      <c r="K261" s="2" t="s">
        <v>20</v>
      </c>
      <c r="L261" s="4" t="n">
        <v>5</v>
      </c>
      <c r="M261" s="2" t="n">
        <v>0</v>
      </c>
      <c r="N261" s="2" t="n">
        <v>0</v>
      </c>
      <c r="O261" s="4" t="n">
        <v>3</v>
      </c>
      <c r="Q261" s="2" t="n">
        <v>310</v>
      </c>
      <c r="R261" s="0" t="s">
        <v>333</v>
      </c>
      <c r="S261" s="0" t="s">
        <v>8597</v>
      </c>
    </row>
    <row r="262" customFormat="false" ht="13.8" hidden="false" customHeight="false" outlineLevel="0" collapsed="false">
      <c r="A262" s="0" t="s">
        <v>277</v>
      </c>
      <c r="B262" s="0" t="n">
        <v>56</v>
      </c>
      <c r="C262" s="0" t="s">
        <v>8590</v>
      </c>
      <c r="D262" s="0" t="s">
        <v>571</v>
      </c>
      <c r="E262" s="0" t="s">
        <v>44</v>
      </c>
      <c r="F262" s="4" t="n">
        <v>187</v>
      </c>
      <c r="G262" s="2" t="n">
        <v>0</v>
      </c>
      <c r="H262" s="2" t="n">
        <v>0</v>
      </c>
      <c r="I262" s="4" t="n">
        <v>2</v>
      </c>
      <c r="J262" s="2" t="n">
        <v>2.5</v>
      </c>
      <c r="K262" s="2" t="s">
        <v>20</v>
      </c>
      <c r="L262" s="4" t="n">
        <v>5</v>
      </c>
      <c r="M262" s="2" t="n">
        <v>0</v>
      </c>
      <c r="N262" s="2" t="n">
        <v>0</v>
      </c>
      <c r="O262" s="4" t="n">
        <v>3</v>
      </c>
      <c r="Q262" s="2" t="n">
        <v>311</v>
      </c>
      <c r="R262" s="0" t="s">
        <v>44</v>
      </c>
      <c r="S262" s="0" t="s">
        <v>8598</v>
      </c>
    </row>
    <row r="263" customFormat="false" ht="13.8" hidden="false" customHeight="false" outlineLevel="0" collapsed="false">
      <c r="A263" s="0" t="s">
        <v>277</v>
      </c>
      <c r="B263" s="0" t="n">
        <v>56</v>
      </c>
      <c r="C263" s="0" t="s">
        <v>8590</v>
      </c>
      <c r="D263" s="0" t="s">
        <v>592</v>
      </c>
      <c r="E263" s="0" t="s">
        <v>451</v>
      </c>
      <c r="F263" s="4" t="n">
        <v>158</v>
      </c>
      <c r="G263" s="2" t="n">
        <v>25</v>
      </c>
      <c r="H263" s="2" t="s">
        <v>7</v>
      </c>
      <c r="I263" s="4" t="n">
        <v>2</v>
      </c>
      <c r="J263" s="2" t="n">
        <v>0</v>
      </c>
      <c r="K263" s="2" t="n">
        <v>0</v>
      </c>
      <c r="L263" s="4" t="n">
        <v>1</v>
      </c>
      <c r="M263" s="2" t="n">
        <v>0</v>
      </c>
      <c r="N263" s="2" t="n">
        <v>0</v>
      </c>
      <c r="O263" s="4" t="n">
        <v>3</v>
      </c>
      <c r="P263" s="0" t="s">
        <v>614</v>
      </c>
      <c r="Q263" s="2" t="n">
        <v>312</v>
      </c>
      <c r="R263" s="0" t="s">
        <v>451</v>
      </c>
      <c r="S263" s="0" t="s">
        <v>8599</v>
      </c>
    </row>
    <row r="264" customFormat="false" ht="13.8" hidden="false" customHeight="false" outlineLevel="0" collapsed="false">
      <c r="A264" s="0" t="s">
        <v>277</v>
      </c>
      <c r="B264" s="0" t="n">
        <v>56</v>
      </c>
      <c r="C264" s="0" t="s">
        <v>8590</v>
      </c>
      <c r="D264" s="0" t="s">
        <v>43</v>
      </c>
      <c r="E264" s="0" t="s">
        <v>393</v>
      </c>
      <c r="F264" s="4" t="n">
        <v>97</v>
      </c>
      <c r="G264" s="2" t="n">
        <v>0</v>
      </c>
      <c r="H264" s="2" t="n">
        <v>0</v>
      </c>
      <c r="I264" s="4" t="n">
        <v>2</v>
      </c>
      <c r="J264" s="2" t="n">
        <v>10</v>
      </c>
      <c r="K264" s="2" t="s">
        <v>13</v>
      </c>
      <c r="L264" s="4" t="n">
        <v>1</v>
      </c>
      <c r="M264" s="2" t="n">
        <v>0</v>
      </c>
      <c r="N264" s="2" t="n">
        <v>0</v>
      </c>
      <c r="O264" s="4" t="n">
        <v>3</v>
      </c>
      <c r="Q264" s="2" t="n">
        <v>313</v>
      </c>
      <c r="R264" s="0" t="s">
        <v>393</v>
      </c>
      <c r="S264" s="0" t="s">
        <v>8600</v>
      </c>
    </row>
    <row r="265" customFormat="false" ht="13.8" hidden="false" customHeight="false" outlineLevel="0" collapsed="false">
      <c r="A265" s="0" t="s">
        <v>277</v>
      </c>
      <c r="B265" s="0" t="n">
        <v>56</v>
      </c>
      <c r="C265" s="0" t="s">
        <v>8590</v>
      </c>
      <c r="D265" s="0" t="s">
        <v>37</v>
      </c>
      <c r="E265" s="0" t="s">
        <v>481</v>
      </c>
      <c r="F265" s="4" t="n">
        <v>191</v>
      </c>
      <c r="G265" s="2" t="n">
        <v>0</v>
      </c>
      <c r="H265" s="2" t="n">
        <v>0</v>
      </c>
      <c r="I265" s="4" t="n">
        <v>2</v>
      </c>
      <c r="J265" s="2" t="n">
        <v>1</v>
      </c>
      <c r="K265" s="2" t="s">
        <v>20</v>
      </c>
      <c r="L265" s="4" t="n">
        <v>5</v>
      </c>
      <c r="M265" s="2" t="n">
        <v>0</v>
      </c>
      <c r="N265" s="2" t="n">
        <v>0</v>
      </c>
      <c r="O265" s="4" t="n">
        <v>3</v>
      </c>
      <c r="Q265" s="2" t="n">
        <v>314</v>
      </c>
      <c r="R265" s="0" t="s">
        <v>481</v>
      </c>
      <c r="S265" s="0" t="s">
        <v>8601</v>
      </c>
    </row>
    <row r="266" customFormat="false" ht="13.8" hidden="false" customHeight="false" outlineLevel="0" collapsed="false">
      <c r="A266" s="0" t="s">
        <v>277</v>
      </c>
      <c r="B266" s="0" t="n">
        <v>56</v>
      </c>
      <c r="C266" s="0" t="s">
        <v>8590</v>
      </c>
      <c r="D266" s="0" t="s">
        <v>32</v>
      </c>
      <c r="E266" s="0" t="s">
        <v>96</v>
      </c>
      <c r="F266" s="4" t="n">
        <v>177</v>
      </c>
      <c r="G266" s="2" t="n">
        <v>0</v>
      </c>
      <c r="H266" s="2" t="n">
        <v>0</v>
      </c>
      <c r="I266" s="4" t="n">
        <v>2</v>
      </c>
      <c r="J266" s="2" t="n">
        <v>2</v>
      </c>
      <c r="K266" s="2" t="s">
        <v>20</v>
      </c>
      <c r="L266" s="4" t="n">
        <v>5</v>
      </c>
      <c r="M266" s="2" t="n">
        <v>0</v>
      </c>
      <c r="N266" s="2" t="n">
        <v>0</v>
      </c>
      <c r="O266" s="4" t="n">
        <v>3</v>
      </c>
      <c r="Q266" s="2" t="n">
        <v>315</v>
      </c>
      <c r="R266" s="0" t="s">
        <v>96</v>
      </c>
      <c r="S266" s="0" t="s">
        <v>8602</v>
      </c>
    </row>
    <row r="267" customFormat="false" ht="13.8" hidden="false" customHeight="false" outlineLevel="0" collapsed="false">
      <c r="A267" s="0" t="s">
        <v>114</v>
      </c>
      <c r="B267" s="0" t="n">
        <v>4</v>
      </c>
      <c r="C267" s="0" t="s">
        <v>8603</v>
      </c>
      <c r="D267" s="0" t="s">
        <v>10</v>
      </c>
      <c r="E267" s="0" t="s">
        <v>130</v>
      </c>
      <c r="F267" s="4" t="n">
        <v>8</v>
      </c>
      <c r="G267" s="2" t="n">
        <v>15</v>
      </c>
      <c r="H267" s="2" t="s">
        <v>7</v>
      </c>
      <c r="I267" s="4" t="n">
        <v>2</v>
      </c>
      <c r="J267" s="2" t="n">
        <v>0</v>
      </c>
      <c r="K267" s="2" t="n">
        <v>0</v>
      </c>
      <c r="L267" s="4" t="n">
        <v>1</v>
      </c>
      <c r="M267" s="2" t="n">
        <v>0</v>
      </c>
      <c r="N267" s="2" t="n">
        <v>0</v>
      </c>
      <c r="O267" s="4" t="n">
        <v>3</v>
      </c>
      <c r="P267" s="0" t="s">
        <v>615</v>
      </c>
      <c r="Q267" s="2" t="n">
        <v>318</v>
      </c>
      <c r="R267" s="0" t="s">
        <v>130</v>
      </c>
      <c r="S267" s="0" t="s">
        <v>8604</v>
      </c>
    </row>
    <row r="268" customFormat="false" ht="13.8" hidden="false" customHeight="false" outlineLevel="0" collapsed="false">
      <c r="A268" s="0" t="s">
        <v>114</v>
      </c>
      <c r="B268" s="0" t="n">
        <v>4</v>
      </c>
      <c r="C268" s="0" t="s">
        <v>8603</v>
      </c>
      <c r="D268" s="0" t="s">
        <v>553</v>
      </c>
      <c r="E268" s="0" t="s">
        <v>360</v>
      </c>
      <c r="F268" s="4" t="n">
        <v>83</v>
      </c>
      <c r="G268" s="2" t="n">
        <v>0</v>
      </c>
      <c r="H268" s="2" t="n">
        <v>0</v>
      </c>
      <c r="I268" s="4" t="n">
        <v>2</v>
      </c>
      <c r="J268" s="2" t="n">
        <v>1.5</v>
      </c>
      <c r="K268" s="2" t="s">
        <v>13</v>
      </c>
      <c r="L268" s="4" t="n">
        <v>1</v>
      </c>
      <c r="M268" s="2" t="n">
        <v>0</v>
      </c>
      <c r="N268" s="2" t="n">
        <v>0</v>
      </c>
      <c r="O268" s="4" t="n">
        <v>3</v>
      </c>
      <c r="Q268" s="2" t="n">
        <v>319</v>
      </c>
      <c r="R268" s="0" t="s">
        <v>360</v>
      </c>
      <c r="S268" s="0" t="s">
        <v>8605</v>
      </c>
    </row>
    <row r="269" customFormat="false" ht="13.8" hidden="false" customHeight="false" outlineLevel="0" collapsed="false">
      <c r="A269" s="0" t="s">
        <v>114</v>
      </c>
      <c r="B269" s="0" t="n">
        <v>4</v>
      </c>
      <c r="C269" s="0" t="s">
        <v>8603</v>
      </c>
      <c r="D269" s="0" t="s">
        <v>14</v>
      </c>
      <c r="E269" s="0" t="s">
        <v>398</v>
      </c>
      <c r="F269" s="4" t="n">
        <v>102</v>
      </c>
      <c r="G269" s="2" t="n">
        <v>0</v>
      </c>
      <c r="H269" s="2" t="n">
        <v>0</v>
      </c>
      <c r="I269" s="4" t="n">
        <v>2</v>
      </c>
      <c r="J269" s="2" t="n">
        <v>1</v>
      </c>
      <c r="K269" s="2" t="s">
        <v>20</v>
      </c>
      <c r="L269" s="4" t="n">
        <v>5</v>
      </c>
      <c r="M269" s="2" t="n">
        <v>0</v>
      </c>
      <c r="N269" s="2" t="n">
        <v>0</v>
      </c>
      <c r="O269" s="4" t="n">
        <v>3</v>
      </c>
      <c r="Q269" s="2" t="n">
        <v>320</v>
      </c>
      <c r="R269" s="0" t="s">
        <v>398</v>
      </c>
      <c r="S269" s="0" t="s">
        <v>8606</v>
      </c>
    </row>
    <row r="270" customFormat="false" ht="13.8" hidden="false" customHeight="false" outlineLevel="0" collapsed="false">
      <c r="A270" s="0" t="s">
        <v>114</v>
      </c>
      <c r="B270" s="0" t="n">
        <v>4</v>
      </c>
      <c r="C270" s="0" t="s">
        <v>8603</v>
      </c>
      <c r="D270" s="0" t="s">
        <v>562</v>
      </c>
      <c r="E270" s="0" t="s">
        <v>391</v>
      </c>
      <c r="F270" s="4" t="n">
        <v>95</v>
      </c>
      <c r="G270" s="2" t="n">
        <v>0</v>
      </c>
      <c r="H270" s="2" t="n">
        <v>0</v>
      </c>
      <c r="I270" s="4" t="n">
        <v>2</v>
      </c>
      <c r="J270" s="2" t="n">
        <v>0.25</v>
      </c>
      <c r="K270" s="2" t="s">
        <v>20</v>
      </c>
      <c r="L270" s="4" t="n">
        <v>5</v>
      </c>
      <c r="M270" s="2" t="n">
        <v>0</v>
      </c>
      <c r="N270" s="2" t="n">
        <v>0</v>
      </c>
      <c r="O270" s="4" t="n">
        <v>3</v>
      </c>
      <c r="Q270" s="2" t="n">
        <v>321</v>
      </c>
      <c r="R270" s="0" t="s">
        <v>391</v>
      </c>
      <c r="S270" s="0" t="s">
        <v>8607</v>
      </c>
    </row>
    <row r="271" customFormat="false" ht="13.8" hidden="false" customHeight="false" outlineLevel="0" collapsed="false">
      <c r="A271" s="0" t="s">
        <v>114</v>
      </c>
      <c r="B271" s="0" t="n">
        <v>4</v>
      </c>
      <c r="C271" s="0" t="s">
        <v>8603</v>
      </c>
      <c r="D271" s="0" t="s">
        <v>526</v>
      </c>
      <c r="E271" s="0" t="s">
        <v>386</v>
      </c>
      <c r="F271" s="4" t="n">
        <v>93</v>
      </c>
      <c r="G271" s="2" t="n">
        <v>0</v>
      </c>
      <c r="H271" s="2" t="n">
        <v>0</v>
      </c>
      <c r="I271" s="4" t="n">
        <v>2</v>
      </c>
      <c r="J271" s="2" t="n">
        <v>2</v>
      </c>
      <c r="K271" s="2" t="s">
        <v>20</v>
      </c>
      <c r="L271" s="4" t="n">
        <v>5</v>
      </c>
      <c r="M271" s="2" t="n">
        <v>0</v>
      </c>
      <c r="N271" s="2" t="n">
        <v>0</v>
      </c>
      <c r="O271" s="4" t="n">
        <v>3</v>
      </c>
      <c r="P271" s="0" t="s">
        <v>538</v>
      </c>
      <c r="Q271" s="2" t="n">
        <v>322</v>
      </c>
      <c r="R271" s="0" t="s">
        <v>386</v>
      </c>
      <c r="S271" s="0" t="s">
        <v>8608</v>
      </c>
    </row>
    <row r="272" customFormat="false" ht="13.8" hidden="false" customHeight="false" outlineLevel="0" collapsed="false">
      <c r="A272" s="0" t="s">
        <v>114</v>
      </c>
      <c r="B272" s="0" t="n">
        <v>4</v>
      </c>
      <c r="C272" s="0" t="s">
        <v>8603</v>
      </c>
      <c r="D272" s="0" t="s">
        <v>554</v>
      </c>
      <c r="E272" s="0" t="s">
        <v>412</v>
      </c>
      <c r="F272" s="4" t="n">
        <v>117</v>
      </c>
      <c r="G272" s="2" t="n">
        <v>0</v>
      </c>
      <c r="H272" s="2" t="n">
        <v>0</v>
      </c>
      <c r="I272" s="4" t="n">
        <v>2</v>
      </c>
      <c r="J272" s="2" t="n">
        <v>0.3</v>
      </c>
      <c r="K272" s="2" t="s">
        <v>20</v>
      </c>
      <c r="L272" s="4" t="n">
        <v>5</v>
      </c>
      <c r="M272" s="2" t="n">
        <v>0</v>
      </c>
      <c r="N272" s="2" t="n">
        <v>0</v>
      </c>
      <c r="O272" s="4" t="n">
        <v>3</v>
      </c>
      <c r="Q272" s="2" t="n">
        <v>323</v>
      </c>
      <c r="R272" s="0" t="s">
        <v>412</v>
      </c>
      <c r="S272" s="0" t="s">
        <v>8609</v>
      </c>
    </row>
    <row r="273" customFormat="false" ht="13.8" hidden="false" customHeight="false" outlineLevel="0" collapsed="false">
      <c r="A273" s="0" t="s">
        <v>114</v>
      </c>
      <c r="B273" s="0" t="n">
        <v>4</v>
      </c>
      <c r="C273" s="0" t="s">
        <v>8603</v>
      </c>
      <c r="D273" s="0" t="s">
        <v>596</v>
      </c>
      <c r="E273" s="0" t="s">
        <v>429</v>
      </c>
      <c r="F273" s="4" t="n">
        <v>135</v>
      </c>
      <c r="G273" s="2" t="n">
        <v>0</v>
      </c>
      <c r="H273" s="2" t="n">
        <v>0</v>
      </c>
      <c r="I273" s="4" t="n">
        <v>2</v>
      </c>
      <c r="J273" s="2" t="n">
        <v>0.3</v>
      </c>
      <c r="K273" s="2" t="s">
        <v>20</v>
      </c>
      <c r="L273" s="4" t="n">
        <v>5</v>
      </c>
      <c r="M273" s="2" t="n">
        <v>0</v>
      </c>
      <c r="N273" s="2" t="n">
        <v>0</v>
      </c>
      <c r="O273" s="4" t="n">
        <v>3</v>
      </c>
      <c r="Q273" s="2" t="n">
        <v>324</v>
      </c>
      <c r="R273" s="0" t="s">
        <v>429</v>
      </c>
      <c r="S273" s="0" t="s">
        <v>8610</v>
      </c>
    </row>
    <row r="274" customFormat="false" ht="13.8" hidden="false" customHeight="false" outlineLevel="0" collapsed="false">
      <c r="A274" s="0" t="s">
        <v>114</v>
      </c>
      <c r="B274" s="0" t="n">
        <v>4</v>
      </c>
      <c r="C274" s="0" t="s">
        <v>8603</v>
      </c>
      <c r="D274" s="0" t="s">
        <v>32</v>
      </c>
      <c r="E274" s="0" t="s">
        <v>96</v>
      </c>
      <c r="F274" s="4" t="n">
        <v>177</v>
      </c>
      <c r="G274" s="2" t="n">
        <v>0</v>
      </c>
      <c r="H274" s="2" t="n">
        <v>0</v>
      </c>
      <c r="I274" s="4" t="n">
        <v>2</v>
      </c>
      <c r="J274" s="2" t="n">
        <v>1.25</v>
      </c>
      <c r="K274" s="2" t="s">
        <v>20</v>
      </c>
      <c r="L274" s="4" t="n">
        <v>5</v>
      </c>
      <c r="M274" s="2" t="n">
        <v>0</v>
      </c>
      <c r="N274" s="2" t="n">
        <v>0</v>
      </c>
      <c r="O274" s="4" t="n">
        <v>3</v>
      </c>
      <c r="Q274" s="2" t="n">
        <v>325</v>
      </c>
      <c r="R274" s="0" t="s">
        <v>96</v>
      </c>
      <c r="S274" s="0" t="s">
        <v>8611</v>
      </c>
    </row>
    <row r="275" customFormat="false" ht="13.8" hidden="false" customHeight="false" outlineLevel="0" collapsed="false">
      <c r="A275" s="0" t="s">
        <v>114</v>
      </c>
      <c r="B275" s="0" t="n">
        <v>4</v>
      </c>
      <c r="C275" s="0" t="s">
        <v>8603</v>
      </c>
      <c r="D275" s="0" t="s">
        <v>568</v>
      </c>
      <c r="E275" s="0" t="s">
        <v>312</v>
      </c>
      <c r="F275" s="4" t="n">
        <v>67</v>
      </c>
      <c r="G275" s="2" t="n">
        <v>0</v>
      </c>
      <c r="H275" s="2" t="n">
        <v>0</v>
      </c>
      <c r="I275" s="4" t="n">
        <v>2</v>
      </c>
      <c r="J275" s="2" t="n">
        <v>0.75</v>
      </c>
      <c r="K275" s="2" t="s">
        <v>20</v>
      </c>
      <c r="L275" s="4" t="n">
        <v>5</v>
      </c>
      <c r="M275" s="2" t="n">
        <v>0</v>
      </c>
      <c r="N275" s="2" t="n">
        <v>0</v>
      </c>
      <c r="O275" s="4" t="n">
        <v>3</v>
      </c>
      <c r="Q275" s="2" t="n">
        <v>326</v>
      </c>
      <c r="R275" s="0" t="s">
        <v>312</v>
      </c>
      <c r="S275" s="0" t="s">
        <v>8612</v>
      </c>
    </row>
    <row r="276" customFormat="false" ht="13.8" hidden="false" customHeight="false" outlineLevel="0" collapsed="false">
      <c r="A276" s="0" t="s">
        <v>114</v>
      </c>
      <c r="B276" s="0" t="n">
        <v>4</v>
      </c>
      <c r="C276" s="0" t="s">
        <v>8603</v>
      </c>
      <c r="D276" s="0" t="s">
        <v>582</v>
      </c>
      <c r="E276" s="0" t="s">
        <v>398</v>
      </c>
      <c r="F276" s="4" t="n">
        <v>102</v>
      </c>
      <c r="G276" s="2" t="n">
        <v>0</v>
      </c>
      <c r="H276" s="2" t="n">
        <v>0</v>
      </c>
      <c r="I276" s="4" t="n">
        <v>2</v>
      </c>
      <c r="J276" s="2" t="n">
        <v>0.4</v>
      </c>
      <c r="K276" s="2" t="s">
        <v>20</v>
      </c>
      <c r="L276" s="4" t="n">
        <v>5</v>
      </c>
      <c r="M276" s="2" t="n">
        <v>0</v>
      </c>
      <c r="N276" s="2" t="n">
        <v>0</v>
      </c>
      <c r="O276" s="4" t="n">
        <v>3</v>
      </c>
      <c r="Q276" s="2" t="n">
        <v>327</v>
      </c>
      <c r="R276" s="0" t="s">
        <v>398</v>
      </c>
      <c r="S276" s="0" t="s">
        <v>8613</v>
      </c>
    </row>
    <row r="277" customFormat="false" ht="13.8" hidden="false" customHeight="false" outlineLevel="0" collapsed="false">
      <c r="A277" s="0" t="s">
        <v>114</v>
      </c>
      <c r="B277" s="0" t="n">
        <v>4</v>
      </c>
      <c r="C277" s="0" t="s">
        <v>8603</v>
      </c>
      <c r="D277" s="0" t="s">
        <v>557</v>
      </c>
      <c r="E277" s="0" t="s">
        <v>423</v>
      </c>
      <c r="F277" s="4" t="n">
        <v>129</v>
      </c>
      <c r="G277" s="2" t="n">
        <v>0</v>
      </c>
      <c r="H277" s="2" t="n">
        <v>0</v>
      </c>
      <c r="I277" s="4" t="n">
        <v>2</v>
      </c>
      <c r="J277" s="2" t="n">
        <v>1.5</v>
      </c>
      <c r="K277" s="2" t="s">
        <v>20</v>
      </c>
      <c r="L277" s="4" t="n">
        <v>5</v>
      </c>
      <c r="M277" s="2" t="n">
        <v>0</v>
      </c>
      <c r="N277" s="2" t="n">
        <v>0</v>
      </c>
      <c r="O277" s="4" t="n">
        <v>3</v>
      </c>
      <c r="Q277" s="2" t="n">
        <v>328</v>
      </c>
      <c r="R277" s="0" t="s">
        <v>423</v>
      </c>
      <c r="S277" s="0" t="s">
        <v>8614</v>
      </c>
    </row>
    <row r="278" customFormat="false" ht="13.8" hidden="false" customHeight="false" outlineLevel="0" collapsed="false">
      <c r="A278" s="0" t="s">
        <v>114</v>
      </c>
      <c r="B278" s="0" t="n">
        <v>4</v>
      </c>
      <c r="C278" s="0" t="s">
        <v>8603</v>
      </c>
      <c r="D278" s="0" t="s">
        <v>23</v>
      </c>
      <c r="E278" s="0" t="s">
        <v>309</v>
      </c>
      <c r="F278" s="4" t="n">
        <v>66</v>
      </c>
      <c r="G278" s="2" t="n">
        <v>0</v>
      </c>
      <c r="H278" s="2" t="n">
        <v>0</v>
      </c>
      <c r="I278" s="4" t="n">
        <v>2</v>
      </c>
      <c r="J278" s="2" t="n">
        <v>2</v>
      </c>
      <c r="K278" s="2" t="s">
        <v>13</v>
      </c>
      <c r="L278" s="4" t="n">
        <v>1</v>
      </c>
      <c r="M278" s="2" t="n">
        <v>0</v>
      </c>
      <c r="N278" s="2" t="n">
        <v>0</v>
      </c>
      <c r="O278" s="4" t="n">
        <v>3</v>
      </c>
      <c r="Q278" s="2" t="n">
        <v>329</v>
      </c>
      <c r="R278" s="0" t="s">
        <v>309</v>
      </c>
      <c r="S278" s="0" t="s">
        <v>8615</v>
      </c>
    </row>
    <row r="279" customFormat="false" ht="13.8" hidden="false" customHeight="false" outlineLevel="0" collapsed="false">
      <c r="A279" s="0" t="s">
        <v>144</v>
      </c>
      <c r="B279" s="0" t="n">
        <v>12</v>
      </c>
      <c r="C279" s="0" t="s">
        <v>8616</v>
      </c>
      <c r="D279" s="0" t="s">
        <v>616</v>
      </c>
      <c r="E279" s="0" t="s">
        <v>219</v>
      </c>
      <c r="F279" s="4" t="n">
        <v>36</v>
      </c>
      <c r="G279" s="2" t="n">
        <v>18</v>
      </c>
      <c r="H279" s="2" t="s">
        <v>7</v>
      </c>
      <c r="I279" s="4" t="n">
        <v>2</v>
      </c>
      <c r="J279" s="2" t="n">
        <v>0</v>
      </c>
      <c r="K279" s="2" t="n">
        <v>0</v>
      </c>
      <c r="L279" s="4" t="n">
        <v>1</v>
      </c>
      <c r="M279" s="2" t="n">
        <v>0</v>
      </c>
      <c r="N279" s="2" t="n">
        <v>0</v>
      </c>
      <c r="O279" s="4" t="n">
        <v>3</v>
      </c>
      <c r="P279" s="0" t="s">
        <v>617</v>
      </c>
      <c r="Q279" s="2" t="n">
        <v>332</v>
      </c>
      <c r="R279" s="0" t="s">
        <v>219</v>
      </c>
      <c r="S279" s="0" t="s">
        <v>8617</v>
      </c>
    </row>
    <row r="280" customFormat="false" ht="13.8" hidden="false" customHeight="false" outlineLevel="0" collapsed="false">
      <c r="A280" s="0" t="s">
        <v>144</v>
      </c>
      <c r="B280" s="0" t="n">
        <v>12</v>
      </c>
      <c r="C280" s="0" t="s">
        <v>8616</v>
      </c>
      <c r="D280" s="0" t="s">
        <v>616</v>
      </c>
      <c r="E280" s="0" t="s">
        <v>219</v>
      </c>
      <c r="F280" s="4" t="n">
        <v>36</v>
      </c>
      <c r="G280" s="2" t="n">
        <v>0</v>
      </c>
      <c r="H280" s="2" t="n">
        <v>0</v>
      </c>
      <c r="I280" s="4" t="n">
        <v>2</v>
      </c>
      <c r="J280" s="2" t="n">
        <v>18</v>
      </c>
      <c r="K280" s="2" t="s">
        <v>13</v>
      </c>
      <c r="L280" s="4" t="n">
        <v>1</v>
      </c>
      <c r="M280" s="2" t="n">
        <v>0</v>
      </c>
      <c r="N280" s="2" t="n">
        <v>0</v>
      </c>
      <c r="O280" s="4" t="n">
        <v>3</v>
      </c>
      <c r="Q280" s="2" t="n">
        <v>333</v>
      </c>
      <c r="R280" s="0" t="s">
        <v>219</v>
      </c>
      <c r="S280" s="0" t="s">
        <v>8618</v>
      </c>
    </row>
    <row r="281" customFormat="false" ht="13.8" hidden="false" customHeight="false" outlineLevel="0" collapsed="false">
      <c r="A281" s="0" t="s">
        <v>144</v>
      </c>
      <c r="B281" s="0" t="n">
        <v>12</v>
      </c>
      <c r="C281" s="0" t="s">
        <v>8616</v>
      </c>
      <c r="D281" s="0" t="s">
        <v>86</v>
      </c>
      <c r="E281" s="0" t="s">
        <v>339</v>
      </c>
      <c r="F281" s="4" t="n">
        <v>76</v>
      </c>
      <c r="G281" s="2" t="n">
        <v>0</v>
      </c>
      <c r="H281" s="2" t="n">
        <v>0</v>
      </c>
      <c r="I281" s="4" t="n">
        <v>2</v>
      </c>
      <c r="J281" s="2" t="n">
        <v>0.5</v>
      </c>
      <c r="K281" s="2" t="s">
        <v>13</v>
      </c>
      <c r="L281" s="4" t="n">
        <v>1</v>
      </c>
      <c r="M281" s="2" t="n">
        <v>0</v>
      </c>
      <c r="N281" s="2" t="n">
        <v>0</v>
      </c>
      <c r="O281" s="4" t="n">
        <v>3</v>
      </c>
      <c r="Q281" s="2" t="n">
        <v>334</v>
      </c>
      <c r="R281" s="0" t="s">
        <v>339</v>
      </c>
      <c r="S281" s="0" t="s">
        <v>8619</v>
      </c>
    </row>
    <row r="282" customFormat="false" ht="13.8" hidden="false" customHeight="false" outlineLevel="0" collapsed="false">
      <c r="A282" s="0" t="s">
        <v>144</v>
      </c>
      <c r="B282" s="0" t="n">
        <v>12</v>
      </c>
      <c r="C282" s="0" t="s">
        <v>8616</v>
      </c>
      <c r="D282" s="0" t="s">
        <v>618</v>
      </c>
      <c r="E282" s="0" t="s">
        <v>204</v>
      </c>
      <c r="F282" s="4" t="n">
        <v>31</v>
      </c>
      <c r="G282" s="2" t="n">
        <v>0</v>
      </c>
      <c r="H282" s="2" t="n">
        <v>0</v>
      </c>
      <c r="I282" s="4" t="n">
        <v>2</v>
      </c>
      <c r="J282" s="2" t="n">
        <v>0.5</v>
      </c>
      <c r="K282" s="2" t="s">
        <v>20</v>
      </c>
      <c r="L282" s="4" t="n">
        <v>5</v>
      </c>
      <c r="M282" s="2" t="n">
        <v>0</v>
      </c>
      <c r="N282" s="2" t="n">
        <v>0</v>
      </c>
      <c r="O282" s="4" t="n">
        <v>3</v>
      </c>
      <c r="Q282" s="2" t="n">
        <v>335</v>
      </c>
      <c r="R282" s="0" t="s">
        <v>204</v>
      </c>
      <c r="S282" s="0" t="s">
        <v>8620</v>
      </c>
    </row>
    <row r="283" customFormat="false" ht="13.8" hidden="false" customHeight="false" outlineLevel="0" collapsed="false">
      <c r="A283" s="0" t="s">
        <v>144</v>
      </c>
      <c r="B283" s="0" t="n">
        <v>12</v>
      </c>
      <c r="C283" s="0" t="s">
        <v>8616</v>
      </c>
      <c r="D283" s="0" t="s">
        <v>562</v>
      </c>
      <c r="E283" s="0" t="s">
        <v>391</v>
      </c>
      <c r="F283" s="4" t="n">
        <v>95</v>
      </c>
      <c r="G283" s="2" t="n">
        <v>0</v>
      </c>
      <c r="H283" s="2" t="n">
        <v>0</v>
      </c>
      <c r="I283" s="4" t="n">
        <v>2</v>
      </c>
      <c r="J283" s="2" t="n">
        <v>0.25</v>
      </c>
      <c r="K283" s="2" t="s">
        <v>20</v>
      </c>
      <c r="L283" s="4" t="n">
        <v>5</v>
      </c>
      <c r="M283" s="2" t="n">
        <v>0</v>
      </c>
      <c r="N283" s="2" t="n">
        <v>0</v>
      </c>
      <c r="O283" s="4" t="n">
        <v>3</v>
      </c>
      <c r="Q283" s="2" t="n">
        <v>336</v>
      </c>
      <c r="R283" s="0" t="s">
        <v>391</v>
      </c>
      <c r="S283" s="0" t="s">
        <v>8621</v>
      </c>
    </row>
    <row r="284" customFormat="false" ht="13.8" hidden="false" customHeight="false" outlineLevel="0" collapsed="false">
      <c r="A284" s="0" t="s">
        <v>144</v>
      </c>
      <c r="B284" s="0" t="n">
        <v>12</v>
      </c>
      <c r="C284" s="0" t="s">
        <v>8616</v>
      </c>
      <c r="D284" s="0" t="s">
        <v>32</v>
      </c>
      <c r="E284" s="0" t="s">
        <v>96</v>
      </c>
      <c r="F284" s="4" t="n">
        <v>177</v>
      </c>
      <c r="G284" s="2" t="n">
        <v>0</v>
      </c>
      <c r="H284" s="2" t="n">
        <v>0</v>
      </c>
      <c r="I284" s="4" t="n">
        <v>2</v>
      </c>
      <c r="J284" s="2" t="n">
        <v>0.5</v>
      </c>
      <c r="K284" s="2" t="s">
        <v>20</v>
      </c>
      <c r="L284" s="4" t="n">
        <v>5</v>
      </c>
      <c r="M284" s="2" t="n">
        <v>0</v>
      </c>
      <c r="N284" s="2" t="n">
        <v>0</v>
      </c>
      <c r="O284" s="4" t="n">
        <v>3</v>
      </c>
      <c r="Q284" s="2" t="n">
        <v>337</v>
      </c>
      <c r="R284" s="0" t="s">
        <v>96</v>
      </c>
      <c r="S284" s="0" t="s">
        <v>8622</v>
      </c>
    </row>
    <row r="285" customFormat="false" ht="13.8" hidden="false" customHeight="false" outlineLevel="0" collapsed="false">
      <c r="A285" s="0" t="s">
        <v>144</v>
      </c>
      <c r="B285" s="0" t="n">
        <v>12</v>
      </c>
      <c r="C285" s="0" t="s">
        <v>8616</v>
      </c>
      <c r="D285" s="0" t="s">
        <v>598</v>
      </c>
      <c r="E285" s="0" t="s">
        <v>207</v>
      </c>
      <c r="F285" s="4" t="n">
        <v>32</v>
      </c>
      <c r="G285" s="2" t="n">
        <v>0</v>
      </c>
      <c r="H285" s="2" t="n">
        <v>0</v>
      </c>
      <c r="I285" s="4" t="n">
        <v>2</v>
      </c>
      <c r="J285" s="2" t="n">
        <v>0.3</v>
      </c>
      <c r="K285" s="2" t="s">
        <v>20</v>
      </c>
      <c r="L285" s="4" t="n">
        <v>5</v>
      </c>
      <c r="M285" s="2" t="n">
        <v>0</v>
      </c>
      <c r="N285" s="2" t="n">
        <v>0</v>
      </c>
      <c r="O285" s="4" t="n">
        <v>3</v>
      </c>
      <c r="Q285" s="2" t="n">
        <v>338</v>
      </c>
      <c r="R285" s="0" t="s">
        <v>207</v>
      </c>
      <c r="S285" s="0" t="s">
        <v>8623</v>
      </c>
    </row>
    <row r="286" customFormat="false" ht="13.8" hidden="false" customHeight="false" outlineLevel="0" collapsed="false">
      <c r="A286" s="0" t="s">
        <v>144</v>
      </c>
      <c r="B286" s="0" t="n">
        <v>12</v>
      </c>
      <c r="C286" s="0" t="s">
        <v>8616</v>
      </c>
      <c r="D286" s="0" t="s">
        <v>619</v>
      </c>
      <c r="E286" s="0" t="s">
        <v>183</v>
      </c>
      <c r="F286" s="4" t="n">
        <v>24</v>
      </c>
      <c r="G286" s="2" t="n">
        <v>0</v>
      </c>
      <c r="H286" s="2" t="n">
        <v>0</v>
      </c>
      <c r="I286" s="4" t="n">
        <v>2</v>
      </c>
      <c r="J286" s="2" t="n">
        <v>1</v>
      </c>
      <c r="K286" s="2" t="s">
        <v>13</v>
      </c>
      <c r="L286" s="4" t="n">
        <v>1</v>
      </c>
      <c r="M286" s="2" t="n">
        <v>0</v>
      </c>
      <c r="N286" s="2" t="n">
        <v>0</v>
      </c>
      <c r="O286" s="4" t="n">
        <v>3</v>
      </c>
      <c r="P286" s="0" t="s">
        <v>620</v>
      </c>
      <c r="Q286" s="2" t="n">
        <v>339</v>
      </c>
      <c r="R286" s="0" t="s">
        <v>183</v>
      </c>
      <c r="S286" s="0" t="s">
        <v>8624</v>
      </c>
    </row>
    <row r="287" customFormat="false" ht="13.8" hidden="false" customHeight="false" outlineLevel="0" collapsed="false">
      <c r="A287" s="0" t="s">
        <v>217</v>
      </c>
      <c r="B287" s="0" t="n">
        <v>36</v>
      </c>
      <c r="C287" s="0" t="s">
        <v>8625</v>
      </c>
      <c r="D287" s="0" t="s">
        <v>621</v>
      </c>
      <c r="E287" s="0" t="s">
        <v>411</v>
      </c>
      <c r="F287" s="4" t="n">
        <v>116</v>
      </c>
      <c r="G287" s="2" t="n">
        <v>10</v>
      </c>
      <c r="H287" s="2" t="s">
        <v>7</v>
      </c>
      <c r="I287" s="4" t="n">
        <v>2</v>
      </c>
      <c r="J287" s="2" t="n">
        <v>0</v>
      </c>
      <c r="K287" s="2" t="n">
        <v>0</v>
      </c>
      <c r="L287" s="4" t="n">
        <v>1</v>
      </c>
      <c r="M287" s="2" t="n">
        <v>0</v>
      </c>
      <c r="N287" s="2" t="n">
        <v>0</v>
      </c>
      <c r="O287" s="4" t="n">
        <v>3</v>
      </c>
      <c r="P287" s="0" t="s">
        <v>622</v>
      </c>
      <c r="Q287" s="2" t="n">
        <v>342</v>
      </c>
      <c r="R287" s="0" t="s">
        <v>411</v>
      </c>
      <c r="S287" s="0" t="s">
        <v>8626</v>
      </c>
    </row>
    <row r="288" customFormat="false" ht="13.8" hidden="false" customHeight="false" outlineLevel="0" collapsed="false">
      <c r="A288" s="0" t="s">
        <v>217</v>
      </c>
      <c r="B288" s="0" t="n">
        <v>36</v>
      </c>
      <c r="C288" s="0" t="s">
        <v>8625</v>
      </c>
      <c r="D288" s="0" t="s">
        <v>621</v>
      </c>
      <c r="E288" s="0" t="s">
        <v>411</v>
      </c>
      <c r="F288" s="4" t="n">
        <v>116</v>
      </c>
      <c r="G288" s="2" t="n">
        <v>0</v>
      </c>
      <c r="H288" s="2" t="n">
        <v>0</v>
      </c>
      <c r="I288" s="4" t="n">
        <v>2</v>
      </c>
      <c r="J288" s="2" t="n">
        <v>10</v>
      </c>
      <c r="K288" s="2" t="s">
        <v>13</v>
      </c>
      <c r="L288" s="4" t="n">
        <v>1</v>
      </c>
      <c r="M288" s="2" t="n">
        <v>0</v>
      </c>
      <c r="N288" s="2" t="n">
        <v>0</v>
      </c>
      <c r="O288" s="4" t="n">
        <v>3</v>
      </c>
      <c r="Q288" s="2" t="n">
        <v>343</v>
      </c>
      <c r="R288" s="0" t="s">
        <v>411</v>
      </c>
      <c r="S288" s="0" t="s">
        <v>8627</v>
      </c>
    </row>
    <row r="289" customFormat="false" ht="13.8" hidden="false" customHeight="false" outlineLevel="0" collapsed="false">
      <c r="A289" s="0" t="s">
        <v>217</v>
      </c>
      <c r="B289" s="0" t="n">
        <v>36</v>
      </c>
      <c r="C289" s="0" t="s">
        <v>8625</v>
      </c>
      <c r="D289" s="0" t="s">
        <v>553</v>
      </c>
      <c r="E289" s="0" t="s">
        <v>360</v>
      </c>
      <c r="F289" s="4" t="n">
        <v>83</v>
      </c>
      <c r="G289" s="2" t="n">
        <v>1.5</v>
      </c>
      <c r="H289" s="2" t="s">
        <v>7</v>
      </c>
      <c r="I289" s="4" t="n">
        <v>2</v>
      </c>
      <c r="J289" s="2" t="n">
        <v>0</v>
      </c>
      <c r="K289" s="2" t="n">
        <v>0</v>
      </c>
      <c r="L289" s="4" t="n">
        <v>1</v>
      </c>
      <c r="M289" s="2" t="n">
        <v>0</v>
      </c>
      <c r="N289" s="2" t="n">
        <v>0</v>
      </c>
      <c r="O289" s="4" t="n">
        <v>3</v>
      </c>
      <c r="Q289" s="2" t="n">
        <v>344</v>
      </c>
      <c r="R289" s="0" t="s">
        <v>360</v>
      </c>
      <c r="S289" s="0" t="s">
        <v>8628</v>
      </c>
    </row>
    <row r="290" customFormat="false" ht="13.8" hidden="false" customHeight="false" outlineLevel="0" collapsed="false">
      <c r="A290" s="0" t="s">
        <v>217</v>
      </c>
      <c r="B290" s="0" t="n">
        <v>36</v>
      </c>
      <c r="C290" s="0" t="s">
        <v>8625</v>
      </c>
      <c r="D290" s="0" t="s">
        <v>14</v>
      </c>
      <c r="E290" s="0" t="s">
        <v>398</v>
      </c>
      <c r="F290" s="4" t="n">
        <v>102</v>
      </c>
      <c r="G290" s="2" t="n">
        <v>0</v>
      </c>
      <c r="H290" s="2" t="n">
        <v>0</v>
      </c>
      <c r="I290" s="4" t="n">
        <v>2</v>
      </c>
      <c r="J290" s="2" t="n">
        <v>0.3</v>
      </c>
      <c r="K290" s="2" t="s">
        <v>20</v>
      </c>
      <c r="L290" s="4" t="n">
        <v>5</v>
      </c>
      <c r="M290" s="2" t="n">
        <v>0</v>
      </c>
      <c r="N290" s="2" t="n">
        <v>0</v>
      </c>
      <c r="O290" s="4" t="n">
        <v>3</v>
      </c>
      <c r="Q290" s="2" t="n">
        <v>345</v>
      </c>
      <c r="R290" s="0" t="s">
        <v>398</v>
      </c>
      <c r="S290" s="0" t="s">
        <v>8629</v>
      </c>
    </row>
    <row r="291" customFormat="false" ht="13.8" hidden="false" customHeight="false" outlineLevel="0" collapsed="false">
      <c r="A291" s="0" t="s">
        <v>217</v>
      </c>
      <c r="B291" s="0" t="n">
        <v>36</v>
      </c>
      <c r="C291" s="0" t="s">
        <v>8625</v>
      </c>
      <c r="D291" s="0" t="s">
        <v>526</v>
      </c>
      <c r="E291" s="0" t="s">
        <v>386</v>
      </c>
      <c r="F291" s="4" t="n">
        <v>93</v>
      </c>
      <c r="G291" s="2" t="n">
        <v>0</v>
      </c>
      <c r="H291" s="2" t="n">
        <v>0</v>
      </c>
      <c r="I291" s="4" t="n">
        <v>2</v>
      </c>
      <c r="J291" s="2" t="n">
        <v>1</v>
      </c>
      <c r="K291" s="2" t="s">
        <v>20</v>
      </c>
      <c r="L291" s="4" t="n">
        <v>5</v>
      </c>
      <c r="M291" s="2" t="n">
        <v>0</v>
      </c>
      <c r="N291" s="2" t="n">
        <v>0</v>
      </c>
      <c r="O291" s="4" t="n">
        <v>3</v>
      </c>
      <c r="P291" s="0" t="s">
        <v>538</v>
      </c>
      <c r="Q291" s="2" t="n">
        <v>346</v>
      </c>
      <c r="R291" s="0" t="s">
        <v>386</v>
      </c>
      <c r="S291" s="0" t="s">
        <v>8630</v>
      </c>
    </row>
    <row r="292" customFormat="false" ht="13.8" hidden="false" customHeight="false" outlineLevel="0" collapsed="false">
      <c r="A292" s="0" t="s">
        <v>217</v>
      </c>
      <c r="B292" s="0" t="n">
        <v>36</v>
      </c>
      <c r="C292" s="0" t="s">
        <v>8625</v>
      </c>
      <c r="D292" s="0" t="s">
        <v>564</v>
      </c>
      <c r="E292" s="0" t="s">
        <v>382</v>
      </c>
      <c r="F292" s="4" t="n">
        <v>91</v>
      </c>
      <c r="G292" s="2" t="n">
        <v>0</v>
      </c>
      <c r="H292" s="2" t="n">
        <v>0</v>
      </c>
      <c r="I292" s="4" t="n">
        <v>2</v>
      </c>
      <c r="J292" s="2" t="n">
        <v>0.3</v>
      </c>
      <c r="K292" s="2" t="s">
        <v>20</v>
      </c>
      <c r="L292" s="4" t="n">
        <v>5</v>
      </c>
      <c r="M292" s="2" t="n">
        <v>0</v>
      </c>
      <c r="N292" s="2" t="n">
        <v>0</v>
      </c>
      <c r="O292" s="4" t="n">
        <v>3</v>
      </c>
      <c r="Q292" s="2" t="n">
        <v>347</v>
      </c>
      <c r="R292" s="0" t="s">
        <v>382</v>
      </c>
      <c r="S292" s="0" t="s">
        <v>8631</v>
      </c>
    </row>
    <row r="293" customFormat="false" ht="13.8" hidden="false" customHeight="false" outlineLevel="0" collapsed="false">
      <c r="A293" s="0" t="s">
        <v>217</v>
      </c>
      <c r="B293" s="0" t="n">
        <v>36</v>
      </c>
      <c r="C293" s="0" t="s">
        <v>8625</v>
      </c>
      <c r="D293" s="0" t="s">
        <v>568</v>
      </c>
      <c r="E293" s="0" t="s">
        <v>312</v>
      </c>
      <c r="F293" s="4" t="n">
        <v>67</v>
      </c>
      <c r="G293" s="2" t="n">
        <v>0</v>
      </c>
      <c r="H293" s="2" t="n">
        <v>0</v>
      </c>
      <c r="I293" s="4" t="n">
        <v>2</v>
      </c>
      <c r="J293" s="2" t="n">
        <v>0.75</v>
      </c>
      <c r="K293" s="2" t="s">
        <v>20</v>
      </c>
      <c r="L293" s="4" t="n">
        <v>5</v>
      </c>
      <c r="M293" s="2" t="n">
        <v>0</v>
      </c>
      <c r="N293" s="2" t="n">
        <v>0</v>
      </c>
      <c r="O293" s="4" t="n">
        <v>3</v>
      </c>
      <c r="Q293" s="2" t="n">
        <v>348</v>
      </c>
      <c r="R293" s="0" t="s">
        <v>312</v>
      </c>
      <c r="S293" s="0" t="s">
        <v>8632</v>
      </c>
    </row>
    <row r="294" customFormat="false" ht="13.8" hidden="false" customHeight="false" outlineLevel="0" collapsed="false">
      <c r="A294" s="0" t="s">
        <v>217</v>
      </c>
      <c r="B294" s="0" t="n">
        <v>36</v>
      </c>
      <c r="C294" s="0" t="s">
        <v>8625</v>
      </c>
      <c r="D294" s="0" t="s">
        <v>32</v>
      </c>
      <c r="E294" s="0" t="s">
        <v>96</v>
      </c>
      <c r="F294" s="4" t="n">
        <v>177</v>
      </c>
      <c r="G294" s="2" t="n">
        <v>0</v>
      </c>
      <c r="H294" s="2" t="n">
        <v>0</v>
      </c>
      <c r="I294" s="4" t="n">
        <v>2</v>
      </c>
      <c r="J294" s="2" t="n">
        <v>0.5</v>
      </c>
      <c r="K294" s="2" t="s">
        <v>20</v>
      </c>
      <c r="L294" s="4" t="n">
        <v>5</v>
      </c>
      <c r="M294" s="2" t="n">
        <v>0</v>
      </c>
      <c r="N294" s="2" t="n">
        <v>0</v>
      </c>
      <c r="O294" s="4" t="n">
        <v>3</v>
      </c>
      <c r="Q294" s="2" t="n">
        <v>349</v>
      </c>
      <c r="R294" s="0" t="s">
        <v>96</v>
      </c>
      <c r="S294" s="0" t="s">
        <v>8633</v>
      </c>
    </row>
    <row r="295" customFormat="false" ht="13.8" hidden="false" customHeight="false" outlineLevel="0" collapsed="false">
      <c r="A295" s="0" t="s">
        <v>217</v>
      </c>
      <c r="B295" s="0" t="n">
        <v>36</v>
      </c>
      <c r="C295" s="0" t="s">
        <v>8625</v>
      </c>
      <c r="D295" s="0" t="s">
        <v>623</v>
      </c>
      <c r="E295" s="0" t="s">
        <v>380</v>
      </c>
      <c r="F295" s="4" t="n">
        <v>90</v>
      </c>
      <c r="G295" s="2" t="n">
        <v>250</v>
      </c>
      <c r="H295" s="2" t="s">
        <v>109</v>
      </c>
      <c r="I295" s="4" t="n">
        <v>7</v>
      </c>
      <c r="J295" s="2" t="n">
        <v>0</v>
      </c>
      <c r="K295" s="2" t="n">
        <v>0</v>
      </c>
      <c r="L295" s="4" t="n">
        <v>1</v>
      </c>
      <c r="M295" s="2" t="n">
        <v>0</v>
      </c>
      <c r="N295" s="2" t="n">
        <v>0</v>
      </c>
      <c r="O295" s="4" t="n">
        <v>3</v>
      </c>
      <c r="Q295" s="2" t="n">
        <v>350</v>
      </c>
      <c r="R295" s="0" t="s">
        <v>380</v>
      </c>
      <c r="S295" s="0" t="s">
        <v>8634</v>
      </c>
    </row>
    <row r="296" customFormat="false" ht="13.8" hidden="false" customHeight="false" outlineLevel="0" collapsed="false">
      <c r="A296" s="0" t="s">
        <v>217</v>
      </c>
      <c r="B296" s="0" t="n">
        <v>36</v>
      </c>
      <c r="C296" s="0" t="s">
        <v>8625</v>
      </c>
      <c r="D296" s="0" t="s">
        <v>606</v>
      </c>
      <c r="E296" s="0" t="s">
        <v>138</v>
      </c>
      <c r="F296" s="4" t="n">
        <v>10</v>
      </c>
      <c r="G296" s="2" t="n">
        <v>0</v>
      </c>
      <c r="H296" s="2" t="n">
        <v>0</v>
      </c>
      <c r="I296" s="4" t="n">
        <v>2</v>
      </c>
      <c r="J296" s="2" t="n">
        <v>0.5</v>
      </c>
      <c r="K296" s="2" t="s">
        <v>20</v>
      </c>
      <c r="L296" s="4" t="n">
        <v>5</v>
      </c>
      <c r="M296" s="2" t="n">
        <v>0</v>
      </c>
      <c r="N296" s="2" t="n">
        <v>0</v>
      </c>
      <c r="O296" s="4" t="n">
        <v>3</v>
      </c>
      <c r="Q296" s="2" t="n">
        <v>351</v>
      </c>
      <c r="R296" s="0" t="s">
        <v>138</v>
      </c>
      <c r="S296" s="0" t="s">
        <v>8635</v>
      </c>
    </row>
    <row r="297" customFormat="false" ht="13.8" hidden="false" customHeight="false" outlineLevel="0" collapsed="false">
      <c r="A297" s="0" t="s">
        <v>307</v>
      </c>
      <c r="B297" s="0" t="n">
        <v>66</v>
      </c>
      <c r="C297" s="0" t="s">
        <v>8636</v>
      </c>
      <c r="D297" s="0" t="s">
        <v>624</v>
      </c>
      <c r="E297" s="0" t="s">
        <v>461</v>
      </c>
      <c r="F297" s="4" t="n">
        <v>169</v>
      </c>
      <c r="G297" s="2" t="n">
        <v>0</v>
      </c>
      <c r="H297" s="2" t="n">
        <v>0</v>
      </c>
      <c r="I297" s="4" t="n">
        <v>2</v>
      </c>
      <c r="J297" s="2" t="n">
        <v>0</v>
      </c>
      <c r="K297" s="2" t="n">
        <v>0</v>
      </c>
      <c r="L297" s="4" t="n">
        <v>1</v>
      </c>
      <c r="M297" s="2" t="n">
        <v>40</v>
      </c>
      <c r="N297" s="2" t="s">
        <v>127</v>
      </c>
      <c r="O297" s="4" t="n">
        <v>8</v>
      </c>
      <c r="P297" s="0" t="s">
        <v>620</v>
      </c>
      <c r="Q297" s="2" t="n">
        <v>354</v>
      </c>
      <c r="R297" s="0" t="s">
        <v>461</v>
      </c>
      <c r="S297" s="0" t="s">
        <v>8637</v>
      </c>
    </row>
    <row r="298" customFormat="false" ht="13.8" hidden="false" customHeight="false" outlineLevel="0" collapsed="false">
      <c r="A298" s="0" t="s">
        <v>307</v>
      </c>
      <c r="B298" s="0" t="n">
        <v>66</v>
      </c>
      <c r="C298" s="0" t="s">
        <v>8636</v>
      </c>
      <c r="D298" s="0" t="s">
        <v>624</v>
      </c>
      <c r="E298" s="0" t="s">
        <v>461</v>
      </c>
      <c r="F298" s="4" t="n">
        <v>169</v>
      </c>
      <c r="G298" s="2" t="n">
        <v>0</v>
      </c>
      <c r="H298" s="2" t="n">
        <v>0</v>
      </c>
      <c r="I298" s="4" t="n">
        <v>2</v>
      </c>
      <c r="J298" s="2" t="n">
        <v>40</v>
      </c>
      <c r="K298" s="2" t="s">
        <v>13</v>
      </c>
      <c r="L298" s="4" t="n">
        <v>1</v>
      </c>
      <c r="M298" s="2" t="n">
        <v>0</v>
      </c>
      <c r="N298" s="2" t="n">
        <v>0</v>
      </c>
      <c r="O298" s="4" t="n">
        <v>3</v>
      </c>
      <c r="Q298" s="2" t="n">
        <v>355</v>
      </c>
      <c r="R298" s="0" t="s">
        <v>461</v>
      </c>
      <c r="S298" s="0" t="s">
        <v>8638</v>
      </c>
    </row>
    <row r="299" customFormat="false" ht="13.8" hidden="false" customHeight="false" outlineLevel="0" collapsed="false">
      <c r="A299" s="0" t="s">
        <v>307</v>
      </c>
      <c r="B299" s="0" t="n">
        <v>66</v>
      </c>
      <c r="C299" s="0" t="s">
        <v>8636</v>
      </c>
      <c r="D299" s="0" t="s">
        <v>585</v>
      </c>
      <c r="E299" s="0" t="s">
        <v>457</v>
      </c>
      <c r="F299" s="4" t="n">
        <v>165</v>
      </c>
      <c r="G299" s="2" t="n">
        <v>0</v>
      </c>
      <c r="H299" s="2" t="n">
        <v>0</v>
      </c>
      <c r="I299" s="4" t="n">
        <v>2</v>
      </c>
      <c r="J299" s="2" t="n">
        <v>1.25</v>
      </c>
      <c r="K299" s="2" t="s">
        <v>13</v>
      </c>
      <c r="L299" s="4" t="n">
        <v>1</v>
      </c>
      <c r="M299" s="2" t="n">
        <v>0</v>
      </c>
      <c r="N299" s="2" t="n">
        <v>0</v>
      </c>
      <c r="O299" s="4" t="n">
        <v>3</v>
      </c>
      <c r="Q299" s="2" t="n">
        <v>356</v>
      </c>
      <c r="R299" s="0" t="s">
        <v>457</v>
      </c>
      <c r="S299" s="0" t="s">
        <v>8639</v>
      </c>
    </row>
    <row r="300" customFormat="false" ht="13.8" hidden="false" customHeight="false" outlineLevel="0" collapsed="false">
      <c r="A300" s="0" t="s">
        <v>307</v>
      </c>
      <c r="B300" s="0" t="n">
        <v>66</v>
      </c>
      <c r="C300" s="0" t="s">
        <v>8636</v>
      </c>
      <c r="D300" s="0" t="s">
        <v>625</v>
      </c>
      <c r="E300" s="0" t="s">
        <v>409</v>
      </c>
      <c r="F300" s="4" t="n">
        <v>114</v>
      </c>
      <c r="G300" s="2" t="n">
        <v>0</v>
      </c>
      <c r="H300" s="2" t="n">
        <v>0</v>
      </c>
      <c r="I300" s="4" t="n">
        <v>2</v>
      </c>
      <c r="J300" s="2" t="n">
        <v>0.8</v>
      </c>
      <c r="K300" s="2" t="s">
        <v>20</v>
      </c>
      <c r="L300" s="4" t="n">
        <v>5</v>
      </c>
      <c r="M300" s="2" t="n">
        <v>0</v>
      </c>
      <c r="N300" s="2" t="n">
        <v>0</v>
      </c>
      <c r="O300" s="4" t="n">
        <v>3</v>
      </c>
      <c r="Q300" s="2" t="n">
        <v>357</v>
      </c>
      <c r="R300" s="0" t="s">
        <v>409</v>
      </c>
      <c r="S300" s="0" t="s">
        <v>8640</v>
      </c>
    </row>
    <row r="301" customFormat="false" ht="13.8" hidden="false" customHeight="false" outlineLevel="0" collapsed="false">
      <c r="A301" s="0" t="s">
        <v>307</v>
      </c>
      <c r="B301" s="0" t="n">
        <v>66</v>
      </c>
      <c r="C301" s="0" t="s">
        <v>8636</v>
      </c>
      <c r="D301" s="0" t="s">
        <v>37</v>
      </c>
      <c r="E301" s="0" t="s">
        <v>481</v>
      </c>
      <c r="F301" s="4" t="n">
        <v>191</v>
      </c>
      <c r="G301" s="2" t="n">
        <v>0</v>
      </c>
      <c r="H301" s="2" t="n">
        <v>0</v>
      </c>
      <c r="I301" s="4" t="n">
        <v>2</v>
      </c>
      <c r="J301" s="2" t="n">
        <v>1</v>
      </c>
      <c r="K301" s="2" t="s">
        <v>20</v>
      </c>
      <c r="L301" s="4" t="n">
        <v>5</v>
      </c>
      <c r="M301" s="2" t="n">
        <v>0</v>
      </c>
      <c r="N301" s="2" t="n">
        <v>0</v>
      </c>
      <c r="O301" s="4" t="n">
        <v>3</v>
      </c>
      <c r="Q301" s="2" t="n">
        <v>358</v>
      </c>
      <c r="R301" s="0" t="s">
        <v>481</v>
      </c>
      <c r="S301" s="0" t="s">
        <v>8641</v>
      </c>
    </row>
    <row r="302" customFormat="false" ht="13.8" hidden="false" customHeight="false" outlineLevel="0" collapsed="false">
      <c r="A302" s="0" t="s">
        <v>307</v>
      </c>
      <c r="B302" s="0" t="n">
        <v>66</v>
      </c>
      <c r="C302" s="0" t="s">
        <v>8636</v>
      </c>
      <c r="D302" s="0" t="s">
        <v>18</v>
      </c>
      <c r="E302" s="0" t="s">
        <v>102</v>
      </c>
      <c r="F302" s="4" t="n">
        <v>1</v>
      </c>
      <c r="G302" s="2" t="n">
        <v>0</v>
      </c>
      <c r="H302" s="2" t="n">
        <v>0</v>
      </c>
      <c r="I302" s="4" t="n">
        <v>2</v>
      </c>
      <c r="J302" s="2" t="n">
        <v>0.5</v>
      </c>
      <c r="K302" s="2" t="s">
        <v>13</v>
      </c>
      <c r="L302" s="4" t="n">
        <v>1</v>
      </c>
      <c r="M302" s="2" t="n">
        <v>0</v>
      </c>
      <c r="N302" s="2" t="n">
        <v>0</v>
      </c>
      <c r="O302" s="4" t="n">
        <v>3</v>
      </c>
      <c r="Q302" s="2" t="n">
        <v>359</v>
      </c>
      <c r="R302" s="0" t="s">
        <v>102</v>
      </c>
      <c r="S302" s="0" t="s">
        <v>8642</v>
      </c>
    </row>
    <row r="303" customFormat="false" ht="13.8" hidden="false" customHeight="false" outlineLevel="0" collapsed="false">
      <c r="A303" s="0" t="s">
        <v>307</v>
      </c>
      <c r="B303" s="0" t="n">
        <v>66</v>
      </c>
      <c r="C303" s="0" t="s">
        <v>8636</v>
      </c>
      <c r="D303" s="0" t="s">
        <v>526</v>
      </c>
      <c r="E303" s="0" t="s">
        <v>386</v>
      </c>
      <c r="F303" s="4" t="n">
        <v>93</v>
      </c>
      <c r="G303" s="2" t="n">
        <v>0</v>
      </c>
      <c r="H303" s="2" t="n">
        <v>0</v>
      </c>
      <c r="I303" s="4" t="n">
        <v>2</v>
      </c>
      <c r="J303" s="2" t="n">
        <v>2</v>
      </c>
      <c r="K303" s="2" t="s">
        <v>20</v>
      </c>
      <c r="L303" s="4" t="n">
        <v>5</v>
      </c>
      <c r="M303" s="2" t="n">
        <v>0</v>
      </c>
      <c r="N303" s="2" t="n">
        <v>0</v>
      </c>
      <c r="O303" s="4" t="n">
        <v>3</v>
      </c>
      <c r="P303" s="0" t="s">
        <v>538</v>
      </c>
      <c r="Q303" s="2" t="n">
        <v>360</v>
      </c>
      <c r="R303" s="0" t="s">
        <v>386</v>
      </c>
      <c r="S303" s="0" t="s">
        <v>8643</v>
      </c>
    </row>
    <row r="304" customFormat="false" ht="13.8" hidden="false" customHeight="false" outlineLevel="0" collapsed="false">
      <c r="A304" s="0" t="s">
        <v>307</v>
      </c>
      <c r="B304" s="0" t="n">
        <v>66</v>
      </c>
      <c r="C304" s="0" t="s">
        <v>8636</v>
      </c>
      <c r="D304" s="0" t="s">
        <v>32</v>
      </c>
      <c r="E304" s="0" t="s">
        <v>96</v>
      </c>
      <c r="F304" s="4" t="n">
        <v>177</v>
      </c>
      <c r="G304" s="2" t="n">
        <v>0</v>
      </c>
      <c r="H304" s="2" t="n">
        <v>0</v>
      </c>
      <c r="I304" s="4" t="n">
        <v>2</v>
      </c>
      <c r="J304" s="2" t="n">
        <v>0.8</v>
      </c>
      <c r="K304" s="2" t="s">
        <v>20</v>
      </c>
      <c r="L304" s="4" t="n">
        <v>5</v>
      </c>
      <c r="M304" s="2" t="n">
        <v>0</v>
      </c>
      <c r="N304" s="2" t="n">
        <v>0</v>
      </c>
      <c r="O304" s="4" t="n">
        <v>3</v>
      </c>
      <c r="Q304" s="2" t="n">
        <v>361</v>
      </c>
      <c r="R304" s="0" t="s">
        <v>96</v>
      </c>
      <c r="S304" s="0" t="s">
        <v>8644</v>
      </c>
    </row>
    <row r="305" customFormat="false" ht="13.8" hidden="false" customHeight="false" outlineLevel="0" collapsed="false">
      <c r="A305" s="0" t="s">
        <v>307</v>
      </c>
      <c r="B305" s="0" t="n">
        <v>66</v>
      </c>
      <c r="C305" s="0" t="s">
        <v>8636</v>
      </c>
      <c r="D305" s="0" t="s">
        <v>564</v>
      </c>
      <c r="E305" s="0" t="s">
        <v>382</v>
      </c>
      <c r="F305" s="4" t="n">
        <v>91</v>
      </c>
      <c r="G305" s="2" t="n">
        <v>0</v>
      </c>
      <c r="H305" s="2" t="n">
        <v>0</v>
      </c>
      <c r="I305" s="4" t="n">
        <v>2</v>
      </c>
      <c r="J305" s="2" t="n">
        <v>0.5</v>
      </c>
      <c r="K305" s="2" t="s">
        <v>20</v>
      </c>
      <c r="L305" s="4" t="n">
        <v>5</v>
      </c>
      <c r="M305" s="2" t="n">
        <v>0</v>
      </c>
      <c r="N305" s="2" t="n">
        <v>0</v>
      </c>
      <c r="O305" s="4" t="n">
        <v>3</v>
      </c>
      <c r="Q305" s="2" t="n">
        <v>362</v>
      </c>
      <c r="R305" s="0" t="s">
        <v>382</v>
      </c>
      <c r="S305" s="0" t="s">
        <v>8645</v>
      </c>
    </row>
    <row r="306" customFormat="false" ht="13.8" hidden="false" customHeight="false" outlineLevel="0" collapsed="false">
      <c r="A306" s="0" t="s">
        <v>307</v>
      </c>
      <c r="B306" s="0" t="n">
        <v>66</v>
      </c>
      <c r="C306" s="0" t="s">
        <v>8636</v>
      </c>
      <c r="D306" s="0" t="s">
        <v>626</v>
      </c>
      <c r="E306" s="0" t="s">
        <v>7671</v>
      </c>
      <c r="F306" s="4" t="n">
        <v>146</v>
      </c>
      <c r="G306" s="2" t="n">
        <v>0</v>
      </c>
      <c r="H306" s="2" t="n">
        <v>0</v>
      </c>
      <c r="I306" s="4" t="n">
        <v>2</v>
      </c>
      <c r="J306" s="2" t="n">
        <v>0.75</v>
      </c>
      <c r="K306" s="2" t="s">
        <v>13</v>
      </c>
      <c r="L306" s="4" t="n">
        <v>1</v>
      </c>
      <c r="M306" s="2" t="n">
        <v>0</v>
      </c>
      <c r="N306" s="2" t="n">
        <v>0</v>
      </c>
      <c r="O306" s="4" t="n">
        <v>3</v>
      </c>
      <c r="Q306" s="2" t="n">
        <v>363</v>
      </c>
      <c r="R306" s="0" t="s">
        <v>7671</v>
      </c>
      <c r="S306" s="0" t="s">
        <v>8646</v>
      </c>
    </row>
    <row r="307" customFormat="false" ht="13.8" hidden="false" customHeight="false" outlineLevel="0" collapsed="false">
      <c r="A307" s="0" t="s">
        <v>35</v>
      </c>
      <c r="B307" s="0" t="n">
        <v>86</v>
      </c>
      <c r="C307" s="0" t="s">
        <v>8647</v>
      </c>
      <c r="D307" s="0" t="s">
        <v>6</v>
      </c>
      <c r="E307" s="0" t="s">
        <v>490</v>
      </c>
      <c r="F307" s="4" t="n">
        <v>201</v>
      </c>
      <c r="G307" s="2" t="n">
        <v>30</v>
      </c>
      <c r="H307" s="2" t="s">
        <v>7</v>
      </c>
      <c r="I307" s="4" t="n">
        <v>2</v>
      </c>
      <c r="J307" s="2" t="n">
        <v>0</v>
      </c>
      <c r="K307" s="2" t="n">
        <v>0</v>
      </c>
      <c r="L307" s="4" t="n">
        <v>1</v>
      </c>
      <c r="M307" s="2" t="n">
        <v>0</v>
      </c>
      <c r="N307" s="2" t="n">
        <v>0</v>
      </c>
      <c r="O307" s="4" t="n">
        <v>3</v>
      </c>
      <c r="Q307" s="2" t="n">
        <v>368</v>
      </c>
      <c r="R307" s="0" t="s">
        <v>490</v>
      </c>
      <c r="S307" s="0" t="s">
        <v>8648</v>
      </c>
    </row>
    <row r="308" customFormat="false" ht="13.8" hidden="false" customHeight="false" outlineLevel="0" collapsed="false">
      <c r="A308" s="0" t="s">
        <v>35</v>
      </c>
      <c r="B308" s="0" t="n">
        <v>86</v>
      </c>
      <c r="C308" s="0" t="s">
        <v>8647</v>
      </c>
      <c r="D308" s="0" t="s">
        <v>36</v>
      </c>
      <c r="E308" s="0" t="s">
        <v>377</v>
      </c>
      <c r="F308" s="4" t="n">
        <v>89</v>
      </c>
      <c r="G308" s="2" t="n">
        <v>0</v>
      </c>
      <c r="H308" s="2" t="n">
        <v>0</v>
      </c>
      <c r="I308" s="4" t="n">
        <v>2</v>
      </c>
      <c r="J308" s="2" t="n">
        <v>10</v>
      </c>
      <c r="K308" s="2" t="s">
        <v>13</v>
      </c>
      <c r="L308" s="4" t="n">
        <v>1</v>
      </c>
      <c r="M308" s="2" t="n">
        <v>0</v>
      </c>
      <c r="N308" s="2" t="n">
        <v>0</v>
      </c>
      <c r="O308" s="4" t="n">
        <v>3</v>
      </c>
      <c r="Q308" s="2" t="n">
        <v>369</v>
      </c>
      <c r="R308" s="0" t="s">
        <v>377</v>
      </c>
      <c r="S308" s="0" t="s">
        <v>8649</v>
      </c>
    </row>
    <row r="309" customFormat="false" ht="13.8" hidden="false" customHeight="false" outlineLevel="0" collapsed="false">
      <c r="A309" s="0" t="s">
        <v>35</v>
      </c>
      <c r="B309" s="0" t="n">
        <v>86</v>
      </c>
      <c r="C309" s="0" t="s">
        <v>8647</v>
      </c>
      <c r="D309" s="0" t="s">
        <v>37</v>
      </c>
      <c r="E309" s="0" t="s">
        <v>481</v>
      </c>
      <c r="F309" s="4" t="n">
        <v>191</v>
      </c>
      <c r="G309" s="2" t="n">
        <v>0</v>
      </c>
      <c r="H309" s="2" t="n">
        <v>0</v>
      </c>
      <c r="I309" s="4" t="n">
        <v>2</v>
      </c>
      <c r="J309" s="2" t="n">
        <v>1</v>
      </c>
      <c r="K309" s="2" t="s">
        <v>13</v>
      </c>
      <c r="L309" s="4" t="n">
        <v>1</v>
      </c>
      <c r="M309" s="2" t="n">
        <v>0</v>
      </c>
      <c r="N309" s="2" t="n">
        <v>0</v>
      </c>
      <c r="O309" s="4" t="n">
        <v>3</v>
      </c>
      <c r="Q309" s="2" t="n">
        <v>370</v>
      </c>
      <c r="R309" s="0" t="s">
        <v>481</v>
      </c>
      <c r="S309" s="0" t="s">
        <v>8650</v>
      </c>
    </row>
    <row r="310" customFormat="false" ht="13.8" hidden="false" customHeight="false" outlineLevel="0" collapsed="false">
      <c r="A310" s="0" t="s">
        <v>35</v>
      </c>
      <c r="B310" s="0" t="n">
        <v>86</v>
      </c>
      <c r="C310" s="0" t="s">
        <v>8647</v>
      </c>
      <c r="D310" s="0" t="s">
        <v>14</v>
      </c>
      <c r="E310" s="0" t="s">
        <v>398</v>
      </c>
      <c r="F310" s="4" t="n">
        <v>102</v>
      </c>
      <c r="G310" s="2" t="n">
        <v>0</v>
      </c>
      <c r="H310" s="2" t="n">
        <v>0</v>
      </c>
      <c r="I310" s="4" t="n">
        <v>2</v>
      </c>
      <c r="J310" s="2" t="n">
        <v>0.75</v>
      </c>
      <c r="K310" s="2" t="s">
        <v>13</v>
      </c>
      <c r="L310" s="4" t="n">
        <v>1</v>
      </c>
      <c r="M310" s="2" t="n">
        <v>0</v>
      </c>
      <c r="N310" s="2" t="n">
        <v>0</v>
      </c>
      <c r="O310" s="4" t="n">
        <v>3</v>
      </c>
      <c r="Q310" s="2" t="n">
        <v>371</v>
      </c>
      <c r="R310" s="0" t="s">
        <v>398</v>
      </c>
      <c r="S310" s="0" t="s">
        <v>8651</v>
      </c>
    </row>
    <row r="311" customFormat="false" ht="13.8" hidden="false" customHeight="false" outlineLevel="0" collapsed="false">
      <c r="A311" s="0" t="s">
        <v>35</v>
      </c>
      <c r="B311" s="0" t="n">
        <v>86</v>
      </c>
      <c r="C311" s="0" t="s">
        <v>8647</v>
      </c>
      <c r="D311" s="0" t="s">
        <v>38</v>
      </c>
      <c r="E311" s="0" t="s">
        <v>38</v>
      </c>
      <c r="F311" s="4" t="n">
        <v>105</v>
      </c>
      <c r="G311" s="2" t="n">
        <v>0</v>
      </c>
      <c r="H311" s="2" t="n">
        <v>0</v>
      </c>
      <c r="I311" s="4" t="n">
        <v>2</v>
      </c>
      <c r="J311" s="2" t="n">
        <v>2</v>
      </c>
      <c r="K311" s="2" t="s">
        <v>13</v>
      </c>
      <c r="L311" s="4" t="n">
        <v>1</v>
      </c>
      <c r="M311" s="2" t="n">
        <v>0</v>
      </c>
      <c r="N311" s="2" t="n">
        <v>0</v>
      </c>
      <c r="O311" s="4" t="n">
        <v>3</v>
      </c>
      <c r="Q311" s="2" t="n">
        <v>372</v>
      </c>
      <c r="R311" s="0" t="s">
        <v>38</v>
      </c>
      <c r="S311" s="0" t="s">
        <v>8652</v>
      </c>
    </row>
    <row r="312" customFormat="false" ht="13.8" hidden="false" customHeight="false" outlineLevel="0" collapsed="false">
      <c r="A312" s="0" t="s">
        <v>35</v>
      </c>
      <c r="B312" s="0" t="n">
        <v>86</v>
      </c>
      <c r="C312" s="0" t="s">
        <v>8647</v>
      </c>
      <c r="D312" s="0" t="s">
        <v>11</v>
      </c>
      <c r="E312" s="0" t="s">
        <v>348</v>
      </c>
      <c r="F312" s="4" t="n">
        <v>79</v>
      </c>
      <c r="G312" s="2" t="n">
        <v>4</v>
      </c>
      <c r="H312" s="2" t="s">
        <v>7</v>
      </c>
      <c r="I312" s="4" t="n">
        <v>2</v>
      </c>
      <c r="J312" s="2" t="n">
        <v>5</v>
      </c>
      <c r="K312" s="2" t="s">
        <v>13</v>
      </c>
      <c r="L312" s="4" t="n">
        <v>1</v>
      </c>
      <c r="M312" s="2" t="n">
        <v>0</v>
      </c>
      <c r="N312" s="2" t="n">
        <v>0</v>
      </c>
      <c r="O312" s="4" t="n">
        <v>3</v>
      </c>
      <c r="Q312" s="2" t="n">
        <v>373</v>
      </c>
      <c r="R312" s="0" t="s">
        <v>348</v>
      </c>
      <c r="S312" s="0" t="s">
        <v>8653</v>
      </c>
    </row>
    <row r="313" customFormat="false" ht="13.8" hidden="false" customHeight="false" outlineLevel="0" collapsed="false">
      <c r="A313" s="0" t="s">
        <v>35</v>
      </c>
      <c r="B313" s="0" t="n">
        <v>86</v>
      </c>
      <c r="C313" s="0" t="s">
        <v>8647</v>
      </c>
      <c r="D313" s="0" t="s">
        <v>39</v>
      </c>
      <c r="E313" s="0" t="s">
        <v>228</v>
      </c>
      <c r="F313" s="4" t="n">
        <v>39</v>
      </c>
      <c r="G313" s="2" t="n">
        <v>12</v>
      </c>
      <c r="H313" s="2" t="s">
        <v>7</v>
      </c>
      <c r="I313" s="4" t="n">
        <v>2</v>
      </c>
      <c r="J313" s="2" t="n">
        <v>30</v>
      </c>
      <c r="K313" s="2" t="s">
        <v>13</v>
      </c>
      <c r="L313" s="4" t="n">
        <v>1</v>
      </c>
      <c r="M313" s="2" t="n">
        <v>0</v>
      </c>
      <c r="N313" s="2" t="n">
        <v>0</v>
      </c>
      <c r="O313" s="4" t="n">
        <v>3</v>
      </c>
      <c r="Q313" s="2" t="n">
        <v>375</v>
      </c>
      <c r="R313" s="0" t="s">
        <v>228</v>
      </c>
      <c r="S313" s="0" t="s">
        <v>8654</v>
      </c>
    </row>
    <row r="314" customFormat="false" ht="13.8" hidden="false" customHeight="false" outlineLevel="0" collapsed="false">
      <c r="A314" s="0" t="s">
        <v>35</v>
      </c>
      <c r="B314" s="0" t="n">
        <v>86</v>
      </c>
      <c r="C314" s="0" t="s">
        <v>8647</v>
      </c>
      <c r="D314" s="0" t="s">
        <v>40</v>
      </c>
      <c r="E314" s="0" t="s">
        <v>237</v>
      </c>
      <c r="F314" s="4" t="n">
        <v>42</v>
      </c>
      <c r="G314" s="2" t="n">
        <v>3.5</v>
      </c>
      <c r="H314" s="2" t="s">
        <v>7</v>
      </c>
      <c r="I314" s="4" t="n">
        <v>2</v>
      </c>
      <c r="J314" s="2" t="n">
        <v>5</v>
      </c>
      <c r="K314" s="2" t="s">
        <v>13</v>
      </c>
      <c r="L314" s="4" t="n">
        <v>1</v>
      </c>
      <c r="M314" s="2" t="n">
        <v>0</v>
      </c>
      <c r="N314" s="2" t="n">
        <v>0</v>
      </c>
      <c r="O314" s="4" t="n">
        <v>3</v>
      </c>
      <c r="Q314" s="2" t="n">
        <v>377</v>
      </c>
      <c r="R314" s="0" t="s">
        <v>237</v>
      </c>
      <c r="S314" s="0" t="s">
        <v>8655</v>
      </c>
    </row>
    <row r="315" customFormat="false" ht="13.8" hidden="false" customHeight="false" outlineLevel="0" collapsed="false">
      <c r="A315" s="0" t="s">
        <v>35</v>
      </c>
      <c r="B315" s="0" t="n">
        <v>86</v>
      </c>
      <c r="C315" s="0" t="s">
        <v>8647</v>
      </c>
      <c r="D315" s="0" t="s">
        <v>63</v>
      </c>
      <c r="E315" s="0" t="s">
        <v>345</v>
      </c>
      <c r="F315" s="4" t="n">
        <v>78</v>
      </c>
      <c r="G315" s="2" t="n">
        <v>20</v>
      </c>
      <c r="H315" s="2" t="s">
        <v>7</v>
      </c>
      <c r="I315" s="4" t="n">
        <v>2</v>
      </c>
      <c r="J315" s="2" t="n">
        <v>0</v>
      </c>
      <c r="K315" s="2" t="n">
        <v>0</v>
      </c>
      <c r="L315" s="4" t="n">
        <v>1</v>
      </c>
      <c r="M315" s="2" t="n">
        <v>0</v>
      </c>
      <c r="N315" s="2" t="n">
        <v>0</v>
      </c>
      <c r="O315" s="4" t="n">
        <v>3</v>
      </c>
      <c r="Q315" s="2" t="n">
        <v>379</v>
      </c>
      <c r="R315" s="0" t="s">
        <v>345</v>
      </c>
      <c r="S315" s="0" t="s">
        <v>8656</v>
      </c>
    </row>
    <row r="316" customFormat="false" ht="13.8" hidden="false" customHeight="false" outlineLevel="0" collapsed="false">
      <c r="A316" s="0" t="s">
        <v>35</v>
      </c>
      <c r="B316" s="0" t="n">
        <v>86</v>
      </c>
      <c r="C316" s="0" t="s">
        <v>8647</v>
      </c>
      <c r="D316" s="0" t="s">
        <v>32</v>
      </c>
      <c r="E316" s="0" t="s">
        <v>96</v>
      </c>
      <c r="F316" s="4" t="n">
        <v>177</v>
      </c>
      <c r="G316" s="2" t="n">
        <v>0</v>
      </c>
      <c r="H316" s="2" t="n">
        <v>0</v>
      </c>
      <c r="I316" s="4" t="n">
        <v>2</v>
      </c>
      <c r="J316" s="2" t="n">
        <v>4</v>
      </c>
      <c r="K316" s="2" t="s">
        <v>20</v>
      </c>
      <c r="L316" s="4" t="n">
        <v>5</v>
      </c>
      <c r="M316" s="2" t="n">
        <v>0</v>
      </c>
      <c r="N316" s="2" t="n">
        <v>0</v>
      </c>
      <c r="O316" s="4" t="n">
        <v>3</v>
      </c>
      <c r="Q316" s="2" t="n">
        <v>380</v>
      </c>
      <c r="R316" s="0" t="s">
        <v>96</v>
      </c>
      <c r="S316" s="0" t="s">
        <v>8657</v>
      </c>
    </row>
    <row r="317" customFormat="false" ht="13.8" hidden="false" customHeight="false" outlineLevel="0" collapsed="false">
      <c r="A317" s="0" t="s">
        <v>35</v>
      </c>
      <c r="B317" s="0" t="n">
        <v>86</v>
      </c>
      <c r="C317" s="0" t="s">
        <v>8647</v>
      </c>
      <c r="D317" s="0" t="s">
        <v>41</v>
      </c>
      <c r="E317" s="0" t="s">
        <v>333</v>
      </c>
      <c r="F317" s="4" t="n">
        <v>74</v>
      </c>
      <c r="G317" s="2" t="n">
        <v>0</v>
      </c>
      <c r="H317" s="2" t="n">
        <v>0</v>
      </c>
      <c r="I317" s="4" t="n">
        <v>2</v>
      </c>
      <c r="J317" s="2" t="n">
        <v>2</v>
      </c>
      <c r="K317" s="2" t="s">
        <v>20</v>
      </c>
      <c r="L317" s="4" t="n">
        <v>5</v>
      </c>
      <c r="M317" s="2" t="n">
        <v>0</v>
      </c>
      <c r="N317" s="2" t="n">
        <v>0</v>
      </c>
      <c r="O317" s="4" t="n">
        <v>3</v>
      </c>
      <c r="Q317" s="2" t="n">
        <v>381</v>
      </c>
      <c r="R317" s="0" t="s">
        <v>333</v>
      </c>
      <c r="S317" s="0" t="s">
        <v>8658</v>
      </c>
    </row>
    <row r="318" customFormat="false" ht="13.8" hidden="false" customHeight="false" outlineLevel="0" collapsed="false">
      <c r="A318" s="0" t="s">
        <v>35</v>
      </c>
      <c r="B318" s="0" t="n">
        <v>86</v>
      </c>
      <c r="C318" s="0" t="s">
        <v>8647</v>
      </c>
      <c r="D318" s="0" t="s">
        <v>43</v>
      </c>
      <c r="E318" s="0" t="s">
        <v>393</v>
      </c>
      <c r="F318" s="4" t="n">
        <v>97</v>
      </c>
      <c r="G318" s="2" t="n">
        <v>0</v>
      </c>
      <c r="H318" s="2" t="n">
        <v>0</v>
      </c>
      <c r="I318" s="4" t="n">
        <v>2</v>
      </c>
      <c r="J318" s="2" t="n">
        <v>60</v>
      </c>
      <c r="K318" s="2" t="s">
        <v>13</v>
      </c>
      <c r="L318" s="4" t="n">
        <v>1</v>
      </c>
      <c r="M318" s="2" t="n">
        <v>0</v>
      </c>
      <c r="N318" s="2" t="n">
        <v>0</v>
      </c>
      <c r="O318" s="4" t="n">
        <v>3</v>
      </c>
      <c r="Q318" s="2" t="n">
        <v>382</v>
      </c>
      <c r="R318" s="0" t="s">
        <v>393</v>
      </c>
      <c r="S318" s="0" t="s">
        <v>8659</v>
      </c>
    </row>
    <row r="319" customFormat="false" ht="13.8" hidden="false" customHeight="false" outlineLevel="0" collapsed="false">
      <c r="A319" s="0" t="s">
        <v>35</v>
      </c>
      <c r="B319" s="0" t="n">
        <v>86</v>
      </c>
      <c r="C319" s="0" t="s">
        <v>8647</v>
      </c>
      <c r="D319" s="0" t="s">
        <v>44</v>
      </c>
      <c r="E319" s="0" t="s">
        <v>44</v>
      </c>
      <c r="F319" s="4" t="n">
        <v>187</v>
      </c>
      <c r="G319" s="2" t="n">
        <v>0</v>
      </c>
      <c r="H319" s="2" t="n">
        <v>0</v>
      </c>
      <c r="I319" s="4" t="n">
        <v>2</v>
      </c>
      <c r="J319" s="2" t="n">
        <v>4</v>
      </c>
      <c r="K319" s="2" t="s">
        <v>20</v>
      </c>
      <c r="L319" s="4" t="n">
        <v>5</v>
      </c>
      <c r="M319" s="2" t="n">
        <v>0</v>
      </c>
      <c r="N319" s="2" t="n">
        <v>0</v>
      </c>
      <c r="O319" s="4" t="n">
        <v>3</v>
      </c>
      <c r="Q319" s="2" t="n">
        <v>383</v>
      </c>
      <c r="R319" s="0" t="s">
        <v>44</v>
      </c>
      <c r="S319" s="0" t="s">
        <v>8660</v>
      </c>
    </row>
    <row r="320" customFormat="false" ht="13.8" hidden="false" customHeight="false" outlineLevel="0" collapsed="false">
      <c r="A320" s="0" t="s">
        <v>337</v>
      </c>
      <c r="B320" s="0" t="n">
        <v>76</v>
      </c>
      <c r="C320" s="0" t="s">
        <v>8661</v>
      </c>
      <c r="D320" s="0" t="s">
        <v>627</v>
      </c>
      <c r="E320" s="0" t="s">
        <v>478</v>
      </c>
      <c r="F320" s="4" t="n">
        <v>188</v>
      </c>
      <c r="G320" s="2" t="n">
        <v>11.9</v>
      </c>
      <c r="H320" s="2" t="s">
        <v>7</v>
      </c>
      <c r="I320" s="4" t="n">
        <v>2</v>
      </c>
      <c r="J320" s="2" t="n">
        <v>0</v>
      </c>
      <c r="K320" s="2" t="n">
        <v>0</v>
      </c>
      <c r="L320" s="4" t="n">
        <v>1</v>
      </c>
      <c r="M320" s="2" t="n">
        <v>0</v>
      </c>
      <c r="N320" s="2" t="n">
        <v>0</v>
      </c>
      <c r="O320" s="4" t="n">
        <v>3</v>
      </c>
      <c r="P320" s="0" t="s">
        <v>628</v>
      </c>
      <c r="Q320" s="2" t="n">
        <v>387</v>
      </c>
      <c r="R320" s="0" t="s">
        <v>478</v>
      </c>
      <c r="S320" s="0" t="s">
        <v>8662</v>
      </c>
    </row>
    <row r="321" customFormat="false" ht="13.8" hidden="false" customHeight="false" outlineLevel="0" collapsed="false">
      <c r="A321" s="0" t="s">
        <v>337</v>
      </c>
      <c r="B321" s="0" t="n">
        <v>76</v>
      </c>
      <c r="C321" s="0" t="s">
        <v>8661</v>
      </c>
      <c r="D321" s="0" t="s">
        <v>629</v>
      </c>
      <c r="E321" s="0" t="s">
        <v>460</v>
      </c>
      <c r="F321" s="4" t="n">
        <v>168</v>
      </c>
      <c r="G321" s="2" t="n">
        <v>3.5</v>
      </c>
      <c r="H321" s="2" t="s">
        <v>7</v>
      </c>
      <c r="I321" s="4" t="n">
        <v>2</v>
      </c>
      <c r="J321" s="2" t="n">
        <v>0</v>
      </c>
      <c r="K321" s="2" t="n">
        <v>0</v>
      </c>
      <c r="L321" s="4" t="n">
        <v>1</v>
      </c>
      <c r="M321" s="2" t="n">
        <v>0</v>
      </c>
      <c r="N321" s="2" t="n">
        <v>0</v>
      </c>
      <c r="O321" s="4" t="n">
        <v>3</v>
      </c>
      <c r="P321" s="0" t="s">
        <v>630</v>
      </c>
      <c r="Q321" s="2" t="n">
        <v>388</v>
      </c>
      <c r="R321" s="0" t="s">
        <v>460</v>
      </c>
      <c r="S321" s="0" t="s">
        <v>8663</v>
      </c>
    </row>
    <row r="322" customFormat="false" ht="13.8" hidden="false" customHeight="false" outlineLevel="0" collapsed="false">
      <c r="A322" s="0" t="s">
        <v>337</v>
      </c>
      <c r="B322" s="0" t="n">
        <v>76</v>
      </c>
      <c r="C322" s="0" t="s">
        <v>8661</v>
      </c>
      <c r="D322" s="0" t="s">
        <v>631</v>
      </c>
      <c r="E322" s="0" t="s">
        <v>363</v>
      </c>
      <c r="F322" s="4" t="n">
        <v>84</v>
      </c>
      <c r="G322" s="2" t="n">
        <v>3.5</v>
      </c>
      <c r="H322" s="2" t="s">
        <v>7</v>
      </c>
      <c r="I322" s="4" t="n">
        <v>2</v>
      </c>
      <c r="J322" s="2" t="n">
        <v>0</v>
      </c>
      <c r="K322" s="2" t="n">
        <v>0</v>
      </c>
      <c r="L322" s="4" t="n">
        <v>1</v>
      </c>
      <c r="M322" s="2" t="n">
        <v>0</v>
      </c>
      <c r="N322" s="2" t="n">
        <v>0</v>
      </c>
      <c r="O322" s="4" t="n">
        <v>3</v>
      </c>
      <c r="P322" s="0" t="s">
        <v>630</v>
      </c>
      <c r="Q322" s="2" t="n">
        <v>389</v>
      </c>
      <c r="R322" s="0" t="s">
        <v>363</v>
      </c>
      <c r="S322" s="0" t="s">
        <v>8664</v>
      </c>
    </row>
    <row r="323" customFormat="false" ht="13.8" hidden="false" customHeight="false" outlineLevel="0" collapsed="false">
      <c r="A323" s="0" t="s">
        <v>337</v>
      </c>
      <c r="B323" s="0" t="n">
        <v>76</v>
      </c>
      <c r="C323" s="0" t="s">
        <v>8661</v>
      </c>
      <c r="D323" s="0" t="s">
        <v>632</v>
      </c>
      <c r="E323" s="0" t="s">
        <v>273</v>
      </c>
      <c r="F323" s="4" t="n">
        <v>54</v>
      </c>
      <c r="G323" s="2" t="n">
        <v>0</v>
      </c>
      <c r="H323" s="2" t="n">
        <v>0</v>
      </c>
      <c r="I323" s="4" t="n">
        <v>2</v>
      </c>
      <c r="J323" s="2" t="n">
        <v>0</v>
      </c>
      <c r="K323" s="2" t="n">
        <v>0</v>
      </c>
      <c r="L323" s="4" t="n">
        <v>1</v>
      </c>
      <c r="M323" s="2" t="n">
        <v>7</v>
      </c>
      <c r="N323" s="2" t="s">
        <v>107</v>
      </c>
      <c r="O323" s="4" t="n">
        <v>3</v>
      </c>
      <c r="Q323" s="2" t="n">
        <v>391</v>
      </c>
      <c r="R323" s="0" t="s">
        <v>273</v>
      </c>
      <c r="S323" s="0" t="s">
        <v>8665</v>
      </c>
    </row>
    <row r="324" customFormat="false" ht="13.8" hidden="false" customHeight="false" outlineLevel="0" collapsed="false">
      <c r="A324" s="0" t="s">
        <v>337</v>
      </c>
      <c r="B324" s="0" t="n">
        <v>76</v>
      </c>
      <c r="C324" s="0" t="s">
        <v>8661</v>
      </c>
      <c r="D324" s="0" t="s">
        <v>633</v>
      </c>
      <c r="E324" s="0" t="s">
        <v>439</v>
      </c>
      <c r="F324" s="4" t="n">
        <v>145</v>
      </c>
      <c r="G324" s="2" t="n">
        <v>0</v>
      </c>
      <c r="H324" s="2" t="n">
        <v>0</v>
      </c>
      <c r="I324" s="4" t="n">
        <v>2</v>
      </c>
      <c r="J324" s="2" t="n">
        <v>11.55</v>
      </c>
      <c r="K324" s="2" t="s">
        <v>13</v>
      </c>
      <c r="L324" s="4" t="n">
        <v>1</v>
      </c>
      <c r="M324" s="2" t="n">
        <v>0</v>
      </c>
      <c r="N324" s="2" t="n">
        <v>0</v>
      </c>
      <c r="O324" s="4" t="n">
        <v>3</v>
      </c>
      <c r="Q324" s="2" t="n">
        <v>392</v>
      </c>
      <c r="R324" s="0" t="s">
        <v>439</v>
      </c>
      <c r="S324" s="0" t="s">
        <v>8666</v>
      </c>
    </row>
    <row r="325" customFormat="false" ht="13.8" hidden="false" customHeight="false" outlineLevel="0" collapsed="false">
      <c r="A325" s="0" t="s">
        <v>337</v>
      </c>
      <c r="B325" s="0" t="n">
        <v>76</v>
      </c>
      <c r="C325" s="0" t="s">
        <v>8661</v>
      </c>
      <c r="D325" s="0" t="s">
        <v>634</v>
      </c>
      <c r="E325" s="0" t="s">
        <v>402</v>
      </c>
      <c r="F325" s="4" t="n">
        <v>107</v>
      </c>
      <c r="G325" s="2" t="n">
        <v>0.91</v>
      </c>
      <c r="H325" s="2" t="s">
        <v>7</v>
      </c>
      <c r="I325" s="4" t="n">
        <v>2</v>
      </c>
      <c r="J325" s="2" t="n">
        <v>0</v>
      </c>
      <c r="K325" s="2" t="n">
        <v>0</v>
      </c>
      <c r="L325" s="4" t="n">
        <v>1</v>
      </c>
      <c r="M325" s="2" t="n">
        <v>0</v>
      </c>
      <c r="N325" s="2" t="n">
        <v>0</v>
      </c>
      <c r="O325" s="4" t="n">
        <v>3</v>
      </c>
      <c r="Q325" s="2" t="n">
        <v>393</v>
      </c>
      <c r="R325" s="0" t="s">
        <v>402</v>
      </c>
      <c r="S325" s="0" t="s">
        <v>8667</v>
      </c>
    </row>
    <row r="326" customFormat="false" ht="13.8" hidden="false" customHeight="false" outlineLevel="0" collapsed="false">
      <c r="A326" s="0" t="s">
        <v>337</v>
      </c>
      <c r="B326" s="0" t="n">
        <v>76</v>
      </c>
      <c r="C326" s="0" t="s">
        <v>8661</v>
      </c>
      <c r="D326" s="0" t="s">
        <v>556</v>
      </c>
      <c r="E326" s="0" t="s">
        <v>225</v>
      </c>
      <c r="F326" s="4" t="n">
        <v>38</v>
      </c>
      <c r="G326" s="2" t="n">
        <v>0</v>
      </c>
      <c r="H326" s="2" t="n">
        <v>0</v>
      </c>
      <c r="I326" s="4" t="n">
        <v>2</v>
      </c>
      <c r="J326" s="2" t="n">
        <v>1.05</v>
      </c>
      <c r="K326" s="2" t="s">
        <v>13</v>
      </c>
      <c r="L326" s="4" t="n">
        <v>1</v>
      </c>
      <c r="M326" s="2" t="n">
        <v>0</v>
      </c>
      <c r="N326" s="2" t="n">
        <v>0</v>
      </c>
      <c r="O326" s="4" t="n">
        <v>3</v>
      </c>
      <c r="Q326" s="2" t="n">
        <v>394</v>
      </c>
      <c r="R326" s="0" t="s">
        <v>225</v>
      </c>
      <c r="S326" s="0" t="s">
        <v>8668</v>
      </c>
    </row>
    <row r="327" customFormat="false" ht="13.8" hidden="false" customHeight="false" outlineLevel="0" collapsed="false">
      <c r="A327" s="0" t="s">
        <v>337</v>
      </c>
      <c r="B327" s="0" t="n">
        <v>76</v>
      </c>
      <c r="C327" s="0" t="s">
        <v>8661</v>
      </c>
      <c r="D327" s="0" t="s">
        <v>562</v>
      </c>
      <c r="E327" s="0" t="s">
        <v>391</v>
      </c>
      <c r="F327" s="4" t="n">
        <v>95</v>
      </c>
      <c r="G327" s="2" t="n">
        <v>0</v>
      </c>
      <c r="H327" s="2" t="n">
        <v>0</v>
      </c>
      <c r="I327" s="4" t="n">
        <v>2</v>
      </c>
      <c r="J327" s="2" t="n">
        <v>0.35</v>
      </c>
      <c r="K327" s="2" t="s">
        <v>20</v>
      </c>
      <c r="L327" s="4" t="n">
        <v>5</v>
      </c>
      <c r="M327" s="2" t="n">
        <v>0</v>
      </c>
      <c r="N327" s="2" t="n">
        <v>0</v>
      </c>
      <c r="O327" s="4" t="n">
        <v>3</v>
      </c>
      <c r="Q327" s="2" t="n">
        <v>395</v>
      </c>
      <c r="R327" s="0" t="s">
        <v>391</v>
      </c>
      <c r="S327" s="0" t="s">
        <v>8669</v>
      </c>
    </row>
    <row r="328" customFormat="false" ht="13.8" hidden="false" customHeight="false" outlineLevel="0" collapsed="false">
      <c r="A328" s="0" t="s">
        <v>337</v>
      </c>
      <c r="B328" s="0" t="n">
        <v>76</v>
      </c>
      <c r="C328" s="0" t="s">
        <v>8661</v>
      </c>
      <c r="D328" s="0" t="s">
        <v>15</v>
      </c>
      <c r="E328" s="0" t="s">
        <v>386</v>
      </c>
      <c r="F328" s="4" t="n">
        <v>93</v>
      </c>
      <c r="G328" s="2" t="n">
        <v>0</v>
      </c>
      <c r="H328" s="2" t="n">
        <v>0</v>
      </c>
      <c r="I328" s="4" t="n">
        <v>2</v>
      </c>
      <c r="J328" s="2" t="n">
        <v>1.05</v>
      </c>
      <c r="K328" s="2" t="s">
        <v>20</v>
      </c>
      <c r="L328" s="4" t="n">
        <v>5</v>
      </c>
      <c r="M328" s="2" t="n">
        <v>0</v>
      </c>
      <c r="N328" s="2" t="n">
        <v>0</v>
      </c>
      <c r="O328" s="4" t="n">
        <v>3</v>
      </c>
      <c r="Q328" s="2" t="n">
        <v>396</v>
      </c>
      <c r="R328" s="0" t="s">
        <v>386</v>
      </c>
      <c r="S328" s="0" t="s">
        <v>8670</v>
      </c>
    </row>
    <row r="329" customFormat="false" ht="13.8" hidden="false" customHeight="false" outlineLevel="0" collapsed="false">
      <c r="A329" s="0" t="s">
        <v>337</v>
      </c>
      <c r="B329" s="0" t="n">
        <v>76</v>
      </c>
      <c r="C329" s="0" t="s">
        <v>8661</v>
      </c>
      <c r="D329" s="0" t="s">
        <v>635</v>
      </c>
      <c r="E329" s="0" t="s">
        <v>204</v>
      </c>
      <c r="F329" s="4" t="n">
        <v>31</v>
      </c>
      <c r="G329" s="2" t="n">
        <v>0</v>
      </c>
      <c r="H329" s="2" t="n">
        <v>0</v>
      </c>
      <c r="I329" s="4" t="n">
        <v>2</v>
      </c>
      <c r="J329" s="2" t="n">
        <v>0.7</v>
      </c>
      <c r="K329" s="2" t="s">
        <v>20</v>
      </c>
      <c r="L329" s="4" t="n">
        <v>5</v>
      </c>
      <c r="M329" s="2" t="n">
        <v>0</v>
      </c>
      <c r="N329" s="2" t="n">
        <v>0</v>
      </c>
      <c r="O329" s="4" t="n">
        <v>3</v>
      </c>
      <c r="Q329" s="2" t="n">
        <v>397</v>
      </c>
      <c r="R329" s="0" t="s">
        <v>204</v>
      </c>
      <c r="S329" s="0" t="s">
        <v>8671</v>
      </c>
    </row>
    <row r="330" customFormat="false" ht="13.8" hidden="false" customHeight="false" outlineLevel="0" collapsed="false">
      <c r="A330" s="0" t="s">
        <v>337</v>
      </c>
      <c r="B330" s="0" t="n">
        <v>76</v>
      </c>
      <c r="C330" s="0" t="s">
        <v>8661</v>
      </c>
      <c r="D330" s="0" t="s">
        <v>636</v>
      </c>
      <c r="E330" s="0" t="s">
        <v>222</v>
      </c>
      <c r="F330" s="4" t="n">
        <v>37</v>
      </c>
      <c r="G330" s="2" t="n">
        <v>0</v>
      </c>
      <c r="H330" s="2" t="n">
        <v>0</v>
      </c>
      <c r="I330" s="4" t="n">
        <v>2</v>
      </c>
      <c r="J330" s="2" t="n">
        <v>3.85</v>
      </c>
      <c r="K330" s="2" t="s">
        <v>20</v>
      </c>
      <c r="L330" s="4" t="n">
        <v>5</v>
      </c>
      <c r="M330" s="2" t="n">
        <v>0</v>
      </c>
      <c r="N330" s="2" t="n">
        <v>0</v>
      </c>
      <c r="O330" s="4" t="n">
        <v>3</v>
      </c>
      <c r="Q330" s="2" t="n">
        <v>398</v>
      </c>
      <c r="R330" s="0" t="s">
        <v>222</v>
      </c>
      <c r="S330" s="0" t="s">
        <v>8672</v>
      </c>
    </row>
    <row r="331" customFormat="false" ht="13.8" hidden="false" customHeight="false" outlineLevel="0" collapsed="false">
      <c r="A331" s="0" t="s">
        <v>337</v>
      </c>
      <c r="B331" s="0" t="n">
        <v>76</v>
      </c>
      <c r="C331" s="0" t="s">
        <v>8661</v>
      </c>
      <c r="D331" s="0" t="s">
        <v>57</v>
      </c>
      <c r="E331" s="0" t="s">
        <v>222</v>
      </c>
      <c r="F331" s="4" t="n">
        <v>37</v>
      </c>
      <c r="G331" s="2" t="n">
        <v>0.6</v>
      </c>
      <c r="H331" s="2" t="s">
        <v>7</v>
      </c>
      <c r="I331" s="4" t="n">
        <v>2</v>
      </c>
      <c r="J331" s="2" t="n">
        <v>0</v>
      </c>
      <c r="K331" s="2" t="n">
        <v>0</v>
      </c>
      <c r="L331" s="4" t="n">
        <v>1</v>
      </c>
      <c r="M331" s="2" t="n">
        <v>0</v>
      </c>
      <c r="N331" s="2" t="n">
        <v>0</v>
      </c>
      <c r="O331" s="4" t="n">
        <v>3</v>
      </c>
      <c r="Q331" s="2" t="n">
        <v>399</v>
      </c>
      <c r="R331" s="0" t="s">
        <v>222</v>
      </c>
      <c r="S331" s="0" t="s">
        <v>8673</v>
      </c>
    </row>
    <row r="332" customFormat="false" ht="13.8" hidden="false" customHeight="false" outlineLevel="0" collapsed="false">
      <c r="A332" s="0" t="s">
        <v>337</v>
      </c>
      <c r="B332" s="0" t="n">
        <v>76</v>
      </c>
      <c r="C332" s="0" t="s">
        <v>8661</v>
      </c>
      <c r="D332" s="0" t="s">
        <v>619</v>
      </c>
      <c r="E332" s="0" t="s">
        <v>183</v>
      </c>
      <c r="F332" s="4" t="n">
        <v>24</v>
      </c>
      <c r="G332" s="2" t="n">
        <v>0</v>
      </c>
      <c r="H332" s="2" t="n">
        <v>0</v>
      </c>
      <c r="I332" s="4" t="n">
        <v>2</v>
      </c>
      <c r="J332" s="2" t="n">
        <v>2.45</v>
      </c>
      <c r="K332" s="2" t="s">
        <v>13</v>
      </c>
      <c r="L332" s="4" t="n">
        <v>1</v>
      </c>
      <c r="M332" s="2" t="n">
        <v>0</v>
      </c>
      <c r="N332" s="2" t="n">
        <v>0</v>
      </c>
      <c r="O332" s="4" t="n">
        <v>3</v>
      </c>
      <c r="Q332" s="2" t="n">
        <v>400</v>
      </c>
      <c r="R332" s="0" t="s">
        <v>183</v>
      </c>
      <c r="S332" s="0" t="s">
        <v>8674</v>
      </c>
    </row>
    <row r="333" customFormat="false" ht="13.8" hidden="false" customHeight="false" outlineLevel="0" collapsed="false">
      <c r="A333" s="0" t="s">
        <v>337</v>
      </c>
      <c r="B333" s="0" t="n">
        <v>76</v>
      </c>
      <c r="C333" s="0" t="s">
        <v>8661</v>
      </c>
      <c r="D333" s="0" t="s">
        <v>637</v>
      </c>
      <c r="E333" s="0" t="s">
        <v>279</v>
      </c>
      <c r="F333" s="4" t="n">
        <v>56</v>
      </c>
      <c r="G333" s="2" t="n">
        <v>0</v>
      </c>
      <c r="H333" s="2" t="n">
        <v>0</v>
      </c>
      <c r="I333" s="4" t="n">
        <v>2</v>
      </c>
      <c r="J333" s="2" t="n">
        <v>0.7</v>
      </c>
      <c r="K333" s="2" t="s">
        <v>13</v>
      </c>
      <c r="L333" s="4" t="n">
        <v>1</v>
      </c>
      <c r="M333" s="2" t="n">
        <v>0</v>
      </c>
      <c r="N333" s="2" t="n">
        <v>0</v>
      </c>
      <c r="O333" s="4" t="n">
        <v>3</v>
      </c>
      <c r="Q333" s="2" t="n">
        <v>401</v>
      </c>
      <c r="R333" s="0" t="s">
        <v>279</v>
      </c>
      <c r="S333" s="0" t="s">
        <v>8675</v>
      </c>
    </row>
    <row r="334" customFormat="false" ht="13.8" hidden="false" customHeight="false" outlineLevel="0" collapsed="false">
      <c r="A334" s="0" t="s">
        <v>337</v>
      </c>
      <c r="B334" s="0" t="n">
        <v>76</v>
      </c>
      <c r="C334" s="0" t="s">
        <v>8661</v>
      </c>
      <c r="D334" s="0" t="s">
        <v>638</v>
      </c>
      <c r="E334" s="0" t="s">
        <v>282</v>
      </c>
      <c r="F334" s="4" t="n">
        <v>57</v>
      </c>
      <c r="G334" s="2" t="n">
        <v>0</v>
      </c>
      <c r="H334" s="2" t="n">
        <v>0</v>
      </c>
      <c r="I334" s="4" t="n">
        <v>2</v>
      </c>
      <c r="J334" s="2" t="n">
        <v>1.75</v>
      </c>
      <c r="K334" s="2" t="s">
        <v>20</v>
      </c>
      <c r="L334" s="4" t="n">
        <v>5</v>
      </c>
      <c r="M334" s="2" t="n">
        <v>0</v>
      </c>
      <c r="N334" s="2" t="n">
        <v>0</v>
      </c>
      <c r="O334" s="4" t="n">
        <v>3</v>
      </c>
      <c r="Q334" s="2" t="n">
        <v>402</v>
      </c>
      <c r="R334" s="0" t="s">
        <v>282</v>
      </c>
      <c r="S334" s="0" t="s">
        <v>8676</v>
      </c>
    </row>
    <row r="335" customFormat="false" ht="13.8" hidden="false" customHeight="false" outlineLevel="0" collapsed="false">
      <c r="A335" s="0" t="s">
        <v>337</v>
      </c>
      <c r="B335" s="0" t="n">
        <v>76</v>
      </c>
      <c r="C335" s="0" t="s">
        <v>8661</v>
      </c>
      <c r="D335" s="0" t="s">
        <v>86</v>
      </c>
      <c r="E335" s="0" t="s">
        <v>339</v>
      </c>
      <c r="F335" s="4" t="n">
        <v>76</v>
      </c>
      <c r="G335" s="2" t="n">
        <v>0</v>
      </c>
      <c r="H335" s="2" t="n">
        <v>0</v>
      </c>
      <c r="I335" s="4" t="n">
        <v>2</v>
      </c>
      <c r="J335" s="2" t="n">
        <v>0.7</v>
      </c>
      <c r="K335" s="2" t="s">
        <v>13</v>
      </c>
      <c r="L335" s="4" t="n">
        <v>1</v>
      </c>
      <c r="M335" s="2" t="n">
        <v>0</v>
      </c>
      <c r="N335" s="2" t="n">
        <v>0</v>
      </c>
      <c r="O335" s="4" t="n">
        <v>3</v>
      </c>
      <c r="Q335" s="2" t="n">
        <v>403</v>
      </c>
      <c r="R335" s="0" t="s">
        <v>339</v>
      </c>
      <c r="S335" s="0" t="s">
        <v>8677</v>
      </c>
    </row>
    <row r="336" customFormat="false" ht="13.8" hidden="false" customHeight="false" outlineLevel="0" collapsed="false">
      <c r="A336" s="0" t="s">
        <v>337</v>
      </c>
      <c r="B336" s="0" t="n">
        <v>76</v>
      </c>
      <c r="C336" s="0" t="s">
        <v>8661</v>
      </c>
      <c r="D336" s="0" t="s">
        <v>32</v>
      </c>
      <c r="E336" s="0" t="s">
        <v>96</v>
      </c>
      <c r="F336" s="4" t="n">
        <v>177</v>
      </c>
      <c r="G336" s="2" t="n">
        <v>0</v>
      </c>
      <c r="H336" s="2" t="n">
        <v>0</v>
      </c>
      <c r="I336" s="4" t="n">
        <v>2</v>
      </c>
      <c r="J336" s="2" t="n">
        <v>1.4</v>
      </c>
      <c r="K336" s="2" t="s">
        <v>20</v>
      </c>
      <c r="L336" s="4" t="n">
        <v>5</v>
      </c>
      <c r="M336" s="2" t="n">
        <v>0</v>
      </c>
      <c r="N336" s="2" t="n">
        <v>0</v>
      </c>
      <c r="O336" s="4" t="n">
        <v>3</v>
      </c>
      <c r="Q336" s="2" t="n">
        <v>404</v>
      </c>
      <c r="R336" s="0" t="s">
        <v>96</v>
      </c>
      <c r="S336" s="0" t="s">
        <v>8678</v>
      </c>
    </row>
    <row r="337" customFormat="false" ht="13.8" hidden="false" customHeight="false" outlineLevel="0" collapsed="false">
      <c r="A337" s="0" t="s">
        <v>205</v>
      </c>
      <c r="B337" s="0" t="n">
        <v>32</v>
      </c>
      <c r="C337" s="0" t="s">
        <v>8679</v>
      </c>
      <c r="D337" s="0" t="s">
        <v>639</v>
      </c>
      <c r="E337" s="0" t="s">
        <v>427</v>
      </c>
      <c r="F337" s="4" t="n">
        <v>133</v>
      </c>
      <c r="G337" s="2" t="n">
        <v>7</v>
      </c>
      <c r="H337" s="2" t="s">
        <v>7</v>
      </c>
      <c r="I337" s="4" t="n">
        <v>2</v>
      </c>
      <c r="J337" s="2" t="n">
        <v>35</v>
      </c>
      <c r="K337" s="2" t="s">
        <v>13</v>
      </c>
      <c r="L337" s="4" t="n">
        <v>1</v>
      </c>
      <c r="M337" s="2" t="n">
        <v>0</v>
      </c>
      <c r="N337" s="2" t="n">
        <v>0</v>
      </c>
      <c r="O337" s="4" t="n">
        <v>3</v>
      </c>
      <c r="P337" s="0" t="s">
        <v>640</v>
      </c>
      <c r="Q337" s="2" t="n">
        <v>409</v>
      </c>
      <c r="R337" s="0" t="s">
        <v>427</v>
      </c>
      <c r="S337" s="0" t="s">
        <v>8680</v>
      </c>
    </row>
    <row r="338" customFormat="false" ht="13.8" hidden="false" customHeight="false" outlineLevel="0" collapsed="false">
      <c r="A338" s="0" t="s">
        <v>205</v>
      </c>
      <c r="B338" s="0" t="n">
        <v>32</v>
      </c>
      <c r="C338" s="0" t="s">
        <v>8679</v>
      </c>
      <c r="D338" s="0" t="s">
        <v>641</v>
      </c>
      <c r="E338" s="0" t="s">
        <v>348</v>
      </c>
      <c r="F338" s="4" t="n">
        <v>79</v>
      </c>
      <c r="G338" s="2" t="n">
        <v>2.33333333333333</v>
      </c>
      <c r="H338" s="2" t="s">
        <v>7</v>
      </c>
      <c r="I338" s="4" t="n">
        <v>2</v>
      </c>
      <c r="J338" s="2" t="n">
        <v>3.26666666666667</v>
      </c>
      <c r="K338" s="2" t="s">
        <v>13</v>
      </c>
      <c r="L338" s="4" t="n">
        <v>1</v>
      </c>
      <c r="M338" s="2" t="n">
        <v>0</v>
      </c>
      <c r="N338" s="2" t="n">
        <v>0</v>
      </c>
      <c r="O338" s="4" t="n">
        <v>3</v>
      </c>
      <c r="Q338" s="2" t="n">
        <v>411</v>
      </c>
      <c r="R338" s="0" t="s">
        <v>348</v>
      </c>
      <c r="S338" s="0" t="s">
        <v>8681</v>
      </c>
    </row>
    <row r="339" customFormat="false" ht="13.8" hidden="false" customHeight="false" outlineLevel="0" collapsed="false">
      <c r="A339" s="0" t="s">
        <v>205</v>
      </c>
      <c r="B339" s="0" t="n">
        <v>32</v>
      </c>
      <c r="C339" s="0" t="s">
        <v>8679</v>
      </c>
      <c r="D339" s="0" t="s">
        <v>642</v>
      </c>
      <c r="E339" s="0" t="s">
        <v>261</v>
      </c>
      <c r="F339" s="4" t="n">
        <v>50</v>
      </c>
      <c r="G339" s="2" t="n">
        <v>3.5</v>
      </c>
      <c r="H339" s="2" t="s">
        <v>7</v>
      </c>
      <c r="I339" s="4" t="n">
        <v>2</v>
      </c>
      <c r="J339" s="2" t="n">
        <v>4.66666666666667</v>
      </c>
      <c r="K339" s="2" t="s">
        <v>13</v>
      </c>
      <c r="L339" s="4" t="n">
        <v>1</v>
      </c>
      <c r="M339" s="2" t="n">
        <v>0</v>
      </c>
      <c r="N339" s="2" t="n">
        <v>0</v>
      </c>
      <c r="O339" s="4" t="n">
        <v>3</v>
      </c>
      <c r="Q339" s="2" t="n">
        <v>413</v>
      </c>
      <c r="R339" s="0" t="s">
        <v>261</v>
      </c>
      <c r="S339" s="0" t="s">
        <v>8682</v>
      </c>
    </row>
    <row r="340" customFormat="false" ht="13.8" hidden="false" customHeight="false" outlineLevel="0" collapsed="false">
      <c r="A340" s="0" t="s">
        <v>205</v>
      </c>
      <c r="B340" s="0" t="n">
        <v>32</v>
      </c>
      <c r="C340" s="0" t="s">
        <v>8679</v>
      </c>
      <c r="D340" s="0" t="s">
        <v>643</v>
      </c>
      <c r="E340" s="0" t="s">
        <v>126</v>
      </c>
      <c r="F340" s="4" t="n">
        <v>7</v>
      </c>
      <c r="G340" s="2" t="n">
        <v>0</v>
      </c>
      <c r="H340" s="2" t="n">
        <v>0</v>
      </c>
      <c r="I340" s="4" t="n">
        <v>2</v>
      </c>
      <c r="J340" s="2" t="n">
        <v>2.33333333333333</v>
      </c>
      <c r="K340" s="2" t="s">
        <v>13</v>
      </c>
      <c r="L340" s="4" t="n">
        <v>1</v>
      </c>
      <c r="M340" s="2" t="n">
        <v>0</v>
      </c>
      <c r="N340" s="2" t="n">
        <v>0</v>
      </c>
      <c r="O340" s="4" t="n">
        <v>3</v>
      </c>
      <c r="Q340" s="2" t="n">
        <v>415</v>
      </c>
      <c r="R340" s="0" t="s">
        <v>126</v>
      </c>
      <c r="S340" s="0" t="s">
        <v>8683</v>
      </c>
    </row>
    <row r="341" customFormat="false" ht="13.8" hidden="false" customHeight="false" outlineLevel="0" collapsed="false">
      <c r="A341" s="0" t="s">
        <v>205</v>
      </c>
      <c r="B341" s="0" t="n">
        <v>32</v>
      </c>
      <c r="C341" s="0" t="s">
        <v>8679</v>
      </c>
      <c r="D341" s="0" t="s">
        <v>86</v>
      </c>
      <c r="E341" s="0" t="s">
        <v>339</v>
      </c>
      <c r="F341" s="4" t="n">
        <v>76</v>
      </c>
      <c r="G341" s="2" t="n">
        <v>0</v>
      </c>
      <c r="H341" s="2" t="n">
        <v>0</v>
      </c>
      <c r="I341" s="4" t="n">
        <v>2</v>
      </c>
      <c r="J341" s="2" t="n">
        <v>1.16666666666667</v>
      </c>
      <c r="K341" s="2" t="s">
        <v>13</v>
      </c>
      <c r="L341" s="4" t="n">
        <v>1</v>
      </c>
      <c r="M341" s="2" t="n">
        <v>0</v>
      </c>
      <c r="N341" s="2" t="n">
        <v>0</v>
      </c>
      <c r="O341" s="4" t="n">
        <v>3</v>
      </c>
      <c r="Q341" s="2" t="n">
        <v>416</v>
      </c>
      <c r="R341" s="0" t="s">
        <v>339</v>
      </c>
      <c r="S341" s="0" t="s">
        <v>8684</v>
      </c>
    </row>
    <row r="342" customFormat="false" ht="13.8" hidden="false" customHeight="false" outlineLevel="0" collapsed="false">
      <c r="A342" s="0" t="s">
        <v>205</v>
      </c>
      <c r="B342" s="0" t="n">
        <v>32</v>
      </c>
      <c r="C342" s="0" t="s">
        <v>8679</v>
      </c>
      <c r="D342" s="0" t="s">
        <v>557</v>
      </c>
      <c r="E342" s="0" t="s">
        <v>423</v>
      </c>
      <c r="F342" s="4" t="n">
        <v>129</v>
      </c>
      <c r="G342" s="2" t="n">
        <v>0</v>
      </c>
      <c r="H342" s="2" t="n">
        <v>0</v>
      </c>
      <c r="I342" s="4" t="n">
        <v>2</v>
      </c>
      <c r="J342" s="2" t="n">
        <v>1</v>
      </c>
      <c r="K342" s="2" t="s">
        <v>20</v>
      </c>
      <c r="L342" s="4" t="n">
        <v>5</v>
      </c>
      <c r="M342" s="2" t="n">
        <v>0</v>
      </c>
      <c r="N342" s="2" t="n">
        <v>0</v>
      </c>
      <c r="O342" s="4" t="n">
        <v>3</v>
      </c>
      <c r="Q342" s="2" t="n">
        <v>417</v>
      </c>
      <c r="R342" s="0" t="s">
        <v>423</v>
      </c>
      <c r="S342" s="0" t="s">
        <v>8685</v>
      </c>
    </row>
    <row r="343" customFormat="false" ht="13.8" hidden="false" customHeight="false" outlineLevel="0" collapsed="false">
      <c r="A343" s="0" t="s">
        <v>205</v>
      </c>
      <c r="B343" s="0" t="n">
        <v>32</v>
      </c>
      <c r="C343" s="0" t="s">
        <v>8679</v>
      </c>
      <c r="D343" s="0" t="s">
        <v>644</v>
      </c>
      <c r="E343" s="0" t="s">
        <v>96</v>
      </c>
      <c r="F343" s="4" t="n">
        <v>177</v>
      </c>
      <c r="G343" s="2" t="n">
        <v>0</v>
      </c>
      <c r="H343" s="2" t="n">
        <v>0</v>
      </c>
      <c r="I343" s="4" t="n">
        <v>2</v>
      </c>
      <c r="J343" s="2" t="n">
        <v>0.5</v>
      </c>
      <c r="K343" s="2" t="s">
        <v>20</v>
      </c>
      <c r="L343" s="4" t="n">
        <v>5</v>
      </c>
      <c r="M343" s="2" t="n">
        <v>0</v>
      </c>
      <c r="N343" s="2" t="n">
        <v>0</v>
      </c>
      <c r="O343" s="4" t="n">
        <v>3</v>
      </c>
      <c r="Q343" s="2" t="n">
        <v>420</v>
      </c>
      <c r="R343" s="0" t="s">
        <v>96</v>
      </c>
      <c r="S343" s="0" t="s">
        <v>8686</v>
      </c>
    </row>
    <row r="344" customFormat="false" ht="13.8" hidden="false" customHeight="false" outlineLevel="0" collapsed="false">
      <c r="A344" s="0" t="s">
        <v>211</v>
      </c>
      <c r="B344" s="0" t="n">
        <v>34</v>
      </c>
      <c r="C344" s="0" t="s">
        <v>8687</v>
      </c>
      <c r="D344" s="0" t="s">
        <v>575</v>
      </c>
      <c r="E344" s="0" t="s">
        <v>462</v>
      </c>
      <c r="F344" s="4" t="n">
        <v>170</v>
      </c>
      <c r="G344" s="2" t="n">
        <v>25</v>
      </c>
      <c r="H344" s="2" t="s">
        <v>7</v>
      </c>
      <c r="I344" s="4" t="n">
        <v>2</v>
      </c>
      <c r="J344" s="2" t="n">
        <v>0</v>
      </c>
      <c r="K344" s="2" t="n">
        <v>0</v>
      </c>
      <c r="L344" s="4" t="n">
        <v>1</v>
      </c>
      <c r="M344" s="2" t="n">
        <v>0</v>
      </c>
      <c r="N344" s="2" t="n">
        <v>0</v>
      </c>
      <c r="O344" s="4" t="n">
        <v>3</v>
      </c>
      <c r="Q344" s="2" t="n">
        <v>424</v>
      </c>
      <c r="R344" s="0" t="s">
        <v>462</v>
      </c>
      <c r="S344" s="0" t="s">
        <v>8688</v>
      </c>
    </row>
    <row r="345" customFormat="false" ht="13.8" hidden="false" customHeight="false" outlineLevel="0" collapsed="false">
      <c r="A345" s="0" t="s">
        <v>211</v>
      </c>
      <c r="B345" s="0" t="n">
        <v>34</v>
      </c>
      <c r="C345" s="0" t="s">
        <v>8687</v>
      </c>
      <c r="D345" s="0" t="s">
        <v>645</v>
      </c>
      <c r="E345" s="0" t="s">
        <v>354</v>
      </c>
      <c r="F345" s="4" t="n">
        <v>81</v>
      </c>
      <c r="G345" s="2" t="n">
        <v>0</v>
      </c>
      <c r="H345" s="2" t="n">
        <v>0</v>
      </c>
      <c r="I345" s="4" t="n">
        <v>2</v>
      </c>
      <c r="J345" s="2" t="n">
        <v>4</v>
      </c>
      <c r="K345" s="2" t="s">
        <v>13</v>
      </c>
      <c r="L345" s="4" t="n">
        <v>1</v>
      </c>
      <c r="M345" s="2" t="n">
        <v>0</v>
      </c>
      <c r="N345" s="2" t="n">
        <v>0</v>
      </c>
      <c r="O345" s="4" t="n">
        <v>3</v>
      </c>
      <c r="Q345" s="2" t="n">
        <v>425</v>
      </c>
      <c r="R345" s="0" t="s">
        <v>354</v>
      </c>
      <c r="S345" s="0" t="s">
        <v>8689</v>
      </c>
    </row>
    <row r="346" customFormat="false" ht="13.8" hidden="false" customHeight="false" outlineLevel="0" collapsed="false">
      <c r="A346" s="0" t="s">
        <v>211</v>
      </c>
      <c r="B346" s="0" t="n">
        <v>34</v>
      </c>
      <c r="C346" s="0" t="s">
        <v>8687</v>
      </c>
      <c r="D346" s="0" t="s">
        <v>14</v>
      </c>
      <c r="E346" s="0" t="s">
        <v>398</v>
      </c>
      <c r="F346" s="4" t="n">
        <v>102</v>
      </c>
      <c r="G346" s="2" t="n">
        <v>0</v>
      </c>
      <c r="H346" s="2" t="n">
        <v>0</v>
      </c>
      <c r="I346" s="4" t="n">
        <v>2</v>
      </c>
      <c r="J346" s="2" t="n">
        <v>2</v>
      </c>
      <c r="K346" s="2" t="s">
        <v>13</v>
      </c>
      <c r="L346" s="4" t="n">
        <v>1</v>
      </c>
      <c r="M346" s="2" t="n">
        <v>0</v>
      </c>
      <c r="N346" s="2" t="n">
        <v>0</v>
      </c>
      <c r="O346" s="4" t="n">
        <v>3</v>
      </c>
      <c r="Q346" s="2" t="n">
        <v>426</v>
      </c>
      <c r="R346" s="0" t="s">
        <v>398</v>
      </c>
      <c r="S346" s="0" t="s">
        <v>8690</v>
      </c>
    </row>
    <row r="347" customFormat="false" ht="13.8" hidden="false" customHeight="false" outlineLevel="0" collapsed="false">
      <c r="A347" s="0" t="s">
        <v>211</v>
      </c>
      <c r="B347" s="0" t="n">
        <v>34</v>
      </c>
      <c r="C347" s="0" t="s">
        <v>8687</v>
      </c>
      <c r="D347" s="0" t="s">
        <v>646</v>
      </c>
      <c r="E347" s="0" t="s">
        <v>403</v>
      </c>
      <c r="F347" s="4" t="n">
        <v>108</v>
      </c>
      <c r="G347" s="2" t="n">
        <v>0</v>
      </c>
      <c r="H347" s="2" t="n">
        <v>0</v>
      </c>
      <c r="I347" s="4" t="n">
        <v>2</v>
      </c>
      <c r="J347" s="2" t="n">
        <v>5</v>
      </c>
      <c r="K347" s="2" t="s">
        <v>13</v>
      </c>
      <c r="L347" s="4" t="n">
        <v>1</v>
      </c>
      <c r="M347" s="2" t="n">
        <v>0</v>
      </c>
      <c r="N347" s="2" t="n">
        <v>0</v>
      </c>
      <c r="O347" s="4" t="n">
        <v>3</v>
      </c>
      <c r="Q347" s="2" t="n">
        <v>427</v>
      </c>
      <c r="R347" s="0" t="s">
        <v>403</v>
      </c>
      <c r="S347" s="0" t="s">
        <v>8691</v>
      </c>
    </row>
    <row r="348" customFormat="false" ht="13.8" hidden="false" customHeight="false" outlineLevel="0" collapsed="false">
      <c r="A348" s="0" t="s">
        <v>211</v>
      </c>
      <c r="B348" s="0" t="n">
        <v>34</v>
      </c>
      <c r="C348" s="0" t="s">
        <v>8687</v>
      </c>
      <c r="D348" s="0" t="s">
        <v>69</v>
      </c>
      <c r="E348" s="0" t="s">
        <v>386</v>
      </c>
      <c r="F348" s="4" t="n">
        <v>93</v>
      </c>
      <c r="G348" s="2" t="n">
        <v>0</v>
      </c>
      <c r="H348" s="2" t="n">
        <v>0</v>
      </c>
      <c r="I348" s="4" t="n">
        <v>2</v>
      </c>
      <c r="J348" s="2" t="n">
        <v>1</v>
      </c>
      <c r="K348" s="2" t="s">
        <v>13</v>
      </c>
      <c r="L348" s="4" t="n">
        <v>1</v>
      </c>
      <c r="M348" s="2" t="n">
        <v>0</v>
      </c>
      <c r="N348" s="2" t="n">
        <v>0</v>
      </c>
      <c r="O348" s="4" t="n">
        <v>3</v>
      </c>
      <c r="Q348" s="2" t="n">
        <v>428</v>
      </c>
      <c r="R348" s="0" t="s">
        <v>386</v>
      </c>
      <c r="S348" s="0" t="s">
        <v>8692</v>
      </c>
    </row>
    <row r="349" customFormat="false" ht="13.8" hidden="false" customHeight="false" outlineLevel="0" collapsed="false">
      <c r="A349" s="0" t="s">
        <v>211</v>
      </c>
      <c r="B349" s="0" t="n">
        <v>34</v>
      </c>
      <c r="C349" s="0" t="s">
        <v>8687</v>
      </c>
      <c r="D349" s="0" t="s">
        <v>75</v>
      </c>
      <c r="E349" s="0" t="s">
        <v>309</v>
      </c>
      <c r="F349" s="4" t="n">
        <v>66</v>
      </c>
      <c r="G349" s="2" t="n">
        <v>0</v>
      </c>
      <c r="H349" s="2" t="n">
        <v>0</v>
      </c>
      <c r="I349" s="4" t="n">
        <v>2</v>
      </c>
      <c r="J349" s="2" t="n">
        <v>10</v>
      </c>
      <c r="K349" s="2" t="s">
        <v>13</v>
      </c>
      <c r="L349" s="4" t="n">
        <v>1</v>
      </c>
      <c r="M349" s="2" t="n">
        <v>0</v>
      </c>
      <c r="N349" s="2" t="n">
        <v>0</v>
      </c>
      <c r="O349" s="4" t="n">
        <v>3</v>
      </c>
      <c r="Q349" s="2" t="n">
        <v>429</v>
      </c>
      <c r="R349" s="0" t="s">
        <v>309</v>
      </c>
      <c r="S349" s="0" t="s">
        <v>8693</v>
      </c>
    </row>
    <row r="350" customFormat="false" ht="13.8" hidden="false" customHeight="false" outlineLevel="0" collapsed="false">
      <c r="A350" s="0" t="s">
        <v>211</v>
      </c>
      <c r="B350" s="0" t="n">
        <v>34</v>
      </c>
      <c r="C350" s="0" t="s">
        <v>8687</v>
      </c>
      <c r="D350" s="0" t="s">
        <v>32</v>
      </c>
      <c r="E350" s="0" t="s">
        <v>96</v>
      </c>
      <c r="F350" s="4" t="n">
        <v>177</v>
      </c>
      <c r="G350" s="2" t="n">
        <v>0</v>
      </c>
      <c r="H350" s="2" t="n">
        <v>0</v>
      </c>
      <c r="I350" s="4" t="n">
        <v>2</v>
      </c>
      <c r="J350" s="2" t="n">
        <v>5</v>
      </c>
      <c r="K350" s="2" t="s">
        <v>20</v>
      </c>
      <c r="L350" s="4" t="n">
        <v>5</v>
      </c>
      <c r="M350" s="2" t="n">
        <v>0</v>
      </c>
      <c r="N350" s="2" t="n">
        <v>0</v>
      </c>
      <c r="O350" s="4" t="n">
        <v>3</v>
      </c>
      <c r="Q350" s="2" t="n">
        <v>430</v>
      </c>
      <c r="R350" s="0" t="s">
        <v>96</v>
      </c>
      <c r="S350" s="0" t="s">
        <v>8694</v>
      </c>
    </row>
    <row r="351" customFormat="false" ht="13.8" hidden="false" customHeight="false" outlineLevel="0" collapsed="false">
      <c r="A351" s="0" t="s">
        <v>244</v>
      </c>
      <c r="B351" s="0" t="n">
        <v>45</v>
      </c>
      <c r="C351" s="0" t="s">
        <v>8695</v>
      </c>
      <c r="D351" s="0" t="s">
        <v>647</v>
      </c>
      <c r="E351" s="0" t="s">
        <v>435</v>
      </c>
      <c r="F351" s="4" t="n">
        <v>141</v>
      </c>
      <c r="G351" s="2" t="n">
        <v>6.3</v>
      </c>
      <c r="H351" s="2" t="s">
        <v>7</v>
      </c>
      <c r="I351" s="4" t="n">
        <v>2</v>
      </c>
      <c r="J351" s="2" t="n">
        <v>0</v>
      </c>
      <c r="K351" s="2" t="n">
        <v>0</v>
      </c>
      <c r="L351" s="4" t="n">
        <v>1</v>
      </c>
      <c r="M351" s="2" t="n">
        <v>0</v>
      </c>
      <c r="N351" s="2" t="n">
        <v>0</v>
      </c>
      <c r="O351" s="4" t="n">
        <v>3</v>
      </c>
      <c r="Q351" s="2" t="n">
        <v>434</v>
      </c>
      <c r="R351" s="0" t="s">
        <v>435</v>
      </c>
      <c r="S351" s="0" t="s">
        <v>8696</v>
      </c>
    </row>
    <row r="352" customFormat="false" ht="13.8" hidden="false" customHeight="false" outlineLevel="0" collapsed="false">
      <c r="A352" s="0" t="s">
        <v>244</v>
      </c>
      <c r="B352" s="0" t="n">
        <v>45</v>
      </c>
      <c r="C352" s="0" t="s">
        <v>8695</v>
      </c>
      <c r="D352" s="0" t="s">
        <v>22</v>
      </c>
      <c r="E352" s="0" t="s">
        <v>354</v>
      </c>
      <c r="F352" s="4" t="n">
        <v>81</v>
      </c>
      <c r="G352" s="2" t="n">
        <v>0</v>
      </c>
      <c r="H352" s="2" t="n">
        <v>0</v>
      </c>
      <c r="I352" s="4" t="n">
        <v>2</v>
      </c>
      <c r="J352" s="2" t="n">
        <v>1</v>
      </c>
      <c r="K352" s="2" t="s">
        <v>13</v>
      </c>
      <c r="L352" s="4" t="n">
        <v>1</v>
      </c>
      <c r="M352" s="2" t="n">
        <v>0</v>
      </c>
      <c r="N352" s="2" t="n">
        <v>0</v>
      </c>
      <c r="O352" s="4" t="n">
        <v>3</v>
      </c>
      <c r="Q352" s="2" t="n">
        <v>435</v>
      </c>
      <c r="R352" s="0" t="s">
        <v>354</v>
      </c>
      <c r="S352" s="0" t="s">
        <v>8697</v>
      </c>
    </row>
    <row r="353" customFormat="false" ht="13.8" hidden="false" customHeight="false" outlineLevel="0" collapsed="false">
      <c r="A353" s="0" t="s">
        <v>244</v>
      </c>
      <c r="B353" s="0" t="n">
        <v>45</v>
      </c>
      <c r="C353" s="0" t="s">
        <v>8695</v>
      </c>
      <c r="D353" s="0" t="s">
        <v>14</v>
      </c>
      <c r="E353" s="0" t="s">
        <v>398</v>
      </c>
      <c r="F353" s="4" t="n">
        <v>102</v>
      </c>
      <c r="G353" s="2" t="n">
        <v>0</v>
      </c>
      <c r="H353" s="2" t="n">
        <v>0</v>
      </c>
      <c r="I353" s="4" t="n">
        <v>2</v>
      </c>
      <c r="J353" s="2" t="n">
        <v>0.6</v>
      </c>
      <c r="K353" s="2" t="s">
        <v>20</v>
      </c>
      <c r="L353" s="4" t="n">
        <v>5</v>
      </c>
      <c r="M353" s="2" t="n">
        <v>0</v>
      </c>
      <c r="N353" s="2" t="n">
        <v>0</v>
      </c>
      <c r="O353" s="4" t="n">
        <v>3</v>
      </c>
      <c r="Q353" s="2" t="n">
        <v>436</v>
      </c>
      <c r="R353" s="0" t="s">
        <v>398</v>
      </c>
      <c r="S353" s="0" t="s">
        <v>8698</v>
      </c>
    </row>
    <row r="354" customFormat="false" ht="13.8" hidden="false" customHeight="false" outlineLevel="0" collapsed="false">
      <c r="A354" s="0" t="s">
        <v>244</v>
      </c>
      <c r="B354" s="0" t="n">
        <v>45</v>
      </c>
      <c r="C354" s="0" t="s">
        <v>8695</v>
      </c>
      <c r="D354" s="0" t="s">
        <v>15</v>
      </c>
      <c r="E354" s="0" t="s">
        <v>386</v>
      </c>
      <c r="F354" s="4" t="n">
        <v>93</v>
      </c>
      <c r="G354" s="2" t="n">
        <v>0</v>
      </c>
      <c r="H354" s="2" t="n">
        <v>0</v>
      </c>
      <c r="I354" s="4" t="n">
        <v>2</v>
      </c>
      <c r="J354" s="2" t="n">
        <v>0.8</v>
      </c>
      <c r="K354" s="2" t="s">
        <v>20</v>
      </c>
      <c r="L354" s="4" t="n">
        <v>5</v>
      </c>
      <c r="M354" s="2" t="n">
        <v>0</v>
      </c>
      <c r="N354" s="2" t="n">
        <v>0</v>
      </c>
      <c r="O354" s="4" t="n">
        <v>3</v>
      </c>
      <c r="Q354" s="2" t="n">
        <v>437</v>
      </c>
      <c r="R354" s="0" t="s">
        <v>386</v>
      </c>
      <c r="S354" s="0" t="s">
        <v>8699</v>
      </c>
    </row>
    <row r="355" customFormat="false" ht="13.8" hidden="false" customHeight="false" outlineLevel="0" collapsed="false">
      <c r="A355" s="0" t="s">
        <v>244</v>
      </c>
      <c r="B355" s="0" t="n">
        <v>45</v>
      </c>
      <c r="C355" s="0" t="s">
        <v>8695</v>
      </c>
      <c r="D355" s="0" t="s">
        <v>18</v>
      </c>
      <c r="E355" s="0" t="s">
        <v>102</v>
      </c>
      <c r="F355" s="4" t="n">
        <v>1</v>
      </c>
      <c r="G355" s="2" t="n">
        <v>0</v>
      </c>
      <c r="H355" s="2" t="n">
        <v>0</v>
      </c>
      <c r="I355" s="4" t="n">
        <v>2</v>
      </c>
      <c r="J355" s="2" t="n">
        <v>0.4</v>
      </c>
      <c r="K355" s="2" t="s">
        <v>13</v>
      </c>
      <c r="L355" s="4" t="n">
        <v>1</v>
      </c>
      <c r="M355" s="2" t="n">
        <v>0</v>
      </c>
      <c r="N355" s="2" t="n">
        <v>0</v>
      </c>
      <c r="O355" s="4" t="n">
        <v>3</v>
      </c>
      <c r="Q355" s="2" t="n">
        <v>438</v>
      </c>
      <c r="R355" s="0" t="s">
        <v>102</v>
      </c>
      <c r="S355" s="0" t="s">
        <v>8700</v>
      </c>
    </row>
    <row r="356" customFormat="false" ht="13.8" hidden="false" customHeight="false" outlineLevel="0" collapsed="false">
      <c r="A356" s="0" t="s">
        <v>244</v>
      </c>
      <c r="B356" s="0" t="n">
        <v>45</v>
      </c>
      <c r="C356" s="0" t="s">
        <v>8695</v>
      </c>
      <c r="D356" s="0" t="s">
        <v>21</v>
      </c>
      <c r="E356" s="0" t="s">
        <v>485</v>
      </c>
      <c r="F356" s="4" t="n">
        <v>195</v>
      </c>
      <c r="G356" s="2" t="n">
        <v>4</v>
      </c>
      <c r="H356" s="2" t="s">
        <v>7</v>
      </c>
      <c r="I356" s="4" t="n">
        <v>2</v>
      </c>
      <c r="J356" s="2" t="n">
        <v>0</v>
      </c>
      <c r="K356" s="2" t="n">
        <v>0</v>
      </c>
      <c r="L356" s="4" t="n">
        <v>1</v>
      </c>
      <c r="M356" s="2" t="n">
        <v>0</v>
      </c>
      <c r="N356" s="2" t="n">
        <v>0</v>
      </c>
      <c r="O356" s="4" t="n">
        <v>3</v>
      </c>
      <c r="Q356" s="2" t="n">
        <v>439</v>
      </c>
      <c r="R356" s="0" t="s">
        <v>485</v>
      </c>
      <c r="S356" s="0" t="s">
        <v>8701</v>
      </c>
    </row>
    <row r="357" customFormat="false" ht="13.8" hidden="false" customHeight="false" outlineLevel="0" collapsed="false">
      <c r="A357" s="0" t="s">
        <v>244</v>
      </c>
      <c r="B357" s="0" t="n">
        <v>45</v>
      </c>
      <c r="C357" s="0" t="s">
        <v>8695</v>
      </c>
      <c r="D357" s="0" t="s">
        <v>648</v>
      </c>
      <c r="E357" s="0" t="s">
        <v>429</v>
      </c>
      <c r="F357" s="4" t="n">
        <v>135</v>
      </c>
      <c r="G357" s="2" t="n">
        <v>0</v>
      </c>
      <c r="H357" s="2" t="n">
        <v>0</v>
      </c>
      <c r="I357" s="4" t="n">
        <v>2</v>
      </c>
      <c r="J357" s="2" t="n">
        <v>0.16</v>
      </c>
      <c r="K357" s="2" t="s">
        <v>20</v>
      </c>
      <c r="L357" s="4" t="n">
        <v>5</v>
      </c>
      <c r="M357" s="2" t="n">
        <v>0</v>
      </c>
      <c r="N357" s="2" t="n">
        <v>0</v>
      </c>
      <c r="O357" s="4" t="n">
        <v>3</v>
      </c>
      <c r="Q357" s="2" t="n">
        <v>440</v>
      </c>
      <c r="R357" s="0" t="s">
        <v>429</v>
      </c>
      <c r="S357" s="0" t="s">
        <v>8702</v>
      </c>
    </row>
    <row r="358" customFormat="false" ht="13.8" hidden="false" customHeight="false" outlineLevel="0" collapsed="false">
      <c r="A358" s="0" t="s">
        <v>244</v>
      </c>
      <c r="B358" s="0" t="n">
        <v>45</v>
      </c>
      <c r="C358" s="0" t="s">
        <v>8695</v>
      </c>
      <c r="D358" s="0" t="s">
        <v>564</v>
      </c>
      <c r="E358" s="0" t="s">
        <v>382</v>
      </c>
      <c r="F358" s="4" t="n">
        <v>91</v>
      </c>
      <c r="G358" s="2" t="n">
        <v>0</v>
      </c>
      <c r="H358" s="2" t="n">
        <v>0</v>
      </c>
      <c r="I358" s="4" t="n">
        <v>2</v>
      </c>
      <c r="J358" s="2" t="n">
        <v>0.56</v>
      </c>
      <c r="K358" s="2" t="s">
        <v>20</v>
      </c>
      <c r="L358" s="4" t="n">
        <v>5</v>
      </c>
      <c r="M358" s="2" t="n">
        <v>0</v>
      </c>
      <c r="N358" s="2" t="n">
        <v>0</v>
      </c>
      <c r="O358" s="4" t="n">
        <v>3</v>
      </c>
      <c r="Q358" s="2" t="n">
        <v>441</v>
      </c>
      <c r="R358" s="0" t="s">
        <v>382</v>
      </c>
      <c r="S358" s="0" t="s">
        <v>8703</v>
      </c>
    </row>
    <row r="359" customFormat="false" ht="13.8" hidden="false" customHeight="false" outlineLevel="0" collapsed="false">
      <c r="A359" s="0" t="s">
        <v>244</v>
      </c>
      <c r="B359" s="0" t="n">
        <v>45</v>
      </c>
      <c r="C359" s="0" t="s">
        <v>8695</v>
      </c>
      <c r="D359" s="0" t="s">
        <v>71</v>
      </c>
      <c r="E359" s="0" t="s">
        <v>96</v>
      </c>
      <c r="F359" s="4" t="n">
        <v>177</v>
      </c>
      <c r="G359" s="2" t="n">
        <v>0</v>
      </c>
      <c r="H359" s="2" t="n">
        <v>0</v>
      </c>
      <c r="I359" s="4" t="n">
        <v>2</v>
      </c>
      <c r="J359" s="2" t="n">
        <v>0.8</v>
      </c>
      <c r="K359" s="2" t="s">
        <v>20</v>
      </c>
      <c r="L359" s="4" t="n">
        <v>5</v>
      </c>
      <c r="M359" s="2" t="n">
        <v>0</v>
      </c>
      <c r="N359" s="2" t="n">
        <v>0</v>
      </c>
      <c r="O359" s="4" t="n">
        <v>3</v>
      </c>
      <c r="Q359" s="2" t="n">
        <v>442</v>
      </c>
      <c r="R359" s="0" t="s">
        <v>96</v>
      </c>
      <c r="S359" s="0" t="s">
        <v>8704</v>
      </c>
    </row>
    <row r="360" customFormat="false" ht="13.8" hidden="false" customHeight="false" outlineLevel="0" collapsed="false">
      <c r="A360" s="0" t="s">
        <v>244</v>
      </c>
      <c r="B360" s="0" t="n">
        <v>45</v>
      </c>
      <c r="C360" s="0" t="s">
        <v>8695</v>
      </c>
      <c r="D360" s="0" t="s">
        <v>649</v>
      </c>
      <c r="E360" s="0" t="s">
        <v>501</v>
      </c>
      <c r="F360" s="4" t="n">
        <v>212</v>
      </c>
      <c r="G360" s="2" t="n">
        <v>0</v>
      </c>
      <c r="H360" s="2" t="s">
        <v>7</v>
      </c>
      <c r="I360" s="4" t="n">
        <v>2</v>
      </c>
      <c r="J360" s="2" t="n">
        <v>0</v>
      </c>
      <c r="K360" s="2" t="n">
        <v>0</v>
      </c>
      <c r="L360" s="4" t="n">
        <v>1</v>
      </c>
      <c r="M360" s="2" t="n">
        <v>0</v>
      </c>
      <c r="N360" s="2" t="n">
        <v>0</v>
      </c>
      <c r="O360" s="4" t="n">
        <v>3</v>
      </c>
      <c r="Q360" s="2" t="n">
        <v>443</v>
      </c>
      <c r="R360" s="0" t="s">
        <v>501</v>
      </c>
      <c r="S360" s="0" t="s">
        <v>8705</v>
      </c>
    </row>
    <row r="361" customFormat="false" ht="13.8" hidden="false" customHeight="false" outlineLevel="0" collapsed="false">
      <c r="A361" s="0" t="s">
        <v>244</v>
      </c>
      <c r="B361" s="0" t="n">
        <v>45</v>
      </c>
      <c r="C361" s="0" t="s">
        <v>8695</v>
      </c>
      <c r="D361" s="0" t="s">
        <v>645</v>
      </c>
      <c r="E361" s="0" t="s">
        <v>354</v>
      </c>
      <c r="F361" s="4" t="n">
        <v>81</v>
      </c>
      <c r="G361" s="2" t="n">
        <v>0</v>
      </c>
      <c r="H361" s="2" t="n">
        <v>0</v>
      </c>
      <c r="I361" s="4" t="n">
        <v>2</v>
      </c>
      <c r="J361" s="2" t="n">
        <v>0.5</v>
      </c>
      <c r="K361" s="2" t="s">
        <v>13</v>
      </c>
      <c r="L361" s="4" t="n">
        <v>1</v>
      </c>
      <c r="M361" s="2" t="n">
        <v>0</v>
      </c>
      <c r="N361" s="2" t="n">
        <v>0</v>
      </c>
      <c r="O361" s="4" t="n">
        <v>3</v>
      </c>
      <c r="Q361" s="2" t="n">
        <v>444</v>
      </c>
      <c r="R361" s="0" t="s">
        <v>354</v>
      </c>
      <c r="S361" s="0" t="s">
        <v>8706</v>
      </c>
    </row>
    <row r="362" customFormat="false" ht="13.8" hidden="false" customHeight="false" outlineLevel="0" collapsed="false">
      <c r="A362" s="0" t="s">
        <v>244</v>
      </c>
      <c r="B362" s="0" t="n">
        <v>45</v>
      </c>
      <c r="C362" s="0" t="s">
        <v>8695</v>
      </c>
      <c r="D362" s="0" t="s">
        <v>570</v>
      </c>
      <c r="E362" s="0" t="s">
        <v>456</v>
      </c>
      <c r="F362" s="4" t="n">
        <v>164</v>
      </c>
      <c r="G362" s="2" t="n">
        <v>0</v>
      </c>
      <c r="H362" s="2" t="n">
        <v>0</v>
      </c>
      <c r="I362" s="4" t="n">
        <v>2</v>
      </c>
      <c r="J362" s="2" t="n">
        <v>0.8</v>
      </c>
      <c r="K362" s="2" t="s">
        <v>20</v>
      </c>
      <c r="L362" s="4" t="n">
        <v>5</v>
      </c>
      <c r="M362" s="2" t="n">
        <v>0</v>
      </c>
      <c r="N362" s="2" t="n">
        <v>0</v>
      </c>
      <c r="O362" s="4" t="n">
        <v>3</v>
      </c>
      <c r="Q362" s="2" t="n">
        <v>445</v>
      </c>
      <c r="R362" s="0" t="s">
        <v>456</v>
      </c>
      <c r="S362" s="0" t="s">
        <v>8707</v>
      </c>
    </row>
    <row r="363" customFormat="false" ht="13.8" hidden="false" customHeight="false" outlineLevel="0" collapsed="false">
      <c r="A363" s="0" t="s">
        <v>244</v>
      </c>
      <c r="B363" s="0" t="n">
        <v>45</v>
      </c>
      <c r="C363" s="0" t="s">
        <v>8695</v>
      </c>
      <c r="D363" s="0" t="s">
        <v>16</v>
      </c>
      <c r="E363" s="0" t="s">
        <v>429</v>
      </c>
      <c r="F363" s="4" t="n">
        <v>135</v>
      </c>
      <c r="G363" s="2" t="n">
        <v>0</v>
      </c>
      <c r="H363" s="2" t="n">
        <v>0</v>
      </c>
      <c r="I363" s="4" t="n">
        <v>2</v>
      </c>
      <c r="J363" s="2" t="n">
        <v>0.8</v>
      </c>
      <c r="K363" s="2" t="s">
        <v>20</v>
      </c>
      <c r="L363" s="4" t="n">
        <v>5</v>
      </c>
      <c r="M363" s="2" t="n">
        <v>0</v>
      </c>
      <c r="N363" s="2" t="n">
        <v>0</v>
      </c>
      <c r="O363" s="4" t="n">
        <v>3</v>
      </c>
      <c r="Q363" s="2" t="n">
        <v>446</v>
      </c>
      <c r="R363" s="0" t="s">
        <v>429</v>
      </c>
      <c r="S363" s="0" t="s">
        <v>8708</v>
      </c>
    </row>
    <row r="364" customFormat="false" ht="13.8" hidden="false" customHeight="false" outlineLevel="0" collapsed="false">
      <c r="A364" s="0" t="s">
        <v>244</v>
      </c>
      <c r="B364" s="0" t="n">
        <v>45</v>
      </c>
      <c r="C364" s="0" t="s">
        <v>8695</v>
      </c>
      <c r="D364" s="0" t="s">
        <v>650</v>
      </c>
      <c r="E364" s="0" t="s">
        <v>391</v>
      </c>
      <c r="F364" s="4" t="n">
        <v>95</v>
      </c>
      <c r="G364" s="2" t="n">
        <v>0</v>
      </c>
      <c r="H364" s="2" t="n">
        <v>0</v>
      </c>
      <c r="I364" s="4" t="n">
        <v>2</v>
      </c>
      <c r="J364" s="2" t="n">
        <v>0.4</v>
      </c>
      <c r="K364" s="2" t="s">
        <v>20</v>
      </c>
      <c r="L364" s="4" t="n">
        <v>5</v>
      </c>
      <c r="M364" s="2" t="n">
        <v>0</v>
      </c>
      <c r="N364" s="2" t="n">
        <v>0</v>
      </c>
      <c r="O364" s="4" t="n">
        <v>3</v>
      </c>
      <c r="Q364" s="2" t="n">
        <v>447</v>
      </c>
      <c r="R364" s="0" t="s">
        <v>391</v>
      </c>
      <c r="S364" s="0" t="s">
        <v>8709</v>
      </c>
    </row>
    <row r="365" customFormat="false" ht="13.8" hidden="false" customHeight="false" outlineLevel="0" collapsed="false">
      <c r="A365" s="0" t="s">
        <v>244</v>
      </c>
      <c r="B365" s="0" t="n">
        <v>45</v>
      </c>
      <c r="C365" s="0" t="s">
        <v>8695</v>
      </c>
      <c r="D365" s="0" t="s">
        <v>651</v>
      </c>
      <c r="E365" s="0" t="s">
        <v>38</v>
      </c>
      <c r="F365" s="4" t="n">
        <v>105</v>
      </c>
      <c r="G365" s="2" t="n">
        <v>0</v>
      </c>
      <c r="H365" s="2" t="n">
        <v>0</v>
      </c>
      <c r="I365" s="4" t="n">
        <v>2</v>
      </c>
      <c r="J365" s="2" t="n">
        <v>0.8</v>
      </c>
      <c r="K365" s="2" t="s">
        <v>13</v>
      </c>
      <c r="L365" s="4" t="n">
        <v>1</v>
      </c>
      <c r="M365" s="2" t="n">
        <v>0</v>
      </c>
      <c r="N365" s="2" t="n">
        <v>0</v>
      </c>
      <c r="O365" s="4" t="n">
        <v>3</v>
      </c>
      <c r="Q365" s="2" t="n">
        <v>448</v>
      </c>
      <c r="R365" s="0" t="s">
        <v>38</v>
      </c>
      <c r="S365" s="0" t="s">
        <v>8710</v>
      </c>
    </row>
    <row r="366" customFormat="false" ht="13.8" hidden="false" customHeight="false" outlineLevel="0" collapsed="false">
      <c r="A366" s="0" t="s">
        <v>244</v>
      </c>
      <c r="B366" s="0" t="n">
        <v>45</v>
      </c>
      <c r="C366" s="0" t="s">
        <v>8695</v>
      </c>
      <c r="D366" s="0" t="s">
        <v>652</v>
      </c>
      <c r="E366" s="0" t="s">
        <v>309</v>
      </c>
      <c r="F366" s="4" t="n">
        <v>66</v>
      </c>
      <c r="G366" s="2" t="n">
        <v>0</v>
      </c>
      <c r="H366" s="2" t="n">
        <v>0</v>
      </c>
      <c r="I366" s="4" t="n">
        <v>2</v>
      </c>
      <c r="J366" s="2" t="n">
        <v>0.8</v>
      </c>
      <c r="K366" s="2" t="s">
        <v>13</v>
      </c>
      <c r="L366" s="4" t="n">
        <v>1</v>
      </c>
      <c r="M366" s="2" t="n">
        <v>0</v>
      </c>
      <c r="N366" s="2" t="n">
        <v>0</v>
      </c>
      <c r="O366" s="4" t="n">
        <v>3</v>
      </c>
      <c r="Q366" s="2" t="n">
        <v>449</v>
      </c>
      <c r="R366" s="0" t="s">
        <v>309</v>
      </c>
      <c r="S366" s="0" t="s">
        <v>8711</v>
      </c>
    </row>
    <row r="367" customFormat="false" ht="13.8" hidden="false" customHeight="false" outlineLevel="0" collapsed="false">
      <c r="A367" s="0" t="s">
        <v>244</v>
      </c>
      <c r="B367" s="0" t="n">
        <v>45</v>
      </c>
      <c r="C367" s="0" t="s">
        <v>8695</v>
      </c>
      <c r="D367" s="0" t="s">
        <v>25</v>
      </c>
      <c r="E367" s="0" t="s">
        <v>399</v>
      </c>
      <c r="F367" s="4" t="n">
        <v>103</v>
      </c>
      <c r="G367" s="2" t="n">
        <v>0</v>
      </c>
      <c r="H367" s="2" t="n">
        <v>0</v>
      </c>
      <c r="I367" s="4" t="n">
        <v>2</v>
      </c>
      <c r="J367" s="2" t="n">
        <v>1.2</v>
      </c>
      <c r="K367" s="2" t="s">
        <v>20</v>
      </c>
      <c r="L367" s="4" t="n">
        <v>5</v>
      </c>
      <c r="M367" s="2" t="n">
        <v>0</v>
      </c>
      <c r="N367" s="2" t="n">
        <v>0</v>
      </c>
      <c r="O367" s="4" t="n">
        <v>3</v>
      </c>
      <c r="Q367" s="2" t="n">
        <v>450</v>
      </c>
      <c r="R367" s="0" t="s">
        <v>399</v>
      </c>
      <c r="S367" s="0" t="s">
        <v>8712</v>
      </c>
    </row>
    <row r="368" customFormat="false" ht="13.8" hidden="false" customHeight="false" outlineLevel="0" collapsed="false">
      <c r="A368" s="0" t="s">
        <v>244</v>
      </c>
      <c r="B368" s="0" t="n">
        <v>45</v>
      </c>
      <c r="C368" s="0" t="s">
        <v>8695</v>
      </c>
      <c r="D368" s="0" t="s">
        <v>653</v>
      </c>
      <c r="E368" s="0" t="s">
        <v>312</v>
      </c>
      <c r="F368" s="4" t="n">
        <v>67</v>
      </c>
      <c r="G368" s="2" t="n">
        <v>0</v>
      </c>
      <c r="H368" s="2" t="n">
        <v>0</v>
      </c>
      <c r="I368" s="4" t="n">
        <v>2</v>
      </c>
      <c r="J368" s="2" t="n">
        <v>1.2</v>
      </c>
      <c r="K368" s="2" t="s">
        <v>20</v>
      </c>
      <c r="L368" s="4" t="n">
        <v>5</v>
      </c>
      <c r="M368" s="2" t="n">
        <v>0</v>
      </c>
      <c r="N368" s="2" t="n">
        <v>0</v>
      </c>
      <c r="O368" s="4" t="n">
        <v>3</v>
      </c>
      <c r="Q368" s="2" t="n">
        <v>451</v>
      </c>
      <c r="R368" s="0" t="s">
        <v>312</v>
      </c>
      <c r="S368" s="0" t="s">
        <v>8713</v>
      </c>
    </row>
    <row r="369" customFormat="false" ht="13.8" hidden="false" customHeight="false" outlineLevel="0" collapsed="false">
      <c r="A369" s="0" t="s">
        <v>244</v>
      </c>
      <c r="B369" s="0" t="n">
        <v>45</v>
      </c>
      <c r="C369" s="0" t="s">
        <v>8695</v>
      </c>
      <c r="D369" s="0" t="s">
        <v>654</v>
      </c>
      <c r="E369" s="0" t="s">
        <v>333</v>
      </c>
      <c r="F369" s="4" t="n">
        <v>74</v>
      </c>
      <c r="G369" s="2" t="n">
        <v>0</v>
      </c>
      <c r="H369" s="2" t="n">
        <v>0</v>
      </c>
      <c r="I369" s="4" t="n">
        <v>2</v>
      </c>
      <c r="J369" s="2" t="n">
        <v>1</v>
      </c>
      <c r="K369" s="2" t="s">
        <v>20</v>
      </c>
      <c r="L369" s="4" t="n">
        <v>5</v>
      </c>
      <c r="M369" s="2" t="n">
        <v>0</v>
      </c>
      <c r="N369" s="2" t="n">
        <v>0</v>
      </c>
      <c r="O369" s="4" t="n">
        <v>3</v>
      </c>
      <c r="Q369" s="2" t="n">
        <v>452</v>
      </c>
      <c r="R369" s="0" t="s">
        <v>333</v>
      </c>
      <c r="S369" s="0" t="s">
        <v>8714</v>
      </c>
    </row>
    <row r="370" customFormat="false" ht="13.8" hidden="false" customHeight="false" outlineLevel="0" collapsed="false">
      <c r="A370" s="0" t="s">
        <v>244</v>
      </c>
      <c r="B370" s="0" t="n">
        <v>45</v>
      </c>
      <c r="C370" s="0" t="s">
        <v>8695</v>
      </c>
      <c r="D370" s="0" t="s">
        <v>557</v>
      </c>
      <c r="E370" s="0" t="s">
        <v>423</v>
      </c>
      <c r="F370" s="4" t="n">
        <v>129</v>
      </c>
      <c r="G370" s="2" t="n">
        <v>0</v>
      </c>
      <c r="H370" s="2" t="n">
        <v>0</v>
      </c>
      <c r="I370" s="4" t="n">
        <v>2</v>
      </c>
      <c r="J370" s="2" t="n">
        <v>0.75</v>
      </c>
      <c r="K370" s="2" t="s">
        <v>20</v>
      </c>
      <c r="L370" s="4" t="n">
        <v>5</v>
      </c>
      <c r="M370" s="2" t="n">
        <v>0</v>
      </c>
      <c r="N370" s="2" t="n">
        <v>0</v>
      </c>
      <c r="O370" s="4" t="n">
        <v>3</v>
      </c>
      <c r="Q370" s="2" t="n">
        <v>453</v>
      </c>
      <c r="R370" s="0" t="s">
        <v>423</v>
      </c>
      <c r="S370" s="0" t="s">
        <v>8715</v>
      </c>
    </row>
    <row r="371" customFormat="false" ht="13.8" hidden="false" customHeight="false" outlineLevel="0" collapsed="false">
      <c r="A371" s="0" t="s">
        <v>128</v>
      </c>
      <c r="B371" s="0" t="n">
        <v>8</v>
      </c>
      <c r="C371" s="0" t="s">
        <v>8716</v>
      </c>
      <c r="D371" s="0" t="s">
        <v>655</v>
      </c>
      <c r="E371" s="0" t="s">
        <v>192</v>
      </c>
      <c r="F371" s="4" t="n">
        <v>27</v>
      </c>
      <c r="G371" s="2" t="n">
        <v>25</v>
      </c>
      <c r="H371" s="2" t="s">
        <v>7</v>
      </c>
      <c r="I371" s="4" t="n">
        <v>2</v>
      </c>
      <c r="J371" s="2" t="n">
        <v>43</v>
      </c>
      <c r="K371" s="2" t="s">
        <v>13</v>
      </c>
      <c r="L371" s="4" t="n">
        <v>1</v>
      </c>
      <c r="M371" s="2" t="n">
        <v>0</v>
      </c>
      <c r="N371" s="2" t="n">
        <v>0</v>
      </c>
      <c r="O371" s="4" t="n">
        <v>3</v>
      </c>
      <c r="Q371" s="2" t="n">
        <v>458</v>
      </c>
      <c r="R371" s="0" t="s">
        <v>192</v>
      </c>
      <c r="S371" s="0" t="s">
        <v>8717</v>
      </c>
    </row>
    <row r="372" customFormat="false" ht="13.8" hidden="false" customHeight="false" outlineLevel="0" collapsed="false">
      <c r="A372" s="0" t="s">
        <v>128</v>
      </c>
      <c r="B372" s="0" t="n">
        <v>8</v>
      </c>
      <c r="C372" s="0" t="s">
        <v>8716</v>
      </c>
      <c r="D372" s="0" t="s">
        <v>619</v>
      </c>
      <c r="E372" s="0" t="s">
        <v>183</v>
      </c>
      <c r="F372" s="4" t="n">
        <v>24</v>
      </c>
      <c r="G372" s="2" t="n">
        <v>1</v>
      </c>
      <c r="H372" s="2" t="s">
        <v>7</v>
      </c>
      <c r="I372" s="4" t="n">
        <v>2</v>
      </c>
      <c r="J372" s="2" t="n">
        <v>0</v>
      </c>
      <c r="K372" s="2" t="n">
        <v>0</v>
      </c>
      <c r="L372" s="4" t="n">
        <v>1</v>
      </c>
      <c r="M372" s="2" t="n">
        <v>0</v>
      </c>
      <c r="N372" s="2" t="n">
        <v>0</v>
      </c>
      <c r="O372" s="4" t="n">
        <v>3</v>
      </c>
      <c r="Q372" s="2" t="n">
        <v>461</v>
      </c>
      <c r="R372" s="0" t="s">
        <v>183</v>
      </c>
      <c r="S372" s="0" t="s">
        <v>8718</v>
      </c>
    </row>
    <row r="373" customFormat="false" ht="13.8" hidden="false" customHeight="false" outlineLevel="0" collapsed="false">
      <c r="A373" s="0" t="s">
        <v>128</v>
      </c>
      <c r="B373" s="0" t="n">
        <v>8</v>
      </c>
      <c r="C373" s="0" t="s">
        <v>8716</v>
      </c>
      <c r="D373" s="0" t="s">
        <v>54</v>
      </c>
      <c r="E373" s="0" t="s">
        <v>204</v>
      </c>
      <c r="F373" s="4" t="n">
        <v>31</v>
      </c>
      <c r="G373" s="2" t="n">
        <v>0</v>
      </c>
      <c r="H373" s="2" t="n">
        <v>0</v>
      </c>
      <c r="I373" s="4" t="n">
        <v>2</v>
      </c>
      <c r="J373" s="2" t="n">
        <v>0.8</v>
      </c>
      <c r="K373" s="2" t="s">
        <v>20</v>
      </c>
      <c r="L373" s="4" t="n">
        <v>5</v>
      </c>
      <c r="M373" s="2" t="n">
        <v>0</v>
      </c>
      <c r="N373" s="2" t="n">
        <v>0</v>
      </c>
      <c r="O373" s="4" t="n">
        <v>3</v>
      </c>
      <c r="Q373" s="2" t="n">
        <v>462</v>
      </c>
      <c r="R373" s="0" t="s">
        <v>204</v>
      </c>
      <c r="S373" s="0" t="s">
        <v>8719</v>
      </c>
    </row>
    <row r="374" customFormat="false" ht="13.8" hidden="false" customHeight="false" outlineLevel="0" collapsed="false">
      <c r="A374" s="0" t="s">
        <v>128</v>
      </c>
      <c r="B374" s="0" t="n">
        <v>8</v>
      </c>
      <c r="C374" s="0" t="s">
        <v>8716</v>
      </c>
      <c r="D374" s="0" t="s">
        <v>31</v>
      </c>
      <c r="E374" s="0" t="s">
        <v>207</v>
      </c>
      <c r="F374" s="4" t="n">
        <v>32</v>
      </c>
      <c r="G374" s="2" t="n">
        <v>0</v>
      </c>
      <c r="H374" s="2" t="n">
        <v>0</v>
      </c>
      <c r="I374" s="4" t="n">
        <v>2</v>
      </c>
      <c r="J374" s="2" t="n">
        <v>0.5</v>
      </c>
      <c r="K374" s="2" t="s">
        <v>20</v>
      </c>
      <c r="L374" s="4" t="n">
        <v>5</v>
      </c>
      <c r="M374" s="2" t="n">
        <v>0</v>
      </c>
      <c r="N374" s="2" t="n">
        <v>0</v>
      </c>
      <c r="O374" s="4" t="n">
        <v>3</v>
      </c>
      <c r="Q374" s="2" t="n">
        <v>463</v>
      </c>
      <c r="R374" s="0" t="s">
        <v>207</v>
      </c>
      <c r="S374" s="0" t="s">
        <v>8720</v>
      </c>
    </row>
    <row r="375" customFormat="false" ht="13.8" hidden="false" customHeight="false" outlineLevel="0" collapsed="false">
      <c r="A375" s="0" t="s">
        <v>128</v>
      </c>
      <c r="B375" s="0" t="n">
        <v>8</v>
      </c>
      <c r="C375" s="0" t="s">
        <v>8716</v>
      </c>
      <c r="D375" s="0" t="s">
        <v>656</v>
      </c>
      <c r="E375" s="0" t="s">
        <v>225</v>
      </c>
      <c r="F375" s="4" t="n">
        <v>38</v>
      </c>
      <c r="G375" s="2" t="n">
        <v>0</v>
      </c>
      <c r="H375" s="2" t="n">
        <v>0</v>
      </c>
      <c r="I375" s="4" t="n">
        <v>2</v>
      </c>
      <c r="J375" s="2" t="n">
        <v>0.5</v>
      </c>
      <c r="K375" s="2" t="s">
        <v>13</v>
      </c>
      <c r="L375" s="4" t="n">
        <v>1</v>
      </c>
      <c r="M375" s="2" t="n">
        <v>0</v>
      </c>
      <c r="N375" s="2" t="n">
        <v>0</v>
      </c>
      <c r="O375" s="4" t="n">
        <v>3</v>
      </c>
      <c r="Q375" s="2" t="n">
        <v>464</v>
      </c>
      <c r="R375" s="0" t="s">
        <v>225</v>
      </c>
      <c r="S375" s="0" t="s">
        <v>8721</v>
      </c>
    </row>
    <row r="376" customFormat="false" ht="13.8" hidden="false" customHeight="false" outlineLevel="0" collapsed="false">
      <c r="A376" s="0" t="s">
        <v>128</v>
      </c>
      <c r="B376" s="0" t="n">
        <v>8</v>
      </c>
      <c r="C376" s="0" t="s">
        <v>8716</v>
      </c>
      <c r="D376" s="0" t="s">
        <v>657</v>
      </c>
      <c r="E376" s="0" t="s">
        <v>391</v>
      </c>
      <c r="F376" s="4" t="n">
        <v>95</v>
      </c>
      <c r="G376" s="2" t="n">
        <v>0</v>
      </c>
      <c r="H376" s="2" t="n">
        <v>0</v>
      </c>
      <c r="I376" s="4" t="n">
        <v>2</v>
      </c>
      <c r="J376" s="2" t="n">
        <v>0.5</v>
      </c>
      <c r="K376" s="2" t="s">
        <v>20</v>
      </c>
      <c r="L376" s="4" t="n">
        <v>5</v>
      </c>
      <c r="M376" s="2" t="n">
        <v>0</v>
      </c>
      <c r="N376" s="2" t="n">
        <v>0</v>
      </c>
      <c r="O376" s="4" t="n">
        <v>3</v>
      </c>
      <c r="Q376" s="2" t="n">
        <v>465</v>
      </c>
      <c r="R376" s="0" t="s">
        <v>391</v>
      </c>
      <c r="S376" s="0" t="s">
        <v>8722</v>
      </c>
    </row>
    <row r="377" customFormat="false" ht="13.8" hidden="false" customHeight="false" outlineLevel="0" collapsed="false">
      <c r="A377" s="0" t="s">
        <v>128</v>
      </c>
      <c r="B377" s="0" t="n">
        <v>8</v>
      </c>
      <c r="C377" s="0" t="s">
        <v>8716</v>
      </c>
      <c r="D377" s="0" t="s">
        <v>658</v>
      </c>
      <c r="E377" s="0" t="s">
        <v>96</v>
      </c>
      <c r="F377" s="4" t="n">
        <v>177</v>
      </c>
      <c r="G377" s="2" t="n">
        <v>0</v>
      </c>
      <c r="H377" s="2" t="n">
        <v>0</v>
      </c>
      <c r="I377" s="4" t="n">
        <v>2</v>
      </c>
      <c r="J377" s="2" t="n">
        <v>1</v>
      </c>
      <c r="K377" s="2" t="s">
        <v>20</v>
      </c>
      <c r="L377" s="4" t="n">
        <v>5</v>
      </c>
      <c r="M377" s="2" t="n">
        <v>0</v>
      </c>
      <c r="N377" s="2" t="n">
        <v>0</v>
      </c>
      <c r="O377" s="4" t="n">
        <v>3</v>
      </c>
      <c r="Q377" s="2" t="n">
        <v>466</v>
      </c>
      <c r="R377" s="0" t="s">
        <v>96</v>
      </c>
      <c r="S377" s="0" t="s">
        <v>8723</v>
      </c>
    </row>
    <row r="378" customFormat="false" ht="13.8" hidden="false" customHeight="false" outlineLevel="0" collapsed="false">
      <c r="A378" s="0" t="s">
        <v>128</v>
      </c>
      <c r="B378" s="0" t="n">
        <v>8</v>
      </c>
      <c r="C378" s="0" t="s">
        <v>8716</v>
      </c>
      <c r="D378" s="0" t="s">
        <v>21</v>
      </c>
      <c r="E378" s="0" t="s">
        <v>485</v>
      </c>
      <c r="F378" s="4" t="n">
        <v>195</v>
      </c>
      <c r="G378" s="2" t="n">
        <v>3</v>
      </c>
      <c r="H378" s="2" t="s">
        <v>7</v>
      </c>
      <c r="I378" s="4" t="n">
        <v>2</v>
      </c>
      <c r="J378" s="2" t="n">
        <v>0</v>
      </c>
      <c r="K378" s="2" t="n">
        <v>0</v>
      </c>
      <c r="L378" s="4" t="n">
        <v>1</v>
      </c>
      <c r="M378" s="2" t="n">
        <v>0</v>
      </c>
      <c r="N378" s="2" t="n">
        <v>0</v>
      </c>
      <c r="O378" s="4" t="n">
        <v>3</v>
      </c>
      <c r="P378" s="0" t="s">
        <v>659</v>
      </c>
      <c r="Q378" s="2" t="n">
        <v>467</v>
      </c>
      <c r="R378" s="0" t="s">
        <v>485</v>
      </c>
      <c r="S378" s="0" t="s">
        <v>8724</v>
      </c>
    </row>
    <row r="379" customFormat="false" ht="13.8" hidden="false" customHeight="false" outlineLevel="0" collapsed="false">
      <c r="A379" s="0" t="s">
        <v>128</v>
      </c>
      <c r="B379" s="0" t="n">
        <v>8</v>
      </c>
      <c r="C379" s="0" t="s">
        <v>8716</v>
      </c>
      <c r="D379" s="0" t="s">
        <v>660</v>
      </c>
      <c r="E379" s="0" t="s">
        <v>479</v>
      </c>
      <c r="F379" s="4" t="n">
        <v>189</v>
      </c>
      <c r="G379" s="2" t="n">
        <v>0</v>
      </c>
      <c r="H379" s="2" t="n">
        <v>0</v>
      </c>
      <c r="I379" s="4" t="n">
        <v>2</v>
      </c>
      <c r="J379" s="2" t="n">
        <v>2</v>
      </c>
      <c r="K379" s="2" t="s">
        <v>13</v>
      </c>
      <c r="L379" s="4" t="n">
        <v>1</v>
      </c>
      <c r="M379" s="2" t="n">
        <v>0</v>
      </c>
      <c r="N379" s="2" t="n">
        <v>0</v>
      </c>
      <c r="O379" s="4" t="n">
        <v>3</v>
      </c>
      <c r="Q379" s="2" t="n">
        <v>468</v>
      </c>
      <c r="R379" s="0" t="s">
        <v>479</v>
      </c>
      <c r="S379" s="0" t="s">
        <v>8725</v>
      </c>
    </row>
    <row r="380" customFormat="false" ht="13.8" hidden="false" customHeight="false" outlineLevel="0" collapsed="false">
      <c r="A380" s="0" t="s">
        <v>343</v>
      </c>
      <c r="B380" s="0" t="n">
        <v>78</v>
      </c>
      <c r="C380" s="0" t="s">
        <v>8726</v>
      </c>
      <c r="D380" s="0" t="s">
        <v>86</v>
      </c>
      <c r="E380" s="0" t="s">
        <v>339</v>
      </c>
      <c r="F380" s="4" t="n">
        <v>76</v>
      </c>
      <c r="G380" s="2" t="n">
        <v>0</v>
      </c>
      <c r="H380" s="2" t="n">
        <v>0</v>
      </c>
      <c r="I380" s="4" t="n">
        <v>2</v>
      </c>
      <c r="J380" s="2" t="n">
        <v>1</v>
      </c>
      <c r="K380" s="2" t="s">
        <v>13</v>
      </c>
      <c r="L380" s="4" t="n">
        <v>1</v>
      </c>
      <c r="M380" s="2" t="n">
        <v>0</v>
      </c>
      <c r="N380" s="2" t="n">
        <v>0</v>
      </c>
      <c r="O380" s="4" t="n">
        <v>3</v>
      </c>
      <c r="Q380" s="2" t="n">
        <v>473</v>
      </c>
      <c r="R380" s="0" t="s">
        <v>339</v>
      </c>
      <c r="S380" s="0" t="s">
        <v>8727</v>
      </c>
    </row>
    <row r="381" customFormat="false" ht="13.8" hidden="false" customHeight="false" outlineLevel="0" collapsed="false">
      <c r="A381" s="0" t="s">
        <v>343</v>
      </c>
      <c r="B381" s="0" t="n">
        <v>78</v>
      </c>
      <c r="C381" s="0" t="s">
        <v>8726</v>
      </c>
      <c r="D381" s="0" t="s">
        <v>661</v>
      </c>
      <c r="E381" s="0" t="s">
        <v>495</v>
      </c>
      <c r="F381" s="4" t="n">
        <v>206</v>
      </c>
      <c r="G381" s="2" t="n">
        <v>0</v>
      </c>
      <c r="H381" s="2" t="n">
        <v>0</v>
      </c>
      <c r="I381" s="4" t="n">
        <v>2</v>
      </c>
      <c r="J381" s="2" t="n">
        <v>2</v>
      </c>
      <c r="K381" s="2" t="s">
        <v>13</v>
      </c>
      <c r="L381" s="4" t="n">
        <v>1</v>
      </c>
      <c r="M381" s="2" t="n">
        <v>0</v>
      </c>
      <c r="N381" s="2" t="n">
        <v>0</v>
      </c>
      <c r="O381" s="4" t="n">
        <v>3</v>
      </c>
      <c r="Q381" s="2" t="n">
        <v>474</v>
      </c>
      <c r="R381" s="0" t="s">
        <v>495</v>
      </c>
      <c r="S381" s="0" t="s">
        <v>8728</v>
      </c>
    </row>
    <row r="382" customFormat="false" ht="13.8" hidden="false" customHeight="false" outlineLevel="0" collapsed="false">
      <c r="A382" s="0" t="s">
        <v>343</v>
      </c>
      <c r="B382" s="0" t="n">
        <v>78</v>
      </c>
      <c r="C382" s="0" t="s">
        <v>8726</v>
      </c>
      <c r="D382" s="0" t="s">
        <v>650</v>
      </c>
      <c r="E382" s="0" t="s">
        <v>391</v>
      </c>
      <c r="F382" s="4" t="n">
        <v>95</v>
      </c>
      <c r="G382" s="2" t="n">
        <v>0</v>
      </c>
      <c r="H382" s="2" t="n">
        <v>0</v>
      </c>
      <c r="I382" s="4" t="n">
        <v>2</v>
      </c>
      <c r="J382" s="2" t="n">
        <v>0.2</v>
      </c>
      <c r="K382" s="2" t="s">
        <v>20</v>
      </c>
      <c r="L382" s="4" t="n">
        <v>5</v>
      </c>
      <c r="M382" s="2" t="n">
        <v>0</v>
      </c>
      <c r="N382" s="2" t="n">
        <v>0</v>
      </c>
      <c r="O382" s="4" t="n">
        <v>3</v>
      </c>
      <c r="Q382" s="2" t="n">
        <v>475</v>
      </c>
      <c r="R382" s="0" t="s">
        <v>391</v>
      </c>
      <c r="S382" s="0" t="s">
        <v>8729</v>
      </c>
    </row>
    <row r="383" customFormat="false" ht="13.8" hidden="false" customHeight="false" outlineLevel="0" collapsed="false">
      <c r="A383" s="0" t="s">
        <v>343</v>
      </c>
      <c r="B383" s="0" t="n">
        <v>78</v>
      </c>
      <c r="C383" s="0" t="s">
        <v>8726</v>
      </c>
      <c r="D383" s="0" t="s">
        <v>662</v>
      </c>
      <c r="E383" s="0" t="s">
        <v>204</v>
      </c>
      <c r="F383" s="4" t="n">
        <v>31</v>
      </c>
      <c r="G383" s="2" t="n">
        <v>0</v>
      </c>
      <c r="H383" s="2" t="n">
        <v>0</v>
      </c>
      <c r="I383" s="4" t="n">
        <v>2</v>
      </c>
      <c r="J383" s="2" t="n">
        <v>0.5</v>
      </c>
      <c r="K383" s="2" t="s">
        <v>20</v>
      </c>
      <c r="L383" s="4" t="n">
        <v>5</v>
      </c>
      <c r="M383" s="2" t="n">
        <v>0</v>
      </c>
      <c r="N383" s="2" t="n">
        <v>0</v>
      </c>
      <c r="O383" s="4" t="n">
        <v>3</v>
      </c>
      <c r="Q383" s="2" t="n">
        <v>476</v>
      </c>
      <c r="R383" s="0" t="s">
        <v>204</v>
      </c>
      <c r="S383" s="0" t="s">
        <v>8730</v>
      </c>
    </row>
    <row r="384" customFormat="false" ht="13.8" hidden="false" customHeight="false" outlineLevel="0" collapsed="false">
      <c r="A384" s="0" t="s">
        <v>343</v>
      </c>
      <c r="B384" s="0" t="n">
        <v>78</v>
      </c>
      <c r="C384" s="0" t="s">
        <v>8726</v>
      </c>
      <c r="D384" s="0" t="s">
        <v>663</v>
      </c>
      <c r="E384" s="0" t="s">
        <v>44</v>
      </c>
      <c r="F384" s="4" t="n">
        <v>187</v>
      </c>
      <c r="G384" s="2" t="n">
        <v>0</v>
      </c>
      <c r="H384" s="2" t="n">
        <v>0</v>
      </c>
      <c r="I384" s="4" t="n">
        <v>2</v>
      </c>
      <c r="J384" s="2" t="n">
        <v>0.5</v>
      </c>
      <c r="K384" s="2" t="s">
        <v>20</v>
      </c>
      <c r="L384" s="4" t="n">
        <v>5</v>
      </c>
      <c r="M384" s="2" t="n">
        <v>0</v>
      </c>
      <c r="N384" s="2" t="n">
        <v>0</v>
      </c>
      <c r="O384" s="4" t="n">
        <v>3</v>
      </c>
      <c r="Q384" s="2" t="n">
        <v>477</v>
      </c>
      <c r="R384" s="0" t="s">
        <v>44</v>
      </c>
      <c r="S384" s="0" t="s">
        <v>8731</v>
      </c>
    </row>
    <row r="385" customFormat="false" ht="13.8" hidden="false" customHeight="false" outlineLevel="0" collapsed="false">
      <c r="A385" s="0" t="s">
        <v>343</v>
      </c>
      <c r="B385" s="0" t="n">
        <v>78</v>
      </c>
      <c r="C385" s="0" t="s">
        <v>8726</v>
      </c>
      <c r="D385" s="0" t="s">
        <v>664</v>
      </c>
      <c r="E385" s="0" t="s">
        <v>503</v>
      </c>
      <c r="F385" s="4" t="n">
        <v>214</v>
      </c>
      <c r="G385" s="2" t="n">
        <v>0</v>
      </c>
      <c r="H385" s="2" t="n">
        <v>0</v>
      </c>
      <c r="I385" s="4" t="n">
        <v>2</v>
      </c>
      <c r="J385" s="2" t="n">
        <v>2</v>
      </c>
      <c r="K385" s="2" t="s">
        <v>13</v>
      </c>
      <c r="L385" s="4" t="n">
        <v>1</v>
      </c>
      <c r="M385" s="2" t="n">
        <v>0</v>
      </c>
      <c r="N385" s="2" t="n">
        <v>0</v>
      </c>
      <c r="O385" s="4" t="n">
        <v>3</v>
      </c>
      <c r="Q385" s="2" t="n">
        <v>478</v>
      </c>
      <c r="R385" s="0" t="s">
        <v>503</v>
      </c>
      <c r="S385" s="0" t="s">
        <v>8732</v>
      </c>
    </row>
    <row r="386" customFormat="false" ht="13.8" hidden="false" customHeight="false" outlineLevel="0" collapsed="false">
      <c r="A386" s="0" t="s">
        <v>140</v>
      </c>
      <c r="B386" s="0" t="n">
        <v>11</v>
      </c>
      <c r="C386" s="0" t="s">
        <v>8733</v>
      </c>
      <c r="D386" s="0" t="s">
        <v>665</v>
      </c>
      <c r="E386" s="0" t="s">
        <v>195</v>
      </c>
      <c r="F386" s="4" t="n">
        <v>28</v>
      </c>
      <c r="G386" s="2" t="n">
        <v>2</v>
      </c>
      <c r="H386" s="2" t="s">
        <v>7</v>
      </c>
      <c r="I386" s="4" t="n">
        <v>2</v>
      </c>
      <c r="J386" s="2" t="n">
        <v>0</v>
      </c>
      <c r="K386" s="2" t="n">
        <v>0</v>
      </c>
      <c r="L386" s="4" t="n">
        <v>1</v>
      </c>
      <c r="M386" s="2" t="n">
        <v>0</v>
      </c>
      <c r="N386" s="2" t="n">
        <v>0</v>
      </c>
      <c r="O386" s="4" t="n">
        <v>3</v>
      </c>
      <c r="Q386" s="2" t="n">
        <v>482</v>
      </c>
      <c r="R386" s="0" t="s">
        <v>195</v>
      </c>
      <c r="S386" s="0" t="s">
        <v>8734</v>
      </c>
    </row>
    <row r="387" customFormat="false" ht="13.8" hidden="false" customHeight="false" outlineLevel="0" collapsed="false">
      <c r="A387" s="0" t="s">
        <v>140</v>
      </c>
      <c r="B387" s="0" t="n">
        <v>11</v>
      </c>
      <c r="C387" s="0" t="s">
        <v>8733</v>
      </c>
      <c r="D387" s="0" t="s">
        <v>666</v>
      </c>
      <c r="E387" s="0" t="s">
        <v>213</v>
      </c>
      <c r="F387" s="4" t="n">
        <v>34</v>
      </c>
      <c r="G387" s="2" t="n">
        <v>0</v>
      </c>
      <c r="H387" s="2" t="n">
        <v>0</v>
      </c>
      <c r="I387" s="4" t="n">
        <v>2</v>
      </c>
      <c r="J387" s="2" t="n">
        <v>8</v>
      </c>
      <c r="K387" s="2" t="s">
        <v>13</v>
      </c>
      <c r="L387" s="4" t="n">
        <v>1</v>
      </c>
      <c r="M387" s="2" t="n">
        <v>0</v>
      </c>
      <c r="N387" s="2" t="n">
        <v>0</v>
      </c>
      <c r="O387" s="4" t="n">
        <v>3</v>
      </c>
      <c r="Q387" s="2" t="n">
        <v>483</v>
      </c>
      <c r="R387" s="0" t="s">
        <v>213</v>
      </c>
      <c r="S387" s="0" t="s">
        <v>8735</v>
      </c>
    </row>
    <row r="388" customFormat="false" ht="13.8" hidden="false" customHeight="false" outlineLevel="0" collapsed="false">
      <c r="A388" s="0" t="s">
        <v>140</v>
      </c>
      <c r="B388" s="0" t="n">
        <v>11</v>
      </c>
      <c r="C388" s="0" t="s">
        <v>8733</v>
      </c>
      <c r="D388" s="0" t="s">
        <v>582</v>
      </c>
      <c r="E388" s="0" t="s">
        <v>398</v>
      </c>
      <c r="F388" s="4" t="n">
        <v>102</v>
      </c>
      <c r="G388" s="2" t="n">
        <v>0</v>
      </c>
      <c r="H388" s="2" t="n">
        <v>0</v>
      </c>
      <c r="I388" s="4" t="n">
        <v>2</v>
      </c>
      <c r="J388" s="2" t="n">
        <v>2.5</v>
      </c>
      <c r="K388" s="2" t="s">
        <v>20</v>
      </c>
      <c r="L388" s="4" t="n">
        <v>5</v>
      </c>
      <c r="M388" s="2" t="n">
        <v>0</v>
      </c>
      <c r="N388" s="2" t="n">
        <v>0</v>
      </c>
      <c r="O388" s="4" t="n">
        <v>3</v>
      </c>
      <c r="Q388" s="2" t="n">
        <v>484</v>
      </c>
      <c r="R388" s="0" t="s">
        <v>398</v>
      </c>
      <c r="S388" s="0" t="s">
        <v>8736</v>
      </c>
    </row>
    <row r="389" customFormat="false" ht="13.8" hidden="false" customHeight="false" outlineLevel="0" collapsed="false">
      <c r="A389" s="0" t="s">
        <v>140</v>
      </c>
      <c r="B389" s="0" t="n">
        <v>11</v>
      </c>
      <c r="C389" s="0" t="s">
        <v>8733</v>
      </c>
      <c r="D389" s="0" t="s">
        <v>667</v>
      </c>
      <c r="E389" s="0" t="s">
        <v>428</v>
      </c>
      <c r="F389" s="4" t="n">
        <v>134</v>
      </c>
      <c r="G389" s="2" t="n">
        <v>0</v>
      </c>
      <c r="H389" s="2" t="n">
        <v>0</v>
      </c>
      <c r="I389" s="4" t="n">
        <v>2</v>
      </c>
      <c r="J389" s="2" t="n">
        <v>0.5</v>
      </c>
      <c r="K389" s="2" t="s">
        <v>20</v>
      </c>
      <c r="L389" s="4" t="n">
        <v>5</v>
      </c>
      <c r="M389" s="2" t="n">
        <v>0</v>
      </c>
      <c r="N389" s="2" t="n">
        <v>0</v>
      </c>
      <c r="O389" s="4" t="n">
        <v>3</v>
      </c>
      <c r="Q389" s="2" t="n">
        <v>485</v>
      </c>
      <c r="R389" s="0" t="s">
        <v>428</v>
      </c>
      <c r="S389" s="0" t="s">
        <v>8737</v>
      </c>
    </row>
    <row r="390" customFormat="false" ht="13.8" hidden="false" customHeight="false" outlineLevel="0" collapsed="false">
      <c r="A390" s="0" t="s">
        <v>140</v>
      </c>
      <c r="B390" s="0" t="n">
        <v>11</v>
      </c>
      <c r="C390" s="0" t="s">
        <v>8733</v>
      </c>
      <c r="D390" s="0" t="s">
        <v>32</v>
      </c>
      <c r="E390" s="0" t="s">
        <v>96</v>
      </c>
      <c r="F390" s="4" t="n">
        <v>177</v>
      </c>
      <c r="G390" s="2" t="n">
        <v>0</v>
      </c>
      <c r="H390" s="2" t="n">
        <v>0</v>
      </c>
      <c r="I390" s="4" t="n">
        <v>2</v>
      </c>
      <c r="J390" s="2" t="n">
        <v>1.75</v>
      </c>
      <c r="K390" s="2" t="s">
        <v>20</v>
      </c>
      <c r="L390" s="4" t="n">
        <v>5</v>
      </c>
      <c r="M390" s="2" t="n">
        <v>0</v>
      </c>
      <c r="N390" s="2" t="n">
        <v>0</v>
      </c>
      <c r="O390" s="4" t="n">
        <v>3</v>
      </c>
      <c r="Q390" s="2" t="n">
        <v>486</v>
      </c>
      <c r="R390" s="0" t="s">
        <v>96</v>
      </c>
      <c r="S390" s="0" t="s">
        <v>8738</v>
      </c>
    </row>
    <row r="391" customFormat="false" ht="13.8" hidden="false" customHeight="false" outlineLevel="0" collapsed="false">
      <c r="A391" s="0" t="s">
        <v>140</v>
      </c>
      <c r="B391" s="0" t="n">
        <v>11</v>
      </c>
      <c r="C391" s="0" t="s">
        <v>8733</v>
      </c>
      <c r="D391" s="0" t="s">
        <v>571</v>
      </c>
      <c r="E391" s="0" t="s">
        <v>44</v>
      </c>
      <c r="F391" s="4" t="n">
        <v>187</v>
      </c>
      <c r="G391" s="2" t="n">
        <v>0</v>
      </c>
      <c r="H391" s="2" t="n">
        <v>0</v>
      </c>
      <c r="I391" s="4" t="n">
        <v>2</v>
      </c>
      <c r="J391" s="2" t="n">
        <v>3</v>
      </c>
      <c r="K391" s="2" t="s">
        <v>20</v>
      </c>
      <c r="L391" s="4" t="n">
        <v>5</v>
      </c>
      <c r="M391" s="2" t="n">
        <v>0</v>
      </c>
      <c r="N391" s="2" t="n">
        <v>0</v>
      </c>
      <c r="O391" s="4" t="n">
        <v>3</v>
      </c>
      <c r="Q391" s="2" t="n">
        <v>487</v>
      </c>
      <c r="R391" s="0" t="s">
        <v>44</v>
      </c>
      <c r="S391" s="0" t="s">
        <v>8739</v>
      </c>
    </row>
    <row r="392" customFormat="false" ht="13.8" hidden="false" customHeight="false" outlineLevel="0" collapsed="false">
      <c r="A392" s="0" t="s">
        <v>140</v>
      </c>
      <c r="B392" s="0" t="n">
        <v>11</v>
      </c>
      <c r="C392" s="0" t="s">
        <v>8733</v>
      </c>
      <c r="D392" s="0" t="s">
        <v>668</v>
      </c>
      <c r="E392" s="0" t="s">
        <v>454</v>
      </c>
      <c r="F392" s="4" t="n">
        <v>162</v>
      </c>
      <c r="G392" s="2" t="n">
        <v>0</v>
      </c>
      <c r="H392" s="2" t="n">
        <v>0</v>
      </c>
      <c r="I392" s="4" t="n">
        <v>2</v>
      </c>
      <c r="J392" s="2" t="n">
        <v>1.5</v>
      </c>
      <c r="K392" s="2" t="s">
        <v>13</v>
      </c>
      <c r="L392" s="4" t="n">
        <v>1</v>
      </c>
      <c r="M392" s="2" t="n">
        <v>0</v>
      </c>
      <c r="N392" s="2" t="n">
        <v>0</v>
      </c>
      <c r="O392" s="4" t="n">
        <v>3</v>
      </c>
      <c r="Q392" s="2" t="n">
        <v>488</v>
      </c>
      <c r="R392" s="0" t="s">
        <v>454</v>
      </c>
      <c r="S392" s="0" t="s">
        <v>8740</v>
      </c>
    </row>
    <row r="393" customFormat="false" ht="13.8" hidden="false" customHeight="false" outlineLevel="0" collapsed="false">
      <c r="A393" s="0" t="s">
        <v>140</v>
      </c>
      <c r="B393" s="0" t="n">
        <v>11</v>
      </c>
      <c r="C393" s="0" t="s">
        <v>8733</v>
      </c>
      <c r="D393" s="0" t="s">
        <v>669</v>
      </c>
      <c r="E393" s="0" t="s">
        <v>309</v>
      </c>
      <c r="F393" s="4" t="n">
        <v>66</v>
      </c>
      <c r="G393" s="2" t="n">
        <v>0</v>
      </c>
      <c r="H393" s="2" t="n">
        <v>0</v>
      </c>
      <c r="I393" s="4" t="n">
        <v>2</v>
      </c>
      <c r="J393" s="2" t="n">
        <v>1</v>
      </c>
      <c r="K393" s="2" t="s">
        <v>13</v>
      </c>
      <c r="L393" s="4" t="n">
        <v>1</v>
      </c>
      <c r="M393" s="2" t="n">
        <v>0</v>
      </c>
      <c r="N393" s="2" t="n">
        <v>0</v>
      </c>
      <c r="O393" s="4" t="n">
        <v>3</v>
      </c>
      <c r="Q393" s="2" t="n">
        <v>489</v>
      </c>
      <c r="R393" s="0" t="s">
        <v>309</v>
      </c>
      <c r="S393" s="0" t="s">
        <v>8741</v>
      </c>
    </row>
    <row r="394" customFormat="false" ht="13.8" hidden="false" customHeight="false" outlineLevel="0" collapsed="false">
      <c r="A394" s="0" t="s">
        <v>140</v>
      </c>
      <c r="B394" s="0" t="n">
        <v>11</v>
      </c>
      <c r="C394" s="0" t="s">
        <v>8733</v>
      </c>
      <c r="D394" s="0" t="s">
        <v>580</v>
      </c>
      <c r="E394" s="0" t="s">
        <v>288</v>
      </c>
      <c r="F394" s="4" t="n">
        <v>59</v>
      </c>
      <c r="G394" s="2" t="n">
        <v>0</v>
      </c>
      <c r="H394" s="2" t="n">
        <v>0</v>
      </c>
      <c r="I394" s="4" t="n">
        <v>2</v>
      </c>
      <c r="J394" s="2" t="n">
        <v>20</v>
      </c>
      <c r="K394" s="2" t="s">
        <v>13</v>
      </c>
      <c r="L394" s="4" t="n">
        <v>1</v>
      </c>
      <c r="M394" s="2" t="n">
        <v>0</v>
      </c>
      <c r="N394" s="2" t="n">
        <v>0</v>
      </c>
      <c r="O394" s="4" t="n">
        <v>3</v>
      </c>
      <c r="Q394" s="2" t="n">
        <v>490</v>
      </c>
      <c r="R394" s="0" t="s">
        <v>288</v>
      </c>
      <c r="S394" s="0" t="s">
        <v>8742</v>
      </c>
    </row>
    <row r="395" customFormat="false" ht="13.8" hidden="false" customHeight="false" outlineLevel="0" collapsed="false">
      <c r="A395" s="0" t="s">
        <v>140</v>
      </c>
      <c r="B395" s="0" t="n">
        <v>11</v>
      </c>
      <c r="C395" s="0" t="s">
        <v>8733</v>
      </c>
      <c r="D395" s="0" t="s">
        <v>578</v>
      </c>
      <c r="E395" s="0" t="s">
        <v>503</v>
      </c>
      <c r="F395" s="4" t="n">
        <v>214</v>
      </c>
      <c r="G395" s="2" t="n">
        <v>0</v>
      </c>
      <c r="H395" s="2" t="n">
        <v>0</v>
      </c>
      <c r="I395" s="4" t="n">
        <v>2</v>
      </c>
      <c r="J395" s="2" t="n">
        <v>5</v>
      </c>
      <c r="K395" s="2" t="s">
        <v>13</v>
      </c>
      <c r="L395" s="4" t="n">
        <v>1</v>
      </c>
      <c r="M395" s="2" t="n">
        <v>0</v>
      </c>
      <c r="N395" s="2" t="n">
        <v>0</v>
      </c>
      <c r="O395" s="4" t="n">
        <v>3</v>
      </c>
      <c r="Q395" s="2" t="n">
        <v>491</v>
      </c>
      <c r="R395" s="0" t="s">
        <v>503</v>
      </c>
      <c r="S395" s="0" t="s">
        <v>8743</v>
      </c>
    </row>
    <row r="396" customFormat="false" ht="13.8" hidden="false" customHeight="false" outlineLevel="0" collapsed="false">
      <c r="A396" s="0" t="s">
        <v>140</v>
      </c>
      <c r="B396" s="0" t="n">
        <v>11</v>
      </c>
      <c r="C396" s="0" t="s">
        <v>8733</v>
      </c>
      <c r="D396" s="0" t="s">
        <v>92</v>
      </c>
      <c r="E396" s="0" t="s">
        <v>360</v>
      </c>
      <c r="F396" s="4" t="n">
        <v>83</v>
      </c>
      <c r="G396" s="2" t="n">
        <v>0</v>
      </c>
      <c r="H396" s="2" t="n">
        <v>0</v>
      </c>
      <c r="I396" s="4" t="n">
        <v>2</v>
      </c>
      <c r="J396" s="2" t="n">
        <v>0</v>
      </c>
      <c r="K396" s="2" t="n">
        <v>0</v>
      </c>
      <c r="L396" s="4" t="n">
        <v>1</v>
      </c>
      <c r="M396" s="2" t="n">
        <v>0</v>
      </c>
      <c r="N396" s="2" t="n">
        <v>0</v>
      </c>
      <c r="O396" s="4" t="n">
        <v>3</v>
      </c>
      <c r="Q396" s="2" t="n">
        <v>494</v>
      </c>
      <c r="R396" s="0" t="s">
        <v>360</v>
      </c>
      <c r="S396" s="0" t="s">
        <v>8744</v>
      </c>
    </row>
    <row r="397" customFormat="false" ht="13.8" hidden="false" customHeight="false" outlineLevel="0" collapsed="false">
      <c r="A397" s="0" t="s">
        <v>154</v>
      </c>
      <c r="B397" s="0" t="n">
        <v>15</v>
      </c>
      <c r="C397" s="0" t="s">
        <v>8745</v>
      </c>
      <c r="D397" s="0" t="s">
        <v>670</v>
      </c>
      <c r="E397" s="0" t="s">
        <v>462</v>
      </c>
      <c r="F397" s="4" t="n">
        <v>170</v>
      </c>
      <c r="G397" s="2" t="n">
        <v>4</v>
      </c>
      <c r="H397" s="2" t="s">
        <v>7</v>
      </c>
      <c r="I397" s="4" t="n">
        <v>2</v>
      </c>
      <c r="J397" s="2" t="n">
        <v>0</v>
      </c>
      <c r="K397" s="2" t="n">
        <v>0</v>
      </c>
      <c r="L397" s="4" t="n">
        <v>1</v>
      </c>
      <c r="M397" s="2" t="n">
        <v>0</v>
      </c>
      <c r="N397" s="2" t="n">
        <v>0</v>
      </c>
      <c r="O397" s="4" t="n">
        <v>3</v>
      </c>
      <c r="Q397" s="2" t="n">
        <v>497</v>
      </c>
      <c r="R397" s="0" t="s">
        <v>462</v>
      </c>
      <c r="S397" s="0" t="s">
        <v>8746</v>
      </c>
    </row>
    <row r="398" customFormat="false" ht="13.8" hidden="false" customHeight="false" outlineLevel="0" collapsed="false">
      <c r="A398" s="0" t="s">
        <v>154</v>
      </c>
      <c r="B398" s="0" t="n">
        <v>15</v>
      </c>
      <c r="C398" s="0" t="s">
        <v>8745</v>
      </c>
      <c r="D398" s="0" t="s">
        <v>580</v>
      </c>
      <c r="E398" s="0" t="s">
        <v>288</v>
      </c>
      <c r="F398" s="4" t="n">
        <v>59</v>
      </c>
      <c r="G398" s="2" t="n">
        <v>10</v>
      </c>
      <c r="H398" s="2" t="s">
        <v>7</v>
      </c>
      <c r="I398" s="4" t="n">
        <v>2</v>
      </c>
      <c r="J398" s="2" t="n">
        <v>0</v>
      </c>
      <c r="K398" s="2" t="n">
        <v>0</v>
      </c>
      <c r="L398" s="4" t="n">
        <v>1</v>
      </c>
      <c r="M398" s="2" t="n">
        <v>0</v>
      </c>
      <c r="N398" s="2" t="n">
        <v>0</v>
      </c>
      <c r="O398" s="4" t="n">
        <v>3</v>
      </c>
      <c r="Q398" s="2" t="n">
        <v>498</v>
      </c>
      <c r="R398" s="0" t="s">
        <v>288</v>
      </c>
      <c r="S398" s="0" t="s">
        <v>8747</v>
      </c>
    </row>
    <row r="399" customFormat="false" ht="13.8" hidden="false" customHeight="false" outlineLevel="0" collapsed="false">
      <c r="A399" s="0" t="s">
        <v>154</v>
      </c>
      <c r="B399" s="0" t="n">
        <v>15</v>
      </c>
      <c r="C399" s="0" t="s">
        <v>8745</v>
      </c>
      <c r="D399" s="0" t="s">
        <v>578</v>
      </c>
      <c r="E399" s="0" t="s">
        <v>503</v>
      </c>
      <c r="F399" s="4" t="n">
        <v>214</v>
      </c>
      <c r="G399" s="2" t="n">
        <v>0</v>
      </c>
      <c r="H399" s="2" t="n">
        <v>0</v>
      </c>
      <c r="I399" s="4" t="n">
        <v>2</v>
      </c>
      <c r="J399" s="2" t="n">
        <v>2</v>
      </c>
      <c r="K399" s="2" t="s">
        <v>13</v>
      </c>
      <c r="L399" s="4" t="n">
        <v>1</v>
      </c>
      <c r="M399" s="2" t="n">
        <v>0</v>
      </c>
      <c r="N399" s="2" t="n">
        <v>0</v>
      </c>
      <c r="O399" s="4" t="n">
        <v>3</v>
      </c>
      <c r="Q399" s="2" t="n">
        <v>499</v>
      </c>
      <c r="R399" s="0" t="s">
        <v>503</v>
      </c>
      <c r="S399" s="0" t="s">
        <v>8748</v>
      </c>
    </row>
    <row r="400" customFormat="false" ht="13.8" hidden="false" customHeight="false" outlineLevel="0" collapsed="false">
      <c r="A400" s="0" t="s">
        <v>154</v>
      </c>
      <c r="B400" s="0" t="n">
        <v>15</v>
      </c>
      <c r="C400" s="0" t="s">
        <v>8745</v>
      </c>
      <c r="D400" s="0" t="s">
        <v>649</v>
      </c>
      <c r="E400" s="0" t="s">
        <v>501</v>
      </c>
      <c r="F400" s="4" t="n">
        <v>212</v>
      </c>
      <c r="G400" s="2" t="n">
        <v>0</v>
      </c>
      <c r="H400" s="2" t="n">
        <v>0</v>
      </c>
      <c r="I400" s="4" t="n">
        <v>2</v>
      </c>
      <c r="J400" s="2" t="n">
        <v>0</v>
      </c>
      <c r="K400" s="2" t="n">
        <v>0</v>
      </c>
      <c r="L400" s="4" t="n">
        <v>1</v>
      </c>
      <c r="M400" s="2" t="n">
        <v>0</v>
      </c>
      <c r="N400" s="2" t="n">
        <v>0</v>
      </c>
      <c r="O400" s="4" t="n">
        <v>3</v>
      </c>
      <c r="Q400" s="2" t="n">
        <v>500</v>
      </c>
      <c r="R400" s="0" t="s">
        <v>501</v>
      </c>
      <c r="S400" s="0" t="s">
        <v>8749</v>
      </c>
    </row>
    <row r="401" customFormat="false" ht="13.8" hidden="false" customHeight="false" outlineLevel="0" collapsed="false">
      <c r="A401" s="0" t="s">
        <v>154</v>
      </c>
      <c r="B401" s="0" t="n">
        <v>15</v>
      </c>
      <c r="C401" s="0" t="s">
        <v>8745</v>
      </c>
      <c r="D401" s="0" t="s">
        <v>671</v>
      </c>
      <c r="E401" s="0" t="s">
        <v>377</v>
      </c>
      <c r="F401" s="4" t="n">
        <v>89</v>
      </c>
      <c r="G401" s="2" t="n">
        <v>0</v>
      </c>
      <c r="H401" s="2" t="n">
        <v>0</v>
      </c>
      <c r="I401" s="4" t="n">
        <v>2</v>
      </c>
      <c r="J401" s="2" t="n">
        <v>0.5</v>
      </c>
      <c r="K401" s="2" t="s">
        <v>13</v>
      </c>
      <c r="L401" s="4" t="n">
        <v>1</v>
      </c>
      <c r="M401" s="2" t="n">
        <v>0</v>
      </c>
      <c r="N401" s="2" t="n">
        <v>0</v>
      </c>
      <c r="O401" s="4" t="n">
        <v>3</v>
      </c>
      <c r="Q401" s="2" t="n">
        <v>501</v>
      </c>
      <c r="R401" s="0" t="s">
        <v>377</v>
      </c>
      <c r="S401" s="0" t="s">
        <v>8750</v>
      </c>
    </row>
    <row r="402" customFormat="false" ht="13.8" hidden="false" customHeight="false" outlineLevel="0" collapsed="false">
      <c r="A402" s="0" t="s">
        <v>154</v>
      </c>
      <c r="B402" s="0" t="n">
        <v>15</v>
      </c>
      <c r="C402" s="0" t="s">
        <v>8745</v>
      </c>
      <c r="D402" s="0" t="s">
        <v>672</v>
      </c>
      <c r="E402" s="0" t="s">
        <v>456</v>
      </c>
      <c r="F402" s="4" t="n">
        <v>164</v>
      </c>
      <c r="G402" s="2" t="n">
        <v>0</v>
      </c>
      <c r="H402" s="2" t="n">
        <v>0</v>
      </c>
      <c r="I402" s="4" t="n">
        <v>2</v>
      </c>
      <c r="J402" s="2" t="n">
        <v>0.5</v>
      </c>
      <c r="K402" s="2" t="s">
        <v>20</v>
      </c>
      <c r="L402" s="4" t="n">
        <v>5</v>
      </c>
      <c r="M402" s="2" t="n">
        <v>0</v>
      </c>
      <c r="N402" s="2" t="n">
        <v>0</v>
      </c>
      <c r="O402" s="4" t="n">
        <v>3</v>
      </c>
      <c r="Q402" s="2" t="n">
        <v>502</v>
      </c>
      <c r="R402" s="0" t="s">
        <v>456</v>
      </c>
      <c r="S402" s="0" t="s">
        <v>8751</v>
      </c>
    </row>
    <row r="403" customFormat="false" ht="13.8" hidden="false" customHeight="false" outlineLevel="0" collapsed="false">
      <c r="A403" s="0" t="s">
        <v>154</v>
      </c>
      <c r="B403" s="0" t="n">
        <v>15</v>
      </c>
      <c r="C403" s="0" t="s">
        <v>8745</v>
      </c>
      <c r="D403" s="0" t="s">
        <v>673</v>
      </c>
      <c r="E403" s="0" t="s">
        <v>38</v>
      </c>
      <c r="F403" s="4" t="n">
        <v>105</v>
      </c>
      <c r="G403" s="2" t="n">
        <v>0</v>
      </c>
      <c r="H403" s="2" t="n">
        <v>0</v>
      </c>
      <c r="I403" s="4" t="n">
        <v>2</v>
      </c>
      <c r="J403" s="2" t="n">
        <v>0.5</v>
      </c>
      <c r="K403" s="2" t="s">
        <v>13</v>
      </c>
      <c r="L403" s="4" t="n">
        <v>1</v>
      </c>
      <c r="M403" s="2" t="n">
        <v>0</v>
      </c>
      <c r="N403" s="2" t="n">
        <v>0</v>
      </c>
      <c r="O403" s="4" t="n">
        <v>3</v>
      </c>
      <c r="Q403" s="2" t="n">
        <v>503</v>
      </c>
      <c r="R403" s="0" t="s">
        <v>38</v>
      </c>
      <c r="S403" s="0" t="s">
        <v>8752</v>
      </c>
    </row>
    <row r="404" customFormat="false" ht="13.8" hidden="false" customHeight="false" outlineLevel="0" collapsed="false">
      <c r="A404" s="0" t="s">
        <v>154</v>
      </c>
      <c r="B404" s="0" t="n">
        <v>15</v>
      </c>
      <c r="C404" s="0" t="s">
        <v>8745</v>
      </c>
      <c r="D404" s="0" t="s">
        <v>83</v>
      </c>
      <c r="E404" s="0" t="s">
        <v>386</v>
      </c>
      <c r="F404" s="4" t="n">
        <v>93</v>
      </c>
      <c r="G404" s="2" t="n">
        <v>0</v>
      </c>
      <c r="H404" s="2" t="n">
        <v>0</v>
      </c>
      <c r="I404" s="4" t="n">
        <v>2</v>
      </c>
      <c r="J404" s="2" t="n">
        <v>0.5</v>
      </c>
      <c r="K404" s="2" t="s">
        <v>20</v>
      </c>
      <c r="L404" s="4" t="n">
        <v>5</v>
      </c>
      <c r="M404" s="2" t="n">
        <v>0</v>
      </c>
      <c r="N404" s="2" t="n">
        <v>0</v>
      </c>
      <c r="O404" s="4" t="n">
        <v>3</v>
      </c>
      <c r="Q404" s="2" t="n">
        <v>504</v>
      </c>
      <c r="R404" s="0" t="s">
        <v>386</v>
      </c>
      <c r="S404" s="0" t="s">
        <v>8753</v>
      </c>
    </row>
    <row r="405" customFormat="false" ht="13.8" hidden="false" customHeight="false" outlineLevel="0" collapsed="false">
      <c r="A405" s="0" t="s">
        <v>154</v>
      </c>
      <c r="B405" s="0" t="n">
        <v>15</v>
      </c>
      <c r="C405" s="0" t="s">
        <v>8745</v>
      </c>
      <c r="D405" s="0" t="s">
        <v>32</v>
      </c>
      <c r="E405" s="0" t="s">
        <v>96</v>
      </c>
      <c r="F405" s="4" t="n">
        <v>177</v>
      </c>
      <c r="G405" s="2" t="n">
        <v>0</v>
      </c>
      <c r="H405" s="2" t="n">
        <v>0</v>
      </c>
      <c r="I405" s="4" t="n">
        <v>2</v>
      </c>
      <c r="J405" s="2" t="n">
        <v>1</v>
      </c>
      <c r="K405" s="2" t="s">
        <v>20</v>
      </c>
      <c r="L405" s="4" t="n">
        <v>5</v>
      </c>
      <c r="M405" s="2" t="n">
        <v>0</v>
      </c>
      <c r="N405" s="2" t="n">
        <v>0</v>
      </c>
      <c r="O405" s="4" t="n">
        <v>3</v>
      </c>
      <c r="Q405" s="2" t="n">
        <v>505</v>
      </c>
      <c r="R405" s="0" t="s">
        <v>96</v>
      </c>
      <c r="S405" s="0" t="s">
        <v>8754</v>
      </c>
    </row>
    <row r="406" customFormat="false" ht="13.8" hidden="false" customHeight="false" outlineLevel="0" collapsed="false">
      <c r="A406" s="0" t="s">
        <v>154</v>
      </c>
      <c r="B406" s="0" t="n">
        <v>15</v>
      </c>
      <c r="C406" s="0" t="s">
        <v>8745</v>
      </c>
      <c r="D406" s="0" t="s">
        <v>652</v>
      </c>
      <c r="E406" s="0" t="s">
        <v>309</v>
      </c>
      <c r="F406" s="4" t="n">
        <v>66</v>
      </c>
      <c r="G406" s="2" t="n">
        <v>0</v>
      </c>
      <c r="H406" s="2" t="n">
        <v>0</v>
      </c>
      <c r="I406" s="4" t="n">
        <v>2</v>
      </c>
      <c r="J406" s="2" t="n">
        <v>1</v>
      </c>
      <c r="K406" s="2" t="s">
        <v>13</v>
      </c>
      <c r="L406" s="4" t="n">
        <v>1</v>
      </c>
      <c r="M406" s="2" t="n">
        <v>0</v>
      </c>
      <c r="N406" s="2" t="n">
        <v>0</v>
      </c>
      <c r="O406" s="4" t="n">
        <v>3</v>
      </c>
      <c r="Q406" s="2" t="n">
        <v>506</v>
      </c>
      <c r="R406" s="0" t="s">
        <v>309</v>
      </c>
      <c r="S406" s="0" t="s">
        <v>8755</v>
      </c>
    </row>
    <row r="407" customFormat="false" ht="13.8" hidden="false" customHeight="false" outlineLevel="0" collapsed="false">
      <c r="A407" s="0" t="s">
        <v>154</v>
      </c>
      <c r="B407" s="0" t="n">
        <v>15</v>
      </c>
      <c r="C407" s="0" t="s">
        <v>8745</v>
      </c>
      <c r="D407" s="0" t="s">
        <v>674</v>
      </c>
      <c r="E407" s="0" t="s">
        <v>134</v>
      </c>
      <c r="F407" s="4" t="n">
        <v>9</v>
      </c>
      <c r="G407" s="2" t="n">
        <v>0.5</v>
      </c>
      <c r="H407" s="2" t="s">
        <v>7</v>
      </c>
      <c r="I407" s="4" t="n">
        <v>2</v>
      </c>
      <c r="J407" s="2" t="n">
        <v>0</v>
      </c>
      <c r="K407" s="2" t="n">
        <v>0</v>
      </c>
      <c r="L407" s="4" t="n">
        <v>1</v>
      </c>
      <c r="M407" s="2" t="n">
        <v>0</v>
      </c>
      <c r="N407" s="2" t="n">
        <v>0</v>
      </c>
      <c r="O407" s="4" t="n">
        <v>3</v>
      </c>
      <c r="Q407" s="2" t="n">
        <v>507</v>
      </c>
      <c r="R407" s="0" t="s">
        <v>134</v>
      </c>
      <c r="S407" s="0" t="s">
        <v>8756</v>
      </c>
    </row>
    <row r="408" customFormat="false" ht="13.8" hidden="false" customHeight="false" outlineLevel="0" collapsed="false">
      <c r="A408" s="0" t="s">
        <v>154</v>
      </c>
      <c r="B408" s="0" t="n">
        <v>15</v>
      </c>
      <c r="C408" s="0" t="s">
        <v>8745</v>
      </c>
      <c r="D408" s="0" t="s">
        <v>675</v>
      </c>
      <c r="E408" s="0" t="s">
        <v>401</v>
      </c>
      <c r="F408" s="4" t="n">
        <v>106</v>
      </c>
      <c r="G408" s="2" t="n">
        <v>0</v>
      </c>
      <c r="H408" s="2" t="n">
        <v>0</v>
      </c>
      <c r="I408" s="4" t="n">
        <v>2</v>
      </c>
      <c r="J408" s="2" t="n">
        <v>0</v>
      </c>
      <c r="K408" s="2" t="n">
        <v>0</v>
      </c>
      <c r="L408" s="4" t="n">
        <v>1</v>
      </c>
      <c r="M408" s="2" t="n">
        <v>15</v>
      </c>
      <c r="N408" s="2" t="s">
        <v>107</v>
      </c>
      <c r="O408" s="4" t="n">
        <v>3</v>
      </c>
      <c r="Q408" s="2" t="n">
        <v>508</v>
      </c>
      <c r="R408" s="0" t="s">
        <v>401</v>
      </c>
      <c r="S408" s="0" t="s">
        <v>8757</v>
      </c>
    </row>
    <row r="409" customFormat="false" ht="13.8" hidden="false" customHeight="false" outlineLevel="0" collapsed="false">
      <c r="A409" s="0" t="s">
        <v>319</v>
      </c>
      <c r="B409" s="0" t="n">
        <v>70</v>
      </c>
      <c r="C409" s="0" t="s">
        <v>8758</v>
      </c>
      <c r="D409" s="0" t="s">
        <v>676</v>
      </c>
      <c r="E409" s="0" t="s">
        <v>488</v>
      </c>
      <c r="F409" s="4" t="n">
        <v>198</v>
      </c>
      <c r="G409" s="2" t="n">
        <v>4.64285714285714</v>
      </c>
      <c r="H409" s="2" t="s">
        <v>7</v>
      </c>
      <c r="I409" s="4" t="n">
        <v>2</v>
      </c>
      <c r="J409" s="2" t="n">
        <v>0</v>
      </c>
      <c r="K409" s="2" t="n">
        <v>0</v>
      </c>
      <c r="L409" s="4" t="n">
        <v>1</v>
      </c>
      <c r="M409" s="2" t="n">
        <v>0</v>
      </c>
      <c r="N409" s="2" t="n">
        <v>0</v>
      </c>
      <c r="O409" s="4" t="n">
        <v>3</v>
      </c>
      <c r="Q409" s="2" t="n">
        <v>513</v>
      </c>
      <c r="R409" s="0" t="s">
        <v>488</v>
      </c>
      <c r="S409" s="0" t="s">
        <v>8759</v>
      </c>
    </row>
    <row r="410" customFormat="false" ht="13.8" hidden="false" customHeight="false" outlineLevel="0" collapsed="false">
      <c r="A410" s="0" t="s">
        <v>319</v>
      </c>
      <c r="B410" s="0" t="n">
        <v>70</v>
      </c>
      <c r="C410" s="0" t="s">
        <v>8758</v>
      </c>
      <c r="D410" s="0" t="s">
        <v>394</v>
      </c>
      <c r="E410" s="0" t="s">
        <v>394</v>
      </c>
      <c r="F410" s="4" t="n">
        <v>98</v>
      </c>
      <c r="G410" s="2" t="n">
        <v>0.714285714285714</v>
      </c>
      <c r="H410" s="2" t="s">
        <v>7</v>
      </c>
      <c r="I410" s="4" t="n">
        <v>2</v>
      </c>
      <c r="J410" s="2" t="n">
        <v>0</v>
      </c>
      <c r="K410" s="2" t="n">
        <v>0</v>
      </c>
      <c r="L410" s="4" t="n">
        <v>1</v>
      </c>
      <c r="M410" s="2" t="n">
        <v>0</v>
      </c>
      <c r="N410" s="2" t="n">
        <v>0</v>
      </c>
      <c r="O410" s="4" t="n">
        <v>3</v>
      </c>
      <c r="Q410" s="2" t="n">
        <v>514</v>
      </c>
      <c r="R410" s="0" t="s">
        <v>394</v>
      </c>
      <c r="S410" s="0" t="s">
        <v>8760</v>
      </c>
    </row>
    <row r="411" customFormat="false" ht="13.8" hidden="false" customHeight="false" outlineLevel="0" collapsed="false">
      <c r="A411" s="0" t="s">
        <v>319</v>
      </c>
      <c r="B411" s="0" t="n">
        <v>70</v>
      </c>
      <c r="C411" s="0" t="s">
        <v>8758</v>
      </c>
      <c r="D411" s="0" t="s">
        <v>564</v>
      </c>
      <c r="E411" s="0" t="s">
        <v>382</v>
      </c>
      <c r="F411" s="4" t="n">
        <v>91</v>
      </c>
      <c r="G411" s="2" t="n">
        <v>0</v>
      </c>
      <c r="H411" s="2" t="n">
        <v>0</v>
      </c>
      <c r="I411" s="4" t="n">
        <v>2</v>
      </c>
      <c r="J411" s="2" t="n">
        <v>1.42857142857143</v>
      </c>
      <c r="K411" s="2" t="s">
        <v>20</v>
      </c>
      <c r="L411" s="4" t="n">
        <v>5</v>
      </c>
      <c r="M411" s="2" t="n">
        <v>0</v>
      </c>
      <c r="N411" s="2" t="n">
        <v>0</v>
      </c>
      <c r="O411" s="4" t="n">
        <v>3</v>
      </c>
      <c r="Q411" s="2" t="n">
        <v>515</v>
      </c>
      <c r="R411" s="0" t="s">
        <v>382</v>
      </c>
      <c r="S411" s="0" t="s">
        <v>8761</v>
      </c>
    </row>
    <row r="412" customFormat="false" ht="13.8" hidden="false" customHeight="false" outlineLevel="0" collapsed="false">
      <c r="A412" s="0" t="s">
        <v>319</v>
      </c>
      <c r="B412" s="0" t="n">
        <v>70</v>
      </c>
      <c r="C412" s="0" t="s">
        <v>8758</v>
      </c>
      <c r="D412" s="0" t="s">
        <v>562</v>
      </c>
      <c r="E412" s="0" t="s">
        <v>391</v>
      </c>
      <c r="F412" s="4" t="n">
        <v>95</v>
      </c>
      <c r="G412" s="2" t="n">
        <v>0</v>
      </c>
      <c r="H412" s="2" t="n">
        <v>0</v>
      </c>
      <c r="I412" s="4" t="n">
        <v>2</v>
      </c>
      <c r="J412" s="2" t="n">
        <v>1.07142857142857</v>
      </c>
      <c r="K412" s="2" t="s">
        <v>20</v>
      </c>
      <c r="L412" s="4" t="n">
        <v>5</v>
      </c>
      <c r="M412" s="2" t="n">
        <v>0</v>
      </c>
      <c r="N412" s="2" t="n">
        <v>0</v>
      </c>
      <c r="O412" s="4" t="n">
        <v>3</v>
      </c>
      <c r="Q412" s="2" t="n">
        <v>516</v>
      </c>
      <c r="R412" s="0" t="s">
        <v>391</v>
      </c>
      <c r="S412" s="0" t="s">
        <v>8762</v>
      </c>
    </row>
    <row r="413" customFormat="false" ht="13.8" hidden="false" customHeight="false" outlineLevel="0" collapsed="false">
      <c r="A413" s="0" t="s">
        <v>319</v>
      </c>
      <c r="B413" s="0" t="n">
        <v>70</v>
      </c>
      <c r="C413" s="0" t="s">
        <v>8758</v>
      </c>
      <c r="D413" s="0" t="s">
        <v>677</v>
      </c>
      <c r="E413" s="0" t="s">
        <v>315</v>
      </c>
      <c r="F413" s="4" t="n">
        <v>68</v>
      </c>
      <c r="G413" s="2" t="n">
        <v>1.78571428571429</v>
      </c>
      <c r="H413" s="2" t="s">
        <v>7</v>
      </c>
      <c r="I413" s="4" t="n">
        <v>2</v>
      </c>
      <c r="J413" s="2" t="n">
        <v>0</v>
      </c>
      <c r="K413" s="2" t="n">
        <v>0</v>
      </c>
      <c r="L413" s="4" t="n">
        <v>1</v>
      </c>
      <c r="M413" s="2" t="n">
        <v>0</v>
      </c>
      <c r="N413" s="2" t="n">
        <v>0</v>
      </c>
      <c r="O413" s="4" t="n">
        <v>3</v>
      </c>
      <c r="Q413" s="2" t="n">
        <v>517</v>
      </c>
      <c r="R413" s="0" t="s">
        <v>315</v>
      </c>
      <c r="S413" s="0" t="s">
        <v>8763</v>
      </c>
    </row>
    <row r="414" customFormat="false" ht="13.8" hidden="false" customHeight="false" outlineLevel="0" collapsed="false">
      <c r="A414" s="0" t="s">
        <v>319</v>
      </c>
      <c r="B414" s="0" t="n">
        <v>70</v>
      </c>
      <c r="C414" s="0" t="s">
        <v>8758</v>
      </c>
      <c r="D414" s="0" t="s">
        <v>8</v>
      </c>
      <c r="E414" s="0" t="s">
        <v>201</v>
      </c>
      <c r="F414" s="4" t="n">
        <v>30</v>
      </c>
      <c r="G414" s="2" t="n">
        <v>2.85714285714286</v>
      </c>
      <c r="H414" s="2" t="s">
        <v>7</v>
      </c>
      <c r="I414" s="4" t="n">
        <v>2</v>
      </c>
      <c r="J414" s="2" t="n">
        <v>0</v>
      </c>
      <c r="K414" s="2" t="n">
        <v>0</v>
      </c>
      <c r="L414" s="4" t="n">
        <v>1</v>
      </c>
      <c r="M414" s="2" t="n">
        <v>0</v>
      </c>
      <c r="N414" s="2" t="n">
        <v>0</v>
      </c>
      <c r="O414" s="4" t="n">
        <v>3</v>
      </c>
      <c r="Q414" s="2" t="n">
        <v>518</v>
      </c>
      <c r="R414" s="0" t="s">
        <v>201</v>
      </c>
      <c r="S414" s="0" t="s">
        <v>8764</v>
      </c>
    </row>
    <row r="415" customFormat="false" ht="13.8" hidden="false" customHeight="false" outlineLevel="0" collapsed="false">
      <c r="A415" s="0" t="s">
        <v>319</v>
      </c>
      <c r="B415" s="0" t="n">
        <v>70</v>
      </c>
      <c r="C415" s="0" t="s">
        <v>8758</v>
      </c>
      <c r="D415" s="0" t="s">
        <v>40</v>
      </c>
      <c r="E415" s="0" t="s">
        <v>237</v>
      </c>
      <c r="F415" s="4" t="n">
        <v>42</v>
      </c>
      <c r="G415" s="2" t="n">
        <v>2.14285714285714</v>
      </c>
      <c r="H415" s="2" t="s">
        <v>7</v>
      </c>
      <c r="I415" s="4" t="n">
        <v>2</v>
      </c>
      <c r="J415" s="2" t="n">
        <v>0</v>
      </c>
      <c r="K415" s="2" t="n">
        <v>0</v>
      </c>
      <c r="L415" s="4" t="n">
        <v>1</v>
      </c>
      <c r="M415" s="2" t="n">
        <v>0</v>
      </c>
      <c r="N415" s="2" t="n">
        <v>0</v>
      </c>
      <c r="O415" s="4" t="n">
        <v>3</v>
      </c>
      <c r="Q415" s="2" t="n">
        <v>519</v>
      </c>
      <c r="R415" s="0" t="s">
        <v>237</v>
      </c>
      <c r="S415" s="0" t="s">
        <v>8765</v>
      </c>
    </row>
    <row r="416" customFormat="false" ht="13.8" hidden="false" customHeight="false" outlineLevel="0" collapsed="false">
      <c r="A416" s="0" t="s">
        <v>319</v>
      </c>
      <c r="B416" s="0" t="n">
        <v>70</v>
      </c>
      <c r="C416" s="0" t="s">
        <v>8758</v>
      </c>
      <c r="D416" s="0" t="s">
        <v>678</v>
      </c>
      <c r="E416" s="0" t="s">
        <v>130</v>
      </c>
      <c r="F416" s="4" t="n">
        <v>8</v>
      </c>
      <c r="G416" s="2" t="n">
        <v>1.07142857142857</v>
      </c>
      <c r="H416" s="2" t="s">
        <v>7</v>
      </c>
      <c r="I416" s="4" t="n">
        <v>2</v>
      </c>
      <c r="J416" s="2" t="n">
        <v>0</v>
      </c>
      <c r="K416" s="2" t="n">
        <v>0</v>
      </c>
      <c r="L416" s="4" t="n">
        <v>1</v>
      </c>
      <c r="M416" s="2" t="n">
        <v>0</v>
      </c>
      <c r="N416" s="2" t="n">
        <v>0</v>
      </c>
      <c r="O416" s="4" t="n">
        <v>3</v>
      </c>
      <c r="Q416" s="2" t="n">
        <v>520</v>
      </c>
      <c r="R416" s="0" t="s">
        <v>130</v>
      </c>
      <c r="S416" s="0" t="s">
        <v>8766</v>
      </c>
    </row>
    <row r="417" customFormat="false" ht="13.8" hidden="false" customHeight="false" outlineLevel="0" collapsed="false">
      <c r="A417" s="0" t="s">
        <v>319</v>
      </c>
      <c r="B417" s="0" t="n">
        <v>70</v>
      </c>
      <c r="C417" s="0" t="s">
        <v>8758</v>
      </c>
      <c r="D417" s="0" t="s">
        <v>587</v>
      </c>
      <c r="E417" s="0" t="s">
        <v>198</v>
      </c>
      <c r="F417" s="4" t="n">
        <v>29</v>
      </c>
      <c r="G417" s="2" t="n">
        <v>2.14285714285714</v>
      </c>
      <c r="H417" s="2" t="s">
        <v>7</v>
      </c>
      <c r="I417" s="4" t="n">
        <v>2</v>
      </c>
      <c r="J417" s="2" t="n">
        <v>0</v>
      </c>
      <c r="K417" s="2" t="n">
        <v>0</v>
      </c>
      <c r="L417" s="4" t="n">
        <v>1</v>
      </c>
      <c r="M417" s="2" t="n">
        <v>0</v>
      </c>
      <c r="N417" s="2" t="n">
        <v>0</v>
      </c>
      <c r="O417" s="4" t="n">
        <v>3</v>
      </c>
      <c r="Q417" s="2" t="n">
        <v>521</v>
      </c>
      <c r="R417" s="0" t="s">
        <v>198</v>
      </c>
      <c r="S417" s="0" t="s">
        <v>8767</v>
      </c>
    </row>
    <row r="418" customFormat="false" ht="13.8" hidden="false" customHeight="false" outlineLevel="0" collapsed="false">
      <c r="A418" s="0" t="s">
        <v>319</v>
      </c>
      <c r="B418" s="0" t="n">
        <v>70</v>
      </c>
      <c r="C418" s="0" t="s">
        <v>8758</v>
      </c>
      <c r="D418" s="0" t="s">
        <v>609</v>
      </c>
      <c r="E418" s="0" t="s">
        <v>442</v>
      </c>
      <c r="F418" s="4" t="n">
        <v>148</v>
      </c>
      <c r="G418" s="2" t="n">
        <v>0</v>
      </c>
      <c r="H418" s="2" t="n">
        <v>0</v>
      </c>
      <c r="I418" s="4" t="n">
        <v>2</v>
      </c>
      <c r="J418" s="2" t="n">
        <v>1.07142857142857</v>
      </c>
      <c r="K418" s="2" t="s">
        <v>20</v>
      </c>
      <c r="L418" s="4" t="n">
        <v>5</v>
      </c>
      <c r="M418" s="2" t="n">
        <v>0</v>
      </c>
      <c r="N418" s="2" t="n">
        <v>0</v>
      </c>
      <c r="O418" s="4" t="n">
        <v>3</v>
      </c>
      <c r="Q418" s="2" t="n">
        <v>522</v>
      </c>
      <c r="R418" s="0" t="s">
        <v>442</v>
      </c>
      <c r="S418" s="0" t="s">
        <v>8768</v>
      </c>
    </row>
    <row r="419" customFormat="false" ht="13.8" hidden="false" customHeight="false" outlineLevel="0" collapsed="false">
      <c r="A419" s="0" t="s">
        <v>319</v>
      </c>
      <c r="B419" s="0" t="n">
        <v>70</v>
      </c>
      <c r="C419" s="0" t="s">
        <v>8758</v>
      </c>
      <c r="D419" s="0" t="s">
        <v>679</v>
      </c>
      <c r="E419" s="0" t="s">
        <v>153</v>
      </c>
      <c r="F419" s="4" t="n">
        <v>14</v>
      </c>
      <c r="G419" s="2" t="n">
        <v>0</v>
      </c>
      <c r="H419" s="2" t="n">
        <v>0</v>
      </c>
      <c r="I419" s="4" t="n">
        <v>2</v>
      </c>
      <c r="J419" s="2" t="n">
        <v>1.07142857142857</v>
      </c>
      <c r="K419" s="2" t="s">
        <v>20</v>
      </c>
      <c r="L419" s="4" t="n">
        <v>5</v>
      </c>
      <c r="M419" s="2" t="n">
        <v>0</v>
      </c>
      <c r="N419" s="2" t="n">
        <v>0</v>
      </c>
      <c r="O419" s="4" t="n">
        <v>3</v>
      </c>
      <c r="Q419" s="2" t="n">
        <v>523</v>
      </c>
      <c r="R419" s="0" t="s">
        <v>153</v>
      </c>
      <c r="S419" s="0" t="s">
        <v>8769</v>
      </c>
    </row>
    <row r="420" customFormat="false" ht="13.8" hidden="false" customHeight="false" outlineLevel="0" collapsed="false">
      <c r="A420" s="0" t="s">
        <v>319</v>
      </c>
      <c r="B420" s="0" t="n">
        <v>70</v>
      </c>
      <c r="C420" s="0" t="s">
        <v>8758</v>
      </c>
      <c r="D420" s="0" t="s">
        <v>680</v>
      </c>
      <c r="E420" s="0" t="s">
        <v>473</v>
      </c>
      <c r="F420" s="4" t="n">
        <v>182</v>
      </c>
      <c r="G420" s="2" t="n">
        <v>0</v>
      </c>
      <c r="H420" s="2" t="n">
        <v>0</v>
      </c>
      <c r="I420" s="4" t="n">
        <v>2</v>
      </c>
      <c r="J420" s="2" t="n">
        <v>0.714285714285714</v>
      </c>
      <c r="K420" s="2" t="s">
        <v>13</v>
      </c>
      <c r="L420" s="4" t="n">
        <v>1</v>
      </c>
      <c r="M420" s="2" t="n">
        <v>0</v>
      </c>
      <c r="N420" s="2" t="n">
        <v>0</v>
      </c>
      <c r="O420" s="4" t="n">
        <v>3</v>
      </c>
      <c r="Q420" s="2" t="n">
        <v>524</v>
      </c>
      <c r="R420" s="0" t="s">
        <v>473</v>
      </c>
      <c r="S420" s="0" t="s">
        <v>8770</v>
      </c>
    </row>
    <row r="421" customFormat="false" ht="13.8" hidden="false" customHeight="false" outlineLevel="0" collapsed="false">
      <c r="A421" s="0" t="s">
        <v>319</v>
      </c>
      <c r="B421" s="0" t="n">
        <v>70</v>
      </c>
      <c r="C421" s="0" t="s">
        <v>8758</v>
      </c>
      <c r="D421" s="0" t="s">
        <v>681</v>
      </c>
      <c r="E421" s="0" t="s">
        <v>273</v>
      </c>
      <c r="F421" s="4" t="n">
        <v>54</v>
      </c>
      <c r="G421" s="2" t="n">
        <v>0</v>
      </c>
      <c r="H421" s="2" t="n">
        <v>0</v>
      </c>
      <c r="I421" s="4" t="n">
        <v>2</v>
      </c>
      <c r="J421" s="2" t="n">
        <v>0</v>
      </c>
      <c r="K421" s="2" t="n">
        <v>0</v>
      </c>
      <c r="L421" s="4" t="n">
        <v>1</v>
      </c>
      <c r="M421" s="2" t="n">
        <v>14.2857142857143</v>
      </c>
      <c r="N421" s="2" t="s">
        <v>107</v>
      </c>
      <c r="O421" s="4" t="n">
        <v>3</v>
      </c>
      <c r="Q421" s="2" t="n">
        <v>525</v>
      </c>
      <c r="R421" s="0" t="s">
        <v>273</v>
      </c>
      <c r="S421" s="0" t="s">
        <v>8771</v>
      </c>
    </row>
    <row r="422" customFormat="false" ht="13.8" hidden="false" customHeight="false" outlineLevel="0" collapsed="false">
      <c r="A422" s="0" t="s">
        <v>319</v>
      </c>
      <c r="B422" s="0" t="n">
        <v>70</v>
      </c>
      <c r="C422" s="0" t="s">
        <v>8758</v>
      </c>
      <c r="D422" s="0" t="s">
        <v>682</v>
      </c>
      <c r="E422" s="0" t="s">
        <v>380</v>
      </c>
      <c r="F422" s="4" t="n">
        <v>90</v>
      </c>
      <c r="G422" s="2" t="n">
        <v>428.571428571429</v>
      </c>
      <c r="H422" s="2" t="s">
        <v>109</v>
      </c>
      <c r="I422" s="4" t="n">
        <v>7</v>
      </c>
      <c r="J422" s="2" t="n">
        <v>0</v>
      </c>
      <c r="K422" s="2" t="n">
        <v>0</v>
      </c>
      <c r="L422" s="4" t="n">
        <v>1</v>
      </c>
      <c r="M422" s="2" t="n">
        <v>0</v>
      </c>
      <c r="N422" s="2" t="n">
        <v>0</v>
      </c>
      <c r="O422" s="4" t="n">
        <v>3</v>
      </c>
      <c r="Q422" s="2" t="n">
        <v>526</v>
      </c>
      <c r="R422" s="0" t="s">
        <v>380</v>
      </c>
      <c r="S422" s="0" t="s">
        <v>8772</v>
      </c>
    </row>
    <row r="423" customFormat="false" ht="13.8" hidden="false" customHeight="false" outlineLevel="0" collapsed="false">
      <c r="A423" s="0" t="s">
        <v>319</v>
      </c>
      <c r="B423" s="0" t="n">
        <v>70</v>
      </c>
      <c r="C423" s="0" t="s">
        <v>8758</v>
      </c>
      <c r="D423" s="0" t="s">
        <v>255</v>
      </c>
      <c r="E423" s="0" t="s">
        <v>255</v>
      </c>
      <c r="F423" s="4" t="n">
        <v>48</v>
      </c>
      <c r="G423" s="2" t="n">
        <v>0</v>
      </c>
      <c r="H423" s="2" t="n">
        <v>0</v>
      </c>
      <c r="I423" s="4" t="n">
        <v>2</v>
      </c>
      <c r="J423" s="2" t="n">
        <v>0</v>
      </c>
      <c r="K423" s="2" t="n">
        <v>0</v>
      </c>
      <c r="L423" s="4" t="n">
        <v>1</v>
      </c>
      <c r="M423" s="2" t="n">
        <v>0</v>
      </c>
      <c r="N423" s="2" t="n">
        <v>0</v>
      </c>
      <c r="O423" s="4" t="n">
        <v>3</v>
      </c>
      <c r="Q423" s="2" t="n">
        <v>527</v>
      </c>
      <c r="R423" s="0" t="s">
        <v>255</v>
      </c>
      <c r="S423" s="0" t="s">
        <v>8773</v>
      </c>
    </row>
    <row r="424" customFormat="false" ht="13.8" hidden="false" customHeight="false" outlineLevel="0" collapsed="false">
      <c r="A424" s="0" t="s">
        <v>319</v>
      </c>
      <c r="B424" s="0" t="n">
        <v>70</v>
      </c>
      <c r="C424" s="0" t="s">
        <v>8758</v>
      </c>
      <c r="D424" s="0" t="s">
        <v>645</v>
      </c>
      <c r="E424" s="0" t="s">
        <v>354</v>
      </c>
      <c r="F424" s="4" t="n">
        <v>81</v>
      </c>
      <c r="G424" s="2" t="n">
        <v>0</v>
      </c>
      <c r="H424" s="2" t="n">
        <v>0</v>
      </c>
      <c r="I424" s="4" t="n">
        <v>2</v>
      </c>
      <c r="J424" s="2" t="n">
        <v>1.07142857142857</v>
      </c>
      <c r="K424" s="2" t="s">
        <v>13</v>
      </c>
      <c r="L424" s="4" t="n">
        <v>1</v>
      </c>
      <c r="M424" s="2" t="n">
        <v>0</v>
      </c>
      <c r="N424" s="2" t="n">
        <v>0</v>
      </c>
      <c r="O424" s="4" t="n">
        <v>3</v>
      </c>
      <c r="Q424" s="2" t="n">
        <v>528</v>
      </c>
      <c r="R424" s="0" t="s">
        <v>354</v>
      </c>
      <c r="S424" s="0" t="s">
        <v>8774</v>
      </c>
    </row>
    <row r="425" customFormat="false" ht="13.8" hidden="false" customHeight="false" outlineLevel="0" collapsed="false">
      <c r="A425" s="0" t="s">
        <v>319</v>
      </c>
      <c r="B425" s="0" t="n">
        <v>70</v>
      </c>
      <c r="C425" s="0" t="s">
        <v>8758</v>
      </c>
      <c r="D425" s="0" t="s">
        <v>672</v>
      </c>
      <c r="E425" s="0" t="s">
        <v>456</v>
      </c>
      <c r="F425" s="4" t="n">
        <v>164</v>
      </c>
      <c r="G425" s="2" t="n">
        <v>0</v>
      </c>
      <c r="H425" s="2" t="n">
        <v>0</v>
      </c>
      <c r="I425" s="4" t="n">
        <v>2</v>
      </c>
      <c r="J425" s="2" t="n">
        <v>0.892857142857143</v>
      </c>
      <c r="K425" s="2" t="s">
        <v>20</v>
      </c>
      <c r="L425" s="4" t="n">
        <v>5</v>
      </c>
      <c r="M425" s="2" t="n">
        <v>0</v>
      </c>
      <c r="N425" s="2" t="n">
        <v>0</v>
      </c>
      <c r="O425" s="4" t="n">
        <v>3</v>
      </c>
      <c r="Q425" s="2" t="n">
        <v>529</v>
      </c>
      <c r="R425" s="0" t="s">
        <v>456</v>
      </c>
      <c r="S425" s="0" t="s">
        <v>8775</v>
      </c>
    </row>
    <row r="426" customFormat="false" ht="13.8" hidden="false" customHeight="false" outlineLevel="0" collapsed="false">
      <c r="A426" s="0" t="s">
        <v>319</v>
      </c>
      <c r="B426" s="0" t="n">
        <v>70</v>
      </c>
      <c r="C426" s="0" t="s">
        <v>8758</v>
      </c>
      <c r="D426" s="0" t="s">
        <v>673</v>
      </c>
      <c r="E426" s="0" t="s">
        <v>38</v>
      </c>
      <c r="F426" s="4" t="n">
        <v>105</v>
      </c>
      <c r="G426" s="2" t="n">
        <v>0</v>
      </c>
      <c r="H426" s="2" t="n">
        <v>0</v>
      </c>
      <c r="I426" s="4" t="n">
        <v>2</v>
      </c>
      <c r="J426" s="2" t="n">
        <v>2</v>
      </c>
      <c r="K426" s="2" t="s">
        <v>13</v>
      </c>
      <c r="L426" s="4" t="n">
        <v>1</v>
      </c>
      <c r="M426" s="2" t="n">
        <v>0</v>
      </c>
      <c r="N426" s="2" t="n">
        <v>0</v>
      </c>
      <c r="O426" s="4" t="n">
        <v>3</v>
      </c>
      <c r="Q426" s="2" t="n">
        <v>530</v>
      </c>
      <c r="R426" s="0" t="s">
        <v>38</v>
      </c>
      <c r="S426" s="0" t="s">
        <v>8776</v>
      </c>
    </row>
    <row r="427" customFormat="false" ht="13.8" hidden="false" customHeight="false" outlineLevel="0" collapsed="false">
      <c r="A427" s="0" t="s">
        <v>253</v>
      </c>
      <c r="B427" s="0" t="n">
        <v>48</v>
      </c>
      <c r="C427" s="0" t="s">
        <v>8777</v>
      </c>
      <c r="D427" s="0" t="s">
        <v>683</v>
      </c>
      <c r="E427" s="0" t="s">
        <v>441</v>
      </c>
      <c r="F427" s="4" t="n">
        <v>147</v>
      </c>
      <c r="G427" s="2" t="n">
        <v>2.5</v>
      </c>
      <c r="H427" s="2" t="s">
        <v>7</v>
      </c>
      <c r="I427" s="4" t="n">
        <v>2</v>
      </c>
      <c r="J427" s="2" t="n">
        <v>0</v>
      </c>
      <c r="K427" s="2" t="n">
        <v>0</v>
      </c>
      <c r="L427" s="4" t="n">
        <v>1</v>
      </c>
      <c r="M427" s="2" t="n">
        <v>0</v>
      </c>
      <c r="N427" s="2" t="n">
        <v>0</v>
      </c>
      <c r="O427" s="4" t="n">
        <v>3</v>
      </c>
      <c r="Q427" s="2" t="n">
        <v>535</v>
      </c>
      <c r="R427" s="0" t="s">
        <v>441</v>
      </c>
      <c r="S427" s="0" t="s">
        <v>8778</v>
      </c>
    </row>
    <row r="428" customFormat="false" ht="13.8" hidden="false" customHeight="false" outlineLevel="0" collapsed="false">
      <c r="A428" s="0" t="s">
        <v>253</v>
      </c>
      <c r="B428" s="0" t="n">
        <v>48</v>
      </c>
      <c r="C428" s="0" t="s">
        <v>8777</v>
      </c>
      <c r="D428" s="0" t="s">
        <v>684</v>
      </c>
      <c r="E428" s="0" t="s">
        <v>417</v>
      </c>
      <c r="F428" s="4" t="n">
        <v>122</v>
      </c>
      <c r="G428" s="2" t="n">
        <v>0.5</v>
      </c>
      <c r="H428" s="2" t="s">
        <v>7</v>
      </c>
      <c r="I428" s="4" t="n">
        <v>2</v>
      </c>
      <c r="J428" s="2" t="n">
        <v>0</v>
      </c>
      <c r="K428" s="2" t="n">
        <v>0</v>
      </c>
      <c r="L428" s="4" t="n">
        <v>1</v>
      </c>
      <c r="M428" s="2" t="n">
        <v>0</v>
      </c>
      <c r="N428" s="2" t="n">
        <v>0</v>
      </c>
      <c r="O428" s="4" t="n">
        <v>3</v>
      </c>
      <c r="Q428" s="2" t="n">
        <v>536</v>
      </c>
      <c r="R428" s="0" t="s">
        <v>417</v>
      </c>
      <c r="S428" s="0" t="s">
        <v>8779</v>
      </c>
    </row>
    <row r="429" customFormat="false" ht="13.8" hidden="false" customHeight="false" outlineLevel="0" collapsed="false">
      <c r="A429" s="0" t="s">
        <v>253</v>
      </c>
      <c r="B429" s="0" t="n">
        <v>48</v>
      </c>
      <c r="C429" s="0" t="s">
        <v>8777</v>
      </c>
      <c r="D429" s="0" t="s">
        <v>685</v>
      </c>
      <c r="E429" s="0" t="s">
        <v>116</v>
      </c>
      <c r="F429" s="4" t="n">
        <v>4</v>
      </c>
      <c r="G429" s="2" t="n">
        <v>25</v>
      </c>
      <c r="H429" s="2" t="s">
        <v>109</v>
      </c>
      <c r="I429" s="4" t="n">
        <v>7</v>
      </c>
      <c r="J429" s="2" t="n">
        <v>0</v>
      </c>
      <c r="K429" s="2" t="n">
        <v>0</v>
      </c>
      <c r="L429" s="4" t="n">
        <v>1</v>
      </c>
      <c r="M429" s="2" t="n">
        <v>0</v>
      </c>
      <c r="N429" s="2" t="n">
        <v>0</v>
      </c>
      <c r="O429" s="4" t="n">
        <v>3</v>
      </c>
      <c r="Q429" s="2" t="n">
        <v>537</v>
      </c>
      <c r="R429" s="0" t="s">
        <v>116</v>
      </c>
      <c r="S429" s="0" t="s">
        <v>8780</v>
      </c>
    </row>
    <row r="430" customFormat="false" ht="13.8" hidden="false" customHeight="false" outlineLevel="0" collapsed="false">
      <c r="A430" s="0" t="s">
        <v>253</v>
      </c>
      <c r="B430" s="0" t="n">
        <v>48</v>
      </c>
      <c r="C430" s="0" t="s">
        <v>8777</v>
      </c>
      <c r="D430" s="0" t="s">
        <v>562</v>
      </c>
      <c r="E430" s="0" t="s">
        <v>391</v>
      </c>
      <c r="F430" s="4" t="n">
        <v>95</v>
      </c>
      <c r="G430" s="2" t="n">
        <v>0</v>
      </c>
      <c r="H430" s="2" t="n">
        <v>0</v>
      </c>
      <c r="I430" s="4" t="n">
        <v>2</v>
      </c>
      <c r="J430" s="2" t="n">
        <v>0.25</v>
      </c>
      <c r="K430" s="2" t="s">
        <v>20</v>
      </c>
      <c r="L430" s="4" t="n">
        <v>5</v>
      </c>
      <c r="M430" s="2" t="n">
        <v>0</v>
      </c>
      <c r="N430" s="2" t="n">
        <v>0</v>
      </c>
      <c r="O430" s="4" t="n">
        <v>3</v>
      </c>
      <c r="Q430" s="2" t="n">
        <v>538</v>
      </c>
      <c r="R430" s="0" t="s">
        <v>391</v>
      </c>
      <c r="S430" s="0" t="s">
        <v>8781</v>
      </c>
    </row>
    <row r="431" customFormat="false" ht="13.8" hidden="false" customHeight="false" outlineLevel="0" collapsed="false">
      <c r="A431" s="0" t="s">
        <v>253</v>
      </c>
      <c r="B431" s="0" t="n">
        <v>48</v>
      </c>
      <c r="C431" s="0" t="s">
        <v>8777</v>
      </c>
      <c r="D431" s="0" t="s">
        <v>40</v>
      </c>
      <c r="E431" s="0" t="s">
        <v>237</v>
      </c>
      <c r="F431" s="4" t="n">
        <v>42</v>
      </c>
      <c r="G431" s="2" t="n">
        <v>400</v>
      </c>
      <c r="H431" s="2" t="s">
        <v>109</v>
      </c>
      <c r="I431" s="4" t="n">
        <v>7</v>
      </c>
      <c r="J431" s="2" t="n">
        <v>0</v>
      </c>
      <c r="K431" s="2" t="n">
        <v>0</v>
      </c>
      <c r="L431" s="4" t="n">
        <v>1</v>
      </c>
      <c r="M431" s="2" t="n">
        <v>0</v>
      </c>
      <c r="N431" s="2" t="n">
        <v>0</v>
      </c>
      <c r="O431" s="4" t="n">
        <v>3</v>
      </c>
      <c r="Q431" s="2" t="n">
        <v>539</v>
      </c>
      <c r="R431" s="0" t="s">
        <v>237</v>
      </c>
      <c r="S431" s="0" t="s">
        <v>8782</v>
      </c>
    </row>
    <row r="432" customFormat="false" ht="13.8" hidden="false" customHeight="false" outlineLevel="0" collapsed="false">
      <c r="A432" s="0" t="s">
        <v>253</v>
      </c>
      <c r="B432" s="0" t="n">
        <v>48</v>
      </c>
      <c r="C432" s="0" t="s">
        <v>8777</v>
      </c>
      <c r="D432" s="0" t="s">
        <v>21</v>
      </c>
      <c r="E432" s="0" t="s">
        <v>485</v>
      </c>
      <c r="F432" s="4" t="n">
        <v>195</v>
      </c>
      <c r="G432" s="2" t="n">
        <v>400</v>
      </c>
      <c r="H432" s="2" t="s">
        <v>109</v>
      </c>
      <c r="I432" s="4" t="n">
        <v>7</v>
      </c>
      <c r="J432" s="2" t="n">
        <v>0</v>
      </c>
      <c r="K432" s="2" t="n">
        <v>0</v>
      </c>
      <c r="L432" s="4" t="n">
        <v>1</v>
      </c>
      <c r="M432" s="2" t="n">
        <v>0</v>
      </c>
      <c r="N432" s="2" t="n">
        <v>0</v>
      </c>
      <c r="O432" s="4" t="n">
        <v>3</v>
      </c>
      <c r="Q432" s="2" t="n">
        <v>540</v>
      </c>
      <c r="R432" s="0" t="s">
        <v>485</v>
      </c>
      <c r="S432" s="0" t="s">
        <v>8783</v>
      </c>
    </row>
    <row r="433" customFormat="false" ht="13.8" hidden="false" customHeight="false" outlineLevel="0" collapsed="false">
      <c r="A433" s="0" t="s">
        <v>253</v>
      </c>
      <c r="B433" s="0" t="n">
        <v>48</v>
      </c>
      <c r="C433" s="0" t="s">
        <v>8777</v>
      </c>
      <c r="D433" s="0" t="s">
        <v>686</v>
      </c>
      <c r="E433" s="0" t="s">
        <v>386</v>
      </c>
      <c r="F433" s="4" t="n">
        <v>93</v>
      </c>
      <c r="G433" s="2" t="n">
        <v>100</v>
      </c>
      <c r="H433" s="2" t="s">
        <v>109</v>
      </c>
      <c r="I433" s="4" t="n">
        <v>7</v>
      </c>
      <c r="J433" s="2" t="n">
        <v>0</v>
      </c>
      <c r="K433" s="2" t="n">
        <v>0</v>
      </c>
      <c r="L433" s="4" t="n">
        <v>1</v>
      </c>
      <c r="M433" s="2" t="n">
        <v>0</v>
      </c>
      <c r="N433" s="2" t="n">
        <v>0</v>
      </c>
      <c r="O433" s="4" t="n">
        <v>3</v>
      </c>
      <c r="Q433" s="2" t="n">
        <v>541</v>
      </c>
      <c r="R433" s="0" t="s">
        <v>386</v>
      </c>
      <c r="S433" s="0" t="s">
        <v>8784</v>
      </c>
    </row>
    <row r="434" customFormat="false" ht="13.8" hidden="false" customHeight="false" outlineLevel="0" collapsed="false">
      <c r="A434" s="0" t="s">
        <v>253</v>
      </c>
      <c r="B434" s="0" t="n">
        <v>48</v>
      </c>
      <c r="C434" s="0" t="s">
        <v>8777</v>
      </c>
      <c r="D434" s="0" t="s">
        <v>18</v>
      </c>
      <c r="E434" s="0" t="s">
        <v>102</v>
      </c>
      <c r="F434" s="4" t="n">
        <v>1</v>
      </c>
      <c r="G434" s="2" t="n">
        <v>150</v>
      </c>
      <c r="H434" s="2" t="s">
        <v>109</v>
      </c>
      <c r="I434" s="4" t="n">
        <v>7</v>
      </c>
      <c r="J434" s="2" t="n">
        <v>0</v>
      </c>
      <c r="K434" s="2" t="n">
        <v>0</v>
      </c>
      <c r="L434" s="4" t="n">
        <v>1</v>
      </c>
      <c r="M434" s="2" t="n">
        <v>0</v>
      </c>
      <c r="N434" s="2" t="n">
        <v>0</v>
      </c>
      <c r="O434" s="4" t="n">
        <v>3</v>
      </c>
      <c r="Q434" s="2" t="n">
        <v>542</v>
      </c>
      <c r="R434" s="0" t="s">
        <v>102</v>
      </c>
      <c r="S434" s="0" t="s">
        <v>8785</v>
      </c>
    </row>
    <row r="435" customFormat="false" ht="13.8" hidden="false" customHeight="false" outlineLevel="0" collapsed="false">
      <c r="A435" s="0" t="s">
        <v>253</v>
      </c>
      <c r="B435" s="0" t="n">
        <v>48</v>
      </c>
      <c r="C435" s="0" t="s">
        <v>8777</v>
      </c>
      <c r="D435" s="0" t="s">
        <v>32</v>
      </c>
      <c r="E435" s="0" t="s">
        <v>96</v>
      </c>
      <c r="F435" s="4" t="n">
        <v>177</v>
      </c>
      <c r="G435" s="2" t="n">
        <v>0</v>
      </c>
      <c r="H435" s="2" t="n">
        <v>0</v>
      </c>
      <c r="I435" s="4" t="n">
        <v>2</v>
      </c>
      <c r="J435" s="2" t="n">
        <v>0.4</v>
      </c>
      <c r="K435" s="2" t="s">
        <v>20</v>
      </c>
      <c r="L435" s="4" t="n">
        <v>5</v>
      </c>
      <c r="M435" s="2" t="n">
        <v>0</v>
      </c>
      <c r="N435" s="2" t="n">
        <v>0</v>
      </c>
      <c r="O435" s="4" t="n">
        <v>3</v>
      </c>
      <c r="Q435" s="2" t="n">
        <v>543</v>
      </c>
      <c r="R435" s="0" t="s">
        <v>96</v>
      </c>
      <c r="S435" s="0" t="s">
        <v>8786</v>
      </c>
    </row>
    <row r="436" customFormat="false" ht="13.8" hidden="false" customHeight="false" outlineLevel="0" collapsed="false">
      <c r="A436" s="0" t="s">
        <v>253</v>
      </c>
      <c r="B436" s="0" t="n">
        <v>48</v>
      </c>
      <c r="C436" s="0" t="s">
        <v>8777</v>
      </c>
      <c r="D436" s="0" t="s">
        <v>651</v>
      </c>
      <c r="E436" s="0" t="s">
        <v>38</v>
      </c>
      <c r="F436" s="4" t="n">
        <v>105</v>
      </c>
      <c r="G436" s="2" t="n">
        <v>0</v>
      </c>
      <c r="H436" s="2" t="n">
        <v>0</v>
      </c>
      <c r="I436" s="4" t="n">
        <v>2</v>
      </c>
      <c r="J436" s="2" t="n">
        <v>1</v>
      </c>
      <c r="K436" s="2" t="s">
        <v>13</v>
      </c>
      <c r="L436" s="4" t="n">
        <v>1</v>
      </c>
      <c r="M436" s="2" t="n">
        <v>0</v>
      </c>
      <c r="N436" s="2" t="n">
        <v>0</v>
      </c>
      <c r="O436" s="4" t="n">
        <v>3</v>
      </c>
      <c r="Q436" s="2" t="n">
        <v>544</v>
      </c>
      <c r="R436" s="0" t="s">
        <v>38</v>
      </c>
      <c r="S436" s="0" t="s">
        <v>8787</v>
      </c>
    </row>
    <row r="437" customFormat="false" ht="13.8" hidden="false" customHeight="false" outlineLevel="0" collapsed="false">
      <c r="A437" s="0" t="s">
        <v>253</v>
      </c>
      <c r="B437" s="0" t="n">
        <v>48</v>
      </c>
      <c r="C437" s="0" t="s">
        <v>8777</v>
      </c>
      <c r="D437" s="0" t="s">
        <v>668</v>
      </c>
      <c r="E437" s="0" t="s">
        <v>454</v>
      </c>
      <c r="F437" s="4" t="n">
        <v>162</v>
      </c>
      <c r="G437" s="2" t="n">
        <v>0</v>
      </c>
      <c r="H437" s="2" t="n">
        <v>0</v>
      </c>
      <c r="I437" s="4" t="n">
        <v>2</v>
      </c>
      <c r="J437" s="2" t="n">
        <v>2</v>
      </c>
      <c r="K437" s="2" t="s">
        <v>13</v>
      </c>
      <c r="L437" s="4" t="n">
        <v>1</v>
      </c>
      <c r="M437" s="2" t="n">
        <v>0</v>
      </c>
      <c r="N437" s="2" t="n">
        <v>0</v>
      </c>
      <c r="O437" s="4" t="n">
        <v>3</v>
      </c>
      <c r="Q437" s="2" t="n">
        <v>545</v>
      </c>
      <c r="R437" s="0" t="s">
        <v>454</v>
      </c>
      <c r="S437" s="0" t="s">
        <v>8788</v>
      </c>
    </row>
    <row r="438" customFormat="false" ht="13.8" hidden="false" customHeight="false" outlineLevel="0" collapsed="false">
      <c r="A438" s="0" t="s">
        <v>253</v>
      </c>
      <c r="B438" s="0" t="n">
        <v>48</v>
      </c>
      <c r="C438" s="0" t="s">
        <v>8777</v>
      </c>
      <c r="D438" s="0" t="s">
        <v>568</v>
      </c>
      <c r="E438" s="0" t="s">
        <v>312</v>
      </c>
      <c r="F438" s="4" t="n">
        <v>67</v>
      </c>
      <c r="G438" s="2" t="n">
        <v>0</v>
      </c>
      <c r="H438" s="2" t="n">
        <v>0</v>
      </c>
      <c r="I438" s="4" t="n">
        <v>2</v>
      </c>
      <c r="J438" s="2" t="n">
        <v>2</v>
      </c>
      <c r="K438" s="2" t="s">
        <v>13</v>
      </c>
      <c r="L438" s="4" t="n">
        <v>1</v>
      </c>
      <c r="M438" s="2" t="n">
        <v>0</v>
      </c>
      <c r="N438" s="2" t="n">
        <v>0</v>
      </c>
      <c r="O438" s="4" t="n">
        <v>3</v>
      </c>
      <c r="Q438" s="2" t="n">
        <v>546</v>
      </c>
      <c r="R438" s="0" t="s">
        <v>312</v>
      </c>
      <c r="S438" s="0" t="s">
        <v>8789</v>
      </c>
    </row>
    <row r="439" customFormat="false" ht="13.8" hidden="false" customHeight="false" outlineLevel="0" collapsed="false">
      <c r="A439" s="0" t="s">
        <v>253</v>
      </c>
      <c r="B439" s="0" t="n">
        <v>48</v>
      </c>
      <c r="C439" s="0" t="s">
        <v>8777</v>
      </c>
      <c r="D439" s="0" t="s">
        <v>635</v>
      </c>
      <c r="E439" s="0" t="s">
        <v>204</v>
      </c>
      <c r="F439" s="4" t="n">
        <v>31</v>
      </c>
      <c r="G439" s="2" t="n">
        <v>0</v>
      </c>
      <c r="H439" s="2" t="n">
        <v>0</v>
      </c>
      <c r="I439" s="4" t="n">
        <v>2</v>
      </c>
      <c r="J439" s="2" t="n">
        <v>0.5</v>
      </c>
      <c r="K439" s="2" t="s">
        <v>20</v>
      </c>
      <c r="L439" s="4" t="n">
        <v>5</v>
      </c>
      <c r="M439" s="2" t="n">
        <v>0</v>
      </c>
      <c r="N439" s="2" t="n">
        <v>0</v>
      </c>
      <c r="O439" s="4" t="n">
        <v>3</v>
      </c>
      <c r="Q439" s="2" t="n">
        <v>547</v>
      </c>
      <c r="R439" s="0" t="s">
        <v>204</v>
      </c>
      <c r="S439" s="0" t="s">
        <v>8790</v>
      </c>
    </row>
    <row r="440" customFormat="false" ht="13.8" hidden="false" customHeight="false" outlineLevel="0" collapsed="false">
      <c r="A440" s="0" t="s">
        <v>253</v>
      </c>
      <c r="B440" s="0" t="n">
        <v>48</v>
      </c>
      <c r="C440" s="0" t="s">
        <v>8777</v>
      </c>
      <c r="D440" s="0" t="s">
        <v>687</v>
      </c>
      <c r="E440" s="0" t="s">
        <v>189</v>
      </c>
      <c r="F440" s="4" t="n">
        <v>26</v>
      </c>
      <c r="G440" s="2" t="n">
        <v>0</v>
      </c>
      <c r="H440" s="2" t="n">
        <v>0</v>
      </c>
      <c r="I440" s="4" t="n">
        <v>2</v>
      </c>
      <c r="J440" s="2" t="n">
        <v>11</v>
      </c>
      <c r="K440" s="2" t="s">
        <v>13</v>
      </c>
      <c r="L440" s="4" t="n">
        <v>1</v>
      </c>
      <c r="M440" s="2" t="n">
        <v>0</v>
      </c>
      <c r="N440" s="2" t="n">
        <v>0</v>
      </c>
      <c r="O440" s="4" t="n">
        <v>3</v>
      </c>
      <c r="Q440" s="2" t="n">
        <v>548</v>
      </c>
      <c r="R440" s="0" t="s">
        <v>189</v>
      </c>
      <c r="S440" s="0" t="s">
        <v>8791</v>
      </c>
    </row>
    <row r="441" customFormat="false" ht="13.8" hidden="false" customHeight="false" outlineLevel="0" collapsed="false">
      <c r="A441" s="0" t="s">
        <v>253</v>
      </c>
      <c r="B441" s="0" t="n">
        <v>48</v>
      </c>
      <c r="C441" s="0" t="s">
        <v>8777</v>
      </c>
      <c r="D441" s="0" t="s">
        <v>687</v>
      </c>
      <c r="E441" s="0" t="s">
        <v>189</v>
      </c>
      <c r="F441" s="4" t="n">
        <v>26</v>
      </c>
      <c r="G441" s="2" t="n">
        <v>0</v>
      </c>
      <c r="H441" s="2" t="n">
        <v>0</v>
      </c>
      <c r="I441" s="4" t="n">
        <v>2</v>
      </c>
      <c r="J441" s="2" t="n">
        <v>0.3</v>
      </c>
      <c r="K441" s="2" t="s">
        <v>27</v>
      </c>
      <c r="L441" s="4" t="n">
        <v>4</v>
      </c>
      <c r="M441" s="2" t="n">
        <v>0</v>
      </c>
      <c r="N441" s="2" t="n">
        <v>0</v>
      </c>
      <c r="O441" s="4" t="n">
        <v>3</v>
      </c>
      <c r="Q441" s="2" t="n">
        <v>549</v>
      </c>
      <c r="R441" s="0" t="s">
        <v>189</v>
      </c>
      <c r="S441" s="0" t="s">
        <v>8792</v>
      </c>
    </row>
    <row r="442" customFormat="false" ht="13.8" hidden="false" customHeight="false" outlineLevel="0" collapsed="false">
      <c r="A442" s="0" t="s">
        <v>352</v>
      </c>
      <c r="B442" s="0" t="n">
        <v>81</v>
      </c>
      <c r="C442" s="0" t="s">
        <v>8793</v>
      </c>
      <c r="D442" s="0" t="s">
        <v>689</v>
      </c>
      <c r="E442" s="0" t="s">
        <v>484</v>
      </c>
      <c r="F442" s="4" t="n">
        <v>194</v>
      </c>
      <c r="G442" s="2" t="n">
        <v>0</v>
      </c>
      <c r="H442" s="2" t="n">
        <v>0</v>
      </c>
      <c r="I442" s="4" t="n">
        <v>2</v>
      </c>
      <c r="J442" s="2" t="n">
        <v>0.2</v>
      </c>
      <c r="K442" s="2" t="s">
        <v>13</v>
      </c>
      <c r="L442" s="4" t="n">
        <v>1</v>
      </c>
      <c r="M442" s="2" t="n">
        <v>0</v>
      </c>
      <c r="N442" s="2" t="n">
        <v>0</v>
      </c>
      <c r="O442" s="4" t="n">
        <v>3</v>
      </c>
      <c r="Q442" s="2" t="n">
        <v>553</v>
      </c>
      <c r="R442" s="0" t="s">
        <v>484</v>
      </c>
      <c r="S442" s="0" t="s">
        <v>8794</v>
      </c>
    </row>
    <row r="443" customFormat="false" ht="13.8" hidden="false" customHeight="false" outlineLevel="0" collapsed="false">
      <c r="A443" s="0" t="s">
        <v>352</v>
      </c>
      <c r="B443" s="0" t="n">
        <v>81</v>
      </c>
      <c r="C443" s="0" t="s">
        <v>8793</v>
      </c>
      <c r="D443" s="0" t="s">
        <v>562</v>
      </c>
      <c r="E443" s="0" t="s">
        <v>391</v>
      </c>
      <c r="F443" s="4" t="n">
        <v>95</v>
      </c>
      <c r="G443" s="2" t="n">
        <v>0</v>
      </c>
      <c r="H443" s="2" t="n">
        <v>0</v>
      </c>
      <c r="I443" s="4" t="n">
        <v>2</v>
      </c>
      <c r="J443" s="2" t="n">
        <v>0.2</v>
      </c>
      <c r="K443" s="2" t="s">
        <v>20</v>
      </c>
      <c r="L443" s="4" t="n">
        <v>5</v>
      </c>
      <c r="M443" s="2" t="n">
        <v>0</v>
      </c>
      <c r="N443" s="2" t="n">
        <v>0</v>
      </c>
      <c r="O443" s="4" t="n">
        <v>3</v>
      </c>
      <c r="Q443" s="2" t="n">
        <v>554</v>
      </c>
      <c r="R443" s="0" t="s">
        <v>391</v>
      </c>
      <c r="S443" s="0" t="s">
        <v>8795</v>
      </c>
    </row>
    <row r="444" customFormat="false" ht="13.8" hidden="false" customHeight="false" outlineLevel="0" collapsed="false">
      <c r="A444" s="0" t="s">
        <v>352</v>
      </c>
      <c r="B444" s="0" t="n">
        <v>81</v>
      </c>
      <c r="C444" s="0" t="s">
        <v>8793</v>
      </c>
      <c r="D444" s="0" t="s">
        <v>690</v>
      </c>
      <c r="E444" s="0" t="s">
        <v>447</v>
      </c>
      <c r="F444" s="4" t="n">
        <v>154</v>
      </c>
      <c r="G444" s="2" t="n">
        <v>0.04</v>
      </c>
      <c r="H444" s="2" t="s">
        <v>7</v>
      </c>
      <c r="I444" s="4" t="n">
        <v>2</v>
      </c>
      <c r="J444" s="2" t="n">
        <v>0</v>
      </c>
      <c r="K444" s="2" t="n">
        <v>0</v>
      </c>
      <c r="L444" s="4" t="n">
        <v>1</v>
      </c>
      <c r="M444" s="2" t="n">
        <v>0</v>
      </c>
      <c r="N444" s="2" t="n">
        <v>0</v>
      </c>
      <c r="O444" s="4" t="n">
        <v>3</v>
      </c>
      <c r="Q444" s="2" t="n">
        <v>555</v>
      </c>
      <c r="R444" s="0" t="s">
        <v>447</v>
      </c>
      <c r="S444" s="0" t="s">
        <v>8796</v>
      </c>
    </row>
    <row r="445" customFormat="false" ht="13.8" hidden="false" customHeight="false" outlineLevel="0" collapsed="false">
      <c r="A445" s="0" t="s">
        <v>352</v>
      </c>
      <c r="B445" s="0" t="n">
        <v>81</v>
      </c>
      <c r="C445" s="0" t="s">
        <v>8793</v>
      </c>
      <c r="D445" s="0" t="s">
        <v>542</v>
      </c>
      <c r="E445" s="0" t="s">
        <v>412</v>
      </c>
      <c r="F445" s="4" t="n">
        <v>117</v>
      </c>
      <c r="G445" s="2" t="n">
        <v>0.02</v>
      </c>
      <c r="H445" s="2" t="s">
        <v>7</v>
      </c>
      <c r="I445" s="4" t="n">
        <v>2</v>
      </c>
      <c r="J445" s="2" t="n">
        <v>0</v>
      </c>
      <c r="K445" s="2" t="n">
        <v>0</v>
      </c>
      <c r="L445" s="4" t="n">
        <v>1</v>
      </c>
      <c r="M445" s="2" t="n">
        <v>0</v>
      </c>
      <c r="N445" s="2" t="n">
        <v>0</v>
      </c>
      <c r="O445" s="4" t="n">
        <v>3</v>
      </c>
      <c r="Q445" s="2" t="n">
        <v>556</v>
      </c>
      <c r="R445" s="0" t="s">
        <v>412</v>
      </c>
      <c r="S445" s="0" t="s">
        <v>8797</v>
      </c>
    </row>
    <row r="446" customFormat="false" ht="13.8" hidden="false" customHeight="false" outlineLevel="0" collapsed="false">
      <c r="A446" s="0" t="s">
        <v>352</v>
      </c>
      <c r="B446" s="0" t="n">
        <v>81</v>
      </c>
      <c r="C446" s="0" t="s">
        <v>8793</v>
      </c>
      <c r="D446" s="0" t="s">
        <v>668</v>
      </c>
      <c r="E446" s="0" t="s">
        <v>454</v>
      </c>
      <c r="F446" s="4" t="n">
        <v>162</v>
      </c>
      <c r="G446" s="2" t="n">
        <v>0</v>
      </c>
      <c r="H446" s="2" t="n">
        <v>0</v>
      </c>
      <c r="I446" s="4" t="n">
        <v>2</v>
      </c>
      <c r="J446" s="2" t="n">
        <v>3.5</v>
      </c>
      <c r="K446" s="2" t="s">
        <v>13</v>
      </c>
      <c r="L446" s="4" t="n">
        <v>1</v>
      </c>
      <c r="M446" s="2" t="n">
        <v>0</v>
      </c>
      <c r="N446" s="2" t="n">
        <v>0</v>
      </c>
      <c r="O446" s="4" t="n">
        <v>3</v>
      </c>
      <c r="Q446" s="2" t="n">
        <v>557</v>
      </c>
      <c r="R446" s="0" t="s">
        <v>454</v>
      </c>
      <c r="S446" s="0" t="s">
        <v>8798</v>
      </c>
    </row>
    <row r="447" customFormat="false" ht="13.8" hidden="false" customHeight="false" outlineLevel="0" collapsed="false">
      <c r="A447" s="0" t="s">
        <v>352</v>
      </c>
      <c r="B447" s="0" t="n">
        <v>81</v>
      </c>
      <c r="C447" s="0" t="s">
        <v>8793</v>
      </c>
      <c r="D447" s="0" t="s">
        <v>21</v>
      </c>
      <c r="E447" s="0" t="s">
        <v>485</v>
      </c>
      <c r="F447" s="4" t="n">
        <v>195</v>
      </c>
      <c r="G447" s="2" t="n">
        <v>5</v>
      </c>
      <c r="H447" s="2" t="s">
        <v>7</v>
      </c>
      <c r="I447" s="4" t="n">
        <v>2</v>
      </c>
      <c r="J447" s="2" t="n">
        <v>0</v>
      </c>
      <c r="K447" s="2" t="n">
        <v>0</v>
      </c>
      <c r="L447" s="4" t="n">
        <v>1</v>
      </c>
      <c r="M447" s="2" t="n">
        <v>0</v>
      </c>
      <c r="N447" s="2" t="n">
        <v>0</v>
      </c>
      <c r="O447" s="4" t="n">
        <v>3</v>
      </c>
      <c r="Q447" s="2" t="n">
        <v>558</v>
      </c>
      <c r="R447" s="0" t="s">
        <v>485</v>
      </c>
      <c r="S447" s="0" t="s">
        <v>8799</v>
      </c>
    </row>
    <row r="448" customFormat="false" ht="13.8" hidden="false" customHeight="false" outlineLevel="0" collapsed="false">
      <c r="A448" s="0" t="s">
        <v>352</v>
      </c>
      <c r="B448" s="0" t="n">
        <v>81</v>
      </c>
      <c r="C448" s="0" t="s">
        <v>8793</v>
      </c>
      <c r="D448" s="0" t="s">
        <v>32</v>
      </c>
      <c r="E448" s="0" t="s">
        <v>96</v>
      </c>
      <c r="F448" s="4" t="n">
        <v>177</v>
      </c>
      <c r="G448" s="2" t="n">
        <v>0</v>
      </c>
      <c r="H448" s="2" t="n">
        <v>0</v>
      </c>
      <c r="I448" s="4" t="n">
        <v>2</v>
      </c>
      <c r="J448" s="2" t="n">
        <v>0.6</v>
      </c>
      <c r="K448" s="2" t="s">
        <v>20</v>
      </c>
      <c r="L448" s="4" t="n">
        <v>5</v>
      </c>
      <c r="M448" s="2" t="n">
        <v>0</v>
      </c>
      <c r="N448" s="2" t="n">
        <v>0</v>
      </c>
      <c r="O448" s="4" t="n">
        <v>3</v>
      </c>
      <c r="Q448" s="2" t="n">
        <v>559</v>
      </c>
      <c r="R448" s="0" t="s">
        <v>96</v>
      </c>
      <c r="S448" s="0" t="s">
        <v>8800</v>
      </c>
    </row>
    <row r="449" customFormat="false" ht="13.8" hidden="false" customHeight="false" outlineLevel="0" collapsed="false">
      <c r="A449" s="0" t="s">
        <v>352</v>
      </c>
      <c r="B449" s="0" t="n">
        <v>81</v>
      </c>
      <c r="C449" s="0" t="s">
        <v>8793</v>
      </c>
      <c r="D449" s="0" t="s">
        <v>584</v>
      </c>
      <c r="E449" s="0" t="s">
        <v>255</v>
      </c>
      <c r="F449" s="4" t="n">
        <v>48</v>
      </c>
      <c r="G449" s="2" t="n">
        <v>0</v>
      </c>
      <c r="H449" s="2" t="n">
        <v>0</v>
      </c>
      <c r="I449" s="4" t="n">
        <v>2</v>
      </c>
      <c r="J449" s="2" t="n">
        <v>0</v>
      </c>
      <c r="K449" s="2" t="n">
        <v>0</v>
      </c>
      <c r="L449" s="4" t="n">
        <v>1</v>
      </c>
      <c r="M449" s="2" t="n">
        <v>0</v>
      </c>
      <c r="N449" s="2" t="n">
        <v>0</v>
      </c>
      <c r="O449" s="4" t="n">
        <v>3</v>
      </c>
      <c r="Q449" s="2" t="n">
        <v>560</v>
      </c>
      <c r="R449" s="0" t="s">
        <v>255</v>
      </c>
      <c r="S449" s="0" t="s">
        <v>8801</v>
      </c>
    </row>
    <row r="450" customFormat="false" ht="13.8" hidden="false" customHeight="false" outlineLevel="0" collapsed="false">
      <c r="A450" s="0" t="s">
        <v>352</v>
      </c>
      <c r="B450" s="0" t="n">
        <v>81</v>
      </c>
      <c r="C450" s="0" t="s">
        <v>8793</v>
      </c>
      <c r="D450" s="0" t="s">
        <v>689</v>
      </c>
      <c r="E450" s="0" t="s">
        <v>484</v>
      </c>
      <c r="F450" s="4" t="n">
        <v>194</v>
      </c>
      <c r="G450" s="2" t="n">
        <v>0</v>
      </c>
      <c r="H450" s="2" t="n">
        <v>0</v>
      </c>
      <c r="I450" s="4" t="n">
        <v>2</v>
      </c>
      <c r="J450" s="2" t="n">
        <v>0.1</v>
      </c>
      <c r="K450" s="2" t="s">
        <v>13</v>
      </c>
      <c r="L450" s="4" t="n">
        <v>1</v>
      </c>
      <c r="M450" s="2" t="n">
        <v>0</v>
      </c>
      <c r="N450" s="2" t="n">
        <v>0</v>
      </c>
      <c r="O450" s="4" t="n">
        <v>3</v>
      </c>
      <c r="Q450" s="2" t="n">
        <v>561</v>
      </c>
      <c r="R450" s="0" t="s">
        <v>484</v>
      </c>
      <c r="S450" s="0" t="s">
        <v>8802</v>
      </c>
    </row>
    <row r="451" customFormat="false" ht="13.8" hidden="false" customHeight="false" outlineLevel="0" collapsed="false">
      <c r="A451" s="0" t="s">
        <v>352</v>
      </c>
      <c r="B451" s="0" t="n">
        <v>81</v>
      </c>
      <c r="C451" s="0" t="s">
        <v>8793</v>
      </c>
      <c r="D451" s="0" t="s">
        <v>570</v>
      </c>
      <c r="E451" s="0" t="s">
        <v>456</v>
      </c>
      <c r="F451" s="4" t="n">
        <v>164</v>
      </c>
      <c r="G451" s="2" t="n">
        <v>0</v>
      </c>
      <c r="H451" s="2" t="n">
        <v>0</v>
      </c>
      <c r="I451" s="4" t="n">
        <v>2</v>
      </c>
      <c r="J451" s="2" t="n">
        <v>0.2</v>
      </c>
      <c r="K451" s="2" t="s">
        <v>20</v>
      </c>
      <c r="L451" s="4" t="n">
        <v>5</v>
      </c>
      <c r="M451" s="2" t="n">
        <v>0</v>
      </c>
      <c r="N451" s="2" t="n">
        <v>0</v>
      </c>
      <c r="O451" s="4" t="n">
        <v>3</v>
      </c>
      <c r="Q451" s="2" t="n">
        <v>562</v>
      </c>
      <c r="R451" s="0" t="s">
        <v>456</v>
      </c>
      <c r="S451" s="0" t="s">
        <v>8803</v>
      </c>
    </row>
    <row r="452" customFormat="false" ht="13.8" hidden="false" customHeight="false" outlineLevel="0" collapsed="false">
      <c r="A452" s="0" t="s">
        <v>352</v>
      </c>
      <c r="B452" s="0" t="n">
        <v>81</v>
      </c>
      <c r="C452" s="0" t="s">
        <v>8793</v>
      </c>
      <c r="D452" s="0" t="s">
        <v>14</v>
      </c>
      <c r="E452" s="0" t="s">
        <v>398</v>
      </c>
      <c r="F452" s="4" t="n">
        <v>102</v>
      </c>
      <c r="G452" s="2" t="n">
        <v>0</v>
      </c>
      <c r="H452" s="2" t="n">
        <v>0</v>
      </c>
      <c r="I452" s="4" t="n">
        <v>2</v>
      </c>
      <c r="J452" s="2" t="n">
        <v>0.2</v>
      </c>
      <c r="K452" s="2" t="s">
        <v>20</v>
      </c>
      <c r="L452" s="4" t="n">
        <v>5</v>
      </c>
      <c r="M452" s="2" t="n">
        <v>0</v>
      </c>
      <c r="N452" s="2" t="n">
        <v>0</v>
      </c>
      <c r="O452" s="4" t="n">
        <v>3</v>
      </c>
      <c r="Q452" s="2" t="n">
        <v>563</v>
      </c>
      <c r="R452" s="0" t="s">
        <v>398</v>
      </c>
      <c r="S452" s="0" t="s">
        <v>8804</v>
      </c>
    </row>
    <row r="453" customFormat="false" ht="13.8" hidden="false" customHeight="false" outlineLevel="0" collapsed="false">
      <c r="A453" s="0" t="s">
        <v>352</v>
      </c>
      <c r="B453" s="0" t="n">
        <v>81</v>
      </c>
      <c r="C453" s="0" t="s">
        <v>8793</v>
      </c>
      <c r="D453" s="0" t="s">
        <v>586</v>
      </c>
      <c r="E453" s="0" t="s">
        <v>38</v>
      </c>
      <c r="F453" s="4" t="n">
        <v>105</v>
      </c>
      <c r="G453" s="2" t="n">
        <v>0</v>
      </c>
      <c r="H453" s="2" t="n">
        <v>0</v>
      </c>
      <c r="I453" s="4" t="n">
        <v>2</v>
      </c>
      <c r="J453" s="2" t="n">
        <v>2</v>
      </c>
      <c r="K453" s="2" t="s">
        <v>20</v>
      </c>
      <c r="L453" s="4" t="n">
        <v>5</v>
      </c>
      <c r="M453" s="2" t="n">
        <v>0</v>
      </c>
      <c r="N453" s="2" t="n">
        <v>0</v>
      </c>
      <c r="O453" s="4" t="n">
        <v>3</v>
      </c>
      <c r="Q453" s="2" t="n">
        <v>564</v>
      </c>
      <c r="R453" s="0" t="s">
        <v>38</v>
      </c>
      <c r="S453" s="0" t="s">
        <v>8805</v>
      </c>
    </row>
    <row r="454" customFormat="false" ht="13.8" hidden="false" customHeight="false" outlineLevel="0" collapsed="false">
      <c r="A454" s="0" t="s">
        <v>196</v>
      </c>
      <c r="B454" s="0" t="n">
        <v>29</v>
      </c>
      <c r="C454" s="0" t="s">
        <v>8806</v>
      </c>
      <c r="D454" s="0" t="s">
        <v>692</v>
      </c>
      <c r="E454" s="0" t="s">
        <v>426</v>
      </c>
      <c r="F454" s="4" t="n">
        <v>132</v>
      </c>
      <c r="G454" s="2" t="n">
        <v>10</v>
      </c>
      <c r="H454" s="2" t="s">
        <v>7</v>
      </c>
      <c r="I454" s="4" t="n">
        <v>2</v>
      </c>
      <c r="J454" s="2" t="n">
        <v>0</v>
      </c>
      <c r="K454" s="2" t="n">
        <v>0</v>
      </c>
      <c r="L454" s="4" t="n">
        <v>1</v>
      </c>
      <c r="M454" s="2" t="n">
        <v>0</v>
      </c>
      <c r="N454" s="2" t="n">
        <v>0</v>
      </c>
      <c r="O454" s="4" t="n">
        <v>3</v>
      </c>
      <c r="Q454" s="2" t="n">
        <v>571</v>
      </c>
      <c r="R454" s="0" t="s">
        <v>426</v>
      </c>
      <c r="S454" s="0" t="s">
        <v>8807</v>
      </c>
    </row>
    <row r="455" customFormat="false" ht="13.8" hidden="false" customHeight="false" outlineLevel="0" collapsed="false">
      <c r="A455" s="0" t="s">
        <v>196</v>
      </c>
      <c r="B455" s="0" t="n">
        <v>29</v>
      </c>
      <c r="C455" s="0" t="s">
        <v>8806</v>
      </c>
      <c r="D455" s="0" t="s">
        <v>693</v>
      </c>
      <c r="E455" s="0" t="s">
        <v>482</v>
      </c>
      <c r="F455" s="4" t="n">
        <v>192</v>
      </c>
      <c r="G455" s="2" t="n">
        <v>0</v>
      </c>
      <c r="H455" s="2" t="n">
        <v>0</v>
      </c>
      <c r="I455" s="4" t="n">
        <v>2</v>
      </c>
      <c r="J455" s="2" t="n">
        <v>6</v>
      </c>
      <c r="K455" s="2" t="s">
        <v>13</v>
      </c>
      <c r="L455" s="4" t="n">
        <v>1</v>
      </c>
      <c r="M455" s="2" t="n">
        <v>0</v>
      </c>
      <c r="N455" s="2" t="n">
        <v>0</v>
      </c>
      <c r="O455" s="4" t="n">
        <v>3</v>
      </c>
      <c r="Q455" s="2" t="n">
        <v>572</v>
      </c>
      <c r="R455" s="0" t="s">
        <v>482</v>
      </c>
      <c r="S455" s="0" t="s">
        <v>8808</v>
      </c>
    </row>
    <row r="456" customFormat="false" ht="13.8" hidden="false" customHeight="false" outlineLevel="0" collapsed="false">
      <c r="A456" s="0" t="s">
        <v>196</v>
      </c>
      <c r="B456" s="0" t="n">
        <v>29</v>
      </c>
      <c r="C456" s="0" t="s">
        <v>8806</v>
      </c>
      <c r="D456" s="0" t="s">
        <v>544</v>
      </c>
      <c r="E456" s="0" t="s">
        <v>112</v>
      </c>
      <c r="F456" s="4" t="n">
        <v>3</v>
      </c>
      <c r="G456" s="2" t="n">
        <v>0</v>
      </c>
      <c r="H456" s="2" t="n">
        <v>0</v>
      </c>
      <c r="I456" s="4" t="n">
        <v>2</v>
      </c>
      <c r="J456" s="2" t="n">
        <v>3</v>
      </c>
      <c r="K456" s="2" t="s">
        <v>13</v>
      </c>
      <c r="L456" s="4" t="n">
        <v>1</v>
      </c>
      <c r="M456" s="2" t="n">
        <v>0</v>
      </c>
      <c r="N456" s="2" t="n">
        <v>0</v>
      </c>
      <c r="O456" s="4" t="n">
        <v>3</v>
      </c>
      <c r="Q456" s="2" t="n">
        <v>573</v>
      </c>
      <c r="R456" s="0" t="s">
        <v>112</v>
      </c>
      <c r="S456" s="0" t="s">
        <v>8809</v>
      </c>
    </row>
    <row r="457" customFormat="false" ht="13.8" hidden="false" customHeight="false" outlineLevel="0" collapsed="false">
      <c r="A457" s="0" t="s">
        <v>196</v>
      </c>
      <c r="B457" s="0" t="n">
        <v>29</v>
      </c>
      <c r="C457" s="0" t="s">
        <v>8806</v>
      </c>
      <c r="D457" s="0" t="s">
        <v>675</v>
      </c>
      <c r="E457" s="0" t="s">
        <v>401</v>
      </c>
      <c r="F457" s="4" t="n">
        <v>106</v>
      </c>
      <c r="G457" s="2" t="n">
        <v>0</v>
      </c>
      <c r="H457" s="2" t="n">
        <v>0</v>
      </c>
      <c r="I457" s="4" t="n">
        <v>2</v>
      </c>
      <c r="J457" s="2" t="n">
        <v>0</v>
      </c>
      <c r="K457" s="2" t="n">
        <v>0</v>
      </c>
      <c r="L457" s="4" t="n">
        <v>1</v>
      </c>
      <c r="M457" s="2" t="n">
        <v>600</v>
      </c>
      <c r="N457" s="2" t="s">
        <v>107</v>
      </c>
      <c r="O457" s="4" t="n">
        <v>3</v>
      </c>
      <c r="Q457" s="2" t="n">
        <v>574</v>
      </c>
      <c r="R457" s="0" t="s">
        <v>401</v>
      </c>
      <c r="S457" s="0" t="s">
        <v>8810</v>
      </c>
    </row>
    <row r="458" customFormat="false" ht="13.8" hidden="false" customHeight="false" outlineLevel="0" collapsed="false">
      <c r="A458" s="0" t="s">
        <v>196</v>
      </c>
      <c r="B458" s="0" t="n">
        <v>29</v>
      </c>
      <c r="C458" s="0" t="s">
        <v>8806</v>
      </c>
      <c r="D458" s="0" t="s">
        <v>694</v>
      </c>
      <c r="E458" s="0" t="s">
        <v>386</v>
      </c>
      <c r="F458" s="4" t="n">
        <v>93</v>
      </c>
      <c r="G458" s="2" t="n">
        <v>0</v>
      </c>
      <c r="H458" s="2" t="n">
        <v>0</v>
      </c>
      <c r="I458" s="4" t="n">
        <v>2</v>
      </c>
      <c r="J458" s="2" t="n">
        <v>3</v>
      </c>
      <c r="K458" s="2" t="s">
        <v>13</v>
      </c>
      <c r="L458" s="4" t="n">
        <v>1</v>
      </c>
      <c r="M458" s="2" t="n">
        <v>0</v>
      </c>
      <c r="N458" s="2" t="n">
        <v>0</v>
      </c>
      <c r="O458" s="4" t="n">
        <v>3</v>
      </c>
      <c r="Q458" s="2" t="n">
        <v>575</v>
      </c>
      <c r="R458" s="0" t="s">
        <v>386</v>
      </c>
      <c r="S458" s="0" t="s">
        <v>8811</v>
      </c>
    </row>
    <row r="459" customFormat="false" ht="13.8" hidden="false" customHeight="false" outlineLevel="0" collapsed="false">
      <c r="A459" s="0" t="s">
        <v>196</v>
      </c>
      <c r="B459" s="0" t="n">
        <v>29</v>
      </c>
      <c r="C459" s="0" t="s">
        <v>8806</v>
      </c>
      <c r="D459" s="0" t="s">
        <v>696</v>
      </c>
      <c r="E459" s="0" t="s">
        <v>446</v>
      </c>
      <c r="F459" s="4" t="n">
        <v>153</v>
      </c>
      <c r="G459" s="2" t="n">
        <v>0</v>
      </c>
      <c r="H459" s="2" t="n">
        <v>0</v>
      </c>
      <c r="I459" s="4" t="n">
        <v>2</v>
      </c>
      <c r="J459" s="2" t="n">
        <v>40</v>
      </c>
      <c r="K459" s="2" t="s">
        <v>13</v>
      </c>
      <c r="L459" s="4" t="n">
        <v>1</v>
      </c>
      <c r="M459" s="2" t="n">
        <v>0</v>
      </c>
      <c r="N459" s="2" t="n">
        <v>0</v>
      </c>
      <c r="O459" s="4" t="n">
        <v>3</v>
      </c>
      <c r="Q459" s="2" t="n">
        <v>577</v>
      </c>
      <c r="R459" s="0" t="s">
        <v>446</v>
      </c>
      <c r="S459" s="0" t="s">
        <v>8812</v>
      </c>
    </row>
    <row r="460" customFormat="false" ht="13.8" hidden="false" customHeight="false" outlineLevel="0" collapsed="false">
      <c r="A460" s="0" t="s">
        <v>196</v>
      </c>
      <c r="B460" s="0" t="n">
        <v>29</v>
      </c>
      <c r="C460" s="0" t="s">
        <v>8806</v>
      </c>
      <c r="D460" s="0" t="s">
        <v>697</v>
      </c>
      <c r="E460" s="0" t="s">
        <v>106</v>
      </c>
      <c r="F460" s="4" t="n">
        <v>2</v>
      </c>
      <c r="G460" s="2" t="n">
        <v>0</v>
      </c>
      <c r="H460" s="2" t="n">
        <v>0</v>
      </c>
      <c r="I460" s="4" t="n">
        <v>2</v>
      </c>
      <c r="J460" s="2" t="n">
        <v>3</v>
      </c>
      <c r="K460" s="2" t="s">
        <v>13</v>
      </c>
      <c r="L460" s="4" t="n">
        <v>1</v>
      </c>
      <c r="M460" s="2" t="n">
        <v>0</v>
      </c>
      <c r="N460" s="2" t="n">
        <v>0</v>
      </c>
      <c r="O460" s="4" t="n">
        <v>3</v>
      </c>
      <c r="Q460" s="2" t="n">
        <v>578</v>
      </c>
      <c r="R460" s="0" t="s">
        <v>106</v>
      </c>
      <c r="S460" s="0" t="s">
        <v>8813</v>
      </c>
    </row>
    <row r="461" customFormat="false" ht="13.8" hidden="false" customHeight="false" outlineLevel="0" collapsed="false">
      <c r="A461" s="0" t="s">
        <v>196</v>
      </c>
      <c r="B461" s="0" t="n">
        <v>29</v>
      </c>
      <c r="C461" s="0" t="s">
        <v>8806</v>
      </c>
      <c r="D461" s="0" t="s">
        <v>698</v>
      </c>
      <c r="E461" s="0" t="s">
        <v>363</v>
      </c>
      <c r="F461" s="4" t="n">
        <v>84</v>
      </c>
      <c r="G461" s="2" t="n">
        <v>0</v>
      </c>
      <c r="H461" s="2" t="n">
        <v>0</v>
      </c>
      <c r="I461" s="4" t="n">
        <v>2</v>
      </c>
      <c r="J461" s="2" t="n">
        <v>20</v>
      </c>
      <c r="K461" s="2" t="s">
        <v>13</v>
      </c>
      <c r="L461" s="4" t="n">
        <v>1</v>
      </c>
      <c r="M461" s="2" t="n">
        <v>0</v>
      </c>
      <c r="N461" s="2" t="n">
        <v>0</v>
      </c>
      <c r="O461" s="4" t="n">
        <v>3</v>
      </c>
      <c r="Q461" s="2" t="n">
        <v>579</v>
      </c>
      <c r="R461" s="0" t="s">
        <v>363</v>
      </c>
      <c r="S461" s="0" t="s">
        <v>8814</v>
      </c>
    </row>
    <row r="462" customFormat="false" ht="13.8" hidden="false" customHeight="false" outlineLevel="0" collapsed="false">
      <c r="A462" s="0" t="s">
        <v>196</v>
      </c>
      <c r="B462" s="0" t="n">
        <v>29</v>
      </c>
      <c r="C462" s="0" t="s">
        <v>8806</v>
      </c>
      <c r="D462" s="0" t="s">
        <v>556</v>
      </c>
      <c r="E462" s="0" t="s">
        <v>225</v>
      </c>
      <c r="F462" s="4" t="n">
        <v>38</v>
      </c>
      <c r="G462" s="2" t="n">
        <v>15</v>
      </c>
      <c r="H462" s="2" t="s">
        <v>7</v>
      </c>
      <c r="I462" s="4" t="n">
        <v>2</v>
      </c>
      <c r="J462" s="2" t="n">
        <v>0</v>
      </c>
      <c r="K462" s="2" t="n">
        <v>0</v>
      </c>
      <c r="L462" s="4" t="n">
        <v>1</v>
      </c>
      <c r="M462" s="2" t="n">
        <v>0</v>
      </c>
      <c r="N462" s="2" t="n">
        <v>0</v>
      </c>
      <c r="O462" s="4" t="n">
        <v>3</v>
      </c>
      <c r="Q462" s="2" t="n">
        <v>580</v>
      </c>
      <c r="R462" s="0" t="s">
        <v>225</v>
      </c>
      <c r="S462" s="0" t="s">
        <v>8815</v>
      </c>
    </row>
    <row r="463" customFormat="false" ht="13.8" hidden="false" customHeight="false" outlineLevel="0" collapsed="false">
      <c r="A463" s="0" t="s">
        <v>196</v>
      </c>
      <c r="B463" s="0" t="n">
        <v>29</v>
      </c>
      <c r="C463" s="0" t="s">
        <v>8806</v>
      </c>
      <c r="D463" s="0" t="s">
        <v>699</v>
      </c>
      <c r="E463" s="0" t="s">
        <v>219</v>
      </c>
      <c r="F463" s="4" t="n">
        <v>36</v>
      </c>
      <c r="G463" s="2" t="n">
        <v>100</v>
      </c>
      <c r="H463" s="2" t="s">
        <v>7</v>
      </c>
      <c r="I463" s="4" t="n">
        <v>2</v>
      </c>
      <c r="J463" s="2" t="n">
        <v>0</v>
      </c>
      <c r="K463" s="2" t="n">
        <v>0</v>
      </c>
      <c r="L463" s="4" t="n">
        <v>1</v>
      </c>
      <c r="M463" s="2" t="n">
        <v>0</v>
      </c>
      <c r="N463" s="2" t="n">
        <v>0</v>
      </c>
      <c r="O463" s="4" t="n">
        <v>3</v>
      </c>
      <c r="Q463" s="2" t="n">
        <v>581</v>
      </c>
      <c r="R463" s="0" t="s">
        <v>219</v>
      </c>
      <c r="S463" s="0" t="s">
        <v>8816</v>
      </c>
    </row>
    <row r="464" customFormat="false" ht="13.8" hidden="false" customHeight="false" outlineLevel="0" collapsed="false">
      <c r="A464" s="0" t="s">
        <v>196</v>
      </c>
      <c r="B464" s="0" t="n">
        <v>29</v>
      </c>
      <c r="C464" s="0" t="s">
        <v>8806</v>
      </c>
      <c r="D464" s="0" t="s">
        <v>700</v>
      </c>
      <c r="E464" s="0" t="s">
        <v>499</v>
      </c>
      <c r="F464" s="4" t="n">
        <v>210</v>
      </c>
      <c r="G464" s="2" t="n">
        <v>50</v>
      </c>
      <c r="H464" s="2" t="s">
        <v>7</v>
      </c>
      <c r="I464" s="4" t="n">
        <v>2</v>
      </c>
      <c r="J464" s="2" t="n">
        <v>0</v>
      </c>
      <c r="K464" s="2" t="n">
        <v>0</v>
      </c>
      <c r="L464" s="4" t="n">
        <v>1</v>
      </c>
      <c r="M464" s="2" t="n">
        <v>0</v>
      </c>
      <c r="N464" s="2" t="n">
        <v>0</v>
      </c>
      <c r="O464" s="4" t="n">
        <v>3</v>
      </c>
      <c r="Q464" s="2" t="n">
        <v>582</v>
      </c>
      <c r="R464" s="0" t="s">
        <v>499</v>
      </c>
      <c r="S464" s="0" t="s">
        <v>8817</v>
      </c>
    </row>
    <row r="465" customFormat="false" ht="13.8" hidden="false" customHeight="false" outlineLevel="0" collapsed="false">
      <c r="A465" s="0" t="s">
        <v>196</v>
      </c>
      <c r="B465" s="0" t="n">
        <v>29</v>
      </c>
      <c r="C465" s="0" t="s">
        <v>8806</v>
      </c>
      <c r="D465" s="0" t="s">
        <v>701</v>
      </c>
      <c r="E465" s="0" t="s">
        <v>460</v>
      </c>
      <c r="F465" s="4" t="n">
        <v>168</v>
      </c>
      <c r="G465" s="2" t="n">
        <v>60</v>
      </c>
      <c r="H465" s="2" t="s">
        <v>7</v>
      </c>
      <c r="I465" s="4" t="n">
        <v>2</v>
      </c>
      <c r="J465" s="2" t="n">
        <v>0</v>
      </c>
      <c r="K465" s="2" t="n">
        <v>0</v>
      </c>
      <c r="L465" s="4" t="n">
        <v>1</v>
      </c>
      <c r="M465" s="2" t="n">
        <v>0</v>
      </c>
      <c r="N465" s="2" t="n">
        <v>0</v>
      </c>
      <c r="O465" s="4" t="n">
        <v>3</v>
      </c>
      <c r="Q465" s="2" t="n">
        <v>583</v>
      </c>
      <c r="R465" s="0" t="s">
        <v>460</v>
      </c>
      <c r="S465" s="0" t="s">
        <v>8818</v>
      </c>
    </row>
    <row r="466" customFormat="false" ht="13.8" hidden="false" customHeight="false" outlineLevel="0" collapsed="false">
      <c r="A466" s="0" t="s">
        <v>196</v>
      </c>
      <c r="B466" s="0" t="n">
        <v>29</v>
      </c>
      <c r="C466" s="0" t="s">
        <v>8806</v>
      </c>
      <c r="D466" s="0" t="s">
        <v>702</v>
      </c>
      <c r="E466" s="0" t="s">
        <v>498</v>
      </c>
      <c r="F466" s="4" t="n">
        <v>209</v>
      </c>
      <c r="G466" s="2" t="n">
        <v>60</v>
      </c>
      <c r="H466" s="2" t="s">
        <v>7</v>
      </c>
      <c r="I466" s="4" t="n">
        <v>2</v>
      </c>
      <c r="J466" s="2" t="n">
        <v>0</v>
      </c>
      <c r="K466" s="2" t="n">
        <v>0</v>
      </c>
      <c r="L466" s="4" t="n">
        <v>1</v>
      </c>
      <c r="M466" s="2" t="n">
        <v>0</v>
      </c>
      <c r="N466" s="2" t="n">
        <v>0</v>
      </c>
      <c r="O466" s="4" t="n">
        <v>3</v>
      </c>
      <c r="Q466" s="2" t="n">
        <v>584</v>
      </c>
      <c r="R466" s="0" t="s">
        <v>498</v>
      </c>
      <c r="S466" s="0" t="s">
        <v>8819</v>
      </c>
    </row>
    <row r="467" customFormat="false" ht="13.8" hidden="false" customHeight="false" outlineLevel="0" collapsed="false">
      <c r="A467" s="0" t="s">
        <v>196</v>
      </c>
      <c r="B467" s="0" t="n">
        <v>29</v>
      </c>
      <c r="C467" s="0" t="s">
        <v>8806</v>
      </c>
      <c r="D467" s="0" t="s">
        <v>43</v>
      </c>
      <c r="E467" s="0" t="s">
        <v>393</v>
      </c>
      <c r="F467" s="4" t="n">
        <v>97</v>
      </c>
      <c r="G467" s="2" t="n">
        <v>0</v>
      </c>
      <c r="H467" s="2" t="n">
        <v>0</v>
      </c>
      <c r="I467" s="4" t="n">
        <v>2</v>
      </c>
      <c r="J467" s="2" t="n">
        <v>300</v>
      </c>
      <c r="K467" s="2" t="s">
        <v>13</v>
      </c>
      <c r="L467" s="4" t="n">
        <v>1</v>
      </c>
      <c r="M467" s="2" t="n">
        <v>0</v>
      </c>
      <c r="N467" s="2" t="n">
        <v>0</v>
      </c>
      <c r="O467" s="4" t="n">
        <v>3</v>
      </c>
      <c r="Q467" s="2" t="n">
        <v>586</v>
      </c>
      <c r="R467" s="0" t="s">
        <v>393</v>
      </c>
      <c r="S467" s="0" t="s">
        <v>8820</v>
      </c>
    </row>
    <row r="468" customFormat="false" ht="13.8" hidden="false" customHeight="false" outlineLevel="0" collapsed="false">
      <c r="A468" s="0" t="s">
        <v>196</v>
      </c>
      <c r="B468" s="0" t="n">
        <v>29</v>
      </c>
      <c r="C468" s="0" t="s">
        <v>8806</v>
      </c>
      <c r="D468" s="0" t="s">
        <v>703</v>
      </c>
      <c r="E468" s="0" t="s">
        <v>431</v>
      </c>
      <c r="F468" s="4" t="n">
        <v>137</v>
      </c>
      <c r="G468" s="2" t="n">
        <v>0</v>
      </c>
      <c r="H468" s="2" t="n">
        <v>0</v>
      </c>
      <c r="I468" s="4" t="n">
        <v>2</v>
      </c>
      <c r="J468" s="2" t="n">
        <v>80</v>
      </c>
      <c r="K468" s="2" t="s">
        <v>13</v>
      </c>
      <c r="L468" s="4" t="n">
        <v>1</v>
      </c>
      <c r="M468" s="2" t="n">
        <v>0</v>
      </c>
      <c r="N468" s="2" t="n">
        <v>0</v>
      </c>
      <c r="O468" s="4" t="n">
        <v>3</v>
      </c>
      <c r="Q468" s="2" t="n">
        <v>587</v>
      </c>
      <c r="R468" s="0" t="s">
        <v>431</v>
      </c>
      <c r="S468" s="0" t="s">
        <v>8821</v>
      </c>
    </row>
    <row r="469" customFormat="false" ht="13.8" hidden="false" customHeight="false" outlineLevel="0" collapsed="false">
      <c r="A469" s="0" t="s">
        <v>196</v>
      </c>
      <c r="B469" s="0" t="n">
        <v>29</v>
      </c>
      <c r="C469" s="0" t="s">
        <v>8806</v>
      </c>
      <c r="D469" s="0" t="s">
        <v>704</v>
      </c>
      <c r="E469" s="0" t="s">
        <v>432</v>
      </c>
      <c r="F469" s="4" t="n">
        <v>138</v>
      </c>
      <c r="G469" s="2" t="n">
        <v>0</v>
      </c>
      <c r="H469" s="2" t="n">
        <v>0</v>
      </c>
      <c r="I469" s="4" t="n">
        <v>2</v>
      </c>
      <c r="J469" s="2" t="n">
        <v>6</v>
      </c>
      <c r="K469" s="2" t="s">
        <v>20</v>
      </c>
      <c r="L469" s="4" t="n">
        <v>5</v>
      </c>
      <c r="M469" s="2" t="n">
        <v>0</v>
      </c>
      <c r="N469" s="2" t="n">
        <v>0</v>
      </c>
      <c r="O469" s="4" t="n">
        <v>3</v>
      </c>
      <c r="Q469" s="2" t="n">
        <v>588</v>
      </c>
      <c r="R469" s="0" t="s">
        <v>432</v>
      </c>
      <c r="S469" s="0" t="s">
        <v>8822</v>
      </c>
    </row>
    <row r="470" customFormat="false" ht="13.8" hidden="false" customHeight="false" outlineLevel="0" collapsed="false">
      <c r="A470" s="0" t="s">
        <v>196</v>
      </c>
      <c r="B470" s="0" t="n">
        <v>29</v>
      </c>
      <c r="C470" s="0" t="s">
        <v>8806</v>
      </c>
      <c r="D470" s="0" t="s">
        <v>282</v>
      </c>
      <c r="E470" s="0" t="s">
        <v>282</v>
      </c>
      <c r="F470" s="4" t="n">
        <v>57</v>
      </c>
      <c r="G470" s="2" t="n">
        <v>0</v>
      </c>
      <c r="H470" s="2" t="n">
        <v>0</v>
      </c>
      <c r="I470" s="4" t="n">
        <v>2</v>
      </c>
      <c r="J470" s="2" t="n">
        <v>4</v>
      </c>
      <c r="K470" s="2" t="s">
        <v>13</v>
      </c>
      <c r="L470" s="4" t="n">
        <v>1</v>
      </c>
      <c r="M470" s="2" t="n">
        <v>0</v>
      </c>
      <c r="N470" s="2" t="n">
        <v>0</v>
      </c>
      <c r="O470" s="4" t="n">
        <v>3</v>
      </c>
      <c r="Q470" s="2" t="n">
        <v>589</v>
      </c>
      <c r="R470" s="0" t="s">
        <v>282</v>
      </c>
      <c r="S470" s="0" t="s">
        <v>8823</v>
      </c>
    </row>
    <row r="471" customFormat="false" ht="13.8" hidden="false" customHeight="false" outlineLevel="0" collapsed="false">
      <c r="A471" s="0" t="s">
        <v>196</v>
      </c>
      <c r="B471" s="0" t="n">
        <v>29</v>
      </c>
      <c r="C471" s="0" t="s">
        <v>8806</v>
      </c>
      <c r="D471" s="0" t="s">
        <v>705</v>
      </c>
      <c r="E471" s="0" t="s">
        <v>183</v>
      </c>
      <c r="F471" s="4" t="n">
        <v>24</v>
      </c>
      <c r="G471" s="2" t="n">
        <v>0</v>
      </c>
      <c r="H471" s="2" t="n">
        <v>0</v>
      </c>
      <c r="I471" s="4" t="n">
        <v>2</v>
      </c>
      <c r="J471" s="2" t="n">
        <v>40</v>
      </c>
      <c r="K471" s="2" t="s">
        <v>13</v>
      </c>
      <c r="L471" s="4" t="n">
        <v>1</v>
      </c>
      <c r="M471" s="2" t="n">
        <v>0</v>
      </c>
      <c r="N471" s="2" t="n">
        <v>0</v>
      </c>
      <c r="O471" s="4" t="n">
        <v>3</v>
      </c>
      <c r="Q471" s="2" t="n">
        <v>590</v>
      </c>
      <c r="R471" s="0" t="s">
        <v>183</v>
      </c>
      <c r="S471" s="0" t="s">
        <v>8824</v>
      </c>
    </row>
    <row r="472" customFormat="false" ht="13.8" hidden="false" customHeight="false" outlineLevel="0" collapsed="false">
      <c r="A472" s="0" t="s">
        <v>259</v>
      </c>
      <c r="B472" s="0" t="n">
        <v>50</v>
      </c>
      <c r="C472" s="0" t="s">
        <v>8825</v>
      </c>
      <c r="D472" s="0" t="s">
        <v>575</v>
      </c>
      <c r="E472" s="0" t="s">
        <v>462</v>
      </c>
      <c r="F472" s="4" t="n">
        <v>170</v>
      </c>
      <c r="G472" s="2" t="n">
        <v>10</v>
      </c>
      <c r="H472" s="2" t="s">
        <v>7</v>
      </c>
      <c r="I472" s="4" t="n">
        <v>2</v>
      </c>
      <c r="J472" s="2" t="n">
        <v>0</v>
      </c>
      <c r="K472" s="2" t="n">
        <v>0</v>
      </c>
      <c r="L472" s="4" t="n">
        <v>1</v>
      </c>
      <c r="M472" s="2" t="n">
        <v>0</v>
      </c>
      <c r="N472" s="2" t="n">
        <v>0</v>
      </c>
      <c r="O472" s="4" t="n">
        <v>3</v>
      </c>
      <c r="Q472" s="2" t="n">
        <v>594</v>
      </c>
      <c r="R472" s="0" t="s">
        <v>462</v>
      </c>
      <c r="S472" s="0" t="s">
        <v>8826</v>
      </c>
    </row>
    <row r="473" customFormat="false" ht="13.8" hidden="false" customHeight="false" outlineLevel="0" collapsed="false">
      <c r="A473" s="0" t="s">
        <v>259</v>
      </c>
      <c r="B473" s="0" t="n">
        <v>50</v>
      </c>
      <c r="C473" s="0" t="s">
        <v>8825</v>
      </c>
      <c r="D473" s="0" t="s">
        <v>32</v>
      </c>
      <c r="E473" s="0" t="s">
        <v>96</v>
      </c>
      <c r="F473" s="4" t="n">
        <v>177</v>
      </c>
      <c r="G473" s="2" t="n">
        <v>0</v>
      </c>
      <c r="H473" s="2" t="n">
        <v>0</v>
      </c>
      <c r="I473" s="4" t="n">
        <v>2</v>
      </c>
      <c r="J473" s="2" t="n">
        <v>2.3</v>
      </c>
      <c r="K473" s="2" t="s">
        <v>20</v>
      </c>
      <c r="L473" s="4" t="n">
        <v>5</v>
      </c>
      <c r="M473" s="2" t="n">
        <v>0</v>
      </c>
      <c r="N473" s="2" t="n">
        <v>0</v>
      </c>
      <c r="O473" s="4" t="n">
        <v>3</v>
      </c>
      <c r="Q473" s="2" t="n">
        <v>595</v>
      </c>
      <c r="R473" s="0" t="s">
        <v>96</v>
      </c>
      <c r="S473" s="0" t="s">
        <v>8827</v>
      </c>
    </row>
    <row r="474" customFormat="false" ht="13.8" hidden="false" customHeight="false" outlineLevel="0" collapsed="false">
      <c r="A474" s="0" t="s">
        <v>259</v>
      </c>
      <c r="B474" s="0" t="n">
        <v>50</v>
      </c>
      <c r="C474" s="0" t="s">
        <v>8825</v>
      </c>
      <c r="D474" s="0" t="s">
        <v>707</v>
      </c>
      <c r="E474" s="0" t="s">
        <v>469</v>
      </c>
      <c r="F474" s="4" t="n">
        <v>178</v>
      </c>
      <c r="G474" s="2" t="n">
        <v>0</v>
      </c>
      <c r="H474" s="2" t="n">
        <v>0</v>
      </c>
      <c r="I474" s="4" t="n">
        <v>2</v>
      </c>
      <c r="J474" s="2" t="n">
        <v>1</v>
      </c>
      <c r="K474" s="2" t="s">
        <v>13</v>
      </c>
      <c r="L474" s="4" t="n">
        <v>1</v>
      </c>
      <c r="M474" s="2" t="n">
        <v>0</v>
      </c>
      <c r="N474" s="2" t="n">
        <v>0</v>
      </c>
      <c r="O474" s="4" t="n">
        <v>3</v>
      </c>
      <c r="Q474" s="2" t="n">
        <v>596</v>
      </c>
      <c r="R474" s="0" t="s">
        <v>469</v>
      </c>
      <c r="S474" s="0" t="s">
        <v>8828</v>
      </c>
    </row>
    <row r="475" customFormat="false" ht="13.8" hidden="false" customHeight="false" outlineLevel="0" collapsed="false">
      <c r="A475" s="0" t="s">
        <v>259</v>
      </c>
      <c r="B475" s="0" t="n">
        <v>50</v>
      </c>
      <c r="C475" s="0" t="s">
        <v>8825</v>
      </c>
      <c r="D475" s="0" t="s">
        <v>704</v>
      </c>
      <c r="E475" s="0" t="s">
        <v>432</v>
      </c>
      <c r="F475" s="4" t="n">
        <v>138</v>
      </c>
      <c r="G475" s="2" t="n">
        <v>0</v>
      </c>
      <c r="H475" s="2" t="n">
        <v>0</v>
      </c>
      <c r="I475" s="4" t="n">
        <v>2</v>
      </c>
      <c r="J475" s="2" t="n">
        <v>1</v>
      </c>
      <c r="K475" s="2" t="s">
        <v>20</v>
      </c>
      <c r="L475" s="4" t="n">
        <v>5</v>
      </c>
      <c r="M475" s="2" t="n">
        <v>0</v>
      </c>
      <c r="N475" s="2" t="n">
        <v>0</v>
      </c>
      <c r="O475" s="4" t="n">
        <v>3</v>
      </c>
      <c r="Q475" s="2" t="n">
        <v>597</v>
      </c>
      <c r="R475" s="0" t="s">
        <v>432</v>
      </c>
      <c r="S475" s="0" t="s">
        <v>8829</v>
      </c>
    </row>
    <row r="476" customFormat="false" ht="13.8" hidden="false" customHeight="false" outlineLevel="0" collapsed="false">
      <c r="A476" s="0" t="s">
        <v>259</v>
      </c>
      <c r="B476" s="0" t="n">
        <v>50</v>
      </c>
      <c r="C476" s="0" t="s">
        <v>8825</v>
      </c>
      <c r="D476" s="0" t="s">
        <v>708</v>
      </c>
      <c r="E476" s="0" t="s">
        <v>366</v>
      </c>
      <c r="F476" s="4" t="n">
        <v>85</v>
      </c>
      <c r="G476" s="2" t="n">
        <v>0</v>
      </c>
      <c r="H476" s="2" t="n">
        <v>0</v>
      </c>
      <c r="I476" s="4" t="n">
        <v>2</v>
      </c>
      <c r="J476" s="2" t="n">
        <v>1</v>
      </c>
      <c r="K476" s="2" t="s">
        <v>13</v>
      </c>
      <c r="L476" s="4" t="n">
        <v>1</v>
      </c>
      <c r="M476" s="2" t="n">
        <v>0</v>
      </c>
      <c r="N476" s="2" t="n">
        <v>0</v>
      </c>
      <c r="O476" s="4" t="n">
        <v>3</v>
      </c>
      <c r="Q476" s="2" t="n">
        <v>598</v>
      </c>
      <c r="R476" s="0" t="s">
        <v>366</v>
      </c>
      <c r="S476" s="0" t="s">
        <v>8830</v>
      </c>
    </row>
    <row r="477" customFormat="false" ht="13.8" hidden="false" customHeight="false" outlineLevel="0" collapsed="false">
      <c r="A477" s="0" t="s">
        <v>259</v>
      </c>
      <c r="B477" s="0" t="n">
        <v>50</v>
      </c>
      <c r="C477" s="0" t="s">
        <v>8825</v>
      </c>
      <c r="D477" s="0" t="s">
        <v>54</v>
      </c>
      <c r="E477" s="0" t="s">
        <v>204</v>
      </c>
      <c r="F477" s="4" t="n">
        <v>31</v>
      </c>
      <c r="G477" s="2" t="n">
        <v>0</v>
      </c>
      <c r="H477" s="2" t="n">
        <v>0</v>
      </c>
      <c r="I477" s="4" t="n">
        <v>2</v>
      </c>
      <c r="J477" s="2" t="n">
        <v>1.5</v>
      </c>
      <c r="K477" s="2" t="s">
        <v>20</v>
      </c>
      <c r="L477" s="4" t="n">
        <v>5</v>
      </c>
      <c r="M477" s="2" t="n">
        <v>0</v>
      </c>
      <c r="N477" s="2" t="n">
        <v>0</v>
      </c>
      <c r="O477" s="4" t="n">
        <v>3</v>
      </c>
      <c r="Q477" s="2" t="n">
        <v>599</v>
      </c>
      <c r="R477" s="0" t="s">
        <v>204</v>
      </c>
      <c r="S477" s="0" t="s">
        <v>8831</v>
      </c>
    </row>
    <row r="478" customFormat="false" ht="13.8" hidden="false" customHeight="false" outlineLevel="0" collapsed="false">
      <c r="A478" s="0" t="s">
        <v>259</v>
      </c>
      <c r="B478" s="0" t="n">
        <v>50</v>
      </c>
      <c r="C478" s="0" t="s">
        <v>8825</v>
      </c>
      <c r="D478" s="0" t="s">
        <v>709</v>
      </c>
      <c r="E478" s="0" t="s">
        <v>460</v>
      </c>
      <c r="F478" s="4" t="n">
        <v>168</v>
      </c>
      <c r="G478" s="2" t="n">
        <v>3</v>
      </c>
      <c r="H478" s="2" t="s">
        <v>7</v>
      </c>
      <c r="I478" s="4" t="n">
        <v>2</v>
      </c>
      <c r="J478" s="2" t="n">
        <v>3.5</v>
      </c>
      <c r="K478" s="2" t="s">
        <v>13</v>
      </c>
      <c r="L478" s="4" t="n">
        <v>1</v>
      </c>
      <c r="M478" s="2" t="n">
        <v>0</v>
      </c>
      <c r="N478" s="2" t="n">
        <v>0</v>
      </c>
      <c r="O478" s="4" t="n">
        <v>3</v>
      </c>
      <c r="Q478" s="2" t="n">
        <v>600</v>
      </c>
      <c r="R478" s="0" t="s">
        <v>460</v>
      </c>
      <c r="S478" s="0" t="s">
        <v>8832</v>
      </c>
    </row>
    <row r="479" customFormat="false" ht="13.8" hidden="false" customHeight="false" outlineLevel="0" collapsed="false">
      <c r="A479" s="0" t="s">
        <v>259</v>
      </c>
      <c r="B479" s="0" t="n">
        <v>50</v>
      </c>
      <c r="C479" s="0" t="s">
        <v>8825</v>
      </c>
      <c r="D479" s="0" t="s">
        <v>710</v>
      </c>
      <c r="E479" s="0" t="s">
        <v>498</v>
      </c>
      <c r="F479" s="4" t="n">
        <v>209</v>
      </c>
      <c r="G479" s="2" t="n">
        <v>2.5</v>
      </c>
      <c r="H479" s="2" t="s">
        <v>7</v>
      </c>
      <c r="I479" s="4" t="n">
        <v>2</v>
      </c>
      <c r="J479" s="2" t="n">
        <v>3</v>
      </c>
      <c r="K479" s="2" t="s">
        <v>13</v>
      </c>
      <c r="L479" s="4" t="n">
        <v>1</v>
      </c>
      <c r="M479" s="2" t="n">
        <v>0</v>
      </c>
      <c r="N479" s="2" t="n">
        <v>0</v>
      </c>
      <c r="O479" s="4" t="n">
        <v>3</v>
      </c>
      <c r="Q479" s="2" t="n">
        <v>602</v>
      </c>
      <c r="R479" s="0" t="s">
        <v>498</v>
      </c>
      <c r="S479" s="0" t="s">
        <v>8833</v>
      </c>
    </row>
    <row r="480" customFormat="false" ht="13.8" hidden="false" customHeight="false" outlineLevel="0" collapsed="false">
      <c r="A480" s="0" t="s">
        <v>259</v>
      </c>
      <c r="B480" s="0" t="n">
        <v>50</v>
      </c>
      <c r="C480" s="0" t="s">
        <v>8825</v>
      </c>
      <c r="D480" s="0" t="s">
        <v>711</v>
      </c>
      <c r="E480" s="0" t="s">
        <v>363</v>
      </c>
      <c r="F480" s="4" t="n">
        <v>84</v>
      </c>
      <c r="G480" s="2" t="n">
        <v>2.5</v>
      </c>
      <c r="H480" s="2" t="s">
        <v>7</v>
      </c>
      <c r="I480" s="4" t="n">
        <v>2</v>
      </c>
      <c r="J480" s="2" t="n">
        <v>3.5</v>
      </c>
      <c r="K480" s="2" t="s">
        <v>13</v>
      </c>
      <c r="L480" s="4" t="n">
        <v>1</v>
      </c>
      <c r="M480" s="2" t="n">
        <v>0</v>
      </c>
      <c r="N480" s="2" t="n">
        <v>0</v>
      </c>
      <c r="O480" s="4" t="n">
        <v>3</v>
      </c>
      <c r="Q480" s="2" t="n">
        <v>604</v>
      </c>
      <c r="R480" s="0" t="s">
        <v>363</v>
      </c>
      <c r="S480" s="0" t="s">
        <v>8834</v>
      </c>
    </row>
    <row r="481" customFormat="false" ht="13.8" hidden="false" customHeight="false" outlineLevel="0" collapsed="false">
      <c r="A481" s="0" t="s">
        <v>259</v>
      </c>
      <c r="B481" s="0" t="n">
        <v>50</v>
      </c>
      <c r="C481" s="0" t="s">
        <v>8825</v>
      </c>
      <c r="D481" s="0" t="s">
        <v>655</v>
      </c>
      <c r="E481" s="0" t="s">
        <v>192</v>
      </c>
      <c r="F481" s="4" t="n">
        <v>27</v>
      </c>
      <c r="G481" s="2" t="n">
        <v>2</v>
      </c>
      <c r="H481" s="2" t="s">
        <v>7</v>
      </c>
      <c r="I481" s="4" t="n">
        <v>2</v>
      </c>
      <c r="J481" s="2" t="n">
        <v>3</v>
      </c>
      <c r="K481" s="2" t="s">
        <v>13</v>
      </c>
      <c r="L481" s="4" t="n">
        <v>1</v>
      </c>
      <c r="M481" s="2" t="n">
        <v>0</v>
      </c>
      <c r="N481" s="2" t="n">
        <v>0</v>
      </c>
      <c r="O481" s="4" t="n">
        <v>3</v>
      </c>
      <c r="Q481" s="2" t="n">
        <v>606</v>
      </c>
      <c r="R481" s="0" t="s">
        <v>192</v>
      </c>
      <c r="S481" s="0" t="s">
        <v>8835</v>
      </c>
    </row>
    <row r="482" customFormat="false" ht="13.8" hidden="false" customHeight="false" outlineLevel="0" collapsed="false">
      <c r="A482" s="0" t="s">
        <v>259</v>
      </c>
      <c r="B482" s="0" t="n">
        <v>50</v>
      </c>
      <c r="C482" s="0" t="s">
        <v>8825</v>
      </c>
      <c r="D482" s="0" t="s">
        <v>712</v>
      </c>
      <c r="E482" s="0" t="s">
        <v>159</v>
      </c>
      <c r="F482" s="4" t="n">
        <v>16</v>
      </c>
      <c r="G482" s="2" t="n">
        <v>2</v>
      </c>
      <c r="H482" s="2" t="s">
        <v>7</v>
      </c>
      <c r="I482" s="4" t="n">
        <v>2</v>
      </c>
      <c r="J482" s="2" t="n">
        <v>3</v>
      </c>
      <c r="K482" s="2" t="s">
        <v>13</v>
      </c>
      <c r="L482" s="4" t="n">
        <v>1</v>
      </c>
      <c r="M482" s="2" t="n">
        <v>0</v>
      </c>
      <c r="N482" s="2" t="n">
        <v>0</v>
      </c>
      <c r="O482" s="4" t="n">
        <v>3</v>
      </c>
      <c r="Q482" s="2" t="n">
        <v>608</v>
      </c>
      <c r="R482" s="0" t="s">
        <v>159</v>
      </c>
      <c r="S482" s="0" t="s">
        <v>8836</v>
      </c>
    </row>
    <row r="483" customFormat="false" ht="13.8" hidden="false" customHeight="false" outlineLevel="0" collapsed="false">
      <c r="A483" s="0" t="s">
        <v>259</v>
      </c>
      <c r="B483" s="0" t="n">
        <v>50</v>
      </c>
      <c r="C483" s="0" t="s">
        <v>8825</v>
      </c>
      <c r="D483" s="0" t="s">
        <v>713</v>
      </c>
      <c r="E483" s="0" t="s">
        <v>339</v>
      </c>
      <c r="F483" s="4" t="n">
        <v>76</v>
      </c>
      <c r="G483" s="2" t="n">
        <v>0</v>
      </c>
      <c r="H483" s="2" t="n">
        <v>0</v>
      </c>
      <c r="I483" s="4" t="n">
        <v>2</v>
      </c>
      <c r="J483" s="2" t="n">
        <v>1.5</v>
      </c>
      <c r="K483" s="2" t="s">
        <v>13</v>
      </c>
      <c r="L483" s="4" t="n">
        <v>1</v>
      </c>
      <c r="M483" s="2" t="n">
        <v>0</v>
      </c>
      <c r="N483" s="2" t="n">
        <v>0</v>
      </c>
      <c r="O483" s="4" t="n">
        <v>3</v>
      </c>
      <c r="Q483" s="2" t="n">
        <v>610</v>
      </c>
      <c r="R483" s="0" t="s">
        <v>339</v>
      </c>
      <c r="S483" s="0" t="s">
        <v>8837</v>
      </c>
    </row>
    <row r="484" customFormat="false" ht="13.8" hidden="false" customHeight="false" outlineLevel="0" collapsed="false">
      <c r="A484" s="0" t="s">
        <v>259</v>
      </c>
      <c r="B484" s="0" t="n">
        <v>50</v>
      </c>
      <c r="C484" s="0" t="s">
        <v>8825</v>
      </c>
      <c r="D484" s="0" t="s">
        <v>55</v>
      </c>
      <c r="E484" s="0" t="s">
        <v>183</v>
      </c>
      <c r="F484" s="4" t="n">
        <v>24</v>
      </c>
      <c r="G484" s="2" t="n">
        <v>0.5</v>
      </c>
      <c r="H484" s="2" t="s">
        <v>7</v>
      </c>
      <c r="I484" s="4" t="n">
        <v>2</v>
      </c>
      <c r="J484" s="2" t="n">
        <v>0</v>
      </c>
      <c r="K484" s="2" t="n">
        <v>0</v>
      </c>
      <c r="L484" s="4" t="n">
        <v>1</v>
      </c>
      <c r="M484" s="2" t="n">
        <v>0</v>
      </c>
      <c r="N484" s="2" t="n">
        <v>0</v>
      </c>
      <c r="O484" s="4" t="n">
        <v>3</v>
      </c>
      <c r="Q484" s="2" t="n">
        <v>611</v>
      </c>
      <c r="R484" s="0" t="s">
        <v>183</v>
      </c>
      <c r="S484" s="0" t="s">
        <v>8838</v>
      </c>
    </row>
    <row r="485" customFormat="false" ht="13.8" hidden="false" customHeight="false" outlineLevel="0" collapsed="false">
      <c r="A485" s="0" t="s">
        <v>247</v>
      </c>
      <c r="B485" s="0" t="n">
        <v>46</v>
      </c>
      <c r="C485" s="0" t="s">
        <v>8839</v>
      </c>
      <c r="D485" s="0" t="s">
        <v>714</v>
      </c>
      <c r="E485" s="0" t="s">
        <v>459</v>
      </c>
      <c r="F485" s="4" t="n">
        <v>167</v>
      </c>
      <c r="G485" s="2" t="n">
        <v>1.66666666666667</v>
      </c>
      <c r="H485" s="2" t="s">
        <v>7</v>
      </c>
      <c r="I485" s="4" t="n">
        <v>2</v>
      </c>
      <c r="J485" s="2" t="n">
        <v>0</v>
      </c>
      <c r="K485" s="2" t="n">
        <v>0</v>
      </c>
      <c r="L485" s="4" t="n">
        <v>1</v>
      </c>
      <c r="M485" s="2" t="n">
        <v>0</v>
      </c>
      <c r="N485" s="2" t="n">
        <v>0</v>
      </c>
      <c r="O485" s="4" t="n">
        <v>3</v>
      </c>
      <c r="Q485" s="2" t="n">
        <v>614</v>
      </c>
      <c r="R485" s="0" t="s">
        <v>459</v>
      </c>
      <c r="S485" s="0" t="s">
        <v>8840</v>
      </c>
    </row>
    <row r="486" customFormat="false" ht="13.8" hidden="false" customHeight="false" outlineLevel="0" collapsed="false">
      <c r="A486" s="0" t="s">
        <v>247</v>
      </c>
      <c r="B486" s="0" t="n">
        <v>46</v>
      </c>
      <c r="C486" s="0" t="s">
        <v>8839</v>
      </c>
      <c r="D486" s="0" t="s">
        <v>655</v>
      </c>
      <c r="E486" s="0" t="s">
        <v>192</v>
      </c>
      <c r="F486" s="4" t="n">
        <v>27</v>
      </c>
      <c r="G486" s="2" t="n">
        <v>2</v>
      </c>
      <c r="H486" s="2" t="s">
        <v>7</v>
      </c>
      <c r="I486" s="4" t="n">
        <v>2</v>
      </c>
      <c r="J486" s="2" t="n">
        <v>0</v>
      </c>
      <c r="K486" s="2" t="n">
        <v>0</v>
      </c>
      <c r="L486" s="4" t="n">
        <v>1</v>
      </c>
      <c r="M486" s="2" t="n">
        <v>0</v>
      </c>
      <c r="N486" s="2" t="n">
        <v>0</v>
      </c>
      <c r="O486" s="4" t="n">
        <v>3</v>
      </c>
      <c r="Q486" s="2" t="n">
        <v>615</v>
      </c>
      <c r="R486" s="0" t="s">
        <v>192</v>
      </c>
      <c r="S486" s="0" t="s">
        <v>8841</v>
      </c>
    </row>
    <row r="487" customFormat="false" ht="13.8" hidden="false" customHeight="false" outlineLevel="0" collapsed="false">
      <c r="A487" s="0" t="s">
        <v>247</v>
      </c>
      <c r="B487" s="0" t="n">
        <v>46</v>
      </c>
      <c r="C487" s="0" t="s">
        <v>8839</v>
      </c>
      <c r="D487" s="0" t="s">
        <v>11</v>
      </c>
      <c r="E487" s="0" t="s">
        <v>348</v>
      </c>
      <c r="F487" s="4" t="n">
        <v>79</v>
      </c>
      <c r="G487" s="2" t="n">
        <v>1.33333333333333</v>
      </c>
      <c r="H487" s="2" t="s">
        <v>7</v>
      </c>
      <c r="I487" s="4" t="n">
        <v>2</v>
      </c>
      <c r="J487" s="2" t="n">
        <v>0</v>
      </c>
      <c r="K487" s="2" t="n">
        <v>0</v>
      </c>
      <c r="L487" s="4" t="n">
        <v>1</v>
      </c>
      <c r="M487" s="2" t="n">
        <v>0</v>
      </c>
      <c r="N487" s="2" t="n">
        <v>0</v>
      </c>
      <c r="O487" s="4" t="n">
        <v>3</v>
      </c>
      <c r="Q487" s="2" t="n">
        <v>616</v>
      </c>
      <c r="R487" s="0" t="s">
        <v>348</v>
      </c>
      <c r="S487" s="0" t="s">
        <v>8842</v>
      </c>
    </row>
    <row r="488" customFormat="false" ht="13.8" hidden="false" customHeight="false" outlineLevel="0" collapsed="false">
      <c r="A488" s="0" t="s">
        <v>247</v>
      </c>
      <c r="B488" s="0" t="n">
        <v>46</v>
      </c>
      <c r="C488" s="0" t="s">
        <v>8839</v>
      </c>
      <c r="D488" s="0" t="s">
        <v>715</v>
      </c>
      <c r="E488" s="0" t="s">
        <v>237</v>
      </c>
      <c r="F488" s="4" t="n">
        <v>42</v>
      </c>
      <c r="G488" s="2" t="n">
        <v>1.33333333333333</v>
      </c>
      <c r="H488" s="2" t="s">
        <v>7</v>
      </c>
      <c r="I488" s="4" t="n">
        <v>2</v>
      </c>
      <c r="J488" s="2" t="n">
        <v>0</v>
      </c>
      <c r="K488" s="2" t="n">
        <v>0</v>
      </c>
      <c r="L488" s="4" t="n">
        <v>1</v>
      </c>
      <c r="M488" s="2" t="n">
        <v>0</v>
      </c>
      <c r="N488" s="2" t="n">
        <v>0</v>
      </c>
      <c r="O488" s="4" t="n">
        <v>3</v>
      </c>
      <c r="Q488" s="2" t="n">
        <v>617</v>
      </c>
      <c r="R488" s="0" t="s">
        <v>237</v>
      </c>
      <c r="S488" s="0" t="s">
        <v>8843</v>
      </c>
    </row>
    <row r="489" customFormat="false" ht="13.8" hidden="false" customHeight="false" outlineLevel="0" collapsed="false">
      <c r="A489" s="0" t="s">
        <v>247</v>
      </c>
      <c r="B489" s="0" t="n">
        <v>46</v>
      </c>
      <c r="C489" s="0" t="s">
        <v>8839</v>
      </c>
      <c r="D489" s="0" t="s">
        <v>700</v>
      </c>
      <c r="E489" s="0" t="s">
        <v>499</v>
      </c>
      <c r="F489" s="4" t="n">
        <v>210</v>
      </c>
      <c r="G489" s="2" t="n">
        <v>2</v>
      </c>
      <c r="H489" s="2" t="s">
        <v>7</v>
      </c>
      <c r="I489" s="4" t="n">
        <v>2</v>
      </c>
      <c r="J489" s="2" t="n">
        <v>0</v>
      </c>
      <c r="K489" s="2" t="n">
        <v>0</v>
      </c>
      <c r="L489" s="4" t="n">
        <v>1</v>
      </c>
      <c r="M489" s="2" t="n">
        <v>0</v>
      </c>
      <c r="N489" s="2" t="n">
        <v>0</v>
      </c>
      <c r="O489" s="4" t="n">
        <v>3</v>
      </c>
      <c r="Q489" s="2" t="n">
        <v>618</v>
      </c>
      <c r="R489" s="0" t="s">
        <v>499</v>
      </c>
      <c r="S489" s="0" t="s">
        <v>8844</v>
      </c>
    </row>
    <row r="490" customFormat="false" ht="13.8" hidden="false" customHeight="false" outlineLevel="0" collapsed="false">
      <c r="A490" s="0" t="s">
        <v>247</v>
      </c>
      <c r="B490" s="0" t="n">
        <v>46</v>
      </c>
      <c r="C490" s="0" t="s">
        <v>8839</v>
      </c>
      <c r="D490" s="0" t="s">
        <v>21</v>
      </c>
      <c r="E490" s="0" t="s">
        <v>485</v>
      </c>
      <c r="F490" s="4" t="n">
        <v>195</v>
      </c>
      <c r="G490" s="2" t="n">
        <v>10</v>
      </c>
      <c r="H490" s="2" t="s">
        <v>7</v>
      </c>
      <c r="I490" s="4" t="n">
        <v>2</v>
      </c>
      <c r="J490" s="2" t="n">
        <v>0</v>
      </c>
      <c r="K490" s="2" t="n">
        <v>0</v>
      </c>
      <c r="L490" s="4" t="n">
        <v>1</v>
      </c>
      <c r="M490" s="2" t="n">
        <v>0</v>
      </c>
      <c r="N490" s="2" t="n">
        <v>0</v>
      </c>
      <c r="O490" s="4" t="n">
        <v>3</v>
      </c>
      <c r="Q490" s="2" t="n">
        <v>619</v>
      </c>
      <c r="R490" s="0" t="s">
        <v>485</v>
      </c>
      <c r="S490" s="0" t="s">
        <v>8845</v>
      </c>
    </row>
    <row r="491" customFormat="false" ht="13.8" hidden="false" customHeight="false" outlineLevel="0" collapsed="false">
      <c r="A491" s="0" t="s">
        <v>247</v>
      </c>
      <c r="B491" s="0" t="n">
        <v>46</v>
      </c>
      <c r="C491" s="0" t="s">
        <v>8839</v>
      </c>
      <c r="D491" s="0" t="s">
        <v>55</v>
      </c>
      <c r="E491" s="0" t="s">
        <v>183</v>
      </c>
      <c r="F491" s="4" t="n">
        <v>24</v>
      </c>
      <c r="G491" s="2" t="n">
        <v>0.5</v>
      </c>
      <c r="H491" s="2" t="s">
        <v>7</v>
      </c>
      <c r="I491" s="4" t="n">
        <v>2</v>
      </c>
      <c r="J491" s="2" t="n">
        <v>0</v>
      </c>
      <c r="K491" s="2" t="n">
        <v>0</v>
      </c>
      <c r="L491" s="4" t="n">
        <v>1</v>
      </c>
      <c r="M491" s="2" t="n">
        <v>0</v>
      </c>
      <c r="N491" s="2" t="n">
        <v>0</v>
      </c>
      <c r="O491" s="4" t="n">
        <v>3</v>
      </c>
      <c r="Q491" s="2" t="n">
        <v>620</v>
      </c>
      <c r="R491" s="0" t="s">
        <v>183</v>
      </c>
      <c r="S491" s="0" t="s">
        <v>8846</v>
      </c>
    </row>
    <row r="492" customFormat="false" ht="13.8" hidden="false" customHeight="false" outlineLevel="0" collapsed="false">
      <c r="A492" s="0" t="s">
        <v>247</v>
      </c>
      <c r="B492" s="0" t="n">
        <v>46</v>
      </c>
      <c r="C492" s="0" t="s">
        <v>8839</v>
      </c>
      <c r="D492" s="0" t="s">
        <v>502</v>
      </c>
      <c r="E492" s="0" t="s">
        <v>502</v>
      </c>
      <c r="F492" s="4" t="n">
        <v>213</v>
      </c>
      <c r="G492" s="2" t="n">
        <v>0</v>
      </c>
      <c r="H492" s="2" t="n">
        <v>0</v>
      </c>
      <c r="I492" s="4" t="n">
        <v>2</v>
      </c>
      <c r="J492" s="2" t="n">
        <v>0</v>
      </c>
      <c r="K492" s="2" t="n">
        <v>0</v>
      </c>
      <c r="L492" s="4" t="n">
        <v>1</v>
      </c>
      <c r="M492" s="2" t="n">
        <v>0</v>
      </c>
      <c r="N492" s="2" t="n">
        <v>0</v>
      </c>
      <c r="O492" s="4" t="n">
        <v>3</v>
      </c>
      <c r="Q492" s="2" t="n">
        <v>621</v>
      </c>
      <c r="R492" s="0" t="s">
        <v>502</v>
      </c>
      <c r="S492" s="0" t="s">
        <v>8847</v>
      </c>
    </row>
    <row r="493" customFormat="false" ht="13.8" hidden="false" customHeight="false" outlineLevel="0" collapsed="false">
      <c r="A493" s="0" t="s">
        <v>247</v>
      </c>
      <c r="B493" s="0" t="n">
        <v>46</v>
      </c>
      <c r="C493" s="0" t="s">
        <v>8839</v>
      </c>
      <c r="D493" s="0" t="s">
        <v>716</v>
      </c>
      <c r="E493" s="0" t="s">
        <v>449</v>
      </c>
      <c r="F493" s="4" t="n">
        <v>156</v>
      </c>
      <c r="G493" s="2" t="n">
        <v>150</v>
      </c>
      <c r="H493" s="2" t="s">
        <v>109</v>
      </c>
      <c r="I493" s="4" t="n">
        <v>7</v>
      </c>
      <c r="J493" s="2" t="n">
        <v>0</v>
      </c>
      <c r="K493" s="2" t="n">
        <v>0</v>
      </c>
      <c r="L493" s="4" t="n">
        <v>1</v>
      </c>
      <c r="M493" s="2" t="n">
        <v>0</v>
      </c>
      <c r="N493" s="2" t="n">
        <v>0</v>
      </c>
      <c r="O493" s="4" t="n">
        <v>3</v>
      </c>
      <c r="Q493" s="2" t="n">
        <v>622</v>
      </c>
      <c r="R493" s="0" t="s">
        <v>449</v>
      </c>
      <c r="S493" s="0" t="s">
        <v>8848</v>
      </c>
    </row>
    <row r="494" customFormat="false" ht="13.8" hidden="false" customHeight="false" outlineLevel="0" collapsed="false">
      <c r="A494" s="0" t="s">
        <v>247</v>
      </c>
      <c r="B494" s="0" t="n">
        <v>46</v>
      </c>
      <c r="C494" s="0" t="s">
        <v>8839</v>
      </c>
      <c r="D494" s="0" t="s">
        <v>717</v>
      </c>
      <c r="E494" s="0" t="s">
        <v>246</v>
      </c>
      <c r="F494" s="4" t="n">
        <v>45</v>
      </c>
      <c r="G494" s="2" t="n">
        <v>0</v>
      </c>
      <c r="H494" s="2" t="n">
        <v>0</v>
      </c>
      <c r="I494" s="4" t="n">
        <v>2</v>
      </c>
      <c r="J494" s="2" t="n">
        <v>0.5</v>
      </c>
      <c r="K494" s="2" t="s">
        <v>13</v>
      </c>
      <c r="L494" s="4" t="n">
        <v>1</v>
      </c>
      <c r="M494" s="2" t="n">
        <v>0</v>
      </c>
      <c r="N494" s="2" t="n">
        <v>0</v>
      </c>
      <c r="O494" s="4" t="n">
        <v>3</v>
      </c>
      <c r="Q494" s="2" t="n">
        <v>623</v>
      </c>
      <c r="R494" s="0" t="s">
        <v>246</v>
      </c>
      <c r="S494" s="0" t="s">
        <v>8849</v>
      </c>
    </row>
    <row r="495" customFormat="false" ht="13.8" hidden="false" customHeight="false" outlineLevel="0" collapsed="false">
      <c r="A495" s="0" t="s">
        <v>247</v>
      </c>
      <c r="B495" s="0" t="n">
        <v>46</v>
      </c>
      <c r="C495" s="0" t="s">
        <v>8839</v>
      </c>
      <c r="D495" s="0" t="s">
        <v>718</v>
      </c>
      <c r="E495" s="0" t="s">
        <v>483</v>
      </c>
      <c r="F495" s="4" t="n">
        <v>193</v>
      </c>
      <c r="G495" s="2" t="n">
        <v>0</v>
      </c>
      <c r="H495" s="2" t="n">
        <v>0</v>
      </c>
      <c r="I495" s="4" t="n">
        <v>2</v>
      </c>
      <c r="J495" s="2" t="n">
        <v>1</v>
      </c>
      <c r="K495" s="2" t="s">
        <v>20</v>
      </c>
      <c r="L495" s="4" t="n">
        <v>5</v>
      </c>
      <c r="M495" s="2" t="n">
        <v>0</v>
      </c>
      <c r="N495" s="2" t="n">
        <v>0</v>
      </c>
      <c r="O495" s="4" t="n">
        <v>3</v>
      </c>
      <c r="Q495" s="2" t="n">
        <v>624</v>
      </c>
      <c r="R495" s="0" t="s">
        <v>483</v>
      </c>
      <c r="S495" s="0" t="s">
        <v>8850</v>
      </c>
    </row>
    <row r="496" customFormat="false" ht="13.8" hidden="false" customHeight="false" outlineLevel="0" collapsed="false">
      <c r="A496" s="0" t="s">
        <v>247</v>
      </c>
      <c r="B496" s="0" t="n">
        <v>46</v>
      </c>
      <c r="C496" s="0" t="s">
        <v>8839</v>
      </c>
      <c r="D496" s="0" t="s">
        <v>719</v>
      </c>
      <c r="E496" s="0" t="s">
        <v>465</v>
      </c>
      <c r="F496" s="4" t="n">
        <v>173</v>
      </c>
      <c r="G496" s="2" t="n">
        <v>0</v>
      </c>
      <c r="H496" s="2" t="n">
        <v>0</v>
      </c>
      <c r="I496" s="4" t="n">
        <v>2</v>
      </c>
      <c r="J496" s="2" t="n">
        <v>3</v>
      </c>
      <c r="K496" s="2" t="s">
        <v>20</v>
      </c>
      <c r="L496" s="4" t="n">
        <v>5</v>
      </c>
      <c r="M496" s="2" t="n">
        <v>0</v>
      </c>
      <c r="N496" s="2" t="n">
        <v>0</v>
      </c>
      <c r="O496" s="4" t="n">
        <v>3</v>
      </c>
      <c r="Q496" s="2" t="n">
        <v>625</v>
      </c>
      <c r="R496" s="0" t="s">
        <v>465</v>
      </c>
      <c r="S496" s="0" t="s">
        <v>8851</v>
      </c>
    </row>
    <row r="497" customFormat="false" ht="13.8" hidden="false" customHeight="false" outlineLevel="0" collapsed="false">
      <c r="A497" s="0" t="s">
        <v>247</v>
      </c>
      <c r="B497" s="0" t="n">
        <v>46</v>
      </c>
      <c r="C497" s="0" t="s">
        <v>8839</v>
      </c>
      <c r="D497" s="0" t="s">
        <v>11</v>
      </c>
      <c r="E497" s="0" t="s">
        <v>348</v>
      </c>
      <c r="F497" s="4" t="n">
        <v>79</v>
      </c>
      <c r="G497" s="2" t="n">
        <v>1</v>
      </c>
      <c r="H497" s="2" t="s">
        <v>7</v>
      </c>
      <c r="I497" s="4" t="n">
        <v>2</v>
      </c>
      <c r="J497" s="2" t="n">
        <v>0</v>
      </c>
      <c r="K497" s="2" t="n">
        <v>0</v>
      </c>
      <c r="L497" s="4" t="n">
        <v>1</v>
      </c>
      <c r="M497" s="2" t="n">
        <v>0</v>
      </c>
      <c r="N497" s="2" t="n">
        <v>0</v>
      </c>
      <c r="O497" s="4" t="n">
        <v>3</v>
      </c>
      <c r="Q497" s="2" t="n">
        <v>626</v>
      </c>
      <c r="R497" s="0" t="s">
        <v>348</v>
      </c>
      <c r="S497" s="0" t="s">
        <v>8852</v>
      </c>
    </row>
    <row r="498" customFormat="false" ht="13.8" hidden="false" customHeight="false" outlineLevel="0" collapsed="false">
      <c r="A498" s="0" t="s">
        <v>247</v>
      </c>
      <c r="B498" s="0" t="n">
        <v>46</v>
      </c>
      <c r="C498" s="0" t="s">
        <v>8839</v>
      </c>
      <c r="D498" s="0" t="s">
        <v>71</v>
      </c>
      <c r="E498" s="0" t="s">
        <v>96</v>
      </c>
      <c r="F498" s="4" t="n">
        <v>177</v>
      </c>
      <c r="G498" s="2" t="n">
        <v>0</v>
      </c>
      <c r="H498" s="2" t="n">
        <v>0</v>
      </c>
      <c r="I498" s="4" t="n">
        <v>2</v>
      </c>
      <c r="J498" s="2" t="n">
        <v>1</v>
      </c>
      <c r="K498" s="2" t="s">
        <v>20</v>
      </c>
      <c r="L498" s="4" t="n">
        <v>5</v>
      </c>
      <c r="M498" s="2" t="n">
        <v>0</v>
      </c>
      <c r="N498" s="2" t="n">
        <v>0</v>
      </c>
      <c r="O498" s="4" t="n">
        <v>3</v>
      </c>
      <c r="Q498" s="2" t="n">
        <v>628</v>
      </c>
      <c r="R498" s="0" t="s">
        <v>96</v>
      </c>
      <c r="S498" s="0" t="s">
        <v>8853</v>
      </c>
    </row>
    <row r="499" customFormat="false" ht="13.8" hidden="false" customHeight="false" outlineLevel="0" collapsed="false">
      <c r="A499" s="0" t="s">
        <v>247</v>
      </c>
      <c r="B499" s="0" t="n">
        <v>46</v>
      </c>
      <c r="C499" s="0" t="s">
        <v>8839</v>
      </c>
      <c r="D499" s="0" t="s">
        <v>86</v>
      </c>
      <c r="E499" s="0" t="s">
        <v>339</v>
      </c>
      <c r="F499" s="4" t="n">
        <v>76</v>
      </c>
      <c r="G499" s="2" t="n">
        <v>0</v>
      </c>
      <c r="H499" s="2" t="n">
        <v>0</v>
      </c>
      <c r="I499" s="4" t="n">
        <v>2</v>
      </c>
      <c r="J499" s="2" t="n">
        <v>1</v>
      </c>
      <c r="K499" s="2" t="s">
        <v>13</v>
      </c>
      <c r="L499" s="4" t="n">
        <v>1</v>
      </c>
      <c r="M499" s="2" t="n">
        <v>0</v>
      </c>
      <c r="N499" s="2" t="n">
        <v>0</v>
      </c>
      <c r="O499" s="4" t="n">
        <v>3</v>
      </c>
      <c r="Q499" s="2" t="n">
        <v>629</v>
      </c>
      <c r="R499" s="0" t="s">
        <v>339</v>
      </c>
      <c r="S499" s="0" t="s">
        <v>8854</v>
      </c>
    </row>
    <row r="500" customFormat="false" ht="13.8" hidden="false" customHeight="false" outlineLevel="0" collapsed="false">
      <c r="A500" s="0" t="s">
        <v>247</v>
      </c>
      <c r="B500" s="0" t="n">
        <v>46</v>
      </c>
      <c r="C500" s="0" t="s">
        <v>8839</v>
      </c>
      <c r="D500" s="0" t="s">
        <v>650</v>
      </c>
      <c r="E500" s="0" t="s">
        <v>391</v>
      </c>
      <c r="F500" s="4" t="n">
        <v>95</v>
      </c>
      <c r="G500" s="2" t="n">
        <v>0</v>
      </c>
      <c r="H500" s="2" t="n">
        <v>0</v>
      </c>
      <c r="I500" s="4" t="n">
        <v>2</v>
      </c>
      <c r="J500" s="2" t="n">
        <v>0.7</v>
      </c>
      <c r="K500" s="2" t="s">
        <v>20</v>
      </c>
      <c r="L500" s="4" t="n">
        <v>5</v>
      </c>
      <c r="M500" s="2" t="n">
        <v>0</v>
      </c>
      <c r="N500" s="2" t="n">
        <v>0</v>
      </c>
      <c r="O500" s="4" t="n">
        <v>3</v>
      </c>
      <c r="Q500" s="2" t="n">
        <v>630</v>
      </c>
      <c r="R500" s="0" t="s">
        <v>391</v>
      </c>
      <c r="S500" s="0" t="s">
        <v>8855</v>
      </c>
    </row>
    <row r="501" customFormat="false" ht="13.8" hidden="false" customHeight="false" outlineLevel="0" collapsed="false">
      <c r="A501" s="0" t="s">
        <v>247</v>
      </c>
      <c r="B501" s="0" t="n">
        <v>46</v>
      </c>
      <c r="C501" s="0" t="s">
        <v>8839</v>
      </c>
      <c r="D501" s="0" t="s">
        <v>30</v>
      </c>
      <c r="E501" s="0" t="s">
        <v>204</v>
      </c>
      <c r="F501" s="4" t="n">
        <v>31</v>
      </c>
      <c r="G501" s="2" t="n">
        <v>0</v>
      </c>
      <c r="H501" s="2" t="n">
        <v>0</v>
      </c>
      <c r="I501" s="4" t="n">
        <v>2</v>
      </c>
      <c r="J501" s="2" t="n">
        <v>0.7</v>
      </c>
      <c r="K501" s="2" t="s">
        <v>20</v>
      </c>
      <c r="L501" s="4" t="n">
        <v>5</v>
      </c>
      <c r="M501" s="2" t="n">
        <v>0</v>
      </c>
      <c r="N501" s="2" t="n">
        <v>0</v>
      </c>
      <c r="O501" s="4" t="n">
        <v>3</v>
      </c>
      <c r="Q501" s="2" t="n">
        <v>631</v>
      </c>
      <c r="R501" s="0" t="s">
        <v>204</v>
      </c>
      <c r="S501" s="0" t="s">
        <v>8856</v>
      </c>
    </row>
    <row r="502" customFormat="false" ht="13.8" hidden="false" customHeight="false" outlineLevel="0" collapsed="false">
      <c r="A502" s="0" t="s">
        <v>247</v>
      </c>
      <c r="B502" s="0" t="n">
        <v>46</v>
      </c>
      <c r="C502" s="0" t="s">
        <v>8839</v>
      </c>
      <c r="D502" s="0" t="s">
        <v>717</v>
      </c>
      <c r="E502" s="0" t="s">
        <v>246</v>
      </c>
      <c r="F502" s="4" t="n">
        <v>45</v>
      </c>
      <c r="G502" s="2" t="n">
        <v>0</v>
      </c>
      <c r="H502" s="2" t="n">
        <v>0</v>
      </c>
      <c r="I502" s="4" t="n">
        <v>2</v>
      </c>
      <c r="J502" s="2" t="n">
        <v>1</v>
      </c>
      <c r="K502" s="2" t="s">
        <v>13</v>
      </c>
      <c r="L502" s="4" t="n">
        <v>1</v>
      </c>
      <c r="M502" s="2" t="n">
        <v>0</v>
      </c>
      <c r="N502" s="2" t="n">
        <v>0</v>
      </c>
      <c r="O502" s="4" t="n">
        <v>3</v>
      </c>
      <c r="Q502" s="2" t="n">
        <v>632</v>
      </c>
      <c r="R502" s="0" t="s">
        <v>246</v>
      </c>
      <c r="S502" s="0" t="s">
        <v>8857</v>
      </c>
    </row>
    <row r="503" customFormat="false" ht="13.8" hidden="false" customHeight="false" outlineLevel="0" collapsed="false">
      <c r="A503" s="0" t="s">
        <v>247</v>
      </c>
      <c r="B503" s="0" t="n">
        <v>46</v>
      </c>
      <c r="C503" s="0" t="s">
        <v>8839</v>
      </c>
      <c r="D503" s="0" t="s">
        <v>721</v>
      </c>
      <c r="E503" s="0" t="s">
        <v>342</v>
      </c>
      <c r="F503" s="4" t="n">
        <v>77</v>
      </c>
      <c r="G503" s="2" t="n">
        <v>0</v>
      </c>
      <c r="H503" s="2" t="n">
        <v>0</v>
      </c>
      <c r="I503" s="4" t="n">
        <v>2</v>
      </c>
      <c r="J503" s="2" t="n">
        <v>0</v>
      </c>
      <c r="K503" s="2" t="n">
        <v>0</v>
      </c>
      <c r="L503" s="4" t="n">
        <v>1</v>
      </c>
      <c r="M503" s="2" t="n">
        <v>1</v>
      </c>
      <c r="N503" s="2" t="s">
        <v>107</v>
      </c>
      <c r="O503" s="4" t="n">
        <v>3</v>
      </c>
      <c r="Q503" s="2" t="n">
        <v>633</v>
      </c>
      <c r="R503" s="0" t="s">
        <v>342</v>
      </c>
      <c r="S503" s="0" t="s">
        <v>8858</v>
      </c>
    </row>
    <row r="504" customFormat="false" ht="13.8" hidden="false" customHeight="false" outlineLevel="0" collapsed="false">
      <c r="A504" s="0" t="s">
        <v>247</v>
      </c>
      <c r="B504" s="0" t="n">
        <v>46</v>
      </c>
      <c r="C504" s="0" t="s">
        <v>8839</v>
      </c>
      <c r="D504" s="0" t="s">
        <v>722</v>
      </c>
      <c r="E504" s="0" t="s">
        <v>222</v>
      </c>
      <c r="F504" s="4" t="n">
        <v>37</v>
      </c>
      <c r="G504" s="2" t="n">
        <v>0.5</v>
      </c>
      <c r="H504" s="2" t="s">
        <v>7</v>
      </c>
      <c r="I504" s="4" t="n">
        <v>2</v>
      </c>
      <c r="J504" s="2" t="n">
        <v>0</v>
      </c>
      <c r="K504" s="2" t="n">
        <v>0</v>
      </c>
      <c r="L504" s="4" t="n">
        <v>1</v>
      </c>
      <c r="M504" s="2" t="n">
        <v>0</v>
      </c>
      <c r="N504" s="2" t="n">
        <v>0</v>
      </c>
      <c r="O504" s="4" t="n">
        <v>3</v>
      </c>
      <c r="Q504" s="2" t="n">
        <v>634</v>
      </c>
      <c r="R504" s="0" t="s">
        <v>222</v>
      </c>
      <c r="S504" s="0" t="s">
        <v>8859</v>
      </c>
    </row>
    <row r="505" customFormat="false" ht="13.8" hidden="false" customHeight="false" outlineLevel="0" collapsed="false">
      <c r="A505" s="0" t="s">
        <v>247</v>
      </c>
      <c r="B505" s="0" t="n">
        <v>46</v>
      </c>
      <c r="C505" s="0" t="s">
        <v>8839</v>
      </c>
      <c r="D505" s="0" t="s">
        <v>723</v>
      </c>
      <c r="E505" s="0" t="s">
        <v>339</v>
      </c>
      <c r="F505" s="4" t="n">
        <v>76</v>
      </c>
      <c r="G505" s="2" t="n">
        <v>0</v>
      </c>
      <c r="H505" s="2" t="n">
        <v>0</v>
      </c>
      <c r="I505" s="4" t="n">
        <v>2</v>
      </c>
      <c r="J505" s="2" t="n">
        <v>0.5</v>
      </c>
      <c r="K505" s="2" t="s">
        <v>13</v>
      </c>
      <c r="L505" s="4" t="n">
        <v>1</v>
      </c>
      <c r="M505" s="2" t="n">
        <v>0</v>
      </c>
      <c r="N505" s="2" t="n">
        <v>0</v>
      </c>
      <c r="O505" s="4" t="n">
        <v>3</v>
      </c>
      <c r="Q505" s="2" t="n">
        <v>635</v>
      </c>
      <c r="R505" s="0" t="s">
        <v>339</v>
      </c>
      <c r="S505" s="0" t="s">
        <v>8860</v>
      </c>
    </row>
    <row r="506" customFormat="false" ht="13.8" hidden="false" customHeight="false" outlineLevel="0" collapsed="false">
      <c r="A506" s="0" t="s">
        <v>322</v>
      </c>
      <c r="B506" s="0" t="n">
        <v>71</v>
      </c>
      <c r="C506" s="0" t="s">
        <v>8861</v>
      </c>
      <c r="D506" s="0" t="s">
        <v>724</v>
      </c>
      <c r="E506" s="0" t="s">
        <v>159</v>
      </c>
      <c r="F506" s="4" t="n">
        <v>16</v>
      </c>
      <c r="G506" s="2" t="n">
        <v>4.375</v>
      </c>
      <c r="H506" s="2" t="s">
        <v>7</v>
      </c>
      <c r="I506" s="4" t="n">
        <v>2</v>
      </c>
      <c r="J506" s="2" t="n">
        <v>3.5</v>
      </c>
      <c r="K506" s="2" t="s">
        <v>13</v>
      </c>
      <c r="L506" s="4" t="n">
        <v>1</v>
      </c>
      <c r="M506" s="2" t="n">
        <v>0</v>
      </c>
      <c r="N506" s="2" t="n">
        <v>0</v>
      </c>
      <c r="O506" s="4" t="n">
        <v>3</v>
      </c>
      <c r="Q506" s="2" t="n">
        <v>641</v>
      </c>
      <c r="R506" s="0" t="s">
        <v>159</v>
      </c>
      <c r="S506" s="0" t="s">
        <v>8862</v>
      </c>
    </row>
    <row r="507" customFormat="false" ht="13.8" hidden="false" customHeight="false" outlineLevel="0" collapsed="false">
      <c r="A507" s="0" t="s">
        <v>322</v>
      </c>
      <c r="B507" s="0" t="n">
        <v>71</v>
      </c>
      <c r="C507" s="0" t="s">
        <v>8861</v>
      </c>
      <c r="D507" s="0" t="s">
        <v>725</v>
      </c>
      <c r="E507" s="0" t="s">
        <v>460</v>
      </c>
      <c r="F507" s="4" t="n">
        <v>168</v>
      </c>
      <c r="G507" s="2" t="n">
        <v>7</v>
      </c>
      <c r="H507" s="2" t="s">
        <v>7</v>
      </c>
      <c r="I507" s="4" t="n">
        <v>2</v>
      </c>
      <c r="J507" s="2" t="n">
        <v>3.5</v>
      </c>
      <c r="K507" s="2" t="s">
        <v>13</v>
      </c>
      <c r="L507" s="4" t="n">
        <v>1</v>
      </c>
      <c r="M507" s="2" t="n">
        <v>0</v>
      </c>
      <c r="N507" s="2" t="n">
        <v>0</v>
      </c>
      <c r="O507" s="4" t="n">
        <v>3</v>
      </c>
      <c r="Q507" s="2" t="n">
        <v>643</v>
      </c>
      <c r="R507" s="0" t="s">
        <v>460</v>
      </c>
      <c r="S507" s="0" t="s">
        <v>8863</v>
      </c>
    </row>
    <row r="508" customFormat="false" ht="13.8" hidden="false" customHeight="false" outlineLevel="0" collapsed="false">
      <c r="A508" s="0" t="s">
        <v>322</v>
      </c>
      <c r="B508" s="0" t="n">
        <v>71</v>
      </c>
      <c r="C508" s="0" t="s">
        <v>8861</v>
      </c>
      <c r="D508" s="0" t="s">
        <v>726</v>
      </c>
      <c r="E508" s="0" t="s">
        <v>498</v>
      </c>
      <c r="F508" s="4" t="n">
        <v>209</v>
      </c>
      <c r="G508" s="2" t="n">
        <v>0</v>
      </c>
      <c r="H508" s="2" t="n">
        <v>0</v>
      </c>
      <c r="I508" s="4" t="n">
        <v>2</v>
      </c>
      <c r="J508" s="2" t="n">
        <v>3.5</v>
      </c>
      <c r="K508" s="2" t="s">
        <v>13</v>
      </c>
      <c r="L508" s="4" t="n">
        <v>1</v>
      </c>
      <c r="M508" s="2" t="n">
        <v>0</v>
      </c>
      <c r="N508" s="2" t="n">
        <v>0</v>
      </c>
      <c r="O508" s="4" t="n">
        <v>3</v>
      </c>
      <c r="Q508" s="2" t="n">
        <v>645</v>
      </c>
      <c r="R508" s="0" t="s">
        <v>498</v>
      </c>
      <c r="S508" s="0" t="s">
        <v>8864</v>
      </c>
    </row>
    <row r="509" customFormat="false" ht="13.8" hidden="false" customHeight="false" outlineLevel="0" collapsed="false">
      <c r="A509" s="0" t="s">
        <v>322</v>
      </c>
      <c r="B509" s="0" t="n">
        <v>71</v>
      </c>
      <c r="C509" s="0" t="s">
        <v>8861</v>
      </c>
      <c r="D509" s="0" t="s">
        <v>727</v>
      </c>
      <c r="E509" s="0" t="s">
        <v>363</v>
      </c>
      <c r="F509" s="4" t="n">
        <v>84</v>
      </c>
      <c r="G509" s="2" t="n">
        <v>7</v>
      </c>
      <c r="H509" s="2" t="s">
        <v>7</v>
      </c>
      <c r="I509" s="4" t="n">
        <v>2</v>
      </c>
      <c r="J509" s="2" t="n">
        <v>3.5</v>
      </c>
      <c r="K509" s="2" t="s">
        <v>13</v>
      </c>
      <c r="L509" s="4" t="n">
        <v>1</v>
      </c>
      <c r="M509" s="2" t="n">
        <v>0</v>
      </c>
      <c r="N509" s="2" t="n">
        <v>0</v>
      </c>
      <c r="O509" s="4" t="n">
        <v>3</v>
      </c>
      <c r="Q509" s="2" t="n">
        <v>647</v>
      </c>
      <c r="R509" s="0" t="s">
        <v>363</v>
      </c>
      <c r="S509" s="0" t="s">
        <v>8865</v>
      </c>
    </row>
    <row r="510" customFormat="false" ht="13.8" hidden="false" customHeight="false" outlineLevel="0" collapsed="false">
      <c r="A510" s="0" t="s">
        <v>322</v>
      </c>
      <c r="B510" s="0" t="n">
        <v>71</v>
      </c>
      <c r="C510" s="0" t="s">
        <v>8861</v>
      </c>
      <c r="D510" s="0" t="s">
        <v>728</v>
      </c>
      <c r="E510" s="0" t="s">
        <v>219</v>
      </c>
      <c r="F510" s="4" t="n">
        <v>36</v>
      </c>
      <c r="G510" s="2" t="n">
        <v>8.75</v>
      </c>
      <c r="H510" s="2" t="s">
        <v>7</v>
      </c>
      <c r="I510" s="4" t="n">
        <v>2</v>
      </c>
      <c r="J510" s="2" t="n">
        <v>13.125</v>
      </c>
      <c r="K510" s="2" t="s">
        <v>13</v>
      </c>
      <c r="L510" s="4" t="n">
        <v>1</v>
      </c>
      <c r="M510" s="2" t="n">
        <v>0</v>
      </c>
      <c r="N510" s="2" t="n">
        <v>0</v>
      </c>
      <c r="O510" s="4" t="n">
        <v>3</v>
      </c>
      <c r="Q510" s="2" t="n">
        <v>649</v>
      </c>
      <c r="R510" s="0" t="s">
        <v>219</v>
      </c>
      <c r="S510" s="0" t="s">
        <v>8866</v>
      </c>
    </row>
    <row r="511" customFormat="false" ht="13.8" hidden="false" customHeight="false" outlineLevel="0" collapsed="false">
      <c r="A511" s="0" t="s">
        <v>322</v>
      </c>
      <c r="B511" s="0" t="n">
        <v>71</v>
      </c>
      <c r="C511" s="0" t="s">
        <v>8861</v>
      </c>
      <c r="D511" s="0" t="s">
        <v>700</v>
      </c>
      <c r="E511" s="0" t="s">
        <v>499</v>
      </c>
      <c r="F511" s="4" t="n">
        <v>210</v>
      </c>
      <c r="G511" s="2" t="n">
        <v>0</v>
      </c>
      <c r="H511" s="2" t="n">
        <v>0</v>
      </c>
      <c r="I511" s="4" t="n">
        <v>2</v>
      </c>
      <c r="J511" s="2" t="n">
        <v>0</v>
      </c>
      <c r="K511" s="2" t="n">
        <v>0</v>
      </c>
      <c r="L511" s="4" t="n">
        <v>1</v>
      </c>
      <c r="M511" s="2" t="n">
        <v>0</v>
      </c>
      <c r="N511" s="2" t="n">
        <v>0</v>
      </c>
      <c r="O511" s="4" t="n">
        <v>3</v>
      </c>
      <c r="Q511" s="2" t="n">
        <v>650</v>
      </c>
      <c r="R511" s="0" t="s">
        <v>499</v>
      </c>
      <c r="S511" s="0" t="s">
        <v>8867</v>
      </c>
    </row>
    <row r="512" customFormat="false" ht="13.8" hidden="false" customHeight="false" outlineLevel="0" collapsed="false">
      <c r="A512" s="0" t="s">
        <v>322</v>
      </c>
      <c r="B512" s="0" t="n">
        <v>71</v>
      </c>
      <c r="C512" s="0" t="s">
        <v>8861</v>
      </c>
      <c r="D512" s="0" t="s">
        <v>729</v>
      </c>
      <c r="E512" s="0" t="s">
        <v>499</v>
      </c>
      <c r="F512" s="4" t="n">
        <v>210</v>
      </c>
      <c r="G512" s="2" t="n">
        <v>6.125</v>
      </c>
      <c r="H512" s="2" t="s">
        <v>7</v>
      </c>
      <c r="I512" s="4" t="n">
        <v>2</v>
      </c>
      <c r="J512" s="2" t="n">
        <v>3.5</v>
      </c>
      <c r="K512" s="2" t="s">
        <v>13</v>
      </c>
      <c r="L512" s="4" t="n">
        <v>1</v>
      </c>
      <c r="M512" s="2" t="n">
        <v>0</v>
      </c>
      <c r="N512" s="2" t="n">
        <v>0</v>
      </c>
      <c r="O512" s="4" t="n">
        <v>3</v>
      </c>
      <c r="Q512" s="2" t="n">
        <v>651</v>
      </c>
      <c r="R512" s="0" t="s">
        <v>499</v>
      </c>
      <c r="S512" s="0" t="s">
        <v>8868</v>
      </c>
    </row>
    <row r="513" customFormat="false" ht="13.8" hidden="false" customHeight="false" outlineLevel="0" collapsed="false">
      <c r="A513" s="0" t="s">
        <v>322</v>
      </c>
      <c r="B513" s="0" t="n">
        <v>71</v>
      </c>
      <c r="C513" s="0" t="s">
        <v>8861</v>
      </c>
      <c r="D513" s="0" t="s">
        <v>730</v>
      </c>
      <c r="E513" s="0" t="s">
        <v>183</v>
      </c>
      <c r="F513" s="4" t="n">
        <v>24</v>
      </c>
      <c r="G513" s="2" t="n">
        <v>0.4375</v>
      </c>
      <c r="H513" s="2" t="s">
        <v>7</v>
      </c>
      <c r="I513" s="4" t="n">
        <v>2</v>
      </c>
      <c r="J513" s="2" t="n">
        <v>3.5</v>
      </c>
      <c r="K513" s="2" t="s">
        <v>13</v>
      </c>
      <c r="L513" s="4" t="n">
        <v>1</v>
      </c>
      <c r="M513" s="2" t="n">
        <v>0</v>
      </c>
      <c r="N513" s="2" t="n">
        <v>0</v>
      </c>
      <c r="O513" s="4" t="n">
        <v>3</v>
      </c>
      <c r="Q513" s="2" t="n">
        <v>653</v>
      </c>
      <c r="R513" s="0" t="s">
        <v>183</v>
      </c>
      <c r="S513" s="0" t="s">
        <v>8869</v>
      </c>
    </row>
    <row r="514" customFormat="false" ht="13.8" hidden="false" customHeight="false" outlineLevel="0" collapsed="false">
      <c r="A514" s="0" t="s">
        <v>322</v>
      </c>
      <c r="B514" s="0" t="n">
        <v>71</v>
      </c>
      <c r="C514" s="0" t="s">
        <v>8861</v>
      </c>
      <c r="D514" s="0" t="s">
        <v>731</v>
      </c>
      <c r="E514" s="0" t="s">
        <v>448</v>
      </c>
      <c r="F514" s="4" t="n">
        <v>155</v>
      </c>
      <c r="G514" s="2" t="n">
        <v>5</v>
      </c>
      <c r="H514" s="2" t="s">
        <v>7</v>
      </c>
      <c r="I514" s="4" t="n">
        <v>2</v>
      </c>
      <c r="J514" s="2" t="n">
        <v>5</v>
      </c>
      <c r="K514" s="2" t="s">
        <v>13</v>
      </c>
      <c r="L514" s="4" t="n">
        <v>1</v>
      </c>
      <c r="M514" s="2" t="n">
        <v>0</v>
      </c>
      <c r="N514" s="2" t="n">
        <v>0</v>
      </c>
      <c r="O514" s="4" t="n">
        <v>3</v>
      </c>
      <c r="Q514" s="2" t="n">
        <v>655</v>
      </c>
      <c r="R514" s="0" t="s">
        <v>448</v>
      </c>
      <c r="S514" s="0" t="s">
        <v>8870</v>
      </c>
    </row>
    <row r="515" customFormat="false" ht="13.8" hidden="false" customHeight="false" outlineLevel="0" collapsed="false">
      <c r="A515" s="0" t="s">
        <v>322</v>
      </c>
      <c r="B515" s="0" t="n">
        <v>71</v>
      </c>
      <c r="C515" s="0" t="s">
        <v>8861</v>
      </c>
      <c r="D515" s="0" t="s">
        <v>732</v>
      </c>
      <c r="E515" s="0" t="s">
        <v>487</v>
      </c>
      <c r="F515" s="4" t="n">
        <v>197</v>
      </c>
      <c r="G515" s="2" t="n">
        <v>0</v>
      </c>
      <c r="H515" s="2" t="n">
        <v>0</v>
      </c>
      <c r="I515" s="4" t="n">
        <v>2</v>
      </c>
      <c r="J515" s="2" t="n">
        <v>3.5</v>
      </c>
      <c r="K515" s="2" t="s">
        <v>13</v>
      </c>
      <c r="L515" s="4" t="n">
        <v>1</v>
      </c>
      <c r="M515" s="2" t="n">
        <v>0</v>
      </c>
      <c r="N515" s="2" t="n">
        <v>0</v>
      </c>
      <c r="O515" s="4" t="n">
        <v>3</v>
      </c>
      <c r="Q515" s="2" t="n">
        <v>656</v>
      </c>
      <c r="R515" s="0" t="s">
        <v>487</v>
      </c>
      <c r="S515" s="0" t="s">
        <v>8871</v>
      </c>
    </row>
    <row r="516" customFormat="false" ht="13.8" hidden="false" customHeight="false" outlineLevel="0" collapsed="false">
      <c r="A516" s="0" t="s">
        <v>322</v>
      </c>
      <c r="B516" s="0" t="n">
        <v>71</v>
      </c>
      <c r="C516" s="0" t="s">
        <v>8861</v>
      </c>
      <c r="D516" s="0" t="s">
        <v>708</v>
      </c>
      <c r="E516" s="0" t="s">
        <v>366</v>
      </c>
      <c r="F516" s="4" t="n">
        <v>85</v>
      </c>
      <c r="G516" s="2" t="n">
        <v>0</v>
      </c>
      <c r="H516" s="2" t="n">
        <v>0</v>
      </c>
      <c r="I516" s="4" t="n">
        <v>2</v>
      </c>
      <c r="J516" s="2" t="n">
        <v>1</v>
      </c>
      <c r="K516" s="2" t="s">
        <v>13</v>
      </c>
      <c r="L516" s="4" t="n">
        <v>1</v>
      </c>
      <c r="M516" s="2" t="n">
        <v>0</v>
      </c>
      <c r="N516" s="2" t="n">
        <v>0</v>
      </c>
      <c r="O516" s="4" t="n">
        <v>3</v>
      </c>
      <c r="Q516" s="2" t="n">
        <v>657</v>
      </c>
      <c r="R516" s="0" t="s">
        <v>366</v>
      </c>
      <c r="S516" s="0" t="s">
        <v>8872</v>
      </c>
    </row>
    <row r="517" customFormat="false" ht="13.8" hidden="false" customHeight="false" outlineLevel="0" collapsed="false">
      <c r="A517" s="0" t="s">
        <v>322</v>
      </c>
      <c r="B517" s="0" t="n">
        <v>71</v>
      </c>
      <c r="C517" s="0" t="s">
        <v>8861</v>
      </c>
      <c r="D517" s="0" t="s">
        <v>733</v>
      </c>
      <c r="E517" s="0" t="s">
        <v>476</v>
      </c>
      <c r="F517" s="4" t="n">
        <v>185</v>
      </c>
      <c r="G517" s="2" t="n">
        <v>0</v>
      </c>
      <c r="H517" s="2" t="n">
        <v>0</v>
      </c>
      <c r="I517" s="4" t="n">
        <v>2</v>
      </c>
      <c r="J517" s="2" t="n">
        <v>0.5</v>
      </c>
      <c r="K517" s="2" t="s">
        <v>13</v>
      </c>
      <c r="L517" s="4" t="n">
        <v>1</v>
      </c>
      <c r="M517" s="2" t="n">
        <v>0</v>
      </c>
      <c r="N517" s="2" t="n">
        <v>0</v>
      </c>
      <c r="O517" s="4" t="n">
        <v>3</v>
      </c>
      <c r="Q517" s="2" t="n">
        <v>658</v>
      </c>
      <c r="R517" s="0" t="s">
        <v>476</v>
      </c>
      <c r="S517" s="0" t="s">
        <v>8873</v>
      </c>
    </row>
    <row r="518" customFormat="false" ht="13.8" hidden="false" customHeight="false" outlineLevel="0" collapsed="false">
      <c r="A518" s="0" t="s">
        <v>322</v>
      </c>
      <c r="B518" s="0" t="n">
        <v>71</v>
      </c>
      <c r="C518" s="0" t="s">
        <v>8861</v>
      </c>
      <c r="D518" s="0" t="s">
        <v>734</v>
      </c>
      <c r="E518" s="0" t="s">
        <v>225</v>
      </c>
      <c r="F518" s="4" t="n">
        <v>38</v>
      </c>
      <c r="G518" s="2" t="n">
        <v>0</v>
      </c>
      <c r="H518" s="2" t="n">
        <v>0</v>
      </c>
      <c r="I518" s="4" t="n">
        <v>2</v>
      </c>
      <c r="J518" s="2" t="n">
        <v>0.525</v>
      </c>
      <c r="K518" s="2" t="s">
        <v>13</v>
      </c>
      <c r="L518" s="4" t="n">
        <v>1</v>
      </c>
      <c r="M518" s="2" t="n">
        <v>0</v>
      </c>
      <c r="N518" s="2" t="n">
        <v>0</v>
      </c>
      <c r="O518" s="4" t="n">
        <v>3</v>
      </c>
      <c r="Q518" s="2" t="n">
        <v>659</v>
      </c>
      <c r="R518" s="0" t="s">
        <v>225</v>
      </c>
      <c r="S518" s="0" t="s">
        <v>8874</v>
      </c>
    </row>
    <row r="519" customFormat="false" ht="13.8" hidden="false" customHeight="false" outlineLevel="0" collapsed="false">
      <c r="A519" s="0" t="s">
        <v>322</v>
      </c>
      <c r="B519" s="0" t="n">
        <v>71</v>
      </c>
      <c r="C519" s="0" t="s">
        <v>8861</v>
      </c>
      <c r="D519" s="0" t="s">
        <v>618</v>
      </c>
      <c r="E519" s="0" t="s">
        <v>204</v>
      </c>
      <c r="F519" s="4" t="n">
        <v>31</v>
      </c>
      <c r="G519" s="2" t="n">
        <v>0</v>
      </c>
      <c r="H519" s="2" t="n">
        <v>0</v>
      </c>
      <c r="I519" s="4" t="n">
        <v>2</v>
      </c>
      <c r="J519" s="2" t="n">
        <v>0.7</v>
      </c>
      <c r="K519" s="2" t="s">
        <v>20</v>
      </c>
      <c r="L519" s="4" t="n">
        <v>5</v>
      </c>
      <c r="M519" s="2" t="n">
        <v>0</v>
      </c>
      <c r="N519" s="2" t="n">
        <v>0</v>
      </c>
      <c r="O519" s="4" t="n">
        <v>3</v>
      </c>
      <c r="Q519" s="2" t="n">
        <v>660</v>
      </c>
      <c r="R519" s="0" t="s">
        <v>204</v>
      </c>
      <c r="S519" s="0" t="s">
        <v>8875</v>
      </c>
    </row>
    <row r="520" customFormat="false" ht="13.8" hidden="false" customHeight="false" outlineLevel="0" collapsed="false">
      <c r="A520" s="0" t="s">
        <v>322</v>
      </c>
      <c r="B520" s="0" t="n">
        <v>71</v>
      </c>
      <c r="C520" s="0" t="s">
        <v>8861</v>
      </c>
      <c r="D520" s="0" t="s">
        <v>562</v>
      </c>
      <c r="E520" s="0" t="s">
        <v>391</v>
      </c>
      <c r="F520" s="4" t="n">
        <v>95</v>
      </c>
      <c r="G520" s="2" t="n">
        <v>0</v>
      </c>
      <c r="H520" s="2" t="n">
        <v>0</v>
      </c>
      <c r="I520" s="4" t="n">
        <v>2</v>
      </c>
      <c r="J520" s="2" t="n">
        <v>0.525</v>
      </c>
      <c r="K520" s="2" t="s">
        <v>20</v>
      </c>
      <c r="L520" s="4" t="n">
        <v>5</v>
      </c>
      <c r="M520" s="2" t="n">
        <v>0</v>
      </c>
      <c r="N520" s="2" t="n">
        <v>0</v>
      </c>
      <c r="O520" s="4" t="n">
        <v>3</v>
      </c>
      <c r="Q520" s="2" t="n">
        <v>661</v>
      </c>
      <c r="R520" s="0" t="s">
        <v>391</v>
      </c>
      <c r="S520" s="0" t="s">
        <v>8876</v>
      </c>
    </row>
    <row r="521" customFormat="false" ht="13.8" hidden="false" customHeight="false" outlineLevel="0" collapsed="false">
      <c r="A521" s="0" t="s">
        <v>322</v>
      </c>
      <c r="B521" s="0" t="n">
        <v>71</v>
      </c>
      <c r="C521" s="0" t="s">
        <v>8861</v>
      </c>
      <c r="D521" s="0" t="s">
        <v>32</v>
      </c>
      <c r="E521" s="0" t="s">
        <v>96</v>
      </c>
      <c r="F521" s="4" t="n">
        <v>177</v>
      </c>
      <c r="G521" s="2" t="n">
        <v>0</v>
      </c>
      <c r="H521" s="2" t="n">
        <v>0</v>
      </c>
      <c r="I521" s="4" t="n">
        <v>2</v>
      </c>
      <c r="J521" s="2" t="n">
        <v>1.75</v>
      </c>
      <c r="K521" s="2" t="s">
        <v>20</v>
      </c>
      <c r="L521" s="4" t="n">
        <v>5</v>
      </c>
      <c r="M521" s="2" t="n">
        <v>0</v>
      </c>
      <c r="N521" s="2" t="n">
        <v>0</v>
      </c>
      <c r="O521" s="4" t="n">
        <v>3</v>
      </c>
      <c r="Q521" s="2" t="n">
        <v>662</v>
      </c>
      <c r="R521" s="0" t="s">
        <v>96</v>
      </c>
      <c r="S521" s="0" t="s">
        <v>8877</v>
      </c>
    </row>
    <row r="522" customFormat="false" ht="13.8" hidden="false" customHeight="false" outlineLevel="0" collapsed="false">
      <c r="A522" s="0" t="s">
        <v>322</v>
      </c>
      <c r="B522" s="0" t="n">
        <v>71</v>
      </c>
      <c r="C522" s="0" t="s">
        <v>8861</v>
      </c>
      <c r="D522" s="0" t="s">
        <v>92</v>
      </c>
      <c r="E522" s="0" t="s">
        <v>360</v>
      </c>
      <c r="F522" s="4" t="n">
        <v>83</v>
      </c>
      <c r="G522" s="2" t="n">
        <v>0</v>
      </c>
      <c r="H522" s="2" t="n">
        <v>0</v>
      </c>
      <c r="I522" s="4" t="n">
        <v>2</v>
      </c>
      <c r="J522" s="2" t="n">
        <v>0</v>
      </c>
      <c r="K522" s="2" t="n">
        <v>0</v>
      </c>
      <c r="L522" s="4" t="n">
        <v>1</v>
      </c>
      <c r="M522" s="2" t="n">
        <v>0</v>
      </c>
      <c r="N522" s="2" t="n">
        <v>0</v>
      </c>
      <c r="O522" s="4" t="n">
        <v>3</v>
      </c>
      <c r="Q522" s="2" t="n">
        <v>665</v>
      </c>
      <c r="R522" s="0" t="s">
        <v>360</v>
      </c>
      <c r="S522" s="0" t="s">
        <v>8878</v>
      </c>
    </row>
    <row r="523" customFormat="false" ht="13.8" hidden="false" customHeight="false" outlineLevel="0" collapsed="false">
      <c r="A523" s="0" t="s">
        <v>325</v>
      </c>
      <c r="B523" s="0" t="n">
        <v>72</v>
      </c>
      <c r="C523" s="0" t="s">
        <v>8879</v>
      </c>
      <c r="D523" s="0" t="s">
        <v>735</v>
      </c>
      <c r="E523" s="0" t="s">
        <v>377</v>
      </c>
      <c r="F523" s="4" t="n">
        <v>89</v>
      </c>
      <c r="G523" s="2" t="n">
        <v>0</v>
      </c>
      <c r="H523" s="2" t="n">
        <v>0</v>
      </c>
      <c r="I523" s="4" t="n">
        <v>2</v>
      </c>
      <c r="J523" s="2" t="n">
        <v>2</v>
      </c>
      <c r="K523" s="2" t="s">
        <v>13</v>
      </c>
      <c r="L523" s="4" t="n">
        <v>1</v>
      </c>
      <c r="M523" s="2" t="n">
        <v>0</v>
      </c>
      <c r="N523" s="2" t="n">
        <v>0</v>
      </c>
      <c r="O523" s="4" t="n">
        <v>3</v>
      </c>
      <c r="Q523" s="2" t="n">
        <v>669</v>
      </c>
      <c r="R523" s="0" t="s">
        <v>377</v>
      </c>
      <c r="S523" s="0" t="s">
        <v>8880</v>
      </c>
    </row>
    <row r="524" customFormat="false" ht="13.8" hidden="false" customHeight="false" outlineLevel="0" collapsed="false">
      <c r="A524" s="0" t="s">
        <v>325</v>
      </c>
      <c r="B524" s="0" t="n">
        <v>72</v>
      </c>
      <c r="C524" s="0" t="s">
        <v>8879</v>
      </c>
      <c r="D524" s="0" t="s">
        <v>736</v>
      </c>
      <c r="E524" s="0" t="s">
        <v>102</v>
      </c>
      <c r="F524" s="4" t="n">
        <v>1</v>
      </c>
      <c r="G524" s="2" t="n">
        <v>0</v>
      </c>
      <c r="H524" s="2" t="n">
        <v>0</v>
      </c>
      <c r="I524" s="4" t="n">
        <v>2</v>
      </c>
      <c r="J524" s="2" t="n">
        <v>1.5</v>
      </c>
      <c r="K524" s="2" t="s">
        <v>13</v>
      </c>
      <c r="L524" s="4" t="n">
        <v>1</v>
      </c>
      <c r="M524" s="2" t="n">
        <v>0</v>
      </c>
      <c r="N524" s="2" t="n">
        <v>0</v>
      </c>
      <c r="O524" s="4" t="n">
        <v>3</v>
      </c>
      <c r="Q524" s="2" t="n">
        <v>670</v>
      </c>
      <c r="R524" s="0" t="s">
        <v>102</v>
      </c>
      <c r="S524" s="0" t="s">
        <v>8881</v>
      </c>
    </row>
    <row r="525" customFormat="false" ht="13.8" hidden="false" customHeight="false" outlineLevel="0" collapsed="false">
      <c r="A525" s="0" t="s">
        <v>325</v>
      </c>
      <c r="B525" s="0" t="n">
        <v>72</v>
      </c>
      <c r="C525" s="0" t="s">
        <v>8879</v>
      </c>
      <c r="D525" s="0" t="s">
        <v>737</v>
      </c>
      <c r="E525" s="0" t="s">
        <v>246</v>
      </c>
      <c r="F525" s="4" t="n">
        <v>45</v>
      </c>
      <c r="G525" s="2" t="n">
        <v>0</v>
      </c>
      <c r="H525" s="2" t="n">
        <v>0</v>
      </c>
      <c r="I525" s="4" t="n">
        <v>2</v>
      </c>
      <c r="J525" s="2" t="n">
        <v>3</v>
      </c>
      <c r="K525" s="2" t="s">
        <v>13</v>
      </c>
      <c r="L525" s="4" t="n">
        <v>1</v>
      </c>
      <c r="M525" s="2" t="n">
        <v>0</v>
      </c>
      <c r="N525" s="2" t="n">
        <v>0</v>
      </c>
      <c r="O525" s="4" t="n">
        <v>3</v>
      </c>
      <c r="Q525" s="2" t="n">
        <v>671</v>
      </c>
      <c r="R525" s="0" t="s">
        <v>246</v>
      </c>
      <c r="S525" s="0" t="s">
        <v>8882</v>
      </c>
    </row>
    <row r="526" customFormat="false" ht="13.8" hidden="false" customHeight="false" outlineLevel="0" collapsed="false">
      <c r="A526" s="0" t="s">
        <v>325</v>
      </c>
      <c r="B526" s="0" t="n">
        <v>72</v>
      </c>
      <c r="C526" s="0" t="s">
        <v>8879</v>
      </c>
      <c r="D526" s="0" t="s">
        <v>563</v>
      </c>
      <c r="E526" s="0" t="s">
        <v>386</v>
      </c>
      <c r="F526" s="4" t="n">
        <v>93</v>
      </c>
      <c r="G526" s="2" t="n">
        <v>0</v>
      </c>
      <c r="H526" s="2" t="n">
        <v>0</v>
      </c>
      <c r="I526" s="4" t="n">
        <v>2</v>
      </c>
      <c r="J526" s="2" t="n">
        <v>1</v>
      </c>
      <c r="K526" s="2" t="s">
        <v>13</v>
      </c>
      <c r="L526" s="4" t="n">
        <v>1</v>
      </c>
      <c r="M526" s="2" t="n">
        <v>0</v>
      </c>
      <c r="N526" s="2" t="n">
        <v>0</v>
      </c>
      <c r="O526" s="4" t="n">
        <v>3</v>
      </c>
      <c r="Q526" s="2" t="n">
        <v>672</v>
      </c>
      <c r="R526" s="0" t="s">
        <v>386</v>
      </c>
      <c r="S526" s="0" t="s">
        <v>8883</v>
      </c>
    </row>
    <row r="527" customFormat="false" ht="13.8" hidden="false" customHeight="false" outlineLevel="0" collapsed="false">
      <c r="A527" s="0" t="s">
        <v>325</v>
      </c>
      <c r="B527" s="0" t="n">
        <v>72</v>
      </c>
      <c r="C527" s="0" t="s">
        <v>8879</v>
      </c>
      <c r="D527" s="0" t="s">
        <v>738</v>
      </c>
      <c r="E527" s="0" t="s">
        <v>231</v>
      </c>
      <c r="F527" s="4" t="n">
        <v>40</v>
      </c>
      <c r="G527" s="2" t="n">
        <v>0</v>
      </c>
      <c r="H527" s="2" t="n">
        <v>0</v>
      </c>
      <c r="I527" s="4" t="n">
        <v>2</v>
      </c>
      <c r="J527" s="2" t="n">
        <v>1.5</v>
      </c>
      <c r="K527" s="2" t="s">
        <v>13</v>
      </c>
      <c r="L527" s="4" t="n">
        <v>1</v>
      </c>
      <c r="M527" s="2" t="n">
        <v>0</v>
      </c>
      <c r="N527" s="2" t="n">
        <v>0</v>
      </c>
      <c r="O527" s="4" t="n">
        <v>3</v>
      </c>
      <c r="Q527" s="2" t="n">
        <v>673</v>
      </c>
      <c r="R527" s="0" t="s">
        <v>231</v>
      </c>
      <c r="S527" s="0" t="s">
        <v>8884</v>
      </c>
    </row>
    <row r="528" customFormat="false" ht="13.8" hidden="false" customHeight="false" outlineLevel="0" collapsed="false">
      <c r="A528" s="0" t="s">
        <v>325</v>
      </c>
      <c r="B528" s="0" t="n">
        <v>72</v>
      </c>
      <c r="C528" s="0" t="s">
        <v>8879</v>
      </c>
      <c r="D528" s="0" t="s">
        <v>739</v>
      </c>
      <c r="E528" s="0" t="s">
        <v>267</v>
      </c>
      <c r="F528" s="4" t="n">
        <v>52</v>
      </c>
      <c r="G528" s="2" t="n">
        <v>0</v>
      </c>
      <c r="H528" s="2" t="n">
        <v>0</v>
      </c>
      <c r="I528" s="4" t="n">
        <v>2</v>
      </c>
      <c r="J528" s="2" t="n">
        <v>2</v>
      </c>
      <c r="K528" s="2" t="s">
        <v>13</v>
      </c>
      <c r="L528" s="4" t="n">
        <v>1</v>
      </c>
      <c r="M528" s="2" t="n">
        <v>0</v>
      </c>
      <c r="N528" s="2" t="n">
        <v>0</v>
      </c>
      <c r="O528" s="4" t="n">
        <v>3</v>
      </c>
      <c r="Q528" s="2" t="n">
        <v>674</v>
      </c>
      <c r="R528" s="0" t="s">
        <v>267</v>
      </c>
      <c r="S528" s="0" t="s">
        <v>8885</v>
      </c>
    </row>
    <row r="529" customFormat="false" ht="13.8" hidden="false" customHeight="false" outlineLevel="0" collapsed="false">
      <c r="A529" s="0" t="s">
        <v>325</v>
      </c>
      <c r="B529" s="0" t="n">
        <v>72</v>
      </c>
      <c r="C529" s="0" t="s">
        <v>8879</v>
      </c>
      <c r="D529" s="0" t="s">
        <v>740</v>
      </c>
      <c r="E529" s="0" t="s">
        <v>485</v>
      </c>
      <c r="F529" s="4" t="n">
        <v>195</v>
      </c>
      <c r="G529" s="2" t="n">
        <v>0</v>
      </c>
      <c r="H529" s="2" t="n">
        <v>0</v>
      </c>
      <c r="I529" s="4" t="n">
        <v>2</v>
      </c>
      <c r="J529" s="2" t="n">
        <v>1</v>
      </c>
      <c r="K529" s="2" t="s">
        <v>13</v>
      </c>
      <c r="L529" s="4" t="n">
        <v>1</v>
      </c>
      <c r="M529" s="2" t="n">
        <v>0</v>
      </c>
      <c r="N529" s="2" t="n">
        <v>0</v>
      </c>
      <c r="O529" s="4" t="n">
        <v>3</v>
      </c>
      <c r="Q529" s="2" t="n">
        <v>675</v>
      </c>
      <c r="R529" s="0" t="s">
        <v>485</v>
      </c>
      <c r="S529" s="0" t="s">
        <v>8886</v>
      </c>
    </row>
    <row r="530" customFormat="false" ht="13.8" hidden="false" customHeight="false" outlineLevel="0" collapsed="false">
      <c r="A530" s="0" t="s">
        <v>325</v>
      </c>
      <c r="B530" s="0" t="n">
        <v>72</v>
      </c>
      <c r="C530" s="0" t="s">
        <v>8879</v>
      </c>
      <c r="D530" s="0" t="s">
        <v>741</v>
      </c>
      <c r="E530" s="0" t="s">
        <v>412</v>
      </c>
      <c r="F530" s="4" t="n">
        <v>117</v>
      </c>
      <c r="G530" s="2" t="n">
        <v>400</v>
      </c>
      <c r="H530" s="2" t="s">
        <v>109</v>
      </c>
      <c r="I530" s="4" t="n">
        <v>7</v>
      </c>
      <c r="J530" s="2" t="n">
        <v>0</v>
      </c>
      <c r="K530" s="2" t="n">
        <v>0</v>
      </c>
      <c r="L530" s="4" t="n">
        <v>1</v>
      </c>
      <c r="M530" s="2" t="n">
        <v>0</v>
      </c>
      <c r="N530" s="2" t="n">
        <v>0</v>
      </c>
      <c r="O530" s="4" t="n">
        <v>3</v>
      </c>
      <c r="Q530" s="2" t="n">
        <v>676</v>
      </c>
      <c r="R530" s="0" t="s">
        <v>412</v>
      </c>
      <c r="S530" s="0" t="s">
        <v>8887</v>
      </c>
    </row>
    <row r="531" customFormat="false" ht="13.8" hidden="false" customHeight="false" outlineLevel="0" collapsed="false">
      <c r="A531" s="0" t="s">
        <v>325</v>
      </c>
      <c r="B531" s="0" t="n">
        <v>72</v>
      </c>
      <c r="C531" s="0" t="s">
        <v>8879</v>
      </c>
      <c r="D531" s="0" t="s">
        <v>742</v>
      </c>
      <c r="E531" s="0" t="s">
        <v>494</v>
      </c>
      <c r="F531" s="4" t="n">
        <v>205</v>
      </c>
      <c r="G531" s="2" t="n">
        <v>0</v>
      </c>
      <c r="H531" s="2" t="n">
        <v>0</v>
      </c>
      <c r="I531" s="4" t="n">
        <v>2</v>
      </c>
      <c r="J531" s="2" t="n">
        <v>0.5</v>
      </c>
      <c r="K531" s="2" t="s">
        <v>20</v>
      </c>
      <c r="L531" s="4" t="n">
        <v>5</v>
      </c>
      <c r="M531" s="2" t="n">
        <v>0</v>
      </c>
      <c r="N531" s="2" t="n">
        <v>0</v>
      </c>
      <c r="O531" s="4" t="n">
        <v>3</v>
      </c>
      <c r="Q531" s="2" t="n">
        <v>677</v>
      </c>
      <c r="R531" s="0" t="s">
        <v>494</v>
      </c>
      <c r="S531" s="0" t="s">
        <v>8888</v>
      </c>
    </row>
    <row r="532" customFormat="false" ht="13.8" hidden="false" customHeight="false" outlineLevel="0" collapsed="false">
      <c r="A532" s="0" t="s">
        <v>325</v>
      </c>
      <c r="B532" s="0" t="n">
        <v>72</v>
      </c>
      <c r="C532" s="0" t="s">
        <v>8879</v>
      </c>
      <c r="D532" s="0" t="s">
        <v>658</v>
      </c>
      <c r="E532" s="0" t="s">
        <v>96</v>
      </c>
      <c r="F532" s="4" t="n">
        <v>177</v>
      </c>
      <c r="G532" s="2" t="n">
        <v>0</v>
      </c>
      <c r="H532" s="2" t="n">
        <v>0</v>
      </c>
      <c r="I532" s="4" t="n">
        <v>2</v>
      </c>
      <c r="J532" s="2" t="n">
        <v>0.3</v>
      </c>
      <c r="K532" s="2" t="s">
        <v>20</v>
      </c>
      <c r="L532" s="4" t="n">
        <v>5</v>
      </c>
      <c r="M532" s="2" t="n">
        <v>0</v>
      </c>
      <c r="N532" s="2" t="n">
        <v>0</v>
      </c>
      <c r="O532" s="4" t="n">
        <v>3</v>
      </c>
      <c r="Q532" s="2" t="n">
        <v>678</v>
      </c>
      <c r="R532" s="0" t="s">
        <v>96</v>
      </c>
      <c r="S532" s="0" t="s">
        <v>8889</v>
      </c>
    </row>
    <row r="533" customFormat="false" ht="13.8" hidden="false" customHeight="false" outlineLevel="0" collapsed="false">
      <c r="A533" s="0" t="s">
        <v>325</v>
      </c>
      <c r="B533" s="0" t="n">
        <v>72</v>
      </c>
      <c r="C533" s="0" t="s">
        <v>8879</v>
      </c>
      <c r="D533" s="0" t="s">
        <v>743</v>
      </c>
      <c r="E533" s="0" t="s">
        <v>44</v>
      </c>
      <c r="F533" s="4" t="n">
        <v>187</v>
      </c>
      <c r="G533" s="2" t="n">
        <v>0</v>
      </c>
      <c r="H533" s="2" t="n">
        <v>0</v>
      </c>
      <c r="I533" s="4" t="n">
        <v>2</v>
      </c>
      <c r="J533" s="2" t="n">
        <v>1</v>
      </c>
      <c r="K533" s="2" t="s">
        <v>20</v>
      </c>
      <c r="L533" s="4" t="n">
        <v>5</v>
      </c>
      <c r="M533" s="2" t="n">
        <v>0</v>
      </c>
      <c r="N533" s="2" t="n">
        <v>0</v>
      </c>
      <c r="O533" s="4" t="n">
        <v>3</v>
      </c>
      <c r="Q533" s="2" t="n">
        <v>679</v>
      </c>
      <c r="R533" s="0" t="s">
        <v>44</v>
      </c>
      <c r="S533" s="0" t="s">
        <v>8890</v>
      </c>
    </row>
    <row r="534" customFormat="false" ht="13.8" hidden="false" customHeight="false" outlineLevel="0" collapsed="false">
      <c r="A534" s="0" t="s">
        <v>226</v>
      </c>
      <c r="B534" s="0" t="n">
        <v>39</v>
      </c>
      <c r="C534" s="0" t="s">
        <v>8891</v>
      </c>
      <c r="D534" s="0" t="s">
        <v>744</v>
      </c>
      <c r="E534" s="0" t="s">
        <v>312</v>
      </c>
      <c r="F534" s="4" t="n">
        <v>67</v>
      </c>
      <c r="G534" s="2" t="n">
        <v>0</v>
      </c>
      <c r="H534" s="2" t="n">
        <v>0</v>
      </c>
      <c r="I534" s="4" t="n">
        <v>2</v>
      </c>
      <c r="J534" s="2" t="n">
        <v>0</v>
      </c>
      <c r="K534" s="2" t="n">
        <v>0</v>
      </c>
      <c r="L534" s="4" t="n">
        <v>1</v>
      </c>
      <c r="M534" s="2" t="n">
        <v>25</v>
      </c>
      <c r="N534" s="2" t="s">
        <v>127</v>
      </c>
      <c r="O534" s="4" t="n">
        <v>8</v>
      </c>
      <c r="Q534" s="2" t="n">
        <v>684</v>
      </c>
      <c r="R534" s="0" t="s">
        <v>312</v>
      </c>
      <c r="S534" s="0" t="s">
        <v>8892</v>
      </c>
    </row>
    <row r="535" customFormat="false" ht="13.8" hidden="false" customHeight="false" outlineLevel="0" collapsed="false">
      <c r="A535" s="0" t="s">
        <v>226</v>
      </c>
      <c r="B535" s="0" t="n">
        <v>39</v>
      </c>
      <c r="C535" s="0" t="s">
        <v>8891</v>
      </c>
      <c r="D535" s="0" t="s">
        <v>745</v>
      </c>
      <c r="E535" s="0" t="s">
        <v>195</v>
      </c>
      <c r="F535" s="4" t="n">
        <v>28</v>
      </c>
      <c r="G535" s="2" t="n">
        <v>0</v>
      </c>
      <c r="H535" s="2" t="n">
        <v>0</v>
      </c>
      <c r="I535" s="4" t="n">
        <v>2</v>
      </c>
      <c r="J535" s="2" t="n">
        <v>10</v>
      </c>
      <c r="K535" s="2" t="s">
        <v>13</v>
      </c>
      <c r="L535" s="4" t="n">
        <v>1</v>
      </c>
      <c r="M535" s="2" t="n">
        <v>0</v>
      </c>
      <c r="N535" s="2" t="n">
        <v>0</v>
      </c>
      <c r="O535" s="4" t="n">
        <v>3</v>
      </c>
      <c r="Q535" s="2" t="n">
        <v>685</v>
      </c>
      <c r="R535" s="0" t="s">
        <v>195</v>
      </c>
      <c r="S535" s="0" t="s">
        <v>8893</v>
      </c>
    </row>
    <row r="536" customFormat="false" ht="13.8" hidden="false" customHeight="false" outlineLevel="0" collapsed="false">
      <c r="A536" s="0" t="s">
        <v>226</v>
      </c>
      <c r="B536" s="0" t="n">
        <v>39</v>
      </c>
      <c r="C536" s="0" t="s">
        <v>8891</v>
      </c>
      <c r="D536" s="0" t="s">
        <v>746</v>
      </c>
      <c r="E536" s="0" t="s">
        <v>463</v>
      </c>
      <c r="F536" s="4" t="n">
        <v>171</v>
      </c>
      <c r="G536" s="2" t="n">
        <v>0</v>
      </c>
      <c r="H536" s="2" t="n">
        <v>0</v>
      </c>
      <c r="I536" s="4" t="n">
        <v>2</v>
      </c>
      <c r="J536" s="2" t="n">
        <v>0.5</v>
      </c>
      <c r="K536" s="2" t="s">
        <v>13</v>
      </c>
      <c r="L536" s="4" t="n">
        <v>1</v>
      </c>
      <c r="M536" s="2" t="n">
        <v>0</v>
      </c>
      <c r="N536" s="2" t="n">
        <v>0</v>
      </c>
      <c r="O536" s="4" t="n">
        <v>3</v>
      </c>
      <c r="Q536" s="2" t="n">
        <v>686</v>
      </c>
      <c r="R536" s="0" t="s">
        <v>463</v>
      </c>
      <c r="S536" s="0" t="s">
        <v>8894</v>
      </c>
    </row>
    <row r="537" customFormat="false" ht="13.8" hidden="false" customHeight="false" outlineLevel="0" collapsed="false">
      <c r="A537" s="0" t="s">
        <v>226</v>
      </c>
      <c r="B537" s="0" t="n">
        <v>39</v>
      </c>
      <c r="C537" s="0" t="s">
        <v>8891</v>
      </c>
      <c r="D537" s="0" t="s">
        <v>578</v>
      </c>
      <c r="E537" s="0" t="s">
        <v>503</v>
      </c>
      <c r="F537" s="4" t="n">
        <v>214</v>
      </c>
      <c r="G537" s="2" t="n">
        <v>0</v>
      </c>
      <c r="H537" s="2" t="n">
        <v>0</v>
      </c>
      <c r="I537" s="4" t="n">
        <v>2</v>
      </c>
      <c r="J537" s="2" t="n">
        <v>10</v>
      </c>
      <c r="K537" s="2" t="s">
        <v>13</v>
      </c>
      <c r="L537" s="4" t="n">
        <v>1</v>
      </c>
      <c r="M537" s="2" t="n">
        <v>0</v>
      </c>
      <c r="N537" s="2" t="n">
        <v>0</v>
      </c>
      <c r="O537" s="4" t="n">
        <v>3</v>
      </c>
      <c r="Q537" s="2" t="n">
        <v>687</v>
      </c>
      <c r="R537" s="0" t="s">
        <v>503</v>
      </c>
      <c r="S537" s="0" t="s">
        <v>8895</v>
      </c>
    </row>
    <row r="538" customFormat="false" ht="13.8" hidden="false" customHeight="false" outlineLevel="0" collapsed="false">
      <c r="A538" s="0" t="s">
        <v>226</v>
      </c>
      <c r="B538" s="0" t="n">
        <v>39</v>
      </c>
      <c r="C538" s="0" t="s">
        <v>8891</v>
      </c>
      <c r="D538" s="0" t="s">
        <v>563</v>
      </c>
      <c r="E538" s="0" t="s">
        <v>386</v>
      </c>
      <c r="F538" s="4" t="n">
        <v>93</v>
      </c>
      <c r="G538" s="2" t="n">
        <v>0</v>
      </c>
      <c r="H538" s="2" t="n">
        <v>0</v>
      </c>
      <c r="I538" s="4" t="n">
        <v>2</v>
      </c>
      <c r="J538" s="2" t="n">
        <v>0.5</v>
      </c>
      <c r="K538" s="2" t="s">
        <v>13</v>
      </c>
      <c r="L538" s="4" t="n">
        <v>1</v>
      </c>
      <c r="M538" s="2" t="n">
        <v>0</v>
      </c>
      <c r="N538" s="2" t="n">
        <v>0</v>
      </c>
      <c r="O538" s="4" t="n">
        <v>3</v>
      </c>
      <c r="Q538" s="2" t="n">
        <v>688</v>
      </c>
      <c r="R538" s="0" t="s">
        <v>386</v>
      </c>
      <c r="S538" s="0" t="s">
        <v>8896</v>
      </c>
    </row>
    <row r="539" customFormat="false" ht="13.8" hidden="false" customHeight="false" outlineLevel="0" collapsed="false">
      <c r="A539" s="0" t="s">
        <v>226</v>
      </c>
      <c r="B539" s="0" t="n">
        <v>39</v>
      </c>
      <c r="C539" s="0" t="s">
        <v>8891</v>
      </c>
      <c r="D539" s="0" t="s">
        <v>747</v>
      </c>
      <c r="E539" s="0" t="s">
        <v>102</v>
      </c>
      <c r="F539" s="4" t="n">
        <v>1</v>
      </c>
      <c r="G539" s="2" t="n">
        <v>0</v>
      </c>
      <c r="H539" s="2" t="n">
        <v>0</v>
      </c>
      <c r="I539" s="4" t="n">
        <v>2</v>
      </c>
      <c r="J539" s="2" t="n">
        <v>0.5</v>
      </c>
      <c r="K539" s="2" t="s">
        <v>13</v>
      </c>
      <c r="L539" s="4" t="n">
        <v>1</v>
      </c>
      <c r="M539" s="2" t="n">
        <v>0</v>
      </c>
      <c r="N539" s="2" t="n">
        <v>0</v>
      </c>
      <c r="O539" s="4" t="n">
        <v>3</v>
      </c>
      <c r="Q539" s="2" t="n">
        <v>689</v>
      </c>
      <c r="R539" s="0" t="s">
        <v>102</v>
      </c>
      <c r="S539" s="0" t="s">
        <v>8897</v>
      </c>
    </row>
    <row r="540" customFormat="false" ht="13.8" hidden="false" customHeight="false" outlineLevel="0" collapsed="false">
      <c r="A540" s="0" t="s">
        <v>226</v>
      </c>
      <c r="B540" s="0" t="n">
        <v>39</v>
      </c>
      <c r="C540" s="0" t="s">
        <v>8891</v>
      </c>
      <c r="D540" s="0" t="s">
        <v>748</v>
      </c>
      <c r="E540" s="0" t="s">
        <v>312</v>
      </c>
      <c r="F540" s="4" t="n">
        <v>67</v>
      </c>
      <c r="G540" s="2" t="n">
        <v>0</v>
      </c>
      <c r="H540" s="2" t="n">
        <v>0</v>
      </c>
      <c r="I540" s="4" t="n">
        <v>2</v>
      </c>
      <c r="J540" s="2" t="n">
        <v>300</v>
      </c>
      <c r="K540" s="2" t="s">
        <v>143</v>
      </c>
      <c r="L540" s="4" t="n">
        <v>12</v>
      </c>
      <c r="M540" s="2" t="n">
        <v>0</v>
      </c>
      <c r="N540" s="2" t="n">
        <v>0</v>
      </c>
      <c r="O540" s="4" t="n">
        <v>3</v>
      </c>
      <c r="Q540" s="2" t="n">
        <v>690</v>
      </c>
      <c r="R540" s="0" t="s">
        <v>312</v>
      </c>
      <c r="S540" s="0" t="s">
        <v>8898</v>
      </c>
    </row>
    <row r="541" customFormat="false" ht="13.8" hidden="false" customHeight="false" outlineLevel="0" collapsed="false">
      <c r="A541" s="0" t="s">
        <v>226</v>
      </c>
      <c r="B541" s="0" t="n">
        <v>39</v>
      </c>
      <c r="C541" s="0" t="s">
        <v>8891</v>
      </c>
      <c r="D541" s="0" t="s">
        <v>749</v>
      </c>
      <c r="E541" s="0" t="s">
        <v>399</v>
      </c>
      <c r="F541" s="4" t="n">
        <v>103</v>
      </c>
      <c r="G541" s="2" t="n">
        <v>0</v>
      </c>
      <c r="H541" s="2" t="n">
        <v>0</v>
      </c>
      <c r="I541" s="4" t="n">
        <v>2</v>
      </c>
      <c r="J541" s="2" t="n">
        <v>300</v>
      </c>
      <c r="K541" s="2" t="s">
        <v>143</v>
      </c>
      <c r="L541" s="4" t="n">
        <v>12</v>
      </c>
      <c r="M541" s="2" t="n">
        <v>0</v>
      </c>
      <c r="N541" s="2" t="n">
        <v>0</v>
      </c>
      <c r="O541" s="4" t="n">
        <v>3</v>
      </c>
      <c r="Q541" s="2" t="n">
        <v>691</v>
      </c>
      <c r="R541" s="0" t="s">
        <v>399</v>
      </c>
      <c r="S541" s="0" t="s">
        <v>8899</v>
      </c>
    </row>
    <row r="542" customFormat="false" ht="13.8" hidden="false" customHeight="false" outlineLevel="0" collapsed="false">
      <c r="A542" s="0" t="s">
        <v>226</v>
      </c>
      <c r="B542" s="0" t="n">
        <v>39</v>
      </c>
      <c r="C542" s="0" t="s">
        <v>8891</v>
      </c>
      <c r="D542" s="0" t="s">
        <v>750</v>
      </c>
      <c r="E542" s="0" t="s">
        <v>382</v>
      </c>
      <c r="F542" s="4" t="n">
        <v>91</v>
      </c>
      <c r="G542" s="2" t="n">
        <v>0</v>
      </c>
      <c r="H542" s="2" t="n">
        <v>0</v>
      </c>
      <c r="I542" s="4" t="n">
        <v>2</v>
      </c>
      <c r="J542" s="2" t="n">
        <v>300</v>
      </c>
      <c r="K542" s="2" t="s">
        <v>143</v>
      </c>
      <c r="L542" s="4" t="n">
        <v>12</v>
      </c>
      <c r="M542" s="2" t="n">
        <v>0</v>
      </c>
      <c r="N542" s="2" t="n">
        <v>0</v>
      </c>
      <c r="O542" s="4" t="n">
        <v>3</v>
      </c>
      <c r="Q542" s="2" t="n">
        <v>692</v>
      </c>
      <c r="R542" s="0" t="s">
        <v>382</v>
      </c>
      <c r="S542" s="0" t="s">
        <v>8900</v>
      </c>
    </row>
    <row r="543" customFormat="false" ht="13.8" hidden="false" customHeight="false" outlineLevel="0" collapsed="false">
      <c r="A543" s="0" t="s">
        <v>226</v>
      </c>
      <c r="B543" s="0" t="n">
        <v>39</v>
      </c>
      <c r="C543" s="0" t="s">
        <v>8891</v>
      </c>
      <c r="D543" s="0" t="s">
        <v>751</v>
      </c>
      <c r="E543" s="0" t="s">
        <v>429</v>
      </c>
      <c r="F543" s="4" t="n">
        <v>135</v>
      </c>
      <c r="G543" s="2" t="n">
        <v>0</v>
      </c>
      <c r="H543" s="2" t="n">
        <v>0</v>
      </c>
      <c r="I543" s="4" t="n">
        <v>2</v>
      </c>
      <c r="J543" s="2" t="n">
        <v>250</v>
      </c>
      <c r="K543" s="2" t="s">
        <v>143</v>
      </c>
      <c r="L543" s="4" t="n">
        <v>12</v>
      </c>
      <c r="M543" s="2" t="n">
        <v>0</v>
      </c>
      <c r="N543" s="2" t="n">
        <v>0</v>
      </c>
      <c r="O543" s="4" t="n">
        <v>3</v>
      </c>
      <c r="Q543" s="2" t="n">
        <v>693</v>
      </c>
      <c r="R543" s="0" t="s">
        <v>429</v>
      </c>
      <c r="S543" s="0" t="s">
        <v>8901</v>
      </c>
    </row>
    <row r="544" customFormat="false" ht="13.8" hidden="false" customHeight="false" outlineLevel="0" collapsed="false">
      <c r="A544" s="0" t="s">
        <v>226</v>
      </c>
      <c r="B544" s="0" t="n">
        <v>39</v>
      </c>
      <c r="C544" s="0" t="s">
        <v>8891</v>
      </c>
      <c r="D544" s="0" t="s">
        <v>658</v>
      </c>
      <c r="E544" s="0" t="s">
        <v>96</v>
      </c>
      <c r="F544" s="4" t="n">
        <v>177</v>
      </c>
      <c r="G544" s="2" t="n">
        <v>0</v>
      </c>
      <c r="H544" s="2" t="n">
        <v>0</v>
      </c>
      <c r="I544" s="4" t="n">
        <v>2</v>
      </c>
      <c r="J544" s="2" t="n">
        <v>1.5</v>
      </c>
      <c r="K544" s="2" t="s">
        <v>20</v>
      </c>
      <c r="L544" s="4" t="n">
        <v>5</v>
      </c>
      <c r="M544" s="2" t="n">
        <v>0</v>
      </c>
      <c r="N544" s="2" t="n">
        <v>0</v>
      </c>
      <c r="O544" s="4" t="n">
        <v>3</v>
      </c>
      <c r="Q544" s="2" t="n">
        <v>694</v>
      </c>
      <c r="R544" s="0" t="s">
        <v>96</v>
      </c>
      <c r="S544" s="0" t="s">
        <v>8902</v>
      </c>
    </row>
    <row r="545" customFormat="false" ht="13.8" hidden="false" customHeight="false" outlineLevel="0" collapsed="false">
      <c r="A545" s="0" t="s">
        <v>226</v>
      </c>
      <c r="B545" s="0" t="n">
        <v>39</v>
      </c>
      <c r="C545" s="0" t="s">
        <v>8891</v>
      </c>
      <c r="D545" s="0" t="s">
        <v>584</v>
      </c>
      <c r="E545" s="0" t="s">
        <v>255</v>
      </c>
      <c r="F545" s="4" t="n">
        <v>48</v>
      </c>
      <c r="G545" s="2" t="n">
        <v>0</v>
      </c>
      <c r="H545" s="2" t="n">
        <v>0</v>
      </c>
      <c r="I545" s="4" t="n">
        <v>2</v>
      </c>
      <c r="J545" s="2" t="n">
        <v>0</v>
      </c>
      <c r="K545" s="2" t="n">
        <v>0</v>
      </c>
      <c r="L545" s="4" t="n">
        <v>1</v>
      </c>
      <c r="M545" s="2" t="n">
        <v>0</v>
      </c>
      <c r="N545" s="2" t="n">
        <v>0</v>
      </c>
      <c r="O545" s="4" t="n">
        <v>3</v>
      </c>
      <c r="Q545" s="2" t="n">
        <v>695</v>
      </c>
      <c r="R545" s="0" t="s">
        <v>255</v>
      </c>
      <c r="S545" s="0" t="s">
        <v>8903</v>
      </c>
    </row>
    <row r="546" customFormat="false" ht="13.8" hidden="false" customHeight="false" outlineLevel="0" collapsed="false">
      <c r="A546" s="0" t="s">
        <v>226</v>
      </c>
      <c r="B546" s="0" t="n">
        <v>39</v>
      </c>
      <c r="C546" s="0" t="s">
        <v>8891</v>
      </c>
      <c r="D546" s="0" t="s">
        <v>735</v>
      </c>
      <c r="E546" s="0" t="s">
        <v>377</v>
      </c>
      <c r="F546" s="4" t="n">
        <v>89</v>
      </c>
      <c r="G546" s="2" t="n">
        <v>0</v>
      </c>
      <c r="H546" s="2" t="n">
        <v>0</v>
      </c>
      <c r="I546" s="4" t="n">
        <v>2</v>
      </c>
      <c r="J546" s="2" t="n">
        <v>1.5</v>
      </c>
      <c r="K546" s="2" t="s">
        <v>13</v>
      </c>
      <c r="L546" s="4" t="n">
        <v>1</v>
      </c>
      <c r="M546" s="2" t="n">
        <v>0</v>
      </c>
      <c r="N546" s="2" t="n">
        <v>0</v>
      </c>
      <c r="O546" s="4" t="n">
        <v>3</v>
      </c>
      <c r="Q546" s="2" t="n">
        <v>696</v>
      </c>
      <c r="R546" s="0" t="s">
        <v>377</v>
      </c>
      <c r="S546" s="0" t="s">
        <v>8904</v>
      </c>
    </row>
    <row r="547" customFormat="false" ht="13.8" hidden="false" customHeight="false" outlineLevel="0" collapsed="false">
      <c r="A547" s="0" t="s">
        <v>226</v>
      </c>
      <c r="B547" s="0" t="n">
        <v>39</v>
      </c>
      <c r="C547" s="0" t="s">
        <v>8891</v>
      </c>
      <c r="D547" s="0" t="s">
        <v>752</v>
      </c>
      <c r="E547" s="0" t="s">
        <v>398</v>
      </c>
      <c r="F547" s="4" t="n">
        <v>102</v>
      </c>
      <c r="G547" s="2" t="n">
        <v>0</v>
      </c>
      <c r="H547" s="2" t="n">
        <v>0</v>
      </c>
      <c r="I547" s="4" t="n">
        <v>2</v>
      </c>
      <c r="J547" s="2" t="n">
        <v>1.5</v>
      </c>
      <c r="K547" s="2" t="s">
        <v>20</v>
      </c>
      <c r="L547" s="4" t="n">
        <v>5</v>
      </c>
      <c r="M547" s="2" t="n">
        <v>0</v>
      </c>
      <c r="N547" s="2" t="n">
        <v>0</v>
      </c>
      <c r="O547" s="4" t="n">
        <v>3</v>
      </c>
      <c r="Q547" s="2" t="n">
        <v>697</v>
      </c>
      <c r="R547" s="0" t="s">
        <v>398</v>
      </c>
      <c r="S547" s="0" t="s">
        <v>8905</v>
      </c>
    </row>
    <row r="548" customFormat="false" ht="13.8" hidden="false" customHeight="false" outlineLevel="0" collapsed="false">
      <c r="A548" s="0" t="s">
        <v>226</v>
      </c>
      <c r="B548" s="0" t="n">
        <v>39</v>
      </c>
      <c r="C548" s="0" t="s">
        <v>8891</v>
      </c>
      <c r="D548" s="0" t="s">
        <v>657</v>
      </c>
      <c r="E548" s="0" t="s">
        <v>391</v>
      </c>
      <c r="F548" s="4" t="n">
        <v>95</v>
      </c>
      <c r="G548" s="2" t="n">
        <v>0</v>
      </c>
      <c r="H548" s="2" t="n">
        <v>0</v>
      </c>
      <c r="I548" s="4" t="n">
        <v>2</v>
      </c>
      <c r="J548" s="2" t="n">
        <v>0.75</v>
      </c>
      <c r="K548" s="2" t="s">
        <v>20</v>
      </c>
      <c r="L548" s="4" t="n">
        <v>5</v>
      </c>
      <c r="M548" s="2" t="n">
        <v>0</v>
      </c>
      <c r="N548" s="2" t="n">
        <v>0</v>
      </c>
      <c r="O548" s="4" t="n">
        <v>3</v>
      </c>
      <c r="Q548" s="2" t="n">
        <v>698</v>
      </c>
      <c r="R548" s="0" t="s">
        <v>391</v>
      </c>
      <c r="S548" s="0" t="s">
        <v>8906</v>
      </c>
    </row>
    <row r="549" customFormat="false" ht="13.8" hidden="false" customHeight="false" outlineLevel="0" collapsed="false">
      <c r="A549" s="0" t="s">
        <v>226</v>
      </c>
      <c r="B549" s="0" t="n">
        <v>39</v>
      </c>
      <c r="C549" s="0" t="s">
        <v>8891</v>
      </c>
      <c r="D549" s="0" t="s">
        <v>753</v>
      </c>
      <c r="E549" s="0" t="s">
        <v>309</v>
      </c>
      <c r="F549" s="4" t="n">
        <v>66</v>
      </c>
      <c r="G549" s="2" t="n">
        <v>0</v>
      </c>
      <c r="H549" s="2" t="n">
        <v>0</v>
      </c>
      <c r="I549" s="4" t="n">
        <v>2</v>
      </c>
      <c r="J549" s="2" t="n">
        <v>0</v>
      </c>
      <c r="K549" s="2" t="n">
        <v>0</v>
      </c>
      <c r="L549" s="4" t="n">
        <v>1</v>
      </c>
      <c r="M549" s="2" t="n">
        <v>0</v>
      </c>
      <c r="N549" s="2" t="n">
        <v>0</v>
      </c>
      <c r="O549" s="4" t="n">
        <v>3</v>
      </c>
      <c r="Q549" s="2" t="n">
        <v>699</v>
      </c>
      <c r="R549" s="0" t="s">
        <v>309</v>
      </c>
      <c r="S549" s="0" t="s">
        <v>8907</v>
      </c>
    </row>
    <row r="550" customFormat="false" ht="13.8" hidden="false" customHeight="false" outlineLevel="0" collapsed="false">
      <c r="A550" s="0" t="s">
        <v>226</v>
      </c>
      <c r="B550" s="0" t="n">
        <v>39</v>
      </c>
      <c r="C550" s="0" t="s">
        <v>8891</v>
      </c>
      <c r="D550" s="0" t="s">
        <v>754</v>
      </c>
      <c r="E550" s="0" t="s">
        <v>252</v>
      </c>
      <c r="F550" s="4" t="n">
        <v>47</v>
      </c>
      <c r="G550" s="2" t="n">
        <v>0</v>
      </c>
      <c r="H550" s="2" t="n">
        <v>0</v>
      </c>
      <c r="I550" s="4" t="n">
        <v>2</v>
      </c>
      <c r="J550" s="2" t="n">
        <v>1</v>
      </c>
      <c r="K550" s="2" t="s">
        <v>20</v>
      </c>
      <c r="L550" s="4" t="n">
        <v>5</v>
      </c>
      <c r="M550" s="2" t="n">
        <v>0</v>
      </c>
      <c r="N550" s="2" t="n">
        <v>0</v>
      </c>
      <c r="O550" s="4" t="n">
        <v>3</v>
      </c>
      <c r="Q550" s="2" t="n">
        <v>700</v>
      </c>
      <c r="R550" s="0" t="s">
        <v>252</v>
      </c>
      <c r="S550" s="0" t="s">
        <v>8908</v>
      </c>
    </row>
    <row r="551" customFormat="false" ht="13.8" hidden="false" customHeight="false" outlineLevel="0" collapsed="false">
      <c r="A551" s="0" t="s">
        <v>136</v>
      </c>
      <c r="B551" s="0" t="n">
        <v>10</v>
      </c>
      <c r="C551" s="0" t="s">
        <v>8909</v>
      </c>
      <c r="D551" s="0" t="s">
        <v>755</v>
      </c>
      <c r="E551" s="0" t="s">
        <v>472</v>
      </c>
      <c r="F551" s="4" t="n">
        <v>181</v>
      </c>
      <c r="G551" s="2" t="n">
        <v>5</v>
      </c>
      <c r="H551" s="2" t="s">
        <v>109</v>
      </c>
      <c r="I551" s="4" t="n">
        <v>7</v>
      </c>
      <c r="J551" s="2" t="n">
        <v>0</v>
      </c>
      <c r="K551" s="2" t="n">
        <v>0</v>
      </c>
      <c r="L551" s="4" t="n">
        <v>1</v>
      </c>
      <c r="M551" s="2" t="n">
        <v>0</v>
      </c>
      <c r="N551" s="2" t="n">
        <v>0</v>
      </c>
      <c r="O551" s="4" t="n">
        <v>3</v>
      </c>
      <c r="Q551" s="2" t="n">
        <v>704</v>
      </c>
      <c r="R551" s="0" t="s">
        <v>472</v>
      </c>
      <c r="S551" s="0" t="s">
        <v>8910</v>
      </c>
    </row>
    <row r="552" customFormat="false" ht="13.8" hidden="false" customHeight="false" outlineLevel="0" collapsed="false">
      <c r="A552" s="0" t="s">
        <v>136</v>
      </c>
      <c r="B552" s="0" t="n">
        <v>10</v>
      </c>
      <c r="C552" s="0" t="s">
        <v>8909</v>
      </c>
      <c r="D552" s="0" t="s">
        <v>756</v>
      </c>
      <c r="E552" s="0" t="s">
        <v>477</v>
      </c>
      <c r="F552" s="4" t="n">
        <v>186</v>
      </c>
      <c r="G552" s="2" t="n">
        <v>20</v>
      </c>
      <c r="H552" s="2" t="s">
        <v>109</v>
      </c>
      <c r="I552" s="4" t="n">
        <v>7</v>
      </c>
      <c r="J552" s="2" t="n">
        <v>0</v>
      </c>
      <c r="K552" s="2" t="n">
        <v>0</v>
      </c>
      <c r="L552" s="4" t="n">
        <v>1</v>
      </c>
      <c r="M552" s="2" t="n">
        <v>0</v>
      </c>
      <c r="N552" s="2" t="n">
        <v>0</v>
      </c>
      <c r="O552" s="4" t="n">
        <v>3</v>
      </c>
      <c r="Q552" s="2" t="n">
        <v>705</v>
      </c>
      <c r="R552" s="0" t="s">
        <v>477</v>
      </c>
      <c r="S552" s="0" t="s">
        <v>8911</v>
      </c>
    </row>
    <row r="553" customFormat="false" ht="13.8" hidden="false" customHeight="false" outlineLevel="0" collapsed="false">
      <c r="A553" s="0" t="s">
        <v>136</v>
      </c>
      <c r="B553" s="0" t="n">
        <v>10</v>
      </c>
      <c r="C553" s="0" t="s">
        <v>8909</v>
      </c>
      <c r="D553" s="0" t="s">
        <v>757</v>
      </c>
      <c r="E553" s="0" t="s">
        <v>285</v>
      </c>
      <c r="F553" s="4" t="n">
        <v>58</v>
      </c>
      <c r="G553" s="2" t="n">
        <v>10</v>
      </c>
      <c r="H553" s="2" t="s">
        <v>109</v>
      </c>
      <c r="I553" s="4" t="n">
        <v>7</v>
      </c>
      <c r="J553" s="2" t="n">
        <v>0</v>
      </c>
      <c r="K553" s="2" t="n">
        <v>0</v>
      </c>
      <c r="L553" s="4" t="n">
        <v>1</v>
      </c>
      <c r="M553" s="2" t="n">
        <v>0</v>
      </c>
      <c r="N553" s="2" t="n">
        <v>0</v>
      </c>
      <c r="O553" s="4" t="n">
        <v>3</v>
      </c>
      <c r="Q553" s="2" t="n">
        <v>706</v>
      </c>
      <c r="R553" s="0" t="s">
        <v>285</v>
      </c>
      <c r="S553" s="0" t="s">
        <v>8912</v>
      </c>
    </row>
    <row r="554" customFormat="false" ht="13.8" hidden="false" customHeight="false" outlineLevel="0" collapsed="false">
      <c r="A554" s="0" t="s">
        <v>136</v>
      </c>
      <c r="B554" s="0" t="n">
        <v>10</v>
      </c>
      <c r="C554" s="0" t="s">
        <v>8909</v>
      </c>
      <c r="D554" s="0" t="s">
        <v>758</v>
      </c>
      <c r="E554" s="0" t="s">
        <v>294</v>
      </c>
      <c r="F554" s="4" t="n">
        <v>61</v>
      </c>
      <c r="G554" s="2" t="n">
        <v>3</v>
      </c>
      <c r="H554" s="2" t="s">
        <v>109</v>
      </c>
      <c r="I554" s="4" t="n">
        <v>7</v>
      </c>
      <c r="J554" s="2" t="n">
        <v>0</v>
      </c>
      <c r="K554" s="2" t="n">
        <v>0</v>
      </c>
      <c r="L554" s="4" t="n">
        <v>1</v>
      </c>
      <c r="M554" s="2" t="n">
        <v>0</v>
      </c>
      <c r="N554" s="2" t="n">
        <v>0</v>
      </c>
      <c r="O554" s="4" t="n">
        <v>3</v>
      </c>
      <c r="Q554" s="2" t="n">
        <v>707</v>
      </c>
      <c r="R554" s="0" t="s">
        <v>294</v>
      </c>
      <c r="S554" s="0" t="s">
        <v>8913</v>
      </c>
    </row>
    <row r="555" customFormat="false" ht="13.8" hidden="false" customHeight="false" outlineLevel="0" collapsed="false">
      <c r="A555" s="0" t="s">
        <v>136</v>
      </c>
      <c r="B555" s="0" t="n">
        <v>10</v>
      </c>
      <c r="C555" s="0" t="s">
        <v>8909</v>
      </c>
      <c r="D555" s="0" t="s">
        <v>759</v>
      </c>
      <c r="E555" s="0" t="s">
        <v>422</v>
      </c>
      <c r="F555" s="4" t="n">
        <v>128</v>
      </c>
      <c r="G555" s="2" t="n">
        <v>20</v>
      </c>
      <c r="H555" s="2" t="s">
        <v>109</v>
      </c>
      <c r="I555" s="4" t="n">
        <v>7</v>
      </c>
      <c r="J555" s="2" t="n">
        <v>0</v>
      </c>
      <c r="K555" s="2" t="n">
        <v>0</v>
      </c>
      <c r="L555" s="4" t="n">
        <v>1</v>
      </c>
      <c r="M555" s="2" t="n">
        <v>0</v>
      </c>
      <c r="N555" s="2" t="n">
        <v>0</v>
      </c>
      <c r="O555" s="4" t="n">
        <v>3</v>
      </c>
      <c r="Q555" s="2" t="n">
        <v>708</v>
      </c>
      <c r="R555" s="0" t="s">
        <v>422</v>
      </c>
      <c r="S555" s="0" t="s">
        <v>8914</v>
      </c>
    </row>
    <row r="556" customFormat="false" ht="13.8" hidden="false" customHeight="false" outlineLevel="0" collapsed="false">
      <c r="A556" s="0" t="s">
        <v>136</v>
      </c>
      <c r="B556" s="0" t="n">
        <v>10</v>
      </c>
      <c r="C556" s="0" t="s">
        <v>8909</v>
      </c>
      <c r="D556" s="0" t="s">
        <v>760</v>
      </c>
      <c r="E556" s="0" t="s">
        <v>408</v>
      </c>
      <c r="F556" s="4" t="n">
        <v>113</v>
      </c>
      <c r="G556" s="2" t="n">
        <v>20</v>
      </c>
      <c r="H556" s="2" t="s">
        <v>109</v>
      </c>
      <c r="I556" s="4" t="n">
        <v>7</v>
      </c>
      <c r="J556" s="2" t="n">
        <v>0</v>
      </c>
      <c r="K556" s="2" t="n">
        <v>0</v>
      </c>
      <c r="L556" s="4" t="n">
        <v>1</v>
      </c>
      <c r="M556" s="2" t="n">
        <v>0</v>
      </c>
      <c r="N556" s="2" t="n">
        <v>0</v>
      </c>
      <c r="O556" s="4" t="n">
        <v>3</v>
      </c>
      <c r="Q556" s="2" t="n">
        <v>709</v>
      </c>
      <c r="R556" s="0" t="s">
        <v>408</v>
      </c>
      <c r="S556" s="0" t="s">
        <v>8915</v>
      </c>
    </row>
    <row r="557" customFormat="false" ht="13.8" hidden="false" customHeight="false" outlineLevel="0" collapsed="false">
      <c r="A557" s="0" t="s">
        <v>136</v>
      </c>
      <c r="B557" s="0" t="n">
        <v>10</v>
      </c>
      <c r="C557" s="0" t="s">
        <v>8909</v>
      </c>
      <c r="D557" s="0" t="s">
        <v>761</v>
      </c>
      <c r="E557" s="0" t="s">
        <v>481</v>
      </c>
      <c r="F557" s="4" t="n">
        <v>191</v>
      </c>
      <c r="G557" s="2" t="n">
        <v>20</v>
      </c>
      <c r="H557" s="2" t="s">
        <v>109</v>
      </c>
      <c r="I557" s="4" t="n">
        <v>7</v>
      </c>
      <c r="J557" s="2" t="n">
        <v>0</v>
      </c>
      <c r="K557" s="2" t="n">
        <v>0</v>
      </c>
      <c r="L557" s="4" t="n">
        <v>1</v>
      </c>
      <c r="M557" s="2" t="n">
        <v>0</v>
      </c>
      <c r="N557" s="2" t="n">
        <v>0</v>
      </c>
      <c r="O557" s="4" t="n">
        <v>3</v>
      </c>
      <c r="Q557" s="2" t="n">
        <v>710</v>
      </c>
      <c r="R557" s="0" t="s">
        <v>481</v>
      </c>
      <c r="S557" s="0" t="s">
        <v>8916</v>
      </c>
    </row>
    <row r="558" customFormat="false" ht="13.8" hidden="false" customHeight="false" outlineLevel="0" collapsed="false">
      <c r="A558" s="0" t="s">
        <v>136</v>
      </c>
      <c r="B558" s="0" t="n">
        <v>10</v>
      </c>
      <c r="C558" s="0" t="s">
        <v>8909</v>
      </c>
      <c r="D558" s="0" t="s">
        <v>762</v>
      </c>
      <c r="E558" s="0" t="s">
        <v>321</v>
      </c>
      <c r="F558" s="4" t="n">
        <v>70</v>
      </c>
      <c r="G558" s="2" t="n">
        <v>20</v>
      </c>
      <c r="H558" s="2" t="s">
        <v>109</v>
      </c>
      <c r="I558" s="4" t="n">
        <v>7</v>
      </c>
      <c r="J558" s="2" t="n">
        <v>0</v>
      </c>
      <c r="K558" s="2" t="n">
        <v>0</v>
      </c>
      <c r="L558" s="4" t="n">
        <v>1</v>
      </c>
      <c r="M558" s="2" t="n">
        <v>0</v>
      </c>
      <c r="N558" s="2" t="n">
        <v>0</v>
      </c>
      <c r="O558" s="4" t="n">
        <v>3</v>
      </c>
      <c r="Q558" s="2" t="n">
        <v>711</v>
      </c>
      <c r="R558" s="0" t="s">
        <v>321</v>
      </c>
      <c r="S558" s="0" t="s">
        <v>8917</v>
      </c>
    </row>
    <row r="559" customFormat="false" ht="13.8" hidden="false" customHeight="false" outlineLevel="0" collapsed="false">
      <c r="A559" s="0" t="s">
        <v>136</v>
      </c>
      <c r="B559" s="0" t="n">
        <v>10</v>
      </c>
      <c r="C559" s="0" t="s">
        <v>8909</v>
      </c>
      <c r="D559" s="0" t="s">
        <v>763</v>
      </c>
      <c r="E559" s="0" t="s">
        <v>368</v>
      </c>
      <c r="F559" s="4" t="n">
        <v>86</v>
      </c>
      <c r="G559" s="2" t="n">
        <v>20</v>
      </c>
      <c r="H559" s="2" t="s">
        <v>109</v>
      </c>
      <c r="I559" s="4" t="n">
        <v>7</v>
      </c>
      <c r="J559" s="2" t="n">
        <v>0</v>
      </c>
      <c r="K559" s="2" t="n">
        <v>0</v>
      </c>
      <c r="L559" s="4" t="n">
        <v>1</v>
      </c>
      <c r="M559" s="2" t="n">
        <v>0</v>
      </c>
      <c r="N559" s="2" t="n">
        <v>0</v>
      </c>
      <c r="O559" s="4" t="n">
        <v>3</v>
      </c>
      <c r="Q559" s="2" t="n">
        <v>712</v>
      </c>
      <c r="R559" s="0" t="s">
        <v>368</v>
      </c>
      <c r="S559" s="0" t="s">
        <v>8918</v>
      </c>
    </row>
    <row r="560" customFormat="false" ht="13.8" hidden="false" customHeight="false" outlineLevel="0" collapsed="false">
      <c r="A560" s="0" t="s">
        <v>136</v>
      </c>
      <c r="B560" s="0" t="n">
        <v>10</v>
      </c>
      <c r="C560" s="0" t="s">
        <v>8909</v>
      </c>
      <c r="D560" s="0" t="s">
        <v>764</v>
      </c>
      <c r="E560" s="0" t="s">
        <v>397</v>
      </c>
      <c r="F560" s="4" t="n">
        <v>101</v>
      </c>
      <c r="G560" s="2" t="n">
        <v>20</v>
      </c>
      <c r="H560" s="2" t="s">
        <v>109</v>
      </c>
      <c r="I560" s="4" t="n">
        <v>7</v>
      </c>
      <c r="J560" s="2" t="n">
        <v>0</v>
      </c>
      <c r="K560" s="2" t="n">
        <v>0</v>
      </c>
      <c r="L560" s="4" t="n">
        <v>1</v>
      </c>
      <c r="M560" s="2" t="n">
        <v>0</v>
      </c>
      <c r="N560" s="2" t="n">
        <v>0</v>
      </c>
      <c r="O560" s="4" t="n">
        <v>3</v>
      </c>
      <c r="Q560" s="2" t="n">
        <v>713</v>
      </c>
      <c r="R560" s="0" t="s">
        <v>397</v>
      </c>
      <c r="S560" s="0" t="s">
        <v>8919</v>
      </c>
    </row>
    <row r="561" customFormat="false" ht="13.8" hidden="false" customHeight="false" outlineLevel="0" collapsed="false">
      <c r="A561" s="0" t="s">
        <v>136</v>
      </c>
      <c r="B561" s="0" t="n">
        <v>10</v>
      </c>
      <c r="C561" s="0" t="s">
        <v>8909</v>
      </c>
      <c r="D561" s="0" t="s">
        <v>14</v>
      </c>
      <c r="E561" s="0" t="s">
        <v>398</v>
      </c>
      <c r="F561" s="4" t="n">
        <v>102</v>
      </c>
      <c r="G561" s="2" t="n">
        <v>20</v>
      </c>
      <c r="H561" s="2" t="s">
        <v>109</v>
      </c>
      <c r="I561" s="4" t="n">
        <v>7</v>
      </c>
      <c r="J561" s="2" t="n">
        <v>0</v>
      </c>
      <c r="K561" s="2" t="n">
        <v>0</v>
      </c>
      <c r="L561" s="4" t="n">
        <v>1</v>
      </c>
      <c r="M561" s="2" t="n">
        <v>0</v>
      </c>
      <c r="N561" s="2" t="n">
        <v>0</v>
      </c>
      <c r="O561" s="4" t="n">
        <v>3</v>
      </c>
      <c r="Q561" s="2" t="n">
        <v>714</v>
      </c>
      <c r="R561" s="0" t="s">
        <v>398</v>
      </c>
      <c r="S561" s="0" t="s">
        <v>8920</v>
      </c>
    </row>
    <row r="562" customFormat="false" ht="13.8" hidden="false" customHeight="false" outlineLevel="0" collapsed="false">
      <c r="A562" s="0" t="s">
        <v>136</v>
      </c>
      <c r="B562" s="0" t="n">
        <v>10</v>
      </c>
      <c r="C562" s="0" t="s">
        <v>8909</v>
      </c>
      <c r="D562" s="0" t="s">
        <v>765</v>
      </c>
      <c r="E562" s="0" t="s">
        <v>413</v>
      </c>
      <c r="F562" s="4" t="n">
        <v>118</v>
      </c>
      <c r="G562" s="2" t="n">
        <v>20</v>
      </c>
      <c r="H562" s="2" t="s">
        <v>109</v>
      </c>
      <c r="I562" s="4" t="n">
        <v>7</v>
      </c>
      <c r="J562" s="2" t="n">
        <v>0</v>
      </c>
      <c r="K562" s="2" t="n">
        <v>0</v>
      </c>
      <c r="L562" s="4" t="n">
        <v>1</v>
      </c>
      <c r="M562" s="2" t="n">
        <v>0</v>
      </c>
      <c r="N562" s="2" t="n">
        <v>0</v>
      </c>
      <c r="O562" s="4" t="n">
        <v>3</v>
      </c>
      <c r="Q562" s="2" t="n">
        <v>715</v>
      </c>
      <c r="R562" s="0" t="s">
        <v>413</v>
      </c>
      <c r="S562" s="0" t="s">
        <v>8921</v>
      </c>
    </row>
    <row r="563" customFormat="false" ht="13.8" hidden="false" customHeight="false" outlineLevel="0" collapsed="false">
      <c r="A563" s="0" t="s">
        <v>136</v>
      </c>
      <c r="B563" s="0" t="n">
        <v>10</v>
      </c>
      <c r="C563" s="0" t="s">
        <v>8909</v>
      </c>
      <c r="D563" s="0" t="s">
        <v>766</v>
      </c>
      <c r="E563" s="0" t="s">
        <v>412</v>
      </c>
      <c r="F563" s="4" t="n">
        <v>117</v>
      </c>
      <c r="G563" s="2" t="n">
        <v>50</v>
      </c>
      <c r="H563" s="2" t="s">
        <v>109</v>
      </c>
      <c r="I563" s="4" t="n">
        <v>7</v>
      </c>
      <c r="J563" s="2" t="n">
        <v>0</v>
      </c>
      <c r="K563" s="2" t="n">
        <v>0</v>
      </c>
      <c r="L563" s="4" t="n">
        <v>1</v>
      </c>
      <c r="M563" s="2" t="n">
        <v>0</v>
      </c>
      <c r="N563" s="2" t="n">
        <v>0</v>
      </c>
      <c r="O563" s="4" t="n">
        <v>3</v>
      </c>
      <c r="Q563" s="2" t="n">
        <v>716</v>
      </c>
      <c r="R563" s="0" t="s">
        <v>412</v>
      </c>
      <c r="S563" s="0" t="s">
        <v>8922</v>
      </c>
    </row>
    <row r="564" customFormat="false" ht="13.8" hidden="false" customHeight="false" outlineLevel="0" collapsed="false">
      <c r="A564" s="0" t="s">
        <v>136</v>
      </c>
      <c r="B564" s="0" t="n">
        <v>10</v>
      </c>
      <c r="C564" s="0" t="s">
        <v>8909</v>
      </c>
      <c r="D564" s="0" t="s">
        <v>767</v>
      </c>
      <c r="E564" s="0" t="s">
        <v>312</v>
      </c>
      <c r="F564" s="4" t="n">
        <v>67</v>
      </c>
      <c r="G564" s="2" t="n">
        <v>50</v>
      </c>
      <c r="H564" s="2" t="s">
        <v>109</v>
      </c>
      <c r="I564" s="4" t="n">
        <v>7</v>
      </c>
      <c r="J564" s="2" t="n">
        <v>0</v>
      </c>
      <c r="K564" s="2" t="n">
        <v>0</v>
      </c>
      <c r="L564" s="4" t="n">
        <v>1</v>
      </c>
      <c r="M564" s="2" t="n">
        <v>0</v>
      </c>
      <c r="N564" s="2" t="n">
        <v>0</v>
      </c>
      <c r="O564" s="4" t="n">
        <v>3</v>
      </c>
      <c r="Q564" s="2" t="n">
        <v>718</v>
      </c>
      <c r="R564" s="0" t="s">
        <v>312</v>
      </c>
      <c r="S564" s="0" t="s">
        <v>8923</v>
      </c>
    </row>
    <row r="565" customFormat="false" ht="13.8" hidden="false" customHeight="false" outlineLevel="0" collapsed="false">
      <c r="A565" s="0" t="s">
        <v>136</v>
      </c>
      <c r="B565" s="0" t="n">
        <v>10</v>
      </c>
      <c r="C565" s="0" t="s">
        <v>8909</v>
      </c>
      <c r="D565" s="0" t="s">
        <v>768</v>
      </c>
      <c r="E565" s="0" t="s">
        <v>382</v>
      </c>
      <c r="F565" s="4" t="n">
        <v>91</v>
      </c>
      <c r="G565" s="2" t="n">
        <v>50</v>
      </c>
      <c r="H565" s="2" t="s">
        <v>109</v>
      </c>
      <c r="I565" s="4" t="n">
        <v>7</v>
      </c>
      <c r="J565" s="2" t="n">
        <v>0</v>
      </c>
      <c r="K565" s="2" t="n">
        <v>0</v>
      </c>
      <c r="L565" s="4" t="n">
        <v>1</v>
      </c>
      <c r="M565" s="2" t="n">
        <v>0</v>
      </c>
      <c r="N565" s="2" t="n">
        <v>0</v>
      </c>
      <c r="O565" s="4" t="n">
        <v>3</v>
      </c>
      <c r="Q565" s="2" t="n">
        <v>719</v>
      </c>
      <c r="R565" s="0" t="s">
        <v>382</v>
      </c>
      <c r="S565" s="0" t="s">
        <v>8924</v>
      </c>
    </row>
    <row r="566" customFormat="false" ht="13.8" hidden="false" customHeight="false" outlineLevel="0" collapsed="false">
      <c r="A566" s="0" t="s">
        <v>136</v>
      </c>
      <c r="B566" s="0" t="n">
        <v>10</v>
      </c>
      <c r="C566" s="0" t="s">
        <v>8909</v>
      </c>
      <c r="D566" s="0" t="s">
        <v>769</v>
      </c>
      <c r="E566" s="0" t="s">
        <v>391</v>
      </c>
      <c r="F566" s="4" t="n">
        <v>95</v>
      </c>
      <c r="G566" s="2" t="n">
        <v>20</v>
      </c>
      <c r="H566" s="2" t="s">
        <v>109</v>
      </c>
      <c r="I566" s="4" t="n">
        <v>7</v>
      </c>
      <c r="J566" s="2" t="n">
        <v>0</v>
      </c>
      <c r="K566" s="2" t="n">
        <v>0</v>
      </c>
      <c r="L566" s="4" t="n">
        <v>1</v>
      </c>
      <c r="M566" s="2" t="n">
        <v>0</v>
      </c>
      <c r="N566" s="2" t="n">
        <v>0</v>
      </c>
      <c r="O566" s="4" t="n">
        <v>3</v>
      </c>
      <c r="Q566" s="2" t="n">
        <v>720</v>
      </c>
      <c r="R566" s="0" t="s">
        <v>391</v>
      </c>
      <c r="S566" s="0" t="s">
        <v>8925</v>
      </c>
    </row>
    <row r="567" customFormat="false" ht="13.8" hidden="false" customHeight="false" outlineLevel="0" collapsed="false">
      <c r="A567" s="0" t="s">
        <v>136</v>
      </c>
      <c r="B567" s="0" t="n">
        <v>10</v>
      </c>
      <c r="C567" s="0" t="s">
        <v>8909</v>
      </c>
      <c r="D567" s="0" t="s">
        <v>528</v>
      </c>
      <c r="E567" s="0" t="s">
        <v>412</v>
      </c>
      <c r="F567" s="4" t="n">
        <v>117</v>
      </c>
      <c r="G567" s="2" t="n">
        <v>50</v>
      </c>
      <c r="H567" s="2" t="s">
        <v>109</v>
      </c>
      <c r="I567" s="4" t="n">
        <v>7</v>
      </c>
      <c r="J567" s="2" t="n">
        <v>0</v>
      </c>
      <c r="K567" s="2" t="n">
        <v>0</v>
      </c>
      <c r="L567" s="4" t="n">
        <v>1</v>
      </c>
      <c r="M567" s="2" t="n">
        <v>0</v>
      </c>
      <c r="N567" s="2" t="n">
        <v>0</v>
      </c>
      <c r="O567" s="4" t="n">
        <v>3</v>
      </c>
      <c r="Q567" s="2" t="n">
        <v>721</v>
      </c>
      <c r="R567" s="0" t="s">
        <v>412</v>
      </c>
      <c r="S567" s="0" t="s">
        <v>8926</v>
      </c>
    </row>
    <row r="568" customFormat="false" ht="13.8" hidden="false" customHeight="false" outlineLevel="0" collapsed="false">
      <c r="A568" s="0" t="s">
        <v>136</v>
      </c>
      <c r="B568" s="0" t="n">
        <v>10</v>
      </c>
      <c r="C568" s="0" t="s">
        <v>8909</v>
      </c>
      <c r="D568" s="0" t="s">
        <v>770</v>
      </c>
      <c r="E568" s="0" t="s">
        <v>171</v>
      </c>
      <c r="F568" s="4" t="n">
        <v>20</v>
      </c>
      <c r="G568" s="2" t="n">
        <v>40</v>
      </c>
      <c r="H568" s="2" t="s">
        <v>109</v>
      </c>
      <c r="I568" s="4" t="n">
        <v>7</v>
      </c>
      <c r="J568" s="2" t="n">
        <v>0</v>
      </c>
      <c r="K568" s="2" t="n">
        <v>0</v>
      </c>
      <c r="L568" s="4" t="n">
        <v>1</v>
      </c>
      <c r="M568" s="2" t="n">
        <v>0</v>
      </c>
      <c r="N568" s="2" t="n">
        <v>0</v>
      </c>
      <c r="O568" s="4" t="n">
        <v>3</v>
      </c>
      <c r="Q568" s="2" t="n">
        <v>722</v>
      </c>
      <c r="R568" s="0" t="s">
        <v>171</v>
      </c>
      <c r="S568" s="0" t="s">
        <v>8927</v>
      </c>
    </row>
    <row r="569" customFormat="false" ht="13.8" hidden="false" customHeight="false" outlineLevel="0" collapsed="false">
      <c r="A569" s="0" t="s">
        <v>136</v>
      </c>
      <c r="B569" s="0" t="n">
        <v>10</v>
      </c>
      <c r="C569" s="0" t="s">
        <v>8909</v>
      </c>
      <c r="D569" s="0" t="s">
        <v>771</v>
      </c>
      <c r="E569" s="0" t="s">
        <v>330</v>
      </c>
      <c r="F569" s="4" t="n">
        <v>73</v>
      </c>
      <c r="G569" s="2" t="n">
        <v>40</v>
      </c>
      <c r="H569" s="2" t="s">
        <v>109</v>
      </c>
      <c r="I569" s="4" t="n">
        <v>7</v>
      </c>
      <c r="J569" s="2" t="n">
        <v>0</v>
      </c>
      <c r="K569" s="2" t="n">
        <v>0</v>
      </c>
      <c r="L569" s="4" t="n">
        <v>1</v>
      </c>
      <c r="M569" s="2" t="n">
        <v>0</v>
      </c>
      <c r="N569" s="2" t="n">
        <v>0</v>
      </c>
      <c r="O569" s="4" t="n">
        <v>3</v>
      </c>
      <c r="Q569" s="2" t="n">
        <v>723</v>
      </c>
      <c r="R569" s="0" t="s">
        <v>330</v>
      </c>
      <c r="S569" s="0" t="s">
        <v>8928</v>
      </c>
    </row>
    <row r="570" customFormat="false" ht="13.8" hidden="false" customHeight="false" outlineLevel="0" collapsed="false">
      <c r="A570" s="0" t="s">
        <v>136</v>
      </c>
      <c r="B570" s="0" t="n">
        <v>10</v>
      </c>
      <c r="C570" s="0" t="s">
        <v>8909</v>
      </c>
      <c r="D570" s="0" t="s">
        <v>772</v>
      </c>
      <c r="E570" s="0" t="s">
        <v>336</v>
      </c>
      <c r="F570" s="4" t="n">
        <v>75</v>
      </c>
      <c r="G570" s="2" t="n">
        <v>40</v>
      </c>
      <c r="H570" s="2" t="s">
        <v>109</v>
      </c>
      <c r="I570" s="4" t="n">
        <v>7</v>
      </c>
      <c r="J570" s="2" t="n">
        <v>0</v>
      </c>
      <c r="K570" s="2" t="n">
        <v>0</v>
      </c>
      <c r="L570" s="4" t="n">
        <v>1</v>
      </c>
      <c r="M570" s="2" t="n">
        <v>0</v>
      </c>
      <c r="N570" s="2" t="n">
        <v>0</v>
      </c>
      <c r="O570" s="4" t="n">
        <v>3</v>
      </c>
      <c r="Q570" s="2" t="n">
        <v>724</v>
      </c>
      <c r="R570" s="0" t="s">
        <v>336</v>
      </c>
      <c r="S570" s="0" t="s">
        <v>8929</v>
      </c>
    </row>
    <row r="571" customFormat="false" ht="13.8" hidden="false" customHeight="false" outlineLevel="0" collapsed="false">
      <c r="A571" s="0" t="s">
        <v>136</v>
      </c>
      <c r="B571" s="0" t="n">
        <v>10</v>
      </c>
      <c r="C571" s="0" t="s">
        <v>8909</v>
      </c>
      <c r="D571" s="0" t="s">
        <v>773</v>
      </c>
      <c r="E571" s="0" t="s">
        <v>410</v>
      </c>
      <c r="F571" s="4" t="n">
        <v>115</v>
      </c>
      <c r="G571" s="2" t="n">
        <v>80</v>
      </c>
      <c r="H571" s="2" t="s">
        <v>109</v>
      </c>
      <c r="I571" s="4" t="n">
        <v>7</v>
      </c>
      <c r="J571" s="2" t="n">
        <v>0</v>
      </c>
      <c r="K571" s="2" t="n">
        <v>0</v>
      </c>
      <c r="L571" s="4" t="n">
        <v>1</v>
      </c>
      <c r="M571" s="2" t="n">
        <v>0</v>
      </c>
      <c r="N571" s="2" t="n">
        <v>0</v>
      </c>
      <c r="O571" s="4" t="n">
        <v>3</v>
      </c>
      <c r="Q571" s="2" t="n">
        <v>725</v>
      </c>
      <c r="R571" s="0" t="s">
        <v>410</v>
      </c>
      <c r="S571" s="0" t="s">
        <v>8930</v>
      </c>
    </row>
    <row r="572" customFormat="false" ht="13.8" hidden="false" customHeight="false" outlineLevel="0" collapsed="false">
      <c r="A572" s="0" t="s">
        <v>136</v>
      </c>
      <c r="B572" s="0" t="n">
        <v>10</v>
      </c>
      <c r="C572" s="0" t="s">
        <v>8909</v>
      </c>
      <c r="D572" s="0" t="s">
        <v>774</v>
      </c>
      <c r="E572" s="0" t="s">
        <v>207</v>
      </c>
      <c r="F572" s="4" t="n">
        <v>32</v>
      </c>
      <c r="G572" s="2" t="n">
        <v>100</v>
      </c>
      <c r="H572" s="2" t="s">
        <v>109</v>
      </c>
      <c r="I572" s="4" t="n">
        <v>7</v>
      </c>
      <c r="J572" s="2" t="n">
        <v>0</v>
      </c>
      <c r="K572" s="2" t="n">
        <v>0</v>
      </c>
      <c r="L572" s="4" t="n">
        <v>1</v>
      </c>
      <c r="M572" s="2" t="n">
        <v>0</v>
      </c>
      <c r="N572" s="2" t="n">
        <v>0</v>
      </c>
      <c r="O572" s="4" t="n">
        <v>3</v>
      </c>
      <c r="Q572" s="2" t="n">
        <v>726</v>
      </c>
      <c r="R572" s="0" t="s">
        <v>207</v>
      </c>
      <c r="S572" s="0" t="s">
        <v>8931</v>
      </c>
    </row>
    <row r="573" customFormat="false" ht="13.8" hidden="false" customHeight="false" outlineLevel="0" collapsed="false">
      <c r="A573" s="0" t="s">
        <v>136</v>
      </c>
      <c r="B573" s="0" t="n">
        <v>10</v>
      </c>
      <c r="C573" s="0" t="s">
        <v>8909</v>
      </c>
      <c r="D573" s="0" t="s">
        <v>775</v>
      </c>
      <c r="E573" s="0" t="s">
        <v>96</v>
      </c>
      <c r="F573" s="4" t="n">
        <v>177</v>
      </c>
      <c r="G573" s="2" t="n">
        <v>0.4</v>
      </c>
      <c r="H573" s="2" t="s">
        <v>7</v>
      </c>
      <c r="I573" s="4" t="n">
        <v>2</v>
      </c>
      <c r="J573" s="2" t="n">
        <v>0</v>
      </c>
      <c r="K573" s="2" t="n">
        <v>0</v>
      </c>
      <c r="L573" s="4" t="n">
        <v>1</v>
      </c>
      <c r="M573" s="2" t="n">
        <v>0</v>
      </c>
      <c r="N573" s="2" t="n">
        <v>0</v>
      </c>
      <c r="O573" s="4" t="n">
        <v>3</v>
      </c>
      <c r="Q573" s="2" t="n">
        <v>727</v>
      </c>
      <c r="R573" s="0" t="s">
        <v>96</v>
      </c>
      <c r="S573" s="0" t="s">
        <v>8932</v>
      </c>
    </row>
    <row r="574" customFormat="false" ht="13.8" hidden="false" customHeight="false" outlineLevel="0" collapsed="false">
      <c r="A574" s="0" t="s">
        <v>136</v>
      </c>
      <c r="B574" s="0" t="n">
        <v>10</v>
      </c>
      <c r="C574" s="0" t="s">
        <v>8909</v>
      </c>
      <c r="D574" s="0" t="s">
        <v>776</v>
      </c>
      <c r="E574" s="0" t="s">
        <v>404</v>
      </c>
      <c r="F574" s="4" t="n">
        <v>109</v>
      </c>
      <c r="G574" s="2" t="n">
        <v>0.2</v>
      </c>
      <c r="H574" s="2" t="s">
        <v>7</v>
      </c>
      <c r="I574" s="4" t="n">
        <v>2</v>
      </c>
      <c r="J574" s="2" t="n">
        <v>0</v>
      </c>
      <c r="K574" s="2" t="n">
        <v>0</v>
      </c>
      <c r="L574" s="4" t="n">
        <v>1</v>
      </c>
      <c r="M574" s="2" t="n">
        <v>0</v>
      </c>
      <c r="N574" s="2" t="n">
        <v>0</v>
      </c>
      <c r="O574" s="4" t="n">
        <v>3</v>
      </c>
      <c r="Q574" s="2" t="n">
        <v>728</v>
      </c>
      <c r="R574" s="0" t="s">
        <v>404</v>
      </c>
      <c r="S574" s="0" t="s">
        <v>8933</v>
      </c>
    </row>
    <row r="575" customFormat="false" ht="13.8" hidden="false" customHeight="false" outlineLevel="0" collapsed="false">
      <c r="A575" s="0" t="s">
        <v>136</v>
      </c>
      <c r="B575" s="0" t="n">
        <v>10</v>
      </c>
      <c r="C575" s="0" t="s">
        <v>8909</v>
      </c>
      <c r="D575" s="0" t="s">
        <v>777</v>
      </c>
      <c r="E575" s="0" t="s">
        <v>430</v>
      </c>
      <c r="F575" s="4" t="n">
        <v>136</v>
      </c>
      <c r="G575" s="2" t="n">
        <v>0.2</v>
      </c>
      <c r="H575" s="2" t="s">
        <v>7</v>
      </c>
      <c r="I575" s="4" t="n">
        <v>2</v>
      </c>
      <c r="J575" s="2" t="n">
        <v>0</v>
      </c>
      <c r="K575" s="2" t="n">
        <v>0</v>
      </c>
      <c r="L575" s="4" t="n">
        <v>1</v>
      </c>
      <c r="M575" s="2" t="n">
        <v>0</v>
      </c>
      <c r="N575" s="2" t="n">
        <v>0</v>
      </c>
      <c r="O575" s="4" t="n">
        <v>3</v>
      </c>
      <c r="Q575" s="2" t="n">
        <v>729</v>
      </c>
      <c r="R575" s="0" t="s">
        <v>430</v>
      </c>
      <c r="S575" s="0" t="s">
        <v>8934</v>
      </c>
    </row>
    <row r="576" customFormat="false" ht="13.8" hidden="false" customHeight="false" outlineLevel="0" collapsed="false">
      <c r="A576" s="0" t="s">
        <v>136</v>
      </c>
      <c r="B576" s="0" t="n">
        <v>10</v>
      </c>
      <c r="C576" s="0" t="s">
        <v>8909</v>
      </c>
      <c r="D576" s="0" t="s">
        <v>778</v>
      </c>
      <c r="E576" s="0" t="s">
        <v>495</v>
      </c>
      <c r="F576" s="4" t="n">
        <v>206</v>
      </c>
      <c r="G576" s="2" t="n">
        <v>100</v>
      </c>
      <c r="H576" s="2" t="s">
        <v>109</v>
      </c>
      <c r="I576" s="4" t="n">
        <v>7</v>
      </c>
      <c r="J576" s="2" t="n">
        <v>0</v>
      </c>
      <c r="K576" s="2" t="n">
        <v>0</v>
      </c>
      <c r="L576" s="4" t="n">
        <v>1</v>
      </c>
      <c r="M576" s="2" t="n">
        <v>0</v>
      </c>
      <c r="N576" s="2" t="n">
        <v>0</v>
      </c>
      <c r="O576" s="4" t="n">
        <v>3</v>
      </c>
      <c r="Q576" s="2" t="n">
        <v>730</v>
      </c>
      <c r="R576" s="0" t="s">
        <v>495</v>
      </c>
      <c r="S576" s="0" t="s">
        <v>8935</v>
      </c>
    </row>
    <row r="577" customFormat="false" ht="13.8" hidden="false" customHeight="false" outlineLevel="0" collapsed="false">
      <c r="A577" s="0" t="s">
        <v>136</v>
      </c>
      <c r="B577" s="0" t="n">
        <v>10</v>
      </c>
      <c r="C577" s="0" t="s">
        <v>8909</v>
      </c>
      <c r="D577" s="0" t="s">
        <v>779</v>
      </c>
      <c r="E577" s="0" t="s">
        <v>416</v>
      </c>
      <c r="F577" s="4" t="n">
        <v>121</v>
      </c>
      <c r="G577" s="2" t="n">
        <v>20</v>
      </c>
      <c r="H577" s="2" t="s">
        <v>109</v>
      </c>
      <c r="I577" s="4" t="n">
        <v>7</v>
      </c>
      <c r="J577" s="2" t="n">
        <v>0</v>
      </c>
      <c r="K577" s="2" t="n">
        <v>0</v>
      </c>
      <c r="L577" s="4" t="n">
        <v>1</v>
      </c>
      <c r="M577" s="2" t="n">
        <v>0</v>
      </c>
      <c r="N577" s="2" t="n">
        <v>0</v>
      </c>
      <c r="O577" s="4" t="n">
        <v>3</v>
      </c>
      <c r="Q577" s="2" t="n">
        <v>731</v>
      </c>
      <c r="R577" s="0" t="s">
        <v>416</v>
      </c>
      <c r="S577" s="0" t="s">
        <v>8936</v>
      </c>
    </row>
    <row r="578" customFormat="false" ht="13.8" hidden="false" customHeight="false" outlineLevel="0" collapsed="false">
      <c r="A578" s="0" t="s">
        <v>136</v>
      </c>
      <c r="B578" s="0" t="n">
        <v>10</v>
      </c>
      <c r="C578" s="0" t="s">
        <v>8909</v>
      </c>
      <c r="D578" s="0" t="s">
        <v>22</v>
      </c>
      <c r="E578" s="0" t="s">
        <v>354</v>
      </c>
      <c r="F578" s="4" t="n">
        <v>81</v>
      </c>
      <c r="G578" s="2" t="n">
        <v>2</v>
      </c>
      <c r="H578" s="2" t="s">
        <v>7</v>
      </c>
      <c r="I578" s="4" t="n">
        <v>2</v>
      </c>
      <c r="J578" s="2" t="n">
        <v>0</v>
      </c>
      <c r="K578" s="2" t="n">
        <v>0</v>
      </c>
      <c r="L578" s="4" t="n">
        <v>1</v>
      </c>
      <c r="M578" s="2" t="n">
        <v>0</v>
      </c>
      <c r="N578" s="2" t="n">
        <v>0</v>
      </c>
      <c r="O578" s="4" t="n">
        <v>3</v>
      </c>
      <c r="Q578" s="2" t="n">
        <v>732</v>
      </c>
      <c r="R578" s="0" t="s">
        <v>354</v>
      </c>
      <c r="S578" s="0" t="s">
        <v>8937</v>
      </c>
    </row>
    <row r="579" customFormat="false" ht="13.8" hidden="false" customHeight="false" outlineLevel="0" collapsed="false">
      <c r="A579" s="0" t="s">
        <v>136</v>
      </c>
      <c r="B579" s="0" t="n">
        <v>10</v>
      </c>
      <c r="C579" s="0" t="s">
        <v>8909</v>
      </c>
      <c r="D579" s="0" t="s">
        <v>553</v>
      </c>
      <c r="E579" s="0" t="s">
        <v>360</v>
      </c>
      <c r="F579" s="4" t="n">
        <v>83</v>
      </c>
      <c r="G579" s="2" t="n">
        <v>1</v>
      </c>
      <c r="H579" s="2" t="s">
        <v>7</v>
      </c>
      <c r="I579" s="4" t="n">
        <v>2</v>
      </c>
      <c r="J579" s="2" t="n">
        <v>0</v>
      </c>
      <c r="K579" s="2" t="n">
        <v>0</v>
      </c>
      <c r="L579" s="4" t="n">
        <v>1</v>
      </c>
      <c r="M579" s="2" t="n">
        <v>0</v>
      </c>
      <c r="N579" s="2" t="n">
        <v>0</v>
      </c>
      <c r="O579" s="4" t="n">
        <v>3</v>
      </c>
      <c r="Q579" s="2" t="n">
        <v>733</v>
      </c>
      <c r="R579" s="0" t="s">
        <v>360</v>
      </c>
      <c r="S579" s="0" t="s">
        <v>8938</v>
      </c>
    </row>
    <row r="580" customFormat="false" ht="13.8" hidden="false" customHeight="false" outlineLevel="0" collapsed="false">
      <c r="A580" s="0" t="s">
        <v>136</v>
      </c>
      <c r="B580" s="0" t="n">
        <v>10</v>
      </c>
      <c r="C580" s="0" t="s">
        <v>8909</v>
      </c>
      <c r="D580" s="0" t="s">
        <v>780</v>
      </c>
      <c r="E580" s="0" t="s">
        <v>445</v>
      </c>
      <c r="F580" s="4" t="n">
        <v>152</v>
      </c>
      <c r="G580" s="2" t="n">
        <v>0</v>
      </c>
      <c r="H580" s="2" t="n">
        <v>0</v>
      </c>
      <c r="I580" s="4" t="n">
        <v>2</v>
      </c>
      <c r="J580" s="2" t="n">
        <v>0.2</v>
      </c>
      <c r="K580" s="2" t="s">
        <v>147</v>
      </c>
      <c r="L580" s="4" t="n">
        <v>13</v>
      </c>
      <c r="M580" s="2" t="n">
        <v>0</v>
      </c>
      <c r="N580" s="2" t="n">
        <v>0</v>
      </c>
      <c r="O580" s="4" t="n">
        <v>3</v>
      </c>
      <c r="Q580" s="2" t="n">
        <v>734</v>
      </c>
      <c r="R580" s="0" t="s">
        <v>445</v>
      </c>
      <c r="S580" s="0" t="s">
        <v>8939</v>
      </c>
    </row>
    <row r="581" customFormat="false" ht="13.8" hidden="false" customHeight="false" outlineLevel="0" collapsed="false">
      <c r="A581" s="0" t="s">
        <v>136</v>
      </c>
      <c r="B581" s="0" t="n">
        <v>10</v>
      </c>
      <c r="C581" s="0" t="s">
        <v>8909</v>
      </c>
      <c r="D581" s="0" t="s">
        <v>781</v>
      </c>
      <c r="E581" s="0" t="s">
        <v>425</v>
      </c>
      <c r="F581" s="4" t="n">
        <v>131</v>
      </c>
      <c r="G581" s="2" t="n">
        <v>0</v>
      </c>
      <c r="H581" s="2" t="n">
        <v>0</v>
      </c>
      <c r="I581" s="4" t="n">
        <v>2</v>
      </c>
      <c r="J581" s="2" t="n">
        <v>0.2</v>
      </c>
      <c r="K581" s="2" t="s">
        <v>147</v>
      </c>
      <c r="L581" s="4" t="n">
        <v>13</v>
      </c>
      <c r="M581" s="2" t="n">
        <v>0</v>
      </c>
      <c r="N581" s="2" t="n">
        <v>0</v>
      </c>
      <c r="O581" s="4" t="n">
        <v>3</v>
      </c>
      <c r="Q581" s="2" t="n">
        <v>735</v>
      </c>
      <c r="R581" s="0" t="s">
        <v>425</v>
      </c>
      <c r="S581" s="0" t="s">
        <v>8940</v>
      </c>
    </row>
    <row r="582" customFormat="false" ht="13.8" hidden="false" customHeight="false" outlineLevel="0" collapsed="false">
      <c r="A582" s="0" t="s">
        <v>136</v>
      </c>
      <c r="B582" s="0" t="n">
        <v>10</v>
      </c>
      <c r="C582" s="0" t="s">
        <v>8909</v>
      </c>
      <c r="D582" s="0" t="s">
        <v>782</v>
      </c>
      <c r="E582" s="0" t="s">
        <v>156</v>
      </c>
      <c r="F582" s="4" t="n">
        <v>15</v>
      </c>
      <c r="G582" s="2" t="n">
        <v>0</v>
      </c>
      <c r="H582" s="2" t="n">
        <v>0</v>
      </c>
      <c r="I582" s="4" t="n">
        <v>2</v>
      </c>
      <c r="J582" s="2" t="n">
        <v>0.2</v>
      </c>
      <c r="K582" s="2" t="s">
        <v>147</v>
      </c>
      <c r="L582" s="4" t="n">
        <v>13</v>
      </c>
      <c r="M582" s="2" t="n">
        <v>0</v>
      </c>
      <c r="N582" s="2" t="n">
        <v>0</v>
      </c>
      <c r="O582" s="4" t="n">
        <v>3</v>
      </c>
      <c r="Q582" s="2" t="n">
        <v>736</v>
      </c>
      <c r="R582" s="0" t="s">
        <v>156</v>
      </c>
      <c r="S582" s="0" t="s">
        <v>8941</v>
      </c>
    </row>
    <row r="583" customFormat="false" ht="13.8" hidden="false" customHeight="false" outlineLevel="0" collapsed="false">
      <c r="A583" s="0" t="s">
        <v>136</v>
      </c>
      <c r="B583" s="0" t="n">
        <v>10</v>
      </c>
      <c r="C583" s="0" t="s">
        <v>8909</v>
      </c>
      <c r="D583" s="0" t="s">
        <v>783</v>
      </c>
      <c r="E583" s="0" t="s">
        <v>186</v>
      </c>
      <c r="F583" s="4" t="n">
        <v>25</v>
      </c>
      <c r="G583" s="2" t="n">
        <v>5</v>
      </c>
      <c r="H583" s="2" t="s">
        <v>7</v>
      </c>
      <c r="I583" s="4" t="n">
        <v>2</v>
      </c>
      <c r="J583" s="2" t="n">
        <v>0</v>
      </c>
      <c r="K583" s="2" t="n">
        <v>0</v>
      </c>
      <c r="L583" s="4" t="n">
        <v>1</v>
      </c>
      <c r="M583" s="2" t="n">
        <v>0</v>
      </c>
      <c r="N583" s="2" t="n">
        <v>0</v>
      </c>
      <c r="O583" s="4" t="n">
        <v>3</v>
      </c>
      <c r="Q583" s="2" t="n">
        <v>737</v>
      </c>
      <c r="R583" s="0" t="s">
        <v>186</v>
      </c>
      <c r="S583" s="0" t="s">
        <v>8942</v>
      </c>
    </row>
    <row r="584" customFormat="false" ht="13.8" hidden="false" customHeight="false" outlineLevel="0" collapsed="false">
      <c r="A584" s="0" t="s">
        <v>136</v>
      </c>
      <c r="B584" s="0" t="n">
        <v>10</v>
      </c>
      <c r="C584" s="0" t="s">
        <v>8909</v>
      </c>
      <c r="D584" s="0" t="s">
        <v>784</v>
      </c>
      <c r="E584" s="0" t="s">
        <v>485</v>
      </c>
      <c r="F584" s="4" t="n">
        <v>195</v>
      </c>
      <c r="G584" s="2" t="n">
        <v>3</v>
      </c>
      <c r="H584" s="2" t="s">
        <v>7</v>
      </c>
      <c r="I584" s="4" t="n">
        <v>2</v>
      </c>
      <c r="J584" s="2" t="n">
        <v>0</v>
      </c>
      <c r="K584" s="2" t="n">
        <v>0</v>
      </c>
      <c r="L584" s="4" t="n">
        <v>1</v>
      </c>
      <c r="M584" s="2" t="n">
        <v>0</v>
      </c>
      <c r="N584" s="2" t="n">
        <v>0</v>
      </c>
      <c r="O584" s="4" t="n">
        <v>3</v>
      </c>
      <c r="Q584" s="2" t="n">
        <v>738</v>
      </c>
      <c r="R584" s="0" t="s">
        <v>485</v>
      </c>
      <c r="S584" s="0" t="s">
        <v>8943</v>
      </c>
    </row>
    <row r="585" customFormat="false" ht="13.8" hidden="false" customHeight="false" outlineLevel="0" collapsed="false">
      <c r="A585" s="0" t="s">
        <v>136</v>
      </c>
      <c r="B585" s="0" t="n">
        <v>10</v>
      </c>
      <c r="C585" s="0" t="s">
        <v>8909</v>
      </c>
      <c r="D585" s="0" t="s">
        <v>785</v>
      </c>
      <c r="E585" s="0" t="s">
        <v>485</v>
      </c>
      <c r="F585" s="4" t="n">
        <v>195</v>
      </c>
      <c r="G585" s="2" t="n">
        <v>0.6</v>
      </c>
      <c r="H585" s="2" t="s">
        <v>7</v>
      </c>
      <c r="I585" s="4" t="n">
        <v>2</v>
      </c>
      <c r="J585" s="2" t="n">
        <v>0</v>
      </c>
      <c r="K585" s="2" t="n">
        <v>0</v>
      </c>
      <c r="L585" s="4" t="n">
        <v>1</v>
      </c>
      <c r="M585" s="2" t="n">
        <v>0</v>
      </c>
      <c r="N585" s="2" t="n">
        <v>0</v>
      </c>
      <c r="O585" s="4" t="n">
        <v>3</v>
      </c>
      <c r="Q585" s="2" t="n">
        <v>739</v>
      </c>
      <c r="R585" s="0" t="s">
        <v>485</v>
      </c>
      <c r="S585" s="0" t="s">
        <v>8944</v>
      </c>
    </row>
    <row r="586" customFormat="false" ht="13.8" hidden="false" customHeight="false" outlineLevel="0" collapsed="false">
      <c r="A586" s="0" t="s">
        <v>136</v>
      </c>
      <c r="B586" s="0" t="n">
        <v>10</v>
      </c>
      <c r="C586" s="0" t="s">
        <v>8909</v>
      </c>
      <c r="D586" s="0" t="s">
        <v>527</v>
      </c>
      <c r="E586" s="0" t="s">
        <v>102</v>
      </c>
      <c r="F586" s="4" t="n">
        <v>1</v>
      </c>
      <c r="G586" s="2" t="n">
        <v>100</v>
      </c>
      <c r="H586" s="2" t="s">
        <v>109</v>
      </c>
      <c r="I586" s="4" t="n">
        <v>7</v>
      </c>
      <c r="J586" s="2" t="n">
        <v>0</v>
      </c>
      <c r="K586" s="2" t="n">
        <v>0</v>
      </c>
      <c r="L586" s="4" t="n">
        <v>1</v>
      </c>
      <c r="M586" s="2" t="n">
        <v>0</v>
      </c>
      <c r="N586" s="2" t="n">
        <v>0</v>
      </c>
      <c r="O586" s="4" t="n">
        <v>3</v>
      </c>
      <c r="Q586" s="2" t="n">
        <v>740</v>
      </c>
      <c r="R586" s="0" t="s">
        <v>102</v>
      </c>
      <c r="S586" s="0" t="s">
        <v>8945</v>
      </c>
    </row>
    <row r="587" customFormat="false" ht="13.8" hidden="false" customHeight="false" outlineLevel="0" collapsed="false">
      <c r="A587" s="0" t="s">
        <v>136</v>
      </c>
      <c r="B587" s="0" t="n">
        <v>10</v>
      </c>
      <c r="C587" s="0" t="s">
        <v>8909</v>
      </c>
      <c r="D587" s="0" t="s">
        <v>786</v>
      </c>
      <c r="E587" s="0" t="s">
        <v>386</v>
      </c>
      <c r="F587" s="4" t="n">
        <v>93</v>
      </c>
      <c r="G587" s="2" t="n">
        <v>100</v>
      </c>
      <c r="H587" s="2" t="s">
        <v>109</v>
      </c>
      <c r="I587" s="4" t="n">
        <v>7</v>
      </c>
      <c r="J587" s="2" t="n">
        <v>0</v>
      </c>
      <c r="K587" s="2" t="n">
        <v>0</v>
      </c>
      <c r="L587" s="4" t="n">
        <v>1</v>
      </c>
      <c r="M587" s="2" t="n">
        <v>0</v>
      </c>
      <c r="N587" s="2" t="n">
        <v>0</v>
      </c>
      <c r="O587" s="4" t="n">
        <v>3</v>
      </c>
      <c r="Q587" s="2" t="n">
        <v>741</v>
      </c>
      <c r="R587" s="0" t="s">
        <v>386</v>
      </c>
      <c r="S587" s="0" t="s">
        <v>8946</v>
      </c>
    </row>
    <row r="588" customFormat="false" ht="13.8" hidden="false" customHeight="false" outlineLevel="0" collapsed="false">
      <c r="A588" s="0" t="s">
        <v>136</v>
      </c>
      <c r="B588" s="0" t="n">
        <v>10</v>
      </c>
      <c r="C588" s="0" t="s">
        <v>8909</v>
      </c>
      <c r="D588" s="0" t="s">
        <v>586</v>
      </c>
      <c r="E588" s="0" t="s">
        <v>38</v>
      </c>
      <c r="F588" s="4" t="n">
        <v>105</v>
      </c>
      <c r="G588" s="2" t="n">
        <v>0</v>
      </c>
      <c r="H588" s="2" t="n">
        <v>0</v>
      </c>
      <c r="I588" s="4" t="n">
        <v>2</v>
      </c>
      <c r="J588" s="2" t="n">
        <v>0</v>
      </c>
      <c r="K588" s="2" t="n">
        <v>0</v>
      </c>
      <c r="L588" s="4" t="n">
        <v>1</v>
      </c>
      <c r="M588" s="2" t="n">
        <v>0</v>
      </c>
      <c r="N588" s="2" t="n">
        <v>0</v>
      </c>
      <c r="O588" s="4" t="n">
        <v>3</v>
      </c>
      <c r="Q588" s="2" t="n">
        <v>742</v>
      </c>
      <c r="R588" s="0" t="s">
        <v>38</v>
      </c>
      <c r="S588" s="0" t="s">
        <v>8947</v>
      </c>
    </row>
    <row r="589" customFormat="false" ht="13.8" hidden="false" customHeight="false" outlineLevel="0" collapsed="false">
      <c r="A589" s="0" t="s">
        <v>136</v>
      </c>
      <c r="B589" s="0" t="n">
        <v>10</v>
      </c>
      <c r="C589" s="0" t="s">
        <v>8909</v>
      </c>
      <c r="D589" s="0" t="s">
        <v>787</v>
      </c>
      <c r="E589" s="0" t="s">
        <v>309</v>
      </c>
      <c r="F589" s="4" t="n">
        <v>66</v>
      </c>
      <c r="G589" s="2" t="n">
        <v>0</v>
      </c>
      <c r="H589" s="2" t="n">
        <v>0</v>
      </c>
      <c r="I589" s="4" t="n">
        <v>2</v>
      </c>
      <c r="J589" s="2" t="n">
        <v>0</v>
      </c>
      <c r="K589" s="2" t="n">
        <v>0</v>
      </c>
      <c r="L589" s="4" t="n">
        <v>1</v>
      </c>
      <c r="M589" s="2" t="n">
        <v>10</v>
      </c>
      <c r="N589" s="2" t="s">
        <v>127</v>
      </c>
      <c r="O589" s="4" t="n">
        <v>8</v>
      </c>
      <c r="Q589" s="2" t="n">
        <v>743</v>
      </c>
      <c r="R589" s="0" t="s">
        <v>309</v>
      </c>
      <c r="S589" s="0" t="s">
        <v>8948</v>
      </c>
    </row>
    <row r="590" customFormat="false" ht="13.8" hidden="false" customHeight="false" outlineLevel="0" collapsed="false">
      <c r="A590" s="0" t="s">
        <v>136</v>
      </c>
      <c r="B590" s="0" t="n">
        <v>10</v>
      </c>
      <c r="C590" s="0" t="s">
        <v>8909</v>
      </c>
      <c r="D590" s="0" t="s">
        <v>668</v>
      </c>
      <c r="E590" s="0" t="s">
        <v>454</v>
      </c>
      <c r="F590" s="4" t="n">
        <v>162</v>
      </c>
      <c r="G590" s="2" t="n">
        <v>0</v>
      </c>
      <c r="H590" s="2" t="n">
        <v>0</v>
      </c>
      <c r="I590" s="4" t="n">
        <v>2</v>
      </c>
      <c r="J590" s="2" t="n">
        <v>0</v>
      </c>
      <c r="K590" s="2" t="n">
        <v>0</v>
      </c>
      <c r="L590" s="4" t="n">
        <v>1</v>
      </c>
      <c r="M590" s="2" t="n">
        <v>10</v>
      </c>
      <c r="N590" s="2" t="s">
        <v>127</v>
      </c>
      <c r="O590" s="4" t="n">
        <v>8</v>
      </c>
      <c r="Q590" s="2" t="n">
        <v>744</v>
      </c>
      <c r="R590" s="0" t="s">
        <v>454</v>
      </c>
      <c r="S590" s="0" t="s">
        <v>8949</v>
      </c>
    </row>
    <row r="591" customFormat="false" ht="13.8" hidden="false" customHeight="false" outlineLevel="0" collapsed="false">
      <c r="A591" s="0" t="s">
        <v>136</v>
      </c>
      <c r="B591" s="0" t="n">
        <v>10</v>
      </c>
      <c r="C591" s="0" t="s">
        <v>8909</v>
      </c>
      <c r="D591" s="0" t="s">
        <v>655</v>
      </c>
      <c r="E591" s="0" t="s">
        <v>192</v>
      </c>
      <c r="F591" s="4" t="n">
        <v>27</v>
      </c>
      <c r="G591" s="2" t="n">
        <v>0.5</v>
      </c>
      <c r="H591" s="2" t="s">
        <v>7</v>
      </c>
      <c r="I591" s="4" t="n">
        <v>2</v>
      </c>
      <c r="J591" s="2" t="n">
        <v>0</v>
      </c>
      <c r="K591" s="2" t="n">
        <v>0</v>
      </c>
      <c r="L591" s="4" t="n">
        <v>1</v>
      </c>
      <c r="M591" s="2" t="n">
        <v>0</v>
      </c>
      <c r="N591" s="2" t="n">
        <v>0</v>
      </c>
      <c r="O591" s="4" t="n">
        <v>3</v>
      </c>
      <c r="Q591" s="2" t="n">
        <v>745</v>
      </c>
      <c r="R591" s="0" t="s">
        <v>192</v>
      </c>
      <c r="S591" s="0" t="s">
        <v>8950</v>
      </c>
    </row>
    <row r="592" customFormat="false" ht="13.8" hidden="false" customHeight="false" outlineLevel="0" collapsed="false">
      <c r="A592" s="0" t="s">
        <v>136</v>
      </c>
      <c r="B592" s="0" t="n">
        <v>10</v>
      </c>
      <c r="C592" s="0" t="s">
        <v>8909</v>
      </c>
      <c r="D592" s="0" t="s">
        <v>788</v>
      </c>
      <c r="E592" s="0" t="s">
        <v>243</v>
      </c>
      <c r="F592" s="4" t="n">
        <v>44</v>
      </c>
      <c r="G592" s="2" t="n">
        <v>1.4</v>
      </c>
      <c r="H592" s="2" t="s">
        <v>7</v>
      </c>
      <c r="I592" s="4" t="n">
        <v>2</v>
      </c>
      <c r="J592" s="2" t="n">
        <v>0</v>
      </c>
      <c r="K592" s="2" t="n">
        <v>0</v>
      </c>
      <c r="L592" s="4" t="n">
        <v>1</v>
      </c>
      <c r="M592" s="2" t="n">
        <v>0</v>
      </c>
      <c r="N592" s="2" t="n">
        <v>0</v>
      </c>
      <c r="O592" s="4" t="n">
        <v>3</v>
      </c>
      <c r="Q592" s="2" t="n">
        <v>746</v>
      </c>
      <c r="R592" s="0" t="s">
        <v>243</v>
      </c>
      <c r="S592" s="0" t="s">
        <v>8951</v>
      </c>
    </row>
    <row r="593" customFormat="false" ht="13.8" hidden="false" customHeight="false" outlineLevel="0" collapsed="false">
      <c r="A593" s="0" t="s">
        <v>136</v>
      </c>
      <c r="B593" s="0" t="n">
        <v>10</v>
      </c>
      <c r="C593" s="0" t="s">
        <v>8909</v>
      </c>
      <c r="D593" s="0" t="s">
        <v>39</v>
      </c>
      <c r="E593" s="0" t="s">
        <v>228</v>
      </c>
      <c r="F593" s="4" t="n">
        <v>39</v>
      </c>
      <c r="G593" s="2" t="n">
        <v>0.6</v>
      </c>
      <c r="H593" s="2" t="s">
        <v>7</v>
      </c>
      <c r="I593" s="4" t="n">
        <v>2</v>
      </c>
      <c r="J593" s="2" t="n">
        <v>0</v>
      </c>
      <c r="K593" s="2" t="n">
        <v>0</v>
      </c>
      <c r="L593" s="4" t="n">
        <v>1</v>
      </c>
      <c r="M593" s="2" t="n">
        <v>0</v>
      </c>
      <c r="N593" s="2" t="n">
        <v>0</v>
      </c>
      <c r="O593" s="4" t="n">
        <v>3</v>
      </c>
      <c r="Q593" s="2" t="n">
        <v>747</v>
      </c>
      <c r="R593" s="0" t="s">
        <v>228</v>
      </c>
      <c r="S593" s="0" t="s">
        <v>8952</v>
      </c>
    </row>
    <row r="594" customFormat="false" ht="13.8" hidden="false" customHeight="false" outlineLevel="0" collapsed="false">
      <c r="A594" s="0" t="s">
        <v>136</v>
      </c>
      <c r="B594" s="0" t="n">
        <v>10</v>
      </c>
      <c r="C594" s="0" t="s">
        <v>8909</v>
      </c>
      <c r="D594" s="0" t="s">
        <v>789</v>
      </c>
      <c r="E594" s="0" t="s">
        <v>240</v>
      </c>
      <c r="F594" s="4" t="n">
        <v>43</v>
      </c>
      <c r="G594" s="2" t="n">
        <v>0.5</v>
      </c>
      <c r="H594" s="2" t="s">
        <v>7</v>
      </c>
      <c r="I594" s="4" t="n">
        <v>2</v>
      </c>
      <c r="J594" s="2" t="n">
        <v>0</v>
      </c>
      <c r="K594" s="2" t="n">
        <v>0</v>
      </c>
      <c r="L594" s="4" t="n">
        <v>1</v>
      </c>
      <c r="M594" s="2" t="n">
        <v>0</v>
      </c>
      <c r="N594" s="2" t="n">
        <v>0</v>
      </c>
      <c r="O594" s="4" t="n">
        <v>3</v>
      </c>
      <c r="Q594" s="2" t="n">
        <v>748</v>
      </c>
      <c r="R594" s="0" t="s">
        <v>240</v>
      </c>
      <c r="S594" s="0" t="s">
        <v>8953</v>
      </c>
    </row>
    <row r="595" customFormat="false" ht="13.8" hidden="false" customHeight="false" outlineLevel="0" collapsed="false">
      <c r="A595" s="0" t="s">
        <v>136</v>
      </c>
      <c r="B595" s="0" t="n">
        <v>10</v>
      </c>
      <c r="C595" s="0" t="s">
        <v>8909</v>
      </c>
      <c r="D595" s="0" t="s">
        <v>790</v>
      </c>
      <c r="E595" s="0" t="s">
        <v>374</v>
      </c>
      <c r="F595" s="4" t="n">
        <v>88</v>
      </c>
      <c r="G595" s="2" t="n">
        <v>0.6</v>
      </c>
      <c r="H595" s="2" t="s">
        <v>7</v>
      </c>
      <c r="I595" s="4" t="n">
        <v>2</v>
      </c>
      <c r="J595" s="2" t="n">
        <v>0</v>
      </c>
      <c r="K595" s="2" t="n">
        <v>0</v>
      </c>
      <c r="L595" s="4" t="n">
        <v>1</v>
      </c>
      <c r="M595" s="2" t="n">
        <v>0</v>
      </c>
      <c r="N595" s="2" t="n">
        <v>0</v>
      </c>
      <c r="O595" s="4" t="n">
        <v>3</v>
      </c>
      <c r="Q595" s="2" t="n">
        <v>749</v>
      </c>
      <c r="R595" s="0" t="s">
        <v>374</v>
      </c>
      <c r="S595" s="0" t="s">
        <v>8954</v>
      </c>
    </row>
    <row r="596" customFormat="false" ht="13.8" hidden="false" customHeight="false" outlineLevel="0" collapsed="false">
      <c r="A596" s="0" t="s">
        <v>136</v>
      </c>
      <c r="B596" s="0" t="n">
        <v>10</v>
      </c>
      <c r="C596" s="0" t="s">
        <v>8909</v>
      </c>
      <c r="D596" s="0" t="s">
        <v>791</v>
      </c>
      <c r="E596" s="0" t="s">
        <v>130</v>
      </c>
      <c r="F596" s="4" t="n">
        <v>8</v>
      </c>
      <c r="G596" s="2" t="n">
        <v>1.4</v>
      </c>
      <c r="H596" s="2" t="s">
        <v>7</v>
      </c>
      <c r="I596" s="4" t="n">
        <v>2</v>
      </c>
      <c r="J596" s="2" t="n">
        <v>0</v>
      </c>
      <c r="K596" s="2" t="n">
        <v>0</v>
      </c>
      <c r="L596" s="4" t="n">
        <v>1</v>
      </c>
      <c r="M596" s="2" t="n">
        <v>0</v>
      </c>
      <c r="N596" s="2" t="n">
        <v>0</v>
      </c>
      <c r="O596" s="4" t="n">
        <v>3</v>
      </c>
      <c r="Q596" s="2" t="n">
        <v>750</v>
      </c>
      <c r="R596" s="0" t="s">
        <v>130</v>
      </c>
      <c r="S596" s="0" t="s">
        <v>8955</v>
      </c>
    </row>
    <row r="597" customFormat="false" ht="13.8" hidden="false" customHeight="false" outlineLevel="0" collapsed="false">
      <c r="A597" s="0" t="s">
        <v>136</v>
      </c>
      <c r="B597" s="0" t="n">
        <v>10</v>
      </c>
      <c r="C597" s="0" t="s">
        <v>8909</v>
      </c>
      <c r="D597" s="0" t="s">
        <v>792</v>
      </c>
      <c r="E597" s="0" t="s">
        <v>237</v>
      </c>
      <c r="F597" s="4" t="n">
        <v>42</v>
      </c>
      <c r="G597" s="2" t="n">
        <v>0.6</v>
      </c>
      <c r="H597" s="2" t="s">
        <v>7</v>
      </c>
      <c r="I597" s="4" t="n">
        <v>2</v>
      </c>
      <c r="J597" s="2" t="n">
        <v>0</v>
      </c>
      <c r="K597" s="2" t="n">
        <v>0</v>
      </c>
      <c r="L597" s="4" t="n">
        <v>1</v>
      </c>
      <c r="M597" s="2" t="n">
        <v>0</v>
      </c>
      <c r="N597" s="2" t="n">
        <v>0</v>
      </c>
      <c r="O597" s="4" t="n">
        <v>3</v>
      </c>
      <c r="Q597" s="2" t="n">
        <v>751</v>
      </c>
      <c r="R597" s="0" t="s">
        <v>237</v>
      </c>
      <c r="S597" s="0" t="s">
        <v>8956</v>
      </c>
    </row>
    <row r="598" customFormat="false" ht="13.8" hidden="false" customHeight="false" outlineLevel="0" collapsed="false">
      <c r="A598" s="0" t="s">
        <v>136</v>
      </c>
      <c r="B598" s="0" t="n">
        <v>10</v>
      </c>
      <c r="C598" s="0" t="s">
        <v>8909</v>
      </c>
      <c r="D598" s="0" t="s">
        <v>794</v>
      </c>
      <c r="E598" s="0" t="s">
        <v>436</v>
      </c>
      <c r="F598" s="4" t="n">
        <v>142</v>
      </c>
      <c r="G598" s="2" t="n">
        <v>100</v>
      </c>
      <c r="H598" s="2" t="s">
        <v>109</v>
      </c>
      <c r="I598" s="4" t="n">
        <v>7</v>
      </c>
      <c r="J598" s="2" t="n">
        <v>0</v>
      </c>
      <c r="K598" s="2" t="n">
        <v>0</v>
      </c>
      <c r="L598" s="4" t="n">
        <v>1</v>
      </c>
      <c r="M598" s="2" t="n">
        <v>0</v>
      </c>
      <c r="N598" s="2" t="n">
        <v>0</v>
      </c>
      <c r="O598" s="4" t="n">
        <v>3</v>
      </c>
      <c r="Q598" s="2" t="n">
        <v>753</v>
      </c>
      <c r="R598" s="0" t="s">
        <v>436</v>
      </c>
      <c r="S598" s="0" t="s">
        <v>8957</v>
      </c>
    </row>
    <row r="599" customFormat="false" ht="13.8" hidden="false" customHeight="false" outlineLevel="0" collapsed="false">
      <c r="A599" s="0" t="s">
        <v>136</v>
      </c>
      <c r="B599" s="0" t="n">
        <v>10</v>
      </c>
      <c r="C599" s="0" t="s">
        <v>8909</v>
      </c>
      <c r="D599" s="0" t="s">
        <v>795</v>
      </c>
      <c r="E599" s="0" t="s">
        <v>146</v>
      </c>
      <c r="F599" s="4" t="n">
        <v>12</v>
      </c>
      <c r="G599" s="2" t="n">
        <v>0.5</v>
      </c>
      <c r="H599" s="2" t="s">
        <v>7</v>
      </c>
      <c r="I599" s="4" t="n">
        <v>2</v>
      </c>
      <c r="J599" s="2" t="n">
        <v>0</v>
      </c>
      <c r="K599" s="2" t="n">
        <v>0</v>
      </c>
      <c r="L599" s="4" t="n">
        <v>1</v>
      </c>
      <c r="M599" s="2" t="n">
        <v>0</v>
      </c>
      <c r="N599" s="2" t="n">
        <v>0</v>
      </c>
      <c r="O599" s="4" t="n">
        <v>3</v>
      </c>
      <c r="Q599" s="2" t="n">
        <v>754</v>
      </c>
      <c r="R599" s="0" t="s">
        <v>146</v>
      </c>
      <c r="S599" s="0" t="s">
        <v>8958</v>
      </c>
    </row>
    <row r="600" customFormat="false" ht="13.8" hidden="false" customHeight="false" outlineLevel="0" collapsed="false">
      <c r="A600" s="0" t="s">
        <v>136</v>
      </c>
      <c r="B600" s="0" t="n">
        <v>10</v>
      </c>
      <c r="C600" s="0" t="s">
        <v>8909</v>
      </c>
      <c r="D600" s="0" t="s">
        <v>796</v>
      </c>
      <c r="E600" s="0" t="s">
        <v>150</v>
      </c>
      <c r="F600" s="4" t="n">
        <v>13</v>
      </c>
      <c r="G600" s="2" t="n">
        <v>0</v>
      </c>
      <c r="H600" s="2" t="n">
        <v>0</v>
      </c>
      <c r="I600" s="4" t="n">
        <v>2</v>
      </c>
      <c r="J600" s="2" t="n">
        <v>1</v>
      </c>
      <c r="K600" s="2" t="s">
        <v>13</v>
      </c>
      <c r="L600" s="4" t="n">
        <v>1</v>
      </c>
      <c r="M600" s="2" t="n">
        <v>0</v>
      </c>
      <c r="N600" s="2" t="n">
        <v>0</v>
      </c>
      <c r="O600" s="4" t="n">
        <v>3</v>
      </c>
      <c r="Q600" s="2" t="n">
        <v>755</v>
      </c>
      <c r="R600" s="0" t="s">
        <v>150</v>
      </c>
      <c r="S600" s="0" t="s">
        <v>8959</v>
      </c>
    </row>
    <row r="601" customFormat="false" ht="13.8" hidden="false" customHeight="false" outlineLevel="0" collapsed="false">
      <c r="A601" s="0" t="s">
        <v>136</v>
      </c>
      <c r="B601" s="0" t="n">
        <v>10</v>
      </c>
      <c r="C601" s="0" t="s">
        <v>8909</v>
      </c>
      <c r="D601" s="0" t="s">
        <v>797</v>
      </c>
      <c r="E601" s="0" t="s">
        <v>288</v>
      </c>
      <c r="F601" s="4" t="n">
        <v>59</v>
      </c>
      <c r="G601" s="2" t="n">
        <v>0</v>
      </c>
      <c r="H601" s="2" t="n">
        <v>0</v>
      </c>
      <c r="I601" s="4" t="n">
        <v>2</v>
      </c>
      <c r="J601" s="2" t="n">
        <v>2</v>
      </c>
      <c r="K601" s="2" t="s">
        <v>13</v>
      </c>
      <c r="L601" s="4" t="n">
        <v>1</v>
      </c>
      <c r="M601" s="2" t="n">
        <v>0</v>
      </c>
      <c r="N601" s="2" t="n">
        <v>0</v>
      </c>
      <c r="O601" s="4" t="n">
        <v>3</v>
      </c>
      <c r="Q601" s="2" t="n">
        <v>756</v>
      </c>
      <c r="R601" s="0" t="s">
        <v>288</v>
      </c>
      <c r="S601" s="0" t="s">
        <v>8960</v>
      </c>
    </row>
    <row r="602" customFormat="false" ht="13.8" hidden="false" customHeight="false" outlineLevel="0" collapsed="false">
      <c r="A602" s="0" t="s">
        <v>136</v>
      </c>
      <c r="B602" s="0" t="n">
        <v>10</v>
      </c>
      <c r="C602" s="0" t="s">
        <v>8909</v>
      </c>
      <c r="D602" s="0" t="s">
        <v>794</v>
      </c>
      <c r="E602" s="0" t="s">
        <v>436</v>
      </c>
      <c r="F602" s="4" t="n">
        <v>142</v>
      </c>
      <c r="G602" s="2" t="n">
        <v>100</v>
      </c>
      <c r="H602" s="2" t="s">
        <v>109</v>
      </c>
      <c r="I602" s="4" t="n">
        <v>7</v>
      </c>
      <c r="J602" s="2" t="n">
        <v>0</v>
      </c>
      <c r="K602" s="2" t="n">
        <v>0</v>
      </c>
      <c r="L602" s="4" t="n">
        <v>1</v>
      </c>
      <c r="M602" s="2" t="n">
        <v>0</v>
      </c>
      <c r="N602" s="2" t="n">
        <v>0</v>
      </c>
      <c r="O602" s="4" t="n">
        <v>3</v>
      </c>
      <c r="Q602" s="2" t="n">
        <v>758</v>
      </c>
      <c r="R602" s="0" t="s">
        <v>436</v>
      </c>
      <c r="S602" s="0" t="s">
        <v>8961</v>
      </c>
    </row>
    <row r="603" customFormat="false" ht="13.8" hidden="false" customHeight="false" outlineLevel="0" collapsed="false">
      <c r="A603" s="0" t="s">
        <v>136</v>
      </c>
      <c r="B603" s="0" t="n">
        <v>10</v>
      </c>
      <c r="C603" s="0" t="s">
        <v>8909</v>
      </c>
      <c r="D603" s="0" t="s">
        <v>795</v>
      </c>
      <c r="E603" s="0" t="s">
        <v>146</v>
      </c>
      <c r="F603" s="4" t="n">
        <v>12</v>
      </c>
      <c r="G603" s="2" t="n">
        <v>0.5</v>
      </c>
      <c r="H603" s="2" t="s">
        <v>7</v>
      </c>
      <c r="I603" s="4" t="n">
        <v>2</v>
      </c>
      <c r="J603" s="2" t="n">
        <v>0</v>
      </c>
      <c r="K603" s="2" t="n">
        <v>0</v>
      </c>
      <c r="L603" s="4" t="n">
        <v>1</v>
      </c>
      <c r="M603" s="2" t="n">
        <v>0</v>
      </c>
      <c r="N603" s="2" t="n">
        <v>0</v>
      </c>
      <c r="O603" s="4" t="n">
        <v>3</v>
      </c>
      <c r="Q603" s="2" t="n">
        <v>759</v>
      </c>
      <c r="R603" s="0" t="s">
        <v>146</v>
      </c>
      <c r="S603" s="0" t="s">
        <v>8962</v>
      </c>
    </row>
    <row r="604" customFormat="false" ht="13.8" hidden="false" customHeight="false" outlineLevel="0" collapsed="false">
      <c r="A604" s="0" t="s">
        <v>136</v>
      </c>
      <c r="B604" s="0" t="n">
        <v>10</v>
      </c>
      <c r="C604" s="0" t="s">
        <v>8909</v>
      </c>
      <c r="D604" s="0" t="s">
        <v>796</v>
      </c>
      <c r="E604" s="0" t="s">
        <v>150</v>
      </c>
      <c r="F604" s="4" t="n">
        <v>13</v>
      </c>
      <c r="G604" s="2" t="n">
        <v>0</v>
      </c>
      <c r="H604" s="2" t="n">
        <v>0</v>
      </c>
      <c r="I604" s="4" t="n">
        <v>2</v>
      </c>
      <c r="J604" s="2" t="n">
        <v>0.2</v>
      </c>
      <c r="K604" s="2" t="s">
        <v>13</v>
      </c>
      <c r="L604" s="4" t="n">
        <v>1</v>
      </c>
      <c r="M604" s="2" t="n">
        <v>0</v>
      </c>
      <c r="N604" s="2" t="n">
        <v>0</v>
      </c>
      <c r="O604" s="4" t="n">
        <v>3</v>
      </c>
      <c r="Q604" s="2" t="n">
        <v>760</v>
      </c>
      <c r="R604" s="0" t="s">
        <v>150</v>
      </c>
      <c r="S604" s="0" t="s">
        <v>8963</v>
      </c>
    </row>
    <row r="605" customFormat="false" ht="13.8" hidden="false" customHeight="false" outlineLevel="0" collapsed="false">
      <c r="A605" s="0" t="s">
        <v>136</v>
      </c>
      <c r="B605" s="0" t="n">
        <v>10</v>
      </c>
      <c r="C605" s="0" t="s">
        <v>8909</v>
      </c>
      <c r="D605" s="0" t="s">
        <v>799</v>
      </c>
      <c r="E605" s="0" t="s">
        <v>258</v>
      </c>
      <c r="F605" s="4" t="n">
        <v>49</v>
      </c>
      <c r="G605" s="2" t="n">
        <v>1</v>
      </c>
      <c r="H605" s="2" t="s">
        <v>7</v>
      </c>
      <c r="I605" s="4" t="n">
        <v>2</v>
      </c>
      <c r="J605" s="2" t="n">
        <v>0</v>
      </c>
      <c r="K605" s="2" t="n">
        <v>0</v>
      </c>
      <c r="L605" s="4" t="n">
        <v>1</v>
      </c>
      <c r="M605" s="2" t="n">
        <v>0</v>
      </c>
      <c r="N605" s="2" t="n">
        <v>0</v>
      </c>
      <c r="O605" s="4" t="n">
        <v>3</v>
      </c>
      <c r="Q605" s="2" t="n">
        <v>761</v>
      </c>
      <c r="R605" s="0" t="s">
        <v>258</v>
      </c>
      <c r="S605" s="0" t="s">
        <v>8964</v>
      </c>
    </row>
    <row r="606" customFormat="false" ht="13.8" hidden="false" customHeight="false" outlineLevel="0" collapsed="false">
      <c r="A606" s="0" t="s">
        <v>136</v>
      </c>
      <c r="B606" s="0" t="n">
        <v>10</v>
      </c>
      <c r="C606" s="0" t="s">
        <v>8909</v>
      </c>
      <c r="D606" s="0" t="s">
        <v>797</v>
      </c>
      <c r="E606" s="0" t="s">
        <v>288</v>
      </c>
      <c r="F606" s="4" t="n">
        <v>59</v>
      </c>
      <c r="G606" s="2" t="n">
        <v>0.6</v>
      </c>
      <c r="H606" s="2" t="s">
        <v>7</v>
      </c>
      <c r="I606" s="4" t="n">
        <v>2</v>
      </c>
      <c r="J606" s="2" t="n">
        <v>0</v>
      </c>
      <c r="K606" s="2" t="n">
        <v>0</v>
      </c>
      <c r="L606" s="4" t="n">
        <v>1</v>
      </c>
      <c r="M606" s="2" t="n">
        <v>0</v>
      </c>
      <c r="N606" s="2" t="n">
        <v>0</v>
      </c>
      <c r="O606" s="4" t="n">
        <v>3</v>
      </c>
      <c r="Q606" s="2" t="n">
        <v>762</v>
      </c>
      <c r="R606" s="0" t="s">
        <v>288</v>
      </c>
      <c r="S606" s="0" t="s">
        <v>8965</v>
      </c>
    </row>
    <row r="607" customFormat="false" ht="13.8" hidden="false" customHeight="false" outlineLevel="0" collapsed="false">
      <c r="A607" s="0" t="s">
        <v>250</v>
      </c>
      <c r="B607" s="0" t="n">
        <v>47</v>
      </c>
      <c r="C607" s="0" t="s">
        <v>8966</v>
      </c>
      <c r="D607" s="0" t="s">
        <v>11</v>
      </c>
      <c r="E607" s="0" t="s">
        <v>348</v>
      </c>
      <c r="F607" s="4" t="n">
        <v>79</v>
      </c>
      <c r="G607" s="2" t="n">
        <v>6</v>
      </c>
      <c r="H607" s="2" t="s">
        <v>7</v>
      </c>
      <c r="I607" s="4" t="n">
        <v>2</v>
      </c>
      <c r="J607" s="2" t="n">
        <v>0</v>
      </c>
      <c r="K607" s="2" t="n">
        <v>0</v>
      </c>
      <c r="L607" s="4" t="n">
        <v>1</v>
      </c>
      <c r="M607" s="2" t="n">
        <v>0</v>
      </c>
      <c r="N607" s="2" t="n">
        <v>0</v>
      </c>
      <c r="O607" s="4" t="n">
        <v>3</v>
      </c>
      <c r="Q607" s="2" t="n">
        <v>765</v>
      </c>
      <c r="R607" s="0" t="s">
        <v>348</v>
      </c>
      <c r="S607" s="0" t="s">
        <v>8967</v>
      </c>
    </row>
    <row r="608" customFormat="false" ht="13.8" hidden="false" customHeight="false" outlineLevel="0" collapsed="false">
      <c r="A608" s="0" t="s">
        <v>250</v>
      </c>
      <c r="B608" s="0" t="n">
        <v>47</v>
      </c>
      <c r="C608" s="0" t="s">
        <v>8966</v>
      </c>
      <c r="D608" s="0" t="s">
        <v>800</v>
      </c>
      <c r="E608" s="0" t="s">
        <v>192</v>
      </c>
      <c r="F608" s="4" t="n">
        <v>27</v>
      </c>
      <c r="G608" s="2" t="n">
        <v>5</v>
      </c>
      <c r="H608" s="2" t="s">
        <v>7</v>
      </c>
      <c r="I608" s="4" t="n">
        <v>2</v>
      </c>
      <c r="J608" s="2" t="n">
        <v>0</v>
      </c>
      <c r="K608" s="2" t="n">
        <v>0</v>
      </c>
      <c r="L608" s="4" t="n">
        <v>1</v>
      </c>
      <c r="M608" s="2" t="n">
        <v>0</v>
      </c>
      <c r="N608" s="2" t="n">
        <v>0</v>
      </c>
      <c r="O608" s="4" t="n">
        <v>3</v>
      </c>
      <c r="Q608" s="2" t="n">
        <v>766</v>
      </c>
      <c r="R608" s="0" t="s">
        <v>192</v>
      </c>
      <c r="S608" s="0" t="s">
        <v>8968</v>
      </c>
    </row>
    <row r="609" customFormat="false" ht="13.8" hidden="false" customHeight="false" outlineLevel="0" collapsed="false">
      <c r="A609" s="0" t="s">
        <v>250</v>
      </c>
      <c r="B609" s="0" t="n">
        <v>47</v>
      </c>
      <c r="C609" s="0" t="s">
        <v>8966</v>
      </c>
      <c r="D609" s="0" t="s">
        <v>790</v>
      </c>
      <c r="E609" s="0" t="s">
        <v>374</v>
      </c>
      <c r="F609" s="4" t="n">
        <v>88</v>
      </c>
      <c r="G609" s="2" t="n">
        <v>6</v>
      </c>
      <c r="H609" s="2" t="s">
        <v>7</v>
      </c>
      <c r="I609" s="4" t="n">
        <v>2</v>
      </c>
      <c r="J609" s="2" t="n">
        <v>0</v>
      </c>
      <c r="K609" s="2" t="n">
        <v>0</v>
      </c>
      <c r="L609" s="4" t="n">
        <v>1</v>
      </c>
      <c r="M609" s="2" t="n">
        <v>0</v>
      </c>
      <c r="N609" s="2" t="n">
        <v>0</v>
      </c>
      <c r="O609" s="4" t="n">
        <v>3</v>
      </c>
      <c r="Q609" s="2" t="n">
        <v>767</v>
      </c>
      <c r="R609" s="0" t="s">
        <v>374</v>
      </c>
      <c r="S609" s="0" t="s">
        <v>8969</v>
      </c>
    </row>
    <row r="610" customFormat="false" ht="13.8" hidden="false" customHeight="false" outlineLevel="0" collapsed="false">
      <c r="A610" s="0" t="s">
        <v>250</v>
      </c>
      <c r="B610" s="0" t="n">
        <v>47</v>
      </c>
      <c r="C610" s="0" t="s">
        <v>8966</v>
      </c>
      <c r="D610" s="0" t="s">
        <v>10</v>
      </c>
      <c r="E610" s="0" t="s">
        <v>130</v>
      </c>
      <c r="F610" s="4" t="n">
        <v>8</v>
      </c>
      <c r="G610" s="2" t="n">
        <v>5</v>
      </c>
      <c r="H610" s="2" t="s">
        <v>7</v>
      </c>
      <c r="I610" s="4" t="n">
        <v>2</v>
      </c>
      <c r="J610" s="2" t="n">
        <v>0</v>
      </c>
      <c r="K610" s="2" t="n">
        <v>0</v>
      </c>
      <c r="L610" s="4" t="n">
        <v>1</v>
      </c>
      <c r="M610" s="2" t="n">
        <v>0</v>
      </c>
      <c r="N610" s="2" t="n">
        <v>0</v>
      </c>
      <c r="O610" s="4" t="n">
        <v>3</v>
      </c>
      <c r="Q610" s="2" t="n">
        <v>768</v>
      </c>
      <c r="R610" s="0" t="s">
        <v>130</v>
      </c>
      <c r="S610" s="0" t="s">
        <v>8970</v>
      </c>
    </row>
    <row r="611" customFormat="false" ht="13.8" hidden="false" customHeight="false" outlineLevel="0" collapsed="false">
      <c r="A611" s="0" t="s">
        <v>250</v>
      </c>
      <c r="B611" s="0" t="n">
        <v>47</v>
      </c>
      <c r="C611" s="0" t="s">
        <v>8966</v>
      </c>
      <c r="D611" s="0" t="s">
        <v>801</v>
      </c>
      <c r="E611" s="0" t="s">
        <v>386</v>
      </c>
      <c r="F611" s="4" t="n">
        <v>93</v>
      </c>
      <c r="G611" s="2" t="n">
        <v>0</v>
      </c>
      <c r="H611" s="2" t="n">
        <v>0</v>
      </c>
      <c r="I611" s="4" t="n">
        <v>2</v>
      </c>
      <c r="J611" s="2" t="n">
        <v>1</v>
      </c>
      <c r="K611" s="2" t="s">
        <v>13</v>
      </c>
      <c r="L611" s="4" t="n">
        <v>1</v>
      </c>
      <c r="M611" s="2" t="n">
        <v>0</v>
      </c>
      <c r="N611" s="2" t="n">
        <v>0</v>
      </c>
      <c r="O611" s="4" t="n">
        <v>3</v>
      </c>
      <c r="Q611" s="2" t="n">
        <v>769</v>
      </c>
      <c r="R611" s="0" t="s">
        <v>386</v>
      </c>
      <c r="S611" s="0" t="s">
        <v>8971</v>
      </c>
    </row>
    <row r="612" customFormat="false" ht="13.8" hidden="false" customHeight="false" outlineLevel="0" collapsed="false">
      <c r="A612" s="0" t="s">
        <v>250</v>
      </c>
      <c r="B612" s="0" t="n">
        <v>47</v>
      </c>
      <c r="C612" s="0" t="s">
        <v>8966</v>
      </c>
      <c r="D612" s="0" t="s">
        <v>23</v>
      </c>
      <c r="E612" s="0" t="s">
        <v>309</v>
      </c>
      <c r="F612" s="4" t="n">
        <v>66</v>
      </c>
      <c r="G612" s="2" t="n">
        <v>0</v>
      </c>
      <c r="H612" s="2" t="n">
        <v>0</v>
      </c>
      <c r="I612" s="4" t="n">
        <v>2</v>
      </c>
      <c r="J612" s="2" t="n">
        <v>3</v>
      </c>
      <c r="K612" s="2" t="s">
        <v>13</v>
      </c>
      <c r="L612" s="4" t="n">
        <v>1</v>
      </c>
      <c r="M612" s="2" t="n">
        <v>0</v>
      </c>
      <c r="N612" s="2" t="n">
        <v>0</v>
      </c>
      <c r="O612" s="4" t="n">
        <v>3</v>
      </c>
      <c r="Q612" s="2" t="n">
        <v>770</v>
      </c>
      <c r="R612" s="0" t="s">
        <v>309</v>
      </c>
      <c r="S612" s="0" t="s">
        <v>8972</v>
      </c>
    </row>
    <row r="613" customFormat="false" ht="13.8" hidden="false" customHeight="false" outlineLevel="0" collapsed="false">
      <c r="A613" s="0" t="s">
        <v>250</v>
      </c>
      <c r="B613" s="0" t="n">
        <v>47</v>
      </c>
      <c r="C613" s="0" t="s">
        <v>8966</v>
      </c>
      <c r="D613" s="0" t="s">
        <v>802</v>
      </c>
      <c r="E613" s="0" t="s">
        <v>102</v>
      </c>
      <c r="F613" s="4" t="n">
        <v>1</v>
      </c>
      <c r="G613" s="2" t="n">
        <v>0</v>
      </c>
      <c r="H613" s="2" t="n">
        <v>0</v>
      </c>
      <c r="I613" s="4" t="n">
        <v>2</v>
      </c>
      <c r="J613" s="2" t="n">
        <v>1</v>
      </c>
      <c r="K613" s="2" t="s">
        <v>13</v>
      </c>
      <c r="L613" s="4" t="n">
        <v>1</v>
      </c>
      <c r="M613" s="2" t="n">
        <v>0</v>
      </c>
      <c r="N613" s="2" t="n">
        <v>0</v>
      </c>
      <c r="O613" s="4" t="n">
        <v>3</v>
      </c>
      <c r="Q613" s="2" t="n">
        <v>771</v>
      </c>
      <c r="R613" s="0" t="s">
        <v>102</v>
      </c>
      <c r="S613" s="0" t="s">
        <v>8973</v>
      </c>
    </row>
    <row r="614" customFormat="false" ht="13.8" hidden="false" customHeight="false" outlineLevel="0" collapsed="false">
      <c r="A614" s="0" t="s">
        <v>250</v>
      </c>
      <c r="B614" s="0" t="n">
        <v>47</v>
      </c>
      <c r="C614" s="0" t="s">
        <v>8966</v>
      </c>
      <c r="D614" s="0" t="s">
        <v>803</v>
      </c>
      <c r="E614" s="0" t="s">
        <v>38</v>
      </c>
      <c r="F614" s="4" t="n">
        <v>105</v>
      </c>
      <c r="G614" s="2" t="n">
        <v>0</v>
      </c>
      <c r="H614" s="2" t="n">
        <v>0</v>
      </c>
      <c r="I614" s="4" t="n">
        <v>2</v>
      </c>
      <c r="J614" s="2" t="n">
        <v>2</v>
      </c>
      <c r="K614" s="2" t="s">
        <v>13</v>
      </c>
      <c r="L614" s="4" t="n">
        <v>1</v>
      </c>
      <c r="M614" s="2" t="n">
        <v>0</v>
      </c>
      <c r="N614" s="2" t="n">
        <v>0</v>
      </c>
      <c r="O614" s="4" t="n">
        <v>3</v>
      </c>
      <c r="Q614" s="2" t="n">
        <v>772</v>
      </c>
      <c r="R614" s="0" t="s">
        <v>38</v>
      </c>
      <c r="S614" s="0" t="s">
        <v>8974</v>
      </c>
    </row>
    <row r="615" customFormat="false" ht="13.8" hidden="false" customHeight="false" outlineLevel="0" collapsed="false">
      <c r="A615" s="0" t="s">
        <v>250</v>
      </c>
      <c r="B615" s="0" t="n">
        <v>47</v>
      </c>
      <c r="C615" s="0" t="s">
        <v>8966</v>
      </c>
      <c r="D615" s="0" t="s">
        <v>804</v>
      </c>
      <c r="E615" s="0" t="s">
        <v>396</v>
      </c>
      <c r="F615" s="4" t="n">
        <v>100</v>
      </c>
      <c r="G615" s="2" t="n">
        <v>25</v>
      </c>
      <c r="H615" s="2" t="s">
        <v>7</v>
      </c>
      <c r="I615" s="4" t="n">
        <v>2</v>
      </c>
      <c r="J615" s="2" t="n">
        <v>0</v>
      </c>
      <c r="K615" s="2" t="n">
        <v>0</v>
      </c>
      <c r="L615" s="4" t="n">
        <v>1</v>
      </c>
      <c r="M615" s="2" t="n">
        <v>0</v>
      </c>
      <c r="N615" s="2" t="n">
        <v>0</v>
      </c>
      <c r="O615" s="4" t="n">
        <v>3</v>
      </c>
      <c r="Q615" s="2" t="n">
        <v>773</v>
      </c>
      <c r="R615" s="0" t="s">
        <v>396</v>
      </c>
      <c r="S615" s="0" t="s">
        <v>8975</v>
      </c>
    </row>
    <row r="616" customFormat="false" ht="13.8" hidden="false" customHeight="false" outlineLevel="0" collapsed="false">
      <c r="A616" s="0" t="s">
        <v>250</v>
      </c>
      <c r="B616" s="0" t="n">
        <v>47</v>
      </c>
      <c r="C616" s="0" t="s">
        <v>8966</v>
      </c>
      <c r="D616" s="0" t="s">
        <v>805</v>
      </c>
      <c r="E616" s="0" t="s">
        <v>360</v>
      </c>
      <c r="F616" s="4" t="n">
        <v>83</v>
      </c>
      <c r="G616" s="2" t="n">
        <v>0</v>
      </c>
      <c r="H616" s="2" t="n">
        <v>0</v>
      </c>
      <c r="I616" s="4" t="n">
        <v>2</v>
      </c>
      <c r="J616" s="2" t="n">
        <v>7.5</v>
      </c>
      <c r="K616" s="2" t="s">
        <v>13</v>
      </c>
      <c r="L616" s="4" t="n">
        <v>1</v>
      </c>
      <c r="M616" s="2" t="n">
        <v>0</v>
      </c>
      <c r="N616" s="2" t="n">
        <v>0</v>
      </c>
      <c r="O616" s="4" t="n">
        <v>3</v>
      </c>
      <c r="Q616" s="2" t="n">
        <v>774</v>
      </c>
      <c r="R616" s="0" t="s">
        <v>360</v>
      </c>
      <c r="S616" s="0" t="s">
        <v>8976</v>
      </c>
    </row>
    <row r="617" customFormat="false" ht="13.8" hidden="false" customHeight="false" outlineLevel="0" collapsed="false">
      <c r="A617" s="0" t="s">
        <v>250</v>
      </c>
      <c r="B617" s="0" t="n">
        <v>47</v>
      </c>
      <c r="C617" s="0" t="s">
        <v>8966</v>
      </c>
      <c r="D617" s="0" t="s">
        <v>570</v>
      </c>
      <c r="E617" s="0" t="s">
        <v>456</v>
      </c>
      <c r="F617" s="4" t="n">
        <v>164</v>
      </c>
      <c r="G617" s="2" t="n">
        <v>0</v>
      </c>
      <c r="H617" s="2" t="n">
        <v>0</v>
      </c>
      <c r="I617" s="4" t="n">
        <v>2</v>
      </c>
      <c r="J617" s="2" t="n">
        <v>2</v>
      </c>
      <c r="K617" s="2" t="s">
        <v>20</v>
      </c>
      <c r="L617" s="4" t="n">
        <v>5</v>
      </c>
      <c r="M617" s="2" t="n">
        <v>0</v>
      </c>
      <c r="N617" s="2" t="n">
        <v>0</v>
      </c>
      <c r="O617" s="4" t="n">
        <v>3</v>
      </c>
      <c r="Q617" s="2" t="n">
        <v>775</v>
      </c>
      <c r="R617" s="0" t="s">
        <v>456</v>
      </c>
      <c r="S617" s="0" t="s">
        <v>8977</v>
      </c>
    </row>
    <row r="618" customFormat="false" ht="13.8" hidden="false" customHeight="false" outlineLevel="0" collapsed="false">
      <c r="A618" s="0" t="s">
        <v>250</v>
      </c>
      <c r="B618" s="0" t="n">
        <v>47</v>
      </c>
      <c r="C618" s="0" t="s">
        <v>8966</v>
      </c>
      <c r="D618" s="0" t="s">
        <v>14</v>
      </c>
      <c r="E618" s="0" t="s">
        <v>398</v>
      </c>
      <c r="F618" s="4" t="n">
        <v>102</v>
      </c>
      <c r="G618" s="2" t="n">
        <v>0</v>
      </c>
      <c r="H618" s="2" t="n">
        <v>0</v>
      </c>
      <c r="I618" s="4" t="n">
        <v>2</v>
      </c>
      <c r="J618" s="2" t="n">
        <v>2</v>
      </c>
      <c r="K618" s="2" t="s">
        <v>20</v>
      </c>
      <c r="L618" s="4" t="n">
        <v>5</v>
      </c>
      <c r="M618" s="2" t="n">
        <v>0</v>
      </c>
      <c r="N618" s="2" t="n">
        <v>0</v>
      </c>
      <c r="O618" s="4" t="n">
        <v>3</v>
      </c>
      <c r="Q618" s="2" t="n">
        <v>776</v>
      </c>
      <c r="R618" s="0" t="s">
        <v>398</v>
      </c>
      <c r="S618" s="0" t="s">
        <v>8978</v>
      </c>
    </row>
    <row r="619" customFormat="false" ht="13.8" hidden="false" customHeight="false" outlineLevel="0" collapsed="false">
      <c r="A619" s="0" t="s">
        <v>250</v>
      </c>
      <c r="B619" s="0" t="n">
        <v>47</v>
      </c>
      <c r="C619" s="0" t="s">
        <v>8966</v>
      </c>
      <c r="D619" s="0" t="s">
        <v>806</v>
      </c>
      <c r="E619" s="0" t="s">
        <v>474</v>
      </c>
      <c r="F619" s="4" t="n">
        <v>183</v>
      </c>
      <c r="G619" s="2" t="n">
        <v>3</v>
      </c>
      <c r="H619" s="2" t="s">
        <v>7</v>
      </c>
      <c r="I619" s="4" t="n">
        <v>2</v>
      </c>
      <c r="J619" s="2" t="n">
        <v>0</v>
      </c>
      <c r="K619" s="2" t="n">
        <v>0</v>
      </c>
      <c r="L619" s="4" t="n">
        <v>1</v>
      </c>
      <c r="M619" s="2" t="n">
        <v>0</v>
      </c>
      <c r="N619" s="2" t="n">
        <v>0</v>
      </c>
      <c r="O619" s="4" t="n">
        <v>3</v>
      </c>
      <c r="Q619" s="2" t="n">
        <v>777</v>
      </c>
      <c r="R619" s="0" t="s">
        <v>474</v>
      </c>
      <c r="S619" s="0" t="s">
        <v>8979</v>
      </c>
    </row>
    <row r="620" customFormat="false" ht="13.8" hidden="false" customHeight="false" outlineLevel="0" collapsed="false">
      <c r="A620" s="0" t="s">
        <v>250</v>
      </c>
      <c r="B620" s="0" t="n">
        <v>47</v>
      </c>
      <c r="C620" s="0" t="s">
        <v>8966</v>
      </c>
      <c r="D620" s="0" t="s">
        <v>382</v>
      </c>
      <c r="E620" s="0" t="s">
        <v>382</v>
      </c>
      <c r="F620" s="4" t="n">
        <v>91</v>
      </c>
      <c r="G620" s="2" t="n">
        <v>0</v>
      </c>
      <c r="H620" s="2" t="n">
        <v>0</v>
      </c>
      <c r="I620" s="4" t="n">
        <v>2</v>
      </c>
      <c r="J620" s="2" t="n">
        <v>1.5</v>
      </c>
      <c r="K620" s="2" t="s">
        <v>20</v>
      </c>
      <c r="L620" s="4" t="n">
        <v>5</v>
      </c>
      <c r="M620" s="2" t="n">
        <v>0</v>
      </c>
      <c r="N620" s="2" t="n">
        <v>0</v>
      </c>
      <c r="O620" s="4" t="n">
        <v>3</v>
      </c>
      <c r="Q620" s="2" t="n">
        <v>778</v>
      </c>
      <c r="R620" s="0" t="s">
        <v>382</v>
      </c>
      <c r="S620" s="0" t="s">
        <v>8980</v>
      </c>
    </row>
    <row r="621" customFormat="false" ht="13.8" hidden="false" customHeight="false" outlineLevel="0" collapsed="false">
      <c r="A621" s="0" t="s">
        <v>250</v>
      </c>
      <c r="B621" s="0" t="n">
        <v>47</v>
      </c>
      <c r="C621" s="0" t="s">
        <v>8966</v>
      </c>
      <c r="D621" s="0" t="s">
        <v>807</v>
      </c>
      <c r="E621" s="0" t="s">
        <v>429</v>
      </c>
      <c r="F621" s="4" t="n">
        <v>135</v>
      </c>
      <c r="G621" s="2" t="n">
        <v>0</v>
      </c>
      <c r="H621" s="2" t="n">
        <v>0</v>
      </c>
      <c r="I621" s="4" t="n">
        <v>2</v>
      </c>
      <c r="J621" s="2" t="n">
        <v>1</v>
      </c>
      <c r="K621" s="2" t="s">
        <v>20</v>
      </c>
      <c r="L621" s="4" t="n">
        <v>5</v>
      </c>
      <c r="M621" s="2" t="n">
        <v>0</v>
      </c>
      <c r="N621" s="2" t="n">
        <v>0</v>
      </c>
      <c r="O621" s="4" t="n">
        <v>3</v>
      </c>
      <c r="Q621" s="2" t="n">
        <v>779</v>
      </c>
      <c r="R621" s="0" t="s">
        <v>429</v>
      </c>
      <c r="S621" s="0" t="s">
        <v>8981</v>
      </c>
    </row>
    <row r="622" customFormat="false" ht="13.8" hidden="false" customHeight="false" outlineLevel="0" collapsed="false">
      <c r="A622" s="0" t="s">
        <v>250</v>
      </c>
      <c r="B622" s="0" t="n">
        <v>47</v>
      </c>
      <c r="C622" s="0" t="s">
        <v>8966</v>
      </c>
      <c r="D622" s="0" t="s">
        <v>391</v>
      </c>
      <c r="E622" s="0" t="s">
        <v>391</v>
      </c>
      <c r="F622" s="4" t="n">
        <v>95</v>
      </c>
      <c r="G622" s="2" t="n">
        <v>0</v>
      </c>
      <c r="H622" s="2" t="n">
        <v>0</v>
      </c>
      <c r="I622" s="4" t="n">
        <v>2</v>
      </c>
      <c r="J622" s="2" t="n">
        <v>0.75</v>
      </c>
      <c r="K622" s="2" t="s">
        <v>20</v>
      </c>
      <c r="L622" s="4" t="n">
        <v>5</v>
      </c>
      <c r="M622" s="2" t="n">
        <v>0</v>
      </c>
      <c r="N622" s="2" t="n">
        <v>0</v>
      </c>
      <c r="O622" s="4" t="n">
        <v>3</v>
      </c>
      <c r="Q622" s="2" t="n">
        <v>780</v>
      </c>
      <c r="R622" s="0" t="s">
        <v>391</v>
      </c>
      <c r="S622" s="0" t="s">
        <v>8982</v>
      </c>
    </row>
    <row r="623" customFormat="false" ht="13.8" hidden="false" customHeight="false" outlineLevel="0" collapsed="false">
      <c r="A623" s="0" t="s">
        <v>250</v>
      </c>
      <c r="B623" s="0" t="n">
        <v>47</v>
      </c>
      <c r="C623" s="0" t="s">
        <v>8966</v>
      </c>
      <c r="D623" s="0" t="s">
        <v>96</v>
      </c>
      <c r="E623" s="0" t="s">
        <v>96</v>
      </c>
      <c r="F623" s="4" t="n">
        <v>177</v>
      </c>
      <c r="G623" s="2" t="n">
        <v>0</v>
      </c>
      <c r="H623" s="2" t="n">
        <v>0</v>
      </c>
      <c r="I623" s="4" t="n">
        <v>2</v>
      </c>
      <c r="J623" s="2" t="n">
        <v>0.5</v>
      </c>
      <c r="K623" s="2" t="s">
        <v>20</v>
      </c>
      <c r="L623" s="4" t="n">
        <v>5</v>
      </c>
      <c r="M623" s="2" t="n">
        <v>0</v>
      </c>
      <c r="N623" s="2" t="n">
        <v>0</v>
      </c>
      <c r="O623" s="4" t="n">
        <v>3</v>
      </c>
      <c r="Q623" s="2" t="n">
        <v>781</v>
      </c>
      <c r="R623" s="0" t="s">
        <v>96</v>
      </c>
      <c r="S623" s="0" t="s">
        <v>8983</v>
      </c>
    </row>
    <row r="624" customFormat="false" ht="13.8" hidden="false" customHeight="false" outlineLevel="0" collapsed="false">
      <c r="A624" s="0" t="s">
        <v>358</v>
      </c>
      <c r="B624" s="0" t="n">
        <v>83</v>
      </c>
      <c r="C624" s="0" t="s">
        <v>8984</v>
      </c>
      <c r="D624" s="0" t="s">
        <v>11</v>
      </c>
      <c r="E624" s="0" t="s">
        <v>348</v>
      </c>
      <c r="F624" s="4" t="n">
        <v>79</v>
      </c>
      <c r="G624" s="2" t="n">
        <v>6</v>
      </c>
      <c r="H624" s="2" t="s">
        <v>7</v>
      </c>
      <c r="I624" s="4" t="n">
        <v>2</v>
      </c>
      <c r="J624" s="2" t="n">
        <v>0</v>
      </c>
      <c r="K624" s="2" t="n">
        <v>0</v>
      </c>
      <c r="L624" s="4" t="n">
        <v>1</v>
      </c>
      <c r="M624" s="2" t="n">
        <v>0</v>
      </c>
      <c r="N624" s="2" t="n">
        <v>0</v>
      </c>
      <c r="O624" s="4" t="n">
        <v>3</v>
      </c>
      <c r="Q624" s="2" t="n">
        <v>783</v>
      </c>
      <c r="R624" s="0" t="s">
        <v>348</v>
      </c>
      <c r="S624" s="0" t="s">
        <v>8985</v>
      </c>
    </row>
    <row r="625" customFormat="false" ht="13.8" hidden="false" customHeight="false" outlineLevel="0" collapsed="false">
      <c r="A625" s="0" t="s">
        <v>358</v>
      </c>
      <c r="B625" s="0" t="n">
        <v>83</v>
      </c>
      <c r="C625" s="0" t="s">
        <v>8984</v>
      </c>
      <c r="D625" s="0" t="s">
        <v>800</v>
      </c>
      <c r="E625" s="0" t="s">
        <v>192</v>
      </c>
      <c r="F625" s="4" t="n">
        <v>27</v>
      </c>
      <c r="G625" s="2" t="n">
        <v>5</v>
      </c>
      <c r="H625" s="2" t="s">
        <v>7</v>
      </c>
      <c r="I625" s="4" t="n">
        <v>2</v>
      </c>
      <c r="J625" s="2" t="n">
        <v>0</v>
      </c>
      <c r="K625" s="2" t="n">
        <v>0</v>
      </c>
      <c r="L625" s="4" t="n">
        <v>1</v>
      </c>
      <c r="M625" s="2" t="n">
        <v>0</v>
      </c>
      <c r="N625" s="2" t="n">
        <v>0</v>
      </c>
      <c r="O625" s="4" t="n">
        <v>3</v>
      </c>
      <c r="Q625" s="2" t="n">
        <v>784</v>
      </c>
      <c r="R625" s="0" t="s">
        <v>192</v>
      </c>
      <c r="S625" s="0" t="s">
        <v>8986</v>
      </c>
    </row>
    <row r="626" customFormat="false" ht="13.8" hidden="false" customHeight="false" outlineLevel="0" collapsed="false">
      <c r="A626" s="0" t="s">
        <v>358</v>
      </c>
      <c r="B626" s="0" t="n">
        <v>83</v>
      </c>
      <c r="C626" s="0" t="s">
        <v>8984</v>
      </c>
      <c r="D626" s="0" t="s">
        <v>790</v>
      </c>
      <c r="E626" s="0" t="s">
        <v>374</v>
      </c>
      <c r="F626" s="4" t="n">
        <v>88</v>
      </c>
      <c r="G626" s="2" t="n">
        <v>6</v>
      </c>
      <c r="H626" s="2" t="s">
        <v>7</v>
      </c>
      <c r="I626" s="4" t="n">
        <v>2</v>
      </c>
      <c r="J626" s="2" t="n">
        <v>0</v>
      </c>
      <c r="K626" s="2" t="n">
        <v>0</v>
      </c>
      <c r="L626" s="4" t="n">
        <v>1</v>
      </c>
      <c r="M626" s="2" t="n">
        <v>0</v>
      </c>
      <c r="N626" s="2" t="n">
        <v>0</v>
      </c>
      <c r="O626" s="4" t="n">
        <v>3</v>
      </c>
      <c r="Q626" s="2" t="n">
        <v>785</v>
      </c>
      <c r="R626" s="0" t="s">
        <v>374</v>
      </c>
      <c r="S626" s="0" t="s">
        <v>8987</v>
      </c>
    </row>
    <row r="627" customFormat="false" ht="13.8" hidden="false" customHeight="false" outlineLevel="0" collapsed="false">
      <c r="A627" s="0" t="s">
        <v>358</v>
      </c>
      <c r="B627" s="0" t="n">
        <v>83</v>
      </c>
      <c r="C627" s="0" t="s">
        <v>8984</v>
      </c>
      <c r="D627" s="0" t="s">
        <v>801</v>
      </c>
      <c r="E627" s="0" t="s">
        <v>386</v>
      </c>
      <c r="F627" s="4" t="n">
        <v>93</v>
      </c>
      <c r="G627" s="2" t="n">
        <v>0</v>
      </c>
      <c r="H627" s="2" t="n">
        <v>0</v>
      </c>
      <c r="I627" s="4" t="n">
        <v>2</v>
      </c>
      <c r="J627" s="2" t="n">
        <v>1</v>
      </c>
      <c r="K627" s="2" t="s">
        <v>13</v>
      </c>
      <c r="L627" s="4" t="n">
        <v>1</v>
      </c>
      <c r="M627" s="2" t="n">
        <v>0</v>
      </c>
      <c r="N627" s="2" t="n">
        <v>0</v>
      </c>
      <c r="O627" s="4" t="n">
        <v>3</v>
      </c>
      <c r="Q627" s="2" t="n">
        <v>786</v>
      </c>
      <c r="R627" s="0" t="s">
        <v>386</v>
      </c>
      <c r="S627" s="0" t="s">
        <v>8988</v>
      </c>
    </row>
    <row r="628" customFormat="false" ht="13.8" hidden="false" customHeight="false" outlineLevel="0" collapsed="false">
      <c r="A628" s="0" t="s">
        <v>358</v>
      </c>
      <c r="B628" s="0" t="n">
        <v>83</v>
      </c>
      <c r="C628" s="0" t="s">
        <v>8984</v>
      </c>
      <c r="D628" s="0" t="s">
        <v>23</v>
      </c>
      <c r="E628" s="0" t="s">
        <v>309</v>
      </c>
      <c r="F628" s="4" t="n">
        <v>66</v>
      </c>
      <c r="G628" s="2" t="n">
        <v>0</v>
      </c>
      <c r="H628" s="2" t="n">
        <v>0</v>
      </c>
      <c r="I628" s="4" t="n">
        <v>2</v>
      </c>
      <c r="J628" s="2" t="n">
        <v>3</v>
      </c>
      <c r="K628" s="2" t="s">
        <v>13</v>
      </c>
      <c r="L628" s="4" t="n">
        <v>1</v>
      </c>
      <c r="M628" s="2" t="n">
        <v>0</v>
      </c>
      <c r="N628" s="2" t="n">
        <v>0</v>
      </c>
      <c r="O628" s="4" t="n">
        <v>3</v>
      </c>
      <c r="Q628" s="2" t="n">
        <v>787</v>
      </c>
      <c r="R628" s="0" t="s">
        <v>309</v>
      </c>
      <c r="S628" s="0" t="s">
        <v>8989</v>
      </c>
    </row>
    <row r="629" customFormat="false" ht="13.8" hidden="false" customHeight="false" outlineLevel="0" collapsed="false">
      <c r="A629" s="0" t="s">
        <v>358</v>
      </c>
      <c r="B629" s="0" t="n">
        <v>83</v>
      </c>
      <c r="C629" s="0" t="s">
        <v>8984</v>
      </c>
      <c r="D629" s="0" t="s">
        <v>802</v>
      </c>
      <c r="E629" s="0" t="s">
        <v>102</v>
      </c>
      <c r="F629" s="4" t="n">
        <v>1</v>
      </c>
      <c r="G629" s="2" t="n">
        <v>0</v>
      </c>
      <c r="H629" s="2" t="n">
        <v>0</v>
      </c>
      <c r="I629" s="4" t="n">
        <v>2</v>
      </c>
      <c r="J629" s="2" t="n">
        <v>0.5</v>
      </c>
      <c r="K629" s="2" t="s">
        <v>13</v>
      </c>
      <c r="L629" s="4" t="n">
        <v>1</v>
      </c>
      <c r="M629" s="2" t="n">
        <v>0</v>
      </c>
      <c r="N629" s="2" t="n">
        <v>0</v>
      </c>
      <c r="O629" s="4" t="n">
        <v>3</v>
      </c>
      <c r="Q629" s="2" t="n">
        <v>788</v>
      </c>
      <c r="R629" s="0" t="s">
        <v>102</v>
      </c>
      <c r="S629" s="0" t="s">
        <v>8990</v>
      </c>
    </row>
    <row r="630" customFormat="false" ht="13.8" hidden="false" customHeight="false" outlineLevel="0" collapsed="false">
      <c r="A630" s="0" t="s">
        <v>358</v>
      </c>
      <c r="B630" s="0" t="n">
        <v>83</v>
      </c>
      <c r="C630" s="0" t="s">
        <v>8984</v>
      </c>
      <c r="D630" s="0" t="s">
        <v>803</v>
      </c>
      <c r="E630" s="0" t="s">
        <v>38</v>
      </c>
      <c r="F630" s="4" t="n">
        <v>105</v>
      </c>
      <c r="G630" s="2" t="n">
        <v>0</v>
      </c>
      <c r="H630" s="2" t="n">
        <v>0</v>
      </c>
      <c r="I630" s="4" t="n">
        <v>2</v>
      </c>
      <c r="J630" s="2" t="n">
        <v>2</v>
      </c>
      <c r="K630" s="2" t="s">
        <v>13</v>
      </c>
      <c r="L630" s="4" t="n">
        <v>1</v>
      </c>
      <c r="M630" s="2" t="n">
        <v>0</v>
      </c>
      <c r="N630" s="2" t="n">
        <v>0</v>
      </c>
      <c r="O630" s="4" t="n">
        <v>3</v>
      </c>
      <c r="Q630" s="2" t="n">
        <v>789</v>
      </c>
      <c r="R630" s="0" t="s">
        <v>38</v>
      </c>
      <c r="S630" s="0" t="s">
        <v>8991</v>
      </c>
    </row>
    <row r="631" customFormat="false" ht="13.8" hidden="false" customHeight="false" outlineLevel="0" collapsed="false">
      <c r="A631" s="0" t="s">
        <v>358</v>
      </c>
      <c r="B631" s="0" t="n">
        <v>83</v>
      </c>
      <c r="C631" s="0" t="s">
        <v>8984</v>
      </c>
      <c r="D631" s="0" t="s">
        <v>393</v>
      </c>
      <c r="E631" s="0" t="s">
        <v>393</v>
      </c>
      <c r="F631" s="4" t="n">
        <v>97</v>
      </c>
      <c r="G631" s="2" t="n">
        <v>0</v>
      </c>
      <c r="H631" s="2" t="n">
        <v>0</v>
      </c>
      <c r="I631" s="4" t="n">
        <v>2</v>
      </c>
      <c r="J631" s="2" t="n">
        <v>75</v>
      </c>
      <c r="K631" s="2" t="s">
        <v>13</v>
      </c>
      <c r="L631" s="4" t="n">
        <v>1</v>
      </c>
      <c r="M631" s="2" t="n">
        <v>0</v>
      </c>
      <c r="N631" s="2" t="n">
        <v>0</v>
      </c>
      <c r="O631" s="4" t="n">
        <v>3</v>
      </c>
      <c r="Q631" s="2" t="n">
        <v>790</v>
      </c>
      <c r="R631" s="0" t="s">
        <v>393</v>
      </c>
      <c r="S631" s="0" t="s">
        <v>8992</v>
      </c>
    </row>
    <row r="632" customFormat="false" ht="13.8" hidden="false" customHeight="false" outlineLevel="0" collapsed="false">
      <c r="A632" s="0" t="s">
        <v>358</v>
      </c>
      <c r="B632" s="0" t="n">
        <v>83</v>
      </c>
      <c r="C632" s="0" t="s">
        <v>8984</v>
      </c>
      <c r="D632" s="0" t="s">
        <v>808</v>
      </c>
      <c r="E632" s="0" t="s">
        <v>359</v>
      </c>
      <c r="F632" s="4" t="n">
        <v>199</v>
      </c>
      <c r="G632" s="2" t="n">
        <v>25</v>
      </c>
      <c r="H632" s="2" t="s">
        <v>7</v>
      </c>
      <c r="I632" s="4" t="n">
        <v>2</v>
      </c>
      <c r="J632" s="2" t="n">
        <v>0</v>
      </c>
      <c r="K632" s="2" t="n">
        <v>0</v>
      </c>
      <c r="L632" s="4" t="n">
        <v>1</v>
      </c>
      <c r="M632" s="2" t="n">
        <v>0</v>
      </c>
      <c r="N632" s="2" t="n">
        <v>0</v>
      </c>
      <c r="O632" s="4" t="n">
        <v>3</v>
      </c>
      <c r="Q632" s="2" t="n">
        <v>791</v>
      </c>
      <c r="R632" s="0" t="s">
        <v>359</v>
      </c>
      <c r="S632" s="0" t="s">
        <v>8993</v>
      </c>
    </row>
    <row r="633" customFormat="false" ht="13.8" hidden="false" customHeight="false" outlineLevel="0" collapsed="false">
      <c r="A633" s="0" t="s">
        <v>358</v>
      </c>
      <c r="B633" s="0" t="n">
        <v>83</v>
      </c>
      <c r="C633" s="0" t="s">
        <v>8984</v>
      </c>
      <c r="D633" s="0" t="s">
        <v>805</v>
      </c>
      <c r="E633" s="0" t="s">
        <v>360</v>
      </c>
      <c r="F633" s="4" t="n">
        <v>83</v>
      </c>
      <c r="G633" s="2" t="n">
        <v>0</v>
      </c>
      <c r="H633" s="2" t="n">
        <v>0</v>
      </c>
      <c r="I633" s="4" t="n">
        <v>2</v>
      </c>
      <c r="J633" s="2" t="n">
        <v>7</v>
      </c>
      <c r="K633" s="2" t="s">
        <v>13</v>
      </c>
      <c r="L633" s="4" t="n">
        <v>1</v>
      </c>
      <c r="M633" s="2" t="n">
        <v>0</v>
      </c>
      <c r="N633" s="2" t="n">
        <v>0</v>
      </c>
      <c r="O633" s="4" t="n">
        <v>3</v>
      </c>
      <c r="Q633" s="2" t="n">
        <v>792</v>
      </c>
      <c r="R633" s="0" t="s">
        <v>360</v>
      </c>
      <c r="S633" s="0" t="s">
        <v>8994</v>
      </c>
    </row>
    <row r="634" customFormat="false" ht="13.8" hidden="false" customHeight="false" outlineLevel="0" collapsed="false">
      <c r="A634" s="0" t="s">
        <v>358</v>
      </c>
      <c r="B634" s="0" t="n">
        <v>83</v>
      </c>
      <c r="C634" s="0" t="s">
        <v>8984</v>
      </c>
      <c r="D634" s="0" t="s">
        <v>570</v>
      </c>
      <c r="E634" s="0" t="s">
        <v>456</v>
      </c>
      <c r="F634" s="4" t="n">
        <v>164</v>
      </c>
      <c r="G634" s="2" t="n">
        <v>0</v>
      </c>
      <c r="H634" s="2" t="n">
        <v>0</v>
      </c>
      <c r="I634" s="4" t="n">
        <v>2</v>
      </c>
      <c r="J634" s="2" t="n">
        <v>2</v>
      </c>
      <c r="K634" s="2" t="s">
        <v>20</v>
      </c>
      <c r="L634" s="4" t="n">
        <v>5</v>
      </c>
      <c r="M634" s="2" t="n">
        <v>0</v>
      </c>
      <c r="N634" s="2" t="n">
        <v>0</v>
      </c>
      <c r="O634" s="4" t="n">
        <v>3</v>
      </c>
      <c r="Q634" s="2" t="n">
        <v>793</v>
      </c>
      <c r="R634" s="0" t="s">
        <v>456</v>
      </c>
      <c r="S634" s="0" t="s">
        <v>8995</v>
      </c>
    </row>
    <row r="635" customFormat="false" ht="13.8" hidden="false" customHeight="false" outlineLevel="0" collapsed="false">
      <c r="A635" s="0" t="s">
        <v>358</v>
      </c>
      <c r="B635" s="0" t="n">
        <v>83</v>
      </c>
      <c r="C635" s="0" t="s">
        <v>8984</v>
      </c>
      <c r="D635" s="0" t="s">
        <v>249</v>
      </c>
      <c r="E635" s="0" t="s">
        <v>249</v>
      </c>
      <c r="F635" s="4" t="n">
        <v>46</v>
      </c>
      <c r="G635" s="2" t="n">
        <v>0</v>
      </c>
      <c r="H635" s="2" t="n">
        <v>0</v>
      </c>
      <c r="I635" s="4" t="n">
        <v>2</v>
      </c>
      <c r="J635" s="2" t="n">
        <v>1</v>
      </c>
      <c r="K635" s="2" t="s">
        <v>13</v>
      </c>
      <c r="L635" s="4" t="n">
        <v>1</v>
      </c>
      <c r="M635" s="2" t="n">
        <v>0</v>
      </c>
      <c r="N635" s="2" t="n">
        <v>0</v>
      </c>
      <c r="O635" s="4" t="n">
        <v>3</v>
      </c>
      <c r="Q635" s="2" t="n">
        <v>794</v>
      </c>
      <c r="R635" s="0" t="s">
        <v>249</v>
      </c>
      <c r="S635" s="0" t="s">
        <v>8996</v>
      </c>
    </row>
    <row r="636" customFormat="false" ht="13.8" hidden="false" customHeight="false" outlineLevel="0" collapsed="false">
      <c r="A636" s="0" t="s">
        <v>358</v>
      </c>
      <c r="B636" s="0" t="n">
        <v>83</v>
      </c>
      <c r="C636" s="0" t="s">
        <v>8984</v>
      </c>
      <c r="D636" s="0" t="s">
        <v>489</v>
      </c>
      <c r="E636" s="0" t="s">
        <v>489</v>
      </c>
      <c r="F636" s="4" t="n">
        <v>200</v>
      </c>
      <c r="G636" s="2" t="n">
        <v>0</v>
      </c>
      <c r="H636" s="2" t="n">
        <v>0</v>
      </c>
      <c r="I636" s="4" t="n">
        <v>2</v>
      </c>
      <c r="J636" s="2" t="n">
        <v>1</v>
      </c>
      <c r="K636" s="2" t="s">
        <v>13</v>
      </c>
      <c r="L636" s="4" t="n">
        <v>1</v>
      </c>
      <c r="M636" s="2" t="n">
        <v>0</v>
      </c>
      <c r="N636" s="2" t="n">
        <v>0</v>
      </c>
      <c r="O636" s="4" t="n">
        <v>3</v>
      </c>
      <c r="Q636" s="2" t="n">
        <v>795</v>
      </c>
      <c r="R636" s="0" t="s">
        <v>489</v>
      </c>
      <c r="S636" s="0" t="s">
        <v>8997</v>
      </c>
    </row>
    <row r="637" customFormat="false" ht="13.8" hidden="false" customHeight="false" outlineLevel="0" collapsed="false">
      <c r="A637" s="0" t="s">
        <v>358</v>
      </c>
      <c r="B637" s="0" t="n">
        <v>83</v>
      </c>
      <c r="C637" s="0" t="s">
        <v>8984</v>
      </c>
      <c r="D637" s="0" t="s">
        <v>382</v>
      </c>
      <c r="E637" s="0" t="s">
        <v>382</v>
      </c>
      <c r="F637" s="4" t="n">
        <v>91</v>
      </c>
      <c r="G637" s="2" t="n">
        <v>0</v>
      </c>
      <c r="H637" s="2" t="n">
        <v>0</v>
      </c>
      <c r="I637" s="4" t="n">
        <v>2</v>
      </c>
      <c r="J637" s="2" t="n">
        <v>1</v>
      </c>
      <c r="K637" s="2" t="s">
        <v>20</v>
      </c>
      <c r="L637" s="4" t="n">
        <v>5</v>
      </c>
      <c r="M637" s="2" t="n">
        <v>0</v>
      </c>
      <c r="N637" s="2" t="n">
        <v>0</v>
      </c>
      <c r="O637" s="4" t="n">
        <v>3</v>
      </c>
      <c r="Q637" s="2" t="n">
        <v>796</v>
      </c>
      <c r="R637" s="0" t="s">
        <v>382</v>
      </c>
      <c r="S637" s="0" t="s">
        <v>8998</v>
      </c>
    </row>
    <row r="638" customFormat="false" ht="13.8" hidden="false" customHeight="false" outlineLevel="0" collapsed="false">
      <c r="A638" s="0" t="s">
        <v>358</v>
      </c>
      <c r="B638" s="0" t="n">
        <v>83</v>
      </c>
      <c r="C638" s="0" t="s">
        <v>8984</v>
      </c>
      <c r="D638" s="0" t="s">
        <v>809</v>
      </c>
      <c r="E638" s="0" t="s">
        <v>412</v>
      </c>
      <c r="F638" s="4" t="n">
        <v>117</v>
      </c>
      <c r="G638" s="2" t="n">
        <v>0</v>
      </c>
      <c r="H638" s="2" t="n">
        <v>0</v>
      </c>
      <c r="I638" s="4" t="n">
        <v>2</v>
      </c>
      <c r="J638" s="2" t="n">
        <v>0.5</v>
      </c>
      <c r="K638" s="2" t="s">
        <v>20</v>
      </c>
      <c r="L638" s="4" t="n">
        <v>5</v>
      </c>
      <c r="M638" s="2" t="n">
        <v>0</v>
      </c>
      <c r="N638" s="2" t="n">
        <v>0</v>
      </c>
      <c r="O638" s="4" t="n">
        <v>3</v>
      </c>
      <c r="Q638" s="2" t="n">
        <v>797</v>
      </c>
      <c r="R638" s="0" t="s">
        <v>412</v>
      </c>
      <c r="S638" s="0" t="s">
        <v>8999</v>
      </c>
    </row>
    <row r="639" customFormat="false" ht="13.8" hidden="false" customHeight="false" outlineLevel="0" collapsed="false">
      <c r="A639" s="0" t="s">
        <v>358</v>
      </c>
      <c r="B639" s="0" t="n">
        <v>83</v>
      </c>
      <c r="C639" s="0" t="s">
        <v>8984</v>
      </c>
      <c r="D639" s="0" t="s">
        <v>391</v>
      </c>
      <c r="E639" s="0" t="s">
        <v>391</v>
      </c>
      <c r="F639" s="4" t="n">
        <v>95</v>
      </c>
      <c r="G639" s="2" t="n">
        <v>0</v>
      </c>
      <c r="H639" s="2" t="n">
        <v>0</v>
      </c>
      <c r="I639" s="4" t="n">
        <v>2</v>
      </c>
      <c r="J639" s="2" t="n">
        <v>0.5</v>
      </c>
      <c r="K639" s="2" t="s">
        <v>20</v>
      </c>
      <c r="L639" s="4" t="n">
        <v>5</v>
      </c>
      <c r="M639" s="2" t="n">
        <v>0</v>
      </c>
      <c r="N639" s="2" t="n">
        <v>0</v>
      </c>
      <c r="O639" s="4" t="n">
        <v>3</v>
      </c>
      <c r="Q639" s="2" t="n">
        <v>798</v>
      </c>
      <c r="R639" s="0" t="s">
        <v>391</v>
      </c>
      <c r="S639" s="0" t="s">
        <v>9000</v>
      </c>
    </row>
    <row r="640" customFormat="false" ht="13.8" hidden="false" customHeight="false" outlineLevel="0" collapsed="false">
      <c r="A640" s="0" t="s">
        <v>358</v>
      </c>
      <c r="B640" s="0" t="n">
        <v>83</v>
      </c>
      <c r="C640" s="0" t="s">
        <v>8984</v>
      </c>
      <c r="D640" s="0" t="s">
        <v>96</v>
      </c>
      <c r="E640" s="0" t="s">
        <v>96</v>
      </c>
      <c r="F640" s="4" t="n">
        <v>177</v>
      </c>
      <c r="G640" s="2" t="n">
        <v>0</v>
      </c>
      <c r="H640" s="2" t="n">
        <v>0</v>
      </c>
      <c r="I640" s="4" t="n">
        <v>2</v>
      </c>
      <c r="J640" s="2" t="n">
        <v>7</v>
      </c>
      <c r="K640" s="2" t="s">
        <v>20</v>
      </c>
      <c r="L640" s="4" t="n">
        <v>5</v>
      </c>
      <c r="M640" s="2" t="n">
        <v>0</v>
      </c>
      <c r="N640" s="2" t="n">
        <v>0</v>
      </c>
      <c r="O640" s="4" t="n">
        <v>3</v>
      </c>
      <c r="Q640" s="2" t="n">
        <v>799</v>
      </c>
      <c r="R640" s="0" t="s">
        <v>96</v>
      </c>
      <c r="S640" s="0" t="s">
        <v>9001</v>
      </c>
    </row>
    <row r="641" customFormat="false" ht="13.8" hidden="false" customHeight="false" outlineLevel="0" collapsed="false">
      <c r="A641" s="0" t="s">
        <v>372</v>
      </c>
      <c r="B641" s="0" t="n">
        <v>88</v>
      </c>
      <c r="C641" s="0" t="s">
        <v>9002</v>
      </c>
      <c r="D641" s="0" t="s">
        <v>348</v>
      </c>
      <c r="E641" s="0" t="s">
        <v>348</v>
      </c>
      <c r="F641" s="4" t="n">
        <v>79</v>
      </c>
      <c r="G641" s="2" t="n">
        <v>6</v>
      </c>
      <c r="H641" s="2" t="s">
        <v>7</v>
      </c>
      <c r="I641" s="4" t="n">
        <v>2</v>
      </c>
      <c r="J641" s="2" t="n">
        <v>0</v>
      </c>
      <c r="K641" s="2" t="n">
        <v>0</v>
      </c>
      <c r="L641" s="4" t="n">
        <v>1</v>
      </c>
      <c r="M641" s="2" t="n">
        <v>0</v>
      </c>
      <c r="N641" s="2" t="n">
        <v>0</v>
      </c>
      <c r="O641" s="4" t="n">
        <v>3</v>
      </c>
      <c r="Q641" s="2" t="n">
        <v>801</v>
      </c>
      <c r="R641" s="0" t="s">
        <v>348</v>
      </c>
      <c r="S641" s="0" t="s">
        <v>9003</v>
      </c>
    </row>
    <row r="642" customFormat="false" ht="13.8" hidden="false" customHeight="false" outlineLevel="0" collapsed="false">
      <c r="A642" s="0" t="s">
        <v>372</v>
      </c>
      <c r="B642" s="0" t="n">
        <v>88</v>
      </c>
      <c r="C642" s="0" t="s">
        <v>9002</v>
      </c>
      <c r="D642" s="0" t="s">
        <v>800</v>
      </c>
      <c r="E642" s="0" t="s">
        <v>192</v>
      </c>
      <c r="F642" s="4" t="n">
        <v>27</v>
      </c>
      <c r="G642" s="2" t="n">
        <v>5</v>
      </c>
      <c r="H642" s="2" t="s">
        <v>7</v>
      </c>
      <c r="I642" s="4" t="n">
        <v>2</v>
      </c>
      <c r="J642" s="2" t="n">
        <v>0</v>
      </c>
      <c r="K642" s="2" t="n">
        <v>0</v>
      </c>
      <c r="L642" s="4" t="n">
        <v>1</v>
      </c>
      <c r="M642" s="2" t="n">
        <v>0</v>
      </c>
      <c r="N642" s="2" t="n">
        <v>0</v>
      </c>
      <c r="O642" s="4" t="n">
        <v>3</v>
      </c>
      <c r="Q642" s="2" t="n">
        <v>802</v>
      </c>
      <c r="R642" s="0" t="s">
        <v>192</v>
      </c>
      <c r="S642" s="0" t="s">
        <v>9004</v>
      </c>
    </row>
    <row r="643" customFormat="false" ht="13.8" hidden="false" customHeight="false" outlineLevel="0" collapsed="false">
      <c r="A643" s="0" t="s">
        <v>372</v>
      </c>
      <c r="B643" s="0" t="n">
        <v>88</v>
      </c>
      <c r="C643" s="0" t="s">
        <v>9002</v>
      </c>
      <c r="D643" s="0" t="s">
        <v>790</v>
      </c>
      <c r="E643" s="0" t="s">
        <v>374</v>
      </c>
      <c r="F643" s="4" t="n">
        <v>88</v>
      </c>
      <c r="G643" s="2" t="n">
        <v>6</v>
      </c>
      <c r="H643" s="2" t="s">
        <v>7</v>
      </c>
      <c r="I643" s="4" t="n">
        <v>2</v>
      </c>
      <c r="J643" s="2" t="n">
        <v>0</v>
      </c>
      <c r="K643" s="2" t="n">
        <v>0</v>
      </c>
      <c r="L643" s="4" t="n">
        <v>1</v>
      </c>
      <c r="M643" s="2" t="n">
        <v>0</v>
      </c>
      <c r="N643" s="2" t="n">
        <v>0</v>
      </c>
      <c r="O643" s="4" t="n">
        <v>3</v>
      </c>
      <c r="Q643" s="2" t="n">
        <v>803</v>
      </c>
      <c r="R643" s="0" t="s">
        <v>374</v>
      </c>
      <c r="S643" s="0" t="s">
        <v>9005</v>
      </c>
    </row>
    <row r="644" customFormat="false" ht="13.8" hidden="false" customHeight="false" outlineLevel="0" collapsed="false">
      <c r="A644" s="0" t="s">
        <v>372</v>
      </c>
      <c r="B644" s="0" t="n">
        <v>88</v>
      </c>
      <c r="C644" s="0" t="s">
        <v>9002</v>
      </c>
      <c r="D644" s="0" t="s">
        <v>801</v>
      </c>
      <c r="E644" s="0" t="s">
        <v>386</v>
      </c>
      <c r="F644" s="4" t="n">
        <v>93</v>
      </c>
      <c r="G644" s="2" t="n">
        <v>0</v>
      </c>
      <c r="H644" s="2" t="n">
        <v>0</v>
      </c>
      <c r="I644" s="4" t="n">
        <v>2</v>
      </c>
      <c r="J644" s="2" t="n">
        <v>1</v>
      </c>
      <c r="K644" s="2" t="s">
        <v>13</v>
      </c>
      <c r="L644" s="4" t="n">
        <v>1</v>
      </c>
      <c r="M644" s="2" t="n">
        <v>0</v>
      </c>
      <c r="N644" s="2" t="n">
        <v>0</v>
      </c>
      <c r="O644" s="4" t="n">
        <v>3</v>
      </c>
      <c r="Q644" s="2" t="n">
        <v>804</v>
      </c>
      <c r="R644" s="0" t="s">
        <v>386</v>
      </c>
      <c r="S644" s="0" t="s">
        <v>9006</v>
      </c>
    </row>
    <row r="645" customFormat="false" ht="13.8" hidden="false" customHeight="false" outlineLevel="0" collapsed="false">
      <c r="A645" s="0" t="s">
        <v>372</v>
      </c>
      <c r="B645" s="0" t="n">
        <v>88</v>
      </c>
      <c r="C645" s="0" t="s">
        <v>9002</v>
      </c>
      <c r="D645" s="0" t="s">
        <v>23</v>
      </c>
      <c r="E645" s="0" t="s">
        <v>309</v>
      </c>
      <c r="F645" s="4" t="n">
        <v>66</v>
      </c>
      <c r="G645" s="2" t="n">
        <v>0</v>
      </c>
      <c r="H645" s="2" t="n">
        <v>0</v>
      </c>
      <c r="I645" s="4" t="n">
        <v>2</v>
      </c>
      <c r="J645" s="2" t="n">
        <v>3</v>
      </c>
      <c r="K645" s="2" t="s">
        <v>13</v>
      </c>
      <c r="L645" s="4" t="n">
        <v>1</v>
      </c>
      <c r="M645" s="2" t="n">
        <v>0</v>
      </c>
      <c r="N645" s="2" t="n">
        <v>0</v>
      </c>
      <c r="O645" s="4" t="n">
        <v>3</v>
      </c>
      <c r="Q645" s="2" t="n">
        <v>805</v>
      </c>
      <c r="R645" s="0" t="s">
        <v>309</v>
      </c>
      <c r="S645" s="0" t="s">
        <v>9007</v>
      </c>
    </row>
    <row r="646" customFormat="false" ht="13.8" hidden="false" customHeight="false" outlineLevel="0" collapsed="false">
      <c r="A646" s="0" t="s">
        <v>372</v>
      </c>
      <c r="B646" s="0" t="n">
        <v>88</v>
      </c>
      <c r="C646" s="0" t="s">
        <v>9002</v>
      </c>
      <c r="D646" s="0" t="s">
        <v>802</v>
      </c>
      <c r="E646" s="0" t="s">
        <v>102</v>
      </c>
      <c r="F646" s="4" t="n">
        <v>1</v>
      </c>
      <c r="G646" s="2" t="n">
        <v>0</v>
      </c>
      <c r="H646" s="2" t="n">
        <v>0</v>
      </c>
      <c r="I646" s="4" t="n">
        <v>2</v>
      </c>
      <c r="J646" s="2" t="n">
        <v>0.5</v>
      </c>
      <c r="K646" s="2" t="s">
        <v>13</v>
      </c>
      <c r="L646" s="4" t="n">
        <v>1</v>
      </c>
      <c r="M646" s="2" t="n">
        <v>0</v>
      </c>
      <c r="N646" s="2" t="n">
        <v>0</v>
      </c>
      <c r="O646" s="4" t="n">
        <v>3</v>
      </c>
      <c r="Q646" s="2" t="n">
        <v>806</v>
      </c>
      <c r="R646" s="0" t="s">
        <v>102</v>
      </c>
      <c r="S646" s="0" t="s">
        <v>9008</v>
      </c>
    </row>
    <row r="647" customFormat="false" ht="13.8" hidden="false" customHeight="false" outlineLevel="0" collapsed="false">
      <c r="A647" s="0" t="s">
        <v>372</v>
      </c>
      <c r="B647" s="0" t="n">
        <v>88</v>
      </c>
      <c r="C647" s="0" t="s">
        <v>9002</v>
      </c>
      <c r="D647" s="0" t="s">
        <v>803</v>
      </c>
      <c r="E647" s="0" t="s">
        <v>38</v>
      </c>
      <c r="F647" s="4" t="n">
        <v>105</v>
      </c>
      <c r="G647" s="2" t="n">
        <v>0</v>
      </c>
      <c r="H647" s="2" t="n">
        <v>0</v>
      </c>
      <c r="I647" s="4" t="n">
        <v>2</v>
      </c>
      <c r="J647" s="2" t="n">
        <v>2</v>
      </c>
      <c r="K647" s="2" t="s">
        <v>13</v>
      </c>
      <c r="L647" s="4" t="n">
        <v>1</v>
      </c>
      <c r="M647" s="2" t="n">
        <v>0</v>
      </c>
      <c r="N647" s="2" t="n">
        <v>0</v>
      </c>
      <c r="O647" s="4" t="n">
        <v>3</v>
      </c>
      <c r="Q647" s="2" t="n">
        <v>807</v>
      </c>
      <c r="R647" s="0" t="s">
        <v>38</v>
      </c>
      <c r="S647" s="0" t="s">
        <v>9009</v>
      </c>
    </row>
    <row r="648" customFormat="false" ht="13.8" hidden="false" customHeight="false" outlineLevel="0" collapsed="false">
      <c r="A648" s="0" t="s">
        <v>372</v>
      </c>
      <c r="B648" s="0" t="n">
        <v>88</v>
      </c>
      <c r="C648" s="0" t="s">
        <v>9002</v>
      </c>
      <c r="D648" s="0" t="s">
        <v>393</v>
      </c>
      <c r="E648" s="0" t="s">
        <v>393</v>
      </c>
      <c r="F648" s="4" t="n">
        <v>97</v>
      </c>
      <c r="G648" s="2" t="n">
        <v>0</v>
      </c>
      <c r="H648" s="2" t="n">
        <v>0</v>
      </c>
      <c r="I648" s="4" t="n">
        <v>2</v>
      </c>
      <c r="J648" s="2" t="n">
        <v>60</v>
      </c>
      <c r="K648" s="2" t="s">
        <v>13</v>
      </c>
      <c r="L648" s="4" t="n">
        <v>1</v>
      </c>
      <c r="M648" s="2" t="n">
        <v>0</v>
      </c>
      <c r="N648" s="2" t="n">
        <v>0</v>
      </c>
      <c r="O648" s="4" t="n">
        <v>3</v>
      </c>
      <c r="Q648" s="2" t="n">
        <v>808</v>
      </c>
      <c r="R648" s="0" t="s">
        <v>393</v>
      </c>
      <c r="S648" s="0" t="s">
        <v>9010</v>
      </c>
    </row>
    <row r="649" customFormat="false" ht="13.8" hidden="false" customHeight="false" outlineLevel="0" collapsed="false">
      <c r="A649" s="0" t="s">
        <v>372</v>
      </c>
      <c r="B649" s="0" t="n">
        <v>88</v>
      </c>
      <c r="C649" s="0" t="s">
        <v>9002</v>
      </c>
      <c r="D649" s="0" t="s">
        <v>810</v>
      </c>
      <c r="E649" s="0" t="s">
        <v>491</v>
      </c>
      <c r="F649" s="4" t="n">
        <v>202</v>
      </c>
      <c r="G649" s="2" t="n">
        <v>25</v>
      </c>
      <c r="H649" s="2" t="s">
        <v>7</v>
      </c>
      <c r="I649" s="4" t="n">
        <v>2</v>
      </c>
      <c r="J649" s="2" t="n">
        <v>0</v>
      </c>
      <c r="K649" s="2" t="n">
        <v>0</v>
      </c>
      <c r="L649" s="4" t="n">
        <v>1</v>
      </c>
      <c r="M649" s="2" t="n">
        <v>0</v>
      </c>
      <c r="N649" s="2" t="n">
        <v>0</v>
      </c>
      <c r="O649" s="4" t="n">
        <v>3</v>
      </c>
      <c r="Q649" s="2" t="n">
        <v>809</v>
      </c>
      <c r="R649" s="0" t="s">
        <v>491</v>
      </c>
      <c r="S649" s="0" t="s">
        <v>9011</v>
      </c>
    </row>
    <row r="650" customFormat="false" ht="13.8" hidden="false" customHeight="false" outlineLevel="0" collapsed="false">
      <c r="A650" s="0" t="s">
        <v>372</v>
      </c>
      <c r="B650" s="0" t="n">
        <v>88</v>
      </c>
      <c r="C650" s="0" t="s">
        <v>9002</v>
      </c>
      <c r="D650" s="0" t="s">
        <v>805</v>
      </c>
      <c r="E650" s="0" t="s">
        <v>360</v>
      </c>
      <c r="F650" s="4" t="n">
        <v>83</v>
      </c>
      <c r="G650" s="2" t="n">
        <v>0</v>
      </c>
      <c r="H650" s="2" t="n">
        <v>0</v>
      </c>
      <c r="I650" s="4" t="n">
        <v>2</v>
      </c>
      <c r="J650" s="2" t="n">
        <v>4.5</v>
      </c>
      <c r="K650" s="2" t="s">
        <v>13</v>
      </c>
      <c r="L650" s="4" t="n">
        <v>1</v>
      </c>
      <c r="M650" s="2" t="n">
        <v>0</v>
      </c>
      <c r="N650" s="2" t="n">
        <v>0</v>
      </c>
      <c r="O650" s="4" t="n">
        <v>3</v>
      </c>
      <c r="Q650" s="2" t="n">
        <v>810</v>
      </c>
      <c r="R650" s="0" t="s">
        <v>360</v>
      </c>
      <c r="S650" s="0" t="s">
        <v>9012</v>
      </c>
    </row>
    <row r="651" customFormat="false" ht="13.8" hidden="false" customHeight="false" outlineLevel="0" collapsed="false">
      <c r="A651" s="0" t="s">
        <v>372</v>
      </c>
      <c r="B651" s="0" t="n">
        <v>88</v>
      </c>
      <c r="C651" s="0" t="s">
        <v>9002</v>
      </c>
      <c r="D651" s="0" t="s">
        <v>570</v>
      </c>
      <c r="E651" s="0" t="s">
        <v>456</v>
      </c>
      <c r="F651" s="4" t="n">
        <v>164</v>
      </c>
      <c r="G651" s="2" t="n">
        <v>0</v>
      </c>
      <c r="H651" s="2" t="n">
        <v>0</v>
      </c>
      <c r="I651" s="4" t="n">
        <v>2</v>
      </c>
      <c r="J651" s="2" t="n">
        <v>2</v>
      </c>
      <c r="K651" s="2" t="s">
        <v>20</v>
      </c>
      <c r="L651" s="4" t="n">
        <v>5</v>
      </c>
      <c r="M651" s="2" t="n">
        <v>0</v>
      </c>
      <c r="N651" s="2" t="n">
        <v>0</v>
      </c>
      <c r="O651" s="4" t="n">
        <v>3</v>
      </c>
      <c r="Q651" s="2" t="n">
        <v>811</v>
      </c>
      <c r="R651" s="0" t="s">
        <v>456</v>
      </c>
      <c r="S651" s="0" t="s">
        <v>9013</v>
      </c>
    </row>
    <row r="652" customFormat="false" ht="13.8" hidden="false" customHeight="false" outlineLevel="0" collapsed="false">
      <c r="A652" s="0" t="s">
        <v>372</v>
      </c>
      <c r="B652" s="0" t="n">
        <v>88</v>
      </c>
      <c r="C652" s="0" t="s">
        <v>9002</v>
      </c>
      <c r="D652" s="0" t="s">
        <v>249</v>
      </c>
      <c r="E652" s="0" t="s">
        <v>249</v>
      </c>
      <c r="F652" s="4" t="n">
        <v>46</v>
      </c>
      <c r="G652" s="2" t="n">
        <v>0</v>
      </c>
      <c r="H652" s="2" t="n">
        <v>0</v>
      </c>
      <c r="I652" s="4" t="n">
        <v>2</v>
      </c>
      <c r="J652" s="2" t="n">
        <v>1</v>
      </c>
      <c r="K652" s="2" t="s">
        <v>13</v>
      </c>
      <c r="L652" s="4" t="n">
        <v>1</v>
      </c>
      <c r="M652" s="2" t="n">
        <v>0</v>
      </c>
      <c r="N652" s="2" t="n">
        <v>0</v>
      </c>
      <c r="O652" s="4" t="n">
        <v>3</v>
      </c>
      <c r="Q652" s="2" t="n">
        <v>812</v>
      </c>
      <c r="R652" s="0" t="s">
        <v>249</v>
      </c>
      <c r="S652" s="0" t="s">
        <v>9014</v>
      </c>
    </row>
    <row r="653" customFormat="false" ht="13.8" hidden="false" customHeight="false" outlineLevel="0" collapsed="false">
      <c r="A653" s="0" t="s">
        <v>372</v>
      </c>
      <c r="B653" s="0" t="n">
        <v>88</v>
      </c>
      <c r="C653" s="0" t="s">
        <v>9002</v>
      </c>
      <c r="D653" s="0" t="s">
        <v>489</v>
      </c>
      <c r="E653" s="0" t="s">
        <v>489</v>
      </c>
      <c r="F653" s="4" t="n">
        <v>200</v>
      </c>
      <c r="G653" s="2" t="n">
        <v>0</v>
      </c>
      <c r="H653" s="2" t="n">
        <v>0</v>
      </c>
      <c r="I653" s="4" t="n">
        <v>2</v>
      </c>
      <c r="J653" s="2" t="n">
        <v>1</v>
      </c>
      <c r="K653" s="2" t="s">
        <v>13</v>
      </c>
      <c r="L653" s="4" t="n">
        <v>1</v>
      </c>
      <c r="M653" s="2" t="n">
        <v>0</v>
      </c>
      <c r="N653" s="2" t="n">
        <v>0</v>
      </c>
      <c r="O653" s="4" t="n">
        <v>3</v>
      </c>
      <c r="Q653" s="2" t="n">
        <v>813</v>
      </c>
      <c r="R653" s="0" t="s">
        <v>489</v>
      </c>
      <c r="S653" s="0" t="s">
        <v>9015</v>
      </c>
    </row>
    <row r="654" customFormat="false" ht="13.8" hidden="false" customHeight="false" outlineLevel="0" collapsed="false">
      <c r="A654" s="0" t="s">
        <v>372</v>
      </c>
      <c r="B654" s="0" t="n">
        <v>88</v>
      </c>
      <c r="C654" s="0" t="s">
        <v>9002</v>
      </c>
      <c r="D654" s="0" t="s">
        <v>382</v>
      </c>
      <c r="E654" s="0" t="s">
        <v>382</v>
      </c>
      <c r="F654" s="4" t="n">
        <v>91</v>
      </c>
      <c r="G654" s="2" t="n">
        <v>0</v>
      </c>
      <c r="H654" s="2" t="n">
        <v>0</v>
      </c>
      <c r="I654" s="4" t="n">
        <v>2</v>
      </c>
      <c r="J654" s="2" t="n">
        <v>1</v>
      </c>
      <c r="K654" s="2" t="s">
        <v>20</v>
      </c>
      <c r="L654" s="4" t="n">
        <v>5</v>
      </c>
      <c r="M654" s="2" t="n">
        <v>0</v>
      </c>
      <c r="N654" s="2" t="n">
        <v>0</v>
      </c>
      <c r="O654" s="4" t="n">
        <v>3</v>
      </c>
      <c r="Q654" s="2" t="n">
        <v>814</v>
      </c>
      <c r="R654" s="0" t="s">
        <v>382</v>
      </c>
      <c r="S654" s="0" t="s">
        <v>9016</v>
      </c>
    </row>
    <row r="655" customFormat="false" ht="13.8" hidden="false" customHeight="false" outlineLevel="0" collapsed="false">
      <c r="A655" s="0" t="s">
        <v>372</v>
      </c>
      <c r="B655" s="0" t="n">
        <v>88</v>
      </c>
      <c r="C655" s="0" t="s">
        <v>9002</v>
      </c>
      <c r="D655" s="0" t="s">
        <v>809</v>
      </c>
      <c r="E655" s="0" t="s">
        <v>412</v>
      </c>
      <c r="F655" s="4" t="n">
        <v>117</v>
      </c>
      <c r="G655" s="2" t="n">
        <v>0</v>
      </c>
      <c r="H655" s="2" t="n">
        <v>0</v>
      </c>
      <c r="I655" s="4" t="n">
        <v>2</v>
      </c>
      <c r="J655" s="2" t="n">
        <v>0.5</v>
      </c>
      <c r="K655" s="2" t="s">
        <v>20</v>
      </c>
      <c r="L655" s="4" t="n">
        <v>5</v>
      </c>
      <c r="M655" s="2" t="n">
        <v>0</v>
      </c>
      <c r="N655" s="2" t="n">
        <v>0</v>
      </c>
      <c r="O655" s="4" t="n">
        <v>3</v>
      </c>
      <c r="Q655" s="2" t="n">
        <v>815</v>
      </c>
      <c r="R655" s="0" t="s">
        <v>412</v>
      </c>
      <c r="S655" s="0" t="s">
        <v>9017</v>
      </c>
    </row>
    <row r="656" customFormat="false" ht="13.8" hidden="false" customHeight="false" outlineLevel="0" collapsed="false">
      <c r="A656" s="0" t="s">
        <v>372</v>
      </c>
      <c r="B656" s="0" t="n">
        <v>88</v>
      </c>
      <c r="C656" s="0" t="s">
        <v>9002</v>
      </c>
      <c r="D656" s="0" t="s">
        <v>391</v>
      </c>
      <c r="E656" s="0" t="s">
        <v>391</v>
      </c>
      <c r="F656" s="4" t="n">
        <v>95</v>
      </c>
      <c r="G656" s="2" t="n">
        <v>0</v>
      </c>
      <c r="H656" s="2" t="n">
        <v>0</v>
      </c>
      <c r="I656" s="4" t="n">
        <v>2</v>
      </c>
      <c r="J656" s="2" t="n">
        <v>0.5</v>
      </c>
      <c r="K656" s="2" t="s">
        <v>20</v>
      </c>
      <c r="L656" s="4" t="n">
        <v>5</v>
      </c>
      <c r="M656" s="2" t="n">
        <v>0</v>
      </c>
      <c r="N656" s="2" t="n">
        <v>0</v>
      </c>
      <c r="O656" s="4" t="n">
        <v>3</v>
      </c>
      <c r="Q656" s="2" t="n">
        <v>816</v>
      </c>
      <c r="R656" s="0" t="s">
        <v>391</v>
      </c>
      <c r="S656" s="0" t="s">
        <v>9018</v>
      </c>
    </row>
    <row r="657" customFormat="false" ht="13.8" hidden="false" customHeight="false" outlineLevel="0" collapsed="false">
      <c r="A657" s="0" t="s">
        <v>372</v>
      </c>
      <c r="B657" s="0" t="n">
        <v>88</v>
      </c>
      <c r="C657" s="0" t="s">
        <v>9002</v>
      </c>
      <c r="D657" s="0" t="s">
        <v>452</v>
      </c>
      <c r="E657" s="0" t="s">
        <v>452</v>
      </c>
      <c r="F657" s="4" t="n">
        <v>160</v>
      </c>
      <c r="G657" s="2" t="n">
        <v>0</v>
      </c>
      <c r="H657" s="2" t="n">
        <v>0</v>
      </c>
      <c r="I657" s="4" t="n">
        <v>2</v>
      </c>
      <c r="J657" s="2" t="n">
        <v>0.5</v>
      </c>
      <c r="K657" s="2" t="s">
        <v>13</v>
      </c>
      <c r="L657" s="4" t="n">
        <v>1</v>
      </c>
      <c r="M657" s="2" t="n">
        <v>0</v>
      </c>
      <c r="N657" s="2" t="n">
        <v>0</v>
      </c>
      <c r="O657" s="4" t="n">
        <v>3</v>
      </c>
      <c r="Q657" s="2" t="n">
        <v>817</v>
      </c>
      <c r="R657" s="0" t="s">
        <v>452</v>
      </c>
      <c r="S657" s="0" t="s">
        <v>9019</v>
      </c>
    </row>
    <row r="658" customFormat="false" ht="13.8" hidden="false" customHeight="false" outlineLevel="0" collapsed="false">
      <c r="A658" s="0" t="s">
        <v>372</v>
      </c>
      <c r="B658" s="0" t="n">
        <v>88</v>
      </c>
      <c r="C658" s="0" t="s">
        <v>9002</v>
      </c>
      <c r="D658" s="0" t="s">
        <v>96</v>
      </c>
      <c r="E658" s="0" t="s">
        <v>96</v>
      </c>
      <c r="F658" s="4" t="n">
        <v>177</v>
      </c>
      <c r="G658" s="2" t="n">
        <v>0</v>
      </c>
      <c r="H658" s="2" t="n">
        <v>0</v>
      </c>
      <c r="I658" s="4" t="n">
        <v>2</v>
      </c>
      <c r="J658" s="2" t="n">
        <v>6</v>
      </c>
      <c r="K658" s="2" t="s">
        <v>20</v>
      </c>
      <c r="L658" s="4" t="n">
        <v>5</v>
      </c>
      <c r="M658" s="2" t="n">
        <v>0</v>
      </c>
      <c r="N658" s="2" t="n">
        <v>0</v>
      </c>
      <c r="O658" s="4" t="n">
        <v>3</v>
      </c>
      <c r="Q658" s="2" t="n">
        <v>818</v>
      </c>
      <c r="R658" s="0" t="s">
        <v>96</v>
      </c>
      <c r="S658" s="0" t="s">
        <v>9020</v>
      </c>
    </row>
    <row r="659" customFormat="false" ht="13.8" hidden="false" customHeight="false" outlineLevel="0" collapsed="false">
      <c r="A659" s="0" t="s">
        <v>292</v>
      </c>
      <c r="B659" s="0" t="n">
        <v>61</v>
      </c>
      <c r="C659" s="0" t="s">
        <v>9021</v>
      </c>
      <c r="D659" s="0" t="s">
        <v>273</v>
      </c>
      <c r="E659" s="0" t="s">
        <v>273</v>
      </c>
      <c r="F659" s="4" t="n">
        <v>54</v>
      </c>
      <c r="G659" s="2" t="n">
        <v>0</v>
      </c>
      <c r="H659" s="2" t="n">
        <v>0</v>
      </c>
      <c r="I659" s="4" t="n">
        <v>2</v>
      </c>
      <c r="J659" s="2" t="n">
        <v>0</v>
      </c>
      <c r="K659" s="2" t="n">
        <v>0</v>
      </c>
      <c r="L659" s="4" t="n">
        <v>1</v>
      </c>
      <c r="M659" s="2" t="n">
        <v>8</v>
      </c>
      <c r="N659" s="2" t="s">
        <v>107</v>
      </c>
      <c r="O659" s="4" t="n">
        <v>3</v>
      </c>
      <c r="Q659" s="2" t="n">
        <v>820</v>
      </c>
      <c r="R659" s="0" t="s">
        <v>273</v>
      </c>
      <c r="S659" s="0" t="s">
        <v>9022</v>
      </c>
    </row>
    <row r="660" customFormat="false" ht="13.8" hidden="false" customHeight="false" outlineLevel="0" collapsed="false">
      <c r="A660" s="0" t="s">
        <v>292</v>
      </c>
      <c r="B660" s="0" t="n">
        <v>61</v>
      </c>
      <c r="C660" s="0" t="s">
        <v>9021</v>
      </c>
      <c r="D660" s="0" t="s">
        <v>803</v>
      </c>
      <c r="E660" s="0" t="s">
        <v>38</v>
      </c>
      <c r="F660" s="4" t="n">
        <v>105</v>
      </c>
      <c r="G660" s="2" t="n">
        <v>0</v>
      </c>
      <c r="H660" s="2" t="n">
        <v>0</v>
      </c>
      <c r="I660" s="4" t="n">
        <v>2</v>
      </c>
      <c r="J660" s="2" t="n">
        <v>1</v>
      </c>
      <c r="K660" s="2" t="s">
        <v>13</v>
      </c>
      <c r="L660" s="4" t="n">
        <v>1</v>
      </c>
      <c r="M660" s="2" t="n">
        <v>0</v>
      </c>
      <c r="N660" s="2" t="n">
        <v>0</v>
      </c>
      <c r="O660" s="4" t="n">
        <v>3</v>
      </c>
      <c r="Q660" s="2" t="n">
        <v>821</v>
      </c>
      <c r="R660" s="0" t="s">
        <v>38</v>
      </c>
      <c r="S660" s="0" t="s">
        <v>9023</v>
      </c>
    </row>
    <row r="661" customFormat="false" ht="13.8" hidden="false" customHeight="false" outlineLevel="0" collapsed="false">
      <c r="A661" s="0" t="s">
        <v>292</v>
      </c>
      <c r="B661" s="0" t="n">
        <v>61</v>
      </c>
      <c r="C661" s="0" t="s">
        <v>9021</v>
      </c>
      <c r="D661" s="0" t="s">
        <v>811</v>
      </c>
      <c r="E661" s="0" t="s">
        <v>102</v>
      </c>
      <c r="F661" s="4" t="n">
        <v>1</v>
      </c>
      <c r="G661" s="2" t="n">
        <v>0</v>
      </c>
      <c r="H661" s="2" t="n">
        <v>0</v>
      </c>
      <c r="I661" s="4" t="n">
        <v>2</v>
      </c>
      <c r="J661" s="2" t="n">
        <v>0.5</v>
      </c>
      <c r="K661" s="2" t="s">
        <v>13</v>
      </c>
      <c r="L661" s="4" t="n">
        <v>1</v>
      </c>
      <c r="M661" s="2" t="n">
        <v>0</v>
      </c>
      <c r="N661" s="2" t="n">
        <v>0</v>
      </c>
      <c r="O661" s="4" t="n">
        <v>3</v>
      </c>
      <c r="Q661" s="2" t="n">
        <v>822</v>
      </c>
      <c r="R661" s="0" t="s">
        <v>102</v>
      </c>
      <c r="S661" s="0" t="s">
        <v>9024</v>
      </c>
    </row>
    <row r="662" customFormat="false" ht="13.8" hidden="false" customHeight="false" outlineLevel="0" collapsed="false">
      <c r="A662" s="0" t="s">
        <v>292</v>
      </c>
      <c r="B662" s="0" t="n">
        <v>61</v>
      </c>
      <c r="C662" s="0" t="s">
        <v>9021</v>
      </c>
      <c r="D662" s="0" t="s">
        <v>812</v>
      </c>
      <c r="E662" s="0" t="s">
        <v>417</v>
      </c>
      <c r="F662" s="4" t="n">
        <v>122</v>
      </c>
      <c r="G662" s="2" t="n">
        <v>14</v>
      </c>
      <c r="H662" s="2" t="s">
        <v>7</v>
      </c>
      <c r="I662" s="4" t="n">
        <v>2</v>
      </c>
      <c r="J662" s="2" t="n">
        <v>0</v>
      </c>
      <c r="K662" s="2" t="n">
        <v>0</v>
      </c>
      <c r="L662" s="4" t="n">
        <v>1</v>
      </c>
      <c r="M662" s="2" t="n">
        <v>0</v>
      </c>
      <c r="N662" s="2" t="n">
        <v>0</v>
      </c>
      <c r="O662" s="4" t="n">
        <v>3</v>
      </c>
      <c r="Q662" s="2" t="n">
        <v>823</v>
      </c>
      <c r="R662" s="0" t="s">
        <v>417</v>
      </c>
      <c r="S662" s="0" t="s">
        <v>9025</v>
      </c>
    </row>
    <row r="663" customFormat="false" ht="13.8" hidden="false" customHeight="false" outlineLevel="0" collapsed="false">
      <c r="A663" s="0" t="s">
        <v>292</v>
      </c>
      <c r="B663" s="0" t="n">
        <v>61</v>
      </c>
      <c r="C663" s="0" t="s">
        <v>9021</v>
      </c>
      <c r="D663" s="0" t="s">
        <v>813</v>
      </c>
      <c r="E663" s="0" t="s">
        <v>441</v>
      </c>
      <c r="F663" s="4" t="n">
        <v>147</v>
      </c>
      <c r="G663" s="2" t="n">
        <v>7</v>
      </c>
      <c r="H663" s="2" t="s">
        <v>7</v>
      </c>
      <c r="I663" s="4" t="n">
        <v>2</v>
      </c>
      <c r="J663" s="2" t="n">
        <v>0</v>
      </c>
      <c r="K663" s="2" t="n">
        <v>0</v>
      </c>
      <c r="L663" s="4" t="n">
        <v>1</v>
      </c>
      <c r="M663" s="2" t="n">
        <v>0</v>
      </c>
      <c r="N663" s="2" t="n">
        <v>0</v>
      </c>
      <c r="O663" s="4" t="n">
        <v>3</v>
      </c>
      <c r="Q663" s="2" t="n">
        <v>824</v>
      </c>
      <c r="R663" s="0" t="s">
        <v>441</v>
      </c>
      <c r="S663" s="0" t="s">
        <v>9026</v>
      </c>
    </row>
    <row r="664" customFormat="false" ht="13.8" hidden="false" customHeight="false" outlineLevel="0" collapsed="false">
      <c r="A664" s="0" t="s">
        <v>292</v>
      </c>
      <c r="B664" s="0" t="n">
        <v>61</v>
      </c>
      <c r="C664" s="0" t="s">
        <v>9021</v>
      </c>
      <c r="D664" s="0" t="s">
        <v>814</v>
      </c>
      <c r="E664" s="0" t="s">
        <v>354</v>
      </c>
      <c r="F664" s="4" t="n">
        <v>81</v>
      </c>
      <c r="G664" s="2" t="n">
        <v>0</v>
      </c>
      <c r="H664" s="2" t="n">
        <v>0</v>
      </c>
      <c r="I664" s="4" t="n">
        <v>2</v>
      </c>
      <c r="J664" s="2" t="n">
        <v>2</v>
      </c>
      <c r="K664" s="2" t="s">
        <v>13</v>
      </c>
      <c r="L664" s="4" t="n">
        <v>1</v>
      </c>
      <c r="M664" s="2" t="n">
        <v>0</v>
      </c>
      <c r="N664" s="2" t="n">
        <v>0</v>
      </c>
      <c r="O664" s="4" t="n">
        <v>3</v>
      </c>
      <c r="Q664" s="2" t="n">
        <v>825</v>
      </c>
      <c r="R664" s="0" t="s">
        <v>354</v>
      </c>
      <c r="S664" s="0" t="s">
        <v>9027</v>
      </c>
    </row>
    <row r="665" customFormat="false" ht="13.8" hidden="false" customHeight="false" outlineLevel="0" collapsed="false">
      <c r="A665" s="0" t="s">
        <v>292</v>
      </c>
      <c r="B665" s="0" t="n">
        <v>61</v>
      </c>
      <c r="C665" s="0" t="s">
        <v>9021</v>
      </c>
      <c r="D665" s="0" t="s">
        <v>805</v>
      </c>
      <c r="E665" s="0" t="s">
        <v>360</v>
      </c>
      <c r="F665" s="4" t="n">
        <v>83</v>
      </c>
      <c r="G665" s="2" t="n">
        <v>0</v>
      </c>
      <c r="H665" s="2" t="n">
        <v>0</v>
      </c>
      <c r="I665" s="4" t="n">
        <v>2</v>
      </c>
      <c r="J665" s="2" t="n">
        <v>2.5</v>
      </c>
      <c r="K665" s="2" t="s">
        <v>13</v>
      </c>
      <c r="L665" s="4" t="n">
        <v>1</v>
      </c>
      <c r="M665" s="2" t="n">
        <v>0</v>
      </c>
      <c r="N665" s="2" t="n">
        <v>0</v>
      </c>
      <c r="O665" s="4" t="n">
        <v>3</v>
      </c>
      <c r="Q665" s="2" t="n">
        <v>826</v>
      </c>
      <c r="R665" s="0" t="s">
        <v>360</v>
      </c>
      <c r="S665" s="0" t="s">
        <v>9028</v>
      </c>
    </row>
    <row r="666" customFormat="false" ht="13.8" hidden="false" customHeight="false" outlineLevel="0" collapsed="false">
      <c r="A666" s="0" t="s">
        <v>292</v>
      </c>
      <c r="B666" s="0" t="n">
        <v>61</v>
      </c>
      <c r="C666" s="0" t="s">
        <v>9021</v>
      </c>
      <c r="D666" s="0" t="s">
        <v>398</v>
      </c>
      <c r="E666" s="0" t="s">
        <v>398</v>
      </c>
      <c r="F666" s="4" t="n">
        <v>102</v>
      </c>
      <c r="G666" s="2" t="n">
        <v>0</v>
      </c>
      <c r="H666" s="2" t="n">
        <v>0</v>
      </c>
      <c r="I666" s="4" t="n">
        <v>2</v>
      </c>
      <c r="J666" s="2" t="n">
        <v>2</v>
      </c>
      <c r="K666" s="2" t="s">
        <v>20</v>
      </c>
      <c r="L666" s="4" t="n">
        <v>5</v>
      </c>
      <c r="M666" s="2" t="n">
        <v>0</v>
      </c>
      <c r="N666" s="2" t="n">
        <v>0</v>
      </c>
      <c r="O666" s="4" t="n">
        <v>3</v>
      </c>
      <c r="Q666" s="2" t="n">
        <v>827</v>
      </c>
      <c r="R666" s="0" t="s">
        <v>398</v>
      </c>
      <c r="S666" s="0" t="s">
        <v>9029</v>
      </c>
    </row>
    <row r="667" customFormat="false" ht="13.8" hidden="false" customHeight="false" outlineLevel="0" collapsed="false">
      <c r="A667" s="0" t="s">
        <v>292</v>
      </c>
      <c r="B667" s="0" t="n">
        <v>61</v>
      </c>
      <c r="C667" s="0" t="s">
        <v>9021</v>
      </c>
      <c r="D667" s="0" t="s">
        <v>391</v>
      </c>
      <c r="E667" s="0" t="s">
        <v>391</v>
      </c>
      <c r="F667" s="4" t="n">
        <v>95</v>
      </c>
      <c r="G667" s="2" t="n">
        <v>0</v>
      </c>
      <c r="H667" s="2" t="n">
        <v>0</v>
      </c>
      <c r="I667" s="4" t="n">
        <v>2</v>
      </c>
      <c r="J667" s="2" t="n">
        <v>0.5</v>
      </c>
      <c r="K667" s="2" t="s">
        <v>20</v>
      </c>
      <c r="L667" s="4" t="n">
        <v>5</v>
      </c>
      <c r="M667" s="2" t="n">
        <v>0</v>
      </c>
      <c r="N667" s="2" t="n">
        <v>0</v>
      </c>
      <c r="O667" s="4" t="n">
        <v>3</v>
      </c>
      <c r="Q667" s="2" t="n">
        <v>828</v>
      </c>
      <c r="R667" s="0" t="s">
        <v>391</v>
      </c>
      <c r="S667" s="0" t="s">
        <v>9030</v>
      </c>
    </row>
    <row r="668" customFormat="false" ht="13.8" hidden="false" customHeight="false" outlineLevel="0" collapsed="false">
      <c r="A668" s="0" t="s">
        <v>292</v>
      </c>
      <c r="B668" s="0" t="n">
        <v>61</v>
      </c>
      <c r="C668" s="0" t="s">
        <v>9021</v>
      </c>
      <c r="D668" s="0" t="s">
        <v>402</v>
      </c>
      <c r="E668" s="0" t="s">
        <v>402</v>
      </c>
      <c r="F668" s="4" t="n">
        <v>107</v>
      </c>
      <c r="G668" s="2" t="n">
        <v>500</v>
      </c>
      <c r="H668" s="2" t="s">
        <v>109</v>
      </c>
      <c r="I668" s="4" t="n">
        <v>7</v>
      </c>
      <c r="J668" s="2" t="n">
        <v>0</v>
      </c>
      <c r="K668" s="2" t="n">
        <v>0</v>
      </c>
      <c r="L668" s="4" t="n">
        <v>1</v>
      </c>
      <c r="M668" s="2" t="n">
        <v>0</v>
      </c>
      <c r="N668" s="2" t="n">
        <v>0</v>
      </c>
      <c r="O668" s="4" t="n">
        <v>3</v>
      </c>
      <c r="Q668" s="2" t="n">
        <v>829</v>
      </c>
      <c r="R668" s="0" t="s">
        <v>402</v>
      </c>
      <c r="S668" s="0" t="s">
        <v>9031</v>
      </c>
    </row>
    <row r="669" customFormat="false" ht="13.8" hidden="false" customHeight="false" outlineLevel="0" collapsed="false">
      <c r="A669" s="0" t="s">
        <v>292</v>
      </c>
      <c r="B669" s="0" t="n">
        <v>61</v>
      </c>
      <c r="C669" s="0" t="s">
        <v>9021</v>
      </c>
      <c r="D669" s="0" t="s">
        <v>815</v>
      </c>
      <c r="E669" s="0" t="s">
        <v>204</v>
      </c>
      <c r="F669" s="4" t="n">
        <v>31</v>
      </c>
      <c r="G669" s="2" t="n">
        <v>0</v>
      </c>
      <c r="H669" s="2" t="n">
        <v>0</v>
      </c>
      <c r="I669" s="4" t="n">
        <v>2</v>
      </c>
      <c r="J669" s="2" t="n">
        <v>1</v>
      </c>
      <c r="K669" s="2" t="s">
        <v>20</v>
      </c>
      <c r="L669" s="4" t="n">
        <v>5</v>
      </c>
      <c r="M669" s="2" t="n">
        <v>0</v>
      </c>
      <c r="N669" s="2" t="n">
        <v>0</v>
      </c>
      <c r="O669" s="4" t="n">
        <v>3</v>
      </c>
      <c r="Q669" s="2" t="n">
        <v>830</v>
      </c>
      <c r="R669" s="0" t="s">
        <v>204</v>
      </c>
      <c r="S669" s="0" t="s">
        <v>9032</v>
      </c>
    </row>
    <row r="670" customFormat="false" ht="13.8" hidden="false" customHeight="false" outlineLevel="0" collapsed="false">
      <c r="A670" s="0" t="s">
        <v>292</v>
      </c>
      <c r="B670" s="0" t="n">
        <v>61</v>
      </c>
      <c r="C670" s="0" t="s">
        <v>9021</v>
      </c>
      <c r="D670" s="0" t="s">
        <v>96</v>
      </c>
      <c r="E670" s="0" t="s">
        <v>96</v>
      </c>
      <c r="F670" s="4" t="n">
        <v>177</v>
      </c>
      <c r="G670" s="2" t="n">
        <v>0</v>
      </c>
      <c r="H670" s="2" t="n">
        <v>0</v>
      </c>
      <c r="I670" s="4" t="n">
        <v>2</v>
      </c>
      <c r="J670" s="2" t="n">
        <v>5</v>
      </c>
      <c r="K670" s="2" t="s">
        <v>20</v>
      </c>
      <c r="L670" s="4" t="n">
        <v>5</v>
      </c>
      <c r="M670" s="2" t="n">
        <v>0</v>
      </c>
      <c r="N670" s="2" t="n">
        <v>0</v>
      </c>
      <c r="O670" s="4" t="n">
        <v>3</v>
      </c>
      <c r="Q670" s="2" t="n">
        <v>831</v>
      </c>
      <c r="R670" s="0" t="s">
        <v>96</v>
      </c>
      <c r="S670" s="0" t="s">
        <v>9033</v>
      </c>
    </row>
    <row r="671" customFormat="false" ht="13.8" hidden="false" customHeight="false" outlineLevel="0" collapsed="false">
      <c r="A671" s="0" t="s">
        <v>355</v>
      </c>
      <c r="B671" s="0" t="n">
        <v>82</v>
      </c>
      <c r="C671" s="0" t="s">
        <v>9034</v>
      </c>
      <c r="D671" s="0" t="s">
        <v>273</v>
      </c>
      <c r="E671" s="0" t="s">
        <v>273</v>
      </c>
      <c r="F671" s="4" t="n">
        <v>54</v>
      </c>
      <c r="G671" s="2" t="n">
        <v>0</v>
      </c>
      <c r="H671" s="2" t="n">
        <v>0</v>
      </c>
      <c r="I671" s="4" t="n">
        <v>2</v>
      </c>
      <c r="J671" s="2" t="n">
        <v>0</v>
      </c>
      <c r="K671" s="2" t="n">
        <v>0</v>
      </c>
      <c r="L671" s="4" t="n">
        <v>1</v>
      </c>
      <c r="M671" s="2" t="n">
        <v>45</v>
      </c>
      <c r="N671" s="2" t="s">
        <v>107</v>
      </c>
      <c r="O671" s="4" t="n">
        <v>3</v>
      </c>
      <c r="Q671" s="2" t="n">
        <v>833</v>
      </c>
      <c r="R671" s="0" t="s">
        <v>273</v>
      </c>
      <c r="S671" s="0" t="s">
        <v>9035</v>
      </c>
    </row>
    <row r="672" customFormat="false" ht="13.8" hidden="false" customHeight="false" outlineLevel="0" collapsed="false">
      <c r="A672" s="0" t="s">
        <v>355</v>
      </c>
      <c r="B672" s="0" t="n">
        <v>82</v>
      </c>
      <c r="C672" s="0" t="s">
        <v>9034</v>
      </c>
      <c r="D672" s="0" t="s">
        <v>816</v>
      </c>
      <c r="E672" s="0" t="s">
        <v>177</v>
      </c>
      <c r="F672" s="4" t="n">
        <v>22</v>
      </c>
      <c r="G672" s="2" t="n">
        <v>0</v>
      </c>
      <c r="H672" s="2" t="n">
        <v>0</v>
      </c>
      <c r="I672" s="4" t="n">
        <v>2</v>
      </c>
      <c r="J672" s="2" t="n">
        <v>0</v>
      </c>
      <c r="K672" s="2" t="n">
        <v>0</v>
      </c>
      <c r="L672" s="4" t="n">
        <v>1</v>
      </c>
      <c r="M672" s="2" t="n">
        <v>75</v>
      </c>
      <c r="N672" s="2" t="s">
        <v>107</v>
      </c>
      <c r="O672" s="4" t="n">
        <v>3</v>
      </c>
      <c r="Q672" s="2" t="n">
        <v>834</v>
      </c>
      <c r="R672" s="0" t="s">
        <v>177</v>
      </c>
      <c r="S672" s="0" t="s">
        <v>9036</v>
      </c>
    </row>
    <row r="673" customFormat="false" ht="13.8" hidden="false" customHeight="false" outlineLevel="0" collapsed="false">
      <c r="A673" s="0" t="s">
        <v>355</v>
      </c>
      <c r="B673" s="0" t="n">
        <v>82</v>
      </c>
      <c r="C673" s="0" t="s">
        <v>9034</v>
      </c>
      <c r="D673" s="0" t="s">
        <v>817</v>
      </c>
      <c r="E673" s="0" t="s">
        <v>450</v>
      </c>
      <c r="F673" s="4" t="n">
        <v>157</v>
      </c>
      <c r="G673" s="2" t="n">
        <v>25</v>
      </c>
      <c r="H673" s="2" t="s">
        <v>7</v>
      </c>
      <c r="I673" s="4" t="n">
        <v>2</v>
      </c>
      <c r="J673" s="2" t="n">
        <v>0</v>
      </c>
      <c r="K673" s="2" t="n">
        <v>0</v>
      </c>
      <c r="L673" s="4" t="n">
        <v>1</v>
      </c>
      <c r="M673" s="2" t="n">
        <v>0</v>
      </c>
      <c r="N673" s="2" t="n">
        <v>0</v>
      </c>
      <c r="O673" s="4" t="n">
        <v>3</v>
      </c>
      <c r="Q673" s="2" t="n">
        <v>835</v>
      </c>
      <c r="R673" s="0" t="s">
        <v>450</v>
      </c>
      <c r="S673" s="0" t="s">
        <v>9037</v>
      </c>
    </row>
    <row r="674" customFormat="false" ht="13.8" hidden="false" customHeight="false" outlineLevel="0" collapsed="false">
      <c r="A674" s="0" t="s">
        <v>355</v>
      </c>
      <c r="B674" s="0" t="n">
        <v>82</v>
      </c>
      <c r="C674" s="0" t="s">
        <v>9034</v>
      </c>
      <c r="D674" s="0" t="s">
        <v>210</v>
      </c>
      <c r="E674" s="0" t="s">
        <v>210</v>
      </c>
      <c r="F674" s="4" t="n">
        <v>33</v>
      </c>
      <c r="G674" s="2" t="n">
        <v>0</v>
      </c>
      <c r="H674" s="2" t="n">
        <v>0</v>
      </c>
      <c r="I674" s="4" t="n">
        <v>2</v>
      </c>
      <c r="J674" s="2" t="n">
        <v>1</v>
      </c>
      <c r="K674" s="2" t="s">
        <v>13</v>
      </c>
      <c r="L674" s="4" t="n">
        <v>1</v>
      </c>
      <c r="M674" s="2" t="n">
        <v>0</v>
      </c>
      <c r="N674" s="2" t="n">
        <v>0</v>
      </c>
      <c r="O674" s="4" t="n">
        <v>3</v>
      </c>
      <c r="P674" s="0" t="s">
        <v>818</v>
      </c>
      <c r="Q674" s="2" t="n">
        <v>836</v>
      </c>
      <c r="R674" s="0" t="s">
        <v>210</v>
      </c>
      <c r="S674" s="0" t="s">
        <v>9038</v>
      </c>
    </row>
    <row r="675" customFormat="false" ht="13.8" hidden="false" customHeight="false" outlineLevel="0" collapsed="false">
      <c r="A675" s="0" t="s">
        <v>355</v>
      </c>
      <c r="B675" s="0" t="n">
        <v>82</v>
      </c>
      <c r="C675" s="0" t="s">
        <v>9034</v>
      </c>
      <c r="D675" s="0" t="s">
        <v>495</v>
      </c>
      <c r="E675" s="0" t="s">
        <v>495</v>
      </c>
      <c r="F675" s="4" t="n">
        <v>206</v>
      </c>
      <c r="G675" s="2" t="n">
        <v>0</v>
      </c>
      <c r="H675" s="2" t="n">
        <v>0</v>
      </c>
      <c r="I675" s="4" t="n">
        <v>2</v>
      </c>
      <c r="J675" s="2" t="n">
        <v>1</v>
      </c>
      <c r="K675" s="2" t="s">
        <v>13</v>
      </c>
      <c r="L675" s="4" t="n">
        <v>1</v>
      </c>
      <c r="M675" s="2" t="n">
        <v>0</v>
      </c>
      <c r="N675" s="2" t="n">
        <v>0</v>
      </c>
      <c r="O675" s="4" t="n">
        <v>3</v>
      </c>
      <c r="P675" s="0" t="s">
        <v>819</v>
      </c>
      <c r="Q675" s="2" t="n">
        <v>837</v>
      </c>
      <c r="R675" s="0" t="s">
        <v>495</v>
      </c>
      <c r="S675" s="0" t="s">
        <v>9039</v>
      </c>
    </row>
    <row r="676" customFormat="false" ht="13.8" hidden="false" customHeight="false" outlineLevel="0" collapsed="false">
      <c r="A676" s="0" t="s">
        <v>355</v>
      </c>
      <c r="B676" s="0" t="n">
        <v>82</v>
      </c>
      <c r="C676" s="0" t="s">
        <v>9034</v>
      </c>
      <c r="D676" s="0" t="s">
        <v>354</v>
      </c>
      <c r="E676" s="0" t="s">
        <v>354</v>
      </c>
      <c r="F676" s="4" t="n">
        <v>81</v>
      </c>
      <c r="G676" s="2" t="n">
        <v>0</v>
      </c>
      <c r="H676" s="2" t="n">
        <v>0</v>
      </c>
      <c r="I676" s="4" t="n">
        <v>2</v>
      </c>
      <c r="J676" s="2" t="n">
        <v>1</v>
      </c>
      <c r="K676" s="2" t="s">
        <v>13</v>
      </c>
      <c r="L676" s="4" t="n">
        <v>1</v>
      </c>
      <c r="M676" s="2" t="n">
        <v>0</v>
      </c>
      <c r="N676" s="2" t="n">
        <v>0</v>
      </c>
      <c r="O676" s="4" t="n">
        <v>3</v>
      </c>
      <c r="P676" s="0" t="s">
        <v>820</v>
      </c>
      <c r="Q676" s="2" t="n">
        <v>838</v>
      </c>
      <c r="R676" s="0" t="s">
        <v>354</v>
      </c>
      <c r="S676" s="0" t="s">
        <v>9040</v>
      </c>
    </row>
    <row r="677" customFormat="false" ht="13.8" hidden="false" customHeight="false" outlineLevel="0" collapsed="false">
      <c r="A677" s="0" t="s">
        <v>355</v>
      </c>
      <c r="B677" s="0" t="n">
        <v>82</v>
      </c>
      <c r="C677" s="0" t="s">
        <v>9034</v>
      </c>
      <c r="D677" s="0" t="s">
        <v>821</v>
      </c>
      <c r="E677" s="0" t="s">
        <v>380</v>
      </c>
      <c r="F677" s="4" t="n">
        <v>90</v>
      </c>
      <c r="G677" s="2" t="n">
        <v>15</v>
      </c>
      <c r="H677" s="2" t="s">
        <v>7</v>
      </c>
      <c r="I677" s="4" t="n">
        <v>2</v>
      </c>
      <c r="J677" s="2" t="n">
        <v>0</v>
      </c>
      <c r="K677" s="2" t="n">
        <v>0</v>
      </c>
      <c r="L677" s="4" t="n">
        <v>1</v>
      </c>
      <c r="M677" s="2" t="n">
        <v>0</v>
      </c>
      <c r="N677" s="2" t="n">
        <v>0</v>
      </c>
      <c r="O677" s="4" t="n">
        <v>3</v>
      </c>
      <c r="P677" s="0" t="s">
        <v>822</v>
      </c>
      <c r="Q677" s="2" t="n">
        <v>839</v>
      </c>
      <c r="R677" s="0" t="s">
        <v>380</v>
      </c>
      <c r="S677" s="0" t="s">
        <v>9041</v>
      </c>
    </row>
    <row r="678" customFormat="false" ht="13.8" hidden="false" customHeight="false" outlineLevel="0" collapsed="false">
      <c r="A678" s="0" t="s">
        <v>355</v>
      </c>
      <c r="B678" s="0" t="n">
        <v>82</v>
      </c>
      <c r="C678" s="0" t="s">
        <v>9034</v>
      </c>
      <c r="D678" s="0" t="s">
        <v>392</v>
      </c>
      <c r="E678" s="0" t="s">
        <v>392</v>
      </c>
      <c r="F678" s="4" t="n">
        <v>96</v>
      </c>
      <c r="G678" s="2" t="n">
        <v>500</v>
      </c>
      <c r="H678" s="2" t="s">
        <v>109</v>
      </c>
      <c r="I678" s="4" t="n">
        <v>7</v>
      </c>
      <c r="J678" s="2" t="n">
        <v>0</v>
      </c>
      <c r="K678" s="2" t="n">
        <v>0</v>
      </c>
      <c r="L678" s="4" t="n">
        <v>1</v>
      </c>
      <c r="M678" s="2" t="n">
        <v>0</v>
      </c>
      <c r="N678" s="2" t="n">
        <v>0</v>
      </c>
      <c r="O678" s="4" t="n">
        <v>3</v>
      </c>
      <c r="P678" s="0" t="s">
        <v>823</v>
      </c>
      <c r="Q678" s="2" t="n">
        <v>840</v>
      </c>
      <c r="R678" s="0" t="s">
        <v>392</v>
      </c>
      <c r="S678" s="0" t="s">
        <v>9042</v>
      </c>
    </row>
    <row r="679" customFormat="false" ht="13.8" hidden="false" customHeight="false" outlineLevel="0" collapsed="false">
      <c r="A679" s="0" t="s">
        <v>355</v>
      </c>
      <c r="B679" s="0" t="n">
        <v>82</v>
      </c>
      <c r="C679" s="0" t="s">
        <v>9034</v>
      </c>
      <c r="D679" s="0" t="s">
        <v>324</v>
      </c>
      <c r="E679" s="0" t="s">
        <v>324</v>
      </c>
      <c r="F679" s="4" t="n">
        <v>71</v>
      </c>
      <c r="G679" s="2" t="n">
        <v>0</v>
      </c>
      <c r="H679" s="2" t="n">
        <v>0</v>
      </c>
      <c r="I679" s="4" t="n">
        <v>2</v>
      </c>
      <c r="J679" s="2" t="n">
        <v>1.5</v>
      </c>
      <c r="K679" s="2" t="s">
        <v>20</v>
      </c>
      <c r="L679" s="4" t="n">
        <v>5</v>
      </c>
      <c r="M679" s="2" t="n">
        <v>0</v>
      </c>
      <c r="N679" s="2" t="n">
        <v>0</v>
      </c>
      <c r="O679" s="4" t="n">
        <v>3</v>
      </c>
      <c r="P679" s="0" t="s">
        <v>824</v>
      </c>
      <c r="Q679" s="2" t="n">
        <v>841</v>
      </c>
      <c r="R679" s="0" t="s">
        <v>324</v>
      </c>
      <c r="S679" s="0" t="s">
        <v>9043</v>
      </c>
    </row>
    <row r="680" customFormat="false" ht="13.8" hidden="false" customHeight="false" outlineLevel="0" collapsed="false">
      <c r="A680" s="0" t="s">
        <v>232</v>
      </c>
      <c r="B680" s="0" t="n">
        <v>41</v>
      </c>
      <c r="C680" s="0" t="s">
        <v>9044</v>
      </c>
      <c r="D680" s="0" t="s">
        <v>11</v>
      </c>
      <c r="E680" s="0" t="s">
        <v>348</v>
      </c>
      <c r="F680" s="4" t="n">
        <v>79</v>
      </c>
      <c r="G680" s="2" t="n">
        <v>6</v>
      </c>
      <c r="H680" s="2" t="s">
        <v>7</v>
      </c>
      <c r="I680" s="4" t="n">
        <v>2</v>
      </c>
      <c r="J680" s="2" t="n">
        <v>0</v>
      </c>
      <c r="K680" s="2" t="n">
        <v>0</v>
      </c>
      <c r="L680" s="4" t="n">
        <v>1</v>
      </c>
      <c r="M680" s="2" t="n">
        <v>0</v>
      </c>
      <c r="N680" s="2" t="n">
        <v>0</v>
      </c>
      <c r="O680" s="4" t="n">
        <v>3</v>
      </c>
      <c r="Q680" s="2" t="n">
        <v>843</v>
      </c>
      <c r="R680" s="0" t="s">
        <v>348</v>
      </c>
      <c r="S680" s="0" t="s">
        <v>9045</v>
      </c>
    </row>
    <row r="681" customFormat="false" ht="13.8" hidden="false" customHeight="false" outlineLevel="0" collapsed="false">
      <c r="A681" s="0" t="s">
        <v>232</v>
      </c>
      <c r="B681" s="0" t="n">
        <v>41</v>
      </c>
      <c r="C681" s="0" t="s">
        <v>9044</v>
      </c>
      <c r="D681" s="0" t="s">
        <v>800</v>
      </c>
      <c r="E681" s="0" t="s">
        <v>192</v>
      </c>
      <c r="F681" s="4" t="n">
        <v>27</v>
      </c>
      <c r="G681" s="2" t="n">
        <v>5</v>
      </c>
      <c r="H681" s="2" t="s">
        <v>7</v>
      </c>
      <c r="I681" s="4" t="n">
        <v>2</v>
      </c>
      <c r="J681" s="2" t="n">
        <v>0</v>
      </c>
      <c r="K681" s="2" t="n">
        <v>0</v>
      </c>
      <c r="L681" s="4" t="n">
        <v>1</v>
      </c>
      <c r="M681" s="2" t="n">
        <v>0</v>
      </c>
      <c r="N681" s="2" t="n">
        <v>0</v>
      </c>
      <c r="O681" s="4" t="n">
        <v>3</v>
      </c>
      <c r="Q681" s="2" t="n">
        <v>844</v>
      </c>
      <c r="R681" s="0" t="s">
        <v>192</v>
      </c>
      <c r="S681" s="0" t="s">
        <v>9046</v>
      </c>
    </row>
    <row r="682" customFormat="false" ht="13.8" hidden="false" customHeight="false" outlineLevel="0" collapsed="false">
      <c r="A682" s="0" t="s">
        <v>232</v>
      </c>
      <c r="B682" s="0" t="n">
        <v>41</v>
      </c>
      <c r="C682" s="0" t="s">
        <v>9044</v>
      </c>
      <c r="D682" s="0" t="s">
        <v>790</v>
      </c>
      <c r="E682" s="0" t="s">
        <v>374</v>
      </c>
      <c r="F682" s="4" t="n">
        <v>88</v>
      </c>
      <c r="G682" s="2" t="n">
        <v>6</v>
      </c>
      <c r="H682" s="2" t="s">
        <v>7</v>
      </c>
      <c r="I682" s="4" t="n">
        <v>2</v>
      </c>
      <c r="J682" s="2" t="n">
        <v>0</v>
      </c>
      <c r="K682" s="2" t="n">
        <v>0</v>
      </c>
      <c r="L682" s="4" t="n">
        <v>1</v>
      </c>
      <c r="M682" s="2" t="n">
        <v>0</v>
      </c>
      <c r="N682" s="2" t="n">
        <v>0</v>
      </c>
      <c r="O682" s="4" t="n">
        <v>3</v>
      </c>
      <c r="Q682" s="2" t="n">
        <v>845</v>
      </c>
      <c r="R682" s="0" t="s">
        <v>374</v>
      </c>
      <c r="S682" s="0" t="s">
        <v>9047</v>
      </c>
    </row>
    <row r="683" customFormat="false" ht="13.8" hidden="false" customHeight="false" outlineLevel="0" collapsed="false">
      <c r="A683" s="0" t="s">
        <v>232</v>
      </c>
      <c r="B683" s="0" t="n">
        <v>41</v>
      </c>
      <c r="C683" s="0" t="s">
        <v>9044</v>
      </c>
      <c r="D683" s="0" t="s">
        <v>10</v>
      </c>
      <c r="E683" s="0" t="s">
        <v>130</v>
      </c>
      <c r="F683" s="4" t="n">
        <v>8</v>
      </c>
      <c r="G683" s="2" t="n">
        <v>5</v>
      </c>
      <c r="H683" s="2" t="s">
        <v>7</v>
      </c>
      <c r="I683" s="4" t="n">
        <v>2</v>
      </c>
      <c r="J683" s="2" t="n">
        <v>0</v>
      </c>
      <c r="K683" s="2" t="n">
        <v>0</v>
      </c>
      <c r="L683" s="4" t="n">
        <v>1</v>
      </c>
      <c r="M683" s="2" t="n">
        <v>0</v>
      </c>
      <c r="N683" s="2" t="n">
        <v>0</v>
      </c>
      <c r="O683" s="4" t="n">
        <v>3</v>
      </c>
      <c r="Q683" s="2" t="n">
        <v>846</v>
      </c>
      <c r="R683" s="0" t="s">
        <v>130</v>
      </c>
      <c r="S683" s="0" t="s">
        <v>9048</v>
      </c>
    </row>
    <row r="684" customFormat="false" ht="13.8" hidden="false" customHeight="false" outlineLevel="0" collapsed="false">
      <c r="A684" s="0" t="s">
        <v>232</v>
      </c>
      <c r="B684" s="0" t="n">
        <v>41</v>
      </c>
      <c r="C684" s="0" t="s">
        <v>9044</v>
      </c>
      <c r="D684" s="0" t="s">
        <v>21</v>
      </c>
      <c r="E684" s="0" t="s">
        <v>485</v>
      </c>
      <c r="F684" s="4" t="n">
        <v>195</v>
      </c>
      <c r="G684" s="2" t="n">
        <v>5</v>
      </c>
      <c r="H684" s="2" t="s">
        <v>7</v>
      </c>
      <c r="I684" s="4" t="n">
        <v>2</v>
      </c>
      <c r="J684" s="2" t="n">
        <v>0</v>
      </c>
      <c r="K684" s="2" t="n">
        <v>0</v>
      </c>
      <c r="L684" s="4" t="n">
        <v>1</v>
      </c>
      <c r="M684" s="2" t="n">
        <v>0</v>
      </c>
      <c r="N684" s="2" t="n">
        <v>0</v>
      </c>
      <c r="O684" s="4" t="n">
        <v>3</v>
      </c>
      <c r="Q684" s="2" t="n">
        <v>847</v>
      </c>
      <c r="R684" s="0" t="s">
        <v>485</v>
      </c>
      <c r="S684" s="0" t="s">
        <v>9049</v>
      </c>
    </row>
    <row r="685" customFormat="false" ht="13.8" hidden="false" customHeight="false" outlineLevel="0" collapsed="false">
      <c r="A685" s="0" t="s">
        <v>232</v>
      </c>
      <c r="B685" s="0" t="n">
        <v>41</v>
      </c>
      <c r="C685" s="0" t="s">
        <v>9044</v>
      </c>
      <c r="D685" s="0" t="s">
        <v>801</v>
      </c>
      <c r="E685" s="0" t="s">
        <v>386</v>
      </c>
      <c r="F685" s="4" t="n">
        <v>93</v>
      </c>
      <c r="G685" s="2" t="n">
        <v>0</v>
      </c>
      <c r="H685" s="2" t="n">
        <v>0</v>
      </c>
      <c r="I685" s="4" t="n">
        <v>2</v>
      </c>
      <c r="J685" s="2" t="n">
        <v>1</v>
      </c>
      <c r="K685" s="2" t="s">
        <v>13</v>
      </c>
      <c r="L685" s="4" t="n">
        <v>1</v>
      </c>
      <c r="M685" s="2" t="n">
        <v>0</v>
      </c>
      <c r="N685" s="2" t="n">
        <v>0</v>
      </c>
      <c r="O685" s="4" t="n">
        <v>3</v>
      </c>
      <c r="Q685" s="2" t="n">
        <v>848</v>
      </c>
      <c r="R685" s="0" t="s">
        <v>386</v>
      </c>
      <c r="S685" s="0" t="s">
        <v>9050</v>
      </c>
    </row>
    <row r="686" customFormat="false" ht="13.8" hidden="false" customHeight="false" outlineLevel="0" collapsed="false">
      <c r="A686" s="0" t="s">
        <v>232</v>
      </c>
      <c r="B686" s="0" t="n">
        <v>41</v>
      </c>
      <c r="C686" s="0" t="s">
        <v>9044</v>
      </c>
      <c r="D686" s="0" t="s">
        <v>23</v>
      </c>
      <c r="E686" s="0" t="s">
        <v>309</v>
      </c>
      <c r="F686" s="4" t="n">
        <v>66</v>
      </c>
      <c r="G686" s="2" t="n">
        <v>0</v>
      </c>
      <c r="H686" s="2" t="n">
        <v>0</v>
      </c>
      <c r="I686" s="4" t="n">
        <v>2</v>
      </c>
      <c r="J686" s="2" t="n">
        <v>3</v>
      </c>
      <c r="K686" s="2" t="s">
        <v>13</v>
      </c>
      <c r="L686" s="4" t="n">
        <v>1</v>
      </c>
      <c r="M686" s="2" t="n">
        <v>0</v>
      </c>
      <c r="N686" s="2" t="n">
        <v>0</v>
      </c>
      <c r="O686" s="4" t="n">
        <v>3</v>
      </c>
      <c r="Q686" s="2" t="n">
        <v>849</v>
      </c>
      <c r="R686" s="0" t="s">
        <v>309</v>
      </c>
      <c r="S686" s="0" t="s">
        <v>9051</v>
      </c>
    </row>
    <row r="687" customFormat="false" ht="13.8" hidden="false" customHeight="false" outlineLevel="0" collapsed="false">
      <c r="A687" s="0" t="s">
        <v>232</v>
      </c>
      <c r="B687" s="0" t="n">
        <v>41</v>
      </c>
      <c r="C687" s="0" t="s">
        <v>9044</v>
      </c>
      <c r="D687" s="0" t="s">
        <v>802</v>
      </c>
      <c r="E687" s="0" t="s">
        <v>102</v>
      </c>
      <c r="F687" s="4" t="n">
        <v>1</v>
      </c>
      <c r="G687" s="2" t="n">
        <v>0</v>
      </c>
      <c r="H687" s="2" t="n">
        <v>0</v>
      </c>
      <c r="I687" s="4" t="n">
        <v>2</v>
      </c>
      <c r="J687" s="2" t="n">
        <v>0.5</v>
      </c>
      <c r="K687" s="2" t="s">
        <v>13</v>
      </c>
      <c r="L687" s="4" t="n">
        <v>1</v>
      </c>
      <c r="M687" s="2" t="n">
        <v>0</v>
      </c>
      <c r="N687" s="2" t="n">
        <v>0</v>
      </c>
      <c r="O687" s="4" t="n">
        <v>3</v>
      </c>
      <c r="Q687" s="2" t="n">
        <v>850</v>
      </c>
      <c r="R687" s="0" t="s">
        <v>102</v>
      </c>
      <c r="S687" s="0" t="s">
        <v>9052</v>
      </c>
    </row>
    <row r="688" customFormat="false" ht="13.8" hidden="false" customHeight="false" outlineLevel="0" collapsed="false">
      <c r="A688" s="0" t="s">
        <v>232</v>
      </c>
      <c r="B688" s="0" t="n">
        <v>41</v>
      </c>
      <c r="C688" s="0" t="s">
        <v>9044</v>
      </c>
      <c r="D688" s="0" t="s">
        <v>803</v>
      </c>
      <c r="E688" s="0" t="s">
        <v>38</v>
      </c>
      <c r="F688" s="4" t="n">
        <v>105</v>
      </c>
      <c r="G688" s="2" t="n">
        <v>0</v>
      </c>
      <c r="H688" s="2" t="n">
        <v>0</v>
      </c>
      <c r="I688" s="4" t="n">
        <v>2</v>
      </c>
      <c r="J688" s="2" t="n">
        <v>1</v>
      </c>
      <c r="K688" s="2" t="s">
        <v>13</v>
      </c>
      <c r="L688" s="4" t="n">
        <v>1</v>
      </c>
      <c r="M688" s="2" t="n">
        <v>0</v>
      </c>
      <c r="N688" s="2" t="n">
        <v>0</v>
      </c>
      <c r="O688" s="4" t="n">
        <v>3</v>
      </c>
      <c r="Q688" s="2" t="n">
        <v>851</v>
      </c>
      <c r="R688" s="0" t="s">
        <v>38</v>
      </c>
      <c r="S688" s="0" t="s">
        <v>9053</v>
      </c>
    </row>
    <row r="689" customFormat="false" ht="13.8" hidden="false" customHeight="false" outlineLevel="0" collapsed="false">
      <c r="A689" s="0" t="s">
        <v>232</v>
      </c>
      <c r="B689" s="0" t="n">
        <v>41</v>
      </c>
      <c r="C689" s="0" t="s">
        <v>9044</v>
      </c>
      <c r="D689" s="0" t="s">
        <v>393</v>
      </c>
      <c r="E689" s="0" t="s">
        <v>393</v>
      </c>
      <c r="F689" s="4" t="n">
        <v>97</v>
      </c>
      <c r="G689" s="2" t="n">
        <v>0</v>
      </c>
      <c r="H689" s="2" t="n">
        <v>0</v>
      </c>
      <c r="I689" s="4" t="n">
        <v>2</v>
      </c>
      <c r="J689" s="2" t="n">
        <v>80</v>
      </c>
      <c r="K689" s="2" t="s">
        <v>13</v>
      </c>
      <c r="L689" s="4" t="n">
        <v>1</v>
      </c>
      <c r="M689" s="2" t="n">
        <v>0</v>
      </c>
      <c r="N689" s="2" t="n">
        <v>0</v>
      </c>
      <c r="O689" s="4" t="n">
        <v>3</v>
      </c>
      <c r="Q689" s="2" t="n">
        <v>852</v>
      </c>
      <c r="R689" s="0" t="s">
        <v>393</v>
      </c>
      <c r="S689" s="0" t="s">
        <v>9054</v>
      </c>
    </row>
    <row r="690" customFormat="false" ht="13.8" hidden="false" customHeight="false" outlineLevel="0" collapsed="false">
      <c r="A690" s="0" t="s">
        <v>232</v>
      </c>
      <c r="B690" s="0" t="n">
        <v>41</v>
      </c>
      <c r="C690" s="0" t="s">
        <v>9044</v>
      </c>
      <c r="D690" s="0" t="s">
        <v>232</v>
      </c>
      <c r="E690" s="0" t="s">
        <v>233</v>
      </c>
      <c r="F690" s="4" t="n">
        <v>127</v>
      </c>
      <c r="G690" s="2" t="n">
        <v>25</v>
      </c>
      <c r="H690" s="2" t="s">
        <v>7</v>
      </c>
      <c r="I690" s="4" t="n">
        <v>2</v>
      </c>
      <c r="J690" s="2" t="n">
        <v>0</v>
      </c>
      <c r="K690" s="2" t="n">
        <v>0</v>
      </c>
      <c r="L690" s="4" t="n">
        <v>1</v>
      </c>
      <c r="M690" s="2" t="n">
        <v>0</v>
      </c>
      <c r="N690" s="2" t="n">
        <v>0</v>
      </c>
      <c r="O690" s="4" t="n">
        <v>3</v>
      </c>
      <c r="Q690" s="2" t="n">
        <v>853</v>
      </c>
      <c r="R690" s="0" t="s">
        <v>233</v>
      </c>
      <c r="S690" s="0" t="s">
        <v>9055</v>
      </c>
    </row>
    <row r="691" customFormat="false" ht="13.8" hidden="false" customHeight="false" outlineLevel="0" collapsed="false">
      <c r="A691" s="0" t="s">
        <v>232</v>
      </c>
      <c r="B691" s="0" t="n">
        <v>41</v>
      </c>
      <c r="C691" s="0" t="s">
        <v>9044</v>
      </c>
      <c r="D691" s="0" t="s">
        <v>805</v>
      </c>
      <c r="E691" s="0" t="s">
        <v>360</v>
      </c>
      <c r="F691" s="4" t="n">
        <v>83</v>
      </c>
      <c r="G691" s="2" t="n">
        <v>0</v>
      </c>
      <c r="H691" s="2" t="n">
        <v>0</v>
      </c>
      <c r="I691" s="4" t="n">
        <v>2</v>
      </c>
      <c r="J691" s="2" t="n">
        <v>5</v>
      </c>
      <c r="K691" s="2" t="s">
        <v>13</v>
      </c>
      <c r="L691" s="4" t="n">
        <v>1</v>
      </c>
      <c r="M691" s="2" t="n">
        <v>0</v>
      </c>
      <c r="N691" s="2" t="n">
        <v>0</v>
      </c>
      <c r="O691" s="4" t="n">
        <v>3</v>
      </c>
      <c r="Q691" s="2" t="n">
        <v>854</v>
      </c>
      <c r="R691" s="0" t="s">
        <v>360</v>
      </c>
      <c r="S691" s="0" t="s">
        <v>9056</v>
      </c>
    </row>
    <row r="692" customFormat="false" ht="13.8" hidden="false" customHeight="false" outlineLevel="0" collapsed="false">
      <c r="A692" s="0" t="s">
        <v>232</v>
      </c>
      <c r="B692" s="0" t="n">
        <v>41</v>
      </c>
      <c r="C692" s="0" t="s">
        <v>9044</v>
      </c>
      <c r="D692" s="0" t="s">
        <v>570</v>
      </c>
      <c r="E692" s="0" t="s">
        <v>456</v>
      </c>
      <c r="F692" s="4" t="n">
        <v>164</v>
      </c>
      <c r="G692" s="2" t="n">
        <v>0</v>
      </c>
      <c r="H692" s="2" t="n">
        <v>0</v>
      </c>
      <c r="I692" s="4" t="n">
        <v>2</v>
      </c>
      <c r="J692" s="2" t="n">
        <v>2</v>
      </c>
      <c r="K692" s="2" t="s">
        <v>20</v>
      </c>
      <c r="L692" s="4" t="n">
        <v>5</v>
      </c>
      <c r="M692" s="2" t="n">
        <v>0</v>
      </c>
      <c r="N692" s="2" t="n">
        <v>0</v>
      </c>
      <c r="O692" s="4" t="n">
        <v>3</v>
      </c>
      <c r="Q692" s="2" t="n">
        <v>855</v>
      </c>
      <c r="R692" s="0" t="s">
        <v>456</v>
      </c>
      <c r="S692" s="0" t="s">
        <v>9057</v>
      </c>
    </row>
    <row r="693" customFormat="false" ht="13.8" hidden="false" customHeight="false" outlineLevel="0" collapsed="false">
      <c r="A693" s="0" t="s">
        <v>232</v>
      </c>
      <c r="B693" s="0" t="n">
        <v>41</v>
      </c>
      <c r="C693" s="0" t="s">
        <v>9044</v>
      </c>
      <c r="D693" s="0" t="s">
        <v>14</v>
      </c>
      <c r="E693" s="0" t="s">
        <v>398</v>
      </c>
      <c r="F693" s="4" t="n">
        <v>102</v>
      </c>
      <c r="G693" s="2" t="n">
        <v>0</v>
      </c>
      <c r="H693" s="2" t="n">
        <v>0</v>
      </c>
      <c r="I693" s="4" t="n">
        <v>2</v>
      </c>
      <c r="J693" s="2" t="n">
        <v>2</v>
      </c>
      <c r="K693" s="2" t="s">
        <v>20</v>
      </c>
      <c r="L693" s="4" t="n">
        <v>5</v>
      </c>
      <c r="M693" s="2" t="n">
        <v>0</v>
      </c>
      <c r="N693" s="2" t="n">
        <v>0</v>
      </c>
      <c r="O693" s="4" t="n">
        <v>3</v>
      </c>
      <c r="Q693" s="2" t="n">
        <v>856</v>
      </c>
      <c r="R693" s="0" t="s">
        <v>398</v>
      </c>
      <c r="S693" s="0" t="s">
        <v>9058</v>
      </c>
    </row>
    <row r="694" customFormat="false" ht="13.8" hidden="false" customHeight="false" outlineLevel="0" collapsed="false">
      <c r="A694" s="0" t="s">
        <v>232</v>
      </c>
      <c r="B694" s="0" t="n">
        <v>41</v>
      </c>
      <c r="C694" s="0" t="s">
        <v>9044</v>
      </c>
      <c r="D694" s="0" t="s">
        <v>165</v>
      </c>
      <c r="E694" s="0" t="s">
        <v>165</v>
      </c>
      <c r="F694" s="4" t="n">
        <v>18</v>
      </c>
      <c r="G694" s="2" t="n">
        <v>0</v>
      </c>
      <c r="H694" s="2" t="n">
        <v>0</v>
      </c>
      <c r="I694" s="4" t="n">
        <v>2</v>
      </c>
      <c r="J694" s="2" t="n">
        <v>2.5</v>
      </c>
      <c r="K694" s="2" t="s">
        <v>20</v>
      </c>
      <c r="L694" s="4" t="n">
        <v>5</v>
      </c>
      <c r="M694" s="2" t="n">
        <v>0</v>
      </c>
      <c r="N694" s="2" t="n">
        <v>0</v>
      </c>
      <c r="O694" s="4" t="n">
        <v>3</v>
      </c>
      <c r="Q694" s="2" t="n">
        <v>857</v>
      </c>
      <c r="R694" s="0" t="s">
        <v>165</v>
      </c>
      <c r="S694" s="0" t="s">
        <v>9059</v>
      </c>
    </row>
    <row r="695" customFormat="false" ht="13.8" hidden="false" customHeight="false" outlineLevel="0" collapsed="false">
      <c r="A695" s="0" t="s">
        <v>232</v>
      </c>
      <c r="B695" s="0" t="n">
        <v>41</v>
      </c>
      <c r="C695" s="0" t="s">
        <v>9044</v>
      </c>
      <c r="D695" s="0" t="s">
        <v>382</v>
      </c>
      <c r="E695" s="0" t="s">
        <v>382</v>
      </c>
      <c r="F695" s="4" t="n">
        <v>91</v>
      </c>
      <c r="G695" s="2" t="n">
        <v>0</v>
      </c>
      <c r="H695" s="2" t="n">
        <v>0</v>
      </c>
      <c r="I695" s="4" t="n">
        <v>2</v>
      </c>
      <c r="J695" s="2" t="n">
        <v>1</v>
      </c>
      <c r="K695" s="2" t="s">
        <v>20</v>
      </c>
      <c r="L695" s="4" t="n">
        <v>5</v>
      </c>
      <c r="M695" s="2" t="n">
        <v>0</v>
      </c>
      <c r="N695" s="2" t="n">
        <v>0</v>
      </c>
      <c r="O695" s="4" t="n">
        <v>3</v>
      </c>
      <c r="Q695" s="2" t="n">
        <v>858</v>
      </c>
      <c r="R695" s="0" t="s">
        <v>382</v>
      </c>
      <c r="S695" s="0" t="s">
        <v>9060</v>
      </c>
    </row>
    <row r="696" customFormat="false" ht="13.8" hidden="false" customHeight="false" outlineLevel="0" collapsed="false">
      <c r="A696" s="0" t="s">
        <v>232</v>
      </c>
      <c r="B696" s="0" t="n">
        <v>41</v>
      </c>
      <c r="C696" s="0" t="s">
        <v>9044</v>
      </c>
      <c r="D696" s="0" t="s">
        <v>825</v>
      </c>
      <c r="E696" s="0" t="s">
        <v>412</v>
      </c>
      <c r="F696" s="4" t="n">
        <v>117</v>
      </c>
      <c r="G696" s="2" t="n">
        <v>0</v>
      </c>
      <c r="H696" s="2" t="n">
        <v>0</v>
      </c>
      <c r="I696" s="4" t="n">
        <v>2</v>
      </c>
      <c r="J696" s="2" t="n">
        <v>0.5</v>
      </c>
      <c r="K696" s="2" t="s">
        <v>20</v>
      </c>
      <c r="L696" s="4" t="n">
        <v>5</v>
      </c>
      <c r="M696" s="2" t="n">
        <v>0</v>
      </c>
      <c r="N696" s="2" t="n">
        <v>0</v>
      </c>
      <c r="O696" s="4" t="n">
        <v>3</v>
      </c>
      <c r="Q696" s="2" t="n">
        <v>859</v>
      </c>
      <c r="R696" s="0" t="s">
        <v>412</v>
      </c>
      <c r="S696" s="0" t="s">
        <v>9061</v>
      </c>
    </row>
    <row r="697" customFormat="false" ht="13.8" hidden="false" customHeight="false" outlineLevel="0" collapsed="false">
      <c r="A697" s="0" t="s">
        <v>232</v>
      </c>
      <c r="B697" s="0" t="n">
        <v>41</v>
      </c>
      <c r="C697" s="0" t="s">
        <v>9044</v>
      </c>
      <c r="D697" s="0" t="s">
        <v>826</v>
      </c>
      <c r="E697" s="0" t="s">
        <v>428</v>
      </c>
      <c r="F697" s="4" t="n">
        <v>134</v>
      </c>
      <c r="G697" s="2" t="n">
        <v>0</v>
      </c>
      <c r="H697" s="2" t="n">
        <v>0</v>
      </c>
      <c r="I697" s="4" t="n">
        <v>2</v>
      </c>
      <c r="J697" s="2" t="n">
        <v>0.5</v>
      </c>
      <c r="K697" s="2" t="s">
        <v>13</v>
      </c>
      <c r="L697" s="4" t="n">
        <v>1</v>
      </c>
      <c r="M697" s="2" t="n">
        <v>0</v>
      </c>
      <c r="N697" s="2" t="n">
        <v>0</v>
      </c>
      <c r="O697" s="4" t="n">
        <v>3</v>
      </c>
      <c r="Q697" s="2" t="n">
        <v>860</v>
      </c>
      <c r="R697" s="0" t="s">
        <v>428</v>
      </c>
      <c r="S697" s="0" t="s">
        <v>9062</v>
      </c>
    </row>
    <row r="698" customFormat="false" ht="13.8" hidden="false" customHeight="false" outlineLevel="0" collapsed="false">
      <c r="A698" s="0" t="s">
        <v>232</v>
      </c>
      <c r="B698" s="0" t="n">
        <v>41</v>
      </c>
      <c r="C698" s="0" t="s">
        <v>9044</v>
      </c>
      <c r="D698" s="0" t="s">
        <v>391</v>
      </c>
      <c r="E698" s="0" t="s">
        <v>391</v>
      </c>
      <c r="F698" s="4" t="n">
        <v>95</v>
      </c>
      <c r="G698" s="2" t="n">
        <v>0</v>
      </c>
      <c r="H698" s="2" t="n">
        <v>0</v>
      </c>
      <c r="I698" s="4" t="n">
        <v>2</v>
      </c>
      <c r="J698" s="2" t="n">
        <v>0.5</v>
      </c>
      <c r="K698" s="2" t="s">
        <v>20</v>
      </c>
      <c r="L698" s="4" t="n">
        <v>5</v>
      </c>
      <c r="M698" s="2" t="n">
        <v>0</v>
      </c>
      <c r="N698" s="2" t="n">
        <v>0</v>
      </c>
      <c r="O698" s="4" t="n">
        <v>3</v>
      </c>
      <c r="Q698" s="2" t="n">
        <v>861</v>
      </c>
      <c r="R698" s="0" t="s">
        <v>391</v>
      </c>
      <c r="S698" s="0" t="s">
        <v>9063</v>
      </c>
    </row>
    <row r="699" customFormat="false" ht="13.8" hidden="false" customHeight="false" outlineLevel="0" collapsed="false">
      <c r="A699" s="0" t="s">
        <v>232</v>
      </c>
      <c r="B699" s="0" t="n">
        <v>41</v>
      </c>
      <c r="C699" s="0" t="s">
        <v>9044</v>
      </c>
      <c r="D699" s="0" t="s">
        <v>96</v>
      </c>
      <c r="E699" s="0" t="s">
        <v>96</v>
      </c>
      <c r="F699" s="4" t="n">
        <v>177</v>
      </c>
      <c r="G699" s="2" t="n">
        <v>0</v>
      </c>
      <c r="H699" s="2" t="n">
        <v>0</v>
      </c>
      <c r="I699" s="4" t="n">
        <v>2</v>
      </c>
      <c r="J699" s="2" t="n">
        <v>0.5</v>
      </c>
      <c r="K699" s="2" t="s">
        <v>20</v>
      </c>
      <c r="L699" s="4" t="n">
        <v>5</v>
      </c>
      <c r="M699" s="2" t="n">
        <v>0</v>
      </c>
      <c r="N699" s="2" t="n">
        <v>0</v>
      </c>
      <c r="O699" s="4" t="n">
        <v>3</v>
      </c>
      <c r="Q699" s="2" t="n">
        <v>862</v>
      </c>
      <c r="R699" s="0" t="s">
        <v>96</v>
      </c>
      <c r="S699" s="0" t="s">
        <v>9064</v>
      </c>
    </row>
    <row r="700" customFormat="false" ht="13.8" hidden="false" customHeight="false" outlineLevel="0" collapsed="false">
      <c r="A700" s="0" t="s">
        <v>265</v>
      </c>
      <c r="B700" s="0" t="n">
        <v>52</v>
      </c>
      <c r="C700" s="0" t="s">
        <v>9065</v>
      </c>
      <c r="D700" s="0" t="s">
        <v>228</v>
      </c>
      <c r="E700" s="0" t="s">
        <v>228</v>
      </c>
      <c r="F700" s="4" t="n">
        <v>39</v>
      </c>
      <c r="G700" s="2" t="n">
        <v>5</v>
      </c>
      <c r="H700" s="2" t="s">
        <v>7</v>
      </c>
      <c r="I700" s="4" t="n">
        <v>2</v>
      </c>
      <c r="J700" s="2" t="n">
        <v>0</v>
      </c>
      <c r="K700" s="2" t="n">
        <v>0</v>
      </c>
      <c r="L700" s="4" t="n">
        <v>1</v>
      </c>
      <c r="M700" s="2" t="n">
        <v>0</v>
      </c>
      <c r="N700" s="2" t="n">
        <v>0</v>
      </c>
      <c r="O700" s="4" t="n">
        <v>3</v>
      </c>
      <c r="P700" s="0" t="s">
        <v>827</v>
      </c>
      <c r="Q700" s="2" t="n">
        <v>864</v>
      </c>
      <c r="R700" s="0" t="s">
        <v>228</v>
      </c>
      <c r="S700" s="0" t="s">
        <v>9066</v>
      </c>
    </row>
    <row r="701" customFormat="false" ht="13.8" hidden="false" customHeight="false" outlineLevel="0" collapsed="false">
      <c r="A701" s="0" t="s">
        <v>265</v>
      </c>
      <c r="B701" s="0" t="n">
        <v>52</v>
      </c>
      <c r="C701" s="0" t="s">
        <v>9065</v>
      </c>
      <c r="D701" s="0" t="s">
        <v>828</v>
      </c>
      <c r="E701" s="0" t="s">
        <v>237</v>
      </c>
      <c r="F701" s="4" t="n">
        <v>42</v>
      </c>
      <c r="G701" s="2" t="n">
        <v>5</v>
      </c>
      <c r="H701" s="2" t="s">
        <v>7</v>
      </c>
      <c r="I701" s="4" t="n">
        <v>2</v>
      </c>
      <c r="J701" s="2" t="n">
        <v>0</v>
      </c>
      <c r="K701" s="2" t="n">
        <v>0</v>
      </c>
      <c r="L701" s="4" t="n">
        <v>1</v>
      </c>
      <c r="M701" s="2" t="n">
        <v>0</v>
      </c>
      <c r="N701" s="2" t="n">
        <v>0</v>
      </c>
      <c r="O701" s="4" t="n">
        <v>3</v>
      </c>
      <c r="P701" s="0" t="s">
        <v>829</v>
      </c>
      <c r="Q701" s="2" t="n">
        <v>865</v>
      </c>
      <c r="R701" s="0" t="s">
        <v>237</v>
      </c>
      <c r="S701" s="0" t="s">
        <v>9067</v>
      </c>
    </row>
    <row r="702" customFormat="false" ht="13.8" hidden="false" customHeight="false" outlineLevel="0" collapsed="false">
      <c r="A702" s="0" t="s">
        <v>265</v>
      </c>
      <c r="B702" s="0" t="n">
        <v>52</v>
      </c>
      <c r="C702" s="0" t="s">
        <v>9065</v>
      </c>
      <c r="D702" s="0" t="s">
        <v>348</v>
      </c>
      <c r="E702" s="0" t="s">
        <v>348</v>
      </c>
      <c r="F702" s="4" t="n">
        <v>79</v>
      </c>
      <c r="G702" s="2" t="n">
        <v>5</v>
      </c>
      <c r="H702" s="2" t="s">
        <v>7</v>
      </c>
      <c r="I702" s="4" t="n">
        <v>2</v>
      </c>
      <c r="J702" s="2" t="n">
        <v>0</v>
      </c>
      <c r="K702" s="2" t="n">
        <v>0</v>
      </c>
      <c r="L702" s="4" t="n">
        <v>1</v>
      </c>
      <c r="M702" s="2" t="n">
        <v>0</v>
      </c>
      <c r="N702" s="2" t="n">
        <v>0</v>
      </c>
      <c r="O702" s="4" t="n">
        <v>3</v>
      </c>
      <c r="P702" s="0" t="s">
        <v>830</v>
      </c>
      <c r="Q702" s="2" t="n">
        <v>866</v>
      </c>
      <c r="R702" s="0" t="s">
        <v>348</v>
      </c>
      <c r="S702" s="0" t="s">
        <v>9068</v>
      </c>
    </row>
    <row r="703" customFormat="false" ht="13.8" hidden="false" customHeight="false" outlineLevel="0" collapsed="false">
      <c r="A703" s="0" t="s">
        <v>265</v>
      </c>
      <c r="B703" s="0" t="n">
        <v>52</v>
      </c>
      <c r="C703" s="0" t="s">
        <v>9065</v>
      </c>
      <c r="D703" s="0" t="s">
        <v>192</v>
      </c>
      <c r="E703" s="0" t="s">
        <v>192</v>
      </c>
      <c r="F703" s="4" t="n">
        <v>27</v>
      </c>
      <c r="G703" s="2" t="n">
        <v>5</v>
      </c>
      <c r="H703" s="2" t="s">
        <v>7</v>
      </c>
      <c r="I703" s="4" t="n">
        <v>2</v>
      </c>
      <c r="J703" s="2" t="n">
        <v>0</v>
      </c>
      <c r="K703" s="2" t="n">
        <v>0</v>
      </c>
      <c r="L703" s="4" t="n">
        <v>1</v>
      </c>
      <c r="M703" s="2" t="n">
        <v>0</v>
      </c>
      <c r="N703" s="2" t="n">
        <v>0</v>
      </c>
      <c r="O703" s="4" t="n">
        <v>3</v>
      </c>
      <c r="Q703" s="2" t="n">
        <v>867</v>
      </c>
      <c r="R703" s="0" t="s">
        <v>192</v>
      </c>
      <c r="S703" s="0" t="s">
        <v>9069</v>
      </c>
    </row>
    <row r="704" customFormat="false" ht="13.8" hidden="false" customHeight="false" outlineLevel="0" collapsed="false">
      <c r="A704" s="0" t="s">
        <v>265</v>
      </c>
      <c r="B704" s="0" t="n">
        <v>52</v>
      </c>
      <c r="C704" s="0" t="s">
        <v>9065</v>
      </c>
      <c r="D704" s="0" t="s">
        <v>831</v>
      </c>
      <c r="E704" s="0" t="s">
        <v>386</v>
      </c>
      <c r="F704" s="4" t="n">
        <v>93</v>
      </c>
      <c r="G704" s="2" t="n">
        <v>0</v>
      </c>
      <c r="H704" s="2" t="n">
        <v>0</v>
      </c>
      <c r="I704" s="4" t="n">
        <v>2</v>
      </c>
      <c r="J704" s="2" t="n">
        <v>1.25</v>
      </c>
      <c r="K704" s="2" t="s">
        <v>13</v>
      </c>
      <c r="L704" s="4" t="n">
        <v>1</v>
      </c>
      <c r="M704" s="2" t="n">
        <v>0</v>
      </c>
      <c r="N704" s="2" t="n">
        <v>0</v>
      </c>
      <c r="O704" s="4" t="n">
        <v>3</v>
      </c>
      <c r="Q704" s="2" t="n">
        <v>868</v>
      </c>
      <c r="R704" s="0" t="s">
        <v>386</v>
      </c>
      <c r="S704" s="0" t="s">
        <v>9070</v>
      </c>
    </row>
    <row r="705" customFormat="false" ht="13.8" hidden="false" customHeight="false" outlineLevel="0" collapsed="false">
      <c r="A705" s="0" t="s">
        <v>265</v>
      </c>
      <c r="B705" s="0" t="n">
        <v>52</v>
      </c>
      <c r="C705" s="0" t="s">
        <v>9065</v>
      </c>
      <c r="D705" s="0" t="s">
        <v>832</v>
      </c>
      <c r="E705" s="0" t="s">
        <v>102</v>
      </c>
      <c r="F705" s="4" t="n">
        <v>1</v>
      </c>
      <c r="G705" s="2" t="n">
        <v>0</v>
      </c>
      <c r="H705" s="2" t="n">
        <v>0</v>
      </c>
      <c r="I705" s="4" t="n">
        <v>2</v>
      </c>
      <c r="J705" s="2" t="n">
        <v>2</v>
      </c>
      <c r="K705" s="2" t="s">
        <v>13</v>
      </c>
      <c r="L705" s="4" t="n">
        <v>1</v>
      </c>
      <c r="M705" s="2" t="n">
        <v>0</v>
      </c>
      <c r="N705" s="2" t="n">
        <v>0</v>
      </c>
      <c r="O705" s="4" t="n">
        <v>3</v>
      </c>
      <c r="Q705" s="2" t="n">
        <v>869</v>
      </c>
      <c r="R705" s="0" t="s">
        <v>102</v>
      </c>
      <c r="S705" s="0" t="s">
        <v>9071</v>
      </c>
    </row>
    <row r="706" customFormat="false" ht="13.8" hidden="false" customHeight="false" outlineLevel="0" collapsed="false">
      <c r="A706" s="0" t="s">
        <v>265</v>
      </c>
      <c r="B706" s="0" t="n">
        <v>52</v>
      </c>
      <c r="C706" s="0" t="s">
        <v>9065</v>
      </c>
      <c r="D706" s="0" t="s">
        <v>833</v>
      </c>
      <c r="E706" s="0" t="s">
        <v>423</v>
      </c>
      <c r="F706" s="4" t="n">
        <v>129</v>
      </c>
      <c r="G706" s="2" t="n">
        <v>0</v>
      </c>
      <c r="H706" s="2" t="n">
        <v>0</v>
      </c>
      <c r="I706" s="4" t="n">
        <v>2</v>
      </c>
      <c r="J706" s="2" t="n">
        <v>2</v>
      </c>
      <c r="K706" s="2" t="s">
        <v>20</v>
      </c>
      <c r="L706" s="4" t="n">
        <v>5</v>
      </c>
      <c r="M706" s="2" t="n">
        <v>0</v>
      </c>
      <c r="N706" s="2" t="n">
        <v>0</v>
      </c>
      <c r="O706" s="4" t="n">
        <v>3</v>
      </c>
      <c r="Q706" s="2" t="n">
        <v>870</v>
      </c>
      <c r="R706" s="0" t="s">
        <v>423</v>
      </c>
      <c r="S706" s="0" t="s">
        <v>9072</v>
      </c>
    </row>
    <row r="707" customFormat="false" ht="13.8" hidden="false" customHeight="false" outlineLevel="0" collapsed="false">
      <c r="A707" s="0" t="s">
        <v>265</v>
      </c>
      <c r="B707" s="0" t="n">
        <v>52</v>
      </c>
      <c r="C707" s="0" t="s">
        <v>9065</v>
      </c>
      <c r="D707" s="0" t="s">
        <v>485</v>
      </c>
      <c r="E707" s="0" t="s">
        <v>485</v>
      </c>
      <c r="F707" s="4" t="n">
        <v>195</v>
      </c>
      <c r="G707" s="2" t="n">
        <v>15</v>
      </c>
      <c r="H707" s="2" t="s">
        <v>7</v>
      </c>
      <c r="I707" s="4" t="n">
        <v>2</v>
      </c>
      <c r="J707" s="2" t="n">
        <v>0</v>
      </c>
      <c r="K707" s="2" t="n">
        <v>0</v>
      </c>
      <c r="L707" s="4" t="n">
        <v>1</v>
      </c>
      <c r="M707" s="2" t="n">
        <v>0</v>
      </c>
      <c r="N707" s="2" t="n">
        <v>0</v>
      </c>
      <c r="O707" s="4" t="n">
        <v>3</v>
      </c>
      <c r="Q707" s="2" t="n">
        <v>871</v>
      </c>
      <c r="R707" s="0" t="s">
        <v>485</v>
      </c>
      <c r="S707" s="0" t="s">
        <v>9073</v>
      </c>
    </row>
    <row r="708" customFormat="false" ht="13.8" hidden="false" customHeight="false" outlineLevel="0" collapsed="false">
      <c r="A708" s="0" t="s">
        <v>265</v>
      </c>
      <c r="B708" s="0" t="n">
        <v>52</v>
      </c>
      <c r="C708" s="0" t="s">
        <v>9065</v>
      </c>
      <c r="D708" s="0" t="s">
        <v>509</v>
      </c>
      <c r="E708" s="0" t="s">
        <v>509</v>
      </c>
      <c r="F708" s="4" t="n">
        <v>222</v>
      </c>
      <c r="G708" s="2" t="n">
        <v>6</v>
      </c>
      <c r="H708" s="2" t="s">
        <v>7</v>
      </c>
      <c r="I708" s="4" t="n">
        <v>2</v>
      </c>
      <c r="J708" s="2" t="n">
        <v>1.5</v>
      </c>
      <c r="K708" s="2" t="s">
        <v>13</v>
      </c>
      <c r="L708" s="4" t="n">
        <v>1</v>
      </c>
      <c r="M708" s="2" t="n">
        <v>0</v>
      </c>
      <c r="N708" s="2" t="n">
        <v>0</v>
      </c>
      <c r="O708" s="4" t="n">
        <v>3</v>
      </c>
      <c r="Q708" s="2" t="n">
        <v>872</v>
      </c>
      <c r="R708" s="0" t="s">
        <v>509</v>
      </c>
      <c r="S708" s="0" t="s">
        <v>9074</v>
      </c>
    </row>
    <row r="709" customFormat="false" ht="13.8" hidden="false" customHeight="false" outlineLevel="0" collapsed="false">
      <c r="A709" s="0" t="s">
        <v>265</v>
      </c>
      <c r="B709" s="0" t="n">
        <v>52</v>
      </c>
      <c r="C709" s="0" t="s">
        <v>9065</v>
      </c>
      <c r="D709" s="0" t="s">
        <v>834</v>
      </c>
      <c r="E709" s="0" t="s">
        <v>486</v>
      </c>
      <c r="F709" s="4" t="n">
        <v>196</v>
      </c>
      <c r="G709" s="2" t="n">
        <v>6</v>
      </c>
      <c r="H709" s="2" t="s">
        <v>7</v>
      </c>
      <c r="I709" s="4" t="n">
        <v>2</v>
      </c>
      <c r="J709" s="2" t="n">
        <v>1</v>
      </c>
      <c r="K709" s="2" t="s">
        <v>20</v>
      </c>
      <c r="L709" s="4" t="n">
        <v>5</v>
      </c>
      <c r="M709" s="2" t="n">
        <v>0</v>
      </c>
      <c r="N709" s="2" t="n">
        <v>0</v>
      </c>
      <c r="O709" s="4" t="n">
        <v>3</v>
      </c>
      <c r="Q709" s="2" t="n">
        <v>873</v>
      </c>
      <c r="R709" s="0" t="s">
        <v>486</v>
      </c>
      <c r="S709" s="0" t="s">
        <v>9075</v>
      </c>
    </row>
    <row r="710" customFormat="false" ht="13.8" hidden="false" customHeight="false" outlineLevel="0" collapsed="false">
      <c r="A710" s="0" t="s">
        <v>265</v>
      </c>
      <c r="B710" s="0" t="n">
        <v>52</v>
      </c>
      <c r="C710" s="0" t="s">
        <v>9065</v>
      </c>
      <c r="D710" s="0" t="s">
        <v>476</v>
      </c>
      <c r="E710" s="0" t="s">
        <v>476</v>
      </c>
      <c r="F710" s="4" t="n">
        <v>185</v>
      </c>
      <c r="G710" s="2" t="n">
        <v>6</v>
      </c>
      <c r="H710" s="2" t="s">
        <v>7</v>
      </c>
      <c r="I710" s="4" t="n">
        <v>2</v>
      </c>
      <c r="J710" s="2" t="n">
        <v>0</v>
      </c>
      <c r="K710" s="2" t="n">
        <v>0</v>
      </c>
      <c r="L710" s="4" t="n">
        <v>1</v>
      </c>
      <c r="M710" s="2" t="n">
        <v>0</v>
      </c>
      <c r="N710" s="2" t="n">
        <v>0</v>
      </c>
      <c r="O710" s="4" t="n">
        <v>3</v>
      </c>
      <c r="Q710" s="2" t="n">
        <v>874</v>
      </c>
      <c r="R710" s="0" t="s">
        <v>476</v>
      </c>
      <c r="S710" s="0" t="s">
        <v>9076</v>
      </c>
    </row>
    <row r="711" customFormat="false" ht="13.8" hidden="false" customHeight="false" outlineLevel="0" collapsed="false">
      <c r="A711" s="0" t="s">
        <v>265</v>
      </c>
      <c r="B711" s="0" t="n">
        <v>52</v>
      </c>
      <c r="C711" s="0" t="s">
        <v>9065</v>
      </c>
      <c r="D711" s="0" t="s">
        <v>266</v>
      </c>
      <c r="E711" s="0" t="s">
        <v>266</v>
      </c>
      <c r="F711" s="4" t="n">
        <v>151</v>
      </c>
      <c r="G711" s="2" t="n">
        <v>0</v>
      </c>
      <c r="H711" s="2" t="n">
        <v>0</v>
      </c>
      <c r="I711" s="4" t="n">
        <v>2</v>
      </c>
      <c r="J711" s="2" t="n">
        <v>1.25</v>
      </c>
      <c r="K711" s="2" t="s">
        <v>13</v>
      </c>
      <c r="L711" s="4" t="n">
        <v>1</v>
      </c>
      <c r="M711" s="2" t="n">
        <v>0</v>
      </c>
      <c r="N711" s="2" t="n">
        <v>0</v>
      </c>
      <c r="O711" s="4" t="n">
        <v>3</v>
      </c>
      <c r="Q711" s="2" t="n">
        <v>875</v>
      </c>
      <c r="R711" s="0" t="s">
        <v>266</v>
      </c>
      <c r="S711" s="0" t="s">
        <v>9077</v>
      </c>
    </row>
    <row r="712" customFormat="false" ht="13.8" hidden="false" customHeight="false" outlineLevel="0" collapsed="false">
      <c r="A712" s="0" t="s">
        <v>265</v>
      </c>
      <c r="B712" s="0" t="n">
        <v>52</v>
      </c>
      <c r="C712" s="0" t="s">
        <v>9065</v>
      </c>
      <c r="D712" s="0" t="s">
        <v>377</v>
      </c>
      <c r="E712" s="0" t="s">
        <v>377</v>
      </c>
      <c r="F712" s="4" t="n">
        <v>89</v>
      </c>
      <c r="G712" s="2" t="n">
        <v>6</v>
      </c>
      <c r="H712" s="2" t="s">
        <v>7</v>
      </c>
      <c r="I712" s="4" t="n">
        <v>2</v>
      </c>
      <c r="J712" s="2" t="n">
        <v>0.5</v>
      </c>
      <c r="K712" s="2" t="s">
        <v>13</v>
      </c>
      <c r="L712" s="4" t="n">
        <v>1</v>
      </c>
      <c r="M712" s="2" t="n">
        <v>0</v>
      </c>
      <c r="N712" s="2" t="n">
        <v>0</v>
      </c>
      <c r="O712" s="4" t="n">
        <v>3</v>
      </c>
      <c r="Q712" s="2" t="n">
        <v>876</v>
      </c>
      <c r="R712" s="0" t="s">
        <v>377</v>
      </c>
      <c r="S712" s="0" t="s">
        <v>9078</v>
      </c>
    </row>
    <row r="713" customFormat="false" ht="13.8" hidden="false" customHeight="false" outlineLevel="0" collapsed="false">
      <c r="A713" s="0" t="s">
        <v>265</v>
      </c>
      <c r="B713" s="0" t="n">
        <v>52</v>
      </c>
      <c r="C713" s="0" t="s">
        <v>9065</v>
      </c>
      <c r="D713" s="0" t="s">
        <v>494</v>
      </c>
      <c r="E713" s="0" t="s">
        <v>494</v>
      </c>
      <c r="F713" s="4" t="n">
        <v>205</v>
      </c>
      <c r="G713" s="2" t="n">
        <v>0</v>
      </c>
      <c r="H713" s="2" t="n">
        <v>0</v>
      </c>
      <c r="I713" s="4" t="n">
        <v>2</v>
      </c>
      <c r="J713" s="2" t="n">
        <v>1.5</v>
      </c>
      <c r="K713" s="2" t="s">
        <v>20</v>
      </c>
      <c r="L713" s="4" t="n">
        <v>5</v>
      </c>
      <c r="M713" s="2" t="n">
        <v>0</v>
      </c>
      <c r="N713" s="2" t="n">
        <v>0</v>
      </c>
      <c r="O713" s="4" t="n">
        <v>3</v>
      </c>
      <c r="Q713" s="2" t="n">
        <v>877</v>
      </c>
      <c r="R713" s="0" t="s">
        <v>494</v>
      </c>
      <c r="S713" s="0" t="s">
        <v>9079</v>
      </c>
    </row>
    <row r="714" customFormat="false" ht="13.8" hidden="false" customHeight="false" outlineLevel="0" collapsed="false">
      <c r="A714" s="0" t="s">
        <v>265</v>
      </c>
      <c r="B714" s="0" t="n">
        <v>52</v>
      </c>
      <c r="C714" s="0" t="s">
        <v>9065</v>
      </c>
      <c r="D714" s="0" t="s">
        <v>835</v>
      </c>
      <c r="E714" s="0" t="s">
        <v>96</v>
      </c>
      <c r="F714" s="4" t="n">
        <v>177</v>
      </c>
      <c r="G714" s="2" t="n">
        <v>0</v>
      </c>
      <c r="H714" s="2" t="n">
        <v>0</v>
      </c>
      <c r="I714" s="4" t="n">
        <v>2</v>
      </c>
      <c r="J714" s="2" t="n">
        <v>0.2</v>
      </c>
      <c r="K714" s="2" t="s">
        <v>20</v>
      </c>
      <c r="L714" s="4" t="n">
        <v>5</v>
      </c>
      <c r="M714" s="2" t="n">
        <v>0</v>
      </c>
      <c r="N714" s="2" t="n">
        <v>0</v>
      </c>
      <c r="O714" s="4" t="n">
        <v>3</v>
      </c>
      <c r="Q714" s="2" t="n">
        <v>878</v>
      </c>
      <c r="R714" s="0" t="s">
        <v>96</v>
      </c>
      <c r="S714" s="0" t="s">
        <v>9080</v>
      </c>
    </row>
    <row r="715" customFormat="false" ht="13.8" hidden="false" customHeight="false" outlineLevel="0" collapsed="false">
      <c r="A715" s="0" t="s">
        <v>265</v>
      </c>
      <c r="B715" s="0" t="n">
        <v>52</v>
      </c>
      <c r="C715" s="0" t="s">
        <v>9065</v>
      </c>
      <c r="D715" s="0" t="s">
        <v>534</v>
      </c>
      <c r="E715" s="0" t="s">
        <v>204</v>
      </c>
      <c r="F715" s="4" t="n">
        <v>31</v>
      </c>
      <c r="G715" s="2" t="n">
        <v>0</v>
      </c>
      <c r="H715" s="2" t="n">
        <v>0</v>
      </c>
      <c r="I715" s="4" t="n">
        <v>2</v>
      </c>
      <c r="J715" s="2" t="n">
        <v>1</v>
      </c>
      <c r="K715" s="2" t="s">
        <v>20</v>
      </c>
      <c r="L715" s="4" t="n">
        <v>5</v>
      </c>
      <c r="M715" s="2" t="n">
        <v>0</v>
      </c>
      <c r="N715" s="2" t="n">
        <v>0</v>
      </c>
      <c r="O715" s="4" t="n">
        <v>3</v>
      </c>
      <c r="Q715" s="2" t="n">
        <v>879</v>
      </c>
      <c r="R715" s="0" t="s">
        <v>204</v>
      </c>
      <c r="S715" s="0" t="s">
        <v>9081</v>
      </c>
    </row>
    <row r="716" customFormat="false" ht="13.8" hidden="false" customHeight="false" outlineLevel="0" collapsed="false">
      <c r="A716" s="0" t="s">
        <v>265</v>
      </c>
      <c r="B716" s="0" t="n">
        <v>52</v>
      </c>
      <c r="C716" s="0" t="s">
        <v>9065</v>
      </c>
      <c r="D716" s="0" t="s">
        <v>222</v>
      </c>
      <c r="E716" s="0" t="s">
        <v>222</v>
      </c>
      <c r="F716" s="4" t="n">
        <v>37</v>
      </c>
      <c r="G716" s="2" t="n">
        <v>0</v>
      </c>
      <c r="H716" s="2" t="n">
        <v>0</v>
      </c>
      <c r="I716" s="4" t="n">
        <v>2</v>
      </c>
      <c r="J716" s="2" t="n">
        <v>0</v>
      </c>
      <c r="K716" s="2" t="n">
        <v>0</v>
      </c>
      <c r="L716" s="4" t="n">
        <v>1</v>
      </c>
      <c r="M716" s="2" t="n">
        <v>0</v>
      </c>
      <c r="N716" s="2" t="n">
        <v>0</v>
      </c>
      <c r="O716" s="4" t="n">
        <v>3</v>
      </c>
      <c r="Q716" s="2" t="n">
        <v>880</v>
      </c>
      <c r="R716" s="0" t="s">
        <v>222</v>
      </c>
      <c r="S716" s="0" t="s">
        <v>9082</v>
      </c>
    </row>
    <row r="717" customFormat="false" ht="13.8" hidden="false" customHeight="false" outlineLevel="0" collapsed="false">
      <c r="A717" s="0" t="s">
        <v>361</v>
      </c>
      <c r="B717" s="0" t="n">
        <v>84</v>
      </c>
      <c r="C717" s="0" t="s">
        <v>9083</v>
      </c>
      <c r="D717" s="0" t="s">
        <v>836</v>
      </c>
      <c r="E717" s="0" t="s">
        <v>485</v>
      </c>
      <c r="F717" s="4" t="n">
        <v>195</v>
      </c>
      <c r="G717" s="2" t="n">
        <v>7</v>
      </c>
      <c r="H717" s="2" t="s">
        <v>7</v>
      </c>
      <c r="I717" s="4" t="n">
        <v>2</v>
      </c>
      <c r="J717" s="2" t="n">
        <v>0</v>
      </c>
      <c r="K717" s="2" t="n">
        <v>0</v>
      </c>
      <c r="L717" s="4" t="n">
        <v>1</v>
      </c>
      <c r="M717" s="2" t="n">
        <v>0</v>
      </c>
      <c r="N717" s="2" t="n">
        <v>0</v>
      </c>
      <c r="O717" s="4" t="n">
        <v>3</v>
      </c>
      <c r="Q717" s="2" t="n">
        <v>882</v>
      </c>
      <c r="R717" s="0" t="s">
        <v>485</v>
      </c>
      <c r="S717" s="0" t="s">
        <v>9084</v>
      </c>
    </row>
    <row r="718" customFormat="false" ht="13.8" hidden="false" customHeight="false" outlineLevel="0" collapsed="false">
      <c r="A718" s="0" t="s">
        <v>361</v>
      </c>
      <c r="B718" s="0" t="n">
        <v>84</v>
      </c>
      <c r="C718" s="0" t="s">
        <v>9083</v>
      </c>
      <c r="D718" s="0" t="s">
        <v>273</v>
      </c>
      <c r="E718" s="0" t="s">
        <v>273</v>
      </c>
      <c r="F718" s="4" t="n">
        <v>54</v>
      </c>
      <c r="G718" s="2" t="n">
        <v>0</v>
      </c>
      <c r="H718" s="2" t="n">
        <v>0</v>
      </c>
      <c r="I718" s="4" t="n">
        <v>2</v>
      </c>
      <c r="J718" s="2" t="n">
        <v>0</v>
      </c>
      <c r="K718" s="2" t="n">
        <v>0</v>
      </c>
      <c r="L718" s="4" t="n">
        <v>1</v>
      </c>
      <c r="M718" s="2" t="n">
        <v>8</v>
      </c>
      <c r="N718" s="2" t="s">
        <v>107</v>
      </c>
      <c r="O718" s="4" t="n">
        <v>3</v>
      </c>
      <c r="Q718" s="2" t="n">
        <v>883</v>
      </c>
      <c r="R718" s="0" t="s">
        <v>273</v>
      </c>
      <c r="S718" s="0" t="s">
        <v>9085</v>
      </c>
    </row>
    <row r="719" customFormat="false" ht="13.8" hidden="false" customHeight="false" outlineLevel="0" collapsed="false">
      <c r="A719" s="0" t="s">
        <v>361</v>
      </c>
      <c r="B719" s="0" t="n">
        <v>84</v>
      </c>
      <c r="C719" s="0" t="s">
        <v>9083</v>
      </c>
      <c r="D719" s="0" t="s">
        <v>837</v>
      </c>
      <c r="E719" s="0" t="s">
        <v>423</v>
      </c>
      <c r="F719" s="4" t="n">
        <v>129</v>
      </c>
      <c r="G719" s="2" t="n">
        <v>0</v>
      </c>
      <c r="H719" s="2" t="n">
        <v>0</v>
      </c>
      <c r="I719" s="4" t="n">
        <v>2</v>
      </c>
      <c r="J719" s="2" t="n">
        <v>0</v>
      </c>
      <c r="K719" s="2" t="n">
        <v>0</v>
      </c>
      <c r="L719" s="4" t="n">
        <v>1</v>
      </c>
      <c r="M719" s="2" t="n">
        <v>20</v>
      </c>
      <c r="N719" s="2" t="s">
        <v>107</v>
      </c>
      <c r="O719" s="4" t="n">
        <v>3</v>
      </c>
      <c r="Q719" s="2" t="n">
        <v>884</v>
      </c>
      <c r="R719" s="0" t="s">
        <v>423</v>
      </c>
      <c r="S719" s="0" t="s">
        <v>9086</v>
      </c>
    </row>
    <row r="720" customFormat="false" ht="13.8" hidden="false" customHeight="false" outlineLevel="0" collapsed="false">
      <c r="A720" s="0" t="s">
        <v>361</v>
      </c>
      <c r="B720" s="0" t="n">
        <v>84</v>
      </c>
      <c r="C720" s="0" t="s">
        <v>9083</v>
      </c>
      <c r="D720" s="0" t="s">
        <v>839</v>
      </c>
      <c r="E720" s="0" t="s">
        <v>360</v>
      </c>
      <c r="F720" s="4" t="n">
        <v>83</v>
      </c>
      <c r="G720" s="2" t="n">
        <v>0</v>
      </c>
      <c r="H720" s="2" t="n">
        <v>0</v>
      </c>
      <c r="I720" s="4" t="n">
        <v>2</v>
      </c>
      <c r="J720" s="2" t="n">
        <v>2</v>
      </c>
      <c r="K720" s="2" t="s">
        <v>13</v>
      </c>
      <c r="L720" s="4" t="n">
        <v>1</v>
      </c>
      <c r="M720" s="2" t="n">
        <v>0</v>
      </c>
      <c r="N720" s="2" t="n">
        <v>0</v>
      </c>
      <c r="O720" s="4" t="n">
        <v>3</v>
      </c>
      <c r="Q720" s="2" t="n">
        <v>887</v>
      </c>
      <c r="R720" s="0" t="s">
        <v>360</v>
      </c>
      <c r="S720" s="0" t="s">
        <v>9087</v>
      </c>
    </row>
    <row r="721" customFormat="false" ht="13.8" hidden="false" customHeight="false" outlineLevel="0" collapsed="false">
      <c r="A721" s="0" t="s">
        <v>361</v>
      </c>
      <c r="B721" s="0" t="n">
        <v>84</v>
      </c>
      <c r="C721" s="0" t="s">
        <v>9083</v>
      </c>
      <c r="D721" s="0" t="s">
        <v>840</v>
      </c>
      <c r="E721" s="0" t="s">
        <v>481</v>
      </c>
      <c r="F721" s="4" t="n">
        <v>191</v>
      </c>
      <c r="G721" s="2" t="n">
        <v>0</v>
      </c>
      <c r="H721" s="2" t="n">
        <v>0</v>
      </c>
      <c r="I721" s="4" t="n">
        <v>2</v>
      </c>
      <c r="J721" s="2" t="n">
        <v>2</v>
      </c>
      <c r="K721" s="2" t="s">
        <v>20</v>
      </c>
      <c r="L721" s="4" t="n">
        <v>5</v>
      </c>
      <c r="M721" s="2" t="n">
        <v>0</v>
      </c>
      <c r="N721" s="2" t="n">
        <v>0</v>
      </c>
      <c r="O721" s="4" t="n">
        <v>3</v>
      </c>
      <c r="Q721" s="2" t="n">
        <v>888</v>
      </c>
      <c r="R721" s="0" t="s">
        <v>481</v>
      </c>
      <c r="S721" s="0" t="s">
        <v>9088</v>
      </c>
    </row>
    <row r="722" customFormat="false" ht="13.8" hidden="false" customHeight="false" outlineLevel="0" collapsed="false">
      <c r="A722" s="0" t="s">
        <v>361</v>
      </c>
      <c r="B722" s="0" t="n">
        <v>84</v>
      </c>
      <c r="C722" s="0" t="s">
        <v>9083</v>
      </c>
      <c r="D722" s="0" t="s">
        <v>456</v>
      </c>
      <c r="E722" s="0" t="s">
        <v>456</v>
      </c>
      <c r="F722" s="4" t="n">
        <v>164</v>
      </c>
      <c r="G722" s="2" t="n">
        <v>0</v>
      </c>
      <c r="H722" s="2" t="n">
        <v>0</v>
      </c>
      <c r="I722" s="4" t="n">
        <v>2</v>
      </c>
      <c r="J722" s="2" t="n">
        <v>0.75</v>
      </c>
      <c r="K722" s="2" t="s">
        <v>13</v>
      </c>
      <c r="L722" s="4" t="n">
        <v>1</v>
      </c>
      <c r="M722" s="2" t="n">
        <v>0</v>
      </c>
      <c r="N722" s="2" t="n">
        <v>0</v>
      </c>
      <c r="O722" s="4" t="n">
        <v>3</v>
      </c>
      <c r="Q722" s="2" t="n">
        <v>889</v>
      </c>
      <c r="R722" s="0" t="s">
        <v>456</v>
      </c>
      <c r="S722" s="0" t="s">
        <v>9089</v>
      </c>
    </row>
    <row r="723" customFormat="false" ht="13.8" hidden="false" customHeight="false" outlineLevel="0" collapsed="false">
      <c r="A723" s="0" t="s">
        <v>361</v>
      </c>
      <c r="B723" s="0" t="n">
        <v>84</v>
      </c>
      <c r="C723" s="0" t="s">
        <v>9083</v>
      </c>
      <c r="D723" s="0" t="s">
        <v>398</v>
      </c>
      <c r="E723" s="0" t="s">
        <v>398</v>
      </c>
      <c r="F723" s="4" t="n">
        <v>102</v>
      </c>
      <c r="G723" s="2" t="n">
        <v>0</v>
      </c>
      <c r="H723" s="2" t="n">
        <v>0</v>
      </c>
      <c r="I723" s="4" t="n">
        <v>2</v>
      </c>
      <c r="J723" s="2" t="n">
        <v>1</v>
      </c>
      <c r="K723" s="2" t="s">
        <v>13</v>
      </c>
      <c r="L723" s="4" t="n">
        <v>1</v>
      </c>
      <c r="M723" s="2" t="n">
        <v>0</v>
      </c>
      <c r="N723" s="2" t="n">
        <v>0</v>
      </c>
      <c r="O723" s="4" t="n">
        <v>3</v>
      </c>
      <c r="Q723" s="2" t="n">
        <v>890</v>
      </c>
      <c r="R723" s="0" t="s">
        <v>398</v>
      </c>
      <c r="S723" s="0" t="s">
        <v>9090</v>
      </c>
    </row>
    <row r="724" customFormat="false" ht="13.8" hidden="false" customHeight="false" outlineLevel="0" collapsed="false">
      <c r="A724" s="0" t="s">
        <v>361</v>
      </c>
      <c r="B724" s="0" t="n">
        <v>84</v>
      </c>
      <c r="C724" s="0" t="s">
        <v>9083</v>
      </c>
      <c r="D724" s="0" t="s">
        <v>391</v>
      </c>
      <c r="E724" s="0" t="s">
        <v>391</v>
      </c>
      <c r="F724" s="4" t="n">
        <v>95</v>
      </c>
      <c r="G724" s="2" t="n">
        <v>0</v>
      </c>
      <c r="H724" s="2" t="n">
        <v>0</v>
      </c>
      <c r="I724" s="4" t="n">
        <v>2</v>
      </c>
      <c r="J724" s="2" t="n">
        <v>0.75</v>
      </c>
      <c r="K724" s="2" t="s">
        <v>20</v>
      </c>
      <c r="L724" s="4" t="n">
        <v>5</v>
      </c>
      <c r="M724" s="2" t="n">
        <v>0</v>
      </c>
      <c r="N724" s="2" t="n">
        <v>0</v>
      </c>
      <c r="O724" s="4" t="n">
        <v>3</v>
      </c>
      <c r="Q724" s="2" t="n">
        <v>891</v>
      </c>
      <c r="R724" s="0" t="s">
        <v>391</v>
      </c>
      <c r="S724" s="0" t="s">
        <v>9091</v>
      </c>
    </row>
    <row r="725" customFormat="false" ht="13.8" hidden="false" customHeight="false" outlineLevel="0" collapsed="false">
      <c r="A725" s="0" t="s">
        <v>361</v>
      </c>
      <c r="B725" s="0" t="n">
        <v>84</v>
      </c>
      <c r="C725" s="0" t="s">
        <v>9083</v>
      </c>
      <c r="D725" s="0" t="s">
        <v>102</v>
      </c>
      <c r="E725" s="0" t="s">
        <v>102</v>
      </c>
      <c r="F725" s="4" t="n">
        <v>1</v>
      </c>
      <c r="G725" s="2" t="n">
        <v>0</v>
      </c>
      <c r="H725" s="2" t="n">
        <v>0</v>
      </c>
      <c r="I725" s="4" t="n">
        <v>2</v>
      </c>
      <c r="J725" s="2" t="n">
        <v>0.75</v>
      </c>
      <c r="K725" s="2" t="s">
        <v>13</v>
      </c>
      <c r="L725" s="4" t="n">
        <v>1</v>
      </c>
      <c r="M725" s="2" t="n">
        <v>0</v>
      </c>
      <c r="N725" s="2" t="n">
        <v>0</v>
      </c>
      <c r="O725" s="4" t="n">
        <v>3</v>
      </c>
      <c r="Q725" s="2" t="n">
        <v>892</v>
      </c>
      <c r="R725" s="0" t="s">
        <v>102</v>
      </c>
      <c r="S725" s="0" t="s">
        <v>9092</v>
      </c>
    </row>
    <row r="726" customFormat="false" ht="13.8" hidden="false" customHeight="false" outlineLevel="0" collapsed="false">
      <c r="A726" s="0" t="s">
        <v>361</v>
      </c>
      <c r="B726" s="0" t="n">
        <v>84</v>
      </c>
      <c r="C726" s="0" t="s">
        <v>9083</v>
      </c>
      <c r="D726" s="0" t="s">
        <v>382</v>
      </c>
      <c r="E726" s="0" t="s">
        <v>382</v>
      </c>
      <c r="F726" s="4" t="n">
        <v>91</v>
      </c>
      <c r="G726" s="2" t="n">
        <v>0</v>
      </c>
      <c r="H726" s="2" t="n">
        <v>0</v>
      </c>
      <c r="I726" s="4" t="n">
        <v>2</v>
      </c>
      <c r="J726" s="2" t="n">
        <v>1.5</v>
      </c>
      <c r="K726" s="2" t="s">
        <v>20</v>
      </c>
      <c r="L726" s="4" t="n">
        <v>5</v>
      </c>
      <c r="M726" s="2" t="n">
        <v>0</v>
      </c>
      <c r="N726" s="2" t="n">
        <v>0</v>
      </c>
      <c r="O726" s="4" t="n">
        <v>3</v>
      </c>
      <c r="Q726" s="2" t="n">
        <v>893</v>
      </c>
      <c r="R726" s="0" t="s">
        <v>382</v>
      </c>
      <c r="S726" s="0" t="s">
        <v>9093</v>
      </c>
    </row>
    <row r="727" customFormat="false" ht="13.8" hidden="false" customHeight="false" outlineLevel="0" collapsed="false">
      <c r="A727" s="0" t="s">
        <v>361</v>
      </c>
      <c r="B727" s="0" t="n">
        <v>84</v>
      </c>
      <c r="C727" s="0" t="s">
        <v>9083</v>
      </c>
      <c r="D727" s="0" t="s">
        <v>841</v>
      </c>
      <c r="E727" s="0" t="s">
        <v>312</v>
      </c>
      <c r="F727" s="4" t="n">
        <v>67</v>
      </c>
      <c r="G727" s="2" t="n">
        <v>0</v>
      </c>
      <c r="H727" s="2" t="n">
        <v>0</v>
      </c>
      <c r="I727" s="4" t="n">
        <v>2</v>
      </c>
      <c r="J727" s="2" t="n">
        <v>2</v>
      </c>
      <c r="K727" s="2" t="s">
        <v>20</v>
      </c>
      <c r="L727" s="4" t="n">
        <v>5</v>
      </c>
      <c r="M727" s="2" t="n">
        <v>0</v>
      </c>
      <c r="N727" s="2" t="n">
        <v>0</v>
      </c>
      <c r="O727" s="4" t="n">
        <v>3</v>
      </c>
      <c r="Q727" s="2" t="n">
        <v>894</v>
      </c>
      <c r="R727" s="0" t="s">
        <v>312</v>
      </c>
      <c r="S727" s="0" t="s">
        <v>9094</v>
      </c>
    </row>
    <row r="728" customFormat="false" ht="13.8" hidden="false" customHeight="false" outlineLevel="0" collapsed="false">
      <c r="A728" s="0" t="s">
        <v>361</v>
      </c>
      <c r="B728" s="0" t="n">
        <v>84</v>
      </c>
      <c r="C728" s="0" t="s">
        <v>9083</v>
      </c>
      <c r="D728" s="0" t="s">
        <v>399</v>
      </c>
      <c r="E728" s="0" t="s">
        <v>399</v>
      </c>
      <c r="F728" s="4" t="n">
        <v>103</v>
      </c>
      <c r="G728" s="2" t="n">
        <v>0</v>
      </c>
      <c r="H728" s="2" t="n">
        <v>0</v>
      </c>
      <c r="I728" s="4" t="n">
        <v>2</v>
      </c>
      <c r="J728" s="2" t="n">
        <v>0.75</v>
      </c>
      <c r="K728" s="2" t="s">
        <v>20</v>
      </c>
      <c r="L728" s="4" t="n">
        <v>5</v>
      </c>
      <c r="M728" s="2" t="n">
        <v>0</v>
      </c>
      <c r="N728" s="2" t="n">
        <v>0</v>
      </c>
      <c r="O728" s="4" t="n">
        <v>3</v>
      </c>
      <c r="Q728" s="2" t="n">
        <v>895</v>
      </c>
      <c r="R728" s="0" t="s">
        <v>399</v>
      </c>
      <c r="S728" s="0" t="s">
        <v>9095</v>
      </c>
    </row>
    <row r="729" customFormat="false" ht="13.8" hidden="false" customHeight="false" outlineLevel="0" collapsed="false">
      <c r="A729" s="0" t="s">
        <v>361</v>
      </c>
      <c r="B729" s="0" t="n">
        <v>84</v>
      </c>
      <c r="C729" s="0" t="s">
        <v>9083</v>
      </c>
      <c r="D729" s="0" t="s">
        <v>842</v>
      </c>
      <c r="E729" s="0" t="s">
        <v>412</v>
      </c>
      <c r="F729" s="4" t="n">
        <v>117</v>
      </c>
      <c r="G729" s="2" t="n">
        <v>0</v>
      </c>
      <c r="H729" s="2" t="n">
        <v>0</v>
      </c>
      <c r="I729" s="4" t="n">
        <v>2</v>
      </c>
      <c r="J729" s="2" t="n">
        <v>1</v>
      </c>
      <c r="K729" s="2" t="s">
        <v>20</v>
      </c>
      <c r="L729" s="4" t="n">
        <v>5</v>
      </c>
      <c r="M729" s="2" t="n">
        <v>0</v>
      </c>
      <c r="N729" s="2" t="n">
        <v>0</v>
      </c>
      <c r="O729" s="4" t="n">
        <v>3</v>
      </c>
      <c r="Q729" s="2" t="n">
        <v>896</v>
      </c>
      <c r="R729" s="0" t="s">
        <v>412</v>
      </c>
      <c r="S729" s="0" t="s">
        <v>9096</v>
      </c>
    </row>
    <row r="730" customFormat="false" ht="13.8" hidden="false" customHeight="false" outlineLevel="0" collapsed="false">
      <c r="A730" s="0" t="s">
        <v>361</v>
      </c>
      <c r="B730" s="0" t="n">
        <v>84</v>
      </c>
      <c r="C730" s="0" t="s">
        <v>9083</v>
      </c>
      <c r="D730" s="0" t="s">
        <v>843</v>
      </c>
      <c r="E730" s="0" t="s">
        <v>420</v>
      </c>
      <c r="F730" s="4" t="n">
        <v>125</v>
      </c>
      <c r="G730" s="2" t="n">
        <v>0</v>
      </c>
      <c r="H730" s="2" t="n">
        <v>0</v>
      </c>
      <c r="I730" s="4" t="n">
        <v>2</v>
      </c>
      <c r="J730" s="2" t="n">
        <v>1</v>
      </c>
      <c r="K730" s="2" t="s">
        <v>13</v>
      </c>
      <c r="L730" s="4" t="n">
        <v>1</v>
      </c>
      <c r="M730" s="2" t="n">
        <v>0</v>
      </c>
      <c r="N730" s="2" t="n">
        <v>0</v>
      </c>
      <c r="O730" s="4" t="n">
        <v>3</v>
      </c>
      <c r="Q730" s="2" t="n">
        <v>897</v>
      </c>
      <c r="R730" s="0" t="s">
        <v>420</v>
      </c>
      <c r="S730" s="0" t="s">
        <v>9097</v>
      </c>
    </row>
    <row r="731" customFormat="false" ht="13.8" hidden="false" customHeight="false" outlineLevel="0" collapsed="false">
      <c r="A731" s="0" t="s">
        <v>361</v>
      </c>
      <c r="B731" s="0" t="n">
        <v>84</v>
      </c>
      <c r="C731" s="0" t="s">
        <v>9083</v>
      </c>
      <c r="D731" s="0" t="s">
        <v>44</v>
      </c>
      <c r="E731" s="0" t="s">
        <v>44</v>
      </c>
      <c r="F731" s="4" t="n">
        <v>187</v>
      </c>
      <c r="G731" s="2" t="n">
        <v>0</v>
      </c>
      <c r="H731" s="2" t="n">
        <v>0</v>
      </c>
      <c r="I731" s="4" t="n">
        <v>2</v>
      </c>
      <c r="J731" s="2" t="n">
        <v>1.5</v>
      </c>
      <c r="K731" s="2" t="s">
        <v>20</v>
      </c>
      <c r="L731" s="4" t="n">
        <v>5</v>
      </c>
      <c r="M731" s="2" t="n">
        <v>0</v>
      </c>
      <c r="N731" s="2" t="n">
        <v>0</v>
      </c>
      <c r="O731" s="4" t="n">
        <v>3</v>
      </c>
      <c r="Q731" s="2" t="n">
        <v>898</v>
      </c>
      <c r="R731" s="0" t="s">
        <v>44</v>
      </c>
      <c r="S731" s="0" t="s">
        <v>9098</v>
      </c>
    </row>
    <row r="732" customFormat="false" ht="13.8" hidden="false" customHeight="false" outlineLevel="0" collapsed="false">
      <c r="A732" s="0" t="s">
        <v>361</v>
      </c>
      <c r="B732" s="0" t="n">
        <v>84</v>
      </c>
      <c r="C732" s="0" t="s">
        <v>9083</v>
      </c>
      <c r="D732" s="0" t="s">
        <v>96</v>
      </c>
      <c r="E732" s="0" t="s">
        <v>96</v>
      </c>
      <c r="F732" s="4" t="n">
        <v>177</v>
      </c>
      <c r="G732" s="2" t="n">
        <v>0</v>
      </c>
      <c r="H732" s="2" t="n">
        <v>0</v>
      </c>
      <c r="I732" s="4" t="n">
        <v>2</v>
      </c>
      <c r="J732" s="2" t="n">
        <v>6</v>
      </c>
      <c r="K732" s="2" t="s">
        <v>20</v>
      </c>
      <c r="L732" s="4" t="n">
        <v>5</v>
      </c>
      <c r="M732" s="2" t="n">
        <v>0</v>
      </c>
      <c r="N732" s="2" t="n">
        <v>0</v>
      </c>
      <c r="O732" s="4" t="n">
        <v>3</v>
      </c>
      <c r="Q732" s="2" t="n">
        <v>899</v>
      </c>
      <c r="R732" s="0" t="s">
        <v>96</v>
      </c>
      <c r="S732" s="0" t="s">
        <v>9099</v>
      </c>
    </row>
    <row r="733" customFormat="false" ht="13.8" hidden="false" customHeight="false" outlineLevel="0" collapsed="false">
      <c r="A733" s="0" t="s">
        <v>202</v>
      </c>
      <c r="B733" s="0" t="n">
        <v>31</v>
      </c>
      <c r="C733" s="0" t="s">
        <v>9100</v>
      </c>
      <c r="D733" s="0" t="s">
        <v>844</v>
      </c>
      <c r="E733" s="0" t="s">
        <v>462</v>
      </c>
      <c r="F733" s="4" t="n">
        <v>170</v>
      </c>
      <c r="G733" s="2" t="n">
        <v>24.75</v>
      </c>
      <c r="H733" s="2" t="s">
        <v>7</v>
      </c>
      <c r="I733" s="4" t="n">
        <v>2</v>
      </c>
      <c r="J733" s="2" t="n">
        <v>0</v>
      </c>
      <c r="K733" s="2" t="n">
        <v>0</v>
      </c>
      <c r="L733" s="4" t="n">
        <v>1</v>
      </c>
      <c r="M733" s="2" t="n">
        <v>0</v>
      </c>
      <c r="N733" s="2" t="n">
        <v>0</v>
      </c>
      <c r="O733" s="4" t="n">
        <v>3</v>
      </c>
      <c r="Q733" s="2" t="n">
        <v>901</v>
      </c>
      <c r="R733" s="0" t="s">
        <v>462</v>
      </c>
      <c r="S733" s="0" t="s">
        <v>9101</v>
      </c>
    </row>
    <row r="734" customFormat="false" ht="13.8" hidden="false" customHeight="false" outlineLevel="0" collapsed="false">
      <c r="A734" s="0" t="s">
        <v>202</v>
      </c>
      <c r="B734" s="0" t="n">
        <v>31</v>
      </c>
      <c r="C734" s="0" t="s">
        <v>9100</v>
      </c>
      <c r="D734" s="0" t="s">
        <v>489</v>
      </c>
      <c r="E734" s="0" t="s">
        <v>489</v>
      </c>
      <c r="F734" s="4" t="n">
        <v>200</v>
      </c>
      <c r="G734" s="2" t="n">
        <v>4.5</v>
      </c>
      <c r="H734" s="2" t="s">
        <v>7</v>
      </c>
      <c r="I734" s="4" t="n">
        <v>2</v>
      </c>
      <c r="J734" s="2" t="n">
        <v>0</v>
      </c>
      <c r="K734" s="2" t="n">
        <v>0</v>
      </c>
      <c r="L734" s="4" t="n">
        <v>1</v>
      </c>
      <c r="M734" s="2" t="n">
        <v>0</v>
      </c>
      <c r="N734" s="2" t="n">
        <v>0</v>
      </c>
      <c r="O734" s="4" t="n">
        <v>3</v>
      </c>
      <c r="P734" s="0" t="s">
        <v>845</v>
      </c>
      <c r="Q734" s="2" t="n">
        <v>902</v>
      </c>
      <c r="R734" s="0" t="s">
        <v>489</v>
      </c>
      <c r="S734" s="0" t="s">
        <v>9102</v>
      </c>
    </row>
    <row r="735" customFormat="false" ht="13.8" hidden="false" customHeight="false" outlineLevel="0" collapsed="false">
      <c r="A735" s="0" t="s">
        <v>202</v>
      </c>
      <c r="B735" s="0" t="n">
        <v>31</v>
      </c>
      <c r="C735" s="0" t="s">
        <v>9100</v>
      </c>
      <c r="D735" s="0" t="s">
        <v>96</v>
      </c>
      <c r="E735" s="0" t="s">
        <v>96</v>
      </c>
      <c r="F735" s="4" t="n">
        <v>177</v>
      </c>
      <c r="G735" s="2" t="n">
        <v>500</v>
      </c>
      <c r="H735" s="2" t="s">
        <v>109</v>
      </c>
      <c r="I735" s="4" t="n">
        <v>7</v>
      </c>
      <c r="J735" s="2" t="n">
        <v>0</v>
      </c>
      <c r="K735" s="2" t="n">
        <v>0</v>
      </c>
      <c r="L735" s="4" t="n">
        <v>1</v>
      </c>
      <c r="M735" s="2" t="n">
        <v>0</v>
      </c>
      <c r="N735" s="2" t="n">
        <v>0</v>
      </c>
      <c r="O735" s="4" t="n">
        <v>3</v>
      </c>
      <c r="Q735" s="2" t="n">
        <v>903</v>
      </c>
      <c r="R735" s="0" t="s">
        <v>96</v>
      </c>
      <c r="S735" s="0" t="s">
        <v>9103</v>
      </c>
    </row>
    <row r="736" customFormat="false" ht="13.8" hidden="false" customHeight="false" outlineLevel="0" collapsed="false">
      <c r="A736" s="0" t="s">
        <v>316</v>
      </c>
      <c r="B736" s="0" t="n">
        <v>69</v>
      </c>
      <c r="C736" s="0" t="s">
        <v>9104</v>
      </c>
      <c r="D736" s="0" t="s">
        <v>273</v>
      </c>
      <c r="E736" s="0" t="s">
        <v>273</v>
      </c>
      <c r="F736" s="4" t="n">
        <v>54</v>
      </c>
      <c r="G736" s="2" t="n">
        <v>6</v>
      </c>
      <c r="H736" s="2" t="s">
        <v>7</v>
      </c>
      <c r="I736" s="4" t="n">
        <v>2</v>
      </c>
      <c r="J736" s="2" t="n">
        <v>0</v>
      </c>
      <c r="K736" s="2" t="n">
        <v>0</v>
      </c>
      <c r="L736" s="4" t="n">
        <v>1</v>
      </c>
      <c r="M736" s="2" t="n">
        <v>0</v>
      </c>
      <c r="N736" s="2" t="n">
        <v>0</v>
      </c>
      <c r="O736" s="4" t="n">
        <v>3</v>
      </c>
      <c r="Q736" s="2" t="n">
        <v>905</v>
      </c>
      <c r="R736" s="0" t="s">
        <v>273</v>
      </c>
      <c r="S736" s="0" t="s">
        <v>9105</v>
      </c>
    </row>
    <row r="737" customFormat="false" ht="13.8" hidden="false" customHeight="false" outlineLevel="0" collapsed="false">
      <c r="A737" s="0" t="s">
        <v>316</v>
      </c>
      <c r="B737" s="0" t="n">
        <v>69</v>
      </c>
      <c r="C737" s="0" t="s">
        <v>9104</v>
      </c>
      <c r="D737" s="0" t="s">
        <v>315</v>
      </c>
      <c r="E737" s="0" t="s">
        <v>315</v>
      </c>
      <c r="F737" s="4" t="n">
        <v>68</v>
      </c>
      <c r="G737" s="2" t="n">
        <v>2</v>
      </c>
      <c r="H737" s="2" t="s">
        <v>7</v>
      </c>
      <c r="I737" s="4" t="n">
        <v>2</v>
      </c>
      <c r="J737" s="2" t="n">
        <v>0</v>
      </c>
      <c r="K737" s="2" t="n">
        <v>0</v>
      </c>
      <c r="L737" s="4" t="n">
        <v>1</v>
      </c>
      <c r="M737" s="2" t="n">
        <v>0</v>
      </c>
      <c r="N737" s="2" t="n">
        <v>0</v>
      </c>
      <c r="O737" s="4" t="n">
        <v>3</v>
      </c>
      <c r="Q737" s="2" t="n">
        <v>906</v>
      </c>
      <c r="R737" s="0" t="s">
        <v>315</v>
      </c>
      <c r="S737" s="0" t="s">
        <v>9106</v>
      </c>
    </row>
    <row r="738" customFormat="false" ht="13.8" hidden="false" customHeight="false" outlineLevel="0" collapsed="false">
      <c r="A738" s="0" t="s">
        <v>316</v>
      </c>
      <c r="B738" s="0" t="n">
        <v>69</v>
      </c>
      <c r="C738" s="0" t="s">
        <v>9104</v>
      </c>
      <c r="D738" s="0" t="s">
        <v>443</v>
      </c>
      <c r="E738" s="0" t="s">
        <v>443</v>
      </c>
      <c r="F738" s="4" t="n">
        <v>149</v>
      </c>
      <c r="G738" s="2" t="n">
        <v>2</v>
      </c>
      <c r="H738" s="2" t="s">
        <v>7</v>
      </c>
      <c r="I738" s="4" t="n">
        <v>2</v>
      </c>
      <c r="J738" s="2" t="n">
        <v>0</v>
      </c>
      <c r="K738" s="2" t="n">
        <v>0</v>
      </c>
      <c r="L738" s="4" t="n">
        <v>1</v>
      </c>
      <c r="M738" s="2" t="n">
        <v>0</v>
      </c>
      <c r="N738" s="2" t="n">
        <v>0</v>
      </c>
      <c r="O738" s="4" t="n">
        <v>3</v>
      </c>
      <c r="Q738" s="2" t="n">
        <v>907</v>
      </c>
      <c r="R738" s="0" t="s">
        <v>443</v>
      </c>
      <c r="S738" s="0" t="s">
        <v>9107</v>
      </c>
    </row>
    <row r="739" customFormat="false" ht="13.8" hidden="false" customHeight="false" outlineLevel="0" collapsed="false">
      <c r="A739" s="0" t="s">
        <v>316</v>
      </c>
      <c r="B739" s="0" t="n">
        <v>69</v>
      </c>
      <c r="C739" s="0" t="s">
        <v>9104</v>
      </c>
      <c r="D739" s="0" t="s">
        <v>201</v>
      </c>
      <c r="E739" s="0" t="s">
        <v>201</v>
      </c>
      <c r="F739" s="4" t="n">
        <v>30</v>
      </c>
      <c r="G739" s="2" t="n">
        <v>3</v>
      </c>
      <c r="H739" s="2" t="s">
        <v>7</v>
      </c>
      <c r="I739" s="4" t="n">
        <v>2</v>
      </c>
      <c r="J739" s="2" t="n">
        <v>0</v>
      </c>
      <c r="K739" s="2" t="n">
        <v>0</v>
      </c>
      <c r="L739" s="4" t="n">
        <v>1</v>
      </c>
      <c r="M739" s="2" t="n">
        <v>0</v>
      </c>
      <c r="N739" s="2" t="n">
        <v>0</v>
      </c>
      <c r="O739" s="4" t="n">
        <v>3</v>
      </c>
      <c r="Q739" s="2" t="n">
        <v>908</v>
      </c>
      <c r="R739" s="0" t="s">
        <v>201</v>
      </c>
      <c r="S739" s="0" t="s">
        <v>9108</v>
      </c>
    </row>
    <row r="740" customFormat="false" ht="13.8" hidden="false" customHeight="false" outlineLevel="0" collapsed="false">
      <c r="A740" s="0" t="s">
        <v>316</v>
      </c>
      <c r="B740" s="0" t="n">
        <v>69</v>
      </c>
      <c r="C740" s="0" t="s">
        <v>9104</v>
      </c>
      <c r="D740" s="0" t="s">
        <v>846</v>
      </c>
      <c r="E740" s="0" t="s">
        <v>130</v>
      </c>
      <c r="F740" s="4" t="n">
        <v>8</v>
      </c>
      <c r="G740" s="2" t="n">
        <v>2</v>
      </c>
      <c r="H740" s="2" t="s">
        <v>7</v>
      </c>
      <c r="I740" s="4" t="n">
        <v>2</v>
      </c>
      <c r="J740" s="2" t="n">
        <v>0</v>
      </c>
      <c r="K740" s="2" t="n">
        <v>0</v>
      </c>
      <c r="L740" s="4" t="n">
        <v>1</v>
      </c>
      <c r="M740" s="2" t="n">
        <v>0</v>
      </c>
      <c r="N740" s="2" t="n">
        <v>0</v>
      </c>
      <c r="O740" s="4" t="n">
        <v>3</v>
      </c>
      <c r="Q740" s="2" t="n">
        <v>909</v>
      </c>
      <c r="R740" s="0" t="s">
        <v>130</v>
      </c>
      <c r="S740" s="0" t="s">
        <v>9109</v>
      </c>
    </row>
    <row r="741" customFormat="false" ht="13.8" hidden="false" customHeight="false" outlineLevel="0" collapsed="false">
      <c r="A741" s="0" t="s">
        <v>316</v>
      </c>
      <c r="B741" s="0" t="n">
        <v>69</v>
      </c>
      <c r="C741" s="0" t="s">
        <v>9104</v>
      </c>
      <c r="D741" s="0" t="s">
        <v>803</v>
      </c>
      <c r="E741" s="0" t="s">
        <v>38</v>
      </c>
      <c r="F741" s="4" t="n">
        <v>105</v>
      </c>
      <c r="G741" s="2" t="n">
        <v>0</v>
      </c>
      <c r="H741" s="2" t="n">
        <v>0</v>
      </c>
      <c r="I741" s="4" t="n">
        <v>2</v>
      </c>
      <c r="J741" s="2" t="n">
        <v>1</v>
      </c>
      <c r="K741" s="2" t="s">
        <v>13</v>
      </c>
      <c r="L741" s="4" t="n">
        <v>1</v>
      </c>
      <c r="M741" s="2" t="n">
        <v>0</v>
      </c>
      <c r="N741" s="2" t="n">
        <v>0</v>
      </c>
      <c r="O741" s="4" t="n">
        <v>3</v>
      </c>
      <c r="Q741" s="2" t="n">
        <v>910</v>
      </c>
      <c r="R741" s="0" t="s">
        <v>38</v>
      </c>
      <c r="S741" s="0" t="s">
        <v>9110</v>
      </c>
    </row>
    <row r="742" customFormat="false" ht="13.8" hidden="false" customHeight="false" outlineLevel="0" collapsed="false">
      <c r="A742" s="0" t="s">
        <v>316</v>
      </c>
      <c r="B742" s="0" t="n">
        <v>69</v>
      </c>
      <c r="C742" s="0" t="s">
        <v>9104</v>
      </c>
      <c r="D742" s="0" t="s">
        <v>485</v>
      </c>
      <c r="E742" s="0" t="s">
        <v>485</v>
      </c>
      <c r="F742" s="4" t="n">
        <v>195</v>
      </c>
      <c r="G742" s="2" t="n">
        <v>2</v>
      </c>
      <c r="H742" s="2" t="s">
        <v>7</v>
      </c>
      <c r="I742" s="4" t="n">
        <v>2</v>
      </c>
      <c r="J742" s="2" t="n">
        <v>0</v>
      </c>
      <c r="K742" s="2" t="n">
        <v>0</v>
      </c>
      <c r="L742" s="4" t="n">
        <v>1</v>
      </c>
      <c r="M742" s="2" t="n">
        <v>0</v>
      </c>
      <c r="N742" s="2" t="n">
        <v>0</v>
      </c>
      <c r="O742" s="4" t="n">
        <v>3</v>
      </c>
      <c r="Q742" s="2" t="n">
        <v>911</v>
      </c>
      <c r="R742" s="0" t="s">
        <v>485</v>
      </c>
      <c r="S742" s="0" t="s">
        <v>9111</v>
      </c>
    </row>
    <row r="743" customFormat="false" ht="13.8" hidden="false" customHeight="false" outlineLevel="0" collapsed="false">
      <c r="A743" s="0" t="s">
        <v>316</v>
      </c>
      <c r="B743" s="0" t="n">
        <v>69</v>
      </c>
      <c r="C743" s="0" t="s">
        <v>9104</v>
      </c>
      <c r="D743" s="0" t="s">
        <v>488</v>
      </c>
      <c r="E743" s="0" t="s">
        <v>488</v>
      </c>
      <c r="F743" s="4" t="n">
        <v>198</v>
      </c>
      <c r="G743" s="2" t="n">
        <v>2</v>
      </c>
      <c r="H743" s="2" t="s">
        <v>7</v>
      </c>
      <c r="I743" s="4" t="n">
        <v>2</v>
      </c>
      <c r="J743" s="2" t="n">
        <v>0</v>
      </c>
      <c r="K743" s="2" t="n">
        <v>0</v>
      </c>
      <c r="L743" s="4" t="n">
        <v>1</v>
      </c>
      <c r="M743" s="2" t="n">
        <v>0</v>
      </c>
      <c r="N743" s="2" t="n">
        <v>0</v>
      </c>
      <c r="O743" s="4" t="n">
        <v>3</v>
      </c>
      <c r="Q743" s="2" t="n">
        <v>912</v>
      </c>
      <c r="R743" s="0" t="s">
        <v>488</v>
      </c>
      <c r="S743" s="0" t="s">
        <v>9112</v>
      </c>
    </row>
    <row r="744" customFormat="false" ht="13.8" hidden="false" customHeight="false" outlineLevel="0" collapsed="false">
      <c r="A744" s="0" t="s">
        <v>316</v>
      </c>
      <c r="B744" s="0" t="n">
        <v>69</v>
      </c>
      <c r="C744" s="0" t="s">
        <v>9104</v>
      </c>
      <c r="D744" s="0" t="s">
        <v>394</v>
      </c>
      <c r="E744" s="0" t="s">
        <v>394</v>
      </c>
      <c r="F744" s="4" t="n">
        <v>98</v>
      </c>
      <c r="G744" s="2" t="n">
        <v>300</v>
      </c>
      <c r="H744" s="2" t="s">
        <v>109</v>
      </c>
      <c r="I744" s="4" t="n">
        <v>7</v>
      </c>
      <c r="J744" s="2" t="n">
        <v>0</v>
      </c>
      <c r="K744" s="2" t="n">
        <v>0</v>
      </c>
      <c r="L744" s="4" t="n">
        <v>1</v>
      </c>
      <c r="M744" s="2" t="n">
        <v>0</v>
      </c>
      <c r="N744" s="2" t="n">
        <v>0</v>
      </c>
      <c r="O744" s="4" t="n">
        <v>3</v>
      </c>
      <c r="Q744" s="2" t="n">
        <v>913</v>
      </c>
      <c r="R744" s="0" t="s">
        <v>394</v>
      </c>
      <c r="S744" s="0" t="s">
        <v>9113</v>
      </c>
    </row>
    <row r="745" customFormat="false" ht="13.8" hidden="false" customHeight="false" outlineLevel="0" collapsed="false">
      <c r="A745" s="0" t="s">
        <v>316</v>
      </c>
      <c r="B745" s="0" t="n">
        <v>69</v>
      </c>
      <c r="C745" s="0" t="s">
        <v>9104</v>
      </c>
      <c r="D745" s="0" t="s">
        <v>382</v>
      </c>
      <c r="E745" s="0" t="s">
        <v>382</v>
      </c>
      <c r="F745" s="4" t="n">
        <v>91</v>
      </c>
      <c r="G745" s="2" t="n">
        <v>0</v>
      </c>
      <c r="H745" s="2" t="n">
        <v>0</v>
      </c>
      <c r="I745" s="4" t="n">
        <v>2</v>
      </c>
      <c r="J745" s="2" t="n">
        <v>0.5</v>
      </c>
      <c r="K745" s="2" t="s">
        <v>20</v>
      </c>
      <c r="L745" s="4" t="n">
        <v>5</v>
      </c>
      <c r="M745" s="2" t="n">
        <v>0</v>
      </c>
      <c r="N745" s="2" t="n">
        <v>0</v>
      </c>
      <c r="O745" s="4" t="n">
        <v>3</v>
      </c>
      <c r="Q745" s="2" t="n">
        <v>914</v>
      </c>
      <c r="R745" s="0" t="s">
        <v>382</v>
      </c>
      <c r="S745" s="0" t="s">
        <v>9114</v>
      </c>
    </row>
    <row r="746" customFormat="false" ht="13.8" hidden="false" customHeight="false" outlineLevel="0" collapsed="false">
      <c r="A746" s="0" t="s">
        <v>316</v>
      </c>
      <c r="B746" s="0" t="n">
        <v>69</v>
      </c>
      <c r="C746" s="0" t="s">
        <v>9104</v>
      </c>
      <c r="D746" s="0" t="s">
        <v>391</v>
      </c>
      <c r="E746" s="0" t="s">
        <v>391</v>
      </c>
      <c r="F746" s="4" t="n">
        <v>95</v>
      </c>
      <c r="G746" s="2" t="n">
        <v>0</v>
      </c>
      <c r="H746" s="2" t="n">
        <v>0</v>
      </c>
      <c r="I746" s="4" t="n">
        <v>2</v>
      </c>
      <c r="J746" s="2" t="n">
        <v>0.25</v>
      </c>
      <c r="K746" s="2" t="s">
        <v>20</v>
      </c>
      <c r="L746" s="4" t="n">
        <v>5</v>
      </c>
      <c r="M746" s="2" t="n">
        <v>0</v>
      </c>
      <c r="N746" s="2" t="n">
        <v>0</v>
      </c>
      <c r="O746" s="4" t="n">
        <v>3</v>
      </c>
      <c r="Q746" s="2" t="n">
        <v>915</v>
      </c>
      <c r="R746" s="0" t="s">
        <v>391</v>
      </c>
      <c r="S746" s="0" t="s">
        <v>9115</v>
      </c>
    </row>
    <row r="747" customFormat="false" ht="13.8" hidden="false" customHeight="false" outlineLevel="0" collapsed="false">
      <c r="A747" s="0" t="s">
        <v>316</v>
      </c>
      <c r="B747" s="0" t="n">
        <v>69</v>
      </c>
      <c r="C747" s="0" t="s">
        <v>9104</v>
      </c>
      <c r="D747" s="0" t="s">
        <v>821</v>
      </c>
      <c r="E747" s="0" t="s">
        <v>380</v>
      </c>
      <c r="F747" s="4" t="n">
        <v>90</v>
      </c>
      <c r="G747" s="2" t="n">
        <v>250</v>
      </c>
      <c r="H747" s="2" t="s">
        <v>109</v>
      </c>
      <c r="I747" s="4" t="n">
        <v>7</v>
      </c>
      <c r="J747" s="2" t="n">
        <v>0</v>
      </c>
      <c r="K747" s="2" t="n">
        <v>0</v>
      </c>
      <c r="L747" s="4" t="n">
        <v>1</v>
      </c>
      <c r="M747" s="2" t="n">
        <v>0</v>
      </c>
      <c r="N747" s="2" t="n">
        <v>0</v>
      </c>
      <c r="O747" s="4" t="n">
        <v>3</v>
      </c>
      <c r="Q747" s="2" t="n">
        <v>916</v>
      </c>
      <c r="R747" s="0" t="s">
        <v>380</v>
      </c>
      <c r="S747" s="0" t="s">
        <v>9116</v>
      </c>
    </row>
    <row r="748" customFormat="false" ht="13.8" hidden="false" customHeight="false" outlineLevel="0" collapsed="false">
      <c r="A748" s="0" t="s">
        <v>316</v>
      </c>
      <c r="B748" s="0" t="n">
        <v>69</v>
      </c>
      <c r="C748" s="0" t="s">
        <v>9104</v>
      </c>
      <c r="D748" s="0" t="s">
        <v>456</v>
      </c>
      <c r="E748" s="0" t="s">
        <v>456</v>
      </c>
      <c r="F748" s="4" t="n">
        <v>164</v>
      </c>
      <c r="G748" s="2" t="n">
        <v>0</v>
      </c>
      <c r="H748" s="2" t="n">
        <v>0</v>
      </c>
      <c r="I748" s="4" t="n">
        <v>2</v>
      </c>
      <c r="J748" s="2" t="n">
        <v>0.5</v>
      </c>
      <c r="K748" s="2" t="s">
        <v>20</v>
      </c>
      <c r="L748" s="4" t="n">
        <v>5</v>
      </c>
      <c r="M748" s="2" t="n">
        <v>0</v>
      </c>
      <c r="N748" s="2" t="n">
        <v>0</v>
      </c>
      <c r="O748" s="4" t="n">
        <v>3</v>
      </c>
      <c r="Q748" s="2" t="n">
        <v>917</v>
      </c>
      <c r="R748" s="0" t="s">
        <v>456</v>
      </c>
      <c r="S748" s="0" t="s">
        <v>9117</v>
      </c>
    </row>
    <row r="749" customFormat="false" ht="13.8" hidden="false" customHeight="false" outlineLevel="0" collapsed="false">
      <c r="A749" s="0" t="s">
        <v>316</v>
      </c>
      <c r="B749" s="0" t="n">
        <v>69</v>
      </c>
      <c r="C749" s="0" t="s">
        <v>9104</v>
      </c>
      <c r="D749" s="0" t="s">
        <v>847</v>
      </c>
      <c r="E749" s="0" t="s">
        <v>442</v>
      </c>
      <c r="F749" s="4" t="n">
        <v>148</v>
      </c>
      <c r="G749" s="2" t="n">
        <v>0</v>
      </c>
      <c r="H749" s="2" t="n">
        <v>0</v>
      </c>
      <c r="I749" s="4" t="n">
        <v>2</v>
      </c>
      <c r="J749" s="2" t="n">
        <v>1.5</v>
      </c>
      <c r="K749" s="2" t="s">
        <v>20</v>
      </c>
      <c r="L749" s="4" t="n">
        <v>5</v>
      </c>
      <c r="M749" s="2" t="n">
        <v>0</v>
      </c>
      <c r="N749" s="2" t="n">
        <v>0</v>
      </c>
      <c r="O749" s="4" t="n">
        <v>3</v>
      </c>
      <c r="Q749" s="2" t="n">
        <v>918</v>
      </c>
      <c r="R749" s="0" t="s">
        <v>442</v>
      </c>
      <c r="S749" s="0" t="s">
        <v>9118</v>
      </c>
    </row>
    <row r="750" customFormat="false" ht="13.8" hidden="false" customHeight="false" outlineLevel="0" collapsed="false">
      <c r="A750" s="0" t="s">
        <v>316</v>
      </c>
      <c r="B750" s="0" t="n">
        <v>69</v>
      </c>
      <c r="C750" s="0" t="s">
        <v>9104</v>
      </c>
      <c r="D750" s="0" t="s">
        <v>848</v>
      </c>
      <c r="E750" s="0" t="s">
        <v>153</v>
      </c>
      <c r="F750" s="4" t="n">
        <v>14</v>
      </c>
      <c r="G750" s="2" t="n">
        <v>0</v>
      </c>
      <c r="H750" s="2" t="n">
        <v>0</v>
      </c>
      <c r="I750" s="4" t="n">
        <v>2</v>
      </c>
      <c r="J750" s="2" t="n">
        <v>1</v>
      </c>
      <c r="K750" s="2" t="s">
        <v>20</v>
      </c>
      <c r="L750" s="4" t="n">
        <v>5</v>
      </c>
      <c r="M750" s="2" t="n">
        <v>0</v>
      </c>
      <c r="N750" s="2" t="n">
        <v>0</v>
      </c>
      <c r="O750" s="4" t="n">
        <v>3</v>
      </c>
      <c r="Q750" s="2" t="n">
        <v>919</v>
      </c>
      <c r="R750" s="0" t="s">
        <v>153</v>
      </c>
      <c r="S750" s="0" t="s">
        <v>9119</v>
      </c>
    </row>
    <row r="751" customFormat="false" ht="13.8" hidden="false" customHeight="false" outlineLevel="0" collapsed="false">
      <c r="A751" s="0" t="s">
        <v>316</v>
      </c>
      <c r="B751" s="0" t="n">
        <v>69</v>
      </c>
      <c r="C751" s="0" t="s">
        <v>9104</v>
      </c>
      <c r="D751" s="0" t="s">
        <v>849</v>
      </c>
      <c r="E751" s="0" t="s">
        <v>354</v>
      </c>
      <c r="F751" s="4" t="n">
        <v>81</v>
      </c>
      <c r="G751" s="2" t="n">
        <v>0</v>
      </c>
      <c r="H751" s="2" t="n">
        <v>0</v>
      </c>
      <c r="I751" s="4" t="n">
        <v>2</v>
      </c>
      <c r="J751" s="2" t="n">
        <v>0.5</v>
      </c>
      <c r="K751" s="2" t="s">
        <v>20</v>
      </c>
      <c r="L751" s="4" t="n">
        <v>5</v>
      </c>
      <c r="M751" s="2" t="n">
        <v>0</v>
      </c>
      <c r="N751" s="2" t="n">
        <v>0</v>
      </c>
      <c r="O751" s="4" t="n">
        <v>3</v>
      </c>
      <c r="Q751" s="2" t="n">
        <v>920</v>
      </c>
      <c r="R751" s="0" t="s">
        <v>354</v>
      </c>
      <c r="S751" s="0" t="s">
        <v>9120</v>
      </c>
    </row>
    <row r="752" customFormat="false" ht="13.8" hidden="false" customHeight="false" outlineLevel="0" collapsed="false">
      <c r="A752" s="0" t="s">
        <v>316</v>
      </c>
      <c r="B752" s="0" t="n">
        <v>69</v>
      </c>
      <c r="C752" s="0" t="s">
        <v>9104</v>
      </c>
      <c r="D752" s="0" t="s">
        <v>850</v>
      </c>
      <c r="E752" s="0" t="s">
        <v>96</v>
      </c>
      <c r="F752" s="4" t="n">
        <v>177</v>
      </c>
      <c r="G752" s="2" t="n">
        <v>0</v>
      </c>
      <c r="H752" s="2" t="n">
        <v>0</v>
      </c>
      <c r="I752" s="4" t="n">
        <v>2</v>
      </c>
      <c r="J752" s="2" t="n">
        <v>1.8</v>
      </c>
      <c r="K752" s="2" t="s">
        <v>20</v>
      </c>
      <c r="L752" s="4" t="n">
        <v>5</v>
      </c>
      <c r="M752" s="2" t="n">
        <v>0</v>
      </c>
      <c r="N752" s="2" t="n">
        <v>0</v>
      </c>
      <c r="O752" s="4" t="n">
        <v>3</v>
      </c>
      <c r="Q752" s="2" t="n">
        <v>921</v>
      </c>
      <c r="R752" s="0" t="s">
        <v>96</v>
      </c>
      <c r="S752" s="0" t="s">
        <v>9121</v>
      </c>
    </row>
    <row r="753" customFormat="false" ht="13.8" hidden="false" customHeight="false" outlineLevel="0" collapsed="false">
      <c r="A753" s="0" t="s">
        <v>241</v>
      </c>
      <c r="B753" s="0" t="n">
        <v>44</v>
      </c>
      <c r="C753" s="0" t="s">
        <v>9122</v>
      </c>
      <c r="D753" s="0" t="s">
        <v>833</v>
      </c>
      <c r="E753" s="0" t="s">
        <v>423</v>
      </c>
      <c r="F753" s="4" t="n">
        <v>129</v>
      </c>
      <c r="G753" s="2" t="n">
        <v>0</v>
      </c>
      <c r="H753" s="2" t="n">
        <v>0</v>
      </c>
      <c r="I753" s="4" t="n">
        <v>2</v>
      </c>
      <c r="J753" s="2" t="n">
        <v>2.5</v>
      </c>
      <c r="K753" s="2" t="s">
        <v>13</v>
      </c>
      <c r="L753" s="4" t="n">
        <v>1</v>
      </c>
      <c r="M753" s="2" t="n">
        <v>0</v>
      </c>
      <c r="N753" s="2" t="n">
        <v>0</v>
      </c>
      <c r="O753" s="4" t="n">
        <v>3</v>
      </c>
      <c r="Q753" s="2" t="n">
        <v>923</v>
      </c>
      <c r="R753" s="0" t="s">
        <v>423</v>
      </c>
      <c r="S753" s="0" t="s">
        <v>9123</v>
      </c>
    </row>
    <row r="754" customFormat="false" ht="13.8" hidden="false" customHeight="false" outlineLevel="0" collapsed="false">
      <c r="A754" s="0" t="s">
        <v>241</v>
      </c>
      <c r="B754" s="0" t="n">
        <v>44</v>
      </c>
      <c r="C754" s="0" t="s">
        <v>9122</v>
      </c>
      <c r="D754" s="0" t="s">
        <v>38</v>
      </c>
      <c r="E754" s="0" t="s">
        <v>38</v>
      </c>
      <c r="F754" s="4" t="n">
        <v>105</v>
      </c>
      <c r="G754" s="2" t="n">
        <v>0</v>
      </c>
      <c r="H754" s="2" t="n">
        <v>0</v>
      </c>
      <c r="I754" s="4" t="n">
        <v>2</v>
      </c>
      <c r="J754" s="2" t="n">
        <v>2</v>
      </c>
      <c r="K754" s="2" t="s">
        <v>13</v>
      </c>
      <c r="L754" s="4" t="n">
        <v>1</v>
      </c>
      <c r="M754" s="2" t="n">
        <v>0</v>
      </c>
      <c r="N754" s="2" t="n">
        <v>0</v>
      </c>
      <c r="O754" s="4" t="n">
        <v>3</v>
      </c>
      <c r="Q754" s="2" t="n">
        <v>924</v>
      </c>
      <c r="R754" s="0" t="s">
        <v>38</v>
      </c>
      <c r="S754" s="0" t="s">
        <v>9124</v>
      </c>
    </row>
    <row r="755" customFormat="false" ht="13.8" hidden="false" customHeight="false" outlineLevel="0" collapsed="false">
      <c r="A755" s="0" t="s">
        <v>241</v>
      </c>
      <c r="B755" s="0" t="n">
        <v>44</v>
      </c>
      <c r="C755" s="0" t="s">
        <v>9122</v>
      </c>
      <c r="D755" s="0" t="s">
        <v>309</v>
      </c>
      <c r="E755" s="0" t="s">
        <v>309</v>
      </c>
      <c r="F755" s="4" t="n">
        <v>66</v>
      </c>
      <c r="G755" s="2" t="n">
        <v>0</v>
      </c>
      <c r="H755" s="2" t="n">
        <v>0</v>
      </c>
      <c r="I755" s="4" t="n">
        <v>2</v>
      </c>
      <c r="J755" s="2" t="n">
        <v>5</v>
      </c>
      <c r="K755" s="2" t="s">
        <v>13</v>
      </c>
      <c r="L755" s="4" t="n">
        <v>1</v>
      </c>
      <c r="M755" s="2" t="n">
        <v>0</v>
      </c>
      <c r="N755" s="2" t="n">
        <v>0</v>
      </c>
      <c r="O755" s="4" t="n">
        <v>3</v>
      </c>
      <c r="Q755" s="2" t="n">
        <v>925</v>
      </c>
      <c r="R755" s="0" t="s">
        <v>309</v>
      </c>
      <c r="S755" s="0" t="s">
        <v>9125</v>
      </c>
    </row>
    <row r="756" customFormat="false" ht="13.8" hidden="false" customHeight="false" outlineLevel="0" collapsed="false">
      <c r="A756" s="0" t="s">
        <v>241</v>
      </c>
      <c r="B756" s="0" t="n">
        <v>44</v>
      </c>
      <c r="C756" s="0" t="s">
        <v>9122</v>
      </c>
      <c r="D756" s="0" t="s">
        <v>851</v>
      </c>
      <c r="E756" s="0" t="s">
        <v>386</v>
      </c>
      <c r="F756" s="4" t="n">
        <v>93</v>
      </c>
      <c r="G756" s="2" t="n">
        <v>0</v>
      </c>
      <c r="H756" s="2" t="n">
        <v>0</v>
      </c>
      <c r="I756" s="4" t="n">
        <v>2</v>
      </c>
      <c r="J756" s="2" t="n">
        <v>4</v>
      </c>
      <c r="K756" s="2" t="s">
        <v>13</v>
      </c>
      <c r="L756" s="4" t="n">
        <v>1</v>
      </c>
      <c r="M756" s="2" t="n">
        <v>0</v>
      </c>
      <c r="N756" s="2" t="n">
        <v>0</v>
      </c>
      <c r="O756" s="4" t="n">
        <v>3</v>
      </c>
      <c r="Q756" s="2" t="n">
        <v>926</v>
      </c>
      <c r="R756" s="0" t="s">
        <v>386</v>
      </c>
      <c r="S756" s="0" t="s">
        <v>9126</v>
      </c>
    </row>
    <row r="757" customFormat="false" ht="13.8" hidden="false" customHeight="false" outlineLevel="0" collapsed="false">
      <c r="A757" s="0" t="s">
        <v>241</v>
      </c>
      <c r="B757" s="0" t="n">
        <v>44</v>
      </c>
      <c r="C757" s="0" t="s">
        <v>9122</v>
      </c>
      <c r="D757" s="0" t="s">
        <v>102</v>
      </c>
      <c r="E757" s="0" t="s">
        <v>102</v>
      </c>
      <c r="F757" s="4" t="n">
        <v>1</v>
      </c>
      <c r="G757" s="2" t="n">
        <v>0</v>
      </c>
      <c r="H757" s="2" t="n">
        <v>0</v>
      </c>
      <c r="I757" s="4" t="n">
        <v>2</v>
      </c>
      <c r="J757" s="2" t="n">
        <v>0.5</v>
      </c>
      <c r="K757" s="2" t="s">
        <v>13</v>
      </c>
      <c r="L757" s="4" t="n">
        <v>1</v>
      </c>
      <c r="M757" s="2" t="n">
        <v>0</v>
      </c>
      <c r="N757" s="2" t="n">
        <v>0</v>
      </c>
      <c r="O757" s="4" t="n">
        <v>3</v>
      </c>
      <c r="Q757" s="2" t="n">
        <v>927</v>
      </c>
      <c r="R757" s="0" t="s">
        <v>102</v>
      </c>
      <c r="S757" s="0" t="s">
        <v>9127</v>
      </c>
    </row>
    <row r="758" customFormat="false" ht="13.8" hidden="false" customHeight="false" outlineLevel="0" collapsed="false">
      <c r="A758" s="0" t="s">
        <v>241</v>
      </c>
      <c r="B758" s="0" t="n">
        <v>44</v>
      </c>
      <c r="C758" s="0" t="s">
        <v>9122</v>
      </c>
      <c r="D758" s="0" t="s">
        <v>575</v>
      </c>
      <c r="E758" s="0" t="s">
        <v>462</v>
      </c>
      <c r="F758" s="4" t="n">
        <v>170</v>
      </c>
      <c r="G758" s="2" t="n">
        <v>25</v>
      </c>
      <c r="H758" s="2" t="s">
        <v>7</v>
      </c>
      <c r="I758" s="4" t="n">
        <v>2</v>
      </c>
      <c r="J758" s="2" t="n">
        <v>0</v>
      </c>
      <c r="K758" s="2" t="n">
        <v>0</v>
      </c>
      <c r="L758" s="4" t="n">
        <v>1</v>
      </c>
      <c r="M758" s="2" t="n">
        <v>0</v>
      </c>
      <c r="N758" s="2" t="n">
        <v>0</v>
      </c>
      <c r="O758" s="4" t="n">
        <v>3</v>
      </c>
      <c r="Q758" s="2" t="n">
        <v>928</v>
      </c>
      <c r="R758" s="0" t="s">
        <v>462</v>
      </c>
      <c r="S758" s="0" t="s">
        <v>9128</v>
      </c>
    </row>
    <row r="759" customFormat="false" ht="13.8" hidden="false" customHeight="false" outlineLevel="0" collapsed="false">
      <c r="A759" s="0" t="s">
        <v>241</v>
      </c>
      <c r="B759" s="0" t="n">
        <v>44</v>
      </c>
      <c r="C759" s="0" t="s">
        <v>9122</v>
      </c>
      <c r="D759" s="0" t="s">
        <v>456</v>
      </c>
      <c r="E759" s="0" t="s">
        <v>456</v>
      </c>
      <c r="F759" s="4" t="n">
        <v>164</v>
      </c>
      <c r="G759" s="2" t="n">
        <v>0</v>
      </c>
      <c r="H759" s="2" t="n">
        <v>0</v>
      </c>
      <c r="I759" s="4" t="n">
        <v>2</v>
      </c>
      <c r="J759" s="2" t="n">
        <v>2</v>
      </c>
      <c r="K759" s="2" t="s">
        <v>20</v>
      </c>
      <c r="L759" s="4" t="n">
        <v>5</v>
      </c>
      <c r="M759" s="2" t="n">
        <v>0</v>
      </c>
      <c r="N759" s="2" t="n">
        <v>0</v>
      </c>
      <c r="O759" s="4" t="n">
        <v>3</v>
      </c>
      <c r="Q759" s="2" t="n">
        <v>929</v>
      </c>
      <c r="R759" s="0" t="s">
        <v>456</v>
      </c>
      <c r="S759" s="0" t="s">
        <v>9129</v>
      </c>
    </row>
    <row r="760" customFormat="false" ht="13.8" hidden="false" customHeight="false" outlineLevel="0" collapsed="false">
      <c r="A760" s="0" t="s">
        <v>241</v>
      </c>
      <c r="B760" s="0" t="n">
        <v>44</v>
      </c>
      <c r="C760" s="0" t="s">
        <v>9122</v>
      </c>
      <c r="D760" s="0" t="s">
        <v>489</v>
      </c>
      <c r="E760" s="0" t="s">
        <v>489</v>
      </c>
      <c r="F760" s="4" t="n">
        <v>200</v>
      </c>
      <c r="G760" s="2" t="n">
        <v>0</v>
      </c>
      <c r="H760" s="2" t="n">
        <v>0</v>
      </c>
      <c r="I760" s="4" t="n">
        <v>2</v>
      </c>
      <c r="J760" s="2" t="n">
        <v>1</v>
      </c>
      <c r="K760" s="2" t="s">
        <v>13</v>
      </c>
      <c r="L760" s="4" t="n">
        <v>1</v>
      </c>
      <c r="M760" s="2" t="n">
        <v>0</v>
      </c>
      <c r="N760" s="2" t="n">
        <v>0</v>
      </c>
      <c r="O760" s="4" t="n">
        <v>3</v>
      </c>
      <c r="Q760" s="2" t="n">
        <v>930</v>
      </c>
      <c r="R760" s="0" t="s">
        <v>489</v>
      </c>
      <c r="S760" s="0" t="s">
        <v>9130</v>
      </c>
    </row>
    <row r="761" customFormat="false" ht="13.8" hidden="false" customHeight="false" outlineLevel="0" collapsed="false">
      <c r="A761" s="0" t="s">
        <v>241</v>
      </c>
      <c r="B761" s="0" t="n">
        <v>44</v>
      </c>
      <c r="C761" s="0" t="s">
        <v>9122</v>
      </c>
      <c r="D761" s="0" t="s">
        <v>249</v>
      </c>
      <c r="E761" s="0" t="s">
        <v>249</v>
      </c>
      <c r="F761" s="4" t="n">
        <v>46</v>
      </c>
      <c r="G761" s="2" t="n">
        <v>0</v>
      </c>
      <c r="H761" s="2" t="n">
        <v>0</v>
      </c>
      <c r="I761" s="4" t="n">
        <v>2</v>
      </c>
      <c r="J761" s="2" t="n">
        <v>1</v>
      </c>
      <c r="K761" s="2" t="s">
        <v>13</v>
      </c>
      <c r="L761" s="4" t="n">
        <v>1</v>
      </c>
      <c r="M761" s="2" t="n">
        <v>0</v>
      </c>
      <c r="N761" s="2" t="n">
        <v>0</v>
      </c>
      <c r="O761" s="4" t="n">
        <v>3</v>
      </c>
      <c r="Q761" s="2" t="n">
        <v>931</v>
      </c>
      <c r="R761" s="0" t="s">
        <v>249</v>
      </c>
      <c r="S761" s="0" t="s">
        <v>9131</v>
      </c>
    </row>
    <row r="762" customFormat="false" ht="13.8" hidden="false" customHeight="false" outlineLevel="0" collapsed="false">
      <c r="A762" s="0" t="s">
        <v>241</v>
      </c>
      <c r="B762" s="0" t="n">
        <v>44</v>
      </c>
      <c r="C762" s="0" t="s">
        <v>9122</v>
      </c>
      <c r="D762" s="0" t="s">
        <v>391</v>
      </c>
      <c r="E762" s="0" t="s">
        <v>391</v>
      </c>
      <c r="F762" s="4" t="n">
        <v>95</v>
      </c>
      <c r="G762" s="2" t="n">
        <v>0</v>
      </c>
      <c r="H762" s="2" t="n">
        <v>0</v>
      </c>
      <c r="I762" s="4" t="n">
        <v>2</v>
      </c>
      <c r="J762" s="2" t="n">
        <v>0.5</v>
      </c>
      <c r="K762" s="2" t="s">
        <v>20</v>
      </c>
      <c r="L762" s="4" t="n">
        <v>5</v>
      </c>
      <c r="M762" s="2" t="n">
        <v>0</v>
      </c>
      <c r="N762" s="2" t="n">
        <v>0</v>
      </c>
      <c r="O762" s="4" t="n">
        <v>3</v>
      </c>
      <c r="Q762" s="2" t="n">
        <v>932</v>
      </c>
      <c r="R762" s="0" t="s">
        <v>391</v>
      </c>
      <c r="S762" s="0" t="s">
        <v>9132</v>
      </c>
    </row>
    <row r="763" customFormat="false" ht="13.8" hidden="false" customHeight="false" outlineLevel="0" collapsed="false">
      <c r="A763" s="0" t="s">
        <v>241</v>
      </c>
      <c r="B763" s="0" t="n">
        <v>44</v>
      </c>
      <c r="C763" s="0" t="s">
        <v>9122</v>
      </c>
      <c r="D763" s="0" t="s">
        <v>382</v>
      </c>
      <c r="E763" s="0" t="s">
        <v>382</v>
      </c>
      <c r="F763" s="4" t="n">
        <v>91</v>
      </c>
      <c r="G763" s="2" t="n">
        <v>0</v>
      </c>
      <c r="H763" s="2" t="n">
        <v>0</v>
      </c>
      <c r="I763" s="4" t="n">
        <v>2</v>
      </c>
      <c r="J763" s="2" t="n">
        <v>1.5</v>
      </c>
      <c r="K763" s="2" t="s">
        <v>20</v>
      </c>
      <c r="L763" s="4" t="n">
        <v>5</v>
      </c>
      <c r="M763" s="2" t="n">
        <v>0</v>
      </c>
      <c r="N763" s="2" t="n">
        <v>0</v>
      </c>
      <c r="O763" s="4" t="n">
        <v>3</v>
      </c>
      <c r="Q763" s="2" t="n">
        <v>933</v>
      </c>
      <c r="R763" s="0" t="s">
        <v>382</v>
      </c>
      <c r="S763" s="0" t="s">
        <v>9133</v>
      </c>
    </row>
    <row r="764" customFormat="false" ht="13.8" hidden="false" customHeight="false" outlineLevel="0" collapsed="false">
      <c r="A764" s="0" t="s">
        <v>241</v>
      </c>
      <c r="B764" s="0" t="n">
        <v>44</v>
      </c>
      <c r="C764" s="0" t="s">
        <v>9122</v>
      </c>
      <c r="D764" s="0" t="s">
        <v>852</v>
      </c>
      <c r="E764" s="0" t="s">
        <v>360</v>
      </c>
      <c r="F764" s="4" t="n">
        <v>83</v>
      </c>
      <c r="G764" s="2" t="n">
        <v>0</v>
      </c>
      <c r="H764" s="2" t="n">
        <v>0</v>
      </c>
      <c r="I764" s="4" t="n">
        <v>2</v>
      </c>
      <c r="J764" s="2" t="n">
        <v>5</v>
      </c>
      <c r="K764" s="2" t="s">
        <v>13</v>
      </c>
      <c r="L764" s="4" t="n">
        <v>1</v>
      </c>
      <c r="M764" s="2" t="n">
        <v>0</v>
      </c>
      <c r="N764" s="2" t="n">
        <v>0</v>
      </c>
      <c r="O764" s="4" t="n">
        <v>3</v>
      </c>
      <c r="Q764" s="2" t="n">
        <v>934</v>
      </c>
      <c r="R764" s="0" t="s">
        <v>360</v>
      </c>
      <c r="S764" s="0" t="s">
        <v>9134</v>
      </c>
    </row>
    <row r="765" customFormat="false" ht="13.8" hidden="false" customHeight="false" outlineLevel="0" collapsed="false">
      <c r="A765" s="0" t="s">
        <v>241</v>
      </c>
      <c r="B765" s="0" t="n">
        <v>44</v>
      </c>
      <c r="C765" s="0" t="s">
        <v>9122</v>
      </c>
      <c r="D765" s="0" t="s">
        <v>474</v>
      </c>
      <c r="E765" s="0" t="s">
        <v>474</v>
      </c>
      <c r="F765" s="4" t="n">
        <v>183</v>
      </c>
      <c r="G765" s="2" t="n">
        <v>4</v>
      </c>
      <c r="H765" s="2" t="s">
        <v>7</v>
      </c>
      <c r="I765" s="4" t="n">
        <v>2</v>
      </c>
      <c r="J765" s="2" t="n">
        <v>0</v>
      </c>
      <c r="K765" s="2" t="n">
        <v>0</v>
      </c>
      <c r="L765" s="4" t="n">
        <v>1</v>
      </c>
      <c r="M765" s="2" t="n">
        <v>0</v>
      </c>
      <c r="N765" s="2" t="n">
        <v>0</v>
      </c>
      <c r="O765" s="4" t="n">
        <v>3</v>
      </c>
      <c r="Q765" s="2" t="n">
        <v>935</v>
      </c>
      <c r="R765" s="0" t="s">
        <v>474</v>
      </c>
      <c r="S765" s="0" t="s">
        <v>9135</v>
      </c>
    </row>
    <row r="766" customFormat="false" ht="13.8" hidden="false" customHeight="false" outlineLevel="0" collapsed="false">
      <c r="A766" s="0" t="s">
        <v>241</v>
      </c>
      <c r="B766" s="0" t="n">
        <v>44</v>
      </c>
      <c r="C766" s="0" t="s">
        <v>9122</v>
      </c>
      <c r="D766" s="0" t="s">
        <v>96</v>
      </c>
      <c r="E766" s="0" t="s">
        <v>96</v>
      </c>
      <c r="F766" s="4" t="n">
        <v>177</v>
      </c>
      <c r="G766" s="2" t="n">
        <v>0</v>
      </c>
      <c r="H766" s="2" t="n">
        <v>0</v>
      </c>
      <c r="I766" s="4" t="n">
        <v>2</v>
      </c>
      <c r="J766" s="2" t="n">
        <v>7.5</v>
      </c>
      <c r="K766" s="2" t="s">
        <v>20</v>
      </c>
      <c r="L766" s="4" t="n">
        <v>5</v>
      </c>
      <c r="M766" s="2" t="n">
        <v>0</v>
      </c>
      <c r="N766" s="2" t="n">
        <v>0</v>
      </c>
      <c r="O766" s="4" t="n">
        <v>3</v>
      </c>
      <c r="Q766" s="2" t="n">
        <v>936</v>
      </c>
      <c r="R766" s="0" t="s">
        <v>96</v>
      </c>
      <c r="S766" s="0" t="s">
        <v>9136</v>
      </c>
    </row>
    <row r="767" customFormat="false" ht="13.8" hidden="false" customHeight="false" outlineLevel="0" collapsed="false">
      <c r="A767" s="0" t="s">
        <v>346</v>
      </c>
      <c r="B767" s="0" t="n">
        <v>79</v>
      </c>
      <c r="C767" s="0" t="s">
        <v>9137</v>
      </c>
      <c r="D767" s="0" t="s">
        <v>480</v>
      </c>
      <c r="E767" s="0" t="s">
        <v>480</v>
      </c>
      <c r="F767" s="4" t="n">
        <v>190</v>
      </c>
      <c r="G767" s="2" t="n">
        <v>2</v>
      </c>
      <c r="H767" s="2" t="s">
        <v>7</v>
      </c>
      <c r="I767" s="4" t="n">
        <v>2</v>
      </c>
      <c r="J767" s="2" t="n">
        <v>0</v>
      </c>
      <c r="K767" s="2" t="n">
        <v>0</v>
      </c>
      <c r="L767" s="4" t="n">
        <v>1</v>
      </c>
      <c r="M767" s="2" t="n">
        <v>0</v>
      </c>
      <c r="N767" s="2" t="n">
        <v>0</v>
      </c>
      <c r="O767" s="4" t="n">
        <v>3</v>
      </c>
      <c r="Q767" s="2" t="n">
        <v>938</v>
      </c>
      <c r="R767" s="0" t="s">
        <v>480</v>
      </c>
      <c r="S767" s="0" t="s">
        <v>9138</v>
      </c>
    </row>
    <row r="768" customFormat="false" ht="13.8" hidden="false" customHeight="false" outlineLevel="0" collapsed="false">
      <c r="A768" s="0" t="s">
        <v>346</v>
      </c>
      <c r="B768" s="0" t="n">
        <v>79</v>
      </c>
      <c r="C768" s="0" t="s">
        <v>9137</v>
      </c>
      <c r="D768" s="0" t="s">
        <v>38</v>
      </c>
      <c r="E768" s="0" t="s">
        <v>38</v>
      </c>
      <c r="F768" s="4" t="n">
        <v>105</v>
      </c>
      <c r="G768" s="2" t="n">
        <v>0</v>
      </c>
      <c r="H768" s="2" t="n">
        <v>0</v>
      </c>
      <c r="I768" s="4" t="n">
        <v>2</v>
      </c>
      <c r="J768" s="2" t="n">
        <v>2</v>
      </c>
      <c r="K768" s="2" t="s">
        <v>13</v>
      </c>
      <c r="L768" s="4" t="n">
        <v>1</v>
      </c>
      <c r="M768" s="2" t="n">
        <v>0</v>
      </c>
      <c r="N768" s="2" t="n">
        <v>0</v>
      </c>
      <c r="O768" s="4" t="n">
        <v>3</v>
      </c>
      <c r="Q768" s="2" t="n">
        <v>939</v>
      </c>
      <c r="R768" s="0" t="s">
        <v>38</v>
      </c>
      <c r="S768" s="0" t="s">
        <v>9139</v>
      </c>
    </row>
    <row r="769" customFormat="false" ht="13.8" hidden="false" customHeight="false" outlineLevel="0" collapsed="false">
      <c r="A769" s="0" t="s">
        <v>346</v>
      </c>
      <c r="B769" s="0" t="n">
        <v>79</v>
      </c>
      <c r="C769" s="0" t="s">
        <v>9137</v>
      </c>
      <c r="D769" s="0" t="s">
        <v>309</v>
      </c>
      <c r="E769" s="0" t="s">
        <v>309</v>
      </c>
      <c r="F769" s="4" t="n">
        <v>66</v>
      </c>
      <c r="G769" s="2" t="n">
        <v>0</v>
      </c>
      <c r="H769" s="2" t="n">
        <v>0</v>
      </c>
      <c r="I769" s="4" t="n">
        <v>2</v>
      </c>
      <c r="J769" s="2" t="n">
        <v>5</v>
      </c>
      <c r="K769" s="2" t="s">
        <v>13</v>
      </c>
      <c r="L769" s="4" t="n">
        <v>1</v>
      </c>
      <c r="M769" s="2" t="n">
        <v>0</v>
      </c>
      <c r="N769" s="2" t="n">
        <v>0</v>
      </c>
      <c r="O769" s="4" t="n">
        <v>3</v>
      </c>
      <c r="Q769" s="2" t="n">
        <v>940</v>
      </c>
      <c r="R769" s="0" t="s">
        <v>309</v>
      </c>
      <c r="S769" s="0" t="s">
        <v>9140</v>
      </c>
    </row>
    <row r="770" customFormat="false" ht="13.8" hidden="false" customHeight="false" outlineLevel="0" collapsed="false">
      <c r="A770" s="0" t="s">
        <v>346</v>
      </c>
      <c r="B770" s="0" t="n">
        <v>79</v>
      </c>
      <c r="C770" s="0" t="s">
        <v>9137</v>
      </c>
      <c r="D770" s="0" t="s">
        <v>851</v>
      </c>
      <c r="E770" s="0" t="s">
        <v>386</v>
      </c>
      <c r="F770" s="4" t="n">
        <v>93</v>
      </c>
      <c r="G770" s="2" t="n">
        <v>0</v>
      </c>
      <c r="H770" s="2" t="n">
        <v>0</v>
      </c>
      <c r="I770" s="4" t="n">
        <v>2</v>
      </c>
      <c r="J770" s="2" t="n">
        <v>1</v>
      </c>
      <c r="K770" s="2" t="s">
        <v>13</v>
      </c>
      <c r="L770" s="4" t="n">
        <v>1</v>
      </c>
      <c r="M770" s="2" t="n">
        <v>0</v>
      </c>
      <c r="N770" s="2" t="n">
        <v>0</v>
      </c>
      <c r="O770" s="4" t="n">
        <v>3</v>
      </c>
      <c r="Q770" s="2" t="n">
        <v>941</v>
      </c>
      <c r="R770" s="0" t="s">
        <v>386</v>
      </c>
      <c r="S770" s="0" t="s">
        <v>9141</v>
      </c>
    </row>
    <row r="771" customFormat="false" ht="13.8" hidden="false" customHeight="false" outlineLevel="0" collapsed="false">
      <c r="A771" s="0" t="s">
        <v>346</v>
      </c>
      <c r="B771" s="0" t="n">
        <v>79</v>
      </c>
      <c r="C771" s="0" t="s">
        <v>9137</v>
      </c>
      <c r="D771" s="0" t="s">
        <v>575</v>
      </c>
      <c r="E771" s="0" t="s">
        <v>462</v>
      </c>
      <c r="F771" s="4" t="n">
        <v>170</v>
      </c>
      <c r="G771" s="2" t="n">
        <v>25</v>
      </c>
      <c r="H771" s="2" t="s">
        <v>7</v>
      </c>
      <c r="I771" s="4" t="n">
        <v>2</v>
      </c>
      <c r="J771" s="2" t="n">
        <v>0</v>
      </c>
      <c r="K771" s="2" t="n">
        <v>0</v>
      </c>
      <c r="L771" s="4" t="n">
        <v>1</v>
      </c>
      <c r="M771" s="2" t="n">
        <v>0</v>
      </c>
      <c r="N771" s="2" t="n">
        <v>0</v>
      </c>
      <c r="O771" s="4" t="n">
        <v>3</v>
      </c>
      <c r="Q771" s="2" t="n">
        <v>942</v>
      </c>
      <c r="R771" s="0" t="s">
        <v>462</v>
      </c>
      <c r="S771" s="0" t="s">
        <v>9142</v>
      </c>
    </row>
    <row r="772" customFormat="false" ht="13.8" hidden="false" customHeight="false" outlineLevel="0" collapsed="false">
      <c r="A772" s="0" t="s">
        <v>346</v>
      </c>
      <c r="B772" s="0" t="n">
        <v>79</v>
      </c>
      <c r="C772" s="0" t="s">
        <v>9137</v>
      </c>
      <c r="D772" s="0" t="s">
        <v>456</v>
      </c>
      <c r="E772" s="0" t="s">
        <v>456</v>
      </c>
      <c r="F772" s="4" t="n">
        <v>164</v>
      </c>
      <c r="G772" s="2" t="n">
        <v>0</v>
      </c>
      <c r="H772" s="2" t="n">
        <v>0</v>
      </c>
      <c r="I772" s="4" t="n">
        <v>2</v>
      </c>
      <c r="J772" s="2" t="n">
        <v>2</v>
      </c>
      <c r="K772" s="2" t="s">
        <v>20</v>
      </c>
      <c r="L772" s="4" t="n">
        <v>5</v>
      </c>
      <c r="M772" s="2" t="n">
        <v>0</v>
      </c>
      <c r="N772" s="2" t="n">
        <v>0</v>
      </c>
      <c r="O772" s="4" t="n">
        <v>3</v>
      </c>
      <c r="Q772" s="2" t="n">
        <v>943</v>
      </c>
      <c r="R772" s="0" t="s">
        <v>456</v>
      </c>
      <c r="S772" s="0" t="s">
        <v>9143</v>
      </c>
    </row>
    <row r="773" customFormat="false" ht="13.8" hidden="false" customHeight="false" outlineLevel="0" collapsed="false">
      <c r="A773" s="0" t="s">
        <v>346</v>
      </c>
      <c r="B773" s="0" t="n">
        <v>79</v>
      </c>
      <c r="C773" s="0" t="s">
        <v>9137</v>
      </c>
      <c r="D773" s="0" t="s">
        <v>489</v>
      </c>
      <c r="E773" s="0" t="s">
        <v>489</v>
      </c>
      <c r="F773" s="4" t="n">
        <v>200</v>
      </c>
      <c r="G773" s="2" t="n">
        <v>0</v>
      </c>
      <c r="H773" s="2" t="n">
        <v>0</v>
      </c>
      <c r="I773" s="4" t="n">
        <v>2</v>
      </c>
      <c r="J773" s="2" t="n">
        <v>1</v>
      </c>
      <c r="K773" s="2" t="s">
        <v>13</v>
      </c>
      <c r="L773" s="4" t="n">
        <v>1</v>
      </c>
      <c r="M773" s="2" t="n">
        <v>0</v>
      </c>
      <c r="N773" s="2" t="n">
        <v>0</v>
      </c>
      <c r="O773" s="4" t="n">
        <v>3</v>
      </c>
      <c r="Q773" s="2" t="n">
        <v>944</v>
      </c>
      <c r="R773" s="0" t="s">
        <v>489</v>
      </c>
      <c r="S773" s="0" t="s">
        <v>9144</v>
      </c>
    </row>
    <row r="774" customFormat="false" ht="13.8" hidden="false" customHeight="false" outlineLevel="0" collapsed="false">
      <c r="A774" s="0" t="s">
        <v>346</v>
      </c>
      <c r="B774" s="0" t="n">
        <v>79</v>
      </c>
      <c r="C774" s="0" t="s">
        <v>9137</v>
      </c>
      <c r="D774" s="0" t="s">
        <v>249</v>
      </c>
      <c r="E774" s="0" t="s">
        <v>249</v>
      </c>
      <c r="F774" s="4" t="n">
        <v>46</v>
      </c>
      <c r="G774" s="2" t="n">
        <v>0</v>
      </c>
      <c r="H774" s="2" t="n">
        <v>0</v>
      </c>
      <c r="I774" s="4" t="n">
        <v>2</v>
      </c>
      <c r="J774" s="2" t="n">
        <v>1</v>
      </c>
      <c r="K774" s="2" t="s">
        <v>13</v>
      </c>
      <c r="L774" s="4" t="n">
        <v>1</v>
      </c>
      <c r="M774" s="2" t="n">
        <v>0</v>
      </c>
      <c r="N774" s="2" t="n">
        <v>0</v>
      </c>
      <c r="O774" s="4" t="n">
        <v>3</v>
      </c>
      <c r="Q774" s="2" t="n">
        <v>945</v>
      </c>
      <c r="R774" s="0" t="s">
        <v>249</v>
      </c>
      <c r="S774" s="0" t="s">
        <v>9145</v>
      </c>
    </row>
    <row r="775" customFormat="false" ht="13.8" hidden="false" customHeight="false" outlineLevel="0" collapsed="false">
      <c r="A775" s="0" t="s">
        <v>346</v>
      </c>
      <c r="B775" s="0" t="n">
        <v>79</v>
      </c>
      <c r="C775" s="0" t="s">
        <v>9137</v>
      </c>
      <c r="D775" s="0" t="s">
        <v>391</v>
      </c>
      <c r="E775" s="0" t="s">
        <v>391</v>
      </c>
      <c r="F775" s="4" t="n">
        <v>95</v>
      </c>
      <c r="G775" s="2" t="n">
        <v>0</v>
      </c>
      <c r="H775" s="2" t="n">
        <v>0</v>
      </c>
      <c r="I775" s="4" t="n">
        <v>2</v>
      </c>
      <c r="J775" s="2" t="n">
        <v>1</v>
      </c>
      <c r="K775" s="2" t="s">
        <v>20</v>
      </c>
      <c r="L775" s="4" t="n">
        <v>5</v>
      </c>
      <c r="M775" s="2" t="n">
        <v>0</v>
      </c>
      <c r="N775" s="2" t="n">
        <v>0</v>
      </c>
      <c r="O775" s="4" t="n">
        <v>3</v>
      </c>
      <c r="Q775" s="2" t="n">
        <v>946</v>
      </c>
      <c r="R775" s="0" t="s">
        <v>391</v>
      </c>
      <c r="S775" s="0" t="s">
        <v>9146</v>
      </c>
    </row>
    <row r="776" customFormat="false" ht="13.8" hidden="false" customHeight="false" outlineLevel="0" collapsed="false">
      <c r="A776" s="0" t="s">
        <v>346</v>
      </c>
      <c r="B776" s="0" t="n">
        <v>79</v>
      </c>
      <c r="C776" s="0" t="s">
        <v>9137</v>
      </c>
      <c r="D776" s="0" t="s">
        <v>382</v>
      </c>
      <c r="E776" s="0" t="s">
        <v>382</v>
      </c>
      <c r="F776" s="4" t="n">
        <v>91</v>
      </c>
      <c r="G776" s="2" t="n">
        <v>0</v>
      </c>
      <c r="H776" s="2" t="n">
        <v>0</v>
      </c>
      <c r="I776" s="4" t="n">
        <v>2</v>
      </c>
      <c r="J776" s="2" t="n">
        <v>1.5</v>
      </c>
      <c r="K776" s="2" t="s">
        <v>20</v>
      </c>
      <c r="L776" s="4" t="n">
        <v>5</v>
      </c>
      <c r="M776" s="2" t="n">
        <v>0</v>
      </c>
      <c r="N776" s="2" t="n">
        <v>0</v>
      </c>
      <c r="O776" s="4" t="n">
        <v>3</v>
      </c>
      <c r="Q776" s="2" t="n">
        <v>947</v>
      </c>
      <c r="R776" s="0" t="s">
        <v>382</v>
      </c>
      <c r="S776" s="0" t="s">
        <v>9147</v>
      </c>
    </row>
    <row r="777" customFormat="false" ht="13.8" hidden="false" customHeight="false" outlineLevel="0" collapsed="false">
      <c r="A777" s="0" t="s">
        <v>346</v>
      </c>
      <c r="B777" s="0" t="n">
        <v>79</v>
      </c>
      <c r="C777" s="0" t="s">
        <v>9137</v>
      </c>
      <c r="D777" s="0" t="s">
        <v>852</v>
      </c>
      <c r="E777" s="0" t="s">
        <v>360</v>
      </c>
      <c r="F777" s="4" t="n">
        <v>83</v>
      </c>
      <c r="G777" s="2" t="n">
        <v>0</v>
      </c>
      <c r="H777" s="2" t="n">
        <v>0</v>
      </c>
      <c r="I777" s="4" t="n">
        <v>2</v>
      </c>
      <c r="J777" s="2" t="n">
        <v>5</v>
      </c>
      <c r="K777" s="2" t="s">
        <v>13</v>
      </c>
      <c r="L777" s="4" t="n">
        <v>1</v>
      </c>
      <c r="M777" s="2" t="n">
        <v>0</v>
      </c>
      <c r="N777" s="2" t="n">
        <v>0</v>
      </c>
      <c r="O777" s="4" t="n">
        <v>3</v>
      </c>
      <c r="Q777" s="2" t="n">
        <v>948</v>
      </c>
      <c r="R777" s="0" t="s">
        <v>360</v>
      </c>
      <c r="S777" s="0" t="s">
        <v>9148</v>
      </c>
    </row>
    <row r="778" customFormat="false" ht="13.8" hidden="false" customHeight="false" outlineLevel="0" collapsed="false">
      <c r="A778" s="0" t="s">
        <v>346</v>
      </c>
      <c r="B778" s="0" t="n">
        <v>79</v>
      </c>
      <c r="C778" s="0" t="s">
        <v>9137</v>
      </c>
      <c r="D778" s="0" t="s">
        <v>474</v>
      </c>
      <c r="E778" s="0" t="s">
        <v>474</v>
      </c>
      <c r="F778" s="4" t="n">
        <v>183</v>
      </c>
      <c r="G778" s="2" t="n">
        <v>4</v>
      </c>
      <c r="H778" s="2" t="s">
        <v>7</v>
      </c>
      <c r="I778" s="4" t="n">
        <v>2</v>
      </c>
      <c r="J778" s="2" t="n">
        <v>0</v>
      </c>
      <c r="K778" s="2" t="n">
        <v>0</v>
      </c>
      <c r="L778" s="4" t="n">
        <v>1</v>
      </c>
      <c r="M778" s="2" t="n">
        <v>0</v>
      </c>
      <c r="N778" s="2" t="n">
        <v>0</v>
      </c>
      <c r="O778" s="4" t="n">
        <v>3</v>
      </c>
      <c r="Q778" s="2" t="n">
        <v>949</v>
      </c>
      <c r="R778" s="0" t="s">
        <v>474</v>
      </c>
      <c r="S778" s="0" t="s">
        <v>9149</v>
      </c>
    </row>
    <row r="779" customFormat="false" ht="13.8" hidden="false" customHeight="false" outlineLevel="0" collapsed="false">
      <c r="A779" s="0" t="s">
        <v>346</v>
      </c>
      <c r="B779" s="0" t="n">
        <v>79</v>
      </c>
      <c r="C779" s="0" t="s">
        <v>9137</v>
      </c>
      <c r="D779" s="0" t="s">
        <v>96</v>
      </c>
      <c r="E779" s="0" t="s">
        <v>96</v>
      </c>
      <c r="F779" s="4" t="n">
        <v>177</v>
      </c>
      <c r="G779" s="2" t="n">
        <v>0</v>
      </c>
      <c r="H779" s="2" t="n">
        <v>0</v>
      </c>
      <c r="I779" s="4" t="n">
        <v>2</v>
      </c>
      <c r="J779" s="2" t="n">
        <v>6.5</v>
      </c>
      <c r="K779" s="2" t="s">
        <v>20</v>
      </c>
      <c r="L779" s="4" t="n">
        <v>5</v>
      </c>
      <c r="M779" s="2" t="n">
        <v>0</v>
      </c>
      <c r="N779" s="2" t="n">
        <v>0</v>
      </c>
      <c r="O779" s="4" t="n">
        <v>3</v>
      </c>
      <c r="Q779" s="2" t="n">
        <v>950</v>
      </c>
      <c r="R779" s="0" t="s">
        <v>96</v>
      </c>
      <c r="S779" s="0" t="s">
        <v>9150</v>
      </c>
    </row>
    <row r="780" customFormat="false" ht="13.8" hidden="false" customHeight="false" outlineLevel="0" collapsed="false">
      <c r="A780" s="0" t="s">
        <v>346</v>
      </c>
      <c r="B780" s="0" t="n">
        <v>79</v>
      </c>
      <c r="C780" s="0" t="s">
        <v>9137</v>
      </c>
      <c r="D780" s="0" t="s">
        <v>821</v>
      </c>
      <c r="E780" s="0" t="s">
        <v>380</v>
      </c>
      <c r="F780" s="4" t="n">
        <v>90</v>
      </c>
      <c r="G780" s="2" t="n">
        <v>1</v>
      </c>
      <c r="H780" s="2" t="s">
        <v>7</v>
      </c>
      <c r="I780" s="4" t="n">
        <v>2</v>
      </c>
      <c r="J780" s="2" t="n">
        <v>0</v>
      </c>
      <c r="K780" s="2" t="n">
        <v>0</v>
      </c>
      <c r="L780" s="4" t="n">
        <v>1</v>
      </c>
      <c r="M780" s="2" t="n">
        <v>0</v>
      </c>
      <c r="N780" s="2" t="n">
        <v>0</v>
      </c>
      <c r="O780" s="4" t="n">
        <v>3</v>
      </c>
      <c r="Q780" s="2" t="n">
        <v>951</v>
      </c>
      <c r="R780" s="0" t="s">
        <v>380</v>
      </c>
      <c r="S780" s="0" t="s">
        <v>9151</v>
      </c>
    </row>
    <row r="781" customFormat="false" ht="13.8" hidden="false" customHeight="false" outlineLevel="0" collapsed="false">
      <c r="A781" s="0" t="s">
        <v>364</v>
      </c>
      <c r="B781" s="0" t="n">
        <v>85</v>
      </c>
      <c r="C781" s="0" t="s">
        <v>9152</v>
      </c>
      <c r="D781" s="0" t="s">
        <v>439</v>
      </c>
      <c r="E781" s="0" t="s">
        <v>439</v>
      </c>
      <c r="F781" s="4" t="n">
        <v>145</v>
      </c>
      <c r="G781" s="2" t="n">
        <v>0</v>
      </c>
      <c r="H781" s="2" t="n">
        <v>0</v>
      </c>
      <c r="I781" s="4" t="n">
        <v>2</v>
      </c>
      <c r="J781" s="2" t="n">
        <v>60</v>
      </c>
      <c r="K781" s="2" t="s">
        <v>13</v>
      </c>
      <c r="L781" s="4" t="n">
        <v>1</v>
      </c>
      <c r="M781" s="2" t="n">
        <v>0</v>
      </c>
      <c r="N781" s="2" t="n">
        <v>0</v>
      </c>
      <c r="O781" s="4" t="n">
        <v>3</v>
      </c>
      <c r="Q781" s="2" t="n">
        <v>953</v>
      </c>
      <c r="R781" s="0" t="s">
        <v>439</v>
      </c>
      <c r="S781" s="0" t="s">
        <v>9153</v>
      </c>
    </row>
    <row r="782" customFormat="false" ht="13.8" hidden="false" customHeight="false" outlineLevel="0" collapsed="false">
      <c r="A782" s="0" t="s">
        <v>364</v>
      </c>
      <c r="B782" s="0" t="n">
        <v>85</v>
      </c>
      <c r="C782" s="0" t="s">
        <v>9152</v>
      </c>
      <c r="D782" s="0" t="s">
        <v>414</v>
      </c>
      <c r="E782" s="0" t="s">
        <v>414</v>
      </c>
      <c r="F782" s="4" t="n">
        <v>119</v>
      </c>
      <c r="G782" s="2" t="n">
        <v>2</v>
      </c>
      <c r="H782" s="2" t="s">
        <v>7</v>
      </c>
      <c r="I782" s="4" t="n">
        <v>2</v>
      </c>
      <c r="J782" s="2" t="n">
        <v>0</v>
      </c>
      <c r="K782" s="2" t="n">
        <v>0</v>
      </c>
      <c r="L782" s="4" t="n">
        <v>1</v>
      </c>
      <c r="M782" s="2" t="n">
        <v>0</v>
      </c>
      <c r="N782" s="2" t="n">
        <v>0</v>
      </c>
      <c r="O782" s="4" t="n">
        <v>3</v>
      </c>
      <c r="Q782" s="2" t="n">
        <v>954</v>
      </c>
      <c r="R782" s="0" t="s">
        <v>414</v>
      </c>
      <c r="S782" s="0" t="s">
        <v>9154</v>
      </c>
    </row>
    <row r="783" customFormat="false" ht="13.8" hidden="false" customHeight="false" outlineLevel="0" collapsed="false">
      <c r="A783" s="0" t="s">
        <v>364</v>
      </c>
      <c r="B783" s="0" t="n">
        <v>85</v>
      </c>
      <c r="C783" s="0" t="s">
        <v>9152</v>
      </c>
      <c r="D783" s="0" t="s">
        <v>405</v>
      </c>
      <c r="E783" s="0" t="s">
        <v>405</v>
      </c>
      <c r="F783" s="4" t="n">
        <v>110</v>
      </c>
      <c r="G783" s="2" t="n">
        <v>500</v>
      </c>
      <c r="H783" s="2" t="s">
        <v>109</v>
      </c>
      <c r="I783" s="4" t="n">
        <v>7</v>
      </c>
      <c r="J783" s="2" t="n">
        <v>0</v>
      </c>
      <c r="K783" s="2" t="n">
        <v>0</v>
      </c>
      <c r="L783" s="4" t="n">
        <v>1</v>
      </c>
      <c r="M783" s="2" t="n">
        <v>0</v>
      </c>
      <c r="N783" s="2" t="n">
        <v>0</v>
      </c>
      <c r="O783" s="4" t="n">
        <v>3</v>
      </c>
      <c r="Q783" s="2" t="n">
        <v>955</v>
      </c>
      <c r="R783" s="0" t="s">
        <v>405</v>
      </c>
      <c r="S783" s="0" t="s">
        <v>9155</v>
      </c>
    </row>
    <row r="784" customFormat="false" ht="13.8" hidden="false" customHeight="false" outlineLevel="0" collapsed="false">
      <c r="A784" s="0" t="s">
        <v>364</v>
      </c>
      <c r="B784" s="0" t="n">
        <v>85</v>
      </c>
      <c r="C784" s="0" t="s">
        <v>9152</v>
      </c>
      <c r="D784" s="0" t="s">
        <v>853</v>
      </c>
      <c r="E784" s="0" t="s">
        <v>490</v>
      </c>
      <c r="F784" s="4" t="n">
        <v>201</v>
      </c>
      <c r="G784" s="2" t="n">
        <v>7</v>
      </c>
      <c r="H784" s="2" t="s">
        <v>7</v>
      </c>
      <c r="I784" s="4" t="n">
        <v>2</v>
      </c>
      <c r="J784" s="2" t="n">
        <v>0</v>
      </c>
      <c r="K784" s="2" t="n">
        <v>0</v>
      </c>
      <c r="L784" s="4" t="n">
        <v>1</v>
      </c>
      <c r="M784" s="2" t="n">
        <v>0</v>
      </c>
      <c r="N784" s="2" t="n">
        <v>0</v>
      </c>
      <c r="O784" s="4" t="n">
        <v>3</v>
      </c>
      <c r="Q784" s="2" t="n">
        <v>956</v>
      </c>
      <c r="R784" s="0" t="s">
        <v>490</v>
      </c>
      <c r="S784" s="0" t="s">
        <v>9156</v>
      </c>
    </row>
    <row r="785" customFormat="false" ht="13.8" hidden="false" customHeight="false" outlineLevel="0" collapsed="false">
      <c r="A785" s="0" t="s">
        <v>364</v>
      </c>
      <c r="B785" s="0" t="n">
        <v>85</v>
      </c>
      <c r="C785" s="0" t="s">
        <v>9152</v>
      </c>
      <c r="D785" s="0" t="s">
        <v>44</v>
      </c>
      <c r="E785" s="0" t="s">
        <v>44</v>
      </c>
      <c r="F785" s="4" t="n">
        <v>187</v>
      </c>
      <c r="G785" s="2" t="n">
        <v>5</v>
      </c>
      <c r="H785" s="2" t="s">
        <v>7</v>
      </c>
      <c r="I785" s="4" t="n">
        <v>2</v>
      </c>
      <c r="J785" s="2" t="n">
        <v>0</v>
      </c>
      <c r="K785" s="2" t="n">
        <v>0</v>
      </c>
      <c r="L785" s="4" t="n">
        <v>1</v>
      </c>
      <c r="M785" s="2" t="n">
        <v>0</v>
      </c>
      <c r="N785" s="2" t="n">
        <v>0</v>
      </c>
      <c r="O785" s="4" t="n">
        <v>3</v>
      </c>
      <c r="Q785" s="2" t="n">
        <v>957</v>
      </c>
      <c r="R785" s="0" t="s">
        <v>44</v>
      </c>
      <c r="S785" s="0" t="s">
        <v>9157</v>
      </c>
    </row>
    <row r="786" customFormat="false" ht="13.8" hidden="false" customHeight="false" outlineLevel="0" collapsed="false">
      <c r="A786" s="0" t="s">
        <v>220</v>
      </c>
      <c r="B786" s="0" t="n">
        <v>37</v>
      </c>
      <c r="C786" s="0" t="s">
        <v>9158</v>
      </c>
      <c r="D786" s="0" t="s">
        <v>318</v>
      </c>
      <c r="E786" s="0" t="s">
        <v>318</v>
      </c>
      <c r="F786" s="4" t="n">
        <v>69</v>
      </c>
      <c r="G786" s="2" t="n">
        <v>4</v>
      </c>
      <c r="H786" s="2" t="s">
        <v>7</v>
      </c>
      <c r="I786" s="4" t="n">
        <v>2</v>
      </c>
      <c r="J786" s="2" t="n">
        <v>0</v>
      </c>
      <c r="K786" s="2" t="n">
        <v>0</v>
      </c>
      <c r="L786" s="4" t="n">
        <v>1</v>
      </c>
      <c r="M786" s="2" t="n">
        <v>0</v>
      </c>
      <c r="N786" s="2" t="n">
        <v>0</v>
      </c>
      <c r="O786" s="4" t="n">
        <v>3</v>
      </c>
      <c r="Q786" s="2" t="n">
        <v>959</v>
      </c>
      <c r="R786" s="0" t="s">
        <v>318</v>
      </c>
      <c r="S786" s="0" t="s">
        <v>9159</v>
      </c>
    </row>
    <row r="787" customFormat="false" ht="13.8" hidden="false" customHeight="false" outlineLevel="0" collapsed="false">
      <c r="A787" s="0" t="s">
        <v>220</v>
      </c>
      <c r="B787" s="0" t="n">
        <v>37</v>
      </c>
      <c r="C787" s="0" t="s">
        <v>9158</v>
      </c>
      <c r="D787" s="0" t="s">
        <v>201</v>
      </c>
      <c r="E787" s="0" t="s">
        <v>201</v>
      </c>
      <c r="F787" s="4" t="n">
        <v>30</v>
      </c>
      <c r="G787" s="2" t="n">
        <v>4</v>
      </c>
      <c r="H787" s="2" t="s">
        <v>7</v>
      </c>
      <c r="I787" s="4" t="n">
        <v>2</v>
      </c>
      <c r="J787" s="2" t="n">
        <v>0</v>
      </c>
      <c r="K787" s="2" t="n">
        <v>0</v>
      </c>
      <c r="L787" s="4" t="n">
        <v>1</v>
      </c>
      <c r="M787" s="2" t="n">
        <v>0</v>
      </c>
      <c r="N787" s="2" t="n">
        <v>0</v>
      </c>
      <c r="O787" s="4" t="n">
        <v>3</v>
      </c>
      <c r="Q787" s="2" t="n">
        <v>960</v>
      </c>
      <c r="R787" s="0" t="s">
        <v>201</v>
      </c>
      <c r="S787" s="0" t="s">
        <v>9160</v>
      </c>
    </row>
    <row r="788" customFormat="false" ht="13.8" hidden="false" customHeight="false" outlineLevel="0" collapsed="false">
      <c r="A788" s="0" t="s">
        <v>220</v>
      </c>
      <c r="B788" s="0" t="n">
        <v>37</v>
      </c>
      <c r="C788" s="0" t="s">
        <v>9158</v>
      </c>
      <c r="D788" s="0" t="s">
        <v>854</v>
      </c>
      <c r="E788" s="0" t="s">
        <v>503</v>
      </c>
      <c r="F788" s="4" t="n">
        <v>214</v>
      </c>
      <c r="G788" s="2" t="n">
        <v>0</v>
      </c>
      <c r="H788" s="2" t="n">
        <v>0</v>
      </c>
      <c r="I788" s="4" t="n">
        <v>2</v>
      </c>
      <c r="J788" s="2" t="n">
        <v>20</v>
      </c>
      <c r="K788" s="2" t="s">
        <v>13</v>
      </c>
      <c r="L788" s="4" t="n">
        <v>1</v>
      </c>
      <c r="M788" s="2" t="n">
        <v>0</v>
      </c>
      <c r="N788" s="2" t="n">
        <v>0</v>
      </c>
      <c r="O788" s="4" t="n">
        <v>3</v>
      </c>
      <c r="Q788" s="2" t="n">
        <v>961</v>
      </c>
      <c r="R788" s="0" t="s">
        <v>503</v>
      </c>
      <c r="S788" s="0" t="s">
        <v>9161</v>
      </c>
    </row>
    <row r="789" customFormat="false" ht="13.8" hidden="false" customHeight="false" outlineLevel="0" collapsed="false">
      <c r="A789" s="0" t="s">
        <v>220</v>
      </c>
      <c r="B789" s="0" t="n">
        <v>37</v>
      </c>
      <c r="C789" s="0" t="s">
        <v>9158</v>
      </c>
      <c r="D789" s="0" t="s">
        <v>803</v>
      </c>
      <c r="E789" s="0" t="s">
        <v>38</v>
      </c>
      <c r="F789" s="4" t="n">
        <v>105</v>
      </c>
      <c r="G789" s="2" t="n">
        <v>0</v>
      </c>
      <c r="H789" s="2" t="n">
        <v>0</v>
      </c>
      <c r="I789" s="4" t="n">
        <v>2</v>
      </c>
      <c r="J789" s="2" t="n">
        <v>1</v>
      </c>
      <c r="K789" s="2" t="s">
        <v>20</v>
      </c>
      <c r="L789" s="4" t="n">
        <v>5</v>
      </c>
      <c r="M789" s="2" t="n">
        <v>0</v>
      </c>
      <c r="N789" s="2" t="n">
        <v>0</v>
      </c>
      <c r="O789" s="4" t="n">
        <v>3</v>
      </c>
      <c r="Q789" s="2" t="n">
        <v>962</v>
      </c>
      <c r="R789" s="0" t="s">
        <v>38</v>
      </c>
      <c r="S789" s="0" t="s">
        <v>9162</v>
      </c>
    </row>
    <row r="790" customFormat="false" ht="13.8" hidden="false" customHeight="false" outlineLevel="0" collapsed="false">
      <c r="A790" s="0" t="s">
        <v>220</v>
      </c>
      <c r="B790" s="0" t="n">
        <v>37</v>
      </c>
      <c r="C790" s="0" t="s">
        <v>9158</v>
      </c>
      <c r="D790" s="0" t="s">
        <v>309</v>
      </c>
      <c r="E790" s="0" t="s">
        <v>309</v>
      </c>
      <c r="F790" s="4" t="n">
        <v>66</v>
      </c>
      <c r="G790" s="2" t="n">
        <v>0</v>
      </c>
      <c r="H790" s="2" t="n">
        <v>0</v>
      </c>
      <c r="I790" s="4" t="n">
        <v>2</v>
      </c>
      <c r="J790" s="2" t="n">
        <v>0.5</v>
      </c>
      <c r="K790" s="2" t="s">
        <v>13</v>
      </c>
      <c r="L790" s="4" t="n">
        <v>1</v>
      </c>
      <c r="M790" s="2" t="n">
        <v>0</v>
      </c>
      <c r="N790" s="2" t="n">
        <v>0</v>
      </c>
      <c r="O790" s="4" t="n">
        <v>3</v>
      </c>
      <c r="Q790" s="2" t="n">
        <v>963</v>
      </c>
      <c r="R790" s="0" t="s">
        <v>309</v>
      </c>
      <c r="S790" s="0" t="s">
        <v>9163</v>
      </c>
    </row>
    <row r="791" customFormat="false" ht="13.8" hidden="false" customHeight="false" outlineLevel="0" collapsed="false">
      <c r="A791" s="0" t="s">
        <v>220</v>
      </c>
      <c r="B791" s="0" t="n">
        <v>37</v>
      </c>
      <c r="C791" s="0" t="s">
        <v>9158</v>
      </c>
      <c r="D791" s="0" t="s">
        <v>855</v>
      </c>
      <c r="E791" s="0" t="s">
        <v>102</v>
      </c>
      <c r="F791" s="4" t="n">
        <v>1</v>
      </c>
      <c r="G791" s="2" t="n">
        <v>0</v>
      </c>
      <c r="H791" s="2" t="n">
        <v>0</v>
      </c>
      <c r="I791" s="4" t="n">
        <v>2</v>
      </c>
      <c r="J791" s="2" t="n">
        <v>1</v>
      </c>
      <c r="K791" s="2" t="s">
        <v>20</v>
      </c>
      <c r="L791" s="4" t="n">
        <v>5</v>
      </c>
      <c r="M791" s="2" t="n">
        <v>0</v>
      </c>
      <c r="N791" s="2" t="n">
        <v>0</v>
      </c>
      <c r="O791" s="4" t="n">
        <v>3</v>
      </c>
      <c r="Q791" s="2" t="n">
        <v>964</v>
      </c>
      <c r="R791" s="0" t="s">
        <v>102</v>
      </c>
      <c r="S791" s="0" t="s">
        <v>9164</v>
      </c>
    </row>
    <row r="792" customFormat="false" ht="13.8" hidden="false" customHeight="false" outlineLevel="0" collapsed="false">
      <c r="A792" s="0" t="s">
        <v>220</v>
      </c>
      <c r="B792" s="0" t="n">
        <v>37</v>
      </c>
      <c r="C792" s="0" t="s">
        <v>9158</v>
      </c>
      <c r="D792" s="0" t="s">
        <v>462</v>
      </c>
      <c r="E792" s="0" t="s">
        <v>462</v>
      </c>
      <c r="F792" s="4" t="n">
        <v>170</v>
      </c>
      <c r="G792" s="2" t="n">
        <v>2</v>
      </c>
      <c r="H792" s="2" t="s">
        <v>7</v>
      </c>
      <c r="I792" s="4" t="n">
        <v>2</v>
      </c>
      <c r="J792" s="2" t="n">
        <v>0</v>
      </c>
      <c r="K792" s="2" t="n">
        <v>0</v>
      </c>
      <c r="L792" s="4" t="n">
        <v>1</v>
      </c>
      <c r="M792" s="2" t="n">
        <v>0</v>
      </c>
      <c r="N792" s="2" t="n">
        <v>0</v>
      </c>
      <c r="O792" s="4" t="n">
        <v>3</v>
      </c>
      <c r="Q792" s="2" t="n">
        <v>965</v>
      </c>
      <c r="R792" s="0" t="s">
        <v>462</v>
      </c>
      <c r="S792" s="0" t="s">
        <v>9165</v>
      </c>
    </row>
    <row r="793" customFormat="false" ht="13.8" hidden="false" customHeight="false" outlineLevel="0" collapsed="false">
      <c r="A793" s="0" t="s">
        <v>220</v>
      </c>
      <c r="B793" s="0" t="n">
        <v>37</v>
      </c>
      <c r="C793" s="0" t="s">
        <v>9158</v>
      </c>
      <c r="D793" s="0" t="s">
        <v>291</v>
      </c>
      <c r="E793" s="0" t="s">
        <v>291</v>
      </c>
      <c r="F793" s="4" t="n">
        <v>60</v>
      </c>
      <c r="G793" s="2" t="n">
        <v>2</v>
      </c>
      <c r="H793" s="2" t="s">
        <v>7</v>
      </c>
      <c r="I793" s="4" t="n">
        <v>2</v>
      </c>
      <c r="J793" s="2" t="n">
        <v>0</v>
      </c>
      <c r="K793" s="2" t="n">
        <v>0</v>
      </c>
      <c r="L793" s="4" t="n">
        <v>1</v>
      </c>
      <c r="M793" s="2" t="n">
        <v>0</v>
      </c>
      <c r="N793" s="2" t="n">
        <v>0</v>
      </c>
      <c r="O793" s="4" t="n">
        <v>3</v>
      </c>
      <c r="Q793" s="2" t="n">
        <v>966</v>
      </c>
      <c r="R793" s="0" t="s">
        <v>291</v>
      </c>
      <c r="S793" s="0" t="s">
        <v>9166</v>
      </c>
    </row>
    <row r="794" customFormat="false" ht="13.8" hidden="false" customHeight="false" outlineLevel="0" collapsed="false">
      <c r="A794" s="0" t="s">
        <v>220</v>
      </c>
      <c r="B794" s="0" t="n">
        <v>37</v>
      </c>
      <c r="C794" s="0" t="s">
        <v>9158</v>
      </c>
      <c r="D794" s="0" t="s">
        <v>96</v>
      </c>
      <c r="E794" s="0" t="s">
        <v>96</v>
      </c>
      <c r="F794" s="4" t="n">
        <v>177</v>
      </c>
      <c r="G794" s="2" t="n">
        <v>0</v>
      </c>
      <c r="H794" s="2" t="n">
        <v>0</v>
      </c>
      <c r="I794" s="4" t="n">
        <v>2</v>
      </c>
      <c r="J794" s="2" t="n">
        <v>1.25</v>
      </c>
      <c r="K794" s="2" t="s">
        <v>20</v>
      </c>
      <c r="L794" s="4" t="n">
        <v>5</v>
      </c>
      <c r="M794" s="2" t="n">
        <v>0</v>
      </c>
      <c r="N794" s="2" t="n">
        <v>0</v>
      </c>
      <c r="O794" s="4" t="n">
        <v>3</v>
      </c>
      <c r="Q794" s="2" t="n">
        <v>967</v>
      </c>
      <c r="R794" s="0" t="s">
        <v>96</v>
      </c>
      <c r="S794" s="0" t="s">
        <v>9167</v>
      </c>
    </row>
    <row r="795" customFormat="false" ht="13.8" hidden="false" customHeight="false" outlineLevel="0" collapsed="false">
      <c r="A795" s="0" t="s">
        <v>220</v>
      </c>
      <c r="B795" s="0" t="n">
        <v>37</v>
      </c>
      <c r="C795" s="0" t="s">
        <v>9158</v>
      </c>
      <c r="D795" s="0" t="s">
        <v>382</v>
      </c>
      <c r="E795" s="0" t="s">
        <v>382</v>
      </c>
      <c r="F795" s="4" t="n">
        <v>91</v>
      </c>
      <c r="G795" s="2" t="n">
        <v>0</v>
      </c>
      <c r="H795" s="2" t="n">
        <v>0</v>
      </c>
      <c r="I795" s="4" t="n">
        <v>2</v>
      </c>
      <c r="J795" s="2" t="n">
        <v>0.25</v>
      </c>
      <c r="K795" s="2" t="s">
        <v>20</v>
      </c>
      <c r="L795" s="4" t="n">
        <v>5</v>
      </c>
      <c r="M795" s="2" t="n">
        <v>0</v>
      </c>
      <c r="N795" s="2" t="n">
        <v>0</v>
      </c>
      <c r="O795" s="4" t="n">
        <v>3</v>
      </c>
      <c r="Q795" s="2" t="n">
        <v>968</v>
      </c>
      <c r="R795" s="0" t="s">
        <v>382</v>
      </c>
      <c r="S795" s="0" t="s">
        <v>9168</v>
      </c>
    </row>
    <row r="796" customFormat="false" ht="13.8" hidden="false" customHeight="false" outlineLevel="0" collapsed="false">
      <c r="A796" s="0" t="s">
        <v>220</v>
      </c>
      <c r="B796" s="0" t="n">
        <v>37</v>
      </c>
      <c r="C796" s="0" t="s">
        <v>9158</v>
      </c>
      <c r="D796" s="0" t="s">
        <v>456</v>
      </c>
      <c r="E796" s="0" t="s">
        <v>456</v>
      </c>
      <c r="F796" s="4" t="n">
        <v>164</v>
      </c>
      <c r="G796" s="2" t="n">
        <v>0</v>
      </c>
      <c r="H796" s="2" t="n">
        <v>0</v>
      </c>
      <c r="I796" s="4" t="n">
        <v>2</v>
      </c>
      <c r="J796" s="2" t="n">
        <v>0.3</v>
      </c>
      <c r="K796" s="2" t="s">
        <v>20</v>
      </c>
      <c r="L796" s="4" t="n">
        <v>5</v>
      </c>
      <c r="M796" s="2" t="n">
        <v>0</v>
      </c>
      <c r="N796" s="2" t="n">
        <v>0</v>
      </c>
      <c r="O796" s="4" t="n">
        <v>3</v>
      </c>
      <c r="Q796" s="2" t="n">
        <v>969</v>
      </c>
      <c r="R796" s="0" t="s">
        <v>456</v>
      </c>
      <c r="S796" s="0" t="s">
        <v>9169</v>
      </c>
    </row>
    <row r="797" customFormat="false" ht="13.8" hidden="false" customHeight="false" outlineLevel="0" collapsed="false">
      <c r="A797" s="0" t="s">
        <v>220</v>
      </c>
      <c r="B797" s="0" t="n">
        <v>37</v>
      </c>
      <c r="C797" s="0" t="s">
        <v>9158</v>
      </c>
      <c r="D797" s="0" t="s">
        <v>398</v>
      </c>
      <c r="E797" s="0" t="s">
        <v>398</v>
      </c>
      <c r="F797" s="4" t="n">
        <v>102</v>
      </c>
      <c r="G797" s="2" t="n">
        <v>0</v>
      </c>
      <c r="H797" s="2" t="n">
        <v>0</v>
      </c>
      <c r="I797" s="4" t="n">
        <v>2</v>
      </c>
      <c r="J797" s="2" t="n">
        <v>0.4</v>
      </c>
      <c r="K797" s="2" t="s">
        <v>20</v>
      </c>
      <c r="L797" s="4" t="n">
        <v>5</v>
      </c>
      <c r="M797" s="2" t="n">
        <v>0</v>
      </c>
      <c r="N797" s="2" t="n">
        <v>0</v>
      </c>
      <c r="O797" s="4" t="n">
        <v>3</v>
      </c>
      <c r="Q797" s="2" t="n">
        <v>970</v>
      </c>
      <c r="R797" s="0" t="s">
        <v>398</v>
      </c>
      <c r="S797" s="0" t="s">
        <v>9170</v>
      </c>
    </row>
    <row r="798" customFormat="false" ht="13.8" hidden="false" customHeight="false" outlineLevel="0" collapsed="false">
      <c r="A798" s="0" t="s">
        <v>220</v>
      </c>
      <c r="B798" s="0" t="n">
        <v>37</v>
      </c>
      <c r="C798" s="0" t="s">
        <v>9158</v>
      </c>
      <c r="D798" s="0" t="s">
        <v>391</v>
      </c>
      <c r="E798" s="0" t="s">
        <v>391</v>
      </c>
      <c r="F798" s="4" t="n">
        <v>95</v>
      </c>
      <c r="G798" s="2" t="n">
        <v>0</v>
      </c>
      <c r="H798" s="2" t="n">
        <v>0</v>
      </c>
      <c r="I798" s="4" t="n">
        <v>2</v>
      </c>
      <c r="J798" s="2" t="n">
        <v>0.1</v>
      </c>
      <c r="K798" s="2" t="s">
        <v>20</v>
      </c>
      <c r="L798" s="4" t="n">
        <v>5</v>
      </c>
      <c r="M798" s="2" t="n">
        <v>0</v>
      </c>
      <c r="N798" s="2" t="n">
        <v>0</v>
      </c>
      <c r="O798" s="4" t="n">
        <v>3</v>
      </c>
      <c r="Q798" s="2" t="n">
        <v>971</v>
      </c>
      <c r="R798" s="0" t="s">
        <v>391</v>
      </c>
      <c r="S798" s="0" t="s">
        <v>9171</v>
      </c>
    </row>
    <row r="799" customFormat="false" ht="13.8" hidden="false" customHeight="false" outlineLevel="0" collapsed="false">
      <c r="A799" s="0" t="s">
        <v>220</v>
      </c>
      <c r="B799" s="0" t="n">
        <v>37</v>
      </c>
      <c r="C799" s="0" t="s">
        <v>9158</v>
      </c>
      <c r="D799" s="0" t="s">
        <v>354</v>
      </c>
      <c r="E799" s="0" t="s">
        <v>354</v>
      </c>
      <c r="F799" s="4" t="n">
        <v>81</v>
      </c>
      <c r="G799" s="2" t="n">
        <v>0</v>
      </c>
      <c r="H799" s="2" t="n">
        <v>0</v>
      </c>
      <c r="I799" s="4" t="n">
        <v>2</v>
      </c>
      <c r="J799" s="2" t="n">
        <v>300</v>
      </c>
      <c r="K799" s="2" t="s">
        <v>143</v>
      </c>
      <c r="L799" s="4" t="n">
        <v>12</v>
      </c>
      <c r="M799" s="2" t="n">
        <v>0</v>
      </c>
      <c r="N799" s="2" t="n">
        <v>0</v>
      </c>
      <c r="O799" s="4" t="n">
        <v>3</v>
      </c>
      <c r="Q799" s="2" t="n">
        <v>972</v>
      </c>
      <c r="R799" s="0" t="s">
        <v>354</v>
      </c>
      <c r="S799" s="0" t="s">
        <v>9172</v>
      </c>
    </row>
    <row r="800" customFormat="false" ht="13.8" hidden="false" customHeight="false" outlineLevel="0" collapsed="false">
      <c r="A800" s="0" t="s">
        <v>172</v>
      </c>
      <c r="B800" s="0" t="n">
        <v>21</v>
      </c>
      <c r="C800" s="0" t="s">
        <v>9173</v>
      </c>
      <c r="D800" s="0" t="s">
        <v>485</v>
      </c>
      <c r="E800" s="0" t="s">
        <v>485</v>
      </c>
      <c r="F800" s="4" t="n">
        <v>195</v>
      </c>
      <c r="G800" s="2" t="n">
        <v>3</v>
      </c>
      <c r="H800" s="2" t="s">
        <v>7</v>
      </c>
      <c r="I800" s="4" t="n">
        <v>2</v>
      </c>
      <c r="J800" s="2" t="n">
        <v>0</v>
      </c>
      <c r="K800" s="2" t="n">
        <v>0</v>
      </c>
      <c r="L800" s="4" t="n">
        <v>1</v>
      </c>
      <c r="M800" s="2" t="n">
        <v>0</v>
      </c>
      <c r="N800" s="2" t="n">
        <v>0</v>
      </c>
      <c r="O800" s="4" t="n">
        <v>3</v>
      </c>
      <c r="Q800" s="2" t="n">
        <v>974</v>
      </c>
      <c r="R800" s="0" t="s">
        <v>485</v>
      </c>
      <c r="S800" s="0" t="s">
        <v>9174</v>
      </c>
    </row>
    <row r="801" customFormat="false" ht="13.8" hidden="false" customHeight="false" outlineLevel="0" collapsed="false">
      <c r="A801" s="0" t="s">
        <v>172</v>
      </c>
      <c r="B801" s="0" t="n">
        <v>21</v>
      </c>
      <c r="C801" s="0" t="s">
        <v>9173</v>
      </c>
      <c r="D801" s="0" t="s">
        <v>192</v>
      </c>
      <c r="E801" s="0" t="s">
        <v>192</v>
      </c>
      <c r="F801" s="4" t="n">
        <v>27</v>
      </c>
      <c r="G801" s="2" t="n">
        <v>1</v>
      </c>
      <c r="H801" s="2" t="s">
        <v>7</v>
      </c>
      <c r="I801" s="4" t="n">
        <v>2</v>
      </c>
      <c r="J801" s="2" t="n">
        <v>0</v>
      </c>
      <c r="K801" s="2" t="n">
        <v>0</v>
      </c>
      <c r="L801" s="4" t="n">
        <v>1</v>
      </c>
      <c r="M801" s="2" t="n">
        <v>0</v>
      </c>
      <c r="N801" s="2" t="n">
        <v>0</v>
      </c>
      <c r="O801" s="4" t="n">
        <v>3</v>
      </c>
      <c r="Q801" s="2" t="n">
        <v>975</v>
      </c>
      <c r="R801" s="0" t="s">
        <v>192</v>
      </c>
      <c r="S801" s="0" t="s">
        <v>9175</v>
      </c>
    </row>
    <row r="802" customFormat="false" ht="13.8" hidden="false" customHeight="false" outlineLevel="0" collapsed="false">
      <c r="A802" s="0" t="s">
        <v>172</v>
      </c>
      <c r="B802" s="0" t="n">
        <v>21</v>
      </c>
      <c r="C802" s="0" t="s">
        <v>9173</v>
      </c>
      <c r="D802" s="0" t="s">
        <v>348</v>
      </c>
      <c r="E802" s="0" t="s">
        <v>348</v>
      </c>
      <c r="F802" s="4" t="n">
        <v>79</v>
      </c>
      <c r="G802" s="2" t="n">
        <v>1</v>
      </c>
      <c r="H802" s="2" t="s">
        <v>7</v>
      </c>
      <c r="I802" s="4" t="n">
        <v>2</v>
      </c>
      <c r="J802" s="2" t="n">
        <v>0</v>
      </c>
      <c r="K802" s="2" t="n">
        <v>0</v>
      </c>
      <c r="L802" s="4" t="n">
        <v>1</v>
      </c>
      <c r="M802" s="2" t="n">
        <v>0</v>
      </c>
      <c r="N802" s="2" t="n">
        <v>0</v>
      </c>
      <c r="O802" s="4" t="n">
        <v>3</v>
      </c>
      <c r="Q802" s="2" t="n">
        <v>976</v>
      </c>
      <c r="R802" s="0" t="s">
        <v>348</v>
      </c>
      <c r="S802" s="0" t="s">
        <v>9176</v>
      </c>
    </row>
    <row r="803" customFormat="false" ht="13.8" hidden="false" customHeight="false" outlineLevel="0" collapsed="false">
      <c r="A803" s="0" t="s">
        <v>172</v>
      </c>
      <c r="B803" s="0" t="n">
        <v>21</v>
      </c>
      <c r="C803" s="0" t="s">
        <v>9173</v>
      </c>
      <c r="D803" s="0" t="s">
        <v>374</v>
      </c>
      <c r="E803" s="0" t="s">
        <v>374</v>
      </c>
      <c r="F803" s="4" t="n">
        <v>88</v>
      </c>
      <c r="G803" s="2" t="n">
        <v>1</v>
      </c>
      <c r="H803" s="2" t="s">
        <v>7</v>
      </c>
      <c r="I803" s="4" t="n">
        <v>2</v>
      </c>
      <c r="J803" s="2" t="n">
        <v>0</v>
      </c>
      <c r="K803" s="2" t="n">
        <v>0</v>
      </c>
      <c r="L803" s="4" t="n">
        <v>1</v>
      </c>
      <c r="M803" s="2" t="n">
        <v>0</v>
      </c>
      <c r="N803" s="2" t="n">
        <v>0</v>
      </c>
      <c r="O803" s="4" t="n">
        <v>3</v>
      </c>
      <c r="Q803" s="2" t="n">
        <v>977</v>
      </c>
      <c r="R803" s="0" t="s">
        <v>374</v>
      </c>
      <c r="S803" s="0" t="s">
        <v>9177</v>
      </c>
    </row>
    <row r="804" customFormat="false" ht="13.8" hidden="false" customHeight="false" outlineLevel="0" collapsed="false">
      <c r="A804" s="0" t="s">
        <v>172</v>
      </c>
      <c r="B804" s="0" t="n">
        <v>21</v>
      </c>
      <c r="C804" s="0" t="s">
        <v>9173</v>
      </c>
      <c r="D804" s="0" t="s">
        <v>318</v>
      </c>
      <c r="E804" s="0" t="s">
        <v>318</v>
      </c>
      <c r="F804" s="4" t="n">
        <v>69</v>
      </c>
      <c r="G804" s="2" t="n">
        <v>2</v>
      </c>
      <c r="H804" s="2" t="s">
        <v>7</v>
      </c>
      <c r="I804" s="4" t="n">
        <v>2</v>
      </c>
      <c r="J804" s="2" t="n">
        <v>0</v>
      </c>
      <c r="K804" s="2" t="n">
        <v>0</v>
      </c>
      <c r="L804" s="4" t="n">
        <v>1</v>
      </c>
      <c r="M804" s="2" t="n">
        <v>0</v>
      </c>
      <c r="N804" s="2" t="n">
        <v>0</v>
      </c>
      <c r="O804" s="4" t="n">
        <v>3</v>
      </c>
      <c r="Q804" s="2" t="n">
        <v>978</v>
      </c>
      <c r="R804" s="0" t="s">
        <v>318</v>
      </c>
      <c r="S804" s="0" t="s">
        <v>9178</v>
      </c>
    </row>
    <row r="805" customFormat="false" ht="13.8" hidden="false" customHeight="false" outlineLevel="0" collapsed="false">
      <c r="A805" s="0" t="s">
        <v>172</v>
      </c>
      <c r="B805" s="0" t="n">
        <v>21</v>
      </c>
      <c r="C805" s="0" t="s">
        <v>9173</v>
      </c>
      <c r="D805" s="0" t="s">
        <v>201</v>
      </c>
      <c r="E805" s="0" t="s">
        <v>201</v>
      </c>
      <c r="F805" s="4" t="n">
        <v>30</v>
      </c>
      <c r="G805" s="2" t="n">
        <v>2</v>
      </c>
      <c r="H805" s="2" t="s">
        <v>7</v>
      </c>
      <c r="I805" s="4" t="n">
        <v>2</v>
      </c>
      <c r="J805" s="2" t="n">
        <v>0</v>
      </c>
      <c r="K805" s="2" t="n">
        <v>0</v>
      </c>
      <c r="L805" s="4" t="n">
        <v>1</v>
      </c>
      <c r="M805" s="2" t="n">
        <v>0</v>
      </c>
      <c r="N805" s="2" t="n">
        <v>0</v>
      </c>
      <c r="O805" s="4" t="n">
        <v>3</v>
      </c>
      <c r="Q805" s="2" t="n">
        <v>979</v>
      </c>
      <c r="R805" s="0" t="s">
        <v>201</v>
      </c>
      <c r="S805" s="0" t="s">
        <v>9179</v>
      </c>
    </row>
    <row r="806" customFormat="false" ht="13.8" hidden="false" customHeight="false" outlineLevel="0" collapsed="false">
      <c r="A806" s="0" t="s">
        <v>172</v>
      </c>
      <c r="B806" s="0" t="n">
        <v>21</v>
      </c>
      <c r="C806" s="0" t="s">
        <v>9173</v>
      </c>
      <c r="D806" s="0" t="s">
        <v>345</v>
      </c>
      <c r="E806" s="0" t="s">
        <v>345</v>
      </c>
      <c r="F806" s="4" t="n">
        <v>78</v>
      </c>
      <c r="G806" s="2" t="n">
        <v>4</v>
      </c>
      <c r="H806" s="2" t="s">
        <v>7</v>
      </c>
      <c r="I806" s="4" t="n">
        <v>2</v>
      </c>
      <c r="J806" s="2" t="n">
        <v>0</v>
      </c>
      <c r="K806" s="2" t="n">
        <v>0</v>
      </c>
      <c r="L806" s="4" t="n">
        <v>1</v>
      </c>
      <c r="M806" s="2" t="n">
        <v>0</v>
      </c>
      <c r="N806" s="2" t="n">
        <v>0</v>
      </c>
      <c r="O806" s="4" t="n">
        <v>3</v>
      </c>
      <c r="Q806" s="2" t="n">
        <v>980</v>
      </c>
      <c r="R806" s="0" t="s">
        <v>345</v>
      </c>
      <c r="S806" s="0" t="s">
        <v>9180</v>
      </c>
    </row>
    <row r="807" customFormat="false" ht="13.8" hidden="false" customHeight="false" outlineLevel="0" collapsed="false">
      <c r="A807" s="0" t="s">
        <v>172</v>
      </c>
      <c r="B807" s="0" t="n">
        <v>21</v>
      </c>
      <c r="C807" s="0" t="s">
        <v>9173</v>
      </c>
      <c r="D807" s="0" t="s">
        <v>854</v>
      </c>
      <c r="E807" s="0" t="s">
        <v>503</v>
      </c>
      <c r="F807" s="4" t="n">
        <v>214</v>
      </c>
      <c r="G807" s="2" t="n">
        <v>0</v>
      </c>
      <c r="H807" s="2" t="n">
        <v>0</v>
      </c>
      <c r="I807" s="4" t="n">
        <v>2</v>
      </c>
      <c r="J807" s="2" t="n">
        <v>20</v>
      </c>
      <c r="K807" s="2" t="s">
        <v>13</v>
      </c>
      <c r="L807" s="4" t="n">
        <v>1</v>
      </c>
      <c r="M807" s="2" t="n">
        <v>0</v>
      </c>
      <c r="N807" s="2" t="n">
        <v>0</v>
      </c>
      <c r="O807" s="4" t="n">
        <v>3</v>
      </c>
      <c r="Q807" s="2" t="n">
        <v>981</v>
      </c>
      <c r="R807" s="0" t="s">
        <v>503</v>
      </c>
      <c r="S807" s="0" t="s">
        <v>9181</v>
      </c>
    </row>
    <row r="808" customFormat="false" ht="13.8" hidden="false" customHeight="false" outlineLevel="0" collapsed="false">
      <c r="A808" s="0" t="s">
        <v>172</v>
      </c>
      <c r="B808" s="0" t="n">
        <v>21</v>
      </c>
      <c r="C808" s="0" t="s">
        <v>9173</v>
      </c>
      <c r="D808" s="0" t="s">
        <v>803</v>
      </c>
      <c r="E808" s="0" t="s">
        <v>38</v>
      </c>
      <c r="F808" s="4" t="n">
        <v>105</v>
      </c>
      <c r="G808" s="2" t="n">
        <v>0</v>
      </c>
      <c r="H808" s="2" t="n">
        <v>0</v>
      </c>
      <c r="I808" s="4" t="n">
        <v>2</v>
      </c>
      <c r="J808" s="2" t="n">
        <v>2</v>
      </c>
      <c r="K808" s="2" t="s">
        <v>20</v>
      </c>
      <c r="L808" s="4" t="n">
        <v>5</v>
      </c>
      <c r="M808" s="2" t="n">
        <v>0</v>
      </c>
      <c r="N808" s="2" t="n">
        <v>0</v>
      </c>
      <c r="O808" s="4" t="n">
        <v>3</v>
      </c>
      <c r="Q808" s="2" t="n">
        <v>982</v>
      </c>
      <c r="R808" s="0" t="s">
        <v>38</v>
      </c>
      <c r="S808" s="0" t="s">
        <v>9182</v>
      </c>
    </row>
    <row r="809" customFormat="false" ht="13.8" hidden="false" customHeight="false" outlineLevel="0" collapsed="false">
      <c r="A809" s="0" t="s">
        <v>172</v>
      </c>
      <c r="B809" s="0" t="n">
        <v>21</v>
      </c>
      <c r="C809" s="0" t="s">
        <v>9173</v>
      </c>
      <c r="D809" s="0" t="s">
        <v>309</v>
      </c>
      <c r="E809" s="0" t="s">
        <v>309</v>
      </c>
      <c r="F809" s="4" t="n">
        <v>66</v>
      </c>
      <c r="G809" s="2" t="n">
        <v>0</v>
      </c>
      <c r="H809" s="2" t="n">
        <v>0</v>
      </c>
      <c r="I809" s="4" t="n">
        <v>2</v>
      </c>
      <c r="J809" s="2" t="n">
        <v>0.5</v>
      </c>
      <c r="K809" s="2" t="s">
        <v>13</v>
      </c>
      <c r="L809" s="4" t="n">
        <v>1</v>
      </c>
      <c r="M809" s="2" t="n">
        <v>0</v>
      </c>
      <c r="N809" s="2" t="n">
        <v>0</v>
      </c>
      <c r="O809" s="4" t="n">
        <v>3</v>
      </c>
      <c r="Q809" s="2" t="n">
        <v>983</v>
      </c>
      <c r="R809" s="0" t="s">
        <v>309</v>
      </c>
      <c r="S809" s="0" t="s">
        <v>9183</v>
      </c>
    </row>
    <row r="810" customFormat="false" ht="13.8" hidden="false" customHeight="false" outlineLevel="0" collapsed="false">
      <c r="A810" s="0" t="s">
        <v>172</v>
      </c>
      <c r="B810" s="0" t="n">
        <v>21</v>
      </c>
      <c r="C810" s="0" t="s">
        <v>9173</v>
      </c>
      <c r="D810" s="0" t="s">
        <v>855</v>
      </c>
      <c r="E810" s="0" t="s">
        <v>102</v>
      </c>
      <c r="F810" s="4" t="n">
        <v>1</v>
      </c>
      <c r="G810" s="2" t="n">
        <v>0</v>
      </c>
      <c r="H810" s="2" t="n">
        <v>0</v>
      </c>
      <c r="I810" s="4" t="n">
        <v>2</v>
      </c>
      <c r="J810" s="2" t="n">
        <v>1</v>
      </c>
      <c r="K810" s="2" t="s">
        <v>20</v>
      </c>
      <c r="L810" s="4" t="n">
        <v>5</v>
      </c>
      <c r="M810" s="2" t="n">
        <v>0</v>
      </c>
      <c r="N810" s="2" t="n">
        <v>0</v>
      </c>
      <c r="O810" s="4" t="n">
        <v>3</v>
      </c>
      <c r="Q810" s="2" t="n">
        <v>984</v>
      </c>
      <c r="R810" s="0" t="s">
        <v>102</v>
      </c>
      <c r="S810" s="0" t="s">
        <v>9184</v>
      </c>
    </row>
    <row r="811" customFormat="false" ht="13.8" hidden="false" customHeight="false" outlineLevel="0" collapsed="false">
      <c r="A811" s="0" t="s">
        <v>172</v>
      </c>
      <c r="B811" s="0" t="n">
        <v>21</v>
      </c>
      <c r="C811" s="0" t="s">
        <v>9173</v>
      </c>
      <c r="D811" s="0" t="s">
        <v>856</v>
      </c>
      <c r="E811" s="0" t="s">
        <v>386</v>
      </c>
      <c r="F811" s="4" t="n">
        <v>93</v>
      </c>
      <c r="G811" s="2" t="n">
        <v>0</v>
      </c>
      <c r="H811" s="2" t="n">
        <v>0</v>
      </c>
      <c r="I811" s="4" t="n">
        <v>2</v>
      </c>
      <c r="J811" s="2" t="n">
        <v>1</v>
      </c>
      <c r="K811" s="2" t="s">
        <v>20</v>
      </c>
      <c r="L811" s="4" t="n">
        <v>5</v>
      </c>
      <c r="M811" s="2" t="n">
        <v>0</v>
      </c>
      <c r="N811" s="2" t="n">
        <v>0</v>
      </c>
      <c r="O811" s="4" t="n">
        <v>3</v>
      </c>
      <c r="Q811" s="2" t="n">
        <v>985</v>
      </c>
      <c r="R811" s="0" t="s">
        <v>386</v>
      </c>
      <c r="S811" s="0" t="s">
        <v>9185</v>
      </c>
    </row>
    <row r="812" customFormat="false" ht="13.8" hidden="false" customHeight="false" outlineLevel="0" collapsed="false">
      <c r="A812" s="0" t="s">
        <v>172</v>
      </c>
      <c r="B812" s="0" t="n">
        <v>21</v>
      </c>
      <c r="C812" s="0" t="s">
        <v>9173</v>
      </c>
      <c r="D812" s="0" t="s">
        <v>462</v>
      </c>
      <c r="E812" s="0" t="s">
        <v>462</v>
      </c>
      <c r="F812" s="4" t="n">
        <v>170</v>
      </c>
      <c r="G812" s="2" t="n">
        <v>2</v>
      </c>
      <c r="H812" s="2" t="s">
        <v>7</v>
      </c>
      <c r="I812" s="4" t="n">
        <v>2</v>
      </c>
      <c r="J812" s="2" t="n">
        <v>0</v>
      </c>
      <c r="K812" s="2" t="n">
        <v>0</v>
      </c>
      <c r="L812" s="4" t="n">
        <v>1</v>
      </c>
      <c r="M812" s="2" t="n">
        <v>0</v>
      </c>
      <c r="N812" s="2" t="n">
        <v>0</v>
      </c>
      <c r="O812" s="4" t="n">
        <v>3</v>
      </c>
      <c r="Q812" s="2" t="n">
        <v>986</v>
      </c>
      <c r="R812" s="0" t="s">
        <v>462</v>
      </c>
      <c r="S812" s="0" t="s">
        <v>9186</v>
      </c>
    </row>
    <row r="813" customFormat="false" ht="13.8" hidden="false" customHeight="false" outlineLevel="0" collapsed="false">
      <c r="A813" s="0" t="s">
        <v>172</v>
      </c>
      <c r="B813" s="0" t="n">
        <v>21</v>
      </c>
      <c r="C813" s="0" t="s">
        <v>9173</v>
      </c>
      <c r="D813" s="0" t="s">
        <v>291</v>
      </c>
      <c r="E813" s="0" t="s">
        <v>291</v>
      </c>
      <c r="F813" s="4" t="n">
        <v>60</v>
      </c>
      <c r="G813" s="2" t="n">
        <v>2</v>
      </c>
      <c r="H813" s="2" t="s">
        <v>7</v>
      </c>
      <c r="I813" s="4" t="n">
        <v>2</v>
      </c>
      <c r="J813" s="2" t="n">
        <v>0</v>
      </c>
      <c r="K813" s="2" t="n">
        <v>0</v>
      </c>
      <c r="L813" s="4" t="n">
        <v>1</v>
      </c>
      <c r="M813" s="2" t="n">
        <v>0</v>
      </c>
      <c r="N813" s="2" t="n">
        <v>0</v>
      </c>
      <c r="O813" s="4" t="n">
        <v>3</v>
      </c>
      <c r="Q813" s="2" t="n">
        <v>987</v>
      </c>
      <c r="R813" s="0" t="s">
        <v>291</v>
      </c>
      <c r="S813" s="0" t="s">
        <v>9187</v>
      </c>
    </row>
    <row r="814" customFormat="false" ht="13.8" hidden="false" customHeight="false" outlineLevel="0" collapsed="false">
      <c r="A814" s="0" t="s">
        <v>172</v>
      </c>
      <c r="B814" s="0" t="n">
        <v>21</v>
      </c>
      <c r="C814" s="0" t="s">
        <v>9173</v>
      </c>
      <c r="D814" s="0" t="s">
        <v>96</v>
      </c>
      <c r="E814" s="0" t="s">
        <v>96</v>
      </c>
      <c r="F814" s="4" t="n">
        <v>177</v>
      </c>
      <c r="G814" s="2" t="n">
        <v>0</v>
      </c>
      <c r="H814" s="2" t="n">
        <v>0</v>
      </c>
      <c r="I814" s="4" t="n">
        <v>2</v>
      </c>
      <c r="J814" s="2" t="n">
        <v>1.5</v>
      </c>
      <c r="K814" s="2" t="s">
        <v>20</v>
      </c>
      <c r="L814" s="4" t="n">
        <v>5</v>
      </c>
      <c r="M814" s="2" t="n">
        <v>0</v>
      </c>
      <c r="N814" s="2" t="n">
        <v>0</v>
      </c>
      <c r="O814" s="4" t="n">
        <v>3</v>
      </c>
      <c r="Q814" s="2" t="n">
        <v>988</v>
      </c>
      <c r="R814" s="0" t="s">
        <v>96</v>
      </c>
      <c r="S814" s="0" t="s">
        <v>9188</v>
      </c>
    </row>
    <row r="815" customFormat="false" ht="13.8" hidden="false" customHeight="false" outlineLevel="0" collapsed="false">
      <c r="A815" s="0" t="s">
        <v>172</v>
      </c>
      <c r="B815" s="0" t="n">
        <v>21</v>
      </c>
      <c r="C815" s="0" t="s">
        <v>9173</v>
      </c>
      <c r="D815" s="0" t="s">
        <v>382</v>
      </c>
      <c r="E815" s="0" t="s">
        <v>382</v>
      </c>
      <c r="F815" s="4" t="n">
        <v>91</v>
      </c>
      <c r="G815" s="2" t="n">
        <v>0</v>
      </c>
      <c r="H815" s="2" t="n">
        <v>0</v>
      </c>
      <c r="I815" s="4" t="n">
        <v>2</v>
      </c>
      <c r="J815" s="2" t="n">
        <v>0.2</v>
      </c>
      <c r="K815" s="2" t="s">
        <v>20</v>
      </c>
      <c r="L815" s="4" t="n">
        <v>5</v>
      </c>
      <c r="M815" s="2" t="n">
        <v>0</v>
      </c>
      <c r="N815" s="2" t="n">
        <v>0</v>
      </c>
      <c r="O815" s="4" t="n">
        <v>3</v>
      </c>
      <c r="Q815" s="2" t="n">
        <v>989</v>
      </c>
      <c r="R815" s="0" t="s">
        <v>382</v>
      </c>
      <c r="S815" s="0" t="s">
        <v>9189</v>
      </c>
    </row>
    <row r="816" customFormat="false" ht="13.8" hidden="false" customHeight="false" outlineLevel="0" collapsed="false">
      <c r="A816" s="0" t="s">
        <v>172</v>
      </c>
      <c r="B816" s="0" t="n">
        <v>21</v>
      </c>
      <c r="C816" s="0" t="s">
        <v>9173</v>
      </c>
      <c r="D816" s="0" t="s">
        <v>456</v>
      </c>
      <c r="E816" s="0" t="s">
        <v>456</v>
      </c>
      <c r="F816" s="4" t="n">
        <v>164</v>
      </c>
      <c r="G816" s="2" t="n">
        <v>0</v>
      </c>
      <c r="H816" s="2" t="n">
        <v>0</v>
      </c>
      <c r="I816" s="4" t="n">
        <v>2</v>
      </c>
      <c r="J816" s="2" t="n">
        <v>0.25</v>
      </c>
      <c r="K816" s="2" t="s">
        <v>20</v>
      </c>
      <c r="L816" s="4" t="n">
        <v>5</v>
      </c>
      <c r="M816" s="2" t="n">
        <v>0</v>
      </c>
      <c r="N816" s="2" t="n">
        <v>0</v>
      </c>
      <c r="O816" s="4" t="n">
        <v>3</v>
      </c>
      <c r="Q816" s="2" t="n">
        <v>990</v>
      </c>
      <c r="R816" s="0" t="s">
        <v>456</v>
      </c>
      <c r="S816" s="0" t="s">
        <v>9190</v>
      </c>
    </row>
    <row r="817" customFormat="false" ht="13.8" hidden="false" customHeight="false" outlineLevel="0" collapsed="false">
      <c r="A817" s="0" t="s">
        <v>172</v>
      </c>
      <c r="B817" s="0" t="n">
        <v>21</v>
      </c>
      <c r="C817" s="0" t="s">
        <v>9173</v>
      </c>
      <c r="D817" s="0" t="s">
        <v>398</v>
      </c>
      <c r="E817" s="0" t="s">
        <v>398</v>
      </c>
      <c r="F817" s="4" t="n">
        <v>102</v>
      </c>
      <c r="G817" s="2" t="n">
        <v>0</v>
      </c>
      <c r="H817" s="2" t="n">
        <v>0</v>
      </c>
      <c r="I817" s="4" t="n">
        <v>2</v>
      </c>
      <c r="J817" s="2" t="n">
        <v>0.4</v>
      </c>
      <c r="K817" s="2" t="s">
        <v>20</v>
      </c>
      <c r="L817" s="4" t="n">
        <v>5</v>
      </c>
      <c r="M817" s="2" t="n">
        <v>0</v>
      </c>
      <c r="N817" s="2" t="n">
        <v>0</v>
      </c>
      <c r="O817" s="4" t="n">
        <v>3</v>
      </c>
      <c r="Q817" s="2" t="n">
        <v>991</v>
      </c>
      <c r="R817" s="0" t="s">
        <v>398</v>
      </c>
      <c r="S817" s="0" t="s">
        <v>9191</v>
      </c>
    </row>
    <row r="818" customFormat="false" ht="13.8" hidden="false" customHeight="false" outlineLevel="0" collapsed="false">
      <c r="A818" s="0" t="s">
        <v>172</v>
      </c>
      <c r="B818" s="0" t="n">
        <v>21</v>
      </c>
      <c r="C818" s="0" t="s">
        <v>9173</v>
      </c>
      <c r="D818" s="0" t="s">
        <v>391</v>
      </c>
      <c r="E818" s="0" t="s">
        <v>391</v>
      </c>
      <c r="F818" s="4" t="n">
        <v>95</v>
      </c>
      <c r="G818" s="2" t="n">
        <v>0</v>
      </c>
      <c r="H818" s="2" t="n">
        <v>0</v>
      </c>
      <c r="I818" s="4" t="n">
        <v>2</v>
      </c>
      <c r="J818" s="2" t="n">
        <v>0.1</v>
      </c>
      <c r="K818" s="2" t="s">
        <v>20</v>
      </c>
      <c r="L818" s="4" t="n">
        <v>5</v>
      </c>
      <c r="M818" s="2" t="n">
        <v>0</v>
      </c>
      <c r="N818" s="2" t="n">
        <v>0</v>
      </c>
      <c r="O818" s="4" t="n">
        <v>3</v>
      </c>
      <c r="Q818" s="2" t="n">
        <v>992</v>
      </c>
      <c r="R818" s="0" t="s">
        <v>391</v>
      </c>
      <c r="S818" s="0" t="s">
        <v>9192</v>
      </c>
    </row>
    <row r="819" customFormat="false" ht="13.8" hidden="false" customHeight="false" outlineLevel="0" collapsed="false">
      <c r="A819" s="0" t="s">
        <v>172</v>
      </c>
      <c r="B819" s="0" t="n">
        <v>21</v>
      </c>
      <c r="C819" s="0" t="s">
        <v>9173</v>
      </c>
      <c r="D819" s="0" t="s">
        <v>312</v>
      </c>
      <c r="E819" s="0" t="s">
        <v>312</v>
      </c>
      <c r="F819" s="4" t="n">
        <v>67</v>
      </c>
      <c r="G819" s="2" t="n">
        <v>0</v>
      </c>
      <c r="H819" s="2" t="n">
        <v>0</v>
      </c>
      <c r="I819" s="4" t="n">
        <v>2</v>
      </c>
      <c r="J819" s="2" t="n">
        <v>0.7</v>
      </c>
      <c r="K819" s="2" t="s">
        <v>20</v>
      </c>
      <c r="L819" s="4" t="n">
        <v>5</v>
      </c>
      <c r="M819" s="2" t="n">
        <v>0</v>
      </c>
      <c r="N819" s="2" t="n">
        <v>0</v>
      </c>
      <c r="O819" s="4" t="n">
        <v>3</v>
      </c>
      <c r="Q819" s="2" t="n">
        <v>993</v>
      </c>
      <c r="R819" s="0" t="s">
        <v>312</v>
      </c>
      <c r="S819" s="0" t="s">
        <v>9193</v>
      </c>
    </row>
    <row r="820" customFormat="false" ht="13.8" hidden="false" customHeight="false" outlineLevel="0" collapsed="false">
      <c r="A820" s="0" t="s">
        <v>172</v>
      </c>
      <c r="B820" s="0" t="n">
        <v>21</v>
      </c>
      <c r="C820" s="0" t="s">
        <v>9173</v>
      </c>
      <c r="D820" s="0" t="s">
        <v>399</v>
      </c>
      <c r="E820" s="0" t="s">
        <v>399</v>
      </c>
      <c r="F820" s="4" t="n">
        <v>103</v>
      </c>
      <c r="G820" s="2" t="n">
        <v>0</v>
      </c>
      <c r="H820" s="2" t="n">
        <v>0</v>
      </c>
      <c r="I820" s="4" t="n">
        <v>2</v>
      </c>
      <c r="J820" s="2" t="n">
        <v>0.7</v>
      </c>
      <c r="K820" s="2" t="s">
        <v>20</v>
      </c>
      <c r="L820" s="4" t="n">
        <v>5</v>
      </c>
      <c r="M820" s="2" t="n">
        <v>0</v>
      </c>
      <c r="N820" s="2" t="n">
        <v>0</v>
      </c>
      <c r="O820" s="4" t="n">
        <v>3</v>
      </c>
      <c r="Q820" s="2" t="n">
        <v>994</v>
      </c>
      <c r="R820" s="0" t="s">
        <v>399</v>
      </c>
      <c r="S820" s="0" t="s">
        <v>9194</v>
      </c>
    </row>
    <row r="821" customFormat="false" ht="13.8" hidden="false" customHeight="false" outlineLevel="0" collapsed="false">
      <c r="A821" s="0" t="s">
        <v>172</v>
      </c>
      <c r="B821" s="0" t="n">
        <v>21</v>
      </c>
      <c r="C821" s="0" t="s">
        <v>9173</v>
      </c>
      <c r="D821" s="0" t="s">
        <v>857</v>
      </c>
      <c r="E821" s="0" t="s">
        <v>412</v>
      </c>
      <c r="F821" s="4" t="n">
        <v>117</v>
      </c>
      <c r="G821" s="2" t="n">
        <v>0</v>
      </c>
      <c r="H821" s="2" t="n">
        <v>0</v>
      </c>
      <c r="I821" s="4" t="n">
        <v>2</v>
      </c>
      <c r="J821" s="2" t="n">
        <v>0.4</v>
      </c>
      <c r="K821" s="2" t="s">
        <v>20</v>
      </c>
      <c r="L821" s="4" t="n">
        <v>5</v>
      </c>
      <c r="M821" s="2" t="n">
        <v>0</v>
      </c>
      <c r="N821" s="2" t="n">
        <v>0</v>
      </c>
      <c r="O821" s="4" t="n">
        <v>3</v>
      </c>
      <c r="Q821" s="2" t="n">
        <v>995</v>
      </c>
      <c r="R821" s="0" t="s">
        <v>412</v>
      </c>
      <c r="S821" s="0" t="s">
        <v>9195</v>
      </c>
    </row>
    <row r="822" customFormat="false" ht="13.8" hidden="false" customHeight="false" outlineLevel="0" collapsed="false">
      <c r="A822" s="0" t="s">
        <v>172</v>
      </c>
      <c r="B822" s="0" t="n">
        <v>21</v>
      </c>
      <c r="C822" s="0" t="s">
        <v>9173</v>
      </c>
      <c r="D822" s="0" t="s">
        <v>807</v>
      </c>
      <c r="E822" s="0" t="s">
        <v>429</v>
      </c>
      <c r="F822" s="4" t="n">
        <v>135</v>
      </c>
      <c r="G822" s="2" t="n">
        <v>0</v>
      </c>
      <c r="H822" s="2" t="n">
        <v>0</v>
      </c>
      <c r="I822" s="4" t="n">
        <v>2</v>
      </c>
      <c r="J822" s="2" t="n">
        <v>0.3</v>
      </c>
      <c r="K822" s="2" t="s">
        <v>20</v>
      </c>
      <c r="L822" s="4" t="n">
        <v>5</v>
      </c>
      <c r="M822" s="2" t="n">
        <v>0</v>
      </c>
      <c r="N822" s="2" t="n">
        <v>0</v>
      </c>
      <c r="O822" s="4" t="n">
        <v>3</v>
      </c>
      <c r="Q822" s="2" t="n">
        <v>996</v>
      </c>
      <c r="R822" s="0" t="s">
        <v>429</v>
      </c>
      <c r="S822" s="0" t="s">
        <v>9196</v>
      </c>
    </row>
    <row r="823" customFormat="false" ht="13.8" hidden="false" customHeight="false" outlineLevel="0" collapsed="false">
      <c r="A823" s="0" t="s">
        <v>172</v>
      </c>
      <c r="B823" s="0" t="n">
        <v>21</v>
      </c>
      <c r="C823" s="0" t="s">
        <v>9173</v>
      </c>
      <c r="D823" s="0" t="s">
        <v>858</v>
      </c>
      <c r="E823" s="0" t="s">
        <v>123</v>
      </c>
      <c r="F823" s="4" t="n">
        <v>6</v>
      </c>
      <c r="G823" s="2" t="n">
        <v>0</v>
      </c>
      <c r="H823" s="2" t="n">
        <v>0</v>
      </c>
      <c r="I823" s="4" t="n">
        <v>2</v>
      </c>
      <c r="J823" s="2" t="n">
        <v>1</v>
      </c>
      <c r="K823" s="2" t="s">
        <v>20</v>
      </c>
      <c r="L823" s="4" t="n">
        <v>5</v>
      </c>
      <c r="M823" s="2" t="n">
        <v>0</v>
      </c>
      <c r="N823" s="2" t="n">
        <v>0</v>
      </c>
      <c r="O823" s="4" t="n">
        <v>3</v>
      </c>
      <c r="Q823" s="2" t="n">
        <v>997</v>
      </c>
      <c r="R823" s="0" t="s">
        <v>123</v>
      </c>
      <c r="S823" s="0" t="s">
        <v>9197</v>
      </c>
    </row>
    <row r="824" customFormat="false" ht="13.8" hidden="false" customHeight="false" outlineLevel="0" collapsed="false">
      <c r="A824" s="0" t="s">
        <v>172</v>
      </c>
      <c r="B824" s="0" t="n">
        <v>21</v>
      </c>
      <c r="C824" s="0" t="s">
        <v>9173</v>
      </c>
      <c r="D824" s="0" t="s">
        <v>859</v>
      </c>
      <c r="E824" s="0" t="s">
        <v>360</v>
      </c>
      <c r="F824" s="4" t="n">
        <v>83</v>
      </c>
      <c r="G824" s="2" t="n">
        <v>0</v>
      </c>
      <c r="H824" s="2" t="n">
        <v>0</v>
      </c>
      <c r="I824" s="4" t="n">
        <v>2</v>
      </c>
      <c r="J824" s="2" t="n">
        <v>500</v>
      </c>
      <c r="K824" s="2" t="s">
        <v>143</v>
      </c>
      <c r="L824" s="4" t="n">
        <v>12</v>
      </c>
      <c r="M824" s="2" t="n">
        <v>0</v>
      </c>
      <c r="N824" s="2" t="n">
        <v>0</v>
      </c>
      <c r="O824" s="4" t="n">
        <v>3</v>
      </c>
      <c r="Q824" s="2" t="n">
        <v>998</v>
      </c>
      <c r="R824" s="0" t="s">
        <v>360</v>
      </c>
      <c r="S824" s="0" t="s">
        <v>9198</v>
      </c>
    </row>
    <row r="825" customFormat="false" ht="13.8" hidden="false" customHeight="false" outlineLevel="0" collapsed="false">
      <c r="A825" s="0" t="s">
        <v>172</v>
      </c>
      <c r="B825" s="0" t="n">
        <v>21</v>
      </c>
      <c r="C825" s="0" t="s">
        <v>9173</v>
      </c>
      <c r="D825" s="0" t="s">
        <v>44</v>
      </c>
      <c r="E825" s="0" t="s">
        <v>44</v>
      </c>
      <c r="F825" s="4" t="n">
        <v>187</v>
      </c>
      <c r="G825" s="2" t="n">
        <v>0</v>
      </c>
      <c r="H825" s="2" t="n">
        <v>0</v>
      </c>
      <c r="I825" s="4" t="n">
        <v>2</v>
      </c>
      <c r="J825" s="2" t="n">
        <v>1</v>
      </c>
      <c r="K825" s="2" t="s">
        <v>20</v>
      </c>
      <c r="L825" s="4" t="n">
        <v>5</v>
      </c>
      <c r="M825" s="2" t="n">
        <v>0</v>
      </c>
      <c r="N825" s="2" t="n">
        <v>0</v>
      </c>
      <c r="O825" s="4" t="n">
        <v>3</v>
      </c>
      <c r="Q825" s="2" t="n">
        <v>999</v>
      </c>
      <c r="R825" s="0" t="s">
        <v>44</v>
      </c>
      <c r="S825" s="0" t="s">
        <v>9199</v>
      </c>
    </row>
    <row r="826" customFormat="false" ht="13.8" hidden="false" customHeight="false" outlineLevel="0" collapsed="false">
      <c r="A826" s="0" t="s">
        <v>310</v>
      </c>
      <c r="B826" s="0" t="n">
        <v>67</v>
      </c>
      <c r="C826" s="0" t="s">
        <v>9200</v>
      </c>
      <c r="D826" s="0" t="s">
        <v>11</v>
      </c>
      <c r="E826" s="0" t="s">
        <v>348</v>
      </c>
      <c r="F826" s="4" t="n">
        <v>79</v>
      </c>
      <c r="G826" s="2" t="n">
        <v>6</v>
      </c>
      <c r="H826" s="2" t="s">
        <v>7</v>
      </c>
      <c r="I826" s="4" t="n">
        <v>2</v>
      </c>
      <c r="J826" s="2" t="n">
        <v>0</v>
      </c>
      <c r="K826" s="2" t="n">
        <v>0</v>
      </c>
      <c r="L826" s="4" t="n">
        <v>1</v>
      </c>
      <c r="M826" s="2" t="n">
        <v>0</v>
      </c>
      <c r="N826" s="2" t="n">
        <v>0</v>
      </c>
      <c r="O826" s="4" t="n">
        <v>3</v>
      </c>
      <c r="Q826" s="2" t="n">
        <v>1001</v>
      </c>
      <c r="R826" s="0" t="s">
        <v>348</v>
      </c>
      <c r="S826" s="0" t="s">
        <v>9201</v>
      </c>
    </row>
    <row r="827" customFormat="false" ht="13.8" hidden="false" customHeight="false" outlineLevel="0" collapsed="false">
      <c r="A827" s="0" t="s">
        <v>310</v>
      </c>
      <c r="B827" s="0" t="n">
        <v>67</v>
      </c>
      <c r="C827" s="0" t="s">
        <v>9200</v>
      </c>
      <c r="D827" s="0" t="s">
        <v>192</v>
      </c>
      <c r="E827" s="0" t="s">
        <v>192</v>
      </c>
      <c r="F827" s="4" t="n">
        <v>27</v>
      </c>
      <c r="G827" s="2" t="n">
        <v>5</v>
      </c>
      <c r="H827" s="2" t="s">
        <v>7</v>
      </c>
      <c r="I827" s="4" t="n">
        <v>2</v>
      </c>
      <c r="J827" s="2" t="n">
        <v>0</v>
      </c>
      <c r="K827" s="2" t="n">
        <v>0</v>
      </c>
      <c r="L827" s="4" t="n">
        <v>1</v>
      </c>
      <c r="M827" s="2" t="n">
        <v>0</v>
      </c>
      <c r="N827" s="2" t="n">
        <v>0</v>
      </c>
      <c r="O827" s="4" t="n">
        <v>3</v>
      </c>
      <c r="Q827" s="2" t="n">
        <v>1002</v>
      </c>
      <c r="R827" s="0" t="s">
        <v>192</v>
      </c>
      <c r="S827" s="0" t="s">
        <v>9202</v>
      </c>
    </row>
    <row r="828" customFormat="false" ht="13.8" hidden="false" customHeight="false" outlineLevel="0" collapsed="false">
      <c r="A828" s="0" t="s">
        <v>310</v>
      </c>
      <c r="B828" s="0" t="n">
        <v>67</v>
      </c>
      <c r="C828" s="0" t="s">
        <v>9200</v>
      </c>
      <c r="D828" s="0" t="s">
        <v>790</v>
      </c>
      <c r="E828" s="0" t="s">
        <v>374</v>
      </c>
      <c r="F828" s="4" t="n">
        <v>88</v>
      </c>
      <c r="G828" s="2" t="n">
        <v>6</v>
      </c>
      <c r="H828" s="2" t="s">
        <v>7</v>
      </c>
      <c r="I828" s="4" t="n">
        <v>2</v>
      </c>
      <c r="J828" s="2" t="n">
        <v>0</v>
      </c>
      <c r="K828" s="2" t="n">
        <v>0</v>
      </c>
      <c r="L828" s="4" t="n">
        <v>1</v>
      </c>
      <c r="M828" s="2" t="n">
        <v>0</v>
      </c>
      <c r="N828" s="2" t="n">
        <v>0</v>
      </c>
      <c r="O828" s="4" t="n">
        <v>3</v>
      </c>
      <c r="Q828" s="2" t="n">
        <v>1003</v>
      </c>
      <c r="R828" s="0" t="s">
        <v>374</v>
      </c>
      <c r="S828" s="0" t="s">
        <v>9203</v>
      </c>
    </row>
    <row r="829" customFormat="false" ht="13.8" hidden="false" customHeight="false" outlineLevel="0" collapsed="false">
      <c r="A829" s="0" t="s">
        <v>310</v>
      </c>
      <c r="B829" s="0" t="n">
        <v>67</v>
      </c>
      <c r="C829" s="0" t="s">
        <v>9200</v>
      </c>
      <c r="D829" s="0" t="s">
        <v>801</v>
      </c>
      <c r="E829" s="0" t="s">
        <v>386</v>
      </c>
      <c r="F829" s="4" t="n">
        <v>93</v>
      </c>
      <c r="G829" s="2" t="n">
        <v>0</v>
      </c>
      <c r="H829" s="2" t="n">
        <v>0</v>
      </c>
      <c r="I829" s="4" t="n">
        <v>2</v>
      </c>
      <c r="J829" s="2" t="n">
        <v>1</v>
      </c>
      <c r="K829" s="2" t="s">
        <v>13</v>
      </c>
      <c r="L829" s="4" t="n">
        <v>1</v>
      </c>
      <c r="M829" s="2" t="n">
        <v>0</v>
      </c>
      <c r="N829" s="2" t="n">
        <v>0</v>
      </c>
      <c r="O829" s="4" t="n">
        <v>3</v>
      </c>
      <c r="Q829" s="2" t="n">
        <v>1004</v>
      </c>
      <c r="R829" s="0" t="s">
        <v>386</v>
      </c>
      <c r="S829" s="0" t="s">
        <v>9204</v>
      </c>
    </row>
    <row r="830" customFormat="false" ht="13.8" hidden="false" customHeight="false" outlineLevel="0" collapsed="false">
      <c r="A830" s="0" t="s">
        <v>310</v>
      </c>
      <c r="B830" s="0" t="n">
        <v>67</v>
      </c>
      <c r="C830" s="0" t="s">
        <v>9200</v>
      </c>
      <c r="D830" s="0" t="s">
        <v>23</v>
      </c>
      <c r="E830" s="0" t="s">
        <v>309</v>
      </c>
      <c r="F830" s="4" t="n">
        <v>66</v>
      </c>
      <c r="G830" s="2" t="n">
        <v>0</v>
      </c>
      <c r="H830" s="2" t="n">
        <v>0</v>
      </c>
      <c r="I830" s="4" t="n">
        <v>2</v>
      </c>
      <c r="J830" s="2" t="n">
        <v>3</v>
      </c>
      <c r="K830" s="2" t="s">
        <v>13</v>
      </c>
      <c r="L830" s="4" t="n">
        <v>1</v>
      </c>
      <c r="M830" s="2" t="n">
        <v>0</v>
      </c>
      <c r="N830" s="2" t="n">
        <v>0</v>
      </c>
      <c r="O830" s="4" t="n">
        <v>3</v>
      </c>
      <c r="Q830" s="2" t="n">
        <v>1005</v>
      </c>
      <c r="R830" s="0" t="s">
        <v>309</v>
      </c>
      <c r="S830" s="0" t="s">
        <v>9205</v>
      </c>
    </row>
    <row r="831" customFormat="false" ht="13.8" hidden="false" customHeight="false" outlineLevel="0" collapsed="false">
      <c r="A831" s="0" t="s">
        <v>310</v>
      </c>
      <c r="B831" s="0" t="n">
        <v>67</v>
      </c>
      <c r="C831" s="0" t="s">
        <v>9200</v>
      </c>
      <c r="D831" s="0" t="s">
        <v>802</v>
      </c>
      <c r="E831" s="0" t="s">
        <v>102</v>
      </c>
      <c r="F831" s="4" t="n">
        <v>1</v>
      </c>
      <c r="G831" s="2" t="n">
        <v>0</v>
      </c>
      <c r="H831" s="2" t="n">
        <v>0</v>
      </c>
      <c r="I831" s="4" t="n">
        <v>2</v>
      </c>
      <c r="J831" s="2" t="n">
        <v>0.5</v>
      </c>
      <c r="K831" s="2" t="s">
        <v>13</v>
      </c>
      <c r="L831" s="4" t="n">
        <v>1</v>
      </c>
      <c r="M831" s="2" t="n">
        <v>0</v>
      </c>
      <c r="N831" s="2" t="n">
        <v>0</v>
      </c>
      <c r="O831" s="4" t="n">
        <v>3</v>
      </c>
      <c r="Q831" s="2" t="n">
        <v>1006</v>
      </c>
      <c r="R831" s="0" t="s">
        <v>102</v>
      </c>
      <c r="S831" s="0" t="s">
        <v>9206</v>
      </c>
    </row>
    <row r="832" customFormat="false" ht="13.8" hidden="false" customHeight="false" outlineLevel="0" collapsed="false">
      <c r="A832" s="0" t="s">
        <v>310</v>
      </c>
      <c r="B832" s="0" t="n">
        <v>67</v>
      </c>
      <c r="C832" s="0" t="s">
        <v>9200</v>
      </c>
      <c r="D832" s="0" t="s">
        <v>803</v>
      </c>
      <c r="E832" s="0" t="s">
        <v>38</v>
      </c>
      <c r="F832" s="4" t="n">
        <v>105</v>
      </c>
      <c r="G832" s="2" t="n">
        <v>0</v>
      </c>
      <c r="H832" s="2" t="n">
        <v>0</v>
      </c>
      <c r="I832" s="4" t="n">
        <v>2</v>
      </c>
      <c r="J832" s="2" t="n">
        <v>2</v>
      </c>
      <c r="K832" s="2" t="s">
        <v>13</v>
      </c>
      <c r="L832" s="4" t="n">
        <v>1</v>
      </c>
      <c r="M832" s="2" t="n">
        <v>0</v>
      </c>
      <c r="N832" s="2" t="n">
        <v>0</v>
      </c>
      <c r="O832" s="4" t="n">
        <v>3</v>
      </c>
      <c r="Q832" s="2" t="n">
        <v>1007</v>
      </c>
      <c r="R832" s="0" t="s">
        <v>38</v>
      </c>
      <c r="S832" s="0" t="s">
        <v>9207</v>
      </c>
    </row>
    <row r="833" customFormat="false" ht="13.8" hidden="false" customHeight="false" outlineLevel="0" collapsed="false">
      <c r="A833" s="0" t="s">
        <v>310</v>
      </c>
      <c r="B833" s="0" t="n">
        <v>67</v>
      </c>
      <c r="C833" s="0" t="s">
        <v>9200</v>
      </c>
      <c r="D833" s="0" t="s">
        <v>310</v>
      </c>
      <c r="E833" s="0" t="s">
        <v>464</v>
      </c>
      <c r="F833" s="4" t="n">
        <v>172</v>
      </c>
      <c r="G833" s="2" t="n">
        <v>25</v>
      </c>
      <c r="H833" s="2" t="s">
        <v>7</v>
      </c>
      <c r="I833" s="4" t="n">
        <v>2</v>
      </c>
      <c r="J833" s="2" t="n">
        <v>0</v>
      </c>
      <c r="K833" s="2" t="n">
        <v>0</v>
      </c>
      <c r="L833" s="4" t="n">
        <v>1</v>
      </c>
      <c r="M833" s="2" t="n">
        <v>0</v>
      </c>
      <c r="N833" s="2" t="n">
        <v>0</v>
      </c>
      <c r="O833" s="4" t="n">
        <v>3</v>
      </c>
      <c r="Q833" s="2" t="n">
        <v>1008</v>
      </c>
      <c r="R833" s="0" t="s">
        <v>464</v>
      </c>
      <c r="S833" s="0" t="s">
        <v>9208</v>
      </c>
    </row>
    <row r="834" customFormat="false" ht="13.8" hidden="false" customHeight="false" outlineLevel="0" collapsed="false">
      <c r="A834" s="0" t="s">
        <v>310</v>
      </c>
      <c r="B834" s="0" t="n">
        <v>67</v>
      </c>
      <c r="C834" s="0" t="s">
        <v>9200</v>
      </c>
      <c r="D834" s="0" t="s">
        <v>805</v>
      </c>
      <c r="E834" s="0" t="s">
        <v>360</v>
      </c>
      <c r="F834" s="4" t="n">
        <v>83</v>
      </c>
      <c r="G834" s="2" t="n">
        <v>0</v>
      </c>
      <c r="H834" s="2" t="n">
        <v>0</v>
      </c>
      <c r="I834" s="4" t="n">
        <v>2</v>
      </c>
      <c r="J834" s="2" t="n">
        <v>4.5</v>
      </c>
      <c r="K834" s="2" t="s">
        <v>13</v>
      </c>
      <c r="L834" s="4" t="n">
        <v>1</v>
      </c>
      <c r="M834" s="2" t="n">
        <v>0</v>
      </c>
      <c r="N834" s="2" t="n">
        <v>0</v>
      </c>
      <c r="O834" s="4" t="n">
        <v>3</v>
      </c>
      <c r="Q834" s="2" t="n">
        <v>1009</v>
      </c>
      <c r="R834" s="0" t="s">
        <v>360</v>
      </c>
      <c r="S834" s="0" t="s">
        <v>9209</v>
      </c>
    </row>
    <row r="835" customFormat="false" ht="13.8" hidden="false" customHeight="false" outlineLevel="0" collapsed="false">
      <c r="A835" s="0" t="s">
        <v>310</v>
      </c>
      <c r="B835" s="0" t="n">
        <v>67</v>
      </c>
      <c r="C835" s="0" t="s">
        <v>9200</v>
      </c>
      <c r="D835" s="0" t="s">
        <v>570</v>
      </c>
      <c r="E835" s="0" t="s">
        <v>456</v>
      </c>
      <c r="F835" s="4" t="n">
        <v>164</v>
      </c>
      <c r="G835" s="2" t="n">
        <v>0</v>
      </c>
      <c r="H835" s="2" t="n">
        <v>0</v>
      </c>
      <c r="I835" s="4" t="n">
        <v>2</v>
      </c>
      <c r="J835" s="2" t="n">
        <v>2</v>
      </c>
      <c r="K835" s="2" t="s">
        <v>20</v>
      </c>
      <c r="L835" s="4" t="n">
        <v>5</v>
      </c>
      <c r="M835" s="2" t="n">
        <v>0</v>
      </c>
      <c r="N835" s="2" t="n">
        <v>0</v>
      </c>
      <c r="O835" s="4" t="n">
        <v>3</v>
      </c>
      <c r="Q835" s="2" t="n">
        <v>1010</v>
      </c>
      <c r="R835" s="0" t="s">
        <v>456</v>
      </c>
      <c r="S835" s="0" t="s">
        <v>9210</v>
      </c>
    </row>
    <row r="836" customFormat="false" ht="13.8" hidden="false" customHeight="false" outlineLevel="0" collapsed="false">
      <c r="A836" s="0" t="s">
        <v>310</v>
      </c>
      <c r="B836" s="0" t="n">
        <v>67</v>
      </c>
      <c r="C836" s="0" t="s">
        <v>9200</v>
      </c>
      <c r="D836" s="0" t="s">
        <v>249</v>
      </c>
      <c r="E836" s="0" t="s">
        <v>249</v>
      </c>
      <c r="F836" s="4" t="n">
        <v>46</v>
      </c>
      <c r="G836" s="2" t="n">
        <v>0</v>
      </c>
      <c r="H836" s="2" t="n">
        <v>0</v>
      </c>
      <c r="I836" s="4" t="n">
        <v>2</v>
      </c>
      <c r="J836" s="2" t="n">
        <v>1</v>
      </c>
      <c r="K836" s="2" t="s">
        <v>13</v>
      </c>
      <c r="L836" s="4" t="n">
        <v>1</v>
      </c>
      <c r="M836" s="2" t="n">
        <v>0</v>
      </c>
      <c r="N836" s="2" t="n">
        <v>0</v>
      </c>
      <c r="O836" s="4" t="n">
        <v>3</v>
      </c>
      <c r="Q836" s="2" t="n">
        <v>1011</v>
      </c>
      <c r="R836" s="0" t="s">
        <v>249</v>
      </c>
      <c r="S836" s="0" t="s">
        <v>9211</v>
      </c>
    </row>
    <row r="837" customFormat="false" ht="13.8" hidden="false" customHeight="false" outlineLevel="0" collapsed="false">
      <c r="A837" s="0" t="s">
        <v>310</v>
      </c>
      <c r="B837" s="0" t="n">
        <v>67</v>
      </c>
      <c r="C837" s="0" t="s">
        <v>9200</v>
      </c>
      <c r="D837" s="0" t="s">
        <v>489</v>
      </c>
      <c r="E837" s="0" t="s">
        <v>489</v>
      </c>
      <c r="F837" s="4" t="n">
        <v>200</v>
      </c>
      <c r="G837" s="2" t="n">
        <v>0</v>
      </c>
      <c r="H837" s="2" t="n">
        <v>0</v>
      </c>
      <c r="I837" s="4" t="n">
        <v>2</v>
      </c>
      <c r="J837" s="2" t="n">
        <v>1</v>
      </c>
      <c r="K837" s="2" t="s">
        <v>13</v>
      </c>
      <c r="L837" s="4" t="n">
        <v>1</v>
      </c>
      <c r="M837" s="2" t="n">
        <v>0</v>
      </c>
      <c r="N837" s="2" t="n">
        <v>0</v>
      </c>
      <c r="O837" s="4" t="n">
        <v>3</v>
      </c>
      <c r="Q837" s="2" t="n">
        <v>1012</v>
      </c>
      <c r="R837" s="0" t="s">
        <v>489</v>
      </c>
      <c r="S837" s="0" t="s">
        <v>9212</v>
      </c>
    </row>
    <row r="838" customFormat="false" ht="13.8" hidden="false" customHeight="false" outlineLevel="0" collapsed="false">
      <c r="A838" s="0" t="s">
        <v>310</v>
      </c>
      <c r="B838" s="0" t="n">
        <v>67</v>
      </c>
      <c r="C838" s="0" t="s">
        <v>9200</v>
      </c>
      <c r="D838" s="0" t="s">
        <v>382</v>
      </c>
      <c r="E838" s="0" t="s">
        <v>382</v>
      </c>
      <c r="F838" s="4" t="n">
        <v>91</v>
      </c>
      <c r="G838" s="2" t="n">
        <v>0</v>
      </c>
      <c r="H838" s="2" t="n">
        <v>0</v>
      </c>
      <c r="I838" s="4" t="n">
        <v>2</v>
      </c>
      <c r="J838" s="2" t="n">
        <v>1</v>
      </c>
      <c r="K838" s="2" t="s">
        <v>20</v>
      </c>
      <c r="L838" s="4" t="n">
        <v>5</v>
      </c>
      <c r="M838" s="2" t="n">
        <v>0</v>
      </c>
      <c r="N838" s="2" t="n">
        <v>0</v>
      </c>
      <c r="O838" s="4" t="n">
        <v>3</v>
      </c>
      <c r="Q838" s="2" t="n">
        <v>1013</v>
      </c>
      <c r="R838" s="0" t="s">
        <v>382</v>
      </c>
      <c r="S838" s="0" t="s">
        <v>9213</v>
      </c>
    </row>
    <row r="839" customFormat="false" ht="13.8" hidden="false" customHeight="false" outlineLevel="0" collapsed="false">
      <c r="A839" s="0" t="s">
        <v>310</v>
      </c>
      <c r="B839" s="0" t="n">
        <v>67</v>
      </c>
      <c r="C839" s="0" t="s">
        <v>9200</v>
      </c>
      <c r="D839" s="0" t="s">
        <v>809</v>
      </c>
      <c r="E839" s="0" t="s">
        <v>412</v>
      </c>
      <c r="F839" s="4" t="n">
        <v>117</v>
      </c>
      <c r="G839" s="2" t="n">
        <v>0</v>
      </c>
      <c r="H839" s="2" t="n">
        <v>0</v>
      </c>
      <c r="I839" s="4" t="n">
        <v>2</v>
      </c>
      <c r="J839" s="2" t="n">
        <v>0.5</v>
      </c>
      <c r="K839" s="2" t="s">
        <v>20</v>
      </c>
      <c r="L839" s="4" t="n">
        <v>5</v>
      </c>
      <c r="M839" s="2" t="n">
        <v>0</v>
      </c>
      <c r="N839" s="2" t="n">
        <v>0</v>
      </c>
      <c r="O839" s="4" t="n">
        <v>3</v>
      </c>
      <c r="Q839" s="2" t="n">
        <v>1014</v>
      </c>
      <c r="R839" s="0" t="s">
        <v>412</v>
      </c>
      <c r="S839" s="0" t="s">
        <v>9214</v>
      </c>
    </row>
    <row r="840" customFormat="false" ht="13.8" hidden="false" customHeight="false" outlineLevel="0" collapsed="false">
      <c r="A840" s="0" t="s">
        <v>310</v>
      </c>
      <c r="B840" s="0" t="n">
        <v>67</v>
      </c>
      <c r="C840" s="0" t="s">
        <v>9200</v>
      </c>
      <c r="D840" s="0" t="s">
        <v>391</v>
      </c>
      <c r="E840" s="0" t="s">
        <v>391</v>
      </c>
      <c r="F840" s="4" t="n">
        <v>95</v>
      </c>
      <c r="G840" s="2" t="n">
        <v>0</v>
      </c>
      <c r="H840" s="2" t="n">
        <v>0</v>
      </c>
      <c r="I840" s="4" t="n">
        <v>2</v>
      </c>
      <c r="J840" s="2" t="n">
        <v>0.5</v>
      </c>
      <c r="K840" s="2" t="s">
        <v>20</v>
      </c>
      <c r="L840" s="4" t="n">
        <v>5</v>
      </c>
      <c r="M840" s="2" t="n">
        <v>0</v>
      </c>
      <c r="N840" s="2" t="n">
        <v>0</v>
      </c>
      <c r="O840" s="4" t="n">
        <v>3</v>
      </c>
      <c r="Q840" s="2" t="n">
        <v>1015</v>
      </c>
      <c r="R840" s="0" t="s">
        <v>391</v>
      </c>
      <c r="S840" s="0" t="s">
        <v>9215</v>
      </c>
    </row>
    <row r="841" customFormat="false" ht="13.8" hidden="false" customHeight="false" outlineLevel="0" collapsed="false">
      <c r="A841" s="0" t="s">
        <v>310</v>
      </c>
      <c r="B841" s="0" t="n">
        <v>67</v>
      </c>
      <c r="C841" s="0" t="s">
        <v>9200</v>
      </c>
      <c r="D841" s="0" t="s">
        <v>96</v>
      </c>
      <c r="E841" s="0" t="s">
        <v>96</v>
      </c>
      <c r="F841" s="4" t="n">
        <v>177</v>
      </c>
      <c r="G841" s="2" t="n">
        <v>0</v>
      </c>
      <c r="H841" s="2" t="n">
        <v>0</v>
      </c>
      <c r="I841" s="4" t="n">
        <v>2</v>
      </c>
      <c r="J841" s="2" t="n">
        <v>6</v>
      </c>
      <c r="K841" s="2" t="s">
        <v>20</v>
      </c>
      <c r="L841" s="4" t="n">
        <v>5</v>
      </c>
      <c r="M841" s="2" t="n">
        <v>0</v>
      </c>
      <c r="N841" s="2" t="n">
        <v>0</v>
      </c>
      <c r="O841" s="4" t="n">
        <v>3</v>
      </c>
      <c r="Q841" s="2" t="n">
        <v>1016</v>
      </c>
      <c r="R841" s="0" t="s">
        <v>96</v>
      </c>
      <c r="S841" s="0" t="s">
        <v>9216</v>
      </c>
    </row>
    <row r="842" customFormat="false" ht="13.8" hidden="false" customHeight="false" outlineLevel="0" collapsed="false">
      <c r="A842" s="0" t="s">
        <v>331</v>
      </c>
      <c r="B842" s="0" t="n">
        <v>74</v>
      </c>
      <c r="C842" s="0" t="s">
        <v>9217</v>
      </c>
      <c r="D842" s="0" t="s">
        <v>860</v>
      </c>
      <c r="E842" s="0" t="s">
        <v>406</v>
      </c>
      <c r="F842" s="4" t="n">
        <v>111</v>
      </c>
      <c r="G842" s="2" t="n">
        <v>10</v>
      </c>
      <c r="H842" s="2" t="s">
        <v>7</v>
      </c>
      <c r="I842" s="4" t="n">
        <v>2</v>
      </c>
      <c r="J842" s="2" t="n">
        <v>0</v>
      </c>
      <c r="K842" s="2" t="n">
        <v>0</v>
      </c>
      <c r="L842" s="4" t="n">
        <v>1</v>
      </c>
      <c r="M842" s="2" t="n">
        <v>0</v>
      </c>
      <c r="N842" s="2" t="n">
        <v>0</v>
      </c>
      <c r="O842" s="4" t="n">
        <v>3</v>
      </c>
      <c r="Q842" s="2" t="n">
        <v>1018</v>
      </c>
      <c r="R842" s="0" t="s">
        <v>406</v>
      </c>
      <c r="S842" s="0" t="s">
        <v>9218</v>
      </c>
    </row>
    <row r="843" customFormat="false" ht="13.8" hidden="false" customHeight="false" outlineLevel="0" collapsed="false">
      <c r="A843" s="0" t="s">
        <v>331</v>
      </c>
      <c r="B843" s="0" t="n">
        <v>74</v>
      </c>
      <c r="C843" s="0" t="s">
        <v>9217</v>
      </c>
      <c r="D843" s="0" t="s">
        <v>371</v>
      </c>
      <c r="E843" s="0" t="s">
        <v>371</v>
      </c>
      <c r="F843" s="4" t="n">
        <v>87</v>
      </c>
      <c r="G843" s="2" t="n">
        <v>6</v>
      </c>
      <c r="H843" s="2" t="s">
        <v>7</v>
      </c>
      <c r="I843" s="4" t="n">
        <v>2</v>
      </c>
      <c r="J843" s="2" t="n">
        <v>0</v>
      </c>
      <c r="K843" s="2" t="n">
        <v>0</v>
      </c>
      <c r="L843" s="4" t="n">
        <v>1</v>
      </c>
      <c r="M843" s="2" t="n">
        <v>0</v>
      </c>
      <c r="N843" s="2" t="n">
        <v>0</v>
      </c>
      <c r="O843" s="4" t="n">
        <v>3</v>
      </c>
      <c r="Q843" s="2" t="n">
        <v>1019</v>
      </c>
      <c r="R843" s="0" t="s">
        <v>371</v>
      </c>
      <c r="S843" s="0" t="s">
        <v>9219</v>
      </c>
    </row>
    <row r="844" customFormat="false" ht="13.8" hidden="false" customHeight="false" outlineLevel="0" collapsed="false">
      <c r="A844" s="0" t="s">
        <v>331</v>
      </c>
      <c r="B844" s="0" t="n">
        <v>74</v>
      </c>
      <c r="C844" s="0" t="s">
        <v>9217</v>
      </c>
      <c r="D844" s="0" t="s">
        <v>856</v>
      </c>
      <c r="E844" s="0" t="s">
        <v>386</v>
      </c>
      <c r="F844" s="4" t="n">
        <v>93</v>
      </c>
      <c r="G844" s="2" t="n">
        <v>0</v>
      </c>
      <c r="H844" s="2" t="n">
        <v>0</v>
      </c>
      <c r="I844" s="4" t="n">
        <v>2</v>
      </c>
      <c r="J844" s="2" t="n">
        <v>1</v>
      </c>
      <c r="K844" s="2" t="s">
        <v>13</v>
      </c>
      <c r="L844" s="4" t="n">
        <v>1</v>
      </c>
      <c r="M844" s="2" t="n">
        <v>0</v>
      </c>
      <c r="N844" s="2" t="n">
        <v>0</v>
      </c>
      <c r="O844" s="4" t="n">
        <v>3</v>
      </c>
      <c r="Q844" s="2" t="n">
        <v>1020</v>
      </c>
      <c r="R844" s="0" t="s">
        <v>386</v>
      </c>
      <c r="S844" s="0" t="s">
        <v>9220</v>
      </c>
    </row>
    <row r="845" customFormat="false" ht="13.8" hidden="false" customHeight="false" outlineLevel="0" collapsed="false">
      <c r="A845" s="0" t="s">
        <v>331</v>
      </c>
      <c r="B845" s="0" t="n">
        <v>74</v>
      </c>
      <c r="C845" s="0" t="s">
        <v>9217</v>
      </c>
      <c r="D845" s="0" t="s">
        <v>485</v>
      </c>
      <c r="E845" s="0" t="s">
        <v>485</v>
      </c>
      <c r="F845" s="4" t="n">
        <v>195</v>
      </c>
      <c r="G845" s="2" t="n">
        <v>6</v>
      </c>
      <c r="H845" s="2" t="s">
        <v>7</v>
      </c>
      <c r="I845" s="4" t="n">
        <v>2</v>
      </c>
      <c r="J845" s="2" t="n">
        <v>0</v>
      </c>
      <c r="K845" s="2" t="n">
        <v>0</v>
      </c>
      <c r="L845" s="4" t="n">
        <v>1</v>
      </c>
      <c r="M845" s="2" t="n">
        <v>0</v>
      </c>
      <c r="N845" s="2" t="n">
        <v>0</v>
      </c>
      <c r="O845" s="4" t="n">
        <v>3</v>
      </c>
      <c r="Q845" s="2" t="n">
        <v>1021</v>
      </c>
      <c r="R845" s="0" t="s">
        <v>485</v>
      </c>
      <c r="S845" s="0" t="s">
        <v>9221</v>
      </c>
    </row>
    <row r="846" customFormat="false" ht="13.8" hidden="false" customHeight="false" outlineLevel="0" collapsed="false">
      <c r="A846" s="0" t="s">
        <v>331</v>
      </c>
      <c r="B846" s="0" t="n">
        <v>74</v>
      </c>
      <c r="C846" s="0" t="s">
        <v>9217</v>
      </c>
      <c r="D846" s="0" t="s">
        <v>846</v>
      </c>
      <c r="E846" s="0" t="s">
        <v>130</v>
      </c>
      <c r="F846" s="4" t="n">
        <v>8</v>
      </c>
      <c r="G846" s="2" t="n">
        <v>7</v>
      </c>
      <c r="H846" s="2" t="s">
        <v>7</v>
      </c>
      <c r="I846" s="4" t="n">
        <v>2</v>
      </c>
      <c r="J846" s="2" t="n">
        <v>0</v>
      </c>
      <c r="K846" s="2" t="n">
        <v>0</v>
      </c>
      <c r="L846" s="4" t="n">
        <v>1</v>
      </c>
      <c r="M846" s="2" t="n">
        <v>0</v>
      </c>
      <c r="N846" s="2" t="n">
        <v>0</v>
      </c>
      <c r="O846" s="4" t="n">
        <v>3</v>
      </c>
      <c r="Q846" s="2" t="n">
        <v>1022</v>
      </c>
      <c r="R846" s="0" t="s">
        <v>130</v>
      </c>
      <c r="S846" s="0" t="s">
        <v>9222</v>
      </c>
    </row>
    <row r="847" customFormat="false" ht="13.8" hidden="false" customHeight="false" outlineLevel="0" collapsed="false">
      <c r="A847" s="0" t="s">
        <v>331</v>
      </c>
      <c r="B847" s="0" t="n">
        <v>74</v>
      </c>
      <c r="C847" s="0" t="s">
        <v>9217</v>
      </c>
      <c r="D847" s="0" t="s">
        <v>309</v>
      </c>
      <c r="E847" s="0" t="s">
        <v>309</v>
      </c>
      <c r="F847" s="4" t="n">
        <v>66</v>
      </c>
      <c r="G847" s="2" t="n">
        <v>0</v>
      </c>
      <c r="H847" s="2" t="n">
        <v>0</v>
      </c>
      <c r="I847" s="4" t="n">
        <v>2</v>
      </c>
      <c r="J847" s="2" t="n">
        <v>4</v>
      </c>
      <c r="K847" s="2" t="s">
        <v>13</v>
      </c>
      <c r="L847" s="4" t="n">
        <v>1</v>
      </c>
      <c r="M847" s="2" t="n">
        <v>0</v>
      </c>
      <c r="N847" s="2" t="n">
        <v>0</v>
      </c>
      <c r="O847" s="4" t="n">
        <v>3</v>
      </c>
      <c r="Q847" s="2" t="n">
        <v>1023</v>
      </c>
      <c r="R847" s="0" t="s">
        <v>309</v>
      </c>
      <c r="S847" s="0" t="s">
        <v>9223</v>
      </c>
    </row>
    <row r="848" customFormat="false" ht="13.8" hidden="false" customHeight="false" outlineLevel="0" collapsed="false">
      <c r="A848" s="0" t="s">
        <v>331</v>
      </c>
      <c r="B848" s="0" t="n">
        <v>74</v>
      </c>
      <c r="C848" s="0" t="s">
        <v>9217</v>
      </c>
      <c r="D848" s="0" t="s">
        <v>102</v>
      </c>
      <c r="E848" s="0" t="s">
        <v>102</v>
      </c>
      <c r="F848" s="4" t="n">
        <v>1</v>
      </c>
      <c r="G848" s="2" t="n">
        <v>0</v>
      </c>
      <c r="H848" s="2" t="n">
        <v>0</v>
      </c>
      <c r="I848" s="4" t="n">
        <v>2</v>
      </c>
      <c r="J848" s="2" t="n">
        <v>1</v>
      </c>
      <c r="K848" s="2" t="s">
        <v>13</v>
      </c>
      <c r="L848" s="4" t="n">
        <v>1</v>
      </c>
      <c r="M848" s="2" t="n">
        <v>0</v>
      </c>
      <c r="N848" s="2" t="n">
        <v>0</v>
      </c>
      <c r="O848" s="4" t="n">
        <v>3</v>
      </c>
      <c r="Q848" s="2" t="n">
        <v>1024</v>
      </c>
      <c r="R848" s="0" t="s">
        <v>102</v>
      </c>
      <c r="S848" s="0" t="s">
        <v>9224</v>
      </c>
    </row>
    <row r="849" customFormat="false" ht="13.8" hidden="false" customHeight="false" outlineLevel="0" collapsed="false">
      <c r="A849" s="0" t="s">
        <v>331</v>
      </c>
      <c r="B849" s="0" t="n">
        <v>74</v>
      </c>
      <c r="C849" s="0" t="s">
        <v>9217</v>
      </c>
      <c r="D849" s="0" t="s">
        <v>38</v>
      </c>
      <c r="E849" s="0" t="s">
        <v>38</v>
      </c>
      <c r="F849" s="4" t="n">
        <v>105</v>
      </c>
      <c r="G849" s="2" t="n">
        <v>0</v>
      </c>
      <c r="H849" s="2" t="n">
        <v>0</v>
      </c>
      <c r="I849" s="4" t="n">
        <v>2</v>
      </c>
      <c r="J849" s="2" t="n">
        <v>1</v>
      </c>
      <c r="K849" s="2" t="s">
        <v>13</v>
      </c>
      <c r="L849" s="4" t="n">
        <v>1</v>
      </c>
      <c r="M849" s="2" t="n">
        <v>0</v>
      </c>
      <c r="N849" s="2" t="n">
        <v>0</v>
      </c>
      <c r="O849" s="4" t="n">
        <v>3</v>
      </c>
      <c r="Q849" s="2" t="n">
        <v>1025</v>
      </c>
      <c r="R849" s="0" t="s">
        <v>38</v>
      </c>
      <c r="S849" s="0" t="s">
        <v>9225</v>
      </c>
    </row>
    <row r="850" customFormat="false" ht="13.8" hidden="false" customHeight="false" outlineLevel="0" collapsed="false">
      <c r="A850" s="0" t="s">
        <v>331</v>
      </c>
      <c r="B850" s="0" t="n">
        <v>74</v>
      </c>
      <c r="C850" s="0" t="s">
        <v>9217</v>
      </c>
      <c r="D850" s="0" t="s">
        <v>861</v>
      </c>
      <c r="E850" s="0" t="s">
        <v>421</v>
      </c>
      <c r="F850" s="4" t="n">
        <v>126</v>
      </c>
      <c r="G850" s="2" t="n">
        <v>20</v>
      </c>
      <c r="H850" s="2" t="s">
        <v>7</v>
      </c>
      <c r="I850" s="4" t="n">
        <v>2</v>
      </c>
      <c r="J850" s="2" t="n">
        <v>0</v>
      </c>
      <c r="K850" s="2" t="n">
        <v>0</v>
      </c>
      <c r="L850" s="4" t="n">
        <v>1</v>
      </c>
      <c r="M850" s="2" t="n">
        <v>0</v>
      </c>
      <c r="N850" s="2" t="n">
        <v>0</v>
      </c>
      <c r="O850" s="4" t="n">
        <v>3</v>
      </c>
      <c r="Q850" s="2" t="n">
        <v>1026</v>
      </c>
      <c r="R850" s="0" t="s">
        <v>421</v>
      </c>
      <c r="S850" s="0" t="s">
        <v>9226</v>
      </c>
    </row>
    <row r="851" customFormat="false" ht="13.8" hidden="false" customHeight="false" outlineLevel="0" collapsed="false">
      <c r="A851" s="0" t="s">
        <v>331</v>
      </c>
      <c r="B851" s="0" t="n">
        <v>74</v>
      </c>
      <c r="C851" s="0" t="s">
        <v>9217</v>
      </c>
      <c r="D851" s="0" t="s">
        <v>805</v>
      </c>
      <c r="E851" s="0" t="s">
        <v>360</v>
      </c>
      <c r="F851" s="4" t="n">
        <v>83</v>
      </c>
      <c r="G851" s="2" t="n">
        <v>0</v>
      </c>
      <c r="H851" s="2" t="n">
        <v>0</v>
      </c>
      <c r="I851" s="4" t="n">
        <v>2</v>
      </c>
      <c r="J851" s="2" t="n">
        <v>7</v>
      </c>
      <c r="K851" s="2" t="s">
        <v>13</v>
      </c>
      <c r="L851" s="4" t="n">
        <v>1</v>
      </c>
      <c r="M851" s="2" t="n">
        <v>0</v>
      </c>
      <c r="N851" s="2" t="n">
        <v>0</v>
      </c>
      <c r="O851" s="4" t="n">
        <v>3</v>
      </c>
      <c r="Q851" s="2" t="n">
        <v>1027</v>
      </c>
      <c r="R851" s="0" t="s">
        <v>360</v>
      </c>
      <c r="S851" s="0" t="s">
        <v>9227</v>
      </c>
    </row>
    <row r="852" customFormat="false" ht="13.8" hidden="false" customHeight="false" outlineLevel="0" collapsed="false">
      <c r="A852" s="0" t="s">
        <v>331</v>
      </c>
      <c r="B852" s="0" t="n">
        <v>74</v>
      </c>
      <c r="C852" s="0" t="s">
        <v>9217</v>
      </c>
      <c r="D852" s="0" t="s">
        <v>570</v>
      </c>
      <c r="E852" s="0" t="s">
        <v>456</v>
      </c>
      <c r="F852" s="4" t="n">
        <v>164</v>
      </c>
      <c r="G852" s="2" t="n">
        <v>0</v>
      </c>
      <c r="H852" s="2" t="n">
        <v>0</v>
      </c>
      <c r="I852" s="4" t="n">
        <v>2</v>
      </c>
      <c r="J852" s="2" t="n">
        <v>2</v>
      </c>
      <c r="K852" s="2" t="s">
        <v>20</v>
      </c>
      <c r="L852" s="4" t="n">
        <v>5</v>
      </c>
      <c r="M852" s="2" t="n">
        <v>0</v>
      </c>
      <c r="N852" s="2" t="n">
        <v>0</v>
      </c>
      <c r="O852" s="4" t="n">
        <v>3</v>
      </c>
      <c r="Q852" s="2" t="n">
        <v>1028</v>
      </c>
      <c r="R852" s="0" t="s">
        <v>456</v>
      </c>
      <c r="S852" s="0" t="s">
        <v>9228</v>
      </c>
    </row>
    <row r="853" customFormat="false" ht="13.8" hidden="false" customHeight="false" outlineLevel="0" collapsed="false">
      <c r="A853" s="0" t="s">
        <v>331</v>
      </c>
      <c r="B853" s="0" t="n">
        <v>74</v>
      </c>
      <c r="C853" s="0" t="s">
        <v>9217</v>
      </c>
      <c r="D853" s="0" t="s">
        <v>14</v>
      </c>
      <c r="E853" s="0" t="s">
        <v>398</v>
      </c>
      <c r="F853" s="4" t="n">
        <v>102</v>
      </c>
      <c r="G853" s="2" t="n">
        <v>0</v>
      </c>
      <c r="H853" s="2" t="n">
        <v>0</v>
      </c>
      <c r="I853" s="4" t="n">
        <v>2</v>
      </c>
      <c r="J853" s="2" t="n">
        <v>2</v>
      </c>
      <c r="K853" s="2" t="s">
        <v>20</v>
      </c>
      <c r="L853" s="4" t="n">
        <v>5</v>
      </c>
      <c r="M853" s="2" t="n">
        <v>0</v>
      </c>
      <c r="N853" s="2" t="n">
        <v>0</v>
      </c>
      <c r="O853" s="4" t="n">
        <v>3</v>
      </c>
      <c r="Q853" s="2" t="n">
        <v>1029</v>
      </c>
      <c r="R853" s="0" t="s">
        <v>398</v>
      </c>
      <c r="S853" s="0" t="s">
        <v>9229</v>
      </c>
    </row>
    <row r="854" customFormat="false" ht="13.8" hidden="false" customHeight="false" outlineLevel="0" collapsed="false">
      <c r="A854" s="0" t="s">
        <v>331</v>
      </c>
      <c r="B854" s="0" t="n">
        <v>74</v>
      </c>
      <c r="C854" s="0" t="s">
        <v>9217</v>
      </c>
      <c r="D854" s="0" t="s">
        <v>806</v>
      </c>
      <c r="E854" s="0" t="s">
        <v>474</v>
      </c>
      <c r="F854" s="4" t="n">
        <v>183</v>
      </c>
      <c r="G854" s="2" t="n">
        <v>3</v>
      </c>
      <c r="H854" s="2" t="s">
        <v>7</v>
      </c>
      <c r="I854" s="4" t="n">
        <v>2</v>
      </c>
      <c r="J854" s="2" t="n">
        <v>0</v>
      </c>
      <c r="K854" s="2" t="n">
        <v>0</v>
      </c>
      <c r="L854" s="4" t="n">
        <v>1</v>
      </c>
      <c r="M854" s="2" t="n">
        <v>0</v>
      </c>
      <c r="N854" s="2" t="n">
        <v>0</v>
      </c>
      <c r="O854" s="4" t="n">
        <v>3</v>
      </c>
      <c r="Q854" s="2" t="n">
        <v>1030</v>
      </c>
      <c r="R854" s="0" t="s">
        <v>474</v>
      </c>
      <c r="S854" s="0" t="s">
        <v>9230</v>
      </c>
    </row>
    <row r="855" customFormat="false" ht="13.8" hidden="false" customHeight="false" outlineLevel="0" collapsed="false">
      <c r="A855" s="0" t="s">
        <v>331</v>
      </c>
      <c r="B855" s="0" t="n">
        <v>74</v>
      </c>
      <c r="C855" s="0" t="s">
        <v>9217</v>
      </c>
      <c r="D855" s="0" t="s">
        <v>382</v>
      </c>
      <c r="E855" s="0" t="s">
        <v>382</v>
      </c>
      <c r="F855" s="4" t="n">
        <v>91</v>
      </c>
      <c r="G855" s="2" t="n">
        <v>0</v>
      </c>
      <c r="H855" s="2" t="n">
        <v>0</v>
      </c>
      <c r="I855" s="4" t="n">
        <v>2</v>
      </c>
      <c r="J855" s="2" t="n">
        <v>1.5</v>
      </c>
      <c r="K855" s="2" t="s">
        <v>20</v>
      </c>
      <c r="L855" s="4" t="n">
        <v>5</v>
      </c>
      <c r="M855" s="2" t="n">
        <v>0</v>
      </c>
      <c r="N855" s="2" t="n">
        <v>0</v>
      </c>
      <c r="O855" s="4" t="n">
        <v>3</v>
      </c>
      <c r="Q855" s="2" t="n">
        <v>1031</v>
      </c>
      <c r="R855" s="0" t="s">
        <v>382</v>
      </c>
      <c r="S855" s="0" t="s">
        <v>9231</v>
      </c>
    </row>
    <row r="856" customFormat="false" ht="13.8" hidden="false" customHeight="false" outlineLevel="0" collapsed="false">
      <c r="A856" s="0" t="s">
        <v>331</v>
      </c>
      <c r="B856" s="0" t="n">
        <v>74</v>
      </c>
      <c r="C856" s="0" t="s">
        <v>9217</v>
      </c>
      <c r="D856" s="0" t="s">
        <v>807</v>
      </c>
      <c r="E856" s="0" t="s">
        <v>429</v>
      </c>
      <c r="F856" s="4" t="n">
        <v>135</v>
      </c>
      <c r="G856" s="2" t="n">
        <v>0</v>
      </c>
      <c r="H856" s="2" t="n">
        <v>0</v>
      </c>
      <c r="I856" s="4" t="n">
        <v>2</v>
      </c>
      <c r="J856" s="2" t="n">
        <v>1</v>
      </c>
      <c r="K856" s="2" t="s">
        <v>20</v>
      </c>
      <c r="L856" s="4" t="n">
        <v>5</v>
      </c>
      <c r="M856" s="2" t="n">
        <v>0</v>
      </c>
      <c r="N856" s="2" t="n">
        <v>0</v>
      </c>
      <c r="O856" s="4" t="n">
        <v>3</v>
      </c>
      <c r="Q856" s="2" t="n">
        <v>1032</v>
      </c>
      <c r="R856" s="0" t="s">
        <v>429</v>
      </c>
      <c r="S856" s="0" t="s">
        <v>9232</v>
      </c>
    </row>
    <row r="857" customFormat="false" ht="13.8" hidden="false" customHeight="false" outlineLevel="0" collapsed="false">
      <c r="A857" s="0" t="s">
        <v>331</v>
      </c>
      <c r="B857" s="0" t="n">
        <v>74</v>
      </c>
      <c r="C857" s="0" t="s">
        <v>9217</v>
      </c>
      <c r="D857" s="0" t="s">
        <v>391</v>
      </c>
      <c r="E857" s="0" t="s">
        <v>391</v>
      </c>
      <c r="F857" s="4" t="n">
        <v>95</v>
      </c>
      <c r="G857" s="2" t="n">
        <v>0</v>
      </c>
      <c r="H857" s="2" t="n">
        <v>0</v>
      </c>
      <c r="I857" s="4" t="n">
        <v>2</v>
      </c>
      <c r="J857" s="2" t="n">
        <v>0.75</v>
      </c>
      <c r="K857" s="2" t="s">
        <v>20</v>
      </c>
      <c r="L857" s="4" t="n">
        <v>5</v>
      </c>
      <c r="M857" s="2" t="n">
        <v>0</v>
      </c>
      <c r="N857" s="2" t="n">
        <v>0</v>
      </c>
      <c r="O857" s="4" t="n">
        <v>3</v>
      </c>
      <c r="Q857" s="2" t="n">
        <v>1033</v>
      </c>
      <c r="R857" s="0" t="s">
        <v>391</v>
      </c>
      <c r="S857" s="0" t="s">
        <v>9233</v>
      </c>
    </row>
    <row r="858" customFormat="false" ht="13.8" hidden="false" customHeight="false" outlineLevel="0" collapsed="false">
      <c r="A858" s="0" t="s">
        <v>331</v>
      </c>
      <c r="B858" s="0" t="n">
        <v>74</v>
      </c>
      <c r="C858" s="0" t="s">
        <v>9217</v>
      </c>
      <c r="D858" s="0" t="s">
        <v>96</v>
      </c>
      <c r="E858" s="0" t="s">
        <v>96</v>
      </c>
      <c r="F858" s="4" t="n">
        <v>177</v>
      </c>
      <c r="G858" s="2" t="n">
        <v>0</v>
      </c>
      <c r="H858" s="2" t="n">
        <v>0</v>
      </c>
      <c r="I858" s="4" t="n">
        <v>2</v>
      </c>
      <c r="J858" s="2" t="n">
        <v>6.5</v>
      </c>
      <c r="K858" s="2" t="s">
        <v>20</v>
      </c>
      <c r="L858" s="4" t="n">
        <v>5</v>
      </c>
      <c r="M858" s="2" t="n">
        <v>0</v>
      </c>
      <c r="N858" s="2" t="n">
        <v>0</v>
      </c>
      <c r="O858" s="4" t="n">
        <v>3</v>
      </c>
      <c r="Q858" s="2" t="n">
        <v>1034</v>
      </c>
      <c r="R858" s="0" t="s">
        <v>96</v>
      </c>
      <c r="S858" s="0" t="s">
        <v>9234</v>
      </c>
    </row>
    <row r="859" customFormat="false" ht="13.8" hidden="false" customHeight="false" outlineLevel="0" collapsed="false">
      <c r="A859" s="0" t="s">
        <v>331</v>
      </c>
      <c r="B859" s="0" t="n">
        <v>74</v>
      </c>
      <c r="C859" s="0" t="s">
        <v>9217</v>
      </c>
      <c r="D859" s="0" t="s">
        <v>862</v>
      </c>
      <c r="E859" s="0" t="s">
        <v>437</v>
      </c>
      <c r="F859" s="4" t="n">
        <v>143</v>
      </c>
      <c r="G859" s="2" t="n">
        <v>0</v>
      </c>
      <c r="H859" s="2" t="n">
        <v>0</v>
      </c>
      <c r="I859" s="4" t="n">
        <v>2</v>
      </c>
      <c r="J859" s="2" t="n">
        <v>0</v>
      </c>
      <c r="K859" s="2" t="n">
        <v>0</v>
      </c>
      <c r="L859" s="4" t="n">
        <v>1</v>
      </c>
      <c r="M859" s="2" t="n">
        <v>2</v>
      </c>
      <c r="N859" s="2" t="s">
        <v>139</v>
      </c>
      <c r="O859" s="4" t="n">
        <v>11</v>
      </c>
      <c r="Q859" s="2" t="n">
        <v>1035</v>
      </c>
      <c r="R859" s="0" t="s">
        <v>437</v>
      </c>
      <c r="S859" s="0" t="s">
        <v>9235</v>
      </c>
    </row>
    <row r="860" customFormat="false" ht="13.8" hidden="false" customHeight="false" outlineLevel="0" collapsed="false">
      <c r="A860" s="0" t="s">
        <v>331</v>
      </c>
      <c r="B860" s="0" t="n">
        <v>74</v>
      </c>
      <c r="C860" s="0" t="s">
        <v>9217</v>
      </c>
      <c r="D860" s="0" t="s">
        <v>44</v>
      </c>
      <c r="E860" s="0" t="s">
        <v>44</v>
      </c>
      <c r="F860" s="4" t="n">
        <v>187</v>
      </c>
      <c r="G860" s="2" t="n">
        <v>0</v>
      </c>
      <c r="H860" s="2" t="n">
        <v>0</v>
      </c>
      <c r="I860" s="4" t="n">
        <v>2</v>
      </c>
      <c r="J860" s="2" t="n">
        <v>1</v>
      </c>
      <c r="K860" s="2" t="s">
        <v>13</v>
      </c>
      <c r="L860" s="4" t="n">
        <v>1</v>
      </c>
      <c r="M860" s="2" t="n">
        <v>0</v>
      </c>
      <c r="N860" s="2" t="n">
        <v>0</v>
      </c>
      <c r="O860" s="4" t="n">
        <v>3</v>
      </c>
      <c r="Q860" s="2" t="n">
        <v>1036</v>
      </c>
      <c r="R860" s="0" t="s">
        <v>44</v>
      </c>
      <c r="S860" s="0" t="s">
        <v>9236</v>
      </c>
    </row>
    <row r="861" customFormat="false" ht="13.8" hidden="false" customHeight="false" outlineLevel="0" collapsed="false">
      <c r="A861" s="0" t="s">
        <v>331</v>
      </c>
      <c r="B861" s="0" t="n">
        <v>74</v>
      </c>
      <c r="C861" s="0" t="s">
        <v>9217</v>
      </c>
      <c r="D861" s="0" t="s">
        <v>809</v>
      </c>
      <c r="E861" s="0" t="s">
        <v>412</v>
      </c>
      <c r="F861" s="4" t="n">
        <v>117</v>
      </c>
      <c r="G861" s="2" t="n">
        <v>0</v>
      </c>
      <c r="H861" s="2" t="n">
        <v>0</v>
      </c>
      <c r="I861" s="4" t="n">
        <v>2</v>
      </c>
      <c r="J861" s="2" t="n">
        <v>1</v>
      </c>
      <c r="K861" s="2" t="s">
        <v>20</v>
      </c>
      <c r="L861" s="4" t="n">
        <v>5</v>
      </c>
      <c r="M861" s="2" t="n">
        <v>0</v>
      </c>
      <c r="N861" s="2" t="n">
        <v>0</v>
      </c>
      <c r="O861" s="4" t="n">
        <v>3</v>
      </c>
      <c r="Q861" s="2" t="n">
        <v>1037</v>
      </c>
      <c r="R861" s="0" t="s">
        <v>412</v>
      </c>
      <c r="S861" s="0" t="s">
        <v>9237</v>
      </c>
    </row>
    <row r="862" customFormat="false" ht="13.8" hidden="false" customHeight="false" outlineLevel="0" collapsed="false">
      <c r="A862" s="0" t="s">
        <v>331</v>
      </c>
      <c r="B862" s="0" t="n">
        <v>74</v>
      </c>
      <c r="C862" s="0" t="s">
        <v>9217</v>
      </c>
      <c r="D862" s="0" t="s">
        <v>96</v>
      </c>
      <c r="E862" s="0" t="s">
        <v>96</v>
      </c>
      <c r="F862" s="4" t="n">
        <v>177</v>
      </c>
      <c r="G862" s="2" t="n">
        <v>0</v>
      </c>
      <c r="H862" s="2" t="n">
        <v>0</v>
      </c>
      <c r="I862" s="4" t="n">
        <v>2</v>
      </c>
      <c r="J862" s="2" t="n">
        <v>6</v>
      </c>
      <c r="K862" s="2" t="s">
        <v>20</v>
      </c>
      <c r="L862" s="4" t="n">
        <v>5</v>
      </c>
      <c r="M862" s="2" t="n">
        <v>0</v>
      </c>
      <c r="N862" s="2" t="n">
        <v>0</v>
      </c>
      <c r="O862" s="4" t="n">
        <v>3</v>
      </c>
      <c r="Q862" s="2" t="n">
        <v>1038</v>
      </c>
      <c r="R862" s="0" t="s">
        <v>96</v>
      </c>
      <c r="S862" s="0" t="s">
        <v>9238</v>
      </c>
    </row>
    <row r="863" customFormat="false" ht="13.8" hidden="false" customHeight="false" outlineLevel="0" collapsed="false">
      <c r="A863" s="0" t="s">
        <v>331</v>
      </c>
      <c r="B863" s="0" t="n">
        <v>74</v>
      </c>
      <c r="C863" s="0" t="s">
        <v>9217</v>
      </c>
      <c r="D863" s="0" t="s">
        <v>863</v>
      </c>
      <c r="E863" s="0" t="s">
        <v>297</v>
      </c>
      <c r="F863" s="4" t="n">
        <v>62</v>
      </c>
      <c r="G863" s="2" t="n">
        <v>3</v>
      </c>
      <c r="H863" s="2" t="s">
        <v>7</v>
      </c>
      <c r="I863" s="4" t="n">
        <v>2</v>
      </c>
      <c r="J863" s="2" t="n">
        <v>0</v>
      </c>
      <c r="K863" s="2" t="n">
        <v>0</v>
      </c>
      <c r="L863" s="4" t="n">
        <v>1</v>
      </c>
      <c r="M863" s="2" t="n">
        <v>0</v>
      </c>
      <c r="N863" s="2" t="n">
        <v>0</v>
      </c>
      <c r="O863" s="4" t="n">
        <v>3</v>
      </c>
      <c r="Q863" s="2" t="n">
        <v>1039</v>
      </c>
      <c r="R863" s="0" t="s">
        <v>297</v>
      </c>
      <c r="S863" s="0" t="s">
        <v>9239</v>
      </c>
    </row>
    <row r="864" customFormat="false" ht="13.8" hidden="false" customHeight="false" outlineLevel="0" collapsed="false">
      <c r="A864" s="0" t="s">
        <v>295</v>
      </c>
      <c r="B864" s="0" t="n">
        <v>62</v>
      </c>
      <c r="C864" s="0" t="s">
        <v>9240</v>
      </c>
      <c r="D864" s="0" t="s">
        <v>238</v>
      </c>
      <c r="E864" s="0" t="s">
        <v>423</v>
      </c>
      <c r="F864" s="4" t="n">
        <v>129</v>
      </c>
      <c r="G864" s="2" t="n">
        <v>0</v>
      </c>
      <c r="H864" s="2" t="n">
        <v>0</v>
      </c>
      <c r="I864" s="4" t="n">
        <v>2</v>
      </c>
      <c r="J864" s="2" t="n">
        <v>1</v>
      </c>
      <c r="K864" s="2" t="s">
        <v>13</v>
      </c>
      <c r="L864" s="4" t="n">
        <v>1</v>
      </c>
      <c r="M864" s="2" t="n">
        <v>0</v>
      </c>
      <c r="N864" s="2" t="n">
        <v>0</v>
      </c>
      <c r="O864" s="4" t="n">
        <v>3</v>
      </c>
      <c r="Q864" s="2" t="n">
        <v>1041</v>
      </c>
      <c r="R864" s="0" t="s">
        <v>423</v>
      </c>
      <c r="S864" s="0" t="s">
        <v>9241</v>
      </c>
    </row>
    <row r="865" customFormat="false" ht="13.8" hidden="false" customHeight="false" outlineLevel="0" collapsed="false">
      <c r="A865" s="0" t="s">
        <v>295</v>
      </c>
      <c r="B865" s="0" t="n">
        <v>62</v>
      </c>
      <c r="C865" s="0" t="s">
        <v>9240</v>
      </c>
      <c r="D865" s="0" t="s">
        <v>503</v>
      </c>
      <c r="E865" s="0" t="s">
        <v>503</v>
      </c>
      <c r="F865" s="4" t="n">
        <v>214</v>
      </c>
      <c r="G865" s="2" t="n">
        <v>0</v>
      </c>
      <c r="H865" s="2" t="n">
        <v>0</v>
      </c>
      <c r="I865" s="4" t="n">
        <v>2</v>
      </c>
      <c r="J865" s="2" t="n">
        <v>30</v>
      </c>
      <c r="K865" s="2" t="s">
        <v>13</v>
      </c>
      <c r="L865" s="4" t="n">
        <v>1</v>
      </c>
      <c r="M865" s="2" t="n">
        <v>0</v>
      </c>
      <c r="N865" s="2" t="n">
        <v>0</v>
      </c>
      <c r="O865" s="4" t="n">
        <v>3</v>
      </c>
      <c r="Q865" s="2" t="n">
        <v>1042</v>
      </c>
      <c r="R865" s="0" t="s">
        <v>503</v>
      </c>
      <c r="S865" s="0" t="s">
        <v>9242</v>
      </c>
    </row>
    <row r="866" customFormat="false" ht="13.8" hidden="false" customHeight="false" outlineLevel="0" collapsed="false">
      <c r="A866" s="0" t="s">
        <v>295</v>
      </c>
      <c r="B866" s="0" t="n">
        <v>62</v>
      </c>
      <c r="C866" s="0" t="s">
        <v>9240</v>
      </c>
      <c r="D866" s="0" t="s">
        <v>864</v>
      </c>
      <c r="E866" s="0" t="s">
        <v>455</v>
      </c>
      <c r="F866" s="4" t="n">
        <v>163</v>
      </c>
      <c r="G866" s="2" t="n">
        <v>0</v>
      </c>
      <c r="H866" s="2" t="n">
        <v>0</v>
      </c>
      <c r="I866" s="4" t="n">
        <v>2</v>
      </c>
      <c r="J866" s="2" t="n">
        <v>7</v>
      </c>
      <c r="K866" s="2" t="s">
        <v>13</v>
      </c>
      <c r="L866" s="4" t="n">
        <v>1</v>
      </c>
      <c r="M866" s="2" t="n">
        <v>0</v>
      </c>
      <c r="N866" s="2" t="n">
        <v>0</v>
      </c>
      <c r="O866" s="4" t="n">
        <v>3</v>
      </c>
      <c r="Q866" s="2" t="n">
        <v>1043</v>
      </c>
      <c r="R866" s="0" t="s">
        <v>455</v>
      </c>
      <c r="S866" s="0" t="s">
        <v>9243</v>
      </c>
    </row>
    <row r="867" customFormat="false" ht="13.8" hidden="false" customHeight="false" outlineLevel="0" collapsed="false">
      <c r="A867" s="0" t="s">
        <v>295</v>
      </c>
      <c r="B867" s="0" t="n">
        <v>62</v>
      </c>
      <c r="C867" s="0" t="s">
        <v>9240</v>
      </c>
      <c r="D867" s="0" t="s">
        <v>865</v>
      </c>
      <c r="E867" s="0" t="s">
        <v>96</v>
      </c>
      <c r="F867" s="4" t="n">
        <v>177</v>
      </c>
      <c r="G867" s="2" t="n">
        <v>0</v>
      </c>
      <c r="H867" s="2" t="n">
        <v>0</v>
      </c>
      <c r="I867" s="4" t="n">
        <v>2</v>
      </c>
      <c r="J867" s="2" t="n">
        <v>0.5</v>
      </c>
      <c r="K867" s="2" t="s">
        <v>20</v>
      </c>
      <c r="L867" s="4" t="n">
        <v>5</v>
      </c>
      <c r="M867" s="2" t="n">
        <v>0</v>
      </c>
      <c r="N867" s="2" t="n">
        <v>0</v>
      </c>
      <c r="O867" s="4" t="n">
        <v>3</v>
      </c>
      <c r="Q867" s="2" t="n">
        <v>1044</v>
      </c>
      <c r="R867" s="0" t="s">
        <v>96</v>
      </c>
      <c r="S867" s="0" t="s">
        <v>9244</v>
      </c>
    </row>
    <row r="868" customFormat="false" ht="13.8" hidden="false" customHeight="false" outlineLevel="0" collapsed="false">
      <c r="A868" s="0" t="s">
        <v>295</v>
      </c>
      <c r="B868" s="0" t="n">
        <v>62</v>
      </c>
      <c r="C868" s="0" t="s">
        <v>9240</v>
      </c>
      <c r="D868" s="0" t="s">
        <v>207</v>
      </c>
      <c r="E868" s="0" t="s">
        <v>207</v>
      </c>
      <c r="F868" s="4" t="n">
        <v>32</v>
      </c>
      <c r="G868" s="2" t="n">
        <v>0</v>
      </c>
      <c r="H868" s="2" t="n">
        <v>0</v>
      </c>
      <c r="I868" s="4" t="n">
        <v>2</v>
      </c>
      <c r="J868" s="2" t="n">
        <v>0.5</v>
      </c>
      <c r="K868" s="2" t="s">
        <v>20</v>
      </c>
      <c r="L868" s="4" t="n">
        <v>5</v>
      </c>
      <c r="M868" s="2" t="n">
        <v>0</v>
      </c>
      <c r="N868" s="2" t="n">
        <v>0</v>
      </c>
      <c r="O868" s="4" t="n">
        <v>3</v>
      </c>
      <c r="Q868" s="2" t="n">
        <v>1045</v>
      </c>
      <c r="R868" s="0" t="s">
        <v>207</v>
      </c>
      <c r="S868" s="0" t="s">
        <v>9245</v>
      </c>
    </row>
    <row r="869" customFormat="false" ht="13.8" hidden="false" customHeight="false" outlineLevel="0" collapsed="false">
      <c r="A869" s="0" t="s">
        <v>295</v>
      </c>
      <c r="B869" s="0" t="n">
        <v>62</v>
      </c>
      <c r="C869" s="0" t="s">
        <v>9240</v>
      </c>
      <c r="D869" s="0" t="s">
        <v>44</v>
      </c>
      <c r="E869" s="0" t="s">
        <v>44</v>
      </c>
      <c r="F869" s="4" t="n">
        <v>187</v>
      </c>
      <c r="G869" s="2" t="n">
        <v>3.5</v>
      </c>
      <c r="H869" s="2" t="s">
        <v>7</v>
      </c>
      <c r="I869" s="4" t="n">
        <v>2</v>
      </c>
      <c r="J869" s="2" t="n">
        <v>0</v>
      </c>
      <c r="K869" s="2" t="n">
        <v>0</v>
      </c>
      <c r="L869" s="4" t="n">
        <v>1</v>
      </c>
      <c r="M869" s="2" t="n">
        <v>0</v>
      </c>
      <c r="N869" s="2" t="n">
        <v>0</v>
      </c>
      <c r="O869" s="4" t="n">
        <v>3</v>
      </c>
      <c r="Q869" s="2" t="n">
        <v>1046</v>
      </c>
      <c r="R869" s="0" t="s">
        <v>44</v>
      </c>
      <c r="S869" s="0" t="s">
        <v>9246</v>
      </c>
    </row>
    <row r="870" customFormat="false" ht="13.8" hidden="false" customHeight="false" outlineLevel="0" collapsed="false">
      <c r="A870" s="0" t="s">
        <v>369</v>
      </c>
      <c r="B870" s="0" t="n">
        <v>87</v>
      </c>
      <c r="C870" s="0" t="s">
        <v>9247</v>
      </c>
      <c r="D870" s="0" t="s">
        <v>162</v>
      </c>
      <c r="E870" s="0" t="s">
        <v>162</v>
      </c>
      <c r="F870" s="4" t="n">
        <v>17</v>
      </c>
      <c r="G870" s="2" t="n">
        <v>1</v>
      </c>
      <c r="H870" s="2" t="s">
        <v>7</v>
      </c>
      <c r="I870" s="4" t="n">
        <v>2</v>
      </c>
      <c r="J870" s="2" t="n">
        <v>0</v>
      </c>
      <c r="K870" s="2" t="n">
        <v>0</v>
      </c>
      <c r="L870" s="4" t="n">
        <v>1</v>
      </c>
      <c r="M870" s="2" t="n">
        <v>0</v>
      </c>
      <c r="N870" s="2" t="n">
        <v>0</v>
      </c>
      <c r="O870" s="4" t="n">
        <v>3</v>
      </c>
      <c r="Q870" s="2" t="n">
        <v>1048</v>
      </c>
      <c r="R870" s="0" t="s">
        <v>162</v>
      </c>
      <c r="S870" s="0" t="s">
        <v>9248</v>
      </c>
    </row>
    <row r="871" customFormat="false" ht="13.8" hidden="false" customHeight="false" outlineLevel="0" collapsed="false">
      <c r="A871" s="0" t="s">
        <v>369</v>
      </c>
      <c r="B871" s="0" t="n">
        <v>87</v>
      </c>
      <c r="C871" s="0" t="s">
        <v>9247</v>
      </c>
      <c r="D871" s="0" t="s">
        <v>503</v>
      </c>
      <c r="E871" s="0" t="s">
        <v>503</v>
      </c>
      <c r="F871" s="4" t="n">
        <v>214</v>
      </c>
      <c r="G871" s="2" t="n">
        <v>0</v>
      </c>
      <c r="H871" s="2" t="n">
        <v>0</v>
      </c>
      <c r="I871" s="4" t="n">
        <v>2</v>
      </c>
      <c r="J871" s="2" t="n">
        <v>35</v>
      </c>
      <c r="K871" s="2" t="s">
        <v>13</v>
      </c>
      <c r="L871" s="4" t="n">
        <v>1</v>
      </c>
      <c r="M871" s="2" t="n">
        <v>0</v>
      </c>
      <c r="N871" s="2" t="n">
        <v>0</v>
      </c>
      <c r="O871" s="4" t="n">
        <v>3</v>
      </c>
      <c r="Q871" s="2" t="n">
        <v>1049</v>
      </c>
      <c r="R871" s="0" t="s">
        <v>503</v>
      </c>
      <c r="S871" s="0" t="s">
        <v>9249</v>
      </c>
    </row>
    <row r="872" customFormat="false" ht="13.8" hidden="false" customHeight="false" outlineLevel="0" collapsed="false">
      <c r="A872" s="0" t="s">
        <v>369</v>
      </c>
      <c r="B872" s="0" t="n">
        <v>87</v>
      </c>
      <c r="C872" s="0" t="s">
        <v>9247</v>
      </c>
      <c r="D872" s="0" t="s">
        <v>44</v>
      </c>
      <c r="E872" s="0" t="s">
        <v>44</v>
      </c>
      <c r="F872" s="4" t="n">
        <v>187</v>
      </c>
      <c r="G872" s="2" t="n">
        <v>3</v>
      </c>
      <c r="H872" s="2" t="s">
        <v>7</v>
      </c>
      <c r="I872" s="4" t="n">
        <v>2</v>
      </c>
      <c r="J872" s="2" t="n">
        <v>0</v>
      </c>
      <c r="K872" s="2" t="n">
        <v>0</v>
      </c>
      <c r="L872" s="4" t="n">
        <v>1</v>
      </c>
      <c r="M872" s="2" t="n">
        <v>0</v>
      </c>
      <c r="N872" s="2" t="n">
        <v>0</v>
      </c>
      <c r="O872" s="4" t="n">
        <v>3</v>
      </c>
      <c r="Q872" s="2" t="n">
        <v>1050</v>
      </c>
      <c r="R872" s="0" t="s">
        <v>44</v>
      </c>
      <c r="S872" s="0" t="s">
        <v>9250</v>
      </c>
    </row>
    <row r="873" customFormat="false" ht="13.8" hidden="false" customHeight="false" outlineLevel="0" collapsed="false">
      <c r="A873" s="0" t="s">
        <v>340</v>
      </c>
      <c r="B873" s="0" t="n">
        <v>77</v>
      </c>
      <c r="C873" s="0" t="s">
        <v>9251</v>
      </c>
      <c r="D873" s="0" t="s">
        <v>478</v>
      </c>
      <c r="E873" s="0" t="s">
        <v>478</v>
      </c>
      <c r="F873" s="4" t="n">
        <v>188</v>
      </c>
      <c r="G873" s="2" t="n">
        <v>3.5</v>
      </c>
      <c r="H873" s="2" t="s">
        <v>7</v>
      </c>
      <c r="I873" s="4" t="n">
        <v>2</v>
      </c>
      <c r="J873" s="2" t="n">
        <v>0</v>
      </c>
      <c r="K873" s="2" t="n">
        <v>0</v>
      </c>
      <c r="L873" s="4" t="n">
        <v>1</v>
      </c>
      <c r="M873" s="2" t="n">
        <v>0</v>
      </c>
      <c r="N873" s="2" t="n">
        <v>0</v>
      </c>
      <c r="O873" s="4" t="n">
        <v>3</v>
      </c>
      <c r="Q873" s="2" t="n">
        <v>1052</v>
      </c>
      <c r="R873" s="0" t="s">
        <v>478</v>
      </c>
      <c r="S873" s="0" t="s">
        <v>9252</v>
      </c>
    </row>
    <row r="874" customFormat="false" ht="13.8" hidden="false" customHeight="false" outlineLevel="0" collapsed="false">
      <c r="A874" s="0" t="s">
        <v>340</v>
      </c>
      <c r="B874" s="0" t="n">
        <v>77</v>
      </c>
      <c r="C874" s="0" t="s">
        <v>9251</v>
      </c>
      <c r="D874" s="0" t="s">
        <v>393</v>
      </c>
      <c r="E874" s="0" t="s">
        <v>393</v>
      </c>
      <c r="F874" s="4" t="n">
        <v>97</v>
      </c>
      <c r="G874" s="2" t="n">
        <v>0</v>
      </c>
      <c r="H874" s="2" t="n">
        <v>0</v>
      </c>
      <c r="I874" s="4" t="n">
        <v>2</v>
      </c>
      <c r="J874" s="2" t="n">
        <v>30</v>
      </c>
      <c r="K874" s="2" t="s">
        <v>13</v>
      </c>
      <c r="L874" s="4" t="n">
        <v>1</v>
      </c>
      <c r="M874" s="2" t="n">
        <v>0</v>
      </c>
      <c r="N874" s="2" t="n">
        <v>0</v>
      </c>
      <c r="O874" s="4" t="n">
        <v>3</v>
      </c>
      <c r="Q874" s="2" t="n">
        <v>1053</v>
      </c>
      <c r="R874" s="0" t="s">
        <v>393</v>
      </c>
      <c r="S874" s="0" t="s">
        <v>9253</v>
      </c>
    </row>
    <row r="875" customFormat="false" ht="13.8" hidden="false" customHeight="false" outlineLevel="0" collapsed="false">
      <c r="A875" s="0" t="s">
        <v>340</v>
      </c>
      <c r="B875" s="0" t="n">
        <v>77</v>
      </c>
      <c r="C875" s="0" t="s">
        <v>9251</v>
      </c>
      <c r="D875" s="0" t="s">
        <v>207</v>
      </c>
      <c r="E875" s="0" t="s">
        <v>207</v>
      </c>
      <c r="F875" s="4" t="n">
        <v>32</v>
      </c>
      <c r="G875" s="2" t="n">
        <v>0</v>
      </c>
      <c r="H875" s="2" t="n">
        <v>0</v>
      </c>
      <c r="I875" s="4" t="n">
        <v>2</v>
      </c>
      <c r="J875" s="2" t="n">
        <v>0</v>
      </c>
      <c r="K875" s="2" t="n">
        <v>0</v>
      </c>
      <c r="L875" s="4" t="n">
        <v>1</v>
      </c>
      <c r="M875" s="2" t="n">
        <v>0</v>
      </c>
      <c r="N875" s="2" t="n">
        <v>0</v>
      </c>
      <c r="O875" s="4" t="n">
        <v>3</v>
      </c>
      <c r="Q875" s="2" t="n">
        <v>1054</v>
      </c>
      <c r="R875" s="0" t="s">
        <v>207</v>
      </c>
      <c r="S875" s="0" t="s">
        <v>9254</v>
      </c>
    </row>
    <row r="876" customFormat="false" ht="13.8" hidden="false" customHeight="false" outlineLevel="0" collapsed="false">
      <c r="A876" s="0" t="s">
        <v>340</v>
      </c>
      <c r="B876" s="0" t="n">
        <v>77</v>
      </c>
      <c r="C876" s="0" t="s">
        <v>9251</v>
      </c>
      <c r="D876" s="0" t="s">
        <v>282</v>
      </c>
      <c r="E876" s="0" t="s">
        <v>282</v>
      </c>
      <c r="F876" s="4" t="n">
        <v>57</v>
      </c>
      <c r="G876" s="2" t="n">
        <v>0</v>
      </c>
      <c r="H876" s="2" t="n">
        <v>0</v>
      </c>
      <c r="I876" s="4" t="n">
        <v>2</v>
      </c>
      <c r="J876" s="2" t="n">
        <v>0</v>
      </c>
      <c r="K876" s="2" t="n">
        <v>0</v>
      </c>
      <c r="L876" s="4" t="n">
        <v>1</v>
      </c>
      <c r="M876" s="2" t="n">
        <v>0</v>
      </c>
      <c r="N876" s="2" t="n">
        <v>0</v>
      </c>
      <c r="O876" s="4" t="n">
        <v>3</v>
      </c>
      <c r="Q876" s="2" t="n">
        <v>1055</v>
      </c>
      <c r="R876" s="0" t="s">
        <v>282</v>
      </c>
      <c r="S876" s="0" t="s">
        <v>9255</v>
      </c>
    </row>
    <row r="877" customFormat="false" ht="13.8" hidden="false" customHeight="false" outlineLevel="0" collapsed="false">
      <c r="A877" s="0" t="s">
        <v>199</v>
      </c>
      <c r="B877" s="0" t="n">
        <v>30</v>
      </c>
      <c r="C877" s="0" t="s">
        <v>9256</v>
      </c>
      <c r="D877" s="0" t="s">
        <v>439</v>
      </c>
      <c r="E877" s="0" t="s">
        <v>439</v>
      </c>
      <c r="F877" s="4" t="n">
        <v>145</v>
      </c>
      <c r="G877" s="2" t="n">
        <v>0</v>
      </c>
      <c r="H877" s="2" t="n">
        <v>0</v>
      </c>
      <c r="I877" s="4" t="n">
        <v>2</v>
      </c>
      <c r="J877" s="2" t="n">
        <v>50</v>
      </c>
      <c r="K877" s="2" t="s">
        <v>13</v>
      </c>
      <c r="L877" s="4" t="n">
        <v>1</v>
      </c>
      <c r="M877" s="2" t="n">
        <v>0</v>
      </c>
      <c r="N877" s="2" t="n">
        <v>0</v>
      </c>
      <c r="O877" s="4" t="n">
        <v>3</v>
      </c>
      <c r="Q877" s="2" t="n">
        <v>1057</v>
      </c>
      <c r="R877" s="0" t="s">
        <v>439</v>
      </c>
      <c r="S877" s="0" t="s">
        <v>9257</v>
      </c>
    </row>
    <row r="878" customFormat="false" ht="13.8" hidden="false" customHeight="false" outlineLevel="0" collapsed="false">
      <c r="A878" s="0" t="s">
        <v>199</v>
      </c>
      <c r="B878" s="0" t="n">
        <v>30</v>
      </c>
      <c r="C878" s="0" t="s">
        <v>9256</v>
      </c>
      <c r="D878" s="0" t="s">
        <v>503</v>
      </c>
      <c r="E878" s="0" t="s">
        <v>503</v>
      </c>
      <c r="F878" s="4" t="n">
        <v>214</v>
      </c>
      <c r="G878" s="2" t="n">
        <v>0</v>
      </c>
      <c r="H878" s="2" t="n">
        <v>0</v>
      </c>
      <c r="I878" s="4" t="n">
        <v>2</v>
      </c>
      <c r="J878" s="2" t="n">
        <v>10</v>
      </c>
      <c r="K878" s="2" t="s">
        <v>13</v>
      </c>
      <c r="L878" s="4" t="n">
        <v>1</v>
      </c>
      <c r="M878" s="2" t="n">
        <v>0</v>
      </c>
      <c r="N878" s="2" t="n">
        <v>0</v>
      </c>
      <c r="O878" s="4" t="n">
        <v>3</v>
      </c>
      <c r="Q878" s="2" t="n">
        <v>1058</v>
      </c>
      <c r="R878" s="0" t="s">
        <v>503</v>
      </c>
      <c r="S878" s="0" t="s">
        <v>9258</v>
      </c>
    </row>
    <row r="879" customFormat="false" ht="13.8" hidden="false" customHeight="false" outlineLevel="0" collapsed="false">
      <c r="A879" s="0" t="s">
        <v>199</v>
      </c>
      <c r="B879" s="0" t="n">
        <v>30</v>
      </c>
      <c r="C879" s="0" t="s">
        <v>9256</v>
      </c>
      <c r="D879" s="0" t="s">
        <v>388</v>
      </c>
      <c r="E879" s="0" t="s">
        <v>388</v>
      </c>
      <c r="F879" s="4" t="n">
        <v>94</v>
      </c>
      <c r="G879" s="2" t="n">
        <v>400</v>
      </c>
      <c r="H879" s="2" t="s">
        <v>109</v>
      </c>
      <c r="I879" s="4" t="n">
        <v>7</v>
      </c>
      <c r="J879" s="2" t="n">
        <v>0</v>
      </c>
      <c r="K879" s="2" t="n">
        <v>0</v>
      </c>
      <c r="L879" s="4" t="n">
        <v>1</v>
      </c>
      <c r="M879" s="2" t="n">
        <v>0</v>
      </c>
      <c r="N879" s="2" t="n">
        <v>0</v>
      </c>
      <c r="O879" s="4" t="n">
        <v>3</v>
      </c>
      <c r="Q879" s="2" t="n">
        <v>1059</v>
      </c>
      <c r="R879" s="0" t="s">
        <v>388</v>
      </c>
      <c r="S879" s="0" t="s">
        <v>9259</v>
      </c>
    </row>
    <row r="880" customFormat="false" ht="13.8" hidden="false" customHeight="false" outlineLevel="0" collapsed="false">
      <c r="A880" s="0" t="s">
        <v>199</v>
      </c>
      <c r="B880" s="0" t="n">
        <v>30</v>
      </c>
      <c r="C880" s="0" t="s">
        <v>9256</v>
      </c>
      <c r="D880" s="0" t="s">
        <v>44</v>
      </c>
      <c r="E880" s="0" t="s">
        <v>44</v>
      </c>
      <c r="F880" s="4" t="n">
        <v>187</v>
      </c>
      <c r="G880" s="2" t="n">
        <v>5.5</v>
      </c>
      <c r="H880" s="2" t="s">
        <v>7</v>
      </c>
      <c r="I880" s="4" t="n">
        <v>2</v>
      </c>
      <c r="J880" s="2" t="n">
        <v>0</v>
      </c>
      <c r="K880" s="2" t="n">
        <v>0</v>
      </c>
      <c r="L880" s="4" t="n">
        <v>1</v>
      </c>
      <c r="M880" s="2" t="n">
        <v>0</v>
      </c>
      <c r="N880" s="2" t="n">
        <v>0</v>
      </c>
      <c r="O880" s="4" t="n">
        <v>3</v>
      </c>
      <c r="Q880" s="2" t="n">
        <v>1060</v>
      </c>
      <c r="R880" s="0" t="s">
        <v>44</v>
      </c>
      <c r="S880" s="0" t="s">
        <v>9260</v>
      </c>
    </row>
    <row r="881" customFormat="false" ht="13.8" hidden="false" customHeight="false" outlineLevel="0" collapsed="false">
      <c r="A881" s="0" t="s">
        <v>199</v>
      </c>
      <c r="B881" s="0" t="n">
        <v>30</v>
      </c>
      <c r="C881" s="0" t="s">
        <v>9256</v>
      </c>
      <c r="D881" s="0" t="s">
        <v>324</v>
      </c>
      <c r="E881" s="0" t="s">
        <v>324</v>
      </c>
      <c r="F881" s="4" t="n">
        <v>71</v>
      </c>
      <c r="G881" s="2" t="n">
        <v>0</v>
      </c>
      <c r="H881" s="2" t="n">
        <v>0</v>
      </c>
      <c r="I881" s="4" t="n">
        <v>2</v>
      </c>
      <c r="J881" s="2" t="n">
        <v>0.25</v>
      </c>
      <c r="K881" s="2" t="s">
        <v>20</v>
      </c>
      <c r="L881" s="4" t="n">
        <v>5</v>
      </c>
      <c r="M881" s="2" t="n">
        <v>0</v>
      </c>
      <c r="N881" s="2" t="n">
        <v>0</v>
      </c>
      <c r="O881" s="4" t="n">
        <v>3</v>
      </c>
      <c r="Q881" s="2" t="n">
        <v>1061</v>
      </c>
      <c r="R881" s="0" t="s">
        <v>324</v>
      </c>
      <c r="S881" s="0" t="s">
        <v>9261</v>
      </c>
    </row>
    <row r="882" customFormat="false" ht="13.8" hidden="false" customHeight="false" outlineLevel="0" collapsed="false">
      <c r="A882" s="0" t="s">
        <v>124</v>
      </c>
      <c r="B882" s="0" t="n">
        <v>7</v>
      </c>
      <c r="C882" s="0" t="s">
        <v>9262</v>
      </c>
      <c r="D882" s="0" t="s">
        <v>503</v>
      </c>
      <c r="E882" s="0" t="s">
        <v>503</v>
      </c>
      <c r="F882" s="4" t="n">
        <v>214</v>
      </c>
      <c r="G882" s="2" t="n">
        <v>0</v>
      </c>
      <c r="H882" s="2" t="n">
        <v>0</v>
      </c>
      <c r="I882" s="4" t="n">
        <v>2</v>
      </c>
      <c r="J882" s="2" t="n">
        <v>30</v>
      </c>
      <c r="K882" s="2" t="s">
        <v>13</v>
      </c>
      <c r="L882" s="4" t="n">
        <v>1</v>
      </c>
      <c r="M882" s="2" t="n">
        <v>0</v>
      </c>
      <c r="N882" s="2" t="n">
        <v>0</v>
      </c>
      <c r="O882" s="4" t="n">
        <v>3</v>
      </c>
      <c r="Q882" s="2" t="n">
        <v>1063</v>
      </c>
      <c r="R882" s="0" t="s">
        <v>503</v>
      </c>
      <c r="S882" s="0" t="s">
        <v>9263</v>
      </c>
    </row>
    <row r="883" customFormat="false" ht="13.8" hidden="false" customHeight="false" outlineLevel="0" collapsed="false">
      <c r="A883" s="0" t="s">
        <v>124</v>
      </c>
      <c r="B883" s="0" t="n">
        <v>7</v>
      </c>
      <c r="C883" s="0" t="s">
        <v>9262</v>
      </c>
      <c r="D883" s="0" t="s">
        <v>866</v>
      </c>
      <c r="E883" s="0" t="s">
        <v>180</v>
      </c>
      <c r="F883" s="4" t="n">
        <v>23</v>
      </c>
      <c r="G883" s="2" t="n">
        <v>1</v>
      </c>
      <c r="H883" s="2" t="s">
        <v>7</v>
      </c>
      <c r="I883" s="4" t="n">
        <v>2</v>
      </c>
      <c r="J883" s="2" t="n">
        <v>0</v>
      </c>
      <c r="K883" s="2" t="n">
        <v>0</v>
      </c>
      <c r="L883" s="4" t="n">
        <v>1</v>
      </c>
      <c r="M883" s="2" t="n">
        <v>0</v>
      </c>
      <c r="N883" s="2" t="n">
        <v>0</v>
      </c>
      <c r="O883" s="4" t="n">
        <v>3</v>
      </c>
      <c r="Q883" s="2" t="n">
        <v>1064</v>
      </c>
      <c r="R883" s="0" t="s">
        <v>180</v>
      </c>
      <c r="S883" s="0" t="s">
        <v>9264</v>
      </c>
    </row>
    <row r="884" customFormat="false" ht="13.8" hidden="false" customHeight="false" outlineLevel="0" collapsed="false">
      <c r="A884" s="0" t="s">
        <v>124</v>
      </c>
      <c r="B884" s="0" t="n">
        <v>7</v>
      </c>
      <c r="C884" s="0" t="s">
        <v>9262</v>
      </c>
      <c r="D884" s="0" t="s">
        <v>821</v>
      </c>
      <c r="E884" s="0" t="s">
        <v>380</v>
      </c>
      <c r="F884" s="4" t="n">
        <v>90</v>
      </c>
      <c r="G884" s="2" t="n">
        <v>4.5</v>
      </c>
      <c r="H884" s="2" t="s">
        <v>7</v>
      </c>
      <c r="I884" s="4" t="n">
        <v>2</v>
      </c>
      <c r="J884" s="2" t="n">
        <v>0</v>
      </c>
      <c r="K884" s="2" t="n">
        <v>0</v>
      </c>
      <c r="L884" s="4" t="n">
        <v>1</v>
      </c>
      <c r="M884" s="2" t="n">
        <v>0</v>
      </c>
      <c r="N884" s="2" t="n">
        <v>0</v>
      </c>
      <c r="O884" s="4" t="n">
        <v>3</v>
      </c>
      <c r="Q884" s="2" t="n">
        <v>1065</v>
      </c>
      <c r="R884" s="0" t="s">
        <v>380</v>
      </c>
      <c r="S884" s="0" t="s">
        <v>9265</v>
      </c>
    </row>
    <row r="885" customFormat="false" ht="13.8" hidden="false" customHeight="false" outlineLevel="0" collapsed="false">
      <c r="A885" s="0" t="s">
        <v>124</v>
      </c>
      <c r="B885" s="0" t="n">
        <v>7</v>
      </c>
      <c r="C885" s="0" t="s">
        <v>9262</v>
      </c>
      <c r="D885" s="0" t="s">
        <v>303</v>
      </c>
      <c r="E885" s="0" t="s">
        <v>303</v>
      </c>
      <c r="F885" s="4" t="n">
        <v>64</v>
      </c>
      <c r="G885" s="2" t="n">
        <v>1</v>
      </c>
      <c r="H885" s="2" t="s">
        <v>7</v>
      </c>
      <c r="I885" s="4" t="n">
        <v>2</v>
      </c>
      <c r="J885" s="2" t="n">
        <v>0</v>
      </c>
      <c r="K885" s="2" t="n">
        <v>0</v>
      </c>
      <c r="L885" s="4" t="n">
        <v>1</v>
      </c>
      <c r="M885" s="2" t="n">
        <v>0</v>
      </c>
      <c r="N885" s="2" t="n">
        <v>0</v>
      </c>
      <c r="O885" s="4" t="n">
        <v>3</v>
      </c>
      <c r="Q885" s="2" t="n">
        <v>1066</v>
      </c>
      <c r="R885" s="0" t="s">
        <v>303</v>
      </c>
      <c r="S885" s="0" t="s">
        <v>9266</v>
      </c>
    </row>
    <row r="886" customFormat="false" ht="13.8" hidden="false" customHeight="false" outlineLevel="0" collapsed="false">
      <c r="A886" s="0" t="s">
        <v>124</v>
      </c>
      <c r="B886" s="0" t="n">
        <v>7</v>
      </c>
      <c r="C886" s="0" t="s">
        <v>9262</v>
      </c>
      <c r="D886" s="0" t="s">
        <v>324</v>
      </c>
      <c r="E886" s="0" t="s">
        <v>324</v>
      </c>
      <c r="F886" s="4" t="n">
        <v>71</v>
      </c>
      <c r="G886" s="2" t="n">
        <v>0</v>
      </c>
      <c r="H886" s="2" t="n">
        <v>0</v>
      </c>
      <c r="I886" s="4" t="n">
        <v>2</v>
      </c>
      <c r="J886" s="2" t="n">
        <v>0.25</v>
      </c>
      <c r="K886" s="2" t="s">
        <v>20</v>
      </c>
      <c r="L886" s="4" t="n">
        <v>5</v>
      </c>
      <c r="M886" s="2" t="n">
        <v>0</v>
      </c>
      <c r="N886" s="2" t="n">
        <v>0</v>
      </c>
      <c r="O886" s="4" t="n">
        <v>3</v>
      </c>
      <c r="Q886" s="2" t="n">
        <v>1067</v>
      </c>
      <c r="R886" s="0" t="s">
        <v>324</v>
      </c>
      <c r="S886" s="0" t="s">
        <v>9267</v>
      </c>
    </row>
    <row r="887" customFormat="false" ht="13.8" hidden="false" customHeight="false" outlineLevel="0" collapsed="false">
      <c r="A887" s="0" t="s">
        <v>235</v>
      </c>
      <c r="B887" s="0" t="n">
        <v>42</v>
      </c>
      <c r="C887" s="0" t="s">
        <v>9268</v>
      </c>
      <c r="D887" s="0" t="s">
        <v>424</v>
      </c>
      <c r="E887" s="0" t="s">
        <v>424</v>
      </c>
      <c r="F887" s="4" t="n">
        <v>130</v>
      </c>
      <c r="G887" s="2" t="n">
        <v>3</v>
      </c>
      <c r="H887" s="2" t="s">
        <v>7</v>
      </c>
      <c r="I887" s="4" t="n">
        <v>2</v>
      </c>
      <c r="J887" s="2" t="n">
        <v>0</v>
      </c>
      <c r="K887" s="2" t="n">
        <v>0</v>
      </c>
      <c r="L887" s="4" t="n">
        <v>1</v>
      </c>
      <c r="M887" s="2" t="n">
        <v>0</v>
      </c>
      <c r="N887" s="2" t="n">
        <v>0</v>
      </c>
      <c r="O887" s="4" t="n">
        <v>3</v>
      </c>
      <c r="Q887" s="2" t="n">
        <v>1069</v>
      </c>
      <c r="R887" s="0" t="s">
        <v>424</v>
      </c>
      <c r="S887" s="0" t="s">
        <v>9269</v>
      </c>
    </row>
    <row r="888" customFormat="false" ht="13.8" hidden="false" customHeight="false" outlineLevel="0" collapsed="false">
      <c r="A888" s="0" t="s">
        <v>235</v>
      </c>
      <c r="B888" s="0" t="n">
        <v>42</v>
      </c>
      <c r="C888" s="0" t="s">
        <v>9268</v>
      </c>
      <c r="D888" s="0" t="s">
        <v>833</v>
      </c>
      <c r="E888" s="0" t="s">
        <v>423</v>
      </c>
      <c r="F888" s="4" t="n">
        <v>129</v>
      </c>
      <c r="G888" s="2" t="n">
        <v>0</v>
      </c>
      <c r="H888" s="2" t="n">
        <v>0</v>
      </c>
      <c r="I888" s="4" t="n">
        <v>2</v>
      </c>
      <c r="J888" s="2" t="n">
        <v>3</v>
      </c>
      <c r="K888" s="2" t="s">
        <v>20</v>
      </c>
      <c r="L888" s="4" t="n">
        <v>5</v>
      </c>
      <c r="M888" s="2" t="n">
        <v>0</v>
      </c>
      <c r="N888" s="2" t="n">
        <v>0</v>
      </c>
      <c r="O888" s="4" t="n">
        <v>3</v>
      </c>
      <c r="Q888" s="2" t="n">
        <v>1070</v>
      </c>
      <c r="R888" s="0" t="s">
        <v>423</v>
      </c>
      <c r="S888" s="0" t="s">
        <v>9270</v>
      </c>
    </row>
    <row r="889" customFormat="false" ht="13.8" hidden="false" customHeight="false" outlineLevel="0" collapsed="false">
      <c r="A889" s="0" t="s">
        <v>235</v>
      </c>
      <c r="B889" s="0" t="n">
        <v>42</v>
      </c>
      <c r="C889" s="0" t="s">
        <v>9268</v>
      </c>
      <c r="D889" s="0" t="s">
        <v>802</v>
      </c>
      <c r="E889" s="0" t="s">
        <v>102</v>
      </c>
      <c r="F889" s="4" t="n">
        <v>1</v>
      </c>
      <c r="G889" s="2" t="n">
        <v>0</v>
      </c>
      <c r="H889" s="2" t="n">
        <v>0</v>
      </c>
      <c r="I889" s="4" t="n">
        <v>2</v>
      </c>
      <c r="J889" s="2" t="n">
        <v>2</v>
      </c>
      <c r="K889" s="2" t="s">
        <v>20</v>
      </c>
      <c r="L889" s="4" t="n">
        <v>5</v>
      </c>
      <c r="M889" s="2" t="n">
        <v>0</v>
      </c>
      <c r="N889" s="2" t="n">
        <v>0</v>
      </c>
      <c r="O889" s="4" t="n">
        <v>3</v>
      </c>
      <c r="Q889" s="2" t="n">
        <v>1071</v>
      </c>
      <c r="R889" s="0" t="s">
        <v>102</v>
      </c>
      <c r="S889" s="0" t="s">
        <v>9271</v>
      </c>
    </row>
    <row r="890" customFormat="false" ht="13.8" hidden="false" customHeight="false" outlineLevel="0" collapsed="false">
      <c r="A890" s="0" t="s">
        <v>235</v>
      </c>
      <c r="B890" s="0" t="n">
        <v>42</v>
      </c>
      <c r="C890" s="0" t="s">
        <v>9268</v>
      </c>
      <c r="D890" s="0" t="s">
        <v>44</v>
      </c>
      <c r="E890" s="0" t="s">
        <v>44</v>
      </c>
      <c r="F890" s="4" t="n">
        <v>187</v>
      </c>
      <c r="G890" s="2" t="n">
        <v>3</v>
      </c>
      <c r="H890" s="2" t="s">
        <v>7</v>
      </c>
      <c r="I890" s="4" t="n">
        <v>2</v>
      </c>
      <c r="J890" s="2" t="n">
        <v>0</v>
      </c>
      <c r="K890" s="2" t="n">
        <v>0</v>
      </c>
      <c r="L890" s="4" t="n">
        <v>1</v>
      </c>
      <c r="M890" s="2" t="n">
        <v>0</v>
      </c>
      <c r="N890" s="2" t="n">
        <v>0</v>
      </c>
      <c r="O890" s="4" t="n">
        <v>3</v>
      </c>
      <c r="Q890" s="2" t="n">
        <v>1072</v>
      </c>
      <c r="R890" s="0" t="s">
        <v>44</v>
      </c>
      <c r="S890" s="0" t="s">
        <v>9272</v>
      </c>
    </row>
    <row r="891" customFormat="false" ht="13.8" hidden="false" customHeight="false" outlineLevel="0" collapsed="false">
      <c r="A891" s="0" t="s">
        <v>151</v>
      </c>
      <c r="B891" s="0" t="n">
        <v>14</v>
      </c>
      <c r="C891" s="0" t="s">
        <v>9273</v>
      </c>
      <c r="D891" s="0" t="s">
        <v>867</v>
      </c>
      <c r="E891" s="0" t="s">
        <v>273</v>
      </c>
      <c r="F891" s="4" t="n">
        <v>54</v>
      </c>
      <c r="G891" s="2" t="n">
        <v>0</v>
      </c>
      <c r="H891" s="2" t="n">
        <v>0</v>
      </c>
      <c r="I891" s="4" t="n">
        <v>2</v>
      </c>
      <c r="J891" s="2" t="n">
        <v>0</v>
      </c>
      <c r="K891" s="2" t="n">
        <v>0</v>
      </c>
      <c r="L891" s="4" t="n">
        <v>1</v>
      </c>
      <c r="M891" s="2" t="n">
        <v>12</v>
      </c>
      <c r="N891" s="2" t="s">
        <v>107</v>
      </c>
      <c r="O891" s="4" t="n">
        <v>3</v>
      </c>
      <c r="Q891" s="2" t="n">
        <v>1074</v>
      </c>
      <c r="R891" s="0" t="s">
        <v>273</v>
      </c>
      <c r="S891" s="0" t="s">
        <v>9274</v>
      </c>
    </row>
    <row r="892" customFormat="false" ht="13.8" hidden="false" customHeight="false" outlineLevel="0" collapsed="false">
      <c r="A892" s="0" t="s">
        <v>151</v>
      </c>
      <c r="B892" s="0" t="n">
        <v>14</v>
      </c>
      <c r="C892" s="0" t="s">
        <v>9273</v>
      </c>
      <c r="D892" s="0" t="s">
        <v>868</v>
      </c>
      <c r="E892" s="0" t="s">
        <v>386</v>
      </c>
      <c r="F892" s="4" t="n">
        <v>93</v>
      </c>
      <c r="G892" s="2" t="n">
        <v>0</v>
      </c>
      <c r="H892" s="2" t="n">
        <v>0</v>
      </c>
      <c r="I892" s="4" t="n">
        <v>2</v>
      </c>
      <c r="J892" s="2" t="n">
        <v>0.3</v>
      </c>
      <c r="K892" s="2" t="s">
        <v>13</v>
      </c>
      <c r="L892" s="4" t="n">
        <v>1</v>
      </c>
      <c r="M892" s="2" t="n">
        <v>0</v>
      </c>
      <c r="N892" s="2" t="n">
        <v>0</v>
      </c>
      <c r="O892" s="4" t="n">
        <v>3</v>
      </c>
      <c r="Q892" s="2" t="n">
        <v>1075</v>
      </c>
      <c r="R892" s="0" t="s">
        <v>386</v>
      </c>
      <c r="S892" s="0" t="s">
        <v>9275</v>
      </c>
    </row>
    <row r="893" customFormat="false" ht="13.8" hidden="false" customHeight="false" outlineLevel="0" collapsed="false">
      <c r="A893" s="0" t="s">
        <v>151</v>
      </c>
      <c r="B893" s="0" t="n">
        <v>14</v>
      </c>
      <c r="C893" s="0" t="s">
        <v>9273</v>
      </c>
      <c r="D893" s="0" t="s">
        <v>309</v>
      </c>
      <c r="E893" s="0" t="s">
        <v>309</v>
      </c>
      <c r="F893" s="4" t="n">
        <v>66</v>
      </c>
      <c r="G893" s="2" t="n">
        <v>0</v>
      </c>
      <c r="H893" s="2" t="n">
        <v>0</v>
      </c>
      <c r="I893" s="4" t="n">
        <v>2</v>
      </c>
      <c r="J893" s="2" t="n">
        <v>1</v>
      </c>
      <c r="K893" s="2" t="s">
        <v>13</v>
      </c>
      <c r="L893" s="4" t="n">
        <v>1</v>
      </c>
      <c r="M893" s="2" t="n">
        <v>0</v>
      </c>
      <c r="N893" s="2" t="n">
        <v>0</v>
      </c>
      <c r="O893" s="4" t="n">
        <v>3</v>
      </c>
      <c r="Q893" s="2" t="n">
        <v>1076</v>
      </c>
      <c r="R893" s="0" t="s">
        <v>309</v>
      </c>
      <c r="S893" s="0" t="s">
        <v>9276</v>
      </c>
    </row>
    <row r="894" customFormat="false" ht="13.8" hidden="false" customHeight="false" outlineLevel="0" collapsed="false">
      <c r="A894" s="0" t="s">
        <v>151</v>
      </c>
      <c r="B894" s="0" t="n">
        <v>14</v>
      </c>
      <c r="C894" s="0" t="s">
        <v>9273</v>
      </c>
      <c r="D894" s="0" t="s">
        <v>297</v>
      </c>
      <c r="E894" s="0" t="s">
        <v>297</v>
      </c>
      <c r="F894" s="4" t="n">
        <v>62</v>
      </c>
      <c r="G894" s="2" t="n">
        <v>1.5</v>
      </c>
      <c r="H894" s="2" t="s">
        <v>7</v>
      </c>
      <c r="I894" s="4" t="n">
        <v>2</v>
      </c>
      <c r="J894" s="2" t="n">
        <v>0</v>
      </c>
      <c r="K894" s="2" t="n">
        <v>0</v>
      </c>
      <c r="L894" s="4" t="n">
        <v>1</v>
      </c>
      <c r="M894" s="2" t="n">
        <v>0</v>
      </c>
      <c r="N894" s="2" t="n">
        <v>0</v>
      </c>
      <c r="O894" s="4" t="n">
        <v>3</v>
      </c>
      <c r="Q894" s="2" t="n">
        <v>1077</v>
      </c>
      <c r="R894" s="0" t="s">
        <v>297</v>
      </c>
      <c r="S894" s="0" t="s">
        <v>9277</v>
      </c>
    </row>
    <row r="895" customFormat="false" ht="13.8" hidden="false" customHeight="false" outlineLevel="0" collapsed="false">
      <c r="A895" s="0" t="s">
        <v>151</v>
      </c>
      <c r="B895" s="0" t="n">
        <v>14</v>
      </c>
      <c r="C895" s="0" t="s">
        <v>9273</v>
      </c>
      <c r="D895" s="0" t="s">
        <v>96</v>
      </c>
      <c r="E895" s="0" t="s">
        <v>96</v>
      </c>
      <c r="F895" s="4" t="n">
        <v>177</v>
      </c>
      <c r="G895" s="2" t="n">
        <v>0</v>
      </c>
      <c r="H895" s="2" t="n">
        <v>0</v>
      </c>
      <c r="I895" s="4" t="n">
        <v>2</v>
      </c>
      <c r="J895" s="2" t="n">
        <v>0.75</v>
      </c>
      <c r="K895" s="2" t="s">
        <v>20</v>
      </c>
      <c r="L895" s="4" t="n">
        <v>5</v>
      </c>
      <c r="M895" s="2" t="n">
        <v>0</v>
      </c>
      <c r="N895" s="2" t="n">
        <v>0</v>
      </c>
      <c r="O895" s="4" t="n">
        <v>3</v>
      </c>
      <c r="Q895" s="2" t="n">
        <v>1078</v>
      </c>
      <c r="R895" s="0" t="s">
        <v>96</v>
      </c>
      <c r="S895" s="0" t="s">
        <v>9278</v>
      </c>
    </row>
    <row r="896" customFormat="false" ht="13.8" hidden="false" customHeight="false" outlineLevel="0" collapsed="false">
      <c r="A896" s="0" t="s">
        <v>151</v>
      </c>
      <c r="B896" s="0" t="n">
        <v>14</v>
      </c>
      <c r="C896" s="0" t="s">
        <v>9273</v>
      </c>
      <c r="D896" s="0" t="s">
        <v>480</v>
      </c>
      <c r="E896" s="0" t="s">
        <v>480</v>
      </c>
      <c r="F896" s="4" t="n">
        <v>190</v>
      </c>
      <c r="G896" s="2" t="n">
        <v>50</v>
      </c>
      <c r="H896" s="2" t="s">
        <v>109</v>
      </c>
      <c r="I896" s="4" t="n">
        <v>7</v>
      </c>
      <c r="J896" s="2" t="n">
        <v>0</v>
      </c>
      <c r="K896" s="2" t="n">
        <v>0</v>
      </c>
      <c r="L896" s="4" t="n">
        <v>1</v>
      </c>
      <c r="M896" s="2" t="n">
        <v>0</v>
      </c>
      <c r="N896" s="2" t="n">
        <v>0</v>
      </c>
      <c r="O896" s="4" t="n">
        <v>3</v>
      </c>
      <c r="Q896" s="2" t="n">
        <v>1079</v>
      </c>
      <c r="R896" s="0" t="s">
        <v>480</v>
      </c>
      <c r="S896" s="0" t="s">
        <v>9279</v>
      </c>
    </row>
    <row r="897" customFormat="false" ht="13.8" hidden="false" customHeight="false" outlineLevel="0" collapsed="false">
      <c r="A897" s="0" t="s">
        <v>151</v>
      </c>
      <c r="B897" s="0" t="n">
        <v>14</v>
      </c>
      <c r="C897" s="0" t="s">
        <v>9273</v>
      </c>
      <c r="D897" s="0" t="s">
        <v>276</v>
      </c>
      <c r="E897" s="0" t="s">
        <v>276</v>
      </c>
      <c r="F897" s="4" t="n">
        <v>55</v>
      </c>
      <c r="G897" s="2" t="n">
        <v>0</v>
      </c>
      <c r="H897" s="2" t="n">
        <v>0</v>
      </c>
      <c r="I897" s="4" t="n">
        <v>2</v>
      </c>
      <c r="J897" s="2" t="n">
        <v>200</v>
      </c>
      <c r="K897" s="2" t="s">
        <v>143</v>
      </c>
      <c r="L897" s="4" t="n">
        <v>12</v>
      </c>
      <c r="M897" s="2" t="n">
        <v>0</v>
      </c>
      <c r="N897" s="2" t="n">
        <v>0</v>
      </c>
      <c r="O897" s="4" t="n">
        <v>3</v>
      </c>
      <c r="Q897" s="2" t="n">
        <v>1080</v>
      </c>
      <c r="R897" s="0" t="s">
        <v>276</v>
      </c>
      <c r="S897" s="0" t="s">
        <v>9280</v>
      </c>
    </row>
    <row r="898" customFormat="false" ht="13.8" hidden="false" customHeight="false" outlineLevel="0" collapsed="false">
      <c r="A898" s="0" t="s">
        <v>151</v>
      </c>
      <c r="B898" s="0" t="n">
        <v>14</v>
      </c>
      <c r="C898" s="0" t="s">
        <v>9273</v>
      </c>
      <c r="D898" s="0" t="s">
        <v>249</v>
      </c>
      <c r="E898" s="0" t="s">
        <v>249</v>
      </c>
      <c r="F898" s="4" t="n">
        <v>46</v>
      </c>
      <c r="G898" s="2" t="n">
        <v>0</v>
      </c>
      <c r="H898" s="2" t="n">
        <v>0</v>
      </c>
      <c r="I898" s="4" t="n">
        <v>2</v>
      </c>
      <c r="J898" s="2" t="n">
        <v>0.7</v>
      </c>
      <c r="K898" s="2" t="s">
        <v>20</v>
      </c>
      <c r="L898" s="4" t="n">
        <v>5</v>
      </c>
      <c r="M898" s="2" t="n">
        <v>0</v>
      </c>
      <c r="N898" s="2" t="n">
        <v>0</v>
      </c>
      <c r="O898" s="4" t="n">
        <v>3</v>
      </c>
      <c r="Q898" s="2" t="n">
        <v>1081</v>
      </c>
      <c r="R898" s="0" t="s">
        <v>249</v>
      </c>
      <c r="S898" s="0" t="s">
        <v>9281</v>
      </c>
    </row>
    <row r="899" customFormat="false" ht="13.8" hidden="false" customHeight="false" outlineLevel="0" collapsed="false">
      <c r="A899" s="0" t="s">
        <v>151</v>
      </c>
      <c r="B899" s="0" t="n">
        <v>14</v>
      </c>
      <c r="C899" s="0" t="s">
        <v>9273</v>
      </c>
      <c r="D899" s="0" t="s">
        <v>489</v>
      </c>
      <c r="E899" s="0" t="s">
        <v>489</v>
      </c>
      <c r="F899" s="4" t="n">
        <v>200</v>
      </c>
      <c r="G899" s="2" t="n">
        <v>0</v>
      </c>
      <c r="H899" s="2" t="n">
        <v>0</v>
      </c>
      <c r="I899" s="4" t="n">
        <v>2</v>
      </c>
      <c r="J899" s="2" t="n">
        <v>0.7</v>
      </c>
      <c r="K899" s="2" t="s">
        <v>20</v>
      </c>
      <c r="L899" s="4" t="n">
        <v>5</v>
      </c>
      <c r="M899" s="2" t="n">
        <v>0</v>
      </c>
      <c r="N899" s="2" t="n">
        <v>0</v>
      </c>
      <c r="O899" s="4" t="n">
        <v>3</v>
      </c>
      <c r="Q899" s="2" t="n">
        <v>1082</v>
      </c>
      <c r="R899" s="0" t="s">
        <v>489</v>
      </c>
      <c r="S899" s="0" t="s">
        <v>9282</v>
      </c>
    </row>
    <row r="900" customFormat="false" ht="13.8" hidden="false" customHeight="false" outlineLevel="0" collapsed="false">
      <c r="A900" s="0" t="s">
        <v>151</v>
      </c>
      <c r="B900" s="0" t="n">
        <v>14</v>
      </c>
      <c r="C900" s="0" t="s">
        <v>9273</v>
      </c>
      <c r="D900" s="0" t="s">
        <v>428</v>
      </c>
      <c r="E900" s="0" t="s">
        <v>428</v>
      </c>
      <c r="F900" s="4" t="n">
        <v>134</v>
      </c>
      <c r="G900" s="2" t="n">
        <v>0</v>
      </c>
      <c r="H900" s="2" t="n">
        <v>0</v>
      </c>
      <c r="I900" s="4" t="n">
        <v>2</v>
      </c>
      <c r="J900" s="2" t="n">
        <v>1</v>
      </c>
      <c r="K900" s="2" t="s">
        <v>20</v>
      </c>
      <c r="L900" s="4" t="n">
        <v>5</v>
      </c>
      <c r="M900" s="2" t="n">
        <v>0</v>
      </c>
      <c r="N900" s="2" t="n">
        <v>0</v>
      </c>
      <c r="O900" s="4" t="n">
        <v>3</v>
      </c>
      <c r="Q900" s="2" t="n">
        <v>1083</v>
      </c>
      <c r="R900" s="0" t="s">
        <v>428</v>
      </c>
      <c r="S900" s="0" t="s">
        <v>9283</v>
      </c>
    </row>
    <row r="901" customFormat="false" ht="13.8" hidden="false" customHeight="false" outlineLevel="0" collapsed="false">
      <c r="A901" s="0" t="s">
        <v>121</v>
      </c>
      <c r="B901" s="0" t="n">
        <v>6</v>
      </c>
      <c r="C901" s="0" t="s">
        <v>9284</v>
      </c>
      <c r="D901" s="0" t="s">
        <v>846</v>
      </c>
      <c r="E901" s="0" t="s">
        <v>130</v>
      </c>
      <c r="F901" s="4" t="n">
        <v>8</v>
      </c>
      <c r="G901" s="2" t="n">
        <v>40</v>
      </c>
      <c r="H901" s="2" t="s">
        <v>7</v>
      </c>
      <c r="I901" s="4" t="n">
        <v>2</v>
      </c>
      <c r="J901" s="2" t="n">
        <v>0</v>
      </c>
      <c r="K901" s="2" t="n">
        <v>0</v>
      </c>
      <c r="L901" s="4" t="n">
        <v>1</v>
      </c>
      <c r="M901" s="2" t="n">
        <v>0</v>
      </c>
      <c r="N901" s="2" t="n">
        <v>0</v>
      </c>
      <c r="O901" s="4" t="n">
        <v>3</v>
      </c>
      <c r="Q901" s="2" t="n">
        <v>1089</v>
      </c>
      <c r="R901" s="0" t="s">
        <v>130</v>
      </c>
      <c r="S901" s="0" t="s">
        <v>9285</v>
      </c>
    </row>
    <row r="902" customFormat="false" ht="13.8" hidden="false" customHeight="false" outlineLevel="0" collapsed="false">
      <c r="A902" s="0" t="s">
        <v>121</v>
      </c>
      <c r="B902" s="0" t="n">
        <v>6</v>
      </c>
      <c r="C902" s="0" t="s">
        <v>9284</v>
      </c>
      <c r="D902" s="0" t="s">
        <v>869</v>
      </c>
      <c r="E902" s="0" t="s">
        <v>386</v>
      </c>
      <c r="F902" s="4" t="n">
        <v>93</v>
      </c>
      <c r="G902" s="2" t="n">
        <v>0</v>
      </c>
      <c r="H902" s="2" t="n">
        <v>0</v>
      </c>
      <c r="I902" s="4" t="n">
        <v>2</v>
      </c>
      <c r="J902" s="2" t="n">
        <v>1</v>
      </c>
      <c r="K902" s="2" t="s">
        <v>13</v>
      </c>
      <c r="L902" s="4" t="n">
        <v>1</v>
      </c>
      <c r="M902" s="2" t="n">
        <v>0</v>
      </c>
      <c r="N902" s="2" t="n">
        <v>0</v>
      </c>
      <c r="O902" s="4" t="n">
        <v>3</v>
      </c>
      <c r="Q902" s="2" t="n">
        <v>1090</v>
      </c>
      <c r="R902" s="0" t="s">
        <v>386</v>
      </c>
      <c r="S902" s="0" t="s">
        <v>9286</v>
      </c>
    </row>
    <row r="903" customFormat="false" ht="13.8" hidden="false" customHeight="false" outlineLevel="0" collapsed="false">
      <c r="A903" s="0" t="s">
        <v>121</v>
      </c>
      <c r="B903" s="0" t="n">
        <v>6</v>
      </c>
      <c r="C903" s="0" t="s">
        <v>9284</v>
      </c>
      <c r="D903" s="0" t="s">
        <v>309</v>
      </c>
      <c r="E903" s="0" t="s">
        <v>309</v>
      </c>
      <c r="F903" s="4" t="n">
        <v>66</v>
      </c>
      <c r="G903" s="2" t="n">
        <v>0</v>
      </c>
      <c r="H903" s="2" t="n">
        <v>0</v>
      </c>
      <c r="I903" s="4" t="n">
        <v>2</v>
      </c>
      <c r="J903" s="2" t="n">
        <v>5</v>
      </c>
      <c r="K903" s="2" t="s">
        <v>13</v>
      </c>
      <c r="L903" s="4" t="n">
        <v>1</v>
      </c>
      <c r="M903" s="2" t="n">
        <v>0</v>
      </c>
      <c r="N903" s="2" t="n">
        <v>0</v>
      </c>
      <c r="O903" s="4" t="n">
        <v>3</v>
      </c>
      <c r="Q903" s="2" t="n">
        <v>1091</v>
      </c>
      <c r="R903" s="0" t="s">
        <v>309</v>
      </c>
      <c r="S903" s="0" t="s">
        <v>9287</v>
      </c>
    </row>
    <row r="904" customFormat="false" ht="13.8" hidden="false" customHeight="false" outlineLevel="0" collapsed="false">
      <c r="A904" s="0" t="s">
        <v>121</v>
      </c>
      <c r="B904" s="0" t="n">
        <v>6</v>
      </c>
      <c r="C904" s="0" t="s">
        <v>9284</v>
      </c>
      <c r="D904" s="0" t="s">
        <v>855</v>
      </c>
      <c r="E904" s="0" t="s">
        <v>102</v>
      </c>
      <c r="F904" s="4" t="n">
        <v>1</v>
      </c>
      <c r="G904" s="2" t="n">
        <v>0</v>
      </c>
      <c r="H904" s="2" t="n">
        <v>0</v>
      </c>
      <c r="I904" s="4" t="n">
        <v>2</v>
      </c>
      <c r="J904" s="2" t="n">
        <v>1</v>
      </c>
      <c r="K904" s="2" t="s">
        <v>13</v>
      </c>
      <c r="L904" s="4" t="n">
        <v>1</v>
      </c>
      <c r="M904" s="2" t="n">
        <v>0</v>
      </c>
      <c r="N904" s="2" t="n">
        <v>0</v>
      </c>
      <c r="O904" s="4" t="n">
        <v>3</v>
      </c>
      <c r="Q904" s="2" t="n">
        <v>1092</v>
      </c>
      <c r="R904" s="0" t="s">
        <v>102</v>
      </c>
      <c r="S904" s="0" t="s">
        <v>9288</v>
      </c>
    </row>
    <row r="905" customFormat="false" ht="13.8" hidden="false" customHeight="false" outlineLevel="0" collapsed="false">
      <c r="A905" s="0" t="s">
        <v>121</v>
      </c>
      <c r="B905" s="0" t="n">
        <v>6</v>
      </c>
      <c r="C905" s="0" t="s">
        <v>9284</v>
      </c>
      <c r="D905" s="0" t="s">
        <v>493</v>
      </c>
      <c r="E905" s="0" t="s">
        <v>493</v>
      </c>
      <c r="F905" s="4" t="n">
        <v>204</v>
      </c>
      <c r="G905" s="2" t="n">
        <v>15</v>
      </c>
      <c r="H905" s="2" t="s">
        <v>7</v>
      </c>
      <c r="I905" s="4" t="n">
        <v>2</v>
      </c>
      <c r="J905" s="2" t="n">
        <v>0</v>
      </c>
      <c r="K905" s="2" t="n">
        <v>0</v>
      </c>
      <c r="L905" s="4" t="n">
        <v>1</v>
      </c>
      <c r="M905" s="2" t="n">
        <v>0</v>
      </c>
      <c r="N905" s="2" t="n">
        <v>0</v>
      </c>
      <c r="O905" s="4" t="n">
        <v>3</v>
      </c>
      <c r="Q905" s="2" t="n">
        <v>1093</v>
      </c>
      <c r="R905" s="0" t="s">
        <v>493</v>
      </c>
      <c r="S905" s="0" t="s">
        <v>9289</v>
      </c>
    </row>
    <row r="906" customFormat="false" ht="13.8" hidden="false" customHeight="false" outlineLevel="0" collapsed="false">
      <c r="A906" s="0" t="s">
        <v>166</v>
      </c>
      <c r="B906" s="0" t="n">
        <v>19</v>
      </c>
      <c r="C906" s="0" t="s">
        <v>9290</v>
      </c>
      <c r="D906" s="0" t="s">
        <v>273</v>
      </c>
      <c r="E906" s="0" t="s">
        <v>273</v>
      </c>
      <c r="F906" s="4" t="n">
        <v>54</v>
      </c>
      <c r="G906" s="2" t="n">
        <v>0</v>
      </c>
      <c r="H906" s="2" t="n">
        <v>0</v>
      </c>
      <c r="I906" s="4" t="n">
        <v>2</v>
      </c>
      <c r="J906" s="2" t="n">
        <v>0</v>
      </c>
      <c r="K906" s="2" t="n">
        <v>0</v>
      </c>
      <c r="L906" s="4" t="n">
        <v>1</v>
      </c>
      <c r="M906" s="2" t="n">
        <v>5</v>
      </c>
      <c r="N906" s="2" t="s">
        <v>107</v>
      </c>
      <c r="O906" s="4" t="n">
        <v>3</v>
      </c>
      <c r="Q906" s="2" t="n">
        <v>1096</v>
      </c>
      <c r="R906" s="0" t="s">
        <v>273</v>
      </c>
      <c r="S906" s="0" t="s">
        <v>9291</v>
      </c>
    </row>
    <row r="907" customFormat="false" ht="13.8" hidden="false" customHeight="false" outlineLevel="0" collapsed="false">
      <c r="A907" s="0" t="s">
        <v>166</v>
      </c>
      <c r="B907" s="0" t="n">
        <v>19</v>
      </c>
      <c r="C907" s="0" t="s">
        <v>9290</v>
      </c>
      <c r="D907" s="0" t="s">
        <v>309</v>
      </c>
      <c r="E907" s="0" t="s">
        <v>309</v>
      </c>
      <c r="F907" s="4" t="n">
        <v>66</v>
      </c>
      <c r="G907" s="2" t="n">
        <v>0</v>
      </c>
      <c r="H907" s="2" t="n">
        <v>0</v>
      </c>
      <c r="I907" s="4" t="n">
        <v>2</v>
      </c>
      <c r="J907" s="2" t="n">
        <v>4</v>
      </c>
      <c r="K907" s="2" t="s">
        <v>13</v>
      </c>
      <c r="L907" s="4" t="n">
        <v>1</v>
      </c>
      <c r="M907" s="2" t="n">
        <v>0</v>
      </c>
      <c r="N907" s="2" t="n">
        <v>0</v>
      </c>
      <c r="O907" s="4" t="n">
        <v>3</v>
      </c>
      <c r="Q907" s="2" t="n">
        <v>1097</v>
      </c>
      <c r="R907" s="0" t="s">
        <v>309</v>
      </c>
      <c r="S907" s="0" t="s">
        <v>9292</v>
      </c>
    </row>
    <row r="908" customFormat="false" ht="13.8" hidden="false" customHeight="false" outlineLevel="0" collapsed="false">
      <c r="A908" s="0" t="s">
        <v>166</v>
      </c>
      <c r="B908" s="0" t="n">
        <v>19</v>
      </c>
      <c r="C908" s="0" t="s">
        <v>9290</v>
      </c>
      <c r="D908" s="0" t="s">
        <v>870</v>
      </c>
      <c r="E908" s="0" t="s">
        <v>503</v>
      </c>
      <c r="F908" s="4" t="n">
        <v>214</v>
      </c>
      <c r="G908" s="2" t="n">
        <v>0</v>
      </c>
      <c r="H908" s="2" t="n">
        <v>0</v>
      </c>
      <c r="I908" s="4" t="n">
        <v>2</v>
      </c>
      <c r="J908" s="2" t="n">
        <v>2</v>
      </c>
      <c r="K908" s="2" t="s">
        <v>13</v>
      </c>
      <c r="L908" s="4" t="n">
        <v>1</v>
      </c>
      <c r="M908" s="2" t="n">
        <v>0</v>
      </c>
      <c r="N908" s="2" t="n">
        <v>0</v>
      </c>
      <c r="O908" s="4" t="n">
        <v>3</v>
      </c>
      <c r="Q908" s="2" t="n">
        <v>1098</v>
      </c>
      <c r="R908" s="0" t="s">
        <v>503</v>
      </c>
      <c r="S908" s="0" t="s">
        <v>9293</v>
      </c>
    </row>
    <row r="909" customFormat="false" ht="13.8" hidden="false" customHeight="false" outlineLevel="0" collapsed="false">
      <c r="A909" s="0" t="s">
        <v>166</v>
      </c>
      <c r="B909" s="0" t="n">
        <v>19</v>
      </c>
      <c r="C909" s="0" t="s">
        <v>9290</v>
      </c>
      <c r="D909" s="0" t="s">
        <v>871</v>
      </c>
      <c r="E909" s="0" t="s">
        <v>503</v>
      </c>
      <c r="F909" s="4" t="n">
        <v>214</v>
      </c>
      <c r="G909" s="2" t="n">
        <v>0</v>
      </c>
      <c r="H909" s="2" t="n">
        <v>0</v>
      </c>
      <c r="I909" s="4" t="n">
        <v>2</v>
      </c>
      <c r="J909" s="2" t="n">
        <v>20</v>
      </c>
      <c r="K909" s="2" t="s">
        <v>13</v>
      </c>
      <c r="L909" s="4" t="n">
        <v>1</v>
      </c>
      <c r="M909" s="2" t="n">
        <v>0</v>
      </c>
      <c r="N909" s="2" t="n">
        <v>0</v>
      </c>
      <c r="O909" s="4" t="n">
        <v>3</v>
      </c>
      <c r="Q909" s="2" t="n">
        <v>1099</v>
      </c>
      <c r="R909" s="0" t="s">
        <v>503</v>
      </c>
      <c r="S909" s="0" t="s">
        <v>9294</v>
      </c>
    </row>
    <row r="910" customFormat="false" ht="13.8" hidden="false" customHeight="false" outlineLevel="0" collapsed="false">
      <c r="A910" s="0" t="s">
        <v>166</v>
      </c>
      <c r="B910" s="0" t="n">
        <v>19</v>
      </c>
      <c r="C910" s="0" t="s">
        <v>9290</v>
      </c>
      <c r="D910" s="0" t="s">
        <v>872</v>
      </c>
      <c r="E910" s="0" t="s">
        <v>195</v>
      </c>
      <c r="F910" s="4" t="n">
        <v>28</v>
      </c>
      <c r="G910" s="2" t="n">
        <v>1.75</v>
      </c>
      <c r="H910" s="2" t="s">
        <v>7</v>
      </c>
      <c r="I910" s="4" t="n">
        <v>2</v>
      </c>
      <c r="J910" s="2" t="n">
        <v>0</v>
      </c>
      <c r="K910" s="2" t="n">
        <v>0</v>
      </c>
      <c r="L910" s="4" t="n">
        <v>1</v>
      </c>
      <c r="M910" s="2" t="n">
        <v>120</v>
      </c>
      <c r="N910" s="2" t="s">
        <v>107</v>
      </c>
      <c r="O910" s="4" t="n">
        <v>3</v>
      </c>
      <c r="Q910" s="2" t="n">
        <v>1100</v>
      </c>
      <c r="R910" s="0" t="s">
        <v>195</v>
      </c>
      <c r="S910" s="0" t="s">
        <v>9295</v>
      </c>
    </row>
    <row r="911" customFormat="false" ht="13.8" hidden="false" customHeight="false" outlineLevel="0" collapsed="false">
      <c r="A911" s="0" t="s">
        <v>166</v>
      </c>
      <c r="B911" s="0" t="n">
        <v>19</v>
      </c>
      <c r="C911" s="0" t="s">
        <v>9290</v>
      </c>
      <c r="D911" s="0" t="s">
        <v>377</v>
      </c>
      <c r="E911" s="0" t="s">
        <v>377</v>
      </c>
      <c r="F911" s="4" t="n">
        <v>89</v>
      </c>
      <c r="G911" s="2" t="n">
        <v>0</v>
      </c>
      <c r="H911" s="2" t="n">
        <v>0</v>
      </c>
      <c r="I911" s="4" t="n">
        <v>2</v>
      </c>
      <c r="J911" s="2" t="n">
        <v>200</v>
      </c>
      <c r="K911" s="2" t="s">
        <v>143</v>
      </c>
      <c r="L911" s="4" t="n">
        <v>12</v>
      </c>
      <c r="M911" s="2" t="n">
        <v>0</v>
      </c>
      <c r="N911" s="2" t="n">
        <v>0</v>
      </c>
      <c r="O911" s="4" t="n">
        <v>3</v>
      </c>
      <c r="Q911" s="2" t="n">
        <v>1101</v>
      </c>
      <c r="R911" s="0" t="s">
        <v>377</v>
      </c>
      <c r="S911" s="0" t="s">
        <v>9296</v>
      </c>
    </row>
    <row r="912" customFormat="false" ht="13.8" hidden="false" customHeight="false" outlineLevel="0" collapsed="false">
      <c r="A912" s="0" t="s">
        <v>166</v>
      </c>
      <c r="B912" s="0" t="n">
        <v>19</v>
      </c>
      <c r="C912" s="0" t="s">
        <v>9290</v>
      </c>
      <c r="D912" s="0" t="s">
        <v>44</v>
      </c>
      <c r="E912" s="0" t="s">
        <v>44</v>
      </c>
      <c r="F912" s="4" t="n">
        <v>187</v>
      </c>
      <c r="G912" s="2" t="n">
        <v>250</v>
      </c>
      <c r="H912" s="2" t="s">
        <v>109</v>
      </c>
      <c r="I912" s="4" t="n">
        <v>7</v>
      </c>
      <c r="J912" s="2" t="n">
        <v>0</v>
      </c>
      <c r="K912" s="2" t="n">
        <v>0</v>
      </c>
      <c r="L912" s="4" t="n">
        <v>1</v>
      </c>
      <c r="M912" s="2" t="n">
        <v>0</v>
      </c>
      <c r="N912" s="2" t="n">
        <v>0</v>
      </c>
      <c r="O912" s="4" t="n">
        <v>3</v>
      </c>
      <c r="Q912" s="2" t="n">
        <v>1102</v>
      </c>
      <c r="R912" s="0" t="s">
        <v>44</v>
      </c>
      <c r="S912" s="0" t="s">
        <v>9297</v>
      </c>
    </row>
    <row r="913" customFormat="false" ht="13.8" hidden="false" customHeight="false" outlineLevel="0" collapsed="false">
      <c r="A913" s="0" t="s">
        <v>166</v>
      </c>
      <c r="B913" s="0" t="n">
        <v>19</v>
      </c>
      <c r="C913" s="0" t="s">
        <v>9290</v>
      </c>
      <c r="D913" s="0" t="s">
        <v>873</v>
      </c>
      <c r="E913" s="0" t="s">
        <v>444</v>
      </c>
      <c r="F913" s="4" t="n">
        <v>150</v>
      </c>
      <c r="G913" s="2" t="n">
        <v>50</v>
      </c>
      <c r="H913" s="2" t="s">
        <v>109</v>
      </c>
      <c r="I913" s="4" t="n">
        <v>7</v>
      </c>
      <c r="J913" s="2" t="n">
        <v>0</v>
      </c>
      <c r="K913" s="2" t="n">
        <v>0</v>
      </c>
      <c r="L913" s="4" t="n">
        <v>1</v>
      </c>
      <c r="M913" s="2" t="n">
        <v>0</v>
      </c>
      <c r="N913" s="2" t="n">
        <v>0</v>
      </c>
      <c r="O913" s="4" t="n">
        <v>3</v>
      </c>
      <c r="Q913" s="2" t="n">
        <v>1103</v>
      </c>
      <c r="R913" s="0" t="s">
        <v>444</v>
      </c>
      <c r="S913" s="0" t="s">
        <v>9298</v>
      </c>
    </row>
    <row r="914" customFormat="false" ht="13.8" hidden="false" customHeight="false" outlineLevel="0" collapsed="false">
      <c r="A914" s="0" t="s">
        <v>166</v>
      </c>
      <c r="B914" s="0" t="n">
        <v>19</v>
      </c>
      <c r="C914" s="0" t="s">
        <v>9290</v>
      </c>
      <c r="D914" s="0" t="s">
        <v>96</v>
      </c>
      <c r="E914" s="0" t="s">
        <v>96</v>
      </c>
      <c r="F914" s="4" t="n">
        <v>177</v>
      </c>
      <c r="G914" s="2" t="n">
        <v>50</v>
      </c>
      <c r="H914" s="2" t="s">
        <v>109</v>
      </c>
      <c r="I914" s="4" t="n">
        <v>7</v>
      </c>
      <c r="J914" s="2" t="n">
        <v>0</v>
      </c>
      <c r="K914" s="2" t="n">
        <v>0</v>
      </c>
      <c r="L914" s="4" t="n">
        <v>1</v>
      </c>
      <c r="M914" s="2" t="n">
        <v>0</v>
      </c>
      <c r="N914" s="2" t="n">
        <v>0</v>
      </c>
      <c r="O914" s="4" t="n">
        <v>3</v>
      </c>
      <c r="Q914" s="2" t="n">
        <v>1104</v>
      </c>
      <c r="R914" s="0" t="s">
        <v>96</v>
      </c>
      <c r="S914" s="0" t="s">
        <v>9299</v>
      </c>
    </row>
    <row r="915" customFormat="false" ht="13.8" hidden="false" customHeight="false" outlineLevel="0" collapsed="false">
      <c r="A915" s="0" t="s">
        <v>166</v>
      </c>
      <c r="B915" s="0" t="n">
        <v>19</v>
      </c>
      <c r="C915" s="0" t="s">
        <v>9290</v>
      </c>
      <c r="D915" s="0" t="s">
        <v>382</v>
      </c>
      <c r="E915" s="0" t="s">
        <v>382</v>
      </c>
      <c r="F915" s="4" t="n">
        <v>91</v>
      </c>
      <c r="G915" s="2" t="n">
        <v>0</v>
      </c>
      <c r="H915" s="2" t="n">
        <v>0</v>
      </c>
      <c r="I915" s="4" t="n">
        <v>2</v>
      </c>
      <c r="J915" s="2" t="n">
        <v>1</v>
      </c>
      <c r="K915" s="2" t="s">
        <v>135</v>
      </c>
      <c r="L915" s="4" t="n">
        <v>10</v>
      </c>
      <c r="M915" s="2" t="n">
        <v>0</v>
      </c>
      <c r="N915" s="2" t="n">
        <v>0</v>
      </c>
      <c r="O915" s="4" t="n">
        <v>3</v>
      </c>
      <c r="Q915" s="2" t="n">
        <v>1105</v>
      </c>
      <c r="R915" s="0" t="s">
        <v>382</v>
      </c>
      <c r="S915" s="0" t="s">
        <v>9300</v>
      </c>
    </row>
    <row r="916" customFormat="false" ht="13.8" hidden="false" customHeight="false" outlineLevel="0" collapsed="false">
      <c r="A916" s="0" t="s">
        <v>166</v>
      </c>
      <c r="B916" s="0" t="n">
        <v>19</v>
      </c>
      <c r="C916" s="0" t="s">
        <v>9290</v>
      </c>
      <c r="D916" s="0" t="s">
        <v>874</v>
      </c>
      <c r="E916" s="0" t="s">
        <v>415</v>
      </c>
      <c r="F916" s="4" t="n">
        <v>120</v>
      </c>
      <c r="G916" s="2" t="n">
        <v>0</v>
      </c>
      <c r="H916" s="2" t="n">
        <v>0</v>
      </c>
      <c r="I916" s="4" t="n">
        <v>2</v>
      </c>
      <c r="J916" s="2" t="n">
        <v>3</v>
      </c>
      <c r="K916" s="2" t="s">
        <v>135</v>
      </c>
      <c r="L916" s="4" t="n">
        <v>10</v>
      </c>
      <c r="M916" s="2" t="n">
        <v>0</v>
      </c>
      <c r="N916" s="2" t="n">
        <v>0</v>
      </c>
      <c r="O916" s="4" t="n">
        <v>3</v>
      </c>
      <c r="Q916" s="2" t="n">
        <v>1106</v>
      </c>
      <c r="R916" s="0" t="s">
        <v>415</v>
      </c>
      <c r="S916" s="0" t="s">
        <v>9301</v>
      </c>
    </row>
    <row r="917" customFormat="false" ht="13.8" hidden="false" customHeight="false" outlineLevel="0" collapsed="false">
      <c r="A917" s="0" t="s">
        <v>166</v>
      </c>
      <c r="B917" s="0" t="n">
        <v>19</v>
      </c>
      <c r="C917" s="0" t="s">
        <v>9290</v>
      </c>
      <c r="D917" s="0" t="s">
        <v>470</v>
      </c>
      <c r="E917" s="0" t="s">
        <v>470</v>
      </c>
      <c r="F917" s="4" t="n">
        <v>179</v>
      </c>
      <c r="G917" s="2" t="n">
        <v>0</v>
      </c>
      <c r="H917" s="2" t="n">
        <v>0</v>
      </c>
      <c r="I917" s="4" t="n">
        <v>2</v>
      </c>
      <c r="J917" s="2" t="n">
        <v>0.5</v>
      </c>
      <c r="K917" s="2" t="s">
        <v>20</v>
      </c>
      <c r="L917" s="4" t="n">
        <v>5</v>
      </c>
      <c r="M917" s="2" t="n">
        <v>0</v>
      </c>
      <c r="N917" s="2" t="n">
        <v>0</v>
      </c>
      <c r="O917" s="4" t="n">
        <v>3</v>
      </c>
      <c r="Q917" s="2" t="n">
        <v>1107</v>
      </c>
      <c r="R917" s="0" t="s">
        <v>470</v>
      </c>
      <c r="S917" s="0" t="s">
        <v>9302</v>
      </c>
    </row>
    <row r="918" customFormat="false" ht="13.8" hidden="false" customHeight="false" outlineLevel="0" collapsed="false">
      <c r="A918" s="0" t="s">
        <v>166</v>
      </c>
      <c r="B918" s="0" t="n">
        <v>19</v>
      </c>
      <c r="C918" s="0" t="s">
        <v>9290</v>
      </c>
      <c r="D918" s="0" t="s">
        <v>456</v>
      </c>
      <c r="E918" s="0" t="s">
        <v>456</v>
      </c>
      <c r="F918" s="4" t="n">
        <v>164</v>
      </c>
      <c r="G918" s="2" t="n">
        <v>0</v>
      </c>
      <c r="H918" s="2" t="n">
        <v>0</v>
      </c>
      <c r="I918" s="4" t="n">
        <v>2</v>
      </c>
      <c r="J918" s="2" t="n">
        <v>0.5</v>
      </c>
      <c r="K918" s="2" t="s">
        <v>20</v>
      </c>
      <c r="L918" s="4" t="n">
        <v>5</v>
      </c>
      <c r="M918" s="2" t="n">
        <v>0</v>
      </c>
      <c r="N918" s="2" t="n">
        <v>0</v>
      </c>
      <c r="O918" s="4" t="n">
        <v>3</v>
      </c>
      <c r="Q918" s="2" t="n">
        <v>1108</v>
      </c>
      <c r="R918" s="0" t="s">
        <v>456</v>
      </c>
      <c r="S918" s="0" t="s">
        <v>9303</v>
      </c>
    </row>
    <row r="919" customFormat="false" ht="13.8" hidden="false" customHeight="false" outlineLevel="0" collapsed="false">
      <c r="A919" s="0" t="s">
        <v>166</v>
      </c>
      <c r="B919" s="0" t="n">
        <v>19</v>
      </c>
      <c r="C919" s="0" t="s">
        <v>9290</v>
      </c>
      <c r="D919" s="0" t="s">
        <v>839</v>
      </c>
      <c r="E919" s="0" t="s">
        <v>360</v>
      </c>
      <c r="F919" s="4" t="n">
        <v>83</v>
      </c>
      <c r="G919" s="2" t="n">
        <v>0</v>
      </c>
      <c r="H919" s="2" t="n">
        <v>0</v>
      </c>
      <c r="I919" s="4" t="n">
        <v>2</v>
      </c>
      <c r="J919" s="2" t="n">
        <v>200</v>
      </c>
      <c r="K919" s="2" t="s">
        <v>143</v>
      </c>
      <c r="L919" s="4" t="n">
        <v>12</v>
      </c>
      <c r="M919" s="2" t="n">
        <v>0</v>
      </c>
      <c r="N919" s="2" t="n">
        <v>0</v>
      </c>
      <c r="O919" s="4" t="n">
        <v>3</v>
      </c>
      <c r="Q919" s="2" t="n">
        <v>1109</v>
      </c>
      <c r="R919" s="0" t="s">
        <v>360</v>
      </c>
      <c r="S919" s="0" t="s">
        <v>9304</v>
      </c>
    </row>
    <row r="920" customFormat="false" ht="13.8" hidden="false" customHeight="false" outlineLevel="0" collapsed="false">
      <c r="A920" s="0" t="s">
        <v>166</v>
      </c>
      <c r="B920" s="0" t="n">
        <v>19</v>
      </c>
      <c r="C920" s="0" t="s">
        <v>9290</v>
      </c>
      <c r="D920" s="0" t="s">
        <v>44</v>
      </c>
      <c r="E920" s="0" t="s">
        <v>44</v>
      </c>
      <c r="F920" s="4" t="n">
        <v>187</v>
      </c>
      <c r="G920" s="2" t="n">
        <v>500</v>
      </c>
      <c r="H920" s="2" t="s">
        <v>109</v>
      </c>
      <c r="I920" s="4" t="n">
        <v>7</v>
      </c>
      <c r="J920" s="2" t="n">
        <v>0</v>
      </c>
      <c r="K920" s="2" t="n">
        <v>0</v>
      </c>
      <c r="L920" s="4" t="n">
        <v>1</v>
      </c>
      <c r="M920" s="2" t="n">
        <v>0</v>
      </c>
      <c r="N920" s="2" t="n">
        <v>0</v>
      </c>
      <c r="O920" s="4" t="n">
        <v>3</v>
      </c>
      <c r="Q920" s="2" t="n">
        <v>1110</v>
      </c>
      <c r="R920" s="0" t="s">
        <v>44</v>
      </c>
      <c r="S920" s="0" t="s">
        <v>9305</v>
      </c>
    </row>
    <row r="921" customFormat="false" ht="13.8" hidden="false" customHeight="false" outlineLevel="0" collapsed="false">
      <c r="A921" s="0" t="s">
        <v>166</v>
      </c>
      <c r="B921" s="0" t="n">
        <v>19</v>
      </c>
      <c r="C921" s="0" t="s">
        <v>9290</v>
      </c>
      <c r="D921" s="0" t="s">
        <v>503</v>
      </c>
      <c r="E921" s="0" t="s">
        <v>503</v>
      </c>
      <c r="F921" s="4" t="n">
        <v>214</v>
      </c>
      <c r="G921" s="2" t="n">
        <v>0</v>
      </c>
      <c r="H921" s="2" t="n">
        <v>0</v>
      </c>
      <c r="I921" s="4" t="n">
        <v>2</v>
      </c>
      <c r="J921" s="2" t="n">
        <v>3</v>
      </c>
      <c r="K921" s="2" t="s">
        <v>13</v>
      </c>
      <c r="L921" s="4" t="n">
        <v>1</v>
      </c>
      <c r="M921" s="2" t="n">
        <v>0</v>
      </c>
      <c r="N921" s="2" t="n">
        <v>0</v>
      </c>
      <c r="O921" s="4" t="n">
        <v>3</v>
      </c>
      <c r="Q921" s="2" t="n">
        <v>1111</v>
      </c>
      <c r="R921" s="0" t="s">
        <v>503</v>
      </c>
      <c r="S921" s="0" t="s">
        <v>9306</v>
      </c>
    </row>
    <row r="922" customFormat="false" ht="13.8" hidden="false" customHeight="false" outlineLevel="0" collapsed="false">
      <c r="A922" s="0" t="s">
        <v>193</v>
      </c>
      <c r="B922" s="0" t="n">
        <v>28</v>
      </c>
      <c r="C922" s="0" t="s">
        <v>9307</v>
      </c>
      <c r="D922" s="0" t="s">
        <v>309</v>
      </c>
      <c r="E922" s="0" t="s">
        <v>309</v>
      </c>
      <c r="F922" s="4" t="n">
        <v>66</v>
      </c>
      <c r="G922" s="2" t="n">
        <v>0</v>
      </c>
      <c r="H922" s="2" t="n">
        <v>0</v>
      </c>
      <c r="I922" s="4" t="n">
        <v>2</v>
      </c>
      <c r="J922" s="2" t="n">
        <v>0</v>
      </c>
      <c r="K922" s="2" t="n">
        <v>0</v>
      </c>
      <c r="L922" s="4" t="n">
        <v>1</v>
      </c>
      <c r="M922" s="2" t="n">
        <v>8</v>
      </c>
      <c r="N922" s="2" t="s">
        <v>127</v>
      </c>
      <c r="O922" s="4" t="n">
        <v>8</v>
      </c>
      <c r="Q922" s="2" t="n">
        <v>1113</v>
      </c>
      <c r="R922" s="0" t="s">
        <v>309</v>
      </c>
      <c r="S922" s="0" t="s">
        <v>9308</v>
      </c>
    </row>
    <row r="923" customFormat="false" ht="13.8" hidden="false" customHeight="false" outlineLevel="0" collapsed="false">
      <c r="A923" s="0" t="s">
        <v>193</v>
      </c>
      <c r="B923" s="0" t="n">
        <v>28</v>
      </c>
      <c r="C923" s="0" t="s">
        <v>9307</v>
      </c>
      <c r="D923" s="0" t="s">
        <v>875</v>
      </c>
      <c r="E923" s="0" t="s">
        <v>297</v>
      </c>
      <c r="F923" s="4" t="n">
        <v>62</v>
      </c>
      <c r="G923" s="2" t="n">
        <v>250</v>
      </c>
      <c r="H923" s="2" t="n">
        <v>0</v>
      </c>
      <c r="I923" s="4" t="n">
        <v>2</v>
      </c>
      <c r="J923" s="2" t="n">
        <v>0</v>
      </c>
      <c r="K923" s="2" t="n">
        <v>0</v>
      </c>
      <c r="L923" s="4" t="n">
        <v>1</v>
      </c>
      <c r="M923" s="2" t="n">
        <v>0</v>
      </c>
      <c r="N923" s="2" t="n">
        <v>0</v>
      </c>
      <c r="O923" s="4" t="n">
        <v>3</v>
      </c>
      <c r="P923" s="0" t="s">
        <v>876</v>
      </c>
      <c r="Q923" s="2" t="n">
        <v>1114</v>
      </c>
      <c r="R923" s="0" t="s">
        <v>297</v>
      </c>
      <c r="S923" s="0" t="s">
        <v>9309</v>
      </c>
    </row>
    <row r="924" customFormat="false" ht="13.8" hidden="false" customHeight="false" outlineLevel="0" collapsed="false">
      <c r="A924" s="0" t="s">
        <v>193</v>
      </c>
      <c r="B924" s="0" t="n">
        <v>28</v>
      </c>
      <c r="C924" s="0" t="s">
        <v>9307</v>
      </c>
      <c r="D924" s="0" t="s">
        <v>455</v>
      </c>
      <c r="E924" s="0" t="s">
        <v>455</v>
      </c>
      <c r="F924" s="4" t="n">
        <v>163</v>
      </c>
      <c r="G924" s="2" t="n">
        <v>0</v>
      </c>
      <c r="H924" s="2" t="n">
        <v>0</v>
      </c>
      <c r="I924" s="4" t="n">
        <v>2</v>
      </c>
      <c r="J924" s="2" t="n">
        <v>0</v>
      </c>
      <c r="K924" s="2" t="n">
        <v>0</v>
      </c>
      <c r="L924" s="4" t="n">
        <v>1</v>
      </c>
      <c r="M924" s="2" t="n">
        <v>2</v>
      </c>
      <c r="N924" s="2" t="s">
        <v>127</v>
      </c>
      <c r="O924" s="4" t="n">
        <v>8</v>
      </c>
      <c r="P924" s="0" t="s">
        <v>877</v>
      </c>
      <c r="Q924" s="2" t="n">
        <v>1115</v>
      </c>
      <c r="R924" s="0" t="s">
        <v>455</v>
      </c>
      <c r="S924" s="0" t="s">
        <v>9310</v>
      </c>
    </row>
    <row r="925" customFormat="false" ht="13.8" hidden="false" customHeight="false" outlineLevel="0" collapsed="false">
      <c r="A925" s="0" t="s">
        <v>193</v>
      </c>
      <c r="B925" s="0" t="n">
        <v>28</v>
      </c>
      <c r="C925" s="0" t="s">
        <v>9307</v>
      </c>
      <c r="D925" s="0" t="s">
        <v>833</v>
      </c>
      <c r="E925" s="0" t="s">
        <v>423</v>
      </c>
      <c r="F925" s="4" t="n">
        <v>129</v>
      </c>
      <c r="G925" s="2" t="n">
        <v>0</v>
      </c>
      <c r="H925" s="2" t="n">
        <v>0</v>
      </c>
      <c r="I925" s="4" t="n">
        <v>2</v>
      </c>
      <c r="J925" s="2" t="n">
        <v>0.5</v>
      </c>
      <c r="K925" s="2" t="s">
        <v>20</v>
      </c>
      <c r="L925" s="4" t="n">
        <v>5</v>
      </c>
      <c r="M925" s="2" t="n">
        <v>0</v>
      </c>
      <c r="N925" s="2" t="n">
        <v>0</v>
      </c>
      <c r="O925" s="4" t="n">
        <v>3</v>
      </c>
      <c r="Q925" s="2" t="n">
        <v>1116</v>
      </c>
      <c r="R925" s="0" t="s">
        <v>423</v>
      </c>
      <c r="S925" s="0" t="s">
        <v>9311</v>
      </c>
    </row>
    <row r="926" customFormat="false" ht="13.8" hidden="false" customHeight="false" outlineLevel="0" collapsed="false">
      <c r="A926" s="0" t="s">
        <v>193</v>
      </c>
      <c r="B926" s="0" t="n">
        <v>28</v>
      </c>
      <c r="C926" s="0" t="s">
        <v>9307</v>
      </c>
      <c r="D926" s="0" t="s">
        <v>96</v>
      </c>
      <c r="E926" s="0" t="s">
        <v>96</v>
      </c>
      <c r="F926" s="4" t="n">
        <v>177</v>
      </c>
      <c r="G926" s="2" t="n">
        <v>0</v>
      </c>
      <c r="H926" s="2" t="n">
        <v>0</v>
      </c>
      <c r="I926" s="4" t="n">
        <v>2</v>
      </c>
      <c r="J926" s="2" t="n">
        <v>0.5</v>
      </c>
      <c r="K926" s="2" t="s">
        <v>20</v>
      </c>
      <c r="L926" s="4" t="n">
        <v>5</v>
      </c>
      <c r="M926" s="2" t="n">
        <v>0</v>
      </c>
      <c r="N926" s="2" t="n">
        <v>0</v>
      </c>
      <c r="O926" s="4" t="n">
        <v>3</v>
      </c>
      <c r="Q926" s="2" t="n">
        <v>1117</v>
      </c>
      <c r="R926" s="0" t="s">
        <v>96</v>
      </c>
      <c r="S926" s="0" t="s">
        <v>9312</v>
      </c>
    </row>
    <row r="927" customFormat="false" ht="13.8" hidden="false" customHeight="false" outlineLevel="0" collapsed="false">
      <c r="A927" s="0" t="s">
        <v>193</v>
      </c>
      <c r="B927" s="0" t="n">
        <v>28</v>
      </c>
      <c r="C927" s="0" t="s">
        <v>9307</v>
      </c>
      <c r="D927" s="0" t="s">
        <v>878</v>
      </c>
      <c r="E927" s="0" t="s">
        <v>386</v>
      </c>
      <c r="F927" s="4" t="n">
        <v>93</v>
      </c>
      <c r="G927" s="2" t="n">
        <v>50</v>
      </c>
      <c r="H927" s="2" t="s">
        <v>109</v>
      </c>
      <c r="I927" s="4" t="n">
        <v>7</v>
      </c>
      <c r="J927" s="2" t="n">
        <v>0</v>
      </c>
      <c r="K927" s="2" t="n">
        <v>0</v>
      </c>
      <c r="L927" s="4" t="n">
        <v>1</v>
      </c>
      <c r="M927" s="2" t="n">
        <v>0</v>
      </c>
      <c r="N927" s="2" t="n">
        <v>0</v>
      </c>
      <c r="O927" s="4" t="n">
        <v>3</v>
      </c>
      <c r="Q927" s="2" t="n">
        <v>1118</v>
      </c>
      <c r="R927" s="0" t="s">
        <v>386</v>
      </c>
      <c r="S927" s="0" t="s">
        <v>9313</v>
      </c>
    </row>
    <row r="928" customFormat="false" ht="13.8" hidden="false" customHeight="false" outlineLevel="0" collapsed="false">
      <c r="A928" s="0" t="s">
        <v>274</v>
      </c>
      <c r="B928" s="0" t="n">
        <v>55</v>
      </c>
      <c r="C928" s="0" t="s">
        <v>9314</v>
      </c>
      <c r="D928" s="0" t="s">
        <v>434</v>
      </c>
      <c r="E928" s="0" t="s">
        <v>434</v>
      </c>
      <c r="F928" s="4" t="n">
        <v>140</v>
      </c>
      <c r="G928" s="2" t="n">
        <v>5</v>
      </c>
      <c r="H928" s="2" t="s">
        <v>7</v>
      </c>
      <c r="I928" s="4" t="n">
        <v>2</v>
      </c>
      <c r="J928" s="2" t="n">
        <v>0</v>
      </c>
      <c r="K928" s="2" t="n">
        <v>0</v>
      </c>
      <c r="L928" s="4" t="n">
        <v>1</v>
      </c>
      <c r="M928" s="2" t="n">
        <v>0</v>
      </c>
      <c r="N928" s="2" t="n">
        <v>0</v>
      </c>
      <c r="O928" s="4" t="n">
        <v>3</v>
      </c>
      <c r="Q928" s="2" t="n">
        <v>1120</v>
      </c>
      <c r="R928" s="0" t="s">
        <v>434</v>
      </c>
      <c r="S928" s="0" t="s">
        <v>9315</v>
      </c>
    </row>
    <row r="929" customFormat="false" ht="13.8" hidden="false" customHeight="false" outlineLevel="0" collapsed="false">
      <c r="A929" s="0" t="s">
        <v>274</v>
      </c>
      <c r="B929" s="0" t="n">
        <v>55</v>
      </c>
      <c r="C929" s="0" t="s">
        <v>9314</v>
      </c>
      <c r="D929" s="0" t="s">
        <v>348</v>
      </c>
      <c r="E929" s="0" t="s">
        <v>348</v>
      </c>
      <c r="F929" s="4" t="n">
        <v>79</v>
      </c>
      <c r="G929" s="2" t="n">
        <v>10</v>
      </c>
      <c r="H929" s="2" t="s">
        <v>7</v>
      </c>
      <c r="I929" s="4" t="n">
        <v>2</v>
      </c>
      <c r="J929" s="2" t="n">
        <v>0</v>
      </c>
      <c r="K929" s="2" t="n">
        <v>0</v>
      </c>
      <c r="L929" s="4" t="n">
        <v>1</v>
      </c>
      <c r="M929" s="2" t="n">
        <v>0</v>
      </c>
      <c r="N929" s="2" t="n">
        <v>0</v>
      </c>
      <c r="O929" s="4" t="n">
        <v>3</v>
      </c>
      <c r="Q929" s="2" t="n">
        <v>1121</v>
      </c>
      <c r="R929" s="0" t="s">
        <v>348</v>
      </c>
      <c r="S929" s="0" t="s">
        <v>9316</v>
      </c>
    </row>
    <row r="930" customFormat="false" ht="13.8" hidden="false" customHeight="false" outlineLevel="0" collapsed="false">
      <c r="A930" s="0" t="s">
        <v>274</v>
      </c>
      <c r="B930" s="0" t="n">
        <v>55</v>
      </c>
      <c r="C930" s="0" t="s">
        <v>9314</v>
      </c>
      <c r="D930" s="0" t="s">
        <v>406</v>
      </c>
      <c r="E930" s="0" t="s">
        <v>406</v>
      </c>
      <c r="F930" s="4" t="n">
        <v>111</v>
      </c>
      <c r="G930" s="2" t="n">
        <v>15</v>
      </c>
      <c r="H930" s="2" t="s">
        <v>7</v>
      </c>
      <c r="I930" s="4" t="n">
        <v>2</v>
      </c>
      <c r="J930" s="2" t="n">
        <v>0</v>
      </c>
      <c r="K930" s="2" t="n">
        <v>0</v>
      </c>
      <c r="L930" s="4" t="n">
        <v>1</v>
      </c>
      <c r="M930" s="2" t="n">
        <v>0</v>
      </c>
      <c r="N930" s="2" t="n">
        <v>0</v>
      </c>
      <c r="O930" s="4" t="n">
        <v>3</v>
      </c>
      <c r="Q930" s="2" t="n">
        <v>1122</v>
      </c>
      <c r="R930" s="0" t="s">
        <v>406</v>
      </c>
      <c r="S930" s="0" t="s">
        <v>9317</v>
      </c>
    </row>
    <row r="931" customFormat="false" ht="13.8" hidden="false" customHeight="false" outlineLevel="0" collapsed="false">
      <c r="A931" s="0" t="s">
        <v>274</v>
      </c>
      <c r="B931" s="0" t="n">
        <v>55</v>
      </c>
      <c r="C931" s="0" t="s">
        <v>9314</v>
      </c>
      <c r="D931" s="0" t="s">
        <v>485</v>
      </c>
      <c r="E931" s="0" t="s">
        <v>485</v>
      </c>
      <c r="F931" s="4" t="n">
        <v>195</v>
      </c>
      <c r="G931" s="2" t="n">
        <v>8</v>
      </c>
      <c r="H931" s="2" t="s">
        <v>7</v>
      </c>
      <c r="I931" s="4" t="n">
        <v>2</v>
      </c>
      <c r="J931" s="2" t="n">
        <v>0</v>
      </c>
      <c r="K931" s="2" t="n">
        <v>0</v>
      </c>
      <c r="L931" s="4" t="n">
        <v>1</v>
      </c>
      <c r="M931" s="2" t="n">
        <v>0</v>
      </c>
      <c r="N931" s="2" t="n">
        <v>0</v>
      </c>
      <c r="O931" s="4" t="n">
        <v>3</v>
      </c>
      <c r="Q931" s="2" t="n">
        <v>1123</v>
      </c>
      <c r="R931" s="0" t="s">
        <v>485</v>
      </c>
      <c r="S931" s="0" t="s">
        <v>9318</v>
      </c>
    </row>
    <row r="932" customFormat="false" ht="13.8" hidden="false" customHeight="false" outlineLevel="0" collapsed="false">
      <c r="A932" s="0" t="s">
        <v>274</v>
      </c>
      <c r="B932" s="0" t="n">
        <v>55</v>
      </c>
      <c r="C932" s="0" t="s">
        <v>9314</v>
      </c>
      <c r="D932" s="0" t="s">
        <v>273</v>
      </c>
      <c r="E932" s="0" t="s">
        <v>273</v>
      </c>
      <c r="F932" s="4" t="n">
        <v>54</v>
      </c>
      <c r="G932" s="2" t="n">
        <v>0</v>
      </c>
      <c r="H932" s="2" t="n">
        <v>0</v>
      </c>
      <c r="I932" s="4" t="n">
        <v>2</v>
      </c>
      <c r="J932" s="2" t="n">
        <v>0</v>
      </c>
      <c r="K932" s="2" t="n">
        <v>0</v>
      </c>
      <c r="L932" s="4" t="n">
        <v>1</v>
      </c>
      <c r="M932" s="2" t="n">
        <v>10</v>
      </c>
      <c r="N932" s="2" t="s">
        <v>107</v>
      </c>
      <c r="O932" s="4" t="n">
        <v>3</v>
      </c>
      <c r="Q932" s="2" t="n">
        <v>1124</v>
      </c>
      <c r="R932" s="0" t="s">
        <v>273</v>
      </c>
      <c r="S932" s="0" t="s">
        <v>9319</v>
      </c>
    </row>
    <row r="933" customFormat="false" ht="13.8" hidden="false" customHeight="false" outlineLevel="0" collapsed="false">
      <c r="A933" s="0" t="s">
        <v>274</v>
      </c>
      <c r="B933" s="0" t="n">
        <v>55</v>
      </c>
      <c r="C933" s="0" t="s">
        <v>9314</v>
      </c>
      <c r="D933" s="0" t="s">
        <v>309</v>
      </c>
      <c r="E933" s="0" t="s">
        <v>309</v>
      </c>
      <c r="F933" s="4" t="n">
        <v>66</v>
      </c>
      <c r="G933" s="2" t="n">
        <v>0</v>
      </c>
      <c r="H933" s="2" t="n">
        <v>0</v>
      </c>
      <c r="I933" s="4" t="n">
        <v>2</v>
      </c>
      <c r="J933" s="2" t="n">
        <v>3</v>
      </c>
      <c r="K933" s="2" t="s">
        <v>13</v>
      </c>
      <c r="L933" s="4" t="n">
        <v>1</v>
      </c>
      <c r="M933" s="2" t="n">
        <v>0</v>
      </c>
      <c r="N933" s="2" t="n">
        <v>0</v>
      </c>
      <c r="O933" s="4" t="n">
        <v>3</v>
      </c>
      <c r="Q933" s="2" t="n">
        <v>1125</v>
      </c>
      <c r="R933" s="0" t="s">
        <v>309</v>
      </c>
      <c r="S933" s="0" t="s">
        <v>9320</v>
      </c>
    </row>
    <row r="934" customFormat="false" ht="13.8" hidden="false" customHeight="false" outlineLevel="0" collapsed="false">
      <c r="A934" s="0" t="s">
        <v>274</v>
      </c>
      <c r="B934" s="0" t="n">
        <v>55</v>
      </c>
      <c r="C934" s="0" t="s">
        <v>9314</v>
      </c>
      <c r="D934" s="0" t="s">
        <v>879</v>
      </c>
      <c r="E934" s="0" t="s">
        <v>386</v>
      </c>
      <c r="F934" s="4" t="n">
        <v>93</v>
      </c>
      <c r="G934" s="2" t="n">
        <v>0</v>
      </c>
      <c r="H934" s="2" t="n">
        <v>0</v>
      </c>
      <c r="I934" s="4" t="n">
        <v>2</v>
      </c>
      <c r="J934" s="2" t="n">
        <v>1</v>
      </c>
      <c r="K934" s="2" t="s">
        <v>13</v>
      </c>
      <c r="L934" s="4" t="n">
        <v>1</v>
      </c>
      <c r="M934" s="2" t="n">
        <v>0</v>
      </c>
      <c r="N934" s="2" t="n">
        <v>0</v>
      </c>
      <c r="O934" s="4" t="n">
        <v>3</v>
      </c>
      <c r="Q934" s="2" t="n">
        <v>1126</v>
      </c>
      <c r="R934" s="0" t="s">
        <v>386</v>
      </c>
      <c r="S934" s="0" t="s">
        <v>9321</v>
      </c>
    </row>
    <row r="935" customFormat="false" ht="13.8" hidden="false" customHeight="false" outlineLevel="0" collapsed="false">
      <c r="A935" s="0" t="s">
        <v>274</v>
      </c>
      <c r="B935" s="0" t="n">
        <v>55</v>
      </c>
      <c r="C935" s="0" t="s">
        <v>9314</v>
      </c>
      <c r="D935" s="0" t="s">
        <v>803</v>
      </c>
      <c r="E935" s="0" t="s">
        <v>38</v>
      </c>
      <c r="F935" s="4" t="n">
        <v>105</v>
      </c>
      <c r="G935" s="2" t="n">
        <v>0</v>
      </c>
      <c r="H935" s="2" t="n">
        <v>0</v>
      </c>
      <c r="I935" s="4" t="n">
        <v>2</v>
      </c>
      <c r="J935" s="2" t="n">
        <v>1</v>
      </c>
      <c r="K935" s="2" t="s">
        <v>13</v>
      </c>
      <c r="L935" s="4" t="n">
        <v>1</v>
      </c>
      <c r="M935" s="2" t="n">
        <v>0</v>
      </c>
      <c r="N935" s="2" t="n">
        <v>0</v>
      </c>
      <c r="O935" s="4" t="n">
        <v>3</v>
      </c>
      <c r="Q935" s="2" t="n">
        <v>1127</v>
      </c>
      <c r="R935" s="0" t="s">
        <v>38</v>
      </c>
      <c r="S935" s="0" t="s">
        <v>9322</v>
      </c>
    </row>
    <row r="936" customFormat="false" ht="13.8" hidden="false" customHeight="false" outlineLevel="0" collapsed="false">
      <c r="A936" s="0" t="s">
        <v>274</v>
      </c>
      <c r="B936" s="0" t="n">
        <v>55</v>
      </c>
      <c r="C936" s="0" t="s">
        <v>9314</v>
      </c>
      <c r="D936" s="0" t="s">
        <v>450</v>
      </c>
      <c r="E936" s="0" t="s">
        <v>450</v>
      </c>
      <c r="F936" s="4" t="n">
        <v>157</v>
      </c>
      <c r="G936" s="2" t="n">
        <v>25</v>
      </c>
      <c r="H936" s="2" t="n">
        <v>0</v>
      </c>
      <c r="I936" s="4" t="n">
        <v>2</v>
      </c>
      <c r="J936" s="2" t="n">
        <v>0</v>
      </c>
      <c r="K936" s="2" t="n">
        <v>0</v>
      </c>
      <c r="L936" s="4" t="n">
        <v>1</v>
      </c>
      <c r="M936" s="2" t="n">
        <v>0</v>
      </c>
      <c r="N936" s="2" t="n">
        <v>0</v>
      </c>
      <c r="O936" s="4" t="n">
        <v>3</v>
      </c>
      <c r="Q936" s="2" t="n">
        <v>1128</v>
      </c>
      <c r="R936" s="0" t="s">
        <v>450</v>
      </c>
      <c r="S936" s="0" t="s">
        <v>9323</v>
      </c>
    </row>
    <row r="937" customFormat="false" ht="13.8" hidden="false" customHeight="false" outlineLevel="0" collapsed="false">
      <c r="A937" s="0" t="s">
        <v>274</v>
      </c>
      <c r="B937" s="0" t="n">
        <v>55</v>
      </c>
      <c r="C937" s="0" t="s">
        <v>9314</v>
      </c>
      <c r="D937" s="0" t="s">
        <v>44</v>
      </c>
      <c r="E937" s="0" t="s">
        <v>44</v>
      </c>
      <c r="F937" s="4" t="n">
        <v>187</v>
      </c>
      <c r="G937" s="2" t="n">
        <v>2</v>
      </c>
      <c r="H937" s="2" t="n">
        <v>0</v>
      </c>
      <c r="I937" s="4" t="n">
        <v>2</v>
      </c>
      <c r="J937" s="2" t="n">
        <v>0</v>
      </c>
      <c r="K937" s="2" t="n">
        <v>0</v>
      </c>
      <c r="L937" s="4" t="n">
        <v>1</v>
      </c>
      <c r="M937" s="2" t="n">
        <v>0</v>
      </c>
      <c r="N937" s="2" t="n">
        <v>0</v>
      </c>
      <c r="O937" s="4" t="n">
        <v>3</v>
      </c>
      <c r="Q937" s="2" t="n">
        <v>1129</v>
      </c>
      <c r="R937" s="0" t="s">
        <v>44</v>
      </c>
      <c r="S937" s="0" t="s">
        <v>9324</v>
      </c>
    </row>
    <row r="938" customFormat="false" ht="13.8" hidden="false" customHeight="false" outlineLevel="0" collapsed="false">
      <c r="A938" s="0" t="s">
        <v>274</v>
      </c>
      <c r="B938" s="0" t="n">
        <v>55</v>
      </c>
      <c r="C938" s="0" t="s">
        <v>9314</v>
      </c>
      <c r="D938" s="0" t="s">
        <v>96</v>
      </c>
      <c r="E938" s="0" t="s">
        <v>96</v>
      </c>
      <c r="F938" s="4" t="n">
        <v>177</v>
      </c>
      <c r="G938" s="2" t="n">
        <v>0</v>
      </c>
      <c r="H938" s="2" t="n">
        <v>0</v>
      </c>
      <c r="I938" s="4" t="n">
        <v>2</v>
      </c>
      <c r="J938" s="2" t="n">
        <v>5</v>
      </c>
      <c r="K938" s="2" t="s">
        <v>20</v>
      </c>
      <c r="L938" s="4" t="n">
        <v>5</v>
      </c>
      <c r="M938" s="2" t="n">
        <v>0</v>
      </c>
      <c r="N938" s="2" t="n">
        <v>0</v>
      </c>
      <c r="O938" s="4" t="n">
        <v>3</v>
      </c>
      <c r="Q938" s="2" t="n">
        <v>1130</v>
      </c>
      <c r="R938" s="0" t="s">
        <v>96</v>
      </c>
      <c r="S938" s="0" t="s">
        <v>9325</v>
      </c>
    </row>
    <row r="939" customFormat="false" ht="13.8" hidden="false" customHeight="false" outlineLevel="0" collapsed="false">
      <c r="A939" s="0" t="s">
        <v>274</v>
      </c>
      <c r="B939" s="0" t="n">
        <v>55</v>
      </c>
      <c r="C939" s="0" t="s">
        <v>9314</v>
      </c>
      <c r="D939" s="0" t="s">
        <v>474</v>
      </c>
      <c r="E939" s="0" t="s">
        <v>474</v>
      </c>
      <c r="F939" s="4" t="n">
        <v>183</v>
      </c>
      <c r="G939" s="2" t="n">
        <v>3</v>
      </c>
      <c r="H939" s="2" t="s">
        <v>7</v>
      </c>
      <c r="I939" s="4" t="n">
        <v>2</v>
      </c>
      <c r="J939" s="2" t="n">
        <v>0</v>
      </c>
      <c r="K939" s="2" t="n">
        <v>0</v>
      </c>
      <c r="L939" s="4" t="n">
        <v>1</v>
      </c>
      <c r="M939" s="2" t="n">
        <v>0</v>
      </c>
      <c r="N939" s="2" t="n">
        <v>0</v>
      </c>
      <c r="O939" s="4" t="n">
        <v>3</v>
      </c>
      <c r="Q939" s="2" t="n">
        <v>1131</v>
      </c>
      <c r="R939" s="0" t="s">
        <v>474</v>
      </c>
      <c r="S939" s="0" t="s">
        <v>9326</v>
      </c>
    </row>
    <row r="940" customFormat="false" ht="13.8" hidden="false" customHeight="false" outlineLevel="0" collapsed="false">
      <c r="A940" s="0" t="s">
        <v>274</v>
      </c>
      <c r="B940" s="0" t="n">
        <v>55</v>
      </c>
      <c r="C940" s="0" t="s">
        <v>9314</v>
      </c>
      <c r="D940" s="0" t="s">
        <v>377</v>
      </c>
      <c r="E940" s="0" t="s">
        <v>377</v>
      </c>
      <c r="F940" s="4" t="n">
        <v>89</v>
      </c>
      <c r="G940" s="2" t="n">
        <v>0</v>
      </c>
      <c r="H940" s="2" t="n">
        <v>0</v>
      </c>
      <c r="I940" s="4" t="n">
        <v>2</v>
      </c>
      <c r="J940" s="2" t="n">
        <v>5</v>
      </c>
      <c r="K940" s="2" t="s">
        <v>13</v>
      </c>
      <c r="L940" s="4" t="n">
        <v>1</v>
      </c>
      <c r="M940" s="2" t="n">
        <v>0</v>
      </c>
      <c r="N940" s="2" t="n">
        <v>0</v>
      </c>
      <c r="O940" s="4" t="n">
        <v>3</v>
      </c>
      <c r="Q940" s="2" t="n">
        <v>1132</v>
      </c>
      <c r="R940" s="0" t="s">
        <v>377</v>
      </c>
      <c r="S940" s="0" t="s">
        <v>9327</v>
      </c>
    </row>
    <row r="941" customFormat="false" ht="13.8" hidden="false" customHeight="false" outlineLevel="0" collapsed="false">
      <c r="A941" s="0" t="s">
        <v>274</v>
      </c>
      <c r="B941" s="0" t="n">
        <v>55</v>
      </c>
      <c r="C941" s="0" t="s">
        <v>9314</v>
      </c>
      <c r="D941" s="0" t="s">
        <v>456</v>
      </c>
      <c r="E941" s="0" t="s">
        <v>456</v>
      </c>
      <c r="F941" s="4" t="n">
        <v>164</v>
      </c>
      <c r="G941" s="2" t="n">
        <v>0</v>
      </c>
      <c r="H941" s="2" t="n">
        <v>0</v>
      </c>
      <c r="I941" s="4" t="n">
        <v>2</v>
      </c>
      <c r="J941" s="2" t="n">
        <v>2</v>
      </c>
      <c r="K941" s="2" t="s">
        <v>20</v>
      </c>
      <c r="L941" s="4" t="n">
        <v>5</v>
      </c>
      <c r="M941" s="2" t="n">
        <v>0</v>
      </c>
      <c r="N941" s="2" t="n">
        <v>0</v>
      </c>
      <c r="O941" s="4" t="n">
        <v>3</v>
      </c>
      <c r="Q941" s="2" t="n">
        <v>1133</v>
      </c>
      <c r="R941" s="0" t="s">
        <v>456</v>
      </c>
      <c r="S941" s="0" t="s">
        <v>9328</v>
      </c>
    </row>
    <row r="942" customFormat="false" ht="13.8" hidden="false" customHeight="false" outlineLevel="0" collapsed="false">
      <c r="A942" s="0" t="s">
        <v>274</v>
      </c>
      <c r="B942" s="0" t="n">
        <v>55</v>
      </c>
      <c r="C942" s="0" t="s">
        <v>9314</v>
      </c>
      <c r="D942" s="0" t="s">
        <v>880</v>
      </c>
      <c r="E942" s="0" t="s">
        <v>398</v>
      </c>
      <c r="F942" s="4" t="n">
        <v>102</v>
      </c>
      <c r="G942" s="2" t="n">
        <v>0</v>
      </c>
      <c r="H942" s="2" t="n">
        <v>0</v>
      </c>
      <c r="I942" s="4" t="n">
        <v>2</v>
      </c>
      <c r="J942" s="2" t="n">
        <v>2</v>
      </c>
      <c r="K942" s="2" t="s">
        <v>20</v>
      </c>
      <c r="L942" s="4" t="n">
        <v>5</v>
      </c>
      <c r="M942" s="2" t="n">
        <v>0</v>
      </c>
      <c r="N942" s="2" t="n">
        <v>0</v>
      </c>
      <c r="O942" s="4" t="n">
        <v>3</v>
      </c>
      <c r="Q942" s="2" t="n">
        <v>1134</v>
      </c>
      <c r="R942" s="0" t="s">
        <v>398</v>
      </c>
      <c r="S942" s="0" t="s">
        <v>9329</v>
      </c>
    </row>
    <row r="943" customFormat="false" ht="13.8" hidden="false" customHeight="false" outlineLevel="0" collapsed="false">
      <c r="A943" s="0" t="s">
        <v>274</v>
      </c>
      <c r="B943" s="0" t="n">
        <v>55</v>
      </c>
      <c r="C943" s="0" t="s">
        <v>9314</v>
      </c>
      <c r="D943" s="0" t="s">
        <v>382</v>
      </c>
      <c r="E943" s="0" t="s">
        <v>382</v>
      </c>
      <c r="F943" s="4" t="n">
        <v>91</v>
      </c>
      <c r="G943" s="2" t="n">
        <v>0</v>
      </c>
      <c r="H943" s="2" t="n">
        <v>0</v>
      </c>
      <c r="I943" s="4" t="n">
        <v>2</v>
      </c>
      <c r="J943" s="2" t="n">
        <v>1.5</v>
      </c>
      <c r="K943" s="2" t="s">
        <v>20</v>
      </c>
      <c r="L943" s="4" t="n">
        <v>5</v>
      </c>
      <c r="M943" s="2" t="n">
        <v>0</v>
      </c>
      <c r="N943" s="2" t="n">
        <v>0</v>
      </c>
      <c r="O943" s="4" t="n">
        <v>3</v>
      </c>
      <c r="Q943" s="2" t="n">
        <v>1135</v>
      </c>
      <c r="R943" s="0" t="s">
        <v>382</v>
      </c>
      <c r="S943" s="0" t="s">
        <v>9330</v>
      </c>
    </row>
    <row r="944" customFormat="false" ht="13.8" hidden="false" customHeight="false" outlineLevel="0" collapsed="false">
      <c r="A944" s="0" t="s">
        <v>256</v>
      </c>
      <c r="B944" s="0" t="n">
        <v>49</v>
      </c>
      <c r="C944" s="0" t="s">
        <v>9331</v>
      </c>
      <c r="D944" s="0" t="s">
        <v>881</v>
      </c>
      <c r="E944" s="0" t="s">
        <v>386</v>
      </c>
      <c r="F944" s="4" t="n">
        <v>93</v>
      </c>
      <c r="G944" s="2" t="n">
        <v>0</v>
      </c>
      <c r="H944" s="2" t="n">
        <v>0</v>
      </c>
      <c r="I944" s="4" t="n">
        <v>2</v>
      </c>
      <c r="J944" s="2" t="n">
        <v>1</v>
      </c>
      <c r="K944" s="2" t="s">
        <v>13</v>
      </c>
      <c r="L944" s="4" t="n">
        <v>1</v>
      </c>
      <c r="M944" s="2" t="n">
        <v>0</v>
      </c>
      <c r="N944" s="2" t="n">
        <v>0</v>
      </c>
      <c r="O944" s="4" t="n">
        <v>3</v>
      </c>
      <c r="Q944" s="2" t="n">
        <v>1140</v>
      </c>
      <c r="R944" s="0" t="s">
        <v>386</v>
      </c>
      <c r="S944" s="0" t="s">
        <v>9332</v>
      </c>
    </row>
    <row r="945" customFormat="false" ht="13.8" hidden="false" customHeight="false" outlineLevel="0" collapsed="false">
      <c r="A945" s="0" t="s">
        <v>256</v>
      </c>
      <c r="B945" s="0" t="n">
        <v>49</v>
      </c>
      <c r="C945" s="0" t="s">
        <v>9331</v>
      </c>
      <c r="D945" s="0" t="s">
        <v>882</v>
      </c>
      <c r="E945" s="0" t="s">
        <v>386</v>
      </c>
      <c r="F945" s="4" t="n">
        <v>93</v>
      </c>
      <c r="G945" s="2" t="n">
        <v>0</v>
      </c>
      <c r="H945" s="2" t="n">
        <v>0</v>
      </c>
      <c r="I945" s="4" t="n">
        <v>2</v>
      </c>
      <c r="J945" s="2" t="n">
        <v>2</v>
      </c>
      <c r="K945" s="2" t="s">
        <v>13</v>
      </c>
      <c r="L945" s="4" t="n">
        <v>1</v>
      </c>
      <c r="M945" s="2" t="n">
        <v>0</v>
      </c>
      <c r="N945" s="2" t="n">
        <v>0</v>
      </c>
      <c r="O945" s="4" t="n">
        <v>3</v>
      </c>
      <c r="P945" s="0" t="s">
        <v>883</v>
      </c>
      <c r="Q945" s="2" t="n">
        <v>1141</v>
      </c>
      <c r="R945" s="0" t="s">
        <v>386</v>
      </c>
      <c r="S945" s="0" t="s">
        <v>9333</v>
      </c>
    </row>
    <row r="946" customFormat="false" ht="13.8" hidden="false" customHeight="false" outlineLevel="0" collapsed="false">
      <c r="A946" s="0" t="s">
        <v>256</v>
      </c>
      <c r="B946" s="0" t="n">
        <v>49</v>
      </c>
      <c r="C946" s="0" t="s">
        <v>9331</v>
      </c>
      <c r="D946" s="0" t="s">
        <v>833</v>
      </c>
      <c r="E946" s="0" t="s">
        <v>423</v>
      </c>
      <c r="F946" s="4" t="n">
        <v>129</v>
      </c>
      <c r="G946" s="2" t="n">
        <v>0</v>
      </c>
      <c r="H946" s="2" t="n">
        <v>0</v>
      </c>
      <c r="I946" s="4" t="n">
        <v>2</v>
      </c>
      <c r="J946" s="2" t="n">
        <v>1</v>
      </c>
      <c r="K946" s="2" t="s">
        <v>13</v>
      </c>
      <c r="L946" s="4" t="n">
        <v>1</v>
      </c>
      <c r="M946" s="2" t="n">
        <v>0</v>
      </c>
      <c r="N946" s="2" t="n">
        <v>0</v>
      </c>
      <c r="O946" s="4" t="n">
        <v>3</v>
      </c>
      <c r="P946" s="0" t="s">
        <v>884</v>
      </c>
      <c r="Q946" s="2" t="n">
        <v>1142</v>
      </c>
      <c r="R946" s="0" t="s">
        <v>423</v>
      </c>
      <c r="S946" s="0" t="s">
        <v>9334</v>
      </c>
    </row>
    <row r="947" customFormat="false" ht="13.8" hidden="false" customHeight="false" outlineLevel="0" collapsed="false">
      <c r="A947" s="0" t="s">
        <v>256</v>
      </c>
      <c r="B947" s="0" t="n">
        <v>49</v>
      </c>
      <c r="C947" s="0" t="s">
        <v>9331</v>
      </c>
      <c r="D947" s="0" t="s">
        <v>471</v>
      </c>
      <c r="E947" s="0" t="s">
        <v>471</v>
      </c>
      <c r="F947" s="4" t="n">
        <v>180</v>
      </c>
      <c r="G947" s="2" t="n">
        <v>6</v>
      </c>
      <c r="H947" s="2" t="s">
        <v>7</v>
      </c>
      <c r="I947" s="4" t="n">
        <v>2</v>
      </c>
      <c r="J947" s="2" t="n">
        <v>0</v>
      </c>
      <c r="K947" s="2" t="n">
        <v>0</v>
      </c>
      <c r="L947" s="4" t="n">
        <v>1</v>
      </c>
      <c r="M947" s="2" t="n">
        <v>0</v>
      </c>
      <c r="N947" s="2" t="n">
        <v>0</v>
      </c>
      <c r="O947" s="4" t="n">
        <v>3</v>
      </c>
      <c r="P947" s="0" t="s">
        <v>885</v>
      </c>
      <c r="Q947" s="2" t="n">
        <v>1143</v>
      </c>
      <c r="R947" s="0" t="s">
        <v>471</v>
      </c>
      <c r="S947" s="0" t="s">
        <v>9335</v>
      </c>
    </row>
    <row r="948" customFormat="false" ht="13.8" hidden="false" customHeight="false" outlineLevel="0" collapsed="false">
      <c r="A948" s="0" t="s">
        <v>256</v>
      </c>
      <c r="B948" s="0" t="n">
        <v>49</v>
      </c>
      <c r="C948" s="0" t="s">
        <v>9331</v>
      </c>
      <c r="D948" s="0" t="s">
        <v>485</v>
      </c>
      <c r="E948" s="0" t="s">
        <v>485</v>
      </c>
      <c r="F948" s="4" t="n">
        <v>195</v>
      </c>
      <c r="G948" s="2" t="n">
        <v>10</v>
      </c>
      <c r="H948" s="2" t="s">
        <v>7</v>
      </c>
      <c r="I948" s="4" t="n">
        <v>2</v>
      </c>
      <c r="J948" s="2" t="n">
        <v>0</v>
      </c>
      <c r="K948" s="2" t="n">
        <v>0</v>
      </c>
      <c r="L948" s="4" t="n">
        <v>1</v>
      </c>
      <c r="M948" s="2" t="n">
        <v>0</v>
      </c>
      <c r="N948" s="2" t="n">
        <v>0</v>
      </c>
      <c r="O948" s="4" t="n">
        <v>3</v>
      </c>
      <c r="P948" s="0" t="s">
        <v>886</v>
      </c>
      <c r="Q948" s="2" t="n">
        <v>1144</v>
      </c>
      <c r="R948" s="0" t="s">
        <v>485</v>
      </c>
      <c r="S948" s="0" t="s">
        <v>9336</v>
      </c>
    </row>
    <row r="949" customFormat="false" ht="13.8" hidden="false" customHeight="false" outlineLevel="0" collapsed="false">
      <c r="A949" s="0" t="s">
        <v>256</v>
      </c>
      <c r="B949" s="0" t="n">
        <v>49</v>
      </c>
      <c r="C949" s="0" t="s">
        <v>9331</v>
      </c>
      <c r="D949" s="0" t="s">
        <v>846</v>
      </c>
      <c r="E949" s="0" t="s">
        <v>130</v>
      </c>
      <c r="F949" s="4" t="n">
        <v>8</v>
      </c>
      <c r="G949" s="2" t="n">
        <v>10</v>
      </c>
      <c r="H949" s="2" t="s">
        <v>7</v>
      </c>
      <c r="I949" s="4" t="n">
        <v>2</v>
      </c>
      <c r="J949" s="2" t="n">
        <v>0</v>
      </c>
      <c r="K949" s="2" t="n">
        <v>0</v>
      </c>
      <c r="L949" s="4" t="n">
        <v>1</v>
      </c>
      <c r="M949" s="2" t="n">
        <v>0</v>
      </c>
      <c r="N949" s="2" t="n">
        <v>0</v>
      </c>
      <c r="O949" s="4" t="n">
        <v>3</v>
      </c>
      <c r="P949" s="0" t="s">
        <v>887</v>
      </c>
      <c r="Q949" s="2" t="n">
        <v>1145</v>
      </c>
      <c r="R949" s="0" t="s">
        <v>130</v>
      </c>
      <c r="S949" s="0" t="s">
        <v>9337</v>
      </c>
    </row>
    <row r="950" customFormat="false" ht="13.8" hidden="false" customHeight="false" outlineLevel="0" collapsed="false">
      <c r="A950" s="0" t="s">
        <v>256</v>
      </c>
      <c r="B950" s="0" t="n">
        <v>49</v>
      </c>
      <c r="C950" s="0" t="s">
        <v>9331</v>
      </c>
      <c r="D950" s="0" t="s">
        <v>406</v>
      </c>
      <c r="E950" s="0" t="s">
        <v>406</v>
      </c>
      <c r="F950" s="4" t="n">
        <v>111</v>
      </c>
      <c r="G950" s="2" t="n">
        <v>10</v>
      </c>
      <c r="H950" s="2" t="s">
        <v>7</v>
      </c>
      <c r="I950" s="4" t="n">
        <v>2</v>
      </c>
      <c r="J950" s="2" t="n">
        <v>0</v>
      </c>
      <c r="K950" s="2" t="n">
        <v>0</v>
      </c>
      <c r="L950" s="4" t="n">
        <v>1</v>
      </c>
      <c r="M950" s="2" t="n">
        <v>0</v>
      </c>
      <c r="N950" s="2" t="n">
        <v>0</v>
      </c>
      <c r="O950" s="4" t="n">
        <v>3</v>
      </c>
      <c r="Q950" s="2" t="n">
        <v>1146</v>
      </c>
      <c r="R950" s="0" t="s">
        <v>406</v>
      </c>
      <c r="S950" s="0" t="s">
        <v>9338</v>
      </c>
    </row>
    <row r="951" customFormat="false" ht="13.8" hidden="false" customHeight="false" outlineLevel="0" collapsed="false">
      <c r="A951" s="0" t="s">
        <v>256</v>
      </c>
      <c r="B951" s="0" t="n">
        <v>49</v>
      </c>
      <c r="C951" s="0" t="s">
        <v>9331</v>
      </c>
      <c r="D951" s="0" t="s">
        <v>309</v>
      </c>
      <c r="E951" s="0" t="s">
        <v>309</v>
      </c>
      <c r="F951" s="4" t="n">
        <v>66</v>
      </c>
      <c r="G951" s="2" t="n">
        <v>0</v>
      </c>
      <c r="H951" s="2" t="n">
        <v>0</v>
      </c>
      <c r="I951" s="4" t="n">
        <v>2</v>
      </c>
      <c r="J951" s="2" t="n">
        <v>4</v>
      </c>
      <c r="K951" s="2" t="s">
        <v>13</v>
      </c>
      <c r="L951" s="4" t="n">
        <v>1</v>
      </c>
      <c r="M951" s="2" t="n">
        <v>0</v>
      </c>
      <c r="N951" s="2" t="n">
        <v>0</v>
      </c>
      <c r="O951" s="4" t="n">
        <v>3</v>
      </c>
      <c r="Q951" s="2" t="n">
        <v>1147</v>
      </c>
      <c r="R951" s="0" t="s">
        <v>309</v>
      </c>
      <c r="S951" s="0" t="s">
        <v>9339</v>
      </c>
    </row>
    <row r="952" customFormat="false" ht="13.8" hidden="false" customHeight="false" outlineLevel="0" collapsed="false">
      <c r="A952" s="0" t="s">
        <v>256</v>
      </c>
      <c r="B952" s="0" t="n">
        <v>49</v>
      </c>
      <c r="C952" s="0" t="s">
        <v>9331</v>
      </c>
      <c r="D952" s="0" t="s">
        <v>803</v>
      </c>
      <c r="E952" s="0" t="s">
        <v>38</v>
      </c>
      <c r="F952" s="4" t="n">
        <v>105</v>
      </c>
      <c r="G952" s="2" t="n">
        <v>0</v>
      </c>
      <c r="H952" s="2" t="n">
        <v>0</v>
      </c>
      <c r="I952" s="4" t="n">
        <v>2</v>
      </c>
      <c r="J952" s="2" t="n">
        <v>2</v>
      </c>
      <c r="K952" s="2" t="s">
        <v>13</v>
      </c>
      <c r="L952" s="4" t="n">
        <v>1</v>
      </c>
      <c r="M952" s="2" t="n">
        <v>0</v>
      </c>
      <c r="N952" s="2" t="n">
        <v>0</v>
      </c>
      <c r="O952" s="4" t="n">
        <v>3</v>
      </c>
      <c r="Q952" s="2" t="n">
        <v>1148</v>
      </c>
      <c r="R952" s="0" t="s">
        <v>38</v>
      </c>
      <c r="S952" s="0" t="s">
        <v>9340</v>
      </c>
    </row>
    <row r="953" customFormat="false" ht="13.8" hidden="false" customHeight="false" outlineLevel="0" collapsed="false">
      <c r="A953" s="0" t="s">
        <v>256</v>
      </c>
      <c r="B953" s="0" t="n">
        <v>49</v>
      </c>
      <c r="C953" s="0" t="s">
        <v>9331</v>
      </c>
      <c r="D953" s="0" t="s">
        <v>888</v>
      </c>
      <c r="E953" s="0" t="s">
        <v>421</v>
      </c>
      <c r="F953" s="4" t="n">
        <v>126</v>
      </c>
      <c r="G953" s="2" t="n">
        <v>20</v>
      </c>
      <c r="H953" s="2" t="s">
        <v>7</v>
      </c>
      <c r="I953" s="4" t="n">
        <v>2</v>
      </c>
      <c r="J953" s="2" t="n">
        <v>0</v>
      </c>
      <c r="K953" s="2" t="n">
        <v>0</v>
      </c>
      <c r="L953" s="4" t="n">
        <v>1</v>
      </c>
      <c r="M953" s="2" t="n">
        <v>0</v>
      </c>
      <c r="N953" s="2" t="n">
        <v>0</v>
      </c>
      <c r="O953" s="4" t="n">
        <v>3</v>
      </c>
      <c r="Q953" s="2" t="n">
        <v>1149</v>
      </c>
      <c r="R953" s="0" t="s">
        <v>421</v>
      </c>
      <c r="S953" s="0" t="s">
        <v>9341</v>
      </c>
    </row>
    <row r="954" customFormat="false" ht="13.8" hidden="false" customHeight="false" outlineLevel="0" collapsed="false">
      <c r="A954" s="0" t="s">
        <v>256</v>
      </c>
      <c r="B954" s="0" t="n">
        <v>49</v>
      </c>
      <c r="C954" s="0" t="s">
        <v>9331</v>
      </c>
      <c r="D954" s="0" t="s">
        <v>96</v>
      </c>
      <c r="E954" s="0" t="s">
        <v>96</v>
      </c>
      <c r="F954" s="4" t="n">
        <v>177</v>
      </c>
      <c r="G954" s="2" t="n">
        <v>0</v>
      </c>
      <c r="H954" s="2" t="n">
        <v>0</v>
      </c>
      <c r="I954" s="4" t="n">
        <v>2</v>
      </c>
      <c r="J954" s="2" t="n">
        <v>2</v>
      </c>
      <c r="K954" s="2" t="s">
        <v>20</v>
      </c>
      <c r="L954" s="4" t="n">
        <v>5</v>
      </c>
      <c r="M954" s="2" t="n">
        <v>0</v>
      </c>
      <c r="N954" s="2" t="n">
        <v>0</v>
      </c>
      <c r="O954" s="4" t="n">
        <v>3</v>
      </c>
      <c r="Q954" s="2" t="n">
        <v>1150</v>
      </c>
      <c r="R954" s="0" t="s">
        <v>96</v>
      </c>
      <c r="S954" s="0" t="s">
        <v>9342</v>
      </c>
    </row>
    <row r="955" customFormat="false" ht="13.8" hidden="false" customHeight="false" outlineLevel="0" collapsed="false">
      <c r="A955" s="0" t="s">
        <v>256</v>
      </c>
      <c r="B955" s="0" t="n">
        <v>49</v>
      </c>
      <c r="C955" s="0" t="s">
        <v>9331</v>
      </c>
      <c r="D955" s="0" t="s">
        <v>889</v>
      </c>
      <c r="E955" s="0" t="s">
        <v>429</v>
      </c>
      <c r="F955" s="4" t="n">
        <v>135</v>
      </c>
      <c r="G955" s="2" t="n">
        <v>0</v>
      </c>
      <c r="H955" s="2" t="n">
        <v>0</v>
      </c>
      <c r="I955" s="4" t="n">
        <v>2</v>
      </c>
      <c r="J955" s="2" t="n">
        <v>2.5</v>
      </c>
      <c r="K955" s="2" t="s">
        <v>20</v>
      </c>
      <c r="L955" s="4" t="n">
        <v>5</v>
      </c>
      <c r="M955" s="2" t="n">
        <v>0</v>
      </c>
      <c r="N955" s="2" t="n">
        <v>0</v>
      </c>
      <c r="O955" s="4" t="n">
        <v>3</v>
      </c>
      <c r="Q955" s="2" t="n">
        <v>1151</v>
      </c>
      <c r="R955" s="0" t="s">
        <v>429</v>
      </c>
      <c r="S955" s="0" t="s">
        <v>9343</v>
      </c>
    </row>
    <row r="956" customFormat="false" ht="13.8" hidden="false" customHeight="false" outlineLevel="0" collapsed="false">
      <c r="A956" s="0" t="s">
        <v>256</v>
      </c>
      <c r="B956" s="0" t="n">
        <v>49</v>
      </c>
      <c r="C956" s="0" t="s">
        <v>9331</v>
      </c>
      <c r="D956" s="0" t="s">
        <v>890</v>
      </c>
      <c r="E956" s="0" t="s">
        <v>382</v>
      </c>
      <c r="F956" s="4" t="n">
        <v>91</v>
      </c>
      <c r="G956" s="2" t="n">
        <v>0</v>
      </c>
      <c r="H956" s="2" t="n">
        <v>0</v>
      </c>
      <c r="I956" s="4" t="n">
        <v>2</v>
      </c>
      <c r="J956" s="2" t="n">
        <v>2.5</v>
      </c>
      <c r="K956" s="2" t="s">
        <v>20</v>
      </c>
      <c r="L956" s="4" t="n">
        <v>5</v>
      </c>
      <c r="M956" s="2" t="n">
        <v>0</v>
      </c>
      <c r="N956" s="2" t="n">
        <v>0</v>
      </c>
      <c r="O956" s="4" t="n">
        <v>3</v>
      </c>
      <c r="Q956" s="2" t="n">
        <v>1152</v>
      </c>
      <c r="R956" s="0" t="s">
        <v>382</v>
      </c>
      <c r="S956" s="0" t="s">
        <v>9344</v>
      </c>
    </row>
    <row r="957" customFormat="false" ht="13.8" hidden="false" customHeight="false" outlineLevel="0" collapsed="false">
      <c r="A957" s="0" t="s">
        <v>256</v>
      </c>
      <c r="B957" s="0" t="n">
        <v>49</v>
      </c>
      <c r="C957" s="0" t="s">
        <v>9331</v>
      </c>
      <c r="D957" s="0" t="s">
        <v>456</v>
      </c>
      <c r="E957" s="0" t="s">
        <v>456</v>
      </c>
      <c r="F957" s="4" t="n">
        <v>164</v>
      </c>
      <c r="G957" s="2" t="n">
        <v>0</v>
      </c>
      <c r="H957" s="2" t="n">
        <v>0</v>
      </c>
      <c r="I957" s="4" t="n">
        <v>2</v>
      </c>
      <c r="J957" s="2" t="n">
        <v>1</v>
      </c>
      <c r="K957" s="2" t="s">
        <v>20</v>
      </c>
      <c r="L957" s="4" t="n">
        <v>5</v>
      </c>
      <c r="M957" s="2" t="n">
        <v>0</v>
      </c>
      <c r="N957" s="2" t="n">
        <v>0</v>
      </c>
      <c r="O957" s="4" t="n">
        <v>3</v>
      </c>
      <c r="Q957" s="2" t="n">
        <v>1153</v>
      </c>
      <c r="R957" s="0" t="s">
        <v>456</v>
      </c>
      <c r="S957" s="0" t="s">
        <v>9345</v>
      </c>
    </row>
    <row r="958" customFormat="false" ht="13.8" hidden="false" customHeight="false" outlineLevel="0" collapsed="false">
      <c r="A958" s="0" t="s">
        <v>256</v>
      </c>
      <c r="B958" s="0" t="n">
        <v>49</v>
      </c>
      <c r="C958" s="0" t="s">
        <v>9331</v>
      </c>
      <c r="D958" s="0" t="s">
        <v>398</v>
      </c>
      <c r="E958" s="0" t="s">
        <v>398</v>
      </c>
      <c r="F958" s="4" t="n">
        <v>102</v>
      </c>
      <c r="G958" s="2" t="n">
        <v>0</v>
      </c>
      <c r="H958" s="2" t="n">
        <v>0</v>
      </c>
      <c r="I958" s="4" t="n">
        <v>2</v>
      </c>
      <c r="J958" s="2" t="n">
        <v>2</v>
      </c>
      <c r="K958" s="2" t="s">
        <v>20</v>
      </c>
      <c r="L958" s="4" t="n">
        <v>5</v>
      </c>
      <c r="M958" s="2" t="n">
        <v>0</v>
      </c>
      <c r="N958" s="2" t="n">
        <v>0</v>
      </c>
      <c r="O958" s="4" t="n">
        <v>3</v>
      </c>
      <c r="Q958" s="2" t="n">
        <v>1154</v>
      </c>
      <c r="R958" s="0" t="s">
        <v>398</v>
      </c>
      <c r="S958" s="0" t="s">
        <v>9346</v>
      </c>
    </row>
    <row r="959" customFormat="false" ht="13.8" hidden="false" customHeight="false" outlineLevel="0" collapsed="false">
      <c r="A959" s="0" t="s">
        <v>256</v>
      </c>
      <c r="B959" s="0" t="n">
        <v>49</v>
      </c>
      <c r="C959" s="0" t="s">
        <v>9331</v>
      </c>
      <c r="D959" s="0" t="s">
        <v>891</v>
      </c>
      <c r="E959" s="0" t="s">
        <v>123</v>
      </c>
      <c r="F959" s="4" t="n">
        <v>6</v>
      </c>
      <c r="G959" s="2" t="n">
        <v>0</v>
      </c>
      <c r="H959" s="2" t="n">
        <v>0</v>
      </c>
      <c r="I959" s="4" t="n">
        <v>2</v>
      </c>
      <c r="J959" s="2" t="n">
        <v>1</v>
      </c>
      <c r="K959" s="2" t="s">
        <v>13</v>
      </c>
      <c r="L959" s="4" t="n">
        <v>1</v>
      </c>
      <c r="M959" s="2" t="n">
        <v>0</v>
      </c>
      <c r="N959" s="2" t="n">
        <v>0</v>
      </c>
      <c r="O959" s="4" t="n">
        <v>3</v>
      </c>
      <c r="Q959" s="2" t="n">
        <v>1155</v>
      </c>
      <c r="R959" s="0" t="s">
        <v>123</v>
      </c>
      <c r="S959" s="0" t="s">
        <v>9347</v>
      </c>
    </row>
    <row r="960" customFormat="false" ht="13.8" hidden="false" customHeight="false" outlineLevel="0" collapsed="false">
      <c r="A960" s="0" t="s">
        <v>256</v>
      </c>
      <c r="B960" s="0" t="n">
        <v>49</v>
      </c>
      <c r="C960" s="0" t="s">
        <v>9331</v>
      </c>
      <c r="D960" s="0" t="s">
        <v>839</v>
      </c>
      <c r="E960" s="0" t="s">
        <v>360</v>
      </c>
      <c r="F960" s="4" t="n">
        <v>83</v>
      </c>
      <c r="G960" s="2" t="n">
        <v>0</v>
      </c>
      <c r="H960" s="2" t="n">
        <v>0</v>
      </c>
      <c r="I960" s="4" t="n">
        <v>2</v>
      </c>
      <c r="J960" s="2" t="n">
        <v>5</v>
      </c>
      <c r="K960" s="2" t="s">
        <v>13</v>
      </c>
      <c r="L960" s="4" t="n">
        <v>1</v>
      </c>
      <c r="M960" s="2" t="n">
        <v>0</v>
      </c>
      <c r="N960" s="2" t="n">
        <v>0</v>
      </c>
      <c r="O960" s="4" t="n">
        <v>3</v>
      </c>
      <c r="Q960" s="2" t="n">
        <v>1156</v>
      </c>
      <c r="R960" s="0" t="s">
        <v>360</v>
      </c>
      <c r="S960" s="0" t="s">
        <v>9348</v>
      </c>
    </row>
    <row r="961" customFormat="false" ht="13.8" hidden="false" customHeight="false" outlineLevel="0" collapsed="false">
      <c r="A961" s="0" t="s">
        <v>256</v>
      </c>
      <c r="B961" s="0" t="n">
        <v>49</v>
      </c>
      <c r="C961" s="0" t="s">
        <v>9331</v>
      </c>
      <c r="D961" s="0" t="s">
        <v>892</v>
      </c>
      <c r="E961" s="0" t="s">
        <v>474</v>
      </c>
      <c r="F961" s="4" t="n">
        <v>183</v>
      </c>
      <c r="G961" s="2" t="n">
        <v>4</v>
      </c>
      <c r="H961" s="2" t="s">
        <v>7</v>
      </c>
      <c r="I961" s="4" t="n">
        <v>2</v>
      </c>
      <c r="J961" s="2" t="n">
        <v>0</v>
      </c>
      <c r="K961" s="2" t="n">
        <v>0</v>
      </c>
      <c r="L961" s="4" t="n">
        <v>1</v>
      </c>
      <c r="M961" s="2" t="n">
        <v>0</v>
      </c>
      <c r="N961" s="2" t="n">
        <v>0</v>
      </c>
      <c r="O961" s="4" t="n">
        <v>3</v>
      </c>
      <c r="Q961" s="2" t="n">
        <v>1157</v>
      </c>
      <c r="R961" s="0" t="s">
        <v>474</v>
      </c>
      <c r="S961" s="0" t="s">
        <v>9349</v>
      </c>
    </row>
    <row r="962" customFormat="false" ht="13.8" hidden="false" customHeight="false" outlineLevel="0" collapsed="false">
      <c r="A962" s="0" t="s">
        <v>256</v>
      </c>
      <c r="B962" s="0" t="n">
        <v>49</v>
      </c>
      <c r="C962" s="0" t="s">
        <v>9331</v>
      </c>
      <c r="D962" s="0" t="s">
        <v>893</v>
      </c>
      <c r="E962" s="0" t="s">
        <v>297</v>
      </c>
      <c r="F962" s="4" t="n">
        <v>62</v>
      </c>
      <c r="G962" s="2" t="n">
        <v>2</v>
      </c>
      <c r="H962" s="2" t="s">
        <v>7</v>
      </c>
      <c r="I962" s="4" t="n">
        <v>2</v>
      </c>
      <c r="J962" s="2" t="n">
        <v>0</v>
      </c>
      <c r="K962" s="2" t="n">
        <v>0</v>
      </c>
      <c r="L962" s="4" t="n">
        <v>1</v>
      </c>
      <c r="M962" s="2" t="n">
        <v>0</v>
      </c>
      <c r="N962" s="2" t="n">
        <v>0</v>
      </c>
      <c r="O962" s="4" t="n">
        <v>3</v>
      </c>
      <c r="Q962" s="2" t="n">
        <v>1158</v>
      </c>
      <c r="R962" s="0" t="s">
        <v>297</v>
      </c>
      <c r="S962" s="0" t="s">
        <v>9350</v>
      </c>
    </row>
    <row r="963" customFormat="false" ht="13.8" hidden="false" customHeight="false" outlineLevel="0" collapsed="false">
      <c r="A963" s="0" t="s">
        <v>256</v>
      </c>
      <c r="B963" s="0" t="n">
        <v>49</v>
      </c>
      <c r="C963" s="0" t="s">
        <v>9331</v>
      </c>
      <c r="D963" s="0" t="s">
        <v>894</v>
      </c>
      <c r="E963" s="0" t="s">
        <v>508</v>
      </c>
      <c r="F963" s="4" t="n">
        <v>221</v>
      </c>
      <c r="G963" s="2" t="n">
        <v>0</v>
      </c>
      <c r="H963" s="2" t="n">
        <v>0</v>
      </c>
      <c r="I963" s="4" t="n">
        <v>2</v>
      </c>
      <c r="J963" s="2" t="n">
        <v>0</v>
      </c>
      <c r="K963" s="2" t="n">
        <v>0</v>
      </c>
      <c r="L963" s="4" t="n">
        <v>1</v>
      </c>
      <c r="M963" s="2" t="n">
        <v>0</v>
      </c>
      <c r="N963" s="2" t="n">
        <v>0</v>
      </c>
      <c r="O963" s="4" t="n">
        <v>3</v>
      </c>
      <c r="Q963" s="2" t="n">
        <v>1159</v>
      </c>
      <c r="R963" s="0" t="s">
        <v>508</v>
      </c>
      <c r="S963" s="0" t="s">
        <v>9351</v>
      </c>
    </row>
    <row r="964" customFormat="false" ht="13.8" hidden="false" customHeight="false" outlineLevel="0" collapsed="false">
      <c r="A964" s="0" t="s">
        <v>256</v>
      </c>
      <c r="B964" s="0" t="n">
        <v>49</v>
      </c>
      <c r="C964" s="0" t="s">
        <v>9331</v>
      </c>
      <c r="D964" s="0" t="s">
        <v>252</v>
      </c>
      <c r="E964" s="0" t="s">
        <v>252</v>
      </c>
      <c r="F964" s="4" t="n">
        <v>47</v>
      </c>
      <c r="G964" s="2" t="n">
        <v>0</v>
      </c>
      <c r="H964" s="2" t="n">
        <v>0</v>
      </c>
      <c r="I964" s="4" t="n">
        <v>2</v>
      </c>
      <c r="J964" s="2" t="n">
        <v>2</v>
      </c>
      <c r="K964" s="2" t="s">
        <v>20</v>
      </c>
      <c r="L964" s="4" t="n">
        <v>5</v>
      </c>
      <c r="M964" s="2" t="n">
        <v>0</v>
      </c>
      <c r="N964" s="2" t="n">
        <v>0</v>
      </c>
      <c r="O964" s="4" t="n">
        <v>3</v>
      </c>
      <c r="Q964" s="2" t="n">
        <v>1160</v>
      </c>
      <c r="R964" s="0" t="s">
        <v>252</v>
      </c>
      <c r="S964" s="0" t="s">
        <v>9352</v>
      </c>
    </row>
    <row r="965" customFormat="false" ht="13.8" hidden="false" customHeight="false" outlineLevel="0" collapsed="false">
      <c r="A965" s="0" t="s">
        <v>256</v>
      </c>
      <c r="B965" s="0" t="n">
        <v>49</v>
      </c>
      <c r="C965" s="0" t="s">
        <v>9331</v>
      </c>
      <c r="D965" s="0" t="s">
        <v>865</v>
      </c>
      <c r="E965" s="0" t="s">
        <v>96</v>
      </c>
      <c r="F965" s="4" t="n">
        <v>177</v>
      </c>
      <c r="G965" s="2" t="n">
        <v>0</v>
      </c>
      <c r="H965" s="2" t="n">
        <v>0</v>
      </c>
      <c r="I965" s="4" t="n">
        <v>2</v>
      </c>
      <c r="J965" s="2" t="n">
        <v>0.5</v>
      </c>
      <c r="K965" s="2" t="s">
        <v>20</v>
      </c>
      <c r="L965" s="4" t="n">
        <v>5</v>
      </c>
      <c r="M965" s="2" t="n">
        <v>0</v>
      </c>
      <c r="N965" s="2" t="n">
        <v>0</v>
      </c>
      <c r="O965" s="4" t="n">
        <v>3</v>
      </c>
      <c r="Q965" s="2" t="n">
        <v>1161</v>
      </c>
      <c r="R965" s="0" t="s">
        <v>96</v>
      </c>
      <c r="S965" s="0" t="s">
        <v>9353</v>
      </c>
    </row>
    <row r="966" customFormat="false" ht="13.8" hidden="false" customHeight="false" outlineLevel="0" collapsed="false">
      <c r="A966" s="0" t="s">
        <v>256</v>
      </c>
      <c r="B966" s="0" t="n">
        <v>49</v>
      </c>
      <c r="C966" s="0" t="s">
        <v>9331</v>
      </c>
      <c r="D966" s="0" t="s">
        <v>207</v>
      </c>
      <c r="E966" s="0" t="s">
        <v>207</v>
      </c>
      <c r="F966" s="4" t="n">
        <v>32</v>
      </c>
      <c r="G966" s="2" t="n">
        <v>0</v>
      </c>
      <c r="H966" s="2" t="n">
        <v>0</v>
      </c>
      <c r="I966" s="4" t="n">
        <v>2</v>
      </c>
      <c r="J966" s="2" t="n">
        <v>1</v>
      </c>
      <c r="K966" s="2" t="s">
        <v>20</v>
      </c>
      <c r="L966" s="4" t="n">
        <v>5</v>
      </c>
      <c r="M966" s="2" t="n">
        <v>0</v>
      </c>
      <c r="N966" s="2" t="n">
        <v>0</v>
      </c>
      <c r="O966" s="4" t="n">
        <v>3</v>
      </c>
      <c r="Q966" s="2" t="n">
        <v>1162</v>
      </c>
      <c r="R966" s="0" t="s">
        <v>207</v>
      </c>
      <c r="S966" s="0" t="s">
        <v>9354</v>
      </c>
    </row>
    <row r="967" customFormat="false" ht="13.8" hidden="false" customHeight="false" outlineLevel="0" collapsed="false">
      <c r="A967" s="0" t="s">
        <v>187</v>
      </c>
      <c r="B967" s="0" t="n">
        <v>26</v>
      </c>
      <c r="C967" s="0" t="s">
        <v>9355</v>
      </c>
      <c r="D967" s="0" t="s">
        <v>348</v>
      </c>
      <c r="E967" s="0" t="s">
        <v>348</v>
      </c>
      <c r="F967" s="4" t="n">
        <v>79</v>
      </c>
      <c r="G967" s="2" t="n">
        <v>6</v>
      </c>
      <c r="H967" s="2" t="s">
        <v>7</v>
      </c>
      <c r="I967" s="4" t="n">
        <v>2</v>
      </c>
      <c r="J967" s="2" t="n">
        <v>0</v>
      </c>
      <c r="K967" s="2" t="n">
        <v>0</v>
      </c>
      <c r="L967" s="4" t="n">
        <v>1</v>
      </c>
      <c r="M967" s="2" t="n">
        <v>0</v>
      </c>
      <c r="N967" s="2" t="n">
        <v>0</v>
      </c>
      <c r="O967" s="4" t="n">
        <v>3</v>
      </c>
      <c r="Q967" s="2" t="n">
        <v>1165</v>
      </c>
      <c r="R967" s="0" t="s">
        <v>348</v>
      </c>
      <c r="S967" s="0" t="s">
        <v>9356</v>
      </c>
    </row>
    <row r="968" customFormat="false" ht="13.8" hidden="false" customHeight="false" outlineLevel="0" collapsed="false">
      <c r="A968" s="0" t="s">
        <v>187</v>
      </c>
      <c r="B968" s="0" t="n">
        <v>26</v>
      </c>
      <c r="C968" s="0" t="s">
        <v>9355</v>
      </c>
      <c r="D968" s="0" t="s">
        <v>655</v>
      </c>
      <c r="E968" s="0" t="s">
        <v>192</v>
      </c>
      <c r="F968" s="4" t="n">
        <v>27</v>
      </c>
      <c r="G968" s="2" t="n">
        <v>6</v>
      </c>
      <c r="H968" s="2" t="s">
        <v>7</v>
      </c>
      <c r="I968" s="4" t="n">
        <v>2</v>
      </c>
      <c r="J968" s="2" t="n">
        <v>0</v>
      </c>
      <c r="K968" s="2" t="n">
        <v>0</v>
      </c>
      <c r="L968" s="4" t="n">
        <v>1</v>
      </c>
      <c r="M968" s="2" t="n">
        <v>0</v>
      </c>
      <c r="N968" s="2" t="n">
        <v>0</v>
      </c>
      <c r="O968" s="4" t="n">
        <v>3</v>
      </c>
      <c r="Q968" s="2" t="n">
        <v>1166</v>
      </c>
      <c r="R968" s="0" t="s">
        <v>192</v>
      </c>
      <c r="S968" s="0" t="s">
        <v>9357</v>
      </c>
    </row>
    <row r="969" customFormat="false" ht="13.8" hidden="false" customHeight="false" outlineLevel="0" collapsed="false">
      <c r="A969" s="0" t="s">
        <v>187</v>
      </c>
      <c r="B969" s="0" t="n">
        <v>26</v>
      </c>
      <c r="C969" s="0" t="s">
        <v>9355</v>
      </c>
      <c r="D969" s="0" t="s">
        <v>549</v>
      </c>
      <c r="E969" s="0" t="s">
        <v>374</v>
      </c>
      <c r="F969" s="4" t="n">
        <v>88</v>
      </c>
      <c r="G969" s="2" t="n">
        <v>6</v>
      </c>
      <c r="H969" s="2" t="s">
        <v>7</v>
      </c>
      <c r="I969" s="4" t="n">
        <v>2</v>
      </c>
      <c r="J969" s="2" t="n">
        <v>0</v>
      </c>
      <c r="K969" s="2" t="n">
        <v>0</v>
      </c>
      <c r="L969" s="4" t="n">
        <v>1</v>
      </c>
      <c r="M969" s="2" t="n">
        <v>0</v>
      </c>
      <c r="N969" s="2" t="n">
        <v>0</v>
      </c>
      <c r="O969" s="4" t="n">
        <v>3</v>
      </c>
      <c r="P969" s="0" t="s">
        <v>895</v>
      </c>
      <c r="Q969" s="2" t="n">
        <v>1167</v>
      </c>
      <c r="R969" s="0" t="s">
        <v>374</v>
      </c>
      <c r="S969" s="0" t="s">
        <v>9358</v>
      </c>
    </row>
    <row r="970" customFormat="false" ht="13.8" hidden="false" customHeight="false" outlineLevel="0" collapsed="false">
      <c r="A970" s="0" t="s">
        <v>187</v>
      </c>
      <c r="B970" s="0" t="n">
        <v>26</v>
      </c>
      <c r="C970" s="0" t="s">
        <v>9355</v>
      </c>
      <c r="D970" s="0" t="s">
        <v>896</v>
      </c>
      <c r="E970" s="0" t="s">
        <v>386</v>
      </c>
      <c r="F970" s="4" t="n">
        <v>93</v>
      </c>
      <c r="G970" s="2" t="n">
        <v>0</v>
      </c>
      <c r="H970" s="2" t="n">
        <v>0</v>
      </c>
      <c r="I970" s="4" t="n">
        <v>2</v>
      </c>
      <c r="J970" s="2" t="n">
        <v>2</v>
      </c>
      <c r="K970" s="2" t="s">
        <v>13</v>
      </c>
      <c r="L970" s="4" t="n">
        <v>1</v>
      </c>
      <c r="M970" s="2" t="n">
        <v>0</v>
      </c>
      <c r="N970" s="2" t="n">
        <v>0</v>
      </c>
      <c r="O970" s="4" t="n">
        <v>3</v>
      </c>
      <c r="P970" s="0" t="s">
        <v>897</v>
      </c>
      <c r="Q970" s="2" t="n">
        <v>1168</v>
      </c>
      <c r="R970" s="0" t="s">
        <v>386</v>
      </c>
      <c r="S970" s="0" t="s">
        <v>9359</v>
      </c>
    </row>
    <row r="971" customFormat="false" ht="13.8" hidden="false" customHeight="false" outlineLevel="0" collapsed="false">
      <c r="A971" s="0" t="s">
        <v>187</v>
      </c>
      <c r="B971" s="0" t="n">
        <v>26</v>
      </c>
      <c r="C971" s="0" t="s">
        <v>9355</v>
      </c>
      <c r="D971" s="0" t="s">
        <v>102</v>
      </c>
      <c r="E971" s="0" t="s">
        <v>102</v>
      </c>
      <c r="F971" s="4" t="n">
        <v>1</v>
      </c>
      <c r="G971" s="2" t="n">
        <v>0</v>
      </c>
      <c r="H971" s="2" t="n">
        <v>0</v>
      </c>
      <c r="I971" s="4" t="n">
        <v>2</v>
      </c>
      <c r="J971" s="2" t="n">
        <v>2</v>
      </c>
      <c r="K971" s="2" t="s">
        <v>13</v>
      </c>
      <c r="L971" s="4" t="n">
        <v>1</v>
      </c>
      <c r="M971" s="2" t="n">
        <v>0</v>
      </c>
      <c r="N971" s="2" t="n">
        <v>0</v>
      </c>
      <c r="O971" s="4" t="n">
        <v>3</v>
      </c>
      <c r="P971" s="0" t="s">
        <v>898</v>
      </c>
      <c r="Q971" s="2" t="n">
        <v>1169</v>
      </c>
      <c r="R971" s="0" t="s">
        <v>102</v>
      </c>
      <c r="S971" s="0" t="s">
        <v>9360</v>
      </c>
    </row>
    <row r="972" customFormat="false" ht="13.8" hidden="false" customHeight="false" outlineLevel="0" collapsed="false">
      <c r="A972" s="0" t="s">
        <v>187</v>
      </c>
      <c r="B972" s="0" t="n">
        <v>26</v>
      </c>
      <c r="C972" s="0" t="s">
        <v>9355</v>
      </c>
      <c r="D972" s="0" t="s">
        <v>803</v>
      </c>
      <c r="E972" s="0" t="s">
        <v>38</v>
      </c>
      <c r="F972" s="4" t="n">
        <v>105</v>
      </c>
      <c r="G972" s="2" t="n">
        <v>0</v>
      </c>
      <c r="H972" s="2" t="n">
        <v>0</v>
      </c>
      <c r="I972" s="4" t="n">
        <v>2</v>
      </c>
      <c r="J972" s="2" t="n">
        <v>2</v>
      </c>
      <c r="K972" s="2" t="s">
        <v>13</v>
      </c>
      <c r="L972" s="4" t="n">
        <v>1</v>
      </c>
      <c r="M972" s="2" t="n">
        <v>0</v>
      </c>
      <c r="N972" s="2" t="n">
        <v>0</v>
      </c>
      <c r="O972" s="4" t="n">
        <v>3</v>
      </c>
      <c r="Q972" s="2" t="n">
        <v>1170</v>
      </c>
      <c r="R972" s="0" t="s">
        <v>38</v>
      </c>
      <c r="S972" s="0" t="s">
        <v>9361</v>
      </c>
    </row>
    <row r="973" customFormat="false" ht="13.8" hidden="false" customHeight="false" outlineLevel="0" collapsed="false">
      <c r="A973" s="0" t="s">
        <v>187</v>
      </c>
      <c r="B973" s="0" t="n">
        <v>26</v>
      </c>
      <c r="C973" s="0" t="s">
        <v>9355</v>
      </c>
      <c r="D973" s="0" t="s">
        <v>485</v>
      </c>
      <c r="E973" s="0" t="s">
        <v>485</v>
      </c>
      <c r="F973" s="4" t="n">
        <v>195</v>
      </c>
      <c r="G973" s="2" t="n">
        <v>6</v>
      </c>
      <c r="H973" s="2" t="s">
        <v>7</v>
      </c>
      <c r="I973" s="4" t="n">
        <v>2</v>
      </c>
      <c r="J973" s="2" t="n">
        <v>0</v>
      </c>
      <c r="K973" s="2" t="n">
        <v>0</v>
      </c>
      <c r="L973" s="4" t="n">
        <v>1</v>
      </c>
      <c r="M973" s="2" t="n">
        <v>0</v>
      </c>
      <c r="N973" s="2" t="n">
        <v>0</v>
      </c>
      <c r="O973" s="4" t="n">
        <v>3</v>
      </c>
      <c r="Q973" s="2" t="n">
        <v>1171</v>
      </c>
      <c r="R973" s="0" t="s">
        <v>485</v>
      </c>
      <c r="S973" s="0" t="s">
        <v>9362</v>
      </c>
    </row>
    <row r="974" customFormat="false" ht="13.8" hidden="false" customHeight="false" outlineLevel="0" collapsed="false">
      <c r="A974" s="0" t="s">
        <v>187</v>
      </c>
      <c r="B974" s="0" t="n">
        <v>26</v>
      </c>
      <c r="C974" s="0" t="s">
        <v>9355</v>
      </c>
      <c r="D974" s="0" t="s">
        <v>309</v>
      </c>
      <c r="E974" s="0" t="s">
        <v>309</v>
      </c>
      <c r="F974" s="4" t="n">
        <v>66</v>
      </c>
      <c r="G974" s="2" t="n">
        <v>0</v>
      </c>
      <c r="H974" s="2" t="n">
        <v>0</v>
      </c>
      <c r="I974" s="4" t="n">
        <v>2</v>
      </c>
      <c r="J974" s="2" t="n">
        <v>5</v>
      </c>
      <c r="K974" s="2" t="s">
        <v>13</v>
      </c>
      <c r="L974" s="4" t="n">
        <v>1</v>
      </c>
      <c r="M974" s="2" t="n">
        <v>0</v>
      </c>
      <c r="N974" s="2" t="n">
        <v>0</v>
      </c>
      <c r="O974" s="4" t="n">
        <v>3</v>
      </c>
      <c r="Q974" s="2" t="n">
        <v>1172</v>
      </c>
      <c r="R974" s="0" t="s">
        <v>309</v>
      </c>
      <c r="S974" s="0" t="s">
        <v>9363</v>
      </c>
    </row>
    <row r="975" customFormat="false" ht="13.8" hidden="false" customHeight="false" outlineLevel="0" collapsed="false">
      <c r="A975" s="0" t="s">
        <v>187</v>
      </c>
      <c r="B975" s="0" t="n">
        <v>26</v>
      </c>
      <c r="C975" s="0" t="s">
        <v>9355</v>
      </c>
      <c r="D975" s="0" t="s">
        <v>899</v>
      </c>
      <c r="E975" s="0" t="s">
        <v>360</v>
      </c>
      <c r="F975" s="4" t="n">
        <v>83</v>
      </c>
      <c r="G975" s="2" t="n">
        <v>0</v>
      </c>
      <c r="H975" s="2" t="n">
        <v>0</v>
      </c>
      <c r="I975" s="4" t="n">
        <v>2</v>
      </c>
      <c r="J975" s="2" t="n">
        <v>1.5</v>
      </c>
      <c r="K975" s="2" t="s">
        <v>13</v>
      </c>
      <c r="L975" s="4" t="n">
        <v>1</v>
      </c>
      <c r="M975" s="2" t="n">
        <v>0</v>
      </c>
      <c r="N975" s="2" t="n">
        <v>0</v>
      </c>
      <c r="O975" s="4" t="n">
        <v>3</v>
      </c>
      <c r="P975" s="0" t="s">
        <v>900</v>
      </c>
      <c r="Q975" s="2" t="n">
        <v>1173</v>
      </c>
      <c r="R975" s="0" t="s">
        <v>360</v>
      </c>
      <c r="S975" s="0" t="s">
        <v>9364</v>
      </c>
    </row>
    <row r="976" customFormat="false" ht="13.8" hidden="false" customHeight="false" outlineLevel="0" collapsed="false">
      <c r="A976" s="0" t="s">
        <v>187</v>
      </c>
      <c r="B976" s="0" t="n">
        <v>26</v>
      </c>
      <c r="C976" s="0" t="s">
        <v>9355</v>
      </c>
      <c r="D976" s="0" t="s">
        <v>462</v>
      </c>
      <c r="E976" s="0" t="s">
        <v>462</v>
      </c>
      <c r="F976" s="4" t="n">
        <v>170</v>
      </c>
      <c r="G976" s="2" t="n">
        <v>6.25</v>
      </c>
      <c r="H976" s="2" t="s">
        <v>7</v>
      </c>
      <c r="I976" s="4" t="n">
        <v>2</v>
      </c>
      <c r="J976" s="2" t="n">
        <v>0</v>
      </c>
      <c r="K976" s="2" t="n">
        <v>0</v>
      </c>
      <c r="L976" s="4" t="n">
        <v>1</v>
      </c>
      <c r="M976" s="2" t="n">
        <v>0</v>
      </c>
      <c r="N976" s="2" t="n">
        <v>0</v>
      </c>
      <c r="O976" s="4" t="n">
        <v>3</v>
      </c>
      <c r="P976" s="0" t="s">
        <v>901</v>
      </c>
      <c r="Q976" s="2" t="n">
        <v>1174</v>
      </c>
      <c r="R976" s="0" t="s">
        <v>462</v>
      </c>
      <c r="S976" s="0" t="s">
        <v>9365</v>
      </c>
    </row>
    <row r="977" customFormat="false" ht="13.8" hidden="false" customHeight="false" outlineLevel="0" collapsed="false">
      <c r="A977" s="0" t="s">
        <v>187</v>
      </c>
      <c r="B977" s="0" t="n">
        <v>26</v>
      </c>
      <c r="C977" s="0" t="s">
        <v>9355</v>
      </c>
      <c r="D977" s="0" t="s">
        <v>382</v>
      </c>
      <c r="E977" s="0" t="s">
        <v>382</v>
      </c>
      <c r="F977" s="4" t="n">
        <v>91</v>
      </c>
      <c r="G977" s="2" t="n">
        <v>0</v>
      </c>
      <c r="H977" s="2" t="n">
        <v>0</v>
      </c>
      <c r="I977" s="4" t="n">
        <v>2</v>
      </c>
      <c r="J977" s="2" t="n">
        <v>0.5</v>
      </c>
      <c r="K977" s="2" t="s">
        <v>20</v>
      </c>
      <c r="L977" s="4" t="n">
        <v>5</v>
      </c>
      <c r="M977" s="2" t="n">
        <v>0</v>
      </c>
      <c r="N977" s="2" t="n">
        <v>0</v>
      </c>
      <c r="O977" s="4" t="n">
        <v>3</v>
      </c>
      <c r="P977" s="0" t="s">
        <v>902</v>
      </c>
      <c r="Q977" s="2" t="n">
        <v>1175</v>
      </c>
      <c r="R977" s="0" t="s">
        <v>382</v>
      </c>
      <c r="S977" s="0" t="s">
        <v>9366</v>
      </c>
    </row>
    <row r="978" customFormat="false" ht="13.8" hidden="false" customHeight="false" outlineLevel="0" collapsed="false">
      <c r="A978" s="0" t="s">
        <v>187</v>
      </c>
      <c r="B978" s="0" t="n">
        <v>26</v>
      </c>
      <c r="C978" s="0" t="s">
        <v>9355</v>
      </c>
      <c r="D978" s="0" t="s">
        <v>456</v>
      </c>
      <c r="E978" s="0" t="s">
        <v>456</v>
      </c>
      <c r="F978" s="4" t="n">
        <v>164</v>
      </c>
      <c r="G978" s="2" t="n">
        <v>0</v>
      </c>
      <c r="H978" s="2" t="n">
        <v>0</v>
      </c>
      <c r="I978" s="4" t="n">
        <v>2</v>
      </c>
      <c r="J978" s="2" t="n">
        <v>0.4</v>
      </c>
      <c r="K978" s="2" t="s">
        <v>20</v>
      </c>
      <c r="L978" s="4" t="n">
        <v>5</v>
      </c>
      <c r="M978" s="2" t="n">
        <v>0</v>
      </c>
      <c r="N978" s="2" t="n">
        <v>0</v>
      </c>
      <c r="O978" s="4" t="n">
        <v>3</v>
      </c>
      <c r="Q978" s="2" t="n">
        <v>1176</v>
      </c>
      <c r="R978" s="0" t="s">
        <v>456</v>
      </c>
      <c r="S978" s="0" t="s">
        <v>9367</v>
      </c>
    </row>
    <row r="979" customFormat="false" ht="13.8" hidden="false" customHeight="false" outlineLevel="0" collapsed="false">
      <c r="A979" s="0" t="s">
        <v>187</v>
      </c>
      <c r="B979" s="0" t="n">
        <v>26</v>
      </c>
      <c r="C979" s="0" t="s">
        <v>9355</v>
      </c>
      <c r="D979" s="0" t="s">
        <v>398</v>
      </c>
      <c r="E979" s="0" t="s">
        <v>398</v>
      </c>
      <c r="F979" s="4" t="n">
        <v>102</v>
      </c>
      <c r="G979" s="2" t="n">
        <v>0</v>
      </c>
      <c r="H979" s="2" t="n">
        <v>0</v>
      </c>
      <c r="I979" s="4" t="n">
        <v>2</v>
      </c>
      <c r="J979" s="2" t="n">
        <v>0.4</v>
      </c>
      <c r="K979" s="2" t="s">
        <v>20</v>
      </c>
      <c r="L979" s="4" t="n">
        <v>5</v>
      </c>
      <c r="M979" s="2" t="n">
        <v>0</v>
      </c>
      <c r="N979" s="2" t="n">
        <v>0</v>
      </c>
      <c r="O979" s="4" t="n">
        <v>3</v>
      </c>
      <c r="Q979" s="2" t="n">
        <v>1177</v>
      </c>
      <c r="R979" s="0" t="s">
        <v>398</v>
      </c>
      <c r="S979" s="0" t="s">
        <v>9368</v>
      </c>
    </row>
    <row r="980" customFormat="false" ht="13.8" hidden="false" customHeight="false" outlineLevel="0" collapsed="false">
      <c r="A980" s="0" t="s">
        <v>187</v>
      </c>
      <c r="B980" s="0" t="n">
        <v>26</v>
      </c>
      <c r="C980" s="0" t="s">
        <v>9355</v>
      </c>
      <c r="D980" s="0" t="s">
        <v>903</v>
      </c>
      <c r="E980" s="0" t="s">
        <v>412</v>
      </c>
      <c r="F980" s="4" t="n">
        <v>117</v>
      </c>
      <c r="G980" s="2" t="n">
        <v>0</v>
      </c>
      <c r="H980" s="2" t="n">
        <v>0</v>
      </c>
      <c r="I980" s="4" t="n">
        <v>2</v>
      </c>
      <c r="J980" s="2" t="n">
        <v>0.6</v>
      </c>
      <c r="K980" s="2" t="s">
        <v>20</v>
      </c>
      <c r="L980" s="4" t="n">
        <v>5</v>
      </c>
      <c r="M980" s="2" t="n">
        <v>0</v>
      </c>
      <c r="N980" s="2" t="n">
        <v>0</v>
      </c>
      <c r="O980" s="4" t="n">
        <v>3</v>
      </c>
      <c r="Q980" s="2" t="n">
        <v>1178</v>
      </c>
      <c r="R980" s="0" t="s">
        <v>412</v>
      </c>
      <c r="S980" s="0" t="s">
        <v>9369</v>
      </c>
    </row>
    <row r="981" customFormat="false" ht="13.8" hidden="false" customHeight="false" outlineLevel="0" collapsed="false">
      <c r="A981" s="0" t="s">
        <v>187</v>
      </c>
      <c r="B981" s="0" t="n">
        <v>26</v>
      </c>
      <c r="C981" s="0" t="s">
        <v>9355</v>
      </c>
      <c r="D981" s="0" t="s">
        <v>391</v>
      </c>
      <c r="E981" s="0" t="s">
        <v>391</v>
      </c>
      <c r="F981" s="4" t="n">
        <v>95</v>
      </c>
      <c r="G981" s="2" t="n">
        <v>0</v>
      </c>
      <c r="H981" s="2" t="n">
        <v>0</v>
      </c>
      <c r="I981" s="4" t="n">
        <v>2</v>
      </c>
      <c r="J981" s="2" t="n">
        <v>0.3</v>
      </c>
      <c r="K981" s="2" t="s">
        <v>20</v>
      </c>
      <c r="L981" s="4" t="n">
        <v>5</v>
      </c>
      <c r="M981" s="2" t="n">
        <v>0</v>
      </c>
      <c r="N981" s="2" t="n">
        <v>0</v>
      </c>
      <c r="O981" s="4" t="n">
        <v>3</v>
      </c>
      <c r="Q981" s="2" t="n">
        <v>1179</v>
      </c>
      <c r="R981" s="0" t="s">
        <v>391</v>
      </c>
      <c r="S981" s="0" t="s">
        <v>9370</v>
      </c>
    </row>
    <row r="982" customFormat="false" ht="13.8" hidden="false" customHeight="false" outlineLevel="0" collapsed="false">
      <c r="A982" s="0" t="s">
        <v>187</v>
      </c>
      <c r="B982" s="0" t="n">
        <v>26</v>
      </c>
      <c r="C982" s="0" t="s">
        <v>9355</v>
      </c>
      <c r="D982" s="0" t="s">
        <v>96</v>
      </c>
      <c r="E982" s="0" t="s">
        <v>96</v>
      </c>
      <c r="F982" s="4" t="n">
        <v>177</v>
      </c>
      <c r="G982" s="2" t="n">
        <v>0</v>
      </c>
      <c r="H982" s="2" t="n">
        <v>0</v>
      </c>
      <c r="I982" s="4" t="n">
        <v>2</v>
      </c>
      <c r="J982" s="2" t="n">
        <v>1.7</v>
      </c>
      <c r="K982" s="2" t="s">
        <v>20</v>
      </c>
      <c r="L982" s="4" t="n">
        <v>5</v>
      </c>
      <c r="M982" s="2" t="n">
        <v>0</v>
      </c>
      <c r="N982" s="2" t="n">
        <v>0</v>
      </c>
      <c r="O982" s="4" t="n">
        <v>3</v>
      </c>
      <c r="Q982" s="2" t="n">
        <v>1180</v>
      </c>
      <c r="R982" s="0" t="s">
        <v>96</v>
      </c>
      <c r="S982" s="0" t="s">
        <v>9371</v>
      </c>
    </row>
    <row r="983" customFormat="false" ht="13.8" hidden="false" customHeight="false" outlineLevel="0" collapsed="false">
      <c r="A983" s="0" t="s">
        <v>187</v>
      </c>
      <c r="B983" s="0" t="n">
        <v>26</v>
      </c>
      <c r="C983" s="0" t="s">
        <v>9355</v>
      </c>
      <c r="D983" s="0" t="s">
        <v>462</v>
      </c>
      <c r="E983" s="0" t="s">
        <v>462</v>
      </c>
      <c r="F983" s="4" t="n">
        <v>170</v>
      </c>
      <c r="G983" s="2" t="n">
        <v>4.25</v>
      </c>
      <c r="H983" s="2" t="s">
        <v>7</v>
      </c>
      <c r="I983" s="4" t="n">
        <v>2</v>
      </c>
      <c r="J983" s="2" t="n">
        <v>0</v>
      </c>
      <c r="K983" s="2" t="n">
        <v>0</v>
      </c>
      <c r="L983" s="4" t="n">
        <v>1</v>
      </c>
      <c r="M983" s="2" t="n">
        <v>0</v>
      </c>
      <c r="N983" s="2" t="n">
        <v>0</v>
      </c>
      <c r="O983" s="4" t="n">
        <v>3</v>
      </c>
      <c r="Q983" s="2" t="n">
        <v>1181</v>
      </c>
      <c r="R983" s="0" t="s">
        <v>462</v>
      </c>
      <c r="S983" s="0" t="s">
        <v>9372</v>
      </c>
    </row>
    <row r="984" customFormat="false" ht="13.8" hidden="false" customHeight="false" outlineLevel="0" collapsed="false">
      <c r="A984" s="0" t="s">
        <v>187</v>
      </c>
      <c r="B984" s="0" t="n">
        <v>26</v>
      </c>
      <c r="C984" s="0" t="s">
        <v>9355</v>
      </c>
      <c r="D984" s="0" t="s">
        <v>382</v>
      </c>
      <c r="E984" s="0" t="s">
        <v>382</v>
      </c>
      <c r="F984" s="4" t="n">
        <v>91</v>
      </c>
      <c r="G984" s="2" t="n">
        <v>0</v>
      </c>
      <c r="H984" s="2" t="n">
        <v>0</v>
      </c>
      <c r="I984" s="4" t="n">
        <v>2</v>
      </c>
      <c r="J984" s="2" t="n">
        <v>0.3</v>
      </c>
      <c r="K984" s="2" t="s">
        <v>20</v>
      </c>
      <c r="L984" s="4" t="n">
        <v>5</v>
      </c>
      <c r="M984" s="2" t="n">
        <v>0</v>
      </c>
      <c r="N984" s="2" t="n">
        <v>0</v>
      </c>
      <c r="O984" s="4" t="n">
        <v>3</v>
      </c>
      <c r="Q984" s="2" t="n">
        <v>1182</v>
      </c>
      <c r="R984" s="0" t="s">
        <v>382</v>
      </c>
      <c r="S984" s="0" t="s">
        <v>9373</v>
      </c>
    </row>
    <row r="985" customFormat="false" ht="13.8" hidden="false" customHeight="false" outlineLevel="0" collapsed="false">
      <c r="A985" s="0" t="s">
        <v>187</v>
      </c>
      <c r="B985" s="0" t="n">
        <v>26</v>
      </c>
      <c r="C985" s="0" t="s">
        <v>9355</v>
      </c>
      <c r="D985" s="0" t="s">
        <v>456</v>
      </c>
      <c r="E985" s="0" t="s">
        <v>456</v>
      </c>
      <c r="F985" s="4" t="n">
        <v>164</v>
      </c>
      <c r="G985" s="2" t="n">
        <v>0</v>
      </c>
      <c r="H985" s="2" t="n">
        <v>0</v>
      </c>
      <c r="I985" s="4" t="n">
        <v>2</v>
      </c>
      <c r="J985" s="2" t="n">
        <v>0.3</v>
      </c>
      <c r="K985" s="2" t="s">
        <v>20</v>
      </c>
      <c r="L985" s="4" t="n">
        <v>5</v>
      </c>
      <c r="M985" s="2" t="n">
        <v>0</v>
      </c>
      <c r="N985" s="2" t="n">
        <v>0</v>
      </c>
      <c r="O985" s="4" t="n">
        <v>3</v>
      </c>
      <c r="Q985" s="2" t="n">
        <v>1183</v>
      </c>
      <c r="R985" s="0" t="s">
        <v>456</v>
      </c>
      <c r="S985" s="0" t="s">
        <v>9374</v>
      </c>
    </row>
    <row r="986" customFormat="false" ht="13.8" hidden="false" customHeight="false" outlineLevel="0" collapsed="false">
      <c r="A986" s="0" t="s">
        <v>187</v>
      </c>
      <c r="B986" s="0" t="n">
        <v>26</v>
      </c>
      <c r="C986" s="0" t="s">
        <v>9355</v>
      </c>
      <c r="D986" s="0" t="s">
        <v>398</v>
      </c>
      <c r="E986" s="0" t="s">
        <v>398</v>
      </c>
      <c r="F986" s="4" t="n">
        <v>102</v>
      </c>
      <c r="G986" s="2" t="n">
        <v>0</v>
      </c>
      <c r="H986" s="2" t="n">
        <v>0</v>
      </c>
      <c r="I986" s="4" t="n">
        <v>2</v>
      </c>
      <c r="J986" s="2" t="n">
        <v>0.3</v>
      </c>
      <c r="K986" s="2" t="s">
        <v>20</v>
      </c>
      <c r="L986" s="4" t="n">
        <v>5</v>
      </c>
      <c r="M986" s="2" t="n">
        <v>0</v>
      </c>
      <c r="N986" s="2" t="n">
        <v>0</v>
      </c>
      <c r="O986" s="4" t="n">
        <v>3</v>
      </c>
      <c r="Q986" s="2" t="n">
        <v>1184</v>
      </c>
      <c r="R986" s="0" t="s">
        <v>398</v>
      </c>
      <c r="S986" s="0" t="s">
        <v>9375</v>
      </c>
    </row>
    <row r="987" customFormat="false" ht="13.8" hidden="false" customHeight="false" outlineLevel="0" collapsed="false">
      <c r="A987" s="0" t="s">
        <v>187</v>
      </c>
      <c r="B987" s="0" t="n">
        <v>26</v>
      </c>
      <c r="C987" s="0" t="s">
        <v>9355</v>
      </c>
      <c r="D987" s="0" t="s">
        <v>903</v>
      </c>
      <c r="E987" s="0" t="s">
        <v>412</v>
      </c>
      <c r="F987" s="4" t="n">
        <v>117</v>
      </c>
      <c r="G987" s="2" t="n">
        <v>0</v>
      </c>
      <c r="H987" s="2" t="n">
        <v>0</v>
      </c>
      <c r="I987" s="4" t="n">
        <v>2</v>
      </c>
      <c r="J987" s="2" t="n">
        <v>0.3</v>
      </c>
      <c r="K987" s="2" t="s">
        <v>20</v>
      </c>
      <c r="L987" s="4" t="n">
        <v>5</v>
      </c>
      <c r="M987" s="2" t="n">
        <v>0</v>
      </c>
      <c r="N987" s="2" t="n">
        <v>0</v>
      </c>
      <c r="O987" s="4" t="n">
        <v>3</v>
      </c>
      <c r="Q987" s="2" t="n">
        <v>1185</v>
      </c>
      <c r="R987" s="0" t="s">
        <v>412</v>
      </c>
      <c r="S987" s="0" t="s">
        <v>9376</v>
      </c>
    </row>
    <row r="988" customFormat="false" ht="13.8" hidden="false" customHeight="false" outlineLevel="0" collapsed="false">
      <c r="A988" s="0" t="s">
        <v>187</v>
      </c>
      <c r="B988" s="0" t="n">
        <v>26</v>
      </c>
      <c r="C988" s="0" t="s">
        <v>9355</v>
      </c>
      <c r="D988" s="0" t="s">
        <v>391</v>
      </c>
      <c r="E988" s="0" t="s">
        <v>391</v>
      </c>
      <c r="F988" s="4" t="n">
        <v>95</v>
      </c>
      <c r="G988" s="2" t="n">
        <v>0</v>
      </c>
      <c r="H988" s="2" t="n">
        <v>0</v>
      </c>
      <c r="I988" s="4" t="n">
        <v>2</v>
      </c>
      <c r="J988" s="2" t="n">
        <v>0.2</v>
      </c>
      <c r="K988" s="2" t="s">
        <v>20</v>
      </c>
      <c r="L988" s="4" t="n">
        <v>5</v>
      </c>
      <c r="M988" s="2" t="n">
        <v>0</v>
      </c>
      <c r="N988" s="2" t="n">
        <v>0</v>
      </c>
      <c r="O988" s="4" t="n">
        <v>3</v>
      </c>
      <c r="Q988" s="2" t="n">
        <v>1186</v>
      </c>
      <c r="R988" s="0" t="s">
        <v>391</v>
      </c>
      <c r="S988" s="0" t="s">
        <v>9377</v>
      </c>
    </row>
    <row r="989" customFormat="false" ht="13.8" hidden="false" customHeight="false" outlineLevel="0" collapsed="false">
      <c r="A989" s="0" t="s">
        <v>187</v>
      </c>
      <c r="B989" s="0" t="n">
        <v>26</v>
      </c>
      <c r="C989" s="0" t="s">
        <v>9355</v>
      </c>
      <c r="D989" s="0" t="s">
        <v>96</v>
      </c>
      <c r="E989" s="0" t="s">
        <v>96</v>
      </c>
      <c r="F989" s="4" t="n">
        <v>177</v>
      </c>
      <c r="G989" s="2" t="n">
        <v>0</v>
      </c>
      <c r="H989" s="2" t="n">
        <v>0</v>
      </c>
      <c r="I989" s="4" t="n">
        <v>2</v>
      </c>
      <c r="J989" s="2" t="n">
        <v>1.2</v>
      </c>
      <c r="K989" s="2" t="s">
        <v>20</v>
      </c>
      <c r="L989" s="4" t="n">
        <v>5</v>
      </c>
      <c r="M989" s="2" t="n">
        <v>0</v>
      </c>
      <c r="N989" s="2" t="n">
        <v>0</v>
      </c>
      <c r="O989" s="4" t="n">
        <v>3</v>
      </c>
      <c r="Q989" s="2" t="n">
        <v>1187</v>
      </c>
      <c r="R989" s="0" t="s">
        <v>96</v>
      </c>
      <c r="S989" s="0" t="s">
        <v>9378</v>
      </c>
    </row>
    <row r="990" customFormat="false" ht="13.8" hidden="false" customHeight="false" outlineLevel="0" collapsed="false">
      <c r="A990" s="0" t="s">
        <v>181</v>
      </c>
      <c r="B990" s="0" t="n">
        <v>24</v>
      </c>
      <c r="C990" s="0" t="s">
        <v>9379</v>
      </c>
      <c r="D990" s="0" t="s">
        <v>11</v>
      </c>
      <c r="E990" s="0" t="s">
        <v>348</v>
      </c>
      <c r="F990" s="4" t="n">
        <v>79</v>
      </c>
      <c r="G990" s="2" t="n">
        <v>6</v>
      </c>
      <c r="H990" s="2" t="s">
        <v>7</v>
      </c>
      <c r="I990" s="4" t="n">
        <v>2</v>
      </c>
      <c r="J990" s="2" t="n">
        <v>0</v>
      </c>
      <c r="K990" s="2" t="n">
        <v>0</v>
      </c>
      <c r="L990" s="4" t="n">
        <v>1</v>
      </c>
      <c r="M990" s="2" t="n">
        <v>0</v>
      </c>
      <c r="N990" s="2" t="n">
        <v>0</v>
      </c>
      <c r="O990" s="4" t="n">
        <v>3</v>
      </c>
      <c r="Q990" s="2" t="n">
        <v>1189</v>
      </c>
      <c r="R990" s="0" t="s">
        <v>348</v>
      </c>
      <c r="S990" s="0" t="s">
        <v>9380</v>
      </c>
    </row>
    <row r="991" customFormat="false" ht="13.8" hidden="false" customHeight="false" outlineLevel="0" collapsed="false">
      <c r="A991" s="0" t="s">
        <v>181</v>
      </c>
      <c r="B991" s="0" t="n">
        <v>24</v>
      </c>
      <c r="C991" s="0" t="s">
        <v>9379</v>
      </c>
      <c r="D991" s="0" t="s">
        <v>801</v>
      </c>
      <c r="E991" s="0" t="s">
        <v>386</v>
      </c>
      <c r="F991" s="4" t="n">
        <v>93</v>
      </c>
      <c r="G991" s="2" t="n">
        <v>0</v>
      </c>
      <c r="H991" s="2" t="n">
        <v>0</v>
      </c>
      <c r="I991" s="4" t="n">
        <v>2</v>
      </c>
      <c r="J991" s="2" t="n">
        <v>1</v>
      </c>
      <c r="K991" s="2" t="s">
        <v>13</v>
      </c>
      <c r="L991" s="4" t="n">
        <v>1</v>
      </c>
      <c r="M991" s="2" t="n">
        <v>0</v>
      </c>
      <c r="N991" s="2" t="n">
        <v>0</v>
      </c>
      <c r="O991" s="4" t="n">
        <v>3</v>
      </c>
      <c r="Q991" s="2" t="n">
        <v>1190</v>
      </c>
      <c r="R991" s="0" t="s">
        <v>386</v>
      </c>
      <c r="S991" s="0" t="s">
        <v>9381</v>
      </c>
    </row>
    <row r="992" customFormat="false" ht="13.8" hidden="false" customHeight="false" outlineLevel="0" collapsed="false">
      <c r="A992" s="0" t="s">
        <v>181</v>
      </c>
      <c r="B992" s="0" t="n">
        <v>24</v>
      </c>
      <c r="C992" s="0" t="s">
        <v>9379</v>
      </c>
      <c r="D992" s="0" t="s">
        <v>23</v>
      </c>
      <c r="E992" s="0" t="s">
        <v>309</v>
      </c>
      <c r="F992" s="4" t="n">
        <v>66</v>
      </c>
      <c r="G992" s="2" t="n">
        <v>0</v>
      </c>
      <c r="H992" s="2" t="n">
        <v>0</v>
      </c>
      <c r="I992" s="4" t="n">
        <v>2</v>
      </c>
      <c r="J992" s="2" t="n">
        <v>3</v>
      </c>
      <c r="K992" s="2" t="s">
        <v>13</v>
      </c>
      <c r="L992" s="4" t="n">
        <v>1</v>
      </c>
      <c r="M992" s="2" t="n">
        <v>0</v>
      </c>
      <c r="N992" s="2" t="n">
        <v>0</v>
      </c>
      <c r="O992" s="4" t="n">
        <v>3</v>
      </c>
      <c r="P992" s="0" t="s">
        <v>904</v>
      </c>
      <c r="Q992" s="2" t="n">
        <v>1191</v>
      </c>
      <c r="R992" s="0" t="s">
        <v>309</v>
      </c>
      <c r="S992" s="0" t="s">
        <v>9382</v>
      </c>
    </row>
    <row r="993" customFormat="false" ht="13.8" hidden="false" customHeight="false" outlineLevel="0" collapsed="false">
      <c r="A993" s="0" t="s">
        <v>181</v>
      </c>
      <c r="B993" s="0" t="n">
        <v>24</v>
      </c>
      <c r="C993" s="0" t="s">
        <v>9379</v>
      </c>
      <c r="D993" s="0" t="s">
        <v>802</v>
      </c>
      <c r="E993" s="0" t="s">
        <v>102</v>
      </c>
      <c r="F993" s="4" t="n">
        <v>1</v>
      </c>
      <c r="G993" s="2" t="n">
        <v>0</v>
      </c>
      <c r="H993" s="2" t="n">
        <v>0</v>
      </c>
      <c r="I993" s="4" t="n">
        <v>2</v>
      </c>
      <c r="J993" s="2" t="n">
        <v>0.5</v>
      </c>
      <c r="K993" s="2" t="s">
        <v>13</v>
      </c>
      <c r="L993" s="4" t="n">
        <v>1</v>
      </c>
      <c r="M993" s="2" t="n">
        <v>0</v>
      </c>
      <c r="N993" s="2" t="n">
        <v>0</v>
      </c>
      <c r="O993" s="4" t="n">
        <v>3</v>
      </c>
      <c r="P993" s="0" t="s">
        <v>905</v>
      </c>
      <c r="Q993" s="2" t="n">
        <v>1192</v>
      </c>
      <c r="R993" s="0" t="s">
        <v>102</v>
      </c>
      <c r="S993" s="0" t="s">
        <v>9383</v>
      </c>
    </row>
    <row r="994" customFormat="false" ht="13.8" hidden="false" customHeight="false" outlineLevel="0" collapsed="false">
      <c r="A994" s="0" t="s">
        <v>181</v>
      </c>
      <c r="B994" s="0" t="n">
        <v>24</v>
      </c>
      <c r="C994" s="0" t="s">
        <v>9379</v>
      </c>
      <c r="D994" s="0" t="s">
        <v>803</v>
      </c>
      <c r="E994" s="0" t="s">
        <v>38</v>
      </c>
      <c r="F994" s="4" t="n">
        <v>105</v>
      </c>
      <c r="G994" s="2" t="n">
        <v>0</v>
      </c>
      <c r="H994" s="2" t="n">
        <v>0</v>
      </c>
      <c r="I994" s="4" t="n">
        <v>2</v>
      </c>
      <c r="J994" s="2" t="n">
        <v>2</v>
      </c>
      <c r="K994" s="2" t="s">
        <v>13</v>
      </c>
      <c r="L994" s="4" t="n">
        <v>1</v>
      </c>
      <c r="M994" s="2" t="n">
        <v>0</v>
      </c>
      <c r="N994" s="2" t="n">
        <v>0</v>
      </c>
      <c r="O994" s="4" t="n">
        <v>3</v>
      </c>
      <c r="P994" s="0" t="s">
        <v>906</v>
      </c>
      <c r="Q994" s="2" t="n">
        <v>1193</v>
      </c>
      <c r="R994" s="0" t="s">
        <v>38</v>
      </c>
      <c r="S994" s="0" t="s">
        <v>9384</v>
      </c>
    </row>
    <row r="995" customFormat="false" ht="13.8" hidden="false" customHeight="false" outlineLevel="0" collapsed="false">
      <c r="A995" s="0" t="s">
        <v>181</v>
      </c>
      <c r="B995" s="0" t="n">
        <v>24</v>
      </c>
      <c r="C995" s="0" t="s">
        <v>9379</v>
      </c>
      <c r="D995" s="0" t="s">
        <v>393</v>
      </c>
      <c r="E995" s="0" t="s">
        <v>393</v>
      </c>
      <c r="F995" s="4" t="n">
        <v>97</v>
      </c>
      <c r="G995" s="2" t="n">
        <v>0</v>
      </c>
      <c r="H995" s="2" t="n">
        <v>0</v>
      </c>
      <c r="I995" s="4" t="n">
        <v>2</v>
      </c>
      <c r="J995" s="2" t="n">
        <v>60</v>
      </c>
      <c r="K995" s="2" t="s">
        <v>13</v>
      </c>
      <c r="L995" s="4" t="n">
        <v>1</v>
      </c>
      <c r="M995" s="2" t="n">
        <v>0</v>
      </c>
      <c r="N995" s="2" t="n">
        <v>0</v>
      </c>
      <c r="O995" s="4" t="n">
        <v>3</v>
      </c>
      <c r="P995" s="0" t="s">
        <v>907</v>
      </c>
      <c r="Q995" s="2" t="n">
        <v>1194</v>
      </c>
      <c r="R995" s="0" t="s">
        <v>393</v>
      </c>
      <c r="S995" s="0" t="s">
        <v>9385</v>
      </c>
    </row>
    <row r="996" customFormat="false" ht="13.8" hidden="false" customHeight="false" outlineLevel="0" collapsed="false">
      <c r="A996" s="0" t="s">
        <v>181</v>
      </c>
      <c r="B996" s="0" t="n">
        <v>24</v>
      </c>
      <c r="C996" s="0" t="s">
        <v>9379</v>
      </c>
      <c r="D996" s="0" t="s">
        <v>490</v>
      </c>
      <c r="E996" s="0" t="s">
        <v>490</v>
      </c>
      <c r="F996" s="4" t="n">
        <v>201</v>
      </c>
      <c r="G996" s="2" t="n">
        <v>25</v>
      </c>
      <c r="H996" s="2" t="s">
        <v>7</v>
      </c>
      <c r="I996" s="4" t="n">
        <v>2</v>
      </c>
      <c r="J996" s="2" t="n">
        <v>0</v>
      </c>
      <c r="K996" s="2" t="n">
        <v>0</v>
      </c>
      <c r="L996" s="4" t="n">
        <v>1</v>
      </c>
      <c r="M996" s="2" t="n">
        <v>0</v>
      </c>
      <c r="N996" s="2" t="n">
        <v>0</v>
      </c>
      <c r="O996" s="4" t="n">
        <v>3</v>
      </c>
      <c r="P996" s="0" t="s">
        <v>909</v>
      </c>
      <c r="Q996" s="2" t="n">
        <v>1196</v>
      </c>
      <c r="R996" s="0" t="s">
        <v>490</v>
      </c>
      <c r="S996" s="0" t="s">
        <v>9386</v>
      </c>
    </row>
    <row r="997" customFormat="false" ht="13.8" hidden="false" customHeight="false" outlineLevel="0" collapsed="false">
      <c r="A997" s="0" t="s">
        <v>181</v>
      </c>
      <c r="B997" s="0" t="n">
        <v>24</v>
      </c>
      <c r="C997" s="0" t="s">
        <v>9379</v>
      </c>
      <c r="D997" s="0" t="s">
        <v>805</v>
      </c>
      <c r="E997" s="0" t="s">
        <v>360</v>
      </c>
      <c r="F997" s="4" t="n">
        <v>83</v>
      </c>
      <c r="G997" s="2" t="n">
        <v>0</v>
      </c>
      <c r="H997" s="2" t="n">
        <v>0</v>
      </c>
      <c r="I997" s="4" t="n">
        <v>2</v>
      </c>
      <c r="J997" s="2" t="n">
        <v>7</v>
      </c>
      <c r="K997" s="2" t="s">
        <v>13</v>
      </c>
      <c r="L997" s="4" t="n">
        <v>1</v>
      </c>
      <c r="M997" s="2" t="n">
        <v>0</v>
      </c>
      <c r="N997" s="2" t="n">
        <v>0</v>
      </c>
      <c r="O997" s="4" t="n">
        <v>3</v>
      </c>
      <c r="P997" s="0" t="s">
        <v>910</v>
      </c>
      <c r="Q997" s="2" t="n">
        <v>1197</v>
      </c>
      <c r="R997" s="0" t="s">
        <v>360</v>
      </c>
      <c r="S997" s="0" t="s">
        <v>9387</v>
      </c>
    </row>
    <row r="998" customFormat="false" ht="13.8" hidden="false" customHeight="false" outlineLevel="0" collapsed="false">
      <c r="A998" s="0" t="s">
        <v>181</v>
      </c>
      <c r="B998" s="0" t="n">
        <v>24</v>
      </c>
      <c r="C998" s="0" t="s">
        <v>9379</v>
      </c>
      <c r="D998" s="0" t="s">
        <v>809</v>
      </c>
      <c r="E998" s="0" t="s">
        <v>412</v>
      </c>
      <c r="F998" s="4" t="n">
        <v>117</v>
      </c>
      <c r="G998" s="2" t="n">
        <v>0</v>
      </c>
      <c r="H998" s="2" t="n">
        <v>0</v>
      </c>
      <c r="I998" s="4" t="n">
        <v>2</v>
      </c>
      <c r="J998" s="2" t="n">
        <v>0.5</v>
      </c>
      <c r="K998" s="2" t="s">
        <v>20</v>
      </c>
      <c r="L998" s="4" t="n">
        <v>5</v>
      </c>
      <c r="M998" s="2" t="n">
        <v>0</v>
      </c>
      <c r="N998" s="2" t="n">
        <v>0</v>
      </c>
      <c r="O998" s="4" t="n">
        <v>3</v>
      </c>
      <c r="Q998" s="2" t="n">
        <v>1198</v>
      </c>
      <c r="R998" s="0" t="s">
        <v>412</v>
      </c>
      <c r="S998" s="0" t="s">
        <v>9388</v>
      </c>
    </row>
    <row r="999" customFormat="false" ht="13.8" hidden="false" customHeight="false" outlineLevel="0" collapsed="false">
      <c r="A999" s="0" t="s">
        <v>181</v>
      </c>
      <c r="B999" s="0" t="n">
        <v>24</v>
      </c>
      <c r="C999" s="0" t="s">
        <v>9379</v>
      </c>
      <c r="D999" s="0" t="s">
        <v>96</v>
      </c>
      <c r="E999" s="0" t="s">
        <v>96</v>
      </c>
      <c r="F999" s="4" t="n">
        <v>177</v>
      </c>
      <c r="G999" s="2" t="n">
        <v>0</v>
      </c>
      <c r="H999" s="2" t="n">
        <v>0</v>
      </c>
      <c r="I999" s="4" t="n">
        <v>2</v>
      </c>
      <c r="J999" s="2" t="n">
        <v>6</v>
      </c>
      <c r="K999" s="2" t="s">
        <v>20</v>
      </c>
      <c r="L999" s="4" t="n">
        <v>5</v>
      </c>
      <c r="M999" s="2" t="n">
        <v>0</v>
      </c>
      <c r="N999" s="2" t="n">
        <v>0</v>
      </c>
      <c r="O999" s="4" t="n">
        <v>3</v>
      </c>
      <c r="Q999" s="2" t="n">
        <v>1199</v>
      </c>
      <c r="R999" s="0" t="s">
        <v>96</v>
      </c>
      <c r="S999" s="0" t="s">
        <v>9389</v>
      </c>
    </row>
    <row r="1000" customFormat="false" ht="13.8" hidden="false" customHeight="false" outlineLevel="0" collapsed="false">
      <c r="A1000" s="0" t="s">
        <v>181</v>
      </c>
      <c r="B1000" s="0" t="n">
        <v>24</v>
      </c>
      <c r="C1000" s="0" t="s">
        <v>9379</v>
      </c>
      <c r="D1000" s="0" t="s">
        <v>333</v>
      </c>
      <c r="E1000" s="0" t="s">
        <v>333</v>
      </c>
      <c r="F1000" s="4" t="n">
        <v>74</v>
      </c>
      <c r="G1000" s="2" t="n">
        <v>0</v>
      </c>
      <c r="H1000" s="2" t="n">
        <v>0</v>
      </c>
      <c r="I1000" s="4" t="n">
        <v>2</v>
      </c>
      <c r="J1000" s="2" t="n">
        <v>1.5</v>
      </c>
      <c r="K1000" s="2" t="s">
        <v>20</v>
      </c>
      <c r="L1000" s="4" t="n">
        <v>5</v>
      </c>
      <c r="M1000" s="2" t="n">
        <v>0</v>
      </c>
      <c r="N1000" s="2" t="n">
        <v>0</v>
      </c>
      <c r="O1000" s="4" t="n">
        <v>3</v>
      </c>
      <c r="Q1000" s="2" t="n">
        <v>1200</v>
      </c>
      <c r="R1000" s="0" t="s">
        <v>333</v>
      </c>
      <c r="S1000" s="0" t="s">
        <v>9390</v>
      </c>
    </row>
    <row r="1001" customFormat="false" ht="13.8" hidden="false" customHeight="false" outlineLevel="0" collapsed="false">
      <c r="A1001" s="0" t="s">
        <v>181</v>
      </c>
      <c r="B1001" s="0" t="n">
        <v>24</v>
      </c>
      <c r="C1001" s="0" t="s">
        <v>9379</v>
      </c>
      <c r="D1001" s="0" t="s">
        <v>398</v>
      </c>
      <c r="E1001" s="0" t="s">
        <v>398</v>
      </c>
      <c r="F1001" s="4" t="n">
        <v>102</v>
      </c>
      <c r="G1001" s="2" t="n">
        <v>0</v>
      </c>
      <c r="H1001" s="2" t="n">
        <v>0</v>
      </c>
      <c r="I1001" s="4" t="n">
        <v>2</v>
      </c>
      <c r="J1001" s="2" t="n">
        <v>2</v>
      </c>
      <c r="K1001" s="2" t="s">
        <v>20</v>
      </c>
      <c r="L1001" s="4" t="n">
        <v>5</v>
      </c>
      <c r="M1001" s="2" t="n">
        <v>0</v>
      </c>
      <c r="N1001" s="2" t="n">
        <v>0</v>
      </c>
      <c r="O1001" s="4" t="n">
        <v>3</v>
      </c>
      <c r="Q1001" s="2" t="n">
        <v>1201</v>
      </c>
      <c r="R1001" s="0" t="s">
        <v>398</v>
      </c>
      <c r="S1001" s="0" t="s">
        <v>9391</v>
      </c>
    </row>
    <row r="1002" customFormat="false" ht="13.8" hidden="false" customHeight="false" outlineLevel="0" collapsed="false">
      <c r="A1002" s="0" t="s">
        <v>104</v>
      </c>
      <c r="B1002" s="0" t="n">
        <v>2</v>
      </c>
      <c r="C1002" s="0" t="s">
        <v>9392</v>
      </c>
      <c r="D1002" s="0" t="s">
        <v>318</v>
      </c>
      <c r="E1002" s="0" t="s">
        <v>318</v>
      </c>
      <c r="F1002" s="4" t="n">
        <v>69</v>
      </c>
      <c r="G1002" s="2" t="n">
        <v>4</v>
      </c>
      <c r="H1002" s="2" t="s">
        <v>7</v>
      </c>
      <c r="I1002" s="4" t="n">
        <v>2</v>
      </c>
      <c r="J1002" s="2" t="n">
        <v>0</v>
      </c>
      <c r="K1002" s="2" t="n">
        <v>0</v>
      </c>
      <c r="L1002" s="4" t="n">
        <v>1</v>
      </c>
      <c r="M1002" s="2" t="n">
        <v>0</v>
      </c>
      <c r="N1002" s="2" t="n">
        <v>0</v>
      </c>
      <c r="O1002" s="4" t="n">
        <v>3</v>
      </c>
      <c r="P1002" s="0" t="s">
        <v>911</v>
      </c>
      <c r="Q1002" s="2" t="n">
        <v>1203</v>
      </c>
      <c r="R1002" s="0" t="s">
        <v>318</v>
      </c>
      <c r="S1002" s="0" t="s">
        <v>9393</v>
      </c>
    </row>
    <row r="1003" customFormat="false" ht="13.8" hidden="false" customHeight="false" outlineLevel="0" collapsed="false">
      <c r="A1003" s="0" t="s">
        <v>104</v>
      </c>
      <c r="B1003" s="0" t="n">
        <v>2</v>
      </c>
      <c r="C1003" s="0" t="s">
        <v>9392</v>
      </c>
      <c r="D1003" s="0" t="s">
        <v>201</v>
      </c>
      <c r="E1003" s="0" t="s">
        <v>201</v>
      </c>
      <c r="F1003" s="4" t="n">
        <v>30</v>
      </c>
      <c r="G1003" s="2" t="n">
        <v>4</v>
      </c>
      <c r="H1003" s="2" t="s">
        <v>7</v>
      </c>
      <c r="I1003" s="4" t="n">
        <v>2</v>
      </c>
      <c r="J1003" s="2" t="n">
        <v>0</v>
      </c>
      <c r="K1003" s="2" t="n">
        <v>0</v>
      </c>
      <c r="L1003" s="4" t="n">
        <v>1</v>
      </c>
      <c r="M1003" s="2" t="n">
        <v>0</v>
      </c>
      <c r="N1003" s="2" t="n">
        <v>0</v>
      </c>
      <c r="O1003" s="4" t="n">
        <v>3</v>
      </c>
      <c r="P1003" s="0" t="s">
        <v>912</v>
      </c>
      <c r="Q1003" s="2" t="n">
        <v>1204</v>
      </c>
      <c r="R1003" s="0" t="s">
        <v>201</v>
      </c>
      <c r="S1003" s="0" t="s">
        <v>9394</v>
      </c>
    </row>
    <row r="1004" customFormat="false" ht="13.8" hidden="false" customHeight="false" outlineLevel="0" collapsed="false">
      <c r="A1004" s="0" t="s">
        <v>104</v>
      </c>
      <c r="B1004" s="0" t="n">
        <v>2</v>
      </c>
      <c r="C1004" s="0" t="s">
        <v>9392</v>
      </c>
      <c r="D1004" s="0" t="s">
        <v>854</v>
      </c>
      <c r="E1004" s="0" t="s">
        <v>503</v>
      </c>
      <c r="F1004" s="4" t="n">
        <v>214</v>
      </c>
      <c r="G1004" s="2" t="n">
        <v>0</v>
      </c>
      <c r="H1004" s="2" t="n">
        <v>0</v>
      </c>
      <c r="I1004" s="4" t="n">
        <v>2</v>
      </c>
      <c r="J1004" s="2" t="n">
        <v>20</v>
      </c>
      <c r="K1004" s="2" t="s">
        <v>13</v>
      </c>
      <c r="L1004" s="4" t="n">
        <v>1</v>
      </c>
      <c r="M1004" s="2" t="n">
        <v>0</v>
      </c>
      <c r="N1004" s="2" t="n">
        <v>0</v>
      </c>
      <c r="O1004" s="4" t="n">
        <v>3</v>
      </c>
      <c r="Q1004" s="2" t="n">
        <v>1205</v>
      </c>
      <c r="R1004" s="0" t="s">
        <v>503</v>
      </c>
      <c r="S1004" s="0" t="s">
        <v>9395</v>
      </c>
    </row>
    <row r="1005" customFormat="false" ht="13.8" hidden="false" customHeight="false" outlineLevel="0" collapsed="false">
      <c r="A1005" s="0" t="s">
        <v>104</v>
      </c>
      <c r="B1005" s="0" t="n">
        <v>2</v>
      </c>
      <c r="C1005" s="0" t="s">
        <v>9392</v>
      </c>
      <c r="D1005" s="0" t="s">
        <v>803</v>
      </c>
      <c r="E1005" s="0" t="s">
        <v>38</v>
      </c>
      <c r="F1005" s="4" t="n">
        <v>105</v>
      </c>
      <c r="G1005" s="2" t="n">
        <v>0</v>
      </c>
      <c r="H1005" s="2" t="n">
        <v>0</v>
      </c>
      <c r="I1005" s="4" t="n">
        <v>2</v>
      </c>
      <c r="J1005" s="2" t="n">
        <v>1</v>
      </c>
      <c r="K1005" s="2" t="s">
        <v>20</v>
      </c>
      <c r="L1005" s="4" t="n">
        <v>5</v>
      </c>
      <c r="M1005" s="2" t="n">
        <v>0</v>
      </c>
      <c r="N1005" s="2" t="n">
        <v>0</v>
      </c>
      <c r="O1005" s="4" t="n">
        <v>3</v>
      </c>
      <c r="Q1005" s="2" t="n">
        <v>1206</v>
      </c>
      <c r="R1005" s="0" t="s">
        <v>38</v>
      </c>
      <c r="S1005" s="0" t="s">
        <v>9396</v>
      </c>
    </row>
    <row r="1006" customFormat="false" ht="13.8" hidden="false" customHeight="false" outlineLevel="0" collapsed="false">
      <c r="A1006" s="0" t="s">
        <v>104</v>
      </c>
      <c r="B1006" s="0" t="n">
        <v>2</v>
      </c>
      <c r="C1006" s="0" t="s">
        <v>9392</v>
      </c>
      <c r="D1006" s="0" t="s">
        <v>309</v>
      </c>
      <c r="E1006" s="0" t="s">
        <v>309</v>
      </c>
      <c r="F1006" s="4" t="n">
        <v>66</v>
      </c>
      <c r="G1006" s="2" t="n">
        <v>0</v>
      </c>
      <c r="H1006" s="2" t="n">
        <v>0</v>
      </c>
      <c r="I1006" s="4" t="n">
        <v>2</v>
      </c>
      <c r="J1006" s="2" t="n">
        <v>0.5</v>
      </c>
      <c r="K1006" s="2" t="s">
        <v>13</v>
      </c>
      <c r="L1006" s="4" t="n">
        <v>1</v>
      </c>
      <c r="M1006" s="2" t="n">
        <v>0</v>
      </c>
      <c r="N1006" s="2" t="n">
        <v>0</v>
      </c>
      <c r="O1006" s="4" t="n">
        <v>3</v>
      </c>
      <c r="Q1006" s="2" t="n">
        <v>1207</v>
      </c>
      <c r="R1006" s="0" t="s">
        <v>309</v>
      </c>
      <c r="S1006" s="0" t="s">
        <v>9397</v>
      </c>
    </row>
    <row r="1007" customFormat="false" ht="13.8" hidden="false" customHeight="false" outlineLevel="0" collapsed="false">
      <c r="A1007" s="0" t="s">
        <v>104</v>
      </c>
      <c r="B1007" s="0" t="n">
        <v>2</v>
      </c>
      <c r="C1007" s="0" t="s">
        <v>9392</v>
      </c>
      <c r="D1007" s="0" t="s">
        <v>855</v>
      </c>
      <c r="E1007" s="0" t="s">
        <v>102</v>
      </c>
      <c r="F1007" s="4" t="n">
        <v>1</v>
      </c>
      <c r="G1007" s="2" t="n">
        <v>0</v>
      </c>
      <c r="H1007" s="2" t="n">
        <v>0</v>
      </c>
      <c r="I1007" s="4" t="n">
        <v>2</v>
      </c>
      <c r="J1007" s="2" t="n">
        <v>1</v>
      </c>
      <c r="K1007" s="2" t="s">
        <v>20</v>
      </c>
      <c r="L1007" s="4" t="n">
        <v>5</v>
      </c>
      <c r="M1007" s="2" t="n">
        <v>0</v>
      </c>
      <c r="N1007" s="2" t="n">
        <v>0</v>
      </c>
      <c r="O1007" s="4" t="n">
        <v>3</v>
      </c>
      <c r="Q1007" s="2" t="n">
        <v>1208</v>
      </c>
      <c r="R1007" s="0" t="s">
        <v>102</v>
      </c>
      <c r="S1007" s="0" t="s">
        <v>9398</v>
      </c>
    </row>
    <row r="1008" customFormat="false" ht="13.8" hidden="false" customHeight="false" outlineLevel="0" collapsed="false">
      <c r="A1008" s="0" t="s">
        <v>104</v>
      </c>
      <c r="B1008" s="0" t="n">
        <v>2</v>
      </c>
      <c r="C1008" s="0" t="s">
        <v>9392</v>
      </c>
      <c r="D1008" s="0" t="s">
        <v>913</v>
      </c>
      <c r="E1008" s="0" t="s">
        <v>490</v>
      </c>
      <c r="F1008" s="4" t="n">
        <v>201</v>
      </c>
      <c r="G1008" s="2" t="n">
        <v>3.5</v>
      </c>
      <c r="H1008" s="2" t="s">
        <v>7</v>
      </c>
      <c r="I1008" s="4" t="n">
        <v>2</v>
      </c>
      <c r="J1008" s="2" t="n">
        <v>0</v>
      </c>
      <c r="K1008" s="2" t="n">
        <v>0</v>
      </c>
      <c r="L1008" s="4" t="n">
        <v>1</v>
      </c>
      <c r="M1008" s="2" t="n">
        <v>0</v>
      </c>
      <c r="N1008" s="2" t="n">
        <v>0</v>
      </c>
      <c r="O1008" s="4" t="n">
        <v>3</v>
      </c>
      <c r="Q1008" s="2" t="n">
        <v>1209</v>
      </c>
      <c r="R1008" s="0" t="s">
        <v>490</v>
      </c>
      <c r="S1008" s="0" t="s">
        <v>9399</v>
      </c>
    </row>
    <row r="1009" customFormat="false" ht="13.8" hidden="false" customHeight="false" outlineLevel="0" collapsed="false">
      <c r="A1009" s="0" t="s">
        <v>104</v>
      </c>
      <c r="B1009" s="0" t="n">
        <v>2</v>
      </c>
      <c r="C1009" s="0" t="s">
        <v>9392</v>
      </c>
      <c r="D1009" s="0" t="s">
        <v>96</v>
      </c>
      <c r="E1009" s="0" t="s">
        <v>96</v>
      </c>
      <c r="F1009" s="4" t="n">
        <v>177</v>
      </c>
      <c r="G1009" s="2" t="n">
        <v>0</v>
      </c>
      <c r="H1009" s="2" t="n">
        <v>0</v>
      </c>
      <c r="I1009" s="4" t="n">
        <v>2</v>
      </c>
      <c r="J1009" s="2" t="n">
        <v>1.25</v>
      </c>
      <c r="K1009" s="2" t="s">
        <v>20</v>
      </c>
      <c r="L1009" s="4" t="n">
        <v>5</v>
      </c>
      <c r="M1009" s="2" t="n">
        <v>0</v>
      </c>
      <c r="N1009" s="2" t="n">
        <v>0</v>
      </c>
      <c r="O1009" s="4" t="n">
        <v>3</v>
      </c>
      <c r="Q1009" s="2" t="n">
        <v>1210</v>
      </c>
      <c r="R1009" s="0" t="s">
        <v>96</v>
      </c>
      <c r="S1009" s="0" t="s">
        <v>9400</v>
      </c>
    </row>
    <row r="1010" customFormat="false" ht="13.8" hidden="false" customHeight="false" outlineLevel="0" collapsed="false">
      <c r="A1010" s="0" t="s">
        <v>104</v>
      </c>
      <c r="B1010" s="0" t="n">
        <v>2</v>
      </c>
      <c r="C1010" s="0" t="s">
        <v>9392</v>
      </c>
      <c r="D1010" s="0" t="s">
        <v>398</v>
      </c>
      <c r="E1010" s="0" t="s">
        <v>398</v>
      </c>
      <c r="F1010" s="4" t="n">
        <v>102</v>
      </c>
      <c r="G1010" s="2" t="n">
        <v>0</v>
      </c>
      <c r="H1010" s="2" t="n">
        <v>0</v>
      </c>
      <c r="I1010" s="4" t="n">
        <v>2</v>
      </c>
      <c r="J1010" s="2" t="n">
        <v>0.4</v>
      </c>
      <c r="K1010" s="2" t="s">
        <v>20</v>
      </c>
      <c r="L1010" s="4" t="n">
        <v>5</v>
      </c>
      <c r="M1010" s="2" t="n">
        <v>0</v>
      </c>
      <c r="N1010" s="2" t="n">
        <v>0</v>
      </c>
      <c r="O1010" s="4" t="n">
        <v>3</v>
      </c>
      <c r="Q1010" s="2" t="n">
        <v>1211</v>
      </c>
      <c r="R1010" s="0" t="s">
        <v>398</v>
      </c>
      <c r="S1010" s="0" t="s">
        <v>9401</v>
      </c>
    </row>
    <row r="1011" customFormat="false" ht="13.8" hidden="false" customHeight="false" outlineLevel="0" collapsed="false">
      <c r="A1011" s="0" t="s">
        <v>104</v>
      </c>
      <c r="B1011" s="0" t="n">
        <v>2</v>
      </c>
      <c r="C1011" s="0" t="s">
        <v>9392</v>
      </c>
      <c r="D1011" s="0" t="s">
        <v>354</v>
      </c>
      <c r="E1011" s="0" t="s">
        <v>354</v>
      </c>
      <c r="F1011" s="4" t="n">
        <v>81</v>
      </c>
      <c r="G1011" s="2" t="n">
        <v>0</v>
      </c>
      <c r="H1011" s="2" t="n">
        <v>0</v>
      </c>
      <c r="I1011" s="4" t="n">
        <v>2</v>
      </c>
      <c r="J1011" s="2" t="n">
        <v>300</v>
      </c>
      <c r="K1011" s="2" t="s">
        <v>143</v>
      </c>
      <c r="L1011" s="4" t="n">
        <v>12</v>
      </c>
      <c r="M1011" s="2" t="n">
        <v>0</v>
      </c>
      <c r="N1011" s="2" t="n">
        <v>0</v>
      </c>
      <c r="O1011" s="4" t="n">
        <v>3</v>
      </c>
      <c r="Q1011" s="2" t="n">
        <v>1212</v>
      </c>
      <c r="R1011" s="0" t="s">
        <v>354</v>
      </c>
      <c r="S1011" s="0" t="s">
        <v>9402</v>
      </c>
    </row>
    <row r="1012" customFormat="false" ht="13.8" hidden="false" customHeight="false" outlineLevel="0" collapsed="false">
      <c r="A1012" s="0" t="s">
        <v>178</v>
      </c>
      <c r="B1012" s="0" t="n">
        <v>23</v>
      </c>
      <c r="C1012" s="0" t="s">
        <v>9403</v>
      </c>
      <c r="D1012" s="0" t="s">
        <v>485</v>
      </c>
      <c r="E1012" s="0" t="s">
        <v>485</v>
      </c>
      <c r="F1012" s="4" t="n">
        <v>195</v>
      </c>
      <c r="G1012" s="2" t="n">
        <v>3</v>
      </c>
      <c r="H1012" s="2" t="s">
        <v>7</v>
      </c>
      <c r="I1012" s="4" t="n">
        <v>2</v>
      </c>
      <c r="J1012" s="2" t="n">
        <v>0</v>
      </c>
      <c r="K1012" s="2" t="n">
        <v>0</v>
      </c>
      <c r="L1012" s="4" t="n">
        <v>1</v>
      </c>
      <c r="M1012" s="2" t="n">
        <v>0</v>
      </c>
      <c r="N1012" s="2" t="n">
        <v>0</v>
      </c>
      <c r="O1012" s="4" t="n">
        <v>3</v>
      </c>
      <c r="Q1012" s="2" t="n">
        <v>1215</v>
      </c>
      <c r="R1012" s="0" t="s">
        <v>485</v>
      </c>
      <c r="S1012" s="0" t="s">
        <v>9404</v>
      </c>
    </row>
    <row r="1013" customFormat="false" ht="13.8" hidden="false" customHeight="false" outlineLevel="0" collapsed="false">
      <c r="A1013" s="0" t="s">
        <v>178</v>
      </c>
      <c r="B1013" s="0" t="n">
        <v>23</v>
      </c>
      <c r="C1013" s="0" t="s">
        <v>9403</v>
      </c>
      <c r="D1013" s="0" t="s">
        <v>348</v>
      </c>
      <c r="E1013" s="0" t="s">
        <v>348</v>
      </c>
      <c r="F1013" s="4" t="n">
        <v>79</v>
      </c>
      <c r="G1013" s="2" t="n">
        <v>1</v>
      </c>
      <c r="H1013" s="2" t="s">
        <v>7</v>
      </c>
      <c r="I1013" s="4" t="n">
        <v>2</v>
      </c>
      <c r="J1013" s="2" t="n">
        <v>0</v>
      </c>
      <c r="K1013" s="2" t="n">
        <v>0</v>
      </c>
      <c r="L1013" s="4" t="n">
        <v>1</v>
      </c>
      <c r="M1013" s="2" t="n">
        <v>0</v>
      </c>
      <c r="N1013" s="2" t="n">
        <v>0</v>
      </c>
      <c r="O1013" s="4" t="n">
        <v>3</v>
      </c>
      <c r="Q1013" s="2" t="n">
        <v>1216</v>
      </c>
      <c r="R1013" s="0" t="s">
        <v>348</v>
      </c>
      <c r="S1013" s="0" t="s">
        <v>9405</v>
      </c>
    </row>
    <row r="1014" customFormat="false" ht="13.8" hidden="false" customHeight="false" outlineLevel="0" collapsed="false">
      <c r="A1014" s="0" t="s">
        <v>178</v>
      </c>
      <c r="B1014" s="0" t="n">
        <v>23</v>
      </c>
      <c r="C1014" s="0" t="s">
        <v>9403</v>
      </c>
      <c r="D1014" s="0" t="s">
        <v>318</v>
      </c>
      <c r="E1014" s="0" t="s">
        <v>318</v>
      </c>
      <c r="F1014" s="4" t="n">
        <v>69</v>
      </c>
      <c r="G1014" s="2" t="n">
        <v>2</v>
      </c>
      <c r="H1014" s="2" t="s">
        <v>7</v>
      </c>
      <c r="I1014" s="4" t="n">
        <v>2</v>
      </c>
      <c r="J1014" s="2" t="n">
        <v>0</v>
      </c>
      <c r="K1014" s="2" t="n">
        <v>0</v>
      </c>
      <c r="L1014" s="4" t="n">
        <v>1</v>
      </c>
      <c r="M1014" s="2" t="n">
        <v>0</v>
      </c>
      <c r="N1014" s="2" t="n">
        <v>0</v>
      </c>
      <c r="O1014" s="4" t="n">
        <v>3</v>
      </c>
      <c r="Q1014" s="2" t="n">
        <v>1217</v>
      </c>
      <c r="R1014" s="0" t="s">
        <v>318</v>
      </c>
      <c r="S1014" s="0" t="s">
        <v>9406</v>
      </c>
    </row>
    <row r="1015" customFormat="false" ht="13.8" hidden="false" customHeight="false" outlineLevel="0" collapsed="false">
      <c r="A1015" s="0" t="s">
        <v>178</v>
      </c>
      <c r="B1015" s="0" t="n">
        <v>23</v>
      </c>
      <c r="C1015" s="0" t="s">
        <v>9403</v>
      </c>
      <c r="D1015" s="0" t="s">
        <v>201</v>
      </c>
      <c r="E1015" s="0" t="s">
        <v>201</v>
      </c>
      <c r="F1015" s="4" t="n">
        <v>30</v>
      </c>
      <c r="G1015" s="2" t="n">
        <v>2</v>
      </c>
      <c r="H1015" s="2" t="s">
        <v>7</v>
      </c>
      <c r="I1015" s="4" t="n">
        <v>2</v>
      </c>
      <c r="J1015" s="2" t="n">
        <v>0</v>
      </c>
      <c r="K1015" s="2" t="n">
        <v>0</v>
      </c>
      <c r="L1015" s="4" t="n">
        <v>1</v>
      </c>
      <c r="M1015" s="2" t="n">
        <v>0</v>
      </c>
      <c r="N1015" s="2" t="n">
        <v>0</v>
      </c>
      <c r="O1015" s="4" t="n">
        <v>3</v>
      </c>
      <c r="Q1015" s="2" t="n">
        <v>1218</v>
      </c>
      <c r="R1015" s="0" t="s">
        <v>201</v>
      </c>
      <c r="S1015" s="0" t="s">
        <v>9407</v>
      </c>
    </row>
    <row r="1016" customFormat="false" ht="13.8" hidden="false" customHeight="false" outlineLevel="0" collapsed="false">
      <c r="A1016" s="0" t="s">
        <v>178</v>
      </c>
      <c r="B1016" s="0" t="n">
        <v>23</v>
      </c>
      <c r="C1016" s="0" t="s">
        <v>9403</v>
      </c>
      <c r="D1016" s="0" t="s">
        <v>854</v>
      </c>
      <c r="E1016" s="0" t="s">
        <v>503</v>
      </c>
      <c r="F1016" s="4" t="n">
        <v>214</v>
      </c>
      <c r="G1016" s="2" t="n">
        <v>0</v>
      </c>
      <c r="H1016" s="2" t="n">
        <v>0</v>
      </c>
      <c r="I1016" s="4" t="n">
        <v>2</v>
      </c>
      <c r="J1016" s="2" t="n">
        <v>20</v>
      </c>
      <c r="K1016" s="2" t="s">
        <v>13</v>
      </c>
      <c r="L1016" s="4" t="n">
        <v>1</v>
      </c>
      <c r="M1016" s="2" t="n">
        <v>0</v>
      </c>
      <c r="N1016" s="2" t="n">
        <v>0</v>
      </c>
      <c r="O1016" s="4" t="n">
        <v>3</v>
      </c>
      <c r="Q1016" s="2" t="n">
        <v>1219</v>
      </c>
      <c r="R1016" s="0" t="s">
        <v>503</v>
      </c>
      <c r="S1016" s="0" t="s">
        <v>9408</v>
      </c>
    </row>
    <row r="1017" customFormat="false" ht="13.8" hidden="false" customHeight="false" outlineLevel="0" collapsed="false">
      <c r="A1017" s="0" t="s">
        <v>178</v>
      </c>
      <c r="B1017" s="0" t="n">
        <v>23</v>
      </c>
      <c r="C1017" s="0" t="s">
        <v>9403</v>
      </c>
      <c r="D1017" s="0" t="s">
        <v>803</v>
      </c>
      <c r="E1017" s="0" t="s">
        <v>38</v>
      </c>
      <c r="F1017" s="4" t="n">
        <v>105</v>
      </c>
      <c r="G1017" s="2" t="n">
        <v>0</v>
      </c>
      <c r="H1017" s="2" t="n">
        <v>0</v>
      </c>
      <c r="I1017" s="4" t="n">
        <v>2</v>
      </c>
      <c r="J1017" s="2" t="n">
        <v>2</v>
      </c>
      <c r="K1017" s="2" t="s">
        <v>20</v>
      </c>
      <c r="L1017" s="4" t="n">
        <v>5</v>
      </c>
      <c r="M1017" s="2" t="n">
        <v>0</v>
      </c>
      <c r="N1017" s="2" t="n">
        <v>0</v>
      </c>
      <c r="O1017" s="4" t="n">
        <v>3</v>
      </c>
      <c r="Q1017" s="2" t="n">
        <v>1220</v>
      </c>
      <c r="R1017" s="0" t="s">
        <v>38</v>
      </c>
      <c r="S1017" s="0" t="s">
        <v>9409</v>
      </c>
    </row>
    <row r="1018" customFormat="false" ht="13.8" hidden="false" customHeight="false" outlineLevel="0" collapsed="false">
      <c r="A1018" s="0" t="s">
        <v>178</v>
      </c>
      <c r="B1018" s="0" t="n">
        <v>23</v>
      </c>
      <c r="C1018" s="0" t="s">
        <v>9403</v>
      </c>
      <c r="D1018" s="0" t="s">
        <v>309</v>
      </c>
      <c r="E1018" s="0" t="s">
        <v>309</v>
      </c>
      <c r="F1018" s="4" t="n">
        <v>66</v>
      </c>
      <c r="G1018" s="2" t="n">
        <v>0</v>
      </c>
      <c r="H1018" s="2" t="n">
        <v>0</v>
      </c>
      <c r="I1018" s="4" t="n">
        <v>2</v>
      </c>
      <c r="J1018" s="2" t="n">
        <v>0.5</v>
      </c>
      <c r="K1018" s="2" t="s">
        <v>13</v>
      </c>
      <c r="L1018" s="4" t="n">
        <v>1</v>
      </c>
      <c r="M1018" s="2" t="n">
        <v>0</v>
      </c>
      <c r="N1018" s="2" t="n">
        <v>0</v>
      </c>
      <c r="O1018" s="4" t="n">
        <v>3</v>
      </c>
      <c r="Q1018" s="2" t="n">
        <v>1221</v>
      </c>
      <c r="R1018" s="0" t="s">
        <v>309</v>
      </c>
      <c r="S1018" s="0" t="s">
        <v>9410</v>
      </c>
    </row>
    <row r="1019" customFormat="false" ht="13.8" hidden="false" customHeight="false" outlineLevel="0" collapsed="false">
      <c r="A1019" s="0" t="s">
        <v>178</v>
      </c>
      <c r="B1019" s="0" t="n">
        <v>23</v>
      </c>
      <c r="C1019" s="0" t="s">
        <v>9403</v>
      </c>
      <c r="D1019" s="0" t="s">
        <v>855</v>
      </c>
      <c r="E1019" s="0" t="s">
        <v>102</v>
      </c>
      <c r="F1019" s="4" t="n">
        <v>1</v>
      </c>
      <c r="G1019" s="2" t="n">
        <v>0</v>
      </c>
      <c r="H1019" s="2" t="n">
        <v>0</v>
      </c>
      <c r="I1019" s="4" t="n">
        <v>2</v>
      </c>
      <c r="J1019" s="2" t="n">
        <v>1</v>
      </c>
      <c r="K1019" s="2" t="s">
        <v>20</v>
      </c>
      <c r="L1019" s="4" t="n">
        <v>5</v>
      </c>
      <c r="M1019" s="2" t="n">
        <v>0</v>
      </c>
      <c r="N1019" s="2" t="n">
        <v>0</v>
      </c>
      <c r="O1019" s="4" t="n">
        <v>3</v>
      </c>
      <c r="Q1019" s="2" t="n">
        <v>1222</v>
      </c>
      <c r="R1019" s="0" t="s">
        <v>102</v>
      </c>
      <c r="S1019" s="0" t="s">
        <v>9411</v>
      </c>
    </row>
    <row r="1020" customFormat="false" ht="13.8" hidden="false" customHeight="false" outlineLevel="0" collapsed="false">
      <c r="A1020" s="0" t="s">
        <v>178</v>
      </c>
      <c r="B1020" s="0" t="n">
        <v>23</v>
      </c>
      <c r="C1020" s="0" t="s">
        <v>9403</v>
      </c>
      <c r="D1020" s="0" t="s">
        <v>856</v>
      </c>
      <c r="E1020" s="0" t="s">
        <v>386</v>
      </c>
      <c r="F1020" s="4" t="n">
        <v>93</v>
      </c>
      <c r="G1020" s="2" t="n">
        <v>0</v>
      </c>
      <c r="H1020" s="2" t="n">
        <v>0</v>
      </c>
      <c r="I1020" s="4" t="n">
        <v>2</v>
      </c>
      <c r="J1020" s="2" t="n">
        <v>0.5</v>
      </c>
      <c r="K1020" s="2" t="s">
        <v>20</v>
      </c>
      <c r="L1020" s="4" t="n">
        <v>5</v>
      </c>
      <c r="M1020" s="2" t="n">
        <v>0</v>
      </c>
      <c r="N1020" s="2" t="n">
        <v>0</v>
      </c>
      <c r="O1020" s="4" t="n">
        <v>3</v>
      </c>
      <c r="Q1020" s="2" t="n">
        <v>1223</v>
      </c>
      <c r="R1020" s="0" t="s">
        <v>386</v>
      </c>
      <c r="S1020" s="0" t="s">
        <v>9412</v>
      </c>
    </row>
    <row r="1021" customFormat="false" ht="13.8" hidden="false" customHeight="false" outlineLevel="0" collapsed="false">
      <c r="A1021" s="0" t="s">
        <v>178</v>
      </c>
      <c r="B1021" s="0" t="n">
        <v>23</v>
      </c>
      <c r="C1021" s="0" t="s">
        <v>9403</v>
      </c>
      <c r="D1021" s="0" t="s">
        <v>913</v>
      </c>
      <c r="E1021" s="0" t="s">
        <v>490</v>
      </c>
      <c r="F1021" s="4" t="n">
        <v>201</v>
      </c>
      <c r="G1021" s="2" t="n">
        <v>3.5</v>
      </c>
      <c r="H1021" s="2" t="s">
        <v>7</v>
      </c>
      <c r="I1021" s="4" t="n">
        <v>2</v>
      </c>
      <c r="J1021" s="2" t="n">
        <v>0</v>
      </c>
      <c r="K1021" s="2" t="n">
        <v>0</v>
      </c>
      <c r="L1021" s="4" t="n">
        <v>1</v>
      </c>
      <c r="M1021" s="2" t="n">
        <v>0</v>
      </c>
      <c r="N1021" s="2" t="n">
        <v>0</v>
      </c>
      <c r="O1021" s="4" t="n">
        <v>3</v>
      </c>
      <c r="Q1021" s="2" t="n">
        <v>1224</v>
      </c>
      <c r="R1021" s="0" t="s">
        <v>490</v>
      </c>
      <c r="S1021" s="0" t="s">
        <v>9413</v>
      </c>
    </row>
    <row r="1022" customFormat="false" ht="13.8" hidden="false" customHeight="false" outlineLevel="0" collapsed="false">
      <c r="A1022" s="0" t="s">
        <v>178</v>
      </c>
      <c r="B1022" s="0" t="n">
        <v>23</v>
      </c>
      <c r="C1022" s="0" t="s">
        <v>9403</v>
      </c>
      <c r="D1022" s="0" t="s">
        <v>96</v>
      </c>
      <c r="E1022" s="0" t="s">
        <v>96</v>
      </c>
      <c r="F1022" s="4" t="n">
        <v>177</v>
      </c>
      <c r="G1022" s="2" t="n">
        <v>0</v>
      </c>
      <c r="H1022" s="2" t="n">
        <v>0</v>
      </c>
      <c r="I1022" s="4" t="n">
        <v>2</v>
      </c>
      <c r="J1022" s="2" t="n">
        <v>1.5</v>
      </c>
      <c r="K1022" s="2" t="s">
        <v>20</v>
      </c>
      <c r="L1022" s="4" t="n">
        <v>5</v>
      </c>
      <c r="M1022" s="2" t="n">
        <v>0</v>
      </c>
      <c r="N1022" s="2" t="n">
        <v>0</v>
      </c>
      <c r="O1022" s="4" t="n">
        <v>3</v>
      </c>
      <c r="Q1022" s="2" t="n">
        <v>1225</v>
      </c>
      <c r="R1022" s="0" t="s">
        <v>96</v>
      </c>
      <c r="S1022" s="0" t="s">
        <v>9414</v>
      </c>
    </row>
    <row r="1023" customFormat="false" ht="13.8" hidden="false" customHeight="false" outlineLevel="0" collapsed="false">
      <c r="A1023" s="0" t="s">
        <v>178</v>
      </c>
      <c r="B1023" s="0" t="n">
        <v>23</v>
      </c>
      <c r="C1023" s="0" t="s">
        <v>9403</v>
      </c>
      <c r="D1023" s="0" t="s">
        <v>398</v>
      </c>
      <c r="E1023" s="0" t="s">
        <v>398</v>
      </c>
      <c r="F1023" s="4" t="n">
        <v>102</v>
      </c>
      <c r="G1023" s="2" t="n">
        <v>0</v>
      </c>
      <c r="H1023" s="2" t="n">
        <v>0</v>
      </c>
      <c r="I1023" s="4" t="n">
        <v>2</v>
      </c>
      <c r="J1023" s="2" t="n">
        <v>0.4</v>
      </c>
      <c r="K1023" s="2" t="s">
        <v>20</v>
      </c>
      <c r="L1023" s="4" t="n">
        <v>5</v>
      </c>
      <c r="M1023" s="2" t="n">
        <v>0</v>
      </c>
      <c r="N1023" s="2" t="n">
        <v>0</v>
      </c>
      <c r="O1023" s="4" t="n">
        <v>3</v>
      </c>
      <c r="Q1023" s="2" t="n">
        <v>1226</v>
      </c>
      <c r="R1023" s="0" t="s">
        <v>398</v>
      </c>
      <c r="S1023" s="0" t="s">
        <v>9415</v>
      </c>
    </row>
    <row r="1024" customFormat="false" ht="13.8" hidden="false" customHeight="false" outlineLevel="0" collapsed="false">
      <c r="A1024" s="0" t="s">
        <v>178</v>
      </c>
      <c r="B1024" s="0" t="n">
        <v>23</v>
      </c>
      <c r="C1024" s="0" t="s">
        <v>9403</v>
      </c>
      <c r="D1024" s="0" t="s">
        <v>312</v>
      </c>
      <c r="E1024" s="0" t="s">
        <v>312</v>
      </c>
      <c r="F1024" s="4" t="n">
        <v>67</v>
      </c>
      <c r="G1024" s="2" t="n">
        <v>0</v>
      </c>
      <c r="H1024" s="2" t="n">
        <v>0</v>
      </c>
      <c r="I1024" s="4" t="n">
        <v>2</v>
      </c>
      <c r="J1024" s="2" t="n">
        <v>0.5</v>
      </c>
      <c r="K1024" s="2" t="s">
        <v>20</v>
      </c>
      <c r="L1024" s="4" t="n">
        <v>5</v>
      </c>
      <c r="M1024" s="2" t="n">
        <v>0</v>
      </c>
      <c r="N1024" s="2" t="n">
        <v>0</v>
      </c>
      <c r="O1024" s="4" t="n">
        <v>3</v>
      </c>
      <c r="Q1024" s="2" t="n">
        <v>1227</v>
      </c>
      <c r="R1024" s="0" t="s">
        <v>312</v>
      </c>
      <c r="S1024" s="0" t="s">
        <v>9416</v>
      </c>
    </row>
    <row r="1025" customFormat="false" ht="13.8" hidden="false" customHeight="false" outlineLevel="0" collapsed="false">
      <c r="A1025" s="0" t="s">
        <v>178</v>
      </c>
      <c r="B1025" s="0" t="n">
        <v>23</v>
      </c>
      <c r="C1025" s="0" t="s">
        <v>9403</v>
      </c>
      <c r="D1025" s="0" t="s">
        <v>399</v>
      </c>
      <c r="E1025" s="0" t="s">
        <v>399</v>
      </c>
      <c r="F1025" s="4" t="n">
        <v>103</v>
      </c>
      <c r="G1025" s="2" t="n">
        <v>0</v>
      </c>
      <c r="H1025" s="2" t="n">
        <v>0</v>
      </c>
      <c r="I1025" s="4" t="n">
        <v>2</v>
      </c>
      <c r="J1025" s="2" t="n">
        <v>0.5</v>
      </c>
      <c r="K1025" s="2" t="s">
        <v>20</v>
      </c>
      <c r="L1025" s="4" t="n">
        <v>5</v>
      </c>
      <c r="M1025" s="2" t="n">
        <v>0</v>
      </c>
      <c r="N1025" s="2" t="n">
        <v>0</v>
      </c>
      <c r="O1025" s="4" t="n">
        <v>3</v>
      </c>
      <c r="Q1025" s="2" t="n">
        <v>1228</v>
      </c>
      <c r="R1025" s="0" t="s">
        <v>399</v>
      </c>
      <c r="S1025" s="0" t="s">
        <v>9417</v>
      </c>
    </row>
    <row r="1026" customFormat="false" ht="13.8" hidden="false" customHeight="false" outlineLevel="0" collapsed="false">
      <c r="A1026" s="0" t="s">
        <v>178</v>
      </c>
      <c r="B1026" s="0" t="n">
        <v>23</v>
      </c>
      <c r="C1026" s="0" t="s">
        <v>9403</v>
      </c>
      <c r="D1026" s="0" t="s">
        <v>857</v>
      </c>
      <c r="E1026" s="0" t="s">
        <v>412</v>
      </c>
      <c r="F1026" s="4" t="n">
        <v>117</v>
      </c>
      <c r="G1026" s="2" t="n">
        <v>0</v>
      </c>
      <c r="H1026" s="2" t="n">
        <v>0</v>
      </c>
      <c r="I1026" s="4" t="n">
        <v>2</v>
      </c>
      <c r="J1026" s="2" t="n">
        <v>0.4</v>
      </c>
      <c r="K1026" s="2" t="s">
        <v>20</v>
      </c>
      <c r="L1026" s="4" t="n">
        <v>5</v>
      </c>
      <c r="M1026" s="2" t="n">
        <v>0</v>
      </c>
      <c r="N1026" s="2" t="n">
        <v>0</v>
      </c>
      <c r="O1026" s="4" t="n">
        <v>3</v>
      </c>
      <c r="Q1026" s="2" t="n">
        <v>1229</v>
      </c>
      <c r="R1026" s="0" t="s">
        <v>412</v>
      </c>
      <c r="S1026" s="0" t="s">
        <v>9418</v>
      </c>
    </row>
    <row r="1027" customFormat="false" ht="13.8" hidden="false" customHeight="false" outlineLevel="0" collapsed="false">
      <c r="A1027" s="0" t="s">
        <v>178</v>
      </c>
      <c r="B1027" s="0" t="n">
        <v>23</v>
      </c>
      <c r="C1027" s="0" t="s">
        <v>9403</v>
      </c>
      <c r="D1027" s="0" t="s">
        <v>807</v>
      </c>
      <c r="E1027" s="0" t="s">
        <v>429</v>
      </c>
      <c r="F1027" s="4" t="n">
        <v>135</v>
      </c>
      <c r="G1027" s="2" t="n">
        <v>0</v>
      </c>
      <c r="H1027" s="2" t="n">
        <v>0</v>
      </c>
      <c r="I1027" s="4" t="n">
        <v>2</v>
      </c>
      <c r="J1027" s="2" t="n">
        <v>0.3</v>
      </c>
      <c r="K1027" s="2" t="s">
        <v>20</v>
      </c>
      <c r="L1027" s="4" t="n">
        <v>5</v>
      </c>
      <c r="M1027" s="2" t="n">
        <v>0</v>
      </c>
      <c r="N1027" s="2" t="n">
        <v>0</v>
      </c>
      <c r="O1027" s="4" t="n">
        <v>3</v>
      </c>
      <c r="Q1027" s="2" t="n">
        <v>1230</v>
      </c>
      <c r="R1027" s="0" t="s">
        <v>429</v>
      </c>
      <c r="S1027" s="0" t="s">
        <v>9419</v>
      </c>
    </row>
    <row r="1028" customFormat="false" ht="13.8" hidden="false" customHeight="false" outlineLevel="0" collapsed="false">
      <c r="A1028" s="0" t="s">
        <v>178</v>
      </c>
      <c r="B1028" s="0" t="n">
        <v>23</v>
      </c>
      <c r="C1028" s="0" t="s">
        <v>9403</v>
      </c>
      <c r="D1028" s="0" t="s">
        <v>858</v>
      </c>
      <c r="E1028" s="0" t="s">
        <v>123</v>
      </c>
      <c r="F1028" s="4" t="n">
        <v>6</v>
      </c>
      <c r="G1028" s="2" t="n">
        <v>0</v>
      </c>
      <c r="H1028" s="2" t="n">
        <v>0</v>
      </c>
      <c r="I1028" s="4" t="n">
        <v>2</v>
      </c>
      <c r="J1028" s="2" t="n">
        <v>1</v>
      </c>
      <c r="K1028" s="2" t="s">
        <v>20</v>
      </c>
      <c r="L1028" s="4" t="n">
        <v>5</v>
      </c>
      <c r="M1028" s="2" t="n">
        <v>0</v>
      </c>
      <c r="N1028" s="2" t="n">
        <v>0</v>
      </c>
      <c r="O1028" s="4" t="n">
        <v>3</v>
      </c>
      <c r="Q1028" s="2" t="n">
        <v>1231</v>
      </c>
      <c r="R1028" s="0" t="s">
        <v>123</v>
      </c>
      <c r="S1028" s="0" t="s">
        <v>9420</v>
      </c>
    </row>
    <row r="1029" customFormat="false" ht="13.8" hidden="false" customHeight="false" outlineLevel="0" collapsed="false">
      <c r="A1029" s="0" t="s">
        <v>178</v>
      </c>
      <c r="B1029" s="0" t="n">
        <v>23</v>
      </c>
      <c r="C1029" s="0" t="s">
        <v>9403</v>
      </c>
      <c r="D1029" s="0" t="s">
        <v>839</v>
      </c>
      <c r="E1029" s="0" t="s">
        <v>360</v>
      </c>
      <c r="F1029" s="4" t="n">
        <v>83</v>
      </c>
      <c r="G1029" s="2" t="n">
        <v>0</v>
      </c>
      <c r="H1029" s="2" t="n">
        <v>0</v>
      </c>
      <c r="I1029" s="4" t="n">
        <v>2</v>
      </c>
      <c r="J1029" s="2" t="n">
        <v>500</v>
      </c>
      <c r="K1029" s="2" t="s">
        <v>143</v>
      </c>
      <c r="L1029" s="4" t="n">
        <v>12</v>
      </c>
      <c r="M1029" s="2" t="n">
        <v>0</v>
      </c>
      <c r="N1029" s="2" t="n">
        <v>0</v>
      </c>
      <c r="O1029" s="4" t="n">
        <v>3</v>
      </c>
      <c r="Q1029" s="2" t="n">
        <v>1232</v>
      </c>
      <c r="R1029" s="0" t="s">
        <v>360</v>
      </c>
      <c r="S1029" s="0" t="s">
        <v>9421</v>
      </c>
    </row>
    <row r="1030" customFormat="false" ht="13.8" hidden="false" customHeight="false" outlineLevel="0" collapsed="false">
      <c r="A1030" s="0" t="s">
        <v>178</v>
      </c>
      <c r="B1030" s="0" t="n">
        <v>23</v>
      </c>
      <c r="C1030" s="0" t="s">
        <v>9403</v>
      </c>
      <c r="D1030" s="0" t="s">
        <v>44</v>
      </c>
      <c r="E1030" s="0" t="s">
        <v>44</v>
      </c>
      <c r="F1030" s="4" t="n">
        <v>187</v>
      </c>
      <c r="G1030" s="2" t="n">
        <v>0</v>
      </c>
      <c r="H1030" s="2" t="n">
        <v>0</v>
      </c>
      <c r="I1030" s="4" t="n">
        <v>2</v>
      </c>
      <c r="J1030" s="2" t="n">
        <v>1</v>
      </c>
      <c r="K1030" s="2" t="s">
        <v>20</v>
      </c>
      <c r="L1030" s="4" t="n">
        <v>5</v>
      </c>
      <c r="M1030" s="2" t="n">
        <v>0</v>
      </c>
      <c r="N1030" s="2" t="n">
        <v>0</v>
      </c>
      <c r="O1030" s="4" t="n">
        <v>3</v>
      </c>
      <c r="Q1030" s="2" t="n">
        <v>1233</v>
      </c>
      <c r="R1030" s="0" t="s">
        <v>44</v>
      </c>
      <c r="S1030" s="0" t="s">
        <v>9422</v>
      </c>
    </row>
    <row r="1031" customFormat="false" ht="13.8" hidden="false" customHeight="false" outlineLevel="0" collapsed="false">
      <c r="A1031" s="0" t="s">
        <v>229</v>
      </c>
      <c r="B1031" s="0" t="n">
        <v>40</v>
      </c>
      <c r="C1031" s="0" t="s">
        <v>9423</v>
      </c>
      <c r="D1031" s="0" t="s">
        <v>914</v>
      </c>
      <c r="E1031" s="0" t="s">
        <v>386</v>
      </c>
      <c r="F1031" s="4" t="n">
        <v>93</v>
      </c>
      <c r="G1031" s="2" t="n">
        <v>0</v>
      </c>
      <c r="H1031" s="2" t="n">
        <v>0</v>
      </c>
      <c r="I1031" s="4" t="n">
        <v>2</v>
      </c>
      <c r="J1031" s="2" t="n">
        <v>1</v>
      </c>
      <c r="K1031" s="2" t="s">
        <v>13</v>
      </c>
      <c r="L1031" s="4" t="n">
        <v>1</v>
      </c>
      <c r="M1031" s="2" t="n">
        <v>0</v>
      </c>
      <c r="N1031" s="2" t="n">
        <v>0</v>
      </c>
      <c r="O1031" s="4" t="n">
        <v>3</v>
      </c>
      <c r="Q1031" s="2" t="n">
        <v>1235</v>
      </c>
      <c r="R1031" s="0" t="s">
        <v>386</v>
      </c>
      <c r="S1031" s="0" t="s">
        <v>9424</v>
      </c>
    </row>
    <row r="1032" customFormat="false" ht="13.8" hidden="false" customHeight="false" outlineLevel="0" collapsed="false">
      <c r="A1032" s="0" t="s">
        <v>229</v>
      </c>
      <c r="B1032" s="0" t="n">
        <v>40</v>
      </c>
      <c r="C1032" s="0" t="s">
        <v>9423</v>
      </c>
      <c r="D1032" s="0" t="s">
        <v>38</v>
      </c>
      <c r="E1032" s="0" t="s">
        <v>38</v>
      </c>
      <c r="F1032" s="4" t="n">
        <v>105</v>
      </c>
      <c r="G1032" s="2" t="n">
        <v>0</v>
      </c>
      <c r="H1032" s="2" t="n">
        <v>0</v>
      </c>
      <c r="I1032" s="4" t="n">
        <v>2</v>
      </c>
      <c r="J1032" s="2" t="n">
        <v>1</v>
      </c>
      <c r="K1032" s="2" t="s">
        <v>13</v>
      </c>
      <c r="L1032" s="4" t="n">
        <v>1</v>
      </c>
      <c r="M1032" s="2" t="n">
        <v>0</v>
      </c>
      <c r="N1032" s="2" t="n">
        <v>0</v>
      </c>
      <c r="O1032" s="4" t="n">
        <v>3</v>
      </c>
      <c r="Q1032" s="2" t="n">
        <v>1236</v>
      </c>
      <c r="R1032" s="0" t="s">
        <v>38</v>
      </c>
      <c r="S1032" s="0" t="s">
        <v>9425</v>
      </c>
    </row>
    <row r="1033" customFormat="false" ht="13.8" hidden="false" customHeight="false" outlineLevel="0" collapsed="false">
      <c r="A1033" s="0" t="s">
        <v>229</v>
      </c>
      <c r="B1033" s="0" t="n">
        <v>40</v>
      </c>
      <c r="C1033" s="0" t="s">
        <v>9423</v>
      </c>
      <c r="D1033" s="0" t="s">
        <v>421</v>
      </c>
      <c r="E1033" s="0" t="s">
        <v>421</v>
      </c>
      <c r="F1033" s="4" t="n">
        <v>126</v>
      </c>
      <c r="G1033" s="2" t="n">
        <v>10</v>
      </c>
      <c r="H1033" s="2" t="s">
        <v>7</v>
      </c>
      <c r="I1033" s="4" t="n">
        <v>2</v>
      </c>
      <c r="J1033" s="2" t="n">
        <v>0</v>
      </c>
      <c r="K1033" s="2" t="n">
        <v>0</v>
      </c>
      <c r="L1033" s="4" t="n">
        <v>1</v>
      </c>
      <c r="M1033" s="2" t="n">
        <v>0</v>
      </c>
      <c r="N1033" s="2" t="n">
        <v>0</v>
      </c>
      <c r="O1033" s="4" t="n">
        <v>3</v>
      </c>
      <c r="Q1033" s="2" t="n">
        <v>1237</v>
      </c>
      <c r="R1033" s="0" t="s">
        <v>421</v>
      </c>
      <c r="S1033" s="0" t="s">
        <v>9426</v>
      </c>
    </row>
    <row r="1034" customFormat="false" ht="13.8" hidden="false" customHeight="false" outlineLevel="0" collapsed="false">
      <c r="A1034" s="0" t="s">
        <v>229</v>
      </c>
      <c r="B1034" s="0" t="n">
        <v>40</v>
      </c>
      <c r="C1034" s="0" t="s">
        <v>9423</v>
      </c>
      <c r="D1034" s="0" t="s">
        <v>915</v>
      </c>
      <c r="E1034" s="0" t="s">
        <v>474</v>
      </c>
      <c r="F1034" s="4" t="n">
        <v>183</v>
      </c>
      <c r="G1034" s="2" t="n">
        <v>2</v>
      </c>
      <c r="H1034" s="2" t="s">
        <v>7</v>
      </c>
      <c r="I1034" s="4" t="n">
        <v>2</v>
      </c>
      <c r="J1034" s="2" t="n">
        <v>0</v>
      </c>
      <c r="K1034" s="2" t="n">
        <v>0</v>
      </c>
      <c r="L1034" s="4" t="n">
        <v>1</v>
      </c>
      <c r="M1034" s="2" t="n">
        <v>0</v>
      </c>
      <c r="N1034" s="2" t="n">
        <v>0</v>
      </c>
      <c r="O1034" s="4" t="n">
        <v>3</v>
      </c>
      <c r="Q1034" s="2" t="n">
        <v>1238</v>
      </c>
      <c r="R1034" s="0" t="s">
        <v>474</v>
      </c>
      <c r="S1034" s="0" t="s">
        <v>9427</v>
      </c>
    </row>
    <row r="1035" customFormat="false" ht="13.8" hidden="false" customHeight="false" outlineLevel="0" collapsed="false">
      <c r="A1035" s="0" t="s">
        <v>229</v>
      </c>
      <c r="B1035" s="0" t="n">
        <v>40</v>
      </c>
      <c r="C1035" s="0" t="s">
        <v>9423</v>
      </c>
      <c r="D1035" s="0" t="s">
        <v>916</v>
      </c>
      <c r="E1035" s="0" t="s">
        <v>297</v>
      </c>
      <c r="F1035" s="4" t="n">
        <v>62</v>
      </c>
      <c r="G1035" s="2" t="n">
        <v>1.5</v>
      </c>
      <c r="H1035" s="2" t="s">
        <v>7</v>
      </c>
      <c r="I1035" s="4" t="n">
        <v>2</v>
      </c>
      <c r="J1035" s="2" t="n">
        <v>0</v>
      </c>
      <c r="K1035" s="2" t="n">
        <v>0</v>
      </c>
      <c r="L1035" s="4" t="n">
        <v>1</v>
      </c>
      <c r="M1035" s="2" t="n">
        <v>0</v>
      </c>
      <c r="N1035" s="2" t="n">
        <v>0</v>
      </c>
      <c r="O1035" s="4" t="n">
        <v>3</v>
      </c>
      <c r="Q1035" s="2" t="n">
        <v>1239</v>
      </c>
      <c r="R1035" s="0" t="s">
        <v>297</v>
      </c>
      <c r="S1035" s="0" t="s">
        <v>9428</v>
      </c>
    </row>
    <row r="1036" customFormat="false" ht="13.8" hidden="false" customHeight="false" outlineLevel="0" collapsed="false">
      <c r="A1036" s="0" t="s">
        <v>229</v>
      </c>
      <c r="B1036" s="0" t="n">
        <v>40</v>
      </c>
      <c r="C1036" s="0" t="s">
        <v>9423</v>
      </c>
      <c r="D1036" s="0" t="s">
        <v>377</v>
      </c>
      <c r="E1036" s="0" t="s">
        <v>377</v>
      </c>
      <c r="F1036" s="4" t="n">
        <v>89</v>
      </c>
      <c r="G1036" s="2" t="n">
        <v>0</v>
      </c>
      <c r="H1036" s="2" t="n">
        <v>0</v>
      </c>
      <c r="I1036" s="4" t="n">
        <v>2</v>
      </c>
      <c r="J1036" s="2" t="n">
        <v>0.5</v>
      </c>
      <c r="K1036" s="2" t="s">
        <v>13</v>
      </c>
      <c r="L1036" s="4" t="n">
        <v>1</v>
      </c>
      <c r="M1036" s="2" t="n">
        <v>0</v>
      </c>
      <c r="N1036" s="2" t="n">
        <v>0</v>
      </c>
      <c r="O1036" s="4" t="n">
        <v>3</v>
      </c>
      <c r="Q1036" s="2" t="n">
        <v>1240</v>
      </c>
      <c r="R1036" s="0" t="s">
        <v>377</v>
      </c>
      <c r="S1036" s="0" t="s">
        <v>9429</v>
      </c>
    </row>
    <row r="1037" customFormat="false" ht="13.8" hidden="false" customHeight="false" outlineLevel="0" collapsed="false">
      <c r="A1037" s="0" t="s">
        <v>229</v>
      </c>
      <c r="B1037" s="0" t="n">
        <v>40</v>
      </c>
      <c r="C1037" s="0" t="s">
        <v>9423</v>
      </c>
      <c r="D1037" s="0" t="s">
        <v>96</v>
      </c>
      <c r="E1037" s="0" t="s">
        <v>96</v>
      </c>
      <c r="F1037" s="4" t="n">
        <v>177</v>
      </c>
      <c r="G1037" s="2" t="n">
        <v>0</v>
      </c>
      <c r="H1037" s="2" t="n">
        <v>0</v>
      </c>
      <c r="I1037" s="4" t="n">
        <v>2</v>
      </c>
      <c r="J1037" s="2" t="n">
        <v>1</v>
      </c>
      <c r="K1037" s="2" t="s">
        <v>20</v>
      </c>
      <c r="L1037" s="4" t="n">
        <v>5</v>
      </c>
      <c r="M1037" s="2" t="n">
        <v>0</v>
      </c>
      <c r="N1037" s="2" t="n">
        <v>0</v>
      </c>
      <c r="O1037" s="4" t="n">
        <v>3</v>
      </c>
      <c r="Q1037" s="2" t="n">
        <v>1241</v>
      </c>
      <c r="R1037" s="0" t="s">
        <v>96</v>
      </c>
      <c r="S1037" s="0" t="s">
        <v>9430</v>
      </c>
    </row>
    <row r="1038" customFormat="false" ht="13.8" hidden="false" customHeight="false" outlineLevel="0" collapsed="false">
      <c r="A1038" s="0" t="s">
        <v>229</v>
      </c>
      <c r="B1038" s="0" t="n">
        <v>40</v>
      </c>
      <c r="C1038" s="0" t="s">
        <v>9423</v>
      </c>
      <c r="D1038" s="0" t="s">
        <v>858</v>
      </c>
      <c r="E1038" s="0" t="s">
        <v>123</v>
      </c>
      <c r="F1038" s="4" t="n">
        <v>6</v>
      </c>
      <c r="G1038" s="2" t="n">
        <v>0</v>
      </c>
      <c r="H1038" s="2" t="n">
        <v>0</v>
      </c>
      <c r="I1038" s="4" t="n">
        <v>2</v>
      </c>
      <c r="J1038" s="2" t="n">
        <v>1</v>
      </c>
      <c r="K1038" s="2" t="s">
        <v>13</v>
      </c>
      <c r="L1038" s="4" t="n">
        <v>1</v>
      </c>
      <c r="M1038" s="2" t="n">
        <v>0</v>
      </c>
      <c r="N1038" s="2" t="n">
        <v>0</v>
      </c>
      <c r="O1038" s="4" t="n">
        <v>3</v>
      </c>
      <c r="Q1038" s="2" t="n">
        <v>1242</v>
      </c>
      <c r="R1038" s="0" t="s">
        <v>123</v>
      </c>
      <c r="S1038" s="0" t="s">
        <v>9431</v>
      </c>
    </row>
    <row r="1039" customFormat="false" ht="13.8" hidden="false" customHeight="false" outlineLevel="0" collapsed="false">
      <c r="A1039" s="0" t="s">
        <v>334</v>
      </c>
      <c r="B1039" s="0" t="n">
        <v>75</v>
      </c>
      <c r="C1039" s="0" t="s">
        <v>9432</v>
      </c>
      <c r="D1039" s="0" t="s">
        <v>478</v>
      </c>
      <c r="E1039" s="0" t="s">
        <v>478</v>
      </c>
      <c r="F1039" s="4" t="n">
        <v>188</v>
      </c>
      <c r="G1039" s="2" t="n">
        <v>0</v>
      </c>
      <c r="H1039" s="2" t="n">
        <v>0</v>
      </c>
      <c r="I1039" s="4" t="n">
        <v>2</v>
      </c>
      <c r="J1039" s="2" t="n">
        <v>0</v>
      </c>
      <c r="K1039" s="2" t="n">
        <v>0</v>
      </c>
      <c r="L1039" s="4" t="n">
        <v>1</v>
      </c>
      <c r="M1039" s="2" t="n">
        <v>80</v>
      </c>
      <c r="N1039" s="2" t="s">
        <v>107</v>
      </c>
      <c r="O1039" s="4" t="n">
        <v>3</v>
      </c>
      <c r="Q1039" s="2" t="n">
        <v>1244</v>
      </c>
      <c r="R1039" s="0" t="s">
        <v>478</v>
      </c>
      <c r="S1039" s="0" t="s">
        <v>9433</v>
      </c>
    </row>
    <row r="1040" customFormat="false" ht="13.8" hidden="false" customHeight="false" outlineLevel="0" collapsed="false">
      <c r="A1040" s="0" t="s">
        <v>334</v>
      </c>
      <c r="B1040" s="0" t="n">
        <v>75</v>
      </c>
      <c r="C1040" s="0" t="s">
        <v>9432</v>
      </c>
      <c r="D1040" s="0" t="s">
        <v>207</v>
      </c>
      <c r="E1040" s="0" t="s">
        <v>207</v>
      </c>
      <c r="F1040" s="4" t="n">
        <v>32</v>
      </c>
      <c r="G1040" s="2" t="n">
        <v>0</v>
      </c>
      <c r="H1040" s="2" t="n">
        <v>0</v>
      </c>
      <c r="I1040" s="4" t="n">
        <v>2</v>
      </c>
      <c r="J1040" s="2" t="n">
        <v>0.5</v>
      </c>
      <c r="K1040" s="2" t="s">
        <v>20</v>
      </c>
      <c r="L1040" s="4" t="n">
        <v>5</v>
      </c>
      <c r="M1040" s="2" t="n">
        <v>0</v>
      </c>
      <c r="N1040" s="2" t="n">
        <v>0</v>
      </c>
      <c r="O1040" s="4" t="n">
        <v>3</v>
      </c>
      <c r="Q1040" s="2" t="n">
        <v>1245</v>
      </c>
      <c r="R1040" s="0" t="s">
        <v>207</v>
      </c>
      <c r="S1040" s="0" t="s">
        <v>9434</v>
      </c>
    </row>
    <row r="1041" customFormat="false" ht="13.8" hidden="false" customHeight="false" outlineLevel="0" collapsed="false">
      <c r="A1041" s="0" t="s">
        <v>110</v>
      </c>
      <c r="B1041" s="0" t="n">
        <v>3</v>
      </c>
      <c r="C1041" s="0" t="s">
        <v>9435</v>
      </c>
      <c r="D1041" s="0" t="s">
        <v>846</v>
      </c>
      <c r="E1041" s="0" t="s">
        <v>130</v>
      </c>
      <c r="F1041" s="4" t="n">
        <v>8</v>
      </c>
      <c r="G1041" s="2" t="n">
        <v>12</v>
      </c>
      <c r="H1041" s="2" t="s">
        <v>7</v>
      </c>
      <c r="I1041" s="4" t="n">
        <v>2</v>
      </c>
      <c r="J1041" s="2" t="n">
        <v>0</v>
      </c>
      <c r="K1041" s="2" t="n">
        <v>0</v>
      </c>
      <c r="L1041" s="4" t="n">
        <v>1</v>
      </c>
      <c r="M1041" s="2" t="n">
        <v>0</v>
      </c>
      <c r="N1041" s="2" t="n">
        <v>0</v>
      </c>
      <c r="O1041" s="4" t="n">
        <v>3</v>
      </c>
      <c r="Q1041" s="2" t="n">
        <v>1247</v>
      </c>
      <c r="R1041" s="0" t="s">
        <v>130</v>
      </c>
      <c r="S1041" s="0" t="s">
        <v>9436</v>
      </c>
    </row>
    <row r="1042" customFormat="false" ht="13.8" hidden="false" customHeight="false" outlineLevel="0" collapsed="false">
      <c r="A1042" s="0" t="s">
        <v>110</v>
      </c>
      <c r="B1042" s="0" t="n">
        <v>3</v>
      </c>
      <c r="C1042" s="0" t="s">
        <v>9435</v>
      </c>
      <c r="D1042" s="0" t="s">
        <v>309</v>
      </c>
      <c r="E1042" s="0" t="s">
        <v>309</v>
      </c>
      <c r="F1042" s="4" t="n">
        <v>66</v>
      </c>
      <c r="G1042" s="2" t="n">
        <v>0</v>
      </c>
      <c r="H1042" s="2" t="n">
        <v>0</v>
      </c>
      <c r="I1042" s="4" t="n">
        <v>2</v>
      </c>
      <c r="J1042" s="2" t="n">
        <v>0.5</v>
      </c>
      <c r="K1042" s="2" t="s">
        <v>13</v>
      </c>
      <c r="L1042" s="4" t="n">
        <v>1</v>
      </c>
      <c r="M1042" s="2" t="n">
        <v>0</v>
      </c>
      <c r="N1042" s="2" t="n">
        <v>0</v>
      </c>
      <c r="O1042" s="4" t="n">
        <v>3</v>
      </c>
      <c r="Q1042" s="2" t="n">
        <v>1248</v>
      </c>
      <c r="R1042" s="0" t="s">
        <v>309</v>
      </c>
      <c r="S1042" s="0" t="s">
        <v>9437</v>
      </c>
    </row>
    <row r="1043" customFormat="false" ht="13.8" hidden="false" customHeight="false" outlineLevel="0" collapsed="false">
      <c r="A1043" s="0" t="s">
        <v>110</v>
      </c>
      <c r="B1043" s="0" t="n">
        <v>3</v>
      </c>
      <c r="C1043" s="0" t="s">
        <v>9435</v>
      </c>
      <c r="D1043" s="0" t="s">
        <v>456</v>
      </c>
      <c r="E1043" s="0" t="s">
        <v>456</v>
      </c>
      <c r="F1043" s="4" t="n">
        <v>164</v>
      </c>
      <c r="G1043" s="2" t="n">
        <v>0</v>
      </c>
      <c r="H1043" s="2" t="n">
        <v>0</v>
      </c>
      <c r="I1043" s="4" t="n">
        <v>2</v>
      </c>
      <c r="J1043" s="2" t="n">
        <v>0.5</v>
      </c>
      <c r="K1043" s="2" t="s">
        <v>20</v>
      </c>
      <c r="L1043" s="4" t="n">
        <v>5</v>
      </c>
      <c r="M1043" s="2" t="n">
        <v>0</v>
      </c>
      <c r="N1043" s="2" t="n">
        <v>0</v>
      </c>
      <c r="O1043" s="4" t="n">
        <v>3</v>
      </c>
      <c r="Q1043" s="2" t="n">
        <v>1249</v>
      </c>
      <c r="R1043" s="0" t="s">
        <v>456</v>
      </c>
      <c r="S1043" s="0" t="s">
        <v>9438</v>
      </c>
    </row>
    <row r="1044" customFormat="false" ht="13.8" hidden="false" customHeight="false" outlineLevel="0" collapsed="false">
      <c r="A1044" s="0" t="s">
        <v>110</v>
      </c>
      <c r="B1044" s="0" t="n">
        <v>3</v>
      </c>
      <c r="C1044" s="0" t="s">
        <v>9435</v>
      </c>
      <c r="D1044" s="0" t="s">
        <v>391</v>
      </c>
      <c r="E1044" s="0" t="s">
        <v>391</v>
      </c>
      <c r="F1044" s="4" t="n">
        <v>95</v>
      </c>
      <c r="G1044" s="2" t="n">
        <v>0</v>
      </c>
      <c r="H1044" s="2" t="n">
        <v>0</v>
      </c>
      <c r="I1044" s="4" t="n">
        <v>2</v>
      </c>
      <c r="J1044" s="2" t="n">
        <v>0.25</v>
      </c>
      <c r="K1044" s="2" t="s">
        <v>20</v>
      </c>
      <c r="L1044" s="4" t="n">
        <v>5</v>
      </c>
      <c r="M1044" s="2" t="n">
        <v>0</v>
      </c>
      <c r="N1044" s="2" t="n">
        <v>0</v>
      </c>
      <c r="O1044" s="4" t="n">
        <v>3</v>
      </c>
      <c r="Q1044" s="2" t="n">
        <v>1250</v>
      </c>
      <c r="R1044" s="0" t="s">
        <v>391</v>
      </c>
      <c r="S1044" s="0" t="s">
        <v>9439</v>
      </c>
    </row>
    <row r="1045" customFormat="false" ht="13.8" hidden="false" customHeight="false" outlineLevel="0" collapsed="false">
      <c r="A1045" s="0" t="s">
        <v>110</v>
      </c>
      <c r="B1045" s="0" t="n">
        <v>3</v>
      </c>
      <c r="C1045" s="0" t="s">
        <v>9435</v>
      </c>
      <c r="D1045" s="0" t="s">
        <v>382</v>
      </c>
      <c r="E1045" s="0" t="s">
        <v>382</v>
      </c>
      <c r="F1045" s="4" t="n">
        <v>91</v>
      </c>
      <c r="G1045" s="2" t="n">
        <v>0</v>
      </c>
      <c r="H1045" s="2" t="n">
        <v>0</v>
      </c>
      <c r="I1045" s="4" t="n">
        <v>2</v>
      </c>
      <c r="J1045" s="2" t="n">
        <v>0.5</v>
      </c>
      <c r="K1045" s="2" t="s">
        <v>20</v>
      </c>
      <c r="L1045" s="4" t="n">
        <v>5</v>
      </c>
      <c r="M1045" s="2" t="n">
        <v>0</v>
      </c>
      <c r="N1045" s="2" t="n">
        <v>0</v>
      </c>
      <c r="O1045" s="4" t="n">
        <v>3</v>
      </c>
      <c r="Q1045" s="2" t="n">
        <v>1251</v>
      </c>
      <c r="R1045" s="0" t="s">
        <v>382</v>
      </c>
      <c r="S1045" s="0" t="s">
        <v>9440</v>
      </c>
    </row>
    <row r="1046" customFormat="false" ht="13.8" hidden="false" customHeight="false" outlineLevel="0" collapsed="false">
      <c r="A1046" s="0" t="s">
        <v>110</v>
      </c>
      <c r="B1046" s="0" t="n">
        <v>3</v>
      </c>
      <c r="C1046" s="0" t="s">
        <v>9435</v>
      </c>
      <c r="D1046" s="0" t="s">
        <v>889</v>
      </c>
      <c r="E1046" s="0" t="s">
        <v>429</v>
      </c>
      <c r="F1046" s="4" t="n">
        <v>135</v>
      </c>
      <c r="G1046" s="2" t="n">
        <v>0</v>
      </c>
      <c r="H1046" s="2" t="n">
        <v>0</v>
      </c>
      <c r="I1046" s="4" t="n">
        <v>2</v>
      </c>
      <c r="J1046" s="2" t="n">
        <v>0.5</v>
      </c>
      <c r="K1046" s="2" t="s">
        <v>20</v>
      </c>
      <c r="L1046" s="4" t="n">
        <v>5</v>
      </c>
      <c r="M1046" s="2" t="n">
        <v>0</v>
      </c>
      <c r="N1046" s="2" t="n">
        <v>0</v>
      </c>
      <c r="O1046" s="4" t="n">
        <v>3</v>
      </c>
      <c r="Q1046" s="2" t="n">
        <v>1252</v>
      </c>
      <c r="R1046" s="0" t="s">
        <v>429</v>
      </c>
      <c r="S1046" s="0" t="s">
        <v>9441</v>
      </c>
    </row>
    <row r="1047" customFormat="false" ht="13.8" hidden="false" customHeight="false" outlineLevel="0" collapsed="false">
      <c r="A1047" s="0" t="s">
        <v>110</v>
      </c>
      <c r="B1047" s="0" t="n">
        <v>3</v>
      </c>
      <c r="C1047" s="0" t="s">
        <v>9435</v>
      </c>
      <c r="D1047" s="0" t="s">
        <v>412</v>
      </c>
      <c r="E1047" s="0" t="s">
        <v>412</v>
      </c>
      <c r="F1047" s="4" t="n">
        <v>117</v>
      </c>
      <c r="G1047" s="2" t="n">
        <v>0</v>
      </c>
      <c r="H1047" s="2" t="n">
        <v>0</v>
      </c>
      <c r="I1047" s="4" t="n">
        <v>2</v>
      </c>
      <c r="J1047" s="2" t="n">
        <v>0.5</v>
      </c>
      <c r="K1047" s="2" t="s">
        <v>20</v>
      </c>
      <c r="L1047" s="4" t="n">
        <v>5</v>
      </c>
      <c r="M1047" s="2" t="n">
        <v>0</v>
      </c>
      <c r="N1047" s="2" t="n">
        <v>0</v>
      </c>
      <c r="O1047" s="4" t="n">
        <v>3</v>
      </c>
      <c r="Q1047" s="2" t="n">
        <v>1253</v>
      </c>
      <c r="R1047" s="0" t="s">
        <v>412</v>
      </c>
      <c r="S1047" s="0" t="s">
        <v>9442</v>
      </c>
    </row>
    <row r="1048" customFormat="false" ht="13.8" hidden="false" customHeight="false" outlineLevel="0" collapsed="false">
      <c r="A1048" s="0" t="s">
        <v>110</v>
      </c>
      <c r="B1048" s="0" t="n">
        <v>3</v>
      </c>
      <c r="C1048" s="0" t="s">
        <v>9435</v>
      </c>
      <c r="D1048" s="0" t="s">
        <v>917</v>
      </c>
      <c r="E1048" s="0" t="s">
        <v>360</v>
      </c>
      <c r="F1048" s="4" t="n">
        <v>83</v>
      </c>
      <c r="G1048" s="2" t="n">
        <v>0</v>
      </c>
      <c r="H1048" s="2" t="n">
        <v>0</v>
      </c>
      <c r="I1048" s="4" t="n">
        <v>2</v>
      </c>
      <c r="J1048" s="2" t="n">
        <v>1.5</v>
      </c>
      <c r="K1048" s="2" t="s">
        <v>13</v>
      </c>
      <c r="L1048" s="4" t="n">
        <v>1</v>
      </c>
      <c r="M1048" s="2" t="n">
        <v>0</v>
      </c>
      <c r="N1048" s="2" t="n">
        <v>0</v>
      </c>
      <c r="O1048" s="4" t="n">
        <v>3</v>
      </c>
      <c r="Q1048" s="2" t="n">
        <v>1254</v>
      </c>
      <c r="R1048" s="0" t="s">
        <v>360</v>
      </c>
      <c r="S1048" s="0" t="s">
        <v>9443</v>
      </c>
    </row>
    <row r="1049" customFormat="false" ht="13.8" hidden="false" customHeight="false" outlineLevel="0" collapsed="false">
      <c r="A1049" s="0" t="s">
        <v>110</v>
      </c>
      <c r="B1049" s="0" t="n">
        <v>3</v>
      </c>
      <c r="C1049" s="0" t="s">
        <v>9435</v>
      </c>
      <c r="D1049" s="0" t="s">
        <v>96</v>
      </c>
      <c r="E1049" s="0" t="s">
        <v>96</v>
      </c>
      <c r="F1049" s="4" t="n">
        <v>177</v>
      </c>
      <c r="G1049" s="2" t="n">
        <v>0</v>
      </c>
      <c r="H1049" s="2" t="n">
        <v>0</v>
      </c>
      <c r="I1049" s="4" t="n">
        <v>2</v>
      </c>
      <c r="J1049" s="2" t="n">
        <v>0.8</v>
      </c>
      <c r="K1049" s="2" t="s">
        <v>20</v>
      </c>
      <c r="L1049" s="4" t="n">
        <v>5</v>
      </c>
      <c r="M1049" s="2" t="n">
        <v>0</v>
      </c>
      <c r="N1049" s="2" t="n">
        <v>0</v>
      </c>
      <c r="O1049" s="4" t="n">
        <v>3</v>
      </c>
      <c r="Q1049" s="2" t="n">
        <v>1255</v>
      </c>
      <c r="R1049" s="0" t="s">
        <v>96</v>
      </c>
      <c r="S1049" s="0" t="s">
        <v>9444</v>
      </c>
    </row>
    <row r="1050" customFormat="false" ht="13.8" hidden="false" customHeight="false" outlineLevel="0" collapsed="false">
      <c r="A1050" s="0" t="s">
        <v>280</v>
      </c>
      <c r="B1050" s="0" t="n">
        <v>57</v>
      </c>
      <c r="C1050" s="0" t="s">
        <v>9445</v>
      </c>
      <c r="D1050" s="0" t="s">
        <v>496</v>
      </c>
      <c r="E1050" s="0" t="s">
        <v>496</v>
      </c>
      <c r="F1050" s="4" t="n">
        <v>207</v>
      </c>
      <c r="G1050" s="2" t="n">
        <v>3</v>
      </c>
      <c r="H1050" s="2" t="s">
        <v>7</v>
      </c>
      <c r="I1050" s="4" t="n">
        <v>2</v>
      </c>
      <c r="J1050" s="2" t="n">
        <v>0</v>
      </c>
      <c r="K1050" s="2" t="n">
        <v>0</v>
      </c>
      <c r="L1050" s="4" t="n">
        <v>1</v>
      </c>
      <c r="M1050" s="2" t="n">
        <v>0</v>
      </c>
      <c r="N1050" s="2" t="n">
        <v>0</v>
      </c>
      <c r="O1050" s="4" t="n">
        <v>3</v>
      </c>
      <c r="Q1050" s="2" t="n">
        <v>1257</v>
      </c>
      <c r="R1050" s="0" t="s">
        <v>496</v>
      </c>
      <c r="S1050" s="0" t="s">
        <v>9446</v>
      </c>
    </row>
    <row r="1051" customFormat="false" ht="13.8" hidden="false" customHeight="false" outlineLevel="0" collapsed="false">
      <c r="A1051" s="0" t="s">
        <v>280</v>
      </c>
      <c r="B1051" s="0" t="n">
        <v>57</v>
      </c>
      <c r="C1051" s="0" t="s">
        <v>9445</v>
      </c>
      <c r="D1051" s="0" t="s">
        <v>433</v>
      </c>
      <c r="E1051" s="0" t="s">
        <v>433</v>
      </c>
      <c r="F1051" s="4" t="n">
        <v>139</v>
      </c>
      <c r="G1051" s="2" t="n">
        <v>2</v>
      </c>
      <c r="H1051" s="2" t="s">
        <v>7</v>
      </c>
      <c r="I1051" s="4" t="n">
        <v>2</v>
      </c>
      <c r="J1051" s="2" t="n">
        <v>0</v>
      </c>
      <c r="K1051" s="2" t="n">
        <v>0</v>
      </c>
      <c r="L1051" s="4" t="n">
        <v>1</v>
      </c>
      <c r="M1051" s="2" t="n">
        <v>0</v>
      </c>
      <c r="N1051" s="2" t="n">
        <v>0</v>
      </c>
      <c r="O1051" s="4" t="n">
        <v>3</v>
      </c>
      <c r="Q1051" s="2" t="n">
        <v>1258</v>
      </c>
      <c r="R1051" s="0" t="s">
        <v>433</v>
      </c>
      <c r="S1051" s="0" t="s">
        <v>9447</v>
      </c>
    </row>
    <row r="1052" customFormat="false" ht="13.8" hidden="false" customHeight="false" outlineLevel="0" collapsed="false">
      <c r="A1052" s="0" t="s">
        <v>280</v>
      </c>
      <c r="B1052" s="0" t="n">
        <v>57</v>
      </c>
      <c r="C1052" s="0" t="s">
        <v>9445</v>
      </c>
      <c r="D1052" s="0" t="s">
        <v>216</v>
      </c>
      <c r="E1052" s="0" t="s">
        <v>216</v>
      </c>
      <c r="F1052" s="4" t="n">
        <v>35</v>
      </c>
      <c r="G1052" s="2" t="n">
        <v>12</v>
      </c>
      <c r="H1052" s="2" t="s">
        <v>109</v>
      </c>
      <c r="I1052" s="4" t="n">
        <v>7</v>
      </c>
      <c r="J1052" s="2" t="n">
        <v>0</v>
      </c>
      <c r="K1052" s="2" t="n">
        <v>0</v>
      </c>
      <c r="L1052" s="4" t="n">
        <v>1</v>
      </c>
      <c r="M1052" s="2" t="n">
        <v>0</v>
      </c>
      <c r="N1052" s="2" t="n">
        <v>0</v>
      </c>
      <c r="O1052" s="4" t="n">
        <v>3</v>
      </c>
      <c r="Q1052" s="2" t="n">
        <v>1259</v>
      </c>
      <c r="R1052" s="0" t="s">
        <v>216</v>
      </c>
      <c r="S1052" s="0" t="s">
        <v>9448</v>
      </c>
    </row>
    <row r="1053" customFormat="false" ht="13.8" hidden="false" customHeight="false" outlineLevel="0" collapsed="false">
      <c r="A1053" s="0" t="s">
        <v>280</v>
      </c>
      <c r="B1053" s="0" t="n">
        <v>57</v>
      </c>
      <c r="C1053" s="0" t="s">
        <v>9445</v>
      </c>
      <c r="D1053" s="0" t="s">
        <v>234</v>
      </c>
      <c r="E1053" s="0" t="s">
        <v>234</v>
      </c>
      <c r="F1053" s="4" t="n">
        <v>41</v>
      </c>
      <c r="G1053" s="2" t="n">
        <v>12</v>
      </c>
      <c r="H1053" s="2" t="s">
        <v>109</v>
      </c>
      <c r="I1053" s="4" t="n">
        <v>7</v>
      </c>
      <c r="J1053" s="2" t="n">
        <v>0</v>
      </c>
      <c r="K1053" s="2" t="n">
        <v>0</v>
      </c>
      <c r="L1053" s="4" t="n">
        <v>1</v>
      </c>
      <c r="M1053" s="2" t="n">
        <v>0</v>
      </c>
      <c r="N1053" s="2" t="n">
        <v>0</v>
      </c>
      <c r="O1053" s="4" t="n">
        <v>3</v>
      </c>
      <c r="Q1053" s="2" t="n">
        <v>1260</v>
      </c>
      <c r="R1053" s="0" t="s">
        <v>234</v>
      </c>
      <c r="S1053" s="0" t="s">
        <v>9449</v>
      </c>
    </row>
    <row r="1054" customFormat="false" ht="13.8" hidden="false" customHeight="false" outlineLevel="0" collapsed="false">
      <c r="A1054" s="0" t="s">
        <v>280</v>
      </c>
      <c r="B1054" s="0" t="n">
        <v>57</v>
      </c>
      <c r="C1054" s="0" t="s">
        <v>9445</v>
      </c>
      <c r="D1054" s="0" t="s">
        <v>497</v>
      </c>
      <c r="E1054" s="0" t="s">
        <v>497</v>
      </c>
      <c r="F1054" s="4" t="n">
        <v>208</v>
      </c>
      <c r="G1054" s="2" t="n">
        <v>36</v>
      </c>
      <c r="H1054" s="2" t="s">
        <v>109</v>
      </c>
      <c r="I1054" s="4" t="n">
        <v>7</v>
      </c>
      <c r="J1054" s="2" t="n">
        <v>0</v>
      </c>
      <c r="K1054" s="2" t="n">
        <v>0</v>
      </c>
      <c r="L1054" s="4" t="n">
        <v>1</v>
      </c>
      <c r="M1054" s="2" t="n">
        <v>0</v>
      </c>
      <c r="N1054" s="2" t="n">
        <v>0</v>
      </c>
      <c r="O1054" s="4" t="n">
        <v>3</v>
      </c>
      <c r="Q1054" s="2" t="n">
        <v>1261</v>
      </c>
      <c r="R1054" s="0" t="s">
        <v>497</v>
      </c>
      <c r="S1054" s="0" t="s">
        <v>9450</v>
      </c>
    </row>
    <row r="1055" customFormat="false" ht="13.8" hidden="false" customHeight="false" outlineLevel="0" collapsed="false">
      <c r="A1055" s="0" t="s">
        <v>280</v>
      </c>
      <c r="B1055" s="0" t="n">
        <v>57</v>
      </c>
      <c r="C1055" s="0" t="s">
        <v>9445</v>
      </c>
      <c r="D1055" s="0" t="s">
        <v>44</v>
      </c>
      <c r="E1055" s="0" t="s">
        <v>44</v>
      </c>
      <c r="F1055" s="4" t="n">
        <v>187</v>
      </c>
      <c r="G1055" s="2" t="n">
        <v>125</v>
      </c>
      <c r="H1055" s="2" t="s">
        <v>109</v>
      </c>
      <c r="I1055" s="4" t="n">
        <v>7</v>
      </c>
      <c r="J1055" s="2" t="n">
        <v>0</v>
      </c>
      <c r="K1055" s="2" t="n">
        <v>0</v>
      </c>
      <c r="L1055" s="4" t="n">
        <v>1</v>
      </c>
      <c r="M1055" s="2" t="n">
        <v>0</v>
      </c>
      <c r="N1055" s="2" t="n">
        <v>0</v>
      </c>
      <c r="O1055" s="4" t="n">
        <v>3</v>
      </c>
      <c r="Q1055" s="2" t="n">
        <v>1262</v>
      </c>
      <c r="R1055" s="0" t="s">
        <v>44</v>
      </c>
      <c r="S1055" s="0" t="s">
        <v>9451</v>
      </c>
    </row>
    <row r="1056" customFormat="false" ht="13.8" hidden="false" customHeight="false" outlineLevel="0" collapsed="false">
      <c r="A1056" s="0" t="s">
        <v>280</v>
      </c>
      <c r="B1056" s="0" t="n">
        <v>57</v>
      </c>
      <c r="C1056" s="0" t="s">
        <v>9445</v>
      </c>
      <c r="D1056" s="0" t="s">
        <v>377</v>
      </c>
      <c r="E1056" s="0" t="s">
        <v>377</v>
      </c>
      <c r="F1056" s="4" t="n">
        <v>89</v>
      </c>
      <c r="G1056" s="2" t="n">
        <v>0</v>
      </c>
      <c r="H1056" s="2" t="n">
        <v>0</v>
      </c>
      <c r="I1056" s="4" t="n">
        <v>2</v>
      </c>
      <c r="J1056" s="2" t="n">
        <v>1</v>
      </c>
      <c r="K1056" s="2" t="s">
        <v>20</v>
      </c>
      <c r="L1056" s="4" t="n">
        <v>5</v>
      </c>
      <c r="M1056" s="2" t="n">
        <v>0</v>
      </c>
      <c r="N1056" s="2" t="n">
        <v>0</v>
      </c>
      <c r="O1056" s="4" t="n">
        <v>3</v>
      </c>
      <c r="Q1056" s="2" t="n">
        <v>1263</v>
      </c>
      <c r="R1056" s="0" t="s">
        <v>377</v>
      </c>
      <c r="S1056" s="0" t="s">
        <v>9452</v>
      </c>
    </row>
    <row r="1057" customFormat="false" ht="13.8" hidden="false" customHeight="false" outlineLevel="0" collapsed="false">
      <c r="A1057" s="0" t="s">
        <v>280</v>
      </c>
      <c r="B1057" s="0" t="n">
        <v>57</v>
      </c>
      <c r="C1057" s="0" t="s">
        <v>9445</v>
      </c>
      <c r="D1057" s="0" t="s">
        <v>96</v>
      </c>
      <c r="E1057" s="0" t="s">
        <v>96</v>
      </c>
      <c r="F1057" s="4" t="n">
        <v>177</v>
      </c>
      <c r="G1057" s="2" t="n">
        <v>0</v>
      </c>
      <c r="H1057" s="2" t="n">
        <v>0</v>
      </c>
      <c r="I1057" s="4" t="n">
        <v>2</v>
      </c>
      <c r="J1057" s="2" t="n">
        <v>0.7</v>
      </c>
      <c r="K1057" s="2" t="s">
        <v>20</v>
      </c>
      <c r="L1057" s="4" t="n">
        <v>5</v>
      </c>
      <c r="M1057" s="2" t="n">
        <v>0</v>
      </c>
      <c r="N1057" s="2" t="n">
        <v>0</v>
      </c>
      <c r="O1057" s="4" t="n">
        <v>3</v>
      </c>
      <c r="Q1057" s="2" t="n">
        <v>1264</v>
      </c>
      <c r="R1057" s="0" t="s">
        <v>96</v>
      </c>
      <c r="S1057" s="0" t="s">
        <v>9453</v>
      </c>
    </row>
    <row r="1058" customFormat="false" ht="13.8" hidden="false" customHeight="false" outlineLevel="0" collapsed="false">
      <c r="A1058" s="0" t="s">
        <v>280</v>
      </c>
      <c r="B1058" s="0" t="n">
        <v>57</v>
      </c>
      <c r="C1058" s="0" t="s">
        <v>9445</v>
      </c>
      <c r="D1058" s="0" t="s">
        <v>503</v>
      </c>
      <c r="E1058" s="0" t="s">
        <v>503</v>
      </c>
      <c r="F1058" s="4" t="n">
        <v>214</v>
      </c>
      <c r="G1058" s="2" t="n">
        <v>0</v>
      </c>
      <c r="H1058" s="2" t="n">
        <v>0</v>
      </c>
      <c r="I1058" s="4" t="n">
        <v>2</v>
      </c>
      <c r="J1058" s="2" t="n">
        <v>3.5</v>
      </c>
      <c r="K1058" s="2" t="s">
        <v>13</v>
      </c>
      <c r="L1058" s="4" t="n">
        <v>1</v>
      </c>
      <c r="M1058" s="2" t="n">
        <v>0</v>
      </c>
      <c r="N1058" s="2" t="n">
        <v>0</v>
      </c>
      <c r="O1058" s="4" t="n">
        <v>3</v>
      </c>
      <c r="Q1058" s="2" t="n">
        <v>1265</v>
      </c>
      <c r="R1058" s="0" t="s">
        <v>503</v>
      </c>
      <c r="S1058" s="0" t="s">
        <v>9454</v>
      </c>
    </row>
    <row r="1059" customFormat="false" ht="13.8" hidden="false" customHeight="false" outlineLevel="0" collapsed="false">
      <c r="A1059" s="0" t="s">
        <v>301</v>
      </c>
      <c r="B1059" s="0" t="n">
        <v>64</v>
      </c>
      <c r="C1059" s="0" t="s">
        <v>9455</v>
      </c>
      <c r="D1059" s="0" t="s">
        <v>918</v>
      </c>
      <c r="E1059" s="0" t="s">
        <v>485</v>
      </c>
      <c r="F1059" s="4" t="n">
        <v>195</v>
      </c>
      <c r="G1059" s="2" t="n">
        <v>3.5</v>
      </c>
      <c r="H1059" s="2" t="s">
        <v>7</v>
      </c>
      <c r="I1059" s="4" t="n">
        <v>2</v>
      </c>
      <c r="J1059" s="2" t="n">
        <v>0</v>
      </c>
      <c r="K1059" s="2" t="n">
        <v>0</v>
      </c>
      <c r="L1059" s="4" t="n">
        <v>1</v>
      </c>
      <c r="M1059" s="2" t="n">
        <v>0</v>
      </c>
      <c r="N1059" s="2" t="n">
        <v>0</v>
      </c>
      <c r="O1059" s="4" t="n">
        <v>3</v>
      </c>
      <c r="Q1059" s="2" t="n">
        <v>1267</v>
      </c>
      <c r="R1059" s="0" t="s">
        <v>485</v>
      </c>
      <c r="S1059" s="0" t="s">
        <v>9456</v>
      </c>
    </row>
    <row r="1060" customFormat="false" ht="13.8" hidden="false" customHeight="false" outlineLevel="0" collapsed="false">
      <c r="A1060" s="0" t="s">
        <v>301</v>
      </c>
      <c r="B1060" s="0" t="n">
        <v>64</v>
      </c>
      <c r="C1060" s="0" t="s">
        <v>9455</v>
      </c>
      <c r="D1060" s="0" t="s">
        <v>919</v>
      </c>
      <c r="E1060" s="0" t="s">
        <v>309</v>
      </c>
      <c r="F1060" s="4" t="n">
        <v>66</v>
      </c>
      <c r="G1060" s="2" t="n">
        <v>0</v>
      </c>
      <c r="H1060" s="2" t="n">
        <v>0</v>
      </c>
      <c r="I1060" s="4" t="n">
        <v>2</v>
      </c>
      <c r="J1060" s="2" t="n">
        <v>1</v>
      </c>
      <c r="K1060" s="2" t="s">
        <v>13</v>
      </c>
      <c r="L1060" s="4" t="n">
        <v>1</v>
      </c>
      <c r="M1060" s="2" t="n">
        <v>0</v>
      </c>
      <c r="N1060" s="2" t="n">
        <v>0</v>
      </c>
      <c r="O1060" s="4" t="n">
        <v>3</v>
      </c>
      <c r="Q1060" s="2" t="n">
        <v>1268</v>
      </c>
      <c r="R1060" s="0" t="s">
        <v>309</v>
      </c>
      <c r="S1060" s="0" t="s">
        <v>9457</v>
      </c>
    </row>
    <row r="1061" customFormat="false" ht="13.8" hidden="false" customHeight="false" outlineLevel="0" collapsed="false">
      <c r="A1061" s="0" t="s">
        <v>301</v>
      </c>
      <c r="B1061" s="0" t="n">
        <v>64</v>
      </c>
      <c r="C1061" s="0" t="s">
        <v>9455</v>
      </c>
      <c r="D1061" s="0" t="s">
        <v>803</v>
      </c>
      <c r="E1061" s="0" t="s">
        <v>38</v>
      </c>
      <c r="F1061" s="4" t="n">
        <v>105</v>
      </c>
      <c r="G1061" s="2" t="n">
        <v>0</v>
      </c>
      <c r="H1061" s="2" t="n">
        <v>0</v>
      </c>
      <c r="I1061" s="4" t="n">
        <v>2</v>
      </c>
      <c r="J1061" s="2" t="n">
        <v>1</v>
      </c>
      <c r="K1061" s="2" t="s">
        <v>13</v>
      </c>
      <c r="L1061" s="4" t="n">
        <v>1</v>
      </c>
      <c r="M1061" s="2" t="n">
        <v>0</v>
      </c>
      <c r="N1061" s="2" t="n">
        <v>0</v>
      </c>
      <c r="O1061" s="4" t="n">
        <v>3</v>
      </c>
      <c r="Q1061" s="2" t="n">
        <v>1269</v>
      </c>
      <c r="R1061" s="0" t="s">
        <v>38</v>
      </c>
      <c r="S1061" s="0" t="s">
        <v>9458</v>
      </c>
    </row>
    <row r="1062" customFormat="false" ht="13.8" hidden="false" customHeight="false" outlineLevel="0" collapsed="false">
      <c r="A1062" s="0" t="s">
        <v>301</v>
      </c>
      <c r="B1062" s="0" t="n">
        <v>64</v>
      </c>
      <c r="C1062" s="0" t="s">
        <v>9455</v>
      </c>
      <c r="D1062" s="0" t="s">
        <v>488</v>
      </c>
      <c r="E1062" s="0" t="s">
        <v>488</v>
      </c>
      <c r="F1062" s="4" t="n">
        <v>198</v>
      </c>
      <c r="G1062" s="2" t="n">
        <v>1</v>
      </c>
      <c r="H1062" s="2" t="s">
        <v>7</v>
      </c>
      <c r="I1062" s="4" t="n">
        <v>2</v>
      </c>
      <c r="J1062" s="2" t="n">
        <v>0</v>
      </c>
      <c r="K1062" s="2" t="n">
        <v>0</v>
      </c>
      <c r="L1062" s="4" t="n">
        <v>1</v>
      </c>
      <c r="M1062" s="2" t="n">
        <v>0</v>
      </c>
      <c r="N1062" s="2" t="n">
        <v>0</v>
      </c>
      <c r="O1062" s="4" t="n">
        <v>3</v>
      </c>
      <c r="Q1062" s="2" t="n">
        <v>1270</v>
      </c>
      <c r="R1062" s="0" t="s">
        <v>488</v>
      </c>
      <c r="S1062" s="0" t="s">
        <v>9459</v>
      </c>
    </row>
    <row r="1063" customFormat="false" ht="13.8" hidden="false" customHeight="false" outlineLevel="0" collapsed="false">
      <c r="A1063" s="0" t="s">
        <v>301</v>
      </c>
      <c r="B1063" s="0" t="n">
        <v>64</v>
      </c>
      <c r="C1063" s="0" t="s">
        <v>9455</v>
      </c>
      <c r="D1063" s="0" t="s">
        <v>394</v>
      </c>
      <c r="E1063" s="0" t="s">
        <v>394</v>
      </c>
      <c r="F1063" s="4" t="n">
        <v>98</v>
      </c>
      <c r="G1063" s="2" t="n">
        <v>200</v>
      </c>
      <c r="H1063" s="2" t="s">
        <v>109</v>
      </c>
      <c r="I1063" s="4" t="n">
        <v>7</v>
      </c>
      <c r="J1063" s="2" t="n">
        <v>0</v>
      </c>
      <c r="K1063" s="2" t="n">
        <v>0</v>
      </c>
      <c r="L1063" s="4" t="n">
        <v>1</v>
      </c>
      <c r="M1063" s="2" t="n">
        <v>0</v>
      </c>
      <c r="N1063" s="2" t="n">
        <v>0</v>
      </c>
      <c r="O1063" s="4" t="n">
        <v>3</v>
      </c>
      <c r="Q1063" s="2" t="n">
        <v>1271</v>
      </c>
      <c r="R1063" s="0" t="s">
        <v>394</v>
      </c>
      <c r="S1063" s="0" t="s">
        <v>9460</v>
      </c>
    </row>
    <row r="1064" customFormat="false" ht="13.8" hidden="false" customHeight="false" outlineLevel="0" collapsed="false">
      <c r="A1064" s="0" t="s">
        <v>301</v>
      </c>
      <c r="B1064" s="0" t="n">
        <v>64</v>
      </c>
      <c r="C1064" s="0" t="s">
        <v>9455</v>
      </c>
      <c r="D1064" s="0" t="s">
        <v>382</v>
      </c>
      <c r="E1064" s="0" t="s">
        <v>382</v>
      </c>
      <c r="F1064" s="4" t="n">
        <v>91</v>
      </c>
      <c r="G1064" s="2" t="n">
        <v>0</v>
      </c>
      <c r="H1064" s="2" t="n">
        <v>0</v>
      </c>
      <c r="I1064" s="4" t="n">
        <v>2</v>
      </c>
      <c r="J1064" s="2" t="n">
        <v>0.5</v>
      </c>
      <c r="K1064" s="2" t="s">
        <v>20</v>
      </c>
      <c r="L1064" s="4" t="n">
        <v>5</v>
      </c>
      <c r="M1064" s="2" t="n">
        <v>0</v>
      </c>
      <c r="N1064" s="2" t="n">
        <v>0</v>
      </c>
      <c r="O1064" s="4" t="n">
        <v>3</v>
      </c>
      <c r="Q1064" s="2" t="n">
        <v>1272</v>
      </c>
      <c r="R1064" s="0" t="s">
        <v>382</v>
      </c>
      <c r="S1064" s="0" t="s">
        <v>9461</v>
      </c>
    </row>
    <row r="1065" customFormat="false" ht="13.8" hidden="false" customHeight="false" outlineLevel="0" collapsed="false">
      <c r="A1065" s="0" t="s">
        <v>301</v>
      </c>
      <c r="B1065" s="0" t="n">
        <v>64</v>
      </c>
      <c r="C1065" s="0" t="s">
        <v>9455</v>
      </c>
      <c r="D1065" s="0" t="s">
        <v>391</v>
      </c>
      <c r="E1065" s="0" t="s">
        <v>391</v>
      </c>
      <c r="F1065" s="4" t="n">
        <v>95</v>
      </c>
      <c r="G1065" s="2" t="n">
        <v>0</v>
      </c>
      <c r="H1065" s="2" t="n">
        <v>0</v>
      </c>
      <c r="I1065" s="4" t="n">
        <v>2</v>
      </c>
      <c r="J1065" s="2" t="n">
        <v>0.25</v>
      </c>
      <c r="K1065" s="2" t="s">
        <v>20</v>
      </c>
      <c r="L1065" s="4" t="n">
        <v>5</v>
      </c>
      <c r="M1065" s="2" t="n">
        <v>0</v>
      </c>
      <c r="N1065" s="2" t="n">
        <v>0</v>
      </c>
      <c r="O1065" s="4" t="n">
        <v>3</v>
      </c>
      <c r="Q1065" s="2" t="n">
        <v>1273</v>
      </c>
      <c r="R1065" s="0" t="s">
        <v>391</v>
      </c>
      <c r="S1065" s="0" t="s">
        <v>9462</v>
      </c>
    </row>
    <row r="1066" customFormat="false" ht="13.8" hidden="false" customHeight="false" outlineLevel="0" collapsed="false">
      <c r="A1066" s="0" t="s">
        <v>301</v>
      </c>
      <c r="B1066" s="0" t="n">
        <v>64</v>
      </c>
      <c r="C1066" s="0" t="s">
        <v>9455</v>
      </c>
      <c r="D1066" s="0" t="s">
        <v>920</v>
      </c>
      <c r="E1066" s="0" t="s">
        <v>442</v>
      </c>
      <c r="F1066" s="4" t="n">
        <v>148</v>
      </c>
      <c r="G1066" s="2" t="n">
        <v>0</v>
      </c>
      <c r="H1066" s="2" t="n">
        <v>0</v>
      </c>
      <c r="I1066" s="4" t="n">
        <v>2</v>
      </c>
      <c r="J1066" s="2" t="n">
        <v>1.5</v>
      </c>
      <c r="K1066" s="2" t="s">
        <v>20</v>
      </c>
      <c r="L1066" s="4" t="n">
        <v>5</v>
      </c>
      <c r="M1066" s="2" t="n">
        <v>0</v>
      </c>
      <c r="N1066" s="2" t="n">
        <v>0</v>
      </c>
      <c r="O1066" s="4" t="n">
        <v>3</v>
      </c>
      <c r="Q1066" s="2" t="n">
        <v>1274</v>
      </c>
      <c r="R1066" s="0" t="s">
        <v>442</v>
      </c>
      <c r="S1066" s="0" t="s">
        <v>9463</v>
      </c>
    </row>
    <row r="1067" customFormat="false" ht="13.8" hidden="false" customHeight="false" outlineLevel="0" collapsed="false">
      <c r="A1067" s="0" t="s">
        <v>301</v>
      </c>
      <c r="B1067" s="0" t="n">
        <v>64</v>
      </c>
      <c r="C1067" s="0" t="s">
        <v>9455</v>
      </c>
      <c r="D1067" s="0" t="s">
        <v>96</v>
      </c>
      <c r="E1067" s="0" t="s">
        <v>96</v>
      </c>
      <c r="F1067" s="4" t="n">
        <v>177</v>
      </c>
      <c r="G1067" s="2" t="n">
        <v>0</v>
      </c>
      <c r="H1067" s="2" t="n">
        <v>0</v>
      </c>
      <c r="I1067" s="4" t="n">
        <v>2</v>
      </c>
      <c r="J1067" s="2" t="n">
        <v>1.7</v>
      </c>
      <c r="K1067" s="2" t="s">
        <v>20</v>
      </c>
      <c r="L1067" s="4" t="n">
        <v>5</v>
      </c>
      <c r="M1067" s="2" t="n">
        <v>0</v>
      </c>
      <c r="N1067" s="2" t="n">
        <v>0</v>
      </c>
      <c r="O1067" s="4" t="n">
        <v>3</v>
      </c>
      <c r="Q1067" s="2" t="n">
        <v>1275</v>
      </c>
      <c r="R1067" s="0" t="s">
        <v>96</v>
      </c>
      <c r="S1067" s="0" t="s">
        <v>9464</v>
      </c>
    </row>
    <row r="1068" customFormat="false" ht="13.8" hidden="false" customHeight="false" outlineLevel="0" collapsed="false">
      <c r="A1068" s="0" t="s">
        <v>301</v>
      </c>
      <c r="B1068" s="0" t="n">
        <v>64</v>
      </c>
      <c r="C1068" s="0" t="s">
        <v>9455</v>
      </c>
      <c r="D1068" s="0" t="s">
        <v>380</v>
      </c>
      <c r="E1068" s="0" t="s">
        <v>380</v>
      </c>
      <c r="F1068" s="4" t="n">
        <v>90</v>
      </c>
      <c r="G1068" s="2" t="n">
        <v>300</v>
      </c>
      <c r="H1068" s="2" t="s">
        <v>109</v>
      </c>
      <c r="I1068" s="4" t="n">
        <v>7</v>
      </c>
      <c r="J1068" s="2" t="n">
        <v>0</v>
      </c>
      <c r="K1068" s="2" t="n">
        <v>0</v>
      </c>
      <c r="L1068" s="4" t="n">
        <v>1</v>
      </c>
      <c r="M1068" s="2" t="n">
        <v>0</v>
      </c>
      <c r="N1068" s="2" t="n">
        <v>0</v>
      </c>
      <c r="O1068" s="4" t="n">
        <v>3</v>
      </c>
      <c r="Q1068" s="2" t="n">
        <v>1276</v>
      </c>
      <c r="R1068" s="0" t="s">
        <v>380</v>
      </c>
      <c r="S1068" s="0" t="s">
        <v>9465</v>
      </c>
    </row>
    <row r="1069" customFormat="false" ht="13.8" hidden="false" customHeight="false" outlineLevel="0" collapsed="false">
      <c r="A1069" s="0" t="s">
        <v>301</v>
      </c>
      <c r="B1069" s="0" t="n">
        <v>64</v>
      </c>
      <c r="C1069" s="0" t="s">
        <v>9455</v>
      </c>
      <c r="D1069" s="0" t="s">
        <v>377</v>
      </c>
      <c r="E1069" s="0" t="s">
        <v>377</v>
      </c>
      <c r="F1069" s="4" t="n">
        <v>89</v>
      </c>
      <c r="G1069" s="2" t="n">
        <v>0</v>
      </c>
      <c r="H1069" s="2" t="n">
        <v>0</v>
      </c>
      <c r="I1069" s="4" t="n">
        <v>2</v>
      </c>
      <c r="J1069" s="2" t="n">
        <v>0.5</v>
      </c>
      <c r="K1069" s="2" t="s">
        <v>13</v>
      </c>
      <c r="L1069" s="4" t="n">
        <v>1</v>
      </c>
      <c r="M1069" s="2" t="n">
        <v>0</v>
      </c>
      <c r="N1069" s="2" t="n">
        <v>0</v>
      </c>
      <c r="O1069" s="4" t="n">
        <v>3</v>
      </c>
      <c r="Q1069" s="2" t="n">
        <v>1277</v>
      </c>
      <c r="R1069" s="0" t="s">
        <v>377</v>
      </c>
      <c r="S1069" s="0" t="s">
        <v>9466</v>
      </c>
    </row>
    <row r="1070" customFormat="false" ht="13.8" hidden="false" customHeight="false" outlineLevel="0" collapsed="false">
      <c r="A1070" s="0" t="s">
        <v>301</v>
      </c>
      <c r="B1070" s="0" t="n">
        <v>64</v>
      </c>
      <c r="C1070" s="0" t="s">
        <v>9455</v>
      </c>
      <c r="D1070" s="0" t="s">
        <v>456</v>
      </c>
      <c r="E1070" s="0" t="s">
        <v>456</v>
      </c>
      <c r="F1070" s="4" t="n">
        <v>164</v>
      </c>
      <c r="G1070" s="2" t="n">
        <v>0</v>
      </c>
      <c r="H1070" s="2" t="n">
        <v>0</v>
      </c>
      <c r="I1070" s="4" t="n">
        <v>2</v>
      </c>
      <c r="J1070" s="2" t="n">
        <v>0.75</v>
      </c>
      <c r="K1070" s="2" t="s">
        <v>20</v>
      </c>
      <c r="L1070" s="4" t="n">
        <v>5</v>
      </c>
      <c r="M1070" s="2" t="n">
        <v>0</v>
      </c>
      <c r="N1070" s="2" t="n">
        <v>0</v>
      </c>
      <c r="O1070" s="4" t="n">
        <v>3</v>
      </c>
      <c r="Q1070" s="2" t="n">
        <v>1278</v>
      </c>
      <c r="R1070" s="0" t="s">
        <v>456</v>
      </c>
      <c r="S1070" s="0" t="s">
        <v>9467</v>
      </c>
    </row>
    <row r="1071" customFormat="false" ht="13.8" hidden="false" customHeight="false" outlineLevel="0" collapsed="false">
      <c r="A1071" s="0" t="s">
        <v>175</v>
      </c>
      <c r="B1071" s="0" t="n">
        <v>22</v>
      </c>
      <c r="C1071" s="0" t="s">
        <v>9468</v>
      </c>
      <c r="D1071" s="0" t="s">
        <v>273</v>
      </c>
      <c r="E1071" s="0" t="s">
        <v>273</v>
      </c>
      <c r="F1071" s="4" t="n">
        <v>54</v>
      </c>
      <c r="G1071" s="2" t="n">
        <v>0</v>
      </c>
      <c r="H1071" s="2" t="n">
        <v>0</v>
      </c>
      <c r="I1071" s="4" t="n">
        <v>2</v>
      </c>
      <c r="J1071" s="2" t="n">
        <v>0</v>
      </c>
      <c r="K1071" s="2" t="n">
        <v>0</v>
      </c>
      <c r="L1071" s="4" t="n">
        <v>1</v>
      </c>
      <c r="M1071" s="2" t="n">
        <v>7</v>
      </c>
      <c r="N1071" s="2" t="s">
        <v>107</v>
      </c>
      <c r="O1071" s="4" t="n">
        <v>3</v>
      </c>
      <c r="Q1071" s="2" t="n">
        <v>1280</v>
      </c>
      <c r="R1071" s="0" t="s">
        <v>273</v>
      </c>
      <c r="S1071" s="0" t="s">
        <v>9469</v>
      </c>
    </row>
    <row r="1072" customFormat="false" ht="13.8" hidden="false" customHeight="false" outlineLevel="0" collapsed="false">
      <c r="A1072" s="0" t="s">
        <v>175</v>
      </c>
      <c r="B1072" s="0" t="n">
        <v>22</v>
      </c>
      <c r="C1072" s="0" t="s">
        <v>9468</v>
      </c>
      <c r="D1072" s="0" t="s">
        <v>454</v>
      </c>
      <c r="E1072" s="0" t="s">
        <v>454</v>
      </c>
      <c r="F1072" s="4" t="n">
        <v>162</v>
      </c>
      <c r="G1072" s="2" t="n">
        <v>0</v>
      </c>
      <c r="H1072" s="2" t="n">
        <v>0</v>
      </c>
      <c r="I1072" s="4" t="n">
        <v>2</v>
      </c>
      <c r="J1072" s="2" t="n">
        <v>0</v>
      </c>
      <c r="K1072" s="2" t="n">
        <v>0</v>
      </c>
      <c r="L1072" s="4" t="n">
        <v>1</v>
      </c>
      <c r="M1072" s="2" t="n">
        <v>2</v>
      </c>
      <c r="N1072" s="2" t="s">
        <v>127</v>
      </c>
      <c r="O1072" s="4" t="n">
        <v>8</v>
      </c>
      <c r="Q1072" s="2" t="n">
        <v>1281</v>
      </c>
      <c r="R1072" s="0" t="s">
        <v>454</v>
      </c>
      <c r="S1072" s="0" t="s">
        <v>9470</v>
      </c>
    </row>
    <row r="1073" customFormat="false" ht="13.8" hidden="false" customHeight="false" outlineLevel="0" collapsed="false">
      <c r="A1073" s="0" t="s">
        <v>175</v>
      </c>
      <c r="B1073" s="0" t="n">
        <v>22</v>
      </c>
      <c r="C1073" s="0" t="s">
        <v>9468</v>
      </c>
      <c r="D1073" s="0" t="s">
        <v>833</v>
      </c>
      <c r="E1073" s="0" t="s">
        <v>423</v>
      </c>
      <c r="F1073" s="4" t="n">
        <v>129</v>
      </c>
      <c r="G1073" s="2" t="n">
        <v>0</v>
      </c>
      <c r="H1073" s="2" t="n">
        <v>0</v>
      </c>
      <c r="I1073" s="4" t="n">
        <v>2</v>
      </c>
      <c r="J1073" s="2" t="n">
        <v>1</v>
      </c>
      <c r="K1073" s="2" t="s">
        <v>20</v>
      </c>
      <c r="L1073" s="4" t="n">
        <v>5</v>
      </c>
      <c r="M1073" s="2" t="n">
        <v>0</v>
      </c>
      <c r="N1073" s="2" t="n">
        <v>0</v>
      </c>
      <c r="O1073" s="4" t="n">
        <v>3</v>
      </c>
      <c r="Q1073" s="2" t="n">
        <v>1282</v>
      </c>
      <c r="R1073" s="0" t="s">
        <v>423</v>
      </c>
      <c r="S1073" s="0" t="s">
        <v>9471</v>
      </c>
    </row>
    <row r="1074" customFormat="false" ht="13.8" hidden="false" customHeight="false" outlineLevel="0" collapsed="false">
      <c r="A1074" s="0" t="s">
        <v>175</v>
      </c>
      <c r="B1074" s="0" t="n">
        <v>22</v>
      </c>
      <c r="C1074" s="0" t="s">
        <v>9468</v>
      </c>
      <c r="D1074" s="0" t="s">
        <v>309</v>
      </c>
      <c r="E1074" s="0" t="s">
        <v>309</v>
      </c>
      <c r="F1074" s="4" t="n">
        <v>66</v>
      </c>
      <c r="G1074" s="2" t="n">
        <v>0</v>
      </c>
      <c r="H1074" s="2" t="n">
        <v>0</v>
      </c>
      <c r="I1074" s="4" t="n">
        <v>2</v>
      </c>
      <c r="J1074" s="2" t="n">
        <v>0</v>
      </c>
      <c r="K1074" s="2" t="n">
        <v>0</v>
      </c>
      <c r="L1074" s="4" t="n">
        <v>1</v>
      </c>
      <c r="M1074" s="2" t="n">
        <v>1</v>
      </c>
      <c r="N1074" s="2" t="s">
        <v>127</v>
      </c>
      <c r="O1074" s="4" t="n">
        <v>8</v>
      </c>
      <c r="Q1074" s="2" t="n">
        <v>1283</v>
      </c>
      <c r="R1074" s="0" t="s">
        <v>309</v>
      </c>
      <c r="S1074" s="0" t="s">
        <v>9472</v>
      </c>
    </row>
    <row r="1075" customFormat="false" ht="13.8" hidden="false" customHeight="false" outlineLevel="0" collapsed="false">
      <c r="A1075" s="0" t="s">
        <v>175</v>
      </c>
      <c r="B1075" s="0" t="n">
        <v>22</v>
      </c>
      <c r="C1075" s="0" t="s">
        <v>9468</v>
      </c>
      <c r="D1075" s="0" t="s">
        <v>855</v>
      </c>
      <c r="E1075" s="0" t="s">
        <v>102</v>
      </c>
      <c r="F1075" s="4" t="n">
        <v>1</v>
      </c>
      <c r="G1075" s="2" t="n">
        <v>0</v>
      </c>
      <c r="H1075" s="2" t="n">
        <v>0</v>
      </c>
      <c r="I1075" s="4" t="n">
        <v>2</v>
      </c>
      <c r="J1075" s="2" t="n">
        <v>1</v>
      </c>
      <c r="K1075" s="2" t="s">
        <v>20</v>
      </c>
      <c r="L1075" s="4" t="n">
        <v>5</v>
      </c>
      <c r="M1075" s="2" t="n">
        <v>0</v>
      </c>
      <c r="N1075" s="2" t="n">
        <v>0</v>
      </c>
      <c r="O1075" s="4" t="n">
        <v>3</v>
      </c>
      <c r="Q1075" s="2" t="n">
        <v>1284</v>
      </c>
      <c r="R1075" s="0" t="s">
        <v>102</v>
      </c>
      <c r="S1075" s="0" t="s">
        <v>9473</v>
      </c>
    </row>
    <row r="1076" customFormat="false" ht="13.8" hidden="false" customHeight="false" outlineLevel="0" collapsed="false">
      <c r="A1076" s="0" t="s">
        <v>175</v>
      </c>
      <c r="B1076" s="0" t="n">
        <v>22</v>
      </c>
      <c r="C1076" s="0" t="s">
        <v>9468</v>
      </c>
      <c r="D1076" s="0" t="s">
        <v>803</v>
      </c>
      <c r="E1076" s="0" t="s">
        <v>38</v>
      </c>
      <c r="F1076" s="4" t="n">
        <v>105</v>
      </c>
      <c r="G1076" s="2" t="n">
        <v>0</v>
      </c>
      <c r="H1076" s="2" t="n">
        <v>0</v>
      </c>
      <c r="I1076" s="4" t="n">
        <v>2</v>
      </c>
      <c r="J1076" s="2" t="n">
        <v>1</v>
      </c>
      <c r="K1076" s="2" t="s">
        <v>20</v>
      </c>
      <c r="L1076" s="4" t="n">
        <v>5</v>
      </c>
      <c r="M1076" s="2" t="n">
        <v>0</v>
      </c>
      <c r="N1076" s="2" t="n">
        <v>0</v>
      </c>
      <c r="O1076" s="4" t="n">
        <v>3</v>
      </c>
      <c r="Q1076" s="2" t="n">
        <v>1285</v>
      </c>
      <c r="R1076" s="0" t="s">
        <v>38</v>
      </c>
      <c r="S1076" s="0" t="s">
        <v>9474</v>
      </c>
    </row>
    <row r="1077" customFormat="false" ht="13.8" hidden="false" customHeight="false" outlineLevel="0" collapsed="false">
      <c r="A1077" s="0" t="s">
        <v>175</v>
      </c>
      <c r="B1077" s="0" t="n">
        <v>22</v>
      </c>
      <c r="C1077" s="0" t="s">
        <v>9468</v>
      </c>
      <c r="D1077" s="0" t="s">
        <v>276</v>
      </c>
      <c r="E1077" s="0" t="s">
        <v>276</v>
      </c>
      <c r="F1077" s="4" t="n">
        <v>55</v>
      </c>
      <c r="G1077" s="2" t="n">
        <v>0</v>
      </c>
      <c r="H1077" s="2" t="n">
        <v>0</v>
      </c>
      <c r="I1077" s="4" t="n">
        <v>2</v>
      </c>
      <c r="J1077" s="2" t="n">
        <v>250</v>
      </c>
      <c r="K1077" s="2" t="s">
        <v>143</v>
      </c>
      <c r="L1077" s="4" t="n">
        <v>12</v>
      </c>
      <c r="M1077" s="2" t="n">
        <v>0</v>
      </c>
      <c r="N1077" s="2" t="n">
        <v>0</v>
      </c>
      <c r="O1077" s="4" t="n">
        <v>3</v>
      </c>
      <c r="Q1077" s="2" t="n">
        <v>1286</v>
      </c>
      <c r="R1077" s="0" t="s">
        <v>276</v>
      </c>
      <c r="S1077" s="0" t="s">
        <v>9475</v>
      </c>
    </row>
    <row r="1078" customFormat="false" ht="13.8" hidden="false" customHeight="false" outlineLevel="0" collapsed="false">
      <c r="A1078" s="0" t="s">
        <v>175</v>
      </c>
      <c r="B1078" s="0" t="n">
        <v>22</v>
      </c>
      <c r="C1078" s="0" t="s">
        <v>9468</v>
      </c>
      <c r="D1078" s="0" t="s">
        <v>398</v>
      </c>
      <c r="E1078" s="0" t="s">
        <v>398</v>
      </c>
      <c r="F1078" s="4" t="n">
        <v>102</v>
      </c>
      <c r="G1078" s="2" t="n">
        <v>0</v>
      </c>
      <c r="H1078" s="2" t="n">
        <v>0</v>
      </c>
      <c r="I1078" s="4" t="n">
        <v>2</v>
      </c>
      <c r="J1078" s="2" t="n">
        <v>0.5</v>
      </c>
      <c r="K1078" s="2" t="s">
        <v>20</v>
      </c>
      <c r="L1078" s="4" t="n">
        <v>5</v>
      </c>
      <c r="M1078" s="2" t="n">
        <v>0</v>
      </c>
      <c r="N1078" s="2" t="n">
        <v>0</v>
      </c>
      <c r="O1078" s="4" t="n">
        <v>3</v>
      </c>
      <c r="Q1078" s="2" t="n">
        <v>1287</v>
      </c>
      <c r="R1078" s="0" t="s">
        <v>398</v>
      </c>
      <c r="S1078" s="0" t="s">
        <v>9476</v>
      </c>
    </row>
    <row r="1079" customFormat="false" ht="13.8" hidden="false" customHeight="false" outlineLevel="0" collapsed="false">
      <c r="A1079" s="0" t="s">
        <v>175</v>
      </c>
      <c r="B1079" s="0" t="n">
        <v>22</v>
      </c>
      <c r="C1079" s="0" t="s">
        <v>9468</v>
      </c>
      <c r="D1079" s="0" t="s">
        <v>921</v>
      </c>
      <c r="E1079" s="0" t="s">
        <v>123</v>
      </c>
      <c r="F1079" s="4" t="n">
        <v>6</v>
      </c>
      <c r="G1079" s="2" t="n">
        <v>0</v>
      </c>
      <c r="H1079" s="2" t="n">
        <v>0</v>
      </c>
      <c r="I1079" s="4" t="n">
        <v>2</v>
      </c>
      <c r="J1079" s="2" t="n">
        <v>1</v>
      </c>
      <c r="K1079" s="2" t="s">
        <v>20</v>
      </c>
      <c r="L1079" s="4" t="n">
        <v>5</v>
      </c>
      <c r="M1079" s="2" t="n">
        <v>0</v>
      </c>
      <c r="N1079" s="2" t="n">
        <v>0</v>
      </c>
      <c r="O1079" s="4" t="n">
        <v>3</v>
      </c>
      <c r="Q1079" s="2" t="n">
        <v>1288</v>
      </c>
      <c r="R1079" s="0" t="s">
        <v>123</v>
      </c>
      <c r="S1079" s="0" t="s">
        <v>9477</v>
      </c>
    </row>
    <row r="1080" customFormat="false" ht="13.8" hidden="false" customHeight="false" outlineLevel="0" collapsed="false">
      <c r="A1080" s="0" t="s">
        <v>298</v>
      </c>
      <c r="B1080" s="0" t="n">
        <v>63</v>
      </c>
      <c r="C1080" s="0" t="s">
        <v>9478</v>
      </c>
      <c r="D1080" s="0" t="s">
        <v>503</v>
      </c>
      <c r="E1080" s="0" t="s">
        <v>503</v>
      </c>
      <c r="F1080" s="4" t="n">
        <v>214</v>
      </c>
      <c r="G1080" s="2" t="n">
        <v>0</v>
      </c>
      <c r="H1080" s="2" t="n">
        <v>0</v>
      </c>
      <c r="I1080" s="4" t="n">
        <v>2</v>
      </c>
      <c r="J1080" s="2" t="n">
        <v>60</v>
      </c>
      <c r="K1080" s="2" t="s">
        <v>13</v>
      </c>
      <c r="L1080" s="4" t="n">
        <v>1</v>
      </c>
      <c r="M1080" s="2" t="n">
        <v>0</v>
      </c>
      <c r="N1080" s="2" t="n">
        <v>0</v>
      </c>
      <c r="O1080" s="4" t="n">
        <v>3</v>
      </c>
      <c r="Q1080" s="2" t="n">
        <v>1290</v>
      </c>
      <c r="R1080" s="0" t="s">
        <v>503</v>
      </c>
      <c r="S1080" s="0" t="s">
        <v>9479</v>
      </c>
    </row>
    <row r="1081" customFormat="false" ht="13.8" hidden="false" customHeight="false" outlineLevel="0" collapsed="false">
      <c r="A1081" s="0" t="s">
        <v>298</v>
      </c>
      <c r="B1081" s="0" t="n">
        <v>63</v>
      </c>
      <c r="C1081" s="0" t="s">
        <v>9478</v>
      </c>
      <c r="D1081" s="0" t="s">
        <v>458</v>
      </c>
      <c r="E1081" s="0" t="s">
        <v>458</v>
      </c>
      <c r="F1081" s="4" t="n">
        <v>166</v>
      </c>
      <c r="G1081" s="2" t="n">
        <v>2</v>
      </c>
      <c r="H1081" s="2" t="s">
        <v>7</v>
      </c>
      <c r="I1081" s="4" t="n">
        <v>2</v>
      </c>
      <c r="J1081" s="2" t="n">
        <v>0</v>
      </c>
      <c r="K1081" s="2" t="n">
        <v>0</v>
      </c>
      <c r="L1081" s="4" t="n">
        <v>1</v>
      </c>
      <c r="M1081" s="2" t="n">
        <v>0</v>
      </c>
      <c r="N1081" s="2" t="n">
        <v>0</v>
      </c>
      <c r="O1081" s="4" t="n">
        <v>3</v>
      </c>
      <c r="Q1081" s="2" t="n">
        <v>1291</v>
      </c>
      <c r="R1081" s="0" t="s">
        <v>458</v>
      </c>
      <c r="S1081" s="0" t="s">
        <v>9480</v>
      </c>
    </row>
    <row r="1082" customFormat="false" ht="13.8" hidden="false" customHeight="false" outlineLevel="0" collapsed="false">
      <c r="A1082" s="0" t="s">
        <v>298</v>
      </c>
      <c r="B1082" s="0" t="n">
        <v>63</v>
      </c>
      <c r="C1082" s="0" t="s">
        <v>9478</v>
      </c>
      <c r="D1082" s="0" t="s">
        <v>821</v>
      </c>
      <c r="E1082" s="0" t="s">
        <v>380</v>
      </c>
      <c r="F1082" s="4" t="n">
        <v>90</v>
      </c>
      <c r="G1082" s="2" t="n">
        <v>7</v>
      </c>
      <c r="H1082" s="2" t="s">
        <v>7</v>
      </c>
      <c r="I1082" s="4" t="n">
        <v>2</v>
      </c>
      <c r="J1082" s="2" t="n">
        <v>0</v>
      </c>
      <c r="K1082" s="2" t="n">
        <v>0</v>
      </c>
      <c r="L1082" s="4" t="n">
        <v>1</v>
      </c>
      <c r="M1082" s="2" t="n">
        <v>0</v>
      </c>
      <c r="N1082" s="2" t="n">
        <v>0</v>
      </c>
      <c r="O1082" s="4" t="n">
        <v>3</v>
      </c>
      <c r="Q1082" s="2" t="n">
        <v>1292</v>
      </c>
      <c r="R1082" s="0" t="s">
        <v>380</v>
      </c>
      <c r="S1082" s="0" t="s">
        <v>9481</v>
      </c>
    </row>
    <row r="1083" customFormat="false" ht="13.8" hidden="false" customHeight="false" outlineLevel="0" collapsed="false">
      <c r="A1083" s="0" t="s">
        <v>238</v>
      </c>
      <c r="B1083" s="0" t="n">
        <v>43</v>
      </c>
      <c r="C1083" s="0" t="s">
        <v>9482</v>
      </c>
      <c r="D1083" s="0" t="s">
        <v>833</v>
      </c>
      <c r="E1083" s="0" t="s">
        <v>423</v>
      </c>
      <c r="F1083" s="4" t="n">
        <v>129</v>
      </c>
      <c r="G1083" s="2" t="n">
        <v>0</v>
      </c>
      <c r="H1083" s="2" t="n">
        <v>0</v>
      </c>
      <c r="I1083" s="4" t="n">
        <v>2</v>
      </c>
      <c r="J1083" s="2" t="n">
        <v>1</v>
      </c>
      <c r="K1083" s="2" t="s">
        <v>13</v>
      </c>
      <c r="L1083" s="4" t="n">
        <v>1</v>
      </c>
      <c r="M1083" s="2" t="n">
        <v>0</v>
      </c>
      <c r="N1083" s="2" t="n">
        <v>0</v>
      </c>
      <c r="O1083" s="4" t="n">
        <v>3</v>
      </c>
      <c r="Q1083" s="2" t="n">
        <v>1294</v>
      </c>
      <c r="R1083" s="0" t="s">
        <v>423</v>
      </c>
      <c r="S1083" s="0" t="s">
        <v>9483</v>
      </c>
    </row>
    <row r="1084" customFormat="false" ht="13.8" hidden="false" customHeight="false" outlineLevel="0" collapsed="false">
      <c r="A1084" s="0" t="s">
        <v>238</v>
      </c>
      <c r="B1084" s="0" t="n">
        <v>43</v>
      </c>
      <c r="C1084" s="0" t="s">
        <v>9482</v>
      </c>
      <c r="D1084" s="0" t="s">
        <v>503</v>
      </c>
      <c r="E1084" s="0" t="s">
        <v>503</v>
      </c>
      <c r="F1084" s="4" t="n">
        <v>214</v>
      </c>
      <c r="G1084" s="2" t="n">
        <v>0</v>
      </c>
      <c r="H1084" s="2" t="n">
        <v>0</v>
      </c>
      <c r="I1084" s="4" t="n">
        <v>2</v>
      </c>
      <c r="J1084" s="2" t="n">
        <v>35</v>
      </c>
      <c r="K1084" s="2" t="s">
        <v>13</v>
      </c>
      <c r="L1084" s="4" t="n">
        <v>1</v>
      </c>
      <c r="M1084" s="2" t="n">
        <v>0</v>
      </c>
      <c r="N1084" s="2" t="n">
        <v>0</v>
      </c>
      <c r="O1084" s="4" t="n">
        <v>3</v>
      </c>
      <c r="Q1084" s="2" t="n">
        <v>1295</v>
      </c>
      <c r="R1084" s="0" t="s">
        <v>503</v>
      </c>
      <c r="S1084" s="0" t="s">
        <v>9484</v>
      </c>
    </row>
    <row r="1085" customFormat="false" ht="13.8" hidden="false" customHeight="false" outlineLevel="0" collapsed="false">
      <c r="A1085" s="0" t="s">
        <v>238</v>
      </c>
      <c r="B1085" s="0" t="n">
        <v>43</v>
      </c>
      <c r="C1085" s="0" t="s">
        <v>9482</v>
      </c>
      <c r="D1085" s="0" t="s">
        <v>44</v>
      </c>
      <c r="E1085" s="0" t="s">
        <v>44</v>
      </c>
      <c r="F1085" s="4" t="n">
        <v>187</v>
      </c>
      <c r="G1085" s="2" t="n">
        <v>3</v>
      </c>
      <c r="H1085" s="2" t="s">
        <v>7</v>
      </c>
      <c r="I1085" s="4" t="n">
        <v>2</v>
      </c>
      <c r="J1085" s="2" t="n">
        <v>0</v>
      </c>
      <c r="K1085" s="2" t="n">
        <v>0</v>
      </c>
      <c r="L1085" s="4" t="n">
        <v>1</v>
      </c>
      <c r="M1085" s="2" t="n">
        <v>0</v>
      </c>
      <c r="N1085" s="2" t="n">
        <v>0</v>
      </c>
      <c r="O1085" s="4" t="n">
        <v>3</v>
      </c>
      <c r="Q1085" s="2" t="n">
        <v>1296</v>
      </c>
      <c r="R1085" s="0" t="s">
        <v>44</v>
      </c>
      <c r="S1085" s="0" t="s">
        <v>9485</v>
      </c>
    </row>
    <row r="1086" customFormat="false" ht="13.8" hidden="false" customHeight="false" outlineLevel="0" collapsed="false">
      <c r="A1086" s="0" t="s">
        <v>238</v>
      </c>
      <c r="B1086" s="0" t="n">
        <v>43</v>
      </c>
      <c r="C1086" s="0" t="s">
        <v>9482</v>
      </c>
      <c r="D1086" s="0" t="s">
        <v>207</v>
      </c>
      <c r="E1086" s="0" t="s">
        <v>207</v>
      </c>
      <c r="F1086" s="4" t="n">
        <v>32</v>
      </c>
      <c r="G1086" s="2" t="n">
        <v>0</v>
      </c>
      <c r="H1086" s="2" t="n">
        <v>0</v>
      </c>
      <c r="I1086" s="4" t="n">
        <v>2</v>
      </c>
      <c r="J1086" s="2" t="n">
        <v>0.5</v>
      </c>
      <c r="K1086" s="2" t="s">
        <v>20</v>
      </c>
      <c r="L1086" s="4" t="n">
        <v>5</v>
      </c>
      <c r="M1086" s="2" t="n">
        <v>0</v>
      </c>
      <c r="N1086" s="2" t="n">
        <v>0</v>
      </c>
      <c r="O1086" s="4" t="n">
        <v>3</v>
      </c>
      <c r="Q1086" s="2" t="n">
        <v>1297</v>
      </c>
      <c r="R1086" s="0" t="s">
        <v>207</v>
      </c>
      <c r="S1086" s="0" t="s">
        <v>9486</v>
      </c>
    </row>
    <row r="1087" customFormat="false" ht="13.8" hidden="false" customHeight="false" outlineLevel="0" collapsed="false">
      <c r="A1087" s="0" t="s">
        <v>238</v>
      </c>
      <c r="B1087" s="0" t="n">
        <v>43</v>
      </c>
      <c r="C1087" s="0" t="s">
        <v>9482</v>
      </c>
      <c r="D1087" s="0" t="s">
        <v>865</v>
      </c>
      <c r="E1087" s="0" t="s">
        <v>96</v>
      </c>
      <c r="F1087" s="4" t="n">
        <v>177</v>
      </c>
      <c r="G1087" s="2" t="n">
        <v>0</v>
      </c>
      <c r="H1087" s="2" t="n">
        <v>0</v>
      </c>
      <c r="I1087" s="4" t="n">
        <v>2</v>
      </c>
      <c r="J1087" s="2" t="n">
        <v>0.5</v>
      </c>
      <c r="K1087" s="2" t="s">
        <v>20</v>
      </c>
      <c r="L1087" s="4" t="n">
        <v>5</v>
      </c>
      <c r="M1087" s="2" t="n">
        <v>0</v>
      </c>
      <c r="N1087" s="2" t="n">
        <v>0</v>
      </c>
      <c r="O1087" s="4" t="n">
        <v>3</v>
      </c>
      <c r="Q1087" s="2" t="n">
        <v>1298</v>
      </c>
      <c r="R1087" s="0" t="s">
        <v>96</v>
      </c>
      <c r="S1087" s="0" t="s">
        <v>9487</v>
      </c>
    </row>
    <row r="1088" customFormat="false" ht="13.8" hidden="false" customHeight="false" outlineLevel="0" collapsed="false">
      <c r="A1088" s="0" t="s">
        <v>190</v>
      </c>
      <c r="B1088" s="0" t="n">
        <v>27</v>
      </c>
      <c r="C1088" s="0" t="s">
        <v>9488</v>
      </c>
      <c r="D1088" s="0" t="s">
        <v>922</v>
      </c>
      <c r="E1088" s="0" t="s">
        <v>102</v>
      </c>
      <c r="F1088" s="4" t="n">
        <v>1</v>
      </c>
      <c r="G1088" s="2" t="n">
        <v>0</v>
      </c>
      <c r="H1088" s="2" t="n">
        <v>0</v>
      </c>
      <c r="I1088" s="4" t="n">
        <v>2</v>
      </c>
      <c r="J1088" s="2" t="n">
        <v>1</v>
      </c>
      <c r="K1088" s="2" t="s">
        <v>13</v>
      </c>
      <c r="L1088" s="4" t="n">
        <v>1</v>
      </c>
      <c r="M1088" s="2" t="n">
        <v>0</v>
      </c>
      <c r="N1088" s="2" t="n">
        <v>0</v>
      </c>
      <c r="O1088" s="4" t="n">
        <v>3</v>
      </c>
      <c r="Q1088" s="2" t="n">
        <v>1300</v>
      </c>
      <c r="R1088" s="0" t="s">
        <v>102</v>
      </c>
      <c r="S1088" s="0" t="s">
        <v>9489</v>
      </c>
    </row>
    <row r="1089" customFormat="false" ht="13.8" hidden="false" customHeight="false" outlineLevel="0" collapsed="false">
      <c r="A1089" s="0" t="s">
        <v>190</v>
      </c>
      <c r="B1089" s="0" t="n">
        <v>27</v>
      </c>
      <c r="C1089" s="0" t="s">
        <v>9488</v>
      </c>
      <c r="D1089" s="0" t="s">
        <v>821</v>
      </c>
      <c r="E1089" s="0" t="s">
        <v>380</v>
      </c>
      <c r="F1089" s="4" t="n">
        <v>90</v>
      </c>
      <c r="G1089" s="2" t="n">
        <v>4</v>
      </c>
      <c r="H1089" s="2" t="s">
        <v>7</v>
      </c>
      <c r="I1089" s="4" t="n">
        <v>2</v>
      </c>
      <c r="J1089" s="2" t="n">
        <v>0</v>
      </c>
      <c r="K1089" s="2" t="n">
        <v>0</v>
      </c>
      <c r="L1089" s="4" t="n">
        <v>1</v>
      </c>
      <c r="M1089" s="2" t="n">
        <v>0</v>
      </c>
      <c r="N1089" s="2" t="n">
        <v>0</v>
      </c>
      <c r="O1089" s="4" t="n">
        <v>3</v>
      </c>
      <c r="Q1089" s="2" t="n">
        <v>1301</v>
      </c>
      <c r="R1089" s="0" t="s">
        <v>380</v>
      </c>
      <c r="S1089" s="0" t="s">
        <v>9490</v>
      </c>
    </row>
    <row r="1090" customFormat="false" ht="13.8" hidden="false" customHeight="false" outlineLevel="0" collapsed="false">
      <c r="A1090" s="0" t="s">
        <v>190</v>
      </c>
      <c r="B1090" s="0" t="n">
        <v>27</v>
      </c>
      <c r="C1090" s="0" t="s">
        <v>9488</v>
      </c>
      <c r="D1090" s="0" t="s">
        <v>833</v>
      </c>
      <c r="E1090" s="0" t="s">
        <v>423</v>
      </c>
      <c r="F1090" s="4" t="n">
        <v>129</v>
      </c>
      <c r="G1090" s="2" t="n">
        <v>0</v>
      </c>
      <c r="H1090" s="2" t="n">
        <v>0</v>
      </c>
      <c r="I1090" s="4" t="n">
        <v>2</v>
      </c>
      <c r="J1090" s="2" t="n">
        <v>1.5</v>
      </c>
      <c r="K1090" s="2" t="s">
        <v>20</v>
      </c>
      <c r="L1090" s="4" t="n">
        <v>5</v>
      </c>
      <c r="M1090" s="2" t="n">
        <v>0</v>
      </c>
      <c r="N1090" s="2" t="n">
        <v>0</v>
      </c>
      <c r="O1090" s="4" t="n">
        <v>3</v>
      </c>
      <c r="Q1090" s="2" t="n">
        <v>1302</v>
      </c>
      <c r="R1090" s="0" t="s">
        <v>423</v>
      </c>
      <c r="S1090" s="0" t="s">
        <v>9491</v>
      </c>
    </row>
    <row r="1091" customFormat="false" ht="13.8" hidden="false" customHeight="false" outlineLevel="0" collapsed="false">
      <c r="A1091" s="0" t="s">
        <v>190</v>
      </c>
      <c r="B1091" s="0" t="n">
        <v>27</v>
      </c>
      <c r="C1091" s="0" t="s">
        <v>9488</v>
      </c>
      <c r="D1091" s="0" t="s">
        <v>503</v>
      </c>
      <c r="E1091" s="0" t="s">
        <v>503</v>
      </c>
      <c r="F1091" s="4" t="n">
        <v>214</v>
      </c>
      <c r="G1091" s="2" t="n">
        <v>0</v>
      </c>
      <c r="H1091" s="2" t="n">
        <v>0</v>
      </c>
      <c r="I1091" s="4" t="n">
        <v>2</v>
      </c>
      <c r="J1091" s="2" t="n">
        <v>35</v>
      </c>
      <c r="K1091" s="2" t="s">
        <v>13</v>
      </c>
      <c r="L1091" s="4" t="n">
        <v>1</v>
      </c>
      <c r="M1091" s="2" t="n">
        <v>0</v>
      </c>
      <c r="N1091" s="2" t="n">
        <v>0</v>
      </c>
      <c r="O1091" s="4" t="n">
        <v>3</v>
      </c>
      <c r="Q1091" s="2" t="n">
        <v>1303</v>
      </c>
      <c r="R1091" s="0" t="s">
        <v>503</v>
      </c>
      <c r="S1091" s="0" t="s">
        <v>9492</v>
      </c>
    </row>
    <row r="1092" customFormat="false" ht="13.8" hidden="false" customHeight="false" outlineLevel="0" collapsed="false">
      <c r="A1092" s="0" t="s">
        <v>190</v>
      </c>
      <c r="B1092" s="0" t="n">
        <v>27</v>
      </c>
      <c r="C1092" s="0" t="s">
        <v>9488</v>
      </c>
      <c r="D1092" s="0" t="s">
        <v>923</v>
      </c>
      <c r="E1092" s="0" t="s">
        <v>204</v>
      </c>
      <c r="F1092" s="4" t="n">
        <v>31</v>
      </c>
      <c r="G1092" s="2" t="n">
        <v>0</v>
      </c>
      <c r="H1092" s="2" t="n">
        <v>0</v>
      </c>
      <c r="I1092" s="4" t="n">
        <v>2</v>
      </c>
      <c r="J1092" s="2" t="n">
        <v>0.15</v>
      </c>
      <c r="K1092" s="2" t="s">
        <v>20</v>
      </c>
      <c r="L1092" s="4" t="n">
        <v>5</v>
      </c>
      <c r="M1092" s="2" t="n">
        <v>0</v>
      </c>
      <c r="N1092" s="2" t="n">
        <v>0</v>
      </c>
      <c r="O1092" s="4" t="n">
        <v>3</v>
      </c>
      <c r="Q1092" s="2" t="n">
        <v>1304</v>
      </c>
      <c r="R1092" s="0" t="s">
        <v>204</v>
      </c>
      <c r="S1092" s="0" t="s">
        <v>9493</v>
      </c>
    </row>
    <row r="1093" customFormat="false" ht="13.8" hidden="false" customHeight="false" outlineLevel="0" collapsed="false">
      <c r="A1093" s="0" t="s">
        <v>190</v>
      </c>
      <c r="B1093" s="0" t="n">
        <v>27</v>
      </c>
      <c r="C1093" s="0" t="s">
        <v>9488</v>
      </c>
      <c r="D1093" s="0" t="s">
        <v>481</v>
      </c>
      <c r="E1093" s="0" t="s">
        <v>481</v>
      </c>
      <c r="F1093" s="4" t="n">
        <v>191</v>
      </c>
      <c r="G1093" s="2" t="n">
        <v>0</v>
      </c>
      <c r="H1093" s="2" t="n">
        <v>0</v>
      </c>
      <c r="I1093" s="4" t="n">
        <v>2</v>
      </c>
      <c r="J1093" s="2" t="n">
        <v>0.5</v>
      </c>
      <c r="K1093" s="2" t="s">
        <v>13</v>
      </c>
      <c r="L1093" s="4" t="n">
        <v>1</v>
      </c>
      <c r="M1093" s="2" t="n">
        <v>0</v>
      </c>
      <c r="N1093" s="2" t="n">
        <v>0</v>
      </c>
      <c r="O1093" s="4" t="n">
        <v>3</v>
      </c>
      <c r="Q1093" s="2" t="n">
        <v>1305</v>
      </c>
      <c r="R1093" s="0" t="s">
        <v>481</v>
      </c>
      <c r="S1093" s="0" t="s">
        <v>9494</v>
      </c>
    </row>
    <row r="1094" customFormat="false" ht="13.8" hidden="false" customHeight="false" outlineLevel="0" collapsed="false">
      <c r="A1094" s="0" t="s">
        <v>190</v>
      </c>
      <c r="B1094" s="0" t="n">
        <v>27</v>
      </c>
      <c r="C1094" s="0" t="s">
        <v>9488</v>
      </c>
      <c r="D1094" s="0" t="s">
        <v>924</v>
      </c>
      <c r="E1094" s="0" t="s">
        <v>294</v>
      </c>
      <c r="F1094" s="4" t="n">
        <v>61</v>
      </c>
      <c r="G1094" s="2" t="n">
        <v>0</v>
      </c>
      <c r="H1094" s="2" t="n">
        <v>0</v>
      </c>
      <c r="I1094" s="4" t="n">
        <v>2</v>
      </c>
      <c r="J1094" s="2" t="n">
        <v>0.15</v>
      </c>
      <c r="K1094" s="2" t="s">
        <v>20</v>
      </c>
      <c r="L1094" s="4" t="n">
        <v>5</v>
      </c>
      <c r="M1094" s="2" t="n">
        <v>0</v>
      </c>
      <c r="N1094" s="2" t="n">
        <v>0</v>
      </c>
      <c r="O1094" s="4" t="n">
        <v>3</v>
      </c>
      <c r="Q1094" s="2" t="n">
        <v>1306</v>
      </c>
      <c r="R1094" s="0" t="s">
        <v>294</v>
      </c>
      <c r="S1094" s="0" t="s">
        <v>9495</v>
      </c>
    </row>
    <row r="1095" customFormat="false" ht="13.8" hidden="false" customHeight="false" outlineLevel="0" collapsed="false">
      <c r="A1095" s="0" t="s">
        <v>271</v>
      </c>
      <c r="B1095" s="0" t="n">
        <v>54</v>
      </c>
      <c r="C1095" s="0" t="s">
        <v>9496</v>
      </c>
      <c r="D1095" s="0" t="s">
        <v>925</v>
      </c>
      <c r="E1095" s="0" t="s">
        <v>400</v>
      </c>
      <c r="F1095" s="4" t="n">
        <v>104</v>
      </c>
      <c r="G1095" s="2" t="n">
        <v>4</v>
      </c>
      <c r="H1095" s="2" t="s">
        <v>7</v>
      </c>
      <c r="I1095" s="4" t="n">
        <v>2</v>
      </c>
      <c r="J1095" s="2" t="n">
        <v>0</v>
      </c>
      <c r="K1095" s="2" t="n">
        <v>0</v>
      </c>
      <c r="L1095" s="4" t="n">
        <v>1</v>
      </c>
      <c r="M1095" s="2" t="n">
        <v>0</v>
      </c>
      <c r="N1095" s="2" t="n">
        <v>0</v>
      </c>
      <c r="O1095" s="4" t="n">
        <v>3</v>
      </c>
      <c r="Q1095" s="2" t="n">
        <v>1308</v>
      </c>
      <c r="R1095" s="0" t="s">
        <v>400</v>
      </c>
      <c r="S1095" s="0" t="s">
        <v>9497</v>
      </c>
    </row>
    <row r="1096" customFormat="false" ht="13.8" hidden="false" customHeight="false" outlineLevel="0" collapsed="false">
      <c r="A1096" s="0" t="s">
        <v>271</v>
      </c>
      <c r="B1096" s="0" t="n">
        <v>54</v>
      </c>
      <c r="C1096" s="0" t="s">
        <v>9496</v>
      </c>
      <c r="D1096" s="0" t="s">
        <v>454</v>
      </c>
      <c r="E1096" s="0" t="s">
        <v>454</v>
      </c>
      <c r="F1096" s="4" t="n">
        <v>162</v>
      </c>
      <c r="G1096" s="2" t="n">
        <v>0</v>
      </c>
      <c r="H1096" s="2" t="n">
        <v>0</v>
      </c>
      <c r="I1096" s="4" t="n">
        <v>2</v>
      </c>
      <c r="J1096" s="2" t="n">
        <v>2</v>
      </c>
      <c r="K1096" s="2" t="s">
        <v>20</v>
      </c>
      <c r="L1096" s="4" t="n">
        <v>5</v>
      </c>
      <c r="M1096" s="2" t="n">
        <v>0</v>
      </c>
      <c r="N1096" s="2" t="n">
        <v>0</v>
      </c>
      <c r="O1096" s="4" t="n">
        <v>3</v>
      </c>
      <c r="Q1096" s="2" t="n">
        <v>1309</v>
      </c>
      <c r="R1096" s="0" t="s">
        <v>454</v>
      </c>
      <c r="S1096" s="0" t="s">
        <v>9498</v>
      </c>
    </row>
    <row r="1097" customFormat="false" ht="13.8" hidden="false" customHeight="false" outlineLevel="0" collapsed="false">
      <c r="A1097" s="0" t="s">
        <v>271</v>
      </c>
      <c r="B1097" s="0" t="n">
        <v>54</v>
      </c>
      <c r="C1097" s="0" t="s">
        <v>9496</v>
      </c>
      <c r="D1097" s="0" t="s">
        <v>503</v>
      </c>
      <c r="E1097" s="0" t="s">
        <v>503</v>
      </c>
      <c r="F1097" s="4" t="n">
        <v>214</v>
      </c>
      <c r="G1097" s="2" t="n">
        <v>0</v>
      </c>
      <c r="H1097" s="2" t="n">
        <v>0</v>
      </c>
      <c r="I1097" s="4" t="n">
        <v>2</v>
      </c>
      <c r="J1097" s="2" t="n">
        <v>35</v>
      </c>
      <c r="K1097" s="2" t="s">
        <v>13</v>
      </c>
      <c r="L1097" s="4" t="n">
        <v>1</v>
      </c>
      <c r="M1097" s="2" t="n">
        <v>0</v>
      </c>
      <c r="N1097" s="2" t="n">
        <v>0</v>
      </c>
      <c r="O1097" s="4" t="n">
        <v>3</v>
      </c>
      <c r="Q1097" s="2" t="n">
        <v>1310</v>
      </c>
      <c r="R1097" s="0" t="s">
        <v>503</v>
      </c>
      <c r="S1097" s="0" t="s">
        <v>9499</v>
      </c>
    </row>
    <row r="1098" customFormat="false" ht="13.8" hidden="false" customHeight="false" outlineLevel="0" collapsed="false">
      <c r="A1098" s="0" t="s">
        <v>271</v>
      </c>
      <c r="B1098" s="0" t="n">
        <v>54</v>
      </c>
      <c r="C1098" s="0" t="s">
        <v>9496</v>
      </c>
      <c r="D1098" s="0" t="s">
        <v>44</v>
      </c>
      <c r="E1098" s="0" t="s">
        <v>44</v>
      </c>
      <c r="F1098" s="4" t="n">
        <v>187</v>
      </c>
      <c r="G1098" s="2" t="n">
        <v>4</v>
      </c>
      <c r="H1098" s="2" t="s">
        <v>7</v>
      </c>
      <c r="I1098" s="4" t="n">
        <v>2</v>
      </c>
      <c r="J1098" s="2" t="n">
        <v>0</v>
      </c>
      <c r="K1098" s="2" t="n">
        <v>0</v>
      </c>
      <c r="L1098" s="4" t="n">
        <v>1</v>
      </c>
      <c r="M1098" s="2" t="n">
        <v>0</v>
      </c>
      <c r="N1098" s="2" t="n">
        <v>0</v>
      </c>
      <c r="O1098" s="4" t="n">
        <v>3</v>
      </c>
      <c r="Q1098" s="2" t="n">
        <v>1311</v>
      </c>
      <c r="R1098" s="0" t="s">
        <v>44</v>
      </c>
      <c r="S1098" s="0" t="s">
        <v>9500</v>
      </c>
    </row>
    <row r="1099" customFormat="false" ht="13.8" hidden="false" customHeight="false" outlineLevel="0" collapsed="false">
      <c r="A1099" s="0" t="s">
        <v>271</v>
      </c>
      <c r="B1099" s="0" t="n">
        <v>54</v>
      </c>
      <c r="C1099" s="0" t="s">
        <v>9496</v>
      </c>
      <c r="D1099" s="0" t="s">
        <v>207</v>
      </c>
      <c r="E1099" s="0" t="s">
        <v>207</v>
      </c>
      <c r="F1099" s="4" t="n">
        <v>32</v>
      </c>
      <c r="G1099" s="2" t="n">
        <v>0</v>
      </c>
      <c r="H1099" s="2" t="n">
        <v>0</v>
      </c>
      <c r="I1099" s="4" t="n">
        <v>2</v>
      </c>
      <c r="J1099" s="2" t="n">
        <v>0.5</v>
      </c>
      <c r="K1099" s="2" t="s">
        <v>20</v>
      </c>
      <c r="L1099" s="4" t="n">
        <v>5</v>
      </c>
      <c r="M1099" s="2" t="n">
        <v>0</v>
      </c>
      <c r="N1099" s="2" t="n">
        <v>0</v>
      </c>
      <c r="O1099" s="4" t="n">
        <v>3</v>
      </c>
      <c r="Q1099" s="2" t="n">
        <v>1312</v>
      </c>
      <c r="R1099" s="0" t="s">
        <v>207</v>
      </c>
      <c r="S1099" s="0" t="s">
        <v>9501</v>
      </c>
    </row>
    <row r="1100" customFormat="false" ht="13.8" hidden="false" customHeight="false" outlineLevel="0" collapsed="false">
      <c r="A1100" s="0" t="s">
        <v>223</v>
      </c>
      <c r="B1100" s="0" t="n">
        <v>38</v>
      </c>
      <c r="C1100" s="0" t="s">
        <v>9502</v>
      </c>
      <c r="D1100" s="0" t="s">
        <v>419</v>
      </c>
      <c r="E1100" s="0" t="s">
        <v>419</v>
      </c>
      <c r="F1100" s="4" t="n">
        <v>124</v>
      </c>
      <c r="G1100" s="2" t="n">
        <v>0</v>
      </c>
      <c r="H1100" s="2" t="n">
        <v>0</v>
      </c>
      <c r="I1100" s="4" t="n">
        <v>2</v>
      </c>
      <c r="J1100" s="2" t="n">
        <v>0.5</v>
      </c>
      <c r="K1100" s="2" t="s">
        <v>13</v>
      </c>
      <c r="L1100" s="4" t="n">
        <v>1</v>
      </c>
      <c r="M1100" s="2" t="n">
        <v>0</v>
      </c>
      <c r="N1100" s="2" t="n">
        <v>0</v>
      </c>
      <c r="O1100" s="4" t="n">
        <v>3</v>
      </c>
      <c r="Q1100" s="2" t="n">
        <v>1314</v>
      </c>
      <c r="R1100" s="0" t="s">
        <v>419</v>
      </c>
      <c r="S1100" s="0" t="s">
        <v>9503</v>
      </c>
    </row>
    <row r="1101" customFormat="false" ht="13.8" hidden="false" customHeight="false" outlineLevel="0" collapsed="false">
      <c r="A1101" s="0" t="s">
        <v>223</v>
      </c>
      <c r="B1101" s="0" t="n">
        <v>38</v>
      </c>
      <c r="C1101" s="0" t="s">
        <v>9502</v>
      </c>
      <c r="D1101" s="0" t="s">
        <v>503</v>
      </c>
      <c r="E1101" s="0" t="s">
        <v>503</v>
      </c>
      <c r="F1101" s="4" t="n">
        <v>214</v>
      </c>
      <c r="G1101" s="2" t="n">
        <v>0</v>
      </c>
      <c r="H1101" s="2" t="n">
        <v>0</v>
      </c>
      <c r="I1101" s="4" t="n">
        <v>2</v>
      </c>
      <c r="J1101" s="2" t="n">
        <v>35</v>
      </c>
      <c r="K1101" s="2" t="s">
        <v>13</v>
      </c>
      <c r="L1101" s="4" t="n">
        <v>1</v>
      </c>
      <c r="M1101" s="2" t="n">
        <v>0</v>
      </c>
      <c r="N1101" s="2" t="n">
        <v>0</v>
      </c>
      <c r="O1101" s="4" t="n">
        <v>3</v>
      </c>
      <c r="Q1101" s="2" t="n">
        <v>1315</v>
      </c>
      <c r="R1101" s="0" t="s">
        <v>503</v>
      </c>
      <c r="S1101" s="0" t="s">
        <v>9504</v>
      </c>
    </row>
    <row r="1102" customFormat="false" ht="13.8" hidden="false" customHeight="false" outlineLevel="0" collapsed="false">
      <c r="A1102" s="0" t="s">
        <v>223</v>
      </c>
      <c r="B1102" s="0" t="n">
        <v>38</v>
      </c>
      <c r="C1102" s="0" t="s">
        <v>9502</v>
      </c>
      <c r="D1102" s="0" t="s">
        <v>44</v>
      </c>
      <c r="E1102" s="0" t="s">
        <v>44</v>
      </c>
      <c r="F1102" s="4" t="n">
        <v>187</v>
      </c>
      <c r="G1102" s="2" t="n">
        <v>3</v>
      </c>
      <c r="H1102" s="2" t="s">
        <v>7</v>
      </c>
      <c r="I1102" s="4" t="n">
        <v>2</v>
      </c>
      <c r="J1102" s="2" t="n">
        <v>0</v>
      </c>
      <c r="K1102" s="2" t="n">
        <v>0</v>
      </c>
      <c r="L1102" s="4" t="n">
        <v>1</v>
      </c>
      <c r="M1102" s="2" t="n">
        <v>0</v>
      </c>
      <c r="N1102" s="2" t="n">
        <v>0</v>
      </c>
      <c r="O1102" s="4" t="n">
        <v>3</v>
      </c>
      <c r="Q1102" s="2" t="n">
        <v>1316</v>
      </c>
      <c r="R1102" s="0" t="s">
        <v>44</v>
      </c>
      <c r="S1102" s="0" t="s">
        <v>9505</v>
      </c>
    </row>
    <row r="1103" customFormat="false" ht="13.8" hidden="false" customHeight="false" outlineLevel="0" collapsed="false">
      <c r="A1103" s="0" t="s">
        <v>223</v>
      </c>
      <c r="B1103" s="0" t="n">
        <v>38</v>
      </c>
      <c r="C1103" s="0" t="s">
        <v>9502</v>
      </c>
      <c r="D1103" s="0" t="s">
        <v>207</v>
      </c>
      <c r="E1103" s="0" t="s">
        <v>207</v>
      </c>
      <c r="F1103" s="4" t="n">
        <v>32</v>
      </c>
      <c r="G1103" s="2" t="n">
        <v>0</v>
      </c>
      <c r="H1103" s="2" t="n">
        <v>0</v>
      </c>
      <c r="I1103" s="4" t="n">
        <v>2</v>
      </c>
      <c r="J1103" s="2" t="n">
        <v>0.75</v>
      </c>
      <c r="K1103" s="2" t="s">
        <v>20</v>
      </c>
      <c r="L1103" s="4" t="n">
        <v>5</v>
      </c>
      <c r="M1103" s="2" t="n">
        <v>0</v>
      </c>
      <c r="N1103" s="2" t="n">
        <v>0</v>
      </c>
      <c r="O1103" s="4" t="n">
        <v>3</v>
      </c>
      <c r="Q1103" s="2" t="n">
        <v>1317</v>
      </c>
      <c r="R1103" s="0" t="s">
        <v>207</v>
      </c>
      <c r="S1103" s="0" t="s">
        <v>9506</v>
      </c>
    </row>
    <row r="1104" customFormat="false" ht="13.8" hidden="false" customHeight="false" outlineLevel="0" collapsed="false">
      <c r="A1104" s="0" t="s">
        <v>223</v>
      </c>
      <c r="B1104" s="0" t="n">
        <v>38</v>
      </c>
      <c r="C1104" s="0" t="s">
        <v>9502</v>
      </c>
      <c r="D1104" s="0" t="s">
        <v>399</v>
      </c>
      <c r="E1104" s="0" t="s">
        <v>399</v>
      </c>
      <c r="F1104" s="4" t="n">
        <v>103</v>
      </c>
      <c r="G1104" s="2" t="n">
        <v>0</v>
      </c>
      <c r="H1104" s="2" t="n">
        <v>0</v>
      </c>
      <c r="I1104" s="4" t="n">
        <v>2</v>
      </c>
      <c r="J1104" s="2" t="n">
        <v>0.5</v>
      </c>
      <c r="K1104" s="2" t="s">
        <v>20</v>
      </c>
      <c r="L1104" s="4" t="n">
        <v>5</v>
      </c>
      <c r="M1104" s="2" t="n">
        <v>0</v>
      </c>
      <c r="N1104" s="2" t="n">
        <v>0</v>
      </c>
      <c r="O1104" s="4" t="n">
        <v>3</v>
      </c>
      <c r="Q1104" s="2" t="n">
        <v>1318</v>
      </c>
      <c r="R1104" s="0" t="s">
        <v>399</v>
      </c>
      <c r="S1104" s="0" t="s">
        <v>9507</v>
      </c>
    </row>
    <row r="1105" customFormat="false" ht="13.8" hidden="false" customHeight="false" outlineLevel="0" collapsed="false">
      <c r="A1105" s="0" t="s">
        <v>283</v>
      </c>
      <c r="B1105" s="0" t="n">
        <v>58</v>
      </c>
      <c r="C1105" s="0" t="s">
        <v>9508</v>
      </c>
      <c r="D1105" s="0" t="s">
        <v>280</v>
      </c>
      <c r="E1105" s="0" t="s">
        <v>281</v>
      </c>
      <c r="F1105" s="4" t="n">
        <v>159</v>
      </c>
      <c r="G1105" s="2" t="n">
        <v>0</v>
      </c>
      <c r="H1105" s="2" t="n">
        <v>0</v>
      </c>
      <c r="I1105" s="4" t="n">
        <v>2</v>
      </c>
      <c r="J1105" s="2" t="n">
        <v>0</v>
      </c>
      <c r="K1105" s="2" t="n">
        <v>0</v>
      </c>
      <c r="L1105" s="4" t="n">
        <v>1</v>
      </c>
      <c r="M1105" s="2" t="n">
        <v>400</v>
      </c>
      <c r="N1105" s="2" t="s">
        <v>107</v>
      </c>
      <c r="O1105" s="4" t="n">
        <v>3</v>
      </c>
      <c r="Q1105" s="2" t="n">
        <v>1320</v>
      </c>
      <c r="R1105" s="0" t="s">
        <v>281</v>
      </c>
      <c r="S1105" s="0" t="s">
        <v>9509</v>
      </c>
    </row>
    <row r="1106" customFormat="false" ht="13.8" hidden="false" customHeight="false" outlineLevel="0" collapsed="false">
      <c r="A1106" s="0" t="s">
        <v>286</v>
      </c>
      <c r="B1106" s="0" t="n">
        <v>59</v>
      </c>
      <c r="C1106" s="0" t="s">
        <v>9510</v>
      </c>
      <c r="D1106" s="0" t="s">
        <v>926</v>
      </c>
      <c r="E1106" s="0" t="s">
        <v>388</v>
      </c>
      <c r="F1106" s="4" t="n">
        <v>94</v>
      </c>
      <c r="G1106" s="2" t="n">
        <v>0</v>
      </c>
      <c r="H1106" s="2" t="n">
        <v>0</v>
      </c>
      <c r="I1106" s="4" t="n">
        <v>2</v>
      </c>
      <c r="J1106" s="2" t="n">
        <v>60</v>
      </c>
      <c r="K1106" s="2" t="s">
        <v>13</v>
      </c>
      <c r="L1106" s="4" t="n">
        <v>1</v>
      </c>
      <c r="M1106" s="2" t="n">
        <v>0</v>
      </c>
      <c r="N1106" s="2" t="n">
        <v>0</v>
      </c>
      <c r="O1106" s="4" t="n">
        <v>3</v>
      </c>
      <c r="Q1106" s="2" t="n">
        <v>1321</v>
      </c>
      <c r="R1106" s="0" t="s">
        <v>388</v>
      </c>
      <c r="S1106" s="0" t="s">
        <v>9511</v>
      </c>
    </row>
    <row r="1107" customFormat="false" ht="13.8" hidden="false" customHeight="false" outlineLevel="0" collapsed="false">
      <c r="A1107" s="0" t="s">
        <v>313</v>
      </c>
      <c r="B1107" s="0" t="n">
        <v>68</v>
      </c>
      <c r="C1107" s="0" t="s">
        <v>9512</v>
      </c>
      <c r="D1107" s="0" t="s">
        <v>927</v>
      </c>
      <c r="E1107" s="0" t="s">
        <v>466</v>
      </c>
      <c r="F1107" s="4" t="n">
        <v>174</v>
      </c>
      <c r="G1107" s="2" t="n">
        <v>0</v>
      </c>
      <c r="H1107" s="2" t="n">
        <v>0</v>
      </c>
      <c r="I1107" s="4" t="n">
        <v>2</v>
      </c>
      <c r="J1107" s="2" t="n">
        <v>3</v>
      </c>
      <c r="K1107" s="2" t="s">
        <v>13</v>
      </c>
      <c r="L1107" s="4" t="n">
        <v>1</v>
      </c>
      <c r="M1107" s="2" t="n">
        <v>0</v>
      </c>
      <c r="N1107" s="2" t="n">
        <v>0</v>
      </c>
      <c r="O1107" s="4" t="n">
        <v>3</v>
      </c>
      <c r="Q1107" s="2" t="n">
        <v>1323</v>
      </c>
      <c r="R1107" s="0" t="s">
        <v>466</v>
      </c>
      <c r="S1107" s="0" t="s">
        <v>9513</v>
      </c>
    </row>
    <row r="1108" customFormat="false" ht="13.8" hidden="false" customHeight="false" outlineLevel="0" collapsed="false">
      <c r="A1108" s="0" t="s">
        <v>313</v>
      </c>
      <c r="B1108" s="0" t="n">
        <v>68</v>
      </c>
      <c r="C1108" s="0" t="s">
        <v>9512</v>
      </c>
      <c r="D1108" s="0" t="s">
        <v>928</v>
      </c>
      <c r="E1108" s="0" t="s">
        <v>423</v>
      </c>
      <c r="F1108" s="4" t="n">
        <v>129</v>
      </c>
      <c r="G1108" s="2" t="n">
        <v>0</v>
      </c>
      <c r="H1108" s="2" t="n">
        <v>0</v>
      </c>
      <c r="I1108" s="4" t="n">
        <v>2</v>
      </c>
      <c r="J1108" s="2" t="n">
        <v>1</v>
      </c>
      <c r="K1108" s="2" t="s">
        <v>20</v>
      </c>
      <c r="L1108" s="4" t="n">
        <v>5</v>
      </c>
      <c r="M1108" s="2" t="n">
        <v>0</v>
      </c>
      <c r="N1108" s="2" t="n">
        <v>0</v>
      </c>
      <c r="O1108" s="4" t="n">
        <v>3</v>
      </c>
      <c r="Q1108" s="2" t="n">
        <v>1324</v>
      </c>
      <c r="R1108" s="0" t="s">
        <v>423</v>
      </c>
      <c r="S1108" s="0" t="s">
        <v>9514</v>
      </c>
    </row>
    <row r="1109" customFormat="false" ht="13.8" hidden="false" customHeight="false" outlineLevel="0" collapsed="false">
      <c r="A1109" s="0" t="s">
        <v>313</v>
      </c>
      <c r="B1109" s="0" t="n">
        <v>68</v>
      </c>
      <c r="C1109" s="0" t="s">
        <v>9512</v>
      </c>
      <c r="D1109" s="0" t="s">
        <v>929</v>
      </c>
      <c r="E1109" s="0" t="s">
        <v>467</v>
      </c>
      <c r="F1109" s="4" t="n">
        <v>175</v>
      </c>
      <c r="G1109" s="2" t="n">
        <v>0</v>
      </c>
      <c r="H1109" s="2" t="n">
        <v>0</v>
      </c>
      <c r="I1109" s="4" t="n">
        <v>2</v>
      </c>
      <c r="J1109" s="2" t="n">
        <v>1</v>
      </c>
      <c r="K1109" s="2" t="s">
        <v>930</v>
      </c>
      <c r="L1109" s="4" t="n">
        <v>9</v>
      </c>
      <c r="M1109" s="2" t="n">
        <v>0</v>
      </c>
      <c r="N1109" s="2" t="n">
        <v>0</v>
      </c>
      <c r="O1109" s="4" t="n">
        <v>3</v>
      </c>
      <c r="Q1109" s="2" t="n">
        <v>1325</v>
      </c>
      <c r="R1109" s="0" t="s">
        <v>467</v>
      </c>
      <c r="S1109" s="0" t="s">
        <v>9515</v>
      </c>
    </row>
    <row r="1110" customFormat="false" ht="13.8" hidden="false" customHeight="false" outlineLevel="0" collapsed="false">
      <c r="A1110" s="0" t="s">
        <v>313</v>
      </c>
      <c r="B1110" s="0" t="n">
        <v>68</v>
      </c>
      <c r="C1110" s="0" t="s">
        <v>9512</v>
      </c>
      <c r="D1110" s="0" t="s">
        <v>931</v>
      </c>
      <c r="E1110" s="0" t="s">
        <v>44</v>
      </c>
      <c r="F1110" s="4" t="n">
        <v>187</v>
      </c>
      <c r="G1110" s="2" t="n">
        <v>2</v>
      </c>
      <c r="H1110" s="2" t="s">
        <v>7</v>
      </c>
      <c r="I1110" s="4" t="n">
        <v>2</v>
      </c>
      <c r="J1110" s="2" t="n">
        <v>0</v>
      </c>
      <c r="K1110" s="2" t="n">
        <v>0</v>
      </c>
      <c r="L1110" s="4" t="n">
        <v>1</v>
      </c>
      <c r="M1110" s="2" t="n">
        <v>0</v>
      </c>
      <c r="N1110" s="2" t="n">
        <v>0</v>
      </c>
      <c r="O1110" s="4" t="n">
        <v>3</v>
      </c>
      <c r="Q1110" s="2" t="n">
        <v>1326</v>
      </c>
      <c r="R1110" s="0" t="s">
        <v>44</v>
      </c>
      <c r="S1110" s="0" t="s">
        <v>9516</v>
      </c>
    </row>
    <row r="1111" customFormat="false" ht="13.8" hidden="false" customHeight="false" outlineLevel="0" collapsed="false">
      <c r="A1111" s="0" t="s">
        <v>349</v>
      </c>
      <c r="B1111" s="0" t="n">
        <v>80</v>
      </c>
      <c r="C1111" s="0" t="s">
        <v>9517</v>
      </c>
      <c r="D1111" s="0" t="s">
        <v>485</v>
      </c>
      <c r="E1111" s="0" t="s">
        <v>485</v>
      </c>
      <c r="F1111" s="4" t="n">
        <v>195</v>
      </c>
      <c r="G1111" s="2" t="n">
        <v>12</v>
      </c>
      <c r="H1111" s="2" t="s">
        <v>7</v>
      </c>
      <c r="I1111" s="4" t="n">
        <v>2</v>
      </c>
      <c r="J1111" s="2" t="n">
        <v>0</v>
      </c>
      <c r="K1111" s="2" t="n">
        <v>0</v>
      </c>
      <c r="L1111" s="4" t="n">
        <v>1</v>
      </c>
      <c r="M1111" s="2" t="n">
        <v>0</v>
      </c>
      <c r="N1111" s="2" t="n">
        <v>0</v>
      </c>
      <c r="O1111" s="4" t="n">
        <v>3</v>
      </c>
      <c r="Q1111" s="2" t="n">
        <v>1328</v>
      </c>
      <c r="R1111" s="0" t="s">
        <v>485</v>
      </c>
      <c r="S1111" s="0" t="s">
        <v>9518</v>
      </c>
    </row>
    <row r="1112" customFormat="false" ht="13.8" hidden="false" customHeight="false" outlineLevel="0" collapsed="false">
      <c r="A1112" s="0" t="s">
        <v>349</v>
      </c>
      <c r="B1112" s="0" t="n">
        <v>80</v>
      </c>
      <c r="C1112" s="0" t="s">
        <v>9517</v>
      </c>
      <c r="D1112" s="0" t="s">
        <v>839</v>
      </c>
      <c r="E1112" s="0" t="s">
        <v>360</v>
      </c>
      <c r="F1112" s="4" t="n">
        <v>83</v>
      </c>
      <c r="G1112" s="2" t="n">
        <v>0</v>
      </c>
      <c r="H1112" s="2" t="n">
        <v>0</v>
      </c>
      <c r="I1112" s="4" t="n">
        <v>2</v>
      </c>
      <c r="J1112" s="2" t="n">
        <v>200</v>
      </c>
      <c r="K1112" s="2" t="s">
        <v>143</v>
      </c>
      <c r="L1112" s="4" t="n">
        <v>12</v>
      </c>
      <c r="M1112" s="2" t="n">
        <v>0</v>
      </c>
      <c r="N1112" s="2" t="n">
        <v>0</v>
      </c>
      <c r="O1112" s="4" t="n">
        <v>3</v>
      </c>
      <c r="Q1112" s="2" t="n">
        <v>1329</v>
      </c>
      <c r="R1112" s="0" t="s">
        <v>360</v>
      </c>
      <c r="S1112" s="0" t="s">
        <v>9519</v>
      </c>
    </row>
    <row r="1113" customFormat="false" ht="13.8" hidden="false" customHeight="false" outlineLevel="0" collapsed="false">
      <c r="A1113" s="0" t="s">
        <v>349</v>
      </c>
      <c r="B1113" s="0" t="n">
        <v>80</v>
      </c>
      <c r="C1113" s="0" t="s">
        <v>9517</v>
      </c>
      <c r="D1113" s="0" t="s">
        <v>391</v>
      </c>
      <c r="E1113" s="0" t="s">
        <v>391</v>
      </c>
      <c r="F1113" s="4" t="n">
        <v>95</v>
      </c>
      <c r="G1113" s="2" t="n">
        <v>0</v>
      </c>
      <c r="H1113" s="2" t="n">
        <v>0</v>
      </c>
      <c r="I1113" s="4" t="n">
        <v>2</v>
      </c>
      <c r="J1113" s="2" t="n">
        <v>0.1</v>
      </c>
      <c r="K1113" s="2" t="s">
        <v>20</v>
      </c>
      <c r="L1113" s="4" t="n">
        <v>5</v>
      </c>
      <c r="M1113" s="2" t="n">
        <v>0</v>
      </c>
      <c r="N1113" s="2" t="n">
        <v>0</v>
      </c>
      <c r="O1113" s="4" t="n">
        <v>3</v>
      </c>
      <c r="Q1113" s="2" t="n">
        <v>1330</v>
      </c>
      <c r="R1113" s="0" t="s">
        <v>391</v>
      </c>
      <c r="S1113" s="0" t="s">
        <v>9520</v>
      </c>
    </row>
    <row r="1114" customFormat="false" ht="13.8" hidden="false" customHeight="false" outlineLevel="0" collapsed="false">
      <c r="A1114" s="0" t="s">
        <v>349</v>
      </c>
      <c r="B1114" s="0" t="n">
        <v>80</v>
      </c>
      <c r="C1114" s="0" t="s">
        <v>9517</v>
      </c>
      <c r="D1114" s="0" t="s">
        <v>932</v>
      </c>
      <c r="E1114" s="0" t="s">
        <v>412</v>
      </c>
      <c r="F1114" s="4" t="n">
        <v>117</v>
      </c>
      <c r="G1114" s="2" t="n">
        <v>0</v>
      </c>
      <c r="H1114" s="2" t="n">
        <v>0</v>
      </c>
      <c r="I1114" s="4" t="n">
        <v>2</v>
      </c>
      <c r="J1114" s="2" t="n">
        <v>0.5</v>
      </c>
      <c r="K1114" s="2" t="s">
        <v>20</v>
      </c>
      <c r="L1114" s="4" t="n">
        <v>5</v>
      </c>
      <c r="M1114" s="2" t="n">
        <v>0</v>
      </c>
      <c r="N1114" s="2" t="n">
        <v>0</v>
      </c>
      <c r="O1114" s="4" t="n">
        <v>3</v>
      </c>
      <c r="Q1114" s="2" t="n">
        <v>1331</v>
      </c>
      <c r="R1114" s="0" t="s">
        <v>412</v>
      </c>
      <c r="S1114" s="0" t="s">
        <v>9521</v>
      </c>
    </row>
    <row r="1115" customFormat="false" ht="13.8" hidden="false" customHeight="false" outlineLevel="0" collapsed="false">
      <c r="A1115" s="0" t="s">
        <v>349</v>
      </c>
      <c r="B1115" s="0" t="n">
        <v>80</v>
      </c>
      <c r="C1115" s="0" t="s">
        <v>9517</v>
      </c>
      <c r="D1115" s="0" t="s">
        <v>44</v>
      </c>
      <c r="E1115" s="0" t="s">
        <v>44</v>
      </c>
      <c r="F1115" s="4" t="n">
        <v>187</v>
      </c>
      <c r="G1115" s="2" t="n">
        <v>2</v>
      </c>
      <c r="H1115" s="2" t="s">
        <v>7</v>
      </c>
      <c r="I1115" s="4" t="n">
        <v>2</v>
      </c>
      <c r="J1115" s="2" t="n">
        <v>0</v>
      </c>
      <c r="K1115" s="2" t="n">
        <v>0</v>
      </c>
      <c r="L1115" s="4" t="n">
        <v>1</v>
      </c>
      <c r="M1115" s="2" t="n">
        <v>0</v>
      </c>
      <c r="N1115" s="2" t="n">
        <v>0</v>
      </c>
      <c r="O1115" s="4" t="n">
        <v>3</v>
      </c>
      <c r="Q1115" s="2" t="n">
        <v>1332</v>
      </c>
      <c r="R1115" s="0" t="s">
        <v>44</v>
      </c>
      <c r="S1115" s="0" t="s">
        <v>9522</v>
      </c>
    </row>
    <row r="1116" customFormat="false" ht="13.8" hidden="false" customHeight="false" outlineLevel="0" collapsed="false">
      <c r="A1116" s="0" t="s">
        <v>349</v>
      </c>
      <c r="B1116" s="0" t="n">
        <v>80</v>
      </c>
      <c r="C1116" s="0" t="s">
        <v>9517</v>
      </c>
      <c r="D1116" s="0" t="s">
        <v>470</v>
      </c>
      <c r="E1116" s="0" t="s">
        <v>470</v>
      </c>
      <c r="F1116" s="4" t="n">
        <v>179</v>
      </c>
      <c r="G1116" s="2" t="n">
        <v>0</v>
      </c>
      <c r="H1116" s="2" t="n">
        <v>0</v>
      </c>
      <c r="I1116" s="4" t="n">
        <v>2</v>
      </c>
      <c r="J1116" s="2" t="n">
        <v>0.5</v>
      </c>
      <c r="K1116" s="2" t="s">
        <v>20</v>
      </c>
      <c r="L1116" s="4" t="n">
        <v>5</v>
      </c>
      <c r="M1116" s="2" t="n">
        <v>0</v>
      </c>
      <c r="N1116" s="2" t="n">
        <v>0</v>
      </c>
      <c r="O1116" s="4" t="n">
        <v>3</v>
      </c>
      <c r="Q1116" s="2" t="n">
        <v>1333</v>
      </c>
      <c r="R1116" s="0" t="s">
        <v>470</v>
      </c>
      <c r="S1116" s="0" t="s">
        <v>9523</v>
      </c>
    </row>
    <row r="1117" customFormat="false" ht="13.8" hidden="false" customHeight="false" outlineLevel="0" collapsed="false">
      <c r="A1117" s="0" t="s">
        <v>349</v>
      </c>
      <c r="B1117" s="0" t="n">
        <v>80</v>
      </c>
      <c r="C1117" s="0" t="s">
        <v>9517</v>
      </c>
      <c r="D1117" s="0" t="s">
        <v>933</v>
      </c>
      <c r="E1117" s="0" t="s">
        <v>481</v>
      </c>
      <c r="F1117" s="4" t="n">
        <v>191</v>
      </c>
      <c r="G1117" s="2" t="n">
        <v>0</v>
      </c>
      <c r="H1117" s="2" t="n">
        <v>0</v>
      </c>
      <c r="I1117" s="4" t="n">
        <v>2</v>
      </c>
      <c r="J1117" s="2" t="n">
        <v>1</v>
      </c>
      <c r="K1117" s="2" t="s">
        <v>20</v>
      </c>
      <c r="L1117" s="4" t="n">
        <v>5</v>
      </c>
      <c r="M1117" s="2" t="n">
        <v>0</v>
      </c>
      <c r="N1117" s="2" t="n">
        <v>0</v>
      </c>
      <c r="O1117" s="4" t="n">
        <v>3</v>
      </c>
      <c r="Q1117" s="2" t="n">
        <v>1334</v>
      </c>
      <c r="R1117" s="0" t="s">
        <v>481</v>
      </c>
      <c r="S1117" s="0" t="s">
        <v>9524</v>
      </c>
    </row>
    <row r="1118" customFormat="false" ht="13.8" hidden="false" customHeight="false" outlineLevel="0" collapsed="false">
      <c r="A1118" s="0" t="s">
        <v>349</v>
      </c>
      <c r="B1118" s="0" t="n">
        <v>80</v>
      </c>
      <c r="C1118" s="0" t="s">
        <v>9517</v>
      </c>
      <c r="D1118" s="0" t="s">
        <v>96</v>
      </c>
      <c r="E1118" s="0" t="s">
        <v>96</v>
      </c>
      <c r="F1118" s="4" t="n">
        <v>177</v>
      </c>
      <c r="G1118" s="2" t="n">
        <v>0</v>
      </c>
      <c r="H1118" s="2" t="n">
        <v>0</v>
      </c>
      <c r="I1118" s="4" t="n">
        <v>2</v>
      </c>
      <c r="J1118" s="2" t="n">
        <v>0.7</v>
      </c>
      <c r="K1118" s="2" t="s">
        <v>20</v>
      </c>
      <c r="L1118" s="4" t="n">
        <v>5</v>
      </c>
      <c r="M1118" s="2" t="n">
        <v>0</v>
      </c>
      <c r="N1118" s="2" t="n">
        <v>0</v>
      </c>
      <c r="O1118" s="4" t="n">
        <v>3</v>
      </c>
      <c r="Q1118" s="2" t="n">
        <v>1335</v>
      </c>
      <c r="R1118" s="0" t="s">
        <v>96</v>
      </c>
      <c r="S1118" s="0" t="s">
        <v>9525</v>
      </c>
    </row>
    <row r="1119" customFormat="false" ht="13.8" hidden="false" customHeight="false" outlineLevel="0" collapsed="false">
      <c r="A1119" s="0" t="s">
        <v>349</v>
      </c>
      <c r="B1119" s="0" t="n">
        <v>80</v>
      </c>
      <c r="C1119" s="0" t="s">
        <v>9517</v>
      </c>
      <c r="D1119" s="0" t="s">
        <v>934</v>
      </c>
      <c r="E1119" s="0" t="s">
        <v>429</v>
      </c>
      <c r="F1119" s="4" t="n">
        <v>135</v>
      </c>
      <c r="G1119" s="2" t="n">
        <v>0</v>
      </c>
      <c r="H1119" s="2" t="n">
        <v>0</v>
      </c>
      <c r="I1119" s="4" t="n">
        <v>2</v>
      </c>
      <c r="J1119" s="2" t="n">
        <v>0.5</v>
      </c>
      <c r="K1119" s="2" t="s">
        <v>20</v>
      </c>
      <c r="L1119" s="4" t="n">
        <v>5</v>
      </c>
      <c r="M1119" s="2" t="n">
        <v>0</v>
      </c>
      <c r="N1119" s="2" t="n">
        <v>0</v>
      </c>
      <c r="O1119" s="4" t="n">
        <v>3</v>
      </c>
      <c r="Q1119" s="2" t="n">
        <v>1336</v>
      </c>
      <c r="R1119" s="0" t="s">
        <v>429</v>
      </c>
      <c r="S1119" s="0" t="s">
        <v>9526</v>
      </c>
    </row>
    <row r="1120" customFormat="false" ht="13.8" hidden="false" customHeight="false" outlineLevel="0" collapsed="false">
      <c r="A1120" s="0" t="s">
        <v>304</v>
      </c>
      <c r="B1120" s="0" t="n">
        <v>65</v>
      </c>
      <c r="C1120" s="0" t="s">
        <v>9527</v>
      </c>
      <c r="D1120" s="0" t="s">
        <v>303</v>
      </c>
      <c r="E1120" s="0" t="s">
        <v>303</v>
      </c>
      <c r="F1120" s="4" t="n">
        <v>64</v>
      </c>
      <c r="G1120" s="2" t="n">
        <v>2</v>
      </c>
      <c r="H1120" s="2" t="s">
        <v>7</v>
      </c>
      <c r="I1120" s="4" t="n">
        <v>2</v>
      </c>
      <c r="J1120" s="2" t="n">
        <v>0</v>
      </c>
      <c r="K1120" s="2" t="n">
        <v>0</v>
      </c>
      <c r="L1120" s="4" t="n">
        <v>1</v>
      </c>
      <c r="M1120" s="2" t="n">
        <v>0</v>
      </c>
      <c r="N1120" s="2" t="n">
        <v>0</v>
      </c>
      <c r="O1120" s="4" t="n">
        <v>3</v>
      </c>
      <c r="P1120" s="0" t="s">
        <v>935</v>
      </c>
      <c r="Q1120" s="2" t="n">
        <v>1338</v>
      </c>
      <c r="R1120" s="0" t="s">
        <v>303</v>
      </c>
      <c r="S1120" s="0" t="s">
        <v>9528</v>
      </c>
    </row>
    <row r="1121" customFormat="false" ht="13.8" hidden="false" customHeight="false" outlineLevel="0" collapsed="false">
      <c r="A1121" s="0" t="s">
        <v>304</v>
      </c>
      <c r="B1121" s="0" t="n">
        <v>65</v>
      </c>
      <c r="C1121" s="0" t="s">
        <v>9527</v>
      </c>
      <c r="D1121" s="0" t="s">
        <v>821</v>
      </c>
      <c r="E1121" s="0" t="s">
        <v>380</v>
      </c>
      <c r="F1121" s="4" t="n">
        <v>90</v>
      </c>
      <c r="G1121" s="2" t="n">
        <v>2</v>
      </c>
      <c r="H1121" s="2" t="s">
        <v>7</v>
      </c>
      <c r="I1121" s="4" t="n">
        <v>2</v>
      </c>
      <c r="J1121" s="2" t="n">
        <v>0</v>
      </c>
      <c r="K1121" s="2" t="n">
        <v>0</v>
      </c>
      <c r="L1121" s="4" t="n">
        <v>1</v>
      </c>
      <c r="M1121" s="2" t="n">
        <v>0</v>
      </c>
      <c r="N1121" s="2" t="n">
        <v>0</v>
      </c>
      <c r="O1121" s="4" t="n">
        <v>3</v>
      </c>
      <c r="P1121" s="0" t="s">
        <v>936</v>
      </c>
      <c r="Q1121" s="2" t="n">
        <v>1339</v>
      </c>
      <c r="R1121" s="0" t="s">
        <v>380</v>
      </c>
      <c r="S1121" s="0" t="s">
        <v>9529</v>
      </c>
    </row>
    <row r="1122" customFormat="false" ht="13.8" hidden="false" customHeight="false" outlineLevel="0" collapsed="false">
      <c r="A1122" s="0" t="s">
        <v>304</v>
      </c>
      <c r="B1122" s="0" t="n">
        <v>65</v>
      </c>
      <c r="C1122" s="0" t="s">
        <v>9527</v>
      </c>
      <c r="D1122" s="0" t="s">
        <v>394</v>
      </c>
      <c r="E1122" s="0" t="s">
        <v>394</v>
      </c>
      <c r="F1122" s="4" t="n">
        <v>98</v>
      </c>
      <c r="G1122" s="2" t="n">
        <v>500</v>
      </c>
      <c r="H1122" s="2" t="s">
        <v>109</v>
      </c>
      <c r="I1122" s="4" t="n">
        <v>7</v>
      </c>
      <c r="J1122" s="2" t="n">
        <v>0</v>
      </c>
      <c r="K1122" s="2" t="n">
        <v>0</v>
      </c>
      <c r="L1122" s="4" t="n">
        <v>1</v>
      </c>
      <c r="M1122" s="2" t="n">
        <v>0</v>
      </c>
      <c r="N1122" s="2" t="n">
        <v>0</v>
      </c>
      <c r="O1122" s="4" t="n">
        <v>3</v>
      </c>
      <c r="Q1122" s="2" t="n">
        <v>1340</v>
      </c>
      <c r="R1122" s="0" t="s">
        <v>394</v>
      </c>
      <c r="S1122" s="0" t="s">
        <v>9530</v>
      </c>
    </row>
    <row r="1123" customFormat="false" ht="13.8" hidden="false" customHeight="false" outlineLevel="0" collapsed="false">
      <c r="A1123" s="0" t="s">
        <v>304</v>
      </c>
      <c r="B1123" s="0" t="n">
        <v>65</v>
      </c>
      <c r="C1123" s="0" t="s">
        <v>9527</v>
      </c>
      <c r="D1123" s="0" t="s">
        <v>500</v>
      </c>
      <c r="E1123" s="0" t="s">
        <v>500</v>
      </c>
      <c r="F1123" s="4" t="n">
        <v>211</v>
      </c>
      <c r="G1123" s="2" t="n">
        <v>0</v>
      </c>
      <c r="H1123" s="2" t="n">
        <v>0</v>
      </c>
      <c r="I1123" s="4" t="n">
        <v>2</v>
      </c>
      <c r="J1123" s="2" t="n">
        <v>0</v>
      </c>
      <c r="K1123" s="2" t="n">
        <v>0</v>
      </c>
      <c r="L1123" s="4" t="n">
        <v>1</v>
      </c>
      <c r="M1123" s="2" t="n">
        <v>0</v>
      </c>
      <c r="N1123" s="2" t="n">
        <v>0</v>
      </c>
      <c r="O1123" s="4" t="n">
        <v>3</v>
      </c>
      <c r="Q1123" s="2" t="n">
        <v>1341</v>
      </c>
      <c r="R1123" s="0" t="s">
        <v>500</v>
      </c>
      <c r="S1123" s="0" t="s">
        <v>9531</v>
      </c>
    </row>
    <row r="1124" customFormat="false" ht="13.8" hidden="false" customHeight="false" outlineLevel="0" collapsed="false">
      <c r="A1124" s="0" t="s">
        <v>304</v>
      </c>
      <c r="B1124" s="0" t="n">
        <v>65</v>
      </c>
      <c r="C1124" s="0" t="s">
        <v>9527</v>
      </c>
      <c r="D1124" s="0" t="s">
        <v>839</v>
      </c>
      <c r="E1124" s="0" t="s">
        <v>360</v>
      </c>
      <c r="F1124" s="4" t="n">
        <v>83</v>
      </c>
      <c r="G1124" s="2" t="n">
        <v>0</v>
      </c>
      <c r="H1124" s="2" t="n">
        <v>0</v>
      </c>
      <c r="I1124" s="4" t="n">
        <v>2</v>
      </c>
      <c r="J1124" s="2" t="n">
        <v>200</v>
      </c>
      <c r="K1124" s="2" t="s">
        <v>143</v>
      </c>
      <c r="L1124" s="4" t="n">
        <v>12</v>
      </c>
      <c r="M1124" s="2" t="n">
        <v>0</v>
      </c>
      <c r="N1124" s="2" t="n">
        <v>0</v>
      </c>
      <c r="O1124" s="4" t="n">
        <v>3</v>
      </c>
      <c r="Q1124" s="2" t="n">
        <v>1342</v>
      </c>
      <c r="R1124" s="0" t="s">
        <v>360</v>
      </c>
      <c r="S1124" s="0" t="s">
        <v>9532</v>
      </c>
    </row>
    <row r="1125" customFormat="false" ht="13.8" hidden="false" customHeight="false" outlineLevel="0" collapsed="false">
      <c r="A1125" s="0" t="s">
        <v>304</v>
      </c>
      <c r="B1125" s="0" t="n">
        <v>65</v>
      </c>
      <c r="C1125" s="0" t="s">
        <v>9527</v>
      </c>
      <c r="D1125" s="0" t="s">
        <v>391</v>
      </c>
      <c r="E1125" s="0" t="s">
        <v>391</v>
      </c>
      <c r="F1125" s="4" t="n">
        <v>95</v>
      </c>
      <c r="G1125" s="2" t="n">
        <v>0</v>
      </c>
      <c r="H1125" s="2" t="n">
        <v>0</v>
      </c>
      <c r="I1125" s="4" t="n">
        <v>2</v>
      </c>
      <c r="J1125" s="2" t="n">
        <v>0.1</v>
      </c>
      <c r="K1125" s="2" t="s">
        <v>20</v>
      </c>
      <c r="L1125" s="4" t="n">
        <v>5</v>
      </c>
      <c r="M1125" s="2" t="n">
        <v>0</v>
      </c>
      <c r="N1125" s="2" t="n">
        <v>0</v>
      </c>
      <c r="O1125" s="4" t="n">
        <v>3</v>
      </c>
      <c r="Q1125" s="2" t="n">
        <v>1343</v>
      </c>
      <c r="R1125" s="0" t="s">
        <v>391</v>
      </c>
      <c r="S1125" s="0" t="s">
        <v>9533</v>
      </c>
    </row>
    <row r="1126" customFormat="false" ht="13.8" hidden="false" customHeight="false" outlineLevel="0" collapsed="false">
      <c r="A1126" s="0" t="s">
        <v>304</v>
      </c>
      <c r="B1126" s="0" t="n">
        <v>65</v>
      </c>
      <c r="C1126" s="0" t="s">
        <v>9527</v>
      </c>
      <c r="D1126" s="0" t="s">
        <v>932</v>
      </c>
      <c r="E1126" s="0" t="s">
        <v>412</v>
      </c>
      <c r="F1126" s="4" t="n">
        <v>117</v>
      </c>
      <c r="G1126" s="2" t="n">
        <v>0</v>
      </c>
      <c r="H1126" s="2" t="n">
        <v>0</v>
      </c>
      <c r="I1126" s="4" t="n">
        <v>2</v>
      </c>
      <c r="J1126" s="2" t="n">
        <v>0.5</v>
      </c>
      <c r="K1126" s="2" t="n">
        <v>0</v>
      </c>
      <c r="L1126" s="4" t="n">
        <v>1</v>
      </c>
      <c r="M1126" s="2" t="n">
        <v>0</v>
      </c>
      <c r="N1126" s="2" t="n">
        <v>0</v>
      </c>
      <c r="O1126" s="4" t="n">
        <v>3</v>
      </c>
      <c r="Q1126" s="2" t="n">
        <v>1344</v>
      </c>
      <c r="R1126" s="0" t="s">
        <v>412</v>
      </c>
      <c r="S1126" s="0" t="s">
        <v>9534</v>
      </c>
    </row>
    <row r="1127" customFormat="false" ht="13.8" hidden="false" customHeight="false" outlineLevel="0" collapsed="false">
      <c r="A1127" s="0" t="s">
        <v>304</v>
      </c>
      <c r="B1127" s="0" t="n">
        <v>65</v>
      </c>
      <c r="C1127" s="0" t="s">
        <v>9527</v>
      </c>
      <c r="D1127" s="0" t="s">
        <v>44</v>
      </c>
      <c r="E1127" s="0" t="s">
        <v>44</v>
      </c>
      <c r="F1127" s="4" t="n">
        <v>187</v>
      </c>
      <c r="G1127" s="2" t="n">
        <v>2</v>
      </c>
      <c r="H1127" s="2" t="s">
        <v>7</v>
      </c>
      <c r="I1127" s="4" t="n">
        <v>2</v>
      </c>
      <c r="J1127" s="2" t="n">
        <v>0</v>
      </c>
      <c r="K1127" s="2" t="n">
        <v>0</v>
      </c>
      <c r="L1127" s="4" t="n">
        <v>1</v>
      </c>
      <c r="M1127" s="2" t="n">
        <v>0</v>
      </c>
      <c r="N1127" s="2" t="n">
        <v>0</v>
      </c>
      <c r="O1127" s="4" t="n">
        <v>3</v>
      </c>
      <c r="Q1127" s="2" t="n">
        <v>1345</v>
      </c>
      <c r="R1127" s="0" t="s">
        <v>44</v>
      </c>
      <c r="S1127" s="0" t="s">
        <v>9535</v>
      </c>
    </row>
    <row r="1128" customFormat="false" ht="13.8" hidden="false" customHeight="false" outlineLevel="0" collapsed="false">
      <c r="A1128" s="0" t="s">
        <v>304</v>
      </c>
      <c r="B1128" s="0" t="n">
        <v>65</v>
      </c>
      <c r="C1128" s="0" t="s">
        <v>9527</v>
      </c>
      <c r="D1128" s="0" t="s">
        <v>470</v>
      </c>
      <c r="E1128" s="0" t="s">
        <v>470</v>
      </c>
      <c r="F1128" s="4" t="n">
        <v>179</v>
      </c>
      <c r="G1128" s="2" t="n">
        <v>0</v>
      </c>
      <c r="H1128" s="2" t="n">
        <v>0</v>
      </c>
      <c r="I1128" s="4" t="n">
        <v>2</v>
      </c>
      <c r="J1128" s="2" t="n">
        <v>0.5</v>
      </c>
      <c r="K1128" s="2" t="s">
        <v>20</v>
      </c>
      <c r="L1128" s="4" t="n">
        <v>5</v>
      </c>
      <c r="M1128" s="2" t="n">
        <v>0</v>
      </c>
      <c r="N1128" s="2" t="n">
        <v>0</v>
      </c>
      <c r="O1128" s="4" t="n">
        <v>3</v>
      </c>
      <c r="Q1128" s="2" t="n">
        <v>1346</v>
      </c>
      <c r="R1128" s="0" t="s">
        <v>470</v>
      </c>
      <c r="S1128" s="0" t="s">
        <v>9536</v>
      </c>
    </row>
    <row r="1129" customFormat="false" ht="13.8" hidden="false" customHeight="false" outlineLevel="0" collapsed="false">
      <c r="A1129" s="0" t="s">
        <v>304</v>
      </c>
      <c r="B1129" s="0" t="n">
        <v>65</v>
      </c>
      <c r="C1129" s="0" t="s">
        <v>9527</v>
      </c>
      <c r="D1129" s="0" t="s">
        <v>933</v>
      </c>
      <c r="E1129" s="0" t="s">
        <v>481</v>
      </c>
      <c r="F1129" s="4" t="n">
        <v>191</v>
      </c>
      <c r="G1129" s="2" t="n">
        <v>0</v>
      </c>
      <c r="H1129" s="2" t="n">
        <v>0</v>
      </c>
      <c r="I1129" s="4" t="n">
        <v>2</v>
      </c>
      <c r="J1129" s="2" t="n">
        <v>1</v>
      </c>
      <c r="K1129" s="2" t="s">
        <v>20</v>
      </c>
      <c r="L1129" s="4" t="n">
        <v>5</v>
      </c>
      <c r="M1129" s="2" t="n">
        <v>0</v>
      </c>
      <c r="N1129" s="2" t="n">
        <v>0</v>
      </c>
      <c r="O1129" s="4" t="n">
        <v>3</v>
      </c>
      <c r="Q1129" s="2" t="n">
        <v>1347</v>
      </c>
      <c r="R1129" s="0" t="s">
        <v>481</v>
      </c>
      <c r="S1129" s="0" t="s">
        <v>9537</v>
      </c>
    </row>
    <row r="1130" customFormat="false" ht="13.8" hidden="false" customHeight="false" outlineLevel="0" collapsed="false">
      <c r="A1130" s="0" t="s">
        <v>304</v>
      </c>
      <c r="B1130" s="0" t="n">
        <v>65</v>
      </c>
      <c r="C1130" s="0" t="s">
        <v>9527</v>
      </c>
      <c r="D1130" s="0" t="s">
        <v>96</v>
      </c>
      <c r="E1130" s="0" t="s">
        <v>96</v>
      </c>
      <c r="F1130" s="4" t="n">
        <v>177</v>
      </c>
      <c r="G1130" s="2" t="n">
        <v>0</v>
      </c>
      <c r="H1130" s="2" t="n">
        <v>0</v>
      </c>
      <c r="I1130" s="4" t="n">
        <v>2</v>
      </c>
      <c r="J1130" s="2" t="n">
        <v>0.7</v>
      </c>
      <c r="K1130" s="2" t="s">
        <v>20</v>
      </c>
      <c r="L1130" s="4" t="n">
        <v>5</v>
      </c>
      <c r="M1130" s="2" t="n">
        <v>0</v>
      </c>
      <c r="N1130" s="2" t="n">
        <v>0</v>
      </c>
      <c r="O1130" s="4" t="n">
        <v>3</v>
      </c>
      <c r="Q1130" s="2" t="n">
        <v>1348</v>
      </c>
      <c r="R1130" s="0" t="s">
        <v>96</v>
      </c>
      <c r="S1130" s="0" t="s">
        <v>9538</v>
      </c>
    </row>
    <row r="1131" customFormat="false" ht="13.8" hidden="false" customHeight="false" outlineLevel="0" collapsed="false">
      <c r="A1131" s="0" t="s">
        <v>304</v>
      </c>
      <c r="B1131" s="0" t="n">
        <v>65</v>
      </c>
      <c r="C1131" s="0" t="s">
        <v>9527</v>
      </c>
      <c r="D1131" s="0" t="s">
        <v>937</v>
      </c>
      <c r="E1131" s="0" t="s">
        <v>429</v>
      </c>
      <c r="F1131" s="4" t="n">
        <v>135</v>
      </c>
      <c r="G1131" s="2" t="n">
        <v>0</v>
      </c>
      <c r="H1131" s="2" t="n">
        <v>0</v>
      </c>
      <c r="I1131" s="4" t="n">
        <v>2</v>
      </c>
      <c r="J1131" s="2" t="n">
        <v>0.5</v>
      </c>
      <c r="K1131" s="2" t="s">
        <v>20</v>
      </c>
      <c r="L1131" s="4" t="n">
        <v>5</v>
      </c>
      <c r="M1131" s="2" t="n">
        <v>0</v>
      </c>
      <c r="N1131" s="2" t="n">
        <v>0</v>
      </c>
      <c r="O1131" s="4" t="n">
        <v>3</v>
      </c>
      <c r="Q1131" s="2" t="n">
        <v>1349</v>
      </c>
      <c r="R1131" s="0" t="s">
        <v>429</v>
      </c>
      <c r="S1131" s="0" t="s">
        <v>9539</v>
      </c>
    </row>
    <row r="1132" customFormat="false" ht="13.8" hidden="false" customHeight="false" outlineLevel="0" collapsed="false">
      <c r="A1132" s="0" t="s">
        <v>304</v>
      </c>
      <c r="B1132" s="0" t="n">
        <v>65</v>
      </c>
      <c r="C1132" s="0" t="s">
        <v>9527</v>
      </c>
      <c r="D1132" s="0" t="s">
        <v>312</v>
      </c>
      <c r="E1132" s="0" t="s">
        <v>312</v>
      </c>
      <c r="F1132" s="4" t="n">
        <v>67</v>
      </c>
      <c r="G1132" s="2" t="n">
        <v>0</v>
      </c>
      <c r="H1132" s="2" t="n">
        <v>0</v>
      </c>
      <c r="I1132" s="4" t="n">
        <v>2</v>
      </c>
      <c r="J1132" s="2" t="n">
        <v>0</v>
      </c>
      <c r="K1132" s="2" t="n">
        <v>0</v>
      </c>
      <c r="L1132" s="4" t="n">
        <v>1</v>
      </c>
      <c r="M1132" s="2" t="n">
        <v>0</v>
      </c>
      <c r="N1132" s="2" t="n">
        <v>0</v>
      </c>
      <c r="O1132" s="4" t="n">
        <v>3</v>
      </c>
      <c r="Q1132" s="2" t="n">
        <v>1350</v>
      </c>
      <c r="R1132" s="0" t="s">
        <v>312</v>
      </c>
      <c r="S1132" s="0" t="s">
        <v>9540</v>
      </c>
    </row>
    <row r="1133" customFormat="false" ht="13.8" hidden="false" customHeight="false" outlineLevel="0" collapsed="false">
      <c r="A1133" s="0" t="s">
        <v>304</v>
      </c>
      <c r="B1133" s="0" t="n">
        <v>65</v>
      </c>
      <c r="C1133" s="0" t="s">
        <v>9527</v>
      </c>
      <c r="D1133" s="0" t="s">
        <v>399</v>
      </c>
      <c r="E1133" s="0" t="s">
        <v>399</v>
      </c>
      <c r="F1133" s="4" t="n">
        <v>103</v>
      </c>
      <c r="G1133" s="2" t="n">
        <v>0</v>
      </c>
      <c r="H1133" s="2" t="n">
        <v>0</v>
      </c>
      <c r="I1133" s="4" t="n">
        <v>2</v>
      </c>
      <c r="J1133" s="2" t="n">
        <v>0</v>
      </c>
      <c r="K1133" s="2" t="n">
        <v>0</v>
      </c>
      <c r="L1133" s="4" t="n">
        <v>1</v>
      </c>
      <c r="M1133" s="2" t="n">
        <v>0</v>
      </c>
      <c r="N1133" s="2" t="n">
        <v>0</v>
      </c>
      <c r="O1133" s="4" t="n">
        <v>3</v>
      </c>
      <c r="Q1133" s="2" t="n">
        <v>1351</v>
      </c>
      <c r="R1133" s="0" t="s">
        <v>399</v>
      </c>
      <c r="S1133" s="0" t="s">
        <v>9541</v>
      </c>
    </row>
    <row r="1134" customFormat="false" ht="13.8" hidden="false" customHeight="false" outlineLevel="0" collapsed="false">
      <c r="A1134" s="0" t="s">
        <v>304</v>
      </c>
      <c r="B1134" s="0" t="n">
        <v>65</v>
      </c>
      <c r="C1134" s="0" t="s">
        <v>9527</v>
      </c>
      <c r="D1134" s="0" t="s">
        <v>351</v>
      </c>
      <c r="E1134" s="0" t="s">
        <v>351</v>
      </c>
      <c r="F1134" s="4" t="n">
        <v>80</v>
      </c>
      <c r="G1134" s="2" t="n">
        <v>0</v>
      </c>
      <c r="H1134" s="2" t="n">
        <v>0</v>
      </c>
      <c r="I1134" s="4" t="n">
        <v>2</v>
      </c>
      <c r="J1134" s="2" t="n">
        <v>0</v>
      </c>
      <c r="K1134" s="2" t="n">
        <v>0</v>
      </c>
      <c r="L1134" s="4" t="n">
        <v>1</v>
      </c>
      <c r="M1134" s="2" t="n">
        <v>0</v>
      </c>
      <c r="N1134" s="2" t="n">
        <v>0</v>
      </c>
      <c r="O1134" s="4" t="n">
        <v>3</v>
      </c>
      <c r="Q1134" s="2" t="n">
        <v>1352</v>
      </c>
      <c r="R1134" s="0" t="s">
        <v>351</v>
      </c>
      <c r="S1134" s="0" t="s">
        <v>9542</v>
      </c>
    </row>
    <row r="1135" customFormat="false" ht="13.8" hidden="false" customHeight="false" outlineLevel="0" collapsed="false">
      <c r="A1135" s="0" t="s">
        <v>184</v>
      </c>
      <c r="B1135" s="0" t="n">
        <v>25</v>
      </c>
      <c r="C1135" s="0" t="s">
        <v>9543</v>
      </c>
      <c r="D1135" s="0" t="s">
        <v>238</v>
      </c>
      <c r="E1135" s="0" t="s">
        <v>423</v>
      </c>
      <c r="F1135" s="4" t="n">
        <v>129</v>
      </c>
      <c r="G1135" s="2" t="n">
        <v>0</v>
      </c>
      <c r="H1135" s="2" t="n">
        <v>0</v>
      </c>
      <c r="I1135" s="4" t="n">
        <v>2</v>
      </c>
      <c r="J1135" s="2" t="n">
        <v>2.5</v>
      </c>
      <c r="K1135" s="2" t="s">
        <v>20</v>
      </c>
      <c r="L1135" s="4" t="n">
        <v>5</v>
      </c>
      <c r="M1135" s="2" t="n">
        <v>0</v>
      </c>
      <c r="N1135" s="2" t="n">
        <v>0</v>
      </c>
      <c r="O1135" s="4" t="n">
        <v>3</v>
      </c>
      <c r="Q1135" s="2" t="n">
        <v>1354</v>
      </c>
      <c r="R1135" s="0" t="s">
        <v>423</v>
      </c>
      <c r="S1135" s="0" t="s">
        <v>9544</v>
      </c>
    </row>
    <row r="1136" customFormat="false" ht="13.8" hidden="false" customHeight="false" outlineLevel="0" collapsed="false">
      <c r="A1136" s="0" t="s">
        <v>184</v>
      </c>
      <c r="B1136" s="0" t="n">
        <v>25</v>
      </c>
      <c r="C1136" s="0" t="s">
        <v>9543</v>
      </c>
      <c r="D1136" s="0" t="s">
        <v>938</v>
      </c>
      <c r="E1136" s="0" t="s">
        <v>102</v>
      </c>
      <c r="F1136" s="4" t="n">
        <v>1</v>
      </c>
      <c r="G1136" s="2" t="n">
        <v>0</v>
      </c>
      <c r="H1136" s="2" t="n">
        <v>0</v>
      </c>
      <c r="I1136" s="4" t="n">
        <v>2</v>
      </c>
      <c r="J1136" s="2" t="n">
        <v>0.5</v>
      </c>
      <c r="K1136" s="2" t="s">
        <v>13</v>
      </c>
      <c r="L1136" s="4" t="n">
        <v>1</v>
      </c>
      <c r="M1136" s="2" t="n">
        <v>0</v>
      </c>
      <c r="N1136" s="2" t="n">
        <v>0</v>
      </c>
      <c r="O1136" s="4" t="n">
        <v>3</v>
      </c>
      <c r="Q1136" s="2" t="n">
        <v>1355</v>
      </c>
      <c r="R1136" s="0" t="s">
        <v>102</v>
      </c>
      <c r="S1136" s="0" t="s">
        <v>9545</v>
      </c>
    </row>
    <row r="1137" customFormat="false" ht="13.8" hidden="false" customHeight="false" outlineLevel="0" collapsed="false">
      <c r="A1137" s="0" t="s">
        <v>184</v>
      </c>
      <c r="B1137" s="0" t="n">
        <v>25</v>
      </c>
      <c r="C1137" s="0" t="s">
        <v>9543</v>
      </c>
      <c r="D1137" s="0" t="s">
        <v>924</v>
      </c>
      <c r="E1137" s="0" t="s">
        <v>294</v>
      </c>
      <c r="F1137" s="4" t="n">
        <v>61</v>
      </c>
      <c r="G1137" s="2" t="n">
        <v>0</v>
      </c>
      <c r="H1137" s="2" t="n">
        <v>0</v>
      </c>
      <c r="I1137" s="4" t="n">
        <v>2</v>
      </c>
      <c r="J1137" s="2" t="n">
        <v>2</v>
      </c>
      <c r="K1137" s="2" t="s">
        <v>20</v>
      </c>
      <c r="L1137" s="4" t="n">
        <v>5</v>
      </c>
      <c r="M1137" s="2" t="n">
        <v>0</v>
      </c>
      <c r="N1137" s="2" t="n">
        <v>0</v>
      </c>
      <c r="O1137" s="4" t="n">
        <v>3</v>
      </c>
      <c r="Q1137" s="2" t="n">
        <v>1356</v>
      </c>
      <c r="R1137" s="0" t="s">
        <v>294</v>
      </c>
      <c r="S1137" s="0" t="s">
        <v>9546</v>
      </c>
    </row>
    <row r="1138" customFormat="false" ht="13.8" hidden="false" customHeight="false" outlineLevel="0" collapsed="false">
      <c r="A1138" s="0" t="s">
        <v>184</v>
      </c>
      <c r="B1138" s="0" t="n">
        <v>25</v>
      </c>
      <c r="C1138" s="0" t="s">
        <v>9543</v>
      </c>
      <c r="D1138" s="0" t="s">
        <v>939</v>
      </c>
      <c r="E1138" s="0" t="s">
        <v>481</v>
      </c>
      <c r="F1138" s="4" t="n">
        <v>191</v>
      </c>
      <c r="G1138" s="2" t="n">
        <v>0</v>
      </c>
      <c r="H1138" s="2" t="n">
        <v>0</v>
      </c>
      <c r="I1138" s="4" t="n">
        <v>2</v>
      </c>
      <c r="J1138" s="2" t="n">
        <v>2</v>
      </c>
      <c r="K1138" s="2" t="s">
        <v>20</v>
      </c>
      <c r="L1138" s="4" t="n">
        <v>5</v>
      </c>
      <c r="M1138" s="2" t="n">
        <v>0</v>
      </c>
      <c r="N1138" s="2" t="n">
        <v>0</v>
      </c>
      <c r="O1138" s="4" t="n">
        <v>3</v>
      </c>
      <c r="Q1138" s="2" t="n">
        <v>1357</v>
      </c>
      <c r="R1138" s="0" t="s">
        <v>481</v>
      </c>
      <c r="S1138" s="0" t="s">
        <v>9547</v>
      </c>
    </row>
    <row r="1139" customFormat="false" ht="13.8" hidden="false" customHeight="false" outlineLevel="0" collapsed="false">
      <c r="A1139" s="0" t="s">
        <v>184</v>
      </c>
      <c r="B1139" s="0" t="n">
        <v>25</v>
      </c>
      <c r="C1139" s="0" t="s">
        <v>9543</v>
      </c>
      <c r="D1139" s="0" t="s">
        <v>940</v>
      </c>
      <c r="E1139" s="0" t="s">
        <v>470</v>
      </c>
      <c r="F1139" s="4" t="n">
        <v>179</v>
      </c>
      <c r="G1139" s="2" t="n">
        <v>350</v>
      </c>
      <c r="H1139" s="2" t="s">
        <v>109</v>
      </c>
      <c r="I1139" s="4" t="n">
        <v>7</v>
      </c>
      <c r="J1139" s="2" t="n">
        <v>0</v>
      </c>
      <c r="K1139" s="2" t="n">
        <v>0</v>
      </c>
      <c r="L1139" s="4" t="n">
        <v>1</v>
      </c>
      <c r="M1139" s="2" t="n">
        <v>0</v>
      </c>
      <c r="N1139" s="2" t="n">
        <v>0</v>
      </c>
      <c r="O1139" s="4" t="n">
        <v>3</v>
      </c>
      <c r="Q1139" s="2" t="n">
        <v>1358</v>
      </c>
      <c r="R1139" s="0" t="s">
        <v>470</v>
      </c>
      <c r="S1139" s="0" t="s">
        <v>9548</v>
      </c>
    </row>
    <row r="1140" customFormat="false" ht="13.8" hidden="false" customHeight="false" outlineLevel="0" collapsed="false">
      <c r="A1140" s="0" t="s">
        <v>184</v>
      </c>
      <c r="B1140" s="0" t="n">
        <v>25</v>
      </c>
      <c r="C1140" s="0" t="s">
        <v>9543</v>
      </c>
      <c r="D1140" s="0" t="s">
        <v>931</v>
      </c>
      <c r="E1140" s="0" t="s">
        <v>44</v>
      </c>
      <c r="F1140" s="4" t="n">
        <v>187</v>
      </c>
      <c r="G1140" s="2" t="n">
        <v>3.5</v>
      </c>
      <c r="H1140" s="2" t="s">
        <v>7</v>
      </c>
      <c r="I1140" s="4" t="n">
        <v>2</v>
      </c>
      <c r="J1140" s="2" t="n">
        <v>0</v>
      </c>
      <c r="K1140" s="2" t="n">
        <v>0</v>
      </c>
      <c r="L1140" s="4" t="n">
        <v>1</v>
      </c>
      <c r="M1140" s="2" t="n">
        <v>0</v>
      </c>
      <c r="N1140" s="2" t="n">
        <v>0</v>
      </c>
      <c r="O1140" s="4" t="n">
        <v>3</v>
      </c>
      <c r="Q1140" s="2" t="n">
        <v>1359</v>
      </c>
      <c r="R1140" s="0" t="s">
        <v>44</v>
      </c>
      <c r="S1140" s="0" t="s">
        <v>9549</v>
      </c>
    </row>
    <row r="1141" customFormat="false" ht="13.8" hidden="false" customHeight="false" outlineLevel="0" collapsed="false">
      <c r="A1141" s="0" t="s">
        <v>286</v>
      </c>
      <c r="B1141" s="0" t="n">
        <v>59</v>
      </c>
      <c r="C1141" s="0" t="s">
        <v>9510</v>
      </c>
      <c r="D1141" s="0" t="s">
        <v>678</v>
      </c>
      <c r="E1141" s="0" t="s">
        <v>130</v>
      </c>
      <c r="F1141" s="4" t="n">
        <v>8</v>
      </c>
      <c r="G1141" s="2" t="n">
        <v>30</v>
      </c>
      <c r="H1141" s="2" t="s">
        <v>7</v>
      </c>
      <c r="I1141" s="4" t="n">
        <v>2</v>
      </c>
      <c r="J1141" s="2" t="n">
        <v>0</v>
      </c>
      <c r="K1141" s="2" t="n">
        <v>0</v>
      </c>
      <c r="L1141" s="4" t="n">
        <v>1</v>
      </c>
      <c r="M1141" s="2" t="n">
        <v>0</v>
      </c>
      <c r="N1141" s="2" t="n">
        <v>0</v>
      </c>
      <c r="O1141" s="4" t="n">
        <v>3</v>
      </c>
      <c r="Q1141" s="2" t="n">
        <v>1361</v>
      </c>
      <c r="R1141" s="0" t="s">
        <v>130</v>
      </c>
      <c r="S1141" s="0" t="s">
        <v>9550</v>
      </c>
    </row>
    <row r="1142" customFormat="false" ht="13.8" hidden="false" customHeight="false" outlineLevel="0" collapsed="false">
      <c r="A1142" s="0" t="s">
        <v>286</v>
      </c>
      <c r="B1142" s="0" t="n">
        <v>59</v>
      </c>
      <c r="C1142" s="0" t="s">
        <v>9510</v>
      </c>
      <c r="D1142" s="0" t="s">
        <v>790</v>
      </c>
      <c r="E1142" s="0" t="s">
        <v>374</v>
      </c>
      <c r="F1142" s="4" t="n">
        <v>88</v>
      </c>
      <c r="G1142" s="2" t="n">
        <v>8</v>
      </c>
      <c r="H1142" s="2" t="s">
        <v>7</v>
      </c>
      <c r="I1142" s="4" t="n">
        <v>2</v>
      </c>
      <c r="J1142" s="2" t="n">
        <v>0</v>
      </c>
      <c r="K1142" s="2" t="n">
        <v>0</v>
      </c>
      <c r="L1142" s="4" t="n">
        <v>1</v>
      </c>
      <c r="M1142" s="2" t="n">
        <v>0</v>
      </c>
      <c r="N1142" s="2" t="n">
        <v>0</v>
      </c>
      <c r="O1142" s="4" t="n">
        <v>3</v>
      </c>
      <c r="P1142" s="0" t="s">
        <v>941</v>
      </c>
      <c r="Q1142" s="2" t="n">
        <v>1362</v>
      </c>
      <c r="R1142" s="0" t="s">
        <v>374</v>
      </c>
      <c r="S1142" s="0" t="s">
        <v>9551</v>
      </c>
    </row>
    <row r="1143" customFormat="false" ht="13.8" hidden="false" customHeight="false" outlineLevel="0" collapsed="false">
      <c r="A1143" s="0" t="s">
        <v>286</v>
      </c>
      <c r="B1143" s="0" t="n">
        <v>59</v>
      </c>
      <c r="C1143" s="0" t="s">
        <v>9510</v>
      </c>
      <c r="D1143" s="0" t="s">
        <v>715</v>
      </c>
      <c r="E1143" s="0" t="s">
        <v>237</v>
      </c>
      <c r="F1143" s="4" t="n">
        <v>42</v>
      </c>
      <c r="G1143" s="2" t="n">
        <v>6</v>
      </c>
      <c r="H1143" s="2" t="s">
        <v>7</v>
      </c>
      <c r="I1143" s="4" t="n">
        <v>2</v>
      </c>
      <c r="J1143" s="2" t="n">
        <v>0</v>
      </c>
      <c r="K1143" s="2" t="n">
        <v>0</v>
      </c>
      <c r="L1143" s="4" t="n">
        <v>1</v>
      </c>
      <c r="M1143" s="2" t="n">
        <v>0</v>
      </c>
      <c r="N1143" s="2" t="n">
        <v>0</v>
      </c>
      <c r="O1143" s="4" t="n">
        <v>3</v>
      </c>
      <c r="P1143" s="0" t="s">
        <v>942</v>
      </c>
      <c r="Q1143" s="2" t="n">
        <v>1363</v>
      </c>
      <c r="R1143" s="0" t="s">
        <v>237</v>
      </c>
      <c r="S1143" s="0" t="s">
        <v>9552</v>
      </c>
    </row>
    <row r="1144" customFormat="false" ht="13.8" hidden="false" customHeight="false" outlineLevel="0" collapsed="false">
      <c r="A1144" s="0" t="s">
        <v>286</v>
      </c>
      <c r="B1144" s="0" t="n">
        <v>59</v>
      </c>
      <c r="C1144" s="0" t="s">
        <v>9510</v>
      </c>
      <c r="D1144" s="0" t="s">
        <v>943</v>
      </c>
      <c r="E1144" s="0" t="s">
        <v>243</v>
      </c>
      <c r="F1144" s="4" t="n">
        <v>44</v>
      </c>
      <c r="G1144" s="2" t="n">
        <v>6</v>
      </c>
      <c r="H1144" s="2" t="s">
        <v>7</v>
      </c>
      <c r="I1144" s="4" t="n">
        <v>2</v>
      </c>
      <c r="J1144" s="2" t="n">
        <v>0</v>
      </c>
      <c r="K1144" s="2" t="n">
        <v>0</v>
      </c>
      <c r="L1144" s="4" t="n">
        <v>1</v>
      </c>
      <c r="M1144" s="2" t="n">
        <v>0</v>
      </c>
      <c r="N1144" s="2" t="n">
        <v>0</v>
      </c>
      <c r="O1144" s="4" t="n">
        <v>3</v>
      </c>
      <c r="P1144" s="0" t="s">
        <v>944</v>
      </c>
      <c r="Q1144" s="2" t="n">
        <v>1364</v>
      </c>
      <c r="R1144" s="0" t="s">
        <v>243</v>
      </c>
      <c r="S1144" s="0" t="s">
        <v>9553</v>
      </c>
    </row>
    <row r="1145" customFormat="false" ht="13.8" hidden="false" customHeight="false" outlineLevel="0" collapsed="false">
      <c r="A1145" s="0" t="s">
        <v>286</v>
      </c>
      <c r="B1145" s="0" t="n">
        <v>59</v>
      </c>
      <c r="C1145" s="0" t="s">
        <v>9510</v>
      </c>
      <c r="D1145" s="0" t="s">
        <v>21</v>
      </c>
      <c r="E1145" s="0" t="s">
        <v>485</v>
      </c>
      <c r="F1145" s="4" t="n">
        <v>195</v>
      </c>
      <c r="G1145" s="2" t="n">
        <v>20</v>
      </c>
      <c r="H1145" s="2" t="s">
        <v>7</v>
      </c>
      <c r="I1145" s="4" t="n">
        <v>2</v>
      </c>
      <c r="J1145" s="2" t="n">
        <v>0</v>
      </c>
      <c r="K1145" s="2" t="n">
        <v>0</v>
      </c>
      <c r="L1145" s="4" t="n">
        <v>1</v>
      </c>
      <c r="M1145" s="2" t="n">
        <v>0</v>
      </c>
      <c r="N1145" s="2" t="n">
        <v>0</v>
      </c>
      <c r="O1145" s="4" t="n">
        <v>3</v>
      </c>
      <c r="Q1145" s="2" t="n">
        <v>1365</v>
      </c>
      <c r="R1145" s="0" t="s">
        <v>485</v>
      </c>
      <c r="S1145" s="0" t="s">
        <v>9554</v>
      </c>
    </row>
    <row r="1146" customFormat="false" ht="13.8" hidden="false" customHeight="false" outlineLevel="0" collapsed="false">
      <c r="A1146" s="0" t="s">
        <v>286</v>
      </c>
      <c r="B1146" s="0" t="n">
        <v>59</v>
      </c>
      <c r="C1146" s="0" t="s">
        <v>9510</v>
      </c>
      <c r="D1146" s="0" t="s">
        <v>945</v>
      </c>
      <c r="E1146" s="0" t="s">
        <v>102</v>
      </c>
      <c r="F1146" s="4" t="n">
        <v>1</v>
      </c>
      <c r="G1146" s="2" t="n">
        <v>0</v>
      </c>
      <c r="H1146" s="2" t="n">
        <v>0</v>
      </c>
      <c r="I1146" s="4" t="n">
        <v>2</v>
      </c>
      <c r="J1146" s="2" t="n">
        <v>1</v>
      </c>
      <c r="K1146" s="2" t="s">
        <v>13</v>
      </c>
      <c r="L1146" s="4" t="n">
        <v>1</v>
      </c>
      <c r="M1146" s="2" t="n">
        <v>0</v>
      </c>
      <c r="N1146" s="2" t="n">
        <v>0</v>
      </c>
      <c r="O1146" s="4" t="n">
        <v>3</v>
      </c>
      <c r="P1146" s="0" t="s">
        <v>946</v>
      </c>
      <c r="Q1146" s="2" t="n">
        <v>1366</v>
      </c>
      <c r="R1146" s="0" t="s">
        <v>102</v>
      </c>
      <c r="S1146" s="0" t="s">
        <v>9555</v>
      </c>
    </row>
    <row r="1147" customFormat="false" ht="13.8" hidden="false" customHeight="false" outlineLevel="0" collapsed="false">
      <c r="A1147" s="0" t="s">
        <v>286</v>
      </c>
      <c r="B1147" s="0" t="n">
        <v>59</v>
      </c>
      <c r="C1147" s="0" t="s">
        <v>9510</v>
      </c>
      <c r="D1147" s="0" t="s">
        <v>947</v>
      </c>
      <c r="E1147" s="0" t="s">
        <v>393</v>
      </c>
      <c r="F1147" s="4" t="n">
        <v>97</v>
      </c>
      <c r="G1147" s="2" t="n">
        <v>0</v>
      </c>
      <c r="H1147" s="2" t="n">
        <v>0</v>
      </c>
      <c r="I1147" s="4" t="n">
        <v>2</v>
      </c>
      <c r="J1147" s="2" t="n">
        <v>16</v>
      </c>
      <c r="K1147" s="2" t="s">
        <v>13</v>
      </c>
      <c r="L1147" s="4" t="n">
        <v>1</v>
      </c>
      <c r="M1147" s="2" t="n">
        <v>0</v>
      </c>
      <c r="N1147" s="2" t="n">
        <v>0</v>
      </c>
      <c r="O1147" s="4" t="n">
        <v>3</v>
      </c>
      <c r="P1147" s="0" t="s">
        <v>948</v>
      </c>
      <c r="Q1147" s="2" t="n">
        <v>1367</v>
      </c>
      <c r="R1147" s="0" t="s">
        <v>393</v>
      </c>
      <c r="S1147" s="0" t="s">
        <v>9556</v>
      </c>
    </row>
    <row r="1148" customFormat="false" ht="13.8" hidden="false" customHeight="false" outlineLevel="0" collapsed="false">
      <c r="A1148" s="0" t="s">
        <v>286</v>
      </c>
      <c r="B1148" s="0" t="n">
        <v>59</v>
      </c>
      <c r="C1148" s="0" t="s">
        <v>9510</v>
      </c>
      <c r="D1148" s="0" t="s">
        <v>949</v>
      </c>
      <c r="E1148" s="0" t="s">
        <v>386</v>
      </c>
      <c r="F1148" s="4" t="n">
        <v>93</v>
      </c>
      <c r="G1148" s="2" t="n">
        <v>0</v>
      </c>
      <c r="H1148" s="2" t="n">
        <v>0</v>
      </c>
      <c r="I1148" s="4" t="n">
        <v>2</v>
      </c>
      <c r="J1148" s="2" t="n">
        <v>0.2</v>
      </c>
      <c r="K1148" s="2" t="s">
        <v>20</v>
      </c>
      <c r="L1148" s="4" t="n">
        <v>5</v>
      </c>
      <c r="M1148" s="2" t="n">
        <v>0</v>
      </c>
      <c r="N1148" s="2" t="n">
        <v>0</v>
      </c>
      <c r="O1148" s="4" t="n">
        <v>3</v>
      </c>
      <c r="P1148" s="0" t="s">
        <v>950</v>
      </c>
      <c r="Q1148" s="2" t="n">
        <v>1368</v>
      </c>
      <c r="R1148" s="0" t="s">
        <v>386</v>
      </c>
      <c r="S1148" s="0" t="s">
        <v>9557</v>
      </c>
    </row>
    <row r="1149" customFormat="false" ht="13.8" hidden="false" customHeight="false" outlineLevel="0" collapsed="false">
      <c r="A1149" s="0" t="s">
        <v>286</v>
      </c>
      <c r="B1149" s="0" t="n">
        <v>59</v>
      </c>
      <c r="C1149" s="0" t="s">
        <v>9510</v>
      </c>
      <c r="D1149" s="0" t="s">
        <v>238</v>
      </c>
      <c r="E1149" s="0" t="s">
        <v>423</v>
      </c>
      <c r="F1149" s="4" t="n">
        <v>129</v>
      </c>
      <c r="G1149" s="2" t="n">
        <v>0</v>
      </c>
      <c r="H1149" s="2" t="n">
        <v>0</v>
      </c>
      <c r="I1149" s="4" t="n">
        <v>2</v>
      </c>
      <c r="J1149" s="2" t="n">
        <v>0.5</v>
      </c>
      <c r="K1149" s="2" t="s">
        <v>13</v>
      </c>
      <c r="L1149" s="4" t="n">
        <v>1</v>
      </c>
      <c r="M1149" s="2" t="n">
        <v>0</v>
      </c>
      <c r="N1149" s="2" t="n">
        <v>0</v>
      </c>
      <c r="O1149" s="4" t="n">
        <v>3</v>
      </c>
      <c r="Q1149" s="2" t="n">
        <v>1369</v>
      </c>
      <c r="R1149" s="0" t="s">
        <v>423</v>
      </c>
      <c r="S1149" s="0" t="s">
        <v>9558</v>
      </c>
    </row>
    <row r="1150" customFormat="false" ht="13.8" hidden="false" customHeight="false" outlineLevel="0" collapsed="false">
      <c r="A1150" s="0" t="s">
        <v>286</v>
      </c>
      <c r="B1150" s="0" t="n">
        <v>59</v>
      </c>
      <c r="C1150" s="0" t="s">
        <v>9510</v>
      </c>
      <c r="D1150" s="0" t="s">
        <v>951</v>
      </c>
      <c r="E1150" s="0" t="s">
        <v>309</v>
      </c>
      <c r="F1150" s="4" t="n">
        <v>66</v>
      </c>
      <c r="G1150" s="2" t="n">
        <v>0</v>
      </c>
      <c r="H1150" s="2" t="n">
        <v>0</v>
      </c>
      <c r="I1150" s="4" t="n">
        <v>2</v>
      </c>
      <c r="J1150" s="2" t="n">
        <v>2</v>
      </c>
      <c r="K1150" s="2" t="s">
        <v>13</v>
      </c>
      <c r="L1150" s="4" t="n">
        <v>1</v>
      </c>
      <c r="M1150" s="2" t="n">
        <v>0</v>
      </c>
      <c r="N1150" s="2" t="n">
        <v>0</v>
      </c>
      <c r="O1150" s="4" t="n">
        <v>3</v>
      </c>
      <c r="P1150" s="0" t="s">
        <v>952</v>
      </c>
      <c r="Q1150" s="2" t="n">
        <v>1370</v>
      </c>
      <c r="R1150" s="0" t="s">
        <v>309</v>
      </c>
      <c r="S1150" s="0" t="s">
        <v>9559</v>
      </c>
    </row>
    <row r="1151" customFormat="false" ht="13.8" hidden="false" customHeight="false" outlineLevel="0" collapsed="false">
      <c r="A1151" s="0" t="s">
        <v>286</v>
      </c>
      <c r="B1151" s="0" t="n">
        <v>59</v>
      </c>
      <c r="C1151" s="0" t="s">
        <v>9510</v>
      </c>
      <c r="D1151" s="0" t="s">
        <v>645</v>
      </c>
      <c r="E1151" s="0" t="s">
        <v>354</v>
      </c>
      <c r="F1151" s="4" t="n">
        <v>81</v>
      </c>
      <c r="G1151" s="2" t="n">
        <v>0</v>
      </c>
      <c r="H1151" s="2" t="n">
        <v>0</v>
      </c>
      <c r="I1151" s="4" t="n">
        <v>2</v>
      </c>
      <c r="J1151" s="2" t="n">
        <v>2</v>
      </c>
      <c r="K1151" s="2" t="s">
        <v>13</v>
      </c>
      <c r="L1151" s="4" t="n">
        <v>1</v>
      </c>
      <c r="M1151" s="2" t="n">
        <v>0</v>
      </c>
      <c r="N1151" s="2" t="n">
        <v>0</v>
      </c>
      <c r="O1151" s="4" t="n">
        <v>3</v>
      </c>
      <c r="Q1151" s="2" t="n">
        <v>1371</v>
      </c>
      <c r="R1151" s="0" t="s">
        <v>354</v>
      </c>
      <c r="S1151" s="0" t="s">
        <v>9560</v>
      </c>
    </row>
    <row r="1152" customFormat="false" ht="13.8" hidden="false" customHeight="false" outlineLevel="0" collapsed="false">
      <c r="A1152" s="0" t="s">
        <v>286</v>
      </c>
      <c r="B1152" s="0" t="n">
        <v>59</v>
      </c>
      <c r="C1152" s="0" t="s">
        <v>9510</v>
      </c>
      <c r="D1152" s="0" t="s">
        <v>953</v>
      </c>
      <c r="E1152" s="0" t="s">
        <v>412</v>
      </c>
      <c r="F1152" s="4" t="n">
        <v>117</v>
      </c>
      <c r="G1152" s="2" t="n">
        <v>200</v>
      </c>
      <c r="H1152" s="2" t="s">
        <v>109</v>
      </c>
      <c r="I1152" s="4" t="n">
        <v>7</v>
      </c>
      <c r="J1152" s="2" t="n">
        <v>0</v>
      </c>
      <c r="K1152" s="2" t="n">
        <v>0</v>
      </c>
      <c r="L1152" s="4" t="n">
        <v>1</v>
      </c>
      <c r="M1152" s="2" t="n">
        <v>0</v>
      </c>
      <c r="N1152" s="2" t="n">
        <v>0</v>
      </c>
      <c r="O1152" s="4" t="n">
        <v>3</v>
      </c>
      <c r="Q1152" s="2" t="n">
        <v>1372</v>
      </c>
      <c r="R1152" s="0" t="s">
        <v>412</v>
      </c>
      <c r="S1152" s="0" t="s">
        <v>9561</v>
      </c>
    </row>
    <row r="1153" customFormat="false" ht="13.8" hidden="false" customHeight="false" outlineLevel="0" collapsed="false">
      <c r="A1153" s="0" t="s">
        <v>286</v>
      </c>
      <c r="B1153" s="0" t="n">
        <v>59</v>
      </c>
      <c r="C1153" s="0" t="s">
        <v>9510</v>
      </c>
      <c r="D1153" s="0" t="s">
        <v>954</v>
      </c>
      <c r="E1153" s="0" t="s">
        <v>452</v>
      </c>
      <c r="F1153" s="4" t="n">
        <v>160</v>
      </c>
      <c r="G1153" s="2" t="n">
        <v>0</v>
      </c>
      <c r="H1153" s="2" t="n">
        <v>0</v>
      </c>
      <c r="I1153" s="4" t="n">
        <v>2</v>
      </c>
      <c r="J1153" s="2" t="n">
        <v>1</v>
      </c>
      <c r="K1153" s="2" t="s">
        <v>13</v>
      </c>
      <c r="L1153" s="4" t="n">
        <v>1</v>
      </c>
      <c r="M1153" s="2" t="n">
        <v>0</v>
      </c>
      <c r="N1153" s="2" t="n">
        <v>0</v>
      </c>
      <c r="O1153" s="4" t="n">
        <v>3</v>
      </c>
      <c r="Q1153" s="2" t="n">
        <v>1373</v>
      </c>
      <c r="R1153" s="0" t="s">
        <v>452</v>
      </c>
      <c r="S1153" s="0" t="s">
        <v>9562</v>
      </c>
    </row>
    <row r="1154" customFormat="false" ht="13.8" hidden="false" customHeight="false" outlineLevel="0" collapsed="false">
      <c r="A1154" s="0" t="s">
        <v>286</v>
      </c>
      <c r="B1154" s="0" t="n">
        <v>59</v>
      </c>
      <c r="C1154" s="0" t="s">
        <v>9510</v>
      </c>
      <c r="D1154" s="0" t="s">
        <v>658</v>
      </c>
      <c r="E1154" s="0" t="s">
        <v>96</v>
      </c>
      <c r="F1154" s="4" t="n">
        <v>177</v>
      </c>
      <c r="G1154" s="2" t="n">
        <v>0</v>
      </c>
      <c r="H1154" s="2" t="n">
        <v>0</v>
      </c>
      <c r="I1154" s="4" t="n">
        <v>2</v>
      </c>
      <c r="J1154" s="2" t="n">
        <v>3</v>
      </c>
      <c r="K1154" s="2" t="s">
        <v>20</v>
      </c>
      <c r="L1154" s="4" t="n">
        <v>5</v>
      </c>
      <c r="M1154" s="2" t="n">
        <v>0</v>
      </c>
      <c r="N1154" s="2" t="n">
        <v>0</v>
      </c>
      <c r="O1154" s="4" t="n">
        <v>3</v>
      </c>
      <c r="Q1154" s="2" t="n">
        <v>1374</v>
      </c>
      <c r="R1154" s="0" t="s">
        <v>96</v>
      </c>
      <c r="S1154" s="0" t="s">
        <v>9563</v>
      </c>
    </row>
    <row r="1155" customFormat="false" ht="13.8" hidden="false" customHeight="false" outlineLevel="0" collapsed="false">
      <c r="A1155" s="0" t="s">
        <v>286</v>
      </c>
      <c r="B1155" s="0" t="n">
        <v>59</v>
      </c>
      <c r="C1155" s="0" t="s">
        <v>9510</v>
      </c>
      <c r="D1155" s="0" t="s">
        <v>556</v>
      </c>
      <c r="E1155" s="0" t="s">
        <v>225</v>
      </c>
      <c r="F1155" s="4" t="n">
        <v>38</v>
      </c>
      <c r="G1155" s="2" t="n">
        <v>2</v>
      </c>
      <c r="H1155" s="2" t="s">
        <v>7</v>
      </c>
      <c r="I1155" s="4" t="n">
        <v>2</v>
      </c>
      <c r="J1155" s="2" t="n">
        <v>0</v>
      </c>
      <c r="K1155" s="2" t="n">
        <v>0</v>
      </c>
      <c r="L1155" s="4" t="n">
        <v>1</v>
      </c>
      <c r="M1155" s="2" t="n">
        <v>0</v>
      </c>
      <c r="N1155" s="2" t="n">
        <v>0</v>
      </c>
      <c r="O1155" s="4" t="n">
        <v>3</v>
      </c>
      <c r="Q1155" s="2" t="n">
        <v>1375</v>
      </c>
      <c r="R1155" s="0" t="s">
        <v>225</v>
      </c>
      <c r="S1155" s="0" t="s">
        <v>9564</v>
      </c>
    </row>
    <row r="1156" customFormat="false" ht="13.8" hidden="false" customHeight="false" outlineLevel="0" collapsed="false">
      <c r="A1156" s="0" t="s">
        <v>262</v>
      </c>
      <c r="B1156" s="0" t="n">
        <v>51</v>
      </c>
      <c r="C1156" s="0" t="s">
        <v>9565</v>
      </c>
      <c r="D1156" s="0" t="s">
        <v>844</v>
      </c>
      <c r="E1156" s="0" t="s">
        <v>462</v>
      </c>
      <c r="F1156" s="4" t="n">
        <v>170</v>
      </c>
      <c r="G1156" s="2" t="n">
        <v>25</v>
      </c>
      <c r="H1156" s="2" t="s">
        <v>7</v>
      </c>
      <c r="I1156" s="4" t="n">
        <v>2</v>
      </c>
      <c r="J1156" s="2" t="n">
        <v>0</v>
      </c>
      <c r="K1156" s="2" t="n">
        <v>0</v>
      </c>
      <c r="L1156" s="4" t="n">
        <v>1</v>
      </c>
      <c r="M1156" s="2" t="n">
        <v>0</v>
      </c>
      <c r="N1156" s="2" t="n">
        <v>0</v>
      </c>
      <c r="O1156" s="4" t="n">
        <v>3</v>
      </c>
      <c r="Q1156" s="2" t="n">
        <v>1377</v>
      </c>
      <c r="R1156" s="0" t="s">
        <v>462</v>
      </c>
      <c r="S1156" s="0" t="s">
        <v>9566</v>
      </c>
    </row>
    <row r="1157" customFormat="false" ht="13.8" hidden="false" customHeight="false" outlineLevel="0" collapsed="false">
      <c r="A1157" s="0" t="s">
        <v>262</v>
      </c>
      <c r="B1157" s="0" t="n">
        <v>51</v>
      </c>
      <c r="C1157" s="0" t="s">
        <v>9565</v>
      </c>
      <c r="D1157" s="0" t="s">
        <v>700</v>
      </c>
      <c r="E1157" s="0" t="s">
        <v>499</v>
      </c>
      <c r="F1157" s="4" t="n">
        <v>210</v>
      </c>
      <c r="G1157" s="2" t="n">
        <v>10</v>
      </c>
      <c r="H1157" s="2" t="s">
        <v>7</v>
      </c>
      <c r="I1157" s="4" t="n">
        <v>2</v>
      </c>
      <c r="J1157" s="2" t="n">
        <v>0</v>
      </c>
      <c r="K1157" s="2" t="n">
        <v>0</v>
      </c>
      <c r="L1157" s="4" t="n">
        <v>1</v>
      </c>
      <c r="M1157" s="2" t="n">
        <v>0</v>
      </c>
      <c r="N1157" s="2" t="n">
        <v>0</v>
      </c>
      <c r="O1157" s="4" t="n">
        <v>3</v>
      </c>
      <c r="Q1157" s="2" t="n">
        <v>1378</v>
      </c>
      <c r="R1157" s="0" t="s">
        <v>499</v>
      </c>
      <c r="S1157" s="0" t="s">
        <v>9567</v>
      </c>
    </row>
    <row r="1158" customFormat="false" ht="13.8" hidden="false" customHeight="false" outlineLevel="0" collapsed="false">
      <c r="A1158" s="0" t="s">
        <v>262</v>
      </c>
      <c r="B1158" s="0" t="n">
        <v>51</v>
      </c>
      <c r="C1158" s="0" t="s">
        <v>9565</v>
      </c>
      <c r="D1158" s="0" t="s">
        <v>955</v>
      </c>
      <c r="E1158" s="0" t="s">
        <v>478</v>
      </c>
      <c r="F1158" s="4" t="n">
        <v>188</v>
      </c>
      <c r="G1158" s="2" t="n">
        <v>8</v>
      </c>
      <c r="H1158" s="2" t="s">
        <v>7</v>
      </c>
      <c r="I1158" s="4" t="n">
        <v>2</v>
      </c>
      <c r="J1158" s="2" t="n">
        <v>0</v>
      </c>
      <c r="K1158" s="2" t="n">
        <v>0</v>
      </c>
      <c r="L1158" s="4" t="n">
        <v>1</v>
      </c>
      <c r="M1158" s="2" t="n">
        <v>0</v>
      </c>
      <c r="N1158" s="2" t="n">
        <v>0</v>
      </c>
      <c r="O1158" s="4" t="n">
        <v>3</v>
      </c>
      <c r="Q1158" s="2" t="n">
        <v>1379</v>
      </c>
      <c r="R1158" s="0" t="s">
        <v>478</v>
      </c>
      <c r="S1158" s="0" t="s">
        <v>9568</v>
      </c>
    </row>
    <row r="1159" customFormat="false" ht="13.8" hidden="false" customHeight="false" outlineLevel="0" collapsed="false">
      <c r="A1159" s="0" t="s">
        <v>262</v>
      </c>
      <c r="B1159" s="0" t="n">
        <v>51</v>
      </c>
      <c r="C1159" s="0" t="s">
        <v>9565</v>
      </c>
      <c r="D1159" s="0" t="s">
        <v>956</v>
      </c>
      <c r="E1159" s="0" t="s">
        <v>183</v>
      </c>
      <c r="F1159" s="4" t="n">
        <v>24</v>
      </c>
      <c r="G1159" s="2" t="n">
        <v>1.5</v>
      </c>
      <c r="H1159" s="2" t="s">
        <v>7</v>
      </c>
      <c r="I1159" s="4" t="n">
        <v>2</v>
      </c>
      <c r="J1159" s="2" t="n">
        <v>0</v>
      </c>
      <c r="K1159" s="2" t="n">
        <v>0</v>
      </c>
      <c r="L1159" s="4" t="n">
        <v>1</v>
      </c>
      <c r="M1159" s="2" t="n">
        <v>0</v>
      </c>
      <c r="N1159" s="2" t="n">
        <v>0</v>
      </c>
      <c r="O1159" s="4" t="n">
        <v>3</v>
      </c>
      <c r="Q1159" s="2" t="n">
        <v>1380</v>
      </c>
      <c r="R1159" s="0" t="s">
        <v>183</v>
      </c>
      <c r="S1159" s="0" t="s">
        <v>9569</v>
      </c>
    </row>
    <row r="1160" customFormat="false" ht="13.8" hidden="false" customHeight="false" outlineLevel="0" collapsed="false">
      <c r="A1160" s="0" t="s">
        <v>262</v>
      </c>
      <c r="B1160" s="0" t="n">
        <v>51</v>
      </c>
      <c r="C1160" s="0" t="s">
        <v>9565</v>
      </c>
      <c r="D1160" s="0" t="s">
        <v>957</v>
      </c>
      <c r="E1160" s="0" t="s">
        <v>485</v>
      </c>
      <c r="F1160" s="4" t="n">
        <v>195</v>
      </c>
      <c r="G1160" s="2" t="n">
        <v>15</v>
      </c>
      <c r="H1160" s="2" t="s">
        <v>7</v>
      </c>
      <c r="I1160" s="4" t="n">
        <v>2</v>
      </c>
      <c r="J1160" s="2" t="n">
        <v>0</v>
      </c>
      <c r="K1160" s="2" t="n">
        <v>0</v>
      </c>
      <c r="L1160" s="4" t="n">
        <v>1</v>
      </c>
      <c r="M1160" s="2" t="n">
        <v>0</v>
      </c>
      <c r="N1160" s="2" t="n">
        <v>0</v>
      </c>
      <c r="O1160" s="4" t="n">
        <v>3</v>
      </c>
      <c r="Q1160" s="2" t="n">
        <v>1381</v>
      </c>
      <c r="R1160" s="0" t="s">
        <v>485</v>
      </c>
      <c r="S1160" s="0" t="s">
        <v>9570</v>
      </c>
    </row>
    <row r="1161" customFormat="false" ht="13.8" hidden="false" customHeight="false" outlineLevel="0" collapsed="false">
      <c r="A1161" s="0" t="s">
        <v>262</v>
      </c>
      <c r="B1161" s="0" t="n">
        <v>51</v>
      </c>
      <c r="C1161" s="0" t="s">
        <v>9565</v>
      </c>
      <c r="D1161" s="0" t="s">
        <v>958</v>
      </c>
      <c r="E1161" s="0" t="s">
        <v>386</v>
      </c>
      <c r="F1161" s="4" t="n">
        <v>93</v>
      </c>
      <c r="G1161" s="2" t="n">
        <v>0</v>
      </c>
      <c r="H1161" s="2" t="n">
        <v>0</v>
      </c>
      <c r="I1161" s="4" t="n">
        <v>2</v>
      </c>
      <c r="J1161" s="2" t="n">
        <v>0.5</v>
      </c>
      <c r="K1161" s="2" t="s">
        <v>13</v>
      </c>
      <c r="L1161" s="4" t="n">
        <v>1</v>
      </c>
      <c r="M1161" s="2" t="n">
        <v>0</v>
      </c>
      <c r="N1161" s="2" t="n">
        <v>0</v>
      </c>
      <c r="O1161" s="4" t="n">
        <v>3</v>
      </c>
      <c r="Q1161" s="2" t="n">
        <v>1382</v>
      </c>
      <c r="R1161" s="0" t="s">
        <v>386</v>
      </c>
      <c r="S1161" s="0" t="s">
        <v>9571</v>
      </c>
    </row>
    <row r="1162" customFormat="false" ht="13.8" hidden="false" customHeight="false" outlineLevel="0" collapsed="false">
      <c r="A1162" s="0" t="s">
        <v>262</v>
      </c>
      <c r="B1162" s="0" t="n">
        <v>51</v>
      </c>
      <c r="C1162" s="0" t="s">
        <v>9565</v>
      </c>
      <c r="D1162" s="0" t="s">
        <v>959</v>
      </c>
      <c r="E1162" s="0" t="s">
        <v>204</v>
      </c>
      <c r="F1162" s="4" t="n">
        <v>31</v>
      </c>
      <c r="G1162" s="2" t="n">
        <v>0</v>
      </c>
      <c r="H1162" s="2" t="n">
        <v>0</v>
      </c>
      <c r="I1162" s="4" t="n">
        <v>2</v>
      </c>
      <c r="J1162" s="2" t="n">
        <v>0.3</v>
      </c>
      <c r="K1162" s="2" t="s">
        <v>20</v>
      </c>
      <c r="L1162" s="4" t="n">
        <v>5</v>
      </c>
      <c r="M1162" s="2" t="n">
        <v>0</v>
      </c>
      <c r="N1162" s="2" t="n">
        <v>0</v>
      </c>
      <c r="O1162" s="4" t="n">
        <v>3</v>
      </c>
      <c r="Q1162" s="2" t="n">
        <v>1383</v>
      </c>
      <c r="R1162" s="0" t="s">
        <v>204</v>
      </c>
      <c r="S1162" s="0" t="s">
        <v>9572</v>
      </c>
    </row>
    <row r="1163" customFormat="false" ht="13.8" hidden="false" customHeight="false" outlineLevel="0" collapsed="false">
      <c r="A1163" s="0" t="s">
        <v>262</v>
      </c>
      <c r="B1163" s="0" t="n">
        <v>51</v>
      </c>
      <c r="C1163" s="0" t="s">
        <v>9565</v>
      </c>
      <c r="D1163" s="0" t="s">
        <v>960</v>
      </c>
      <c r="E1163" s="0" t="s">
        <v>391</v>
      </c>
      <c r="F1163" s="4" t="n">
        <v>95</v>
      </c>
      <c r="G1163" s="2" t="n">
        <v>0</v>
      </c>
      <c r="H1163" s="2" t="n">
        <v>0</v>
      </c>
      <c r="I1163" s="4" t="n">
        <v>2</v>
      </c>
      <c r="J1163" s="2" t="n">
        <v>0.2</v>
      </c>
      <c r="K1163" s="2" t="s">
        <v>20</v>
      </c>
      <c r="L1163" s="4" t="n">
        <v>5</v>
      </c>
      <c r="M1163" s="2" t="n">
        <v>0</v>
      </c>
      <c r="N1163" s="2" t="n">
        <v>0</v>
      </c>
      <c r="O1163" s="4" t="n">
        <v>3</v>
      </c>
      <c r="Q1163" s="2" t="n">
        <v>1384</v>
      </c>
      <c r="R1163" s="0" t="s">
        <v>391</v>
      </c>
      <c r="S1163" s="0" t="s">
        <v>9573</v>
      </c>
    </row>
    <row r="1164" customFormat="false" ht="13.8" hidden="false" customHeight="false" outlineLevel="0" collapsed="false">
      <c r="A1164" s="0" t="s">
        <v>262</v>
      </c>
      <c r="B1164" s="0" t="n">
        <v>51</v>
      </c>
      <c r="C1164" s="0" t="s">
        <v>9565</v>
      </c>
      <c r="D1164" s="0" t="s">
        <v>961</v>
      </c>
      <c r="E1164" s="0" t="s">
        <v>377</v>
      </c>
      <c r="F1164" s="4" t="n">
        <v>89</v>
      </c>
      <c r="G1164" s="2" t="n">
        <v>0</v>
      </c>
      <c r="H1164" s="2" t="n">
        <v>0</v>
      </c>
      <c r="I1164" s="4" t="n">
        <v>2</v>
      </c>
      <c r="J1164" s="2" t="n">
        <v>1</v>
      </c>
      <c r="K1164" s="2" t="s">
        <v>20</v>
      </c>
      <c r="L1164" s="4" t="n">
        <v>5</v>
      </c>
      <c r="M1164" s="2" t="n">
        <v>0</v>
      </c>
      <c r="N1164" s="2" t="n">
        <v>0</v>
      </c>
      <c r="O1164" s="4" t="n">
        <v>3</v>
      </c>
      <c r="Q1164" s="2" t="n">
        <v>1385</v>
      </c>
      <c r="R1164" s="0" t="s">
        <v>377</v>
      </c>
      <c r="S1164" s="0" t="s">
        <v>9574</v>
      </c>
    </row>
    <row r="1165" customFormat="false" ht="13.8" hidden="false" customHeight="false" outlineLevel="0" collapsed="false">
      <c r="A1165" s="0" t="s">
        <v>262</v>
      </c>
      <c r="B1165" s="0" t="n">
        <v>51</v>
      </c>
      <c r="C1165" s="0" t="s">
        <v>9565</v>
      </c>
      <c r="D1165" s="0" t="s">
        <v>962</v>
      </c>
      <c r="E1165" s="0" t="s">
        <v>476</v>
      </c>
      <c r="F1165" s="4" t="n">
        <v>185</v>
      </c>
      <c r="G1165" s="2" t="n">
        <v>0</v>
      </c>
      <c r="H1165" s="2" t="n">
        <v>0</v>
      </c>
      <c r="I1165" s="4" t="n">
        <v>2</v>
      </c>
      <c r="J1165" s="2" t="n">
        <v>1</v>
      </c>
      <c r="K1165" s="2" t="s">
        <v>20</v>
      </c>
      <c r="L1165" s="4" t="n">
        <v>5</v>
      </c>
      <c r="M1165" s="2" t="n">
        <v>0</v>
      </c>
      <c r="N1165" s="2" t="n">
        <v>0</v>
      </c>
      <c r="O1165" s="4" t="n">
        <v>3</v>
      </c>
      <c r="Q1165" s="2" t="n">
        <v>1386</v>
      </c>
      <c r="R1165" s="0" t="s">
        <v>476</v>
      </c>
      <c r="S1165" s="0" t="s">
        <v>9575</v>
      </c>
    </row>
    <row r="1166" customFormat="false" ht="13.8" hidden="false" customHeight="false" outlineLevel="0" collapsed="false">
      <c r="A1166" s="0" t="s">
        <v>262</v>
      </c>
      <c r="B1166" s="0" t="n">
        <v>51</v>
      </c>
      <c r="C1166" s="0" t="s">
        <v>9565</v>
      </c>
      <c r="D1166" s="0" t="s">
        <v>963</v>
      </c>
      <c r="E1166" s="0" t="s">
        <v>96</v>
      </c>
      <c r="F1166" s="4" t="n">
        <v>177</v>
      </c>
      <c r="G1166" s="2" t="n">
        <v>0</v>
      </c>
      <c r="H1166" s="2" t="n">
        <v>0</v>
      </c>
      <c r="I1166" s="4" t="n">
        <v>2</v>
      </c>
      <c r="J1166" s="2" t="n">
        <v>1.5</v>
      </c>
      <c r="K1166" s="2" t="s">
        <v>20</v>
      </c>
      <c r="L1166" s="4" t="n">
        <v>5</v>
      </c>
      <c r="M1166" s="2" t="n">
        <v>0</v>
      </c>
      <c r="N1166" s="2" t="n">
        <v>0</v>
      </c>
      <c r="O1166" s="4" t="n">
        <v>3</v>
      </c>
      <c r="Q1166" s="2" t="n">
        <v>1387</v>
      </c>
      <c r="R1166" s="0" t="s">
        <v>96</v>
      </c>
      <c r="S1166" s="0" t="s">
        <v>9576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1833</TotalTime>
  <Application>LibreOffice/5.2.6.2$Linux_X86_64 LibreOffice_project/20m0$Build-2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user</dc:creator>
  <dc:description/>
  <dc:language>en-US</dc:language>
  <cp:lastModifiedBy/>
  <dcterms:modified xsi:type="dcterms:W3CDTF">2017-05-24T23:15:15Z</dcterms:modified>
  <cp:revision>266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